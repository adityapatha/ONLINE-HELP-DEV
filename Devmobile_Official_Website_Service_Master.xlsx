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6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18.xml" ContentType="application/vnd.openxmlformats-officedocument.spreadsheetml.table+xml"/>
  <Override PartName="/xl/tables/table20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17.xml" ContentType="application/vnd.openxmlformats-officedocument.spreadsheetml.table+xml"/>
  <Override PartName="/xl/tables/table15.xml" ContentType="application/vnd.openxmlformats-officedocument.spreadsheetml.table+xml"/>
  <Override PartName="/xl/tables/table22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21.xml" ContentType="application/vnd.openxmlformats-officedocument.spreadsheetml.table+xml"/>
  <Override PartName="/xl/tables/table19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DATABASE" sheetId="1" state="visible" r:id="rId3"/>
    <sheet name="SERVICE_CATALOG" sheetId="2" state="visible" r:id="rId4"/>
    <sheet name="SERVICE_DETAILS" sheetId="3" state="visible" r:id="rId5"/>
    <sheet name="SERVICE_CARDS" sheetId="4" state="visible" r:id="rId6"/>
    <sheet name="RATE_LIST" sheetId="5" state="visible" r:id="rId7"/>
    <sheet name="DOCUMENT_MASTER" sheetId="6" state="visible" r:id="rId8"/>
    <sheet name="AVAILABILITY_MASTER" sheetId="7" state="visible" r:id="rId9"/>
    <sheet name="CHARGE_MASTER" sheetId="8" state="visible" r:id="rId10"/>
    <sheet name="WEBSITE_HOMEPAGE" sheetId="9" state="visible" r:id="rId11"/>
    <sheet name="AADHAAR" sheetId="10" state="visible" r:id="rId12"/>
    <sheet name="HDFC_BC" sheetId="11" state="visible" r:id="rId13"/>
    <sheet name="FINO_BC" sheetId="12" state="visible" r:id="rId14"/>
    <sheet name="BASUDHA" sheetId="13" state="visible" r:id="rId15"/>
    <sheet name="CSC" sheetId="14" state="visible" r:id="rId16"/>
    <sheet name="MOBILE_STORE" sheetId="15" state="visible" r:id="rId17"/>
    <sheet name="PRINTING_XEROX" sheetId="16" state="visible" r:id="rId18"/>
    <sheet name="PHOTO_PHOTOSHOP" sheetId="17" state="visible" r:id="rId19"/>
    <sheet name="ONLINE_SERVICES" sheetId="18" state="visible" r:id="rId20"/>
    <sheet name="RECHARGE_BILL" sheetId="19" state="visible" r:id="rId21"/>
    <sheet name="TICKETING" sheetId="20" state="visible" r:id="rId22"/>
    <sheet name="WEBSITE_CONTENT" sheetId="21" state="visible" r:id="rId23"/>
    <sheet name="TO_VERIFY" sheetId="22" state="visible" r:id="rId24"/>
    <sheet name="REMOVED_SERVICES" sheetId="23" state="visible" r:id="rId25"/>
    <sheet name="DASHBOARD" sheetId="24" state="visible" r:id="rId26"/>
    <sheet name="SERVICE_DOCUMENTS" sheetId="25" state="visible" r:id="rId27"/>
    <sheet name="CATEGORY_MASTER" sheetId="26" state="visible" r:id="rId28"/>
    <sheet name="LISTS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<sst xmlns="http://schemas.openxmlformats.org/spreadsheetml/2006/main" count="16744" uniqueCount="3883">
  <si>
    <t xml:space="preserve">Devmobile Stores and Common Service Center &amp; Aadhaar Centre — MASTER DATABASE (one row = one service)</t>
  </si>
  <si>
    <t xml:space="preserve">Blue header = type / choose here (editable).  Green header + grey cells = formula (do not type over).  Add a new service: copy an existing row (Ctrl+C, paste under the last row) then edit.  Documents are edited in SERVICE_DOCUMENTS.</t>
  </si>
  <si>
    <t xml:space="preserve">Service ID</t>
  </si>
  <si>
    <t xml:space="preserve">Service Center</t>
  </si>
  <si>
    <t xml:space="preserve">Main Category</t>
  </si>
  <si>
    <t xml:space="preserve">Sub Category</t>
  </si>
  <si>
    <t xml:space="preserve">Service Name English</t>
  </si>
  <si>
    <t xml:space="preserve">Service Name Hindi</t>
  </si>
  <si>
    <t xml:space="preserve">Short Description</t>
  </si>
  <si>
    <t xml:space="preserve">Detailed Description</t>
  </si>
  <si>
    <t xml:space="preserve">Service Availability</t>
  </si>
  <si>
    <t xml:space="preserve">Availability Status</t>
  </si>
  <si>
    <t xml:space="preserve">Authorization Required</t>
  </si>
  <si>
    <t xml:space="preserve">Authorization Status</t>
  </si>
  <si>
    <t xml:space="preserve">Required Documents</t>
  </si>
  <si>
    <t xml:space="preserve">Additional Documents</t>
  </si>
  <si>
    <t xml:space="preserve">Customer Eligibility</t>
  </si>
  <si>
    <t xml:space="preserve">Process / How It Works</t>
  </si>
  <si>
    <t xml:space="preserve">Estimated Processing Time</t>
  </si>
  <si>
    <t xml:space="preserve">Government Fee</t>
  </si>
  <si>
    <t xml:space="preserve">Shop Service Charge</t>
  </si>
  <si>
    <t xml:space="preserve">Total Customer Charge</t>
  </si>
  <si>
    <t xml:space="preserve">Charge Status</t>
  </si>
  <si>
    <t xml:space="preserve">Price Display on Website</t>
  </si>
  <si>
    <t xml:space="preserve">Payment Mode</t>
  </si>
  <si>
    <t xml:space="preserve">Online / Offline / Both</t>
  </si>
  <si>
    <t xml:space="preserve">Portal Required</t>
  </si>
  <si>
    <t xml:space="preserve">Portal Name</t>
  </si>
  <si>
    <t xml:space="preserve">Customer Must Visit Shop</t>
  </si>
  <si>
    <t xml:space="preserve">Contact Required</t>
  </si>
  <si>
    <t xml:space="preserve">WhatsApp Available</t>
  </si>
  <si>
    <t xml:space="preserve">Call Available</t>
  </si>
  <si>
    <t xml:space="preserve">Booking Required</t>
  </si>
  <si>
    <t xml:space="preserve">Appointment Required</t>
  </si>
  <si>
    <t xml:space="preserve">Service Status</t>
  </si>
  <si>
    <t xml:space="preserve">Website Visible</t>
  </si>
  <si>
    <t xml:space="preserve">Featured Service</t>
  </si>
  <si>
    <t xml:space="preserve">Popular Service</t>
  </si>
  <si>
    <t xml:space="preserve">Homepage Display</t>
  </si>
  <si>
    <t xml:space="preserve">Website Category</t>
  </si>
  <si>
    <t xml:space="preserve">Website Subcategory</t>
  </si>
  <si>
    <t xml:space="preserve">Search Keywords</t>
  </si>
  <si>
    <t xml:space="preserve">Website Slug</t>
  </si>
  <si>
    <t xml:space="preserve">Icon</t>
  </si>
  <si>
    <t xml:space="preserve">Display Order</t>
  </si>
  <si>
    <t xml:space="preserve">FAQ</t>
  </si>
  <si>
    <t xml:space="preserve">Important Note</t>
  </si>
  <si>
    <t xml:space="preserve">Terms / Conditions</t>
  </si>
  <si>
    <t xml:space="preserve">Last Verified Date</t>
  </si>
  <si>
    <t xml:space="preserve">Verification Status</t>
  </si>
  <si>
    <t xml:space="preserve">Internal Remarks</t>
  </si>
  <si>
    <t xml:space="preserve">SEO Title</t>
  </si>
  <si>
    <t xml:space="preserve">SEO Description</t>
  </si>
  <si>
    <t xml:space="preserve">Hindi Keywords</t>
  </si>
  <si>
    <t xml:space="preserve">English Keywords</t>
  </si>
  <si>
    <t xml:space="preserve">Service Image</t>
  </si>
  <si>
    <t xml:space="preserve">Category Icon</t>
  </si>
  <si>
    <t xml:space="preserve">Service Page</t>
  </si>
  <si>
    <t xml:space="preserve">Live on Website</t>
  </si>
  <si>
    <t xml:space="preserve">Benefits</t>
  </si>
  <si>
    <t xml:space="preserve">Customer Action</t>
  </si>
  <si>
    <t xml:space="preserve">Center Key (auto)</t>
  </si>
  <si>
    <t xml:space="preserve">Featured Seq (auto)</t>
  </si>
  <si>
    <t xml:space="preserve">Popular Seq (auto)</t>
  </si>
  <si>
    <t xml:space="preserve">Homepage Seq (auto)</t>
  </si>
  <si>
    <t xml:space="preserve">To Verify Seq (auto)</t>
  </si>
  <si>
    <t xml:space="preserve">AAD-001</t>
  </si>
  <si>
    <t xml:space="preserve">Aadhaar Centre</t>
  </si>
  <si>
    <t xml:space="preserve">Aadhaar Services</t>
  </si>
  <si>
    <t xml:space="preserve">Enrolment</t>
  </si>
  <si>
    <t xml:space="preserve">New Aadhaar Enrolment – Adult (18+ years)</t>
  </si>
  <si>
    <t xml:space="preserve">नया आधार नामांकन – वयस्क (18+ वर्ष)</t>
  </si>
  <si>
    <t xml:space="preserve">Get New Aadhaar Enrolment – Adult (18+ years) done at our Aadhaar Centre.</t>
  </si>
  <si>
    <t xml:space="preserve">Fresh Aadhaar enrolment for adults. The operator captures demographic details, fingerprints, iris and photograph, and gives an enrolment acknowledgement.</t>
  </si>
  <si>
    <t xml:space="preserve">Yes</t>
  </si>
  <si>
    <t xml:space="preserve">To Verify</t>
  </si>
  <si>
    <t xml:space="preserve">Residents aged 18 years or above who do not yet have an Aadhaar.</t>
  </si>
  <si>
    <t xml:space="preserve">Step 1 → Adult applicant comes in person with original identity, address and date-of-birth documents.
Step 2 → Operator fills the enrolment form with your details.
Step 3 → Fingerprints, iris and photograph are captured.
Step 4 → You review the entered details; sign the consent.
Step 5 → Collect the enrolment slip (EID) and track the status; Aadhaar is delivered after UIDAI processing.</t>
  </si>
  <si>
    <t xml:space="preserve">Depends on Department</t>
  </si>
  <si>
    <t xml:space="preserve">No</t>
  </si>
  <si>
    <t xml:space="preserve">Depends on Service</t>
  </si>
  <si>
    <t xml:space="preserve">Offline</t>
  </si>
  <si>
    <t xml:space="preserve">new-aadhaar-enrolment-adult-18-years</t>
  </si>
  <si>
    <t xml:space="preserve">🆕</t>
  </si>
  <si>
    <t xml:space="preserve">Q1: Do I need to visit in person?
A1: Yes, biometrics are captured at the centre.
Q2: How long does Aadhaar take?
A2: Processing is done by UIDAI; the time depends on the department.</t>
  </si>
  <si>
    <t xml:space="preserve">Aadhaar services depend on UIDAI operator authorization. Please confirm with the shop before visiting.</t>
  </si>
  <si>
    <t xml:space="preserve">Fees, documents and processing time are subject to change as per government / bank / portal rules. Final charges are confirmed at the shop before the service starts.</t>
  </si>
  <si>
    <t xml:space="preserve">Fresh enrolment needs valid PoI/PoA/DoB documents as per current UIDAI list</t>
  </si>
  <si>
    <t xml:space="preserve">New Aadhaar Enrolment – Adult (18+ years) Service | Devmobile Stores</t>
  </si>
  <si>
    <t xml:space="preserve">New Aadhaar Enrolment – Adult (18+ years) (नया आधार नामांकन – वयस्क (18+ वर्ष)) at Devmobile Stores and Common Service Center &amp; Aadhaar Centre. Check required documents, charges and process before you visit.</t>
  </si>
  <si>
    <t xml:space="preserve">नया आधार नामांकन – वयस्क (18+ वर्ष), आधार सेंटर, सेवा</t>
  </si>
  <si>
    <t xml:space="preserve">New Aadhaar Enrolment – Adult (18+ years), Aadhaar Centre, Devmobile Stores</t>
  </si>
  <si>
    <t xml:space="preserve">Get your first Aadhaar • Biometric capture done at the centre • Acknowledgement slip for tracking</t>
  </si>
  <si>
    <t xml:space="preserve">Check Documents</t>
  </si>
  <si>
    <t xml:space="preserve">AAD-002</t>
  </si>
  <si>
    <t xml:space="preserve">New Aadhaar Enrolment – Child (5 to 17 years)</t>
  </si>
  <si>
    <t xml:space="preserve">नया आधार नामांकन – बच्चा (5 से 17 वर्ष)</t>
  </si>
  <si>
    <t xml:space="preserve">Get New Aadhaar Enrolment – Child (5 to 17 years) done at our Aadhaar Centre.</t>
  </si>
  <si>
    <t xml:space="preserve">New Aadhaar enrolment for a child between 5 and 17 years with biometric capture.</t>
  </si>
  <si>
    <t xml:space="preserve">Children aged 5 to 17 years without an Aadhaar.</t>
  </si>
  <si>
    <t xml:space="preserve">Step 1 → Parent / guardian brings the child with the child's birth proof and the parent's Aadhaar.
Step 2 → Operator fills the child's enrolment form.
Step 3 → Child's fingerprints, iris and photograph are captured.
Step 4 → Parent reviews and signs the consent.
Step 5 → Collect the enrolment slip (EID) and track the status.</t>
  </si>
  <si>
    <t xml:space="preserve">new-aadhaar-enrolment-child-5-to-17-years</t>
  </si>
  <si>
    <t xml:space="preserve">Q1: Who should accompany the child?
A1: A parent or guardian with their Aadhaar.</t>
  </si>
  <si>
    <t xml:space="preserve">Biometrics captured; mandatory biometric update applies at age 15</t>
  </si>
  <si>
    <t xml:space="preserve">New Aadhaar Enrolment – Child (5 to 17 years) Service | Devmobile Stores</t>
  </si>
  <si>
    <t xml:space="preserve">New Aadhaar Enrolment – Child (5 to 17 years) (नया आधार नामांकन – बच्चा (5 से 17 वर्ष)) at Devmobile Stores and Common Service Center &amp; Aadhaar Centre. Check required documents, charges and process before you visit.</t>
  </si>
  <si>
    <t xml:space="preserve">नया आधार नामांकन – बच्चा (5 से 17 वर्ष), आधार सेंटर, सेवा</t>
  </si>
  <si>
    <t xml:space="preserve">New Aadhaar Enrolment – Child (5 to 17 years), Aadhaar Centre, Devmobile Stores</t>
  </si>
  <si>
    <t xml:space="preserve">Aadhaar for school / scholarship needs • Child biometrics captured • Acknowledgement slip</t>
  </si>
  <si>
    <t xml:space="preserve">AAD-003</t>
  </si>
  <si>
    <t xml:space="preserve">New Aadhaar Enrolment – Child (0 to 5 years, Baal Aadhaar)</t>
  </si>
  <si>
    <t xml:space="preserve">नया आधार नामांकन – बच्चा (0 से 5 वर्ष, बाल आधार)</t>
  </si>
  <si>
    <t xml:space="preserve">Get New Aadhaar Enrolment – Child (0 to 5 years, Baal Aadhaar) done at our Aadhaar Centre.</t>
  </si>
  <si>
    <t xml:space="preserve">Baal Aadhaar enrolment for newborns and children below 5 years, linked to a parent's Aadhaar.</t>
  </si>
  <si>
    <t xml:space="preserve">Children below 5 years (Baal Aadhaar).</t>
  </si>
  <si>
    <t xml:space="preserve">Step 1 → Parent brings the child (under 5 years) with the child's birth proof and the parent's Aadhaar.
Step 2 → Operator fills the child's enrolment form linked to the parent's Aadhaar.
Step 3 → Child's photograph is captured (fingerprints / iris are not captured under 5 years).
Step 4 → Parent reviews and signs the consent.
Step 5 → Collect the enrolment slip (EID) and track the status.</t>
  </si>
  <si>
    <t xml:space="preserve">new-aadhaar-enrolment-child-0-to-5-years-baal-aadhaar</t>
  </si>
  <si>
    <t xml:space="preserve">Q1: Is a biometric needed for a baby?
A1: Under 5 years, biometrics are not captured; a mandatory biometric update is done later.</t>
  </si>
  <si>
    <t xml:space="preserve">Biometrics are not captured below 5 years; parent's Aadhaar and child's proof required</t>
  </si>
  <si>
    <t xml:space="preserve">New Aadhaar Enrolment – Child (0 to 5 years, Baal Aadhaar) Service | Devmobile Stores</t>
  </si>
  <si>
    <t xml:space="preserve">New Aadhaar Enrolment – Child (0 to 5 years, Baal Aadhaar) (नया आधार नामांकन – बच्चा (0 से 5 वर्ष, बाल आधार)) at Devmobile Stores and Common Service Center &amp; Aadhaar Centre. Check required documents, charges and process before you visit.</t>
  </si>
  <si>
    <t xml:space="preserve">नया आधार नामांकन – बच्चा (0 से 5 वर्ष, बाल आधार), आधार सेंटर, सेवा</t>
  </si>
  <si>
    <t xml:space="preserve">New Aadhaar Enrolment – Child (0 to 5 years, Baal Aadhaar), Aadhaar Centre, Devmobile Stores</t>
  </si>
  <si>
    <t xml:space="preserve">Early Aadhaar for infants • No biometrics needed for very young children • Acknowledgement slip</t>
  </si>
  <si>
    <t xml:space="preserve">AAD-004</t>
  </si>
  <si>
    <t xml:space="preserve">Aadhaar Enrolment – Head of Family / Introducer Based</t>
  </si>
  <si>
    <t xml:space="preserve">आधार नामांकन – परिवार मुखिया / परिचयकर्ता आधारित</t>
  </si>
  <si>
    <t xml:space="preserve">Get Aadhaar Enrolment – Head of Family / Introducer Based done at our Aadhaar Centre.</t>
  </si>
  <si>
    <t xml:space="preserve">Special-case Aadhaar enrolment. Availability at this centre is still to be confirmed.</t>
  </si>
  <si>
    <t xml:space="preserve">Depends</t>
  </si>
  <si>
    <t xml:space="preserve">Special enrolment cases as permitted by UIDAI.</t>
  </si>
  <si>
    <t xml:space="preserve">Step 1 → Contact the shop to confirm whether this special enrolment case can be handled here.
Step 2 → If yes, bring the documents the operator asks for.
Step 3 → Operator follows the UIDAI procedure for this case.
Step 4 → Collect the acknowledgement slip and track the status.</t>
  </si>
  <si>
    <t xml:space="preserve">aadhaar-enrolment-head-of-family-introducer-based</t>
  </si>
  <si>
    <t xml:space="preserve">Q1: Where can I check the current charges?
A1: Charges are confirmed at the shop and may change as per government / bank rules.</t>
  </si>
  <si>
    <t xml:space="preserve">Only where UIDAI currently permits; confirm with your Registrar</t>
  </si>
  <si>
    <t xml:space="preserve">Aadhaar Enrolment – Head of Family / Introducer Based Service | Devmobile Stores</t>
  </si>
  <si>
    <t xml:space="preserve">Aadhaar Enrolment – Head of Family / Introducer Based (आधार नामांकन – परिवार मुखिया / परिचयकर्ता आधारित) at Devmobile Stores and Common Service Center &amp; Aadhaar Centre. Check required documents, charges and process before you visit.</t>
  </si>
  <si>
    <t xml:space="preserve">आधार नामांकन – परिवार मुखिया / परिचयकर्ता आधारित, आधार सेंटर, सेवा</t>
  </si>
  <si>
    <t xml:space="preserve">Aadhaar Enrolment – Head of Family / Introducer Based, Aadhaar Centre, Devmobile Stores</t>
  </si>
  <si>
    <t xml:space="preserve">In-person assistance at the shop • Help checking your documents • Receipt / acknowledgement where applicable</t>
  </si>
  <si>
    <t xml:space="preserve">Call Us</t>
  </si>
  <si>
    <t xml:space="preserve">AAD-005</t>
  </si>
  <si>
    <t xml:space="preserve">Aadhaar Enrolment – NRI / Foreign Resident</t>
  </si>
  <si>
    <t xml:space="preserve">आधार नामांकन – NRI / विदेशी निवासी</t>
  </si>
  <si>
    <t xml:space="preserve">Get Aadhaar Enrolment – NRI / Foreign Resident done at our Aadhaar Centre.</t>
  </si>
  <si>
    <t xml:space="preserve">aadhaar-enrolment-nri-foreign-resident</t>
  </si>
  <si>
    <t xml:space="preserve">Usually handled at Aadhaar Seva Kendra; confirm before offering</t>
  </si>
  <si>
    <t xml:space="preserve">Aadhaar Enrolment – NRI / Foreign Resident Service | Devmobile Stores</t>
  </si>
  <si>
    <t xml:space="preserve">Aadhaar Enrolment – NRI / Foreign Resident (आधार नामांकन – NRI / विदेशी निवासी) at Devmobile Stores and Common Service Center &amp; Aadhaar Centre. Check required documents, charges and process before you visit.</t>
  </si>
  <si>
    <t xml:space="preserve">आधार नामांकन – NRI / विदेशी निवासी, आधार सेंटर, सेवा</t>
  </si>
  <si>
    <t xml:space="preserve">Aadhaar Enrolment – NRI / Foreign Resident, Aadhaar Centre, Devmobile Stores</t>
  </si>
  <si>
    <t xml:space="preserve">AAD-006</t>
  </si>
  <si>
    <t xml:space="preserve">Aadhaar Enrolment – Biometric Exception Case</t>
  </si>
  <si>
    <t xml:space="preserve">आधार नामांकन – बायोमेट्रिक अपवाद मामला</t>
  </si>
  <si>
    <t xml:space="preserve">Get Aadhaar Enrolment – Biometric Exception Case done at our Aadhaar Centre.</t>
  </si>
  <si>
    <t xml:space="preserve">aadhaar-enrolment-biometric-exception-case</t>
  </si>
  <si>
    <t xml:space="preserve">Special procedure; confirm with Registrar / UIDAI</t>
  </si>
  <si>
    <t xml:space="preserve">Aadhaar Enrolment – Biometric Exception Case Service | Devmobile Stores</t>
  </si>
  <si>
    <t xml:space="preserve">Aadhaar Enrolment – Biometric Exception Case (आधार नामांकन – बायोमेट्रिक अपवाद मामला) at Devmobile Stores and Common Service Center &amp; Aadhaar Centre. Check required documents, charges and process before you visit.</t>
  </si>
  <si>
    <t xml:space="preserve">आधार नामांकन – बायोमेट्रिक अपवाद मामला, आधार सेंटर, सेवा</t>
  </si>
  <si>
    <t xml:space="preserve">Aadhaar Enrolment – Biometric Exception Case, Aadhaar Centre, Devmobile Stores</t>
  </si>
  <si>
    <t xml:space="preserve">AAD-007</t>
  </si>
  <si>
    <t xml:space="preserve">Demographic Update</t>
  </si>
  <si>
    <t xml:space="preserve">Aadhaar Name Update</t>
  </si>
  <si>
    <t xml:space="preserve">आधार नाम अपडेट</t>
  </si>
  <si>
    <t xml:space="preserve">Get Aadhaar Name Update done at our Aadhaar Centre.</t>
  </si>
  <si>
    <t xml:space="preserve">Update or correct the name recorded in your Aadhaar through the Aadhaar Centre.</t>
  </si>
  <si>
    <t xml:space="preserve">Available</t>
  </si>
  <si>
    <t xml:space="preserve">Aadhaar holders whose details need correction, subject to UIDAI update limits.</t>
  </si>
  <si>
    <t xml:space="preserve">Step 1 → Bring your Aadhaar card and proof of name (originals).
Step 2 → Operator checks your current Aadhaar details and the document for the name change.
Step 3 → Aadhaar holder gives fingerprint / biometric authentication at the centre.
Step 4 → New name details are entered and shown to you for checking before submission.
Step 5 → Pay the charge and collect the acknowledgement slip (URN) to track the update.</t>
  </si>
  <si>
    <t xml:space="preserve">Active</t>
  </si>
  <si>
    <t xml:space="preserve">aadhaar-name-update</t>
  </si>
  <si>
    <t xml:space="preserve">✏️</t>
  </si>
  <si>
    <t xml:space="preserve">Q1: Do I need to come in person?
A1: Yes, the Aadhaar holder normally gives biometric authentication at the centre.
Q2: Is there a limit on changes?
A2: UIDAI limits some updates. Ask the operator for the current rule.</t>
  </si>
  <si>
    <t xml:space="preserve">UIDAI limits how many times name can be changed; verify current rule | Set to Available as per owner's example; authorization still To Verify.</t>
  </si>
  <si>
    <t xml:space="preserve">Aadhaar Name Update Service | Devmobile Stores</t>
  </si>
  <si>
    <t xml:space="preserve">Aadhaar Name Update (आधार नाम अपडेट) at Devmobile Stores and Common Service Center &amp; Aadhaar Centre. Check required documents, charges and process before you visit.</t>
  </si>
  <si>
    <t xml:space="preserve">आधार नाम अपडेट, आधार सेंटर, सेवा</t>
  </si>
  <si>
    <t xml:space="preserve">Aadhaar Name Update, Aadhaar Centre, Devmobile Stores</t>
  </si>
  <si>
    <t xml:space="preserve">Correct Aadhaar details • Biometric-verified update • Acknowledgement slip</t>
  </si>
  <si>
    <t xml:space="preserve">AAD-008</t>
  </si>
  <si>
    <t xml:space="preserve">Aadhaar Date of Birth Update</t>
  </si>
  <si>
    <t xml:space="preserve">आधार जन्म तिथि अपडेट</t>
  </si>
  <si>
    <t xml:space="preserve">Get Aadhaar Date of Birth Update done at our Aadhaar Centre.</t>
  </si>
  <si>
    <t xml:space="preserve">Update or correct the date of birth recorded in your Aadhaar through the Aadhaar Centre.</t>
  </si>
  <si>
    <t xml:space="preserve">Step 1 → Bring your Aadhaar card and date-of-birth proof (originals).
Step 2 → Operator checks your current Aadhaar details and the document for the date of birth change.
Step 3 → Aadhaar holder gives fingerprint / biometric authentication at the centre.
Step 4 → New date of birth details are entered and shown to you for checking before submission.
Step 5 → Pay the charge and collect the acknowledgement slip (URN) to track the update.</t>
  </si>
  <si>
    <t xml:space="preserve">aadhaar-date-of-birth-update</t>
  </si>
  <si>
    <t xml:space="preserve">UIDAI limits DoB changes; supporting DoB proof needed; verify current rule | Set to Available as per owner's example; authorization still To Verify.</t>
  </si>
  <si>
    <t xml:space="preserve">Aadhaar Date of Birth Update Service | Devmobile Stores</t>
  </si>
  <si>
    <t xml:space="preserve">Aadhaar Date of Birth Update (आधार जन्म तिथि अपडेट) at Devmobile Stores and Common Service Center &amp; Aadhaar Centre. Check required documents, charges and process before you visit.</t>
  </si>
  <si>
    <t xml:space="preserve">आधार जन्म तिथि अपडेट, आधार सेंटर, सेवा</t>
  </si>
  <si>
    <t xml:space="preserve">Aadhaar Date of Birth Update, Aadhaar Centre, Devmobile Stores</t>
  </si>
  <si>
    <t xml:space="preserve">AAD-009</t>
  </si>
  <si>
    <t xml:space="preserve">Aadhaar Gender Update</t>
  </si>
  <si>
    <t xml:space="preserve">आधार लिंग अपडेट</t>
  </si>
  <si>
    <t xml:space="preserve">Get Aadhaar Gender Update done at our Aadhaar Centre.</t>
  </si>
  <si>
    <t xml:space="preserve">Update or correct the gender recorded in your Aadhaar through the Aadhaar Centre.</t>
  </si>
  <si>
    <t xml:space="preserve">Step 1 → Bring your Aadhaar card and identity proof (originals).
Step 2 → Operator checks your current Aadhaar details and the document for the gender change.
Step 3 → Aadhaar holder gives fingerprint / biometric authentication at the centre.
Step 4 → New gender details are entered and shown to you for checking before submission.
Step 5 → Pay the charge and collect the acknowledgement slip (URN) to track the update.</t>
  </si>
  <si>
    <t xml:space="preserve">aadhaar-gender-update</t>
  </si>
  <si>
    <t xml:space="preserve">UIDAI limits gender changes; verify current rule | Set to Available as per owner's example; authorization still To Verify.</t>
  </si>
  <si>
    <t xml:space="preserve">Aadhaar Gender Update Service | Devmobile Stores</t>
  </si>
  <si>
    <t xml:space="preserve">Aadhaar Gender Update (आधार लिंग अपडेट) at Devmobile Stores and Common Service Center &amp; Aadhaar Centre. Check required documents, charges and process before you visit.</t>
  </si>
  <si>
    <t xml:space="preserve">आधार लिंग अपडेट, आधार सेंटर, सेवा</t>
  </si>
  <si>
    <t xml:space="preserve">Aadhaar Gender Update, Aadhaar Centre, Devmobile Stores</t>
  </si>
  <si>
    <t xml:space="preserve">AAD-010</t>
  </si>
  <si>
    <t xml:space="preserve">Aadhaar Address Update (with Document)</t>
  </si>
  <si>
    <t xml:space="preserve">आधार पता अपडेट (दस्तावेज़ के साथ)</t>
  </si>
  <si>
    <t xml:space="preserve">Get Aadhaar Address Update (with Document) done at our Aadhaar Centre.</t>
  </si>
  <si>
    <t xml:space="preserve">Update or correct the address recorded in your Aadhaar through the Aadhaar Centre.</t>
  </si>
  <si>
    <t xml:space="preserve">Step 1 → Bring your Aadhaar card and address proof (originals).
Step 2 → Operator checks your current Aadhaar details and the document for the address change.
Step 3 → Aadhaar holder gives fingerprint / biometric authentication at the centre.
Step 4 → New address details are entered and shown to you for checking before submission.
Step 5 → Pay the charge and collect the acknowledgement slip (URN) to track the update.</t>
  </si>
  <si>
    <t xml:space="preserve">aadhaar-address-update-with-document</t>
  </si>
  <si>
    <t xml:space="preserve">Valid address proof as per current UIDAI list | Set to Available as per owner's example; authorization still To Verify.</t>
  </si>
  <si>
    <t xml:space="preserve">Aadhaar Address Update (with Document) Service | Devmobile Stores</t>
  </si>
  <si>
    <t xml:space="preserve">Aadhaar Address Update (with Document) (आधार पता अपडेट (दस्तावेज़ के साथ)) at Devmobile Stores and Common Service Center &amp; Aadhaar Centre. Check required documents, charges and process before you visit.</t>
  </si>
  <si>
    <t xml:space="preserve">आधार पता अपडेट (दस्तावेज़ के साथ), आधार सेंटर, सेवा</t>
  </si>
  <si>
    <t xml:space="preserve">Aadhaar Address Update (with Document), Aadhaar Centre, Devmobile Stores</t>
  </si>
  <si>
    <t xml:space="preserve">AAD-011</t>
  </si>
  <si>
    <t xml:space="preserve">Aadhaar Address Update – Online (SSUP) Assistance</t>
  </si>
  <si>
    <t xml:space="preserve">आधार पता अपडेट – ऑनलाइन (SSUP) सहायता</t>
  </si>
  <si>
    <t xml:space="preserve">Get Aadhaar Address Update – Online (SSUP) Assistance done at our Aadhaar Centre.</t>
  </si>
  <si>
    <t xml:space="preserve">Assistance to update Aadhaar address online through the UIDAI portal.</t>
  </si>
  <si>
    <t xml:space="preserve">Portal Dependent</t>
  </si>
  <si>
    <t xml:space="preserve">Aadhaar holders with a linked mobile number.</t>
  </si>
  <si>
    <t xml:space="preserve">Step 1 → Bring your Aadhaar number, the phone linked to Aadhaar and your address proof.
Step 2 → Operator opens the UIDAI Self Service Update Portal and logs in with OTP.
Step 3 → New address is entered and the address-proof file is uploaded.
Step 4 → Payment is made online and an update request number (URN) is generated.
Step 5 → Track the update with the URN.</t>
  </si>
  <si>
    <t xml:space="preserve">Online</t>
  </si>
  <si>
    <t xml:space="preserve">UIDAI Self Service Update Portal (SSUP)</t>
  </si>
  <si>
    <t xml:space="preserve">aadhaar-address-update-online-ssup-assistance</t>
  </si>
  <si>
    <t xml:space="preserve">Needs a mobile number already linked to Aadhaar for OTP.</t>
  </si>
  <si>
    <t xml:space="preserve">Needs mobile number linked to Aadhaar for OTP</t>
  </si>
  <si>
    <t xml:space="preserve">Aadhaar Address Update – Online (SSUP) Assistance Service | Devmobile Stores</t>
  </si>
  <si>
    <t xml:space="preserve">Aadhaar Address Update – Online (SSUP) Assistance (आधार पता अपडेट – ऑनलाइन (SSUP) सहायता) at Devmobile Stores and Common Service Center &amp; Aadhaar Centre. Check required documents, charges and process before you visit.</t>
  </si>
  <si>
    <t xml:space="preserve">आधार पता अपडेट – ऑनलाइन (SSUP) सहायता, आधार सेंटर, सेवा</t>
  </si>
  <si>
    <t xml:space="preserve">Aadhaar Address Update – Online (SSUP) Assistance, Aadhaar Centre, Devmobile Stores</t>
  </si>
  <si>
    <t xml:space="preserve">Book Service</t>
  </si>
  <si>
    <t xml:space="preserve">AAD-012</t>
  </si>
  <si>
    <t xml:space="preserve">Aadhaar Mobile Number Update</t>
  </si>
  <si>
    <t xml:space="preserve">आधार मोबाइल नंबर अपडेट</t>
  </si>
  <si>
    <t xml:space="preserve">Get Aadhaar Mobile Number Update done at our Aadhaar Centre.</t>
  </si>
  <si>
    <t xml:space="preserve">Update or correct the mobile number recorded in your Aadhaar through the Aadhaar Centre.</t>
  </si>
  <si>
    <t xml:space="preserve">Step 1 → Bring your Aadhaar card and the new mobile number (originals).
Step 2 → Operator checks your current Aadhaar details and the document for the mobile number change.
Step 3 → Aadhaar holder gives fingerprint / biometric authentication at the centre.
Step 4 → New mobile number details are entered and shown to you for checking before submission.
Step 5 → Pay the charge and collect the acknowledgement slip (URN) to track the update.</t>
  </si>
  <si>
    <t xml:space="preserve">aadhaar-mobile-number-update</t>
  </si>
  <si>
    <t xml:space="preserve">Biometric authentication of resident required at centre | Set to Available as per owner's example; authorization still To Verify.</t>
  </si>
  <si>
    <t xml:space="preserve">Aadhaar Mobile Number Update Service | Devmobile Stores</t>
  </si>
  <si>
    <t xml:space="preserve">Aadhaar Mobile Number Update (आधार मोबाइल नंबर अपडेट) at Devmobile Stores and Common Service Center &amp; Aadhaar Centre. Check required documents, charges and process before you visit.</t>
  </si>
  <si>
    <t xml:space="preserve">आधार मोबाइल नंबर अपडेट, आधार सेंटर, सेवा</t>
  </si>
  <si>
    <t xml:space="preserve">Aadhaar Mobile Number Update, Aadhaar Centre, Devmobile Stores</t>
  </si>
  <si>
    <t xml:space="preserve">AAD-013</t>
  </si>
  <si>
    <t xml:space="preserve">Aadhaar Email ID Update</t>
  </si>
  <si>
    <t xml:space="preserve">आधार ईमेल आईडी अपडेट</t>
  </si>
  <si>
    <t xml:space="preserve">Get Aadhaar Email ID Update done at our Aadhaar Centre.</t>
  </si>
  <si>
    <t xml:space="preserve">Update or correct the email id recorded in your Aadhaar through the Aadhaar Centre.</t>
  </si>
  <si>
    <t xml:space="preserve">Step 1 → Bring your Aadhaar card and the email address (originals).
Step 2 → Operator checks your current Aadhaar details and the document for the email id change.
Step 3 → Aadhaar holder gives fingerprint / biometric authentication at the centre.
Step 4 → New email id details are entered and shown to you for checking before submission.
Step 5 → Pay the charge and collect the acknowledgement slip (URN) to track the update.</t>
  </si>
  <si>
    <t xml:space="preserve">aadhaar-email-id-update</t>
  </si>
  <si>
    <t xml:space="preserve">Set to Available as per owner's example; authorization still To Verify.</t>
  </si>
  <si>
    <t xml:space="preserve">Aadhaar Email ID Update Service | Devmobile Stores</t>
  </si>
  <si>
    <t xml:space="preserve">Aadhaar Email ID Update (आधार ईमेल आईडी अपडेट) at Devmobile Stores and Common Service Center &amp; Aadhaar Centre. Check required documents, charges and process before you visit.</t>
  </si>
  <si>
    <t xml:space="preserve">आधार ईमेल आईडी अपडेट, आधार सेंटर, सेवा</t>
  </si>
  <si>
    <t xml:space="preserve">Aadhaar Email ID Update, Aadhaar Centre, Devmobile Stores</t>
  </si>
  <si>
    <t xml:space="preserve">AAD-014</t>
  </si>
  <si>
    <t xml:space="preserve">Aadhaar Relationship / Head of Family Detail Update</t>
  </si>
  <si>
    <t xml:space="preserve">आधार संबंध / परिवार मुखिया विवरण अपडेट</t>
  </si>
  <si>
    <t xml:space="preserve">Get Aadhaar Relationship / Head of Family Detail Update done at our Aadhaar Centre.</t>
  </si>
  <si>
    <t xml:space="preserve">Update or correct the relationship / head of family detail recorded in your Aadhaar through the Aadhaar Centre.</t>
  </si>
  <si>
    <t xml:space="preserve">Step 1 → Bring your Aadhaar card and the supporting document (originals).
Step 2 → Operator checks your current Aadhaar details and the document for the relationship / head of family detail change.
Step 3 → Aadhaar holder gives fingerprint / biometric authentication at the centre.
Step 4 → New relationship / head of family detail details are entered and shown to you for checking before submission.
Step 5 → Pay the charge and collect the acknowledgement slip (URN) to track the update.</t>
  </si>
  <si>
    <t xml:space="preserve">aadhaar-relationship-head-of-family-detail-update</t>
  </si>
  <si>
    <t xml:space="preserve">Confirm whether this field is updatable under your authorization</t>
  </si>
  <si>
    <t xml:space="preserve">Aadhaar Relationship / Head of Family Detail Update Service | Devmobile Stores</t>
  </si>
  <si>
    <t xml:space="preserve">Aadhaar Relationship / Head of Family Detail Update (आधार संबंध / परिवार मुखिया विवरण अपडेट) at Devmobile Stores and Common Service Center &amp; Aadhaar Centre. Check required documents, charges and process before you visit.</t>
  </si>
  <si>
    <t xml:space="preserve">आधार संबंध / परिवार मुखिया विवरण अपडेट, आधार सेंटर, सेवा</t>
  </si>
  <si>
    <t xml:space="preserve">Aadhaar Relationship / Head of Family Detail Update, Aadhaar Centre, Devmobile Stores</t>
  </si>
  <si>
    <t xml:space="preserve">AAD-015</t>
  </si>
  <si>
    <t xml:space="preserve">Aadhaar Combined Demographic Update (Multiple Fields)</t>
  </si>
  <si>
    <t xml:space="preserve">आधार संयुक्त डेमोग्राफिक अपडेट (कई जानकारियाँ)</t>
  </si>
  <si>
    <t xml:space="preserve">Get Aadhaar Combined Demographic Update (Multiple Fields) done at our Aadhaar Centre.</t>
  </si>
  <si>
    <t xml:space="preserve">Update or correct the combined demographic recorded in your Aadhaar through the Aadhaar Centre.</t>
  </si>
  <si>
    <t xml:space="preserve">Step 1 → Bring your Aadhaar card and the supporting document (originals).
Step 2 → Operator checks your current Aadhaar details and the document for the combined demographic change.
Step 3 → Aadhaar holder gives fingerprint / biometric authentication at the centre.
Step 4 → New combined demographic details are entered and shown to you for checking before submission.
Step 5 → Pay the charge and collect the acknowledgement slip (URN) to track the update.</t>
  </si>
  <si>
    <t xml:space="preserve">aadhaar-combined-demographic-update-multiple-fields</t>
  </si>
  <si>
    <t xml:space="preserve">Aadhaar Combined Demographic Update (Multiple Fields) Service | Devmobile Stores</t>
  </si>
  <si>
    <t xml:space="preserve">Aadhaar Combined Demographic Update (Multiple Fields) (आधार संयुक्त डेमोग्राफिक अपडेट (कई जानकारियाँ)) at Devmobile Stores and Common Service Center &amp; Aadhaar Centre. Check required documents, charges and process before you visit.</t>
  </si>
  <si>
    <t xml:space="preserve">आधार संयुक्त डेमोग्राफिक अपडेट (कई जानकारियाँ), आधार सेंटर, सेवा</t>
  </si>
  <si>
    <t xml:space="preserve">Aadhaar Combined Demographic Update (Multiple Fields), Aadhaar Centre, Devmobile Stores</t>
  </si>
  <si>
    <t xml:space="preserve">AAD-016</t>
  </si>
  <si>
    <t xml:space="preserve">Biometric Update</t>
  </si>
  <si>
    <t xml:space="preserve">Aadhaar Fingerprint Update</t>
  </si>
  <si>
    <t xml:space="preserve">आधार फिंगरप्रिंट अपडेट</t>
  </si>
  <si>
    <t xml:space="preserve">Get Aadhaar Fingerprint Update done at our Aadhaar Centre.</t>
  </si>
  <si>
    <t xml:space="preserve">Aadhaar Fingerprint Update done at the Aadhaar Centre with fresh biometric capture.</t>
  </si>
  <si>
    <t xml:space="preserve">Aadhaar holders needing a biometric update (age-based mandatory update, poor quality or change).</t>
  </si>
  <si>
    <t xml:space="preserve">Step 1 → Bring your Aadhaar card.
Step 2 → Operator checks the current biometric status in Aadhaar.
Step 3 → New fingerprint are captured.
Step 4 → Details are reviewed and submitted.
Step 5 → Collect the acknowledgement slip (URN) and track the update.</t>
  </si>
  <si>
    <t xml:space="preserve">aadhaar-fingerprint-update</t>
  </si>
  <si>
    <t xml:space="preserve">👆</t>
  </si>
  <si>
    <t xml:space="preserve">Q1: Is the person required at the centre?
A1: Yes, biometric capture needs the person present.</t>
  </si>
  <si>
    <t xml:space="preserve">Aadhaar Fingerprint Update Service | Devmobile Stores</t>
  </si>
  <si>
    <t xml:space="preserve">Aadhaar Fingerprint Update (आधार फिंगरप्रिंट अपडेट) at Devmobile Stores and Common Service Center &amp; Aadhaar Centre. Check required documents, charges and process before you visit.</t>
  </si>
  <si>
    <t xml:space="preserve">आधार फिंगरप्रिंट अपडेट, आधार सेंटर, सेवा</t>
  </si>
  <si>
    <t xml:space="preserve">Aadhaar Fingerprint Update, Aadhaar Centre, Devmobile Stores</t>
  </si>
  <si>
    <t xml:space="preserve">Fix biometric problems • Keep Aadhaar working for authentication</t>
  </si>
  <si>
    <t xml:space="preserve">AAD-017</t>
  </si>
  <si>
    <t xml:space="preserve">Aadhaar Iris Update</t>
  </si>
  <si>
    <t xml:space="preserve">आधार आइरिस अपडेट</t>
  </si>
  <si>
    <t xml:space="preserve">Get Aadhaar Iris Update done at our Aadhaar Centre.</t>
  </si>
  <si>
    <t xml:space="preserve">Aadhaar Iris Update done at the Aadhaar Centre with fresh biometric capture.</t>
  </si>
  <si>
    <t xml:space="preserve">Step 1 → Bring your Aadhaar card.
Step 2 → Operator checks the current biometric status in Aadhaar.
Step 3 → New iris are captured.
Step 4 → Details are reviewed and submitted.
Step 5 → Collect the acknowledgement slip (URN) and track the update.</t>
  </si>
  <si>
    <t xml:space="preserve">aadhaar-iris-update</t>
  </si>
  <si>
    <t xml:space="preserve">Aadhaar Iris Update Service | Devmobile Stores</t>
  </si>
  <si>
    <t xml:space="preserve">Aadhaar Iris Update (आधार आइरिस अपडेट) at Devmobile Stores and Common Service Center &amp; Aadhaar Centre. Check required documents, charges and process before you visit.</t>
  </si>
  <si>
    <t xml:space="preserve">आधार आइरिस अपडेट, आधार सेंटर, सेवा</t>
  </si>
  <si>
    <t xml:space="preserve">Aadhaar Iris Update, Aadhaar Centre, Devmobile Stores</t>
  </si>
  <si>
    <t xml:space="preserve">AAD-018</t>
  </si>
  <si>
    <t xml:space="preserve">Aadhaar Photograph Update</t>
  </si>
  <si>
    <t xml:space="preserve">आधार फोटो अपडेट</t>
  </si>
  <si>
    <t xml:space="preserve">Get Aadhaar Photograph Update done at our Aadhaar Centre.</t>
  </si>
  <si>
    <t xml:space="preserve">Aadhaar Photograph Update done at the Aadhaar Centre with fresh biometric capture.</t>
  </si>
  <si>
    <t xml:space="preserve">Step 1 → Bring your Aadhaar card.
Step 2 → Operator checks the current biometric status in Aadhaar.
Step 3 → New photograph are captured.
Step 4 → Details are reviewed and submitted.
Step 5 → Collect the acknowledgement slip (URN) and track the update.</t>
  </si>
  <si>
    <t xml:space="preserve">aadhaar-photograph-update</t>
  </si>
  <si>
    <t xml:space="preserve">Aadhaar Photograph Update Service | Devmobile Stores</t>
  </si>
  <si>
    <t xml:space="preserve">Aadhaar Photograph Update (आधार फोटो अपडेट) at Devmobile Stores and Common Service Center &amp; Aadhaar Centre. Check required documents, charges and process before you visit.</t>
  </si>
  <si>
    <t xml:space="preserve">आधार फोटो अपडेट, आधार सेंटर, सेवा</t>
  </si>
  <si>
    <t xml:space="preserve">Aadhaar Photograph Update, Aadhaar Centre, Devmobile Stores</t>
  </si>
  <si>
    <t xml:space="preserve">AAD-019</t>
  </si>
  <si>
    <t xml:space="preserve">Aadhaar Biometric Update – Combined (Finger + Iris + Photo)</t>
  </si>
  <si>
    <t xml:space="preserve">आधार बायोमेट्रिक अपडेट – संयुक्त (उँगली + आँख + फोटो)</t>
  </si>
  <si>
    <t xml:space="preserve">Get Aadhaar Biometric Update – Combined (Finger + Iris + Photo) done at our Aadhaar Centre.</t>
  </si>
  <si>
    <t xml:space="preserve">Aadhaar Biometric Update – Combined (Finger + Iris + Photo) done at the Aadhaar Centre with fresh biometric capture.</t>
  </si>
  <si>
    <t xml:space="preserve">Step 1 → Bring your Aadhaar card.
Step 2 → Operator checks the current biometric status in Aadhaar.
Step 3 → New fingerprints, iris and photograph are captured.
Step 4 → Details are reviewed and submitted.
Step 5 → Collect the acknowledgement slip (URN) and track the update.</t>
  </si>
  <si>
    <t xml:space="preserve">aadhaar-biometric-update-combined-finger-iris-photo</t>
  </si>
  <si>
    <t xml:space="preserve">Aadhaar Biometric Update – Combined (Finger + Iris + Photo) Service | Devmobile Stores</t>
  </si>
  <si>
    <t xml:space="preserve">Aadhaar Biometric Update – Combined (Finger + Iris + Photo) (आधार बायोमेट्रिक अपडेट – संयुक्त (उँगली + आँख + फोटो)) at Devmobile Stores and Common Service Center &amp; Aadhaar Centre. Check required documents, charges and process before you visit.</t>
  </si>
  <si>
    <t xml:space="preserve">आधार बायोमेट्रिक अपडेट – संयुक्त (उँगली + आँख + फोटो), आधार सेंटर, सेवा</t>
  </si>
  <si>
    <t xml:space="preserve">Aadhaar Biometric Update – Combined (Finger + Iris + Photo), Aadhaar Centre, Devmobile Stores</t>
  </si>
  <si>
    <t xml:space="preserve">AAD-020</t>
  </si>
  <si>
    <t xml:space="preserve">Mandatory Biometric Update – Child at Age 5</t>
  </si>
  <si>
    <t xml:space="preserve">अनिवार्य बायोमेट्रिक अपडेट – बच्चा (5 वर्ष)</t>
  </si>
  <si>
    <t xml:space="preserve">Get Mandatory Biometric Update – Child at Age 5 done at our Aadhaar Centre.</t>
  </si>
  <si>
    <t xml:space="preserve">Mandatory Biometric Update – Child at Age 5 done at the Aadhaar Centre with fresh biometric capture.</t>
  </si>
  <si>
    <t xml:space="preserve">Step 1 → Bring your Aadhaar card and the child with a parent / guardian.
Step 2 → Operator checks the current biometric status in Aadhaar.
Step 3 → New mandatory biometric – child at age 5 are captured.
Step 4 → Details are reviewed and submitted.
Step 5 → Collect the acknowledgement slip (URN) and track the update.</t>
  </si>
  <si>
    <t xml:space="preserve">mandatory-biometric-update-child-at-age-5</t>
  </si>
  <si>
    <t xml:space="preserve">Check current UIDAI fee-waiver rule for child mandatory updates | Set to Available as per owner's example; authorization still To Verify.</t>
  </si>
  <si>
    <t xml:space="preserve">Mandatory Biometric Update – Child at Age 5 Service | Devmobile Stores</t>
  </si>
  <si>
    <t xml:space="preserve">Mandatory Biometric Update – Child at Age 5 (अनिवार्य बायोमेट्रिक अपडेट – बच्चा (5 वर्ष)) at Devmobile Stores and Common Service Center &amp; Aadhaar Centre. Check required documents, charges and process before you visit.</t>
  </si>
  <si>
    <t xml:space="preserve">अनिवार्य बायोमेट्रिक अपडेट – बच्चा (5 वर्ष), आधार सेंटर, सेवा</t>
  </si>
  <si>
    <t xml:space="preserve">Mandatory Biometric Update – Child at Age 5, Aadhaar Centre, Devmobile Stores</t>
  </si>
  <si>
    <t xml:space="preserve">AAD-021</t>
  </si>
  <si>
    <t xml:space="preserve">Mandatory Biometric Update – Child at Age 15</t>
  </si>
  <si>
    <t xml:space="preserve">अनिवार्य बायोमेट्रिक अपडेट – बच्चा (15 वर्ष)</t>
  </si>
  <si>
    <t xml:space="preserve">Get Mandatory Biometric Update – Child at Age 15 done at our Aadhaar Centre.</t>
  </si>
  <si>
    <t xml:space="preserve">Mandatory Biometric Update – Child at Age 15 done at the Aadhaar Centre with fresh biometric capture.</t>
  </si>
  <si>
    <t xml:space="preserve">Step 1 → Bring your Aadhaar card and the child with a parent / guardian.
Step 2 → Operator checks the current biometric status in Aadhaar.
Step 3 → New mandatory biometric – child at age 15 are captured.
Step 4 → Details are reviewed and submitted.
Step 5 → Collect the acknowledgement slip (URN) and track the update.</t>
  </si>
  <si>
    <t xml:space="preserve">mandatory-biometric-update-child-at-age-15</t>
  </si>
  <si>
    <t xml:space="preserve">Mandatory Biometric Update – Child at Age 15 Service | Devmobile Stores</t>
  </si>
  <si>
    <t xml:space="preserve">Mandatory Biometric Update – Child at Age 15 (अनिवार्य बायोमेट्रिक अपडेट – बच्चा (15 वर्ष)) at Devmobile Stores and Common Service Center &amp; Aadhaar Centre. Check required documents, charges and process before you visit.</t>
  </si>
  <si>
    <t xml:space="preserve">अनिवार्य बायोमेट्रिक अपडेट – बच्चा (15 वर्ष), आधार सेंटर, सेवा</t>
  </si>
  <si>
    <t xml:space="preserve">Mandatory Biometric Update – Child at Age 15, Aadhaar Centre, Devmobile Stores</t>
  </si>
  <si>
    <t xml:space="preserve">AAD-022</t>
  </si>
  <si>
    <t xml:space="preserve">Aadhaar Biometric Update – Adult (Quality / Periodic)</t>
  </si>
  <si>
    <t xml:space="preserve">आधार बायोमेट्रिक अपडेट – वयस्क (क्वालिटी / आवधिक)</t>
  </si>
  <si>
    <t xml:space="preserve">Get Aadhaar Biometric Update – Adult (Quality / Periodic) done at our Aadhaar Centre.</t>
  </si>
  <si>
    <t xml:space="preserve">Aadhaar Biometric Update – Adult (Quality / Periodic) done at the Aadhaar Centre with fresh biometric capture.</t>
  </si>
  <si>
    <t xml:space="preserve">Step 1 → Bring your Aadhaar card.
Step 2 → Operator checks the current biometric status in Aadhaar.
Step 3 → New biometric – adult (quality / periodic) are captured.
Step 4 → Details are reviewed and submitted.
Step 5 → Collect the acknowledgement slip (URN) and track the update.</t>
  </si>
  <si>
    <t xml:space="preserve">aadhaar-biometric-update-adult-quality-periodic</t>
  </si>
  <si>
    <t xml:space="preserve">Aadhaar Biometric Update – Adult (Quality / Periodic) Service | Devmobile Stores</t>
  </si>
  <si>
    <t xml:space="preserve">Aadhaar Biometric Update – Adult (Quality / Periodic) (आधार बायोमेट्रिक अपडेट – वयस्क (क्वालिटी / आवधिक)) at Devmobile Stores and Common Service Center &amp; Aadhaar Centre. Check required documents, charges and process before you visit.</t>
  </si>
  <si>
    <t xml:space="preserve">आधार बायोमेट्रिक अपडेट – वयस्क (क्वालिटी / आवधिक), आधार सेंटर, सेवा</t>
  </si>
  <si>
    <t xml:space="preserve">Aadhaar Biometric Update – Adult (Quality / Periodic), Aadhaar Centre, Devmobile Stores</t>
  </si>
  <si>
    <t xml:space="preserve">AAD-023</t>
  </si>
  <si>
    <t xml:space="preserve">Aadhaar Biometric Lock / Unlock Assistance</t>
  </si>
  <si>
    <t xml:space="preserve">आधार बायोमेट्रिक लॉक / अनलॉक सहायता</t>
  </si>
  <si>
    <t xml:space="preserve">Get Aadhaar Biometric Lock / Unlock Assistance done at our Aadhaar Centre.</t>
  </si>
  <si>
    <t xml:space="preserve">Assistance with aadhaar biometric lock / unlock assistance through the UIDAI portal.</t>
  </si>
  <si>
    <t xml:space="preserve">Aadhaar holders with a mobile number linked to Aadhaar.</t>
  </si>
  <si>
    <t xml:space="preserve">Step 1 → Bring your Aadhaar number and the mobile number linked with Aadhaar.
Step 2 → Operator opens the UIDAI service for 'Aadhaar Biometric Lock / Unlock Assistance'.
Step 3 → OTP is sent to your linked mobile and entered.
Step 4 → Service is completed and the result is downloaded / shown to you.
Step 5 → Pay the assistance charge.</t>
  </si>
  <si>
    <t xml:space="preserve">15–30 Minutes</t>
  </si>
  <si>
    <t xml:space="preserve">UIDAI portal / mAadhaar</t>
  </si>
  <si>
    <t xml:space="preserve">aadhaar-biometric-lock-unlock-assistance</t>
  </si>
  <si>
    <t xml:space="preserve">Q1: What if my mobile is not linked?
A1: Some online services need OTP; the mobile must first be updated at an Aadhaar Centre.</t>
  </si>
  <si>
    <t xml:space="preserve">Portal availability and OTP delivery depend on UIDAI.</t>
  </si>
  <si>
    <t xml:space="preserve">Done via UIDAI portal / mAadhaar with OTP</t>
  </si>
  <si>
    <t xml:space="preserve">Aadhaar Biometric Lock / Unlock Assistance Service | Devmobile Stores</t>
  </si>
  <si>
    <t xml:space="preserve">Aadhaar Biometric Lock / Unlock Assistance (आधार बायोमेट्रिक लॉक / अनलॉक सहायता) at Devmobile Stores and Common Service Center &amp; Aadhaar Centre. Check required documents, charges and process before you visit.</t>
  </si>
  <si>
    <t xml:space="preserve">आधार बायोमेट्रिक लॉक / अनलॉक सहायता, आधार सेंटर, सेवा</t>
  </si>
  <si>
    <t xml:space="preserve">Aadhaar Biometric Lock / Unlock Assistance, Aadhaar Centre, Devmobile Stores</t>
  </si>
  <si>
    <t xml:space="preserve">AAD-024</t>
  </si>
  <si>
    <t xml:space="preserve">Document Update</t>
  </si>
  <si>
    <t xml:space="preserve">Aadhaar Document Update (Identity &amp; Address Proof)</t>
  </si>
  <si>
    <t xml:space="preserve">आधार दस्तावेज़ अपडेट (पहचान व पता प्रमाण)</t>
  </si>
  <si>
    <t xml:space="preserve">Get Aadhaar Document Update (Identity &amp; Address Proof) done at our Aadhaar Centre.</t>
  </si>
  <si>
    <t xml:space="preserve">Update the supporting identity and address documents linked to your Aadhaar.</t>
  </si>
  <si>
    <t xml:space="preserve">Aadhaar holders updating identity / address documents (e.g. older Aadhaar).</t>
  </si>
  <si>
    <t xml:space="preserve">Step 1 → Bring Aadhaar card with original identity and address proof.
Step 2 → Operator scans the documents.
Step 3 → Biometric authentication of the Aadhaar holder.
Step 4 → Submit and collect the acknowledgement (URN).</t>
  </si>
  <si>
    <t xml:space="preserve">aadhaar-document-update-identity-address-proof</t>
  </si>
  <si>
    <t xml:space="preserve">📄</t>
  </si>
  <si>
    <t xml:space="preserve">Can also be done online via myAadhaar portal if the customer prefers | Set to Available as per owner's example; authorization still To Verify.</t>
  </si>
  <si>
    <t xml:space="preserve">Aadhaar Document Update (Identity &amp; Address Proof) Service | Devmobile Stores</t>
  </si>
  <si>
    <t xml:space="preserve">Aadhaar Document Update (Identity &amp; Address Proof) (आधार दस्तावेज़ अपडेट (पहचान व पता प्रमाण)) at Devmobile Stores and Common Service Center &amp; Aadhaar Centre. Check required documents, charges and process before you visit.</t>
  </si>
  <si>
    <t xml:space="preserve">आधार दस्तावेज़ अपडेट (पहचान व पता प्रमाण), आधार सेंटर, सेवा</t>
  </si>
  <si>
    <t xml:space="preserve">Aadhaar Document Update (Identity &amp; Address Proof), Aadhaar Centre, Devmobile Stores</t>
  </si>
  <si>
    <t xml:space="preserve">AAD-025</t>
  </si>
  <si>
    <t xml:space="preserve">Aadhaar Document Update – Online Assistance</t>
  </si>
  <si>
    <t xml:space="preserve">आधार दस्तावेज़ अपडेट – ऑनलाइन सहायता</t>
  </si>
  <si>
    <t xml:space="preserve">Get Aadhaar Document Update – Online Assistance done at our Aadhaar Centre.</t>
  </si>
  <si>
    <t xml:space="preserve">Assistance with aadhaar document update – online assistance through the UIDAI portal.</t>
  </si>
  <si>
    <t xml:space="preserve">Step 1 → Bring your Aadhaar number and the mobile number linked with Aadhaar.
Step 2 → Operator opens the UIDAI service for 'Aadhaar Document Update – Online Assistance'.
Step 3 → OTP is sent to your linked mobile and entered.
Step 4 → Service is completed and the result is downloaded / shown to you.
Step 5 → Pay the assistance charge.</t>
  </si>
  <si>
    <t xml:space="preserve">aadhaar-document-update-online-assistance</t>
  </si>
  <si>
    <t xml:space="preserve">Aadhaar Document Update – Online Assistance Service | Devmobile Stores</t>
  </si>
  <si>
    <t xml:space="preserve">Aadhaar Document Update – Online Assistance (आधार दस्तावेज़ अपडेट – ऑनलाइन सहायता) at Devmobile Stores and Common Service Center &amp; Aadhaar Centre. Check required documents, charges and process before you visit.</t>
  </si>
  <si>
    <t xml:space="preserve">आधार दस्तावेज़ अपडेट – ऑनलाइन सहायता, आधार सेंटर, सेवा</t>
  </si>
  <si>
    <t xml:space="preserve">Aadhaar Document Update – Online Assistance, Aadhaar Centre, Devmobile Stores</t>
  </si>
  <si>
    <t xml:space="preserve">AAD-026</t>
  </si>
  <si>
    <t xml:space="preserve">Download, Print &amp; Status</t>
  </si>
  <si>
    <t xml:space="preserve">Aadhaar Download Assistance (e-Aadhaar)</t>
  </si>
  <si>
    <t xml:space="preserve">आधार डाउनलोड सहायता (e-Aadhaar)</t>
  </si>
  <si>
    <t xml:space="preserve">Get Aadhaar Download Assistance (e-Aadhaar) done at our Aadhaar Centre.</t>
  </si>
  <si>
    <t xml:space="preserve">Assistance with aadhaar download assistance (e-aadhaar) through the UIDAI portal.</t>
  </si>
  <si>
    <t xml:space="preserve">Step 1 → Bring your Aadhaar number and the mobile number linked with Aadhaar.
Step 2 → Operator opens the UIDAI service for 'Aadhaar Download Assistance (e-Aadhaar)'.
Step 3 → OTP is sent to your linked mobile and entered.
Step 4 → Service is completed and the result is downloaded / shown to you.
Step 5 → Pay the assistance charge.</t>
  </si>
  <si>
    <t xml:space="preserve">aadhaar-download-assistance-e-aadhaar</t>
  </si>
  <si>
    <t xml:space="preserve">🖨️</t>
  </si>
  <si>
    <t xml:space="preserve">Needs registered mobile OTP or biometric route as per UIDAI portal</t>
  </si>
  <si>
    <t xml:space="preserve">Aadhaar Download Assistance (e-Aadhaar) Service | Devmobile Stores</t>
  </si>
  <si>
    <t xml:space="preserve">Aadhaar Download Assistance (e-Aadhaar) (आधार डाउनलोड सहायता (e-Aadhaar)) at Devmobile Stores and Common Service Center &amp; Aadhaar Centre. Check required documents, charges and process before you visit.</t>
  </si>
  <si>
    <t xml:space="preserve">आधार डाउनलोड सहायता (e-Aadhaar), आधार सेंटर, सेवा</t>
  </si>
  <si>
    <t xml:space="preserve">Aadhaar Download Assistance (e-Aadhaar), Aadhaar Centre, Devmobile Stores</t>
  </si>
  <si>
    <t xml:space="preserve">AAD-027</t>
  </si>
  <si>
    <t xml:space="preserve">Masked Aadhaar Download</t>
  </si>
  <si>
    <t xml:space="preserve">मास्क्ड आधार डाउनलोड</t>
  </si>
  <si>
    <t xml:space="preserve">Get Masked Aadhaar Download done at our Aadhaar Centre.</t>
  </si>
  <si>
    <t xml:space="preserve">Assistance with masked aadhaar download through the UIDAI portal.</t>
  </si>
  <si>
    <t xml:space="preserve">Step 1 → Bring your Aadhaar number and the mobile number linked with Aadhaar.
Step 2 → Operator opens the UIDAI service for 'Masked Aadhaar Download'.
Step 3 → OTP is sent to your linked mobile and entered.
Step 4 → Service is completed and the result is downloaded / shown to you.
Step 5 → Pay the assistance charge.</t>
  </si>
  <si>
    <t xml:space="preserve">masked-aadhaar-download</t>
  </si>
  <si>
    <t xml:space="preserve">Masked Aadhaar Download Service | Devmobile Stores</t>
  </si>
  <si>
    <t xml:space="preserve">Masked Aadhaar Download (मास्क्ड आधार डाउनलोड) at Devmobile Stores and Common Service Center &amp; Aadhaar Centre. Check required documents, charges and process before you visit.</t>
  </si>
  <si>
    <t xml:space="preserve">मास्क्ड आधार डाउनलोड, आधार सेंटर, सेवा</t>
  </si>
  <si>
    <t xml:space="preserve">Masked Aadhaar Download, Aadhaar Centre, Devmobile Stores</t>
  </si>
  <si>
    <t xml:space="preserve">AAD-028</t>
  </si>
  <si>
    <t xml:space="preserve">Aadhaar Print (Paper – Colour / B&amp;W Printout)</t>
  </si>
  <si>
    <t xml:space="preserve">आधार प्रिंट (पेपर – रंगीन / सादा)</t>
  </si>
  <si>
    <t xml:space="preserve">Get Aadhaar Print (Paper – Colour / B&amp;W Printout) done at our Aadhaar Centre.</t>
  </si>
  <si>
    <t xml:space="preserve">Printout of your e-Aadhaar in colour or black &amp; white.</t>
  </si>
  <si>
    <t xml:space="preserve">Not Applicable</t>
  </si>
  <si>
    <t xml:space="preserve">Any Aadhaar holder.</t>
  </si>
  <si>
    <t xml:space="preserve">Step 1 → Share your Aadhaar number (or e-Aadhaar file).
Step 2 → If download is needed, OTP is sent to your linked mobile.
Step 3 → e-Aadhaar is opened and printed in colour or black &amp; white.
Step 4 → Pay the print charge and collect the printout.</t>
  </si>
  <si>
    <t xml:space="preserve">5–10 Minutes</t>
  </si>
  <si>
    <t xml:space="preserve">N/A</t>
  </si>
  <si>
    <t xml:space="preserve">Shop Charge Only</t>
  </si>
  <si>
    <t xml:space="preserve">Both</t>
  </si>
  <si>
    <t xml:space="preserve">aadhaar-print-paper-colour-b-w-printout</t>
  </si>
  <si>
    <t xml:space="preserve">Q1: Is the printout valid?
A1: e-Aadhaar is valid as per UIDAI rules; ask if you need a masked copy.</t>
  </si>
  <si>
    <t xml:space="preserve">Printing part is shop work; charge as per your Printing rate</t>
  </si>
  <si>
    <t xml:space="preserve">Aadhaar Print (Paper – Colour / B&amp;W Printout) Service | Devmobile Stores</t>
  </si>
  <si>
    <t xml:space="preserve">Aadhaar Print (Paper – Colour / B&amp;W Printout) (आधार प्रिंट (पेपर – रंगीन / सादा)) at Devmobile Stores and Common Service Center &amp; Aadhaar Centre. Check required documents, charges and process before you visit.</t>
  </si>
  <si>
    <t xml:space="preserve">आधार प्रिंट (पेपर – रंगीन / सादा), आधार सेंटर, सेवा</t>
  </si>
  <si>
    <t xml:space="preserve">Aadhaar Print (Paper – Colour / B&amp;W Printout), Aadhaar Centre, Devmobile Stores</t>
  </si>
  <si>
    <t xml:space="preserve">Quick printout • Colour or B&amp;W</t>
  </si>
  <si>
    <t xml:space="preserve">Visit Shop</t>
  </si>
  <si>
    <t xml:space="preserve">AAD-029</t>
  </si>
  <si>
    <t xml:space="preserve">Aadhaar PVC Card Order Assistance</t>
  </si>
  <si>
    <t xml:space="preserve">आधार PVC कार्ड ऑर्डर सहायता</t>
  </si>
  <si>
    <t xml:space="preserve">Get Aadhaar PVC Card Order Assistance done at our Aadhaar Centre.</t>
  </si>
  <si>
    <t xml:space="preserve">Assistance with aadhaar pvc card order assistance through the UIDAI portal.</t>
  </si>
  <si>
    <t xml:space="preserve">Step 1 → Bring your Aadhaar number and the mobile number linked with Aadhaar.
Step 2 → Operator opens the UIDAI service for 'Aadhaar PVC Card Order Assistance'.
Step 3 → OTP is sent to your linked mobile and entered.
Step 4 → Service is completed and the result is downloaded / shown to you.
Step 5 → Pay the assistance charge.</t>
  </si>
  <si>
    <t xml:space="preserve">aadhaar-pvc-card-order-assistance</t>
  </si>
  <si>
    <t xml:space="preserve">Fee is paid to UIDAI on portal; verify current amount</t>
  </si>
  <si>
    <t xml:space="preserve">Aadhaar PVC Card Order Assistance Service | Devmobile Stores</t>
  </si>
  <si>
    <t xml:space="preserve">Aadhaar PVC Card Order Assistance (आधार PVC कार्ड ऑर्डर सहायता) at Devmobile Stores and Common Service Center &amp; Aadhaar Centre. Check required documents, charges and process before you visit.</t>
  </si>
  <si>
    <t xml:space="preserve">आधार PVC कार्ड ऑर्डर सहायता, आधार सेंटर, सेवा</t>
  </si>
  <si>
    <t xml:space="preserve">Aadhaar PVC Card Order Assistance, Aadhaar Centre, Devmobile Stores</t>
  </si>
  <si>
    <t xml:space="preserve">AAD-030</t>
  </si>
  <si>
    <t xml:space="preserve">Aadhaar Enrolment Status Check (EID)</t>
  </si>
  <si>
    <t xml:space="preserve">आधार नामांकन स्थिति जाँच (EID)</t>
  </si>
  <si>
    <t xml:space="preserve">Get Aadhaar Enrolment Status Check (EID) done at our Aadhaar Centre.</t>
  </si>
  <si>
    <t xml:space="preserve">Aadhaar Enrolment Status Check (EID) using the UIDAI portal.</t>
  </si>
  <si>
    <t xml:space="preserve">Anyone with an EID / URN slip.</t>
  </si>
  <si>
    <t xml:space="preserve">Step 1 → Share the enrolment (EID) or update (URN) number from your slip.
Step 2 → Operator checks the status on the UIDAI portal.
Step 3 → Result is shown or printed for you.</t>
  </si>
  <si>
    <t xml:space="preserve">UIDAI portal</t>
  </si>
  <si>
    <t xml:space="preserve">aadhaar-enrolment-status-check-eid</t>
  </si>
  <si>
    <t xml:space="preserve">Please confirm availability with the shop before visiting.</t>
  </si>
  <si>
    <t xml:space="preserve">Aadhaar Enrolment Status Check (EID) Service | Devmobile Stores</t>
  </si>
  <si>
    <t xml:space="preserve">Aadhaar Enrolment Status Check (EID) (आधार नामांकन स्थिति जाँच (EID)) at Devmobile Stores and Common Service Center &amp; Aadhaar Centre. Check required documents, charges and process before you visit.</t>
  </si>
  <si>
    <t xml:space="preserve">आधार नामांकन स्थिति जाँच (EID), आधार सेंटर, सेवा</t>
  </si>
  <si>
    <t xml:space="preserve">Aadhaar Enrolment Status Check (EID), Aadhaar Centre, Devmobile Stores</t>
  </si>
  <si>
    <t xml:space="preserve">AAD-031</t>
  </si>
  <si>
    <t xml:space="preserve">Aadhaar Update Request Status Check (URN)</t>
  </si>
  <si>
    <t xml:space="preserve">आधार अपडेट रिक्वेस्ट स्थिति जाँच (URN)</t>
  </si>
  <si>
    <t xml:space="preserve">Get Aadhaar Update Request Status Check (URN) done at our Aadhaar Centre.</t>
  </si>
  <si>
    <t xml:space="preserve">Aadhaar Update Request Status Check (URN) using the UIDAI portal.</t>
  </si>
  <si>
    <t xml:space="preserve">aadhaar-update-request-status-check-urn</t>
  </si>
  <si>
    <t xml:space="preserve">Aadhaar Update Request Status Check (URN) Service | Devmobile Stores</t>
  </si>
  <si>
    <t xml:space="preserve">Aadhaar Update Request Status Check (URN) (आधार अपडेट रिक्वेस्ट स्थिति जाँच (URN)) at Devmobile Stores and Common Service Center &amp; Aadhaar Centre. Check required documents, charges and process before you visit.</t>
  </si>
  <si>
    <t xml:space="preserve">आधार अपडेट रिक्वेस्ट स्थिति जाँच (URN), आधार सेंटर, सेवा</t>
  </si>
  <si>
    <t xml:space="preserve">Aadhaar Update Request Status Check (URN), Aadhaar Centre, Devmobile Stores</t>
  </si>
  <si>
    <t xml:space="preserve">AAD-032</t>
  </si>
  <si>
    <t xml:space="preserve">Aadhaar Lost UID / EID Retrieval Assistance</t>
  </si>
  <si>
    <t xml:space="preserve">खोया आधार नंबर / EID पुनः प्राप्ति सहायता</t>
  </si>
  <si>
    <t xml:space="preserve">Get Aadhaar Lost UID / EID Retrieval Assistance done at our Aadhaar Centre.</t>
  </si>
  <si>
    <t xml:space="preserve">Assistance with aadhaar lost uid / eid retrieval assistance through the UIDAI portal.</t>
  </si>
  <si>
    <t xml:space="preserve">Step 1 → Bring your Aadhaar number and the mobile number linked with Aadhaar.
Step 2 → Operator opens the UIDAI service for 'Aadhaar Lost UID / EID Retrieval Assistance'.
Step 3 → OTP is sent to your linked mobile and entered.
Step 4 → Service is completed and the result is downloaded / shown to you.
Step 5 → Pay the assistance charge.</t>
  </si>
  <si>
    <t xml:space="preserve">aadhaar-lost-uid-eid-retrieval-assistance</t>
  </si>
  <si>
    <t xml:space="preserve">Needs registered mobile or email</t>
  </si>
  <si>
    <t xml:space="preserve">Aadhaar Lost UID / EID Retrieval Assistance Service | Devmobile Stores</t>
  </si>
  <si>
    <t xml:space="preserve">Aadhaar Lost UID / EID Retrieval Assistance (खोया आधार नंबर / EID पुनः प्राप्ति सहायता) at Devmobile Stores and Common Service Center &amp; Aadhaar Centre. Check required documents, charges and process before you visit.</t>
  </si>
  <si>
    <t xml:space="preserve">खोया आधार नंबर / EID पुनः प्राप्ति सहायता, आधार सेंटर, सेवा</t>
  </si>
  <si>
    <t xml:space="preserve">Aadhaar Lost UID / EID Retrieval Assistance, Aadhaar Centre, Devmobile Stores</t>
  </si>
  <si>
    <t xml:space="preserve">AAD-033</t>
  </si>
  <si>
    <t xml:space="preserve">Aadhaar Virtual ID (VID) Generation Assistance</t>
  </si>
  <si>
    <t xml:space="preserve">आधार वर्चुअल ID (VID) निर्माण सहायता</t>
  </si>
  <si>
    <t xml:space="preserve">Get Aadhaar Virtual ID (VID) Generation Assistance done at our Aadhaar Centre.</t>
  </si>
  <si>
    <t xml:space="preserve">Assistance with aadhaar virtual id (vid) generation assistance through the UIDAI portal.</t>
  </si>
  <si>
    <t xml:space="preserve">Step 1 → Bring your Aadhaar number and the mobile number linked with Aadhaar.
Step 2 → Operator opens the UIDAI service for 'Aadhaar Virtual ID (VID) Generation Assistance'.
Step 3 → OTP is sent to your linked mobile and entered.
Step 4 → Service is completed and the result is downloaded / shown to you.
Step 5 → Pay the assistance charge.</t>
  </si>
  <si>
    <t xml:space="preserve">aadhaar-virtual-id-vid-generation-assistance</t>
  </si>
  <si>
    <t xml:space="preserve">Aadhaar Virtual ID (VID) Generation Assistance Service | Devmobile Stores</t>
  </si>
  <si>
    <t xml:space="preserve">Aadhaar Virtual ID (VID) Generation Assistance (आधार वर्चुअल ID (VID) निर्माण सहायता) at Devmobile Stores and Common Service Center &amp; Aadhaar Centre. Check required documents, charges and process before you visit.</t>
  </si>
  <si>
    <t xml:space="preserve">आधार वर्चुअल ID (VID) निर्माण सहायता, आधार सेंटर, सेवा</t>
  </si>
  <si>
    <t xml:space="preserve">Aadhaar Virtual ID (VID) Generation Assistance, Aadhaar Centre, Devmobile Stores</t>
  </si>
  <si>
    <t xml:space="preserve">AAD-034</t>
  </si>
  <si>
    <t xml:space="preserve">Aadhaar Lock / Unlock Assistance</t>
  </si>
  <si>
    <t xml:space="preserve">आधार लॉक / अनलॉक सहायता</t>
  </si>
  <si>
    <t xml:space="preserve">Get Aadhaar Lock / Unlock Assistance done at our Aadhaar Centre.</t>
  </si>
  <si>
    <t xml:space="preserve">Assistance with aadhaar lock / unlock assistance through the UIDAI portal.</t>
  </si>
  <si>
    <t xml:space="preserve">Step 1 → Bring your Aadhaar number and the mobile number linked with Aadhaar.
Step 2 → Operator opens the UIDAI service for 'Aadhaar Lock / Unlock Assistance'.
Step 3 → OTP is sent to your linked mobile and entered.
Step 4 → Service is completed and the result is downloaded / shown to you.
Step 5 → Pay the assistance charge.</t>
  </si>
  <si>
    <t xml:space="preserve">aadhaar-lock-unlock-assistance</t>
  </si>
  <si>
    <t xml:space="preserve">Aadhaar Lock / Unlock Assistance Service | Devmobile Stores</t>
  </si>
  <si>
    <t xml:space="preserve">Aadhaar Lock / Unlock Assistance (आधार लॉक / अनलॉक सहायता) at Devmobile Stores and Common Service Center &amp; Aadhaar Centre. Check required documents, charges and process before you visit.</t>
  </si>
  <si>
    <t xml:space="preserve">आधार लॉक / अनलॉक सहायता, आधार सेंटर, सेवा</t>
  </si>
  <si>
    <t xml:space="preserve">Aadhaar Lock / Unlock Assistance, Aadhaar Centre, Devmobile Stores</t>
  </si>
  <si>
    <t xml:space="preserve">AAD-035</t>
  </si>
  <si>
    <t xml:space="preserve">Aadhaar Authentication History Check</t>
  </si>
  <si>
    <t xml:space="preserve">आधार ऑथेंटिकेशन हिस्ट्री जाँच</t>
  </si>
  <si>
    <t xml:space="preserve">Get Aadhaar Authentication History Check done at our Aadhaar Centre.</t>
  </si>
  <si>
    <t xml:space="preserve">Assistance with aadhaar authentication history check through the UIDAI portal.</t>
  </si>
  <si>
    <t xml:space="preserve">Step 1 → Bring your Aadhaar number and the mobile number linked with Aadhaar.
Step 2 → Operator opens the UIDAI service for 'Aadhaar Authentication History Check'.
Step 3 → OTP is sent to your linked mobile and entered.
Step 4 → Service is completed and the result is downloaded / shown to you.
Step 5 → Pay the assistance charge.</t>
  </si>
  <si>
    <t xml:space="preserve">aadhaar-authentication-history-check</t>
  </si>
  <si>
    <t xml:space="preserve">Aadhaar Authentication History Check Service | Devmobile Stores</t>
  </si>
  <si>
    <t xml:space="preserve">Aadhaar Authentication History Check (आधार ऑथेंटिकेशन हिस्ट्री जाँच) at Devmobile Stores and Common Service Center &amp; Aadhaar Centre. Check required documents, charges and process before you visit.</t>
  </si>
  <si>
    <t xml:space="preserve">आधार ऑथेंटिकेशन हिस्ट्री जाँच, आधार सेंटर, सेवा</t>
  </si>
  <si>
    <t xml:space="preserve">Aadhaar Authentication History Check, Aadhaar Centre, Devmobile Stores</t>
  </si>
  <si>
    <t xml:space="preserve">AAD-036</t>
  </si>
  <si>
    <t xml:space="preserve">Aadhaar Mobile / Email Link Check</t>
  </si>
  <si>
    <t xml:space="preserve">आधार मोबाइल / ईमेल लिंक जाँच</t>
  </si>
  <si>
    <t xml:space="preserve">Get Aadhaar Mobile / Email Link Check done at our Aadhaar Centre.</t>
  </si>
  <si>
    <t xml:space="preserve">Assistance with aadhaar mobile / email link check through the UIDAI portal.</t>
  </si>
  <si>
    <t xml:space="preserve">Step 1 → Bring your Aadhaar number and the mobile number linked with Aadhaar.
Step 2 → Operator opens the UIDAI service for 'Aadhaar Mobile / Email Link Check'.
Step 3 → OTP is sent to your linked mobile and entered.
Step 4 → Service is completed and the result is downloaded / shown to you.
Step 5 → Pay the assistance charge.</t>
  </si>
  <si>
    <t xml:space="preserve">aadhaar-mobile-email-link-check</t>
  </si>
  <si>
    <t xml:space="preserve">Aadhaar Mobile / Email Link Check Service | Devmobile Stores</t>
  </si>
  <si>
    <t xml:space="preserve">Aadhaar Mobile / Email Link Check (आधार मोबाइल / ईमेल लिंक जाँच) at Devmobile Stores and Common Service Center &amp; Aadhaar Centre. Check required documents, charges and process before you visit.</t>
  </si>
  <si>
    <t xml:space="preserve">आधार मोबाइल / ईमेल लिंक जाँच, आधार सेंटर, सेवा</t>
  </si>
  <si>
    <t xml:space="preserve">Aadhaar Mobile / Email Link Check, Aadhaar Centre, Devmobile Stores</t>
  </si>
  <si>
    <t xml:space="preserve">AAD-037</t>
  </si>
  <si>
    <t xml:space="preserve">Aadhaar Number Verification</t>
  </si>
  <si>
    <t xml:space="preserve">आधार नंबर सत्यापन</t>
  </si>
  <si>
    <t xml:space="preserve">Get Aadhaar Number Verification done at our Aadhaar Centre.</t>
  </si>
  <si>
    <t xml:space="preserve">Assistance with aadhaar number verification through the UIDAI portal.</t>
  </si>
  <si>
    <t xml:space="preserve">Step 1 → Bring your Aadhaar number and the mobile number linked with Aadhaar.
Step 2 → Operator opens the UIDAI service for 'Aadhaar Number Verification'.
Step 3 → OTP is sent to your linked mobile and entered.
Step 4 → Service is completed and the result is downloaded / shown to you.
Step 5 → Pay the assistance charge.</t>
  </si>
  <si>
    <t xml:space="preserve">aadhaar-number-verification</t>
  </si>
  <si>
    <t xml:space="preserve">Aadhaar Number Verification Service | Devmobile Stores</t>
  </si>
  <si>
    <t xml:space="preserve">Aadhaar Number Verification (आधार नंबर सत्यापन) at Devmobile Stores and Common Service Center &amp; Aadhaar Centre. Check required documents, charges and process before you visit.</t>
  </si>
  <si>
    <t xml:space="preserve">आधार नंबर सत्यापन, आधार सेंटर, सेवा</t>
  </si>
  <si>
    <t xml:space="preserve">Aadhaar Number Verification, Aadhaar Centre, Devmobile Stores</t>
  </si>
  <si>
    <t xml:space="preserve">AAD-038</t>
  </si>
  <si>
    <t xml:space="preserve">Aadhaar Offline eKYC (XML / QR) Download Assistance</t>
  </si>
  <si>
    <t xml:space="preserve">आधार Offline eKYC (XML / QR) डाउनलोड सहायता</t>
  </si>
  <si>
    <t xml:space="preserve">Get Aadhaar Offline eKYC (XML / QR) Download Assistance done at our Aadhaar Centre.</t>
  </si>
  <si>
    <t xml:space="preserve">Assistance with aadhaar offline ekyc (xml / qr) download assistance through the UIDAI portal.</t>
  </si>
  <si>
    <t xml:space="preserve">Step 1 → Bring your Aadhaar number and the mobile number linked with Aadhaar.
Step 2 → Operator opens the UIDAI service for 'Aadhaar Offline eKYC (XML / QR) Download Assistance'.
Step 3 → OTP is sent to your linked mobile and entered.
Step 4 → Service is completed and the result is downloaded / shown to you.
Step 5 → Pay the assistance charge.</t>
  </si>
  <si>
    <t xml:space="preserve">aadhaar-offline-ekyc-xml-qr-download-assistance</t>
  </si>
  <si>
    <t xml:space="preserve">Aadhaar Offline eKYC (XML / QR) Download Assistance Service | Devmobile Stores</t>
  </si>
  <si>
    <t xml:space="preserve">Aadhaar Offline eKYC (XML / QR) Download Assistance (आधार Offline eKYC (XML / QR) डाउनलोड सहायता) at Devmobile Stores and Common Service Center &amp; Aadhaar Centre. Check required documents, charges and process before you visit.</t>
  </si>
  <si>
    <t xml:space="preserve">आधार Offline eKYC (XML / QR) डाउनलोड सहायता, आधार सेंटर, सेवा</t>
  </si>
  <si>
    <t xml:space="preserve">Aadhaar Offline eKYC (XML / QR) Download Assistance, Aadhaar Centre, Devmobile Stores</t>
  </si>
  <si>
    <t xml:space="preserve">AAD-039</t>
  </si>
  <si>
    <t xml:space="preserve">Aadhaar–Bank Seeding Status Check (NPCI)</t>
  </si>
  <si>
    <t xml:space="preserve">आधार–बैंक सीडिंग स्थिति जाँच (NPCI)</t>
  </si>
  <si>
    <t xml:space="preserve">Get Aadhaar–Bank Seeding Status Check (NPCI) done at our Aadhaar Centre.</t>
  </si>
  <si>
    <t xml:space="preserve">Aadhaar–Bank Seeding Status Check (NPCI) using the UIDAI portal.</t>
  </si>
  <si>
    <t xml:space="preserve">aadhaar-bank-seeding-status-check-npci</t>
  </si>
  <si>
    <t xml:space="preserve">Aadhaar–Bank Seeding Status Check (NPCI) Service | Devmobile Stores</t>
  </si>
  <si>
    <t xml:space="preserve">Aadhaar–Bank Seeding Status Check (NPCI) (आधार–बैंक सीडिंग स्थिति जाँच (NPCI)) at Devmobile Stores and Common Service Center &amp; Aadhaar Centre. Check required documents, charges and process before you visit.</t>
  </si>
  <si>
    <t xml:space="preserve">आधार–बैंक सीडिंग स्थिति जाँच (NPCI), आधार सेंटर, सेवा</t>
  </si>
  <si>
    <t xml:space="preserve">Aadhaar–Bank Seeding Status Check (NPCI), Aadhaar Centre, Devmobile Stores</t>
  </si>
  <si>
    <t xml:space="preserve">AAD-040</t>
  </si>
  <si>
    <t xml:space="preserve">Aadhaar Update Appointment Booking Assistance</t>
  </si>
  <si>
    <t xml:space="preserve">आधार अपडेट अपॉइंटमेंट बुकिंग सहायता</t>
  </si>
  <si>
    <t xml:space="preserve">Get Aadhaar Update Appointment Booking Assistance done at our Aadhaar Centre.</t>
  </si>
  <si>
    <t xml:space="preserve">Assistance with aadhaar update appointment booking assistance through the UIDAI portal.</t>
  </si>
  <si>
    <t xml:space="preserve">Step 1 → Bring your Aadhaar number and the mobile number linked with Aadhaar.
Step 2 → Operator opens the UIDAI service for 'Aadhaar Update Appointment Booking Assistance'.
Step 3 → OTP is sent to your linked mobile and entered.
Step 4 → Service is completed and the result is downloaded / shown to you.
Step 5 → Pay the assistance charge.</t>
  </si>
  <si>
    <t xml:space="preserve">aadhaar-update-appointment-booking-assistance</t>
  </si>
  <si>
    <t xml:space="preserve">Aadhaar Update Appointment Booking Assistance Service | Devmobile Stores</t>
  </si>
  <si>
    <t xml:space="preserve">Aadhaar Update Appointment Booking Assistance (आधार अपडेट अपॉइंटमेंट बुकिंग सहायता) at Devmobile Stores and Common Service Center &amp; Aadhaar Centre. Check required documents, charges and process before you visit.</t>
  </si>
  <si>
    <t xml:space="preserve">आधार अपडेट अपॉइंटमेंट बुकिंग सहायता, आधार सेंटर, सेवा</t>
  </si>
  <si>
    <t xml:space="preserve">Aadhaar Update Appointment Booking Assistance, Aadhaar Centre, Devmobile Stores</t>
  </si>
  <si>
    <t xml:space="preserve">AAD-041</t>
  </si>
  <si>
    <t xml:space="preserve">mAadhaar App Setup Assistance</t>
  </si>
  <si>
    <t xml:space="preserve">mAadhaar ऐप सेटअप सहायता</t>
  </si>
  <si>
    <t xml:space="preserve">Get mAadhaar App Setup Assistance done at our Aadhaar Centre.</t>
  </si>
  <si>
    <t xml:space="preserve">Assistance with maadhaar app setup assistance through the UIDAI portal.</t>
  </si>
  <si>
    <t xml:space="preserve">Step 1 → Bring your Aadhaar number and the mobile number linked with Aadhaar.
Step 2 → Operator opens the UIDAI service for 'mAadhaar App Setup Assistance'.
Step 3 → OTP is sent to your linked mobile and entered.
Step 4 → Service is completed and the result is downloaded / shown to you.
Step 5 → Pay the assistance charge.</t>
  </si>
  <si>
    <t xml:space="preserve">maadhaar-app-setup-assistance</t>
  </si>
  <si>
    <t xml:space="preserve">mAadhaar App Setup Assistance Service | Devmobile Stores</t>
  </si>
  <si>
    <t xml:space="preserve">mAadhaar App Setup Assistance (mAadhaar ऐप सेटअप सहायता) at Devmobile Stores and Common Service Center &amp; Aadhaar Centre. Check required documents, charges and process before you visit.</t>
  </si>
  <si>
    <t xml:space="preserve">mAadhaar ऐप सेटअप सहायता, आधार सेंटर, सेवा</t>
  </si>
  <si>
    <t xml:space="preserve">mAadhaar App Setup Assistance, Aadhaar Centre, Devmobile Stores</t>
  </si>
  <si>
    <t xml:space="preserve">AAD-042</t>
  </si>
  <si>
    <t xml:space="preserve">Aadhaar Complaint / Grievance Filing Assistance</t>
  </si>
  <si>
    <t xml:space="preserve">आधार शिकायत दर्ज करने में सहायता</t>
  </si>
  <si>
    <t xml:space="preserve">Get Aadhaar Complaint / Grievance Filing Assistance done at our Aadhaar Centre.</t>
  </si>
  <si>
    <t xml:space="preserve">Assistance with aadhaar complaint / grievance filing assistance through the UIDAI portal.</t>
  </si>
  <si>
    <t xml:space="preserve">Step 1 → Bring your Aadhaar number and the mobile number linked with Aadhaar.
Step 2 → Operator opens the UIDAI service for 'Aadhaar Complaint / Grievance Filing Assistance'.
Step 3 → OTP is sent to your linked mobile and entered.
Step 4 → Service is completed and the result is downloaded / shown to you.
Step 5 → Pay the assistance charge.</t>
  </si>
  <si>
    <t xml:space="preserve">aadhaar-complaint-grievance-filing-assistance</t>
  </si>
  <si>
    <t xml:space="preserve">Aadhaar Complaint / Grievance Filing Assistance Service | Devmobile Stores</t>
  </si>
  <si>
    <t xml:space="preserve">Aadhaar Complaint / Grievance Filing Assistance (आधार शिकायत दर्ज करने में सहायता) at Devmobile Stores and Common Service Center &amp; Aadhaar Centre. Check required documents, charges and process before you visit.</t>
  </si>
  <si>
    <t xml:space="preserve">आधार शिकायत दर्ज करने में सहायता, आधार सेंटर, सेवा</t>
  </si>
  <si>
    <t xml:space="preserve">Aadhaar Complaint / Grievance Filing Assistance, Aadhaar Centre, Devmobile Stores</t>
  </si>
  <si>
    <t xml:space="preserve">HDF-001</t>
  </si>
  <si>
    <t xml:space="preserve">HDFC Bank BC Point</t>
  </si>
  <si>
    <t xml:space="preserve">Banking Services</t>
  </si>
  <si>
    <t xml:space="preserve">Cash &amp; Balance Services</t>
  </si>
  <si>
    <t xml:space="preserve">HDFC BC – Cash Deposit</t>
  </si>
  <si>
    <t xml:space="preserve">HDFC BC – नकद जमा</t>
  </si>
  <si>
    <t xml:space="preserve">HDFC BC – Cash Deposit at our HDFC Bank BC Point.</t>
  </si>
  <si>
    <t xml:space="preserve">Deposit cash into a HDFC Bank account through our BC Point.</t>
  </si>
  <si>
    <t xml:space="preserve">HDFC Bank account holders (rules as per bank).</t>
  </si>
  <si>
    <t xml:space="preserve">Step 1 → Give the account number / details and the cash amount.
Step 2 → Operator enters the details on the BC device.
Step 3 → Customer verifies the amount and gives authentication if asked.
Step 4 → Cash is accepted and a receipt / SMS is generated.</t>
  </si>
  <si>
    <t xml:space="preserve">hdfc-bc-cash-deposit</t>
  </si>
  <si>
    <t xml:space="preserve">💵</t>
  </si>
  <si>
    <t xml:space="preserve">Q1: Is there a deposit limit?
A1: Limits are set by the bank; ask at the counter.</t>
  </si>
  <si>
    <t xml:space="preserve">Depends on your HDFC Bank BC agreement and activated services. Confirm with the shop before visiting.</t>
  </si>
  <si>
    <t xml:space="preserve">HDFC BC – Cash Deposit Service | Devmobile Stores</t>
  </si>
  <si>
    <t xml:space="preserve">HDFC BC – Cash Deposit (HDFC BC – नकद जमा) at Devmobile Stores and Common Service Center &amp; Aadhaar Centre. Check required documents, charges and process before you visit.</t>
  </si>
  <si>
    <t xml:space="preserve">HDFC BC – नकद जमा, HDFC बैंक BC पॉइंट, सेवा</t>
  </si>
  <si>
    <t xml:space="preserve">HDFC BC – Cash Deposit, HDFC Bank BC Point, Devmobile Stores</t>
  </si>
  <si>
    <t xml:space="preserve">HDF-002</t>
  </si>
  <si>
    <t xml:space="preserve">HDFC BC – Cash Withdrawal</t>
  </si>
  <si>
    <t xml:space="preserve">HDFC BC – नकद निकासी</t>
  </si>
  <si>
    <t xml:space="preserve">HDFC BC – Cash Withdrawal at our HDFC Bank BC Point.</t>
  </si>
  <si>
    <t xml:space="preserve">Withdraw cash from a HDFC Bank account at our BC Point.</t>
  </si>
  <si>
    <t xml:space="preserve">Step 1 → Tell the amount and give Aadhaar / account details.
Step 2 → Operator initiates the withdrawal on the BC device.
Step 3 → Customer authenticates (fingerprint / PIN as applicable).
Step 4 → Cash is handed over with receipt / SMS.</t>
  </si>
  <si>
    <t xml:space="preserve">hdfc-bc-cash-withdrawal</t>
  </si>
  <si>
    <t xml:space="preserve">Q1: Is there a daily limit?
A1: Yes, limits are set by the bank.</t>
  </si>
  <si>
    <t xml:space="preserve">HDFC BC – Cash Withdrawal Service | Devmobile Stores</t>
  </si>
  <si>
    <t xml:space="preserve">HDFC BC – Cash Withdrawal (HDFC BC – नकद निकासी) at Devmobile Stores and Common Service Center &amp; Aadhaar Centre. Check required documents, charges and process before you visit.</t>
  </si>
  <si>
    <t xml:space="preserve">HDFC BC – नकद निकासी, HDFC बैंक BC पॉइंट, सेवा</t>
  </si>
  <si>
    <t xml:space="preserve">HDFC BC – Cash Withdrawal, HDFC Bank BC Point, Devmobile Stores</t>
  </si>
  <si>
    <t xml:space="preserve">HDF-003</t>
  </si>
  <si>
    <t xml:space="preserve">HDFC BC – Balance Enquiry</t>
  </si>
  <si>
    <t xml:space="preserve">HDFC BC – बैलेंस पूछताछ</t>
  </si>
  <si>
    <t xml:space="preserve">HDFC BC – Balance Enquiry at our HDFC Bank BC Point.</t>
  </si>
  <si>
    <t xml:space="preserve">Assistance with hdfc bc – balance enquiry.</t>
  </si>
  <si>
    <t xml:space="preserve">Any customer who can provide the listed documents.</t>
  </si>
  <si>
    <t xml:space="preserve">Step 1 → Bring your account details and Aadhaar.
Step 2 → Operator checks how 'HDFC BC – Balance Enquiry' can be handled through the BC.
Step 3 → Request is submitted through the BC channel or the bank branch is advised.
Step 4 → Collect the acknowledgement.</t>
  </si>
  <si>
    <t xml:space="preserve">hdfc-bc-balance-enquiry</t>
  </si>
  <si>
    <t xml:space="preserve">HDFC BC – Balance Enquiry Service | Devmobile Stores</t>
  </si>
  <si>
    <t xml:space="preserve">HDFC BC – Balance Enquiry (HDFC BC – बैलेंस पूछताछ) at Devmobile Stores and Common Service Center &amp; Aadhaar Centre. Check required documents, charges and process before you visit.</t>
  </si>
  <si>
    <t xml:space="preserve">HDFC BC – बैलेंस पूछताछ, HDFC बैंक BC पॉइंट, सेवा</t>
  </si>
  <si>
    <t xml:space="preserve">HDFC BC – Balance Enquiry, HDFC Bank BC Point, Devmobile Stores</t>
  </si>
  <si>
    <t xml:space="preserve">HDF-004</t>
  </si>
  <si>
    <t xml:space="preserve">HDFC BC – Mini Statement</t>
  </si>
  <si>
    <t xml:space="preserve">HDFC BC – मिनी स्टेटमेंट</t>
  </si>
  <si>
    <t xml:space="preserve">HDFC BC – Mini Statement at our HDFC Bank BC Point.</t>
  </si>
  <si>
    <t xml:space="preserve">Assistance with hdfc bc – mini statement.</t>
  </si>
  <si>
    <t xml:space="preserve">Step 1 → Bring your account details and Aadhaar.
Step 2 → Operator checks how 'HDFC BC – Mini Statement' can be handled through the BC.
Step 3 → Request is submitted through the BC channel or the bank branch is advised.
Step 4 → Collect the acknowledgement.</t>
  </si>
  <si>
    <t xml:space="preserve">hdfc-bc-mini-statement</t>
  </si>
  <si>
    <t xml:space="preserve">HDFC BC – Mini Statement Service | Devmobile Stores</t>
  </si>
  <si>
    <t xml:space="preserve">HDFC BC – Mini Statement (HDFC BC – मिनी स्टेटमेंट) at Devmobile Stores and Common Service Center &amp; Aadhaar Centre. Check required documents, charges and process before you visit.</t>
  </si>
  <si>
    <t xml:space="preserve">HDFC BC – मिनी स्टेटमेंट, HDFC बैंक BC पॉइंट, सेवा</t>
  </si>
  <si>
    <t xml:space="preserve">HDFC BC – Mini Statement, HDFC Bank BC Point, Devmobile Stores</t>
  </si>
  <si>
    <t xml:space="preserve">HDF-005</t>
  </si>
  <si>
    <t xml:space="preserve">AEPS / Biometric Banking</t>
  </si>
  <si>
    <t xml:space="preserve">HDFC BC – AEPS Cash Withdrawal</t>
  </si>
  <si>
    <t xml:space="preserve">HDFC BC – AEPS नकद निकासी</t>
  </si>
  <si>
    <t xml:space="preserve">HDFC BC – AEPS Cash Withdrawal at our HDFC Bank BC Point.</t>
  </si>
  <si>
    <t xml:space="preserve">AEPS cash withdrawal using Aadhaar and fingerprint.</t>
  </si>
  <si>
    <t xml:space="preserve">Customers with an Aadhaar-linked bank account.</t>
  </si>
  <si>
    <t xml:space="preserve">Step 1 → Give your Aadhaar number and select your bank.
Step 2 → Place your finger for biometric authentication.
Step 3 → Operator completes the cash withdrawal.
Step 4 → Collect cash / receipt as applicable.</t>
  </si>
  <si>
    <t xml:space="preserve">hdfc-bc-aeps-cash-withdrawal</t>
  </si>
  <si>
    <t xml:space="preserve">Q1: Does my bank account need to be Aadhaar-linked?
A1: Yes, AEPS works only when the account is linked with Aadhaar.</t>
  </si>
  <si>
    <t xml:space="preserve">Whether AEPS is enabled on your HDFC BC ID must be confirmed</t>
  </si>
  <si>
    <t xml:space="preserve">HDFC BC – AEPS Cash Withdrawal Service | Devmobile Stores</t>
  </si>
  <si>
    <t xml:space="preserve">HDFC BC – AEPS Cash Withdrawal (HDFC BC – AEPS नकद निकासी) at Devmobile Stores and Common Service Center &amp; Aadhaar Centre. Check required documents, charges and process before you visit.</t>
  </si>
  <si>
    <t xml:space="preserve">HDFC BC – AEPS नकद निकासी, HDFC बैंक BC पॉइंट, सेवा</t>
  </si>
  <si>
    <t xml:space="preserve">HDFC BC – AEPS Cash Withdrawal, HDFC Bank BC Point, Devmobile Stores</t>
  </si>
  <si>
    <t xml:space="preserve">HDF-006</t>
  </si>
  <si>
    <t xml:space="preserve">HDFC BC – AEPS Balance Enquiry</t>
  </si>
  <si>
    <t xml:space="preserve">HDFC BC – AEPS बैलेंस पूछताछ</t>
  </si>
  <si>
    <t xml:space="preserve">HDFC BC – AEPS Balance Enquiry at our HDFC Bank BC Point.</t>
  </si>
  <si>
    <t xml:space="preserve">AEPS balance enquiry using Aadhaar and fingerprint.</t>
  </si>
  <si>
    <t xml:space="preserve">Step 1 → Give your Aadhaar number and select your bank.
Step 2 → Place your finger for biometric authentication.
Step 3 → Operator completes the balance enquiry.
Step 4 → Collect cash / receipt as applicable.</t>
  </si>
  <si>
    <t xml:space="preserve">hdfc-bc-aeps-balance-enquiry</t>
  </si>
  <si>
    <t xml:space="preserve">HDFC BC – AEPS Balance Enquiry Service | Devmobile Stores</t>
  </si>
  <si>
    <t xml:space="preserve">HDFC BC – AEPS Balance Enquiry (HDFC BC – AEPS बैलेंस पूछताछ) at Devmobile Stores and Common Service Center &amp; Aadhaar Centre. Check required documents, charges and process before you visit.</t>
  </si>
  <si>
    <t xml:space="preserve">HDFC BC – AEPS बैलेंस पूछताछ, HDFC बैंक BC पॉइंट, सेवा</t>
  </si>
  <si>
    <t xml:space="preserve">HDFC BC – AEPS Balance Enquiry, HDFC Bank BC Point, Devmobile Stores</t>
  </si>
  <si>
    <t xml:space="preserve">HDF-007</t>
  </si>
  <si>
    <t xml:space="preserve">HDFC BC – AEPS Mini Statement</t>
  </si>
  <si>
    <t xml:space="preserve">HDFC BC – AEPS मिनी स्टेटमेंट</t>
  </si>
  <si>
    <t xml:space="preserve">HDFC BC – AEPS Mini Statement at our HDFC Bank BC Point.</t>
  </si>
  <si>
    <t xml:space="preserve">AEPS mini statement using Aadhaar and fingerprint.</t>
  </si>
  <si>
    <t xml:space="preserve">Step 1 → Give your Aadhaar number and select your bank.
Step 2 → Place your finger for biometric authentication.
Step 3 → Operator completes the mini statement.
Step 4 → Collect cash / receipt as applicable.</t>
  </si>
  <si>
    <t xml:space="preserve">hdfc-bc-aeps-mini-statement</t>
  </si>
  <si>
    <t xml:space="preserve">HDFC BC – AEPS Mini Statement Service | Devmobile Stores</t>
  </si>
  <si>
    <t xml:space="preserve">HDFC BC – AEPS Mini Statement (HDFC BC – AEPS मिनी स्टेटमेंट) at Devmobile Stores and Common Service Center &amp; Aadhaar Centre. Check required documents, charges and process before you visit.</t>
  </si>
  <si>
    <t xml:space="preserve">HDFC BC – AEPS मिनी स्टेटमेंट, HDFC बैंक BC पॉइंट, सेवा</t>
  </si>
  <si>
    <t xml:space="preserve">HDFC BC – AEPS Mini Statement, HDFC Bank BC Point, Devmobile Stores</t>
  </si>
  <si>
    <t xml:space="preserve">HDF-008</t>
  </si>
  <si>
    <t xml:space="preserve">HDFC BC – Biometric Banking (Fingerprint Authenticated)</t>
  </si>
  <si>
    <t xml:space="preserve">HDFC BC – बायोमेट्रिक बैंकिंग (फिंगरप्रिंट सत्यापित)</t>
  </si>
  <si>
    <t xml:space="preserve">HDFC BC – Biometric Banking (Fingerprint Authenticated) at our HDFC Bank BC Point.</t>
  </si>
  <si>
    <t xml:space="preserve">Banking transactions authenticated with fingerprint.</t>
  </si>
  <si>
    <t xml:space="preserve">Customers with Aadhaar-linked accounts.</t>
  </si>
  <si>
    <t xml:space="preserve">Step 1 → Give Aadhaar number and choose the transaction.
Step 2 → Fingerprint is verified on the device.
Step 3 → Transaction is completed and receipt / SMS is generated.</t>
  </si>
  <si>
    <t xml:space="preserve">hdfc-bc-biometric-banking-fingerprint-authenticated</t>
  </si>
  <si>
    <t xml:space="preserve">HDFC BC – Biometric Banking (Fingerprint Authenticated) Service | Devmobile Stores</t>
  </si>
  <si>
    <t xml:space="preserve">HDFC BC – Biometric Banking (Fingerprint Authenticated) (HDFC BC – बायोमेट्रिक बैंकिंग (फिंगरप्रिंट सत्यापित)) at Devmobile Stores and Common Service Center &amp; Aadhaar Centre. Check required documents, charges and process before you visit.</t>
  </si>
  <si>
    <t xml:space="preserve">HDFC BC – बायोमेट्रिक बैंकिंग (फिंगरप्रिंट सत्यापित), HDFC बैंक BC पॉइंट, सेवा</t>
  </si>
  <si>
    <t xml:space="preserve">HDFC BC – Biometric Banking (Fingerprint Authenticated), HDFC Bank BC Point, Devmobile Stores</t>
  </si>
  <si>
    <t xml:space="preserve">HDF-009</t>
  </si>
  <si>
    <t xml:space="preserve">Micro ATM</t>
  </si>
  <si>
    <t xml:space="preserve">HDFC BC – Micro ATM Cash Withdrawal</t>
  </si>
  <si>
    <t xml:space="preserve">HDFC BC – Micro ATM नकद निकासी</t>
  </si>
  <si>
    <t xml:space="preserve">HDFC BC – Micro ATM Cash Withdrawal at our HDFC Bank BC Point.</t>
  </si>
  <si>
    <t xml:space="preserve">HDFC BC – Micro ATM Cash Withdrawal using the Micro ATM device.</t>
  </si>
  <si>
    <t xml:space="preserve">Debit card holders.</t>
  </si>
  <si>
    <t xml:space="preserve">Step 1 → Bring your debit card.
Step 2 → Operator starts the Micro ATM transaction.
Step 3 → Swipe / insert card and enter your PIN yourself.
Step 4 → Collect cash / receipt.</t>
  </si>
  <si>
    <t xml:space="preserve">hdfc-bc-micro-atm-cash-withdrawal</t>
  </si>
  <si>
    <t xml:space="preserve">🏧</t>
  </si>
  <si>
    <t xml:space="preserve">Q1: Who enters the PIN?
A1: You should enter the PIN yourself on the device.</t>
  </si>
  <si>
    <t xml:space="preserve">Micro ATM device availability to be verified</t>
  </si>
  <si>
    <t xml:space="preserve">HDFC BC – Micro ATM Cash Withdrawal Service | Devmobile Stores</t>
  </si>
  <si>
    <t xml:space="preserve">HDFC BC – Micro ATM Cash Withdrawal (HDFC BC – Micro ATM नकद निकासी) at Devmobile Stores and Common Service Center &amp; Aadhaar Centre. Check required documents, charges and process before you visit.</t>
  </si>
  <si>
    <t xml:space="preserve">HDFC BC – Micro ATM नकद निकासी, HDFC बैंक BC पॉइंट, सेवा</t>
  </si>
  <si>
    <t xml:space="preserve">HDFC BC – Micro ATM Cash Withdrawal, HDFC Bank BC Point, Devmobile Stores</t>
  </si>
  <si>
    <t xml:space="preserve">HDF-010</t>
  </si>
  <si>
    <t xml:space="preserve">HDFC BC – Micro ATM Balance Enquiry</t>
  </si>
  <si>
    <t xml:space="preserve">HDFC BC – Micro ATM बैलेंस पूछताछ</t>
  </si>
  <si>
    <t xml:space="preserve">HDFC BC – Micro ATM Balance Enquiry at our HDFC Bank BC Point.</t>
  </si>
  <si>
    <t xml:space="preserve">HDFC BC – Micro ATM Balance Enquiry using the Micro ATM device.</t>
  </si>
  <si>
    <t xml:space="preserve">hdfc-bc-micro-atm-balance-enquiry</t>
  </si>
  <si>
    <t xml:space="preserve">HDFC BC – Micro ATM Balance Enquiry Service | Devmobile Stores</t>
  </si>
  <si>
    <t xml:space="preserve">HDFC BC – Micro ATM Balance Enquiry (HDFC BC – Micro ATM बैलेंस पूछताछ) at Devmobile Stores and Common Service Center &amp; Aadhaar Centre. Check required documents, charges and process before you visit.</t>
  </si>
  <si>
    <t xml:space="preserve">HDFC BC – Micro ATM बैलेंस पूछताछ, HDFC बैंक BC पॉइंट, सेवा</t>
  </si>
  <si>
    <t xml:space="preserve">HDFC BC – Micro ATM Balance Enquiry, HDFC Bank BC Point, Devmobile Stores</t>
  </si>
  <si>
    <t xml:space="preserve">HDF-011</t>
  </si>
  <si>
    <t xml:space="preserve">HDFC BC – Micro ATM Mini Statement</t>
  </si>
  <si>
    <t xml:space="preserve">HDFC BC – Micro ATM मिनी स्टेटमेंट</t>
  </si>
  <si>
    <t xml:space="preserve">HDFC BC – Micro ATM Mini Statement at our HDFC Bank BC Point.</t>
  </si>
  <si>
    <t xml:space="preserve">HDFC BC – Micro ATM Mini Statement using the Micro ATM device.</t>
  </si>
  <si>
    <t xml:space="preserve">hdfc-bc-micro-atm-mini-statement</t>
  </si>
  <si>
    <t xml:space="preserve">HDFC BC – Micro ATM Mini Statement Service | Devmobile Stores</t>
  </si>
  <si>
    <t xml:space="preserve">HDFC BC – Micro ATM Mini Statement (HDFC BC – Micro ATM मिनी स्टेटमेंट) at Devmobile Stores and Common Service Center &amp; Aadhaar Centre. Check required documents, charges and process before you visit.</t>
  </si>
  <si>
    <t xml:space="preserve">HDFC BC – Micro ATM मिनी स्टेटमेंट, HDFC बैंक BC पॉइंट, सेवा</t>
  </si>
  <si>
    <t xml:space="preserve">HDFC BC – Micro ATM Mini Statement, HDFC Bank BC Point, Devmobile Stores</t>
  </si>
  <si>
    <t xml:space="preserve">HDF-012</t>
  </si>
  <si>
    <t xml:space="preserve">Money Transfer</t>
  </si>
  <si>
    <t xml:space="preserve">HDFC BC – Money Transfer (Domestic)</t>
  </si>
  <si>
    <t xml:space="preserve">HDFC BC – मनी ट्रांसफर (घरेलू)</t>
  </si>
  <si>
    <t xml:space="preserve">HDFC BC – Money Transfer (Domestic) at our HDFC Bank BC Point.</t>
  </si>
  <si>
    <t xml:space="preserve">Send money to a bank account by paying cash at our BC Point.</t>
  </si>
  <si>
    <t xml:space="preserve">Individuals sending domestic money (limits per bank rules).</t>
  </si>
  <si>
    <t xml:space="preserve">Step 1 → Give the receiver's account number / IFSC and the amount.
Step 2 → Operator registers / verifies the sender and receiver on the BC system.
Step 3 → Pay the cash and the transfer charge.
Step 4 → Transfer is done; collect the receipt / reference.</t>
  </si>
  <si>
    <t xml:space="preserve">Same Day</t>
  </si>
  <si>
    <t xml:space="preserve">hdfc-bc-money-transfer-domestic</t>
  </si>
  <si>
    <t xml:space="preserve">💸</t>
  </si>
  <si>
    <t xml:space="preserve">Limits and charges as per bank BC policy</t>
  </si>
  <si>
    <t xml:space="preserve">HDFC BC – Money Transfer (Domestic) Service | Devmobile Stores</t>
  </si>
  <si>
    <t xml:space="preserve">HDFC BC – Money Transfer (Domestic) (HDFC BC – मनी ट्रांसफर (घरेलू)) at Devmobile Stores and Common Service Center &amp; Aadhaar Centre. Check required documents, charges and process before you visit.</t>
  </si>
  <si>
    <t xml:space="preserve">HDFC BC – मनी ट्रांसफर (घरेलू), HDFC बैंक BC पॉइंट, सेवा</t>
  </si>
  <si>
    <t xml:space="preserve">HDFC BC – Money Transfer (Domestic), HDFC Bank BC Point, Devmobile Stores</t>
  </si>
  <si>
    <t xml:space="preserve">HDF-013</t>
  </si>
  <si>
    <t xml:space="preserve">Account &amp; KYC Services</t>
  </si>
  <si>
    <t xml:space="preserve">HDFC BC – New Savings Account Opening Assistance</t>
  </si>
  <si>
    <t xml:space="preserve">HDFC BC – नया बचत खाता खुलवाने में सहायता</t>
  </si>
  <si>
    <t xml:space="preserve">HDFC BC – New Savings Account Opening Assistance at our HDFC Bank BC Point.</t>
  </si>
  <si>
    <t xml:space="preserve">Assistance to open a new HDFC Bank account.</t>
  </si>
  <si>
    <t xml:space="preserve">Individuals eligible for the bank's account type.</t>
  </si>
  <si>
    <t xml:space="preserve">Step 1 → Bring Aadhaar, mobile number and photo.
Step 2 → Operator starts the account opening form on the BC system.
Step 3 → eKYC / biometric verification is completed.
Step 4 → Form is submitted and the account details are shared.</t>
  </si>
  <si>
    <t xml:space="preserve">hdfc-bc-new-savings-account-opening-assistance</t>
  </si>
  <si>
    <t xml:space="preserve">🗂️</t>
  </si>
  <si>
    <t xml:space="preserve">HDFC BC – New Savings Account Opening Assistance Service | Devmobile Stores</t>
  </si>
  <si>
    <t xml:space="preserve">HDFC BC – New Savings Account Opening Assistance (HDFC BC – नया बचत खाता खुलवाने में सहायता) at Devmobile Stores and Common Service Center &amp; Aadhaar Centre. Check required documents, charges and process before you visit.</t>
  </si>
  <si>
    <t xml:space="preserve">HDFC BC – नया बचत खाता खुलवाने में सहायता, HDFC बैंक BC पॉइंट, सेवा</t>
  </si>
  <si>
    <t xml:space="preserve">HDFC BC – New Savings Account Opening Assistance, HDFC Bank BC Point, Devmobile Stores</t>
  </si>
  <si>
    <t xml:space="preserve">HDF-014</t>
  </si>
  <si>
    <t xml:space="preserve">HDFC BC – Account Mobile Number Registration / Update</t>
  </si>
  <si>
    <t xml:space="preserve">HDFC BC – खाते में मोबाइल नंबर पंजीकरण / अपडेट</t>
  </si>
  <si>
    <t xml:space="preserve">HDFC BC – Account Mobile Number Registration / Update at our HDFC Bank BC Point.</t>
  </si>
  <si>
    <t xml:space="preserve">Assistance with hdfc bc – account mobile number registration / update.</t>
  </si>
  <si>
    <t xml:space="preserve">Step 1 → Bring your account details and Aadhaar.
Step 2 → Operator checks how 'HDFC BC – Account Mobile Number Registration / Update' can be handled through the BC.
Step 3 → Request is submitted through the BC channel or the bank branch is advised.
Step 4 → Collect the acknowledgement.</t>
  </si>
  <si>
    <t xml:space="preserve">hdfc-bc-account-mobile-number-registration-update</t>
  </si>
  <si>
    <t xml:space="preserve">HDFC BC – Account Mobile Number Registration / Update Service | Devmobile Stores</t>
  </si>
  <si>
    <t xml:space="preserve">HDFC BC – Account Mobile Number Registration / Update (HDFC BC – खाते में मोबाइल नंबर पंजीकरण / अपडेट) at Devmobile Stores and Common Service Center &amp; Aadhaar Centre. Check required documents, charges and process before you visit.</t>
  </si>
  <si>
    <t xml:space="preserve">HDFC BC – खाते में मोबाइल नंबर पंजीकरण / अपडेट, HDFC बैंक BC पॉइंट, सेवा</t>
  </si>
  <si>
    <t xml:space="preserve">HDFC BC – Account Mobile Number Registration / Update, HDFC Bank BC Point, Devmobile Stores</t>
  </si>
  <si>
    <t xml:space="preserve">HDF-015</t>
  </si>
  <si>
    <t xml:space="preserve">HDFC BC – Debit Card Request / PIN Assistance</t>
  </si>
  <si>
    <t xml:space="preserve">HDFC BC – डेबिट कार्ड / PIN सहायता</t>
  </si>
  <si>
    <t xml:space="preserve">HDFC BC – Debit Card Request / PIN Assistance at our HDFC Bank BC Point.</t>
  </si>
  <si>
    <t xml:space="preserve">Assistance with hdfc bc – debit card request / pin assistance.</t>
  </si>
  <si>
    <t xml:space="preserve">Step 1 → Bring your account details and Aadhaar.
Step 2 → Operator checks how 'HDFC BC – Debit Card Request / PIN Assistance' can be handled through the BC.
Step 3 → Request is submitted through the BC channel or the bank branch is advised.
Step 4 → Collect the acknowledgement.</t>
  </si>
  <si>
    <t xml:space="preserve">hdfc-bc-debit-card-request-pin-assistance</t>
  </si>
  <si>
    <t xml:space="preserve">HDFC BC – Debit Card Request / PIN Assistance Service | Devmobile Stores</t>
  </si>
  <si>
    <t xml:space="preserve">HDFC BC – Debit Card Request / PIN Assistance (HDFC BC – डेबिट कार्ड / PIN सहायता) at Devmobile Stores and Common Service Center &amp; Aadhaar Centre. Check required documents, charges and process before you visit.</t>
  </si>
  <si>
    <t xml:space="preserve">HDFC BC – डेबिट कार्ड / PIN सहायता, HDFC बैंक BC पॉइंट, सेवा</t>
  </si>
  <si>
    <t xml:space="preserve">HDFC BC – Debit Card Request / PIN Assistance, HDFC Bank BC Point, Devmobile Stores</t>
  </si>
  <si>
    <t xml:space="preserve">HDF-016</t>
  </si>
  <si>
    <t xml:space="preserve">HDFC BC – Cheque Book Request Assistance</t>
  </si>
  <si>
    <t xml:space="preserve">HDFC BC – चेक बुक आवेदन सहायता</t>
  </si>
  <si>
    <t xml:space="preserve">HDFC BC – Cheque Book Request Assistance at our HDFC Bank BC Point.</t>
  </si>
  <si>
    <t xml:space="preserve">Assistance with hdfc bc – cheque book request assistance.</t>
  </si>
  <si>
    <t xml:space="preserve">Step 1 → Bring your account details and Aadhaar.
Step 2 → Operator checks how 'HDFC BC – Cheque Book Request Assistance' can be handled through the BC.
Step 3 → Request is submitted through the BC channel or the bank branch is advised.
Step 4 → Collect the acknowledgement.</t>
  </si>
  <si>
    <t xml:space="preserve">hdfc-bc-cheque-book-request-assistance</t>
  </si>
  <si>
    <t xml:space="preserve">HDFC BC – Cheque Book Request Assistance Service | Devmobile Stores</t>
  </si>
  <si>
    <t xml:space="preserve">HDFC BC – Cheque Book Request Assistance (HDFC BC – चेक बुक आवेदन सहायता) at Devmobile Stores and Common Service Center &amp; Aadhaar Centre. Check required documents, charges and process before you visit.</t>
  </si>
  <si>
    <t xml:space="preserve">HDFC BC – चेक बुक आवेदन सहायता, HDFC बैंक BC पॉइंट, सेवा</t>
  </si>
  <si>
    <t xml:space="preserve">HDFC BC – Cheque Book Request Assistance, HDFC Bank BC Point, Devmobile Stores</t>
  </si>
  <si>
    <t xml:space="preserve">HDF-017</t>
  </si>
  <si>
    <t xml:space="preserve">HDFC BC – Passbook / Statement Request Assistance</t>
  </si>
  <si>
    <t xml:space="preserve">HDFC BC – पासबुक / स्टेटमेंट आवेदन सहायता</t>
  </si>
  <si>
    <t xml:space="preserve">HDFC BC – Passbook / Statement Request Assistance at our HDFC Bank BC Point.</t>
  </si>
  <si>
    <t xml:space="preserve">Assistance with hdfc bc – passbook / statement request assistance.</t>
  </si>
  <si>
    <t xml:space="preserve">Step 1 → Bring your account details and Aadhaar.
Step 2 → Operator checks how 'HDFC BC – Passbook / Statement Request Assistance' can be handled through the BC.
Step 3 → Request is submitted through the BC channel or the bank branch is advised.
Step 4 → Collect the acknowledgement.</t>
  </si>
  <si>
    <t xml:space="preserve">hdfc-bc-passbook-statement-request-assistance</t>
  </si>
  <si>
    <t xml:space="preserve">HDFC BC – Passbook / Statement Request Assistance Service | Devmobile Stores</t>
  </si>
  <si>
    <t xml:space="preserve">HDFC BC – Passbook / Statement Request Assistance (HDFC BC – पासबुक / स्टेटमेंट आवेदन सहायता) at Devmobile Stores and Common Service Center &amp; Aadhaar Centre. Check required documents, charges and process before you visit.</t>
  </si>
  <si>
    <t xml:space="preserve">HDFC BC – पासबुक / स्टेटमेंट आवेदन सहायता, HDFC बैंक BC पॉइंट, सेवा</t>
  </si>
  <si>
    <t xml:space="preserve">HDFC BC – Passbook / Statement Request Assistance, HDFC Bank BC Point, Devmobile Stores</t>
  </si>
  <si>
    <t xml:space="preserve">HDF-018</t>
  </si>
  <si>
    <t xml:space="preserve">HDFC BC – KYC Document Collection / Update</t>
  </si>
  <si>
    <t xml:space="preserve">HDFC BC – KYC दस्तावेज़ जमा / अपडेट</t>
  </si>
  <si>
    <t xml:space="preserve">HDFC BC – KYC Document Collection / Update at our HDFC Bank BC Point.</t>
  </si>
  <si>
    <t xml:space="preserve">Submit or update KYC documents for your bank account.</t>
  </si>
  <si>
    <t xml:space="preserve">Existing account holders.</t>
  </si>
  <si>
    <t xml:space="preserve">Step 1 → Bring account details and KYC documents.
Step 2 → Operator checks what the bank requires.
Step 3 → Documents are submitted through the BC channel.
Step 4 → Collect the acknowledgement.</t>
  </si>
  <si>
    <t xml:space="preserve">hdfc-bc-kyc-document-collection-update</t>
  </si>
  <si>
    <t xml:space="preserve">HDFC BC – KYC Document Collection / Update Service | Devmobile Stores</t>
  </si>
  <si>
    <t xml:space="preserve">HDFC BC – KYC Document Collection / Update (HDFC BC – KYC दस्तावेज़ जमा / अपडेट) at Devmobile Stores and Common Service Center &amp; Aadhaar Centre. Check required documents, charges and process before you visit.</t>
  </si>
  <si>
    <t xml:space="preserve">HDFC BC – KYC दस्तावेज़ जमा / अपडेट, HDFC बैंक BC पॉइंट, सेवा</t>
  </si>
  <si>
    <t xml:space="preserve">HDFC BC – KYC Document Collection / Update, HDFC Bank BC Point, Devmobile Stores</t>
  </si>
  <si>
    <t xml:space="preserve">HDF-019</t>
  </si>
  <si>
    <t xml:space="preserve">HDFC BC – Account Query / Complaint Assistance</t>
  </si>
  <si>
    <t xml:space="preserve">HDFC BC – खाता शिकायत / समस्या सहायता</t>
  </si>
  <si>
    <t xml:space="preserve">HDFC BC – Account Query / Complaint Assistance at our HDFC Bank BC Point.</t>
  </si>
  <si>
    <t xml:space="preserve">Assistance with hdfc bc – account query / complaint assistance.</t>
  </si>
  <si>
    <t xml:space="preserve">Step 1 → Bring your account details and Aadhaar.
Step 2 → Operator checks how 'HDFC BC – Account Query / Complaint Assistance' can be handled through the BC.
Step 3 → Request is submitted through the BC channel or the bank branch is advised.
Step 4 → Collect the acknowledgement.</t>
  </si>
  <si>
    <t xml:space="preserve">hdfc-bc-account-query-complaint-assistance</t>
  </si>
  <si>
    <t xml:space="preserve">HDFC BC – Account Query / Complaint Assistance Service | Devmobile Stores</t>
  </si>
  <si>
    <t xml:space="preserve">HDFC BC – Account Query / Complaint Assistance (HDFC BC – खाता शिकायत / समस्या सहायता) at Devmobile Stores and Common Service Center &amp; Aadhaar Centre. Check required documents, charges and process before you visit.</t>
  </si>
  <si>
    <t xml:space="preserve">HDFC BC – खाता शिकायत / समस्या सहायता, HDFC बैंक BC पॉइंट, सेवा</t>
  </si>
  <si>
    <t xml:space="preserve">HDFC BC – Account Query / Complaint Assistance, HDFC Bank BC Point, Devmobile Stores</t>
  </si>
  <si>
    <t xml:space="preserve">HDF-020</t>
  </si>
  <si>
    <t xml:space="preserve">Government Scheme Enrolment via Bank</t>
  </si>
  <si>
    <t xml:space="preserve">HDFC BC – PMJJBY / PMSBY Enrolment Assistance</t>
  </si>
  <si>
    <t xml:space="preserve">HDFC BC – PMJJBY / PMSBY नामांकन सहायता</t>
  </si>
  <si>
    <t xml:space="preserve">HDFC BC – PMJJBY / PMSBY Enrolment Assistance at our HDFC Bank BC Point.</t>
  </si>
  <si>
    <t xml:space="preserve">Assistance with PMJJBY / PMSBY Enrolment Assistance.</t>
  </si>
  <si>
    <t xml:space="preserve">Eligible account holders as per scheme rules.</t>
  </si>
  <si>
    <t xml:space="preserve">Step 1 → Bring Aadhaar, bank account details and nominee information.
Step 2 → Operator checks eligibility and enrolment options.
Step 3 → Form is filled and consent given.
Step 4 → Collect the enrolment acknowledgement.</t>
  </si>
  <si>
    <t xml:space="preserve">hdfc-bc-pmjjby-pmsby-enrolment-assistance</t>
  </si>
  <si>
    <t xml:space="preserve">🏦</t>
  </si>
  <si>
    <t xml:space="preserve">Bank-specific scheme enrolment through BC to be confirmed</t>
  </si>
  <si>
    <t xml:space="preserve">HDFC BC – PMJJBY / PMSBY Enrolment Assistance Service | Devmobile Stores</t>
  </si>
  <si>
    <t xml:space="preserve">HDFC BC – PMJJBY / PMSBY Enrolment Assistance (HDFC BC – PMJJBY / PMSBY नामांकन सहायता) at Devmobile Stores and Common Service Center &amp; Aadhaar Centre. Check required documents, charges and process before you visit.</t>
  </si>
  <si>
    <t xml:space="preserve">HDFC BC – PMJJBY / PMSBY नामांकन सहायता, HDFC बैंक BC पॉइंट, सेवा</t>
  </si>
  <si>
    <t xml:space="preserve">HDFC BC – PMJJBY / PMSBY Enrolment Assistance, HDFC Bank BC Point, Devmobile Stores</t>
  </si>
  <si>
    <t xml:space="preserve">HDF-021</t>
  </si>
  <si>
    <t xml:space="preserve">HDFC BC – Atal Pension Yojana Enrolment Assistance</t>
  </si>
  <si>
    <t xml:space="preserve">HDFC BC – अटल पेंशन योजना नामांकन सहायता</t>
  </si>
  <si>
    <t xml:space="preserve">HDFC BC – Atal Pension Yojana Enrolment Assistance at our HDFC Bank BC Point.</t>
  </si>
  <si>
    <t xml:space="preserve">Assistance with Atal Pension Yojana Enrolment Assistance.</t>
  </si>
  <si>
    <t xml:space="preserve">hdfc-bc-atal-pension-yojana-enrolment-assistance</t>
  </si>
  <si>
    <t xml:space="preserve">HDFC BC – Atal Pension Yojana Enrolment Assistance Service | Devmobile Stores</t>
  </si>
  <si>
    <t xml:space="preserve">HDFC BC – Atal Pension Yojana Enrolment Assistance (HDFC BC – अटल पेंशन योजना नामांकन सहायता) at Devmobile Stores and Common Service Center &amp; Aadhaar Centre. Check required documents, charges and process before you visit.</t>
  </si>
  <si>
    <t xml:space="preserve">HDFC BC – अटल पेंशन योजना नामांकन सहायता, HDFC बैंक BC पॉइंट, सेवा</t>
  </si>
  <si>
    <t xml:space="preserve">HDFC BC – Atal Pension Yojana Enrolment Assistance, HDFC Bank BC Point, Devmobile Stores</t>
  </si>
  <si>
    <t xml:space="preserve">FIN-001</t>
  </si>
  <si>
    <t xml:space="preserve">FINO Payments Bank BC Point</t>
  </si>
  <si>
    <t xml:space="preserve">FINO BC – Cash Deposit</t>
  </si>
  <si>
    <t xml:space="preserve">FINO BC – नकद जमा</t>
  </si>
  <si>
    <t xml:space="preserve">FINO BC – Cash Deposit at our FINO Payments Bank BC Point.</t>
  </si>
  <si>
    <t xml:space="preserve">Deposit cash into a FINO Payments Bank account through our BC Point.</t>
  </si>
  <si>
    <t xml:space="preserve">FINO Payments Bank account holders (rules as per bank).</t>
  </si>
  <si>
    <t xml:space="preserve">fino-bc-cash-deposit</t>
  </si>
  <si>
    <t xml:space="preserve">Depends on your FINO Payments Bank BC agreement and activated services. Confirm with the shop before visiting.</t>
  </si>
  <si>
    <t xml:space="preserve">FINO BC – Cash Deposit Service | Devmobile Stores</t>
  </si>
  <si>
    <t xml:space="preserve">FINO BC – Cash Deposit (FINO BC – नकद जमा) at Devmobile Stores and Common Service Center &amp; Aadhaar Centre. Check required documents, charges and process before you visit.</t>
  </si>
  <si>
    <t xml:space="preserve">FINO BC – नकद जमा, FINO पेमेंट्स बैंक BC पॉइंट, सेवा</t>
  </si>
  <si>
    <t xml:space="preserve">FINO BC – Cash Deposit, FINO Payments Bank BC Point, Devmobile Stores</t>
  </si>
  <si>
    <t xml:space="preserve">FIN-002</t>
  </si>
  <si>
    <t xml:space="preserve">FINO BC – Cash Withdrawal</t>
  </si>
  <si>
    <t xml:space="preserve">FINO BC – नकद निकासी</t>
  </si>
  <si>
    <t xml:space="preserve">FINO BC – Cash Withdrawal at our FINO Payments Bank BC Point.</t>
  </si>
  <si>
    <t xml:space="preserve">Withdraw cash from a FINO Payments Bank account at our BC Point.</t>
  </si>
  <si>
    <t xml:space="preserve">fino-bc-cash-withdrawal</t>
  </si>
  <si>
    <t xml:space="preserve">FINO BC – Cash Withdrawal Service | Devmobile Stores</t>
  </si>
  <si>
    <t xml:space="preserve">FINO BC – Cash Withdrawal (FINO BC – नकद निकासी) at Devmobile Stores and Common Service Center &amp; Aadhaar Centre. Check required documents, charges and process before you visit.</t>
  </si>
  <si>
    <t xml:space="preserve">FINO BC – नकद निकासी, FINO पेमेंट्स बैंक BC पॉइंट, सेवा</t>
  </si>
  <si>
    <t xml:space="preserve">FINO BC – Cash Withdrawal, FINO Payments Bank BC Point, Devmobile Stores</t>
  </si>
  <si>
    <t xml:space="preserve">FIN-003</t>
  </si>
  <si>
    <t xml:space="preserve">FINO BC – Balance Enquiry</t>
  </si>
  <si>
    <t xml:space="preserve">FINO BC – बैलेंस पूछताछ</t>
  </si>
  <si>
    <t xml:space="preserve">FINO BC – Balance Enquiry at our FINO Payments Bank BC Point.</t>
  </si>
  <si>
    <t xml:space="preserve">Assistance with fino bc – balance enquiry.</t>
  </si>
  <si>
    <t xml:space="preserve">Step 1 → Bring your account details and Aadhaar.
Step 2 → Operator checks how 'FINO BC – Balance Enquiry' can be handled through the BC.
Step 3 → Request is submitted through the BC channel or the bank branch is advised.
Step 4 → Collect the acknowledgement.</t>
  </si>
  <si>
    <t xml:space="preserve">fino-bc-balance-enquiry</t>
  </si>
  <si>
    <t xml:space="preserve">FINO BC – Balance Enquiry Service | Devmobile Stores</t>
  </si>
  <si>
    <t xml:space="preserve">FINO BC – Balance Enquiry (FINO BC – बैलेंस पूछताछ) at Devmobile Stores and Common Service Center &amp; Aadhaar Centre. Check required documents, charges and process before you visit.</t>
  </si>
  <si>
    <t xml:space="preserve">FINO BC – बैलेंस पूछताछ, FINO पेमेंट्स बैंक BC पॉइंट, सेवा</t>
  </si>
  <si>
    <t xml:space="preserve">FINO BC – Balance Enquiry, FINO Payments Bank BC Point, Devmobile Stores</t>
  </si>
  <si>
    <t xml:space="preserve">FIN-004</t>
  </si>
  <si>
    <t xml:space="preserve">FINO BC – Mini Statement</t>
  </si>
  <si>
    <t xml:space="preserve">FINO BC – मिनी स्टेटमेंट</t>
  </si>
  <si>
    <t xml:space="preserve">FINO BC – Mini Statement at our FINO Payments Bank BC Point.</t>
  </si>
  <si>
    <t xml:space="preserve">Assistance with fino bc – mini statement.</t>
  </si>
  <si>
    <t xml:space="preserve">Step 1 → Bring your account details and Aadhaar.
Step 2 → Operator checks how 'FINO BC – Mini Statement' can be handled through the BC.
Step 3 → Request is submitted through the BC channel or the bank branch is advised.
Step 4 → Collect the acknowledgement.</t>
  </si>
  <si>
    <t xml:space="preserve">fino-bc-mini-statement</t>
  </si>
  <si>
    <t xml:space="preserve">FINO BC – Mini Statement Service | Devmobile Stores</t>
  </si>
  <si>
    <t xml:space="preserve">FINO BC – Mini Statement (FINO BC – मिनी स्टेटमेंट) at Devmobile Stores and Common Service Center &amp; Aadhaar Centre. Check required documents, charges and process before you visit.</t>
  </si>
  <si>
    <t xml:space="preserve">FINO BC – मिनी स्टेटमेंट, FINO पेमेंट्स बैंक BC पॉइंट, सेवा</t>
  </si>
  <si>
    <t xml:space="preserve">FINO BC – Mini Statement, FINO Payments Bank BC Point, Devmobile Stores</t>
  </si>
  <si>
    <t xml:space="preserve">FIN-005</t>
  </si>
  <si>
    <t xml:space="preserve">FINO BC – AEPS Cash Withdrawal</t>
  </si>
  <si>
    <t xml:space="preserve">FINO BC – AEPS नकद निकासी</t>
  </si>
  <si>
    <t xml:space="preserve">FINO BC – AEPS Cash Withdrawal at our FINO Payments Bank BC Point.</t>
  </si>
  <si>
    <t xml:space="preserve">fino-bc-aeps-cash-withdrawal</t>
  </si>
  <si>
    <t xml:space="preserve">Whether AEPS is enabled on your FINO BC ID must be confirmed</t>
  </si>
  <si>
    <t xml:space="preserve">FINO BC – AEPS Cash Withdrawal Service | Devmobile Stores</t>
  </si>
  <si>
    <t xml:space="preserve">FINO BC – AEPS Cash Withdrawal (FINO BC – AEPS नकद निकासी) at Devmobile Stores and Common Service Center &amp; Aadhaar Centre. Check required documents, charges and process before you visit.</t>
  </si>
  <si>
    <t xml:space="preserve">FINO BC – AEPS नकद निकासी, FINO पेमेंट्स बैंक BC पॉइंट, सेवा</t>
  </si>
  <si>
    <t xml:space="preserve">FINO BC – AEPS Cash Withdrawal, FINO Payments Bank BC Point, Devmobile Stores</t>
  </si>
  <si>
    <t xml:space="preserve">FIN-006</t>
  </si>
  <si>
    <t xml:space="preserve">FINO BC – AEPS Balance Enquiry</t>
  </si>
  <si>
    <t xml:space="preserve">FINO BC – AEPS बैलेंस पूछताछ</t>
  </si>
  <si>
    <t xml:space="preserve">FINO BC – AEPS Balance Enquiry at our FINO Payments Bank BC Point.</t>
  </si>
  <si>
    <t xml:space="preserve">fino-bc-aeps-balance-enquiry</t>
  </si>
  <si>
    <t xml:space="preserve">FINO BC – AEPS Balance Enquiry Service | Devmobile Stores</t>
  </si>
  <si>
    <t xml:space="preserve">FINO BC – AEPS Balance Enquiry (FINO BC – AEPS बैलेंस पूछताछ) at Devmobile Stores and Common Service Center &amp; Aadhaar Centre. Check required documents, charges and process before you visit.</t>
  </si>
  <si>
    <t xml:space="preserve">FINO BC – AEPS बैलेंस पूछताछ, FINO पेमेंट्स बैंक BC पॉइंट, सेवा</t>
  </si>
  <si>
    <t xml:space="preserve">FINO BC – AEPS Balance Enquiry, FINO Payments Bank BC Point, Devmobile Stores</t>
  </si>
  <si>
    <t xml:space="preserve">FIN-007</t>
  </si>
  <si>
    <t xml:space="preserve">FINO BC – AEPS Mini Statement</t>
  </si>
  <si>
    <t xml:space="preserve">FINO BC – AEPS मिनी स्टेटमेंट</t>
  </si>
  <si>
    <t xml:space="preserve">FINO BC – AEPS Mini Statement at our FINO Payments Bank BC Point.</t>
  </si>
  <si>
    <t xml:space="preserve">fino-bc-aeps-mini-statement</t>
  </si>
  <si>
    <t xml:space="preserve">FINO BC – AEPS Mini Statement Service | Devmobile Stores</t>
  </si>
  <si>
    <t xml:space="preserve">FINO BC – AEPS Mini Statement (FINO BC – AEPS मिनी स्टेटमेंट) at Devmobile Stores and Common Service Center &amp; Aadhaar Centre. Check required documents, charges and process before you visit.</t>
  </si>
  <si>
    <t xml:space="preserve">FINO BC – AEPS मिनी स्टेटमेंट, FINO पेमेंट्स बैंक BC पॉइंट, सेवा</t>
  </si>
  <si>
    <t xml:space="preserve">FINO BC – AEPS Mini Statement, FINO Payments Bank BC Point, Devmobile Stores</t>
  </si>
  <si>
    <t xml:space="preserve">FIN-008</t>
  </si>
  <si>
    <t xml:space="preserve">FINO BC – Biometric Banking (Fingerprint Authenticated)</t>
  </si>
  <si>
    <t xml:space="preserve">FINO BC – बायोमेट्रिक बैंकिंग (फिंगरप्रिंट सत्यापित)</t>
  </si>
  <si>
    <t xml:space="preserve">FINO BC – Biometric Banking (Fingerprint Authenticated) at our FINO Payments Bank BC Point.</t>
  </si>
  <si>
    <t xml:space="preserve">fino-bc-biometric-banking-fingerprint-authenticated</t>
  </si>
  <si>
    <t xml:space="preserve">FINO BC – Biometric Banking (Fingerprint Authenticated) Service | Devmobile Stores</t>
  </si>
  <si>
    <t xml:space="preserve">FINO BC – Biometric Banking (Fingerprint Authenticated) (FINO BC – बायोमेट्रिक बैंकिंग (फिंगरप्रिंट सत्यापित)) at Devmobile Stores and Common Service Center &amp; Aadhaar Centre. Check required documents, charges and process before you visit.</t>
  </si>
  <si>
    <t xml:space="preserve">FINO BC – बायोमेट्रिक बैंकिंग (फिंगरप्रिंट सत्यापित), FINO पेमेंट्स बैंक BC पॉइंट, सेवा</t>
  </si>
  <si>
    <t xml:space="preserve">FINO BC – Biometric Banking (Fingerprint Authenticated), FINO Payments Bank BC Point, Devmobile Stores</t>
  </si>
  <si>
    <t xml:space="preserve">FIN-009</t>
  </si>
  <si>
    <t xml:space="preserve">FINO BC – Micro ATM Cash Withdrawal</t>
  </si>
  <si>
    <t xml:space="preserve">FINO BC – Micro ATM नकद निकासी</t>
  </si>
  <si>
    <t xml:space="preserve">FINO BC – Micro ATM Cash Withdrawal at our FINO Payments Bank BC Point.</t>
  </si>
  <si>
    <t xml:space="preserve">FINO BC – Micro ATM Cash Withdrawal using the Micro ATM device.</t>
  </si>
  <si>
    <t xml:space="preserve">fino-bc-micro-atm-cash-withdrawal</t>
  </si>
  <si>
    <t xml:space="preserve">Confirm if Micro ATM is provided under your FINO BC</t>
  </si>
  <si>
    <t xml:space="preserve">FINO BC – Micro ATM Cash Withdrawal Service | Devmobile Stores</t>
  </si>
  <si>
    <t xml:space="preserve">FINO BC – Micro ATM Cash Withdrawal (FINO BC – Micro ATM नकद निकासी) at Devmobile Stores and Common Service Center &amp; Aadhaar Centre. Check required documents, charges and process before you visit.</t>
  </si>
  <si>
    <t xml:space="preserve">FINO BC – Micro ATM नकद निकासी, FINO पेमेंट्स बैंक BC पॉइंट, सेवा</t>
  </si>
  <si>
    <t xml:space="preserve">FINO BC – Micro ATM Cash Withdrawal, FINO Payments Bank BC Point, Devmobile Stores</t>
  </si>
  <si>
    <t xml:space="preserve">FIN-010</t>
  </si>
  <si>
    <t xml:space="preserve">FINO BC – Money Transfer (Domestic)</t>
  </si>
  <si>
    <t xml:space="preserve">FINO BC – मनी ट्रांसफर (घरेलू)</t>
  </si>
  <si>
    <t xml:space="preserve">FINO BC – Money Transfer (Domestic) at our FINO Payments Bank BC Point.</t>
  </si>
  <si>
    <t xml:space="preserve">fino-bc-money-transfer-domestic</t>
  </si>
  <si>
    <t xml:space="preserve">Limits and charges as per FINO BC policy</t>
  </si>
  <si>
    <t xml:space="preserve">FINO BC – Money Transfer (Domestic) Service | Devmobile Stores</t>
  </si>
  <si>
    <t xml:space="preserve">FINO BC – Money Transfer (Domestic) (FINO BC – मनी ट्रांसफर (घरेलू)) at Devmobile Stores and Common Service Center &amp; Aadhaar Centre. Check required documents, charges and process before you visit.</t>
  </si>
  <si>
    <t xml:space="preserve">FINO BC – मनी ट्रांसफर (घरेलू), FINO पेमेंट्स बैंक BC पॉइंट, सेवा</t>
  </si>
  <si>
    <t xml:space="preserve">FINO BC – Money Transfer (Domestic), FINO Payments Bank BC Point, Devmobile Stores</t>
  </si>
  <si>
    <t xml:space="preserve">FIN-011</t>
  </si>
  <si>
    <t xml:space="preserve">FINO BC – New Account Opening Assistance</t>
  </si>
  <si>
    <t xml:space="preserve">FINO BC – नया खाता खुलवाने में सहायता</t>
  </si>
  <si>
    <t xml:space="preserve">FINO BC – New Account Opening Assistance at our FINO Payments Bank BC Point.</t>
  </si>
  <si>
    <t xml:space="preserve">Assistance to open a new FINO Payments Bank account.</t>
  </si>
  <si>
    <t xml:space="preserve">fino-bc-new-account-opening-assistance</t>
  </si>
  <si>
    <t xml:space="preserve">FINO BC – New Account Opening Assistance Service | Devmobile Stores</t>
  </si>
  <si>
    <t xml:space="preserve">FINO BC – New Account Opening Assistance (FINO BC – नया खाता खुलवाने में सहायता) at Devmobile Stores and Common Service Center &amp; Aadhaar Centre. Check required documents, charges and process before you visit.</t>
  </si>
  <si>
    <t xml:space="preserve">FINO BC – नया खाता खुलवाने में सहायता, FINO पेमेंट्स बैंक BC पॉइंट, सेवा</t>
  </si>
  <si>
    <t xml:space="preserve">FINO BC – New Account Opening Assistance, FINO Payments Bank BC Point, Devmobile Stores</t>
  </si>
  <si>
    <t xml:space="preserve">FIN-012</t>
  </si>
  <si>
    <t xml:space="preserve">FINO BC – Account Mobile Number Update</t>
  </si>
  <si>
    <t xml:space="preserve">FINO BC – खाते में मोबाइल नंबर अपडेट</t>
  </si>
  <si>
    <t xml:space="preserve">FINO BC – Account Mobile Number Update at our FINO Payments Bank BC Point.</t>
  </si>
  <si>
    <t xml:space="preserve">Assistance with fino bc – account mobile number update.</t>
  </si>
  <si>
    <t xml:space="preserve">Step 1 → Bring your account details and Aadhaar.
Step 2 → Operator checks how 'FINO BC – Account Mobile Number Update' can be handled through the BC.
Step 3 → Request is submitted through the BC channel or the bank branch is advised.
Step 4 → Collect the acknowledgement.</t>
  </si>
  <si>
    <t xml:space="preserve">fino-bc-account-mobile-number-update</t>
  </si>
  <si>
    <t xml:space="preserve">FINO BC – Account Mobile Number Update Service | Devmobile Stores</t>
  </si>
  <si>
    <t xml:space="preserve">FINO BC – Account Mobile Number Update (FINO BC – खाते में मोबाइल नंबर अपडेट) at Devmobile Stores and Common Service Center &amp; Aadhaar Centre. Check required documents, charges and process before you visit.</t>
  </si>
  <si>
    <t xml:space="preserve">FINO BC – खाते में मोबाइल नंबर अपडेट, FINO पेमेंट्स बैंक BC पॉइंट, सेवा</t>
  </si>
  <si>
    <t xml:space="preserve">FINO BC – Account Mobile Number Update, FINO Payments Bank BC Point, Devmobile Stores</t>
  </si>
  <si>
    <t xml:space="preserve">FIN-013</t>
  </si>
  <si>
    <t xml:space="preserve">FINO BC – KYC Document Collection / Update</t>
  </si>
  <si>
    <t xml:space="preserve">FINO BC – KYC दस्तावेज़ जमा / अपडेट</t>
  </si>
  <si>
    <t xml:space="preserve">FINO BC – KYC Document Collection / Update at our FINO Payments Bank BC Point.</t>
  </si>
  <si>
    <t xml:space="preserve">fino-bc-kyc-document-collection-update</t>
  </si>
  <si>
    <t xml:space="preserve">FINO BC – KYC Document Collection / Update Service | Devmobile Stores</t>
  </si>
  <si>
    <t xml:space="preserve">FINO BC – KYC Document Collection / Update (FINO BC – KYC दस्तावेज़ जमा / अपडेट) at Devmobile Stores and Common Service Center &amp; Aadhaar Centre. Check required documents, charges and process before you visit.</t>
  </si>
  <si>
    <t xml:space="preserve">FINO BC – KYC दस्तावेज़ जमा / अपडेट, FINO पेमेंट्स बैंक BC पॉइंट, सेवा</t>
  </si>
  <si>
    <t xml:space="preserve">FINO BC – KYC Document Collection / Update, FINO Payments Bank BC Point, Devmobile Stores</t>
  </si>
  <si>
    <t xml:space="preserve">FIN-014</t>
  </si>
  <si>
    <t xml:space="preserve">FINO BC – Account Query / Complaint Assistance</t>
  </si>
  <si>
    <t xml:space="preserve">FINO BC – खाता शिकायत / समस्या सहायता</t>
  </si>
  <si>
    <t xml:space="preserve">FINO BC – Account Query / Complaint Assistance at our FINO Payments Bank BC Point.</t>
  </si>
  <si>
    <t xml:space="preserve">Assistance with fino bc – account query / complaint assistance.</t>
  </si>
  <si>
    <t xml:space="preserve">Step 1 → Bring your account details and Aadhaar.
Step 2 → Operator checks how 'FINO BC – Account Query / Complaint Assistance' can be handled through the BC.
Step 3 → Request is submitted through the BC channel or the bank branch is advised.
Step 4 → Collect the acknowledgement.</t>
  </si>
  <si>
    <t xml:space="preserve">fino-bc-account-query-complaint-assistance</t>
  </si>
  <si>
    <t xml:space="preserve">FINO BC – Account Query / Complaint Assistance Service | Devmobile Stores</t>
  </si>
  <si>
    <t xml:space="preserve">FINO BC – Account Query / Complaint Assistance (FINO BC – खाता शिकायत / समस्या सहायता) at Devmobile Stores and Common Service Center &amp; Aadhaar Centre. Check required documents, charges and process before you visit.</t>
  </si>
  <si>
    <t xml:space="preserve">FINO BC – खाता शिकायत / समस्या सहायता, FINO पेमेंट्स बैंक BC पॉइंट, सेवा</t>
  </si>
  <si>
    <t xml:space="preserve">FINO BC – Account Query / Complaint Assistance, FINO Payments Bank BC Point, Devmobile Stores</t>
  </si>
  <si>
    <t xml:space="preserve">FIN-015</t>
  </si>
  <si>
    <t xml:space="preserve">Payment Services</t>
  </si>
  <si>
    <t xml:space="preserve">FINO BC – Payment Services (via FINO)</t>
  </si>
  <si>
    <t xml:space="preserve">FINO BC – भुगतान सेवाएँ (FINO के माध्यम से)</t>
  </si>
  <si>
    <t xml:space="preserve">FINO BC – Payment Services (via FINO) at our FINO Payments Bank BC Point.</t>
  </si>
  <si>
    <t xml:space="preserve">Payment services through the FINO channel.</t>
  </si>
  <si>
    <t xml:space="preserve">Step 1 → Confirm which payment is required.
Step 2 → Operator processes it through the FINO channel.
Step 3 → Pay the amount and service charge.
Step 4 → Collect the receipt.</t>
  </si>
  <si>
    <t xml:space="preserve">fino-bc-payment-services-via-fino</t>
  </si>
  <si>
    <t xml:space="preserve">💳</t>
  </si>
  <si>
    <t xml:space="preserve">Individual bill types are listed in the RECHARGE &amp; BILL sheet; confirm which run through FINO</t>
  </si>
  <si>
    <t xml:space="preserve">FINO BC – Payment Services (via FINO) Service | Devmobile Stores</t>
  </si>
  <si>
    <t xml:space="preserve">FINO BC – Payment Services (via FINO) (FINO BC – भुगतान सेवाएँ (FINO के माध्यम से)) at Devmobile Stores and Common Service Center &amp; Aadhaar Centre. Check required documents, charges and process before you visit.</t>
  </si>
  <si>
    <t xml:space="preserve">FINO BC – भुगतान सेवाएँ (FINO के माध्यम से), FINO पेमेंट्स बैंक BC पॉइंट, सेवा</t>
  </si>
  <si>
    <t xml:space="preserve">FINO BC – Payment Services (via FINO), FINO Payments Bank BC Point, Devmobile Stores</t>
  </si>
  <si>
    <t xml:space="preserve">BAS-001</t>
  </si>
  <si>
    <t xml:space="preserve">BASUDHA Kendra</t>
  </si>
  <si>
    <t xml:space="preserve">Government Services</t>
  </si>
  <si>
    <t xml:space="preserve">Certificates</t>
  </si>
  <si>
    <t xml:space="preserve">Income Certificate – Application</t>
  </si>
  <si>
    <t xml:space="preserve">आय प्रमाण पत्र – आवेदन</t>
  </si>
  <si>
    <t xml:space="preserve">Income Certificate – Application through our BASUDHA Kendra.</t>
  </si>
  <si>
    <t xml:space="preserve">Apply for Income Certificate through the BASUDHA Kendra.</t>
  </si>
  <si>
    <t xml:space="preserve">Eligible residents as per Income Certificate rules.</t>
  </si>
  <si>
    <t xml:space="preserve">Step 1 → Bring Aadhaar, photo and supporting proofs.
Step 2 → Operator fills the Income Certificate application on the portal.
Step 3 → Documents are scanned and uploaded.
Step 4 → Application is submitted and the application number is given.
Step 5 → Track status; certificate is downloaded once approved.</t>
  </si>
  <si>
    <t xml:space="preserve">Bihar e-Service / RTPS portal (verify)</t>
  </si>
  <si>
    <t xml:space="preserve">income-certificate-application</t>
  </si>
  <si>
    <t xml:space="preserve">📜</t>
  </si>
  <si>
    <t xml:space="preserve">Q1: How can I track my application?
A1: Use the application number given at submission.</t>
  </si>
  <si>
    <t xml:space="preserve">Portal / district authorization decides availability. Confirm with the shop before visiting.</t>
  </si>
  <si>
    <t xml:space="preserve">Income Certificate – Application Service | Devmobile Stores</t>
  </si>
  <si>
    <t xml:space="preserve">Income Certificate – Application (आय प्रमाण पत्र – आवेदन) at Devmobile Stores and Common Service Center &amp; Aadhaar Centre. Check required documents, charges and process before you visit.</t>
  </si>
  <si>
    <t xml:space="preserve">आय प्रमाण पत्र – आवेदन, बसुधा केंद्र, सेवा</t>
  </si>
  <si>
    <t xml:space="preserve">Income Certificate – Application, BASUDHA Kendra, Devmobile Stores</t>
  </si>
  <si>
    <t xml:space="preserve">BAS-002</t>
  </si>
  <si>
    <t xml:space="preserve">Caste Certificate – Application</t>
  </si>
  <si>
    <t xml:space="preserve">जाति प्रमाण पत्र – आवेदन</t>
  </si>
  <si>
    <t xml:space="preserve">Caste Certificate – Application through our BASUDHA Kendra.</t>
  </si>
  <si>
    <t xml:space="preserve">Apply for Caste Certificate through the BASUDHA Kendra.</t>
  </si>
  <si>
    <t xml:space="preserve">Eligible residents as per Caste Certificate rules.</t>
  </si>
  <si>
    <t xml:space="preserve">Step 1 → Bring Aadhaar, photo and supporting proofs.
Step 2 → Operator fills the Caste Certificate application on the portal.
Step 3 → Documents are scanned and uploaded.
Step 4 → Application is submitted and the application number is given.
Step 5 → Track status; certificate is downloaded once approved.</t>
  </si>
  <si>
    <t xml:space="preserve">caste-certificate-application</t>
  </si>
  <si>
    <t xml:space="preserve">Caste Certificate – Application Service | Devmobile Stores</t>
  </si>
  <si>
    <t xml:space="preserve">Caste Certificate – Application (जाति प्रमाण पत्र – आवेदन) at Devmobile Stores and Common Service Center &amp; Aadhaar Centre. Check required documents, charges and process before you visit.</t>
  </si>
  <si>
    <t xml:space="preserve">जाति प्रमाण पत्र – आवेदन, बसुधा केंद्र, सेवा</t>
  </si>
  <si>
    <t xml:space="preserve">Caste Certificate – Application, BASUDHA Kendra, Devmobile Stores</t>
  </si>
  <si>
    <t xml:space="preserve">BAS-003</t>
  </si>
  <si>
    <t xml:space="preserve">Residence Certificate – Application</t>
  </si>
  <si>
    <t xml:space="preserve">निवास प्रमाण पत्र – आवेदन</t>
  </si>
  <si>
    <t xml:space="preserve">Residence Certificate – Application through our BASUDHA Kendra.</t>
  </si>
  <si>
    <t xml:space="preserve">Apply for Residence Certificate through the BASUDHA Kendra.</t>
  </si>
  <si>
    <t xml:space="preserve">Eligible residents as per Residence Certificate rules.</t>
  </si>
  <si>
    <t xml:space="preserve">Step 1 → Bring Aadhaar, photo and supporting proofs.
Step 2 → Operator fills the Residence Certificate application on the portal.
Step 3 → Documents are scanned and uploaded.
Step 4 → Application is submitted and the application number is given.
Step 5 → Track status; certificate is downloaded once approved.</t>
  </si>
  <si>
    <t xml:space="preserve">residence-certificate-application</t>
  </si>
  <si>
    <t xml:space="preserve">Residence Certificate – Application Service | Devmobile Stores</t>
  </si>
  <si>
    <t xml:space="preserve">Residence Certificate – Application (निवास प्रमाण पत्र – आवेदन) at Devmobile Stores and Common Service Center &amp; Aadhaar Centre. Check required documents, charges and process before you visit.</t>
  </si>
  <si>
    <t xml:space="preserve">निवास प्रमाण पत्र – आवेदन, बसुधा केंद्र, सेवा</t>
  </si>
  <si>
    <t xml:space="preserve">Residence Certificate – Application, BASUDHA Kendra, Devmobile Stores</t>
  </si>
  <si>
    <t xml:space="preserve">BAS-004</t>
  </si>
  <si>
    <t xml:space="preserve">EWS Certificate – Application</t>
  </si>
  <si>
    <t xml:space="preserve">EWS प्रमाण पत्र – आवेदन</t>
  </si>
  <si>
    <t xml:space="preserve">EWS Certificate – Application through our BASUDHA Kendra.</t>
  </si>
  <si>
    <t xml:space="preserve">Apply for EWS Certificate through the BASUDHA Kendra.</t>
  </si>
  <si>
    <t xml:space="preserve">Eligible residents as per EWS Certificate rules.</t>
  </si>
  <si>
    <t xml:space="preserve">Step 1 → Bring Aadhaar, photo and supporting proofs.
Step 2 → Operator fills the EWS Certificate application on the portal.
Step 3 → Documents are scanned and uploaded.
Step 4 → Application is submitted and the application number is given.
Step 5 → Track status; certificate is downloaded once approved.</t>
  </si>
  <si>
    <t xml:space="preserve">ews-certificate-application</t>
  </si>
  <si>
    <t xml:space="preserve">EWS Certificate – Application Service | Devmobile Stores</t>
  </si>
  <si>
    <t xml:space="preserve">EWS Certificate – Application (EWS प्रमाण पत्र – आवेदन) at Devmobile Stores and Common Service Center &amp; Aadhaar Centre. Check required documents, charges and process before you visit.</t>
  </si>
  <si>
    <t xml:space="preserve">EWS प्रमाण पत्र – आवेदन, बसुधा केंद्र, सेवा</t>
  </si>
  <si>
    <t xml:space="preserve">EWS Certificate – Application, BASUDHA Kendra, Devmobile Stores</t>
  </si>
  <si>
    <t xml:space="preserve">BAS-005</t>
  </si>
  <si>
    <t xml:space="preserve">Non-Creamy Layer (OBC / EBC) Certificate – Application</t>
  </si>
  <si>
    <t xml:space="preserve">नॉन-क्रीमी लेयर (OBC / EBC) प्रमाण पत्र – आवेदन</t>
  </si>
  <si>
    <t xml:space="preserve">Non-Creamy Layer (OBC / EBC) Certificate – Application through our BASUDHA Kendra.</t>
  </si>
  <si>
    <t xml:space="preserve">Apply for Non-Creamy Layer (OBC / EBC) Certificate through the BASUDHA Kendra.</t>
  </si>
  <si>
    <t xml:space="preserve">Eligible residents as per Non-Creamy Layer (OBC / EBC) Certificate rules.</t>
  </si>
  <si>
    <t xml:space="preserve">Step 1 → Bring Aadhaar, photo and supporting proofs.
Step 2 → Operator fills the Non-Creamy Layer (OBC / EBC) Certificate application on the portal.
Step 3 → Documents are scanned and uploaded.
Step 4 → Application is submitted and the application number is given.
Step 5 → Track status; certificate is downloaded once approved.</t>
  </si>
  <si>
    <t xml:space="preserve">non-creamy-layer-obc-ebc-certificate-application</t>
  </si>
  <si>
    <t xml:space="preserve">Non-Creamy Layer (OBC / EBC) Certificate – Application Service | Devmobile Stores</t>
  </si>
  <si>
    <t xml:space="preserve">Non-Creamy Layer (OBC / EBC) Certificate – Application (नॉन-क्रीमी लेयर (OBC / EBC) प्रमाण पत्र – आवेदन) at Devmobile Stores and Common Service Center &amp; Aadhaar Centre. Check required documents, charges and process before you visit.</t>
  </si>
  <si>
    <t xml:space="preserve">नॉन-क्रीमी लेयर (OBC / EBC) प्रमाण पत्र – आवेदन, बसुधा केंद्र, सेवा</t>
  </si>
  <si>
    <t xml:space="preserve">Non-Creamy Layer (OBC / EBC) Certificate – Application, BASUDHA Kendra, Devmobile Stores</t>
  </si>
  <si>
    <t xml:space="preserve">BAS-006</t>
  </si>
  <si>
    <t xml:space="preserve">Birth Certificate – Application</t>
  </si>
  <si>
    <t xml:space="preserve">जन्म प्रमाण पत्र – आवेदन</t>
  </si>
  <si>
    <t xml:space="preserve">Birth Certificate – Application through our BASUDHA Kendra.</t>
  </si>
  <si>
    <t xml:space="preserve">Apply for Birth Certificate through the BASUDHA Kendra.</t>
  </si>
  <si>
    <t xml:space="preserve">Eligible residents as per Birth Certificate rules.</t>
  </si>
  <si>
    <t xml:space="preserve">Step 1 → Bring Aadhaar, photo and supporting proofs.
Step 2 → Operator fills the Birth Certificate application on the portal.
Step 3 → Documents are scanned and uploaded.
Step 4 → Application is submitted and the application number is given.
Step 5 → Track status; certificate is downloaded once approved.</t>
  </si>
  <si>
    <t xml:space="preserve">birth-certificate-application</t>
  </si>
  <si>
    <t xml:space="preserve">Birth Certificate – Application Service | Devmobile Stores</t>
  </si>
  <si>
    <t xml:space="preserve">Birth Certificate – Application (जन्म प्रमाण पत्र – आवेदन) at Devmobile Stores and Common Service Center &amp; Aadhaar Centre. Check required documents, charges and process before you visit.</t>
  </si>
  <si>
    <t xml:space="preserve">जन्म प्रमाण पत्र – आवेदन, बसुधा केंद्र, सेवा</t>
  </si>
  <si>
    <t xml:space="preserve">Birth Certificate – Application, BASUDHA Kendra, Devmobile Stores</t>
  </si>
  <si>
    <t xml:space="preserve">BAS-007</t>
  </si>
  <si>
    <t xml:space="preserve">Death Certificate – Application</t>
  </si>
  <si>
    <t xml:space="preserve">मृत्यु प्रमाण पत्र – आवेदन</t>
  </si>
  <si>
    <t xml:space="preserve">Death Certificate – Application through our BASUDHA Kendra.</t>
  </si>
  <si>
    <t xml:space="preserve">Apply for Death Certificate through the BASUDHA Kendra.</t>
  </si>
  <si>
    <t xml:space="preserve">Eligible residents as per Death Certificate rules.</t>
  </si>
  <si>
    <t xml:space="preserve">Step 1 → Bring Aadhaar, photo and supporting proofs.
Step 2 → Operator fills the Death Certificate application on the portal.
Step 3 → Documents are scanned and uploaded.
Step 4 → Application is submitted and the application number is given.
Step 5 → Track status; certificate is downloaded once approved.</t>
  </si>
  <si>
    <t xml:space="preserve">death-certificate-application</t>
  </si>
  <si>
    <t xml:space="preserve">Death Certificate – Application Service | Devmobile Stores</t>
  </si>
  <si>
    <t xml:space="preserve">Death Certificate – Application (मृत्यु प्रमाण पत्र – आवेदन) at Devmobile Stores and Common Service Center &amp; Aadhaar Centre. Check required documents, charges and process before you visit.</t>
  </si>
  <si>
    <t xml:space="preserve">मृत्यु प्रमाण पत्र – आवेदन, बसुधा केंद्र, सेवा</t>
  </si>
  <si>
    <t xml:space="preserve">Death Certificate – Application, BASUDHA Kendra, Devmobile Stores</t>
  </si>
  <si>
    <t xml:space="preserve">BAS-008</t>
  </si>
  <si>
    <t xml:space="preserve">Marriage Registration / Certificate – Application</t>
  </si>
  <si>
    <t xml:space="preserve">विवाह पंजीकरण / प्रमाण पत्र – आवेदन</t>
  </si>
  <si>
    <t xml:space="preserve">Marriage Registration / Certificate – Application through our BASUDHA Kendra.</t>
  </si>
  <si>
    <t xml:space="preserve">Apply for Marriage Registration / Certificate through the BASUDHA Kendra.</t>
  </si>
  <si>
    <t xml:space="preserve">Eligible residents as per Marriage Registration / Certificate rules.</t>
  </si>
  <si>
    <t xml:space="preserve">Step 1 → Bring Aadhaar, photo and supporting proofs.
Step 2 → Operator fills the Marriage Registration / Certificate application on the portal.
Step 3 → Documents are scanned and uploaded.
Step 4 → Application is submitted and the application number is given.
Step 5 → Track status; certificate is downloaded once approved.</t>
  </si>
  <si>
    <t xml:space="preserve">marriage-registration-certificate-application</t>
  </si>
  <si>
    <t xml:space="preserve">Marriage Registration / Certificate – Application Service | Devmobile Stores</t>
  </si>
  <si>
    <t xml:space="preserve">Marriage Registration / Certificate – Application (विवाह पंजीकरण / प्रमाण पत्र – आवेदन) at Devmobile Stores and Common Service Center &amp; Aadhaar Centre. Check required documents, charges and process before you visit.</t>
  </si>
  <si>
    <t xml:space="preserve">विवाह पंजीकरण / प्रमाण पत्र – आवेदन, बसुधा केंद्र, सेवा</t>
  </si>
  <si>
    <t xml:space="preserve">Marriage Registration / Certificate – Application, BASUDHA Kendra, Devmobile Stores</t>
  </si>
  <si>
    <t xml:space="preserve">BAS-009</t>
  </si>
  <si>
    <t xml:space="preserve">Character Certificate – Application</t>
  </si>
  <si>
    <t xml:space="preserve">चरित्र प्रमाण पत्र – आवेदन</t>
  </si>
  <si>
    <t xml:space="preserve">Character Certificate – Application through our BASUDHA Kendra.</t>
  </si>
  <si>
    <t xml:space="preserve">Apply for Character Certificate through the BASUDHA Kendra.</t>
  </si>
  <si>
    <t xml:space="preserve">Eligible residents as per Character Certificate rules.</t>
  </si>
  <si>
    <t xml:space="preserve">Step 1 → Bring Aadhaar, photo and supporting proofs.
Step 2 → Operator fills the Character Certificate application on the portal.
Step 3 → Documents are scanned and uploaded.
Step 4 → Application is submitted and the application number is given.
Step 5 → Track status; certificate is downloaded once approved.</t>
  </si>
  <si>
    <t xml:space="preserve">character-certificate-application</t>
  </si>
  <si>
    <t xml:space="preserve">Character Certificate – Application Service | Devmobile Stores</t>
  </si>
  <si>
    <t xml:space="preserve">Character Certificate – Application (चरित्र प्रमाण पत्र – आवेदन) at Devmobile Stores and Common Service Center &amp; Aadhaar Centre. Check required documents, charges and process before you visit.</t>
  </si>
  <si>
    <t xml:space="preserve">चरित्र प्रमाण पत्र – आवेदन, बसुधा केंद्र, सेवा</t>
  </si>
  <si>
    <t xml:space="preserve">Character Certificate – Application, BASUDHA Kendra, Devmobile Stores</t>
  </si>
  <si>
    <t xml:space="preserve">BAS-010</t>
  </si>
  <si>
    <t xml:space="preserve">Certificate Correction / Re-application Assistance</t>
  </si>
  <si>
    <t xml:space="preserve">प्रमाण पत्र सुधार / पुनः आवेदन सहायता</t>
  </si>
  <si>
    <t xml:space="preserve">Certificate Correction / Re-application Assistance through our BASUDHA Kendra.</t>
  </si>
  <si>
    <t xml:space="preserve">Apply for Certificate Correction / Re-application Assistance through the BASUDHA Kendra.</t>
  </si>
  <si>
    <t xml:space="preserve">Eligible residents as per Certificate Correction / Re-application Assistance rules.</t>
  </si>
  <si>
    <t xml:space="preserve">Step 1 → Bring Aadhaar, photo and supporting proofs.
Step 2 → Operator fills the Certificate Correction / Re-application Assistance application on the portal.
Step 3 → Documents are scanned and uploaded.
Step 4 → Application is submitted and the application number is given.
Step 5 → Track status; certificate is downloaded once approved.</t>
  </si>
  <si>
    <t xml:space="preserve">certificate-correction-re-application-assistance</t>
  </si>
  <si>
    <t xml:space="preserve">Certificate Correction / Re-application Assistance Service | Devmobile Stores</t>
  </si>
  <si>
    <t xml:space="preserve">Certificate Correction / Re-application Assistance (प्रमाण पत्र सुधार / पुनः आवेदन सहायता) at Devmobile Stores and Common Service Center &amp; Aadhaar Centre. Check required documents, charges and process before you visit.</t>
  </si>
  <si>
    <t xml:space="preserve">प्रमाण पत्र सुधार / पुनः आवेदन सहायता, बसुधा केंद्र, सेवा</t>
  </si>
  <si>
    <t xml:space="preserve">Certificate Correction / Re-application Assistance, BASUDHA Kendra, Devmobile Stores</t>
  </si>
  <si>
    <t xml:space="preserve">BAS-011</t>
  </si>
  <si>
    <t xml:space="preserve">Certificate Download</t>
  </si>
  <si>
    <t xml:space="preserve">प्रमाण पत्र डाउनलोड</t>
  </si>
  <si>
    <t xml:space="preserve">Certificate Download through our BASUDHA Kendra.</t>
  </si>
  <si>
    <t xml:space="preserve">Certificate Download once approved.</t>
  </si>
  <si>
    <t xml:space="preserve">Step 1 → Give the application number.
Step 2 → Operator logs in to the portal and finds the certificate.
Step 3 → Certificate is downloaded / printed.
Step 4 → Pay charge and collect it.</t>
  </si>
  <si>
    <t xml:space="preserve">certificate-download</t>
  </si>
  <si>
    <t xml:space="preserve">Certificate Download Service | Devmobile Stores</t>
  </si>
  <si>
    <t xml:space="preserve">Certificate Download (प्रमाण पत्र डाउनलोड) at Devmobile Stores and Common Service Center &amp; Aadhaar Centre. Check required documents, charges and process before you visit.</t>
  </si>
  <si>
    <t xml:space="preserve">प्रमाण पत्र डाउनलोड, बसुधा केंद्र, सेवा</t>
  </si>
  <si>
    <t xml:space="preserve">Certificate Download, BASUDHA Kendra, Devmobile Stores</t>
  </si>
  <si>
    <t xml:space="preserve">BAS-012</t>
  </si>
  <si>
    <t xml:space="preserve">Certificate Print</t>
  </si>
  <si>
    <t xml:space="preserve">प्रमाण पत्र प्रिंट</t>
  </si>
  <si>
    <t xml:space="preserve">Certificate Print through our BASUDHA Kendra.</t>
  </si>
  <si>
    <t xml:space="preserve">Certificate Print once approved.</t>
  </si>
  <si>
    <t xml:space="preserve">certificate-print</t>
  </si>
  <si>
    <t xml:space="preserve">Certificate Print Service | Devmobile Stores</t>
  </si>
  <si>
    <t xml:space="preserve">Certificate Print (प्रमाण पत्र प्रिंट) at Devmobile Stores and Common Service Center &amp; Aadhaar Centre. Check required documents, charges and process before you visit.</t>
  </si>
  <si>
    <t xml:space="preserve">प्रमाण पत्र प्रिंट, बसुधा केंद्र, सेवा</t>
  </si>
  <si>
    <t xml:space="preserve">Certificate Print, BASUDHA Kendra, Devmobile Stores</t>
  </si>
  <si>
    <t xml:space="preserve">BAS-013</t>
  </si>
  <si>
    <t xml:space="preserve">Government Scheme Applications</t>
  </si>
  <si>
    <t xml:space="preserve">Old Age Pension – Application</t>
  </si>
  <si>
    <t xml:space="preserve">वृद्धावस्था पेंशन – आवेदन</t>
  </si>
  <si>
    <t xml:space="preserve">Old Age Pension – Application through our BASUDHA Kendra.</t>
  </si>
  <si>
    <t xml:space="preserve">Apply for Old Age Pension.</t>
  </si>
  <si>
    <t xml:space="preserve">As per the scheme's eligibility rules.</t>
  </si>
  <si>
    <t xml:space="preserve">Step 1 → Bring Aadhaar, bank passbook and photo.
Step 2 → Operator fills the pension application on the portal.
Step 3 → Documents are uploaded and submitted.
Step 4 → Note the application number.</t>
  </si>
  <si>
    <t xml:space="preserve">old-age-pension-application</t>
  </si>
  <si>
    <t xml:space="preserve">🏛️</t>
  </si>
  <si>
    <t xml:space="preserve">State scheme; confirm availability on your BASUDHA ID</t>
  </si>
  <si>
    <t xml:space="preserve">Old Age Pension – Application Service | Devmobile Stores</t>
  </si>
  <si>
    <t xml:space="preserve">Old Age Pension – Application (वृद्धावस्था पेंशन – आवेदन) at Devmobile Stores and Common Service Center &amp; Aadhaar Centre. Check required documents, charges and process before you visit.</t>
  </si>
  <si>
    <t xml:space="preserve">वृद्धावस्था पेंशन – आवेदन, बसुधा केंद्र, सेवा</t>
  </si>
  <si>
    <t xml:space="preserve">Old Age Pension – Application, BASUDHA Kendra, Devmobile Stores</t>
  </si>
  <si>
    <t xml:space="preserve">BAS-014</t>
  </si>
  <si>
    <t xml:space="preserve">Widow Pension – Application</t>
  </si>
  <si>
    <t xml:space="preserve">विधवा पेंशन – आवेदन</t>
  </si>
  <si>
    <t xml:space="preserve">Widow Pension – Application through our BASUDHA Kendra.</t>
  </si>
  <si>
    <t xml:space="preserve">Apply for Widow Pension.</t>
  </si>
  <si>
    <t xml:space="preserve">widow-pension-application</t>
  </si>
  <si>
    <t xml:space="preserve">Widow Pension – Application Service | Devmobile Stores</t>
  </si>
  <si>
    <t xml:space="preserve">Widow Pension – Application (विधवा पेंशन – आवेदन) at Devmobile Stores and Common Service Center &amp; Aadhaar Centre. Check required documents, charges and process before you visit.</t>
  </si>
  <si>
    <t xml:space="preserve">विधवा पेंशन – आवेदन, बसुधा केंद्र, सेवा</t>
  </si>
  <si>
    <t xml:space="preserve">Widow Pension – Application, BASUDHA Kendra, Devmobile Stores</t>
  </si>
  <si>
    <t xml:space="preserve">BAS-015</t>
  </si>
  <si>
    <t xml:space="preserve">Divyang (Disability) Pension – Application</t>
  </si>
  <si>
    <t xml:space="preserve">दिव्यांग पेंशन – आवेदन</t>
  </si>
  <si>
    <t xml:space="preserve">Divyang (Disability) Pension – Application through our BASUDHA Kendra.</t>
  </si>
  <si>
    <t xml:space="preserve">Apply for Divyang (Disability) Pension.</t>
  </si>
  <si>
    <t xml:space="preserve">divyang-disability-pension-application</t>
  </si>
  <si>
    <t xml:space="preserve">Divyang (Disability) Pension – Application Service | Devmobile Stores</t>
  </si>
  <si>
    <t xml:space="preserve">Divyang (Disability) Pension – Application (दिव्यांग पेंशन – आवेदन) at Devmobile Stores and Common Service Center &amp; Aadhaar Centre. Check required documents, charges and process before you visit.</t>
  </si>
  <si>
    <t xml:space="preserve">दिव्यांग पेंशन – आवेदन, बसुधा केंद्र, सेवा</t>
  </si>
  <si>
    <t xml:space="preserve">Divyang (Disability) Pension – Application, BASUDHA Kendra, Devmobile Stores</t>
  </si>
  <si>
    <t xml:space="preserve">BAS-016</t>
  </si>
  <si>
    <t xml:space="preserve">Government Scheme Application – General</t>
  </si>
  <si>
    <t xml:space="preserve">सरकारी योजना आवेदन – सामान्य</t>
  </si>
  <si>
    <t xml:space="preserve">Government Scheme Application – General through our BASUDHA Kendra.</t>
  </si>
  <si>
    <t xml:space="preserve">Government Scheme Application – General through the government portal.</t>
  </si>
  <si>
    <t xml:space="preserve">Step 1 → Tell the shop which application or service you need.
Step 2 → Operator opens the matching portal option.
Step 3 → Details are filled and documents uploaded.
Step 4 → Submit and collect the acknowledgement / receipt.</t>
  </si>
  <si>
    <t xml:space="preserve">government-scheme-application-general</t>
  </si>
  <si>
    <t xml:space="preserve">Only schemes enabled on the portal for your login</t>
  </si>
  <si>
    <t xml:space="preserve">Government Scheme Application – General Service | Devmobile Stores</t>
  </si>
  <si>
    <t xml:space="preserve">Government Scheme Application – General (सरकारी योजना आवेदन – सामान्य) at Devmobile Stores and Common Service Center &amp; Aadhaar Centre. Check required documents, charges and process before you visit.</t>
  </si>
  <si>
    <t xml:space="preserve">सरकारी योजना आवेदन – सामान्य, बसुधा केंद्र, सेवा</t>
  </si>
  <si>
    <t xml:space="preserve">Government Scheme Application – General, BASUDHA Kendra, Devmobile Stores</t>
  </si>
  <si>
    <t xml:space="preserve">BAS-017</t>
  </si>
  <si>
    <t xml:space="preserve">Ration Card</t>
  </si>
  <si>
    <t xml:space="preserve">Ration Card – New Application</t>
  </si>
  <si>
    <t xml:space="preserve">राशन कार्ड – नया आवेदन</t>
  </si>
  <si>
    <t xml:space="preserve">Ration Card – New Application through our BASUDHA Kendra.</t>
  </si>
  <si>
    <t xml:space="preserve">Ration Card – New Application through the state portal.</t>
  </si>
  <si>
    <t xml:space="preserve">Step 1 → Bring Aadhaar of all family members and existing ration card (if any).
Step 2 → Operator fills the ration card form on the portal.
Step 3 → Documents are uploaded.
Step 4 → Application number is given to track the status.</t>
  </si>
  <si>
    <t xml:space="preserve">ration-card-new-application</t>
  </si>
  <si>
    <t xml:space="preserve">🌾</t>
  </si>
  <si>
    <t xml:space="preserve">Ration Card – New Application Service | Devmobile Stores</t>
  </si>
  <si>
    <t xml:space="preserve">Ration Card – New Application (राशन कार्ड – नया आवेदन) at Devmobile Stores and Common Service Center &amp; Aadhaar Centre. Check required documents, charges and process before you visit.</t>
  </si>
  <si>
    <t xml:space="preserve">राशन कार्ड – नया आवेदन, बसुधा केंद्र, सेवा</t>
  </si>
  <si>
    <t xml:space="preserve">Ration Card – New Application, BASUDHA Kendra, Devmobile Stores</t>
  </si>
  <si>
    <t xml:space="preserve">BAS-018</t>
  </si>
  <si>
    <t xml:space="preserve">Ration Card – Member Add / Delete / Correction</t>
  </si>
  <si>
    <t xml:space="preserve">राशन कार्ड – सदस्य जोड़ना / हटाना / सुधार</t>
  </si>
  <si>
    <t xml:space="preserve">Ration Card – Member Add / Delete / Correction through our BASUDHA Kendra.</t>
  </si>
  <si>
    <t xml:space="preserve">Ration Card – Member Add / Delete / Correction through the state portal.</t>
  </si>
  <si>
    <t xml:space="preserve">ration-card-member-add-delete-correction</t>
  </si>
  <si>
    <t xml:space="preserve">Ration Card – Member Add / Delete / Correction Service | Devmobile Stores</t>
  </si>
  <si>
    <t xml:space="preserve">Ration Card – Member Add / Delete / Correction (राशन कार्ड – सदस्य जोड़ना / हटाना / सुधार) at Devmobile Stores and Common Service Center &amp; Aadhaar Centre. Check required documents, charges and process before you visit.</t>
  </si>
  <si>
    <t xml:space="preserve">राशन कार्ड – सदस्य जोड़ना / हटाना / सुधार, बसुधा केंद्र, सेवा</t>
  </si>
  <si>
    <t xml:space="preserve">Ration Card – Member Add / Delete / Correction, BASUDHA Kendra, Devmobile Stores</t>
  </si>
  <si>
    <t xml:space="preserve">BAS-019</t>
  </si>
  <si>
    <t xml:space="preserve">Ration Card – Status Check / Download</t>
  </si>
  <si>
    <t xml:space="preserve">राशन कार्ड – स्थिति जाँच / डाउनलोड</t>
  </si>
  <si>
    <t xml:space="preserve">Ration Card – Status Check / Download through our BASUDHA Kendra.</t>
  </si>
  <si>
    <t xml:space="preserve">Ration Card – Status Check / Download through the state portal.</t>
  </si>
  <si>
    <t xml:space="preserve">ration-card-status-check-download</t>
  </si>
  <si>
    <t xml:space="preserve">Ration Card – Status Check / Download Service | Devmobile Stores</t>
  </si>
  <si>
    <t xml:space="preserve">Ration Card – Status Check / Download (राशन कार्ड – स्थिति जाँच / डाउनलोड) at Devmobile Stores and Common Service Center &amp; Aadhaar Centre. Check required documents, charges and process before you visit.</t>
  </si>
  <si>
    <t xml:space="preserve">राशन कार्ड – स्थिति जाँच / डाउनलोड, बसुधा केंद्र, सेवा</t>
  </si>
  <si>
    <t xml:space="preserve">Ration Card – Status Check / Download, BASUDHA Kendra, Devmobile Stores</t>
  </si>
  <si>
    <t xml:space="preserve">BAS-020</t>
  </si>
  <si>
    <t xml:space="preserve">Land &amp; Revenue Services</t>
  </si>
  <si>
    <t xml:space="preserve">Land Record (Jamabandi / Khatiyan) Copy Download</t>
  </si>
  <si>
    <t xml:space="preserve">भूमि रिकॉर्ड (जमाबंदी / खतियान) नकल डाउनलोड</t>
  </si>
  <si>
    <t xml:space="preserve">Land Record (Jamabandi / Khatiyan) Copy Download through our BASUDHA Kendra.</t>
  </si>
  <si>
    <t xml:space="preserve">Land Record (Jamabandi / Khatiyan) Copy Download through the land revenue portal.</t>
  </si>
  <si>
    <t xml:space="preserve">Step 1 → Bring land details (khata / khesra / plot).
Step 2 → Operator opens the land revenue portal.
Step 3 → Record is searched / application filled.
Step 4 → Download, print or pay as required.</t>
  </si>
  <si>
    <t xml:space="preserve">land-record-jamabandi-khatiyan-copy-download</t>
  </si>
  <si>
    <t xml:space="preserve">🗺️</t>
  </si>
  <si>
    <t xml:space="preserve">Land Record (Jamabandi / Khatiyan) Copy Download Service | Devmobile Stores</t>
  </si>
  <si>
    <t xml:space="preserve">Land Record (Jamabandi / Khatiyan) Copy Download (भूमि रिकॉर्ड (जमाबंदी / खतियान) नकल डाउनलोड) at Devmobile Stores and Common Service Center &amp; Aadhaar Centre. Check required documents, charges and process before you visit.</t>
  </si>
  <si>
    <t xml:space="preserve">भूमि रिकॉर्ड (जमाबंदी / खतियान) नकल डाउनलोड, बसुधा केंद्र, सेवा</t>
  </si>
  <si>
    <t xml:space="preserve">Land Record (Jamabandi / Khatiyan) Copy Download, BASUDHA Kendra, Devmobile Stores</t>
  </si>
  <si>
    <t xml:space="preserve">BAS-021</t>
  </si>
  <si>
    <t xml:space="preserve">Land Mutation (Dakhil-Kharij) Application Assistance</t>
  </si>
  <si>
    <t xml:space="preserve">दाखिल-खारिज आवेदन सहायता</t>
  </si>
  <si>
    <t xml:space="preserve">Land Mutation (Dakhil-Kharij) Application Assistance through our BASUDHA Kendra.</t>
  </si>
  <si>
    <t xml:space="preserve">Land Mutation (Dakhil-Kharij) Application Assistance through the land revenue portal.</t>
  </si>
  <si>
    <t xml:space="preserve">land-mutation-dakhil-kharij-application-assistance</t>
  </si>
  <si>
    <t xml:space="preserve">Land Mutation (Dakhil-Kharij) Application Assistance Service | Devmobile Stores</t>
  </si>
  <si>
    <t xml:space="preserve">Land Mutation (Dakhil-Kharij) Application Assistance (दाखिल-खारिज आवेदन सहायता) at Devmobile Stores and Common Service Center &amp; Aadhaar Centre. Check required documents, charges and process before you visit.</t>
  </si>
  <si>
    <t xml:space="preserve">दाखिल-खारिज आवेदन सहायता, बसुधा केंद्र, सेवा</t>
  </si>
  <si>
    <t xml:space="preserve">Land Mutation (Dakhil-Kharij) Application Assistance, BASUDHA Kendra, Devmobile Stores</t>
  </si>
  <si>
    <t xml:space="preserve">BAS-022</t>
  </si>
  <si>
    <t xml:space="preserve">Land Rent (Lagaan) Online Payment Assistance</t>
  </si>
  <si>
    <t xml:space="preserve">ऑनलाइन लगान भुगतान सहायता</t>
  </si>
  <si>
    <t xml:space="preserve">Land Rent (Lagaan) Online Payment Assistance through our BASUDHA Kendra.</t>
  </si>
  <si>
    <t xml:space="preserve">Land Rent (Lagaan) Online Payment Assistance through the land revenue portal.</t>
  </si>
  <si>
    <t xml:space="preserve">land-rent-lagaan-online-payment-assistance</t>
  </si>
  <si>
    <t xml:space="preserve">Land Rent (Lagaan) Online Payment Assistance Service | Devmobile Stores</t>
  </si>
  <si>
    <t xml:space="preserve">Land Rent (Lagaan) Online Payment Assistance (ऑनलाइन लगान भुगतान सहायता) at Devmobile Stores and Common Service Center &amp; Aadhaar Centre. Check required documents, charges and process before you visit.</t>
  </si>
  <si>
    <t xml:space="preserve">ऑनलाइन लगान भुगतान सहायता, बसुधा केंद्र, सेवा</t>
  </si>
  <si>
    <t xml:space="preserve">Land Rent (Lagaan) Online Payment Assistance, BASUDHA Kendra, Devmobile Stores</t>
  </si>
  <si>
    <t xml:space="preserve">BAS-023</t>
  </si>
  <si>
    <t xml:space="preserve">Public Service Applications</t>
  </si>
  <si>
    <t xml:space="preserve">Public Service Application (RTPS / e-Service) – General</t>
  </si>
  <si>
    <t xml:space="preserve">लोक सेवा आवेदन (RTPS / e-Service) – सामान्य</t>
  </si>
  <si>
    <t xml:space="preserve">Public Service Application (RTPS / e-Service) – General through our BASUDHA Kendra.</t>
  </si>
  <si>
    <t xml:space="preserve">Public Service Application (RTPS / e-Service) – General through the government portal.</t>
  </si>
  <si>
    <t xml:space="preserve">public-service-application-rtps-e-service-general</t>
  </si>
  <si>
    <t xml:space="preserve">Public Service Application (RTPS / e-Service) – General Service | Devmobile Stores</t>
  </si>
  <si>
    <t xml:space="preserve">Public Service Application (RTPS / e-Service) – General (लोक सेवा आवेदन (RTPS / e-Service) – सामान्य) at Devmobile Stores and Common Service Center &amp; Aadhaar Centre. Check required documents, charges and process before you visit.</t>
  </si>
  <si>
    <t xml:space="preserve">लोक सेवा आवेदन (RTPS / e-Service) – सामान्य, बसुधा केंद्र, सेवा</t>
  </si>
  <si>
    <t xml:space="preserve">Public Service Application (RTPS / e-Service) – General, BASUDHA Kendra, Devmobile Stores</t>
  </si>
  <si>
    <t xml:space="preserve">BAS-024</t>
  </si>
  <si>
    <t xml:space="preserve">Online Government Application – General</t>
  </si>
  <si>
    <t xml:space="preserve">ऑनलाइन सरकारी आवेदन – सामान्य</t>
  </si>
  <si>
    <t xml:space="preserve">Online Government Application – General through our BASUDHA Kendra.</t>
  </si>
  <si>
    <t xml:space="preserve">Online Government Application – General through the government portal.</t>
  </si>
  <si>
    <t xml:space="preserve">online-government-application-general</t>
  </si>
  <si>
    <t xml:space="preserve">Online Government Application – General Service | Devmobile Stores</t>
  </si>
  <si>
    <t xml:space="preserve">Online Government Application – General (ऑनलाइन सरकारी आवेदन – सामान्य) at Devmobile Stores and Common Service Center &amp; Aadhaar Centre. Check required documents, charges and process before you visit.</t>
  </si>
  <si>
    <t xml:space="preserve">ऑनलाइन सरकारी आवेदन – सामान्य, बसुधा केंद्र, सेवा</t>
  </si>
  <si>
    <t xml:space="preserve">Online Government Application – General, BASUDHA Kendra, Devmobile Stores</t>
  </si>
  <si>
    <t xml:space="preserve">BAS-025</t>
  </si>
  <si>
    <t xml:space="preserve">Application Status Check</t>
  </si>
  <si>
    <t xml:space="preserve">आवेदन स्थिति जाँच</t>
  </si>
  <si>
    <t xml:space="preserve">Application Status Check through our BASUDHA Kendra.</t>
  </si>
  <si>
    <t xml:space="preserve">Application Status Check through the government portal.</t>
  </si>
  <si>
    <t xml:space="preserve">application-status-check</t>
  </si>
  <si>
    <t xml:space="preserve">Application Status Check Service | Devmobile Stores</t>
  </si>
  <si>
    <t xml:space="preserve">Application Status Check (आवेदन स्थिति जाँच) at Devmobile Stores and Common Service Center &amp; Aadhaar Centre. Check required documents, charges and process before you visit.</t>
  </si>
  <si>
    <t xml:space="preserve">आवेदन स्थिति जाँच, बसुधा केंद्र, सेवा</t>
  </si>
  <si>
    <t xml:space="preserve">Application Status Check, BASUDHA Kendra, Devmobile Stores</t>
  </si>
  <si>
    <t xml:space="preserve">BAS-026</t>
  </si>
  <si>
    <t xml:space="preserve">Application Acknowledgement / Receipt Print</t>
  </si>
  <si>
    <t xml:space="preserve">आवेदन पावती / रसीद प्रिंट</t>
  </si>
  <si>
    <t xml:space="preserve">Application Acknowledgement / Receipt Print through our BASUDHA Kendra.</t>
  </si>
  <si>
    <t xml:space="preserve">Application Acknowledgement / Receipt Print through the government portal.</t>
  </si>
  <si>
    <t xml:space="preserve">application-acknowledgement-receipt-print</t>
  </si>
  <si>
    <t xml:space="preserve">Application Acknowledgement / Receipt Print Service | Devmobile Stores</t>
  </si>
  <si>
    <t xml:space="preserve">Application Acknowledgement / Receipt Print (आवेदन पावती / रसीद प्रिंट) at Devmobile Stores and Common Service Center &amp; Aadhaar Centre. Check required documents, charges and process before you visit.</t>
  </si>
  <si>
    <t xml:space="preserve">आवेदन पावती / रसीद प्रिंट, बसुधा केंद्र, सेवा</t>
  </si>
  <si>
    <t xml:space="preserve">Application Acknowledgement / Receipt Print, BASUDHA Kendra, Devmobile Stores</t>
  </si>
  <si>
    <t xml:space="preserve">BAS-027</t>
  </si>
  <si>
    <t xml:space="preserve">Public Grievance / Complaint Filing Assistance</t>
  </si>
  <si>
    <t xml:space="preserve">सरकारी शिकायत / जनसुनवाई दर्ज करने में सहायता</t>
  </si>
  <si>
    <t xml:space="preserve">Public Grievance / Complaint Filing Assistance through our BASUDHA Kendra.</t>
  </si>
  <si>
    <t xml:space="preserve">Public Grievance / Complaint Filing Assistance through the government portal.</t>
  </si>
  <si>
    <t xml:space="preserve">public-grievance-complaint-filing-assistance</t>
  </si>
  <si>
    <t xml:space="preserve">Public Grievance / Complaint Filing Assistance Service | Devmobile Stores</t>
  </si>
  <si>
    <t xml:space="preserve">Public Grievance / Complaint Filing Assistance (सरकारी शिकायत / जनसुनवाई दर्ज करने में सहायता) at Devmobile Stores and Common Service Center &amp; Aadhaar Centre. Check required documents, charges and process before you visit.</t>
  </si>
  <si>
    <t xml:space="preserve">सरकारी शिकायत / जनसुनवाई दर्ज करने में सहायता, बसुधा केंद्र, सेवा</t>
  </si>
  <si>
    <t xml:space="preserve">Public Grievance / Complaint Filing Assistance, BASUDHA Kendra, Devmobile Stores</t>
  </si>
  <si>
    <t xml:space="preserve">CSC-001</t>
  </si>
  <si>
    <t xml:space="preserve">Common Service Centre (CSC)</t>
  </si>
  <si>
    <t xml:space="preserve">Government &amp; Digital Services (CSC)</t>
  </si>
  <si>
    <t xml:space="preserve">Passport Application Assistance</t>
  </si>
  <si>
    <t xml:space="preserve">पासपोर्ट आवेदन सहायता</t>
  </si>
  <si>
    <t xml:space="preserve">Passport Application Assistance through our Common Service Centre.</t>
  </si>
  <si>
    <t xml:space="preserve">As per the relevant scheme / department rules.</t>
  </si>
  <si>
    <t xml:space="preserve">Step 1 → Bring Aadhaar, mobile number and the documents listed above.
Step 2 → Operator opens the 'Passport Application Assistance' service on the CSC / government portal.
Step 3 → Your details are filled and verified with you.
Step 4 → Payment / fee (if any) is made.
Step 5 → Collect the receipt or acknowledgement and track the status.</t>
  </si>
  <si>
    <t xml:space="preserve">Passport Seva portal</t>
  </si>
  <si>
    <t xml:space="preserve">passport-application-assistance</t>
  </si>
  <si>
    <t xml:space="preserve">🖥️</t>
  </si>
  <si>
    <t xml:space="preserve">Q1: Is this service available at every CSC?
A1: Not always. It depends on the CSC ID activation and portal. Please confirm with the shop.</t>
  </si>
  <si>
    <t xml:space="preserve">Depends on your CSC ID service activation / portal. Confirm with the shop before visiting.</t>
  </si>
  <si>
    <t xml:space="preserve">Passport Application Assistance Service | Devmobile Stores</t>
  </si>
  <si>
    <t xml:space="preserve">Passport Application Assistance (पासपोर्ट आवेदन सहायता) at Devmobile Stores and Common Service Center &amp; Aadhaar Centre. Check required documents, charges and process before you visit.</t>
  </si>
  <si>
    <t xml:space="preserve">पासपोर्ट आवेदन सहायता, कॉमन सर्विस सेंटर (CSC), सेवा</t>
  </si>
  <si>
    <t xml:space="preserve">Passport Application Assistance, Common Service Centre (CSC), Devmobile Stores</t>
  </si>
  <si>
    <t xml:space="preserve">CSC-002</t>
  </si>
  <si>
    <t xml:space="preserve">Driving Licence / Learner Licence Application Assistance</t>
  </si>
  <si>
    <t xml:space="preserve">ड्राइविंग / लर्नर लाइसेंस आवेदन सहायता</t>
  </si>
  <si>
    <t xml:space="preserve">Driving Licence / Learner Licence Application Assistance through our Common Service Centre.</t>
  </si>
  <si>
    <t xml:space="preserve">Step 1 → Bring Aadhaar, mobile number and the documents listed above.
Step 2 → Operator opens the 'Driving Licence / Learner Licence Application Assistance' service on the CSC / government portal.
Step 3 → Your details are filled and verified with you.
Step 4 → Payment / fee (if any) is made.
Step 5 → Collect the receipt or acknowledgement and track the status.</t>
  </si>
  <si>
    <t xml:space="preserve">Parivahan portal</t>
  </si>
  <si>
    <t xml:space="preserve">driving-licence-learner-licence-application-assistance</t>
  </si>
  <si>
    <t xml:space="preserve">Driving Licence / Learner Licence Application Assistance Service | Devmobile Stores</t>
  </si>
  <si>
    <t xml:space="preserve">Driving Licence / Learner Licence Application Assistance (ड्राइविंग / लर्नर लाइसेंस आवेदन सहायता) at Devmobile Stores and Common Service Center &amp; Aadhaar Centre. Check required documents, charges and process before you visit.</t>
  </si>
  <si>
    <t xml:space="preserve">ड्राइविंग / लर्नर लाइसेंस आवेदन सहायता, कॉमन सर्विस सेंटर (CSC), सेवा</t>
  </si>
  <si>
    <t xml:space="preserve">Driving Licence / Learner Licence Application Assistance, Common Service Centre (CSC), Devmobile Stores</t>
  </si>
  <si>
    <t xml:space="preserve">CSC-003</t>
  </si>
  <si>
    <t xml:space="preserve">Tele-Law Consultation</t>
  </si>
  <si>
    <t xml:space="preserve">टेली-लॉ परामर्श</t>
  </si>
  <si>
    <t xml:space="preserve">Tele-Law Consultation through our Common Service Centre.</t>
  </si>
  <si>
    <t xml:space="preserve">Step 1 → Bring Aadhaar, mobile number and the documents listed above.
Step 2 → Operator opens the 'Tele-Law Consultation' service on the CSC / government portal.
Step 3 → Your details are filled and verified with you.
Step 4 → Payment / fee (if any) is made.
Step 5 → Collect the receipt or acknowledgement and track the status.</t>
  </si>
  <si>
    <t xml:space="preserve">CSC Digital Seva portal (verify)</t>
  </si>
  <si>
    <t xml:space="preserve">tele-law-consultation</t>
  </si>
  <si>
    <t xml:space="preserve">Tele-Law Consultation Service | Devmobile Stores</t>
  </si>
  <si>
    <t xml:space="preserve">Tele-Law Consultation (टेली-लॉ परामर्श) at Devmobile Stores and Common Service Center &amp; Aadhaar Centre. Check required documents, charges and process before you visit.</t>
  </si>
  <si>
    <t xml:space="preserve">टेली-लॉ परामर्श, कॉमन सर्विस सेंटर (CSC), सेवा</t>
  </si>
  <si>
    <t xml:space="preserve">Tele-Law Consultation, Common Service Centre (CSC), Devmobile Stores</t>
  </si>
  <si>
    <t xml:space="preserve">CSC-004</t>
  </si>
  <si>
    <t xml:space="preserve">Telemedicine / eSanjeevani Consultation</t>
  </si>
  <si>
    <t xml:space="preserve">टेलीमेडिसिन / eSanjeevani परामर्श</t>
  </si>
  <si>
    <t xml:space="preserve">Telemedicine / eSanjeevani Consultation through our Common Service Centre.</t>
  </si>
  <si>
    <t xml:space="preserve">Step 1 → Bring Aadhaar, mobile number and the documents listed above.
Step 2 → Operator opens the 'Telemedicine / eSanjeevani Consultation' service on the CSC / government portal.
Step 3 → Your details are filled and verified with you.
Step 4 → Payment / fee (if any) is made.
Step 5 → Collect the receipt or acknowledgement and track the status.</t>
  </si>
  <si>
    <t xml:space="preserve">telemedicine-esanjeevani-consultation</t>
  </si>
  <si>
    <t xml:space="preserve">Telemedicine / eSanjeevani Consultation Service | Devmobile Stores</t>
  </si>
  <si>
    <t xml:space="preserve">Telemedicine / eSanjeevani Consultation (टेलीमेडिसिन / eSanjeevani परामर्श) at Devmobile Stores and Common Service Center &amp; Aadhaar Centre. Check required documents, charges and process before you visit.</t>
  </si>
  <si>
    <t xml:space="preserve">टेलीमेडिसिन / eSanjeevani परामर्श, कॉमन सर्विस सेंटर (CSC), सेवा</t>
  </si>
  <si>
    <t xml:space="preserve">Telemedicine / eSanjeevani Consultation, Common Service Centre (CSC), Devmobile Stores</t>
  </si>
  <si>
    <t xml:space="preserve">CSC-005</t>
  </si>
  <si>
    <t xml:space="preserve">e-Governance</t>
  </si>
  <si>
    <t xml:space="preserve">e-District Services (State Portal)</t>
  </si>
  <si>
    <t xml:space="preserve">e-District सेवाएँ (राज्य पोर्टल)</t>
  </si>
  <si>
    <t xml:space="preserve">e-District Services (State Portal) through our Common Service Centre.</t>
  </si>
  <si>
    <t xml:space="preserve">Step 1 → Bring Aadhaar, mobile number and the documents listed above.
Step 2 → Operator opens the 'e-District Services (State Portal)' service on the CSC / government portal.
Step 3 → Your details are filled and verified with you.
Step 4 → Payment / fee (if any) is made.
Step 5 → Collect the receipt or acknowledgement and track the status.</t>
  </si>
  <si>
    <t xml:space="preserve">e-district-services-state-portal</t>
  </si>
  <si>
    <t xml:space="preserve">Certificates are listed separately in the BASUDHA sheet</t>
  </si>
  <si>
    <t xml:space="preserve">e-District Services (State Portal) Service | Devmobile Stores</t>
  </si>
  <si>
    <t xml:space="preserve">e-District Services (State Portal) (e-District सेवाएँ (राज्य पोर्टल)) at Devmobile Stores and Common Service Center &amp; Aadhaar Centre. Check required documents, charges and process before you visit.</t>
  </si>
  <si>
    <t xml:space="preserve">e-District सेवाएँ (राज्य पोर्टल), कॉमन सर्विस सेंटर (CSC), सेवा</t>
  </si>
  <si>
    <t xml:space="preserve">e-District Services (State Portal), Common Service Centre (CSC), Devmobile Stores</t>
  </si>
  <si>
    <t xml:space="preserve">CSC-006</t>
  </si>
  <si>
    <t xml:space="preserve">RTI Online Filing Assistance</t>
  </si>
  <si>
    <t xml:space="preserve">RTI ऑनलाइन दाखिल करने में सहायता</t>
  </si>
  <si>
    <t xml:space="preserve">RTI Online Filing Assistance through our Common Service Centre.</t>
  </si>
  <si>
    <t xml:space="preserve">Step 1 → Bring Aadhaar, mobile number and the documents listed above.
Step 2 → Operator opens the 'RTI Online Filing Assistance' service on the CSC / government portal.
Step 3 → Your details are filled and verified with you.
Step 4 → Payment / fee (if any) is made.
Step 5 → Collect the receipt or acknowledgement and track the status.</t>
  </si>
  <si>
    <t xml:space="preserve">rti-online-filing-assistance</t>
  </si>
  <si>
    <t xml:space="preserve">RTI Online Filing Assistance Service | Devmobile Stores</t>
  </si>
  <si>
    <t xml:space="preserve">RTI Online Filing Assistance (RTI ऑनलाइन दाखिल करने में सहायता) at Devmobile Stores and Common Service Center &amp; Aadhaar Centre. Check required documents, charges and process before you visit.</t>
  </si>
  <si>
    <t xml:space="preserve">RTI ऑनलाइन दाखिल करने में सहायता, कॉमन सर्विस सेंटर (CSC), सेवा</t>
  </si>
  <si>
    <t xml:space="preserve">RTI Online Filing Assistance, Common Service Centre (CSC), Devmobile Stores</t>
  </si>
  <si>
    <t xml:space="preserve">CSC-007</t>
  </si>
  <si>
    <t xml:space="preserve">Central Public Grievance (CPGRAMS) Filing Assistance</t>
  </si>
  <si>
    <t xml:space="preserve">केंद्रीय जन शिकायत (CPGRAMS) दर्ज करने में सहायता</t>
  </si>
  <si>
    <t xml:space="preserve">Central Public Grievance (CPGRAMS) Filing Assistance through our Common Service Centre.</t>
  </si>
  <si>
    <t xml:space="preserve">Step 1 → Bring Aadhaar, mobile number and the documents listed above.
Step 2 → Operator opens the 'Central Public Grievance (CPGRAMS) Filing Assistance' service on the CSC / government portal.
Step 3 → Your details are filled and verified with you.
Step 4 → Payment / fee (if any) is made.
Step 5 → Collect the receipt or acknowledgement and track the status.</t>
  </si>
  <si>
    <t xml:space="preserve">central-public-grievance-cpgrams-filing-assistance</t>
  </si>
  <si>
    <t xml:space="preserve">Central Public Grievance (CPGRAMS) Filing Assistance Service | Devmobile Stores</t>
  </si>
  <si>
    <t xml:space="preserve">Central Public Grievance (CPGRAMS) Filing Assistance (केंद्रीय जन शिकायत (CPGRAMS) दर्ज करने में सहायता) at Devmobile Stores and Common Service Center &amp; Aadhaar Centre. Check required documents, charges and process before you visit.</t>
  </si>
  <si>
    <t xml:space="preserve">केंद्रीय जन शिकायत (CPGRAMS) दर्ज करने में सहायता, कॉमन सर्विस सेंटर (CSC), सेवा</t>
  </si>
  <si>
    <t xml:space="preserve">Central Public Grievance (CPGRAMS) Filing Assistance, Common Service Centre (CSC), Devmobile Stores</t>
  </si>
  <si>
    <t xml:space="preserve">CSC-008</t>
  </si>
  <si>
    <t xml:space="preserve">Municipal / Property Tax Payment</t>
  </si>
  <si>
    <t xml:space="preserve">नगर निगम / संपत्ति कर भुगतान</t>
  </si>
  <si>
    <t xml:space="preserve">Municipal / Property Tax Payment through our Common Service Centre.</t>
  </si>
  <si>
    <t xml:space="preserve">Step 1 → Bring Aadhaar, mobile number and the documents listed above.
Step 2 → Operator opens the 'Municipal / Property Tax Payment' service on the CSC / government portal.
Step 3 → Your details are filled and verified with you.
Step 4 → Payment / fee (if any) is made.
Step 5 → Collect the receipt or acknowledgement and track the status.</t>
  </si>
  <si>
    <t xml:space="preserve">municipal-property-tax-payment</t>
  </si>
  <si>
    <t xml:space="preserve">Municipal / Property Tax Payment Service | Devmobile Stores</t>
  </si>
  <si>
    <t xml:space="preserve">Municipal / Property Tax Payment (नगर निगम / संपत्ति कर भुगतान) at Devmobile Stores and Common Service Center &amp; Aadhaar Centre. Check required documents, charges and process before you visit.</t>
  </si>
  <si>
    <t xml:space="preserve">नगर निगम / संपत्ति कर भुगतान, कॉमन सर्विस सेंटर (CSC), सेवा</t>
  </si>
  <si>
    <t xml:space="preserve">Municipal / Property Tax Payment, Common Service Centre (CSC), Devmobile Stores</t>
  </si>
  <si>
    <t xml:space="preserve">CSC-009</t>
  </si>
  <si>
    <t xml:space="preserve">Government Schemes</t>
  </si>
  <si>
    <t xml:space="preserve">PM-Kisan Registration &amp; eKYC</t>
  </si>
  <si>
    <t xml:space="preserve">PM-किसान पंजीकरण व eKYC</t>
  </si>
  <si>
    <t xml:space="preserve">PM-Kisan Registration &amp; eKYC through our Common Service Centre.</t>
  </si>
  <si>
    <t xml:space="preserve">Step 1 → Bring Aadhaar, mobile number and the documents listed above.
Step 2 → Operator opens the 'PM-Kisan Registration &amp; eKYC' service on the CSC / government portal.
Step 3 → Your details are filled and verified with you.
Step 4 → Payment / fee (if any) is made.
Step 5 → Collect the receipt or acknowledgement and track the status.</t>
  </si>
  <si>
    <t xml:space="preserve">PM-Kisan portal</t>
  </si>
  <si>
    <t xml:space="preserve">pm-kisan-registration-ekyc</t>
  </si>
  <si>
    <t xml:space="preserve">🤝</t>
  </si>
  <si>
    <t xml:space="preserve">PM-Kisan Registration &amp; eKYC Service | Devmobile Stores</t>
  </si>
  <si>
    <t xml:space="preserve">PM-Kisan Registration &amp; eKYC (PM-किसान पंजीकरण व eKYC) at Devmobile Stores and Common Service Center &amp; Aadhaar Centre. Check required documents, charges and process before you visit.</t>
  </si>
  <si>
    <t xml:space="preserve">PM-किसान पंजीकरण व eKYC, कॉमन सर्विस सेंटर (CSC), सेवा</t>
  </si>
  <si>
    <t xml:space="preserve">PM-Kisan Registration &amp; eKYC, Common Service Centre (CSC), Devmobile Stores</t>
  </si>
  <si>
    <t xml:space="preserve">CSC-010</t>
  </si>
  <si>
    <t xml:space="preserve">e-Shram Card Registration</t>
  </si>
  <si>
    <t xml:space="preserve">e-श्रम कार्ड पंजीकरण</t>
  </si>
  <si>
    <t xml:space="preserve">e-Shram Card Registration through our Common Service Centre.</t>
  </si>
  <si>
    <t xml:space="preserve">Step 1 → Bring Aadhaar, mobile number and the documents listed above.
Step 2 → Operator opens the 'e-Shram Card Registration' service on the CSC / government portal.
Step 3 → Your details are filled and verified with you.
Step 4 → Payment / fee (if any) is made.
Step 5 → Collect the receipt or acknowledgement and track the status.</t>
  </si>
  <si>
    <t xml:space="preserve">e-Shram portal</t>
  </si>
  <si>
    <t xml:space="preserve">e-shram-card-registration</t>
  </si>
  <si>
    <t xml:space="preserve">e-Shram Card Registration Service | Devmobile Stores</t>
  </si>
  <si>
    <t xml:space="preserve">e-Shram Card Registration (e-श्रम कार्ड पंजीकरण) at Devmobile Stores and Common Service Center &amp; Aadhaar Centre. Check required documents, charges and process before you visit.</t>
  </si>
  <si>
    <t xml:space="preserve">e-श्रम कार्ड पंजीकरण, कॉमन सर्विस सेंटर (CSC), सेवा</t>
  </si>
  <si>
    <t xml:space="preserve">e-Shram Card Registration, Common Service Centre (CSC), Devmobile Stores</t>
  </si>
  <si>
    <t xml:space="preserve">CSC-011</t>
  </si>
  <si>
    <t xml:space="preserve">Ayushman Bharat (PM-JAY) Card Registration</t>
  </si>
  <si>
    <t xml:space="preserve">आयुष्मान भारत (PM-JAY) कार्ड पंजीकरण</t>
  </si>
  <si>
    <t xml:space="preserve">Ayushman Bharat (PM-JAY) Card Registration through our Common Service Centre.</t>
  </si>
  <si>
    <t xml:space="preserve">Step 1 → Bring Aadhaar, mobile number and the documents listed above.
Step 2 → Operator opens the 'Ayushman Bharat (PM-JAY) Card Registration' service on the CSC / government portal.
Step 3 → Your details are filled and verified with you.
Step 4 → Payment / fee (if any) is made.
Step 5 → Collect the receipt or acknowledgement and track the status.</t>
  </si>
  <si>
    <t xml:space="preserve">PM-JAY portal</t>
  </si>
  <si>
    <t xml:space="preserve">ayushman-bharat-pm-jay-card-registration</t>
  </si>
  <si>
    <t xml:space="preserve">Ayushman Bharat (PM-JAY) Card Registration Service | Devmobile Stores</t>
  </si>
  <si>
    <t xml:space="preserve">Ayushman Bharat (PM-JAY) Card Registration (आयुष्मान भारत (PM-JAY) कार्ड पंजीकरण) at Devmobile Stores and Common Service Center &amp; Aadhaar Centre. Check required documents, charges and process before you visit.</t>
  </si>
  <si>
    <t xml:space="preserve">आयुष्मान भारत (PM-JAY) कार्ड पंजीकरण, कॉमन सर्विस सेंटर (CSC), सेवा</t>
  </si>
  <si>
    <t xml:space="preserve">Ayushman Bharat (PM-JAY) Card Registration, Common Service Centre (CSC), Devmobile Stores</t>
  </si>
  <si>
    <t xml:space="preserve">CSC-012</t>
  </si>
  <si>
    <t xml:space="preserve">ABHA (Health ID) Creation</t>
  </si>
  <si>
    <t xml:space="preserve">ABHA (हेल्थ आईडी) निर्माण</t>
  </si>
  <si>
    <t xml:space="preserve">ABHA (Health ID) Creation through our Common Service Centre.</t>
  </si>
  <si>
    <t xml:space="preserve">Step 1 → Bring Aadhaar, mobile number and the documents listed above.
Step 2 → Operator opens the 'ABHA (Health ID) Creation' service on the CSC / government portal.
Step 3 → Your details are filled and verified with you.
Step 4 → Payment / fee (if any) is made.
Step 5 → Collect the receipt or acknowledgement and track the status.</t>
  </si>
  <si>
    <t xml:space="preserve">ABHA portal</t>
  </si>
  <si>
    <t xml:space="preserve">abha-health-id-creation</t>
  </si>
  <si>
    <t xml:space="preserve">ABHA (Health ID) Creation Service | Devmobile Stores</t>
  </si>
  <si>
    <t xml:space="preserve">ABHA (Health ID) Creation (ABHA (हेल्थ आईडी) निर्माण) at Devmobile Stores and Common Service Center &amp; Aadhaar Centre. Check required documents, charges and process before you visit.</t>
  </si>
  <si>
    <t xml:space="preserve">ABHA (हेल्थ आईडी) निर्माण, कॉमन सर्विस सेंटर (CSC), सेवा</t>
  </si>
  <si>
    <t xml:space="preserve">ABHA (Health ID) Creation, Common Service Centre (CSC), Devmobile Stores</t>
  </si>
  <si>
    <t xml:space="preserve">CSC-013</t>
  </si>
  <si>
    <t xml:space="preserve">PM Shram Yogi Maan-Dhan (PM-SYM) Enrolment</t>
  </si>
  <si>
    <t xml:space="preserve">PM श्रम योगी मानधन (PM-SYM) नामांकन</t>
  </si>
  <si>
    <t xml:space="preserve">PM Shram Yogi Maan-Dhan (PM-SYM) Enrolment through our Common Service Centre.</t>
  </si>
  <si>
    <t xml:space="preserve">Step 1 → Bring Aadhaar, mobile number and the documents listed above.
Step 2 → Operator opens the 'PM Shram Yogi Maan-Dhan (PM-SYM) Enrolment' service on the CSC / government portal.
Step 3 → Your details are filled and verified with you.
Step 4 → Payment / fee (if any) is made.
Step 5 → Collect the receipt or acknowledgement and track the status.</t>
  </si>
  <si>
    <t xml:space="preserve">pm-shram-yogi-maan-dhan-pm-sym-enrolment</t>
  </si>
  <si>
    <t xml:space="preserve">PM Shram Yogi Maan-Dhan (PM-SYM) Enrolment Service | Devmobile Stores</t>
  </si>
  <si>
    <t xml:space="preserve">PM Shram Yogi Maan-Dhan (PM-SYM) Enrolment (PM श्रम योगी मानधन (PM-SYM) नामांकन) at Devmobile Stores and Common Service Center &amp; Aadhaar Centre. Check required documents, charges and process before you visit.</t>
  </si>
  <si>
    <t xml:space="preserve">PM श्रम योगी मानधन (PM-SYM) नामांकन, कॉमन सर्विस सेंटर (CSC), सेवा</t>
  </si>
  <si>
    <t xml:space="preserve">PM Shram Yogi Maan-Dhan (PM-SYM) Enrolment, Common Service Centre (CSC), Devmobile Stores</t>
  </si>
  <si>
    <t xml:space="preserve">CSC-014</t>
  </si>
  <si>
    <t xml:space="preserve">PM Kisan Maan-Dhan (PM-KMY) Enrolment</t>
  </si>
  <si>
    <t xml:space="preserve">PM किसान मानधन (PM-KMY) नामांकन</t>
  </si>
  <si>
    <t xml:space="preserve">PM Kisan Maan-Dhan (PM-KMY) Enrolment through our Common Service Centre.</t>
  </si>
  <si>
    <t xml:space="preserve">Step 1 → Bring Aadhaar, mobile number and the documents listed above.
Step 2 → Operator opens the 'PM Kisan Maan-Dhan (PM-KMY) Enrolment' service on the CSC / government portal.
Step 3 → Your details are filled and verified with you.
Step 4 → Payment / fee (if any) is made.
Step 5 → Collect the receipt or acknowledgement and track the status.</t>
  </si>
  <si>
    <t xml:space="preserve">pm-kisan-maan-dhan-pm-kmy-enrolment</t>
  </si>
  <si>
    <t xml:space="preserve">PM Kisan Maan-Dhan (PM-KMY) Enrolment Service | Devmobile Stores</t>
  </si>
  <si>
    <t xml:space="preserve">PM Kisan Maan-Dhan (PM-KMY) Enrolment (PM किसान मानधन (PM-KMY) नामांकन) at Devmobile Stores and Common Service Center &amp; Aadhaar Centre. Check required documents, charges and process before you visit.</t>
  </si>
  <si>
    <t xml:space="preserve">PM किसान मानधन (PM-KMY) नामांकन, कॉमन सर्विस सेंटर (CSC), सेवा</t>
  </si>
  <si>
    <t xml:space="preserve">PM Kisan Maan-Dhan (PM-KMY) Enrolment, Common Service Centre (CSC), Devmobile Stores</t>
  </si>
  <si>
    <t xml:space="preserve">CSC-015</t>
  </si>
  <si>
    <t xml:space="preserve">PM Vishwakarma Registration</t>
  </si>
  <si>
    <t xml:space="preserve">PM विश्वकर्मा पंजीकरण</t>
  </si>
  <si>
    <t xml:space="preserve">PM Vishwakarma Registration through our Common Service Centre.</t>
  </si>
  <si>
    <t xml:space="preserve">Step 1 → Bring Aadhaar, mobile number and the documents listed above.
Step 2 → Operator opens the 'PM Vishwakarma Registration' service on the CSC / government portal.
Step 3 → Your details are filled and verified with you.
Step 4 → Payment / fee (if any) is made.
Step 5 → Collect the receipt or acknowledgement and track the status.</t>
  </si>
  <si>
    <t xml:space="preserve">pm-vishwakarma-registration</t>
  </si>
  <si>
    <t xml:space="preserve">PM Vishwakarma Registration Service | Devmobile Stores</t>
  </si>
  <si>
    <t xml:space="preserve">PM Vishwakarma Registration (PM विश्वकर्मा पंजीकरण) at Devmobile Stores and Common Service Center &amp; Aadhaar Centre. Check required documents, charges and process before you visit.</t>
  </si>
  <si>
    <t xml:space="preserve">PM विश्वकर्मा पंजीकरण, कॉमन सर्विस सेंटर (CSC), सेवा</t>
  </si>
  <si>
    <t xml:space="preserve">PM Vishwakarma Registration, Common Service Centre (CSC), Devmobile Stores</t>
  </si>
  <si>
    <t xml:space="preserve">CSC-016</t>
  </si>
  <si>
    <t xml:space="preserve">PM Surya Ghar (Rooftop Solar) Registration Assistance</t>
  </si>
  <si>
    <t xml:space="preserve">PM सूर्य घर (रूफटॉप सोलर) पंजीकरण सहायता</t>
  </si>
  <si>
    <t xml:space="preserve">PM Surya Ghar (Rooftop Solar) Registration Assistance through our Common Service Centre.</t>
  </si>
  <si>
    <t xml:space="preserve">Step 1 → Bring Aadhaar, mobile number and the documents listed above.
Step 2 → Operator opens the 'PM Surya Ghar (Rooftop Solar) Registration Assistance' service on the CSC / government portal.
Step 3 → Your details are filled and verified with you.
Step 4 → Payment / fee (if any) is made.
Step 5 → Collect the receipt or acknowledgement and track the status.</t>
  </si>
  <si>
    <t xml:space="preserve">pm-surya-ghar-rooftop-solar-registration-assistance</t>
  </si>
  <si>
    <t xml:space="preserve">PM Surya Ghar (Rooftop Solar) Registration Assistance Service | Devmobile Stores</t>
  </si>
  <si>
    <t xml:space="preserve">PM Surya Ghar (Rooftop Solar) Registration Assistance (PM सूर्य घर (रूफटॉप सोलर) पंजीकरण सहायता) at Devmobile Stores and Common Service Center &amp; Aadhaar Centre. Check required documents, charges and process before you visit.</t>
  </si>
  <si>
    <t xml:space="preserve">PM सूर्य घर (रूफटॉप सोलर) पंजीकरण सहायता, कॉमन सर्विस सेंटर (CSC), सेवा</t>
  </si>
  <si>
    <t xml:space="preserve">PM Surya Ghar (Rooftop Solar) Registration Assistance, Common Service Centre (CSC), Devmobile Stores</t>
  </si>
  <si>
    <t xml:space="preserve">CSC-017</t>
  </si>
  <si>
    <t xml:space="preserve">PM SVANidhi Application Assistance</t>
  </si>
  <si>
    <t xml:space="preserve">PM स्वनिधि आवेदन सहायता</t>
  </si>
  <si>
    <t xml:space="preserve">PM SVANidhi Application Assistance through our Common Service Centre.</t>
  </si>
  <si>
    <t xml:space="preserve">Step 1 → Bring Aadhaar, mobile number and the documents listed above.
Step 2 → Operator opens the 'PM SVANidhi Application Assistance' service on the CSC / government portal.
Step 3 → Your details are filled and verified with you.
Step 4 → Payment / fee (if any) is made.
Step 5 → Collect the receipt or acknowledgement and track the status.</t>
  </si>
  <si>
    <t xml:space="preserve">pm-svanidhi-application-assistance</t>
  </si>
  <si>
    <t xml:space="preserve">PM SVANidhi Application Assistance Service | Devmobile Stores</t>
  </si>
  <si>
    <t xml:space="preserve">PM SVANidhi Application Assistance (PM स्वनिधि आवेदन सहायता) at Devmobile Stores and Common Service Center &amp; Aadhaar Centre. Check required documents, charges and process before you visit.</t>
  </si>
  <si>
    <t xml:space="preserve">PM स्वनिधि आवेदन सहायता, कॉमन सर्विस सेंटर (CSC), सेवा</t>
  </si>
  <si>
    <t xml:space="preserve">PM SVANidhi Application Assistance, Common Service Centre (CSC), Devmobile Stores</t>
  </si>
  <si>
    <t xml:space="preserve">CSC-018</t>
  </si>
  <si>
    <t xml:space="preserve">Financial Services</t>
  </si>
  <si>
    <t xml:space="preserve">CSC Digipay – AEPS Cash Withdrawal</t>
  </si>
  <si>
    <t xml:space="preserve">CSC डिजीपे – AEPS नकद निकासी</t>
  </si>
  <si>
    <t xml:space="preserve">CSC Digipay – AEPS Cash Withdrawal through our Common Service Centre.</t>
  </si>
  <si>
    <t xml:space="preserve">Step 1 → Bring Aadhaar, mobile number and the documents listed above.
Step 2 → Operator opens the 'CSC Digipay – AEPS Cash Withdrawal' service on the CSC / government portal.
Step 3 → Your details are filled and verified with you.
Step 4 → Payment / fee (if any) is made.
Step 5 → Collect the receipt or acknowledgement and track the status.</t>
  </si>
  <si>
    <t xml:space="preserve">csc-digipay-aeps-cash-withdrawal</t>
  </si>
  <si>
    <t xml:space="preserve">Needs separate Digipay/BC activation on CSC ID</t>
  </si>
  <si>
    <t xml:space="preserve">CSC Digipay – AEPS Cash Withdrawal Service | Devmobile Stores</t>
  </si>
  <si>
    <t xml:space="preserve">CSC Digipay – AEPS Cash Withdrawal (CSC डिजीपे – AEPS नकद निकासी) at Devmobile Stores and Common Service Center &amp; Aadhaar Centre. Check required documents, charges and process before you visit.</t>
  </si>
  <si>
    <t xml:space="preserve">CSC डिजीपे – AEPS नकद निकासी, कॉमन सर्विस सेंटर (CSC), सेवा</t>
  </si>
  <si>
    <t xml:space="preserve">CSC Digipay – AEPS Cash Withdrawal, Common Service Centre (CSC), Devmobile Stores</t>
  </si>
  <si>
    <t xml:space="preserve">CSC-019</t>
  </si>
  <si>
    <t xml:space="preserve">CSC Digipay – Money Transfer</t>
  </si>
  <si>
    <t xml:space="preserve">CSC डिजीपे – मनी ट्रांसफर</t>
  </si>
  <si>
    <t xml:space="preserve">CSC Digipay – Money Transfer through our Common Service Centre.</t>
  </si>
  <si>
    <t xml:space="preserve">Step 1 → Bring Aadhaar, mobile number and the documents listed above.
Step 2 → Operator opens the 'CSC Digipay – Money Transfer' service on the CSC / government portal.
Step 3 → Your details are filled and verified with you.
Step 4 → Payment / fee (if any) is made.
Step 5 → Collect the receipt or acknowledgement and track the status.</t>
  </si>
  <si>
    <t xml:space="preserve">csc-digipay-money-transfer</t>
  </si>
  <si>
    <t xml:space="preserve">CSC Digipay – Money Transfer Service | Devmobile Stores</t>
  </si>
  <si>
    <t xml:space="preserve">CSC Digipay – Money Transfer (CSC डिजीपे – मनी ट्रांसफर) at Devmobile Stores and Common Service Center &amp; Aadhaar Centre. Check required documents, charges and process before you visit.</t>
  </si>
  <si>
    <t xml:space="preserve">CSC डिजीपे – मनी ट्रांसफर, कॉमन सर्विस सेंटर (CSC), सेवा</t>
  </si>
  <si>
    <t xml:space="preserve">CSC Digipay – Money Transfer, Common Service Centre (CSC), Devmobile Stores</t>
  </si>
  <si>
    <t xml:space="preserve">CSC-020</t>
  </si>
  <si>
    <t xml:space="preserve">CSC Digipay – Micro ATM</t>
  </si>
  <si>
    <t xml:space="preserve">CSC डिजीपे – Micro ATM</t>
  </si>
  <si>
    <t xml:space="preserve">CSC Digipay – Micro ATM through our Common Service Centre.</t>
  </si>
  <si>
    <t xml:space="preserve">Step 1 → Bring Aadhaar, mobile number and the documents listed above.
Step 2 → Operator opens the 'CSC Digipay – Micro ATM' service on the CSC / government portal.
Step 3 → Your details are filled and verified with you.
Step 4 → Payment / fee (if any) is made.
Step 5 → Collect the receipt or acknowledgement and track the status.</t>
  </si>
  <si>
    <t xml:space="preserve">csc-digipay-micro-atm</t>
  </si>
  <si>
    <t xml:space="preserve">CSC Digipay – Micro ATM Service | Devmobile Stores</t>
  </si>
  <si>
    <t xml:space="preserve">CSC Digipay – Micro ATM (CSC डिजीपे – Micro ATM) at Devmobile Stores and Common Service Center &amp; Aadhaar Centre. Check required documents, charges and process before you visit.</t>
  </si>
  <si>
    <t xml:space="preserve">CSC डिजीपे – Micro ATM, कॉमन सर्विस सेंटर (CSC), सेवा</t>
  </si>
  <si>
    <t xml:space="preserve">CSC Digipay – Micro ATM, Common Service Centre (CSC), Devmobile Stores</t>
  </si>
  <si>
    <t xml:space="preserve">CSC-021</t>
  </si>
  <si>
    <t xml:space="preserve">Loan Application Assistance (Mudra / PMEGP etc.)</t>
  </si>
  <si>
    <t xml:space="preserve">ऋण आवेदन सहायता (मुद्रा / PMEGP आदि)</t>
  </si>
  <si>
    <t xml:space="preserve">Loan Application Assistance (Mudra / PMEGP etc.) through our Common Service Centre.</t>
  </si>
  <si>
    <t xml:space="preserve">Step 1 → Bring Aadhaar, mobile number and the documents listed above.
Step 2 → Operator opens the 'Loan Application Assistance (Mudra / PMEGP etc.)' service on the CSC / government portal.
Step 3 → Your details are filled and verified with you.
Step 4 → Payment / fee (if any) is made.
Step 5 → Collect the receipt or acknowledgement and track the status.</t>
  </si>
  <si>
    <t xml:space="preserve">loan-application-assistance-mudra-pmegp-etc</t>
  </si>
  <si>
    <t xml:space="preserve">Loan Application Assistance (Mudra / PMEGP etc.) Service | Devmobile Stores</t>
  </si>
  <si>
    <t xml:space="preserve">Loan Application Assistance (Mudra / PMEGP etc.) (ऋण आवेदन सहायता (मुद्रा / PMEGP आदि)) at Devmobile Stores and Common Service Center &amp; Aadhaar Centre. Check required documents, charges and process before you visit.</t>
  </si>
  <si>
    <t xml:space="preserve">ऋण आवेदन सहायता (मुद्रा / PMEGP आदि), कॉमन सर्विस सेंटर (CSC), सेवा</t>
  </si>
  <si>
    <t xml:space="preserve">Loan Application Assistance (Mudra / PMEGP etc.), Common Service Centre (CSC), Devmobile Stores</t>
  </si>
  <si>
    <t xml:space="preserve">CSC-022</t>
  </si>
  <si>
    <t xml:space="preserve">Insurance Services</t>
  </si>
  <si>
    <t xml:space="preserve">Life Insurance – New Policy</t>
  </si>
  <si>
    <t xml:space="preserve">जीवन बीमा – नई पॉलिसी</t>
  </si>
  <si>
    <t xml:space="preserve">Life Insurance – New Policy through our Common Service Centre.</t>
  </si>
  <si>
    <t xml:space="preserve">Step 1 → Bring Aadhaar, mobile number and the documents listed above.
Step 2 → Operator opens the 'Life Insurance – New Policy' service on the CSC / government portal.
Step 3 → Your details are filled and verified with you.
Step 4 → Payment / fee (if any) is made.
Step 5 → Collect the receipt or acknowledgement and track the status.</t>
  </si>
  <si>
    <t xml:space="preserve">life-insurance-new-policy</t>
  </si>
  <si>
    <t xml:space="preserve">🛡️</t>
  </si>
  <si>
    <t xml:space="preserve">Life Insurance – New Policy Service | Devmobile Stores</t>
  </si>
  <si>
    <t xml:space="preserve">Life Insurance – New Policy (जीवन बीमा – नई पॉलिसी) at Devmobile Stores and Common Service Center &amp; Aadhaar Centre. Check required documents, charges and process before you visit.</t>
  </si>
  <si>
    <t xml:space="preserve">जीवन बीमा – नई पॉलिसी, कॉमन सर्विस सेंटर (CSC), सेवा</t>
  </si>
  <si>
    <t xml:space="preserve">Life Insurance – New Policy, Common Service Centre (CSC), Devmobile Stores</t>
  </si>
  <si>
    <t xml:space="preserve">CSC-023</t>
  </si>
  <si>
    <t xml:space="preserve">Health Insurance – New Policy</t>
  </si>
  <si>
    <t xml:space="preserve">स्वास्थ्य बीमा – नई पॉलिसी</t>
  </si>
  <si>
    <t xml:space="preserve">Health Insurance – New Policy through our Common Service Centre.</t>
  </si>
  <si>
    <t xml:space="preserve">Step 1 → Bring Aadhaar, mobile number and the documents listed above.
Step 2 → Operator opens the 'Health Insurance – New Policy' service on the CSC / government portal.
Step 3 → Your details are filled and verified with you.
Step 4 → Payment / fee (if any) is made.
Step 5 → Collect the receipt or acknowledgement and track the status.</t>
  </si>
  <si>
    <t xml:space="preserve">health-insurance-new-policy</t>
  </si>
  <si>
    <t xml:space="preserve">Health Insurance – New Policy Service | Devmobile Stores</t>
  </si>
  <si>
    <t xml:space="preserve">Health Insurance – New Policy (स्वास्थ्य बीमा – नई पॉलिसी) at Devmobile Stores and Common Service Center &amp; Aadhaar Centre. Check required documents, charges and process before you visit.</t>
  </si>
  <si>
    <t xml:space="preserve">स्वास्थ्य बीमा – नई पॉलिसी, कॉमन सर्विस सेंटर (CSC), सेवा</t>
  </si>
  <si>
    <t xml:space="preserve">Health Insurance – New Policy, Common Service Centre (CSC), Devmobile Stores</t>
  </si>
  <si>
    <t xml:space="preserve">CSC-024</t>
  </si>
  <si>
    <t xml:space="preserve">Motor Insurance – New / Renewal</t>
  </si>
  <si>
    <t xml:space="preserve">वाहन बीमा – नया / नवीनीकरण</t>
  </si>
  <si>
    <t xml:space="preserve">Motor Insurance – New / Renewal through our Common Service Centre.</t>
  </si>
  <si>
    <t xml:space="preserve">Step 1 → Bring Aadhaar, mobile number and the documents listed above.
Step 2 → Operator opens the 'Motor Insurance – New / Renewal' service on the CSC / government portal.
Step 3 → Your details are filled and verified with you.
Step 4 → Payment / fee (if any) is made.
Step 5 → Collect the receipt or acknowledgement and track the status.</t>
  </si>
  <si>
    <t xml:space="preserve">motor-insurance-new-renewal</t>
  </si>
  <si>
    <t xml:space="preserve">Motor Insurance – New / Renewal Service | Devmobile Stores</t>
  </si>
  <si>
    <t xml:space="preserve">Motor Insurance – New / Renewal (वाहन बीमा – नया / नवीनीकरण) at Devmobile Stores and Common Service Center &amp; Aadhaar Centre. Check required documents, charges and process before you visit.</t>
  </si>
  <si>
    <t xml:space="preserve">वाहन बीमा – नया / नवीनीकरण, कॉमन सर्विस सेंटर (CSC), सेवा</t>
  </si>
  <si>
    <t xml:space="preserve">Motor Insurance – New / Renewal, Common Service Centre (CSC), Devmobile Stores</t>
  </si>
  <si>
    <t xml:space="preserve">CSC-025</t>
  </si>
  <si>
    <t xml:space="preserve">Crop Insurance (PMFBY) Enrolment</t>
  </si>
  <si>
    <t xml:space="preserve">फसल बीमा (PMFBY) नामांकन</t>
  </si>
  <si>
    <t xml:space="preserve">Crop Insurance (PMFBY) Enrolment through our Common Service Centre.</t>
  </si>
  <si>
    <t xml:space="preserve">Step 1 → Bring Aadhaar, mobile number and the documents listed above.
Step 2 → Operator opens the 'Crop Insurance (PMFBY) Enrolment' service on the CSC / government portal.
Step 3 → Your details are filled and verified with you.
Step 4 → Payment / fee (if any) is made.
Step 5 → Collect the receipt or acknowledgement and track the status.</t>
  </si>
  <si>
    <t xml:space="preserve">crop-insurance-pmfby-enrolment</t>
  </si>
  <si>
    <t xml:space="preserve">Crop Insurance (PMFBY) Enrolment Service | Devmobile Stores</t>
  </si>
  <si>
    <t xml:space="preserve">Crop Insurance (PMFBY) Enrolment (फसल बीमा (PMFBY) नामांकन) at Devmobile Stores and Common Service Center &amp; Aadhaar Centre. Check required documents, charges and process before you visit.</t>
  </si>
  <si>
    <t xml:space="preserve">फसल बीमा (PMFBY) नामांकन, कॉमन सर्विस सेंटर (CSC), सेवा</t>
  </si>
  <si>
    <t xml:space="preserve">Crop Insurance (PMFBY) Enrolment, Common Service Centre (CSC), Devmobile Stores</t>
  </si>
  <si>
    <t xml:space="preserve">CSC-026</t>
  </si>
  <si>
    <t xml:space="preserve">PM Suraksha Bima Yojana (PMSBY) Enrolment</t>
  </si>
  <si>
    <t xml:space="preserve">PM सुरक्षा बीमा योजना (PMSBY) नामांकन</t>
  </si>
  <si>
    <t xml:space="preserve">PM Suraksha Bima Yojana (PMSBY) Enrolment through our Common Service Centre.</t>
  </si>
  <si>
    <t xml:space="preserve">Step 1 → Bring Aadhaar, mobile number and the documents listed above.
Step 2 → Operator opens the 'PM Suraksha Bima Yojana (PMSBY) Enrolment' service on the CSC / government portal.
Step 3 → Your details are filled and verified with you.
Step 4 → Payment / fee (if any) is made.
Step 5 → Collect the receipt or acknowledgement and track the status.</t>
  </si>
  <si>
    <t xml:space="preserve">pm-suraksha-bima-yojana-pmsby-enrolment</t>
  </si>
  <si>
    <t xml:space="preserve">PM Suraksha Bima Yojana (PMSBY) Enrolment Service | Devmobile Stores</t>
  </si>
  <si>
    <t xml:space="preserve">PM Suraksha Bima Yojana (PMSBY) Enrolment (PM सुरक्षा बीमा योजना (PMSBY) नामांकन) at Devmobile Stores and Common Service Center &amp; Aadhaar Centre. Check required documents, charges and process before you visit.</t>
  </si>
  <si>
    <t xml:space="preserve">PM सुरक्षा बीमा योजना (PMSBY) नामांकन, कॉमन सर्विस सेंटर (CSC), सेवा</t>
  </si>
  <si>
    <t xml:space="preserve">PM Suraksha Bima Yojana (PMSBY) Enrolment, Common Service Centre (CSC), Devmobile Stores</t>
  </si>
  <si>
    <t xml:space="preserve">CSC-027</t>
  </si>
  <si>
    <t xml:space="preserve">PM Jeevan Jyoti Bima Yojana (PMJJBY) Enrolment</t>
  </si>
  <si>
    <t xml:space="preserve">PM जीवन ज्योति बीमा योजना (PMJJBY) नामांकन</t>
  </si>
  <si>
    <t xml:space="preserve">PM Jeevan Jyoti Bima Yojana (PMJJBY) Enrolment through our Common Service Centre.</t>
  </si>
  <si>
    <t xml:space="preserve">Step 1 → Bring Aadhaar, mobile number and the documents listed above.
Step 2 → Operator opens the 'PM Jeevan Jyoti Bima Yojana (PMJJBY) Enrolment' service on the CSC / government portal.
Step 3 → Your details are filled and verified with you.
Step 4 → Payment / fee (if any) is made.
Step 5 → Collect the receipt or acknowledgement and track the status.</t>
  </si>
  <si>
    <t xml:space="preserve">pm-jeevan-jyoti-bima-yojana-pmjjby-enrolment</t>
  </si>
  <si>
    <t xml:space="preserve">PM Jeevan Jyoti Bima Yojana (PMJJBY) Enrolment Service | Devmobile Stores</t>
  </si>
  <si>
    <t xml:space="preserve">PM Jeevan Jyoti Bima Yojana (PMJJBY) Enrolment (PM जीवन ज्योति बीमा योजना (PMJJBY) नामांकन) at Devmobile Stores and Common Service Center &amp; Aadhaar Centre. Check required documents, charges and process before you visit.</t>
  </si>
  <si>
    <t xml:space="preserve">PM जीवन ज्योति बीमा योजना (PMJJBY) नामांकन, कॉमन सर्विस सेंटर (CSC), सेवा</t>
  </si>
  <si>
    <t xml:space="preserve">PM Jeevan Jyoti Bima Yojana (PMJJBY) Enrolment, Common Service Centre (CSC), Devmobile Stores</t>
  </si>
  <si>
    <t xml:space="preserve">CSC-028</t>
  </si>
  <si>
    <t xml:space="preserve">Pension Services</t>
  </si>
  <si>
    <t xml:space="preserve">Atal Pension Yojana (APY) Enrolment</t>
  </si>
  <si>
    <t xml:space="preserve">अटल पेंशन योजना (APY) नामांकन</t>
  </si>
  <si>
    <t xml:space="preserve">Atal Pension Yojana (APY) Enrolment through our Common Service Centre.</t>
  </si>
  <si>
    <t xml:space="preserve">Step 1 → Bring Aadhaar, mobile number and the documents listed above.
Step 2 → Operator opens the 'Atal Pension Yojana (APY) Enrolment' service on the CSC / government portal.
Step 3 → Your details are filled and verified with you.
Step 4 → Payment / fee (if any) is made.
Step 5 → Collect the receipt or acknowledgement and track the status.</t>
  </si>
  <si>
    <t xml:space="preserve">atal-pension-yojana-apy-enrolment</t>
  </si>
  <si>
    <t xml:space="preserve">👴</t>
  </si>
  <si>
    <t xml:space="preserve">Atal Pension Yojana (APY) Enrolment Service | Devmobile Stores</t>
  </si>
  <si>
    <t xml:space="preserve">Atal Pension Yojana (APY) Enrolment (अटल पेंशन योजना (APY) नामांकन) at Devmobile Stores and Common Service Center &amp; Aadhaar Centre. Check required documents, charges and process before you visit.</t>
  </si>
  <si>
    <t xml:space="preserve">अटल पेंशन योजना (APY) नामांकन, कॉमन सर्विस सेंटर (CSC), सेवा</t>
  </si>
  <si>
    <t xml:space="preserve">Atal Pension Yojana (APY) Enrolment, Common Service Centre (CSC), Devmobile Stores</t>
  </si>
  <si>
    <t xml:space="preserve">CSC-029</t>
  </si>
  <si>
    <t xml:space="preserve">NPS (National Pension System) Account Opening</t>
  </si>
  <si>
    <t xml:space="preserve">NPS खाता खोलना</t>
  </si>
  <si>
    <t xml:space="preserve">NPS (National Pension System) Account Opening through our Common Service Centre.</t>
  </si>
  <si>
    <t xml:space="preserve">Step 1 → Bring Aadhaar, mobile number and the documents listed above.
Step 2 → Operator opens the 'NPS (National Pension System) Account Opening' service on the CSC / government portal.
Step 3 → Your details are filled and verified with you.
Step 4 → Payment / fee (if any) is made.
Step 5 → Collect the receipt or acknowledgement and track the status.</t>
  </si>
  <si>
    <t xml:space="preserve">nps-national-pension-system-account-opening</t>
  </si>
  <si>
    <t xml:space="preserve">NPS (National Pension System) Account Opening Service | Devmobile Stores</t>
  </si>
  <si>
    <t xml:space="preserve">NPS (National Pension System) Account Opening (NPS खाता खोलना) at Devmobile Stores and Common Service Center &amp; Aadhaar Centre. Check required documents, charges and process before you visit.</t>
  </si>
  <si>
    <t xml:space="preserve">NPS खाता खोलना, कॉमन सर्विस सेंटर (CSC), सेवा</t>
  </si>
  <si>
    <t xml:space="preserve">NPS (National Pension System) Account Opening, Common Service Centre (CSC), Devmobile Stores</t>
  </si>
  <si>
    <t xml:space="preserve">CSC-030</t>
  </si>
  <si>
    <t xml:space="preserve">Digital Life Certificate (Jeevan Pramaan)</t>
  </si>
  <si>
    <t xml:space="preserve">डिजिटल जीवन प्रमाण पत्र (जीवन प्रमाण)</t>
  </si>
  <si>
    <t xml:space="preserve">Digital Life Certificate (Jeevan Pramaan) through our Common Service Centre.</t>
  </si>
  <si>
    <t xml:space="preserve">Step 1 → Bring Aadhaar, mobile number and the documents listed above.
Step 2 → Operator opens the 'Digital Life Certificate (Jeevan Pramaan)' service on the CSC / government portal.
Step 3 → Your details are filled and verified with you.
Step 4 → Payment / fee (if any) is made.
Step 5 → Collect the receipt or acknowledgement and track the status.</t>
  </si>
  <si>
    <t xml:space="preserve">Jeevan Pramaan portal</t>
  </si>
  <si>
    <t xml:space="preserve">digital-life-certificate-jeevan-pramaan</t>
  </si>
  <si>
    <t xml:space="preserve">Digital Life Certificate (Jeevan Pramaan) Service | Devmobile Stores</t>
  </si>
  <si>
    <t xml:space="preserve">Digital Life Certificate (Jeevan Pramaan) (डिजिटल जीवन प्रमाण पत्र (जीवन प्रमाण)) at Devmobile Stores and Common Service Center &amp; Aadhaar Centre. Check required documents, charges and process before you visit.</t>
  </si>
  <si>
    <t xml:space="preserve">डिजिटल जीवन प्रमाण पत्र (जीवन प्रमाण), कॉमन सर्विस सेंटर (CSC), सेवा</t>
  </si>
  <si>
    <t xml:space="preserve">Digital Life Certificate (Jeevan Pramaan), Common Service Centre (CSC), Devmobile Stores</t>
  </si>
  <si>
    <t xml:space="preserve">CSC-031</t>
  </si>
  <si>
    <t xml:space="preserve">EPFO / UAN Service Assistance</t>
  </si>
  <si>
    <t xml:space="preserve">EPFO / UAN सेवा सहायता</t>
  </si>
  <si>
    <t xml:space="preserve">EPFO / UAN Service Assistance through our Common Service Centre.</t>
  </si>
  <si>
    <t xml:space="preserve">Step 1 → Bring Aadhaar, mobile number and the documents listed above.
Step 2 → Operator opens the 'EPFO / UAN Service Assistance' service on the CSC / government portal.
Step 3 → Your details are filled and verified with you.
Step 4 → Payment / fee (if any) is made.
Step 5 → Collect the receipt or acknowledgement and track the status.</t>
  </si>
  <si>
    <t xml:space="preserve">epfo-uan-service-assistance</t>
  </si>
  <si>
    <t xml:space="preserve">EPFO / UAN Service Assistance Service | Devmobile Stores</t>
  </si>
  <si>
    <t xml:space="preserve">EPFO / UAN Service Assistance (EPFO / UAN सेवा सहायता) at Devmobile Stores and Common Service Center &amp; Aadhaar Centre. Check required documents, charges and process before you visit.</t>
  </si>
  <si>
    <t xml:space="preserve">EPFO / UAN सेवा सहायता, कॉमन सर्विस सेंटर (CSC), सेवा</t>
  </si>
  <si>
    <t xml:space="preserve">EPFO / UAN Service Assistance, Common Service Centre (CSC), Devmobile Stores</t>
  </si>
  <si>
    <t xml:space="preserve">CSC-032</t>
  </si>
  <si>
    <t xml:space="preserve">Pension Application Assistance (Central / State)</t>
  </si>
  <si>
    <t xml:space="preserve">पेंशन आवेदन सहायता (केंद्र / राज्य)</t>
  </si>
  <si>
    <t xml:space="preserve">Pension Application Assistance (Central / State) through our Common Service Centre.</t>
  </si>
  <si>
    <t xml:space="preserve">Step 1 → Bring Aadhaar, mobile number and the documents listed above.
Step 2 → Operator opens the 'Pension Application Assistance (Central / State)' service on the CSC / government portal.
Step 3 → Your details are filled and verified with you.
Step 4 → Payment / fee (if any) is made.
Step 5 → Collect the receipt or acknowledgement and track the status.</t>
  </si>
  <si>
    <t xml:space="preserve">pension-application-assistance-central-state</t>
  </si>
  <si>
    <t xml:space="preserve">Pension Application Assistance (Central / State) Service | Devmobile Stores</t>
  </si>
  <si>
    <t xml:space="preserve">Pension Application Assistance (Central / State) (पेंशन आवेदन सहायता (केंद्र / राज्य)) at Devmobile Stores and Common Service Center &amp; Aadhaar Centre. Check required documents, charges and process before you visit.</t>
  </si>
  <si>
    <t xml:space="preserve">पेंशन आवेदन सहायता (केंद्र / राज्य), कॉमन सर्विस सेंटर (CSC), सेवा</t>
  </si>
  <si>
    <t xml:space="preserve">Pension Application Assistance (Central / State), Common Service Centre (CSC), Devmobile Stores</t>
  </si>
  <si>
    <t xml:space="preserve">CSC-033</t>
  </si>
  <si>
    <t xml:space="preserve">Education Services</t>
  </si>
  <si>
    <t xml:space="preserve">Digital Literacy (PMGDISHA) Registration</t>
  </si>
  <si>
    <t xml:space="preserve">डिजिटल साक्षरता (PMGDISHA) पंजीकरण</t>
  </si>
  <si>
    <t xml:space="preserve">Digital Literacy (PMGDISHA) Registration through our Common Service Centre.</t>
  </si>
  <si>
    <t xml:space="preserve">Step 1 → Bring Aadhaar, mobile number and the documents listed above.
Step 2 → Operator opens the 'Digital Literacy (PMGDISHA) Registration' service on the CSC / government portal.
Step 3 → Your details are filled and verified with you.
Step 4 → Payment / fee (if any) is made.
Step 5 → Collect the receipt or acknowledgement and track the status.</t>
  </si>
  <si>
    <t xml:space="preserve">digital-literacy-pmgdisha-registration</t>
  </si>
  <si>
    <t xml:space="preserve">🎓</t>
  </si>
  <si>
    <t xml:space="preserve">Digital Literacy (PMGDISHA) Registration Service | Devmobile Stores</t>
  </si>
  <si>
    <t xml:space="preserve">Digital Literacy (PMGDISHA) Registration (डिजिटल साक्षरता (PMGDISHA) पंजीकरण) at Devmobile Stores and Common Service Center &amp; Aadhaar Centre. Check required documents, charges and process before you visit.</t>
  </si>
  <si>
    <t xml:space="preserve">डिजिटल साक्षरता (PMGDISHA) पंजीकरण, कॉमन सर्विस सेंटर (CSC), सेवा</t>
  </si>
  <si>
    <t xml:space="preserve">Digital Literacy (PMGDISHA) Registration, Common Service Centre (CSC), Devmobile Stores</t>
  </si>
  <si>
    <t xml:space="preserve">CSC-034</t>
  </si>
  <si>
    <t xml:space="preserve">Skill Development Course Enrolment</t>
  </si>
  <si>
    <t xml:space="preserve">कौशल विकास कोर्स नामांकन</t>
  </si>
  <si>
    <t xml:space="preserve">Skill Development Course Enrolment through our Common Service Centre.</t>
  </si>
  <si>
    <t xml:space="preserve">Step 1 → Bring Aadhaar, mobile number and the documents listed above.
Step 2 → Operator opens the 'Skill Development Course Enrolment' service on the CSC / government portal.
Step 3 → Your details are filled and verified with you.
Step 4 → Payment / fee (if any) is made.
Step 5 → Collect the receipt or acknowledgement and track the status.</t>
  </si>
  <si>
    <t xml:space="preserve">skill-development-course-enrolment</t>
  </si>
  <si>
    <t xml:space="preserve">Skill Development Course Enrolment Service | Devmobile Stores</t>
  </si>
  <si>
    <t xml:space="preserve">Skill Development Course Enrolment (कौशल विकास कोर्स नामांकन) at Devmobile Stores and Common Service Center &amp; Aadhaar Centre. Check required documents, charges and process before you visit.</t>
  </si>
  <si>
    <t xml:space="preserve">कौशल विकास कोर्स नामांकन, कॉमन सर्विस सेंटर (CSC), सेवा</t>
  </si>
  <si>
    <t xml:space="preserve">Skill Development Course Enrolment, Common Service Centre (CSC), Devmobile Stores</t>
  </si>
  <si>
    <t xml:space="preserve">CSC-035</t>
  </si>
  <si>
    <t xml:space="preserve">e-Learning / Tele-Education Course Enrolment</t>
  </si>
  <si>
    <t xml:space="preserve">ई-लर्निंग / टेली-एजुकेशन कोर्स नामांकन</t>
  </si>
  <si>
    <t xml:space="preserve">e-Learning / Tele-Education Course Enrolment through our Common Service Centre.</t>
  </si>
  <si>
    <t xml:space="preserve">Step 1 → Bring Aadhaar, mobile number and the documents listed above.
Step 2 → Operator opens the 'e-Learning / Tele-Education Course Enrolment' service on the CSC / government portal.
Step 3 → Your details are filled and verified with you.
Step 4 → Payment / fee (if any) is made.
Step 5 → Collect the receipt or acknowledgement and track the status.</t>
  </si>
  <si>
    <t xml:space="preserve">e-learning-tele-education-course-enrolment</t>
  </si>
  <si>
    <t xml:space="preserve">e-Learning / Tele-Education Course Enrolment Service | Devmobile Stores</t>
  </si>
  <si>
    <t xml:space="preserve">e-Learning / Tele-Education Course Enrolment (ई-लर्निंग / टेली-एजुकेशन कोर्स नामांकन) at Devmobile Stores and Common Service Center &amp; Aadhaar Centre. Check required documents, charges and process before you visit.</t>
  </si>
  <si>
    <t xml:space="preserve">ई-लर्निंग / टेली-एजुकेशन कोर्स नामांकन, कॉमन सर्विस सेंटर (CSC), सेवा</t>
  </si>
  <si>
    <t xml:space="preserve">e-Learning / Tele-Education Course Enrolment, Common Service Centre (CSC), Devmobile Stores</t>
  </si>
  <si>
    <t xml:space="preserve">CSC-036</t>
  </si>
  <si>
    <t xml:space="preserve">PMKVY Training Enrolment Assistance</t>
  </si>
  <si>
    <t xml:space="preserve">PMKVY प्रशिक्षण नामांकन सहायता</t>
  </si>
  <si>
    <t xml:space="preserve">PMKVY Training Enrolment Assistance through our Common Service Centre.</t>
  </si>
  <si>
    <t xml:space="preserve">Step 1 → Bring Aadhaar, mobile number and the documents listed above.
Step 2 → Operator opens the 'PMKVY Training Enrolment Assistance' service on the CSC / government portal.
Step 3 → Your details are filled and verified with you.
Step 4 → Payment / fee (if any) is made.
Step 5 → Collect the receipt or acknowledgement and track the status.</t>
  </si>
  <si>
    <t xml:space="preserve">pmkvy-training-enrolment-assistance</t>
  </si>
  <si>
    <t xml:space="preserve">PMKVY Training Enrolment Assistance Service | Devmobile Stores</t>
  </si>
  <si>
    <t xml:space="preserve">PMKVY Training Enrolment Assistance (PMKVY प्रशिक्षण नामांकन सहायता) at Devmobile Stores and Common Service Center &amp; Aadhaar Centre. Check required documents, charges and process before you visit.</t>
  </si>
  <si>
    <t xml:space="preserve">PMKVY प्रशिक्षण नामांकन सहायता, कॉमन सर्विस सेंटर (CSC), सेवा</t>
  </si>
  <si>
    <t xml:space="preserve">PMKVY Training Enrolment Assistance, Common Service Centre (CSC), Devmobile Stores</t>
  </si>
  <si>
    <t xml:space="preserve">CSC-037</t>
  </si>
  <si>
    <t xml:space="preserve">Utility Services</t>
  </si>
  <si>
    <t xml:space="preserve">e-Challan (Traffic) Payment</t>
  </si>
  <si>
    <t xml:space="preserve">e-चालान (ट्रैफिक) भुगतान</t>
  </si>
  <si>
    <t xml:space="preserve">e-Challan (Traffic) Payment through our Common Service Centre.</t>
  </si>
  <si>
    <t xml:space="preserve">Step 1 → Bring Aadhaar, mobile number and the documents listed above.
Step 2 → Operator opens the 'e-Challan (Traffic) Payment' service on the CSC / government portal.
Step 3 → Your details are filled and verified with you.
Step 4 → Payment / fee (if any) is made.
Step 5 → Collect the receipt or acknowledgement and track the status.</t>
  </si>
  <si>
    <t xml:space="preserve">Parivahan / e-Challan portal</t>
  </si>
  <si>
    <t xml:space="preserve">e-challan-traffic-payment</t>
  </si>
  <si>
    <t xml:space="preserve">e-Challan (Traffic) Payment Service | Devmobile Stores</t>
  </si>
  <si>
    <t xml:space="preserve">e-Challan (Traffic) Payment (e-चालान (ट्रैफिक) भुगतान) at Devmobile Stores and Common Service Center &amp; Aadhaar Centre. Check required documents, charges and process before you visit.</t>
  </si>
  <si>
    <t xml:space="preserve">e-चालान (ट्रैफिक) भुगतान, कॉमन सर्विस सेंटर (CSC), सेवा</t>
  </si>
  <si>
    <t xml:space="preserve">e-Challan (Traffic) Payment, Common Service Centre (CSC), Devmobile Stores</t>
  </si>
  <si>
    <t xml:space="preserve">CSC-038</t>
  </si>
  <si>
    <t xml:space="preserve">Vehicle Services (Parivahan / VAHAN) Assistance</t>
  </si>
  <si>
    <t xml:space="preserve">वाहन सेवाएँ (परिवहन / VAHAN) सहायता</t>
  </si>
  <si>
    <t xml:space="preserve">Vehicle Services (Parivahan / VAHAN) Assistance through our Common Service Centre.</t>
  </si>
  <si>
    <t xml:space="preserve">Step 1 → Bring Aadhaar, mobile number and the documents listed above.
Step 2 → Operator opens the 'Vehicle Services (Parivahan / VAHAN) Assistance' service on the CSC / government portal.
Step 3 → Your details are filled and verified with you.
Step 4 → Payment / fee (if any) is made.
Step 5 → Collect the receipt or acknowledgement and track the status.</t>
  </si>
  <si>
    <t xml:space="preserve">vehicle-services-parivahan-vahan-assistance</t>
  </si>
  <si>
    <t xml:space="preserve">Vehicle Services (Parivahan / VAHAN) Assistance Service | Devmobile Stores</t>
  </si>
  <si>
    <t xml:space="preserve">Vehicle Services (Parivahan / VAHAN) Assistance (वाहन सेवाएँ (परिवहन / VAHAN) सहायता) at Devmobile Stores and Common Service Center &amp; Aadhaar Centre. Check required documents, charges and process before you visit.</t>
  </si>
  <si>
    <t xml:space="preserve">वाहन सेवाएँ (परिवहन / VAHAN) सहायता, कॉमन सर्विस सेंटर (CSC), सेवा</t>
  </si>
  <si>
    <t xml:space="preserve">Vehicle Services (Parivahan / VAHAN) Assistance, Common Service Centre (CSC), Devmobile Stores</t>
  </si>
  <si>
    <t xml:space="preserve">CSC-039</t>
  </si>
  <si>
    <t xml:space="preserve">Digital Services</t>
  </si>
  <si>
    <t xml:space="preserve">Digital Signature Certificate (DSC) Issuance</t>
  </si>
  <si>
    <t xml:space="preserve">डिजिटल सिग्नेचर सर्टिफिकेट (DSC) निर्माण</t>
  </si>
  <si>
    <t xml:space="preserve">Digital Signature Certificate (DSC) Issuance through our Common Service Centre.</t>
  </si>
  <si>
    <t xml:space="preserve">Step 1 → Bring Aadhaar, mobile number and the documents listed above.
Step 2 → Operator opens the 'Digital Signature Certificate (DSC) Issuance' service on the CSC / government portal.
Step 3 → Your details are filled and verified with you.
Step 4 → Payment / fee (if any) is made.
Step 5 → Collect the receipt or acknowledgement and track the status.</t>
  </si>
  <si>
    <t xml:space="preserve">digital-signature-certificate-dsc-issuance</t>
  </si>
  <si>
    <t xml:space="preserve">☁️</t>
  </si>
  <si>
    <t xml:space="preserve">Digital Signature Certificate (DSC) Issuance Service | Devmobile Stores</t>
  </si>
  <si>
    <t xml:space="preserve">Digital Signature Certificate (DSC) Issuance (डिजिटल सिग्नेचर सर्टिफिकेट (DSC) निर्माण) at Devmobile Stores and Common Service Center &amp; Aadhaar Centre. Check required documents, charges and process before you visit.</t>
  </si>
  <si>
    <t xml:space="preserve">डिजिटल सिग्नेचर सर्टिफिकेट (DSC) निर्माण, कॉमन सर्विस सेंटर (CSC), सेवा</t>
  </si>
  <si>
    <t xml:space="preserve">Digital Signature Certificate (DSC) Issuance, Common Service Centre (CSC), Devmobile Stores</t>
  </si>
  <si>
    <t xml:space="preserve">CSC-040</t>
  </si>
  <si>
    <t xml:space="preserve">Aadhaar eSign Assistance</t>
  </si>
  <si>
    <t xml:space="preserve">आधार eSign सहायता</t>
  </si>
  <si>
    <t xml:space="preserve">Aadhaar eSign Assistance through our Common Service Centre.</t>
  </si>
  <si>
    <t xml:space="preserve">Step 1 → Bring Aadhaar, mobile number and the documents listed above.
Step 2 → Operator opens the 'Aadhaar eSign Assistance' service on the CSC / government portal.
Step 3 → Your details are filled and verified with you.
Step 4 → Payment / fee (if any) is made.
Step 5 → Collect the receipt or acknowledgement and track the status.</t>
  </si>
  <si>
    <t xml:space="preserve">aadhaar-esign-assistance</t>
  </si>
  <si>
    <t xml:space="preserve">Aadhaar eSign Assistance Service | Devmobile Stores</t>
  </si>
  <si>
    <t xml:space="preserve">Aadhaar eSign Assistance (आधार eSign सहायता) at Devmobile Stores and Common Service Center &amp; Aadhaar Centre. Check required documents, charges and process before you visit.</t>
  </si>
  <si>
    <t xml:space="preserve">आधार eSign सहायता, कॉमन सर्विस सेंटर (CSC), सेवा</t>
  </si>
  <si>
    <t xml:space="preserve">Aadhaar eSign Assistance, Common Service Centre (CSC), Devmobile Stores</t>
  </si>
  <si>
    <t xml:space="preserve">CSC-041</t>
  </si>
  <si>
    <t xml:space="preserve">CSC e-Store / Grameen e-Store Orders</t>
  </si>
  <si>
    <t xml:space="preserve">CSC e-Store / ग्रामीण e-Store ऑर्डर</t>
  </si>
  <si>
    <t xml:space="preserve">CSC e-Store / Grameen e-Store Orders through our Common Service Centre.</t>
  </si>
  <si>
    <t xml:space="preserve">Step 1 → Bring Aadhaar, mobile number and the documents listed above.
Step 2 → Operator opens the 'CSC e-Store / Grameen e-Store Orders' service on the CSC / government portal.
Step 3 → Your details are filled and verified with you.
Step 4 → Payment / fee (if any) is made.
Step 5 → Collect the receipt or acknowledgement and track the status.</t>
  </si>
  <si>
    <t xml:space="preserve">csc-e-store-grameen-e-store-orders</t>
  </si>
  <si>
    <t xml:space="preserve">CSC e-Store / Grameen e-Store Orders Service | Devmobile Stores</t>
  </si>
  <si>
    <t xml:space="preserve">CSC e-Store / Grameen e-Store Orders (CSC e-Store / ग्रामीण e-Store ऑर्डर) at Devmobile Stores and Common Service Center &amp; Aadhaar Centre. Check required documents, charges and process before you visit.</t>
  </si>
  <si>
    <t xml:space="preserve">CSC e-Store / ग्रामीण e-Store ऑर्डर, कॉमन सर्विस सेंटर (CSC), सेवा</t>
  </si>
  <si>
    <t xml:space="preserve">CSC e-Store / Grameen e-Store Orders, Common Service Centre (CSC), Devmobile Stores</t>
  </si>
  <si>
    <t xml:space="preserve">CSC-042</t>
  </si>
  <si>
    <t xml:space="preserve">Registration Services</t>
  </si>
  <si>
    <t xml:space="preserve">Udyam (MSME) Registration</t>
  </si>
  <si>
    <t xml:space="preserve">उद्यम (MSME) पंजीकरण</t>
  </si>
  <si>
    <t xml:space="preserve">Udyam (MSME) Registration through our Common Service Centre.</t>
  </si>
  <si>
    <t xml:space="preserve">Step 1 → Bring Aadhaar, mobile number and the documents listed above.
Step 2 → Operator opens the 'Udyam (MSME) Registration' service on the CSC / government portal.
Step 3 → Your details are filled and verified with you.
Step 4 → Payment / fee (if any) is made.
Step 5 → Collect the receipt or acknowledgement and track the status.</t>
  </si>
  <si>
    <t xml:space="preserve">Udyam Registration portal</t>
  </si>
  <si>
    <t xml:space="preserve">udyam-msme-registration</t>
  </si>
  <si>
    <t xml:space="preserve">Udyam (MSME) Registration Service | Devmobile Stores</t>
  </si>
  <si>
    <t xml:space="preserve">Udyam (MSME) Registration (उद्यम (MSME) पंजीकरण) at Devmobile Stores and Common Service Center &amp; Aadhaar Centre. Check required documents, charges and process before you visit.</t>
  </si>
  <si>
    <t xml:space="preserve">उद्यम (MSME) पंजीकरण, कॉमन सर्विस सेंटर (CSC), सेवा</t>
  </si>
  <si>
    <t xml:space="preserve">Udyam (MSME) Registration, Common Service Centre (CSC), Devmobile Stores</t>
  </si>
  <si>
    <t xml:space="preserve">CSC-043</t>
  </si>
  <si>
    <t xml:space="preserve">GST Registration Assistance</t>
  </si>
  <si>
    <t xml:space="preserve">GST पंजीकरण सहायता</t>
  </si>
  <si>
    <t xml:space="preserve">GST Registration Assistance through our Common Service Centre.</t>
  </si>
  <si>
    <t xml:space="preserve">Step 1 → Bring Aadhaar, mobile number and the documents listed above.
Step 2 → Operator opens the 'GST Registration Assistance' service on the CSC / government portal.
Step 3 → Your details are filled and verified with you.
Step 4 → Payment / fee (if any) is made.
Step 5 → Collect the receipt or acknowledgement and track the status.</t>
  </si>
  <si>
    <t xml:space="preserve">GST / FSSAI / state portal (as applicable)</t>
  </si>
  <si>
    <t xml:space="preserve">gst-registration-assistance</t>
  </si>
  <si>
    <t xml:space="preserve">GST Registration Assistance Service | Devmobile Stores</t>
  </si>
  <si>
    <t xml:space="preserve">GST Registration Assistance (GST पंजीकरण सहायता) at Devmobile Stores and Common Service Center &amp; Aadhaar Centre. Check required documents, charges and process before you visit.</t>
  </si>
  <si>
    <t xml:space="preserve">GST पंजीकरण सहायता, कॉमन सर्विस सेंटर (CSC), सेवा</t>
  </si>
  <si>
    <t xml:space="preserve">GST Registration Assistance, Common Service Centre (CSC), Devmobile Stores</t>
  </si>
  <si>
    <t xml:space="preserve">CSC-044</t>
  </si>
  <si>
    <t xml:space="preserve">GST Return Filing Assistance</t>
  </si>
  <si>
    <t xml:space="preserve">GST रिटर्न फाइलिंग सहायता</t>
  </si>
  <si>
    <t xml:space="preserve">GST Return Filing Assistance through our Common Service Centre.</t>
  </si>
  <si>
    <t xml:space="preserve">Step 1 → Bring Aadhaar, mobile number and the documents listed above.
Step 2 → Operator opens the 'GST Return Filing Assistance' service on the CSC / government portal.
Step 3 → Your details are filled and verified with you.
Step 4 → Payment / fee (if any) is made.
Step 5 → Collect the receipt or acknowledgement and track the status.</t>
  </si>
  <si>
    <t xml:space="preserve">gst-return-filing-assistance</t>
  </si>
  <si>
    <t xml:space="preserve">GST Return Filing Assistance Service | Devmobile Stores</t>
  </si>
  <si>
    <t xml:space="preserve">GST Return Filing Assistance (GST रिटर्न फाइलिंग सहायता) at Devmobile Stores and Common Service Center &amp; Aadhaar Centre. Check required documents, charges and process before you visit.</t>
  </si>
  <si>
    <t xml:space="preserve">GST रिटर्न फाइलिंग सहायता, कॉमन सर्विस सेंटर (CSC), सेवा</t>
  </si>
  <si>
    <t xml:space="preserve">GST Return Filing Assistance, Common Service Centre (CSC), Devmobile Stores</t>
  </si>
  <si>
    <t xml:space="preserve">CSC-045</t>
  </si>
  <si>
    <t xml:space="preserve">FSSAI Registration / Licence Assistance</t>
  </si>
  <si>
    <t xml:space="preserve">FSSAI पंजीकरण / लाइसेंस सहायता</t>
  </si>
  <si>
    <t xml:space="preserve">FSSAI Registration / Licence Assistance through our Common Service Centre.</t>
  </si>
  <si>
    <t xml:space="preserve">Step 1 → Bring Aadhaar, mobile number and the documents listed above.
Step 2 → Operator opens the 'FSSAI Registration / Licence Assistance' service on the CSC / government portal.
Step 3 → Your details are filled and verified with you.
Step 4 → Payment / fee (if any) is made.
Step 5 → Collect the receipt or acknowledgement and track the status.</t>
  </si>
  <si>
    <t xml:space="preserve">fssai-registration-licence-assistance</t>
  </si>
  <si>
    <t xml:space="preserve">FSSAI Registration / Licence Assistance Service | Devmobile Stores</t>
  </si>
  <si>
    <t xml:space="preserve">FSSAI Registration / Licence Assistance (FSSAI पंजीकरण / लाइसेंस सहायता) at Devmobile Stores and Common Service Center &amp; Aadhaar Centre. Check required documents, charges and process before you visit.</t>
  </si>
  <si>
    <t xml:space="preserve">FSSAI पंजीकरण / लाइसेंस सहायता, कॉमन सर्विस सेंटर (CSC), सेवा</t>
  </si>
  <si>
    <t xml:space="preserve">FSSAI Registration / Licence Assistance, Common Service Centre (CSC), Devmobile Stores</t>
  </si>
  <si>
    <t xml:space="preserve">CSC-046</t>
  </si>
  <si>
    <t xml:space="preserve">Income Tax Return (ITR) Filing Assistance</t>
  </si>
  <si>
    <t xml:space="preserve">आयकर रिटर्न (ITR) फाइलिंग सहायता</t>
  </si>
  <si>
    <t xml:space="preserve">Income Tax Return (ITR) Filing Assistance through our Common Service Centre.</t>
  </si>
  <si>
    <t xml:space="preserve">Step 1 → Bring Aadhaar, mobile number and the documents listed above.
Step 2 → Operator opens the 'Income Tax Return (ITR) Filing Assistance' service on the CSC / government portal.
Step 3 → Your details are filled and verified with you.
Step 4 → Payment / fee (if any) is made.
Step 5 → Collect the receipt or acknowledgement and track the status.</t>
  </si>
  <si>
    <t xml:space="preserve">Income Tax e-filing portal</t>
  </si>
  <si>
    <t xml:space="preserve">income-tax-return-itr-filing-assistance</t>
  </si>
  <si>
    <t xml:space="preserve">Income Tax Return (ITR) Filing Assistance Service | Devmobile Stores</t>
  </si>
  <si>
    <t xml:space="preserve">Income Tax Return (ITR) Filing Assistance (आयकर रिटर्न (ITR) फाइलिंग सहायता) at Devmobile Stores and Common Service Center &amp; Aadhaar Centre. Check required documents, charges and process before you visit.</t>
  </si>
  <si>
    <t xml:space="preserve">आयकर रिटर्न (ITR) फाइलिंग सहायता, कॉमन सर्विस सेंटर (CSC), सेवा</t>
  </si>
  <si>
    <t xml:space="preserve">Income Tax Return (ITR) Filing Assistance, Common Service Centre (CSC), Devmobile Stores</t>
  </si>
  <si>
    <t xml:space="preserve">CSC-047</t>
  </si>
  <si>
    <t xml:space="preserve">Shop &amp; Establishment Registration Assistance</t>
  </si>
  <si>
    <t xml:space="preserve">दुकान एवं प्रतिष्ठान पंजीकरण सहायता</t>
  </si>
  <si>
    <t xml:space="preserve">Shop &amp; Establishment Registration Assistance through our Common Service Centre.</t>
  </si>
  <si>
    <t xml:space="preserve">Step 1 → Bring Aadhaar, mobile number and the documents listed above.
Step 2 → Operator opens the 'Shop &amp; Establishment Registration Assistance' service on the CSC / government portal.
Step 3 → Your details are filled and verified with you.
Step 4 → Payment / fee (if any) is made.
Step 5 → Collect the receipt or acknowledgement and track the status.</t>
  </si>
  <si>
    <t xml:space="preserve">shop-establishment-registration-assistance</t>
  </si>
  <si>
    <t xml:space="preserve">Shop &amp; Establishment Registration Assistance Service | Devmobile Stores</t>
  </si>
  <si>
    <t xml:space="preserve">Shop &amp; Establishment Registration Assistance (दुकान एवं प्रतिष्ठान पंजीकरण सहायता) at Devmobile Stores and Common Service Center &amp; Aadhaar Centre. Check required documents, charges and process before you visit.</t>
  </si>
  <si>
    <t xml:space="preserve">दुकान एवं प्रतिष्ठान पंजीकरण सहायता, कॉमन सर्विस सेंटर (CSC), सेवा</t>
  </si>
  <si>
    <t xml:space="preserve">Shop &amp; Establishment Registration Assistance, Common Service Centre (CSC), Devmobile Stores</t>
  </si>
  <si>
    <t xml:space="preserve">CSC-048</t>
  </si>
  <si>
    <t xml:space="preserve">Labour (Construction Worker) Registration Assistance</t>
  </si>
  <si>
    <t xml:space="preserve">श्रमिक (निर्माण मजदूर) पंजीकरण सहायता</t>
  </si>
  <si>
    <t xml:space="preserve">Labour (Construction Worker) Registration Assistance through our Common Service Centre.</t>
  </si>
  <si>
    <t xml:space="preserve">Step 1 → Bring Aadhaar, mobile number and the documents listed above.
Step 2 → Operator opens the 'Labour (Construction Worker) Registration Assistance' service on the CSC / government portal.
Step 3 → Your details are filled and verified with you.
Step 4 → Payment / fee (if any) is made.
Step 5 → Collect the receipt or acknowledgement and track the status.</t>
  </si>
  <si>
    <t xml:space="preserve">labour-construction-worker-registration-assistance</t>
  </si>
  <si>
    <t xml:space="preserve">Labour (Construction Worker) Registration Assistance Service | Devmobile Stores</t>
  </si>
  <si>
    <t xml:space="preserve">Labour (Construction Worker) Registration Assistance (श्रमिक (निर्माण मजदूर) पंजीकरण सहायता) at Devmobile Stores and Common Service Center &amp; Aadhaar Centre. Check required documents, charges and process before you visit.</t>
  </si>
  <si>
    <t xml:space="preserve">श्रमिक (निर्माण मजदूर) पंजीकरण सहायता, कॉमन सर्विस सेंटर (CSC), सेवा</t>
  </si>
  <si>
    <t xml:space="preserve">Labour (Construction Worker) Registration Assistance, Common Service Centre (CSC), Devmobile Stores</t>
  </si>
  <si>
    <t xml:space="preserve">CSC-049</t>
  </si>
  <si>
    <t xml:space="preserve">Document Services</t>
  </si>
  <si>
    <t xml:space="preserve">Academic Bank of Credits (ABC) / APAAR ID Assistance</t>
  </si>
  <si>
    <t xml:space="preserve">ABC / APAAR आईडी सहायता</t>
  </si>
  <si>
    <t xml:space="preserve">Academic Bank of Credits (ABC) / APAAR ID Assistance through our Common Service Centre.</t>
  </si>
  <si>
    <t xml:space="preserve">Step 1 → Bring Aadhaar, mobile number and the documents listed above.
Step 2 → Operator opens the 'Academic Bank of Credits (ABC) / APAAR ID Assistance' service on the CSC / government portal.
Step 3 → Your details are filled and verified with you.
Step 4 → Payment / fee (if any) is made.
Step 5 → Collect the receipt or acknowledgement and track the status.</t>
  </si>
  <si>
    <t xml:space="preserve">academic-bank-of-credits-abc-apaar-id-assistance</t>
  </si>
  <si>
    <t xml:space="preserve">Academic Bank of Credits (ABC) / APAAR ID Assistance Service | Devmobile Stores</t>
  </si>
  <si>
    <t xml:space="preserve">Academic Bank of Credits (ABC) / APAAR ID Assistance (ABC / APAAR आईडी सहायता) at Devmobile Stores and Common Service Center &amp; Aadhaar Centre. Check required documents, charges and process before you visit.</t>
  </si>
  <si>
    <t xml:space="preserve">ABC / APAAR आईडी सहायता, कॉमन सर्विस सेंटर (CSC), सेवा</t>
  </si>
  <si>
    <t xml:space="preserve">Academic Bank of Credits (ABC) / APAAR ID Assistance, Common Service Centre (CSC), Devmobile Stores</t>
  </si>
  <si>
    <t xml:space="preserve">CSC-050</t>
  </si>
  <si>
    <t xml:space="preserve">Document Attestation / Apostille Assistance</t>
  </si>
  <si>
    <t xml:space="preserve">दस्तावेज़ सत्यापन / अपोस्टिल सहायता</t>
  </si>
  <si>
    <t xml:space="preserve">Document Attestation / Apostille Assistance through our Common Service Centre.</t>
  </si>
  <si>
    <t xml:space="preserve">Step 1 → Bring Aadhaar, mobile number and the documents listed above.
Step 2 → Operator opens the 'Document Attestation / Apostille Assistance' service on the CSC / government portal.
Step 3 → Your details are filled and verified with you.
Step 4 → Payment / fee (if any) is made.
Step 5 → Collect the receipt or acknowledgement and track the status.</t>
  </si>
  <si>
    <t xml:space="preserve">document-attestation-apostille-assistance</t>
  </si>
  <si>
    <t xml:space="preserve">Document Attestation / Apostille Assistance Service | Devmobile Stores</t>
  </si>
  <si>
    <t xml:space="preserve">Document Attestation / Apostille Assistance (दस्तावेज़ सत्यापन / अपोस्टिल सहायता) at Devmobile Stores and Common Service Center &amp; Aadhaar Centre. Check required documents, charges and process before you visit.</t>
  </si>
  <si>
    <t xml:space="preserve">दस्तावेज़ सत्यापन / अपोस्टिल सहायता, कॉमन सर्विस सेंटर (CSC), सेवा</t>
  </si>
  <si>
    <t xml:space="preserve">Document Attestation / Apostille Assistance, Common Service Centre (CSC), Devmobile Stores</t>
  </si>
  <si>
    <t xml:space="preserve">MOB-001</t>
  </si>
  <si>
    <t xml:space="preserve">Mobile Store</t>
  </si>
  <si>
    <t xml:space="preserve">Mobile Retail &amp; Services</t>
  </si>
  <si>
    <t xml:space="preserve">Mobile Sales</t>
  </si>
  <si>
    <t xml:space="preserve">New Mobile Phone Sales (Smartphone)</t>
  </si>
  <si>
    <t xml:space="preserve">नया मोबाइल फोन बिक्री (स्मार्टफोन)</t>
  </si>
  <si>
    <t xml:space="preserve">New Mobile Phone Sales (Smartphone) at our mobile store.</t>
  </si>
  <si>
    <t xml:space="preserve">Any customer.</t>
  </si>
  <si>
    <t xml:space="preserve">Step 1 → Visit the shop and choose the product / service.
Step 2 → Check price and warranty terms at the counter.
Step 3 → Pay and collect the item with bill.</t>
  </si>
  <si>
    <t xml:space="preserve">Variable</t>
  </si>
  <si>
    <t xml:space="preserve">new-mobile-phone-sales-smartphone</t>
  </si>
  <si>
    <t xml:space="preserve">📱</t>
  </si>
  <si>
    <t xml:space="preserve">Q1: Is the price fixed?
A1: Prices vary by brand and model. Please ask at the counter.</t>
  </si>
  <si>
    <t xml:space="preserve">New Mobile Phone Sales (Smartphone) | Devmobile Stores</t>
  </si>
  <si>
    <t xml:space="preserve">New Mobile Phone Sales (Smartphone) (नया मोबाइल फोन बिक्री (स्मार्टफोन)) at Devmobile Stores and Common Service Center &amp; Aadhaar Centre. Check required documents, charges and process before you visit.</t>
  </si>
  <si>
    <t xml:space="preserve">नया मोबाइल फोन बिक्री (स्मार्टफोन), मोबाइल स्टोर, सेवा</t>
  </si>
  <si>
    <t xml:space="preserve">New Mobile Phone Sales (Smartphone), Mobile Store, Devmobile Stores</t>
  </si>
  <si>
    <t xml:space="preserve">Get Quote</t>
  </si>
  <si>
    <t xml:space="preserve">MOB-002</t>
  </si>
  <si>
    <t xml:space="preserve">Keypad / Feature Phone Sales</t>
  </si>
  <si>
    <t xml:space="preserve">कीपैड / फीचर फोन बिक्री</t>
  </si>
  <si>
    <t xml:space="preserve">Keypad / Feature Phone Sales at our mobile store.</t>
  </si>
  <si>
    <t xml:space="preserve">keypad-feature-phone-sales</t>
  </si>
  <si>
    <t xml:space="preserve">Confirm stock is regularly kept</t>
  </si>
  <si>
    <t xml:space="preserve">Keypad / Feature Phone Sales | Devmobile Stores</t>
  </si>
  <si>
    <t xml:space="preserve">Keypad / Feature Phone Sales (कीपैड / फीचर फोन बिक्री) at Devmobile Stores and Common Service Center &amp; Aadhaar Centre. Check required documents, charges and process before you visit.</t>
  </si>
  <si>
    <t xml:space="preserve">कीपैड / फीचर फोन बिक्री, मोबाइल स्टोर, सेवा</t>
  </si>
  <si>
    <t xml:space="preserve">Keypad / Feature Phone Sales, Mobile Store, Devmobile Stores</t>
  </si>
  <si>
    <t xml:space="preserve">MOB-003</t>
  </si>
  <si>
    <t xml:space="preserve">Charging &amp; Cables</t>
  </si>
  <si>
    <t xml:space="preserve">Mobile Charger</t>
  </si>
  <si>
    <t xml:space="preserve">मोबाइल चार्जर</t>
  </si>
  <si>
    <t xml:space="preserve">Mobile Charger at our mobile store.</t>
  </si>
  <si>
    <t xml:space="preserve">mobile-charger</t>
  </si>
  <si>
    <t xml:space="preserve">🔌</t>
  </si>
  <si>
    <t xml:space="preserve">Mobile Charger | Devmobile Stores</t>
  </si>
  <si>
    <t xml:space="preserve">Mobile Charger (मोबाइल चार्जर) at Devmobile Stores and Common Service Center &amp; Aadhaar Centre. Check required documents, charges and process before you visit.</t>
  </si>
  <si>
    <t xml:space="preserve">मोबाइल चार्जर, मोबाइल स्टोर, सेवा</t>
  </si>
  <si>
    <t xml:space="preserve">Mobile Charger, Mobile Store, Devmobile Stores</t>
  </si>
  <si>
    <t xml:space="preserve">MOB-004</t>
  </si>
  <si>
    <t xml:space="preserve">Data Cable</t>
  </si>
  <si>
    <t xml:space="preserve">डेटा केबल</t>
  </si>
  <si>
    <t xml:space="preserve">Data Cable at our mobile store.</t>
  </si>
  <si>
    <t xml:space="preserve">data-cable</t>
  </si>
  <si>
    <t xml:space="preserve">Data Cable | Devmobile Stores</t>
  </si>
  <si>
    <t xml:space="preserve">Data Cable (डेटा केबल) at Devmobile Stores and Common Service Center &amp; Aadhaar Centre. Check required documents, charges and process before you visit.</t>
  </si>
  <si>
    <t xml:space="preserve">डेटा केबल, मोबाइल स्टोर, सेवा</t>
  </si>
  <si>
    <t xml:space="preserve">Data Cable, Mobile Store, Devmobile Stores</t>
  </si>
  <si>
    <t xml:space="preserve">MOB-005</t>
  </si>
  <si>
    <t xml:space="preserve">Power Bank</t>
  </si>
  <si>
    <t xml:space="preserve">पावर बैंक</t>
  </si>
  <si>
    <t xml:space="preserve">Power Bank at our mobile store.</t>
  </si>
  <si>
    <t xml:space="preserve">power-bank</t>
  </si>
  <si>
    <t xml:space="preserve">Power Bank | Devmobile Stores</t>
  </si>
  <si>
    <t xml:space="preserve">Power Bank (पावर बैंक) at Devmobile Stores and Common Service Center &amp; Aadhaar Centre. Check required documents, charges and process before you visit.</t>
  </si>
  <si>
    <t xml:space="preserve">पावर बैंक, मोबाइल स्टोर, सेवा</t>
  </si>
  <si>
    <t xml:space="preserve">Power Bank, Mobile Store, Devmobile Stores</t>
  </si>
  <si>
    <t xml:space="preserve">MOB-006</t>
  </si>
  <si>
    <t xml:space="preserve">Audio Accessories</t>
  </si>
  <si>
    <t xml:space="preserve">Earphone (Wired)</t>
  </si>
  <si>
    <t xml:space="preserve">ईयरफोन (वायर्ड)</t>
  </si>
  <si>
    <t xml:space="preserve">Earphone (Wired) at our mobile store.</t>
  </si>
  <si>
    <t xml:space="preserve">earphone-wired</t>
  </si>
  <si>
    <t xml:space="preserve">🎧</t>
  </si>
  <si>
    <t xml:space="preserve">Earphone (Wired) | Devmobile Stores</t>
  </si>
  <si>
    <t xml:space="preserve">Earphone (Wired) (ईयरफोन (वायर्ड)) at Devmobile Stores and Common Service Center &amp; Aadhaar Centre. Check required documents, charges and process before you visit.</t>
  </si>
  <si>
    <t xml:space="preserve">ईयरफोन (वायर्ड), मोबाइल स्टोर, सेवा</t>
  </si>
  <si>
    <t xml:space="preserve">Earphone (Wired), Mobile Store, Devmobile Stores</t>
  </si>
  <si>
    <t xml:space="preserve">MOB-007</t>
  </si>
  <si>
    <t xml:space="preserve">Bluetooth Earphone</t>
  </si>
  <si>
    <t xml:space="preserve">ब्लूटूथ ईयरफोन</t>
  </si>
  <si>
    <t xml:space="preserve">Bluetooth Earphone at our mobile store.</t>
  </si>
  <si>
    <t xml:space="preserve">bluetooth-earphone</t>
  </si>
  <si>
    <t xml:space="preserve">Bluetooth Earphone | Devmobile Stores</t>
  </si>
  <si>
    <t xml:space="preserve">Bluetooth Earphone (ब्लूटूथ ईयरफोन) at Devmobile Stores and Common Service Center &amp; Aadhaar Centre. Check required documents, charges and process before you visit.</t>
  </si>
  <si>
    <t xml:space="preserve">ब्लूटूथ ईयरफोन, मोबाइल स्टोर, सेवा</t>
  </si>
  <si>
    <t xml:space="preserve">Bluetooth Earphone, Mobile Store, Devmobile Stores</t>
  </si>
  <si>
    <t xml:space="preserve">MOB-008</t>
  </si>
  <si>
    <t xml:space="preserve">Speaker</t>
  </si>
  <si>
    <t xml:space="preserve">स्पीकर</t>
  </si>
  <si>
    <t xml:space="preserve">Speaker at our mobile store.</t>
  </si>
  <si>
    <t xml:space="preserve">speaker</t>
  </si>
  <si>
    <t xml:space="preserve">Speaker | Devmobile Stores</t>
  </si>
  <si>
    <t xml:space="preserve">Speaker (स्पीकर) at Devmobile Stores and Common Service Center &amp; Aadhaar Centre. Check required documents, charges and process before you visit.</t>
  </si>
  <si>
    <t xml:space="preserve">स्पीकर, मोबाइल स्टोर, सेवा</t>
  </si>
  <si>
    <t xml:space="preserve">Speaker, Mobile Store, Devmobile Stores</t>
  </si>
  <si>
    <t xml:space="preserve">MOB-009</t>
  </si>
  <si>
    <t xml:space="preserve">Protection Accessories</t>
  </si>
  <si>
    <t xml:space="preserve">Mobile Cover</t>
  </si>
  <si>
    <t xml:space="preserve">मोबाइल कवर</t>
  </si>
  <si>
    <t xml:space="preserve">Mobile Cover at our mobile store.</t>
  </si>
  <si>
    <t xml:space="preserve">mobile-cover</t>
  </si>
  <si>
    <t xml:space="preserve">Mobile Cover | Devmobile Stores</t>
  </si>
  <si>
    <t xml:space="preserve">Mobile Cover (मोबाइल कवर) at Devmobile Stores and Common Service Center &amp; Aadhaar Centre. Check required documents, charges and process before you visit.</t>
  </si>
  <si>
    <t xml:space="preserve">मोबाइल कवर, मोबाइल स्टोर, सेवा</t>
  </si>
  <si>
    <t xml:space="preserve">Mobile Cover, Mobile Store, Devmobile Stores</t>
  </si>
  <si>
    <t xml:space="preserve">MOB-010</t>
  </si>
  <si>
    <t xml:space="preserve">Tempered Glass</t>
  </si>
  <si>
    <t xml:space="preserve">टेम्पर्ड ग्लास</t>
  </si>
  <si>
    <t xml:space="preserve">Tempered Glass at our mobile store.</t>
  </si>
  <si>
    <t xml:space="preserve">tempered-glass</t>
  </si>
  <si>
    <t xml:space="preserve">Tempered Glass | Devmobile Stores</t>
  </si>
  <si>
    <t xml:space="preserve">Tempered Glass (टेम्पर्ड ग्लास) at Devmobile Stores and Common Service Center &amp; Aadhaar Centre. Check required documents, charges and process before you visit.</t>
  </si>
  <si>
    <t xml:space="preserve">टेम्पर्ड ग्लास, मोबाइल स्टोर, सेवा</t>
  </si>
  <si>
    <t xml:space="preserve">Tempered Glass, Mobile Store, Devmobile Stores</t>
  </si>
  <si>
    <t xml:space="preserve">MOB-011</t>
  </si>
  <si>
    <t xml:space="preserve">Tempered Glass Fitting</t>
  </si>
  <si>
    <t xml:space="preserve">टेम्पर्ड ग्लास फिटिंग</t>
  </si>
  <si>
    <t xml:space="preserve">Tempered Glass Fitting at our mobile store.</t>
  </si>
  <si>
    <t xml:space="preserve">tempered-glass-fitting</t>
  </si>
  <si>
    <t xml:space="preserve">Tempered Glass Fitting | Devmobile Stores</t>
  </si>
  <si>
    <t xml:space="preserve">Tempered Glass Fitting (टेम्पर्ड ग्लास फिटिंग) at Devmobile Stores and Common Service Center &amp; Aadhaar Centre. Check required documents, charges and process before you visit.</t>
  </si>
  <si>
    <t xml:space="preserve">टेम्पर्ड ग्लास फिटिंग, मोबाइल स्टोर, सेवा</t>
  </si>
  <si>
    <t xml:space="preserve">Tempered Glass Fitting, Mobile Store, Devmobile Stores</t>
  </si>
  <si>
    <t xml:space="preserve">MOB-012</t>
  </si>
  <si>
    <t xml:space="preserve">Storage Devices</t>
  </si>
  <si>
    <t xml:space="preserve">Memory Card</t>
  </si>
  <si>
    <t xml:space="preserve">मेमोरी कार्ड</t>
  </si>
  <si>
    <t xml:space="preserve">Memory Card at our mobile store.</t>
  </si>
  <si>
    <t xml:space="preserve">memory-card</t>
  </si>
  <si>
    <t xml:space="preserve">💾</t>
  </si>
  <si>
    <t xml:space="preserve">Memory Card | Devmobile Stores</t>
  </si>
  <si>
    <t xml:space="preserve">Memory Card (मेमोरी कार्ड) at Devmobile Stores and Common Service Center &amp; Aadhaar Centre. Check required documents, charges and process before you visit.</t>
  </si>
  <si>
    <t xml:space="preserve">मेमोरी कार्ड, मोबाइल स्टोर, सेवा</t>
  </si>
  <si>
    <t xml:space="preserve">Memory Card, Mobile Store, Devmobile Stores</t>
  </si>
  <si>
    <t xml:space="preserve">MOB-013</t>
  </si>
  <si>
    <t xml:space="preserve">Pendrive</t>
  </si>
  <si>
    <t xml:space="preserve">पेनड्राइव</t>
  </si>
  <si>
    <t xml:space="preserve">Pendrive at our mobile store.</t>
  </si>
  <si>
    <t xml:space="preserve">pendrive</t>
  </si>
  <si>
    <t xml:space="preserve">Pendrive | Devmobile Stores</t>
  </si>
  <si>
    <t xml:space="preserve">Pendrive (पेनड्राइव) at Devmobile Stores and Common Service Center &amp; Aadhaar Centre. Check required documents, charges and process before you visit.</t>
  </si>
  <si>
    <t xml:space="preserve">पेनड्राइव, मोबाइल स्टोर, सेवा</t>
  </si>
  <si>
    <t xml:space="preserve">Pendrive, Mobile Store, Devmobile Stores</t>
  </si>
  <si>
    <t xml:space="preserve">MOB-014</t>
  </si>
  <si>
    <t xml:space="preserve">SIM Services</t>
  </si>
  <si>
    <t xml:space="preserve">New SIM Card Sale / Activation</t>
  </si>
  <si>
    <t xml:space="preserve">नया सिम कार्ड बिक्री / एक्टिवेशन</t>
  </si>
  <si>
    <t xml:space="preserve">New SIM Card Sale / Activation at our mobile store.</t>
  </si>
  <si>
    <t xml:space="preserve">New SIM Card Sale / Activation through the telecom operator process.</t>
  </si>
  <si>
    <t xml:space="preserve">Step 1 → Bring Aadhaar and be present in person.
Step 2 → Operator starts the operator's KYC process.
Step 3 → Biometric / photo verification is completed.
Step 4 → SIM is activated (activation time as per operator).</t>
  </si>
  <si>
    <t xml:space="preserve">new-sim-card-sale-activation</t>
  </si>
  <si>
    <t xml:space="preserve">📶</t>
  </si>
  <si>
    <t xml:space="preserve">Depends on telecom operator authorization. Confirm with the shop before visiting.</t>
  </si>
  <si>
    <t xml:space="preserve">Needs telecom operator authorization / PoS agreement</t>
  </si>
  <si>
    <t xml:space="preserve">New SIM Card Sale / Activation Service | Devmobile Stores</t>
  </si>
  <si>
    <t xml:space="preserve">New SIM Card Sale / Activation (नया सिम कार्ड बिक्री / एक्टिवेशन) at Devmobile Stores and Common Service Center &amp; Aadhaar Centre. Check required documents, charges and process before you visit.</t>
  </si>
  <si>
    <t xml:space="preserve">नया सिम कार्ड बिक्री / एक्टिवेशन, मोबाइल स्टोर, सेवा</t>
  </si>
  <si>
    <t xml:space="preserve">New SIM Card Sale / Activation, Mobile Store, Devmobile Stores</t>
  </si>
  <si>
    <t xml:space="preserve">MOB-015</t>
  </si>
  <si>
    <t xml:space="preserve">SIM Replacement (Lost / Damaged SIM)</t>
  </si>
  <si>
    <t xml:space="preserve">सिम रिप्लेसमेंट (खोया / खराब सिम)</t>
  </si>
  <si>
    <t xml:space="preserve">SIM Replacement (Lost / Damaged SIM) at our mobile store.</t>
  </si>
  <si>
    <t xml:space="preserve">SIM Replacement (Lost / Damaged SIM) through the telecom operator process.</t>
  </si>
  <si>
    <t xml:space="preserve">sim-replacement-lost-damaged-sim</t>
  </si>
  <si>
    <t xml:space="preserve">Needs telecom operator authorization</t>
  </si>
  <si>
    <t xml:space="preserve">SIM Replacement (Lost / Damaged SIM) Service | Devmobile Stores</t>
  </si>
  <si>
    <t xml:space="preserve">SIM Replacement (Lost / Damaged SIM) (सिम रिप्लेसमेंट (खोया / खराब सिम)) at Devmobile Stores and Common Service Center &amp; Aadhaar Centre. Check required documents, charges and process before you visit.</t>
  </si>
  <si>
    <t xml:space="preserve">सिम रिप्लेसमेंट (खोया / खराब सिम), मोबाइल स्टोर, सेवा</t>
  </si>
  <si>
    <t xml:space="preserve">SIM Replacement (Lost / Damaged SIM), Mobile Store, Devmobile Stores</t>
  </si>
  <si>
    <t xml:space="preserve">MOB-016</t>
  </si>
  <si>
    <t xml:space="preserve">Mobile Number Portability (MNP) Assistance</t>
  </si>
  <si>
    <t xml:space="preserve">मोबाइल नंबर पोर्टेबिलिटी (MNP) सहायता</t>
  </si>
  <si>
    <t xml:space="preserve">Mobile Number Portability (MNP) Assistance at our mobile store.</t>
  </si>
  <si>
    <t xml:space="preserve">Mobile Number Portability (MNP) Assistance through the telecom operator process.</t>
  </si>
  <si>
    <t xml:space="preserve">mobile-number-portability-mnp-assistance</t>
  </si>
  <si>
    <t xml:space="preserve">Mobile Number Portability (MNP) Assistance Service | Devmobile Stores</t>
  </si>
  <si>
    <t xml:space="preserve">Mobile Number Portability (MNP) Assistance (मोबाइल नंबर पोर्टेबिलिटी (MNP) सहायता) at Devmobile Stores and Common Service Center &amp; Aadhaar Centre. Check required documents, charges and process before you visit.</t>
  </si>
  <si>
    <t xml:space="preserve">मोबाइल नंबर पोर्टेबिलिटी (MNP) सहायता, मोबाइल स्टोर, सेवा</t>
  </si>
  <si>
    <t xml:space="preserve">Mobile Number Portability (MNP) Assistance, Mobile Store, Devmobile Stores</t>
  </si>
  <si>
    <t xml:space="preserve">MOB-017</t>
  </si>
  <si>
    <t xml:space="preserve">SIM KYC / Re-verification Assistance</t>
  </si>
  <si>
    <t xml:space="preserve">सिम KYC / पुनः सत्यापन सहायता</t>
  </si>
  <si>
    <t xml:space="preserve">SIM KYC / Re-verification Assistance at our mobile store.</t>
  </si>
  <si>
    <t xml:space="preserve">SIM KYC / Re-verification Assistance through the telecom operator process.</t>
  </si>
  <si>
    <t xml:space="preserve">sim-kyc-re-verification-assistance</t>
  </si>
  <si>
    <t xml:space="preserve">SIM KYC / Re-verification Assistance Service | Devmobile Stores</t>
  </si>
  <si>
    <t xml:space="preserve">SIM KYC / Re-verification Assistance (सिम KYC / पुनः सत्यापन सहायता) at Devmobile Stores and Common Service Center &amp; Aadhaar Centre. Check required documents, charges and process before you visit.</t>
  </si>
  <si>
    <t xml:space="preserve">सिम KYC / पुनः सत्यापन सहायता, मोबाइल स्टोर, सेवा</t>
  </si>
  <si>
    <t xml:space="preserve">SIM KYC / Re-verification Assistance, Mobile Store, Devmobile Stores</t>
  </si>
  <si>
    <t xml:space="preserve">MOB-018</t>
  </si>
  <si>
    <t xml:space="preserve">Setup &amp; Support</t>
  </si>
  <si>
    <t xml:space="preserve">Basic Mobile Setup (New Phone)</t>
  </si>
  <si>
    <t xml:space="preserve">बेसिक मोबाइल सेटअप (नया फोन)</t>
  </si>
  <si>
    <t xml:space="preserve">Basic Mobile Setup (New Phone) at our mobile store.</t>
  </si>
  <si>
    <t xml:space="preserve">Basic Mobile Setup (New Phone) at the shop.</t>
  </si>
  <si>
    <t xml:space="preserve">Step 1 → Bring your phone (and old phone for data transfer).
Step 2 → Tell what you want set up.
Step 3 → Work is done at the counter.
Step 4 → Pay the service charge.</t>
  </si>
  <si>
    <t xml:space="preserve">basic-mobile-setup-new-phone</t>
  </si>
  <si>
    <t xml:space="preserve">🛠️</t>
  </si>
  <si>
    <t xml:space="preserve">Basic Mobile Setup (New Phone) Service | Devmobile Stores</t>
  </si>
  <si>
    <t xml:space="preserve">Basic Mobile Setup (New Phone) (बेसिक मोबाइल सेटअप (नया फोन)) at Devmobile Stores and Common Service Center &amp; Aadhaar Centre. Check required documents, charges and process before you visit.</t>
  </si>
  <si>
    <t xml:space="preserve">बेसिक मोबाइल सेटअप (नया फोन), मोबाइल स्टोर, सेवा</t>
  </si>
  <si>
    <t xml:space="preserve">Basic Mobile Setup (New Phone), Mobile Store, Devmobile Stores</t>
  </si>
  <si>
    <t xml:space="preserve">MOB-019</t>
  </si>
  <si>
    <t xml:space="preserve">App Installation / Setup</t>
  </si>
  <si>
    <t xml:space="preserve">ऐप इंस्टॉलेशन / सेटअप</t>
  </si>
  <si>
    <t xml:space="preserve">App Installation / Setup at our mobile store.</t>
  </si>
  <si>
    <t xml:space="preserve">App Installation / Setup at the shop.</t>
  </si>
  <si>
    <t xml:space="preserve">app-installation-setup</t>
  </si>
  <si>
    <t xml:space="preserve">App Installation / Setup Service | Devmobile Stores</t>
  </si>
  <si>
    <t xml:space="preserve">App Installation / Setup (ऐप इंस्टॉलेशन / सेटअप) at Devmobile Stores and Common Service Center &amp; Aadhaar Centre. Check required documents, charges and process before you visit.</t>
  </si>
  <si>
    <t xml:space="preserve">ऐप इंस्टॉलेशन / सेटअप, मोबाइल स्टोर, सेवा</t>
  </si>
  <si>
    <t xml:space="preserve">App Installation / Setup, Mobile Store, Devmobile Stores</t>
  </si>
  <si>
    <t xml:space="preserve">MOB-020</t>
  </si>
  <si>
    <t xml:space="preserve">Data Transfer Assistance</t>
  </si>
  <si>
    <t xml:space="preserve">डेटा ट्रांसफर सहायता</t>
  </si>
  <si>
    <t xml:space="preserve">Data Transfer Assistance at our mobile store.</t>
  </si>
  <si>
    <t xml:space="preserve">Data Transfer Assistance at the shop.</t>
  </si>
  <si>
    <t xml:space="preserve">data-transfer-assistance</t>
  </si>
  <si>
    <t xml:space="preserve">Data Transfer Assistance Service | Devmobile Stores</t>
  </si>
  <si>
    <t xml:space="preserve">Data Transfer Assistance (डेटा ट्रांसफर सहायता) at Devmobile Stores and Common Service Center &amp; Aadhaar Centre. Check required documents, charges and process before you visit.</t>
  </si>
  <si>
    <t xml:space="preserve">डेटा ट्रांसफर सहायता, मोबाइल स्टोर, सेवा</t>
  </si>
  <si>
    <t xml:space="preserve">Data Transfer Assistance, Mobile Store, Devmobile Stores</t>
  </si>
  <si>
    <t xml:space="preserve">MOB-021</t>
  </si>
  <si>
    <t xml:space="preserve">Mobile Software Update / Reset Assistance</t>
  </si>
  <si>
    <t xml:space="preserve">मोबाइल सॉफ्टवेयर अपडेट / रीसेट सहायता</t>
  </si>
  <si>
    <t xml:space="preserve">Mobile Software Update / Reset Assistance at our mobile store.</t>
  </si>
  <si>
    <t xml:space="preserve">Mobile Software Update / Reset Assistance at the shop.</t>
  </si>
  <si>
    <t xml:space="preserve">mobile-software-update-reset-assistance</t>
  </si>
  <si>
    <t xml:space="preserve">Confirm whether done in-shop</t>
  </si>
  <si>
    <t xml:space="preserve">Mobile Software Update / Reset Assistance Service | Devmobile Stores</t>
  </si>
  <si>
    <t xml:space="preserve">Mobile Software Update / Reset Assistance (मोबाइल सॉफ्टवेयर अपडेट / रीसेट सहायता) at Devmobile Stores and Common Service Center &amp; Aadhaar Centre. Check required documents, charges and process before you visit.</t>
  </si>
  <si>
    <t xml:space="preserve">मोबाइल सॉफ्टवेयर अपडेट / रीसेट सहायता, मोबाइल स्टोर, सेवा</t>
  </si>
  <si>
    <t xml:space="preserve">Mobile Software Update / Reset Assistance, Mobile Store, Devmobile Stores</t>
  </si>
  <si>
    <t xml:space="preserve">MOB-022</t>
  </si>
  <si>
    <t xml:space="preserve">Basic Mobile Repair (Screen / Battery)</t>
  </si>
  <si>
    <t xml:space="preserve">बेसिक मोबाइल रिपेयर (स्क्रीन / बैटरी)</t>
  </si>
  <si>
    <t xml:space="preserve">Basic Mobile Repair (Screen / Battery) at our mobile store.</t>
  </si>
  <si>
    <t xml:space="preserve">Basic Mobile Repair (Screen / Battery) at the shop.</t>
  </si>
  <si>
    <t xml:space="preserve">basic-mobile-repair-screen-battery</t>
  </si>
  <si>
    <t xml:space="preserve">Basic Mobile Repair (Screen / Battery) Service | Devmobile Stores</t>
  </si>
  <si>
    <t xml:space="preserve">Basic Mobile Repair (Screen / Battery) (बेसिक मोबाइल रिपेयर (स्क्रीन / बैटरी)) at Devmobile Stores and Common Service Center &amp; Aadhaar Centre. Check required documents, charges and process before you visit.</t>
  </si>
  <si>
    <t xml:space="preserve">बेसिक मोबाइल रिपेयर (स्क्रीन / बैटरी), मोबाइल स्टोर, सेवा</t>
  </si>
  <si>
    <t xml:space="preserve">Basic Mobile Repair (Screen / Battery), Mobile Store, Devmobile Stores</t>
  </si>
  <si>
    <t xml:space="preserve">PRT-001</t>
  </si>
  <si>
    <t xml:space="preserve">Printing / Xerox / Scanning</t>
  </si>
  <si>
    <t xml:space="preserve">Printing &amp; Copying</t>
  </si>
  <si>
    <t xml:space="preserve">B/W Print</t>
  </si>
  <si>
    <t xml:space="preserve">सादा (B/W) प्रिंट</t>
  </si>
  <si>
    <t xml:space="preserve">B/W Print at our printing and document desk.</t>
  </si>
  <si>
    <t xml:space="preserve">B/W Print at our printing desk.</t>
  </si>
  <si>
    <t xml:space="preserve">Step 1 → Bring the file or the original paper.
Step 2 → Operator sets up 'B/W Print' with your page size / colour choice.
Step 3 → You check the first page.
Step 4 → Pay as per pages / quantity and collect.</t>
  </si>
  <si>
    <t xml:space="preserve">b-w-print</t>
  </si>
  <si>
    <t xml:space="preserve">B/W Print Service | Devmobile Stores</t>
  </si>
  <si>
    <t xml:space="preserve">B/W Print (सादा (B/W) प्रिंट) at Devmobile Stores and Common Service Center &amp; Aadhaar Centre. Check required documents, charges and process before you visit.</t>
  </si>
  <si>
    <t xml:space="preserve">सादा (B/W) प्रिंट, प्रिंटिंग / ज़ेरॉक्स / स्कैनिंग, सेवा</t>
  </si>
  <si>
    <t xml:space="preserve">B/W Print, Printing / Xerox / Scanning, Devmobile Stores</t>
  </si>
  <si>
    <t xml:space="preserve">PRT-002</t>
  </si>
  <si>
    <t xml:space="preserve">Colour Print</t>
  </si>
  <si>
    <t xml:space="preserve">रंगीन प्रिंट</t>
  </si>
  <si>
    <t xml:space="preserve">Colour Print at our printing and document desk.</t>
  </si>
  <si>
    <t xml:space="preserve">Colour Print at our printing desk.</t>
  </si>
  <si>
    <t xml:space="preserve">Step 1 → Bring the file or the original paper.
Step 2 → Operator sets up 'Colour Print' with your page size / colour choice.
Step 3 → You check the first page.
Step 4 → Pay as per pages / quantity and collect.</t>
  </si>
  <si>
    <t xml:space="preserve">colour-print</t>
  </si>
  <si>
    <t xml:space="preserve">Colour Print Service | Devmobile Stores</t>
  </si>
  <si>
    <t xml:space="preserve">Colour Print (रंगीन प्रिंट) at Devmobile Stores and Common Service Center &amp; Aadhaar Centre. Check required documents, charges and process before you visit.</t>
  </si>
  <si>
    <t xml:space="preserve">रंगीन प्रिंट, प्रिंटिंग / ज़ेरॉक्स / स्कैनिंग, सेवा</t>
  </si>
  <si>
    <t xml:space="preserve">Colour Print, Printing / Xerox / Scanning, Devmobile Stores</t>
  </si>
  <si>
    <t xml:space="preserve">PRT-003</t>
  </si>
  <si>
    <t xml:space="preserve">Xerox (Photocopy)</t>
  </si>
  <si>
    <t xml:space="preserve">ज़ेरॉक्स (फोटोकॉपी)</t>
  </si>
  <si>
    <t xml:space="preserve">Xerox (Photocopy) at our printing and document desk.</t>
  </si>
  <si>
    <t xml:space="preserve">Xerox (Photocopy) at our printing desk.</t>
  </si>
  <si>
    <t xml:space="preserve">Step 1 → Bring the file or the original paper.
Step 2 → Operator sets up 'Xerox (Photocopy)' with your page size / colour choice.
Step 3 → You check the first page.
Step 4 → Pay as per pages / quantity and collect.</t>
  </si>
  <si>
    <t xml:space="preserve">xerox-photocopy</t>
  </si>
  <si>
    <t xml:space="preserve">Xerox (Photocopy) Service | Devmobile Stores</t>
  </si>
  <si>
    <t xml:space="preserve">Xerox (Photocopy) (ज़ेरॉक्स (फोटोकॉपी)) at Devmobile Stores and Common Service Center &amp; Aadhaar Centre. Check required documents, charges and process before you visit.</t>
  </si>
  <si>
    <t xml:space="preserve">ज़ेरॉक्स (फोटोकॉपी), प्रिंटिंग / ज़ेरॉक्स / स्कैनिंग, सेवा</t>
  </si>
  <si>
    <t xml:space="preserve">Xerox (Photocopy), Printing / Xerox / Scanning, Devmobile Stores</t>
  </si>
  <si>
    <t xml:space="preserve">PRT-004</t>
  </si>
  <si>
    <t xml:space="preserve">PDF Print</t>
  </si>
  <si>
    <t xml:space="preserve">PDF प्रिंट</t>
  </si>
  <si>
    <t xml:space="preserve">PDF Print at our printing and document desk.</t>
  </si>
  <si>
    <t xml:space="preserve">PDF Print at our document desk.</t>
  </si>
  <si>
    <t xml:space="preserve">Step 1 → Share the file(s) by pendrive, phone or WhatsApp.
Step 2 → Operator performs 'PDF Print'.
Step 3 → You check the output file.
Step 4 → File is given back and payment is made.</t>
  </si>
  <si>
    <t xml:space="preserve">pdf-print</t>
  </si>
  <si>
    <t xml:space="preserve">PDF Print Service | Devmobile Stores</t>
  </si>
  <si>
    <t xml:space="preserve">PDF Print (PDF प्रिंट) at Devmobile Stores and Common Service Center &amp; Aadhaar Centre. Check required documents, charges and process before you visit.</t>
  </si>
  <si>
    <t xml:space="preserve">PDF प्रिंट, प्रिंटिंग / ज़ेरॉक्स / स्कैनिंग, सेवा</t>
  </si>
  <si>
    <t xml:space="preserve">PDF Print, Printing / Xerox / Scanning, Devmobile Stores</t>
  </si>
  <si>
    <t xml:space="preserve">PRT-005</t>
  </si>
  <si>
    <t xml:space="preserve">A3 / Large Size Print</t>
  </si>
  <si>
    <t xml:space="preserve">A3 / बड़े साइज़ का प्रिंट</t>
  </si>
  <si>
    <t xml:space="preserve">A3 / Large Size Print at our printing and document desk.</t>
  </si>
  <si>
    <t xml:space="preserve">A3 / Large Size Print at our printing desk.</t>
  </si>
  <si>
    <t xml:space="preserve">Step 1 → Bring the file or the original paper.
Step 2 → Operator sets up 'A3 / Large Size Print' with your page size / colour choice.
Step 3 → You check the first page.
Step 4 → Pay as per pages / quantity and collect.</t>
  </si>
  <si>
    <t xml:space="preserve">a3-large-size-print</t>
  </si>
  <si>
    <t xml:space="preserve">Confirm printer capability</t>
  </si>
  <si>
    <t xml:space="preserve">A3 / Large Size Print Service | Devmobile Stores</t>
  </si>
  <si>
    <t xml:space="preserve">A3 / Large Size Print (A3 / बड़े साइज़ का प्रिंट) at Devmobile Stores and Common Service Center &amp; Aadhaar Centre. Check required documents, charges and process before you visit.</t>
  </si>
  <si>
    <t xml:space="preserve">A3 / बड़े साइज़ का प्रिंट, प्रिंटिंग / ज़ेरॉक्स / स्कैनिंग, सेवा</t>
  </si>
  <si>
    <t xml:space="preserve">A3 / Large Size Print, Printing / Xerox / Scanning, Devmobile Stores</t>
  </si>
  <si>
    <t xml:space="preserve">PRT-006</t>
  </si>
  <si>
    <t xml:space="preserve">Print from Mobile (WhatsApp / Email / Drive)</t>
  </si>
  <si>
    <t xml:space="preserve">मोबाइल से प्रिंट (WhatsApp / Email / Drive)</t>
  </si>
  <si>
    <t xml:space="preserve">Print from Mobile (WhatsApp / Email / Drive) at our printing and document desk.</t>
  </si>
  <si>
    <t xml:space="preserve">Print from Mobile (WhatsApp / Email / Drive) at our printing desk.</t>
  </si>
  <si>
    <t xml:space="preserve">Step 1 → Bring the file or the original paper.
Step 2 → Operator sets up 'Print from Mobile (WhatsApp / Email / Drive)' with your page size / colour choice.
Step 3 → You check the first page.
Step 4 → Pay as per pages / quantity and collect.</t>
  </si>
  <si>
    <t xml:space="preserve">print-from-mobile-whatsapp-email-drive</t>
  </si>
  <si>
    <t xml:space="preserve">Print from Mobile (WhatsApp / Email / Drive) Service | Devmobile Stores</t>
  </si>
  <si>
    <t xml:space="preserve">Print from Mobile (WhatsApp / Email / Drive) (मोबाइल से प्रिंट (WhatsApp / Email / Drive)) at Devmobile Stores and Common Service Center &amp; Aadhaar Centre. Check required documents, charges and process before you visit.</t>
  </si>
  <si>
    <t xml:space="preserve">मोबाइल से प्रिंट (WhatsApp / Email / Drive), प्रिंटिंग / ज़ेरॉक्स / स्कैनिंग, सेवा</t>
  </si>
  <si>
    <t xml:space="preserve">Print from Mobile (WhatsApp / Email / Drive), Printing / Xerox / Scanning, Devmobile Stores</t>
  </si>
  <si>
    <t xml:space="preserve">PRT-007</t>
  </si>
  <si>
    <t xml:space="preserve">Scanning &amp; Finishing</t>
  </si>
  <si>
    <t xml:space="preserve">Scanning</t>
  </si>
  <si>
    <t xml:space="preserve">स्कैनिंग</t>
  </si>
  <si>
    <t xml:space="preserve">Scanning at our printing and document desk.</t>
  </si>
  <si>
    <t xml:space="preserve">Scanning at our printing desk.</t>
  </si>
  <si>
    <t xml:space="preserve">Step 1 → Bring the file or the original paper.
Step 2 → Operator sets up 'Scanning' with your page size / colour choice.
Step 3 → You check the first page.
Step 4 → Pay as per pages / quantity and collect.</t>
  </si>
  <si>
    <t xml:space="preserve">scanning</t>
  </si>
  <si>
    <t xml:space="preserve">Scanning Service | Devmobile Stores</t>
  </si>
  <si>
    <t xml:space="preserve">Scanning (स्कैनिंग) at Devmobile Stores and Common Service Center &amp; Aadhaar Centre. Check required documents, charges and process before you visit.</t>
  </si>
  <si>
    <t xml:space="preserve">स्कैनिंग, प्रिंटिंग / ज़ेरॉक्स / स्कैनिंग, सेवा</t>
  </si>
  <si>
    <t xml:space="preserve">Scanning, Printing / Xerox / Scanning, Devmobile Stores</t>
  </si>
  <si>
    <t xml:space="preserve">PRT-008</t>
  </si>
  <si>
    <t xml:space="preserve">Lamination</t>
  </si>
  <si>
    <t xml:space="preserve">लेमिनेशन</t>
  </si>
  <si>
    <t xml:space="preserve">Lamination at our printing and document desk.</t>
  </si>
  <si>
    <t xml:space="preserve">Lamination at our printing desk.</t>
  </si>
  <si>
    <t xml:space="preserve">Step 1 → Bring the file or the original paper.
Step 2 → Operator sets up 'Lamination' with your page size / colour choice.
Step 3 → You check the first page.
Step 4 → Pay as per pages / quantity and collect.</t>
  </si>
  <si>
    <t xml:space="preserve">lamination</t>
  </si>
  <si>
    <t xml:space="preserve">Lamination Service | Devmobile Stores</t>
  </si>
  <si>
    <t xml:space="preserve">Lamination (लेमिनेशन) at Devmobile Stores and Common Service Center &amp; Aadhaar Centre. Check required documents, charges and process before you visit.</t>
  </si>
  <si>
    <t xml:space="preserve">लेमिनेशन, प्रिंटिंग / ज़ेरॉक्स / स्कैनिंग, सेवा</t>
  </si>
  <si>
    <t xml:space="preserve">Lamination, Printing / Xerox / Scanning, Devmobile Stores</t>
  </si>
  <si>
    <t xml:space="preserve">PRT-009</t>
  </si>
  <si>
    <t xml:space="preserve">Spiral Binding</t>
  </si>
  <si>
    <t xml:space="preserve">स्पाइरल बाइंडिंग</t>
  </si>
  <si>
    <t xml:space="preserve">Spiral Binding at our printing and document desk.</t>
  </si>
  <si>
    <t xml:space="preserve">Spiral Binding at our printing desk.</t>
  </si>
  <si>
    <t xml:space="preserve">Step 1 → Bring the file or the original paper.
Step 2 → Operator sets up 'Spiral Binding' with your page size / colour choice.
Step 3 → You check the first page.
Step 4 → Pay as per pages / quantity and collect.</t>
  </si>
  <si>
    <t xml:space="preserve">spiral-binding</t>
  </si>
  <si>
    <t xml:space="preserve">Confirm binding machine availability</t>
  </si>
  <si>
    <t xml:space="preserve">Spiral Binding Service | Devmobile Stores</t>
  </si>
  <si>
    <t xml:space="preserve">Spiral Binding (स्पाइरल बाइंडिंग) at Devmobile Stores and Common Service Center &amp; Aadhaar Centre. Check required documents, charges and process before you visit.</t>
  </si>
  <si>
    <t xml:space="preserve">स्पाइरल बाइंडिंग, प्रिंटिंग / ज़ेरॉक्स / स्कैनिंग, सेवा</t>
  </si>
  <si>
    <t xml:space="preserve">Spiral Binding, Printing / Xerox / Scanning, Devmobile Stores</t>
  </si>
  <si>
    <t xml:space="preserve">PRT-010</t>
  </si>
  <si>
    <t xml:space="preserve">PDF Services</t>
  </si>
  <si>
    <t xml:space="preserve">PDF Creation</t>
  </si>
  <si>
    <t xml:space="preserve">PDF निर्माण</t>
  </si>
  <si>
    <t xml:space="preserve">PDF Creation at our printing and document desk.</t>
  </si>
  <si>
    <t xml:space="preserve">PDF Creation at our document desk.</t>
  </si>
  <si>
    <t xml:space="preserve">Step 1 → Share the file(s) by pendrive, phone or WhatsApp.
Step 2 → Operator performs 'PDF Creation'.
Step 3 → You check the output file.
Step 4 → File is given back and payment is made.</t>
  </si>
  <si>
    <t xml:space="preserve">pdf-creation</t>
  </si>
  <si>
    <t xml:space="preserve">📑</t>
  </si>
  <si>
    <t xml:space="preserve">PDF Creation Service | Devmobile Stores</t>
  </si>
  <si>
    <t xml:space="preserve">PDF Creation (PDF निर्माण) at Devmobile Stores and Common Service Center &amp; Aadhaar Centre. Check required documents, charges and process before you visit.</t>
  </si>
  <si>
    <t xml:space="preserve">PDF निर्माण, प्रिंटिंग / ज़ेरॉक्स / स्कैनिंग, सेवा</t>
  </si>
  <si>
    <t xml:space="preserve">PDF Creation, Printing / Xerox / Scanning, Devmobile Stores</t>
  </si>
  <si>
    <t xml:space="preserve">PRT-011</t>
  </si>
  <si>
    <t xml:space="preserve">PDF Merge</t>
  </si>
  <si>
    <t xml:space="preserve">PDF मर्ज</t>
  </si>
  <si>
    <t xml:space="preserve">PDF Merge at our printing and document desk.</t>
  </si>
  <si>
    <t xml:space="preserve">PDF Merge at our document desk.</t>
  </si>
  <si>
    <t xml:space="preserve">Step 1 → Share the file(s) by pendrive, phone or WhatsApp.
Step 2 → Operator performs 'PDF Merge'.
Step 3 → You check the output file.
Step 4 → File is given back and payment is made.</t>
  </si>
  <si>
    <t xml:space="preserve">pdf-merge</t>
  </si>
  <si>
    <t xml:space="preserve">PDF Merge Service | Devmobile Stores</t>
  </si>
  <si>
    <t xml:space="preserve">PDF Merge (PDF मर्ज) at Devmobile Stores and Common Service Center &amp; Aadhaar Centre. Check required documents, charges and process before you visit.</t>
  </si>
  <si>
    <t xml:space="preserve">PDF मर्ज, प्रिंटिंग / ज़ेरॉक्स / स्कैनिंग, सेवा</t>
  </si>
  <si>
    <t xml:space="preserve">PDF Merge, Printing / Xerox / Scanning, Devmobile Stores</t>
  </si>
  <si>
    <t xml:space="preserve">PRT-012</t>
  </si>
  <si>
    <t xml:space="preserve">PDF Split</t>
  </si>
  <si>
    <t xml:space="preserve">PDF स्प्लिट</t>
  </si>
  <si>
    <t xml:space="preserve">PDF Split at our printing and document desk.</t>
  </si>
  <si>
    <t xml:space="preserve">PDF Split at our document desk.</t>
  </si>
  <si>
    <t xml:space="preserve">Step 1 → Share the file(s) by pendrive, phone or WhatsApp.
Step 2 → Operator performs 'PDF Split'.
Step 3 → You check the output file.
Step 4 → File is given back and payment is made.</t>
  </si>
  <si>
    <t xml:space="preserve">pdf-split</t>
  </si>
  <si>
    <t xml:space="preserve">PDF Split Service | Devmobile Stores</t>
  </si>
  <si>
    <t xml:space="preserve">PDF Split (PDF स्प्लिट) at Devmobile Stores and Common Service Center &amp; Aadhaar Centre. Check required documents, charges and process before you visit.</t>
  </si>
  <si>
    <t xml:space="preserve">PDF स्प्लिट, प्रिंटिंग / ज़ेरॉक्स / स्कैनिंग, सेवा</t>
  </si>
  <si>
    <t xml:space="preserve">PDF Split, Printing / Xerox / Scanning, Devmobile Stores</t>
  </si>
  <si>
    <t xml:space="preserve">PRT-013</t>
  </si>
  <si>
    <t xml:space="preserve">PDF Compression</t>
  </si>
  <si>
    <t xml:space="preserve">PDF कंप्रेशन</t>
  </si>
  <si>
    <t xml:space="preserve">PDF Compression at our printing and document desk.</t>
  </si>
  <si>
    <t xml:space="preserve">PDF Compression at our document desk.</t>
  </si>
  <si>
    <t xml:space="preserve">Step 1 → Share the file(s) by pendrive, phone or WhatsApp.
Step 2 → Operator performs 'PDF Compression'.
Step 3 → You check the output file.
Step 4 → File is given back and payment is made.</t>
  </si>
  <si>
    <t xml:space="preserve">pdf-compression</t>
  </si>
  <si>
    <t xml:space="preserve">PDF Compression Service | Devmobile Stores</t>
  </si>
  <si>
    <t xml:space="preserve">PDF Compression (PDF कंप्रेशन) at Devmobile Stores and Common Service Center &amp; Aadhaar Centre. Check required documents, charges and process before you visit.</t>
  </si>
  <si>
    <t xml:space="preserve">PDF कंप्रेशन, प्रिंटिंग / ज़ेरॉक्स / स्कैनिंग, सेवा</t>
  </si>
  <si>
    <t xml:space="preserve">PDF Compression, Printing / Xerox / Scanning, Devmobile Stores</t>
  </si>
  <si>
    <t xml:space="preserve">PRT-014</t>
  </si>
  <si>
    <t xml:space="preserve">PDF Conversion (PDF to Image / Other)</t>
  </si>
  <si>
    <t xml:space="preserve">PDF कन्वर्ज़न (PDF से इमेज / अन्य)</t>
  </si>
  <si>
    <t xml:space="preserve">PDF Conversion (PDF to Image / Other) at our printing and document desk.</t>
  </si>
  <si>
    <t xml:space="preserve">PDF Conversion (PDF to Image / Other) at our document desk.</t>
  </si>
  <si>
    <t xml:space="preserve">Step 1 → Share the file(s) by pendrive, phone or WhatsApp.
Step 2 → Operator performs 'PDF Conversion (PDF to Image / Other)'.
Step 3 → You check the output file.
Step 4 → File is given back and payment is made.</t>
  </si>
  <si>
    <t xml:space="preserve">pdf-conversion-pdf-to-image-other</t>
  </si>
  <si>
    <t xml:space="preserve">PDF Conversion (PDF to Image / Other) Service | Devmobile Stores</t>
  </si>
  <si>
    <t xml:space="preserve">PDF Conversion (PDF to Image / Other) (PDF कन्वर्ज़न (PDF से इमेज / अन्य)) at Devmobile Stores and Common Service Center &amp; Aadhaar Centre. Check required documents, charges and process before you visit.</t>
  </si>
  <si>
    <t xml:space="preserve">PDF कन्वर्ज़न (PDF से इमेज / अन्य), प्रिंटिंग / ज़ेरॉक्स / स्कैनिंग, सेवा</t>
  </si>
  <si>
    <t xml:space="preserve">PDF Conversion (PDF to Image / Other), Printing / Xerox / Scanning, Devmobile Stores</t>
  </si>
  <si>
    <t xml:space="preserve">PRT-015</t>
  </si>
  <si>
    <t xml:space="preserve">Word to PDF</t>
  </si>
  <si>
    <t xml:space="preserve">Word से PDF</t>
  </si>
  <si>
    <t xml:space="preserve">Word to PDF at our printing and document desk.</t>
  </si>
  <si>
    <t xml:space="preserve">Word to PDF at our document desk.</t>
  </si>
  <si>
    <t xml:space="preserve">Step 1 → Share the file(s) by pendrive, phone or WhatsApp.
Step 2 → Operator performs 'Word to PDF'.
Step 3 → You check the output file.
Step 4 → File is given back and payment is made.</t>
  </si>
  <si>
    <t xml:space="preserve">word-to-pdf</t>
  </si>
  <si>
    <t xml:space="preserve">Word to PDF Service | Devmobile Stores</t>
  </si>
  <si>
    <t xml:space="preserve">Word to PDF (Word से PDF) at Devmobile Stores and Common Service Center &amp; Aadhaar Centre. Check required documents, charges and process before you visit.</t>
  </si>
  <si>
    <t xml:space="preserve">Word से PDF, प्रिंटिंग / ज़ेरॉक्स / स्कैनिंग, सेवा</t>
  </si>
  <si>
    <t xml:space="preserve">Word to PDF, Printing / Xerox / Scanning, Devmobile Stores</t>
  </si>
  <si>
    <t xml:space="preserve">PRT-016</t>
  </si>
  <si>
    <t xml:space="preserve">PDF to Word</t>
  </si>
  <si>
    <t xml:space="preserve">PDF से Word</t>
  </si>
  <si>
    <t xml:space="preserve">PDF to Word at our printing and document desk.</t>
  </si>
  <si>
    <t xml:space="preserve">PDF to Word at our document desk.</t>
  </si>
  <si>
    <t xml:space="preserve">Step 1 → Share the file(s) by pendrive, phone or WhatsApp.
Step 2 → Operator performs 'PDF to Word'.
Step 3 → You check the output file.
Step 4 → File is given back and payment is made.</t>
  </si>
  <si>
    <t xml:space="preserve">pdf-to-word</t>
  </si>
  <si>
    <t xml:space="preserve">PDF to Word Service | Devmobile Stores</t>
  </si>
  <si>
    <t xml:space="preserve">PDF to Word (PDF से Word) at Devmobile Stores and Common Service Center &amp; Aadhaar Centre. Check required documents, charges and process before you visit.</t>
  </si>
  <si>
    <t xml:space="preserve">PDF से Word, प्रिंटिंग / ज़ेरॉक्स / स्कैनिंग, सेवा</t>
  </si>
  <si>
    <t xml:space="preserve">PDF to Word, Printing / Xerox / Scanning, Devmobile Stores</t>
  </si>
  <si>
    <t xml:space="preserve">PRT-017</t>
  </si>
  <si>
    <t xml:space="preserve">Typing &amp; Data Entry</t>
  </si>
  <si>
    <t xml:space="preserve">Hindi Typing</t>
  </si>
  <si>
    <t xml:space="preserve">हिंदी टाइपिंग</t>
  </si>
  <si>
    <t xml:space="preserve">Hindi Typing at our printing and document desk.</t>
  </si>
  <si>
    <t xml:space="preserve">Hindi Typing at our document desk.</t>
  </si>
  <si>
    <t xml:space="preserve">Step 1 → Give the matter to be typed / formatted (paper, file or message).
Step 2 → Operator prepares the document.
Step 3 → You check the draft and ask for changes.
Step 4 → Final print / file is handed over and payment is made.</t>
  </si>
  <si>
    <t xml:space="preserve">hindi-typing</t>
  </si>
  <si>
    <t xml:space="preserve">⌨️</t>
  </si>
  <si>
    <t xml:space="preserve">Hindi Typing Service | Devmobile Stores</t>
  </si>
  <si>
    <t xml:space="preserve">Hindi Typing (हिंदी टाइपिंग) at Devmobile Stores and Common Service Center &amp; Aadhaar Centre. Check required documents, charges and process before you visit.</t>
  </si>
  <si>
    <t xml:space="preserve">हिंदी टाइपिंग, प्रिंटिंग / ज़ेरॉक्स / स्कैनिंग, सेवा</t>
  </si>
  <si>
    <t xml:space="preserve">Hindi Typing, Printing / Xerox / Scanning, Devmobile Stores</t>
  </si>
  <si>
    <t xml:space="preserve">PRT-018</t>
  </si>
  <si>
    <t xml:space="preserve">English Typing</t>
  </si>
  <si>
    <t xml:space="preserve">अंग्रेज़ी टाइपिंग</t>
  </si>
  <si>
    <t xml:space="preserve">English Typing at our printing and document desk.</t>
  </si>
  <si>
    <t xml:space="preserve">English Typing at our document desk.</t>
  </si>
  <si>
    <t xml:space="preserve">english-typing</t>
  </si>
  <si>
    <t xml:space="preserve">English Typing Service | Devmobile Stores</t>
  </si>
  <si>
    <t xml:space="preserve">English Typing (अंग्रेज़ी टाइपिंग) at Devmobile Stores and Common Service Center &amp; Aadhaar Centre. Check required documents, charges and process before you visit.</t>
  </si>
  <si>
    <t xml:space="preserve">अंग्रेज़ी टाइपिंग, प्रिंटिंग / ज़ेरॉक्स / स्कैनिंग, सेवा</t>
  </si>
  <si>
    <t xml:space="preserve">English Typing, Printing / Xerox / Scanning, Devmobile Stores</t>
  </si>
  <si>
    <t xml:space="preserve">PRT-019</t>
  </si>
  <si>
    <t xml:space="preserve">Data Entry</t>
  </si>
  <si>
    <t xml:space="preserve">डेटा एंट्री</t>
  </si>
  <si>
    <t xml:space="preserve">Data Entry at our printing and document desk.</t>
  </si>
  <si>
    <t xml:space="preserve">Data Entry at our document desk.</t>
  </si>
  <si>
    <t xml:space="preserve">data-entry</t>
  </si>
  <si>
    <t xml:space="preserve">Data Entry Service | Devmobile Stores</t>
  </si>
  <si>
    <t xml:space="preserve">Data Entry (डेटा एंट्री) at Devmobile Stores and Common Service Center &amp; Aadhaar Centre. Check required documents, charges and process before you visit.</t>
  </si>
  <si>
    <t xml:space="preserve">डेटा एंट्री, प्रिंटिंग / ज़ेरॉक्स / स्कैनिंग, सेवा</t>
  </si>
  <si>
    <t xml:space="preserve">Data Entry, Printing / Xerox / Scanning, Devmobile Stores</t>
  </si>
  <si>
    <t xml:space="preserve">PRT-020</t>
  </si>
  <si>
    <t xml:space="preserve">Application Typing</t>
  </si>
  <si>
    <t xml:space="preserve">आवेदन टाइपिंग</t>
  </si>
  <si>
    <t xml:space="preserve">Application Typing at our printing and document desk.</t>
  </si>
  <si>
    <t xml:space="preserve">Application Typing at our document desk.</t>
  </si>
  <si>
    <t xml:space="preserve">application-typing</t>
  </si>
  <si>
    <t xml:space="preserve">Application Typing Service | Devmobile Stores</t>
  </si>
  <si>
    <t xml:space="preserve">Application Typing (आवेदन टाइपिंग) at Devmobile Stores and Common Service Center &amp; Aadhaar Centre. Check required documents, charges and process before you visit.</t>
  </si>
  <si>
    <t xml:space="preserve">आवेदन टाइपिंग, प्रिंटिंग / ज़ेरॉक्स / स्कैनिंग, सेवा</t>
  </si>
  <si>
    <t xml:space="preserve">Application Typing, Printing / Xerox / Scanning, Devmobile Stores</t>
  </si>
  <si>
    <t xml:space="preserve">PRT-021</t>
  </si>
  <si>
    <t xml:space="preserve">Letter Typing</t>
  </si>
  <si>
    <t xml:space="preserve">पत्र टाइपिंग</t>
  </si>
  <si>
    <t xml:space="preserve">Letter Typing at our printing and document desk.</t>
  </si>
  <si>
    <t xml:space="preserve">Letter Typing at our document desk.</t>
  </si>
  <si>
    <t xml:space="preserve">letter-typing</t>
  </si>
  <si>
    <t xml:space="preserve">Letter Typing Service | Devmobile Stores</t>
  </si>
  <si>
    <t xml:space="preserve">Letter Typing (पत्र टाइपिंग) at Devmobile Stores and Common Service Center &amp; Aadhaar Centre. Check required documents, charges and process before you visit.</t>
  </si>
  <si>
    <t xml:space="preserve">पत्र टाइपिंग, प्रिंटिंग / ज़ेरॉक्स / स्कैनिंग, सेवा</t>
  </si>
  <si>
    <t xml:space="preserve">Letter Typing, Printing / Xerox / Scanning, Devmobile Stores</t>
  </si>
  <si>
    <t xml:space="preserve">PRT-022</t>
  </si>
  <si>
    <t xml:space="preserve">Document Preparation</t>
  </si>
  <si>
    <t xml:space="preserve">Resume Making</t>
  </si>
  <si>
    <t xml:space="preserve">रिज़्यूमे निर्माण</t>
  </si>
  <si>
    <t xml:space="preserve">Resume Making at our printing and document desk.</t>
  </si>
  <si>
    <t xml:space="preserve">Resume Making at our document desk.</t>
  </si>
  <si>
    <t xml:space="preserve">resume-making</t>
  </si>
  <si>
    <t xml:space="preserve">Resume Making Service | Devmobile Stores</t>
  </si>
  <si>
    <t xml:space="preserve">Resume Making (रिज़्यूमे निर्माण) at Devmobile Stores and Common Service Center &amp; Aadhaar Centre. Check required documents, charges and process before you visit.</t>
  </si>
  <si>
    <t xml:space="preserve">रिज़्यूमे निर्माण, प्रिंटिंग / ज़ेरॉक्स / स्कैनिंग, सेवा</t>
  </si>
  <si>
    <t xml:space="preserve">Resume Making, Printing / Xerox / Scanning, Devmobile Stores</t>
  </si>
  <si>
    <t xml:space="preserve">PRT-023</t>
  </si>
  <si>
    <t xml:space="preserve">Biodata Making</t>
  </si>
  <si>
    <t xml:space="preserve">बायोडाटा निर्माण</t>
  </si>
  <si>
    <t xml:space="preserve">Biodata Making at our printing and document desk.</t>
  </si>
  <si>
    <t xml:space="preserve">Biodata Making at our document desk.</t>
  </si>
  <si>
    <t xml:space="preserve">biodata-making</t>
  </si>
  <si>
    <t xml:space="preserve">Biodata Making Service | Devmobile Stores</t>
  </si>
  <si>
    <t xml:space="preserve">Biodata Making (बायोडाटा निर्माण) at Devmobile Stores and Common Service Center &amp; Aadhaar Centre. Check required documents, charges and process before you visit.</t>
  </si>
  <si>
    <t xml:space="preserve">बायोडाटा निर्माण, प्रिंटिंग / ज़ेरॉक्स / स्कैनिंग, सेवा</t>
  </si>
  <si>
    <t xml:space="preserve">Biodata Making, Printing / Xerox / Scanning, Devmobile Stores</t>
  </si>
  <si>
    <t xml:space="preserve">PRT-024</t>
  </si>
  <si>
    <t xml:space="preserve">Document Formatting</t>
  </si>
  <si>
    <t xml:space="preserve">दस्तावेज़ फॉर्मेटिंग</t>
  </si>
  <si>
    <t xml:space="preserve">Document Formatting at our printing and document desk.</t>
  </si>
  <si>
    <t xml:space="preserve">Document Formatting at our document desk.</t>
  </si>
  <si>
    <t xml:space="preserve">document-formatting</t>
  </si>
  <si>
    <t xml:space="preserve">Document Formatting Service | Devmobile Stores</t>
  </si>
  <si>
    <t xml:space="preserve">Document Formatting (दस्तावेज़ फॉर्मेटिंग) at Devmobile Stores and Common Service Center &amp; Aadhaar Centre. Check required documents, charges and process before you visit.</t>
  </si>
  <si>
    <t xml:space="preserve">दस्तावेज़ फॉर्मेटिंग, प्रिंटिंग / ज़ेरॉक्स / स्कैनिंग, सेवा</t>
  </si>
  <si>
    <t xml:space="preserve">Document Formatting, Printing / Xerox / Scanning, Devmobile Stores</t>
  </si>
  <si>
    <t xml:space="preserve">PRT-025</t>
  </si>
  <si>
    <t xml:space="preserve">Official Document Formatting</t>
  </si>
  <si>
    <t xml:space="preserve">ऑफिशियल दस्तावेज़ फॉर्मेटिंग</t>
  </si>
  <si>
    <t xml:space="preserve">Official Document Formatting at our printing and document desk.</t>
  </si>
  <si>
    <t xml:space="preserve">Official Document Formatting at our document desk.</t>
  </si>
  <si>
    <t xml:space="preserve">official-document-formatting</t>
  </si>
  <si>
    <t xml:space="preserve">Official Document Formatting Service | Devmobile Stores</t>
  </si>
  <si>
    <t xml:space="preserve">Official Document Formatting (ऑफिशियल दस्तावेज़ फॉर्मेटिंग) at Devmobile Stores and Common Service Center &amp; Aadhaar Centre. Check required documents, charges and process before you visit.</t>
  </si>
  <si>
    <t xml:space="preserve">ऑफिशियल दस्तावेज़ फॉर्मेटिंग, प्रिंटिंग / ज़ेरॉक्स / स्कैनिंग, सेवा</t>
  </si>
  <si>
    <t xml:space="preserve">Official Document Formatting, Printing / Xerox / Scanning, Devmobile Stores</t>
  </si>
  <si>
    <t xml:space="preserve">PHO-001</t>
  </si>
  <si>
    <t xml:space="preserve">Photo / Photoshop / Design</t>
  </si>
  <si>
    <t xml:space="preserve">Photo &amp; Design Services</t>
  </si>
  <si>
    <t xml:space="preserve">Passport &amp; ID Photo</t>
  </si>
  <si>
    <t xml:space="preserve">Passport Photo</t>
  </si>
  <si>
    <t xml:space="preserve">पासपोर्ट फोटो</t>
  </si>
  <si>
    <t xml:space="preserve">Passport Photo at our photo and design desk.</t>
  </si>
  <si>
    <t xml:space="preserve">Passport Photo at our photo desk.</t>
  </si>
  <si>
    <t xml:space="preserve">Step 1 → Come to the shop for the photo.
Step 2 → Photo is taken with the required size and background.
Step 3 → You approve the photo.
Step 4 → Prints / file are given and payment is made.</t>
  </si>
  <si>
    <t xml:space="preserve">passport-photo</t>
  </si>
  <si>
    <t xml:space="preserve">🧑</t>
  </si>
  <si>
    <t xml:space="preserve">Passport Photo Service | Devmobile Stores</t>
  </si>
  <si>
    <t xml:space="preserve">Passport Photo (पासपोर्ट फोटो) at Devmobile Stores and Common Service Center &amp; Aadhaar Centre. Check required documents, charges and process before you visit.</t>
  </si>
  <si>
    <t xml:space="preserve">पासपोर्ट फोटो, फोटो / फोटोशॉप / डिज़ाइन, सेवा</t>
  </si>
  <si>
    <t xml:space="preserve">Passport Photo, Photo / Photoshop / Design, Devmobile Stores</t>
  </si>
  <si>
    <t xml:space="preserve">PHO-002</t>
  </si>
  <si>
    <t xml:space="preserve">Visa Photo</t>
  </si>
  <si>
    <t xml:space="preserve">वीज़ा फोटो</t>
  </si>
  <si>
    <t xml:space="preserve">Visa Photo at our photo and design desk.</t>
  </si>
  <si>
    <t xml:space="preserve">Visa Photo at our photo desk.</t>
  </si>
  <si>
    <t xml:space="preserve">visa-photo</t>
  </si>
  <si>
    <t xml:space="preserve">Visa photo size differs by country; check requirement</t>
  </si>
  <si>
    <t xml:space="preserve">Visa Photo Service | Devmobile Stores</t>
  </si>
  <si>
    <t xml:space="preserve">Visa Photo (वीज़ा फोटो) at Devmobile Stores and Common Service Center &amp; Aadhaar Centre. Check required documents, charges and process before you visit.</t>
  </si>
  <si>
    <t xml:space="preserve">वीज़ा फोटो, फोटो / फोटोशॉप / डिज़ाइन, सेवा</t>
  </si>
  <si>
    <t xml:space="preserve">Visa Photo, Photo / Photoshop / Design, Devmobile Stores</t>
  </si>
  <si>
    <t xml:space="preserve">PHO-003</t>
  </si>
  <si>
    <t xml:space="preserve">ID Card Photo</t>
  </si>
  <si>
    <t xml:space="preserve">आईडी कार्ड फोटो</t>
  </si>
  <si>
    <t xml:space="preserve">ID Card Photo at our photo and design desk.</t>
  </si>
  <si>
    <t xml:space="preserve">ID Card Photo at our photo desk.</t>
  </si>
  <si>
    <t xml:space="preserve">id-card-photo</t>
  </si>
  <si>
    <t xml:space="preserve">ID Card Photo Service | Devmobile Stores</t>
  </si>
  <si>
    <t xml:space="preserve">ID Card Photo (आईडी कार्ड फोटो) at Devmobile Stores and Common Service Center &amp; Aadhaar Centre. Check required documents, charges and process before you visit.</t>
  </si>
  <si>
    <t xml:space="preserve">आईडी कार्ड फोटो, फोटो / फोटोशॉप / डिज़ाइन, सेवा</t>
  </si>
  <si>
    <t xml:space="preserve">ID Card Photo, Photo / Photoshop / Design, Devmobile Stores</t>
  </si>
  <si>
    <t xml:space="preserve">PHO-004</t>
  </si>
  <si>
    <t xml:space="preserve">Photo Editing</t>
  </si>
  <si>
    <t xml:space="preserve">Photo Crop</t>
  </si>
  <si>
    <t xml:space="preserve">फोटो क्रॉप</t>
  </si>
  <si>
    <t xml:space="preserve">Photo Crop at our photo and design desk.</t>
  </si>
  <si>
    <t xml:space="preserve">Photo Crop at our photo desk.</t>
  </si>
  <si>
    <t xml:space="preserve">Step 1 → Share the photo file or the old photo.
Step 2 → Operator performs 'Photo Crop'.
Step 3 → You check the result.
Step 4 → Final file / print is given and payment is made.</t>
  </si>
  <si>
    <t xml:space="preserve">photo-crop</t>
  </si>
  <si>
    <t xml:space="preserve">📷</t>
  </si>
  <si>
    <t xml:space="preserve">Photo Crop Service | Devmobile Stores</t>
  </si>
  <si>
    <t xml:space="preserve">Photo Crop (फोटो क्रॉप) at Devmobile Stores and Common Service Center &amp; Aadhaar Centre. Check required documents, charges and process before you visit.</t>
  </si>
  <si>
    <t xml:space="preserve">फोटो क्रॉप, फोटो / फोटोशॉप / डिज़ाइन, सेवा</t>
  </si>
  <si>
    <t xml:space="preserve">Photo Crop, Photo / Photoshop / Design, Devmobile Stores</t>
  </si>
  <si>
    <t xml:space="preserve">PHO-005</t>
  </si>
  <si>
    <t xml:space="preserve">Photo Resize</t>
  </si>
  <si>
    <t xml:space="preserve">फोटो रीसाइज़</t>
  </si>
  <si>
    <t xml:space="preserve">Photo Resize at our photo and design desk.</t>
  </si>
  <si>
    <t xml:space="preserve">Photo Resize at our photo desk.</t>
  </si>
  <si>
    <t xml:space="preserve">Step 1 → Share the photo file or the old photo.
Step 2 → Operator performs 'Photo Resize'.
Step 3 → You check the result.
Step 4 → Final file / print is given and payment is made.</t>
  </si>
  <si>
    <t xml:space="preserve">photo-resize</t>
  </si>
  <si>
    <t xml:space="preserve">Photo Resize Service | Devmobile Stores</t>
  </si>
  <si>
    <t xml:space="preserve">Photo Resize (फोटो रीसाइज़) at Devmobile Stores and Common Service Center &amp; Aadhaar Centre. Check required documents, charges and process before you visit.</t>
  </si>
  <si>
    <t xml:space="preserve">फोटो रीसाइज़, फोटो / फोटोशॉप / डिज़ाइन, सेवा</t>
  </si>
  <si>
    <t xml:space="preserve">Photo Resize, Photo / Photoshop / Design, Devmobile Stores</t>
  </si>
  <si>
    <t xml:space="preserve">PHO-006</t>
  </si>
  <si>
    <t xml:space="preserve">Signature Resize</t>
  </si>
  <si>
    <t xml:space="preserve">हस्ताक्षर (सिग्नेचर) रीसाइज़</t>
  </si>
  <si>
    <t xml:space="preserve">Signature Resize at our photo and design desk.</t>
  </si>
  <si>
    <t xml:space="preserve">Signature Resize at our photo desk.</t>
  </si>
  <si>
    <t xml:space="preserve">Step 1 → Share the photo file or the old photo.
Step 2 → Operator performs 'Signature Resize'.
Step 3 → You check the result.
Step 4 → Final file / print is given and payment is made.</t>
  </si>
  <si>
    <t xml:space="preserve">signature-resize</t>
  </si>
  <si>
    <t xml:space="preserve">Signature Resize Service | Devmobile Stores</t>
  </si>
  <si>
    <t xml:space="preserve">Signature Resize (हस्ताक्षर (सिग्नेचर) रीसाइज़) at Devmobile Stores and Common Service Center &amp; Aadhaar Centre. Check required documents, charges and process before you visit.</t>
  </si>
  <si>
    <t xml:space="preserve">हस्ताक्षर (सिग्नेचर) रीसाइज़, फोटो / फोटोशॉप / डिज़ाइन, सेवा</t>
  </si>
  <si>
    <t xml:space="preserve">Signature Resize, Photo / Photoshop / Design, Devmobile Stores</t>
  </si>
  <si>
    <t xml:space="preserve">PHO-007</t>
  </si>
  <si>
    <t xml:space="preserve">Background Change</t>
  </si>
  <si>
    <t xml:space="preserve">बैकग्राउंड बदलना</t>
  </si>
  <si>
    <t xml:space="preserve">Background Change at our photo and design desk.</t>
  </si>
  <si>
    <t xml:space="preserve">Background Change at our photo desk.</t>
  </si>
  <si>
    <t xml:space="preserve">Step 1 → Share the photo file or the old photo.
Step 2 → Operator performs 'Background Change'.
Step 3 → You check the result.
Step 4 → Final file / print is given and payment is made.</t>
  </si>
  <si>
    <t xml:space="preserve">background-change</t>
  </si>
  <si>
    <t xml:space="preserve">Background Change Service | Devmobile Stores</t>
  </si>
  <si>
    <t xml:space="preserve">Background Change (बैकग्राउंड बदलना) at Devmobile Stores and Common Service Center &amp; Aadhaar Centre. Check required documents, charges and process before you visit.</t>
  </si>
  <si>
    <t xml:space="preserve">बैकग्राउंड बदलना, फोटो / फोटोशॉप / डिज़ाइन, सेवा</t>
  </si>
  <si>
    <t xml:space="preserve">Background Change, Photo / Photoshop / Design, Devmobile Stores</t>
  </si>
  <si>
    <t xml:space="preserve">PHO-008</t>
  </si>
  <si>
    <t xml:space="preserve">Blue Background</t>
  </si>
  <si>
    <t xml:space="preserve">नीला बैकग्राउंड</t>
  </si>
  <si>
    <t xml:space="preserve">Blue Background at our photo and design desk.</t>
  </si>
  <si>
    <t xml:space="preserve">Blue Background at our photo desk.</t>
  </si>
  <si>
    <t xml:space="preserve">Step 1 → Share the photo file or the old photo.
Step 2 → Operator performs 'Blue Background'.
Step 3 → You check the result.
Step 4 → Final file / print is given and payment is made.</t>
  </si>
  <si>
    <t xml:space="preserve">blue-background</t>
  </si>
  <si>
    <t xml:space="preserve">Blue Background Service | Devmobile Stores</t>
  </si>
  <si>
    <t xml:space="preserve">Blue Background (नीला बैकग्राउंड) at Devmobile Stores and Common Service Center &amp; Aadhaar Centre. Check required documents, charges and process before you visit.</t>
  </si>
  <si>
    <t xml:space="preserve">नीला बैकग्राउंड, फोटो / फोटोशॉप / डिज़ाइन, सेवा</t>
  </si>
  <si>
    <t xml:space="preserve">Blue Background, Photo / Photoshop / Design, Devmobile Stores</t>
  </si>
  <si>
    <t xml:space="preserve">PHO-009</t>
  </si>
  <si>
    <t xml:space="preserve">White Background</t>
  </si>
  <si>
    <t xml:space="preserve">सफेद बैकग्राउंड</t>
  </si>
  <si>
    <t xml:space="preserve">White Background at our photo and design desk.</t>
  </si>
  <si>
    <t xml:space="preserve">White Background at our photo desk.</t>
  </si>
  <si>
    <t xml:space="preserve">Step 1 → Share the photo file or the old photo.
Step 2 → Operator performs 'White Background'.
Step 3 → You check the result.
Step 4 → Final file / print is given and payment is made.</t>
  </si>
  <si>
    <t xml:space="preserve">white-background</t>
  </si>
  <si>
    <t xml:space="preserve">White Background Service | Devmobile Stores</t>
  </si>
  <si>
    <t xml:space="preserve">White Background (सफेद बैकग्राउंड) at Devmobile Stores and Common Service Center &amp; Aadhaar Centre. Check required documents, charges and process before you visit.</t>
  </si>
  <si>
    <t xml:space="preserve">सफेद बैकग्राउंड, फोटो / फोटोशॉप / डिज़ाइन, सेवा</t>
  </si>
  <si>
    <t xml:space="preserve">White Background, Photo / Photoshop / Design, Devmobile Stores</t>
  </si>
  <si>
    <t xml:space="preserve">PHO-010</t>
  </si>
  <si>
    <t xml:space="preserve">Photo Retouching</t>
  </si>
  <si>
    <t xml:space="preserve">फोटो रीटचिंग</t>
  </si>
  <si>
    <t xml:space="preserve">Photo Retouching at our photo and design desk.</t>
  </si>
  <si>
    <t xml:space="preserve">Photo Retouching at our photo desk.</t>
  </si>
  <si>
    <t xml:space="preserve">Step 1 → Share the photo file or the old photo.
Step 2 → Operator performs 'Photo Retouching'.
Step 3 → You check the result.
Step 4 → Final file / print is given and payment is made.</t>
  </si>
  <si>
    <t xml:space="preserve">photo-retouching</t>
  </si>
  <si>
    <t xml:space="preserve">Photo Retouching Service | Devmobile Stores</t>
  </si>
  <si>
    <t xml:space="preserve">Photo Retouching (फोटो रीटचिंग) at Devmobile Stores and Common Service Center &amp; Aadhaar Centre. Check required documents, charges and process before you visit.</t>
  </si>
  <si>
    <t xml:space="preserve">फोटो रीटचिंग, फोटो / फोटोशॉप / डिज़ाइन, सेवा</t>
  </si>
  <si>
    <t xml:space="preserve">Photo Retouching, Photo / Photoshop / Design, Devmobile Stores</t>
  </si>
  <si>
    <t xml:space="preserve">PHO-011</t>
  </si>
  <si>
    <t xml:space="preserve">Face Cleanup</t>
  </si>
  <si>
    <t xml:space="preserve">फेस क्लीनअप</t>
  </si>
  <si>
    <t xml:space="preserve">Face Cleanup at our photo and design desk.</t>
  </si>
  <si>
    <t xml:space="preserve">Face Cleanup at our photo desk.</t>
  </si>
  <si>
    <t xml:space="preserve">Step 1 → Share the photo file or the old photo.
Step 2 → Operator performs 'Face Cleanup'.
Step 3 → You check the result.
Step 4 → Final file / print is given and payment is made.</t>
  </si>
  <si>
    <t xml:space="preserve">face-cleanup</t>
  </si>
  <si>
    <t xml:space="preserve">Face Cleanup Service | Devmobile Stores</t>
  </si>
  <si>
    <t xml:space="preserve">Face Cleanup (फेस क्लीनअप) at Devmobile Stores and Common Service Center &amp; Aadhaar Centre. Check required documents, charges and process before you visit.</t>
  </si>
  <si>
    <t xml:space="preserve">फेस क्लीनअप, फोटो / फोटोशॉप / डिज़ाइन, सेवा</t>
  </si>
  <si>
    <t xml:space="preserve">Face Cleanup, Photo / Photoshop / Design, Devmobile Stores</t>
  </si>
  <si>
    <t xml:space="preserve">PHO-012</t>
  </si>
  <si>
    <t xml:space="preserve">Photo Enhancement</t>
  </si>
  <si>
    <t xml:space="preserve">फोटो एन्हांसमेंट</t>
  </si>
  <si>
    <t xml:space="preserve">Photo Enhancement at our photo and design desk.</t>
  </si>
  <si>
    <t xml:space="preserve">Photo Enhancement at our photo desk.</t>
  </si>
  <si>
    <t xml:space="preserve">Step 1 → Share the photo file or the old photo.
Step 2 → Operator performs 'Photo Enhancement'.
Step 3 → You check the result.
Step 4 → Final file / print is given and payment is made.</t>
  </si>
  <si>
    <t xml:space="preserve">photo-enhancement</t>
  </si>
  <si>
    <t xml:space="preserve">Photo Enhancement Service | Devmobile Stores</t>
  </si>
  <si>
    <t xml:space="preserve">Photo Enhancement (फोटो एन्हांसमेंट) at Devmobile Stores and Common Service Center &amp; Aadhaar Centre. Check required documents, charges and process before you visit.</t>
  </si>
  <si>
    <t xml:space="preserve">फोटो एन्हांसमेंट, फोटो / फोटोशॉप / डिज़ाइन, सेवा</t>
  </si>
  <si>
    <t xml:space="preserve">Photo Enhancement, Photo / Photoshop / Design, Devmobile Stores</t>
  </si>
  <si>
    <t xml:space="preserve">PHO-013</t>
  </si>
  <si>
    <t xml:space="preserve">Old Photo Restoration</t>
  </si>
  <si>
    <t xml:space="preserve">पुरानी फोटो रिस्टोरेशन</t>
  </si>
  <si>
    <t xml:space="preserve">Old Photo Restoration at our photo and design desk.</t>
  </si>
  <si>
    <t xml:space="preserve">Old Photo Restoration at our photo desk.</t>
  </si>
  <si>
    <t xml:space="preserve">Step 1 → Share the photo file or the old photo.
Step 2 → Operator performs 'Old Photo Restoration'.
Step 3 → You check the result.
Step 4 → Final file / print is given and payment is made.</t>
  </si>
  <si>
    <t xml:space="preserve">old-photo-restoration</t>
  </si>
  <si>
    <t xml:space="preserve">Old Photo Restoration Service | Devmobile Stores</t>
  </si>
  <si>
    <t xml:space="preserve">Old Photo Restoration (पुरानी फोटो रिस्टोरेशन) at Devmobile Stores and Common Service Center &amp; Aadhaar Centre. Check required documents, charges and process before you visit.</t>
  </si>
  <si>
    <t xml:space="preserve">पुरानी फोटो रिस्टोरेशन, फोटो / फोटोशॉप / डिज़ाइन, सेवा</t>
  </si>
  <si>
    <t xml:space="preserve">Old Photo Restoration, Photo / Photoshop / Design, Devmobile Stores</t>
  </si>
  <si>
    <t xml:space="preserve">PHO-014</t>
  </si>
  <si>
    <t xml:space="preserve">Photo Printing</t>
  </si>
  <si>
    <t xml:space="preserve">Photo Print</t>
  </si>
  <si>
    <t xml:space="preserve">फोटो प्रिंट</t>
  </si>
  <si>
    <t xml:space="preserve">Photo Print at our photo and design desk.</t>
  </si>
  <si>
    <t xml:space="preserve">Photo Print at our photo desk.</t>
  </si>
  <si>
    <t xml:space="preserve">Step 1 → Share the photo file or the old photo.
Step 2 → Operator performs 'Photo Print'.
Step 3 → You check the result.
Step 4 → Final file / print is given and payment is made.</t>
  </si>
  <si>
    <t xml:space="preserve">photo-print</t>
  </si>
  <si>
    <t xml:space="preserve">Photo Print Service | Devmobile Stores</t>
  </si>
  <si>
    <t xml:space="preserve">Photo Print (फोटो प्रिंट) at Devmobile Stores and Common Service Center &amp; Aadhaar Centre. Check required documents, charges and process before you visit.</t>
  </si>
  <si>
    <t xml:space="preserve">फोटो प्रिंट, फोटो / फोटोशॉप / डिज़ाइन, सेवा</t>
  </si>
  <si>
    <t xml:space="preserve">Photo Print, Photo / Photoshop / Design, Devmobile Stores</t>
  </si>
  <si>
    <t xml:space="preserve">PHO-015</t>
  </si>
  <si>
    <t xml:space="preserve">4×6 Photo Sheet</t>
  </si>
  <si>
    <t xml:space="preserve">4×6 फोटो शीट</t>
  </si>
  <si>
    <t xml:space="preserve">4×6 Photo Sheet at our photo and design desk.</t>
  </si>
  <si>
    <t xml:space="preserve">4×6 Photo Sheet at our photo desk.</t>
  </si>
  <si>
    <t xml:space="preserve">Step 1 → Share the photo file or the old photo.
Step 2 → Operator performs '4×6 Photo Sheet'.
Step 3 → You check the result.
Step 4 → Final file / print is given and payment is made.</t>
  </si>
  <si>
    <t xml:space="preserve">4-6-photo-sheet</t>
  </si>
  <si>
    <t xml:space="preserve">4×6 Photo Sheet Service | Devmobile Stores</t>
  </si>
  <si>
    <t xml:space="preserve">4×6 Photo Sheet (4×6 फोटो शीट) at Devmobile Stores and Common Service Center &amp; Aadhaar Centre. Check required documents, charges and process before you visit.</t>
  </si>
  <si>
    <t xml:space="preserve">4×6 फोटो शीट, फोटो / फोटोशॉप / डिज़ाइन, सेवा</t>
  </si>
  <si>
    <t xml:space="preserve">4×6 Photo Sheet, Photo / Photoshop / Design, Devmobile Stores</t>
  </si>
  <si>
    <t xml:space="preserve">PHO-016</t>
  </si>
  <si>
    <t xml:space="preserve">Multiple Photo Layout</t>
  </si>
  <si>
    <t xml:space="preserve">मल्टीपल फोटो लेआउट</t>
  </si>
  <si>
    <t xml:space="preserve">Multiple Photo Layout at our photo and design desk.</t>
  </si>
  <si>
    <t xml:space="preserve">Multiple Photo Layout at our photo desk.</t>
  </si>
  <si>
    <t xml:space="preserve">Step 1 → Share the photo file or the old photo.
Step 2 → Operator performs 'Multiple Photo Layout'.
Step 3 → You check the result.
Step 4 → Final file / print is given and payment is made.</t>
  </si>
  <si>
    <t xml:space="preserve">multiple-photo-layout</t>
  </si>
  <si>
    <t xml:space="preserve">Multiple Photo Layout Service | Devmobile Stores</t>
  </si>
  <si>
    <t xml:space="preserve">Multiple Photo Layout (मल्टीपल फोटो लेआउट) at Devmobile Stores and Common Service Center &amp; Aadhaar Centre. Check required documents, charges and process before you visit.</t>
  </si>
  <si>
    <t xml:space="preserve">मल्टीपल फोटो लेआउट, फोटो / फोटोशॉप / डिज़ाइन, सेवा</t>
  </si>
  <si>
    <t xml:space="preserve">Multiple Photo Layout, Photo / Photoshop / Design, Devmobile Stores</t>
  </si>
  <si>
    <t xml:space="preserve">PHO-017</t>
  </si>
  <si>
    <t xml:space="preserve">Design Work</t>
  </si>
  <si>
    <t xml:space="preserve">Visiting Card Design</t>
  </si>
  <si>
    <t xml:space="preserve">विजिटिंग कार्ड डिज़ाइन</t>
  </si>
  <si>
    <t xml:space="preserve">Visiting Card Design at our photo and design desk.</t>
  </si>
  <si>
    <t xml:space="preserve">Visiting Card Design at our design desk.</t>
  </si>
  <si>
    <t xml:space="preserve">Step 1 → Tell what you need and give the text / logo / photos.
Step 2 → Design draft is prepared.
Step 3 → You review and request changes.
Step 4 → Final design is handed over / printed and payment is made.</t>
  </si>
  <si>
    <t xml:space="preserve">visiting-card-design</t>
  </si>
  <si>
    <t xml:space="preserve">🎨</t>
  </si>
  <si>
    <t xml:space="preserve">Visiting Card Design Service | Devmobile Stores</t>
  </si>
  <si>
    <t xml:space="preserve">Visiting Card Design (विजिटिंग कार्ड डिज़ाइन) at Devmobile Stores and Common Service Center &amp; Aadhaar Centre. Check required documents, charges and process before you visit.</t>
  </si>
  <si>
    <t xml:space="preserve">विजिटिंग कार्ड डिज़ाइन, फोटो / फोटोशॉप / डिज़ाइन, सेवा</t>
  </si>
  <si>
    <t xml:space="preserve">Visiting Card Design, Photo / Photoshop / Design, Devmobile Stores</t>
  </si>
  <si>
    <t xml:space="preserve">PHO-018</t>
  </si>
  <si>
    <t xml:space="preserve">ID Card Design</t>
  </si>
  <si>
    <t xml:space="preserve">आईडी कार्ड डिज़ाइन</t>
  </si>
  <si>
    <t xml:space="preserve">ID Card Design at our photo and design desk.</t>
  </si>
  <si>
    <t xml:space="preserve">ID Card Design at our design desk.</t>
  </si>
  <si>
    <t xml:space="preserve">id-card-design</t>
  </si>
  <si>
    <t xml:space="preserve">ID Card Design Service | Devmobile Stores</t>
  </si>
  <si>
    <t xml:space="preserve">ID Card Design (आईडी कार्ड डिज़ाइन) at Devmobile Stores and Common Service Center &amp; Aadhaar Centre. Check required documents, charges and process before you visit.</t>
  </si>
  <si>
    <t xml:space="preserve">आईडी कार्ड डिज़ाइन, फोटो / फोटोशॉप / डिज़ाइन, सेवा</t>
  </si>
  <si>
    <t xml:space="preserve">ID Card Design, Photo / Photoshop / Design, Devmobile Stores</t>
  </si>
  <si>
    <t xml:space="preserve">PHO-019</t>
  </si>
  <si>
    <t xml:space="preserve">Certificate Design</t>
  </si>
  <si>
    <t xml:space="preserve">सर्टिफिकेट डिज़ाइन</t>
  </si>
  <si>
    <t xml:space="preserve">Certificate Design at our photo and design desk.</t>
  </si>
  <si>
    <t xml:space="preserve">Certificate Design at our design desk.</t>
  </si>
  <si>
    <t xml:space="preserve">certificate-design</t>
  </si>
  <si>
    <t xml:space="preserve">Certificate Design Service | Devmobile Stores</t>
  </si>
  <si>
    <t xml:space="preserve">Certificate Design (सर्टिफिकेट डिज़ाइन) at Devmobile Stores and Common Service Center &amp; Aadhaar Centre. Check required documents, charges and process before you visit.</t>
  </si>
  <si>
    <t xml:space="preserve">सर्टिफिकेट डिज़ाइन, फोटो / फोटोशॉप / डिज़ाइन, सेवा</t>
  </si>
  <si>
    <t xml:space="preserve">Certificate Design, Photo / Photoshop / Design, Devmobile Stores</t>
  </si>
  <si>
    <t xml:space="preserve">PHO-020</t>
  </si>
  <si>
    <t xml:space="preserve">Poster Design</t>
  </si>
  <si>
    <t xml:space="preserve">पोस्टर डिज़ाइन</t>
  </si>
  <si>
    <t xml:space="preserve">Poster Design at our photo and design desk.</t>
  </si>
  <si>
    <t xml:space="preserve">Poster Design at our design desk.</t>
  </si>
  <si>
    <t xml:space="preserve">poster-design</t>
  </si>
  <si>
    <t xml:space="preserve">Poster Design Service | Devmobile Stores</t>
  </si>
  <si>
    <t xml:space="preserve">Poster Design (पोस्टर डिज़ाइन) at Devmobile Stores and Common Service Center &amp; Aadhaar Centre. Check required documents, charges and process before you visit.</t>
  </si>
  <si>
    <t xml:space="preserve">पोस्टर डिज़ाइन, फोटो / फोटोशॉप / डिज़ाइन, सेवा</t>
  </si>
  <si>
    <t xml:space="preserve">Poster Design, Photo / Photoshop / Design, Devmobile Stores</t>
  </si>
  <si>
    <t xml:space="preserve">PHO-021</t>
  </si>
  <si>
    <t xml:space="preserve">Banner Design</t>
  </si>
  <si>
    <t xml:space="preserve">बैनर डिज़ाइन</t>
  </si>
  <si>
    <t xml:space="preserve">Banner Design at our photo and design desk.</t>
  </si>
  <si>
    <t xml:space="preserve">Banner Design at our design desk.</t>
  </si>
  <si>
    <t xml:space="preserve">banner-design</t>
  </si>
  <si>
    <t xml:space="preserve">Banner Design Service | Devmobile Stores</t>
  </si>
  <si>
    <t xml:space="preserve">Banner Design (बैनर डिज़ाइन) at Devmobile Stores and Common Service Center &amp; Aadhaar Centre. Check required documents, charges and process before you visit.</t>
  </si>
  <si>
    <t xml:space="preserve">बैनर डिज़ाइन, फोटो / फोटोशॉप / डिज़ाइन, सेवा</t>
  </si>
  <si>
    <t xml:space="preserve">Banner Design, Photo / Photoshop / Design, Devmobile Stores</t>
  </si>
  <si>
    <t xml:space="preserve">PHO-022</t>
  </si>
  <si>
    <t xml:space="preserve">Pamphlet Design</t>
  </si>
  <si>
    <t xml:space="preserve">पम्फलेट डिज़ाइन</t>
  </si>
  <si>
    <t xml:space="preserve">Pamphlet Design at our photo and design desk.</t>
  </si>
  <si>
    <t xml:space="preserve">Pamphlet Design at our design desk.</t>
  </si>
  <si>
    <t xml:space="preserve">pamphlet-design</t>
  </si>
  <si>
    <t xml:space="preserve">Pamphlet Design Service | Devmobile Stores</t>
  </si>
  <si>
    <t xml:space="preserve">Pamphlet Design (पम्फलेट डिज़ाइन) at Devmobile Stores and Common Service Center &amp; Aadhaar Centre. Check required documents, charges and process before you visit.</t>
  </si>
  <si>
    <t xml:space="preserve">पम्फलेट डिज़ाइन, फोटो / फोटोशॉप / डिज़ाइन, सेवा</t>
  </si>
  <si>
    <t xml:space="preserve">Pamphlet Design, Photo / Photoshop / Design, Devmobile Stores</t>
  </si>
  <si>
    <t xml:space="preserve">PHO-023</t>
  </si>
  <si>
    <t xml:space="preserve">Invitation Card Design</t>
  </si>
  <si>
    <t xml:space="preserve">निमंत्रण कार्ड डिज़ाइन</t>
  </si>
  <si>
    <t xml:space="preserve">Invitation Card Design at our photo and design desk.</t>
  </si>
  <si>
    <t xml:space="preserve">Invitation Card Design at our design desk.</t>
  </si>
  <si>
    <t xml:space="preserve">invitation-card-design</t>
  </si>
  <si>
    <t xml:space="preserve">Invitation Card Design Service | Devmobile Stores</t>
  </si>
  <si>
    <t xml:space="preserve">Invitation Card Design (निमंत्रण कार्ड डिज़ाइन) at Devmobile Stores and Common Service Center &amp; Aadhaar Centre. Check required documents, charges and process before you visit.</t>
  </si>
  <si>
    <t xml:space="preserve">निमंत्रण कार्ड डिज़ाइन, फोटो / फोटोशॉप / डिज़ाइन, सेवा</t>
  </si>
  <si>
    <t xml:space="preserve">Invitation Card Design, Photo / Photoshop / Design, Devmobile Stores</t>
  </si>
  <si>
    <t xml:space="preserve">PHO-024</t>
  </si>
  <si>
    <t xml:space="preserve">Letterhead Design</t>
  </si>
  <si>
    <t xml:space="preserve">लेटरहेड डिज़ाइन</t>
  </si>
  <si>
    <t xml:space="preserve">Letterhead Design at our photo and design desk.</t>
  </si>
  <si>
    <t xml:space="preserve">Letterhead Design at our design desk.</t>
  </si>
  <si>
    <t xml:space="preserve">letterhead-design</t>
  </si>
  <si>
    <t xml:space="preserve">Letterhead Design Service | Devmobile Stores</t>
  </si>
  <si>
    <t xml:space="preserve">Letterhead Design (लेटरहेड डिज़ाइन) at Devmobile Stores and Common Service Center &amp; Aadhaar Centre. Check required documents, charges and process before you visit.</t>
  </si>
  <si>
    <t xml:space="preserve">लेटरहेड डिज़ाइन, फोटो / फोटोशॉप / डिज़ाइन, सेवा</t>
  </si>
  <si>
    <t xml:space="preserve">Letterhead Design, Photo / Photoshop / Design, Devmobile Stores</t>
  </si>
  <si>
    <t xml:space="preserve">PHO-025</t>
  </si>
  <si>
    <t xml:space="preserve">Logo Design</t>
  </si>
  <si>
    <t xml:space="preserve">लोगो डिज़ाइन</t>
  </si>
  <si>
    <t xml:space="preserve">Logo Design at our photo and design desk.</t>
  </si>
  <si>
    <t xml:space="preserve">Logo Design at our design desk.</t>
  </si>
  <si>
    <t xml:space="preserve">logo-design</t>
  </si>
  <si>
    <t xml:space="preserve">Confirm if offered</t>
  </si>
  <si>
    <t xml:space="preserve">Logo Design Service | Devmobile Stores</t>
  </si>
  <si>
    <t xml:space="preserve">Logo Design (लोगो डिज़ाइन) at Devmobile Stores and Common Service Center &amp; Aadhaar Centre. Check required documents, charges and process before you visit.</t>
  </si>
  <si>
    <t xml:space="preserve">लोगो डिज़ाइन, फोटो / फोटोशॉप / डिज़ाइन, सेवा</t>
  </si>
  <si>
    <t xml:space="preserve">Logo Design, Photo / Photoshop / Design, Devmobile Stores</t>
  </si>
  <si>
    <t xml:space="preserve">PHO-026</t>
  </si>
  <si>
    <t xml:space="preserve">Flex / Banner Printing</t>
  </si>
  <si>
    <t xml:space="preserve">फ्लेक्स / बैनर प्रिंटिंग</t>
  </si>
  <si>
    <t xml:space="preserve">Flex / Banner Printing at our photo and design desk.</t>
  </si>
  <si>
    <t xml:space="preserve">Flex / Banner Printing at our design desk.</t>
  </si>
  <si>
    <t xml:space="preserve">flex-banner-printing</t>
  </si>
  <si>
    <t xml:space="preserve">Confirm if printed in-shop or via outside vendor</t>
  </si>
  <si>
    <t xml:space="preserve">Flex / Banner Printing Service | Devmobile Stores</t>
  </si>
  <si>
    <t xml:space="preserve">Flex / Banner Printing (फ्लेक्स / बैनर प्रिंटिंग) at Devmobile Stores and Common Service Center &amp; Aadhaar Centre. Check required documents, charges and process before you visit.</t>
  </si>
  <si>
    <t xml:space="preserve">फ्लेक्स / बैनर प्रिंटिंग, फोटो / फोटोशॉप / डिज़ाइन, सेवा</t>
  </si>
  <si>
    <t xml:space="preserve">Flex / Banner Printing, Photo / Photoshop / Design, Devmobile Stores</t>
  </si>
  <si>
    <t xml:space="preserve">ONL-001</t>
  </si>
  <si>
    <t xml:space="preserve">Online Form &amp; Digital Services</t>
  </si>
  <si>
    <t xml:space="preserve">Online &amp; Digital Services</t>
  </si>
  <si>
    <t xml:space="preserve">Government Job &amp; Recruitment Forms</t>
  </si>
  <si>
    <t xml:space="preserve">Government Job Form – Central</t>
  </si>
  <si>
    <t xml:space="preserve">सरकारी नौकरी फॉर्म – केंद्र</t>
  </si>
  <si>
    <t xml:space="preserve">Online help with Government Job Form – Central.</t>
  </si>
  <si>
    <t xml:space="preserve">Government Job Form – Central filled and submitted online.</t>
  </si>
  <si>
    <t xml:space="preserve">Candidates meeting the notification's eligibility.</t>
  </si>
  <si>
    <t xml:space="preserve"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t>
  </si>
  <si>
    <t xml:space="preserve">Official recruitment / exam portal</t>
  </si>
  <si>
    <t xml:space="preserve">government-job-form-central</t>
  </si>
  <si>
    <t xml:space="preserve">💼</t>
  </si>
  <si>
    <t xml:space="preserve">Q1: Do I have to pay the exam fee separately?
A1: Yes, the department's fee is paid on the portal; the shop's service charge is extra.</t>
  </si>
  <si>
    <t xml:space="preserve">Government Job Form – Central Service | Devmobile Stores</t>
  </si>
  <si>
    <t xml:space="preserve">Government Job Form – Central (सरकारी नौकरी फॉर्म – केंद्र) at Devmobile Stores and Common Service Center &amp; Aadhaar Centre. Check required documents, charges and process before you visit.</t>
  </si>
  <si>
    <t xml:space="preserve">सरकारी नौकरी फॉर्म – केंद्र, ऑनलाइन फॉर्म व डिजिटल सेवाएँ, सेवा</t>
  </si>
  <si>
    <t xml:space="preserve">Government Job Form – Central, Online Form &amp; Digital Services, Devmobile Stores</t>
  </si>
  <si>
    <t xml:space="preserve">ONL-002</t>
  </si>
  <si>
    <t xml:space="preserve">Government Job Form – State</t>
  </si>
  <si>
    <t xml:space="preserve">सरकारी नौकरी फॉर्म – राज्य</t>
  </si>
  <si>
    <t xml:space="preserve">Online help with Government Job Form – State.</t>
  </si>
  <si>
    <t xml:space="preserve">Government Job Form – State filled and submitted online.</t>
  </si>
  <si>
    <t xml:space="preserve">government-job-form-state</t>
  </si>
  <si>
    <t xml:space="preserve">Government Job Form – State Service | Devmobile Stores</t>
  </si>
  <si>
    <t xml:space="preserve">Government Job Form – State (सरकारी नौकरी फॉर्म – राज्य) at Devmobile Stores and Common Service Center &amp; Aadhaar Centre. Check required documents, charges and process before you visit.</t>
  </si>
  <si>
    <t xml:space="preserve">सरकारी नौकरी फॉर्म – राज्य, ऑनलाइन फॉर्म व डिजिटल सेवाएँ, सेवा</t>
  </si>
  <si>
    <t xml:space="preserve">Government Job Form – State, Online Form &amp; Digital Services, Devmobile Stores</t>
  </si>
  <si>
    <t xml:space="preserve">ONL-003</t>
  </si>
  <si>
    <t xml:space="preserve">Recruitment Form – Railway (RRB)</t>
  </si>
  <si>
    <t xml:space="preserve">रेलवे भर्ती फॉर्म (RRB)</t>
  </si>
  <si>
    <t xml:space="preserve">Online help with Recruitment Form – Railway (RRB).</t>
  </si>
  <si>
    <t xml:space="preserve">Recruitment Form – Railway (RRB) filled and submitted online.</t>
  </si>
  <si>
    <t xml:space="preserve">recruitment-form-railway-rrb</t>
  </si>
  <si>
    <t xml:space="preserve">Recruitment Form – Railway (RRB) Service | Devmobile Stores</t>
  </si>
  <si>
    <t xml:space="preserve">Recruitment Form – Railway (RRB) (रेलवे भर्ती फॉर्म (RRB)) at Devmobile Stores and Common Service Center &amp; Aadhaar Centre. Check required documents, charges and process before you visit.</t>
  </si>
  <si>
    <t xml:space="preserve">रेलवे भर्ती फॉर्म (RRB), ऑनलाइन फॉर्म व डिजिटल सेवाएँ, सेवा</t>
  </si>
  <si>
    <t xml:space="preserve">Recruitment Form – Railway (RRB), Online Form &amp; Digital Services, Devmobile Stores</t>
  </si>
  <si>
    <t xml:space="preserve">ONL-004</t>
  </si>
  <si>
    <t xml:space="preserve">Recruitment Form – SSC</t>
  </si>
  <si>
    <t xml:space="preserve">SSC भर्ती फॉर्म</t>
  </si>
  <si>
    <t xml:space="preserve">Online help with Recruitment Form – SSC.</t>
  </si>
  <si>
    <t xml:space="preserve">Recruitment Form – SSC filled and submitted online.</t>
  </si>
  <si>
    <t xml:space="preserve">recruitment-form-ssc</t>
  </si>
  <si>
    <t xml:space="preserve">Recruitment Form – SSC Service | Devmobile Stores</t>
  </si>
  <si>
    <t xml:space="preserve">Recruitment Form – SSC (SSC भर्ती फॉर्म) at Devmobile Stores and Common Service Center &amp; Aadhaar Centre. Check required documents, charges and process before you visit.</t>
  </si>
  <si>
    <t xml:space="preserve">SSC भर्ती फॉर्म, ऑनलाइन फॉर्म व डिजिटल सेवाएँ, सेवा</t>
  </si>
  <si>
    <t xml:space="preserve">Recruitment Form – SSC, Online Form &amp; Digital Services, Devmobile Stores</t>
  </si>
  <si>
    <t xml:space="preserve">ONL-005</t>
  </si>
  <si>
    <t xml:space="preserve">Recruitment Form – Bank (IBPS / SBI etc.)</t>
  </si>
  <si>
    <t xml:space="preserve">बैंक भर्ती फॉर्म (IBPS / SBI आदि)</t>
  </si>
  <si>
    <t xml:space="preserve">Online help with Recruitment Form – Bank (IBPS / SBI etc.).</t>
  </si>
  <si>
    <t xml:space="preserve">Recruitment Form – Bank (IBPS / SBI etc.) filled and submitted online.</t>
  </si>
  <si>
    <t xml:space="preserve">recruitment-form-bank-ibps-sbi-etc</t>
  </si>
  <si>
    <t xml:space="preserve">Recruitment Form – Bank (IBPS / SBI etc.) Service | Devmobile Stores</t>
  </si>
  <si>
    <t xml:space="preserve">Recruitment Form – Bank (IBPS / SBI etc.) (बैंक भर्ती फॉर्म (IBPS / SBI आदि)) at Devmobile Stores and Common Service Center &amp; Aadhaar Centre. Check required documents, charges and process before you visit.</t>
  </si>
  <si>
    <t xml:space="preserve">बैंक भर्ती फॉर्म (IBPS / SBI आदि), ऑनलाइन फॉर्म व डिजिटल सेवाएँ, सेवा</t>
  </si>
  <si>
    <t xml:space="preserve">Recruitment Form – Bank (IBPS / SBI etc.), Online Form &amp; Digital Services, Devmobile Stores</t>
  </si>
  <si>
    <t xml:space="preserve">ONL-006</t>
  </si>
  <si>
    <t xml:space="preserve">Recruitment Form – Police / Defence</t>
  </si>
  <si>
    <t xml:space="preserve">पुलिस / रक्षा भर्ती फॉर्म</t>
  </si>
  <si>
    <t xml:space="preserve">Online help with Recruitment Form – Police / Defence.</t>
  </si>
  <si>
    <t xml:space="preserve">Recruitment Form – Police / Defence filled and submitted online.</t>
  </si>
  <si>
    <t xml:space="preserve">recruitment-form-police-defence</t>
  </si>
  <si>
    <t xml:space="preserve">Recruitment Form – Police / Defence Service | Devmobile Stores</t>
  </si>
  <si>
    <t xml:space="preserve">Recruitment Form – Police / Defence (पुलिस / रक्षा भर्ती फॉर्म) at Devmobile Stores and Common Service Center &amp; Aadhaar Centre. Check required documents, charges and process before you visit.</t>
  </si>
  <si>
    <t xml:space="preserve">पुलिस / रक्षा भर्ती फॉर्म, ऑनलाइन फॉर्म व डिजिटल सेवाएँ, सेवा</t>
  </si>
  <si>
    <t xml:space="preserve">Recruitment Form – Police / Defence, Online Form &amp; Digital Services, Devmobile Stores</t>
  </si>
  <si>
    <t xml:space="preserve">ONL-007</t>
  </si>
  <si>
    <t xml:space="preserve">Recruitment Form – Teacher (TET / TRE)</t>
  </si>
  <si>
    <t xml:space="preserve">शिक्षक भर्ती फॉर्म (TET / TRE)</t>
  </si>
  <si>
    <t xml:space="preserve">Online help with Recruitment Form – Teacher (TET / TRE).</t>
  </si>
  <si>
    <t xml:space="preserve">Recruitment Form – Teacher (TET / TRE) filled and submitted online.</t>
  </si>
  <si>
    <t xml:space="preserve">recruitment-form-teacher-tet-tre</t>
  </si>
  <si>
    <t xml:space="preserve">Recruitment Form – Teacher (TET / TRE) Service | Devmobile Stores</t>
  </si>
  <si>
    <t xml:space="preserve">Recruitment Form – Teacher (TET / TRE) (शिक्षक भर्ती फॉर्म (TET / TRE)) at Devmobile Stores and Common Service Center &amp; Aadhaar Centre. Check required documents, charges and process before you visit.</t>
  </si>
  <si>
    <t xml:space="preserve">शिक्षक भर्ती फॉर्म (TET / TRE), ऑनलाइन फॉर्म व डिजिटल सेवाएँ, सेवा</t>
  </si>
  <si>
    <t xml:space="preserve">Recruitment Form – Teacher (TET / TRE), Online Form &amp; Digital Services, Devmobile Stores</t>
  </si>
  <si>
    <t xml:space="preserve">ONL-008</t>
  </si>
  <si>
    <t xml:space="preserve">Competitive Exam Form (UPSC / State PSC etc.)</t>
  </si>
  <si>
    <t xml:space="preserve">प्रतियोगी परीक्षा फॉर्म (UPSC / राज्य PSC आदि)</t>
  </si>
  <si>
    <t xml:space="preserve">Online help with Competitive Exam Form (UPSC / State PSC etc.).</t>
  </si>
  <si>
    <t xml:space="preserve">Competitive Exam Form (UPSC / State PSC etc.) filled and submitted online.</t>
  </si>
  <si>
    <t xml:space="preserve">competitive-exam-form-upsc-state-psc-etc</t>
  </si>
  <si>
    <t xml:space="preserve">Competitive Exam Form (UPSC / State PSC etc.) Service | Devmobile Stores</t>
  </si>
  <si>
    <t xml:space="preserve">Competitive Exam Form (UPSC / State PSC etc.) (प्रतियोगी परीक्षा फॉर्म (UPSC / राज्य PSC आदि)) at Devmobile Stores and Common Service Center &amp; Aadhaar Centre. Check required documents, charges and process before you visit.</t>
  </si>
  <si>
    <t xml:space="preserve">प्रतियोगी परीक्षा फॉर्म (UPSC / राज्य PSC आदि), ऑनलाइन फॉर्म व डिजिटल सेवाएँ, सेवा</t>
  </si>
  <si>
    <t xml:space="preserve">Competitive Exam Form (UPSC / State PSC etc.), Online Form &amp; Digital Services, Devmobile Stores</t>
  </si>
  <si>
    <t xml:space="preserve">ONL-009</t>
  </si>
  <si>
    <t xml:space="preserve">Entrance Exam Form (JEE / NEET / CUET etc.)</t>
  </si>
  <si>
    <t xml:space="preserve">प्रवेश परीक्षा फॉर्म (JEE / NEET / CUET आदि)</t>
  </si>
  <si>
    <t xml:space="preserve">Online help with Entrance Exam Form (JEE / NEET / CUET etc.).</t>
  </si>
  <si>
    <t xml:space="preserve">Entrance Exam Form (JEE / NEET / CUET etc.) filled and submitted online.</t>
  </si>
  <si>
    <t xml:space="preserve">entrance-exam-form-jee-neet-cuet-etc</t>
  </si>
  <si>
    <t xml:space="preserve">Entrance Exam Form (JEE / NEET / CUET etc.) Service | Devmobile Stores</t>
  </si>
  <si>
    <t xml:space="preserve">Entrance Exam Form (JEE / NEET / CUET etc.) (प्रवेश परीक्षा फॉर्म (JEE / NEET / CUET आदि)) at Devmobile Stores and Common Service Center &amp; Aadhaar Centre. Check required documents, charges and process before you visit.</t>
  </si>
  <si>
    <t xml:space="preserve">प्रवेश परीक्षा फॉर्म (JEE / NEET / CUET आदि), ऑनलाइन फॉर्म व डिजिटल सेवाएँ, सेवा</t>
  </si>
  <si>
    <t xml:space="preserve">Entrance Exam Form (JEE / NEET / CUET etc.), Online Form &amp; Digital Services, Devmobile Stores</t>
  </si>
  <si>
    <t xml:space="preserve">ONL-010</t>
  </si>
  <si>
    <t xml:space="preserve">School Admission Form</t>
  </si>
  <si>
    <t xml:space="preserve">स्कूल दाखिला फॉर्म</t>
  </si>
  <si>
    <t xml:space="preserve">Online help with School Admission Form.</t>
  </si>
  <si>
    <t xml:space="preserve">School Admission Form through the official education portal.</t>
  </si>
  <si>
    <t xml:space="preserve">Step 1 → Bring the certificates, photo, signature and Aadhaar.
Step 2 → Operator opens the relevant admission / scholarship / result portal.
Step 3 → Details are filled and documents uploaded.
Step 4 → Submit / download and collect the print or PDF.</t>
  </si>
  <si>
    <t xml:space="preserve">Relevant education portal</t>
  </si>
  <si>
    <t xml:space="preserve">school-admission-form</t>
  </si>
  <si>
    <t xml:space="preserve">School Admission Form Service | Devmobile Stores</t>
  </si>
  <si>
    <t xml:space="preserve">School Admission Form (स्कूल दाखिला फॉर्म) at Devmobile Stores and Common Service Center &amp; Aadhaar Centre. Check required documents, charges and process before you visit.</t>
  </si>
  <si>
    <t xml:space="preserve">स्कूल दाखिला फॉर्म, ऑनलाइन फॉर्म व डिजिटल सेवाएँ, सेवा</t>
  </si>
  <si>
    <t xml:space="preserve">School Admission Form, Online Form &amp; Digital Services, Devmobile Stores</t>
  </si>
  <si>
    <t xml:space="preserve">ONL-011</t>
  </si>
  <si>
    <t xml:space="preserve">College Admission Form</t>
  </si>
  <si>
    <t xml:space="preserve">कॉलेज दाखिला फॉर्म</t>
  </si>
  <si>
    <t xml:space="preserve">Online help with College Admission Form.</t>
  </si>
  <si>
    <t xml:space="preserve">College Admission Form through the official education portal.</t>
  </si>
  <si>
    <t xml:space="preserve">college-admission-form</t>
  </si>
  <si>
    <t xml:space="preserve">College Admission Form Service | Devmobile Stores</t>
  </si>
  <si>
    <t xml:space="preserve">College Admission Form (कॉलेज दाखिला फॉर्म) at Devmobile Stores and Common Service Center &amp; Aadhaar Centre. Check required documents, charges and process before you visit.</t>
  </si>
  <si>
    <t xml:space="preserve">कॉलेज दाखिला फॉर्म, ऑनलाइन फॉर्म व डिजिटल सेवाएँ, सेवा</t>
  </si>
  <si>
    <t xml:space="preserve">College Admission Form, Online Form &amp; Digital Services, Devmobile Stores</t>
  </si>
  <si>
    <t xml:space="preserve">ONL-012</t>
  </si>
  <si>
    <t xml:space="preserve">University Admission Form</t>
  </si>
  <si>
    <t xml:space="preserve">विश्वविद्यालय दाखिला फॉर्म</t>
  </si>
  <si>
    <t xml:space="preserve">Online help with University Admission Form.</t>
  </si>
  <si>
    <t xml:space="preserve">University Admission Form through the official education portal.</t>
  </si>
  <si>
    <t xml:space="preserve">university-admission-form</t>
  </si>
  <si>
    <t xml:space="preserve">University Admission Form Service | Devmobile Stores</t>
  </si>
  <si>
    <t xml:space="preserve">University Admission Form (विश्वविद्यालय दाखिला फॉर्म) at Devmobile Stores and Common Service Center &amp; Aadhaar Centre. Check required documents, charges and process before you visit.</t>
  </si>
  <si>
    <t xml:space="preserve">विश्वविद्यालय दाखिला फॉर्म, ऑनलाइन फॉर्म व डिजिटल सेवाएँ, सेवा</t>
  </si>
  <si>
    <t xml:space="preserve">University Admission Form, Online Form &amp; Digital Services, Devmobile Stores</t>
  </si>
  <si>
    <t xml:space="preserve">ONL-013</t>
  </si>
  <si>
    <t xml:space="preserve">ITI Admission Form</t>
  </si>
  <si>
    <t xml:space="preserve">ITI दाखिला फॉर्म</t>
  </si>
  <si>
    <t xml:space="preserve">Online help with ITI Admission Form.</t>
  </si>
  <si>
    <t xml:space="preserve">ITI Admission Form through the official education portal.</t>
  </si>
  <si>
    <t xml:space="preserve">iti-admission-form</t>
  </si>
  <si>
    <t xml:space="preserve">ITI Admission Form Service | Devmobile Stores</t>
  </si>
  <si>
    <t xml:space="preserve">ITI Admission Form (ITI दाखिला फॉर्म) at Devmobile Stores and Common Service Center &amp; Aadhaar Centre. Check required documents, charges and process before you visit.</t>
  </si>
  <si>
    <t xml:space="preserve">ITI दाखिला फॉर्म, ऑनलाइन फॉर्म व डिजिटल सेवाएँ, सेवा</t>
  </si>
  <si>
    <t xml:space="preserve">ITI Admission Form, Online Form &amp; Digital Services, Devmobile Stores</t>
  </si>
  <si>
    <t xml:space="preserve">ONL-014</t>
  </si>
  <si>
    <t xml:space="preserve">Polytechnic Admission Form</t>
  </si>
  <si>
    <t xml:space="preserve">पॉलिटेक्निक दाखिला फॉर्म</t>
  </si>
  <si>
    <t xml:space="preserve">Online help with Polytechnic Admission Form.</t>
  </si>
  <si>
    <t xml:space="preserve">Polytechnic Admission Form through the official education portal.</t>
  </si>
  <si>
    <t xml:space="preserve">polytechnic-admission-form</t>
  </si>
  <si>
    <t xml:space="preserve">Polytechnic Admission Form Service | Devmobile Stores</t>
  </si>
  <si>
    <t xml:space="preserve">Polytechnic Admission Form (पॉलिटेक्निक दाखिला फॉर्म) at Devmobile Stores and Common Service Center &amp; Aadhaar Centre. Check required documents, charges and process before you visit.</t>
  </si>
  <si>
    <t xml:space="preserve">पॉलिटेक्निक दाखिला फॉर्म, ऑनलाइन फॉर्म व डिजिटल सेवाएँ, सेवा</t>
  </si>
  <si>
    <t xml:space="preserve">Polytechnic Admission Form, Online Form &amp; Digital Services, Devmobile Stores</t>
  </si>
  <si>
    <t xml:space="preserve">ONL-015</t>
  </si>
  <si>
    <t xml:space="preserve">Scholarship Application</t>
  </si>
  <si>
    <t xml:space="preserve">छात्रवृत्ति आवेदन</t>
  </si>
  <si>
    <t xml:space="preserve">Online help with Scholarship Application.</t>
  </si>
  <si>
    <t xml:space="preserve">Scholarship Application through the official education portal.</t>
  </si>
  <si>
    <t xml:space="preserve">scholarship-application</t>
  </si>
  <si>
    <t xml:space="preserve">Scholarship Application Service | Devmobile Stores</t>
  </si>
  <si>
    <t xml:space="preserve">Scholarship Application (छात्रवृत्ति आवेदन) at Devmobile Stores and Common Service Center &amp; Aadhaar Centre. Check required documents, charges and process before you visit.</t>
  </si>
  <si>
    <t xml:space="preserve">छात्रवृत्ति आवेदन, ऑनलाइन फॉर्म व डिजिटल सेवाएँ, सेवा</t>
  </si>
  <si>
    <t xml:space="preserve">Scholarship Application, Online Form &amp; Digital Services, Devmobile Stores</t>
  </si>
  <si>
    <t xml:space="preserve">ONL-016</t>
  </si>
  <si>
    <t xml:space="preserve">Student Credit Card / Education Loan Scheme Application</t>
  </si>
  <si>
    <t xml:space="preserve">स्टूडेंट क्रेडिट कार्ड / शिक्षा ऋण योजना आवेदन</t>
  </si>
  <si>
    <t xml:space="preserve">Online help with Student Credit Card / Education Loan Scheme Application.</t>
  </si>
  <si>
    <t xml:space="preserve">Student Credit Card / Education Loan Scheme Application through the official education portal.</t>
  </si>
  <si>
    <t xml:space="preserve">student-credit-card-education-loan-scheme-application</t>
  </si>
  <si>
    <t xml:space="preserve">State scheme; confirm portal</t>
  </si>
  <si>
    <t xml:space="preserve">Student Credit Card / Education Loan Scheme Application Service | Devmobile Stores</t>
  </si>
  <si>
    <t xml:space="preserve">Student Credit Card / Education Loan Scheme Application (स्टूडेंट क्रेडिट कार्ड / शिक्षा ऋण योजना आवेदन) at Devmobile Stores and Common Service Center &amp; Aadhaar Centre. Check required documents, charges and process before you visit.</t>
  </si>
  <si>
    <t xml:space="preserve">स्टूडेंट क्रेडिट कार्ड / शिक्षा ऋण योजना आवेदन, ऑनलाइन फॉर्म व डिजिटल सेवाएँ, सेवा</t>
  </si>
  <si>
    <t xml:space="preserve">Student Credit Card / Education Loan Scheme Application, Online Form &amp; Digital Services, Devmobile Stores</t>
  </si>
  <si>
    <t xml:space="preserve">ONL-017</t>
  </si>
  <si>
    <t xml:space="preserve">Exam Registration</t>
  </si>
  <si>
    <t xml:space="preserve">परीक्षा पंजीकरण</t>
  </si>
  <si>
    <t xml:space="preserve">Online help with Exam Registration.</t>
  </si>
  <si>
    <t xml:space="preserve">Exam Registration through the official education portal.</t>
  </si>
  <si>
    <t xml:space="preserve">exam-registration</t>
  </si>
  <si>
    <t xml:space="preserve">Exam Registration Service | Devmobile Stores</t>
  </si>
  <si>
    <t xml:space="preserve">Exam Registration (परीक्षा पंजीकरण) at Devmobile Stores and Common Service Center &amp; Aadhaar Centre. Check required documents, charges and process before you visit.</t>
  </si>
  <si>
    <t xml:space="preserve">परीक्षा पंजीकरण, ऑनलाइन फॉर्म व डिजिटल सेवाएँ, सेवा</t>
  </si>
  <si>
    <t xml:space="preserve">Exam Registration, Online Form &amp; Digital Services, Devmobile Stores</t>
  </si>
  <si>
    <t xml:space="preserve">ONL-018</t>
  </si>
  <si>
    <t xml:space="preserve">Admit Card Download</t>
  </si>
  <si>
    <t xml:space="preserve">एडमिट कार्ड डाउनलोड</t>
  </si>
  <si>
    <t xml:space="preserve">Online help with Admit Card Download.</t>
  </si>
  <si>
    <t xml:space="preserve">Admit Card Download through the official education portal.</t>
  </si>
  <si>
    <t xml:space="preserve">admit-card-download</t>
  </si>
  <si>
    <t xml:space="preserve">Admit Card Download Service | Devmobile Stores</t>
  </si>
  <si>
    <t xml:space="preserve">Admit Card Download (एडमिट कार्ड डाउनलोड) at Devmobile Stores and Common Service Center &amp; Aadhaar Centre. Check required documents, charges and process before you visit.</t>
  </si>
  <si>
    <t xml:space="preserve">एडमिट कार्ड डाउनलोड, ऑनलाइन फॉर्म व डिजिटल सेवाएँ, सेवा</t>
  </si>
  <si>
    <t xml:space="preserve">Admit Card Download, Online Form &amp; Digital Services, Devmobile Stores</t>
  </si>
  <si>
    <t xml:space="preserve">ONL-019</t>
  </si>
  <si>
    <t xml:space="preserve">Result Check / Download</t>
  </si>
  <si>
    <t xml:space="preserve">रिज़ल्ट जाँच / डाउनलोड</t>
  </si>
  <si>
    <t xml:space="preserve">Online help with Result Check / Download.</t>
  </si>
  <si>
    <t xml:space="preserve">Result Check / Download through the official education portal.</t>
  </si>
  <si>
    <t xml:space="preserve">result-check-download</t>
  </si>
  <si>
    <t xml:space="preserve">Result Check / Download Service | Devmobile Stores</t>
  </si>
  <si>
    <t xml:space="preserve">Result Check / Download (रिज़ल्ट जाँच / डाउनलोड) at Devmobile Stores and Common Service Center &amp; Aadhaar Centre. Check required documents, charges and process before you visit.</t>
  </si>
  <si>
    <t xml:space="preserve">रिज़ल्ट जाँच / डाउनलोड, ऑनलाइन फॉर्म व डिजिटल सेवाएँ, सेवा</t>
  </si>
  <si>
    <t xml:space="preserve">Result Check / Download, Online Form &amp; Digital Services, Devmobile Stores</t>
  </si>
  <si>
    <t xml:space="preserve">ONL-020</t>
  </si>
  <si>
    <t xml:space="preserve">Marksheet / Certificate Download</t>
  </si>
  <si>
    <t xml:space="preserve">मार्कशीट / प्रमाण पत्र डाउनलोड</t>
  </si>
  <si>
    <t xml:space="preserve">Online help with Marksheet / Certificate Download.</t>
  </si>
  <si>
    <t xml:space="preserve">Marksheet / Certificate Download through the official education portal.</t>
  </si>
  <si>
    <t xml:space="preserve">marksheet-certificate-download</t>
  </si>
  <si>
    <t xml:space="preserve">Marksheet / Certificate Download Service | Devmobile Stores</t>
  </si>
  <si>
    <t xml:space="preserve">Marksheet / Certificate Download (मार्कशीट / प्रमाण पत्र डाउनलोड) at Devmobile Stores and Common Service Center &amp; Aadhaar Centre. Check required documents, charges and process before you visit.</t>
  </si>
  <si>
    <t xml:space="preserve">मार्कशीट / प्रमाण पत्र डाउनलोड, ऑनलाइन फॉर्म व डिजिटल सेवाएँ, सेवा</t>
  </si>
  <si>
    <t xml:space="preserve">Marksheet / Certificate Download, Online Form &amp; Digital Services, Devmobile Stores</t>
  </si>
  <si>
    <t xml:space="preserve">ONL-021</t>
  </si>
  <si>
    <t xml:space="preserve">Email ID Creation</t>
  </si>
  <si>
    <t xml:space="preserve">ईमेल आईडी बनवाना</t>
  </si>
  <si>
    <t xml:space="preserve">Online help with Email ID Creation.</t>
  </si>
  <si>
    <t xml:space="preserve">Email ID Creation at our online services desk.</t>
  </si>
  <si>
    <t xml:space="preserve">Step 1 → Tell what online work is required.
Step 2 → Operator does 'Email ID Creation' on the required website.
Step 3 → You verify the details / OTP.
Step 4 → Result / receipt is given.</t>
  </si>
  <si>
    <t xml:space="preserve">email-id-creation</t>
  </si>
  <si>
    <t xml:space="preserve">Email ID Creation Service | Devmobile Stores</t>
  </si>
  <si>
    <t xml:space="preserve">Email ID Creation (ईमेल आईडी बनवाना) at Devmobile Stores and Common Service Center &amp; Aadhaar Centre. Check required documents, charges and process before you visit.</t>
  </si>
  <si>
    <t xml:space="preserve">ईमेल आईडी बनवाना, ऑनलाइन फॉर्म व डिजिटल सेवाएँ, सेवा</t>
  </si>
  <si>
    <t xml:space="preserve">Email ID Creation, Online Form &amp; Digital Services, Devmobile Stores</t>
  </si>
  <si>
    <t xml:space="preserve">ONL-022</t>
  </si>
  <si>
    <t xml:space="preserve">Online Registration – General</t>
  </si>
  <si>
    <t xml:space="preserve">ऑनलाइन पंजीकरण – सामान्य</t>
  </si>
  <si>
    <t xml:space="preserve">Online help with Online Registration – General.</t>
  </si>
  <si>
    <t xml:space="preserve">Online Registration – General at our online services desk.</t>
  </si>
  <si>
    <t xml:space="preserve">Step 1 → Tell what online work is required.
Step 2 → Operator does 'Online Registration – General' on the required website.
Step 3 → You verify the details / OTP.
Step 4 → Result / receipt is given.</t>
  </si>
  <si>
    <t xml:space="preserve">online-registration-general</t>
  </si>
  <si>
    <t xml:space="preserve">Online Registration – General Service | Devmobile Stores</t>
  </si>
  <si>
    <t xml:space="preserve">Online Registration – General (ऑनलाइन पंजीकरण – सामान्य) at Devmobile Stores and Common Service Center &amp; Aadhaar Centre. Check required documents, charges and process before you visit.</t>
  </si>
  <si>
    <t xml:space="preserve">ऑनलाइन पंजीकरण – सामान्य, ऑनलाइन फॉर्म व डिजिटल सेवाएँ, सेवा</t>
  </si>
  <si>
    <t xml:space="preserve">Online Registration – General, Online Form &amp; Digital Services, Devmobile Stores</t>
  </si>
  <si>
    <t xml:space="preserve">ONL-023</t>
  </si>
  <si>
    <t xml:space="preserve">Document Upload</t>
  </si>
  <si>
    <t xml:space="preserve">दस्तावेज़ अपलोड</t>
  </si>
  <si>
    <t xml:space="preserve">Online help with Document Upload.</t>
  </si>
  <si>
    <t xml:space="preserve">Document Upload at our online services desk.</t>
  </si>
  <si>
    <t xml:space="preserve">Step 1 → Tell what online work is required.
Step 2 → Operator does 'Document Upload' on the required website.
Step 3 → You verify the details / OTP.
Step 4 → Result / receipt is given.</t>
  </si>
  <si>
    <t xml:space="preserve">document-upload</t>
  </si>
  <si>
    <t xml:space="preserve">Document Upload Service | Devmobile Stores</t>
  </si>
  <si>
    <t xml:space="preserve">Document Upload (दस्तावेज़ अपलोड) at Devmobile Stores and Common Service Center &amp; Aadhaar Centre. Check required documents, charges and process before you visit.</t>
  </si>
  <si>
    <t xml:space="preserve">दस्तावेज़ अपलोड, ऑनलाइन फॉर्म व डिजिटल सेवाएँ, सेवा</t>
  </si>
  <si>
    <t xml:space="preserve">Document Upload, Online Form &amp; Digital Services, Devmobile Stores</t>
  </si>
  <si>
    <t xml:space="preserve">ONL-024</t>
  </si>
  <si>
    <t xml:space="preserve">Document Download</t>
  </si>
  <si>
    <t xml:space="preserve">दस्तावेज़ डाउनलोड</t>
  </si>
  <si>
    <t xml:space="preserve">Online help with Document Download.</t>
  </si>
  <si>
    <t xml:space="preserve">Document Download at our online services desk.</t>
  </si>
  <si>
    <t xml:space="preserve">Step 1 → Tell what online work is required.
Step 2 → Operator does 'Document Download' on the required website.
Step 3 → You verify the details / OTP.
Step 4 → Result / receipt is given.</t>
  </si>
  <si>
    <t xml:space="preserve">document-download</t>
  </si>
  <si>
    <t xml:space="preserve">Document Download Service | Devmobile Stores</t>
  </si>
  <si>
    <t xml:space="preserve">Document Download (दस्तावेज़ डाउनलोड) at Devmobile Stores and Common Service Center &amp; Aadhaar Centre. Check required documents, charges and process before you visit.</t>
  </si>
  <si>
    <t xml:space="preserve">दस्तावेज़ डाउनलोड, ऑनलाइन फॉर्म व डिजिटल सेवाएँ, सेवा</t>
  </si>
  <si>
    <t xml:space="preserve">Document Download, Online Form &amp; Digital Services, Devmobile Stores</t>
  </si>
  <si>
    <t xml:space="preserve">ONL-025</t>
  </si>
  <si>
    <t xml:space="preserve">Application Status Check – Other Portals</t>
  </si>
  <si>
    <t xml:space="preserve">आवेदन स्थिति जाँच – अन्य पोर्टल</t>
  </si>
  <si>
    <t xml:space="preserve">Online help with Application Status Check – Other Portals.</t>
  </si>
  <si>
    <t xml:space="preserve">Application Status Check – Other Portals at our online services desk.</t>
  </si>
  <si>
    <t xml:space="preserve">Step 1 → Tell what online work is required.
Step 2 → Operator does 'Application Status Check – Other Portals' on the required website.
Step 3 → You verify the details / OTP.
Step 4 → Result / receipt is given.</t>
  </si>
  <si>
    <t xml:space="preserve">application-status-check-other-portals</t>
  </si>
  <si>
    <t xml:space="preserve">Application Status Check – Other Portals Service | Devmobile Stores</t>
  </si>
  <si>
    <t xml:space="preserve">Application Status Check – Other Portals (आवेदन स्थिति जाँच – अन्य पोर्टल) at Devmobile Stores and Common Service Center &amp; Aadhaar Centre. Check required documents, charges and process before you visit.</t>
  </si>
  <si>
    <t xml:space="preserve">आवेदन स्थिति जाँच – अन्य पोर्टल, ऑनलाइन फॉर्म व डिजिटल सेवाएँ, सेवा</t>
  </si>
  <si>
    <t xml:space="preserve">Application Status Check – Other Portals, Online Form &amp; Digital Services, Devmobile Stores</t>
  </si>
  <si>
    <t xml:space="preserve">ONL-026</t>
  </si>
  <si>
    <t xml:space="preserve">DigiLocker Assistance</t>
  </si>
  <si>
    <t xml:space="preserve">डिजिलॉकर सहायता</t>
  </si>
  <si>
    <t xml:space="preserve">Online help with DigiLocker Assistance.</t>
  </si>
  <si>
    <t xml:space="preserve">DigiLocker Assistance at our online services desk.</t>
  </si>
  <si>
    <t xml:space="preserve">Step 1 → Tell what online work is required.
Step 2 → Operator does 'DigiLocker Assistance' on the required website.
Step 3 → You verify the details / OTP.
Step 4 → Result / receipt is given.</t>
  </si>
  <si>
    <t xml:space="preserve">digilocker-assistance</t>
  </si>
  <si>
    <t xml:space="preserve">Needs Aadhaar-linked mobile for OTP</t>
  </si>
  <si>
    <t xml:space="preserve">DigiLocker Assistance Service | Devmobile Stores</t>
  </si>
  <si>
    <t xml:space="preserve">DigiLocker Assistance (डिजिलॉकर सहायता) at Devmobile Stores and Common Service Center &amp; Aadhaar Centre. Check required documents, charges and process before you visit.</t>
  </si>
  <si>
    <t xml:space="preserve">डिजिलॉकर सहायता, ऑनलाइन फॉर्म व डिजिटल सेवाएँ, सेवा</t>
  </si>
  <si>
    <t xml:space="preserve">DigiLocker Assistance, Online Form &amp; Digital Services, Devmobile Stores</t>
  </si>
  <si>
    <t xml:space="preserve">ONL-027</t>
  </si>
  <si>
    <t xml:space="preserve">Digital Document Download (DigiLocker etc.)</t>
  </si>
  <si>
    <t xml:space="preserve">डिजिटल दस्तावेज़ डाउनलोड (डिजिलॉकर आदि)</t>
  </si>
  <si>
    <t xml:space="preserve">Online help with Digital Document Download (DigiLocker etc.).</t>
  </si>
  <si>
    <t xml:space="preserve">Digital Document Download (DigiLocker etc.) at our online services desk.</t>
  </si>
  <si>
    <t xml:space="preserve">Step 1 → Tell what online work is required.
Step 2 → Operator does 'Digital Document Download (DigiLocker etc.)' on the required website.
Step 3 → You verify the details / OTP.
Step 4 → Result / receipt is given.</t>
  </si>
  <si>
    <t xml:space="preserve">digital-document-download-digilocker-etc</t>
  </si>
  <si>
    <t xml:space="preserve">Digital Document Download (DigiLocker etc.) Service | Devmobile Stores</t>
  </si>
  <si>
    <t xml:space="preserve">Digital Document Download (DigiLocker etc.) (डिजिटल दस्तावेज़ डाउनलोड (डिजिलॉकर आदि)) at Devmobile Stores and Common Service Center &amp; Aadhaar Centre. Check required documents, charges and process before you visit.</t>
  </si>
  <si>
    <t xml:space="preserve">डिजिटल दस्तावेज़ डाउनलोड (डिजिलॉकर आदि), ऑनलाइन फॉर्म व डिजिटल सेवाएँ, सेवा</t>
  </si>
  <si>
    <t xml:space="preserve">Digital Document Download (DigiLocker etc.), Online Form &amp; Digital Services, Devmobile Stores</t>
  </si>
  <si>
    <t xml:space="preserve">ONL-028</t>
  </si>
  <si>
    <t xml:space="preserve">Online Payment Assistance (Fee / Challan)</t>
  </si>
  <si>
    <t xml:space="preserve">ऑनलाइन भुगतान सहायता (फीस / चालान)</t>
  </si>
  <si>
    <t xml:space="preserve">Online help with Online Payment Assistance (Fee / Challan).</t>
  </si>
  <si>
    <t xml:space="preserve">Online Payment Assistance (Fee / Challan) at our online services desk.</t>
  </si>
  <si>
    <t xml:space="preserve">Step 1 → Tell what online work is required.
Step 2 → Operator does 'Online Payment Assistance (Fee / Challan)' on the required website.
Step 3 → You verify the details / OTP.
Step 4 → Result / receipt is given.</t>
  </si>
  <si>
    <t xml:space="preserve">online-payment-assistance-fee-challan</t>
  </si>
  <si>
    <t xml:space="preserve">Online Payment Assistance (Fee / Challan) Service | Devmobile Stores</t>
  </si>
  <si>
    <t xml:space="preserve">Online Payment Assistance (Fee / Challan) (ऑनलाइन भुगतान सहायता (फीस / चालान)) at Devmobile Stores and Common Service Center &amp; Aadhaar Centre. Check required documents, charges and process before you visit.</t>
  </si>
  <si>
    <t xml:space="preserve">ऑनलाइन भुगतान सहायता (फीस / चालान), ऑनलाइन फॉर्म व डिजिटल सेवाएँ, सेवा</t>
  </si>
  <si>
    <t xml:space="preserve">Online Payment Assistance (Fee / Challan), Online Form &amp; Digital Services, Devmobile Stores</t>
  </si>
  <si>
    <t xml:space="preserve">ONL-029</t>
  </si>
  <si>
    <t xml:space="preserve">UPI / Payment App Setup Assistance</t>
  </si>
  <si>
    <t xml:space="preserve">UPI / पेमेंट ऐप सेटअप सहायता</t>
  </si>
  <si>
    <t xml:space="preserve">Online help with UPI / Payment App Setup Assistance.</t>
  </si>
  <si>
    <t xml:space="preserve">UPI / Payment App Setup Assistance at our online services desk.</t>
  </si>
  <si>
    <t xml:space="preserve">Step 1 → Tell what online work is required.
Step 2 → Operator does 'UPI / Payment App Setup Assistance' on the required website.
Step 3 → You verify the details / OTP.
Step 4 → Result / receipt is given.</t>
  </si>
  <si>
    <t xml:space="preserve">upi-payment-app-setup-assistance</t>
  </si>
  <si>
    <t xml:space="preserve">UPI / Payment App Setup Assistance Service | Devmobile Stores</t>
  </si>
  <si>
    <t xml:space="preserve">UPI / Payment App Setup Assistance (UPI / पेमेंट ऐप सेटअप सहायता) at Devmobile Stores and Common Service Center &amp; Aadhaar Centre. Check required documents, charges and process before you visit.</t>
  </si>
  <si>
    <t xml:space="preserve">UPI / पेमेंट ऐप सेटअप सहायता, ऑनलाइन फॉर्म व डिजिटल सेवाएँ, सेवा</t>
  </si>
  <si>
    <t xml:space="preserve">UPI / Payment App Setup Assistance, Online Form &amp; Digital Services, Devmobile Stores</t>
  </si>
  <si>
    <t xml:space="preserve">ONL-030</t>
  </si>
  <si>
    <t xml:space="preserve">ID &amp; Document Services</t>
  </si>
  <si>
    <t xml:space="preserve">PAN – New Application</t>
  </si>
  <si>
    <t xml:space="preserve">पैन – नया आवेदन</t>
  </si>
  <si>
    <t xml:space="preserve">Online help with PAN – New Application.</t>
  </si>
  <si>
    <t xml:space="preserve">PAN – New Application through the official portal.</t>
  </si>
  <si>
    <t xml:space="preserve">Step 1 → Bring Aadhaar and the documents listed.
Step 2 → Operator opens the portal option for 'PAN – New Application'.
Step 3 → Details are filled / verified and OTP is entered.
Step 4 → Application is submitted and the acknowledgement number is given.
Step 5 → Track status or download the result.</t>
  </si>
  <si>
    <t xml:space="preserve">Income Tax / NSDL / UTIITSL (PAN)</t>
  </si>
  <si>
    <t xml:space="preserve">pan-new-application</t>
  </si>
  <si>
    <t xml:space="preserve">🆔</t>
  </si>
  <si>
    <t xml:space="preserve">Government fee and processing are as per the portal.</t>
  </si>
  <si>
    <t xml:space="preserve">Authorization (PAN agency) may be required if applying as PSA</t>
  </si>
  <si>
    <t xml:space="preserve">PAN – New Application Service | Devmobile Stores</t>
  </si>
  <si>
    <t xml:space="preserve">PAN – New Application (पैन – नया आवेदन) at Devmobile Stores and Common Service Center &amp; Aadhaar Centre. Check required documents, charges and process before you visit.</t>
  </si>
  <si>
    <t xml:space="preserve">पैन – नया आवेदन, ऑनलाइन फॉर्म व डिजिटल सेवाएँ, सेवा</t>
  </si>
  <si>
    <t xml:space="preserve">PAN – New Application, Online Form &amp; Digital Services, Devmobile Stores</t>
  </si>
  <si>
    <t xml:space="preserve">ONL-031</t>
  </si>
  <si>
    <t xml:space="preserve">PAN – Correction / Update</t>
  </si>
  <si>
    <t xml:space="preserve">पैन – सुधार / अपडेट</t>
  </si>
  <si>
    <t xml:space="preserve">Online help with PAN – Correction / Update.</t>
  </si>
  <si>
    <t xml:space="preserve">PAN – Correction / Update through the official portal.</t>
  </si>
  <si>
    <t xml:space="preserve">Step 1 → Bring Aadhaar and the documents listed.
Step 2 → Operator opens the portal option for 'PAN – Correction / Update'.
Step 3 → Details are filled / verified and OTP is entered.
Step 4 → Application is submitted and the acknowledgement number is given.
Step 5 → Track status or download the result.</t>
  </si>
  <si>
    <t xml:space="preserve">pan-correction-update</t>
  </si>
  <si>
    <t xml:space="preserve">PAN – Correction / Update Service | Devmobile Stores</t>
  </si>
  <si>
    <t xml:space="preserve">PAN – Correction / Update (पैन – सुधार / अपडेट) at Devmobile Stores and Common Service Center &amp; Aadhaar Centre. Check required documents, charges and process before you visit.</t>
  </si>
  <si>
    <t xml:space="preserve">पैन – सुधार / अपडेट, ऑनलाइन फॉर्म व डिजिटल सेवाएँ, सेवा</t>
  </si>
  <si>
    <t xml:space="preserve">PAN – Correction / Update, Online Form &amp; Digital Services, Devmobile Stores</t>
  </si>
  <si>
    <t xml:space="preserve">ONL-032</t>
  </si>
  <si>
    <t xml:space="preserve">PAN – Reprint / e-PAN Download</t>
  </si>
  <si>
    <t xml:space="preserve">पैन – रीप्रिंट / e-PAN डाउनलोड</t>
  </si>
  <si>
    <t xml:space="preserve">Online help with PAN – Reprint / e-PAN Download.</t>
  </si>
  <si>
    <t xml:space="preserve">PAN – Reprint / e-PAN Download through the official portal.</t>
  </si>
  <si>
    <t xml:space="preserve">Step 1 → Bring Aadhaar and the documents listed.
Step 2 → Operator opens the portal option for 'PAN – Reprint / e-PAN Download'.
Step 3 → Details are filled / verified and OTP is entered.
Step 4 → Application is submitted and the acknowledgement number is given.
Step 5 → Track status or download the result.</t>
  </si>
  <si>
    <t xml:space="preserve">pan-reprint-e-pan-download</t>
  </si>
  <si>
    <t xml:space="preserve">PAN – Reprint / e-PAN Download Service | Devmobile Stores</t>
  </si>
  <si>
    <t xml:space="preserve">PAN – Reprint / e-PAN Download (पैन – रीप्रिंट / e-PAN डाउनलोड) at Devmobile Stores and Common Service Center &amp; Aadhaar Centre. Check required documents, charges and process before you visit.</t>
  </si>
  <si>
    <t xml:space="preserve">पैन – रीप्रिंट / e-PAN डाउनलोड, ऑनलाइन फॉर्म व डिजिटल सेवाएँ, सेवा</t>
  </si>
  <si>
    <t xml:space="preserve">PAN – Reprint / e-PAN Download, Online Form &amp; Digital Services, Devmobile Stores</t>
  </si>
  <si>
    <t xml:space="preserve">ONL-033</t>
  </si>
  <si>
    <t xml:space="preserve">PAN – Status Check</t>
  </si>
  <si>
    <t xml:space="preserve">पैन – स्थिति जाँच</t>
  </si>
  <si>
    <t xml:space="preserve">Online help with PAN – Status Check.</t>
  </si>
  <si>
    <t xml:space="preserve">PAN – Status Check through the official portal.</t>
  </si>
  <si>
    <t xml:space="preserve">Step 1 → Bring Aadhaar and the documents listed.
Step 2 → Operator opens the portal option for 'PAN – Status Check'.
Step 3 → Details are filled / verified and OTP is entered.
Step 4 → Application is submitted and the acknowledgement number is given.
Step 5 → Track status or download the result.</t>
  </si>
  <si>
    <t xml:space="preserve">pan-status-check</t>
  </si>
  <si>
    <t xml:space="preserve">PAN – Status Check Service | Devmobile Stores</t>
  </si>
  <si>
    <t xml:space="preserve">PAN – Status Check (पैन – स्थिति जाँच) at Devmobile Stores and Common Service Center &amp; Aadhaar Centre. Check required documents, charges and process before you visit.</t>
  </si>
  <si>
    <t xml:space="preserve">पैन – स्थिति जाँच, ऑनलाइन फॉर्म व डिजिटल सेवाएँ, सेवा</t>
  </si>
  <si>
    <t xml:space="preserve">PAN – Status Check, Online Form &amp; Digital Services, Devmobile Stores</t>
  </si>
  <si>
    <t xml:space="preserve">ONL-034</t>
  </si>
  <si>
    <t xml:space="preserve">PAN–Aadhaar Link Assistance</t>
  </si>
  <si>
    <t xml:space="preserve">पैन–आधार लिंक सहायता</t>
  </si>
  <si>
    <t xml:space="preserve">Online help with PAN–Aadhaar Link Assistance.</t>
  </si>
  <si>
    <t xml:space="preserve">PAN–Aadhaar Link Assistance through the official portal.</t>
  </si>
  <si>
    <t xml:space="preserve">Step 1 → Bring Aadhaar and the documents listed.
Step 2 → Operator opens the portal option for 'PAN–Aadhaar Link Assistance'.
Step 3 → Details are filled / verified and OTP is entered.
Step 4 → Application is submitted and the acknowledgement number is given.
Step 5 → Track status or download the result.</t>
  </si>
  <si>
    <t xml:space="preserve">pan-aadhaar-link-assistance</t>
  </si>
  <si>
    <t xml:space="preserve">PAN–Aadhaar Link Assistance Service | Devmobile Stores</t>
  </si>
  <si>
    <t xml:space="preserve">PAN–Aadhaar Link Assistance (पैन–आधार लिंक सहायता) at Devmobile Stores and Common Service Center &amp; Aadhaar Centre. Check required documents, charges and process before you visit.</t>
  </si>
  <si>
    <t xml:space="preserve">पैन–आधार लिंक सहायता, ऑनलाइन फॉर्म व डिजिटल सेवाएँ, सेवा</t>
  </si>
  <si>
    <t xml:space="preserve">PAN–Aadhaar Link Assistance, Online Form &amp; Digital Services, Devmobile Stores</t>
  </si>
  <si>
    <t xml:space="preserve">ONL-035</t>
  </si>
  <si>
    <t xml:space="preserve">Voter ID – New Registration (Form 6)</t>
  </si>
  <si>
    <t xml:space="preserve">वोटर आईडी – नया पंजीकरण (फॉर्म 6)</t>
  </si>
  <si>
    <t xml:space="preserve">Online help with Voter ID – New Registration (Form 6).</t>
  </si>
  <si>
    <t xml:space="preserve">Voter ID – New Registration (Form 6) through the official portal.</t>
  </si>
  <si>
    <t xml:space="preserve">Step 1 → Bring Aadhaar and the documents listed.
Step 2 → Operator opens the portal option for 'Voter ID – New Registration (Form 6)'.
Step 3 → Details are filled / verified and OTP is entered.
Step 4 → Application is submitted and the acknowledgement number is given.
Step 5 → Track status or download the result.</t>
  </si>
  <si>
    <t xml:space="preserve">National Voters' Service Portal / ECI</t>
  </si>
  <si>
    <t xml:space="preserve">voter-id-new-registration-form-6</t>
  </si>
  <si>
    <t xml:space="preserve">Voter ID – New Registration (Form 6) Service | Devmobile Stores</t>
  </si>
  <si>
    <t xml:space="preserve">Voter ID – New Registration (Form 6) (वोटर आईडी – नया पंजीकरण (फॉर्म 6)) at Devmobile Stores and Common Service Center &amp; Aadhaar Centre. Check required documents, charges and process before you visit.</t>
  </si>
  <si>
    <t xml:space="preserve">वोटर आईडी – नया पंजीकरण (फॉर्म 6), ऑनलाइन फॉर्म व डिजिटल सेवाएँ, सेवा</t>
  </si>
  <si>
    <t xml:space="preserve">Voter ID – New Registration (Form 6), Online Form &amp; Digital Services, Devmobile Stores</t>
  </si>
  <si>
    <t xml:space="preserve">ONL-036</t>
  </si>
  <si>
    <t xml:space="preserve">Voter ID – Correction (Form 8)</t>
  </si>
  <si>
    <t xml:space="preserve">वोटर आईडी – सुधार (फॉर्म 8)</t>
  </si>
  <si>
    <t xml:space="preserve">Online help with Voter ID – Correction (Form 8).</t>
  </si>
  <si>
    <t xml:space="preserve">Voter ID – Correction (Form 8) through the official portal.</t>
  </si>
  <si>
    <t xml:space="preserve">Step 1 → Bring Aadhaar and the documents listed.
Step 2 → Operator opens the portal option for 'Voter ID – Correction (Form 8)'.
Step 3 → Details are filled / verified and OTP is entered.
Step 4 → Application is submitted and the acknowledgement number is given.
Step 5 → Track status or download the result.</t>
  </si>
  <si>
    <t xml:space="preserve">voter-id-correction-form-8</t>
  </si>
  <si>
    <t xml:space="preserve">Voter ID – Correction (Form 8) Service | Devmobile Stores</t>
  </si>
  <si>
    <t xml:space="preserve">Voter ID – Correction (Form 8) (वोटर आईडी – सुधार (फॉर्म 8)) at Devmobile Stores and Common Service Center &amp; Aadhaar Centre. Check required documents, charges and process before you visit.</t>
  </si>
  <si>
    <t xml:space="preserve">वोटर आईडी – सुधार (फॉर्म 8), ऑनलाइन फॉर्म व डिजिटल सेवाएँ, सेवा</t>
  </si>
  <si>
    <t xml:space="preserve">Voter ID – Correction (Form 8), Online Form &amp; Digital Services, Devmobile Stores</t>
  </si>
  <si>
    <t xml:space="preserve">ONL-037</t>
  </si>
  <si>
    <t xml:space="preserve">Voter ID (e-EPIC) Download</t>
  </si>
  <si>
    <t xml:space="preserve">वोटर आईडी (e-EPIC) डाउनलोड</t>
  </si>
  <si>
    <t xml:space="preserve">Online help with Voter ID (e-EPIC) Download.</t>
  </si>
  <si>
    <t xml:space="preserve">Voter ID (e-EPIC) Download through the official portal.</t>
  </si>
  <si>
    <t xml:space="preserve">Step 1 → Bring Aadhaar and the documents listed.
Step 2 → Operator opens the portal option for 'Voter ID (e-EPIC) Download'.
Step 3 → Details are filled / verified and OTP is entered.
Step 4 → Application is submitted and the acknowledgement number is given.
Step 5 → Track status or download the result.</t>
  </si>
  <si>
    <t xml:space="preserve">voter-id-e-epic-download</t>
  </si>
  <si>
    <t xml:space="preserve">Voter ID (e-EPIC) Download Service | Devmobile Stores</t>
  </si>
  <si>
    <t xml:space="preserve">Voter ID (e-EPIC) Download (वोटर आईडी (e-EPIC) डाउनलोड) at Devmobile Stores and Common Service Center &amp; Aadhaar Centre. Check required documents, charges and process before you visit.</t>
  </si>
  <si>
    <t xml:space="preserve">वोटर आईडी (e-EPIC) डाउनलोड, ऑनलाइन फॉर्म व डिजिटल सेवाएँ, सेवा</t>
  </si>
  <si>
    <t xml:space="preserve">Voter ID (e-EPIC) Download, Online Form &amp; Digital Services, Devmobile Stores</t>
  </si>
  <si>
    <t xml:space="preserve">ONL-038</t>
  </si>
  <si>
    <t xml:space="preserve">Voter List Name Search</t>
  </si>
  <si>
    <t xml:space="preserve">वोटर लिस्ट में नाम खोजना</t>
  </si>
  <si>
    <t xml:space="preserve">Online help with Voter List Name Search.</t>
  </si>
  <si>
    <t xml:space="preserve">Voter List Name Search through the official portal.</t>
  </si>
  <si>
    <t xml:space="preserve">Step 1 → Bring Aadhaar and the documents listed.
Step 2 → Operator opens the portal option for 'Voter List Name Search'.
Step 3 → Details are filled / verified and OTP is entered.
Step 4 → Application is submitted and the acknowledgement number is given.
Step 5 → Track status or download the result.</t>
  </si>
  <si>
    <t xml:space="preserve">voter-list-name-search</t>
  </si>
  <si>
    <t xml:space="preserve">Voter List Name Search Service | Devmobile Stores</t>
  </si>
  <si>
    <t xml:space="preserve">Voter List Name Search (वोटर लिस्ट में नाम खोजना) at Devmobile Stores and Common Service Center &amp; Aadhaar Centre. Check required documents, charges and process before you visit.</t>
  </si>
  <si>
    <t xml:space="preserve">वोटर लिस्ट में नाम खोजना, ऑनलाइन फॉर्म व डिजिटल सेवाएँ, सेवा</t>
  </si>
  <si>
    <t xml:space="preserve">Voter List Name Search, Online Form &amp; Digital Services, Devmobile Stores</t>
  </si>
  <si>
    <t xml:space="preserve">ONL-039</t>
  </si>
  <si>
    <t xml:space="preserve">Voter ID–Aadhaar Link (Form 6B)</t>
  </si>
  <si>
    <t xml:space="preserve">वोटर आईडी–आधार लिंक (फॉर्म 6B)</t>
  </si>
  <si>
    <t xml:space="preserve">Online help with Voter ID–Aadhaar Link (Form 6B).</t>
  </si>
  <si>
    <t xml:space="preserve">Voter ID–Aadhaar Link (Form 6B) through the official portal.</t>
  </si>
  <si>
    <t xml:space="preserve">Step 1 → Bring Aadhaar and the documents listed.
Step 2 → Operator opens the portal option for 'Voter ID–Aadhaar Link (Form 6B)'.
Step 3 → Details are filled / verified and OTP is entered.
Step 4 → Application is submitted and the acknowledgement number is given.
Step 5 → Track status or download the result.</t>
  </si>
  <si>
    <t xml:space="preserve">voter-id-aadhaar-link-form-6b</t>
  </si>
  <si>
    <t xml:space="preserve">Voter ID–Aadhaar Link (Form 6B) Service | Devmobile Stores</t>
  </si>
  <si>
    <t xml:space="preserve">Voter ID–Aadhaar Link (Form 6B) (वोटर आईडी–आधार लिंक (फॉर्म 6B)) at Devmobile Stores and Common Service Center &amp; Aadhaar Centre. Check required documents, charges and process before you visit.</t>
  </si>
  <si>
    <t xml:space="preserve">वोटर आईडी–आधार लिंक (फॉर्म 6B), ऑनलाइन फॉर्म व डिजिटल सेवाएँ, सेवा</t>
  </si>
  <si>
    <t xml:space="preserve">Voter ID–Aadhaar Link (Form 6B), Online Form &amp; Digital Services, Devmobile Stores</t>
  </si>
  <si>
    <t xml:space="preserve">RCH-001</t>
  </si>
  <si>
    <t xml:space="preserve">Recharge / Bill Payment</t>
  </si>
  <si>
    <t xml:space="preserve">Recharge &amp; Bill Payment</t>
  </si>
  <si>
    <t xml:space="preserve">Recharge</t>
  </si>
  <si>
    <t xml:space="preserve">Mobile Recharge (Prepaid)</t>
  </si>
  <si>
    <t xml:space="preserve">मोबाइल रिचार्ज (प्रीपेड)</t>
  </si>
  <si>
    <t xml:space="preserve">Mobile Recharge (Prepaid) quickly at the shop.</t>
  </si>
  <si>
    <t xml:space="preserve">Mobile Recharge (Prepaid) through our recharge / BBPS desk.</t>
  </si>
  <si>
    <t xml:space="preserve">Step 1 → Give the number / consumer ID and the amount.
Step 2 → Operator checks the details on the payment platform for 'Mobile Recharge (Prepaid)'.
Step 3 → You confirm the biller name and amount.
Step 4 → Pay and collect the receipt / SMS.</t>
  </si>
  <si>
    <t xml:space="preserve">mobile-recharge-prepaid</t>
  </si>
  <si>
    <t xml:space="preserve">🔋</t>
  </si>
  <si>
    <t xml:space="preserve">Q1: Is any extra charge taken?
A1: A service charge may apply. Ask at the counter.</t>
  </si>
  <si>
    <t xml:space="preserve">Also covers the 'Mobile Recharge' listed under Mobile Store (duplicate removed)</t>
  </si>
  <si>
    <t xml:space="preserve">Mobile Recharge (Prepaid) Service | Devmobile Stores</t>
  </si>
  <si>
    <t xml:space="preserve">Mobile Recharge (Prepaid) (मोबाइल रिचार्ज (प्रीपेड)) at Devmobile Stores and Common Service Center &amp; Aadhaar Centre. Check required documents, charges and process before you visit.</t>
  </si>
  <si>
    <t xml:space="preserve">मोबाइल रिचार्ज (प्रीपेड), रिचार्ज / बिल भुगतान, सेवा</t>
  </si>
  <si>
    <t xml:space="preserve">Mobile Recharge (Prepaid), Recharge / Bill Payment, Devmobile Stores</t>
  </si>
  <si>
    <t xml:space="preserve">RCH-002</t>
  </si>
  <si>
    <t xml:space="preserve">DTH Recharge</t>
  </si>
  <si>
    <t xml:space="preserve">DTH रिचार्ज</t>
  </si>
  <si>
    <t xml:space="preserve">DTH Recharge quickly at the shop.</t>
  </si>
  <si>
    <t xml:space="preserve">DTH Recharge through our recharge / BBPS desk.</t>
  </si>
  <si>
    <t xml:space="preserve">Step 1 → Give the number / consumer ID and the amount.
Step 2 → Operator checks the details on the payment platform for 'DTH Recharge'.
Step 3 → You confirm the biller name and amount.
Step 4 → Pay and collect the receipt / SMS.</t>
  </si>
  <si>
    <t xml:space="preserve">dth-recharge</t>
  </si>
  <si>
    <t xml:space="preserve">Also covers the 'DTH Recharge' listed under Mobile Store (duplicate removed)</t>
  </si>
  <si>
    <t xml:space="preserve">DTH Recharge Service | Devmobile Stores</t>
  </si>
  <si>
    <t xml:space="preserve">DTH Recharge (DTH रिचार्ज) at Devmobile Stores and Common Service Center &amp; Aadhaar Centre. Check required documents, charges and process before you visit.</t>
  </si>
  <si>
    <t xml:space="preserve">DTH रिचार्ज, रिचार्ज / बिल भुगतान, सेवा</t>
  </si>
  <si>
    <t xml:space="preserve">DTH Recharge, Recharge / Bill Payment, Devmobile Stores</t>
  </si>
  <si>
    <t xml:space="preserve">RCH-003</t>
  </si>
  <si>
    <t xml:space="preserve">FASTag Recharge</t>
  </si>
  <si>
    <t xml:space="preserve">FASTag रिचार्ज</t>
  </si>
  <si>
    <t xml:space="preserve">FASTag Recharge quickly at the shop.</t>
  </si>
  <si>
    <t xml:space="preserve">FASTag Recharge through our recharge / BBPS desk.</t>
  </si>
  <si>
    <t xml:space="preserve">Step 1 → Give the number / consumer ID and the amount.
Step 2 → Operator checks the details on the payment platform for 'FASTag Recharge'.
Step 3 → You confirm the biller name and amount.
Step 4 → Pay and collect the receipt / SMS.</t>
  </si>
  <si>
    <t xml:space="preserve">fastag-recharge</t>
  </si>
  <si>
    <t xml:space="preserve">FASTag Recharge Service | Devmobile Stores</t>
  </si>
  <si>
    <t xml:space="preserve">FASTag Recharge (FASTag रिचार्ज) at Devmobile Stores and Common Service Center &amp; Aadhaar Centre. Check required documents, charges and process before you visit.</t>
  </si>
  <si>
    <t xml:space="preserve">FASTag रिचार्ज, रिचार्ज / बिल भुगतान, सेवा</t>
  </si>
  <si>
    <t xml:space="preserve">FASTag Recharge, Recharge / Bill Payment, Devmobile Stores</t>
  </si>
  <si>
    <t xml:space="preserve">RCH-004</t>
  </si>
  <si>
    <t xml:space="preserve">Bill Payment (BBPS)</t>
  </si>
  <si>
    <t xml:space="preserve">Mobile Postpaid Bill Payment</t>
  </si>
  <si>
    <t xml:space="preserve">पोस्टपेड मोबाइल बिल भुगतान</t>
  </si>
  <si>
    <t xml:space="preserve">Mobile Postpaid Bill Payment quickly at the shop.</t>
  </si>
  <si>
    <t xml:space="preserve">Mobile Postpaid Bill Payment through our recharge / BBPS desk.</t>
  </si>
  <si>
    <t xml:space="preserve">Step 1 → Give the number / consumer ID and the amount.
Step 2 → Operator checks the details on the payment platform for 'Mobile Postpaid Bill Payment'.
Step 3 → You confirm the biller name and amount.
Step 4 → Pay and collect the receipt / SMS.</t>
  </si>
  <si>
    <t xml:space="preserve">mobile-postpaid-bill-payment</t>
  </si>
  <si>
    <t xml:space="preserve">🧾</t>
  </si>
  <si>
    <t xml:space="preserve">Mobile Postpaid Bill Payment Service | Devmobile Stores</t>
  </si>
  <si>
    <t xml:space="preserve">Mobile Postpaid Bill Payment (पोस्टपेड मोबाइल बिल भुगतान) at Devmobile Stores and Common Service Center &amp; Aadhaar Centre. Check required documents, charges and process before you visit.</t>
  </si>
  <si>
    <t xml:space="preserve">पोस्टपेड मोबाइल बिल भुगतान, रिचार्ज / बिल भुगतान, सेवा</t>
  </si>
  <si>
    <t xml:space="preserve">Mobile Postpaid Bill Payment, Recharge / Bill Payment, Devmobile Stores</t>
  </si>
  <si>
    <t xml:space="preserve">RCH-005</t>
  </si>
  <si>
    <t xml:space="preserve">Electricity Bill Payment</t>
  </si>
  <si>
    <t xml:space="preserve">बिजली बिल भुगतान</t>
  </si>
  <si>
    <t xml:space="preserve">Electricity Bill Payment quickly at the shop.</t>
  </si>
  <si>
    <t xml:space="preserve">Electricity Bill Payment through our recharge / BBPS desk.</t>
  </si>
  <si>
    <t xml:space="preserve">Step 1 → Give the number / consumer ID and the amount.
Step 2 → Operator checks the details on the payment platform for 'Electricity Bill Payment'.
Step 3 → You confirm the biller name and amount.
Step 4 → Pay and collect the receipt / SMS.</t>
  </si>
  <si>
    <t xml:space="preserve">electricity-bill-payment</t>
  </si>
  <si>
    <t xml:space="preserve">Electricity Bill Payment Service | Devmobile Stores</t>
  </si>
  <si>
    <t xml:space="preserve">Electricity Bill Payment (बिजली बिल भुगतान) at Devmobile Stores and Common Service Center &amp; Aadhaar Centre. Check required documents, charges and process before you visit.</t>
  </si>
  <si>
    <t xml:space="preserve">बिजली बिल भुगतान, रिचार्ज / बिल भुगतान, सेवा</t>
  </si>
  <si>
    <t xml:space="preserve">Electricity Bill Payment, Recharge / Bill Payment, Devmobile Stores</t>
  </si>
  <si>
    <t xml:space="preserve">RCH-006</t>
  </si>
  <si>
    <t xml:space="preserve">Water Bill Payment</t>
  </si>
  <si>
    <t xml:space="preserve">पानी बिल भुगतान</t>
  </si>
  <si>
    <t xml:space="preserve">Water Bill Payment quickly at the shop.</t>
  </si>
  <si>
    <t xml:space="preserve">Water Bill Payment through our recharge / BBPS desk.</t>
  </si>
  <si>
    <t xml:space="preserve">Step 1 → Give the number / consumer ID and the amount.
Step 2 → Operator checks the details on the payment platform for 'Water Bill Payment'.
Step 3 → You confirm the biller name and amount.
Step 4 → Pay and collect the receipt / SMS.</t>
  </si>
  <si>
    <t xml:space="preserve">water-bill-payment</t>
  </si>
  <si>
    <t xml:space="preserve">Water Bill Payment Service | Devmobile Stores</t>
  </si>
  <si>
    <t xml:space="preserve">Water Bill Payment (पानी बिल भुगतान) at Devmobile Stores and Common Service Center &amp; Aadhaar Centre. Check required documents, charges and process before you visit.</t>
  </si>
  <si>
    <t xml:space="preserve">पानी बिल भुगतान, रिचार्ज / बिल भुगतान, सेवा</t>
  </si>
  <si>
    <t xml:space="preserve">Water Bill Payment, Recharge / Bill Payment, Devmobile Stores</t>
  </si>
  <si>
    <t xml:space="preserve">RCH-007</t>
  </si>
  <si>
    <t xml:space="preserve">Gas (Piped / PNG) Bill Payment</t>
  </si>
  <si>
    <t xml:space="preserve">गैस (PNG) बिल भुगतान</t>
  </si>
  <si>
    <t xml:space="preserve">Gas (Piped / PNG) Bill Payment quickly at the shop.</t>
  </si>
  <si>
    <t xml:space="preserve">Gas (Piped / PNG) Bill Payment through our recharge / BBPS desk.</t>
  </si>
  <si>
    <t xml:space="preserve">Step 1 → Give the number / consumer ID and the amount.
Step 2 → Operator checks the details on the payment platform for 'Gas (Piped / PNG) Bill Payment'.
Step 3 → You confirm the biller name and amount.
Step 4 → Pay and collect the receipt / SMS.</t>
  </si>
  <si>
    <t xml:space="preserve">gas-piped-png-bill-payment</t>
  </si>
  <si>
    <t xml:space="preserve">Gas (Piped / PNG) Bill Payment Service | Devmobile Stores</t>
  </si>
  <si>
    <t xml:space="preserve">Gas (Piped / PNG) Bill Payment (गैस (PNG) बिल भुगतान) at Devmobile Stores and Common Service Center &amp; Aadhaar Centre. Check required documents, charges and process before you visit.</t>
  </si>
  <si>
    <t xml:space="preserve">गैस (PNG) बिल भुगतान, रिचार्ज / बिल भुगतान, सेवा</t>
  </si>
  <si>
    <t xml:space="preserve">Gas (Piped / PNG) Bill Payment, Recharge / Bill Payment, Devmobile Stores</t>
  </si>
  <si>
    <t xml:space="preserve">RCH-008</t>
  </si>
  <si>
    <t xml:space="preserve">LPG Cylinder Booking / Payment</t>
  </si>
  <si>
    <t xml:space="preserve">LPG सिलेंडर बुकिंग / भुगतान</t>
  </si>
  <si>
    <t xml:space="preserve">LPG Cylinder Booking / Payment quickly at the shop.</t>
  </si>
  <si>
    <t xml:space="preserve">LPG Cylinder Booking / Payment through our recharge / BBPS desk.</t>
  </si>
  <si>
    <t xml:space="preserve">Step 1 → Give the number / consumer ID and the amount.
Step 2 → Operator checks the details on the payment platform for 'LPG Cylinder Booking / Payment'.
Step 3 → You confirm the biller name and amount.
Step 4 → Pay and collect the receipt / SMS.</t>
  </si>
  <si>
    <t xml:space="preserve">lpg-cylinder-booking-payment</t>
  </si>
  <si>
    <t xml:space="preserve">LPG Cylinder Booking / Payment Service | Devmobile Stores</t>
  </si>
  <si>
    <t xml:space="preserve">LPG Cylinder Booking / Payment (LPG सिलेंडर बुकिंग / भुगतान) at Devmobile Stores and Common Service Center &amp; Aadhaar Centre. Check required documents, charges and process before you visit.</t>
  </si>
  <si>
    <t xml:space="preserve">LPG सिलेंडर बुकिंग / भुगतान, रिचार्ज / बिल भुगतान, सेवा</t>
  </si>
  <si>
    <t xml:space="preserve">LPG Cylinder Booking / Payment, Recharge / Bill Payment, Devmobile Stores</t>
  </si>
  <si>
    <t xml:space="preserve">RCH-009</t>
  </si>
  <si>
    <t xml:space="preserve">Broadband / Internet Bill Payment</t>
  </si>
  <si>
    <t xml:space="preserve">ब्रॉडबैंड / इंटरनेट बिल भुगतान</t>
  </si>
  <si>
    <t xml:space="preserve">Broadband / Internet Bill Payment quickly at the shop.</t>
  </si>
  <si>
    <t xml:space="preserve">Broadband / Internet Bill Payment through our recharge / BBPS desk.</t>
  </si>
  <si>
    <t xml:space="preserve">Step 1 → Give the number / consumer ID and the amount.
Step 2 → Operator checks the details on the payment platform for 'Broadband / Internet Bill Payment'.
Step 3 → You confirm the biller name and amount.
Step 4 → Pay and collect the receipt / SMS.</t>
  </si>
  <si>
    <t xml:space="preserve">broadband-internet-bill-payment</t>
  </si>
  <si>
    <t xml:space="preserve">Broadband / Internet Bill Payment Service | Devmobile Stores</t>
  </si>
  <si>
    <t xml:space="preserve">Broadband / Internet Bill Payment (ब्रॉडबैंड / इंटरनेट बिल भुगतान) at Devmobile Stores and Common Service Center &amp; Aadhaar Centre. Check required documents, charges and process before you visit.</t>
  </si>
  <si>
    <t xml:space="preserve">ब्रॉडबैंड / इंटरनेट बिल भुगतान, रिचार्ज / बिल भुगतान, सेवा</t>
  </si>
  <si>
    <t xml:space="preserve">Broadband / Internet Bill Payment, Recharge / Bill Payment, Devmobile Stores</t>
  </si>
  <si>
    <t xml:space="preserve">RCH-010</t>
  </si>
  <si>
    <t xml:space="preserve">Landline Bill Payment</t>
  </si>
  <si>
    <t xml:space="preserve">लैंडलाइन बिल भुगतान</t>
  </si>
  <si>
    <t xml:space="preserve">Landline Bill Payment quickly at the shop.</t>
  </si>
  <si>
    <t xml:space="preserve">Landline Bill Payment through our recharge / BBPS desk.</t>
  </si>
  <si>
    <t xml:space="preserve">Step 1 → Give the number / consumer ID and the amount.
Step 2 → Operator checks the details on the payment platform for 'Landline Bill Payment'.
Step 3 → You confirm the biller name and amount.
Step 4 → Pay and collect the receipt / SMS.</t>
  </si>
  <si>
    <t xml:space="preserve">landline-bill-payment</t>
  </si>
  <si>
    <t xml:space="preserve">Landline Bill Payment Service | Devmobile Stores</t>
  </si>
  <si>
    <t xml:space="preserve">Landline Bill Payment (लैंडलाइन बिल भुगतान) at Devmobile Stores and Common Service Center &amp; Aadhaar Centre. Check required documents, charges and process before you visit.</t>
  </si>
  <si>
    <t xml:space="preserve">लैंडलाइन बिल भुगतान, रिचार्ज / बिल भुगतान, सेवा</t>
  </si>
  <si>
    <t xml:space="preserve">Landline Bill Payment, Recharge / Bill Payment, Devmobile Stores</t>
  </si>
  <si>
    <t xml:space="preserve">RCH-011</t>
  </si>
  <si>
    <t xml:space="preserve">Cable TV Bill Payment</t>
  </si>
  <si>
    <t xml:space="preserve">केबल टीवी बिल भुगतान</t>
  </si>
  <si>
    <t xml:space="preserve">Cable TV Bill Payment quickly at the shop.</t>
  </si>
  <si>
    <t xml:space="preserve">Cable TV Bill Payment through our recharge / BBPS desk.</t>
  </si>
  <si>
    <t xml:space="preserve">Step 1 → Give the number / consumer ID and the amount.
Step 2 → Operator checks the details on the payment platform for 'Cable TV Bill Payment'.
Step 3 → You confirm the biller name and amount.
Step 4 → Pay and collect the receipt / SMS.</t>
  </si>
  <si>
    <t xml:space="preserve">cable-tv-bill-payment</t>
  </si>
  <si>
    <t xml:space="preserve">Cable TV Bill Payment Service | Devmobile Stores</t>
  </si>
  <si>
    <t xml:space="preserve">Cable TV Bill Payment (केबल टीवी बिल भुगतान) at Devmobile Stores and Common Service Center &amp; Aadhaar Centre. Check required documents, charges and process before you visit.</t>
  </si>
  <si>
    <t xml:space="preserve">केबल टीवी बिल भुगतान, रिचार्ज / बिल भुगतान, सेवा</t>
  </si>
  <si>
    <t xml:space="preserve">Cable TV Bill Payment, Recharge / Bill Payment, Devmobile Stores</t>
  </si>
  <si>
    <t xml:space="preserve">RCH-012</t>
  </si>
  <si>
    <t xml:space="preserve">Insurance Premium Payment (LIC / Others)</t>
  </si>
  <si>
    <t xml:space="preserve">बीमा (LIC आदि) प्रीमियम भुगतान</t>
  </si>
  <si>
    <t xml:space="preserve">Insurance Premium Payment (LIC / Others) quickly at the shop.</t>
  </si>
  <si>
    <t xml:space="preserve">Insurance Premium Payment (LIC / Others) through our recharge / BBPS desk.</t>
  </si>
  <si>
    <t xml:space="preserve">Step 1 → Give the number / consumer ID and the amount.
Step 2 → Operator checks the details on the payment platform for 'Insurance Premium Payment (LIC / Others)'.
Step 3 → You confirm the biller name and amount.
Step 4 → Pay and collect the receipt / SMS.</t>
  </si>
  <si>
    <t xml:space="preserve">insurance-premium-payment-lic-others</t>
  </si>
  <si>
    <t xml:space="preserve">Insurance Premium Payment (LIC / Others) Service | Devmobile Stores</t>
  </si>
  <si>
    <t xml:space="preserve">Insurance Premium Payment (LIC / Others) (बीमा (LIC आदि) प्रीमियम भुगतान) at Devmobile Stores and Common Service Center &amp; Aadhaar Centre. Check required documents, charges and process before you visit.</t>
  </si>
  <si>
    <t xml:space="preserve">बीमा (LIC आदि) प्रीमियम भुगतान, रिचार्ज / बिल भुगतान, सेवा</t>
  </si>
  <si>
    <t xml:space="preserve">Insurance Premium Payment (LIC / Others), Recharge / Bill Payment, Devmobile Stores</t>
  </si>
  <si>
    <t xml:space="preserve">RCH-013</t>
  </si>
  <si>
    <t xml:space="preserve">Loan EMI Payment</t>
  </si>
  <si>
    <t xml:space="preserve">लोन EMI भुगतान</t>
  </si>
  <si>
    <t xml:space="preserve">Loan EMI Payment quickly at the shop.</t>
  </si>
  <si>
    <t xml:space="preserve">Loan EMI Payment through our recharge / BBPS desk.</t>
  </si>
  <si>
    <t xml:space="preserve">Step 1 → Give the number / consumer ID and the amount.
Step 2 → Operator checks the details on the payment platform for 'Loan EMI Payment'.
Step 3 → You confirm the biller name and amount.
Step 4 → Pay and collect the receipt / SMS.</t>
  </si>
  <si>
    <t xml:space="preserve">loan-emi-payment</t>
  </si>
  <si>
    <t xml:space="preserve">Loan EMI Payment Service | Devmobile Stores</t>
  </si>
  <si>
    <t xml:space="preserve">Loan EMI Payment (लोन EMI भुगतान) at Devmobile Stores and Common Service Center &amp; Aadhaar Centre. Check required documents, charges and process before you visit.</t>
  </si>
  <si>
    <t xml:space="preserve">लोन EMI भुगतान, रिचार्ज / बिल भुगतान, सेवा</t>
  </si>
  <si>
    <t xml:space="preserve">Loan EMI Payment, Recharge / Bill Payment, Devmobile Stores</t>
  </si>
  <si>
    <t xml:space="preserve">RCH-014</t>
  </si>
  <si>
    <t xml:space="preserve">Credit Card Bill Payment</t>
  </si>
  <si>
    <t xml:space="preserve">क्रेडिट कार्ड बिल भुगतान</t>
  </si>
  <si>
    <t xml:space="preserve">Credit Card Bill Payment quickly at the shop.</t>
  </si>
  <si>
    <t xml:space="preserve">Credit Card Bill Payment through our recharge / BBPS desk.</t>
  </si>
  <si>
    <t xml:space="preserve">Step 1 → Give the number / consumer ID and the amount.
Step 2 → Operator checks the details on the payment platform for 'Credit Card Bill Payment'.
Step 3 → You confirm the biller name and amount.
Step 4 → Pay and collect the receipt / SMS.</t>
  </si>
  <si>
    <t xml:space="preserve">credit-card-bill-payment</t>
  </si>
  <si>
    <t xml:space="preserve">Credit Card Bill Payment Service | Devmobile Stores</t>
  </si>
  <si>
    <t xml:space="preserve">Credit Card Bill Payment (क्रेडिट कार्ड बिल भुगतान) at Devmobile Stores and Common Service Center &amp; Aadhaar Centre. Check required documents, charges and process before you visit.</t>
  </si>
  <si>
    <t xml:space="preserve">क्रेडिट कार्ड बिल भुगतान, रिचार्ज / बिल भुगतान, सेवा</t>
  </si>
  <si>
    <t xml:space="preserve">Credit Card Bill Payment, Recharge / Bill Payment, Devmobile Stores</t>
  </si>
  <si>
    <t xml:space="preserve">RCH-015</t>
  </si>
  <si>
    <t xml:space="preserve">Education Fee Payment</t>
  </si>
  <si>
    <t xml:space="preserve">शिक्षा शुल्क भुगतान</t>
  </si>
  <si>
    <t xml:space="preserve">Education Fee Payment quickly at the shop.</t>
  </si>
  <si>
    <t xml:space="preserve">Education Fee Payment through our recharge / BBPS desk.</t>
  </si>
  <si>
    <t xml:space="preserve">Step 1 → Give the number / consumer ID and the amount.
Step 2 → Operator checks the details on the payment platform for 'Education Fee Payment'.
Step 3 → You confirm the biller name and amount.
Step 4 → Pay and collect the receipt / SMS.</t>
  </si>
  <si>
    <t xml:space="preserve">education-fee-payment</t>
  </si>
  <si>
    <t xml:space="preserve">Education Fee Payment Service | Devmobile Stores</t>
  </si>
  <si>
    <t xml:space="preserve">Education Fee Payment (शिक्षा शुल्क भुगतान) at Devmobile Stores and Common Service Center &amp; Aadhaar Centre. Check required documents, charges and process before you visit.</t>
  </si>
  <si>
    <t xml:space="preserve">शिक्षा शुल्क भुगतान, रिचार्ज / बिल भुगतान, सेवा</t>
  </si>
  <si>
    <t xml:space="preserve">Education Fee Payment, Recharge / Bill Payment, Devmobile Stores</t>
  </si>
  <si>
    <t xml:space="preserve">RCH-016</t>
  </si>
  <si>
    <t xml:space="preserve">BBPS – Other Billers</t>
  </si>
  <si>
    <t xml:space="preserve">BBPS – अन्य बिलर</t>
  </si>
  <si>
    <t xml:space="preserve">BBPS – Other Billers quickly at the shop.</t>
  </si>
  <si>
    <t xml:space="preserve">BBPS – Other Billers through our recharge / BBPS desk.</t>
  </si>
  <si>
    <t xml:space="preserve">Step 1 → Give the number / consumer ID and the amount.
Step 2 → Operator checks the details on the payment platform for 'BBPS – Other Billers'.
Step 3 → You confirm the biller name and amount.
Step 4 → Pay and collect the receipt / SMS.</t>
  </si>
  <si>
    <t xml:space="preserve">bbps-other-billers</t>
  </si>
  <si>
    <t xml:space="preserve">BBPS – Other Billers Service | Devmobile Stores</t>
  </si>
  <si>
    <t xml:space="preserve">BBPS – Other Billers (BBPS – अन्य बिलर) at Devmobile Stores and Common Service Center &amp; Aadhaar Centre. Check required documents, charges and process before you visit.</t>
  </si>
  <si>
    <t xml:space="preserve">BBPS – अन्य बिलर, रिचार्ज / बिल भुगतान, सेवा</t>
  </si>
  <si>
    <t xml:space="preserve">BBPS – Other Billers, Recharge / Bill Payment, Devmobile Stores</t>
  </si>
  <si>
    <t xml:space="preserve">TKT-001</t>
  </si>
  <si>
    <t xml:space="preserve">Travel / Ticketing</t>
  </si>
  <si>
    <t xml:space="preserve">Travel Services</t>
  </si>
  <si>
    <t xml:space="preserve">Railway</t>
  </si>
  <si>
    <t xml:space="preserve">Railway Ticket Booking (General)</t>
  </si>
  <si>
    <t xml:space="preserve">रेलवे टिकट बुकिंग (सामान्य)</t>
  </si>
  <si>
    <t xml:space="preserve">Railway Ticket Booking (General) assistance (subject to confirmation).</t>
  </si>
  <si>
    <t xml:space="preserve">Railway Ticket Booking (General) assistance.</t>
  </si>
  <si>
    <t xml:space="preserve">Step 1 → Share travel details.
Step 2 → Operator checks 'Railway Ticket Booking (General)' on the booking platform.
Step 3 → You confirm details and pay.
Step 4 → Ticket / status is given.</t>
  </si>
  <si>
    <t xml:space="preserve">IRCTC / booking platform (verify)</t>
  </si>
  <si>
    <t xml:space="preserve">railway-ticket-booking-general</t>
  </si>
  <si>
    <t xml:space="preserve">🚆</t>
  </si>
  <si>
    <t xml:space="preserve">Offered only if authorized. Confirm with the shop.</t>
  </si>
  <si>
    <t xml:space="preserve">Needs IRCTC agent authorization; verify</t>
  </si>
  <si>
    <t xml:space="preserve">Railway Ticket Booking (General) Service | Devmobile Stores</t>
  </si>
  <si>
    <t xml:space="preserve">Railway Ticket Booking (General) (रेलवे टिकट बुकिंग (सामान्य)) at Devmobile Stores and Common Service Center &amp; Aadhaar Centre. Check required documents, charges and process before you visit.</t>
  </si>
  <si>
    <t xml:space="preserve">रेलवे टिकट बुकिंग (सामान्य), टिकट / बुकिंग, सेवा</t>
  </si>
  <si>
    <t xml:space="preserve">Railway Ticket Booking (General), Travel / Ticketing, Devmobile Stores</t>
  </si>
  <si>
    <t xml:space="preserve">TKT-002</t>
  </si>
  <si>
    <t xml:space="preserve">Railway Ticket Booking (Tatkal)</t>
  </si>
  <si>
    <t xml:space="preserve">रेलवे टिकट बुकिंग (तत्काल)</t>
  </si>
  <si>
    <t xml:space="preserve">Railway Ticket Booking (Tatkal) assistance (subject to confirmation).</t>
  </si>
  <si>
    <t xml:space="preserve">Railway Ticket Booking (Tatkal) assistance.</t>
  </si>
  <si>
    <t xml:space="preserve">Step 1 → Share travel details.
Step 2 → Operator checks 'Railway Ticket Booking (Tatkal)' on the booking platform.
Step 3 → You confirm details and pay.
Step 4 → Ticket / status is given.</t>
  </si>
  <si>
    <t xml:space="preserve">railway-ticket-booking-tatkal</t>
  </si>
  <si>
    <t xml:space="preserve">Railway Ticket Booking (Tatkal) Service | Devmobile Stores</t>
  </si>
  <si>
    <t xml:space="preserve">Railway Ticket Booking (Tatkal) (रेलवे टिकट बुकिंग (तत्काल)) at Devmobile Stores and Common Service Center &amp; Aadhaar Centre. Check required documents, charges and process before you visit.</t>
  </si>
  <si>
    <t xml:space="preserve">रेलवे टिकट बुकिंग (तत्काल), टिकट / बुकिंग, सेवा</t>
  </si>
  <si>
    <t xml:space="preserve">Railway Ticket Booking (Tatkal), Travel / Ticketing, Devmobile Stores</t>
  </si>
  <si>
    <t xml:space="preserve">TKT-003</t>
  </si>
  <si>
    <t xml:space="preserve">PNR Status Check</t>
  </si>
  <si>
    <t xml:space="preserve">PNR स्टेटस जाँच</t>
  </si>
  <si>
    <t xml:space="preserve">PNR Status Check assistance (subject to confirmation).</t>
  </si>
  <si>
    <t xml:space="preserve">PNR Status Check assistance.</t>
  </si>
  <si>
    <t xml:space="preserve">Step 1 → Share travel details.
Step 2 → Operator checks 'PNR Status Check' on the booking platform.
Step 3 → You confirm details and pay.
Step 4 → Ticket / status is given.</t>
  </si>
  <si>
    <t xml:space="preserve">pnr-status-check</t>
  </si>
  <si>
    <t xml:space="preserve">PNR Status Check Service | Devmobile Stores</t>
  </si>
  <si>
    <t xml:space="preserve">PNR Status Check (PNR स्टेटस जाँच) at Devmobile Stores and Common Service Center &amp; Aadhaar Centre. Check required documents, charges and process before you visit.</t>
  </si>
  <si>
    <t xml:space="preserve">PNR स्टेटस जाँच, टिकट / बुकिंग, सेवा</t>
  </si>
  <si>
    <t xml:space="preserve">PNR Status Check, Travel / Ticketing, Devmobile Stores</t>
  </si>
  <si>
    <t xml:space="preserve">TKT-004</t>
  </si>
  <si>
    <t xml:space="preserve">Train Running Status</t>
  </si>
  <si>
    <t xml:space="preserve">ट्रेन रनिंग स्टेटस</t>
  </si>
  <si>
    <t xml:space="preserve">Train Running Status assistance (subject to confirmation).</t>
  </si>
  <si>
    <t xml:space="preserve">Train Running Status assistance.</t>
  </si>
  <si>
    <t xml:space="preserve">Step 1 → Share travel details.
Step 2 → Operator checks 'Train Running Status' on the booking platform.
Step 3 → You confirm details and pay.
Step 4 → Ticket / status is given.</t>
  </si>
  <si>
    <t xml:space="preserve">train-running-status</t>
  </si>
  <si>
    <t xml:space="preserve">Train Running Status Service | Devmobile Stores</t>
  </si>
  <si>
    <t xml:space="preserve">Train Running Status (ट्रेन रनिंग स्टेटस) at Devmobile Stores and Common Service Center &amp; Aadhaar Centre. Check required documents, charges and process before you visit.</t>
  </si>
  <si>
    <t xml:space="preserve">ट्रेन रनिंग स्टेटस, टिकट / बुकिंग, सेवा</t>
  </si>
  <si>
    <t xml:space="preserve">Train Running Status, Travel / Ticketing, Devmobile Stores</t>
  </si>
  <si>
    <t xml:space="preserve">TKT-005</t>
  </si>
  <si>
    <t xml:space="preserve">Railway Ticket Cancellation</t>
  </si>
  <si>
    <t xml:space="preserve">रेलवे टिकट रद्द करना</t>
  </si>
  <si>
    <t xml:space="preserve">Railway Ticket Cancellation assistance (subject to confirmation).</t>
  </si>
  <si>
    <t xml:space="preserve">Railway Ticket Cancellation assistance.</t>
  </si>
  <si>
    <t xml:space="preserve">Step 1 → Share travel details.
Step 2 → Operator checks 'Railway Ticket Cancellation' on the booking platform.
Step 3 → You confirm details and pay.
Step 4 → Ticket / status is given.</t>
  </si>
  <si>
    <t xml:space="preserve">railway-ticket-cancellation</t>
  </si>
  <si>
    <t xml:space="preserve">Railway Ticket Cancellation Service | Devmobile Stores</t>
  </si>
  <si>
    <t xml:space="preserve">Railway Ticket Cancellation (रेलवे टिकट रद्द करना) at Devmobile Stores and Common Service Center &amp; Aadhaar Centre. Check required documents, charges and process before you visit.</t>
  </si>
  <si>
    <t xml:space="preserve">रेलवे टिकट रद्द करना, टिकट / बुकिंग, सेवा</t>
  </si>
  <si>
    <t xml:space="preserve">Railway Ticket Cancellation, Travel / Ticketing, Devmobile Stores</t>
  </si>
  <si>
    <t xml:space="preserve">TKT-006</t>
  </si>
  <si>
    <t xml:space="preserve">Railway Refund Status Check</t>
  </si>
  <si>
    <t xml:space="preserve">रेलवे रिफंड स्टेटस जाँच</t>
  </si>
  <si>
    <t xml:space="preserve">Railway Refund Status Check assistance (subject to confirmation).</t>
  </si>
  <si>
    <t xml:space="preserve">Railway Refund Status Check assistance.</t>
  </si>
  <si>
    <t xml:space="preserve">Step 1 → Share travel details.
Step 2 → Operator checks 'Railway Refund Status Check' on the booking platform.
Step 3 → You confirm details and pay.
Step 4 → Ticket / status is given.</t>
  </si>
  <si>
    <t xml:space="preserve">railway-refund-status-check</t>
  </si>
  <si>
    <t xml:space="preserve">Railway Refund Status Check Service | Devmobile Stores</t>
  </si>
  <si>
    <t xml:space="preserve">Railway Refund Status Check (रेलवे रिफंड स्टेटस जाँच) at Devmobile Stores and Common Service Center &amp; Aadhaar Centre. Check required documents, charges and process before you visit.</t>
  </si>
  <si>
    <t xml:space="preserve">रेलवे रिफंड स्टेटस जाँच, टिकट / बुकिंग, सेवा</t>
  </si>
  <si>
    <t xml:space="preserve">Railway Refund Status Check, Travel / Ticketing, Devmobile Stores</t>
  </si>
  <si>
    <t xml:space="preserve">TKT-007</t>
  </si>
  <si>
    <t xml:space="preserve">Bus &amp; Other Travel</t>
  </si>
  <si>
    <t xml:space="preserve">Bus Ticket Booking</t>
  </si>
  <si>
    <t xml:space="preserve">बस टिकट बुकिंग</t>
  </si>
  <si>
    <t xml:space="preserve">Bus Ticket Booking assistance (subject to confirmation).</t>
  </si>
  <si>
    <t xml:space="preserve">Bus Ticket Booking assistance.</t>
  </si>
  <si>
    <t xml:space="preserve">Step 1 → Share travel details.
Step 2 → Operator checks 'Bus Ticket Booking' on the booking platform.
Step 3 → You confirm details and pay.
Step 4 → Ticket / status is given.</t>
  </si>
  <si>
    <t xml:space="preserve">bus-ticket-booking</t>
  </si>
  <si>
    <t xml:space="preserve">Confirm which bus booking platform is authorized</t>
  </si>
  <si>
    <t xml:space="preserve">Bus Ticket Booking Service | Devmobile Stores</t>
  </si>
  <si>
    <t xml:space="preserve">Bus Ticket Booking (बस टिकट बुकिंग) at Devmobile Stores and Common Service Center &amp; Aadhaar Centre. Check required documents, charges and process before you visit.</t>
  </si>
  <si>
    <t xml:space="preserve">बस टिकट बुकिंग, टिकट / बुकिंग, सेवा</t>
  </si>
  <si>
    <t xml:space="preserve">Bus Ticket Booking, Travel / Ticketing, Devmobile Stores</t>
  </si>
  <si>
    <t xml:space="preserve">TKT-008</t>
  </si>
  <si>
    <t xml:space="preserve">Bus Ticket Cancellation</t>
  </si>
  <si>
    <t xml:space="preserve">बस टिकट रद्द करना</t>
  </si>
  <si>
    <t xml:space="preserve">Bus Ticket Cancellation assistance (subject to confirmation).</t>
  </si>
  <si>
    <t xml:space="preserve">Bus Ticket Cancellation assistance.</t>
  </si>
  <si>
    <t xml:space="preserve">Step 1 → Share travel details.
Step 2 → Operator checks 'Bus Ticket Cancellation' on the booking platform.
Step 3 → You confirm details and pay.
Step 4 → Ticket / status is given.</t>
  </si>
  <si>
    <t xml:space="preserve">bus-ticket-cancellation</t>
  </si>
  <si>
    <t xml:space="preserve">Bus Ticket Cancellation Service | Devmobile Stores</t>
  </si>
  <si>
    <t xml:space="preserve">Bus Ticket Cancellation (बस टिकट रद्द करना) at Devmobile Stores and Common Service Center &amp; Aadhaar Centre. Check required documents, charges and process before you visit.</t>
  </si>
  <si>
    <t xml:space="preserve">बस टिकट रद्द करना, टिकट / बुकिंग, सेवा</t>
  </si>
  <si>
    <t xml:space="preserve">Bus Ticket Cancellation, Travel / Ticketing, Devmobile Stores</t>
  </si>
  <si>
    <t xml:space="preserve">TKT-009</t>
  </si>
  <si>
    <t xml:space="preserve">Flight Ticket Booking</t>
  </si>
  <si>
    <t xml:space="preserve">हवाई टिकट बुकिंग</t>
  </si>
  <si>
    <t xml:space="preserve">Flight Ticket Booking assistance (subject to confirmation).</t>
  </si>
  <si>
    <t xml:space="preserve">Flight Ticket Booking assistance.</t>
  </si>
  <si>
    <t xml:space="preserve">Step 1 → Share travel details.
Step 2 → Operator checks 'Flight Ticket Booking' on the booking platform.
Step 3 → You confirm details and pay.
Step 4 → Ticket / status is given.</t>
  </si>
  <si>
    <t xml:space="preserve">flight-ticket-booking</t>
  </si>
  <si>
    <t xml:space="preserve">Flight Ticket Booking Service | Devmobile Stores</t>
  </si>
  <si>
    <t xml:space="preserve">Flight Ticket Booking (हवाई टिकट बुकिंग) at Devmobile Stores and Common Service Center &amp; Aadhaar Centre. Check required documents, charges and process before you visit.</t>
  </si>
  <si>
    <t xml:space="preserve">हवाई टिकट बुकिंग, टिकट / बुकिंग, सेवा</t>
  </si>
  <si>
    <t xml:space="preserve">Flight Ticket Booking, Travel / Ticketing, Devmobile Stores</t>
  </si>
  <si>
    <t xml:space="preserve">Devmobile Stores and Common Service Center &amp; Aadhaar Centre — SERVICE CATALOG (website index, live from MASTER_DATABASE)</t>
  </si>
  <si>
    <t xml:space="preserve">All columns are formulas that mirror MASTER_DATABASE. Edit in MASTER_DATABASE only. Import this sheet (or MASTER_DATABASE) into the website.</t>
  </si>
  <si>
    <t xml:space="preserve">Service Icon</t>
  </si>
  <si>
    <t xml:space="preserve">Devmobile Stores and Common Service Center &amp; Aadhaar Centre — SERVICE DETAILS (data for each service page)</t>
  </si>
  <si>
    <t xml:space="preserve">All columns are formulas mirroring MASTER_DATABASE. Edit descriptions, FAQ, process etc. in MASTER_DATABASE.</t>
  </si>
  <si>
    <t xml:space="preserve">Service Name</t>
  </si>
  <si>
    <t xml:space="preserve">Overview</t>
  </si>
  <si>
    <t xml:space="preserve">Eligibility</t>
  </si>
  <si>
    <t xml:space="preserve">Process</t>
  </si>
  <si>
    <t xml:space="preserve">Fees</t>
  </si>
  <si>
    <t xml:space="preserve">Processing Time</t>
  </si>
  <si>
    <t xml:space="preserve">Availability</t>
  </si>
  <si>
    <t xml:space="preserve">Important Notes</t>
  </si>
  <si>
    <t xml:space="preserve">Terms</t>
  </si>
  <si>
    <t xml:space="preserve">Devmobile Stores and Common Service Center &amp; Aadhaar Centre — SERVICE CARDS (data for website service cards)</t>
  </si>
  <si>
    <t xml:space="preserve">Formulas from MASTER_DATABASE. 'Website Visible' = Yes only when Website Visible = Yes AND Service Status = Active. Prices show only where Price Display = Yes.</t>
  </si>
  <si>
    <t xml:space="preserve">Hindi Name</t>
  </si>
  <si>
    <t xml:space="preserve">Category</t>
  </si>
  <si>
    <t xml:space="preserve">Service Charge</t>
  </si>
  <si>
    <t xml:space="preserve">Total</t>
  </si>
  <si>
    <t xml:space="preserve">Featured</t>
  </si>
  <si>
    <t xml:space="preserve">Popular</t>
  </si>
  <si>
    <t xml:space="preserve">CTA Button</t>
  </si>
  <si>
    <t xml:space="preserve">Devmobile Stores and Common Service Center &amp; Aadhaar Centre — RATE LIST</t>
  </si>
  <si>
    <t xml:space="preserve">Fees are typed in MASTER_DATABASE (Government Fee, Shop Service Charge); this sheet shows them with Total. Fill Last Updated / Effective From / Remarks here. New service: type its Service ID in the spare rows.</t>
  </si>
  <si>
    <t xml:space="preserve">Shop Charge</t>
  </si>
  <si>
    <t xml:space="preserve">Last Updated</t>
  </si>
  <si>
    <t xml:space="preserve">Effective From</t>
  </si>
  <si>
    <t xml:space="preserve">Website Display</t>
  </si>
  <si>
    <t xml:space="preserve">Remarks</t>
  </si>
  <si>
    <t xml:space="preserve">Devmobile Stores and Common Service Center &amp; Aadhaar Centre — DOCUMENT MASTER</t>
  </si>
  <si>
    <t xml:space="preserve">List of documents used for dropdowns in SERVICE_DOCUMENTS. Add a new document as a new row (Document Name English must be unique). 'Used For Services' = number of services using it (formula).</t>
  </si>
  <si>
    <t xml:space="preserve">Document ID</t>
  </si>
  <si>
    <t xml:space="preserve">Document Name English</t>
  </si>
  <si>
    <t xml:space="preserve">Document Name Hindi</t>
  </si>
  <si>
    <t xml:space="preserve">Document Type</t>
  </si>
  <si>
    <t xml:space="preserve">Mandatory/Optional</t>
  </si>
  <si>
    <t xml:space="preserve">Used For Services</t>
  </si>
  <si>
    <t xml:space="preserve">Customer Instruction</t>
  </si>
  <si>
    <t xml:space="preserve">DOC-001</t>
  </si>
  <si>
    <t xml:space="preserve">Aadhaar Card</t>
  </si>
  <si>
    <t xml:space="preserve">आधार कार्ड</t>
  </si>
  <si>
    <t xml:space="preserve">Identity</t>
  </si>
  <si>
    <t xml:space="preserve">Mandatory</t>
  </si>
  <si>
    <t xml:space="preserve">Bring the original Aadhaar card or e-Aadhaar printout.</t>
  </si>
  <si>
    <t xml:space="preserve">DOC-002</t>
  </si>
  <si>
    <t xml:space="preserve">Aadhaar-Linked Mobile Number</t>
  </si>
  <si>
    <t xml:space="preserve">आधार से जुड़ा मोबाइल नंबर</t>
  </si>
  <si>
    <t xml:space="preserve">Keep the phone with you – an OTP may be needed.</t>
  </si>
  <si>
    <t xml:space="preserve">DOC-003</t>
  </si>
  <si>
    <t xml:space="preserve">Photo</t>
  </si>
  <si>
    <t xml:space="preserve">Recent photograph; size as required by the form.</t>
  </si>
  <si>
    <t xml:space="preserve">DOC-004</t>
  </si>
  <si>
    <t xml:space="preserve">Bank Passbook</t>
  </si>
  <si>
    <t xml:space="preserve">बैंक पासबुक</t>
  </si>
  <si>
    <t xml:space="preserve">Financial</t>
  </si>
  <si>
    <t xml:space="preserve">Passbook page showing name, account number and IFSC.</t>
  </si>
  <si>
    <t xml:space="preserve">DOC-005</t>
  </si>
  <si>
    <t xml:space="preserve">PAN Card</t>
  </si>
  <si>
    <t xml:space="preserve">पैन कार्ड</t>
  </si>
  <si>
    <t xml:space="preserve">If Applicable</t>
  </si>
  <si>
    <t xml:space="preserve">Bring PAN card if you have one.</t>
  </si>
  <si>
    <t xml:space="preserve">DOC-006</t>
  </si>
  <si>
    <t xml:space="preserve">Address Proof</t>
  </si>
  <si>
    <t xml:space="preserve">पते का प्रमाण</t>
  </si>
  <si>
    <t xml:space="preserve">Address</t>
  </si>
  <si>
    <t xml:space="preserve">Original valid address proof document.</t>
  </si>
  <si>
    <t xml:space="preserve">DOC-007</t>
  </si>
  <si>
    <t xml:space="preserve">Identity Proof</t>
  </si>
  <si>
    <t xml:space="preserve">पहचान प्रमाण</t>
  </si>
  <si>
    <t xml:space="preserve">Original valid photo identity document.</t>
  </si>
  <si>
    <t xml:space="preserve">DOC-008</t>
  </si>
  <si>
    <t xml:space="preserve">Date of Birth Proof</t>
  </si>
  <si>
    <t xml:space="preserve">जन्म तिथि प्रमाण</t>
  </si>
  <si>
    <t xml:space="preserve">Certificate</t>
  </si>
  <si>
    <t xml:space="preserve">Original document showing date of birth.</t>
  </si>
  <si>
    <t xml:space="preserve">DOC-009</t>
  </si>
  <si>
    <t xml:space="preserve">Parent / Guardian Aadhaar</t>
  </si>
  <si>
    <t xml:space="preserve">माता-पिता / अभिभावक का आधार</t>
  </si>
  <si>
    <t xml:space="preserve">Parent or guardian should come with the child.</t>
  </si>
  <si>
    <t xml:space="preserve">DOC-010</t>
  </si>
  <si>
    <t xml:space="preserve">Birth Certificate</t>
  </si>
  <si>
    <t xml:space="preserve">जन्म प्रमाण पत्र</t>
  </si>
  <si>
    <t xml:space="preserve">Original birth certificate.</t>
  </si>
  <si>
    <t xml:space="preserve">DOC-011</t>
  </si>
  <si>
    <t xml:space="preserve">Active Mobile Number</t>
  </si>
  <si>
    <t xml:space="preserve">चालू मोबाइल नंबर</t>
  </si>
  <si>
    <t xml:space="preserve">Other</t>
  </si>
  <si>
    <t xml:space="preserve">Number on which you can receive OTP / messages.</t>
  </si>
  <si>
    <t xml:space="preserve">DOC-012</t>
  </si>
  <si>
    <t xml:space="preserve">Email ID</t>
  </si>
  <si>
    <t xml:space="preserve">ईमेल आईडी</t>
  </si>
  <si>
    <t xml:space="preserve">Digital</t>
  </si>
  <si>
    <t xml:space="preserve">Your working email address.</t>
  </si>
  <si>
    <t xml:space="preserve">DOC-013</t>
  </si>
  <si>
    <t xml:space="preserve">Customer Presence for Biometrics</t>
  </si>
  <si>
    <t xml:space="preserve">बायोमेट्रिक हेतु ग्राहक की उपस्थिति</t>
  </si>
  <si>
    <t xml:space="preserve">The person concerned must come in person (fingerprint / iris / photo).</t>
  </si>
  <si>
    <t xml:space="preserve">DOC-014</t>
  </si>
  <si>
    <t xml:space="preserve">Debit Card</t>
  </si>
  <si>
    <t xml:space="preserve">डेबिट कार्ड</t>
  </si>
  <si>
    <t xml:space="preserve">Bring your bank debit card.</t>
  </si>
  <si>
    <t xml:space="preserve">DOC-015</t>
  </si>
  <si>
    <t xml:space="preserve">Existing Certificate / Document</t>
  </si>
  <si>
    <t xml:space="preserve">पुराना प्रमाण पत्र / दस्तावेज़</t>
  </si>
  <si>
    <t xml:space="preserve">Bring the old or related certificate, if any.</t>
  </si>
  <si>
    <t xml:space="preserve">DOC-016</t>
  </si>
  <si>
    <t xml:space="preserve">राशन कार्ड</t>
  </si>
  <si>
    <t xml:space="preserve">Bring ration card, if available.</t>
  </si>
  <si>
    <t xml:space="preserve">DOC-017</t>
  </si>
  <si>
    <t xml:space="preserve">Income Proof / Self-Declaration</t>
  </si>
  <si>
    <t xml:space="preserve">आय प्रमाण / स्व-घोषणा</t>
  </si>
  <si>
    <t xml:space="preserve">Exact document as per current department rule.</t>
  </si>
  <si>
    <t xml:space="preserve">DOC-018</t>
  </si>
  <si>
    <t xml:space="preserve">Caste Certificate / Proof</t>
  </si>
  <si>
    <t xml:space="preserve">जाति प्रमाण</t>
  </si>
  <si>
    <t xml:space="preserve">Exact proof as per current department rule.</t>
  </si>
  <si>
    <t xml:space="preserve">DOC-019</t>
  </si>
  <si>
    <t xml:space="preserve">Land Records</t>
  </si>
  <si>
    <t xml:space="preserve">भूमि के कागज़ात</t>
  </si>
  <si>
    <t xml:space="preserve">Land / khata / rent receipt details as required.</t>
  </si>
  <si>
    <t xml:space="preserve">DOC-020</t>
  </si>
  <si>
    <t xml:space="preserve">Educational Certificates</t>
  </si>
  <si>
    <t xml:space="preserve">शैक्षणिक प्रमाण पत्र</t>
  </si>
  <si>
    <t xml:space="preserve">Marksheets and certificates required by the form.</t>
  </si>
  <si>
    <t xml:space="preserve">DOC-021</t>
  </si>
  <si>
    <t xml:space="preserve">Signature</t>
  </si>
  <si>
    <t xml:space="preserve">हस्ताक्षर</t>
  </si>
  <si>
    <t xml:space="preserve">Sign on white paper if a scanned signature is needed.</t>
  </si>
  <si>
    <t xml:space="preserve">DOC-022</t>
  </si>
  <si>
    <t xml:space="preserve">Voter ID Card</t>
  </si>
  <si>
    <t xml:space="preserve">वोटर आईडी कार्ड</t>
  </si>
  <si>
    <t xml:space="preserve">Bring EPIC card / number if you have it.</t>
  </si>
  <si>
    <t xml:space="preserve">DOC-023</t>
  </si>
  <si>
    <t xml:space="preserve">Consumer / Account Number</t>
  </si>
  <si>
    <t xml:space="preserve">उपभोक्ता / खाता संख्या</t>
  </si>
  <si>
    <t xml:space="preserve">Consumer number, subscriber ID or mobile number to pay for.</t>
  </si>
  <si>
    <t xml:space="preserve">DOC-024</t>
  </si>
  <si>
    <t xml:space="preserve">Enrolment / Acknowledgement Number</t>
  </si>
  <si>
    <t xml:space="preserve">नामांकन / पावती संख्या</t>
  </si>
  <si>
    <t xml:space="preserve">EID / URN / acknowledgement slip number.</t>
  </si>
  <si>
    <t xml:space="preserve">DOC-025</t>
  </si>
  <si>
    <t xml:space="preserve">Files to Print / Scan</t>
  </si>
  <si>
    <t xml:space="preserve">प्रिंट / स्कैन की फाइल या मूल दस्तावेज़</t>
  </si>
  <si>
    <t xml:space="preserve">Bring the file (pendrive / phone) or the original paper.</t>
  </si>
  <si>
    <t xml:space="preserve">DOC-026</t>
  </si>
  <si>
    <t xml:space="preserve">Original Documents</t>
  </si>
  <si>
    <t xml:space="preserve">मूल दस्तावेज़</t>
  </si>
  <si>
    <t xml:space="preserve">Bring original documents for verification.</t>
  </si>
  <si>
    <t xml:space="preserve">DOC-027</t>
  </si>
  <si>
    <t xml:space="preserve">Details / Matter for Typing</t>
  </si>
  <si>
    <t xml:space="preserve">टाइपिंग की सामग्री / विवरण</t>
  </si>
  <si>
    <t xml:space="preserve">Handwritten or digital matter to be typed.</t>
  </si>
  <si>
    <t xml:space="preserve">DOC-028</t>
  </si>
  <si>
    <t xml:space="preserve">Exam / Form Notification Details</t>
  </si>
  <si>
    <t xml:space="preserve">परीक्षा / फॉर्म अधिसूचना का विवरण</t>
  </si>
  <si>
    <t xml:space="preserve">Notification / advertisement or form details.</t>
  </si>
  <si>
    <t xml:space="preserve">DOC-029</t>
  </si>
  <si>
    <t xml:space="preserve">Photo &amp; Signature (Soft Copy)</t>
  </si>
  <si>
    <t xml:space="preserve">फोटो और हस्ताक्षर (सॉफ्ट कॉपी)</t>
  </si>
  <si>
    <t xml:space="preserve">Scanned photo and signature in the size required.</t>
  </si>
  <si>
    <t xml:space="preserve">DOC-030</t>
  </si>
  <si>
    <t xml:space="preserve">Vehicle / FASTag Details</t>
  </si>
  <si>
    <t xml:space="preserve">वाहन / FASTag विवरण</t>
  </si>
  <si>
    <t xml:space="preserve">Vehicle number or FASTag ID.</t>
  </si>
  <si>
    <t xml:space="preserve">DOC-031</t>
  </si>
  <si>
    <t xml:space="preserve">Passenger Details &amp; ID</t>
  </si>
  <si>
    <t xml:space="preserve">यात्री का विवरण व पहचान पत्र</t>
  </si>
  <si>
    <t xml:space="preserve">Names, ages and ID of all passengers.</t>
  </si>
  <si>
    <t xml:space="preserve">DOC-032</t>
  </si>
  <si>
    <t xml:space="preserve">Beneficiary Account Details</t>
  </si>
  <si>
    <t xml:space="preserve">पाने वाले के खाते का विवरण</t>
  </si>
  <si>
    <t xml:space="preserve">Account number and IFSC of the person receiving money.</t>
  </si>
  <si>
    <t xml:space="preserve">DOC-033</t>
  </si>
  <si>
    <t xml:space="preserve">Registered Mobile Number for OTP</t>
  </si>
  <si>
    <t xml:space="preserve">OTP हेतु पंजीकृत मोबाइल नंबर</t>
  </si>
  <si>
    <t xml:space="preserve">Mobile registered with the portal / bank.</t>
  </si>
  <si>
    <t xml:space="preserve">DOC-034</t>
  </si>
  <si>
    <t xml:space="preserve">Cash Amount</t>
  </si>
  <si>
    <t xml:space="preserve">नकद राशि</t>
  </si>
  <si>
    <t xml:space="preserve">Amount to deposit / pay.</t>
  </si>
  <si>
    <t xml:space="preserve">DOC-035</t>
  </si>
  <si>
    <t xml:space="preserve">Old Photo / Photo Files</t>
  </si>
  <si>
    <t xml:space="preserve">पुरानी फोटो / फोटो फाइल</t>
  </si>
  <si>
    <t xml:space="preserve">Original photo or image file.</t>
  </si>
  <si>
    <t xml:space="preserve">DOC-036</t>
  </si>
  <si>
    <t xml:space="preserve">Design Content / Text</t>
  </si>
  <si>
    <t xml:space="preserve">डिज़ाइन की सामग्री / विवरण</t>
  </si>
  <si>
    <t xml:space="preserve">Text, logo and details to include in the design.</t>
  </si>
  <si>
    <t xml:space="preserve">DOC-037</t>
  </si>
  <si>
    <t xml:space="preserve">Marksheet / Admit Card</t>
  </si>
  <si>
    <t xml:space="preserve">मार्कशीट / एडमिट कार्ड</t>
  </si>
  <si>
    <t xml:space="preserve">Roll number / registration details.</t>
  </si>
  <si>
    <t xml:space="preserve">DOC-038</t>
  </si>
  <si>
    <t xml:space="preserve">Category Certificate</t>
  </si>
  <si>
    <t xml:space="preserve">श्रेणी प्रमाण पत्र</t>
  </si>
  <si>
    <t xml:space="preserve">Caste / category certificate, if claiming reservation.</t>
  </si>
  <si>
    <t xml:space="preserve">DOC-039</t>
  </si>
  <si>
    <t xml:space="preserve">Mobile Phone</t>
  </si>
  <si>
    <t xml:space="preserve">मोबाइल फोन</t>
  </si>
  <si>
    <t xml:space="preserve">Bring your phone.</t>
  </si>
  <si>
    <t xml:space="preserve">DOC-040</t>
  </si>
  <si>
    <t xml:space="preserve">Reference / Application Number</t>
  </si>
  <si>
    <t xml:space="preserve">संदर्भ / आवेदन संख्या</t>
  </si>
  <si>
    <t xml:space="preserve">Application or reference number from earlier submission.</t>
  </si>
  <si>
    <t xml:space="preserve">DOC-041</t>
  </si>
  <si>
    <t xml:space="preserve">Business Details</t>
  </si>
  <si>
    <t xml:space="preserve">व्यवसाय का विवरण</t>
  </si>
  <si>
    <t xml:space="preserve">Business name, address and activity details.</t>
  </si>
  <si>
    <t xml:space="preserve">DOC-042</t>
  </si>
  <si>
    <t xml:space="preserve">Nominee Details</t>
  </si>
  <si>
    <t xml:space="preserve">नॉमिनी का विवरण</t>
  </si>
  <si>
    <t xml:space="preserve">Name, age and relationship of nominee.</t>
  </si>
  <si>
    <t xml:space="preserve">DOC-043</t>
  </si>
  <si>
    <t xml:space="preserve">Login ID &amp; Password (Portal)</t>
  </si>
  <si>
    <t xml:space="preserve">पोर्टल लॉगिन आईडी और पासवर्ड</t>
  </si>
  <si>
    <t xml:space="preserve">Your own portal login, if already registered.</t>
  </si>
  <si>
    <t xml:space="preserve">DOC-044</t>
  </si>
  <si>
    <t xml:space="preserve">Bank Account Number</t>
  </si>
  <si>
    <t xml:space="preserve">बैंक खाता संख्या</t>
  </si>
  <si>
    <t xml:space="preserve">Account number of the account concerned.</t>
  </si>
  <si>
    <t xml:space="preserve">DOC-045</t>
  </si>
  <si>
    <t xml:space="preserve">Proof of Name</t>
  </si>
  <si>
    <t xml:space="preserve">नाम का प्रमाण</t>
  </si>
  <si>
    <t xml:space="preserve">Document showing the correct spelling of the name.</t>
  </si>
  <si>
    <t xml:space="preserve">Devmobile Stores and Common Service Center &amp; Aadhaar Centre — AVAILABILITY MASTER</t>
  </si>
  <si>
    <t xml:space="preserve">These options feed the Service Availability dropdown in MASTER_DATABASE. 'Website Label' is what the website can show to customers.</t>
  </si>
  <si>
    <t xml:space="preserve">Availability Option</t>
  </si>
  <si>
    <t xml:space="preserve">Meaning</t>
  </si>
  <si>
    <t xml:space="preserve">Website Label</t>
  </si>
  <si>
    <t xml:space="preserve">Show Service Card On Website?</t>
  </si>
  <si>
    <t xml:space="preserve">Service is confirmed and can be offered to customers now.</t>
  </si>
  <si>
    <t xml:space="preserve">Temporarily Unavailable</t>
  </si>
  <si>
    <t xml:space="preserve">Normally offered, but not possible right now (server down, device issue, etc.).</t>
  </si>
  <si>
    <t xml:space="preserve">Not Available</t>
  </si>
  <si>
    <t xml:space="preserve">Not offered at this shop.</t>
  </si>
  <si>
    <t xml:space="preserve">Needs an authorization / agreement that must be confirmed for this shop before offering.</t>
  </si>
  <si>
    <t xml:space="preserve">Please Confirm at Shop</t>
  </si>
  <si>
    <t xml:space="preserve">Depends on a government / bank portal being accessible for this shop's login.</t>
  </si>
  <si>
    <t xml:space="preserve">Depends on Portal – Confirm at Shop</t>
  </si>
  <si>
    <t xml:space="preserve">Customer must take an appointment first.</t>
  </si>
  <si>
    <t xml:space="preserve">Not yet confirmed by the shop owner.</t>
  </si>
  <si>
    <t xml:space="preserve">To Be Confirmed</t>
  </si>
  <si>
    <t xml:space="preserve">Devmobile Stores and Common Service Center &amp; Aadhaar Centre — CHARGE MASTER</t>
  </si>
  <si>
    <t xml:space="preserve">These options feed the Charge Status dropdown in MASTER_DATABASE.</t>
  </si>
  <si>
    <t xml:space="preserve">Charge Status Option</t>
  </si>
  <si>
    <t xml:space="preserve">Website Display Rule</t>
  </si>
  <si>
    <t xml:space="preserve">Fixed</t>
  </si>
  <si>
    <t xml:space="preserve">One fixed fee / charge for every customer.</t>
  </si>
  <si>
    <t xml:space="preserve">Show Government Fee, Service Charge and Total.</t>
  </si>
  <si>
    <t xml:space="preserve">Amount changes with quantity, model or item.</t>
  </si>
  <si>
    <t xml:space="preserve">Show 'Starting from' or ask customer to contact the shop.</t>
  </si>
  <si>
    <t xml:space="preserve">Government Fee Only</t>
  </si>
  <si>
    <t xml:space="preserve">Only the government fee is collected, no shop charge.</t>
  </si>
  <si>
    <t xml:space="preserve">Show Government Fee; Service Charge = ₹0 / Not Applicable.</t>
  </si>
  <si>
    <t xml:space="preserve">No government fee; only the shop's own charge.</t>
  </si>
  <si>
    <t xml:space="preserve">Show Service Charge as Total.</t>
  </si>
  <si>
    <t xml:space="preserve">Free</t>
  </si>
  <si>
    <t xml:space="preserve">No charge to the customer.</t>
  </si>
  <si>
    <t xml:space="preserve">Show 'Free'.</t>
  </si>
  <si>
    <t xml:space="preserve">Charge depends on the exact service asked for.</t>
  </si>
  <si>
    <t xml:space="preserve">Show 'Contact shop for charges'.</t>
  </si>
  <si>
    <t xml:space="preserve">Charge not yet confirmed.</t>
  </si>
  <si>
    <t xml:space="preserve">Do not show a price on the website.</t>
  </si>
  <si>
    <t xml:space="preserve">Devmobile Stores and Common Service Center &amp; Aadhaar Centre — WEBSITE HOMEPAGE DATA</t>
  </si>
  <si>
    <t xml:space="preserve">Live view: shop info, categories, and homepage / featured / popular service slots. Set Featured / Popular / Homepage Display = Yes in MASTER_DATABASE (only LIVE services appear).</t>
  </si>
  <si>
    <t xml:space="preserve">SHOP INFORMATION (from WEBSITE_CONTENT)</t>
  </si>
  <si>
    <t xml:space="preserve">Key</t>
  </si>
  <si>
    <t xml:space="preserve">English</t>
  </si>
  <si>
    <t xml:space="preserve">Hindi</t>
  </si>
  <si>
    <t xml:space="preserve">shop_name</t>
  </si>
  <si>
    <t xml:space="preserve">tagline</t>
  </si>
  <si>
    <t xml:space="preserve">phone</t>
  </si>
  <si>
    <t xml:space="preserve">whatsapp</t>
  </si>
  <si>
    <t xml:space="preserve">address</t>
  </si>
  <si>
    <t xml:space="preserve">working_hours</t>
  </si>
  <si>
    <t xml:space="preserve">CATEGORIES (from CATEGORY_MASTER)</t>
  </si>
  <si>
    <t xml:space="preserve">Order</t>
  </si>
  <si>
    <t xml:space="preserve">Live Services</t>
  </si>
  <si>
    <t xml:space="preserve">Visible</t>
  </si>
  <si>
    <t xml:space="preserve">HOMEPAGE SERVICES (Homepage Display = Yes)</t>
  </si>
  <si>
    <t xml:space="preserve">#</t>
  </si>
  <si>
    <t xml:space="preserve">CTA</t>
  </si>
  <si>
    <t xml:space="preserve">FEATURED SERVICES (Featured Service = Yes)</t>
  </si>
  <si>
    <t xml:space="preserve">POPULAR SERVICES (Popular Service = Yes)</t>
  </si>
  <si>
    <t xml:space="preserve">Devmobile Stores and Common Service Center &amp; Aadhaar Centre — AADHAAR CENTRE</t>
  </si>
  <si>
    <t xml:space="preserve">Live view of MASTER_DATABASE for this service point (Aadhaar Centre). All cells are formulas – edit services in MASTER_DATABASE; new rows for this center appear here automatically.</t>
  </si>
  <si>
    <t xml:space="preserve">Seq</t>
  </si>
  <si>
    <t xml:space="preserve">Master Row</t>
  </si>
  <si>
    <t xml:space="preserve">Devmobile Stores and Common Service Center &amp; Aadhaar Centre — HDFC BANK BC POINT</t>
  </si>
  <si>
    <t xml:space="preserve">Live view of MASTER_DATABASE for this service point (HDFC Bank BC Point). All cells are formulas – edit services in MASTER_DATABASE; new rows for this center appear here automatically.</t>
  </si>
  <si>
    <t xml:space="preserve">Devmobile Stores and Common Service Center &amp; Aadhaar Centre — FINO PAYMENTS BANK BC POINT</t>
  </si>
  <si>
    <t xml:space="preserve">Live view of MASTER_DATABASE for this service point (FINO Payments Bank BC Point). All cells are formulas – edit services in MASTER_DATABASE; new rows for this center appear here automatically.</t>
  </si>
  <si>
    <t xml:space="preserve">Devmobile Stores and Common Service Center &amp; Aadhaar Centre — BASUDHA KENDRA</t>
  </si>
  <si>
    <t xml:space="preserve">Live view of MASTER_DATABASE for this service point (BASUDHA Kendra). All cells are formulas – edit services in MASTER_DATABASE; new rows for this center appear here automatically.</t>
  </si>
  <si>
    <t xml:space="preserve">Devmobile Stores and Common Service Center &amp; Aadhaar Centre — COMMON SERVICE CENTRE (CSC)</t>
  </si>
  <si>
    <t xml:space="preserve">Live view of MASTER_DATABASE for this service point (Common Service Centre (CSC)). All cells are formulas – edit services in MASTER_DATABASE; new rows for this center appear here automatically.</t>
  </si>
  <si>
    <t xml:space="preserve">Devmobile Stores and Common Service Center &amp; Aadhaar Centre — MOBILE STORE</t>
  </si>
  <si>
    <t xml:space="preserve">Live view of MASTER_DATABASE for this service point (Mobile Store). All cells are formulas – edit services in MASTER_DATABASE; new rows for this center appear here automatically.</t>
  </si>
  <si>
    <t xml:space="preserve">Devmobile Stores and Common Service Center &amp; Aadhaar Centre — PRINTING / XEROX / SCANNING</t>
  </si>
  <si>
    <t xml:space="preserve">Live view of MASTER_DATABASE for this service point (Printing / Xerox / Scanning). All cells are formulas – edit services in MASTER_DATABASE; new rows for this center appear here automatically.</t>
  </si>
  <si>
    <t xml:space="preserve">Devmobile Stores and Common Service Center &amp; Aadhaar Centre — PHOTO / PHOTOSHOP / DESIGN</t>
  </si>
  <si>
    <t xml:space="preserve">Live view of MASTER_DATABASE for this service point (Photo / Photoshop / Design). All cells are formulas – edit services in MASTER_DATABASE; new rows for this center appear here automatically.</t>
  </si>
  <si>
    <t xml:space="preserve">Devmobile Stores and Common Service Center &amp; Aadhaar Centre — ONLINE FORM &amp; DIGITAL SERVICES</t>
  </si>
  <si>
    <t xml:space="preserve">Live view of MASTER_DATABASE for this service point (Online Form &amp; Digital Services). All cells are formulas – edit services in MASTER_DATABASE; new rows for this center appear here automatically.</t>
  </si>
  <si>
    <t xml:space="preserve">Devmobile Stores and Common Service Center &amp; Aadhaar Centre — RECHARGE / BILL PAYMENT</t>
  </si>
  <si>
    <t xml:space="preserve">Live view of MASTER_DATABASE for this service point (Recharge / Bill Payment). All cells are formulas – edit services in MASTER_DATABASE; new rows for this center appear here automatically.</t>
  </si>
  <si>
    <t xml:space="preserve">Devmobile Stores and Common Service Center &amp; Aadhaar Centre — TRAVEL / TICKETING</t>
  </si>
  <si>
    <t xml:space="preserve">Live view of MASTER_DATABASE for this service point (Travel / Ticketing). All cells are formulas – edit services in MASTER_DATABASE; new rows for this center appear here automatically.</t>
  </si>
  <si>
    <t xml:space="preserve">Devmobile Stores and Common Service Center &amp; Aadhaar Centre — WEBSITE CONTENT</t>
  </si>
  <si>
    <t xml:space="preserve">Site-wide texts and contact details. Nothing here is invented: contact details are marked To Verify until you provide them.</t>
  </si>
  <si>
    <t xml:space="preserve">Content Key</t>
  </si>
  <si>
    <t xml:space="preserve">English Text</t>
  </si>
  <si>
    <t xml:space="preserve">Hindi Text</t>
  </si>
  <si>
    <t xml:space="preserve">Content Status</t>
  </si>
  <si>
    <t xml:space="preserve">Devmobile Stores and Common Service Center &amp; Aadhaar Centre</t>
  </si>
  <si>
    <t xml:space="preserve">डेवमोबाइल स्टोर्स एंड कॉमन सर्विस सेंटर &amp; आधार सेंटर</t>
  </si>
  <si>
    <t xml:space="preserve">Provided by owner</t>
  </si>
  <si>
    <t xml:space="preserve">To Add</t>
  </si>
  <si>
    <t xml:space="preserve">Write a one-line tagline for the homepage.</t>
  </si>
  <si>
    <t xml:space="preserve">hero_headline</t>
  </si>
  <si>
    <t xml:space="preserve">Main homepage headline.</t>
  </si>
  <si>
    <t xml:space="preserve">about_text</t>
  </si>
  <si>
    <t xml:space="preserve">Short 'About the shop' paragraph.</t>
  </si>
  <si>
    <t xml:space="preserve">Shop phone number – not provided yet, do not publish until confirmed.</t>
  </si>
  <si>
    <t xml:space="preserve">WhatsApp number – not provided yet.</t>
  </si>
  <si>
    <t xml:space="preserve">email</t>
  </si>
  <si>
    <t xml:space="preserve">Shop email – not provided yet.</t>
  </si>
  <si>
    <t xml:space="preserve">Full shop address – not provided yet.</t>
  </si>
  <si>
    <t xml:space="preserve">Opening days / timings – not provided yet.</t>
  </si>
  <si>
    <t xml:space="preserve">google_map_link</t>
  </si>
  <si>
    <t xml:space="preserve">Google Maps link – not provided yet.</t>
  </si>
  <si>
    <t xml:space="preserve">price_notice</t>
  </si>
  <si>
    <t xml:space="preserve">Charges shown are indicative and may change as per government / bank / portal rules. Please confirm the final charge at the shop.</t>
  </si>
  <si>
    <t xml:space="preserve">दिखाए गए शुल्क संकेतात्मक हैं और सरकारी / बैंक / पोर्टल नियमों के अनुसार बदल सकते हैं। अंतिम शुल्क दुकान पर पुष्टि करें।</t>
  </si>
  <si>
    <t xml:space="preserve">Draft text</t>
  </si>
  <si>
    <t xml:space="preserve">Edit as you wish.</t>
  </si>
  <si>
    <t xml:space="preserve">authorization_notice</t>
  </si>
  <si>
    <t xml:space="preserve">Some services depend on authorization or portal availability. Please confirm with the shop before visiting.</t>
  </si>
  <si>
    <t xml:space="preserve">कुछ सेवाएँ अधिकृतता या पोर्टल की उपलब्धता पर निर्भर करती हैं। कृपया आने से पहले दुकान से पुष्टि करें।</t>
  </si>
  <si>
    <t xml:space="preserve">document_notice</t>
  </si>
  <si>
    <t xml:space="preserve">Please bring original documents and your mobile phone where required.</t>
  </si>
  <si>
    <t xml:space="preserve">कृपया ज़रूरत के अनुसार मूल दस्तावेज़ और अपना मोबाइल फोन साथ लाएँ।</t>
  </si>
  <si>
    <t xml:space="preserve">Devmobile Stores and Common Service Center &amp; Aadhaar Centre — TO VERIFY (services whose Service Availability = To Verify)</t>
  </si>
  <si>
    <t xml:space="preserve">Live list. Confirm each item, change its Service Availability in MASTER_DATABASE, and it leaves this list. (If more than 160 items, extend the table.)</t>
  </si>
  <si>
    <t xml:space="preserve">Devmobile Stores and Common Service Center &amp; Aadhaar Centre — REMOVED / MERGED SERVICES</t>
  </si>
  <si>
    <t xml:space="preserve">Log of entries removed, merged or split during reorganisation, so nothing is lost silently.</t>
  </si>
  <si>
    <t xml:space="preserve">Removed / Merged Entry</t>
  </si>
  <si>
    <t xml:space="preserve">Reason</t>
  </si>
  <si>
    <t xml:space="preserve">Kept As (Service ID)</t>
  </si>
  <si>
    <t xml:space="preserve">Date</t>
  </si>
  <si>
    <t xml:space="preserve">Mobile Recharge (listed under Mobile Store)</t>
  </si>
  <si>
    <t xml:space="preserve">Duplicate – same work as Recharge / Bill Payment</t>
  </si>
  <si>
    <t xml:space="preserve">RCH-001 Mobile Recharge (Prepaid)</t>
  </si>
  <si>
    <t xml:space="preserve">20-Sep-2026</t>
  </si>
  <si>
    <t xml:space="preserve">Kept only under Recharge / Bill Payment.</t>
  </si>
  <si>
    <t xml:space="preserve">DTH Recharge (listed under Mobile Store)</t>
  </si>
  <si>
    <t xml:space="preserve">RCH-002 DTH Recharge</t>
  </si>
  <si>
    <t xml:space="preserve">Document Upload / Document Download (listed under Printing)</t>
  </si>
  <si>
    <t xml:space="preserve">Duplicate – same work listed under Online services</t>
  </si>
  <si>
    <t xml:space="preserve">ONL-023 Document Upload; ONL-024 Document Download</t>
  </si>
  <si>
    <t xml:space="preserve">Kept only under Online Form &amp; Digital Services.</t>
  </si>
  <si>
    <t xml:space="preserve">Aadhaar Update (broad entry)</t>
  </si>
  <si>
    <t xml:space="preserve">Too broad – split into individual services</t>
  </si>
  <si>
    <t xml:space="preserve">AAD-007 to AAD-025 (name, DOB, gender, address, mobile, email, biometric, document …)</t>
  </si>
  <si>
    <t xml:space="preserve">Each update type is now its own row.</t>
  </si>
  <si>
    <t xml:space="preserve">PAN-related services (broad entry)</t>
  </si>
  <si>
    <t xml:space="preserve">ONL-030 to ONL-034</t>
  </si>
  <si>
    <t xml:space="preserve">New / correction / reprint / status / Aadhaar link.</t>
  </si>
  <si>
    <t xml:space="preserve">Voter-related online assistance (broad entry)</t>
  </si>
  <si>
    <t xml:space="preserve">ONL-035 to ONL-039</t>
  </si>
  <si>
    <t xml:space="preserve">New / correction / e-EPIC / search / Aadhaar link.</t>
  </si>
  <si>
    <t xml:space="preserve">BBPS Services (broad entry)</t>
  </si>
  <si>
    <t xml:space="preserve">Too broad – split into individual biller types</t>
  </si>
  <si>
    <t xml:space="preserve">RCH-004 to RCH-016</t>
  </si>
  <si>
    <t xml:space="preserve">Electricity, water, gas, broadband, etc. are separate rows.</t>
  </si>
  <si>
    <t xml:space="preserve">Insurance Premium Payment (CSC Insurance duplicate)</t>
  </si>
  <si>
    <t xml:space="preserve">Duplicate – same work as bill payment</t>
  </si>
  <si>
    <t xml:space="preserve">Kept only under Recharge / Bill Payment; new policies stay under CSC.</t>
  </si>
  <si>
    <t xml:space="preserve">Other Actual Shop Services</t>
  </si>
  <si>
    <t xml:space="preserve">No verified service provided by owner</t>
  </si>
  <si>
    <t xml:space="preserve">None</t>
  </si>
  <si>
    <t xml:space="preserve">Add to MASTER_DATABASE only after you confirm the service is actually offered.</t>
  </si>
  <si>
    <t xml:space="preserve">Devmobile Stores and Common Service Center &amp; Aadhaar Centre — DASHBOARD</t>
  </si>
  <si>
    <t xml:space="preserve">डेवमोबाइल स्टोर्स एंड कॉमन सर्विस सेंटर &amp; आधार सेंटर  |  All figures are live formulas from MASTER_DATABASE</t>
  </si>
  <si>
    <t xml:space="preserve">KEY NUMBERS</t>
  </si>
  <si>
    <t xml:space="preserve">Total Services</t>
  </si>
  <si>
    <t xml:space="preserve">Active Services</t>
  </si>
  <si>
    <t xml:space="preserve">Website Visible (set to Yes)</t>
  </si>
  <si>
    <t xml:space="preserve">Live on Website (Visible + Active)</t>
  </si>
  <si>
    <t xml:space="preserve">Featured Services</t>
  </si>
  <si>
    <t xml:space="preserve">Popular Services</t>
  </si>
  <si>
    <t xml:space="preserve">Available Services</t>
  </si>
  <si>
    <t xml:space="preserve">To Verify (availability)</t>
  </si>
  <si>
    <t xml:space="preserve">Services With Documents</t>
  </si>
  <si>
    <t xml:space="preserve">Services With Charges (numeric total)</t>
  </si>
  <si>
    <t xml:space="preserve">Services Without Verified Charges</t>
  </si>
  <si>
    <t xml:space="preserve">CATEGORY-WISE COUNT</t>
  </si>
  <si>
    <t xml:space="preserve">Live</t>
  </si>
  <si>
    <t xml:space="preserve">Auth. Required</t>
  </si>
  <si>
    <t xml:space="preserve">Portal Dep.</t>
  </si>
  <si>
    <t xml:space="preserve">With Charges</t>
  </si>
  <si>
    <t xml:space="preserve">TOTAL</t>
  </si>
  <si>
    <t xml:space="preserve">HOW TO USE</t>
  </si>
  <si>
    <t xml:space="preserve">1. Everything is edited in MASTER_DATABASE (blue headers = you type / choose; green headers with grey cells = formulas).</t>
  </si>
  <si>
    <t xml:space="preserve">2. Service Availability, Authorization Status, Charge Status, Service Status, Website Visible, Featured, Popular, Homepage Display are dropdowns.</t>
  </si>
  <si>
    <t xml:space="preserve">3. Government Fee + Shop Service Charge → Total Customer Charge is automatic. Type a number (₹) or leave 'To Verify' / 'N/A'.</t>
  </si>
  <si>
    <t xml:space="preserve">4. Documents: edit in SERVICE_DOCUMENTS (dropdown + requirement type); MASTER_DATABASE shows 'Required Documents' and 'Additional Documents'.</t>
  </si>
  <si>
    <t xml:space="preserve">5. A service is LIVE for the website only when Website Visible = Yes AND Service Status = Active. Inactive services are hidden automatically.</t>
  </si>
  <si>
    <t xml:space="preserve">6. Prices are shown on website cards only when Price Display on Website = Yes. No fee or authorization has been assumed; unconfirmed items say To Verify.</t>
  </si>
  <si>
    <t xml:space="preserve">7. New service: copy a full row in MASTER_DATABASE, change ID / names, and add its ID + documents in SERVICE_DOCUMENTS and RATE_LIST spare rows.</t>
  </si>
  <si>
    <t xml:space="preserve">Devmobile Stores and Common Service Center &amp; Aadhaar Centre — SERVICE DOCUMENTS (edit documents here)</t>
  </si>
  <si>
    <t xml:space="preserve">Pick each Document from the dropdown (list = DOCUMENT_MASTER) and set its Requirement type. Required / Additional Documents text updates automatically in MASTER_DATABASE. Use the spare rows at the bottom for new services (type the Service ID).</t>
  </si>
  <si>
    <t xml:space="preserve">Document 1</t>
  </si>
  <si>
    <t xml:space="preserve">Requirement 1</t>
  </si>
  <si>
    <t xml:space="preserve">Document 2</t>
  </si>
  <si>
    <t xml:space="preserve">Requirement 2</t>
  </si>
  <si>
    <t xml:space="preserve">Document 3</t>
  </si>
  <si>
    <t xml:space="preserve">Requirement 3</t>
  </si>
  <si>
    <t xml:space="preserve">Document 4</t>
  </si>
  <si>
    <t xml:space="preserve">Requirement 4</t>
  </si>
  <si>
    <t xml:space="preserve">Document 5</t>
  </si>
  <si>
    <t xml:space="preserve">Requirement 5</t>
  </si>
  <si>
    <t xml:space="preserve">Document 6</t>
  </si>
  <si>
    <t xml:space="preserve">Requirement 6</t>
  </si>
  <si>
    <t xml:space="preserve">Document 7</t>
  </si>
  <si>
    <t xml:space="preserve">Requirement 7</t>
  </si>
  <si>
    <t xml:space="preserve">Document 8</t>
  </si>
  <si>
    <t xml:space="preserve">Requirement 8</t>
  </si>
  <si>
    <t xml:space="preserve">Required Documents (Website)</t>
  </si>
  <si>
    <t xml:space="preserve">Additional Documents (Website)</t>
  </si>
  <si>
    <t xml:space="preserve">Devmobile Stores and Common Service Center &amp; Aadhaar Centre — CATEGORY MASTER</t>
  </si>
  <si>
    <t xml:space="preserve">Category names here feed the Service Center / Website Category dropdowns and the Category Icon. Keep names identical to what you use in MASTER_DATABASE.</t>
  </si>
  <si>
    <t xml:space="preserve">Category Hindi</t>
  </si>
  <si>
    <t xml:space="preserve">Category Description</t>
  </si>
  <si>
    <t xml:space="preserve">आधार सेंटर</t>
  </si>
  <si>
    <t xml:space="preserve">🪪</t>
  </si>
  <si>
    <t xml:space="preserve">Aadhaar enrolment, updates, biometric and download / print / status assistance.</t>
  </si>
  <si>
    <t xml:space="preserve">HDFC बैंक BC पॉइंट</t>
  </si>
  <si>
    <t xml:space="preserve">Cash, AEPS, Micro ATM, money transfer and account help as a Business Correspondent.</t>
  </si>
  <si>
    <t xml:space="preserve">FINO पेमेंट्स बैंक BC पॉइंट</t>
  </si>
  <si>
    <t xml:space="preserve">Cash, AEPS, money transfer and account help for FINO Payments Bank.</t>
  </si>
  <si>
    <t xml:space="preserve">बसुधा केंद्र</t>
  </si>
  <si>
    <t xml:space="preserve">Certificates, pensions, ration card, land and other public service applications.</t>
  </si>
  <si>
    <t xml:space="preserve">कॉमन सर्विस सेंटर (CSC)</t>
  </si>
  <si>
    <t xml:space="preserve">Government schemes, insurance, pension, registrations and digital services through CSC.</t>
  </si>
  <si>
    <t xml:space="preserve">मोबाइल स्टोर</t>
  </si>
  <si>
    <t xml:space="preserve">Mobiles, accessories, SIM services and basic phone setup.</t>
  </si>
  <si>
    <t xml:space="preserve">प्रिंटिंग / ज़ेरॉक्स / स्कैनिंग</t>
  </si>
  <si>
    <t xml:space="preserve">Printing, xerox, scanning, PDF work, typing and document preparation.</t>
  </si>
  <si>
    <t xml:space="preserve">फोटो / फोटोशॉप / डिज़ाइन</t>
  </si>
  <si>
    <t xml:space="preserve">Passport photos, photo editing and printing, and design work.</t>
  </si>
  <si>
    <t xml:space="preserve">ऑनलाइन फॉर्म व डिजिटल सेवाएँ</t>
  </si>
  <si>
    <t xml:space="preserve">🌐</t>
  </si>
  <si>
    <t xml:space="preserve">Job, admission and exam forms, PAN, voter ID and other online help.</t>
  </si>
  <si>
    <t xml:space="preserve">रिचार्ज / बिल भुगतान</t>
  </si>
  <si>
    <t xml:space="preserve">💡</t>
  </si>
  <si>
    <t xml:space="preserve">Mobile / DTH recharge, FASTag and bill payments.</t>
  </si>
  <si>
    <t xml:space="preserve">टिकट / बुकिंग</t>
  </si>
  <si>
    <t xml:space="preserve">Ticketing and booking help (shown only if authorized).</t>
  </si>
  <si>
    <t xml:space="preserve">Ticketing shown only if actually provided / authorized.</t>
  </si>
  <si>
    <t xml:space="preserve">अन्य दुकान सेवाएँ</t>
  </si>
  <si>
    <t xml:space="preserve">🏪</t>
  </si>
  <si>
    <t xml:space="preserve">Add only services that are verified as actually provided by the shop.</t>
  </si>
  <si>
    <t xml:space="preserve">No verified services added yet.</t>
  </si>
  <si>
    <t xml:space="preserve">Devmobile Stores and Common Service Center &amp; Aadhaar Centre — DROPDOWN LISTS</t>
  </si>
  <si>
    <t xml:space="preserve">Source lists for the dropdowns. To add an option, type it in the first empty cell of the list (and extend the validation range if needed).</t>
  </si>
  <si>
    <t xml:space="preserve">Yes / No</t>
  </si>
  <si>
    <t xml:space="preserve">Yes / No / Depends</t>
  </si>
  <si>
    <t xml:space="preserve">Yes / No / To Verify</t>
  </si>
  <si>
    <t xml:space="preserve">Online / Offline</t>
  </si>
  <si>
    <t xml:space="preserve">Customer Action (CTA)</t>
  </si>
  <si>
    <t xml:space="preserve">Document Requirement Type</t>
  </si>
  <si>
    <t xml:space="preserve">Authorized</t>
  </si>
  <si>
    <t xml:space="preserve">Cash</t>
  </si>
  <si>
    <t xml:space="preserve">Verified</t>
  </si>
  <si>
    <t xml:space="preserve">Not Authorized</t>
  </si>
  <si>
    <t xml:space="preserve">Inactive</t>
  </si>
  <si>
    <t xml:space="preserve">UPI</t>
  </si>
  <si>
    <t xml:space="preserve">Optional</t>
  </si>
  <si>
    <t xml:space="preserve">Temporarily Closed</t>
  </si>
  <si>
    <t xml:space="preserve">Card</t>
  </si>
  <si>
    <t xml:space="preserve">WhatsApp Us</t>
  </si>
  <si>
    <t xml:space="preserve">Needs Update</t>
  </si>
  <si>
    <t xml:space="preserve">Coming Soon</t>
  </si>
  <si>
    <t xml:space="preserve">1–2 Working Days</t>
  </si>
  <si>
    <t xml:space="preserve">Bank Transfer</t>
  </si>
  <si>
    <t xml:space="preserve">Not Required</t>
  </si>
  <si>
    <t xml:space="preserve">3–7 Working Days</t>
  </si>
  <si>
    <t xml:space="preserve">Cash + UPI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</si>
</sst>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dd\-mmm\-yyyy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404040"/>
      </patternFill>
    </fill>
    <fill>
      <patternFill patternType="solid">
        <fgColor rgb="FF548235"/>
        <bgColor rgb="FF595959"/>
      </patternFill>
    </fill>
    <fill>
      <patternFill patternType="solid">
        <fgColor rgb="FFF2F2F2"/>
        <bgColor rgb="FFF9F9F9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4A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4A00"/>
      </font>
      <fill>
        <patternFill>
          <bgColor rgb="FFFFE0B2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33C0B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4B2E83"/>
      </font>
      <fill>
        <patternFill>
          <bgColor rgb="FFE2D9F3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9C0006"/>
      <rgbColor rgb="FF006100"/>
      <rgbColor rgb="FF000080"/>
      <rgbColor rgb="FF7F6000"/>
      <rgbColor rgb="FF800080"/>
      <rgbColor rgb="FF4F81BD"/>
      <rgbColor rgb="FFBFBFBF"/>
      <rgbColor rgb="FF7F7F7F"/>
      <rgbColor rgb="FF9999FF"/>
      <rgbColor rgb="FF7030A0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D6"/>
      <rgbColor rgb="FFD9D9D9"/>
      <rgbColor rgb="FFFFC7CE"/>
      <rgbColor rgb="FFE2D9F3"/>
      <rgbColor rgb="FFFFE0B2"/>
      <rgbColor rgb="FF2E75B6"/>
      <rgbColor rgb="FF33CCCC"/>
      <rgbColor rgb="FF99CC00"/>
      <rgbColor rgb="FFFFCC00"/>
      <rgbColor rgb="FFBF8F00"/>
      <rgbColor rgb="FFC55A11"/>
      <rgbColor rgb="FF595959"/>
      <rgbColor rgb="FF878787"/>
      <rgbColor rgb="FF1F4E78"/>
      <rgbColor rgb="FF548235"/>
      <rgbColor rgb="FF003300"/>
      <rgbColor rgb="FF333300"/>
      <rgbColor rgb="FF833C0B"/>
      <rgbColor rgb="FF9C4A00"/>
      <rgbColor rgb="FF4B2E8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Services per Service Point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DASHBOARD!$A$25:$A$35</c:f>
              <c:strCache>
                <c:ptCount val="11"/>
                <c:pt idx="0">
                  <c:v>Aadhaar Centre</c:v>
                </c:pt>
                <c:pt idx="1">
                  <c:v>HDFC Bank BC Point</c:v>
                </c:pt>
                <c:pt idx="2">
                  <c:v>FINO Payments Bank BC Point</c:v>
                </c:pt>
                <c:pt idx="3">
                  <c:v>BASUDHA Kendra</c:v>
                </c:pt>
                <c:pt idx="4">
                  <c:v>Common Service Centre (CSC)</c:v>
                </c:pt>
                <c:pt idx="5">
                  <c:v>Mobile Store</c:v>
                </c:pt>
                <c:pt idx="6">
                  <c:v>Printing / Xerox / Scanning</c:v>
                </c:pt>
                <c:pt idx="7">
                  <c:v>Photo / Photoshop / Design</c:v>
                </c:pt>
                <c:pt idx="8">
                  <c:v>Online Form &amp; Digital Services</c:v>
                </c:pt>
                <c:pt idx="9">
                  <c:v>Recharge / Bill Payment</c:v>
                </c:pt>
                <c:pt idx="10">
                  <c:v>Travel / Ticketing</c:v>
                </c:pt>
              </c:strCache>
            </c:strRef>
          </c:cat>
          <c:val>
            <c:numRef>
              <c:f>DASHBOARD!$B$25:$B$35</c:f>
              <c:numCache>
                <c:formatCode>General</c:formatCode>
                <c:ptCount val="11"/>
                <c:pt idx="0">
                  <c:v>42</c:v>
                </c:pt>
                <c:pt idx="1">
                  <c:v>21</c:v>
                </c:pt>
                <c:pt idx="2">
                  <c:v>15</c:v>
                </c:pt>
                <c:pt idx="3">
                  <c:v>27</c:v>
                </c:pt>
                <c:pt idx="4">
                  <c:v>50</c:v>
                </c:pt>
                <c:pt idx="5">
                  <c:v>22</c:v>
                </c:pt>
                <c:pt idx="6">
                  <c:v>25</c:v>
                </c:pt>
                <c:pt idx="7">
                  <c:v>26</c:v>
                </c:pt>
                <c:pt idx="8">
                  <c:v>39</c:v>
                </c:pt>
                <c:pt idx="9">
                  <c:v>16</c:v>
                </c:pt>
                <c:pt idx="10">
                  <c:v>9</c:v>
                </c:pt>
              </c:numCache>
            </c:numRef>
          </c:val>
        </c:ser>
        <c:gapWidth val="150"/>
        <c:overlap val="0"/>
        <c:axId val="91797552"/>
        <c:axId val="96807083"/>
      </c:barChart>
      <c:catAx>
        <c:axId val="9179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07083"/>
        <c:crosses val="autoZero"/>
        <c:auto val="1"/>
        <c:lblAlgn val="ctr"/>
        <c:lblOffset val="100"/>
        <c:noMultiLvlLbl val="0"/>
      </c:catAx>
      <c:valAx>
        <c:axId val="96807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975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10</xdr:col>
      <xdr:colOff>558720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465192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ADHAAR" displayName="tbl_AADHAAR" ref="A3:Q70" headerRowCount="1" totalsRowCount="0" totalsRowShown="0">
  <autoFilter ref="A3:Q70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2.xml><?xml version="1.0" encoding="utf-8"?>
<table xmlns="http://schemas.openxmlformats.org/spreadsheetml/2006/main" id="2" name="tbl_BASUDHA" displayName="tbl_BASUDHA" ref="A3:Q55" headerRowCount="1" totalsRowCount="0" totalsRowShown="0">
  <autoFilter ref="A3:Q55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3.xml><?xml version="1.0" encoding="utf-8"?>
<table xmlns="http://schemas.openxmlformats.org/spreadsheetml/2006/main" id="3" name="tbl_CSC" displayName="tbl_CSC" ref="A3:Q78" headerRowCount="1" totalsRowCount="0" totalsRowShown="0">
  <autoFilter ref="A3:Q78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4.xml><?xml version="1.0" encoding="utf-8"?>
<table xmlns="http://schemas.openxmlformats.org/spreadsheetml/2006/main" id="4" name="tbl_FINO_BC" displayName="tbl_FINO_BC" ref="A3:Q43" headerRowCount="1" totalsRowCount="0" totalsRowShown="0">
  <autoFilter ref="A3:Q43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5.xml><?xml version="1.0" encoding="utf-8"?>
<table xmlns="http://schemas.openxmlformats.org/spreadsheetml/2006/main" id="5" name="tbl_HDFC_BC" displayName="tbl_HDFC_BC" ref="A3:Q49" headerRowCount="1" totalsRowCount="0" totalsRowShown="0">
  <autoFilter ref="A3:Q49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6.xml><?xml version="1.0" encoding="utf-8"?>
<table xmlns="http://schemas.openxmlformats.org/spreadsheetml/2006/main" id="6" name="tbl_MOBILE_STORE" displayName="tbl_MOBILE_STORE" ref="A3:Q50" headerRowCount="1" totalsRowCount="0" totalsRowShown="0">
  <autoFilter ref="A3:Q50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7.xml><?xml version="1.0" encoding="utf-8"?>
<table xmlns="http://schemas.openxmlformats.org/spreadsheetml/2006/main" id="7" name="tbl_ONLINE_SERVICES" displayName="tbl_ONLINE_SERVICES" ref="A3:Q67" headerRowCount="1" totalsRowCount="0" totalsRowShown="0">
  <autoFilter ref="A3:Q67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8.xml><?xml version="1.0" encoding="utf-8"?>
<table xmlns="http://schemas.openxmlformats.org/spreadsheetml/2006/main" id="8" name="tbl_PHOTO_PHOTOSHOP" displayName="tbl_PHOTO_PHOTOSHOP" ref="A3:Q54" headerRowCount="1" totalsRowCount="0" totalsRowShown="0">
  <autoFilter ref="A3:Q54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9.xml><?xml version="1.0" encoding="utf-8"?>
<table xmlns="http://schemas.openxmlformats.org/spreadsheetml/2006/main" id="9" name="tbl_PRINTING_XEROX" displayName="tbl_PRINTING_XEROX" ref="A3:Q53" headerRowCount="1" totalsRowCount="0" totalsRowShown="0">
  <autoFilter ref="A3:Q53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10.xml><?xml version="1.0" encoding="utf-8"?>
<table xmlns="http://schemas.openxmlformats.org/spreadsheetml/2006/main" id="10" name="tbl_RECHARGE_BILL" displayName="tbl_RECHARGE_BILL" ref="A3:Q44" headerRowCount="1" totalsRowCount="0" totalsRowShown="0">
  <autoFilter ref="A3:Q44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11.xml><?xml version="1.0" encoding="utf-8"?>
<table xmlns="http://schemas.openxmlformats.org/spreadsheetml/2006/main" id="11" name="tbl_TICKETING" displayName="tbl_TICKETING" ref="A3:Q37" headerRowCount="1" totalsRowCount="0" totalsRowShown="0">
  <autoFilter ref="A3:Q37"/>
  <tableColumns count="17">
    <tableColumn id="1" name="Seq"/>
    <tableColumn id="2" name="Master Row"/>
    <tableColumn id="3" name="Service ID"/>
    <tableColumn id="4" name="Sub Category"/>
    <tableColumn id="5" name="Service Name English"/>
    <tableColumn id="6" name="Service Name Hindi"/>
    <tableColumn id="7" name="Service Availability"/>
    <tableColumn id="8" name="Authorization Status"/>
    <tableColumn id="9" name="Government Fee"/>
    <tableColumn id="10" name="Shop Service Charge"/>
    <tableColumn id="11" name="Total Customer Charge"/>
    <tableColumn id="12" name="Charge Status"/>
    <tableColumn id="13" name="Estimated Processing Time"/>
    <tableColumn id="14" name="Service Status"/>
    <tableColumn id="15" name="Website Visible"/>
    <tableColumn id="16" name="Live on Website"/>
    <tableColumn id="17" name="Verification Status"/>
  </tableColumns>
</table>
</file>

<file path=xl/tables/table12.xml><?xml version="1.0" encoding="utf-8"?>
<table xmlns="http://schemas.openxmlformats.org/spreadsheetml/2006/main" id="12" name="tblAvailability" displayName="tblAvailability" ref="A3:E10" headerRowCount="1" totalsRowCount="0" totalsRowShown="0">
  <autoFilter ref="A3:E10"/>
  <tableColumns count="5">
    <tableColumn id="1" name="Availability Option"/>
    <tableColumn id="2" name="Meaning"/>
    <tableColumn id="3" name="Website Label"/>
    <tableColumn id="4" name="Show Service Card On Website?"/>
    <tableColumn id="5" name="Remarks"/>
  </tableColumns>
</table>
</file>

<file path=xl/tables/table13.xml><?xml version="1.0" encoding="utf-8"?>
<table xmlns="http://schemas.openxmlformats.org/spreadsheetml/2006/main" id="13" name="tblCards" displayName="tblCards" ref="A3:Q355" headerRowCount="1" totalsRowCount="0" totalsRowShown="0">
  <autoFilter ref="A3:Q355"/>
  <tableColumns count="17">
    <tableColumn id="1" name="Service ID"/>
    <tableColumn id="2" name="Service Name"/>
    <tableColumn id="3" name="Hindi Name"/>
    <tableColumn id="4" name="Category"/>
    <tableColumn id="5" name="Short Description"/>
    <tableColumn id="6" name="Icon"/>
    <tableColumn id="7" name="Government Fee"/>
    <tableColumn id="8" name="Service Charge"/>
    <tableColumn id="9" name="Total"/>
    <tableColumn id="10" name="Availability"/>
    <tableColumn id="11" name="Required Documents"/>
    <tableColumn id="12" name="Processing Time"/>
    <tableColumn id="13" name="Featured"/>
    <tableColumn id="14" name="Popular"/>
    <tableColumn id="15" name="Website Visible"/>
    <tableColumn id="16" name="CTA Button"/>
    <tableColumn id="17" name="Display Order"/>
  </tableColumns>
</table>
</file>

<file path=xl/tables/table14.xml><?xml version="1.0" encoding="utf-8"?>
<table xmlns="http://schemas.openxmlformats.org/spreadsheetml/2006/main" id="14" name="tblCatalog" displayName="tblCatalog" ref="A3:AA355" headerRowCount="1" totalsRowCount="0" totalsRowShown="0">
  <autoFilter ref="A3:AA355"/>
  <tableColumns count="27">
    <tableColumn id="1" name="Service ID"/>
    <tableColumn id="2" name="Service Center"/>
    <tableColumn id="3" name="Main Category"/>
    <tableColumn id="4" name="Sub Category"/>
    <tableColumn id="5" name="Service Name English"/>
    <tableColumn id="6" name="Service Name Hindi"/>
    <tableColumn id="7" name="Website Category"/>
    <tableColumn id="8" name="Website Subcategory"/>
    <tableColumn id="9" name="Website Slug"/>
    <tableColumn id="10" name="Service Page"/>
    <tableColumn id="11" name="SEO Title"/>
    <tableColumn id="12" name="SEO Description"/>
    <tableColumn id="13" name="Search Keywords"/>
    <tableColumn id="14" name="Hindi Keywords"/>
    <tableColumn id="15" name="English Keywords"/>
    <tableColumn id="16" name="Service Icon"/>
    <tableColumn id="17" name="Service Image"/>
    <tableColumn id="18" name="Category Icon"/>
    <tableColumn id="19" name="Display Order"/>
    <tableColumn id="20" name="Service Availability"/>
    <tableColumn id="21" name="Availability Status"/>
    <tableColumn id="22" name="Service Status"/>
    <tableColumn id="23" name="Website Visible"/>
    <tableColumn id="24" name="Featured Service"/>
    <tableColumn id="25" name="Popular Service"/>
    <tableColumn id="26" name="Homepage Display"/>
    <tableColumn id="27" name="Live on Website"/>
  </tableColumns>
</table>
</file>

<file path=xl/tables/table15.xml><?xml version="1.0" encoding="utf-8"?>
<table xmlns="http://schemas.openxmlformats.org/spreadsheetml/2006/main" id="15" name="tblCategories" displayName="tblCategories" ref="A3:G15" headerRowCount="1" totalsRowCount="0" totalsRowShown="0">
  <autoFilter ref="A3:G15"/>
  <tableColumns count="7">
    <tableColumn id="1" name="Category"/>
    <tableColumn id="2" name="Category Hindi"/>
    <tableColumn id="3" name="Category Icon"/>
    <tableColumn id="4" name="Category Description"/>
    <tableColumn id="5" name="Display Order"/>
    <tableColumn id="6" name="Website Visible"/>
    <tableColumn id="7" name="Remarks"/>
  </tableColumns>
</table>
</file>

<file path=xl/tables/table16.xml><?xml version="1.0" encoding="utf-8"?>
<table xmlns="http://schemas.openxmlformats.org/spreadsheetml/2006/main" id="16" name="tblChargeTypes" displayName="tblChargeTypes" ref="A3:D10" headerRowCount="1" totalsRowCount="0" totalsRowShown="0">
  <autoFilter ref="A3:D10"/>
  <tableColumns count="4">
    <tableColumn id="1" name="Charge Status Option"/>
    <tableColumn id="2" name="Meaning"/>
    <tableColumn id="3" name="Website Display Rule"/>
    <tableColumn id="4" name="Remarks"/>
  </tableColumns>
</table>
</file>

<file path=xl/tables/table17.xml><?xml version="1.0" encoding="utf-8"?>
<table xmlns="http://schemas.openxmlformats.org/spreadsheetml/2006/main" id="17" name="tblDetails" displayName="tblDetails" ref="A3:N355" headerRowCount="1" totalsRowCount="0" totalsRowShown="0">
  <autoFilter ref="A3:N355"/>
  <tableColumns count="14">
    <tableColumn id="1" name="Service ID"/>
    <tableColumn id="2" name="Service Name"/>
    <tableColumn id="3" name="Overview"/>
    <tableColumn id="4" name="Benefits"/>
    <tableColumn id="5" name="Eligibility"/>
    <tableColumn id="6" name="Required Documents"/>
    <tableColumn id="7" name="Process"/>
    <tableColumn id="8" name="Fees"/>
    <tableColumn id="9" name="Processing Time"/>
    <tableColumn id="10" name="Availability"/>
    <tableColumn id="11" name="Important Notes"/>
    <tableColumn id="12" name="FAQ"/>
    <tableColumn id="13" name="Terms"/>
    <tableColumn id="14" name="Customer Action"/>
  </tableColumns>
</table>
</file>

<file path=xl/tables/table18.xml><?xml version="1.0" encoding="utf-8"?>
<table xmlns="http://schemas.openxmlformats.org/spreadsheetml/2006/main" id="18" name="tblDocuments" displayName="tblDocuments" ref="A3:I48" headerRowCount="1" totalsRowCount="0" totalsRowShown="0">
  <autoFilter ref="A3:I48"/>
  <tableColumns count="9">
    <tableColumn id="1" name="Document ID"/>
    <tableColumn id="2" name="Document Name English"/>
    <tableColumn id="3" name="Document Name Hindi"/>
    <tableColumn id="4" name="Document Type"/>
    <tableColumn id="5" name="Mandatory/Optional"/>
    <tableColumn id="6" name="Used For Services"/>
    <tableColumn id="7" name="Customer Instruction"/>
    <tableColumn id="8" name="Website Display"/>
    <tableColumn id="9" name="Remarks"/>
  </tableColumns>
</table>
</file>

<file path=xl/tables/table19.xml><?xml version="1.0" encoding="utf-8"?>
<table xmlns="http://schemas.openxmlformats.org/spreadsheetml/2006/main" id="19" name="tblMaster" displayName="tblMaster" ref="A3:BL295" headerRowCount="1" totalsRowCount="0" totalsRowShown="0">
  <autoFilter ref="A3:BL295"/>
  <tableColumns count="64">
    <tableColumn id="1" name="Service ID"/>
    <tableColumn id="2" name="Service Center"/>
    <tableColumn id="3" name="Main Category"/>
    <tableColumn id="4" name="Sub Category"/>
    <tableColumn id="5" name="Service Name English"/>
    <tableColumn id="6" name="Service Name Hindi"/>
    <tableColumn id="7" name="Short Description"/>
    <tableColumn id="8" name="Detailed Description"/>
    <tableColumn id="9" name="Service Availability"/>
    <tableColumn id="10" name="Availability Status"/>
    <tableColumn id="11" name="Authorization Required"/>
    <tableColumn id="12" name="Authorization Status"/>
    <tableColumn id="13" name="Required Documents"/>
    <tableColumn id="14" name="Additional Documents"/>
    <tableColumn id="15" name="Customer Eligibility"/>
    <tableColumn id="16" name="Process / How It Works"/>
    <tableColumn id="17" name="Estimated Processing Time"/>
    <tableColumn id="18" name="Government Fee"/>
    <tableColumn id="19" name="Shop Service Charge"/>
    <tableColumn id="20" name="Total Customer Charge"/>
    <tableColumn id="21" name="Charge Status"/>
    <tableColumn id="22" name="Price Display on Website"/>
    <tableColumn id="23" name="Payment Mode"/>
    <tableColumn id="24" name="Online / Offline / Both"/>
    <tableColumn id="25" name="Portal Required"/>
    <tableColumn id="26" name="Portal Name"/>
    <tableColumn id="27" name="Customer Must Visit Shop"/>
    <tableColumn id="28" name="Contact Required"/>
    <tableColumn id="29" name="WhatsApp Available"/>
    <tableColumn id="30" name="Call Available"/>
    <tableColumn id="31" name="Booking Required"/>
    <tableColumn id="32" name="Appointment Required"/>
    <tableColumn id="33" name="Service Status"/>
    <tableColumn id="34" name="Website Visible"/>
    <tableColumn id="35" name="Featured Service"/>
    <tableColumn id="36" name="Popular Service"/>
    <tableColumn id="37" name="Homepage Display"/>
    <tableColumn id="38" name="Website Category"/>
    <tableColumn id="39" name="Website Subcategory"/>
    <tableColumn id="40" name="Search Keywords"/>
    <tableColumn id="41" name="Website Slug"/>
    <tableColumn id="42" name="Icon"/>
    <tableColumn id="43" name="Display Order"/>
    <tableColumn id="44" name="FAQ"/>
    <tableColumn id="45" name="Important Note"/>
    <tableColumn id="46" name="Terms / Conditions"/>
    <tableColumn id="47" name="Last Verified Date"/>
    <tableColumn id="48" name="Verification Status"/>
    <tableColumn id="49" name="Internal Remarks"/>
    <tableColumn id="50" name="SEO Title"/>
    <tableColumn id="51" name="SEO Description"/>
    <tableColumn id="52" name="Hindi Keywords"/>
    <tableColumn id="53" name="English Keywords"/>
    <tableColumn id="54" name="Service Image"/>
    <tableColumn id="55" name="Category Icon"/>
    <tableColumn id="56" name="Service Page"/>
    <tableColumn id="57" name="Live on Website"/>
    <tableColumn id="58" name="Benefits"/>
    <tableColumn id="59" name="Customer Action"/>
    <tableColumn id="60" name="Center Key (auto)"/>
    <tableColumn id="61" name="Featured Seq (auto)"/>
    <tableColumn id="62" name="Popular Seq (auto)"/>
    <tableColumn id="63" name="Homepage Seq (auto)"/>
    <tableColumn id="64" name="To Verify Seq (auto)"/>
  </tableColumns>
</table>
</file>

<file path=xl/tables/table20.xml><?xml version="1.0" encoding="utf-8"?>
<table xmlns="http://schemas.openxmlformats.org/spreadsheetml/2006/main" id="20" name="tblRates" displayName="tblRates" ref="A3:J335" headerRowCount="1" totalsRowCount="0" totalsRowShown="0">
  <autoFilter ref="A3:J335"/>
  <tableColumns count="10">
    <tableColumn id="1" name="Service ID"/>
    <tableColumn id="2" name="Service Name"/>
    <tableColumn id="3" name="Government Fee"/>
    <tableColumn id="4" name="Shop Charge"/>
    <tableColumn id="5" name="Total"/>
    <tableColumn id="6" name="Charge Status"/>
    <tableColumn id="7" name="Last Updated"/>
    <tableColumn id="8" name="Effective From"/>
    <tableColumn id="9" name="Website Display"/>
    <tableColumn id="10" name="Remarks"/>
  </tableColumns>
</table>
</file>

<file path=xl/tables/table21.xml><?xml version="1.0" encoding="utf-8"?>
<table xmlns="http://schemas.openxmlformats.org/spreadsheetml/2006/main" id="21" name="tblRemoved" displayName="tblRemoved" ref="A3:E12" headerRowCount="1" totalsRowCount="0" totalsRowShown="0">
  <autoFilter ref="A3:E12"/>
  <tableColumns count="5">
    <tableColumn id="1" name="Removed / Merged Entry"/>
    <tableColumn id="2" name="Reason"/>
    <tableColumn id="3" name="Kept As (Service ID)"/>
    <tableColumn id="4" name="Date"/>
    <tableColumn id="5" name="Remarks"/>
  </tableColumns>
</table>
</file>

<file path=xl/tables/table22.xml><?xml version="1.0" encoding="utf-8"?>
<table xmlns="http://schemas.openxmlformats.org/spreadsheetml/2006/main" id="22" name="tblServiceDocuments" displayName="tblServiceDocuments" ref="A3:T335" headerRowCount="1" totalsRowCount="0" totalsRowShown="0">
  <autoFilter ref="A3:T335"/>
  <tableColumns count="20">
    <tableColumn id="1" name="Service ID"/>
    <tableColumn id="2" name="Service Name"/>
    <tableColumn id="3" name="Document 1"/>
    <tableColumn id="4" name="Requirement 1"/>
    <tableColumn id="5" name="Document 2"/>
    <tableColumn id="6" name="Requirement 2"/>
    <tableColumn id="7" name="Document 3"/>
    <tableColumn id="8" name="Requirement 3"/>
    <tableColumn id="9" name="Document 4"/>
    <tableColumn id="10" name="Requirement 4"/>
    <tableColumn id="11" name="Document 5"/>
    <tableColumn id="12" name="Requirement 5"/>
    <tableColumn id="13" name="Document 6"/>
    <tableColumn id="14" name="Requirement 6"/>
    <tableColumn id="15" name="Document 7"/>
    <tableColumn id="16" name="Requirement 7"/>
    <tableColumn id="17" name="Document 8"/>
    <tableColumn id="18" name="Requirement 8"/>
    <tableColumn id="19" name="Required Documents (Website)"/>
    <tableColumn id="20" name="Additional Documents (Website)"/>
  </tableColumns>
</table>
</file>

<file path=xl/tables/table23.xml><?xml version="1.0" encoding="utf-8"?>
<table xmlns="http://schemas.openxmlformats.org/spreadsheetml/2006/main" id="23" name="tblToVerify" displayName="tblToVerify" ref="A3:J163" headerRowCount="1" totalsRowCount="0" totalsRowShown="0">
  <autoFilter ref="A3:J163"/>
  <tableColumns count="10">
    <tableColumn id="1" name="Seq"/>
    <tableColumn id="2" name="Master Row"/>
    <tableColumn id="3" name="Service ID"/>
    <tableColumn id="4" name="Service Center"/>
    <tableColumn id="5" name="Service Name English"/>
    <tableColumn id="6" name="Service Availability"/>
    <tableColumn id="7" name="Authorization Status"/>
    <tableColumn id="8" name="Charge Status"/>
    <tableColumn id="9" name="Verification Status"/>
    <tableColumn id="10" name="Internal Remarks"/>
  </tableColumns>
</table>
</file>

<file path=xl/tables/table24.xml><?xml version="1.0" encoding="utf-8"?>
<table xmlns="http://schemas.openxmlformats.org/spreadsheetml/2006/main" id="24" name="tblWebsiteContent" displayName="tblWebsiteContent" ref="A3:E16" headerRowCount="1" totalsRowCount="0" totalsRowShown="0">
  <autoFilter ref="A3:E16"/>
  <tableColumns count="5">
    <tableColumn id="1" name="Content Key"/>
    <tableColumn id="2" name="English Text"/>
    <tableColumn id="3" name="Hindi Text"/>
    <tableColumn id="4" name="Content Status"/>
    <tableColumn id="5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24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23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BL29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false" outlineLevel="0" max="5" min="5" style="0" width="34"/>
    <col collapsed="false" customWidth="true" hidden="false" outlineLevel="0" max="7" min="6" style="0" width="30"/>
    <col collapsed="false" customWidth="true" hidden="false" outlineLevel="0" max="8" min="8" style="0" width="40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4" min="13" style="0" width="30"/>
    <col collapsed="false" customWidth="true" hidden="false" outlineLevel="0" max="15" min="15" style="0" width="26"/>
    <col collapsed="false" customWidth="true" hidden="false" outlineLevel="0" max="16" min="16" style="0" width="52"/>
    <col collapsed="false" customWidth="true" hidden="false" outlineLevel="0" max="17" min="17" style="0" width="16"/>
    <col collapsed="false" customWidth="true" hidden="false" outlineLevel="0" max="20" min="18" style="0" width="1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11"/>
    <col collapsed="false" customWidth="true" hidden="false" outlineLevel="0" max="26" min="26" style="0" width="22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11"/>
    <col collapsed="false" customWidth="true" hidden="false" outlineLevel="0" max="31" min="30" style="0" width="10"/>
    <col collapsed="false" customWidth="true" hidden="false" outlineLevel="0" max="32" min="32" style="0" width="11"/>
    <col collapsed="false" customWidth="true" hidden="false" outlineLevel="0" max="33" min="33" style="0" width="12"/>
    <col collapsed="false" customWidth="true" hidden="false" outlineLevel="0" max="37" min="34" style="0" width="10"/>
    <col collapsed="false" customWidth="true" hidden="false" outlineLevel="0" max="39" min="38" style="0" width="18"/>
    <col collapsed="false" customWidth="true" hidden="false" outlineLevel="0" max="40" min="40" style="0" width="34"/>
    <col collapsed="false" customWidth="true" hidden="false" outlineLevel="0" max="41" min="41" style="0" width="28"/>
    <col collapsed="false" customWidth="true" hidden="false" outlineLevel="0" max="42" min="42" style="0" width="6"/>
    <col collapsed="false" customWidth="true" hidden="false" outlineLevel="0" max="43" min="43" style="0" width="8"/>
    <col collapsed="false" customWidth="true" hidden="false" outlineLevel="0" max="44" min="44" style="0" width="44"/>
    <col collapsed="false" customWidth="true" hidden="false" outlineLevel="0" max="45" min="45" style="0" width="30"/>
    <col collapsed="false" customWidth="true" hidden="false" outlineLevel="0" max="46" min="46" style="0" width="34"/>
    <col collapsed="false" customWidth="true" hidden="false" outlineLevel="0" max="48" min="47" style="0" width="13"/>
    <col collapsed="false" customWidth="true" hidden="false" outlineLevel="0" max="49" min="49" style="0" width="30"/>
    <col collapsed="false" customWidth="true" hidden="false" outlineLevel="0" max="51" min="50" style="0" width="34"/>
    <col collapsed="false" customWidth="true" hidden="false" outlineLevel="0" max="52" min="52" style="0" width="26"/>
    <col collapsed="false" customWidth="true" hidden="false" outlineLevel="0" max="53" min="53" style="0" width="30"/>
    <col collapsed="false" customWidth="true" hidden="false" outlineLevel="0" max="54" min="54" style="0" width="12"/>
    <col collapsed="false" customWidth="true" hidden="false" outlineLevel="0" max="55" min="55" style="0" width="6"/>
    <col collapsed="false" customWidth="true" hidden="false" outlineLevel="0" max="56" min="56" style="0" width="24"/>
    <col collapsed="false" customWidth="true" hidden="false" outlineLevel="0" max="57" min="57" style="0" width="10"/>
    <col collapsed="false" customWidth="true" hidden="false" outlineLevel="0" max="58" min="58" style="0" width="36"/>
    <col collapsed="false" customWidth="true" hidden="false" outlineLevel="0" max="59" min="59" style="0" width="14"/>
    <col collapsed="false" customWidth="true" hidden="false" outlineLevel="0" max="60" min="60" style="0" width="22"/>
    <col collapsed="false" customWidth="true" hidden="false" outlineLevel="0" max="64" min="6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4" t="s">
        <v>11</v>
      </c>
      <c r="K3" s="3" t="s">
        <v>12</v>
      </c>
      <c r="L3" s="3" t="s">
        <v>13</v>
      </c>
      <c r="M3" s="4" t="s">
        <v>14</v>
      </c>
      <c r="N3" s="4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4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4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4" t="s">
        <v>56</v>
      </c>
      <c r="BD3" s="4" t="s">
        <v>57</v>
      </c>
      <c r="BE3" s="4" t="s">
        <v>58</v>
      </c>
      <c r="BF3" s="3" t="s">
        <v>59</v>
      </c>
      <c r="BG3" s="3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</row>
    <row r="4" customFormat="false" ht="79.85" hidden="false" customHeight="false" outlineLevel="0" collapsed="false">
      <c r="A4" s="5" t="s">
        <v>66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5" t="s">
        <v>12</v>
      </c>
      <c r="J4" s="7" t="str">
        <f aca="false">IFERROR(INDEX(AVAILABILITY_MASTER!$C$4:$C$10,MATCH(I4,AVAILABILITY_MASTER!$A$4:$A$10,0)),"To Be Confirmed")</f>
        <v>Please Confirm at Shop</v>
      </c>
      <c r="K4" s="6" t="s">
        <v>74</v>
      </c>
      <c r="L4" s="6" t="s">
        <v>75</v>
      </c>
      <c r="M4" s="7" t="str">
        <f aca="false">IFERROR(INDEX(SERVICE_DOCUMENTS!$S$4:$S$1000,MATCH(A4,SERVICE_DOCUMENTS!$A$4:$A$1000,0))&amp;"","")</f>
        <v>✓ Identity Proof
✓ Address Proof
✓ Date of Birth Proof
✓ Customer Presence for Biometrics</v>
      </c>
      <c r="N4" s="7" t="str">
        <f aca="false">IFERROR(INDEX(SERVICE_DOCUMENTS!$T$4:$T$1000,MATCH(A4,SERVICE_DOCUMENTS!$A$4:$A$1000,0))&amp;"","")</f>
        <v>• Active Mobile Number (If Applicable)</v>
      </c>
      <c r="O4" s="6" t="s">
        <v>76</v>
      </c>
      <c r="P4" s="6" t="s">
        <v>77</v>
      </c>
      <c r="Q4" s="6" t="s">
        <v>78</v>
      </c>
      <c r="R4" s="8" t="s">
        <v>75</v>
      </c>
      <c r="S4" s="8" t="s">
        <v>75</v>
      </c>
      <c r="T4" s="9" t="str">
        <f aca="false">IF(AND(OR(ISNUMBER(R4),R4="N/A"),OR(ISNUMBER(S4),S4="N/A"),OR(ISNUMBER(R4),ISNUMBER(S4))),N(R4)+N(S4),"To Verify")</f>
        <v>To Verify</v>
      </c>
      <c r="U4" s="6" t="s">
        <v>75</v>
      </c>
      <c r="V4" s="6" t="s">
        <v>79</v>
      </c>
      <c r="W4" s="6" t="s">
        <v>80</v>
      </c>
      <c r="X4" s="6" t="s">
        <v>81</v>
      </c>
      <c r="Y4" s="6" t="s">
        <v>79</v>
      </c>
      <c r="Z4" s="6"/>
      <c r="AA4" s="6" t="s">
        <v>74</v>
      </c>
      <c r="AB4" s="6" t="s">
        <v>74</v>
      </c>
      <c r="AC4" s="6" t="s">
        <v>75</v>
      </c>
      <c r="AD4" s="6" t="s">
        <v>75</v>
      </c>
      <c r="AE4" s="6" t="s">
        <v>79</v>
      </c>
      <c r="AF4" s="6" t="s">
        <v>75</v>
      </c>
      <c r="AG4" s="6" t="s">
        <v>75</v>
      </c>
      <c r="AH4" s="6" t="s">
        <v>79</v>
      </c>
      <c r="AI4" s="6" t="s">
        <v>79</v>
      </c>
      <c r="AJ4" s="6" t="s">
        <v>79</v>
      </c>
      <c r="AK4" s="6" t="s">
        <v>79</v>
      </c>
      <c r="AL4" s="6" t="s">
        <v>67</v>
      </c>
      <c r="AM4" s="6" t="s">
        <v>69</v>
      </c>
      <c r="AN4" s="7" t="str">
        <f aca="false">BA4&amp;", "&amp;AZ4</f>
        <v>New Aadhaar Enrolment – Adult (18+ years), Aadhaar Centre, Devmobile Stores, नया आधार नामांकन – वयस्क (18+ वर्ष), आधार सेंटर, सेवा</v>
      </c>
      <c r="AO4" s="6" t="s">
        <v>82</v>
      </c>
      <c r="AP4" s="5" t="s">
        <v>83</v>
      </c>
      <c r="AQ4" s="5" t="n">
        <v>10</v>
      </c>
      <c r="AR4" s="6" t="s">
        <v>84</v>
      </c>
      <c r="AS4" s="6" t="s">
        <v>85</v>
      </c>
      <c r="AT4" s="6" t="s">
        <v>86</v>
      </c>
      <c r="AU4" s="10"/>
      <c r="AV4" s="6" t="s">
        <v>75</v>
      </c>
      <c r="AW4" s="6" t="s">
        <v>87</v>
      </c>
      <c r="AX4" s="6" t="s">
        <v>88</v>
      </c>
      <c r="AY4" s="6" t="s">
        <v>89</v>
      </c>
      <c r="AZ4" s="6" t="s">
        <v>90</v>
      </c>
      <c r="BA4" s="6" t="s">
        <v>91</v>
      </c>
      <c r="BB4" s="6"/>
      <c r="BC4" s="11" t="str">
        <f aca="false">IFERROR(INDEX(CATEGORY_MASTER!$C$4:$C$30,MATCH(B4,CATEGORY_MASTER!$A$4:$A$30,0)),"")</f>
        <v>🪪</v>
      </c>
      <c r="BD4" s="7" t="str">
        <f aca="false">"/services/"&amp;AO4</f>
        <v>/services/new-aadhaar-enrolment-adult-18-years</v>
      </c>
      <c r="BE4" s="7" t="str">
        <f aca="false">IF(AND(AH4="Yes",AG4="Active",I4&lt;&gt;"Not Available"),"LIVE","HIDDEN")</f>
        <v>HIDDEN</v>
      </c>
      <c r="BF4" s="6" t="s">
        <v>92</v>
      </c>
      <c r="BG4" s="6" t="s">
        <v>93</v>
      </c>
      <c r="BH4" s="7" t="str">
        <f aca="false">B4&amp;"|"&amp;COUNTIF($B$4:B4,B4)</f>
        <v>Aadhaar Centre|1</v>
      </c>
      <c r="BI4" s="7" t="str">
        <f aca="false">IF(AND(AI4="Yes",BE4="LIVE"),COUNTIFS($AI$4:AI4,"Yes",$BE$4:BE4,"LIVE"),"")</f>
        <v/>
      </c>
      <c r="BJ4" s="7" t="str">
        <f aca="false">IF(AND(AJ4="Yes",BE4="LIVE"),COUNTIFS($AJ$4:AJ4,"Yes",$BE$4:BE4,"LIVE"),"")</f>
        <v/>
      </c>
      <c r="BK4" s="7" t="str">
        <f aca="false">IF(AND(AK4="Yes",BE4="LIVE"),COUNTIFS($AK$4:AK4,"Yes",$BE$4:BE4,"LIVE"),"")</f>
        <v/>
      </c>
      <c r="BL4" s="7" t="str">
        <f aca="false">IF(I4="To Verify",COUNTIF($I$4:I4,"To Verify"),"")</f>
        <v/>
      </c>
    </row>
    <row r="5" customFormat="false" ht="68.65" hidden="false" customHeight="false" outlineLevel="0" collapsed="false">
      <c r="A5" s="5" t="s">
        <v>94</v>
      </c>
      <c r="B5" s="6" t="s">
        <v>67</v>
      </c>
      <c r="C5" s="6" t="s">
        <v>68</v>
      </c>
      <c r="D5" s="6" t="s">
        <v>69</v>
      </c>
      <c r="E5" s="6" t="s">
        <v>95</v>
      </c>
      <c r="F5" s="6" t="s">
        <v>96</v>
      </c>
      <c r="G5" s="6" t="s">
        <v>97</v>
      </c>
      <c r="H5" s="6" t="s">
        <v>98</v>
      </c>
      <c r="I5" s="5" t="s">
        <v>12</v>
      </c>
      <c r="J5" s="7" t="str">
        <f aca="false">IFERROR(INDEX(AVAILABILITY_MASTER!$C$4:$C$10,MATCH(I5,AVAILABILITY_MASTER!$A$4:$A$10,0)),"To Be Confirmed")</f>
        <v>Please Confirm at Shop</v>
      </c>
      <c r="K5" s="6" t="s">
        <v>74</v>
      </c>
      <c r="L5" s="6" t="s">
        <v>75</v>
      </c>
      <c r="M5" s="7" t="str">
        <f aca="false">IFERROR(INDEX(SERVICE_DOCUMENTS!$S$4:$S$1000,MATCH(A5,SERVICE_DOCUMENTS!$A$4:$A$1000,0))&amp;"","")</f>
        <v>✓ Parent / Guardian Aadhaar
✓ Birth Certificate
✓ Customer Presence for Biometrics</v>
      </c>
      <c r="N5" s="7" t="str">
        <f aca="false">IFERROR(INDEX(SERVICE_DOCUMENTS!$T$4:$T$1000,MATCH(A5,SERVICE_DOCUMENTS!$A$4:$A$1000,0))&amp;"","")</f>
        <v>• Address Proof (If Applicable)</v>
      </c>
      <c r="O5" s="6" t="s">
        <v>99</v>
      </c>
      <c r="P5" s="6" t="s">
        <v>100</v>
      </c>
      <c r="Q5" s="6" t="s">
        <v>78</v>
      </c>
      <c r="R5" s="8" t="s">
        <v>75</v>
      </c>
      <c r="S5" s="8" t="s">
        <v>75</v>
      </c>
      <c r="T5" s="9" t="str">
        <f aca="false">IF(AND(OR(ISNUMBER(R5),R5="N/A"),OR(ISNUMBER(S5),S5="N/A"),OR(ISNUMBER(R5),ISNUMBER(S5))),N(R5)+N(S5),"To Verify")</f>
        <v>To Verify</v>
      </c>
      <c r="U5" s="6" t="s">
        <v>75</v>
      </c>
      <c r="V5" s="6" t="s">
        <v>79</v>
      </c>
      <c r="W5" s="6" t="s">
        <v>80</v>
      </c>
      <c r="X5" s="6" t="s">
        <v>81</v>
      </c>
      <c r="Y5" s="6" t="s">
        <v>79</v>
      </c>
      <c r="Z5" s="6"/>
      <c r="AA5" s="6" t="s">
        <v>74</v>
      </c>
      <c r="AB5" s="6" t="s">
        <v>74</v>
      </c>
      <c r="AC5" s="6" t="s">
        <v>75</v>
      </c>
      <c r="AD5" s="6" t="s">
        <v>75</v>
      </c>
      <c r="AE5" s="6" t="s">
        <v>79</v>
      </c>
      <c r="AF5" s="6" t="s">
        <v>75</v>
      </c>
      <c r="AG5" s="6" t="s">
        <v>75</v>
      </c>
      <c r="AH5" s="6" t="s">
        <v>79</v>
      </c>
      <c r="AI5" s="6" t="s">
        <v>79</v>
      </c>
      <c r="AJ5" s="6" t="s">
        <v>79</v>
      </c>
      <c r="AK5" s="6" t="s">
        <v>79</v>
      </c>
      <c r="AL5" s="6" t="s">
        <v>67</v>
      </c>
      <c r="AM5" s="6" t="s">
        <v>69</v>
      </c>
      <c r="AN5" s="7" t="str">
        <f aca="false">BA5&amp;", "&amp;AZ5</f>
        <v>New Aadhaar Enrolment – Child (5 to 17 years), Aadhaar Centre, Devmobile Stores, नया आधार नामांकन – बच्चा (5 से 17 वर्ष), आधार सेंटर, सेवा</v>
      </c>
      <c r="AO5" s="6" t="s">
        <v>101</v>
      </c>
      <c r="AP5" s="5" t="s">
        <v>83</v>
      </c>
      <c r="AQ5" s="5" t="n">
        <v>20</v>
      </c>
      <c r="AR5" s="6" t="s">
        <v>102</v>
      </c>
      <c r="AS5" s="6" t="s">
        <v>85</v>
      </c>
      <c r="AT5" s="6" t="s">
        <v>86</v>
      </c>
      <c r="AU5" s="10"/>
      <c r="AV5" s="6" t="s">
        <v>75</v>
      </c>
      <c r="AW5" s="6" t="s">
        <v>103</v>
      </c>
      <c r="AX5" s="6" t="s">
        <v>104</v>
      </c>
      <c r="AY5" s="6" t="s">
        <v>105</v>
      </c>
      <c r="AZ5" s="6" t="s">
        <v>106</v>
      </c>
      <c r="BA5" s="6" t="s">
        <v>107</v>
      </c>
      <c r="BB5" s="6"/>
      <c r="BC5" s="11" t="str">
        <f aca="false">IFERROR(INDEX(CATEGORY_MASTER!$C$4:$C$30,MATCH(B5,CATEGORY_MASTER!$A$4:$A$30,0)),"")</f>
        <v>🪪</v>
      </c>
      <c r="BD5" s="7" t="str">
        <f aca="false">"/services/"&amp;AO5</f>
        <v>/services/new-aadhaar-enrolment-child-5-to-17-years</v>
      </c>
      <c r="BE5" s="7" t="str">
        <f aca="false">IF(AND(AH5="Yes",AG5="Active",I5&lt;&gt;"Not Available"),"LIVE","HIDDEN")</f>
        <v>HIDDEN</v>
      </c>
      <c r="BF5" s="6" t="s">
        <v>108</v>
      </c>
      <c r="BG5" s="6" t="s">
        <v>93</v>
      </c>
      <c r="BH5" s="7" t="str">
        <f aca="false">B5&amp;"|"&amp;COUNTIF($B$4:B5,B5)</f>
        <v>Aadhaar Centre|2</v>
      </c>
      <c r="BI5" s="7" t="str">
        <f aca="false">IF(AND(AI5="Yes",BE5="LIVE"),COUNTIFS($AI$4:AI5,"Yes",$BE$4:BE5,"LIVE"),"")</f>
        <v/>
      </c>
      <c r="BJ5" s="7" t="str">
        <f aca="false">IF(AND(AJ5="Yes",BE5="LIVE"),COUNTIFS($AJ$4:AJ5,"Yes",$BE$4:BE5,"LIVE"),"")</f>
        <v/>
      </c>
      <c r="BK5" s="7" t="str">
        <f aca="false">IF(AND(AK5="Yes",BE5="LIVE"),COUNTIFS($AK$4:AK5,"Yes",$BE$4:BE5,"LIVE"),"")</f>
        <v/>
      </c>
      <c r="BL5" s="7" t="str">
        <f aca="false">IF(I5="To Verify",COUNTIF($I$4:I5,"To Verify"),"")</f>
        <v/>
      </c>
    </row>
    <row r="6" customFormat="false" ht="91" hidden="false" customHeight="false" outlineLevel="0" collapsed="false">
      <c r="A6" s="5" t="s">
        <v>109</v>
      </c>
      <c r="B6" s="6" t="s">
        <v>67</v>
      </c>
      <c r="C6" s="6" t="s">
        <v>68</v>
      </c>
      <c r="D6" s="6" t="s">
        <v>69</v>
      </c>
      <c r="E6" s="6" t="s">
        <v>110</v>
      </c>
      <c r="F6" s="6" t="s">
        <v>111</v>
      </c>
      <c r="G6" s="6" t="s">
        <v>112</v>
      </c>
      <c r="H6" s="6" t="s">
        <v>113</v>
      </c>
      <c r="I6" s="5" t="s">
        <v>12</v>
      </c>
      <c r="J6" s="7" t="str">
        <f aca="false">IFERROR(INDEX(AVAILABILITY_MASTER!$C$4:$C$10,MATCH(I6,AVAILABILITY_MASTER!$A$4:$A$10,0)),"To Be Confirmed")</f>
        <v>Please Confirm at Shop</v>
      </c>
      <c r="K6" s="6" t="s">
        <v>74</v>
      </c>
      <c r="L6" s="6" t="s">
        <v>75</v>
      </c>
      <c r="M6" s="7" t="str">
        <f aca="false">IFERROR(INDEX(SERVICE_DOCUMENTS!$S$4:$S$1000,MATCH(A6,SERVICE_DOCUMENTS!$A$4:$A$1000,0))&amp;"","")</f>
        <v>✓ Parent / Guardian Aadhaar
✓ Birth Certificate
✓ Customer Presence for Biometrics</v>
      </c>
      <c r="N6" s="7" t="str">
        <f aca="false">IFERROR(INDEX(SERVICE_DOCUMENTS!$T$4:$T$1000,MATCH(A6,SERVICE_DOCUMENTS!$A$4:$A$1000,0))&amp;"","")</f>
        <v>• Address Proof (If Applicable)</v>
      </c>
      <c r="O6" s="6" t="s">
        <v>114</v>
      </c>
      <c r="P6" s="6" t="s">
        <v>115</v>
      </c>
      <c r="Q6" s="6" t="s">
        <v>78</v>
      </c>
      <c r="R6" s="8" t="s">
        <v>75</v>
      </c>
      <c r="S6" s="8" t="s">
        <v>75</v>
      </c>
      <c r="T6" s="9" t="str">
        <f aca="false">IF(AND(OR(ISNUMBER(R6),R6="N/A"),OR(ISNUMBER(S6),S6="N/A"),OR(ISNUMBER(R6),ISNUMBER(S6))),N(R6)+N(S6),"To Verify")</f>
        <v>To Verify</v>
      </c>
      <c r="U6" s="6" t="s">
        <v>75</v>
      </c>
      <c r="V6" s="6" t="s">
        <v>79</v>
      </c>
      <c r="W6" s="6" t="s">
        <v>80</v>
      </c>
      <c r="X6" s="6" t="s">
        <v>81</v>
      </c>
      <c r="Y6" s="6" t="s">
        <v>79</v>
      </c>
      <c r="Z6" s="6"/>
      <c r="AA6" s="6" t="s">
        <v>74</v>
      </c>
      <c r="AB6" s="6" t="s">
        <v>74</v>
      </c>
      <c r="AC6" s="6" t="s">
        <v>75</v>
      </c>
      <c r="AD6" s="6" t="s">
        <v>75</v>
      </c>
      <c r="AE6" s="6" t="s">
        <v>79</v>
      </c>
      <c r="AF6" s="6" t="s">
        <v>75</v>
      </c>
      <c r="AG6" s="6" t="s">
        <v>75</v>
      </c>
      <c r="AH6" s="6" t="s">
        <v>79</v>
      </c>
      <c r="AI6" s="6" t="s">
        <v>79</v>
      </c>
      <c r="AJ6" s="6" t="s">
        <v>79</v>
      </c>
      <c r="AK6" s="6" t="s">
        <v>79</v>
      </c>
      <c r="AL6" s="6" t="s">
        <v>67</v>
      </c>
      <c r="AM6" s="6" t="s">
        <v>69</v>
      </c>
      <c r="AN6" s="7" t="str">
        <f aca="false">BA6&amp;", "&amp;AZ6</f>
        <v>New Aadhaar Enrolment – Child (0 to 5 years, Baal Aadhaar), Aadhaar Centre, Devmobile Stores, नया आधार नामांकन – बच्चा (0 से 5 वर्ष, बाल आधार), आधार सेंटर, सेवा</v>
      </c>
      <c r="AO6" s="6" t="s">
        <v>116</v>
      </c>
      <c r="AP6" s="5" t="s">
        <v>83</v>
      </c>
      <c r="AQ6" s="5" t="n">
        <v>30</v>
      </c>
      <c r="AR6" s="6" t="s">
        <v>117</v>
      </c>
      <c r="AS6" s="6" t="s">
        <v>85</v>
      </c>
      <c r="AT6" s="6" t="s">
        <v>86</v>
      </c>
      <c r="AU6" s="10"/>
      <c r="AV6" s="6" t="s">
        <v>75</v>
      </c>
      <c r="AW6" s="6" t="s">
        <v>118</v>
      </c>
      <c r="AX6" s="6" t="s">
        <v>119</v>
      </c>
      <c r="AY6" s="6" t="s">
        <v>120</v>
      </c>
      <c r="AZ6" s="6" t="s">
        <v>121</v>
      </c>
      <c r="BA6" s="6" t="s">
        <v>122</v>
      </c>
      <c r="BB6" s="6"/>
      <c r="BC6" s="11" t="str">
        <f aca="false">IFERROR(INDEX(CATEGORY_MASTER!$C$4:$C$30,MATCH(B6,CATEGORY_MASTER!$A$4:$A$30,0)),"")</f>
        <v>🪪</v>
      </c>
      <c r="BD6" s="7" t="str">
        <f aca="false">"/services/"&amp;AO6</f>
        <v>/services/new-aadhaar-enrolment-child-0-to-5-years-baal-aadhaar</v>
      </c>
      <c r="BE6" s="7" t="str">
        <f aca="false">IF(AND(AH6="Yes",AG6="Active",I6&lt;&gt;"Not Available"),"LIVE","HIDDEN")</f>
        <v>HIDDEN</v>
      </c>
      <c r="BF6" s="6" t="s">
        <v>123</v>
      </c>
      <c r="BG6" s="6" t="s">
        <v>93</v>
      </c>
      <c r="BH6" s="7" t="str">
        <f aca="false">B6&amp;"|"&amp;COUNTIF($B$4:B6,B6)</f>
        <v>Aadhaar Centre|3</v>
      </c>
      <c r="BI6" s="7" t="str">
        <f aca="false">IF(AND(AI6="Yes",BE6="LIVE"),COUNTIFS($AI$4:AI6,"Yes",$BE$4:BE6,"LIVE"),"")</f>
        <v/>
      </c>
      <c r="BJ6" s="7" t="str">
        <f aca="false">IF(AND(AJ6="Yes",BE6="LIVE"),COUNTIFS($AJ$4:AJ6,"Yes",$BE$4:BE6,"LIVE"),"")</f>
        <v/>
      </c>
      <c r="BK6" s="7" t="str">
        <f aca="false">IF(AND(AK6="Yes",BE6="LIVE"),COUNTIFS($AK$4:AK6,"Yes",$BE$4:BE6,"LIVE"),"")</f>
        <v/>
      </c>
      <c r="BL6" s="7" t="str">
        <f aca="false">IF(I6="To Verify",COUNTIF($I$4:I6,"To Verify"),"")</f>
        <v/>
      </c>
    </row>
    <row r="7" customFormat="false" ht="79.85" hidden="false" customHeight="false" outlineLevel="0" collapsed="false">
      <c r="A7" s="5" t="s">
        <v>124</v>
      </c>
      <c r="B7" s="6" t="s">
        <v>67</v>
      </c>
      <c r="C7" s="6" t="s">
        <v>68</v>
      </c>
      <c r="D7" s="6" t="s">
        <v>69</v>
      </c>
      <c r="E7" s="6" t="s">
        <v>125</v>
      </c>
      <c r="F7" s="6" t="s">
        <v>126</v>
      </c>
      <c r="G7" s="6" t="s">
        <v>127</v>
      </c>
      <c r="H7" s="6" t="s">
        <v>128</v>
      </c>
      <c r="I7" s="5" t="s">
        <v>75</v>
      </c>
      <c r="J7" s="7" t="str">
        <f aca="false">IFERROR(INDEX(AVAILABILITY_MASTER!$C$4:$C$10,MATCH(I7,AVAILABILITY_MASTER!$A$4:$A$10,0)),"To Be Confirmed")</f>
        <v>To Be Confirmed</v>
      </c>
      <c r="K7" s="6" t="s">
        <v>129</v>
      </c>
      <c r="L7" s="6" t="s">
        <v>75</v>
      </c>
      <c r="M7" s="7" t="str">
        <f aca="false">IFERROR(INDEX(SERVICE_DOCUMENTS!$S$4:$S$1000,MATCH(A7,SERVICE_DOCUMENTS!$A$4:$A$1000,0))&amp;"","")</f>
        <v>✓ Customer Presence for Biometrics</v>
      </c>
      <c r="N7" s="7" t="str">
        <f aca="false">IFERROR(INDEX(SERVICE_DOCUMENTS!$T$4:$T$1000,MATCH(A7,SERVICE_DOCUMENTS!$A$4:$A$1000,0))&amp;"","")</f>
        <v>• Original Documents (To Verify)</v>
      </c>
      <c r="O7" s="6" t="s">
        <v>130</v>
      </c>
      <c r="P7" s="6" t="s">
        <v>131</v>
      </c>
      <c r="Q7" s="6" t="s">
        <v>78</v>
      </c>
      <c r="R7" s="8" t="s">
        <v>75</v>
      </c>
      <c r="S7" s="8" t="s">
        <v>75</v>
      </c>
      <c r="T7" s="9" t="str">
        <f aca="false">IF(AND(OR(ISNUMBER(R7),R7="N/A"),OR(ISNUMBER(S7),S7="N/A"),OR(ISNUMBER(R7),ISNUMBER(S7))),N(R7)+N(S7),"To Verify")</f>
        <v>To Verify</v>
      </c>
      <c r="U7" s="6" t="s">
        <v>75</v>
      </c>
      <c r="V7" s="6" t="s">
        <v>79</v>
      </c>
      <c r="W7" s="6" t="s">
        <v>80</v>
      </c>
      <c r="X7" s="6" t="s">
        <v>81</v>
      </c>
      <c r="Y7" s="6" t="s">
        <v>79</v>
      </c>
      <c r="Z7" s="6"/>
      <c r="AA7" s="6" t="s">
        <v>74</v>
      </c>
      <c r="AB7" s="6" t="s">
        <v>74</v>
      </c>
      <c r="AC7" s="6" t="s">
        <v>75</v>
      </c>
      <c r="AD7" s="6" t="s">
        <v>75</v>
      </c>
      <c r="AE7" s="6" t="s">
        <v>79</v>
      </c>
      <c r="AF7" s="6" t="s">
        <v>75</v>
      </c>
      <c r="AG7" s="6" t="s">
        <v>75</v>
      </c>
      <c r="AH7" s="6" t="s">
        <v>79</v>
      </c>
      <c r="AI7" s="6" t="s">
        <v>79</v>
      </c>
      <c r="AJ7" s="6" t="s">
        <v>79</v>
      </c>
      <c r="AK7" s="6" t="s">
        <v>79</v>
      </c>
      <c r="AL7" s="6" t="s">
        <v>67</v>
      </c>
      <c r="AM7" s="6" t="s">
        <v>69</v>
      </c>
      <c r="AN7" s="7" t="str">
        <f aca="false">BA7&amp;", "&amp;AZ7</f>
        <v>Aadhaar Enrolment – Head of Family / Introducer Based, Aadhaar Centre, Devmobile Stores, आधार नामांकन – परिवार मुखिया / परिचयकर्ता आधारित, आधार सेंटर, सेवा</v>
      </c>
      <c r="AO7" s="6" t="s">
        <v>132</v>
      </c>
      <c r="AP7" s="5" t="s">
        <v>83</v>
      </c>
      <c r="AQ7" s="5" t="n">
        <v>40</v>
      </c>
      <c r="AR7" s="6" t="s">
        <v>133</v>
      </c>
      <c r="AS7" s="6" t="s">
        <v>85</v>
      </c>
      <c r="AT7" s="6" t="s">
        <v>86</v>
      </c>
      <c r="AU7" s="10"/>
      <c r="AV7" s="6" t="s">
        <v>75</v>
      </c>
      <c r="AW7" s="6" t="s">
        <v>134</v>
      </c>
      <c r="AX7" s="6" t="s">
        <v>135</v>
      </c>
      <c r="AY7" s="6" t="s">
        <v>136</v>
      </c>
      <c r="AZ7" s="6" t="s">
        <v>137</v>
      </c>
      <c r="BA7" s="6" t="s">
        <v>138</v>
      </c>
      <c r="BB7" s="6"/>
      <c r="BC7" s="11" t="str">
        <f aca="false">IFERROR(INDEX(CATEGORY_MASTER!$C$4:$C$30,MATCH(B7,CATEGORY_MASTER!$A$4:$A$30,0)),"")</f>
        <v>🪪</v>
      </c>
      <c r="BD7" s="7" t="str">
        <f aca="false">"/services/"&amp;AO7</f>
        <v>/services/aadhaar-enrolment-head-of-family-introducer-based</v>
      </c>
      <c r="BE7" s="7" t="str">
        <f aca="false">IF(AND(AH7="Yes",AG7="Active",I7&lt;&gt;"Not Available"),"LIVE","HIDDEN")</f>
        <v>HIDDEN</v>
      </c>
      <c r="BF7" s="6" t="s">
        <v>139</v>
      </c>
      <c r="BG7" s="6" t="s">
        <v>140</v>
      </c>
      <c r="BH7" s="7" t="str">
        <f aca="false">B7&amp;"|"&amp;COUNTIF($B$4:B7,B7)</f>
        <v>Aadhaar Centre|4</v>
      </c>
      <c r="BI7" s="7" t="str">
        <f aca="false">IF(AND(AI7="Yes",BE7="LIVE"),COUNTIFS($AI$4:AI7,"Yes",$BE$4:BE7,"LIVE"),"")</f>
        <v/>
      </c>
      <c r="BJ7" s="7" t="str">
        <f aca="false">IF(AND(AJ7="Yes",BE7="LIVE"),COUNTIFS($AJ$4:AJ7,"Yes",$BE$4:BE7,"LIVE"),"")</f>
        <v/>
      </c>
      <c r="BK7" s="7" t="str">
        <f aca="false">IF(AND(AK7="Yes",BE7="LIVE"),COUNTIFS($AK$4:AK7,"Yes",$BE$4:BE7,"LIVE"),"")</f>
        <v/>
      </c>
      <c r="BL7" s="7" t="n">
        <f aca="false">IF(I7="To Verify",COUNTIF($I$4:I7,"To Verify"),"")</f>
        <v>1</v>
      </c>
    </row>
    <row r="8" customFormat="false" ht="68.65" hidden="false" customHeight="false" outlineLevel="0" collapsed="false">
      <c r="A8" s="5" t="s">
        <v>141</v>
      </c>
      <c r="B8" s="6" t="s">
        <v>67</v>
      </c>
      <c r="C8" s="6" t="s">
        <v>68</v>
      </c>
      <c r="D8" s="6" t="s">
        <v>69</v>
      </c>
      <c r="E8" s="6" t="s">
        <v>142</v>
      </c>
      <c r="F8" s="6" t="s">
        <v>143</v>
      </c>
      <c r="G8" s="6" t="s">
        <v>144</v>
      </c>
      <c r="H8" s="6" t="s">
        <v>128</v>
      </c>
      <c r="I8" s="5" t="s">
        <v>75</v>
      </c>
      <c r="J8" s="7" t="str">
        <f aca="false">IFERROR(INDEX(AVAILABILITY_MASTER!$C$4:$C$10,MATCH(I8,AVAILABILITY_MASTER!$A$4:$A$10,0)),"To Be Confirmed")</f>
        <v>To Be Confirmed</v>
      </c>
      <c r="K8" s="6" t="s">
        <v>129</v>
      </c>
      <c r="L8" s="6" t="s">
        <v>75</v>
      </c>
      <c r="M8" s="7" t="str">
        <f aca="false">IFERROR(INDEX(SERVICE_DOCUMENTS!$S$4:$S$1000,MATCH(A8,SERVICE_DOCUMENTS!$A$4:$A$1000,0))&amp;"","")</f>
        <v>✓ Customer Presence for Biometrics</v>
      </c>
      <c r="N8" s="7" t="str">
        <f aca="false">IFERROR(INDEX(SERVICE_DOCUMENTS!$T$4:$T$1000,MATCH(A8,SERVICE_DOCUMENTS!$A$4:$A$1000,0))&amp;"","")</f>
        <v>• Original Documents (To Verify)</v>
      </c>
      <c r="O8" s="6" t="s">
        <v>130</v>
      </c>
      <c r="P8" s="6" t="s">
        <v>131</v>
      </c>
      <c r="Q8" s="6" t="s">
        <v>78</v>
      </c>
      <c r="R8" s="8" t="s">
        <v>75</v>
      </c>
      <c r="S8" s="8" t="s">
        <v>75</v>
      </c>
      <c r="T8" s="9" t="str">
        <f aca="false">IF(AND(OR(ISNUMBER(R8),R8="N/A"),OR(ISNUMBER(S8),S8="N/A"),OR(ISNUMBER(R8),ISNUMBER(S8))),N(R8)+N(S8),"To Verify")</f>
        <v>To Verify</v>
      </c>
      <c r="U8" s="6" t="s">
        <v>75</v>
      </c>
      <c r="V8" s="6" t="s">
        <v>79</v>
      </c>
      <c r="W8" s="6" t="s">
        <v>80</v>
      </c>
      <c r="X8" s="6" t="s">
        <v>81</v>
      </c>
      <c r="Y8" s="6" t="s">
        <v>79</v>
      </c>
      <c r="Z8" s="6"/>
      <c r="AA8" s="6" t="s">
        <v>74</v>
      </c>
      <c r="AB8" s="6" t="s">
        <v>74</v>
      </c>
      <c r="AC8" s="6" t="s">
        <v>75</v>
      </c>
      <c r="AD8" s="6" t="s">
        <v>75</v>
      </c>
      <c r="AE8" s="6" t="s">
        <v>79</v>
      </c>
      <c r="AF8" s="6" t="s">
        <v>75</v>
      </c>
      <c r="AG8" s="6" t="s">
        <v>75</v>
      </c>
      <c r="AH8" s="6" t="s">
        <v>79</v>
      </c>
      <c r="AI8" s="6" t="s">
        <v>79</v>
      </c>
      <c r="AJ8" s="6" t="s">
        <v>79</v>
      </c>
      <c r="AK8" s="6" t="s">
        <v>79</v>
      </c>
      <c r="AL8" s="6" t="s">
        <v>67</v>
      </c>
      <c r="AM8" s="6" t="s">
        <v>69</v>
      </c>
      <c r="AN8" s="7" t="str">
        <f aca="false">BA8&amp;", "&amp;AZ8</f>
        <v>Aadhaar Enrolment – NRI / Foreign Resident, Aadhaar Centre, Devmobile Stores, आधार नामांकन – NRI / विदेशी निवासी, आधार सेंटर, सेवा</v>
      </c>
      <c r="AO8" s="6" t="s">
        <v>145</v>
      </c>
      <c r="AP8" s="5" t="s">
        <v>83</v>
      </c>
      <c r="AQ8" s="5" t="n">
        <v>50</v>
      </c>
      <c r="AR8" s="6" t="s">
        <v>133</v>
      </c>
      <c r="AS8" s="6" t="s">
        <v>85</v>
      </c>
      <c r="AT8" s="6" t="s">
        <v>86</v>
      </c>
      <c r="AU8" s="10"/>
      <c r="AV8" s="6" t="s">
        <v>75</v>
      </c>
      <c r="AW8" s="6" t="s">
        <v>146</v>
      </c>
      <c r="AX8" s="6" t="s">
        <v>147</v>
      </c>
      <c r="AY8" s="6" t="s">
        <v>148</v>
      </c>
      <c r="AZ8" s="6" t="s">
        <v>149</v>
      </c>
      <c r="BA8" s="6" t="s">
        <v>150</v>
      </c>
      <c r="BB8" s="6"/>
      <c r="BC8" s="11" t="str">
        <f aca="false">IFERROR(INDEX(CATEGORY_MASTER!$C$4:$C$30,MATCH(B8,CATEGORY_MASTER!$A$4:$A$30,0)),"")</f>
        <v>🪪</v>
      </c>
      <c r="BD8" s="7" t="str">
        <f aca="false">"/services/"&amp;AO8</f>
        <v>/services/aadhaar-enrolment-nri-foreign-resident</v>
      </c>
      <c r="BE8" s="7" t="str">
        <f aca="false">IF(AND(AH8="Yes",AG8="Active",I8&lt;&gt;"Not Available"),"LIVE","HIDDEN")</f>
        <v>HIDDEN</v>
      </c>
      <c r="BF8" s="6" t="s">
        <v>139</v>
      </c>
      <c r="BG8" s="6" t="s">
        <v>140</v>
      </c>
      <c r="BH8" s="7" t="str">
        <f aca="false">B8&amp;"|"&amp;COUNTIF($B$4:B8,B8)</f>
        <v>Aadhaar Centre|5</v>
      </c>
      <c r="BI8" s="7" t="str">
        <f aca="false">IF(AND(AI8="Yes",BE8="LIVE"),COUNTIFS($AI$4:AI8,"Yes",$BE$4:BE8,"LIVE"),"")</f>
        <v/>
      </c>
      <c r="BJ8" s="7" t="str">
        <f aca="false">IF(AND(AJ8="Yes",BE8="LIVE"),COUNTIFS($AJ$4:AJ8,"Yes",$BE$4:BE8,"LIVE"),"")</f>
        <v/>
      </c>
      <c r="BK8" s="7" t="str">
        <f aca="false">IF(AND(AK8="Yes",BE8="LIVE"),COUNTIFS($AK$4:AK8,"Yes",$BE$4:BE8,"LIVE"),"")</f>
        <v/>
      </c>
      <c r="BL8" s="7" t="n">
        <f aca="false">IF(I8="To Verify",COUNTIF($I$4:I8,"To Verify"),"")</f>
        <v>2</v>
      </c>
    </row>
    <row r="9" customFormat="false" ht="68.65" hidden="false" customHeight="false" outlineLevel="0" collapsed="false">
      <c r="A9" s="5" t="s">
        <v>151</v>
      </c>
      <c r="B9" s="6" t="s">
        <v>67</v>
      </c>
      <c r="C9" s="6" t="s">
        <v>68</v>
      </c>
      <c r="D9" s="6" t="s">
        <v>69</v>
      </c>
      <c r="E9" s="6" t="s">
        <v>152</v>
      </c>
      <c r="F9" s="6" t="s">
        <v>153</v>
      </c>
      <c r="G9" s="6" t="s">
        <v>154</v>
      </c>
      <c r="H9" s="6" t="s">
        <v>128</v>
      </c>
      <c r="I9" s="5" t="s">
        <v>75</v>
      </c>
      <c r="J9" s="7" t="str">
        <f aca="false">IFERROR(INDEX(AVAILABILITY_MASTER!$C$4:$C$10,MATCH(I9,AVAILABILITY_MASTER!$A$4:$A$10,0)),"To Be Confirmed")</f>
        <v>To Be Confirmed</v>
      </c>
      <c r="K9" s="6" t="s">
        <v>129</v>
      </c>
      <c r="L9" s="6" t="s">
        <v>75</v>
      </c>
      <c r="M9" s="7" t="str">
        <f aca="false">IFERROR(INDEX(SERVICE_DOCUMENTS!$S$4:$S$1000,MATCH(A9,SERVICE_DOCUMENTS!$A$4:$A$1000,0))&amp;"","")</f>
        <v>✓ Customer Presence for Biometrics</v>
      </c>
      <c r="N9" s="7" t="str">
        <f aca="false">IFERROR(INDEX(SERVICE_DOCUMENTS!$T$4:$T$1000,MATCH(A9,SERVICE_DOCUMENTS!$A$4:$A$1000,0))&amp;"","")</f>
        <v>• Original Documents (To Verify)</v>
      </c>
      <c r="O9" s="6" t="s">
        <v>130</v>
      </c>
      <c r="P9" s="6" t="s">
        <v>131</v>
      </c>
      <c r="Q9" s="6" t="s">
        <v>78</v>
      </c>
      <c r="R9" s="8" t="s">
        <v>75</v>
      </c>
      <c r="S9" s="8" t="s">
        <v>75</v>
      </c>
      <c r="T9" s="9" t="str">
        <f aca="false">IF(AND(OR(ISNUMBER(R9),R9="N/A"),OR(ISNUMBER(S9),S9="N/A"),OR(ISNUMBER(R9),ISNUMBER(S9))),N(R9)+N(S9),"To Verify")</f>
        <v>To Verify</v>
      </c>
      <c r="U9" s="6" t="s">
        <v>75</v>
      </c>
      <c r="V9" s="6" t="s">
        <v>79</v>
      </c>
      <c r="W9" s="6" t="s">
        <v>80</v>
      </c>
      <c r="X9" s="6" t="s">
        <v>81</v>
      </c>
      <c r="Y9" s="6" t="s">
        <v>79</v>
      </c>
      <c r="Z9" s="6"/>
      <c r="AA9" s="6" t="s">
        <v>74</v>
      </c>
      <c r="AB9" s="6" t="s">
        <v>74</v>
      </c>
      <c r="AC9" s="6" t="s">
        <v>75</v>
      </c>
      <c r="AD9" s="6" t="s">
        <v>75</v>
      </c>
      <c r="AE9" s="6" t="s">
        <v>79</v>
      </c>
      <c r="AF9" s="6" t="s">
        <v>75</v>
      </c>
      <c r="AG9" s="6" t="s">
        <v>75</v>
      </c>
      <c r="AH9" s="6" t="s">
        <v>79</v>
      </c>
      <c r="AI9" s="6" t="s">
        <v>79</v>
      </c>
      <c r="AJ9" s="6" t="s">
        <v>79</v>
      </c>
      <c r="AK9" s="6" t="s">
        <v>79</v>
      </c>
      <c r="AL9" s="6" t="s">
        <v>67</v>
      </c>
      <c r="AM9" s="6" t="s">
        <v>69</v>
      </c>
      <c r="AN9" s="7" t="str">
        <f aca="false">BA9&amp;", "&amp;AZ9</f>
        <v>Aadhaar Enrolment – Biometric Exception Case, Aadhaar Centre, Devmobile Stores, आधार नामांकन – बायोमेट्रिक अपवाद मामला, आधार सेंटर, सेवा</v>
      </c>
      <c r="AO9" s="6" t="s">
        <v>155</v>
      </c>
      <c r="AP9" s="5" t="s">
        <v>83</v>
      </c>
      <c r="AQ9" s="5" t="n">
        <v>60</v>
      </c>
      <c r="AR9" s="6" t="s">
        <v>133</v>
      </c>
      <c r="AS9" s="6" t="s">
        <v>85</v>
      </c>
      <c r="AT9" s="6" t="s">
        <v>86</v>
      </c>
      <c r="AU9" s="10"/>
      <c r="AV9" s="6" t="s">
        <v>75</v>
      </c>
      <c r="AW9" s="6" t="s">
        <v>156</v>
      </c>
      <c r="AX9" s="6" t="s">
        <v>157</v>
      </c>
      <c r="AY9" s="6" t="s">
        <v>158</v>
      </c>
      <c r="AZ9" s="6" t="s">
        <v>159</v>
      </c>
      <c r="BA9" s="6" t="s">
        <v>160</v>
      </c>
      <c r="BB9" s="6"/>
      <c r="BC9" s="11" t="str">
        <f aca="false">IFERROR(INDEX(CATEGORY_MASTER!$C$4:$C$30,MATCH(B9,CATEGORY_MASTER!$A$4:$A$30,0)),"")</f>
        <v>🪪</v>
      </c>
      <c r="BD9" s="7" t="str">
        <f aca="false">"/services/"&amp;AO9</f>
        <v>/services/aadhaar-enrolment-biometric-exception-case</v>
      </c>
      <c r="BE9" s="7" t="str">
        <f aca="false">IF(AND(AH9="Yes",AG9="Active",I9&lt;&gt;"Not Available"),"LIVE","HIDDEN")</f>
        <v>HIDDEN</v>
      </c>
      <c r="BF9" s="6" t="s">
        <v>139</v>
      </c>
      <c r="BG9" s="6" t="s">
        <v>140</v>
      </c>
      <c r="BH9" s="7" t="str">
        <f aca="false">B9&amp;"|"&amp;COUNTIF($B$4:B9,B9)</f>
        <v>Aadhaar Centre|6</v>
      </c>
      <c r="BI9" s="7" t="str">
        <f aca="false">IF(AND(AI9="Yes",BE9="LIVE"),COUNTIFS($AI$4:AI9,"Yes",$BE$4:BE9,"LIVE"),"")</f>
        <v/>
      </c>
      <c r="BJ9" s="7" t="str">
        <f aca="false">IF(AND(AJ9="Yes",BE9="LIVE"),COUNTIFS($AJ$4:AJ9,"Yes",$BE$4:BE9,"LIVE"),"")</f>
        <v/>
      </c>
      <c r="BK9" s="7" t="str">
        <f aca="false">IF(AND(AK9="Yes",BE9="LIVE"),COUNTIFS($AK$4:AK9,"Yes",$BE$4:BE9,"LIVE"),"")</f>
        <v/>
      </c>
      <c r="BL9" s="7" t="n">
        <f aca="false">IF(I9="To Verify",COUNTIF($I$4:I9,"To Verify"),"")</f>
        <v>3</v>
      </c>
    </row>
    <row r="10" customFormat="false" ht="113.4" hidden="false" customHeight="false" outlineLevel="0" collapsed="false">
      <c r="A10" s="5" t="s">
        <v>161</v>
      </c>
      <c r="B10" s="6" t="s">
        <v>67</v>
      </c>
      <c r="C10" s="6" t="s">
        <v>68</v>
      </c>
      <c r="D10" s="6" t="s">
        <v>162</v>
      </c>
      <c r="E10" s="6" t="s">
        <v>163</v>
      </c>
      <c r="F10" s="6" t="s">
        <v>164</v>
      </c>
      <c r="G10" s="6" t="s">
        <v>165</v>
      </c>
      <c r="H10" s="6" t="s">
        <v>166</v>
      </c>
      <c r="I10" s="5" t="s">
        <v>167</v>
      </c>
      <c r="J10" s="7" t="str">
        <f aca="false">IFERROR(INDEX(AVAILABILITY_MASTER!$C$4:$C$10,MATCH(I10,AVAILABILITY_MASTER!$A$4:$A$10,0)),"To Be Confirmed")</f>
        <v>Available</v>
      </c>
      <c r="K10" s="6" t="s">
        <v>74</v>
      </c>
      <c r="L10" s="6" t="s">
        <v>75</v>
      </c>
      <c r="M10" s="7" t="str">
        <f aca="false">IFERROR(INDEX(SERVICE_DOCUMENTS!$S$4:$S$1000,MATCH(A10,SERVICE_DOCUMENTS!$A$4:$A$1000,0))&amp;"","")</f>
        <v>✓ Aadhaar Card
✓ Proof of Name</v>
      </c>
      <c r="N10" s="7" t="str">
        <f aca="false">IFERROR(INDEX(SERVICE_DOCUMENTS!$T$4:$T$1000,MATCH(A10,SERVICE_DOCUMENTS!$A$4:$A$1000,0))&amp;"","")</f>
        <v/>
      </c>
      <c r="O10" s="6" t="s">
        <v>168</v>
      </c>
      <c r="P10" s="6" t="s">
        <v>169</v>
      </c>
      <c r="Q10" s="6" t="s">
        <v>78</v>
      </c>
      <c r="R10" s="8" t="s">
        <v>75</v>
      </c>
      <c r="S10" s="8" t="s">
        <v>75</v>
      </c>
      <c r="T10" s="9" t="str">
        <f aca="false">IF(AND(OR(ISNUMBER(R10),R10="N/A"),OR(ISNUMBER(S10),S10="N/A"),OR(ISNUMBER(R10),ISNUMBER(S10))),N(R10)+N(S10),"To Verify")</f>
        <v>To Verify</v>
      </c>
      <c r="U10" s="6" t="s">
        <v>75</v>
      </c>
      <c r="V10" s="6" t="s">
        <v>79</v>
      </c>
      <c r="W10" s="6" t="s">
        <v>80</v>
      </c>
      <c r="X10" s="6" t="s">
        <v>81</v>
      </c>
      <c r="Y10" s="6" t="s">
        <v>79</v>
      </c>
      <c r="Z10" s="6"/>
      <c r="AA10" s="6" t="s">
        <v>74</v>
      </c>
      <c r="AB10" s="6" t="s">
        <v>74</v>
      </c>
      <c r="AC10" s="6" t="s">
        <v>75</v>
      </c>
      <c r="AD10" s="6" t="s">
        <v>75</v>
      </c>
      <c r="AE10" s="6" t="s">
        <v>79</v>
      </c>
      <c r="AF10" s="6" t="s">
        <v>75</v>
      </c>
      <c r="AG10" s="6" t="s">
        <v>170</v>
      </c>
      <c r="AH10" s="6" t="s">
        <v>74</v>
      </c>
      <c r="AI10" s="6" t="s">
        <v>79</v>
      </c>
      <c r="AJ10" s="6" t="s">
        <v>79</v>
      </c>
      <c r="AK10" s="6" t="s">
        <v>79</v>
      </c>
      <c r="AL10" s="6" t="s">
        <v>67</v>
      </c>
      <c r="AM10" s="6" t="s">
        <v>162</v>
      </c>
      <c r="AN10" s="7" t="str">
        <f aca="false">BA10&amp;", "&amp;AZ10</f>
        <v>Aadhaar Name Update, Aadhaar Centre, Devmobile Stores, आधार नाम अपडेट, आधार सेंटर, सेवा</v>
      </c>
      <c r="AO10" s="6" t="s">
        <v>171</v>
      </c>
      <c r="AP10" s="5" t="s">
        <v>172</v>
      </c>
      <c r="AQ10" s="5" t="n">
        <v>70</v>
      </c>
      <c r="AR10" s="6" t="s">
        <v>173</v>
      </c>
      <c r="AS10" s="6" t="s">
        <v>85</v>
      </c>
      <c r="AT10" s="6" t="s">
        <v>86</v>
      </c>
      <c r="AU10" s="10"/>
      <c r="AV10" s="6" t="s">
        <v>75</v>
      </c>
      <c r="AW10" s="6" t="s">
        <v>174</v>
      </c>
      <c r="AX10" s="6" t="s">
        <v>175</v>
      </c>
      <c r="AY10" s="6" t="s">
        <v>176</v>
      </c>
      <c r="AZ10" s="6" t="s">
        <v>177</v>
      </c>
      <c r="BA10" s="6" t="s">
        <v>178</v>
      </c>
      <c r="BB10" s="6"/>
      <c r="BC10" s="11" t="str">
        <f aca="false">IFERROR(INDEX(CATEGORY_MASTER!$C$4:$C$30,MATCH(B10,CATEGORY_MASTER!$A$4:$A$30,0)),"")</f>
        <v>🪪</v>
      </c>
      <c r="BD10" s="7" t="str">
        <f aca="false">"/services/"&amp;AO10</f>
        <v>/services/aadhaar-name-update</v>
      </c>
      <c r="BE10" s="7" t="str">
        <f aca="false">IF(AND(AH10="Yes",AG10="Active",I10&lt;&gt;"Not Available"),"LIVE","HIDDEN")</f>
        <v>LIVE</v>
      </c>
      <c r="BF10" s="6" t="s">
        <v>179</v>
      </c>
      <c r="BG10" s="6" t="s">
        <v>93</v>
      </c>
      <c r="BH10" s="7" t="str">
        <f aca="false">B10&amp;"|"&amp;COUNTIF($B$4:B10,B10)</f>
        <v>Aadhaar Centre|7</v>
      </c>
      <c r="BI10" s="7" t="str">
        <f aca="false">IF(AND(AI10="Yes",BE10="LIVE"),COUNTIFS($AI$4:AI10,"Yes",$BE$4:BE10,"LIVE"),"")</f>
        <v/>
      </c>
      <c r="BJ10" s="7" t="str">
        <f aca="false">IF(AND(AJ10="Yes",BE10="LIVE"),COUNTIFS($AJ$4:AJ10,"Yes",$BE$4:BE10,"LIVE"),"")</f>
        <v/>
      </c>
      <c r="BK10" s="7" t="str">
        <f aca="false">IF(AND(AK10="Yes",BE10="LIVE"),COUNTIFS($AK$4:AK10,"Yes",$BE$4:BE10,"LIVE"),"")</f>
        <v/>
      </c>
      <c r="BL10" s="7" t="str">
        <f aca="false">IF(I10="To Verify",COUNTIF($I$4:I10,"To Verify"),"")</f>
        <v/>
      </c>
    </row>
    <row r="11" customFormat="false" ht="113.4" hidden="false" customHeight="false" outlineLevel="0" collapsed="false">
      <c r="A11" s="5" t="s">
        <v>180</v>
      </c>
      <c r="B11" s="6" t="s">
        <v>67</v>
      </c>
      <c r="C11" s="6" t="s">
        <v>68</v>
      </c>
      <c r="D11" s="6" t="s">
        <v>162</v>
      </c>
      <c r="E11" s="6" t="s">
        <v>181</v>
      </c>
      <c r="F11" s="6" t="s">
        <v>182</v>
      </c>
      <c r="G11" s="6" t="s">
        <v>183</v>
      </c>
      <c r="H11" s="6" t="s">
        <v>184</v>
      </c>
      <c r="I11" s="5" t="s">
        <v>167</v>
      </c>
      <c r="J11" s="7" t="str">
        <f aca="false">IFERROR(INDEX(AVAILABILITY_MASTER!$C$4:$C$10,MATCH(I11,AVAILABILITY_MASTER!$A$4:$A$10,0)),"To Be Confirmed")</f>
        <v>Available</v>
      </c>
      <c r="K11" s="6" t="s">
        <v>74</v>
      </c>
      <c r="L11" s="6" t="s">
        <v>75</v>
      </c>
      <c r="M11" s="7" t="str">
        <f aca="false">IFERROR(INDEX(SERVICE_DOCUMENTS!$S$4:$S$1000,MATCH(A11,SERVICE_DOCUMENTS!$A$4:$A$1000,0))&amp;"","")</f>
        <v>✓ Aadhaar Card
✓ Date of Birth Proof</v>
      </c>
      <c r="N11" s="7" t="str">
        <f aca="false">IFERROR(INDEX(SERVICE_DOCUMENTS!$T$4:$T$1000,MATCH(A11,SERVICE_DOCUMENTS!$A$4:$A$1000,0))&amp;"","")</f>
        <v/>
      </c>
      <c r="O11" s="6" t="s">
        <v>168</v>
      </c>
      <c r="P11" s="6" t="s">
        <v>185</v>
      </c>
      <c r="Q11" s="6" t="s">
        <v>78</v>
      </c>
      <c r="R11" s="8" t="s">
        <v>75</v>
      </c>
      <c r="S11" s="8" t="s">
        <v>75</v>
      </c>
      <c r="T11" s="9" t="str">
        <f aca="false">IF(AND(OR(ISNUMBER(R11),R11="N/A"),OR(ISNUMBER(S11),S11="N/A"),OR(ISNUMBER(R11),ISNUMBER(S11))),N(R11)+N(S11),"To Verify")</f>
        <v>To Verify</v>
      </c>
      <c r="U11" s="6" t="s">
        <v>75</v>
      </c>
      <c r="V11" s="6" t="s">
        <v>79</v>
      </c>
      <c r="W11" s="6" t="s">
        <v>80</v>
      </c>
      <c r="X11" s="6" t="s">
        <v>81</v>
      </c>
      <c r="Y11" s="6" t="s">
        <v>79</v>
      </c>
      <c r="Z11" s="6"/>
      <c r="AA11" s="6" t="s">
        <v>74</v>
      </c>
      <c r="AB11" s="6" t="s">
        <v>74</v>
      </c>
      <c r="AC11" s="6" t="s">
        <v>75</v>
      </c>
      <c r="AD11" s="6" t="s">
        <v>75</v>
      </c>
      <c r="AE11" s="6" t="s">
        <v>79</v>
      </c>
      <c r="AF11" s="6" t="s">
        <v>75</v>
      </c>
      <c r="AG11" s="6" t="s">
        <v>170</v>
      </c>
      <c r="AH11" s="6" t="s">
        <v>74</v>
      </c>
      <c r="AI11" s="6" t="s">
        <v>79</v>
      </c>
      <c r="AJ11" s="6" t="s">
        <v>79</v>
      </c>
      <c r="AK11" s="6" t="s">
        <v>79</v>
      </c>
      <c r="AL11" s="6" t="s">
        <v>67</v>
      </c>
      <c r="AM11" s="6" t="s">
        <v>162</v>
      </c>
      <c r="AN11" s="7" t="str">
        <f aca="false">BA11&amp;", "&amp;AZ11</f>
        <v>Aadhaar Date of Birth Update, Aadhaar Centre, Devmobile Stores, आधार जन्म तिथि अपडेट, आधार सेंटर, सेवा</v>
      </c>
      <c r="AO11" s="6" t="s">
        <v>186</v>
      </c>
      <c r="AP11" s="5" t="s">
        <v>172</v>
      </c>
      <c r="AQ11" s="5" t="n">
        <v>80</v>
      </c>
      <c r="AR11" s="6" t="s">
        <v>173</v>
      </c>
      <c r="AS11" s="6" t="s">
        <v>85</v>
      </c>
      <c r="AT11" s="6" t="s">
        <v>86</v>
      </c>
      <c r="AU11" s="10"/>
      <c r="AV11" s="6" t="s">
        <v>75</v>
      </c>
      <c r="AW11" s="6" t="s">
        <v>187</v>
      </c>
      <c r="AX11" s="6" t="s">
        <v>188</v>
      </c>
      <c r="AY11" s="6" t="s">
        <v>189</v>
      </c>
      <c r="AZ11" s="6" t="s">
        <v>190</v>
      </c>
      <c r="BA11" s="6" t="s">
        <v>191</v>
      </c>
      <c r="BB11" s="6"/>
      <c r="BC11" s="11" t="str">
        <f aca="false">IFERROR(INDEX(CATEGORY_MASTER!$C$4:$C$30,MATCH(B11,CATEGORY_MASTER!$A$4:$A$30,0)),"")</f>
        <v>🪪</v>
      </c>
      <c r="BD11" s="7" t="str">
        <f aca="false">"/services/"&amp;AO11</f>
        <v>/services/aadhaar-date-of-birth-update</v>
      </c>
      <c r="BE11" s="7" t="str">
        <f aca="false">IF(AND(AH11="Yes",AG11="Active",I11&lt;&gt;"Not Available"),"LIVE","HIDDEN")</f>
        <v>LIVE</v>
      </c>
      <c r="BF11" s="6" t="s">
        <v>179</v>
      </c>
      <c r="BG11" s="6" t="s">
        <v>93</v>
      </c>
      <c r="BH11" s="7" t="str">
        <f aca="false">B11&amp;"|"&amp;COUNTIF($B$4:B11,B11)</f>
        <v>Aadhaar Centre|8</v>
      </c>
      <c r="BI11" s="7" t="str">
        <f aca="false">IF(AND(AI11="Yes",BE11="LIVE"),COUNTIFS($AI$4:AI11,"Yes",$BE$4:BE11,"LIVE"),"")</f>
        <v/>
      </c>
      <c r="BJ11" s="7" t="str">
        <f aca="false">IF(AND(AJ11="Yes",BE11="LIVE"),COUNTIFS($AJ$4:AJ11,"Yes",$BE$4:BE11,"LIVE"),"")</f>
        <v/>
      </c>
      <c r="BK11" s="7" t="str">
        <f aca="false">IF(AND(AK11="Yes",BE11="LIVE"),COUNTIFS($AK$4:AK11,"Yes",$BE$4:BE11,"LIVE"),"")</f>
        <v/>
      </c>
      <c r="BL11" s="7" t="str">
        <f aca="false">IF(I11="To Verify",COUNTIF($I$4:I11,"To Verify"),"")</f>
        <v/>
      </c>
    </row>
    <row r="12" customFormat="false" ht="102.2" hidden="false" customHeight="false" outlineLevel="0" collapsed="false">
      <c r="A12" s="5" t="s">
        <v>192</v>
      </c>
      <c r="B12" s="6" t="s">
        <v>67</v>
      </c>
      <c r="C12" s="6" t="s">
        <v>68</v>
      </c>
      <c r="D12" s="6" t="s">
        <v>162</v>
      </c>
      <c r="E12" s="6" t="s">
        <v>193</v>
      </c>
      <c r="F12" s="6" t="s">
        <v>194</v>
      </c>
      <c r="G12" s="6" t="s">
        <v>195</v>
      </c>
      <c r="H12" s="6" t="s">
        <v>196</v>
      </c>
      <c r="I12" s="5" t="s">
        <v>167</v>
      </c>
      <c r="J12" s="7" t="str">
        <f aca="false">IFERROR(INDEX(AVAILABILITY_MASTER!$C$4:$C$10,MATCH(I12,AVAILABILITY_MASTER!$A$4:$A$10,0)),"To Be Confirmed")</f>
        <v>Available</v>
      </c>
      <c r="K12" s="6" t="s">
        <v>74</v>
      </c>
      <c r="L12" s="6" t="s">
        <v>75</v>
      </c>
      <c r="M12" s="7" t="str">
        <f aca="false">IFERROR(INDEX(SERVICE_DOCUMENTS!$S$4:$S$1000,MATCH(A12,SERVICE_DOCUMENTS!$A$4:$A$1000,0))&amp;"","")</f>
        <v>✓ Aadhaar Card</v>
      </c>
      <c r="N12" s="7" t="str">
        <f aca="false">IFERROR(INDEX(SERVICE_DOCUMENTS!$T$4:$T$1000,MATCH(A12,SERVICE_DOCUMENTS!$A$4:$A$1000,0))&amp;"","")</f>
        <v>• Identity Proof (To Verify)</v>
      </c>
      <c r="O12" s="6" t="s">
        <v>168</v>
      </c>
      <c r="P12" s="6" t="s">
        <v>197</v>
      </c>
      <c r="Q12" s="6" t="s">
        <v>78</v>
      </c>
      <c r="R12" s="8" t="s">
        <v>75</v>
      </c>
      <c r="S12" s="8" t="s">
        <v>75</v>
      </c>
      <c r="T12" s="9" t="str">
        <f aca="false">IF(AND(OR(ISNUMBER(R12),R12="N/A"),OR(ISNUMBER(S12),S12="N/A"),OR(ISNUMBER(R12),ISNUMBER(S12))),N(R12)+N(S12),"To Verify")</f>
        <v>To Verify</v>
      </c>
      <c r="U12" s="6" t="s">
        <v>75</v>
      </c>
      <c r="V12" s="6" t="s">
        <v>79</v>
      </c>
      <c r="W12" s="6" t="s">
        <v>80</v>
      </c>
      <c r="X12" s="6" t="s">
        <v>81</v>
      </c>
      <c r="Y12" s="6" t="s">
        <v>79</v>
      </c>
      <c r="Z12" s="6"/>
      <c r="AA12" s="6" t="s">
        <v>74</v>
      </c>
      <c r="AB12" s="6" t="s">
        <v>74</v>
      </c>
      <c r="AC12" s="6" t="s">
        <v>75</v>
      </c>
      <c r="AD12" s="6" t="s">
        <v>75</v>
      </c>
      <c r="AE12" s="6" t="s">
        <v>79</v>
      </c>
      <c r="AF12" s="6" t="s">
        <v>75</v>
      </c>
      <c r="AG12" s="6" t="s">
        <v>170</v>
      </c>
      <c r="AH12" s="6" t="s">
        <v>74</v>
      </c>
      <c r="AI12" s="6" t="s">
        <v>79</v>
      </c>
      <c r="AJ12" s="6" t="s">
        <v>79</v>
      </c>
      <c r="AK12" s="6" t="s">
        <v>79</v>
      </c>
      <c r="AL12" s="6" t="s">
        <v>67</v>
      </c>
      <c r="AM12" s="6" t="s">
        <v>162</v>
      </c>
      <c r="AN12" s="7" t="str">
        <f aca="false">BA12&amp;", "&amp;AZ12</f>
        <v>Aadhaar Gender Update, Aadhaar Centre, Devmobile Stores, आधार लिंग अपडेट, आधार सेंटर, सेवा</v>
      </c>
      <c r="AO12" s="6" t="s">
        <v>198</v>
      </c>
      <c r="AP12" s="5" t="s">
        <v>172</v>
      </c>
      <c r="AQ12" s="5" t="n">
        <v>90</v>
      </c>
      <c r="AR12" s="6" t="s">
        <v>173</v>
      </c>
      <c r="AS12" s="6" t="s">
        <v>85</v>
      </c>
      <c r="AT12" s="6" t="s">
        <v>86</v>
      </c>
      <c r="AU12" s="10"/>
      <c r="AV12" s="6" t="s">
        <v>75</v>
      </c>
      <c r="AW12" s="6" t="s">
        <v>199</v>
      </c>
      <c r="AX12" s="6" t="s">
        <v>200</v>
      </c>
      <c r="AY12" s="6" t="s">
        <v>201</v>
      </c>
      <c r="AZ12" s="6" t="s">
        <v>202</v>
      </c>
      <c r="BA12" s="6" t="s">
        <v>203</v>
      </c>
      <c r="BB12" s="6"/>
      <c r="BC12" s="11" t="str">
        <f aca="false">IFERROR(INDEX(CATEGORY_MASTER!$C$4:$C$30,MATCH(B12,CATEGORY_MASTER!$A$4:$A$30,0)),"")</f>
        <v>🪪</v>
      </c>
      <c r="BD12" s="7" t="str">
        <f aca="false">"/services/"&amp;AO12</f>
        <v>/services/aadhaar-gender-update</v>
      </c>
      <c r="BE12" s="7" t="str">
        <f aca="false">IF(AND(AH12="Yes",AG12="Active",I12&lt;&gt;"Not Available"),"LIVE","HIDDEN")</f>
        <v>LIVE</v>
      </c>
      <c r="BF12" s="6" t="s">
        <v>179</v>
      </c>
      <c r="BG12" s="6" t="s">
        <v>93</v>
      </c>
      <c r="BH12" s="7" t="str">
        <f aca="false">B12&amp;"|"&amp;COUNTIF($B$4:B12,B12)</f>
        <v>Aadhaar Centre|9</v>
      </c>
      <c r="BI12" s="7" t="str">
        <f aca="false">IF(AND(AI12="Yes",BE12="LIVE"),COUNTIFS($AI$4:AI12,"Yes",$BE$4:BE12,"LIVE"),"")</f>
        <v/>
      </c>
      <c r="BJ12" s="7" t="str">
        <f aca="false">IF(AND(AJ12="Yes",BE12="LIVE"),COUNTIFS($AJ$4:AJ12,"Yes",$BE$4:BE12,"LIVE"),"")</f>
        <v/>
      </c>
      <c r="BK12" s="7" t="str">
        <f aca="false">IF(AND(AK12="Yes",BE12="LIVE"),COUNTIFS($AK$4:AK12,"Yes",$BE$4:BE12,"LIVE"),"")</f>
        <v/>
      </c>
      <c r="BL12" s="7" t="str">
        <f aca="false">IF(I12="To Verify",COUNTIF($I$4:I12,"To Verify"),"")</f>
        <v/>
      </c>
    </row>
    <row r="13" customFormat="false" ht="113.4" hidden="false" customHeight="false" outlineLevel="0" collapsed="false">
      <c r="A13" s="5" t="s">
        <v>204</v>
      </c>
      <c r="B13" s="6" t="s">
        <v>67</v>
      </c>
      <c r="C13" s="6" t="s">
        <v>68</v>
      </c>
      <c r="D13" s="6" t="s">
        <v>162</v>
      </c>
      <c r="E13" s="6" t="s">
        <v>205</v>
      </c>
      <c r="F13" s="6" t="s">
        <v>206</v>
      </c>
      <c r="G13" s="6" t="s">
        <v>207</v>
      </c>
      <c r="H13" s="6" t="s">
        <v>208</v>
      </c>
      <c r="I13" s="5" t="s">
        <v>167</v>
      </c>
      <c r="J13" s="7" t="str">
        <f aca="false">IFERROR(INDEX(AVAILABILITY_MASTER!$C$4:$C$10,MATCH(I13,AVAILABILITY_MASTER!$A$4:$A$10,0)),"To Be Confirmed")</f>
        <v>Available</v>
      </c>
      <c r="K13" s="6" t="s">
        <v>74</v>
      </c>
      <c r="L13" s="6" t="s">
        <v>75</v>
      </c>
      <c r="M13" s="7" t="str">
        <f aca="false">IFERROR(INDEX(SERVICE_DOCUMENTS!$S$4:$S$1000,MATCH(A13,SERVICE_DOCUMENTS!$A$4:$A$1000,0))&amp;"","")</f>
        <v>✓ Aadhaar Card
✓ Address Proof</v>
      </c>
      <c r="N13" s="7" t="str">
        <f aca="false">IFERROR(INDEX(SERVICE_DOCUMENTS!$T$4:$T$1000,MATCH(A13,SERVICE_DOCUMENTS!$A$4:$A$1000,0))&amp;"","")</f>
        <v/>
      </c>
      <c r="O13" s="6" t="s">
        <v>168</v>
      </c>
      <c r="P13" s="6" t="s">
        <v>209</v>
      </c>
      <c r="Q13" s="6" t="s">
        <v>78</v>
      </c>
      <c r="R13" s="8" t="s">
        <v>75</v>
      </c>
      <c r="S13" s="8" t="s">
        <v>75</v>
      </c>
      <c r="T13" s="9" t="str">
        <f aca="false">IF(AND(OR(ISNUMBER(R13),R13="N/A"),OR(ISNUMBER(S13),S13="N/A"),OR(ISNUMBER(R13),ISNUMBER(S13))),N(R13)+N(S13),"To Verify")</f>
        <v>To Verify</v>
      </c>
      <c r="U13" s="6" t="s">
        <v>75</v>
      </c>
      <c r="V13" s="6" t="s">
        <v>79</v>
      </c>
      <c r="W13" s="6" t="s">
        <v>80</v>
      </c>
      <c r="X13" s="6" t="s">
        <v>81</v>
      </c>
      <c r="Y13" s="6" t="s">
        <v>79</v>
      </c>
      <c r="Z13" s="6"/>
      <c r="AA13" s="6" t="s">
        <v>74</v>
      </c>
      <c r="AB13" s="6" t="s">
        <v>74</v>
      </c>
      <c r="AC13" s="6" t="s">
        <v>75</v>
      </c>
      <c r="AD13" s="6" t="s">
        <v>75</v>
      </c>
      <c r="AE13" s="6" t="s">
        <v>79</v>
      </c>
      <c r="AF13" s="6" t="s">
        <v>75</v>
      </c>
      <c r="AG13" s="6" t="s">
        <v>170</v>
      </c>
      <c r="AH13" s="6" t="s">
        <v>74</v>
      </c>
      <c r="AI13" s="6" t="s">
        <v>79</v>
      </c>
      <c r="AJ13" s="6" t="s">
        <v>79</v>
      </c>
      <c r="AK13" s="6" t="s">
        <v>79</v>
      </c>
      <c r="AL13" s="6" t="s">
        <v>67</v>
      </c>
      <c r="AM13" s="6" t="s">
        <v>162</v>
      </c>
      <c r="AN13" s="7" t="str">
        <f aca="false">BA13&amp;", "&amp;AZ13</f>
        <v>Aadhaar Address Update (with Document), Aadhaar Centre, Devmobile Stores, आधार पता अपडेट (दस्तावेज़ के साथ), आधार सेंटर, सेवा</v>
      </c>
      <c r="AO13" s="6" t="s">
        <v>210</v>
      </c>
      <c r="AP13" s="5" t="s">
        <v>172</v>
      </c>
      <c r="AQ13" s="5" t="n">
        <v>100</v>
      </c>
      <c r="AR13" s="6" t="s">
        <v>173</v>
      </c>
      <c r="AS13" s="6" t="s">
        <v>85</v>
      </c>
      <c r="AT13" s="6" t="s">
        <v>86</v>
      </c>
      <c r="AU13" s="10"/>
      <c r="AV13" s="6" t="s">
        <v>75</v>
      </c>
      <c r="AW13" s="6" t="s">
        <v>211</v>
      </c>
      <c r="AX13" s="6" t="s">
        <v>212</v>
      </c>
      <c r="AY13" s="6" t="s">
        <v>213</v>
      </c>
      <c r="AZ13" s="6" t="s">
        <v>214</v>
      </c>
      <c r="BA13" s="6" t="s">
        <v>215</v>
      </c>
      <c r="BB13" s="6"/>
      <c r="BC13" s="11" t="str">
        <f aca="false">IFERROR(INDEX(CATEGORY_MASTER!$C$4:$C$30,MATCH(B13,CATEGORY_MASTER!$A$4:$A$30,0)),"")</f>
        <v>🪪</v>
      </c>
      <c r="BD13" s="7" t="str">
        <f aca="false">"/services/"&amp;AO13</f>
        <v>/services/aadhaar-address-update-with-document</v>
      </c>
      <c r="BE13" s="7" t="str">
        <f aca="false">IF(AND(AH13="Yes",AG13="Active",I13&lt;&gt;"Not Available"),"LIVE","HIDDEN")</f>
        <v>LIVE</v>
      </c>
      <c r="BF13" s="6" t="s">
        <v>179</v>
      </c>
      <c r="BG13" s="6" t="s">
        <v>93</v>
      </c>
      <c r="BH13" s="7" t="str">
        <f aca="false">B13&amp;"|"&amp;COUNTIF($B$4:B13,B13)</f>
        <v>Aadhaar Centre|10</v>
      </c>
      <c r="BI13" s="7" t="str">
        <f aca="false">IF(AND(AI13="Yes",BE13="LIVE"),COUNTIFS($AI$4:AI13,"Yes",$BE$4:BE13,"LIVE"),"")</f>
        <v/>
      </c>
      <c r="BJ13" s="7" t="str">
        <f aca="false">IF(AND(AJ13="Yes",BE13="LIVE"),COUNTIFS($AJ$4:AJ13,"Yes",$BE$4:BE13,"LIVE"),"")</f>
        <v/>
      </c>
      <c r="BK13" s="7" t="str">
        <f aca="false">IF(AND(AK13="Yes",BE13="LIVE"),COUNTIFS($AK$4:AK13,"Yes",$BE$4:BE13,"LIVE"),"")</f>
        <v/>
      </c>
      <c r="BL13" s="7" t="str">
        <f aca="false">IF(I13="To Verify",COUNTIF($I$4:I13,"To Verify"),"")</f>
        <v/>
      </c>
    </row>
    <row r="14" customFormat="false" ht="102.2" hidden="false" customHeight="false" outlineLevel="0" collapsed="false">
      <c r="A14" s="5" t="s">
        <v>216</v>
      </c>
      <c r="B14" s="6" t="s">
        <v>67</v>
      </c>
      <c r="C14" s="6" t="s">
        <v>68</v>
      </c>
      <c r="D14" s="6" t="s">
        <v>162</v>
      </c>
      <c r="E14" s="6" t="s">
        <v>217</v>
      </c>
      <c r="F14" s="6" t="s">
        <v>218</v>
      </c>
      <c r="G14" s="6" t="s">
        <v>219</v>
      </c>
      <c r="H14" s="6" t="s">
        <v>220</v>
      </c>
      <c r="I14" s="5" t="s">
        <v>221</v>
      </c>
      <c r="J14" s="7" t="str">
        <f aca="false">IFERROR(INDEX(AVAILABILITY_MASTER!$C$4:$C$10,MATCH(I14,AVAILABILITY_MASTER!$A$4:$A$10,0)),"To Be Confirmed")</f>
        <v>Depends on Portal – Confirm at Shop</v>
      </c>
      <c r="K14" s="6" t="s">
        <v>129</v>
      </c>
      <c r="L14" s="6" t="s">
        <v>221</v>
      </c>
      <c r="M14" s="7" t="str">
        <f aca="false">IFERROR(INDEX(SERVICE_DOCUMENTS!$S$4:$S$1000,MATCH(A14,SERVICE_DOCUMENTS!$A$4:$A$1000,0))&amp;"","")</f>
        <v>✓ Aadhaar Card
✓ Aadhaar-Linked Mobile Number
✓ Address Proof</v>
      </c>
      <c r="N14" s="7" t="str">
        <f aca="false">IFERROR(INDEX(SERVICE_DOCUMENTS!$T$4:$T$1000,MATCH(A14,SERVICE_DOCUMENTS!$A$4:$A$1000,0))&amp;"","")</f>
        <v/>
      </c>
      <c r="O14" s="6" t="s">
        <v>222</v>
      </c>
      <c r="P14" s="6" t="s">
        <v>223</v>
      </c>
      <c r="Q14" s="6" t="s">
        <v>78</v>
      </c>
      <c r="R14" s="8" t="s">
        <v>75</v>
      </c>
      <c r="S14" s="8" t="s">
        <v>75</v>
      </c>
      <c r="T14" s="9" t="str">
        <f aca="false">IF(AND(OR(ISNUMBER(R14),R14="N/A"),OR(ISNUMBER(S14),S14="N/A"),OR(ISNUMBER(R14),ISNUMBER(S14))),N(R14)+N(S14),"To Verify")</f>
        <v>To Verify</v>
      </c>
      <c r="U14" s="6" t="s">
        <v>75</v>
      </c>
      <c r="V14" s="6" t="s">
        <v>79</v>
      </c>
      <c r="W14" s="6" t="s">
        <v>80</v>
      </c>
      <c r="X14" s="6" t="s">
        <v>224</v>
      </c>
      <c r="Y14" s="6" t="s">
        <v>74</v>
      </c>
      <c r="Z14" s="6" t="s">
        <v>225</v>
      </c>
      <c r="AA14" s="6" t="s">
        <v>129</v>
      </c>
      <c r="AB14" s="6" t="s">
        <v>79</v>
      </c>
      <c r="AC14" s="6" t="s">
        <v>75</v>
      </c>
      <c r="AD14" s="6" t="s">
        <v>75</v>
      </c>
      <c r="AE14" s="6" t="s">
        <v>79</v>
      </c>
      <c r="AF14" s="6" t="s">
        <v>79</v>
      </c>
      <c r="AG14" s="6" t="s">
        <v>75</v>
      </c>
      <c r="AH14" s="6" t="s">
        <v>79</v>
      </c>
      <c r="AI14" s="6" t="s">
        <v>79</v>
      </c>
      <c r="AJ14" s="6" t="s">
        <v>79</v>
      </c>
      <c r="AK14" s="6" t="s">
        <v>79</v>
      </c>
      <c r="AL14" s="6" t="s">
        <v>67</v>
      </c>
      <c r="AM14" s="6" t="s">
        <v>162</v>
      </c>
      <c r="AN14" s="7" t="str">
        <f aca="false">BA14&amp;", "&amp;AZ14</f>
        <v>Aadhaar Address Update – Online (SSUP) Assistance, Aadhaar Centre, Devmobile Stores, आधार पता अपडेट – ऑनलाइन (SSUP) सहायता, आधार सेंटर, सेवा</v>
      </c>
      <c r="AO14" s="6" t="s">
        <v>226</v>
      </c>
      <c r="AP14" s="5" t="s">
        <v>172</v>
      </c>
      <c r="AQ14" s="5" t="n">
        <v>110</v>
      </c>
      <c r="AR14" s="6" t="s">
        <v>133</v>
      </c>
      <c r="AS14" s="6" t="s">
        <v>227</v>
      </c>
      <c r="AT14" s="6" t="s">
        <v>86</v>
      </c>
      <c r="AU14" s="10"/>
      <c r="AV14" s="6" t="s">
        <v>75</v>
      </c>
      <c r="AW14" s="6" t="s">
        <v>228</v>
      </c>
      <c r="AX14" s="6" t="s">
        <v>229</v>
      </c>
      <c r="AY14" s="6" t="s">
        <v>230</v>
      </c>
      <c r="AZ14" s="6" t="s">
        <v>231</v>
      </c>
      <c r="BA14" s="6" t="s">
        <v>232</v>
      </c>
      <c r="BB14" s="6"/>
      <c r="BC14" s="11" t="str">
        <f aca="false">IFERROR(INDEX(CATEGORY_MASTER!$C$4:$C$30,MATCH(B14,CATEGORY_MASTER!$A$4:$A$30,0)),"")</f>
        <v>🪪</v>
      </c>
      <c r="BD14" s="7" t="str">
        <f aca="false">"/services/"&amp;AO14</f>
        <v>/services/aadhaar-address-update-online-ssup-assistance</v>
      </c>
      <c r="BE14" s="7" t="str">
        <f aca="false">IF(AND(AH14="Yes",AG14="Active",I14&lt;&gt;"Not Available"),"LIVE","HIDDEN")</f>
        <v>HIDDEN</v>
      </c>
      <c r="BF14" s="6" t="s">
        <v>139</v>
      </c>
      <c r="BG14" s="6" t="s">
        <v>233</v>
      </c>
      <c r="BH14" s="7" t="str">
        <f aca="false">B14&amp;"|"&amp;COUNTIF($B$4:B14,B14)</f>
        <v>Aadhaar Centre|11</v>
      </c>
      <c r="BI14" s="7" t="str">
        <f aca="false">IF(AND(AI14="Yes",BE14="LIVE"),COUNTIFS($AI$4:AI14,"Yes",$BE$4:BE14,"LIVE"),"")</f>
        <v/>
      </c>
      <c r="BJ14" s="7" t="str">
        <f aca="false">IF(AND(AJ14="Yes",BE14="LIVE"),COUNTIFS($AJ$4:AJ14,"Yes",$BE$4:BE14,"LIVE"),"")</f>
        <v/>
      </c>
      <c r="BK14" s="7" t="str">
        <f aca="false">IF(AND(AK14="Yes",BE14="LIVE"),COUNTIFS($AK$4:AK14,"Yes",$BE$4:BE14,"LIVE"),"")</f>
        <v/>
      </c>
      <c r="BL14" s="7" t="str">
        <f aca="false">IF(I14="To Verify",COUNTIF($I$4:I14,"To Verify"),"")</f>
        <v/>
      </c>
    </row>
    <row r="15" customFormat="false" ht="113.4" hidden="false" customHeight="false" outlineLevel="0" collapsed="false">
      <c r="A15" s="5" t="s">
        <v>234</v>
      </c>
      <c r="B15" s="6" t="s">
        <v>67</v>
      </c>
      <c r="C15" s="6" t="s">
        <v>68</v>
      </c>
      <c r="D15" s="6" t="s">
        <v>162</v>
      </c>
      <c r="E15" s="6" t="s">
        <v>235</v>
      </c>
      <c r="F15" s="6" t="s">
        <v>236</v>
      </c>
      <c r="G15" s="6" t="s">
        <v>237</v>
      </c>
      <c r="H15" s="6" t="s">
        <v>238</v>
      </c>
      <c r="I15" s="5" t="s">
        <v>167</v>
      </c>
      <c r="J15" s="7" t="str">
        <f aca="false">IFERROR(INDEX(AVAILABILITY_MASTER!$C$4:$C$10,MATCH(I15,AVAILABILITY_MASTER!$A$4:$A$10,0)),"To Be Confirmed")</f>
        <v>Available</v>
      </c>
      <c r="K15" s="6" t="s">
        <v>74</v>
      </c>
      <c r="L15" s="6" t="s">
        <v>75</v>
      </c>
      <c r="M15" s="7" t="str">
        <f aca="false">IFERROR(INDEX(SERVICE_DOCUMENTS!$S$4:$S$1000,MATCH(A15,SERVICE_DOCUMENTS!$A$4:$A$1000,0))&amp;"","")</f>
        <v>✓ Aadhaar Card
✓ Active Mobile Number</v>
      </c>
      <c r="N15" s="7" t="str">
        <f aca="false">IFERROR(INDEX(SERVICE_DOCUMENTS!$T$4:$T$1000,MATCH(A15,SERVICE_DOCUMENTS!$A$4:$A$1000,0))&amp;"","")</f>
        <v/>
      </c>
      <c r="O15" s="6" t="s">
        <v>168</v>
      </c>
      <c r="P15" s="6" t="s">
        <v>239</v>
      </c>
      <c r="Q15" s="6" t="s">
        <v>78</v>
      </c>
      <c r="R15" s="8" t="s">
        <v>75</v>
      </c>
      <c r="S15" s="8" t="s">
        <v>75</v>
      </c>
      <c r="T15" s="9" t="str">
        <f aca="false">IF(AND(OR(ISNUMBER(R15),R15="N/A"),OR(ISNUMBER(S15),S15="N/A"),OR(ISNUMBER(R15),ISNUMBER(S15))),N(R15)+N(S15),"To Verify")</f>
        <v>To Verify</v>
      </c>
      <c r="U15" s="6" t="s">
        <v>75</v>
      </c>
      <c r="V15" s="6" t="s">
        <v>79</v>
      </c>
      <c r="W15" s="6" t="s">
        <v>80</v>
      </c>
      <c r="X15" s="6" t="s">
        <v>81</v>
      </c>
      <c r="Y15" s="6" t="s">
        <v>79</v>
      </c>
      <c r="Z15" s="6"/>
      <c r="AA15" s="6" t="s">
        <v>74</v>
      </c>
      <c r="AB15" s="6" t="s">
        <v>74</v>
      </c>
      <c r="AC15" s="6" t="s">
        <v>75</v>
      </c>
      <c r="AD15" s="6" t="s">
        <v>75</v>
      </c>
      <c r="AE15" s="6" t="s">
        <v>79</v>
      </c>
      <c r="AF15" s="6" t="s">
        <v>75</v>
      </c>
      <c r="AG15" s="6" t="s">
        <v>170</v>
      </c>
      <c r="AH15" s="6" t="s">
        <v>74</v>
      </c>
      <c r="AI15" s="6" t="s">
        <v>79</v>
      </c>
      <c r="AJ15" s="6" t="s">
        <v>79</v>
      </c>
      <c r="AK15" s="6" t="s">
        <v>79</v>
      </c>
      <c r="AL15" s="6" t="s">
        <v>67</v>
      </c>
      <c r="AM15" s="6" t="s">
        <v>162</v>
      </c>
      <c r="AN15" s="7" t="str">
        <f aca="false">BA15&amp;", "&amp;AZ15</f>
        <v>Aadhaar Mobile Number Update, Aadhaar Centre, Devmobile Stores, आधार मोबाइल नंबर अपडेट, आधार सेंटर, सेवा</v>
      </c>
      <c r="AO15" s="6" t="s">
        <v>240</v>
      </c>
      <c r="AP15" s="5" t="s">
        <v>172</v>
      </c>
      <c r="AQ15" s="5" t="n">
        <v>120</v>
      </c>
      <c r="AR15" s="6" t="s">
        <v>173</v>
      </c>
      <c r="AS15" s="6" t="s">
        <v>85</v>
      </c>
      <c r="AT15" s="6" t="s">
        <v>86</v>
      </c>
      <c r="AU15" s="10"/>
      <c r="AV15" s="6" t="s">
        <v>75</v>
      </c>
      <c r="AW15" s="6" t="s">
        <v>241</v>
      </c>
      <c r="AX15" s="6" t="s">
        <v>242</v>
      </c>
      <c r="AY15" s="6" t="s">
        <v>243</v>
      </c>
      <c r="AZ15" s="6" t="s">
        <v>244</v>
      </c>
      <c r="BA15" s="6" t="s">
        <v>245</v>
      </c>
      <c r="BB15" s="6"/>
      <c r="BC15" s="11" t="str">
        <f aca="false">IFERROR(INDEX(CATEGORY_MASTER!$C$4:$C$30,MATCH(B15,CATEGORY_MASTER!$A$4:$A$30,0)),"")</f>
        <v>🪪</v>
      </c>
      <c r="BD15" s="7" t="str">
        <f aca="false">"/services/"&amp;AO15</f>
        <v>/services/aadhaar-mobile-number-update</v>
      </c>
      <c r="BE15" s="7" t="str">
        <f aca="false">IF(AND(AH15="Yes",AG15="Active",I15&lt;&gt;"Not Available"),"LIVE","HIDDEN")</f>
        <v>LIVE</v>
      </c>
      <c r="BF15" s="6" t="s">
        <v>179</v>
      </c>
      <c r="BG15" s="6" t="s">
        <v>93</v>
      </c>
      <c r="BH15" s="7" t="str">
        <f aca="false">B15&amp;"|"&amp;COUNTIF($B$4:B15,B15)</f>
        <v>Aadhaar Centre|12</v>
      </c>
      <c r="BI15" s="7" t="str">
        <f aca="false">IF(AND(AI15="Yes",BE15="LIVE"),COUNTIFS($AI$4:AI15,"Yes",$BE$4:BE15,"LIVE"),"")</f>
        <v/>
      </c>
      <c r="BJ15" s="7" t="str">
        <f aca="false">IF(AND(AJ15="Yes",BE15="LIVE"),COUNTIFS($AJ$4:AJ15,"Yes",$BE$4:BE15,"LIVE"),"")</f>
        <v/>
      </c>
      <c r="BK15" s="7" t="str">
        <f aca="false">IF(AND(AK15="Yes",BE15="LIVE"),COUNTIFS($AK$4:AK15,"Yes",$BE$4:BE15,"LIVE"),"")</f>
        <v/>
      </c>
      <c r="BL15" s="7" t="str">
        <f aca="false">IF(I15="To Verify",COUNTIF($I$4:I15,"To Verify"),"")</f>
        <v/>
      </c>
    </row>
    <row r="16" customFormat="false" ht="113.4" hidden="false" customHeight="false" outlineLevel="0" collapsed="false">
      <c r="A16" s="5" t="s">
        <v>246</v>
      </c>
      <c r="B16" s="6" t="s">
        <v>67</v>
      </c>
      <c r="C16" s="6" t="s">
        <v>68</v>
      </c>
      <c r="D16" s="6" t="s">
        <v>162</v>
      </c>
      <c r="E16" s="6" t="s">
        <v>247</v>
      </c>
      <c r="F16" s="6" t="s">
        <v>248</v>
      </c>
      <c r="G16" s="6" t="s">
        <v>249</v>
      </c>
      <c r="H16" s="6" t="s">
        <v>250</v>
      </c>
      <c r="I16" s="5" t="s">
        <v>167</v>
      </c>
      <c r="J16" s="7" t="str">
        <f aca="false">IFERROR(INDEX(AVAILABILITY_MASTER!$C$4:$C$10,MATCH(I16,AVAILABILITY_MASTER!$A$4:$A$10,0)),"To Be Confirmed")</f>
        <v>Available</v>
      </c>
      <c r="K16" s="6" t="s">
        <v>74</v>
      </c>
      <c r="L16" s="6" t="s">
        <v>75</v>
      </c>
      <c r="M16" s="7" t="str">
        <f aca="false">IFERROR(INDEX(SERVICE_DOCUMENTS!$S$4:$S$1000,MATCH(A16,SERVICE_DOCUMENTS!$A$4:$A$1000,0))&amp;"","")</f>
        <v>✓ Aadhaar Card
✓ Email ID</v>
      </c>
      <c r="N16" s="7" t="str">
        <f aca="false">IFERROR(INDEX(SERVICE_DOCUMENTS!$T$4:$T$1000,MATCH(A16,SERVICE_DOCUMENTS!$A$4:$A$1000,0))&amp;"","")</f>
        <v/>
      </c>
      <c r="O16" s="6" t="s">
        <v>168</v>
      </c>
      <c r="P16" s="6" t="s">
        <v>251</v>
      </c>
      <c r="Q16" s="6" t="s">
        <v>78</v>
      </c>
      <c r="R16" s="8" t="s">
        <v>75</v>
      </c>
      <c r="S16" s="8" t="s">
        <v>75</v>
      </c>
      <c r="T16" s="9" t="str">
        <f aca="false">IF(AND(OR(ISNUMBER(R16),R16="N/A"),OR(ISNUMBER(S16),S16="N/A"),OR(ISNUMBER(R16),ISNUMBER(S16))),N(R16)+N(S16),"To Verify")</f>
        <v>To Verify</v>
      </c>
      <c r="U16" s="6" t="s">
        <v>75</v>
      </c>
      <c r="V16" s="6" t="s">
        <v>79</v>
      </c>
      <c r="W16" s="6" t="s">
        <v>80</v>
      </c>
      <c r="X16" s="6" t="s">
        <v>81</v>
      </c>
      <c r="Y16" s="6" t="s">
        <v>79</v>
      </c>
      <c r="Z16" s="6"/>
      <c r="AA16" s="6" t="s">
        <v>74</v>
      </c>
      <c r="AB16" s="6" t="s">
        <v>74</v>
      </c>
      <c r="AC16" s="6" t="s">
        <v>75</v>
      </c>
      <c r="AD16" s="6" t="s">
        <v>75</v>
      </c>
      <c r="AE16" s="6" t="s">
        <v>79</v>
      </c>
      <c r="AF16" s="6" t="s">
        <v>75</v>
      </c>
      <c r="AG16" s="6" t="s">
        <v>170</v>
      </c>
      <c r="AH16" s="6" t="s">
        <v>74</v>
      </c>
      <c r="AI16" s="6" t="s">
        <v>79</v>
      </c>
      <c r="AJ16" s="6" t="s">
        <v>79</v>
      </c>
      <c r="AK16" s="6" t="s">
        <v>79</v>
      </c>
      <c r="AL16" s="6" t="s">
        <v>67</v>
      </c>
      <c r="AM16" s="6" t="s">
        <v>162</v>
      </c>
      <c r="AN16" s="7" t="str">
        <f aca="false">BA16&amp;", "&amp;AZ16</f>
        <v>Aadhaar Email ID Update, Aadhaar Centre, Devmobile Stores, आधार ईमेल आईडी अपडेट, आधार सेंटर, सेवा</v>
      </c>
      <c r="AO16" s="6" t="s">
        <v>252</v>
      </c>
      <c r="AP16" s="5" t="s">
        <v>172</v>
      </c>
      <c r="AQ16" s="5" t="n">
        <v>130</v>
      </c>
      <c r="AR16" s="6" t="s">
        <v>173</v>
      </c>
      <c r="AS16" s="6" t="s">
        <v>85</v>
      </c>
      <c r="AT16" s="6" t="s">
        <v>86</v>
      </c>
      <c r="AU16" s="10"/>
      <c r="AV16" s="6" t="s">
        <v>75</v>
      </c>
      <c r="AW16" s="6" t="s">
        <v>253</v>
      </c>
      <c r="AX16" s="6" t="s">
        <v>254</v>
      </c>
      <c r="AY16" s="6" t="s">
        <v>255</v>
      </c>
      <c r="AZ16" s="6" t="s">
        <v>256</v>
      </c>
      <c r="BA16" s="6" t="s">
        <v>257</v>
      </c>
      <c r="BB16" s="6"/>
      <c r="BC16" s="11" t="str">
        <f aca="false">IFERROR(INDEX(CATEGORY_MASTER!$C$4:$C$30,MATCH(B16,CATEGORY_MASTER!$A$4:$A$30,0)),"")</f>
        <v>🪪</v>
      </c>
      <c r="BD16" s="7" t="str">
        <f aca="false">"/services/"&amp;AO16</f>
        <v>/services/aadhaar-email-id-update</v>
      </c>
      <c r="BE16" s="7" t="str">
        <f aca="false">IF(AND(AH16="Yes",AG16="Active",I16&lt;&gt;"Not Available"),"LIVE","HIDDEN")</f>
        <v>LIVE</v>
      </c>
      <c r="BF16" s="6" t="s">
        <v>179</v>
      </c>
      <c r="BG16" s="6" t="s">
        <v>93</v>
      </c>
      <c r="BH16" s="7" t="str">
        <f aca="false">B16&amp;"|"&amp;COUNTIF($B$4:B16,B16)</f>
        <v>Aadhaar Centre|13</v>
      </c>
      <c r="BI16" s="7" t="str">
        <f aca="false">IF(AND(AI16="Yes",BE16="LIVE"),COUNTIFS($AI$4:AI16,"Yes",$BE$4:BE16,"LIVE"),"")</f>
        <v/>
      </c>
      <c r="BJ16" s="7" t="str">
        <f aca="false">IF(AND(AJ16="Yes",BE16="LIVE"),COUNTIFS($AJ$4:AJ16,"Yes",$BE$4:BE16,"LIVE"),"")</f>
        <v/>
      </c>
      <c r="BK16" s="7" t="str">
        <f aca="false">IF(AND(AK16="Yes",BE16="LIVE"),COUNTIFS($AK$4:AK16,"Yes",$BE$4:BE16,"LIVE"),"")</f>
        <v/>
      </c>
      <c r="BL16" s="7" t="str">
        <f aca="false">IF(I16="To Verify",COUNTIF($I$4:I16,"To Verify"),"")</f>
        <v/>
      </c>
    </row>
    <row r="17" customFormat="false" ht="113.4" hidden="false" customHeight="false" outlineLevel="0" collapsed="false">
      <c r="A17" s="5" t="s">
        <v>258</v>
      </c>
      <c r="B17" s="6" t="s">
        <v>67</v>
      </c>
      <c r="C17" s="6" t="s">
        <v>68</v>
      </c>
      <c r="D17" s="6" t="s">
        <v>162</v>
      </c>
      <c r="E17" s="6" t="s">
        <v>259</v>
      </c>
      <c r="F17" s="6" t="s">
        <v>260</v>
      </c>
      <c r="G17" s="6" t="s">
        <v>261</v>
      </c>
      <c r="H17" s="6" t="s">
        <v>262</v>
      </c>
      <c r="I17" s="5" t="s">
        <v>75</v>
      </c>
      <c r="J17" s="7" t="str">
        <f aca="false">IFERROR(INDEX(AVAILABILITY_MASTER!$C$4:$C$10,MATCH(I17,AVAILABILITY_MASTER!$A$4:$A$10,0)),"To Be Confirmed")</f>
        <v>To Be Confirmed</v>
      </c>
      <c r="K17" s="6" t="s">
        <v>129</v>
      </c>
      <c r="L17" s="6" t="s">
        <v>75</v>
      </c>
      <c r="M17" s="7" t="str">
        <f aca="false">IFERROR(INDEX(SERVICE_DOCUMENTS!$S$4:$S$1000,MATCH(A17,SERVICE_DOCUMENTS!$A$4:$A$1000,0))&amp;"","")</f>
        <v>✓ Aadhaar Card</v>
      </c>
      <c r="N17" s="7" t="str">
        <f aca="false">IFERROR(INDEX(SERVICE_DOCUMENTS!$T$4:$T$1000,MATCH(A17,SERVICE_DOCUMENTS!$A$4:$A$1000,0))&amp;"","")</f>
        <v>• Identity Proof (To Verify)
• Address Proof (To Verify)</v>
      </c>
      <c r="O17" s="6" t="s">
        <v>168</v>
      </c>
      <c r="P17" s="6" t="s">
        <v>263</v>
      </c>
      <c r="Q17" s="6" t="s">
        <v>78</v>
      </c>
      <c r="R17" s="8" t="s">
        <v>75</v>
      </c>
      <c r="S17" s="8" t="s">
        <v>75</v>
      </c>
      <c r="T17" s="9" t="str">
        <f aca="false">IF(AND(OR(ISNUMBER(R17),R17="N/A"),OR(ISNUMBER(S17),S17="N/A"),OR(ISNUMBER(R17),ISNUMBER(S17))),N(R17)+N(S17),"To Verify")</f>
        <v>To Verify</v>
      </c>
      <c r="U17" s="6" t="s">
        <v>75</v>
      </c>
      <c r="V17" s="6" t="s">
        <v>79</v>
      </c>
      <c r="W17" s="6" t="s">
        <v>80</v>
      </c>
      <c r="X17" s="6" t="s">
        <v>81</v>
      </c>
      <c r="Y17" s="6" t="s">
        <v>79</v>
      </c>
      <c r="Z17" s="6"/>
      <c r="AA17" s="6" t="s">
        <v>74</v>
      </c>
      <c r="AB17" s="6" t="s">
        <v>74</v>
      </c>
      <c r="AC17" s="6" t="s">
        <v>75</v>
      </c>
      <c r="AD17" s="6" t="s">
        <v>75</v>
      </c>
      <c r="AE17" s="6" t="s">
        <v>79</v>
      </c>
      <c r="AF17" s="6" t="s">
        <v>75</v>
      </c>
      <c r="AG17" s="6" t="s">
        <v>75</v>
      </c>
      <c r="AH17" s="6" t="s">
        <v>79</v>
      </c>
      <c r="AI17" s="6" t="s">
        <v>79</v>
      </c>
      <c r="AJ17" s="6" t="s">
        <v>79</v>
      </c>
      <c r="AK17" s="6" t="s">
        <v>79</v>
      </c>
      <c r="AL17" s="6" t="s">
        <v>67</v>
      </c>
      <c r="AM17" s="6" t="s">
        <v>162</v>
      </c>
      <c r="AN17" s="7" t="str">
        <f aca="false">BA17&amp;", "&amp;AZ17</f>
        <v>Aadhaar Relationship / Head of Family Detail Update, Aadhaar Centre, Devmobile Stores, आधार संबंध / परिवार मुखिया विवरण अपडेट, आधार सेंटर, सेवा</v>
      </c>
      <c r="AO17" s="6" t="s">
        <v>264</v>
      </c>
      <c r="AP17" s="5" t="s">
        <v>172</v>
      </c>
      <c r="AQ17" s="5" t="n">
        <v>140</v>
      </c>
      <c r="AR17" s="6" t="s">
        <v>173</v>
      </c>
      <c r="AS17" s="6" t="s">
        <v>85</v>
      </c>
      <c r="AT17" s="6" t="s">
        <v>86</v>
      </c>
      <c r="AU17" s="10"/>
      <c r="AV17" s="6" t="s">
        <v>75</v>
      </c>
      <c r="AW17" s="6" t="s">
        <v>265</v>
      </c>
      <c r="AX17" s="6" t="s">
        <v>266</v>
      </c>
      <c r="AY17" s="6" t="s">
        <v>267</v>
      </c>
      <c r="AZ17" s="6" t="s">
        <v>268</v>
      </c>
      <c r="BA17" s="6" t="s">
        <v>269</v>
      </c>
      <c r="BB17" s="6"/>
      <c r="BC17" s="11" t="str">
        <f aca="false">IFERROR(INDEX(CATEGORY_MASTER!$C$4:$C$30,MATCH(B17,CATEGORY_MASTER!$A$4:$A$30,0)),"")</f>
        <v>🪪</v>
      </c>
      <c r="BD17" s="7" t="str">
        <f aca="false">"/services/"&amp;AO17</f>
        <v>/services/aadhaar-relationship-head-of-family-detail-update</v>
      </c>
      <c r="BE17" s="7" t="str">
        <f aca="false">IF(AND(AH17="Yes",AG17="Active",I17&lt;&gt;"Not Available"),"LIVE","HIDDEN")</f>
        <v>HIDDEN</v>
      </c>
      <c r="BF17" s="6" t="s">
        <v>179</v>
      </c>
      <c r="BG17" s="6" t="s">
        <v>93</v>
      </c>
      <c r="BH17" s="7" t="str">
        <f aca="false">B17&amp;"|"&amp;COUNTIF($B$4:B17,B17)</f>
        <v>Aadhaar Centre|14</v>
      </c>
      <c r="BI17" s="7" t="str">
        <f aca="false">IF(AND(AI17="Yes",BE17="LIVE"),COUNTIFS($AI$4:AI17,"Yes",$BE$4:BE17,"LIVE"),"")</f>
        <v/>
      </c>
      <c r="BJ17" s="7" t="str">
        <f aca="false">IF(AND(AJ17="Yes",BE17="LIVE"),COUNTIFS($AJ$4:AJ17,"Yes",$BE$4:BE17,"LIVE"),"")</f>
        <v/>
      </c>
      <c r="BK17" s="7" t="str">
        <f aca="false">IF(AND(AK17="Yes",BE17="LIVE"),COUNTIFS($AK$4:AK17,"Yes",$BE$4:BE17,"LIVE"),"")</f>
        <v/>
      </c>
      <c r="BL17" s="7" t="n">
        <f aca="false">IF(I17="To Verify",COUNTIF($I$4:I17,"To Verify"),"")</f>
        <v>4</v>
      </c>
    </row>
    <row r="18" customFormat="false" ht="113.4" hidden="false" customHeight="false" outlineLevel="0" collapsed="false">
      <c r="A18" s="5" t="s">
        <v>270</v>
      </c>
      <c r="B18" s="6" t="s">
        <v>67</v>
      </c>
      <c r="C18" s="6" t="s">
        <v>68</v>
      </c>
      <c r="D18" s="6" t="s">
        <v>162</v>
      </c>
      <c r="E18" s="6" t="s">
        <v>271</v>
      </c>
      <c r="F18" s="6" t="s">
        <v>272</v>
      </c>
      <c r="G18" s="6" t="s">
        <v>273</v>
      </c>
      <c r="H18" s="6" t="s">
        <v>274</v>
      </c>
      <c r="I18" s="5" t="s">
        <v>167</v>
      </c>
      <c r="J18" s="7" t="str">
        <f aca="false">IFERROR(INDEX(AVAILABILITY_MASTER!$C$4:$C$10,MATCH(I18,AVAILABILITY_MASTER!$A$4:$A$10,0)),"To Be Confirmed")</f>
        <v>Available</v>
      </c>
      <c r="K18" s="6" t="s">
        <v>74</v>
      </c>
      <c r="L18" s="6" t="s">
        <v>75</v>
      </c>
      <c r="M18" s="7" t="str">
        <f aca="false">IFERROR(INDEX(SERVICE_DOCUMENTS!$S$4:$S$1000,MATCH(A18,SERVICE_DOCUMENTS!$A$4:$A$1000,0))&amp;"","")</f>
        <v>✓ Aadhaar Card</v>
      </c>
      <c r="N18" s="7" t="str">
        <f aca="false">IFERROR(INDEX(SERVICE_DOCUMENTS!$T$4:$T$1000,MATCH(A18,SERVICE_DOCUMENTS!$A$4:$A$1000,0))&amp;"","")</f>
        <v>• Identity Proof (To Verify)
• Address Proof (To Verify)</v>
      </c>
      <c r="O18" s="6" t="s">
        <v>168</v>
      </c>
      <c r="P18" s="6" t="s">
        <v>275</v>
      </c>
      <c r="Q18" s="6" t="s">
        <v>78</v>
      </c>
      <c r="R18" s="8" t="s">
        <v>75</v>
      </c>
      <c r="S18" s="8" t="s">
        <v>75</v>
      </c>
      <c r="T18" s="9" t="str">
        <f aca="false">IF(AND(OR(ISNUMBER(R18),R18="N/A"),OR(ISNUMBER(S18),S18="N/A"),OR(ISNUMBER(R18),ISNUMBER(S18))),N(R18)+N(S18),"To Verify")</f>
        <v>To Verify</v>
      </c>
      <c r="U18" s="6" t="s">
        <v>75</v>
      </c>
      <c r="V18" s="6" t="s">
        <v>79</v>
      </c>
      <c r="W18" s="6" t="s">
        <v>80</v>
      </c>
      <c r="X18" s="6" t="s">
        <v>81</v>
      </c>
      <c r="Y18" s="6" t="s">
        <v>79</v>
      </c>
      <c r="Z18" s="6"/>
      <c r="AA18" s="6" t="s">
        <v>74</v>
      </c>
      <c r="AB18" s="6" t="s">
        <v>74</v>
      </c>
      <c r="AC18" s="6" t="s">
        <v>75</v>
      </c>
      <c r="AD18" s="6" t="s">
        <v>75</v>
      </c>
      <c r="AE18" s="6" t="s">
        <v>79</v>
      </c>
      <c r="AF18" s="6" t="s">
        <v>75</v>
      </c>
      <c r="AG18" s="6" t="s">
        <v>170</v>
      </c>
      <c r="AH18" s="6" t="s">
        <v>74</v>
      </c>
      <c r="AI18" s="6" t="s">
        <v>79</v>
      </c>
      <c r="AJ18" s="6" t="s">
        <v>79</v>
      </c>
      <c r="AK18" s="6" t="s">
        <v>79</v>
      </c>
      <c r="AL18" s="6" t="s">
        <v>67</v>
      </c>
      <c r="AM18" s="6" t="s">
        <v>162</v>
      </c>
      <c r="AN18" s="7" t="str">
        <f aca="false">BA18&amp;", "&amp;AZ18</f>
        <v>Aadhaar Combined Demographic Update (Multiple Fields), Aadhaar Centre, Devmobile Stores, आधार संयुक्त डेमोग्राफिक अपडेट (कई जानकारियाँ), आधार सेंटर, सेवा</v>
      </c>
      <c r="AO18" s="6" t="s">
        <v>276</v>
      </c>
      <c r="AP18" s="5" t="s">
        <v>172</v>
      </c>
      <c r="AQ18" s="5" t="n">
        <v>150</v>
      </c>
      <c r="AR18" s="6" t="s">
        <v>173</v>
      </c>
      <c r="AS18" s="6" t="s">
        <v>85</v>
      </c>
      <c r="AT18" s="6" t="s">
        <v>86</v>
      </c>
      <c r="AU18" s="10"/>
      <c r="AV18" s="6" t="s">
        <v>75</v>
      </c>
      <c r="AW18" s="6" t="s">
        <v>253</v>
      </c>
      <c r="AX18" s="6" t="s">
        <v>277</v>
      </c>
      <c r="AY18" s="6" t="s">
        <v>278</v>
      </c>
      <c r="AZ18" s="6" t="s">
        <v>279</v>
      </c>
      <c r="BA18" s="6" t="s">
        <v>280</v>
      </c>
      <c r="BB18" s="6"/>
      <c r="BC18" s="11" t="str">
        <f aca="false">IFERROR(INDEX(CATEGORY_MASTER!$C$4:$C$30,MATCH(B18,CATEGORY_MASTER!$A$4:$A$30,0)),"")</f>
        <v>🪪</v>
      </c>
      <c r="BD18" s="7" t="str">
        <f aca="false">"/services/"&amp;AO18</f>
        <v>/services/aadhaar-combined-demographic-update-multiple-fields</v>
      </c>
      <c r="BE18" s="7" t="str">
        <f aca="false">IF(AND(AH18="Yes",AG18="Active",I18&lt;&gt;"Not Available"),"LIVE","HIDDEN")</f>
        <v>LIVE</v>
      </c>
      <c r="BF18" s="6" t="s">
        <v>179</v>
      </c>
      <c r="BG18" s="6" t="s">
        <v>93</v>
      </c>
      <c r="BH18" s="7" t="str">
        <f aca="false">B18&amp;"|"&amp;COUNTIF($B$4:B18,B18)</f>
        <v>Aadhaar Centre|15</v>
      </c>
      <c r="BI18" s="7" t="str">
        <f aca="false">IF(AND(AI18="Yes",BE18="LIVE"),COUNTIFS($AI$4:AI18,"Yes",$BE$4:BE18,"LIVE"),"")</f>
        <v/>
      </c>
      <c r="BJ18" s="7" t="str">
        <f aca="false">IF(AND(AJ18="Yes",BE18="LIVE"),COUNTIFS($AJ$4:AJ18,"Yes",$BE$4:BE18,"LIVE"),"")</f>
        <v/>
      </c>
      <c r="BK18" s="7" t="str">
        <f aca="false">IF(AND(AK18="Yes",BE18="LIVE"),COUNTIFS($AK$4:AK18,"Yes",$BE$4:BE18,"LIVE"),"")</f>
        <v/>
      </c>
      <c r="BL18" s="7" t="str">
        <f aca="false">IF(I18="To Verify",COUNTIF($I$4:I18,"To Verify"),"")</f>
        <v/>
      </c>
    </row>
    <row r="19" customFormat="false" ht="79.85" hidden="false" customHeight="false" outlineLevel="0" collapsed="false">
      <c r="A19" s="5" t="s">
        <v>281</v>
      </c>
      <c r="B19" s="6" t="s">
        <v>67</v>
      </c>
      <c r="C19" s="6" t="s">
        <v>68</v>
      </c>
      <c r="D19" s="6" t="s">
        <v>282</v>
      </c>
      <c r="E19" s="6" t="s">
        <v>283</v>
      </c>
      <c r="F19" s="6" t="s">
        <v>284</v>
      </c>
      <c r="G19" s="6" t="s">
        <v>285</v>
      </c>
      <c r="H19" s="6" t="s">
        <v>286</v>
      </c>
      <c r="I19" s="5" t="s">
        <v>167</v>
      </c>
      <c r="J19" s="7" t="str">
        <f aca="false">IFERROR(INDEX(AVAILABILITY_MASTER!$C$4:$C$10,MATCH(I19,AVAILABILITY_MASTER!$A$4:$A$10,0)),"To Be Confirmed")</f>
        <v>Available</v>
      </c>
      <c r="K19" s="6" t="s">
        <v>74</v>
      </c>
      <c r="L19" s="6" t="s">
        <v>75</v>
      </c>
      <c r="M19" s="7" t="str">
        <f aca="false">IFERROR(INDEX(SERVICE_DOCUMENTS!$S$4:$S$1000,MATCH(A19,SERVICE_DOCUMENTS!$A$4:$A$1000,0))&amp;"","")</f>
        <v>✓ Aadhaar Card
✓ Customer Presence for Biometrics</v>
      </c>
      <c r="N19" s="7" t="str">
        <f aca="false">IFERROR(INDEX(SERVICE_DOCUMENTS!$T$4:$T$1000,MATCH(A19,SERVICE_DOCUMENTS!$A$4:$A$1000,0))&amp;"","")</f>
        <v/>
      </c>
      <c r="O19" s="6" t="s">
        <v>287</v>
      </c>
      <c r="P19" s="6" t="s">
        <v>288</v>
      </c>
      <c r="Q19" s="6" t="s">
        <v>78</v>
      </c>
      <c r="R19" s="8" t="s">
        <v>75</v>
      </c>
      <c r="S19" s="8" t="s">
        <v>75</v>
      </c>
      <c r="T19" s="9" t="str">
        <f aca="false">IF(AND(OR(ISNUMBER(R19),R19="N/A"),OR(ISNUMBER(S19),S19="N/A"),OR(ISNUMBER(R19),ISNUMBER(S19))),N(R19)+N(S19),"To Verify")</f>
        <v>To Verify</v>
      </c>
      <c r="U19" s="6" t="s">
        <v>75</v>
      </c>
      <c r="V19" s="6" t="s">
        <v>79</v>
      </c>
      <c r="W19" s="6" t="s">
        <v>80</v>
      </c>
      <c r="X19" s="6" t="s">
        <v>81</v>
      </c>
      <c r="Y19" s="6" t="s">
        <v>79</v>
      </c>
      <c r="Z19" s="6"/>
      <c r="AA19" s="6" t="s">
        <v>74</v>
      </c>
      <c r="AB19" s="6" t="s">
        <v>74</v>
      </c>
      <c r="AC19" s="6" t="s">
        <v>75</v>
      </c>
      <c r="AD19" s="6" t="s">
        <v>75</v>
      </c>
      <c r="AE19" s="6" t="s">
        <v>79</v>
      </c>
      <c r="AF19" s="6" t="s">
        <v>75</v>
      </c>
      <c r="AG19" s="6" t="s">
        <v>170</v>
      </c>
      <c r="AH19" s="6" t="s">
        <v>74</v>
      </c>
      <c r="AI19" s="6" t="s">
        <v>79</v>
      </c>
      <c r="AJ19" s="6" t="s">
        <v>79</v>
      </c>
      <c r="AK19" s="6" t="s">
        <v>79</v>
      </c>
      <c r="AL19" s="6" t="s">
        <v>67</v>
      </c>
      <c r="AM19" s="6" t="s">
        <v>282</v>
      </c>
      <c r="AN19" s="7" t="str">
        <f aca="false">BA19&amp;", "&amp;AZ19</f>
        <v>Aadhaar Fingerprint Update, Aadhaar Centre, Devmobile Stores, आधार फिंगरप्रिंट अपडेट, आधार सेंटर, सेवा</v>
      </c>
      <c r="AO19" s="6" t="s">
        <v>289</v>
      </c>
      <c r="AP19" s="5" t="s">
        <v>290</v>
      </c>
      <c r="AQ19" s="5" t="n">
        <v>160</v>
      </c>
      <c r="AR19" s="6" t="s">
        <v>291</v>
      </c>
      <c r="AS19" s="6" t="s">
        <v>85</v>
      </c>
      <c r="AT19" s="6" t="s">
        <v>86</v>
      </c>
      <c r="AU19" s="10"/>
      <c r="AV19" s="6" t="s">
        <v>75</v>
      </c>
      <c r="AW19" s="6" t="s">
        <v>253</v>
      </c>
      <c r="AX19" s="6" t="s">
        <v>292</v>
      </c>
      <c r="AY19" s="6" t="s">
        <v>293</v>
      </c>
      <c r="AZ19" s="6" t="s">
        <v>294</v>
      </c>
      <c r="BA19" s="6" t="s">
        <v>295</v>
      </c>
      <c r="BB19" s="6"/>
      <c r="BC19" s="11" t="str">
        <f aca="false">IFERROR(INDEX(CATEGORY_MASTER!$C$4:$C$30,MATCH(B19,CATEGORY_MASTER!$A$4:$A$30,0)),"")</f>
        <v>🪪</v>
      </c>
      <c r="BD19" s="7" t="str">
        <f aca="false">"/services/"&amp;AO19</f>
        <v>/services/aadhaar-fingerprint-update</v>
      </c>
      <c r="BE19" s="7" t="str">
        <f aca="false">IF(AND(AH19="Yes",AG19="Active",I19&lt;&gt;"Not Available"),"LIVE","HIDDEN")</f>
        <v>LIVE</v>
      </c>
      <c r="BF19" s="6" t="s">
        <v>296</v>
      </c>
      <c r="BG19" s="6" t="s">
        <v>93</v>
      </c>
      <c r="BH19" s="7" t="str">
        <f aca="false">B19&amp;"|"&amp;COUNTIF($B$4:B19,B19)</f>
        <v>Aadhaar Centre|16</v>
      </c>
      <c r="BI19" s="7" t="str">
        <f aca="false">IF(AND(AI19="Yes",BE19="LIVE"),COUNTIFS($AI$4:AI19,"Yes",$BE$4:BE19,"LIVE"),"")</f>
        <v/>
      </c>
      <c r="BJ19" s="7" t="str">
        <f aca="false">IF(AND(AJ19="Yes",BE19="LIVE"),COUNTIFS($AJ$4:AJ19,"Yes",$BE$4:BE19,"LIVE"),"")</f>
        <v/>
      </c>
      <c r="BK19" s="7" t="str">
        <f aca="false">IF(AND(AK19="Yes",BE19="LIVE"),COUNTIFS($AK$4:AK19,"Yes",$BE$4:BE19,"LIVE"),"")</f>
        <v/>
      </c>
      <c r="BL19" s="7" t="str">
        <f aca="false">IF(I19="To Verify",COUNTIF($I$4:I19,"To Verify"),"")</f>
        <v/>
      </c>
    </row>
    <row r="20" customFormat="false" ht="79.85" hidden="false" customHeight="false" outlineLevel="0" collapsed="false">
      <c r="A20" s="5" t="s">
        <v>297</v>
      </c>
      <c r="B20" s="6" t="s">
        <v>67</v>
      </c>
      <c r="C20" s="6" t="s">
        <v>68</v>
      </c>
      <c r="D20" s="6" t="s">
        <v>282</v>
      </c>
      <c r="E20" s="6" t="s">
        <v>298</v>
      </c>
      <c r="F20" s="6" t="s">
        <v>299</v>
      </c>
      <c r="G20" s="6" t="s">
        <v>300</v>
      </c>
      <c r="H20" s="6" t="s">
        <v>301</v>
      </c>
      <c r="I20" s="5" t="s">
        <v>167</v>
      </c>
      <c r="J20" s="7" t="str">
        <f aca="false">IFERROR(INDEX(AVAILABILITY_MASTER!$C$4:$C$10,MATCH(I20,AVAILABILITY_MASTER!$A$4:$A$10,0)),"To Be Confirmed")</f>
        <v>Available</v>
      </c>
      <c r="K20" s="6" t="s">
        <v>74</v>
      </c>
      <c r="L20" s="6" t="s">
        <v>75</v>
      </c>
      <c r="M20" s="7" t="str">
        <f aca="false">IFERROR(INDEX(SERVICE_DOCUMENTS!$S$4:$S$1000,MATCH(A20,SERVICE_DOCUMENTS!$A$4:$A$1000,0))&amp;"","")</f>
        <v>✓ Aadhaar Card
✓ Customer Presence for Biometrics</v>
      </c>
      <c r="N20" s="7" t="str">
        <f aca="false">IFERROR(INDEX(SERVICE_DOCUMENTS!$T$4:$T$1000,MATCH(A20,SERVICE_DOCUMENTS!$A$4:$A$1000,0))&amp;"","")</f>
        <v/>
      </c>
      <c r="O20" s="6" t="s">
        <v>287</v>
      </c>
      <c r="P20" s="6" t="s">
        <v>302</v>
      </c>
      <c r="Q20" s="6" t="s">
        <v>78</v>
      </c>
      <c r="R20" s="8" t="s">
        <v>75</v>
      </c>
      <c r="S20" s="8" t="s">
        <v>75</v>
      </c>
      <c r="T20" s="9" t="str">
        <f aca="false">IF(AND(OR(ISNUMBER(R20),R20="N/A"),OR(ISNUMBER(S20),S20="N/A"),OR(ISNUMBER(R20),ISNUMBER(S20))),N(R20)+N(S20),"To Verify")</f>
        <v>To Verify</v>
      </c>
      <c r="U20" s="6" t="s">
        <v>75</v>
      </c>
      <c r="V20" s="6" t="s">
        <v>79</v>
      </c>
      <c r="W20" s="6" t="s">
        <v>80</v>
      </c>
      <c r="X20" s="6" t="s">
        <v>81</v>
      </c>
      <c r="Y20" s="6" t="s">
        <v>79</v>
      </c>
      <c r="Z20" s="6"/>
      <c r="AA20" s="6" t="s">
        <v>74</v>
      </c>
      <c r="AB20" s="6" t="s">
        <v>74</v>
      </c>
      <c r="AC20" s="6" t="s">
        <v>75</v>
      </c>
      <c r="AD20" s="6" t="s">
        <v>75</v>
      </c>
      <c r="AE20" s="6" t="s">
        <v>79</v>
      </c>
      <c r="AF20" s="6" t="s">
        <v>75</v>
      </c>
      <c r="AG20" s="6" t="s">
        <v>170</v>
      </c>
      <c r="AH20" s="6" t="s">
        <v>74</v>
      </c>
      <c r="AI20" s="6" t="s">
        <v>79</v>
      </c>
      <c r="AJ20" s="6" t="s">
        <v>79</v>
      </c>
      <c r="AK20" s="6" t="s">
        <v>79</v>
      </c>
      <c r="AL20" s="6" t="s">
        <v>67</v>
      </c>
      <c r="AM20" s="6" t="s">
        <v>282</v>
      </c>
      <c r="AN20" s="7" t="str">
        <f aca="false">BA20&amp;", "&amp;AZ20</f>
        <v>Aadhaar Iris Update, Aadhaar Centre, Devmobile Stores, आधार आइरिस अपडेट, आधार सेंटर, सेवा</v>
      </c>
      <c r="AO20" s="6" t="s">
        <v>303</v>
      </c>
      <c r="AP20" s="5" t="s">
        <v>290</v>
      </c>
      <c r="AQ20" s="5" t="n">
        <v>170</v>
      </c>
      <c r="AR20" s="6" t="s">
        <v>291</v>
      </c>
      <c r="AS20" s="6" t="s">
        <v>85</v>
      </c>
      <c r="AT20" s="6" t="s">
        <v>86</v>
      </c>
      <c r="AU20" s="10"/>
      <c r="AV20" s="6" t="s">
        <v>75</v>
      </c>
      <c r="AW20" s="6" t="s">
        <v>253</v>
      </c>
      <c r="AX20" s="6" t="s">
        <v>304</v>
      </c>
      <c r="AY20" s="6" t="s">
        <v>305</v>
      </c>
      <c r="AZ20" s="6" t="s">
        <v>306</v>
      </c>
      <c r="BA20" s="6" t="s">
        <v>307</v>
      </c>
      <c r="BB20" s="6"/>
      <c r="BC20" s="11" t="str">
        <f aca="false">IFERROR(INDEX(CATEGORY_MASTER!$C$4:$C$30,MATCH(B20,CATEGORY_MASTER!$A$4:$A$30,0)),"")</f>
        <v>🪪</v>
      </c>
      <c r="BD20" s="7" t="str">
        <f aca="false">"/services/"&amp;AO20</f>
        <v>/services/aadhaar-iris-update</v>
      </c>
      <c r="BE20" s="7" t="str">
        <f aca="false">IF(AND(AH20="Yes",AG20="Active",I20&lt;&gt;"Not Available"),"LIVE","HIDDEN")</f>
        <v>LIVE</v>
      </c>
      <c r="BF20" s="6" t="s">
        <v>296</v>
      </c>
      <c r="BG20" s="6" t="s">
        <v>93</v>
      </c>
      <c r="BH20" s="7" t="str">
        <f aca="false">B20&amp;"|"&amp;COUNTIF($B$4:B20,B20)</f>
        <v>Aadhaar Centre|17</v>
      </c>
      <c r="BI20" s="7" t="str">
        <f aca="false">IF(AND(AI20="Yes",BE20="LIVE"),COUNTIFS($AI$4:AI20,"Yes",$BE$4:BE20,"LIVE"),"")</f>
        <v/>
      </c>
      <c r="BJ20" s="7" t="str">
        <f aca="false">IF(AND(AJ20="Yes",BE20="LIVE"),COUNTIFS($AJ$4:AJ20,"Yes",$BE$4:BE20,"LIVE"),"")</f>
        <v/>
      </c>
      <c r="BK20" s="7" t="str">
        <f aca="false">IF(AND(AK20="Yes",BE20="LIVE"),COUNTIFS($AK$4:AK20,"Yes",$BE$4:BE20,"LIVE"),"")</f>
        <v/>
      </c>
      <c r="BL20" s="7" t="str">
        <f aca="false">IF(I20="To Verify",COUNTIF($I$4:I20,"To Verify"),"")</f>
        <v/>
      </c>
    </row>
    <row r="21" customFormat="false" ht="79.85" hidden="false" customHeight="false" outlineLevel="0" collapsed="false">
      <c r="A21" s="5" t="s">
        <v>308</v>
      </c>
      <c r="B21" s="6" t="s">
        <v>67</v>
      </c>
      <c r="C21" s="6" t="s">
        <v>68</v>
      </c>
      <c r="D21" s="6" t="s">
        <v>282</v>
      </c>
      <c r="E21" s="6" t="s">
        <v>309</v>
      </c>
      <c r="F21" s="6" t="s">
        <v>310</v>
      </c>
      <c r="G21" s="6" t="s">
        <v>311</v>
      </c>
      <c r="H21" s="6" t="s">
        <v>312</v>
      </c>
      <c r="I21" s="5" t="s">
        <v>167</v>
      </c>
      <c r="J21" s="7" t="str">
        <f aca="false">IFERROR(INDEX(AVAILABILITY_MASTER!$C$4:$C$10,MATCH(I21,AVAILABILITY_MASTER!$A$4:$A$10,0)),"To Be Confirmed")</f>
        <v>Available</v>
      </c>
      <c r="K21" s="6" t="s">
        <v>74</v>
      </c>
      <c r="L21" s="6" t="s">
        <v>75</v>
      </c>
      <c r="M21" s="7" t="str">
        <f aca="false">IFERROR(INDEX(SERVICE_DOCUMENTS!$S$4:$S$1000,MATCH(A21,SERVICE_DOCUMENTS!$A$4:$A$1000,0))&amp;"","")</f>
        <v>✓ Aadhaar Card
✓ Customer Presence for Biometrics</v>
      </c>
      <c r="N21" s="7" t="str">
        <f aca="false">IFERROR(INDEX(SERVICE_DOCUMENTS!$T$4:$T$1000,MATCH(A21,SERVICE_DOCUMENTS!$A$4:$A$1000,0))&amp;"","")</f>
        <v/>
      </c>
      <c r="O21" s="6" t="s">
        <v>287</v>
      </c>
      <c r="P21" s="6" t="s">
        <v>313</v>
      </c>
      <c r="Q21" s="6" t="s">
        <v>78</v>
      </c>
      <c r="R21" s="8" t="s">
        <v>75</v>
      </c>
      <c r="S21" s="8" t="s">
        <v>75</v>
      </c>
      <c r="T21" s="9" t="str">
        <f aca="false">IF(AND(OR(ISNUMBER(R21),R21="N/A"),OR(ISNUMBER(S21),S21="N/A"),OR(ISNUMBER(R21),ISNUMBER(S21))),N(R21)+N(S21),"To Verify")</f>
        <v>To Verify</v>
      </c>
      <c r="U21" s="6" t="s">
        <v>75</v>
      </c>
      <c r="V21" s="6" t="s">
        <v>79</v>
      </c>
      <c r="W21" s="6" t="s">
        <v>80</v>
      </c>
      <c r="X21" s="6" t="s">
        <v>81</v>
      </c>
      <c r="Y21" s="6" t="s">
        <v>79</v>
      </c>
      <c r="Z21" s="6"/>
      <c r="AA21" s="6" t="s">
        <v>74</v>
      </c>
      <c r="AB21" s="6" t="s">
        <v>74</v>
      </c>
      <c r="AC21" s="6" t="s">
        <v>75</v>
      </c>
      <c r="AD21" s="6" t="s">
        <v>75</v>
      </c>
      <c r="AE21" s="6" t="s">
        <v>79</v>
      </c>
      <c r="AF21" s="6" t="s">
        <v>75</v>
      </c>
      <c r="AG21" s="6" t="s">
        <v>170</v>
      </c>
      <c r="AH21" s="6" t="s">
        <v>74</v>
      </c>
      <c r="AI21" s="6" t="s">
        <v>79</v>
      </c>
      <c r="AJ21" s="6" t="s">
        <v>79</v>
      </c>
      <c r="AK21" s="6" t="s">
        <v>79</v>
      </c>
      <c r="AL21" s="6" t="s">
        <v>67</v>
      </c>
      <c r="AM21" s="6" t="s">
        <v>282</v>
      </c>
      <c r="AN21" s="7" t="str">
        <f aca="false">BA21&amp;", "&amp;AZ21</f>
        <v>Aadhaar Photograph Update, Aadhaar Centre, Devmobile Stores, आधार फोटो अपडेट, आधार सेंटर, सेवा</v>
      </c>
      <c r="AO21" s="6" t="s">
        <v>314</v>
      </c>
      <c r="AP21" s="5" t="s">
        <v>290</v>
      </c>
      <c r="AQ21" s="5" t="n">
        <v>180</v>
      </c>
      <c r="AR21" s="6" t="s">
        <v>291</v>
      </c>
      <c r="AS21" s="6" t="s">
        <v>85</v>
      </c>
      <c r="AT21" s="6" t="s">
        <v>86</v>
      </c>
      <c r="AU21" s="10"/>
      <c r="AV21" s="6" t="s">
        <v>75</v>
      </c>
      <c r="AW21" s="6" t="s">
        <v>253</v>
      </c>
      <c r="AX21" s="6" t="s">
        <v>315</v>
      </c>
      <c r="AY21" s="6" t="s">
        <v>316</v>
      </c>
      <c r="AZ21" s="6" t="s">
        <v>317</v>
      </c>
      <c r="BA21" s="6" t="s">
        <v>318</v>
      </c>
      <c r="BB21" s="6"/>
      <c r="BC21" s="11" t="str">
        <f aca="false">IFERROR(INDEX(CATEGORY_MASTER!$C$4:$C$30,MATCH(B21,CATEGORY_MASTER!$A$4:$A$30,0)),"")</f>
        <v>🪪</v>
      </c>
      <c r="BD21" s="7" t="str">
        <f aca="false">"/services/"&amp;AO21</f>
        <v>/services/aadhaar-photograph-update</v>
      </c>
      <c r="BE21" s="7" t="str">
        <f aca="false">IF(AND(AH21="Yes",AG21="Active",I21&lt;&gt;"Not Available"),"LIVE","HIDDEN")</f>
        <v>LIVE</v>
      </c>
      <c r="BF21" s="6" t="s">
        <v>296</v>
      </c>
      <c r="BG21" s="6" t="s">
        <v>93</v>
      </c>
      <c r="BH21" s="7" t="str">
        <f aca="false">B21&amp;"|"&amp;COUNTIF($B$4:B21,B21)</f>
        <v>Aadhaar Centre|18</v>
      </c>
      <c r="BI21" s="7" t="str">
        <f aca="false">IF(AND(AI21="Yes",BE21="LIVE"),COUNTIFS($AI$4:AI21,"Yes",$BE$4:BE21,"LIVE"),"")</f>
        <v/>
      </c>
      <c r="BJ21" s="7" t="str">
        <f aca="false">IF(AND(AJ21="Yes",BE21="LIVE"),COUNTIFS($AJ$4:AJ21,"Yes",$BE$4:BE21,"LIVE"),"")</f>
        <v/>
      </c>
      <c r="BK21" s="7" t="str">
        <f aca="false">IF(AND(AK21="Yes",BE21="LIVE"),COUNTIFS($AK$4:AK21,"Yes",$BE$4:BE21,"LIVE"),"")</f>
        <v/>
      </c>
      <c r="BL21" s="7" t="str">
        <f aca="false">IF(I21="To Verify",COUNTIF($I$4:I21,"To Verify"),"")</f>
        <v/>
      </c>
    </row>
    <row r="22" customFormat="false" ht="79.85" hidden="false" customHeight="false" outlineLevel="0" collapsed="false">
      <c r="A22" s="5" t="s">
        <v>319</v>
      </c>
      <c r="B22" s="6" t="s">
        <v>67</v>
      </c>
      <c r="C22" s="6" t="s">
        <v>68</v>
      </c>
      <c r="D22" s="6" t="s">
        <v>282</v>
      </c>
      <c r="E22" s="6" t="s">
        <v>320</v>
      </c>
      <c r="F22" s="6" t="s">
        <v>321</v>
      </c>
      <c r="G22" s="6" t="s">
        <v>322</v>
      </c>
      <c r="H22" s="6" t="s">
        <v>323</v>
      </c>
      <c r="I22" s="5" t="s">
        <v>167</v>
      </c>
      <c r="J22" s="7" t="str">
        <f aca="false">IFERROR(INDEX(AVAILABILITY_MASTER!$C$4:$C$10,MATCH(I22,AVAILABILITY_MASTER!$A$4:$A$10,0)),"To Be Confirmed")</f>
        <v>Available</v>
      </c>
      <c r="K22" s="6" t="s">
        <v>74</v>
      </c>
      <c r="L22" s="6" t="s">
        <v>75</v>
      </c>
      <c r="M22" s="7" t="str">
        <f aca="false">IFERROR(INDEX(SERVICE_DOCUMENTS!$S$4:$S$1000,MATCH(A22,SERVICE_DOCUMENTS!$A$4:$A$1000,0))&amp;"","")</f>
        <v>✓ Aadhaar Card
✓ Customer Presence for Biometrics</v>
      </c>
      <c r="N22" s="7" t="str">
        <f aca="false">IFERROR(INDEX(SERVICE_DOCUMENTS!$T$4:$T$1000,MATCH(A22,SERVICE_DOCUMENTS!$A$4:$A$1000,0))&amp;"","")</f>
        <v/>
      </c>
      <c r="O22" s="6" t="s">
        <v>287</v>
      </c>
      <c r="P22" s="6" t="s">
        <v>324</v>
      </c>
      <c r="Q22" s="6" t="s">
        <v>78</v>
      </c>
      <c r="R22" s="8" t="s">
        <v>75</v>
      </c>
      <c r="S22" s="8" t="s">
        <v>75</v>
      </c>
      <c r="T22" s="9" t="str">
        <f aca="false">IF(AND(OR(ISNUMBER(R22),R22="N/A"),OR(ISNUMBER(S22),S22="N/A"),OR(ISNUMBER(R22),ISNUMBER(S22))),N(R22)+N(S22),"To Verify")</f>
        <v>To Verify</v>
      </c>
      <c r="U22" s="6" t="s">
        <v>75</v>
      </c>
      <c r="V22" s="6" t="s">
        <v>79</v>
      </c>
      <c r="W22" s="6" t="s">
        <v>80</v>
      </c>
      <c r="X22" s="6" t="s">
        <v>81</v>
      </c>
      <c r="Y22" s="6" t="s">
        <v>79</v>
      </c>
      <c r="Z22" s="6"/>
      <c r="AA22" s="6" t="s">
        <v>74</v>
      </c>
      <c r="AB22" s="6" t="s">
        <v>74</v>
      </c>
      <c r="AC22" s="6" t="s">
        <v>75</v>
      </c>
      <c r="AD22" s="6" t="s">
        <v>75</v>
      </c>
      <c r="AE22" s="6" t="s">
        <v>79</v>
      </c>
      <c r="AF22" s="6" t="s">
        <v>75</v>
      </c>
      <c r="AG22" s="6" t="s">
        <v>170</v>
      </c>
      <c r="AH22" s="6" t="s">
        <v>74</v>
      </c>
      <c r="AI22" s="6" t="s">
        <v>79</v>
      </c>
      <c r="AJ22" s="6" t="s">
        <v>79</v>
      </c>
      <c r="AK22" s="6" t="s">
        <v>79</v>
      </c>
      <c r="AL22" s="6" t="s">
        <v>67</v>
      </c>
      <c r="AM22" s="6" t="s">
        <v>282</v>
      </c>
      <c r="AN22" s="7" t="str">
        <f aca="false">BA22&amp;", "&amp;AZ22</f>
        <v>Aadhaar Biometric Update – Combined (Finger + Iris + Photo), Aadhaar Centre, Devmobile Stores, आधार बायोमेट्रिक अपडेट – संयुक्त (उँगली + आँख + फोटो), आधार सेंटर, सेवा</v>
      </c>
      <c r="AO22" s="6" t="s">
        <v>325</v>
      </c>
      <c r="AP22" s="5" t="s">
        <v>290</v>
      </c>
      <c r="AQ22" s="5" t="n">
        <v>190</v>
      </c>
      <c r="AR22" s="6" t="s">
        <v>291</v>
      </c>
      <c r="AS22" s="6" t="s">
        <v>85</v>
      </c>
      <c r="AT22" s="6" t="s">
        <v>86</v>
      </c>
      <c r="AU22" s="10"/>
      <c r="AV22" s="6" t="s">
        <v>75</v>
      </c>
      <c r="AW22" s="6" t="s">
        <v>253</v>
      </c>
      <c r="AX22" s="6" t="s">
        <v>326</v>
      </c>
      <c r="AY22" s="6" t="s">
        <v>327</v>
      </c>
      <c r="AZ22" s="6" t="s">
        <v>328</v>
      </c>
      <c r="BA22" s="6" t="s">
        <v>329</v>
      </c>
      <c r="BB22" s="6"/>
      <c r="BC22" s="11" t="str">
        <f aca="false">IFERROR(INDEX(CATEGORY_MASTER!$C$4:$C$30,MATCH(B22,CATEGORY_MASTER!$A$4:$A$30,0)),"")</f>
        <v>🪪</v>
      </c>
      <c r="BD22" s="7" t="str">
        <f aca="false">"/services/"&amp;AO22</f>
        <v>/services/aadhaar-biometric-update-combined-finger-iris-photo</v>
      </c>
      <c r="BE22" s="7" t="str">
        <f aca="false">IF(AND(AH22="Yes",AG22="Active",I22&lt;&gt;"Not Available"),"LIVE","HIDDEN")</f>
        <v>LIVE</v>
      </c>
      <c r="BF22" s="6" t="s">
        <v>296</v>
      </c>
      <c r="BG22" s="6" t="s">
        <v>93</v>
      </c>
      <c r="BH22" s="7" t="str">
        <f aca="false">B22&amp;"|"&amp;COUNTIF($B$4:B22,B22)</f>
        <v>Aadhaar Centre|19</v>
      </c>
      <c r="BI22" s="7" t="str">
        <f aca="false">IF(AND(AI22="Yes",BE22="LIVE"),COUNTIFS($AI$4:AI22,"Yes",$BE$4:BE22,"LIVE"),"")</f>
        <v/>
      </c>
      <c r="BJ22" s="7" t="str">
        <f aca="false">IF(AND(AJ22="Yes",BE22="LIVE"),COUNTIFS($AJ$4:AJ22,"Yes",$BE$4:BE22,"LIVE"),"")</f>
        <v/>
      </c>
      <c r="BK22" s="7" t="str">
        <f aca="false">IF(AND(AK22="Yes",BE22="LIVE"),COUNTIFS($AK$4:AK22,"Yes",$BE$4:BE22,"LIVE"),"")</f>
        <v/>
      </c>
      <c r="BL22" s="7" t="str">
        <f aca="false">IF(I22="To Verify",COUNTIF($I$4:I22,"To Verify"),"")</f>
        <v/>
      </c>
    </row>
    <row r="23" customFormat="false" ht="102.2" hidden="false" customHeight="false" outlineLevel="0" collapsed="false">
      <c r="A23" s="5" t="s">
        <v>330</v>
      </c>
      <c r="B23" s="6" t="s">
        <v>67</v>
      </c>
      <c r="C23" s="6" t="s">
        <v>68</v>
      </c>
      <c r="D23" s="6" t="s">
        <v>282</v>
      </c>
      <c r="E23" s="6" t="s">
        <v>331</v>
      </c>
      <c r="F23" s="6" t="s">
        <v>332</v>
      </c>
      <c r="G23" s="6" t="s">
        <v>333</v>
      </c>
      <c r="H23" s="6" t="s">
        <v>334</v>
      </c>
      <c r="I23" s="5" t="s">
        <v>167</v>
      </c>
      <c r="J23" s="7" t="str">
        <f aca="false">IFERROR(INDEX(AVAILABILITY_MASTER!$C$4:$C$10,MATCH(I23,AVAILABILITY_MASTER!$A$4:$A$10,0)),"To Be Confirmed")</f>
        <v>Available</v>
      </c>
      <c r="K23" s="6" t="s">
        <v>74</v>
      </c>
      <c r="L23" s="6" t="s">
        <v>75</v>
      </c>
      <c r="M23" s="7" t="str">
        <f aca="false">IFERROR(INDEX(SERVICE_DOCUMENTS!$S$4:$S$1000,MATCH(A23,SERVICE_DOCUMENTS!$A$4:$A$1000,0))&amp;"","")</f>
        <v>✓ Aadhaar Card
✓ Customer Presence for Biometrics
✓ Parent / Guardian Aadhaar</v>
      </c>
      <c r="N23" s="7" t="str">
        <f aca="false">IFERROR(INDEX(SERVICE_DOCUMENTS!$T$4:$T$1000,MATCH(A23,SERVICE_DOCUMENTS!$A$4:$A$1000,0))&amp;"","")</f>
        <v/>
      </c>
      <c r="O23" s="6" t="s">
        <v>287</v>
      </c>
      <c r="P23" s="6" t="s">
        <v>335</v>
      </c>
      <c r="Q23" s="6" t="s">
        <v>78</v>
      </c>
      <c r="R23" s="8" t="s">
        <v>75</v>
      </c>
      <c r="S23" s="8" t="s">
        <v>75</v>
      </c>
      <c r="T23" s="9" t="str">
        <f aca="false">IF(AND(OR(ISNUMBER(R23),R23="N/A"),OR(ISNUMBER(S23),S23="N/A"),OR(ISNUMBER(R23),ISNUMBER(S23))),N(R23)+N(S23),"To Verify")</f>
        <v>To Verify</v>
      </c>
      <c r="U23" s="6" t="s">
        <v>75</v>
      </c>
      <c r="V23" s="6" t="s">
        <v>79</v>
      </c>
      <c r="W23" s="6" t="s">
        <v>80</v>
      </c>
      <c r="X23" s="6" t="s">
        <v>81</v>
      </c>
      <c r="Y23" s="6" t="s">
        <v>79</v>
      </c>
      <c r="Z23" s="6"/>
      <c r="AA23" s="6" t="s">
        <v>74</v>
      </c>
      <c r="AB23" s="6" t="s">
        <v>74</v>
      </c>
      <c r="AC23" s="6" t="s">
        <v>75</v>
      </c>
      <c r="AD23" s="6" t="s">
        <v>75</v>
      </c>
      <c r="AE23" s="6" t="s">
        <v>79</v>
      </c>
      <c r="AF23" s="6" t="s">
        <v>75</v>
      </c>
      <c r="AG23" s="6" t="s">
        <v>170</v>
      </c>
      <c r="AH23" s="6" t="s">
        <v>74</v>
      </c>
      <c r="AI23" s="6" t="s">
        <v>79</v>
      </c>
      <c r="AJ23" s="6" t="s">
        <v>79</v>
      </c>
      <c r="AK23" s="6" t="s">
        <v>79</v>
      </c>
      <c r="AL23" s="6" t="s">
        <v>67</v>
      </c>
      <c r="AM23" s="6" t="s">
        <v>282</v>
      </c>
      <c r="AN23" s="7" t="str">
        <f aca="false">BA23&amp;", "&amp;AZ23</f>
        <v>Mandatory Biometric Update – Child at Age 5, Aadhaar Centre, Devmobile Stores, अनिवार्य बायोमेट्रिक अपडेट – बच्चा (5 वर्ष), आधार सेंटर, सेवा</v>
      </c>
      <c r="AO23" s="6" t="s">
        <v>336</v>
      </c>
      <c r="AP23" s="5" t="s">
        <v>290</v>
      </c>
      <c r="AQ23" s="5" t="n">
        <v>200</v>
      </c>
      <c r="AR23" s="6" t="s">
        <v>291</v>
      </c>
      <c r="AS23" s="6" t="s">
        <v>85</v>
      </c>
      <c r="AT23" s="6" t="s">
        <v>86</v>
      </c>
      <c r="AU23" s="10"/>
      <c r="AV23" s="6" t="s">
        <v>75</v>
      </c>
      <c r="AW23" s="6" t="s">
        <v>337</v>
      </c>
      <c r="AX23" s="6" t="s">
        <v>338</v>
      </c>
      <c r="AY23" s="6" t="s">
        <v>339</v>
      </c>
      <c r="AZ23" s="6" t="s">
        <v>340</v>
      </c>
      <c r="BA23" s="6" t="s">
        <v>341</v>
      </c>
      <c r="BB23" s="6"/>
      <c r="BC23" s="11" t="str">
        <f aca="false">IFERROR(INDEX(CATEGORY_MASTER!$C$4:$C$30,MATCH(B23,CATEGORY_MASTER!$A$4:$A$30,0)),"")</f>
        <v>🪪</v>
      </c>
      <c r="BD23" s="7" t="str">
        <f aca="false">"/services/"&amp;AO23</f>
        <v>/services/mandatory-biometric-update-child-at-age-5</v>
      </c>
      <c r="BE23" s="7" t="str">
        <f aca="false">IF(AND(AH23="Yes",AG23="Active",I23&lt;&gt;"Not Available"),"LIVE","HIDDEN")</f>
        <v>LIVE</v>
      </c>
      <c r="BF23" s="6" t="s">
        <v>296</v>
      </c>
      <c r="BG23" s="6" t="s">
        <v>93</v>
      </c>
      <c r="BH23" s="7" t="str">
        <f aca="false">B23&amp;"|"&amp;COUNTIF($B$4:B23,B23)</f>
        <v>Aadhaar Centre|20</v>
      </c>
      <c r="BI23" s="7" t="str">
        <f aca="false">IF(AND(AI23="Yes",BE23="LIVE"),COUNTIFS($AI$4:AI23,"Yes",$BE$4:BE23,"LIVE"),"")</f>
        <v/>
      </c>
      <c r="BJ23" s="7" t="str">
        <f aca="false">IF(AND(AJ23="Yes",BE23="LIVE"),COUNTIFS($AJ$4:AJ23,"Yes",$BE$4:BE23,"LIVE"),"")</f>
        <v/>
      </c>
      <c r="BK23" s="7" t="str">
        <f aca="false">IF(AND(AK23="Yes",BE23="LIVE"),COUNTIFS($AK$4:AK23,"Yes",$BE$4:BE23,"LIVE"),"")</f>
        <v/>
      </c>
      <c r="BL23" s="7" t="str">
        <f aca="false">IF(I23="To Verify",COUNTIF($I$4:I23,"To Verify"),"")</f>
        <v/>
      </c>
    </row>
    <row r="24" customFormat="false" ht="102.2" hidden="false" customHeight="false" outlineLevel="0" collapsed="false">
      <c r="A24" s="5" t="s">
        <v>342</v>
      </c>
      <c r="B24" s="6" t="s">
        <v>67</v>
      </c>
      <c r="C24" s="6" t="s">
        <v>68</v>
      </c>
      <c r="D24" s="6" t="s">
        <v>282</v>
      </c>
      <c r="E24" s="6" t="s">
        <v>343</v>
      </c>
      <c r="F24" s="6" t="s">
        <v>344</v>
      </c>
      <c r="G24" s="6" t="s">
        <v>345</v>
      </c>
      <c r="H24" s="6" t="s">
        <v>346</v>
      </c>
      <c r="I24" s="5" t="s">
        <v>167</v>
      </c>
      <c r="J24" s="7" t="str">
        <f aca="false">IFERROR(INDEX(AVAILABILITY_MASTER!$C$4:$C$10,MATCH(I24,AVAILABILITY_MASTER!$A$4:$A$10,0)),"To Be Confirmed")</f>
        <v>Available</v>
      </c>
      <c r="K24" s="6" t="s">
        <v>74</v>
      </c>
      <c r="L24" s="6" t="s">
        <v>75</v>
      </c>
      <c r="M24" s="7" t="str">
        <f aca="false">IFERROR(INDEX(SERVICE_DOCUMENTS!$S$4:$S$1000,MATCH(A24,SERVICE_DOCUMENTS!$A$4:$A$1000,0))&amp;"","")</f>
        <v>✓ Aadhaar Card
✓ Customer Presence for Biometrics
✓ Parent / Guardian Aadhaar</v>
      </c>
      <c r="N24" s="7" t="str">
        <f aca="false">IFERROR(INDEX(SERVICE_DOCUMENTS!$T$4:$T$1000,MATCH(A24,SERVICE_DOCUMENTS!$A$4:$A$1000,0))&amp;"","")</f>
        <v/>
      </c>
      <c r="O24" s="6" t="s">
        <v>287</v>
      </c>
      <c r="P24" s="6" t="s">
        <v>347</v>
      </c>
      <c r="Q24" s="6" t="s">
        <v>78</v>
      </c>
      <c r="R24" s="8" t="s">
        <v>75</v>
      </c>
      <c r="S24" s="8" t="s">
        <v>75</v>
      </c>
      <c r="T24" s="9" t="str">
        <f aca="false">IF(AND(OR(ISNUMBER(R24),R24="N/A"),OR(ISNUMBER(S24),S24="N/A"),OR(ISNUMBER(R24),ISNUMBER(S24))),N(R24)+N(S24),"To Verify")</f>
        <v>To Verify</v>
      </c>
      <c r="U24" s="6" t="s">
        <v>75</v>
      </c>
      <c r="V24" s="6" t="s">
        <v>79</v>
      </c>
      <c r="W24" s="6" t="s">
        <v>80</v>
      </c>
      <c r="X24" s="6" t="s">
        <v>81</v>
      </c>
      <c r="Y24" s="6" t="s">
        <v>79</v>
      </c>
      <c r="Z24" s="6"/>
      <c r="AA24" s="6" t="s">
        <v>74</v>
      </c>
      <c r="AB24" s="6" t="s">
        <v>74</v>
      </c>
      <c r="AC24" s="6" t="s">
        <v>75</v>
      </c>
      <c r="AD24" s="6" t="s">
        <v>75</v>
      </c>
      <c r="AE24" s="6" t="s">
        <v>79</v>
      </c>
      <c r="AF24" s="6" t="s">
        <v>75</v>
      </c>
      <c r="AG24" s="6" t="s">
        <v>170</v>
      </c>
      <c r="AH24" s="6" t="s">
        <v>74</v>
      </c>
      <c r="AI24" s="6" t="s">
        <v>79</v>
      </c>
      <c r="AJ24" s="6" t="s">
        <v>79</v>
      </c>
      <c r="AK24" s="6" t="s">
        <v>79</v>
      </c>
      <c r="AL24" s="6" t="s">
        <v>67</v>
      </c>
      <c r="AM24" s="6" t="s">
        <v>282</v>
      </c>
      <c r="AN24" s="7" t="str">
        <f aca="false">BA24&amp;", "&amp;AZ24</f>
        <v>Mandatory Biometric Update – Child at Age 15, Aadhaar Centre, Devmobile Stores, अनिवार्य बायोमेट्रिक अपडेट – बच्चा (15 वर्ष), आधार सेंटर, सेवा</v>
      </c>
      <c r="AO24" s="6" t="s">
        <v>348</v>
      </c>
      <c r="AP24" s="5" t="s">
        <v>290</v>
      </c>
      <c r="AQ24" s="5" t="n">
        <v>210</v>
      </c>
      <c r="AR24" s="6" t="s">
        <v>291</v>
      </c>
      <c r="AS24" s="6" t="s">
        <v>85</v>
      </c>
      <c r="AT24" s="6" t="s">
        <v>86</v>
      </c>
      <c r="AU24" s="10"/>
      <c r="AV24" s="6" t="s">
        <v>75</v>
      </c>
      <c r="AW24" s="6" t="s">
        <v>337</v>
      </c>
      <c r="AX24" s="6" t="s">
        <v>349</v>
      </c>
      <c r="AY24" s="6" t="s">
        <v>350</v>
      </c>
      <c r="AZ24" s="6" t="s">
        <v>351</v>
      </c>
      <c r="BA24" s="6" t="s">
        <v>352</v>
      </c>
      <c r="BB24" s="6"/>
      <c r="BC24" s="11" t="str">
        <f aca="false">IFERROR(INDEX(CATEGORY_MASTER!$C$4:$C$30,MATCH(B24,CATEGORY_MASTER!$A$4:$A$30,0)),"")</f>
        <v>🪪</v>
      </c>
      <c r="BD24" s="7" t="str">
        <f aca="false">"/services/"&amp;AO24</f>
        <v>/services/mandatory-biometric-update-child-at-age-15</v>
      </c>
      <c r="BE24" s="7" t="str">
        <f aca="false">IF(AND(AH24="Yes",AG24="Active",I24&lt;&gt;"Not Available"),"LIVE","HIDDEN")</f>
        <v>LIVE</v>
      </c>
      <c r="BF24" s="6" t="s">
        <v>296</v>
      </c>
      <c r="BG24" s="6" t="s">
        <v>93</v>
      </c>
      <c r="BH24" s="7" t="str">
        <f aca="false">B24&amp;"|"&amp;COUNTIF($B$4:B24,B24)</f>
        <v>Aadhaar Centre|21</v>
      </c>
      <c r="BI24" s="7" t="str">
        <f aca="false">IF(AND(AI24="Yes",BE24="LIVE"),COUNTIFS($AI$4:AI24,"Yes",$BE$4:BE24,"LIVE"),"")</f>
        <v/>
      </c>
      <c r="BJ24" s="7" t="str">
        <f aca="false">IF(AND(AJ24="Yes",BE24="LIVE"),COUNTIFS($AJ$4:AJ24,"Yes",$BE$4:BE24,"LIVE"),"")</f>
        <v/>
      </c>
      <c r="BK24" s="7" t="str">
        <f aca="false">IF(AND(AK24="Yes",BE24="LIVE"),COUNTIFS($AK$4:AK24,"Yes",$BE$4:BE24,"LIVE"),"")</f>
        <v/>
      </c>
      <c r="BL24" s="7" t="str">
        <f aca="false">IF(I24="To Verify",COUNTIF($I$4:I24,"To Verify"),"")</f>
        <v/>
      </c>
    </row>
    <row r="25" customFormat="false" ht="79.85" hidden="false" customHeight="false" outlineLevel="0" collapsed="false">
      <c r="A25" s="5" t="s">
        <v>353</v>
      </c>
      <c r="B25" s="6" t="s">
        <v>67</v>
      </c>
      <c r="C25" s="6" t="s">
        <v>68</v>
      </c>
      <c r="D25" s="6" t="s">
        <v>282</v>
      </c>
      <c r="E25" s="6" t="s">
        <v>354</v>
      </c>
      <c r="F25" s="6" t="s">
        <v>355</v>
      </c>
      <c r="G25" s="6" t="s">
        <v>356</v>
      </c>
      <c r="H25" s="6" t="s">
        <v>357</v>
      </c>
      <c r="I25" s="5" t="s">
        <v>167</v>
      </c>
      <c r="J25" s="7" t="str">
        <f aca="false">IFERROR(INDEX(AVAILABILITY_MASTER!$C$4:$C$10,MATCH(I25,AVAILABILITY_MASTER!$A$4:$A$10,0)),"To Be Confirmed")</f>
        <v>Available</v>
      </c>
      <c r="K25" s="6" t="s">
        <v>74</v>
      </c>
      <c r="L25" s="6" t="s">
        <v>75</v>
      </c>
      <c r="M25" s="7" t="str">
        <f aca="false">IFERROR(INDEX(SERVICE_DOCUMENTS!$S$4:$S$1000,MATCH(A25,SERVICE_DOCUMENTS!$A$4:$A$1000,0))&amp;"","")</f>
        <v>✓ Aadhaar Card
✓ Customer Presence for Biometrics</v>
      </c>
      <c r="N25" s="7" t="str">
        <f aca="false">IFERROR(INDEX(SERVICE_DOCUMENTS!$T$4:$T$1000,MATCH(A25,SERVICE_DOCUMENTS!$A$4:$A$1000,0))&amp;"","")</f>
        <v/>
      </c>
      <c r="O25" s="6" t="s">
        <v>287</v>
      </c>
      <c r="P25" s="6" t="s">
        <v>358</v>
      </c>
      <c r="Q25" s="6" t="s">
        <v>78</v>
      </c>
      <c r="R25" s="8" t="s">
        <v>75</v>
      </c>
      <c r="S25" s="8" t="s">
        <v>75</v>
      </c>
      <c r="T25" s="9" t="str">
        <f aca="false">IF(AND(OR(ISNUMBER(R25),R25="N/A"),OR(ISNUMBER(S25),S25="N/A"),OR(ISNUMBER(R25),ISNUMBER(S25))),N(R25)+N(S25),"To Verify")</f>
        <v>To Verify</v>
      </c>
      <c r="U25" s="6" t="s">
        <v>75</v>
      </c>
      <c r="V25" s="6" t="s">
        <v>79</v>
      </c>
      <c r="W25" s="6" t="s">
        <v>80</v>
      </c>
      <c r="X25" s="6" t="s">
        <v>81</v>
      </c>
      <c r="Y25" s="6" t="s">
        <v>79</v>
      </c>
      <c r="Z25" s="6"/>
      <c r="AA25" s="6" t="s">
        <v>74</v>
      </c>
      <c r="AB25" s="6" t="s">
        <v>74</v>
      </c>
      <c r="AC25" s="6" t="s">
        <v>75</v>
      </c>
      <c r="AD25" s="6" t="s">
        <v>75</v>
      </c>
      <c r="AE25" s="6" t="s">
        <v>79</v>
      </c>
      <c r="AF25" s="6" t="s">
        <v>75</v>
      </c>
      <c r="AG25" s="6" t="s">
        <v>170</v>
      </c>
      <c r="AH25" s="6" t="s">
        <v>74</v>
      </c>
      <c r="AI25" s="6" t="s">
        <v>79</v>
      </c>
      <c r="AJ25" s="6" t="s">
        <v>79</v>
      </c>
      <c r="AK25" s="6" t="s">
        <v>79</v>
      </c>
      <c r="AL25" s="6" t="s">
        <v>67</v>
      </c>
      <c r="AM25" s="6" t="s">
        <v>282</v>
      </c>
      <c r="AN25" s="7" t="str">
        <f aca="false">BA25&amp;", "&amp;AZ25</f>
        <v>Aadhaar Biometric Update – Adult (Quality / Periodic), Aadhaar Centre, Devmobile Stores, आधार बायोमेट्रिक अपडेट – वयस्क (क्वालिटी / आवधिक), आधार सेंटर, सेवा</v>
      </c>
      <c r="AO25" s="6" t="s">
        <v>359</v>
      </c>
      <c r="AP25" s="5" t="s">
        <v>290</v>
      </c>
      <c r="AQ25" s="5" t="n">
        <v>220</v>
      </c>
      <c r="AR25" s="6" t="s">
        <v>291</v>
      </c>
      <c r="AS25" s="6" t="s">
        <v>85</v>
      </c>
      <c r="AT25" s="6" t="s">
        <v>86</v>
      </c>
      <c r="AU25" s="10"/>
      <c r="AV25" s="6" t="s">
        <v>75</v>
      </c>
      <c r="AW25" s="6" t="s">
        <v>253</v>
      </c>
      <c r="AX25" s="6" t="s">
        <v>360</v>
      </c>
      <c r="AY25" s="6" t="s">
        <v>361</v>
      </c>
      <c r="AZ25" s="6" t="s">
        <v>362</v>
      </c>
      <c r="BA25" s="6" t="s">
        <v>363</v>
      </c>
      <c r="BB25" s="6"/>
      <c r="BC25" s="11" t="str">
        <f aca="false">IFERROR(INDEX(CATEGORY_MASTER!$C$4:$C$30,MATCH(B25,CATEGORY_MASTER!$A$4:$A$30,0)),"")</f>
        <v>🪪</v>
      </c>
      <c r="BD25" s="7" t="str">
        <f aca="false">"/services/"&amp;AO25</f>
        <v>/services/aadhaar-biometric-update-adult-quality-periodic</v>
      </c>
      <c r="BE25" s="7" t="str">
        <f aca="false">IF(AND(AH25="Yes",AG25="Active",I25&lt;&gt;"Not Available"),"LIVE","HIDDEN")</f>
        <v>LIVE</v>
      </c>
      <c r="BF25" s="6" t="s">
        <v>296</v>
      </c>
      <c r="BG25" s="6" t="s">
        <v>93</v>
      </c>
      <c r="BH25" s="7" t="str">
        <f aca="false">B25&amp;"|"&amp;COUNTIF($B$4:B25,B25)</f>
        <v>Aadhaar Centre|22</v>
      </c>
      <c r="BI25" s="7" t="str">
        <f aca="false">IF(AND(AI25="Yes",BE25="LIVE"),COUNTIFS($AI$4:AI25,"Yes",$BE$4:BE25,"LIVE"),"")</f>
        <v/>
      </c>
      <c r="BJ25" s="7" t="str">
        <f aca="false">IF(AND(AJ25="Yes",BE25="LIVE"),COUNTIFS($AJ$4:AJ25,"Yes",$BE$4:BE25,"LIVE"),"")</f>
        <v/>
      </c>
      <c r="BK25" s="7" t="str">
        <f aca="false">IF(AND(AK25="Yes",BE25="LIVE"),COUNTIFS($AK$4:AK25,"Yes",$BE$4:BE25,"LIVE"),"")</f>
        <v/>
      </c>
      <c r="BL25" s="7" t="str">
        <f aca="false">IF(I25="To Verify",COUNTIF($I$4:I25,"To Verify"),"")</f>
        <v/>
      </c>
    </row>
    <row r="26" customFormat="false" ht="91" hidden="false" customHeight="false" outlineLevel="0" collapsed="false">
      <c r="A26" s="5" t="s">
        <v>364</v>
      </c>
      <c r="B26" s="6" t="s">
        <v>67</v>
      </c>
      <c r="C26" s="6" t="s">
        <v>68</v>
      </c>
      <c r="D26" s="6" t="s">
        <v>282</v>
      </c>
      <c r="E26" s="6" t="s">
        <v>365</v>
      </c>
      <c r="F26" s="6" t="s">
        <v>366</v>
      </c>
      <c r="G26" s="6" t="s">
        <v>367</v>
      </c>
      <c r="H26" s="6" t="s">
        <v>368</v>
      </c>
      <c r="I26" s="5" t="s">
        <v>221</v>
      </c>
      <c r="J26" s="7" t="str">
        <f aca="false">IFERROR(INDEX(AVAILABILITY_MASTER!$C$4:$C$10,MATCH(I26,AVAILABILITY_MASTER!$A$4:$A$10,0)),"To Be Confirmed")</f>
        <v>Depends on Portal – Confirm at Shop</v>
      </c>
      <c r="K26" s="6" t="s">
        <v>129</v>
      </c>
      <c r="L26" s="6" t="s">
        <v>221</v>
      </c>
      <c r="M26" s="7" t="str">
        <f aca="false">IFERROR(INDEX(SERVICE_DOCUMENTS!$S$4:$S$1000,MATCH(A26,SERVICE_DOCUMENTS!$A$4:$A$1000,0))&amp;"","")</f>
        <v>✓ Aadhaar Card
✓ Aadhaar-Linked Mobile Number</v>
      </c>
      <c r="N26" s="7" t="str">
        <f aca="false">IFERROR(INDEX(SERVICE_DOCUMENTS!$T$4:$T$1000,MATCH(A26,SERVICE_DOCUMENTS!$A$4:$A$1000,0))&amp;"","")</f>
        <v/>
      </c>
      <c r="O26" s="6" t="s">
        <v>369</v>
      </c>
      <c r="P26" s="6" t="s">
        <v>370</v>
      </c>
      <c r="Q26" s="6" t="s">
        <v>371</v>
      </c>
      <c r="R26" s="8" t="s">
        <v>75</v>
      </c>
      <c r="S26" s="8" t="s">
        <v>75</v>
      </c>
      <c r="T26" s="9" t="str">
        <f aca="false">IF(AND(OR(ISNUMBER(R26),R26="N/A"),OR(ISNUMBER(S26),S26="N/A"),OR(ISNUMBER(R26),ISNUMBER(S26))),N(R26)+N(S26),"To Verify")</f>
        <v>To Verify</v>
      </c>
      <c r="U26" s="6" t="s">
        <v>75</v>
      </c>
      <c r="V26" s="6" t="s">
        <v>79</v>
      </c>
      <c r="W26" s="6" t="s">
        <v>80</v>
      </c>
      <c r="X26" s="6" t="s">
        <v>221</v>
      </c>
      <c r="Y26" s="6" t="s">
        <v>74</v>
      </c>
      <c r="Z26" s="6" t="s">
        <v>372</v>
      </c>
      <c r="AA26" s="6" t="s">
        <v>129</v>
      </c>
      <c r="AB26" s="6" t="s">
        <v>74</v>
      </c>
      <c r="AC26" s="6" t="s">
        <v>75</v>
      </c>
      <c r="AD26" s="6" t="s">
        <v>75</v>
      </c>
      <c r="AE26" s="6" t="s">
        <v>75</v>
      </c>
      <c r="AF26" s="6" t="s">
        <v>75</v>
      </c>
      <c r="AG26" s="6" t="s">
        <v>75</v>
      </c>
      <c r="AH26" s="6" t="s">
        <v>79</v>
      </c>
      <c r="AI26" s="6" t="s">
        <v>79</v>
      </c>
      <c r="AJ26" s="6" t="s">
        <v>79</v>
      </c>
      <c r="AK26" s="6" t="s">
        <v>79</v>
      </c>
      <c r="AL26" s="6" t="s">
        <v>67</v>
      </c>
      <c r="AM26" s="6" t="s">
        <v>282</v>
      </c>
      <c r="AN26" s="7" t="str">
        <f aca="false">BA26&amp;", "&amp;AZ26</f>
        <v>Aadhaar Biometric Lock / Unlock Assistance, Aadhaar Centre, Devmobile Stores, आधार बायोमेट्रिक लॉक / अनलॉक सहायता, आधार सेंटर, सेवा</v>
      </c>
      <c r="AO26" s="6" t="s">
        <v>373</v>
      </c>
      <c r="AP26" s="5" t="s">
        <v>290</v>
      </c>
      <c r="AQ26" s="5" t="n">
        <v>230</v>
      </c>
      <c r="AR26" s="6" t="s">
        <v>374</v>
      </c>
      <c r="AS26" s="6" t="s">
        <v>375</v>
      </c>
      <c r="AT26" s="6" t="s">
        <v>86</v>
      </c>
      <c r="AU26" s="10"/>
      <c r="AV26" s="6" t="s">
        <v>75</v>
      </c>
      <c r="AW26" s="6" t="s">
        <v>376</v>
      </c>
      <c r="AX26" s="6" t="s">
        <v>377</v>
      </c>
      <c r="AY26" s="6" t="s">
        <v>378</v>
      </c>
      <c r="AZ26" s="6" t="s">
        <v>379</v>
      </c>
      <c r="BA26" s="6" t="s">
        <v>380</v>
      </c>
      <c r="BB26" s="6"/>
      <c r="BC26" s="11" t="str">
        <f aca="false">IFERROR(INDEX(CATEGORY_MASTER!$C$4:$C$30,MATCH(B26,CATEGORY_MASTER!$A$4:$A$30,0)),"")</f>
        <v>🪪</v>
      </c>
      <c r="BD26" s="7" t="str">
        <f aca="false">"/services/"&amp;AO26</f>
        <v>/services/aadhaar-biometric-lock-unlock-assistance</v>
      </c>
      <c r="BE26" s="7" t="str">
        <f aca="false">IF(AND(AH26="Yes",AG26="Active",I26&lt;&gt;"Not Available"),"LIVE","HIDDEN")</f>
        <v>HIDDEN</v>
      </c>
      <c r="BF26" s="6" t="s">
        <v>139</v>
      </c>
      <c r="BG26" s="6" t="s">
        <v>93</v>
      </c>
      <c r="BH26" s="7" t="str">
        <f aca="false">B26&amp;"|"&amp;COUNTIF($B$4:B26,B26)</f>
        <v>Aadhaar Centre|23</v>
      </c>
      <c r="BI26" s="7" t="str">
        <f aca="false">IF(AND(AI26="Yes",BE26="LIVE"),COUNTIFS($AI$4:AI26,"Yes",$BE$4:BE26,"LIVE"),"")</f>
        <v/>
      </c>
      <c r="BJ26" s="7" t="str">
        <f aca="false">IF(AND(AJ26="Yes",BE26="LIVE"),COUNTIFS($AJ$4:AJ26,"Yes",$BE$4:BE26,"LIVE"),"")</f>
        <v/>
      </c>
      <c r="BK26" s="7" t="str">
        <f aca="false">IF(AND(AK26="Yes",BE26="LIVE"),COUNTIFS($AK$4:AK26,"Yes",$BE$4:BE26,"LIVE"),"")</f>
        <v/>
      </c>
      <c r="BL26" s="7" t="str">
        <f aca="false">IF(I26="To Verify",COUNTIF($I$4:I26,"To Verify"),"")</f>
        <v/>
      </c>
    </row>
    <row r="27" customFormat="false" ht="68.65" hidden="false" customHeight="false" outlineLevel="0" collapsed="false">
      <c r="A27" s="5" t="s">
        <v>381</v>
      </c>
      <c r="B27" s="6" t="s">
        <v>67</v>
      </c>
      <c r="C27" s="6" t="s">
        <v>68</v>
      </c>
      <c r="D27" s="6" t="s">
        <v>382</v>
      </c>
      <c r="E27" s="6" t="s">
        <v>383</v>
      </c>
      <c r="F27" s="6" t="s">
        <v>384</v>
      </c>
      <c r="G27" s="6" t="s">
        <v>385</v>
      </c>
      <c r="H27" s="6" t="s">
        <v>386</v>
      </c>
      <c r="I27" s="5" t="s">
        <v>167</v>
      </c>
      <c r="J27" s="7" t="str">
        <f aca="false">IFERROR(INDEX(AVAILABILITY_MASTER!$C$4:$C$10,MATCH(I27,AVAILABILITY_MASTER!$A$4:$A$10,0)),"To Be Confirmed")</f>
        <v>Available</v>
      </c>
      <c r="K27" s="6" t="s">
        <v>74</v>
      </c>
      <c r="L27" s="6" t="s">
        <v>75</v>
      </c>
      <c r="M27" s="7" t="str">
        <f aca="false">IFERROR(INDEX(SERVICE_DOCUMENTS!$S$4:$S$1000,MATCH(A27,SERVICE_DOCUMENTS!$A$4:$A$1000,0))&amp;"","")</f>
        <v>✓ Aadhaar Card
✓ Identity Proof
✓ Address Proof</v>
      </c>
      <c r="N27" s="7" t="str">
        <f aca="false">IFERROR(INDEX(SERVICE_DOCUMENTS!$T$4:$T$1000,MATCH(A27,SERVICE_DOCUMENTS!$A$4:$A$1000,0))&amp;"","")</f>
        <v/>
      </c>
      <c r="O27" s="6" t="s">
        <v>387</v>
      </c>
      <c r="P27" s="6" t="s">
        <v>388</v>
      </c>
      <c r="Q27" s="6" t="s">
        <v>78</v>
      </c>
      <c r="R27" s="8" t="s">
        <v>75</v>
      </c>
      <c r="S27" s="8" t="s">
        <v>75</v>
      </c>
      <c r="T27" s="9" t="str">
        <f aca="false">IF(AND(OR(ISNUMBER(R27),R27="N/A"),OR(ISNUMBER(S27),S27="N/A"),OR(ISNUMBER(R27),ISNUMBER(S27))),N(R27)+N(S27),"To Verify")</f>
        <v>To Verify</v>
      </c>
      <c r="U27" s="6" t="s">
        <v>75</v>
      </c>
      <c r="V27" s="6" t="s">
        <v>79</v>
      </c>
      <c r="W27" s="6" t="s">
        <v>80</v>
      </c>
      <c r="X27" s="6" t="s">
        <v>81</v>
      </c>
      <c r="Y27" s="6" t="s">
        <v>79</v>
      </c>
      <c r="Z27" s="6"/>
      <c r="AA27" s="6" t="s">
        <v>74</v>
      </c>
      <c r="AB27" s="6" t="s">
        <v>74</v>
      </c>
      <c r="AC27" s="6" t="s">
        <v>75</v>
      </c>
      <c r="AD27" s="6" t="s">
        <v>75</v>
      </c>
      <c r="AE27" s="6" t="s">
        <v>79</v>
      </c>
      <c r="AF27" s="6" t="s">
        <v>75</v>
      </c>
      <c r="AG27" s="6" t="s">
        <v>170</v>
      </c>
      <c r="AH27" s="6" t="s">
        <v>74</v>
      </c>
      <c r="AI27" s="6" t="s">
        <v>79</v>
      </c>
      <c r="AJ27" s="6" t="s">
        <v>79</v>
      </c>
      <c r="AK27" s="6" t="s">
        <v>79</v>
      </c>
      <c r="AL27" s="6" t="s">
        <v>67</v>
      </c>
      <c r="AM27" s="6" t="s">
        <v>382</v>
      </c>
      <c r="AN27" s="7" t="str">
        <f aca="false">BA27&amp;", "&amp;AZ27</f>
        <v>Aadhaar Document Update (Identity &amp; Address Proof), Aadhaar Centre, Devmobile Stores, आधार दस्तावेज़ अपडेट (पहचान व पता प्रमाण), आधार सेंटर, सेवा</v>
      </c>
      <c r="AO27" s="6" t="s">
        <v>389</v>
      </c>
      <c r="AP27" s="5" t="s">
        <v>390</v>
      </c>
      <c r="AQ27" s="5" t="n">
        <v>240</v>
      </c>
      <c r="AR27" s="6" t="s">
        <v>133</v>
      </c>
      <c r="AS27" s="6" t="s">
        <v>85</v>
      </c>
      <c r="AT27" s="6" t="s">
        <v>86</v>
      </c>
      <c r="AU27" s="10"/>
      <c r="AV27" s="6" t="s">
        <v>75</v>
      </c>
      <c r="AW27" s="6" t="s">
        <v>391</v>
      </c>
      <c r="AX27" s="6" t="s">
        <v>392</v>
      </c>
      <c r="AY27" s="6" t="s">
        <v>393</v>
      </c>
      <c r="AZ27" s="6" t="s">
        <v>394</v>
      </c>
      <c r="BA27" s="6" t="s">
        <v>395</v>
      </c>
      <c r="BB27" s="6"/>
      <c r="BC27" s="11" t="str">
        <f aca="false">IFERROR(INDEX(CATEGORY_MASTER!$C$4:$C$30,MATCH(B27,CATEGORY_MASTER!$A$4:$A$30,0)),"")</f>
        <v>🪪</v>
      </c>
      <c r="BD27" s="7" t="str">
        <f aca="false">"/services/"&amp;AO27</f>
        <v>/services/aadhaar-document-update-identity-address-proof</v>
      </c>
      <c r="BE27" s="7" t="str">
        <f aca="false">IF(AND(AH27="Yes",AG27="Active",I27&lt;&gt;"Not Available"),"LIVE","HIDDEN")</f>
        <v>LIVE</v>
      </c>
      <c r="BF27" s="6" t="s">
        <v>139</v>
      </c>
      <c r="BG27" s="6" t="s">
        <v>93</v>
      </c>
      <c r="BH27" s="7" t="str">
        <f aca="false">B27&amp;"|"&amp;COUNTIF($B$4:B27,B27)</f>
        <v>Aadhaar Centre|24</v>
      </c>
      <c r="BI27" s="7" t="str">
        <f aca="false">IF(AND(AI27="Yes",BE27="LIVE"),COUNTIFS($AI$4:AI27,"Yes",$BE$4:BE27,"LIVE"),"")</f>
        <v/>
      </c>
      <c r="BJ27" s="7" t="str">
        <f aca="false">IF(AND(AJ27="Yes",BE27="LIVE"),COUNTIFS($AJ$4:AJ27,"Yes",$BE$4:BE27,"LIVE"),"")</f>
        <v/>
      </c>
      <c r="BK27" s="7" t="str">
        <f aca="false">IF(AND(AK27="Yes",BE27="LIVE"),COUNTIFS($AK$4:AK27,"Yes",$BE$4:BE27,"LIVE"),"")</f>
        <v/>
      </c>
      <c r="BL27" s="7" t="str">
        <f aca="false">IF(I27="To Verify",COUNTIF($I$4:I27,"To Verify"),"")</f>
        <v/>
      </c>
    </row>
    <row r="28" customFormat="false" ht="91" hidden="false" customHeight="false" outlineLevel="0" collapsed="false">
      <c r="A28" s="5" t="s">
        <v>396</v>
      </c>
      <c r="B28" s="6" t="s">
        <v>67</v>
      </c>
      <c r="C28" s="6" t="s">
        <v>68</v>
      </c>
      <c r="D28" s="6" t="s">
        <v>382</v>
      </c>
      <c r="E28" s="6" t="s">
        <v>397</v>
      </c>
      <c r="F28" s="6" t="s">
        <v>398</v>
      </c>
      <c r="G28" s="6" t="s">
        <v>399</v>
      </c>
      <c r="H28" s="6" t="s">
        <v>400</v>
      </c>
      <c r="I28" s="5" t="s">
        <v>221</v>
      </c>
      <c r="J28" s="7" t="str">
        <f aca="false">IFERROR(INDEX(AVAILABILITY_MASTER!$C$4:$C$10,MATCH(I28,AVAILABILITY_MASTER!$A$4:$A$10,0)),"To Be Confirmed")</f>
        <v>Depends on Portal – Confirm at Shop</v>
      </c>
      <c r="K28" s="6" t="s">
        <v>129</v>
      </c>
      <c r="L28" s="6" t="s">
        <v>221</v>
      </c>
      <c r="M28" s="7" t="str">
        <f aca="false">IFERROR(INDEX(SERVICE_DOCUMENTS!$S$4:$S$1000,MATCH(A28,SERVICE_DOCUMENTS!$A$4:$A$1000,0))&amp;"","")</f>
        <v>✓ Aadhaar Card
✓ Aadhaar-Linked Mobile Number</v>
      </c>
      <c r="N28" s="7" t="str">
        <f aca="false">IFERROR(INDEX(SERVICE_DOCUMENTS!$T$4:$T$1000,MATCH(A28,SERVICE_DOCUMENTS!$A$4:$A$1000,0))&amp;"","")</f>
        <v/>
      </c>
      <c r="O28" s="6" t="s">
        <v>369</v>
      </c>
      <c r="P28" s="6" t="s">
        <v>401</v>
      </c>
      <c r="Q28" s="6" t="s">
        <v>371</v>
      </c>
      <c r="R28" s="8" t="s">
        <v>75</v>
      </c>
      <c r="S28" s="8" t="s">
        <v>75</v>
      </c>
      <c r="T28" s="9" t="str">
        <f aca="false">IF(AND(OR(ISNUMBER(R28),R28="N/A"),OR(ISNUMBER(S28),S28="N/A"),OR(ISNUMBER(R28),ISNUMBER(S28))),N(R28)+N(S28),"To Verify")</f>
        <v>To Verify</v>
      </c>
      <c r="U28" s="6" t="s">
        <v>75</v>
      </c>
      <c r="V28" s="6" t="s">
        <v>79</v>
      </c>
      <c r="W28" s="6" t="s">
        <v>80</v>
      </c>
      <c r="X28" s="6" t="s">
        <v>221</v>
      </c>
      <c r="Y28" s="6" t="s">
        <v>74</v>
      </c>
      <c r="Z28" s="6" t="s">
        <v>372</v>
      </c>
      <c r="AA28" s="6" t="s">
        <v>129</v>
      </c>
      <c r="AB28" s="6" t="s">
        <v>74</v>
      </c>
      <c r="AC28" s="6" t="s">
        <v>75</v>
      </c>
      <c r="AD28" s="6" t="s">
        <v>75</v>
      </c>
      <c r="AE28" s="6" t="s">
        <v>75</v>
      </c>
      <c r="AF28" s="6" t="s">
        <v>75</v>
      </c>
      <c r="AG28" s="6" t="s">
        <v>75</v>
      </c>
      <c r="AH28" s="6" t="s">
        <v>79</v>
      </c>
      <c r="AI28" s="6" t="s">
        <v>79</v>
      </c>
      <c r="AJ28" s="6" t="s">
        <v>79</v>
      </c>
      <c r="AK28" s="6" t="s">
        <v>79</v>
      </c>
      <c r="AL28" s="6" t="s">
        <v>67</v>
      </c>
      <c r="AM28" s="6" t="s">
        <v>382</v>
      </c>
      <c r="AN28" s="7" t="str">
        <f aca="false">BA28&amp;", "&amp;AZ28</f>
        <v>Aadhaar Document Update – Online Assistance, Aadhaar Centre, Devmobile Stores, आधार दस्तावेज़ अपडेट – ऑनलाइन सहायता, आधार सेंटर, सेवा</v>
      </c>
      <c r="AO28" s="6" t="s">
        <v>402</v>
      </c>
      <c r="AP28" s="5" t="s">
        <v>390</v>
      </c>
      <c r="AQ28" s="5" t="n">
        <v>250</v>
      </c>
      <c r="AR28" s="6" t="s">
        <v>374</v>
      </c>
      <c r="AS28" s="6" t="s">
        <v>375</v>
      </c>
      <c r="AT28" s="6" t="s">
        <v>86</v>
      </c>
      <c r="AU28" s="10"/>
      <c r="AV28" s="6" t="s">
        <v>75</v>
      </c>
      <c r="AW28" s="6" t="s">
        <v>228</v>
      </c>
      <c r="AX28" s="6" t="s">
        <v>403</v>
      </c>
      <c r="AY28" s="6" t="s">
        <v>404</v>
      </c>
      <c r="AZ28" s="6" t="s">
        <v>405</v>
      </c>
      <c r="BA28" s="6" t="s">
        <v>406</v>
      </c>
      <c r="BB28" s="6"/>
      <c r="BC28" s="11" t="str">
        <f aca="false">IFERROR(INDEX(CATEGORY_MASTER!$C$4:$C$30,MATCH(B28,CATEGORY_MASTER!$A$4:$A$30,0)),"")</f>
        <v>🪪</v>
      </c>
      <c r="BD28" s="7" t="str">
        <f aca="false">"/services/"&amp;AO28</f>
        <v>/services/aadhaar-document-update-online-assistance</v>
      </c>
      <c r="BE28" s="7" t="str">
        <f aca="false">IF(AND(AH28="Yes",AG28="Active",I28&lt;&gt;"Not Available"),"LIVE","HIDDEN")</f>
        <v>HIDDEN</v>
      </c>
      <c r="BF28" s="6" t="s">
        <v>139</v>
      </c>
      <c r="BG28" s="6" t="s">
        <v>93</v>
      </c>
      <c r="BH28" s="7" t="str">
        <f aca="false">B28&amp;"|"&amp;COUNTIF($B$4:B28,B28)</f>
        <v>Aadhaar Centre|25</v>
      </c>
      <c r="BI28" s="7" t="str">
        <f aca="false">IF(AND(AI28="Yes",BE28="LIVE"),COUNTIFS($AI$4:AI28,"Yes",$BE$4:BE28,"LIVE"),"")</f>
        <v/>
      </c>
      <c r="BJ28" s="7" t="str">
        <f aca="false">IF(AND(AJ28="Yes",BE28="LIVE"),COUNTIFS($AJ$4:AJ28,"Yes",$BE$4:BE28,"LIVE"),"")</f>
        <v/>
      </c>
      <c r="BK28" s="7" t="str">
        <f aca="false">IF(AND(AK28="Yes",BE28="LIVE"),COUNTIFS($AK$4:AK28,"Yes",$BE$4:BE28,"LIVE"),"")</f>
        <v/>
      </c>
      <c r="BL28" s="7" t="str">
        <f aca="false">IF(I28="To Verify",COUNTIF($I$4:I28,"To Verify"),"")</f>
        <v/>
      </c>
    </row>
    <row r="29" customFormat="false" ht="91" hidden="false" customHeight="false" outlineLevel="0" collapsed="false">
      <c r="A29" s="5" t="s">
        <v>407</v>
      </c>
      <c r="B29" s="6" t="s">
        <v>67</v>
      </c>
      <c r="C29" s="6" t="s">
        <v>68</v>
      </c>
      <c r="D29" s="6" t="s">
        <v>408</v>
      </c>
      <c r="E29" s="6" t="s">
        <v>409</v>
      </c>
      <c r="F29" s="6" t="s">
        <v>410</v>
      </c>
      <c r="G29" s="6" t="s">
        <v>411</v>
      </c>
      <c r="H29" s="6" t="s">
        <v>412</v>
      </c>
      <c r="I29" s="5" t="s">
        <v>221</v>
      </c>
      <c r="J29" s="7" t="str">
        <f aca="false">IFERROR(INDEX(AVAILABILITY_MASTER!$C$4:$C$10,MATCH(I29,AVAILABILITY_MASTER!$A$4:$A$10,0)),"To Be Confirmed")</f>
        <v>Depends on Portal – Confirm at Shop</v>
      </c>
      <c r="K29" s="6" t="s">
        <v>129</v>
      </c>
      <c r="L29" s="6" t="s">
        <v>221</v>
      </c>
      <c r="M29" s="7" t="str">
        <f aca="false">IFERROR(INDEX(SERVICE_DOCUMENTS!$S$4:$S$1000,MATCH(A29,SERVICE_DOCUMENTS!$A$4:$A$1000,0))&amp;"","")</f>
        <v>✓ Aadhaar Card
✓ Aadhaar-Linked Mobile Number</v>
      </c>
      <c r="N29" s="7" t="str">
        <f aca="false">IFERROR(INDEX(SERVICE_DOCUMENTS!$T$4:$T$1000,MATCH(A29,SERVICE_DOCUMENTS!$A$4:$A$1000,0))&amp;"","")</f>
        <v/>
      </c>
      <c r="O29" s="6" t="s">
        <v>369</v>
      </c>
      <c r="P29" s="6" t="s">
        <v>413</v>
      </c>
      <c r="Q29" s="6" t="s">
        <v>371</v>
      </c>
      <c r="R29" s="8" t="s">
        <v>75</v>
      </c>
      <c r="S29" s="8" t="s">
        <v>75</v>
      </c>
      <c r="T29" s="9" t="str">
        <f aca="false">IF(AND(OR(ISNUMBER(R29),R29="N/A"),OR(ISNUMBER(S29),S29="N/A"),OR(ISNUMBER(R29),ISNUMBER(S29))),N(R29)+N(S29),"To Verify")</f>
        <v>To Verify</v>
      </c>
      <c r="U29" s="6" t="s">
        <v>75</v>
      </c>
      <c r="V29" s="6" t="s">
        <v>79</v>
      </c>
      <c r="W29" s="6" t="s">
        <v>80</v>
      </c>
      <c r="X29" s="6" t="s">
        <v>221</v>
      </c>
      <c r="Y29" s="6" t="s">
        <v>74</v>
      </c>
      <c r="Z29" s="6" t="s">
        <v>372</v>
      </c>
      <c r="AA29" s="6" t="s">
        <v>129</v>
      </c>
      <c r="AB29" s="6" t="s">
        <v>74</v>
      </c>
      <c r="AC29" s="6" t="s">
        <v>75</v>
      </c>
      <c r="AD29" s="6" t="s">
        <v>75</v>
      </c>
      <c r="AE29" s="6" t="s">
        <v>75</v>
      </c>
      <c r="AF29" s="6" t="s">
        <v>75</v>
      </c>
      <c r="AG29" s="6" t="s">
        <v>75</v>
      </c>
      <c r="AH29" s="6" t="s">
        <v>79</v>
      </c>
      <c r="AI29" s="6" t="s">
        <v>79</v>
      </c>
      <c r="AJ29" s="6" t="s">
        <v>79</v>
      </c>
      <c r="AK29" s="6" t="s">
        <v>79</v>
      </c>
      <c r="AL29" s="6" t="s">
        <v>67</v>
      </c>
      <c r="AM29" s="6" t="s">
        <v>408</v>
      </c>
      <c r="AN29" s="7" t="str">
        <f aca="false">BA29&amp;", "&amp;AZ29</f>
        <v>Aadhaar Download Assistance (e-Aadhaar), Aadhaar Centre, Devmobile Stores, आधार डाउनलोड सहायता (e-Aadhaar), आधार सेंटर, सेवा</v>
      </c>
      <c r="AO29" s="6" t="s">
        <v>414</v>
      </c>
      <c r="AP29" s="5" t="s">
        <v>415</v>
      </c>
      <c r="AQ29" s="5" t="n">
        <v>260</v>
      </c>
      <c r="AR29" s="6" t="s">
        <v>374</v>
      </c>
      <c r="AS29" s="6" t="s">
        <v>375</v>
      </c>
      <c r="AT29" s="6" t="s">
        <v>86</v>
      </c>
      <c r="AU29" s="10"/>
      <c r="AV29" s="6" t="s">
        <v>75</v>
      </c>
      <c r="AW29" s="6" t="s">
        <v>416</v>
      </c>
      <c r="AX29" s="6" t="s">
        <v>417</v>
      </c>
      <c r="AY29" s="6" t="s">
        <v>418</v>
      </c>
      <c r="AZ29" s="6" t="s">
        <v>419</v>
      </c>
      <c r="BA29" s="6" t="s">
        <v>420</v>
      </c>
      <c r="BB29" s="6"/>
      <c r="BC29" s="11" t="str">
        <f aca="false">IFERROR(INDEX(CATEGORY_MASTER!$C$4:$C$30,MATCH(B29,CATEGORY_MASTER!$A$4:$A$30,0)),"")</f>
        <v>🪪</v>
      </c>
      <c r="BD29" s="7" t="str">
        <f aca="false">"/services/"&amp;AO29</f>
        <v>/services/aadhaar-download-assistance-e-aadhaar</v>
      </c>
      <c r="BE29" s="7" t="str">
        <f aca="false">IF(AND(AH29="Yes",AG29="Active",I29&lt;&gt;"Not Available"),"LIVE","HIDDEN")</f>
        <v>HIDDEN</v>
      </c>
      <c r="BF29" s="6" t="s">
        <v>139</v>
      </c>
      <c r="BG29" s="6" t="s">
        <v>93</v>
      </c>
      <c r="BH29" s="7" t="str">
        <f aca="false">B29&amp;"|"&amp;COUNTIF($B$4:B29,B29)</f>
        <v>Aadhaar Centre|26</v>
      </c>
      <c r="BI29" s="7" t="str">
        <f aca="false">IF(AND(AI29="Yes",BE29="LIVE"),COUNTIFS($AI$4:AI29,"Yes",$BE$4:BE29,"LIVE"),"")</f>
        <v/>
      </c>
      <c r="BJ29" s="7" t="str">
        <f aca="false">IF(AND(AJ29="Yes",BE29="LIVE"),COUNTIFS($AJ$4:AJ29,"Yes",$BE$4:BE29,"LIVE"),"")</f>
        <v/>
      </c>
      <c r="BK29" s="7" t="str">
        <f aca="false">IF(AND(AK29="Yes",BE29="LIVE"),COUNTIFS($AK$4:AK29,"Yes",$BE$4:BE29,"LIVE"),"")</f>
        <v/>
      </c>
      <c r="BL29" s="7" t="str">
        <f aca="false">IF(I29="To Verify",COUNTIF($I$4:I29,"To Verify"),"")</f>
        <v/>
      </c>
    </row>
    <row r="30" customFormat="false" ht="91" hidden="false" customHeight="false" outlineLevel="0" collapsed="false">
      <c r="A30" s="5" t="s">
        <v>421</v>
      </c>
      <c r="B30" s="6" t="s">
        <v>67</v>
      </c>
      <c r="C30" s="6" t="s">
        <v>68</v>
      </c>
      <c r="D30" s="6" t="s">
        <v>408</v>
      </c>
      <c r="E30" s="6" t="s">
        <v>422</v>
      </c>
      <c r="F30" s="6" t="s">
        <v>423</v>
      </c>
      <c r="G30" s="6" t="s">
        <v>424</v>
      </c>
      <c r="H30" s="6" t="s">
        <v>425</v>
      </c>
      <c r="I30" s="5" t="s">
        <v>221</v>
      </c>
      <c r="J30" s="7" t="str">
        <f aca="false">IFERROR(INDEX(AVAILABILITY_MASTER!$C$4:$C$10,MATCH(I30,AVAILABILITY_MASTER!$A$4:$A$10,0)),"To Be Confirmed")</f>
        <v>Depends on Portal – Confirm at Shop</v>
      </c>
      <c r="K30" s="6" t="s">
        <v>129</v>
      </c>
      <c r="L30" s="6" t="s">
        <v>221</v>
      </c>
      <c r="M30" s="7" t="str">
        <f aca="false">IFERROR(INDEX(SERVICE_DOCUMENTS!$S$4:$S$1000,MATCH(A30,SERVICE_DOCUMENTS!$A$4:$A$1000,0))&amp;"","")</f>
        <v>✓ Aadhaar Card
✓ Aadhaar-Linked Mobile Number</v>
      </c>
      <c r="N30" s="7" t="str">
        <f aca="false">IFERROR(INDEX(SERVICE_DOCUMENTS!$T$4:$T$1000,MATCH(A30,SERVICE_DOCUMENTS!$A$4:$A$1000,0))&amp;"","")</f>
        <v/>
      </c>
      <c r="O30" s="6" t="s">
        <v>369</v>
      </c>
      <c r="P30" s="6" t="s">
        <v>426</v>
      </c>
      <c r="Q30" s="6" t="s">
        <v>371</v>
      </c>
      <c r="R30" s="8" t="s">
        <v>75</v>
      </c>
      <c r="S30" s="8" t="s">
        <v>75</v>
      </c>
      <c r="T30" s="9" t="str">
        <f aca="false">IF(AND(OR(ISNUMBER(R30),R30="N/A"),OR(ISNUMBER(S30),S30="N/A"),OR(ISNUMBER(R30),ISNUMBER(S30))),N(R30)+N(S30),"To Verify")</f>
        <v>To Verify</v>
      </c>
      <c r="U30" s="6" t="s">
        <v>75</v>
      </c>
      <c r="V30" s="6" t="s">
        <v>79</v>
      </c>
      <c r="W30" s="6" t="s">
        <v>80</v>
      </c>
      <c r="X30" s="6" t="s">
        <v>221</v>
      </c>
      <c r="Y30" s="6" t="s">
        <v>74</v>
      </c>
      <c r="Z30" s="6" t="s">
        <v>372</v>
      </c>
      <c r="AA30" s="6" t="s">
        <v>129</v>
      </c>
      <c r="AB30" s="6" t="s">
        <v>74</v>
      </c>
      <c r="AC30" s="6" t="s">
        <v>75</v>
      </c>
      <c r="AD30" s="6" t="s">
        <v>75</v>
      </c>
      <c r="AE30" s="6" t="s">
        <v>75</v>
      </c>
      <c r="AF30" s="6" t="s">
        <v>75</v>
      </c>
      <c r="AG30" s="6" t="s">
        <v>75</v>
      </c>
      <c r="AH30" s="6" t="s">
        <v>79</v>
      </c>
      <c r="AI30" s="6" t="s">
        <v>79</v>
      </c>
      <c r="AJ30" s="6" t="s">
        <v>79</v>
      </c>
      <c r="AK30" s="6" t="s">
        <v>79</v>
      </c>
      <c r="AL30" s="6" t="s">
        <v>67</v>
      </c>
      <c r="AM30" s="6" t="s">
        <v>408</v>
      </c>
      <c r="AN30" s="7" t="str">
        <f aca="false">BA30&amp;", "&amp;AZ30</f>
        <v>Masked Aadhaar Download, Aadhaar Centre, Devmobile Stores, मास्क्ड आधार डाउनलोड, आधार सेंटर, सेवा</v>
      </c>
      <c r="AO30" s="6" t="s">
        <v>427</v>
      </c>
      <c r="AP30" s="5" t="s">
        <v>415</v>
      </c>
      <c r="AQ30" s="5" t="n">
        <v>270</v>
      </c>
      <c r="AR30" s="6" t="s">
        <v>374</v>
      </c>
      <c r="AS30" s="6" t="s">
        <v>375</v>
      </c>
      <c r="AT30" s="6" t="s">
        <v>86</v>
      </c>
      <c r="AU30" s="10"/>
      <c r="AV30" s="6" t="s">
        <v>75</v>
      </c>
      <c r="AW30" s="6"/>
      <c r="AX30" s="6" t="s">
        <v>428</v>
      </c>
      <c r="AY30" s="6" t="s">
        <v>429</v>
      </c>
      <c r="AZ30" s="6" t="s">
        <v>430</v>
      </c>
      <c r="BA30" s="6" t="s">
        <v>431</v>
      </c>
      <c r="BB30" s="6"/>
      <c r="BC30" s="11" t="str">
        <f aca="false">IFERROR(INDEX(CATEGORY_MASTER!$C$4:$C$30,MATCH(B30,CATEGORY_MASTER!$A$4:$A$30,0)),"")</f>
        <v>🪪</v>
      </c>
      <c r="BD30" s="7" t="str">
        <f aca="false">"/services/"&amp;AO30</f>
        <v>/services/masked-aadhaar-download</v>
      </c>
      <c r="BE30" s="7" t="str">
        <f aca="false">IF(AND(AH30="Yes",AG30="Active",I30&lt;&gt;"Not Available"),"LIVE","HIDDEN")</f>
        <v>HIDDEN</v>
      </c>
      <c r="BF30" s="6" t="s">
        <v>139</v>
      </c>
      <c r="BG30" s="6" t="s">
        <v>93</v>
      </c>
      <c r="BH30" s="7" t="str">
        <f aca="false">B30&amp;"|"&amp;COUNTIF($B$4:B30,B30)</f>
        <v>Aadhaar Centre|27</v>
      </c>
      <c r="BI30" s="7" t="str">
        <f aca="false">IF(AND(AI30="Yes",BE30="LIVE"),COUNTIFS($AI$4:AI30,"Yes",$BE$4:BE30,"LIVE"),"")</f>
        <v/>
      </c>
      <c r="BJ30" s="7" t="str">
        <f aca="false">IF(AND(AJ30="Yes",BE30="LIVE"),COUNTIFS($AJ$4:AJ30,"Yes",$BE$4:BE30,"LIVE"),"")</f>
        <v/>
      </c>
      <c r="BK30" s="7" t="str">
        <f aca="false">IF(AND(AK30="Yes",BE30="LIVE"),COUNTIFS($AK$4:AK30,"Yes",$BE$4:BE30,"LIVE"),"")</f>
        <v/>
      </c>
      <c r="BL30" s="7" t="str">
        <f aca="false">IF(I30="To Verify",COUNTIF($I$4:I30,"To Verify"),"")</f>
        <v/>
      </c>
    </row>
    <row r="31" customFormat="false" ht="68.65" hidden="false" customHeight="false" outlineLevel="0" collapsed="false">
      <c r="A31" s="5" t="s">
        <v>432</v>
      </c>
      <c r="B31" s="6" t="s">
        <v>67</v>
      </c>
      <c r="C31" s="6" t="s">
        <v>68</v>
      </c>
      <c r="D31" s="6" t="s">
        <v>408</v>
      </c>
      <c r="E31" s="6" t="s">
        <v>433</v>
      </c>
      <c r="F31" s="6" t="s">
        <v>434</v>
      </c>
      <c r="G31" s="6" t="s">
        <v>435</v>
      </c>
      <c r="H31" s="6" t="s">
        <v>436</v>
      </c>
      <c r="I31" s="5" t="s">
        <v>167</v>
      </c>
      <c r="J31" s="7" t="str">
        <f aca="false">IFERROR(INDEX(AVAILABILITY_MASTER!$C$4:$C$10,MATCH(I31,AVAILABILITY_MASTER!$A$4:$A$10,0)),"To Be Confirmed")</f>
        <v>Available</v>
      </c>
      <c r="K31" s="6" t="s">
        <v>79</v>
      </c>
      <c r="L31" s="6" t="s">
        <v>437</v>
      </c>
      <c r="M31" s="7" t="str">
        <f aca="false">IFERROR(INDEX(SERVICE_DOCUMENTS!$S$4:$S$1000,MATCH(A31,SERVICE_DOCUMENTS!$A$4:$A$1000,0))&amp;"","")</f>
        <v>✓ Aadhaar Card</v>
      </c>
      <c r="N31" s="7" t="str">
        <f aca="false">IFERROR(INDEX(SERVICE_DOCUMENTS!$T$4:$T$1000,MATCH(A31,SERVICE_DOCUMENTS!$A$4:$A$1000,0))&amp;"","")</f>
        <v>• Aadhaar-Linked Mobile Number (If Applicable)</v>
      </c>
      <c r="O31" s="6" t="s">
        <v>438</v>
      </c>
      <c r="P31" s="6" t="s">
        <v>439</v>
      </c>
      <c r="Q31" s="6" t="s">
        <v>440</v>
      </c>
      <c r="R31" s="8" t="s">
        <v>441</v>
      </c>
      <c r="S31" s="8" t="s">
        <v>75</v>
      </c>
      <c r="T31" s="9" t="str">
        <f aca="false">IF(AND(OR(ISNUMBER(R31),R31="N/A"),OR(ISNUMBER(S31),S31="N/A"),OR(ISNUMBER(R31),ISNUMBER(S31))),N(R31)+N(S31),"To Verify")</f>
        <v>To Verify</v>
      </c>
      <c r="U31" s="6" t="s">
        <v>442</v>
      </c>
      <c r="V31" s="6" t="s">
        <v>79</v>
      </c>
      <c r="W31" s="6" t="s">
        <v>80</v>
      </c>
      <c r="X31" s="6" t="s">
        <v>443</v>
      </c>
      <c r="Y31" s="6" t="s">
        <v>79</v>
      </c>
      <c r="Z31" s="6"/>
      <c r="AA31" s="6" t="s">
        <v>74</v>
      </c>
      <c r="AB31" s="6" t="s">
        <v>79</v>
      </c>
      <c r="AC31" s="6" t="s">
        <v>75</v>
      </c>
      <c r="AD31" s="6" t="s">
        <v>75</v>
      </c>
      <c r="AE31" s="6" t="s">
        <v>79</v>
      </c>
      <c r="AF31" s="6" t="s">
        <v>79</v>
      </c>
      <c r="AG31" s="6" t="s">
        <v>170</v>
      </c>
      <c r="AH31" s="6" t="s">
        <v>74</v>
      </c>
      <c r="AI31" s="6" t="s">
        <v>79</v>
      </c>
      <c r="AJ31" s="6" t="s">
        <v>79</v>
      </c>
      <c r="AK31" s="6" t="s">
        <v>79</v>
      </c>
      <c r="AL31" s="6" t="s">
        <v>67</v>
      </c>
      <c r="AM31" s="6" t="s">
        <v>408</v>
      </c>
      <c r="AN31" s="7" t="str">
        <f aca="false">BA31&amp;", "&amp;AZ31</f>
        <v>Aadhaar Print (Paper – Colour / B&amp;W Printout), Aadhaar Centre, Devmobile Stores, आधार प्रिंट (पेपर – रंगीन / सादा), आधार सेंटर, सेवा</v>
      </c>
      <c r="AO31" s="6" t="s">
        <v>444</v>
      </c>
      <c r="AP31" s="5" t="s">
        <v>415</v>
      </c>
      <c r="AQ31" s="5" t="n">
        <v>280</v>
      </c>
      <c r="AR31" s="6" t="s">
        <v>445</v>
      </c>
      <c r="AS31" s="6"/>
      <c r="AT31" s="6" t="s">
        <v>86</v>
      </c>
      <c r="AU31" s="10"/>
      <c r="AV31" s="6" t="s">
        <v>75</v>
      </c>
      <c r="AW31" s="6" t="s">
        <v>446</v>
      </c>
      <c r="AX31" s="6" t="s">
        <v>447</v>
      </c>
      <c r="AY31" s="6" t="s">
        <v>448</v>
      </c>
      <c r="AZ31" s="6" t="s">
        <v>449</v>
      </c>
      <c r="BA31" s="6" t="s">
        <v>450</v>
      </c>
      <c r="BB31" s="6"/>
      <c r="BC31" s="11" t="str">
        <f aca="false">IFERROR(INDEX(CATEGORY_MASTER!$C$4:$C$30,MATCH(B31,CATEGORY_MASTER!$A$4:$A$30,0)),"")</f>
        <v>🪪</v>
      </c>
      <c r="BD31" s="7" t="str">
        <f aca="false">"/services/"&amp;AO31</f>
        <v>/services/aadhaar-print-paper-colour-b-w-printout</v>
      </c>
      <c r="BE31" s="7" t="str">
        <f aca="false">IF(AND(AH31="Yes",AG31="Active",I31&lt;&gt;"Not Available"),"LIVE","HIDDEN")</f>
        <v>LIVE</v>
      </c>
      <c r="BF31" s="6" t="s">
        <v>451</v>
      </c>
      <c r="BG31" s="6" t="s">
        <v>452</v>
      </c>
      <c r="BH31" s="7" t="str">
        <f aca="false">B31&amp;"|"&amp;COUNTIF($B$4:B31,B31)</f>
        <v>Aadhaar Centre|28</v>
      </c>
      <c r="BI31" s="7" t="str">
        <f aca="false">IF(AND(AI31="Yes",BE31="LIVE"),COUNTIFS($AI$4:AI31,"Yes",$BE$4:BE31,"LIVE"),"")</f>
        <v/>
      </c>
      <c r="BJ31" s="7" t="str">
        <f aca="false">IF(AND(AJ31="Yes",BE31="LIVE"),COUNTIFS($AJ$4:AJ31,"Yes",$BE$4:BE31,"LIVE"),"")</f>
        <v/>
      </c>
      <c r="BK31" s="7" t="str">
        <f aca="false">IF(AND(AK31="Yes",BE31="LIVE"),COUNTIFS($AK$4:AK31,"Yes",$BE$4:BE31,"LIVE"),"")</f>
        <v/>
      </c>
      <c r="BL31" s="7" t="str">
        <f aca="false">IF(I31="To Verify",COUNTIF($I$4:I31,"To Verify"),"")</f>
        <v/>
      </c>
    </row>
    <row r="32" customFormat="false" ht="91" hidden="false" customHeight="false" outlineLevel="0" collapsed="false">
      <c r="A32" s="5" t="s">
        <v>453</v>
      </c>
      <c r="B32" s="6" t="s">
        <v>67</v>
      </c>
      <c r="C32" s="6" t="s">
        <v>68</v>
      </c>
      <c r="D32" s="6" t="s">
        <v>408</v>
      </c>
      <c r="E32" s="6" t="s">
        <v>454</v>
      </c>
      <c r="F32" s="6" t="s">
        <v>455</v>
      </c>
      <c r="G32" s="6" t="s">
        <v>456</v>
      </c>
      <c r="H32" s="6" t="s">
        <v>457</v>
      </c>
      <c r="I32" s="5" t="s">
        <v>221</v>
      </c>
      <c r="J32" s="7" t="str">
        <f aca="false">IFERROR(INDEX(AVAILABILITY_MASTER!$C$4:$C$10,MATCH(I32,AVAILABILITY_MASTER!$A$4:$A$10,0)),"To Be Confirmed")</f>
        <v>Depends on Portal – Confirm at Shop</v>
      </c>
      <c r="K32" s="6" t="s">
        <v>129</v>
      </c>
      <c r="L32" s="6" t="s">
        <v>221</v>
      </c>
      <c r="M32" s="7" t="str">
        <f aca="false">IFERROR(INDEX(SERVICE_DOCUMENTS!$S$4:$S$1000,MATCH(A32,SERVICE_DOCUMENTS!$A$4:$A$1000,0))&amp;"","")</f>
        <v>✓ Aadhaar Card
✓ Aadhaar-Linked Mobile Number</v>
      </c>
      <c r="N32" s="7" t="str">
        <f aca="false">IFERROR(INDEX(SERVICE_DOCUMENTS!$T$4:$T$1000,MATCH(A32,SERVICE_DOCUMENTS!$A$4:$A$1000,0))&amp;"","")</f>
        <v/>
      </c>
      <c r="O32" s="6" t="s">
        <v>369</v>
      </c>
      <c r="P32" s="6" t="s">
        <v>458</v>
      </c>
      <c r="Q32" s="6" t="s">
        <v>371</v>
      </c>
      <c r="R32" s="8" t="s">
        <v>75</v>
      </c>
      <c r="S32" s="8" t="s">
        <v>75</v>
      </c>
      <c r="T32" s="9" t="str">
        <f aca="false">IF(AND(OR(ISNUMBER(R32),R32="N/A"),OR(ISNUMBER(S32),S32="N/A"),OR(ISNUMBER(R32),ISNUMBER(S32))),N(R32)+N(S32),"To Verify")</f>
        <v>To Verify</v>
      </c>
      <c r="U32" s="6" t="s">
        <v>75</v>
      </c>
      <c r="V32" s="6" t="s">
        <v>79</v>
      </c>
      <c r="W32" s="6" t="s">
        <v>80</v>
      </c>
      <c r="X32" s="6" t="s">
        <v>221</v>
      </c>
      <c r="Y32" s="6" t="s">
        <v>74</v>
      </c>
      <c r="Z32" s="6" t="s">
        <v>372</v>
      </c>
      <c r="AA32" s="6" t="s">
        <v>129</v>
      </c>
      <c r="AB32" s="6" t="s">
        <v>74</v>
      </c>
      <c r="AC32" s="6" t="s">
        <v>75</v>
      </c>
      <c r="AD32" s="6" t="s">
        <v>75</v>
      </c>
      <c r="AE32" s="6" t="s">
        <v>75</v>
      </c>
      <c r="AF32" s="6" t="s">
        <v>75</v>
      </c>
      <c r="AG32" s="6" t="s">
        <v>75</v>
      </c>
      <c r="AH32" s="6" t="s">
        <v>79</v>
      </c>
      <c r="AI32" s="6" t="s">
        <v>79</v>
      </c>
      <c r="AJ32" s="6" t="s">
        <v>79</v>
      </c>
      <c r="AK32" s="6" t="s">
        <v>79</v>
      </c>
      <c r="AL32" s="6" t="s">
        <v>67</v>
      </c>
      <c r="AM32" s="6" t="s">
        <v>408</v>
      </c>
      <c r="AN32" s="7" t="str">
        <f aca="false">BA32&amp;", "&amp;AZ32</f>
        <v>Aadhaar PVC Card Order Assistance, Aadhaar Centre, Devmobile Stores, आधार PVC कार्ड ऑर्डर सहायता, आधार सेंटर, सेवा</v>
      </c>
      <c r="AO32" s="6" t="s">
        <v>459</v>
      </c>
      <c r="AP32" s="5" t="s">
        <v>415</v>
      </c>
      <c r="AQ32" s="5" t="n">
        <v>290</v>
      </c>
      <c r="AR32" s="6" t="s">
        <v>374</v>
      </c>
      <c r="AS32" s="6" t="s">
        <v>375</v>
      </c>
      <c r="AT32" s="6" t="s">
        <v>86</v>
      </c>
      <c r="AU32" s="10"/>
      <c r="AV32" s="6" t="s">
        <v>75</v>
      </c>
      <c r="AW32" s="6" t="s">
        <v>460</v>
      </c>
      <c r="AX32" s="6" t="s">
        <v>461</v>
      </c>
      <c r="AY32" s="6" t="s">
        <v>462</v>
      </c>
      <c r="AZ32" s="6" t="s">
        <v>463</v>
      </c>
      <c r="BA32" s="6" t="s">
        <v>464</v>
      </c>
      <c r="BB32" s="6"/>
      <c r="BC32" s="11" t="str">
        <f aca="false">IFERROR(INDEX(CATEGORY_MASTER!$C$4:$C$30,MATCH(B32,CATEGORY_MASTER!$A$4:$A$30,0)),"")</f>
        <v>🪪</v>
      </c>
      <c r="BD32" s="7" t="str">
        <f aca="false">"/services/"&amp;AO32</f>
        <v>/services/aadhaar-pvc-card-order-assistance</v>
      </c>
      <c r="BE32" s="7" t="str">
        <f aca="false">IF(AND(AH32="Yes",AG32="Active",I32&lt;&gt;"Not Available"),"LIVE","HIDDEN")</f>
        <v>HIDDEN</v>
      </c>
      <c r="BF32" s="6" t="s">
        <v>139</v>
      </c>
      <c r="BG32" s="6" t="s">
        <v>93</v>
      </c>
      <c r="BH32" s="7" t="str">
        <f aca="false">B32&amp;"|"&amp;COUNTIF($B$4:B32,B32)</f>
        <v>Aadhaar Centre|29</v>
      </c>
      <c r="BI32" s="7" t="str">
        <f aca="false">IF(AND(AI32="Yes",BE32="LIVE"),COUNTIFS($AI$4:AI32,"Yes",$BE$4:BE32,"LIVE"),"")</f>
        <v/>
      </c>
      <c r="BJ32" s="7" t="str">
        <f aca="false">IF(AND(AJ32="Yes",BE32="LIVE"),COUNTIFS($AJ$4:AJ32,"Yes",$BE$4:BE32,"LIVE"),"")</f>
        <v/>
      </c>
      <c r="BK32" s="7" t="str">
        <f aca="false">IF(AND(AK32="Yes",BE32="LIVE"),COUNTIFS($AK$4:AK32,"Yes",$BE$4:BE32,"LIVE"),"")</f>
        <v/>
      </c>
      <c r="BL32" s="7" t="str">
        <f aca="false">IF(I32="To Verify",COUNTIF($I$4:I32,"To Verify"),"")</f>
        <v/>
      </c>
    </row>
    <row r="33" customFormat="false" ht="68.65" hidden="false" customHeight="false" outlineLevel="0" collapsed="false">
      <c r="A33" s="5" t="s">
        <v>465</v>
      </c>
      <c r="B33" s="6" t="s">
        <v>67</v>
      </c>
      <c r="C33" s="6" t="s">
        <v>68</v>
      </c>
      <c r="D33" s="6" t="s">
        <v>408</v>
      </c>
      <c r="E33" s="6" t="s">
        <v>466</v>
      </c>
      <c r="F33" s="6" t="s">
        <v>467</v>
      </c>
      <c r="G33" s="6" t="s">
        <v>468</v>
      </c>
      <c r="H33" s="6" t="s">
        <v>469</v>
      </c>
      <c r="I33" s="5" t="s">
        <v>221</v>
      </c>
      <c r="J33" s="7" t="str">
        <f aca="false">IFERROR(INDEX(AVAILABILITY_MASTER!$C$4:$C$10,MATCH(I33,AVAILABILITY_MASTER!$A$4:$A$10,0)),"To Be Confirmed")</f>
        <v>Depends on Portal – Confirm at Shop</v>
      </c>
      <c r="K33" s="6" t="s">
        <v>129</v>
      </c>
      <c r="L33" s="6" t="s">
        <v>221</v>
      </c>
      <c r="M33" s="7" t="str">
        <f aca="false">IFERROR(INDEX(SERVICE_DOCUMENTS!$S$4:$S$1000,MATCH(A33,SERVICE_DOCUMENTS!$A$4:$A$1000,0))&amp;"","")</f>
        <v>✓ Enrolment / Acknowledgement Number</v>
      </c>
      <c r="N33" s="7" t="str">
        <f aca="false">IFERROR(INDEX(SERVICE_DOCUMENTS!$T$4:$T$1000,MATCH(A33,SERVICE_DOCUMENTS!$A$4:$A$1000,0))&amp;"","")</f>
        <v>• Aadhaar-Linked Mobile Number (If Applicable)</v>
      </c>
      <c r="O33" s="6" t="s">
        <v>470</v>
      </c>
      <c r="P33" s="6" t="s">
        <v>471</v>
      </c>
      <c r="Q33" s="6" t="s">
        <v>440</v>
      </c>
      <c r="R33" s="8" t="s">
        <v>75</v>
      </c>
      <c r="S33" s="8" t="s">
        <v>75</v>
      </c>
      <c r="T33" s="9" t="str">
        <f aca="false">IF(AND(OR(ISNUMBER(R33),R33="N/A"),OR(ISNUMBER(S33),S33="N/A"),OR(ISNUMBER(R33),ISNUMBER(S33))),N(R33)+N(S33),"To Verify")</f>
        <v>To Verify</v>
      </c>
      <c r="U33" s="6" t="s">
        <v>75</v>
      </c>
      <c r="V33" s="6" t="s">
        <v>79</v>
      </c>
      <c r="W33" s="6" t="s">
        <v>80</v>
      </c>
      <c r="X33" s="6" t="s">
        <v>221</v>
      </c>
      <c r="Y33" s="6" t="s">
        <v>74</v>
      </c>
      <c r="Z33" s="6" t="s">
        <v>472</v>
      </c>
      <c r="AA33" s="6" t="s">
        <v>129</v>
      </c>
      <c r="AB33" s="6" t="s">
        <v>74</v>
      </c>
      <c r="AC33" s="6" t="s">
        <v>75</v>
      </c>
      <c r="AD33" s="6" t="s">
        <v>75</v>
      </c>
      <c r="AE33" s="6" t="s">
        <v>75</v>
      </c>
      <c r="AF33" s="6" t="s">
        <v>75</v>
      </c>
      <c r="AG33" s="6" t="s">
        <v>75</v>
      </c>
      <c r="AH33" s="6" t="s">
        <v>79</v>
      </c>
      <c r="AI33" s="6" t="s">
        <v>79</v>
      </c>
      <c r="AJ33" s="6" t="s">
        <v>79</v>
      </c>
      <c r="AK33" s="6" t="s">
        <v>79</v>
      </c>
      <c r="AL33" s="6" t="s">
        <v>67</v>
      </c>
      <c r="AM33" s="6" t="s">
        <v>408</v>
      </c>
      <c r="AN33" s="7" t="str">
        <f aca="false">BA33&amp;", "&amp;AZ33</f>
        <v>Aadhaar Enrolment Status Check (EID), Aadhaar Centre, Devmobile Stores, आधार नामांकन स्थिति जाँच (EID), आधार सेंटर, सेवा</v>
      </c>
      <c r="AO33" s="6" t="s">
        <v>473</v>
      </c>
      <c r="AP33" s="5" t="s">
        <v>415</v>
      </c>
      <c r="AQ33" s="5" t="n">
        <v>300</v>
      </c>
      <c r="AR33" s="6" t="s">
        <v>133</v>
      </c>
      <c r="AS33" s="6" t="s">
        <v>474</v>
      </c>
      <c r="AT33" s="6" t="s">
        <v>86</v>
      </c>
      <c r="AU33" s="10"/>
      <c r="AV33" s="6" t="s">
        <v>75</v>
      </c>
      <c r="AW33" s="6"/>
      <c r="AX33" s="6" t="s">
        <v>475</v>
      </c>
      <c r="AY33" s="6" t="s">
        <v>476</v>
      </c>
      <c r="AZ33" s="6" t="s">
        <v>477</v>
      </c>
      <c r="BA33" s="6" t="s">
        <v>478</v>
      </c>
      <c r="BB33" s="6"/>
      <c r="BC33" s="11" t="str">
        <f aca="false">IFERROR(INDEX(CATEGORY_MASTER!$C$4:$C$30,MATCH(B33,CATEGORY_MASTER!$A$4:$A$30,0)),"")</f>
        <v>🪪</v>
      </c>
      <c r="BD33" s="7" t="str">
        <f aca="false">"/services/"&amp;AO33</f>
        <v>/services/aadhaar-enrolment-status-check-eid</v>
      </c>
      <c r="BE33" s="7" t="str">
        <f aca="false">IF(AND(AH33="Yes",AG33="Active",I33&lt;&gt;"Not Available"),"LIVE","HIDDEN")</f>
        <v>HIDDEN</v>
      </c>
      <c r="BF33" s="6" t="s">
        <v>139</v>
      </c>
      <c r="BG33" s="6" t="s">
        <v>93</v>
      </c>
      <c r="BH33" s="7" t="str">
        <f aca="false">B33&amp;"|"&amp;COUNTIF($B$4:B33,B33)</f>
        <v>Aadhaar Centre|30</v>
      </c>
      <c r="BI33" s="7" t="str">
        <f aca="false">IF(AND(AI33="Yes",BE33="LIVE"),COUNTIFS($AI$4:AI33,"Yes",$BE$4:BE33,"LIVE"),"")</f>
        <v/>
      </c>
      <c r="BJ33" s="7" t="str">
        <f aca="false">IF(AND(AJ33="Yes",BE33="LIVE"),COUNTIFS($AJ$4:AJ33,"Yes",$BE$4:BE33,"LIVE"),"")</f>
        <v/>
      </c>
      <c r="BK33" s="7" t="str">
        <f aca="false">IF(AND(AK33="Yes",BE33="LIVE"),COUNTIFS($AK$4:AK33,"Yes",$BE$4:BE33,"LIVE"),"")</f>
        <v/>
      </c>
      <c r="BL33" s="7" t="str">
        <f aca="false">IF(I33="To Verify",COUNTIF($I$4:I33,"To Verify"),"")</f>
        <v/>
      </c>
    </row>
    <row r="34" customFormat="false" ht="68.65" hidden="false" customHeight="false" outlineLevel="0" collapsed="false">
      <c r="A34" s="5" t="s">
        <v>479</v>
      </c>
      <c r="B34" s="6" t="s">
        <v>67</v>
      </c>
      <c r="C34" s="6" t="s">
        <v>68</v>
      </c>
      <c r="D34" s="6" t="s">
        <v>408</v>
      </c>
      <c r="E34" s="6" t="s">
        <v>480</v>
      </c>
      <c r="F34" s="6" t="s">
        <v>481</v>
      </c>
      <c r="G34" s="6" t="s">
        <v>482</v>
      </c>
      <c r="H34" s="6" t="s">
        <v>483</v>
      </c>
      <c r="I34" s="5" t="s">
        <v>221</v>
      </c>
      <c r="J34" s="7" t="str">
        <f aca="false">IFERROR(INDEX(AVAILABILITY_MASTER!$C$4:$C$10,MATCH(I34,AVAILABILITY_MASTER!$A$4:$A$10,0)),"To Be Confirmed")</f>
        <v>Depends on Portal – Confirm at Shop</v>
      </c>
      <c r="K34" s="6" t="s">
        <v>129</v>
      </c>
      <c r="L34" s="6" t="s">
        <v>221</v>
      </c>
      <c r="M34" s="7" t="str">
        <f aca="false">IFERROR(INDEX(SERVICE_DOCUMENTS!$S$4:$S$1000,MATCH(A34,SERVICE_DOCUMENTS!$A$4:$A$1000,0))&amp;"","")</f>
        <v>✓ Enrolment / Acknowledgement Number</v>
      </c>
      <c r="N34" s="7" t="str">
        <f aca="false">IFERROR(INDEX(SERVICE_DOCUMENTS!$T$4:$T$1000,MATCH(A34,SERVICE_DOCUMENTS!$A$4:$A$1000,0))&amp;"","")</f>
        <v>• Aadhaar-Linked Mobile Number (If Applicable)</v>
      </c>
      <c r="O34" s="6" t="s">
        <v>470</v>
      </c>
      <c r="P34" s="6" t="s">
        <v>471</v>
      </c>
      <c r="Q34" s="6" t="s">
        <v>440</v>
      </c>
      <c r="R34" s="8" t="s">
        <v>75</v>
      </c>
      <c r="S34" s="8" t="s">
        <v>75</v>
      </c>
      <c r="T34" s="9" t="str">
        <f aca="false">IF(AND(OR(ISNUMBER(R34),R34="N/A"),OR(ISNUMBER(S34),S34="N/A"),OR(ISNUMBER(R34),ISNUMBER(S34))),N(R34)+N(S34),"To Verify")</f>
        <v>To Verify</v>
      </c>
      <c r="U34" s="6" t="s">
        <v>75</v>
      </c>
      <c r="V34" s="6" t="s">
        <v>79</v>
      </c>
      <c r="W34" s="6" t="s">
        <v>80</v>
      </c>
      <c r="X34" s="6" t="s">
        <v>221</v>
      </c>
      <c r="Y34" s="6" t="s">
        <v>74</v>
      </c>
      <c r="Z34" s="6" t="s">
        <v>472</v>
      </c>
      <c r="AA34" s="6" t="s">
        <v>129</v>
      </c>
      <c r="AB34" s="6" t="s">
        <v>74</v>
      </c>
      <c r="AC34" s="6" t="s">
        <v>75</v>
      </c>
      <c r="AD34" s="6" t="s">
        <v>75</v>
      </c>
      <c r="AE34" s="6" t="s">
        <v>75</v>
      </c>
      <c r="AF34" s="6" t="s">
        <v>75</v>
      </c>
      <c r="AG34" s="6" t="s">
        <v>75</v>
      </c>
      <c r="AH34" s="6" t="s">
        <v>79</v>
      </c>
      <c r="AI34" s="6" t="s">
        <v>79</v>
      </c>
      <c r="AJ34" s="6" t="s">
        <v>79</v>
      </c>
      <c r="AK34" s="6" t="s">
        <v>79</v>
      </c>
      <c r="AL34" s="6" t="s">
        <v>67</v>
      </c>
      <c r="AM34" s="6" t="s">
        <v>408</v>
      </c>
      <c r="AN34" s="7" t="str">
        <f aca="false">BA34&amp;", "&amp;AZ34</f>
        <v>Aadhaar Update Request Status Check (URN), Aadhaar Centre, Devmobile Stores, आधार अपडेट रिक्वेस्ट स्थिति जाँच (URN), आधार सेंटर, सेवा</v>
      </c>
      <c r="AO34" s="6" t="s">
        <v>484</v>
      </c>
      <c r="AP34" s="5" t="s">
        <v>415</v>
      </c>
      <c r="AQ34" s="5" t="n">
        <v>310</v>
      </c>
      <c r="AR34" s="6" t="s">
        <v>133</v>
      </c>
      <c r="AS34" s="6" t="s">
        <v>474</v>
      </c>
      <c r="AT34" s="6" t="s">
        <v>86</v>
      </c>
      <c r="AU34" s="10"/>
      <c r="AV34" s="6" t="s">
        <v>75</v>
      </c>
      <c r="AW34" s="6"/>
      <c r="AX34" s="6" t="s">
        <v>485</v>
      </c>
      <c r="AY34" s="6" t="s">
        <v>486</v>
      </c>
      <c r="AZ34" s="6" t="s">
        <v>487</v>
      </c>
      <c r="BA34" s="6" t="s">
        <v>488</v>
      </c>
      <c r="BB34" s="6"/>
      <c r="BC34" s="11" t="str">
        <f aca="false">IFERROR(INDEX(CATEGORY_MASTER!$C$4:$C$30,MATCH(B34,CATEGORY_MASTER!$A$4:$A$30,0)),"")</f>
        <v>🪪</v>
      </c>
      <c r="BD34" s="7" t="str">
        <f aca="false">"/services/"&amp;AO34</f>
        <v>/services/aadhaar-update-request-status-check-urn</v>
      </c>
      <c r="BE34" s="7" t="str">
        <f aca="false">IF(AND(AH34="Yes",AG34="Active",I34&lt;&gt;"Not Available"),"LIVE","HIDDEN")</f>
        <v>HIDDEN</v>
      </c>
      <c r="BF34" s="6" t="s">
        <v>139</v>
      </c>
      <c r="BG34" s="6" t="s">
        <v>93</v>
      </c>
      <c r="BH34" s="7" t="str">
        <f aca="false">B34&amp;"|"&amp;COUNTIF($B$4:B34,B34)</f>
        <v>Aadhaar Centre|31</v>
      </c>
      <c r="BI34" s="7" t="str">
        <f aca="false">IF(AND(AI34="Yes",BE34="LIVE"),COUNTIFS($AI$4:AI34,"Yes",$BE$4:BE34,"LIVE"),"")</f>
        <v/>
      </c>
      <c r="BJ34" s="7" t="str">
        <f aca="false">IF(AND(AJ34="Yes",BE34="LIVE"),COUNTIFS($AJ$4:AJ34,"Yes",$BE$4:BE34,"LIVE"),"")</f>
        <v/>
      </c>
      <c r="BK34" s="7" t="str">
        <f aca="false">IF(AND(AK34="Yes",BE34="LIVE"),COUNTIFS($AK$4:AK34,"Yes",$BE$4:BE34,"LIVE"),"")</f>
        <v/>
      </c>
      <c r="BL34" s="7" t="str">
        <f aca="false">IF(I34="To Verify",COUNTIF($I$4:I34,"To Verify"),"")</f>
        <v/>
      </c>
    </row>
    <row r="35" customFormat="false" ht="91" hidden="false" customHeight="false" outlineLevel="0" collapsed="false">
      <c r="A35" s="5" t="s">
        <v>489</v>
      </c>
      <c r="B35" s="6" t="s">
        <v>67</v>
      </c>
      <c r="C35" s="6" t="s">
        <v>68</v>
      </c>
      <c r="D35" s="6" t="s">
        <v>408</v>
      </c>
      <c r="E35" s="6" t="s">
        <v>490</v>
      </c>
      <c r="F35" s="6" t="s">
        <v>491</v>
      </c>
      <c r="G35" s="6" t="s">
        <v>492</v>
      </c>
      <c r="H35" s="6" t="s">
        <v>493</v>
      </c>
      <c r="I35" s="5" t="s">
        <v>221</v>
      </c>
      <c r="J35" s="7" t="str">
        <f aca="false">IFERROR(INDEX(AVAILABILITY_MASTER!$C$4:$C$10,MATCH(I35,AVAILABILITY_MASTER!$A$4:$A$10,0)),"To Be Confirmed")</f>
        <v>Depends on Portal – Confirm at Shop</v>
      </c>
      <c r="K35" s="6" t="s">
        <v>129</v>
      </c>
      <c r="L35" s="6" t="s">
        <v>221</v>
      </c>
      <c r="M35" s="7" t="str">
        <f aca="false">IFERROR(INDEX(SERVICE_DOCUMENTS!$S$4:$S$1000,MATCH(A35,SERVICE_DOCUMENTS!$A$4:$A$1000,0))&amp;"","")</f>
        <v>✓ Aadhaar Card
✓ Aadhaar-Linked Mobile Number</v>
      </c>
      <c r="N35" s="7" t="str">
        <f aca="false">IFERROR(INDEX(SERVICE_DOCUMENTS!$T$4:$T$1000,MATCH(A35,SERVICE_DOCUMENTS!$A$4:$A$1000,0))&amp;"","")</f>
        <v/>
      </c>
      <c r="O35" s="6" t="s">
        <v>369</v>
      </c>
      <c r="P35" s="6" t="s">
        <v>494</v>
      </c>
      <c r="Q35" s="6" t="s">
        <v>371</v>
      </c>
      <c r="R35" s="8" t="s">
        <v>75</v>
      </c>
      <c r="S35" s="8" t="s">
        <v>75</v>
      </c>
      <c r="T35" s="9" t="str">
        <f aca="false">IF(AND(OR(ISNUMBER(R35),R35="N/A"),OR(ISNUMBER(S35),S35="N/A"),OR(ISNUMBER(R35),ISNUMBER(S35))),N(R35)+N(S35),"To Verify")</f>
        <v>To Verify</v>
      </c>
      <c r="U35" s="6" t="s">
        <v>75</v>
      </c>
      <c r="V35" s="6" t="s">
        <v>79</v>
      </c>
      <c r="W35" s="6" t="s">
        <v>80</v>
      </c>
      <c r="X35" s="6" t="s">
        <v>221</v>
      </c>
      <c r="Y35" s="6" t="s">
        <v>74</v>
      </c>
      <c r="Z35" s="6" t="s">
        <v>372</v>
      </c>
      <c r="AA35" s="6" t="s">
        <v>129</v>
      </c>
      <c r="AB35" s="6" t="s">
        <v>74</v>
      </c>
      <c r="AC35" s="6" t="s">
        <v>75</v>
      </c>
      <c r="AD35" s="6" t="s">
        <v>75</v>
      </c>
      <c r="AE35" s="6" t="s">
        <v>75</v>
      </c>
      <c r="AF35" s="6" t="s">
        <v>75</v>
      </c>
      <c r="AG35" s="6" t="s">
        <v>75</v>
      </c>
      <c r="AH35" s="6" t="s">
        <v>79</v>
      </c>
      <c r="AI35" s="6" t="s">
        <v>79</v>
      </c>
      <c r="AJ35" s="6" t="s">
        <v>79</v>
      </c>
      <c r="AK35" s="6" t="s">
        <v>79</v>
      </c>
      <c r="AL35" s="6" t="s">
        <v>67</v>
      </c>
      <c r="AM35" s="6" t="s">
        <v>408</v>
      </c>
      <c r="AN35" s="7" t="str">
        <f aca="false">BA35&amp;", "&amp;AZ35</f>
        <v>Aadhaar Lost UID / EID Retrieval Assistance, Aadhaar Centre, Devmobile Stores, खोया आधार नंबर / EID पुनः प्राप्ति सहायता, आधार सेंटर, सेवा</v>
      </c>
      <c r="AO35" s="6" t="s">
        <v>495</v>
      </c>
      <c r="AP35" s="5" t="s">
        <v>415</v>
      </c>
      <c r="AQ35" s="5" t="n">
        <v>320</v>
      </c>
      <c r="AR35" s="6" t="s">
        <v>374</v>
      </c>
      <c r="AS35" s="6" t="s">
        <v>375</v>
      </c>
      <c r="AT35" s="6" t="s">
        <v>86</v>
      </c>
      <c r="AU35" s="10"/>
      <c r="AV35" s="6" t="s">
        <v>75</v>
      </c>
      <c r="AW35" s="6" t="s">
        <v>496</v>
      </c>
      <c r="AX35" s="6" t="s">
        <v>497</v>
      </c>
      <c r="AY35" s="6" t="s">
        <v>498</v>
      </c>
      <c r="AZ35" s="6" t="s">
        <v>499</v>
      </c>
      <c r="BA35" s="6" t="s">
        <v>500</v>
      </c>
      <c r="BB35" s="6"/>
      <c r="BC35" s="11" t="str">
        <f aca="false">IFERROR(INDEX(CATEGORY_MASTER!$C$4:$C$30,MATCH(B35,CATEGORY_MASTER!$A$4:$A$30,0)),"")</f>
        <v>🪪</v>
      </c>
      <c r="BD35" s="7" t="str">
        <f aca="false">"/services/"&amp;AO35</f>
        <v>/services/aadhaar-lost-uid-eid-retrieval-assistance</v>
      </c>
      <c r="BE35" s="7" t="str">
        <f aca="false">IF(AND(AH35="Yes",AG35="Active",I35&lt;&gt;"Not Available"),"LIVE","HIDDEN")</f>
        <v>HIDDEN</v>
      </c>
      <c r="BF35" s="6" t="s">
        <v>139</v>
      </c>
      <c r="BG35" s="6" t="s">
        <v>93</v>
      </c>
      <c r="BH35" s="7" t="str">
        <f aca="false">B35&amp;"|"&amp;COUNTIF($B$4:B35,B35)</f>
        <v>Aadhaar Centre|32</v>
      </c>
      <c r="BI35" s="7" t="str">
        <f aca="false">IF(AND(AI35="Yes",BE35="LIVE"),COUNTIFS($AI$4:AI35,"Yes",$BE$4:BE35,"LIVE"),"")</f>
        <v/>
      </c>
      <c r="BJ35" s="7" t="str">
        <f aca="false">IF(AND(AJ35="Yes",BE35="LIVE"),COUNTIFS($AJ$4:AJ35,"Yes",$BE$4:BE35,"LIVE"),"")</f>
        <v/>
      </c>
      <c r="BK35" s="7" t="str">
        <f aca="false">IF(AND(AK35="Yes",BE35="LIVE"),COUNTIFS($AK$4:AK35,"Yes",$BE$4:BE35,"LIVE"),"")</f>
        <v/>
      </c>
      <c r="BL35" s="7" t="str">
        <f aca="false">IF(I35="To Verify",COUNTIF($I$4:I35,"To Verify"),"")</f>
        <v/>
      </c>
    </row>
    <row r="36" customFormat="false" ht="91" hidden="false" customHeight="false" outlineLevel="0" collapsed="false">
      <c r="A36" s="5" t="s">
        <v>501</v>
      </c>
      <c r="B36" s="6" t="s">
        <v>67</v>
      </c>
      <c r="C36" s="6" t="s">
        <v>68</v>
      </c>
      <c r="D36" s="6" t="s">
        <v>408</v>
      </c>
      <c r="E36" s="6" t="s">
        <v>502</v>
      </c>
      <c r="F36" s="6" t="s">
        <v>503</v>
      </c>
      <c r="G36" s="6" t="s">
        <v>504</v>
      </c>
      <c r="H36" s="6" t="s">
        <v>505</v>
      </c>
      <c r="I36" s="5" t="s">
        <v>221</v>
      </c>
      <c r="J36" s="7" t="str">
        <f aca="false">IFERROR(INDEX(AVAILABILITY_MASTER!$C$4:$C$10,MATCH(I36,AVAILABILITY_MASTER!$A$4:$A$10,0)),"To Be Confirmed")</f>
        <v>Depends on Portal – Confirm at Shop</v>
      </c>
      <c r="K36" s="6" t="s">
        <v>129</v>
      </c>
      <c r="L36" s="6" t="s">
        <v>221</v>
      </c>
      <c r="M36" s="7" t="str">
        <f aca="false">IFERROR(INDEX(SERVICE_DOCUMENTS!$S$4:$S$1000,MATCH(A36,SERVICE_DOCUMENTS!$A$4:$A$1000,0))&amp;"","")</f>
        <v>✓ Aadhaar Card
✓ Aadhaar-Linked Mobile Number</v>
      </c>
      <c r="N36" s="7" t="str">
        <f aca="false">IFERROR(INDEX(SERVICE_DOCUMENTS!$T$4:$T$1000,MATCH(A36,SERVICE_DOCUMENTS!$A$4:$A$1000,0))&amp;"","")</f>
        <v/>
      </c>
      <c r="O36" s="6" t="s">
        <v>369</v>
      </c>
      <c r="P36" s="6" t="s">
        <v>506</v>
      </c>
      <c r="Q36" s="6" t="s">
        <v>371</v>
      </c>
      <c r="R36" s="8" t="s">
        <v>75</v>
      </c>
      <c r="S36" s="8" t="s">
        <v>75</v>
      </c>
      <c r="T36" s="9" t="str">
        <f aca="false">IF(AND(OR(ISNUMBER(R36),R36="N/A"),OR(ISNUMBER(S36),S36="N/A"),OR(ISNUMBER(R36),ISNUMBER(S36))),N(R36)+N(S36),"To Verify")</f>
        <v>To Verify</v>
      </c>
      <c r="U36" s="6" t="s">
        <v>75</v>
      </c>
      <c r="V36" s="6" t="s">
        <v>79</v>
      </c>
      <c r="W36" s="6" t="s">
        <v>80</v>
      </c>
      <c r="X36" s="6" t="s">
        <v>221</v>
      </c>
      <c r="Y36" s="6" t="s">
        <v>74</v>
      </c>
      <c r="Z36" s="6" t="s">
        <v>372</v>
      </c>
      <c r="AA36" s="6" t="s">
        <v>129</v>
      </c>
      <c r="AB36" s="6" t="s">
        <v>74</v>
      </c>
      <c r="AC36" s="6" t="s">
        <v>75</v>
      </c>
      <c r="AD36" s="6" t="s">
        <v>75</v>
      </c>
      <c r="AE36" s="6" t="s">
        <v>75</v>
      </c>
      <c r="AF36" s="6" t="s">
        <v>75</v>
      </c>
      <c r="AG36" s="6" t="s">
        <v>75</v>
      </c>
      <c r="AH36" s="6" t="s">
        <v>79</v>
      </c>
      <c r="AI36" s="6" t="s">
        <v>79</v>
      </c>
      <c r="AJ36" s="6" t="s">
        <v>79</v>
      </c>
      <c r="AK36" s="6" t="s">
        <v>79</v>
      </c>
      <c r="AL36" s="6" t="s">
        <v>67</v>
      </c>
      <c r="AM36" s="6" t="s">
        <v>408</v>
      </c>
      <c r="AN36" s="7" t="str">
        <f aca="false">BA36&amp;", "&amp;AZ36</f>
        <v>Aadhaar Virtual ID (VID) Generation Assistance, Aadhaar Centre, Devmobile Stores, आधार वर्चुअल ID (VID) निर्माण सहायता, आधार सेंटर, सेवा</v>
      </c>
      <c r="AO36" s="6" t="s">
        <v>507</v>
      </c>
      <c r="AP36" s="5" t="s">
        <v>415</v>
      </c>
      <c r="AQ36" s="5" t="n">
        <v>330</v>
      </c>
      <c r="AR36" s="6" t="s">
        <v>374</v>
      </c>
      <c r="AS36" s="6" t="s">
        <v>375</v>
      </c>
      <c r="AT36" s="6" t="s">
        <v>86</v>
      </c>
      <c r="AU36" s="10"/>
      <c r="AV36" s="6" t="s">
        <v>75</v>
      </c>
      <c r="AW36" s="6"/>
      <c r="AX36" s="6" t="s">
        <v>508</v>
      </c>
      <c r="AY36" s="6" t="s">
        <v>509</v>
      </c>
      <c r="AZ36" s="6" t="s">
        <v>510</v>
      </c>
      <c r="BA36" s="6" t="s">
        <v>511</v>
      </c>
      <c r="BB36" s="6"/>
      <c r="BC36" s="11" t="str">
        <f aca="false">IFERROR(INDEX(CATEGORY_MASTER!$C$4:$C$30,MATCH(B36,CATEGORY_MASTER!$A$4:$A$30,0)),"")</f>
        <v>🪪</v>
      </c>
      <c r="BD36" s="7" t="str">
        <f aca="false">"/services/"&amp;AO36</f>
        <v>/services/aadhaar-virtual-id-vid-generation-assistance</v>
      </c>
      <c r="BE36" s="7" t="str">
        <f aca="false">IF(AND(AH36="Yes",AG36="Active",I36&lt;&gt;"Not Available"),"LIVE","HIDDEN")</f>
        <v>HIDDEN</v>
      </c>
      <c r="BF36" s="6" t="s">
        <v>139</v>
      </c>
      <c r="BG36" s="6" t="s">
        <v>93</v>
      </c>
      <c r="BH36" s="7" t="str">
        <f aca="false">B36&amp;"|"&amp;COUNTIF($B$4:B36,B36)</f>
        <v>Aadhaar Centre|33</v>
      </c>
      <c r="BI36" s="7" t="str">
        <f aca="false">IF(AND(AI36="Yes",BE36="LIVE"),COUNTIFS($AI$4:AI36,"Yes",$BE$4:BE36,"LIVE"),"")</f>
        <v/>
      </c>
      <c r="BJ36" s="7" t="str">
        <f aca="false">IF(AND(AJ36="Yes",BE36="LIVE"),COUNTIFS($AJ$4:AJ36,"Yes",$BE$4:BE36,"LIVE"),"")</f>
        <v/>
      </c>
      <c r="BK36" s="7" t="str">
        <f aca="false">IF(AND(AK36="Yes",BE36="LIVE"),COUNTIFS($AK$4:AK36,"Yes",$BE$4:BE36,"LIVE"),"")</f>
        <v/>
      </c>
      <c r="BL36" s="7" t="str">
        <f aca="false">IF(I36="To Verify",COUNTIF($I$4:I36,"To Verify"),"")</f>
        <v/>
      </c>
    </row>
    <row r="37" customFormat="false" ht="91" hidden="false" customHeight="false" outlineLevel="0" collapsed="false">
      <c r="A37" s="5" t="s">
        <v>512</v>
      </c>
      <c r="B37" s="6" t="s">
        <v>67</v>
      </c>
      <c r="C37" s="6" t="s">
        <v>68</v>
      </c>
      <c r="D37" s="6" t="s">
        <v>408</v>
      </c>
      <c r="E37" s="6" t="s">
        <v>513</v>
      </c>
      <c r="F37" s="6" t="s">
        <v>514</v>
      </c>
      <c r="G37" s="6" t="s">
        <v>515</v>
      </c>
      <c r="H37" s="6" t="s">
        <v>516</v>
      </c>
      <c r="I37" s="5" t="s">
        <v>221</v>
      </c>
      <c r="J37" s="7" t="str">
        <f aca="false">IFERROR(INDEX(AVAILABILITY_MASTER!$C$4:$C$10,MATCH(I37,AVAILABILITY_MASTER!$A$4:$A$10,0)),"To Be Confirmed")</f>
        <v>Depends on Portal – Confirm at Shop</v>
      </c>
      <c r="K37" s="6" t="s">
        <v>129</v>
      </c>
      <c r="L37" s="6" t="s">
        <v>221</v>
      </c>
      <c r="M37" s="7" t="str">
        <f aca="false">IFERROR(INDEX(SERVICE_DOCUMENTS!$S$4:$S$1000,MATCH(A37,SERVICE_DOCUMENTS!$A$4:$A$1000,0))&amp;"","")</f>
        <v>✓ Aadhaar Card
✓ Aadhaar-Linked Mobile Number</v>
      </c>
      <c r="N37" s="7" t="str">
        <f aca="false">IFERROR(INDEX(SERVICE_DOCUMENTS!$T$4:$T$1000,MATCH(A37,SERVICE_DOCUMENTS!$A$4:$A$1000,0))&amp;"","")</f>
        <v/>
      </c>
      <c r="O37" s="6" t="s">
        <v>369</v>
      </c>
      <c r="P37" s="6" t="s">
        <v>517</v>
      </c>
      <c r="Q37" s="6" t="s">
        <v>371</v>
      </c>
      <c r="R37" s="8" t="s">
        <v>75</v>
      </c>
      <c r="S37" s="8" t="s">
        <v>75</v>
      </c>
      <c r="T37" s="9" t="str">
        <f aca="false">IF(AND(OR(ISNUMBER(R37),R37="N/A"),OR(ISNUMBER(S37),S37="N/A"),OR(ISNUMBER(R37),ISNUMBER(S37))),N(R37)+N(S37),"To Verify")</f>
        <v>To Verify</v>
      </c>
      <c r="U37" s="6" t="s">
        <v>75</v>
      </c>
      <c r="V37" s="6" t="s">
        <v>79</v>
      </c>
      <c r="W37" s="6" t="s">
        <v>80</v>
      </c>
      <c r="X37" s="6" t="s">
        <v>221</v>
      </c>
      <c r="Y37" s="6" t="s">
        <v>74</v>
      </c>
      <c r="Z37" s="6" t="s">
        <v>372</v>
      </c>
      <c r="AA37" s="6" t="s">
        <v>129</v>
      </c>
      <c r="AB37" s="6" t="s">
        <v>74</v>
      </c>
      <c r="AC37" s="6" t="s">
        <v>75</v>
      </c>
      <c r="AD37" s="6" t="s">
        <v>75</v>
      </c>
      <c r="AE37" s="6" t="s">
        <v>75</v>
      </c>
      <c r="AF37" s="6" t="s">
        <v>75</v>
      </c>
      <c r="AG37" s="6" t="s">
        <v>75</v>
      </c>
      <c r="AH37" s="6" t="s">
        <v>79</v>
      </c>
      <c r="AI37" s="6" t="s">
        <v>79</v>
      </c>
      <c r="AJ37" s="6" t="s">
        <v>79</v>
      </c>
      <c r="AK37" s="6" t="s">
        <v>79</v>
      </c>
      <c r="AL37" s="6" t="s">
        <v>67</v>
      </c>
      <c r="AM37" s="6" t="s">
        <v>408</v>
      </c>
      <c r="AN37" s="7" t="str">
        <f aca="false">BA37&amp;", "&amp;AZ37</f>
        <v>Aadhaar Lock / Unlock Assistance, Aadhaar Centre, Devmobile Stores, आधार लॉक / अनलॉक सहायता, आधार सेंटर, सेवा</v>
      </c>
      <c r="AO37" s="6" t="s">
        <v>518</v>
      </c>
      <c r="AP37" s="5" t="s">
        <v>415</v>
      </c>
      <c r="AQ37" s="5" t="n">
        <v>340</v>
      </c>
      <c r="AR37" s="6" t="s">
        <v>374</v>
      </c>
      <c r="AS37" s="6" t="s">
        <v>375</v>
      </c>
      <c r="AT37" s="6" t="s">
        <v>86</v>
      </c>
      <c r="AU37" s="10"/>
      <c r="AV37" s="6" t="s">
        <v>75</v>
      </c>
      <c r="AW37" s="6"/>
      <c r="AX37" s="6" t="s">
        <v>519</v>
      </c>
      <c r="AY37" s="6" t="s">
        <v>520</v>
      </c>
      <c r="AZ37" s="6" t="s">
        <v>521</v>
      </c>
      <c r="BA37" s="6" t="s">
        <v>522</v>
      </c>
      <c r="BB37" s="6"/>
      <c r="BC37" s="11" t="str">
        <f aca="false">IFERROR(INDEX(CATEGORY_MASTER!$C$4:$C$30,MATCH(B37,CATEGORY_MASTER!$A$4:$A$30,0)),"")</f>
        <v>🪪</v>
      </c>
      <c r="BD37" s="7" t="str">
        <f aca="false">"/services/"&amp;AO37</f>
        <v>/services/aadhaar-lock-unlock-assistance</v>
      </c>
      <c r="BE37" s="7" t="str">
        <f aca="false">IF(AND(AH37="Yes",AG37="Active",I37&lt;&gt;"Not Available"),"LIVE","HIDDEN")</f>
        <v>HIDDEN</v>
      </c>
      <c r="BF37" s="6" t="s">
        <v>139</v>
      </c>
      <c r="BG37" s="6" t="s">
        <v>93</v>
      </c>
      <c r="BH37" s="7" t="str">
        <f aca="false">B37&amp;"|"&amp;COUNTIF($B$4:B37,B37)</f>
        <v>Aadhaar Centre|34</v>
      </c>
      <c r="BI37" s="7" t="str">
        <f aca="false">IF(AND(AI37="Yes",BE37="LIVE"),COUNTIFS($AI$4:AI37,"Yes",$BE$4:BE37,"LIVE"),"")</f>
        <v/>
      </c>
      <c r="BJ37" s="7" t="str">
        <f aca="false">IF(AND(AJ37="Yes",BE37="LIVE"),COUNTIFS($AJ$4:AJ37,"Yes",$BE$4:BE37,"LIVE"),"")</f>
        <v/>
      </c>
      <c r="BK37" s="7" t="str">
        <f aca="false">IF(AND(AK37="Yes",BE37="LIVE"),COUNTIFS($AK$4:AK37,"Yes",$BE$4:BE37,"LIVE"),"")</f>
        <v/>
      </c>
      <c r="BL37" s="7" t="str">
        <f aca="false">IF(I37="To Verify",COUNTIF($I$4:I37,"To Verify"),"")</f>
        <v/>
      </c>
    </row>
    <row r="38" customFormat="false" ht="91" hidden="false" customHeight="false" outlineLevel="0" collapsed="false">
      <c r="A38" s="5" t="s">
        <v>523</v>
      </c>
      <c r="B38" s="6" t="s">
        <v>67</v>
      </c>
      <c r="C38" s="6" t="s">
        <v>68</v>
      </c>
      <c r="D38" s="6" t="s">
        <v>408</v>
      </c>
      <c r="E38" s="6" t="s">
        <v>524</v>
      </c>
      <c r="F38" s="6" t="s">
        <v>525</v>
      </c>
      <c r="G38" s="6" t="s">
        <v>526</v>
      </c>
      <c r="H38" s="6" t="s">
        <v>527</v>
      </c>
      <c r="I38" s="5" t="s">
        <v>221</v>
      </c>
      <c r="J38" s="7" t="str">
        <f aca="false">IFERROR(INDEX(AVAILABILITY_MASTER!$C$4:$C$10,MATCH(I38,AVAILABILITY_MASTER!$A$4:$A$10,0)),"To Be Confirmed")</f>
        <v>Depends on Portal – Confirm at Shop</v>
      </c>
      <c r="K38" s="6" t="s">
        <v>129</v>
      </c>
      <c r="L38" s="6" t="s">
        <v>221</v>
      </c>
      <c r="M38" s="7" t="str">
        <f aca="false">IFERROR(INDEX(SERVICE_DOCUMENTS!$S$4:$S$1000,MATCH(A38,SERVICE_DOCUMENTS!$A$4:$A$1000,0))&amp;"","")</f>
        <v>✓ Aadhaar Card
✓ Aadhaar-Linked Mobile Number</v>
      </c>
      <c r="N38" s="7" t="str">
        <f aca="false">IFERROR(INDEX(SERVICE_DOCUMENTS!$T$4:$T$1000,MATCH(A38,SERVICE_DOCUMENTS!$A$4:$A$1000,0))&amp;"","")</f>
        <v/>
      </c>
      <c r="O38" s="6" t="s">
        <v>369</v>
      </c>
      <c r="P38" s="6" t="s">
        <v>528</v>
      </c>
      <c r="Q38" s="6" t="s">
        <v>371</v>
      </c>
      <c r="R38" s="8" t="s">
        <v>75</v>
      </c>
      <c r="S38" s="8" t="s">
        <v>75</v>
      </c>
      <c r="T38" s="9" t="str">
        <f aca="false">IF(AND(OR(ISNUMBER(R38),R38="N/A"),OR(ISNUMBER(S38),S38="N/A"),OR(ISNUMBER(R38),ISNUMBER(S38))),N(R38)+N(S38),"To Verify")</f>
        <v>To Verify</v>
      </c>
      <c r="U38" s="6" t="s">
        <v>75</v>
      </c>
      <c r="V38" s="6" t="s">
        <v>79</v>
      </c>
      <c r="W38" s="6" t="s">
        <v>80</v>
      </c>
      <c r="X38" s="6" t="s">
        <v>221</v>
      </c>
      <c r="Y38" s="6" t="s">
        <v>74</v>
      </c>
      <c r="Z38" s="6" t="s">
        <v>372</v>
      </c>
      <c r="AA38" s="6" t="s">
        <v>129</v>
      </c>
      <c r="AB38" s="6" t="s">
        <v>74</v>
      </c>
      <c r="AC38" s="6" t="s">
        <v>75</v>
      </c>
      <c r="AD38" s="6" t="s">
        <v>75</v>
      </c>
      <c r="AE38" s="6" t="s">
        <v>75</v>
      </c>
      <c r="AF38" s="6" t="s">
        <v>75</v>
      </c>
      <c r="AG38" s="6" t="s">
        <v>75</v>
      </c>
      <c r="AH38" s="6" t="s">
        <v>79</v>
      </c>
      <c r="AI38" s="6" t="s">
        <v>79</v>
      </c>
      <c r="AJ38" s="6" t="s">
        <v>79</v>
      </c>
      <c r="AK38" s="6" t="s">
        <v>79</v>
      </c>
      <c r="AL38" s="6" t="s">
        <v>67</v>
      </c>
      <c r="AM38" s="6" t="s">
        <v>408</v>
      </c>
      <c r="AN38" s="7" t="str">
        <f aca="false">BA38&amp;", "&amp;AZ38</f>
        <v>Aadhaar Authentication History Check, Aadhaar Centre, Devmobile Stores, आधार ऑथेंटिकेशन हिस्ट्री जाँच, आधार सेंटर, सेवा</v>
      </c>
      <c r="AO38" s="6" t="s">
        <v>529</v>
      </c>
      <c r="AP38" s="5" t="s">
        <v>415</v>
      </c>
      <c r="AQ38" s="5" t="n">
        <v>350</v>
      </c>
      <c r="AR38" s="6" t="s">
        <v>374</v>
      </c>
      <c r="AS38" s="6" t="s">
        <v>375</v>
      </c>
      <c r="AT38" s="6" t="s">
        <v>86</v>
      </c>
      <c r="AU38" s="10"/>
      <c r="AV38" s="6" t="s">
        <v>75</v>
      </c>
      <c r="AW38" s="6"/>
      <c r="AX38" s="6" t="s">
        <v>530</v>
      </c>
      <c r="AY38" s="6" t="s">
        <v>531</v>
      </c>
      <c r="AZ38" s="6" t="s">
        <v>532</v>
      </c>
      <c r="BA38" s="6" t="s">
        <v>533</v>
      </c>
      <c r="BB38" s="6"/>
      <c r="BC38" s="11" t="str">
        <f aca="false">IFERROR(INDEX(CATEGORY_MASTER!$C$4:$C$30,MATCH(B38,CATEGORY_MASTER!$A$4:$A$30,0)),"")</f>
        <v>🪪</v>
      </c>
      <c r="BD38" s="7" t="str">
        <f aca="false">"/services/"&amp;AO38</f>
        <v>/services/aadhaar-authentication-history-check</v>
      </c>
      <c r="BE38" s="7" t="str">
        <f aca="false">IF(AND(AH38="Yes",AG38="Active",I38&lt;&gt;"Not Available"),"LIVE","HIDDEN")</f>
        <v>HIDDEN</v>
      </c>
      <c r="BF38" s="6" t="s">
        <v>139</v>
      </c>
      <c r="BG38" s="6" t="s">
        <v>93</v>
      </c>
      <c r="BH38" s="7" t="str">
        <f aca="false">B38&amp;"|"&amp;COUNTIF($B$4:B38,B38)</f>
        <v>Aadhaar Centre|35</v>
      </c>
      <c r="BI38" s="7" t="str">
        <f aca="false">IF(AND(AI38="Yes",BE38="LIVE"),COUNTIFS($AI$4:AI38,"Yes",$BE$4:BE38,"LIVE"),"")</f>
        <v/>
      </c>
      <c r="BJ38" s="7" t="str">
        <f aca="false">IF(AND(AJ38="Yes",BE38="LIVE"),COUNTIFS($AJ$4:AJ38,"Yes",$BE$4:BE38,"LIVE"),"")</f>
        <v/>
      </c>
      <c r="BK38" s="7" t="str">
        <f aca="false">IF(AND(AK38="Yes",BE38="LIVE"),COUNTIFS($AK$4:AK38,"Yes",$BE$4:BE38,"LIVE"),"")</f>
        <v/>
      </c>
      <c r="BL38" s="7" t="str">
        <f aca="false">IF(I38="To Verify",COUNTIF($I$4:I38,"To Verify"),"")</f>
        <v/>
      </c>
    </row>
    <row r="39" customFormat="false" ht="91" hidden="false" customHeight="false" outlineLevel="0" collapsed="false">
      <c r="A39" s="5" t="s">
        <v>534</v>
      </c>
      <c r="B39" s="6" t="s">
        <v>67</v>
      </c>
      <c r="C39" s="6" t="s">
        <v>68</v>
      </c>
      <c r="D39" s="6" t="s">
        <v>408</v>
      </c>
      <c r="E39" s="6" t="s">
        <v>535</v>
      </c>
      <c r="F39" s="6" t="s">
        <v>536</v>
      </c>
      <c r="G39" s="6" t="s">
        <v>537</v>
      </c>
      <c r="H39" s="6" t="s">
        <v>538</v>
      </c>
      <c r="I39" s="5" t="s">
        <v>221</v>
      </c>
      <c r="J39" s="7" t="str">
        <f aca="false">IFERROR(INDEX(AVAILABILITY_MASTER!$C$4:$C$10,MATCH(I39,AVAILABILITY_MASTER!$A$4:$A$10,0)),"To Be Confirmed")</f>
        <v>Depends on Portal – Confirm at Shop</v>
      </c>
      <c r="K39" s="6" t="s">
        <v>129</v>
      </c>
      <c r="L39" s="6" t="s">
        <v>221</v>
      </c>
      <c r="M39" s="7" t="str">
        <f aca="false">IFERROR(INDEX(SERVICE_DOCUMENTS!$S$4:$S$1000,MATCH(A39,SERVICE_DOCUMENTS!$A$4:$A$1000,0))&amp;"","")</f>
        <v>✓ Aadhaar Card
✓ Aadhaar-Linked Mobile Number</v>
      </c>
      <c r="N39" s="7" t="str">
        <f aca="false">IFERROR(INDEX(SERVICE_DOCUMENTS!$T$4:$T$1000,MATCH(A39,SERVICE_DOCUMENTS!$A$4:$A$1000,0))&amp;"","")</f>
        <v/>
      </c>
      <c r="O39" s="6" t="s">
        <v>369</v>
      </c>
      <c r="P39" s="6" t="s">
        <v>539</v>
      </c>
      <c r="Q39" s="6" t="s">
        <v>371</v>
      </c>
      <c r="R39" s="8" t="s">
        <v>75</v>
      </c>
      <c r="S39" s="8" t="s">
        <v>75</v>
      </c>
      <c r="T39" s="9" t="str">
        <f aca="false">IF(AND(OR(ISNUMBER(R39),R39="N/A"),OR(ISNUMBER(S39),S39="N/A"),OR(ISNUMBER(R39),ISNUMBER(S39))),N(R39)+N(S39),"To Verify")</f>
        <v>To Verify</v>
      </c>
      <c r="U39" s="6" t="s">
        <v>75</v>
      </c>
      <c r="V39" s="6" t="s">
        <v>79</v>
      </c>
      <c r="W39" s="6" t="s">
        <v>80</v>
      </c>
      <c r="X39" s="6" t="s">
        <v>221</v>
      </c>
      <c r="Y39" s="6" t="s">
        <v>74</v>
      </c>
      <c r="Z39" s="6" t="s">
        <v>372</v>
      </c>
      <c r="AA39" s="6" t="s">
        <v>129</v>
      </c>
      <c r="AB39" s="6" t="s">
        <v>74</v>
      </c>
      <c r="AC39" s="6" t="s">
        <v>75</v>
      </c>
      <c r="AD39" s="6" t="s">
        <v>75</v>
      </c>
      <c r="AE39" s="6" t="s">
        <v>75</v>
      </c>
      <c r="AF39" s="6" t="s">
        <v>75</v>
      </c>
      <c r="AG39" s="6" t="s">
        <v>75</v>
      </c>
      <c r="AH39" s="6" t="s">
        <v>79</v>
      </c>
      <c r="AI39" s="6" t="s">
        <v>79</v>
      </c>
      <c r="AJ39" s="6" t="s">
        <v>79</v>
      </c>
      <c r="AK39" s="6" t="s">
        <v>79</v>
      </c>
      <c r="AL39" s="6" t="s">
        <v>67</v>
      </c>
      <c r="AM39" s="6" t="s">
        <v>408</v>
      </c>
      <c r="AN39" s="7" t="str">
        <f aca="false">BA39&amp;", "&amp;AZ39</f>
        <v>Aadhaar Mobile / Email Link Check, Aadhaar Centre, Devmobile Stores, आधार मोबाइल / ईमेल लिंक जाँच, आधार सेंटर, सेवा</v>
      </c>
      <c r="AO39" s="6" t="s">
        <v>540</v>
      </c>
      <c r="AP39" s="5" t="s">
        <v>415</v>
      </c>
      <c r="AQ39" s="5" t="n">
        <v>360</v>
      </c>
      <c r="AR39" s="6" t="s">
        <v>374</v>
      </c>
      <c r="AS39" s="6" t="s">
        <v>375</v>
      </c>
      <c r="AT39" s="6" t="s">
        <v>86</v>
      </c>
      <c r="AU39" s="10"/>
      <c r="AV39" s="6" t="s">
        <v>75</v>
      </c>
      <c r="AW39" s="6"/>
      <c r="AX39" s="6" t="s">
        <v>541</v>
      </c>
      <c r="AY39" s="6" t="s">
        <v>542</v>
      </c>
      <c r="AZ39" s="6" t="s">
        <v>543</v>
      </c>
      <c r="BA39" s="6" t="s">
        <v>544</v>
      </c>
      <c r="BB39" s="6"/>
      <c r="BC39" s="11" t="str">
        <f aca="false">IFERROR(INDEX(CATEGORY_MASTER!$C$4:$C$30,MATCH(B39,CATEGORY_MASTER!$A$4:$A$30,0)),"")</f>
        <v>🪪</v>
      </c>
      <c r="BD39" s="7" t="str">
        <f aca="false">"/services/"&amp;AO39</f>
        <v>/services/aadhaar-mobile-email-link-check</v>
      </c>
      <c r="BE39" s="7" t="str">
        <f aca="false">IF(AND(AH39="Yes",AG39="Active",I39&lt;&gt;"Not Available"),"LIVE","HIDDEN")</f>
        <v>HIDDEN</v>
      </c>
      <c r="BF39" s="6" t="s">
        <v>139</v>
      </c>
      <c r="BG39" s="6" t="s">
        <v>93</v>
      </c>
      <c r="BH39" s="7" t="str">
        <f aca="false">B39&amp;"|"&amp;COUNTIF($B$4:B39,B39)</f>
        <v>Aadhaar Centre|36</v>
      </c>
      <c r="BI39" s="7" t="str">
        <f aca="false">IF(AND(AI39="Yes",BE39="LIVE"),COUNTIFS($AI$4:AI39,"Yes",$BE$4:BE39,"LIVE"),"")</f>
        <v/>
      </c>
      <c r="BJ39" s="7" t="str">
        <f aca="false">IF(AND(AJ39="Yes",BE39="LIVE"),COUNTIFS($AJ$4:AJ39,"Yes",$BE$4:BE39,"LIVE"),"")</f>
        <v/>
      </c>
      <c r="BK39" s="7" t="str">
        <f aca="false">IF(AND(AK39="Yes",BE39="LIVE"),COUNTIFS($AK$4:AK39,"Yes",$BE$4:BE39,"LIVE"),"")</f>
        <v/>
      </c>
      <c r="BL39" s="7" t="str">
        <f aca="false">IF(I39="To Verify",COUNTIF($I$4:I39,"To Verify"),"")</f>
        <v/>
      </c>
    </row>
    <row r="40" customFormat="false" ht="91" hidden="false" customHeight="false" outlineLevel="0" collapsed="false">
      <c r="A40" s="5" t="s">
        <v>545</v>
      </c>
      <c r="B40" s="6" t="s">
        <v>67</v>
      </c>
      <c r="C40" s="6" t="s">
        <v>68</v>
      </c>
      <c r="D40" s="6" t="s">
        <v>408</v>
      </c>
      <c r="E40" s="6" t="s">
        <v>546</v>
      </c>
      <c r="F40" s="6" t="s">
        <v>547</v>
      </c>
      <c r="G40" s="6" t="s">
        <v>548</v>
      </c>
      <c r="H40" s="6" t="s">
        <v>549</v>
      </c>
      <c r="I40" s="5" t="s">
        <v>221</v>
      </c>
      <c r="J40" s="7" t="str">
        <f aca="false">IFERROR(INDEX(AVAILABILITY_MASTER!$C$4:$C$10,MATCH(I40,AVAILABILITY_MASTER!$A$4:$A$10,0)),"To Be Confirmed")</f>
        <v>Depends on Portal – Confirm at Shop</v>
      </c>
      <c r="K40" s="6" t="s">
        <v>129</v>
      </c>
      <c r="L40" s="6" t="s">
        <v>221</v>
      </c>
      <c r="M40" s="7" t="str">
        <f aca="false">IFERROR(INDEX(SERVICE_DOCUMENTS!$S$4:$S$1000,MATCH(A40,SERVICE_DOCUMENTS!$A$4:$A$1000,0))&amp;"","")</f>
        <v>✓ Aadhaar Card
✓ Aadhaar-Linked Mobile Number</v>
      </c>
      <c r="N40" s="7" t="str">
        <f aca="false">IFERROR(INDEX(SERVICE_DOCUMENTS!$T$4:$T$1000,MATCH(A40,SERVICE_DOCUMENTS!$A$4:$A$1000,0))&amp;"","")</f>
        <v/>
      </c>
      <c r="O40" s="6" t="s">
        <v>369</v>
      </c>
      <c r="P40" s="6" t="s">
        <v>550</v>
      </c>
      <c r="Q40" s="6" t="s">
        <v>371</v>
      </c>
      <c r="R40" s="8" t="s">
        <v>75</v>
      </c>
      <c r="S40" s="8" t="s">
        <v>75</v>
      </c>
      <c r="T40" s="9" t="str">
        <f aca="false">IF(AND(OR(ISNUMBER(R40),R40="N/A"),OR(ISNUMBER(S40),S40="N/A"),OR(ISNUMBER(R40),ISNUMBER(S40))),N(R40)+N(S40),"To Verify")</f>
        <v>To Verify</v>
      </c>
      <c r="U40" s="6" t="s">
        <v>75</v>
      </c>
      <c r="V40" s="6" t="s">
        <v>79</v>
      </c>
      <c r="W40" s="6" t="s">
        <v>80</v>
      </c>
      <c r="X40" s="6" t="s">
        <v>221</v>
      </c>
      <c r="Y40" s="6" t="s">
        <v>74</v>
      </c>
      <c r="Z40" s="6" t="s">
        <v>372</v>
      </c>
      <c r="AA40" s="6" t="s">
        <v>129</v>
      </c>
      <c r="AB40" s="6" t="s">
        <v>74</v>
      </c>
      <c r="AC40" s="6" t="s">
        <v>75</v>
      </c>
      <c r="AD40" s="6" t="s">
        <v>75</v>
      </c>
      <c r="AE40" s="6" t="s">
        <v>75</v>
      </c>
      <c r="AF40" s="6" t="s">
        <v>75</v>
      </c>
      <c r="AG40" s="6" t="s">
        <v>75</v>
      </c>
      <c r="AH40" s="6" t="s">
        <v>79</v>
      </c>
      <c r="AI40" s="6" t="s">
        <v>79</v>
      </c>
      <c r="AJ40" s="6" t="s">
        <v>79</v>
      </c>
      <c r="AK40" s="6" t="s">
        <v>79</v>
      </c>
      <c r="AL40" s="6" t="s">
        <v>67</v>
      </c>
      <c r="AM40" s="6" t="s">
        <v>408</v>
      </c>
      <c r="AN40" s="7" t="str">
        <f aca="false">BA40&amp;", "&amp;AZ40</f>
        <v>Aadhaar Number Verification, Aadhaar Centre, Devmobile Stores, आधार नंबर सत्यापन, आधार सेंटर, सेवा</v>
      </c>
      <c r="AO40" s="6" t="s">
        <v>551</v>
      </c>
      <c r="AP40" s="5" t="s">
        <v>415</v>
      </c>
      <c r="AQ40" s="5" t="n">
        <v>370</v>
      </c>
      <c r="AR40" s="6" t="s">
        <v>374</v>
      </c>
      <c r="AS40" s="6" t="s">
        <v>375</v>
      </c>
      <c r="AT40" s="6" t="s">
        <v>86</v>
      </c>
      <c r="AU40" s="10"/>
      <c r="AV40" s="6" t="s">
        <v>75</v>
      </c>
      <c r="AW40" s="6"/>
      <c r="AX40" s="6" t="s">
        <v>552</v>
      </c>
      <c r="AY40" s="6" t="s">
        <v>553</v>
      </c>
      <c r="AZ40" s="6" t="s">
        <v>554</v>
      </c>
      <c r="BA40" s="6" t="s">
        <v>555</v>
      </c>
      <c r="BB40" s="6"/>
      <c r="BC40" s="11" t="str">
        <f aca="false">IFERROR(INDEX(CATEGORY_MASTER!$C$4:$C$30,MATCH(B40,CATEGORY_MASTER!$A$4:$A$30,0)),"")</f>
        <v>🪪</v>
      </c>
      <c r="BD40" s="7" t="str">
        <f aca="false">"/services/"&amp;AO40</f>
        <v>/services/aadhaar-number-verification</v>
      </c>
      <c r="BE40" s="7" t="str">
        <f aca="false">IF(AND(AH40="Yes",AG40="Active",I40&lt;&gt;"Not Available"),"LIVE","HIDDEN")</f>
        <v>HIDDEN</v>
      </c>
      <c r="BF40" s="6" t="s">
        <v>139</v>
      </c>
      <c r="BG40" s="6" t="s">
        <v>93</v>
      </c>
      <c r="BH40" s="7" t="str">
        <f aca="false">B40&amp;"|"&amp;COUNTIF($B$4:B40,B40)</f>
        <v>Aadhaar Centre|37</v>
      </c>
      <c r="BI40" s="7" t="str">
        <f aca="false">IF(AND(AI40="Yes",BE40="LIVE"),COUNTIFS($AI$4:AI40,"Yes",$BE$4:BE40,"LIVE"),"")</f>
        <v/>
      </c>
      <c r="BJ40" s="7" t="str">
        <f aca="false">IF(AND(AJ40="Yes",BE40="LIVE"),COUNTIFS($AJ$4:AJ40,"Yes",$BE$4:BE40,"LIVE"),"")</f>
        <v/>
      </c>
      <c r="BK40" s="7" t="str">
        <f aca="false">IF(AND(AK40="Yes",BE40="LIVE"),COUNTIFS($AK$4:AK40,"Yes",$BE$4:BE40,"LIVE"),"")</f>
        <v/>
      </c>
      <c r="BL40" s="7" t="str">
        <f aca="false">IF(I40="To Verify",COUNTIF($I$4:I40,"To Verify"),"")</f>
        <v/>
      </c>
    </row>
    <row r="41" customFormat="false" ht="91" hidden="false" customHeight="false" outlineLevel="0" collapsed="false">
      <c r="A41" s="5" t="s">
        <v>556</v>
      </c>
      <c r="B41" s="6" t="s">
        <v>67</v>
      </c>
      <c r="C41" s="6" t="s">
        <v>68</v>
      </c>
      <c r="D41" s="6" t="s">
        <v>408</v>
      </c>
      <c r="E41" s="6" t="s">
        <v>557</v>
      </c>
      <c r="F41" s="6" t="s">
        <v>558</v>
      </c>
      <c r="G41" s="6" t="s">
        <v>559</v>
      </c>
      <c r="H41" s="6" t="s">
        <v>560</v>
      </c>
      <c r="I41" s="5" t="s">
        <v>221</v>
      </c>
      <c r="J41" s="7" t="str">
        <f aca="false">IFERROR(INDEX(AVAILABILITY_MASTER!$C$4:$C$10,MATCH(I41,AVAILABILITY_MASTER!$A$4:$A$10,0)),"To Be Confirmed")</f>
        <v>Depends on Portal – Confirm at Shop</v>
      </c>
      <c r="K41" s="6" t="s">
        <v>129</v>
      </c>
      <c r="L41" s="6" t="s">
        <v>221</v>
      </c>
      <c r="M41" s="7" t="str">
        <f aca="false">IFERROR(INDEX(SERVICE_DOCUMENTS!$S$4:$S$1000,MATCH(A41,SERVICE_DOCUMENTS!$A$4:$A$1000,0))&amp;"","")</f>
        <v>✓ Aadhaar Card
✓ Aadhaar-Linked Mobile Number</v>
      </c>
      <c r="N41" s="7" t="str">
        <f aca="false">IFERROR(INDEX(SERVICE_DOCUMENTS!$T$4:$T$1000,MATCH(A41,SERVICE_DOCUMENTS!$A$4:$A$1000,0))&amp;"","")</f>
        <v/>
      </c>
      <c r="O41" s="6" t="s">
        <v>369</v>
      </c>
      <c r="P41" s="6" t="s">
        <v>561</v>
      </c>
      <c r="Q41" s="6" t="s">
        <v>371</v>
      </c>
      <c r="R41" s="8" t="s">
        <v>75</v>
      </c>
      <c r="S41" s="8" t="s">
        <v>75</v>
      </c>
      <c r="T41" s="9" t="str">
        <f aca="false">IF(AND(OR(ISNUMBER(R41),R41="N/A"),OR(ISNUMBER(S41),S41="N/A"),OR(ISNUMBER(R41),ISNUMBER(S41))),N(R41)+N(S41),"To Verify")</f>
        <v>To Verify</v>
      </c>
      <c r="U41" s="6" t="s">
        <v>75</v>
      </c>
      <c r="V41" s="6" t="s">
        <v>79</v>
      </c>
      <c r="W41" s="6" t="s">
        <v>80</v>
      </c>
      <c r="X41" s="6" t="s">
        <v>221</v>
      </c>
      <c r="Y41" s="6" t="s">
        <v>74</v>
      </c>
      <c r="Z41" s="6" t="s">
        <v>372</v>
      </c>
      <c r="AA41" s="6" t="s">
        <v>129</v>
      </c>
      <c r="AB41" s="6" t="s">
        <v>74</v>
      </c>
      <c r="AC41" s="6" t="s">
        <v>75</v>
      </c>
      <c r="AD41" s="6" t="s">
        <v>75</v>
      </c>
      <c r="AE41" s="6" t="s">
        <v>75</v>
      </c>
      <c r="AF41" s="6" t="s">
        <v>75</v>
      </c>
      <c r="AG41" s="6" t="s">
        <v>75</v>
      </c>
      <c r="AH41" s="6" t="s">
        <v>79</v>
      </c>
      <c r="AI41" s="6" t="s">
        <v>79</v>
      </c>
      <c r="AJ41" s="6" t="s">
        <v>79</v>
      </c>
      <c r="AK41" s="6" t="s">
        <v>79</v>
      </c>
      <c r="AL41" s="6" t="s">
        <v>67</v>
      </c>
      <c r="AM41" s="6" t="s">
        <v>408</v>
      </c>
      <c r="AN41" s="7" t="str">
        <f aca="false">BA41&amp;", "&amp;AZ41</f>
        <v>Aadhaar Offline eKYC (XML / QR) Download Assistance, Aadhaar Centre, Devmobile Stores, आधार Offline eKYC (XML / QR) डाउनलोड सहायता, आधार सेंटर, सेवा</v>
      </c>
      <c r="AO41" s="6" t="s">
        <v>562</v>
      </c>
      <c r="AP41" s="5" t="s">
        <v>415</v>
      </c>
      <c r="AQ41" s="5" t="n">
        <v>380</v>
      </c>
      <c r="AR41" s="6" t="s">
        <v>374</v>
      </c>
      <c r="AS41" s="6" t="s">
        <v>375</v>
      </c>
      <c r="AT41" s="6" t="s">
        <v>86</v>
      </c>
      <c r="AU41" s="10"/>
      <c r="AV41" s="6" t="s">
        <v>75</v>
      </c>
      <c r="AW41" s="6"/>
      <c r="AX41" s="6" t="s">
        <v>563</v>
      </c>
      <c r="AY41" s="6" t="s">
        <v>564</v>
      </c>
      <c r="AZ41" s="6" t="s">
        <v>565</v>
      </c>
      <c r="BA41" s="6" t="s">
        <v>566</v>
      </c>
      <c r="BB41" s="6"/>
      <c r="BC41" s="11" t="str">
        <f aca="false">IFERROR(INDEX(CATEGORY_MASTER!$C$4:$C$30,MATCH(B41,CATEGORY_MASTER!$A$4:$A$30,0)),"")</f>
        <v>🪪</v>
      </c>
      <c r="BD41" s="7" t="str">
        <f aca="false">"/services/"&amp;AO41</f>
        <v>/services/aadhaar-offline-ekyc-xml-qr-download-assistance</v>
      </c>
      <c r="BE41" s="7" t="str">
        <f aca="false">IF(AND(AH41="Yes",AG41="Active",I41&lt;&gt;"Not Available"),"LIVE","HIDDEN")</f>
        <v>HIDDEN</v>
      </c>
      <c r="BF41" s="6" t="s">
        <v>139</v>
      </c>
      <c r="BG41" s="6" t="s">
        <v>93</v>
      </c>
      <c r="BH41" s="7" t="str">
        <f aca="false">B41&amp;"|"&amp;COUNTIF($B$4:B41,B41)</f>
        <v>Aadhaar Centre|38</v>
      </c>
      <c r="BI41" s="7" t="str">
        <f aca="false">IF(AND(AI41="Yes",BE41="LIVE"),COUNTIFS($AI$4:AI41,"Yes",$BE$4:BE41,"LIVE"),"")</f>
        <v/>
      </c>
      <c r="BJ41" s="7" t="str">
        <f aca="false">IF(AND(AJ41="Yes",BE41="LIVE"),COUNTIFS($AJ$4:AJ41,"Yes",$BE$4:BE41,"LIVE"),"")</f>
        <v/>
      </c>
      <c r="BK41" s="7" t="str">
        <f aca="false">IF(AND(AK41="Yes",BE41="LIVE"),COUNTIFS($AK$4:AK41,"Yes",$BE$4:BE41,"LIVE"),"")</f>
        <v/>
      </c>
      <c r="BL41" s="7" t="str">
        <f aca="false">IF(I41="To Verify",COUNTIF($I$4:I41,"To Verify"),"")</f>
        <v/>
      </c>
    </row>
    <row r="42" customFormat="false" ht="68.65" hidden="false" customHeight="false" outlineLevel="0" collapsed="false">
      <c r="A42" s="5" t="s">
        <v>567</v>
      </c>
      <c r="B42" s="6" t="s">
        <v>67</v>
      </c>
      <c r="C42" s="6" t="s">
        <v>68</v>
      </c>
      <c r="D42" s="6" t="s">
        <v>408</v>
      </c>
      <c r="E42" s="6" t="s">
        <v>568</v>
      </c>
      <c r="F42" s="6" t="s">
        <v>569</v>
      </c>
      <c r="G42" s="6" t="s">
        <v>570</v>
      </c>
      <c r="H42" s="6" t="s">
        <v>571</v>
      </c>
      <c r="I42" s="5" t="s">
        <v>221</v>
      </c>
      <c r="J42" s="7" t="str">
        <f aca="false">IFERROR(INDEX(AVAILABILITY_MASTER!$C$4:$C$10,MATCH(I42,AVAILABILITY_MASTER!$A$4:$A$10,0)),"To Be Confirmed")</f>
        <v>Depends on Portal – Confirm at Shop</v>
      </c>
      <c r="K42" s="6" t="s">
        <v>129</v>
      </c>
      <c r="L42" s="6" t="s">
        <v>221</v>
      </c>
      <c r="M42" s="7" t="str">
        <f aca="false">IFERROR(INDEX(SERVICE_DOCUMENTS!$S$4:$S$1000,MATCH(A42,SERVICE_DOCUMENTS!$A$4:$A$1000,0))&amp;"","")</f>
        <v>✓ Enrolment / Acknowledgement Number</v>
      </c>
      <c r="N42" s="7" t="str">
        <f aca="false">IFERROR(INDEX(SERVICE_DOCUMENTS!$T$4:$T$1000,MATCH(A42,SERVICE_DOCUMENTS!$A$4:$A$1000,0))&amp;"","")</f>
        <v>• Aadhaar-Linked Mobile Number (If Applicable)</v>
      </c>
      <c r="O42" s="6" t="s">
        <v>470</v>
      </c>
      <c r="P42" s="6" t="s">
        <v>471</v>
      </c>
      <c r="Q42" s="6" t="s">
        <v>440</v>
      </c>
      <c r="R42" s="8" t="s">
        <v>75</v>
      </c>
      <c r="S42" s="8" t="s">
        <v>75</v>
      </c>
      <c r="T42" s="9" t="str">
        <f aca="false">IF(AND(OR(ISNUMBER(R42),R42="N/A"),OR(ISNUMBER(S42),S42="N/A"),OR(ISNUMBER(R42),ISNUMBER(S42))),N(R42)+N(S42),"To Verify")</f>
        <v>To Verify</v>
      </c>
      <c r="U42" s="6" t="s">
        <v>75</v>
      </c>
      <c r="V42" s="6" t="s">
        <v>79</v>
      </c>
      <c r="W42" s="6" t="s">
        <v>80</v>
      </c>
      <c r="X42" s="6" t="s">
        <v>221</v>
      </c>
      <c r="Y42" s="6" t="s">
        <v>74</v>
      </c>
      <c r="Z42" s="6" t="s">
        <v>472</v>
      </c>
      <c r="AA42" s="6" t="s">
        <v>129</v>
      </c>
      <c r="AB42" s="6" t="s">
        <v>74</v>
      </c>
      <c r="AC42" s="6" t="s">
        <v>75</v>
      </c>
      <c r="AD42" s="6" t="s">
        <v>75</v>
      </c>
      <c r="AE42" s="6" t="s">
        <v>75</v>
      </c>
      <c r="AF42" s="6" t="s">
        <v>75</v>
      </c>
      <c r="AG42" s="6" t="s">
        <v>75</v>
      </c>
      <c r="AH42" s="6" t="s">
        <v>79</v>
      </c>
      <c r="AI42" s="6" t="s">
        <v>79</v>
      </c>
      <c r="AJ42" s="6" t="s">
        <v>79</v>
      </c>
      <c r="AK42" s="6" t="s">
        <v>79</v>
      </c>
      <c r="AL42" s="6" t="s">
        <v>67</v>
      </c>
      <c r="AM42" s="6" t="s">
        <v>408</v>
      </c>
      <c r="AN42" s="7" t="str">
        <f aca="false">BA42&amp;", "&amp;AZ42</f>
        <v>Aadhaar–Bank Seeding Status Check (NPCI), Aadhaar Centre, Devmobile Stores, आधार–बैंक सीडिंग स्थिति जाँच (NPCI), आधार सेंटर, सेवा</v>
      </c>
      <c r="AO42" s="6" t="s">
        <v>572</v>
      </c>
      <c r="AP42" s="5" t="s">
        <v>415</v>
      </c>
      <c r="AQ42" s="5" t="n">
        <v>390</v>
      </c>
      <c r="AR42" s="6" t="s">
        <v>133</v>
      </c>
      <c r="AS42" s="6" t="s">
        <v>474</v>
      </c>
      <c r="AT42" s="6" t="s">
        <v>86</v>
      </c>
      <c r="AU42" s="10"/>
      <c r="AV42" s="6" t="s">
        <v>75</v>
      </c>
      <c r="AW42" s="6"/>
      <c r="AX42" s="6" t="s">
        <v>573</v>
      </c>
      <c r="AY42" s="6" t="s">
        <v>574</v>
      </c>
      <c r="AZ42" s="6" t="s">
        <v>575</v>
      </c>
      <c r="BA42" s="6" t="s">
        <v>576</v>
      </c>
      <c r="BB42" s="6"/>
      <c r="BC42" s="11" t="str">
        <f aca="false">IFERROR(INDEX(CATEGORY_MASTER!$C$4:$C$30,MATCH(B42,CATEGORY_MASTER!$A$4:$A$30,0)),"")</f>
        <v>🪪</v>
      </c>
      <c r="BD42" s="7" t="str">
        <f aca="false">"/services/"&amp;AO42</f>
        <v>/services/aadhaar-bank-seeding-status-check-npci</v>
      </c>
      <c r="BE42" s="7" t="str">
        <f aca="false">IF(AND(AH42="Yes",AG42="Active",I42&lt;&gt;"Not Available"),"LIVE","HIDDEN")</f>
        <v>HIDDEN</v>
      </c>
      <c r="BF42" s="6" t="s">
        <v>139</v>
      </c>
      <c r="BG42" s="6" t="s">
        <v>93</v>
      </c>
      <c r="BH42" s="7" t="str">
        <f aca="false">B42&amp;"|"&amp;COUNTIF($B$4:B42,B42)</f>
        <v>Aadhaar Centre|39</v>
      </c>
      <c r="BI42" s="7" t="str">
        <f aca="false">IF(AND(AI42="Yes",BE42="LIVE"),COUNTIFS($AI$4:AI42,"Yes",$BE$4:BE42,"LIVE"),"")</f>
        <v/>
      </c>
      <c r="BJ42" s="7" t="str">
        <f aca="false">IF(AND(AJ42="Yes",BE42="LIVE"),COUNTIFS($AJ$4:AJ42,"Yes",$BE$4:BE42,"LIVE"),"")</f>
        <v/>
      </c>
      <c r="BK42" s="7" t="str">
        <f aca="false">IF(AND(AK42="Yes",BE42="LIVE"),COUNTIFS($AK$4:AK42,"Yes",$BE$4:BE42,"LIVE"),"")</f>
        <v/>
      </c>
      <c r="BL42" s="7" t="str">
        <f aca="false">IF(I42="To Verify",COUNTIF($I$4:I42,"To Verify"),"")</f>
        <v/>
      </c>
    </row>
    <row r="43" customFormat="false" ht="91" hidden="false" customHeight="false" outlineLevel="0" collapsed="false">
      <c r="A43" s="5" t="s">
        <v>577</v>
      </c>
      <c r="B43" s="6" t="s">
        <v>67</v>
      </c>
      <c r="C43" s="6" t="s">
        <v>68</v>
      </c>
      <c r="D43" s="6" t="s">
        <v>408</v>
      </c>
      <c r="E43" s="6" t="s">
        <v>578</v>
      </c>
      <c r="F43" s="6" t="s">
        <v>579</v>
      </c>
      <c r="G43" s="6" t="s">
        <v>580</v>
      </c>
      <c r="H43" s="6" t="s">
        <v>581</v>
      </c>
      <c r="I43" s="5" t="s">
        <v>221</v>
      </c>
      <c r="J43" s="7" t="str">
        <f aca="false">IFERROR(INDEX(AVAILABILITY_MASTER!$C$4:$C$10,MATCH(I43,AVAILABILITY_MASTER!$A$4:$A$10,0)),"To Be Confirmed")</f>
        <v>Depends on Portal – Confirm at Shop</v>
      </c>
      <c r="K43" s="6" t="s">
        <v>129</v>
      </c>
      <c r="L43" s="6" t="s">
        <v>221</v>
      </c>
      <c r="M43" s="7" t="str">
        <f aca="false">IFERROR(INDEX(SERVICE_DOCUMENTS!$S$4:$S$1000,MATCH(A43,SERVICE_DOCUMENTS!$A$4:$A$1000,0))&amp;"","")</f>
        <v>✓ Aadhaar Card
✓ Aadhaar-Linked Mobile Number</v>
      </c>
      <c r="N43" s="7" t="str">
        <f aca="false">IFERROR(INDEX(SERVICE_DOCUMENTS!$T$4:$T$1000,MATCH(A43,SERVICE_DOCUMENTS!$A$4:$A$1000,0))&amp;"","")</f>
        <v/>
      </c>
      <c r="O43" s="6" t="s">
        <v>369</v>
      </c>
      <c r="P43" s="6" t="s">
        <v>582</v>
      </c>
      <c r="Q43" s="6" t="s">
        <v>371</v>
      </c>
      <c r="R43" s="8" t="s">
        <v>75</v>
      </c>
      <c r="S43" s="8" t="s">
        <v>75</v>
      </c>
      <c r="T43" s="9" t="str">
        <f aca="false">IF(AND(OR(ISNUMBER(R43),R43="N/A"),OR(ISNUMBER(S43),S43="N/A"),OR(ISNUMBER(R43),ISNUMBER(S43))),N(R43)+N(S43),"To Verify")</f>
        <v>To Verify</v>
      </c>
      <c r="U43" s="6" t="s">
        <v>75</v>
      </c>
      <c r="V43" s="6" t="s">
        <v>79</v>
      </c>
      <c r="W43" s="6" t="s">
        <v>80</v>
      </c>
      <c r="X43" s="6" t="s">
        <v>221</v>
      </c>
      <c r="Y43" s="6" t="s">
        <v>74</v>
      </c>
      <c r="Z43" s="6" t="s">
        <v>372</v>
      </c>
      <c r="AA43" s="6" t="s">
        <v>129</v>
      </c>
      <c r="AB43" s="6" t="s">
        <v>74</v>
      </c>
      <c r="AC43" s="6" t="s">
        <v>75</v>
      </c>
      <c r="AD43" s="6" t="s">
        <v>75</v>
      </c>
      <c r="AE43" s="6" t="s">
        <v>75</v>
      </c>
      <c r="AF43" s="6" t="s">
        <v>75</v>
      </c>
      <c r="AG43" s="6" t="s">
        <v>75</v>
      </c>
      <c r="AH43" s="6" t="s">
        <v>79</v>
      </c>
      <c r="AI43" s="6" t="s">
        <v>79</v>
      </c>
      <c r="AJ43" s="6" t="s">
        <v>79</v>
      </c>
      <c r="AK43" s="6" t="s">
        <v>79</v>
      </c>
      <c r="AL43" s="6" t="s">
        <v>67</v>
      </c>
      <c r="AM43" s="6" t="s">
        <v>408</v>
      </c>
      <c r="AN43" s="7" t="str">
        <f aca="false">BA43&amp;", "&amp;AZ43</f>
        <v>Aadhaar Update Appointment Booking Assistance, Aadhaar Centre, Devmobile Stores, आधार अपडेट अपॉइंटमेंट बुकिंग सहायता, आधार सेंटर, सेवा</v>
      </c>
      <c r="AO43" s="6" t="s">
        <v>583</v>
      </c>
      <c r="AP43" s="5" t="s">
        <v>415</v>
      </c>
      <c r="AQ43" s="5" t="n">
        <v>400</v>
      </c>
      <c r="AR43" s="6" t="s">
        <v>374</v>
      </c>
      <c r="AS43" s="6" t="s">
        <v>375</v>
      </c>
      <c r="AT43" s="6" t="s">
        <v>86</v>
      </c>
      <c r="AU43" s="10"/>
      <c r="AV43" s="6" t="s">
        <v>75</v>
      </c>
      <c r="AW43" s="6"/>
      <c r="AX43" s="6" t="s">
        <v>584</v>
      </c>
      <c r="AY43" s="6" t="s">
        <v>585</v>
      </c>
      <c r="AZ43" s="6" t="s">
        <v>586</v>
      </c>
      <c r="BA43" s="6" t="s">
        <v>587</v>
      </c>
      <c r="BB43" s="6"/>
      <c r="BC43" s="11" t="str">
        <f aca="false">IFERROR(INDEX(CATEGORY_MASTER!$C$4:$C$30,MATCH(B43,CATEGORY_MASTER!$A$4:$A$30,0)),"")</f>
        <v>🪪</v>
      </c>
      <c r="BD43" s="7" t="str">
        <f aca="false">"/services/"&amp;AO43</f>
        <v>/services/aadhaar-update-appointment-booking-assistance</v>
      </c>
      <c r="BE43" s="7" t="str">
        <f aca="false">IF(AND(AH43="Yes",AG43="Active",I43&lt;&gt;"Not Available"),"LIVE","HIDDEN")</f>
        <v>HIDDEN</v>
      </c>
      <c r="BF43" s="6" t="s">
        <v>139</v>
      </c>
      <c r="BG43" s="6" t="s">
        <v>93</v>
      </c>
      <c r="BH43" s="7" t="str">
        <f aca="false">B43&amp;"|"&amp;COUNTIF($B$4:B43,B43)</f>
        <v>Aadhaar Centre|40</v>
      </c>
      <c r="BI43" s="7" t="str">
        <f aca="false">IF(AND(AI43="Yes",BE43="LIVE"),COUNTIFS($AI$4:AI43,"Yes",$BE$4:BE43,"LIVE"),"")</f>
        <v/>
      </c>
      <c r="BJ43" s="7" t="str">
        <f aca="false">IF(AND(AJ43="Yes",BE43="LIVE"),COUNTIFS($AJ$4:AJ43,"Yes",$BE$4:BE43,"LIVE"),"")</f>
        <v/>
      </c>
      <c r="BK43" s="7" t="str">
        <f aca="false">IF(AND(AK43="Yes",BE43="LIVE"),COUNTIFS($AK$4:AK43,"Yes",$BE$4:BE43,"LIVE"),"")</f>
        <v/>
      </c>
      <c r="BL43" s="7" t="str">
        <f aca="false">IF(I43="To Verify",COUNTIF($I$4:I43,"To Verify"),"")</f>
        <v/>
      </c>
    </row>
    <row r="44" customFormat="false" ht="91" hidden="false" customHeight="false" outlineLevel="0" collapsed="false">
      <c r="A44" s="5" t="s">
        <v>588</v>
      </c>
      <c r="B44" s="6" t="s">
        <v>67</v>
      </c>
      <c r="C44" s="6" t="s">
        <v>68</v>
      </c>
      <c r="D44" s="6" t="s">
        <v>408</v>
      </c>
      <c r="E44" s="6" t="s">
        <v>589</v>
      </c>
      <c r="F44" s="6" t="s">
        <v>590</v>
      </c>
      <c r="G44" s="6" t="s">
        <v>591</v>
      </c>
      <c r="H44" s="6" t="s">
        <v>592</v>
      </c>
      <c r="I44" s="5" t="s">
        <v>221</v>
      </c>
      <c r="J44" s="7" t="str">
        <f aca="false">IFERROR(INDEX(AVAILABILITY_MASTER!$C$4:$C$10,MATCH(I44,AVAILABILITY_MASTER!$A$4:$A$10,0)),"To Be Confirmed")</f>
        <v>Depends on Portal – Confirm at Shop</v>
      </c>
      <c r="K44" s="6" t="s">
        <v>129</v>
      </c>
      <c r="L44" s="6" t="s">
        <v>221</v>
      </c>
      <c r="M44" s="7" t="str">
        <f aca="false">IFERROR(INDEX(SERVICE_DOCUMENTS!$S$4:$S$1000,MATCH(A44,SERVICE_DOCUMENTS!$A$4:$A$1000,0))&amp;"","")</f>
        <v>✓ Aadhaar Card
✓ Aadhaar-Linked Mobile Number</v>
      </c>
      <c r="N44" s="7" t="str">
        <f aca="false">IFERROR(INDEX(SERVICE_DOCUMENTS!$T$4:$T$1000,MATCH(A44,SERVICE_DOCUMENTS!$A$4:$A$1000,0))&amp;"","")</f>
        <v/>
      </c>
      <c r="O44" s="6" t="s">
        <v>369</v>
      </c>
      <c r="P44" s="6" t="s">
        <v>593</v>
      </c>
      <c r="Q44" s="6" t="s">
        <v>371</v>
      </c>
      <c r="R44" s="8" t="s">
        <v>75</v>
      </c>
      <c r="S44" s="8" t="s">
        <v>75</v>
      </c>
      <c r="T44" s="9" t="str">
        <f aca="false">IF(AND(OR(ISNUMBER(R44),R44="N/A"),OR(ISNUMBER(S44),S44="N/A"),OR(ISNUMBER(R44),ISNUMBER(S44))),N(R44)+N(S44),"To Verify")</f>
        <v>To Verify</v>
      </c>
      <c r="U44" s="6" t="s">
        <v>75</v>
      </c>
      <c r="V44" s="6" t="s">
        <v>79</v>
      </c>
      <c r="W44" s="6" t="s">
        <v>80</v>
      </c>
      <c r="X44" s="6" t="s">
        <v>221</v>
      </c>
      <c r="Y44" s="6" t="s">
        <v>74</v>
      </c>
      <c r="Z44" s="6" t="s">
        <v>372</v>
      </c>
      <c r="AA44" s="6" t="s">
        <v>129</v>
      </c>
      <c r="AB44" s="6" t="s">
        <v>74</v>
      </c>
      <c r="AC44" s="6" t="s">
        <v>75</v>
      </c>
      <c r="AD44" s="6" t="s">
        <v>75</v>
      </c>
      <c r="AE44" s="6" t="s">
        <v>75</v>
      </c>
      <c r="AF44" s="6" t="s">
        <v>75</v>
      </c>
      <c r="AG44" s="6" t="s">
        <v>75</v>
      </c>
      <c r="AH44" s="6" t="s">
        <v>79</v>
      </c>
      <c r="AI44" s="6" t="s">
        <v>79</v>
      </c>
      <c r="AJ44" s="6" t="s">
        <v>79</v>
      </c>
      <c r="AK44" s="6" t="s">
        <v>79</v>
      </c>
      <c r="AL44" s="6" t="s">
        <v>67</v>
      </c>
      <c r="AM44" s="6" t="s">
        <v>408</v>
      </c>
      <c r="AN44" s="7" t="str">
        <f aca="false">BA44&amp;", "&amp;AZ44</f>
        <v>mAadhaar App Setup Assistance, Aadhaar Centre, Devmobile Stores, mAadhaar ऐप सेटअप सहायता, आधार सेंटर, सेवा</v>
      </c>
      <c r="AO44" s="6" t="s">
        <v>594</v>
      </c>
      <c r="AP44" s="5" t="s">
        <v>415</v>
      </c>
      <c r="AQ44" s="5" t="n">
        <v>410</v>
      </c>
      <c r="AR44" s="6" t="s">
        <v>374</v>
      </c>
      <c r="AS44" s="6" t="s">
        <v>375</v>
      </c>
      <c r="AT44" s="6" t="s">
        <v>86</v>
      </c>
      <c r="AU44" s="10"/>
      <c r="AV44" s="6" t="s">
        <v>75</v>
      </c>
      <c r="AW44" s="6"/>
      <c r="AX44" s="6" t="s">
        <v>595</v>
      </c>
      <c r="AY44" s="6" t="s">
        <v>596</v>
      </c>
      <c r="AZ44" s="6" t="s">
        <v>597</v>
      </c>
      <c r="BA44" s="6" t="s">
        <v>598</v>
      </c>
      <c r="BB44" s="6"/>
      <c r="BC44" s="11" t="str">
        <f aca="false">IFERROR(INDEX(CATEGORY_MASTER!$C$4:$C$30,MATCH(B44,CATEGORY_MASTER!$A$4:$A$30,0)),"")</f>
        <v>🪪</v>
      </c>
      <c r="BD44" s="7" t="str">
        <f aca="false">"/services/"&amp;AO44</f>
        <v>/services/maadhaar-app-setup-assistance</v>
      </c>
      <c r="BE44" s="7" t="str">
        <f aca="false">IF(AND(AH44="Yes",AG44="Active",I44&lt;&gt;"Not Available"),"LIVE","HIDDEN")</f>
        <v>HIDDEN</v>
      </c>
      <c r="BF44" s="6" t="s">
        <v>139</v>
      </c>
      <c r="BG44" s="6" t="s">
        <v>93</v>
      </c>
      <c r="BH44" s="7" t="str">
        <f aca="false">B44&amp;"|"&amp;COUNTIF($B$4:B44,B44)</f>
        <v>Aadhaar Centre|41</v>
      </c>
      <c r="BI44" s="7" t="str">
        <f aca="false">IF(AND(AI44="Yes",BE44="LIVE"),COUNTIFS($AI$4:AI44,"Yes",$BE$4:BE44,"LIVE"),"")</f>
        <v/>
      </c>
      <c r="BJ44" s="7" t="str">
        <f aca="false">IF(AND(AJ44="Yes",BE44="LIVE"),COUNTIFS($AJ$4:AJ44,"Yes",$BE$4:BE44,"LIVE"),"")</f>
        <v/>
      </c>
      <c r="BK44" s="7" t="str">
        <f aca="false">IF(AND(AK44="Yes",BE44="LIVE"),COUNTIFS($AK$4:AK44,"Yes",$BE$4:BE44,"LIVE"),"")</f>
        <v/>
      </c>
      <c r="BL44" s="7" t="str">
        <f aca="false">IF(I44="To Verify",COUNTIF($I$4:I44,"To Verify"),"")</f>
        <v/>
      </c>
    </row>
    <row r="45" customFormat="false" ht="91" hidden="false" customHeight="false" outlineLevel="0" collapsed="false">
      <c r="A45" s="5" t="s">
        <v>599</v>
      </c>
      <c r="B45" s="6" t="s">
        <v>67</v>
      </c>
      <c r="C45" s="6" t="s">
        <v>68</v>
      </c>
      <c r="D45" s="6" t="s">
        <v>408</v>
      </c>
      <c r="E45" s="6" t="s">
        <v>600</v>
      </c>
      <c r="F45" s="6" t="s">
        <v>601</v>
      </c>
      <c r="G45" s="6" t="s">
        <v>602</v>
      </c>
      <c r="H45" s="6" t="s">
        <v>603</v>
      </c>
      <c r="I45" s="5" t="s">
        <v>221</v>
      </c>
      <c r="J45" s="7" t="str">
        <f aca="false">IFERROR(INDEX(AVAILABILITY_MASTER!$C$4:$C$10,MATCH(I45,AVAILABILITY_MASTER!$A$4:$A$10,0)),"To Be Confirmed")</f>
        <v>Depends on Portal – Confirm at Shop</v>
      </c>
      <c r="K45" s="6" t="s">
        <v>129</v>
      </c>
      <c r="L45" s="6" t="s">
        <v>221</v>
      </c>
      <c r="M45" s="7" t="str">
        <f aca="false">IFERROR(INDEX(SERVICE_DOCUMENTS!$S$4:$S$1000,MATCH(A45,SERVICE_DOCUMENTS!$A$4:$A$1000,0))&amp;"","")</f>
        <v>✓ Aadhaar Card
✓ Aadhaar-Linked Mobile Number</v>
      </c>
      <c r="N45" s="7" t="str">
        <f aca="false">IFERROR(INDEX(SERVICE_DOCUMENTS!$T$4:$T$1000,MATCH(A45,SERVICE_DOCUMENTS!$A$4:$A$1000,0))&amp;"","")</f>
        <v/>
      </c>
      <c r="O45" s="6" t="s">
        <v>369</v>
      </c>
      <c r="P45" s="6" t="s">
        <v>604</v>
      </c>
      <c r="Q45" s="6" t="s">
        <v>371</v>
      </c>
      <c r="R45" s="8" t="s">
        <v>75</v>
      </c>
      <c r="S45" s="8" t="s">
        <v>75</v>
      </c>
      <c r="T45" s="9" t="str">
        <f aca="false">IF(AND(OR(ISNUMBER(R45),R45="N/A"),OR(ISNUMBER(S45),S45="N/A"),OR(ISNUMBER(R45),ISNUMBER(S45))),N(R45)+N(S45),"To Verify")</f>
        <v>To Verify</v>
      </c>
      <c r="U45" s="6" t="s">
        <v>75</v>
      </c>
      <c r="V45" s="6" t="s">
        <v>79</v>
      </c>
      <c r="W45" s="6" t="s">
        <v>80</v>
      </c>
      <c r="X45" s="6" t="s">
        <v>221</v>
      </c>
      <c r="Y45" s="6" t="s">
        <v>74</v>
      </c>
      <c r="Z45" s="6" t="s">
        <v>372</v>
      </c>
      <c r="AA45" s="6" t="s">
        <v>129</v>
      </c>
      <c r="AB45" s="6" t="s">
        <v>74</v>
      </c>
      <c r="AC45" s="6" t="s">
        <v>75</v>
      </c>
      <c r="AD45" s="6" t="s">
        <v>75</v>
      </c>
      <c r="AE45" s="6" t="s">
        <v>75</v>
      </c>
      <c r="AF45" s="6" t="s">
        <v>75</v>
      </c>
      <c r="AG45" s="6" t="s">
        <v>75</v>
      </c>
      <c r="AH45" s="6" t="s">
        <v>79</v>
      </c>
      <c r="AI45" s="6" t="s">
        <v>79</v>
      </c>
      <c r="AJ45" s="6" t="s">
        <v>79</v>
      </c>
      <c r="AK45" s="6" t="s">
        <v>79</v>
      </c>
      <c r="AL45" s="6" t="s">
        <v>67</v>
      </c>
      <c r="AM45" s="6" t="s">
        <v>408</v>
      </c>
      <c r="AN45" s="7" t="str">
        <f aca="false">BA45&amp;", "&amp;AZ45</f>
        <v>Aadhaar Complaint / Grievance Filing Assistance, Aadhaar Centre, Devmobile Stores, आधार शिकायत दर्ज करने में सहायता, आधार सेंटर, सेवा</v>
      </c>
      <c r="AO45" s="6" t="s">
        <v>605</v>
      </c>
      <c r="AP45" s="5" t="s">
        <v>415</v>
      </c>
      <c r="AQ45" s="5" t="n">
        <v>420</v>
      </c>
      <c r="AR45" s="6" t="s">
        <v>374</v>
      </c>
      <c r="AS45" s="6" t="s">
        <v>375</v>
      </c>
      <c r="AT45" s="6" t="s">
        <v>86</v>
      </c>
      <c r="AU45" s="10"/>
      <c r="AV45" s="6" t="s">
        <v>75</v>
      </c>
      <c r="AW45" s="6"/>
      <c r="AX45" s="6" t="s">
        <v>606</v>
      </c>
      <c r="AY45" s="6" t="s">
        <v>607</v>
      </c>
      <c r="AZ45" s="6" t="s">
        <v>608</v>
      </c>
      <c r="BA45" s="6" t="s">
        <v>609</v>
      </c>
      <c r="BB45" s="6"/>
      <c r="BC45" s="11" t="str">
        <f aca="false">IFERROR(INDEX(CATEGORY_MASTER!$C$4:$C$30,MATCH(B45,CATEGORY_MASTER!$A$4:$A$30,0)),"")</f>
        <v>🪪</v>
      </c>
      <c r="BD45" s="7" t="str">
        <f aca="false">"/services/"&amp;AO45</f>
        <v>/services/aadhaar-complaint-grievance-filing-assistance</v>
      </c>
      <c r="BE45" s="7" t="str">
        <f aca="false">IF(AND(AH45="Yes",AG45="Active",I45&lt;&gt;"Not Available"),"LIVE","HIDDEN")</f>
        <v>HIDDEN</v>
      </c>
      <c r="BF45" s="6" t="s">
        <v>139</v>
      </c>
      <c r="BG45" s="6" t="s">
        <v>93</v>
      </c>
      <c r="BH45" s="7" t="str">
        <f aca="false">B45&amp;"|"&amp;COUNTIF($B$4:B45,B45)</f>
        <v>Aadhaar Centre|42</v>
      </c>
      <c r="BI45" s="7" t="str">
        <f aca="false">IF(AND(AI45="Yes",BE45="LIVE"),COUNTIFS($AI$4:AI45,"Yes",$BE$4:BE45,"LIVE"),"")</f>
        <v/>
      </c>
      <c r="BJ45" s="7" t="str">
        <f aca="false">IF(AND(AJ45="Yes",BE45="LIVE"),COUNTIFS($AJ$4:AJ45,"Yes",$BE$4:BE45,"LIVE"),"")</f>
        <v/>
      </c>
      <c r="BK45" s="7" t="str">
        <f aca="false">IF(AND(AK45="Yes",BE45="LIVE"),COUNTIFS($AK$4:AK45,"Yes",$BE$4:BE45,"LIVE"),"")</f>
        <v/>
      </c>
      <c r="BL45" s="7" t="str">
        <f aca="false">IF(I45="To Verify",COUNTIF($I$4:I45,"To Verify"),"")</f>
        <v/>
      </c>
    </row>
    <row r="46" customFormat="false" ht="68.65" hidden="false" customHeight="false" outlineLevel="0" collapsed="false">
      <c r="A46" s="5" t="s">
        <v>610</v>
      </c>
      <c r="B46" s="6" t="s">
        <v>611</v>
      </c>
      <c r="C46" s="6" t="s">
        <v>612</v>
      </c>
      <c r="D46" s="6" t="s">
        <v>613</v>
      </c>
      <c r="E46" s="6" t="s">
        <v>614</v>
      </c>
      <c r="F46" s="6" t="s">
        <v>615</v>
      </c>
      <c r="G46" s="6" t="s">
        <v>616</v>
      </c>
      <c r="H46" s="6" t="s">
        <v>617</v>
      </c>
      <c r="I46" s="5" t="s">
        <v>12</v>
      </c>
      <c r="J46" s="7" t="str">
        <f aca="false">IFERROR(INDEX(AVAILABILITY_MASTER!$C$4:$C$10,MATCH(I46,AVAILABILITY_MASTER!$A$4:$A$10,0)),"To Be Confirmed")</f>
        <v>Please Confirm at Shop</v>
      </c>
      <c r="K46" s="6" t="s">
        <v>74</v>
      </c>
      <c r="L46" s="6" t="s">
        <v>75</v>
      </c>
      <c r="M46" s="7" t="str">
        <f aca="false">IFERROR(INDEX(SERVICE_DOCUMENTS!$S$4:$S$1000,MATCH(A46,SERVICE_DOCUMENTS!$A$4:$A$1000,0))&amp;"","")</f>
        <v>✓ Bank Account Number
✓ Cash Amount</v>
      </c>
      <c r="N46" s="7" t="str">
        <f aca="false">IFERROR(INDEX(SERVICE_DOCUMENTS!$T$4:$T$1000,MATCH(A46,SERVICE_DOCUMENTS!$A$4:$A$1000,0))&amp;"","")</f>
        <v>• Aadhaar Card (If Applicable)</v>
      </c>
      <c r="O46" s="6" t="s">
        <v>618</v>
      </c>
      <c r="P46" s="6" t="s">
        <v>619</v>
      </c>
      <c r="Q46" s="6" t="s">
        <v>440</v>
      </c>
      <c r="R46" s="8" t="s">
        <v>75</v>
      </c>
      <c r="S46" s="8" t="s">
        <v>75</v>
      </c>
      <c r="T46" s="9" t="str">
        <f aca="false">IF(AND(OR(ISNUMBER(R46),R46="N/A"),OR(ISNUMBER(S46),S46="N/A"),OR(ISNUMBER(R46),ISNUMBER(S46))),N(R46)+N(S46),"To Verify")</f>
        <v>To Verify</v>
      </c>
      <c r="U46" s="6" t="s">
        <v>75</v>
      </c>
      <c r="V46" s="6" t="s">
        <v>79</v>
      </c>
      <c r="W46" s="6" t="s">
        <v>80</v>
      </c>
      <c r="X46" s="6" t="s">
        <v>81</v>
      </c>
      <c r="Y46" s="6" t="s">
        <v>79</v>
      </c>
      <c r="Z46" s="6"/>
      <c r="AA46" s="6" t="s">
        <v>74</v>
      </c>
      <c r="AB46" s="6" t="s">
        <v>74</v>
      </c>
      <c r="AC46" s="6" t="s">
        <v>75</v>
      </c>
      <c r="AD46" s="6" t="s">
        <v>75</v>
      </c>
      <c r="AE46" s="6" t="s">
        <v>79</v>
      </c>
      <c r="AF46" s="6" t="s">
        <v>79</v>
      </c>
      <c r="AG46" s="6" t="s">
        <v>75</v>
      </c>
      <c r="AH46" s="6" t="s">
        <v>79</v>
      </c>
      <c r="AI46" s="6" t="s">
        <v>79</v>
      </c>
      <c r="AJ46" s="6" t="s">
        <v>79</v>
      </c>
      <c r="AK46" s="6" t="s">
        <v>79</v>
      </c>
      <c r="AL46" s="6" t="s">
        <v>611</v>
      </c>
      <c r="AM46" s="6" t="s">
        <v>613</v>
      </c>
      <c r="AN46" s="7" t="str">
        <f aca="false">BA46&amp;", "&amp;AZ46</f>
        <v>HDFC BC – Cash Deposit, HDFC Bank BC Point, Devmobile Stores, HDFC BC – नकद जमा, HDFC बैंक BC पॉइंट, सेवा</v>
      </c>
      <c r="AO46" s="6" t="s">
        <v>620</v>
      </c>
      <c r="AP46" s="5" t="s">
        <v>621</v>
      </c>
      <c r="AQ46" s="5" t="n">
        <v>10</v>
      </c>
      <c r="AR46" s="6" t="s">
        <v>622</v>
      </c>
      <c r="AS46" s="6" t="s">
        <v>623</v>
      </c>
      <c r="AT46" s="6" t="s">
        <v>86</v>
      </c>
      <c r="AU46" s="10"/>
      <c r="AV46" s="6" t="s">
        <v>75</v>
      </c>
      <c r="AW46" s="6"/>
      <c r="AX46" s="6" t="s">
        <v>624</v>
      </c>
      <c r="AY46" s="6" t="s">
        <v>625</v>
      </c>
      <c r="AZ46" s="6" t="s">
        <v>626</v>
      </c>
      <c r="BA46" s="6" t="s">
        <v>627</v>
      </c>
      <c r="BB46" s="6"/>
      <c r="BC46" s="11" t="str">
        <f aca="false">IFERROR(INDEX(CATEGORY_MASTER!$C$4:$C$30,MATCH(B46,CATEGORY_MASTER!$A$4:$A$30,0)),"")</f>
        <v>🏦</v>
      </c>
      <c r="BD46" s="7" t="str">
        <f aca="false">"/services/"&amp;AO46</f>
        <v>/services/hdfc-bc-cash-deposit</v>
      </c>
      <c r="BE46" s="7" t="str">
        <f aca="false">IF(AND(AH46="Yes",AG46="Active",I46&lt;&gt;"Not Available"),"LIVE","HIDDEN")</f>
        <v>HIDDEN</v>
      </c>
      <c r="BF46" s="6" t="s">
        <v>139</v>
      </c>
      <c r="BG46" s="6" t="s">
        <v>93</v>
      </c>
      <c r="BH46" s="7" t="str">
        <f aca="false">B46&amp;"|"&amp;COUNTIF($B$4:B46,B46)</f>
        <v>HDFC Bank BC Point|1</v>
      </c>
      <c r="BI46" s="7" t="str">
        <f aca="false">IF(AND(AI46="Yes",BE46="LIVE"),COUNTIFS($AI$4:AI46,"Yes",$BE$4:BE46,"LIVE"),"")</f>
        <v/>
      </c>
      <c r="BJ46" s="7" t="str">
        <f aca="false">IF(AND(AJ46="Yes",BE46="LIVE"),COUNTIFS($AJ$4:AJ46,"Yes",$BE$4:BE46,"LIVE"),"")</f>
        <v/>
      </c>
      <c r="BK46" s="7" t="str">
        <f aca="false">IF(AND(AK46="Yes",BE46="LIVE"),COUNTIFS($AK$4:AK46,"Yes",$BE$4:BE46,"LIVE"),"")</f>
        <v/>
      </c>
      <c r="BL46" s="7" t="str">
        <f aca="false">IF(I46="To Verify",COUNTIF($I$4:I46,"To Verify"),"")</f>
        <v/>
      </c>
    </row>
    <row r="47" customFormat="false" ht="57.45" hidden="false" customHeight="false" outlineLevel="0" collapsed="false">
      <c r="A47" s="5" t="s">
        <v>628</v>
      </c>
      <c r="B47" s="6" t="s">
        <v>611</v>
      </c>
      <c r="C47" s="6" t="s">
        <v>612</v>
      </c>
      <c r="D47" s="6" t="s">
        <v>613</v>
      </c>
      <c r="E47" s="6" t="s">
        <v>629</v>
      </c>
      <c r="F47" s="6" t="s">
        <v>630</v>
      </c>
      <c r="G47" s="6" t="s">
        <v>631</v>
      </c>
      <c r="H47" s="6" t="s">
        <v>632</v>
      </c>
      <c r="I47" s="5" t="s">
        <v>12</v>
      </c>
      <c r="J47" s="7" t="str">
        <f aca="false">IFERROR(INDEX(AVAILABILITY_MASTER!$C$4:$C$10,MATCH(I47,AVAILABILITY_MASTER!$A$4:$A$10,0)),"To Be Confirmed")</f>
        <v>Please Confirm at Shop</v>
      </c>
      <c r="K47" s="6" t="s">
        <v>74</v>
      </c>
      <c r="L47" s="6" t="s">
        <v>75</v>
      </c>
      <c r="M47" s="7" t="str">
        <f aca="false">IFERROR(INDEX(SERVICE_DOCUMENTS!$S$4:$S$1000,MATCH(A47,SERVICE_DOCUMENTS!$A$4:$A$1000,0))&amp;"","")</f>
        <v>✓ Aadhaar Card
✓ Customer Presence for Biometrics</v>
      </c>
      <c r="N47" s="7" t="str">
        <f aca="false">IFERROR(INDEX(SERVICE_DOCUMENTS!$T$4:$T$1000,MATCH(A47,SERVICE_DOCUMENTS!$A$4:$A$1000,0))&amp;"","")</f>
        <v>• Bank Account Number (If Applicable)</v>
      </c>
      <c r="O47" s="6" t="s">
        <v>618</v>
      </c>
      <c r="P47" s="6" t="s">
        <v>633</v>
      </c>
      <c r="Q47" s="6" t="s">
        <v>440</v>
      </c>
      <c r="R47" s="8" t="s">
        <v>75</v>
      </c>
      <c r="S47" s="8" t="s">
        <v>75</v>
      </c>
      <c r="T47" s="9" t="str">
        <f aca="false">IF(AND(OR(ISNUMBER(R47),R47="N/A"),OR(ISNUMBER(S47),S47="N/A"),OR(ISNUMBER(R47),ISNUMBER(S47))),N(R47)+N(S47),"To Verify")</f>
        <v>To Verify</v>
      </c>
      <c r="U47" s="6" t="s">
        <v>75</v>
      </c>
      <c r="V47" s="6" t="s">
        <v>79</v>
      </c>
      <c r="W47" s="6" t="s">
        <v>80</v>
      </c>
      <c r="X47" s="6" t="s">
        <v>81</v>
      </c>
      <c r="Y47" s="6" t="s">
        <v>79</v>
      </c>
      <c r="Z47" s="6"/>
      <c r="AA47" s="6" t="s">
        <v>74</v>
      </c>
      <c r="AB47" s="6" t="s">
        <v>74</v>
      </c>
      <c r="AC47" s="6" t="s">
        <v>75</v>
      </c>
      <c r="AD47" s="6" t="s">
        <v>75</v>
      </c>
      <c r="AE47" s="6" t="s">
        <v>79</v>
      </c>
      <c r="AF47" s="6" t="s">
        <v>79</v>
      </c>
      <c r="AG47" s="6" t="s">
        <v>75</v>
      </c>
      <c r="AH47" s="6" t="s">
        <v>79</v>
      </c>
      <c r="AI47" s="6" t="s">
        <v>79</v>
      </c>
      <c r="AJ47" s="6" t="s">
        <v>79</v>
      </c>
      <c r="AK47" s="6" t="s">
        <v>79</v>
      </c>
      <c r="AL47" s="6" t="s">
        <v>611</v>
      </c>
      <c r="AM47" s="6" t="s">
        <v>613</v>
      </c>
      <c r="AN47" s="7" t="str">
        <f aca="false">BA47&amp;", "&amp;AZ47</f>
        <v>HDFC BC – Cash Withdrawal, HDFC Bank BC Point, Devmobile Stores, HDFC BC – नकद निकासी, HDFC बैंक BC पॉइंट, सेवा</v>
      </c>
      <c r="AO47" s="6" t="s">
        <v>634</v>
      </c>
      <c r="AP47" s="5" t="s">
        <v>621</v>
      </c>
      <c r="AQ47" s="5" t="n">
        <v>20</v>
      </c>
      <c r="AR47" s="6" t="s">
        <v>635</v>
      </c>
      <c r="AS47" s="6" t="s">
        <v>623</v>
      </c>
      <c r="AT47" s="6" t="s">
        <v>86</v>
      </c>
      <c r="AU47" s="10"/>
      <c r="AV47" s="6" t="s">
        <v>75</v>
      </c>
      <c r="AW47" s="6"/>
      <c r="AX47" s="6" t="s">
        <v>636</v>
      </c>
      <c r="AY47" s="6" t="s">
        <v>637</v>
      </c>
      <c r="AZ47" s="6" t="s">
        <v>638</v>
      </c>
      <c r="BA47" s="6" t="s">
        <v>639</v>
      </c>
      <c r="BB47" s="6"/>
      <c r="BC47" s="11" t="str">
        <f aca="false">IFERROR(INDEX(CATEGORY_MASTER!$C$4:$C$30,MATCH(B47,CATEGORY_MASTER!$A$4:$A$30,0)),"")</f>
        <v>🏦</v>
      </c>
      <c r="BD47" s="7" t="str">
        <f aca="false">"/services/"&amp;AO47</f>
        <v>/services/hdfc-bc-cash-withdrawal</v>
      </c>
      <c r="BE47" s="7" t="str">
        <f aca="false">IF(AND(AH47="Yes",AG47="Active",I47&lt;&gt;"Not Available"),"LIVE","HIDDEN")</f>
        <v>HIDDEN</v>
      </c>
      <c r="BF47" s="6" t="s">
        <v>139</v>
      </c>
      <c r="BG47" s="6" t="s">
        <v>93</v>
      </c>
      <c r="BH47" s="7" t="str">
        <f aca="false">B47&amp;"|"&amp;COUNTIF($B$4:B47,B47)</f>
        <v>HDFC Bank BC Point|2</v>
      </c>
      <c r="BI47" s="7" t="str">
        <f aca="false">IF(AND(AI47="Yes",BE47="LIVE"),COUNTIFS($AI$4:AI47,"Yes",$BE$4:BE47,"LIVE"),"")</f>
        <v/>
      </c>
      <c r="BJ47" s="7" t="str">
        <f aca="false">IF(AND(AJ47="Yes",BE47="LIVE"),COUNTIFS($AJ$4:AJ47,"Yes",$BE$4:BE47,"LIVE"),"")</f>
        <v/>
      </c>
      <c r="BK47" s="7" t="str">
        <f aca="false">IF(AND(AK47="Yes",BE47="LIVE"),COUNTIFS($AK$4:AK47,"Yes",$BE$4:BE47,"LIVE"),"")</f>
        <v/>
      </c>
      <c r="BL47" s="7" t="str">
        <f aca="false">IF(I47="To Verify",COUNTIF($I$4:I47,"To Verify"),"")</f>
        <v/>
      </c>
    </row>
    <row r="48" customFormat="false" ht="68.65" hidden="false" customHeight="false" outlineLevel="0" collapsed="false">
      <c r="A48" s="5" t="s">
        <v>640</v>
      </c>
      <c r="B48" s="6" t="s">
        <v>611</v>
      </c>
      <c r="C48" s="6" t="s">
        <v>612</v>
      </c>
      <c r="D48" s="6" t="s">
        <v>613</v>
      </c>
      <c r="E48" s="6" t="s">
        <v>641</v>
      </c>
      <c r="F48" s="6" t="s">
        <v>642</v>
      </c>
      <c r="G48" s="6" t="s">
        <v>643</v>
      </c>
      <c r="H48" s="6" t="s">
        <v>644</v>
      </c>
      <c r="I48" s="5" t="s">
        <v>12</v>
      </c>
      <c r="J48" s="7" t="str">
        <f aca="false">IFERROR(INDEX(AVAILABILITY_MASTER!$C$4:$C$10,MATCH(I48,AVAILABILITY_MASTER!$A$4:$A$10,0)),"To Be Confirmed")</f>
        <v>Please Confirm at Shop</v>
      </c>
      <c r="K48" s="6" t="s">
        <v>74</v>
      </c>
      <c r="L48" s="6" t="s">
        <v>75</v>
      </c>
      <c r="M48" s="7" t="str">
        <f aca="false">IFERROR(INDEX(SERVICE_DOCUMENTS!$S$4:$S$1000,MATCH(A48,SERVICE_DOCUMENTS!$A$4:$A$1000,0))&amp;"","")</f>
        <v>✓ Aadhaar Card
✓ Bank Account Number
✓ Active Mobile Number</v>
      </c>
      <c r="N48" s="7" t="str">
        <f aca="false">IFERROR(INDEX(SERVICE_DOCUMENTS!$T$4:$T$1000,MATCH(A48,SERVICE_DOCUMENTS!$A$4:$A$1000,0))&amp;"","")</f>
        <v/>
      </c>
      <c r="O48" s="6" t="s">
        <v>645</v>
      </c>
      <c r="P48" s="6" t="s">
        <v>646</v>
      </c>
      <c r="Q48" s="6" t="s">
        <v>78</v>
      </c>
      <c r="R48" s="8" t="s">
        <v>75</v>
      </c>
      <c r="S48" s="8" t="s">
        <v>75</v>
      </c>
      <c r="T48" s="9" t="str">
        <f aca="false">IF(AND(OR(ISNUMBER(R48),R48="N/A"),OR(ISNUMBER(S48),S48="N/A"),OR(ISNUMBER(R48),ISNUMBER(S48))),N(R48)+N(S48),"To Verify")</f>
        <v>To Verify</v>
      </c>
      <c r="U48" s="6" t="s">
        <v>75</v>
      </c>
      <c r="V48" s="6" t="s">
        <v>79</v>
      </c>
      <c r="W48" s="6" t="s">
        <v>80</v>
      </c>
      <c r="X48" s="6" t="s">
        <v>81</v>
      </c>
      <c r="Y48" s="6" t="s">
        <v>79</v>
      </c>
      <c r="Z48" s="6"/>
      <c r="AA48" s="6" t="s">
        <v>74</v>
      </c>
      <c r="AB48" s="6" t="s">
        <v>74</v>
      </c>
      <c r="AC48" s="6" t="s">
        <v>75</v>
      </c>
      <c r="AD48" s="6" t="s">
        <v>75</v>
      </c>
      <c r="AE48" s="6" t="s">
        <v>79</v>
      </c>
      <c r="AF48" s="6" t="s">
        <v>79</v>
      </c>
      <c r="AG48" s="6" t="s">
        <v>75</v>
      </c>
      <c r="AH48" s="6" t="s">
        <v>79</v>
      </c>
      <c r="AI48" s="6" t="s">
        <v>79</v>
      </c>
      <c r="AJ48" s="6" t="s">
        <v>79</v>
      </c>
      <c r="AK48" s="6" t="s">
        <v>79</v>
      </c>
      <c r="AL48" s="6" t="s">
        <v>611</v>
      </c>
      <c r="AM48" s="6" t="s">
        <v>613</v>
      </c>
      <c r="AN48" s="7" t="str">
        <f aca="false">BA48&amp;", "&amp;AZ48</f>
        <v>HDFC BC – Balance Enquiry, HDFC Bank BC Point, Devmobile Stores, HDFC BC – बैलेंस पूछताछ, HDFC बैंक BC पॉइंट, सेवा</v>
      </c>
      <c r="AO48" s="6" t="s">
        <v>647</v>
      </c>
      <c r="AP48" s="5" t="s">
        <v>621</v>
      </c>
      <c r="AQ48" s="5" t="n">
        <v>30</v>
      </c>
      <c r="AR48" s="6" t="s">
        <v>133</v>
      </c>
      <c r="AS48" s="6" t="s">
        <v>623</v>
      </c>
      <c r="AT48" s="6" t="s">
        <v>86</v>
      </c>
      <c r="AU48" s="10"/>
      <c r="AV48" s="6" t="s">
        <v>75</v>
      </c>
      <c r="AW48" s="6"/>
      <c r="AX48" s="6" t="s">
        <v>648</v>
      </c>
      <c r="AY48" s="6" t="s">
        <v>649</v>
      </c>
      <c r="AZ48" s="6" t="s">
        <v>650</v>
      </c>
      <c r="BA48" s="6" t="s">
        <v>651</v>
      </c>
      <c r="BB48" s="6"/>
      <c r="BC48" s="11" t="str">
        <f aca="false">IFERROR(INDEX(CATEGORY_MASTER!$C$4:$C$30,MATCH(B48,CATEGORY_MASTER!$A$4:$A$30,0)),"")</f>
        <v>🏦</v>
      </c>
      <c r="BD48" s="7" t="str">
        <f aca="false">"/services/"&amp;AO48</f>
        <v>/services/hdfc-bc-balance-enquiry</v>
      </c>
      <c r="BE48" s="7" t="str">
        <f aca="false">IF(AND(AH48="Yes",AG48="Active",I48&lt;&gt;"Not Available"),"LIVE","HIDDEN")</f>
        <v>HIDDEN</v>
      </c>
      <c r="BF48" s="6" t="s">
        <v>139</v>
      </c>
      <c r="BG48" s="6" t="s">
        <v>93</v>
      </c>
      <c r="BH48" s="7" t="str">
        <f aca="false">B48&amp;"|"&amp;COUNTIF($B$4:B48,B48)</f>
        <v>HDFC Bank BC Point|3</v>
      </c>
      <c r="BI48" s="7" t="str">
        <f aca="false">IF(AND(AI48="Yes",BE48="LIVE"),COUNTIFS($AI$4:AI48,"Yes",$BE$4:BE48,"LIVE"),"")</f>
        <v/>
      </c>
      <c r="BJ48" s="7" t="str">
        <f aca="false">IF(AND(AJ48="Yes",BE48="LIVE"),COUNTIFS($AJ$4:AJ48,"Yes",$BE$4:BE48,"LIVE"),"")</f>
        <v/>
      </c>
      <c r="BK48" s="7" t="str">
        <f aca="false">IF(AND(AK48="Yes",BE48="LIVE"),COUNTIFS($AK$4:AK48,"Yes",$BE$4:BE48,"LIVE"),"")</f>
        <v/>
      </c>
      <c r="BL48" s="7" t="str">
        <f aca="false">IF(I48="To Verify",COUNTIF($I$4:I48,"To Verify"),"")</f>
        <v/>
      </c>
    </row>
    <row r="49" customFormat="false" ht="68.65" hidden="false" customHeight="false" outlineLevel="0" collapsed="false">
      <c r="A49" s="5" t="s">
        <v>652</v>
      </c>
      <c r="B49" s="6" t="s">
        <v>611</v>
      </c>
      <c r="C49" s="6" t="s">
        <v>612</v>
      </c>
      <c r="D49" s="6" t="s">
        <v>613</v>
      </c>
      <c r="E49" s="6" t="s">
        <v>653</v>
      </c>
      <c r="F49" s="6" t="s">
        <v>654</v>
      </c>
      <c r="G49" s="6" t="s">
        <v>655</v>
      </c>
      <c r="H49" s="6" t="s">
        <v>656</v>
      </c>
      <c r="I49" s="5" t="s">
        <v>12</v>
      </c>
      <c r="J49" s="7" t="str">
        <f aca="false">IFERROR(INDEX(AVAILABILITY_MASTER!$C$4:$C$10,MATCH(I49,AVAILABILITY_MASTER!$A$4:$A$10,0)),"To Be Confirmed")</f>
        <v>Please Confirm at Shop</v>
      </c>
      <c r="K49" s="6" t="s">
        <v>74</v>
      </c>
      <c r="L49" s="6" t="s">
        <v>75</v>
      </c>
      <c r="M49" s="7" t="str">
        <f aca="false">IFERROR(INDEX(SERVICE_DOCUMENTS!$S$4:$S$1000,MATCH(A49,SERVICE_DOCUMENTS!$A$4:$A$1000,0))&amp;"","")</f>
        <v>✓ Aadhaar Card
✓ Bank Account Number
✓ Active Mobile Number</v>
      </c>
      <c r="N49" s="7" t="str">
        <f aca="false">IFERROR(INDEX(SERVICE_DOCUMENTS!$T$4:$T$1000,MATCH(A49,SERVICE_DOCUMENTS!$A$4:$A$1000,0))&amp;"","")</f>
        <v/>
      </c>
      <c r="O49" s="6" t="s">
        <v>645</v>
      </c>
      <c r="P49" s="6" t="s">
        <v>657</v>
      </c>
      <c r="Q49" s="6" t="s">
        <v>78</v>
      </c>
      <c r="R49" s="8" t="s">
        <v>75</v>
      </c>
      <c r="S49" s="8" t="s">
        <v>75</v>
      </c>
      <c r="T49" s="9" t="str">
        <f aca="false">IF(AND(OR(ISNUMBER(R49),R49="N/A"),OR(ISNUMBER(S49),S49="N/A"),OR(ISNUMBER(R49),ISNUMBER(S49))),N(R49)+N(S49),"To Verify")</f>
        <v>To Verify</v>
      </c>
      <c r="U49" s="6" t="s">
        <v>75</v>
      </c>
      <c r="V49" s="6" t="s">
        <v>79</v>
      </c>
      <c r="W49" s="6" t="s">
        <v>80</v>
      </c>
      <c r="X49" s="6" t="s">
        <v>81</v>
      </c>
      <c r="Y49" s="6" t="s">
        <v>79</v>
      </c>
      <c r="Z49" s="6"/>
      <c r="AA49" s="6" t="s">
        <v>74</v>
      </c>
      <c r="AB49" s="6" t="s">
        <v>74</v>
      </c>
      <c r="AC49" s="6" t="s">
        <v>75</v>
      </c>
      <c r="AD49" s="6" t="s">
        <v>75</v>
      </c>
      <c r="AE49" s="6" t="s">
        <v>79</v>
      </c>
      <c r="AF49" s="6" t="s">
        <v>79</v>
      </c>
      <c r="AG49" s="6" t="s">
        <v>75</v>
      </c>
      <c r="AH49" s="6" t="s">
        <v>79</v>
      </c>
      <c r="AI49" s="6" t="s">
        <v>79</v>
      </c>
      <c r="AJ49" s="6" t="s">
        <v>79</v>
      </c>
      <c r="AK49" s="6" t="s">
        <v>79</v>
      </c>
      <c r="AL49" s="6" t="s">
        <v>611</v>
      </c>
      <c r="AM49" s="6" t="s">
        <v>613</v>
      </c>
      <c r="AN49" s="7" t="str">
        <f aca="false">BA49&amp;", "&amp;AZ49</f>
        <v>HDFC BC – Mini Statement, HDFC Bank BC Point, Devmobile Stores, HDFC BC – मिनी स्टेटमेंट, HDFC बैंक BC पॉइंट, सेवा</v>
      </c>
      <c r="AO49" s="6" t="s">
        <v>658</v>
      </c>
      <c r="AP49" s="5" t="s">
        <v>621</v>
      </c>
      <c r="AQ49" s="5" t="n">
        <v>40</v>
      </c>
      <c r="AR49" s="6" t="s">
        <v>133</v>
      </c>
      <c r="AS49" s="6" t="s">
        <v>623</v>
      </c>
      <c r="AT49" s="6" t="s">
        <v>86</v>
      </c>
      <c r="AU49" s="10"/>
      <c r="AV49" s="6" t="s">
        <v>75</v>
      </c>
      <c r="AW49" s="6"/>
      <c r="AX49" s="6" t="s">
        <v>659</v>
      </c>
      <c r="AY49" s="6" t="s">
        <v>660</v>
      </c>
      <c r="AZ49" s="6" t="s">
        <v>661</v>
      </c>
      <c r="BA49" s="6" t="s">
        <v>662</v>
      </c>
      <c r="BB49" s="6"/>
      <c r="BC49" s="11" t="str">
        <f aca="false">IFERROR(INDEX(CATEGORY_MASTER!$C$4:$C$30,MATCH(B49,CATEGORY_MASTER!$A$4:$A$30,0)),"")</f>
        <v>🏦</v>
      </c>
      <c r="BD49" s="7" t="str">
        <f aca="false">"/services/"&amp;AO49</f>
        <v>/services/hdfc-bc-mini-statement</v>
      </c>
      <c r="BE49" s="7" t="str">
        <f aca="false">IF(AND(AH49="Yes",AG49="Active",I49&lt;&gt;"Not Available"),"LIVE","HIDDEN")</f>
        <v>HIDDEN</v>
      </c>
      <c r="BF49" s="6" t="s">
        <v>139</v>
      </c>
      <c r="BG49" s="6" t="s">
        <v>93</v>
      </c>
      <c r="BH49" s="7" t="str">
        <f aca="false">B49&amp;"|"&amp;COUNTIF($B$4:B49,B49)</f>
        <v>HDFC Bank BC Point|4</v>
      </c>
      <c r="BI49" s="7" t="str">
        <f aca="false">IF(AND(AI49="Yes",BE49="LIVE"),COUNTIFS($AI$4:AI49,"Yes",$BE$4:BE49,"LIVE"),"")</f>
        <v/>
      </c>
      <c r="BJ49" s="7" t="str">
        <f aca="false">IF(AND(AJ49="Yes",BE49="LIVE"),COUNTIFS($AJ$4:AJ49,"Yes",$BE$4:BE49,"LIVE"),"")</f>
        <v/>
      </c>
      <c r="BK49" s="7" t="str">
        <f aca="false">IF(AND(AK49="Yes",BE49="LIVE"),COUNTIFS($AK$4:AK49,"Yes",$BE$4:BE49,"LIVE"),"")</f>
        <v/>
      </c>
      <c r="BL49" s="7" t="str">
        <f aca="false">IF(I49="To Verify",COUNTIF($I$4:I49,"To Verify"),"")</f>
        <v/>
      </c>
    </row>
    <row r="50" customFormat="false" ht="68.65" hidden="false" customHeight="false" outlineLevel="0" collapsed="false">
      <c r="A50" s="5" t="s">
        <v>663</v>
      </c>
      <c r="B50" s="6" t="s">
        <v>611</v>
      </c>
      <c r="C50" s="6" t="s">
        <v>612</v>
      </c>
      <c r="D50" s="6" t="s">
        <v>664</v>
      </c>
      <c r="E50" s="6" t="s">
        <v>665</v>
      </c>
      <c r="F50" s="6" t="s">
        <v>666</v>
      </c>
      <c r="G50" s="6" t="s">
        <v>667</v>
      </c>
      <c r="H50" s="6" t="s">
        <v>668</v>
      </c>
      <c r="I50" s="5" t="s">
        <v>12</v>
      </c>
      <c r="J50" s="7" t="str">
        <f aca="false">IFERROR(INDEX(AVAILABILITY_MASTER!$C$4:$C$10,MATCH(I50,AVAILABILITY_MASTER!$A$4:$A$10,0)),"To Be Confirmed")</f>
        <v>Please Confirm at Shop</v>
      </c>
      <c r="K50" s="6" t="s">
        <v>74</v>
      </c>
      <c r="L50" s="6" t="s">
        <v>75</v>
      </c>
      <c r="M50" s="7" t="str">
        <f aca="false">IFERROR(INDEX(SERVICE_DOCUMENTS!$S$4:$S$1000,MATCH(A50,SERVICE_DOCUMENTS!$A$4:$A$1000,0))&amp;"","")</f>
        <v>✓ Aadhaar Card
✓ Customer Presence for Biometrics</v>
      </c>
      <c r="N50" s="7" t="str">
        <f aca="false">IFERROR(INDEX(SERVICE_DOCUMENTS!$T$4:$T$1000,MATCH(A50,SERVICE_DOCUMENTS!$A$4:$A$1000,0))&amp;"","")</f>
        <v/>
      </c>
      <c r="O50" s="6" t="s">
        <v>669</v>
      </c>
      <c r="P50" s="6" t="s">
        <v>670</v>
      </c>
      <c r="Q50" s="6" t="s">
        <v>440</v>
      </c>
      <c r="R50" s="8" t="s">
        <v>75</v>
      </c>
      <c r="S50" s="8" t="s">
        <v>75</v>
      </c>
      <c r="T50" s="9" t="str">
        <f aca="false">IF(AND(OR(ISNUMBER(R50),R50="N/A"),OR(ISNUMBER(S50),S50="N/A"),OR(ISNUMBER(R50),ISNUMBER(S50))),N(R50)+N(S50),"To Verify")</f>
        <v>To Verify</v>
      </c>
      <c r="U50" s="6" t="s">
        <v>75</v>
      </c>
      <c r="V50" s="6" t="s">
        <v>79</v>
      </c>
      <c r="W50" s="6" t="s">
        <v>80</v>
      </c>
      <c r="X50" s="6" t="s">
        <v>81</v>
      </c>
      <c r="Y50" s="6" t="s">
        <v>79</v>
      </c>
      <c r="Z50" s="6"/>
      <c r="AA50" s="6" t="s">
        <v>74</v>
      </c>
      <c r="AB50" s="6" t="s">
        <v>74</v>
      </c>
      <c r="AC50" s="6" t="s">
        <v>75</v>
      </c>
      <c r="AD50" s="6" t="s">
        <v>75</v>
      </c>
      <c r="AE50" s="6" t="s">
        <v>79</v>
      </c>
      <c r="AF50" s="6" t="s">
        <v>79</v>
      </c>
      <c r="AG50" s="6" t="s">
        <v>75</v>
      </c>
      <c r="AH50" s="6" t="s">
        <v>79</v>
      </c>
      <c r="AI50" s="6" t="s">
        <v>79</v>
      </c>
      <c r="AJ50" s="6" t="s">
        <v>79</v>
      </c>
      <c r="AK50" s="6" t="s">
        <v>79</v>
      </c>
      <c r="AL50" s="6" t="s">
        <v>611</v>
      </c>
      <c r="AM50" s="6" t="s">
        <v>664</v>
      </c>
      <c r="AN50" s="7" t="str">
        <f aca="false">BA50&amp;", "&amp;AZ50</f>
        <v>HDFC BC – AEPS Cash Withdrawal, HDFC Bank BC Point, Devmobile Stores, HDFC BC – AEPS नकद निकासी, HDFC बैंक BC पॉइंट, सेवा</v>
      </c>
      <c r="AO50" s="6" t="s">
        <v>671</v>
      </c>
      <c r="AP50" s="5" t="s">
        <v>290</v>
      </c>
      <c r="AQ50" s="5" t="n">
        <v>50</v>
      </c>
      <c r="AR50" s="6" t="s">
        <v>672</v>
      </c>
      <c r="AS50" s="6" t="s">
        <v>623</v>
      </c>
      <c r="AT50" s="6" t="s">
        <v>86</v>
      </c>
      <c r="AU50" s="10"/>
      <c r="AV50" s="6" t="s">
        <v>75</v>
      </c>
      <c r="AW50" s="6" t="s">
        <v>673</v>
      </c>
      <c r="AX50" s="6" t="s">
        <v>674</v>
      </c>
      <c r="AY50" s="6" t="s">
        <v>675</v>
      </c>
      <c r="AZ50" s="6" t="s">
        <v>676</v>
      </c>
      <c r="BA50" s="6" t="s">
        <v>677</v>
      </c>
      <c r="BB50" s="6"/>
      <c r="BC50" s="11" t="str">
        <f aca="false">IFERROR(INDEX(CATEGORY_MASTER!$C$4:$C$30,MATCH(B50,CATEGORY_MASTER!$A$4:$A$30,0)),"")</f>
        <v>🏦</v>
      </c>
      <c r="BD50" s="7" t="str">
        <f aca="false">"/services/"&amp;AO50</f>
        <v>/services/hdfc-bc-aeps-cash-withdrawal</v>
      </c>
      <c r="BE50" s="7" t="str">
        <f aca="false">IF(AND(AH50="Yes",AG50="Active",I50&lt;&gt;"Not Available"),"LIVE","HIDDEN")</f>
        <v>HIDDEN</v>
      </c>
      <c r="BF50" s="6" t="s">
        <v>139</v>
      </c>
      <c r="BG50" s="6" t="s">
        <v>93</v>
      </c>
      <c r="BH50" s="7" t="str">
        <f aca="false">B50&amp;"|"&amp;COUNTIF($B$4:B50,B50)</f>
        <v>HDFC Bank BC Point|5</v>
      </c>
      <c r="BI50" s="7" t="str">
        <f aca="false">IF(AND(AI50="Yes",BE50="LIVE"),COUNTIFS($AI$4:AI50,"Yes",$BE$4:BE50,"LIVE"),"")</f>
        <v/>
      </c>
      <c r="BJ50" s="7" t="str">
        <f aca="false">IF(AND(AJ50="Yes",BE50="LIVE"),COUNTIFS($AJ$4:AJ50,"Yes",$BE$4:BE50,"LIVE"),"")</f>
        <v/>
      </c>
      <c r="BK50" s="7" t="str">
        <f aca="false">IF(AND(AK50="Yes",BE50="LIVE"),COUNTIFS($AK$4:AK50,"Yes",$BE$4:BE50,"LIVE"),"")</f>
        <v/>
      </c>
      <c r="BL50" s="7" t="str">
        <f aca="false">IF(I50="To Verify",COUNTIF($I$4:I50,"To Verify"),"")</f>
        <v/>
      </c>
    </row>
    <row r="51" customFormat="false" ht="68.65" hidden="false" customHeight="false" outlineLevel="0" collapsed="false">
      <c r="A51" s="5" t="s">
        <v>678</v>
      </c>
      <c r="B51" s="6" t="s">
        <v>611</v>
      </c>
      <c r="C51" s="6" t="s">
        <v>612</v>
      </c>
      <c r="D51" s="6" t="s">
        <v>664</v>
      </c>
      <c r="E51" s="6" t="s">
        <v>679</v>
      </c>
      <c r="F51" s="6" t="s">
        <v>680</v>
      </c>
      <c r="G51" s="6" t="s">
        <v>681</v>
      </c>
      <c r="H51" s="6" t="s">
        <v>682</v>
      </c>
      <c r="I51" s="5" t="s">
        <v>12</v>
      </c>
      <c r="J51" s="7" t="str">
        <f aca="false">IFERROR(INDEX(AVAILABILITY_MASTER!$C$4:$C$10,MATCH(I51,AVAILABILITY_MASTER!$A$4:$A$10,0)),"To Be Confirmed")</f>
        <v>Please Confirm at Shop</v>
      </c>
      <c r="K51" s="6" t="s">
        <v>74</v>
      </c>
      <c r="L51" s="6" t="s">
        <v>75</v>
      </c>
      <c r="M51" s="7" t="str">
        <f aca="false">IFERROR(INDEX(SERVICE_DOCUMENTS!$S$4:$S$1000,MATCH(A51,SERVICE_DOCUMENTS!$A$4:$A$1000,0))&amp;"","")</f>
        <v>✓ Aadhaar Card
✓ Customer Presence for Biometrics</v>
      </c>
      <c r="N51" s="7" t="str">
        <f aca="false">IFERROR(INDEX(SERVICE_DOCUMENTS!$T$4:$T$1000,MATCH(A51,SERVICE_DOCUMENTS!$A$4:$A$1000,0))&amp;"","")</f>
        <v/>
      </c>
      <c r="O51" s="6" t="s">
        <v>669</v>
      </c>
      <c r="P51" s="6" t="s">
        <v>683</v>
      </c>
      <c r="Q51" s="6" t="s">
        <v>440</v>
      </c>
      <c r="R51" s="8" t="s">
        <v>75</v>
      </c>
      <c r="S51" s="8" t="s">
        <v>75</v>
      </c>
      <c r="T51" s="9" t="str">
        <f aca="false">IF(AND(OR(ISNUMBER(R51),R51="N/A"),OR(ISNUMBER(S51),S51="N/A"),OR(ISNUMBER(R51),ISNUMBER(S51))),N(R51)+N(S51),"To Verify")</f>
        <v>To Verify</v>
      </c>
      <c r="U51" s="6" t="s">
        <v>75</v>
      </c>
      <c r="V51" s="6" t="s">
        <v>79</v>
      </c>
      <c r="W51" s="6" t="s">
        <v>80</v>
      </c>
      <c r="X51" s="6" t="s">
        <v>81</v>
      </c>
      <c r="Y51" s="6" t="s">
        <v>79</v>
      </c>
      <c r="Z51" s="6"/>
      <c r="AA51" s="6" t="s">
        <v>74</v>
      </c>
      <c r="AB51" s="6" t="s">
        <v>74</v>
      </c>
      <c r="AC51" s="6" t="s">
        <v>75</v>
      </c>
      <c r="AD51" s="6" t="s">
        <v>75</v>
      </c>
      <c r="AE51" s="6" t="s">
        <v>79</v>
      </c>
      <c r="AF51" s="6" t="s">
        <v>79</v>
      </c>
      <c r="AG51" s="6" t="s">
        <v>75</v>
      </c>
      <c r="AH51" s="6" t="s">
        <v>79</v>
      </c>
      <c r="AI51" s="6" t="s">
        <v>79</v>
      </c>
      <c r="AJ51" s="6" t="s">
        <v>79</v>
      </c>
      <c r="AK51" s="6" t="s">
        <v>79</v>
      </c>
      <c r="AL51" s="6" t="s">
        <v>611</v>
      </c>
      <c r="AM51" s="6" t="s">
        <v>664</v>
      </c>
      <c r="AN51" s="7" t="str">
        <f aca="false">BA51&amp;", "&amp;AZ51</f>
        <v>HDFC BC – AEPS Balance Enquiry, HDFC Bank BC Point, Devmobile Stores, HDFC BC – AEPS बैलेंस पूछताछ, HDFC बैंक BC पॉइंट, सेवा</v>
      </c>
      <c r="AO51" s="6" t="s">
        <v>684</v>
      </c>
      <c r="AP51" s="5" t="s">
        <v>290</v>
      </c>
      <c r="AQ51" s="5" t="n">
        <v>60</v>
      </c>
      <c r="AR51" s="6" t="s">
        <v>672</v>
      </c>
      <c r="AS51" s="6" t="s">
        <v>623</v>
      </c>
      <c r="AT51" s="6" t="s">
        <v>86</v>
      </c>
      <c r="AU51" s="10"/>
      <c r="AV51" s="6" t="s">
        <v>75</v>
      </c>
      <c r="AW51" s="6"/>
      <c r="AX51" s="6" t="s">
        <v>685</v>
      </c>
      <c r="AY51" s="6" t="s">
        <v>686</v>
      </c>
      <c r="AZ51" s="6" t="s">
        <v>687</v>
      </c>
      <c r="BA51" s="6" t="s">
        <v>688</v>
      </c>
      <c r="BB51" s="6"/>
      <c r="BC51" s="11" t="str">
        <f aca="false">IFERROR(INDEX(CATEGORY_MASTER!$C$4:$C$30,MATCH(B51,CATEGORY_MASTER!$A$4:$A$30,0)),"")</f>
        <v>🏦</v>
      </c>
      <c r="BD51" s="7" t="str">
        <f aca="false">"/services/"&amp;AO51</f>
        <v>/services/hdfc-bc-aeps-balance-enquiry</v>
      </c>
      <c r="BE51" s="7" t="str">
        <f aca="false">IF(AND(AH51="Yes",AG51="Active",I51&lt;&gt;"Not Available"),"LIVE","HIDDEN")</f>
        <v>HIDDEN</v>
      </c>
      <c r="BF51" s="6" t="s">
        <v>139</v>
      </c>
      <c r="BG51" s="6" t="s">
        <v>93</v>
      </c>
      <c r="BH51" s="7" t="str">
        <f aca="false">B51&amp;"|"&amp;COUNTIF($B$4:B51,B51)</f>
        <v>HDFC Bank BC Point|6</v>
      </c>
      <c r="BI51" s="7" t="str">
        <f aca="false">IF(AND(AI51="Yes",BE51="LIVE"),COUNTIFS($AI$4:AI51,"Yes",$BE$4:BE51,"LIVE"),"")</f>
        <v/>
      </c>
      <c r="BJ51" s="7" t="str">
        <f aca="false">IF(AND(AJ51="Yes",BE51="LIVE"),COUNTIFS($AJ$4:AJ51,"Yes",$BE$4:BE51,"LIVE"),"")</f>
        <v/>
      </c>
      <c r="BK51" s="7" t="str">
        <f aca="false">IF(AND(AK51="Yes",BE51="LIVE"),COUNTIFS($AK$4:AK51,"Yes",$BE$4:BE51,"LIVE"),"")</f>
        <v/>
      </c>
      <c r="BL51" s="7" t="str">
        <f aca="false">IF(I51="To Verify",COUNTIF($I$4:I51,"To Verify"),"")</f>
        <v/>
      </c>
    </row>
    <row r="52" customFormat="false" ht="68.65" hidden="false" customHeight="false" outlineLevel="0" collapsed="false">
      <c r="A52" s="5" t="s">
        <v>689</v>
      </c>
      <c r="B52" s="6" t="s">
        <v>611</v>
      </c>
      <c r="C52" s="6" t="s">
        <v>612</v>
      </c>
      <c r="D52" s="6" t="s">
        <v>664</v>
      </c>
      <c r="E52" s="6" t="s">
        <v>690</v>
      </c>
      <c r="F52" s="6" t="s">
        <v>691</v>
      </c>
      <c r="G52" s="6" t="s">
        <v>692</v>
      </c>
      <c r="H52" s="6" t="s">
        <v>693</v>
      </c>
      <c r="I52" s="5" t="s">
        <v>12</v>
      </c>
      <c r="J52" s="7" t="str">
        <f aca="false">IFERROR(INDEX(AVAILABILITY_MASTER!$C$4:$C$10,MATCH(I52,AVAILABILITY_MASTER!$A$4:$A$10,0)),"To Be Confirmed")</f>
        <v>Please Confirm at Shop</v>
      </c>
      <c r="K52" s="6" t="s">
        <v>74</v>
      </c>
      <c r="L52" s="6" t="s">
        <v>75</v>
      </c>
      <c r="M52" s="7" t="str">
        <f aca="false">IFERROR(INDEX(SERVICE_DOCUMENTS!$S$4:$S$1000,MATCH(A52,SERVICE_DOCUMENTS!$A$4:$A$1000,0))&amp;"","")</f>
        <v>✓ Aadhaar Card
✓ Customer Presence for Biometrics</v>
      </c>
      <c r="N52" s="7" t="str">
        <f aca="false">IFERROR(INDEX(SERVICE_DOCUMENTS!$T$4:$T$1000,MATCH(A52,SERVICE_DOCUMENTS!$A$4:$A$1000,0))&amp;"","")</f>
        <v/>
      </c>
      <c r="O52" s="6" t="s">
        <v>669</v>
      </c>
      <c r="P52" s="6" t="s">
        <v>694</v>
      </c>
      <c r="Q52" s="6" t="s">
        <v>440</v>
      </c>
      <c r="R52" s="8" t="s">
        <v>75</v>
      </c>
      <c r="S52" s="8" t="s">
        <v>75</v>
      </c>
      <c r="T52" s="9" t="str">
        <f aca="false">IF(AND(OR(ISNUMBER(R52),R52="N/A"),OR(ISNUMBER(S52),S52="N/A"),OR(ISNUMBER(R52),ISNUMBER(S52))),N(R52)+N(S52),"To Verify")</f>
        <v>To Verify</v>
      </c>
      <c r="U52" s="6" t="s">
        <v>75</v>
      </c>
      <c r="V52" s="6" t="s">
        <v>79</v>
      </c>
      <c r="W52" s="6" t="s">
        <v>80</v>
      </c>
      <c r="X52" s="6" t="s">
        <v>81</v>
      </c>
      <c r="Y52" s="6" t="s">
        <v>79</v>
      </c>
      <c r="Z52" s="6"/>
      <c r="AA52" s="6" t="s">
        <v>74</v>
      </c>
      <c r="AB52" s="6" t="s">
        <v>74</v>
      </c>
      <c r="AC52" s="6" t="s">
        <v>75</v>
      </c>
      <c r="AD52" s="6" t="s">
        <v>75</v>
      </c>
      <c r="AE52" s="6" t="s">
        <v>79</v>
      </c>
      <c r="AF52" s="6" t="s">
        <v>79</v>
      </c>
      <c r="AG52" s="6" t="s">
        <v>75</v>
      </c>
      <c r="AH52" s="6" t="s">
        <v>79</v>
      </c>
      <c r="AI52" s="6" t="s">
        <v>79</v>
      </c>
      <c r="AJ52" s="6" t="s">
        <v>79</v>
      </c>
      <c r="AK52" s="6" t="s">
        <v>79</v>
      </c>
      <c r="AL52" s="6" t="s">
        <v>611</v>
      </c>
      <c r="AM52" s="6" t="s">
        <v>664</v>
      </c>
      <c r="AN52" s="7" t="str">
        <f aca="false">BA52&amp;", "&amp;AZ52</f>
        <v>HDFC BC – AEPS Mini Statement, HDFC Bank BC Point, Devmobile Stores, HDFC BC – AEPS मिनी स्टेटमेंट, HDFC बैंक BC पॉइंट, सेवा</v>
      </c>
      <c r="AO52" s="6" t="s">
        <v>695</v>
      </c>
      <c r="AP52" s="5" t="s">
        <v>290</v>
      </c>
      <c r="AQ52" s="5" t="n">
        <v>70</v>
      </c>
      <c r="AR52" s="6" t="s">
        <v>672</v>
      </c>
      <c r="AS52" s="6" t="s">
        <v>623</v>
      </c>
      <c r="AT52" s="6" t="s">
        <v>86</v>
      </c>
      <c r="AU52" s="10"/>
      <c r="AV52" s="6" t="s">
        <v>75</v>
      </c>
      <c r="AW52" s="6"/>
      <c r="AX52" s="6" t="s">
        <v>696</v>
      </c>
      <c r="AY52" s="6" t="s">
        <v>697</v>
      </c>
      <c r="AZ52" s="6" t="s">
        <v>698</v>
      </c>
      <c r="BA52" s="6" t="s">
        <v>699</v>
      </c>
      <c r="BB52" s="6"/>
      <c r="BC52" s="11" t="str">
        <f aca="false">IFERROR(INDEX(CATEGORY_MASTER!$C$4:$C$30,MATCH(B52,CATEGORY_MASTER!$A$4:$A$30,0)),"")</f>
        <v>🏦</v>
      </c>
      <c r="BD52" s="7" t="str">
        <f aca="false">"/services/"&amp;AO52</f>
        <v>/services/hdfc-bc-aeps-mini-statement</v>
      </c>
      <c r="BE52" s="7" t="str">
        <f aca="false">IF(AND(AH52="Yes",AG52="Active",I52&lt;&gt;"Not Available"),"LIVE","HIDDEN")</f>
        <v>HIDDEN</v>
      </c>
      <c r="BF52" s="6" t="s">
        <v>139</v>
      </c>
      <c r="BG52" s="6" t="s">
        <v>93</v>
      </c>
      <c r="BH52" s="7" t="str">
        <f aca="false">B52&amp;"|"&amp;COUNTIF($B$4:B52,B52)</f>
        <v>HDFC Bank BC Point|7</v>
      </c>
      <c r="BI52" s="7" t="str">
        <f aca="false">IF(AND(AI52="Yes",BE52="LIVE"),COUNTIFS($AI$4:AI52,"Yes",$BE$4:BE52,"LIVE"),"")</f>
        <v/>
      </c>
      <c r="BJ52" s="7" t="str">
        <f aca="false">IF(AND(AJ52="Yes",BE52="LIVE"),COUNTIFS($AJ$4:AJ52,"Yes",$BE$4:BE52,"LIVE"),"")</f>
        <v/>
      </c>
      <c r="BK52" s="7" t="str">
        <f aca="false">IF(AND(AK52="Yes",BE52="LIVE"),COUNTIFS($AK$4:AK52,"Yes",$BE$4:BE52,"LIVE"),"")</f>
        <v/>
      </c>
      <c r="BL52" s="7" t="str">
        <f aca="false">IF(I52="To Verify",COUNTIF($I$4:I52,"To Verify"),"")</f>
        <v/>
      </c>
    </row>
    <row r="53" customFormat="false" ht="79.85" hidden="false" customHeight="false" outlineLevel="0" collapsed="false">
      <c r="A53" s="5" t="s">
        <v>700</v>
      </c>
      <c r="B53" s="6" t="s">
        <v>611</v>
      </c>
      <c r="C53" s="6" t="s">
        <v>612</v>
      </c>
      <c r="D53" s="6" t="s">
        <v>664</v>
      </c>
      <c r="E53" s="6" t="s">
        <v>701</v>
      </c>
      <c r="F53" s="6" t="s">
        <v>702</v>
      </c>
      <c r="G53" s="6" t="s">
        <v>703</v>
      </c>
      <c r="H53" s="6" t="s">
        <v>704</v>
      </c>
      <c r="I53" s="5" t="s">
        <v>12</v>
      </c>
      <c r="J53" s="7" t="str">
        <f aca="false">IFERROR(INDEX(AVAILABILITY_MASTER!$C$4:$C$10,MATCH(I53,AVAILABILITY_MASTER!$A$4:$A$10,0)),"To Be Confirmed")</f>
        <v>Please Confirm at Shop</v>
      </c>
      <c r="K53" s="6" t="s">
        <v>74</v>
      </c>
      <c r="L53" s="6" t="s">
        <v>75</v>
      </c>
      <c r="M53" s="7" t="str">
        <f aca="false">IFERROR(INDEX(SERVICE_DOCUMENTS!$S$4:$S$1000,MATCH(A53,SERVICE_DOCUMENTS!$A$4:$A$1000,0))&amp;"","")</f>
        <v>✓ Aadhaar Card
✓ Customer Presence for Biometrics</v>
      </c>
      <c r="N53" s="7" t="str">
        <f aca="false">IFERROR(INDEX(SERVICE_DOCUMENTS!$T$4:$T$1000,MATCH(A53,SERVICE_DOCUMENTS!$A$4:$A$1000,0))&amp;"","")</f>
        <v/>
      </c>
      <c r="O53" s="6" t="s">
        <v>705</v>
      </c>
      <c r="P53" s="6" t="s">
        <v>706</v>
      </c>
      <c r="Q53" s="6" t="s">
        <v>440</v>
      </c>
      <c r="R53" s="8" t="s">
        <v>75</v>
      </c>
      <c r="S53" s="8" t="s">
        <v>75</v>
      </c>
      <c r="T53" s="9" t="str">
        <f aca="false">IF(AND(OR(ISNUMBER(R53),R53="N/A"),OR(ISNUMBER(S53),S53="N/A"),OR(ISNUMBER(R53),ISNUMBER(S53))),N(R53)+N(S53),"To Verify")</f>
        <v>To Verify</v>
      </c>
      <c r="U53" s="6" t="s">
        <v>75</v>
      </c>
      <c r="V53" s="6" t="s">
        <v>79</v>
      </c>
      <c r="W53" s="6" t="s">
        <v>80</v>
      </c>
      <c r="X53" s="6" t="s">
        <v>81</v>
      </c>
      <c r="Y53" s="6" t="s">
        <v>79</v>
      </c>
      <c r="Z53" s="6"/>
      <c r="AA53" s="6" t="s">
        <v>74</v>
      </c>
      <c r="AB53" s="6" t="s">
        <v>74</v>
      </c>
      <c r="AC53" s="6" t="s">
        <v>75</v>
      </c>
      <c r="AD53" s="6" t="s">
        <v>75</v>
      </c>
      <c r="AE53" s="6" t="s">
        <v>79</v>
      </c>
      <c r="AF53" s="6" t="s">
        <v>79</v>
      </c>
      <c r="AG53" s="6" t="s">
        <v>75</v>
      </c>
      <c r="AH53" s="6" t="s">
        <v>79</v>
      </c>
      <c r="AI53" s="6" t="s">
        <v>79</v>
      </c>
      <c r="AJ53" s="6" t="s">
        <v>79</v>
      </c>
      <c r="AK53" s="6" t="s">
        <v>79</v>
      </c>
      <c r="AL53" s="6" t="s">
        <v>611</v>
      </c>
      <c r="AM53" s="6" t="s">
        <v>664</v>
      </c>
      <c r="AN53" s="7" t="str">
        <f aca="false">BA53&amp;", "&amp;AZ53</f>
        <v>HDFC BC – Biometric Banking (Fingerprint Authenticated), HDFC Bank BC Point, Devmobile Stores, HDFC BC – बायोमेट्रिक बैंकिंग (फिंगरप्रिंट सत्यापित), HDFC बैंक BC पॉइंट, सेवा</v>
      </c>
      <c r="AO53" s="6" t="s">
        <v>707</v>
      </c>
      <c r="AP53" s="5" t="s">
        <v>290</v>
      </c>
      <c r="AQ53" s="5" t="n">
        <v>80</v>
      </c>
      <c r="AR53" s="6" t="s">
        <v>133</v>
      </c>
      <c r="AS53" s="6" t="s">
        <v>623</v>
      </c>
      <c r="AT53" s="6" t="s">
        <v>86</v>
      </c>
      <c r="AU53" s="10"/>
      <c r="AV53" s="6" t="s">
        <v>75</v>
      </c>
      <c r="AW53" s="6"/>
      <c r="AX53" s="6" t="s">
        <v>708</v>
      </c>
      <c r="AY53" s="6" t="s">
        <v>709</v>
      </c>
      <c r="AZ53" s="6" t="s">
        <v>710</v>
      </c>
      <c r="BA53" s="6" t="s">
        <v>711</v>
      </c>
      <c r="BB53" s="6"/>
      <c r="BC53" s="11" t="str">
        <f aca="false">IFERROR(INDEX(CATEGORY_MASTER!$C$4:$C$30,MATCH(B53,CATEGORY_MASTER!$A$4:$A$30,0)),"")</f>
        <v>🏦</v>
      </c>
      <c r="BD53" s="7" t="str">
        <f aca="false">"/services/"&amp;AO53</f>
        <v>/services/hdfc-bc-biometric-banking-fingerprint-authenticated</v>
      </c>
      <c r="BE53" s="7" t="str">
        <f aca="false">IF(AND(AH53="Yes",AG53="Active",I53&lt;&gt;"Not Available"),"LIVE","HIDDEN")</f>
        <v>HIDDEN</v>
      </c>
      <c r="BF53" s="6" t="s">
        <v>139</v>
      </c>
      <c r="BG53" s="6" t="s">
        <v>93</v>
      </c>
      <c r="BH53" s="7" t="str">
        <f aca="false">B53&amp;"|"&amp;COUNTIF($B$4:B53,B53)</f>
        <v>HDFC Bank BC Point|8</v>
      </c>
      <c r="BI53" s="7" t="str">
        <f aca="false">IF(AND(AI53="Yes",BE53="LIVE"),COUNTIFS($AI$4:AI53,"Yes",$BE$4:BE53,"LIVE"),"")</f>
        <v/>
      </c>
      <c r="BJ53" s="7" t="str">
        <f aca="false">IF(AND(AJ53="Yes",BE53="LIVE"),COUNTIFS($AJ$4:AJ53,"Yes",$BE$4:BE53,"LIVE"),"")</f>
        <v/>
      </c>
      <c r="BK53" s="7" t="str">
        <f aca="false">IF(AND(AK53="Yes",BE53="LIVE"),COUNTIFS($AK$4:AK53,"Yes",$BE$4:BE53,"LIVE"),"")</f>
        <v/>
      </c>
      <c r="BL53" s="7" t="str">
        <f aca="false">IF(I53="To Verify",COUNTIF($I$4:I53,"To Verify"),"")</f>
        <v/>
      </c>
    </row>
    <row r="54" customFormat="false" ht="68.65" hidden="false" customHeight="false" outlineLevel="0" collapsed="false">
      <c r="A54" s="5" t="s">
        <v>712</v>
      </c>
      <c r="B54" s="6" t="s">
        <v>611</v>
      </c>
      <c r="C54" s="6" t="s">
        <v>612</v>
      </c>
      <c r="D54" s="6" t="s">
        <v>713</v>
      </c>
      <c r="E54" s="6" t="s">
        <v>714</v>
      </c>
      <c r="F54" s="6" t="s">
        <v>715</v>
      </c>
      <c r="G54" s="6" t="s">
        <v>716</v>
      </c>
      <c r="H54" s="6" t="s">
        <v>717</v>
      </c>
      <c r="I54" s="5" t="s">
        <v>12</v>
      </c>
      <c r="J54" s="7" t="str">
        <f aca="false">IFERROR(INDEX(AVAILABILITY_MASTER!$C$4:$C$10,MATCH(I54,AVAILABILITY_MASTER!$A$4:$A$10,0)),"To Be Confirmed")</f>
        <v>Please Confirm at Shop</v>
      </c>
      <c r="K54" s="6" t="s">
        <v>74</v>
      </c>
      <c r="L54" s="6" t="s">
        <v>75</v>
      </c>
      <c r="M54" s="7" t="str">
        <f aca="false">IFERROR(INDEX(SERVICE_DOCUMENTS!$S$4:$S$1000,MATCH(A54,SERVICE_DOCUMENTS!$A$4:$A$1000,0))&amp;"","")</f>
        <v>✓ Debit Card</v>
      </c>
      <c r="N54" s="7" t="str">
        <f aca="false">IFERROR(INDEX(SERVICE_DOCUMENTS!$T$4:$T$1000,MATCH(A54,SERVICE_DOCUMENTS!$A$4:$A$1000,0))&amp;"","")</f>
        <v/>
      </c>
      <c r="O54" s="6" t="s">
        <v>718</v>
      </c>
      <c r="P54" s="6" t="s">
        <v>719</v>
      </c>
      <c r="Q54" s="6" t="s">
        <v>440</v>
      </c>
      <c r="R54" s="8" t="s">
        <v>75</v>
      </c>
      <c r="S54" s="8" t="s">
        <v>75</v>
      </c>
      <c r="T54" s="9" t="str">
        <f aca="false">IF(AND(OR(ISNUMBER(R54),R54="N/A"),OR(ISNUMBER(S54),S54="N/A"),OR(ISNUMBER(R54),ISNUMBER(S54))),N(R54)+N(S54),"To Verify")</f>
        <v>To Verify</v>
      </c>
      <c r="U54" s="6" t="s">
        <v>75</v>
      </c>
      <c r="V54" s="6" t="s">
        <v>79</v>
      </c>
      <c r="W54" s="6" t="s">
        <v>80</v>
      </c>
      <c r="X54" s="6" t="s">
        <v>81</v>
      </c>
      <c r="Y54" s="6" t="s">
        <v>79</v>
      </c>
      <c r="Z54" s="6"/>
      <c r="AA54" s="6" t="s">
        <v>74</v>
      </c>
      <c r="AB54" s="6" t="s">
        <v>74</v>
      </c>
      <c r="AC54" s="6" t="s">
        <v>75</v>
      </c>
      <c r="AD54" s="6" t="s">
        <v>75</v>
      </c>
      <c r="AE54" s="6" t="s">
        <v>79</v>
      </c>
      <c r="AF54" s="6" t="s">
        <v>79</v>
      </c>
      <c r="AG54" s="6" t="s">
        <v>75</v>
      </c>
      <c r="AH54" s="6" t="s">
        <v>79</v>
      </c>
      <c r="AI54" s="6" t="s">
        <v>79</v>
      </c>
      <c r="AJ54" s="6" t="s">
        <v>79</v>
      </c>
      <c r="AK54" s="6" t="s">
        <v>79</v>
      </c>
      <c r="AL54" s="6" t="s">
        <v>611</v>
      </c>
      <c r="AM54" s="6" t="s">
        <v>713</v>
      </c>
      <c r="AN54" s="7" t="str">
        <f aca="false">BA54&amp;", "&amp;AZ54</f>
        <v>HDFC BC – Micro ATM Cash Withdrawal, HDFC Bank BC Point, Devmobile Stores, HDFC BC – Micro ATM नकद निकासी, HDFC बैंक BC पॉइंट, सेवा</v>
      </c>
      <c r="AO54" s="6" t="s">
        <v>720</v>
      </c>
      <c r="AP54" s="5" t="s">
        <v>721</v>
      </c>
      <c r="AQ54" s="5" t="n">
        <v>90</v>
      </c>
      <c r="AR54" s="6" t="s">
        <v>722</v>
      </c>
      <c r="AS54" s="6" t="s">
        <v>623</v>
      </c>
      <c r="AT54" s="6" t="s">
        <v>86</v>
      </c>
      <c r="AU54" s="10"/>
      <c r="AV54" s="6" t="s">
        <v>75</v>
      </c>
      <c r="AW54" s="6" t="s">
        <v>723</v>
      </c>
      <c r="AX54" s="6" t="s">
        <v>724</v>
      </c>
      <c r="AY54" s="6" t="s">
        <v>725</v>
      </c>
      <c r="AZ54" s="6" t="s">
        <v>726</v>
      </c>
      <c r="BA54" s="6" t="s">
        <v>727</v>
      </c>
      <c r="BB54" s="6"/>
      <c r="BC54" s="11" t="str">
        <f aca="false">IFERROR(INDEX(CATEGORY_MASTER!$C$4:$C$30,MATCH(B54,CATEGORY_MASTER!$A$4:$A$30,0)),"")</f>
        <v>🏦</v>
      </c>
      <c r="BD54" s="7" t="str">
        <f aca="false">"/services/"&amp;AO54</f>
        <v>/services/hdfc-bc-micro-atm-cash-withdrawal</v>
      </c>
      <c r="BE54" s="7" t="str">
        <f aca="false">IF(AND(AH54="Yes",AG54="Active",I54&lt;&gt;"Not Available"),"LIVE","HIDDEN")</f>
        <v>HIDDEN</v>
      </c>
      <c r="BF54" s="6" t="s">
        <v>139</v>
      </c>
      <c r="BG54" s="6" t="s">
        <v>93</v>
      </c>
      <c r="BH54" s="7" t="str">
        <f aca="false">B54&amp;"|"&amp;COUNTIF($B$4:B54,B54)</f>
        <v>HDFC Bank BC Point|9</v>
      </c>
      <c r="BI54" s="7" t="str">
        <f aca="false">IF(AND(AI54="Yes",BE54="LIVE"),COUNTIFS($AI$4:AI54,"Yes",$BE$4:BE54,"LIVE"),"")</f>
        <v/>
      </c>
      <c r="BJ54" s="7" t="str">
        <f aca="false">IF(AND(AJ54="Yes",BE54="LIVE"),COUNTIFS($AJ$4:AJ54,"Yes",$BE$4:BE54,"LIVE"),"")</f>
        <v/>
      </c>
      <c r="BK54" s="7" t="str">
        <f aca="false">IF(AND(AK54="Yes",BE54="LIVE"),COUNTIFS($AK$4:AK54,"Yes",$BE$4:BE54,"LIVE"),"")</f>
        <v/>
      </c>
      <c r="BL54" s="7" t="str">
        <f aca="false">IF(I54="To Verify",COUNTIF($I$4:I54,"To Verify"),"")</f>
        <v/>
      </c>
    </row>
    <row r="55" customFormat="false" ht="68.65" hidden="false" customHeight="false" outlineLevel="0" collapsed="false">
      <c r="A55" s="5" t="s">
        <v>728</v>
      </c>
      <c r="B55" s="6" t="s">
        <v>611</v>
      </c>
      <c r="C55" s="6" t="s">
        <v>612</v>
      </c>
      <c r="D55" s="6" t="s">
        <v>713</v>
      </c>
      <c r="E55" s="6" t="s">
        <v>729</v>
      </c>
      <c r="F55" s="6" t="s">
        <v>730</v>
      </c>
      <c r="G55" s="6" t="s">
        <v>731</v>
      </c>
      <c r="H55" s="6" t="s">
        <v>732</v>
      </c>
      <c r="I55" s="5" t="s">
        <v>12</v>
      </c>
      <c r="J55" s="7" t="str">
        <f aca="false">IFERROR(INDEX(AVAILABILITY_MASTER!$C$4:$C$10,MATCH(I55,AVAILABILITY_MASTER!$A$4:$A$10,0)),"To Be Confirmed")</f>
        <v>Please Confirm at Shop</v>
      </c>
      <c r="K55" s="6" t="s">
        <v>74</v>
      </c>
      <c r="L55" s="6" t="s">
        <v>75</v>
      </c>
      <c r="M55" s="7" t="str">
        <f aca="false">IFERROR(INDEX(SERVICE_DOCUMENTS!$S$4:$S$1000,MATCH(A55,SERVICE_DOCUMENTS!$A$4:$A$1000,0))&amp;"","")</f>
        <v>✓ Debit Card</v>
      </c>
      <c r="N55" s="7" t="str">
        <f aca="false">IFERROR(INDEX(SERVICE_DOCUMENTS!$T$4:$T$1000,MATCH(A55,SERVICE_DOCUMENTS!$A$4:$A$1000,0))&amp;"","")</f>
        <v/>
      </c>
      <c r="O55" s="6" t="s">
        <v>718</v>
      </c>
      <c r="P55" s="6" t="s">
        <v>719</v>
      </c>
      <c r="Q55" s="6" t="s">
        <v>440</v>
      </c>
      <c r="R55" s="8" t="s">
        <v>75</v>
      </c>
      <c r="S55" s="8" t="s">
        <v>75</v>
      </c>
      <c r="T55" s="9" t="str">
        <f aca="false">IF(AND(OR(ISNUMBER(R55),R55="N/A"),OR(ISNUMBER(S55),S55="N/A"),OR(ISNUMBER(R55),ISNUMBER(S55))),N(R55)+N(S55),"To Verify")</f>
        <v>To Verify</v>
      </c>
      <c r="U55" s="6" t="s">
        <v>75</v>
      </c>
      <c r="V55" s="6" t="s">
        <v>79</v>
      </c>
      <c r="W55" s="6" t="s">
        <v>80</v>
      </c>
      <c r="X55" s="6" t="s">
        <v>81</v>
      </c>
      <c r="Y55" s="6" t="s">
        <v>79</v>
      </c>
      <c r="Z55" s="6"/>
      <c r="AA55" s="6" t="s">
        <v>74</v>
      </c>
      <c r="AB55" s="6" t="s">
        <v>74</v>
      </c>
      <c r="AC55" s="6" t="s">
        <v>75</v>
      </c>
      <c r="AD55" s="6" t="s">
        <v>75</v>
      </c>
      <c r="AE55" s="6" t="s">
        <v>79</v>
      </c>
      <c r="AF55" s="6" t="s">
        <v>79</v>
      </c>
      <c r="AG55" s="6" t="s">
        <v>75</v>
      </c>
      <c r="AH55" s="6" t="s">
        <v>79</v>
      </c>
      <c r="AI55" s="6" t="s">
        <v>79</v>
      </c>
      <c r="AJ55" s="6" t="s">
        <v>79</v>
      </c>
      <c r="AK55" s="6" t="s">
        <v>79</v>
      </c>
      <c r="AL55" s="6" t="s">
        <v>611</v>
      </c>
      <c r="AM55" s="6" t="s">
        <v>713</v>
      </c>
      <c r="AN55" s="7" t="str">
        <f aca="false">BA55&amp;", "&amp;AZ55</f>
        <v>HDFC BC – Micro ATM Balance Enquiry, HDFC Bank BC Point, Devmobile Stores, HDFC BC – Micro ATM बैलेंस पूछताछ, HDFC बैंक BC पॉइंट, सेवा</v>
      </c>
      <c r="AO55" s="6" t="s">
        <v>733</v>
      </c>
      <c r="AP55" s="5" t="s">
        <v>721</v>
      </c>
      <c r="AQ55" s="5" t="n">
        <v>100</v>
      </c>
      <c r="AR55" s="6" t="s">
        <v>722</v>
      </c>
      <c r="AS55" s="6" t="s">
        <v>623</v>
      </c>
      <c r="AT55" s="6" t="s">
        <v>86</v>
      </c>
      <c r="AU55" s="10"/>
      <c r="AV55" s="6" t="s">
        <v>75</v>
      </c>
      <c r="AW55" s="6"/>
      <c r="AX55" s="6" t="s">
        <v>734</v>
      </c>
      <c r="AY55" s="6" t="s">
        <v>735</v>
      </c>
      <c r="AZ55" s="6" t="s">
        <v>736</v>
      </c>
      <c r="BA55" s="6" t="s">
        <v>737</v>
      </c>
      <c r="BB55" s="6"/>
      <c r="BC55" s="11" t="str">
        <f aca="false">IFERROR(INDEX(CATEGORY_MASTER!$C$4:$C$30,MATCH(B55,CATEGORY_MASTER!$A$4:$A$30,0)),"")</f>
        <v>🏦</v>
      </c>
      <c r="BD55" s="7" t="str">
        <f aca="false">"/services/"&amp;AO55</f>
        <v>/services/hdfc-bc-micro-atm-balance-enquiry</v>
      </c>
      <c r="BE55" s="7" t="str">
        <f aca="false">IF(AND(AH55="Yes",AG55="Active",I55&lt;&gt;"Not Available"),"LIVE","HIDDEN")</f>
        <v>HIDDEN</v>
      </c>
      <c r="BF55" s="6" t="s">
        <v>139</v>
      </c>
      <c r="BG55" s="6" t="s">
        <v>93</v>
      </c>
      <c r="BH55" s="7" t="str">
        <f aca="false">B55&amp;"|"&amp;COUNTIF($B$4:B55,B55)</f>
        <v>HDFC Bank BC Point|10</v>
      </c>
      <c r="BI55" s="7" t="str">
        <f aca="false">IF(AND(AI55="Yes",BE55="LIVE"),COUNTIFS($AI$4:AI55,"Yes",$BE$4:BE55,"LIVE"),"")</f>
        <v/>
      </c>
      <c r="BJ55" s="7" t="str">
        <f aca="false">IF(AND(AJ55="Yes",BE55="LIVE"),COUNTIFS($AJ$4:AJ55,"Yes",$BE$4:BE55,"LIVE"),"")</f>
        <v/>
      </c>
      <c r="BK55" s="7" t="str">
        <f aca="false">IF(AND(AK55="Yes",BE55="LIVE"),COUNTIFS($AK$4:AK55,"Yes",$BE$4:BE55,"LIVE"),"")</f>
        <v/>
      </c>
      <c r="BL55" s="7" t="str">
        <f aca="false">IF(I55="To Verify",COUNTIF($I$4:I55,"To Verify"),"")</f>
        <v/>
      </c>
    </row>
    <row r="56" customFormat="false" ht="68.65" hidden="false" customHeight="false" outlineLevel="0" collapsed="false">
      <c r="A56" s="5" t="s">
        <v>738</v>
      </c>
      <c r="B56" s="6" t="s">
        <v>611</v>
      </c>
      <c r="C56" s="6" t="s">
        <v>612</v>
      </c>
      <c r="D56" s="6" t="s">
        <v>713</v>
      </c>
      <c r="E56" s="6" t="s">
        <v>739</v>
      </c>
      <c r="F56" s="6" t="s">
        <v>740</v>
      </c>
      <c r="G56" s="6" t="s">
        <v>741</v>
      </c>
      <c r="H56" s="6" t="s">
        <v>742</v>
      </c>
      <c r="I56" s="5" t="s">
        <v>12</v>
      </c>
      <c r="J56" s="7" t="str">
        <f aca="false">IFERROR(INDEX(AVAILABILITY_MASTER!$C$4:$C$10,MATCH(I56,AVAILABILITY_MASTER!$A$4:$A$10,0)),"To Be Confirmed")</f>
        <v>Please Confirm at Shop</v>
      </c>
      <c r="K56" s="6" t="s">
        <v>74</v>
      </c>
      <c r="L56" s="6" t="s">
        <v>75</v>
      </c>
      <c r="M56" s="7" t="str">
        <f aca="false">IFERROR(INDEX(SERVICE_DOCUMENTS!$S$4:$S$1000,MATCH(A56,SERVICE_DOCUMENTS!$A$4:$A$1000,0))&amp;"","")</f>
        <v>✓ Debit Card</v>
      </c>
      <c r="N56" s="7" t="str">
        <f aca="false">IFERROR(INDEX(SERVICE_DOCUMENTS!$T$4:$T$1000,MATCH(A56,SERVICE_DOCUMENTS!$A$4:$A$1000,0))&amp;"","")</f>
        <v/>
      </c>
      <c r="O56" s="6" t="s">
        <v>718</v>
      </c>
      <c r="P56" s="6" t="s">
        <v>719</v>
      </c>
      <c r="Q56" s="6" t="s">
        <v>440</v>
      </c>
      <c r="R56" s="8" t="s">
        <v>75</v>
      </c>
      <c r="S56" s="8" t="s">
        <v>75</v>
      </c>
      <c r="T56" s="9" t="str">
        <f aca="false">IF(AND(OR(ISNUMBER(R56),R56="N/A"),OR(ISNUMBER(S56),S56="N/A"),OR(ISNUMBER(R56),ISNUMBER(S56))),N(R56)+N(S56),"To Verify")</f>
        <v>To Verify</v>
      </c>
      <c r="U56" s="6" t="s">
        <v>75</v>
      </c>
      <c r="V56" s="6" t="s">
        <v>79</v>
      </c>
      <c r="W56" s="6" t="s">
        <v>80</v>
      </c>
      <c r="X56" s="6" t="s">
        <v>81</v>
      </c>
      <c r="Y56" s="6" t="s">
        <v>79</v>
      </c>
      <c r="Z56" s="6"/>
      <c r="AA56" s="6" t="s">
        <v>74</v>
      </c>
      <c r="AB56" s="6" t="s">
        <v>74</v>
      </c>
      <c r="AC56" s="6" t="s">
        <v>75</v>
      </c>
      <c r="AD56" s="6" t="s">
        <v>75</v>
      </c>
      <c r="AE56" s="6" t="s">
        <v>79</v>
      </c>
      <c r="AF56" s="6" t="s">
        <v>79</v>
      </c>
      <c r="AG56" s="6" t="s">
        <v>75</v>
      </c>
      <c r="AH56" s="6" t="s">
        <v>79</v>
      </c>
      <c r="AI56" s="6" t="s">
        <v>79</v>
      </c>
      <c r="AJ56" s="6" t="s">
        <v>79</v>
      </c>
      <c r="AK56" s="6" t="s">
        <v>79</v>
      </c>
      <c r="AL56" s="6" t="s">
        <v>611</v>
      </c>
      <c r="AM56" s="6" t="s">
        <v>713</v>
      </c>
      <c r="AN56" s="7" t="str">
        <f aca="false">BA56&amp;", "&amp;AZ56</f>
        <v>HDFC BC – Micro ATM Mini Statement, HDFC Bank BC Point, Devmobile Stores, HDFC BC – Micro ATM मिनी स्टेटमेंट, HDFC बैंक BC पॉइंट, सेवा</v>
      </c>
      <c r="AO56" s="6" t="s">
        <v>743</v>
      </c>
      <c r="AP56" s="5" t="s">
        <v>721</v>
      </c>
      <c r="AQ56" s="5" t="n">
        <v>110</v>
      </c>
      <c r="AR56" s="6" t="s">
        <v>722</v>
      </c>
      <c r="AS56" s="6" t="s">
        <v>623</v>
      </c>
      <c r="AT56" s="6" t="s">
        <v>86</v>
      </c>
      <c r="AU56" s="10"/>
      <c r="AV56" s="6" t="s">
        <v>75</v>
      </c>
      <c r="AW56" s="6"/>
      <c r="AX56" s="6" t="s">
        <v>744</v>
      </c>
      <c r="AY56" s="6" t="s">
        <v>745</v>
      </c>
      <c r="AZ56" s="6" t="s">
        <v>746</v>
      </c>
      <c r="BA56" s="6" t="s">
        <v>747</v>
      </c>
      <c r="BB56" s="6"/>
      <c r="BC56" s="11" t="str">
        <f aca="false">IFERROR(INDEX(CATEGORY_MASTER!$C$4:$C$30,MATCH(B56,CATEGORY_MASTER!$A$4:$A$30,0)),"")</f>
        <v>🏦</v>
      </c>
      <c r="BD56" s="7" t="str">
        <f aca="false">"/services/"&amp;AO56</f>
        <v>/services/hdfc-bc-micro-atm-mini-statement</v>
      </c>
      <c r="BE56" s="7" t="str">
        <f aca="false">IF(AND(AH56="Yes",AG56="Active",I56&lt;&gt;"Not Available"),"LIVE","HIDDEN")</f>
        <v>HIDDEN</v>
      </c>
      <c r="BF56" s="6" t="s">
        <v>139</v>
      </c>
      <c r="BG56" s="6" t="s">
        <v>93</v>
      </c>
      <c r="BH56" s="7" t="str">
        <f aca="false">B56&amp;"|"&amp;COUNTIF($B$4:B56,B56)</f>
        <v>HDFC Bank BC Point|11</v>
      </c>
      <c r="BI56" s="7" t="str">
        <f aca="false">IF(AND(AI56="Yes",BE56="LIVE"),COUNTIFS($AI$4:AI56,"Yes",$BE$4:BE56,"LIVE"),"")</f>
        <v/>
      </c>
      <c r="BJ56" s="7" t="str">
        <f aca="false">IF(AND(AJ56="Yes",BE56="LIVE"),COUNTIFS($AJ$4:AJ56,"Yes",$BE$4:BE56,"LIVE"),"")</f>
        <v/>
      </c>
      <c r="BK56" s="7" t="str">
        <f aca="false">IF(AND(AK56="Yes",BE56="LIVE"),COUNTIFS($AK$4:AK56,"Yes",$BE$4:BE56,"LIVE"),"")</f>
        <v/>
      </c>
      <c r="BL56" s="7" t="str">
        <f aca="false">IF(I56="To Verify",COUNTIF($I$4:I56,"To Verify"),"")</f>
        <v/>
      </c>
    </row>
    <row r="57" customFormat="false" ht="68.65" hidden="false" customHeight="false" outlineLevel="0" collapsed="false">
      <c r="A57" s="5" t="s">
        <v>748</v>
      </c>
      <c r="B57" s="6" t="s">
        <v>611</v>
      </c>
      <c r="C57" s="6" t="s">
        <v>612</v>
      </c>
      <c r="D57" s="6" t="s">
        <v>749</v>
      </c>
      <c r="E57" s="6" t="s">
        <v>750</v>
      </c>
      <c r="F57" s="6" t="s">
        <v>751</v>
      </c>
      <c r="G57" s="6" t="s">
        <v>752</v>
      </c>
      <c r="H57" s="6" t="s">
        <v>753</v>
      </c>
      <c r="I57" s="5" t="s">
        <v>12</v>
      </c>
      <c r="J57" s="7" t="str">
        <f aca="false">IFERROR(INDEX(AVAILABILITY_MASTER!$C$4:$C$10,MATCH(I57,AVAILABILITY_MASTER!$A$4:$A$10,0)),"To Be Confirmed")</f>
        <v>Please Confirm at Shop</v>
      </c>
      <c r="K57" s="6" t="s">
        <v>74</v>
      </c>
      <c r="L57" s="6" t="s">
        <v>75</v>
      </c>
      <c r="M57" s="7" t="str">
        <f aca="false">IFERROR(INDEX(SERVICE_DOCUMENTS!$S$4:$S$1000,MATCH(A57,SERVICE_DOCUMENTS!$A$4:$A$1000,0))&amp;"","")</f>
        <v>✓ Beneficiary Account Details
✓ Cash Amount
✓ Active Mobile Number</v>
      </c>
      <c r="N57" s="7" t="str">
        <f aca="false">IFERROR(INDEX(SERVICE_DOCUMENTS!$T$4:$T$1000,MATCH(A57,SERVICE_DOCUMENTS!$A$4:$A$1000,0))&amp;"","")</f>
        <v>• Identity Proof (To Verify)</v>
      </c>
      <c r="O57" s="6" t="s">
        <v>754</v>
      </c>
      <c r="P57" s="6" t="s">
        <v>755</v>
      </c>
      <c r="Q57" s="6" t="s">
        <v>756</v>
      </c>
      <c r="R57" s="8" t="s">
        <v>75</v>
      </c>
      <c r="S57" s="8" t="s">
        <v>75</v>
      </c>
      <c r="T57" s="9" t="str">
        <f aca="false">IF(AND(OR(ISNUMBER(R57),R57="N/A"),OR(ISNUMBER(S57),S57="N/A"),OR(ISNUMBER(R57),ISNUMBER(S57))),N(R57)+N(S57),"To Verify")</f>
        <v>To Verify</v>
      </c>
      <c r="U57" s="6" t="s">
        <v>75</v>
      </c>
      <c r="V57" s="6" t="s">
        <v>79</v>
      </c>
      <c r="W57" s="6" t="s">
        <v>80</v>
      </c>
      <c r="X57" s="6" t="s">
        <v>81</v>
      </c>
      <c r="Y57" s="6" t="s">
        <v>79</v>
      </c>
      <c r="Z57" s="6"/>
      <c r="AA57" s="6" t="s">
        <v>74</v>
      </c>
      <c r="AB57" s="6" t="s">
        <v>74</v>
      </c>
      <c r="AC57" s="6" t="s">
        <v>75</v>
      </c>
      <c r="AD57" s="6" t="s">
        <v>75</v>
      </c>
      <c r="AE57" s="6" t="s">
        <v>79</v>
      </c>
      <c r="AF57" s="6" t="s">
        <v>79</v>
      </c>
      <c r="AG57" s="6" t="s">
        <v>75</v>
      </c>
      <c r="AH57" s="6" t="s">
        <v>79</v>
      </c>
      <c r="AI57" s="6" t="s">
        <v>79</v>
      </c>
      <c r="AJ57" s="6" t="s">
        <v>79</v>
      </c>
      <c r="AK57" s="6" t="s">
        <v>79</v>
      </c>
      <c r="AL57" s="6" t="s">
        <v>611</v>
      </c>
      <c r="AM57" s="6" t="s">
        <v>749</v>
      </c>
      <c r="AN57" s="7" t="str">
        <f aca="false">BA57&amp;", "&amp;AZ57</f>
        <v>HDFC BC – Money Transfer (Domestic), HDFC Bank BC Point, Devmobile Stores, HDFC BC – मनी ट्रांसफर (घरेलू), HDFC बैंक BC पॉइंट, सेवा</v>
      </c>
      <c r="AO57" s="6" t="s">
        <v>757</v>
      </c>
      <c r="AP57" s="5" t="s">
        <v>758</v>
      </c>
      <c r="AQ57" s="5" t="n">
        <v>120</v>
      </c>
      <c r="AR57" s="6" t="s">
        <v>133</v>
      </c>
      <c r="AS57" s="6" t="s">
        <v>623</v>
      </c>
      <c r="AT57" s="6" t="s">
        <v>86</v>
      </c>
      <c r="AU57" s="10"/>
      <c r="AV57" s="6" t="s">
        <v>75</v>
      </c>
      <c r="AW57" s="6" t="s">
        <v>759</v>
      </c>
      <c r="AX57" s="6" t="s">
        <v>760</v>
      </c>
      <c r="AY57" s="6" t="s">
        <v>761</v>
      </c>
      <c r="AZ57" s="6" t="s">
        <v>762</v>
      </c>
      <c r="BA57" s="6" t="s">
        <v>763</v>
      </c>
      <c r="BB57" s="6"/>
      <c r="BC57" s="11" t="str">
        <f aca="false">IFERROR(INDEX(CATEGORY_MASTER!$C$4:$C$30,MATCH(B57,CATEGORY_MASTER!$A$4:$A$30,0)),"")</f>
        <v>🏦</v>
      </c>
      <c r="BD57" s="7" t="str">
        <f aca="false">"/services/"&amp;AO57</f>
        <v>/services/hdfc-bc-money-transfer-domestic</v>
      </c>
      <c r="BE57" s="7" t="str">
        <f aca="false">IF(AND(AH57="Yes",AG57="Active",I57&lt;&gt;"Not Available"),"LIVE","HIDDEN")</f>
        <v>HIDDEN</v>
      </c>
      <c r="BF57" s="6" t="s">
        <v>139</v>
      </c>
      <c r="BG57" s="6" t="s">
        <v>93</v>
      </c>
      <c r="BH57" s="7" t="str">
        <f aca="false">B57&amp;"|"&amp;COUNTIF($B$4:B57,B57)</f>
        <v>HDFC Bank BC Point|12</v>
      </c>
      <c r="BI57" s="7" t="str">
        <f aca="false">IF(AND(AI57="Yes",BE57="LIVE"),COUNTIFS($AI$4:AI57,"Yes",$BE$4:BE57,"LIVE"),"")</f>
        <v/>
      </c>
      <c r="BJ57" s="7" t="str">
        <f aca="false">IF(AND(AJ57="Yes",BE57="LIVE"),COUNTIFS($AJ$4:AJ57,"Yes",$BE$4:BE57,"LIVE"),"")</f>
        <v/>
      </c>
      <c r="BK57" s="7" t="str">
        <f aca="false">IF(AND(AK57="Yes",BE57="LIVE"),COUNTIFS($AK$4:AK57,"Yes",$BE$4:BE57,"LIVE"),"")</f>
        <v/>
      </c>
      <c r="BL57" s="7" t="str">
        <f aca="false">IF(I57="To Verify",COUNTIF($I$4:I57,"To Verify"),"")</f>
        <v/>
      </c>
    </row>
    <row r="58" customFormat="false" ht="68.65" hidden="false" customHeight="false" outlineLevel="0" collapsed="false">
      <c r="A58" s="5" t="s">
        <v>764</v>
      </c>
      <c r="B58" s="6" t="s">
        <v>611</v>
      </c>
      <c r="C58" s="6" t="s">
        <v>612</v>
      </c>
      <c r="D58" s="6" t="s">
        <v>765</v>
      </c>
      <c r="E58" s="6" t="s">
        <v>766</v>
      </c>
      <c r="F58" s="6" t="s">
        <v>767</v>
      </c>
      <c r="G58" s="6" t="s">
        <v>768</v>
      </c>
      <c r="H58" s="6" t="s">
        <v>769</v>
      </c>
      <c r="I58" s="5" t="s">
        <v>75</v>
      </c>
      <c r="J58" s="7" t="str">
        <f aca="false">IFERROR(INDEX(AVAILABILITY_MASTER!$C$4:$C$10,MATCH(I58,AVAILABILITY_MASTER!$A$4:$A$10,0)),"To Be Confirmed")</f>
        <v>To Be Confirmed</v>
      </c>
      <c r="K58" s="6" t="s">
        <v>129</v>
      </c>
      <c r="L58" s="6" t="s">
        <v>75</v>
      </c>
      <c r="M58" s="7" t="str">
        <f aca="false">IFERROR(INDEX(SERVICE_DOCUMENTS!$S$4:$S$1000,MATCH(A58,SERVICE_DOCUMENTS!$A$4:$A$1000,0))&amp;"","")</f>
        <v>✓ Aadhaar Card
✓ Passport Photo
✓ Active Mobile Number</v>
      </c>
      <c r="N58" s="7" t="str">
        <f aca="false">IFERROR(INDEX(SERVICE_DOCUMENTS!$T$4:$T$1000,MATCH(A58,SERVICE_DOCUMENTS!$A$4:$A$1000,0))&amp;"","")</f>
        <v>• PAN Card (To Verify)
• Nominee Details (If Applicable)</v>
      </c>
      <c r="O58" s="6" t="s">
        <v>770</v>
      </c>
      <c r="P58" s="6" t="s">
        <v>771</v>
      </c>
      <c r="Q58" s="6" t="s">
        <v>78</v>
      </c>
      <c r="R58" s="8" t="s">
        <v>75</v>
      </c>
      <c r="S58" s="8" t="s">
        <v>75</v>
      </c>
      <c r="T58" s="9" t="str">
        <f aca="false">IF(AND(OR(ISNUMBER(R58),R58="N/A"),OR(ISNUMBER(S58),S58="N/A"),OR(ISNUMBER(R58),ISNUMBER(S58))),N(R58)+N(S58),"To Verify")</f>
        <v>To Verify</v>
      </c>
      <c r="U58" s="6" t="s">
        <v>75</v>
      </c>
      <c r="V58" s="6" t="s">
        <v>79</v>
      </c>
      <c r="W58" s="6" t="s">
        <v>80</v>
      </c>
      <c r="X58" s="6" t="s">
        <v>81</v>
      </c>
      <c r="Y58" s="6" t="s">
        <v>79</v>
      </c>
      <c r="Z58" s="6"/>
      <c r="AA58" s="6" t="s">
        <v>74</v>
      </c>
      <c r="AB58" s="6" t="s">
        <v>74</v>
      </c>
      <c r="AC58" s="6" t="s">
        <v>75</v>
      </c>
      <c r="AD58" s="6" t="s">
        <v>75</v>
      </c>
      <c r="AE58" s="6" t="s">
        <v>79</v>
      </c>
      <c r="AF58" s="6" t="s">
        <v>79</v>
      </c>
      <c r="AG58" s="6" t="s">
        <v>75</v>
      </c>
      <c r="AH58" s="6" t="s">
        <v>79</v>
      </c>
      <c r="AI58" s="6" t="s">
        <v>79</v>
      </c>
      <c r="AJ58" s="6" t="s">
        <v>79</v>
      </c>
      <c r="AK58" s="6" t="s">
        <v>79</v>
      </c>
      <c r="AL58" s="6" t="s">
        <v>611</v>
      </c>
      <c r="AM58" s="6" t="s">
        <v>765</v>
      </c>
      <c r="AN58" s="7" t="str">
        <f aca="false">BA58&amp;", "&amp;AZ58</f>
        <v>HDFC BC – New Savings Account Opening Assistance, HDFC Bank BC Point, Devmobile Stores, HDFC BC – नया बचत खाता खुलवाने में सहायता, HDFC बैंक BC पॉइंट, सेवा</v>
      </c>
      <c r="AO58" s="6" t="s">
        <v>772</v>
      </c>
      <c r="AP58" s="5" t="s">
        <v>773</v>
      </c>
      <c r="AQ58" s="5" t="n">
        <v>130</v>
      </c>
      <c r="AR58" s="6" t="s">
        <v>133</v>
      </c>
      <c r="AS58" s="6" t="s">
        <v>623</v>
      </c>
      <c r="AT58" s="6" t="s">
        <v>86</v>
      </c>
      <c r="AU58" s="10"/>
      <c r="AV58" s="6" t="s">
        <v>75</v>
      </c>
      <c r="AW58" s="6"/>
      <c r="AX58" s="6" t="s">
        <v>774</v>
      </c>
      <c r="AY58" s="6" t="s">
        <v>775</v>
      </c>
      <c r="AZ58" s="6" t="s">
        <v>776</v>
      </c>
      <c r="BA58" s="6" t="s">
        <v>777</v>
      </c>
      <c r="BB58" s="6"/>
      <c r="BC58" s="11" t="str">
        <f aca="false">IFERROR(INDEX(CATEGORY_MASTER!$C$4:$C$30,MATCH(B58,CATEGORY_MASTER!$A$4:$A$30,0)),"")</f>
        <v>🏦</v>
      </c>
      <c r="BD58" s="7" t="str">
        <f aca="false">"/services/"&amp;AO58</f>
        <v>/services/hdfc-bc-new-savings-account-opening-assistance</v>
      </c>
      <c r="BE58" s="7" t="str">
        <f aca="false">IF(AND(AH58="Yes",AG58="Active",I58&lt;&gt;"Not Available"),"LIVE","HIDDEN")</f>
        <v>HIDDEN</v>
      </c>
      <c r="BF58" s="6" t="s">
        <v>139</v>
      </c>
      <c r="BG58" s="6" t="s">
        <v>93</v>
      </c>
      <c r="BH58" s="7" t="str">
        <f aca="false">B58&amp;"|"&amp;COUNTIF($B$4:B58,B58)</f>
        <v>HDFC Bank BC Point|13</v>
      </c>
      <c r="BI58" s="7" t="str">
        <f aca="false">IF(AND(AI58="Yes",BE58="LIVE"),COUNTIFS($AI$4:AI58,"Yes",$BE$4:BE58,"LIVE"),"")</f>
        <v/>
      </c>
      <c r="BJ58" s="7" t="str">
        <f aca="false">IF(AND(AJ58="Yes",BE58="LIVE"),COUNTIFS($AJ$4:AJ58,"Yes",$BE$4:BE58,"LIVE"),"")</f>
        <v/>
      </c>
      <c r="BK58" s="7" t="str">
        <f aca="false">IF(AND(AK58="Yes",BE58="LIVE"),COUNTIFS($AK$4:AK58,"Yes",$BE$4:BE58,"LIVE"),"")</f>
        <v/>
      </c>
      <c r="BL58" s="7" t="n">
        <f aca="false">IF(I58="To Verify",COUNTIF($I$4:I58,"To Verify"),"")</f>
        <v>5</v>
      </c>
    </row>
    <row r="59" customFormat="false" ht="79.85" hidden="false" customHeight="false" outlineLevel="0" collapsed="false">
      <c r="A59" s="5" t="s">
        <v>778</v>
      </c>
      <c r="B59" s="6" t="s">
        <v>611</v>
      </c>
      <c r="C59" s="6" t="s">
        <v>612</v>
      </c>
      <c r="D59" s="6" t="s">
        <v>765</v>
      </c>
      <c r="E59" s="6" t="s">
        <v>779</v>
      </c>
      <c r="F59" s="6" t="s">
        <v>780</v>
      </c>
      <c r="G59" s="6" t="s">
        <v>781</v>
      </c>
      <c r="H59" s="6" t="s">
        <v>782</v>
      </c>
      <c r="I59" s="5" t="s">
        <v>75</v>
      </c>
      <c r="J59" s="7" t="str">
        <f aca="false">IFERROR(INDEX(AVAILABILITY_MASTER!$C$4:$C$10,MATCH(I59,AVAILABILITY_MASTER!$A$4:$A$10,0)),"To Be Confirmed")</f>
        <v>To Be Confirmed</v>
      </c>
      <c r="K59" s="6" t="s">
        <v>129</v>
      </c>
      <c r="L59" s="6" t="s">
        <v>75</v>
      </c>
      <c r="M59" s="7" t="str">
        <f aca="false">IFERROR(INDEX(SERVICE_DOCUMENTS!$S$4:$S$1000,MATCH(A59,SERVICE_DOCUMENTS!$A$4:$A$1000,0))&amp;"","")</f>
        <v>✓ Aadhaar Card
✓ Bank Account Number
✓ Active Mobile Number</v>
      </c>
      <c r="N59" s="7" t="str">
        <f aca="false">IFERROR(INDEX(SERVICE_DOCUMENTS!$T$4:$T$1000,MATCH(A59,SERVICE_DOCUMENTS!$A$4:$A$1000,0))&amp;"","")</f>
        <v/>
      </c>
      <c r="O59" s="6" t="s">
        <v>645</v>
      </c>
      <c r="P59" s="6" t="s">
        <v>783</v>
      </c>
      <c r="Q59" s="6" t="s">
        <v>78</v>
      </c>
      <c r="R59" s="8" t="s">
        <v>75</v>
      </c>
      <c r="S59" s="8" t="s">
        <v>75</v>
      </c>
      <c r="T59" s="9" t="str">
        <f aca="false">IF(AND(OR(ISNUMBER(R59),R59="N/A"),OR(ISNUMBER(S59),S59="N/A"),OR(ISNUMBER(R59),ISNUMBER(S59))),N(R59)+N(S59),"To Verify")</f>
        <v>To Verify</v>
      </c>
      <c r="U59" s="6" t="s">
        <v>75</v>
      </c>
      <c r="V59" s="6" t="s">
        <v>79</v>
      </c>
      <c r="W59" s="6" t="s">
        <v>80</v>
      </c>
      <c r="X59" s="6" t="s">
        <v>81</v>
      </c>
      <c r="Y59" s="6" t="s">
        <v>79</v>
      </c>
      <c r="Z59" s="6"/>
      <c r="AA59" s="6" t="s">
        <v>74</v>
      </c>
      <c r="AB59" s="6" t="s">
        <v>74</v>
      </c>
      <c r="AC59" s="6" t="s">
        <v>75</v>
      </c>
      <c r="AD59" s="6" t="s">
        <v>75</v>
      </c>
      <c r="AE59" s="6" t="s">
        <v>79</v>
      </c>
      <c r="AF59" s="6" t="s">
        <v>79</v>
      </c>
      <c r="AG59" s="6" t="s">
        <v>75</v>
      </c>
      <c r="AH59" s="6" t="s">
        <v>79</v>
      </c>
      <c r="AI59" s="6" t="s">
        <v>79</v>
      </c>
      <c r="AJ59" s="6" t="s">
        <v>79</v>
      </c>
      <c r="AK59" s="6" t="s">
        <v>79</v>
      </c>
      <c r="AL59" s="6" t="s">
        <v>611</v>
      </c>
      <c r="AM59" s="6" t="s">
        <v>765</v>
      </c>
      <c r="AN59" s="7" t="str">
        <f aca="false">BA59&amp;", "&amp;AZ59</f>
        <v>HDFC BC – Account Mobile Number Registration / Update, HDFC Bank BC Point, Devmobile Stores, HDFC BC – खाते में मोबाइल नंबर पंजीकरण / अपडेट, HDFC बैंक BC पॉइंट, सेवा</v>
      </c>
      <c r="AO59" s="6" t="s">
        <v>784</v>
      </c>
      <c r="AP59" s="5" t="s">
        <v>773</v>
      </c>
      <c r="AQ59" s="5" t="n">
        <v>140</v>
      </c>
      <c r="AR59" s="6" t="s">
        <v>133</v>
      </c>
      <c r="AS59" s="6" t="s">
        <v>623</v>
      </c>
      <c r="AT59" s="6" t="s">
        <v>86</v>
      </c>
      <c r="AU59" s="10"/>
      <c r="AV59" s="6" t="s">
        <v>75</v>
      </c>
      <c r="AW59" s="6"/>
      <c r="AX59" s="6" t="s">
        <v>785</v>
      </c>
      <c r="AY59" s="6" t="s">
        <v>786</v>
      </c>
      <c r="AZ59" s="6" t="s">
        <v>787</v>
      </c>
      <c r="BA59" s="6" t="s">
        <v>788</v>
      </c>
      <c r="BB59" s="6"/>
      <c r="BC59" s="11" t="str">
        <f aca="false">IFERROR(INDEX(CATEGORY_MASTER!$C$4:$C$30,MATCH(B59,CATEGORY_MASTER!$A$4:$A$30,0)),"")</f>
        <v>🏦</v>
      </c>
      <c r="BD59" s="7" t="str">
        <f aca="false">"/services/"&amp;AO59</f>
        <v>/services/hdfc-bc-account-mobile-number-registration-update</v>
      </c>
      <c r="BE59" s="7" t="str">
        <f aca="false">IF(AND(AH59="Yes",AG59="Active",I59&lt;&gt;"Not Available"),"LIVE","HIDDEN")</f>
        <v>HIDDEN</v>
      </c>
      <c r="BF59" s="6" t="s">
        <v>139</v>
      </c>
      <c r="BG59" s="6" t="s">
        <v>93</v>
      </c>
      <c r="BH59" s="7" t="str">
        <f aca="false">B59&amp;"|"&amp;COUNTIF($B$4:B59,B59)</f>
        <v>HDFC Bank BC Point|14</v>
      </c>
      <c r="BI59" s="7" t="str">
        <f aca="false">IF(AND(AI59="Yes",BE59="LIVE"),COUNTIFS($AI$4:AI59,"Yes",$BE$4:BE59,"LIVE"),"")</f>
        <v/>
      </c>
      <c r="BJ59" s="7" t="str">
        <f aca="false">IF(AND(AJ59="Yes",BE59="LIVE"),COUNTIFS($AJ$4:AJ59,"Yes",$BE$4:BE59,"LIVE"),"")</f>
        <v/>
      </c>
      <c r="BK59" s="7" t="str">
        <f aca="false">IF(AND(AK59="Yes",BE59="LIVE"),COUNTIFS($AK$4:AK59,"Yes",$BE$4:BE59,"LIVE"),"")</f>
        <v/>
      </c>
      <c r="BL59" s="7" t="n">
        <f aca="false">IF(I59="To Verify",COUNTIF($I$4:I59,"To Verify"),"")</f>
        <v>6</v>
      </c>
    </row>
    <row r="60" customFormat="false" ht="68.65" hidden="false" customHeight="false" outlineLevel="0" collapsed="false">
      <c r="A60" s="5" t="s">
        <v>789</v>
      </c>
      <c r="B60" s="6" t="s">
        <v>611</v>
      </c>
      <c r="C60" s="6" t="s">
        <v>612</v>
      </c>
      <c r="D60" s="6" t="s">
        <v>765</v>
      </c>
      <c r="E60" s="6" t="s">
        <v>790</v>
      </c>
      <c r="F60" s="6" t="s">
        <v>791</v>
      </c>
      <c r="G60" s="6" t="s">
        <v>792</v>
      </c>
      <c r="H60" s="6" t="s">
        <v>793</v>
      </c>
      <c r="I60" s="5" t="s">
        <v>75</v>
      </c>
      <c r="J60" s="7" t="str">
        <f aca="false">IFERROR(INDEX(AVAILABILITY_MASTER!$C$4:$C$10,MATCH(I60,AVAILABILITY_MASTER!$A$4:$A$10,0)),"To Be Confirmed")</f>
        <v>To Be Confirmed</v>
      </c>
      <c r="K60" s="6" t="s">
        <v>129</v>
      </c>
      <c r="L60" s="6" t="s">
        <v>75</v>
      </c>
      <c r="M60" s="7" t="str">
        <f aca="false">IFERROR(INDEX(SERVICE_DOCUMENTS!$S$4:$S$1000,MATCH(A60,SERVICE_DOCUMENTS!$A$4:$A$1000,0))&amp;"","")</f>
        <v>✓ Aadhaar Card
✓ Bank Account Number
✓ Active Mobile Number</v>
      </c>
      <c r="N60" s="7" t="str">
        <f aca="false">IFERROR(INDEX(SERVICE_DOCUMENTS!$T$4:$T$1000,MATCH(A60,SERVICE_DOCUMENTS!$A$4:$A$1000,0))&amp;"","")</f>
        <v/>
      </c>
      <c r="O60" s="6" t="s">
        <v>645</v>
      </c>
      <c r="P60" s="6" t="s">
        <v>794</v>
      </c>
      <c r="Q60" s="6" t="s">
        <v>78</v>
      </c>
      <c r="R60" s="8" t="s">
        <v>75</v>
      </c>
      <c r="S60" s="8" t="s">
        <v>75</v>
      </c>
      <c r="T60" s="9" t="str">
        <f aca="false">IF(AND(OR(ISNUMBER(R60),R60="N/A"),OR(ISNUMBER(S60),S60="N/A"),OR(ISNUMBER(R60),ISNUMBER(S60))),N(R60)+N(S60),"To Verify")</f>
        <v>To Verify</v>
      </c>
      <c r="U60" s="6" t="s">
        <v>75</v>
      </c>
      <c r="V60" s="6" t="s">
        <v>79</v>
      </c>
      <c r="W60" s="6" t="s">
        <v>80</v>
      </c>
      <c r="X60" s="6" t="s">
        <v>81</v>
      </c>
      <c r="Y60" s="6" t="s">
        <v>79</v>
      </c>
      <c r="Z60" s="6"/>
      <c r="AA60" s="6" t="s">
        <v>74</v>
      </c>
      <c r="AB60" s="6" t="s">
        <v>74</v>
      </c>
      <c r="AC60" s="6" t="s">
        <v>75</v>
      </c>
      <c r="AD60" s="6" t="s">
        <v>75</v>
      </c>
      <c r="AE60" s="6" t="s">
        <v>79</v>
      </c>
      <c r="AF60" s="6" t="s">
        <v>79</v>
      </c>
      <c r="AG60" s="6" t="s">
        <v>75</v>
      </c>
      <c r="AH60" s="6" t="s">
        <v>79</v>
      </c>
      <c r="AI60" s="6" t="s">
        <v>79</v>
      </c>
      <c r="AJ60" s="6" t="s">
        <v>79</v>
      </c>
      <c r="AK60" s="6" t="s">
        <v>79</v>
      </c>
      <c r="AL60" s="6" t="s">
        <v>611</v>
      </c>
      <c r="AM60" s="6" t="s">
        <v>765</v>
      </c>
      <c r="AN60" s="7" t="str">
        <f aca="false">BA60&amp;", "&amp;AZ60</f>
        <v>HDFC BC – Debit Card Request / PIN Assistance, HDFC Bank BC Point, Devmobile Stores, HDFC BC – डेबिट कार्ड / PIN सहायता, HDFC बैंक BC पॉइंट, सेवा</v>
      </c>
      <c r="AO60" s="6" t="s">
        <v>795</v>
      </c>
      <c r="AP60" s="5" t="s">
        <v>773</v>
      </c>
      <c r="AQ60" s="5" t="n">
        <v>150</v>
      </c>
      <c r="AR60" s="6" t="s">
        <v>133</v>
      </c>
      <c r="AS60" s="6" t="s">
        <v>623</v>
      </c>
      <c r="AT60" s="6" t="s">
        <v>86</v>
      </c>
      <c r="AU60" s="10"/>
      <c r="AV60" s="6" t="s">
        <v>75</v>
      </c>
      <c r="AW60" s="6"/>
      <c r="AX60" s="6" t="s">
        <v>796</v>
      </c>
      <c r="AY60" s="6" t="s">
        <v>797</v>
      </c>
      <c r="AZ60" s="6" t="s">
        <v>798</v>
      </c>
      <c r="BA60" s="6" t="s">
        <v>799</v>
      </c>
      <c r="BB60" s="6"/>
      <c r="BC60" s="11" t="str">
        <f aca="false">IFERROR(INDEX(CATEGORY_MASTER!$C$4:$C$30,MATCH(B60,CATEGORY_MASTER!$A$4:$A$30,0)),"")</f>
        <v>🏦</v>
      </c>
      <c r="BD60" s="7" t="str">
        <f aca="false">"/services/"&amp;AO60</f>
        <v>/services/hdfc-bc-debit-card-request-pin-assistance</v>
      </c>
      <c r="BE60" s="7" t="str">
        <f aca="false">IF(AND(AH60="Yes",AG60="Active",I60&lt;&gt;"Not Available"),"LIVE","HIDDEN")</f>
        <v>HIDDEN</v>
      </c>
      <c r="BF60" s="6" t="s">
        <v>139</v>
      </c>
      <c r="BG60" s="6" t="s">
        <v>93</v>
      </c>
      <c r="BH60" s="7" t="str">
        <f aca="false">B60&amp;"|"&amp;COUNTIF($B$4:B60,B60)</f>
        <v>HDFC Bank BC Point|15</v>
      </c>
      <c r="BI60" s="7" t="str">
        <f aca="false">IF(AND(AI60="Yes",BE60="LIVE"),COUNTIFS($AI$4:AI60,"Yes",$BE$4:BE60,"LIVE"),"")</f>
        <v/>
      </c>
      <c r="BJ60" s="7" t="str">
        <f aca="false">IF(AND(AJ60="Yes",BE60="LIVE"),COUNTIFS($AJ$4:AJ60,"Yes",$BE$4:BE60,"LIVE"),"")</f>
        <v/>
      </c>
      <c r="BK60" s="7" t="str">
        <f aca="false">IF(AND(AK60="Yes",BE60="LIVE"),COUNTIFS($AK$4:AK60,"Yes",$BE$4:BE60,"LIVE"),"")</f>
        <v/>
      </c>
      <c r="BL60" s="7" t="n">
        <f aca="false">IF(I60="To Verify",COUNTIF($I$4:I60,"To Verify"),"")</f>
        <v>7</v>
      </c>
    </row>
    <row r="61" customFormat="false" ht="68.65" hidden="false" customHeight="false" outlineLevel="0" collapsed="false">
      <c r="A61" s="5" t="s">
        <v>800</v>
      </c>
      <c r="B61" s="6" t="s">
        <v>611</v>
      </c>
      <c r="C61" s="6" t="s">
        <v>612</v>
      </c>
      <c r="D61" s="6" t="s">
        <v>765</v>
      </c>
      <c r="E61" s="6" t="s">
        <v>801</v>
      </c>
      <c r="F61" s="6" t="s">
        <v>802</v>
      </c>
      <c r="G61" s="6" t="s">
        <v>803</v>
      </c>
      <c r="H61" s="6" t="s">
        <v>804</v>
      </c>
      <c r="I61" s="5" t="s">
        <v>75</v>
      </c>
      <c r="J61" s="7" t="str">
        <f aca="false">IFERROR(INDEX(AVAILABILITY_MASTER!$C$4:$C$10,MATCH(I61,AVAILABILITY_MASTER!$A$4:$A$10,0)),"To Be Confirmed")</f>
        <v>To Be Confirmed</v>
      </c>
      <c r="K61" s="6" t="s">
        <v>129</v>
      </c>
      <c r="L61" s="6" t="s">
        <v>75</v>
      </c>
      <c r="M61" s="7" t="str">
        <f aca="false">IFERROR(INDEX(SERVICE_DOCUMENTS!$S$4:$S$1000,MATCH(A61,SERVICE_DOCUMENTS!$A$4:$A$1000,0))&amp;"","")</f>
        <v>✓ Aadhaar Card
✓ Bank Account Number
✓ Active Mobile Number</v>
      </c>
      <c r="N61" s="7" t="str">
        <f aca="false">IFERROR(INDEX(SERVICE_DOCUMENTS!$T$4:$T$1000,MATCH(A61,SERVICE_DOCUMENTS!$A$4:$A$1000,0))&amp;"","")</f>
        <v/>
      </c>
      <c r="O61" s="6" t="s">
        <v>645</v>
      </c>
      <c r="P61" s="6" t="s">
        <v>805</v>
      </c>
      <c r="Q61" s="6" t="s">
        <v>78</v>
      </c>
      <c r="R61" s="8" t="s">
        <v>75</v>
      </c>
      <c r="S61" s="8" t="s">
        <v>75</v>
      </c>
      <c r="T61" s="9" t="str">
        <f aca="false">IF(AND(OR(ISNUMBER(R61),R61="N/A"),OR(ISNUMBER(S61),S61="N/A"),OR(ISNUMBER(R61),ISNUMBER(S61))),N(R61)+N(S61),"To Verify")</f>
        <v>To Verify</v>
      </c>
      <c r="U61" s="6" t="s">
        <v>75</v>
      </c>
      <c r="V61" s="6" t="s">
        <v>79</v>
      </c>
      <c r="W61" s="6" t="s">
        <v>80</v>
      </c>
      <c r="X61" s="6" t="s">
        <v>81</v>
      </c>
      <c r="Y61" s="6" t="s">
        <v>79</v>
      </c>
      <c r="Z61" s="6"/>
      <c r="AA61" s="6" t="s">
        <v>74</v>
      </c>
      <c r="AB61" s="6" t="s">
        <v>74</v>
      </c>
      <c r="AC61" s="6" t="s">
        <v>75</v>
      </c>
      <c r="AD61" s="6" t="s">
        <v>75</v>
      </c>
      <c r="AE61" s="6" t="s">
        <v>79</v>
      </c>
      <c r="AF61" s="6" t="s">
        <v>79</v>
      </c>
      <c r="AG61" s="6" t="s">
        <v>75</v>
      </c>
      <c r="AH61" s="6" t="s">
        <v>79</v>
      </c>
      <c r="AI61" s="6" t="s">
        <v>79</v>
      </c>
      <c r="AJ61" s="6" t="s">
        <v>79</v>
      </c>
      <c r="AK61" s="6" t="s">
        <v>79</v>
      </c>
      <c r="AL61" s="6" t="s">
        <v>611</v>
      </c>
      <c r="AM61" s="6" t="s">
        <v>765</v>
      </c>
      <c r="AN61" s="7" t="str">
        <f aca="false">BA61&amp;", "&amp;AZ61</f>
        <v>HDFC BC – Cheque Book Request Assistance, HDFC Bank BC Point, Devmobile Stores, HDFC BC – चेक बुक आवेदन सहायता, HDFC बैंक BC पॉइंट, सेवा</v>
      </c>
      <c r="AO61" s="6" t="s">
        <v>806</v>
      </c>
      <c r="AP61" s="5" t="s">
        <v>773</v>
      </c>
      <c r="AQ61" s="5" t="n">
        <v>160</v>
      </c>
      <c r="AR61" s="6" t="s">
        <v>133</v>
      </c>
      <c r="AS61" s="6" t="s">
        <v>623</v>
      </c>
      <c r="AT61" s="6" t="s">
        <v>86</v>
      </c>
      <c r="AU61" s="10"/>
      <c r="AV61" s="6" t="s">
        <v>75</v>
      </c>
      <c r="AW61" s="6"/>
      <c r="AX61" s="6" t="s">
        <v>807</v>
      </c>
      <c r="AY61" s="6" t="s">
        <v>808</v>
      </c>
      <c r="AZ61" s="6" t="s">
        <v>809</v>
      </c>
      <c r="BA61" s="6" t="s">
        <v>810</v>
      </c>
      <c r="BB61" s="6"/>
      <c r="BC61" s="11" t="str">
        <f aca="false">IFERROR(INDEX(CATEGORY_MASTER!$C$4:$C$30,MATCH(B61,CATEGORY_MASTER!$A$4:$A$30,0)),"")</f>
        <v>🏦</v>
      </c>
      <c r="BD61" s="7" t="str">
        <f aca="false">"/services/"&amp;AO61</f>
        <v>/services/hdfc-bc-cheque-book-request-assistance</v>
      </c>
      <c r="BE61" s="7" t="str">
        <f aca="false">IF(AND(AH61="Yes",AG61="Active",I61&lt;&gt;"Not Available"),"LIVE","HIDDEN")</f>
        <v>HIDDEN</v>
      </c>
      <c r="BF61" s="6" t="s">
        <v>139</v>
      </c>
      <c r="BG61" s="6" t="s">
        <v>93</v>
      </c>
      <c r="BH61" s="7" t="str">
        <f aca="false">B61&amp;"|"&amp;COUNTIF($B$4:B61,B61)</f>
        <v>HDFC Bank BC Point|16</v>
      </c>
      <c r="BI61" s="7" t="str">
        <f aca="false">IF(AND(AI61="Yes",BE61="LIVE"),COUNTIFS($AI$4:AI61,"Yes",$BE$4:BE61,"LIVE"),"")</f>
        <v/>
      </c>
      <c r="BJ61" s="7" t="str">
        <f aca="false">IF(AND(AJ61="Yes",BE61="LIVE"),COUNTIFS($AJ$4:AJ61,"Yes",$BE$4:BE61,"LIVE"),"")</f>
        <v/>
      </c>
      <c r="BK61" s="7" t="str">
        <f aca="false">IF(AND(AK61="Yes",BE61="LIVE"),COUNTIFS($AK$4:AK61,"Yes",$BE$4:BE61,"LIVE"),"")</f>
        <v/>
      </c>
      <c r="BL61" s="7" t="n">
        <f aca="false">IF(I61="To Verify",COUNTIF($I$4:I61,"To Verify"),"")</f>
        <v>8</v>
      </c>
    </row>
    <row r="62" customFormat="false" ht="68.65" hidden="false" customHeight="false" outlineLevel="0" collapsed="false">
      <c r="A62" s="5" t="s">
        <v>811</v>
      </c>
      <c r="B62" s="6" t="s">
        <v>611</v>
      </c>
      <c r="C62" s="6" t="s">
        <v>612</v>
      </c>
      <c r="D62" s="6" t="s">
        <v>765</v>
      </c>
      <c r="E62" s="6" t="s">
        <v>812</v>
      </c>
      <c r="F62" s="6" t="s">
        <v>813</v>
      </c>
      <c r="G62" s="6" t="s">
        <v>814</v>
      </c>
      <c r="H62" s="6" t="s">
        <v>815</v>
      </c>
      <c r="I62" s="5" t="s">
        <v>75</v>
      </c>
      <c r="J62" s="7" t="str">
        <f aca="false">IFERROR(INDEX(AVAILABILITY_MASTER!$C$4:$C$10,MATCH(I62,AVAILABILITY_MASTER!$A$4:$A$10,0)),"To Be Confirmed")</f>
        <v>To Be Confirmed</v>
      </c>
      <c r="K62" s="6" t="s">
        <v>129</v>
      </c>
      <c r="L62" s="6" t="s">
        <v>75</v>
      </c>
      <c r="M62" s="7" t="str">
        <f aca="false">IFERROR(INDEX(SERVICE_DOCUMENTS!$S$4:$S$1000,MATCH(A62,SERVICE_DOCUMENTS!$A$4:$A$1000,0))&amp;"","")</f>
        <v>✓ Aadhaar Card
✓ Bank Account Number
✓ Active Mobile Number</v>
      </c>
      <c r="N62" s="7" t="str">
        <f aca="false">IFERROR(INDEX(SERVICE_DOCUMENTS!$T$4:$T$1000,MATCH(A62,SERVICE_DOCUMENTS!$A$4:$A$1000,0))&amp;"","")</f>
        <v/>
      </c>
      <c r="O62" s="6" t="s">
        <v>645</v>
      </c>
      <c r="P62" s="6" t="s">
        <v>816</v>
      </c>
      <c r="Q62" s="6" t="s">
        <v>78</v>
      </c>
      <c r="R62" s="8" t="s">
        <v>75</v>
      </c>
      <c r="S62" s="8" t="s">
        <v>75</v>
      </c>
      <c r="T62" s="9" t="str">
        <f aca="false">IF(AND(OR(ISNUMBER(R62),R62="N/A"),OR(ISNUMBER(S62),S62="N/A"),OR(ISNUMBER(R62),ISNUMBER(S62))),N(R62)+N(S62),"To Verify")</f>
        <v>To Verify</v>
      </c>
      <c r="U62" s="6" t="s">
        <v>75</v>
      </c>
      <c r="V62" s="6" t="s">
        <v>79</v>
      </c>
      <c r="W62" s="6" t="s">
        <v>80</v>
      </c>
      <c r="X62" s="6" t="s">
        <v>81</v>
      </c>
      <c r="Y62" s="6" t="s">
        <v>79</v>
      </c>
      <c r="Z62" s="6"/>
      <c r="AA62" s="6" t="s">
        <v>74</v>
      </c>
      <c r="AB62" s="6" t="s">
        <v>74</v>
      </c>
      <c r="AC62" s="6" t="s">
        <v>75</v>
      </c>
      <c r="AD62" s="6" t="s">
        <v>75</v>
      </c>
      <c r="AE62" s="6" t="s">
        <v>79</v>
      </c>
      <c r="AF62" s="6" t="s">
        <v>79</v>
      </c>
      <c r="AG62" s="6" t="s">
        <v>75</v>
      </c>
      <c r="AH62" s="6" t="s">
        <v>79</v>
      </c>
      <c r="AI62" s="6" t="s">
        <v>79</v>
      </c>
      <c r="AJ62" s="6" t="s">
        <v>79</v>
      </c>
      <c r="AK62" s="6" t="s">
        <v>79</v>
      </c>
      <c r="AL62" s="6" t="s">
        <v>611</v>
      </c>
      <c r="AM62" s="6" t="s">
        <v>765</v>
      </c>
      <c r="AN62" s="7" t="str">
        <f aca="false">BA62&amp;", "&amp;AZ62</f>
        <v>HDFC BC – Passbook / Statement Request Assistance, HDFC Bank BC Point, Devmobile Stores, HDFC BC – पासबुक / स्टेटमेंट आवेदन सहायता, HDFC बैंक BC पॉइंट, सेवा</v>
      </c>
      <c r="AO62" s="6" t="s">
        <v>817</v>
      </c>
      <c r="AP62" s="5" t="s">
        <v>773</v>
      </c>
      <c r="AQ62" s="5" t="n">
        <v>170</v>
      </c>
      <c r="AR62" s="6" t="s">
        <v>133</v>
      </c>
      <c r="AS62" s="6" t="s">
        <v>623</v>
      </c>
      <c r="AT62" s="6" t="s">
        <v>86</v>
      </c>
      <c r="AU62" s="10"/>
      <c r="AV62" s="6" t="s">
        <v>75</v>
      </c>
      <c r="AW62" s="6"/>
      <c r="AX62" s="6" t="s">
        <v>818</v>
      </c>
      <c r="AY62" s="6" t="s">
        <v>819</v>
      </c>
      <c r="AZ62" s="6" t="s">
        <v>820</v>
      </c>
      <c r="BA62" s="6" t="s">
        <v>821</v>
      </c>
      <c r="BB62" s="6"/>
      <c r="BC62" s="11" t="str">
        <f aca="false">IFERROR(INDEX(CATEGORY_MASTER!$C$4:$C$30,MATCH(B62,CATEGORY_MASTER!$A$4:$A$30,0)),"")</f>
        <v>🏦</v>
      </c>
      <c r="BD62" s="7" t="str">
        <f aca="false">"/services/"&amp;AO62</f>
        <v>/services/hdfc-bc-passbook-statement-request-assistance</v>
      </c>
      <c r="BE62" s="7" t="str">
        <f aca="false">IF(AND(AH62="Yes",AG62="Active",I62&lt;&gt;"Not Available"),"LIVE","HIDDEN")</f>
        <v>HIDDEN</v>
      </c>
      <c r="BF62" s="6" t="s">
        <v>139</v>
      </c>
      <c r="BG62" s="6" t="s">
        <v>93</v>
      </c>
      <c r="BH62" s="7" t="str">
        <f aca="false">B62&amp;"|"&amp;COUNTIF($B$4:B62,B62)</f>
        <v>HDFC Bank BC Point|17</v>
      </c>
      <c r="BI62" s="7" t="str">
        <f aca="false">IF(AND(AI62="Yes",BE62="LIVE"),COUNTIFS($AI$4:AI62,"Yes",$BE$4:BE62,"LIVE"),"")</f>
        <v/>
      </c>
      <c r="BJ62" s="7" t="str">
        <f aca="false">IF(AND(AJ62="Yes",BE62="LIVE"),COUNTIFS($AJ$4:AJ62,"Yes",$BE$4:BE62,"LIVE"),"")</f>
        <v/>
      </c>
      <c r="BK62" s="7" t="str">
        <f aca="false">IF(AND(AK62="Yes",BE62="LIVE"),COUNTIFS($AK$4:AK62,"Yes",$BE$4:BE62,"LIVE"),"")</f>
        <v/>
      </c>
      <c r="BL62" s="7" t="n">
        <f aca="false">IF(I62="To Verify",COUNTIF($I$4:I62,"To Verify"),"")</f>
        <v>9</v>
      </c>
    </row>
    <row r="63" customFormat="false" ht="68.65" hidden="false" customHeight="false" outlineLevel="0" collapsed="false">
      <c r="A63" s="5" t="s">
        <v>822</v>
      </c>
      <c r="B63" s="6" t="s">
        <v>611</v>
      </c>
      <c r="C63" s="6" t="s">
        <v>612</v>
      </c>
      <c r="D63" s="6" t="s">
        <v>765</v>
      </c>
      <c r="E63" s="6" t="s">
        <v>823</v>
      </c>
      <c r="F63" s="6" t="s">
        <v>824</v>
      </c>
      <c r="G63" s="6" t="s">
        <v>825</v>
      </c>
      <c r="H63" s="6" t="s">
        <v>826</v>
      </c>
      <c r="I63" s="5" t="s">
        <v>75</v>
      </c>
      <c r="J63" s="7" t="str">
        <f aca="false">IFERROR(INDEX(AVAILABILITY_MASTER!$C$4:$C$10,MATCH(I63,AVAILABILITY_MASTER!$A$4:$A$10,0)),"To Be Confirmed")</f>
        <v>To Be Confirmed</v>
      </c>
      <c r="K63" s="6" t="s">
        <v>129</v>
      </c>
      <c r="L63" s="6" t="s">
        <v>75</v>
      </c>
      <c r="M63" s="7" t="str">
        <f aca="false">IFERROR(INDEX(SERVICE_DOCUMENTS!$S$4:$S$1000,MATCH(A63,SERVICE_DOCUMENTS!$A$4:$A$1000,0))&amp;"","")</f>
        <v>✓ Aadhaar Card</v>
      </c>
      <c r="N63" s="7" t="str">
        <f aca="false">IFERROR(INDEX(SERVICE_DOCUMENTS!$T$4:$T$1000,MATCH(A63,SERVICE_DOCUMENTS!$A$4:$A$1000,0))&amp;"","")</f>
        <v>• Identity Proof (To Verify)
• Address Proof (To Verify)
• Passport Photo (To Verify)</v>
      </c>
      <c r="O63" s="6" t="s">
        <v>827</v>
      </c>
      <c r="P63" s="6" t="s">
        <v>828</v>
      </c>
      <c r="Q63" s="6" t="s">
        <v>78</v>
      </c>
      <c r="R63" s="8" t="s">
        <v>75</v>
      </c>
      <c r="S63" s="8" t="s">
        <v>75</v>
      </c>
      <c r="T63" s="9" t="str">
        <f aca="false">IF(AND(OR(ISNUMBER(R63),R63="N/A"),OR(ISNUMBER(S63),S63="N/A"),OR(ISNUMBER(R63),ISNUMBER(S63))),N(R63)+N(S63),"To Verify")</f>
        <v>To Verify</v>
      </c>
      <c r="U63" s="6" t="s">
        <v>75</v>
      </c>
      <c r="V63" s="6" t="s">
        <v>79</v>
      </c>
      <c r="W63" s="6" t="s">
        <v>80</v>
      </c>
      <c r="X63" s="6" t="s">
        <v>81</v>
      </c>
      <c r="Y63" s="6" t="s">
        <v>79</v>
      </c>
      <c r="Z63" s="6"/>
      <c r="AA63" s="6" t="s">
        <v>74</v>
      </c>
      <c r="AB63" s="6" t="s">
        <v>74</v>
      </c>
      <c r="AC63" s="6" t="s">
        <v>75</v>
      </c>
      <c r="AD63" s="6" t="s">
        <v>75</v>
      </c>
      <c r="AE63" s="6" t="s">
        <v>79</v>
      </c>
      <c r="AF63" s="6" t="s">
        <v>79</v>
      </c>
      <c r="AG63" s="6" t="s">
        <v>75</v>
      </c>
      <c r="AH63" s="6" t="s">
        <v>79</v>
      </c>
      <c r="AI63" s="6" t="s">
        <v>79</v>
      </c>
      <c r="AJ63" s="6" t="s">
        <v>79</v>
      </c>
      <c r="AK63" s="6" t="s">
        <v>79</v>
      </c>
      <c r="AL63" s="6" t="s">
        <v>611</v>
      </c>
      <c r="AM63" s="6" t="s">
        <v>765</v>
      </c>
      <c r="AN63" s="7" t="str">
        <f aca="false">BA63&amp;", "&amp;AZ63</f>
        <v>HDFC BC – KYC Document Collection / Update, HDFC Bank BC Point, Devmobile Stores, HDFC BC – KYC दस्तावेज़ जमा / अपडेट, HDFC बैंक BC पॉइंट, सेवा</v>
      </c>
      <c r="AO63" s="6" t="s">
        <v>829</v>
      </c>
      <c r="AP63" s="5" t="s">
        <v>773</v>
      </c>
      <c r="AQ63" s="5" t="n">
        <v>180</v>
      </c>
      <c r="AR63" s="6" t="s">
        <v>133</v>
      </c>
      <c r="AS63" s="6" t="s">
        <v>623</v>
      </c>
      <c r="AT63" s="6" t="s">
        <v>86</v>
      </c>
      <c r="AU63" s="10"/>
      <c r="AV63" s="6" t="s">
        <v>75</v>
      </c>
      <c r="AW63" s="6"/>
      <c r="AX63" s="6" t="s">
        <v>830</v>
      </c>
      <c r="AY63" s="6" t="s">
        <v>831</v>
      </c>
      <c r="AZ63" s="6" t="s">
        <v>832</v>
      </c>
      <c r="BA63" s="6" t="s">
        <v>833</v>
      </c>
      <c r="BB63" s="6"/>
      <c r="BC63" s="11" t="str">
        <f aca="false">IFERROR(INDEX(CATEGORY_MASTER!$C$4:$C$30,MATCH(B63,CATEGORY_MASTER!$A$4:$A$30,0)),"")</f>
        <v>🏦</v>
      </c>
      <c r="BD63" s="7" t="str">
        <f aca="false">"/services/"&amp;AO63</f>
        <v>/services/hdfc-bc-kyc-document-collection-update</v>
      </c>
      <c r="BE63" s="7" t="str">
        <f aca="false">IF(AND(AH63="Yes",AG63="Active",I63&lt;&gt;"Not Available"),"LIVE","HIDDEN")</f>
        <v>HIDDEN</v>
      </c>
      <c r="BF63" s="6" t="s">
        <v>139</v>
      </c>
      <c r="BG63" s="6" t="s">
        <v>93</v>
      </c>
      <c r="BH63" s="7" t="str">
        <f aca="false">B63&amp;"|"&amp;COUNTIF($B$4:B63,B63)</f>
        <v>HDFC Bank BC Point|18</v>
      </c>
      <c r="BI63" s="7" t="str">
        <f aca="false">IF(AND(AI63="Yes",BE63="LIVE"),COUNTIFS($AI$4:AI63,"Yes",$BE$4:BE63,"LIVE"),"")</f>
        <v/>
      </c>
      <c r="BJ63" s="7" t="str">
        <f aca="false">IF(AND(AJ63="Yes",BE63="LIVE"),COUNTIFS($AJ$4:AJ63,"Yes",$BE$4:BE63,"LIVE"),"")</f>
        <v/>
      </c>
      <c r="BK63" s="7" t="str">
        <f aca="false">IF(AND(AK63="Yes",BE63="LIVE"),COUNTIFS($AK$4:AK63,"Yes",$BE$4:BE63,"LIVE"),"")</f>
        <v/>
      </c>
      <c r="BL63" s="7" t="n">
        <f aca="false">IF(I63="To Verify",COUNTIF($I$4:I63,"To Verify"),"")</f>
        <v>10</v>
      </c>
    </row>
    <row r="64" customFormat="false" ht="68.65" hidden="false" customHeight="false" outlineLevel="0" collapsed="false">
      <c r="A64" s="5" t="s">
        <v>834</v>
      </c>
      <c r="B64" s="6" t="s">
        <v>611</v>
      </c>
      <c r="C64" s="6" t="s">
        <v>612</v>
      </c>
      <c r="D64" s="6" t="s">
        <v>765</v>
      </c>
      <c r="E64" s="6" t="s">
        <v>835</v>
      </c>
      <c r="F64" s="6" t="s">
        <v>836</v>
      </c>
      <c r="G64" s="6" t="s">
        <v>837</v>
      </c>
      <c r="H64" s="6" t="s">
        <v>838</v>
      </c>
      <c r="I64" s="5" t="s">
        <v>75</v>
      </c>
      <c r="J64" s="7" t="str">
        <f aca="false">IFERROR(INDEX(AVAILABILITY_MASTER!$C$4:$C$10,MATCH(I64,AVAILABILITY_MASTER!$A$4:$A$10,0)),"To Be Confirmed")</f>
        <v>To Be Confirmed</v>
      </c>
      <c r="K64" s="6" t="s">
        <v>129</v>
      </c>
      <c r="L64" s="6" t="s">
        <v>75</v>
      </c>
      <c r="M64" s="7" t="str">
        <f aca="false">IFERROR(INDEX(SERVICE_DOCUMENTS!$S$4:$S$1000,MATCH(A64,SERVICE_DOCUMENTS!$A$4:$A$1000,0))&amp;"","")</f>
        <v>✓ Aadhaar Card
✓ Bank Account Number
✓ Active Mobile Number</v>
      </c>
      <c r="N64" s="7" t="str">
        <f aca="false">IFERROR(INDEX(SERVICE_DOCUMENTS!$T$4:$T$1000,MATCH(A64,SERVICE_DOCUMENTS!$A$4:$A$1000,0))&amp;"","")</f>
        <v/>
      </c>
      <c r="O64" s="6" t="s">
        <v>645</v>
      </c>
      <c r="P64" s="6" t="s">
        <v>839</v>
      </c>
      <c r="Q64" s="6" t="s">
        <v>78</v>
      </c>
      <c r="R64" s="8" t="s">
        <v>75</v>
      </c>
      <c r="S64" s="8" t="s">
        <v>75</v>
      </c>
      <c r="T64" s="9" t="str">
        <f aca="false">IF(AND(OR(ISNUMBER(R64),R64="N/A"),OR(ISNUMBER(S64),S64="N/A"),OR(ISNUMBER(R64),ISNUMBER(S64))),N(R64)+N(S64),"To Verify")</f>
        <v>To Verify</v>
      </c>
      <c r="U64" s="6" t="s">
        <v>75</v>
      </c>
      <c r="V64" s="6" t="s">
        <v>79</v>
      </c>
      <c r="W64" s="6" t="s">
        <v>80</v>
      </c>
      <c r="X64" s="6" t="s">
        <v>81</v>
      </c>
      <c r="Y64" s="6" t="s">
        <v>79</v>
      </c>
      <c r="Z64" s="6"/>
      <c r="AA64" s="6" t="s">
        <v>74</v>
      </c>
      <c r="AB64" s="6" t="s">
        <v>74</v>
      </c>
      <c r="AC64" s="6" t="s">
        <v>75</v>
      </c>
      <c r="AD64" s="6" t="s">
        <v>75</v>
      </c>
      <c r="AE64" s="6" t="s">
        <v>79</v>
      </c>
      <c r="AF64" s="6" t="s">
        <v>79</v>
      </c>
      <c r="AG64" s="6" t="s">
        <v>75</v>
      </c>
      <c r="AH64" s="6" t="s">
        <v>79</v>
      </c>
      <c r="AI64" s="6" t="s">
        <v>79</v>
      </c>
      <c r="AJ64" s="6" t="s">
        <v>79</v>
      </c>
      <c r="AK64" s="6" t="s">
        <v>79</v>
      </c>
      <c r="AL64" s="6" t="s">
        <v>611</v>
      </c>
      <c r="AM64" s="6" t="s">
        <v>765</v>
      </c>
      <c r="AN64" s="7" t="str">
        <f aca="false">BA64&amp;", "&amp;AZ64</f>
        <v>HDFC BC – Account Query / Complaint Assistance, HDFC Bank BC Point, Devmobile Stores, HDFC BC – खाता शिकायत / समस्या सहायता, HDFC बैंक BC पॉइंट, सेवा</v>
      </c>
      <c r="AO64" s="6" t="s">
        <v>840</v>
      </c>
      <c r="AP64" s="5" t="s">
        <v>773</v>
      </c>
      <c r="AQ64" s="5" t="n">
        <v>190</v>
      </c>
      <c r="AR64" s="6" t="s">
        <v>133</v>
      </c>
      <c r="AS64" s="6" t="s">
        <v>623</v>
      </c>
      <c r="AT64" s="6" t="s">
        <v>86</v>
      </c>
      <c r="AU64" s="10"/>
      <c r="AV64" s="6" t="s">
        <v>75</v>
      </c>
      <c r="AW64" s="6"/>
      <c r="AX64" s="6" t="s">
        <v>841</v>
      </c>
      <c r="AY64" s="6" t="s">
        <v>842</v>
      </c>
      <c r="AZ64" s="6" t="s">
        <v>843</v>
      </c>
      <c r="BA64" s="6" t="s">
        <v>844</v>
      </c>
      <c r="BB64" s="6"/>
      <c r="BC64" s="11" t="str">
        <f aca="false">IFERROR(INDEX(CATEGORY_MASTER!$C$4:$C$30,MATCH(B64,CATEGORY_MASTER!$A$4:$A$30,0)),"")</f>
        <v>🏦</v>
      </c>
      <c r="BD64" s="7" t="str">
        <f aca="false">"/services/"&amp;AO64</f>
        <v>/services/hdfc-bc-account-query-complaint-assistance</v>
      </c>
      <c r="BE64" s="7" t="str">
        <f aca="false">IF(AND(AH64="Yes",AG64="Active",I64&lt;&gt;"Not Available"),"LIVE","HIDDEN")</f>
        <v>HIDDEN</v>
      </c>
      <c r="BF64" s="6" t="s">
        <v>139</v>
      </c>
      <c r="BG64" s="6" t="s">
        <v>93</v>
      </c>
      <c r="BH64" s="7" t="str">
        <f aca="false">B64&amp;"|"&amp;COUNTIF($B$4:B64,B64)</f>
        <v>HDFC Bank BC Point|19</v>
      </c>
      <c r="BI64" s="7" t="str">
        <f aca="false">IF(AND(AI64="Yes",BE64="LIVE"),COUNTIFS($AI$4:AI64,"Yes",$BE$4:BE64,"LIVE"),"")</f>
        <v/>
      </c>
      <c r="BJ64" s="7" t="str">
        <f aca="false">IF(AND(AJ64="Yes",BE64="LIVE"),COUNTIFS($AJ$4:AJ64,"Yes",$BE$4:BE64,"LIVE"),"")</f>
        <v/>
      </c>
      <c r="BK64" s="7" t="str">
        <f aca="false">IF(AND(AK64="Yes",BE64="LIVE"),COUNTIFS($AK$4:AK64,"Yes",$BE$4:BE64,"LIVE"),"")</f>
        <v/>
      </c>
      <c r="BL64" s="7" t="n">
        <f aca="false">IF(I64="To Verify",COUNTIF($I$4:I64,"To Verify"),"")</f>
        <v>11</v>
      </c>
    </row>
    <row r="65" customFormat="false" ht="79.85" hidden="false" customHeight="false" outlineLevel="0" collapsed="false">
      <c r="A65" s="5" t="s">
        <v>845</v>
      </c>
      <c r="B65" s="6" t="s">
        <v>611</v>
      </c>
      <c r="C65" s="6" t="s">
        <v>612</v>
      </c>
      <c r="D65" s="6" t="s">
        <v>846</v>
      </c>
      <c r="E65" s="6" t="s">
        <v>847</v>
      </c>
      <c r="F65" s="6" t="s">
        <v>848</v>
      </c>
      <c r="G65" s="6" t="s">
        <v>849</v>
      </c>
      <c r="H65" s="6" t="s">
        <v>850</v>
      </c>
      <c r="I65" s="5" t="s">
        <v>75</v>
      </c>
      <c r="J65" s="7" t="str">
        <f aca="false">IFERROR(INDEX(AVAILABILITY_MASTER!$C$4:$C$10,MATCH(I65,AVAILABILITY_MASTER!$A$4:$A$10,0)),"To Be Confirmed")</f>
        <v>To Be Confirmed</v>
      </c>
      <c r="K65" s="6" t="s">
        <v>129</v>
      </c>
      <c r="L65" s="6" t="s">
        <v>75</v>
      </c>
      <c r="M65" s="7" t="str">
        <f aca="false">IFERROR(INDEX(SERVICE_DOCUMENTS!$S$4:$S$1000,MATCH(A65,SERVICE_DOCUMENTS!$A$4:$A$1000,0))&amp;"","")</f>
        <v>✓ Aadhaar Card
✓ Bank Account Number
✓ Active Mobile Number
✓ Nominee Details</v>
      </c>
      <c r="N65" s="7" t="str">
        <f aca="false">IFERROR(INDEX(SERVICE_DOCUMENTS!$T$4:$T$1000,MATCH(A65,SERVICE_DOCUMENTS!$A$4:$A$1000,0))&amp;"","")</f>
        <v/>
      </c>
      <c r="O65" s="6" t="s">
        <v>851</v>
      </c>
      <c r="P65" s="6" t="s">
        <v>852</v>
      </c>
      <c r="Q65" s="6" t="s">
        <v>78</v>
      </c>
      <c r="R65" s="8" t="s">
        <v>75</v>
      </c>
      <c r="S65" s="8" t="s">
        <v>75</v>
      </c>
      <c r="T65" s="9" t="str">
        <f aca="false">IF(AND(OR(ISNUMBER(R65),R65="N/A"),OR(ISNUMBER(S65),S65="N/A"),OR(ISNUMBER(R65),ISNUMBER(S65))),N(R65)+N(S65),"To Verify")</f>
        <v>To Verify</v>
      </c>
      <c r="U65" s="6" t="s">
        <v>75</v>
      </c>
      <c r="V65" s="6" t="s">
        <v>79</v>
      </c>
      <c r="W65" s="6" t="s">
        <v>80</v>
      </c>
      <c r="X65" s="6" t="s">
        <v>81</v>
      </c>
      <c r="Y65" s="6" t="s">
        <v>79</v>
      </c>
      <c r="Z65" s="6"/>
      <c r="AA65" s="6" t="s">
        <v>74</v>
      </c>
      <c r="AB65" s="6" t="s">
        <v>74</v>
      </c>
      <c r="AC65" s="6" t="s">
        <v>75</v>
      </c>
      <c r="AD65" s="6" t="s">
        <v>75</v>
      </c>
      <c r="AE65" s="6" t="s">
        <v>79</v>
      </c>
      <c r="AF65" s="6" t="s">
        <v>79</v>
      </c>
      <c r="AG65" s="6" t="s">
        <v>75</v>
      </c>
      <c r="AH65" s="6" t="s">
        <v>79</v>
      </c>
      <c r="AI65" s="6" t="s">
        <v>79</v>
      </c>
      <c r="AJ65" s="6" t="s">
        <v>79</v>
      </c>
      <c r="AK65" s="6" t="s">
        <v>79</v>
      </c>
      <c r="AL65" s="6" t="s">
        <v>611</v>
      </c>
      <c r="AM65" s="6" t="s">
        <v>846</v>
      </c>
      <c r="AN65" s="7" t="str">
        <f aca="false">BA65&amp;", "&amp;AZ65</f>
        <v>HDFC BC – PMJJBY / PMSBY Enrolment Assistance, HDFC Bank BC Point, Devmobile Stores, HDFC BC – PMJJBY / PMSBY नामांकन सहायता, HDFC बैंक BC पॉइंट, सेवा</v>
      </c>
      <c r="AO65" s="6" t="s">
        <v>853</v>
      </c>
      <c r="AP65" s="5" t="s">
        <v>854</v>
      </c>
      <c r="AQ65" s="5" t="n">
        <v>200</v>
      </c>
      <c r="AR65" s="6" t="s">
        <v>133</v>
      </c>
      <c r="AS65" s="6" t="s">
        <v>623</v>
      </c>
      <c r="AT65" s="6" t="s">
        <v>86</v>
      </c>
      <c r="AU65" s="10"/>
      <c r="AV65" s="6" t="s">
        <v>75</v>
      </c>
      <c r="AW65" s="6" t="s">
        <v>855</v>
      </c>
      <c r="AX65" s="6" t="s">
        <v>856</v>
      </c>
      <c r="AY65" s="6" t="s">
        <v>857</v>
      </c>
      <c r="AZ65" s="6" t="s">
        <v>858</v>
      </c>
      <c r="BA65" s="6" t="s">
        <v>859</v>
      </c>
      <c r="BB65" s="6"/>
      <c r="BC65" s="11" t="str">
        <f aca="false">IFERROR(INDEX(CATEGORY_MASTER!$C$4:$C$30,MATCH(B65,CATEGORY_MASTER!$A$4:$A$30,0)),"")</f>
        <v>🏦</v>
      </c>
      <c r="BD65" s="7" t="str">
        <f aca="false">"/services/"&amp;AO65</f>
        <v>/services/hdfc-bc-pmjjby-pmsby-enrolment-assistance</v>
      </c>
      <c r="BE65" s="7" t="str">
        <f aca="false">IF(AND(AH65="Yes",AG65="Active",I65&lt;&gt;"Not Available"),"LIVE","HIDDEN")</f>
        <v>HIDDEN</v>
      </c>
      <c r="BF65" s="6" t="s">
        <v>139</v>
      </c>
      <c r="BG65" s="6" t="s">
        <v>93</v>
      </c>
      <c r="BH65" s="7" t="str">
        <f aca="false">B65&amp;"|"&amp;COUNTIF($B$4:B65,B65)</f>
        <v>HDFC Bank BC Point|20</v>
      </c>
      <c r="BI65" s="7" t="str">
        <f aca="false">IF(AND(AI65="Yes",BE65="LIVE"),COUNTIFS($AI$4:AI65,"Yes",$BE$4:BE65,"LIVE"),"")</f>
        <v/>
      </c>
      <c r="BJ65" s="7" t="str">
        <f aca="false">IF(AND(AJ65="Yes",BE65="LIVE"),COUNTIFS($AJ$4:AJ65,"Yes",$BE$4:BE65,"LIVE"),"")</f>
        <v/>
      </c>
      <c r="BK65" s="7" t="str">
        <f aca="false">IF(AND(AK65="Yes",BE65="LIVE"),COUNTIFS($AK$4:AK65,"Yes",$BE$4:BE65,"LIVE"),"")</f>
        <v/>
      </c>
      <c r="BL65" s="7" t="n">
        <f aca="false">IF(I65="To Verify",COUNTIF($I$4:I65,"To Verify"),"")</f>
        <v>12</v>
      </c>
    </row>
    <row r="66" customFormat="false" ht="79.85" hidden="false" customHeight="false" outlineLevel="0" collapsed="false">
      <c r="A66" s="5" t="s">
        <v>860</v>
      </c>
      <c r="B66" s="6" t="s">
        <v>611</v>
      </c>
      <c r="C66" s="6" t="s">
        <v>612</v>
      </c>
      <c r="D66" s="6" t="s">
        <v>846</v>
      </c>
      <c r="E66" s="6" t="s">
        <v>861</v>
      </c>
      <c r="F66" s="6" t="s">
        <v>862</v>
      </c>
      <c r="G66" s="6" t="s">
        <v>863</v>
      </c>
      <c r="H66" s="6" t="s">
        <v>864</v>
      </c>
      <c r="I66" s="5" t="s">
        <v>75</v>
      </c>
      <c r="J66" s="7" t="str">
        <f aca="false">IFERROR(INDEX(AVAILABILITY_MASTER!$C$4:$C$10,MATCH(I66,AVAILABILITY_MASTER!$A$4:$A$10,0)),"To Be Confirmed")</f>
        <v>To Be Confirmed</v>
      </c>
      <c r="K66" s="6" t="s">
        <v>129</v>
      </c>
      <c r="L66" s="6" t="s">
        <v>75</v>
      </c>
      <c r="M66" s="7" t="str">
        <f aca="false">IFERROR(INDEX(SERVICE_DOCUMENTS!$S$4:$S$1000,MATCH(A66,SERVICE_DOCUMENTS!$A$4:$A$1000,0))&amp;"","")</f>
        <v>✓ Aadhaar Card
✓ Bank Account Number
✓ Active Mobile Number
✓ Nominee Details</v>
      </c>
      <c r="N66" s="7" t="str">
        <f aca="false">IFERROR(INDEX(SERVICE_DOCUMENTS!$T$4:$T$1000,MATCH(A66,SERVICE_DOCUMENTS!$A$4:$A$1000,0))&amp;"","")</f>
        <v/>
      </c>
      <c r="O66" s="6" t="s">
        <v>851</v>
      </c>
      <c r="P66" s="6" t="s">
        <v>852</v>
      </c>
      <c r="Q66" s="6" t="s">
        <v>78</v>
      </c>
      <c r="R66" s="8" t="s">
        <v>75</v>
      </c>
      <c r="S66" s="8" t="s">
        <v>75</v>
      </c>
      <c r="T66" s="9" t="str">
        <f aca="false">IF(AND(OR(ISNUMBER(R66),R66="N/A"),OR(ISNUMBER(S66),S66="N/A"),OR(ISNUMBER(R66),ISNUMBER(S66))),N(R66)+N(S66),"To Verify")</f>
        <v>To Verify</v>
      </c>
      <c r="U66" s="6" t="s">
        <v>75</v>
      </c>
      <c r="V66" s="6" t="s">
        <v>79</v>
      </c>
      <c r="W66" s="6" t="s">
        <v>80</v>
      </c>
      <c r="X66" s="6" t="s">
        <v>81</v>
      </c>
      <c r="Y66" s="6" t="s">
        <v>79</v>
      </c>
      <c r="Z66" s="6"/>
      <c r="AA66" s="6" t="s">
        <v>74</v>
      </c>
      <c r="AB66" s="6" t="s">
        <v>74</v>
      </c>
      <c r="AC66" s="6" t="s">
        <v>75</v>
      </c>
      <c r="AD66" s="6" t="s">
        <v>75</v>
      </c>
      <c r="AE66" s="6" t="s">
        <v>79</v>
      </c>
      <c r="AF66" s="6" t="s">
        <v>79</v>
      </c>
      <c r="AG66" s="6" t="s">
        <v>75</v>
      </c>
      <c r="AH66" s="6" t="s">
        <v>79</v>
      </c>
      <c r="AI66" s="6" t="s">
        <v>79</v>
      </c>
      <c r="AJ66" s="6" t="s">
        <v>79</v>
      </c>
      <c r="AK66" s="6" t="s">
        <v>79</v>
      </c>
      <c r="AL66" s="6" t="s">
        <v>611</v>
      </c>
      <c r="AM66" s="6" t="s">
        <v>846</v>
      </c>
      <c r="AN66" s="7" t="str">
        <f aca="false">BA66&amp;", "&amp;AZ66</f>
        <v>HDFC BC – Atal Pension Yojana Enrolment Assistance, HDFC Bank BC Point, Devmobile Stores, HDFC BC – अटल पेंशन योजना नामांकन सहायता, HDFC बैंक BC पॉइंट, सेवा</v>
      </c>
      <c r="AO66" s="6" t="s">
        <v>865</v>
      </c>
      <c r="AP66" s="5" t="s">
        <v>854</v>
      </c>
      <c r="AQ66" s="5" t="n">
        <v>210</v>
      </c>
      <c r="AR66" s="6" t="s">
        <v>133</v>
      </c>
      <c r="AS66" s="6" t="s">
        <v>623</v>
      </c>
      <c r="AT66" s="6" t="s">
        <v>86</v>
      </c>
      <c r="AU66" s="10"/>
      <c r="AV66" s="6" t="s">
        <v>75</v>
      </c>
      <c r="AW66" s="6"/>
      <c r="AX66" s="6" t="s">
        <v>866</v>
      </c>
      <c r="AY66" s="6" t="s">
        <v>867</v>
      </c>
      <c r="AZ66" s="6" t="s">
        <v>868</v>
      </c>
      <c r="BA66" s="6" t="s">
        <v>869</v>
      </c>
      <c r="BB66" s="6"/>
      <c r="BC66" s="11" t="str">
        <f aca="false">IFERROR(INDEX(CATEGORY_MASTER!$C$4:$C$30,MATCH(B66,CATEGORY_MASTER!$A$4:$A$30,0)),"")</f>
        <v>🏦</v>
      </c>
      <c r="BD66" s="7" t="str">
        <f aca="false">"/services/"&amp;AO66</f>
        <v>/services/hdfc-bc-atal-pension-yojana-enrolment-assistance</v>
      </c>
      <c r="BE66" s="7" t="str">
        <f aca="false">IF(AND(AH66="Yes",AG66="Active",I66&lt;&gt;"Not Available"),"LIVE","HIDDEN")</f>
        <v>HIDDEN</v>
      </c>
      <c r="BF66" s="6" t="s">
        <v>139</v>
      </c>
      <c r="BG66" s="6" t="s">
        <v>93</v>
      </c>
      <c r="BH66" s="7" t="str">
        <f aca="false">B66&amp;"|"&amp;COUNTIF($B$4:B66,B66)</f>
        <v>HDFC Bank BC Point|21</v>
      </c>
      <c r="BI66" s="7" t="str">
        <f aca="false">IF(AND(AI66="Yes",BE66="LIVE"),COUNTIFS($AI$4:AI66,"Yes",$BE$4:BE66,"LIVE"),"")</f>
        <v/>
      </c>
      <c r="BJ66" s="7" t="str">
        <f aca="false">IF(AND(AJ66="Yes",BE66="LIVE"),COUNTIFS($AJ$4:AJ66,"Yes",$BE$4:BE66,"LIVE"),"")</f>
        <v/>
      </c>
      <c r="BK66" s="7" t="str">
        <f aca="false">IF(AND(AK66="Yes",BE66="LIVE"),COUNTIFS($AK$4:AK66,"Yes",$BE$4:BE66,"LIVE"),"")</f>
        <v/>
      </c>
      <c r="BL66" s="7" t="n">
        <f aca="false">IF(I66="To Verify",COUNTIF($I$4:I66,"To Verify"),"")</f>
        <v>13</v>
      </c>
    </row>
    <row r="67" customFormat="false" ht="68.65" hidden="false" customHeight="false" outlineLevel="0" collapsed="false">
      <c r="A67" s="5" t="s">
        <v>870</v>
      </c>
      <c r="B67" s="6" t="s">
        <v>871</v>
      </c>
      <c r="C67" s="6" t="s">
        <v>612</v>
      </c>
      <c r="D67" s="6" t="s">
        <v>613</v>
      </c>
      <c r="E67" s="6" t="s">
        <v>872</v>
      </c>
      <c r="F67" s="6" t="s">
        <v>873</v>
      </c>
      <c r="G67" s="6" t="s">
        <v>874</v>
      </c>
      <c r="H67" s="6" t="s">
        <v>875</v>
      </c>
      <c r="I67" s="5" t="s">
        <v>12</v>
      </c>
      <c r="J67" s="7" t="str">
        <f aca="false">IFERROR(INDEX(AVAILABILITY_MASTER!$C$4:$C$10,MATCH(I67,AVAILABILITY_MASTER!$A$4:$A$10,0)),"To Be Confirmed")</f>
        <v>Please Confirm at Shop</v>
      </c>
      <c r="K67" s="6" t="s">
        <v>74</v>
      </c>
      <c r="L67" s="6" t="s">
        <v>75</v>
      </c>
      <c r="M67" s="7" t="str">
        <f aca="false">IFERROR(INDEX(SERVICE_DOCUMENTS!$S$4:$S$1000,MATCH(A67,SERVICE_DOCUMENTS!$A$4:$A$1000,0))&amp;"","")</f>
        <v>✓ Bank Account Number
✓ Cash Amount</v>
      </c>
      <c r="N67" s="7" t="str">
        <f aca="false">IFERROR(INDEX(SERVICE_DOCUMENTS!$T$4:$T$1000,MATCH(A67,SERVICE_DOCUMENTS!$A$4:$A$1000,0))&amp;"","")</f>
        <v>• Aadhaar Card (If Applicable)</v>
      </c>
      <c r="O67" s="6" t="s">
        <v>876</v>
      </c>
      <c r="P67" s="6" t="s">
        <v>619</v>
      </c>
      <c r="Q67" s="6" t="s">
        <v>440</v>
      </c>
      <c r="R67" s="8" t="s">
        <v>75</v>
      </c>
      <c r="S67" s="8" t="s">
        <v>75</v>
      </c>
      <c r="T67" s="9" t="str">
        <f aca="false">IF(AND(OR(ISNUMBER(R67),R67="N/A"),OR(ISNUMBER(S67),S67="N/A"),OR(ISNUMBER(R67),ISNUMBER(S67))),N(R67)+N(S67),"To Verify")</f>
        <v>To Verify</v>
      </c>
      <c r="U67" s="6" t="s">
        <v>75</v>
      </c>
      <c r="V67" s="6" t="s">
        <v>79</v>
      </c>
      <c r="W67" s="6" t="s">
        <v>80</v>
      </c>
      <c r="X67" s="6" t="s">
        <v>81</v>
      </c>
      <c r="Y67" s="6" t="s">
        <v>79</v>
      </c>
      <c r="Z67" s="6"/>
      <c r="AA67" s="6" t="s">
        <v>74</v>
      </c>
      <c r="AB67" s="6" t="s">
        <v>74</v>
      </c>
      <c r="AC67" s="6" t="s">
        <v>75</v>
      </c>
      <c r="AD67" s="6" t="s">
        <v>75</v>
      </c>
      <c r="AE67" s="6" t="s">
        <v>79</v>
      </c>
      <c r="AF67" s="6" t="s">
        <v>79</v>
      </c>
      <c r="AG67" s="6" t="s">
        <v>75</v>
      </c>
      <c r="AH67" s="6" t="s">
        <v>79</v>
      </c>
      <c r="AI67" s="6" t="s">
        <v>79</v>
      </c>
      <c r="AJ67" s="6" t="s">
        <v>79</v>
      </c>
      <c r="AK67" s="6" t="s">
        <v>79</v>
      </c>
      <c r="AL67" s="6" t="s">
        <v>871</v>
      </c>
      <c r="AM67" s="6" t="s">
        <v>613</v>
      </c>
      <c r="AN67" s="7" t="str">
        <f aca="false">BA67&amp;", "&amp;AZ67</f>
        <v>FINO BC – Cash Deposit, FINO Payments Bank BC Point, Devmobile Stores, FINO BC – नकद जमा, FINO पेमेंट्स बैंक BC पॉइंट, सेवा</v>
      </c>
      <c r="AO67" s="6" t="s">
        <v>877</v>
      </c>
      <c r="AP67" s="5" t="s">
        <v>621</v>
      </c>
      <c r="AQ67" s="5" t="n">
        <v>10</v>
      </c>
      <c r="AR67" s="6" t="s">
        <v>622</v>
      </c>
      <c r="AS67" s="6" t="s">
        <v>878</v>
      </c>
      <c r="AT67" s="6" t="s">
        <v>86</v>
      </c>
      <c r="AU67" s="10"/>
      <c r="AV67" s="6" t="s">
        <v>75</v>
      </c>
      <c r="AW67" s="6"/>
      <c r="AX67" s="6" t="s">
        <v>879</v>
      </c>
      <c r="AY67" s="6" t="s">
        <v>880</v>
      </c>
      <c r="AZ67" s="6" t="s">
        <v>881</v>
      </c>
      <c r="BA67" s="6" t="s">
        <v>882</v>
      </c>
      <c r="BB67" s="6"/>
      <c r="BC67" s="11" t="str">
        <f aca="false">IFERROR(INDEX(CATEGORY_MASTER!$C$4:$C$30,MATCH(B67,CATEGORY_MASTER!$A$4:$A$30,0)),"")</f>
        <v>💳</v>
      </c>
      <c r="BD67" s="7" t="str">
        <f aca="false">"/services/"&amp;AO67</f>
        <v>/services/fino-bc-cash-deposit</v>
      </c>
      <c r="BE67" s="7" t="str">
        <f aca="false">IF(AND(AH67="Yes",AG67="Active",I67&lt;&gt;"Not Available"),"LIVE","HIDDEN")</f>
        <v>HIDDEN</v>
      </c>
      <c r="BF67" s="6" t="s">
        <v>139</v>
      </c>
      <c r="BG67" s="6" t="s">
        <v>93</v>
      </c>
      <c r="BH67" s="7" t="str">
        <f aca="false">B67&amp;"|"&amp;COUNTIF($B$4:B67,B67)</f>
        <v>FINO Payments Bank BC Point|1</v>
      </c>
      <c r="BI67" s="7" t="str">
        <f aca="false">IF(AND(AI67="Yes",BE67="LIVE"),COUNTIFS($AI$4:AI67,"Yes",$BE$4:BE67,"LIVE"),"")</f>
        <v/>
      </c>
      <c r="BJ67" s="7" t="str">
        <f aca="false">IF(AND(AJ67="Yes",BE67="LIVE"),COUNTIFS($AJ$4:AJ67,"Yes",$BE$4:BE67,"LIVE"),"")</f>
        <v/>
      </c>
      <c r="BK67" s="7" t="str">
        <f aca="false">IF(AND(AK67="Yes",BE67="LIVE"),COUNTIFS($AK$4:AK67,"Yes",$BE$4:BE67,"LIVE"),"")</f>
        <v/>
      </c>
      <c r="BL67" s="7" t="str">
        <f aca="false">IF(I67="To Verify",COUNTIF($I$4:I67,"To Verify"),"")</f>
        <v/>
      </c>
    </row>
    <row r="68" customFormat="false" ht="57.45" hidden="false" customHeight="false" outlineLevel="0" collapsed="false">
      <c r="A68" s="5" t="s">
        <v>883</v>
      </c>
      <c r="B68" s="6" t="s">
        <v>871</v>
      </c>
      <c r="C68" s="6" t="s">
        <v>612</v>
      </c>
      <c r="D68" s="6" t="s">
        <v>613</v>
      </c>
      <c r="E68" s="6" t="s">
        <v>884</v>
      </c>
      <c r="F68" s="6" t="s">
        <v>885</v>
      </c>
      <c r="G68" s="6" t="s">
        <v>886</v>
      </c>
      <c r="H68" s="6" t="s">
        <v>887</v>
      </c>
      <c r="I68" s="5" t="s">
        <v>12</v>
      </c>
      <c r="J68" s="7" t="str">
        <f aca="false">IFERROR(INDEX(AVAILABILITY_MASTER!$C$4:$C$10,MATCH(I68,AVAILABILITY_MASTER!$A$4:$A$10,0)),"To Be Confirmed")</f>
        <v>Please Confirm at Shop</v>
      </c>
      <c r="K68" s="6" t="s">
        <v>74</v>
      </c>
      <c r="L68" s="6" t="s">
        <v>75</v>
      </c>
      <c r="M68" s="7" t="str">
        <f aca="false">IFERROR(INDEX(SERVICE_DOCUMENTS!$S$4:$S$1000,MATCH(A68,SERVICE_DOCUMENTS!$A$4:$A$1000,0))&amp;"","")</f>
        <v>✓ Aadhaar Card
✓ Customer Presence for Biometrics</v>
      </c>
      <c r="N68" s="7" t="str">
        <f aca="false">IFERROR(INDEX(SERVICE_DOCUMENTS!$T$4:$T$1000,MATCH(A68,SERVICE_DOCUMENTS!$A$4:$A$1000,0))&amp;"","")</f>
        <v>• Bank Account Number (If Applicable)</v>
      </c>
      <c r="O68" s="6" t="s">
        <v>876</v>
      </c>
      <c r="P68" s="6" t="s">
        <v>633</v>
      </c>
      <c r="Q68" s="6" t="s">
        <v>440</v>
      </c>
      <c r="R68" s="8" t="s">
        <v>75</v>
      </c>
      <c r="S68" s="8" t="s">
        <v>75</v>
      </c>
      <c r="T68" s="9" t="str">
        <f aca="false">IF(AND(OR(ISNUMBER(R68),R68="N/A"),OR(ISNUMBER(S68),S68="N/A"),OR(ISNUMBER(R68),ISNUMBER(S68))),N(R68)+N(S68),"To Verify")</f>
        <v>To Verify</v>
      </c>
      <c r="U68" s="6" t="s">
        <v>75</v>
      </c>
      <c r="V68" s="6" t="s">
        <v>79</v>
      </c>
      <c r="W68" s="6" t="s">
        <v>80</v>
      </c>
      <c r="X68" s="6" t="s">
        <v>81</v>
      </c>
      <c r="Y68" s="6" t="s">
        <v>79</v>
      </c>
      <c r="Z68" s="6"/>
      <c r="AA68" s="6" t="s">
        <v>74</v>
      </c>
      <c r="AB68" s="6" t="s">
        <v>74</v>
      </c>
      <c r="AC68" s="6" t="s">
        <v>75</v>
      </c>
      <c r="AD68" s="6" t="s">
        <v>75</v>
      </c>
      <c r="AE68" s="6" t="s">
        <v>79</v>
      </c>
      <c r="AF68" s="6" t="s">
        <v>79</v>
      </c>
      <c r="AG68" s="6" t="s">
        <v>75</v>
      </c>
      <c r="AH68" s="6" t="s">
        <v>79</v>
      </c>
      <c r="AI68" s="6" t="s">
        <v>79</v>
      </c>
      <c r="AJ68" s="6" t="s">
        <v>79</v>
      </c>
      <c r="AK68" s="6" t="s">
        <v>79</v>
      </c>
      <c r="AL68" s="6" t="s">
        <v>871</v>
      </c>
      <c r="AM68" s="6" t="s">
        <v>613</v>
      </c>
      <c r="AN68" s="7" t="str">
        <f aca="false">BA68&amp;", "&amp;AZ68</f>
        <v>FINO BC – Cash Withdrawal, FINO Payments Bank BC Point, Devmobile Stores, FINO BC – नकद निकासी, FINO पेमेंट्स बैंक BC पॉइंट, सेवा</v>
      </c>
      <c r="AO68" s="6" t="s">
        <v>888</v>
      </c>
      <c r="AP68" s="5" t="s">
        <v>621</v>
      </c>
      <c r="AQ68" s="5" t="n">
        <v>20</v>
      </c>
      <c r="AR68" s="6" t="s">
        <v>635</v>
      </c>
      <c r="AS68" s="6" t="s">
        <v>878</v>
      </c>
      <c r="AT68" s="6" t="s">
        <v>86</v>
      </c>
      <c r="AU68" s="10"/>
      <c r="AV68" s="6" t="s">
        <v>75</v>
      </c>
      <c r="AW68" s="6"/>
      <c r="AX68" s="6" t="s">
        <v>889</v>
      </c>
      <c r="AY68" s="6" t="s">
        <v>890</v>
      </c>
      <c r="AZ68" s="6" t="s">
        <v>891</v>
      </c>
      <c r="BA68" s="6" t="s">
        <v>892</v>
      </c>
      <c r="BB68" s="6"/>
      <c r="BC68" s="11" t="str">
        <f aca="false">IFERROR(INDEX(CATEGORY_MASTER!$C$4:$C$30,MATCH(B68,CATEGORY_MASTER!$A$4:$A$30,0)),"")</f>
        <v>💳</v>
      </c>
      <c r="BD68" s="7" t="str">
        <f aca="false">"/services/"&amp;AO68</f>
        <v>/services/fino-bc-cash-withdrawal</v>
      </c>
      <c r="BE68" s="7" t="str">
        <f aca="false">IF(AND(AH68="Yes",AG68="Active",I68&lt;&gt;"Not Available"),"LIVE","HIDDEN")</f>
        <v>HIDDEN</v>
      </c>
      <c r="BF68" s="6" t="s">
        <v>139</v>
      </c>
      <c r="BG68" s="6" t="s">
        <v>93</v>
      </c>
      <c r="BH68" s="7" t="str">
        <f aca="false">B68&amp;"|"&amp;COUNTIF($B$4:B68,B68)</f>
        <v>FINO Payments Bank BC Point|2</v>
      </c>
      <c r="BI68" s="7" t="str">
        <f aca="false">IF(AND(AI68="Yes",BE68="LIVE"),COUNTIFS($AI$4:AI68,"Yes",$BE$4:BE68,"LIVE"),"")</f>
        <v/>
      </c>
      <c r="BJ68" s="7" t="str">
        <f aca="false">IF(AND(AJ68="Yes",BE68="LIVE"),COUNTIFS($AJ$4:AJ68,"Yes",$BE$4:BE68,"LIVE"),"")</f>
        <v/>
      </c>
      <c r="BK68" s="7" t="str">
        <f aca="false">IF(AND(AK68="Yes",BE68="LIVE"),COUNTIFS($AK$4:AK68,"Yes",$BE$4:BE68,"LIVE"),"")</f>
        <v/>
      </c>
      <c r="BL68" s="7" t="str">
        <f aca="false">IF(I68="To Verify",COUNTIF($I$4:I68,"To Verify"),"")</f>
        <v/>
      </c>
    </row>
    <row r="69" customFormat="false" ht="68.65" hidden="false" customHeight="false" outlineLevel="0" collapsed="false">
      <c r="A69" s="5" t="s">
        <v>893</v>
      </c>
      <c r="B69" s="6" t="s">
        <v>871</v>
      </c>
      <c r="C69" s="6" t="s">
        <v>612</v>
      </c>
      <c r="D69" s="6" t="s">
        <v>613</v>
      </c>
      <c r="E69" s="6" t="s">
        <v>894</v>
      </c>
      <c r="F69" s="6" t="s">
        <v>895</v>
      </c>
      <c r="G69" s="6" t="s">
        <v>896</v>
      </c>
      <c r="H69" s="6" t="s">
        <v>897</v>
      </c>
      <c r="I69" s="5" t="s">
        <v>12</v>
      </c>
      <c r="J69" s="7" t="str">
        <f aca="false">IFERROR(INDEX(AVAILABILITY_MASTER!$C$4:$C$10,MATCH(I69,AVAILABILITY_MASTER!$A$4:$A$10,0)),"To Be Confirmed")</f>
        <v>Please Confirm at Shop</v>
      </c>
      <c r="K69" s="6" t="s">
        <v>74</v>
      </c>
      <c r="L69" s="6" t="s">
        <v>75</v>
      </c>
      <c r="M69" s="7" t="str">
        <f aca="false">IFERROR(INDEX(SERVICE_DOCUMENTS!$S$4:$S$1000,MATCH(A69,SERVICE_DOCUMENTS!$A$4:$A$1000,0))&amp;"","")</f>
        <v>✓ Aadhaar Card
✓ Bank Account Number
✓ Active Mobile Number</v>
      </c>
      <c r="N69" s="7" t="str">
        <f aca="false">IFERROR(INDEX(SERVICE_DOCUMENTS!$T$4:$T$1000,MATCH(A69,SERVICE_DOCUMENTS!$A$4:$A$1000,0))&amp;"","")</f>
        <v/>
      </c>
      <c r="O69" s="6" t="s">
        <v>645</v>
      </c>
      <c r="P69" s="6" t="s">
        <v>898</v>
      </c>
      <c r="Q69" s="6" t="s">
        <v>78</v>
      </c>
      <c r="R69" s="8" t="s">
        <v>75</v>
      </c>
      <c r="S69" s="8" t="s">
        <v>75</v>
      </c>
      <c r="T69" s="9" t="str">
        <f aca="false">IF(AND(OR(ISNUMBER(R69),R69="N/A"),OR(ISNUMBER(S69),S69="N/A"),OR(ISNUMBER(R69),ISNUMBER(S69))),N(R69)+N(S69),"To Verify")</f>
        <v>To Verify</v>
      </c>
      <c r="U69" s="6" t="s">
        <v>75</v>
      </c>
      <c r="V69" s="6" t="s">
        <v>79</v>
      </c>
      <c r="W69" s="6" t="s">
        <v>80</v>
      </c>
      <c r="X69" s="6" t="s">
        <v>81</v>
      </c>
      <c r="Y69" s="6" t="s">
        <v>79</v>
      </c>
      <c r="Z69" s="6"/>
      <c r="AA69" s="6" t="s">
        <v>74</v>
      </c>
      <c r="AB69" s="6" t="s">
        <v>74</v>
      </c>
      <c r="AC69" s="6" t="s">
        <v>75</v>
      </c>
      <c r="AD69" s="6" t="s">
        <v>75</v>
      </c>
      <c r="AE69" s="6" t="s">
        <v>79</v>
      </c>
      <c r="AF69" s="6" t="s">
        <v>79</v>
      </c>
      <c r="AG69" s="6" t="s">
        <v>75</v>
      </c>
      <c r="AH69" s="6" t="s">
        <v>79</v>
      </c>
      <c r="AI69" s="6" t="s">
        <v>79</v>
      </c>
      <c r="AJ69" s="6" t="s">
        <v>79</v>
      </c>
      <c r="AK69" s="6" t="s">
        <v>79</v>
      </c>
      <c r="AL69" s="6" t="s">
        <v>871</v>
      </c>
      <c r="AM69" s="6" t="s">
        <v>613</v>
      </c>
      <c r="AN69" s="7" t="str">
        <f aca="false">BA69&amp;", "&amp;AZ69</f>
        <v>FINO BC – Balance Enquiry, FINO Payments Bank BC Point, Devmobile Stores, FINO BC – बैलेंस पूछताछ, FINO पेमेंट्स बैंक BC पॉइंट, सेवा</v>
      </c>
      <c r="AO69" s="6" t="s">
        <v>899</v>
      </c>
      <c r="AP69" s="5" t="s">
        <v>621</v>
      </c>
      <c r="AQ69" s="5" t="n">
        <v>30</v>
      </c>
      <c r="AR69" s="6" t="s">
        <v>133</v>
      </c>
      <c r="AS69" s="6" t="s">
        <v>878</v>
      </c>
      <c r="AT69" s="6" t="s">
        <v>86</v>
      </c>
      <c r="AU69" s="10"/>
      <c r="AV69" s="6" t="s">
        <v>75</v>
      </c>
      <c r="AW69" s="6"/>
      <c r="AX69" s="6" t="s">
        <v>900</v>
      </c>
      <c r="AY69" s="6" t="s">
        <v>901</v>
      </c>
      <c r="AZ69" s="6" t="s">
        <v>902</v>
      </c>
      <c r="BA69" s="6" t="s">
        <v>903</v>
      </c>
      <c r="BB69" s="6"/>
      <c r="BC69" s="11" t="str">
        <f aca="false">IFERROR(INDEX(CATEGORY_MASTER!$C$4:$C$30,MATCH(B69,CATEGORY_MASTER!$A$4:$A$30,0)),"")</f>
        <v>💳</v>
      </c>
      <c r="BD69" s="7" t="str">
        <f aca="false">"/services/"&amp;AO69</f>
        <v>/services/fino-bc-balance-enquiry</v>
      </c>
      <c r="BE69" s="7" t="str">
        <f aca="false">IF(AND(AH69="Yes",AG69="Active",I69&lt;&gt;"Not Available"),"LIVE","HIDDEN")</f>
        <v>HIDDEN</v>
      </c>
      <c r="BF69" s="6" t="s">
        <v>139</v>
      </c>
      <c r="BG69" s="6" t="s">
        <v>93</v>
      </c>
      <c r="BH69" s="7" t="str">
        <f aca="false">B69&amp;"|"&amp;COUNTIF($B$4:B69,B69)</f>
        <v>FINO Payments Bank BC Point|3</v>
      </c>
      <c r="BI69" s="7" t="str">
        <f aca="false">IF(AND(AI69="Yes",BE69="LIVE"),COUNTIFS($AI$4:AI69,"Yes",$BE$4:BE69,"LIVE"),"")</f>
        <v/>
      </c>
      <c r="BJ69" s="7" t="str">
        <f aca="false">IF(AND(AJ69="Yes",BE69="LIVE"),COUNTIFS($AJ$4:AJ69,"Yes",$BE$4:BE69,"LIVE"),"")</f>
        <v/>
      </c>
      <c r="BK69" s="7" t="str">
        <f aca="false">IF(AND(AK69="Yes",BE69="LIVE"),COUNTIFS($AK$4:AK69,"Yes",$BE$4:BE69,"LIVE"),"")</f>
        <v/>
      </c>
      <c r="BL69" s="7" t="str">
        <f aca="false">IF(I69="To Verify",COUNTIF($I$4:I69,"To Verify"),"")</f>
        <v/>
      </c>
    </row>
    <row r="70" customFormat="false" ht="68.65" hidden="false" customHeight="false" outlineLevel="0" collapsed="false">
      <c r="A70" s="5" t="s">
        <v>904</v>
      </c>
      <c r="B70" s="6" t="s">
        <v>871</v>
      </c>
      <c r="C70" s="6" t="s">
        <v>612</v>
      </c>
      <c r="D70" s="6" t="s">
        <v>613</v>
      </c>
      <c r="E70" s="6" t="s">
        <v>905</v>
      </c>
      <c r="F70" s="6" t="s">
        <v>906</v>
      </c>
      <c r="G70" s="6" t="s">
        <v>907</v>
      </c>
      <c r="H70" s="6" t="s">
        <v>908</v>
      </c>
      <c r="I70" s="5" t="s">
        <v>12</v>
      </c>
      <c r="J70" s="7" t="str">
        <f aca="false">IFERROR(INDEX(AVAILABILITY_MASTER!$C$4:$C$10,MATCH(I70,AVAILABILITY_MASTER!$A$4:$A$10,0)),"To Be Confirmed")</f>
        <v>Please Confirm at Shop</v>
      </c>
      <c r="K70" s="6" t="s">
        <v>74</v>
      </c>
      <c r="L70" s="6" t="s">
        <v>75</v>
      </c>
      <c r="M70" s="7" t="str">
        <f aca="false">IFERROR(INDEX(SERVICE_DOCUMENTS!$S$4:$S$1000,MATCH(A70,SERVICE_DOCUMENTS!$A$4:$A$1000,0))&amp;"","")</f>
        <v>✓ Aadhaar Card
✓ Bank Account Number
✓ Active Mobile Number</v>
      </c>
      <c r="N70" s="7" t="str">
        <f aca="false">IFERROR(INDEX(SERVICE_DOCUMENTS!$T$4:$T$1000,MATCH(A70,SERVICE_DOCUMENTS!$A$4:$A$1000,0))&amp;"","")</f>
        <v/>
      </c>
      <c r="O70" s="6" t="s">
        <v>645</v>
      </c>
      <c r="P70" s="6" t="s">
        <v>909</v>
      </c>
      <c r="Q70" s="6" t="s">
        <v>78</v>
      </c>
      <c r="R70" s="8" t="s">
        <v>75</v>
      </c>
      <c r="S70" s="8" t="s">
        <v>75</v>
      </c>
      <c r="T70" s="9" t="str">
        <f aca="false">IF(AND(OR(ISNUMBER(R70),R70="N/A"),OR(ISNUMBER(S70),S70="N/A"),OR(ISNUMBER(R70),ISNUMBER(S70))),N(R70)+N(S70),"To Verify")</f>
        <v>To Verify</v>
      </c>
      <c r="U70" s="6" t="s">
        <v>75</v>
      </c>
      <c r="V70" s="6" t="s">
        <v>79</v>
      </c>
      <c r="W70" s="6" t="s">
        <v>80</v>
      </c>
      <c r="X70" s="6" t="s">
        <v>81</v>
      </c>
      <c r="Y70" s="6" t="s">
        <v>79</v>
      </c>
      <c r="Z70" s="6"/>
      <c r="AA70" s="6" t="s">
        <v>74</v>
      </c>
      <c r="AB70" s="6" t="s">
        <v>74</v>
      </c>
      <c r="AC70" s="6" t="s">
        <v>75</v>
      </c>
      <c r="AD70" s="6" t="s">
        <v>75</v>
      </c>
      <c r="AE70" s="6" t="s">
        <v>79</v>
      </c>
      <c r="AF70" s="6" t="s">
        <v>79</v>
      </c>
      <c r="AG70" s="6" t="s">
        <v>75</v>
      </c>
      <c r="AH70" s="6" t="s">
        <v>79</v>
      </c>
      <c r="AI70" s="6" t="s">
        <v>79</v>
      </c>
      <c r="AJ70" s="6" t="s">
        <v>79</v>
      </c>
      <c r="AK70" s="6" t="s">
        <v>79</v>
      </c>
      <c r="AL70" s="6" t="s">
        <v>871</v>
      </c>
      <c r="AM70" s="6" t="s">
        <v>613</v>
      </c>
      <c r="AN70" s="7" t="str">
        <f aca="false">BA70&amp;", "&amp;AZ70</f>
        <v>FINO BC – Mini Statement, FINO Payments Bank BC Point, Devmobile Stores, FINO BC – मिनी स्टेटमेंट, FINO पेमेंट्स बैंक BC पॉइंट, सेवा</v>
      </c>
      <c r="AO70" s="6" t="s">
        <v>910</v>
      </c>
      <c r="AP70" s="5" t="s">
        <v>621</v>
      </c>
      <c r="AQ70" s="5" t="n">
        <v>40</v>
      </c>
      <c r="AR70" s="6" t="s">
        <v>133</v>
      </c>
      <c r="AS70" s="6" t="s">
        <v>878</v>
      </c>
      <c r="AT70" s="6" t="s">
        <v>86</v>
      </c>
      <c r="AU70" s="10"/>
      <c r="AV70" s="6" t="s">
        <v>75</v>
      </c>
      <c r="AW70" s="6"/>
      <c r="AX70" s="6" t="s">
        <v>911</v>
      </c>
      <c r="AY70" s="6" t="s">
        <v>912</v>
      </c>
      <c r="AZ70" s="6" t="s">
        <v>913</v>
      </c>
      <c r="BA70" s="6" t="s">
        <v>914</v>
      </c>
      <c r="BB70" s="6"/>
      <c r="BC70" s="11" t="str">
        <f aca="false">IFERROR(INDEX(CATEGORY_MASTER!$C$4:$C$30,MATCH(B70,CATEGORY_MASTER!$A$4:$A$30,0)),"")</f>
        <v>💳</v>
      </c>
      <c r="BD70" s="7" t="str">
        <f aca="false">"/services/"&amp;AO70</f>
        <v>/services/fino-bc-mini-statement</v>
      </c>
      <c r="BE70" s="7" t="str">
        <f aca="false">IF(AND(AH70="Yes",AG70="Active",I70&lt;&gt;"Not Available"),"LIVE","HIDDEN")</f>
        <v>HIDDEN</v>
      </c>
      <c r="BF70" s="6" t="s">
        <v>139</v>
      </c>
      <c r="BG70" s="6" t="s">
        <v>93</v>
      </c>
      <c r="BH70" s="7" t="str">
        <f aca="false">B70&amp;"|"&amp;COUNTIF($B$4:B70,B70)</f>
        <v>FINO Payments Bank BC Point|4</v>
      </c>
      <c r="BI70" s="7" t="str">
        <f aca="false">IF(AND(AI70="Yes",BE70="LIVE"),COUNTIFS($AI$4:AI70,"Yes",$BE$4:BE70,"LIVE"),"")</f>
        <v/>
      </c>
      <c r="BJ70" s="7" t="str">
        <f aca="false">IF(AND(AJ70="Yes",BE70="LIVE"),COUNTIFS($AJ$4:AJ70,"Yes",$BE$4:BE70,"LIVE"),"")</f>
        <v/>
      </c>
      <c r="BK70" s="7" t="str">
        <f aca="false">IF(AND(AK70="Yes",BE70="LIVE"),COUNTIFS($AK$4:AK70,"Yes",$BE$4:BE70,"LIVE"),"")</f>
        <v/>
      </c>
      <c r="BL70" s="7" t="str">
        <f aca="false">IF(I70="To Verify",COUNTIF($I$4:I70,"To Verify"),"")</f>
        <v/>
      </c>
    </row>
    <row r="71" customFormat="false" ht="68.65" hidden="false" customHeight="false" outlineLevel="0" collapsed="false">
      <c r="A71" s="5" t="s">
        <v>915</v>
      </c>
      <c r="B71" s="6" t="s">
        <v>871</v>
      </c>
      <c r="C71" s="6" t="s">
        <v>612</v>
      </c>
      <c r="D71" s="6" t="s">
        <v>664</v>
      </c>
      <c r="E71" s="6" t="s">
        <v>916</v>
      </c>
      <c r="F71" s="6" t="s">
        <v>917</v>
      </c>
      <c r="G71" s="6" t="s">
        <v>918</v>
      </c>
      <c r="H71" s="6" t="s">
        <v>668</v>
      </c>
      <c r="I71" s="5" t="s">
        <v>12</v>
      </c>
      <c r="J71" s="7" t="str">
        <f aca="false">IFERROR(INDEX(AVAILABILITY_MASTER!$C$4:$C$10,MATCH(I71,AVAILABILITY_MASTER!$A$4:$A$10,0)),"To Be Confirmed")</f>
        <v>Please Confirm at Shop</v>
      </c>
      <c r="K71" s="6" t="s">
        <v>74</v>
      </c>
      <c r="L71" s="6" t="s">
        <v>75</v>
      </c>
      <c r="M71" s="7" t="str">
        <f aca="false">IFERROR(INDEX(SERVICE_DOCUMENTS!$S$4:$S$1000,MATCH(A71,SERVICE_DOCUMENTS!$A$4:$A$1000,0))&amp;"","")</f>
        <v>✓ Aadhaar Card
✓ Customer Presence for Biometrics</v>
      </c>
      <c r="N71" s="7" t="str">
        <f aca="false">IFERROR(INDEX(SERVICE_DOCUMENTS!$T$4:$T$1000,MATCH(A71,SERVICE_DOCUMENTS!$A$4:$A$1000,0))&amp;"","")</f>
        <v/>
      </c>
      <c r="O71" s="6" t="s">
        <v>669</v>
      </c>
      <c r="P71" s="6" t="s">
        <v>670</v>
      </c>
      <c r="Q71" s="6" t="s">
        <v>440</v>
      </c>
      <c r="R71" s="8" t="s">
        <v>75</v>
      </c>
      <c r="S71" s="8" t="s">
        <v>75</v>
      </c>
      <c r="T71" s="9" t="str">
        <f aca="false">IF(AND(OR(ISNUMBER(R71),R71="N/A"),OR(ISNUMBER(S71),S71="N/A"),OR(ISNUMBER(R71),ISNUMBER(S71))),N(R71)+N(S71),"To Verify")</f>
        <v>To Verify</v>
      </c>
      <c r="U71" s="6" t="s">
        <v>75</v>
      </c>
      <c r="V71" s="6" t="s">
        <v>79</v>
      </c>
      <c r="W71" s="6" t="s">
        <v>80</v>
      </c>
      <c r="X71" s="6" t="s">
        <v>81</v>
      </c>
      <c r="Y71" s="6" t="s">
        <v>79</v>
      </c>
      <c r="Z71" s="6"/>
      <c r="AA71" s="6" t="s">
        <v>74</v>
      </c>
      <c r="AB71" s="6" t="s">
        <v>74</v>
      </c>
      <c r="AC71" s="6" t="s">
        <v>75</v>
      </c>
      <c r="AD71" s="6" t="s">
        <v>75</v>
      </c>
      <c r="AE71" s="6" t="s">
        <v>79</v>
      </c>
      <c r="AF71" s="6" t="s">
        <v>79</v>
      </c>
      <c r="AG71" s="6" t="s">
        <v>75</v>
      </c>
      <c r="AH71" s="6" t="s">
        <v>79</v>
      </c>
      <c r="AI71" s="6" t="s">
        <v>79</v>
      </c>
      <c r="AJ71" s="6" t="s">
        <v>79</v>
      </c>
      <c r="AK71" s="6" t="s">
        <v>79</v>
      </c>
      <c r="AL71" s="6" t="s">
        <v>871</v>
      </c>
      <c r="AM71" s="6" t="s">
        <v>664</v>
      </c>
      <c r="AN71" s="7" t="str">
        <f aca="false">BA71&amp;", "&amp;AZ71</f>
        <v>FINO BC – AEPS Cash Withdrawal, FINO Payments Bank BC Point, Devmobile Stores, FINO BC – AEPS नकद निकासी, FINO पेमेंट्स बैंक BC पॉइंट, सेवा</v>
      </c>
      <c r="AO71" s="6" t="s">
        <v>919</v>
      </c>
      <c r="AP71" s="5" t="s">
        <v>290</v>
      </c>
      <c r="AQ71" s="5" t="n">
        <v>50</v>
      </c>
      <c r="AR71" s="6" t="s">
        <v>672</v>
      </c>
      <c r="AS71" s="6" t="s">
        <v>878</v>
      </c>
      <c r="AT71" s="6" t="s">
        <v>86</v>
      </c>
      <c r="AU71" s="10"/>
      <c r="AV71" s="6" t="s">
        <v>75</v>
      </c>
      <c r="AW71" s="6" t="s">
        <v>920</v>
      </c>
      <c r="AX71" s="6" t="s">
        <v>921</v>
      </c>
      <c r="AY71" s="6" t="s">
        <v>922</v>
      </c>
      <c r="AZ71" s="6" t="s">
        <v>923</v>
      </c>
      <c r="BA71" s="6" t="s">
        <v>924</v>
      </c>
      <c r="BB71" s="6"/>
      <c r="BC71" s="11" t="str">
        <f aca="false">IFERROR(INDEX(CATEGORY_MASTER!$C$4:$C$30,MATCH(B71,CATEGORY_MASTER!$A$4:$A$30,0)),"")</f>
        <v>💳</v>
      </c>
      <c r="BD71" s="7" t="str">
        <f aca="false">"/services/"&amp;AO71</f>
        <v>/services/fino-bc-aeps-cash-withdrawal</v>
      </c>
      <c r="BE71" s="7" t="str">
        <f aca="false">IF(AND(AH71="Yes",AG71="Active",I71&lt;&gt;"Not Available"),"LIVE","HIDDEN")</f>
        <v>HIDDEN</v>
      </c>
      <c r="BF71" s="6" t="s">
        <v>139</v>
      </c>
      <c r="BG71" s="6" t="s">
        <v>93</v>
      </c>
      <c r="BH71" s="7" t="str">
        <f aca="false">B71&amp;"|"&amp;COUNTIF($B$4:B71,B71)</f>
        <v>FINO Payments Bank BC Point|5</v>
      </c>
      <c r="BI71" s="7" t="str">
        <f aca="false">IF(AND(AI71="Yes",BE71="LIVE"),COUNTIFS($AI$4:AI71,"Yes",$BE$4:BE71,"LIVE"),"")</f>
        <v/>
      </c>
      <c r="BJ71" s="7" t="str">
        <f aca="false">IF(AND(AJ71="Yes",BE71="LIVE"),COUNTIFS($AJ$4:AJ71,"Yes",$BE$4:BE71,"LIVE"),"")</f>
        <v/>
      </c>
      <c r="BK71" s="7" t="str">
        <f aca="false">IF(AND(AK71="Yes",BE71="LIVE"),COUNTIFS($AK$4:AK71,"Yes",$BE$4:BE71,"LIVE"),"")</f>
        <v/>
      </c>
      <c r="BL71" s="7" t="str">
        <f aca="false">IF(I71="To Verify",COUNTIF($I$4:I71,"To Verify"),"")</f>
        <v/>
      </c>
    </row>
    <row r="72" customFormat="false" ht="68.65" hidden="false" customHeight="false" outlineLevel="0" collapsed="false">
      <c r="A72" s="5" t="s">
        <v>925</v>
      </c>
      <c r="B72" s="6" t="s">
        <v>871</v>
      </c>
      <c r="C72" s="6" t="s">
        <v>612</v>
      </c>
      <c r="D72" s="6" t="s">
        <v>664</v>
      </c>
      <c r="E72" s="6" t="s">
        <v>926</v>
      </c>
      <c r="F72" s="6" t="s">
        <v>927</v>
      </c>
      <c r="G72" s="6" t="s">
        <v>928</v>
      </c>
      <c r="H72" s="6" t="s">
        <v>682</v>
      </c>
      <c r="I72" s="5" t="s">
        <v>12</v>
      </c>
      <c r="J72" s="7" t="str">
        <f aca="false">IFERROR(INDEX(AVAILABILITY_MASTER!$C$4:$C$10,MATCH(I72,AVAILABILITY_MASTER!$A$4:$A$10,0)),"To Be Confirmed")</f>
        <v>Please Confirm at Shop</v>
      </c>
      <c r="K72" s="6" t="s">
        <v>74</v>
      </c>
      <c r="L72" s="6" t="s">
        <v>75</v>
      </c>
      <c r="M72" s="7" t="str">
        <f aca="false">IFERROR(INDEX(SERVICE_DOCUMENTS!$S$4:$S$1000,MATCH(A72,SERVICE_DOCUMENTS!$A$4:$A$1000,0))&amp;"","")</f>
        <v>✓ Aadhaar Card
✓ Customer Presence for Biometrics</v>
      </c>
      <c r="N72" s="7" t="str">
        <f aca="false">IFERROR(INDEX(SERVICE_DOCUMENTS!$T$4:$T$1000,MATCH(A72,SERVICE_DOCUMENTS!$A$4:$A$1000,0))&amp;"","")</f>
        <v/>
      </c>
      <c r="O72" s="6" t="s">
        <v>669</v>
      </c>
      <c r="P72" s="6" t="s">
        <v>683</v>
      </c>
      <c r="Q72" s="6" t="s">
        <v>440</v>
      </c>
      <c r="R72" s="8" t="s">
        <v>75</v>
      </c>
      <c r="S72" s="8" t="s">
        <v>75</v>
      </c>
      <c r="T72" s="9" t="str">
        <f aca="false">IF(AND(OR(ISNUMBER(R72),R72="N/A"),OR(ISNUMBER(S72),S72="N/A"),OR(ISNUMBER(R72),ISNUMBER(S72))),N(R72)+N(S72),"To Verify")</f>
        <v>To Verify</v>
      </c>
      <c r="U72" s="6" t="s">
        <v>75</v>
      </c>
      <c r="V72" s="6" t="s">
        <v>79</v>
      </c>
      <c r="W72" s="6" t="s">
        <v>80</v>
      </c>
      <c r="X72" s="6" t="s">
        <v>81</v>
      </c>
      <c r="Y72" s="6" t="s">
        <v>79</v>
      </c>
      <c r="Z72" s="6"/>
      <c r="AA72" s="6" t="s">
        <v>74</v>
      </c>
      <c r="AB72" s="6" t="s">
        <v>74</v>
      </c>
      <c r="AC72" s="6" t="s">
        <v>75</v>
      </c>
      <c r="AD72" s="6" t="s">
        <v>75</v>
      </c>
      <c r="AE72" s="6" t="s">
        <v>79</v>
      </c>
      <c r="AF72" s="6" t="s">
        <v>79</v>
      </c>
      <c r="AG72" s="6" t="s">
        <v>75</v>
      </c>
      <c r="AH72" s="6" t="s">
        <v>79</v>
      </c>
      <c r="AI72" s="6" t="s">
        <v>79</v>
      </c>
      <c r="AJ72" s="6" t="s">
        <v>79</v>
      </c>
      <c r="AK72" s="6" t="s">
        <v>79</v>
      </c>
      <c r="AL72" s="6" t="s">
        <v>871</v>
      </c>
      <c r="AM72" s="6" t="s">
        <v>664</v>
      </c>
      <c r="AN72" s="7" t="str">
        <f aca="false">BA72&amp;", "&amp;AZ72</f>
        <v>FINO BC – AEPS Balance Enquiry, FINO Payments Bank BC Point, Devmobile Stores, FINO BC – AEPS बैलेंस पूछताछ, FINO पेमेंट्स बैंक BC पॉइंट, सेवा</v>
      </c>
      <c r="AO72" s="6" t="s">
        <v>929</v>
      </c>
      <c r="AP72" s="5" t="s">
        <v>290</v>
      </c>
      <c r="AQ72" s="5" t="n">
        <v>60</v>
      </c>
      <c r="AR72" s="6" t="s">
        <v>672</v>
      </c>
      <c r="AS72" s="6" t="s">
        <v>878</v>
      </c>
      <c r="AT72" s="6" t="s">
        <v>86</v>
      </c>
      <c r="AU72" s="10"/>
      <c r="AV72" s="6" t="s">
        <v>75</v>
      </c>
      <c r="AW72" s="6"/>
      <c r="AX72" s="6" t="s">
        <v>930</v>
      </c>
      <c r="AY72" s="6" t="s">
        <v>931</v>
      </c>
      <c r="AZ72" s="6" t="s">
        <v>932</v>
      </c>
      <c r="BA72" s="6" t="s">
        <v>933</v>
      </c>
      <c r="BB72" s="6"/>
      <c r="BC72" s="11" t="str">
        <f aca="false">IFERROR(INDEX(CATEGORY_MASTER!$C$4:$C$30,MATCH(B72,CATEGORY_MASTER!$A$4:$A$30,0)),"")</f>
        <v>💳</v>
      </c>
      <c r="BD72" s="7" t="str">
        <f aca="false">"/services/"&amp;AO72</f>
        <v>/services/fino-bc-aeps-balance-enquiry</v>
      </c>
      <c r="BE72" s="7" t="str">
        <f aca="false">IF(AND(AH72="Yes",AG72="Active",I72&lt;&gt;"Not Available"),"LIVE","HIDDEN")</f>
        <v>HIDDEN</v>
      </c>
      <c r="BF72" s="6" t="s">
        <v>139</v>
      </c>
      <c r="BG72" s="6" t="s">
        <v>93</v>
      </c>
      <c r="BH72" s="7" t="str">
        <f aca="false">B72&amp;"|"&amp;COUNTIF($B$4:B72,B72)</f>
        <v>FINO Payments Bank BC Point|6</v>
      </c>
      <c r="BI72" s="7" t="str">
        <f aca="false">IF(AND(AI72="Yes",BE72="LIVE"),COUNTIFS($AI$4:AI72,"Yes",$BE$4:BE72,"LIVE"),"")</f>
        <v/>
      </c>
      <c r="BJ72" s="7" t="str">
        <f aca="false">IF(AND(AJ72="Yes",BE72="LIVE"),COUNTIFS($AJ$4:AJ72,"Yes",$BE$4:BE72,"LIVE"),"")</f>
        <v/>
      </c>
      <c r="BK72" s="7" t="str">
        <f aca="false">IF(AND(AK72="Yes",BE72="LIVE"),COUNTIFS($AK$4:AK72,"Yes",$BE$4:BE72,"LIVE"),"")</f>
        <v/>
      </c>
      <c r="BL72" s="7" t="str">
        <f aca="false">IF(I72="To Verify",COUNTIF($I$4:I72,"To Verify"),"")</f>
        <v/>
      </c>
    </row>
    <row r="73" customFormat="false" ht="68.65" hidden="false" customHeight="false" outlineLevel="0" collapsed="false">
      <c r="A73" s="5" t="s">
        <v>934</v>
      </c>
      <c r="B73" s="6" t="s">
        <v>871</v>
      </c>
      <c r="C73" s="6" t="s">
        <v>612</v>
      </c>
      <c r="D73" s="6" t="s">
        <v>664</v>
      </c>
      <c r="E73" s="6" t="s">
        <v>935</v>
      </c>
      <c r="F73" s="6" t="s">
        <v>936</v>
      </c>
      <c r="G73" s="6" t="s">
        <v>937</v>
      </c>
      <c r="H73" s="6" t="s">
        <v>693</v>
      </c>
      <c r="I73" s="5" t="s">
        <v>12</v>
      </c>
      <c r="J73" s="7" t="str">
        <f aca="false">IFERROR(INDEX(AVAILABILITY_MASTER!$C$4:$C$10,MATCH(I73,AVAILABILITY_MASTER!$A$4:$A$10,0)),"To Be Confirmed")</f>
        <v>Please Confirm at Shop</v>
      </c>
      <c r="K73" s="6" t="s">
        <v>74</v>
      </c>
      <c r="L73" s="6" t="s">
        <v>75</v>
      </c>
      <c r="M73" s="7" t="str">
        <f aca="false">IFERROR(INDEX(SERVICE_DOCUMENTS!$S$4:$S$1000,MATCH(A73,SERVICE_DOCUMENTS!$A$4:$A$1000,0))&amp;"","")</f>
        <v>✓ Aadhaar Card
✓ Customer Presence for Biometrics</v>
      </c>
      <c r="N73" s="7" t="str">
        <f aca="false">IFERROR(INDEX(SERVICE_DOCUMENTS!$T$4:$T$1000,MATCH(A73,SERVICE_DOCUMENTS!$A$4:$A$1000,0))&amp;"","")</f>
        <v/>
      </c>
      <c r="O73" s="6" t="s">
        <v>669</v>
      </c>
      <c r="P73" s="6" t="s">
        <v>694</v>
      </c>
      <c r="Q73" s="6" t="s">
        <v>440</v>
      </c>
      <c r="R73" s="8" t="s">
        <v>75</v>
      </c>
      <c r="S73" s="8" t="s">
        <v>75</v>
      </c>
      <c r="T73" s="9" t="str">
        <f aca="false">IF(AND(OR(ISNUMBER(R73),R73="N/A"),OR(ISNUMBER(S73),S73="N/A"),OR(ISNUMBER(R73),ISNUMBER(S73))),N(R73)+N(S73),"To Verify")</f>
        <v>To Verify</v>
      </c>
      <c r="U73" s="6" t="s">
        <v>75</v>
      </c>
      <c r="V73" s="6" t="s">
        <v>79</v>
      </c>
      <c r="W73" s="6" t="s">
        <v>80</v>
      </c>
      <c r="X73" s="6" t="s">
        <v>81</v>
      </c>
      <c r="Y73" s="6" t="s">
        <v>79</v>
      </c>
      <c r="Z73" s="6"/>
      <c r="AA73" s="6" t="s">
        <v>74</v>
      </c>
      <c r="AB73" s="6" t="s">
        <v>74</v>
      </c>
      <c r="AC73" s="6" t="s">
        <v>75</v>
      </c>
      <c r="AD73" s="6" t="s">
        <v>75</v>
      </c>
      <c r="AE73" s="6" t="s">
        <v>79</v>
      </c>
      <c r="AF73" s="6" t="s">
        <v>79</v>
      </c>
      <c r="AG73" s="6" t="s">
        <v>75</v>
      </c>
      <c r="AH73" s="6" t="s">
        <v>79</v>
      </c>
      <c r="AI73" s="6" t="s">
        <v>79</v>
      </c>
      <c r="AJ73" s="6" t="s">
        <v>79</v>
      </c>
      <c r="AK73" s="6" t="s">
        <v>79</v>
      </c>
      <c r="AL73" s="6" t="s">
        <v>871</v>
      </c>
      <c r="AM73" s="6" t="s">
        <v>664</v>
      </c>
      <c r="AN73" s="7" t="str">
        <f aca="false">BA73&amp;", "&amp;AZ73</f>
        <v>FINO BC – AEPS Mini Statement, FINO Payments Bank BC Point, Devmobile Stores, FINO BC – AEPS मिनी स्टेटमेंट, FINO पेमेंट्स बैंक BC पॉइंट, सेवा</v>
      </c>
      <c r="AO73" s="6" t="s">
        <v>938</v>
      </c>
      <c r="AP73" s="5" t="s">
        <v>290</v>
      </c>
      <c r="AQ73" s="5" t="n">
        <v>70</v>
      </c>
      <c r="AR73" s="6" t="s">
        <v>672</v>
      </c>
      <c r="AS73" s="6" t="s">
        <v>878</v>
      </c>
      <c r="AT73" s="6" t="s">
        <v>86</v>
      </c>
      <c r="AU73" s="10"/>
      <c r="AV73" s="6" t="s">
        <v>75</v>
      </c>
      <c r="AW73" s="6"/>
      <c r="AX73" s="6" t="s">
        <v>939</v>
      </c>
      <c r="AY73" s="6" t="s">
        <v>940</v>
      </c>
      <c r="AZ73" s="6" t="s">
        <v>941</v>
      </c>
      <c r="BA73" s="6" t="s">
        <v>942</v>
      </c>
      <c r="BB73" s="6"/>
      <c r="BC73" s="11" t="str">
        <f aca="false">IFERROR(INDEX(CATEGORY_MASTER!$C$4:$C$30,MATCH(B73,CATEGORY_MASTER!$A$4:$A$30,0)),"")</f>
        <v>💳</v>
      </c>
      <c r="BD73" s="7" t="str">
        <f aca="false">"/services/"&amp;AO73</f>
        <v>/services/fino-bc-aeps-mini-statement</v>
      </c>
      <c r="BE73" s="7" t="str">
        <f aca="false">IF(AND(AH73="Yes",AG73="Active",I73&lt;&gt;"Not Available"),"LIVE","HIDDEN")</f>
        <v>HIDDEN</v>
      </c>
      <c r="BF73" s="6" t="s">
        <v>139</v>
      </c>
      <c r="BG73" s="6" t="s">
        <v>93</v>
      </c>
      <c r="BH73" s="7" t="str">
        <f aca="false">B73&amp;"|"&amp;COUNTIF($B$4:B73,B73)</f>
        <v>FINO Payments Bank BC Point|7</v>
      </c>
      <c r="BI73" s="7" t="str">
        <f aca="false">IF(AND(AI73="Yes",BE73="LIVE"),COUNTIFS($AI$4:AI73,"Yes",$BE$4:BE73,"LIVE"),"")</f>
        <v/>
      </c>
      <c r="BJ73" s="7" t="str">
        <f aca="false">IF(AND(AJ73="Yes",BE73="LIVE"),COUNTIFS($AJ$4:AJ73,"Yes",$BE$4:BE73,"LIVE"),"")</f>
        <v/>
      </c>
      <c r="BK73" s="7" t="str">
        <f aca="false">IF(AND(AK73="Yes",BE73="LIVE"),COUNTIFS($AK$4:AK73,"Yes",$BE$4:BE73,"LIVE"),"")</f>
        <v/>
      </c>
      <c r="BL73" s="7" t="str">
        <f aca="false">IF(I73="To Verify",COUNTIF($I$4:I73,"To Verify"),"")</f>
        <v/>
      </c>
    </row>
    <row r="74" customFormat="false" ht="79.85" hidden="false" customHeight="false" outlineLevel="0" collapsed="false">
      <c r="A74" s="5" t="s">
        <v>943</v>
      </c>
      <c r="B74" s="6" t="s">
        <v>871</v>
      </c>
      <c r="C74" s="6" t="s">
        <v>612</v>
      </c>
      <c r="D74" s="6" t="s">
        <v>664</v>
      </c>
      <c r="E74" s="6" t="s">
        <v>944</v>
      </c>
      <c r="F74" s="6" t="s">
        <v>945</v>
      </c>
      <c r="G74" s="6" t="s">
        <v>946</v>
      </c>
      <c r="H74" s="6" t="s">
        <v>704</v>
      </c>
      <c r="I74" s="5" t="s">
        <v>12</v>
      </c>
      <c r="J74" s="7" t="str">
        <f aca="false">IFERROR(INDEX(AVAILABILITY_MASTER!$C$4:$C$10,MATCH(I74,AVAILABILITY_MASTER!$A$4:$A$10,0)),"To Be Confirmed")</f>
        <v>Please Confirm at Shop</v>
      </c>
      <c r="K74" s="6" t="s">
        <v>74</v>
      </c>
      <c r="L74" s="6" t="s">
        <v>75</v>
      </c>
      <c r="M74" s="7" t="str">
        <f aca="false">IFERROR(INDEX(SERVICE_DOCUMENTS!$S$4:$S$1000,MATCH(A74,SERVICE_DOCUMENTS!$A$4:$A$1000,0))&amp;"","")</f>
        <v>✓ Aadhaar Card
✓ Customer Presence for Biometrics</v>
      </c>
      <c r="N74" s="7" t="str">
        <f aca="false">IFERROR(INDEX(SERVICE_DOCUMENTS!$T$4:$T$1000,MATCH(A74,SERVICE_DOCUMENTS!$A$4:$A$1000,0))&amp;"","")</f>
        <v/>
      </c>
      <c r="O74" s="6" t="s">
        <v>705</v>
      </c>
      <c r="P74" s="6" t="s">
        <v>706</v>
      </c>
      <c r="Q74" s="6" t="s">
        <v>440</v>
      </c>
      <c r="R74" s="8" t="s">
        <v>75</v>
      </c>
      <c r="S74" s="8" t="s">
        <v>75</v>
      </c>
      <c r="T74" s="9" t="str">
        <f aca="false">IF(AND(OR(ISNUMBER(R74),R74="N/A"),OR(ISNUMBER(S74),S74="N/A"),OR(ISNUMBER(R74),ISNUMBER(S74))),N(R74)+N(S74),"To Verify")</f>
        <v>To Verify</v>
      </c>
      <c r="U74" s="6" t="s">
        <v>75</v>
      </c>
      <c r="V74" s="6" t="s">
        <v>79</v>
      </c>
      <c r="W74" s="6" t="s">
        <v>80</v>
      </c>
      <c r="X74" s="6" t="s">
        <v>81</v>
      </c>
      <c r="Y74" s="6" t="s">
        <v>79</v>
      </c>
      <c r="Z74" s="6"/>
      <c r="AA74" s="6" t="s">
        <v>74</v>
      </c>
      <c r="AB74" s="6" t="s">
        <v>74</v>
      </c>
      <c r="AC74" s="6" t="s">
        <v>75</v>
      </c>
      <c r="AD74" s="6" t="s">
        <v>75</v>
      </c>
      <c r="AE74" s="6" t="s">
        <v>79</v>
      </c>
      <c r="AF74" s="6" t="s">
        <v>79</v>
      </c>
      <c r="AG74" s="6" t="s">
        <v>75</v>
      </c>
      <c r="AH74" s="6" t="s">
        <v>79</v>
      </c>
      <c r="AI74" s="6" t="s">
        <v>79</v>
      </c>
      <c r="AJ74" s="6" t="s">
        <v>79</v>
      </c>
      <c r="AK74" s="6" t="s">
        <v>79</v>
      </c>
      <c r="AL74" s="6" t="s">
        <v>871</v>
      </c>
      <c r="AM74" s="6" t="s">
        <v>664</v>
      </c>
      <c r="AN74" s="7" t="str">
        <f aca="false">BA74&amp;", "&amp;AZ74</f>
        <v>FINO BC – Biometric Banking (Fingerprint Authenticated), FINO Payments Bank BC Point, Devmobile Stores, FINO BC – बायोमेट्रिक बैंकिंग (फिंगरप्रिंट सत्यापित), FINO पेमेंट्स बैंक BC पॉइंट, सेवा</v>
      </c>
      <c r="AO74" s="6" t="s">
        <v>947</v>
      </c>
      <c r="AP74" s="5" t="s">
        <v>290</v>
      </c>
      <c r="AQ74" s="5" t="n">
        <v>80</v>
      </c>
      <c r="AR74" s="6" t="s">
        <v>133</v>
      </c>
      <c r="AS74" s="6" t="s">
        <v>878</v>
      </c>
      <c r="AT74" s="6" t="s">
        <v>86</v>
      </c>
      <c r="AU74" s="10"/>
      <c r="AV74" s="6" t="s">
        <v>75</v>
      </c>
      <c r="AW74" s="6"/>
      <c r="AX74" s="6" t="s">
        <v>948</v>
      </c>
      <c r="AY74" s="6" t="s">
        <v>949</v>
      </c>
      <c r="AZ74" s="6" t="s">
        <v>950</v>
      </c>
      <c r="BA74" s="6" t="s">
        <v>951</v>
      </c>
      <c r="BB74" s="6"/>
      <c r="BC74" s="11" t="str">
        <f aca="false">IFERROR(INDEX(CATEGORY_MASTER!$C$4:$C$30,MATCH(B74,CATEGORY_MASTER!$A$4:$A$30,0)),"")</f>
        <v>💳</v>
      </c>
      <c r="BD74" s="7" t="str">
        <f aca="false">"/services/"&amp;AO74</f>
        <v>/services/fino-bc-biometric-banking-fingerprint-authenticated</v>
      </c>
      <c r="BE74" s="7" t="str">
        <f aca="false">IF(AND(AH74="Yes",AG74="Active",I74&lt;&gt;"Not Available"),"LIVE","HIDDEN")</f>
        <v>HIDDEN</v>
      </c>
      <c r="BF74" s="6" t="s">
        <v>139</v>
      </c>
      <c r="BG74" s="6" t="s">
        <v>93</v>
      </c>
      <c r="BH74" s="7" t="str">
        <f aca="false">B74&amp;"|"&amp;COUNTIF($B$4:B74,B74)</f>
        <v>FINO Payments Bank BC Point|8</v>
      </c>
      <c r="BI74" s="7" t="str">
        <f aca="false">IF(AND(AI74="Yes",BE74="LIVE"),COUNTIFS($AI$4:AI74,"Yes",$BE$4:BE74,"LIVE"),"")</f>
        <v/>
      </c>
      <c r="BJ74" s="7" t="str">
        <f aca="false">IF(AND(AJ74="Yes",BE74="LIVE"),COUNTIFS($AJ$4:AJ74,"Yes",$BE$4:BE74,"LIVE"),"")</f>
        <v/>
      </c>
      <c r="BK74" s="7" t="str">
        <f aca="false">IF(AND(AK74="Yes",BE74="LIVE"),COUNTIFS($AK$4:AK74,"Yes",$BE$4:BE74,"LIVE"),"")</f>
        <v/>
      </c>
      <c r="BL74" s="7" t="str">
        <f aca="false">IF(I74="To Verify",COUNTIF($I$4:I74,"To Verify"),"")</f>
        <v/>
      </c>
    </row>
    <row r="75" customFormat="false" ht="68.65" hidden="false" customHeight="false" outlineLevel="0" collapsed="false">
      <c r="A75" s="5" t="s">
        <v>952</v>
      </c>
      <c r="B75" s="6" t="s">
        <v>871</v>
      </c>
      <c r="C75" s="6" t="s">
        <v>612</v>
      </c>
      <c r="D75" s="6" t="s">
        <v>713</v>
      </c>
      <c r="E75" s="6" t="s">
        <v>953</v>
      </c>
      <c r="F75" s="6" t="s">
        <v>954</v>
      </c>
      <c r="G75" s="6" t="s">
        <v>955</v>
      </c>
      <c r="H75" s="6" t="s">
        <v>956</v>
      </c>
      <c r="I75" s="5" t="s">
        <v>75</v>
      </c>
      <c r="J75" s="7" t="str">
        <f aca="false">IFERROR(INDEX(AVAILABILITY_MASTER!$C$4:$C$10,MATCH(I75,AVAILABILITY_MASTER!$A$4:$A$10,0)),"To Be Confirmed")</f>
        <v>To Be Confirmed</v>
      </c>
      <c r="K75" s="6" t="s">
        <v>129</v>
      </c>
      <c r="L75" s="6" t="s">
        <v>75</v>
      </c>
      <c r="M75" s="7" t="str">
        <f aca="false">IFERROR(INDEX(SERVICE_DOCUMENTS!$S$4:$S$1000,MATCH(A75,SERVICE_DOCUMENTS!$A$4:$A$1000,0))&amp;"","")</f>
        <v>✓ Debit Card</v>
      </c>
      <c r="N75" s="7" t="str">
        <f aca="false">IFERROR(INDEX(SERVICE_DOCUMENTS!$T$4:$T$1000,MATCH(A75,SERVICE_DOCUMENTS!$A$4:$A$1000,0))&amp;"","")</f>
        <v/>
      </c>
      <c r="O75" s="6" t="s">
        <v>718</v>
      </c>
      <c r="P75" s="6" t="s">
        <v>719</v>
      </c>
      <c r="Q75" s="6" t="s">
        <v>440</v>
      </c>
      <c r="R75" s="8" t="s">
        <v>75</v>
      </c>
      <c r="S75" s="8" t="s">
        <v>75</v>
      </c>
      <c r="T75" s="9" t="str">
        <f aca="false">IF(AND(OR(ISNUMBER(R75),R75="N/A"),OR(ISNUMBER(S75),S75="N/A"),OR(ISNUMBER(R75),ISNUMBER(S75))),N(R75)+N(S75),"To Verify")</f>
        <v>To Verify</v>
      </c>
      <c r="U75" s="6" t="s">
        <v>75</v>
      </c>
      <c r="V75" s="6" t="s">
        <v>79</v>
      </c>
      <c r="W75" s="6" t="s">
        <v>80</v>
      </c>
      <c r="X75" s="6" t="s">
        <v>81</v>
      </c>
      <c r="Y75" s="6" t="s">
        <v>79</v>
      </c>
      <c r="Z75" s="6"/>
      <c r="AA75" s="6" t="s">
        <v>74</v>
      </c>
      <c r="AB75" s="6" t="s">
        <v>74</v>
      </c>
      <c r="AC75" s="6" t="s">
        <v>75</v>
      </c>
      <c r="AD75" s="6" t="s">
        <v>75</v>
      </c>
      <c r="AE75" s="6" t="s">
        <v>79</v>
      </c>
      <c r="AF75" s="6" t="s">
        <v>79</v>
      </c>
      <c r="AG75" s="6" t="s">
        <v>75</v>
      </c>
      <c r="AH75" s="6" t="s">
        <v>79</v>
      </c>
      <c r="AI75" s="6" t="s">
        <v>79</v>
      </c>
      <c r="AJ75" s="6" t="s">
        <v>79</v>
      </c>
      <c r="AK75" s="6" t="s">
        <v>79</v>
      </c>
      <c r="AL75" s="6" t="s">
        <v>871</v>
      </c>
      <c r="AM75" s="6" t="s">
        <v>713</v>
      </c>
      <c r="AN75" s="7" t="str">
        <f aca="false">BA75&amp;", "&amp;AZ75</f>
        <v>FINO BC – Micro ATM Cash Withdrawal, FINO Payments Bank BC Point, Devmobile Stores, FINO BC – Micro ATM नकद निकासी, FINO पेमेंट्स बैंक BC पॉइंट, सेवा</v>
      </c>
      <c r="AO75" s="6" t="s">
        <v>957</v>
      </c>
      <c r="AP75" s="5" t="s">
        <v>721</v>
      </c>
      <c r="AQ75" s="5" t="n">
        <v>90</v>
      </c>
      <c r="AR75" s="6" t="s">
        <v>722</v>
      </c>
      <c r="AS75" s="6" t="s">
        <v>878</v>
      </c>
      <c r="AT75" s="6" t="s">
        <v>86</v>
      </c>
      <c r="AU75" s="10"/>
      <c r="AV75" s="6" t="s">
        <v>75</v>
      </c>
      <c r="AW75" s="6" t="s">
        <v>958</v>
      </c>
      <c r="AX75" s="6" t="s">
        <v>959</v>
      </c>
      <c r="AY75" s="6" t="s">
        <v>960</v>
      </c>
      <c r="AZ75" s="6" t="s">
        <v>961</v>
      </c>
      <c r="BA75" s="6" t="s">
        <v>962</v>
      </c>
      <c r="BB75" s="6"/>
      <c r="BC75" s="11" t="str">
        <f aca="false">IFERROR(INDEX(CATEGORY_MASTER!$C$4:$C$30,MATCH(B75,CATEGORY_MASTER!$A$4:$A$30,0)),"")</f>
        <v>💳</v>
      </c>
      <c r="BD75" s="7" t="str">
        <f aca="false">"/services/"&amp;AO75</f>
        <v>/services/fino-bc-micro-atm-cash-withdrawal</v>
      </c>
      <c r="BE75" s="7" t="str">
        <f aca="false">IF(AND(AH75="Yes",AG75="Active",I75&lt;&gt;"Not Available"),"LIVE","HIDDEN")</f>
        <v>HIDDEN</v>
      </c>
      <c r="BF75" s="6" t="s">
        <v>139</v>
      </c>
      <c r="BG75" s="6" t="s">
        <v>93</v>
      </c>
      <c r="BH75" s="7" t="str">
        <f aca="false">B75&amp;"|"&amp;COUNTIF($B$4:B75,B75)</f>
        <v>FINO Payments Bank BC Point|9</v>
      </c>
      <c r="BI75" s="7" t="str">
        <f aca="false">IF(AND(AI75="Yes",BE75="LIVE"),COUNTIFS($AI$4:AI75,"Yes",$BE$4:BE75,"LIVE"),"")</f>
        <v/>
      </c>
      <c r="BJ75" s="7" t="str">
        <f aca="false">IF(AND(AJ75="Yes",BE75="LIVE"),COUNTIFS($AJ$4:AJ75,"Yes",$BE$4:BE75,"LIVE"),"")</f>
        <v/>
      </c>
      <c r="BK75" s="7" t="str">
        <f aca="false">IF(AND(AK75="Yes",BE75="LIVE"),COUNTIFS($AK$4:AK75,"Yes",$BE$4:BE75,"LIVE"),"")</f>
        <v/>
      </c>
      <c r="BL75" s="7" t="n">
        <f aca="false">IF(I75="To Verify",COUNTIF($I$4:I75,"To Verify"),"")</f>
        <v>14</v>
      </c>
    </row>
    <row r="76" customFormat="false" ht="68.65" hidden="false" customHeight="false" outlineLevel="0" collapsed="false">
      <c r="A76" s="5" t="s">
        <v>963</v>
      </c>
      <c r="B76" s="6" t="s">
        <v>871</v>
      </c>
      <c r="C76" s="6" t="s">
        <v>612</v>
      </c>
      <c r="D76" s="6" t="s">
        <v>749</v>
      </c>
      <c r="E76" s="6" t="s">
        <v>964</v>
      </c>
      <c r="F76" s="6" t="s">
        <v>965</v>
      </c>
      <c r="G76" s="6" t="s">
        <v>966</v>
      </c>
      <c r="H76" s="6" t="s">
        <v>753</v>
      </c>
      <c r="I76" s="5" t="s">
        <v>12</v>
      </c>
      <c r="J76" s="7" t="str">
        <f aca="false">IFERROR(INDEX(AVAILABILITY_MASTER!$C$4:$C$10,MATCH(I76,AVAILABILITY_MASTER!$A$4:$A$10,0)),"To Be Confirmed")</f>
        <v>Please Confirm at Shop</v>
      </c>
      <c r="K76" s="6" t="s">
        <v>74</v>
      </c>
      <c r="L76" s="6" t="s">
        <v>75</v>
      </c>
      <c r="M76" s="7" t="str">
        <f aca="false">IFERROR(INDEX(SERVICE_DOCUMENTS!$S$4:$S$1000,MATCH(A76,SERVICE_DOCUMENTS!$A$4:$A$1000,0))&amp;"","")</f>
        <v>✓ Beneficiary Account Details
✓ Cash Amount
✓ Active Mobile Number</v>
      </c>
      <c r="N76" s="7" t="str">
        <f aca="false">IFERROR(INDEX(SERVICE_DOCUMENTS!$T$4:$T$1000,MATCH(A76,SERVICE_DOCUMENTS!$A$4:$A$1000,0))&amp;"","")</f>
        <v>• Identity Proof (To Verify)</v>
      </c>
      <c r="O76" s="6" t="s">
        <v>754</v>
      </c>
      <c r="P76" s="6" t="s">
        <v>755</v>
      </c>
      <c r="Q76" s="6" t="s">
        <v>756</v>
      </c>
      <c r="R76" s="8" t="s">
        <v>75</v>
      </c>
      <c r="S76" s="8" t="s">
        <v>75</v>
      </c>
      <c r="T76" s="9" t="str">
        <f aca="false">IF(AND(OR(ISNUMBER(R76),R76="N/A"),OR(ISNUMBER(S76),S76="N/A"),OR(ISNUMBER(R76),ISNUMBER(S76))),N(R76)+N(S76),"To Verify")</f>
        <v>To Verify</v>
      </c>
      <c r="U76" s="6" t="s">
        <v>75</v>
      </c>
      <c r="V76" s="6" t="s">
        <v>79</v>
      </c>
      <c r="W76" s="6" t="s">
        <v>80</v>
      </c>
      <c r="X76" s="6" t="s">
        <v>81</v>
      </c>
      <c r="Y76" s="6" t="s">
        <v>79</v>
      </c>
      <c r="Z76" s="6"/>
      <c r="AA76" s="6" t="s">
        <v>74</v>
      </c>
      <c r="AB76" s="6" t="s">
        <v>74</v>
      </c>
      <c r="AC76" s="6" t="s">
        <v>75</v>
      </c>
      <c r="AD76" s="6" t="s">
        <v>75</v>
      </c>
      <c r="AE76" s="6" t="s">
        <v>79</v>
      </c>
      <c r="AF76" s="6" t="s">
        <v>79</v>
      </c>
      <c r="AG76" s="6" t="s">
        <v>75</v>
      </c>
      <c r="AH76" s="6" t="s">
        <v>79</v>
      </c>
      <c r="AI76" s="6" t="s">
        <v>79</v>
      </c>
      <c r="AJ76" s="6" t="s">
        <v>79</v>
      </c>
      <c r="AK76" s="6" t="s">
        <v>79</v>
      </c>
      <c r="AL76" s="6" t="s">
        <v>871</v>
      </c>
      <c r="AM76" s="6" t="s">
        <v>749</v>
      </c>
      <c r="AN76" s="7" t="str">
        <f aca="false">BA76&amp;", "&amp;AZ76</f>
        <v>FINO BC – Money Transfer (Domestic), FINO Payments Bank BC Point, Devmobile Stores, FINO BC – मनी ट्रांसफर (घरेलू), FINO पेमेंट्स बैंक BC पॉइंट, सेवा</v>
      </c>
      <c r="AO76" s="6" t="s">
        <v>967</v>
      </c>
      <c r="AP76" s="5" t="s">
        <v>758</v>
      </c>
      <c r="AQ76" s="5" t="n">
        <v>100</v>
      </c>
      <c r="AR76" s="6" t="s">
        <v>133</v>
      </c>
      <c r="AS76" s="6" t="s">
        <v>878</v>
      </c>
      <c r="AT76" s="6" t="s">
        <v>86</v>
      </c>
      <c r="AU76" s="10"/>
      <c r="AV76" s="6" t="s">
        <v>75</v>
      </c>
      <c r="AW76" s="6" t="s">
        <v>968</v>
      </c>
      <c r="AX76" s="6" t="s">
        <v>969</v>
      </c>
      <c r="AY76" s="6" t="s">
        <v>970</v>
      </c>
      <c r="AZ76" s="6" t="s">
        <v>971</v>
      </c>
      <c r="BA76" s="6" t="s">
        <v>972</v>
      </c>
      <c r="BB76" s="6"/>
      <c r="BC76" s="11" t="str">
        <f aca="false">IFERROR(INDEX(CATEGORY_MASTER!$C$4:$C$30,MATCH(B76,CATEGORY_MASTER!$A$4:$A$30,0)),"")</f>
        <v>💳</v>
      </c>
      <c r="BD76" s="7" t="str">
        <f aca="false">"/services/"&amp;AO76</f>
        <v>/services/fino-bc-money-transfer-domestic</v>
      </c>
      <c r="BE76" s="7" t="str">
        <f aca="false">IF(AND(AH76="Yes",AG76="Active",I76&lt;&gt;"Not Available"),"LIVE","HIDDEN")</f>
        <v>HIDDEN</v>
      </c>
      <c r="BF76" s="6" t="s">
        <v>139</v>
      </c>
      <c r="BG76" s="6" t="s">
        <v>93</v>
      </c>
      <c r="BH76" s="7" t="str">
        <f aca="false">B76&amp;"|"&amp;COUNTIF($B$4:B76,B76)</f>
        <v>FINO Payments Bank BC Point|10</v>
      </c>
      <c r="BI76" s="7" t="str">
        <f aca="false">IF(AND(AI76="Yes",BE76="LIVE"),COUNTIFS($AI$4:AI76,"Yes",$BE$4:BE76,"LIVE"),"")</f>
        <v/>
      </c>
      <c r="BJ76" s="7" t="str">
        <f aca="false">IF(AND(AJ76="Yes",BE76="LIVE"),COUNTIFS($AJ$4:AJ76,"Yes",$BE$4:BE76,"LIVE"),"")</f>
        <v/>
      </c>
      <c r="BK76" s="7" t="str">
        <f aca="false">IF(AND(AK76="Yes",BE76="LIVE"),COUNTIFS($AK$4:AK76,"Yes",$BE$4:BE76,"LIVE"),"")</f>
        <v/>
      </c>
      <c r="BL76" s="7" t="str">
        <f aca="false">IF(I76="To Verify",COUNTIF($I$4:I76,"To Verify"),"")</f>
        <v/>
      </c>
    </row>
    <row r="77" customFormat="false" ht="68.65" hidden="false" customHeight="false" outlineLevel="0" collapsed="false">
      <c r="A77" s="5" t="s">
        <v>973</v>
      </c>
      <c r="B77" s="6" t="s">
        <v>871</v>
      </c>
      <c r="C77" s="6" t="s">
        <v>612</v>
      </c>
      <c r="D77" s="6" t="s">
        <v>765</v>
      </c>
      <c r="E77" s="6" t="s">
        <v>974</v>
      </c>
      <c r="F77" s="6" t="s">
        <v>975</v>
      </c>
      <c r="G77" s="6" t="s">
        <v>976</v>
      </c>
      <c r="H77" s="6" t="s">
        <v>977</v>
      </c>
      <c r="I77" s="5" t="s">
        <v>75</v>
      </c>
      <c r="J77" s="7" t="str">
        <f aca="false">IFERROR(INDEX(AVAILABILITY_MASTER!$C$4:$C$10,MATCH(I77,AVAILABILITY_MASTER!$A$4:$A$10,0)),"To Be Confirmed")</f>
        <v>To Be Confirmed</v>
      </c>
      <c r="K77" s="6" t="s">
        <v>129</v>
      </c>
      <c r="L77" s="6" t="s">
        <v>75</v>
      </c>
      <c r="M77" s="7" t="str">
        <f aca="false">IFERROR(INDEX(SERVICE_DOCUMENTS!$S$4:$S$1000,MATCH(A77,SERVICE_DOCUMENTS!$A$4:$A$1000,0))&amp;"","")</f>
        <v>✓ Aadhaar Card
✓ Passport Photo
✓ Active Mobile Number</v>
      </c>
      <c r="N77" s="7" t="str">
        <f aca="false">IFERROR(INDEX(SERVICE_DOCUMENTS!$T$4:$T$1000,MATCH(A77,SERVICE_DOCUMENTS!$A$4:$A$1000,0))&amp;"","")</f>
        <v>• PAN Card (To Verify)
• Nominee Details (If Applicable)</v>
      </c>
      <c r="O77" s="6" t="s">
        <v>770</v>
      </c>
      <c r="P77" s="6" t="s">
        <v>771</v>
      </c>
      <c r="Q77" s="6" t="s">
        <v>78</v>
      </c>
      <c r="R77" s="8" t="s">
        <v>75</v>
      </c>
      <c r="S77" s="8" t="s">
        <v>75</v>
      </c>
      <c r="T77" s="9" t="str">
        <f aca="false">IF(AND(OR(ISNUMBER(R77),R77="N/A"),OR(ISNUMBER(S77),S77="N/A"),OR(ISNUMBER(R77),ISNUMBER(S77))),N(R77)+N(S77),"To Verify")</f>
        <v>To Verify</v>
      </c>
      <c r="U77" s="6" t="s">
        <v>75</v>
      </c>
      <c r="V77" s="6" t="s">
        <v>79</v>
      </c>
      <c r="W77" s="6" t="s">
        <v>80</v>
      </c>
      <c r="X77" s="6" t="s">
        <v>81</v>
      </c>
      <c r="Y77" s="6" t="s">
        <v>79</v>
      </c>
      <c r="Z77" s="6"/>
      <c r="AA77" s="6" t="s">
        <v>74</v>
      </c>
      <c r="AB77" s="6" t="s">
        <v>74</v>
      </c>
      <c r="AC77" s="6" t="s">
        <v>75</v>
      </c>
      <c r="AD77" s="6" t="s">
        <v>75</v>
      </c>
      <c r="AE77" s="6" t="s">
        <v>79</v>
      </c>
      <c r="AF77" s="6" t="s">
        <v>79</v>
      </c>
      <c r="AG77" s="6" t="s">
        <v>75</v>
      </c>
      <c r="AH77" s="6" t="s">
        <v>79</v>
      </c>
      <c r="AI77" s="6" t="s">
        <v>79</v>
      </c>
      <c r="AJ77" s="6" t="s">
        <v>79</v>
      </c>
      <c r="AK77" s="6" t="s">
        <v>79</v>
      </c>
      <c r="AL77" s="6" t="s">
        <v>871</v>
      </c>
      <c r="AM77" s="6" t="s">
        <v>765</v>
      </c>
      <c r="AN77" s="7" t="str">
        <f aca="false">BA77&amp;", "&amp;AZ77</f>
        <v>FINO BC – New Account Opening Assistance, FINO Payments Bank BC Point, Devmobile Stores, FINO BC – नया खाता खुलवाने में सहायता, FINO पेमेंट्स बैंक BC पॉइंट, सेवा</v>
      </c>
      <c r="AO77" s="6" t="s">
        <v>978</v>
      </c>
      <c r="AP77" s="5" t="s">
        <v>773</v>
      </c>
      <c r="AQ77" s="5" t="n">
        <v>110</v>
      </c>
      <c r="AR77" s="6" t="s">
        <v>133</v>
      </c>
      <c r="AS77" s="6" t="s">
        <v>878</v>
      </c>
      <c r="AT77" s="6" t="s">
        <v>86</v>
      </c>
      <c r="AU77" s="10"/>
      <c r="AV77" s="6" t="s">
        <v>75</v>
      </c>
      <c r="AW77" s="6"/>
      <c r="AX77" s="6" t="s">
        <v>979</v>
      </c>
      <c r="AY77" s="6" t="s">
        <v>980</v>
      </c>
      <c r="AZ77" s="6" t="s">
        <v>981</v>
      </c>
      <c r="BA77" s="6" t="s">
        <v>982</v>
      </c>
      <c r="BB77" s="6"/>
      <c r="BC77" s="11" t="str">
        <f aca="false">IFERROR(INDEX(CATEGORY_MASTER!$C$4:$C$30,MATCH(B77,CATEGORY_MASTER!$A$4:$A$30,0)),"")</f>
        <v>💳</v>
      </c>
      <c r="BD77" s="7" t="str">
        <f aca="false">"/services/"&amp;AO77</f>
        <v>/services/fino-bc-new-account-opening-assistance</v>
      </c>
      <c r="BE77" s="7" t="str">
        <f aca="false">IF(AND(AH77="Yes",AG77="Active",I77&lt;&gt;"Not Available"),"LIVE","HIDDEN")</f>
        <v>HIDDEN</v>
      </c>
      <c r="BF77" s="6" t="s">
        <v>139</v>
      </c>
      <c r="BG77" s="6" t="s">
        <v>93</v>
      </c>
      <c r="BH77" s="7" t="str">
        <f aca="false">B77&amp;"|"&amp;COUNTIF($B$4:B77,B77)</f>
        <v>FINO Payments Bank BC Point|11</v>
      </c>
      <c r="BI77" s="7" t="str">
        <f aca="false">IF(AND(AI77="Yes",BE77="LIVE"),COUNTIFS($AI$4:AI77,"Yes",$BE$4:BE77,"LIVE"),"")</f>
        <v/>
      </c>
      <c r="BJ77" s="7" t="str">
        <f aca="false">IF(AND(AJ77="Yes",BE77="LIVE"),COUNTIFS($AJ$4:AJ77,"Yes",$BE$4:BE77,"LIVE"),"")</f>
        <v/>
      </c>
      <c r="BK77" s="7" t="str">
        <f aca="false">IF(AND(AK77="Yes",BE77="LIVE"),COUNTIFS($AK$4:AK77,"Yes",$BE$4:BE77,"LIVE"),"")</f>
        <v/>
      </c>
      <c r="BL77" s="7" t="n">
        <f aca="false">IF(I77="To Verify",COUNTIF($I$4:I77,"To Verify"),"")</f>
        <v>15</v>
      </c>
    </row>
    <row r="78" customFormat="false" ht="68.65" hidden="false" customHeight="false" outlineLevel="0" collapsed="false">
      <c r="A78" s="5" t="s">
        <v>983</v>
      </c>
      <c r="B78" s="6" t="s">
        <v>871</v>
      </c>
      <c r="C78" s="6" t="s">
        <v>612</v>
      </c>
      <c r="D78" s="6" t="s">
        <v>765</v>
      </c>
      <c r="E78" s="6" t="s">
        <v>984</v>
      </c>
      <c r="F78" s="6" t="s">
        <v>985</v>
      </c>
      <c r="G78" s="6" t="s">
        <v>986</v>
      </c>
      <c r="H78" s="6" t="s">
        <v>987</v>
      </c>
      <c r="I78" s="5" t="s">
        <v>75</v>
      </c>
      <c r="J78" s="7" t="str">
        <f aca="false">IFERROR(INDEX(AVAILABILITY_MASTER!$C$4:$C$10,MATCH(I78,AVAILABILITY_MASTER!$A$4:$A$10,0)),"To Be Confirmed")</f>
        <v>To Be Confirmed</v>
      </c>
      <c r="K78" s="6" t="s">
        <v>129</v>
      </c>
      <c r="L78" s="6" t="s">
        <v>75</v>
      </c>
      <c r="M78" s="7" t="str">
        <f aca="false">IFERROR(INDEX(SERVICE_DOCUMENTS!$S$4:$S$1000,MATCH(A78,SERVICE_DOCUMENTS!$A$4:$A$1000,0))&amp;"","")</f>
        <v>✓ Aadhaar Card
✓ Bank Account Number
✓ Active Mobile Number</v>
      </c>
      <c r="N78" s="7" t="str">
        <f aca="false">IFERROR(INDEX(SERVICE_DOCUMENTS!$T$4:$T$1000,MATCH(A78,SERVICE_DOCUMENTS!$A$4:$A$1000,0))&amp;"","")</f>
        <v/>
      </c>
      <c r="O78" s="6" t="s">
        <v>645</v>
      </c>
      <c r="P78" s="6" t="s">
        <v>988</v>
      </c>
      <c r="Q78" s="6" t="s">
        <v>78</v>
      </c>
      <c r="R78" s="8" t="s">
        <v>75</v>
      </c>
      <c r="S78" s="8" t="s">
        <v>75</v>
      </c>
      <c r="T78" s="9" t="str">
        <f aca="false">IF(AND(OR(ISNUMBER(R78),R78="N/A"),OR(ISNUMBER(S78),S78="N/A"),OR(ISNUMBER(R78),ISNUMBER(S78))),N(R78)+N(S78),"To Verify")</f>
        <v>To Verify</v>
      </c>
      <c r="U78" s="6" t="s">
        <v>75</v>
      </c>
      <c r="V78" s="6" t="s">
        <v>79</v>
      </c>
      <c r="W78" s="6" t="s">
        <v>80</v>
      </c>
      <c r="X78" s="6" t="s">
        <v>81</v>
      </c>
      <c r="Y78" s="6" t="s">
        <v>79</v>
      </c>
      <c r="Z78" s="6"/>
      <c r="AA78" s="6" t="s">
        <v>74</v>
      </c>
      <c r="AB78" s="6" t="s">
        <v>74</v>
      </c>
      <c r="AC78" s="6" t="s">
        <v>75</v>
      </c>
      <c r="AD78" s="6" t="s">
        <v>75</v>
      </c>
      <c r="AE78" s="6" t="s">
        <v>79</v>
      </c>
      <c r="AF78" s="6" t="s">
        <v>79</v>
      </c>
      <c r="AG78" s="6" t="s">
        <v>75</v>
      </c>
      <c r="AH78" s="6" t="s">
        <v>79</v>
      </c>
      <c r="AI78" s="6" t="s">
        <v>79</v>
      </c>
      <c r="AJ78" s="6" t="s">
        <v>79</v>
      </c>
      <c r="AK78" s="6" t="s">
        <v>79</v>
      </c>
      <c r="AL78" s="6" t="s">
        <v>871</v>
      </c>
      <c r="AM78" s="6" t="s">
        <v>765</v>
      </c>
      <c r="AN78" s="7" t="str">
        <f aca="false">BA78&amp;", "&amp;AZ78</f>
        <v>FINO BC – Account Mobile Number Update, FINO Payments Bank BC Point, Devmobile Stores, FINO BC – खाते में मोबाइल नंबर अपडेट, FINO पेमेंट्स बैंक BC पॉइंट, सेवा</v>
      </c>
      <c r="AO78" s="6" t="s">
        <v>989</v>
      </c>
      <c r="AP78" s="5" t="s">
        <v>773</v>
      </c>
      <c r="AQ78" s="5" t="n">
        <v>120</v>
      </c>
      <c r="AR78" s="6" t="s">
        <v>133</v>
      </c>
      <c r="AS78" s="6" t="s">
        <v>878</v>
      </c>
      <c r="AT78" s="6" t="s">
        <v>86</v>
      </c>
      <c r="AU78" s="10"/>
      <c r="AV78" s="6" t="s">
        <v>75</v>
      </c>
      <c r="AW78" s="6"/>
      <c r="AX78" s="6" t="s">
        <v>990</v>
      </c>
      <c r="AY78" s="6" t="s">
        <v>991</v>
      </c>
      <c r="AZ78" s="6" t="s">
        <v>992</v>
      </c>
      <c r="BA78" s="6" t="s">
        <v>993</v>
      </c>
      <c r="BB78" s="6"/>
      <c r="BC78" s="11" t="str">
        <f aca="false">IFERROR(INDEX(CATEGORY_MASTER!$C$4:$C$30,MATCH(B78,CATEGORY_MASTER!$A$4:$A$30,0)),"")</f>
        <v>💳</v>
      </c>
      <c r="BD78" s="7" t="str">
        <f aca="false">"/services/"&amp;AO78</f>
        <v>/services/fino-bc-account-mobile-number-update</v>
      </c>
      <c r="BE78" s="7" t="str">
        <f aca="false">IF(AND(AH78="Yes",AG78="Active",I78&lt;&gt;"Not Available"),"LIVE","HIDDEN")</f>
        <v>HIDDEN</v>
      </c>
      <c r="BF78" s="6" t="s">
        <v>139</v>
      </c>
      <c r="BG78" s="6" t="s">
        <v>93</v>
      </c>
      <c r="BH78" s="7" t="str">
        <f aca="false">B78&amp;"|"&amp;COUNTIF($B$4:B78,B78)</f>
        <v>FINO Payments Bank BC Point|12</v>
      </c>
      <c r="BI78" s="7" t="str">
        <f aca="false">IF(AND(AI78="Yes",BE78="LIVE"),COUNTIFS($AI$4:AI78,"Yes",$BE$4:BE78,"LIVE"),"")</f>
        <v/>
      </c>
      <c r="BJ78" s="7" t="str">
        <f aca="false">IF(AND(AJ78="Yes",BE78="LIVE"),COUNTIFS($AJ$4:AJ78,"Yes",$BE$4:BE78,"LIVE"),"")</f>
        <v/>
      </c>
      <c r="BK78" s="7" t="str">
        <f aca="false">IF(AND(AK78="Yes",BE78="LIVE"),COUNTIFS($AK$4:AK78,"Yes",$BE$4:BE78,"LIVE"),"")</f>
        <v/>
      </c>
      <c r="BL78" s="7" t="n">
        <f aca="false">IF(I78="To Verify",COUNTIF($I$4:I78,"To Verify"),"")</f>
        <v>16</v>
      </c>
    </row>
    <row r="79" customFormat="false" ht="68.65" hidden="false" customHeight="false" outlineLevel="0" collapsed="false">
      <c r="A79" s="5" t="s">
        <v>994</v>
      </c>
      <c r="B79" s="6" t="s">
        <v>871</v>
      </c>
      <c r="C79" s="6" t="s">
        <v>612</v>
      </c>
      <c r="D79" s="6" t="s">
        <v>765</v>
      </c>
      <c r="E79" s="6" t="s">
        <v>995</v>
      </c>
      <c r="F79" s="6" t="s">
        <v>996</v>
      </c>
      <c r="G79" s="6" t="s">
        <v>997</v>
      </c>
      <c r="H79" s="6" t="s">
        <v>826</v>
      </c>
      <c r="I79" s="5" t="s">
        <v>75</v>
      </c>
      <c r="J79" s="7" t="str">
        <f aca="false">IFERROR(INDEX(AVAILABILITY_MASTER!$C$4:$C$10,MATCH(I79,AVAILABILITY_MASTER!$A$4:$A$10,0)),"To Be Confirmed")</f>
        <v>To Be Confirmed</v>
      </c>
      <c r="K79" s="6" t="s">
        <v>129</v>
      </c>
      <c r="L79" s="6" t="s">
        <v>75</v>
      </c>
      <c r="M79" s="7" t="str">
        <f aca="false">IFERROR(INDEX(SERVICE_DOCUMENTS!$S$4:$S$1000,MATCH(A79,SERVICE_DOCUMENTS!$A$4:$A$1000,0))&amp;"","")</f>
        <v>✓ Aadhaar Card</v>
      </c>
      <c r="N79" s="7" t="str">
        <f aca="false">IFERROR(INDEX(SERVICE_DOCUMENTS!$T$4:$T$1000,MATCH(A79,SERVICE_DOCUMENTS!$A$4:$A$1000,0))&amp;"","")</f>
        <v>• Identity Proof (To Verify)
• Address Proof (To Verify)
• Passport Photo (To Verify)</v>
      </c>
      <c r="O79" s="6" t="s">
        <v>827</v>
      </c>
      <c r="P79" s="6" t="s">
        <v>828</v>
      </c>
      <c r="Q79" s="6" t="s">
        <v>78</v>
      </c>
      <c r="R79" s="8" t="s">
        <v>75</v>
      </c>
      <c r="S79" s="8" t="s">
        <v>75</v>
      </c>
      <c r="T79" s="9" t="str">
        <f aca="false">IF(AND(OR(ISNUMBER(R79),R79="N/A"),OR(ISNUMBER(S79),S79="N/A"),OR(ISNUMBER(R79),ISNUMBER(S79))),N(R79)+N(S79),"To Verify")</f>
        <v>To Verify</v>
      </c>
      <c r="U79" s="6" t="s">
        <v>75</v>
      </c>
      <c r="V79" s="6" t="s">
        <v>79</v>
      </c>
      <c r="W79" s="6" t="s">
        <v>80</v>
      </c>
      <c r="X79" s="6" t="s">
        <v>81</v>
      </c>
      <c r="Y79" s="6" t="s">
        <v>79</v>
      </c>
      <c r="Z79" s="6"/>
      <c r="AA79" s="6" t="s">
        <v>74</v>
      </c>
      <c r="AB79" s="6" t="s">
        <v>74</v>
      </c>
      <c r="AC79" s="6" t="s">
        <v>75</v>
      </c>
      <c r="AD79" s="6" t="s">
        <v>75</v>
      </c>
      <c r="AE79" s="6" t="s">
        <v>79</v>
      </c>
      <c r="AF79" s="6" t="s">
        <v>79</v>
      </c>
      <c r="AG79" s="6" t="s">
        <v>75</v>
      </c>
      <c r="AH79" s="6" t="s">
        <v>79</v>
      </c>
      <c r="AI79" s="6" t="s">
        <v>79</v>
      </c>
      <c r="AJ79" s="6" t="s">
        <v>79</v>
      </c>
      <c r="AK79" s="6" t="s">
        <v>79</v>
      </c>
      <c r="AL79" s="6" t="s">
        <v>871</v>
      </c>
      <c r="AM79" s="6" t="s">
        <v>765</v>
      </c>
      <c r="AN79" s="7" t="str">
        <f aca="false">BA79&amp;", "&amp;AZ79</f>
        <v>FINO BC – KYC Document Collection / Update, FINO Payments Bank BC Point, Devmobile Stores, FINO BC – KYC दस्तावेज़ जमा / अपडेट, FINO पेमेंट्स बैंक BC पॉइंट, सेवा</v>
      </c>
      <c r="AO79" s="6" t="s">
        <v>998</v>
      </c>
      <c r="AP79" s="5" t="s">
        <v>773</v>
      </c>
      <c r="AQ79" s="5" t="n">
        <v>130</v>
      </c>
      <c r="AR79" s="6" t="s">
        <v>133</v>
      </c>
      <c r="AS79" s="6" t="s">
        <v>878</v>
      </c>
      <c r="AT79" s="6" t="s">
        <v>86</v>
      </c>
      <c r="AU79" s="10"/>
      <c r="AV79" s="6" t="s">
        <v>75</v>
      </c>
      <c r="AW79" s="6"/>
      <c r="AX79" s="6" t="s">
        <v>999</v>
      </c>
      <c r="AY79" s="6" t="s">
        <v>1000</v>
      </c>
      <c r="AZ79" s="6" t="s">
        <v>1001</v>
      </c>
      <c r="BA79" s="6" t="s">
        <v>1002</v>
      </c>
      <c r="BB79" s="6"/>
      <c r="BC79" s="11" t="str">
        <f aca="false">IFERROR(INDEX(CATEGORY_MASTER!$C$4:$C$30,MATCH(B79,CATEGORY_MASTER!$A$4:$A$30,0)),"")</f>
        <v>💳</v>
      </c>
      <c r="BD79" s="7" t="str">
        <f aca="false">"/services/"&amp;AO79</f>
        <v>/services/fino-bc-kyc-document-collection-update</v>
      </c>
      <c r="BE79" s="7" t="str">
        <f aca="false">IF(AND(AH79="Yes",AG79="Active",I79&lt;&gt;"Not Available"),"LIVE","HIDDEN")</f>
        <v>HIDDEN</v>
      </c>
      <c r="BF79" s="6" t="s">
        <v>139</v>
      </c>
      <c r="BG79" s="6" t="s">
        <v>93</v>
      </c>
      <c r="BH79" s="7" t="str">
        <f aca="false">B79&amp;"|"&amp;COUNTIF($B$4:B79,B79)</f>
        <v>FINO Payments Bank BC Point|13</v>
      </c>
      <c r="BI79" s="7" t="str">
        <f aca="false">IF(AND(AI79="Yes",BE79="LIVE"),COUNTIFS($AI$4:AI79,"Yes",$BE$4:BE79,"LIVE"),"")</f>
        <v/>
      </c>
      <c r="BJ79" s="7" t="str">
        <f aca="false">IF(AND(AJ79="Yes",BE79="LIVE"),COUNTIFS($AJ$4:AJ79,"Yes",$BE$4:BE79,"LIVE"),"")</f>
        <v/>
      </c>
      <c r="BK79" s="7" t="str">
        <f aca="false">IF(AND(AK79="Yes",BE79="LIVE"),COUNTIFS($AK$4:AK79,"Yes",$BE$4:BE79,"LIVE"),"")</f>
        <v/>
      </c>
      <c r="BL79" s="7" t="n">
        <f aca="false">IF(I79="To Verify",COUNTIF($I$4:I79,"To Verify"),"")</f>
        <v>17</v>
      </c>
    </row>
    <row r="80" customFormat="false" ht="68.65" hidden="false" customHeight="false" outlineLevel="0" collapsed="false">
      <c r="A80" s="5" t="s">
        <v>1003</v>
      </c>
      <c r="B80" s="6" t="s">
        <v>871</v>
      </c>
      <c r="C80" s="6" t="s">
        <v>612</v>
      </c>
      <c r="D80" s="6" t="s">
        <v>765</v>
      </c>
      <c r="E80" s="6" t="s">
        <v>1004</v>
      </c>
      <c r="F80" s="6" t="s">
        <v>1005</v>
      </c>
      <c r="G80" s="6" t="s">
        <v>1006</v>
      </c>
      <c r="H80" s="6" t="s">
        <v>1007</v>
      </c>
      <c r="I80" s="5" t="s">
        <v>75</v>
      </c>
      <c r="J80" s="7" t="str">
        <f aca="false">IFERROR(INDEX(AVAILABILITY_MASTER!$C$4:$C$10,MATCH(I80,AVAILABILITY_MASTER!$A$4:$A$10,0)),"To Be Confirmed")</f>
        <v>To Be Confirmed</v>
      </c>
      <c r="K80" s="6" t="s">
        <v>129</v>
      </c>
      <c r="L80" s="6" t="s">
        <v>75</v>
      </c>
      <c r="M80" s="7" t="str">
        <f aca="false">IFERROR(INDEX(SERVICE_DOCUMENTS!$S$4:$S$1000,MATCH(A80,SERVICE_DOCUMENTS!$A$4:$A$1000,0))&amp;"","")</f>
        <v>✓ Aadhaar Card
✓ Bank Account Number
✓ Active Mobile Number</v>
      </c>
      <c r="N80" s="7" t="str">
        <f aca="false">IFERROR(INDEX(SERVICE_DOCUMENTS!$T$4:$T$1000,MATCH(A80,SERVICE_DOCUMENTS!$A$4:$A$1000,0))&amp;"","")</f>
        <v/>
      </c>
      <c r="O80" s="6" t="s">
        <v>645</v>
      </c>
      <c r="P80" s="6" t="s">
        <v>1008</v>
      </c>
      <c r="Q80" s="6" t="s">
        <v>78</v>
      </c>
      <c r="R80" s="8" t="s">
        <v>75</v>
      </c>
      <c r="S80" s="8" t="s">
        <v>75</v>
      </c>
      <c r="T80" s="9" t="str">
        <f aca="false">IF(AND(OR(ISNUMBER(R80),R80="N/A"),OR(ISNUMBER(S80),S80="N/A"),OR(ISNUMBER(R80),ISNUMBER(S80))),N(R80)+N(S80),"To Verify")</f>
        <v>To Verify</v>
      </c>
      <c r="U80" s="6" t="s">
        <v>75</v>
      </c>
      <c r="V80" s="6" t="s">
        <v>79</v>
      </c>
      <c r="W80" s="6" t="s">
        <v>80</v>
      </c>
      <c r="X80" s="6" t="s">
        <v>81</v>
      </c>
      <c r="Y80" s="6" t="s">
        <v>79</v>
      </c>
      <c r="Z80" s="6"/>
      <c r="AA80" s="6" t="s">
        <v>74</v>
      </c>
      <c r="AB80" s="6" t="s">
        <v>74</v>
      </c>
      <c r="AC80" s="6" t="s">
        <v>75</v>
      </c>
      <c r="AD80" s="6" t="s">
        <v>75</v>
      </c>
      <c r="AE80" s="6" t="s">
        <v>79</v>
      </c>
      <c r="AF80" s="6" t="s">
        <v>79</v>
      </c>
      <c r="AG80" s="6" t="s">
        <v>75</v>
      </c>
      <c r="AH80" s="6" t="s">
        <v>79</v>
      </c>
      <c r="AI80" s="6" t="s">
        <v>79</v>
      </c>
      <c r="AJ80" s="6" t="s">
        <v>79</v>
      </c>
      <c r="AK80" s="6" t="s">
        <v>79</v>
      </c>
      <c r="AL80" s="6" t="s">
        <v>871</v>
      </c>
      <c r="AM80" s="6" t="s">
        <v>765</v>
      </c>
      <c r="AN80" s="7" t="str">
        <f aca="false">BA80&amp;", "&amp;AZ80</f>
        <v>FINO BC – Account Query / Complaint Assistance, FINO Payments Bank BC Point, Devmobile Stores, FINO BC – खाता शिकायत / समस्या सहायता, FINO पेमेंट्स बैंक BC पॉइंट, सेवा</v>
      </c>
      <c r="AO80" s="6" t="s">
        <v>1009</v>
      </c>
      <c r="AP80" s="5" t="s">
        <v>773</v>
      </c>
      <c r="AQ80" s="5" t="n">
        <v>140</v>
      </c>
      <c r="AR80" s="6" t="s">
        <v>133</v>
      </c>
      <c r="AS80" s="6" t="s">
        <v>878</v>
      </c>
      <c r="AT80" s="6" t="s">
        <v>86</v>
      </c>
      <c r="AU80" s="10"/>
      <c r="AV80" s="6" t="s">
        <v>75</v>
      </c>
      <c r="AW80" s="6"/>
      <c r="AX80" s="6" t="s">
        <v>1010</v>
      </c>
      <c r="AY80" s="6" t="s">
        <v>1011</v>
      </c>
      <c r="AZ80" s="6" t="s">
        <v>1012</v>
      </c>
      <c r="BA80" s="6" t="s">
        <v>1013</v>
      </c>
      <c r="BB80" s="6"/>
      <c r="BC80" s="11" t="str">
        <f aca="false">IFERROR(INDEX(CATEGORY_MASTER!$C$4:$C$30,MATCH(B80,CATEGORY_MASTER!$A$4:$A$30,0)),"")</f>
        <v>💳</v>
      </c>
      <c r="BD80" s="7" t="str">
        <f aca="false">"/services/"&amp;AO80</f>
        <v>/services/fino-bc-account-query-complaint-assistance</v>
      </c>
      <c r="BE80" s="7" t="str">
        <f aca="false">IF(AND(AH80="Yes",AG80="Active",I80&lt;&gt;"Not Available"),"LIVE","HIDDEN")</f>
        <v>HIDDEN</v>
      </c>
      <c r="BF80" s="6" t="s">
        <v>139</v>
      </c>
      <c r="BG80" s="6" t="s">
        <v>93</v>
      </c>
      <c r="BH80" s="7" t="str">
        <f aca="false">B80&amp;"|"&amp;COUNTIF($B$4:B80,B80)</f>
        <v>FINO Payments Bank BC Point|14</v>
      </c>
      <c r="BI80" s="7" t="str">
        <f aca="false">IF(AND(AI80="Yes",BE80="LIVE"),COUNTIFS($AI$4:AI80,"Yes",$BE$4:BE80,"LIVE"),"")</f>
        <v/>
      </c>
      <c r="BJ80" s="7" t="str">
        <f aca="false">IF(AND(AJ80="Yes",BE80="LIVE"),COUNTIFS($AJ$4:AJ80,"Yes",$BE$4:BE80,"LIVE"),"")</f>
        <v/>
      </c>
      <c r="BK80" s="7" t="str">
        <f aca="false">IF(AND(AK80="Yes",BE80="LIVE"),COUNTIFS($AK$4:AK80,"Yes",$BE$4:BE80,"LIVE"),"")</f>
        <v/>
      </c>
      <c r="BL80" s="7" t="n">
        <f aca="false">IF(I80="To Verify",COUNTIF($I$4:I80,"To Verify"),"")</f>
        <v>18</v>
      </c>
    </row>
    <row r="81" customFormat="false" ht="68.65" hidden="false" customHeight="false" outlineLevel="0" collapsed="false">
      <c r="A81" s="5" t="s">
        <v>1014</v>
      </c>
      <c r="B81" s="6" t="s">
        <v>871</v>
      </c>
      <c r="C81" s="6" t="s">
        <v>612</v>
      </c>
      <c r="D81" s="6" t="s">
        <v>1015</v>
      </c>
      <c r="E81" s="6" t="s">
        <v>1016</v>
      </c>
      <c r="F81" s="6" t="s">
        <v>1017</v>
      </c>
      <c r="G81" s="6" t="s">
        <v>1018</v>
      </c>
      <c r="H81" s="6" t="s">
        <v>1019</v>
      </c>
      <c r="I81" s="5" t="s">
        <v>75</v>
      </c>
      <c r="J81" s="7" t="str">
        <f aca="false">IFERROR(INDEX(AVAILABILITY_MASTER!$C$4:$C$10,MATCH(I81,AVAILABILITY_MASTER!$A$4:$A$10,0)),"To Be Confirmed")</f>
        <v>To Be Confirmed</v>
      </c>
      <c r="K81" s="6" t="s">
        <v>129</v>
      </c>
      <c r="L81" s="6" t="s">
        <v>75</v>
      </c>
      <c r="M81" s="7" t="str">
        <f aca="false">IFERROR(INDEX(SERVICE_DOCUMENTS!$S$4:$S$1000,MATCH(A81,SERVICE_DOCUMENTS!$A$4:$A$1000,0))&amp;"","")</f>
        <v>✓ Consumer / Account Number</v>
      </c>
      <c r="N81" s="7" t="str">
        <f aca="false">IFERROR(INDEX(SERVICE_DOCUMENTS!$T$4:$T$1000,MATCH(A81,SERVICE_DOCUMENTS!$A$4:$A$1000,0))&amp;"","")</f>
        <v/>
      </c>
      <c r="O81" s="6" t="s">
        <v>645</v>
      </c>
      <c r="P81" s="6" t="s">
        <v>1020</v>
      </c>
      <c r="Q81" s="6" t="s">
        <v>440</v>
      </c>
      <c r="R81" s="8" t="s">
        <v>75</v>
      </c>
      <c r="S81" s="8" t="s">
        <v>75</v>
      </c>
      <c r="T81" s="9" t="str">
        <f aca="false">IF(AND(OR(ISNUMBER(R81),R81="N/A"),OR(ISNUMBER(S81),S81="N/A"),OR(ISNUMBER(R81),ISNUMBER(S81))),N(R81)+N(S81),"To Verify")</f>
        <v>To Verify</v>
      </c>
      <c r="U81" s="6" t="s">
        <v>75</v>
      </c>
      <c r="V81" s="6" t="s">
        <v>79</v>
      </c>
      <c r="W81" s="6" t="s">
        <v>80</v>
      </c>
      <c r="X81" s="6" t="s">
        <v>81</v>
      </c>
      <c r="Y81" s="6" t="s">
        <v>79</v>
      </c>
      <c r="Z81" s="6"/>
      <c r="AA81" s="6" t="s">
        <v>74</v>
      </c>
      <c r="AB81" s="6" t="s">
        <v>74</v>
      </c>
      <c r="AC81" s="6" t="s">
        <v>75</v>
      </c>
      <c r="AD81" s="6" t="s">
        <v>75</v>
      </c>
      <c r="AE81" s="6" t="s">
        <v>79</v>
      </c>
      <c r="AF81" s="6" t="s">
        <v>79</v>
      </c>
      <c r="AG81" s="6" t="s">
        <v>75</v>
      </c>
      <c r="AH81" s="6" t="s">
        <v>79</v>
      </c>
      <c r="AI81" s="6" t="s">
        <v>79</v>
      </c>
      <c r="AJ81" s="6" t="s">
        <v>79</v>
      </c>
      <c r="AK81" s="6" t="s">
        <v>79</v>
      </c>
      <c r="AL81" s="6" t="s">
        <v>871</v>
      </c>
      <c r="AM81" s="6" t="s">
        <v>1015</v>
      </c>
      <c r="AN81" s="7" t="str">
        <f aca="false">BA81&amp;", "&amp;AZ81</f>
        <v>FINO BC – Payment Services (via FINO), FINO Payments Bank BC Point, Devmobile Stores, FINO BC – भुगतान सेवाएँ (FINO के माध्यम से), FINO पेमेंट्स बैंक BC पॉइंट, सेवा</v>
      </c>
      <c r="AO81" s="6" t="s">
        <v>1021</v>
      </c>
      <c r="AP81" s="5" t="s">
        <v>1022</v>
      </c>
      <c r="AQ81" s="5" t="n">
        <v>150</v>
      </c>
      <c r="AR81" s="6" t="s">
        <v>133</v>
      </c>
      <c r="AS81" s="6" t="s">
        <v>878</v>
      </c>
      <c r="AT81" s="6" t="s">
        <v>86</v>
      </c>
      <c r="AU81" s="10"/>
      <c r="AV81" s="6" t="s">
        <v>75</v>
      </c>
      <c r="AW81" s="6" t="s">
        <v>1023</v>
      </c>
      <c r="AX81" s="6" t="s">
        <v>1024</v>
      </c>
      <c r="AY81" s="6" t="s">
        <v>1025</v>
      </c>
      <c r="AZ81" s="6" t="s">
        <v>1026</v>
      </c>
      <c r="BA81" s="6" t="s">
        <v>1027</v>
      </c>
      <c r="BB81" s="6"/>
      <c r="BC81" s="11" t="str">
        <f aca="false">IFERROR(INDEX(CATEGORY_MASTER!$C$4:$C$30,MATCH(B81,CATEGORY_MASTER!$A$4:$A$30,0)),"")</f>
        <v>💳</v>
      </c>
      <c r="BD81" s="7" t="str">
        <f aca="false">"/services/"&amp;AO81</f>
        <v>/services/fino-bc-payment-services-via-fino</v>
      </c>
      <c r="BE81" s="7" t="str">
        <f aca="false">IF(AND(AH81="Yes",AG81="Active",I81&lt;&gt;"Not Available"),"LIVE","HIDDEN")</f>
        <v>HIDDEN</v>
      </c>
      <c r="BF81" s="6" t="s">
        <v>139</v>
      </c>
      <c r="BG81" s="6" t="s">
        <v>93</v>
      </c>
      <c r="BH81" s="7" t="str">
        <f aca="false">B81&amp;"|"&amp;COUNTIF($B$4:B81,B81)</f>
        <v>FINO Payments Bank BC Point|15</v>
      </c>
      <c r="BI81" s="7" t="str">
        <f aca="false">IF(AND(AI81="Yes",BE81="LIVE"),COUNTIFS($AI$4:AI81,"Yes",$BE$4:BE81,"LIVE"),"")</f>
        <v/>
      </c>
      <c r="BJ81" s="7" t="str">
        <f aca="false">IF(AND(AJ81="Yes",BE81="LIVE"),COUNTIFS($AJ$4:AJ81,"Yes",$BE$4:BE81,"LIVE"),"")</f>
        <v/>
      </c>
      <c r="BK81" s="7" t="str">
        <f aca="false">IF(AND(AK81="Yes",BE81="LIVE"),COUNTIFS($AK$4:AK81,"Yes",$BE$4:BE81,"LIVE"),"")</f>
        <v/>
      </c>
      <c r="BL81" s="7" t="n">
        <f aca="false">IF(I81="To Verify",COUNTIF($I$4:I81,"To Verify"),"")</f>
        <v>19</v>
      </c>
    </row>
    <row r="82" customFormat="false" ht="91" hidden="false" customHeight="false" outlineLevel="0" collapsed="false">
      <c r="A82" s="5" t="s">
        <v>1028</v>
      </c>
      <c r="B82" s="6" t="s">
        <v>1029</v>
      </c>
      <c r="C82" s="6" t="s">
        <v>1030</v>
      </c>
      <c r="D82" s="6" t="s">
        <v>1031</v>
      </c>
      <c r="E82" s="6" t="s">
        <v>1032</v>
      </c>
      <c r="F82" s="6" t="s">
        <v>1033</v>
      </c>
      <c r="G82" s="6" t="s">
        <v>1034</v>
      </c>
      <c r="H82" s="6" t="s">
        <v>1035</v>
      </c>
      <c r="I82" s="5" t="s">
        <v>221</v>
      </c>
      <c r="J82" s="7" t="str">
        <f aca="false">IFERROR(INDEX(AVAILABILITY_MASTER!$C$4:$C$10,MATCH(I82,AVAILABILITY_MASTER!$A$4:$A$10,0)),"To Be Confirmed")</f>
        <v>Depends on Portal – Confirm at Shop</v>
      </c>
      <c r="K82" s="6" t="s">
        <v>129</v>
      </c>
      <c r="L82" s="6" t="s">
        <v>221</v>
      </c>
      <c r="M82" s="7" t="str">
        <f aca="false">IFERROR(INDEX(SERVICE_DOCUMENTS!$S$4:$S$1000,MATCH(A82,SERVICE_DOCUMENTS!$A$4:$A$1000,0))&amp;"","")</f>
        <v>✓ Aadhaar Card
✓ Passport Photo
✓ Active Mobile Number</v>
      </c>
      <c r="N82" s="7" t="str">
        <f aca="false">IFERROR(INDEX(SERVICE_DOCUMENTS!$T$4:$T$1000,MATCH(A82,SERVICE_DOCUMENTS!$A$4:$A$1000,0))&amp;"","")</f>
        <v>• Address Proof (To Verify)
• Income Proof / Self-Declaration (To Verify)</v>
      </c>
      <c r="O82" s="6" t="s">
        <v>1036</v>
      </c>
      <c r="P82" s="6" t="s">
        <v>1037</v>
      </c>
      <c r="Q82" s="6" t="s">
        <v>78</v>
      </c>
      <c r="R82" s="8" t="s">
        <v>75</v>
      </c>
      <c r="S82" s="8" t="s">
        <v>75</v>
      </c>
      <c r="T82" s="9" t="str">
        <f aca="false">IF(AND(OR(ISNUMBER(R82),R82="N/A"),OR(ISNUMBER(S82),S82="N/A"),OR(ISNUMBER(R82),ISNUMBER(S82))),N(R82)+N(S82),"To Verify")</f>
        <v>To Verify</v>
      </c>
      <c r="U82" s="6" t="s">
        <v>75</v>
      </c>
      <c r="V82" s="6" t="s">
        <v>79</v>
      </c>
      <c r="W82" s="6" t="s">
        <v>80</v>
      </c>
      <c r="X82" s="6" t="s">
        <v>221</v>
      </c>
      <c r="Y82" s="6" t="s">
        <v>74</v>
      </c>
      <c r="Z82" s="6" t="s">
        <v>1038</v>
      </c>
      <c r="AA82" s="6" t="s">
        <v>74</v>
      </c>
      <c r="AB82" s="6" t="s">
        <v>74</v>
      </c>
      <c r="AC82" s="6" t="s">
        <v>75</v>
      </c>
      <c r="AD82" s="6" t="s">
        <v>75</v>
      </c>
      <c r="AE82" s="6" t="s">
        <v>75</v>
      </c>
      <c r="AF82" s="6" t="s">
        <v>75</v>
      </c>
      <c r="AG82" s="6" t="s">
        <v>75</v>
      </c>
      <c r="AH82" s="6" t="s">
        <v>79</v>
      </c>
      <c r="AI82" s="6" t="s">
        <v>79</v>
      </c>
      <c r="AJ82" s="6" t="s">
        <v>79</v>
      </c>
      <c r="AK82" s="6" t="s">
        <v>79</v>
      </c>
      <c r="AL82" s="6" t="s">
        <v>1029</v>
      </c>
      <c r="AM82" s="6" t="s">
        <v>1031</v>
      </c>
      <c r="AN82" s="7" t="str">
        <f aca="false">BA82&amp;", "&amp;AZ82</f>
        <v>Income Certificate – Application, BASUDHA Kendra, Devmobile Stores, आय प्रमाण पत्र – आवेदन, बसुधा केंद्र, सेवा</v>
      </c>
      <c r="AO82" s="6" t="s">
        <v>1039</v>
      </c>
      <c r="AP82" s="5" t="s">
        <v>1040</v>
      </c>
      <c r="AQ82" s="5" t="n">
        <v>10</v>
      </c>
      <c r="AR82" s="6" t="s">
        <v>1041</v>
      </c>
      <c r="AS82" s="6" t="s">
        <v>1042</v>
      </c>
      <c r="AT82" s="6" t="s">
        <v>86</v>
      </c>
      <c r="AU82" s="10"/>
      <c r="AV82" s="6" t="s">
        <v>75</v>
      </c>
      <c r="AW82" s="6"/>
      <c r="AX82" s="6" t="s">
        <v>1043</v>
      </c>
      <c r="AY82" s="6" t="s">
        <v>1044</v>
      </c>
      <c r="AZ82" s="6" t="s">
        <v>1045</v>
      </c>
      <c r="BA82" s="6" t="s">
        <v>1046</v>
      </c>
      <c r="BB82" s="6"/>
      <c r="BC82" s="11" t="str">
        <f aca="false">IFERROR(INDEX(CATEGORY_MASTER!$C$4:$C$30,MATCH(B82,CATEGORY_MASTER!$A$4:$A$30,0)),"")</f>
        <v>🏛️</v>
      </c>
      <c r="BD82" s="7" t="str">
        <f aca="false">"/services/"&amp;AO82</f>
        <v>/services/income-certificate-application</v>
      </c>
      <c r="BE82" s="7" t="str">
        <f aca="false">IF(AND(AH82="Yes",AG82="Active",I82&lt;&gt;"Not Available"),"LIVE","HIDDEN")</f>
        <v>HIDDEN</v>
      </c>
      <c r="BF82" s="6" t="s">
        <v>139</v>
      </c>
      <c r="BG82" s="6" t="s">
        <v>93</v>
      </c>
      <c r="BH82" s="7" t="str">
        <f aca="false">B82&amp;"|"&amp;COUNTIF($B$4:B82,B82)</f>
        <v>BASUDHA Kendra|1</v>
      </c>
      <c r="BI82" s="7" t="str">
        <f aca="false">IF(AND(AI82="Yes",BE82="LIVE"),COUNTIFS($AI$4:AI82,"Yes",$BE$4:BE82,"LIVE"),"")</f>
        <v/>
      </c>
      <c r="BJ82" s="7" t="str">
        <f aca="false">IF(AND(AJ82="Yes",BE82="LIVE"),COUNTIFS($AJ$4:AJ82,"Yes",$BE$4:BE82,"LIVE"),"")</f>
        <v/>
      </c>
      <c r="BK82" s="7" t="str">
        <f aca="false">IF(AND(AK82="Yes",BE82="LIVE"),COUNTIFS($AK$4:AK82,"Yes",$BE$4:BE82,"LIVE"),"")</f>
        <v/>
      </c>
      <c r="BL82" s="7" t="str">
        <f aca="false">IF(I82="To Verify",COUNTIF($I$4:I82,"To Verify"),"")</f>
        <v/>
      </c>
    </row>
    <row r="83" customFormat="false" ht="91" hidden="false" customHeight="false" outlineLevel="0" collapsed="false">
      <c r="A83" s="5" t="s">
        <v>1047</v>
      </c>
      <c r="B83" s="6" t="s">
        <v>1029</v>
      </c>
      <c r="C83" s="6" t="s">
        <v>1030</v>
      </c>
      <c r="D83" s="6" t="s">
        <v>1031</v>
      </c>
      <c r="E83" s="6" t="s">
        <v>1048</v>
      </c>
      <c r="F83" s="6" t="s">
        <v>1049</v>
      </c>
      <c r="G83" s="6" t="s">
        <v>1050</v>
      </c>
      <c r="H83" s="6" t="s">
        <v>1051</v>
      </c>
      <c r="I83" s="5" t="s">
        <v>221</v>
      </c>
      <c r="J83" s="7" t="str">
        <f aca="false">IFERROR(INDEX(AVAILABILITY_MASTER!$C$4:$C$10,MATCH(I83,AVAILABILITY_MASTER!$A$4:$A$10,0)),"To Be Confirmed")</f>
        <v>Depends on Portal – Confirm at Shop</v>
      </c>
      <c r="K83" s="6" t="s">
        <v>129</v>
      </c>
      <c r="L83" s="6" t="s">
        <v>221</v>
      </c>
      <c r="M83" s="7" t="str">
        <f aca="false">IFERROR(INDEX(SERVICE_DOCUMENTS!$S$4:$S$1000,MATCH(A83,SERVICE_DOCUMENTS!$A$4:$A$1000,0))&amp;"","")</f>
        <v>✓ Aadhaar Card
✓ Passport Photo
✓ Active Mobile Number</v>
      </c>
      <c r="N83" s="7" t="str">
        <f aca="false">IFERROR(INDEX(SERVICE_DOCUMENTS!$T$4:$T$1000,MATCH(A83,SERVICE_DOCUMENTS!$A$4:$A$1000,0))&amp;"","")</f>
        <v>• Address Proof (To Verify)
• Caste Certificate / Proof (To Verify)</v>
      </c>
      <c r="O83" s="6" t="s">
        <v>1052</v>
      </c>
      <c r="P83" s="6" t="s">
        <v>1053</v>
      </c>
      <c r="Q83" s="6" t="s">
        <v>78</v>
      </c>
      <c r="R83" s="8" t="s">
        <v>75</v>
      </c>
      <c r="S83" s="8" t="s">
        <v>75</v>
      </c>
      <c r="T83" s="9" t="str">
        <f aca="false">IF(AND(OR(ISNUMBER(R83),R83="N/A"),OR(ISNUMBER(S83),S83="N/A"),OR(ISNUMBER(R83),ISNUMBER(S83))),N(R83)+N(S83),"To Verify")</f>
        <v>To Verify</v>
      </c>
      <c r="U83" s="6" t="s">
        <v>75</v>
      </c>
      <c r="V83" s="6" t="s">
        <v>79</v>
      </c>
      <c r="W83" s="6" t="s">
        <v>80</v>
      </c>
      <c r="X83" s="6" t="s">
        <v>221</v>
      </c>
      <c r="Y83" s="6" t="s">
        <v>74</v>
      </c>
      <c r="Z83" s="6" t="s">
        <v>1038</v>
      </c>
      <c r="AA83" s="6" t="s">
        <v>74</v>
      </c>
      <c r="AB83" s="6" t="s">
        <v>74</v>
      </c>
      <c r="AC83" s="6" t="s">
        <v>75</v>
      </c>
      <c r="AD83" s="6" t="s">
        <v>75</v>
      </c>
      <c r="AE83" s="6" t="s">
        <v>75</v>
      </c>
      <c r="AF83" s="6" t="s">
        <v>75</v>
      </c>
      <c r="AG83" s="6" t="s">
        <v>75</v>
      </c>
      <c r="AH83" s="6" t="s">
        <v>79</v>
      </c>
      <c r="AI83" s="6" t="s">
        <v>79</v>
      </c>
      <c r="AJ83" s="6" t="s">
        <v>79</v>
      </c>
      <c r="AK83" s="6" t="s">
        <v>79</v>
      </c>
      <c r="AL83" s="6" t="s">
        <v>1029</v>
      </c>
      <c r="AM83" s="6" t="s">
        <v>1031</v>
      </c>
      <c r="AN83" s="7" t="str">
        <f aca="false">BA83&amp;", "&amp;AZ83</f>
        <v>Caste Certificate – Application, BASUDHA Kendra, Devmobile Stores, जाति प्रमाण पत्र – आवेदन, बसुधा केंद्र, सेवा</v>
      </c>
      <c r="AO83" s="6" t="s">
        <v>1054</v>
      </c>
      <c r="AP83" s="5" t="s">
        <v>1040</v>
      </c>
      <c r="AQ83" s="5" t="n">
        <v>20</v>
      </c>
      <c r="AR83" s="6" t="s">
        <v>1041</v>
      </c>
      <c r="AS83" s="6" t="s">
        <v>1042</v>
      </c>
      <c r="AT83" s="6" t="s">
        <v>86</v>
      </c>
      <c r="AU83" s="10"/>
      <c r="AV83" s="6" t="s">
        <v>75</v>
      </c>
      <c r="AW83" s="6"/>
      <c r="AX83" s="6" t="s">
        <v>1055</v>
      </c>
      <c r="AY83" s="6" t="s">
        <v>1056</v>
      </c>
      <c r="AZ83" s="6" t="s">
        <v>1057</v>
      </c>
      <c r="BA83" s="6" t="s">
        <v>1058</v>
      </c>
      <c r="BB83" s="6"/>
      <c r="BC83" s="11" t="str">
        <f aca="false">IFERROR(INDEX(CATEGORY_MASTER!$C$4:$C$30,MATCH(B83,CATEGORY_MASTER!$A$4:$A$30,0)),"")</f>
        <v>🏛️</v>
      </c>
      <c r="BD83" s="7" t="str">
        <f aca="false">"/services/"&amp;AO83</f>
        <v>/services/caste-certificate-application</v>
      </c>
      <c r="BE83" s="7" t="str">
        <f aca="false">IF(AND(AH83="Yes",AG83="Active",I83&lt;&gt;"Not Available"),"LIVE","HIDDEN")</f>
        <v>HIDDEN</v>
      </c>
      <c r="BF83" s="6" t="s">
        <v>139</v>
      </c>
      <c r="BG83" s="6" t="s">
        <v>93</v>
      </c>
      <c r="BH83" s="7" t="str">
        <f aca="false">B83&amp;"|"&amp;COUNTIF($B$4:B83,B83)</f>
        <v>BASUDHA Kendra|2</v>
      </c>
      <c r="BI83" s="7" t="str">
        <f aca="false">IF(AND(AI83="Yes",BE83="LIVE"),COUNTIFS($AI$4:AI83,"Yes",$BE$4:BE83,"LIVE"),"")</f>
        <v/>
      </c>
      <c r="BJ83" s="7" t="str">
        <f aca="false">IF(AND(AJ83="Yes",BE83="LIVE"),COUNTIFS($AJ$4:AJ83,"Yes",$BE$4:BE83,"LIVE"),"")</f>
        <v/>
      </c>
      <c r="BK83" s="7" t="str">
        <f aca="false">IF(AND(AK83="Yes",BE83="LIVE"),COUNTIFS($AK$4:AK83,"Yes",$BE$4:BE83,"LIVE"),"")</f>
        <v/>
      </c>
      <c r="BL83" s="7" t="str">
        <f aca="false">IF(I83="To Verify",COUNTIF($I$4:I83,"To Verify"),"")</f>
        <v/>
      </c>
    </row>
    <row r="84" customFormat="false" ht="91" hidden="false" customHeight="false" outlineLevel="0" collapsed="false">
      <c r="A84" s="5" t="s">
        <v>1059</v>
      </c>
      <c r="B84" s="6" t="s">
        <v>1029</v>
      </c>
      <c r="C84" s="6" t="s">
        <v>1030</v>
      </c>
      <c r="D84" s="6" t="s">
        <v>1031</v>
      </c>
      <c r="E84" s="6" t="s">
        <v>1060</v>
      </c>
      <c r="F84" s="6" t="s">
        <v>1061</v>
      </c>
      <c r="G84" s="6" t="s">
        <v>1062</v>
      </c>
      <c r="H84" s="6" t="s">
        <v>1063</v>
      </c>
      <c r="I84" s="5" t="s">
        <v>221</v>
      </c>
      <c r="J84" s="7" t="str">
        <f aca="false">IFERROR(INDEX(AVAILABILITY_MASTER!$C$4:$C$10,MATCH(I84,AVAILABILITY_MASTER!$A$4:$A$10,0)),"To Be Confirmed")</f>
        <v>Depends on Portal – Confirm at Shop</v>
      </c>
      <c r="K84" s="6" t="s">
        <v>129</v>
      </c>
      <c r="L84" s="6" t="s">
        <v>221</v>
      </c>
      <c r="M84" s="7" t="str">
        <f aca="false">IFERROR(INDEX(SERVICE_DOCUMENTS!$S$4:$S$1000,MATCH(A84,SERVICE_DOCUMENTS!$A$4:$A$1000,0))&amp;"","")</f>
        <v>✓ Aadhaar Card
✓ Passport Photo
✓ Active Mobile Number</v>
      </c>
      <c r="N84" s="7" t="str">
        <f aca="false">IFERROR(INDEX(SERVICE_DOCUMENTS!$T$4:$T$1000,MATCH(A84,SERVICE_DOCUMENTS!$A$4:$A$1000,0))&amp;"","")</f>
        <v>• Address Proof (To Verify)</v>
      </c>
      <c r="O84" s="6" t="s">
        <v>1064</v>
      </c>
      <c r="P84" s="6" t="s">
        <v>1065</v>
      </c>
      <c r="Q84" s="6" t="s">
        <v>78</v>
      </c>
      <c r="R84" s="8" t="s">
        <v>75</v>
      </c>
      <c r="S84" s="8" t="s">
        <v>75</v>
      </c>
      <c r="T84" s="9" t="str">
        <f aca="false">IF(AND(OR(ISNUMBER(R84),R84="N/A"),OR(ISNUMBER(S84),S84="N/A"),OR(ISNUMBER(R84),ISNUMBER(S84))),N(R84)+N(S84),"To Verify")</f>
        <v>To Verify</v>
      </c>
      <c r="U84" s="6" t="s">
        <v>75</v>
      </c>
      <c r="V84" s="6" t="s">
        <v>79</v>
      </c>
      <c r="W84" s="6" t="s">
        <v>80</v>
      </c>
      <c r="X84" s="6" t="s">
        <v>221</v>
      </c>
      <c r="Y84" s="6" t="s">
        <v>74</v>
      </c>
      <c r="Z84" s="6" t="s">
        <v>1038</v>
      </c>
      <c r="AA84" s="6" t="s">
        <v>74</v>
      </c>
      <c r="AB84" s="6" t="s">
        <v>74</v>
      </c>
      <c r="AC84" s="6" t="s">
        <v>75</v>
      </c>
      <c r="AD84" s="6" t="s">
        <v>75</v>
      </c>
      <c r="AE84" s="6" t="s">
        <v>75</v>
      </c>
      <c r="AF84" s="6" t="s">
        <v>75</v>
      </c>
      <c r="AG84" s="6" t="s">
        <v>75</v>
      </c>
      <c r="AH84" s="6" t="s">
        <v>79</v>
      </c>
      <c r="AI84" s="6" t="s">
        <v>79</v>
      </c>
      <c r="AJ84" s="6" t="s">
        <v>79</v>
      </c>
      <c r="AK84" s="6" t="s">
        <v>79</v>
      </c>
      <c r="AL84" s="6" t="s">
        <v>1029</v>
      </c>
      <c r="AM84" s="6" t="s">
        <v>1031</v>
      </c>
      <c r="AN84" s="7" t="str">
        <f aca="false">BA84&amp;", "&amp;AZ84</f>
        <v>Residence Certificate – Application, BASUDHA Kendra, Devmobile Stores, निवास प्रमाण पत्र – आवेदन, बसुधा केंद्र, सेवा</v>
      </c>
      <c r="AO84" s="6" t="s">
        <v>1066</v>
      </c>
      <c r="AP84" s="5" t="s">
        <v>1040</v>
      </c>
      <c r="AQ84" s="5" t="n">
        <v>30</v>
      </c>
      <c r="AR84" s="6" t="s">
        <v>1041</v>
      </c>
      <c r="AS84" s="6" t="s">
        <v>1042</v>
      </c>
      <c r="AT84" s="6" t="s">
        <v>86</v>
      </c>
      <c r="AU84" s="10"/>
      <c r="AV84" s="6" t="s">
        <v>75</v>
      </c>
      <c r="AW84" s="6"/>
      <c r="AX84" s="6" t="s">
        <v>1067</v>
      </c>
      <c r="AY84" s="6" t="s">
        <v>1068</v>
      </c>
      <c r="AZ84" s="6" t="s">
        <v>1069</v>
      </c>
      <c r="BA84" s="6" t="s">
        <v>1070</v>
      </c>
      <c r="BB84" s="6"/>
      <c r="BC84" s="11" t="str">
        <f aca="false">IFERROR(INDEX(CATEGORY_MASTER!$C$4:$C$30,MATCH(B84,CATEGORY_MASTER!$A$4:$A$30,0)),"")</f>
        <v>🏛️</v>
      </c>
      <c r="BD84" s="7" t="str">
        <f aca="false">"/services/"&amp;AO84</f>
        <v>/services/residence-certificate-application</v>
      </c>
      <c r="BE84" s="7" t="str">
        <f aca="false">IF(AND(AH84="Yes",AG84="Active",I84&lt;&gt;"Not Available"),"LIVE","HIDDEN")</f>
        <v>HIDDEN</v>
      </c>
      <c r="BF84" s="6" t="s">
        <v>139</v>
      </c>
      <c r="BG84" s="6" t="s">
        <v>93</v>
      </c>
      <c r="BH84" s="7" t="str">
        <f aca="false">B84&amp;"|"&amp;COUNTIF($B$4:B84,B84)</f>
        <v>BASUDHA Kendra|3</v>
      </c>
      <c r="BI84" s="7" t="str">
        <f aca="false">IF(AND(AI84="Yes",BE84="LIVE"),COUNTIFS($AI$4:AI84,"Yes",$BE$4:BE84,"LIVE"),"")</f>
        <v/>
      </c>
      <c r="BJ84" s="7" t="str">
        <f aca="false">IF(AND(AJ84="Yes",BE84="LIVE"),COUNTIFS($AJ$4:AJ84,"Yes",$BE$4:BE84,"LIVE"),"")</f>
        <v/>
      </c>
      <c r="BK84" s="7" t="str">
        <f aca="false">IF(AND(AK84="Yes",BE84="LIVE"),COUNTIFS($AK$4:AK84,"Yes",$BE$4:BE84,"LIVE"),"")</f>
        <v/>
      </c>
      <c r="BL84" s="7" t="str">
        <f aca="false">IF(I84="To Verify",COUNTIF($I$4:I84,"To Verify"),"")</f>
        <v/>
      </c>
    </row>
    <row r="85" customFormat="false" ht="91" hidden="false" customHeight="false" outlineLevel="0" collapsed="false">
      <c r="A85" s="5" t="s">
        <v>1071</v>
      </c>
      <c r="B85" s="6" t="s">
        <v>1029</v>
      </c>
      <c r="C85" s="6" t="s">
        <v>1030</v>
      </c>
      <c r="D85" s="6" t="s">
        <v>1031</v>
      </c>
      <c r="E85" s="6" t="s">
        <v>1072</v>
      </c>
      <c r="F85" s="6" t="s">
        <v>1073</v>
      </c>
      <c r="G85" s="6" t="s">
        <v>1074</v>
      </c>
      <c r="H85" s="6" t="s">
        <v>1075</v>
      </c>
      <c r="I85" s="5" t="s">
        <v>221</v>
      </c>
      <c r="J85" s="7" t="str">
        <f aca="false">IFERROR(INDEX(AVAILABILITY_MASTER!$C$4:$C$10,MATCH(I85,AVAILABILITY_MASTER!$A$4:$A$10,0)),"To Be Confirmed")</f>
        <v>Depends on Portal – Confirm at Shop</v>
      </c>
      <c r="K85" s="6" t="s">
        <v>129</v>
      </c>
      <c r="L85" s="6" t="s">
        <v>221</v>
      </c>
      <c r="M85" s="7" t="str">
        <f aca="false">IFERROR(INDEX(SERVICE_DOCUMENTS!$S$4:$S$1000,MATCH(A85,SERVICE_DOCUMENTS!$A$4:$A$1000,0))&amp;"","")</f>
        <v>✓ Aadhaar Card
✓ Passport Photo
✓ Active Mobile Number</v>
      </c>
      <c r="N85" s="7" t="str">
        <f aca="false">IFERROR(INDEX(SERVICE_DOCUMENTS!$T$4:$T$1000,MATCH(A85,SERVICE_DOCUMENTS!$A$4:$A$1000,0))&amp;"","")</f>
        <v>• Address Proof (To Verify)
• Income Proof / Self-Declaration (To Verify)</v>
      </c>
      <c r="O85" s="6" t="s">
        <v>1076</v>
      </c>
      <c r="P85" s="6" t="s">
        <v>1077</v>
      </c>
      <c r="Q85" s="6" t="s">
        <v>78</v>
      </c>
      <c r="R85" s="8" t="s">
        <v>75</v>
      </c>
      <c r="S85" s="8" t="s">
        <v>75</v>
      </c>
      <c r="T85" s="9" t="str">
        <f aca="false">IF(AND(OR(ISNUMBER(R85),R85="N/A"),OR(ISNUMBER(S85),S85="N/A"),OR(ISNUMBER(R85),ISNUMBER(S85))),N(R85)+N(S85),"To Verify")</f>
        <v>To Verify</v>
      </c>
      <c r="U85" s="6" t="s">
        <v>75</v>
      </c>
      <c r="V85" s="6" t="s">
        <v>79</v>
      </c>
      <c r="W85" s="6" t="s">
        <v>80</v>
      </c>
      <c r="X85" s="6" t="s">
        <v>221</v>
      </c>
      <c r="Y85" s="6" t="s">
        <v>74</v>
      </c>
      <c r="Z85" s="6" t="s">
        <v>1038</v>
      </c>
      <c r="AA85" s="6" t="s">
        <v>74</v>
      </c>
      <c r="AB85" s="6" t="s">
        <v>74</v>
      </c>
      <c r="AC85" s="6" t="s">
        <v>75</v>
      </c>
      <c r="AD85" s="6" t="s">
        <v>75</v>
      </c>
      <c r="AE85" s="6" t="s">
        <v>75</v>
      </c>
      <c r="AF85" s="6" t="s">
        <v>75</v>
      </c>
      <c r="AG85" s="6" t="s">
        <v>75</v>
      </c>
      <c r="AH85" s="6" t="s">
        <v>79</v>
      </c>
      <c r="AI85" s="6" t="s">
        <v>79</v>
      </c>
      <c r="AJ85" s="6" t="s">
        <v>79</v>
      </c>
      <c r="AK85" s="6" t="s">
        <v>79</v>
      </c>
      <c r="AL85" s="6" t="s">
        <v>1029</v>
      </c>
      <c r="AM85" s="6" t="s">
        <v>1031</v>
      </c>
      <c r="AN85" s="7" t="str">
        <f aca="false">BA85&amp;", "&amp;AZ85</f>
        <v>EWS Certificate – Application, BASUDHA Kendra, Devmobile Stores, EWS प्रमाण पत्र – आवेदन, बसुधा केंद्र, सेवा</v>
      </c>
      <c r="AO85" s="6" t="s">
        <v>1078</v>
      </c>
      <c r="AP85" s="5" t="s">
        <v>1040</v>
      </c>
      <c r="AQ85" s="5" t="n">
        <v>40</v>
      </c>
      <c r="AR85" s="6" t="s">
        <v>1041</v>
      </c>
      <c r="AS85" s="6" t="s">
        <v>1042</v>
      </c>
      <c r="AT85" s="6" t="s">
        <v>86</v>
      </c>
      <c r="AU85" s="10"/>
      <c r="AV85" s="6" t="s">
        <v>75</v>
      </c>
      <c r="AW85" s="6"/>
      <c r="AX85" s="6" t="s">
        <v>1079</v>
      </c>
      <c r="AY85" s="6" t="s">
        <v>1080</v>
      </c>
      <c r="AZ85" s="6" t="s">
        <v>1081</v>
      </c>
      <c r="BA85" s="6" t="s">
        <v>1082</v>
      </c>
      <c r="BB85" s="6"/>
      <c r="BC85" s="11" t="str">
        <f aca="false">IFERROR(INDEX(CATEGORY_MASTER!$C$4:$C$30,MATCH(B85,CATEGORY_MASTER!$A$4:$A$30,0)),"")</f>
        <v>🏛️</v>
      </c>
      <c r="BD85" s="7" t="str">
        <f aca="false">"/services/"&amp;AO85</f>
        <v>/services/ews-certificate-application</v>
      </c>
      <c r="BE85" s="7" t="str">
        <f aca="false">IF(AND(AH85="Yes",AG85="Active",I85&lt;&gt;"Not Available"),"LIVE","HIDDEN")</f>
        <v>HIDDEN</v>
      </c>
      <c r="BF85" s="6" t="s">
        <v>139</v>
      </c>
      <c r="BG85" s="6" t="s">
        <v>93</v>
      </c>
      <c r="BH85" s="7" t="str">
        <f aca="false">B85&amp;"|"&amp;COUNTIF($B$4:B85,B85)</f>
        <v>BASUDHA Kendra|4</v>
      </c>
      <c r="BI85" s="7" t="str">
        <f aca="false">IF(AND(AI85="Yes",BE85="LIVE"),COUNTIFS($AI$4:AI85,"Yes",$BE$4:BE85,"LIVE"),"")</f>
        <v/>
      </c>
      <c r="BJ85" s="7" t="str">
        <f aca="false">IF(AND(AJ85="Yes",BE85="LIVE"),COUNTIFS($AJ$4:AJ85,"Yes",$BE$4:BE85,"LIVE"),"")</f>
        <v/>
      </c>
      <c r="BK85" s="7" t="str">
        <f aca="false">IF(AND(AK85="Yes",BE85="LIVE"),COUNTIFS($AK$4:AK85,"Yes",$BE$4:BE85,"LIVE"),"")</f>
        <v/>
      </c>
      <c r="BL85" s="7" t="str">
        <f aca="false">IF(I85="To Verify",COUNTIF($I$4:I85,"To Verify"),"")</f>
        <v/>
      </c>
    </row>
    <row r="86" customFormat="false" ht="91" hidden="false" customHeight="false" outlineLevel="0" collapsed="false">
      <c r="A86" s="5" t="s">
        <v>1083</v>
      </c>
      <c r="B86" s="6" t="s">
        <v>1029</v>
      </c>
      <c r="C86" s="6" t="s">
        <v>1030</v>
      </c>
      <c r="D86" s="6" t="s">
        <v>1031</v>
      </c>
      <c r="E86" s="6" t="s">
        <v>1084</v>
      </c>
      <c r="F86" s="6" t="s">
        <v>1085</v>
      </c>
      <c r="G86" s="6" t="s">
        <v>1086</v>
      </c>
      <c r="H86" s="6" t="s">
        <v>1087</v>
      </c>
      <c r="I86" s="5" t="s">
        <v>221</v>
      </c>
      <c r="J86" s="7" t="str">
        <f aca="false">IFERROR(INDEX(AVAILABILITY_MASTER!$C$4:$C$10,MATCH(I86,AVAILABILITY_MASTER!$A$4:$A$10,0)),"To Be Confirmed")</f>
        <v>Depends on Portal – Confirm at Shop</v>
      </c>
      <c r="K86" s="6" t="s">
        <v>129</v>
      </c>
      <c r="L86" s="6" t="s">
        <v>221</v>
      </c>
      <c r="M86" s="7" t="str">
        <f aca="false">IFERROR(INDEX(SERVICE_DOCUMENTS!$S$4:$S$1000,MATCH(A86,SERVICE_DOCUMENTS!$A$4:$A$1000,0))&amp;"","")</f>
        <v>✓ Aadhaar Card
✓ Passport Photo
✓ Active Mobile Number</v>
      </c>
      <c r="N86" s="7" t="str">
        <f aca="false">IFERROR(INDEX(SERVICE_DOCUMENTS!$T$4:$T$1000,MATCH(A86,SERVICE_DOCUMENTS!$A$4:$A$1000,0))&amp;"","")</f>
        <v>• Address Proof (To Verify)
• Caste Certificate / Proof (To Verify)</v>
      </c>
      <c r="O86" s="6" t="s">
        <v>1088</v>
      </c>
      <c r="P86" s="6" t="s">
        <v>1089</v>
      </c>
      <c r="Q86" s="6" t="s">
        <v>78</v>
      </c>
      <c r="R86" s="8" t="s">
        <v>75</v>
      </c>
      <c r="S86" s="8" t="s">
        <v>75</v>
      </c>
      <c r="T86" s="9" t="str">
        <f aca="false">IF(AND(OR(ISNUMBER(R86),R86="N/A"),OR(ISNUMBER(S86),S86="N/A"),OR(ISNUMBER(R86),ISNUMBER(S86))),N(R86)+N(S86),"To Verify")</f>
        <v>To Verify</v>
      </c>
      <c r="U86" s="6" t="s">
        <v>75</v>
      </c>
      <c r="V86" s="6" t="s">
        <v>79</v>
      </c>
      <c r="W86" s="6" t="s">
        <v>80</v>
      </c>
      <c r="X86" s="6" t="s">
        <v>221</v>
      </c>
      <c r="Y86" s="6" t="s">
        <v>74</v>
      </c>
      <c r="Z86" s="6" t="s">
        <v>1038</v>
      </c>
      <c r="AA86" s="6" t="s">
        <v>74</v>
      </c>
      <c r="AB86" s="6" t="s">
        <v>74</v>
      </c>
      <c r="AC86" s="6" t="s">
        <v>75</v>
      </c>
      <c r="AD86" s="6" t="s">
        <v>75</v>
      </c>
      <c r="AE86" s="6" t="s">
        <v>75</v>
      </c>
      <c r="AF86" s="6" t="s">
        <v>75</v>
      </c>
      <c r="AG86" s="6" t="s">
        <v>75</v>
      </c>
      <c r="AH86" s="6" t="s">
        <v>79</v>
      </c>
      <c r="AI86" s="6" t="s">
        <v>79</v>
      </c>
      <c r="AJ86" s="6" t="s">
        <v>79</v>
      </c>
      <c r="AK86" s="6" t="s">
        <v>79</v>
      </c>
      <c r="AL86" s="6" t="s">
        <v>1029</v>
      </c>
      <c r="AM86" s="6" t="s">
        <v>1031</v>
      </c>
      <c r="AN86" s="7" t="str">
        <f aca="false">BA86&amp;", "&amp;AZ86</f>
        <v>Non-Creamy Layer (OBC / EBC) Certificate – Application, BASUDHA Kendra, Devmobile Stores, नॉन-क्रीमी लेयर (OBC / EBC) प्रमाण पत्र – आवेदन, बसुधा केंद्र, सेवा</v>
      </c>
      <c r="AO86" s="6" t="s">
        <v>1090</v>
      </c>
      <c r="AP86" s="5" t="s">
        <v>1040</v>
      </c>
      <c r="AQ86" s="5" t="n">
        <v>50</v>
      </c>
      <c r="AR86" s="6" t="s">
        <v>1041</v>
      </c>
      <c r="AS86" s="6" t="s">
        <v>1042</v>
      </c>
      <c r="AT86" s="6" t="s">
        <v>86</v>
      </c>
      <c r="AU86" s="10"/>
      <c r="AV86" s="6" t="s">
        <v>75</v>
      </c>
      <c r="AW86" s="6"/>
      <c r="AX86" s="6" t="s">
        <v>1091</v>
      </c>
      <c r="AY86" s="6" t="s">
        <v>1092</v>
      </c>
      <c r="AZ86" s="6" t="s">
        <v>1093</v>
      </c>
      <c r="BA86" s="6" t="s">
        <v>1094</v>
      </c>
      <c r="BB86" s="6"/>
      <c r="BC86" s="11" t="str">
        <f aca="false">IFERROR(INDEX(CATEGORY_MASTER!$C$4:$C$30,MATCH(B86,CATEGORY_MASTER!$A$4:$A$30,0)),"")</f>
        <v>🏛️</v>
      </c>
      <c r="BD86" s="7" t="str">
        <f aca="false">"/services/"&amp;AO86</f>
        <v>/services/non-creamy-layer-obc-ebc-certificate-application</v>
      </c>
      <c r="BE86" s="7" t="str">
        <f aca="false">IF(AND(AH86="Yes",AG86="Active",I86&lt;&gt;"Not Available"),"LIVE","HIDDEN")</f>
        <v>HIDDEN</v>
      </c>
      <c r="BF86" s="6" t="s">
        <v>139</v>
      </c>
      <c r="BG86" s="6" t="s">
        <v>93</v>
      </c>
      <c r="BH86" s="7" t="str">
        <f aca="false">B86&amp;"|"&amp;COUNTIF($B$4:B86,B86)</f>
        <v>BASUDHA Kendra|5</v>
      </c>
      <c r="BI86" s="7" t="str">
        <f aca="false">IF(AND(AI86="Yes",BE86="LIVE"),COUNTIFS($AI$4:AI86,"Yes",$BE$4:BE86,"LIVE"),"")</f>
        <v/>
      </c>
      <c r="BJ86" s="7" t="str">
        <f aca="false">IF(AND(AJ86="Yes",BE86="LIVE"),COUNTIFS($AJ$4:AJ86,"Yes",$BE$4:BE86,"LIVE"),"")</f>
        <v/>
      </c>
      <c r="BK86" s="7" t="str">
        <f aca="false">IF(AND(AK86="Yes",BE86="LIVE"),COUNTIFS($AK$4:AK86,"Yes",$BE$4:BE86,"LIVE"),"")</f>
        <v/>
      </c>
      <c r="BL86" s="7" t="str">
        <f aca="false">IF(I86="To Verify",COUNTIF($I$4:I86,"To Verify"),"")</f>
        <v/>
      </c>
    </row>
    <row r="87" customFormat="false" ht="91" hidden="false" customHeight="false" outlineLevel="0" collapsed="false">
      <c r="A87" s="5" t="s">
        <v>1095</v>
      </c>
      <c r="B87" s="6" t="s">
        <v>1029</v>
      </c>
      <c r="C87" s="6" t="s">
        <v>1030</v>
      </c>
      <c r="D87" s="6" t="s">
        <v>1031</v>
      </c>
      <c r="E87" s="6" t="s">
        <v>1096</v>
      </c>
      <c r="F87" s="6" t="s">
        <v>1097</v>
      </c>
      <c r="G87" s="6" t="s">
        <v>1098</v>
      </c>
      <c r="H87" s="6" t="s">
        <v>1099</v>
      </c>
      <c r="I87" s="5" t="s">
        <v>75</v>
      </c>
      <c r="J87" s="7" t="str">
        <f aca="false">IFERROR(INDEX(AVAILABILITY_MASTER!$C$4:$C$10,MATCH(I87,AVAILABILITY_MASTER!$A$4:$A$10,0)),"To Be Confirmed")</f>
        <v>To Be Confirmed</v>
      </c>
      <c r="K87" s="6" t="s">
        <v>129</v>
      </c>
      <c r="L87" s="6" t="s">
        <v>75</v>
      </c>
      <c r="M87" s="7" t="str">
        <f aca="false">IFERROR(INDEX(SERVICE_DOCUMENTS!$S$4:$S$1000,MATCH(A87,SERVICE_DOCUMENTS!$A$4:$A$1000,0))&amp;"","")</f>
        <v>✓ Aadhaar Card
✓ Passport Photo
✓ Active Mobile Number</v>
      </c>
      <c r="N87" s="7" t="str">
        <f aca="false">IFERROR(INDEX(SERVICE_DOCUMENTS!$T$4:$T$1000,MATCH(A87,SERVICE_DOCUMENTS!$A$4:$A$1000,0))&amp;"","")</f>
        <v>• Address Proof (To Verify)
• Existing Certificate / Document (To Verify)</v>
      </c>
      <c r="O87" s="6" t="s">
        <v>1100</v>
      </c>
      <c r="P87" s="6" t="s">
        <v>1101</v>
      </c>
      <c r="Q87" s="6" t="s">
        <v>78</v>
      </c>
      <c r="R87" s="8" t="s">
        <v>75</v>
      </c>
      <c r="S87" s="8" t="s">
        <v>75</v>
      </c>
      <c r="T87" s="9" t="str">
        <f aca="false">IF(AND(OR(ISNUMBER(R87),R87="N/A"),OR(ISNUMBER(S87),S87="N/A"),OR(ISNUMBER(R87),ISNUMBER(S87))),N(R87)+N(S87),"To Verify")</f>
        <v>To Verify</v>
      </c>
      <c r="U87" s="6" t="s">
        <v>75</v>
      </c>
      <c r="V87" s="6" t="s">
        <v>79</v>
      </c>
      <c r="W87" s="6" t="s">
        <v>80</v>
      </c>
      <c r="X87" s="6" t="s">
        <v>221</v>
      </c>
      <c r="Y87" s="6" t="s">
        <v>74</v>
      </c>
      <c r="Z87" s="6" t="s">
        <v>1038</v>
      </c>
      <c r="AA87" s="6" t="s">
        <v>74</v>
      </c>
      <c r="AB87" s="6" t="s">
        <v>74</v>
      </c>
      <c r="AC87" s="6" t="s">
        <v>75</v>
      </c>
      <c r="AD87" s="6" t="s">
        <v>75</v>
      </c>
      <c r="AE87" s="6" t="s">
        <v>75</v>
      </c>
      <c r="AF87" s="6" t="s">
        <v>75</v>
      </c>
      <c r="AG87" s="6" t="s">
        <v>75</v>
      </c>
      <c r="AH87" s="6" t="s">
        <v>79</v>
      </c>
      <c r="AI87" s="6" t="s">
        <v>79</v>
      </c>
      <c r="AJ87" s="6" t="s">
        <v>79</v>
      </c>
      <c r="AK87" s="6" t="s">
        <v>79</v>
      </c>
      <c r="AL87" s="6" t="s">
        <v>1029</v>
      </c>
      <c r="AM87" s="6" t="s">
        <v>1031</v>
      </c>
      <c r="AN87" s="7" t="str">
        <f aca="false">BA87&amp;", "&amp;AZ87</f>
        <v>Birth Certificate – Application, BASUDHA Kendra, Devmobile Stores, जन्म प्रमाण पत्र – आवेदन, बसुधा केंद्र, सेवा</v>
      </c>
      <c r="AO87" s="6" t="s">
        <v>1102</v>
      </c>
      <c r="AP87" s="5" t="s">
        <v>1040</v>
      </c>
      <c r="AQ87" s="5" t="n">
        <v>60</v>
      </c>
      <c r="AR87" s="6" t="s">
        <v>1041</v>
      </c>
      <c r="AS87" s="6" t="s">
        <v>1042</v>
      </c>
      <c r="AT87" s="6" t="s">
        <v>86</v>
      </c>
      <c r="AU87" s="10"/>
      <c r="AV87" s="6" t="s">
        <v>75</v>
      </c>
      <c r="AW87" s="6"/>
      <c r="AX87" s="6" t="s">
        <v>1103</v>
      </c>
      <c r="AY87" s="6" t="s">
        <v>1104</v>
      </c>
      <c r="AZ87" s="6" t="s">
        <v>1105</v>
      </c>
      <c r="BA87" s="6" t="s">
        <v>1106</v>
      </c>
      <c r="BB87" s="6"/>
      <c r="BC87" s="11" t="str">
        <f aca="false">IFERROR(INDEX(CATEGORY_MASTER!$C$4:$C$30,MATCH(B87,CATEGORY_MASTER!$A$4:$A$30,0)),"")</f>
        <v>🏛️</v>
      </c>
      <c r="BD87" s="7" t="str">
        <f aca="false">"/services/"&amp;AO87</f>
        <v>/services/birth-certificate-application</v>
      </c>
      <c r="BE87" s="7" t="str">
        <f aca="false">IF(AND(AH87="Yes",AG87="Active",I87&lt;&gt;"Not Available"),"LIVE","HIDDEN")</f>
        <v>HIDDEN</v>
      </c>
      <c r="BF87" s="6" t="s">
        <v>139</v>
      </c>
      <c r="BG87" s="6" t="s">
        <v>93</v>
      </c>
      <c r="BH87" s="7" t="str">
        <f aca="false">B87&amp;"|"&amp;COUNTIF($B$4:B87,B87)</f>
        <v>BASUDHA Kendra|6</v>
      </c>
      <c r="BI87" s="7" t="str">
        <f aca="false">IF(AND(AI87="Yes",BE87="LIVE"),COUNTIFS($AI$4:AI87,"Yes",$BE$4:BE87,"LIVE"),"")</f>
        <v/>
      </c>
      <c r="BJ87" s="7" t="str">
        <f aca="false">IF(AND(AJ87="Yes",BE87="LIVE"),COUNTIFS($AJ$4:AJ87,"Yes",$BE$4:BE87,"LIVE"),"")</f>
        <v/>
      </c>
      <c r="BK87" s="7" t="str">
        <f aca="false">IF(AND(AK87="Yes",BE87="LIVE"),COUNTIFS($AK$4:AK87,"Yes",$BE$4:BE87,"LIVE"),"")</f>
        <v/>
      </c>
      <c r="BL87" s="7" t="n">
        <f aca="false">IF(I87="To Verify",COUNTIF($I$4:I87,"To Verify"),"")</f>
        <v>20</v>
      </c>
    </row>
    <row r="88" customFormat="false" ht="91" hidden="false" customHeight="false" outlineLevel="0" collapsed="false">
      <c r="A88" s="5" t="s">
        <v>1107</v>
      </c>
      <c r="B88" s="6" t="s">
        <v>1029</v>
      </c>
      <c r="C88" s="6" t="s">
        <v>1030</v>
      </c>
      <c r="D88" s="6" t="s">
        <v>1031</v>
      </c>
      <c r="E88" s="6" t="s">
        <v>1108</v>
      </c>
      <c r="F88" s="6" t="s">
        <v>1109</v>
      </c>
      <c r="G88" s="6" t="s">
        <v>1110</v>
      </c>
      <c r="H88" s="6" t="s">
        <v>1111</v>
      </c>
      <c r="I88" s="5" t="s">
        <v>75</v>
      </c>
      <c r="J88" s="7" t="str">
        <f aca="false">IFERROR(INDEX(AVAILABILITY_MASTER!$C$4:$C$10,MATCH(I88,AVAILABILITY_MASTER!$A$4:$A$10,0)),"To Be Confirmed")</f>
        <v>To Be Confirmed</v>
      </c>
      <c r="K88" s="6" t="s">
        <v>129</v>
      </c>
      <c r="L88" s="6" t="s">
        <v>75</v>
      </c>
      <c r="M88" s="7" t="str">
        <f aca="false">IFERROR(INDEX(SERVICE_DOCUMENTS!$S$4:$S$1000,MATCH(A88,SERVICE_DOCUMENTS!$A$4:$A$1000,0))&amp;"","")</f>
        <v>✓ Aadhaar Card
✓ Passport Photo
✓ Active Mobile Number</v>
      </c>
      <c r="N88" s="7" t="str">
        <f aca="false">IFERROR(INDEX(SERVICE_DOCUMENTS!$T$4:$T$1000,MATCH(A88,SERVICE_DOCUMENTS!$A$4:$A$1000,0))&amp;"","")</f>
        <v>• Address Proof (To Verify)
• Existing Certificate / Document (To Verify)</v>
      </c>
      <c r="O88" s="6" t="s">
        <v>1112</v>
      </c>
      <c r="P88" s="6" t="s">
        <v>1113</v>
      </c>
      <c r="Q88" s="6" t="s">
        <v>78</v>
      </c>
      <c r="R88" s="8" t="s">
        <v>75</v>
      </c>
      <c r="S88" s="8" t="s">
        <v>75</v>
      </c>
      <c r="T88" s="9" t="str">
        <f aca="false">IF(AND(OR(ISNUMBER(R88),R88="N/A"),OR(ISNUMBER(S88),S88="N/A"),OR(ISNUMBER(R88),ISNUMBER(S88))),N(R88)+N(S88),"To Verify")</f>
        <v>To Verify</v>
      </c>
      <c r="U88" s="6" t="s">
        <v>75</v>
      </c>
      <c r="V88" s="6" t="s">
        <v>79</v>
      </c>
      <c r="W88" s="6" t="s">
        <v>80</v>
      </c>
      <c r="X88" s="6" t="s">
        <v>221</v>
      </c>
      <c r="Y88" s="6" t="s">
        <v>74</v>
      </c>
      <c r="Z88" s="6" t="s">
        <v>1038</v>
      </c>
      <c r="AA88" s="6" t="s">
        <v>74</v>
      </c>
      <c r="AB88" s="6" t="s">
        <v>74</v>
      </c>
      <c r="AC88" s="6" t="s">
        <v>75</v>
      </c>
      <c r="AD88" s="6" t="s">
        <v>75</v>
      </c>
      <c r="AE88" s="6" t="s">
        <v>75</v>
      </c>
      <c r="AF88" s="6" t="s">
        <v>75</v>
      </c>
      <c r="AG88" s="6" t="s">
        <v>75</v>
      </c>
      <c r="AH88" s="6" t="s">
        <v>79</v>
      </c>
      <c r="AI88" s="6" t="s">
        <v>79</v>
      </c>
      <c r="AJ88" s="6" t="s">
        <v>79</v>
      </c>
      <c r="AK88" s="6" t="s">
        <v>79</v>
      </c>
      <c r="AL88" s="6" t="s">
        <v>1029</v>
      </c>
      <c r="AM88" s="6" t="s">
        <v>1031</v>
      </c>
      <c r="AN88" s="7" t="str">
        <f aca="false">BA88&amp;", "&amp;AZ88</f>
        <v>Death Certificate – Application, BASUDHA Kendra, Devmobile Stores, मृत्यु प्रमाण पत्र – आवेदन, बसुधा केंद्र, सेवा</v>
      </c>
      <c r="AO88" s="6" t="s">
        <v>1114</v>
      </c>
      <c r="AP88" s="5" t="s">
        <v>1040</v>
      </c>
      <c r="AQ88" s="5" t="n">
        <v>70</v>
      </c>
      <c r="AR88" s="6" t="s">
        <v>1041</v>
      </c>
      <c r="AS88" s="6" t="s">
        <v>1042</v>
      </c>
      <c r="AT88" s="6" t="s">
        <v>86</v>
      </c>
      <c r="AU88" s="10"/>
      <c r="AV88" s="6" t="s">
        <v>75</v>
      </c>
      <c r="AW88" s="6"/>
      <c r="AX88" s="6" t="s">
        <v>1115</v>
      </c>
      <c r="AY88" s="6" t="s">
        <v>1116</v>
      </c>
      <c r="AZ88" s="6" t="s">
        <v>1117</v>
      </c>
      <c r="BA88" s="6" t="s">
        <v>1118</v>
      </c>
      <c r="BB88" s="6"/>
      <c r="BC88" s="11" t="str">
        <f aca="false">IFERROR(INDEX(CATEGORY_MASTER!$C$4:$C$30,MATCH(B88,CATEGORY_MASTER!$A$4:$A$30,0)),"")</f>
        <v>🏛️</v>
      </c>
      <c r="BD88" s="7" t="str">
        <f aca="false">"/services/"&amp;AO88</f>
        <v>/services/death-certificate-application</v>
      </c>
      <c r="BE88" s="7" t="str">
        <f aca="false">IF(AND(AH88="Yes",AG88="Active",I88&lt;&gt;"Not Available"),"LIVE","HIDDEN")</f>
        <v>HIDDEN</v>
      </c>
      <c r="BF88" s="6" t="s">
        <v>139</v>
      </c>
      <c r="BG88" s="6" t="s">
        <v>93</v>
      </c>
      <c r="BH88" s="7" t="str">
        <f aca="false">B88&amp;"|"&amp;COUNTIF($B$4:B88,B88)</f>
        <v>BASUDHA Kendra|7</v>
      </c>
      <c r="BI88" s="7" t="str">
        <f aca="false">IF(AND(AI88="Yes",BE88="LIVE"),COUNTIFS($AI$4:AI88,"Yes",$BE$4:BE88,"LIVE"),"")</f>
        <v/>
      </c>
      <c r="BJ88" s="7" t="str">
        <f aca="false">IF(AND(AJ88="Yes",BE88="LIVE"),COUNTIFS($AJ$4:AJ88,"Yes",$BE$4:BE88,"LIVE"),"")</f>
        <v/>
      </c>
      <c r="BK88" s="7" t="str">
        <f aca="false">IF(AND(AK88="Yes",BE88="LIVE"),COUNTIFS($AK$4:AK88,"Yes",$BE$4:BE88,"LIVE"),"")</f>
        <v/>
      </c>
      <c r="BL88" s="7" t="n">
        <f aca="false">IF(I88="To Verify",COUNTIF($I$4:I88,"To Verify"),"")</f>
        <v>21</v>
      </c>
    </row>
    <row r="89" customFormat="false" ht="91" hidden="false" customHeight="false" outlineLevel="0" collapsed="false">
      <c r="A89" s="5" t="s">
        <v>1119</v>
      </c>
      <c r="B89" s="6" t="s">
        <v>1029</v>
      </c>
      <c r="C89" s="6" t="s">
        <v>1030</v>
      </c>
      <c r="D89" s="6" t="s">
        <v>1031</v>
      </c>
      <c r="E89" s="6" t="s">
        <v>1120</v>
      </c>
      <c r="F89" s="6" t="s">
        <v>1121</v>
      </c>
      <c r="G89" s="6" t="s">
        <v>1122</v>
      </c>
      <c r="H89" s="6" t="s">
        <v>1123</v>
      </c>
      <c r="I89" s="5" t="s">
        <v>75</v>
      </c>
      <c r="J89" s="7" t="str">
        <f aca="false">IFERROR(INDEX(AVAILABILITY_MASTER!$C$4:$C$10,MATCH(I89,AVAILABILITY_MASTER!$A$4:$A$10,0)),"To Be Confirmed")</f>
        <v>To Be Confirmed</v>
      </c>
      <c r="K89" s="6" t="s">
        <v>129</v>
      </c>
      <c r="L89" s="6" t="s">
        <v>75</v>
      </c>
      <c r="M89" s="7" t="str">
        <f aca="false">IFERROR(INDEX(SERVICE_DOCUMENTS!$S$4:$S$1000,MATCH(A89,SERVICE_DOCUMENTS!$A$4:$A$1000,0))&amp;"","")</f>
        <v>✓ Aadhaar Card
✓ Passport Photo
✓ Active Mobile Number</v>
      </c>
      <c r="N89" s="7" t="str">
        <f aca="false">IFERROR(INDEX(SERVICE_DOCUMENTS!$T$4:$T$1000,MATCH(A89,SERVICE_DOCUMENTS!$A$4:$A$1000,0))&amp;"","")</f>
        <v>• Address Proof (To Verify)
• Existing Certificate / Document (To Verify)</v>
      </c>
      <c r="O89" s="6" t="s">
        <v>1124</v>
      </c>
      <c r="P89" s="6" t="s">
        <v>1125</v>
      </c>
      <c r="Q89" s="6" t="s">
        <v>78</v>
      </c>
      <c r="R89" s="8" t="s">
        <v>75</v>
      </c>
      <c r="S89" s="8" t="s">
        <v>75</v>
      </c>
      <c r="T89" s="9" t="str">
        <f aca="false">IF(AND(OR(ISNUMBER(R89),R89="N/A"),OR(ISNUMBER(S89),S89="N/A"),OR(ISNUMBER(R89),ISNUMBER(S89))),N(R89)+N(S89),"To Verify")</f>
        <v>To Verify</v>
      </c>
      <c r="U89" s="6" t="s">
        <v>75</v>
      </c>
      <c r="V89" s="6" t="s">
        <v>79</v>
      </c>
      <c r="W89" s="6" t="s">
        <v>80</v>
      </c>
      <c r="X89" s="6" t="s">
        <v>221</v>
      </c>
      <c r="Y89" s="6" t="s">
        <v>74</v>
      </c>
      <c r="Z89" s="6" t="s">
        <v>1038</v>
      </c>
      <c r="AA89" s="6" t="s">
        <v>74</v>
      </c>
      <c r="AB89" s="6" t="s">
        <v>74</v>
      </c>
      <c r="AC89" s="6" t="s">
        <v>75</v>
      </c>
      <c r="AD89" s="6" t="s">
        <v>75</v>
      </c>
      <c r="AE89" s="6" t="s">
        <v>75</v>
      </c>
      <c r="AF89" s="6" t="s">
        <v>75</v>
      </c>
      <c r="AG89" s="6" t="s">
        <v>75</v>
      </c>
      <c r="AH89" s="6" t="s">
        <v>79</v>
      </c>
      <c r="AI89" s="6" t="s">
        <v>79</v>
      </c>
      <c r="AJ89" s="6" t="s">
        <v>79</v>
      </c>
      <c r="AK89" s="6" t="s">
        <v>79</v>
      </c>
      <c r="AL89" s="6" t="s">
        <v>1029</v>
      </c>
      <c r="AM89" s="6" t="s">
        <v>1031</v>
      </c>
      <c r="AN89" s="7" t="str">
        <f aca="false">BA89&amp;", "&amp;AZ89</f>
        <v>Marriage Registration / Certificate – Application, BASUDHA Kendra, Devmobile Stores, विवाह पंजीकरण / प्रमाण पत्र – आवेदन, बसुधा केंद्र, सेवा</v>
      </c>
      <c r="AO89" s="6" t="s">
        <v>1126</v>
      </c>
      <c r="AP89" s="5" t="s">
        <v>1040</v>
      </c>
      <c r="AQ89" s="5" t="n">
        <v>80</v>
      </c>
      <c r="AR89" s="6" t="s">
        <v>1041</v>
      </c>
      <c r="AS89" s="6" t="s">
        <v>1042</v>
      </c>
      <c r="AT89" s="6" t="s">
        <v>86</v>
      </c>
      <c r="AU89" s="10"/>
      <c r="AV89" s="6" t="s">
        <v>75</v>
      </c>
      <c r="AW89" s="6"/>
      <c r="AX89" s="6" t="s">
        <v>1127</v>
      </c>
      <c r="AY89" s="6" t="s">
        <v>1128</v>
      </c>
      <c r="AZ89" s="6" t="s">
        <v>1129</v>
      </c>
      <c r="BA89" s="6" t="s">
        <v>1130</v>
      </c>
      <c r="BB89" s="6"/>
      <c r="BC89" s="11" t="str">
        <f aca="false">IFERROR(INDEX(CATEGORY_MASTER!$C$4:$C$30,MATCH(B89,CATEGORY_MASTER!$A$4:$A$30,0)),"")</f>
        <v>🏛️</v>
      </c>
      <c r="BD89" s="7" t="str">
        <f aca="false">"/services/"&amp;AO89</f>
        <v>/services/marriage-registration-certificate-application</v>
      </c>
      <c r="BE89" s="7" t="str">
        <f aca="false">IF(AND(AH89="Yes",AG89="Active",I89&lt;&gt;"Not Available"),"LIVE","HIDDEN")</f>
        <v>HIDDEN</v>
      </c>
      <c r="BF89" s="6" t="s">
        <v>139</v>
      </c>
      <c r="BG89" s="6" t="s">
        <v>93</v>
      </c>
      <c r="BH89" s="7" t="str">
        <f aca="false">B89&amp;"|"&amp;COUNTIF($B$4:B89,B89)</f>
        <v>BASUDHA Kendra|8</v>
      </c>
      <c r="BI89" s="7" t="str">
        <f aca="false">IF(AND(AI89="Yes",BE89="LIVE"),COUNTIFS($AI$4:AI89,"Yes",$BE$4:BE89,"LIVE"),"")</f>
        <v/>
      </c>
      <c r="BJ89" s="7" t="str">
        <f aca="false">IF(AND(AJ89="Yes",BE89="LIVE"),COUNTIFS($AJ$4:AJ89,"Yes",$BE$4:BE89,"LIVE"),"")</f>
        <v/>
      </c>
      <c r="BK89" s="7" t="str">
        <f aca="false">IF(AND(AK89="Yes",BE89="LIVE"),COUNTIFS($AK$4:AK89,"Yes",$BE$4:BE89,"LIVE"),"")</f>
        <v/>
      </c>
      <c r="BL89" s="7" t="n">
        <f aca="false">IF(I89="To Verify",COUNTIF($I$4:I89,"To Verify"),"")</f>
        <v>22</v>
      </c>
    </row>
    <row r="90" customFormat="false" ht="91" hidden="false" customHeight="false" outlineLevel="0" collapsed="false">
      <c r="A90" s="5" t="s">
        <v>1131</v>
      </c>
      <c r="B90" s="6" t="s">
        <v>1029</v>
      </c>
      <c r="C90" s="6" t="s">
        <v>1030</v>
      </c>
      <c r="D90" s="6" t="s">
        <v>1031</v>
      </c>
      <c r="E90" s="6" t="s">
        <v>1132</v>
      </c>
      <c r="F90" s="6" t="s">
        <v>1133</v>
      </c>
      <c r="G90" s="6" t="s">
        <v>1134</v>
      </c>
      <c r="H90" s="6" t="s">
        <v>1135</v>
      </c>
      <c r="I90" s="5" t="s">
        <v>75</v>
      </c>
      <c r="J90" s="7" t="str">
        <f aca="false">IFERROR(INDEX(AVAILABILITY_MASTER!$C$4:$C$10,MATCH(I90,AVAILABILITY_MASTER!$A$4:$A$10,0)),"To Be Confirmed")</f>
        <v>To Be Confirmed</v>
      </c>
      <c r="K90" s="6" t="s">
        <v>129</v>
      </c>
      <c r="L90" s="6" t="s">
        <v>75</v>
      </c>
      <c r="M90" s="7" t="str">
        <f aca="false">IFERROR(INDEX(SERVICE_DOCUMENTS!$S$4:$S$1000,MATCH(A90,SERVICE_DOCUMENTS!$A$4:$A$1000,0))&amp;"","")</f>
        <v>✓ Aadhaar Card
✓ Passport Photo
✓ Active Mobile Number</v>
      </c>
      <c r="N90" s="7" t="str">
        <f aca="false">IFERROR(INDEX(SERVICE_DOCUMENTS!$T$4:$T$1000,MATCH(A90,SERVICE_DOCUMENTS!$A$4:$A$1000,0))&amp;"","")</f>
        <v>• Address Proof (To Verify)</v>
      </c>
      <c r="O90" s="6" t="s">
        <v>1136</v>
      </c>
      <c r="P90" s="6" t="s">
        <v>1137</v>
      </c>
      <c r="Q90" s="6" t="s">
        <v>78</v>
      </c>
      <c r="R90" s="8" t="s">
        <v>75</v>
      </c>
      <c r="S90" s="8" t="s">
        <v>75</v>
      </c>
      <c r="T90" s="9" t="str">
        <f aca="false">IF(AND(OR(ISNUMBER(R90),R90="N/A"),OR(ISNUMBER(S90),S90="N/A"),OR(ISNUMBER(R90),ISNUMBER(S90))),N(R90)+N(S90),"To Verify")</f>
        <v>To Verify</v>
      </c>
      <c r="U90" s="6" t="s">
        <v>75</v>
      </c>
      <c r="V90" s="6" t="s">
        <v>79</v>
      </c>
      <c r="W90" s="6" t="s">
        <v>80</v>
      </c>
      <c r="X90" s="6" t="s">
        <v>221</v>
      </c>
      <c r="Y90" s="6" t="s">
        <v>74</v>
      </c>
      <c r="Z90" s="6" t="s">
        <v>1038</v>
      </c>
      <c r="AA90" s="6" t="s">
        <v>74</v>
      </c>
      <c r="AB90" s="6" t="s">
        <v>74</v>
      </c>
      <c r="AC90" s="6" t="s">
        <v>75</v>
      </c>
      <c r="AD90" s="6" t="s">
        <v>75</v>
      </c>
      <c r="AE90" s="6" t="s">
        <v>75</v>
      </c>
      <c r="AF90" s="6" t="s">
        <v>75</v>
      </c>
      <c r="AG90" s="6" t="s">
        <v>75</v>
      </c>
      <c r="AH90" s="6" t="s">
        <v>79</v>
      </c>
      <c r="AI90" s="6" t="s">
        <v>79</v>
      </c>
      <c r="AJ90" s="6" t="s">
        <v>79</v>
      </c>
      <c r="AK90" s="6" t="s">
        <v>79</v>
      </c>
      <c r="AL90" s="6" t="s">
        <v>1029</v>
      </c>
      <c r="AM90" s="6" t="s">
        <v>1031</v>
      </c>
      <c r="AN90" s="7" t="str">
        <f aca="false">BA90&amp;", "&amp;AZ90</f>
        <v>Character Certificate – Application, BASUDHA Kendra, Devmobile Stores, चरित्र प्रमाण पत्र – आवेदन, बसुधा केंद्र, सेवा</v>
      </c>
      <c r="AO90" s="6" t="s">
        <v>1138</v>
      </c>
      <c r="AP90" s="5" t="s">
        <v>1040</v>
      </c>
      <c r="AQ90" s="5" t="n">
        <v>90</v>
      </c>
      <c r="AR90" s="6" t="s">
        <v>1041</v>
      </c>
      <c r="AS90" s="6" t="s">
        <v>1042</v>
      </c>
      <c r="AT90" s="6" t="s">
        <v>86</v>
      </c>
      <c r="AU90" s="10"/>
      <c r="AV90" s="6" t="s">
        <v>75</v>
      </c>
      <c r="AW90" s="6"/>
      <c r="AX90" s="6" t="s">
        <v>1139</v>
      </c>
      <c r="AY90" s="6" t="s">
        <v>1140</v>
      </c>
      <c r="AZ90" s="6" t="s">
        <v>1141</v>
      </c>
      <c r="BA90" s="6" t="s">
        <v>1142</v>
      </c>
      <c r="BB90" s="6"/>
      <c r="BC90" s="11" t="str">
        <f aca="false">IFERROR(INDEX(CATEGORY_MASTER!$C$4:$C$30,MATCH(B90,CATEGORY_MASTER!$A$4:$A$30,0)),"")</f>
        <v>🏛️</v>
      </c>
      <c r="BD90" s="7" t="str">
        <f aca="false">"/services/"&amp;AO90</f>
        <v>/services/character-certificate-application</v>
      </c>
      <c r="BE90" s="7" t="str">
        <f aca="false">IF(AND(AH90="Yes",AG90="Active",I90&lt;&gt;"Not Available"),"LIVE","HIDDEN")</f>
        <v>HIDDEN</v>
      </c>
      <c r="BF90" s="6" t="s">
        <v>139</v>
      </c>
      <c r="BG90" s="6" t="s">
        <v>93</v>
      </c>
      <c r="BH90" s="7" t="str">
        <f aca="false">B90&amp;"|"&amp;COUNTIF($B$4:B90,B90)</f>
        <v>BASUDHA Kendra|9</v>
      </c>
      <c r="BI90" s="7" t="str">
        <f aca="false">IF(AND(AI90="Yes",BE90="LIVE"),COUNTIFS($AI$4:AI90,"Yes",$BE$4:BE90,"LIVE"),"")</f>
        <v/>
      </c>
      <c r="BJ90" s="7" t="str">
        <f aca="false">IF(AND(AJ90="Yes",BE90="LIVE"),COUNTIFS($AJ$4:AJ90,"Yes",$BE$4:BE90,"LIVE"),"")</f>
        <v/>
      </c>
      <c r="BK90" s="7" t="str">
        <f aca="false">IF(AND(AK90="Yes",BE90="LIVE"),COUNTIFS($AK$4:AK90,"Yes",$BE$4:BE90,"LIVE"),"")</f>
        <v/>
      </c>
      <c r="BL90" s="7" t="n">
        <f aca="false">IF(I90="To Verify",COUNTIF($I$4:I90,"To Verify"),"")</f>
        <v>23</v>
      </c>
    </row>
    <row r="91" customFormat="false" ht="91" hidden="false" customHeight="false" outlineLevel="0" collapsed="false">
      <c r="A91" s="5" t="s">
        <v>1143</v>
      </c>
      <c r="B91" s="6" t="s">
        <v>1029</v>
      </c>
      <c r="C91" s="6" t="s">
        <v>1030</v>
      </c>
      <c r="D91" s="6" t="s">
        <v>1031</v>
      </c>
      <c r="E91" s="6" t="s">
        <v>1144</v>
      </c>
      <c r="F91" s="6" t="s">
        <v>1145</v>
      </c>
      <c r="G91" s="6" t="s">
        <v>1146</v>
      </c>
      <c r="H91" s="6" t="s">
        <v>1147</v>
      </c>
      <c r="I91" s="5" t="s">
        <v>75</v>
      </c>
      <c r="J91" s="7" t="str">
        <f aca="false">IFERROR(INDEX(AVAILABILITY_MASTER!$C$4:$C$10,MATCH(I91,AVAILABILITY_MASTER!$A$4:$A$10,0)),"To Be Confirmed")</f>
        <v>To Be Confirmed</v>
      </c>
      <c r="K91" s="6" t="s">
        <v>129</v>
      </c>
      <c r="L91" s="6" t="s">
        <v>75</v>
      </c>
      <c r="M91" s="7" t="str">
        <f aca="false">IFERROR(INDEX(SERVICE_DOCUMENTS!$S$4:$S$1000,MATCH(A91,SERVICE_DOCUMENTS!$A$4:$A$1000,0))&amp;"","")</f>
        <v>✓ Aadhaar Card
✓ Passport Photo
✓ Active Mobile Number</v>
      </c>
      <c r="N91" s="7" t="str">
        <f aca="false">IFERROR(INDEX(SERVICE_DOCUMENTS!$T$4:$T$1000,MATCH(A91,SERVICE_DOCUMENTS!$A$4:$A$1000,0))&amp;"","")</f>
        <v>• Address Proof (To Verify)</v>
      </c>
      <c r="O91" s="6" t="s">
        <v>1148</v>
      </c>
      <c r="P91" s="6" t="s">
        <v>1149</v>
      </c>
      <c r="Q91" s="6" t="s">
        <v>78</v>
      </c>
      <c r="R91" s="8" t="s">
        <v>75</v>
      </c>
      <c r="S91" s="8" t="s">
        <v>75</v>
      </c>
      <c r="T91" s="9" t="str">
        <f aca="false">IF(AND(OR(ISNUMBER(R91),R91="N/A"),OR(ISNUMBER(S91),S91="N/A"),OR(ISNUMBER(R91),ISNUMBER(S91))),N(R91)+N(S91),"To Verify")</f>
        <v>To Verify</v>
      </c>
      <c r="U91" s="6" t="s">
        <v>75</v>
      </c>
      <c r="V91" s="6" t="s">
        <v>79</v>
      </c>
      <c r="W91" s="6" t="s">
        <v>80</v>
      </c>
      <c r="X91" s="6" t="s">
        <v>221</v>
      </c>
      <c r="Y91" s="6" t="s">
        <v>74</v>
      </c>
      <c r="Z91" s="6" t="s">
        <v>1038</v>
      </c>
      <c r="AA91" s="6" t="s">
        <v>74</v>
      </c>
      <c r="AB91" s="6" t="s">
        <v>74</v>
      </c>
      <c r="AC91" s="6" t="s">
        <v>75</v>
      </c>
      <c r="AD91" s="6" t="s">
        <v>75</v>
      </c>
      <c r="AE91" s="6" t="s">
        <v>75</v>
      </c>
      <c r="AF91" s="6" t="s">
        <v>75</v>
      </c>
      <c r="AG91" s="6" t="s">
        <v>75</v>
      </c>
      <c r="AH91" s="6" t="s">
        <v>79</v>
      </c>
      <c r="AI91" s="6" t="s">
        <v>79</v>
      </c>
      <c r="AJ91" s="6" t="s">
        <v>79</v>
      </c>
      <c r="AK91" s="6" t="s">
        <v>79</v>
      </c>
      <c r="AL91" s="6" t="s">
        <v>1029</v>
      </c>
      <c r="AM91" s="6" t="s">
        <v>1031</v>
      </c>
      <c r="AN91" s="7" t="str">
        <f aca="false">BA91&amp;", "&amp;AZ91</f>
        <v>Certificate Correction / Re-application Assistance, BASUDHA Kendra, Devmobile Stores, प्रमाण पत्र सुधार / पुनः आवेदन सहायता, बसुधा केंद्र, सेवा</v>
      </c>
      <c r="AO91" s="6" t="s">
        <v>1150</v>
      </c>
      <c r="AP91" s="5" t="s">
        <v>1040</v>
      </c>
      <c r="AQ91" s="5" t="n">
        <v>100</v>
      </c>
      <c r="AR91" s="6" t="s">
        <v>1041</v>
      </c>
      <c r="AS91" s="6" t="s">
        <v>1042</v>
      </c>
      <c r="AT91" s="6" t="s">
        <v>86</v>
      </c>
      <c r="AU91" s="10"/>
      <c r="AV91" s="6" t="s">
        <v>75</v>
      </c>
      <c r="AW91" s="6"/>
      <c r="AX91" s="6" t="s">
        <v>1151</v>
      </c>
      <c r="AY91" s="6" t="s">
        <v>1152</v>
      </c>
      <c r="AZ91" s="6" t="s">
        <v>1153</v>
      </c>
      <c r="BA91" s="6" t="s">
        <v>1154</v>
      </c>
      <c r="BB91" s="6"/>
      <c r="BC91" s="11" t="str">
        <f aca="false">IFERROR(INDEX(CATEGORY_MASTER!$C$4:$C$30,MATCH(B91,CATEGORY_MASTER!$A$4:$A$30,0)),"")</f>
        <v>🏛️</v>
      </c>
      <c r="BD91" s="7" t="str">
        <f aca="false">"/services/"&amp;AO91</f>
        <v>/services/certificate-correction-re-application-assistance</v>
      </c>
      <c r="BE91" s="7" t="str">
        <f aca="false">IF(AND(AH91="Yes",AG91="Active",I91&lt;&gt;"Not Available"),"LIVE","HIDDEN")</f>
        <v>HIDDEN</v>
      </c>
      <c r="BF91" s="6" t="s">
        <v>139</v>
      </c>
      <c r="BG91" s="6" t="s">
        <v>93</v>
      </c>
      <c r="BH91" s="7" t="str">
        <f aca="false">B91&amp;"|"&amp;COUNTIF($B$4:B91,B91)</f>
        <v>BASUDHA Kendra|10</v>
      </c>
      <c r="BI91" s="7" t="str">
        <f aca="false">IF(AND(AI91="Yes",BE91="LIVE"),COUNTIFS($AI$4:AI91,"Yes",$BE$4:BE91,"LIVE"),"")</f>
        <v/>
      </c>
      <c r="BJ91" s="7" t="str">
        <f aca="false">IF(AND(AJ91="Yes",BE91="LIVE"),COUNTIFS($AJ$4:AJ91,"Yes",$BE$4:BE91,"LIVE"),"")</f>
        <v/>
      </c>
      <c r="BK91" s="7" t="str">
        <f aca="false">IF(AND(AK91="Yes",BE91="LIVE"),COUNTIFS($AK$4:AK91,"Yes",$BE$4:BE91,"LIVE"),"")</f>
        <v/>
      </c>
      <c r="BL91" s="7" t="n">
        <f aca="false">IF(I91="To Verify",COUNTIF($I$4:I91,"To Verify"),"")</f>
        <v>24</v>
      </c>
    </row>
    <row r="92" customFormat="false" ht="57.45" hidden="false" customHeight="false" outlineLevel="0" collapsed="false">
      <c r="A92" s="5" t="s">
        <v>1155</v>
      </c>
      <c r="B92" s="6" t="s">
        <v>1029</v>
      </c>
      <c r="C92" s="6" t="s">
        <v>1030</v>
      </c>
      <c r="D92" s="6" t="s">
        <v>1031</v>
      </c>
      <c r="E92" s="6" t="s">
        <v>1156</v>
      </c>
      <c r="F92" s="6" t="s">
        <v>1157</v>
      </c>
      <c r="G92" s="6" t="s">
        <v>1158</v>
      </c>
      <c r="H92" s="6" t="s">
        <v>1159</v>
      </c>
      <c r="I92" s="5" t="s">
        <v>221</v>
      </c>
      <c r="J92" s="7" t="str">
        <f aca="false">IFERROR(INDEX(AVAILABILITY_MASTER!$C$4:$C$10,MATCH(I92,AVAILABILITY_MASTER!$A$4:$A$10,0)),"To Be Confirmed")</f>
        <v>Depends on Portal – Confirm at Shop</v>
      </c>
      <c r="K92" s="6" t="s">
        <v>129</v>
      </c>
      <c r="L92" s="6" t="s">
        <v>221</v>
      </c>
      <c r="M92" s="7" t="str">
        <f aca="false">IFERROR(INDEX(SERVICE_DOCUMENTS!$S$4:$S$1000,MATCH(A92,SERVICE_DOCUMENTS!$A$4:$A$1000,0))&amp;"","")</f>
        <v>✓ Reference / Application Number</v>
      </c>
      <c r="N92" s="7" t="str">
        <f aca="false">IFERROR(INDEX(SERVICE_DOCUMENTS!$T$4:$T$1000,MATCH(A92,SERVICE_DOCUMENTS!$A$4:$A$1000,0))&amp;"","")</f>
        <v>• Active Mobile Number (If Applicable)</v>
      </c>
      <c r="O92" s="6" t="s">
        <v>645</v>
      </c>
      <c r="P92" s="6" t="s">
        <v>1160</v>
      </c>
      <c r="Q92" s="6" t="s">
        <v>371</v>
      </c>
      <c r="R92" s="8" t="s">
        <v>75</v>
      </c>
      <c r="S92" s="8" t="s">
        <v>75</v>
      </c>
      <c r="T92" s="9" t="str">
        <f aca="false">IF(AND(OR(ISNUMBER(R92),R92="N/A"),OR(ISNUMBER(S92),S92="N/A"),OR(ISNUMBER(R92),ISNUMBER(S92))),N(R92)+N(S92),"To Verify")</f>
        <v>To Verify</v>
      </c>
      <c r="U92" s="6" t="s">
        <v>75</v>
      </c>
      <c r="V92" s="6" t="s">
        <v>79</v>
      </c>
      <c r="W92" s="6" t="s">
        <v>80</v>
      </c>
      <c r="X92" s="6" t="s">
        <v>221</v>
      </c>
      <c r="Y92" s="6" t="s">
        <v>74</v>
      </c>
      <c r="Z92" s="6" t="s">
        <v>1038</v>
      </c>
      <c r="AA92" s="6" t="s">
        <v>74</v>
      </c>
      <c r="AB92" s="6" t="s">
        <v>74</v>
      </c>
      <c r="AC92" s="6" t="s">
        <v>75</v>
      </c>
      <c r="AD92" s="6" t="s">
        <v>75</v>
      </c>
      <c r="AE92" s="6" t="s">
        <v>75</v>
      </c>
      <c r="AF92" s="6" t="s">
        <v>75</v>
      </c>
      <c r="AG92" s="6" t="s">
        <v>75</v>
      </c>
      <c r="AH92" s="6" t="s">
        <v>79</v>
      </c>
      <c r="AI92" s="6" t="s">
        <v>79</v>
      </c>
      <c r="AJ92" s="6" t="s">
        <v>79</v>
      </c>
      <c r="AK92" s="6" t="s">
        <v>79</v>
      </c>
      <c r="AL92" s="6" t="s">
        <v>1029</v>
      </c>
      <c r="AM92" s="6" t="s">
        <v>1031</v>
      </c>
      <c r="AN92" s="7" t="str">
        <f aca="false">BA92&amp;", "&amp;AZ92</f>
        <v>Certificate Download, BASUDHA Kendra, Devmobile Stores, प्रमाण पत्र डाउनलोड, बसुधा केंद्र, सेवा</v>
      </c>
      <c r="AO92" s="6" t="s">
        <v>1161</v>
      </c>
      <c r="AP92" s="5" t="s">
        <v>1040</v>
      </c>
      <c r="AQ92" s="5" t="n">
        <v>110</v>
      </c>
      <c r="AR92" s="6" t="s">
        <v>133</v>
      </c>
      <c r="AS92" s="6" t="s">
        <v>1042</v>
      </c>
      <c r="AT92" s="6" t="s">
        <v>86</v>
      </c>
      <c r="AU92" s="10"/>
      <c r="AV92" s="6" t="s">
        <v>75</v>
      </c>
      <c r="AW92" s="6"/>
      <c r="AX92" s="6" t="s">
        <v>1162</v>
      </c>
      <c r="AY92" s="6" t="s">
        <v>1163</v>
      </c>
      <c r="AZ92" s="6" t="s">
        <v>1164</v>
      </c>
      <c r="BA92" s="6" t="s">
        <v>1165</v>
      </c>
      <c r="BB92" s="6"/>
      <c r="BC92" s="11" t="str">
        <f aca="false">IFERROR(INDEX(CATEGORY_MASTER!$C$4:$C$30,MATCH(B92,CATEGORY_MASTER!$A$4:$A$30,0)),"")</f>
        <v>🏛️</v>
      </c>
      <c r="BD92" s="7" t="str">
        <f aca="false">"/services/"&amp;AO92</f>
        <v>/services/certificate-download</v>
      </c>
      <c r="BE92" s="7" t="str">
        <f aca="false">IF(AND(AH92="Yes",AG92="Active",I92&lt;&gt;"Not Available"),"LIVE","HIDDEN")</f>
        <v>HIDDEN</v>
      </c>
      <c r="BF92" s="6" t="s">
        <v>139</v>
      </c>
      <c r="BG92" s="6" t="s">
        <v>93</v>
      </c>
      <c r="BH92" s="7" t="str">
        <f aca="false">B92&amp;"|"&amp;COUNTIF($B$4:B92,B92)</f>
        <v>BASUDHA Kendra|11</v>
      </c>
      <c r="BI92" s="7" t="str">
        <f aca="false">IF(AND(AI92="Yes",BE92="LIVE"),COUNTIFS($AI$4:AI92,"Yes",$BE$4:BE92,"LIVE"),"")</f>
        <v/>
      </c>
      <c r="BJ92" s="7" t="str">
        <f aca="false">IF(AND(AJ92="Yes",BE92="LIVE"),COUNTIFS($AJ$4:AJ92,"Yes",$BE$4:BE92,"LIVE"),"")</f>
        <v/>
      </c>
      <c r="BK92" s="7" t="str">
        <f aca="false">IF(AND(AK92="Yes",BE92="LIVE"),COUNTIFS($AK$4:AK92,"Yes",$BE$4:BE92,"LIVE"),"")</f>
        <v/>
      </c>
      <c r="BL92" s="7" t="str">
        <f aca="false">IF(I92="To Verify",COUNTIF($I$4:I92,"To Verify"),"")</f>
        <v/>
      </c>
    </row>
    <row r="93" customFormat="false" ht="57.45" hidden="false" customHeight="false" outlineLevel="0" collapsed="false">
      <c r="A93" s="5" t="s">
        <v>1166</v>
      </c>
      <c r="B93" s="6" t="s">
        <v>1029</v>
      </c>
      <c r="C93" s="6" t="s">
        <v>1030</v>
      </c>
      <c r="D93" s="6" t="s">
        <v>1031</v>
      </c>
      <c r="E93" s="6" t="s">
        <v>1167</v>
      </c>
      <c r="F93" s="6" t="s">
        <v>1168</v>
      </c>
      <c r="G93" s="6" t="s">
        <v>1169</v>
      </c>
      <c r="H93" s="6" t="s">
        <v>1170</v>
      </c>
      <c r="I93" s="5" t="s">
        <v>221</v>
      </c>
      <c r="J93" s="7" t="str">
        <f aca="false">IFERROR(INDEX(AVAILABILITY_MASTER!$C$4:$C$10,MATCH(I93,AVAILABILITY_MASTER!$A$4:$A$10,0)),"To Be Confirmed")</f>
        <v>Depends on Portal – Confirm at Shop</v>
      </c>
      <c r="K93" s="6" t="s">
        <v>129</v>
      </c>
      <c r="L93" s="6" t="s">
        <v>221</v>
      </c>
      <c r="M93" s="7" t="str">
        <f aca="false">IFERROR(INDEX(SERVICE_DOCUMENTS!$S$4:$S$1000,MATCH(A93,SERVICE_DOCUMENTS!$A$4:$A$1000,0))&amp;"","")</f>
        <v>✓ Reference / Application Number</v>
      </c>
      <c r="N93" s="7" t="str">
        <f aca="false">IFERROR(INDEX(SERVICE_DOCUMENTS!$T$4:$T$1000,MATCH(A93,SERVICE_DOCUMENTS!$A$4:$A$1000,0))&amp;"","")</f>
        <v>• Active Mobile Number (If Applicable)</v>
      </c>
      <c r="O93" s="6" t="s">
        <v>645</v>
      </c>
      <c r="P93" s="6" t="s">
        <v>1160</v>
      </c>
      <c r="Q93" s="6" t="s">
        <v>371</v>
      </c>
      <c r="R93" s="8" t="s">
        <v>75</v>
      </c>
      <c r="S93" s="8" t="s">
        <v>75</v>
      </c>
      <c r="T93" s="9" t="str">
        <f aca="false">IF(AND(OR(ISNUMBER(R93),R93="N/A"),OR(ISNUMBER(S93),S93="N/A"),OR(ISNUMBER(R93),ISNUMBER(S93))),N(R93)+N(S93),"To Verify")</f>
        <v>To Verify</v>
      </c>
      <c r="U93" s="6" t="s">
        <v>75</v>
      </c>
      <c r="V93" s="6" t="s">
        <v>79</v>
      </c>
      <c r="W93" s="6" t="s">
        <v>80</v>
      </c>
      <c r="X93" s="6" t="s">
        <v>221</v>
      </c>
      <c r="Y93" s="6" t="s">
        <v>74</v>
      </c>
      <c r="Z93" s="6" t="s">
        <v>1038</v>
      </c>
      <c r="AA93" s="6" t="s">
        <v>74</v>
      </c>
      <c r="AB93" s="6" t="s">
        <v>74</v>
      </c>
      <c r="AC93" s="6" t="s">
        <v>75</v>
      </c>
      <c r="AD93" s="6" t="s">
        <v>75</v>
      </c>
      <c r="AE93" s="6" t="s">
        <v>75</v>
      </c>
      <c r="AF93" s="6" t="s">
        <v>75</v>
      </c>
      <c r="AG93" s="6" t="s">
        <v>75</v>
      </c>
      <c r="AH93" s="6" t="s">
        <v>79</v>
      </c>
      <c r="AI93" s="6" t="s">
        <v>79</v>
      </c>
      <c r="AJ93" s="6" t="s">
        <v>79</v>
      </c>
      <c r="AK93" s="6" t="s">
        <v>79</v>
      </c>
      <c r="AL93" s="6" t="s">
        <v>1029</v>
      </c>
      <c r="AM93" s="6" t="s">
        <v>1031</v>
      </c>
      <c r="AN93" s="7" t="str">
        <f aca="false">BA93&amp;", "&amp;AZ93</f>
        <v>Certificate Print, BASUDHA Kendra, Devmobile Stores, प्रमाण पत्र प्रिंट, बसुधा केंद्र, सेवा</v>
      </c>
      <c r="AO93" s="6" t="s">
        <v>1171</v>
      </c>
      <c r="AP93" s="5" t="s">
        <v>1040</v>
      </c>
      <c r="AQ93" s="5" t="n">
        <v>120</v>
      </c>
      <c r="AR93" s="6" t="s">
        <v>133</v>
      </c>
      <c r="AS93" s="6" t="s">
        <v>1042</v>
      </c>
      <c r="AT93" s="6" t="s">
        <v>86</v>
      </c>
      <c r="AU93" s="10"/>
      <c r="AV93" s="6" t="s">
        <v>75</v>
      </c>
      <c r="AW93" s="6" t="s">
        <v>446</v>
      </c>
      <c r="AX93" s="6" t="s">
        <v>1172</v>
      </c>
      <c r="AY93" s="6" t="s">
        <v>1173</v>
      </c>
      <c r="AZ93" s="6" t="s">
        <v>1174</v>
      </c>
      <c r="BA93" s="6" t="s">
        <v>1175</v>
      </c>
      <c r="BB93" s="6"/>
      <c r="BC93" s="11" t="str">
        <f aca="false">IFERROR(INDEX(CATEGORY_MASTER!$C$4:$C$30,MATCH(B93,CATEGORY_MASTER!$A$4:$A$30,0)),"")</f>
        <v>🏛️</v>
      </c>
      <c r="BD93" s="7" t="str">
        <f aca="false">"/services/"&amp;AO93</f>
        <v>/services/certificate-print</v>
      </c>
      <c r="BE93" s="7" t="str">
        <f aca="false">IF(AND(AH93="Yes",AG93="Active",I93&lt;&gt;"Not Available"),"LIVE","HIDDEN")</f>
        <v>HIDDEN</v>
      </c>
      <c r="BF93" s="6" t="s">
        <v>139</v>
      </c>
      <c r="BG93" s="6" t="s">
        <v>93</v>
      </c>
      <c r="BH93" s="7" t="str">
        <f aca="false">B93&amp;"|"&amp;COUNTIF($B$4:B93,B93)</f>
        <v>BASUDHA Kendra|12</v>
      </c>
      <c r="BI93" s="7" t="str">
        <f aca="false">IF(AND(AI93="Yes",BE93="LIVE"),COUNTIFS($AI$4:AI93,"Yes",$BE$4:BE93,"LIVE"),"")</f>
        <v/>
      </c>
      <c r="BJ93" s="7" t="str">
        <f aca="false">IF(AND(AJ93="Yes",BE93="LIVE"),COUNTIFS($AJ$4:AJ93,"Yes",$BE$4:BE93,"LIVE"),"")</f>
        <v/>
      </c>
      <c r="BK93" s="7" t="str">
        <f aca="false">IF(AND(AK93="Yes",BE93="LIVE"),COUNTIFS($AK$4:AK93,"Yes",$BE$4:BE93,"LIVE"),"")</f>
        <v/>
      </c>
      <c r="BL93" s="7" t="str">
        <f aca="false">IF(I93="To Verify",COUNTIF($I$4:I93,"To Verify"),"")</f>
        <v/>
      </c>
    </row>
    <row r="94" customFormat="false" ht="57.45" hidden="false" customHeight="false" outlineLevel="0" collapsed="false">
      <c r="A94" s="5" t="s">
        <v>1176</v>
      </c>
      <c r="B94" s="6" t="s">
        <v>1029</v>
      </c>
      <c r="C94" s="6" t="s">
        <v>1030</v>
      </c>
      <c r="D94" s="6" t="s">
        <v>1177</v>
      </c>
      <c r="E94" s="6" t="s">
        <v>1178</v>
      </c>
      <c r="F94" s="6" t="s">
        <v>1179</v>
      </c>
      <c r="G94" s="6" t="s">
        <v>1180</v>
      </c>
      <c r="H94" s="6" t="s">
        <v>1181</v>
      </c>
      <c r="I94" s="5" t="s">
        <v>75</v>
      </c>
      <c r="J94" s="7" t="str">
        <f aca="false">IFERROR(INDEX(AVAILABILITY_MASTER!$C$4:$C$10,MATCH(I94,AVAILABILITY_MASTER!$A$4:$A$10,0)),"To Be Confirmed")</f>
        <v>To Be Confirmed</v>
      </c>
      <c r="K94" s="6" t="s">
        <v>129</v>
      </c>
      <c r="L94" s="6" t="s">
        <v>75</v>
      </c>
      <c r="M94" s="7" t="str">
        <f aca="false">IFERROR(INDEX(SERVICE_DOCUMENTS!$S$4:$S$1000,MATCH(A94,SERVICE_DOCUMENTS!$A$4:$A$1000,0))&amp;"","")</f>
        <v>✓ Aadhaar Card
✓ Bank Passbook
✓ Passport Photo</v>
      </c>
      <c r="N94" s="7" t="str">
        <f aca="false">IFERROR(INDEX(SERVICE_DOCUMENTS!$T$4:$T$1000,MATCH(A94,SERVICE_DOCUMENTS!$A$4:$A$1000,0))&amp;"","")</f>
        <v>• Address Proof (To Verify)
• Date of Birth Proof (To Verify)</v>
      </c>
      <c r="O94" s="6" t="s">
        <v>1182</v>
      </c>
      <c r="P94" s="6" t="s">
        <v>1183</v>
      </c>
      <c r="Q94" s="6" t="s">
        <v>78</v>
      </c>
      <c r="R94" s="8" t="s">
        <v>75</v>
      </c>
      <c r="S94" s="8" t="s">
        <v>75</v>
      </c>
      <c r="T94" s="9" t="str">
        <f aca="false">IF(AND(OR(ISNUMBER(R94),R94="N/A"),OR(ISNUMBER(S94),S94="N/A"),OR(ISNUMBER(R94),ISNUMBER(S94))),N(R94)+N(S94),"To Verify")</f>
        <v>To Verify</v>
      </c>
      <c r="U94" s="6" t="s">
        <v>75</v>
      </c>
      <c r="V94" s="6" t="s">
        <v>79</v>
      </c>
      <c r="W94" s="6" t="s">
        <v>80</v>
      </c>
      <c r="X94" s="6" t="s">
        <v>221</v>
      </c>
      <c r="Y94" s="6" t="s">
        <v>74</v>
      </c>
      <c r="Z94" s="6" t="s">
        <v>1038</v>
      </c>
      <c r="AA94" s="6" t="s">
        <v>74</v>
      </c>
      <c r="AB94" s="6" t="s">
        <v>74</v>
      </c>
      <c r="AC94" s="6" t="s">
        <v>75</v>
      </c>
      <c r="AD94" s="6" t="s">
        <v>75</v>
      </c>
      <c r="AE94" s="6" t="s">
        <v>75</v>
      </c>
      <c r="AF94" s="6" t="s">
        <v>75</v>
      </c>
      <c r="AG94" s="6" t="s">
        <v>75</v>
      </c>
      <c r="AH94" s="6" t="s">
        <v>79</v>
      </c>
      <c r="AI94" s="6" t="s">
        <v>79</v>
      </c>
      <c r="AJ94" s="6" t="s">
        <v>79</v>
      </c>
      <c r="AK94" s="6" t="s">
        <v>79</v>
      </c>
      <c r="AL94" s="6" t="s">
        <v>1029</v>
      </c>
      <c r="AM94" s="6" t="s">
        <v>1177</v>
      </c>
      <c r="AN94" s="7" t="str">
        <f aca="false">BA94&amp;", "&amp;AZ94</f>
        <v>Old Age Pension – Application, BASUDHA Kendra, Devmobile Stores, वृद्धावस्था पेंशन – आवेदन, बसुधा केंद्र, सेवा</v>
      </c>
      <c r="AO94" s="6" t="s">
        <v>1184</v>
      </c>
      <c r="AP94" s="5" t="s">
        <v>1185</v>
      </c>
      <c r="AQ94" s="5" t="n">
        <v>130</v>
      </c>
      <c r="AR94" s="6" t="s">
        <v>133</v>
      </c>
      <c r="AS94" s="6" t="s">
        <v>1042</v>
      </c>
      <c r="AT94" s="6" t="s">
        <v>86</v>
      </c>
      <c r="AU94" s="10"/>
      <c r="AV94" s="6" t="s">
        <v>75</v>
      </c>
      <c r="AW94" s="6" t="s">
        <v>1186</v>
      </c>
      <c r="AX94" s="6" t="s">
        <v>1187</v>
      </c>
      <c r="AY94" s="6" t="s">
        <v>1188</v>
      </c>
      <c r="AZ94" s="6" t="s">
        <v>1189</v>
      </c>
      <c r="BA94" s="6" t="s">
        <v>1190</v>
      </c>
      <c r="BB94" s="6"/>
      <c r="BC94" s="11" t="str">
        <f aca="false">IFERROR(INDEX(CATEGORY_MASTER!$C$4:$C$30,MATCH(B94,CATEGORY_MASTER!$A$4:$A$30,0)),"")</f>
        <v>🏛️</v>
      </c>
      <c r="BD94" s="7" t="str">
        <f aca="false">"/services/"&amp;AO94</f>
        <v>/services/old-age-pension-application</v>
      </c>
      <c r="BE94" s="7" t="str">
        <f aca="false">IF(AND(AH94="Yes",AG94="Active",I94&lt;&gt;"Not Available"),"LIVE","HIDDEN")</f>
        <v>HIDDEN</v>
      </c>
      <c r="BF94" s="6" t="s">
        <v>139</v>
      </c>
      <c r="BG94" s="6" t="s">
        <v>93</v>
      </c>
      <c r="BH94" s="7" t="str">
        <f aca="false">B94&amp;"|"&amp;COUNTIF($B$4:B94,B94)</f>
        <v>BASUDHA Kendra|13</v>
      </c>
      <c r="BI94" s="7" t="str">
        <f aca="false">IF(AND(AI94="Yes",BE94="LIVE"),COUNTIFS($AI$4:AI94,"Yes",$BE$4:BE94,"LIVE"),"")</f>
        <v/>
      </c>
      <c r="BJ94" s="7" t="str">
        <f aca="false">IF(AND(AJ94="Yes",BE94="LIVE"),COUNTIFS($AJ$4:AJ94,"Yes",$BE$4:BE94,"LIVE"),"")</f>
        <v/>
      </c>
      <c r="BK94" s="7" t="str">
        <f aca="false">IF(AND(AK94="Yes",BE94="LIVE"),COUNTIFS($AK$4:AK94,"Yes",$BE$4:BE94,"LIVE"),"")</f>
        <v/>
      </c>
      <c r="BL94" s="7" t="n">
        <f aca="false">IF(I94="To Verify",COUNTIF($I$4:I94,"To Verify"),"")</f>
        <v>25</v>
      </c>
    </row>
    <row r="95" customFormat="false" ht="57.45" hidden="false" customHeight="false" outlineLevel="0" collapsed="false">
      <c r="A95" s="5" t="s">
        <v>1191</v>
      </c>
      <c r="B95" s="6" t="s">
        <v>1029</v>
      </c>
      <c r="C95" s="6" t="s">
        <v>1030</v>
      </c>
      <c r="D95" s="6" t="s">
        <v>1177</v>
      </c>
      <c r="E95" s="6" t="s">
        <v>1192</v>
      </c>
      <c r="F95" s="6" t="s">
        <v>1193</v>
      </c>
      <c r="G95" s="6" t="s">
        <v>1194</v>
      </c>
      <c r="H95" s="6" t="s">
        <v>1195</v>
      </c>
      <c r="I95" s="5" t="s">
        <v>75</v>
      </c>
      <c r="J95" s="7" t="str">
        <f aca="false">IFERROR(INDEX(AVAILABILITY_MASTER!$C$4:$C$10,MATCH(I95,AVAILABILITY_MASTER!$A$4:$A$10,0)),"To Be Confirmed")</f>
        <v>To Be Confirmed</v>
      </c>
      <c r="K95" s="6" t="s">
        <v>129</v>
      </c>
      <c r="L95" s="6" t="s">
        <v>75</v>
      </c>
      <c r="M95" s="7" t="str">
        <f aca="false">IFERROR(INDEX(SERVICE_DOCUMENTS!$S$4:$S$1000,MATCH(A95,SERVICE_DOCUMENTS!$A$4:$A$1000,0))&amp;"","")</f>
        <v>✓ Aadhaar Card
✓ Bank Passbook
✓ Passport Photo</v>
      </c>
      <c r="N95" s="7" t="str">
        <f aca="false">IFERROR(INDEX(SERVICE_DOCUMENTS!$T$4:$T$1000,MATCH(A95,SERVICE_DOCUMENTS!$A$4:$A$1000,0))&amp;"","")</f>
        <v>• Address Proof (To Verify)
• Date of Birth Proof (To Verify)</v>
      </c>
      <c r="O95" s="6" t="s">
        <v>1182</v>
      </c>
      <c r="P95" s="6" t="s">
        <v>1183</v>
      </c>
      <c r="Q95" s="6" t="s">
        <v>78</v>
      </c>
      <c r="R95" s="8" t="s">
        <v>75</v>
      </c>
      <c r="S95" s="8" t="s">
        <v>75</v>
      </c>
      <c r="T95" s="9" t="str">
        <f aca="false">IF(AND(OR(ISNUMBER(R95),R95="N/A"),OR(ISNUMBER(S95),S95="N/A"),OR(ISNUMBER(R95),ISNUMBER(S95))),N(R95)+N(S95),"To Verify")</f>
        <v>To Verify</v>
      </c>
      <c r="U95" s="6" t="s">
        <v>75</v>
      </c>
      <c r="V95" s="6" t="s">
        <v>79</v>
      </c>
      <c r="W95" s="6" t="s">
        <v>80</v>
      </c>
      <c r="X95" s="6" t="s">
        <v>221</v>
      </c>
      <c r="Y95" s="6" t="s">
        <v>74</v>
      </c>
      <c r="Z95" s="6" t="s">
        <v>1038</v>
      </c>
      <c r="AA95" s="6" t="s">
        <v>74</v>
      </c>
      <c r="AB95" s="6" t="s">
        <v>74</v>
      </c>
      <c r="AC95" s="6" t="s">
        <v>75</v>
      </c>
      <c r="AD95" s="6" t="s">
        <v>75</v>
      </c>
      <c r="AE95" s="6" t="s">
        <v>75</v>
      </c>
      <c r="AF95" s="6" t="s">
        <v>75</v>
      </c>
      <c r="AG95" s="6" t="s">
        <v>75</v>
      </c>
      <c r="AH95" s="6" t="s">
        <v>79</v>
      </c>
      <c r="AI95" s="6" t="s">
        <v>79</v>
      </c>
      <c r="AJ95" s="6" t="s">
        <v>79</v>
      </c>
      <c r="AK95" s="6" t="s">
        <v>79</v>
      </c>
      <c r="AL95" s="6" t="s">
        <v>1029</v>
      </c>
      <c r="AM95" s="6" t="s">
        <v>1177</v>
      </c>
      <c r="AN95" s="7" t="str">
        <f aca="false">BA95&amp;", "&amp;AZ95</f>
        <v>Widow Pension – Application, BASUDHA Kendra, Devmobile Stores, विधवा पेंशन – आवेदन, बसुधा केंद्र, सेवा</v>
      </c>
      <c r="AO95" s="6" t="s">
        <v>1196</v>
      </c>
      <c r="AP95" s="5" t="s">
        <v>1185</v>
      </c>
      <c r="AQ95" s="5" t="n">
        <v>140</v>
      </c>
      <c r="AR95" s="6" t="s">
        <v>133</v>
      </c>
      <c r="AS95" s="6" t="s">
        <v>1042</v>
      </c>
      <c r="AT95" s="6" t="s">
        <v>86</v>
      </c>
      <c r="AU95" s="10"/>
      <c r="AV95" s="6" t="s">
        <v>75</v>
      </c>
      <c r="AW95" s="6" t="s">
        <v>1186</v>
      </c>
      <c r="AX95" s="6" t="s">
        <v>1197</v>
      </c>
      <c r="AY95" s="6" t="s">
        <v>1198</v>
      </c>
      <c r="AZ95" s="6" t="s">
        <v>1199</v>
      </c>
      <c r="BA95" s="6" t="s">
        <v>1200</v>
      </c>
      <c r="BB95" s="6"/>
      <c r="BC95" s="11" t="str">
        <f aca="false">IFERROR(INDEX(CATEGORY_MASTER!$C$4:$C$30,MATCH(B95,CATEGORY_MASTER!$A$4:$A$30,0)),"")</f>
        <v>🏛️</v>
      </c>
      <c r="BD95" s="7" t="str">
        <f aca="false">"/services/"&amp;AO95</f>
        <v>/services/widow-pension-application</v>
      </c>
      <c r="BE95" s="7" t="str">
        <f aca="false">IF(AND(AH95="Yes",AG95="Active",I95&lt;&gt;"Not Available"),"LIVE","HIDDEN")</f>
        <v>HIDDEN</v>
      </c>
      <c r="BF95" s="6" t="s">
        <v>139</v>
      </c>
      <c r="BG95" s="6" t="s">
        <v>93</v>
      </c>
      <c r="BH95" s="7" t="str">
        <f aca="false">B95&amp;"|"&amp;COUNTIF($B$4:B95,B95)</f>
        <v>BASUDHA Kendra|14</v>
      </c>
      <c r="BI95" s="7" t="str">
        <f aca="false">IF(AND(AI95="Yes",BE95="LIVE"),COUNTIFS($AI$4:AI95,"Yes",$BE$4:BE95,"LIVE"),"")</f>
        <v/>
      </c>
      <c r="BJ95" s="7" t="str">
        <f aca="false">IF(AND(AJ95="Yes",BE95="LIVE"),COUNTIFS($AJ$4:AJ95,"Yes",$BE$4:BE95,"LIVE"),"")</f>
        <v/>
      </c>
      <c r="BK95" s="7" t="str">
        <f aca="false">IF(AND(AK95="Yes",BE95="LIVE"),COUNTIFS($AK$4:AK95,"Yes",$BE$4:BE95,"LIVE"),"")</f>
        <v/>
      </c>
      <c r="BL95" s="7" t="n">
        <f aca="false">IF(I95="To Verify",COUNTIF($I$4:I95,"To Verify"),"")</f>
        <v>26</v>
      </c>
    </row>
    <row r="96" customFormat="false" ht="57.45" hidden="false" customHeight="false" outlineLevel="0" collapsed="false">
      <c r="A96" s="5" t="s">
        <v>1201</v>
      </c>
      <c r="B96" s="6" t="s">
        <v>1029</v>
      </c>
      <c r="C96" s="6" t="s">
        <v>1030</v>
      </c>
      <c r="D96" s="6" t="s">
        <v>1177</v>
      </c>
      <c r="E96" s="6" t="s">
        <v>1202</v>
      </c>
      <c r="F96" s="6" t="s">
        <v>1203</v>
      </c>
      <c r="G96" s="6" t="s">
        <v>1204</v>
      </c>
      <c r="H96" s="6" t="s">
        <v>1205</v>
      </c>
      <c r="I96" s="5" t="s">
        <v>75</v>
      </c>
      <c r="J96" s="7" t="str">
        <f aca="false">IFERROR(INDEX(AVAILABILITY_MASTER!$C$4:$C$10,MATCH(I96,AVAILABILITY_MASTER!$A$4:$A$10,0)),"To Be Confirmed")</f>
        <v>To Be Confirmed</v>
      </c>
      <c r="K96" s="6" t="s">
        <v>129</v>
      </c>
      <c r="L96" s="6" t="s">
        <v>75</v>
      </c>
      <c r="M96" s="7" t="str">
        <f aca="false">IFERROR(INDEX(SERVICE_DOCUMENTS!$S$4:$S$1000,MATCH(A96,SERVICE_DOCUMENTS!$A$4:$A$1000,0))&amp;"","")</f>
        <v>✓ Aadhaar Card
✓ Bank Passbook
✓ Passport Photo</v>
      </c>
      <c r="N96" s="7" t="str">
        <f aca="false">IFERROR(INDEX(SERVICE_DOCUMENTS!$T$4:$T$1000,MATCH(A96,SERVICE_DOCUMENTS!$A$4:$A$1000,0))&amp;"","")</f>
        <v>• Address Proof (To Verify)
• Date of Birth Proof (To Verify)</v>
      </c>
      <c r="O96" s="6" t="s">
        <v>1182</v>
      </c>
      <c r="P96" s="6" t="s">
        <v>1183</v>
      </c>
      <c r="Q96" s="6" t="s">
        <v>78</v>
      </c>
      <c r="R96" s="8" t="s">
        <v>75</v>
      </c>
      <c r="S96" s="8" t="s">
        <v>75</v>
      </c>
      <c r="T96" s="9" t="str">
        <f aca="false">IF(AND(OR(ISNUMBER(R96),R96="N/A"),OR(ISNUMBER(S96),S96="N/A"),OR(ISNUMBER(R96),ISNUMBER(S96))),N(R96)+N(S96),"To Verify")</f>
        <v>To Verify</v>
      </c>
      <c r="U96" s="6" t="s">
        <v>75</v>
      </c>
      <c r="V96" s="6" t="s">
        <v>79</v>
      </c>
      <c r="W96" s="6" t="s">
        <v>80</v>
      </c>
      <c r="X96" s="6" t="s">
        <v>221</v>
      </c>
      <c r="Y96" s="6" t="s">
        <v>74</v>
      </c>
      <c r="Z96" s="6" t="s">
        <v>1038</v>
      </c>
      <c r="AA96" s="6" t="s">
        <v>74</v>
      </c>
      <c r="AB96" s="6" t="s">
        <v>74</v>
      </c>
      <c r="AC96" s="6" t="s">
        <v>75</v>
      </c>
      <c r="AD96" s="6" t="s">
        <v>75</v>
      </c>
      <c r="AE96" s="6" t="s">
        <v>75</v>
      </c>
      <c r="AF96" s="6" t="s">
        <v>75</v>
      </c>
      <c r="AG96" s="6" t="s">
        <v>75</v>
      </c>
      <c r="AH96" s="6" t="s">
        <v>79</v>
      </c>
      <c r="AI96" s="6" t="s">
        <v>79</v>
      </c>
      <c r="AJ96" s="6" t="s">
        <v>79</v>
      </c>
      <c r="AK96" s="6" t="s">
        <v>79</v>
      </c>
      <c r="AL96" s="6" t="s">
        <v>1029</v>
      </c>
      <c r="AM96" s="6" t="s">
        <v>1177</v>
      </c>
      <c r="AN96" s="7" t="str">
        <f aca="false">BA96&amp;", "&amp;AZ96</f>
        <v>Divyang (Disability) Pension – Application, BASUDHA Kendra, Devmobile Stores, दिव्यांग पेंशन – आवेदन, बसुधा केंद्र, सेवा</v>
      </c>
      <c r="AO96" s="6" t="s">
        <v>1206</v>
      </c>
      <c r="AP96" s="5" t="s">
        <v>1185</v>
      </c>
      <c r="AQ96" s="5" t="n">
        <v>150</v>
      </c>
      <c r="AR96" s="6" t="s">
        <v>133</v>
      </c>
      <c r="AS96" s="6" t="s">
        <v>1042</v>
      </c>
      <c r="AT96" s="6" t="s">
        <v>86</v>
      </c>
      <c r="AU96" s="10"/>
      <c r="AV96" s="6" t="s">
        <v>75</v>
      </c>
      <c r="AW96" s="6" t="s">
        <v>1186</v>
      </c>
      <c r="AX96" s="6" t="s">
        <v>1207</v>
      </c>
      <c r="AY96" s="6" t="s">
        <v>1208</v>
      </c>
      <c r="AZ96" s="6" t="s">
        <v>1209</v>
      </c>
      <c r="BA96" s="6" t="s">
        <v>1210</v>
      </c>
      <c r="BB96" s="6"/>
      <c r="BC96" s="11" t="str">
        <f aca="false">IFERROR(INDEX(CATEGORY_MASTER!$C$4:$C$30,MATCH(B96,CATEGORY_MASTER!$A$4:$A$30,0)),"")</f>
        <v>🏛️</v>
      </c>
      <c r="BD96" s="7" t="str">
        <f aca="false">"/services/"&amp;AO96</f>
        <v>/services/divyang-disability-pension-application</v>
      </c>
      <c r="BE96" s="7" t="str">
        <f aca="false">IF(AND(AH96="Yes",AG96="Active",I96&lt;&gt;"Not Available"),"LIVE","HIDDEN")</f>
        <v>HIDDEN</v>
      </c>
      <c r="BF96" s="6" t="s">
        <v>139</v>
      </c>
      <c r="BG96" s="6" t="s">
        <v>93</v>
      </c>
      <c r="BH96" s="7" t="str">
        <f aca="false">B96&amp;"|"&amp;COUNTIF($B$4:B96,B96)</f>
        <v>BASUDHA Kendra|15</v>
      </c>
      <c r="BI96" s="7" t="str">
        <f aca="false">IF(AND(AI96="Yes",BE96="LIVE"),COUNTIFS($AI$4:AI96,"Yes",$BE$4:BE96,"LIVE"),"")</f>
        <v/>
      </c>
      <c r="BJ96" s="7" t="str">
        <f aca="false">IF(AND(AJ96="Yes",BE96="LIVE"),COUNTIFS($AJ$4:AJ96,"Yes",$BE$4:BE96,"LIVE"),"")</f>
        <v/>
      </c>
      <c r="BK96" s="7" t="str">
        <f aca="false">IF(AND(AK96="Yes",BE96="LIVE"),COUNTIFS($AK$4:AK96,"Yes",$BE$4:BE96,"LIVE"),"")</f>
        <v/>
      </c>
      <c r="BL96" s="7" t="n">
        <f aca="false">IF(I96="To Verify",COUNTIF($I$4:I96,"To Verify"),"")</f>
        <v>27</v>
      </c>
    </row>
    <row r="97" customFormat="false" ht="68.65" hidden="false" customHeight="false" outlineLevel="0" collapsed="false">
      <c r="A97" s="5" t="s">
        <v>1211</v>
      </c>
      <c r="B97" s="6" t="s">
        <v>1029</v>
      </c>
      <c r="C97" s="6" t="s">
        <v>1030</v>
      </c>
      <c r="D97" s="6" t="s">
        <v>1177</v>
      </c>
      <c r="E97" s="6" t="s">
        <v>1212</v>
      </c>
      <c r="F97" s="6" t="s">
        <v>1213</v>
      </c>
      <c r="G97" s="6" t="s">
        <v>1214</v>
      </c>
      <c r="H97" s="6" t="s">
        <v>1215</v>
      </c>
      <c r="I97" s="5" t="s">
        <v>221</v>
      </c>
      <c r="J97" s="7" t="str">
        <f aca="false">IFERROR(INDEX(AVAILABILITY_MASTER!$C$4:$C$10,MATCH(I97,AVAILABILITY_MASTER!$A$4:$A$10,0)),"To Be Confirmed")</f>
        <v>Depends on Portal – Confirm at Shop</v>
      </c>
      <c r="K97" s="6" t="s">
        <v>129</v>
      </c>
      <c r="L97" s="6" t="s">
        <v>221</v>
      </c>
      <c r="M97" s="7" t="str">
        <f aca="false">IFERROR(INDEX(SERVICE_DOCUMENTS!$S$4:$S$1000,MATCH(A97,SERVICE_DOCUMENTS!$A$4:$A$1000,0))&amp;"","")</f>
        <v>✓ Aadhaar Card
✓ Active Mobile Number</v>
      </c>
      <c r="N97" s="7" t="str">
        <f aca="false">IFERROR(INDEX(SERVICE_DOCUMENTS!$T$4:$T$1000,MATCH(A97,SERVICE_DOCUMENTS!$A$4:$A$1000,0))&amp;"","")</f>
        <v>• Reference / Application Number (If Applicable)</v>
      </c>
      <c r="O97" s="6" t="s">
        <v>645</v>
      </c>
      <c r="P97" s="6" t="s">
        <v>1216</v>
      </c>
      <c r="Q97" s="6" t="s">
        <v>78</v>
      </c>
      <c r="R97" s="8" t="s">
        <v>75</v>
      </c>
      <c r="S97" s="8" t="s">
        <v>75</v>
      </c>
      <c r="T97" s="9" t="str">
        <f aca="false">IF(AND(OR(ISNUMBER(R97),R97="N/A"),OR(ISNUMBER(S97),S97="N/A"),OR(ISNUMBER(R97),ISNUMBER(S97))),N(R97)+N(S97),"To Verify")</f>
        <v>To Verify</v>
      </c>
      <c r="U97" s="6" t="s">
        <v>75</v>
      </c>
      <c r="V97" s="6" t="s">
        <v>79</v>
      </c>
      <c r="W97" s="6" t="s">
        <v>80</v>
      </c>
      <c r="X97" s="6" t="s">
        <v>221</v>
      </c>
      <c r="Y97" s="6" t="s">
        <v>74</v>
      </c>
      <c r="Z97" s="6" t="s">
        <v>1038</v>
      </c>
      <c r="AA97" s="6" t="s">
        <v>74</v>
      </c>
      <c r="AB97" s="6" t="s">
        <v>74</v>
      </c>
      <c r="AC97" s="6" t="s">
        <v>75</v>
      </c>
      <c r="AD97" s="6" t="s">
        <v>75</v>
      </c>
      <c r="AE97" s="6" t="s">
        <v>75</v>
      </c>
      <c r="AF97" s="6" t="s">
        <v>75</v>
      </c>
      <c r="AG97" s="6" t="s">
        <v>75</v>
      </c>
      <c r="AH97" s="6" t="s">
        <v>79</v>
      </c>
      <c r="AI97" s="6" t="s">
        <v>79</v>
      </c>
      <c r="AJ97" s="6" t="s">
        <v>79</v>
      </c>
      <c r="AK97" s="6" t="s">
        <v>79</v>
      </c>
      <c r="AL97" s="6" t="s">
        <v>1029</v>
      </c>
      <c r="AM97" s="6" t="s">
        <v>1177</v>
      </c>
      <c r="AN97" s="7" t="str">
        <f aca="false">BA97&amp;", "&amp;AZ97</f>
        <v>Government Scheme Application – General, BASUDHA Kendra, Devmobile Stores, सरकारी योजना आवेदन – सामान्य, बसुधा केंद्र, सेवा</v>
      </c>
      <c r="AO97" s="6" t="s">
        <v>1217</v>
      </c>
      <c r="AP97" s="5" t="s">
        <v>1185</v>
      </c>
      <c r="AQ97" s="5" t="n">
        <v>160</v>
      </c>
      <c r="AR97" s="6" t="s">
        <v>133</v>
      </c>
      <c r="AS97" s="6" t="s">
        <v>1042</v>
      </c>
      <c r="AT97" s="6" t="s">
        <v>86</v>
      </c>
      <c r="AU97" s="10"/>
      <c r="AV97" s="6" t="s">
        <v>75</v>
      </c>
      <c r="AW97" s="6" t="s">
        <v>1218</v>
      </c>
      <c r="AX97" s="6" t="s">
        <v>1219</v>
      </c>
      <c r="AY97" s="6" t="s">
        <v>1220</v>
      </c>
      <c r="AZ97" s="6" t="s">
        <v>1221</v>
      </c>
      <c r="BA97" s="6" t="s">
        <v>1222</v>
      </c>
      <c r="BB97" s="6"/>
      <c r="BC97" s="11" t="str">
        <f aca="false">IFERROR(INDEX(CATEGORY_MASTER!$C$4:$C$30,MATCH(B97,CATEGORY_MASTER!$A$4:$A$30,0)),"")</f>
        <v>🏛️</v>
      </c>
      <c r="BD97" s="7" t="str">
        <f aca="false">"/services/"&amp;AO97</f>
        <v>/services/government-scheme-application-general</v>
      </c>
      <c r="BE97" s="7" t="str">
        <f aca="false">IF(AND(AH97="Yes",AG97="Active",I97&lt;&gt;"Not Available"),"LIVE","HIDDEN")</f>
        <v>HIDDEN</v>
      </c>
      <c r="BF97" s="6" t="s">
        <v>139</v>
      </c>
      <c r="BG97" s="6" t="s">
        <v>93</v>
      </c>
      <c r="BH97" s="7" t="str">
        <f aca="false">B97&amp;"|"&amp;COUNTIF($B$4:B97,B97)</f>
        <v>BASUDHA Kendra|16</v>
      </c>
      <c r="BI97" s="7" t="str">
        <f aca="false">IF(AND(AI97="Yes",BE97="LIVE"),COUNTIFS($AI$4:AI97,"Yes",$BE$4:BE97,"LIVE"),"")</f>
        <v/>
      </c>
      <c r="BJ97" s="7" t="str">
        <f aca="false">IF(AND(AJ97="Yes",BE97="LIVE"),COUNTIFS($AJ$4:AJ97,"Yes",$BE$4:BE97,"LIVE"),"")</f>
        <v/>
      </c>
      <c r="BK97" s="7" t="str">
        <f aca="false">IF(AND(AK97="Yes",BE97="LIVE"),COUNTIFS($AK$4:AK97,"Yes",$BE$4:BE97,"LIVE"),"")</f>
        <v/>
      </c>
      <c r="BL97" s="7" t="str">
        <f aca="false">IF(I97="To Verify",COUNTIF($I$4:I97,"To Verify"),"")</f>
        <v/>
      </c>
    </row>
    <row r="98" customFormat="false" ht="57.45" hidden="false" customHeight="false" outlineLevel="0" collapsed="false">
      <c r="A98" s="5" t="s">
        <v>1223</v>
      </c>
      <c r="B98" s="6" t="s">
        <v>1029</v>
      </c>
      <c r="C98" s="6" t="s">
        <v>1030</v>
      </c>
      <c r="D98" s="6" t="s">
        <v>1224</v>
      </c>
      <c r="E98" s="6" t="s">
        <v>1225</v>
      </c>
      <c r="F98" s="6" t="s">
        <v>1226</v>
      </c>
      <c r="G98" s="6" t="s">
        <v>1227</v>
      </c>
      <c r="H98" s="6" t="s">
        <v>1228</v>
      </c>
      <c r="I98" s="5" t="s">
        <v>75</v>
      </c>
      <c r="J98" s="7" t="str">
        <f aca="false">IFERROR(INDEX(AVAILABILITY_MASTER!$C$4:$C$10,MATCH(I98,AVAILABILITY_MASTER!$A$4:$A$10,0)),"To Be Confirmed")</f>
        <v>To Be Confirmed</v>
      </c>
      <c r="K98" s="6" t="s">
        <v>129</v>
      </c>
      <c r="L98" s="6" t="s">
        <v>75</v>
      </c>
      <c r="M98" s="7" t="str">
        <f aca="false">IFERROR(INDEX(SERVICE_DOCUMENTS!$S$4:$S$1000,MATCH(A98,SERVICE_DOCUMENTS!$A$4:$A$1000,0))&amp;"","")</f>
        <v>✓ Aadhaar Card
✓ Active Mobile Number</v>
      </c>
      <c r="N98" s="7" t="str">
        <f aca="false">IFERROR(INDEX(SERVICE_DOCUMENTS!$T$4:$T$1000,MATCH(A98,SERVICE_DOCUMENTS!$A$4:$A$1000,0))&amp;"","")</f>
        <v>• Ration Card (If Applicable)
• Address Proof (To Verify)</v>
      </c>
      <c r="O98" s="6" t="s">
        <v>645</v>
      </c>
      <c r="P98" s="6" t="s">
        <v>1229</v>
      </c>
      <c r="Q98" s="6" t="s">
        <v>78</v>
      </c>
      <c r="R98" s="8" t="s">
        <v>75</v>
      </c>
      <c r="S98" s="8" t="s">
        <v>75</v>
      </c>
      <c r="T98" s="9" t="str">
        <f aca="false">IF(AND(OR(ISNUMBER(R98),R98="N/A"),OR(ISNUMBER(S98),S98="N/A"),OR(ISNUMBER(R98),ISNUMBER(S98))),N(R98)+N(S98),"To Verify")</f>
        <v>To Verify</v>
      </c>
      <c r="U98" s="6" t="s">
        <v>75</v>
      </c>
      <c r="V98" s="6" t="s">
        <v>79</v>
      </c>
      <c r="W98" s="6" t="s">
        <v>80</v>
      </c>
      <c r="X98" s="6" t="s">
        <v>221</v>
      </c>
      <c r="Y98" s="6" t="s">
        <v>74</v>
      </c>
      <c r="Z98" s="6" t="s">
        <v>1038</v>
      </c>
      <c r="AA98" s="6" t="s">
        <v>74</v>
      </c>
      <c r="AB98" s="6" t="s">
        <v>74</v>
      </c>
      <c r="AC98" s="6" t="s">
        <v>75</v>
      </c>
      <c r="AD98" s="6" t="s">
        <v>75</v>
      </c>
      <c r="AE98" s="6" t="s">
        <v>75</v>
      </c>
      <c r="AF98" s="6" t="s">
        <v>75</v>
      </c>
      <c r="AG98" s="6" t="s">
        <v>75</v>
      </c>
      <c r="AH98" s="6" t="s">
        <v>79</v>
      </c>
      <c r="AI98" s="6" t="s">
        <v>79</v>
      </c>
      <c r="AJ98" s="6" t="s">
        <v>79</v>
      </c>
      <c r="AK98" s="6" t="s">
        <v>79</v>
      </c>
      <c r="AL98" s="6" t="s">
        <v>1029</v>
      </c>
      <c r="AM98" s="6" t="s">
        <v>1224</v>
      </c>
      <c r="AN98" s="7" t="str">
        <f aca="false">BA98&amp;", "&amp;AZ98</f>
        <v>Ration Card – New Application, BASUDHA Kendra, Devmobile Stores, राशन कार्ड – नया आवेदन, बसुधा केंद्र, सेवा</v>
      </c>
      <c r="AO98" s="6" t="s">
        <v>1230</v>
      </c>
      <c r="AP98" s="5" t="s">
        <v>1231</v>
      </c>
      <c r="AQ98" s="5" t="n">
        <v>170</v>
      </c>
      <c r="AR98" s="6" t="s">
        <v>133</v>
      </c>
      <c r="AS98" s="6" t="s">
        <v>1042</v>
      </c>
      <c r="AT98" s="6" t="s">
        <v>86</v>
      </c>
      <c r="AU98" s="10"/>
      <c r="AV98" s="6" t="s">
        <v>75</v>
      </c>
      <c r="AW98" s="6"/>
      <c r="AX98" s="6" t="s">
        <v>1232</v>
      </c>
      <c r="AY98" s="6" t="s">
        <v>1233</v>
      </c>
      <c r="AZ98" s="6" t="s">
        <v>1234</v>
      </c>
      <c r="BA98" s="6" t="s">
        <v>1235</v>
      </c>
      <c r="BB98" s="6"/>
      <c r="BC98" s="11" t="str">
        <f aca="false">IFERROR(INDEX(CATEGORY_MASTER!$C$4:$C$30,MATCH(B98,CATEGORY_MASTER!$A$4:$A$30,0)),"")</f>
        <v>🏛️</v>
      </c>
      <c r="BD98" s="7" t="str">
        <f aca="false">"/services/"&amp;AO98</f>
        <v>/services/ration-card-new-application</v>
      </c>
      <c r="BE98" s="7" t="str">
        <f aca="false">IF(AND(AH98="Yes",AG98="Active",I98&lt;&gt;"Not Available"),"LIVE","HIDDEN")</f>
        <v>HIDDEN</v>
      </c>
      <c r="BF98" s="6" t="s">
        <v>139</v>
      </c>
      <c r="BG98" s="6" t="s">
        <v>93</v>
      </c>
      <c r="BH98" s="7" t="str">
        <f aca="false">B98&amp;"|"&amp;COUNTIF($B$4:B98,B98)</f>
        <v>BASUDHA Kendra|17</v>
      </c>
      <c r="BI98" s="7" t="str">
        <f aca="false">IF(AND(AI98="Yes",BE98="LIVE"),COUNTIFS($AI$4:AI98,"Yes",$BE$4:BE98,"LIVE"),"")</f>
        <v/>
      </c>
      <c r="BJ98" s="7" t="str">
        <f aca="false">IF(AND(AJ98="Yes",BE98="LIVE"),COUNTIFS($AJ$4:AJ98,"Yes",$BE$4:BE98,"LIVE"),"")</f>
        <v/>
      </c>
      <c r="BK98" s="7" t="str">
        <f aca="false">IF(AND(AK98="Yes",BE98="LIVE"),COUNTIFS($AK$4:AK98,"Yes",$BE$4:BE98,"LIVE"),"")</f>
        <v/>
      </c>
      <c r="BL98" s="7" t="n">
        <f aca="false">IF(I98="To Verify",COUNTIF($I$4:I98,"To Verify"),"")</f>
        <v>28</v>
      </c>
    </row>
    <row r="99" customFormat="false" ht="68.65" hidden="false" customHeight="false" outlineLevel="0" collapsed="false">
      <c r="A99" s="5" t="s">
        <v>1236</v>
      </c>
      <c r="B99" s="6" t="s">
        <v>1029</v>
      </c>
      <c r="C99" s="6" t="s">
        <v>1030</v>
      </c>
      <c r="D99" s="6" t="s">
        <v>1224</v>
      </c>
      <c r="E99" s="6" t="s">
        <v>1237</v>
      </c>
      <c r="F99" s="6" t="s">
        <v>1238</v>
      </c>
      <c r="G99" s="6" t="s">
        <v>1239</v>
      </c>
      <c r="H99" s="6" t="s">
        <v>1240</v>
      </c>
      <c r="I99" s="5" t="s">
        <v>75</v>
      </c>
      <c r="J99" s="7" t="str">
        <f aca="false">IFERROR(INDEX(AVAILABILITY_MASTER!$C$4:$C$10,MATCH(I99,AVAILABILITY_MASTER!$A$4:$A$10,0)),"To Be Confirmed")</f>
        <v>To Be Confirmed</v>
      </c>
      <c r="K99" s="6" t="s">
        <v>129</v>
      </c>
      <c r="L99" s="6" t="s">
        <v>75</v>
      </c>
      <c r="M99" s="7" t="str">
        <f aca="false">IFERROR(INDEX(SERVICE_DOCUMENTS!$S$4:$S$1000,MATCH(A99,SERVICE_DOCUMENTS!$A$4:$A$1000,0))&amp;"","")</f>
        <v>✓ Aadhaar Card
✓ Active Mobile Number</v>
      </c>
      <c r="N99" s="7" t="str">
        <f aca="false">IFERROR(INDEX(SERVICE_DOCUMENTS!$T$4:$T$1000,MATCH(A99,SERVICE_DOCUMENTS!$A$4:$A$1000,0))&amp;"","")</f>
        <v>• Ration Card (If Applicable)
• Address Proof (To Verify)</v>
      </c>
      <c r="O99" s="6" t="s">
        <v>645</v>
      </c>
      <c r="P99" s="6" t="s">
        <v>1229</v>
      </c>
      <c r="Q99" s="6" t="s">
        <v>78</v>
      </c>
      <c r="R99" s="8" t="s">
        <v>75</v>
      </c>
      <c r="S99" s="8" t="s">
        <v>75</v>
      </c>
      <c r="T99" s="9" t="str">
        <f aca="false">IF(AND(OR(ISNUMBER(R99),R99="N/A"),OR(ISNUMBER(S99),S99="N/A"),OR(ISNUMBER(R99),ISNUMBER(S99))),N(R99)+N(S99),"To Verify")</f>
        <v>To Verify</v>
      </c>
      <c r="U99" s="6" t="s">
        <v>75</v>
      </c>
      <c r="V99" s="6" t="s">
        <v>79</v>
      </c>
      <c r="W99" s="6" t="s">
        <v>80</v>
      </c>
      <c r="X99" s="6" t="s">
        <v>221</v>
      </c>
      <c r="Y99" s="6" t="s">
        <v>74</v>
      </c>
      <c r="Z99" s="6" t="s">
        <v>1038</v>
      </c>
      <c r="AA99" s="6" t="s">
        <v>74</v>
      </c>
      <c r="AB99" s="6" t="s">
        <v>74</v>
      </c>
      <c r="AC99" s="6" t="s">
        <v>75</v>
      </c>
      <c r="AD99" s="6" t="s">
        <v>75</v>
      </c>
      <c r="AE99" s="6" t="s">
        <v>75</v>
      </c>
      <c r="AF99" s="6" t="s">
        <v>75</v>
      </c>
      <c r="AG99" s="6" t="s">
        <v>75</v>
      </c>
      <c r="AH99" s="6" t="s">
        <v>79</v>
      </c>
      <c r="AI99" s="6" t="s">
        <v>79</v>
      </c>
      <c r="AJ99" s="6" t="s">
        <v>79</v>
      </c>
      <c r="AK99" s="6" t="s">
        <v>79</v>
      </c>
      <c r="AL99" s="6" t="s">
        <v>1029</v>
      </c>
      <c r="AM99" s="6" t="s">
        <v>1224</v>
      </c>
      <c r="AN99" s="7" t="str">
        <f aca="false">BA99&amp;", "&amp;AZ99</f>
        <v>Ration Card – Member Add / Delete / Correction, BASUDHA Kendra, Devmobile Stores, राशन कार्ड – सदस्य जोड़ना / हटाना / सुधार, बसुधा केंद्र, सेवा</v>
      </c>
      <c r="AO99" s="6" t="s">
        <v>1241</v>
      </c>
      <c r="AP99" s="5" t="s">
        <v>1231</v>
      </c>
      <c r="AQ99" s="5" t="n">
        <v>180</v>
      </c>
      <c r="AR99" s="6" t="s">
        <v>133</v>
      </c>
      <c r="AS99" s="6" t="s">
        <v>1042</v>
      </c>
      <c r="AT99" s="6" t="s">
        <v>86</v>
      </c>
      <c r="AU99" s="10"/>
      <c r="AV99" s="6" t="s">
        <v>75</v>
      </c>
      <c r="AW99" s="6"/>
      <c r="AX99" s="6" t="s">
        <v>1242</v>
      </c>
      <c r="AY99" s="6" t="s">
        <v>1243</v>
      </c>
      <c r="AZ99" s="6" t="s">
        <v>1244</v>
      </c>
      <c r="BA99" s="6" t="s">
        <v>1245</v>
      </c>
      <c r="BB99" s="6"/>
      <c r="BC99" s="11" t="str">
        <f aca="false">IFERROR(INDEX(CATEGORY_MASTER!$C$4:$C$30,MATCH(B99,CATEGORY_MASTER!$A$4:$A$30,0)),"")</f>
        <v>🏛️</v>
      </c>
      <c r="BD99" s="7" t="str">
        <f aca="false">"/services/"&amp;AO99</f>
        <v>/services/ration-card-member-add-delete-correction</v>
      </c>
      <c r="BE99" s="7" t="str">
        <f aca="false">IF(AND(AH99="Yes",AG99="Active",I99&lt;&gt;"Not Available"),"LIVE","HIDDEN")</f>
        <v>HIDDEN</v>
      </c>
      <c r="BF99" s="6" t="s">
        <v>139</v>
      </c>
      <c r="BG99" s="6" t="s">
        <v>93</v>
      </c>
      <c r="BH99" s="7" t="str">
        <f aca="false">B99&amp;"|"&amp;COUNTIF($B$4:B99,B99)</f>
        <v>BASUDHA Kendra|18</v>
      </c>
      <c r="BI99" s="7" t="str">
        <f aca="false">IF(AND(AI99="Yes",BE99="LIVE"),COUNTIFS($AI$4:AI99,"Yes",$BE$4:BE99,"LIVE"),"")</f>
        <v/>
      </c>
      <c r="BJ99" s="7" t="str">
        <f aca="false">IF(AND(AJ99="Yes",BE99="LIVE"),COUNTIFS($AJ$4:AJ99,"Yes",$BE$4:BE99,"LIVE"),"")</f>
        <v/>
      </c>
      <c r="BK99" s="7" t="str">
        <f aca="false">IF(AND(AK99="Yes",BE99="LIVE"),COUNTIFS($AK$4:AK99,"Yes",$BE$4:BE99,"LIVE"),"")</f>
        <v/>
      </c>
      <c r="BL99" s="7" t="n">
        <f aca="false">IF(I99="To Verify",COUNTIF($I$4:I99,"To Verify"),"")</f>
        <v>29</v>
      </c>
    </row>
    <row r="100" customFormat="false" ht="68.65" hidden="false" customHeight="false" outlineLevel="0" collapsed="false">
      <c r="A100" s="5" t="s">
        <v>1246</v>
      </c>
      <c r="B100" s="6" t="s">
        <v>1029</v>
      </c>
      <c r="C100" s="6" t="s">
        <v>1030</v>
      </c>
      <c r="D100" s="6" t="s">
        <v>1224</v>
      </c>
      <c r="E100" s="6" t="s">
        <v>1247</v>
      </c>
      <c r="F100" s="6" t="s">
        <v>1248</v>
      </c>
      <c r="G100" s="6" t="s">
        <v>1249</v>
      </c>
      <c r="H100" s="6" t="s">
        <v>1250</v>
      </c>
      <c r="I100" s="5" t="s">
        <v>221</v>
      </c>
      <c r="J100" s="7" t="str">
        <f aca="false">IFERROR(INDEX(AVAILABILITY_MASTER!$C$4:$C$10,MATCH(I100,AVAILABILITY_MASTER!$A$4:$A$10,0)),"To Be Confirmed")</f>
        <v>Depends on Portal – Confirm at Shop</v>
      </c>
      <c r="K100" s="6" t="s">
        <v>129</v>
      </c>
      <c r="L100" s="6" t="s">
        <v>221</v>
      </c>
      <c r="M100" s="7" t="str">
        <f aca="false">IFERROR(INDEX(SERVICE_DOCUMENTS!$S$4:$S$1000,MATCH(A100,SERVICE_DOCUMENTS!$A$4:$A$1000,0))&amp;"","")</f>
        <v>✓ Aadhaar Card
✓ Active Mobile Number</v>
      </c>
      <c r="N100" s="7" t="str">
        <f aca="false">IFERROR(INDEX(SERVICE_DOCUMENTS!$T$4:$T$1000,MATCH(A100,SERVICE_DOCUMENTS!$A$4:$A$1000,0))&amp;"","")</f>
        <v>• Ration Card (If Applicable)
• Address Proof (To Verify)</v>
      </c>
      <c r="O100" s="6" t="s">
        <v>645</v>
      </c>
      <c r="P100" s="6" t="s">
        <v>1229</v>
      </c>
      <c r="Q100" s="6" t="s">
        <v>78</v>
      </c>
      <c r="R100" s="8" t="s">
        <v>75</v>
      </c>
      <c r="S100" s="8" t="s">
        <v>75</v>
      </c>
      <c r="T100" s="9" t="str">
        <f aca="false">IF(AND(OR(ISNUMBER(R100),R100="N/A"),OR(ISNUMBER(S100),S100="N/A"),OR(ISNUMBER(R100),ISNUMBER(S100))),N(R100)+N(S100),"To Verify")</f>
        <v>To Verify</v>
      </c>
      <c r="U100" s="6" t="s">
        <v>75</v>
      </c>
      <c r="V100" s="6" t="s">
        <v>79</v>
      </c>
      <c r="W100" s="6" t="s">
        <v>80</v>
      </c>
      <c r="X100" s="6" t="s">
        <v>221</v>
      </c>
      <c r="Y100" s="6" t="s">
        <v>74</v>
      </c>
      <c r="Z100" s="6" t="s">
        <v>1038</v>
      </c>
      <c r="AA100" s="6" t="s">
        <v>74</v>
      </c>
      <c r="AB100" s="6" t="s">
        <v>74</v>
      </c>
      <c r="AC100" s="6" t="s">
        <v>75</v>
      </c>
      <c r="AD100" s="6" t="s">
        <v>75</v>
      </c>
      <c r="AE100" s="6" t="s">
        <v>75</v>
      </c>
      <c r="AF100" s="6" t="s">
        <v>75</v>
      </c>
      <c r="AG100" s="6" t="s">
        <v>75</v>
      </c>
      <c r="AH100" s="6" t="s">
        <v>79</v>
      </c>
      <c r="AI100" s="6" t="s">
        <v>79</v>
      </c>
      <c r="AJ100" s="6" t="s">
        <v>79</v>
      </c>
      <c r="AK100" s="6" t="s">
        <v>79</v>
      </c>
      <c r="AL100" s="6" t="s">
        <v>1029</v>
      </c>
      <c r="AM100" s="6" t="s">
        <v>1224</v>
      </c>
      <c r="AN100" s="7" t="str">
        <f aca="false">BA100&amp;", "&amp;AZ100</f>
        <v>Ration Card – Status Check / Download, BASUDHA Kendra, Devmobile Stores, राशन कार्ड – स्थिति जाँच / डाउनलोड, बसुधा केंद्र, सेवा</v>
      </c>
      <c r="AO100" s="6" t="s">
        <v>1251</v>
      </c>
      <c r="AP100" s="5" t="s">
        <v>1231</v>
      </c>
      <c r="AQ100" s="5" t="n">
        <v>190</v>
      </c>
      <c r="AR100" s="6" t="s">
        <v>133</v>
      </c>
      <c r="AS100" s="6" t="s">
        <v>1042</v>
      </c>
      <c r="AT100" s="6" t="s">
        <v>86</v>
      </c>
      <c r="AU100" s="10"/>
      <c r="AV100" s="6" t="s">
        <v>75</v>
      </c>
      <c r="AW100" s="6"/>
      <c r="AX100" s="6" t="s">
        <v>1252</v>
      </c>
      <c r="AY100" s="6" t="s">
        <v>1253</v>
      </c>
      <c r="AZ100" s="6" t="s">
        <v>1254</v>
      </c>
      <c r="BA100" s="6" t="s">
        <v>1255</v>
      </c>
      <c r="BB100" s="6"/>
      <c r="BC100" s="11" t="str">
        <f aca="false">IFERROR(INDEX(CATEGORY_MASTER!$C$4:$C$30,MATCH(B100,CATEGORY_MASTER!$A$4:$A$30,0)),"")</f>
        <v>🏛️</v>
      </c>
      <c r="BD100" s="7" t="str">
        <f aca="false">"/services/"&amp;AO100</f>
        <v>/services/ration-card-status-check-download</v>
      </c>
      <c r="BE100" s="7" t="str">
        <f aca="false">IF(AND(AH100="Yes",AG100="Active",I100&lt;&gt;"Not Available"),"LIVE","HIDDEN")</f>
        <v>HIDDEN</v>
      </c>
      <c r="BF100" s="6" t="s">
        <v>139</v>
      </c>
      <c r="BG100" s="6" t="s">
        <v>93</v>
      </c>
      <c r="BH100" s="7" t="str">
        <f aca="false">B100&amp;"|"&amp;COUNTIF($B$4:B100,B100)</f>
        <v>BASUDHA Kendra|19</v>
      </c>
      <c r="BI100" s="7" t="str">
        <f aca="false">IF(AND(AI100="Yes",BE100="LIVE"),COUNTIFS($AI$4:AI100,"Yes",$BE$4:BE100,"LIVE"),"")</f>
        <v/>
      </c>
      <c r="BJ100" s="7" t="str">
        <f aca="false">IF(AND(AJ100="Yes",BE100="LIVE"),COUNTIFS($AJ$4:AJ100,"Yes",$BE$4:BE100,"LIVE"),"")</f>
        <v/>
      </c>
      <c r="BK100" s="7" t="str">
        <f aca="false">IF(AND(AK100="Yes",BE100="LIVE"),COUNTIFS($AK$4:AK100,"Yes",$BE$4:BE100,"LIVE"),"")</f>
        <v/>
      </c>
      <c r="BL100" s="7" t="str">
        <f aca="false">IF(I100="To Verify",COUNTIF($I$4:I100,"To Verify"),"")</f>
        <v/>
      </c>
    </row>
    <row r="101" customFormat="false" ht="79.85" hidden="false" customHeight="false" outlineLevel="0" collapsed="false">
      <c r="A101" s="5" t="s">
        <v>1256</v>
      </c>
      <c r="B101" s="6" t="s">
        <v>1029</v>
      </c>
      <c r="C101" s="6" t="s">
        <v>1030</v>
      </c>
      <c r="D101" s="6" t="s">
        <v>1257</v>
      </c>
      <c r="E101" s="6" t="s">
        <v>1258</v>
      </c>
      <c r="F101" s="6" t="s">
        <v>1259</v>
      </c>
      <c r="G101" s="6" t="s">
        <v>1260</v>
      </c>
      <c r="H101" s="6" t="s">
        <v>1261</v>
      </c>
      <c r="I101" s="5" t="s">
        <v>75</v>
      </c>
      <c r="J101" s="7" t="str">
        <f aca="false">IFERROR(INDEX(AVAILABILITY_MASTER!$C$4:$C$10,MATCH(I101,AVAILABILITY_MASTER!$A$4:$A$10,0)),"To Be Confirmed")</f>
        <v>To Be Confirmed</v>
      </c>
      <c r="K101" s="6" t="s">
        <v>129</v>
      </c>
      <c r="L101" s="6" t="s">
        <v>75</v>
      </c>
      <c r="M101" s="7" t="str">
        <f aca="false">IFERROR(INDEX(SERVICE_DOCUMENTS!$S$4:$S$1000,MATCH(A101,SERVICE_DOCUMENTS!$A$4:$A$1000,0))&amp;"","")</f>
        <v>✓ Land Records
✓ Aadhaar Card
✓ Active Mobile Number</v>
      </c>
      <c r="N101" s="7" t="str">
        <f aca="false">IFERROR(INDEX(SERVICE_DOCUMENTS!$T$4:$T$1000,MATCH(A101,SERVICE_DOCUMENTS!$A$4:$A$1000,0))&amp;"","")</f>
        <v/>
      </c>
      <c r="O101" s="6" t="s">
        <v>645</v>
      </c>
      <c r="P101" s="6" t="s">
        <v>1262</v>
      </c>
      <c r="Q101" s="6" t="s">
        <v>78</v>
      </c>
      <c r="R101" s="8" t="s">
        <v>75</v>
      </c>
      <c r="S101" s="8" t="s">
        <v>75</v>
      </c>
      <c r="T101" s="9" t="str">
        <f aca="false">IF(AND(OR(ISNUMBER(R101),R101="N/A"),OR(ISNUMBER(S101),S101="N/A"),OR(ISNUMBER(R101),ISNUMBER(S101))),N(R101)+N(S101),"To Verify")</f>
        <v>To Verify</v>
      </c>
      <c r="U101" s="6" t="s">
        <v>75</v>
      </c>
      <c r="V101" s="6" t="s">
        <v>79</v>
      </c>
      <c r="W101" s="6" t="s">
        <v>80</v>
      </c>
      <c r="X101" s="6" t="s">
        <v>221</v>
      </c>
      <c r="Y101" s="6" t="s">
        <v>74</v>
      </c>
      <c r="Z101" s="6" t="s">
        <v>1038</v>
      </c>
      <c r="AA101" s="6" t="s">
        <v>74</v>
      </c>
      <c r="AB101" s="6" t="s">
        <v>74</v>
      </c>
      <c r="AC101" s="6" t="s">
        <v>75</v>
      </c>
      <c r="AD101" s="6" t="s">
        <v>75</v>
      </c>
      <c r="AE101" s="6" t="s">
        <v>75</v>
      </c>
      <c r="AF101" s="6" t="s">
        <v>75</v>
      </c>
      <c r="AG101" s="6" t="s">
        <v>75</v>
      </c>
      <c r="AH101" s="6" t="s">
        <v>79</v>
      </c>
      <c r="AI101" s="6" t="s">
        <v>79</v>
      </c>
      <c r="AJ101" s="6" t="s">
        <v>79</v>
      </c>
      <c r="AK101" s="6" t="s">
        <v>79</v>
      </c>
      <c r="AL101" s="6" t="s">
        <v>1029</v>
      </c>
      <c r="AM101" s="6" t="s">
        <v>1257</v>
      </c>
      <c r="AN101" s="7" t="str">
        <f aca="false">BA101&amp;", "&amp;AZ101</f>
        <v>Land Record (Jamabandi / Khatiyan) Copy Download, BASUDHA Kendra, Devmobile Stores, भूमि रिकॉर्ड (जमाबंदी / खतियान) नकल डाउनलोड, बसुधा केंद्र, सेवा</v>
      </c>
      <c r="AO101" s="6" t="s">
        <v>1263</v>
      </c>
      <c r="AP101" s="5" t="s">
        <v>1264</v>
      </c>
      <c r="AQ101" s="5" t="n">
        <v>200</v>
      </c>
      <c r="AR101" s="6" t="s">
        <v>133</v>
      </c>
      <c r="AS101" s="6" t="s">
        <v>1042</v>
      </c>
      <c r="AT101" s="6" t="s">
        <v>86</v>
      </c>
      <c r="AU101" s="10"/>
      <c r="AV101" s="6" t="s">
        <v>75</v>
      </c>
      <c r="AW101" s="6"/>
      <c r="AX101" s="6" t="s">
        <v>1265</v>
      </c>
      <c r="AY101" s="6" t="s">
        <v>1266</v>
      </c>
      <c r="AZ101" s="6" t="s">
        <v>1267</v>
      </c>
      <c r="BA101" s="6" t="s">
        <v>1268</v>
      </c>
      <c r="BB101" s="6"/>
      <c r="BC101" s="11" t="str">
        <f aca="false">IFERROR(INDEX(CATEGORY_MASTER!$C$4:$C$30,MATCH(B101,CATEGORY_MASTER!$A$4:$A$30,0)),"")</f>
        <v>🏛️</v>
      </c>
      <c r="BD101" s="7" t="str">
        <f aca="false">"/services/"&amp;AO101</f>
        <v>/services/land-record-jamabandi-khatiyan-copy-download</v>
      </c>
      <c r="BE101" s="7" t="str">
        <f aca="false">IF(AND(AH101="Yes",AG101="Active",I101&lt;&gt;"Not Available"),"LIVE","HIDDEN")</f>
        <v>HIDDEN</v>
      </c>
      <c r="BF101" s="6" t="s">
        <v>139</v>
      </c>
      <c r="BG101" s="6" t="s">
        <v>93</v>
      </c>
      <c r="BH101" s="7" t="str">
        <f aca="false">B101&amp;"|"&amp;COUNTIF($B$4:B101,B101)</f>
        <v>BASUDHA Kendra|20</v>
      </c>
      <c r="BI101" s="7" t="str">
        <f aca="false">IF(AND(AI101="Yes",BE101="LIVE"),COUNTIFS($AI$4:AI101,"Yes",$BE$4:BE101,"LIVE"),"")</f>
        <v/>
      </c>
      <c r="BJ101" s="7" t="str">
        <f aca="false">IF(AND(AJ101="Yes",BE101="LIVE"),COUNTIFS($AJ$4:AJ101,"Yes",$BE$4:BE101,"LIVE"),"")</f>
        <v/>
      </c>
      <c r="BK101" s="7" t="str">
        <f aca="false">IF(AND(AK101="Yes",BE101="LIVE"),COUNTIFS($AK$4:AK101,"Yes",$BE$4:BE101,"LIVE"),"")</f>
        <v/>
      </c>
      <c r="BL101" s="7" t="n">
        <f aca="false">IF(I101="To Verify",COUNTIF($I$4:I101,"To Verify"),"")</f>
        <v>30</v>
      </c>
    </row>
    <row r="102" customFormat="false" ht="68.65" hidden="false" customHeight="false" outlineLevel="0" collapsed="false">
      <c r="A102" s="5" t="s">
        <v>1269</v>
      </c>
      <c r="B102" s="6" t="s">
        <v>1029</v>
      </c>
      <c r="C102" s="6" t="s">
        <v>1030</v>
      </c>
      <c r="D102" s="6" t="s">
        <v>1257</v>
      </c>
      <c r="E102" s="6" t="s">
        <v>1270</v>
      </c>
      <c r="F102" s="6" t="s">
        <v>1271</v>
      </c>
      <c r="G102" s="6" t="s">
        <v>1272</v>
      </c>
      <c r="H102" s="6" t="s">
        <v>1273</v>
      </c>
      <c r="I102" s="5" t="s">
        <v>75</v>
      </c>
      <c r="J102" s="7" t="str">
        <f aca="false">IFERROR(INDEX(AVAILABILITY_MASTER!$C$4:$C$10,MATCH(I102,AVAILABILITY_MASTER!$A$4:$A$10,0)),"To Be Confirmed")</f>
        <v>To Be Confirmed</v>
      </c>
      <c r="K102" s="6" t="s">
        <v>129</v>
      </c>
      <c r="L102" s="6" t="s">
        <v>75</v>
      </c>
      <c r="M102" s="7" t="str">
        <f aca="false">IFERROR(INDEX(SERVICE_DOCUMENTS!$S$4:$S$1000,MATCH(A102,SERVICE_DOCUMENTS!$A$4:$A$1000,0))&amp;"","")</f>
        <v>✓ Land Records
✓ Aadhaar Card
✓ Active Mobile Number</v>
      </c>
      <c r="N102" s="7" t="str">
        <f aca="false">IFERROR(INDEX(SERVICE_DOCUMENTS!$T$4:$T$1000,MATCH(A102,SERVICE_DOCUMENTS!$A$4:$A$1000,0))&amp;"","")</f>
        <v/>
      </c>
      <c r="O102" s="6" t="s">
        <v>645</v>
      </c>
      <c r="P102" s="6" t="s">
        <v>1262</v>
      </c>
      <c r="Q102" s="6" t="s">
        <v>78</v>
      </c>
      <c r="R102" s="8" t="s">
        <v>75</v>
      </c>
      <c r="S102" s="8" t="s">
        <v>75</v>
      </c>
      <c r="T102" s="9" t="str">
        <f aca="false">IF(AND(OR(ISNUMBER(R102),R102="N/A"),OR(ISNUMBER(S102),S102="N/A"),OR(ISNUMBER(R102),ISNUMBER(S102))),N(R102)+N(S102),"To Verify")</f>
        <v>To Verify</v>
      </c>
      <c r="U102" s="6" t="s">
        <v>75</v>
      </c>
      <c r="V102" s="6" t="s">
        <v>79</v>
      </c>
      <c r="W102" s="6" t="s">
        <v>80</v>
      </c>
      <c r="X102" s="6" t="s">
        <v>221</v>
      </c>
      <c r="Y102" s="6" t="s">
        <v>74</v>
      </c>
      <c r="Z102" s="6" t="s">
        <v>1038</v>
      </c>
      <c r="AA102" s="6" t="s">
        <v>74</v>
      </c>
      <c r="AB102" s="6" t="s">
        <v>74</v>
      </c>
      <c r="AC102" s="6" t="s">
        <v>75</v>
      </c>
      <c r="AD102" s="6" t="s">
        <v>75</v>
      </c>
      <c r="AE102" s="6" t="s">
        <v>75</v>
      </c>
      <c r="AF102" s="6" t="s">
        <v>75</v>
      </c>
      <c r="AG102" s="6" t="s">
        <v>75</v>
      </c>
      <c r="AH102" s="6" t="s">
        <v>79</v>
      </c>
      <c r="AI102" s="6" t="s">
        <v>79</v>
      </c>
      <c r="AJ102" s="6" t="s">
        <v>79</v>
      </c>
      <c r="AK102" s="6" t="s">
        <v>79</v>
      </c>
      <c r="AL102" s="6" t="s">
        <v>1029</v>
      </c>
      <c r="AM102" s="6" t="s">
        <v>1257</v>
      </c>
      <c r="AN102" s="7" t="str">
        <f aca="false">BA102&amp;", "&amp;AZ102</f>
        <v>Land Mutation (Dakhil-Kharij) Application Assistance, BASUDHA Kendra, Devmobile Stores, दाखिल-खारिज आवेदन सहायता, बसुधा केंद्र, सेवा</v>
      </c>
      <c r="AO102" s="6" t="s">
        <v>1274</v>
      </c>
      <c r="AP102" s="5" t="s">
        <v>1264</v>
      </c>
      <c r="AQ102" s="5" t="n">
        <v>210</v>
      </c>
      <c r="AR102" s="6" t="s">
        <v>133</v>
      </c>
      <c r="AS102" s="6" t="s">
        <v>1042</v>
      </c>
      <c r="AT102" s="6" t="s">
        <v>86</v>
      </c>
      <c r="AU102" s="10"/>
      <c r="AV102" s="6" t="s">
        <v>75</v>
      </c>
      <c r="AW102" s="6"/>
      <c r="AX102" s="6" t="s">
        <v>1275</v>
      </c>
      <c r="AY102" s="6" t="s">
        <v>1276</v>
      </c>
      <c r="AZ102" s="6" t="s">
        <v>1277</v>
      </c>
      <c r="BA102" s="6" t="s">
        <v>1278</v>
      </c>
      <c r="BB102" s="6"/>
      <c r="BC102" s="11" t="str">
        <f aca="false">IFERROR(INDEX(CATEGORY_MASTER!$C$4:$C$30,MATCH(B102,CATEGORY_MASTER!$A$4:$A$30,0)),"")</f>
        <v>🏛️</v>
      </c>
      <c r="BD102" s="7" t="str">
        <f aca="false">"/services/"&amp;AO102</f>
        <v>/services/land-mutation-dakhil-kharij-application-assistance</v>
      </c>
      <c r="BE102" s="7" t="str">
        <f aca="false">IF(AND(AH102="Yes",AG102="Active",I102&lt;&gt;"Not Available"),"LIVE","HIDDEN")</f>
        <v>HIDDEN</v>
      </c>
      <c r="BF102" s="6" t="s">
        <v>139</v>
      </c>
      <c r="BG102" s="6" t="s">
        <v>93</v>
      </c>
      <c r="BH102" s="7" t="str">
        <f aca="false">B102&amp;"|"&amp;COUNTIF($B$4:B102,B102)</f>
        <v>BASUDHA Kendra|21</v>
      </c>
      <c r="BI102" s="7" t="str">
        <f aca="false">IF(AND(AI102="Yes",BE102="LIVE"),COUNTIFS($AI$4:AI102,"Yes",$BE$4:BE102,"LIVE"),"")</f>
        <v/>
      </c>
      <c r="BJ102" s="7" t="str">
        <f aca="false">IF(AND(AJ102="Yes",BE102="LIVE"),COUNTIFS($AJ$4:AJ102,"Yes",$BE$4:BE102,"LIVE"),"")</f>
        <v/>
      </c>
      <c r="BK102" s="7" t="str">
        <f aca="false">IF(AND(AK102="Yes",BE102="LIVE"),COUNTIFS($AK$4:AK102,"Yes",$BE$4:BE102,"LIVE"),"")</f>
        <v/>
      </c>
      <c r="BL102" s="7" t="n">
        <f aca="false">IF(I102="To Verify",COUNTIF($I$4:I102,"To Verify"),"")</f>
        <v>31</v>
      </c>
    </row>
    <row r="103" customFormat="false" ht="68.65" hidden="false" customHeight="false" outlineLevel="0" collapsed="false">
      <c r="A103" s="5" t="s">
        <v>1279</v>
      </c>
      <c r="B103" s="6" t="s">
        <v>1029</v>
      </c>
      <c r="C103" s="6" t="s">
        <v>1030</v>
      </c>
      <c r="D103" s="6" t="s">
        <v>1257</v>
      </c>
      <c r="E103" s="6" t="s">
        <v>1280</v>
      </c>
      <c r="F103" s="6" t="s">
        <v>1281</v>
      </c>
      <c r="G103" s="6" t="s">
        <v>1282</v>
      </c>
      <c r="H103" s="6" t="s">
        <v>1283</v>
      </c>
      <c r="I103" s="5" t="s">
        <v>75</v>
      </c>
      <c r="J103" s="7" t="str">
        <f aca="false">IFERROR(INDEX(AVAILABILITY_MASTER!$C$4:$C$10,MATCH(I103,AVAILABILITY_MASTER!$A$4:$A$10,0)),"To Be Confirmed")</f>
        <v>To Be Confirmed</v>
      </c>
      <c r="K103" s="6" t="s">
        <v>129</v>
      </c>
      <c r="L103" s="6" t="s">
        <v>75</v>
      </c>
      <c r="M103" s="7" t="str">
        <f aca="false">IFERROR(INDEX(SERVICE_DOCUMENTS!$S$4:$S$1000,MATCH(A103,SERVICE_DOCUMENTS!$A$4:$A$1000,0))&amp;"","")</f>
        <v>✓ Land Records
✓ Aadhaar Card
✓ Active Mobile Number</v>
      </c>
      <c r="N103" s="7" t="str">
        <f aca="false">IFERROR(INDEX(SERVICE_DOCUMENTS!$T$4:$T$1000,MATCH(A103,SERVICE_DOCUMENTS!$A$4:$A$1000,0))&amp;"","")</f>
        <v/>
      </c>
      <c r="O103" s="6" t="s">
        <v>645</v>
      </c>
      <c r="P103" s="6" t="s">
        <v>1262</v>
      </c>
      <c r="Q103" s="6" t="s">
        <v>78</v>
      </c>
      <c r="R103" s="8" t="s">
        <v>75</v>
      </c>
      <c r="S103" s="8" t="s">
        <v>75</v>
      </c>
      <c r="T103" s="9" t="str">
        <f aca="false">IF(AND(OR(ISNUMBER(R103),R103="N/A"),OR(ISNUMBER(S103),S103="N/A"),OR(ISNUMBER(R103),ISNUMBER(S103))),N(R103)+N(S103),"To Verify")</f>
        <v>To Verify</v>
      </c>
      <c r="U103" s="6" t="s">
        <v>75</v>
      </c>
      <c r="V103" s="6" t="s">
        <v>79</v>
      </c>
      <c r="W103" s="6" t="s">
        <v>80</v>
      </c>
      <c r="X103" s="6" t="s">
        <v>221</v>
      </c>
      <c r="Y103" s="6" t="s">
        <v>74</v>
      </c>
      <c r="Z103" s="6" t="s">
        <v>1038</v>
      </c>
      <c r="AA103" s="6" t="s">
        <v>74</v>
      </c>
      <c r="AB103" s="6" t="s">
        <v>74</v>
      </c>
      <c r="AC103" s="6" t="s">
        <v>75</v>
      </c>
      <c r="AD103" s="6" t="s">
        <v>75</v>
      </c>
      <c r="AE103" s="6" t="s">
        <v>75</v>
      </c>
      <c r="AF103" s="6" t="s">
        <v>75</v>
      </c>
      <c r="AG103" s="6" t="s">
        <v>75</v>
      </c>
      <c r="AH103" s="6" t="s">
        <v>79</v>
      </c>
      <c r="AI103" s="6" t="s">
        <v>79</v>
      </c>
      <c r="AJ103" s="6" t="s">
        <v>79</v>
      </c>
      <c r="AK103" s="6" t="s">
        <v>79</v>
      </c>
      <c r="AL103" s="6" t="s">
        <v>1029</v>
      </c>
      <c r="AM103" s="6" t="s">
        <v>1257</v>
      </c>
      <c r="AN103" s="7" t="str">
        <f aca="false">BA103&amp;", "&amp;AZ103</f>
        <v>Land Rent (Lagaan) Online Payment Assistance, BASUDHA Kendra, Devmobile Stores, ऑनलाइन लगान भुगतान सहायता, बसुधा केंद्र, सेवा</v>
      </c>
      <c r="AO103" s="6" t="s">
        <v>1284</v>
      </c>
      <c r="AP103" s="5" t="s">
        <v>1264</v>
      </c>
      <c r="AQ103" s="5" t="n">
        <v>220</v>
      </c>
      <c r="AR103" s="6" t="s">
        <v>133</v>
      </c>
      <c r="AS103" s="6" t="s">
        <v>1042</v>
      </c>
      <c r="AT103" s="6" t="s">
        <v>86</v>
      </c>
      <c r="AU103" s="10"/>
      <c r="AV103" s="6" t="s">
        <v>75</v>
      </c>
      <c r="AW103" s="6"/>
      <c r="AX103" s="6" t="s">
        <v>1285</v>
      </c>
      <c r="AY103" s="6" t="s">
        <v>1286</v>
      </c>
      <c r="AZ103" s="6" t="s">
        <v>1287</v>
      </c>
      <c r="BA103" s="6" t="s">
        <v>1288</v>
      </c>
      <c r="BB103" s="6"/>
      <c r="BC103" s="11" t="str">
        <f aca="false">IFERROR(INDEX(CATEGORY_MASTER!$C$4:$C$30,MATCH(B103,CATEGORY_MASTER!$A$4:$A$30,0)),"")</f>
        <v>🏛️</v>
      </c>
      <c r="BD103" s="7" t="str">
        <f aca="false">"/services/"&amp;AO103</f>
        <v>/services/land-rent-lagaan-online-payment-assistance</v>
      </c>
      <c r="BE103" s="7" t="str">
        <f aca="false">IF(AND(AH103="Yes",AG103="Active",I103&lt;&gt;"Not Available"),"LIVE","HIDDEN")</f>
        <v>HIDDEN</v>
      </c>
      <c r="BF103" s="6" t="s">
        <v>139</v>
      </c>
      <c r="BG103" s="6" t="s">
        <v>93</v>
      </c>
      <c r="BH103" s="7" t="str">
        <f aca="false">B103&amp;"|"&amp;COUNTIF($B$4:B103,B103)</f>
        <v>BASUDHA Kendra|22</v>
      </c>
      <c r="BI103" s="7" t="str">
        <f aca="false">IF(AND(AI103="Yes",BE103="LIVE"),COUNTIFS($AI$4:AI103,"Yes",$BE$4:BE103,"LIVE"),"")</f>
        <v/>
      </c>
      <c r="BJ103" s="7" t="str">
        <f aca="false">IF(AND(AJ103="Yes",BE103="LIVE"),COUNTIFS($AJ$4:AJ103,"Yes",$BE$4:BE103,"LIVE"),"")</f>
        <v/>
      </c>
      <c r="BK103" s="7" t="str">
        <f aca="false">IF(AND(AK103="Yes",BE103="LIVE"),COUNTIFS($AK$4:AK103,"Yes",$BE$4:BE103,"LIVE"),"")</f>
        <v/>
      </c>
      <c r="BL103" s="7" t="n">
        <f aca="false">IF(I103="To Verify",COUNTIF($I$4:I103,"To Verify"),"")</f>
        <v>32</v>
      </c>
    </row>
    <row r="104" customFormat="false" ht="79.85" hidden="false" customHeight="false" outlineLevel="0" collapsed="false">
      <c r="A104" s="5" t="s">
        <v>1289</v>
      </c>
      <c r="B104" s="6" t="s">
        <v>1029</v>
      </c>
      <c r="C104" s="6" t="s">
        <v>1030</v>
      </c>
      <c r="D104" s="6" t="s">
        <v>1290</v>
      </c>
      <c r="E104" s="6" t="s">
        <v>1291</v>
      </c>
      <c r="F104" s="6" t="s">
        <v>1292</v>
      </c>
      <c r="G104" s="6" t="s">
        <v>1293</v>
      </c>
      <c r="H104" s="6" t="s">
        <v>1294</v>
      </c>
      <c r="I104" s="5" t="s">
        <v>221</v>
      </c>
      <c r="J104" s="7" t="str">
        <f aca="false">IFERROR(INDEX(AVAILABILITY_MASTER!$C$4:$C$10,MATCH(I104,AVAILABILITY_MASTER!$A$4:$A$10,0)),"To Be Confirmed")</f>
        <v>Depends on Portal – Confirm at Shop</v>
      </c>
      <c r="K104" s="6" t="s">
        <v>129</v>
      </c>
      <c r="L104" s="6" t="s">
        <v>221</v>
      </c>
      <c r="M104" s="7" t="str">
        <f aca="false">IFERROR(INDEX(SERVICE_DOCUMENTS!$S$4:$S$1000,MATCH(A104,SERVICE_DOCUMENTS!$A$4:$A$1000,0))&amp;"","")</f>
        <v>✓ Aadhaar Card
✓ Active Mobile Number</v>
      </c>
      <c r="N104" s="7" t="str">
        <f aca="false">IFERROR(INDEX(SERVICE_DOCUMENTS!$T$4:$T$1000,MATCH(A104,SERVICE_DOCUMENTS!$A$4:$A$1000,0))&amp;"","")</f>
        <v>• Reference / Application Number (If Applicable)</v>
      </c>
      <c r="O104" s="6" t="s">
        <v>645</v>
      </c>
      <c r="P104" s="6" t="s">
        <v>1216</v>
      </c>
      <c r="Q104" s="6" t="s">
        <v>78</v>
      </c>
      <c r="R104" s="8" t="s">
        <v>75</v>
      </c>
      <c r="S104" s="8" t="s">
        <v>75</v>
      </c>
      <c r="T104" s="9" t="str">
        <f aca="false">IF(AND(OR(ISNUMBER(R104),R104="N/A"),OR(ISNUMBER(S104),S104="N/A"),OR(ISNUMBER(R104),ISNUMBER(S104))),N(R104)+N(S104),"To Verify")</f>
        <v>To Verify</v>
      </c>
      <c r="U104" s="6" t="s">
        <v>75</v>
      </c>
      <c r="V104" s="6" t="s">
        <v>79</v>
      </c>
      <c r="W104" s="6" t="s">
        <v>80</v>
      </c>
      <c r="X104" s="6" t="s">
        <v>221</v>
      </c>
      <c r="Y104" s="6" t="s">
        <v>74</v>
      </c>
      <c r="Z104" s="6" t="s">
        <v>1038</v>
      </c>
      <c r="AA104" s="6" t="s">
        <v>74</v>
      </c>
      <c r="AB104" s="6" t="s">
        <v>74</v>
      </c>
      <c r="AC104" s="6" t="s">
        <v>75</v>
      </c>
      <c r="AD104" s="6" t="s">
        <v>75</v>
      </c>
      <c r="AE104" s="6" t="s">
        <v>75</v>
      </c>
      <c r="AF104" s="6" t="s">
        <v>75</v>
      </c>
      <c r="AG104" s="6" t="s">
        <v>75</v>
      </c>
      <c r="AH104" s="6" t="s">
        <v>79</v>
      </c>
      <c r="AI104" s="6" t="s">
        <v>79</v>
      </c>
      <c r="AJ104" s="6" t="s">
        <v>79</v>
      </c>
      <c r="AK104" s="6" t="s">
        <v>79</v>
      </c>
      <c r="AL104" s="6" t="s">
        <v>1029</v>
      </c>
      <c r="AM104" s="6" t="s">
        <v>1290</v>
      </c>
      <c r="AN104" s="7" t="str">
        <f aca="false">BA104&amp;", "&amp;AZ104</f>
        <v>Public Service Application (RTPS / e-Service) – General, BASUDHA Kendra, Devmobile Stores, लोक सेवा आवेदन (RTPS / e-Service) – सामान्य, बसुधा केंद्र, सेवा</v>
      </c>
      <c r="AO104" s="6" t="s">
        <v>1295</v>
      </c>
      <c r="AP104" s="5" t="s">
        <v>1185</v>
      </c>
      <c r="AQ104" s="5" t="n">
        <v>230</v>
      </c>
      <c r="AR104" s="6" t="s">
        <v>133</v>
      </c>
      <c r="AS104" s="6" t="s">
        <v>1042</v>
      </c>
      <c r="AT104" s="6" t="s">
        <v>86</v>
      </c>
      <c r="AU104" s="10"/>
      <c r="AV104" s="6" t="s">
        <v>75</v>
      </c>
      <c r="AW104" s="6"/>
      <c r="AX104" s="6" t="s">
        <v>1296</v>
      </c>
      <c r="AY104" s="6" t="s">
        <v>1297</v>
      </c>
      <c r="AZ104" s="6" t="s">
        <v>1298</v>
      </c>
      <c r="BA104" s="6" t="s">
        <v>1299</v>
      </c>
      <c r="BB104" s="6"/>
      <c r="BC104" s="11" t="str">
        <f aca="false">IFERROR(INDEX(CATEGORY_MASTER!$C$4:$C$30,MATCH(B104,CATEGORY_MASTER!$A$4:$A$30,0)),"")</f>
        <v>🏛️</v>
      </c>
      <c r="BD104" s="7" t="str">
        <f aca="false">"/services/"&amp;AO104</f>
        <v>/services/public-service-application-rtps-e-service-general</v>
      </c>
      <c r="BE104" s="7" t="str">
        <f aca="false">IF(AND(AH104="Yes",AG104="Active",I104&lt;&gt;"Not Available"),"LIVE","HIDDEN")</f>
        <v>HIDDEN</v>
      </c>
      <c r="BF104" s="6" t="s">
        <v>139</v>
      </c>
      <c r="BG104" s="6" t="s">
        <v>93</v>
      </c>
      <c r="BH104" s="7" t="str">
        <f aca="false">B104&amp;"|"&amp;COUNTIF($B$4:B104,B104)</f>
        <v>BASUDHA Kendra|23</v>
      </c>
      <c r="BI104" s="7" t="str">
        <f aca="false">IF(AND(AI104="Yes",BE104="LIVE"),COUNTIFS($AI$4:AI104,"Yes",$BE$4:BE104,"LIVE"),"")</f>
        <v/>
      </c>
      <c r="BJ104" s="7" t="str">
        <f aca="false">IF(AND(AJ104="Yes",BE104="LIVE"),COUNTIFS($AJ$4:AJ104,"Yes",$BE$4:BE104,"LIVE"),"")</f>
        <v/>
      </c>
      <c r="BK104" s="7" t="str">
        <f aca="false">IF(AND(AK104="Yes",BE104="LIVE"),COUNTIFS($AK$4:AK104,"Yes",$BE$4:BE104,"LIVE"),"")</f>
        <v/>
      </c>
      <c r="BL104" s="7" t="str">
        <f aca="false">IF(I104="To Verify",COUNTIF($I$4:I104,"To Verify"),"")</f>
        <v/>
      </c>
    </row>
    <row r="105" customFormat="false" ht="68.65" hidden="false" customHeight="false" outlineLevel="0" collapsed="false">
      <c r="A105" s="5" t="s">
        <v>1300</v>
      </c>
      <c r="B105" s="6" t="s">
        <v>1029</v>
      </c>
      <c r="C105" s="6" t="s">
        <v>1030</v>
      </c>
      <c r="D105" s="6" t="s">
        <v>1290</v>
      </c>
      <c r="E105" s="6" t="s">
        <v>1301</v>
      </c>
      <c r="F105" s="6" t="s">
        <v>1302</v>
      </c>
      <c r="G105" s="6" t="s">
        <v>1303</v>
      </c>
      <c r="H105" s="6" t="s">
        <v>1304</v>
      </c>
      <c r="I105" s="5" t="s">
        <v>221</v>
      </c>
      <c r="J105" s="7" t="str">
        <f aca="false">IFERROR(INDEX(AVAILABILITY_MASTER!$C$4:$C$10,MATCH(I105,AVAILABILITY_MASTER!$A$4:$A$10,0)),"To Be Confirmed")</f>
        <v>Depends on Portal – Confirm at Shop</v>
      </c>
      <c r="K105" s="6" t="s">
        <v>129</v>
      </c>
      <c r="L105" s="6" t="s">
        <v>221</v>
      </c>
      <c r="M105" s="7" t="str">
        <f aca="false">IFERROR(INDEX(SERVICE_DOCUMENTS!$S$4:$S$1000,MATCH(A105,SERVICE_DOCUMENTS!$A$4:$A$1000,0))&amp;"","")</f>
        <v>✓ Aadhaar Card
✓ Active Mobile Number</v>
      </c>
      <c r="N105" s="7" t="str">
        <f aca="false">IFERROR(INDEX(SERVICE_DOCUMENTS!$T$4:$T$1000,MATCH(A105,SERVICE_DOCUMENTS!$A$4:$A$1000,0))&amp;"","")</f>
        <v>• Reference / Application Number (If Applicable)</v>
      </c>
      <c r="O105" s="6" t="s">
        <v>645</v>
      </c>
      <c r="P105" s="6" t="s">
        <v>1216</v>
      </c>
      <c r="Q105" s="6" t="s">
        <v>78</v>
      </c>
      <c r="R105" s="8" t="s">
        <v>75</v>
      </c>
      <c r="S105" s="8" t="s">
        <v>75</v>
      </c>
      <c r="T105" s="9" t="str">
        <f aca="false">IF(AND(OR(ISNUMBER(R105),R105="N/A"),OR(ISNUMBER(S105),S105="N/A"),OR(ISNUMBER(R105),ISNUMBER(S105))),N(R105)+N(S105),"To Verify")</f>
        <v>To Verify</v>
      </c>
      <c r="U105" s="6" t="s">
        <v>75</v>
      </c>
      <c r="V105" s="6" t="s">
        <v>79</v>
      </c>
      <c r="W105" s="6" t="s">
        <v>80</v>
      </c>
      <c r="X105" s="6" t="s">
        <v>221</v>
      </c>
      <c r="Y105" s="6" t="s">
        <v>74</v>
      </c>
      <c r="Z105" s="6" t="s">
        <v>1038</v>
      </c>
      <c r="AA105" s="6" t="s">
        <v>74</v>
      </c>
      <c r="AB105" s="6" t="s">
        <v>74</v>
      </c>
      <c r="AC105" s="6" t="s">
        <v>75</v>
      </c>
      <c r="AD105" s="6" t="s">
        <v>75</v>
      </c>
      <c r="AE105" s="6" t="s">
        <v>75</v>
      </c>
      <c r="AF105" s="6" t="s">
        <v>75</v>
      </c>
      <c r="AG105" s="6" t="s">
        <v>75</v>
      </c>
      <c r="AH105" s="6" t="s">
        <v>79</v>
      </c>
      <c r="AI105" s="6" t="s">
        <v>79</v>
      </c>
      <c r="AJ105" s="6" t="s">
        <v>79</v>
      </c>
      <c r="AK105" s="6" t="s">
        <v>79</v>
      </c>
      <c r="AL105" s="6" t="s">
        <v>1029</v>
      </c>
      <c r="AM105" s="6" t="s">
        <v>1290</v>
      </c>
      <c r="AN105" s="7" t="str">
        <f aca="false">BA105&amp;", "&amp;AZ105</f>
        <v>Online Government Application – General, BASUDHA Kendra, Devmobile Stores, ऑनलाइन सरकारी आवेदन – सामान्य, बसुधा केंद्र, सेवा</v>
      </c>
      <c r="AO105" s="6" t="s">
        <v>1305</v>
      </c>
      <c r="AP105" s="5" t="s">
        <v>1185</v>
      </c>
      <c r="AQ105" s="5" t="n">
        <v>240</v>
      </c>
      <c r="AR105" s="6" t="s">
        <v>133</v>
      </c>
      <c r="AS105" s="6" t="s">
        <v>1042</v>
      </c>
      <c r="AT105" s="6" t="s">
        <v>86</v>
      </c>
      <c r="AU105" s="10"/>
      <c r="AV105" s="6" t="s">
        <v>75</v>
      </c>
      <c r="AW105" s="6"/>
      <c r="AX105" s="6" t="s">
        <v>1306</v>
      </c>
      <c r="AY105" s="6" t="s">
        <v>1307</v>
      </c>
      <c r="AZ105" s="6" t="s">
        <v>1308</v>
      </c>
      <c r="BA105" s="6" t="s">
        <v>1309</v>
      </c>
      <c r="BB105" s="6"/>
      <c r="BC105" s="11" t="str">
        <f aca="false">IFERROR(INDEX(CATEGORY_MASTER!$C$4:$C$30,MATCH(B105,CATEGORY_MASTER!$A$4:$A$30,0)),"")</f>
        <v>🏛️</v>
      </c>
      <c r="BD105" s="7" t="str">
        <f aca="false">"/services/"&amp;AO105</f>
        <v>/services/online-government-application-general</v>
      </c>
      <c r="BE105" s="7" t="str">
        <f aca="false">IF(AND(AH105="Yes",AG105="Active",I105&lt;&gt;"Not Available"),"LIVE","HIDDEN")</f>
        <v>HIDDEN</v>
      </c>
      <c r="BF105" s="6" t="s">
        <v>139</v>
      </c>
      <c r="BG105" s="6" t="s">
        <v>93</v>
      </c>
      <c r="BH105" s="7" t="str">
        <f aca="false">B105&amp;"|"&amp;COUNTIF($B$4:B105,B105)</f>
        <v>BASUDHA Kendra|24</v>
      </c>
      <c r="BI105" s="7" t="str">
        <f aca="false">IF(AND(AI105="Yes",BE105="LIVE"),COUNTIFS($AI$4:AI105,"Yes",$BE$4:BE105,"LIVE"),"")</f>
        <v/>
      </c>
      <c r="BJ105" s="7" t="str">
        <f aca="false">IF(AND(AJ105="Yes",BE105="LIVE"),COUNTIFS($AJ$4:AJ105,"Yes",$BE$4:BE105,"LIVE"),"")</f>
        <v/>
      </c>
      <c r="BK105" s="7" t="str">
        <f aca="false">IF(AND(AK105="Yes",BE105="LIVE"),COUNTIFS($AK$4:AK105,"Yes",$BE$4:BE105,"LIVE"),"")</f>
        <v/>
      </c>
      <c r="BL105" s="7" t="str">
        <f aca="false">IF(I105="To Verify",COUNTIF($I$4:I105,"To Verify"),"")</f>
        <v/>
      </c>
    </row>
    <row r="106" customFormat="false" ht="57.45" hidden="false" customHeight="false" outlineLevel="0" collapsed="false">
      <c r="A106" s="5" t="s">
        <v>1310</v>
      </c>
      <c r="B106" s="6" t="s">
        <v>1029</v>
      </c>
      <c r="C106" s="6" t="s">
        <v>1030</v>
      </c>
      <c r="D106" s="6" t="s">
        <v>1290</v>
      </c>
      <c r="E106" s="6" t="s">
        <v>1311</v>
      </c>
      <c r="F106" s="6" t="s">
        <v>1312</v>
      </c>
      <c r="G106" s="6" t="s">
        <v>1313</v>
      </c>
      <c r="H106" s="6" t="s">
        <v>1314</v>
      </c>
      <c r="I106" s="5" t="s">
        <v>221</v>
      </c>
      <c r="J106" s="7" t="str">
        <f aca="false">IFERROR(INDEX(AVAILABILITY_MASTER!$C$4:$C$10,MATCH(I106,AVAILABILITY_MASTER!$A$4:$A$10,0)),"To Be Confirmed")</f>
        <v>Depends on Portal – Confirm at Shop</v>
      </c>
      <c r="K106" s="6" t="s">
        <v>129</v>
      </c>
      <c r="L106" s="6" t="s">
        <v>221</v>
      </c>
      <c r="M106" s="7" t="str">
        <f aca="false">IFERROR(INDEX(SERVICE_DOCUMENTS!$S$4:$S$1000,MATCH(A106,SERVICE_DOCUMENTS!$A$4:$A$1000,0))&amp;"","")</f>
        <v>✓ Aadhaar Card
✓ Active Mobile Number</v>
      </c>
      <c r="N106" s="7" t="str">
        <f aca="false">IFERROR(INDEX(SERVICE_DOCUMENTS!$T$4:$T$1000,MATCH(A106,SERVICE_DOCUMENTS!$A$4:$A$1000,0))&amp;"","")</f>
        <v>• Reference / Application Number (If Applicable)</v>
      </c>
      <c r="O106" s="6" t="s">
        <v>645</v>
      </c>
      <c r="P106" s="6" t="s">
        <v>1216</v>
      </c>
      <c r="Q106" s="6" t="s">
        <v>78</v>
      </c>
      <c r="R106" s="8" t="s">
        <v>75</v>
      </c>
      <c r="S106" s="8" t="s">
        <v>75</v>
      </c>
      <c r="T106" s="9" t="str">
        <f aca="false">IF(AND(OR(ISNUMBER(R106),R106="N/A"),OR(ISNUMBER(S106),S106="N/A"),OR(ISNUMBER(R106),ISNUMBER(S106))),N(R106)+N(S106),"To Verify")</f>
        <v>To Verify</v>
      </c>
      <c r="U106" s="6" t="s">
        <v>75</v>
      </c>
      <c r="V106" s="6" t="s">
        <v>79</v>
      </c>
      <c r="W106" s="6" t="s">
        <v>80</v>
      </c>
      <c r="X106" s="6" t="s">
        <v>221</v>
      </c>
      <c r="Y106" s="6" t="s">
        <v>74</v>
      </c>
      <c r="Z106" s="6" t="s">
        <v>1038</v>
      </c>
      <c r="AA106" s="6" t="s">
        <v>74</v>
      </c>
      <c r="AB106" s="6" t="s">
        <v>74</v>
      </c>
      <c r="AC106" s="6" t="s">
        <v>75</v>
      </c>
      <c r="AD106" s="6" t="s">
        <v>75</v>
      </c>
      <c r="AE106" s="6" t="s">
        <v>75</v>
      </c>
      <c r="AF106" s="6" t="s">
        <v>75</v>
      </c>
      <c r="AG106" s="6" t="s">
        <v>75</v>
      </c>
      <c r="AH106" s="6" t="s">
        <v>79</v>
      </c>
      <c r="AI106" s="6" t="s">
        <v>79</v>
      </c>
      <c r="AJ106" s="6" t="s">
        <v>79</v>
      </c>
      <c r="AK106" s="6" t="s">
        <v>79</v>
      </c>
      <c r="AL106" s="6" t="s">
        <v>1029</v>
      </c>
      <c r="AM106" s="6" t="s">
        <v>1290</v>
      </c>
      <c r="AN106" s="7" t="str">
        <f aca="false">BA106&amp;", "&amp;AZ106</f>
        <v>Application Status Check, BASUDHA Kendra, Devmobile Stores, आवेदन स्थिति जाँच, बसुधा केंद्र, सेवा</v>
      </c>
      <c r="AO106" s="6" t="s">
        <v>1315</v>
      </c>
      <c r="AP106" s="5" t="s">
        <v>1185</v>
      </c>
      <c r="AQ106" s="5" t="n">
        <v>250</v>
      </c>
      <c r="AR106" s="6" t="s">
        <v>133</v>
      </c>
      <c r="AS106" s="6" t="s">
        <v>1042</v>
      </c>
      <c r="AT106" s="6" t="s">
        <v>86</v>
      </c>
      <c r="AU106" s="10"/>
      <c r="AV106" s="6" t="s">
        <v>75</v>
      </c>
      <c r="AW106" s="6"/>
      <c r="AX106" s="6" t="s">
        <v>1316</v>
      </c>
      <c r="AY106" s="6" t="s">
        <v>1317</v>
      </c>
      <c r="AZ106" s="6" t="s">
        <v>1318</v>
      </c>
      <c r="BA106" s="6" t="s">
        <v>1319</v>
      </c>
      <c r="BB106" s="6"/>
      <c r="BC106" s="11" t="str">
        <f aca="false">IFERROR(INDEX(CATEGORY_MASTER!$C$4:$C$30,MATCH(B106,CATEGORY_MASTER!$A$4:$A$30,0)),"")</f>
        <v>🏛️</v>
      </c>
      <c r="BD106" s="7" t="str">
        <f aca="false">"/services/"&amp;AO106</f>
        <v>/services/application-status-check</v>
      </c>
      <c r="BE106" s="7" t="str">
        <f aca="false">IF(AND(AH106="Yes",AG106="Active",I106&lt;&gt;"Not Available"),"LIVE","HIDDEN")</f>
        <v>HIDDEN</v>
      </c>
      <c r="BF106" s="6" t="s">
        <v>139</v>
      </c>
      <c r="BG106" s="6" t="s">
        <v>93</v>
      </c>
      <c r="BH106" s="7" t="str">
        <f aca="false">B106&amp;"|"&amp;COUNTIF($B$4:B106,B106)</f>
        <v>BASUDHA Kendra|25</v>
      </c>
      <c r="BI106" s="7" t="str">
        <f aca="false">IF(AND(AI106="Yes",BE106="LIVE"),COUNTIFS($AI$4:AI106,"Yes",$BE$4:BE106,"LIVE"),"")</f>
        <v/>
      </c>
      <c r="BJ106" s="7" t="str">
        <f aca="false">IF(AND(AJ106="Yes",BE106="LIVE"),COUNTIFS($AJ$4:AJ106,"Yes",$BE$4:BE106,"LIVE"),"")</f>
        <v/>
      </c>
      <c r="BK106" s="7" t="str">
        <f aca="false">IF(AND(AK106="Yes",BE106="LIVE"),COUNTIFS($AK$4:AK106,"Yes",$BE$4:BE106,"LIVE"),"")</f>
        <v/>
      </c>
      <c r="BL106" s="7" t="str">
        <f aca="false">IF(I106="To Verify",COUNTIF($I$4:I106,"To Verify"),"")</f>
        <v/>
      </c>
    </row>
    <row r="107" customFormat="false" ht="68.65" hidden="false" customHeight="false" outlineLevel="0" collapsed="false">
      <c r="A107" s="5" t="s">
        <v>1320</v>
      </c>
      <c r="B107" s="6" t="s">
        <v>1029</v>
      </c>
      <c r="C107" s="6" t="s">
        <v>1030</v>
      </c>
      <c r="D107" s="6" t="s">
        <v>1290</v>
      </c>
      <c r="E107" s="6" t="s">
        <v>1321</v>
      </c>
      <c r="F107" s="6" t="s">
        <v>1322</v>
      </c>
      <c r="G107" s="6" t="s">
        <v>1323</v>
      </c>
      <c r="H107" s="6" t="s">
        <v>1324</v>
      </c>
      <c r="I107" s="5" t="s">
        <v>221</v>
      </c>
      <c r="J107" s="7" t="str">
        <f aca="false">IFERROR(INDEX(AVAILABILITY_MASTER!$C$4:$C$10,MATCH(I107,AVAILABILITY_MASTER!$A$4:$A$10,0)),"To Be Confirmed")</f>
        <v>Depends on Portal – Confirm at Shop</v>
      </c>
      <c r="K107" s="6" t="s">
        <v>129</v>
      </c>
      <c r="L107" s="6" t="s">
        <v>221</v>
      </c>
      <c r="M107" s="7" t="str">
        <f aca="false">IFERROR(INDEX(SERVICE_DOCUMENTS!$S$4:$S$1000,MATCH(A107,SERVICE_DOCUMENTS!$A$4:$A$1000,0))&amp;"","")</f>
        <v>✓ Aadhaar Card
✓ Active Mobile Number</v>
      </c>
      <c r="N107" s="7" t="str">
        <f aca="false">IFERROR(INDEX(SERVICE_DOCUMENTS!$T$4:$T$1000,MATCH(A107,SERVICE_DOCUMENTS!$A$4:$A$1000,0))&amp;"","")</f>
        <v>• Reference / Application Number (If Applicable)</v>
      </c>
      <c r="O107" s="6" t="s">
        <v>645</v>
      </c>
      <c r="P107" s="6" t="s">
        <v>1216</v>
      </c>
      <c r="Q107" s="6" t="s">
        <v>78</v>
      </c>
      <c r="R107" s="8" t="s">
        <v>75</v>
      </c>
      <c r="S107" s="8" t="s">
        <v>75</v>
      </c>
      <c r="T107" s="9" t="str">
        <f aca="false">IF(AND(OR(ISNUMBER(R107),R107="N/A"),OR(ISNUMBER(S107),S107="N/A"),OR(ISNUMBER(R107),ISNUMBER(S107))),N(R107)+N(S107),"To Verify")</f>
        <v>To Verify</v>
      </c>
      <c r="U107" s="6" t="s">
        <v>75</v>
      </c>
      <c r="V107" s="6" t="s">
        <v>79</v>
      </c>
      <c r="W107" s="6" t="s">
        <v>80</v>
      </c>
      <c r="X107" s="6" t="s">
        <v>221</v>
      </c>
      <c r="Y107" s="6" t="s">
        <v>74</v>
      </c>
      <c r="Z107" s="6" t="s">
        <v>1038</v>
      </c>
      <c r="AA107" s="6" t="s">
        <v>74</v>
      </c>
      <c r="AB107" s="6" t="s">
        <v>74</v>
      </c>
      <c r="AC107" s="6" t="s">
        <v>75</v>
      </c>
      <c r="AD107" s="6" t="s">
        <v>75</v>
      </c>
      <c r="AE107" s="6" t="s">
        <v>75</v>
      </c>
      <c r="AF107" s="6" t="s">
        <v>75</v>
      </c>
      <c r="AG107" s="6" t="s">
        <v>75</v>
      </c>
      <c r="AH107" s="6" t="s">
        <v>79</v>
      </c>
      <c r="AI107" s="6" t="s">
        <v>79</v>
      </c>
      <c r="AJ107" s="6" t="s">
        <v>79</v>
      </c>
      <c r="AK107" s="6" t="s">
        <v>79</v>
      </c>
      <c r="AL107" s="6" t="s">
        <v>1029</v>
      </c>
      <c r="AM107" s="6" t="s">
        <v>1290</v>
      </c>
      <c r="AN107" s="7" t="str">
        <f aca="false">BA107&amp;", "&amp;AZ107</f>
        <v>Application Acknowledgement / Receipt Print, BASUDHA Kendra, Devmobile Stores, आवेदन पावती / रसीद प्रिंट, बसुधा केंद्र, सेवा</v>
      </c>
      <c r="AO107" s="6" t="s">
        <v>1325</v>
      </c>
      <c r="AP107" s="5" t="s">
        <v>1185</v>
      </c>
      <c r="AQ107" s="5" t="n">
        <v>260</v>
      </c>
      <c r="AR107" s="6" t="s">
        <v>133</v>
      </c>
      <c r="AS107" s="6" t="s">
        <v>1042</v>
      </c>
      <c r="AT107" s="6" t="s">
        <v>86</v>
      </c>
      <c r="AU107" s="10"/>
      <c r="AV107" s="6" t="s">
        <v>75</v>
      </c>
      <c r="AW107" s="6" t="s">
        <v>446</v>
      </c>
      <c r="AX107" s="6" t="s">
        <v>1326</v>
      </c>
      <c r="AY107" s="6" t="s">
        <v>1327</v>
      </c>
      <c r="AZ107" s="6" t="s">
        <v>1328</v>
      </c>
      <c r="BA107" s="6" t="s">
        <v>1329</v>
      </c>
      <c r="BB107" s="6"/>
      <c r="BC107" s="11" t="str">
        <f aca="false">IFERROR(INDEX(CATEGORY_MASTER!$C$4:$C$30,MATCH(B107,CATEGORY_MASTER!$A$4:$A$30,0)),"")</f>
        <v>🏛️</v>
      </c>
      <c r="BD107" s="7" t="str">
        <f aca="false">"/services/"&amp;AO107</f>
        <v>/services/application-acknowledgement-receipt-print</v>
      </c>
      <c r="BE107" s="7" t="str">
        <f aca="false">IF(AND(AH107="Yes",AG107="Active",I107&lt;&gt;"Not Available"),"LIVE","HIDDEN")</f>
        <v>HIDDEN</v>
      </c>
      <c r="BF107" s="6" t="s">
        <v>139</v>
      </c>
      <c r="BG107" s="6" t="s">
        <v>93</v>
      </c>
      <c r="BH107" s="7" t="str">
        <f aca="false">B107&amp;"|"&amp;COUNTIF($B$4:B107,B107)</f>
        <v>BASUDHA Kendra|26</v>
      </c>
      <c r="BI107" s="7" t="str">
        <f aca="false">IF(AND(AI107="Yes",BE107="LIVE"),COUNTIFS($AI$4:AI107,"Yes",$BE$4:BE107,"LIVE"),"")</f>
        <v/>
      </c>
      <c r="BJ107" s="7" t="str">
        <f aca="false">IF(AND(AJ107="Yes",BE107="LIVE"),COUNTIFS($AJ$4:AJ107,"Yes",$BE$4:BE107,"LIVE"),"")</f>
        <v/>
      </c>
      <c r="BK107" s="7" t="str">
        <f aca="false">IF(AND(AK107="Yes",BE107="LIVE"),COUNTIFS($AK$4:AK107,"Yes",$BE$4:BE107,"LIVE"),"")</f>
        <v/>
      </c>
      <c r="BL107" s="7" t="str">
        <f aca="false">IF(I107="To Verify",COUNTIF($I$4:I107,"To Verify"),"")</f>
        <v/>
      </c>
    </row>
    <row r="108" customFormat="false" ht="68.65" hidden="false" customHeight="false" outlineLevel="0" collapsed="false">
      <c r="A108" s="5" t="s">
        <v>1330</v>
      </c>
      <c r="B108" s="6" t="s">
        <v>1029</v>
      </c>
      <c r="C108" s="6" t="s">
        <v>1030</v>
      </c>
      <c r="D108" s="6" t="s">
        <v>1290</v>
      </c>
      <c r="E108" s="6" t="s">
        <v>1331</v>
      </c>
      <c r="F108" s="6" t="s">
        <v>1332</v>
      </c>
      <c r="G108" s="6" t="s">
        <v>1333</v>
      </c>
      <c r="H108" s="6" t="s">
        <v>1334</v>
      </c>
      <c r="I108" s="5" t="s">
        <v>75</v>
      </c>
      <c r="J108" s="7" t="str">
        <f aca="false">IFERROR(INDEX(AVAILABILITY_MASTER!$C$4:$C$10,MATCH(I108,AVAILABILITY_MASTER!$A$4:$A$10,0)),"To Be Confirmed")</f>
        <v>To Be Confirmed</v>
      </c>
      <c r="K108" s="6" t="s">
        <v>129</v>
      </c>
      <c r="L108" s="6" t="s">
        <v>75</v>
      </c>
      <c r="M108" s="7" t="str">
        <f aca="false">IFERROR(INDEX(SERVICE_DOCUMENTS!$S$4:$S$1000,MATCH(A108,SERVICE_DOCUMENTS!$A$4:$A$1000,0))&amp;"","")</f>
        <v>✓ Aadhaar Card
✓ Active Mobile Number</v>
      </c>
      <c r="N108" s="7" t="str">
        <f aca="false">IFERROR(INDEX(SERVICE_DOCUMENTS!$T$4:$T$1000,MATCH(A108,SERVICE_DOCUMENTS!$A$4:$A$1000,0))&amp;"","")</f>
        <v>• Reference / Application Number (If Applicable)</v>
      </c>
      <c r="O108" s="6" t="s">
        <v>645</v>
      </c>
      <c r="P108" s="6" t="s">
        <v>1216</v>
      </c>
      <c r="Q108" s="6" t="s">
        <v>78</v>
      </c>
      <c r="R108" s="8" t="s">
        <v>75</v>
      </c>
      <c r="S108" s="8" t="s">
        <v>75</v>
      </c>
      <c r="T108" s="9" t="str">
        <f aca="false">IF(AND(OR(ISNUMBER(R108),R108="N/A"),OR(ISNUMBER(S108),S108="N/A"),OR(ISNUMBER(R108),ISNUMBER(S108))),N(R108)+N(S108),"To Verify")</f>
        <v>To Verify</v>
      </c>
      <c r="U108" s="6" t="s">
        <v>75</v>
      </c>
      <c r="V108" s="6" t="s">
        <v>79</v>
      </c>
      <c r="W108" s="6" t="s">
        <v>80</v>
      </c>
      <c r="X108" s="6" t="s">
        <v>221</v>
      </c>
      <c r="Y108" s="6" t="s">
        <v>74</v>
      </c>
      <c r="Z108" s="6" t="s">
        <v>1038</v>
      </c>
      <c r="AA108" s="6" t="s">
        <v>74</v>
      </c>
      <c r="AB108" s="6" t="s">
        <v>74</v>
      </c>
      <c r="AC108" s="6" t="s">
        <v>75</v>
      </c>
      <c r="AD108" s="6" t="s">
        <v>75</v>
      </c>
      <c r="AE108" s="6" t="s">
        <v>75</v>
      </c>
      <c r="AF108" s="6" t="s">
        <v>75</v>
      </c>
      <c r="AG108" s="6" t="s">
        <v>75</v>
      </c>
      <c r="AH108" s="6" t="s">
        <v>79</v>
      </c>
      <c r="AI108" s="6" t="s">
        <v>79</v>
      </c>
      <c r="AJ108" s="6" t="s">
        <v>79</v>
      </c>
      <c r="AK108" s="6" t="s">
        <v>79</v>
      </c>
      <c r="AL108" s="6" t="s">
        <v>1029</v>
      </c>
      <c r="AM108" s="6" t="s">
        <v>1290</v>
      </c>
      <c r="AN108" s="7" t="str">
        <f aca="false">BA108&amp;", "&amp;AZ108</f>
        <v>Public Grievance / Complaint Filing Assistance, BASUDHA Kendra, Devmobile Stores, सरकारी शिकायत / जनसुनवाई दर्ज करने में सहायता, बसुधा केंद्र, सेवा</v>
      </c>
      <c r="AO108" s="6" t="s">
        <v>1335</v>
      </c>
      <c r="AP108" s="5" t="s">
        <v>1185</v>
      </c>
      <c r="AQ108" s="5" t="n">
        <v>270</v>
      </c>
      <c r="AR108" s="6" t="s">
        <v>133</v>
      </c>
      <c r="AS108" s="6" t="s">
        <v>1042</v>
      </c>
      <c r="AT108" s="6" t="s">
        <v>86</v>
      </c>
      <c r="AU108" s="10"/>
      <c r="AV108" s="6" t="s">
        <v>75</v>
      </c>
      <c r="AW108" s="6"/>
      <c r="AX108" s="6" t="s">
        <v>1336</v>
      </c>
      <c r="AY108" s="6" t="s">
        <v>1337</v>
      </c>
      <c r="AZ108" s="6" t="s">
        <v>1338</v>
      </c>
      <c r="BA108" s="6" t="s">
        <v>1339</v>
      </c>
      <c r="BB108" s="6"/>
      <c r="BC108" s="11" t="str">
        <f aca="false">IFERROR(INDEX(CATEGORY_MASTER!$C$4:$C$30,MATCH(B108,CATEGORY_MASTER!$A$4:$A$30,0)),"")</f>
        <v>🏛️</v>
      </c>
      <c r="BD108" s="7" t="str">
        <f aca="false">"/services/"&amp;AO108</f>
        <v>/services/public-grievance-complaint-filing-assistance</v>
      </c>
      <c r="BE108" s="7" t="str">
        <f aca="false">IF(AND(AH108="Yes",AG108="Active",I108&lt;&gt;"Not Available"),"LIVE","HIDDEN")</f>
        <v>HIDDEN</v>
      </c>
      <c r="BF108" s="6" t="s">
        <v>139</v>
      </c>
      <c r="BG108" s="6" t="s">
        <v>93</v>
      </c>
      <c r="BH108" s="7" t="str">
        <f aca="false">B108&amp;"|"&amp;COUNTIF($B$4:B108,B108)</f>
        <v>BASUDHA Kendra|27</v>
      </c>
      <c r="BI108" s="7" t="str">
        <f aca="false">IF(AND(AI108="Yes",BE108="LIVE"),COUNTIFS($AI$4:AI108,"Yes",$BE$4:BE108,"LIVE"),"")</f>
        <v/>
      </c>
      <c r="BJ108" s="7" t="str">
        <f aca="false">IF(AND(AJ108="Yes",BE108="LIVE"),COUNTIFS($AJ$4:AJ108,"Yes",$BE$4:BE108,"LIVE"),"")</f>
        <v/>
      </c>
      <c r="BK108" s="7" t="str">
        <f aca="false">IF(AND(AK108="Yes",BE108="LIVE"),COUNTIFS($AK$4:AK108,"Yes",$BE$4:BE108,"LIVE"),"")</f>
        <v/>
      </c>
      <c r="BL108" s="7" t="n">
        <f aca="false">IF(I108="To Verify",COUNTIF($I$4:I108,"To Verify"),"")</f>
        <v>33</v>
      </c>
    </row>
    <row r="109" customFormat="false" ht="91" hidden="false" customHeight="false" outlineLevel="0" collapsed="false">
      <c r="A109" s="5" t="s">
        <v>1340</v>
      </c>
      <c r="B109" s="6" t="s">
        <v>1341</v>
      </c>
      <c r="C109" s="6" t="s">
        <v>1342</v>
      </c>
      <c r="D109" s="6" t="s">
        <v>1030</v>
      </c>
      <c r="E109" s="6" t="s">
        <v>1343</v>
      </c>
      <c r="F109" s="6" t="s">
        <v>1344</v>
      </c>
      <c r="G109" s="6" t="s">
        <v>1345</v>
      </c>
      <c r="H109" s="6" t="s">
        <v>1345</v>
      </c>
      <c r="I109" s="5" t="s">
        <v>221</v>
      </c>
      <c r="J109" s="7" t="str">
        <f aca="false">IFERROR(INDEX(AVAILABILITY_MASTER!$C$4:$C$10,MATCH(I109,AVAILABILITY_MASTER!$A$4:$A$10,0)),"To Be Confirmed")</f>
        <v>Depends on Portal – Confirm at Shop</v>
      </c>
      <c r="K109" s="6" t="s">
        <v>129</v>
      </c>
      <c r="L109" s="6" t="s">
        <v>221</v>
      </c>
      <c r="M109" s="7" t="str">
        <f aca="false">IFERROR(INDEX(SERVICE_DOCUMENTS!$S$4:$S$1000,MATCH(A109,SERVICE_DOCUMENTS!$A$4:$A$1000,0))&amp;"","")</f>
        <v>✓ Aadhaar Card
✓ Active Mobile Number
✓ Address Proof
✓ Date of Birth Proof</v>
      </c>
      <c r="N109" s="7" t="str">
        <f aca="false">IFERROR(INDEX(SERVICE_DOCUMENTS!$T$4:$T$1000,MATCH(A109,SERVICE_DOCUMENTS!$A$4:$A$1000,0))&amp;"","")</f>
        <v/>
      </c>
      <c r="O109" s="6" t="s">
        <v>1346</v>
      </c>
      <c r="P109" s="6" t="s">
        <v>1347</v>
      </c>
      <c r="Q109" s="6" t="s">
        <v>78</v>
      </c>
      <c r="R109" s="8" t="s">
        <v>75</v>
      </c>
      <c r="S109" s="8" t="s">
        <v>75</v>
      </c>
      <c r="T109" s="9" t="str">
        <f aca="false">IF(AND(OR(ISNUMBER(R109),R109="N/A"),OR(ISNUMBER(S109),S109="N/A"),OR(ISNUMBER(R109),ISNUMBER(S109))),N(R109)+N(S109),"To Verify")</f>
        <v>To Verify</v>
      </c>
      <c r="U109" s="6" t="s">
        <v>75</v>
      </c>
      <c r="V109" s="6" t="s">
        <v>79</v>
      </c>
      <c r="W109" s="6" t="s">
        <v>80</v>
      </c>
      <c r="X109" s="6" t="s">
        <v>221</v>
      </c>
      <c r="Y109" s="6" t="s">
        <v>74</v>
      </c>
      <c r="Z109" s="6" t="s">
        <v>1348</v>
      </c>
      <c r="AA109" s="6" t="s">
        <v>74</v>
      </c>
      <c r="AB109" s="6" t="s">
        <v>74</v>
      </c>
      <c r="AC109" s="6" t="s">
        <v>75</v>
      </c>
      <c r="AD109" s="6" t="s">
        <v>75</v>
      </c>
      <c r="AE109" s="6" t="s">
        <v>75</v>
      </c>
      <c r="AF109" s="6" t="s">
        <v>75</v>
      </c>
      <c r="AG109" s="6" t="s">
        <v>75</v>
      </c>
      <c r="AH109" s="6" t="s">
        <v>79</v>
      </c>
      <c r="AI109" s="6" t="s">
        <v>79</v>
      </c>
      <c r="AJ109" s="6" t="s">
        <v>79</v>
      </c>
      <c r="AK109" s="6" t="s">
        <v>79</v>
      </c>
      <c r="AL109" s="6" t="s">
        <v>1341</v>
      </c>
      <c r="AM109" s="6" t="s">
        <v>1030</v>
      </c>
      <c r="AN109" s="7" t="str">
        <f aca="false">BA109&amp;", "&amp;AZ109</f>
        <v>Passport Application Assistance, Common Service Centre (CSC), Devmobile Stores, पासपोर्ट आवेदन सहायता, कॉमन सर्विस सेंटर (CSC), सेवा</v>
      </c>
      <c r="AO109" s="6" t="s">
        <v>1349</v>
      </c>
      <c r="AP109" s="5" t="s">
        <v>1350</v>
      </c>
      <c r="AQ109" s="5" t="n">
        <v>10</v>
      </c>
      <c r="AR109" s="6" t="s">
        <v>1351</v>
      </c>
      <c r="AS109" s="6" t="s">
        <v>1352</v>
      </c>
      <c r="AT109" s="6" t="s">
        <v>86</v>
      </c>
      <c r="AU109" s="10"/>
      <c r="AV109" s="6" t="s">
        <v>75</v>
      </c>
      <c r="AW109" s="6"/>
      <c r="AX109" s="6" t="s">
        <v>1353</v>
      </c>
      <c r="AY109" s="6" t="s">
        <v>1354</v>
      </c>
      <c r="AZ109" s="6" t="s">
        <v>1355</v>
      </c>
      <c r="BA109" s="6" t="s">
        <v>1356</v>
      </c>
      <c r="BB109" s="6"/>
      <c r="BC109" s="11" t="str">
        <f aca="false">IFERROR(INDEX(CATEGORY_MASTER!$C$4:$C$30,MATCH(B109,CATEGORY_MASTER!$A$4:$A$30,0)),"")</f>
        <v>🖥️</v>
      </c>
      <c r="BD109" s="7" t="str">
        <f aca="false">"/services/"&amp;AO109</f>
        <v>/services/passport-application-assistance</v>
      </c>
      <c r="BE109" s="7" t="str">
        <f aca="false">IF(AND(AH109="Yes",AG109="Active",I109&lt;&gt;"Not Available"),"LIVE","HIDDEN")</f>
        <v>HIDDEN</v>
      </c>
      <c r="BF109" s="6" t="s">
        <v>139</v>
      </c>
      <c r="BG109" s="6" t="s">
        <v>93</v>
      </c>
      <c r="BH109" s="7" t="str">
        <f aca="false">B109&amp;"|"&amp;COUNTIF($B$4:B109,B109)</f>
        <v>Common Service Centre (CSC)|1</v>
      </c>
      <c r="BI109" s="7" t="str">
        <f aca="false">IF(AND(AI109="Yes",BE109="LIVE"),COUNTIFS($AI$4:AI109,"Yes",$BE$4:BE109,"LIVE"),"")</f>
        <v/>
      </c>
      <c r="BJ109" s="7" t="str">
        <f aca="false">IF(AND(AJ109="Yes",BE109="LIVE"),COUNTIFS($AJ$4:AJ109,"Yes",$BE$4:BE109,"LIVE"),"")</f>
        <v/>
      </c>
      <c r="BK109" s="7" t="str">
        <f aca="false">IF(AND(AK109="Yes",BE109="LIVE"),COUNTIFS($AK$4:AK109,"Yes",$BE$4:BE109,"LIVE"),"")</f>
        <v/>
      </c>
      <c r="BL109" s="7" t="str">
        <f aca="false">IF(I109="To Verify",COUNTIF($I$4:I109,"To Verify"),"")</f>
        <v/>
      </c>
    </row>
    <row r="110" customFormat="false" ht="91" hidden="false" customHeight="false" outlineLevel="0" collapsed="false">
      <c r="A110" s="5" t="s">
        <v>1357</v>
      </c>
      <c r="B110" s="6" t="s">
        <v>1341</v>
      </c>
      <c r="C110" s="6" t="s">
        <v>1342</v>
      </c>
      <c r="D110" s="6" t="s">
        <v>1030</v>
      </c>
      <c r="E110" s="6" t="s">
        <v>1358</v>
      </c>
      <c r="F110" s="6" t="s">
        <v>1359</v>
      </c>
      <c r="G110" s="6" t="s">
        <v>1360</v>
      </c>
      <c r="H110" s="6" t="s">
        <v>1360</v>
      </c>
      <c r="I110" s="5" t="s">
        <v>221</v>
      </c>
      <c r="J110" s="7" t="str">
        <f aca="false">IFERROR(INDEX(AVAILABILITY_MASTER!$C$4:$C$10,MATCH(I110,AVAILABILITY_MASTER!$A$4:$A$10,0)),"To Be Confirmed")</f>
        <v>Depends on Portal – Confirm at Shop</v>
      </c>
      <c r="K110" s="6" t="s">
        <v>129</v>
      </c>
      <c r="L110" s="6" t="s">
        <v>221</v>
      </c>
      <c r="M110" s="7" t="str">
        <f aca="false">IFERROR(INDEX(SERVICE_DOCUMENTS!$S$4:$S$1000,MATCH(A110,SERVICE_DOCUMENTS!$A$4:$A$1000,0))&amp;"","")</f>
        <v>✓ Aadhaar Card
✓ Active Mobile Number
✓ Address Proof
✓ Date of Birth Proof
✓ Passport Photo</v>
      </c>
      <c r="N110" s="7" t="str">
        <f aca="false">IFERROR(INDEX(SERVICE_DOCUMENTS!$T$4:$T$1000,MATCH(A110,SERVICE_DOCUMENTS!$A$4:$A$1000,0))&amp;"","")</f>
        <v/>
      </c>
      <c r="O110" s="6" t="s">
        <v>1346</v>
      </c>
      <c r="P110" s="6" t="s">
        <v>1361</v>
      </c>
      <c r="Q110" s="6" t="s">
        <v>78</v>
      </c>
      <c r="R110" s="8" t="s">
        <v>75</v>
      </c>
      <c r="S110" s="8" t="s">
        <v>75</v>
      </c>
      <c r="T110" s="9" t="str">
        <f aca="false">IF(AND(OR(ISNUMBER(R110),R110="N/A"),OR(ISNUMBER(S110),S110="N/A"),OR(ISNUMBER(R110),ISNUMBER(S110))),N(R110)+N(S110),"To Verify")</f>
        <v>To Verify</v>
      </c>
      <c r="U110" s="6" t="s">
        <v>75</v>
      </c>
      <c r="V110" s="6" t="s">
        <v>79</v>
      </c>
      <c r="W110" s="6" t="s">
        <v>80</v>
      </c>
      <c r="X110" s="6" t="s">
        <v>221</v>
      </c>
      <c r="Y110" s="6" t="s">
        <v>74</v>
      </c>
      <c r="Z110" s="6" t="s">
        <v>1362</v>
      </c>
      <c r="AA110" s="6" t="s">
        <v>74</v>
      </c>
      <c r="AB110" s="6" t="s">
        <v>74</v>
      </c>
      <c r="AC110" s="6" t="s">
        <v>75</v>
      </c>
      <c r="AD110" s="6" t="s">
        <v>75</v>
      </c>
      <c r="AE110" s="6" t="s">
        <v>75</v>
      </c>
      <c r="AF110" s="6" t="s">
        <v>75</v>
      </c>
      <c r="AG110" s="6" t="s">
        <v>75</v>
      </c>
      <c r="AH110" s="6" t="s">
        <v>79</v>
      </c>
      <c r="AI110" s="6" t="s">
        <v>79</v>
      </c>
      <c r="AJ110" s="6" t="s">
        <v>79</v>
      </c>
      <c r="AK110" s="6" t="s">
        <v>79</v>
      </c>
      <c r="AL110" s="6" t="s">
        <v>1341</v>
      </c>
      <c r="AM110" s="6" t="s">
        <v>1030</v>
      </c>
      <c r="AN110" s="7" t="str">
        <f aca="false">BA110&amp;", "&amp;AZ110</f>
        <v>Driving Licence / Learner Licence Application Assistance, Common Service Centre (CSC), Devmobile Stores, ड्राइविंग / लर्नर लाइसेंस आवेदन सहायता, कॉमन सर्विस सेंटर (CSC), सेवा</v>
      </c>
      <c r="AO110" s="6" t="s">
        <v>1363</v>
      </c>
      <c r="AP110" s="5" t="s">
        <v>1350</v>
      </c>
      <c r="AQ110" s="5" t="n">
        <v>20</v>
      </c>
      <c r="AR110" s="6" t="s">
        <v>1351</v>
      </c>
      <c r="AS110" s="6" t="s">
        <v>1352</v>
      </c>
      <c r="AT110" s="6" t="s">
        <v>86</v>
      </c>
      <c r="AU110" s="10"/>
      <c r="AV110" s="6" t="s">
        <v>75</v>
      </c>
      <c r="AW110" s="6"/>
      <c r="AX110" s="6" t="s">
        <v>1364</v>
      </c>
      <c r="AY110" s="6" t="s">
        <v>1365</v>
      </c>
      <c r="AZ110" s="6" t="s">
        <v>1366</v>
      </c>
      <c r="BA110" s="6" t="s">
        <v>1367</v>
      </c>
      <c r="BB110" s="6"/>
      <c r="BC110" s="11" t="str">
        <f aca="false">IFERROR(INDEX(CATEGORY_MASTER!$C$4:$C$30,MATCH(B110,CATEGORY_MASTER!$A$4:$A$30,0)),"")</f>
        <v>🖥️</v>
      </c>
      <c r="BD110" s="7" t="str">
        <f aca="false">"/services/"&amp;AO110</f>
        <v>/services/driving-licence-learner-licence-application-assistance</v>
      </c>
      <c r="BE110" s="7" t="str">
        <f aca="false">IF(AND(AH110="Yes",AG110="Active",I110&lt;&gt;"Not Available"),"LIVE","HIDDEN")</f>
        <v>HIDDEN</v>
      </c>
      <c r="BF110" s="6" t="s">
        <v>139</v>
      </c>
      <c r="BG110" s="6" t="s">
        <v>93</v>
      </c>
      <c r="BH110" s="7" t="str">
        <f aca="false">B110&amp;"|"&amp;COUNTIF($B$4:B110,B110)</f>
        <v>Common Service Centre (CSC)|2</v>
      </c>
      <c r="BI110" s="7" t="str">
        <f aca="false">IF(AND(AI110="Yes",BE110="LIVE"),COUNTIFS($AI$4:AI110,"Yes",$BE$4:BE110,"LIVE"),"")</f>
        <v/>
      </c>
      <c r="BJ110" s="7" t="str">
        <f aca="false">IF(AND(AJ110="Yes",BE110="LIVE"),COUNTIFS($AJ$4:AJ110,"Yes",$BE$4:BE110,"LIVE"),"")</f>
        <v/>
      </c>
      <c r="BK110" s="7" t="str">
        <f aca="false">IF(AND(AK110="Yes",BE110="LIVE"),COUNTIFS($AK$4:AK110,"Yes",$BE$4:BE110,"LIVE"),"")</f>
        <v/>
      </c>
      <c r="BL110" s="7" t="str">
        <f aca="false">IF(I110="To Verify",COUNTIF($I$4:I110,"To Verify"),"")</f>
        <v/>
      </c>
    </row>
    <row r="111" customFormat="false" ht="91" hidden="false" customHeight="false" outlineLevel="0" collapsed="false">
      <c r="A111" s="5" t="s">
        <v>1368</v>
      </c>
      <c r="B111" s="6" t="s">
        <v>1341</v>
      </c>
      <c r="C111" s="6" t="s">
        <v>1342</v>
      </c>
      <c r="D111" s="6" t="s">
        <v>1030</v>
      </c>
      <c r="E111" s="6" t="s">
        <v>1369</v>
      </c>
      <c r="F111" s="6" t="s">
        <v>1370</v>
      </c>
      <c r="G111" s="6" t="s">
        <v>1371</v>
      </c>
      <c r="H111" s="6" t="s">
        <v>1371</v>
      </c>
      <c r="I111" s="5" t="s">
        <v>12</v>
      </c>
      <c r="J111" s="7" t="str">
        <f aca="false">IFERROR(INDEX(AVAILABILITY_MASTER!$C$4:$C$10,MATCH(I111,AVAILABILITY_MASTER!$A$4:$A$10,0)),"To Be Confirmed")</f>
        <v>Please Confirm at Shop</v>
      </c>
      <c r="K111" s="6" t="s">
        <v>74</v>
      </c>
      <c r="L111" s="6" t="s">
        <v>75</v>
      </c>
      <c r="M111" s="7" t="str">
        <f aca="false">IFERROR(INDEX(SERVICE_DOCUMENTS!$S$4:$S$1000,MATCH(A111,SERVICE_DOCUMENTS!$A$4:$A$1000,0))&amp;"","")</f>
        <v>✓ Aadhaar Card
✓ Active Mobile Number</v>
      </c>
      <c r="N111" s="7" t="str">
        <f aca="false">IFERROR(INDEX(SERVICE_DOCUMENTS!$T$4:$T$1000,MATCH(A111,SERVICE_DOCUMENTS!$A$4:$A$1000,0))&amp;"","")</f>
        <v/>
      </c>
      <c r="O111" s="6" t="s">
        <v>1346</v>
      </c>
      <c r="P111" s="6" t="s">
        <v>1372</v>
      </c>
      <c r="Q111" s="6" t="s">
        <v>78</v>
      </c>
      <c r="R111" s="8" t="s">
        <v>75</v>
      </c>
      <c r="S111" s="8" t="s">
        <v>75</v>
      </c>
      <c r="T111" s="9" t="str">
        <f aca="false">IF(AND(OR(ISNUMBER(R111),R111="N/A"),OR(ISNUMBER(S111),S111="N/A"),OR(ISNUMBER(R111),ISNUMBER(S111))),N(R111)+N(S111),"To Verify")</f>
        <v>To Verify</v>
      </c>
      <c r="U111" s="6" t="s">
        <v>75</v>
      </c>
      <c r="V111" s="6" t="s">
        <v>79</v>
      </c>
      <c r="W111" s="6" t="s">
        <v>80</v>
      </c>
      <c r="X111" s="6" t="s">
        <v>221</v>
      </c>
      <c r="Y111" s="6" t="s">
        <v>74</v>
      </c>
      <c r="Z111" s="6" t="s">
        <v>1373</v>
      </c>
      <c r="AA111" s="6" t="s">
        <v>74</v>
      </c>
      <c r="AB111" s="6" t="s">
        <v>74</v>
      </c>
      <c r="AC111" s="6" t="s">
        <v>75</v>
      </c>
      <c r="AD111" s="6" t="s">
        <v>75</v>
      </c>
      <c r="AE111" s="6" t="s">
        <v>75</v>
      </c>
      <c r="AF111" s="6" t="s">
        <v>75</v>
      </c>
      <c r="AG111" s="6" t="s">
        <v>75</v>
      </c>
      <c r="AH111" s="6" t="s">
        <v>79</v>
      </c>
      <c r="AI111" s="6" t="s">
        <v>79</v>
      </c>
      <c r="AJ111" s="6" t="s">
        <v>79</v>
      </c>
      <c r="AK111" s="6" t="s">
        <v>79</v>
      </c>
      <c r="AL111" s="6" t="s">
        <v>1341</v>
      </c>
      <c r="AM111" s="6" t="s">
        <v>1030</v>
      </c>
      <c r="AN111" s="7" t="str">
        <f aca="false">BA111&amp;", "&amp;AZ111</f>
        <v>Tele-Law Consultation, Common Service Centre (CSC), Devmobile Stores, टेली-लॉ परामर्श, कॉमन सर्विस सेंटर (CSC), सेवा</v>
      </c>
      <c r="AO111" s="6" t="s">
        <v>1374</v>
      </c>
      <c r="AP111" s="5" t="s">
        <v>1350</v>
      </c>
      <c r="AQ111" s="5" t="n">
        <v>30</v>
      </c>
      <c r="AR111" s="6" t="s">
        <v>1351</v>
      </c>
      <c r="AS111" s="6" t="s">
        <v>1352</v>
      </c>
      <c r="AT111" s="6" t="s">
        <v>86</v>
      </c>
      <c r="AU111" s="10"/>
      <c r="AV111" s="6" t="s">
        <v>75</v>
      </c>
      <c r="AW111" s="6"/>
      <c r="AX111" s="6" t="s">
        <v>1375</v>
      </c>
      <c r="AY111" s="6" t="s">
        <v>1376</v>
      </c>
      <c r="AZ111" s="6" t="s">
        <v>1377</v>
      </c>
      <c r="BA111" s="6" t="s">
        <v>1378</v>
      </c>
      <c r="BB111" s="6"/>
      <c r="BC111" s="11" t="str">
        <f aca="false">IFERROR(INDEX(CATEGORY_MASTER!$C$4:$C$30,MATCH(B111,CATEGORY_MASTER!$A$4:$A$30,0)),"")</f>
        <v>🖥️</v>
      </c>
      <c r="BD111" s="7" t="str">
        <f aca="false">"/services/"&amp;AO111</f>
        <v>/services/tele-law-consultation</v>
      </c>
      <c r="BE111" s="7" t="str">
        <f aca="false">IF(AND(AH111="Yes",AG111="Active",I111&lt;&gt;"Not Available"),"LIVE","HIDDEN")</f>
        <v>HIDDEN</v>
      </c>
      <c r="BF111" s="6" t="s">
        <v>139</v>
      </c>
      <c r="BG111" s="6" t="s">
        <v>93</v>
      </c>
      <c r="BH111" s="7" t="str">
        <f aca="false">B111&amp;"|"&amp;COUNTIF($B$4:B111,B111)</f>
        <v>Common Service Centre (CSC)|3</v>
      </c>
      <c r="BI111" s="7" t="str">
        <f aca="false">IF(AND(AI111="Yes",BE111="LIVE"),COUNTIFS($AI$4:AI111,"Yes",$BE$4:BE111,"LIVE"),"")</f>
        <v/>
      </c>
      <c r="BJ111" s="7" t="str">
        <f aca="false">IF(AND(AJ111="Yes",BE111="LIVE"),COUNTIFS($AJ$4:AJ111,"Yes",$BE$4:BE111,"LIVE"),"")</f>
        <v/>
      </c>
      <c r="BK111" s="7" t="str">
        <f aca="false">IF(AND(AK111="Yes",BE111="LIVE"),COUNTIFS($AK$4:AK111,"Yes",$BE$4:BE111,"LIVE"),"")</f>
        <v/>
      </c>
      <c r="BL111" s="7" t="str">
        <f aca="false">IF(I111="To Verify",COUNTIF($I$4:I111,"To Verify"),"")</f>
        <v/>
      </c>
    </row>
    <row r="112" customFormat="false" ht="91" hidden="false" customHeight="false" outlineLevel="0" collapsed="false">
      <c r="A112" s="5" t="s">
        <v>1379</v>
      </c>
      <c r="B112" s="6" t="s">
        <v>1341</v>
      </c>
      <c r="C112" s="6" t="s">
        <v>1342</v>
      </c>
      <c r="D112" s="6" t="s">
        <v>1030</v>
      </c>
      <c r="E112" s="6" t="s">
        <v>1380</v>
      </c>
      <c r="F112" s="6" t="s">
        <v>1381</v>
      </c>
      <c r="G112" s="6" t="s">
        <v>1382</v>
      </c>
      <c r="H112" s="6" t="s">
        <v>1382</v>
      </c>
      <c r="I112" s="5" t="s">
        <v>12</v>
      </c>
      <c r="J112" s="7" t="str">
        <f aca="false">IFERROR(INDEX(AVAILABILITY_MASTER!$C$4:$C$10,MATCH(I112,AVAILABILITY_MASTER!$A$4:$A$10,0)),"To Be Confirmed")</f>
        <v>Please Confirm at Shop</v>
      </c>
      <c r="K112" s="6" t="s">
        <v>74</v>
      </c>
      <c r="L112" s="6" t="s">
        <v>75</v>
      </c>
      <c r="M112" s="7" t="str">
        <f aca="false">IFERROR(INDEX(SERVICE_DOCUMENTS!$S$4:$S$1000,MATCH(A112,SERVICE_DOCUMENTS!$A$4:$A$1000,0))&amp;"","")</f>
        <v>✓ Aadhaar Card
✓ Active Mobile Number</v>
      </c>
      <c r="N112" s="7" t="str">
        <f aca="false">IFERROR(INDEX(SERVICE_DOCUMENTS!$T$4:$T$1000,MATCH(A112,SERVICE_DOCUMENTS!$A$4:$A$1000,0))&amp;"","")</f>
        <v/>
      </c>
      <c r="O112" s="6" t="s">
        <v>1346</v>
      </c>
      <c r="P112" s="6" t="s">
        <v>1383</v>
      </c>
      <c r="Q112" s="6" t="s">
        <v>78</v>
      </c>
      <c r="R112" s="8" t="s">
        <v>75</v>
      </c>
      <c r="S112" s="8" t="s">
        <v>75</v>
      </c>
      <c r="T112" s="9" t="str">
        <f aca="false">IF(AND(OR(ISNUMBER(R112),R112="N/A"),OR(ISNUMBER(S112),S112="N/A"),OR(ISNUMBER(R112),ISNUMBER(S112))),N(R112)+N(S112),"To Verify")</f>
        <v>To Verify</v>
      </c>
      <c r="U112" s="6" t="s">
        <v>75</v>
      </c>
      <c r="V112" s="6" t="s">
        <v>79</v>
      </c>
      <c r="W112" s="6" t="s">
        <v>80</v>
      </c>
      <c r="X112" s="6" t="s">
        <v>221</v>
      </c>
      <c r="Y112" s="6" t="s">
        <v>74</v>
      </c>
      <c r="Z112" s="6" t="s">
        <v>1373</v>
      </c>
      <c r="AA112" s="6" t="s">
        <v>74</v>
      </c>
      <c r="AB112" s="6" t="s">
        <v>74</v>
      </c>
      <c r="AC112" s="6" t="s">
        <v>75</v>
      </c>
      <c r="AD112" s="6" t="s">
        <v>75</v>
      </c>
      <c r="AE112" s="6" t="s">
        <v>75</v>
      </c>
      <c r="AF112" s="6" t="s">
        <v>75</v>
      </c>
      <c r="AG112" s="6" t="s">
        <v>75</v>
      </c>
      <c r="AH112" s="6" t="s">
        <v>79</v>
      </c>
      <c r="AI112" s="6" t="s">
        <v>79</v>
      </c>
      <c r="AJ112" s="6" t="s">
        <v>79</v>
      </c>
      <c r="AK112" s="6" t="s">
        <v>79</v>
      </c>
      <c r="AL112" s="6" t="s">
        <v>1341</v>
      </c>
      <c r="AM112" s="6" t="s">
        <v>1030</v>
      </c>
      <c r="AN112" s="7" t="str">
        <f aca="false">BA112&amp;", "&amp;AZ112</f>
        <v>Telemedicine / eSanjeevani Consultation, Common Service Centre (CSC), Devmobile Stores, टेलीमेडिसिन / eSanjeevani परामर्श, कॉमन सर्विस सेंटर (CSC), सेवा</v>
      </c>
      <c r="AO112" s="6" t="s">
        <v>1384</v>
      </c>
      <c r="AP112" s="5" t="s">
        <v>1350</v>
      </c>
      <c r="AQ112" s="5" t="n">
        <v>40</v>
      </c>
      <c r="AR112" s="6" t="s">
        <v>1351</v>
      </c>
      <c r="AS112" s="6" t="s">
        <v>1352</v>
      </c>
      <c r="AT112" s="6" t="s">
        <v>86</v>
      </c>
      <c r="AU112" s="10"/>
      <c r="AV112" s="6" t="s">
        <v>75</v>
      </c>
      <c r="AW112" s="6"/>
      <c r="AX112" s="6" t="s">
        <v>1385</v>
      </c>
      <c r="AY112" s="6" t="s">
        <v>1386</v>
      </c>
      <c r="AZ112" s="6" t="s">
        <v>1387</v>
      </c>
      <c r="BA112" s="6" t="s">
        <v>1388</v>
      </c>
      <c r="BB112" s="6"/>
      <c r="BC112" s="11" t="str">
        <f aca="false">IFERROR(INDEX(CATEGORY_MASTER!$C$4:$C$30,MATCH(B112,CATEGORY_MASTER!$A$4:$A$30,0)),"")</f>
        <v>🖥️</v>
      </c>
      <c r="BD112" s="7" t="str">
        <f aca="false">"/services/"&amp;AO112</f>
        <v>/services/telemedicine-esanjeevani-consultation</v>
      </c>
      <c r="BE112" s="7" t="str">
        <f aca="false">IF(AND(AH112="Yes",AG112="Active",I112&lt;&gt;"Not Available"),"LIVE","HIDDEN")</f>
        <v>HIDDEN</v>
      </c>
      <c r="BF112" s="6" t="s">
        <v>139</v>
      </c>
      <c r="BG112" s="6" t="s">
        <v>93</v>
      </c>
      <c r="BH112" s="7" t="str">
        <f aca="false">B112&amp;"|"&amp;COUNTIF($B$4:B112,B112)</f>
        <v>Common Service Centre (CSC)|4</v>
      </c>
      <c r="BI112" s="7" t="str">
        <f aca="false">IF(AND(AI112="Yes",BE112="LIVE"),COUNTIFS($AI$4:AI112,"Yes",$BE$4:BE112,"LIVE"),"")</f>
        <v/>
      </c>
      <c r="BJ112" s="7" t="str">
        <f aca="false">IF(AND(AJ112="Yes",BE112="LIVE"),COUNTIFS($AJ$4:AJ112,"Yes",$BE$4:BE112,"LIVE"),"")</f>
        <v/>
      </c>
      <c r="BK112" s="7" t="str">
        <f aca="false">IF(AND(AK112="Yes",BE112="LIVE"),COUNTIFS($AK$4:AK112,"Yes",$BE$4:BE112,"LIVE"),"")</f>
        <v/>
      </c>
      <c r="BL112" s="7" t="str">
        <f aca="false">IF(I112="To Verify",COUNTIF($I$4:I112,"To Verify"),"")</f>
        <v/>
      </c>
    </row>
    <row r="113" customFormat="false" ht="91" hidden="false" customHeight="false" outlineLevel="0" collapsed="false">
      <c r="A113" s="5" t="s">
        <v>1389</v>
      </c>
      <c r="B113" s="6" t="s">
        <v>1341</v>
      </c>
      <c r="C113" s="6" t="s">
        <v>1342</v>
      </c>
      <c r="D113" s="6" t="s">
        <v>1390</v>
      </c>
      <c r="E113" s="6" t="s">
        <v>1391</v>
      </c>
      <c r="F113" s="6" t="s">
        <v>1392</v>
      </c>
      <c r="G113" s="6" t="s">
        <v>1393</v>
      </c>
      <c r="H113" s="6" t="s">
        <v>1393</v>
      </c>
      <c r="I113" s="5" t="s">
        <v>221</v>
      </c>
      <c r="J113" s="7" t="str">
        <f aca="false">IFERROR(INDEX(AVAILABILITY_MASTER!$C$4:$C$10,MATCH(I113,AVAILABILITY_MASTER!$A$4:$A$10,0)),"To Be Confirmed")</f>
        <v>Depends on Portal – Confirm at Shop</v>
      </c>
      <c r="K113" s="6" t="s">
        <v>129</v>
      </c>
      <c r="L113" s="6" t="s">
        <v>221</v>
      </c>
      <c r="M113" s="7" t="str">
        <f aca="false">IFERROR(INDEX(SERVICE_DOCUMENTS!$S$4:$S$1000,MATCH(A113,SERVICE_DOCUMENTS!$A$4:$A$1000,0))&amp;"","")</f>
        <v>✓ Aadhaar Card
✓ Active Mobile Number</v>
      </c>
      <c r="N113" s="7" t="str">
        <f aca="false">IFERROR(INDEX(SERVICE_DOCUMENTS!$T$4:$T$1000,MATCH(A113,SERVICE_DOCUMENTS!$A$4:$A$1000,0))&amp;"","")</f>
        <v/>
      </c>
      <c r="O113" s="6" t="s">
        <v>1346</v>
      </c>
      <c r="P113" s="6" t="s">
        <v>1394</v>
      </c>
      <c r="Q113" s="6" t="s">
        <v>78</v>
      </c>
      <c r="R113" s="8" t="s">
        <v>75</v>
      </c>
      <c r="S113" s="8" t="s">
        <v>75</v>
      </c>
      <c r="T113" s="9" t="str">
        <f aca="false">IF(AND(OR(ISNUMBER(R113),R113="N/A"),OR(ISNUMBER(S113),S113="N/A"),OR(ISNUMBER(R113),ISNUMBER(S113))),N(R113)+N(S113),"To Verify")</f>
        <v>To Verify</v>
      </c>
      <c r="U113" s="6" t="s">
        <v>75</v>
      </c>
      <c r="V113" s="6" t="s">
        <v>79</v>
      </c>
      <c r="W113" s="6" t="s">
        <v>80</v>
      </c>
      <c r="X113" s="6" t="s">
        <v>221</v>
      </c>
      <c r="Y113" s="6" t="s">
        <v>74</v>
      </c>
      <c r="Z113" s="6" t="s">
        <v>1373</v>
      </c>
      <c r="AA113" s="6" t="s">
        <v>74</v>
      </c>
      <c r="AB113" s="6" t="s">
        <v>74</v>
      </c>
      <c r="AC113" s="6" t="s">
        <v>75</v>
      </c>
      <c r="AD113" s="6" t="s">
        <v>75</v>
      </c>
      <c r="AE113" s="6" t="s">
        <v>75</v>
      </c>
      <c r="AF113" s="6" t="s">
        <v>75</v>
      </c>
      <c r="AG113" s="6" t="s">
        <v>75</v>
      </c>
      <c r="AH113" s="6" t="s">
        <v>79</v>
      </c>
      <c r="AI113" s="6" t="s">
        <v>79</v>
      </c>
      <c r="AJ113" s="6" t="s">
        <v>79</v>
      </c>
      <c r="AK113" s="6" t="s">
        <v>79</v>
      </c>
      <c r="AL113" s="6" t="s">
        <v>1341</v>
      </c>
      <c r="AM113" s="6" t="s">
        <v>1390</v>
      </c>
      <c r="AN113" s="7" t="str">
        <f aca="false">BA113&amp;", "&amp;AZ113</f>
        <v>e-District Services (State Portal), Common Service Centre (CSC), Devmobile Stores, e-District सेवाएँ (राज्य पोर्टल), कॉमन सर्विस सेंटर (CSC), सेवा</v>
      </c>
      <c r="AO113" s="6" t="s">
        <v>1395</v>
      </c>
      <c r="AP113" s="5" t="s">
        <v>1350</v>
      </c>
      <c r="AQ113" s="5" t="n">
        <v>50</v>
      </c>
      <c r="AR113" s="6" t="s">
        <v>1351</v>
      </c>
      <c r="AS113" s="6" t="s">
        <v>1352</v>
      </c>
      <c r="AT113" s="6" t="s">
        <v>86</v>
      </c>
      <c r="AU113" s="10"/>
      <c r="AV113" s="6" t="s">
        <v>75</v>
      </c>
      <c r="AW113" s="6" t="s">
        <v>1396</v>
      </c>
      <c r="AX113" s="6" t="s">
        <v>1397</v>
      </c>
      <c r="AY113" s="6" t="s">
        <v>1398</v>
      </c>
      <c r="AZ113" s="6" t="s">
        <v>1399</v>
      </c>
      <c r="BA113" s="6" t="s">
        <v>1400</v>
      </c>
      <c r="BB113" s="6"/>
      <c r="BC113" s="11" t="str">
        <f aca="false">IFERROR(INDEX(CATEGORY_MASTER!$C$4:$C$30,MATCH(B113,CATEGORY_MASTER!$A$4:$A$30,0)),"")</f>
        <v>🖥️</v>
      </c>
      <c r="BD113" s="7" t="str">
        <f aca="false">"/services/"&amp;AO113</f>
        <v>/services/e-district-services-state-portal</v>
      </c>
      <c r="BE113" s="7" t="str">
        <f aca="false">IF(AND(AH113="Yes",AG113="Active",I113&lt;&gt;"Not Available"),"LIVE","HIDDEN")</f>
        <v>HIDDEN</v>
      </c>
      <c r="BF113" s="6" t="s">
        <v>139</v>
      </c>
      <c r="BG113" s="6" t="s">
        <v>93</v>
      </c>
      <c r="BH113" s="7" t="str">
        <f aca="false">B113&amp;"|"&amp;COUNTIF($B$4:B113,B113)</f>
        <v>Common Service Centre (CSC)|5</v>
      </c>
      <c r="BI113" s="7" t="str">
        <f aca="false">IF(AND(AI113="Yes",BE113="LIVE"),COUNTIFS($AI$4:AI113,"Yes",$BE$4:BE113,"LIVE"),"")</f>
        <v/>
      </c>
      <c r="BJ113" s="7" t="str">
        <f aca="false">IF(AND(AJ113="Yes",BE113="LIVE"),COUNTIFS($AJ$4:AJ113,"Yes",$BE$4:BE113,"LIVE"),"")</f>
        <v/>
      </c>
      <c r="BK113" s="7" t="str">
        <f aca="false">IF(AND(AK113="Yes",BE113="LIVE"),COUNTIFS($AK$4:AK113,"Yes",$BE$4:BE113,"LIVE"),"")</f>
        <v/>
      </c>
      <c r="BL113" s="7" t="str">
        <f aca="false">IF(I113="To Verify",COUNTIF($I$4:I113,"To Verify"),"")</f>
        <v/>
      </c>
    </row>
    <row r="114" customFormat="false" ht="91" hidden="false" customHeight="false" outlineLevel="0" collapsed="false">
      <c r="A114" s="5" t="s">
        <v>1401</v>
      </c>
      <c r="B114" s="6" t="s">
        <v>1341</v>
      </c>
      <c r="C114" s="6" t="s">
        <v>1342</v>
      </c>
      <c r="D114" s="6" t="s">
        <v>1390</v>
      </c>
      <c r="E114" s="6" t="s">
        <v>1402</v>
      </c>
      <c r="F114" s="6" t="s">
        <v>1403</v>
      </c>
      <c r="G114" s="6" t="s">
        <v>1404</v>
      </c>
      <c r="H114" s="6" t="s">
        <v>1404</v>
      </c>
      <c r="I114" s="5" t="s">
        <v>221</v>
      </c>
      <c r="J114" s="7" t="str">
        <f aca="false">IFERROR(INDEX(AVAILABILITY_MASTER!$C$4:$C$10,MATCH(I114,AVAILABILITY_MASTER!$A$4:$A$10,0)),"To Be Confirmed")</f>
        <v>Depends on Portal – Confirm at Shop</v>
      </c>
      <c r="K114" s="6" t="s">
        <v>129</v>
      </c>
      <c r="L114" s="6" t="s">
        <v>221</v>
      </c>
      <c r="M114" s="7" t="str">
        <f aca="false">IFERROR(INDEX(SERVICE_DOCUMENTS!$S$4:$S$1000,MATCH(A114,SERVICE_DOCUMENTS!$A$4:$A$1000,0))&amp;"","")</f>
        <v>✓ Aadhaar Card
✓ Active Mobile Number</v>
      </c>
      <c r="N114" s="7" t="str">
        <f aca="false">IFERROR(INDEX(SERVICE_DOCUMENTS!$T$4:$T$1000,MATCH(A114,SERVICE_DOCUMENTS!$A$4:$A$1000,0))&amp;"","")</f>
        <v/>
      </c>
      <c r="O114" s="6" t="s">
        <v>1346</v>
      </c>
      <c r="P114" s="6" t="s">
        <v>1405</v>
      </c>
      <c r="Q114" s="6" t="s">
        <v>78</v>
      </c>
      <c r="R114" s="8" t="s">
        <v>75</v>
      </c>
      <c r="S114" s="8" t="s">
        <v>75</v>
      </c>
      <c r="T114" s="9" t="str">
        <f aca="false">IF(AND(OR(ISNUMBER(R114),R114="N/A"),OR(ISNUMBER(S114),S114="N/A"),OR(ISNUMBER(R114),ISNUMBER(S114))),N(R114)+N(S114),"To Verify")</f>
        <v>To Verify</v>
      </c>
      <c r="U114" s="6" t="s">
        <v>75</v>
      </c>
      <c r="V114" s="6" t="s">
        <v>79</v>
      </c>
      <c r="W114" s="6" t="s">
        <v>80</v>
      </c>
      <c r="X114" s="6" t="s">
        <v>221</v>
      </c>
      <c r="Y114" s="6" t="s">
        <v>74</v>
      </c>
      <c r="Z114" s="6" t="s">
        <v>1373</v>
      </c>
      <c r="AA114" s="6" t="s">
        <v>74</v>
      </c>
      <c r="AB114" s="6" t="s">
        <v>74</v>
      </c>
      <c r="AC114" s="6" t="s">
        <v>75</v>
      </c>
      <c r="AD114" s="6" t="s">
        <v>75</v>
      </c>
      <c r="AE114" s="6" t="s">
        <v>75</v>
      </c>
      <c r="AF114" s="6" t="s">
        <v>75</v>
      </c>
      <c r="AG114" s="6" t="s">
        <v>75</v>
      </c>
      <c r="AH114" s="6" t="s">
        <v>79</v>
      </c>
      <c r="AI114" s="6" t="s">
        <v>79</v>
      </c>
      <c r="AJ114" s="6" t="s">
        <v>79</v>
      </c>
      <c r="AK114" s="6" t="s">
        <v>79</v>
      </c>
      <c r="AL114" s="6" t="s">
        <v>1341</v>
      </c>
      <c r="AM114" s="6" t="s">
        <v>1390</v>
      </c>
      <c r="AN114" s="7" t="str">
        <f aca="false">BA114&amp;", "&amp;AZ114</f>
        <v>RTI Online Filing Assistance, Common Service Centre (CSC), Devmobile Stores, RTI ऑनलाइन दाखिल करने में सहायता, कॉमन सर्विस सेंटर (CSC), सेवा</v>
      </c>
      <c r="AO114" s="6" t="s">
        <v>1406</v>
      </c>
      <c r="AP114" s="5" t="s">
        <v>1350</v>
      </c>
      <c r="AQ114" s="5" t="n">
        <v>60</v>
      </c>
      <c r="AR114" s="6" t="s">
        <v>1351</v>
      </c>
      <c r="AS114" s="6" t="s">
        <v>1352</v>
      </c>
      <c r="AT114" s="6" t="s">
        <v>86</v>
      </c>
      <c r="AU114" s="10"/>
      <c r="AV114" s="6" t="s">
        <v>75</v>
      </c>
      <c r="AW114" s="6"/>
      <c r="AX114" s="6" t="s">
        <v>1407</v>
      </c>
      <c r="AY114" s="6" t="s">
        <v>1408</v>
      </c>
      <c r="AZ114" s="6" t="s">
        <v>1409</v>
      </c>
      <c r="BA114" s="6" t="s">
        <v>1410</v>
      </c>
      <c r="BB114" s="6"/>
      <c r="BC114" s="11" t="str">
        <f aca="false">IFERROR(INDEX(CATEGORY_MASTER!$C$4:$C$30,MATCH(B114,CATEGORY_MASTER!$A$4:$A$30,0)),"")</f>
        <v>🖥️</v>
      </c>
      <c r="BD114" s="7" t="str">
        <f aca="false">"/services/"&amp;AO114</f>
        <v>/services/rti-online-filing-assistance</v>
      </c>
      <c r="BE114" s="7" t="str">
        <f aca="false">IF(AND(AH114="Yes",AG114="Active",I114&lt;&gt;"Not Available"),"LIVE","HIDDEN")</f>
        <v>HIDDEN</v>
      </c>
      <c r="BF114" s="6" t="s">
        <v>139</v>
      </c>
      <c r="BG114" s="6" t="s">
        <v>93</v>
      </c>
      <c r="BH114" s="7" t="str">
        <f aca="false">B114&amp;"|"&amp;COUNTIF($B$4:B114,B114)</f>
        <v>Common Service Centre (CSC)|6</v>
      </c>
      <c r="BI114" s="7" t="str">
        <f aca="false">IF(AND(AI114="Yes",BE114="LIVE"),COUNTIFS($AI$4:AI114,"Yes",$BE$4:BE114,"LIVE"),"")</f>
        <v/>
      </c>
      <c r="BJ114" s="7" t="str">
        <f aca="false">IF(AND(AJ114="Yes",BE114="LIVE"),COUNTIFS($AJ$4:AJ114,"Yes",$BE$4:BE114,"LIVE"),"")</f>
        <v/>
      </c>
      <c r="BK114" s="7" t="str">
        <f aca="false">IF(AND(AK114="Yes",BE114="LIVE"),COUNTIFS($AK$4:AK114,"Yes",$BE$4:BE114,"LIVE"),"")</f>
        <v/>
      </c>
      <c r="BL114" s="7" t="str">
        <f aca="false">IF(I114="To Verify",COUNTIF($I$4:I114,"To Verify"),"")</f>
        <v/>
      </c>
    </row>
    <row r="115" customFormat="false" ht="102.2" hidden="false" customHeight="false" outlineLevel="0" collapsed="false">
      <c r="A115" s="5" t="s">
        <v>1411</v>
      </c>
      <c r="B115" s="6" t="s">
        <v>1341</v>
      </c>
      <c r="C115" s="6" t="s">
        <v>1342</v>
      </c>
      <c r="D115" s="6" t="s">
        <v>1390</v>
      </c>
      <c r="E115" s="6" t="s">
        <v>1412</v>
      </c>
      <c r="F115" s="6" t="s">
        <v>1413</v>
      </c>
      <c r="G115" s="6" t="s">
        <v>1414</v>
      </c>
      <c r="H115" s="6" t="s">
        <v>1414</v>
      </c>
      <c r="I115" s="5" t="s">
        <v>221</v>
      </c>
      <c r="J115" s="7" t="str">
        <f aca="false">IFERROR(INDEX(AVAILABILITY_MASTER!$C$4:$C$10,MATCH(I115,AVAILABILITY_MASTER!$A$4:$A$10,0)),"To Be Confirmed")</f>
        <v>Depends on Portal – Confirm at Shop</v>
      </c>
      <c r="K115" s="6" t="s">
        <v>129</v>
      </c>
      <c r="L115" s="6" t="s">
        <v>221</v>
      </c>
      <c r="M115" s="7" t="str">
        <f aca="false">IFERROR(INDEX(SERVICE_DOCUMENTS!$S$4:$S$1000,MATCH(A115,SERVICE_DOCUMENTS!$A$4:$A$1000,0))&amp;"","")</f>
        <v>✓ Aadhaar Card
✓ Active Mobile Number</v>
      </c>
      <c r="N115" s="7" t="str">
        <f aca="false">IFERROR(INDEX(SERVICE_DOCUMENTS!$T$4:$T$1000,MATCH(A115,SERVICE_DOCUMENTS!$A$4:$A$1000,0))&amp;"","")</f>
        <v/>
      </c>
      <c r="O115" s="6" t="s">
        <v>1346</v>
      </c>
      <c r="P115" s="6" t="s">
        <v>1415</v>
      </c>
      <c r="Q115" s="6" t="s">
        <v>78</v>
      </c>
      <c r="R115" s="8" t="s">
        <v>75</v>
      </c>
      <c r="S115" s="8" t="s">
        <v>75</v>
      </c>
      <c r="T115" s="9" t="str">
        <f aca="false">IF(AND(OR(ISNUMBER(R115),R115="N/A"),OR(ISNUMBER(S115),S115="N/A"),OR(ISNUMBER(R115),ISNUMBER(S115))),N(R115)+N(S115),"To Verify")</f>
        <v>To Verify</v>
      </c>
      <c r="U115" s="6" t="s">
        <v>75</v>
      </c>
      <c r="V115" s="6" t="s">
        <v>79</v>
      </c>
      <c r="W115" s="6" t="s">
        <v>80</v>
      </c>
      <c r="X115" s="6" t="s">
        <v>221</v>
      </c>
      <c r="Y115" s="6" t="s">
        <v>74</v>
      </c>
      <c r="Z115" s="6" t="s">
        <v>1373</v>
      </c>
      <c r="AA115" s="6" t="s">
        <v>74</v>
      </c>
      <c r="AB115" s="6" t="s">
        <v>74</v>
      </c>
      <c r="AC115" s="6" t="s">
        <v>75</v>
      </c>
      <c r="AD115" s="6" t="s">
        <v>75</v>
      </c>
      <c r="AE115" s="6" t="s">
        <v>75</v>
      </c>
      <c r="AF115" s="6" t="s">
        <v>75</v>
      </c>
      <c r="AG115" s="6" t="s">
        <v>75</v>
      </c>
      <c r="AH115" s="6" t="s">
        <v>79</v>
      </c>
      <c r="AI115" s="6" t="s">
        <v>79</v>
      </c>
      <c r="AJ115" s="6" t="s">
        <v>79</v>
      </c>
      <c r="AK115" s="6" t="s">
        <v>79</v>
      </c>
      <c r="AL115" s="6" t="s">
        <v>1341</v>
      </c>
      <c r="AM115" s="6" t="s">
        <v>1390</v>
      </c>
      <c r="AN115" s="7" t="str">
        <f aca="false">BA115&amp;", "&amp;AZ115</f>
        <v>Central Public Grievance (CPGRAMS) Filing Assistance, Common Service Centre (CSC), Devmobile Stores, केंद्रीय जन शिकायत (CPGRAMS) दर्ज करने में सहायता, कॉमन सर्विस सेंटर (CSC), सेवा</v>
      </c>
      <c r="AO115" s="6" t="s">
        <v>1416</v>
      </c>
      <c r="AP115" s="5" t="s">
        <v>1350</v>
      </c>
      <c r="AQ115" s="5" t="n">
        <v>70</v>
      </c>
      <c r="AR115" s="6" t="s">
        <v>1351</v>
      </c>
      <c r="AS115" s="6" t="s">
        <v>1352</v>
      </c>
      <c r="AT115" s="6" t="s">
        <v>86</v>
      </c>
      <c r="AU115" s="10"/>
      <c r="AV115" s="6" t="s">
        <v>75</v>
      </c>
      <c r="AW115" s="6"/>
      <c r="AX115" s="6" t="s">
        <v>1417</v>
      </c>
      <c r="AY115" s="6" t="s">
        <v>1418</v>
      </c>
      <c r="AZ115" s="6" t="s">
        <v>1419</v>
      </c>
      <c r="BA115" s="6" t="s">
        <v>1420</v>
      </c>
      <c r="BB115" s="6"/>
      <c r="BC115" s="11" t="str">
        <f aca="false">IFERROR(INDEX(CATEGORY_MASTER!$C$4:$C$30,MATCH(B115,CATEGORY_MASTER!$A$4:$A$30,0)),"")</f>
        <v>🖥️</v>
      </c>
      <c r="BD115" s="7" t="str">
        <f aca="false">"/services/"&amp;AO115</f>
        <v>/services/central-public-grievance-cpgrams-filing-assistance</v>
      </c>
      <c r="BE115" s="7" t="str">
        <f aca="false">IF(AND(AH115="Yes",AG115="Active",I115&lt;&gt;"Not Available"),"LIVE","HIDDEN")</f>
        <v>HIDDEN</v>
      </c>
      <c r="BF115" s="6" t="s">
        <v>139</v>
      </c>
      <c r="BG115" s="6" t="s">
        <v>93</v>
      </c>
      <c r="BH115" s="7" t="str">
        <f aca="false">B115&amp;"|"&amp;COUNTIF($B$4:B115,B115)</f>
        <v>Common Service Centre (CSC)|7</v>
      </c>
      <c r="BI115" s="7" t="str">
        <f aca="false">IF(AND(AI115="Yes",BE115="LIVE"),COUNTIFS($AI$4:AI115,"Yes",$BE$4:BE115,"LIVE"),"")</f>
        <v/>
      </c>
      <c r="BJ115" s="7" t="str">
        <f aca="false">IF(AND(AJ115="Yes",BE115="LIVE"),COUNTIFS($AJ$4:AJ115,"Yes",$BE$4:BE115,"LIVE"),"")</f>
        <v/>
      </c>
      <c r="BK115" s="7" t="str">
        <f aca="false">IF(AND(AK115="Yes",BE115="LIVE"),COUNTIFS($AK$4:AK115,"Yes",$BE$4:BE115,"LIVE"),"")</f>
        <v/>
      </c>
      <c r="BL115" s="7" t="str">
        <f aca="false">IF(I115="To Verify",COUNTIF($I$4:I115,"To Verify"),"")</f>
        <v/>
      </c>
    </row>
    <row r="116" customFormat="false" ht="91" hidden="false" customHeight="false" outlineLevel="0" collapsed="false">
      <c r="A116" s="5" t="s">
        <v>1421</v>
      </c>
      <c r="B116" s="6" t="s">
        <v>1341</v>
      </c>
      <c r="C116" s="6" t="s">
        <v>1342</v>
      </c>
      <c r="D116" s="6" t="s">
        <v>1390</v>
      </c>
      <c r="E116" s="6" t="s">
        <v>1422</v>
      </c>
      <c r="F116" s="6" t="s">
        <v>1423</v>
      </c>
      <c r="G116" s="6" t="s">
        <v>1424</v>
      </c>
      <c r="H116" s="6" t="s">
        <v>1424</v>
      </c>
      <c r="I116" s="5" t="s">
        <v>221</v>
      </c>
      <c r="J116" s="7" t="str">
        <f aca="false">IFERROR(INDEX(AVAILABILITY_MASTER!$C$4:$C$10,MATCH(I116,AVAILABILITY_MASTER!$A$4:$A$10,0)),"To Be Confirmed")</f>
        <v>Depends on Portal – Confirm at Shop</v>
      </c>
      <c r="K116" s="6" t="s">
        <v>129</v>
      </c>
      <c r="L116" s="6" t="s">
        <v>221</v>
      </c>
      <c r="M116" s="7" t="str">
        <f aca="false">IFERROR(INDEX(SERVICE_DOCUMENTS!$S$4:$S$1000,MATCH(A116,SERVICE_DOCUMENTS!$A$4:$A$1000,0))&amp;"","")</f>
        <v>✓ Aadhaar Card
✓ Active Mobile Number</v>
      </c>
      <c r="N116" s="7" t="str">
        <f aca="false">IFERROR(INDEX(SERVICE_DOCUMENTS!$T$4:$T$1000,MATCH(A116,SERVICE_DOCUMENTS!$A$4:$A$1000,0))&amp;"","")</f>
        <v/>
      </c>
      <c r="O116" s="6" t="s">
        <v>1346</v>
      </c>
      <c r="P116" s="6" t="s">
        <v>1425</v>
      </c>
      <c r="Q116" s="6" t="s">
        <v>78</v>
      </c>
      <c r="R116" s="8" t="s">
        <v>75</v>
      </c>
      <c r="S116" s="8" t="s">
        <v>75</v>
      </c>
      <c r="T116" s="9" t="str">
        <f aca="false">IF(AND(OR(ISNUMBER(R116),R116="N/A"),OR(ISNUMBER(S116),S116="N/A"),OR(ISNUMBER(R116),ISNUMBER(S116))),N(R116)+N(S116),"To Verify")</f>
        <v>To Verify</v>
      </c>
      <c r="U116" s="6" t="s">
        <v>75</v>
      </c>
      <c r="V116" s="6" t="s">
        <v>79</v>
      </c>
      <c r="W116" s="6" t="s">
        <v>80</v>
      </c>
      <c r="X116" s="6" t="s">
        <v>221</v>
      </c>
      <c r="Y116" s="6" t="s">
        <v>74</v>
      </c>
      <c r="Z116" s="6" t="s">
        <v>1373</v>
      </c>
      <c r="AA116" s="6" t="s">
        <v>74</v>
      </c>
      <c r="AB116" s="6" t="s">
        <v>74</v>
      </c>
      <c r="AC116" s="6" t="s">
        <v>75</v>
      </c>
      <c r="AD116" s="6" t="s">
        <v>75</v>
      </c>
      <c r="AE116" s="6" t="s">
        <v>75</v>
      </c>
      <c r="AF116" s="6" t="s">
        <v>75</v>
      </c>
      <c r="AG116" s="6" t="s">
        <v>75</v>
      </c>
      <c r="AH116" s="6" t="s">
        <v>79</v>
      </c>
      <c r="AI116" s="6" t="s">
        <v>79</v>
      </c>
      <c r="AJ116" s="6" t="s">
        <v>79</v>
      </c>
      <c r="AK116" s="6" t="s">
        <v>79</v>
      </c>
      <c r="AL116" s="6" t="s">
        <v>1341</v>
      </c>
      <c r="AM116" s="6" t="s">
        <v>1390</v>
      </c>
      <c r="AN116" s="7" t="str">
        <f aca="false">BA116&amp;", "&amp;AZ116</f>
        <v>Municipal / Property Tax Payment, Common Service Centre (CSC), Devmobile Stores, नगर निगम / संपत्ति कर भुगतान, कॉमन सर्विस सेंटर (CSC), सेवा</v>
      </c>
      <c r="AO116" s="6" t="s">
        <v>1426</v>
      </c>
      <c r="AP116" s="5" t="s">
        <v>1350</v>
      </c>
      <c r="AQ116" s="5" t="n">
        <v>80</v>
      </c>
      <c r="AR116" s="6" t="s">
        <v>1351</v>
      </c>
      <c r="AS116" s="6" t="s">
        <v>1352</v>
      </c>
      <c r="AT116" s="6" t="s">
        <v>86</v>
      </c>
      <c r="AU116" s="10"/>
      <c r="AV116" s="6" t="s">
        <v>75</v>
      </c>
      <c r="AW116" s="6"/>
      <c r="AX116" s="6" t="s">
        <v>1427</v>
      </c>
      <c r="AY116" s="6" t="s">
        <v>1428</v>
      </c>
      <c r="AZ116" s="6" t="s">
        <v>1429</v>
      </c>
      <c r="BA116" s="6" t="s">
        <v>1430</v>
      </c>
      <c r="BB116" s="6"/>
      <c r="BC116" s="11" t="str">
        <f aca="false">IFERROR(INDEX(CATEGORY_MASTER!$C$4:$C$30,MATCH(B116,CATEGORY_MASTER!$A$4:$A$30,0)),"")</f>
        <v>🖥️</v>
      </c>
      <c r="BD116" s="7" t="str">
        <f aca="false">"/services/"&amp;AO116</f>
        <v>/services/municipal-property-tax-payment</v>
      </c>
      <c r="BE116" s="7" t="str">
        <f aca="false">IF(AND(AH116="Yes",AG116="Active",I116&lt;&gt;"Not Available"),"LIVE","HIDDEN")</f>
        <v>HIDDEN</v>
      </c>
      <c r="BF116" s="6" t="s">
        <v>139</v>
      </c>
      <c r="BG116" s="6" t="s">
        <v>93</v>
      </c>
      <c r="BH116" s="7" t="str">
        <f aca="false">B116&amp;"|"&amp;COUNTIF($B$4:B116,B116)</f>
        <v>Common Service Centre (CSC)|8</v>
      </c>
      <c r="BI116" s="7" t="str">
        <f aca="false">IF(AND(AI116="Yes",BE116="LIVE"),COUNTIFS($AI$4:AI116,"Yes",$BE$4:BE116,"LIVE"),"")</f>
        <v/>
      </c>
      <c r="BJ116" s="7" t="str">
        <f aca="false">IF(AND(AJ116="Yes",BE116="LIVE"),COUNTIFS($AJ$4:AJ116,"Yes",$BE$4:BE116,"LIVE"),"")</f>
        <v/>
      </c>
      <c r="BK116" s="7" t="str">
        <f aca="false">IF(AND(AK116="Yes",BE116="LIVE"),COUNTIFS($AK$4:AK116,"Yes",$BE$4:BE116,"LIVE"),"")</f>
        <v/>
      </c>
      <c r="BL116" s="7" t="str">
        <f aca="false">IF(I116="To Verify",COUNTIF($I$4:I116,"To Verify"),"")</f>
        <v/>
      </c>
    </row>
    <row r="117" customFormat="false" ht="91" hidden="false" customHeight="false" outlineLevel="0" collapsed="false">
      <c r="A117" s="5" t="s">
        <v>1431</v>
      </c>
      <c r="B117" s="6" t="s">
        <v>1341</v>
      </c>
      <c r="C117" s="6" t="s">
        <v>1342</v>
      </c>
      <c r="D117" s="6" t="s">
        <v>1432</v>
      </c>
      <c r="E117" s="6" t="s">
        <v>1433</v>
      </c>
      <c r="F117" s="6" t="s">
        <v>1434</v>
      </c>
      <c r="G117" s="6" t="s">
        <v>1435</v>
      </c>
      <c r="H117" s="6" t="s">
        <v>1435</v>
      </c>
      <c r="I117" s="5" t="s">
        <v>221</v>
      </c>
      <c r="J117" s="7" t="str">
        <f aca="false">IFERROR(INDEX(AVAILABILITY_MASTER!$C$4:$C$10,MATCH(I117,AVAILABILITY_MASTER!$A$4:$A$10,0)),"To Be Confirmed")</f>
        <v>Depends on Portal – Confirm at Shop</v>
      </c>
      <c r="K117" s="6" t="s">
        <v>129</v>
      </c>
      <c r="L117" s="6" t="s">
        <v>221</v>
      </c>
      <c r="M117" s="7" t="str">
        <f aca="false">IFERROR(INDEX(SERVICE_DOCUMENTS!$S$4:$S$1000,MATCH(A117,SERVICE_DOCUMENTS!$A$4:$A$1000,0))&amp;"","")</f>
        <v>✓ Aadhaar Card
✓ Active Mobile Number
✓ Bank Passbook
✓ Land Records</v>
      </c>
      <c r="N117" s="7" t="str">
        <f aca="false">IFERROR(INDEX(SERVICE_DOCUMENTS!$T$4:$T$1000,MATCH(A117,SERVICE_DOCUMENTS!$A$4:$A$1000,0))&amp;"","")</f>
        <v/>
      </c>
      <c r="O117" s="6" t="s">
        <v>1346</v>
      </c>
      <c r="P117" s="6" t="s">
        <v>1436</v>
      </c>
      <c r="Q117" s="6" t="s">
        <v>78</v>
      </c>
      <c r="R117" s="8" t="s">
        <v>75</v>
      </c>
      <c r="S117" s="8" t="s">
        <v>75</v>
      </c>
      <c r="T117" s="9" t="str">
        <f aca="false">IF(AND(OR(ISNUMBER(R117),R117="N/A"),OR(ISNUMBER(S117),S117="N/A"),OR(ISNUMBER(R117),ISNUMBER(S117))),N(R117)+N(S117),"To Verify")</f>
        <v>To Verify</v>
      </c>
      <c r="U117" s="6" t="s">
        <v>75</v>
      </c>
      <c r="V117" s="6" t="s">
        <v>79</v>
      </c>
      <c r="W117" s="6" t="s">
        <v>80</v>
      </c>
      <c r="X117" s="6" t="s">
        <v>221</v>
      </c>
      <c r="Y117" s="6" t="s">
        <v>74</v>
      </c>
      <c r="Z117" s="6" t="s">
        <v>1437</v>
      </c>
      <c r="AA117" s="6" t="s">
        <v>74</v>
      </c>
      <c r="AB117" s="6" t="s">
        <v>74</v>
      </c>
      <c r="AC117" s="6" t="s">
        <v>75</v>
      </c>
      <c r="AD117" s="6" t="s">
        <v>75</v>
      </c>
      <c r="AE117" s="6" t="s">
        <v>75</v>
      </c>
      <c r="AF117" s="6" t="s">
        <v>75</v>
      </c>
      <c r="AG117" s="6" t="s">
        <v>75</v>
      </c>
      <c r="AH117" s="6" t="s">
        <v>79</v>
      </c>
      <c r="AI117" s="6" t="s">
        <v>79</v>
      </c>
      <c r="AJ117" s="6" t="s">
        <v>79</v>
      </c>
      <c r="AK117" s="6" t="s">
        <v>79</v>
      </c>
      <c r="AL117" s="6" t="s">
        <v>1341</v>
      </c>
      <c r="AM117" s="6" t="s">
        <v>1432</v>
      </c>
      <c r="AN117" s="7" t="str">
        <f aca="false">BA117&amp;", "&amp;AZ117</f>
        <v>PM-Kisan Registration &amp; eKYC, Common Service Centre (CSC), Devmobile Stores, PM-किसान पंजीकरण व eKYC, कॉमन सर्विस सेंटर (CSC), सेवा</v>
      </c>
      <c r="AO117" s="6" t="s">
        <v>1438</v>
      </c>
      <c r="AP117" s="5" t="s">
        <v>1439</v>
      </c>
      <c r="AQ117" s="5" t="n">
        <v>90</v>
      </c>
      <c r="AR117" s="6" t="s">
        <v>1351</v>
      </c>
      <c r="AS117" s="6" t="s">
        <v>1352</v>
      </c>
      <c r="AT117" s="6" t="s">
        <v>86</v>
      </c>
      <c r="AU117" s="10"/>
      <c r="AV117" s="6" t="s">
        <v>75</v>
      </c>
      <c r="AW117" s="6"/>
      <c r="AX117" s="6" t="s">
        <v>1440</v>
      </c>
      <c r="AY117" s="6" t="s">
        <v>1441</v>
      </c>
      <c r="AZ117" s="6" t="s">
        <v>1442</v>
      </c>
      <c r="BA117" s="6" t="s">
        <v>1443</v>
      </c>
      <c r="BB117" s="6"/>
      <c r="BC117" s="11" t="str">
        <f aca="false">IFERROR(INDEX(CATEGORY_MASTER!$C$4:$C$30,MATCH(B117,CATEGORY_MASTER!$A$4:$A$30,0)),"")</f>
        <v>🖥️</v>
      </c>
      <c r="BD117" s="7" t="str">
        <f aca="false">"/services/"&amp;AO117</f>
        <v>/services/pm-kisan-registration-ekyc</v>
      </c>
      <c r="BE117" s="7" t="str">
        <f aca="false">IF(AND(AH117="Yes",AG117="Active",I117&lt;&gt;"Not Available"),"LIVE","HIDDEN")</f>
        <v>HIDDEN</v>
      </c>
      <c r="BF117" s="6" t="s">
        <v>139</v>
      </c>
      <c r="BG117" s="6" t="s">
        <v>93</v>
      </c>
      <c r="BH117" s="7" t="str">
        <f aca="false">B117&amp;"|"&amp;COUNTIF($B$4:B117,B117)</f>
        <v>Common Service Centre (CSC)|9</v>
      </c>
      <c r="BI117" s="7" t="str">
        <f aca="false">IF(AND(AI117="Yes",BE117="LIVE"),COUNTIFS($AI$4:AI117,"Yes",$BE$4:BE117,"LIVE"),"")</f>
        <v/>
      </c>
      <c r="BJ117" s="7" t="str">
        <f aca="false">IF(AND(AJ117="Yes",BE117="LIVE"),COUNTIFS($AJ$4:AJ117,"Yes",$BE$4:BE117,"LIVE"),"")</f>
        <v/>
      </c>
      <c r="BK117" s="7" t="str">
        <f aca="false">IF(AND(AK117="Yes",BE117="LIVE"),COUNTIFS($AK$4:AK117,"Yes",$BE$4:BE117,"LIVE"),"")</f>
        <v/>
      </c>
      <c r="BL117" s="7" t="str">
        <f aca="false">IF(I117="To Verify",COUNTIF($I$4:I117,"To Verify"),"")</f>
        <v/>
      </c>
    </row>
    <row r="118" customFormat="false" ht="91" hidden="false" customHeight="false" outlineLevel="0" collapsed="false">
      <c r="A118" s="5" t="s">
        <v>1444</v>
      </c>
      <c r="B118" s="6" t="s">
        <v>1341</v>
      </c>
      <c r="C118" s="6" t="s">
        <v>1342</v>
      </c>
      <c r="D118" s="6" t="s">
        <v>1432</v>
      </c>
      <c r="E118" s="6" t="s">
        <v>1445</v>
      </c>
      <c r="F118" s="6" t="s">
        <v>1446</v>
      </c>
      <c r="G118" s="6" t="s">
        <v>1447</v>
      </c>
      <c r="H118" s="6" t="s">
        <v>1447</v>
      </c>
      <c r="I118" s="5" t="s">
        <v>221</v>
      </c>
      <c r="J118" s="7" t="str">
        <f aca="false">IFERROR(INDEX(AVAILABILITY_MASTER!$C$4:$C$10,MATCH(I118,AVAILABILITY_MASTER!$A$4:$A$10,0)),"To Be Confirmed")</f>
        <v>Depends on Portal – Confirm at Shop</v>
      </c>
      <c r="K118" s="6" t="s">
        <v>129</v>
      </c>
      <c r="L118" s="6" t="s">
        <v>221</v>
      </c>
      <c r="M118" s="7" t="str">
        <f aca="false">IFERROR(INDEX(SERVICE_DOCUMENTS!$S$4:$S$1000,MATCH(A118,SERVICE_DOCUMENTS!$A$4:$A$1000,0))&amp;"","")</f>
        <v>✓ Aadhaar Card
✓ Active Mobile Number
✓ Bank Passbook</v>
      </c>
      <c r="N118" s="7" t="str">
        <f aca="false">IFERROR(INDEX(SERVICE_DOCUMENTS!$T$4:$T$1000,MATCH(A118,SERVICE_DOCUMENTS!$A$4:$A$1000,0))&amp;"","")</f>
        <v/>
      </c>
      <c r="O118" s="6" t="s">
        <v>1346</v>
      </c>
      <c r="P118" s="6" t="s">
        <v>1448</v>
      </c>
      <c r="Q118" s="6" t="s">
        <v>78</v>
      </c>
      <c r="R118" s="8" t="s">
        <v>75</v>
      </c>
      <c r="S118" s="8" t="s">
        <v>75</v>
      </c>
      <c r="T118" s="9" t="str">
        <f aca="false">IF(AND(OR(ISNUMBER(R118),R118="N/A"),OR(ISNUMBER(S118),S118="N/A"),OR(ISNUMBER(R118),ISNUMBER(S118))),N(R118)+N(S118),"To Verify")</f>
        <v>To Verify</v>
      </c>
      <c r="U118" s="6" t="s">
        <v>75</v>
      </c>
      <c r="V118" s="6" t="s">
        <v>79</v>
      </c>
      <c r="W118" s="6" t="s">
        <v>80</v>
      </c>
      <c r="X118" s="6" t="s">
        <v>221</v>
      </c>
      <c r="Y118" s="6" t="s">
        <v>74</v>
      </c>
      <c r="Z118" s="6" t="s">
        <v>1449</v>
      </c>
      <c r="AA118" s="6" t="s">
        <v>74</v>
      </c>
      <c r="AB118" s="6" t="s">
        <v>74</v>
      </c>
      <c r="AC118" s="6" t="s">
        <v>75</v>
      </c>
      <c r="AD118" s="6" t="s">
        <v>75</v>
      </c>
      <c r="AE118" s="6" t="s">
        <v>75</v>
      </c>
      <c r="AF118" s="6" t="s">
        <v>75</v>
      </c>
      <c r="AG118" s="6" t="s">
        <v>75</v>
      </c>
      <c r="AH118" s="6" t="s">
        <v>79</v>
      </c>
      <c r="AI118" s="6" t="s">
        <v>79</v>
      </c>
      <c r="AJ118" s="6" t="s">
        <v>79</v>
      </c>
      <c r="AK118" s="6" t="s">
        <v>79</v>
      </c>
      <c r="AL118" s="6" t="s">
        <v>1341</v>
      </c>
      <c r="AM118" s="6" t="s">
        <v>1432</v>
      </c>
      <c r="AN118" s="7" t="str">
        <f aca="false">BA118&amp;", "&amp;AZ118</f>
        <v>e-Shram Card Registration, Common Service Centre (CSC), Devmobile Stores, e-श्रम कार्ड पंजीकरण, कॉमन सर्विस सेंटर (CSC), सेवा</v>
      </c>
      <c r="AO118" s="6" t="s">
        <v>1450</v>
      </c>
      <c r="AP118" s="5" t="s">
        <v>1439</v>
      </c>
      <c r="AQ118" s="5" t="n">
        <v>100</v>
      </c>
      <c r="AR118" s="6" t="s">
        <v>1351</v>
      </c>
      <c r="AS118" s="6" t="s">
        <v>1352</v>
      </c>
      <c r="AT118" s="6" t="s">
        <v>86</v>
      </c>
      <c r="AU118" s="10"/>
      <c r="AV118" s="6" t="s">
        <v>75</v>
      </c>
      <c r="AW118" s="6"/>
      <c r="AX118" s="6" t="s">
        <v>1451</v>
      </c>
      <c r="AY118" s="6" t="s">
        <v>1452</v>
      </c>
      <c r="AZ118" s="6" t="s">
        <v>1453</v>
      </c>
      <c r="BA118" s="6" t="s">
        <v>1454</v>
      </c>
      <c r="BB118" s="6"/>
      <c r="BC118" s="11" t="str">
        <f aca="false">IFERROR(INDEX(CATEGORY_MASTER!$C$4:$C$30,MATCH(B118,CATEGORY_MASTER!$A$4:$A$30,0)),"")</f>
        <v>🖥️</v>
      </c>
      <c r="BD118" s="7" t="str">
        <f aca="false">"/services/"&amp;AO118</f>
        <v>/services/e-shram-card-registration</v>
      </c>
      <c r="BE118" s="7" t="str">
        <f aca="false">IF(AND(AH118="Yes",AG118="Active",I118&lt;&gt;"Not Available"),"LIVE","HIDDEN")</f>
        <v>HIDDEN</v>
      </c>
      <c r="BF118" s="6" t="s">
        <v>139</v>
      </c>
      <c r="BG118" s="6" t="s">
        <v>93</v>
      </c>
      <c r="BH118" s="7" t="str">
        <f aca="false">B118&amp;"|"&amp;COUNTIF($B$4:B118,B118)</f>
        <v>Common Service Centre (CSC)|10</v>
      </c>
      <c r="BI118" s="7" t="str">
        <f aca="false">IF(AND(AI118="Yes",BE118="LIVE"),COUNTIFS($AI$4:AI118,"Yes",$BE$4:BE118,"LIVE"),"")</f>
        <v/>
      </c>
      <c r="BJ118" s="7" t="str">
        <f aca="false">IF(AND(AJ118="Yes",BE118="LIVE"),COUNTIFS($AJ$4:AJ118,"Yes",$BE$4:BE118,"LIVE"),"")</f>
        <v/>
      </c>
      <c r="BK118" s="7" t="str">
        <f aca="false">IF(AND(AK118="Yes",BE118="LIVE"),COUNTIFS($AK$4:AK118,"Yes",$BE$4:BE118,"LIVE"),"")</f>
        <v/>
      </c>
      <c r="BL118" s="7" t="str">
        <f aca="false">IF(I118="To Verify",COUNTIF($I$4:I118,"To Verify"),"")</f>
        <v/>
      </c>
    </row>
    <row r="119" customFormat="false" ht="91" hidden="false" customHeight="false" outlineLevel="0" collapsed="false">
      <c r="A119" s="5" t="s">
        <v>1455</v>
      </c>
      <c r="B119" s="6" t="s">
        <v>1341</v>
      </c>
      <c r="C119" s="6" t="s">
        <v>1342</v>
      </c>
      <c r="D119" s="6" t="s">
        <v>1432</v>
      </c>
      <c r="E119" s="6" t="s">
        <v>1456</v>
      </c>
      <c r="F119" s="6" t="s">
        <v>1457</v>
      </c>
      <c r="G119" s="6" t="s">
        <v>1458</v>
      </c>
      <c r="H119" s="6" t="s">
        <v>1458</v>
      </c>
      <c r="I119" s="5" t="s">
        <v>221</v>
      </c>
      <c r="J119" s="7" t="str">
        <f aca="false">IFERROR(INDEX(AVAILABILITY_MASTER!$C$4:$C$10,MATCH(I119,AVAILABILITY_MASTER!$A$4:$A$10,0)),"To Be Confirmed")</f>
        <v>Depends on Portal – Confirm at Shop</v>
      </c>
      <c r="K119" s="6" t="s">
        <v>129</v>
      </c>
      <c r="L119" s="6" t="s">
        <v>221</v>
      </c>
      <c r="M119" s="7" t="str">
        <f aca="false">IFERROR(INDEX(SERVICE_DOCUMENTS!$S$4:$S$1000,MATCH(A119,SERVICE_DOCUMENTS!$A$4:$A$1000,0))&amp;"","")</f>
        <v>✓ Aadhaar Card
✓ Active Mobile Number</v>
      </c>
      <c r="N119" s="7" t="str">
        <f aca="false">IFERROR(INDEX(SERVICE_DOCUMENTS!$T$4:$T$1000,MATCH(A119,SERVICE_DOCUMENTS!$A$4:$A$1000,0))&amp;"","")</f>
        <v>• Ration Card (If Applicable)</v>
      </c>
      <c r="O119" s="6" t="s">
        <v>1346</v>
      </c>
      <c r="P119" s="6" t="s">
        <v>1459</v>
      </c>
      <c r="Q119" s="6" t="s">
        <v>78</v>
      </c>
      <c r="R119" s="8" t="s">
        <v>75</v>
      </c>
      <c r="S119" s="8" t="s">
        <v>75</v>
      </c>
      <c r="T119" s="9" t="str">
        <f aca="false">IF(AND(OR(ISNUMBER(R119),R119="N/A"),OR(ISNUMBER(S119),S119="N/A"),OR(ISNUMBER(R119),ISNUMBER(S119))),N(R119)+N(S119),"To Verify")</f>
        <v>To Verify</v>
      </c>
      <c r="U119" s="6" t="s">
        <v>75</v>
      </c>
      <c r="V119" s="6" t="s">
        <v>79</v>
      </c>
      <c r="W119" s="6" t="s">
        <v>80</v>
      </c>
      <c r="X119" s="6" t="s">
        <v>221</v>
      </c>
      <c r="Y119" s="6" t="s">
        <v>74</v>
      </c>
      <c r="Z119" s="6" t="s">
        <v>1460</v>
      </c>
      <c r="AA119" s="6" t="s">
        <v>74</v>
      </c>
      <c r="AB119" s="6" t="s">
        <v>74</v>
      </c>
      <c r="AC119" s="6" t="s">
        <v>75</v>
      </c>
      <c r="AD119" s="6" t="s">
        <v>75</v>
      </c>
      <c r="AE119" s="6" t="s">
        <v>75</v>
      </c>
      <c r="AF119" s="6" t="s">
        <v>75</v>
      </c>
      <c r="AG119" s="6" t="s">
        <v>75</v>
      </c>
      <c r="AH119" s="6" t="s">
        <v>79</v>
      </c>
      <c r="AI119" s="6" t="s">
        <v>79</v>
      </c>
      <c r="AJ119" s="6" t="s">
        <v>79</v>
      </c>
      <c r="AK119" s="6" t="s">
        <v>79</v>
      </c>
      <c r="AL119" s="6" t="s">
        <v>1341</v>
      </c>
      <c r="AM119" s="6" t="s">
        <v>1432</v>
      </c>
      <c r="AN119" s="7" t="str">
        <f aca="false">BA119&amp;", "&amp;AZ119</f>
        <v>Ayushman Bharat (PM-JAY) Card Registration, Common Service Centre (CSC), Devmobile Stores, आयुष्मान भारत (PM-JAY) कार्ड पंजीकरण, कॉमन सर्विस सेंटर (CSC), सेवा</v>
      </c>
      <c r="AO119" s="6" t="s">
        <v>1461</v>
      </c>
      <c r="AP119" s="5" t="s">
        <v>1439</v>
      </c>
      <c r="AQ119" s="5" t="n">
        <v>110</v>
      </c>
      <c r="AR119" s="6" t="s">
        <v>1351</v>
      </c>
      <c r="AS119" s="6" t="s">
        <v>1352</v>
      </c>
      <c r="AT119" s="6" t="s">
        <v>86</v>
      </c>
      <c r="AU119" s="10"/>
      <c r="AV119" s="6" t="s">
        <v>75</v>
      </c>
      <c r="AW119" s="6"/>
      <c r="AX119" s="6" t="s">
        <v>1462</v>
      </c>
      <c r="AY119" s="6" t="s">
        <v>1463</v>
      </c>
      <c r="AZ119" s="6" t="s">
        <v>1464</v>
      </c>
      <c r="BA119" s="6" t="s">
        <v>1465</v>
      </c>
      <c r="BB119" s="6"/>
      <c r="BC119" s="11" t="str">
        <f aca="false">IFERROR(INDEX(CATEGORY_MASTER!$C$4:$C$30,MATCH(B119,CATEGORY_MASTER!$A$4:$A$30,0)),"")</f>
        <v>🖥️</v>
      </c>
      <c r="BD119" s="7" t="str">
        <f aca="false">"/services/"&amp;AO119</f>
        <v>/services/ayushman-bharat-pm-jay-card-registration</v>
      </c>
      <c r="BE119" s="7" t="str">
        <f aca="false">IF(AND(AH119="Yes",AG119="Active",I119&lt;&gt;"Not Available"),"LIVE","HIDDEN")</f>
        <v>HIDDEN</v>
      </c>
      <c r="BF119" s="6" t="s">
        <v>139</v>
      </c>
      <c r="BG119" s="6" t="s">
        <v>93</v>
      </c>
      <c r="BH119" s="7" t="str">
        <f aca="false">B119&amp;"|"&amp;COUNTIF($B$4:B119,B119)</f>
        <v>Common Service Centre (CSC)|11</v>
      </c>
      <c r="BI119" s="7" t="str">
        <f aca="false">IF(AND(AI119="Yes",BE119="LIVE"),COUNTIFS($AI$4:AI119,"Yes",$BE$4:BE119,"LIVE"),"")</f>
        <v/>
      </c>
      <c r="BJ119" s="7" t="str">
        <f aca="false">IF(AND(AJ119="Yes",BE119="LIVE"),COUNTIFS($AJ$4:AJ119,"Yes",$BE$4:BE119,"LIVE"),"")</f>
        <v/>
      </c>
      <c r="BK119" s="7" t="str">
        <f aca="false">IF(AND(AK119="Yes",BE119="LIVE"),COUNTIFS($AK$4:AK119,"Yes",$BE$4:BE119,"LIVE"),"")</f>
        <v/>
      </c>
      <c r="BL119" s="7" t="str">
        <f aca="false">IF(I119="To Verify",COUNTIF($I$4:I119,"To Verify"),"")</f>
        <v/>
      </c>
    </row>
    <row r="120" customFormat="false" ht="91" hidden="false" customHeight="false" outlineLevel="0" collapsed="false">
      <c r="A120" s="5" t="s">
        <v>1466</v>
      </c>
      <c r="B120" s="6" t="s">
        <v>1341</v>
      </c>
      <c r="C120" s="6" t="s">
        <v>1342</v>
      </c>
      <c r="D120" s="6" t="s">
        <v>1432</v>
      </c>
      <c r="E120" s="6" t="s">
        <v>1467</v>
      </c>
      <c r="F120" s="6" t="s">
        <v>1468</v>
      </c>
      <c r="G120" s="6" t="s">
        <v>1469</v>
      </c>
      <c r="H120" s="6" t="s">
        <v>1469</v>
      </c>
      <c r="I120" s="5" t="s">
        <v>221</v>
      </c>
      <c r="J120" s="7" t="str">
        <f aca="false">IFERROR(INDEX(AVAILABILITY_MASTER!$C$4:$C$10,MATCH(I120,AVAILABILITY_MASTER!$A$4:$A$10,0)),"To Be Confirmed")</f>
        <v>Depends on Portal – Confirm at Shop</v>
      </c>
      <c r="K120" s="6" t="s">
        <v>129</v>
      </c>
      <c r="L120" s="6" t="s">
        <v>221</v>
      </c>
      <c r="M120" s="7" t="str">
        <f aca="false">IFERROR(INDEX(SERVICE_DOCUMENTS!$S$4:$S$1000,MATCH(A120,SERVICE_DOCUMENTS!$A$4:$A$1000,0))&amp;"","")</f>
        <v>✓ Aadhaar Card
✓ Active Mobile Number</v>
      </c>
      <c r="N120" s="7" t="str">
        <f aca="false">IFERROR(INDEX(SERVICE_DOCUMENTS!$T$4:$T$1000,MATCH(A120,SERVICE_DOCUMENTS!$A$4:$A$1000,0))&amp;"","")</f>
        <v/>
      </c>
      <c r="O120" s="6" t="s">
        <v>1346</v>
      </c>
      <c r="P120" s="6" t="s">
        <v>1470</v>
      </c>
      <c r="Q120" s="6" t="s">
        <v>78</v>
      </c>
      <c r="R120" s="8" t="s">
        <v>75</v>
      </c>
      <c r="S120" s="8" t="s">
        <v>75</v>
      </c>
      <c r="T120" s="9" t="str">
        <f aca="false">IF(AND(OR(ISNUMBER(R120),R120="N/A"),OR(ISNUMBER(S120),S120="N/A"),OR(ISNUMBER(R120),ISNUMBER(S120))),N(R120)+N(S120),"To Verify")</f>
        <v>To Verify</v>
      </c>
      <c r="U120" s="6" t="s">
        <v>75</v>
      </c>
      <c r="V120" s="6" t="s">
        <v>79</v>
      </c>
      <c r="W120" s="6" t="s">
        <v>80</v>
      </c>
      <c r="X120" s="6" t="s">
        <v>221</v>
      </c>
      <c r="Y120" s="6" t="s">
        <v>74</v>
      </c>
      <c r="Z120" s="6" t="s">
        <v>1471</v>
      </c>
      <c r="AA120" s="6" t="s">
        <v>74</v>
      </c>
      <c r="AB120" s="6" t="s">
        <v>74</v>
      </c>
      <c r="AC120" s="6" t="s">
        <v>75</v>
      </c>
      <c r="AD120" s="6" t="s">
        <v>75</v>
      </c>
      <c r="AE120" s="6" t="s">
        <v>75</v>
      </c>
      <c r="AF120" s="6" t="s">
        <v>75</v>
      </c>
      <c r="AG120" s="6" t="s">
        <v>75</v>
      </c>
      <c r="AH120" s="6" t="s">
        <v>79</v>
      </c>
      <c r="AI120" s="6" t="s">
        <v>79</v>
      </c>
      <c r="AJ120" s="6" t="s">
        <v>79</v>
      </c>
      <c r="AK120" s="6" t="s">
        <v>79</v>
      </c>
      <c r="AL120" s="6" t="s">
        <v>1341</v>
      </c>
      <c r="AM120" s="6" t="s">
        <v>1432</v>
      </c>
      <c r="AN120" s="7" t="str">
        <f aca="false">BA120&amp;", "&amp;AZ120</f>
        <v>ABHA (Health ID) Creation, Common Service Centre (CSC), Devmobile Stores, ABHA (हेल्थ आईडी) निर्माण, कॉमन सर्विस सेंटर (CSC), सेवा</v>
      </c>
      <c r="AO120" s="6" t="s">
        <v>1472</v>
      </c>
      <c r="AP120" s="5" t="s">
        <v>1439</v>
      </c>
      <c r="AQ120" s="5" t="n">
        <v>120</v>
      </c>
      <c r="AR120" s="6" t="s">
        <v>1351</v>
      </c>
      <c r="AS120" s="6" t="s">
        <v>1352</v>
      </c>
      <c r="AT120" s="6" t="s">
        <v>86</v>
      </c>
      <c r="AU120" s="10"/>
      <c r="AV120" s="6" t="s">
        <v>75</v>
      </c>
      <c r="AW120" s="6"/>
      <c r="AX120" s="6" t="s">
        <v>1473</v>
      </c>
      <c r="AY120" s="6" t="s">
        <v>1474</v>
      </c>
      <c r="AZ120" s="6" t="s">
        <v>1475</v>
      </c>
      <c r="BA120" s="6" t="s">
        <v>1476</v>
      </c>
      <c r="BB120" s="6"/>
      <c r="BC120" s="11" t="str">
        <f aca="false">IFERROR(INDEX(CATEGORY_MASTER!$C$4:$C$30,MATCH(B120,CATEGORY_MASTER!$A$4:$A$30,0)),"")</f>
        <v>🖥️</v>
      </c>
      <c r="BD120" s="7" t="str">
        <f aca="false">"/services/"&amp;AO120</f>
        <v>/services/abha-health-id-creation</v>
      </c>
      <c r="BE120" s="7" t="str">
        <f aca="false">IF(AND(AH120="Yes",AG120="Active",I120&lt;&gt;"Not Available"),"LIVE","HIDDEN")</f>
        <v>HIDDEN</v>
      </c>
      <c r="BF120" s="6" t="s">
        <v>139</v>
      </c>
      <c r="BG120" s="6" t="s">
        <v>93</v>
      </c>
      <c r="BH120" s="7" t="str">
        <f aca="false">B120&amp;"|"&amp;COUNTIF($B$4:B120,B120)</f>
        <v>Common Service Centre (CSC)|12</v>
      </c>
      <c r="BI120" s="7" t="str">
        <f aca="false">IF(AND(AI120="Yes",BE120="LIVE"),COUNTIFS($AI$4:AI120,"Yes",$BE$4:BE120,"LIVE"),"")</f>
        <v/>
      </c>
      <c r="BJ120" s="7" t="str">
        <f aca="false">IF(AND(AJ120="Yes",BE120="LIVE"),COUNTIFS($AJ$4:AJ120,"Yes",$BE$4:BE120,"LIVE"),"")</f>
        <v/>
      </c>
      <c r="BK120" s="7" t="str">
        <f aca="false">IF(AND(AK120="Yes",BE120="LIVE"),COUNTIFS($AK$4:AK120,"Yes",$BE$4:BE120,"LIVE"),"")</f>
        <v/>
      </c>
      <c r="BL120" s="7" t="str">
        <f aca="false">IF(I120="To Verify",COUNTIF($I$4:I120,"To Verify"),"")</f>
        <v/>
      </c>
    </row>
    <row r="121" customFormat="false" ht="91" hidden="false" customHeight="false" outlineLevel="0" collapsed="false">
      <c r="A121" s="5" t="s">
        <v>1477</v>
      </c>
      <c r="B121" s="6" t="s">
        <v>1341</v>
      </c>
      <c r="C121" s="6" t="s">
        <v>1342</v>
      </c>
      <c r="D121" s="6" t="s">
        <v>1432</v>
      </c>
      <c r="E121" s="6" t="s">
        <v>1478</v>
      </c>
      <c r="F121" s="6" t="s">
        <v>1479</v>
      </c>
      <c r="G121" s="6" t="s">
        <v>1480</v>
      </c>
      <c r="H121" s="6" t="s">
        <v>1480</v>
      </c>
      <c r="I121" s="5" t="s">
        <v>12</v>
      </c>
      <c r="J121" s="7" t="str">
        <f aca="false">IFERROR(INDEX(AVAILABILITY_MASTER!$C$4:$C$10,MATCH(I121,AVAILABILITY_MASTER!$A$4:$A$10,0)),"To Be Confirmed")</f>
        <v>Please Confirm at Shop</v>
      </c>
      <c r="K121" s="6" t="s">
        <v>74</v>
      </c>
      <c r="L121" s="6" t="s">
        <v>75</v>
      </c>
      <c r="M121" s="7" t="str">
        <f aca="false">IFERROR(INDEX(SERVICE_DOCUMENTS!$S$4:$S$1000,MATCH(A121,SERVICE_DOCUMENTS!$A$4:$A$1000,0))&amp;"","")</f>
        <v>✓ Aadhaar Card
✓ Active Mobile Number
✓ Bank Passbook
✓ Nominee Details</v>
      </c>
      <c r="N121" s="7" t="str">
        <f aca="false">IFERROR(INDEX(SERVICE_DOCUMENTS!$T$4:$T$1000,MATCH(A121,SERVICE_DOCUMENTS!$A$4:$A$1000,0))&amp;"","")</f>
        <v/>
      </c>
      <c r="O121" s="6" t="s">
        <v>1346</v>
      </c>
      <c r="P121" s="6" t="s">
        <v>1481</v>
      </c>
      <c r="Q121" s="6" t="s">
        <v>78</v>
      </c>
      <c r="R121" s="8" t="s">
        <v>75</v>
      </c>
      <c r="S121" s="8" t="s">
        <v>75</v>
      </c>
      <c r="T121" s="9" t="str">
        <f aca="false">IF(AND(OR(ISNUMBER(R121),R121="N/A"),OR(ISNUMBER(S121),S121="N/A"),OR(ISNUMBER(R121),ISNUMBER(S121))),N(R121)+N(S121),"To Verify")</f>
        <v>To Verify</v>
      </c>
      <c r="U121" s="6" t="s">
        <v>75</v>
      </c>
      <c r="V121" s="6" t="s">
        <v>79</v>
      </c>
      <c r="W121" s="6" t="s">
        <v>80</v>
      </c>
      <c r="X121" s="6" t="s">
        <v>221</v>
      </c>
      <c r="Y121" s="6" t="s">
        <v>74</v>
      </c>
      <c r="Z121" s="6" t="s">
        <v>1373</v>
      </c>
      <c r="AA121" s="6" t="s">
        <v>74</v>
      </c>
      <c r="AB121" s="6" t="s">
        <v>74</v>
      </c>
      <c r="AC121" s="6" t="s">
        <v>75</v>
      </c>
      <c r="AD121" s="6" t="s">
        <v>75</v>
      </c>
      <c r="AE121" s="6" t="s">
        <v>75</v>
      </c>
      <c r="AF121" s="6" t="s">
        <v>75</v>
      </c>
      <c r="AG121" s="6" t="s">
        <v>75</v>
      </c>
      <c r="AH121" s="6" t="s">
        <v>79</v>
      </c>
      <c r="AI121" s="6" t="s">
        <v>79</v>
      </c>
      <c r="AJ121" s="6" t="s">
        <v>79</v>
      </c>
      <c r="AK121" s="6" t="s">
        <v>79</v>
      </c>
      <c r="AL121" s="6" t="s">
        <v>1341</v>
      </c>
      <c r="AM121" s="6" t="s">
        <v>1432</v>
      </c>
      <c r="AN121" s="7" t="str">
        <f aca="false">BA121&amp;", "&amp;AZ121</f>
        <v>PM Shram Yogi Maan-Dhan (PM-SYM) Enrolment, Common Service Centre (CSC), Devmobile Stores, PM श्रम योगी मानधन (PM-SYM) नामांकन, कॉमन सर्विस सेंटर (CSC), सेवा</v>
      </c>
      <c r="AO121" s="6" t="s">
        <v>1482</v>
      </c>
      <c r="AP121" s="5" t="s">
        <v>1439</v>
      </c>
      <c r="AQ121" s="5" t="n">
        <v>130</v>
      </c>
      <c r="AR121" s="6" t="s">
        <v>1351</v>
      </c>
      <c r="AS121" s="6" t="s">
        <v>1352</v>
      </c>
      <c r="AT121" s="6" t="s">
        <v>86</v>
      </c>
      <c r="AU121" s="10"/>
      <c r="AV121" s="6" t="s">
        <v>75</v>
      </c>
      <c r="AW121" s="6"/>
      <c r="AX121" s="6" t="s">
        <v>1483</v>
      </c>
      <c r="AY121" s="6" t="s">
        <v>1484</v>
      </c>
      <c r="AZ121" s="6" t="s">
        <v>1485</v>
      </c>
      <c r="BA121" s="6" t="s">
        <v>1486</v>
      </c>
      <c r="BB121" s="6"/>
      <c r="BC121" s="11" t="str">
        <f aca="false">IFERROR(INDEX(CATEGORY_MASTER!$C$4:$C$30,MATCH(B121,CATEGORY_MASTER!$A$4:$A$30,0)),"")</f>
        <v>🖥️</v>
      </c>
      <c r="BD121" s="7" t="str">
        <f aca="false">"/services/"&amp;AO121</f>
        <v>/services/pm-shram-yogi-maan-dhan-pm-sym-enrolment</v>
      </c>
      <c r="BE121" s="7" t="str">
        <f aca="false">IF(AND(AH121="Yes",AG121="Active",I121&lt;&gt;"Not Available"),"LIVE","HIDDEN")</f>
        <v>HIDDEN</v>
      </c>
      <c r="BF121" s="6" t="s">
        <v>139</v>
      </c>
      <c r="BG121" s="6" t="s">
        <v>93</v>
      </c>
      <c r="BH121" s="7" t="str">
        <f aca="false">B121&amp;"|"&amp;COUNTIF($B$4:B121,B121)</f>
        <v>Common Service Centre (CSC)|13</v>
      </c>
      <c r="BI121" s="7" t="str">
        <f aca="false">IF(AND(AI121="Yes",BE121="LIVE"),COUNTIFS($AI$4:AI121,"Yes",$BE$4:BE121,"LIVE"),"")</f>
        <v/>
      </c>
      <c r="BJ121" s="7" t="str">
        <f aca="false">IF(AND(AJ121="Yes",BE121="LIVE"),COUNTIFS($AJ$4:AJ121,"Yes",$BE$4:BE121,"LIVE"),"")</f>
        <v/>
      </c>
      <c r="BK121" s="7" t="str">
        <f aca="false">IF(AND(AK121="Yes",BE121="LIVE"),COUNTIFS($AK$4:AK121,"Yes",$BE$4:BE121,"LIVE"),"")</f>
        <v/>
      </c>
      <c r="BL121" s="7" t="str">
        <f aca="false">IF(I121="To Verify",COUNTIF($I$4:I121,"To Verify"),"")</f>
        <v/>
      </c>
    </row>
    <row r="122" customFormat="false" ht="91" hidden="false" customHeight="false" outlineLevel="0" collapsed="false">
      <c r="A122" s="5" t="s">
        <v>1487</v>
      </c>
      <c r="B122" s="6" t="s">
        <v>1341</v>
      </c>
      <c r="C122" s="6" t="s">
        <v>1342</v>
      </c>
      <c r="D122" s="6" t="s">
        <v>1432</v>
      </c>
      <c r="E122" s="6" t="s">
        <v>1488</v>
      </c>
      <c r="F122" s="6" t="s">
        <v>1489</v>
      </c>
      <c r="G122" s="6" t="s">
        <v>1490</v>
      </c>
      <c r="H122" s="6" t="s">
        <v>1490</v>
      </c>
      <c r="I122" s="5" t="s">
        <v>12</v>
      </c>
      <c r="J122" s="7" t="str">
        <f aca="false">IFERROR(INDEX(AVAILABILITY_MASTER!$C$4:$C$10,MATCH(I122,AVAILABILITY_MASTER!$A$4:$A$10,0)),"To Be Confirmed")</f>
        <v>Please Confirm at Shop</v>
      </c>
      <c r="K122" s="6" t="s">
        <v>74</v>
      </c>
      <c r="L122" s="6" t="s">
        <v>75</v>
      </c>
      <c r="M122" s="7" t="str">
        <f aca="false">IFERROR(INDEX(SERVICE_DOCUMENTS!$S$4:$S$1000,MATCH(A122,SERVICE_DOCUMENTS!$A$4:$A$1000,0))&amp;"","")</f>
        <v>✓ Aadhaar Card
✓ Active Mobile Number
✓ Bank Passbook
✓ Nominee Details</v>
      </c>
      <c r="N122" s="7" t="str">
        <f aca="false">IFERROR(INDEX(SERVICE_DOCUMENTS!$T$4:$T$1000,MATCH(A122,SERVICE_DOCUMENTS!$A$4:$A$1000,0))&amp;"","")</f>
        <v/>
      </c>
      <c r="O122" s="6" t="s">
        <v>1346</v>
      </c>
      <c r="P122" s="6" t="s">
        <v>1491</v>
      </c>
      <c r="Q122" s="6" t="s">
        <v>78</v>
      </c>
      <c r="R122" s="8" t="s">
        <v>75</v>
      </c>
      <c r="S122" s="8" t="s">
        <v>75</v>
      </c>
      <c r="T122" s="9" t="str">
        <f aca="false">IF(AND(OR(ISNUMBER(R122),R122="N/A"),OR(ISNUMBER(S122),S122="N/A"),OR(ISNUMBER(R122),ISNUMBER(S122))),N(R122)+N(S122),"To Verify")</f>
        <v>To Verify</v>
      </c>
      <c r="U122" s="6" t="s">
        <v>75</v>
      </c>
      <c r="V122" s="6" t="s">
        <v>79</v>
      </c>
      <c r="W122" s="6" t="s">
        <v>80</v>
      </c>
      <c r="X122" s="6" t="s">
        <v>221</v>
      </c>
      <c r="Y122" s="6" t="s">
        <v>74</v>
      </c>
      <c r="Z122" s="6" t="s">
        <v>1373</v>
      </c>
      <c r="AA122" s="6" t="s">
        <v>74</v>
      </c>
      <c r="AB122" s="6" t="s">
        <v>74</v>
      </c>
      <c r="AC122" s="6" t="s">
        <v>75</v>
      </c>
      <c r="AD122" s="6" t="s">
        <v>75</v>
      </c>
      <c r="AE122" s="6" t="s">
        <v>75</v>
      </c>
      <c r="AF122" s="6" t="s">
        <v>75</v>
      </c>
      <c r="AG122" s="6" t="s">
        <v>75</v>
      </c>
      <c r="AH122" s="6" t="s">
        <v>79</v>
      </c>
      <c r="AI122" s="6" t="s">
        <v>79</v>
      </c>
      <c r="AJ122" s="6" t="s">
        <v>79</v>
      </c>
      <c r="AK122" s="6" t="s">
        <v>79</v>
      </c>
      <c r="AL122" s="6" t="s">
        <v>1341</v>
      </c>
      <c r="AM122" s="6" t="s">
        <v>1432</v>
      </c>
      <c r="AN122" s="7" t="str">
        <f aca="false">BA122&amp;", "&amp;AZ122</f>
        <v>PM Kisan Maan-Dhan (PM-KMY) Enrolment, Common Service Centre (CSC), Devmobile Stores, PM किसान मानधन (PM-KMY) नामांकन, कॉमन सर्विस सेंटर (CSC), सेवा</v>
      </c>
      <c r="AO122" s="6" t="s">
        <v>1492</v>
      </c>
      <c r="AP122" s="5" t="s">
        <v>1439</v>
      </c>
      <c r="AQ122" s="5" t="n">
        <v>140</v>
      </c>
      <c r="AR122" s="6" t="s">
        <v>1351</v>
      </c>
      <c r="AS122" s="6" t="s">
        <v>1352</v>
      </c>
      <c r="AT122" s="6" t="s">
        <v>86</v>
      </c>
      <c r="AU122" s="10"/>
      <c r="AV122" s="6" t="s">
        <v>75</v>
      </c>
      <c r="AW122" s="6"/>
      <c r="AX122" s="6" t="s">
        <v>1493</v>
      </c>
      <c r="AY122" s="6" t="s">
        <v>1494</v>
      </c>
      <c r="AZ122" s="6" t="s">
        <v>1495</v>
      </c>
      <c r="BA122" s="6" t="s">
        <v>1496</v>
      </c>
      <c r="BB122" s="6"/>
      <c r="BC122" s="11" t="str">
        <f aca="false">IFERROR(INDEX(CATEGORY_MASTER!$C$4:$C$30,MATCH(B122,CATEGORY_MASTER!$A$4:$A$30,0)),"")</f>
        <v>🖥️</v>
      </c>
      <c r="BD122" s="7" t="str">
        <f aca="false">"/services/"&amp;AO122</f>
        <v>/services/pm-kisan-maan-dhan-pm-kmy-enrolment</v>
      </c>
      <c r="BE122" s="7" t="str">
        <f aca="false">IF(AND(AH122="Yes",AG122="Active",I122&lt;&gt;"Not Available"),"LIVE","HIDDEN")</f>
        <v>HIDDEN</v>
      </c>
      <c r="BF122" s="6" t="s">
        <v>139</v>
      </c>
      <c r="BG122" s="6" t="s">
        <v>93</v>
      </c>
      <c r="BH122" s="7" t="str">
        <f aca="false">B122&amp;"|"&amp;COUNTIF($B$4:B122,B122)</f>
        <v>Common Service Centre (CSC)|14</v>
      </c>
      <c r="BI122" s="7" t="str">
        <f aca="false">IF(AND(AI122="Yes",BE122="LIVE"),COUNTIFS($AI$4:AI122,"Yes",$BE$4:BE122,"LIVE"),"")</f>
        <v/>
      </c>
      <c r="BJ122" s="7" t="str">
        <f aca="false">IF(AND(AJ122="Yes",BE122="LIVE"),COUNTIFS($AJ$4:AJ122,"Yes",$BE$4:BE122,"LIVE"),"")</f>
        <v/>
      </c>
      <c r="BK122" s="7" t="str">
        <f aca="false">IF(AND(AK122="Yes",BE122="LIVE"),COUNTIFS($AK$4:AK122,"Yes",$BE$4:BE122,"LIVE"),"")</f>
        <v/>
      </c>
      <c r="BL122" s="7" t="str">
        <f aca="false">IF(I122="To Verify",COUNTIF($I$4:I122,"To Verify"),"")</f>
        <v/>
      </c>
    </row>
    <row r="123" customFormat="false" ht="91" hidden="false" customHeight="false" outlineLevel="0" collapsed="false">
      <c r="A123" s="5" t="s">
        <v>1497</v>
      </c>
      <c r="B123" s="6" t="s">
        <v>1341</v>
      </c>
      <c r="C123" s="6" t="s">
        <v>1342</v>
      </c>
      <c r="D123" s="6" t="s">
        <v>1432</v>
      </c>
      <c r="E123" s="6" t="s">
        <v>1498</v>
      </c>
      <c r="F123" s="6" t="s">
        <v>1499</v>
      </c>
      <c r="G123" s="6" t="s">
        <v>1500</v>
      </c>
      <c r="H123" s="6" t="s">
        <v>1500</v>
      </c>
      <c r="I123" s="5" t="s">
        <v>221</v>
      </c>
      <c r="J123" s="7" t="str">
        <f aca="false">IFERROR(INDEX(AVAILABILITY_MASTER!$C$4:$C$10,MATCH(I123,AVAILABILITY_MASTER!$A$4:$A$10,0)),"To Be Confirmed")</f>
        <v>Depends on Portal – Confirm at Shop</v>
      </c>
      <c r="K123" s="6" t="s">
        <v>129</v>
      </c>
      <c r="L123" s="6" t="s">
        <v>221</v>
      </c>
      <c r="M123" s="7" t="str">
        <f aca="false">IFERROR(INDEX(SERVICE_DOCUMENTS!$S$4:$S$1000,MATCH(A123,SERVICE_DOCUMENTS!$A$4:$A$1000,0))&amp;"","")</f>
        <v>✓ Aadhaar Card
✓ Active Mobile Number</v>
      </c>
      <c r="N123" s="7" t="str">
        <f aca="false">IFERROR(INDEX(SERVICE_DOCUMENTS!$T$4:$T$1000,MATCH(A123,SERVICE_DOCUMENTS!$A$4:$A$1000,0))&amp;"","")</f>
        <v/>
      </c>
      <c r="O123" s="6" t="s">
        <v>1346</v>
      </c>
      <c r="P123" s="6" t="s">
        <v>1501</v>
      </c>
      <c r="Q123" s="6" t="s">
        <v>78</v>
      </c>
      <c r="R123" s="8" t="s">
        <v>75</v>
      </c>
      <c r="S123" s="8" t="s">
        <v>75</v>
      </c>
      <c r="T123" s="9" t="str">
        <f aca="false">IF(AND(OR(ISNUMBER(R123),R123="N/A"),OR(ISNUMBER(S123),S123="N/A"),OR(ISNUMBER(R123),ISNUMBER(S123))),N(R123)+N(S123),"To Verify")</f>
        <v>To Verify</v>
      </c>
      <c r="U123" s="6" t="s">
        <v>75</v>
      </c>
      <c r="V123" s="6" t="s">
        <v>79</v>
      </c>
      <c r="W123" s="6" t="s">
        <v>80</v>
      </c>
      <c r="X123" s="6" t="s">
        <v>221</v>
      </c>
      <c r="Y123" s="6" t="s">
        <v>74</v>
      </c>
      <c r="Z123" s="6" t="s">
        <v>1373</v>
      </c>
      <c r="AA123" s="6" t="s">
        <v>74</v>
      </c>
      <c r="AB123" s="6" t="s">
        <v>74</v>
      </c>
      <c r="AC123" s="6" t="s">
        <v>75</v>
      </c>
      <c r="AD123" s="6" t="s">
        <v>75</v>
      </c>
      <c r="AE123" s="6" t="s">
        <v>75</v>
      </c>
      <c r="AF123" s="6" t="s">
        <v>75</v>
      </c>
      <c r="AG123" s="6" t="s">
        <v>75</v>
      </c>
      <c r="AH123" s="6" t="s">
        <v>79</v>
      </c>
      <c r="AI123" s="6" t="s">
        <v>79</v>
      </c>
      <c r="AJ123" s="6" t="s">
        <v>79</v>
      </c>
      <c r="AK123" s="6" t="s">
        <v>79</v>
      </c>
      <c r="AL123" s="6" t="s">
        <v>1341</v>
      </c>
      <c r="AM123" s="6" t="s">
        <v>1432</v>
      </c>
      <c r="AN123" s="7" t="str">
        <f aca="false">BA123&amp;", "&amp;AZ123</f>
        <v>PM Vishwakarma Registration, Common Service Centre (CSC), Devmobile Stores, PM विश्वकर्मा पंजीकरण, कॉमन सर्विस सेंटर (CSC), सेवा</v>
      </c>
      <c r="AO123" s="6" t="s">
        <v>1502</v>
      </c>
      <c r="AP123" s="5" t="s">
        <v>1439</v>
      </c>
      <c r="AQ123" s="5" t="n">
        <v>150</v>
      </c>
      <c r="AR123" s="6" t="s">
        <v>1351</v>
      </c>
      <c r="AS123" s="6" t="s">
        <v>1352</v>
      </c>
      <c r="AT123" s="6" t="s">
        <v>86</v>
      </c>
      <c r="AU123" s="10"/>
      <c r="AV123" s="6" t="s">
        <v>75</v>
      </c>
      <c r="AW123" s="6"/>
      <c r="AX123" s="6" t="s">
        <v>1503</v>
      </c>
      <c r="AY123" s="6" t="s">
        <v>1504</v>
      </c>
      <c r="AZ123" s="6" t="s">
        <v>1505</v>
      </c>
      <c r="BA123" s="6" t="s">
        <v>1506</v>
      </c>
      <c r="BB123" s="6"/>
      <c r="BC123" s="11" t="str">
        <f aca="false">IFERROR(INDEX(CATEGORY_MASTER!$C$4:$C$30,MATCH(B123,CATEGORY_MASTER!$A$4:$A$30,0)),"")</f>
        <v>🖥️</v>
      </c>
      <c r="BD123" s="7" t="str">
        <f aca="false">"/services/"&amp;AO123</f>
        <v>/services/pm-vishwakarma-registration</v>
      </c>
      <c r="BE123" s="7" t="str">
        <f aca="false">IF(AND(AH123="Yes",AG123="Active",I123&lt;&gt;"Not Available"),"LIVE","HIDDEN")</f>
        <v>HIDDEN</v>
      </c>
      <c r="BF123" s="6" t="s">
        <v>139</v>
      </c>
      <c r="BG123" s="6" t="s">
        <v>93</v>
      </c>
      <c r="BH123" s="7" t="str">
        <f aca="false">B123&amp;"|"&amp;COUNTIF($B$4:B123,B123)</f>
        <v>Common Service Centre (CSC)|15</v>
      </c>
      <c r="BI123" s="7" t="str">
        <f aca="false">IF(AND(AI123="Yes",BE123="LIVE"),COUNTIFS($AI$4:AI123,"Yes",$BE$4:BE123,"LIVE"),"")</f>
        <v/>
      </c>
      <c r="BJ123" s="7" t="str">
        <f aca="false">IF(AND(AJ123="Yes",BE123="LIVE"),COUNTIFS($AJ$4:AJ123,"Yes",$BE$4:BE123,"LIVE"),"")</f>
        <v/>
      </c>
      <c r="BK123" s="7" t="str">
        <f aca="false">IF(AND(AK123="Yes",BE123="LIVE"),COUNTIFS($AK$4:AK123,"Yes",$BE$4:BE123,"LIVE"),"")</f>
        <v/>
      </c>
      <c r="BL123" s="7" t="str">
        <f aca="false">IF(I123="To Verify",COUNTIF($I$4:I123,"To Verify"),"")</f>
        <v/>
      </c>
    </row>
    <row r="124" customFormat="false" ht="102.2" hidden="false" customHeight="false" outlineLevel="0" collapsed="false">
      <c r="A124" s="5" t="s">
        <v>1507</v>
      </c>
      <c r="B124" s="6" t="s">
        <v>1341</v>
      </c>
      <c r="C124" s="6" t="s">
        <v>1342</v>
      </c>
      <c r="D124" s="6" t="s">
        <v>1432</v>
      </c>
      <c r="E124" s="6" t="s">
        <v>1508</v>
      </c>
      <c r="F124" s="6" t="s">
        <v>1509</v>
      </c>
      <c r="G124" s="6" t="s">
        <v>1510</v>
      </c>
      <c r="H124" s="6" t="s">
        <v>1510</v>
      </c>
      <c r="I124" s="5" t="s">
        <v>75</v>
      </c>
      <c r="J124" s="7" t="str">
        <f aca="false">IFERROR(INDEX(AVAILABILITY_MASTER!$C$4:$C$10,MATCH(I124,AVAILABILITY_MASTER!$A$4:$A$10,0)),"To Be Confirmed")</f>
        <v>To Be Confirmed</v>
      </c>
      <c r="K124" s="6" t="s">
        <v>129</v>
      </c>
      <c r="L124" s="6" t="s">
        <v>75</v>
      </c>
      <c r="M124" s="7" t="str">
        <f aca="false">IFERROR(INDEX(SERVICE_DOCUMENTS!$S$4:$S$1000,MATCH(A124,SERVICE_DOCUMENTS!$A$4:$A$1000,0))&amp;"","")</f>
        <v>✓ Aadhaar Card
✓ Active Mobile Number</v>
      </c>
      <c r="N124" s="7" t="str">
        <f aca="false">IFERROR(INDEX(SERVICE_DOCUMENTS!$T$4:$T$1000,MATCH(A124,SERVICE_DOCUMENTS!$A$4:$A$1000,0))&amp;"","")</f>
        <v/>
      </c>
      <c r="O124" s="6" t="s">
        <v>1346</v>
      </c>
      <c r="P124" s="6" t="s">
        <v>1511</v>
      </c>
      <c r="Q124" s="6" t="s">
        <v>78</v>
      </c>
      <c r="R124" s="8" t="s">
        <v>75</v>
      </c>
      <c r="S124" s="8" t="s">
        <v>75</v>
      </c>
      <c r="T124" s="9" t="str">
        <f aca="false">IF(AND(OR(ISNUMBER(R124),R124="N/A"),OR(ISNUMBER(S124),S124="N/A"),OR(ISNUMBER(R124),ISNUMBER(S124))),N(R124)+N(S124),"To Verify")</f>
        <v>To Verify</v>
      </c>
      <c r="U124" s="6" t="s">
        <v>75</v>
      </c>
      <c r="V124" s="6" t="s">
        <v>79</v>
      </c>
      <c r="W124" s="6" t="s">
        <v>80</v>
      </c>
      <c r="X124" s="6" t="s">
        <v>221</v>
      </c>
      <c r="Y124" s="6" t="s">
        <v>74</v>
      </c>
      <c r="Z124" s="6" t="s">
        <v>1373</v>
      </c>
      <c r="AA124" s="6" t="s">
        <v>74</v>
      </c>
      <c r="AB124" s="6" t="s">
        <v>74</v>
      </c>
      <c r="AC124" s="6" t="s">
        <v>75</v>
      </c>
      <c r="AD124" s="6" t="s">
        <v>75</v>
      </c>
      <c r="AE124" s="6" t="s">
        <v>75</v>
      </c>
      <c r="AF124" s="6" t="s">
        <v>75</v>
      </c>
      <c r="AG124" s="6" t="s">
        <v>75</v>
      </c>
      <c r="AH124" s="6" t="s">
        <v>79</v>
      </c>
      <c r="AI124" s="6" t="s">
        <v>79</v>
      </c>
      <c r="AJ124" s="6" t="s">
        <v>79</v>
      </c>
      <c r="AK124" s="6" t="s">
        <v>79</v>
      </c>
      <c r="AL124" s="6" t="s">
        <v>1341</v>
      </c>
      <c r="AM124" s="6" t="s">
        <v>1432</v>
      </c>
      <c r="AN124" s="7" t="str">
        <f aca="false">BA124&amp;", "&amp;AZ124</f>
        <v>PM Surya Ghar (Rooftop Solar) Registration Assistance, Common Service Centre (CSC), Devmobile Stores, PM सूर्य घर (रूफटॉप सोलर) पंजीकरण सहायता, कॉमन सर्विस सेंटर (CSC), सेवा</v>
      </c>
      <c r="AO124" s="6" t="s">
        <v>1512</v>
      </c>
      <c r="AP124" s="5" t="s">
        <v>1439</v>
      </c>
      <c r="AQ124" s="5" t="n">
        <v>160</v>
      </c>
      <c r="AR124" s="6" t="s">
        <v>1351</v>
      </c>
      <c r="AS124" s="6" t="s">
        <v>1352</v>
      </c>
      <c r="AT124" s="6" t="s">
        <v>86</v>
      </c>
      <c r="AU124" s="10"/>
      <c r="AV124" s="6" t="s">
        <v>75</v>
      </c>
      <c r="AW124" s="6"/>
      <c r="AX124" s="6" t="s">
        <v>1513</v>
      </c>
      <c r="AY124" s="6" t="s">
        <v>1514</v>
      </c>
      <c r="AZ124" s="6" t="s">
        <v>1515</v>
      </c>
      <c r="BA124" s="6" t="s">
        <v>1516</v>
      </c>
      <c r="BB124" s="6"/>
      <c r="BC124" s="11" t="str">
        <f aca="false">IFERROR(INDEX(CATEGORY_MASTER!$C$4:$C$30,MATCH(B124,CATEGORY_MASTER!$A$4:$A$30,0)),"")</f>
        <v>🖥️</v>
      </c>
      <c r="BD124" s="7" t="str">
        <f aca="false">"/services/"&amp;AO124</f>
        <v>/services/pm-surya-ghar-rooftop-solar-registration-assistance</v>
      </c>
      <c r="BE124" s="7" t="str">
        <f aca="false">IF(AND(AH124="Yes",AG124="Active",I124&lt;&gt;"Not Available"),"LIVE","HIDDEN")</f>
        <v>HIDDEN</v>
      </c>
      <c r="BF124" s="6" t="s">
        <v>139</v>
      </c>
      <c r="BG124" s="6" t="s">
        <v>93</v>
      </c>
      <c r="BH124" s="7" t="str">
        <f aca="false">B124&amp;"|"&amp;COUNTIF($B$4:B124,B124)</f>
        <v>Common Service Centre (CSC)|16</v>
      </c>
      <c r="BI124" s="7" t="str">
        <f aca="false">IF(AND(AI124="Yes",BE124="LIVE"),COUNTIFS($AI$4:AI124,"Yes",$BE$4:BE124,"LIVE"),"")</f>
        <v/>
      </c>
      <c r="BJ124" s="7" t="str">
        <f aca="false">IF(AND(AJ124="Yes",BE124="LIVE"),COUNTIFS($AJ$4:AJ124,"Yes",$BE$4:BE124,"LIVE"),"")</f>
        <v/>
      </c>
      <c r="BK124" s="7" t="str">
        <f aca="false">IF(AND(AK124="Yes",BE124="LIVE"),COUNTIFS($AK$4:AK124,"Yes",$BE$4:BE124,"LIVE"),"")</f>
        <v/>
      </c>
      <c r="BL124" s="7" t="n">
        <f aca="false">IF(I124="To Verify",COUNTIF($I$4:I124,"To Verify"),"")</f>
        <v>34</v>
      </c>
    </row>
    <row r="125" customFormat="false" ht="91" hidden="false" customHeight="false" outlineLevel="0" collapsed="false">
      <c r="A125" s="5" t="s">
        <v>1517</v>
      </c>
      <c r="B125" s="6" t="s">
        <v>1341</v>
      </c>
      <c r="C125" s="6" t="s">
        <v>1342</v>
      </c>
      <c r="D125" s="6" t="s">
        <v>1432</v>
      </c>
      <c r="E125" s="6" t="s">
        <v>1518</v>
      </c>
      <c r="F125" s="6" t="s">
        <v>1519</v>
      </c>
      <c r="G125" s="6" t="s">
        <v>1520</v>
      </c>
      <c r="H125" s="6" t="s">
        <v>1520</v>
      </c>
      <c r="I125" s="5" t="s">
        <v>75</v>
      </c>
      <c r="J125" s="7" t="str">
        <f aca="false">IFERROR(INDEX(AVAILABILITY_MASTER!$C$4:$C$10,MATCH(I125,AVAILABILITY_MASTER!$A$4:$A$10,0)),"To Be Confirmed")</f>
        <v>To Be Confirmed</v>
      </c>
      <c r="K125" s="6" t="s">
        <v>129</v>
      </c>
      <c r="L125" s="6" t="s">
        <v>75</v>
      </c>
      <c r="M125" s="7" t="str">
        <f aca="false">IFERROR(INDEX(SERVICE_DOCUMENTS!$S$4:$S$1000,MATCH(A125,SERVICE_DOCUMENTS!$A$4:$A$1000,0))&amp;"","")</f>
        <v>✓ Aadhaar Card
✓ Active Mobile Number</v>
      </c>
      <c r="N125" s="7" t="str">
        <f aca="false">IFERROR(INDEX(SERVICE_DOCUMENTS!$T$4:$T$1000,MATCH(A125,SERVICE_DOCUMENTS!$A$4:$A$1000,0))&amp;"","")</f>
        <v/>
      </c>
      <c r="O125" s="6" t="s">
        <v>1346</v>
      </c>
      <c r="P125" s="6" t="s">
        <v>1521</v>
      </c>
      <c r="Q125" s="6" t="s">
        <v>78</v>
      </c>
      <c r="R125" s="8" t="s">
        <v>75</v>
      </c>
      <c r="S125" s="8" t="s">
        <v>75</v>
      </c>
      <c r="T125" s="9" t="str">
        <f aca="false">IF(AND(OR(ISNUMBER(R125),R125="N/A"),OR(ISNUMBER(S125),S125="N/A"),OR(ISNUMBER(R125),ISNUMBER(S125))),N(R125)+N(S125),"To Verify")</f>
        <v>To Verify</v>
      </c>
      <c r="U125" s="6" t="s">
        <v>75</v>
      </c>
      <c r="V125" s="6" t="s">
        <v>79</v>
      </c>
      <c r="W125" s="6" t="s">
        <v>80</v>
      </c>
      <c r="X125" s="6" t="s">
        <v>221</v>
      </c>
      <c r="Y125" s="6" t="s">
        <v>74</v>
      </c>
      <c r="Z125" s="6" t="s">
        <v>1373</v>
      </c>
      <c r="AA125" s="6" t="s">
        <v>74</v>
      </c>
      <c r="AB125" s="6" t="s">
        <v>74</v>
      </c>
      <c r="AC125" s="6" t="s">
        <v>75</v>
      </c>
      <c r="AD125" s="6" t="s">
        <v>75</v>
      </c>
      <c r="AE125" s="6" t="s">
        <v>75</v>
      </c>
      <c r="AF125" s="6" t="s">
        <v>75</v>
      </c>
      <c r="AG125" s="6" t="s">
        <v>75</v>
      </c>
      <c r="AH125" s="6" t="s">
        <v>79</v>
      </c>
      <c r="AI125" s="6" t="s">
        <v>79</v>
      </c>
      <c r="AJ125" s="6" t="s">
        <v>79</v>
      </c>
      <c r="AK125" s="6" t="s">
        <v>79</v>
      </c>
      <c r="AL125" s="6" t="s">
        <v>1341</v>
      </c>
      <c r="AM125" s="6" t="s">
        <v>1432</v>
      </c>
      <c r="AN125" s="7" t="str">
        <f aca="false">BA125&amp;", "&amp;AZ125</f>
        <v>PM SVANidhi Application Assistance, Common Service Centre (CSC), Devmobile Stores, PM स्वनिधि आवेदन सहायता, कॉमन सर्विस सेंटर (CSC), सेवा</v>
      </c>
      <c r="AO125" s="6" t="s">
        <v>1522</v>
      </c>
      <c r="AP125" s="5" t="s">
        <v>1439</v>
      </c>
      <c r="AQ125" s="5" t="n">
        <v>170</v>
      </c>
      <c r="AR125" s="6" t="s">
        <v>1351</v>
      </c>
      <c r="AS125" s="6" t="s">
        <v>1352</v>
      </c>
      <c r="AT125" s="6" t="s">
        <v>86</v>
      </c>
      <c r="AU125" s="10"/>
      <c r="AV125" s="6" t="s">
        <v>75</v>
      </c>
      <c r="AW125" s="6"/>
      <c r="AX125" s="6" t="s">
        <v>1523</v>
      </c>
      <c r="AY125" s="6" t="s">
        <v>1524</v>
      </c>
      <c r="AZ125" s="6" t="s">
        <v>1525</v>
      </c>
      <c r="BA125" s="6" t="s">
        <v>1526</v>
      </c>
      <c r="BB125" s="6"/>
      <c r="BC125" s="11" t="str">
        <f aca="false">IFERROR(INDEX(CATEGORY_MASTER!$C$4:$C$30,MATCH(B125,CATEGORY_MASTER!$A$4:$A$30,0)),"")</f>
        <v>🖥️</v>
      </c>
      <c r="BD125" s="7" t="str">
        <f aca="false">"/services/"&amp;AO125</f>
        <v>/services/pm-svanidhi-application-assistance</v>
      </c>
      <c r="BE125" s="7" t="str">
        <f aca="false">IF(AND(AH125="Yes",AG125="Active",I125&lt;&gt;"Not Available"),"LIVE","HIDDEN")</f>
        <v>HIDDEN</v>
      </c>
      <c r="BF125" s="6" t="s">
        <v>139</v>
      </c>
      <c r="BG125" s="6" t="s">
        <v>93</v>
      </c>
      <c r="BH125" s="7" t="str">
        <f aca="false">B125&amp;"|"&amp;COUNTIF($B$4:B125,B125)</f>
        <v>Common Service Centre (CSC)|17</v>
      </c>
      <c r="BI125" s="7" t="str">
        <f aca="false">IF(AND(AI125="Yes",BE125="LIVE"),COUNTIFS($AI$4:AI125,"Yes",$BE$4:BE125,"LIVE"),"")</f>
        <v/>
      </c>
      <c r="BJ125" s="7" t="str">
        <f aca="false">IF(AND(AJ125="Yes",BE125="LIVE"),COUNTIFS($AJ$4:AJ125,"Yes",$BE$4:BE125,"LIVE"),"")</f>
        <v/>
      </c>
      <c r="BK125" s="7" t="str">
        <f aca="false">IF(AND(AK125="Yes",BE125="LIVE"),COUNTIFS($AK$4:AK125,"Yes",$BE$4:BE125,"LIVE"),"")</f>
        <v/>
      </c>
      <c r="BL125" s="7" t="n">
        <f aca="false">IF(I125="To Verify",COUNTIF($I$4:I125,"To Verify"),"")</f>
        <v>35</v>
      </c>
    </row>
    <row r="126" customFormat="false" ht="91" hidden="false" customHeight="false" outlineLevel="0" collapsed="false">
      <c r="A126" s="5" t="s">
        <v>1527</v>
      </c>
      <c r="B126" s="6" t="s">
        <v>1341</v>
      </c>
      <c r="C126" s="6" t="s">
        <v>1342</v>
      </c>
      <c r="D126" s="6" t="s">
        <v>1528</v>
      </c>
      <c r="E126" s="6" t="s">
        <v>1529</v>
      </c>
      <c r="F126" s="6" t="s">
        <v>1530</v>
      </c>
      <c r="G126" s="6" t="s">
        <v>1531</v>
      </c>
      <c r="H126" s="6" t="s">
        <v>1531</v>
      </c>
      <c r="I126" s="5" t="s">
        <v>12</v>
      </c>
      <c r="J126" s="7" t="str">
        <f aca="false">IFERROR(INDEX(AVAILABILITY_MASTER!$C$4:$C$10,MATCH(I126,AVAILABILITY_MASTER!$A$4:$A$10,0)),"To Be Confirmed")</f>
        <v>Please Confirm at Shop</v>
      </c>
      <c r="K126" s="6" t="s">
        <v>74</v>
      </c>
      <c r="L126" s="6" t="s">
        <v>75</v>
      </c>
      <c r="M126" s="7" t="str">
        <f aca="false">IFERROR(INDEX(SERVICE_DOCUMENTS!$S$4:$S$1000,MATCH(A126,SERVICE_DOCUMENTS!$A$4:$A$1000,0))&amp;"","")</f>
        <v>✓ Aadhaar Card
✓ Customer Presence for Biometrics</v>
      </c>
      <c r="N126" s="7" t="str">
        <f aca="false">IFERROR(INDEX(SERVICE_DOCUMENTS!$T$4:$T$1000,MATCH(A126,SERVICE_DOCUMENTS!$A$4:$A$1000,0))&amp;"","")</f>
        <v/>
      </c>
      <c r="O126" s="6" t="s">
        <v>1346</v>
      </c>
      <c r="P126" s="6" t="s">
        <v>1532</v>
      </c>
      <c r="Q126" s="6" t="s">
        <v>78</v>
      </c>
      <c r="R126" s="8" t="s">
        <v>75</v>
      </c>
      <c r="S126" s="8" t="s">
        <v>75</v>
      </c>
      <c r="T126" s="9" t="str">
        <f aca="false">IF(AND(OR(ISNUMBER(R126),R126="N/A"),OR(ISNUMBER(S126),S126="N/A"),OR(ISNUMBER(R126),ISNUMBER(S126))),N(R126)+N(S126),"To Verify")</f>
        <v>To Verify</v>
      </c>
      <c r="U126" s="6" t="s">
        <v>75</v>
      </c>
      <c r="V126" s="6" t="s">
        <v>79</v>
      </c>
      <c r="W126" s="6" t="s">
        <v>80</v>
      </c>
      <c r="X126" s="6" t="s">
        <v>221</v>
      </c>
      <c r="Y126" s="6" t="s">
        <v>74</v>
      </c>
      <c r="Z126" s="6" t="s">
        <v>1373</v>
      </c>
      <c r="AA126" s="6" t="s">
        <v>74</v>
      </c>
      <c r="AB126" s="6" t="s">
        <v>74</v>
      </c>
      <c r="AC126" s="6" t="s">
        <v>75</v>
      </c>
      <c r="AD126" s="6" t="s">
        <v>75</v>
      </c>
      <c r="AE126" s="6" t="s">
        <v>75</v>
      </c>
      <c r="AF126" s="6" t="s">
        <v>75</v>
      </c>
      <c r="AG126" s="6" t="s">
        <v>75</v>
      </c>
      <c r="AH126" s="6" t="s">
        <v>79</v>
      </c>
      <c r="AI126" s="6" t="s">
        <v>79</v>
      </c>
      <c r="AJ126" s="6" t="s">
        <v>79</v>
      </c>
      <c r="AK126" s="6" t="s">
        <v>79</v>
      </c>
      <c r="AL126" s="6" t="s">
        <v>1341</v>
      </c>
      <c r="AM126" s="6" t="s">
        <v>1528</v>
      </c>
      <c r="AN126" s="7" t="str">
        <f aca="false">BA126&amp;", "&amp;AZ126</f>
        <v>CSC Digipay – AEPS Cash Withdrawal, Common Service Centre (CSC), Devmobile Stores, CSC डिजीपे – AEPS नकद निकासी, कॉमन सर्विस सेंटर (CSC), सेवा</v>
      </c>
      <c r="AO126" s="6" t="s">
        <v>1533</v>
      </c>
      <c r="AP126" s="5" t="s">
        <v>1350</v>
      </c>
      <c r="AQ126" s="5" t="n">
        <v>180</v>
      </c>
      <c r="AR126" s="6" t="s">
        <v>1351</v>
      </c>
      <c r="AS126" s="6" t="s">
        <v>1352</v>
      </c>
      <c r="AT126" s="6" t="s">
        <v>86</v>
      </c>
      <c r="AU126" s="10"/>
      <c r="AV126" s="6" t="s">
        <v>75</v>
      </c>
      <c r="AW126" s="6" t="s">
        <v>1534</v>
      </c>
      <c r="AX126" s="6" t="s">
        <v>1535</v>
      </c>
      <c r="AY126" s="6" t="s">
        <v>1536</v>
      </c>
      <c r="AZ126" s="6" t="s">
        <v>1537</v>
      </c>
      <c r="BA126" s="6" t="s">
        <v>1538</v>
      </c>
      <c r="BB126" s="6"/>
      <c r="BC126" s="11" t="str">
        <f aca="false">IFERROR(INDEX(CATEGORY_MASTER!$C$4:$C$30,MATCH(B126,CATEGORY_MASTER!$A$4:$A$30,0)),"")</f>
        <v>🖥️</v>
      </c>
      <c r="BD126" s="7" t="str">
        <f aca="false">"/services/"&amp;AO126</f>
        <v>/services/csc-digipay-aeps-cash-withdrawal</v>
      </c>
      <c r="BE126" s="7" t="str">
        <f aca="false">IF(AND(AH126="Yes",AG126="Active",I126&lt;&gt;"Not Available"),"LIVE","HIDDEN")</f>
        <v>HIDDEN</v>
      </c>
      <c r="BF126" s="6" t="s">
        <v>139</v>
      </c>
      <c r="BG126" s="6" t="s">
        <v>93</v>
      </c>
      <c r="BH126" s="7" t="str">
        <f aca="false">B126&amp;"|"&amp;COUNTIF($B$4:B126,B126)</f>
        <v>Common Service Centre (CSC)|18</v>
      </c>
      <c r="BI126" s="7" t="str">
        <f aca="false">IF(AND(AI126="Yes",BE126="LIVE"),COUNTIFS($AI$4:AI126,"Yes",$BE$4:BE126,"LIVE"),"")</f>
        <v/>
      </c>
      <c r="BJ126" s="7" t="str">
        <f aca="false">IF(AND(AJ126="Yes",BE126="LIVE"),COUNTIFS($AJ$4:AJ126,"Yes",$BE$4:BE126,"LIVE"),"")</f>
        <v/>
      </c>
      <c r="BK126" s="7" t="str">
        <f aca="false">IF(AND(AK126="Yes",BE126="LIVE"),COUNTIFS($AK$4:AK126,"Yes",$BE$4:BE126,"LIVE"),"")</f>
        <v/>
      </c>
      <c r="BL126" s="7" t="str">
        <f aca="false">IF(I126="To Verify",COUNTIF($I$4:I126,"To Verify"),"")</f>
        <v/>
      </c>
    </row>
    <row r="127" customFormat="false" ht="91" hidden="false" customHeight="false" outlineLevel="0" collapsed="false">
      <c r="A127" s="5" t="s">
        <v>1539</v>
      </c>
      <c r="B127" s="6" t="s">
        <v>1341</v>
      </c>
      <c r="C127" s="6" t="s">
        <v>1342</v>
      </c>
      <c r="D127" s="6" t="s">
        <v>1528</v>
      </c>
      <c r="E127" s="6" t="s">
        <v>1540</v>
      </c>
      <c r="F127" s="6" t="s">
        <v>1541</v>
      </c>
      <c r="G127" s="6" t="s">
        <v>1542</v>
      </c>
      <c r="H127" s="6" t="s">
        <v>1542</v>
      </c>
      <c r="I127" s="5" t="s">
        <v>12</v>
      </c>
      <c r="J127" s="7" t="str">
        <f aca="false">IFERROR(INDEX(AVAILABILITY_MASTER!$C$4:$C$10,MATCH(I127,AVAILABILITY_MASTER!$A$4:$A$10,0)),"To Be Confirmed")</f>
        <v>Please Confirm at Shop</v>
      </c>
      <c r="K127" s="6" t="s">
        <v>74</v>
      </c>
      <c r="L127" s="6" t="s">
        <v>75</v>
      </c>
      <c r="M127" s="7" t="str">
        <f aca="false">IFERROR(INDEX(SERVICE_DOCUMENTS!$S$4:$S$1000,MATCH(A127,SERVICE_DOCUMENTS!$A$4:$A$1000,0))&amp;"","")</f>
        <v>✓ Aadhaar Card
✓ Customer Presence for Biometrics</v>
      </c>
      <c r="N127" s="7" t="str">
        <f aca="false">IFERROR(INDEX(SERVICE_DOCUMENTS!$T$4:$T$1000,MATCH(A127,SERVICE_DOCUMENTS!$A$4:$A$1000,0))&amp;"","")</f>
        <v/>
      </c>
      <c r="O127" s="6" t="s">
        <v>1346</v>
      </c>
      <c r="P127" s="6" t="s">
        <v>1543</v>
      </c>
      <c r="Q127" s="6" t="s">
        <v>78</v>
      </c>
      <c r="R127" s="8" t="s">
        <v>75</v>
      </c>
      <c r="S127" s="8" t="s">
        <v>75</v>
      </c>
      <c r="T127" s="9" t="str">
        <f aca="false">IF(AND(OR(ISNUMBER(R127),R127="N/A"),OR(ISNUMBER(S127),S127="N/A"),OR(ISNUMBER(R127),ISNUMBER(S127))),N(R127)+N(S127),"To Verify")</f>
        <v>To Verify</v>
      </c>
      <c r="U127" s="6" t="s">
        <v>75</v>
      </c>
      <c r="V127" s="6" t="s">
        <v>79</v>
      </c>
      <c r="W127" s="6" t="s">
        <v>80</v>
      </c>
      <c r="X127" s="6" t="s">
        <v>221</v>
      </c>
      <c r="Y127" s="6" t="s">
        <v>74</v>
      </c>
      <c r="Z127" s="6" t="s">
        <v>1373</v>
      </c>
      <c r="AA127" s="6" t="s">
        <v>74</v>
      </c>
      <c r="AB127" s="6" t="s">
        <v>74</v>
      </c>
      <c r="AC127" s="6" t="s">
        <v>75</v>
      </c>
      <c r="AD127" s="6" t="s">
        <v>75</v>
      </c>
      <c r="AE127" s="6" t="s">
        <v>75</v>
      </c>
      <c r="AF127" s="6" t="s">
        <v>75</v>
      </c>
      <c r="AG127" s="6" t="s">
        <v>75</v>
      </c>
      <c r="AH127" s="6" t="s">
        <v>79</v>
      </c>
      <c r="AI127" s="6" t="s">
        <v>79</v>
      </c>
      <c r="AJ127" s="6" t="s">
        <v>79</v>
      </c>
      <c r="AK127" s="6" t="s">
        <v>79</v>
      </c>
      <c r="AL127" s="6" t="s">
        <v>1341</v>
      </c>
      <c r="AM127" s="6" t="s">
        <v>1528</v>
      </c>
      <c r="AN127" s="7" t="str">
        <f aca="false">BA127&amp;", "&amp;AZ127</f>
        <v>CSC Digipay – Money Transfer, Common Service Centre (CSC), Devmobile Stores, CSC डिजीपे – मनी ट्रांसफर, कॉमन सर्विस सेंटर (CSC), सेवा</v>
      </c>
      <c r="AO127" s="6" t="s">
        <v>1544</v>
      </c>
      <c r="AP127" s="5" t="s">
        <v>1350</v>
      </c>
      <c r="AQ127" s="5" t="n">
        <v>190</v>
      </c>
      <c r="AR127" s="6" t="s">
        <v>1351</v>
      </c>
      <c r="AS127" s="6" t="s">
        <v>1352</v>
      </c>
      <c r="AT127" s="6" t="s">
        <v>86</v>
      </c>
      <c r="AU127" s="10"/>
      <c r="AV127" s="6" t="s">
        <v>75</v>
      </c>
      <c r="AW127" s="6"/>
      <c r="AX127" s="6" t="s">
        <v>1545</v>
      </c>
      <c r="AY127" s="6" t="s">
        <v>1546</v>
      </c>
      <c r="AZ127" s="6" t="s">
        <v>1547</v>
      </c>
      <c r="BA127" s="6" t="s">
        <v>1548</v>
      </c>
      <c r="BB127" s="6"/>
      <c r="BC127" s="11" t="str">
        <f aca="false">IFERROR(INDEX(CATEGORY_MASTER!$C$4:$C$30,MATCH(B127,CATEGORY_MASTER!$A$4:$A$30,0)),"")</f>
        <v>🖥️</v>
      </c>
      <c r="BD127" s="7" t="str">
        <f aca="false">"/services/"&amp;AO127</f>
        <v>/services/csc-digipay-money-transfer</v>
      </c>
      <c r="BE127" s="7" t="str">
        <f aca="false">IF(AND(AH127="Yes",AG127="Active",I127&lt;&gt;"Not Available"),"LIVE","HIDDEN")</f>
        <v>HIDDEN</v>
      </c>
      <c r="BF127" s="6" t="s">
        <v>139</v>
      </c>
      <c r="BG127" s="6" t="s">
        <v>93</v>
      </c>
      <c r="BH127" s="7" t="str">
        <f aca="false">B127&amp;"|"&amp;COUNTIF($B$4:B127,B127)</f>
        <v>Common Service Centre (CSC)|19</v>
      </c>
      <c r="BI127" s="7" t="str">
        <f aca="false">IF(AND(AI127="Yes",BE127="LIVE"),COUNTIFS($AI$4:AI127,"Yes",$BE$4:BE127,"LIVE"),"")</f>
        <v/>
      </c>
      <c r="BJ127" s="7" t="str">
        <f aca="false">IF(AND(AJ127="Yes",BE127="LIVE"),COUNTIFS($AJ$4:AJ127,"Yes",$BE$4:BE127,"LIVE"),"")</f>
        <v/>
      </c>
      <c r="BK127" s="7" t="str">
        <f aca="false">IF(AND(AK127="Yes",BE127="LIVE"),COUNTIFS($AK$4:AK127,"Yes",$BE$4:BE127,"LIVE"),"")</f>
        <v/>
      </c>
      <c r="BL127" s="7" t="str">
        <f aca="false">IF(I127="To Verify",COUNTIF($I$4:I127,"To Verify"),"")</f>
        <v/>
      </c>
    </row>
    <row r="128" customFormat="false" ht="91" hidden="false" customHeight="false" outlineLevel="0" collapsed="false">
      <c r="A128" s="5" t="s">
        <v>1549</v>
      </c>
      <c r="B128" s="6" t="s">
        <v>1341</v>
      </c>
      <c r="C128" s="6" t="s">
        <v>1342</v>
      </c>
      <c r="D128" s="6" t="s">
        <v>1528</v>
      </c>
      <c r="E128" s="6" t="s">
        <v>1550</v>
      </c>
      <c r="F128" s="6" t="s">
        <v>1551</v>
      </c>
      <c r="G128" s="6" t="s">
        <v>1552</v>
      </c>
      <c r="H128" s="6" t="s">
        <v>1552</v>
      </c>
      <c r="I128" s="5" t="s">
        <v>75</v>
      </c>
      <c r="J128" s="7" t="str">
        <f aca="false">IFERROR(INDEX(AVAILABILITY_MASTER!$C$4:$C$10,MATCH(I128,AVAILABILITY_MASTER!$A$4:$A$10,0)),"To Be Confirmed")</f>
        <v>To Be Confirmed</v>
      </c>
      <c r="K128" s="6" t="s">
        <v>129</v>
      </c>
      <c r="L128" s="6" t="s">
        <v>75</v>
      </c>
      <c r="M128" s="7" t="str">
        <f aca="false">IFERROR(INDEX(SERVICE_DOCUMENTS!$S$4:$S$1000,MATCH(A128,SERVICE_DOCUMENTS!$A$4:$A$1000,0))&amp;"","")</f>
        <v>✓ Aadhaar Card
✓ Customer Presence for Biometrics</v>
      </c>
      <c r="N128" s="7" t="str">
        <f aca="false">IFERROR(INDEX(SERVICE_DOCUMENTS!$T$4:$T$1000,MATCH(A128,SERVICE_DOCUMENTS!$A$4:$A$1000,0))&amp;"","")</f>
        <v/>
      </c>
      <c r="O128" s="6" t="s">
        <v>1346</v>
      </c>
      <c r="P128" s="6" t="s">
        <v>1553</v>
      </c>
      <c r="Q128" s="6" t="s">
        <v>78</v>
      </c>
      <c r="R128" s="8" t="s">
        <v>75</v>
      </c>
      <c r="S128" s="8" t="s">
        <v>75</v>
      </c>
      <c r="T128" s="9" t="str">
        <f aca="false">IF(AND(OR(ISNUMBER(R128),R128="N/A"),OR(ISNUMBER(S128),S128="N/A"),OR(ISNUMBER(R128),ISNUMBER(S128))),N(R128)+N(S128),"To Verify")</f>
        <v>To Verify</v>
      </c>
      <c r="U128" s="6" t="s">
        <v>75</v>
      </c>
      <c r="V128" s="6" t="s">
        <v>79</v>
      </c>
      <c r="W128" s="6" t="s">
        <v>80</v>
      </c>
      <c r="X128" s="6" t="s">
        <v>221</v>
      </c>
      <c r="Y128" s="6" t="s">
        <v>74</v>
      </c>
      <c r="Z128" s="6" t="s">
        <v>1373</v>
      </c>
      <c r="AA128" s="6" t="s">
        <v>74</v>
      </c>
      <c r="AB128" s="6" t="s">
        <v>74</v>
      </c>
      <c r="AC128" s="6" t="s">
        <v>75</v>
      </c>
      <c r="AD128" s="6" t="s">
        <v>75</v>
      </c>
      <c r="AE128" s="6" t="s">
        <v>75</v>
      </c>
      <c r="AF128" s="6" t="s">
        <v>75</v>
      </c>
      <c r="AG128" s="6" t="s">
        <v>75</v>
      </c>
      <c r="AH128" s="6" t="s">
        <v>79</v>
      </c>
      <c r="AI128" s="6" t="s">
        <v>79</v>
      </c>
      <c r="AJ128" s="6" t="s">
        <v>79</v>
      </c>
      <c r="AK128" s="6" t="s">
        <v>79</v>
      </c>
      <c r="AL128" s="6" t="s">
        <v>1341</v>
      </c>
      <c r="AM128" s="6" t="s">
        <v>1528</v>
      </c>
      <c r="AN128" s="7" t="str">
        <f aca="false">BA128&amp;", "&amp;AZ128</f>
        <v>CSC Digipay – Micro ATM, Common Service Centre (CSC), Devmobile Stores, CSC डिजीपे – Micro ATM, कॉमन सर्विस सेंटर (CSC), सेवा</v>
      </c>
      <c r="AO128" s="6" t="s">
        <v>1554</v>
      </c>
      <c r="AP128" s="5" t="s">
        <v>1350</v>
      </c>
      <c r="AQ128" s="5" t="n">
        <v>200</v>
      </c>
      <c r="AR128" s="6" t="s">
        <v>1351</v>
      </c>
      <c r="AS128" s="6" t="s">
        <v>1352</v>
      </c>
      <c r="AT128" s="6" t="s">
        <v>86</v>
      </c>
      <c r="AU128" s="10"/>
      <c r="AV128" s="6" t="s">
        <v>75</v>
      </c>
      <c r="AW128" s="6"/>
      <c r="AX128" s="6" t="s">
        <v>1555</v>
      </c>
      <c r="AY128" s="6" t="s">
        <v>1556</v>
      </c>
      <c r="AZ128" s="6" t="s">
        <v>1557</v>
      </c>
      <c r="BA128" s="6" t="s">
        <v>1558</v>
      </c>
      <c r="BB128" s="6"/>
      <c r="BC128" s="11" t="str">
        <f aca="false">IFERROR(INDEX(CATEGORY_MASTER!$C$4:$C$30,MATCH(B128,CATEGORY_MASTER!$A$4:$A$30,0)),"")</f>
        <v>🖥️</v>
      </c>
      <c r="BD128" s="7" t="str">
        <f aca="false">"/services/"&amp;AO128</f>
        <v>/services/csc-digipay-micro-atm</v>
      </c>
      <c r="BE128" s="7" t="str">
        <f aca="false">IF(AND(AH128="Yes",AG128="Active",I128&lt;&gt;"Not Available"),"LIVE","HIDDEN")</f>
        <v>HIDDEN</v>
      </c>
      <c r="BF128" s="6" t="s">
        <v>139</v>
      </c>
      <c r="BG128" s="6" t="s">
        <v>93</v>
      </c>
      <c r="BH128" s="7" t="str">
        <f aca="false">B128&amp;"|"&amp;COUNTIF($B$4:B128,B128)</f>
        <v>Common Service Centre (CSC)|20</v>
      </c>
      <c r="BI128" s="7" t="str">
        <f aca="false">IF(AND(AI128="Yes",BE128="LIVE"),COUNTIFS($AI$4:AI128,"Yes",$BE$4:BE128,"LIVE"),"")</f>
        <v/>
      </c>
      <c r="BJ128" s="7" t="str">
        <f aca="false">IF(AND(AJ128="Yes",BE128="LIVE"),COUNTIFS($AJ$4:AJ128,"Yes",$BE$4:BE128,"LIVE"),"")</f>
        <v/>
      </c>
      <c r="BK128" s="7" t="str">
        <f aca="false">IF(AND(AK128="Yes",BE128="LIVE"),COUNTIFS($AK$4:AK128,"Yes",$BE$4:BE128,"LIVE"),"")</f>
        <v/>
      </c>
      <c r="BL128" s="7" t="n">
        <f aca="false">IF(I128="To Verify",COUNTIF($I$4:I128,"To Verify"),"")</f>
        <v>36</v>
      </c>
    </row>
    <row r="129" customFormat="false" ht="91" hidden="false" customHeight="false" outlineLevel="0" collapsed="false">
      <c r="A129" s="5" t="s">
        <v>1559</v>
      </c>
      <c r="B129" s="6" t="s">
        <v>1341</v>
      </c>
      <c r="C129" s="6" t="s">
        <v>1342</v>
      </c>
      <c r="D129" s="6" t="s">
        <v>1528</v>
      </c>
      <c r="E129" s="6" t="s">
        <v>1560</v>
      </c>
      <c r="F129" s="6" t="s">
        <v>1561</v>
      </c>
      <c r="G129" s="6" t="s">
        <v>1562</v>
      </c>
      <c r="H129" s="6" t="s">
        <v>1562</v>
      </c>
      <c r="I129" s="5" t="s">
        <v>75</v>
      </c>
      <c r="J129" s="7" t="str">
        <f aca="false">IFERROR(INDEX(AVAILABILITY_MASTER!$C$4:$C$10,MATCH(I129,AVAILABILITY_MASTER!$A$4:$A$10,0)),"To Be Confirmed")</f>
        <v>To Be Confirmed</v>
      </c>
      <c r="K129" s="6" t="s">
        <v>129</v>
      </c>
      <c r="L129" s="6" t="s">
        <v>75</v>
      </c>
      <c r="M129" s="7" t="str">
        <f aca="false">IFERROR(INDEX(SERVICE_DOCUMENTS!$S$4:$S$1000,MATCH(A129,SERVICE_DOCUMENTS!$A$4:$A$1000,0))&amp;"","")</f>
        <v>✓ Aadhaar Card
✓ Active Mobile Number
✓ Bank Passbook</v>
      </c>
      <c r="N129" s="7" t="str">
        <f aca="false">IFERROR(INDEX(SERVICE_DOCUMENTS!$T$4:$T$1000,MATCH(A129,SERVICE_DOCUMENTS!$A$4:$A$1000,0))&amp;"","")</f>
        <v>• PAN Card (If Applicable)</v>
      </c>
      <c r="O129" s="6" t="s">
        <v>1346</v>
      </c>
      <c r="P129" s="6" t="s">
        <v>1563</v>
      </c>
      <c r="Q129" s="6" t="s">
        <v>78</v>
      </c>
      <c r="R129" s="8" t="s">
        <v>75</v>
      </c>
      <c r="S129" s="8" t="s">
        <v>75</v>
      </c>
      <c r="T129" s="9" t="str">
        <f aca="false">IF(AND(OR(ISNUMBER(R129),R129="N/A"),OR(ISNUMBER(S129),S129="N/A"),OR(ISNUMBER(R129),ISNUMBER(S129))),N(R129)+N(S129),"To Verify")</f>
        <v>To Verify</v>
      </c>
      <c r="U129" s="6" t="s">
        <v>75</v>
      </c>
      <c r="V129" s="6" t="s">
        <v>79</v>
      </c>
      <c r="W129" s="6" t="s">
        <v>80</v>
      </c>
      <c r="X129" s="6" t="s">
        <v>221</v>
      </c>
      <c r="Y129" s="6" t="s">
        <v>74</v>
      </c>
      <c r="Z129" s="6" t="s">
        <v>1373</v>
      </c>
      <c r="AA129" s="6" t="s">
        <v>74</v>
      </c>
      <c r="AB129" s="6" t="s">
        <v>74</v>
      </c>
      <c r="AC129" s="6" t="s">
        <v>75</v>
      </c>
      <c r="AD129" s="6" t="s">
        <v>75</v>
      </c>
      <c r="AE129" s="6" t="s">
        <v>75</v>
      </c>
      <c r="AF129" s="6" t="s">
        <v>75</v>
      </c>
      <c r="AG129" s="6" t="s">
        <v>75</v>
      </c>
      <c r="AH129" s="6" t="s">
        <v>79</v>
      </c>
      <c r="AI129" s="6" t="s">
        <v>79</v>
      </c>
      <c r="AJ129" s="6" t="s">
        <v>79</v>
      </c>
      <c r="AK129" s="6" t="s">
        <v>79</v>
      </c>
      <c r="AL129" s="6" t="s">
        <v>1341</v>
      </c>
      <c r="AM129" s="6" t="s">
        <v>1528</v>
      </c>
      <c r="AN129" s="7" t="str">
        <f aca="false">BA129&amp;", "&amp;AZ129</f>
        <v>Loan Application Assistance (Mudra / PMEGP etc.), Common Service Centre (CSC), Devmobile Stores, ऋण आवेदन सहायता (मुद्रा / PMEGP आदि), कॉमन सर्विस सेंटर (CSC), सेवा</v>
      </c>
      <c r="AO129" s="6" t="s">
        <v>1564</v>
      </c>
      <c r="AP129" s="5" t="s">
        <v>1350</v>
      </c>
      <c r="AQ129" s="5" t="n">
        <v>210</v>
      </c>
      <c r="AR129" s="6" t="s">
        <v>1351</v>
      </c>
      <c r="AS129" s="6" t="s">
        <v>1352</v>
      </c>
      <c r="AT129" s="6" t="s">
        <v>86</v>
      </c>
      <c r="AU129" s="10"/>
      <c r="AV129" s="6" t="s">
        <v>75</v>
      </c>
      <c r="AW129" s="6"/>
      <c r="AX129" s="6" t="s">
        <v>1565</v>
      </c>
      <c r="AY129" s="6" t="s">
        <v>1566</v>
      </c>
      <c r="AZ129" s="6" t="s">
        <v>1567</v>
      </c>
      <c r="BA129" s="6" t="s">
        <v>1568</v>
      </c>
      <c r="BB129" s="6"/>
      <c r="BC129" s="11" t="str">
        <f aca="false">IFERROR(INDEX(CATEGORY_MASTER!$C$4:$C$30,MATCH(B129,CATEGORY_MASTER!$A$4:$A$30,0)),"")</f>
        <v>🖥️</v>
      </c>
      <c r="BD129" s="7" t="str">
        <f aca="false">"/services/"&amp;AO129</f>
        <v>/services/loan-application-assistance-mudra-pmegp-etc</v>
      </c>
      <c r="BE129" s="7" t="str">
        <f aca="false">IF(AND(AH129="Yes",AG129="Active",I129&lt;&gt;"Not Available"),"LIVE","HIDDEN")</f>
        <v>HIDDEN</v>
      </c>
      <c r="BF129" s="6" t="s">
        <v>139</v>
      </c>
      <c r="BG129" s="6" t="s">
        <v>93</v>
      </c>
      <c r="BH129" s="7" t="str">
        <f aca="false">B129&amp;"|"&amp;COUNTIF($B$4:B129,B129)</f>
        <v>Common Service Centre (CSC)|21</v>
      </c>
      <c r="BI129" s="7" t="str">
        <f aca="false">IF(AND(AI129="Yes",BE129="LIVE"),COUNTIFS($AI$4:AI129,"Yes",$BE$4:BE129,"LIVE"),"")</f>
        <v/>
      </c>
      <c r="BJ129" s="7" t="str">
        <f aca="false">IF(AND(AJ129="Yes",BE129="LIVE"),COUNTIFS($AJ$4:AJ129,"Yes",$BE$4:BE129,"LIVE"),"")</f>
        <v/>
      </c>
      <c r="BK129" s="7" t="str">
        <f aca="false">IF(AND(AK129="Yes",BE129="LIVE"),COUNTIFS($AK$4:AK129,"Yes",$BE$4:BE129,"LIVE"),"")</f>
        <v/>
      </c>
      <c r="BL129" s="7" t="n">
        <f aca="false">IF(I129="To Verify",COUNTIF($I$4:I129,"To Verify"),"")</f>
        <v>37</v>
      </c>
    </row>
    <row r="130" customFormat="false" ht="91" hidden="false" customHeight="false" outlineLevel="0" collapsed="false">
      <c r="A130" s="5" t="s">
        <v>1569</v>
      </c>
      <c r="B130" s="6" t="s">
        <v>1341</v>
      </c>
      <c r="C130" s="6" t="s">
        <v>1342</v>
      </c>
      <c r="D130" s="6" t="s">
        <v>1570</v>
      </c>
      <c r="E130" s="6" t="s">
        <v>1571</v>
      </c>
      <c r="F130" s="6" t="s">
        <v>1572</v>
      </c>
      <c r="G130" s="6" t="s">
        <v>1573</v>
      </c>
      <c r="H130" s="6" t="s">
        <v>1573</v>
      </c>
      <c r="I130" s="5" t="s">
        <v>12</v>
      </c>
      <c r="J130" s="7" t="str">
        <f aca="false">IFERROR(INDEX(AVAILABILITY_MASTER!$C$4:$C$10,MATCH(I130,AVAILABILITY_MASTER!$A$4:$A$10,0)),"To Be Confirmed")</f>
        <v>Please Confirm at Shop</v>
      </c>
      <c r="K130" s="6" t="s">
        <v>74</v>
      </c>
      <c r="L130" s="6" t="s">
        <v>75</v>
      </c>
      <c r="M130" s="7" t="str">
        <f aca="false">IFERROR(INDEX(SERVICE_DOCUMENTS!$S$4:$S$1000,MATCH(A130,SERVICE_DOCUMENTS!$A$4:$A$1000,0))&amp;"","")</f>
        <v>✓ Aadhaar Card
✓ Active Mobile Number
✓ Bank Passbook
✓ Nominee Details</v>
      </c>
      <c r="N130" s="7" t="str">
        <f aca="false">IFERROR(INDEX(SERVICE_DOCUMENTS!$T$4:$T$1000,MATCH(A130,SERVICE_DOCUMENTS!$A$4:$A$1000,0))&amp;"","")</f>
        <v/>
      </c>
      <c r="O130" s="6" t="s">
        <v>1346</v>
      </c>
      <c r="P130" s="6" t="s">
        <v>1574</v>
      </c>
      <c r="Q130" s="6" t="s">
        <v>78</v>
      </c>
      <c r="R130" s="8" t="s">
        <v>75</v>
      </c>
      <c r="S130" s="8" t="s">
        <v>75</v>
      </c>
      <c r="T130" s="9" t="str">
        <f aca="false">IF(AND(OR(ISNUMBER(R130),R130="N/A"),OR(ISNUMBER(S130),S130="N/A"),OR(ISNUMBER(R130),ISNUMBER(S130))),N(R130)+N(S130),"To Verify")</f>
        <v>To Verify</v>
      </c>
      <c r="U130" s="6" t="s">
        <v>75</v>
      </c>
      <c r="V130" s="6" t="s">
        <v>79</v>
      </c>
      <c r="W130" s="6" t="s">
        <v>80</v>
      </c>
      <c r="X130" s="6" t="s">
        <v>221</v>
      </c>
      <c r="Y130" s="6" t="s">
        <v>74</v>
      </c>
      <c r="Z130" s="6" t="s">
        <v>1373</v>
      </c>
      <c r="AA130" s="6" t="s">
        <v>74</v>
      </c>
      <c r="AB130" s="6" t="s">
        <v>74</v>
      </c>
      <c r="AC130" s="6" t="s">
        <v>75</v>
      </c>
      <c r="AD130" s="6" t="s">
        <v>75</v>
      </c>
      <c r="AE130" s="6" t="s">
        <v>75</v>
      </c>
      <c r="AF130" s="6" t="s">
        <v>75</v>
      </c>
      <c r="AG130" s="6" t="s">
        <v>75</v>
      </c>
      <c r="AH130" s="6" t="s">
        <v>79</v>
      </c>
      <c r="AI130" s="6" t="s">
        <v>79</v>
      </c>
      <c r="AJ130" s="6" t="s">
        <v>79</v>
      </c>
      <c r="AK130" s="6" t="s">
        <v>79</v>
      </c>
      <c r="AL130" s="6" t="s">
        <v>1341</v>
      </c>
      <c r="AM130" s="6" t="s">
        <v>1570</v>
      </c>
      <c r="AN130" s="7" t="str">
        <f aca="false">BA130&amp;", "&amp;AZ130</f>
        <v>Life Insurance – New Policy, Common Service Centre (CSC), Devmobile Stores, जीवन बीमा – नई पॉलिसी, कॉमन सर्विस सेंटर (CSC), सेवा</v>
      </c>
      <c r="AO130" s="6" t="s">
        <v>1575</v>
      </c>
      <c r="AP130" s="5" t="s">
        <v>1576</v>
      </c>
      <c r="AQ130" s="5" t="n">
        <v>220</v>
      </c>
      <c r="AR130" s="6" t="s">
        <v>1351</v>
      </c>
      <c r="AS130" s="6" t="s">
        <v>1352</v>
      </c>
      <c r="AT130" s="6" t="s">
        <v>86</v>
      </c>
      <c r="AU130" s="10"/>
      <c r="AV130" s="6" t="s">
        <v>75</v>
      </c>
      <c r="AW130" s="6"/>
      <c r="AX130" s="6" t="s">
        <v>1577</v>
      </c>
      <c r="AY130" s="6" t="s">
        <v>1578</v>
      </c>
      <c r="AZ130" s="6" t="s">
        <v>1579</v>
      </c>
      <c r="BA130" s="6" t="s">
        <v>1580</v>
      </c>
      <c r="BB130" s="6"/>
      <c r="BC130" s="11" t="str">
        <f aca="false">IFERROR(INDEX(CATEGORY_MASTER!$C$4:$C$30,MATCH(B130,CATEGORY_MASTER!$A$4:$A$30,0)),"")</f>
        <v>🖥️</v>
      </c>
      <c r="BD130" s="7" t="str">
        <f aca="false">"/services/"&amp;AO130</f>
        <v>/services/life-insurance-new-policy</v>
      </c>
      <c r="BE130" s="7" t="str">
        <f aca="false">IF(AND(AH130="Yes",AG130="Active",I130&lt;&gt;"Not Available"),"LIVE","HIDDEN")</f>
        <v>HIDDEN</v>
      </c>
      <c r="BF130" s="6" t="s">
        <v>139</v>
      </c>
      <c r="BG130" s="6" t="s">
        <v>93</v>
      </c>
      <c r="BH130" s="7" t="str">
        <f aca="false">B130&amp;"|"&amp;COUNTIF($B$4:B130,B130)</f>
        <v>Common Service Centre (CSC)|22</v>
      </c>
      <c r="BI130" s="7" t="str">
        <f aca="false">IF(AND(AI130="Yes",BE130="LIVE"),COUNTIFS($AI$4:AI130,"Yes",$BE$4:BE130,"LIVE"),"")</f>
        <v/>
      </c>
      <c r="BJ130" s="7" t="str">
        <f aca="false">IF(AND(AJ130="Yes",BE130="LIVE"),COUNTIFS($AJ$4:AJ130,"Yes",$BE$4:BE130,"LIVE"),"")</f>
        <v/>
      </c>
      <c r="BK130" s="7" t="str">
        <f aca="false">IF(AND(AK130="Yes",BE130="LIVE"),COUNTIFS($AK$4:AK130,"Yes",$BE$4:BE130,"LIVE"),"")</f>
        <v/>
      </c>
      <c r="BL130" s="7" t="str">
        <f aca="false">IF(I130="To Verify",COUNTIF($I$4:I130,"To Verify"),"")</f>
        <v/>
      </c>
    </row>
    <row r="131" customFormat="false" ht="91" hidden="false" customHeight="false" outlineLevel="0" collapsed="false">
      <c r="A131" s="5" t="s">
        <v>1581</v>
      </c>
      <c r="B131" s="6" t="s">
        <v>1341</v>
      </c>
      <c r="C131" s="6" t="s">
        <v>1342</v>
      </c>
      <c r="D131" s="6" t="s">
        <v>1570</v>
      </c>
      <c r="E131" s="6" t="s">
        <v>1582</v>
      </c>
      <c r="F131" s="6" t="s">
        <v>1583</v>
      </c>
      <c r="G131" s="6" t="s">
        <v>1584</v>
      </c>
      <c r="H131" s="6" t="s">
        <v>1584</v>
      </c>
      <c r="I131" s="5" t="s">
        <v>12</v>
      </c>
      <c r="J131" s="7" t="str">
        <f aca="false">IFERROR(INDEX(AVAILABILITY_MASTER!$C$4:$C$10,MATCH(I131,AVAILABILITY_MASTER!$A$4:$A$10,0)),"To Be Confirmed")</f>
        <v>Please Confirm at Shop</v>
      </c>
      <c r="K131" s="6" t="s">
        <v>74</v>
      </c>
      <c r="L131" s="6" t="s">
        <v>75</v>
      </c>
      <c r="M131" s="7" t="str">
        <f aca="false">IFERROR(INDEX(SERVICE_DOCUMENTS!$S$4:$S$1000,MATCH(A131,SERVICE_DOCUMENTS!$A$4:$A$1000,0))&amp;"","")</f>
        <v>✓ Aadhaar Card
✓ Active Mobile Number
✓ Bank Passbook
✓ Nominee Details</v>
      </c>
      <c r="N131" s="7" t="str">
        <f aca="false">IFERROR(INDEX(SERVICE_DOCUMENTS!$T$4:$T$1000,MATCH(A131,SERVICE_DOCUMENTS!$A$4:$A$1000,0))&amp;"","")</f>
        <v/>
      </c>
      <c r="O131" s="6" t="s">
        <v>1346</v>
      </c>
      <c r="P131" s="6" t="s">
        <v>1585</v>
      </c>
      <c r="Q131" s="6" t="s">
        <v>78</v>
      </c>
      <c r="R131" s="8" t="s">
        <v>75</v>
      </c>
      <c r="S131" s="8" t="s">
        <v>75</v>
      </c>
      <c r="T131" s="9" t="str">
        <f aca="false">IF(AND(OR(ISNUMBER(R131),R131="N/A"),OR(ISNUMBER(S131),S131="N/A"),OR(ISNUMBER(R131),ISNUMBER(S131))),N(R131)+N(S131),"To Verify")</f>
        <v>To Verify</v>
      </c>
      <c r="U131" s="6" t="s">
        <v>75</v>
      </c>
      <c r="V131" s="6" t="s">
        <v>79</v>
      </c>
      <c r="W131" s="6" t="s">
        <v>80</v>
      </c>
      <c r="X131" s="6" t="s">
        <v>221</v>
      </c>
      <c r="Y131" s="6" t="s">
        <v>74</v>
      </c>
      <c r="Z131" s="6" t="s">
        <v>1373</v>
      </c>
      <c r="AA131" s="6" t="s">
        <v>74</v>
      </c>
      <c r="AB131" s="6" t="s">
        <v>74</v>
      </c>
      <c r="AC131" s="6" t="s">
        <v>75</v>
      </c>
      <c r="AD131" s="6" t="s">
        <v>75</v>
      </c>
      <c r="AE131" s="6" t="s">
        <v>75</v>
      </c>
      <c r="AF131" s="6" t="s">
        <v>75</v>
      </c>
      <c r="AG131" s="6" t="s">
        <v>75</v>
      </c>
      <c r="AH131" s="6" t="s">
        <v>79</v>
      </c>
      <c r="AI131" s="6" t="s">
        <v>79</v>
      </c>
      <c r="AJ131" s="6" t="s">
        <v>79</v>
      </c>
      <c r="AK131" s="6" t="s">
        <v>79</v>
      </c>
      <c r="AL131" s="6" t="s">
        <v>1341</v>
      </c>
      <c r="AM131" s="6" t="s">
        <v>1570</v>
      </c>
      <c r="AN131" s="7" t="str">
        <f aca="false">BA131&amp;", "&amp;AZ131</f>
        <v>Health Insurance – New Policy, Common Service Centre (CSC), Devmobile Stores, स्वास्थ्य बीमा – नई पॉलिसी, कॉमन सर्विस सेंटर (CSC), सेवा</v>
      </c>
      <c r="AO131" s="6" t="s">
        <v>1586</v>
      </c>
      <c r="AP131" s="5" t="s">
        <v>1576</v>
      </c>
      <c r="AQ131" s="5" t="n">
        <v>230</v>
      </c>
      <c r="AR131" s="6" t="s">
        <v>1351</v>
      </c>
      <c r="AS131" s="6" t="s">
        <v>1352</v>
      </c>
      <c r="AT131" s="6" t="s">
        <v>86</v>
      </c>
      <c r="AU131" s="10"/>
      <c r="AV131" s="6" t="s">
        <v>75</v>
      </c>
      <c r="AW131" s="6"/>
      <c r="AX131" s="6" t="s">
        <v>1587</v>
      </c>
      <c r="AY131" s="6" t="s">
        <v>1588</v>
      </c>
      <c r="AZ131" s="6" t="s">
        <v>1589</v>
      </c>
      <c r="BA131" s="6" t="s">
        <v>1590</v>
      </c>
      <c r="BB131" s="6"/>
      <c r="BC131" s="11" t="str">
        <f aca="false">IFERROR(INDEX(CATEGORY_MASTER!$C$4:$C$30,MATCH(B131,CATEGORY_MASTER!$A$4:$A$30,0)),"")</f>
        <v>🖥️</v>
      </c>
      <c r="BD131" s="7" t="str">
        <f aca="false">"/services/"&amp;AO131</f>
        <v>/services/health-insurance-new-policy</v>
      </c>
      <c r="BE131" s="7" t="str">
        <f aca="false">IF(AND(AH131="Yes",AG131="Active",I131&lt;&gt;"Not Available"),"LIVE","HIDDEN")</f>
        <v>HIDDEN</v>
      </c>
      <c r="BF131" s="6" t="s">
        <v>139</v>
      </c>
      <c r="BG131" s="6" t="s">
        <v>93</v>
      </c>
      <c r="BH131" s="7" t="str">
        <f aca="false">B131&amp;"|"&amp;COUNTIF($B$4:B131,B131)</f>
        <v>Common Service Centre (CSC)|23</v>
      </c>
      <c r="BI131" s="7" t="str">
        <f aca="false">IF(AND(AI131="Yes",BE131="LIVE"),COUNTIFS($AI$4:AI131,"Yes",$BE$4:BE131,"LIVE"),"")</f>
        <v/>
      </c>
      <c r="BJ131" s="7" t="str">
        <f aca="false">IF(AND(AJ131="Yes",BE131="LIVE"),COUNTIFS($AJ$4:AJ131,"Yes",$BE$4:BE131,"LIVE"),"")</f>
        <v/>
      </c>
      <c r="BK131" s="7" t="str">
        <f aca="false">IF(AND(AK131="Yes",BE131="LIVE"),COUNTIFS($AK$4:AK131,"Yes",$BE$4:BE131,"LIVE"),"")</f>
        <v/>
      </c>
      <c r="BL131" s="7" t="str">
        <f aca="false">IF(I131="To Verify",COUNTIF($I$4:I131,"To Verify"),"")</f>
        <v/>
      </c>
    </row>
    <row r="132" customFormat="false" ht="91" hidden="false" customHeight="false" outlineLevel="0" collapsed="false">
      <c r="A132" s="5" t="s">
        <v>1591</v>
      </c>
      <c r="B132" s="6" t="s">
        <v>1341</v>
      </c>
      <c r="C132" s="6" t="s">
        <v>1342</v>
      </c>
      <c r="D132" s="6" t="s">
        <v>1570</v>
      </c>
      <c r="E132" s="6" t="s">
        <v>1592</v>
      </c>
      <c r="F132" s="6" t="s">
        <v>1593</v>
      </c>
      <c r="G132" s="6" t="s">
        <v>1594</v>
      </c>
      <c r="H132" s="6" t="s">
        <v>1594</v>
      </c>
      <c r="I132" s="5" t="s">
        <v>12</v>
      </c>
      <c r="J132" s="7" t="str">
        <f aca="false">IFERROR(INDEX(AVAILABILITY_MASTER!$C$4:$C$10,MATCH(I132,AVAILABILITY_MASTER!$A$4:$A$10,0)),"To Be Confirmed")</f>
        <v>Please Confirm at Shop</v>
      </c>
      <c r="K132" s="6" t="s">
        <v>74</v>
      </c>
      <c r="L132" s="6" t="s">
        <v>75</v>
      </c>
      <c r="M132" s="7" t="str">
        <f aca="false">IFERROR(INDEX(SERVICE_DOCUMENTS!$S$4:$S$1000,MATCH(A132,SERVICE_DOCUMENTS!$A$4:$A$1000,0))&amp;"","")</f>
        <v>✓ Aadhaar Card
✓ Active Mobile Number
✓ Bank Passbook
✓ Nominee Details</v>
      </c>
      <c r="N132" s="7" t="str">
        <f aca="false">IFERROR(INDEX(SERVICE_DOCUMENTS!$T$4:$T$1000,MATCH(A132,SERVICE_DOCUMENTS!$A$4:$A$1000,0))&amp;"","")</f>
        <v/>
      </c>
      <c r="O132" s="6" t="s">
        <v>1346</v>
      </c>
      <c r="P132" s="6" t="s">
        <v>1595</v>
      </c>
      <c r="Q132" s="6" t="s">
        <v>78</v>
      </c>
      <c r="R132" s="8" t="s">
        <v>75</v>
      </c>
      <c r="S132" s="8" t="s">
        <v>75</v>
      </c>
      <c r="T132" s="9" t="str">
        <f aca="false">IF(AND(OR(ISNUMBER(R132),R132="N/A"),OR(ISNUMBER(S132),S132="N/A"),OR(ISNUMBER(R132),ISNUMBER(S132))),N(R132)+N(S132),"To Verify")</f>
        <v>To Verify</v>
      </c>
      <c r="U132" s="6" t="s">
        <v>75</v>
      </c>
      <c r="V132" s="6" t="s">
        <v>79</v>
      </c>
      <c r="W132" s="6" t="s">
        <v>80</v>
      </c>
      <c r="X132" s="6" t="s">
        <v>221</v>
      </c>
      <c r="Y132" s="6" t="s">
        <v>74</v>
      </c>
      <c r="Z132" s="6" t="s">
        <v>1373</v>
      </c>
      <c r="AA132" s="6" t="s">
        <v>74</v>
      </c>
      <c r="AB132" s="6" t="s">
        <v>74</v>
      </c>
      <c r="AC132" s="6" t="s">
        <v>75</v>
      </c>
      <c r="AD132" s="6" t="s">
        <v>75</v>
      </c>
      <c r="AE132" s="6" t="s">
        <v>75</v>
      </c>
      <c r="AF132" s="6" t="s">
        <v>75</v>
      </c>
      <c r="AG132" s="6" t="s">
        <v>75</v>
      </c>
      <c r="AH132" s="6" t="s">
        <v>79</v>
      </c>
      <c r="AI132" s="6" t="s">
        <v>79</v>
      </c>
      <c r="AJ132" s="6" t="s">
        <v>79</v>
      </c>
      <c r="AK132" s="6" t="s">
        <v>79</v>
      </c>
      <c r="AL132" s="6" t="s">
        <v>1341</v>
      </c>
      <c r="AM132" s="6" t="s">
        <v>1570</v>
      </c>
      <c r="AN132" s="7" t="str">
        <f aca="false">BA132&amp;", "&amp;AZ132</f>
        <v>Motor Insurance – New / Renewal, Common Service Centre (CSC), Devmobile Stores, वाहन बीमा – नया / नवीनीकरण, कॉमन सर्विस सेंटर (CSC), सेवा</v>
      </c>
      <c r="AO132" s="6" t="s">
        <v>1596</v>
      </c>
      <c r="AP132" s="5" t="s">
        <v>1576</v>
      </c>
      <c r="AQ132" s="5" t="n">
        <v>240</v>
      </c>
      <c r="AR132" s="6" t="s">
        <v>1351</v>
      </c>
      <c r="AS132" s="6" t="s">
        <v>1352</v>
      </c>
      <c r="AT132" s="6" t="s">
        <v>86</v>
      </c>
      <c r="AU132" s="10"/>
      <c r="AV132" s="6" t="s">
        <v>75</v>
      </c>
      <c r="AW132" s="6"/>
      <c r="AX132" s="6" t="s">
        <v>1597</v>
      </c>
      <c r="AY132" s="6" t="s">
        <v>1598</v>
      </c>
      <c r="AZ132" s="6" t="s">
        <v>1599</v>
      </c>
      <c r="BA132" s="6" t="s">
        <v>1600</v>
      </c>
      <c r="BB132" s="6"/>
      <c r="BC132" s="11" t="str">
        <f aca="false">IFERROR(INDEX(CATEGORY_MASTER!$C$4:$C$30,MATCH(B132,CATEGORY_MASTER!$A$4:$A$30,0)),"")</f>
        <v>🖥️</v>
      </c>
      <c r="BD132" s="7" t="str">
        <f aca="false">"/services/"&amp;AO132</f>
        <v>/services/motor-insurance-new-renewal</v>
      </c>
      <c r="BE132" s="7" t="str">
        <f aca="false">IF(AND(AH132="Yes",AG132="Active",I132&lt;&gt;"Not Available"),"LIVE","HIDDEN")</f>
        <v>HIDDEN</v>
      </c>
      <c r="BF132" s="6" t="s">
        <v>139</v>
      </c>
      <c r="BG132" s="6" t="s">
        <v>93</v>
      </c>
      <c r="BH132" s="7" t="str">
        <f aca="false">B132&amp;"|"&amp;COUNTIF($B$4:B132,B132)</f>
        <v>Common Service Centre (CSC)|24</v>
      </c>
      <c r="BI132" s="7" t="str">
        <f aca="false">IF(AND(AI132="Yes",BE132="LIVE"),COUNTIFS($AI$4:AI132,"Yes",$BE$4:BE132,"LIVE"),"")</f>
        <v/>
      </c>
      <c r="BJ132" s="7" t="str">
        <f aca="false">IF(AND(AJ132="Yes",BE132="LIVE"),COUNTIFS($AJ$4:AJ132,"Yes",$BE$4:BE132,"LIVE"),"")</f>
        <v/>
      </c>
      <c r="BK132" s="7" t="str">
        <f aca="false">IF(AND(AK132="Yes",BE132="LIVE"),COUNTIFS($AK$4:AK132,"Yes",$BE$4:BE132,"LIVE"),"")</f>
        <v/>
      </c>
      <c r="BL132" s="7" t="str">
        <f aca="false">IF(I132="To Verify",COUNTIF($I$4:I132,"To Verify"),"")</f>
        <v/>
      </c>
    </row>
    <row r="133" customFormat="false" ht="91" hidden="false" customHeight="false" outlineLevel="0" collapsed="false">
      <c r="A133" s="5" t="s">
        <v>1601</v>
      </c>
      <c r="B133" s="6" t="s">
        <v>1341</v>
      </c>
      <c r="C133" s="6" t="s">
        <v>1342</v>
      </c>
      <c r="D133" s="6" t="s">
        <v>1570</v>
      </c>
      <c r="E133" s="6" t="s">
        <v>1602</v>
      </c>
      <c r="F133" s="6" t="s">
        <v>1603</v>
      </c>
      <c r="G133" s="6" t="s">
        <v>1604</v>
      </c>
      <c r="H133" s="6" t="s">
        <v>1604</v>
      </c>
      <c r="I133" s="5" t="s">
        <v>221</v>
      </c>
      <c r="J133" s="7" t="str">
        <f aca="false">IFERROR(INDEX(AVAILABILITY_MASTER!$C$4:$C$10,MATCH(I133,AVAILABILITY_MASTER!$A$4:$A$10,0)),"To Be Confirmed")</f>
        <v>Depends on Portal – Confirm at Shop</v>
      </c>
      <c r="K133" s="6" t="s">
        <v>129</v>
      </c>
      <c r="L133" s="6" t="s">
        <v>221</v>
      </c>
      <c r="M133" s="7" t="str">
        <f aca="false">IFERROR(INDEX(SERVICE_DOCUMENTS!$S$4:$S$1000,MATCH(A133,SERVICE_DOCUMENTS!$A$4:$A$1000,0))&amp;"","")</f>
        <v>✓ Aadhaar Card
✓ Active Mobile Number
✓ Bank Passbook
✓ Nominee Details</v>
      </c>
      <c r="N133" s="7" t="str">
        <f aca="false">IFERROR(INDEX(SERVICE_DOCUMENTS!$T$4:$T$1000,MATCH(A133,SERVICE_DOCUMENTS!$A$4:$A$1000,0))&amp;"","")</f>
        <v/>
      </c>
      <c r="O133" s="6" t="s">
        <v>1346</v>
      </c>
      <c r="P133" s="6" t="s">
        <v>1605</v>
      </c>
      <c r="Q133" s="6" t="s">
        <v>78</v>
      </c>
      <c r="R133" s="8" t="s">
        <v>75</v>
      </c>
      <c r="S133" s="8" t="s">
        <v>75</v>
      </c>
      <c r="T133" s="9" t="str">
        <f aca="false">IF(AND(OR(ISNUMBER(R133),R133="N/A"),OR(ISNUMBER(S133),S133="N/A"),OR(ISNUMBER(R133),ISNUMBER(S133))),N(R133)+N(S133),"To Verify")</f>
        <v>To Verify</v>
      </c>
      <c r="U133" s="6" t="s">
        <v>75</v>
      </c>
      <c r="V133" s="6" t="s">
        <v>79</v>
      </c>
      <c r="W133" s="6" t="s">
        <v>80</v>
      </c>
      <c r="X133" s="6" t="s">
        <v>221</v>
      </c>
      <c r="Y133" s="6" t="s">
        <v>74</v>
      </c>
      <c r="Z133" s="6" t="s">
        <v>1373</v>
      </c>
      <c r="AA133" s="6" t="s">
        <v>74</v>
      </c>
      <c r="AB133" s="6" t="s">
        <v>74</v>
      </c>
      <c r="AC133" s="6" t="s">
        <v>75</v>
      </c>
      <c r="AD133" s="6" t="s">
        <v>75</v>
      </c>
      <c r="AE133" s="6" t="s">
        <v>75</v>
      </c>
      <c r="AF133" s="6" t="s">
        <v>75</v>
      </c>
      <c r="AG133" s="6" t="s">
        <v>75</v>
      </c>
      <c r="AH133" s="6" t="s">
        <v>79</v>
      </c>
      <c r="AI133" s="6" t="s">
        <v>79</v>
      </c>
      <c r="AJ133" s="6" t="s">
        <v>79</v>
      </c>
      <c r="AK133" s="6" t="s">
        <v>79</v>
      </c>
      <c r="AL133" s="6" t="s">
        <v>1341</v>
      </c>
      <c r="AM133" s="6" t="s">
        <v>1570</v>
      </c>
      <c r="AN133" s="7" t="str">
        <f aca="false">BA133&amp;", "&amp;AZ133</f>
        <v>Crop Insurance (PMFBY) Enrolment, Common Service Centre (CSC), Devmobile Stores, फसल बीमा (PMFBY) नामांकन, कॉमन सर्विस सेंटर (CSC), सेवा</v>
      </c>
      <c r="AO133" s="6" t="s">
        <v>1606</v>
      </c>
      <c r="AP133" s="5" t="s">
        <v>1576</v>
      </c>
      <c r="AQ133" s="5" t="n">
        <v>250</v>
      </c>
      <c r="AR133" s="6" t="s">
        <v>1351</v>
      </c>
      <c r="AS133" s="6" t="s">
        <v>1352</v>
      </c>
      <c r="AT133" s="6" t="s">
        <v>86</v>
      </c>
      <c r="AU133" s="10"/>
      <c r="AV133" s="6" t="s">
        <v>75</v>
      </c>
      <c r="AW133" s="6"/>
      <c r="AX133" s="6" t="s">
        <v>1607</v>
      </c>
      <c r="AY133" s="6" t="s">
        <v>1608</v>
      </c>
      <c r="AZ133" s="6" t="s">
        <v>1609</v>
      </c>
      <c r="BA133" s="6" t="s">
        <v>1610</v>
      </c>
      <c r="BB133" s="6"/>
      <c r="BC133" s="11" t="str">
        <f aca="false">IFERROR(INDEX(CATEGORY_MASTER!$C$4:$C$30,MATCH(B133,CATEGORY_MASTER!$A$4:$A$30,0)),"")</f>
        <v>🖥️</v>
      </c>
      <c r="BD133" s="7" t="str">
        <f aca="false">"/services/"&amp;AO133</f>
        <v>/services/crop-insurance-pmfby-enrolment</v>
      </c>
      <c r="BE133" s="7" t="str">
        <f aca="false">IF(AND(AH133="Yes",AG133="Active",I133&lt;&gt;"Not Available"),"LIVE","HIDDEN")</f>
        <v>HIDDEN</v>
      </c>
      <c r="BF133" s="6" t="s">
        <v>139</v>
      </c>
      <c r="BG133" s="6" t="s">
        <v>93</v>
      </c>
      <c r="BH133" s="7" t="str">
        <f aca="false">B133&amp;"|"&amp;COUNTIF($B$4:B133,B133)</f>
        <v>Common Service Centre (CSC)|25</v>
      </c>
      <c r="BI133" s="7" t="str">
        <f aca="false">IF(AND(AI133="Yes",BE133="LIVE"),COUNTIFS($AI$4:AI133,"Yes",$BE$4:BE133,"LIVE"),"")</f>
        <v/>
      </c>
      <c r="BJ133" s="7" t="str">
        <f aca="false">IF(AND(AJ133="Yes",BE133="LIVE"),COUNTIFS($AJ$4:AJ133,"Yes",$BE$4:BE133,"LIVE"),"")</f>
        <v/>
      </c>
      <c r="BK133" s="7" t="str">
        <f aca="false">IF(AND(AK133="Yes",BE133="LIVE"),COUNTIFS($AK$4:AK133,"Yes",$BE$4:BE133,"LIVE"),"")</f>
        <v/>
      </c>
      <c r="BL133" s="7" t="str">
        <f aca="false">IF(I133="To Verify",COUNTIF($I$4:I133,"To Verify"),"")</f>
        <v/>
      </c>
    </row>
    <row r="134" customFormat="false" ht="91" hidden="false" customHeight="false" outlineLevel="0" collapsed="false">
      <c r="A134" s="5" t="s">
        <v>1611</v>
      </c>
      <c r="B134" s="6" t="s">
        <v>1341</v>
      </c>
      <c r="C134" s="6" t="s">
        <v>1342</v>
      </c>
      <c r="D134" s="6" t="s">
        <v>1570</v>
      </c>
      <c r="E134" s="6" t="s">
        <v>1612</v>
      </c>
      <c r="F134" s="6" t="s">
        <v>1613</v>
      </c>
      <c r="G134" s="6" t="s">
        <v>1614</v>
      </c>
      <c r="H134" s="6" t="s">
        <v>1614</v>
      </c>
      <c r="I134" s="5" t="s">
        <v>75</v>
      </c>
      <c r="J134" s="7" t="str">
        <f aca="false">IFERROR(INDEX(AVAILABILITY_MASTER!$C$4:$C$10,MATCH(I134,AVAILABILITY_MASTER!$A$4:$A$10,0)),"To Be Confirmed")</f>
        <v>To Be Confirmed</v>
      </c>
      <c r="K134" s="6" t="s">
        <v>129</v>
      </c>
      <c r="L134" s="6" t="s">
        <v>75</v>
      </c>
      <c r="M134" s="7" t="str">
        <f aca="false">IFERROR(INDEX(SERVICE_DOCUMENTS!$S$4:$S$1000,MATCH(A134,SERVICE_DOCUMENTS!$A$4:$A$1000,0))&amp;"","")</f>
        <v>✓ Aadhaar Card
✓ Active Mobile Number
✓ Bank Passbook
✓ Nominee Details</v>
      </c>
      <c r="N134" s="7" t="str">
        <f aca="false">IFERROR(INDEX(SERVICE_DOCUMENTS!$T$4:$T$1000,MATCH(A134,SERVICE_DOCUMENTS!$A$4:$A$1000,0))&amp;"","")</f>
        <v/>
      </c>
      <c r="O134" s="6" t="s">
        <v>1346</v>
      </c>
      <c r="P134" s="6" t="s">
        <v>1615</v>
      </c>
      <c r="Q134" s="6" t="s">
        <v>78</v>
      </c>
      <c r="R134" s="8" t="s">
        <v>75</v>
      </c>
      <c r="S134" s="8" t="s">
        <v>75</v>
      </c>
      <c r="T134" s="9" t="str">
        <f aca="false">IF(AND(OR(ISNUMBER(R134),R134="N/A"),OR(ISNUMBER(S134),S134="N/A"),OR(ISNUMBER(R134),ISNUMBER(S134))),N(R134)+N(S134),"To Verify")</f>
        <v>To Verify</v>
      </c>
      <c r="U134" s="6" t="s">
        <v>75</v>
      </c>
      <c r="V134" s="6" t="s">
        <v>79</v>
      </c>
      <c r="W134" s="6" t="s">
        <v>80</v>
      </c>
      <c r="X134" s="6" t="s">
        <v>221</v>
      </c>
      <c r="Y134" s="6" t="s">
        <v>74</v>
      </c>
      <c r="Z134" s="6" t="s">
        <v>1373</v>
      </c>
      <c r="AA134" s="6" t="s">
        <v>74</v>
      </c>
      <c r="AB134" s="6" t="s">
        <v>74</v>
      </c>
      <c r="AC134" s="6" t="s">
        <v>75</v>
      </c>
      <c r="AD134" s="6" t="s">
        <v>75</v>
      </c>
      <c r="AE134" s="6" t="s">
        <v>75</v>
      </c>
      <c r="AF134" s="6" t="s">
        <v>75</v>
      </c>
      <c r="AG134" s="6" t="s">
        <v>75</v>
      </c>
      <c r="AH134" s="6" t="s">
        <v>79</v>
      </c>
      <c r="AI134" s="6" t="s">
        <v>79</v>
      </c>
      <c r="AJ134" s="6" t="s">
        <v>79</v>
      </c>
      <c r="AK134" s="6" t="s">
        <v>79</v>
      </c>
      <c r="AL134" s="6" t="s">
        <v>1341</v>
      </c>
      <c r="AM134" s="6" t="s">
        <v>1570</v>
      </c>
      <c r="AN134" s="7" t="str">
        <f aca="false">BA134&amp;", "&amp;AZ134</f>
        <v>PM Suraksha Bima Yojana (PMSBY) Enrolment, Common Service Centre (CSC), Devmobile Stores, PM सुरक्षा बीमा योजना (PMSBY) नामांकन, कॉमन सर्विस सेंटर (CSC), सेवा</v>
      </c>
      <c r="AO134" s="6" t="s">
        <v>1616</v>
      </c>
      <c r="AP134" s="5" t="s">
        <v>1576</v>
      </c>
      <c r="AQ134" s="5" t="n">
        <v>260</v>
      </c>
      <c r="AR134" s="6" t="s">
        <v>1351</v>
      </c>
      <c r="AS134" s="6" t="s">
        <v>1352</v>
      </c>
      <c r="AT134" s="6" t="s">
        <v>86</v>
      </c>
      <c r="AU134" s="10"/>
      <c r="AV134" s="6" t="s">
        <v>75</v>
      </c>
      <c r="AW134" s="6"/>
      <c r="AX134" s="6" t="s">
        <v>1617</v>
      </c>
      <c r="AY134" s="6" t="s">
        <v>1618</v>
      </c>
      <c r="AZ134" s="6" t="s">
        <v>1619</v>
      </c>
      <c r="BA134" s="6" t="s">
        <v>1620</v>
      </c>
      <c r="BB134" s="6"/>
      <c r="BC134" s="11" t="str">
        <f aca="false">IFERROR(INDEX(CATEGORY_MASTER!$C$4:$C$30,MATCH(B134,CATEGORY_MASTER!$A$4:$A$30,0)),"")</f>
        <v>🖥️</v>
      </c>
      <c r="BD134" s="7" t="str">
        <f aca="false">"/services/"&amp;AO134</f>
        <v>/services/pm-suraksha-bima-yojana-pmsby-enrolment</v>
      </c>
      <c r="BE134" s="7" t="str">
        <f aca="false">IF(AND(AH134="Yes",AG134="Active",I134&lt;&gt;"Not Available"),"LIVE","HIDDEN")</f>
        <v>HIDDEN</v>
      </c>
      <c r="BF134" s="6" t="s">
        <v>139</v>
      </c>
      <c r="BG134" s="6" t="s">
        <v>93</v>
      </c>
      <c r="BH134" s="7" t="str">
        <f aca="false">B134&amp;"|"&amp;COUNTIF($B$4:B134,B134)</f>
        <v>Common Service Centre (CSC)|26</v>
      </c>
      <c r="BI134" s="7" t="str">
        <f aca="false">IF(AND(AI134="Yes",BE134="LIVE"),COUNTIFS($AI$4:AI134,"Yes",$BE$4:BE134,"LIVE"),"")</f>
        <v/>
      </c>
      <c r="BJ134" s="7" t="str">
        <f aca="false">IF(AND(AJ134="Yes",BE134="LIVE"),COUNTIFS($AJ$4:AJ134,"Yes",$BE$4:BE134,"LIVE"),"")</f>
        <v/>
      </c>
      <c r="BK134" s="7" t="str">
        <f aca="false">IF(AND(AK134="Yes",BE134="LIVE"),COUNTIFS($AK$4:AK134,"Yes",$BE$4:BE134,"LIVE"),"")</f>
        <v/>
      </c>
      <c r="BL134" s="7" t="n">
        <f aca="false">IF(I134="To Verify",COUNTIF($I$4:I134,"To Verify"),"")</f>
        <v>38</v>
      </c>
    </row>
    <row r="135" customFormat="false" ht="91" hidden="false" customHeight="false" outlineLevel="0" collapsed="false">
      <c r="A135" s="5" t="s">
        <v>1621</v>
      </c>
      <c r="B135" s="6" t="s">
        <v>1341</v>
      </c>
      <c r="C135" s="6" t="s">
        <v>1342</v>
      </c>
      <c r="D135" s="6" t="s">
        <v>1570</v>
      </c>
      <c r="E135" s="6" t="s">
        <v>1622</v>
      </c>
      <c r="F135" s="6" t="s">
        <v>1623</v>
      </c>
      <c r="G135" s="6" t="s">
        <v>1624</v>
      </c>
      <c r="H135" s="6" t="s">
        <v>1624</v>
      </c>
      <c r="I135" s="5" t="s">
        <v>75</v>
      </c>
      <c r="J135" s="7" t="str">
        <f aca="false">IFERROR(INDEX(AVAILABILITY_MASTER!$C$4:$C$10,MATCH(I135,AVAILABILITY_MASTER!$A$4:$A$10,0)),"To Be Confirmed")</f>
        <v>To Be Confirmed</v>
      </c>
      <c r="K135" s="6" t="s">
        <v>129</v>
      </c>
      <c r="L135" s="6" t="s">
        <v>75</v>
      </c>
      <c r="M135" s="7" t="str">
        <f aca="false">IFERROR(INDEX(SERVICE_DOCUMENTS!$S$4:$S$1000,MATCH(A135,SERVICE_DOCUMENTS!$A$4:$A$1000,0))&amp;"","")</f>
        <v>✓ Aadhaar Card
✓ Active Mobile Number
✓ Bank Passbook
✓ Nominee Details</v>
      </c>
      <c r="N135" s="7" t="str">
        <f aca="false">IFERROR(INDEX(SERVICE_DOCUMENTS!$T$4:$T$1000,MATCH(A135,SERVICE_DOCUMENTS!$A$4:$A$1000,0))&amp;"","")</f>
        <v/>
      </c>
      <c r="O135" s="6" t="s">
        <v>1346</v>
      </c>
      <c r="P135" s="6" t="s">
        <v>1625</v>
      </c>
      <c r="Q135" s="6" t="s">
        <v>78</v>
      </c>
      <c r="R135" s="8" t="s">
        <v>75</v>
      </c>
      <c r="S135" s="8" t="s">
        <v>75</v>
      </c>
      <c r="T135" s="9" t="str">
        <f aca="false">IF(AND(OR(ISNUMBER(R135),R135="N/A"),OR(ISNUMBER(S135),S135="N/A"),OR(ISNUMBER(R135),ISNUMBER(S135))),N(R135)+N(S135),"To Verify")</f>
        <v>To Verify</v>
      </c>
      <c r="U135" s="6" t="s">
        <v>75</v>
      </c>
      <c r="V135" s="6" t="s">
        <v>79</v>
      </c>
      <c r="W135" s="6" t="s">
        <v>80</v>
      </c>
      <c r="X135" s="6" t="s">
        <v>221</v>
      </c>
      <c r="Y135" s="6" t="s">
        <v>74</v>
      </c>
      <c r="Z135" s="6" t="s">
        <v>1373</v>
      </c>
      <c r="AA135" s="6" t="s">
        <v>74</v>
      </c>
      <c r="AB135" s="6" t="s">
        <v>74</v>
      </c>
      <c r="AC135" s="6" t="s">
        <v>75</v>
      </c>
      <c r="AD135" s="6" t="s">
        <v>75</v>
      </c>
      <c r="AE135" s="6" t="s">
        <v>75</v>
      </c>
      <c r="AF135" s="6" t="s">
        <v>75</v>
      </c>
      <c r="AG135" s="6" t="s">
        <v>75</v>
      </c>
      <c r="AH135" s="6" t="s">
        <v>79</v>
      </c>
      <c r="AI135" s="6" t="s">
        <v>79</v>
      </c>
      <c r="AJ135" s="6" t="s">
        <v>79</v>
      </c>
      <c r="AK135" s="6" t="s">
        <v>79</v>
      </c>
      <c r="AL135" s="6" t="s">
        <v>1341</v>
      </c>
      <c r="AM135" s="6" t="s">
        <v>1570</v>
      </c>
      <c r="AN135" s="7" t="str">
        <f aca="false">BA135&amp;", "&amp;AZ135</f>
        <v>PM Jeevan Jyoti Bima Yojana (PMJJBY) Enrolment, Common Service Centre (CSC), Devmobile Stores, PM जीवन ज्योति बीमा योजना (PMJJBY) नामांकन, कॉमन सर्विस सेंटर (CSC), सेवा</v>
      </c>
      <c r="AO135" s="6" t="s">
        <v>1626</v>
      </c>
      <c r="AP135" s="5" t="s">
        <v>1576</v>
      </c>
      <c r="AQ135" s="5" t="n">
        <v>270</v>
      </c>
      <c r="AR135" s="6" t="s">
        <v>1351</v>
      </c>
      <c r="AS135" s="6" t="s">
        <v>1352</v>
      </c>
      <c r="AT135" s="6" t="s">
        <v>86</v>
      </c>
      <c r="AU135" s="10"/>
      <c r="AV135" s="6" t="s">
        <v>75</v>
      </c>
      <c r="AW135" s="6"/>
      <c r="AX135" s="6" t="s">
        <v>1627</v>
      </c>
      <c r="AY135" s="6" t="s">
        <v>1628</v>
      </c>
      <c r="AZ135" s="6" t="s">
        <v>1629</v>
      </c>
      <c r="BA135" s="6" t="s">
        <v>1630</v>
      </c>
      <c r="BB135" s="6"/>
      <c r="BC135" s="11" t="str">
        <f aca="false">IFERROR(INDEX(CATEGORY_MASTER!$C$4:$C$30,MATCH(B135,CATEGORY_MASTER!$A$4:$A$30,0)),"")</f>
        <v>🖥️</v>
      </c>
      <c r="BD135" s="7" t="str">
        <f aca="false">"/services/"&amp;AO135</f>
        <v>/services/pm-jeevan-jyoti-bima-yojana-pmjjby-enrolment</v>
      </c>
      <c r="BE135" s="7" t="str">
        <f aca="false">IF(AND(AH135="Yes",AG135="Active",I135&lt;&gt;"Not Available"),"LIVE","HIDDEN")</f>
        <v>HIDDEN</v>
      </c>
      <c r="BF135" s="6" t="s">
        <v>139</v>
      </c>
      <c r="BG135" s="6" t="s">
        <v>93</v>
      </c>
      <c r="BH135" s="7" t="str">
        <f aca="false">B135&amp;"|"&amp;COUNTIF($B$4:B135,B135)</f>
        <v>Common Service Centre (CSC)|27</v>
      </c>
      <c r="BI135" s="7" t="str">
        <f aca="false">IF(AND(AI135="Yes",BE135="LIVE"),COUNTIFS($AI$4:AI135,"Yes",$BE$4:BE135,"LIVE"),"")</f>
        <v/>
      </c>
      <c r="BJ135" s="7" t="str">
        <f aca="false">IF(AND(AJ135="Yes",BE135="LIVE"),COUNTIFS($AJ$4:AJ135,"Yes",$BE$4:BE135,"LIVE"),"")</f>
        <v/>
      </c>
      <c r="BK135" s="7" t="str">
        <f aca="false">IF(AND(AK135="Yes",BE135="LIVE"),COUNTIFS($AK$4:AK135,"Yes",$BE$4:BE135,"LIVE"),"")</f>
        <v/>
      </c>
      <c r="BL135" s="7" t="n">
        <f aca="false">IF(I135="To Verify",COUNTIF($I$4:I135,"To Verify"),"")</f>
        <v>39</v>
      </c>
    </row>
    <row r="136" customFormat="false" ht="91" hidden="false" customHeight="false" outlineLevel="0" collapsed="false">
      <c r="A136" s="5" t="s">
        <v>1631</v>
      </c>
      <c r="B136" s="6" t="s">
        <v>1341</v>
      </c>
      <c r="C136" s="6" t="s">
        <v>1342</v>
      </c>
      <c r="D136" s="6" t="s">
        <v>1632</v>
      </c>
      <c r="E136" s="6" t="s">
        <v>1633</v>
      </c>
      <c r="F136" s="6" t="s">
        <v>1634</v>
      </c>
      <c r="G136" s="6" t="s">
        <v>1635</v>
      </c>
      <c r="H136" s="6" t="s">
        <v>1635</v>
      </c>
      <c r="I136" s="5" t="s">
        <v>12</v>
      </c>
      <c r="J136" s="7" t="str">
        <f aca="false">IFERROR(INDEX(AVAILABILITY_MASTER!$C$4:$C$10,MATCH(I136,AVAILABILITY_MASTER!$A$4:$A$10,0)),"To Be Confirmed")</f>
        <v>Please Confirm at Shop</v>
      </c>
      <c r="K136" s="6" t="s">
        <v>74</v>
      </c>
      <c r="L136" s="6" t="s">
        <v>75</v>
      </c>
      <c r="M136" s="7" t="str">
        <f aca="false">IFERROR(INDEX(SERVICE_DOCUMENTS!$S$4:$S$1000,MATCH(A136,SERVICE_DOCUMENTS!$A$4:$A$1000,0))&amp;"","")</f>
        <v>✓ Aadhaar Card
✓ Active Mobile Number
✓ Bank Passbook
✓ Nominee Details</v>
      </c>
      <c r="N136" s="7" t="str">
        <f aca="false">IFERROR(INDEX(SERVICE_DOCUMENTS!$T$4:$T$1000,MATCH(A136,SERVICE_DOCUMENTS!$A$4:$A$1000,0))&amp;"","")</f>
        <v/>
      </c>
      <c r="O136" s="6" t="s">
        <v>1346</v>
      </c>
      <c r="P136" s="6" t="s">
        <v>1636</v>
      </c>
      <c r="Q136" s="6" t="s">
        <v>78</v>
      </c>
      <c r="R136" s="8" t="s">
        <v>75</v>
      </c>
      <c r="S136" s="8" t="s">
        <v>75</v>
      </c>
      <c r="T136" s="9" t="str">
        <f aca="false">IF(AND(OR(ISNUMBER(R136),R136="N/A"),OR(ISNUMBER(S136),S136="N/A"),OR(ISNUMBER(R136),ISNUMBER(S136))),N(R136)+N(S136),"To Verify")</f>
        <v>To Verify</v>
      </c>
      <c r="U136" s="6" t="s">
        <v>75</v>
      </c>
      <c r="V136" s="6" t="s">
        <v>79</v>
      </c>
      <c r="W136" s="6" t="s">
        <v>80</v>
      </c>
      <c r="X136" s="6" t="s">
        <v>221</v>
      </c>
      <c r="Y136" s="6" t="s">
        <v>74</v>
      </c>
      <c r="Z136" s="6" t="s">
        <v>1373</v>
      </c>
      <c r="AA136" s="6" t="s">
        <v>74</v>
      </c>
      <c r="AB136" s="6" t="s">
        <v>74</v>
      </c>
      <c r="AC136" s="6" t="s">
        <v>75</v>
      </c>
      <c r="AD136" s="6" t="s">
        <v>75</v>
      </c>
      <c r="AE136" s="6" t="s">
        <v>75</v>
      </c>
      <c r="AF136" s="6" t="s">
        <v>75</v>
      </c>
      <c r="AG136" s="6" t="s">
        <v>75</v>
      </c>
      <c r="AH136" s="6" t="s">
        <v>79</v>
      </c>
      <c r="AI136" s="6" t="s">
        <v>79</v>
      </c>
      <c r="AJ136" s="6" t="s">
        <v>79</v>
      </c>
      <c r="AK136" s="6" t="s">
        <v>79</v>
      </c>
      <c r="AL136" s="6" t="s">
        <v>1341</v>
      </c>
      <c r="AM136" s="6" t="s">
        <v>1632</v>
      </c>
      <c r="AN136" s="7" t="str">
        <f aca="false">BA136&amp;", "&amp;AZ136</f>
        <v>Atal Pension Yojana (APY) Enrolment, Common Service Centre (CSC), Devmobile Stores, अटल पेंशन योजना (APY) नामांकन, कॉमन सर्विस सेंटर (CSC), सेवा</v>
      </c>
      <c r="AO136" s="6" t="s">
        <v>1637</v>
      </c>
      <c r="AP136" s="5" t="s">
        <v>1638</v>
      </c>
      <c r="AQ136" s="5" t="n">
        <v>280</v>
      </c>
      <c r="AR136" s="6" t="s">
        <v>1351</v>
      </c>
      <c r="AS136" s="6" t="s">
        <v>1352</v>
      </c>
      <c r="AT136" s="6" t="s">
        <v>86</v>
      </c>
      <c r="AU136" s="10"/>
      <c r="AV136" s="6" t="s">
        <v>75</v>
      </c>
      <c r="AW136" s="6"/>
      <c r="AX136" s="6" t="s">
        <v>1639</v>
      </c>
      <c r="AY136" s="6" t="s">
        <v>1640</v>
      </c>
      <c r="AZ136" s="6" t="s">
        <v>1641</v>
      </c>
      <c r="BA136" s="6" t="s">
        <v>1642</v>
      </c>
      <c r="BB136" s="6"/>
      <c r="BC136" s="11" t="str">
        <f aca="false">IFERROR(INDEX(CATEGORY_MASTER!$C$4:$C$30,MATCH(B136,CATEGORY_MASTER!$A$4:$A$30,0)),"")</f>
        <v>🖥️</v>
      </c>
      <c r="BD136" s="7" t="str">
        <f aca="false">"/services/"&amp;AO136</f>
        <v>/services/atal-pension-yojana-apy-enrolment</v>
      </c>
      <c r="BE136" s="7" t="str">
        <f aca="false">IF(AND(AH136="Yes",AG136="Active",I136&lt;&gt;"Not Available"),"LIVE","HIDDEN")</f>
        <v>HIDDEN</v>
      </c>
      <c r="BF136" s="6" t="s">
        <v>139</v>
      </c>
      <c r="BG136" s="6" t="s">
        <v>93</v>
      </c>
      <c r="BH136" s="7" t="str">
        <f aca="false">B136&amp;"|"&amp;COUNTIF($B$4:B136,B136)</f>
        <v>Common Service Centre (CSC)|28</v>
      </c>
      <c r="BI136" s="7" t="str">
        <f aca="false">IF(AND(AI136="Yes",BE136="LIVE"),COUNTIFS($AI$4:AI136,"Yes",$BE$4:BE136,"LIVE"),"")</f>
        <v/>
      </c>
      <c r="BJ136" s="7" t="str">
        <f aca="false">IF(AND(AJ136="Yes",BE136="LIVE"),COUNTIFS($AJ$4:AJ136,"Yes",$BE$4:BE136,"LIVE"),"")</f>
        <v/>
      </c>
      <c r="BK136" s="7" t="str">
        <f aca="false">IF(AND(AK136="Yes",BE136="LIVE"),COUNTIFS($AK$4:AK136,"Yes",$BE$4:BE136,"LIVE"),"")</f>
        <v/>
      </c>
      <c r="BL136" s="7" t="str">
        <f aca="false">IF(I136="To Verify",COUNTIF($I$4:I136,"To Verify"),"")</f>
        <v/>
      </c>
    </row>
    <row r="137" customFormat="false" ht="91" hidden="false" customHeight="false" outlineLevel="0" collapsed="false">
      <c r="A137" s="5" t="s">
        <v>1643</v>
      </c>
      <c r="B137" s="6" t="s">
        <v>1341</v>
      </c>
      <c r="C137" s="6" t="s">
        <v>1342</v>
      </c>
      <c r="D137" s="6" t="s">
        <v>1632</v>
      </c>
      <c r="E137" s="6" t="s">
        <v>1644</v>
      </c>
      <c r="F137" s="6" t="s">
        <v>1645</v>
      </c>
      <c r="G137" s="6" t="s">
        <v>1646</v>
      </c>
      <c r="H137" s="6" t="s">
        <v>1646</v>
      </c>
      <c r="I137" s="5" t="s">
        <v>12</v>
      </c>
      <c r="J137" s="7" t="str">
        <f aca="false">IFERROR(INDEX(AVAILABILITY_MASTER!$C$4:$C$10,MATCH(I137,AVAILABILITY_MASTER!$A$4:$A$10,0)),"To Be Confirmed")</f>
        <v>Please Confirm at Shop</v>
      </c>
      <c r="K137" s="6" t="s">
        <v>74</v>
      </c>
      <c r="L137" s="6" t="s">
        <v>75</v>
      </c>
      <c r="M137" s="7" t="str">
        <f aca="false">IFERROR(INDEX(SERVICE_DOCUMENTS!$S$4:$S$1000,MATCH(A137,SERVICE_DOCUMENTS!$A$4:$A$1000,0))&amp;"","")</f>
        <v>✓ Aadhaar Card
✓ Active Mobile Number
✓ Bank Passbook
✓ Nominee Details</v>
      </c>
      <c r="N137" s="7" t="str">
        <f aca="false">IFERROR(INDEX(SERVICE_DOCUMENTS!$T$4:$T$1000,MATCH(A137,SERVICE_DOCUMENTS!$A$4:$A$1000,0))&amp;"","")</f>
        <v/>
      </c>
      <c r="O137" s="6" t="s">
        <v>1346</v>
      </c>
      <c r="P137" s="6" t="s">
        <v>1647</v>
      </c>
      <c r="Q137" s="6" t="s">
        <v>78</v>
      </c>
      <c r="R137" s="8" t="s">
        <v>75</v>
      </c>
      <c r="S137" s="8" t="s">
        <v>75</v>
      </c>
      <c r="T137" s="9" t="str">
        <f aca="false">IF(AND(OR(ISNUMBER(R137),R137="N/A"),OR(ISNUMBER(S137),S137="N/A"),OR(ISNUMBER(R137),ISNUMBER(S137))),N(R137)+N(S137),"To Verify")</f>
        <v>To Verify</v>
      </c>
      <c r="U137" s="6" t="s">
        <v>75</v>
      </c>
      <c r="V137" s="6" t="s">
        <v>79</v>
      </c>
      <c r="W137" s="6" t="s">
        <v>80</v>
      </c>
      <c r="X137" s="6" t="s">
        <v>221</v>
      </c>
      <c r="Y137" s="6" t="s">
        <v>74</v>
      </c>
      <c r="Z137" s="6" t="s">
        <v>1373</v>
      </c>
      <c r="AA137" s="6" t="s">
        <v>74</v>
      </c>
      <c r="AB137" s="6" t="s">
        <v>74</v>
      </c>
      <c r="AC137" s="6" t="s">
        <v>75</v>
      </c>
      <c r="AD137" s="6" t="s">
        <v>75</v>
      </c>
      <c r="AE137" s="6" t="s">
        <v>75</v>
      </c>
      <c r="AF137" s="6" t="s">
        <v>75</v>
      </c>
      <c r="AG137" s="6" t="s">
        <v>75</v>
      </c>
      <c r="AH137" s="6" t="s">
        <v>79</v>
      </c>
      <c r="AI137" s="6" t="s">
        <v>79</v>
      </c>
      <c r="AJ137" s="6" t="s">
        <v>79</v>
      </c>
      <c r="AK137" s="6" t="s">
        <v>79</v>
      </c>
      <c r="AL137" s="6" t="s">
        <v>1341</v>
      </c>
      <c r="AM137" s="6" t="s">
        <v>1632</v>
      </c>
      <c r="AN137" s="7" t="str">
        <f aca="false">BA137&amp;", "&amp;AZ137</f>
        <v>NPS (National Pension System) Account Opening, Common Service Centre (CSC), Devmobile Stores, NPS खाता खोलना, कॉमन सर्विस सेंटर (CSC), सेवा</v>
      </c>
      <c r="AO137" s="6" t="s">
        <v>1648</v>
      </c>
      <c r="AP137" s="5" t="s">
        <v>1638</v>
      </c>
      <c r="AQ137" s="5" t="n">
        <v>290</v>
      </c>
      <c r="AR137" s="6" t="s">
        <v>1351</v>
      </c>
      <c r="AS137" s="6" t="s">
        <v>1352</v>
      </c>
      <c r="AT137" s="6" t="s">
        <v>86</v>
      </c>
      <c r="AU137" s="10"/>
      <c r="AV137" s="6" t="s">
        <v>75</v>
      </c>
      <c r="AW137" s="6"/>
      <c r="AX137" s="6" t="s">
        <v>1649</v>
      </c>
      <c r="AY137" s="6" t="s">
        <v>1650</v>
      </c>
      <c r="AZ137" s="6" t="s">
        <v>1651</v>
      </c>
      <c r="BA137" s="6" t="s">
        <v>1652</v>
      </c>
      <c r="BB137" s="6"/>
      <c r="BC137" s="11" t="str">
        <f aca="false">IFERROR(INDEX(CATEGORY_MASTER!$C$4:$C$30,MATCH(B137,CATEGORY_MASTER!$A$4:$A$30,0)),"")</f>
        <v>🖥️</v>
      </c>
      <c r="BD137" s="7" t="str">
        <f aca="false">"/services/"&amp;AO137</f>
        <v>/services/nps-national-pension-system-account-opening</v>
      </c>
      <c r="BE137" s="7" t="str">
        <f aca="false">IF(AND(AH137="Yes",AG137="Active",I137&lt;&gt;"Not Available"),"LIVE","HIDDEN")</f>
        <v>HIDDEN</v>
      </c>
      <c r="BF137" s="6" t="s">
        <v>139</v>
      </c>
      <c r="BG137" s="6" t="s">
        <v>93</v>
      </c>
      <c r="BH137" s="7" t="str">
        <f aca="false">B137&amp;"|"&amp;COUNTIF($B$4:B137,B137)</f>
        <v>Common Service Centre (CSC)|29</v>
      </c>
      <c r="BI137" s="7" t="str">
        <f aca="false">IF(AND(AI137="Yes",BE137="LIVE"),COUNTIFS($AI$4:AI137,"Yes",$BE$4:BE137,"LIVE"),"")</f>
        <v/>
      </c>
      <c r="BJ137" s="7" t="str">
        <f aca="false">IF(AND(AJ137="Yes",BE137="LIVE"),COUNTIFS($AJ$4:AJ137,"Yes",$BE$4:BE137,"LIVE"),"")</f>
        <v/>
      </c>
      <c r="BK137" s="7" t="str">
        <f aca="false">IF(AND(AK137="Yes",BE137="LIVE"),COUNTIFS($AK$4:AK137,"Yes",$BE$4:BE137,"LIVE"),"")</f>
        <v/>
      </c>
      <c r="BL137" s="7" t="str">
        <f aca="false">IF(I137="To Verify",COUNTIF($I$4:I137,"To Verify"),"")</f>
        <v/>
      </c>
    </row>
    <row r="138" customFormat="false" ht="91" hidden="false" customHeight="false" outlineLevel="0" collapsed="false">
      <c r="A138" s="5" t="s">
        <v>1653</v>
      </c>
      <c r="B138" s="6" t="s">
        <v>1341</v>
      </c>
      <c r="C138" s="6" t="s">
        <v>1342</v>
      </c>
      <c r="D138" s="6" t="s">
        <v>1632</v>
      </c>
      <c r="E138" s="6" t="s">
        <v>1654</v>
      </c>
      <c r="F138" s="6" t="s">
        <v>1655</v>
      </c>
      <c r="G138" s="6" t="s">
        <v>1656</v>
      </c>
      <c r="H138" s="6" t="s">
        <v>1656</v>
      </c>
      <c r="I138" s="5" t="s">
        <v>221</v>
      </c>
      <c r="J138" s="7" t="str">
        <f aca="false">IFERROR(INDEX(AVAILABILITY_MASTER!$C$4:$C$10,MATCH(I138,AVAILABILITY_MASTER!$A$4:$A$10,0)),"To Be Confirmed")</f>
        <v>Depends on Portal – Confirm at Shop</v>
      </c>
      <c r="K138" s="6" t="s">
        <v>129</v>
      </c>
      <c r="L138" s="6" t="s">
        <v>221</v>
      </c>
      <c r="M138" s="7" t="str">
        <f aca="false">IFERROR(INDEX(SERVICE_DOCUMENTS!$S$4:$S$1000,MATCH(A138,SERVICE_DOCUMENTS!$A$4:$A$1000,0))&amp;"","")</f>
        <v>✓ Aadhaar Card
✓ Active Mobile Number
✓ Bank Passbook
✓ Customer Presence for Biometrics</v>
      </c>
      <c r="N138" s="7" t="str">
        <f aca="false">IFERROR(INDEX(SERVICE_DOCUMENTS!$T$4:$T$1000,MATCH(A138,SERVICE_DOCUMENTS!$A$4:$A$1000,0))&amp;"","")</f>
        <v/>
      </c>
      <c r="O138" s="6" t="s">
        <v>1346</v>
      </c>
      <c r="P138" s="6" t="s">
        <v>1657</v>
      </c>
      <c r="Q138" s="6" t="s">
        <v>78</v>
      </c>
      <c r="R138" s="8" t="s">
        <v>75</v>
      </c>
      <c r="S138" s="8" t="s">
        <v>75</v>
      </c>
      <c r="T138" s="9" t="str">
        <f aca="false">IF(AND(OR(ISNUMBER(R138),R138="N/A"),OR(ISNUMBER(S138),S138="N/A"),OR(ISNUMBER(R138),ISNUMBER(S138))),N(R138)+N(S138),"To Verify")</f>
        <v>To Verify</v>
      </c>
      <c r="U138" s="6" t="s">
        <v>75</v>
      </c>
      <c r="V138" s="6" t="s">
        <v>79</v>
      </c>
      <c r="W138" s="6" t="s">
        <v>80</v>
      </c>
      <c r="X138" s="6" t="s">
        <v>221</v>
      </c>
      <c r="Y138" s="6" t="s">
        <v>74</v>
      </c>
      <c r="Z138" s="6" t="s">
        <v>1658</v>
      </c>
      <c r="AA138" s="6" t="s">
        <v>74</v>
      </c>
      <c r="AB138" s="6" t="s">
        <v>74</v>
      </c>
      <c r="AC138" s="6" t="s">
        <v>75</v>
      </c>
      <c r="AD138" s="6" t="s">
        <v>75</v>
      </c>
      <c r="AE138" s="6" t="s">
        <v>75</v>
      </c>
      <c r="AF138" s="6" t="s">
        <v>75</v>
      </c>
      <c r="AG138" s="6" t="s">
        <v>75</v>
      </c>
      <c r="AH138" s="6" t="s">
        <v>79</v>
      </c>
      <c r="AI138" s="6" t="s">
        <v>79</v>
      </c>
      <c r="AJ138" s="6" t="s">
        <v>79</v>
      </c>
      <c r="AK138" s="6" t="s">
        <v>79</v>
      </c>
      <c r="AL138" s="6" t="s">
        <v>1341</v>
      </c>
      <c r="AM138" s="6" t="s">
        <v>1632</v>
      </c>
      <c r="AN138" s="7" t="str">
        <f aca="false">BA138&amp;", "&amp;AZ138</f>
        <v>Digital Life Certificate (Jeevan Pramaan), Common Service Centre (CSC), Devmobile Stores, डिजिटल जीवन प्रमाण पत्र (जीवन प्रमाण), कॉमन सर्विस सेंटर (CSC), सेवा</v>
      </c>
      <c r="AO138" s="6" t="s">
        <v>1659</v>
      </c>
      <c r="AP138" s="5" t="s">
        <v>1638</v>
      </c>
      <c r="AQ138" s="5" t="n">
        <v>300</v>
      </c>
      <c r="AR138" s="6" t="s">
        <v>1351</v>
      </c>
      <c r="AS138" s="6" t="s">
        <v>1352</v>
      </c>
      <c r="AT138" s="6" t="s">
        <v>86</v>
      </c>
      <c r="AU138" s="10"/>
      <c r="AV138" s="6" t="s">
        <v>75</v>
      </c>
      <c r="AW138" s="6"/>
      <c r="AX138" s="6" t="s">
        <v>1660</v>
      </c>
      <c r="AY138" s="6" t="s">
        <v>1661</v>
      </c>
      <c r="AZ138" s="6" t="s">
        <v>1662</v>
      </c>
      <c r="BA138" s="6" t="s">
        <v>1663</v>
      </c>
      <c r="BB138" s="6"/>
      <c r="BC138" s="11" t="str">
        <f aca="false">IFERROR(INDEX(CATEGORY_MASTER!$C$4:$C$30,MATCH(B138,CATEGORY_MASTER!$A$4:$A$30,0)),"")</f>
        <v>🖥️</v>
      </c>
      <c r="BD138" s="7" t="str">
        <f aca="false">"/services/"&amp;AO138</f>
        <v>/services/digital-life-certificate-jeevan-pramaan</v>
      </c>
      <c r="BE138" s="7" t="str">
        <f aca="false">IF(AND(AH138="Yes",AG138="Active",I138&lt;&gt;"Not Available"),"LIVE","HIDDEN")</f>
        <v>HIDDEN</v>
      </c>
      <c r="BF138" s="6" t="s">
        <v>139</v>
      </c>
      <c r="BG138" s="6" t="s">
        <v>93</v>
      </c>
      <c r="BH138" s="7" t="str">
        <f aca="false">B138&amp;"|"&amp;COUNTIF($B$4:B138,B138)</f>
        <v>Common Service Centre (CSC)|30</v>
      </c>
      <c r="BI138" s="7" t="str">
        <f aca="false">IF(AND(AI138="Yes",BE138="LIVE"),COUNTIFS($AI$4:AI138,"Yes",$BE$4:BE138,"LIVE"),"")</f>
        <v/>
      </c>
      <c r="BJ138" s="7" t="str">
        <f aca="false">IF(AND(AJ138="Yes",BE138="LIVE"),COUNTIFS($AJ$4:AJ138,"Yes",$BE$4:BE138,"LIVE"),"")</f>
        <v/>
      </c>
      <c r="BK138" s="7" t="str">
        <f aca="false">IF(AND(AK138="Yes",BE138="LIVE"),COUNTIFS($AK$4:AK138,"Yes",$BE$4:BE138,"LIVE"),"")</f>
        <v/>
      </c>
      <c r="BL138" s="7" t="str">
        <f aca="false">IF(I138="To Verify",COUNTIF($I$4:I138,"To Verify"),"")</f>
        <v/>
      </c>
    </row>
    <row r="139" customFormat="false" ht="91" hidden="false" customHeight="false" outlineLevel="0" collapsed="false">
      <c r="A139" s="5" t="s">
        <v>1664</v>
      </c>
      <c r="B139" s="6" t="s">
        <v>1341</v>
      </c>
      <c r="C139" s="6" t="s">
        <v>1342</v>
      </c>
      <c r="D139" s="6" t="s">
        <v>1632</v>
      </c>
      <c r="E139" s="6" t="s">
        <v>1665</v>
      </c>
      <c r="F139" s="6" t="s">
        <v>1666</v>
      </c>
      <c r="G139" s="6" t="s">
        <v>1667</v>
      </c>
      <c r="H139" s="6" t="s">
        <v>1667</v>
      </c>
      <c r="I139" s="5" t="s">
        <v>221</v>
      </c>
      <c r="J139" s="7" t="str">
        <f aca="false">IFERROR(INDEX(AVAILABILITY_MASTER!$C$4:$C$10,MATCH(I139,AVAILABILITY_MASTER!$A$4:$A$10,0)),"To Be Confirmed")</f>
        <v>Depends on Portal – Confirm at Shop</v>
      </c>
      <c r="K139" s="6" t="s">
        <v>129</v>
      </c>
      <c r="L139" s="6" t="s">
        <v>221</v>
      </c>
      <c r="M139" s="7" t="str">
        <f aca="false">IFERROR(INDEX(SERVICE_DOCUMENTS!$S$4:$S$1000,MATCH(A139,SERVICE_DOCUMENTS!$A$4:$A$1000,0))&amp;"","")</f>
        <v>✓ Aadhaar Card
✓ Active Mobile Number
✓ Bank Passbook</v>
      </c>
      <c r="N139" s="7" t="str">
        <f aca="false">IFERROR(INDEX(SERVICE_DOCUMENTS!$T$4:$T$1000,MATCH(A139,SERVICE_DOCUMENTS!$A$4:$A$1000,0))&amp;"","")</f>
        <v>• PAN Card (If Applicable)</v>
      </c>
      <c r="O139" s="6" t="s">
        <v>1346</v>
      </c>
      <c r="P139" s="6" t="s">
        <v>1668</v>
      </c>
      <c r="Q139" s="6" t="s">
        <v>78</v>
      </c>
      <c r="R139" s="8" t="s">
        <v>75</v>
      </c>
      <c r="S139" s="8" t="s">
        <v>75</v>
      </c>
      <c r="T139" s="9" t="str">
        <f aca="false">IF(AND(OR(ISNUMBER(R139),R139="N/A"),OR(ISNUMBER(S139),S139="N/A"),OR(ISNUMBER(R139),ISNUMBER(S139))),N(R139)+N(S139),"To Verify")</f>
        <v>To Verify</v>
      </c>
      <c r="U139" s="6" t="s">
        <v>75</v>
      </c>
      <c r="V139" s="6" t="s">
        <v>79</v>
      </c>
      <c r="W139" s="6" t="s">
        <v>80</v>
      </c>
      <c r="X139" s="6" t="s">
        <v>221</v>
      </c>
      <c r="Y139" s="6" t="s">
        <v>74</v>
      </c>
      <c r="Z139" s="6" t="s">
        <v>1373</v>
      </c>
      <c r="AA139" s="6" t="s">
        <v>74</v>
      </c>
      <c r="AB139" s="6" t="s">
        <v>74</v>
      </c>
      <c r="AC139" s="6" t="s">
        <v>75</v>
      </c>
      <c r="AD139" s="6" t="s">
        <v>75</v>
      </c>
      <c r="AE139" s="6" t="s">
        <v>75</v>
      </c>
      <c r="AF139" s="6" t="s">
        <v>75</v>
      </c>
      <c r="AG139" s="6" t="s">
        <v>75</v>
      </c>
      <c r="AH139" s="6" t="s">
        <v>79</v>
      </c>
      <c r="AI139" s="6" t="s">
        <v>79</v>
      </c>
      <c r="AJ139" s="6" t="s">
        <v>79</v>
      </c>
      <c r="AK139" s="6" t="s">
        <v>79</v>
      </c>
      <c r="AL139" s="6" t="s">
        <v>1341</v>
      </c>
      <c r="AM139" s="6" t="s">
        <v>1632</v>
      </c>
      <c r="AN139" s="7" t="str">
        <f aca="false">BA139&amp;", "&amp;AZ139</f>
        <v>EPFO / UAN Service Assistance, Common Service Centre (CSC), Devmobile Stores, EPFO / UAN सेवा सहायता, कॉमन सर्विस सेंटर (CSC), सेवा</v>
      </c>
      <c r="AO139" s="6" t="s">
        <v>1669</v>
      </c>
      <c r="AP139" s="5" t="s">
        <v>1638</v>
      </c>
      <c r="AQ139" s="5" t="n">
        <v>310</v>
      </c>
      <c r="AR139" s="6" t="s">
        <v>1351</v>
      </c>
      <c r="AS139" s="6" t="s">
        <v>1352</v>
      </c>
      <c r="AT139" s="6" t="s">
        <v>86</v>
      </c>
      <c r="AU139" s="10"/>
      <c r="AV139" s="6" t="s">
        <v>75</v>
      </c>
      <c r="AW139" s="6"/>
      <c r="AX139" s="6" t="s">
        <v>1670</v>
      </c>
      <c r="AY139" s="6" t="s">
        <v>1671</v>
      </c>
      <c r="AZ139" s="6" t="s">
        <v>1672</v>
      </c>
      <c r="BA139" s="6" t="s">
        <v>1673</v>
      </c>
      <c r="BB139" s="6"/>
      <c r="BC139" s="11" t="str">
        <f aca="false">IFERROR(INDEX(CATEGORY_MASTER!$C$4:$C$30,MATCH(B139,CATEGORY_MASTER!$A$4:$A$30,0)),"")</f>
        <v>🖥️</v>
      </c>
      <c r="BD139" s="7" t="str">
        <f aca="false">"/services/"&amp;AO139</f>
        <v>/services/epfo-uan-service-assistance</v>
      </c>
      <c r="BE139" s="7" t="str">
        <f aca="false">IF(AND(AH139="Yes",AG139="Active",I139&lt;&gt;"Not Available"),"LIVE","HIDDEN")</f>
        <v>HIDDEN</v>
      </c>
      <c r="BF139" s="6" t="s">
        <v>139</v>
      </c>
      <c r="BG139" s="6" t="s">
        <v>93</v>
      </c>
      <c r="BH139" s="7" t="str">
        <f aca="false">B139&amp;"|"&amp;COUNTIF($B$4:B139,B139)</f>
        <v>Common Service Centre (CSC)|31</v>
      </c>
      <c r="BI139" s="7" t="str">
        <f aca="false">IF(AND(AI139="Yes",BE139="LIVE"),COUNTIFS($AI$4:AI139,"Yes",$BE$4:BE139,"LIVE"),"")</f>
        <v/>
      </c>
      <c r="BJ139" s="7" t="str">
        <f aca="false">IF(AND(AJ139="Yes",BE139="LIVE"),COUNTIFS($AJ$4:AJ139,"Yes",$BE$4:BE139,"LIVE"),"")</f>
        <v/>
      </c>
      <c r="BK139" s="7" t="str">
        <f aca="false">IF(AND(AK139="Yes",BE139="LIVE"),COUNTIFS($AK$4:AK139,"Yes",$BE$4:BE139,"LIVE"),"")</f>
        <v/>
      </c>
      <c r="BL139" s="7" t="str">
        <f aca="false">IF(I139="To Verify",COUNTIF($I$4:I139,"To Verify"),"")</f>
        <v/>
      </c>
    </row>
    <row r="140" customFormat="false" ht="91" hidden="false" customHeight="false" outlineLevel="0" collapsed="false">
      <c r="A140" s="5" t="s">
        <v>1674</v>
      </c>
      <c r="B140" s="6" t="s">
        <v>1341</v>
      </c>
      <c r="C140" s="6" t="s">
        <v>1342</v>
      </c>
      <c r="D140" s="6" t="s">
        <v>1632</v>
      </c>
      <c r="E140" s="6" t="s">
        <v>1675</v>
      </c>
      <c r="F140" s="6" t="s">
        <v>1676</v>
      </c>
      <c r="G140" s="6" t="s">
        <v>1677</v>
      </c>
      <c r="H140" s="6" t="s">
        <v>1677</v>
      </c>
      <c r="I140" s="5" t="s">
        <v>75</v>
      </c>
      <c r="J140" s="7" t="str">
        <f aca="false">IFERROR(INDEX(AVAILABILITY_MASTER!$C$4:$C$10,MATCH(I140,AVAILABILITY_MASTER!$A$4:$A$10,0)),"To Be Confirmed")</f>
        <v>To Be Confirmed</v>
      </c>
      <c r="K140" s="6" t="s">
        <v>129</v>
      </c>
      <c r="L140" s="6" t="s">
        <v>75</v>
      </c>
      <c r="M140" s="7" t="str">
        <f aca="false">IFERROR(INDEX(SERVICE_DOCUMENTS!$S$4:$S$1000,MATCH(A140,SERVICE_DOCUMENTS!$A$4:$A$1000,0))&amp;"","")</f>
        <v>✓ Aadhaar Card
✓ Active Mobile Number
✓ Bank Passbook</v>
      </c>
      <c r="N140" s="7" t="str">
        <f aca="false">IFERROR(INDEX(SERVICE_DOCUMENTS!$T$4:$T$1000,MATCH(A140,SERVICE_DOCUMENTS!$A$4:$A$1000,0))&amp;"","")</f>
        <v>• PAN Card (If Applicable)</v>
      </c>
      <c r="O140" s="6" t="s">
        <v>1346</v>
      </c>
      <c r="P140" s="6" t="s">
        <v>1678</v>
      </c>
      <c r="Q140" s="6" t="s">
        <v>78</v>
      </c>
      <c r="R140" s="8" t="s">
        <v>75</v>
      </c>
      <c r="S140" s="8" t="s">
        <v>75</v>
      </c>
      <c r="T140" s="9" t="str">
        <f aca="false">IF(AND(OR(ISNUMBER(R140),R140="N/A"),OR(ISNUMBER(S140),S140="N/A"),OR(ISNUMBER(R140),ISNUMBER(S140))),N(R140)+N(S140),"To Verify")</f>
        <v>To Verify</v>
      </c>
      <c r="U140" s="6" t="s">
        <v>75</v>
      </c>
      <c r="V140" s="6" t="s">
        <v>79</v>
      </c>
      <c r="W140" s="6" t="s">
        <v>80</v>
      </c>
      <c r="X140" s="6" t="s">
        <v>221</v>
      </c>
      <c r="Y140" s="6" t="s">
        <v>74</v>
      </c>
      <c r="Z140" s="6" t="s">
        <v>1373</v>
      </c>
      <c r="AA140" s="6" t="s">
        <v>74</v>
      </c>
      <c r="AB140" s="6" t="s">
        <v>74</v>
      </c>
      <c r="AC140" s="6" t="s">
        <v>75</v>
      </c>
      <c r="AD140" s="6" t="s">
        <v>75</v>
      </c>
      <c r="AE140" s="6" t="s">
        <v>75</v>
      </c>
      <c r="AF140" s="6" t="s">
        <v>75</v>
      </c>
      <c r="AG140" s="6" t="s">
        <v>75</v>
      </c>
      <c r="AH140" s="6" t="s">
        <v>79</v>
      </c>
      <c r="AI140" s="6" t="s">
        <v>79</v>
      </c>
      <c r="AJ140" s="6" t="s">
        <v>79</v>
      </c>
      <c r="AK140" s="6" t="s">
        <v>79</v>
      </c>
      <c r="AL140" s="6" t="s">
        <v>1341</v>
      </c>
      <c r="AM140" s="6" t="s">
        <v>1632</v>
      </c>
      <c r="AN140" s="7" t="str">
        <f aca="false">BA140&amp;", "&amp;AZ140</f>
        <v>Pension Application Assistance (Central / State), Common Service Centre (CSC), Devmobile Stores, पेंशन आवेदन सहायता (केंद्र / राज्य), कॉमन सर्विस सेंटर (CSC), सेवा</v>
      </c>
      <c r="AO140" s="6" t="s">
        <v>1679</v>
      </c>
      <c r="AP140" s="5" t="s">
        <v>1638</v>
      </c>
      <c r="AQ140" s="5" t="n">
        <v>320</v>
      </c>
      <c r="AR140" s="6" t="s">
        <v>1351</v>
      </c>
      <c r="AS140" s="6" t="s">
        <v>1352</v>
      </c>
      <c r="AT140" s="6" t="s">
        <v>86</v>
      </c>
      <c r="AU140" s="10"/>
      <c r="AV140" s="6" t="s">
        <v>75</v>
      </c>
      <c r="AW140" s="6"/>
      <c r="AX140" s="6" t="s">
        <v>1680</v>
      </c>
      <c r="AY140" s="6" t="s">
        <v>1681</v>
      </c>
      <c r="AZ140" s="6" t="s">
        <v>1682</v>
      </c>
      <c r="BA140" s="6" t="s">
        <v>1683</v>
      </c>
      <c r="BB140" s="6"/>
      <c r="BC140" s="11" t="str">
        <f aca="false">IFERROR(INDEX(CATEGORY_MASTER!$C$4:$C$30,MATCH(B140,CATEGORY_MASTER!$A$4:$A$30,0)),"")</f>
        <v>🖥️</v>
      </c>
      <c r="BD140" s="7" t="str">
        <f aca="false">"/services/"&amp;AO140</f>
        <v>/services/pension-application-assistance-central-state</v>
      </c>
      <c r="BE140" s="7" t="str">
        <f aca="false">IF(AND(AH140="Yes",AG140="Active",I140&lt;&gt;"Not Available"),"LIVE","HIDDEN")</f>
        <v>HIDDEN</v>
      </c>
      <c r="BF140" s="6" t="s">
        <v>139</v>
      </c>
      <c r="BG140" s="6" t="s">
        <v>93</v>
      </c>
      <c r="BH140" s="7" t="str">
        <f aca="false">B140&amp;"|"&amp;COUNTIF($B$4:B140,B140)</f>
        <v>Common Service Centre (CSC)|32</v>
      </c>
      <c r="BI140" s="7" t="str">
        <f aca="false">IF(AND(AI140="Yes",BE140="LIVE"),COUNTIFS($AI$4:AI140,"Yes",$BE$4:BE140,"LIVE"),"")</f>
        <v/>
      </c>
      <c r="BJ140" s="7" t="str">
        <f aca="false">IF(AND(AJ140="Yes",BE140="LIVE"),COUNTIFS($AJ$4:AJ140,"Yes",$BE$4:BE140,"LIVE"),"")</f>
        <v/>
      </c>
      <c r="BK140" s="7" t="str">
        <f aca="false">IF(AND(AK140="Yes",BE140="LIVE"),COUNTIFS($AK$4:AK140,"Yes",$BE$4:BE140,"LIVE"),"")</f>
        <v/>
      </c>
      <c r="BL140" s="7" t="n">
        <f aca="false">IF(I140="To Verify",COUNTIF($I$4:I140,"To Verify"),"")</f>
        <v>40</v>
      </c>
    </row>
    <row r="141" customFormat="false" ht="91" hidden="false" customHeight="false" outlineLevel="0" collapsed="false">
      <c r="A141" s="5" t="s">
        <v>1684</v>
      </c>
      <c r="B141" s="6" t="s">
        <v>1341</v>
      </c>
      <c r="C141" s="6" t="s">
        <v>1342</v>
      </c>
      <c r="D141" s="6" t="s">
        <v>1685</v>
      </c>
      <c r="E141" s="6" t="s">
        <v>1686</v>
      </c>
      <c r="F141" s="6" t="s">
        <v>1687</v>
      </c>
      <c r="G141" s="6" t="s">
        <v>1688</v>
      </c>
      <c r="H141" s="6" t="s">
        <v>1688</v>
      </c>
      <c r="I141" s="5" t="s">
        <v>12</v>
      </c>
      <c r="J141" s="7" t="str">
        <f aca="false">IFERROR(INDEX(AVAILABILITY_MASTER!$C$4:$C$10,MATCH(I141,AVAILABILITY_MASTER!$A$4:$A$10,0)),"To Be Confirmed")</f>
        <v>Please Confirm at Shop</v>
      </c>
      <c r="K141" s="6" t="s">
        <v>74</v>
      </c>
      <c r="L141" s="6" t="s">
        <v>75</v>
      </c>
      <c r="M141" s="7" t="str">
        <f aca="false">IFERROR(INDEX(SERVICE_DOCUMENTS!$S$4:$S$1000,MATCH(A141,SERVICE_DOCUMENTS!$A$4:$A$1000,0))&amp;"","")</f>
        <v>✓ Aadhaar Card
✓ Active Mobile Number</v>
      </c>
      <c r="N141" s="7" t="str">
        <f aca="false">IFERROR(INDEX(SERVICE_DOCUMENTS!$T$4:$T$1000,MATCH(A141,SERVICE_DOCUMENTS!$A$4:$A$1000,0))&amp;"","")</f>
        <v/>
      </c>
      <c r="O141" s="6" t="s">
        <v>1346</v>
      </c>
      <c r="P141" s="6" t="s">
        <v>1689</v>
      </c>
      <c r="Q141" s="6" t="s">
        <v>78</v>
      </c>
      <c r="R141" s="8" t="s">
        <v>75</v>
      </c>
      <c r="S141" s="8" t="s">
        <v>75</v>
      </c>
      <c r="T141" s="9" t="str">
        <f aca="false">IF(AND(OR(ISNUMBER(R141),R141="N/A"),OR(ISNUMBER(S141),S141="N/A"),OR(ISNUMBER(R141),ISNUMBER(S141))),N(R141)+N(S141),"To Verify")</f>
        <v>To Verify</v>
      </c>
      <c r="U141" s="6" t="s">
        <v>75</v>
      </c>
      <c r="V141" s="6" t="s">
        <v>79</v>
      </c>
      <c r="W141" s="6" t="s">
        <v>80</v>
      </c>
      <c r="X141" s="6" t="s">
        <v>221</v>
      </c>
      <c r="Y141" s="6" t="s">
        <v>74</v>
      </c>
      <c r="Z141" s="6" t="s">
        <v>1373</v>
      </c>
      <c r="AA141" s="6" t="s">
        <v>74</v>
      </c>
      <c r="AB141" s="6" t="s">
        <v>74</v>
      </c>
      <c r="AC141" s="6" t="s">
        <v>75</v>
      </c>
      <c r="AD141" s="6" t="s">
        <v>75</v>
      </c>
      <c r="AE141" s="6" t="s">
        <v>75</v>
      </c>
      <c r="AF141" s="6" t="s">
        <v>75</v>
      </c>
      <c r="AG141" s="6" t="s">
        <v>75</v>
      </c>
      <c r="AH141" s="6" t="s">
        <v>79</v>
      </c>
      <c r="AI141" s="6" t="s">
        <v>79</v>
      </c>
      <c r="AJ141" s="6" t="s">
        <v>79</v>
      </c>
      <c r="AK141" s="6" t="s">
        <v>79</v>
      </c>
      <c r="AL141" s="6" t="s">
        <v>1341</v>
      </c>
      <c r="AM141" s="6" t="s">
        <v>1685</v>
      </c>
      <c r="AN141" s="7" t="str">
        <f aca="false">BA141&amp;", "&amp;AZ141</f>
        <v>Digital Literacy (PMGDISHA) Registration, Common Service Centre (CSC), Devmobile Stores, डिजिटल साक्षरता (PMGDISHA) पंजीकरण, कॉमन सर्विस सेंटर (CSC), सेवा</v>
      </c>
      <c r="AO141" s="6" t="s">
        <v>1690</v>
      </c>
      <c r="AP141" s="5" t="s">
        <v>1691</v>
      </c>
      <c r="AQ141" s="5" t="n">
        <v>330</v>
      </c>
      <c r="AR141" s="6" t="s">
        <v>1351</v>
      </c>
      <c r="AS141" s="6" t="s">
        <v>1352</v>
      </c>
      <c r="AT141" s="6" t="s">
        <v>86</v>
      </c>
      <c r="AU141" s="10"/>
      <c r="AV141" s="6" t="s">
        <v>75</v>
      </c>
      <c r="AW141" s="6"/>
      <c r="AX141" s="6" t="s">
        <v>1692</v>
      </c>
      <c r="AY141" s="6" t="s">
        <v>1693</v>
      </c>
      <c r="AZ141" s="6" t="s">
        <v>1694</v>
      </c>
      <c r="BA141" s="6" t="s">
        <v>1695</v>
      </c>
      <c r="BB141" s="6"/>
      <c r="BC141" s="11" t="str">
        <f aca="false">IFERROR(INDEX(CATEGORY_MASTER!$C$4:$C$30,MATCH(B141,CATEGORY_MASTER!$A$4:$A$30,0)),"")</f>
        <v>🖥️</v>
      </c>
      <c r="BD141" s="7" t="str">
        <f aca="false">"/services/"&amp;AO141</f>
        <v>/services/digital-literacy-pmgdisha-registration</v>
      </c>
      <c r="BE141" s="7" t="str">
        <f aca="false">IF(AND(AH141="Yes",AG141="Active",I141&lt;&gt;"Not Available"),"LIVE","HIDDEN")</f>
        <v>HIDDEN</v>
      </c>
      <c r="BF141" s="6" t="s">
        <v>139</v>
      </c>
      <c r="BG141" s="6" t="s">
        <v>93</v>
      </c>
      <c r="BH141" s="7" t="str">
        <f aca="false">B141&amp;"|"&amp;COUNTIF($B$4:B141,B141)</f>
        <v>Common Service Centre (CSC)|33</v>
      </c>
      <c r="BI141" s="7" t="str">
        <f aca="false">IF(AND(AI141="Yes",BE141="LIVE"),COUNTIFS($AI$4:AI141,"Yes",$BE$4:BE141,"LIVE"),"")</f>
        <v/>
      </c>
      <c r="BJ141" s="7" t="str">
        <f aca="false">IF(AND(AJ141="Yes",BE141="LIVE"),COUNTIFS($AJ$4:AJ141,"Yes",$BE$4:BE141,"LIVE"),"")</f>
        <v/>
      </c>
      <c r="BK141" s="7" t="str">
        <f aca="false">IF(AND(AK141="Yes",BE141="LIVE"),COUNTIFS($AK$4:AK141,"Yes",$BE$4:BE141,"LIVE"),"")</f>
        <v/>
      </c>
      <c r="BL141" s="7" t="str">
        <f aca="false">IF(I141="To Verify",COUNTIF($I$4:I141,"To Verify"),"")</f>
        <v/>
      </c>
    </row>
    <row r="142" customFormat="false" ht="91" hidden="false" customHeight="false" outlineLevel="0" collapsed="false">
      <c r="A142" s="5" t="s">
        <v>1696</v>
      </c>
      <c r="B142" s="6" t="s">
        <v>1341</v>
      </c>
      <c r="C142" s="6" t="s">
        <v>1342</v>
      </c>
      <c r="D142" s="6" t="s">
        <v>1685</v>
      </c>
      <c r="E142" s="6" t="s">
        <v>1697</v>
      </c>
      <c r="F142" s="6" t="s">
        <v>1698</v>
      </c>
      <c r="G142" s="6" t="s">
        <v>1699</v>
      </c>
      <c r="H142" s="6" t="s">
        <v>1699</v>
      </c>
      <c r="I142" s="5" t="s">
        <v>75</v>
      </c>
      <c r="J142" s="7" t="str">
        <f aca="false">IFERROR(INDEX(AVAILABILITY_MASTER!$C$4:$C$10,MATCH(I142,AVAILABILITY_MASTER!$A$4:$A$10,0)),"To Be Confirmed")</f>
        <v>To Be Confirmed</v>
      </c>
      <c r="K142" s="6" t="s">
        <v>129</v>
      </c>
      <c r="L142" s="6" t="s">
        <v>75</v>
      </c>
      <c r="M142" s="7" t="str">
        <f aca="false">IFERROR(INDEX(SERVICE_DOCUMENTS!$S$4:$S$1000,MATCH(A142,SERVICE_DOCUMENTS!$A$4:$A$1000,0))&amp;"","")</f>
        <v>✓ Aadhaar Card
✓ Active Mobile Number</v>
      </c>
      <c r="N142" s="7" t="str">
        <f aca="false">IFERROR(INDEX(SERVICE_DOCUMENTS!$T$4:$T$1000,MATCH(A142,SERVICE_DOCUMENTS!$A$4:$A$1000,0))&amp;"","")</f>
        <v/>
      </c>
      <c r="O142" s="6" t="s">
        <v>1346</v>
      </c>
      <c r="P142" s="6" t="s">
        <v>1700</v>
      </c>
      <c r="Q142" s="6" t="s">
        <v>78</v>
      </c>
      <c r="R142" s="8" t="s">
        <v>75</v>
      </c>
      <c r="S142" s="8" t="s">
        <v>75</v>
      </c>
      <c r="T142" s="9" t="str">
        <f aca="false">IF(AND(OR(ISNUMBER(R142),R142="N/A"),OR(ISNUMBER(S142),S142="N/A"),OR(ISNUMBER(R142),ISNUMBER(S142))),N(R142)+N(S142),"To Verify")</f>
        <v>To Verify</v>
      </c>
      <c r="U142" s="6" t="s">
        <v>75</v>
      </c>
      <c r="V142" s="6" t="s">
        <v>79</v>
      </c>
      <c r="W142" s="6" t="s">
        <v>80</v>
      </c>
      <c r="X142" s="6" t="s">
        <v>221</v>
      </c>
      <c r="Y142" s="6" t="s">
        <v>74</v>
      </c>
      <c r="Z142" s="6" t="s">
        <v>1373</v>
      </c>
      <c r="AA142" s="6" t="s">
        <v>74</v>
      </c>
      <c r="AB142" s="6" t="s">
        <v>74</v>
      </c>
      <c r="AC142" s="6" t="s">
        <v>75</v>
      </c>
      <c r="AD142" s="6" t="s">
        <v>75</v>
      </c>
      <c r="AE142" s="6" t="s">
        <v>75</v>
      </c>
      <c r="AF142" s="6" t="s">
        <v>75</v>
      </c>
      <c r="AG142" s="6" t="s">
        <v>75</v>
      </c>
      <c r="AH142" s="6" t="s">
        <v>79</v>
      </c>
      <c r="AI142" s="6" t="s">
        <v>79</v>
      </c>
      <c r="AJ142" s="6" t="s">
        <v>79</v>
      </c>
      <c r="AK142" s="6" t="s">
        <v>79</v>
      </c>
      <c r="AL142" s="6" t="s">
        <v>1341</v>
      </c>
      <c r="AM142" s="6" t="s">
        <v>1685</v>
      </c>
      <c r="AN142" s="7" t="str">
        <f aca="false">BA142&amp;", "&amp;AZ142</f>
        <v>Skill Development Course Enrolment, Common Service Centre (CSC), Devmobile Stores, कौशल विकास कोर्स नामांकन, कॉमन सर्विस सेंटर (CSC), सेवा</v>
      </c>
      <c r="AO142" s="6" t="s">
        <v>1701</v>
      </c>
      <c r="AP142" s="5" t="s">
        <v>1691</v>
      </c>
      <c r="AQ142" s="5" t="n">
        <v>340</v>
      </c>
      <c r="AR142" s="6" t="s">
        <v>1351</v>
      </c>
      <c r="AS142" s="6" t="s">
        <v>1352</v>
      </c>
      <c r="AT142" s="6" t="s">
        <v>86</v>
      </c>
      <c r="AU142" s="10"/>
      <c r="AV142" s="6" t="s">
        <v>75</v>
      </c>
      <c r="AW142" s="6"/>
      <c r="AX142" s="6" t="s">
        <v>1702</v>
      </c>
      <c r="AY142" s="6" t="s">
        <v>1703</v>
      </c>
      <c r="AZ142" s="6" t="s">
        <v>1704</v>
      </c>
      <c r="BA142" s="6" t="s">
        <v>1705</v>
      </c>
      <c r="BB142" s="6"/>
      <c r="BC142" s="11" t="str">
        <f aca="false">IFERROR(INDEX(CATEGORY_MASTER!$C$4:$C$30,MATCH(B142,CATEGORY_MASTER!$A$4:$A$30,0)),"")</f>
        <v>🖥️</v>
      </c>
      <c r="BD142" s="7" t="str">
        <f aca="false">"/services/"&amp;AO142</f>
        <v>/services/skill-development-course-enrolment</v>
      </c>
      <c r="BE142" s="7" t="str">
        <f aca="false">IF(AND(AH142="Yes",AG142="Active",I142&lt;&gt;"Not Available"),"LIVE","HIDDEN")</f>
        <v>HIDDEN</v>
      </c>
      <c r="BF142" s="6" t="s">
        <v>139</v>
      </c>
      <c r="BG142" s="6" t="s">
        <v>93</v>
      </c>
      <c r="BH142" s="7" t="str">
        <f aca="false">B142&amp;"|"&amp;COUNTIF($B$4:B142,B142)</f>
        <v>Common Service Centre (CSC)|34</v>
      </c>
      <c r="BI142" s="7" t="str">
        <f aca="false">IF(AND(AI142="Yes",BE142="LIVE"),COUNTIFS($AI$4:AI142,"Yes",$BE$4:BE142,"LIVE"),"")</f>
        <v/>
      </c>
      <c r="BJ142" s="7" t="str">
        <f aca="false">IF(AND(AJ142="Yes",BE142="LIVE"),COUNTIFS($AJ$4:AJ142,"Yes",$BE$4:BE142,"LIVE"),"")</f>
        <v/>
      </c>
      <c r="BK142" s="7" t="str">
        <f aca="false">IF(AND(AK142="Yes",BE142="LIVE"),COUNTIFS($AK$4:AK142,"Yes",$BE$4:BE142,"LIVE"),"")</f>
        <v/>
      </c>
      <c r="BL142" s="7" t="n">
        <f aca="false">IF(I142="To Verify",COUNTIF($I$4:I142,"To Verify"),"")</f>
        <v>41</v>
      </c>
    </row>
    <row r="143" customFormat="false" ht="91" hidden="false" customHeight="false" outlineLevel="0" collapsed="false">
      <c r="A143" s="5" t="s">
        <v>1706</v>
      </c>
      <c r="B143" s="6" t="s">
        <v>1341</v>
      </c>
      <c r="C143" s="6" t="s">
        <v>1342</v>
      </c>
      <c r="D143" s="6" t="s">
        <v>1685</v>
      </c>
      <c r="E143" s="6" t="s">
        <v>1707</v>
      </c>
      <c r="F143" s="6" t="s">
        <v>1708</v>
      </c>
      <c r="G143" s="6" t="s">
        <v>1709</v>
      </c>
      <c r="H143" s="6" t="s">
        <v>1709</v>
      </c>
      <c r="I143" s="5" t="s">
        <v>75</v>
      </c>
      <c r="J143" s="7" t="str">
        <f aca="false">IFERROR(INDEX(AVAILABILITY_MASTER!$C$4:$C$10,MATCH(I143,AVAILABILITY_MASTER!$A$4:$A$10,0)),"To Be Confirmed")</f>
        <v>To Be Confirmed</v>
      </c>
      <c r="K143" s="6" t="s">
        <v>129</v>
      </c>
      <c r="L143" s="6" t="s">
        <v>75</v>
      </c>
      <c r="M143" s="7" t="str">
        <f aca="false">IFERROR(INDEX(SERVICE_DOCUMENTS!$S$4:$S$1000,MATCH(A143,SERVICE_DOCUMENTS!$A$4:$A$1000,0))&amp;"","")</f>
        <v>✓ Aadhaar Card
✓ Active Mobile Number</v>
      </c>
      <c r="N143" s="7" t="str">
        <f aca="false">IFERROR(INDEX(SERVICE_DOCUMENTS!$T$4:$T$1000,MATCH(A143,SERVICE_DOCUMENTS!$A$4:$A$1000,0))&amp;"","")</f>
        <v/>
      </c>
      <c r="O143" s="6" t="s">
        <v>1346</v>
      </c>
      <c r="P143" s="6" t="s">
        <v>1710</v>
      </c>
      <c r="Q143" s="6" t="s">
        <v>78</v>
      </c>
      <c r="R143" s="8" t="s">
        <v>75</v>
      </c>
      <c r="S143" s="8" t="s">
        <v>75</v>
      </c>
      <c r="T143" s="9" t="str">
        <f aca="false">IF(AND(OR(ISNUMBER(R143),R143="N/A"),OR(ISNUMBER(S143),S143="N/A"),OR(ISNUMBER(R143),ISNUMBER(S143))),N(R143)+N(S143),"To Verify")</f>
        <v>To Verify</v>
      </c>
      <c r="U143" s="6" t="s">
        <v>75</v>
      </c>
      <c r="V143" s="6" t="s">
        <v>79</v>
      </c>
      <c r="W143" s="6" t="s">
        <v>80</v>
      </c>
      <c r="X143" s="6" t="s">
        <v>221</v>
      </c>
      <c r="Y143" s="6" t="s">
        <v>74</v>
      </c>
      <c r="Z143" s="6" t="s">
        <v>1373</v>
      </c>
      <c r="AA143" s="6" t="s">
        <v>74</v>
      </c>
      <c r="AB143" s="6" t="s">
        <v>74</v>
      </c>
      <c r="AC143" s="6" t="s">
        <v>75</v>
      </c>
      <c r="AD143" s="6" t="s">
        <v>75</v>
      </c>
      <c r="AE143" s="6" t="s">
        <v>75</v>
      </c>
      <c r="AF143" s="6" t="s">
        <v>75</v>
      </c>
      <c r="AG143" s="6" t="s">
        <v>75</v>
      </c>
      <c r="AH143" s="6" t="s">
        <v>79</v>
      </c>
      <c r="AI143" s="6" t="s">
        <v>79</v>
      </c>
      <c r="AJ143" s="6" t="s">
        <v>79</v>
      </c>
      <c r="AK143" s="6" t="s">
        <v>79</v>
      </c>
      <c r="AL143" s="6" t="s">
        <v>1341</v>
      </c>
      <c r="AM143" s="6" t="s">
        <v>1685</v>
      </c>
      <c r="AN143" s="7" t="str">
        <f aca="false">BA143&amp;", "&amp;AZ143</f>
        <v>e-Learning / Tele-Education Course Enrolment, Common Service Centre (CSC), Devmobile Stores, ई-लर्निंग / टेली-एजुकेशन कोर्स नामांकन, कॉमन सर्विस सेंटर (CSC), सेवा</v>
      </c>
      <c r="AO143" s="6" t="s">
        <v>1711</v>
      </c>
      <c r="AP143" s="5" t="s">
        <v>1691</v>
      </c>
      <c r="AQ143" s="5" t="n">
        <v>350</v>
      </c>
      <c r="AR143" s="6" t="s">
        <v>1351</v>
      </c>
      <c r="AS143" s="6" t="s">
        <v>1352</v>
      </c>
      <c r="AT143" s="6" t="s">
        <v>86</v>
      </c>
      <c r="AU143" s="10"/>
      <c r="AV143" s="6" t="s">
        <v>75</v>
      </c>
      <c r="AW143" s="6"/>
      <c r="AX143" s="6" t="s">
        <v>1712</v>
      </c>
      <c r="AY143" s="6" t="s">
        <v>1713</v>
      </c>
      <c r="AZ143" s="6" t="s">
        <v>1714</v>
      </c>
      <c r="BA143" s="6" t="s">
        <v>1715</v>
      </c>
      <c r="BB143" s="6"/>
      <c r="BC143" s="11" t="str">
        <f aca="false">IFERROR(INDEX(CATEGORY_MASTER!$C$4:$C$30,MATCH(B143,CATEGORY_MASTER!$A$4:$A$30,0)),"")</f>
        <v>🖥️</v>
      </c>
      <c r="BD143" s="7" t="str">
        <f aca="false">"/services/"&amp;AO143</f>
        <v>/services/e-learning-tele-education-course-enrolment</v>
      </c>
      <c r="BE143" s="7" t="str">
        <f aca="false">IF(AND(AH143="Yes",AG143="Active",I143&lt;&gt;"Not Available"),"LIVE","HIDDEN")</f>
        <v>HIDDEN</v>
      </c>
      <c r="BF143" s="6" t="s">
        <v>139</v>
      </c>
      <c r="BG143" s="6" t="s">
        <v>93</v>
      </c>
      <c r="BH143" s="7" t="str">
        <f aca="false">B143&amp;"|"&amp;COUNTIF($B$4:B143,B143)</f>
        <v>Common Service Centre (CSC)|35</v>
      </c>
      <c r="BI143" s="7" t="str">
        <f aca="false">IF(AND(AI143="Yes",BE143="LIVE"),COUNTIFS($AI$4:AI143,"Yes",$BE$4:BE143,"LIVE"),"")</f>
        <v/>
      </c>
      <c r="BJ143" s="7" t="str">
        <f aca="false">IF(AND(AJ143="Yes",BE143="LIVE"),COUNTIFS($AJ$4:AJ143,"Yes",$BE$4:BE143,"LIVE"),"")</f>
        <v/>
      </c>
      <c r="BK143" s="7" t="str">
        <f aca="false">IF(AND(AK143="Yes",BE143="LIVE"),COUNTIFS($AK$4:AK143,"Yes",$BE$4:BE143,"LIVE"),"")</f>
        <v/>
      </c>
      <c r="BL143" s="7" t="n">
        <f aca="false">IF(I143="To Verify",COUNTIF($I$4:I143,"To Verify"),"")</f>
        <v>42</v>
      </c>
    </row>
    <row r="144" customFormat="false" ht="91" hidden="false" customHeight="false" outlineLevel="0" collapsed="false">
      <c r="A144" s="5" t="s">
        <v>1716</v>
      </c>
      <c r="B144" s="6" t="s">
        <v>1341</v>
      </c>
      <c r="C144" s="6" t="s">
        <v>1342</v>
      </c>
      <c r="D144" s="6" t="s">
        <v>1685</v>
      </c>
      <c r="E144" s="6" t="s">
        <v>1717</v>
      </c>
      <c r="F144" s="6" t="s">
        <v>1718</v>
      </c>
      <c r="G144" s="6" t="s">
        <v>1719</v>
      </c>
      <c r="H144" s="6" t="s">
        <v>1719</v>
      </c>
      <c r="I144" s="5" t="s">
        <v>75</v>
      </c>
      <c r="J144" s="7" t="str">
        <f aca="false">IFERROR(INDEX(AVAILABILITY_MASTER!$C$4:$C$10,MATCH(I144,AVAILABILITY_MASTER!$A$4:$A$10,0)),"To Be Confirmed")</f>
        <v>To Be Confirmed</v>
      </c>
      <c r="K144" s="6" t="s">
        <v>129</v>
      </c>
      <c r="L144" s="6" t="s">
        <v>75</v>
      </c>
      <c r="M144" s="7" t="str">
        <f aca="false">IFERROR(INDEX(SERVICE_DOCUMENTS!$S$4:$S$1000,MATCH(A144,SERVICE_DOCUMENTS!$A$4:$A$1000,0))&amp;"","")</f>
        <v>✓ Aadhaar Card
✓ Active Mobile Number</v>
      </c>
      <c r="N144" s="7" t="str">
        <f aca="false">IFERROR(INDEX(SERVICE_DOCUMENTS!$T$4:$T$1000,MATCH(A144,SERVICE_DOCUMENTS!$A$4:$A$1000,0))&amp;"","")</f>
        <v/>
      </c>
      <c r="O144" s="6" t="s">
        <v>1346</v>
      </c>
      <c r="P144" s="6" t="s">
        <v>1720</v>
      </c>
      <c r="Q144" s="6" t="s">
        <v>78</v>
      </c>
      <c r="R144" s="8" t="s">
        <v>75</v>
      </c>
      <c r="S144" s="8" t="s">
        <v>75</v>
      </c>
      <c r="T144" s="9" t="str">
        <f aca="false">IF(AND(OR(ISNUMBER(R144),R144="N/A"),OR(ISNUMBER(S144),S144="N/A"),OR(ISNUMBER(R144),ISNUMBER(S144))),N(R144)+N(S144),"To Verify")</f>
        <v>To Verify</v>
      </c>
      <c r="U144" s="6" t="s">
        <v>75</v>
      </c>
      <c r="V144" s="6" t="s">
        <v>79</v>
      </c>
      <c r="W144" s="6" t="s">
        <v>80</v>
      </c>
      <c r="X144" s="6" t="s">
        <v>221</v>
      </c>
      <c r="Y144" s="6" t="s">
        <v>74</v>
      </c>
      <c r="Z144" s="6" t="s">
        <v>1373</v>
      </c>
      <c r="AA144" s="6" t="s">
        <v>74</v>
      </c>
      <c r="AB144" s="6" t="s">
        <v>74</v>
      </c>
      <c r="AC144" s="6" t="s">
        <v>75</v>
      </c>
      <c r="AD144" s="6" t="s">
        <v>75</v>
      </c>
      <c r="AE144" s="6" t="s">
        <v>75</v>
      </c>
      <c r="AF144" s="6" t="s">
        <v>75</v>
      </c>
      <c r="AG144" s="6" t="s">
        <v>75</v>
      </c>
      <c r="AH144" s="6" t="s">
        <v>79</v>
      </c>
      <c r="AI144" s="6" t="s">
        <v>79</v>
      </c>
      <c r="AJ144" s="6" t="s">
        <v>79</v>
      </c>
      <c r="AK144" s="6" t="s">
        <v>79</v>
      </c>
      <c r="AL144" s="6" t="s">
        <v>1341</v>
      </c>
      <c r="AM144" s="6" t="s">
        <v>1685</v>
      </c>
      <c r="AN144" s="7" t="str">
        <f aca="false">BA144&amp;", "&amp;AZ144</f>
        <v>PMKVY Training Enrolment Assistance, Common Service Centre (CSC), Devmobile Stores, PMKVY प्रशिक्षण नामांकन सहायता, कॉमन सर्विस सेंटर (CSC), सेवा</v>
      </c>
      <c r="AO144" s="6" t="s">
        <v>1721</v>
      </c>
      <c r="AP144" s="5" t="s">
        <v>1691</v>
      </c>
      <c r="AQ144" s="5" t="n">
        <v>360</v>
      </c>
      <c r="AR144" s="6" t="s">
        <v>1351</v>
      </c>
      <c r="AS144" s="6" t="s">
        <v>1352</v>
      </c>
      <c r="AT144" s="6" t="s">
        <v>86</v>
      </c>
      <c r="AU144" s="10"/>
      <c r="AV144" s="6" t="s">
        <v>75</v>
      </c>
      <c r="AW144" s="6"/>
      <c r="AX144" s="6" t="s">
        <v>1722</v>
      </c>
      <c r="AY144" s="6" t="s">
        <v>1723</v>
      </c>
      <c r="AZ144" s="6" t="s">
        <v>1724</v>
      </c>
      <c r="BA144" s="6" t="s">
        <v>1725</v>
      </c>
      <c r="BB144" s="6"/>
      <c r="BC144" s="11" t="str">
        <f aca="false">IFERROR(INDEX(CATEGORY_MASTER!$C$4:$C$30,MATCH(B144,CATEGORY_MASTER!$A$4:$A$30,0)),"")</f>
        <v>🖥️</v>
      </c>
      <c r="BD144" s="7" t="str">
        <f aca="false">"/services/"&amp;AO144</f>
        <v>/services/pmkvy-training-enrolment-assistance</v>
      </c>
      <c r="BE144" s="7" t="str">
        <f aca="false">IF(AND(AH144="Yes",AG144="Active",I144&lt;&gt;"Not Available"),"LIVE","HIDDEN")</f>
        <v>HIDDEN</v>
      </c>
      <c r="BF144" s="6" t="s">
        <v>139</v>
      </c>
      <c r="BG144" s="6" t="s">
        <v>93</v>
      </c>
      <c r="BH144" s="7" t="str">
        <f aca="false">B144&amp;"|"&amp;COUNTIF($B$4:B144,B144)</f>
        <v>Common Service Centre (CSC)|36</v>
      </c>
      <c r="BI144" s="7" t="str">
        <f aca="false">IF(AND(AI144="Yes",BE144="LIVE"),COUNTIFS($AI$4:AI144,"Yes",$BE$4:BE144,"LIVE"),"")</f>
        <v/>
      </c>
      <c r="BJ144" s="7" t="str">
        <f aca="false">IF(AND(AJ144="Yes",BE144="LIVE"),COUNTIFS($AJ$4:AJ144,"Yes",$BE$4:BE144,"LIVE"),"")</f>
        <v/>
      </c>
      <c r="BK144" s="7" t="str">
        <f aca="false">IF(AND(AK144="Yes",BE144="LIVE"),COUNTIFS($AK$4:AK144,"Yes",$BE$4:BE144,"LIVE"),"")</f>
        <v/>
      </c>
      <c r="BL144" s="7" t="n">
        <f aca="false">IF(I144="To Verify",COUNTIF($I$4:I144,"To Verify"),"")</f>
        <v>43</v>
      </c>
    </row>
    <row r="145" customFormat="false" ht="91" hidden="false" customHeight="false" outlineLevel="0" collapsed="false">
      <c r="A145" s="5" t="s">
        <v>1726</v>
      </c>
      <c r="B145" s="6" t="s">
        <v>1341</v>
      </c>
      <c r="C145" s="6" t="s">
        <v>1342</v>
      </c>
      <c r="D145" s="6" t="s">
        <v>1727</v>
      </c>
      <c r="E145" s="6" t="s">
        <v>1728</v>
      </c>
      <c r="F145" s="6" t="s">
        <v>1729</v>
      </c>
      <c r="G145" s="6" t="s">
        <v>1730</v>
      </c>
      <c r="H145" s="6" t="s">
        <v>1730</v>
      </c>
      <c r="I145" s="5" t="s">
        <v>221</v>
      </c>
      <c r="J145" s="7" t="str">
        <f aca="false">IFERROR(INDEX(AVAILABILITY_MASTER!$C$4:$C$10,MATCH(I145,AVAILABILITY_MASTER!$A$4:$A$10,0)),"To Be Confirmed")</f>
        <v>Depends on Portal – Confirm at Shop</v>
      </c>
      <c r="K145" s="6" t="s">
        <v>129</v>
      </c>
      <c r="L145" s="6" t="s">
        <v>221</v>
      </c>
      <c r="M145" s="7" t="str">
        <f aca="false">IFERROR(INDEX(SERVICE_DOCUMENTS!$S$4:$S$1000,MATCH(A145,SERVICE_DOCUMENTS!$A$4:$A$1000,0))&amp;"","")</f>
        <v>✓ Vehicle / FASTag Details
✓ Active Mobile Number</v>
      </c>
      <c r="N145" s="7" t="str">
        <f aca="false">IFERROR(INDEX(SERVICE_DOCUMENTS!$T$4:$T$1000,MATCH(A145,SERVICE_DOCUMENTS!$A$4:$A$1000,0))&amp;"","")</f>
        <v/>
      </c>
      <c r="O145" s="6" t="s">
        <v>1346</v>
      </c>
      <c r="P145" s="6" t="s">
        <v>1731</v>
      </c>
      <c r="Q145" s="6" t="s">
        <v>78</v>
      </c>
      <c r="R145" s="8" t="s">
        <v>75</v>
      </c>
      <c r="S145" s="8" t="s">
        <v>75</v>
      </c>
      <c r="T145" s="9" t="str">
        <f aca="false">IF(AND(OR(ISNUMBER(R145),R145="N/A"),OR(ISNUMBER(S145),S145="N/A"),OR(ISNUMBER(R145),ISNUMBER(S145))),N(R145)+N(S145),"To Verify")</f>
        <v>To Verify</v>
      </c>
      <c r="U145" s="6" t="s">
        <v>75</v>
      </c>
      <c r="V145" s="6" t="s">
        <v>79</v>
      </c>
      <c r="W145" s="6" t="s">
        <v>80</v>
      </c>
      <c r="X145" s="6" t="s">
        <v>221</v>
      </c>
      <c r="Y145" s="6" t="s">
        <v>74</v>
      </c>
      <c r="Z145" s="6" t="s">
        <v>1732</v>
      </c>
      <c r="AA145" s="6" t="s">
        <v>74</v>
      </c>
      <c r="AB145" s="6" t="s">
        <v>74</v>
      </c>
      <c r="AC145" s="6" t="s">
        <v>75</v>
      </c>
      <c r="AD145" s="6" t="s">
        <v>75</v>
      </c>
      <c r="AE145" s="6" t="s">
        <v>75</v>
      </c>
      <c r="AF145" s="6" t="s">
        <v>75</v>
      </c>
      <c r="AG145" s="6" t="s">
        <v>75</v>
      </c>
      <c r="AH145" s="6" t="s">
        <v>79</v>
      </c>
      <c r="AI145" s="6" t="s">
        <v>79</v>
      </c>
      <c r="AJ145" s="6" t="s">
        <v>79</v>
      </c>
      <c r="AK145" s="6" t="s">
        <v>79</v>
      </c>
      <c r="AL145" s="6" t="s">
        <v>1341</v>
      </c>
      <c r="AM145" s="6" t="s">
        <v>1727</v>
      </c>
      <c r="AN145" s="7" t="str">
        <f aca="false">BA145&amp;", "&amp;AZ145</f>
        <v>e-Challan (Traffic) Payment, Common Service Centre (CSC), Devmobile Stores, e-चालान (ट्रैफिक) भुगतान, कॉमन सर्विस सेंटर (CSC), सेवा</v>
      </c>
      <c r="AO145" s="6" t="s">
        <v>1733</v>
      </c>
      <c r="AP145" s="5" t="s">
        <v>1350</v>
      </c>
      <c r="AQ145" s="5" t="n">
        <v>370</v>
      </c>
      <c r="AR145" s="6" t="s">
        <v>1351</v>
      </c>
      <c r="AS145" s="6" t="s">
        <v>1352</v>
      </c>
      <c r="AT145" s="6" t="s">
        <v>86</v>
      </c>
      <c r="AU145" s="10"/>
      <c r="AV145" s="6" t="s">
        <v>75</v>
      </c>
      <c r="AW145" s="6"/>
      <c r="AX145" s="6" t="s">
        <v>1734</v>
      </c>
      <c r="AY145" s="6" t="s">
        <v>1735</v>
      </c>
      <c r="AZ145" s="6" t="s">
        <v>1736</v>
      </c>
      <c r="BA145" s="6" t="s">
        <v>1737</v>
      </c>
      <c r="BB145" s="6"/>
      <c r="BC145" s="11" t="str">
        <f aca="false">IFERROR(INDEX(CATEGORY_MASTER!$C$4:$C$30,MATCH(B145,CATEGORY_MASTER!$A$4:$A$30,0)),"")</f>
        <v>🖥️</v>
      </c>
      <c r="BD145" s="7" t="str">
        <f aca="false">"/services/"&amp;AO145</f>
        <v>/services/e-challan-traffic-payment</v>
      </c>
      <c r="BE145" s="7" t="str">
        <f aca="false">IF(AND(AH145="Yes",AG145="Active",I145&lt;&gt;"Not Available"),"LIVE","HIDDEN")</f>
        <v>HIDDEN</v>
      </c>
      <c r="BF145" s="6" t="s">
        <v>139</v>
      </c>
      <c r="BG145" s="6" t="s">
        <v>93</v>
      </c>
      <c r="BH145" s="7" t="str">
        <f aca="false">B145&amp;"|"&amp;COUNTIF($B$4:B145,B145)</f>
        <v>Common Service Centre (CSC)|37</v>
      </c>
      <c r="BI145" s="7" t="str">
        <f aca="false">IF(AND(AI145="Yes",BE145="LIVE"),COUNTIFS($AI$4:AI145,"Yes",$BE$4:BE145,"LIVE"),"")</f>
        <v/>
      </c>
      <c r="BJ145" s="7" t="str">
        <f aca="false">IF(AND(AJ145="Yes",BE145="LIVE"),COUNTIFS($AJ$4:AJ145,"Yes",$BE$4:BE145,"LIVE"),"")</f>
        <v/>
      </c>
      <c r="BK145" s="7" t="str">
        <f aca="false">IF(AND(AK145="Yes",BE145="LIVE"),COUNTIFS($AK$4:AK145,"Yes",$BE$4:BE145,"LIVE"),"")</f>
        <v/>
      </c>
      <c r="BL145" s="7" t="str">
        <f aca="false">IF(I145="To Verify",COUNTIF($I$4:I145,"To Verify"),"")</f>
        <v/>
      </c>
    </row>
    <row r="146" customFormat="false" ht="91" hidden="false" customHeight="false" outlineLevel="0" collapsed="false">
      <c r="A146" s="5" t="s">
        <v>1738</v>
      </c>
      <c r="B146" s="6" t="s">
        <v>1341</v>
      </c>
      <c r="C146" s="6" t="s">
        <v>1342</v>
      </c>
      <c r="D146" s="6" t="s">
        <v>1727</v>
      </c>
      <c r="E146" s="6" t="s">
        <v>1739</v>
      </c>
      <c r="F146" s="6" t="s">
        <v>1740</v>
      </c>
      <c r="G146" s="6" t="s">
        <v>1741</v>
      </c>
      <c r="H146" s="6" t="s">
        <v>1741</v>
      </c>
      <c r="I146" s="5" t="s">
        <v>221</v>
      </c>
      <c r="J146" s="7" t="str">
        <f aca="false">IFERROR(INDEX(AVAILABILITY_MASTER!$C$4:$C$10,MATCH(I146,AVAILABILITY_MASTER!$A$4:$A$10,0)),"To Be Confirmed")</f>
        <v>Depends on Portal – Confirm at Shop</v>
      </c>
      <c r="K146" s="6" t="s">
        <v>129</v>
      </c>
      <c r="L146" s="6" t="s">
        <v>221</v>
      </c>
      <c r="M146" s="7" t="str">
        <f aca="false">IFERROR(INDEX(SERVICE_DOCUMENTS!$S$4:$S$1000,MATCH(A146,SERVICE_DOCUMENTS!$A$4:$A$1000,0))&amp;"","")</f>
        <v>✓ Vehicle / FASTag Details
✓ Active Mobile Number</v>
      </c>
      <c r="N146" s="7" t="str">
        <f aca="false">IFERROR(INDEX(SERVICE_DOCUMENTS!$T$4:$T$1000,MATCH(A146,SERVICE_DOCUMENTS!$A$4:$A$1000,0))&amp;"","")</f>
        <v/>
      </c>
      <c r="O146" s="6" t="s">
        <v>1346</v>
      </c>
      <c r="P146" s="6" t="s">
        <v>1742</v>
      </c>
      <c r="Q146" s="6" t="s">
        <v>78</v>
      </c>
      <c r="R146" s="8" t="s">
        <v>75</v>
      </c>
      <c r="S146" s="8" t="s">
        <v>75</v>
      </c>
      <c r="T146" s="9" t="str">
        <f aca="false">IF(AND(OR(ISNUMBER(R146),R146="N/A"),OR(ISNUMBER(S146),S146="N/A"),OR(ISNUMBER(R146),ISNUMBER(S146))),N(R146)+N(S146),"To Verify")</f>
        <v>To Verify</v>
      </c>
      <c r="U146" s="6" t="s">
        <v>75</v>
      </c>
      <c r="V146" s="6" t="s">
        <v>79</v>
      </c>
      <c r="W146" s="6" t="s">
        <v>80</v>
      </c>
      <c r="X146" s="6" t="s">
        <v>221</v>
      </c>
      <c r="Y146" s="6" t="s">
        <v>74</v>
      </c>
      <c r="Z146" s="6" t="s">
        <v>1732</v>
      </c>
      <c r="AA146" s="6" t="s">
        <v>74</v>
      </c>
      <c r="AB146" s="6" t="s">
        <v>74</v>
      </c>
      <c r="AC146" s="6" t="s">
        <v>75</v>
      </c>
      <c r="AD146" s="6" t="s">
        <v>75</v>
      </c>
      <c r="AE146" s="6" t="s">
        <v>75</v>
      </c>
      <c r="AF146" s="6" t="s">
        <v>75</v>
      </c>
      <c r="AG146" s="6" t="s">
        <v>75</v>
      </c>
      <c r="AH146" s="6" t="s">
        <v>79</v>
      </c>
      <c r="AI146" s="6" t="s">
        <v>79</v>
      </c>
      <c r="AJ146" s="6" t="s">
        <v>79</v>
      </c>
      <c r="AK146" s="6" t="s">
        <v>79</v>
      </c>
      <c r="AL146" s="6" t="s">
        <v>1341</v>
      </c>
      <c r="AM146" s="6" t="s">
        <v>1727</v>
      </c>
      <c r="AN146" s="7" t="str">
        <f aca="false">BA146&amp;", "&amp;AZ146</f>
        <v>Vehicle Services (Parivahan / VAHAN) Assistance, Common Service Centre (CSC), Devmobile Stores, वाहन सेवाएँ (परिवहन / VAHAN) सहायता, कॉमन सर्विस सेंटर (CSC), सेवा</v>
      </c>
      <c r="AO146" s="6" t="s">
        <v>1743</v>
      </c>
      <c r="AP146" s="5" t="s">
        <v>1350</v>
      </c>
      <c r="AQ146" s="5" t="n">
        <v>380</v>
      </c>
      <c r="AR146" s="6" t="s">
        <v>1351</v>
      </c>
      <c r="AS146" s="6" t="s">
        <v>1352</v>
      </c>
      <c r="AT146" s="6" t="s">
        <v>86</v>
      </c>
      <c r="AU146" s="10"/>
      <c r="AV146" s="6" t="s">
        <v>75</v>
      </c>
      <c r="AW146" s="6"/>
      <c r="AX146" s="6" t="s">
        <v>1744</v>
      </c>
      <c r="AY146" s="6" t="s">
        <v>1745</v>
      </c>
      <c r="AZ146" s="6" t="s">
        <v>1746</v>
      </c>
      <c r="BA146" s="6" t="s">
        <v>1747</v>
      </c>
      <c r="BB146" s="6"/>
      <c r="BC146" s="11" t="str">
        <f aca="false">IFERROR(INDEX(CATEGORY_MASTER!$C$4:$C$30,MATCH(B146,CATEGORY_MASTER!$A$4:$A$30,0)),"")</f>
        <v>🖥️</v>
      </c>
      <c r="BD146" s="7" t="str">
        <f aca="false">"/services/"&amp;AO146</f>
        <v>/services/vehicle-services-parivahan-vahan-assistance</v>
      </c>
      <c r="BE146" s="7" t="str">
        <f aca="false">IF(AND(AH146="Yes",AG146="Active",I146&lt;&gt;"Not Available"),"LIVE","HIDDEN")</f>
        <v>HIDDEN</v>
      </c>
      <c r="BF146" s="6" t="s">
        <v>139</v>
      </c>
      <c r="BG146" s="6" t="s">
        <v>93</v>
      </c>
      <c r="BH146" s="7" t="str">
        <f aca="false">B146&amp;"|"&amp;COUNTIF($B$4:B146,B146)</f>
        <v>Common Service Centre (CSC)|38</v>
      </c>
      <c r="BI146" s="7" t="str">
        <f aca="false">IF(AND(AI146="Yes",BE146="LIVE"),COUNTIFS($AI$4:AI146,"Yes",$BE$4:BE146,"LIVE"),"")</f>
        <v/>
      </c>
      <c r="BJ146" s="7" t="str">
        <f aca="false">IF(AND(AJ146="Yes",BE146="LIVE"),COUNTIFS($AJ$4:AJ146,"Yes",$BE$4:BE146,"LIVE"),"")</f>
        <v/>
      </c>
      <c r="BK146" s="7" t="str">
        <f aca="false">IF(AND(AK146="Yes",BE146="LIVE"),COUNTIFS($AK$4:AK146,"Yes",$BE$4:BE146,"LIVE"),"")</f>
        <v/>
      </c>
      <c r="BL146" s="7" t="str">
        <f aca="false">IF(I146="To Verify",COUNTIF($I$4:I146,"To Verify"),"")</f>
        <v/>
      </c>
    </row>
    <row r="147" customFormat="false" ht="91" hidden="false" customHeight="false" outlineLevel="0" collapsed="false">
      <c r="A147" s="5" t="s">
        <v>1748</v>
      </c>
      <c r="B147" s="6" t="s">
        <v>1341</v>
      </c>
      <c r="C147" s="6" t="s">
        <v>1342</v>
      </c>
      <c r="D147" s="6" t="s">
        <v>1749</v>
      </c>
      <c r="E147" s="6" t="s">
        <v>1750</v>
      </c>
      <c r="F147" s="6" t="s">
        <v>1751</v>
      </c>
      <c r="G147" s="6" t="s">
        <v>1752</v>
      </c>
      <c r="H147" s="6" t="s">
        <v>1752</v>
      </c>
      <c r="I147" s="5" t="s">
        <v>12</v>
      </c>
      <c r="J147" s="7" t="str">
        <f aca="false">IFERROR(INDEX(AVAILABILITY_MASTER!$C$4:$C$10,MATCH(I147,AVAILABILITY_MASTER!$A$4:$A$10,0)),"To Be Confirmed")</f>
        <v>Please Confirm at Shop</v>
      </c>
      <c r="K147" s="6" t="s">
        <v>74</v>
      </c>
      <c r="L147" s="6" t="s">
        <v>75</v>
      </c>
      <c r="M147" s="7" t="str">
        <f aca="false">IFERROR(INDEX(SERVICE_DOCUMENTS!$S$4:$S$1000,MATCH(A147,SERVICE_DOCUMENTS!$A$4:$A$1000,0))&amp;"","")</f>
        <v>✓ Aadhaar Card
✓ Active Mobile Number
✓ PAN Card
✓ Passport Photo
✓ Email ID</v>
      </c>
      <c r="N147" s="7" t="str">
        <f aca="false">IFERROR(INDEX(SERVICE_DOCUMENTS!$T$4:$T$1000,MATCH(A147,SERVICE_DOCUMENTS!$A$4:$A$1000,0))&amp;"","")</f>
        <v/>
      </c>
      <c r="O147" s="6" t="s">
        <v>1346</v>
      </c>
      <c r="P147" s="6" t="s">
        <v>1753</v>
      </c>
      <c r="Q147" s="6" t="s">
        <v>78</v>
      </c>
      <c r="R147" s="8" t="s">
        <v>75</v>
      </c>
      <c r="S147" s="8" t="s">
        <v>75</v>
      </c>
      <c r="T147" s="9" t="str">
        <f aca="false">IF(AND(OR(ISNUMBER(R147),R147="N/A"),OR(ISNUMBER(S147),S147="N/A"),OR(ISNUMBER(R147),ISNUMBER(S147))),N(R147)+N(S147),"To Verify")</f>
        <v>To Verify</v>
      </c>
      <c r="U147" s="6" t="s">
        <v>75</v>
      </c>
      <c r="V147" s="6" t="s">
        <v>79</v>
      </c>
      <c r="W147" s="6" t="s">
        <v>80</v>
      </c>
      <c r="X147" s="6" t="s">
        <v>221</v>
      </c>
      <c r="Y147" s="6" t="s">
        <v>74</v>
      </c>
      <c r="Z147" s="6" t="s">
        <v>1373</v>
      </c>
      <c r="AA147" s="6" t="s">
        <v>74</v>
      </c>
      <c r="AB147" s="6" t="s">
        <v>74</v>
      </c>
      <c r="AC147" s="6" t="s">
        <v>75</v>
      </c>
      <c r="AD147" s="6" t="s">
        <v>75</v>
      </c>
      <c r="AE147" s="6" t="s">
        <v>75</v>
      </c>
      <c r="AF147" s="6" t="s">
        <v>75</v>
      </c>
      <c r="AG147" s="6" t="s">
        <v>75</v>
      </c>
      <c r="AH147" s="6" t="s">
        <v>79</v>
      </c>
      <c r="AI147" s="6" t="s">
        <v>79</v>
      </c>
      <c r="AJ147" s="6" t="s">
        <v>79</v>
      </c>
      <c r="AK147" s="6" t="s">
        <v>79</v>
      </c>
      <c r="AL147" s="6" t="s">
        <v>1341</v>
      </c>
      <c r="AM147" s="6" t="s">
        <v>1749</v>
      </c>
      <c r="AN147" s="7" t="str">
        <f aca="false">BA147&amp;", "&amp;AZ147</f>
        <v>Digital Signature Certificate (DSC) Issuance, Common Service Centre (CSC), Devmobile Stores, डिजिटल सिग्नेचर सर्टिफिकेट (DSC) निर्माण, कॉमन सर्विस सेंटर (CSC), सेवा</v>
      </c>
      <c r="AO147" s="6" t="s">
        <v>1754</v>
      </c>
      <c r="AP147" s="5" t="s">
        <v>1755</v>
      </c>
      <c r="AQ147" s="5" t="n">
        <v>390</v>
      </c>
      <c r="AR147" s="6" t="s">
        <v>1351</v>
      </c>
      <c r="AS147" s="6" t="s">
        <v>1352</v>
      </c>
      <c r="AT147" s="6" t="s">
        <v>86</v>
      </c>
      <c r="AU147" s="10"/>
      <c r="AV147" s="6" t="s">
        <v>75</v>
      </c>
      <c r="AW147" s="6"/>
      <c r="AX147" s="6" t="s">
        <v>1756</v>
      </c>
      <c r="AY147" s="6" t="s">
        <v>1757</v>
      </c>
      <c r="AZ147" s="6" t="s">
        <v>1758</v>
      </c>
      <c r="BA147" s="6" t="s">
        <v>1759</v>
      </c>
      <c r="BB147" s="6"/>
      <c r="BC147" s="11" t="str">
        <f aca="false">IFERROR(INDEX(CATEGORY_MASTER!$C$4:$C$30,MATCH(B147,CATEGORY_MASTER!$A$4:$A$30,0)),"")</f>
        <v>🖥️</v>
      </c>
      <c r="BD147" s="7" t="str">
        <f aca="false">"/services/"&amp;AO147</f>
        <v>/services/digital-signature-certificate-dsc-issuance</v>
      </c>
      <c r="BE147" s="7" t="str">
        <f aca="false">IF(AND(AH147="Yes",AG147="Active",I147&lt;&gt;"Not Available"),"LIVE","HIDDEN")</f>
        <v>HIDDEN</v>
      </c>
      <c r="BF147" s="6" t="s">
        <v>139</v>
      </c>
      <c r="BG147" s="6" t="s">
        <v>93</v>
      </c>
      <c r="BH147" s="7" t="str">
        <f aca="false">B147&amp;"|"&amp;COUNTIF($B$4:B147,B147)</f>
        <v>Common Service Centre (CSC)|39</v>
      </c>
      <c r="BI147" s="7" t="str">
        <f aca="false">IF(AND(AI147="Yes",BE147="LIVE"),COUNTIFS($AI$4:AI147,"Yes",$BE$4:BE147,"LIVE"),"")</f>
        <v/>
      </c>
      <c r="BJ147" s="7" t="str">
        <f aca="false">IF(AND(AJ147="Yes",BE147="LIVE"),COUNTIFS($AJ$4:AJ147,"Yes",$BE$4:BE147,"LIVE"),"")</f>
        <v/>
      </c>
      <c r="BK147" s="7" t="str">
        <f aca="false">IF(AND(AK147="Yes",BE147="LIVE"),COUNTIFS($AK$4:AK147,"Yes",$BE$4:BE147,"LIVE"),"")</f>
        <v/>
      </c>
      <c r="BL147" s="7" t="str">
        <f aca="false">IF(I147="To Verify",COUNTIF($I$4:I147,"To Verify"),"")</f>
        <v/>
      </c>
    </row>
    <row r="148" customFormat="false" ht="91" hidden="false" customHeight="false" outlineLevel="0" collapsed="false">
      <c r="A148" s="5" t="s">
        <v>1760</v>
      </c>
      <c r="B148" s="6" t="s">
        <v>1341</v>
      </c>
      <c r="C148" s="6" t="s">
        <v>1342</v>
      </c>
      <c r="D148" s="6" t="s">
        <v>1749</v>
      </c>
      <c r="E148" s="6" t="s">
        <v>1761</v>
      </c>
      <c r="F148" s="6" t="s">
        <v>1762</v>
      </c>
      <c r="G148" s="6" t="s">
        <v>1763</v>
      </c>
      <c r="H148" s="6" t="s">
        <v>1763</v>
      </c>
      <c r="I148" s="5" t="s">
        <v>75</v>
      </c>
      <c r="J148" s="7" t="str">
        <f aca="false">IFERROR(INDEX(AVAILABILITY_MASTER!$C$4:$C$10,MATCH(I148,AVAILABILITY_MASTER!$A$4:$A$10,0)),"To Be Confirmed")</f>
        <v>To Be Confirmed</v>
      </c>
      <c r="K148" s="6" t="s">
        <v>129</v>
      </c>
      <c r="L148" s="6" t="s">
        <v>75</v>
      </c>
      <c r="M148" s="7" t="str">
        <f aca="false">IFERROR(INDEX(SERVICE_DOCUMENTS!$S$4:$S$1000,MATCH(A148,SERVICE_DOCUMENTS!$A$4:$A$1000,0))&amp;"","")</f>
        <v>✓ Aadhaar Card
✓ Active Mobile Number</v>
      </c>
      <c r="N148" s="7" t="str">
        <f aca="false">IFERROR(INDEX(SERVICE_DOCUMENTS!$T$4:$T$1000,MATCH(A148,SERVICE_DOCUMENTS!$A$4:$A$1000,0))&amp;"","")</f>
        <v/>
      </c>
      <c r="O148" s="6" t="s">
        <v>1346</v>
      </c>
      <c r="P148" s="6" t="s">
        <v>1764</v>
      </c>
      <c r="Q148" s="6" t="s">
        <v>78</v>
      </c>
      <c r="R148" s="8" t="s">
        <v>75</v>
      </c>
      <c r="S148" s="8" t="s">
        <v>75</v>
      </c>
      <c r="T148" s="9" t="str">
        <f aca="false">IF(AND(OR(ISNUMBER(R148),R148="N/A"),OR(ISNUMBER(S148),S148="N/A"),OR(ISNUMBER(R148),ISNUMBER(S148))),N(R148)+N(S148),"To Verify")</f>
        <v>To Verify</v>
      </c>
      <c r="U148" s="6" t="s">
        <v>75</v>
      </c>
      <c r="V148" s="6" t="s">
        <v>79</v>
      </c>
      <c r="W148" s="6" t="s">
        <v>80</v>
      </c>
      <c r="X148" s="6" t="s">
        <v>221</v>
      </c>
      <c r="Y148" s="6" t="s">
        <v>74</v>
      </c>
      <c r="Z148" s="6" t="s">
        <v>1373</v>
      </c>
      <c r="AA148" s="6" t="s">
        <v>74</v>
      </c>
      <c r="AB148" s="6" t="s">
        <v>74</v>
      </c>
      <c r="AC148" s="6" t="s">
        <v>75</v>
      </c>
      <c r="AD148" s="6" t="s">
        <v>75</v>
      </c>
      <c r="AE148" s="6" t="s">
        <v>75</v>
      </c>
      <c r="AF148" s="6" t="s">
        <v>75</v>
      </c>
      <c r="AG148" s="6" t="s">
        <v>75</v>
      </c>
      <c r="AH148" s="6" t="s">
        <v>79</v>
      </c>
      <c r="AI148" s="6" t="s">
        <v>79</v>
      </c>
      <c r="AJ148" s="6" t="s">
        <v>79</v>
      </c>
      <c r="AK148" s="6" t="s">
        <v>79</v>
      </c>
      <c r="AL148" s="6" t="s">
        <v>1341</v>
      </c>
      <c r="AM148" s="6" t="s">
        <v>1749</v>
      </c>
      <c r="AN148" s="7" t="str">
        <f aca="false">BA148&amp;", "&amp;AZ148</f>
        <v>Aadhaar eSign Assistance, Common Service Centre (CSC), Devmobile Stores, आधार eSign सहायता, कॉमन सर्विस सेंटर (CSC), सेवा</v>
      </c>
      <c r="AO148" s="6" t="s">
        <v>1765</v>
      </c>
      <c r="AP148" s="5" t="s">
        <v>1755</v>
      </c>
      <c r="AQ148" s="5" t="n">
        <v>400</v>
      </c>
      <c r="AR148" s="6" t="s">
        <v>1351</v>
      </c>
      <c r="AS148" s="6" t="s">
        <v>1352</v>
      </c>
      <c r="AT148" s="6" t="s">
        <v>86</v>
      </c>
      <c r="AU148" s="10"/>
      <c r="AV148" s="6" t="s">
        <v>75</v>
      </c>
      <c r="AW148" s="6"/>
      <c r="AX148" s="6" t="s">
        <v>1766</v>
      </c>
      <c r="AY148" s="6" t="s">
        <v>1767</v>
      </c>
      <c r="AZ148" s="6" t="s">
        <v>1768</v>
      </c>
      <c r="BA148" s="6" t="s">
        <v>1769</v>
      </c>
      <c r="BB148" s="6"/>
      <c r="BC148" s="11" t="str">
        <f aca="false">IFERROR(INDEX(CATEGORY_MASTER!$C$4:$C$30,MATCH(B148,CATEGORY_MASTER!$A$4:$A$30,0)),"")</f>
        <v>🖥️</v>
      </c>
      <c r="BD148" s="7" t="str">
        <f aca="false">"/services/"&amp;AO148</f>
        <v>/services/aadhaar-esign-assistance</v>
      </c>
      <c r="BE148" s="7" t="str">
        <f aca="false">IF(AND(AH148="Yes",AG148="Active",I148&lt;&gt;"Not Available"),"LIVE","HIDDEN")</f>
        <v>HIDDEN</v>
      </c>
      <c r="BF148" s="6" t="s">
        <v>139</v>
      </c>
      <c r="BG148" s="6" t="s">
        <v>93</v>
      </c>
      <c r="BH148" s="7" t="str">
        <f aca="false">B148&amp;"|"&amp;COUNTIF($B$4:B148,B148)</f>
        <v>Common Service Centre (CSC)|40</v>
      </c>
      <c r="BI148" s="7" t="str">
        <f aca="false">IF(AND(AI148="Yes",BE148="LIVE"),COUNTIFS($AI$4:AI148,"Yes",$BE$4:BE148,"LIVE"),"")</f>
        <v/>
      </c>
      <c r="BJ148" s="7" t="str">
        <f aca="false">IF(AND(AJ148="Yes",BE148="LIVE"),COUNTIFS($AJ$4:AJ148,"Yes",$BE$4:BE148,"LIVE"),"")</f>
        <v/>
      </c>
      <c r="BK148" s="7" t="str">
        <f aca="false">IF(AND(AK148="Yes",BE148="LIVE"),COUNTIFS($AK$4:AK148,"Yes",$BE$4:BE148,"LIVE"),"")</f>
        <v/>
      </c>
      <c r="BL148" s="7" t="n">
        <f aca="false">IF(I148="To Verify",COUNTIF($I$4:I148,"To Verify"),"")</f>
        <v>44</v>
      </c>
    </row>
    <row r="149" customFormat="false" ht="91" hidden="false" customHeight="false" outlineLevel="0" collapsed="false">
      <c r="A149" s="5" t="s">
        <v>1770</v>
      </c>
      <c r="B149" s="6" t="s">
        <v>1341</v>
      </c>
      <c r="C149" s="6" t="s">
        <v>1342</v>
      </c>
      <c r="D149" s="6" t="s">
        <v>1749</v>
      </c>
      <c r="E149" s="6" t="s">
        <v>1771</v>
      </c>
      <c r="F149" s="6" t="s">
        <v>1772</v>
      </c>
      <c r="G149" s="6" t="s">
        <v>1773</v>
      </c>
      <c r="H149" s="6" t="s">
        <v>1773</v>
      </c>
      <c r="I149" s="5" t="s">
        <v>75</v>
      </c>
      <c r="J149" s="7" t="str">
        <f aca="false">IFERROR(INDEX(AVAILABILITY_MASTER!$C$4:$C$10,MATCH(I149,AVAILABILITY_MASTER!$A$4:$A$10,0)),"To Be Confirmed")</f>
        <v>To Be Confirmed</v>
      </c>
      <c r="K149" s="6" t="s">
        <v>129</v>
      </c>
      <c r="L149" s="6" t="s">
        <v>75</v>
      </c>
      <c r="M149" s="7" t="str">
        <f aca="false">IFERROR(INDEX(SERVICE_DOCUMENTS!$S$4:$S$1000,MATCH(A149,SERVICE_DOCUMENTS!$A$4:$A$1000,0))&amp;"","")</f>
        <v>✓ Aadhaar Card
✓ Active Mobile Number</v>
      </c>
      <c r="N149" s="7" t="str">
        <f aca="false">IFERROR(INDEX(SERVICE_DOCUMENTS!$T$4:$T$1000,MATCH(A149,SERVICE_DOCUMENTS!$A$4:$A$1000,0))&amp;"","")</f>
        <v/>
      </c>
      <c r="O149" s="6" t="s">
        <v>1346</v>
      </c>
      <c r="P149" s="6" t="s">
        <v>1774</v>
      </c>
      <c r="Q149" s="6" t="s">
        <v>78</v>
      </c>
      <c r="R149" s="8" t="s">
        <v>75</v>
      </c>
      <c r="S149" s="8" t="s">
        <v>75</v>
      </c>
      <c r="T149" s="9" t="str">
        <f aca="false">IF(AND(OR(ISNUMBER(R149),R149="N/A"),OR(ISNUMBER(S149),S149="N/A"),OR(ISNUMBER(R149),ISNUMBER(S149))),N(R149)+N(S149),"To Verify")</f>
        <v>To Verify</v>
      </c>
      <c r="U149" s="6" t="s">
        <v>75</v>
      </c>
      <c r="V149" s="6" t="s">
        <v>79</v>
      </c>
      <c r="W149" s="6" t="s">
        <v>80</v>
      </c>
      <c r="X149" s="6" t="s">
        <v>221</v>
      </c>
      <c r="Y149" s="6" t="s">
        <v>74</v>
      </c>
      <c r="Z149" s="6" t="s">
        <v>1373</v>
      </c>
      <c r="AA149" s="6" t="s">
        <v>74</v>
      </c>
      <c r="AB149" s="6" t="s">
        <v>74</v>
      </c>
      <c r="AC149" s="6" t="s">
        <v>75</v>
      </c>
      <c r="AD149" s="6" t="s">
        <v>75</v>
      </c>
      <c r="AE149" s="6" t="s">
        <v>75</v>
      </c>
      <c r="AF149" s="6" t="s">
        <v>75</v>
      </c>
      <c r="AG149" s="6" t="s">
        <v>75</v>
      </c>
      <c r="AH149" s="6" t="s">
        <v>79</v>
      </c>
      <c r="AI149" s="6" t="s">
        <v>79</v>
      </c>
      <c r="AJ149" s="6" t="s">
        <v>79</v>
      </c>
      <c r="AK149" s="6" t="s">
        <v>79</v>
      </c>
      <c r="AL149" s="6" t="s">
        <v>1341</v>
      </c>
      <c r="AM149" s="6" t="s">
        <v>1749</v>
      </c>
      <c r="AN149" s="7" t="str">
        <f aca="false">BA149&amp;", "&amp;AZ149</f>
        <v>CSC e-Store / Grameen e-Store Orders, Common Service Centre (CSC), Devmobile Stores, CSC e-Store / ग्रामीण e-Store ऑर्डर, कॉमन सर्विस सेंटर (CSC), सेवा</v>
      </c>
      <c r="AO149" s="6" t="s">
        <v>1775</v>
      </c>
      <c r="AP149" s="5" t="s">
        <v>1755</v>
      </c>
      <c r="AQ149" s="5" t="n">
        <v>410</v>
      </c>
      <c r="AR149" s="6" t="s">
        <v>1351</v>
      </c>
      <c r="AS149" s="6" t="s">
        <v>1352</v>
      </c>
      <c r="AT149" s="6" t="s">
        <v>86</v>
      </c>
      <c r="AU149" s="10"/>
      <c r="AV149" s="6" t="s">
        <v>75</v>
      </c>
      <c r="AW149" s="6"/>
      <c r="AX149" s="6" t="s">
        <v>1776</v>
      </c>
      <c r="AY149" s="6" t="s">
        <v>1777</v>
      </c>
      <c r="AZ149" s="6" t="s">
        <v>1778</v>
      </c>
      <c r="BA149" s="6" t="s">
        <v>1779</v>
      </c>
      <c r="BB149" s="6"/>
      <c r="BC149" s="11" t="str">
        <f aca="false">IFERROR(INDEX(CATEGORY_MASTER!$C$4:$C$30,MATCH(B149,CATEGORY_MASTER!$A$4:$A$30,0)),"")</f>
        <v>🖥️</v>
      </c>
      <c r="BD149" s="7" t="str">
        <f aca="false">"/services/"&amp;AO149</f>
        <v>/services/csc-e-store-grameen-e-store-orders</v>
      </c>
      <c r="BE149" s="7" t="str">
        <f aca="false">IF(AND(AH149="Yes",AG149="Active",I149&lt;&gt;"Not Available"),"LIVE","HIDDEN")</f>
        <v>HIDDEN</v>
      </c>
      <c r="BF149" s="6" t="s">
        <v>139</v>
      </c>
      <c r="BG149" s="6" t="s">
        <v>93</v>
      </c>
      <c r="BH149" s="7" t="str">
        <f aca="false">B149&amp;"|"&amp;COUNTIF($B$4:B149,B149)</f>
        <v>Common Service Centre (CSC)|41</v>
      </c>
      <c r="BI149" s="7" t="str">
        <f aca="false">IF(AND(AI149="Yes",BE149="LIVE"),COUNTIFS($AI$4:AI149,"Yes",$BE$4:BE149,"LIVE"),"")</f>
        <v/>
      </c>
      <c r="BJ149" s="7" t="str">
        <f aca="false">IF(AND(AJ149="Yes",BE149="LIVE"),COUNTIFS($AJ$4:AJ149,"Yes",$BE$4:BE149,"LIVE"),"")</f>
        <v/>
      </c>
      <c r="BK149" s="7" t="str">
        <f aca="false">IF(AND(AK149="Yes",BE149="LIVE"),COUNTIFS($AK$4:AK149,"Yes",$BE$4:BE149,"LIVE"),"")</f>
        <v/>
      </c>
      <c r="BL149" s="7" t="n">
        <f aca="false">IF(I149="To Verify",COUNTIF($I$4:I149,"To Verify"),"")</f>
        <v>45</v>
      </c>
    </row>
    <row r="150" customFormat="false" ht="91" hidden="false" customHeight="false" outlineLevel="0" collapsed="false">
      <c r="A150" s="5" t="s">
        <v>1780</v>
      </c>
      <c r="B150" s="6" t="s">
        <v>1341</v>
      </c>
      <c r="C150" s="6" t="s">
        <v>1342</v>
      </c>
      <c r="D150" s="6" t="s">
        <v>1781</v>
      </c>
      <c r="E150" s="6" t="s">
        <v>1782</v>
      </c>
      <c r="F150" s="6" t="s">
        <v>1783</v>
      </c>
      <c r="G150" s="6" t="s">
        <v>1784</v>
      </c>
      <c r="H150" s="6" t="s">
        <v>1784</v>
      </c>
      <c r="I150" s="5" t="s">
        <v>221</v>
      </c>
      <c r="J150" s="7" t="str">
        <f aca="false">IFERROR(INDEX(AVAILABILITY_MASTER!$C$4:$C$10,MATCH(I150,AVAILABILITY_MASTER!$A$4:$A$10,0)),"To Be Confirmed")</f>
        <v>Depends on Portal – Confirm at Shop</v>
      </c>
      <c r="K150" s="6" t="s">
        <v>129</v>
      </c>
      <c r="L150" s="6" t="s">
        <v>221</v>
      </c>
      <c r="M150" s="7" t="str">
        <f aca="false">IFERROR(INDEX(SERVICE_DOCUMENTS!$S$4:$S$1000,MATCH(A150,SERVICE_DOCUMENTS!$A$4:$A$1000,0))&amp;"","")</f>
        <v>✓ Aadhaar Card
✓ Active Mobile Number
✓ PAN Card
✓ Business Details</v>
      </c>
      <c r="N150" s="7" t="str">
        <f aca="false">IFERROR(INDEX(SERVICE_DOCUMENTS!$T$4:$T$1000,MATCH(A150,SERVICE_DOCUMENTS!$A$4:$A$1000,0))&amp;"","")</f>
        <v>• Bank Passbook (If Applicable)</v>
      </c>
      <c r="O150" s="6" t="s">
        <v>1346</v>
      </c>
      <c r="P150" s="6" t="s">
        <v>1785</v>
      </c>
      <c r="Q150" s="6" t="s">
        <v>78</v>
      </c>
      <c r="R150" s="8" t="s">
        <v>75</v>
      </c>
      <c r="S150" s="8" t="s">
        <v>75</v>
      </c>
      <c r="T150" s="9" t="str">
        <f aca="false">IF(AND(OR(ISNUMBER(R150),R150="N/A"),OR(ISNUMBER(S150),S150="N/A"),OR(ISNUMBER(R150),ISNUMBER(S150))),N(R150)+N(S150),"To Verify")</f>
        <v>To Verify</v>
      </c>
      <c r="U150" s="6" t="s">
        <v>75</v>
      </c>
      <c r="V150" s="6" t="s">
        <v>79</v>
      </c>
      <c r="W150" s="6" t="s">
        <v>80</v>
      </c>
      <c r="X150" s="6" t="s">
        <v>221</v>
      </c>
      <c r="Y150" s="6" t="s">
        <v>74</v>
      </c>
      <c r="Z150" s="6" t="s">
        <v>1786</v>
      </c>
      <c r="AA150" s="6" t="s">
        <v>74</v>
      </c>
      <c r="AB150" s="6" t="s">
        <v>74</v>
      </c>
      <c r="AC150" s="6" t="s">
        <v>75</v>
      </c>
      <c r="AD150" s="6" t="s">
        <v>75</v>
      </c>
      <c r="AE150" s="6" t="s">
        <v>75</v>
      </c>
      <c r="AF150" s="6" t="s">
        <v>75</v>
      </c>
      <c r="AG150" s="6" t="s">
        <v>75</v>
      </c>
      <c r="AH150" s="6" t="s">
        <v>79</v>
      </c>
      <c r="AI150" s="6" t="s">
        <v>79</v>
      </c>
      <c r="AJ150" s="6" t="s">
        <v>79</v>
      </c>
      <c r="AK150" s="6" t="s">
        <v>79</v>
      </c>
      <c r="AL150" s="6" t="s">
        <v>1341</v>
      </c>
      <c r="AM150" s="6" t="s">
        <v>1781</v>
      </c>
      <c r="AN150" s="7" t="str">
        <f aca="false">BA150&amp;", "&amp;AZ150</f>
        <v>Udyam (MSME) Registration, Common Service Centre (CSC), Devmobile Stores, उद्यम (MSME) पंजीकरण, कॉमन सर्विस सेंटर (CSC), सेवा</v>
      </c>
      <c r="AO150" s="6" t="s">
        <v>1787</v>
      </c>
      <c r="AP150" s="5" t="s">
        <v>1350</v>
      </c>
      <c r="AQ150" s="5" t="n">
        <v>420</v>
      </c>
      <c r="AR150" s="6" t="s">
        <v>1351</v>
      </c>
      <c r="AS150" s="6" t="s">
        <v>1352</v>
      </c>
      <c r="AT150" s="6" t="s">
        <v>86</v>
      </c>
      <c r="AU150" s="10"/>
      <c r="AV150" s="6" t="s">
        <v>75</v>
      </c>
      <c r="AW150" s="6"/>
      <c r="AX150" s="6" t="s">
        <v>1788</v>
      </c>
      <c r="AY150" s="6" t="s">
        <v>1789</v>
      </c>
      <c r="AZ150" s="6" t="s">
        <v>1790</v>
      </c>
      <c r="BA150" s="6" t="s">
        <v>1791</v>
      </c>
      <c r="BB150" s="6"/>
      <c r="BC150" s="11" t="str">
        <f aca="false">IFERROR(INDEX(CATEGORY_MASTER!$C$4:$C$30,MATCH(B150,CATEGORY_MASTER!$A$4:$A$30,0)),"")</f>
        <v>🖥️</v>
      </c>
      <c r="BD150" s="7" t="str">
        <f aca="false">"/services/"&amp;AO150</f>
        <v>/services/udyam-msme-registration</v>
      </c>
      <c r="BE150" s="7" t="str">
        <f aca="false">IF(AND(AH150="Yes",AG150="Active",I150&lt;&gt;"Not Available"),"LIVE","HIDDEN")</f>
        <v>HIDDEN</v>
      </c>
      <c r="BF150" s="6" t="s">
        <v>139</v>
      </c>
      <c r="BG150" s="6" t="s">
        <v>93</v>
      </c>
      <c r="BH150" s="7" t="str">
        <f aca="false">B150&amp;"|"&amp;COUNTIF($B$4:B150,B150)</f>
        <v>Common Service Centre (CSC)|42</v>
      </c>
      <c r="BI150" s="7" t="str">
        <f aca="false">IF(AND(AI150="Yes",BE150="LIVE"),COUNTIFS($AI$4:AI150,"Yes",$BE$4:BE150,"LIVE"),"")</f>
        <v/>
      </c>
      <c r="BJ150" s="7" t="str">
        <f aca="false">IF(AND(AJ150="Yes",BE150="LIVE"),COUNTIFS($AJ$4:AJ150,"Yes",$BE$4:BE150,"LIVE"),"")</f>
        <v/>
      </c>
      <c r="BK150" s="7" t="str">
        <f aca="false">IF(AND(AK150="Yes",BE150="LIVE"),COUNTIFS($AK$4:AK150,"Yes",$BE$4:BE150,"LIVE"),"")</f>
        <v/>
      </c>
      <c r="BL150" s="7" t="str">
        <f aca="false">IF(I150="To Verify",COUNTIF($I$4:I150,"To Verify"),"")</f>
        <v/>
      </c>
    </row>
    <row r="151" customFormat="false" ht="91" hidden="false" customHeight="false" outlineLevel="0" collapsed="false">
      <c r="A151" s="5" t="s">
        <v>1792</v>
      </c>
      <c r="B151" s="6" t="s">
        <v>1341</v>
      </c>
      <c r="C151" s="6" t="s">
        <v>1342</v>
      </c>
      <c r="D151" s="6" t="s">
        <v>1781</v>
      </c>
      <c r="E151" s="6" t="s">
        <v>1793</v>
      </c>
      <c r="F151" s="6" t="s">
        <v>1794</v>
      </c>
      <c r="G151" s="6" t="s">
        <v>1795</v>
      </c>
      <c r="H151" s="6" t="s">
        <v>1795</v>
      </c>
      <c r="I151" s="5" t="s">
        <v>221</v>
      </c>
      <c r="J151" s="7" t="str">
        <f aca="false">IFERROR(INDEX(AVAILABILITY_MASTER!$C$4:$C$10,MATCH(I151,AVAILABILITY_MASTER!$A$4:$A$10,0)),"To Be Confirmed")</f>
        <v>Depends on Portal – Confirm at Shop</v>
      </c>
      <c r="K151" s="6" t="s">
        <v>129</v>
      </c>
      <c r="L151" s="6" t="s">
        <v>221</v>
      </c>
      <c r="M151" s="7" t="str">
        <f aca="false">IFERROR(INDEX(SERVICE_DOCUMENTS!$S$4:$S$1000,MATCH(A151,SERVICE_DOCUMENTS!$A$4:$A$1000,0))&amp;"","")</f>
        <v>✓ Aadhaar Card
✓ Active Mobile Number
✓ PAN Card
✓ Business Details
✓ Address Proof
✓ Passport Photo</v>
      </c>
      <c r="N151" s="7" t="str">
        <f aca="false">IFERROR(INDEX(SERVICE_DOCUMENTS!$T$4:$T$1000,MATCH(A151,SERVICE_DOCUMENTS!$A$4:$A$1000,0))&amp;"","")</f>
        <v/>
      </c>
      <c r="O151" s="6" t="s">
        <v>1346</v>
      </c>
      <c r="P151" s="6" t="s">
        <v>1796</v>
      </c>
      <c r="Q151" s="6" t="s">
        <v>78</v>
      </c>
      <c r="R151" s="8" t="s">
        <v>75</v>
      </c>
      <c r="S151" s="8" t="s">
        <v>75</v>
      </c>
      <c r="T151" s="9" t="str">
        <f aca="false">IF(AND(OR(ISNUMBER(R151),R151="N/A"),OR(ISNUMBER(S151),S151="N/A"),OR(ISNUMBER(R151),ISNUMBER(S151))),N(R151)+N(S151),"To Verify")</f>
        <v>To Verify</v>
      </c>
      <c r="U151" s="6" t="s">
        <v>75</v>
      </c>
      <c r="V151" s="6" t="s">
        <v>79</v>
      </c>
      <c r="W151" s="6" t="s">
        <v>80</v>
      </c>
      <c r="X151" s="6" t="s">
        <v>221</v>
      </c>
      <c r="Y151" s="6" t="s">
        <v>74</v>
      </c>
      <c r="Z151" s="6" t="s">
        <v>1797</v>
      </c>
      <c r="AA151" s="6" t="s">
        <v>74</v>
      </c>
      <c r="AB151" s="6" t="s">
        <v>74</v>
      </c>
      <c r="AC151" s="6" t="s">
        <v>75</v>
      </c>
      <c r="AD151" s="6" t="s">
        <v>75</v>
      </c>
      <c r="AE151" s="6" t="s">
        <v>75</v>
      </c>
      <c r="AF151" s="6" t="s">
        <v>75</v>
      </c>
      <c r="AG151" s="6" t="s">
        <v>75</v>
      </c>
      <c r="AH151" s="6" t="s">
        <v>79</v>
      </c>
      <c r="AI151" s="6" t="s">
        <v>79</v>
      </c>
      <c r="AJ151" s="6" t="s">
        <v>79</v>
      </c>
      <c r="AK151" s="6" t="s">
        <v>79</v>
      </c>
      <c r="AL151" s="6" t="s">
        <v>1341</v>
      </c>
      <c r="AM151" s="6" t="s">
        <v>1781</v>
      </c>
      <c r="AN151" s="7" t="str">
        <f aca="false">BA151&amp;", "&amp;AZ151</f>
        <v>GST Registration Assistance, Common Service Centre (CSC), Devmobile Stores, GST पंजीकरण सहायता, कॉमन सर्विस सेंटर (CSC), सेवा</v>
      </c>
      <c r="AO151" s="6" t="s">
        <v>1798</v>
      </c>
      <c r="AP151" s="5" t="s">
        <v>1350</v>
      </c>
      <c r="AQ151" s="5" t="n">
        <v>430</v>
      </c>
      <c r="AR151" s="6" t="s">
        <v>1351</v>
      </c>
      <c r="AS151" s="6" t="s">
        <v>1352</v>
      </c>
      <c r="AT151" s="6" t="s">
        <v>86</v>
      </c>
      <c r="AU151" s="10"/>
      <c r="AV151" s="6" t="s">
        <v>75</v>
      </c>
      <c r="AW151" s="6"/>
      <c r="AX151" s="6" t="s">
        <v>1799</v>
      </c>
      <c r="AY151" s="6" t="s">
        <v>1800</v>
      </c>
      <c r="AZ151" s="6" t="s">
        <v>1801</v>
      </c>
      <c r="BA151" s="6" t="s">
        <v>1802</v>
      </c>
      <c r="BB151" s="6"/>
      <c r="BC151" s="11" t="str">
        <f aca="false">IFERROR(INDEX(CATEGORY_MASTER!$C$4:$C$30,MATCH(B151,CATEGORY_MASTER!$A$4:$A$30,0)),"")</f>
        <v>🖥️</v>
      </c>
      <c r="BD151" s="7" t="str">
        <f aca="false">"/services/"&amp;AO151</f>
        <v>/services/gst-registration-assistance</v>
      </c>
      <c r="BE151" s="7" t="str">
        <f aca="false">IF(AND(AH151="Yes",AG151="Active",I151&lt;&gt;"Not Available"),"LIVE","HIDDEN")</f>
        <v>HIDDEN</v>
      </c>
      <c r="BF151" s="6" t="s">
        <v>139</v>
      </c>
      <c r="BG151" s="6" t="s">
        <v>93</v>
      </c>
      <c r="BH151" s="7" t="str">
        <f aca="false">B151&amp;"|"&amp;COUNTIF($B$4:B151,B151)</f>
        <v>Common Service Centre (CSC)|43</v>
      </c>
      <c r="BI151" s="7" t="str">
        <f aca="false">IF(AND(AI151="Yes",BE151="LIVE"),COUNTIFS($AI$4:AI151,"Yes",$BE$4:BE151,"LIVE"),"")</f>
        <v/>
      </c>
      <c r="BJ151" s="7" t="str">
        <f aca="false">IF(AND(AJ151="Yes",BE151="LIVE"),COUNTIFS($AJ$4:AJ151,"Yes",$BE$4:BE151,"LIVE"),"")</f>
        <v/>
      </c>
      <c r="BK151" s="7" t="str">
        <f aca="false">IF(AND(AK151="Yes",BE151="LIVE"),COUNTIFS($AK$4:AK151,"Yes",$BE$4:BE151,"LIVE"),"")</f>
        <v/>
      </c>
      <c r="BL151" s="7" t="str">
        <f aca="false">IF(I151="To Verify",COUNTIF($I$4:I151,"To Verify"),"")</f>
        <v/>
      </c>
    </row>
    <row r="152" customFormat="false" ht="91" hidden="false" customHeight="false" outlineLevel="0" collapsed="false">
      <c r="A152" s="5" t="s">
        <v>1803</v>
      </c>
      <c r="B152" s="6" t="s">
        <v>1341</v>
      </c>
      <c r="C152" s="6" t="s">
        <v>1342</v>
      </c>
      <c r="D152" s="6" t="s">
        <v>1781</v>
      </c>
      <c r="E152" s="6" t="s">
        <v>1804</v>
      </c>
      <c r="F152" s="6" t="s">
        <v>1805</v>
      </c>
      <c r="G152" s="6" t="s">
        <v>1806</v>
      </c>
      <c r="H152" s="6" t="s">
        <v>1806</v>
      </c>
      <c r="I152" s="5" t="s">
        <v>221</v>
      </c>
      <c r="J152" s="7" t="str">
        <f aca="false">IFERROR(INDEX(AVAILABILITY_MASTER!$C$4:$C$10,MATCH(I152,AVAILABILITY_MASTER!$A$4:$A$10,0)),"To Be Confirmed")</f>
        <v>Depends on Portal – Confirm at Shop</v>
      </c>
      <c r="K152" s="6" t="s">
        <v>129</v>
      </c>
      <c r="L152" s="6" t="s">
        <v>221</v>
      </c>
      <c r="M152" s="7" t="str">
        <f aca="false">IFERROR(INDEX(SERVICE_DOCUMENTS!$S$4:$S$1000,MATCH(A152,SERVICE_DOCUMENTS!$A$4:$A$1000,0))&amp;"","")</f>
        <v>✓ Aadhaar Card
✓ Active Mobile Number
✓ PAN Card
✓ Business Details
✓ Address Proof
✓ Passport Photo</v>
      </c>
      <c r="N152" s="7" t="str">
        <f aca="false">IFERROR(INDEX(SERVICE_DOCUMENTS!$T$4:$T$1000,MATCH(A152,SERVICE_DOCUMENTS!$A$4:$A$1000,0))&amp;"","")</f>
        <v/>
      </c>
      <c r="O152" s="6" t="s">
        <v>1346</v>
      </c>
      <c r="P152" s="6" t="s">
        <v>1807</v>
      </c>
      <c r="Q152" s="6" t="s">
        <v>78</v>
      </c>
      <c r="R152" s="8" t="s">
        <v>75</v>
      </c>
      <c r="S152" s="8" t="s">
        <v>75</v>
      </c>
      <c r="T152" s="9" t="str">
        <f aca="false">IF(AND(OR(ISNUMBER(R152),R152="N/A"),OR(ISNUMBER(S152),S152="N/A"),OR(ISNUMBER(R152),ISNUMBER(S152))),N(R152)+N(S152),"To Verify")</f>
        <v>To Verify</v>
      </c>
      <c r="U152" s="6" t="s">
        <v>75</v>
      </c>
      <c r="V152" s="6" t="s">
        <v>79</v>
      </c>
      <c r="W152" s="6" t="s">
        <v>80</v>
      </c>
      <c r="X152" s="6" t="s">
        <v>221</v>
      </c>
      <c r="Y152" s="6" t="s">
        <v>74</v>
      </c>
      <c r="Z152" s="6" t="s">
        <v>1797</v>
      </c>
      <c r="AA152" s="6" t="s">
        <v>74</v>
      </c>
      <c r="AB152" s="6" t="s">
        <v>74</v>
      </c>
      <c r="AC152" s="6" t="s">
        <v>75</v>
      </c>
      <c r="AD152" s="6" t="s">
        <v>75</v>
      </c>
      <c r="AE152" s="6" t="s">
        <v>75</v>
      </c>
      <c r="AF152" s="6" t="s">
        <v>75</v>
      </c>
      <c r="AG152" s="6" t="s">
        <v>75</v>
      </c>
      <c r="AH152" s="6" t="s">
        <v>79</v>
      </c>
      <c r="AI152" s="6" t="s">
        <v>79</v>
      </c>
      <c r="AJ152" s="6" t="s">
        <v>79</v>
      </c>
      <c r="AK152" s="6" t="s">
        <v>79</v>
      </c>
      <c r="AL152" s="6" t="s">
        <v>1341</v>
      </c>
      <c r="AM152" s="6" t="s">
        <v>1781</v>
      </c>
      <c r="AN152" s="7" t="str">
        <f aca="false">BA152&amp;", "&amp;AZ152</f>
        <v>GST Return Filing Assistance, Common Service Centre (CSC), Devmobile Stores, GST रिटर्न फाइलिंग सहायता, कॉमन सर्विस सेंटर (CSC), सेवा</v>
      </c>
      <c r="AO152" s="6" t="s">
        <v>1808</v>
      </c>
      <c r="AP152" s="5" t="s">
        <v>1350</v>
      </c>
      <c r="AQ152" s="5" t="n">
        <v>440</v>
      </c>
      <c r="AR152" s="6" t="s">
        <v>1351</v>
      </c>
      <c r="AS152" s="6" t="s">
        <v>1352</v>
      </c>
      <c r="AT152" s="6" t="s">
        <v>86</v>
      </c>
      <c r="AU152" s="10"/>
      <c r="AV152" s="6" t="s">
        <v>75</v>
      </c>
      <c r="AW152" s="6"/>
      <c r="AX152" s="6" t="s">
        <v>1809</v>
      </c>
      <c r="AY152" s="6" t="s">
        <v>1810</v>
      </c>
      <c r="AZ152" s="6" t="s">
        <v>1811</v>
      </c>
      <c r="BA152" s="6" t="s">
        <v>1812</v>
      </c>
      <c r="BB152" s="6"/>
      <c r="BC152" s="11" t="str">
        <f aca="false">IFERROR(INDEX(CATEGORY_MASTER!$C$4:$C$30,MATCH(B152,CATEGORY_MASTER!$A$4:$A$30,0)),"")</f>
        <v>🖥️</v>
      </c>
      <c r="BD152" s="7" t="str">
        <f aca="false">"/services/"&amp;AO152</f>
        <v>/services/gst-return-filing-assistance</v>
      </c>
      <c r="BE152" s="7" t="str">
        <f aca="false">IF(AND(AH152="Yes",AG152="Active",I152&lt;&gt;"Not Available"),"LIVE","HIDDEN")</f>
        <v>HIDDEN</v>
      </c>
      <c r="BF152" s="6" t="s">
        <v>139</v>
      </c>
      <c r="BG152" s="6" t="s">
        <v>93</v>
      </c>
      <c r="BH152" s="7" t="str">
        <f aca="false">B152&amp;"|"&amp;COUNTIF($B$4:B152,B152)</f>
        <v>Common Service Centre (CSC)|44</v>
      </c>
      <c r="BI152" s="7" t="str">
        <f aca="false">IF(AND(AI152="Yes",BE152="LIVE"),COUNTIFS($AI$4:AI152,"Yes",$BE$4:BE152,"LIVE"),"")</f>
        <v/>
      </c>
      <c r="BJ152" s="7" t="str">
        <f aca="false">IF(AND(AJ152="Yes",BE152="LIVE"),COUNTIFS($AJ$4:AJ152,"Yes",$BE$4:BE152,"LIVE"),"")</f>
        <v/>
      </c>
      <c r="BK152" s="7" t="str">
        <f aca="false">IF(AND(AK152="Yes",BE152="LIVE"),COUNTIFS($AK$4:AK152,"Yes",$BE$4:BE152,"LIVE"),"")</f>
        <v/>
      </c>
      <c r="BL152" s="7" t="str">
        <f aca="false">IF(I152="To Verify",COUNTIF($I$4:I152,"To Verify"),"")</f>
        <v/>
      </c>
    </row>
    <row r="153" customFormat="false" ht="91" hidden="false" customHeight="false" outlineLevel="0" collapsed="false">
      <c r="A153" s="5" t="s">
        <v>1813</v>
      </c>
      <c r="B153" s="6" t="s">
        <v>1341</v>
      </c>
      <c r="C153" s="6" t="s">
        <v>1342</v>
      </c>
      <c r="D153" s="6" t="s">
        <v>1781</v>
      </c>
      <c r="E153" s="6" t="s">
        <v>1814</v>
      </c>
      <c r="F153" s="6" t="s">
        <v>1815</v>
      </c>
      <c r="G153" s="6" t="s">
        <v>1816</v>
      </c>
      <c r="H153" s="6" t="s">
        <v>1816</v>
      </c>
      <c r="I153" s="5" t="s">
        <v>221</v>
      </c>
      <c r="J153" s="7" t="str">
        <f aca="false">IFERROR(INDEX(AVAILABILITY_MASTER!$C$4:$C$10,MATCH(I153,AVAILABILITY_MASTER!$A$4:$A$10,0)),"To Be Confirmed")</f>
        <v>Depends on Portal – Confirm at Shop</v>
      </c>
      <c r="K153" s="6" t="s">
        <v>129</v>
      </c>
      <c r="L153" s="6" t="s">
        <v>221</v>
      </c>
      <c r="M153" s="7" t="str">
        <f aca="false">IFERROR(INDEX(SERVICE_DOCUMENTS!$S$4:$S$1000,MATCH(A153,SERVICE_DOCUMENTS!$A$4:$A$1000,0))&amp;"","")</f>
        <v>✓ Aadhaar Card
✓ Active Mobile Number
✓ PAN Card
✓ Business Details
✓ Address Proof
✓ Passport Photo</v>
      </c>
      <c r="N153" s="7" t="str">
        <f aca="false">IFERROR(INDEX(SERVICE_DOCUMENTS!$T$4:$T$1000,MATCH(A153,SERVICE_DOCUMENTS!$A$4:$A$1000,0))&amp;"","")</f>
        <v/>
      </c>
      <c r="O153" s="6" t="s">
        <v>1346</v>
      </c>
      <c r="P153" s="6" t="s">
        <v>1817</v>
      </c>
      <c r="Q153" s="6" t="s">
        <v>78</v>
      </c>
      <c r="R153" s="8" t="s">
        <v>75</v>
      </c>
      <c r="S153" s="8" t="s">
        <v>75</v>
      </c>
      <c r="T153" s="9" t="str">
        <f aca="false">IF(AND(OR(ISNUMBER(R153),R153="N/A"),OR(ISNUMBER(S153),S153="N/A"),OR(ISNUMBER(R153),ISNUMBER(S153))),N(R153)+N(S153),"To Verify")</f>
        <v>To Verify</v>
      </c>
      <c r="U153" s="6" t="s">
        <v>75</v>
      </c>
      <c r="V153" s="6" t="s">
        <v>79</v>
      </c>
      <c r="W153" s="6" t="s">
        <v>80</v>
      </c>
      <c r="X153" s="6" t="s">
        <v>221</v>
      </c>
      <c r="Y153" s="6" t="s">
        <v>74</v>
      </c>
      <c r="Z153" s="6" t="s">
        <v>1797</v>
      </c>
      <c r="AA153" s="6" t="s">
        <v>74</v>
      </c>
      <c r="AB153" s="6" t="s">
        <v>74</v>
      </c>
      <c r="AC153" s="6" t="s">
        <v>75</v>
      </c>
      <c r="AD153" s="6" t="s">
        <v>75</v>
      </c>
      <c r="AE153" s="6" t="s">
        <v>75</v>
      </c>
      <c r="AF153" s="6" t="s">
        <v>75</v>
      </c>
      <c r="AG153" s="6" t="s">
        <v>75</v>
      </c>
      <c r="AH153" s="6" t="s">
        <v>79</v>
      </c>
      <c r="AI153" s="6" t="s">
        <v>79</v>
      </c>
      <c r="AJ153" s="6" t="s">
        <v>79</v>
      </c>
      <c r="AK153" s="6" t="s">
        <v>79</v>
      </c>
      <c r="AL153" s="6" t="s">
        <v>1341</v>
      </c>
      <c r="AM153" s="6" t="s">
        <v>1781</v>
      </c>
      <c r="AN153" s="7" t="str">
        <f aca="false">BA153&amp;", "&amp;AZ153</f>
        <v>FSSAI Registration / Licence Assistance, Common Service Centre (CSC), Devmobile Stores, FSSAI पंजीकरण / लाइसेंस सहायता, कॉमन सर्विस सेंटर (CSC), सेवा</v>
      </c>
      <c r="AO153" s="6" t="s">
        <v>1818</v>
      </c>
      <c r="AP153" s="5" t="s">
        <v>1350</v>
      </c>
      <c r="AQ153" s="5" t="n">
        <v>450</v>
      </c>
      <c r="AR153" s="6" t="s">
        <v>1351</v>
      </c>
      <c r="AS153" s="6" t="s">
        <v>1352</v>
      </c>
      <c r="AT153" s="6" t="s">
        <v>86</v>
      </c>
      <c r="AU153" s="10"/>
      <c r="AV153" s="6" t="s">
        <v>75</v>
      </c>
      <c r="AW153" s="6"/>
      <c r="AX153" s="6" t="s">
        <v>1819</v>
      </c>
      <c r="AY153" s="6" t="s">
        <v>1820</v>
      </c>
      <c r="AZ153" s="6" t="s">
        <v>1821</v>
      </c>
      <c r="BA153" s="6" t="s">
        <v>1822</v>
      </c>
      <c r="BB153" s="6"/>
      <c r="BC153" s="11" t="str">
        <f aca="false">IFERROR(INDEX(CATEGORY_MASTER!$C$4:$C$30,MATCH(B153,CATEGORY_MASTER!$A$4:$A$30,0)),"")</f>
        <v>🖥️</v>
      </c>
      <c r="BD153" s="7" t="str">
        <f aca="false">"/services/"&amp;AO153</f>
        <v>/services/fssai-registration-licence-assistance</v>
      </c>
      <c r="BE153" s="7" t="str">
        <f aca="false">IF(AND(AH153="Yes",AG153="Active",I153&lt;&gt;"Not Available"),"LIVE","HIDDEN")</f>
        <v>HIDDEN</v>
      </c>
      <c r="BF153" s="6" t="s">
        <v>139</v>
      </c>
      <c r="BG153" s="6" t="s">
        <v>93</v>
      </c>
      <c r="BH153" s="7" t="str">
        <f aca="false">B153&amp;"|"&amp;COUNTIF($B$4:B153,B153)</f>
        <v>Common Service Centre (CSC)|45</v>
      </c>
      <c r="BI153" s="7" t="str">
        <f aca="false">IF(AND(AI153="Yes",BE153="LIVE"),COUNTIFS($AI$4:AI153,"Yes",$BE$4:BE153,"LIVE"),"")</f>
        <v/>
      </c>
      <c r="BJ153" s="7" t="str">
        <f aca="false">IF(AND(AJ153="Yes",BE153="LIVE"),COUNTIFS($AJ$4:AJ153,"Yes",$BE$4:BE153,"LIVE"),"")</f>
        <v/>
      </c>
      <c r="BK153" s="7" t="str">
        <f aca="false">IF(AND(AK153="Yes",BE153="LIVE"),COUNTIFS($AK$4:AK153,"Yes",$BE$4:BE153,"LIVE"),"")</f>
        <v/>
      </c>
      <c r="BL153" s="7" t="str">
        <f aca="false">IF(I153="To Verify",COUNTIF($I$4:I153,"To Verify"),"")</f>
        <v/>
      </c>
    </row>
    <row r="154" customFormat="false" ht="91" hidden="false" customHeight="false" outlineLevel="0" collapsed="false">
      <c r="A154" s="5" t="s">
        <v>1823</v>
      </c>
      <c r="B154" s="6" t="s">
        <v>1341</v>
      </c>
      <c r="C154" s="6" t="s">
        <v>1342</v>
      </c>
      <c r="D154" s="6" t="s">
        <v>1781</v>
      </c>
      <c r="E154" s="6" t="s">
        <v>1824</v>
      </c>
      <c r="F154" s="6" t="s">
        <v>1825</v>
      </c>
      <c r="G154" s="6" t="s">
        <v>1826</v>
      </c>
      <c r="H154" s="6" t="s">
        <v>1826</v>
      </c>
      <c r="I154" s="5" t="s">
        <v>221</v>
      </c>
      <c r="J154" s="7" t="str">
        <f aca="false">IFERROR(INDEX(AVAILABILITY_MASTER!$C$4:$C$10,MATCH(I154,AVAILABILITY_MASTER!$A$4:$A$10,0)),"To Be Confirmed")</f>
        <v>Depends on Portal – Confirm at Shop</v>
      </c>
      <c r="K154" s="6" t="s">
        <v>129</v>
      </c>
      <c r="L154" s="6" t="s">
        <v>221</v>
      </c>
      <c r="M154" s="7" t="str">
        <f aca="false">IFERROR(INDEX(SERVICE_DOCUMENTS!$S$4:$S$1000,MATCH(A154,SERVICE_DOCUMENTS!$A$4:$A$1000,0))&amp;"","")</f>
        <v>✓ Aadhaar Card
✓ Active Mobile Number
✓ PAN Card
✓ Bank Passbook</v>
      </c>
      <c r="N154" s="7" t="str">
        <f aca="false">IFERROR(INDEX(SERVICE_DOCUMENTS!$T$4:$T$1000,MATCH(A154,SERVICE_DOCUMENTS!$A$4:$A$1000,0))&amp;"","")</f>
        <v/>
      </c>
      <c r="O154" s="6" t="s">
        <v>1346</v>
      </c>
      <c r="P154" s="6" t="s">
        <v>1827</v>
      </c>
      <c r="Q154" s="6" t="s">
        <v>78</v>
      </c>
      <c r="R154" s="8" t="s">
        <v>75</v>
      </c>
      <c r="S154" s="8" t="s">
        <v>75</v>
      </c>
      <c r="T154" s="9" t="str">
        <f aca="false">IF(AND(OR(ISNUMBER(R154),R154="N/A"),OR(ISNUMBER(S154),S154="N/A"),OR(ISNUMBER(R154),ISNUMBER(S154))),N(R154)+N(S154),"To Verify")</f>
        <v>To Verify</v>
      </c>
      <c r="U154" s="6" t="s">
        <v>75</v>
      </c>
      <c r="V154" s="6" t="s">
        <v>79</v>
      </c>
      <c r="W154" s="6" t="s">
        <v>80</v>
      </c>
      <c r="X154" s="6" t="s">
        <v>221</v>
      </c>
      <c r="Y154" s="6" t="s">
        <v>74</v>
      </c>
      <c r="Z154" s="6" t="s">
        <v>1828</v>
      </c>
      <c r="AA154" s="6" t="s">
        <v>74</v>
      </c>
      <c r="AB154" s="6" t="s">
        <v>74</v>
      </c>
      <c r="AC154" s="6" t="s">
        <v>75</v>
      </c>
      <c r="AD154" s="6" t="s">
        <v>75</v>
      </c>
      <c r="AE154" s="6" t="s">
        <v>75</v>
      </c>
      <c r="AF154" s="6" t="s">
        <v>75</v>
      </c>
      <c r="AG154" s="6" t="s">
        <v>75</v>
      </c>
      <c r="AH154" s="6" t="s">
        <v>79</v>
      </c>
      <c r="AI154" s="6" t="s">
        <v>79</v>
      </c>
      <c r="AJ154" s="6" t="s">
        <v>79</v>
      </c>
      <c r="AK154" s="6" t="s">
        <v>79</v>
      </c>
      <c r="AL154" s="6" t="s">
        <v>1341</v>
      </c>
      <c r="AM154" s="6" t="s">
        <v>1781</v>
      </c>
      <c r="AN154" s="7" t="str">
        <f aca="false">BA154&amp;", "&amp;AZ154</f>
        <v>Income Tax Return (ITR) Filing Assistance, Common Service Centre (CSC), Devmobile Stores, आयकर रिटर्न (ITR) फाइलिंग सहायता, कॉमन सर्विस सेंटर (CSC), सेवा</v>
      </c>
      <c r="AO154" s="6" t="s">
        <v>1829</v>
      </c>
      <c r="AP154" s="5" t="s">
        <v>1350</v>
      </c>
      <c r="AQ154" s="5" t="n">
        <v>460</v>
      </c>
      <c r="AR154" s="6" t="s">
        <v>1351</v>
      </c>
      <c r="AS154" s="6" t="s">
        <v>1352</v>
      </c>
      <c r="AT154" s="6" t="s">
        <v>86</v>
      </c>
      <c r="AU154" s="10"/>
      <c r="AV154" s="6" t="s">
        <v>75</v>
      </c>
      <c r="AW154" s="6"/>
      <c r="AX154" s="6" t="s">
        <v>1830</v>
      </c>
      <c r="AY154" s="6" t="s">
        <v>1831</v>
      </c>
      <c r="AZ154" s="6" t="s">
        <v>1832</v>
      </c>
      <c r="BA154" s="6" t="s">
        <v>1833</v>
      </c>
      <c r="BB154" s="6"/>
      <c r="BC154" s="11" t="str">
        <f aca="false">IFERROR(INDEX(CATEGORY_MASTER!$C$4:$C$30,MATCH(B154,CATEGORY_MASTER!$A$4:$A$30,0)),"")</f>
        <v>🖥️</v>
      </c>
      <c r="BD154" s="7" t="str">
        <f aca="false">"/services/"&amp;AO154</f>
        <v>/services/income-tax-return-itr-filing-assistance</v>
      </c>
      <c r="BE154" s="7" t="str">
        <f aca="false">IF(AND(AH154="Yes",AG154="Active",I154&lt;&gt;"Not Available"),"LIVE","HIDDEN")</f>
        <v>HIDDEN</v>
      </c>
      <c r="BF154" s="6" t="s">
        <v>139</v>
      </c>
      <c r="BG154" s="6" t="s">
        <v>93</v>
      </c>
      <c r="BH154" s="7" t="str">
        <f aca="false">B154&amp;"|"&amp;COUNTIF($B$4:B154,B154)</f>
        <v>Common Service Centre (CSC)|46</v>
      </c>
      <c r="BI154" s="7" t="str">
        <f aca="false">IF(AND(AI154="Yes",BE154="LIVE"),COUNTIFS($AI$4:AI154,"Yes",$BE$4:BE154,"LIVE"),"")</f>
        <v/>
      </c>
      <c r="BJ154" s="7" t="str">
        <f aca="false">IF(AND(AJ154="Yes",BE154="LIVE"),COUNTIFS($AJ$4:AJ154,"Yes",$BE$4:BE154,"LIVE"),"")</f>
        <v/>
      </c>
      <c r="BK154" s="7" t="str">
        <f aca="false">IF(AND(AK154="Yes",BE154="LIVE"),COUNTIFS($AK$4:AK154,"Yes",$BE$4:BE154,"LIVE"),"")</f>
        <v/>
      </c>
      <c r="BL154" s="7" t="str">
        <f aca="false">IF(I154="To Verify",COUNTIF($I$4:I154,"To Verify"),"")</f>
        <v/>
      </c>
    </row>
    <row r="155" customFormat="false" ht="102.2" hidden="false" customHeight="false" outlineLevel="0" collapsed="false">
      <c r="A155" s="5" t="s">
        <v>1834</v>
      </c>
      <c r="B155" s="6" t="s">
        <v>1341</v>
      </c>
      <c r="C155" s="6" t="s">
        <v>1342</v>
      </c>
      <c r="D155" s="6" t="s">
        <v>1781</v>
      </c>
      <c r="E155" s="6" t="s">
        <v>1835</v>
      </c>
      <c r="F155" s="6" t="s">
        <v>1836</v>
      </c>
      <c r="G155" s="6" t="s">
        <v>1837</v>
      </c>
      <c r="H155" s="6" t="s">
        <v>1837</v>
      </c>
      <c r="I155" s="5" t="s">
        <v>75</v>
      </c>
      <c r="J155" s="7" t="str">
        <f aca="false">IFERROR(INDEX(AVAILABILITY_MASTER!$C$4:$C$10,MATCH(I155,AVAILABILITY_MASTER!$A$4:$A$10,0)),"To Be Confirmed")</f>
        <v>To Be Confirmed</v>
      </c>
      <c r="K155" s="6" t="s">
        <v>129</v>
      </c>
      <c r="L155" s="6" t="s">
        <v>75</v>
      </c>
      <c r="M155" s="7" t="str">
        <f aca="false">IFERROR(INDEX(SERVICE_DOCUMENTS!$S$4:$S$1000,MATCH(A155,SERVICE_DOCUMENTS!$A$4:$A$1000,0))&amp;"","")</f>
        <v>✓ Aadhaar Card
✓ Active Mobile Number
✓ PAN Card
✓ Business Details
✓ Address Proof
✓ Passport Photo</v>
      </c>
      <c r="N155" s="7" t="str">
        <f aca="false">IFERROR(INDEX(SERVICE_DOCUMENTS!$T$4:$T$1000,MATCH(A155,SERVICE_DOCUMENTS!$A$4:$A$1000,0))&amp;"","")</f>
        <v/>
      </c>
      <c r="O155" s="6" t="s">
        <v>1346</v>
      </c>
      <c r="P155" s="6" t="s">
        <v>1838</v>
      </c>
      <c r="Q155" s="6" t="s">
        <v>78</v>
      </c>
      <c r="R155" s="8" t="s">
        <v>75</v>
      </c>
      <c r="S155" s="8" t="s">
        <v>75</v>
      </c>
      <c r="T155" s="9" t="str">
        <f aca="false">IF(AND(OR(ISNUMBER(R155),R155="N/A"),OR(ISNUMBER(S155),S155="N/A"),OR(ISNUMBER(R155),ISNUMBER(S155))),N(R155)+N(S155),"To Verify")</f>
        <v>To Verify</v>
      </c>
      <c r="U155" s="6" t="s">
        <v>75</v>
      </c>
      <c r="V155" s="6" t="s">
        <v>79</v>
      </c>
      <c r="W155" s="6" t="s">
        <v>80</v>
      </c>
      <c r="X155" s="6" t="s">
        <v>221</v>
      </c>
      <c r="Y155" s="6" t="s">
        <v>74</v>
      </c>
      <c r="Z155" s="6" t="s">
        <v>1797</v>
      </c>
      <c r="AA155" s="6" t="s">
        <v>74</v>
      </c>
      <c r="AB155" s="6" t="s">
        <v>74</v>
      </c>
      <c r="AC155" s="6" t="s">
        <v>75</v>
      </c>
      <c r="AD155" s="6" t="s">
        <v>75</v>
      </c>
      <c r="AE155" s="6" t="s">
        <v>75</v>
      </c>
      <c r="AF155" s="6" t="s">
        <v>75</v>
      </c>
      <c r="AG155" s="6" t="s">
        <v>75</v>
      </c>
      <c r="AH155" s="6" t="s">
        <v>79</v>
      </c>
      <c r="AI155" s="6" t="s">
        <v>79</v>
      </c>
      <c r="AJ155" s="6" t="s">
        <v>79</v>
      </c>
      <c r="AK155" s="6" t="s">
        <v>79</v>
      </c>
      <c r="AL155" s="6" t="s">
        <v>1341</v>
      </c>
      <c r="AM155" s="6" t="s">
        <v>1781</v>
      </c>
      <c r="AN155" s="7" t="str">
        <f aca="false">BA155&amp;", "&amp;AZ155</f>
        <v>Shop &amp; Establishment Registration Assistance, Common Service Centre (CSC), Devmobile Stores, दुकान एवं प्रतिष्ठान पंजीकरण सहायता, कॉमन सर्विस सेंटर (CSC), सेवा</v>
      </c>
      <c r="AO155" s="6" t="s">
        <v>1839</v>
      </c>
      <c r="AP155" s="5" t="s">
        <v>1350</v>
      </c>
      <c r="AQ155" s="5" t="n">
        <v>470</v>
      </c>
      <c r="AR155" s="6" t="s">
        <v>1351</v>
      </c>
      <c r="AS155" s="6" t="s">
        <v>1352</v>
      </c>
      <c r="AT155" s="6" t="s">
        <v>86</v>
      </c>
      <c r="AU155" s="10"/>
      <c r="AV155" s="6" t="s">
        <v>75</v>
      </c>
      <c r="AW155" s="6"/>
      <c r="AX155" s="6" t="s">
        <v>1840</v>
      </c>
      <c r="AY155" s="6" t="s">
        <v>1841</v>
      </c>
      <c r="AZ155" s="6" t="s">
        <v>1842</v>
      </c>
      <c r="BA155" s="6" t="s">
        <v>1843</v>
      </c>
      <c r="BB155" s="6"/>
      <c r="BC155" s="11" t="str">
        <f aca="false">IFERROR(INDEX(CATEGORY_MASTER!$C$4:$C$30,MATCH(B155,CATEGORY_MASTER!$A$4:$A$30,0)),"")</f>
        <v>🖥️</v>
      </c>
      <c r="BD155" s="7" t="str">
        <f aca="false">"/services/"&amp;AO155</f>
        <v>/services/shop-establishment-registration-assistance</v>
      </c>
      <c r="BE155" s="7" t="str">
        <f aca="false">IF(AND(AH155="Yes",AG155="Active",I155&lt;&gt;"Not Available"),"LIVE","HIDDEN")</f>
        <v>HIDDEN</v>
      </c>
      <c r="BF155" s="6" t="s">
        <v>139</v>
      </c>
      <c r="BG155" s="6" t="s">
        <v>93</v>
      </c>
      <c r="BH155" s="7" t="str">
        <f aca="false">B155&amp;"|"&amp;COUNTIF($B$4:B155,B155)</f>
        <v>Common Service Centre (CSC)|47</v>
      </c>
      <c r="BI155" s="7" t="str">
        <f aca="false">IF(AND(AI155="Yes",BE155="LIVE"),COUNTIFS($AI$4:AI155,"Yes",$BE$4:BE155,"LIVE"),"")</f>
        <v/>
      </c>
      <c r="BJ155" s="7" t="str">
        <f aca="false">IF(AND(AJ155="Yes",BE155="LIVE"),COUNTIFS($AJ$4:AJ155,"Yes",$BE$4:BE155,"LIVE"),"")</f>
        <v/>
      </c>
      <c r="BK155" s="7" t="str">
        <f aca="false">IF(AND(AK155="Yes",BE155="LIVE"),COUNTIFS($AK$4:AK155,"Yes",$BE$4:BE155,"LIVE"),"")</f>
        <v/>
      </c>
      <c r="BL155" s="7" t="n">
        <f aca="false">IF(I155="To Verify",COUNTIF($I$4:I155,"To Verify"),"")</f>
        <v>46</v>
      </c>
    </row>
    <row r="156" customFormat="false" ht="102.2" hidden="false" customHeight="false" outlineLevel="0" collapsed="false">
      <c r="A156" s="5" t="s">
        <v>1844</v>
      </c>
      <c r="B156" s="6" t="s">
        <v>1341</v>
      </c>
      <c r="C156" s="6" t="s">
        <v>1342</v>
      </c>
      <c r="D156" s="6" t="s">
        <v>1781</v>
      </c>
      <c r="E156" s="6" t="s">
        <v>1845</v>
      </c>
      <c r="F156" s="6" t="s">
        <v>1846</v>
      </c>
      <c r="G156" s="6" t="s">
        <v>1847</v>
      </c>
      <c r="H156" s="6" t="s">
        <v>1847</v>
      </c>
      <c r="I156" s="5" t="s">
        <v>75</v>
      </c>
      <c r="J156" s="7" t="str">
        <f aca="false">IFERROR(INDEX(AVAILABILITY_MASTER!$C$4:$C$10,MATCH(I156,AVAILABILITY_MASTER!$A$4:$A$10,0)),"To Be Confirmed")</f>
        <v>To Be Confirmed</v>
      </c>
      <c r="K156" s="6" t="s">
        <v>129</v>
      </c>
      <c r="L156" s="6" t="s">
        <v>75</v>
      </c>
      <c r="M156" s="7" t="str">
        <f aca="false">IFERROR(INDEX(SERVICE_DOCUMENTS!$S$4:$S$1000,MATCH(A156,SERVICE_DOCUMENTS!$A$4:$A$1000,0))&amp;"","")</f>
        <v>✓ Aadhaar Card
✓ Active Mobile Number</v>
      </c>
      <c r="N156" s="7" t="str">
        <f aca="false">IFERROR(INDEX(SERVICE_DOCUMENTS!$T$4:$T$1000,MATCH(A156,SERVICE_DOCUMENTS!$A$4:$A$1000,0))&amp;"","")</f>
        <v/>
      </c>
      <c r="O156" s="6" t="s">
        <v>1346</v>
      </c>
      <c r="P156" s="6" t="s">
        <v>1848</v>
      </c>
      <c r="Q156" s="6" t="s">
        <v>78</v>
      </c>
      <c r="R156" s="8" t="s">
        <v>75</v>
      </c>
      <c r="S156" s="8" t="s">
        <v>75</v>
      </c>
      <c r="T156" s="9" t="str">
        <f aca="false">IF(AND(OR(ISNUMBER(R156),R156="N/A"),OR(ISNUMBER(S156),S156="N/A"),OR(ISNUMBER(R156),ISNUMBER(S156))),N(R156)+N(S156),"To Verify")</f>
        <v>To Verify</v>
      </c>
      <c r="U156" s="6" t="s">
        <v>75</v>
      </c>
      <c r="V156" s="6" t="s">
        <v>79</v>
      </c>
      <c r="W156" s="6" t="s">
        <v>80</v>
      </c>
      <c r="X156" s="6" t="s">
        <v>221</v>
      </c>
      <c r="Y156" s="6" t="s">
        <v>74</v>
      </c>
      <c r="Z156" s="6" t="s">
        <v>1373</v>
      </c>
      <c r="AA156" s="6" t="s">
        <v>74</v>
      </c>
      <c r="AB156" s="6" t="s">
        <v>74</v>
      </c>
      <c r="AC156" s="6" t="s">
        <v>75</v>
      </c>
      <c r="AD156" s="6" t="s">
        <v>75</v>
      </c>
      <c r="AE156" s="6" t="s">
        <v>75</v>
      </c>
      <c r="AF156" s="6" t="s">
        <v>75</v>
      </c>
      <c r="AG156" s="6" t="s">
        <v>75</v>
      </c>
      <c r="AH156" s="6" t="s">
        <v>79</v>
      </c>
      <c r="AI156" s="6" t="s">
        <v>79</v>
      </c>
      <c r="AJ156" s="6" t="s">
        <v>79</v>
      </c>
      <c r="AK156" s="6" t="s">
        <v>79</v>
      </c>
      <c r="AL156" s="6" t="s">
        <v>1341</v>
      </c>
      <c r="AM156" s="6" t="s">
        <v>1781</v>
      </c>
      <c r="AN156" s="7" t="str">
        <f aca="false">BA156&amp;", "&amp;AZ156</f>
        <v>Labour (Construction Worker) Registration Assistance, Common Service Centre (CSC), Devmobile Stores, श्रमिक (निर्माण मजदूर) पंजीकरण सहायता, कॉमन सर्विस सेंटर (CSC), सेवा</v>
      </c>
      <c r="AO156" s="6" t="s">
        <v>1849</v>
      </c>
      <c r="AP156" s="5" t="s">
        <v>1350</v>
      </c>
      <c r="AQ156" s="5" t="n">
        <v>480</v>
      </c>
      <c r="AR156" s="6" t="s">
        <v>1351</v>
      </c>
      <c r="AS156" s="6" t="s">
        <v>1352</v>
      </c>
      <c r="AT156" s="6" t="s">
        <v>86</v>
      </c>
      <c r="AU156" s="10"/>
      <c r="AV156" s="6" t="s">
        <v>75</v>
      </c>
      <c r="AW156" s="6"/>
      <c r="AX156" s="6" t="s">
        <v>1850</v>
      </c>
      <c r="AY156" s="6" t="s">
        <v>1851</v>
      </c>
      <c r="AZ156" s="6" t="s">
        <v>1852</v>
      </c>
      <c r="BA156" s="6" t="s">
        <v>1853</v>
      </c>
      <c r="BB156" s="6"/>
      <c r="BC156" s="11" t="str">
        <f aca="false">IFERROR(INDEX(CATEGORY_MASTER!$C$4:$C$30,MATCH(B156,CATEGORY_MASTER!$A$4:$A$30,0)),"")</f>
        <v>🖥️</v>
      </c>
      <c r="BD156" s="7" t="str">
        <f aca="false">"/services/"&amp;AO156</f>
        <v>/services/labour-construction-worker-registration-assistance</v>
      </c>
      <c r="BE156" s="7" t="str">
        <f aca="false">IF(AND(AH156="Yes",AG156="Active",I156&lt;&gt;"Not Available"),"LIVE","HIDDEN")</f>
        <v>HIDDEN</v>
      </c>
      <c r="BF156" s="6" t="s">
        <v>139</v>
      </c>
      <c r="BG156" s="6" t="s">
        <v>93</v>
      </c>
      <c r="BH156" s="7" t="str">
        <f aca="false">B156&amp;"|"&amp;COUNTIF($B$4:B156,B156)</f>
        <v>Common Service Centre (CSC)|48</v>
      </c>
      <c r="BI156" s="7" t="str">
        <f aca="false">IF(AND(AI156="Yes",BE156="LIVE"),COUNTIFS($AI$4:AI156,"Yes",$BE$4:BE156,"LIVE"),"")</f>
        <v/>
      </c>
      <c r="BJ156" s="7" t="str">
        <f aca="false">IF(AND(AJ156="Yes",BE156="LIVE"),COUNTIFS($AJ$4:AJ156,"Yes",$BE$4:BE156,"LIVE"),"")</f>
        <v/>
      </c>
      <c r="BK156" s="7" t="str">
        <f aca="false">IF(AND(AK156="Yes",BE156="LIVE"),COUNTIFS($AK$4:AK156,"Yes",$BE$4:BE156,"LIVE"),"")</f>
        <v/>
      </c>
      <c r="BL156" s="7" t="n">
        <f aca="false">IF(I156="To Verify",COUNTIF($I$4:I156,"To Verify"),"")</f>
        <v>47</v>
      </c>
    </row>
    <row r="157" customFormat="false" ht="102.2" hidden="false" customHeight="false" outlineLevel="0" collapsed="false">
      <c r="A157" s="5" t="s">
        <v>1854</v>
      </c>
      <c r="B157" s="6" t="s">
        <v>1341</v>
      </c>
      <c r="C157" s="6" t="s">
        <v>1342</v>
      </c>
      <c r="D157" s="6" t="s">
        <v>1855</v>
      </c>
      <c r="E157" s="6" t="s">
        <v>1856</v>
      </c>
      <c r="F157" s="6" t="s">
        <v>1857</v>
      </c>
      <c r="G157" s="6" t="s">
        <v>1858</v>
      </c>
      <c r="H157" s="6" t="s">
        <v>1858</v>
      </c>
      <c r="I157" s="5" t="s">
        <v>75</v>
      </c>
      <c r="J157" s="7" t="str">
        <f aca="false">IFERROR(INDEX(AVAILABILITY_MASTER!$C$4:$C$10,MATCH(I157,AVAILABILITY_MASTER!$A$4:$A$10,0)),"To Be Confirmed")</f>
        <v>To Be Confirmed</v>
      </c>
      <c r="K157" s="6" t="s">
        <v>129</v>
      </c>
      <c r="L157" s="6" t="s">
        <v>75</v>
      </c>
      <c r="M157" s="7" t="str">
        <f aca="false">IFERROR(INDEX(SERVICE_DOCUMENTS!$S$4:$S$1000,MATCH(A157,SERVICE_DOCUMENTS!$A$4:$A$1000,0))&amp;"","")</f>
        <v>✓ Aadhaar Card
✓ Active Mobile Number</v>
      </c>
      <c r="N157" s="7" t="str">
        <f aca="false">IFERROR(INDEX(SERVICE_DOCUMENTS!$T$4:$T$1000,MATCH(A157,SERVICE_DOCUMENTS!$A$4:$A$1000,0))&amp;"","")</f>
        <v/>
      </c>
      <c r="O157" s="6" t="s">
        <v>1346</v>
      </c>
      <c r="P157" s="6" t="s">
        <v>1859</v>
      </c>
      <c r="Q157" s="6" t="s">
        <v>78</v>
      </c>
      <c r="R157" s="8" t="s">
        <v>75</v>
      </c>
      <c r="S157" s="8" t="s">
        <v>75</v>
      </c>
      <c r="T157" s="9" t="str">
        <f aca="false">IF(AND(OR(ISNUMBER(R157),R157="N/A"),OR(ISNUMBER(S157),S157="N/A"),OR(ISNUMBER(R157),ISNUMBER(S157))),N(R157)+N(S157),"To Verify")</f>
        <v>To Verify</v>
      </c>
      <c r="U157" s="6" t="s">
        <v>75</v>
      </c>
      <c r="V157" s="6" t="s">
        <v>79</v>
      </c>
      <c r="W157" s="6" t="s">
        <v>80</v>
      </c>
      <c r="X157" s="6" t="s">
        <v>221</v>
      </c>
      <c r="Y157" s="6" t="s">
        <v>74</v>
      </c>
      <c r="Z157" s="6" t="s">
        <v>1373</v>
      </c>
      <c r="AA157" s="6" t="s">
        <v>74</v>
      </c>
      <c r="AB157" s="6" t="s">
        <v>74</v>
      </c>
      <c r="AC157" s="6" t="s">
        <v>75</v>
      </c>
      <c r="AD157" s="6" t="s">
        <v>75</v>
      </c>
      <c r="AE157" s="6" t="s">
        <v>75</v>
      </c>
      <c r="AF157" s="6" t="s">
        <v>75</v>
      </c>
      <c r="AG157" s="6" t="s">
        <v>75</v>
      </c>
      <c r="AH157" s="6" t="s">
        <v>79</v>
      </c>
      <c r="AI157" s="6" t="s">
        <v>79</v>
      </c>
      <c r="AJ157" s="6" t="s">
        <v>79</v>
      </c>
      <c r="AK157" s="6" t="s">
        <v>79</v>
      </c>
      <c r="AL157" s="6" t="s">
        <v>1341</v>
      </c>
      <c r="AM157" s="6" t="s">
        <v>1855</v>
      </c>
      <c r="AN157" s="7" t="str">
        <f aca="false">BA157&amp;", "&amp;AZ157</f>
        <v>Academic Bank of Credits (ABC) / APAAR ID Assistance, Common Service Centre (CSC), Devmobile Stores, ABC / APAAR आईडी सहायता, कॉमन सर्विस सेंटर (CSC), सेवा</v>
      </c>
      <c r="AO157" s="6" t="s">
        <v>1860</v>
      </c>
      <c r="AP157" s="5" t="s">
        <v>1350</v>
      </c>
      <c r="AQ157" s="5" t="n">
        <v>490</v>
      </c>
      <c r="AR157" s="6" t="s">
        <v>1351</v>
      </c>
      <c r="AS157" s="6" t="s">
        <v>1352</v>
      </c>
      <c r="AT157" s="6" t="s">
        <v>86</v>
      </c>
      <c r="AU157" s="10"/>
      <c r="AV157" s="6" t="s">
        <v>75</v>
      </c>
      <c r="AW157" s="6"/>
      <c r="AX157" s="6" t="s">
        <v>1861</v>
      </c>
      <c r="AY157" s="6" t="s">
        <v>1862</v>
      </c>
      <c r="AZ157" s="6" t="s">
        <v>1863</v>
      </c>
      <c r="BA157" s="6" t="s">
        <v>1864</v>
      </c>
      <c r="BB157" s="6"/>
      <c r="BC157" s="11" t="str">
        <f aca="false">IFERROR(INDEX(CATEGORY_MASTER!$C$4:$C$30,MATCH(B157,CATEGORY_MASTER!$A$4:$A$30,0)),"")</f>
        <v>🖥️</v>
      </c>
      <c r="BD157" s="7" t="str">
        <f aca="false">"/services/"&amp;AO157</f>
        <v>/services/academic-bank-of-credits-abc-apaar-id-assistance</v>
      </c>
      <c r="BE157" s="7" t="str">
        <f aca="false">IF(AND(AH157="Yes",AG157="Active",I157&lt;&gt;"Not Available"),"LIVE","HIDDEN")</f>
        <v>HIDDEN</v>
      </c>
      <c r="BF157" s="6" t="s">
        <v>139</v>
      </c>
      <c r="BG157" s="6" t="s">
        <v>93</v>
      </c>
      <c r="BH157" s="7" t="str">
        <f aca="false">B157&amp;"|"&amp;COUNTIF($B$4:B157,B157)</f>
        <v>Common Service Centre (CSC)|49</v>
      </c>
      <c r="BI157" s="7" t="str">
        <f aca="false">IF(AND(AI157="Yes",BE157="LIVE"),COUNTIFS($AI$4:AI157,"Yes",$BE$4:BE157,"LIVE"),"")</f>
        <v/>
      </c>
      <c r="BJ157" s="7" t="str">
        <f aca="false">IF(AND(AJ157="Yes",BE157="LIVE"),COUNTIFS($AJ$4:AJ157,"Yes",$BE$4:BE157,"LIVE"),"")</f>
        <v/>
      </c>
      <c r="BK157" s="7" t="str">
        <f aca="false">IF(AND(AK157="Yes",BE157="LIVE"),COUNTIFS($AK$4:AK157,"Yes",$BE$4:BE157,"LIVE"),"")</f>
        <v/>
      </c>
      <c r="BL157" s="7" t="n">
        <f aca="false">IF(I157="To Verify",COUNTIF($I$4:I157,"To Verify"),"")</f>
        <v>48</v>
      </c>
    </row>
    <row r="158" customFormat="false" ht="91" hidden="false" customHeight="false" outlineLevel="0" collapsed="false">
      <c r="A158" s="5" t="s">
        <v>1865</v>
      </c>
      <c r="B158" s="6" t="s">
        <v>1341</v>
      </c>
      <c r="C158" s="6" t="s">
        <v>1342</v>
      </c>
      <c r="D158" s="6" t="s">
        <v>1855</v>
      </c>
      <c r="E158" s="6" t="s">
        <v>1866</v>
      </c>
      <c r="F158" s="6" t="s">
        <v>1867</v>
      </c>
      <c r="G158" s="6" t="s">
        <v>1868</v>
      </c>
      <c r="H158" s="6" t="s">
        <v>1868</v>
      </c>
      <c r="I158" s="5" t="s">
        <v>75</v>
      </c>
      <c r="J158" s="7" t="str">
        <f aca="false">IFERROR(INDEX(AVAILABILITY_MASTER!$C$4:$C$10,MATCH(I158,AVAILABILITY_MASTER!$A$4:$A$10,0)),"To Be Confirmed")</f>
        <v>To Be Confirmed</v>
      </c>
      <c r="K158" s="6" t="s">
        <v>129</v>
      </c>
      <c r="L158" s="6" t="s">
        <v>75</v>
      </c>
      <c r="M158" s="7" t="str">
        <f aca="false">IFERROR(INDEX(SERVICE_DOCUMENTS!$S$4:$S$1000,MATCH(A158,SERVICE_DOCUMENTS!$A$4:$A$1000,0))&amp;"","")</f>
        <v>✓ Aadhaar Card
✓ Active Mobile Number</v>
      </c>
      <c r="N158" s="7" t="str">
        <f aca="false">IFERROR(INDEX(SERVICE_DOCUMENTS!$T$4:$T$1000,MATCH(A158,SERVICE_DOCUMENTS!$A$4:$A$1000,0))&amp;"","")</f>
        <v/>
      </c>
      <c r="O158" s="6" t="s">
        <v>1346</v>
      </c>
      <c r="P158" s="6" t="s">
        <v>1869</v>
      </c>
      <c r="Q158" s="6" t="s">
        <v>78</v>
      </c>
      <c r="R158" s="8" t="s">
        <v>75</v>
      </c>
      <c r="S158" s="8" t="s">
        <v>75</v>
      </c>
      <c r="T158" s="9" t="str">
        <f aca="false">IF(AND(OR(ISNUMBER(R158),R158="N/A"),OR(ISNUMBER(S158),S158="N/A"),OR(ISNUMBER(R158),ISNUMBER(S158))),N(R158)+N(S158),"To Verify")</f>
        <v>To Verify</v>
      </c>
      <c r="U158" s="6" t="s">
        <v>75</v>
      </c>
      <c r="V158" s="6" t="s">
        <v>79</v>
      </c>
      <c r="W158" s="6" t="s">
        <v>80</v>
      </c>
      <c r="X158" s="6" t="s">
        <v>221</v>
      </c>
      <c r="Y158" s="6" t="s">
        <v>74</v>
      </c>
      <c r="Z158" s="6" t="s">
        <v>1373</v>
      </c>
      <c r="AA158" s="6" t="s">
        <v>74</v>
      </c>
      <c r="AB158" s="6" t="s">
        <v>74</v>
      </c>
      <c r="AC158" s="6" t="s">
        <v>75</v>
      </c>
      <c r="AD158" s="6" t="s">
        <v>75</v>
      </c>
      <c r="AE158" s="6" t="s">
        <v>75</v>
      </c>
      <c r="AF158" s="6" t="s">
        <v>75</v>
      </c>
      <c r="AG158" s="6" t="s">
        <v>75</v>
      </c>
      <c r="AH158" s="6" t="s">
        <v>79</v>
      </c>
      <c r="AI158" s="6" t="s">
        <v>79</v>
      </c>
      <c r="AJ158" s="6" t="s">
        <v>79</v>
      </c>
      <c r="AK158" s="6" t="s">
        <v>79</v>
      </c>
      <c r="AL158" s="6" t="s">
        <v>1341</v>
      </c>
      <c r="AM158" s="6" t="s">
        <v>1855</v>
      </c>
      <c r="AN158" s="7" t="str">
        <f aca="false">BA158&amp;", "&amp;AZ158</f>
        <v>Document Attestation / Apostille Assistance, Common Service Centre (CSC), Devmobile Stores, दस्तावेज़ सत्यापन / अपोस्टिल सहायता, कॉमन सर्विस सेंटर (CSC), सेवा</v>
      </c>
      <c r="AO158" s="6" t="s">
        <v>1870</v>
      </c>
      <c r="AP158" s="5" t="s">
        <v>1350</v>
      </c>
      <c r="AQ158" s="5" t="n">
        <v>500</v>
      </c>
      <c r="AR158" s="6" t="s">
        <v>1351</v>
      </c>
      <c r="AS158" s="6" t="s">
        <v>1352</v>
      </c>
      <c r="AT158" s="6" t="s">
        <v>86</v>
      </c>
      <c r="AU158" s="10"/>
      <c r="AV158" s="6" t="s">
        <v>75</v>
      </c>
      <c r="AW158" s="6"/>
      <c r="AX158" s="6" t="s">
        <v>1871</v>
      </c>
      <c r="AY158" s="6" t="s">
        <v>1872</v>
      </c>
      <c r="AZ158" s="6" t="s">
        <v>1873</v>
      </c>
      <c r="BA158" s="6" t="s">
        <v>1874</v>
      </c>
      <c r="BB158" s="6"/>
      <c r="BC158" s="11" t="str">
        <f aca="false">IFERROR(INDEX(CATEGORY_MASTER!$C$4:$C$30,MATCH(B158,CATEGORY_MASTER!$A$4:$A$30,0)),"")</f>
        <v>🖥️</v>
      </c>
      <c r="BD158" s="7" t="str">
        <f aca="false">"/services/"&amp;AO158</f>
        <v>/services/document-attestation-apostille-assistance</v>
      </c>
      <c r="BE158" s="7" t="str">
        <f aca="false">IF(AND(AH158="Yes",AG158="Active",I158&lt;&gt;"Not Available"),"LIVE","HIDDEN")</f>
        <v>HIDDEN</v>
      </c>
      <c r="BF158" s="6" t="s">
        <v>139</v>
      </c>
      <c r="BG158" s="6" t="s">
        <v>93</v>
      </c>
      <c r="BH158" s="7" t="str">
        <f aca="false">B158&amp;"|"&amp;COUNTIF($B$4:B158,B158)</f>
        <v>Common Service Centre (CSC)|50</v>
      </c>
      <c r="BI158" s="7" t="str">
        <f aca="false">IF(AND(AI158="Yes",BE158="LIVE"),COUNTIFS($AI$4:AI158,"Yes",$BE$4:BE158,"LIVE"),"")</f>
        <v/>
      </c>
      <c r="BJ158" s="7" t="str">
        <f aca="false">IF(AND(AJ158="Yes",BE158="LIVE"),COUNTIFS($AJ$4:AJ158,"Yes",$BE$4:BE158,"LIVE"),"")</f>
        <v/>
      </c>
      <c r="BK158" s="7" t="str">
        <f aca="false">IF(AND(AK158="Yes",BE158="LIVE"),COUNTIFS($AK$4:AK158,"Yes",$BE$4:BE158,"LIVE"),"")</f>
        <v/>
      </c>
      <c r="BL158" s="7" t="n">
        <f aca="false">IF(I158="To Verify",COUNTIF($I$4:I158,"To Verify"),"")</f>
        <v>49</v>
      </c>
    </row>
    <row r="159" customFormat="false" ht="68.65" hidden="false" customHeight="false" outlineLevel="0" collapsed="false">
      <c r="A159" s="5" t="s">
        <v>1875</v>
      </c>
      <c r="B159" s="6" t="s">
        <v>1876</v>
      </c>
      <c r="C159" s="6" t="s">
        <v>1877</v>
      </c>
      <c r="D159" s="6" t="s">
        <v>1878</v>
      </c>
      <c r="E159" s="6" t="s">
        <v>1879</v>
      </c>
      <c r="F159" s="6" t="s">
        <v>1880</v>
      </c>
      <c r="G159" s="6" t="s">
        <v>1881</v>
      </c>
      <c r="H159" s="6" t="s">
        <v>1881</v>
      </c>
      <c r="I159" s="5" t="s">
        <v>167</v>
      </c>
      <c r="J159" s="7" t="str">
        <f aca="false">IFERROR(INDEX(AVAILABILITY_MASTER!$C$4:$C$10,MATCH(I159,AVAILABILITY_MASTER!$A$4:$A$10,0)),"To Be Confirmed")</f>
        <v>Available</v>
      </c>
      <c r="K159" s="6" t="s">
        <v>79</v>
      </c>
      <c r="L159" s="6" t="s">
        <v>437</v>
      </c>
      <c r="M159" s="7" t="str">
        <f aca="false">IFERROR(INDEX(SERVICE_DOCUMENTS!$S$4:$S$1000,MATCH(A159,SERVICE_DOCUMENTS!$A$4:$A$1000,0))&amp;"","")</f>
        <v/>
      </c>
      <c r="N159" s="7" t="str">
        <f aca="false">IFERROR(INDEX(SERVICE_DOCUMENTS!$T$4:$T$1000,MATCH(A159,SERVICE_DOCUMENTS!$A$4:$A$1000,0))&amp;"","")</f>
        <v/>
      </c>
      <c r="O159" s="6" t="s">
        <v>1882</v>
      </c>
      <c r="P159" s="6" t="s">
        <v>1883</v>
      </c>
      <c r="Q159" s="6" t="s">
        <v>440</v>
      </c>
      <c r="R159" s="8" t="s">
        <v>441</v>
      </c>
      <c r="S159" s="8" t="s">
        <v>75</v>
      </c>
      <c r="T159" s="9" t="str">
        <f aca="false">IF(AND(OR(ISNUMBER(R159),R159="N/A"),OR(ISNUMBER(S159),S159="N/A"),OR(ISNUMBER(R159),ISNUMBER(S159))),N(R159)+N(S159),"To Verify")</f>
        <v>To Verify</v>
      </c>
      <c r="U159" s="6" t="s">
        <v>1884</v>
      </c>
      <c r="V159" s="6" t="s">
        <v>79</v>
      </c>
      <c r="W159" s="6" t="s">
        <v>80</v>
      </c>
      <c r="X159" s="6" t="s">
        <v>81</v>
      </c>
      <c r="Y159" s="6" t="s">
        <v>79</v>
      </c>
      <c r="Z159" s="6"/>
      <c r="AA159" s="6" t="s">
        <v>74</v>
      </c>
      <c r="AB159" s="6" t="s">
        <v>79</v>
      </c>
      <c r="AC159" s="6" t="s">
        <v>75</v>
      </c>
      <c r="AD159" s="6" t="s">
        <v>75</v>
      </c>
      <c r="AE159" s="6" t="s">
        <v>79</v>
      </c>
      <c r="AF159" s="6" t="s">
        <v>79</v>
      </c>
      <c r="AG159" s="6" t="s">
        <v>170</v>
      </c>
      <c r="AH159" s="6" t="s">
        <v>74</v>
      </c>
      <c r="AI159" s="6" t="s">
        <v>79</v>
      </c>
      <c r="AJ159" s="6" t="s">
        <v>79</v>
      </c>
      <c r="AK159" s="6" t="s">
        <v>79</v>
      </c>
      <c r="AL159" s="6" t="s">
        <v>1876</v>
      </c>
      <c r="AM159" s="6" t="s">
        <v>1878</v>
      </c>
      <c r="AN159" s="7" t="str">
        <f aca="false">BA159&amp;", "&amp;AZ159</f>
        <v>New Mobile Phone Sales (Smartphone), Mobile Store, Devmobile Stores, नया मोबाइल फोन बिक्री (स्मार्टफोन), मोबाइल स्टोर, सेवा</v>
      </c>
      <c r="AO159" s="6" t="s">
        <v>1885</v>
      </c>
      <c r="AP159" s="5" t="s">
        <v>1886</v>
      </c>
      <c r="AQ159" s="5" t="n">
        <v>10</v>
      </c>
      <c r="AR159" s="6" t="s">
        <v>1887</v>
      </c>
      <c r="AS159" s="6"/>
      <c r="AT159" s="6" t="s">
        <v>86</v>
      </c>
      <c r="AU159" s="10"/>
      <c r="AV159" s="6" t="s">
        <v>75</v>
      </c>
      <c r="AW159" s="6"/>
      <c r="AX159" s="6" t="s">
        <v>1888</v>
      </c>
      <c r="AY159" s="6" t="s">
        <v>1889</v>
      </c>
      <c r="AZ159" s="6" t="s">
        <v>1890</v>
      </c>
      <c r="BA159" s="6" t="s">
        <v>1891</v>
      </c>
      <c r="BB159" s="6"/>
      <c r="BC159" s="11" t="str">
        <f aca="false">IFERROR(INDEX(CATEGORY_MASTER!$C$4:$C$30,MATCH(B159,CATEGORY_MASTER!$A$4:$A$30,0)),"")</f>
        <v>📱</v>
      </c>
      <c r="BD159" s="7" t="str">
        <f aca="false">"/services/"&amp;AO159</f>
        <v>/services/new-mobile-phone-sales-smartphone</v>
      </c>
      <c r="BE159" s="7" t="str">
        <f aca="false">IF(AND(AH159="Yes",AG159="Active",I159&lt;&gt;"Not Available"),"LIVE","HIDDEN")</f>
        <v>LIVE</v>
      </c>
      <c r="BF159" s="6" t="s">
        <v>139</v>
      </c>
      <c r="BG159" s="6" t="s">
        <v>1892</v>
      </c>
      <c r="BH159" s="7" t="str">
        <f aca="false">B159&amp;"|"&amp;COUNTIF($B$4:B159,B159)</f>
        <v>Mobile Store|1</v>
      </c>
      <c r="BI159" s="7" t="str">
        <f aca="false">IF(AND(AI159="Yes",BE159="LIVE"),COUNTIFS($AI$4:AI159,"Yes",$BE$4:BE159,"LIVE"),"")</f>
        <v/>
      </c>
      <c r="BJ159" s="7" t="str">
        <f aca="false">IF(AND(AJ159="Yes",BE159="LIVE"),COUNTIFS($AJ$4:AJ159,"Yes",$BE$4:BE159,"LIVE"),"")</f>
        <v/>
      </c>
      <c r="BK159" s="7" t="str">
        <f aca="false">IF(AND(AK159="Yes",BE159="LIVE"),COUNTIFS($AK$4:AK159,"Yes",$BE$4:BE159,"LIVE"),"")</f>
        <v/>
      </c>
      <c r="BL159" s="7" t="str">
        <f aca="false">IF(I159="To Verify",COUNTIF($I$4:I159,"To Verify"),"")</f>
        <v/>
      </c>
    </row>
    <row r="160" customFormat="false" ht="57.45" hidden="false" customHeight="false" outlineLevel="0" collapsed="false">
      <c r="A160" s="5" t="s">
        <v>1893</v>
      </c>
      <c r="B160" s="6" t="s">
        <v>1876</v>
      </c>
      <c r="C160" s="6" t="s">
        <v>1877</v>
      </c>
      <c r="D160" s="6" t="s">
        <v>1878</v>
      </c>
      <c r="E160" s="6" t="s">
        <v>1894</v>
      </c>
      <c r="F160" s="6" t="s">
        <v>1895</v>
      </c>
      <c r="G160" s="6" t="s">
        <v>1896</v>
      </c>
      <c r="H160" s="6" t="s">
        <v>1896</v>
      </c>
      <c r="I160" s="5" t="s">
        <v>75</v>
      </c>
      <c r="J160" s="7" t="str">
        <f aca="false">IFERROR(INDEX(AVAILABILITY_MASTER!$C$4:$C$10,MATCH(I160,AVAILABILITY_MASTER!$A$4:$A$10,0)),"To Be Confirmed")</f>
        <v>To Be Confirmed</v>
      </c>
      <c r="K160" s="6" t="s">
        <v>129</v>
      </c>
      <c r="L160" s="6" t="s">
        <v>75</v>
      </c>
      <c r="M160" s="7" t="str">
        <f aca="false">IFERROR(INDEX(SERVICE_DOCUMENTS!$S$4:$S$1000,MATCH(A160,SERVICE_DOCUMENTS!$A$4:$A$1000,0))&amp;"","")</f>
        <v/>
      </c>
      <c r="N160" s="7" t="str">
        <f aca="false">IFERROR(INDEX(SERVICE_DOCUMENTS!$T$4:$T$1000,MATCH(A160,SERVICE_DOCUMENTS!$A$4:$A$1000,0))&amp;"","")</f>
        <v/>
      </c>
      <c r="O160" s="6" t="s">
        <v>1882</v>
      </c>
      <c r="P160" s="6" t="s">
        <v>1883</v>
      </c>
      <c r="Q160" s="6" t="s">
        <v>440</v>
      </c>
      <c r="R160" s="8" t="s">
        <v>441</v>
      </c>
      <c r="S160" s="8" t="s">
        <v>75</v>
      </c>
      <c r="T160" s="9" t="str">
        <f aca="false">IF(AND(OR(ISNUMBER(R160),R160="N/A"),OR(ISNUMBER(S160),S160="N/A"),OR(ISNUMBER(R160),ISNUMBER(S160))),N(R160)+N(S160),"To Verify")</f>
        <v>To Verify</v>
      </c>
      <c r="U160" s="6" t="s">
        <v>1884</v>
      </c>
      <c r="V160" s="6" t="s">
        <v>79</v>
      </c>
      <c r="W160" s="6" t="s">
        <v>80</v>
      </c>
      <c r="X160" s="6" t="s">
        <v>81</v>
      </c>
      <c r="Y160" s="6" t="s">
        <v>79</v>
      </c>
      <c r="Z160" s="6"/>
      <c r="AA160" s="6" t="s">
        <v>74</v>
      </c>
      <c r="AB160" s="6" t="s">
        <v>79</v>
      </c>
      <c r="AC160" s="6" t="s">
        <v>75</v>
      </c>
      <c r="AD160" s="6" t="s">
        <v>75</v>
      </c>
      <c r="AE160" s="6" t="s">
        <v>79</v>
      </c>
      <c r="AF160" s="6" t="s">
        <v>79</v>
      </c>
      <c r="AG160" s="6" t="s">
        <v>75</v>
      </c>
      <c r="AH160" s="6" t="s">
        <v>79</v>
      </c>
      <c r="AI160" s="6" t="s">
        <v>79</v>
      </c>
      <c r="AJ160" s="6" t="s">
        <v>79</v>
      </c>
      <c r="AK160" s="6" t="s">
        <v>79</v>
      </c>
      <c r="AL160" s="6" t="s">
        <v>1876</v>
      </c>
      <c r="AM160" s="6" t="s">
        <v>1878</v>
      </c>
      <c r="AN160" s="7" t="str">
        <f aca="false">BA160&amp;", "&amp;AZ160</f>
        <v>Keypad / Feature Phone Sales, Mobile Store, Devmobile Stores, कीपैड / फीचर फोन बिक्री, मोबाइल स्टोर, सेवा</v>
      </c>
      <c r="AO160" s="6" t="s">
        <v>1897</v>
      </c>
      <c r="AP160" s="5" t="s">
        <v>1886</v>
      </c>
      <c r="AQ160" s="5" t="n">
        <v>20</v>
      </c>
      <c r="AR160" s="6" t="s">
        <v>1887</v>
      </c>
      <c r="AS160" s="6" t="s">
        <v>474</v>
      </c>
      <c r="AT160" s="6" t="s">
        <v>86</v>
      </c>
      <c r="AU160" s="10"/>
      <c r="AV160" s="6" t="s">
        <v>75</v>
      </c>
      <c r="AW160" s="6" t="s">
        <v>1898</v>
      </c>
      <c r="AX160" s="6" t="s">
        <v>1899</v>
      </c>
      <c r="AY160" s="6" t="s">
        <v>1900</v>
      </c>
      <c r="AZ160" s="6" t="s">
        <v>1901</v>
      </c>
      <c r="BA160" s="6" t="s">
        <v>1902</v>
      </c>
      <c r="BB160" s="6"/>
      <c r="BC160" s="11" t="str">
        <f aca="false">IFERROR(INDEX(CATEGORY_MASTER!$C$4:$C$30,MATCH(B160,CATEGORY_MASTER!$A$4:$A$30,0)),"")</f>
        <v>📱</v>
      </c>
      <c r="BD160" s="7" t="str">
        <f aca="false">"/services/"&amp;AO160</f>
        <v>/services/keypad-feature-phone-sales</v>
      </c>
      <c r="BE160" s="7" t="str">
        <f aca="false">IF(AND(AH160="Yes",AG160="Active",I160&lt;&gt;"Not Available"),"LIVE","HIDDEN")</f>
        <v>HIDDEN</v>
      </c>
      <c r="BF160" s="6" t="s">
        <v>139</v>
      </c>
      <c r="BG160" s="6" t="s">
        <v>1892</v>
      </c>
      <c r="BH160" s="7" t="str">
        <f aca="false">B160&amp;"|"&amp;COUNTIF($B$4:B160,B160)</f>
        <v>Mobile Store|2</v>
      </c>
      <c r="BI160" s="7" t="str">
        <f aca="false">IF(AND(AI160="Yes",BE160="LIVE"),COUNTIFS($AI$4:AI160,"Yes",$BE$4:BE160,"LIVE"),"")</f>
        <v/>
      </c>
      <c r="BJ160" s="7" t="str">
        <f aca="false">IF(AND(AJ160="Yes",BE160="LIVE"),COUNTIFS($AJ$4:AJ160,"Yes",$BE$4:BE160,"LIVE"),"")</f>
        <v/>
      </c>
      <c r="BK160" s="7" t="str">
        <f aca="false">IF(AND(AK160="Yes",BE160="LIVE"),COUNTIFS($AK$4:AK160,"Yes",$BE$4:BE160,"LIVE"),"")</f>
        <v/>
      </c>
      <c r="BL160" s="7" t="n">
        <f aca="false">IF(I160="To Verify",COUNTIF($I$4:I160,"To Verify"),"")</f>
        <v>50</v>
      </c>
    </row>
    <row r="161" customFormat="false" ht="57.45" hidden="false" customHeight="false" outlineLevel="0" collapsed="false">
      <c r="A161" s="5" t="s">
        <v>1903</v>
      </c>
      <c r="B161" s="6" t="s">
        <v>1876</v>
      </c>
      <c r="C161" s="6" t="s">
        <v>1877</v>
      </c>
      <c r="D161" s="6" t="s">
        <v>1904</v>
      </c>
      <c r="E161" s="6" t="s">
        <v>1905</v>
      </c>
      <c r="F161" s="6" t="s">
        <v>1906</v>
      </c>
      <c r="G161" s="6" t="s">
        <v>1907</v>
      </c>
      <c r="H161" s="6" t="s">
        <v>1907</v>
      </c>
      <c r="I161" s="5" t="s">
        <v>167</v>
      </c>
      <c r="J161" s="7" t="str">
        <f aca="false">IFERROR(INDEX(AVAILABILITY_MASTER!$C$4:$C$10,MATCH(I161,AVAILABILITY_MASTER!$A$4:$A$10,0)),"To Be Confirmed")</f>
        <v>Available</v>
      </c>
      <c r="K161" s="6" t="s">
        <v>79</v>
      </c>
      <c r="L161" s="6" t="s">
        <v>437</v>
      </c>
      <c r="M161" s="7" t="str">
        <f aca="false">IFERROR(INDEX(SERVICE_DOCUMENTS!$S$4:$S$1000,MATCH(A161,SERVICE_DOCUMENTS!$A$4:$A$1000,0))&amp;"","")</f>
        <v/>
      </c>
      <c r="N161" s="7" t="str">
        <f aca="false">IFERROR(INDEX(SERVICE_DOCUMENTS!$T$4:$T$1000,MATCH(A161,SERVICE_DOCUMENTS!$A$4:$A$1000,0))&amp;"","")</f>
        <v/>
      </c>
      <c r="O161" s="6" t="s">
        <v>1882</v>
      </c>
      <c r="P161" s="6" t="s">
        <v>1883</v>
      </c>
      <c r="Q161" s="6" t="s">
        <v>440</v>
      </c>
      <c r="R161" s="8" t="s">
        <v>441</v>
      </c>
      <c r="S161" s="8" t="s">
        <v>75</v>
      </c>
      <c r="T161" s="9" t="str">
        <f aca="false">IF(AND(OR(ISNUMBER(R161),R161="N/A"),OR(ISNUMBER(S161),S161="N/A"),OR(ISNUMBER(R161),ISNUMBER(S161))),N(R161)+N(S161),"To Verify")</f>
        <v>To Verify</v>
      </c>
      <c r="U161" s="6" t="s">
        <v>1884</v>
      </c>
      <c r="V161" s="6" t="s">
        <v>79</v>
      </c>
      <c r="W161" s="6" t="s">
        <v>80</v>
      </c>
      <c r="X161" s="6" t="s">
        <v>81</v>
      </c>
      <c r="Y161" s="6" t="s">
        <v>79</v>
      </c>
      <c r="Z161" s="6"/>
      <c r="AA161" s="6" t="s">
        <v>74</v>
      </c>
      <c r="AB161" s="6" t="s">
        <v>79</v>
      </c>
      <c r="AC161" s="6" t="s">
        <v>75</v>
      </c>
      <c r="AD161" s="6" t="s">
        <v>75</v>
      </c>
      <c r="AE161" s="6" t="s">
        <v>79</v>
      </c>
      <c r="AF161" s="6" t="s">
        <v>79</v>
      </c>
      <c r="AG161" s="6" t="s">
        <v>170</v>
      </c>
      <c r="AH161" s="6" t="s">
        <v>74</v>
      </c>
      <c r="AI161" s="6" t="s">
        <v>79</v>
      </c>
      <c r="AJ161" s="6" t="s">
        <v>79</v>
      </c>
      <c r="AK161" s="6" t="s">
        <v>79</v>
      </c>
      <c r="AL161" s="6" t="s">
        <v>1876</v>
      </c>
      <c r="AM161" s="6" t="s">
        <v>1904</v>
      </c>
      <c r="AN161" s="7" t="str">
        <f aca="false">BA161&amp;", "&amp;AZ161</f>
        <v>Mobile Charger, Mobile Store, Devmobile Stores, मोबाइल चार्जर, मोबाइल स्टोर, सेवा</v>
      </c>
      <c r="AO161" s="6" t="s">
        <v>1908</v>
      </c>
      <c r="AP161" s="5" t="s">
        <v>1909</v>
      </c>
      <c r="AQ161" s="5" t="n">
        <v>30</v>
      </c>
      <c r="AR161" s="6" t="s">
        <v>1887</v>
      </c>
      <c r="AS161" s="6"/>
      <c r="AT161" s="6" t="s">
        <v>86</v>
      </c>
      <c r="AU161" s="10"/>
      <c r="AV161" s="6" t="s">
        <v>75</v>
      </c>
      <c r="AW161" s="6"/>
      <c r="AX161" s="6" t="s">
        <v>1910</v>
      </c>
      <c r="AY161" s="6" t="s">
        <v>1911</v>
      </c>
      <c r="AZ161" s="6" t="s">
        <v>1912</v>
      </c>
      <c r="BA161" s="6" t="s">
        <v>1913</v>
      </c>
      <c r="BB161" s="6"/>
      <c r="BC161" s="11" t="str">
        <f aca="false">IFERROR(INDEX(CATEGORY_MASTER!$C$4:$C$30,MATCH(B161,CATEGORY_MASTER!$A$4:$A$30,0)),"")</f>
        <v>📱</v>
      </c>
      <c r="BD161" s="7" t="str">
        <f aca="false">"/services/"&amp;AO161</f>
        <v>/services/mobile-charger</v>
      </c>
      <c r="BE161" s="7" t="str">
        <f aca="false">IF(AND(AH161="Yes",AG161="Active",I161&lt;&gt;"Not Available"),"LIVE","HIDDEN")</f>
        <v>LIVE</v>
      </c>
      <c r="BF161" s="6" t="s">
        <v>139</v>
      </c>
      <c r="BG161" s="6" t="s">
        <v>1892</v>
      </c>
      <c r="BH161" s="7" t="str">
        <f aca="false">B161&amp;"|"&amp;COUNTIF($B$4:B161,B161)</f>
        <v>Mobile Store|3</v>
      </c>
      <c r="BI161" s="7" t="str">
        <f aca="false">IF(AND(AI161="Yes",BE161="LIVE"),COUNTIFS($AI$4:AI161,"Yes",$BE$4:BE161,"LIVE"),"")</f>
        <v/>
      </c>
      <c r="BJ161" s="7" t="str">
        <f aca="false">IF(AND(AJ161="Yes",BE161="LIVE"),COUNTIFS($AJ$4:AJ161,"Yes",$BE$4:BE161,"LIVE"),"")</f>
        <v/>
      </c>
      <c r="BK161" s="7" t="str">
        <f aca="false">IF(AND(AK161="Yes",BE161="LIVE"),COUNTIFS($AK$4:AK161,"Yes",$BE$4:BE161,"LIVE"),"")</f>
        <v/>
      </c>
      <c r="BL161" s="7" t="str">
        <f aca="false">IF(I161="To Verify",COUNTIF($I$4:I161,"To Verify"),"")</f>
        <v/>
      </c>
    </row>
    <row r="162" customFormat="false" ht="57.45" hidden="false" customHeight="false" outlineLevel="0" collapsed="false">
      <c r="A162" s="5" t="s">
        <v>1914</v>
      </c>
      <c r="B162" s="6" t="s">
        <v>1876</v>
      </c>
      <c r="C162" s="6" t="s">
        <v>1877</v>
      </c>
      <c r="D162" s="6" t="s">
        <v>1904</v>
      </c>
      <c r="E162" s="6" t="s">
        <v>1915</v>
      </c>
      <c r="F162" s="6" t="s">
        <v>1916</v>
      </c>
      <c r="G162" s="6" t="s">
        <v>1917</v>
      </c>
      <c r="H162" s="6" t="s">
        <v>1917</v>
      </c>
      <c r="I162" s="5" t="s">
        <v>167</v>
      </c>
      <c r="J162" s="7" t="str">
        <f aca="false">IFERROR(INDEX(AVAILABILITY_MASTER!$C$4:$C$10,MATCH(I162,AVAILABILITY_MASTER!$A$4:$A$10,0)),"To Be Confirmed")</f>
        <v>Available</v>
      </c>
      <c r="K162" s="6" t="s">
        <v>79</v>
      </c>
      <c r="L162" s="6" t="s">
        <v>437</v>
      </c>
      <c r="M162" s="7" t="str">
        <f aca="false">IFERROR(INDEX(SERVICE_DOCUMENTS!$S$4:$S$1000,MATCH(A162,SERVICE_DOCUMENTS!$A$4:$A$1000,0))&amp;"","")</f>
        <v/>
      </c>
      <c r="N162" s="7" t="str">
        <f aca="false">IFERROR(INDEX(SERVICE_DOCUMENTS!$T$4:$T$1000,MATCH(A162,SERVICE_DOCUMENTS!$A$4:$A$1000,0))&amp;"","")</f>
        <v/>
      </c>
      <c r="O162" s="6" t="s">
        <v>1882</v>
      </c>
      <c r="P162" s="6" t="s">
        <v>1883</v>
      </c>
      <c r="Q162" s="6" t="s">
        <v>440</v>
      </c>
      <c r="R162" s="8" t="s">
        <v>441</v>
      </c>
      <c r="S162" s="8" t="s">
        <v>75</v>
      </c>
      <c r="T162" s="9" t="str">
        <f aca="false">IF(AND(OR(ISNUMBER(R162),R162="N/A"),OR(ISNUMBER(S162),S162="N/A"),OR(ISNUMBER(R162),ISNUMBER(S162))),N(R162)+N(S162),"To Verify")</f>
        <v>To Verify</v>
      </c>
      <c r="U162" s="6" t="s">
        <v>1884</v>
      </c>
      <c r="V162" s="6" t="s">
        <v>79</v>
      </c>
      <c r="W162" s="6" t="s">
        <v>80</v>
      </c>
      <c r="X162" s="6" t="s">
        <v>81</v>
      </c>
      <c r="Y162" s="6" t="s">
        <v>79</v>
      </c>
      <c r="Z162" s="6"/>
      <c r="AA162" s="6" t="s">
        <v>74</v>
      </c>
      <c r="AB162" s="6" t="s">
        <v>79</v>
      </c>
      <c r="AC162" s="6" t="s">
        <v>75</v>
      </c>
      <c r="AD162" s="6" t="s">
        <v>75</v>
      </c>
      <c r="AE162" s="6" t="s">
        <v>79</v>
      </c>
      <c r="AF162" s="6" t="s">
        <v>79</v>
      </c>
      <c r="AG162" s="6" t="s">
        <v>170</v>
      </c>
      <c r="AH162" s="6" t="s">
        <v>74</v>
      </c>
      <c r="AI162" s="6" t="s">
        <v>79</v>
      </c>
      <c r="AJ162" s="6" t="s">
        <v>79</v>
      </c>
      <c r="AK162" s="6" t="s">
        <v>79</v>
      </c>
      <c r="AL162" s="6" t="s">
        <v>1876</v>
      </c>
      <c r="AM162" s="6" t="s">
        <v>1904</v>
      </c>
      <c r="AN162" s="7" t="str">
        <f aca="false">BA162&amp;", "&amp;AZ162</f>
        <v>Data Cable, Mobile Store, Devmobile Stores, डेटा केबल, मोबाइल स्टोर, सेवा</v>
      </c>
      <c r="AO162" s="6" t="s">
        <v>1918</v>
      </c>
      <c r="AP162" s="5" t="s">
        <v>1909</v>
      </c>
      <c r="AQ162" s="5" t="n">
        <v>40</v>
      </c>
      <c r="AR162" s="6" t="s">
        <v>1887</v>
      </c>
      <c r="AS162" s="6"/>
      <c r="AT162" s="6" t="s">
        <v>86</v>
      </c>
      <c r="AU162" s="10"/>
      <c r="AV162" s="6" t="s">
        <v>75</v>
      </c>
      <c r="AW162" s="6"/>
      <c r="AX162" s="6" t="s">
        <v>1919</v>
      </c>
      <c r="AY162" s="6" t="s">
        <v>1920</v>
      </c>
      <c r="AZ162" s="6" t="s">
        <v>1921</v>
      </c>
      <c r="BA162" s="6" t="s">
        <v>1922</v>
      </c>
      <c r="BB162" s="6"/>
      <c r="BC162" s="11" t="str">
        <f aca="false">IFERROR(INDEX(CATEGORY_MASTER!$C$4:$C$30,MATCH(B162,CATEGORY_MASTER!$A$4:$A$30,0)),"")</f>
        <v>📱</v>
      </c>
      <c r="BD162" s="7" t="str">
        <f aca="false">"/services/"&amp;AO162</f>
        <v>/services/data-cable</v>
      </c>
      <c r="BE162" s="7" t="str">
        <f aca="false">IF(AND(AH162="Yes",AG162="Active",I162&lt;&gt;"Not Available"),"LIVE","HIDDEN")</f>
        <v>LIVE</v>
      </c>
      <c r="BF162" s="6" t="s">
        <v>139</v>
      </c>
      <c r="BG162" s="6" t="s">
        <v>1892</v>
      </c>
      <c r="BH162" s="7" t="str">
        <f aca="false">B162&amp;"|"&amp;COUNTIF($B$4:B162,B162)</f>
        <v>Mobile Store|4</v>
      </c>
      <c r="BI162" s="7" t="str">
        <f aca="false">IF(AND(AI162="Yes",BE162="LIVE"),COUNTIFS($AI$4:AI162,"Yes",$BE$4:BE162,"LIVE"),"")</f>
        <v/>
      </c>
      <c r="BJ162" s="7" t="str">
        <f aca="false">IF(AND(AJ162="Yes",BE162="LIVE"),COUNTIFS($AJ$4:AJ162,"Yes",$BE$4:BE162,"LIVE"),"")</f>
        <v/>
      </c>
      <c r="BK162" s="7" t="str">
        <f aca="false">IF(AND(AK162="Yes",BE162="LIVE"),COUNTIFS($AK$4:AK162,"Yes",$BE$4:BE162,"LIVE"),"")</f>
        <v/>
      </c>
      <c r="BL162" s="7" t="str">
        <f aca="false">IF(I162="To Verify",COUNTIF($I$4:I162,"To Verify"),"")</f>
        <v/>
      </c>
    </row>
    <row r="163" customFormat="false" ht="57.45" hidden="false" customHeight="false" outlineLevel="0" collapsed="false">
      <c r="A163" s="5" t="s">
        <v>1923</v>
      </c>
      <c r="B163" s="6" t="s">
        <v>1876</v>
      </c>
      <c r="C163" s="6" t="s">
        <v>1877</v>
      </c>
      <c r="D163" s="6" t="s">
        <v>1904</v>
      </c>
      <c r="E163" s="6" t="s">
        <v>1924</v>
      </c>
      <c r="F163" s="6" t="s">
        <v>1925</v>
      </c>
      <c r="G163" s="6" t="s">
        <v>1926</v>
      </c>
      <c r="H163" s="6" t="s">
        <v>1926</v>
      </c>
      <c r="I163" s="5" t="s">
        <v>75</v>
      </c>
      <c r="J163" s="7" t="str">
        <f aca="false">IFERROR(INDEX(AVAILABILITY_MASTER!$C$4:$C$10,MATCH(I163,AVAILABILITY_MASTER!$A$4:$A$10,0)),"To Be Confirmed")</f>
        <v>To Be Confirmed</v>
      </c>
      <c r="K163" s="6" t="s">
        <v>129</v>
      </c>
      <c r="L163" s="6" t="s">
        <v>75</v>
      </c>
      <c r="M163" s="7" t="str">
        <f aca="false">IFERROR(INDEX(SERVICE_DOCUMENTS!$S$4:$S$1000,MATCH(A163,SERVICE_DOCUMENTS!$A$4:$A$1000,0))&amp;"","")</f>
        <v/>
      </c>
      <c r="N163" s="7" t="str">
        <f aca="false">IFERROR(INDEX(SERVICE_DOCUMENTS!$T$4:$T$1000,MATCH(A163,SERVICE_DOCUMENTS!$A$4:$A$1000,0))&amp;"","")</f>
        <v/>
      </c>
      <c r="O163" s="6" t="s">
        <v>1882</v>
      </c>
      <c r="P163" s="6" t="s">
        <v>1883</v>
      </c>
      <c r="Q163" s="6" t="s">
        <v>440</v>
      </c>
      <c r="R163" s="8" t="s">
        <v>441</v>
      </c>
      <c r="S163" s="8" t="s">
        <v>75</v>
      </c>
      <c r="T163" s="9" t="str">
        <f aca="false">IF(AND(OR(ISNUMBER(R163),R163="N/A"),OR(ISNUMBER(S163),S163="N/A"),OR(ISNUMBER(R163),ISNUMBER(S163))),N(R163)+N(S163),"To Verify")</f>
        <v>To Verify</v>
      </c>
      <c r="U163" s="6" t="s">
        <v>1884</v>
      </c>
      <c r="V163" s="6" t="s">
        <v>79</v>
      </c>
      <c r="W163" s="6" t="s">
        <v>80</v>
      </c>
      <c r="X163" s="6" t="s">
        <v>81</v>
      </c>
      <c r="Y163" s="6" t="s">
        <v>79</v>
      </c>
      <c r="Z163" s="6"/>
      <c r="AA163" s="6" t="s">
        <v>74</v>
      </c>
      <c r="AB163" s="6" t="s">
        <v>79</v>
      </c>
      <c r="AC163" s="6" t="s">
        <v>75</v>
      </c>
      <c r="AD163" s="6" t="s">
        <v>75</v>
      </c>
      <c r="AE163" s="6" t="s">
        <v>79</v>
      </c>
      <c r="AF163" s="6" t="s">
        <v>79</v>
      </c>
      <c r="AG163" s="6" t="s">
        <v>75</v>
      </c>
      <c r="AH163" s="6" t="s">
        <v>79</v>
      </c>
      <c r="AI163" s="6" t="s">
        <v>79</v>
      </c>
      <c r="AJ163" s="6" t="s">
        <v>79</v>
      </c>
      <c r="AK163" s="6" t="s">
        <v>79</v>
      </c>
      <c r="AL163" s="6" t="s">
        <v>1876</v>
      </c>
      <c r="AM163" s="6" t="s">
        <v>1904</v>
      </c>
      <c r="AN163" s="7" t="str">
        <f aca="false">BA163&amp;", "&amp;AZ163</f>
        <v>Power Bank, Mobile Store, Devmobile Stores, पावर बैंक, मोबाइल स्टोर, सेवा</v>
      </c>
      <c r="AO163" s="6" t="s">
        <v>1927</v>
      </c>
      <c r="AP163" s="5" t="s">
        <v>1909</v>
      </c>
      <c r="AQ163" s="5" t="n">
        <v>50</v>
      </c>
      <c r="AR163" s="6" t="s">
        <v>1887</v>
      </c>
      <c r="AS163" s="6" t="s">
        <v>474</v>
      </c>
      <c r="AT163" s="6" t="s">
        <v>86</v>
      </c>
      <c r="AU163" s="10"/>
      <c r="AV163" s="6" t="s">
        <v>75</v>
      </c>
      <c r="AW163" s="6" t="s">
        <v>1898</v>
      </c>
      <c r="AX163" s="6" t="s">
        <v>1928</v>
      </c>
      <c r="AY163" s="6" t="s">
        <v>1929</v>
      </c>
      <c r="AZ163" s="6" t="s">
        <v>1930</v>
      </c>
      <c r="BA163" s="6" t="s">
        <v>1931</v>
      </c>
      <c r="BB163" s="6"/>
      <c r="BC163" s="11" t="str">
        <f aca="false">IFERROR(INDEX(CATEGORY_MASTER!$C$4:$C$30,MATCH(B163,CATEGORY_MASTER!$A$4:$A$30,0)),"")</f>
        <v>📱</v>
      </c>
      <c r="BD163" s="7" t="str">
        <f aca="false">"/services/"&amp;AO163</f>
        <v>/services/power-bank</v>
      </c>
      <c r="BE163" s="7" t="str">
        <f aca="false">IF(AND(AH163="Yes",AG163="Active",I163&lt;&gt;"Not Available"),"LIVE","HIDDEN")</f>
        <v>HIDDEN</v>
      </c>
      <c r="BF163" s="6" t="s">
        <v>139</v>
      </c>
      <c r="BG163" s="6" t="s">
        <v>1892</v>
      </c>
      <c r="BH163" s="7" t="str">
        <f aca="false">B163&amp;"|"&amp;COUNTIF($B$4:B163,B163)</f>
        <v>Mobile Store|5</v>
      </c>
      <c r="BI163" s="7" t="str">
        <f aca="false">IF(AND(AI163="Yes",BE163="LIVE"),COUNTIFS($AI$4:AI163,"Yes",$BE$4:BE163,"LIVE"),"")</f>
        <v/>
      </c>
      <c r="BJ163" s="7" t="str">
        <f aca="false">IF(AND(AJ163="Yes",BE163="LIVE"),COUNTIFS($AJ$4:AJ163,"Yes",$BE$4:BE163,"LIVE"),"")</f>
        <v/>
      </c>
      <c r="BK163" s="7" t="str">
        <f aca="false">IF(AND(AK163="Yes",BE163="LIVE"),COUNTIFS($AK$4:AK163,"Yes",$BE$4:BE163,"LIVE"),"")</f>
        <v/>
      </c>
      <c r="BL163" s="7" t="n">
        <f aca="false">IF(I163="To Verify",COUNTIF($I$4:I163,"To Verify"),"")</f>
        <v>51</v>
      </c>
    </row>
    <row r="164" customFormat="false" ht="57.45" hidden="false" customHeight="false" outlineLevel="0" collapsed="false">
      <c r="A164" s="5" t="s">
        <v>1932</v>
      </c>
      <c r="B164" s="6" t="s">
        <v>1876</v>
      </c>
      <c r="C164" s="6" t="s">
        <v>1877</v>
      </c>
      <c r="D164" s="6" t="s">
        <v>1933</v>
      </c>
      <c r="E164" s="6" t="s">
        <v>1934</v>
      </c>
      <c r="F164" s="6" t="s">
        <v>1935</v>
      </c>
      <c r="G164" s="6" t="s">
        <v>1936</v>
      </c>
      <c r="H164" s="6" t="s">
        <v>1936</v>
      </c>
      <c r="I164" s="5" t="s">
        <v>167</v>
      </c>
      <c r="J164" s="7" t="str">
        <f aca="false">IFERROR(INDEX(AVAILABILITY_MASTER!$C$4:$C$10,MATCH(I164,AVAILABILITY_MASTER!$A$4:$A$10,0)),"To Be Confirmed")</f>
        <v>Available</v>
      </c>
      <c r="K164" s="6" t="s">
        <v>79</v>
      </c>
      <c r="L164" s="6" t="s">
        <v>437</v>
      </c>
      <c r="M164" s="7" t="str">
        <f aca="false">IFERROR(INDEX(SERVICE_DOCUMENTS!$S$4:$S$1000,MATCH(A164,SERVICE_DOCUMENTS!$A$4:$A$1000,0))&amp;"","")</f>
        <v/>
      </c>
      <c r="N164" s="7" t="str">
        <f aca="false">IFERROR(INDEX(SERVICE_DOCUMENTS!$T$4:$T$1000,MATCH(A164,SERVICE_DOCUMENTS!$A$4:$A$1000,0))&amp;"","")</f>
        <v/>
      </c>
      <c r="O164" s="6" t="s">
        <v>1882</v>
      </c>
      <c r="P164" s="6" t="s">
        <v>1883</v>
      </c>
      <c r="Q164" s="6" t="s">
        <v>440</v>
      </c>
      <c r="R164" s="8" t="s">
        <v>441</v>
      </c>
      <c r="S164" s="8" t="s">
        <v>75</v>
      </c>
      <c r="T164" s="9" t="str">
        <f aca="false">IF(AND(OR(ISNUMBER(R164),R164="N/A"),OR(ISNUMBER(S164),S164="N/A"),OR(ISNUMBER(R164),ISNUMBER(S164))),N(R164)+N(S164),"To Verify")</f>
        <v>To Verify</v>
      </c>
      <c r="U164" s="6" t="s">
        <v>1884</v>
      </c>
      <c r="V164" s="6" t="s">
        <v>79</v>
      </c>
      <c r="W164" s="6" t="s">
        <v>80</v>
      </c>
      <c r="X164" s="6" t="s">
        <v>81</v>
      </c>
      <c r="Y164" s="6" t="s">
        <v>79</v>
      </c>
      <c r="Z164" s="6"/>
      <c r="AA164" s="6" t="s">
        <v>74</v>
      </c>
      <c r="AB164" s="6" t="s">
        <v>79</v>
      </c>
      <c r="AC164" s="6" t="s">
        <v>75</v>
      </c>
      <c r="AD164" s="6" t="s">
        <v>75</v>
      </c>
      <c r="AE164" s="6" t="s">
        <v>79</v>
      </c>
      <c r="AF164" s="6" t="s">
        <v>79</v>
      </c>
      <c r="AG164" s="6" t="s">
        <v>170</v>
      </c>
      <c r="AH164" s="6" t="s">
        <v>74</v>
      </c>
      <c r="AI164" s="6" t="s">
        <v>79</v>
      </c>
      <c r="AJ164" s="6" t="s">
        <v>79</v>
      </c>
      <c r="AK164" s="6" t="s">
        <v>79</v>
      </c>
      <c r="AL164" s="6" t="s">
        <v>1876</v>
      </c>
      <c r="AM164" s="6" t="s">
        <v>1933</v>
      </c>
      <c r="AN164" s="7" t="str">
        <f aca="false">BA164&amp;", "&amp;AZ164</f>
        <v>Earphone (Wired), Mobile Store, Devmobile Stores, ईयरफोन (वायर्ड), मोबाइल स्टोर, सेवा</v>
      </c>
      <c r="AO164" s="6" t="s">
        <v>1937</v>
      </c>
      <c r="AP164" s="5" t="s">
        <v>1938</v>
      </c>
      <c r="AQ164" s="5" t="n">
        <v>60</v>
      </c>
      <c r="AR164" s="6" t="s">
        <v>1887</v>
      </c>
      <c r="AS164" s="6"/>
      <c r="AT164" s="6" t="s">
        <v>86</v>
      </c>
      <c r="AU164" s="10"/>
      <c r="AV164" s="6" t="s">
        <v>75</v>
      </c>
      <c r="AW164" s="6"/>
      <c r="AX164" s="6" t="s">
        <v>1939</v>
      </c>
      <c r="AY164" s="6" t="s">
        <v>1940</v>
      </c>
      <c r="AZ164" s="6" t="s">
        <v>1941</v>
      </c>
      <c r="BA164" s="6" t="s">
        <v>1942</v>
      </c>
      <c r="BB164" s="6"/>
      <c r="BC164" s="11" t="str">
        <f aca="false">IFERROR(INDEX(CATEGORY_MASTER!$C$4:$C$30,MATCH(B164,CATEGORY_MASTER!$A$4:$A$30,0)),"")</f>
        <v>📱</v>
      </c>
      <c r="BD164" s="7" t="str">
        <f aca="false">"/services/"&amp;AO164</f>
        <v>/services/earphone-wired</v>
      </c>
      <c r="BE164" s="7" t="str">
        <f aca="false">IF(AND(AH164="Yes",AG164="Active",I164&lt;&gt;"Not Available"),"LIVE","HIDDEN")</f>
        <v>LIVE</v>
      </c>
      <c r="BF164" s="6" t="s">
        <v>139</v>
      </c>
      <c r="BG164" s="6" t="s">
        <v>1892</v>
      </c>
      <c r="BH164" s="7" t="str">
        <f aca="false">B164&amp;"|"&amp;COUNTIF($B$4:B164,B164)</f>
        <v>Mobile Store|6</v>
      </c>
      <c r="BI164" s="7" t="str">
        <f aca="false">IF(AND(AI164="Yes",BE164="LIVE"),COUNTIFS($AI$4:AI164,"Yes",$BE$4:BE164,"LIVE"),"")</f>
        <v/>
      </c>
      <c r="BJ164" s="7" t="str">
        <f aca="false">IF(AND(AJ164="Yes",BE164="LIVE"),COUNTIFS($AJ$4:AJ164,"Yes",$BE$4:BE164,"LIVE"),"")</f>
        <v/>
      </c>
      <c r="BK164" s="7" t="str">
        <f aca="false">IF(AND(AK164="Yes",BE164="LIVE"),COUNTIFS($AK$4:AK164,"Yes",$BE$4:BE164,"LIVE"),"")</f>
        <v/>
      </c>
      <c r="BL164" s="7" t="str">
        <f aca="false">IF(I164="To Verify",COUNTIF($I$4:I164,"To Verify"),"")</f>
        <v/>
      </c>
    </row>
    <row r="165" customFormat="false" ht="57.45" hidden="false" customHeight="false" outlineLevel="0" collapsed="false">
      <c r="A165" s="5" t="s">
        <v>1943</v>
      </c>
      <c r="B165" s="6" t="s">
        <v>1876</v>
      </c>
      <c r="C165" s="6" t="s">
        <v>1877</v>
      </c>
      <c r="D165" s="6" t="s">
        <v>1933</v>
      </c>
      <c r="E165" s="6" t="s">
        <v>1944</v>
      </c>
      <c r="F165" s="6" t="s">
        <v>1945</v>
      </c>
      <c r="G165" s="6" t="s">
        <v>1946</v>
      </c>
      <c r="H165" s="6" t="s">
        <v>1946</v>
      </c>
      <c r="I165" s="5" t="s">
        <v>167</v>
      </c>
      <c r="J165" s="7" t="str">
        <f aca="false">IFERROR(INDEX(AVAILABILITY_MASTER!$C$4:$C$10,MATCH(I165,AVAILABILITY_MASTER!$A$4:$A$10,0)),"To Be Confirmed")</f>
        <v>Available</v>
      </c>
      <c r="K165" s="6" t="s">
        <v>79</v>
      </c>
      <c r="L165" s="6" t="s">
        <v>437</v>
      </c>
      <c r="M165" s="7" t="str">
        <f aca="false">IFERROR(INDEX(SERVICE_DOCUMENTS!$S$4:$S$1000,MATCH(A165,SERVICE_DOCUMENTS!$A$4:$A$1000,0))&amp;"","")</f>
        <v/>
      </c>
      <c r="N165" s="7" t="str">
        <f aca="false">IFERROR(INDEX(SERVICE_DOCUMENTS!$T$4:$T$1000,MATCH(A165,SERVICE_DOCUMENTS!$A$4:$A$1000,0))&amp;"","")</f>
        <v/>
      </c>
      <c r="O165" s="6" t="s">
        <v>1882</v>
      </c>
      <c r="P165" s="6" t="s">
        <v>1883</v>
      </c>
      <c r="Q165" s="6" t="s">
        <v>440</v>
      </c>
      <c r="R165" s="8" t="s">
        <v>441</v>
      </c>
      <c r="S165" s="8" t="s">
        <v>75</v>
      </c>
      <c r="T165" s="9" t="str">
        <f aca="false">IF(AND(OR(ISNUMBER(R165),R165="N/A"),OR(ISNUMBER(S165),S165="N/A"),OR(ISNUMBER(R165),ISNUMBER(S165))),N(R165)+N(S165),"To Verify")</f>
        <v>To Verify</v>
      </c>
      <c r="U165" s="6" t="s">
        <v>1884</v>
      </c>
      <c r="V165" s="6" t="s">
        <v>79</v>
      </c>
      <c r="W165" s="6" t="s">
        <v>80</v>
      </c>
      <c r="X165" s="6" t="s">
        <v>81</v>
      </c>
      <c r="Y165" s="6" t="s">
        <v>79</v>
      </c>
      <c r="Z165" s="6"/>
      <c r="AA165" s="6" t="s">
        <v>74</v>
      </c>
      <c r="AB165" s="6" t="s">
        <v>79</v>
      </c>
      <c r="AC165" s="6" t="s">
        <v>75</v>
      </c>
      <c r="AD165" s="6" t="s">
        <v>75</v>
      </c>
      <c r="AE165" s="6" t="s">
        <v>79</v>
      </c>
      <c r="AF165" s="6" t="s">
        <v>79</v>
      </c>
      <c r="AG165" s="6" t="s">
        <v>170</v>
      </c>
      <c r="AH165" s="6" t="s">
        <v>74</v>
      </c>
      <c r="AI165" s="6" t="s">
        <v>79</v>
      </c>
      <c r="AJ165" s="6" t="s">
        <v>79</v>
      </c>
      <c r="AK165" s="6" t="s">
        <v>79</v>
      </c>
      <c r="AL165" s="6" t="s">
        <v>1876</v>
      </c>
      <c r="AM165" s="6" t="s">
        <v>1933</v>
      </c>
      <c r="AN165" s="7" t="str">
        <f aca="false">BA165&amp;", "&amp;AZ165</f>
        <v>Bluetooth Earphone, Mobile Store, Devmobile Stores, ब्लूटूथ ईयरफोन, मोबाइल स्टोर, सेवा</v>
      </c>
      <c r="AO165" s="6" t="s">
        <v>1947</v>
      </c>
      <c r="AP165" s="5" t="s">
        <v>1938</v>
      </c>
      <c r="AQ165" s="5" t="n">
        <v>70</v>
      </c>
      <c r="AR165" s="6" t="s">
        <v>1887</v>
      </c>
      <c r="AS165" s="6"/>
      <c r="AT165" s="6" t="s">
        <v>86</v>
      </c>
      <c r="AU165" s="10"/>
      <c r="AV165" s="6" t="s">
        <v>75</v>
      </c>
      <c r="AW165" s="6"/>
      <c r="AX165" s="6" t="s">
        <v>1948</v>
      </c>
      <c r="AY165" s="6" t="s">
        <v>1949</v>
      </c>
      <c r="AZ165" s="6" t="s">
        <v>1950</v>
      </c>
      <c r="BA165" s="6" t="s">
        <v>1951</v>
      </c>
      <c r="BB165" s="6"/>
      <c r="BC165" s="11" t="str">
        <f aca="false">IFERROR(INDEX(CATEGORY_MASTER!$C$4:$C$30,MATCH(B165,CATEGORY_MASTER!$A$4:$A$30,0)),"")</f>
        <v>📱</v>
      </c>
      <c r="BD165" s="7" t="str">
        <f aca="false">"/services/"&amp;AO165</f>
        <v>/services/bluetooth-earphone</v>
      </c>
      <c r="BE165" s="7" t="str">
        <f aca="false">IF(AND(AH165="Yes",AG165="Active",I165&lt;&gt;"Not Available"),"LIVE","HIDDEN")</f>
        <v>LIVE</v>
      </c>
      <c r="BF165" s="6" t="s">
        <v>139</v>
      </c>
      <c r="BG165" s="6" t="s">
        <v>1892</v>
      </c>
      <c r="BH165" s="7" t="str">
        <f aca="false">B165&amp;"|"&amp;COUNTIF($B$4:B165,B165)</f>
        <v>Mobile Store|7</v>
      </c>
      <c r="BI165" s="7" t="str">
        <f aca="false">IF(AND(AI165="Yes",BE165="LIVE"),COUNTIFS($AI$4:AI165,"Yes",$BE$4:BE165,"LIVE"),"")</f>
        <v/>
      </c>
      <c r="BJ165" s="7" t="str">
        <f aca="false">IF(AND(AJ165="Yes",BE165="LIVE"),COUNTIFS($AJ$4:AJ165,"Yes",$BE$4:BE165,"LIVE"),"")</f>
        <v/>
      </c>
      <c r="BK165" s="7" t="str">
        <f aca="false">IF(AND(AK165="Yes",BE165="LIVE"),COUNTIFS($AK$4:AK165,"Yes",$BE$4:BE165,"LIVE"),"")</f>
        <v/>
      </c>
      <c r="BL165" s="7" t="str">
        <f aca="false">IF(I165="To Verify",COUNTIF($I$4:I165,"To Verify"),"")</f>
        <v/>
      </c>
    </row>
    <row r="166" customFormat="false" ht="57.45" hidden="false" customHeight="false" outlineLevel="0" collapsed="false">
      <c r="A166" s="5" t="s">
        <v>1952</v>
      </c>
      <c r="B166" s="6" t="s">
        <v>1876</v>
      </c>
      <c r="C166" s="6" t="s">
        <v>1877</v>
      </c>
      <c r="D166" s="6" t="s">
        <v>1933</v>
      </c>
      <c r="E166" s="6" t="s">
        <v>1953</v>
      </c>
      <c r="F166" s="6" t="s">
        <v>1954</v>
      </c>
      <c r="G166" s="6" t="s">
        <v>1955</v>
      </c>
      <c r="H166" s="6" t="s">
        <v>1955</v>
      </c>
      <c r="I166" s="5" t="s">
        <v>167</v>
      </c>
      <c r="J166" s="7" t="str">
        <f aca="false">IFERROR(INDEX(AVAILABILITY_MASTER!$C$4:$C$10,MATCH(I166,AVAILABILITY_MASTER!$A$4:$A$10,0)),"To Be Confirmed")</f>
        <v>Available</v>
      </c>
      <c r="K166" s="6" t="s">
        <v>79</v>
      </c>
      <c r="L166" s="6" t="s">
        <v>437</v>
      </c>
      <c r="M166" s="7" t="str">
        <f aca="false">IFERROR(INDEX(SERVICE_DOCUMENTS!$S$4:$S$1000,MATCH(A166,SERVICE_DOCUMENTS!$A$4:$A$1000,0))&amp;"","")</f>
        <v/>
      </c>
      <c r="N166" s="7" t="str">
        <f aca="false">IFERROR(INDEX(SERVICE_DOCUMENTS!$T$4:$T$1000,MATCH(A166,SERVICE_DOCUMENTS!$A$4:$A$1000,0))&amp;"","")</f>
        <v/>
      </c>
      <c r="O166" s="6" t="s">
        <v>1882</v>
      </c>
      <c r="P166" s="6" t="s">
        <v>1883</v>
      </c>
      <c r="Q166" s="6" t="s">
        <v>440</v>
      </c>
      <c r="R166" s="8" t="s">
        <v>441</v>
      </c>
      <c r="S166" s="8" t="s">
        <v>75</v>
      </c>
      <c r="T166" s="9" t="str">
        <f aca="false">IF(AND(OR(ISNUMBER(R166),R166="N/A"),OR(ISNUMBER(S166),S166="N/A"),OR(ISNUMBER(R166),ISNUMBER(S166))),N(R166)+N(S166),"To Verify")</f>
        <v>To Verify</v>
      </c>
      <c r="U166" s="6" t="s">
        <v>1884</v>
      </c>
      <c r="V166" s="6" t="s">
        <v>79</v>
      </c>
      <c r="W166" s="6" t="s">
        <v>80</v>
      </c>
      <c r="X166" s="6" t="s">
        <v>81</v>
      </c>
      <c r="Y166" s="6" t="s">
        <v>79</v>
      </c>
      <c r="Z166" s="6"/>
      <c r="AA166" s="6" t="s">
        <v>74</v>
      </c>
      <c r="AB166" s="6" t="s">
        <v>79</v>
      </c>
      <c r="AC166" s="6" t="s">
        <v>75</v>
      </c>
      <c r="AD166" s="6" t="s">
        <v>75</v>
      </c>
      <c r="AE166" s="6" t="s">
        <v>79</v>
      </c>
      <c r="AF166" s="6" t="s">
        <v>79</v>
      </c>
      <c r="AG166" s="6" t="s">
        <v>170</v>
      </c>
      <c r="AH166" s="6" t="s">
        <v>74</v>
      </c>
      <c r="AI166" s="6" t="s">
        <v>79</v>
      </c>
      <c r="AJ166" s="6" t="s">
        <v>79</v>
      </c>
      <c r="AK166" s="6" t="s">
        <v>79</v>
      </c>
      <c r="AL166" s="6" t="s">
        <v>1876</v>
      </c>
      <c r="AM166" s="6" t="s">
        <v>1933</v>
      </c>
      <c r="AN166" s="7" t="str">
        <f aca="false">BA166&amp;", "&amp;AZ166</f>
        <v>Speaker, Mobile Store, Devmobile Stores, स्पीकर, मोबाइल स्टोर, सेवा</v>
      </c>
      <c r="AO166" s="6" t="s">
        <v>1956</v>
      </c>
      <c r="AP166" s="5" t="s">
        <v>1938</v>
      </c>
      <c r="AQ166" s="5" t="n">
        <v>80</v>
      </c>
      <c r="AR166" s="6" t="s">
        <v>1887</v>
      </c>
      <c r="AS166" s="6"/>
      <c r="AT166" s="6" t="s">
        <v>86</v>
      </c>
      <c r="AU166" s="10"/>
      <c r="AV166" s="6" t="s">
        <v>75</v>
      </c>
      <c r="AW166" s="6"/>
      <c r="AX166" s="6" t="s">
        <v>1957</v>
      </c>
      <c r="AY166" s="6" t="s">
        <v>1958</v>
      </c>
      <c r="AZ166" s="6" t="s">
        <v>1959</v>
      </c>
      <c r="BA166" s="6" t="s">
        <v>1960</v>
      </c>
      <c r="BB166" s="6"/>
      <c r="BC166" s="11" t="str">
        <f aca="false">IFERROR(INDEX(CATEGORY_MASTER!$C$4:$C$30,MATCH(B166,CATEGORY_MASTER!$A$4:$A$30,0)),"")</f>
        <v>📱</v>
      </c>
      <c r="BD166" s="7" t="str">
        <f aca="false">"/services/"&amp;AO166</f>
        <v>/services/speaker</v>
      </c>
      <c r="BE166" s="7" t="str">
        <f aca="false">IF(AND(AH166="Yes",AG166="Active",I166&lt;&gt;"Not Available"),"LIVE","HIDDEN")</f>
        <v>LIVE</v>
      </c>
      <c r="BF166" s="6" t="s">
        <v>139</v>
      </c>
      <c r="BG166" s="6" t="s">
        <v>1892</v>
      </c>
      <c r="BH166" s="7" t="str">
        <f aca="false">B166&amp;"|"&amp;COUNTIF($B$4:B166,B166)</f>
        <v>Mobile Store|8</v>
      </c>
      <c r="BI166" s="7" t="str">
        <f aca="false">IF(AND(AI166="Yes",BE166="LIVE"),COUNTIFS($AI$4:AI166,"Yes",$BE$4:BE166,"LIVE"),"")</f>
        <v/>
      </c>
      <c r="BJ166" s="7" t="str">
        <f aca="false">IF(AND(AJ166="Yes",BE166="LIVE"),COUNTIFS($AJ$4:AJ166,"Yes",$BE$4:BE166,"LIVE"),"")</f>
        <v/>
      </c>
      <c r="BK166" s="7" t="str">
        <f aca="false">IF(AND(AK166="Yes",BE166="LIVE"),COUNTIFS($AK$4:AK166,"Yes",$BE$4:BE166,"LIVE"),"")</f>
        <v/>
      </c>
      <c r="BL166" s="7" t="str">
        <f aca="false">IF(I166="To Verify",COUNTIF($I$4:I166,"To Verify"),"")</f>
        <v/>
      </c>
    </row>
    <row r="167" customFormat="false" ht="57.45" hidden="false" customHeight="false" outlineLevel="0" collapsed="false">
      <c r="A167" s="5" t="s">
        <v>1961</v>
      </c>
      <c r="B167" s="6" t="s">
        <v>1876</v>
      </c>
      <c r="C167" s="6" t="s">
        <v>1877</v>
      </c>
      <c r="D167" s="6" t="s">
        <v>1962</v>
      </c>
      <c r="E167" s="6" t="s">
        <v>1963</v>
      </c>
      <c r="F167" s="6" t="s">
        <v>1964</v>
      </c>
      <c r="G167" s="6" t="s">
        <v>1965</v>
      </c>
      <c r="H167" s="6" t="s">
        <v>1965</v>
      </c>
      <c r="I167" s="5" t="s">
        <v>167</v>
      </c>
      <c r="J167" s="7" t="str">
        <f aca="false">IFERROR(INDEX(AVAILABILITY_MASTER!$C$4:$C$10,MATCH(I167,AVAILABILITY_MASTER!$A$4:$A$10,0)),"To Be Confirmed")</f>
        <v>Available</v>
      </c>
      <c r="K167" s="6" t="s">
        <v>79</v>
      </c>
      <c r="L167" s="6" t="s">
        <v>437</v>
      </c>
      <c r="M167" s="7" t="str">
        <f aca="false">IFERROR(INDEX(SERVICE_DOCUMENTS!$S$4:$S$1000,MATCH(A167,SERVICE_DOCUMENTS!$A$4:$A$1000,0))&amp;"","")</f>
        <v/>
      </c>
      <c r="N167" s="7" t="str">
        <f aca="false">IFERROR(INDEX(SERVICE_DOCUMENTS!$T$4:$T$1000,MATCH(A167,SERVICE_DOCUMENTS!$A$4:$A$1000,0))&amp;"","")</f>
        <v/>
      </c>
      <c r="O167" s="6" t="s">
        <v>1882</v>
      </c>
      <c r="P167" s="6" t="s">
        <v>1883</v>
      </c>
      <c r="Q167" s="6" t="s">
        <v>440</v>
      </c>
      <c r="R167" s="8" t="s">
        <v>441</v>
      </c>
      <c r="S167" s="8" t="s">
        <v>75</v>
      </c>
      <c r="T167" s="9" t="str">
        <f aca="false">IF(AND(OR(ISNUMBER(R167),R167="N/A"),OR(ISNUMBER(S167),S167="N/A"),OR(ISNUMBER(R167),ISNUMBER(S167))),N(R167)+N(S167),"To Verify")</f>
        <v>To Verify</v>
      </c>
      <c r="U167" s="6" t="s">
        <v>1884</v>
      </c>
      <c r="V167" s="6" t="s">
        <v>79</v>
      </c>
      <c r="W167" s="6" t="s">
        <v>80</v>
      </c>
      <c r="X167" s="6" t="s">
        <v>81</v>
      </c>
      <c r="Y167" s="6" t="s">
        <v>79</v>
      </c>
      <c r="Z167" s="6"/>
      <c r="AA167" s="6" t="s">
        <v>74</v>
      </c>
      <c r="AB167" s="6" t="s">
        <v>79</v>
      </c>
      <c r="AC167" s="6" t="s">
        <v>75</v>
      </c>
      <c r="AD167" s="6" t="s">
        <v>75</v>
      </c>
      <c r="AE167" s="6" t="s">
        <v>79</v>
      </c>
      <c r="AF167" s="6" t="s">
        <v>79</v>
      </c>
      <c r="AG167" s="6" t="s">
        <v>170</v>
      </c>
      <c r="AH167" s="6" t="s">
        <v>74</v>
      </c>
      <c r="AI167" s="6" t="s">
        <v>79</v>
      </c>
      <c r="AJ167" s="6" t="s">
        <v>79</v>
      </c>
      <c r="AK167" s="6" t="s">
        <v>79</v>
      </c>
      <c r="AL167" s="6" t="s">
        <v>1876</v>
      </c>
      <c r="AM167" s="6" t="s">
        <v>1962</v>
      </c>
      <c r="AN167" s="7" t="str">
        <f aca="false">BA167&amp;", "&amp;AZ167</f>
        <v>Mobile Cover, Mobile Store, Devmobile Stores, मोबाइल कवर, मोबाइल स्टोर, सेवा</v>
      </c>
      <c r="AO167" s="6" t="s">
        <v>1966</v>
      </c>
      <c r="AP167" s="5" t="s">
        <v>1576</v>
      </c>
      <c r="AQ167" s="5" t="n">
        <v>90</v>
      </c>
      <c r="AR167" s="6" t="s">
        <v>1887</v>
      </c>
      <c r="AS167" s="6"/>
      <c r="AT167" s="6" t="s">
        <v>86</v>
      </c>
      <c r="AU167" s="10"/>
      <c r="AV167" s="6" t="s">
        <v>75</v>
      </c>
      <c r="AW167" s="6"/>
      <c r="AX167" s="6" t="s">
        <v>1967</v>
      </c>
      <c r="AY167" s="6" t="s">
        <v>1968</v>
      </c>
      <c r="AZ167" s="6" t="s">
        <v>1969</v>
      </c>
      <c r="BA167" s="6" t="s">
        <v>1970</v>
      </c>
      <c r="BB167" s="6"/>
      <c r="BC167" s="11" t="str">
        <f aca="false">IFERROR(INDEX(CATEGORY_MASTER!$C$4:$C$30,MATCH(B167,CATEGORY_MASTER!$A$4:$A$30,0)),"")</f>
        <v>📱</v>
      </c>
      <c r="BD167" s="7" t="str">
        <f aca="false">"/services/"&amp;AO167</f>
        <v>/services/mobile-cover</v>
      </c>
      <c r="BE167" s="7" t="str">
        <f aca="false">IF(AND(AH167="Yes",AG167="Active",I167&lt;&gt;"Not Available"),"LIVE","HIDDEN")</f>
        <v>LIVE</v>
      </c>
      <c r="BF167" s="6" t="s">
        <v>139</v>
      </c>
      <c r="BG167" s="6" t="s">
        <v>1892</v>
      </c>
      <c r="BH167" s="7" t="str">
        <f aca="false">B167&amp;"|"&amp;COUNTIF($B$4:B167,B167)</f>
        <v>Mobile Store|9</v>
      </c>
      <c r="BI167" s="7" t="str">
        <f aca="false">IF(AND(AI167="Yes",BE167="LIVE"),COUNTIFS($AI$4:AI167,"Yes",$BE$4:BE167,"LIVE"),"")</f>
        <v/>
      </c>
      <c r="BJ167" s="7" t="str">
        <f aca="false">IF(AND(AJ167="Yes",BE167="LIVE"),COUNTIFS($AJ$4:AJ167,"Yes",$BE$4:BE167,"LIVE"),"")</f>
        <v/>
      </c>
      <c r="BK167" s="7" t="str">
        <f aca="false">IF(AND(AK167="Yes",BE167="LIVE"),COUNTIFS($AK$4:AK167,"Yes",$BE$4:BE167,"LIVE"),"")</f>
        <v/>
      </c>
      <c r="BL167" s="7" t="str">
        <f aca="false">IF(I167="To Verify",COUNTIF($I$4:I167,"To Verify"),"")</f>
        <v/>
      </c>
    </row>
    <row r="168" customFormat="false" ht="57.45" hidden="false" customHeight="false" outlineLevel="0" collapsed="false">
      <c r="A168" s="5" t="s">
        <v>1971</v>
      </c>
      <c r="B168" s="6" t="s">
        <v>1876</v>
      </c>
      <c r="C168" s="6" t="s">
        <v>1877</v>
      </c>
      <c r="D168" s="6" t="s">
        <v>1962</v>
      </c>
      <c r="E168" s="6" t="s">
        <v>1972</v>
      </c>
      <c r="F168" s="6" t="s">
        <v>1973</v>
      </c>
      <c r="G168" s="6" t="s">
        <v>1974</v>
      </c>
      <c r="H168" s="6" t="s">
        <v>1974</v>
      </c>
      <c r="I168" s="5" t="s">
        <v>167</v>
      </c>
      <c r="J168" s="7" t="str">
        <f aca="false">IFERROR(INDEX(AVAILABILITY_MASTER!$C$4:$C$10,MATCH(I168,AVAILABILITY_MASTER!$A$4:$A$10,0)),"To Be Confirmed")</f>
        <v>Available</v>
      </c>
      <c r="K168" s="6" t="s">
        <v>79</v>
      </c>
      <c r="L168" s="6" t="s">
        <v>437</v>
      </c>
      <c r="M168" s="7" t="str">
        <f aca="false">IFERROR(INDEX(SERVICE_DOCUMENTS!$S$4:$S$1000,MATCH(A168,SERVICE_DOCUMENTS!$A$4:$A$1000,0))&amp;"","")</f>
        <v/>
      </c>
      <c r="N168" s="7" t="str">
        <f aca="false">IFERROR(INDEX(SERVICE_DOCUMENTS!$T$4:$T$1000,MATCH(A168,SERVICE_DOCUMENTS!$A$4:$A$1000,0))&amp;"","")</f>
        <v/>
      </c>
      <c r="O168" s="6" t="s">
        <v>1882</v>
      </c>
      <c r="P168" s="6" t="s">
        <v>1883</v>
      </c>
      <c r="Q168" s="6" t="s">
        <v>440</v>
      </c>
      <c r="R168" s="8" t="s">
        <v>441</v>
      </c>
      <c r="S168" s="8" t="s">
        <v>75</v>
      </c>
      <c r="T168" s="9" t="str">
        <f aca="false">IF(AND(OR(ISNUMBER(R168),R168="N/A"),OR(ISNUMBER(S168),S168="N/A"),OR(ISNUMBER(R168),ISNUMBER(S168))),N(R168)+N(S168),"To Verify")</f>
        <v>To Verify</v>
      </c>
      <c r="U168" s="6" t="s">
        <v>1884</v>
      </c>
      <c r="V168" s="6" t="s">
        <v>79</v>
      </c>
      <c r="W168" s="6" t="s">
        <v>80</v>
      </c>
      <c r="X168" s="6" t="s">
        <v>81</v>
      </c>
      <c r="Y168" s="6" t="s">
        <v>79</v>
      </c>
      <c r="Z168" s="6"/>
      <c r="AA168" s="6" t="s">
        <v>74</v>
      </c>
      <c r="AB168" s="6" t="s">
        <v>79</v>
      </c>
      <c r="AC168" s="6" t="s">
        <v>75</v>
      </c>
      <c r="AD168" s="6" t="s">
        <v>75</v>
      </c>
      <c r="AE168" s="6" t="s">
        <v>79</v>
      </c>
      <c r="AF168" s="6" t="s">
        <v>79</v>
      </c>
      <c r="AG168" s="6" t="s">
        <v>170</v>
      </c>
      <c r="AH168" s="6" t="s">
        <v>74</v>
      </c>
      <c r="AI168" s="6" t="s">
        <v>79</v>
      </c>
      <c r="AJ168" s="6" t="s">
        <v>79</v>
      </c>
      <c r="AK168" s="6" t="s">
        <v>79</v>
      </c>
      <c r="AL168" s="6" t="s">
        <v>1876</v>
      </c>
      <c r="AM168" s="6" t="s">
        <v>1962</v>
      </c>
      <c r="AN168" s="7" t="str">
        <f aca="false">BA168&amp;", "&amp;AZ168</f>
        <v>Tempered Glass, Mobile Store, Devmobile Stores, टेम्पर्ड ग्लास, मोबाइल स्टोर, सेवा</v>
      </c>
      <c r="AO168" s="6" t="s">
        <v>1975</v>
      </c>
      <c r="AP168" s="5" t="s">
        <v>1576</v>
      </c>
      <c r="AQ168" s="5" t="n">
        <v>100</v>
      </c>
      <c r="AR168" s="6" t="s">
        <v>1887</v>
      </c>
      <c r="AS168" s="6"/>
      <c r="AT168" s="6" t="s">
        <v>86</v>
      </c>
      <c r="AU168" s="10"/>
      <c r="AV168" s="6" t="s">
        <v>75</v>
      </c>
      <c r="AW168" s="6"/>
      <c r="AX168" s="6" t="s">
        <v>1976</v>
      </c>
      <c r="AY168" s="6" t="s">
        <v>1977</v>
      </c>
      <c r="AZ168" s="6" t="s">
        <v>1978</v>
      </c>
      <c r="BA168" s="6" t="s">
        <v>1979</v>
      </c>
      <c r="BB168" s="6"/>
      <c r="BC168" s="11" t="str">
        <f aca="false">IFERROR(INDEX(CATEGORY_MASTER!$C$4:$C$30,MATCH(B168,CATEGORY_MASTER!$A$4:$A$30,0)),"")</f>
        <v>📱</v>
      </c>
      <c r="BD168" s="7" t="str">
        <f aca="false">"/services/"&amp;AO168</f>
        <v>/services/tempered-glass</v>
      </c>
      <c r="BE168" s="7" t="str">
        <f aca="false">IF(AND(AH168="Yes",AG168="Active",I168&lt;&gt;"Not Available"),"LIVE","HIDDEN")</f>
        <v>LIVE</v>
      </c>
      <c r="BF168" s="6" t="s">
        <v>139</v>
      </c>
      <c r="BG168" s="6" t="s">
        <v>1892</v>
      </c>
      <c r="BH168" s="7" t="str">
        <f aca="false">B168&amp;"|"&amp;COUNTIF($B$4:B168,B168)</f>
        <v>Mobile Store|10</v>
      </c>
      <c r="BI168" s="7" t="str">
        <f aca="false">IF(AND(AI168="Yes",BE168="LIVE"),COUNTIFS($AI$4:AI168,"Yes",$BE$4:BE168,"LIVE"),"")</f>
        <v/>
      </c>
      <c r="BJ168" s="7" t="str">
        <f aca="false">IF(AND(AJ168="Yes",BE168="LIVE"),COUNTIFS($AJ$4:AJ168,"Yes",$BE$4:BE168,"LIVE"),"")</f>
        <v/>
      </c>
      <c r="BK168" s="7" t="str">
        <f aca="false">IF(AND(AK168="Yes",BE168="LIVE"),COUNTIFS($AK$4:AK168,"Yes",$BE$4:BE168,"LIVE"),"")</f>
        <v/>
      </c>
      <c r="BL168" s="7" t="str">
        <f aca="false">IF(I168="To Verify",COUNTIF($I$4:I168,"To Verify"),"")</f>
        <v/>
      </c>
    </row>
    <row r="169" customFormat="false" ht="57.45" hidden="false" customHeight="false" outlineLevel="0" collapsed="false">
      <c r="A169" s="5" t="s">
        <v>1980</v>
      </c>
      <c r="B169" s="6" t="s">
        <v>1876</v>
      </c>
      <c r="C169" s="6" t="s">
        <v>1877</v>
      </c>
      <c r="D169" s="6" t="s">
        <v>1962</v>
      </c>
      <c r="E169" s="6" t="s">
        <v>1981</v>
      </c>
      <c r="F169" s="6" t="s">
        <v>1982</v>
      </c>
      <c r="G169" s="6" t="s">
        <v>1983</v>
      </c>
      <c r="H169" s="6" t="s">
        <v>1983</v>
      </c>
      <c r="I169" s="5" t="s">
        <v>167</v>
      </c>
      <c r="J169" s="7" t="str">
        <f aca="false">IFERROR(INDEX(AVAILABILITY_MASTER!$C$4:$C$10,MATCH(I169,AVAILABILITY_MASTER!$A$4:$A$10,0)),"To Be Confirmed")</f>
        <v>Available</v>
      </c>
      <c r="K169" s="6" t="s">
        <v>79</v>
      </c>
      <c r="L169" s="6" t="s">
        <v>437</v>
      </c>
      <c r="M169" s="7" t="str">
        <f aca="false">IFERROR(INDEX(SERVICE_DOCUMENTS!$S$4:$S$1000,MATCH(A169,SERVICE_DOCUMENTS!$A$4:$A$1000,0))&amp;"","")</f>
        <v/>
      </c>
      <c r="N169" s="7" t="str">
        <f aca="false">IFERROR(INDEX(SERVICE_DOCUMENTS!$T$4:$T$1000,MATCH(A169,SERVICE_DOCUMENTS!$A$4:$A$1000,0))&amp;"","")</f>
        <v/>
      </c>
      <c r="O169" s="6" t="s">
        <v>1882</v>
      </c>
      <c r="P169" s="6" t="s">
        <v>1883</v>
      </c>
      <c r="Q169" s="6" t="s">
        <v>440</v>
      </c>
      <c r="R169" s="8" t="s">
        <v>441</v>
      </c>
      <c r="S169" s="8" t="s">
        <v>75</v>
      </c>
      <c r="T169" s="9" t="str">
        <f aca="false">IF(AND(OR(ISNUMBER(R169),R169="N/A"),OR(ISNUMBER(S169),S169="N/A"),OR(ISNUMBER(R169),ISNUMBER(S169))),N(R169)+N(S169),"To Verify")</f>
        <v>To Verify</v>
      </c>
      <c r="U169" s="6" t="s">
        <v>1884</v>
      </c>
      <c r="V169" s="6" t="s">
        <v>79</v>
      </c>
      <c r="W169" s="6" t="s">
        <v>80</v>
      </c>
      <c r="X169" s="6" t="s">
        <v>81</v>
      </c>
      <c r="Y169" s="6" t="s">
        <v>79</v>
      </c>
      <c r="Z169" s="6"/>
      <c r="AA169" s="6" t="s">
        <v>74</v>
      </c>
      <c r="AB169" s="6" t="s">
        <v>79</v>
      </c>
      <c r="AC169" s="6" t="s">
        <v>75</v>
      </c>
      <c r="AD169" s="6" t="s">
        <v>75</v>
      </c>
      <c r="AE169" s="6" t="s">
        <v>79</v>
      </c>
      <c r="AF169" s="6" t="s">
        <v>79</v>
      </c>
      <c r="AG169" s="6" t="s">
        <v>170</v>
      </c>
      <c r="AH169" s="6" t="s">
        <v>74</v>
      </c>
      <c r="AI169" s="6" t="s">
        <v>79</v>
      </c>
      <c r="AJ169" s="6" t="s">
        <v>79</v>
      </c>
      <c r="AK169" s="6" t="s">
        <v>79</v>
      </c>
      <c r="AL169" s="6" t="s">
        <v>1876</v>
      </c>
      <c r="AM169" s="6" t="s">
        <v>1962</v>
      </c>
      <c r="AN169" s="7" t="str">
        <f aca="false">BA169&amp;", "&amp;AZ169</f>
        <v>Tempered Glass Fitting, Mobile Store, Devmobile Stores, टेम्पर्ड ग्लास फिटिंग, मोबाइल स्टोर, सेवा</v>
      </c>
      <c r="AO169" s="6" t="s">
        <v>1984</v>
      </c>
      <c r="AP169" s="5" t="s">
        <v>1576</v>
      </c>
      <c r="AQ169" s="5" t="n">
        <v>110</v>
      </c>
      <c r="AR169" s="6" t="s">
        <v>1887</v>
      </c>
      <c r="AS169" s="6"/>
      <c r="AT169" s="6" t="s">
        <v>86</v>
      </c>
      <c r="AU169" s="10"/>
      <c r="AV169" s="6" t="s">
        <v>75</v>
      </c>
      <c r="AW169" s="6"/>
      <c r="AX169" s="6" t="s">
        <v>1985</v>
      </c>
      <c r="AY169" s="6" t="s">
        <v>1986</v>
      </c>
      <c r="AZ169" s="6" t="s">
        <v>1987</v>
      </c>
      <c r="BA169" s="6" t="s">
        <v>1988</v>
      </c>
      <c r="BB169" s="6"/>
      <c r="BC169" s="11" t="str">
        <f aca="false">IFERROR(INDEX(CATEGORY_MASTER!$C$4:$C$30,MATCH(B169,CATEGORY_MASTER!$A$4:$A$30,0)),"")</f>
        <v>📱</v>
      </c>
      <c r="BD169" s="7" t="str">
        <f aca="false">"/services/"&amp;AO169</f>
        <v>/services/tempered-glass-fitting</v>
      </c>
      <c r="BE169" s="7" t="str">
        <f aca="false">IF(AND(AH169="Yes",AG169="Active",I169&lt;&gt;"Not Available"),"LIVE","HIDDEN")</f>
        <v>LIVE</v>
      </c>
      <c r="BF169" s="6" t="s">
        <v>139</v>
      </c>
      <c r="BG169" s="6" t="s">
        <v>1892</v>
      </c>
      <c r="BH169" s="7" t="str">
        <f aca="false">B169&amp;"|"&amp;COUNTIF($B$4:B169,B169)</f>
        <v>Mobile Store|11</v>
      </c>
      <c r="BI169" s="7" t="str">
        <f aca="false">IF(AND(AI169="Yes",BE169="LIVE"),COUNTIFS($AI$4:AI169,"Yes",$BE$4:BE169,"LIVE"),"")</f>
        <v/>
      </c>
      <c r="BJ169" s="7" t="str">
        <f aca="false">IF(AND(AJ169="Yes",BE169="LIVE"),COUNTIFS($AJ$4:AJ169,"Yes",$BE$4:BE169,"LIVE"),"")</f>
        <v/>
      </c>
      <c r="BK169" s="7" t="str">
        <f aca="false">IF(AND(AK169="Yes",BE169="LIVE"),COUNTIFS($AK$4:AK169,"Yes",$BE$4:BE169,"LIVE"),"")</f>
        <v/>
      </c>
      <c r="BL169" s="7" t="str">
        <f aca="false">IF(I169="To Verify",COUNTIF($I$4:I169,"To Verify"),"")</f>
        <v/>
      </c>
    </row>
    <row r="170" customFormat="false" ht="57.45" hidden="false" customHeight="false" outlineLevel="0" collapsed="false">
      <c r="A170" s="5" t="s">
        <v>1989</v>
      </c>
      <c r="B170" s="6" t="s">
        <v>1876</v>
      </c>
      <c r="C170" s="6" t="s">
        <v>1877</v>
      </c>
      <c r="D170" s="6" t="s">
        <v>1990</v>
      </c>
      <c r="E170" s="6" t="s">
        <v>1991</v>
      </c>
      <c r="F170" s="6" t="s">
        <v>1992</v>
      </c>
      <c r="G170" s="6" t="s">
        <v>1993</v>
      </c>
      <c r="H170" s="6" t="s">
        <v>1993</v>
      </c>
      <c r="I170" s="5" t="s">
        <v>167</v>
      </c>
      <c r="J170" s="7" t="str">
        <f aca="false">IFERROR(INDEX(AVAILABILITY_MASTER!$C$4:$C$10,MATCH(I170,AVAILABILITY_MASTER!$A$4:$A$10,0)),"To Be Confirmed")</f>
        <v>Available</v>
      </c>
      <c r="K170" s="6" t="s">
        <v>79</v>
      </c>
      <c r="L170" s="6" t="s">
        <v>437</v>
      </c>
      <c r="M170" s="7" t="str">
        <f aca="false">IFERROR(INDEX(SERVICE_DOCUMENTS!$S$4:$S$1000,MATCH(A170,SERVICE_DOCUMENTS!$A$4:$A$1000,0))&amp;"","")</f>
        <v/>
      </c>
      <c r="N170" s="7" t="str">
        <f aca="false">IFERROR(INDEX(SERVICE_DOCUMENTS!$T$4:$T$1000,MATCH(A170,SERVICE_DOCUMENTS!$A$4:$A$1000,0))&amp;"","")</f>
        <v/>
      </c>
      <c r="O170" s="6" t="s">
        <v>1882</v>
      </c>
      <c r="P170" s="6" t="s">
        <v>1883</v>
      </c>
      <c r="Q170" s="6" t="s">
        <v>440</v>
      </c>
      <c r="R170" s="8" t="s">
        <v>441</v>
      </c>
      <c r="S170" s="8" t="s">
        <v>75</v>
      </c>
      <c r="T170" s="9" t="str">
        <f aca="false">IF(AND(OR(ISNUMBER(R170),R170="N/A"),OR(ISNUMBER(S170),S170="N/A"),OR(ISNUMBER(R170),ISNUMBER(S170))),N(R170)+N(S170),"To Verify")</f>
        <v>To Verify</v>
      </c>
      <c r="U170" s="6" t="s">
        <v>1884</v>
      </c>
      <c r="V170" s="6" t="s">
        <v>79</v>
      </c>
      <c r="W170" s="6" t="s">
        <v>80</v>
      </c>
      <c r="X170" s="6" t="s">
        <v>81</v>
      </c>
      <c r="Y170" s="6" t="s">
        <v>79</v>
      </c>
      <c r="Z170" s="6"/>
      <c r="AA170" s="6" t="s">
        <v>74</v>
      </c>
      <c r="AB170" s="6" t="s">
        <v>79</v>
      </c>
      <c r="AC170" s="6" t="s">
        <v>75</v>
      </c>
      <c r="AD170" s="6" t="s">
        <v>75</v>
      </c>
      <c r="AE170" s="6" t="s">
        <v>79</v>
      </c>
      <c r="AF170" s="6" t="s">
        <v>79</v>
      </c>
      <c r="AG170" s="6" t="s">
        <v>170</v>
      </c>
      <c r="AH170" s="6" t="s">
        <v>74</v>
      </c>
      <c r="AI170" s="6" t="s">
        <v>79</v>
      </c>
      <c r="AJ170" s="6" t="s">
        <v>79</v>
      </c>
      <c r="AK170" s="6" t="s">
        <v>79</v>
      </c>
      <c r="AL170" s="6" t="s">
        <v>1876</v>
      </c>
      <c r="AM170" s="6" t="s">
        <v>1990</v>
      </c>
      <c r="AN170" s="7" t="str">
        <f aca="false">BA170&amp;", "&amp;AZ170</f>
        <v>Memory Card, Mobile Store, Devmobile Stores, मेमोरी कार्ड, मोबाइल स्टोर, सेवा</v>
      </c>
      <c r="AO170" s="6" t="s">
        <v>1994</v>
      </c>
      <c r="AP170" s="5" t="s">
        <v>1995</v>
      </c>
      <c r="AQ170" s="5" t="n">
        <v>120</v>
      </c>
      <c r="AR170" s="6" t="s">
        <v>1887</v>
      </c>
      <c r="AS170" s="6"/>
      <c r="AT170" s="6" t="s">
        <v>86</v>
      </c>
      <c r="AU170" s="10"/>
      <c r="AV170" s="6" t="s">
        <v>75</v>
      </c>
      <c r="AW170" s="6"/>
      <c r="AX170" s="6" t="s">
        <v>1996</v>
      </c>
      <c r="AY170" s="6" t="s">
        <v>1997</v>
      </c>
      <c r="AZ170" s="6" t="s">
        <v>1998</v>
      </c>
      <c r="BA170" s="6" t="s">
        <v>1999</v>
      </c>
      <c r="BB170" s="6"/>
      <c r="BC170" s="11" t="str">
        <f aca="false">IFERROR(INDEX(CATEGORY_MASTER!$C$4:$C$30,MATCH(B170,CATEGORY_MASTER!$A$4:$A$30,0)),"")</f>
        <v>📱</v>
      </c>
      <c r="BD170" s="7" t="str">
        <f aca="false">"/services/"&amp;AO170</f>
        <v>/services/memory-card</v>
      </c>
      <c r="BE170" s="7" t="str">
        <f aca="false">IF(AND(AH170="Yes",AG170="Active",I170&lt;&gt;"Not Available"),"LIVE","HIDDEN")</f>
        <v>LIVE</v>
      </c>
      <c r="BF170" s="6" t="s">
        <v>139</v>
      </c>
      <c r="BG170" s="6" t="s">
        <v>1892</v>
      </c>
      <c r="BH170" s="7" t="str">
        <f aca="false">B170&amp;"|"&amp;COUNTIF($B$4:B170,B170)</f>
        <v>Mobile Store|12</v>
      </c>
      <c r="BI170" s="7" t="str">
        <f aca="false">IF(AND(AI170="Yes",BE170="LIVE"),COUNTIFS($AI$4:AI170,"Yes",$BE$4:BE170,"LIVE"),"")</f>
        <v/>
      </c>
      <c r="BJ170" s="7" t="str">
        <f aca="false">IF(AND(AJ170="Yes",BE170="LIVE"),COUNTIFS($AJ$4:AJ170,"Yes",$BE$4:BE170,"LIVE"),"")</f>
        <v/>
      </c>
      <c r="BK170" s="7" t="str">
        <f aca="false">IF(AND(AK170="Yes",BE170="LIVE"),COUNTIFS($AK$4:AK170,"Yes",$BE$4:BE170,"LIVE"),"")</f>
        <v/>
      </c>
      <c r="BL170" s="7" t="str">
        <f aca="false">IF(I170="To Verify",COUNTIF($I$4:I170,"To Verify"),"")</f>
        <v/>
      </c>
    </row>
    <row r="171" customFormat="false" ht="57.45" hidden="false" customHeight="false" outlineLevel="0" collapsed="false">
      <c r="A171" s="5" t="s">
        <v>2000</v>
      </c>
      <c r="B171" s="6" t="s">
        <v>1876</v>
      </c>
      <c r="C171" s="6" t="s">
        <v>1877</v>
      </c>
      <c r="D171" s="6" t="s">
        <v>1990</v>
      </c>
      <c r="E171" s="6" t="s">
        <v>2001</v>
      </c>
      <c r="F171" s="6" t="s">
        <v>2002</v>
      </c>
      <c r="G171" s="6" t="s">
        <v>2003</v>
      </c>
      <c r="H171" s="6" t="s">
        <v>2003</v>
      </c>
      <c r="I171" s="5" t="s">
        <v>167</v>
      </c>
      <c r="J171" s="7" t="str">
        <f aca="false">IFERROR(INDEX(AVAILABILITY_MASTER!$C$4:$C$10,MATCH(I171,AVAILABILITY_MASTER!$A$4:$A$10,0)),"To Be Confirmed")</f>
        <v>Available</v>
      </c>
      <c r="K171" s="6" t="s">
        <v>79</v>
      </c>
      <c r="L171" s="6" t="s">
        <v>437</v>
      </c>
      <c r="M171" s="7" t="str">
        <f aca="false">IFERROR(INDEX(SERVICE_DOCUMENTS!$S$4:$S$1000,MATCH(A171,SERVICE_DOCUMENTS!$A$4:$A$1000,0))&amp;"","")</f>
        <v/>
      </c>
      <c r="N171" s="7" t="str">
        <f aca="false">IFERROR(INDEX(SERVICE_DOCUMENTS!$T$4:$T$1000,MATCH(A171,SERVICE_DOCUMENTS!$A$4:$A$1000,0))&amp;"","")</f>
        <v/>
      </c>
      <c r="O171" s="6" t="s">
        <v>1882</v>
      </c>
      <c r="P171" s="6" t="s">
        <v>1883</v>
      </c>
      <c r="Q171" s="6" t="s">
        <v>440</v>
      </c>
      <c r="R171" s="8" t="s">
        <v>441</v>
      </c>
      <c r="S171" s="8" t="s">
        <v>75</v>
      </c>
      <c r="T171" s="9" t="str">
        <f aca="false">IF(AND(OR(ISNUMBER(R171),R171="N/A"),OR(ISNUMBER(S171),S171="N/A"),OR(ISNUMBER(R171),ISNUMBER(S171))),N(R171)+N(S171),"To Verify")</f>
        <v>To Verify</v>
      </c>
      <c r="U171" s="6" t="s">
        <v>1884</v>
      </c>
      <c r="V171" s="6" t="s">
        <v>79</v>
      </c>
      <c r="W171" s="6" t="s">
        <v>80</v>
      </c>
      <c r="X171" s="6" t="s">
        <v>81</v>
      </c>
      <c r="Y171" s="6" t="s">
        <v>79</v>
      </c>
      <c r="Z171" s="6"/>
      <c r="AA171" s="6" t="s">
        <v>74</v>
      </c>
      <c r="AB171" s="6" t="s">
        <v>79</v>
      </c>
      <c r="AC171" s="6" t="s">
        <v>75</v>
      </c>
      <c r="AD171" s="6" t="s">
        <v>75</v>
      </c>
      <c r="AE171" s="6" t="s">
        <v>79</v>
      </c>
      <c r="AF171" s="6" t="s">
        <v>79</v>
      </c>
      <c r="AG171" s="6" t="s">
        <v>170</v>
      </c>
      <c r="AH171" s="6" t="s">
        <v>74</v>
      </c>
      <c r="AI171" s="6" t="s">
        <v>79</v>
      </c>
      <c r="AJ171" s="6" t="s">
        <v>79</v>
      </c>
      <c r="AK171" s="6" t="s">
        <v>79</v>
      </c>
      <c r="AL171" s="6" t="s">
        <v>1876</v>
      </c>
      <c r="AM171" s="6" t="s">
        <v>1990</v>
      </c>
      <c r="AN171" s="7" t="str">
        <f aca="false">BA171&amp;", "&amp;AZ171</f>
        <v>Pendrive, Mobile Store, Devmobile Stores, पेनड्राइव, मोबाइल स्टोर, सेवा</v>
      </c>
      <c r="AO171" s="6" t="s">
        <v>2004</v>
      </c>
      <c r="AP171" s="5" t="s">
        <v>1995</v>
      </c>
      <c r="AQ171" s="5" t="n">
        <v>130</v>
      </c>
      <c r="AR171" s="6" t="s">
        <v>1887</v>
      </c>
      <c r="AS171" s="6"/>
      <c r="AT171" s="6" t="s">
        <v>86</v>
      </c>
      <c r="AU171" s="10"/>
      <c r="AV171" s="6" t="s">
        <v>75</v>
      </c>
      <c r="AW171" s="6"/>
      <c r="AX171" s="6" t="s">
        <v>2005</v>
      </c>
      <c r="AY171" s="6" t="s">
        <v>2006</v>
      </c>
      <c r="AZ171" s="6" t="s">
        <v>2007</v>
      </c>
      <c r="BA171" s="6" t="s">
        <v>2008</v>
      </c>
      <c r="BB171" s="6"/>
      <c r="BC171" s="11" t="str">
        <f aca="false">IFERROR(INDEX(CATEGORY_MASTER!$C$4:$C$30,MATCH(B171,CATEGORY_MASTER!$A$4:$A$30,0)),"")</f>
        <v>📱</v>
      </c>
      <c r="BD171" s="7" t="str">
        <f aca="false">"/services/"&amp;AO171</f>
        <v>/services/pendrive</v>
      </c>
      <c r="BE171" s="7" t="str">
        <f aca="false">IF(AND(AH171="Yes",AG171="Active",I171&lt;&gt;"Not Available"),"LIVE","HIDDEN")</f>
        <v>LIVE</v>
      </c>
      <c r="BF171" s="6" t="s">
        <v>139</v>
      </c>
      <c r="BG171" s="6" t="s">
        <v>1892</v>
      </c>
      <c r="BH171" s="7" t="str">
        <f aca="false">B171&amp;"|"&amp;COUNTIF($B$4:B171,B171)</f>
        <v>Mobile Store|13</v>
      </c>
      <c r="BI171" s="7" t="str">
        <f aca="false">IF(AND(AI171="Yes",BE171="LIVE"),COUNTIFS($AI$4:AI171,"Yes",$BE$4:BE171,"LIVE"),"")</f>
        <v/>
      </c>
      <c r="BJ171" s="7" t="str">
        <f aca="false">IF(AND(AJ171="Yes",BE171="LIVE"),COUNTIFS($AJ$4:AJ171,"Yes",$BE$4:BE171,"LIVE"),"")</f>
        <v/>
      </c>
      <c r="BK171" s="7" t="str">
        <f aca="false">IF(AND(AK171="Yes",BE171="LIVE"),COUNTIFS($AK$4:AK171,"Yes",$BE$4:BE171,"LIVE"),"")</f>
        <v/>
      </c>
      <c r="BL171" s="7" t="str">
        <f aca="false">IF(I171="To Verify",COUNTIF($I$4:I171,"To Verify"),"")</f>
        <v/>
      </c>
    </row>
    <row r="172" customFormat="false" ht="57.45" hidden="false" customHeight="false" outlineLevel="0" collapsed="false">
      <c r="A172" s="5" t="s">
        <v>2009</v>
      </c>
      <c r="B172" s="6" t="s">
        <v>1876</v>
      </c>
      <c r="C172" s="6" t="s">
        <v>1877</v>
      </c>
      <c r="D172" s="6" t="s">
        <v>2010</v>
      </c>
      <c r="E172" s="6" t="s">
        <v>2011</v>
      </c>
      <c r="F172" s="6" t="s">
        <v>2012</v>
      </c>
      <c r="G172" s="6" t="s">
        <v>2013</v>
      </c>
      <c r="H172" s="6" t="s">
        <v>2014</v>
      </c>
      <c r="I172" s="5" t="s">
        <v>12</v>
      </c>
      <c r="J172" s="7" t="str">
        <f aca="false">IFERROR(INDEX(AVAILABILITY_MASTER!$C$4:$C$10,MATCH(I172,AVAILABILITY_MASTER!$A$4:$A$10,0)),"To Be Confirmed")</f>
        <v>Please Confirm at Shop</v>
      </c>
      <c r="K172" s="6" t="s">
        <v>74</v>
      </c>
      <c r="L172" s="6" t="s">
        <v>75</v>
      </c>
      <c r="M172" s="7" t="str">
        <f aca="false">IFERROR(INDEX(SERVICE_DOCUMENTS!$S$4:$S$1000,MATCH(A172,SERVICE_DOCUMENTS!$A$4:$A$1000,0))&amp;"","")</f>
        <v>✓ Aadhaar Card
✓ Passport Photo
✓ Customer Presence for Biometrics</v>
      </c>
      <c r="N172" s="7" t="str">
        <f aca="false">IFERROR(INDEX(SERVICE_DOCUMENTS!$T$4:$T$1000,MATCH(A172,SERVICE_DOCUMENTS!$A$4:$A$1000,0))&amp;"","")</f>
        <v/>
      </c>
      <c r="O172" s="6" t="s">
        <v>645</v>
      </c>
      <c r="P172" s="6" t="s">
        <v>2015</v>
      </c>
      <c r="Q172" s="6" t="s">
        <v>78</v>
      </c>
      <c r="R172" s="8" t="s">
        <v>75</v>
      </c>
      <c r="S172" s="8" t="s">
        <v>75</v>
      </c>
      <c r="T172" s="9" t="str">
        <f aca="false">IF(AND(OR(ISNUMBER(R172),R172="N/A"),OR(ISNUMBER(S172),S172="N/A"),OR(ISNUMBER(R172),ISNUMBER(S172))),N(R172)+N(S172),"To Verify")</f>
        <v>To Verify</v>
      </c>
      <c r="U172" s="6" t="s">
        <v>75</v>
      </c>
      <c r="V172" s="6" t="s">
        <v>79</v>
      </c>
      <c r="W172" s="6" t="s">
        <v>80</v>
      </c>
      <c r="X172" s="6" t="s">
        <v>81</v>
      </c>
      <c r="Y172" s="6" t="s">
        <v>79</v>
      </c>
      <c r="Z172" s="6"/>
      <c r="AA172" s="6" t="s">
        <v>74</v>
      </c>
      <c r="AB172" s="6" t="s">
        <v>74</v>
      </c>
      <c r="AC172" s="6" t="s">
        <v>75</v>
      </c>
      <c r="AD172" s="6" t="s">
        <v>75</v>
      </c>
      <c r="AE172" s="6" t="s">
        <v>79</v>
      </c>
      <c r="AF172" s="6" t="s">
        <v>79</v>
      </c>
      <c r="AG172" s="6" t="s">
        <v>75</v>
      </c>
      <c r="AH172" s="6" t="s">
        <v>79</v>
      </c>
      <c r="AI172" s="6" t="s">
        <v>79</v>
      </c>
      <c r="AJ172" s="6" t="s">
        <v>79</v>
      </c>
      <c r="AK172" s="6" t="s">
        <v>79</v>
      </c>
      <c r="AL172" s="6" t="s">
        <v>1876</v>
      </c>
      <c r="AM172" s="6" t="s">
        <v>2010</v>
      </c>
      <c r="AN172" s="7" t="str">
        <f aca="false">BA172&amp;", "&amp;AZ172</f>
        <v>New SIM Card Sale / Activation, Mobile Store, Devmobile Stores, नया सिम कार्ड बिक्री / एक्टिवेशन, मोबाइल स्टोर, सेवा</v>
      </c>
      <c r="AO172" s="6" t="s">
        <v>2016</v>
      </c>
      <c r="AP172" s="5" t="s">
        <v>2017</v>
      </c>
      <c r="AQ172" s="5" t="n">
        <v>140</v>
      </c>
      <c r="AR172" s="6" t="s">
        <v>133</v>
      </c>
      <c r="AS172" s="6" t="s">
        <v>2018</v>
      </c>
      <c r="AT172" s="6" t="s">
        <v>86</v>
      </c>
      <c r="AU172" s="10"/>
      <c r="AV172" s="6" t="s">
        <v>75</v>
      </c>
      <c r="AW172" s="6" t="s">
        <v>2019</v>
      </c>
      <c r="AX172" s="6" t="s">
        <v>2020</v>
      </c>
      <c r="AY172" s="6" t="s">
        <v>2021</v>
      </c>
      <c r="AZ172" s="6" t="s">
        <v>2022</v>
      </c>
      <c r="BA172" s="6" t="s">
        <v>2023</v>
      </c>
      <c r="BB172" s="6"/>
      <c r="BC172" s="11" t="str">
        <f aca="false">IFERROR(INDEX(CATEGORY_MASTER!$C$4:$C$30,MATCH(B172,CATEGORY_MASTER!$A$4:$A$30,0)),"")</f>
        <v>📱</v>
      </c>
      <c r="BD172" s="7" t="str">
        <f aca="false">"/services/"&amp;AO172</f>
        <v>/services/new-sim-card-sale-activation</v>
      </c>
      <c r="BE172" s="7" t="str">
        <f aca="false">IF(AND(AH172="Yes",AG172="Active",I172&lt;&gt;"Not Available"),"LIVE","HIDDEN")</f>
        <v>HIDDEN</v>
      </c>
      <c r="BF172" s="6" t="s">
        <v>139</v>
      </c>
      <c r="BG172" s="6" t="s">
        <v>93</v>
      </c>
      <c r="BH172" s="7" t="str">
        <f aca="false">B172&amp;"|"&amp;COUNTIF($B$4:B172,B172)</f>
        <v>Mobile Store|14</v>
      </c>
      <c r="BI172" s="7" t="str">
        <f aca="false">IF(AND(AI172="Yes",BE172="LIVE"),COUNTIFS($AI$4:AI172,"Yes",$BE$4:BE172,"LIVE"),"")</f>
        <v/>
      </c>
      <c r="BJ172" s="7" t="str">
        <f aca="false">IF(AND(AJ172="Yes",BE172="LIVE"),COUNTIFS($AJ$4:AJ172,"Yes",$BE$4:BE172,"LIVE"),"")</f>
        <v/>
      </c>
      <c r="BK172" s="7" t="str">
        <f aca="false">IF(AND(AK172="Yes",BE172="LIVE"),COUNTIFS($AK$4:AK172,"Yes",$BE$4:BE172,"LIVE"),"")</f>
        <v/>
      </c>
      <c r="BL172" s="7" t="str">
        <f aca="false">IF(I172="To Verify",COUNTIF($I$4:I172,"To Verify"),"")</f>
        <v/>
      </c>
    </row>
    <row r="173" customFormat="false" ht="68.65" hidden="false" customHeight="false" outlineLevel="0" collapsed="false">
      <c r="A173" s="5" t="s">
        <v>2024</v>
      </c>
      <c r="B173" s="6" t="s">
        <v>1876</v>
      </c>
      <c r="C173" s="6" t="s">
        <v>1877</v>
      </c>
      <c r="D173" s="6" t="s">
        <v>2010</v>
      </c>
      <c r="E173" s="6" t="s">
        <v>2025</v>
      </c>
      <c r="F173" s="6" t="s">
        <v>2026</v>
      </c>
      <c r="G173" s="6" t="s">
        <v>2027</v>
      </c>
      <c r="H173" s="6" t="s">
        <v>2028</v>
      </c>
      <c r="I173" s="5" t="s">
        <v>12</v>
      </c>
      <c r="J173" s="7" t="str">
        <f aca="false">IFERROR(INDEX(AVAILABILITY_MASTER!$C$4:$C$10,MATCH(I173,AVAILABILITY_MASTER!$A$4:$A$10,0)),"To Be Confirmed")</f>
        <v>Please Confirm at Shop</v>
      </c>
      <c r="K173" s="6" t="s">
        <v>74</v>
      </c>
      <c r="L173" s="6" t="s">
        <v>75</v>
      </c>
      <c r="M173" s="7" t="str">
        <f aca="false">IFERROR(INDEX(SERVICE_DOCUMENTS!$S$4:$S$1000,MATCH(A173,SERVICE_DOCUMENTS!$A$4:$A$1000,0))&amp;"","")</f>
        <v>✓ Aadhaar Card
✓ Passport Photo
✓ Customer Presence for Biometrics</v>
      </c>
      <c r="N173" s="7" t="str">
        <f aca="false">IFERROR(INDEX(SERVICE_DOCUMENTS!$T$4:$T$1000,MATCH(A173,SERVICE_DOCUMENTS!$A$4:$A$1000,0))&amp;"","")</f>
        <v/>
      </c>
      <c r="O173" s="6" t="s">
        <v>645</v>
      </c>
      <c r="P173" s="6" t="s">
        <v>2015</v>
      </c>
      <c r="Q173" s="6" t="s">
        <v>78</v>
      </c>
      <c r="R173" s="8" t="s">
        <v>75</v>
      </c>
      <c r="S173" s="8" t="s">
        <v>75</v>
      </c>
      <c r="T173" s="9" t="str">
        <f aca="false">IF(AND(OR(ISNUMBER(R173),R173="N/A"),OR(ISNUMBER(S173),S173="N/A"),OR(ISNUMBER(R173),ISNUMBER(S173))),N(R173)+N(S173),"To Verify")</f>
        <v>To Verify</v>
      </c>
      <c r="U173" s="6" t="s">
        <v>75</v>
      </c>
      <c r="V173" s="6" t="s">
        <v>79</v>
      </c>
      <c r="W173" s="6" t="s">
        <v>80</v>
      </c>
      <c r="X173" s="6" t="s">
        <v>81</v>
      </c>
      <c r="Y173" s="6" t="s">
        <v>79</v>
      </c>
      <c r="Z173" s="6"/>
      <c r="AA173" s="6" t="s">
        <v>74</v>
      </c>
      <c r="AB173" s="6" t="s">
        <v>74</v>
      </c>
      <c r="AC173" s="6" t="s">
        <v>75</v>
      </c>
      <c r="AD173" s="6" t="s">
        <v>75</v>
      </c>
      <c r="AE173" s="6" t="s">
        <v>79</v>
      </c>
      <c r="AF173" s="6" t="s">
        <v>79</v>
      </c>
      <c r="AG173" s="6" t="s">
        <v>75</v>
      </c>
      <c r="AH173" s="6" t="s">
        <v>79</v>
      </c>
      <c r="AI173" s="6" t="s">
        <v>79</v>
      </c>
      <c r="AJ173" s="6" t="s">
        <v>79</v>
      </c>
      <c r="AK173" s="6" t="s">
        <v>79</v>
      </c>
      <c r="AL173" s="6" t="s">
        <v>1876</v>
      </c>
      <c r="AM173" s="6" t="s">
        <v>2010</v>
      </c>
      <c r="AN173" s="7" t="str">
        <f aca="false">BA173&amp;", "&amp;AZ173</f>
        <v>SIM Replacement (Lost / Damaged SIM), Mobile Store, Devmobile Stores, सिम रिप्लेसमेंट (खोया / खराब सिम), मोबाइल स्टोर, सेवा</v>
      </c>
      <c r="AO173" s="6" t="s">
        <v>2029</v>
      </c>
      <c r="AP173" s="5" t="s">
        <v>2017</v>
      </c>
      <c r="AQ173" s="5" t="n">
        <v>150</v>
      </c>
      <c r="AR173" s="6" t="s">
        <v>133</v>
      </c>
      <c r="AS173" s="6" t="s">
        <v>2018</v>
      </c>
      <c r="AT173" s="6" t="s">
        <v>86</v>
      </c>
      <c r="AU173" s="10"/>
      <c r="AV173" s="6" t="s">
        <v>75</v>
      </c>
      <c r="AW173" s="6" t="s">
        <v>2030</v>
      </c>
      <c r="AX173" s="6" t="s">
        <v>2031</v>
      </c>
      <c r="AY173" s="6" t="s">
        <v>2032</v>
      </c>
      <c r="AZ173" s="6" t="s">
        <v>2033</v>
      </c>
      <c r="BA173" s="6" t="s">
        <v>2034</v>
      </c>
      <c r="BB173" s="6"/>
      <c r="BC173" s="11" t="str">
        <f aca="false">IFERROR(INDEX(CATEGORY_MASTER!$C$4:$C$30,MATCH(B173,CATEGORY_MASTER!$A$4:$A$30,0)),"")</f>
        <v>📱</v>
      </c>
      <c r="BD173" s="7" t="str">
        <f aca="false">"/services/"&amp;AO173</f>
        <v>/services/sim-replacement-lost-damaged-sim</v>
      </c>
      <c r="BE173" s="7" t="str">
        <f aca="false">IF(AND(AH173="Yes",AG173="Active",I173&lt;&gt;"Not Available"),"LIVE","HIDDEN")</f>
        <v>HIDDEN</v>
      </c>
      <c r="BF173" s="6" t="s">
        <v>139</v>
      </c>
      <c r="BG173" s="6" t="s">
        <v>93</v>
      </c>
      <c r="BH173" s="7" t="str">
        <f aca="false">B173&amp;"|"&amp;COUNTIF($B$4:B173,B173)</f>
        <v>Mobile Store|15</v>
      </c>
      <c r="BI173" s="7" t="str">
        <f aca="false">IF(AND(AI173="Yes",BE173="LIVE"),COUNTIFS($AI$4:AI173,"Yes",$BE$4:BE173,"LIVE"),"")</f>
        <v/>
      </c>
      <c r="BJ173" s="7" t="str">
        <f aca="false">IF(AND(AJ173="Yes",BE173="LIVE"),COUNTIFS($AJ$4:AJ173,"Yes",$BE$4:BE173,"LIVE"),"")</f>
        <v/>
      </c>
      <c r="BK173" s="7" t="str">
        <f aca="false">IF(AND(AK173="Yes",BE173="LIVE"),COUNTIFS($AK$4:AK173,"Yes",$BE$4:BE173,"LIVE"),"")</f>
        <v/>
      </c>
      <c r="BL173" s="7" t="str">
        <f aca="false">IF(I173="To Verify",COUNTIF($I$4:I173,"To Verify"),"")</f>
        <v/>
      </c>
    </row>
    <row r="174" customFormat="false" ht="68.65" hidden="false" customHeight="false" outlineLevel="0" collapsed="false">
      <c r="A174" s="5" t="s">
        <v>2035</v>
      </c>
      <c r="B174" s="6" t="s">
        <v>1876</v>
      </c>
      <c r="C174" s="6" t="s">
        <v>1877</v>
      </c>
      <c r="D174" s="6" t="s">
        <v>2010</v>
      </c>
      <c r="E174" s="6" t="s">
        <v>2036</v>
      </c>
      <c r="F174" s="6" t="s">
        <v>2037</v>
      </c>
      <c r="G174" s="6" t="s">
        <v>2038</v>
      </c>
      <c r="H174" s="6" t="s">
        <v>2039</v>
      </c>
      <c r="I174" s="5" t="s">
        <v>12</v>
      </c>
      <c r="J174" s="7" t="str">
        <f aca="false">IFERROR(INDEX(AVAILABILITY_MASTER!$C$4:$C$10,MATCH(I174,AVAILABILITY_MASTER!$A$4:$A$10,0)),"To Be Confirmed")</f>
        <v>Please Confirm at Shop</v>
      </c>
      <c r="K174" s="6" t="s">
        <v>74</v>
      </c>
      <c r="L174" s="6" t="s">
        <v>75</v>
      </c>
      <c r="M174" s="7" t="str">
        <f aca="false">IFERROR(INDEX(SERVICE_DOCUMENTS!$S$4:$S$1000,MATCH(A174,SERVICE_DOCUMENTS!$A$4:$A$1000,0))&amp;"","")</f>
        <v>✓ Aadhaar Card
✓ Passport Photo
✓ Customer Presence for Biometrics</v>
      </c>
      <c r="N174" s="7" t="str">
        <f aca="false">IFERROR(INDEX(SERVICE_DOCUMENTS!$T$4:$T$1000,MATCH(A174,SERVICE_DOCUMENTS!$A$4:$A$1000,0))&amp;"","")</f>
        <v/>
      </c>
      <c r="O174" s="6" t="s">
        <v>645</v>
      </c>
      <c r="P174" s="6" t="s">
        <v>2015</v>
      </c>
      <c r="Q174" s="6" t="s">
        <v>78</v>
      </c>
      <c r="R174" s="8" t="s">
        <v>75</v>
      </c>
      <c r="S174" s="8" t="s">
        <v>75</v>
      </c>
      <c r="T174" s="9" t="str">
        <f aca="false">IF(AND(OR(ISNUMBER(R174),R174="N/A"),OR(ISNUMBER(S174),S174="N/A"),OR(ISNUMBER(R174),ISNUMBER(S174))),N(R174)+N(S174),"To Verify")</f>
        <v>To Verify</v>
      </c>
      <c r="U174" s="6" t="s">
        <v>75</v>
      </c>
      <c r="V174" s="6" t="s">
        <v>79</v>
      </c>
      <c r="W174" s="6" t="s">
        <v>80</v>
      </c>
      <c r="X174" s="6" t="s">
        <v>81</v>
      </c>
      <c r="Y174" s="6" t="s">
        <v>79</v>
      </c>
      <c r="Z174" s="6"/>
      <c r="AA174" s="6" t="s">
        <v>74</v>
      </c>
      <c r="AB174" s="6" t="s">
        <v>74</v>
      </c>
      <c r="AC174" s="6" t="s">
        <v>75</v>
      </c>
      <c r="AD174" s="6" t="s">
        <v>75</v>
      </c>
      <c r="AE174" s="6" t="s">
        <v>79</v>
      </c>
      <c r="AF174" s="6" t="s">
        <v>79</v>
      </c>
      <c r="AG174" s="6" t="s">
        <v>75</v>
      </c>
      <c r="AH174" s="6" t="s">
        <v>79</v>
      </c>
      <c r="AI174" s="6" t="s">
        <v>79</v>
      </c>
      <c r="AJ174" s="6" t="s">
        <v>79</v>
      </c>
      <c r="AK174" s="6" t="s">
        <v>79</v>
      </c>
      <c r="AL174" s="6" t="s">
        <v>1876</v>
      </c>
      <c r="AM174" s="6" t="s">
        <v>2010</v>
      </c>
      <c r="AN174" s="7" t="str">
        <f aca="false">BA174&amp;", "&amp;AZ174</f>
        <v>Mobile Number Portability (MNP) Assistance, Mobile Store, Devmobile Stores, मोबाइल नंबर पोर्टेबिलिटी (MNP) सहायता, मोबाइल स्टोर, सेवा</v>
      </c>
      <c r="AO174" s="6" t="s">
        <v>2040</v>
      </c>
      <c r="AP174" s="5" t="s">
        <v>2017</v>
      </c>
      <c r="AQ174" s="5" t="n">
        <v>160</v>
      </c>
      <c r="AR174" s="6" t="s">
        <v>133</v>
      </c>
      <c r="AS174" s="6" t="s">
        <v>2018</v>
      </c>
      <c r="AT174" s="6" t="s">
        <v>86</v>
      </c>
      <c r="AU174" s="10"/>
      <c r="AV174" s="6" t="s">
        <v>75</v>
      </c>
      <c r="AW174" s="6" t="s">
        <v>2030</v>
      </c>
      <c r="AX174" s="6" t="s">
        <v>2041</v>
      </c>
      <c r="AY174" s="6" t="s">
        <v>2042</v>
      </c>
      <c r="AZ174" s="6" t="s">
        <v>2043</v>
      </c>
      <c r="BA174" s="6" t="s">
        <v>2044</v>
      </c>
      <c r="BB174" s="6"/>
      <c r="BC174" s="11" t="str">
        <f aca="false">IFERROR(INDEX(CATEGORY_MASTER!$C$4:$C$30,MATCH(B174,CATEGORY_MASTER!$A$4:$A$30,0)),"")</f>
        <v>📱</v>
      </c>
      <c r="BD174" s="7" t="str">
        <f aca="false">"/services/"&amp;AO174</f>
        <v>/services/mobile-number-portability-mnp-assistance</v>
      </c>
      <c r="BE174" s="7" t="str">
        <f aca="false">IF(AND(AH174="Yes",AG174="Active",I174&lt;&gt;"Not Available"),"LIVE","HIDDEN")</f>
        <v>HIDDEN</v>
      </c>
      <c r="BF174" s="6" t="s">
        <v>139</v>
      </c>
      <c r="BG174" s="6" t="s">
        <v>93</v>
      </c>
      <c r="BH174" s="7" t="str">
        <f aca="false">B174&amp;"|"&amp;COUNTIF($B$4:B174,B174)</f>
        <v>Mobile Store|16</v>
      </c>
      <c r="BI174" s="7" t="str">
        <f aca="false">IF(AND(AI174="Yes",BE174="LIVE"),COUNTIFS($AI$4:AI174,"Yes",$BE$4:BE174,"LIVE"),"")</f>
        <v/>
      </c>
      <c r="BJ174" s="7" t="str">
        <f aca="false">IF(AND(AJ174="Yes",BE174="LIVE"),COUNTIFS($AJ$4:AJ174,"Yes",$BE$4:BE174,"LIVE"),"")</f>
        <v/>
      </c>
      <c r="BK174" s="7" t="str">
        <f aca="false">IF(AND(AK174="Yes",BE174="LIVE"),COUNTIFS($AK$4:AK174,"Yes",$BE$4:BE174,"LIVE"),"")</f>
        <v/>
      </c>
      <c r="BL174" s="7" t="str">
        <f aca="false">IF(I174="To Verify",COUNTIF($I$4:I174,"To Verify"),"")</f>
        <v/>
      </c>
    </row>
    <row r="175" customFormat="false" ht="68.65" hidden="false" customHeight="false" outlineLevel="0" collapsed="false">
      <c r="A175" s="5" t="s">
        <v>2045</v>
      </c>
      <c r="B175" s="6" t="s">
        <v>1876</v>
      </c>
      <c r="C175" s="6" t="s">
        <v>1877</v>
      </c>
      <c r="D175" s="6" t="s">
        <v>2010</v>
      </c>
      <c r="E175" s="6" t="s">
        <v>2046</v>
      </c>
      <c r="F175" s="6" t="s">
        <v>2047</v>
      </c>
      <c r="G175" s="6" t="s">
        <v>2048</v>
      </c>
      <c r="H175" s="6" t="s">
        <v>2049</v>
      </c>
      <c r="I175" s="5" t="s">
        <v>12</v>
      </c>
      <c r="J175" s="7" t="str">
        <f aca="false">IFERROR(INDEX(AVAILABILITY_MASTER!$C$4:$C$10,MATCH(I175,AVAILABILITY_MASTER!$A$4:$A$10,0)),"To Be Confirmed")</f>
        <v>Please Confirm at Shop</v>
      </c>
      <c r="K175" s="6" t="s">
        <v>74</v>
      </c>
      <c r="L175" s="6" t="s">
        <v>75</v>
      </c>
      <c r="M175" s="7" t="str">
        <f aca="false">IFERROR(INDEX(SERVICE_DOCUMENTS!$S$4:$S$1000,MATCH(A175,SERVICE_DOCUMENTS!$A$4:$A$1000,0))&amp;"","")</f>
        <v>✓ Aadhaar Card
✓ Passport Photo
✓ Customer Presence for Biometrics</v>
      </c>
      <c r="N175" s="7" t="str">
        <f aca="false">IFERROR(INDEX(SERVICE_DOCUMENTS!$T$4:$T$1000,MATCH(A175,SERVICE_DOCUMENTS!$A$4:$A$1000,0))&amp;"","")</f>
        <v/>
      </c>
      <c r="O175" s="6" t="s">
        <v>645</v>
      </c>
      <c r="P175" s="6" t="s">
        <v>2015</v>
      </c>
      <c r="Q175" s="6" t="s">
        <v>78</v>
      </c>
      <c r="R175" s="8" t="s">
        <v>75</v>
      </c>
      <c r="S175" s="8" t="s">
        <v>75</v>
      </c>
      <c r="T175" s="9" t="str">
        <f aca="false">IF(AND(OR(ISNUMBER(R175),R175="N/A"),OR(ISNUMBER(S175),S175="N/A"),OR(ISNUMBER(R175),ISNUMBER(S175))),N(R175)+N(S175),"To Verify")</f>
        <v>To Verify</v>
      </c>
      <c r="U175" s="6" t="s">
        <v>75</v>
      </c>
      <c r="V175" s="6" t="s">
        <v>79</v>
      </c>
      <c r="W175" s="6" t="s">
        <v>80</v>
      </c>
      <c r="X175" s="6" t="s">
        <v>81</v>
      </c>
      <c r="Y175" s="6" t="s">
        <v>79</v>
      </c>
      <c r="Z175" s="6"/>
      <c r="AA175" s="6" t="s">
        <v>74</v>
      </c>
      <c r="AB175" s="6" t="s">
        <v>74</v>
      </c>
      <c r="AC175" s="6" t="s">
        <v>75</v>
      </c>
      <c r="AD175" s="6" t="s">
        <v>75</v>
      </c>
      <c r="AE175" s="6" t="s">
        <v>79</v>
      </c>
      <c r="AF175" s="6" t="s">
        <v>79</v>
      </c>
      <c r="AG175" s="6" t="s">
        <v>75</v>
      </c>
      <c r="AH175" s="6" t="s">
        <v>79</v>
      </c>
      <c r="AI175" s="6" t="s">
        <v>79</v>
      </c>
      <c r="AJ175" s="6" t="s">
        <v>79</v>
      </c>
      <c r="AK175" s="6" t="s">
        <v>79</v>
      </c>
      <c r="AL175" s="6" t="s">
        <v>1876</v>
      </c>
      <c r="AM175" s="6" t="s">
        <v>2010</v>
      </c>
      <c r="AN175" s="7" t="str">
        <f aca="false">BA175&amp;", "&amp;AZ175</f>
        <v>SIM KYC / Re-verification Assistance, Mobile Store, Devmobile Stores, सिम KYC / पुनः सत्यापन सहायता, मोबाइल स्टोर, सेवा</v>
      </c>
      <c r="AO175" s="6" t="s">
        <v>2050</v>
      </c>
      <c r="AP175" s="5" t="s">
        <v>2017</v>
      </c>
      <c r="AQ175" s="5" t="n">
        <v>170</v>
      </c>
      <c r="AR175" s="6" t="s">
        <v>133</v>
      </c>
      <c r="AS175" s="6" t="s">
        <v>2018</v>
      </c>
      <c r="AT175" s="6" t="s">
        <v>86</v>
      </c>
      <c r="AU175" s="10"/>
      <c r="AV175" s="6" t="s">
        <v>75</v>
      </c>
      <c r="AW175" s="6" t="s">
        <v>2030</v>
      </c>
      <c r="AX175" s="6" t="s">
        <v>2051</v>
      </c>
      <c r="AY175" s="6" t="s">
        <v>2052</v>
      </c>
      <c r="AZ175" s="6" t="s">
        <v>2053</v>
      </c>
      <c r="BA175" s="6" t="s">
        <v>2054</v>
      </c>
      <c r="BB175" s="6"/>
      <c r="BC175" s="11" t="str">
        <f aca="false">IFERROR(INDEX(CATEGORY_MASTER!$C$4:$C$30,MATCH(B175,CATEGORY_MASTER!$A$4:$A$30,0)),"")</f>
        <v>📱</v>
      </c>
      <c r="BD175" s="7" t="str">
        <f aca="false">"/services/"&amp;AO175</f>
        <v>/services/sim-kyc-re-verification-assistance</v>
      </c>
      <c r="BE175" s="7" t="str">
        <f aca="false">IF(AND(AH175="Yes",AG175="Active",I175&lt;&gt;"Not Available"),"LIVE","HIDDEN")</f>
        <v>HIDDEN</v>
      </c>
      <c r="BF175" s="6" t="s">
        <v>139</v>
      </c>
      <c r="BG175" s="6" t="s">
        <v>93</v>
      </c>
      <c r="BH175" s="7" t="str">
        <f aca="false">B175&amp;"|"&amp;COUNTIF($B$4:B175,B175)</f>
        <v>Mobile Store|17</v>
      </c>
      <c r="BI175" s="7" t="str">
        <f aca="false">IF(AND(AI175="Yes",BE175="LIVE"),COUNTIFS($AI$4:AI175,"Yes",$BE$4:BE175,"LIVE"),"")</f>
        <v/>
      </c>
      <c r="BJ175" s="7" t="str">
        <f aca="false">IF(AND(AJ175="Yes",BE175="LIVE"),COUNTIFS($AJ$4:AJ175,"Yes",$BE$4:BE175,"LIVE"),"")</f>
        <v/>
      </c>
      <c r="BK175" s="7" t="str">
        <f aca="false">IF(AND(AK175="Yes",BE175="LIVE"),COUNTIFS($AK$4:AK175,"Yes",$BE$4:BE175,"LIVE"),"")</f>
        <v/>
      </c>
      <c r="BL175" s="7" t="str">
        <f aca="false">IF(I175="To Verify",COUNTIF($I$4:I175,"To Verify"),"")</f>
        <v/>
      </c>
    </row>
    <row r="176" customFormat="false" ht="68.65" hidden="false" customHeight="false" outlineLevel="0" collapsed="false">
      <c r="A176" s="5" t="s">
        <v>2055</v>
      </c>
      <c r="B176" s="6" t="s">
        <v>1876</v>
      </c>
      <c r="C176" s="6" t="s">
        <v>1877</v>
      </c>
      <c r="D176" s="6" t="s">
        <v>2056</v>
      </c>
      <c r="E176" s="6" t="s">
        <v>2057</v>
      </c>
      <c r="F176" s="6" t="s">
        <v>2058</v>
      </c>
      <c r="G176" s="6" t="s">
        <v>2059</v>
      </c>
      <c r="H176" s="6" t="s">
        <v>2060</v>
      </c>
      <c r="I176" s="5" t="s">
        <v>167</v>
      </c>
      <c r="J176" s="7" t="str">
        <f aca="false">IFERROR(INDEX(AVAILABILITY_MASTER!$C$4:$C$10,MATCH(I176,AVAILABILITY_MASTER!$A$4:$A$10,0)),"To Be Confirmed")</f>
        <v>Available</v>
      </c>
      <c r="K176" s="6" t="s">
        <v>79</v>
      </c>
      <c r="L176" s="6" t="s">
        <v>437</v>
      </c>
      <c r="M176" s="7" t="str">
        <f aca="false">IFERROR(INDEX(SERVICE_DOCUMENTS!$S$4:$S$1000,MATCH(A176,SERVICE_DOCUMENTS!$A$4:$A$1000,0))&amp;"","")</f>
        <v>✓ Mobile Phone</v>
      </c>
      <c r="N176" s="7" t="str">
        <f aca="false">IFERROR(INDEX(SERVICE_DOCUMENTS!$T$4:$T$1000,MATCH(A176,SERVICE_DOCUMENTS!$A$4:$A$1000,0))&amp;"","")</f>
        <v/>
      </c>
      <c r="O176" s="6" t="s">
        <v>645</v>
      </c>
      <c r="P176" s="6" t="s">
        <v>2061</v>
      </c>
      <c r="Q176" s="6" t="s">
        <v>371</v>
      </c>
      <c r="R176" s="8" t="s">
        <v>441</v>
      </c>
      <c r="S176" s="8" t="s">
        <v>75</v>
      </c>
      <c r="T176" s="9" t="str">
        <f aca="false">IF(AND(OR(ISNUMBER(R176),R176="N/A"),OR(ISNUMBER(S176),S176="N/A"),OR(ISNUMBER(R176),ISNUMBER(S176))),N(R176)+N(S176),"To Verify")</f>
        <v>To Verify</v>
      </c>
      <c r="U176" s="6" t="s">
        <v>442</v>
      </c>
      <c r="V176" s="6" t="s">
        <v>79</v>
      </c>
      <c r="W176" s="6" t="s">
        <v>80</v>
      </c>
      <c r="X176" s="6" t="s">
        <v>81</v>
      </c>
      <c r="Y176" s="6" t="s">
        <v>79</v>
      </c>
      <c r="Z176" s="6"/>
      <c r="AA176" s="6" t="s">
        <v>74</v>
      </c>
      <c r="AB176" s="6" t="s">
        <v>79</v>
      </c>
      <c r="AC176" s="6" t="s">
        <v>75</v>
      </c>
      <c r="AD176" s="6" t="s">
        <v>75</v>
      </c>
      <c r="AE176" s="6" t="s">
        <v>79</v>
      </c>
      <c r="AF176" s="6" t="s">
        <v>79</v>
      </c>
      <c r="AG176" s="6" t="s">
        <v>170</v>
      </c>
      <c r="AH176" s="6" t="s">
        <v>74</v>
      </c>
      <c r="AI176" s="6" t="s">
        <v>79</v>
      </c>
      <c r="AJ176" s="6" t="s">
        <v>79</v>
      </c>
      <c r="AK176" s="6" t="s">
        <v>79</v>
      </c>
      <c r="AL176" s="6" t="s">
        <v>1876</v>
      </c>
      <c r="AM176" s="6" t="s">
        <v>2056</v>
      </c>
      <c r="AN176" s="7" t="str">
        <f aca="false">BA176&amp;", "&amp;AZ176</f>
        <v>Basic Mobile Setup (New Phone), Mobile Store, Devmobile Stores, बेसिक मोबाइल सेटअप (नया फोन), मोबाइल स्टोर, सेवा</v>
      </c>
      <c r="AO176" s="6" t="s">
        <v>2062</v>
      </c>
      <c r="AP176" s="5" t="s">
        <v>2063</v>
      </c>
      <c r="AQ176" s="5" t="n">
        <v>180</v>
      </c>
      <c r="AR176" s="6" t="s">
        <v>133</v>
      </c>
      <c r="AS176" s="6"/>
      <c r="AT176" s="6" t="s">
        <v>86</v>
      </c>
      <c r="AU176" s="10"/>
      <c r="AV176" s="6" t="s">
        <v>75</v>
      </c>
      <c r="AW176" s="6"/>
      <c r="AX176" s="6" t="s">
        <v>2064</v>
      </c>
      <c r="AY176" s="6" t="s">
        <v>2065</v>
      </c>
      <c r="AZ176" s="6" t="s">
        <v>2066</v>
      </c>
      <c r="BA176" s="6" t="s">
        <v>2067</v>
      </c>
      <c r="BB176" s="6"/>
      <c r="BC176" s="11" t="str">
        <f aca="false">IFERROR(INDEX(CATEGORY_MASTER!$C$4:$C$30,MATCH(B176,CATEGORY_MASTER!$A$4:$A$30,0)),"")</f>
        <v>📱</v>
      </c>
      <c r="BD176" s="7" t="str">
        <f aca="false">"/services/"&amp;AO176</f>
        <v>/services/basic-mobile-setup-new-phone</v>
      </c>
      <c r="BE176" s="7" t="str">
        <f aca="false">IF(AND(AH176="Yes",AG176="Active",I176&lt;&gt;"Not Available"),"LIVE","HIDDEN")</f>
        <v>LIVE</v>
      </c>
      <c r="BF176" s="6" t="s">
        <v>139</v>
      </c>
      <c r="BG176" s="6" t="s">
        <v>452</v>
      </c>
      <c r="BH176" s="7" t="str">
        <f aca="false">B176&amp;"|"&amp;COUNTIF($B$4:B176,B176)</f>
        <v>Mobile Store|18</v>
      </c>
      <c r="BI176" s="7" t="str">
        <f aca="false">IF(AND(AI176="Yes",BE176="LIVE"),COUNTIFS($AI$4:AI176,"Yes",$BE$4:BE176,"LIVE"),"")</f>
        <v/>
      </c>
      <c r="BJ176" s="7" t="str">
        <f aca="false">IF(AND(AJ176="Yes",BE176="LIVE"),COUNTIFS($AJ$4:AJ176,"Yes",$BE$4:BE176,"LIVE"),"")</f>
        <v/>
      </c>
      <c r="BK176" s="7" t="str">
        <f aca="false">IF(AND(AK176="Yes",BE176="LIVE"),COUNTIFS($AK$4:AK176,"Yes",$BE$4:BE176,"LIVE"),"")</f>
        <v/>
      </c>
      <c r="BL176" s="7" t="str">
        <f aca="false">IF(I176="To Verify",COUNTIF($I$4:I176,"To Verify"),"")</f>
        <v/>
      </c>
    </row>
    <row r="177" customFormat="false" ht="57.45" hidden="false" customHeight="false" outlineLevel="0" collapsed="false">
      <c r="A177" s="5" t="s">
        <v>2068</v>
      </c>
      <c r="B177" s="6" t="s">
        <v>1876</v>
      </c>
      <c r="C177" s="6" t="s">
        <v>1877</v>
      </c>
      <c r="D177" s="6" t="s">
        <v>2056</v>
      </c>
      <c r="E177" s="6" t="s">
        <v>2069</v>
      </c>
      <c r="F177" s="6" t="s">
        <v>2070</v>
      </c>
      <c r="G177" s="6" t="s">
        <v>2071</v>
      </c>
      <c r="H177" s="6" t="s">
        <v>2072</v>
      </c>
      <c r="I177" s="5" t="s">
        <v>167</v>
      </c>
      <c r="J177" s="7" t="str">
        <f aca="false">IFERROR(INDEX(AVAILABILITY_MASTER!$C$4:$C$10,MATCH(I177,AVAILABILITY_MASTER!$A$4:$A$10,0)),"To Be Confirmed")</f>
        <v>Available</v>
      </c>
      <c r="K177" s="6" t="s">
        <v>79</v>
      </c>
      <c r="L177" s="6" t="s">
        <v>437</v>
      </c>
      <c r="M177" s="7" t="str">
        <f aca="false">IFERROR(INDEX(SERVICE_DOCUMENTS!$S$4:$S$1000,MATCH(A177,SERVICE_DOCUMENTS!$A$4:$A$1000,0))&amp;"","")</f>
        <v>✓ Mobile Phone</v>
      </c>
      <c r="N177" s="7" t="str">
        <f aca="false">IFERROR(INDEX(SERVICE_DOCUMENTS!$T$4:$T$1000,MATCH(A177,SERVICE_DOCUMENTS!$A$4:$A$1000,0))&amp;"","")</f>
        <v/>
      </c>
      <c r="O177" s="6" t="s">
        <v>645</v>
      </c>
      <c r="P177" s="6" t="s">
        <v>2061</v>
      </c>
      <c r="Q177" s="6" t="s">
        <v>371</v>
      </c>
      <c r="R177" s="8" t="s">
        <v>441</v>
      </c>
      <c r="S177" s="8" t="s">
        <v>75</v>
      </c>
      <c r="T177" s="9" t="str">
        <f aca="false">IF(AND(OR(ISNUMBER(R177),R177="N/A"),OR(ISNUMBER(S177),S177="N/A"),OR(ISNUMBER(R177),ISNUMBER(S177))),N(R177)+N(S177),"To Verify")</f>
        <v>To Verify</v>
      </c>
      <c r="U177" s="6" t="s">
        <v>442</v>
      </c>
      <c r="V177" s="6" t="s">
        <v>79</v>
      </c>
      <c r="W177" s="6" t="s">
        <v>80</v>
      </c>
      <c r="X177" s="6" t="s">
        <v>81</v>
      </c>
      <c r="Y177" s="6" t="s">
        <v>79</v>
      </c>
      <c r="Z177" s="6"/>
      <c r="AA177" s="6" t="s">
        <v>74</v>
      </c>
      <c r="AB177" s="6" t="s">
        <v>79</v>
      </c>
      <c r="AC177" s="6" t="s">
        <v>75</v>
      </c>
      <c r="AD177" s="6" t="s">
        <v>75</v>
      </c>
      <c r="AE177" s="6" t="s">
        <v>79</v>
      </c>
      <c r="AF177" s="6" t="s">
        <v>79</v>
      </c>
      <c r="AG177" s="6" t="s">
        <v>170</v>
      </c>
      <c r="AH177" s="6" t="s">
        <v>74</v>
      </c>
      <c r="AI177" s="6" t="s">
        <v>79</v>
      </c>
      <c r="AJ177" s="6" t="s">
        <v>79</v>
      </c>
      <c r="AK177" s="6" t="s">
        <v>79</v>
      </c>
      <c r="AL177" s="6" t="s">
        <v>1876</v>
      </c>
      <c r="AM177" s="6" t="s">
        <v>2056</v>
      </c>
      <c r="AN177" s="7" t="str">
        <f aca="false">BA177&amp;", "&amp;AZ177</f>
        <v>App Installation / Setup, Mobile Store, Devmobile Stores, ऐप इंस्टॉलेशन / सेटअप, मोबाइल स्टोर, सेवा</v>
      </c>
      <c r="AO177" s="6" t="s">
        <v>2073</v>
      </c>
      <c r="AP177" s="5" t="s">
        <v>2063</v>
      </c>
      <c r="AQ177" s="5" t="n">
        <v>190</v>
      </c>
      <c r="AR177" s="6" t="s">
        <v>133</v>
      </c>
      <c r="AS177" s="6"/>
      <c r="AT177" s="6" t="s">
        <v>86</v>
      </c>
      <c r="AU177" s="10"/>
      <c r="AV177" s="6" t="s">
        <v>75</v>
      </c>
      <c r="AW177" s="6"/>
      <c r="AX177" s="6" t="s">
        <v>2074</v>
      </c>
      <c r="AY177" s="6" t="s">
        <v>2075</v>
      </c>
      <c r="AZ177" s="6" t="s">
        <v>2076</v>
      </c>
      <c r="BA177" s="6" t="s">
        <v>2077</v>
      </c>
      <c r="BB177" s="6"/>
      <c r="BC177" s="11" t="str">
        <f aca="false">IFERROR(INDEX(CATEGORY_MASTER!$C$4:$C$30,MATCH(B177,CATEGORY_MASTER!$A$4:$A$30,0)),"")</f>
        <v>📱</v>
      </c>
      <c r="BD177" s="7" t="str">
        <f aca="false">"/services/"&amp;AO177</f>
        <v>/services/app-installation-setup</v>
      </c>
      <c r="BE177" s="7" t="str">
        <f aca="false">IF(AND(AH177="Yes",AG177="Active",I177&lt;&gt;"Not Available"),"LIVE","HIDDEN")</f>
        <v>LIVE</v>
      </c>
      <c r="BF177" s="6" t="s">
        <v>139</v>
      </c>
      <c r="BG177" s="6" t="s">
        <v>452</v>
      </c>
      <c r="BH177" s="7" t="str">
        <f aca="false">B177&amp;"|"&amp;COUNTIF($B$4:B177,B177)</f>
        <v>Mobile Store|19</v>
      </c>
      <c r="BI177" s="7" t="str">
        <f aca="false">IF(AND(AI177="Yes",BE177="LIVE"),COUNTIFS($AI$4:AI177,"Yes",$BE$4:BE177,"LIVE"),"")</f>
        <v/>
      </c>
      <c r="BJ177" s="7" t="str">
        <f aca="false">IF(AND(AJ177="Yes",BE177="LIVE"),COUNTIFS($AJ$4:AJ177,"Yes",$BE$4:BE177,"LIVE"),"")</f>
        <v/>
      </c>
      <c r="BK177" s="7" t="str">
        <f aca="false">IF(AND(AK177="Yes",BE177="LIVE"),COUNTIFS($AK$4:AK177,"Yes",$BE$4:BE177,"LIVE"),"")</f>
        <v/>
      </c>
      <c r="BL177" s="7" t="str">
        <f aca="false">IF(I177="To Verify",COUNTIF($I$4:I177,"To Verify"),"")</f>
        <v/>
      </c>
    </row>
    <row r="178" customFormat="false" ht="57.45" hidden="false" customHeight="false" outlineLevel="0" collapsed="false">
      <c r="A178" s="5" t="s">
        <v>2078</v>
      </c>
      <c r="B178" s="6" t="s">
        <v>1876</v>
      </c>
      <c r="C178" s="6" t="s">
        <v>1877</v>
      </c>
      <c r="D178" s="6" t="s">
        <v>2056</v>
      </c>
      <c r="E178" s="6" t="s">
        <v>2079</v>
      </c>
      <c r="F178" s="6" t="s">
        <v>2080</v>
      </c>
      <c r="G178" s="6" t="s">
        <v>2081</v>
      </c>
      <c r="H178" s="6" t="s">
        <v>2082</v>
      </c>
      <c r="I178" s="5" t="s">
        <v>167</v>
      </c>
      <c r="J178" s="7" t="str">
        <f aca="false">IFERROR(INDEX(AVAILABILITY_MASTER!$C$4:$C$10,MATCH(I178,AVAILABILITY_MASTER!$A$4:$A$10,0)),"To Be Confirmed")</f>
        <v>Available</v>
      </c>
      <c r="K178" s="6" t="s">
        <v>79</v>
      </c>
      <c r="L178" s="6" t="s">
        <v>437</v>
      </c>
      <c r="M178" s="7" t="str">
        <f aca="false">IFERROR(INDEX(SERVICE_DOCUMENTS!$S$4:$S$1000,MATCH(A178,SERVICE_DOCUMENTS!$A$4:$A$1000,0))&amp;"","")</f>
        <v>✓ Mobile Phone</v>
      </c>
      <c r="N178" s="7" t="str">
        <f aca="false">IFERROR(INDEX(SERVICE_DOCUMENTS!$T$4:$T$1000,MATCH(A178,SERVICE_DOCUMENTS!$A$4:$A$1000,0))&amp;"","")</f>
        <v/>
      </c>
      <c r="O178" s="6" t="s">
        <v>645</v>
      </c>
      <c r="P178" s="6" t="s">
        <v>2061</v>
      </c>
      <c r="Q178" s="6" t="s">
        <v>371</v>
      </c>
      <c r="R178" s="8" t="s">
        <v>441</v>
      </c>
      <c r="S178" s="8" t="s">
        <v>75</v>
      </c>
      <c r="T178" s="9" t="str">
        <f aca="false">IF(AND(OR(ISNUMBER(R178),R178="N/A"),OR(ISNUMBER(S178),S178="N/A"),OR(ISNUMBER(R178),ISNUMBER(S178))),N(R178)+N(S178),"To Verify")</f>
        <v>To Verify</v>
      </c>
      <c r="U178" s="6" t="s">
        <v>442</v>
      </c>
      <c r="V178" s="6" t="s">
        <v>79</v>
      </c>
      <c r="W178" s="6" t="s">
        <v>80</v>
      </c>
      <c r="X178" s="6" t="s">
        <v>81</v>
      </c>
      <c r="Y178" s="6" t="s">
        <v>79</v>
      </c>
      <c r="Z178" s="6"/>
      <c r="AA178" s="6" t="s">
        <v>74</v>
      </c>
      <c r="AB178" s="6" t="s">
        <v>79</v>
      </c>
      <c r="AC178" s="6" t="s">
        <v>75</v>
      </c>
      <c r="AD178" s="6" t="s">
        <v>75</v>
      </c>
      <c r="AE178" s="6" t="s">
        <v>79</v>
      </c>
      <c r="AF178" s="6" t="s">
        <v>79</v>
      </c>
      <c r="AG178" s="6" t="s">
        <v>170</v>
      </c>
      <c r="AH178" s="6" t="s">
        <v>74</v>
      </c>
      <c r="AI178" s="6" t="s">
        <v>79</v>
      </c>
      <c r="AJ178" s="6" t="s">
        <v>79</v>
      </c>
      <c r="AK178" s="6" t="s">
        <v>79</v>
      </c>
      <c r="AL178" s="6" t="s">
        <v>1876</v>
      </c>
      <c r="AM178" s="6" t="s">
        <v>2056</v>
      </c>
      <c r="AN178" s="7" t="str">
        <f aca="false">BA178&amp;", "&amp;AZ178</f>
        <v>Data Transfer Assistance, Mobile Store, Devmobile Stores, डेटा ट्रांसफर सहायता, मोबाइल स्टोर, सेवा</v>
      </c>
      <c r="AO178" s="6" t="s">
        <v>2083</v>
      </c>
      <c r="AP178" s="5" t="s">
        <v>2063</v>
      </c>
      <c r="AQ178" s="5" t="n">
        <v>200</v>
      </c>
      <c r="AR178" s="6" t="s">
        <v>133</v>
      </c>
      <c r="AS178" s="6"/>
      <c r="AT178" s="6" t="s">
        <v>86</v>
      </c>
      <c r="AU178" s="10"/>
      <c r="AV178" s="6" t="s">
        <v>75</v>
      </c>
      <c r="AW178" s="6"/>
      <c r="AX178" s="6" t="s">
        <v>2084</v>
      </c>
      <c r="AY178" s="6" t="s">
        <v>2085</v>
      </c>
      <c r="AZ178" s="6" t="s">
        <v>2086</v>
      </c>
      <c r="BA178" s="6" t="s">
        <v>2087</v>
      </c>
      <c r="BB178" s="6"/>
      <c r="BC178" s="11" t="str">
        <f aca="false">IFERROR(INDEX(CATEGORY_MASTER!$C$4:$C$30,MATCH(B178,CATEGORY_MASTER!$A$4:$A$30,0)),"")</f>
        <v>📱</v>
      </c>
      <c r="BD178" s="7" t="str">
        <f aca="false">"/services/"&amp;AO178</f>
        <v>/services/data-transfer-assistance</v>
      </c>
      <c r="BE178" s="7" t="str">
        <f aca="false">IF(AND(AH178="Yes",AG178="Active",I178&lt;&gt;"Not Available"),"LIVE","HIDDEN")</f>
        <v>LIVE</v>
      </c>
      <c r="BF178" s="6" t="s">
        <v>139</v>
      </c>
      <c r="BG178" s="6" t="s">
        <v>452</v>
      </c>
      <c r="BH178" s="7" t="str">
        <f aca="false">B178&amp;"|"&amp;COUNTIF($B$4:B178,B178)</f>
        <v>Mobile Store|20</v>
      </c>
      <c r="BI178" s="7" t="str">
        <f aca="false">IF(AND(AI178="Yes",BE178="LIVE"),COUNTIFS($AI$4:AI178,"Yes",$BE$4:BE178,"LIVE"),"")</f>
        <v/>
      </c>
      <c r="BJ178" s="7" t="str">
        <f aca="false">IF(AND(AJ178="Yes",BE178="LIVE"),COUNTIFS($AJ$4:AJ178,"Yes",$BE$4:BE178,"LIVE"),"")</f>
        <v/>
      </c>
      <c r="BK178" s="7" t="str">
        <f aca="false">IF(AND(AK178="Yes",BE178="LIVE"),COUNTIFS($AK$4:AK178,"Yes",$BE$4:BE178,"LIVE"),"")</f>
        <v/>
      </c>
      <c r="BL178" s="7" t="str">
        <f aca="false">IF(I178="To Verify",COUNTIF($I$4:I178,"To Verify"),"")</f>
        <v/>
      </c>
    </row>
    <row r="179" customFormat="false" ht="68.65" hidden="false" customHeight="false" outlineLevel="0" collapsed="false">
      <c r="A179" s="5" t="s">
        <v>2088</v>
      </c>
      <c r="B179" s="6" t="s">
        <v>1876</v>
      </c>
      <c r="C179" s="6" t="s">
        <v>1877</v>
      </c>
      <c r="D179" s="6" t="s">
        <v>2056</v>
      </c>
      <c r="E179" s="6" t="s">
        <v>2089</v>
      </c>
      <c r="F179" s="6" t="s">
        <v>2090</v>
      </c>
      <c r="G179" s="6" t="s">
        <v>2091</v>
      </c>
      <c r="H179" s="6" t="s">
        <v>2092</v>
      </c>
      <c r="I179" s="5" t="s">
        <v>75</v>
      </c>
      <c r="J179" s="7" t="str">
        <f aca="false">IFERROR(INDEX(AVAILABILITY_MASTER!$C$4:$C$10,MATCH(I179,AVAILABILITY_MASTER!$A$4:$A$10,0)),"To Be Confirmed")</f>
        <v>To Be Confirmed</v>
      </c>
      <c r="K179" s="6" t="s">
        <v>129</v>
      </c>
      <c r="L179" s="6" t="s">
        <v>75</v>
      </c>
      <c r="M179" s="7" t="str">
        <f aca="false">IFERROR(INDEX(SERVICE_DOCUMENTS!$S$4:$S$1000,MATCH(A179,SERVICE_DOCUMENTS!$A$4:$A$1000,0))&amp;"","")</f>
        <v>✓ Mobile Phone</v>
      </c>
      <c r="N179" s="7" t="str">
        <f aca="false">IFERROR(INDEX(SERVICE_DOCUMENTS!$T$4:$T$1000,MATCH(A179,SERVICE_DOCUMENTS!$A$4:$A$1000,0))&amp;"","")</f>
        <v/>
      </c>
      <c r="O179" s="6" t="s">
        <v>645</v>
      </c>
      <c r="P179" s="6" t="s">
        <v>2061</v>
      </c>
      <c r="Q179" s="6" t="s">
        <v>371</v>
      </c>
      <c r="R179" s="8" t="s">
        <v>441</v>
      </c>
      <c r="S179" s="8" t="s">
        <v>75</v>
      </c>
      <c r="T179" s="9" t="str">
        <f aca="false">IF(AND(OR(ISNUMBER(R179),R179="N/A"),OR(ISNUMBER(S179),S179="N/A"),OR(ISNUMBER(R179),ISNUMBER(S179))),N(R179)+N(S179),"To Verify")</f>
        <v>To Verify</v>
      </c>
      <c r="U179" s="6" t="s">
        <v>442</v>
      </c>
      <c r="V179" s="6" t="s">
        <v>79</v>
      </c>
      <c r="W179" s="6" t="s">
        <v>80</v>
      </c>
      <c r="X179" s="6" t="s">
        <v>81</v>
      </c>
      <c r="Y179" s="6" t="s">
        <v>79</v>
      </c>
      <c r="Z179" s="6"/>
      <c r="AA179" s="6" t="s">
        <v>74</v>
      </c>
      <c r="AB179" s="6" t="s">
        <v>79</v>
      </c>
      <c r="AC179" s="6" t="s">
        <v>75</v>
      </c>
      <c r="AD179" s="6" t="s">
        <v>75</v>
      </c>
      <c r="AE179" s="6" t="s">
        <v>79</v>
      </c>
      <c r="AF179" s="6" t="s">
        <v>79</v>
      </c>
      <c r="AG179" s="6" t="s">
        <v>75</v>
      </c>
      <c r="AH179" s="6" t="s">
        <v>79</v>
      </c>
      <c r="AI179" s="6" t="s">
        <v>79</v>
      </c>
      <c r="AJ179" s="6" t="s">
        <v>79</v>
      </c>
      <c r="AK179" s="6" t="s">
        <v>79</v>
      </c>
      <c r="AL179" s="6" t="s">
        <v>1876</v>
      </c>
      <c r="AM179" s="6" t="s">
        <v>2056</v>
      </c>
      <c r="AN179" s="7" t="str">
        <f aca="false">BA179&amp;", "&amp;AZ179</f>
        <v>Mobile Software Update / Reset Assistance, Mobile Store, Devmobile Stores, मोबाइल सॉफ्टवेयर अपडेट / रीसेट सहायता, मोबाइल स्टोर, सेवा</v>
      </c>
      <c r="AO179" s="6" t="s">
        <v>2093</v>
      </c>
      <c r="AP179" s="5" t="s">
        <v>2063</v>
      </c>
      <c r="AQ179" s="5" t="n">
        <v>210</v>
      </c>
      <c r="AR179" s="6" t="s">
        <v>133</v>
      </c>
      <c r="AS179" s="6" t="s">
        <v>474</v>
      </c>
      <c r="AT179" s="6" t="s">
        <v>86</v>
      </c>
      <c r="AU179" s="10"/>
      <c r="AV179" s="6" t="s">
        <v>75</v>
      </c>
      <c r="AW179" s="6" t="s">
        <v>2094</v>
      </c>
      <c r="AX179" s="6" t="s">
        <v>2095</v>
      </c>
      <c r="AY179" s="6" t="s">
        <v>2096</v>
      </c>
      <c r="AZ179" s="6" t="s">
        <v>2097</v>
      </c>
      <c r="BA179" s="6" t="s">
        <v>2098</v>
      </c>
      <c r="BB179" s="6"/>
      <c r="BC179" s="11" t="str">
        <f aca="false">IFERROR(INDEX(CATEGORY_MASTER!$C$4:$C$30,MATCH(B179,CATEGORY_MASTER!$A$4:$A$30,0)),"")</f>
        <v>📱</v>
      </c>
      <c r="BD179" s="7" t="str">
        <f aca="false">"/services/"&amp;AO179</f>
        <v>/services/mobile-software-update-reset-assistance</v>
      </c>
      <c r="BE179" s="7" t="str">
        <f aca="false">IF(AND(AH179="Yes",AG179="Active",I179&lt;&gt;"Not Available"),"LIVE","HIDDEN")</f>
        <v>HIDDEN</v>
      </c>
      <c r="BF179" s="6" t="s">
        <v>139</v>
      </c>
      <c r="BG179" s="6" t="s">
        <v>452</v>
      </c>
      <c r="BH179" s="7" t="str">
        <f aca="false">B179&amp;"|"&amp;COUNTIF($B$4:B179,B179)</f>
        <v>Mobile Store|21</v>
      </c>
      <c r="BI179" s="7" t="str">
        <f aca="false">IF(AND(AI179="Yes",BE179="LIVE"),COUNTIFS($AI$4:AI179,"Yes",$BE$4:BE179,"LIVE"),"")</f>
        <v/>
      </c>
      <c r="BJ179" s="7" t="str">
        <f aca="false">IF(AND(AJ179="Yes",BE179="LIVE"),COUNTIFS($AJ$4:AJ179,"Yes",$BE$4:BE179,"LIVE"),"")</f>
        <v/>
      </c>
      <c r="BK179" s="7" t="str">
        <f aca="false">IF(AND(AK179="Yes",BE179="LIVE"),COUNTIFS($AK$4:AK179,"Yes",$BE$4:BE179,"LIVE"),"")</f>
        <v/>
      </c>
      <c r="BL179" s="7" t="n">
        <f aca="false">IF(I179="To Verify",COUNTIF($I$4:I179,"To Verify"),"")</f>
        <v>52</v>
      </c>
    </row>
    <row r="180" customFormat="false" ht="68.65" hidden="false" customHeight="false" outlineLevel="0" collapsed="false">
      <c r="A180" s="5" t="s">
        <v>2099</v>
      </c>
      <c r="B180" s="6" t="s">
        <v>1876</v>
      </c>
      <c r="C180" s="6" t="s">
        <v>1877</v>
      </c>
      <c r="D180" s="6" t="s">
        <v>2056</v>
      </c>
      <c r="E180" s="6" t="s">
        <v>2100</v>
      </c>
      <c r="F180" s="6" t="s">
        <v>2101</v>
      </c>
      <c r="G180" s="6" t="s">
        <v>2102</v>
      </c>
      <c r="H180" s="6" t="s">
        <v>2103</v>
      </c>
      <c r="I180" s="5" t="s">
        <v>75</v>
      </c>
      <c r="J180" s="7" t="str">
        <f aca="false">IFERROR(INDEX(AVAILABILITY_MASTER!$C$4:$C$10,MATCH(I180,AVAILABILITY_MASTER!$A$4:$A$10,0)),"To Be Confirmed")</f>
        <v>To Be Confirmed</v>
      </c>
      <c r="K180" s="6" t="s">
        <v>129</v>
      </c>
      <c r="L180" s="6" t="s">
        <v>75</v>
      </c>
      <c r="M180" s="7" t="str">
        <f aca="false">IFERROR(INDEX(SERVICE_DOCUMENTS!$S$4:$S$1000,MATCH(A180,SERVICE_DOCUMENTS!$A$4:$A$1000,0))&amp;"","")</f>
        <v>✓ Mobile Phone</v>
      </c>
      <c r="N180" s="7" t="str">
        <f aca="false">IFERROR(INDEX(SERVICE_DOCUMENTS!$T$4:$T$1000,MATCH(A180,SERVICE_DOCUMENTS!$A$4:$A$1000,0))&amp;"","")</f>
        <v/>
      </c>
      <c r="O180" s="6" t="s">
        <v>645</v>
      </c>
      <c r="P180" s="6" t="s">
        <v>2061</v>
      </c>
      <c r="Q180" s="6" t="s">
        <v>371</v>
      </c>
      <c r="R180" s="8" t="s">
        <v>441</v>
      </c>
      <c r="S180" s="8" t="s">
        <v>75</v>
      </c>
      <c r="T180" s="9" t="str">
        <f aca="false">IF(AND(OR(ISNUMBER(R180),R180="N/A"),OR(ISNUMBER(S180),S180="N/A"),OR(ISNUMBER(R180),ISNUMBER(S180))),N(R180)+N(S180),"To Verify")</f>
        <v>To Verify</v>
      </c>
      <c r="U180" s="6" t="s">
        <v>442</v>
      </c>
      <c r="V180" s="6" t="s">
        <v>79</v>
      </c>
      <c r="W180" s="6" t="s">
        <v>80</v>
      </c>
      <c r="X180" s="6" t="s">
        <v>81</v>
      </c>
      <c r="Y180" s="6" t="s">
        <v>79</v>
      </c>
      <c r="Z180" s="6"/>
      <c r="AA180" s="6" t="s">
        <v>74</v>
      </c>
      <c r="AB180" s="6" t="s">
        <v>79</v>
      </c>
      <c r="AC180" s="6" t="s">
        <v>75</v>
      </c>
      <c r="AD180" s="6" t="s">
        <v>75</v>
      </c>
      <c r="AE180" s="6" t="s">
        <v>79</v>
      </c>
      <c r="AF180" s="6" t="s">
        <v>79</v>
      </c>
      <c r="AG180" s="6" t="s">
        <v>75</v>
      </c>
      <c r="AH180" s="6" t="s">
        <v>79</v>
      </c>
      <c r="AI180" s="6" t="s">
        <v>79</v>
      </c>
      <c r="AJ180" s="6" t="s">
        <v>79</v>
      </c>
      <c r="AK180" s="6" t="s">
        <v>79</v>
      </c>
      <c r="AL180" s="6" t="s">
        <v>1876</v>
      </c>
      <c r="AM180" s="6" t="s">
        <v>2056</v>
      </c>
      <c r="AN180" s="7" t="str">
        <f aca="false">BA180&amp;", "&amp;AZ180</f>
        <v>Basic Mobile Repair (Screen / Battery), Mobile Store, Devmobile Stores, बेसिक मोबाइल रिपेयर (स्क्रीन / बैटरी), मोबाइल स्टोर, सेवा</v>
      </c>
      <c r="AO180" s="6" t="s">
        <v>2104</v>
      </c>
      <c r="AP180" s="5" t="s">
        <v>2063</v>
      </c>
      <c r="AQ180" s="5" t="n">
        <v>220</v>
      </c>
      <c r="AR180" s="6" t="s">
        <v>133</v>
      </c>
      <c r="AS180" s="6" t="s">
        <v>474</v>
      </c>
      <c r="AT180" s="6" t="s">
        <v>86</v>
      </c>
      <c r="AU180" s="10"/>
      <c r="AV180" s="6" t="s">
        <v>75</v>
      </c>
      <c r="AW180" s="6" t="s">
        <v>2094</v>
      </c>
      <c r="AX180" s="6" t="s">
        <v>2105</v>
      </c>
      <c r="AY180" s="6" t="s">
        <v>2106</v>
      </c>
      <c r="AZ180" s="6" t="s">
        <v>2107</v>
      </c>
      <c r="BA180" s="6" t="s">
        <v>2108</v>
      </c>
      <c r="BB180" s="6"/>
      <c r="BC180" s="11" t="str">
        <f aca="false">IFERROR(INDEX(CATEGORY_MASTER!$C$4:$C$30,MATCH(B180,CATEGORY_MASTER!$A$4:$A$30,0)),"")</f>
        <v>📱</v>
      </c>
      <c r="BD180" s="7" t="str">
        <f aca="false">"/services/"&amp;AO180</f>
        <v>/services/basic-mobile-repair-screen-battery</v>
      </c>
      <c r="BE180" s="7" t="str">
        <f aca="false">IF(AND(AH180="Yes",AG180="Active",I180&lt;&gt;"Not Available"),"LIVE","HIDDEN")</f>
        <v>HIDDEN</v>
      </c>
      <c r="BF180" s="6" t="s">
        <v>139</v>
      </c>
      <c r="BG180" s="6" t="s">
        <v>452</v>
      </c>
      <c r="BH180" s="7" t="str">
        <f aca="false">B180&amp;"|"&amp;COUNTIF($B$4:B180,B180)</f>
        <v>Mobile Store|22</v>
      </c>
      <c r="BI180" s="7" t="str">
        <f aca="false">IF(AND(AI180="Yes",BE180="LIVE"),COUNTIFS($AI$4:AI180,"Yes",$BE$4:BE180,"LIVE"),"")</f>
        <v/>
      </c>
      <c r="BJ180" s="7" t="str">
        <f aca="false">IF(AND(AJ180="Yes",BE180="LIVE"),COUNTIFS($AJ$4:AJ180,"Yes",$BE$4:BE180,"LIVE"),"")</f>
        <v/>
      </c>
      <c r="BK180" s="7" t="str">
        <f aca="false">IF(AND(AK180="Yes",BE180="LIVE"),COUNTIFS($AK$4:AK180,"Yes",$BE$4:BE180,"LIVE"),"")</f>
        <v/>
      </c>
      <c r="BL180" s="7" t="n">
        <f aca="false">IF(I180="To Verify",COUNTIF($I$4:I180,"To Verify"),"")</f>
        <v>53</v>
      </c>
    </row>
    <row r="181" customFormat="false" ht="57.45" hidden="false" customHeight="false" outlineLevel="0" collapsed="false">
      <c r="A181" s="5" t="s">
        <v>2109</v>
      </c>
      <c r="B181" s="6" t="s">
        <v>2110</v>
      </c>
      <c r="C181" s="6" t="s">
        <v>1855</v>
      </c>
      <c r="D181" s="6" t="s">
        <v>2111</v>
      </c>
      <c r="E181" s="6" t="s">
        <v>2112</v>
      </c>
      <c r="F181" s="6" t="s">
        <v>2113</v>
      </c>
      <c r="G181" s="6" t="s">
        <v>2114</v>
      </c>
      <c r="H181" s="6" t="s">
        <v>2115</v>
      </c>
      <c r="I181" s="5" t="s">
        <v>167</v>
      </c>
      <c r="J181" s="7" t="str">
        <f aca="false">IFERROR(INDEX(AVAILABILITY_MASTER!$C$4:$C$10,MATCH(I181,AVAILABILITY_MASTER!$A$4:$A$10,0)),"To Be Confirmed")</f>
        <v>Available</v>
      </c>
      <c r="K181" s="6" t="s">
        <v>79</v>
      </c>
      <c r="L181" s="6" t="s">
        <v>437</v>
      </c>
      <c r="M181" s="7" t="str">
        <f aca="false">IFERROR(INDEX(SERVICE_DOCUMENTS!$S$4:$S$1000,MATCH(A181,SERVICE_DOCUMENTS!$A$4:$A$1000,0))&amp;"","")</f>
        <v>✓ Files to Print / Scan</v>
      </c>
      <c r="N181" s="7" t="str">
        <f aca="false">IFERROR(INDEX(SERVICE_DOCUMENTS!$T$4:$T$1000,MATCH(A181,SERVICE_DOCUMENTS!$A$4:$A$1000,0))&amp;"","")</f>
        <v/>
      </c>
      <c r="O181" s="6" t="s">
        <v>645</v>
      </c>
      <c r="P181" s="6" t="s">
        <v>2116</v>
      </c>
      <c r="Q181" s="6" t="s">
        <v>440</v>
      </c>
      <c r="R181" s="8" t="s">
        <v>441</v>
      </c>
      <c r="S181" s="8" t="s">
        <v>75</v>
      </c>
      <c r="T181" s="9" t="str">
        <f aca="false">IF(AND(OR(ISNUMBER(R181),R181="N/A"),OR(ISNUMBER(S181),S181="N/A"),OR(ISNUMBER(R181),ISNUMBER(S181))),N(R181)+N(S181),"To Verify")</f>
        <v>To Verify</v>
      </c>
      <c r="U181" s="6" t="s">
        <v>442</v>
      </c>
      <c r="V181" s="6" t="s">
        <v>79</v>
      </c>
      <c r="W181" s="6" t="s">
        <v>80</v>
      </c>
      <c r="X181" s="6" t="s">
        <v>81</v>
      </c>
      <c r="Y181" s="6" t="s">
        <v>79</v>
      </c>
      <c r="Z181" s="6"/>
      <c r="AA181" s="6" t="s">
        <v>74</v>
      </c>
      <c r="AB181" s="6" t="s">
        <v>79</v>
      </c>
      <c r="AC181" s="6" t="s">
        <v>75</v>
      </c>
      <c r="AD181" s="6" t="s">
        <v>75</v>
      </c>
      <c r="AE181" s="6" t="s">
        <v>79</v>
      </c>
      <c r="AF181" s="6" t="s">
        <v>79</v>
      </c>
      <c r="AG181" s="6" t="s">
        <v>170</v>
      </c>
      <c r="AH181" s="6" t="s">
        <v>74</v>
      </c>
      <c r="AI181" s="6" t="s">
        <v>79</v>
      </c>
      <c r="AJ181" s="6" t="s">
        <v>79</v>
      </c>
      <c r="AK181" s="6" t="s">
        <v>79</v>
      </c>
      <c r="AL181" s="6" t="s">
        <v>2110</v>
      </c>
      <c r="AM181" s="6" t="s">
        <v>2111</v>
      </c>
      <c r="AN181" s="7" t="str">
        <f aca="false">BA181&amp;", "&amp;AZ181</f>
        <v>B/W Print, Printing / Xerox / Scanning, Devmobile Stores, सादा (B/W) प्रिंट, प्रिंटिंग / ज़ेरॉक्स / स्कैनिंग, सेवा</v>
      </c>
      <c r="AO181" s="6" t="s">
        <v>2117</v>
      </c>
      <c r="AP181" s="5" t="s">
        <v>415</v>
      </c>
      <c r="AQ181" s="5" t="n">
        <v>10</v>
      </c>
      <c r="AR181" s="6" t="s">
        <v>133</v>
      </c>
      <c r="AS181" s="6"/>
      <c r="AT181" s="6" t="s">
        <v>86</v>
      </c>
      <c r="AU181" s="10"/>
      <c r="AV181" s="6" t="s">
        <v>75</v>
      </c>
      <c r="AW181" s="6"/>
      <c r="AX181" s="6" t="s">
        <v>2118</v>
      </c>
      <c r="AY181" s="6" t="s">
        <v>2119</v>
      </c>
      <c r="AZ181" s="6" t="s">
        <v>2120</v>
      </c>
      <c r="BA181" s="6" t="s">
        <v>2121</v>
      </c>
      <c r="BB181" s="6"/>
      <c r="BC181" s="11" t="str">
        <f aca="false">IFERROR(INDEX(CATEGORY_MASTER!$C$4:$C$30,MATCH(B181,CATEGORY_MASTER!$A$4:$A$30,0)),"")</f>
        <v>🖨️</v>
      </c>
      <c r="BD181" s="7" t="str">
        <f aca="false">"/services/"&amp;AO181</f>
        <v>/services/b-w-print</v>
      </c>
      <c r="BE181" s="7" t="str">
        <f aca="false">IF(AND(AH181="Yes",AG181="Active",I181&lt;&gt;"Not Available"),"LIVE","HIDDEN")</f>
        <v>LIVE</v>
      </c>
      <c r="BF181" s="6" t="s">
        <v>139</v>
      </c>
      <c r="BG181" s="6" t="s">
        <v>452</v>
      </c>
      <c r="BH181" s="7" t="str">
        <f aca="false">B181&amp;"|"&amp;COUNTIF($B$4:B181,B181)</f>
        <v>Printing / Xerox / Scanning|1</v>
      </c>
      <c r="BI181" s="7" t="str">
        <f aca="false">IF(AND(AI181="Yes",BE181="LIVE"),COUNTIFS($AI$4:AI181,"Yes",$BE$4:BE181,"LIVE"),"")</f>
        <v/>
      </c>
      <c r="BJ181" s="7" t="str">
        <f aca="false">IF(AND(AJ181="Yes",BE181="LIVE"),COUNTIFS($AJ$4:AJ181,"Yes",$BE$4:BE181,"LIVE"),"")</f>
        <v/>
      </c>
      <c r="BK181" s="7" t="str">
        <f aca="false">IF(AND(AK181="Yes",BE181="LIVE"),COUNTIFS($AK$4:AK181,"Yes",$BE$4:BE181,"LIVE"),"")</f>
        <v/>
      </c>
      <c r="BL181" s="7" t="str">
        <f aca="false">IF(I181="To Verify",COUNTIF($I$4:I181,"To Verify"),"")</f>
        <v/>
      </c>
    </row>
    <row r="182" customFormat="false" ht="57.45" hidden="false" customHeight="false" outlineLevel="0" collapsed="false">
      <c r="A182" s="5" t="s">
        <v>2122</v>
      </c>
      <c r="B182" s="6" t="s">
        <v>2110</v>
      </c>
      <c r="C182" s="6" t="s">
        <v>1855</v>
      </c>
      <c r="D182" s="6" t="s">
        <v>2111</v>
      </c>
      <c r="E182" s="6" t="s">
        <v>2123</v>
      </c>
      <c r="F182" s="6" t="s">
        <v>2124</v>
      </c>
      <c r="G182" s="6" t="s">
        <v>2125</v>
      </c>
      <c r="H182" s="6" t="s">
        <v>2126</v>
      </c>
      <c r="I182" s="5" t="s">
        <v>167</v>
      </c>
      <c r="J182" s="7" t="str">
        <f aca="false">IFERROR(INDEX(AVAILABILITY_MASTER!$C$4:$C$10,MATCH(I182,AVAILABILITY_MASTER!$A$4:$A$10,0)),"To Be Confirmed")</f>
        <v>Available</v>
      </c>
      <c r="K182" s="6" t="s">
        <v>79</v>
      </c>
      <c r="L182" s="6" t="s">
        <v>437</v>
      </c>
      <c r="M182" s="7" t="str">
        <f aca="false">IFERROR(INDEX(SERVICE_DOCUMENTS!$S$4:$S$1000,MATCH(A182,SERVICE_DOCUMENTS!$A$4:$A$1000,0))&amp;"","")</f>
        <v>✓ Files to Print / Scan</v>
      </c>
      <c r="N182" s="7" t="str">
        <f aca="false">IFERROR(INDEX(SERVICE_DOCUMENTS!$T$4:$T$1000,MATCH(A182,SERVICE_DOCUMENTS!$A$4:$A$1000,0))&amp;"","")</f>
        <v/>
      </c>
      <c r="O182" s="6" t="s">
        <v>645</v>
      </c>
      <c r="P182" s="6" t="s">
        <v>2127</v>
      </c>
      <c r="Q182" s="6" t="s">
        <v>440</v>
      </c>
      <c r="R182" s="8" t="s">
        <v>441</v>
      </c>
      <c r="S182" s="8" t="s">
        <v>75</v>
      </c>
      <c r="T182" s="9" t="str">
        <f aca="false">IF(AND(OR(ISNUMBER(R182),R182="N/A"),OR(ISNUMBER(S182),S182="N/A"),OR(ISNUMBER(R182),ISNUMBER(S182))),N(R182)+N(S182),"To Verify")</f>
        <v>To Verify</v>
      </c>
      <c r="U182" s="6" t="s">
        <v>442</v>
      </c>
      <c r="V182" s="6" t="s">
        <v>79</v>
      </c>
      <c r="W182" s="6" t="s">
        <v>80</v>
      </c>
      <c r="X182" s="6" t="s">
        <v>81</v>
      </c>
      <c r="Y182" s="6" t="s">
        <v>79</v>
      </c>
      <c r="Z182" s="6"/>
      <c r="AA182" s="6" t="s">
        <v>74</v>
      </c>
      <c r="AB182" s="6" t="s">
        <v>79</v>
      </c>
      <c r="AC182" s="6" t="s">
        <v>75</v>
      </c>
      <c r="AD182" s="6" t="s">
        <v>75</v>
      </c>
      <c r="AE182" s="6" t="s">
        <v>79</v>
      </c>
      <c r="AF182" s="6" t="s">
        <v>79</v>
      </c>
      <c r="AG182" s="6" t="s">
        <v>170</v>
      </c>
      <c r="AH182" s="6" t="s">
        <v>74</v>
      </c>
      <c r="AI182" s="6" t="s">
        <v>79</v>
      </c>
      <c r="AJ182" s="6" t="s">
        <v>79</v>
      </c>
      <c r="AK182" s="6" t="s">
        <v>79</v>
      </c>
      <c r="AL182" s="6" t="s">
        <v>2110</v>
      </c>
      <c r="AM182" s="6" t="s">
        <v>2111</v>
      </c>
      <c r="AN182" s="7" t="str">
        <f aca="false">BA182&amp;", "&amp;AZ182</f>
        <v>Colour Print, Printing / Xerox / Scanning, Devmobile Stores, रंगीन प्रिंट, प्रिंटिंग / ज़ेरॉक्स / स्कैनिंग, सेवा</v>
      </c>
      <c r="AO182" s="6" t="s">
        <v>2128</v>
      </c>
      <c r="AP182" s="5" t="s">
        <v>415</v>
      </c>
      <c r="AQ182" s="5" t="n">
        <v>20</v>
      </c>
      <c r="AR182" s="6" t="s">
        <v>133</v>
      </c>
      <c r="AS182" s="6"/>
      <c r="AT182" s="6" t="s">
        <v>86</v>
      </c>
      <c r="AU182" s="10"/>
      <c r="AV182" s="6" t="s">
        <v>75</v>
      </c>
      <c r="AW182" s="6"/>
      <c r="AX182" s="6" t="s">
        <v>2129</v>
      </c>
      <c r="AY182" s="6" t="s">
        <v>2130</v>
      </c>
      <c r="AZ182" s="6" t="s">
        <v>2131</v>
      </c>
      <c r="BA182" s="6" t="s">
        <v>2132</v>
      </c>
      <c r="BB182" s="6"/>
      <c r="BC182" s="11" t="str">
        <f aca="false">IFERROR(INDEX(CATEGORY_MASTER!$C$4:$C$30,MATCH(B182,CATEGORY_MASTER!$A$4:$A$30,0)),"")</f>
        <v>🖨️</v>
      </c>
      <c r="BD182" s="7" t="str">
        <f aca="false">"/services/"&amp;AO182</f>
        <v>/services/colour-print</v>
      </c>
      <c r="BE182" s="7" t="str">
        <f aca="false">IF(AND(AH182="Yes",AG182="Active",I182&lt;&gt;"Not Available"),"LIVE","HIDDEN")</f>
        <v>LIVE</v>
      </c>
      <c r="BF182" s="6" t="s">
        <v>139</v>
      </c>
      <c r="BG182" s="6" t="s">
        <v>452</v>
      </c>
      <c r="BH182" s="7" t="str">
        <f aca="false">B182&amp;"|"&amp;COUNTIF($B$4:B182,B182)</f>
        <v>Printing / Xerox / Scanning|2</v>
      </c>
      <c r="BI182" s="7" t="str">
        <f aca="false">IF(AND(AI182="Yes",BE182="LIVE"),COUNTIFS($AI$4:AI182,"Yes",$BE$4:BE182,"LIVE"),"")</f>
        <v/>
      </c>
      <c r="BJ182" s="7" t="str">
        <f aca="false">IF(AND(AJ182="Yes",BE182="LIVE"),COUNTIFS($AJ$4:AJ182,"Yes",$BE$4:BE182,"LIVE"),"")</f>
        <v/>
      </c>
      <c r="BK182" s="7" t="str">
        <f aca="false">IF(AND(AK182="Yes",BE182="LIVE"),COUNTIFS($AK$4:AK182,"Yes",$BE$4:BE182,"LIVE"),"")</f>
        <v/>
      </c>
      <c r="BL182" s="7" t="str">
        <f aca="false">IF(I182="To Verify",COUNTIF($I$4:I182,"To Verify"),"")</f>
        <v/>
      </c>
    </row>
    <row r="183" customFormat="false" ht="57.45" hidden="false" customHeight="false" outlineLevel="0" collapsed="false">
      <c r="A183" s="5" t="s">
        <v>2133</v>
      </c>
      <c r="B183" s="6" t="s">
        <v>2110</v>
      </c>
      <c r="C183" s="6" t="s">
        <v>1855</v>
      </c>
      <c r="D183" s="6" t="s">
        <v>2111</v>
      </c>
      <c r="E183" s="6" t="s">
        <v>2134</v>
      </c>
      <c r="F183" s="6" t="s">
        <v>2135</v>
      </c>
      <c r="G183" s="6" t="s">
        <v>2136</v>
      </c>
      <c r="H183" s="6" t="s">
        <v>2137</v>
      </c>
      <c r="I183" s="5" t="s">
        <v>167</v>
      </c>
      <c r="J183" s="7" t="str">
        <f aca="false">IFERROR(INDEX(AVAILABILITY_MASTER!$C$4:$C$10,MATCH(I183,AVAILABILITY_MASTER!$A$4:$A$10,0)),"To Be Confirmed")</f>
        <v>Available</v>
      </c>
      <c r="K183" s="6" t="s">
        <v>79</v>
      </c>
      <c r="L183" s="6" t="s">
        <v>437</v>
      </c>
      <c r="M183" s="7" t="str">
        <f aca="false">IFERROR(INDEX(SERVICE_DOCUMENTS!$S$4:$S$1000,MATCH(A183,SERVICE_DOCUMENTS!$A$4:$A$1000,0))&amp;"","")</f>
        <v>✓ Files to Print / Scan</v>
      </c>
      <c r="N183" s="7" t="str">
        <f aca="false">IFERROR(INDEX(SERVICE_DOCUMENTS!$T$4:$T$1000,MATCH(A183,SERVICE_DOCUMENTS!$A$4:$A$1000,0))&amp;"","")</f>
        <v/>
      </c>
      <c r="O183" s="6" t="s">
        <v>645</v>
      </c>
      <c r="P183" s="6" t="s">
        <v>2138</v>
      </c>
      <c r="Q183" s="6" t="s">
        <v>440</v>
      </c>
      <c r="R183" s="8" t="s">
        <v>441</v>
      </c>
      <c r="S183" s="8" t="s">
        <v>75</v>
      </c>
      <c r="T183" s="9" t="str">
        <f aca="false">IF(AND(OR(ISNUMBER(R183),R183="N/A"),OR(ISNUMBER(S183),S183="N/A"),OR(ISNUMBER(R183),ISNUMBER(S183))),N(R183)+N(S183),"To Verify")</f>
        <v>To Verify</v>
      </c>
      <c r="U183" s="6" t="s">
        <v>442</v>
      </c>
      <c r="V183" s="6" t="s">
        <v>79</v>
      </c>
      <c r="W183" s="6" t="s">
        <v>80</v>
      </c>
      <c r="X183" s="6" t="s">
        <v>81</v>
      </c>
      <c r="Y183" s="6" t="s">
        <v>79</v>
      </c>
      <c r="Z183" s="6"/>
      <c r="AA183" s="6" t="s">
        <v>74</v>
      </c>
      <c r="AB183" s="6" t="s">
        <v>79</v>
      </c>
      <c r="AC183" s="6" t="s">
        <v>75</v>
      </c>
      <c r="AD183" s="6" t="s">
        <v>75</v>
      </c>
      <c r="AE183" s="6" t="s">
        <v>79</v>
      </c>
      <c r="AF183" s="6" t="s">
        <v>79</v>
      </c>
      <c r="AG183" s="6" t="s">
        <v>170</v>
      </c>
      <c r="AH183" s="6" t="s">
        <v>74</v>
      </c>
      <c r="AI183" s="6" t="s">
        <v>79</v>
      </c>
      <c r="AJ183" s="6" t="s">
        <v>79</v>
      </c>
      <c r="AK183" s="6" t="s">
        <v>79</v>
      </c>
      <c r="AL183" s="6" t="s">
        <v>2110</v>
      </c>
      <c r="AM183" s="6" t="s">
        <v>2111</v>
      </c>
      <c r="AN183" s="7" t="str">
        <f aca="false">BA183&amp;", "&amp;AZ183</f>
        <v>Xerox (Photocopy), Printing / Xerox / Scanning, Devmobile Stores, ज़ेरॉक्स (फोटोकॉपी), प्रिंटिंग / ज़ेरॉक्स / स्कैनिंग, सेवा</v>
      </c>
      <c r="AO183" s="6" t="s">
        <v>2139</v>
      </c>
      <c r="AP183" s="5" t="s">
        <v>415</v>
      </c>
      <c r="AQ183" s="5" t="n">
        <v>30</v>
      </c>
      <c r="AR183" s="6" t="s">
        <v>133</v>
      </c>
      <c r="AS183" s="6"/>
      <c r="AT183" s="6" t="s">
        <v>86</v>
      </c>
      <c r="AU183" s="10"/>
      <c r="AV183" s="6" t="s">
        <v>75</v>
      </c>
      <c r="AW183" s="6"/>
      <c r="AX183" s="6" t="s">
        <v>2140</v>
      </c>
      <c r="AY183" s="6" t="s">
        <v>2141</v>
      </c>
      <c r="AZ183" s="6" t="s">
        <v>2142</v>
      </c>
      <c r="BA183" s="6" t="s">
        <v>2143</v>
      </c>
      <c r="BB183" s="6"/>
      <c r="BC183" s="11" t="str">
        <f aca="false">IFERROR(INDEX(CATEGORY_MASTER!$C$4:$C$30,MATCH(B183,CATEGORY_MASTER!$A$4:$A$30,0)),"")</f>
        <v>🖨️</v>
      </c>
      <c r="BD183" s="7" t="str">
        <f aca="false">"/services/"&amp;AO183</f>
        <v>/services/xerox-photocopy</v>
      </c>
      <c r="BE183" s="7" t="str">
        <f aca="false">IF(AND(AH183="Yes",AG183="Active",I183&lt;&gt;"Not Available"),"LIVE","HIDDEN")</f>
        <v>LIVE</v>
      </c>
      <c r="BF183" s="6" t="s">
        <v>139</v>
      </c>
      <c r="BG183" s="6" t="s">
        <v>452</v>
      </c>
      <c r="BH183" s="7" t="str">
        <f aca="false">B183&amp;"|"&amp;COUNTIF($B$4:B183,B183)</f>
        <v>Printing / Xerox / Scanning|3</v>
      </c>
      <c r="BI183" s="7" t="str">
        <f aca="false">IF(AND(AI183="Yes",BE183="LIVE"),COUNTIFS($AI$4:AI183,"Yes",$BE$4:BE183,"LIVE"),"")</f>
        <v/>
      </c>
      <c r="BJ183" s="7" t="str">
        <f aca="false">IF(AND(AJ183="Yes",BE183="LIVE"),COUNTIFS($AJ$4:AJ183,"Yes",$BE$4:BE183,"LIVE"),"")</f>
        <v/>
      </c>
      <c r="BK183" s="7" t="str">
        <f aca="false">IF(AND(AK183="Yes",BE183="LIVE"),COUNTIFS($AK$4:AK183,"Yes",$BE$4:BE183,"LIVE"),"")</f>
        <v/>
      </c>
      <c r="BL183" s="7" t="str">
        <f aca="false">IF(I183="To Verify",COUNTIF($I$4:I183,"To Verify"),"")</f>
        <v/>
      </c>
    </row>
    <row r="184" customFormat="false" ht="57.45" hidden="false" customHeight="false" outlineLevel="0" collapsed="false">
      <c r="A184" s="5" t="s">
        <v>2144</v>
      </c>
      <c r="B184" s="6" t="s">
        <v>2110</v>
      </c>
      <c r="C184" s="6" t="s">
        <v>1855</v>
      </c>
      <c r="D184" s="6" t="s">
        <v>2111</v>
      </c>
      <c r="E184" s="6" t="s">
        <v>2145</v>
      </c>
      <c r="F184" s="6" t="s">
        <v>2146</v>
      </c>
      <c r="G184" s="6" t="s">
        <v>2147</v>
      </c>
      <c r="H184" s="6" t="s">
        <v>2148</v>
      </c>
      <c r="I184" s="5" t="s">
        <v>167</v>
      </c>
      <c r="J184" s="7" t="str">
        <f aca="false">IFERROR(INDEX(AVAILABILITY_MASTER!$C$4:$C$10,MATCH(I184,AVAILABILITY_MASTER!$A$4:$A$10,0)),"To Be Confirmed")</f>
        <v>Available</v>
      </c>
      <c r="K184" s="6" t="s">
        <v>79</v>
      </c>
      <c r="L184" s="6" t="s">
        <v>437</v>
      </c>
      <c r="M184" s="7" t="str">
        <f aca="false">IFERROR(INDEX(SERVICE_DOCUMENTS!$S$4:$S$1000,MATCH(A184,SERVICE_DOCUMENTS!$A$4:$A$1000,0))&amp;"","")</f>
        <v>✓ Files to Print / Scan</v>
      </c>
      <c r="N184" s="7" t="str">
        <f aca="false">IFERROR(INDEX(SERVICE_DOCUMENTS!$T$4:$T$1000,MATCH(A184,SERVICE_DOCUMENTS!$A$4:$A$1000,0))&amp;"","")</f>
        <v/>
      </c>
      <c r="O184" s="6" t="s">
        <v>645</v>
      </c>
      <c r="P184" s="6" t="s">
        <v>2149</v>
      </c>
      <c r="Q184" s="6" t="s">
        <v>440</v>
      </c>
      <c r="R184" s="8" t="s">
        <v>441</v>
      </c>
      <c r="S184" s="8" t="s">
        <v>75</v>
      </c>
      <c r="T184" s="9" t="str">
        <f aca="false">IF(AND(OR(ISNUMBER(R184),R184="N/A"),OR(ISNUMBER(S184),S184="N/A"),OR(ISNUMBER(R184),ISNUMBER(S184))),N(R184)+N(S184),"To Verify")</f>
        <v>To Verify</v>
      </c>
      <c r="U184" s="6" t="s">
        <v>442</v>
      </c>
      <c r="V184" s="6" t="s">
        <v>79</v>
      </c>
      <c r="W184" s="6" t="s">
        <v>80</v>
      </c>
      <c r="X184" s="6" t="s">
        <v>443</v>
      </c>
      <c r="Y184" s="6" t="s">
        <v>79</v>
      </c>
      <c r="Z184" s="6"/>
      <c r="AA184" s="6" t="s">
        <v>74</v>
      </c>
      <c r="AB184" s="6" t="s">
        <v>79</v>
      </c>
      <c r="AC184" s="6" t="s">
        <v>75</v>
      </c>
      <c r="AD184" s="6" t="s">
        <v>75</v>
      </c>
      <c r="AE184" s="6" t="s">
        <v>79</v>
      </c>
      <c r="AF184" s="6" t="s">
        <v>79</v>
      </c>
      <c r="AG184" s="6" t="s">
        <v>170</v>
      </c>
      <c r="AH184" s="6" t="s">
        <v>74</v>
      </c>
      <c r="AI184" s="6" t="s">
        <v>79</v>
      </c>
      <c r="AJ184" s="6" t="s">
        <v>79</v>
      </c>
      <c r="AK184" s="6" t="s">
        <v>79</v>
      </c>
      <c r="AL184" s="6" t="s">
        <v>2110</v>
      </c>
      <c r="AM184" s="6" t="s">
        <v>2111</v>
      </c>
      <c r="AN184" s="7" t="str">
        <f aca="false">BA184&amp;", "&amp;AZ184</f>
        <v>PDF Print, Printing / Xerox / Scanning, Devmobile Stores, PDF प्रिंट, प्रिंटिंग / ज़ेरॉक्स / स्कैनिंग, सेवा</v>
      </c>
      <c r="AO184" s="6" t="s">
        <v>2150</v>
      </c>
      <c r="AP184" s="5" t="s">
        <v>415</v>
      </c>
      <c r="AQ184" s="5" t="n">
        <v>40</v>
      </c>
      <c r="AR184" s="6" t="s">
        <v>133</v>
      </c>
      <c r="AS184" s="6"/>
      <c r="AT184" s="6" t="s">
        <v>86</v>
      </c>
      <c r="AU184" s="10"/>
      <c r="AV184" s="6" t="s">
        <v>75</v>
      </c>
      <c r="AW184" s="6"/>
      <c r="AX184" s="6" t="s">
        <v>2151</v>
      </c>
      <c r="AY184" s="6" t="s">
        <v>2152</v>
      </c>
      <c r="AZ184" s="6" t="s">
        <v>2153</v>
      </c>
      <c r="BA184" s="6" t="s">
        <v>2154</v>
      </c>
      <c r="BB184" s="6"/>
      <c r="BC184" s="11" t="str">
        <f aca="false">IFERROR(INDEX(CATEGORY_MASTER!$C$4:$C$30,MATCH(B184,CATEGORY_MASTER!$A$4:$A$30,0)),"")</f>
        <v>🖨️</v>
      </c>
      <c r="BD184" s="7" t="str">
        <f aca="false">"/services/"&amp;AO184</f>
        <v>/services/pdf-print</v>
      </c>
      <c r="BE184" s="7" t="str">
        <f aca="false">IF(AND(AH184="Yes",AG184="Active",I184&lt;&gt;"Not Available"),"LIVE","HIDDEN")</f>
        <v>LIVE</v>
      </c>
      <c r="BF184" s="6" t="s">
        <v>139</v>
      </c>
      <c r="BG184" s="6" t="s">
        <v>452</v>
      </c>
      <c r="BH184" s="7" t="str">
        <f aca="false">B184&amp;"|"&amp;COUNTIF($B$4:B184,B184)</f>
        <v>Printing / Xerox / Scanning|4</v>
      </c>
      <c r="BI184" s="7" t="str">
        <f aca="false">IF(AND(AI184="Yes",BE184="LIVE"),COUNTIFS($AI$4:AI184,"Yes",$BE$4:BE184,"LIVE"),"")</f>
        <v/>
      </c>
      <c r="BJ184" s="7" t="str">
        <f aca="false">IF(AND(AJ184="Yes",BE184="LIVE"),COUNTIFS($AJ$4:AJ184,"Yes",$BE$4:BE184,"LIVE"),"")</f>
        <v/>
      </c>
      <c r="BK184" s="7" t="str">
        <f aca="false">IF(AND(AK184="Yes",BE184="LIVE"),COUNTIFS($AK$4:AK184,"Yes",$BE$4:BE184,"LIVE"),"")</f>
        <v/>
      </c>
      <c r="BL184" s="7" t="str">
        <f aca="false">IF(I184="To Verify",COUNTIF($I$4:I184,"To Verify"),"")</f>
        <v/>
      </c>
    </row>
    <row r="185" customFormat="false" ht="57.45" hidden="false" customHeight="false" outlineLevel="0" collapsed="false">
      <c r="A185" s="5" t="s">
        <v>2155</v>
      </c>
      <c r="B185" s="6" t="s">
        <v>2110</v>
      </c>
      <c r="C185" s="6" t="s">
        <v>1855</v>
      </c>
      <c r="D185" s="6" t="s">
        <v>2111</v>
      </c>
      <c r="E185" s="6" t="s">
        <v>2156</v>
      </c>
      <c r="F185" s="6" t="s">
        <v>2157</v>
      </c>
      <c r="G185" s="6" t="s">
        <v>2158</v>
      </c>
      <c r="H185" s="6" t="s">
        <v>2159</v>
      </c>
      <c r="I185" s="5" t="s">
        <v>75</v>
      </c>
      <c r="J185" s="7" t="str">
        <f aca="false">IFERROR(INDEX(AVAILABILITY_MASTER!$C$4:$C$10,MATCH(I185,AVAILABILITY_MASTER!$A$4:$A$10,0)),"To Be Confirmed")</f>
        <v>To Be Confirmed</v>
      </c>
      <c r="K185" s="6" t="s">
        <v>129</v>
      </c>
      <c r="L185" s="6" t="s">
        <v>75</v>
      </c>
      <c r="M185" s="7" t="str">
        <f aca="false">IFERROR(INDEX(SERVICE_DOCUMENTS!$S$4:$S$1000,MATCH(A185,SERVICE_DOCUMENTS!$A$4:$A$1000,0))&amp;"","")</f>
        <v>✓ Files to Print / Scan</v>
      </c>
      <c r="N185" s="7" t="str">
        <f aca="false">IFERROR(INDEX(SERVICE_DOCUMENTS!$T$4:$T$1000,MATCH(A185,SERVICE_DOCUMENTS!$A$4:$A$1000,0))&amp;"","")</f>
        <v/>
      </c>
      <c r="O185" s="6" t="s">
        <v>645</v>
      </c>
      <c r="P185" s="6" t="s">
        <v>2160</v>
      </c>
      <c r="Q185" s="6" t="s">
        <v>440</v>
      </c>
      <c r="R185" s="8" t="s">
        <v>441</v>
      </c>
      <c r="S185" s="8" t="s">
        <v>75</v>
      </c>
      <c r="T185" s="9" t="str">
        <f aca="false">IF(AND(OR(ISNUMBER(R185),R185="N/A"),OR(ISNUMBER(S185),S185="N/A"),OR(ISNUMBER(R185),ISNUMBER(S185))),N(R185)+N(S185),"To Verify")</f>
        <v>To Verify</v>
      </c>
      <c r="U185" s="6" t="s">
        <v>442</v>
      </c>
      <c r="V185" s="6" t="s">
        <v>79</v>
      </c>
      <c r="W185" s="6" t="s">
        <v>80</v>
      </c>
      <c r="X185" s="6" t="s">
        <v>81</v>
      </c>
      <c r="Y185" s="6" t="s">
        <v>79</v>
      </c>
      <c r="Z185" s="6"/>
      <c r="AA185" s="6" t="s">
        <v>74</v>
      </c>
      <c r="AB185" s="6" t="s">
        <v>79</v>
      </c>
      <c r="AC185" s="6" t="s">
        <v>75</v>
      </c>
      <c r="AD185" s="6" t="s">
        <v>75</v>
      </c>
      <c r="AE185" s="6" t="s">
        <v>79</v>
      </c>
      <c r="AF185" s="6" t="s">
        <v>79</v>
      </c>
      <c r="AG185" s="6" t="s">
        <v>75</v>
      </c>
      <c r="AH185" s="6" t="s">
        <v>79</v>
      </c>
      <c r="AI185" s="6" t="s">
        <v>79</v>
      </c>
      <c r="AJ185" s="6" t="s">
        <v>79</v>
      </c>
      <c r="AK185" s="6" t="s">
        <v>79</v>
      </c>
      <c r="AL185" s="6" t="s">
        <v>2110</v>
      </c>
      <c r="AM185" s="6" t="s">
        <v>2111</v>
      </c>
      <c r="AN185" s="7" t="str">
        <f aca="false">BA185&amp;", "&amp;AZ185</f>
        <v>A3 / Large Size Print, Printing / Xerox / Scanning, Devmobile Stores, A3 / बड़े साइज़ का प्रिंट, प्रिंटिंग / ज़ेरॉक्स / स्कैनिंग, सेवा</v>
      </c>
      <c r="AO185" s="6" t="s">
        <v>2161</v>
      </c>
      <c r="AP185" s="5" t="s">
        <v>415</v>
      </c>
      <c r="AQ185" s="5" t="n">
        <v>50</v>
      </c>
      <c r="AR185" s="6" t="s">
        <v>133</v>
      </c>
      <c r="AS185" s="6" t="s">
        <v>474</v>
      </c>
      <c r="AT185" s="6" t="s">
        <v>86</v>
      </c>
      <c r="AU185" s="10"/>
      <c r="AV185" s="6" t="s">
        <v>75</v>
      </c>
      <c r="AW185" s="6" t="s">
        <v>2162</v>
      </c>
      <c r="AX185" s="6" t="s">
        <v>2163</v>
      </c>
      <c r="AY185" s="6" t="s">
        <v>2164</v>
      </c>
      <c r="AZ185" s="6" t="s">
        <v>2165</v>
      </c>
      <c r="BA185" s="6" t="s">
        <v>2166</v>
      </c>
      <c r="BB185" s="6"/>
      <c r="BC185" s="11" t="str">
        <f aca="false">IFERROR(INDEX(CATEGORY_MASTER!$C$4:$C$30,MATCH(B185,CATEGORY_MASTER!$A$4:$A$30,0)),"")</f>
        <v>🖨️</v>
      </c>
      <c r="BD185" s="7" t="str">
        <f aca="false">"/services/"&amp;AO185</f>
        <v>/services/a3-large-size-print</v>
      </c>
      <c r="BE185" s="7" t="str">
        <f aca="false">IF(AND(AH185="Yes",AG185="Active",I185&lt;&gt;"Not Available"),"LIVE","HIDDEN")</f>
        <v>HIDDEN</v>
      </c>
      <c r="BF185" s="6" t="s">
        <v>139</v>
      </c>
      <c r="BG185" s="6" t="s">
        <v>452</v>
      </c>
      <c r="BH185" s="7" t="str">
        <f aca="false">B185&amp;"|"&amp;COUNTIF($B$4:B185,B185)</f>
        <v>Printing / Xerox / Scanning|5</v>
      </c>
      <c r="BI185" s="7" t="str">
        <f aca="false">IF(AND(AI185="Yes",BE185="LIVE"),COUNTIFS($AI$4:AI185,"Yes",$BE$4:BE185,"LIVE"),"")</f>
        <v/>
      </c>
      <c r="BJ185" s="7" t="str">
        <f aca="false">IF(AND(AJ185="Yes",BE185="LIVE"),COUNTIFS($AJ$4:AJ185,"Yes",$BE$4:BE185,"LIVE"),"")</f>
        <v/>
      </c>
      <c r="BK185" s="7" t="str">
        <f aca="false">IF(AND(AK185="Yes",BE185="LIVE"),COUNTIFS($AK$4:AK185,"Yes",$BE$4:BE185,"LIVE"),"")</f>
        <v/>
      </c>
      <c r="BL185" s="7" t="n">
        <f aca="false">IF(I185="To Verify",COUNTIF($I$4:I185,"To Verify"),"")</f>
        <v>54</v>
      </c>
    </row>
    <row r="186" customFormat="false" ht="68.65" hidden="false" customHeight="false" outlineLevel="0" collapsed="false">
      <c r="A186" s="5" t="s">
        <v>2167</v>
      </c>
      <c r="B186" s="6" t="s">
        <v>2110</v>
      </c>
      <c r="C186" s="6" t="s">
        <v>1855</v>
      </c>
      <c r="D186" s="6" t="s">
        <v>2111</v>
      </c>
      <c r="E186" s="6" t="s">
        <v>2168</v>
      </c>
      <c r="F186" s="6" t="s">
        <v>2169</v>
      </c>
      <c r="G186" s="6" t="s">
        <v>2170</v>
      </c>
      <c r="H186" s="6" t="s">
        <v>2171</v>
      </c>
      <c r="I186" s="5" t="s">
        <v>167</v>
      </c>
      <c r="J186" s="7" t="str">
        <f aca="false">IFERROR(INDEX(AVAILABILITY_MASTER!$C$4:$C$10,MATCH(I186,AVAILABILITY_MASTER!$A$4:$A$10,0)),"To Be Confirmed")</f>
        <v>Available</v>
      </c>
      <c r="K186" s="6" t="s">
        <v>79</v>
      </c>
      <c r="L186" s="6" t="s">
        <v>437</v>
      </c>
      <c r="M186" s="7" t="str">
        <f aca="false">IFERROR(INDEX(SERVICE_DOCUMENTS!$S$4:$S$1000,MATCH(A186,SERVICE_DOCUMENTS!$A$4:$A$1000,0))&amp;"","")</f>
        <v>✓ Files to Print / Scan</v>
      </c>
      <c r="N186" s="7" t="str">
        <f aca="false">IFERROR(INDEX(SERVICE_DOCUMENTS!$T$4:$T$1000,MATCH(A186,SERVICE_DOCUMENTS!$A$4:$A$1000,0))&amp;"","")</f>
        <v/>
      </c>
      <c r="O186" s="6" t="s">
        <v>645</v>
      </c>
      <c r="P186" s="6" t="s">
        <v>2172</v>
      </c>
      <c r="Q186" s="6" t="s">
        <v>440</v>
      </c>
      <c r="R186" s="8" t="s">
        <v>441</v>
      </c>
      <c r="S186" s="8" t="s">
        <v>75</v>
      </c>
      <c r="T186" s="9" t="str">
        <f aca="false">IF(AND(OR(ISNUMBER(R186),R186="N/A"),OR(ISNUMBER(S186),S186="N/A"),OR(ISNUMBER(R186),ISNUMBER(S186))),N(R186)+N(S186),"To Verify")</f>
        <v>To Verify</v>
      </c>
      <c r="U186" s="6" t="s">
        <v>442</v>
      </c>
      <c r="V186" s="6" t="s">
        <v>79</v>
      </c>
      <c r="W186" s="6" t="s">
        <v>80</v>
      </c>
      <c r="X186" s="6" t="s">
        <v>81</v>
      </c>
      <c r="Y186" s="6" t="s">
        <v>79</v>
      </c>
      <c r="Z186" s="6"/>
      <c r="AA186" s="6" t="s">
        <v>74</v>
      </c>
      <c r="AB186" s="6" t="s">
        <v>79</v>
      </c>
      <c r="AC186" s="6" t="s">
        <v>75</v>
      </c>
      <c r="AD186" s="6" t="s">
        <v>75</v>
      </c>
      <c r="AE186" s="6" t="s">
        <v>79</v>
      </c>
      <c r="AF186" s="6" t="s">
        <v>79</v>
      </c>
      <c r="AG186" s="6" t="s">
        <v>170</v>
      </c>
      <c r="AH186" s="6" t="s">
        <v>74</v>
      </c>
      <c r="AI186" s="6" t="s">
        <v>79</v>
      </c>
      <c r="AJ186" s="6" t="s">
        <v>79</v>
      </c>
      <c r="AK186" s="6" t="s">
        <v>79</v>
      </c>
      <c r="AL186" s="6" t="s">
        <v>2110</v>
      </c>
      <c r="AM186" s="6" t="s">
        <v>2111</v>
      </c>
      <c r="AN186" s="7" t="str">
        <f aca="false">BA186&amp;", "&amp;AZ186</f>
        <v>Print from Mobile (WhatsApp / Email / Drive), Printing / Xerox / Scanning, Devmobile Stores, मोबाइल से प्रिंट (WhatsApp / Email / Drive), प्रिंटिंग / ज़ेरॉक्स / स्कैनिंग, सेवा</v>
      </c>
      <c r="AO186" s="6" t="s">
        <v>2173</v>
      </c>
      <c r="AP186" s="5" t="s">
        <v>415</v>
      </c>
      <c r="AQ186" s="5" t="n">
        <v>60</v>
      </c>
      <c r="AR186" s="6" t="s">
        <v>133</v>
      </c>
      <c r="AS186" s="6"/>
      <c r="AT186" s="6" t="s">
        <v>86</v>
      </c>
      <c r="AU186" s="10"/>
      <c r="AV186" s="6" t="s">
        <v>75</v>
      </c>
      <c r="AW186" s="6"/>
      <c r="AX186" s="6" t="s">
        <v>2174</v>
      </c>
      <c r="AY186" s="6" t="s">
        <v>2175</v>
      </c>
      <c r="AZ186" s="6" t="s">
        <v>2176</v>
      </c>
      <c r="BA186" s="6" t="s">
        <v>2177</v>
      </c>
      <c r="BB186" s="6"/>
      <c r="BC186" s="11" t="str">
        <f aca="false">IFERROR(INDEX(CATEGORY_MASTER!$C$4:$C$30,MATCH(B186,CATEGORY_MASTER!$A$4:$A$30,0)),"")</f>
        <v>🖨️</v>
      </c>
      <c r="BD186" s="7" t="str">
        <f aca="false">"/services/"&amp;AO186</f>
        <v>/services/print-from-mobile-whatsapp-email-drive</v>
      </c>
      <c r="BE186" s="7" t="str">
        <f aca="false">IF(AND(AH186="Yes",AG186="Active",I186&lt;&gt;"Not Available"),"LIVE","HIDDEN")</f>
        <v>LIVE</v>
      </c>
      <c r="BF186" s="6" t="s">
        <v>139</v>
      </c>
      <c r="BG186" s="6" t="s">
        <v>452</v>
      </c>
      <c r="BH186" s="7" t="str">
        <f aca="false">B186&amp;"|"&amp;COUNTIF($B$4:B186,B186)</f>
        <v>Printing / Xerox / Scanning|6</v>
      </c>
      <c r="BI186" s="7" t="str">
        <f aca="false">IF(AND(AI186="Yes",BE186="LIVE"),COUNTIFS($AI$4:AI186,"Yes",$BE$4:BE186,"LIVE"),"")</f>
        <v/>
      </c>
      <c r="BJ186" s="7" t="str">
        <f aca="false">IF(AND(AJ186="Yes",BE186="LIVE"),COUNTIFS($AJ$4:AJ186,"Yes",$BE$4:BE186,"LIVE"),"")</f>
        <v/>
      </c>
      <c r="BK186" s="7" t="str">
        <f aca="false">IF(AND(AK186="Yes",BE186="LIVE"),COUNTIFS($AK$4:AK186,"Yes",$BE$4:BE186,"LIVE"),"")</f>
        <v/>
      </c>
      <c r="BL186" s="7" t="str">
        <f aca="false">IF(I186="To Verify",COUNTIF($I$4:I186,"To Verify"),"")</f>
        <v/>
      </c>
    </row>
    <row r="187" customFormat="false" ht="57.45" hidden="false" customHeight="false" outlineLevel="0" collapsed="false">
      <c r="A187" s="5" t="s">
        <v>2178</v>
      </c>
      <c r="B187" s="6" t="s">
        <v>2110</v>
      </c>
      <c r="C187" s="6" t="s">
        <v>1855</v>
      </c>
      <c r="D187" s="6" t="s">
        <v>2179</v>
      </c>
      <c r="E187" s="6" t="s">
        <v>2180</v>
      </c>
      <c r="F187" s="6" t="s">
        <v>2181</v>
      </c>
      <c r="G187" s="6" t="s">
        <v>2182</v>
      </c>
      <c r="H187" s="6" t="s">
        <v>2183</v>
      </c>
      <c r="I187" s="5" t="s">
        <v>167</v>
      </c>
      <c r="J187" s="7" t="str">
        <f aca="false">IFERROR(INDEX(AVAILABILITY_MASTER!$C$4:$C$10,MATCH(I187,AVAILABILITY_MASTER!$A$4:$A$10,0)),"To Be Confirmed")</f>
        <v>Available</v>
      </c>
      <c r="K187" s="6" t="s">
        <v>79</v>
      </c>
      <c r="L187" s="6" t="s">
        <v>437</v>
      </c>
      <c r="M187" s="7" t="str">
        <f aca="false">IFERROR(INDEX(SERVICE_DOCUMENTS!$S$4:$S$1000,MATCH(A187,SERVICE_DOCUMENTS!$A$4:$A$1000,0))&amp;"","")</f>
        <v>✓ Files to Print / Scan</v>
      </c>
      <c r="N187" s="7" t="str">
        <f aca="false">IFERROR(INDEX(SERVICE_DOCUMENTS!$T$4:$T$1000,MATCH(A187,SERVICE_DOCUMENTS!$A$4:$A$1000,0))&amp;"","")</f>
        <v/>
      </c>
      <c r="O187" s="6" t="s">
        <v>645</v>
      </c>
      <c r="P187" s="6" t="s">
        <v>2184</v>
      </c>
      <c r="Q187" s="6" t="s">
        <v>440</v>
      </c>
      <c r="R187" s="8" t="s">
        <v>441</v>
      </c>
      <c r="S187" s="8" t="s">
        <v>75</v>
      </c>
      <c r="T187" s="9" t="str">
        <f aca="false">IF(AND(OR(ISNUMBER(R187),R187="N/A"),OR(ISNUMBER(S187),S187="N/A"),OR(ISNUMBER(R187),ISNUMBER(S187))),N(R187)+N(S187),"To Verify")</f>
        <v>To Verify</v>
      </c>
      <c r="U187" s="6" t="s">
        <v>442</v>
      </c>
      <c r="V187" s="6" t="s">
        <v>79</v>
      </c>
      <c r="W187" s="6" t="s">
        <v>80</v>
      </c>
      <c r="X187" s="6" t="s">
        <v>81</v>
      </c>
      <c r="Y187" s="6" t="s">
        <v>79</v>
      </c>
      <c r="Z187" s="6"/>
      <c r="AA187" s="6" t="s">
        <v>74</v>
      </c>
      <c r="AB187" s="6" t="s">
        <v>79</v>
      </c>
      <c r="AC187" s="6" t="s">
        <v>75</v>
      </c>
      <c r="AD187" s="6" t="s">
        <v>75</v>
      </c>
      <c r="AE187" s="6" t="s">
        <v>79</v>
      </c>
      <c r="AF187" s="6" t="s">
        <v>79</v>
      </c>
      <c r="AG187" s="6" t="s">
        <v>170</v>
      </c>
      <c r="AH187" s="6" t="s">
        <v>74</v>
      </c>
      <c r="AI187" s="6" t="s">
        <v>79</v>
      </c>
      <c r="AJ187" s="6" t="s">
        <v>79</v>
      </c>
      <c r="AK187" s="6" t="s">
        <v>79</v>
      </c>
      <c r="AL187" s="6" t="s">
        <v>2110</v>
      </c>
      <c r="AM187" s="6" t="s">
        <v>2179</v>
      </c>
      <c r="AN187" s="7" t="str">
        <f aca="false">BA187&amp;", "&amp;AZ187</f>
        <v>Scanning, Printing / Xerox / Scanning, Devmobile Stores, स्कैनिंग, प्रिंटिंग / ज़ेरॉक्स / स्कैनिंग, सेवा</v>
      </c>
      <c r="AO187" s="6" t="s">
        <v>2185</v>
      </c>
      <c r="AP187" s="5" t="s">
        <v>415</v>
      </c>
      <c r="AQ187" s="5" t="n">
        <v>70</v>
      </c>
      <c r="AR187" s="6" t="s">
        <v>133</v>
      </c>
      <c r="AS187" s="6"/>
      <c r="AT187" s="6" t="s">
        <v>86</v>
      </c>
      <c r="AU187" s="10"/>
      <c r="AV187" s="6" t="s">
        <v>75</v>
      </c>
      <c r="AW187" s="6"/>
      <c r="AX187" s="6" t="s">
        <v>2186</v>
      </c>
      <c r="AY187" s="6" t="s">
        <v>2187</v>
      </c>
      <c r="AZ187" s="6" t="s">
        <v>2188</v>
      </c>
      <c r="BA187" s="6" t="s">
        <v>2189</v>
      </c>
      <c r="BB187" s="6"/>
      <c r="BC187" s="11" t="str">
        <f aca="false">IFERROR(INDEX(CATEGORY_MASTER!$C$4:$C$30,MATCH(B187,CATEGORY_MASTER!$A$4:$A$30,0)),"")</f>
        <v>🖨️</v>
      </c>
      <c r="BD187" s="7" t="str">
        <f aca="false">"/services/"&amp;AO187</f>
        <v>/services/scanning</v>
      </c>
      <c r="BE187" s="7" t="str">
        <f aca="false">IF(AND(AH187="Yes",AG187="Active",I187&lt;&gt;"Not Available"),"LIVE","HIDDEN")</f>
        <v>LIVE</v>
      </c>
      <c r="BF187" s="6" t="s">
        <v>139</v>
      </c>
      <c r="BG187" s="6" t="s">
        <v>452</v>
      </c>
      <c r="BH187" s="7" t="str">
        <f aca="false">B187&amp;"|"&amp;COUNTIF($B$4:B187,B187)</f>
        <v>Printing / Xerox / Scanning|7</v>
      </c>
      <c r="BI187" s="7" t="str">
        <f aca="false">IF(AND(AI187="Yes",BE187="LIVE"),COUNTIFS($AI$4:AI187,"Yes",$BE$4:BE187,"LIVE"),"")</f>
        <v/>
      </c>
      <c r="BJ187" s="7" t="str">
        <f aca="false">IF(AND(AJ187="Yes",BE187="LIVE"),COUNTIFS($AJ$4:AJ187,"Yes",$BE$4:BE187,"LIVE"),"")</f>
        <v/>
      </c>
      <c r="BK187" s="7" t="str">
        <f aca="false">IF(AND(AK187="Yes",BE187="LIVE"),COUNTIFS($AK$4:AK187,"Yes",$BE$4:BE187,"LIVE"),"")</f>
        <v/>
      </c>
      <c r="BL187" s="7" t="str">
        <f aca="false">IF(I187="To Verify",COUNTIF($I$4:I187,"To Verify"),"")</f>
        <v/>
      </c>
    </row>
    <row r="188" customFormat="false" ht="57.45" hidden="false" customHeight="false" outlineLevel="0" collapsed="false">
      <c r="A188" s="5" t="s">
        <v>2190</v>
      </c>
      <c r="B188" s="6" t="s">
        <v>2110</v>
      </c>
      <c r="C188" s="6" t="s">
        <v>1855</v>
      </c>
      <c r="D188" s="6" t="s">
        <v>2179</v>
      </c>
      <c r="E188" s="6" t="s">
        <v>2191</v>
      </c>
      <c r="F188" s="6" t="s">
        <v>2192</v>
      </c>
      <c r="G188" s="6" t="s">
        <v>2193</v>
      </c>
      <c r="H188" s="6" t="s">
        <v>2194</v>
      </c>
      <c r="I188" s="5" t="s">
        <v>167</v>
      </c>
      <c r="J188" s="7" t="str">
        <f aca="false">IFERROR(INDEX(AVAILABILITY_MASTER!$C$4:$C$10,MATCH(I188,AVAILABILITY_MASTER!$A$4:$A$10,0)),"To Be Confirmed")</f>
        <v>Available</v>
      </c>
      <c r="K188" s="6" t="s">
        <v>79</v>
      </c>
      <c r="L188" s="6" t="s">
        <v>437</v>
      </c>
      <c r="M188" s="7" t="str">
        <f aca="false">IFERROR(INDEX(SERVICE_DOCUMENTS!$S$4:$S$1000,MATCH(A188,SERVICE_DOCUMENTS!$A$4:$A$1000,0))&amp;"","")</f>
        <v>✓ Files to Print / Scan</v>
      </c>
      <c r="N188" s="7" t="str">
        <f aca="false">IFERROR(INDEX(SERVICE_DOCUMENTS!$T$4:$T$1000,MATCH(A188,SERVICE_DOCUMENTS!$A$4:$A$1000,0))&amp;"","")</f>
        <v/>
      </c>
      <c r="O188" s="6" t="s">
        <v>645</v>
      </c>
      <c r="P188" s="6" t="s">
        <v>2195</v>
      </c>
      <c r="Q188" s="6" t="s">
        <v>440</v>
      </c>
      <c r="R188" s="8" t="s">
        <v>441</v>
      </c>
      <c r="S188" s="8" t="s">
        <v>75</v>
      </c>
      <c r="T188" s="9" t="str">
        <f aca="false">IF(AND(OR(ISNUMBER(R188),R188="N/A"),OR(ISNUMBER(S188),S188="N/A"),OR(ISNUMBER(R188),ISNUMBER(S188))),N(R188)+N(S188),"To Verify")</f>
        <v>To Verify</v>
      </c>
      <c r="U188" s="6" t="s">
        <v>442</v>
      </c>
      <c r="V188" s="6" t="s">
        <v>79</v>
      </c>
      <c r="W188" s="6" t="s">
        <v>80</v>
      </c>
      <c r="X188" s="6" t="s">
        <v>81</v>
      </c>
      <c r="Y188" s="6" t="s">
        <v>79</v>
      </c>
      <c r="Z188" s="6"/>
      <c r="AA188" s="6" t="s">
        <v>74</v>
      </c>
      <c r="AB188" s="6" t="s">
        <v>79</v>
      </c>
      <c r="AC188" s="6" t="s">
        <v>75</v>
      </c>
      <c r="AD188" s="6" t="s">
        <v>75</v>
      </c>
      <c r="AE188" s="6" t="s">
        <v>79</v>
      </c>
      <c r="AF188" s="6" t="s">
        <v>79</v>
      </c>
      <c r="AG188" s="6" t="s">
        <v>170</v>
      </c>
      <c r="AH188" s="6" t="s">
        <v>74</v>
      </c>
      <c r="AI188" s="6" t="s">
        <v>79</v>
      </c>
      <c r="AJ188" s="6" t="s">
        <v>79</v>
      </c>
      <c r="AK188" s="6" t="s">
        <v>79</v>
      </c>
      <c r="AL188" s="6" t="s">
        <v>2110</v>
      </c>
      <c r="AM188" s="6" t="s">
        <v>2179</v>
      </c>
      <c r="AN188" s="7" t="str">
        <f aca="false">BA188&amp;", "&amp;AZ188</f>
        <v>Lamination, Printing / Xerox / Scanning, Devmobile Stores, लेमिनेशन, प्रिंटिंग / ज़ेरॉक्स / स्कैनिंग, सेवा</v>
      </c>
      <c r="AO188" s="6" t="s">
        <v>2196</v>
      </c>
      <c r="AP188" s="5" t="s">
        <v>415</v>
      </c>
      <c r="AQ188" s="5" t="n">
        <v>80</v>
      </c>
      <c r="AR188" s="6" t="s">
        <v>133</v>
      </c>
      <c r="AS188" s="6"/>
      <c r="AT188" s="6" t="s">
        <v>86</v>
      </c>
      <c r="AU188" s="10"/>
      <c r="AV188" s="6" t="s">
        <v>75</v>
      </c>
      <c r="AW188" s="6"/>
      <c r="AX188" s="6" t="s">
        <v>2197</v>
      </c>
      <c r="AY188" s="6" t="s">
        <v>2198</v>
      </c>
      <c r="AZ188" s="6" t="s">
        <v>2199</v>
      </c>
      <c r="BA188" s="6" t="s">
        <v>2200</v>
      </c>
      <c r="BB188" s="6"/>
      <c r="BC188" s="11" t="str">
        <f aca="false">IFERROR(INDEX(CATEGORY_MASTER!$C$4:$C$30,MATCH(B188,CATEGORY_MASTER!$A$4:$A$30,0)),"")</f>
        <v>🖨️</v>
      </c>
      <c r="BD188" s="7" t="str">
        <f aca="false">"/services/"&amp;AO188</f>
        <v>/services/lamination</v>
      </c>
      <c r="BE188" s="7" t="str">
        <f aca="false">IF(AND(AH188="Yes",AG188="Active",I188&lt;&gt;"Not Available"),"LIVE","HIDDEN")</f>
        <v>LIVE</v>
      </c>
      <c r="BF188" s="6" t="s">
        <v>139</v>
      </c>
      <c r="BG188" s="6" t="s">
        <v>452</v>
      </c>
      <c r="BH188" s="7" t="str">
        <f aca="false">B188&amp;"|"&amp;COUNTIF($B$4:B188,B188)</f>
        <v>Printing / Xerox / Scanning|8</v>
      </c>
      <c r="BI188" s="7" t="str">
        <f aca="false">IF(AND(AI188="Yes",BE188="LIVE"),COUNTIFS($AI$4:AI188,"Yes",$BE$4:BE188,"LIVE"),"")</f>
        <v/>
      </c>
      <c r="BJ188" s="7" t="str">
        <f aca="false">IF(AND(AJ188="Yes",BE188="LIVE"),COUNTIFS($AJ$4:AJ188,"Yes",$BE$4:BE188,"LIVE"),"")</f>
        <v/>
      </c>
      <c r="BK188" s="7" t="str">
        <f aca="false">IF(AND(AK188="Yes",BE188="LIVE"),COUNTIFS($AK$4:AK188,"Yes",$BE$4:BE188,"LIVE"),"")</f>
        <v/>
      </c>
      <c r="BL188" s="7" t="str">
        <f aca="false">IF(I188="To Verify",COUNTIF($I$4:I188,"To Verify"),"")</f>
        <v/>
      </c>
    </row>
    <row r="189" customFormat="false" ht="57.45" hidden="false" customHeight="false" outlineLevel="0" collapsed="false">
      <c r="A189" s="5" t="s">
        <v>2201</v>
      </c>
      <c r="B189" s="6" t="s">
        <v>2110</v>
      </c>
      <c r="C189" s="6" t="s">
        <v>1855</v>
      </c>
      <c r="D189" s="6" t="s">
        <v>2179</v>
      </c>
      <c r="E189" s="6" t="s">
        <v>2202</v>
      </c>
      <c r="F189" s="6" t="s">
        <v>2203</v>
      </c>
      <c r="G189" s="6" t="s">
        <v>2204</v>
      </c>
      <c r="H189" s="6" t="s">
        <v>2205</v>
      </c>
      <c r="I189" s="5" t="s">
        <v>75</v>
      </c>
      <c r="J189" s="7" t="str">
        <f aca="false">IFERROR(INDEX(AVAILABILITY_MASTER!$C$4:$C$10,MATCH(I189,AVAILABILITY_MASTER!$A$4:$A$10,0)),"To Be Confirmed")</f>
        <v>To Be Confirmed</v>
      </c>
      <c r="K189" s="6" t="s">
        <v>129</v>
      </c>
      <c r="L189" s="6" t="s">
        <v>75</v>
      </c>
      <c r="M189" s="7" t="str">
        <f aca="false">IFERROR(INDEX(SERVICE_DOCUMENTS!$S$4:$S$1000,MATCH(A189,SERVICE_DOCUMENTS!$A$4:$A$1000,0))&amp;"","")</f>
        <v>✓ Files to Print / Scan</v>
      </c>
      <c r="N189" s="7" t="str">
        <f aca="false">IFERROR(INDEX(SERVICE_DOCUMENTS!$T$4:$T$1000,MATCH(A189,SERVICE_DOCUMENTS!$A$4:$A$1000,0))&amp;"","")</f>
        <v/>
      </c>
      <c r="O189" s="6" t="s">
        <v>645</v>
      </c>
      <c r="P189" s="6" t="s">
        <v>2206</v>
      </c>
      <c r="Q189" s="6" t="s">
        <v>440</v>
      </c>
      <c r="R189" s="8" t="s">
        <v>441</v>
      </c>
      <c r="S189" s="8" t="s">
        <v>75</v>
      </c>
      <c r="T189" s="9" t="str">
        <f aca="false">IF(AND(OR(ISNUMBER(R189),R189="N/A"),OR(ISNUMBER(S189),S189="N/A"),OR(ISNUMBER(R189),ISNUMBER(S189))),N(R189)+N(S189),"To Verify")</f>
        <v>To Verify</v>
      </c>
      <c r="U189" s="6" t="s">
        <v>442</v>
      </c>
      <c r="V189" s="6" t="s">
        <v>79</v>
      </c>
      <c r="W189" s="6" t="s">
        <v>80</v>
      </c>
      <c r="X189" s="6" t="s">
        <v>81</v>
      </c>
      <c r="Y189" s="6" t="s">
        <v>79</v>
      </c>
      <c r="Z189" s="6"/>
      <c r="AA189" s="6" t="s">
        <v>74</v>
      </c>
      <c r="AB189" s="6" t="s">
        <v>79</v>
      </c>
      <c r="AC189" s="6" t="s">
        <v>75</v>
      </c>
      <c r="AD189" s="6" t="s">
        <v>75</v>
      </c>
      <c r="AE189" s="6" t="s">
        <v>79</v>
      </c>
      <c r="AF189" s="6" t="s">
        <v>79</v>
      </c>
      <c r="AG189" s="6" t="s">
        <v>75</v>
      </c>
      <c r="AH189" s="6" t="s">
        <v>79</v>
      </c>
      <c r="AI189" s="6" t="s">
        <v>79</v>
      </c>
      <c r="AJ189" s="6" t="s">
        <v>79</v>
      </c>
      <c r="AK189" s="6" t="s">
        <v>79</v>
      </c>
      <c r="AL189" s="6" t="s">
        <v>2110</v>
      </c>
      <c r="AM189" s="6" t="s">
        <v>2179</v>
      </c>
      <c r="AN189" s="7" t="str">
        <f aca="false">BA189&amp;", "&amp;AZ189</f>
        <v>Spiral Binding, Printing / Xerox / Scanning, Devmobile Stores, स्पाइरल बाइंडिंग, प्रिंटिंग / ज़ेरॉक्स / स्कैनिंग, सेवा</v>
      </c>
      <c r="AO189" s="6" t="s">
        <v>2207</v>
      </c>
      <c r="AP189" s="5" t="s">
        <v>415</v>
      </c>
      <c r="AQ189" s="5" t="n">
        <v>90</v>
      </c>
      <c r="AR189" s="6" t="s">
        <v>133</v>
      </c>
      <c r="AS189" s="6" t="s">
        <v>474</v>
      </c>
      <c r="AT189" s="6" t="s">
        <v>86</v>
      </c>
      <c r="AU189" s="10"/>
      <c r="AV189" s="6" t="s">
        <v>75</v>
      </c>
      <c r="AW189" s="6" t="s">
        <v>2208</v>
      </c>
      <c r="AX189" s="6" t="s">
        <v>2209</v>
      </c>
      <c r="AY189" s="6" t="s">
        <v>2210</v>
      </c>
      <c r="AZ189" s="6" t="s">
        <v>2211</v>
      </c>
      <c r="BA189" s="6" t="s">
        <v>2212</v>
      </c>
      <c r="BB189" s="6"/>
      <c r="BC189" s="11" t="str">
        <f aca="false">IFERROR(INDEX(CATEGORY_MASTER!$C$4:$C$30,MATCH(B189,CATEGORY_MASTER!$A$4:$A$30,0)),"")</f>
        <v>🖨️</v>
      </c>
      <c r="BD189" s="7" t="str">
        <f aca="false">"/services/"&amp;AO189</f>
        <v>/services/spiral-binding</v>
      </c>
      <c r="BE189" s="7" t="str">
        <f aca="false">IF(AND(AH189="Yes",AG189="Active",I189&lt;&gt;"Not Available"),"LIVE","HIDDEN")</f>
        <v>HIDDEN</v>
      </c>
      <c r="BF189" s="6" t="s">
        <v>139</v>
      </c>
      <c r="BG189" s="6" t="s">
        <v>452</v>
      </c>
      <c r="BH189" s="7" t="str">
        <f aca="false">B189&amp;"|"&amp;COUNTIF($B$4:B189,B189)</f>
        <v>Printing / Xerox / Scanning|9</v>
      </c>
      <c r="BI189" s="7" t="str">
        <f aca="false">IF(AND(AI189="Yes",BE189="LIVE"),COUNTIFS($AI$4:AI189,"Yes",$BE$4:BE189,"LIVE"),"")</f>
        <v/>
      </c>
      <c r="BJ189" s="7" t="str">
        <f aca="false">IF(AND(AJ189="Yes",BE189="LIVE"),COUNTIFS($AJ$4:AJ189,"Yes",$BE$4:BE189,"LIVE"),"")</f>
        <v/>
      </c>
      <c r="BK189" s="7" t="str">
        <f aca="false">IF(AND(AK189="Yes",BE189="LIVE"),COUNTIFS($AK$4:AK189,"Yes",$BE$4:BE189,"LIVE"),"")</f>
        <v/>
      </c>
      <c r="BL189" s="7" t="n">
        <f aca="false">IF(I189="To Verify",COUNTIF($I$4:I189,"To Verify"),"")</f>
        <v>55</v>
      </c>
    </row>
    <row r="190" customFormat="false" ht="57.45" hidden="false" customHeight="false" outlineLevel="0" collapsed="false">
      <c r="A190" s="5" t="s">
        <v>2213</v>
      </c>
      <c r="B190" s="6" t="s">
        <v>2110</v>
      </c>
      <c r="C190" s="6" t="s">
        <v>1855</v>
      </c>
      <c r="D190" s="6" t="s">
        <v>2214</v>
      </c>
      <c r="E190" s="6" t="s">
        <v>2215</v>
      </c>
      <c r="F190" s="6" t="s">
        <v>2216</v>
      </c>
      <c r="G190" s="6" t="s">
        <v>2217</v>
      </c>
      <c r="H190" s="6" t="s">
        <v>2218</v>
      </c>
      <c r="I190" s="5" t="s">
        <v>167</v>
      </c>
      <c r="J190" s="7" t="str">
        <f aca="false">IFERROR(INDEX(AVAILABILITY_MASTER!$C$4:$C$10,MATCH(I190,AVAILABILITY_MASTER!$A$4:$A$10,0)),"To Be Confirmed")</f>
        <v>Available</v>
      </c>
      <c r="K190" s="6" t="s">
        <v>79</v>
      </c>
      <c r="L190" s="6" t="s">
        <v>437</v>
      </c>
      <c r="M190" s="7" t="str">
        <f aca="false">IFERROR(INDEX(SERVICE_DOCUMENTS!$S$4:$S$1000,MATCH(A190,SERVICE_DOCUMENTS!$A$4:$A$1000,0))&amp;"","")</f>
        <v>✓ Files to Print / Scan</v>
      </c>
      <c r="N190" s="7" t="str">
        <f aca="false">IFERROR(INDEX(SERVICE_DOCUMENTS!$T$4:$T$1000,MATCH(A190,SERVICE_DOCUMENTS!$A$4:$A$1000,0))&amp;"","")</f>
        <v/>
      </c>
      <c r="O190" s="6" t="s">
        <v>645</v>
      </c>
      <c r="P190" s="6" t="s">
        <v>2219</v>
      </c>
      <c r="Q190" s="6" t="s">
        <v>440</v>
      </c>
      <c r="R190" s="8" t="s">
        <v>441</v>
      </c>
      <c r="S190" s="8" t="s">
        <v>75</v>
      </c>
      <c r="T190" s="9" t="str">
        <f aca="false">IF(AND(OR(ISNUMBER(R190),R190="N/A"),OR(ISNUMBER(S190),S190="N/A"),OR(ISNUMBER(R190),ISNUMBER(S190))),N(R190)+N(S190),"To Verify")</f>
        <v>To Verify</v>
      </c>
      <c r="U190" s="6" t="s">
        <v>442</v>
      </c>
      <c r="V190" s="6" t="s">
        <v>79</v>
      </c>
      <c r="W190" s="6" t="s">
        <v>80</v>
      </c>
      <c r="X190" s="6" t="s">
        <v>443</v>
      </c>
      <c r="Y190" s="6" t="s">
        <v>79</v>
      </c>
      <c r="Z190" s="6"/>
      <c r="AA190" s="6" t="s">
        <v>74</v>
      </c>
      <c r="AB190" s="6" t="s">
        <v>79</v>
      </c>
      <c r="AC190" s="6" t="s">
        <v>75</v>
      </c>
      <c r="AD190" s="6" t="s">
        <v>75</v>
      </c>
      <c r="AE190" s="6" t="s">
        <v>79</v>
      </c>
      <c r="AF190" s="6" t="s">
        <v>79</v>
      </c>
      <c r="AG190" s="6" t="s">
        <v>170</v>
      </c>
      <c r="AH190" s="6" t="s">
        <v>74</v>
      </c>
      <c r="AI190" s="6" t="s">
        <v>79</v>
      </c>
      <c r="AJ190" s="6" t="s">
        <v>79</v>
      </c>
      <c r="AK190" s="6" t="s">
        <v>79</v>
      </c>
      <c r="AL190" s="6" t="s">
        <v>2110</v>
      </c>
      <c r="AM190" s="6" t="s">
        <v>2214</v>
      </c>
      <c r="AN190" s="7" t="str">
        <f aca="false">BA190&amp;", "&amp;AZ190</f>
        <v>PDF Creation, Printing / Xerox / Scanning, Devmobile Stores, PDF निर्माण, प्रिंटिंग / ज़ेरॉक्स / स्कैनिंग, सेवा</v>
      </c>
      <c r="AO190" s="6" t="s">
        <v>2220</v>
      </c>
      <c r="AP190" s="5" t="s">
        <v>2221</v>
      </c>
      <c r="AQ190" s="5" t="n">
        <v>100</v>
      </c>
      <c r="AR190" s="6" t="s">
        <v>133</v>
      </c>
      <c r="AS190" s="6"/>
      <c r="AT190" s="6" t="s">
        <v>86</v>
      </c>
      <c r="AU190" s="10"/>
      <c r="AV190" s="6" t="s">
        <v>75</v>
      </c>
      <c r="AW190" s="6"/>
      <c r="AX190" s="6" t="s">
        <v>2222</v>
      </c>
      <c r="AY190" s="6" t="s">
        <v>2223</v>
      </c>
      <c r="AZ190" s="6" t="s">
        <v>2224</v>
      </c>
      <c r="BA190" s="6" t="s">
        <v>2225</v>
      </c>
      <c r="BB190" s="6"/>
      <c r="BC190" s="11" t="str">
        <f aca="false">IFERROR(INDEX(CATEGORY_MASTER!$C$4:$C$30,MATCH(B190,CATEGORY_MASTER!$A$4:$A$30,0)),"")</f>
        <v>🖨️</v>
      </c>
      <c r="BD190" s="7" t="str">
        <f aca="false">"/services/"&amp;AO190</f>
        <v>/services/pdf-creation</v>
      </c>
      <c r="BE190" s="7" t="str">
        <f aca="false">IF(AND(AH190="Yes",AG190="Active",I190&lt;&gt;"Not Available"),"LIVE","HIDDEN")</f>
        <v>LIVE</v>
      </c>
      <c r="BF190" s="6" t="s">
        <v>139</v>
      </c>
      <c r="BG190" s="6" t="s">
        <v>452</v>
      </c>
      <c r="BH190" s="7" t="str">
        <f aca="false">B190&amp;"|"&amp;COUNTIF($B$4:B190,B190)</f>
        <v>Printing / Xerox / Scanning|10</v>
      </c>
      <c r="BI190" s="7" t="str">
        <f aca="false">IF(AND(AI190="Yes",BE190="LIVE"),COUNTIFS($AI$4:AI190,"Yes",$BE$4:BE190,"LIVE"),"")</f>
        <v/>
      </c>
      <c r="BJ190" s="7" t="str">
        <f aca="false">IF(AND(AJ190="Yes",BE190="LIVE"),COUNTIFS($AJ$4:AJ190,"Yes",$BE$4:BE190,"LIVE"),"")</f>
        <v/>
      </c>
      <c r="BK190" s="7" t="str">
        <f aca="false">IF(AND(AK190="Yes",BE190="LIVE"),COUNTIFS($AK$4:AK190,"Yes",$BE$4:BE190,"LIVE"),"")</f>
        <v/>
      </c>
      <c r="BL190" s="7" t="str">
        <f aca="false">IF(I190="To Verify",COUNTIF($I$4:I190,"To Verify"),"")</f>
        <v/>
      </c>
    </row>
    <row r="191" customFormat="false" ht="57.45" hidden="false" customHeight="false" outlineLevel="0" collapsed="false">
      <c r="A191" s="5" t="s">
        <v>2226</v>
      </c>
      <c r="B191" s="6" t="s">
        <v>2110</v>
      </c>
      <c r="C191" s="6" t="s">
        <v>1855</v>
      </c>
      <c r="D191" s="6" t="s">
        <v>2214</v>
      </c>
      <c r="E191" s="6" t="s">
        <v>2227</v>
      </c>
      <c r="F191" s="6" t="s">
        <v>2228</v>
      </c>
      <c r="G191" s="6" t="s">
        <v>2229</v>
      </c>
      <c r="H191" s="6" t="s">
        <v>2230</v>
      </c>
      <c r="I191" s="5" t="s">
        <v>167</v>
      </c>
      <c r="J191" s="7" t="str">
        <f aca="false">IFERROR(INDEX(AVAILABILITY_MASTER!$C$4:$C$10,MATCH(I191,AVAILABILITY_MASTER!$A$4:$A$10,0)),"To Be Confirmed")</f>
        <v>Available</v>
      </c>
      <c r="K191" s="6" t="s">
        <v>79</v>
      </c>
      <c r="L191" s="6" t="s">
        <v>437</v>
      </c>
      <c r="M191" s="7" t="str">
        <f aca="false">IFERROR(INDEX(SERVICE_DOCUMENTS!$S$4:$S$1000,MATCH(A191,SERVICE_DOCUMENTS!$A$4:$A$1000,0))&amp;"","")</f>
        <v>✓ Files to Print / Scan</v>
      </c>
      <c r="N191" s="7" t="str">
        <f aca="false">IFERROR(INDEX(SERVICE_DOCUMENTS!$T$4:$T$1000,MATCH(A191,SERVICE_DOCUMENTS!$A$4:$A$1000,0))&amp;"","")</f>
        <v/>
      </c>
      <c r="O191" s="6" t="s">
        <v>645</v>
      </c>
      <c r="P191" s="6" t="s">
        <v>2231</v>
      </c>
      <c r="Q191" s="6" t="s">
        <v>440</v>
      </c>
      <c r="R191" s="8" t="s">
        <v>441</v>
      </c>
      <c r="S191" s="8" t="s">
        <v>75</v>
      </c>
      <c r="T191" s="9" t="str">
        <f aca="false">IF(AND(OR(ISNUMBER(R191),R191="N/A"),OR(ISNUMBER(S191),S191="N/A"),OR(ISNUMBER(R191),ISNUMBER(S191))),N(R191)+N(S191),"To Verify")</f>
        <v>To Verify</v>
      </c>
      <c r="U191" s="6" t="s">
        <v>442</v>
      </c>
      <c r="V191" s="6" t="s">
        <v>79</v>
      </c>
      <c r="W191" s="6" t="s">
        <v>80</v>
      </c>
      <c r="X191" s="6" t="s">
        <v>443</v>
      </c>
      <c r="Y191" s="6" t="s">
        <v>79</v>
      </c>
      <c r="Z191" s="6"/>
      <c r="AA191" s="6" t="s">
        <v>74</v>
      </c>
      <c r="AB191" s="6" t="s">
        <v>79</v>
      </c>
      <c r="AC191" s="6" t="s">
        <v>75</v>
      </c>
      <c r="AD191" s="6" t="s">
        <v>75</v>
      </c>
      <c r="AE191" s="6" t="s">
        <v>79</v>
      </c>
      <c r="AF191" s="6" t="s">
        <v>79</v>
      </c>
      <c r="AG191" s="6" t="s">
        <v>170</v>
      </c>
      <c r="AH191" s="6" t="s">
        <v>74</v>
      </c>
      <c r="AI191" s="6" t="s">
        <v>79</v>
      </c>
      <c r="AJ191" s="6" t="s">
        <v>79</v>
      </c>
      <c r="AK191" s="6" t="s">
        <v>79</v>
      </c>
      <c r="AL191" s="6" t="s">
        <v>2110</v>
      </c>
      <c r="AM191" s="6" t="s">
        <v>2214</v>
      </c>
      <c r="AN191" s="7" t="str">
        <f aca="false">BA191&amp;", "&amp;AZ191</f>
        <v>PDF Merge, Printing / Xerox / Scanning, Devmobile Stores, PDF मर्ज, प्रिंटिंग / ज़ेरॉक्स / स्कैनिंग, सेवा</v>
      </c>
      <c r="AO191" s="6" t="s">
        <v>2232</v>
      </c>
      <c r="AP191" s="5" t="s">
        <v>2221</v>
      </c>
      <c r="AQ191" s="5" t="n">
        <v>110</v>
      </c>
      <c r="AR191" s="6" t="s">
        <v>133</v>
      </c>
      <c r="AS191" s="6"/>
      <c r="AT191" s="6" t="s">
        <v>86</v>
      </c>
      <c r="AU191" s="10"/>
      <c r="AV191" s="6" t="s">
        <v>75</v>
      </c>
      <c r="AW191" s="6"/>
      <c r="AX191" s="6" t="s">
        <v>2233</v>
      </c>
      <c r="AY191" s="6" t="s">
        <v>2234</v>
      </c>
      <c r="AZ191" s="6" t="s">
        <v>2235</v>
      </c>
      <c r="BA191" s="6" t="s">
        <v>2236</v>
      </c>
      <c r="BB191" s="6"/>
      <c r="BC191" s="11" t="str">
        <f aca="false">IFERROR(INDEX(CATEGORY_MASTER!$C$4:$C$30,MATCH(B191,CATEGORY_MASTER!$A$4:$A$30,0)),"")</f>
        <v>🖨️</v>
      </c>
      <c r="BD191" s="7" t="str">
        <f aca="false">"/services/"&amp;AO191</f>
        <v>/services/pdf-merge</v>
      </c>
      <c r="BE191" s="7" t="str">
        <f aca="false">IF(AND(AH191="Yes",AG191="Active",I191&lt;&gt;"Not Available"),"LIVE","HIDDEN")</f>
        <v>LIVE</v>
      </c>
      <c r="BF191" s="6" t="s">
        <v>139</v>
      </c>
      <c r="BG191" s="6" t="s">
        <v>452</v>
      </c>
      <c r="BH191" s="7" t="str">
        <f aca="false">B191&amp;"|"&amp;COUNTIF($B$4:B191,B191)</f>
        <v>Printing / Xerox / Scanning|11</v>
      </c>
      <c r="BI191" s="7" t="str">
        <f aca="false">IF(AND(AI191="Yes",BE191="LIVE"),COUNTIFS($AI$4:AI191,"Yes",$BE$4:BE191,"LIVE"),"")</f>
        <v/>
      </c>
      <c r="BJ191" s="7" t="str">
        <f aca="false">IF(AND(AJ191="Yes",BE191="LIVE"),COUNTIFS($AJ$4:AJ191,"Yes",$BE$4:BE191,"LIVE"),"")</f>
        <v/>
      </c>
      <c r="BK191" s="7" t="str">
        <f aca="false">IF(AND(AK191="Yes",BE191="LIVE"),COUNTIFS($AK$4:AK191,"Yes",$BE$4:BE191,"LIVE"),"")</f>
        <v/>
      </c>
      <c r="BL191" s="7" t="str">
        <f aca="false">IF(I191="To Verify",COUNTIF($I$4:I191,"To Verify"),"")</f>
        <v/>
      </c>
    </row>
    <row r="192" customFormat="false" ht="57.45" hidden="false" customHeight="false" outlineLevel="0" collapsed="false">
      <c r="A192" s="5" t="s">
        <v>2237</v>
      </c>
      <c r="B192" s="6" t="s">
        <v>2110</v>
      </c>
      <c r="C192" s="6" t="s">
        <v>1855</v>
      </c>
      <c r="D192" s="6" t="s">
        <v>2214</v>
      </c>
      <c r="E192" s="6" t="s">
        <v>2238</v>
      </c>
      <c r="F192" s="6" t="s">
        <v>2239</v>
      </c>
      <c r="G192" s="6" t="s">
        <v>2240</v>
      </c>
      <c r="H192" s="6" t="s">
        <v>2241</v>
      </c>
      <c r="I192" s="5" t="s">
        <v>167</v>
      </c>
      <c r="J192" s="7" t="str">
        <f aca="false">IFERROR(INDEX(AVAILABILITY_MASTER!$C$4:$C$10,MATCH(I192,AVAILABILITY_MASTER!$A$4:$A$10,0)),"To Be Confirmed")</f>
        <v>Available</v>
      </c>
      <c r="K192" s="6" t="s">
        <v>79</v>
      </c>
      <c r="L192" s="6" t="s">
        <v>437</v>
      </c>
      <c r="M192" s="7" t="str">
        <f aca="false">IFERROR(INDEX(SERVICE_DOCUMENTS!$S$4:$S$1000,MATCH(A192,SERVICE_DOCUMENTS!$A$4:$A$1000,0))&amp;"","")</f>
        <v>✓ Files to Print / Scan</v>
      </c>
      <c r="N192" s="7" t="str">
        <f aca="false">IFERROR(INDEX(SERVICE_DOCUMENTS!$T$4:$T$1000,MATCH(A192,SERVICE_DOCUMENTS!$A$4:$A$1000,0))&amp;"","")</f>
        <v/>
      </c>
      <c r="O192" s="6" t="s">
        <v>645</v>
      </c>
      <c r="P192" s="6" t="s">
        <v>2242</v>
      </c>
      <c r="Q192" s="6" t="s">
        <v>440</v>
      </c>
      <c r="R192" s="8" t="s">
        <v>441</v>
      </c>
      <c r="S192" s="8" t="s">
        <v>75</v>
      </c>
      <c r="T192" s="9" t="str">
        <f aca="false">IF(AND(OR(ISNUMBER(R192),R192="N/A"),OR(ISNUMBER(S192),S192="N/A"),OR(ISNUMBER(R192),ISNUMBER(S192))),N(R192)+N(S192),"To Verify")</f>
        <v>To Verify</v>
      </c>
      <c r="U192" s="6" t="s">
        <v>442</v>
      </c>
      <c r="V192" s="6" t="s">
        <v>79</v>
      </c>
      <c r="W192" s="6" t="s">
        <v>80</v>
      </c>
      <c r="X192" s="6" t="s">
        <v>443</v>
      </c>
      <c r="Y192" s="6" t="s">
        <v>79</v>
      </c>
      <c r="Z192" s="6"/>
      <c r="AA192" s="6" t="s">
        <v>74</v>
      </c>
      <c r="AB192" s="6" t="s">
        <v>79</v>
      </c>
      <c r="AC192" s="6" t="s">
        <v>75</v>
      </c>
      <c r="AD192" s="6" t="s">
        <v>75</v>
      </c>
      <c r="AE192" s="6" t="s">
        <v>79</v>
      </c>
      <c r="AF192" s="6" t="s">
        <v>79</v>
      </c>
      <c r="AG192" s="6" t="s">
        <v>170</v>
      </c>
      <c r="AH192" s="6" t="s">
        <v>74</v>
      </c>
      <c r="AI192" s="6" t="s">
        <v>79</v>
      </c>
      <c r="AJ192" s="6" t="s">
        <v>79</v>
      </c>
      <c r="AK192" s="6" t="s">
        <v>79</v>
      </c>
      <c r="AL192" s="6" t="s">
        <v>2110</v>
      </c>
      <c r="AM192" s="6" t="s">
        <v>2214</v>
      </c>
      <c r="AN192" s="7" t="str">
        <f aca="false">BA192&amp;", "&amp;AZ192</f>
        <v>PDF Split, Printing / Xerox / Scanning, Devmobile Stores, PDF स्प्लिट, प्रिंटिंग / ज़ेरॉक्स / स्कैनिंग, सेवा</v>
      </c>
      <c r="AO192" s="6" t="s">
        <v>2243</v>
      </c>
      <c r="AP192" s="5" t="s">
        <v>2221</v>
      </c>
      <c r="AQ192" s="5" t="n">
        <v>120</v>
      </c>
      <c r="AR192" s="6" t="s">
        <v>133</v>
      </c>
      <c r="AS192" s="6"/>
      <c r="AT192" s="6" t="s">
        <v>86</v>
      </c>
      <c r="AU192" s="10"/>
      <c r="AV192" s="6" t="s">
        <v>75</v>
      </c>
      <c r="AW192" s="6"/>
      <c r="AX192" s="6" t="s">
        <v>2244</v>
      </c>
      <c r="AY192" s="6" t="s">
        <v>2245</v>
      </c>
      <c r="AZ192" s="6" t="s">
        <v>2246</v>
      </c>
      <c r="BA192" s="6" t="s">
        <v>2247</v>
      </c>
      <c r="BB192" s="6"/>
      <c r="BC192" s="11" t="str">
        <f aca="false">IFERROR(INDEX(CATEGORY_MASTER!$C$4:$C$30,MATCH(B192,CATEGORY_MASTER!$A$4:$A$30,0)),"")</f>
        <v>🖨️</v>
      </c>
      <c r="BD192" s="7" t="str">
        <f aca="false">"/services/"&amp;AO192</f>
        <v>/services/pdf-split</v>
      </c>
      <c r="BE192" s="7" t="str">
        <f aca="false">IF(AND(AH192="Yes",AG192="Active",I192&lt;&gt;"Not Available"),"LIVE","HIDDEN")</f>
        <v>LIVE</v>
      </c>
      <c r="BF192" s="6" t="s">
        <v>139</v>
      </c>
      <c r="BG192" s="6" t="s">
        <v>452</v>
      </c>
      <c r="BH192" s="7" t="str">
        <f aca="false">B192&amp;"|"&amp;COUNTIF($B$4:B192,B192)</f>
        <v>Printing / Xerox / Scanning|12</v>
      </c>
      <c r="BI192" s="7" t="str">
        <f aca="false">IF(AND(AI192="Yes",BE192="LIVE"),COUNTIFS($AI$4:AI192,"Yes",$BE$4:BE192,"LIVE"),"")</f>
        <v/>
      </c>
      <c r="BJ192" s="7" t="str">
        <f aca="false">IF(AND(AJ192="Yes",BE192="LIVE"),COUNTIFS($AJ$4:AJ192,"Yes",$BE$4:BE192,"LIVE"),"")</f>
        <v/>
      </c>
      <c r="BK192" s="7" t="str">
        <f aca="false">IF(AND(AK192="Yes",BE192="LIVE"),COUNTIFS($AK$4:AK192,"Yes",$BE$4:BE192,"LIVE"),"")</f>
        <v/>
      </c>
      <c r="BL192" s="7" t="str">
        <f aca="false">IF(I192="To Verify",COUNTIF($I$4:I192,"To Verify"),"")</f>
        <v/>
      </c>
    </row>
    <row r="193" customFormat="false" ht="57.45" hidden="false" customHeight="false" outlineLevel="0" collapsed="false">
      <c r="A193" s="5" t="s">
        <v>2248</v>
      </c>
      <c r="B193" s="6" t="s">
        <v>2110</v>
      </c>
      <c r="C193" s="6" t="s">
        <v>1855</v>
      </c>
      <c r="D193" s="6" t="s">
        <v>2214</v>
      </c>
      <c r="E193" s="6" t="s">
        <v>2249</v>
      </c>
      <c r="F193" s="6" t="s">
        <v>2250</v>
      </c>
      <c r="G193" s="6" t="s">
        <v>2251</v>
      </c>
      <c r="H193" s="6" t="s">
        <v>2252</v>
      </c>
      <c r="I193" s="5" t="s">
        <v>167</v>
      </c>
      <c r="J193" s="7" t="str">
        <f aca="false">IFERROR(INDEX(AVAILABILITY_MASTER!$C$4:$C$10,MATCH(I193,AVAILABILITY_MASTER!$A$4:$A$10,0)),"To Be Confirmed")</f>
        <v>Available</v>
      </c>
      <c r="K193" s="6" t="s">
        <v>79</v>
      </c>
      <c r="L193" s="6" t="s">
        <v>437</v>
      </c>
      <c r="M193" s="7" t="str">
        <f aca="false">IFERROR(INDEX(SERVICE_DOCUMENTS!$S$4:$S$1000,MATCH(A193,SERVICE_DOCUMENTS!$A$4:$A$1000,0))&amp;"","")</f>
        <v>✓ Files to Print / Scan</v>
      </c>
      <c r="N193" s="7" t="str">
        <f aca="false">IFERROR(INDEX(SERVICE_DOCUMENTS!$T$4:$T$1000,MATCH(A193,SERVICE_DOCUMENTS!$A$4:$A$1000,0))&amp;"","")</f>
        <v/>
      </c>
      <c r="O193" s="6" t="s">
        <v>645</v>
      </c>
      <c r="P193" s="6" t="s">
        <v>2253</v>
      </c>
      <c r="Q193" s="6" t="s">
        <v>440</v>
      </c>
      <c r="R193" s="8" t="s">
        <v>441</v>
      </c>
      <c r="S193" s="8" t="s">
        <v>75</v>
      </c>
      <c r="T193" s="9" t="str">
        <f aca="false">IF(AND(OR(ISNUMBER(R193),R193="N/A"),OR(ISNUMBER(S193),S193="N/A"),OR(ISNUMBER(R193),ISNUMBER(S193))),N(R193)+N(S193),"To Verify")</f>
        <v>To Verify</v>
      </c>
      <c r="U193" s="6" t="s">
        <v>442</v>
      </c>
      <c r="V193" s="6" t="s">
        <v>79</v>
      </c>
      <c r="W193" s="6" t="s">
        <v>80</v>
      </c>
      <c r="X193" s="6" t="s">
        <v>443</v>
      </c>
      <c r="Y193" s="6" t="s">
        <v>79</v>
      </c>
      <c r="Z193" s="6"/>
      <c r="AA193" s="6" t="s">
        <v>74</v>
      </c>
      <c r="AB193" s="6" t="s">
        <v>79</v>
      </c>
      <c r="AC193" s="6" t="s">
        <v>75</v>
      </c>
      <c r="AD193" s="6" t="s">
        <v>75</v>
      </c>
      <c r="AE193" s="6" t="s">
        <v>79</v>
      </c>
      <c r="AF193" s="6" t="s">
        <v>79</v>
      </c>
      <c r="AG193" s="6" t="s">
        <v>170</v>
      </c>
      <c r="AH193" s="6" t="s">
        <v>74</v>
      </c>
      <c r="AI193" s="6" t="s">
        <v>79</v>
      </c>
      <c r="AJ193" s="6" t="s">
        <v>79</v>
      </c>
      <c r="AK193" s="6" t="s">
        <v>79</v>
      </c>
      <c r="AL193" s="6" t="s">
        <v>2110</v>
      </c>
      <c r="AM193" s="6" t="s">
        <v>2214</v>
      </c>
      <c r="AN193" s="7" t="str">
        <f aca="false">BA193&amp;", "&amp;AZ193</f>
        <v>PDF Compression, Printing / Xerox / Scanning, Devmobile Stores, PDF कंप्रेशन, प्रिंटिंग / ज़ेरॉक्स / स्कैनिंग, सेवा</v>
      </c>
      <c r="AO193" s="6" t="s">
        <v>2254</v>
      </c>
      <c r="AP193" s="5" t="s">
        <v>2221</v>
      </c>
      <c r="AQ193" s="5" t="n">
        <v>130</v>
      </c>
      <c r="AR193" s="6" t="s">
        <v>133</v>
      </c>
      <c r="AS193" s="6"/>
      <c r="AT193" s="6" t="s">
        <v>86</v>
      </c>
      <c r="AU193" s="10"/>
      <c r="AV193" s="6" t="s">
        <v>75</v>
      </c>
      <c r="AW193" s="6"/>
      <c r="AX193" s="6" t="s">
        <v>2255</v>
      </c>
      <c r="AY193" s="6" t="s">
        <v>2256</v>
      </c>
      <c r="AZ193" s="6" t="s">
        <v>2257</v>
      </c>
      <c r="BA193" s="6" t="s">
        <v>2258</v>
      </c>
      <c r="BB193" s="6"/>
      <c r="BC193" s="11" t="str">
        <f aca="false">IFERROR(INDEX(CATEGORY_MASTER!$C$4:$C$30,MATCH(B193,CATEGORY_MASTER!$A$4:$A$30,0)),"")</f>
        <v>🖨️</v>
      </c>
      <c r="BD193" s="7" t="str">
        <f aca="false">"/services/"&amp;AO193</f>
        <v>/services/pdf-compression</v>
      </c>
      <c r="BE193" s="7" t="str">
        <f aca="false">IF(AND(AH193="Yes",AG193="Active",I193&lt;&gt;"Not Available"),"LIVE","HIDDEN")</f>
        <v>LIVE</v>
      </c>
      <c r="BF193" s="6" t="s">
        <v>139</v>
      </c>
      <c r="BG193" s="6" t="s">
        <v>452</v>
      </c>
      <c r="BH193" s="7" t="str">
        <f aca="false">B193&amp;"|"&amp;COUNTIF($B$4:B193,B193)</f>
        <v>Printing / Xerox / Scanning|13</v>
      </c>
      <c r="BI193" s="7" t="str">
        <f aca="false">IF(AND(AI193="Yes",BE193="LIVE"),COUNTIFS($AI$4:AI193,"Yes",$BE$4:BE193,"LIVE"),"")</f>
        <v/>
      </c>
      <c r="BJ193" s="7" t="str">
        <f aca="false">IF(AND(AJ193="Yes",BE193="LIVE"),COUNTIFS($AJ$4:AJ193,"Yes",$BE$4:BE193,"LIVE"),"")</f>
        <v/>
      </c>
      <c r="BK193" s="7" t="str">
        <f aca="false">IF(AND(AK193="Yes",BE193="LIVE"),COUNTIFS($AK$4:AK193,"Yes",$BE$4:BE193,"LIVE"),"")</f>
        <v/>
      </c>
      <c r="BL193" s="7" t="str">
        <f aca="false">IF(I193="To Verify",COUNTIF($I$4:I193,"To Verify"),"")</f>
        <v/>
      </c>
    </row>
    <row r="194" customFormat="false" ht="68.65" hidden="false" customHeight="false" outlineLevel="0" collapsed="false">
      <c r="A194" s="5" t="s">
        <v>2259</v>
      </c>
      <c r="B194" s="6" t="s">
        <v>2110</v>
      </c>
      <c r="C194" s="6" t="s">
        <v>1855</v>
      </c>
      <c r="D194" s="6" t="s">
        <v>2214</v>
      </c>
      <c r="E194" s="6" t="s">
        <v>2260</v>
      </c>
      <c r="F194" s="6" t="s">
        <v>2261</v>
      </c>
      <c r="G194" s="6" t="s">
        <v>2262</v>
      </c>
      <c r="H194" s="6" t="s">
        <v>2263</v>
      </c>
      <c r="I194" s="5" t="s">
        <v>167</v>
      </c>
      <c r="J194" s="7" t="str">
        <f aca="false">IFERROR(INDEX(AVAILABILITY_MASTER!$C$4:$C$10,MATCH(I194,AVAILABILITY_MASTER!$A$4:$A$10,0)),"To Be Confirmed")</f>
        <v>Available</v>
      </c>
      <c r="K194" s="6" t="s">
        <v>79</v>
      </c>
      <c r="L194" s="6" t="s">
        <v>437</v>
      </c>
      <c r="M194" s="7" t="str">
        <f aca="false">IFERROR(INDEX(SERVICE_DOCUMENTS!$S$4:$S$1000,MATCH(A194,SERVICE_DOCUMENTS!$A$4:$A$1000,0))&amp;"","")</f>
        <v>✓ Files to Print / Scan</v>
      </c>
      <c r="N194" s="7" t="str">
        <f aca="false">IFERROR(INDEX(SERVICE_DOCUMENTS!$T$4:$T$1000,MATCH(A194,SERVICE_DOCUMENTS!$A$4:$A$1000,0))&amp;"","")</f>
        <v/>
      </c>
      <c r="O194" s="6" t="s">
        <v>645</v>
      </c>
      <c r="P194" s="6" t="s">
        <v>2264</v>
      </c>
      <c r="Q194" s="6" t="s">
        <v>440</v>
      </c>
      <c r="R194" s="8" t="s">
        <v>441</v>
      </c>
      <c r="S194" s="8" t="s">
        <v>75</v>
      </c>
      <c r="T194" s="9" t="str">
        <f aca="false">IF(AND(OR(ISNUMBER(R194),R194="N/A"),OR(ISNUMBER(S194),S194="N/A"),OR(ISNUMBER(R194),ISNUMBER(S194))),N(R194)+N(S194),"To Verify")</f>
        <v>To Verify</v>
      </c>
      <c r="U194" s="6" t="s">
        <v>442</v>
      </c>
      <c r="V194" s="6" t="s">
        <v>79</v>
      </c>
      <c r="W194" s="6" t="s">
        <v>80</v>
      </c>
      <c r="X194" s="6" t="s">
        <v>443</v>
      </c>
      <c r="Y194" s="6" t="s">
        <v>79</v>
      </c>
      <c r="Z194" s="6"/>
      <c r="AA194" s="6" t="s">
        <v>74</v>
      </c>
      <c r="AB194" s="6" t="s">
        <v>79</v>
      </c>
      <c r="AC194" s="6" t="s">
        <v>75</v>
      </c>
      <c r="AD194" s="6" t="s">
        <v>75</v>
      </c>
      <c r="AE194" s="6" t="s">
        <v>79</v>
      </c>
      <c r="AF194" s="6" t="s">
        <v>79</v>
      </c>
      <c r="AG194" s="6" t="s">
        <v>170</v>
      </c>
      <c r="AH194" s="6" t="s">
        <v>74</v>
      </c>
      <c r="AI194" s="6" t="s">
        <v>79</v>
      </c>
      <c r="AJ194" s="6" t="s">
        <v>79</v>
      </c>
      <c r="AK194" s="6" t="s">
        <v>79</v>
      </c>
      <c r="AL194" s="6" t="s">
        <v>2110</v>
      </c>
      <c r="AM194" s="6" t="s">
        <v>2214</v>
      </c>
      <c r="AN194" s="7" t="str">
        <f aca="false">BA194&amp;", "&amp;AZ194</f>
        <v>PDF Conversion (PDF to Image / Other), Printing / Xerox / Scanning, Devmobile Stores, PDF कन्वर्ज़न (PDF से इमेज / अन्य), प्रिंटिंग / ज़ेरॉक्स / स्कैनिंग, सेवा</v>
      </c>
      <c r="AO194" s="6" t="s">
        <v>2265</v>
      </c>
      <c r="AP194" s="5" t="s">
        <v>2221</v>
      </c>
      <c r="AQ194" s="5" t="n">
        <v>140</v>
      </c>
      <c r="AR194" s="6" t="s">
        <v>133</v>
      </c>
      <c r="AS194" s="6"/>
      <c r="AT194" s="6" t="s">
        <v>86</v>
      </c>
      <c r="AU194" s="10"/>
      <c r="AV194" s="6" t="s">
        <v>75</v>
      </c>
      <c r="AW194" s="6"/>
      <c r="AX194" s="6" t="s">
        <v>2266</v>
      </c>
      <c r="AY194" s="6" t="s">
        <v>2267</v>
      </c>
      <c r="AZ194" s="6" t="s">
        <v>2268</v>
      </c>
      <c r="BA194" s="6" t="s">
        <v>2269</v>
      </c>
      <c r="BB194" s="6"/>
      <c r="BC194" s="11" t="str">
        <f aca="false">IFERROR(INDEX(CATEGORY_MASTER!$C$4:$C$30,MATCH(B194,CATEGORY_MASTER!$A$4:$A$30,0)),"")</f>
        <v>🖨️</v>
      </c>
      <c r="BD194" s="7" t="str">
        <f aca="false">"/services/"&amp;AO194</f>
        <v>/services/pdf-conversion-pdf-to-image-other</v>
      </c>
      <c r="BE194" s="7" t="str">
        <f aca="false">IF(AND(AH194="Yes",AG194="Active",I194&lt;&gt;"Not Available"),"LIVE","HIDDEN")</f>
        <v>LIVE</v>
      </c>
      <c r="BF194" s="6" t="s">
        <v>139</v>
      </c>
      <c r="BG194" s="6" t="s">
        <v>452</v>
      </c>
      <c r="BH194" s="7" t="str">
        <f aca="false">B194&amp;"|"&amp;COUNTIF($B$4:B194,B194)</f>
        <v>Printing / Xerox / Scanning|14</v>
      </c>
      <c r="BI194" s="7" t="str">
        <f aca="false">IF(AND(AI194="Yes",BE194="LIVE"),COUNTIFS($AI$4:AI194,"Yes",$BE$4:BE194,"LIVE"),"")</f>
        <v/>
      </c>
      <c r="BJ194" s="7" t="str">
        <f aca="false">IF(AND(AJ194="Yes",BE194="LIVE"),COUNTIFS($AJ$4:AJ194,"Yes",$BE$4:BE194,"LIVE"),"")</f>
        <v/>
      </c>
      <c r="BK194" s="7" t="str">
        <f aca="false">IF(AND(AK194="Yes",BE194="LIVE"),COUNTIFS($AK$4:AK194,"Yes",$BE$4:BE194,"LIVE"),"")</f>
        <v/>
      </c>
      <c r="BL194" s="7" t="str">
        <f aca="false">IF(I194="To Verify",COUNTIF($I$4:I194,"To Verify"),"")</f>
        <v/>
      </c>
    </row>
    <row r="195" customFormat="false" ht="57.45" hidden="false" customHeight="false" outlineLevel="0" collapsed="false">
      <c r="A195" s="5" t="s">
        <v>2270</v>
      </c>
      <c r="B195" s="6" t="s">
        <v>2110</v>
      </c>
      <c r="C195" s="6" t="s">
        <v>1855</v>
      </c>
      <c r="D195" s="6" t="s">
        <v>2214</v>
      </c>
      <c r="E195" s="6" t="s">
        <v>2271</v>
      </c>
      <c r="F195" s="6" t="s">
        <v>2272</v>
      </c>
      <c r="G195" s="6" t="s">
        <v>2273</v>
      </c>
      <c r="H195" s="6" t="s">
        <v>2274</v>
      </c>
      <c r="I195" s="5" t="s">
        <v>167</v>
      </c>
      <c r="J195" s="7" t="str">
        <f aca="false">IFERROR(INDEX(AVAILABILITY_MASTER!$C$4:$C$10,MATCH(I195,AVAILABILITY_MASTER!$A$4:$A$10,0)),"To Be Confirmed")</f>
        <v>Available</v>
      </c>
      <c r="K195" s="6" t="s">
        <v>79</v>
      </c>
      <c r="L195" s="6" t="s">
        <v>437</v>
      </c>
      <c r="M195" s="7" t="str">
        <f aca="false">IFERROR(INDEX(SERVICE_DOCUMENTS!$S$4:$S$1000,MATCH(A195,SERVICE_DOCUMENTS!$A$4:$A$1000,0))&amp;"","")</f>
        <v>✓ Files to Print / Scan</v>
      </c>
      <c r="N195" s="7" t="str">
        <f aca="false">IFERROR(INDEX(SERVICE_DOCUMENTS!$T$4:$T$1000,MATCH(A195,SERVICE_DOCUMENTS!$A$4:$A$1000,0))&amp;"","")</f>
        <v/>
      </c>
      <c r="O195" s="6" t="s">
        <v>645</v>
      </c>
      <c r="P195" s="6" t="s">
        <v>2275</v>
      </c>
      <c r="Q195" s="6" t="s">
        <v>440</v>
      </c>
      <c r="R195" s="8" t="s">
        <v>441</v>
      </c>
      <c r="S195" s="8" t="s">
        <v>75</v>
      </c>
      <c r="T195" s="9" t="str">
        <f aca="false">IF(AND(OR(ISNUMBER(R195),R195="N/A"),OR(ISNUMBER(S195),S195="N/A"),OR(ISNUMBER(R195),ISNUMBER(S195))),N(R195)+N(S195),"To Verify")</f>
        <v>To Verify</v>
      </c>
      <c r="U195" s="6" t="s">
        <v>442</v>
      </c>
      <c r="V195" s="6" t="s">
        <v>79</v>
      </c>
      <c r="W195" s="6" t="s">
        <v>80</v>
      </c>
      <c r="X195" s="6" t="s">
        <v>443</v>
      </c>
      <c r="Y195" s="6" t="s">
        <v>79</v>
      </c>
      <c r="Z195" s="6"/>
      <c r="AA195" s="6" t="s">
        <v>74</v>
      </c>
      <c r="AB195" s="6" t="s">
        <v>79</v>
      </c>
      <c r="AC195" s="6" t="s">
        <v>75</v>
      </c>
      <c r="AD195" s="6" t="s">
        <v>75</v>
      </c>
      <c r="AE195" s="6" t="s">
        <v>79</v>
      </c>
      <c r="AF195" s="6" t="s">
        <v>79</v>
      </c>
      <c r="AG195" s="6" t="s">
        <v>170</v>
      </c>
      <c r="AH195" s="6" t="s">
        <v>74</v>
      </c>
      <c r="AI195" s="6" t="s">
        <v>79</v>
      </c>
      <c r="AJ195" s="6" t="s">
        <v>79</v>
      </c>
      <c r="AK195" s="6" t="s">
        <v>79</v>
      </c>
      <c r="AL195" s="6" t="s">
        <v>2110</v>
      </c>
      <c r="AM195" s="6" t="s">
        <v>2214</v>
      </c>
      <c r="AN195" s="7" t="str">
        <f aca="false">BA195&amp;", "&amp;AZ195</f>
        <v>Word to PDF, Printing / Xerox / Scanning, Devmobile Stores, Word से PDF, प्रिंटिंग / ज़ेरॉक्स / स्कैनिंग, सेवा</v>
      </c>
      <c r="AO195" s="6" t="s">
        <v>2276</v>
      </c>
      <c r="AP195" s="5" t="s">
        <v>2221</v>
      </c>
      <c r="AQ195" s="5" t="n">
        <v>150</v>
      </c>
      <c r="AR195" s="6" t="s">
        <v>133</v>
      </c>
      <c r="AS195" s="6"/>
      <c r="AT195" s="6" t="s">
        <v>86</v>
      </c>
      <c r="AU195" s="10"/>
      <c r="AV195" s="6" t="s">
        <v>75</v>
      </c>
      <c r="AW195" s="6"/>
      <c r="AX195" s="6" t="s">
        <v>2277</v>
      </c>
      <c r="AY195" s="6" t="s">
        <v>2278</v>
      </c>
      <c r="AZ195" s="6" t="s">
        <v>2279</v>
      </c>
      <c r="BA195" s="6" t="s">
        <v>2280</v>
      </c>
      <c r="BB195" s="6"/>
      <c r="BC195" s="11" t="str">
        <f aca="false">IFERROR(INDEX(CATEGORY_MASTER!$C$4:$C$30,MATCH(B195,CATEGORY_MASTER!$A$4:$A$30,0)),"")</f>
        <v>🖨️</v>
      </c>
      <c r="BD195" s="7" t="str">
        <f aca="false">"/services/"&amp;AO195</f>
        <v>/services/word-to-pdf</v>
      </c>
      <c r="BE195" s="7" t="str">
        <f aca="false">IF(AND(AH195="Yes",AG195="Active",I195&lt;&gt;"Not Available"),"LIVE","HIDDEN")</f>
        <v>LIVE</v>
      </c>
      <c r="BF195" s="6" t="s">
        <v>139</v>
      </c>
      <c r="BG195" s="6" t="s">
        <v>452</v>
      </c>
      <c r="BH195" s="7" t="str">
        <f aca="false">B195&amp;"|"&amp;COUNTIF($B$4:B195,B195)</f>
        <v>Printing / Xerox / Scanning|15</v>
      </c>
      <c r="BI195" s="7" t="str">
        <f aca="false">IF(AND(AI195="Yes",BE195="LIVE"),COUNTIFS($AI$4:AI195,"Yes",$BE$4:BE195,"LIVE"),"")</f>
        <v/>
      </c>
      <c r="BJ195" s="7" t="str">
        <f aca="false">IF(AND(AJ195="Yes",BE195="LIVE"),COUNTIFS($AJ$4:AJ195,"Yes",$BE$4:BE195,"LIVE"),"")</f>
        <v/>
      </c>
      <c r="BK195" s="7" t="str">
        <f aca="false">IF(AND(AK195="Yes",BE195="LIVE"),COUNTIFS($AK$4:AK195,"Yes",$BE$4:BE195,"LIVE"),"")</f>
        <v/>
      </c>
      <c r="BL195" s="7" t="str">
        <f aca="false">IF(I195="To Verify",COUNTIF($I$4:I195,"To Verify"),"")</f>
        <v/>
      </c>
    </row>
    <row r="196" customFormat="false" ht="57.45" hidden="false" customHeight="false" outlineLevel="0" collapsed="false">
      <c r="A196" s="5" t="s">
        <v>2281</v>
      </c>
      <c r="B196" s="6" t="s">
        <v>2110</v>
      </c>
      <c r="C196" s="6" t="s">
        <v>1855</v>
      </c>
      <c r="D196" s="6" t="s">
        <v>2214</v>
      </c>
      <c r="E196" s="6" t="s">
        <v>2282</v>
      </c>
      <c r="F196" s="6" t="s">
        <v>2283</v>
      </c>
      <c r="G196" s="6" t="s">
        <v>2284</v>
      </c>
      <c r="H196" s="6" t="s">
        <v>2285</v>
      </c>
      <c r="I196" s="5" t="s">
        <v>167</v>
      </c>
      <c r="J196" s="7" t="str">
        <f aca="false">IFERROR(INDEX(AVAILABILITY_MASTER!$C$4:$C$10,MATCH(I196,AVAILABILITY_MASTER!$A$4:$A$10,0)),"To Be Confirmed")</f>
        <v>Available</v>
      </c>
      <c r="K196" s="6" t="s">
        <v>79</v>
      </c>
      <c r="L196" s="6" t="s">
        <v>437</v>
      </c>
      <c r="M196" s="7" t="str">
        <f aca="false">IFERROR(INDEX(SERVICE_DOCUMENTS!$S$4:$S$1000,MATCH(A196,SERVICE_DOCUMENTS!$A$4:$A$1000,0))&amp;"","")</f>
        <v>✓ Files to Print / Scan</v>
      </c>
      <c r="N196" s="7" t="str">
        <f aca="false">IFERROR(INDEX(SERVICE_DOCUMENTS!$T$4:$T$1000,MATCH(A196,SERVICE_DOCUMENTS!$A$4:$A$1000,0))&amp;"","")</f>
        <v/>
      </c>
      <c r="O196" s="6" t="s">
        <v>645</v>
      </c>
      <c r="P196" s="6" t="s">
        <v>2286</v>
      </c>
      <c r="Q196" s="6" t="s">
        <v>440</v>
      </c>
      <c r="R196" s="8" t="s">
        <v>441</v>
      </c>
      <c r="S196" s="8" t="s">
        <v>75</v>
      </c>
      <c r="T196" s="9" t="str">
        <f aca="false">IF(AND(OR(ISNUMBER(R196),R196="N/A"),OR(ISNUMBER(S196),S196="N/A"),OR(ISNUMBER(R196),ISNUMBER(S196))),N(R196)+N(S196),"To Verify")</f>
        <v>To Verify</v>
      </c>
      <c r="U196" s="6" t="s">
        <v>442</v>
      </c>
      <c r="V196" s="6" t="s">
        <v>79</v>
      </c>
      <c r="W196" s="6" t="s">
        <v>80</v>
      </c>
      <c r="X196" s="6" t="s">
        <v>443</v>
      </c>
      <c r="Y196" s="6" t="s">
        <v>79</v>
      </c>
      <c r="Z196" s="6"/>
      <c r="AA196" s="6" t="s">
        <v>74</v>
      </c>
      <c r="AB196" s="6" t="s">
        <v>79</v>
      </c>
      <c r="AC196" s="6" t="s">
        <v>75</v>
      </c>
      <c r="AD196" s="6" t="s">
        <v>75</v>
      </c>
      <c r="AE196" s="6" t="s">
        <v>79</v>
      </c>
      <c r="AF196" s="6" t="s">
        <v>79</v>
      </c>
      <c r="AG196" s="6" t="s">
        <v>170</v>
      </c>
      <c r="AH196" s="6" t="s">
        <v>74</v>
      </c>
      <c r="AI196" s="6" t="s">
        <v>79</v>
      </c>
      <c r="AJ196" s="6" t="s">
        <v>79</v>
      </c>
      <c r="AK196" s="6" t="s">
        <v>79</v>
      </c>
      <c r="AL196" s="6" t="s">
        <v>2110</v>
      </c>
      <c r="AM196" s="6" t="s">
        <v>2214</v>
      </c>
      <c r="AN196" s="7" t="str">
        <f aca="false">BA196&amp;", "&amp;AZ196</f>
        <v>PDF to Word, Printing / Xerox / Scanning, Devmobile Stores, PDF से Word, प्रिंटिंग / ज़ेरॉक्स / स्कैनिंग, सेवा</v>
      </c>
      <c r="AO196" s="6" t="s">
        <v>2287</v>
      </c>
      <c r="AP196" s="5" t="s">
        <v>2221</v>
      </c>
      <c r="AQ196" s="5" t="n">
        <v>160</v>
      </c>
      <c r="AR196" s="6" t="s">
        <v>133</v>
      </c>
      <c r="AS196" s="6"/>
      <c r="AT196" s="6" t="s">
        <v>86</v>
      </c>
      <c r="AU196" s="10"/>
      <c r="AV196" s="6" t="s">
        <v>75</v>
      </c>
      <c r="AW196" s="6"/>
      <c r="AX196" s="6" t="s">
        <v>2288</v>
      </c>
      <c r="AY196" s="6" t="s">
        <v>2289</v>
      </c>
      <c r="AZ196" s="6" t="s">
        <v>2290</v>
      </c>
      <c r="BA196" s="6" t="s">
        <v>2291</v>
      </c>
      <c r="BB196" s="6"/>
      <c r="BC196" s="11" t="str">
        <f aca="false">IFERROR(INDEX(CATEGORY_MASTER!$C$4:$C$30,MATCH(B196,CATEGORY_MASTER!$A$4:$A$30,0)),"")</f>
        <v>🖨️</v>
      </c>
      <c r="BD196" s="7" t="str">
        <f aca="false">"/services/"&amp;AO196</f>
        <v>/services/pdf-to-word</v>
      </c>
      <c r="BE196" s="7" t="str">
        <f aca="false">IF(AND(AH196="Yes",AG196="Active",I196&lt;&gt;"Not Available"),"LIVE","HIDDEN")</f>
        <v>LIVE</v>
      </c>
      <c r="BF196" s="6" t="s">
        <v>139</v>
      </c>
      <c r="BG196" s="6" t="s">
        <v>452</v>
      </c>
      <c r="BH196" s="7" t="str">
        <f aca="false">B196&amp;"|"&amp;COUNTIF($B$4:B196,B196)</f>
        <v>Printing / Xerox / Scanning|16</v>
      </c>
      <c r="BI196" s="7" t="str">
        <f aca="false">IF(AND(AI196="Yes",BE196="LIVE"),COUNTIFS($AI$4:AI196,"Yes",$BE$4:BE196,"LIVE"),"")</f>
        <v/>
      </c>
      <c r="BJ196" s="7" t="str">
        <f aca="false">IF(AND(AJ196="Yes",BE196="LIVE"),COUNTIFS($AJ$4:AJ196,"Yes",$BE$4:BE196,"LIVE"),"")</f>
        <v/>
      </c>
      <c r="BK196" s="7" t="str">
        <f aca="false">IF(AND(AK196="Yes",BE196="LIVE"),COUNTIFS($AK$4:AK196,"Yes",$BE$4:BE196,"LIVE"),"")</f>
        <v/>
      </c>
      <c r="BL196" s="7" t="str">
        <f aca="false">IF(I196="To Verify",COUNTIF($I$4:I196,"To Verify"),"")</f>
        <v/>
      </c>
    </row>
    <row r="197" customFormat="false" ht="57.45" hidden="false" customHeight="false" outlineLevel="0" collapsed="false">
      <c r="A197" s="5" t="s">
        <v>2292</v>
      </c>
      <c r="B197" s="6" t="s">
        <v>2110</v>
      </c>
      <c r="C197" s="6" t="s">
        <v>1855</v>
      </c>
      <c r="D197" s="6" t="s">
        <v>2293</v>
      </c>
      <c r="E197" s="6" t="s">
        <v>2294</v>
      </c>
      <c r="F197" s="6" t="s">
        <v>2295</v>
      </c>
      <c r="G197" s="6" t="s">
        <v>2296</v>
      </c>
      <c r="H197" s="6" t="s">
        <v>2297</v>
      </c>
      <c r="I197" s="5" t="s">
        <v>167</v>
      </c>
      <c r="J197" s="7" t="str">
        <f aca="false">IFERROR(INDEX(AVAILABILITY_MASTER!$C$4:$C$10,MATCH(I197,AVAILABILITY_MASTER!$A$4:$A$10,0)),"To Be Confirmed")</f>
        <v>Available</v>
      </c>
      <c r="K197" s="6" t="s">
        <v>79</v>
      </c>
      <c r="L197" s="6" t="s">
        <v>437</v>
      </c>
      <c r="M197" s="7" t="str">
        <f aca="false">IFERROR(INDEX(SERVICE_DOCUMENTS!$S$4:$S$1000,MATCH(A197,SERVICE_DOCUMENTS!$A$4:$A$1000,0))&amp;"","")</f>
        <v>✓ Details / Matter for Typing</v>
      </c>
      <c r="N197" s="7" t="str">
        <f aca="false">IFERROR(INDEX(SERVICE_DOCUMENTS!$T$4:$T$1000,MATCH(A197,SERVICE_DOCUMENTS!$A$4:$A$1000,0))&amp;"","")</f>
        <v/>
      </c>
      <c r="O197" s="6" t="s">
        <v>645</v>
      </c>
      <c r="P197" s="6" t="s">
        <v>2298</v>
      </c>
      <c r="Q197" s="6" t="s">
        <v>371</v>
      </c>
      <c r="R197" s="8" t="s">
        <v>441</v>
      </c>
      <c r="S197" s="8" t="s">
        <v>75</v>
      </c>
      <c r="T197" s="9" t="str">
        <f aca="false">IF(AND(OR(ISNUMBER(R197),R197="N/A"),OR(ISNUMBER(S197),S197="N/A"),OR(ISNUMBER(R197),ISNUMBER(S197))),N(R197)+N(S197),"To Verify")</f>
        <v>To Verify</v>
      </c>
      <c r="U197" s="6" t="s">
        <v>442</v>
      </c>
      <c r="V197" s="6" t="s">
        <v>79</v>
      </c>
      <c r="W197" s="6" t="s">
        <v>80</v>
      </c>
      <c r="X197" s="6" t="s">
        <v>81</v>
      </c>
      <c r="Y197" s="6" t="s">
        <v>79</v>
      </c>
      <c r="Z197" s="6"/>
      <c r="AA197" s="6" t="s">
        <v>74</v>
      </c>
      <c r="AB197" s="6" t="s">
        <v>79</v>
      </c>
      <c r="AC197" s="6" t="s">
        <v>75</v>
      </c>
      <c r="AD197" s="6" t="s">
        <v>75</v>
      </c>
      <c r="AE197" s="6" t="s">
        <v>79</v>
      </c>
      <c r="AF197" s="6" t="s">
        <v>79</v>
      </c>
      <c r="AG197" s="6" t="s">
        <v>170</v>
      </c>
      <c r="AH197" s="6" t="s">
        <v>74</v>
      </c>
      <c r="AI197" s="6" t="s">
        <v>79</v>
      </c>
      <c r="AJ197" s="6" t="s">
        <v>79</v>
      </c>
      <c r="AK197" s="6" t="s">
        <v>79</v>
      </c>
      <c r="AL197" s="6" t="s">
        <v>2110</v>
      </c>
      <c r="AM197" s="6" t="s">
        <v>2293</v>
      </c>
      <c r="AN197" s="7" t="str">
        <f aca="false">BA197&amp;", "&amp;AZ197</f>
        <v>Hindi Typing, Printing / Xerox / Scanning, Devmobile Stores, हिंदी टाइपिंग, प्रिंटिंग / ज़ेरॉक्स / स्कैनिंग, सेवा</v>
      </c>
      <c r="AO197" s="6" t="s">
        <v>2299</v>
      </c>
      <c r="AP197" s="5" t="s">
        <v>2300</v>
      </c>
      <c r="AQ197" s="5" t="n">
        <v>170</v>
      </c>
      <c r="AR197" s="6" t="s">
        <v>133</v>
      </c>
      <c r="AS197" s="6"/>
      <c r="AT197" s="6" t="s">
        <v>86</v>
      </c>
      <c r="AU197" s="10"/>
      <c r="AV197" s="6" t="s">
        <v>75</v>
      </c>
      <c r="AW197" s="6"/>
      <c r="AX197" s="6" t="s">
        <v>2301</v>
      </c>
      <c r="AY197" s="6" t="s">
        <v>2302</v>
      </c>
      <c r="AZ197" s="6" t="s">
        <v>2303</v>
      </c>
      <c r="BA197" s="6" t="s">
        <v>2304</v>
      </c>
      <c r="BB197" s="6"/>
      <c r="BC197" s="11" t="str">
        <f aca="false">IFERROR(INDEX(CATEGORY_MASTER!$C$4:$C$30,MATCH(B197,CATEGORY_MASTER!$A$4:$A$30,0)),"")</f>
        <v>🖨️</v>
      </c>
      <c r="BD197" s="7" t="str">
        <f aca="false">"/services/"&amp;AO197</f>
        <v>/services/hindi-typing</v>
      </c>
      <c r="BE197" s="7" t="str">
        <f aca="false">IF(AND(AH197="Yes",AG197="Active",I197&lt;&gt;"Not Available"),"LIVE","HIDDEN")</f>
        <v>LIVE</v>
      </c>
      <c r="BF197" s="6" t="s">
        <v>139</v>
      </c>
      <c r="BG197" s="6" t="s">
        <v>452</v>
      </c>
      <c r="BH197" s="7" t="str">
        <f aca="false">B197&amp;"|"&amp;COUNTIF($B$4:B197,B197)</f>
        <v>Printing / Xerox / Scanning|17</v>
      </c>
      <c r="BI197" s="7" t="str">
        <f aca="false">IF(AND(AI197="Yes",BE197="LIVE"),COUNTIFS($AI$4:AI197,"Yes",$BE$4:BE197,"LIVE"),"")</f>
        <v/>
      </c>
      <c r="BJ197" s="7" t="str">
        <f aca="false">IF(AND(AJ197="Yes",BE197="LIVE"),COUNTIFS($AJ$4:AJ197,"Yes",$BE$4:BE197,"LIVE"),"")</f>
        <v/>
      </c>
      <c r="BK197" s="7" t="str">
        <f aca="false">IF(AND(AK197="Yes",BE197="LIVE"),COUNTIFS($AK$4:AK197,"Yes",$BE$4:BE197,"LIVE"),"")</f>
        <v/>
      </c>
      <c r="BL197" s="7" t="str">
        <f aca="false">IF(I197="To Verify",COUNTIF($I$4:I197,"To Verify"),"")</f>
        <v/>
      </c>
    </row>
    <row r="198" customFormat="false" ht="57.45" hidden="false" customHeight="false" outlineLevel="0" collapsed="false">
      <c r="A198" s="5" t="s">
        <v>2305</v>
      </c>
      <c r="B198" s="6" t="s">
        <v>2110</v>
      </c>
      <c r="C198" s="6" t="s">
        <v>1855</v>
      </c>
      <c r="D198" s="6" t="s">
        <v>2293</v>
      </c>
      <c r="E198" s="6" t="s">
        <v>2306</v>
      </c>
      <c r="F198" s="6" t="s">
        <v>2307</v>
      </c>
      <c r="G198" s="6" t="s">
        <v>2308</v>
      </c>
      <c r="H198" s="6" t="s">
        <v>2309</v>
      </c>
      <c r="I198" s="5" t="s">
        <v>167</v>
      </c>
      <c r="J198" s="7" t="str">
        <f aca="false">IFERROR(INDEX(AVAILABILITY_MASTER!$C$4:$C$10,MATCH(I198,AVAILABILITY_MASTER!$A$4:$A$10,0)),"To Be Confirmed")</f>
        <v>Available</v>
      </c>
      <c r="K198" s="6" t="s">
        <v>79</v>
      </c>
      <c r="L198" s="6" t="s">
        <v>437</v>
      </c>
      <c r="M198" s="7" t="str">
        <f aca="false">IFERROR(INDEX(SERVICE_DOCUMENTS!$S$4:$S$1000,MATCH(A198,SERVICE_DOCUMENTS!$A$4:$A$1000,0))&amp;"","")</f>
        <v>✓ Details / Matter for Typing</v>
      </c>
      <c r="N198" s="7" t="str">
        <f aca="false">IFERROR(INDEX(SERVICE_DOCUMENTS!$T$4:$T$1000,MATCH(A198,SERVICE_DOCUMENTS!$A$4:$A$1000,0))&amp;"","")</f>
        <v/>
      </c>
      <c r="O198" s="6" t="s">
        <v>645</v>
      </c>
      <c r="P198" s="6" t="s">
        <v>2298</v>
      </c>
      <c r="Q198" s="6" t="s">
        <v>371</v>
      </c>
      <c r="R198" s="8" t="s">
        <v>441</v>
      </c>
      <c r="S198" s="8" t="s">
        <v>75</v>
      </c>
      <c r="T198" s="9" t="str">
        <f aca="false">IF(AND(OR(ISNUMBER(R198),R198="N/A"),OR(ISNUMBER(S198),S198="N/A"),OR(ISNUMBER(R198),ISNUMBER(S198))),N(R198)+N(S198),"To Verify")</f>
        <v>To Verify</v>
      </c>
      <c r="U198" s="6" t="s">
        <v>442</v>
      </c>
      <c r="V198" s="6" t="s">
        <v>79</v>
      </c>
      <c r="W198" s="6" t="s">
        <v>80</v>
      </c>
      <c r="X198" s="6" t="s">
        <v>81</v>
      </c>
      <c r="Y198" s="6" t="s">
        <v>79</v>
      </c>
      <c r="Z198" s="6"/>
      <c r="AA198" s="6" t="s">
        <v>74</v>
      </c>
      <c r="AB198" s="6" t="s">
        <v>79</v>
      </c>
      <c r="AC198" s="6" t="s">
        <v>75</v>
      </c>
      <c r="AD198" s="6" t="s">
        <v>75</v>
      </c>
      <c r="AE198" s="6" t="s">
        <v>79</v>
      </c>
      <c r="AF198" s="6" t="s">
        <v>79</v>
      </c>
      <c r="AG198" s="6" t="s">
        <v>170</v>
      </c>
      <c r="AH198" s="6" t="s">
        <v>74</v>
      </c>
      <c r="AI198" s="6" t="s">
        <v>79</v>
      </c>
      <c r="AJ198" s="6" t="s">
        <v>79</v>
      </c>
      <c r="AK198" s="6" t="s">
        <v>79</v>
      </c>
      <c r="AL198" s="6" t="s">
        <v>2110</v>
      </c>
      <c r="AM198" s="6" t="s">
        <v>2293</v>
      </c>
      <c r="AN198" s="7" t="str">
        <f aca="false">BA198&amp;", "&amp;AZ198</f>
        <v>English Typing, Printing / Xerox / Scanning, Devmobile Stores, अंग्रेज़ी टाइपिंग, प्रिंटिंग / ज़ेरॉक्स / स्कैनिंग, सेवा</v>
      </c>
      <c r="AO198" s="6" t="s">
        <v>2310</v>
      </c>
      <c r="AP198" s="5" t="s">
        <v>2300</v>
      </c>
      <c r="AQ198" s="5" t="n">
        <v>180</v>
      </c>
      <c r="AR198" s="6" t="s">
        <v>133</v>
      </c>
      <c r="AS198" s="6"/>
      <c r="AT198" s="6" t="s">
        <v>86</v>
      </c>
      <c r="AU198" s="10"/>
      <c r="AV198" s="6" t="s">
        <v>75</v>
      </c>
      <c r="AW198" s="6"/>
      <c r="AX198" s="6" t="s">
        <v>2311</v>
      </c>
      <c r="AY198" s="6" t="s">
        <v>2312</v>
      </c>
      <c r="AZ198" s="6" t="s">
        <v>2313</v>
      </c>
      <c r="BA198" s="6" t="s">
        <v>2314</v>
      </c>
      <c r="BB198" s="6"/>
      <c r="BC198" s="11" t="str">
        <f aca="false">IFERROR(INDEX(CATEGORY_MASTER!$C$4:$C$30,MATCH(B198,CATEGORY_MASTER!$A$4:$A$30,0)),"")</f>
        <v>🖨️</v>
      </c>
      <c r="BD198" s="7" t="str">
        <f aca="false">"/services/"&amp;AO198</f>
        <v>/services/english-typing</v>
      </c>
      <c r="BE198" s="7" t="str">
        <f aca="false">IF(AND(AH198="Yes",AG198="Active",I198&lt;&gt;"Not Available"),"LIVE","HIDDEN")</f>
        <v>LIVE</v>
      </c>
      <c r="BF198" s="6" t="s">
        <v>139</v>
      </c>
      <c r="BG198" s="6" t="s">
        <v>452</v>
      </c>
      <c r="BH198" s="7" t="str">
        <f aca="false">B198&amp;"|"&amp;COUNTIF($B$4:B198,B198)</f>
        <v>Printing / Xerox / Scanning|18</v>
      </c>
      <c r="BI198" s="7" t="str">
        <f aca="false">IF(AND(AI198="Yes",BE198="LIVE"),COUNTIFS($AI$4:AI198,"Yes",$BE$4:BE198,"LIVE"),"")</f>
        <v/>
      </c>
      <c r="BJ198" s="7" t="str">
        <f aca="false">IF(AND(AJ198="Yes",BE198="LIVE"),COUNTIFS($AJ$4:AJ198,"Yes",$BE$4:BE198,"LIVE"),"")</f>
        <v/>
      </c>
      <c r="BK198" s="7" t="str">
        <f aca="false">IF(AND(AK198="Yes",BE198="LIVE"),COUNTIFS($AK$4:AK198,"Yes",$BE$4:BE198,"LIVE"),"")</f>
        <v/>
      </c>
      <c r="BL198" s="7" t="str">
        <f aca="false">IF(I198="To Verify",COUNTIF($I$4:I198,"To Verify"),"")</f>
        <v/>
      </c>
    </row>
    <row r="199" customFormat="false" ht="57.45" hidden="false" customHeight="false" outlineLevel="0" collapsed="false">
      <c r="A199" s="5" t="s">
        <v>2315</v>
      </c>
      <c r="B199" s="6" t="s">
        <v>2110</v>
      </c>
      <c r="C199" s="6" t="s">
        <v>1855</v>
      </c>
      <c r="D199" s="6" t="s">
        <v>2293</v>
      </c>
      <c r="E199" s="6" t="s">
        <v>2316</v>
      </c>
      <c r="F199" s="6" t="s">
        <v>2317</v>
      </c>
      <c r="G199" s="6" t="s">
        <v>2318</v>
      </c>
      <c r="H199" s="6" t="s">
        <v>2319</v>
      </c>
      <c r="I199" s="5" t="s">
        <v>167</v>
      </c>
      <c r="J199" s="7" t="str">
        <f aca="false">IFERROR(INDEX(AVAILABILITY_MASTER!$C$4:$C$10,MATCH(I199,AVAILABILITY_MASTER!$A$4:$A$10,0)),"To Be Confirmed")</f>
        <v>Available</v>
      </c>
      <c r="K199" s="6" t="s">
        <v>79</v>
      </c>
      <c r="L199" s="6" t="s">
        <v>437</v>
      </c>
      <c r="M199" s="7" t="str">
        <f aca="false">IFERROR(INDEX(SERVICE_DOCUMENTS!$S$4:$S$1000,MATCH(A199,SERVICE_DOCUMENTS!$A$4:$A$1000,0))&amp;"","")</f>
        <v>✓ Details / Matter for Typing</v>
      </c>
      <c r="N199" s="7" t="str">
        <f aca="false">IFERROR(INDEX(SERVICE_DOCUMENTS!$T$4:$T$1000,MATCH(A199,SERVICE_DOCUMENTS!$A$4:$A$1000,0))&amp;"","")</f>
        <v/>
      </c>
      <c r="O199" s="6" t="s">
        <v>645</v>
      </c>
      <c r="P199" s="6" t="s">
        <v>2298</v>
      </c>
      <c r="Q199" s="6" t="s">
        <v>371</v>
      </c>
      <c r="R199" s="8" t="s">
        <v>441</v>
      </c>
      <c r="S199" s="8" t="s">
        <v>75</v>
      </c>
      <c r="T199" s="9" t="str">
        <f aca="false">IF(AND(OR(ISNUMBER(R199),R199="N/A"),OR(ISNUMBER(S199),S199="N/A"),OR(ISNUMBER(R199),ISNUMBER(S199))),N(R199)+N(S199),"To Verify")</f>
        <v>To Verify</v>
      </c>
      <c r="U199" s="6" t="s">
        <v>442</v>
      </c>
      <c r="V199" s="6" t="s">
        <v>79</v>
      </c>
      <c r="W199" s="6" t="s">
        <v>80</v>
      </c>
      <c r="X199" s="6" t="s">
        <v>81</v>
      </c>
      <c r="Y199" s="6" t="s">
        <v>79</v>
      </c>
      <c r="Z199" s="6"/>
      <c r="AA199" s="6" t="s">
        <v>74</v>
      </c>
      <c r="AB199" s="6" t="s">
        <v>79</v>
      </c>
      <c r="AC199" s="6" t="s">
        <v>75</v>
      </c>
      <c r="AD199" s="6" t="s">
        <v>75</v>
      </c>
      <c r="AE199" s="6" t="s">
        <v>79</v>
      </c>
      <c r="AF199" s="6" t="s">
        <v>79</v>
      </c>
      <c r="AG199" s="6" t="s">
        <v>170</v>
      </c>
      <c r="AH199" s="6" t="s">
        <v>74</v>
      </c>
      <c r="AI199" s="6" t="s">
        <v>79</v>
      </c>
      <c r="AJ199" s="6" t="s">
        <v>79</v>
      </c>
      <c r="AK199" s="6" t="s">
        <v>79</v>
      </c>
      <c r="AL199" s="6" t="s">
        <v>2110</v>
      </c>
      <c r="AM199" s="6" t="s">
        <v>2293</v>
      </c>
      <c r="AN199" s="7" t="str">
        <f aca="false">BA199&amp;", "&amp;AZ199</f>
        <v>Data Entry, Printing / Xerox / Scanning, Devmobile Stores, डेटा एंट्री, प्रिंटिंग / ज़ेरॉक्स / स्कैनिंग, सेवा</v>
      </c>
      <c r="AO199" s="6" t="s">
        <v>2320</v>
      </c>
      <c r="AP199" s="5" t="s">
        <v>2300</v>
      </c>
      <c r="AQ199" s="5" t="n">
        <v>190</v>
      </c>
      <c r="AR199" s="6" t="s">
        <v>133</v>
      </c>
      <c r="AS199" s="6"/>
      <c r="AT199" s="6" t="s">
        <v>86</v>
      </c>
      <c r="AU199" s="10"/>
      <c r="AV199" s="6" t="s">
        <v>75</v>
      </c>
      <c r="AW199" s="6"/>
      <c r="AX199" s="6" t="s">
        <v>2321</v>
      </c>
      <c r="AY199" s="6" t="s">
        <v>2322</v>
      </c>
      <c r="AZ199" s="6" t="s">
        <v>2323</v>
      </c>
      <c r="BA199" s="6" t="s">
        <v>2324</v>
      </c>
      <c r="BB199" s="6"/>
      <c r="BC199" s="11" t="str">
        <f aca="false">IFERROR(INDEX(CATEGORY_MASTER!$C$4:$C$30,MATCH(B199,CATEGORY_MASTER!$A$4:$A$30,0)),"")</f>
        <v>🖨️</v>
      </c>
      <c r="BD199" s="7" t="str">
        <f aca="false">"/services/"&amp;AO199</f>
        <v>/services/data-entry</v>
      </c>
      <c r="BE199" s="7" t="str">
        <f aca="false">IF(AND(AH199="Yes",AG199="Active",I199&lt;&gt;"Not Available"),"LIVE","HIDDEN")</f>
        <v>LIVE</v>
      </c>
      <c r="BF199" s="6" t="s">
        <v>139</v>
      </c>
      <c r="BG199" s="6" t="s">
        <v>452</v>
      </c>
      <c r="BH199" s="7" t="str">
        <f aca="false">B199&amp;"|"&amp;COUNTIF($B$4:B199,B199)</f>
        <v>Printing / Xerox / Scanning|19</v>
      </c>
      <c r="BI199" s="7" t="str">
        <f aca="false">IF(AND(AI199="Yes",BE199="LIVE"),COUNTIFS($AI$4:AI199,"Yes",$BE$4:BE199,"LIVE"),"")</f>
        <v/>
      </c>
      <c r="BJ199" s="7" t="str">
        <f aca="false">IF(AND(AJ199="Yes",BE199="LIVE"),COUNTIFS($AJ$4:AJ199,"Yes",$BE$4:BE199,"LIVE"),"")</f>
        <v/>
      </c>
      <c r="BK199" s="7" t="str">
        <f aca="false">IF(AND(AK199="Yes",BE199="LIVE"),COUNTIFS($AK$4:AK199,"Yes",$BE$4:BE199,"LIVE"),"")</f>
        <v/>
      </c>
      <c r="BL199" s="7" t="str">
        <f aca="false">IF(I199="To Verify",COUNTIF($I$4:I199,"To Verify"),"")</f>
        <v/>
      </c>
    </row>
    <row r="200" customFormat="false" ht="57.45" hidden="false" customHeight="false" outlineLevel="0" collapsed="false">
      <c r="A200" s="5" t="s">
        <v>2325</v>
      </c>
      <c r="B200" s="6" t="s">
        <v>2110</v>
      </c>
      <c r="C200" s="6" t="s">
        <v>1855</v>
      </c>
      <c r="D200" s="6" t="s">
        <v>2293</v>
      </c>
      <c r="E200" s="6" t="s">
        <v>2326</v>
      </c>
      <c r="F200" s="6" t="s">
        <v>2327</v>
      </c>
      <c r="G200" s="6" t="s">
        <v>2328</v>
      </c>
      <c r="H200" s="6" t="s">
        <v>2329</v>
      </c>
      <c r="I200" s="5" t="s">
        <v>167</v>
      </c>
      <c r="J200" s="7" t="str">
        <f aca="false">IFERROR(INDEX(AVAILABILITY_MASTER!$C$4:$C$10,MATCH(I200,AVAILABILITY_MASTER!$A$4:$A$10,0)),"To Be Confirmed")</f>
        <v>Available</v>
      </c>
      <c r="K200" s="6" t="s">
        <v>79</v>
      </c>
      <c r="L200" s="6" t="s">
        <v>437</v>
      </c>
      <c r="M200" s="7" t="str">
        <f aca="false">IFERROR(INDEX(SERVICE_DOCUMENTS!$S$4:$S$1000,MATCH(A200,SERVICE_DOCUMENTS!$A$4:$A$1000,0))&amp;"","")</f>
        <v>✓ Details / Matter for Typing</v>
      </c>
      <c r="N200" s="7" t="str">
        <f aca="false">IFERROR(INDEX(SERVICE_DOCUMENTS!$T$4:$T$1000,MATCH(A200,SERVICE_DOCUMENTS!$A$4:$A$1000,0))&amp;"","")</f>
        <v/>
      </c>
      <c r="O200" s="6" t="s">
        <v>645</v>
      </c>
      <c r="P200" s="6" t="s">
        <v>2298</v>
      </c>
      <c r="Q200" s="6" t="s">
        <v>371</v>
      </c>
      <c r="R200" s="8" t="s">
        <v>441</v>
      </c>
      <c r="S200" s="8" t="s">
        <v>75</v>
      </c>
      <c r="T200" s="9" t="str">
        <f aca="false">IF(AND(OR(ISNUMBER(R200),R200="N/A"),OR(ISNUMBER(S200),S200="N/A"),OR(ISNUMBER(R200),ISNUMBER(S200))),N(R200)+N(S200),"To Verify")</f>
        <v>To Verify</v>
      </c>
      <c r="U200" s="6" t="s">
        <v>442</v>
      </c>
      <c r="V200" s="6" t="s">
        <v>79</v>
      </c>
      <c r="W200" s="6" t="s">
        <v>80</v>
      </c>
      <c r="X200" s="6" t="s">
        <v>81</v>
      </c>
      <c r="Y200" s="6" t="s">
        <v>79</v>
      </c>
      <c r="Z200" s="6"/>
      <c r="AA200" s="6" t="s">
        <v>74</v>
      </c>
      <c r="AB200" s="6" t="s">
        <v>79</v>
      </c>
      <c r="AC200" s="6" t="s">
        <v>75</v>
      </c>
      <c r="AD200" s="6" t="s">
        <v>75</v>
      </c>
      <c r="AE200" s="6" t="s">
        <v>79</v>
      </c>
      <c r="AF200" s="6" t="s">
        <v>79</v>
      </c>
      <c r="AG200" s="6" t="s">
        <v>170</v>
      </c>
      <c r="AH200" s="6" t="s">
        <v>74</v>
      </c>
      <c r="AI200" s="6" t="s">
        <v>79</v>
      </c>
      <c r="AJ200" s="6" t="s">
        <v>79</v>
      </c>
      <c r="AK200" s="6" t="s">
        <v>79</v>
      </c>
      <c r="AL200" s="6" t="s">
        <v>2110</v>
      </c>
      <c r="AM200" s="6" t="s">
        <v>2293</v>
      </c>
      <c r="AN200" s="7" t="str">
        <f aca="false">BA200&amp;", "&amp;AZ200</f>
        <v>Application Typing, Printing / Xerox / Scanning, Devmobile Stores, आवेदन टाइपिंग, प्रिंटिंग / ज़ेरॉक्स / स्कैनिंग, सेवा</v>
      </c>
      <c r="AO200" s="6" t="s">
        <v>2330</v>
      </c>
      <c r="AP200" s="5" t="s">
        <v>2300</v>
      </c>
      <c r="AQ200" s="5" t="n">
        <v>200</v>
      </c>
      <c r="AR200" s="6" t="s">
        <v>133</v>
      </c>
      <c r="AS200" s="6"/>
      <c r="AT200" s="6" t="s">
        <v>86</v>
      </c>
      <c r="AU200" s="10"/>
      <c r="AV200" s="6" t="s">
        <v>75</v>
      </c>
      <c r="AW200" s="6"/>
      <c r="AX200" s="6" t="s">
        <v>2331</v>
      </c>
      <c r="AY200" s="6" t="s">
        <v>2332</v>
      </c>
      <c r="AZ200" s="6" t="s">
        <v>2333</v>
      </c>
      <c r="BA200" s="6" t="s">
        <v>2334</v>
      </c>
      <c r="BB200" s="6"/>
      <c r="BC200" s="11" t="str">
        <f aca="false">IFERROR(INDEX(CATEGORY_MASTER!$C$4:$C$30,MATCH(B200,CATEGORY_MASTER!$A$4:$A$30,0)),"")</f>
        <v>🖨️</v>
      </c>
      <c r="BD200" s="7" t="str">
        <f aca="false">"/services/"&amp;AO200</f>
        <v>/services/application-typing</v>
      </c>
      <c r="BE200" s="7" t="str">
        <f aca="false">IF(AND(AH200="Yes",AG200="Active",I200&lt;&gt;"Not Available"),"LIVE","HIDDEN")</f>
        <v>LIVE</v>
      </c>
      <c r="BF200" s="6" t="s">
        <v>139</v>
      </c>
      <c r="BG200" s="6" t="s">
        <v>452</v>
      </c>
      <c r="BH200" s="7" t="str">
        <f aca="false">B200&amp;"|"&amp;COUNTIF($B$4:B200,B200)</f>
        <v>Printing / Xerox / Scanning|20</v>
      </c>
      <c r="BI200" s="7" t="str">
        <f aca="false">IF(AND(AI200="Yes",BE200="LIVE"),COUNTIFS($AI$4:AI200,"Yes",$BE$4:BE200,"LIVE"),"")</f>
        <v/>
      </c>
      <c r="BJ200" s="7" t="str">
        <f aca="false">IF(AND(AJ200="Yes",BE200="LIVE"),COUNTIFS($AJ$4:AJ200,"Yes",$BE$4:BE200,"LIVE"),"")</f>
        <v/>
      </c>
      <c r="BK200" s="7" t="str">
        <f aca="false">IF(AND(AK200="Yes",BE200="LIVE"),COUNTIFS($AK$4:AK200,"Yes",$BE$4:BE200,"LIVE"),"")</f>
        <v/>
      </c>
      <c r="BL200" s="7" t="str">
        <f aca="false">IF(I200="To Verify",COUNTIF($I$4:I200,"To Verify"),"")</f>
        <v/>
      </c>
    </row>
    <row r="201" customFormat="false" ht="57.45" hidden="false" customHeight="false" outlineLevel="0" collapsed="false">
      <c r="A201" s="5" t="s">
        <v>2335</v>
      </c>
      <c r="B201" s="6" t="s">
        <v>2110</v>
      </c>
      <c r="C201" s="6" t="s">
        <v>1855</v>
      </c>
      <c r="D201" s="6" t="s">
        <v>2293</v>
      </c>
      <c r="E201" s="6" t="s">
        <v>2336</v>
      </c>
      <c r="F201" s="6" t="s">
        <v>2337</v>
      </c>
      <c r="G201" s="6" t="s">
        <v>2338</v>
      </c>
      <c r="H201" s="6" t="s">
        <v>2339</v>
      </c>
      <c r="I201" s="5" t="s">
        <v>167</v>
      </c>
      <c r="J201" s="7" t="str">
        <f aca="false">IFERROR(INDEX(AVAILABILITY_MASTER!$C$4:$C$10,MATCH(I201,AVAILABILITY_MASTER!$A$4:$A$10,0)),"To Be Confirmed")</f>
        <v>Available</v>
      </c>
      <c r="K201" s="6" t="s">
        <v>79</v>
      </c>
      <c r="L201" s="6" t="s">
        <v>437</v>
      </c>
      <c r="M201" s="7" t="str">
        <f aca="false">IFERROR(INDEX(SERVICE_DOCUMENTS!$S$4:$S$1000,MATCH(A201,SERVICE_DOCUMENTS!$A$4:$A$1000,0))&amp;"","")</f>
        <v>✓ Details / Matter for Typing</v>
      </c>
      <c r="N201" s="7" t="str">
        <f aca="false">IFERROR(INDEX(SERVICE_DOCUMENTS!$T$4:$T$1000,MATCH(A201,SERVICE_DOCUMENTS!$A$4:$A$1000,0))&amp;"","")</f>
        <v/>
      </c>
      <c r="O201" s="6" t="s">
        <v>645</v>
      </c>
      <c r="P201" s="6" t="s">
        <v>2298</v>
      </c>
      <c r="Q201" s="6" t="s">
        <v>371</v>
      </c>
      <c r="R201" s="8" t="s">
        <v>441</v>
      </c>
      <c r="S201" s="8" t="s">
        <v>75</v>
      </c>
      <c r="T201" s="9" t="str">
        <f aca="false">IF(AND(OR(ISNUMBER(R201),R201="N/A"),OR(ISNUMBER(S201),S201="N/A"),OR(ISNUMBER(R201),ISNUMBER(S201))),N(R201)+N(S201),"To Verify")</f>
        <v>To Verify</v>
      </c>
      <c r="U201" s="6" t="s">
        <v>442</v>
      </c>
      <c r="V201" s="6" t="s">
        <v>79</v>
      </c>
      <c r="W201" s="6" t="s">
        <v>80</v>
      </c>
      <c r="X201" s="6" t="s">
        <v>81</v>
      </c>
      <c r="Y201" s="6" t="s">
        <v>79</v>
      </c>
      <c r="Z201" s="6"/>
      <c r="AA201" s="6" t="s">
        <v>74</v>
      </c>
      <c r="AB201" s="6" t="s">
        <v>79</v>
      </c>
      <c r="AC201" s="6" t="s">
        <v>75</v>
      </c>
      <c r="AD201" s="6" t="s">
        <v>75</v>
      </c>
      <c r="AE201" s="6" t="s">
        <v>79</v>
      </c>
      <c r="AF201" s="6" t="s">
        <v>79</v>
      </c>
      <c r="AG201" s="6" t="s">
        <v>170</v>
      </c>
      <c r="AH201" s="6" t="s">
        <v>74</v>
      </c>
      <c r="AI201" s="6" t="s">
        <v>79</v>
      </c>
      <c r="AJ201" s="6" t="s">
        <v>79</v>
      </c>
      <c r="AK201" s="6" t="s">
        <v>79</v>
      </c>
      <c r="AL201" s="6" t="s">
        <v>2110</v>
      </c>
      <c r="AM201" s="6" t="s">
        <v>2293</v>
      </c>
      <c r="AN201" s="7" t="str">
        <f aca="false">BA201&amp;", "&amp;AZ201</f>
        <v>Letter Typing, Printing / Xerox / Scanning, Devmobile Stores, पत्र टाइपिंग, प्रिंटिंग / ज़ेरॉक्स / स्कैनिंग, सेवा</v>
      </c>
      <c r="AO201" s="6" t="s">
        <v>2340</v>
      </c>
      <c r="AP201" s="5" t="s">
        <v>2300</v>
      </c>
      <c r="AQ201" s="5" t="n">
        <v>210</v>
      </c>
      <c r="AR201" s="6" t="s">
        <v>133</v>
      </c>
      <c r="AS201" s="6"/>
      <c r="AT201" s="6" t="s">
        <v>86</v>
      </c>
      <c r="AU201" s="10"/>
      <c r="AV201" s="6" t="s">
        <v>75</v>
      </c>
      <c r="AW201" s="6"/>
      <c r="AX201" s="6" t="s">
        <v>2341</v>
      </c>
      <c r="AY201" s="6" t="s">
        <v>2342</v>
      </c>
      <c r="AZ201" s="6" t="s">
        <v>2343</v>
      </c>
      <c r="BA201" s="6" t="s">
        <v>2344</v>
      </c>
      <c r="BB201" s="6"/>
      <c r="BC201" s="11" t="str">
        <f aca="false">IFERROR(INDEX(CATEGORY_MASTER!$C$4:$C$30,MATCH(B201,CATEGORY_MASTER!$A$4:$A$30,0)),"")</f>
        <v>🖨️</v>
      </c>
      <c r="BD201" s="7" t="str">
        <f aca="false">"/services/"&amp;AO201</f>
        <v>/services/letter-typing</v>
      </c>
      <c r="BE201" s="7" t="str">
        <f aca="false">IF(AND(AH201="Yes",AG201="Active",I201&lt;&gt;"Not Available"),"LIVE","HIDDEN")</f>
        <v>LIVE</v>
      </c>
      <c r="BF201" s="6" t="s">
        <v>139</v>
      </c>
      <c r="BG201" s="6" t="s">
        <v>452</v>
      </c>
      <c r="BH201" s="7" t="str">
        <f aca="false">B201&amp;"|"&amp;COUNTIF($B$4:B201,B201)</f>
        <v>Printing / Xerox / Scanning|21</v>
      </c>
      <c r="BI201" s="7" t="str">
        <f aca="false">IF(AND(AI201="Yes",BE201="LIVE"),COUNTIFS($AI$4:AI201,"Yes",$BE$4:BE201,"LIVE"),"")</f>
        <v/>
      </c>
      <c r="BJ201" s="7" t="str">
        <f aca="false">IF(AND(AJ201="Yes",BE201="LIVE"),COUNTIFS($AJ$4:AJ201,"Yes",$BE$4:BE201,"LIVE"),"")</f>
        <v/>
      </c>
      <c r="BK201" s="7" t="str">
        <f aca="false">IF(AND(AK201="Yes",BE201="LIVE"),COUNTIFS($AK$4:AK201,"Yes",$BE$4:BE201,"LIVE"),"")</f>
        <v/>
      </c>
      <c r="BL201" s="7" t="str">
        <f aca="false">IF(I201="To Verify",COUNTIF($I$4:I201,"To Verify"),"")</f>
        <v/>
      </c>
    </row>
    <row r="202" customFormat="false" ht="57.45" hidden="false" customHeight="false" outlineLevel="0" collapsed="false">
      <c r="A202" s="5" t="s">
        <v>2345</v>
      </c>
      <c r="B202" s="6" t="s">
        <v>2110</v>
      </c>
      <c r="C202" s="6" t="s">
        <v>1855</v>
      </c>
      <c r="D202" s="6" t="s">
        <v>2346</v>
      </c>
      <c r="E202" s="6" t="s">
        <v>2347</v>
      </c>
      <c r="F202" s="6" t="s">
        <v>2348</v>
      </c>
      <c r="G202" s="6" t="s">
        <v>2349</v>
      </c>
      <c r="H202" s="6" t="s">
        <v>2350</v>
      </c>
      <c r="I202" s="5" t="s">
        <v>167</v>
      </c>
      <c r="J202" s="7" t="str">
        <f aca="false">IFERROR(INDEX(AVAILABILITY_MASTER!$C$4:$C$10,MATCH(I202,AVAILABILITY_MASTER!$A$4:$A$10,0)),"To Be Confirmed")</f>
        <v>Available</v>
      </c>
      <c r="K202" s="6" t="s">
        <v>79</v>
      </c>
      <c r="L202" s="6" t="s">
        <v>437</v>
      </c>
      <c r="M202" s="7" t="str">
        <f aca="false">IFERROR(INDEX(SERVICE_DOCUMENTS!$S$4:$S$1000,MATCH(A202,SERVICE_DOCUMENTS!$A$4:$A$1000,0))&amp;"","")</f>
        <v>✓ Details / Matter for Typing</v>
      </c>
      <c r="N202" s="7" t="str">
        <f aca="false">IFERROR(INDEX(SERVICE_DOCUMENTS!$T$4:$T$1000,MATCH(A202,SERVICE_DOCUMENTS!$A$4:$A$1000,0))&amp;"","")</f>
        <v/>
      </c>
      <c r="O202" s="6" t="s">
        <v>645</v>
      </c>
      <c r="P202" s="6" t="s">
        <v>2298</v>
      </c>
      <c r="Q202" s="6" t="s">
        <v>371</v>
      </c>
      <c r="R202" s="8" t="s">
        <v>441</v>
      </c>
      <c r="S202" s="8" t="s">
        <v>75</v>
      </c>
      <c r="T202" s="9" t="str">
        <f aca="false">IF(AND(OR(ISNUMBER(R202),R202="N/A"),OR(ISNUMBER(S202),S202="N/A"),OR(ISNUMBER(R202),ISNUMBER(S202))),N(R202)+N(S202),"To Verify")</f>
        <v>To Verify</v>
      </c>
      <c r="U202" s="6" t="s">
        <v>442</v>
      </c>
      <c r="V202" s="6" t="s">
        <v>79</v>
      </c>
      <c r="W202" s="6" t="s">
        <v>80</v>
      </c>
      <c r="X202" s="6" t="s">
        <v>81</v>
      </c>
      <c r="Y202" s="6" t="s">
        <v>79</v>
      </c>
      <c r="Z202" s="6"/>
      <c r="AA202" s="6" t="s">
        <v>74</v>
      </c>
      <c r="AB202" s="6" t="s">
        <v>79</v>
      </c>
      <c r="AC202" s="6" t="s">
        <v>75</v>
      </c>
      <c r="AD202" s="6" t="s">
        <v>75</v>
      </c>
      <c r="AE202" s="6" t="s">
        <v>79</v>
      </c>
      <c r="AF202" s="6" t="s">
        <v>79</v>
      </c>
      <c r="AG202" s="6" t="s">
        <v>170</v>
      </c>
      <c r="AH202" s="6" t="s">
        <v>74</v>
      </c>
      <c r="AI202" s="6" t="s">
        <v>79</v>
      </c>
      <c r="AJ202" s="6" t="s">
        <v>79</v>
      </c>
      <c r="AK202" s="6" t="s">
        <v>79</v>
      </c>
      <c r="AL202" s="6" t="s">
        <v>2110</v>
      </c>
      <c r="AM202" s="6" t="s">
        <v>2346</v>
      </c>
      <c r="AN202" s="7" t="str">
        <f aca="false">BA202&amp;", "&amp;AZ202</f>
        <v>Resume Making, Printing / Xerox / Scanning, Devmobile Stores, रिज़्यूमे निर्माण, प्रिंटिंग / ज़ेरॉक्स / स्कैनिंग, सेवा</v>
      </c>
      <c r="AO202" s="6" t="s">
        <v>2351</v>
      </c>
      <c r="AP202" s="5" t="s">
        <v>415</v>
      </c>
      <c r="AQ202" s="5" t="n">
        <v>220</v>
      </c>
      <c r="AR202" s="6" t="s">
        <v>133</v>
      </c>
      <c r="AS202" s="6"/>
      <c r="AT202" s="6" t="s">
        <v>86</v>
      </c>
      <c r="AU202" s="10"/>
      <c r="AV202" s="6" t="s">
        <v>75</v>
      </c>
      <c r="AW202" s="6"/>
      <c r="AX202" s="6" t="s">
        <v>2352</v>
      </c>
      <c r="AY202" s="6" t="s">
        <v>2353</v>
      </c>
      <c r="AZ202" s="6" t="s">
        <v>2354</v>
      </c>
      <c r="BA202" s="6" t="s">
        <v>2355</v>
      </c>
      <c r="BB202" s="6"/>
      <c r="BC202" s="11" t="str">
        <f aca="false">IFERROR(INDEX(CATEGORY_MASTER!$C$4:$C$30,MATCH(B202,CATEGORY_MASTER!$A$4:$A$30,0)),"")</f>
        <v>🖨️</v>
      </c>
      <c r="BD202" s="7" t="str">
        <f aca="false">"/services/"&amp;AO202</f>
        <v>/services/resume-making</v>
      </c>
      <c r="BE202" s="7" t="str">
        <f aca="false">IF(AND(AH202="Yes",AG202="Active",I202&lt;&gt;"Not Available"),"LIVE","HIDDEN")</f>
        <v>LIVE</v>
      </c>
      <c r="BF202" s="6" t="s">
        <v>139</v>
      </c>
      <c r="BG202" s="6" t="s">
        <v>452</v>
      </c>
      <c r="BH202" s="7" t="str">
        <f aca="false">B202&amp;"|"&amp;COUNTIF($B$4:B202,B202)</f>
        <v>Printing / Xerox / Scanning|22</v>
      </c>
      <c r="BI202" s="7" t="str">
        <f aca="false">IF(AND(AI202="Yes",BE202="LIVE"),COUNTIFS($AI$4:AI202,"Yes",$BE$4:BE202,"LIVE"),"")</f>
        <v/>
      </c>
      <c r="BJ202" s="7" t="str">
        <f aca="false">IF(AND(AJ202="Yes",BE202="LIVE"),COUNTIFS($AJ$4:AJ202,"Yes",$BE$4:BE202,"LIVE"),"")</f>
        <v/>
      </c>
      <c r="BK202" s="7" t="str">
        <f aca="false">IF(AND(AK202="Yes",BE202="LIVE"),COUNTIFS($AK$4:AK202,"Yes",$BE$4:BE202,"LIVE"),"")</f>
        <v/>
      </c>
      <c r="BL202" s="7" t="str">
        <f aca="false">IF(I202="To Verify",COUNTIF($I$4:I202,"To Verify"),"")</f>
        <v/>
      </c>
    </row>
    <row r="203" customFormat="false" ht="57.45" hidden="false" customHeight="false" outlineLevel="0" collapsed="false">
      <c r="A203" s="5" t="s">
        <v>2356</v>
      </c>
      <c r="B203" s="6" t="s">
        <v>2110</v>
      </c>
      <c r="C203" s="6" t="s">
        <v>1855</v>
      </c>
      <c r="D203" s="6" t="s">
        <v>2346</v>
      </c>
      <c r="E203" s="6" t="s">
        <v>2357</v>
      </c>
      <c r="F203" s="6" t="s">
        <v>2358</v>
      </c>
      <c r="G203" s="6" t="s">
        <v>2359</v>
      </c>
      <c r="H203" s="6" t="s">
        <v>2360</v>
      </c>
      <c r="I203" s="5" t="s">
        <v>167</v>
      </c>
      <c r="J203" s="7" t="str">
        <f aca="false">IFERROR(INDEX(AVAILABILITY_MASTER!$C$4:$C$10,MATCH(I203,AVAILABILITY_MASTER!$A$4:$A$10,0)),"To Be Confirmed")</f>
        <v>Available</v>
      </c>
      <c r="K203" s="6" t="s">
        <v>79</v>
      </c>
      <c r="L203" s="6" t="s">
        <v>437</v>
      </c>
      <c r="M203" s="7" t="str">
        <f aca="false">IFERROR(INDEX(SERVICE_DOCUMENTS!$S$4:$S$1000,MATCH(A203,SERVICE_DOCUMENTS!$A$4:$A$1000,0))&amp;"","")</f>
        <v>✓ Details / Matter for Typing</v>
      </c>
      <c r="N203" s="7" t="str">
        <f aca="false">IFERROR(INDEX(SERVICE_DOCUMENTS!$T$4:$T$1000,MATCH(A203,SERVICE_DOCUMENTS!$A$4:$A$1000,0))&amp;"","")</f>
        <v/>
      </c>
      <c r="O203" s="6" t="s">
        <v>645</v>
      </c>
      <c r="P203" s="6" t="s">
        <v>2298</v>
      </c>
      <c r="Q203" s="6" t="s">
        <v>371</v>
      </c>
      <c r="R203" s="8" t="s">
        <v>441</v>
      </c>
      <c r="S203" s="8" t="s">
        <v>75</v>
      </c>
      <c r="T203" s="9" t="str">
        <f aca="false">IF(AND(OR(ISNUMBER(R203),R203="N/A"),OR(ISNUMBER(S203),S203="N/A"),OR(ISNUMBER(R203),ISNUMBER(S203))),N(R203)+N(S203),"To Verify")</f>
        <v>To Verify</v>
      </c>
      <c r="U203" s="6" t="s">
        <v>442</v>
      </c>
      <c r="V203" s="6" t="s">
        <v>79</v>
      </c>
      <c r="W203" s="6" t="s">
        <v>80</v>
      </c>
      <c r="X203" s="6" t="s">
        <v>81</v>
      </c>
      <c r="Y203" s="6" t="s">
        <v>79</v>
      </c>
      <c r="Z203" s="6"/>
      <c r="AA203" s="6" t="s">
        <v>74</v>
      </c>
      <c r="AB203" s="6" t="s">
        <v>79</v>
      </c>
      <c r="AC203" s="6" t="s">
        <v>75</v>
      </c>
      <c r="AD203" s="6" t="s">
        <v>75</v>
      </c>
      <c r="AE203" s="6" t="s">
        <v>79</v>
      </c>
      <c r="AF203" s="6" t="s">
        <v>79</v>
      </c>
      <c r="AG203" s="6" t="s">
        <v>170</v>
      </c>
      <c r="AH203" s="6" t="s">
        <v>74</v>
      </c>
      <c r="AI203" s="6" t="s">
        <v>79</v>
      </c>
      <c r="AJ203" s="6" t="s">
        <v>79</v>
      </c>
      <c r="AK203" s="6" t="s">
        <v>79</v>
      </c>
      <c r="AL203" s="6" t="s">
        <v>2110</v>
      </c>
      <c r="AM203" s="6" t="s">
        <v>2346</v>
      </c>
      <c r="AN203" s="7" t="str">
        <f aca="false">BA203&amp;", "&amp;AZ203</f>
        <v>Biodata Making, Printing / Xerox / Scanning, Devmobile Stores, बायोडाटा निर्माण, प्रिंटिंग / ज़ेरॉक्स / स्कैनिंग, सेवा</v>
      </c>
      <c r="AO203" s="6" t="s">
        <v>2361</v>
      </c>
      <c r="AP203" s="5" t="s">
        <v>415</v>
      </c>
      <c r="AQ203" s="5" t="n">
        <v>230</v>
      </c>
      <c r="AR203" s="6" t="s">
        <v>133</v>
      </c>
      <c r="AS203" s="6"/>
      <c r="AT203" s="6" t="s">
        <v>86</v>
      </c>
      <c r="AU203" s="10"/>
      <c r="AV203" s="6" t="s">
        <v>75</v>
      </c>
      <c r="AW203" s="6"/>
      <c r="AX203" s="6" t="s">
        <v>2362</v>
      </c>
      <c r="AY203" s="6" t="s">
        <v>2363</v>
      </c>
      <c r="AZ203" s="6" t="s">
        <v>2364</v>
      </c>
      <c r="BA203" s="6" t="s">
        <v>2365</v>
      </c>
      <c r="BB203" s="6"/>
      <c r="BC203" s="11" t="str">
        <f aca="false">IFERROR(INDEX(CATEGORY_MASTER!$C$4:$C$30,MATCH(B203,CATEGORY_MASTER!$A$4:$A$30,0)),"")</f>
        <v>🖨️</v>
      </c>
      <c r="BD203" s="7" t="str">
        <f aca="false">"/services/"&amp;AO203</f>
        <v>/services/biodata-making</v>
      </c>
      <c r="BE203" s="7" t="str">
        <f aca="false">IF(AND(AH203="Yes",AG203="Active",I203&lt;&gt;"Not Available"),"LIVE","HIDDEN")</f>
        <v>LIVE</v>
      </c>
      <c r="BF203" s="6" t="s">
        <v>139</v>
      </c>
      <c r="BG203" s="6" t="s">
        <v>452</v>
      </c>
      <c r="BH203" s="7" t="str">
        <f aca="false">B203&amp;"|"&amp;COUNTIF($B$4:B203,B203)</f>
        <v>Printing / Xerox / Scanning|23</v>
      </c>
      <c r="BI203" s="7" t="str">
        <f aca="false">IF(AND(AI203="Yes",BE203="LIVE"),COUNTIFS($AI$4:AI203,"Yes",$BE$4:BE203,"LIVE"),"")</f>
        <v/>
      </c>
      <c r="BJ203" s="7" t="str">
        <f aca="false">IF(AND(AJ203="Yes",BE203="LIVE"),COUNTIFS($AJ$4:AJ203,"Yes",$BE$4:BE203,"LIVE"),"")</f>
        <v/>
      </c>
      <c r="BK203" s="7" t="str">
        <f aca="false">IF(AND(AK203="Yes",BE203="LIVE"),COUNTIFS($AK$4:AK203,"Yes",$BE$4:BE203,"LIVE"),"")</f>
        <v/>
      </c>
      <c r="BL203" s="7" t="str">
        <f aca="false">IF(I203="To Verify",COUNTIF($I$4:I203,"To Verify"),"")</f>
        <v/>
      </c>
    </row>
    <row r="204" customFormat="false" ht="57.45" hidden="false" customHeight="false" outlineLevel="0" collapsed="false">
      <c r="A204" s="5" t="s">
        <v>2366</v>
      </c>
      <c r="B204" s="6" t="s">
        <v>2110</v>
      </c>
      <c r="C204" s="6" t="s">
        <v>1855</v>
      </c>
      <c r="D204" s="6" t="s">
        <v>2346</v>
      </c>
      <c r="E204" s="6" t="s">
        <v>2367</v>
      </c>
      <c r="F204" s="6" t="s">
        <v>2368</v>
      </c>
      <c r="G204" s="6" t="s">
        <v>2369</v>
      </c>
      <c r="H204" s="6" t="s">
        <v>2370</v>
      </c>
      <c r="I204" s="5" t="s">
        <v>167</v>
      </c>
      <c r="J204" s="7" t="str">
        <f aca="false">IFERROR(INDEX(AVAILABILITY_MASTER!$C$4:$C$10,MATCH(I204,AVAILABILITY_MASTER!$A$4:$A$10,0)),"To Be Confirmed")</f>
        <v>Available</v>
      </c>
      <c r="K204" s="6" t="s">
        <v>79</v>
      </c>
      <c r="L204" s="6" t="s">
        <v>437</v>
      </c>
      <c r="M204" s="7" t="str">
        <f aca="false">IFERROR(INDEX(SERVICE_DOCUMENTS!$S$4:$S$1000,MATCH(A204,SERVICE_DOCUMENTS!$A$4:$A$1000,0))&amp;"","")</f>
        <v>✓ Details / Matter for Typing</v>
      </c>
      <c r="N204" s="7" t="str">
        <f aca="false">IFERROR(INDEX(SERVICE_DOCUMENTS!$T$4:$T$1000,MATCH(A204,SERVICE_DOCUMENTS!$A$4:$A$1000,0))&amp;"","")</f>
        <v/>
      </c>
      <c r="O204" s="6" t="s">
        <v>645</v>
      </c>
      <c r="P204" s="6" t="s">
        <v>2298</v>
      </c>
      <c r="Q204" s="6" t="s">
        <v>371</v>
      </c>
      <c r="R204" s="8" t="s">
        <v>441</v>
      </c>
      <c r="S204" s="8" t="s">
        <v>75</v>
      </c>
      <c r="T204" s="9" t="str">
        <f aca="false">IF(AND(OR(ISNUMBER(R204),R204="N/A"),OR(ISNUMBER(S204),S204="N/A"),OR(ISNUMBER(R204),ISNUMBER(S204))),N(R204)+N(S204),"To Verify")</f>
        <v>To Verify</v>
      </c>
      <c r="U204" s="6" t="s">
        <v>442</v>
      </c>
      <c r="V204" s="6" t="s">
        <v>79</v>
      </c>
      <c r="W204" s="6" t="s">
        <v>80</v>
      </c>
      <c r="X204" s="6" t="s">
        <v>81</v>
      </c>
      <c r="Y204" s="6" t="s">
        <v>79</v>
      </c>
      <c r="Z204" s="6"/>
      <c r="AA204" s="6" t="s">
        <v>74</v>
      </c>
      <c r="AB204" s="6" t="s">
        <v>79</v>
      </c>
      <c r="AC204" s="6" t="s">
        <v>75</v>
      </c>
      <c r="AD204" s="6" t="s">
        <v>75</v>
      </c>
      <c r="AE204" s="6" t="s">
        <v>79</v>
      </c>
      <c r="AF204" s="6" t="s">
        <v>79</v>
      </c>
      <c r="AG204" s="6" t="s">
        <v>170</v>
      </c>
      <c r="AH204" s="6" t="s">
        <v>74</v>
      </c>
      <c r="AI204" s="6" t="s">
        <v>79</v>
      </c>
      <c r="AJ204" s="6" t="s">
        <v>79</v>
      </c>
      <c r="AK204" s="6" t="s">
        <v>79</v>
      </c>
      <c r="AL204" s="6" t="s">
        <v>2110</v>
      </c>
      <c r="AM204" s="6" t="s">
        <v>2346</v>
      </c>
      <c r="AN204" s="7" t="str">
        <f aca="false">BA204&amp;", "&amp;AZ204</f>
        <v>Document Formatting, Printing / Xerox / Scanning, Devmobile Stores, दस्तावेज़ फॉर्मेटिंग, प्रिंटिंग / ज़ेरॉक्स / स्कैनिंग, सेवा</v>
      </c>
      <c r="AO204" s="6" t="s">
        <v>2371</v>
      </c>
      <c r="AP204" s="5" t="s">
        <v>415</v>
      </c>
      <c r="AQ204" s="5" t="n">
        <v>240</v>
      </c>
      <c r="AR204" s="6" t="s">
        <v>133</v>
      </c>
      <c r="AS204" s="6"/>
      <c r="AT204" s="6" t="s">
        <v>86</v>
      </c>
      <c r="AU204" s="10"/>
      <c r="AV204" s="6" t="s">
        <v>75</v>
      </c>
      <c r="AW204" s="6"/>
      <c r="AX204" s="6" t="s">
        <v>2372</v>
      </c>
      <c r="AY204" s="6" t="s">
        <v>2373</v>
      </c>
      <c r="AZ204" s="6" t="s">
        <v>2374</v>
      </c>
      <c r="BA204" s="6" t="s">
        <v>2375</v>
      </c>
      <c r="BB204" s="6"/>
      <c r="BC204" s="11" t="str">
        <f aca="false">IFERROR(INDEX(CATEGORY_MASTER!$C$4:$C$30,MATCH(B204,CATEGORY_MASTER!$A$4:$A$30,0)),"")</f>
        <v>🖨️</v>
      </c>
      <c r="BD204" s="7" t="str">
        <f aca="false">"/services/"&amp;AO204</f>
        <v>/services/document-formatting</v>
      </c>
      <c r="BE204" s="7" t="str">
        <f aca="false">IF(AND(AH204="Yes",AG204="Active",I204&lt;&gt;"Not Available"),"LIVE","HIDDEN")</f>
        <v>LIVE</v>
      </c>
      <c r="BF204" s="6" t="s">
        <v>139</v>
      </c>
      <c r="BG204" s="6" t="s">
        <v>452</v>
      </c>
      <c r="BH204" s="7" t="str">
        <f aca="false">B204&amp;"|"&amp;COUNTIF($B$4:B204,B204)</f>
        <v>Printing / Xerox / Scanning|24</v>
      </c>
      <c r="BI204" s="7" t="str">
        <f aca="false">IF(AND(AI204="Yes",BE204="LIVE"),COUNTIFS($AI$4:AI204,"Yes",$BE$4:BE204,"LIVE"),"")</f>
        <v/>
      </c>
      <c r="BJ204" s="7" t="str">
        <f aca="false">IF(AND(AJ204="Yes",BE204="LIVE"),COUNTIFS($AJ$4:AJ204,"Yes",$BE$4:BE204,"LIVE"),"")</f>
        <v/>
      </c>
      <c r="BK204" s="7" t="str">
        <f aca="false">IF(AND(AK204="Yes",BE204="LIVE"),COUNTIFS($AK$4:AK204,"Yes",$BE$4:BE204,"LIVE"),"")</f>
        <v/>
      </c>
      <c r="BL204" s="7" t="str">
        <f aca="false">IF(I204="To Verify",COUNTIF($I$4:I204,"To Verify"),"")</f>
        <v/>
      </c>
    </row>
    <row r="205" customFormat="false" ht="57.45" hidden="false" customHeight="false" outlineLevel="0" collapsed="false">
      <c r="A205" s="5" t="s">
        <v>2376</v>
      </c>
      <c r="B205" s="6" t="s">
        <v>2110</v>
      </c>
      <c r="C205" s="6" t="s">
        <v>1855</v>
      </c>
      <c r="D205" s="6" t="s">
        <v>2346</v>
      </c>
      <c r="E205" s="6" t="s">
        <v>2377</v>
      </c>
      <c r="F205" s="6" t="s">
        <v>2378</v>
      </c>
      <c r="G205" s="6" t="s">
        <v>2379</v>
      </c>
      <c r="H205" s="6" t="s">
        <v>2380</v>
      </c>
      <c r="I205" s="5" t="s">
        <v>167</v>
      </c>
      <c r="J205" s="7" t="str">
        <f aca="false">IFERROR(INDEX(AVAILABILITY_MASTER!$C$4:$C$10,MATCH(I205,AVAILABILITY_MASTER!$A$4:$A$10,0)),"To Be Confirmed")</f>
        <v>Available</v>
      </c>
      <c r="K205" s="6" t="s">
        <v>79</v>
      </c>
      <c r="L205" s="6" t="s">
        <v>437</v>
      </c>
      <c r="M205" s="7" t="str">
        <f aca="false">IFERROR(INDEX(SERVICE_DOCUMENTS!$S$4:$S$1000,MATCH(A205,SERVICE_DOCUMENTS!$A$4:$A$1000,0))&amp;"","")</f>
        <v>✓ Details / Matter for Typing</v>
      </c>
      <c r="N205" s="7" t="str">
        <f aca="false">IFERROR(INDEX(SERVICE_DOCUMENTS!$T$4:$T$1000,MATCH(A205,SERVICE_DOCUMENTS!$A$4:$A$1000,0))&amp;"","")</f>
        <v/>
      </c>
      <c r="O205" s="6" t="s">
        <v>645</v>
      </c>
      <c r="P205" s="6" t="s">
        <v>2298</v>
      </c>
      <c r="Q205" s="6" t="s">
        <v>371</v>
      </c>
      <c r="R205" s="8" t="s">
        <v>441</v>
      </c>
      <c r="S205" s="8" t="s">
        <v>75</v>
      </c>
      <c r="T205" s="9" t="str">
        <f aca="false">IF(AND(OR(ISNUMBER(R205),R205="N/A"),OR(ISNUMBER(S205),S205="N/A"),OR(ISNUMBER(R205),ISNUMBER(S205))),N(R205)+N(S205),"To Verify")</f>
        <v>To Verify</v>
      </c>
      <c r="U205" s="6" t="s">
        <v>442</v>
      </c>
      <c r="V205" s="6" t="s">
        <v>79</v>
      </c>
      <c r="W205" s="6" t="s">
        <v>80</v>
      </c>
      <c r="X205" s="6" t="s">
        <v>81</v>
      </c>
      <c r="Y205" s="6" t="s">
        <v>79</v>
      </c>
      <c r="Z205" s="6"/>
      <c r="AA205" s="6" t="s">
        <v>74</v>
      </c>
      <c r="AB205" s="6" t="s">
        <v>79</v>
      </c>
      <c r="AC205" s="6" t="s">
        <v>75</v>
      </c>
      <c r="AD205" s="6" t="s">
        <v>75</v>
      </c>
      <c r="AE205" s="6" t="s">
        <v>79</v>
      </c>
      <c r="AF205" s="6" t="s">
        <v>79</v>
      </c>
      <c r="AG205" s="6" t="s">
        <v>170</v>
      </c>
      <c r="AH205" s="6" t="s">
        <v>74</v>
      </c>
      <c r="AI205" s="6" t="s">
        <v>79</v>
      </c>
      <c r="AJ205" s="6" t="s">
        <v>79</v>
      </c>
      <c r="AK205" s="6" t="s">
        <v>79</v>
      </c>
      <c r="AL205" s="6" t="s">
        <v>2110</v>
      </c>
      <c r="AM205" s="6" t="s">
        <v>2346</v>
      </c>
      <c r="AN205" s="7" t="str">
        <f aca="false">BA205&amp;", "&amp;AZ205</f>
        <v>Official Document Formatting, Printing / Xerox / Scanning, Devmobile Stores, ऑफिशियल दस्तावेज़ फॉर्मेटिंग, प्रिंटिंग / ज़ेरॉक्स / स्कैनिंग, सेवा</v>
      </c>
      <c r="AO205" s="6" t="s">
        <v>2381</v>
      </c>
      <c r="AP205" s="5" t="s">
        <v>415</v>
      </c>
      <c r="AQ205" s="5" t="n">
        <v>250</v>
      </c>
      <c r="AR205" s="6" t="s">
        <v>133</v>
      </c>
      <c r="AS205" s="6"/>
      <c r="AT205" s="6" t="s">
        <v>86</v>
      </c>
      <c r="AU205" s="10"/>
      <c r="AV205" s="6" t="s">
        <v>75</v>
      </c>
      <c r="AW205" s="6"/>
      <c r="AX205" s="6" t="s">
        <v>2382</v>
      </c>
      <c r="AY205" s="6" t="s">
        <v>2383</v>
      </c>
      <c r="AZ205" s="6" t="s">
        <v>2384</v>
      </c>
      <c r="BA205" s="6" t="s">
        <v>2385</v>
      </c>
      <c r="BB205" s="6"/>
      <c r="BC205" s="11" t="str">
        <f aca="false">IFERROR(INDEX(CATEGORY_MASTER!$C$4:$C$30,MATCH(B205,CATEGORY_MASTER!$A$4:$A$30,0)),"")</f>
        <v>🖨️</v>
      </c>
      <c r="BD205" s="7" t="str">
        <f aca="false">"/services/"&amp;AO205</f>
        <v>/services/official-document-formatting</v>
      </c>
      <c r="BE205" s="7" t="str">
        <f aca="false">IF(AND(AH205="Yes",AG205="Active",I205&lt;&gt;"Not Available"),"LIVE","HIDDEN")</f>
        <v>LIVE</v>
      </c>
      <c r="BF205" s="6" t="s">
        <v>139</v>
      </c>
      <c r="BG205" s="6" t="s">
        <v>452</v>
      </c>
      <c r="BH205" s="7" t="str">
        <f aca="false">B205&amp;"|"&amp;COUNTIF($B$4:B205,B205)</f>
        <v>Printing / Xerox / Scanning|25</v>
      </c>
      <c r="BI205" s="7" t="str">
        <f aca="false">IF(AND(AI205="Yes",BE205="LIVE"),COUNTIFS($AI$4:AI205,"Yes",$BE$4:BE205,"LIVE"),"")</f>
        <v/>
      </c>
      <c r="BJ205" s="7" t="str">
        <f aca="false">IF(AND(AJ205="Yes",BE205="LIVE"),COUNTIFS($AJ$4:AJ205,"Yes",$BE$4:BE205,"LIVE"),"")</f>
        <v/>
      </c>
      <c r="BK205" s="7" t="str">
        <f aca="false">IF(AND(AK205="Yes",BE205="LIVE"),COUNTIFS($AK$4:AK205,"Yes",$BE$4:BE205,"LIVE"),"")</f>
        <v/>
      </c>
      <c r="BL205" s="7" t="str">
        <f aca="false">IF(I205="To Verify",COUNTIF($I$4:I205,"To Verify"),"")</f>
        <v/>
      </c>
    </row>
    <row r="206" customFormat="false" ht="57.45" hidden="false" customHeight="false" outlineLevel="0" collapsed="false">
      <c r="A206" s="5" t="s">
        <v>2386</v>
      </c>
      <c r="B206" s="6" t="s">
        <v>2387</v>
      </c>
      <c r="C206" s="6" t="s">
        <v>2388</v>
      </c>
      <c r="D206" s="6" t="s">
        <v>2389</v>
      </c>
      <c r="E206" s="6" t="s">
        <v>2390</v>
      </c>
      <c r="F206" s="6" t="s">
        <v>2391</v>
      </c>
      <c r="G206" s="6" t="s">
        <v>2392</v>
      </c>
      <c r="H206" s="6" t="s">
        <v>2393</v>
      </c>
      <c r="I206" s="5" t="s">
        <v>167</v>
      </c>
      <c r="J206" s="7" t="str">
        <f aca="false">IFERROR(INDEX(AVAILABILITY_MASTER!$C$4:$C$10,MATCH(I206,AVAILABILITY_MASTER!$A$4:$A$10,0)),"To Be Confirmed")</f>
        <v>Available</v>
      </c>
      <c r="K206" s="6" t="s">
        <v>79</v>
      </c>
      <c r="L206" s="6" t="s">
        <v>437</v>
      </c>
      <c r="M206" s="7" t="str">
        <f aca="false">IFERROR(INDEX(SERVICE_DOCUMENTS!$S$4:$S$1000,MATCH(A206,SERVICE_DOCUMENTS!$A$4:$A$1000,0))&amp;"","")</f>
        <v/>
      </c>
      <c r="N206" s="7" t="str">
        <f aca="false">IFERROR(INDEX(SERVICE_DOCUMENTS!$T$4:$T$1000,MATCH(A206,SERVICE_DOCUMENTS!$A$4:$A$1000,0))&amp;"","")</f>
        <v/>
      </c>
      <c r="O206" s="6" t="s">
        <v>645</v>
      </c>
      <c r="P206" s="6" t="s">
        <v>2394</v>
      </c>
      <c r="Q206" s="6" t="s">
        <v>440</v>
      </c>
      <c r="R206" s="8" t="s">
        <v>441</v>
      </c>
      <c r="S206" s="8" t="s">
        <v>75</v>
      </c>
      <c r="T206" s="9" t="str">
        <f aca="false">IF(AND(OR(ISNUMBER(R206),R206="N/A"),OR(ISNUMBER(S206),S206="N/A"),OR(ISNUMBER(R206),ISNUMBER(S206))),N(R206)+N(S206),"To Verify")</f>
        <v>To Verify</v>
      </c>
      <c r="U206" s="6" t="s">
        <v>442</v>
      </c>
      <c r="V206" s="6" t="s">
        <v>79</v>
      </c>
      <c r="W206" s="6" t="s">
        <v>80</v>
      </c>
      <c r="X206" s="6" t="s">
        <v>81</v>
      </c>
      <c r="Y206" s="6" t="s">
        <v>79</v>
      </c>
      <c r="Z206" s="6"/>
      <c r="AA206" s="6" t="s">
        <v>74</v>
      </c>
      <c r="AB206" s="6" t="s">
        <v>79</v>
      </c>
      <c r="AC206" s="6" t="s">
        <v>75</v>
      </c>
      <c r="AD206" s="6" t="s">
        <v>75</v>
      </c>
      <c r="AE206" s="6" t="s">
        <v>79</v>
      </c>
      <c r="AF206" s="6" t="s">
        <v>79</v>
      </c>
      <c r="AG206" s="6" t="s">
        <v>170</v>
      </c>
      <c r="AH206" s="6" t="s">
        <v>74</v>
      </c>
      <c r="AI206" s="6" t="s">
        <v>79</v>
      </c>
      <c r="AJ206" s="6" t="s">
        <v>79</v>
      </c>
      <c r="AK206" s="6" t="s">
        <v>79</v>
      </c>
      <c r="AL206" s="6" t="s">
        <v>2387</v>
      </c>
      <c r="AM206" s="6" t="s">
        <v>2389</v>
      </c>
      <c r="AN206" s="7" t="str">
        <f aca="false">BA206&amp;", "&amp;AZ206</f>
        <v>Passport Photo, Photo / Photoshop / Design, Devmobile Stores, पासपोर्ट फोटो, फोटो / फोटोशॉप / डिज़ाइन, सेवा</v>
      </c>
      <c r="AO206" s="6" t="s">
        <v>2395</v>
      </c>
      <c r="AP206" s="5" t="s">
        <v>2396</v>
      </c>
      <c r="AQ206" s="5" t="n">
        <v>10</v>
      </c>
      <c r="AR206" s="6" t="s">
        <v>133</v>
      </c>
      <c r="AS206" s="6"/>
      <c r="AT206" s="6" t="s">
        <v>86</v>
      </c>
      <c r="AU206" s="10"/>
      <c r="AV206" s="6" t="s">
        <v>75</v>
      </c>
      <c r="AW206" s="6"/>
      <c r="AX206" s="6" t="s">
        <v>2397</v>
      </c>
      <c r="AY206" s="6" t="s">
        <v>2398</v>
      </c>
      <c r="AZ206" s="6" t="s">
        <v>2399</v>
      </c>
      <c r="BA206" s="6" t="s">
        <v>2400</v>
      </c>
      <c r="BB206" s="6"/>
      <c r="BC206" s="11" t="str">
        <f aca="false">IFERROR(INDEX(CATEGORY_MASTER!$C$4:$C$30,MATCH(B206,CATEGORY_MASTER!$A$4:$A$30,0)),"")</f>
        <v>📷</v>
      </c>
      <c r="BD206" s="7" t="str">
        <f aca="false">"/services/"&amp;AO206</f>
        <v>/services/passport-photo</v>
      </c>
      <c r="BE206" s="7" t="str">
        <f aca="false">IF(AND(AH206="Yes",AG206="Active",I206&lt;&gt;"Not Available"),"LIVE","HIDDEN")</f>
        <v>LIVE</v>
      </c>
      <c r="BF206" s="6" t="s">
        <v>139</v>
      </c>
      <c r="BG206" s="6" t="s">
        <v>452</v>
      </c>
      <c r="BH206" s="7" t="str">
        <f aca="false">B206&amp;"|"&amp;COUNTIF($B$4:B206,B206)</f>
        <v>Photo / Photoshop / Design|1</v>
      </c>
      <c r="BI206" s="7" t="str">
        <f aca="false">IF(AND(AI206="Yes",BE206="LIVE"),COUNTIFS($AI$4:AI206,"Yes",$BE$4:BE206,"LIVE"),"")</f>
        <v/>
      </c>
      <c r="BJ206" s="7" t="str">
        <f aca="false">IF(AND(AJ206="Yes",BE206="LIVE"),COUNTIFS($AJ$4:AJ206,"Yes",$BE$4:BE206,"LIVE"),"")</f>
        <v/>
      </c>
      <c r="BK206" s="7" t="str">
        <f aca="false">IF(AND(AK206="Yes",BE206="LIVE"),COUNTIFS($AK$4:AK206,"Yes",$BE$4:BE206,"LIVE"),"")</f>
        <v/>
      </c>
      <c r="BL206" s="7" t="str">
        <f aca="false">IF(I206="To Verify",COUNTIF($I$4:I206,"To Verify"),"")</f>
        <v/>
      </c>
    </row>
    <row r="207" customFormat="false" ht="57.45" hidden="false" customHeight="false" outlineLevel="0" collapsed="false">
      <c r="A207" s="5" t="s">
        <v>2401</v>
      </c>
      <c r="B207" s="6" t="s">
        <v>2387</v>
      </c>
      <c r="C207" s="6" t="s">
        <v>2388</v>
      </c>
      <c r="D207" s="6" t="s">
        <v>2389</v>
      </c>
      <c r="E207" s="6" t="s">
        <v>2402</v>
      </c>
      <c r="F207" s="6" t="s">
        <v>2403</v>
      </c>
      <c r="G207" s="6" t="s">
        <v>2404</v>
      </c>
      <c r="H207" s="6" t="s">
        <v>2405</v>
      </c>
      <c r="I207" s="5" t="s">
        <v>167</v>
      </c>
      <c r="J207" s="7" t="str">
        <f aca="false">IFERROR(INDEX(AVAILABILITY_MASTER!$C$4:$C$10,MATCH(I207,AVAILABILITY_MASTER!$A$4:$A$10,0)),"To Be Confirmed")</f>
        <v>Available</v>
      </c>
      <c r="K207" s="6" t="s">
        <v>79</v>
      </c>
      <c r="L207" s="6" t="s">
        <v>437</v>
      </c>
      <c r="M207" s="7" t="str">
        <f aca="false">IFERROR(INDEX(SERVICE_DOCUMENTS!$S$4:$S$1000,MATCH(A207,SERVICE_DOCUMENTS!$A$4:$A$1000,0))&amp;"","")</f>
        <v/>
      </c>
      <c r="N207" s="7" t="str">
        <f aca="false">IFERROR(INDEX(SERVICE_DOCUMENTS!$T$4:$T$1000,MATCH(A207,SERVICE_DOCUMENTS!$A$4:$A$1000,0))&amp;"","")</f>
        <v/>
      </c>
      <c r="O207" s="6" t="s">
        <v>645</v>
      </c>
      <c r="P207" s="6" t="s">
        <v>2394</v>
      </c>
      <c r="Q207" s="6" t="s">
        <v>440</v>
      </c>
      <c r="R207" s="8" t="s">
        <v>441</v>
      </c>
      <c r="S207" s="8" t="s">
        <v>75</v>
      </c>
      <c r="T207" s="9" t="str">
        <f aca="false">IF(AND(OR(ISNUMBER(R207),R207="N/A"),OR(ISNUMBER(S207),S207="N/A"),OR(ISNUMBER(R207),ISNUMBER(S207))),N(R207)+N(S207),"To Verify")</f>
        <v>To Verify</v>
      </c>
      <c r="U207" s="6" t="s">
        <v>442</v>
      </c>
      <c r="V207" s="6" t="s">
        <v>79</v>
      </c>
      <c r="W207" s="6" t="s">
        <v>80</v>
      </c>
      <c r="X207" s="6" t="s">
        <v>81</v>
      </c>
      <c r="Y207" s="6" t="s">
        <v>79</v>
      </c>
      <c r="Z207" s="6"/>
      <c r="AA207" s="6" t="s">
        <v>74</v>
      </c>
      <c r="AB207" s="6" t="s">
        <v>79</v>
      </c>
      <c r="AC207" s="6" t="s">
        <v>75</v>
      </c>
      <c r="AD207" s="6" t="s">
        <v>75</v>
      </c>
      <c r="AE207" s="6" t="s">
        <v>79</v>
      </c>
      <c r="AF207" s="6" t="s">
        <v>79</v>
      </c>
      <c r="AG207" s="6" t="s">
        <v>170</v>
      </c>
      <c r="AH207" s="6" t="s">
        <v>74</v>
      </c>
      <c r="AI207" s="6" t="s">
        <v>79</v>
      </c>
      <c r="AJ207" s="6" t="s">
        <v>79</v>
      </c>
      <c r="AK207" s="6" t="s">
        <v>79</v>
      </c>
      <c r="AL207" s="6" t="s">
        <v>2387</v>
      </c>
      <c r="AM207" s="6" t="s">
        <v>2389</v>
      </c>
      <c r="AN207" s="7" t="str">
        <f aca="false">BA207&amp;", "&amp;AZ207</f>
        <v>Visa Photo, Photo / Photoshop / Design, Devmobile Stores, वीज़ा फोटो, फोटो / फोटोशॉप / डिज़ाइन, सेवा</v>
      </c>
      <c r="AO207" s="6" t="s">
        <v>2406</v>
      </c>
      <c r="AP207" s="5" t="s">
        <v>2396</v>
      </c>
      <c r="AQ207" s="5" t="n">
        <v>20</v>
      </c>
      <c r="AR207" s="6" t="s">
        <v>133</v>
      </c>
      <c r="AS207" s="6"/>
      <c r="AT207" s="6" t="s">
        <v>86</v>
      </c>
      <c r="AU207" s="10"/>
      <c r="AV207" s="6" t="s">
        <v>75</v>
      </c>
      <c r="AW207" s="6" t="s">
        <v>2407</v>
      </c>
      <c r="AX207" s="6" t="s">
        <v>2408</v>
      </c>
      <c r="AY207" s="6" t="s">
        <v>2409</v>
      </c>
      <c r="AZ207" s="6" t="s">
        <v>2410</v>
      </c>
      <c r="BA207" s="6" t="s">
        <v>2411</v>
      </c>
      <c r="BB207" s="6"/>
      <c r="BC207" s="11" t="str">
        <f aca="false">IFERROR(INDEX(CATEGORY_MASTER!$C$4:$C$30,MATCH(B207,CATEGORY_MASTER!$A$4:$A$30,0)),"")</f>
        <v>📷</v>
      </c>
      <c r="BD207" s="7" t="str">
        <f aca="false">"/services/"&amp;AO207</f>
        <v>/services/visa-photo</v>
      </c>
      <c r="BE207" s="7" t="str">
        <f aca="false">IF(AND(AH207="Yes",AG207="Active",I207&lt;&gt;"Not Available"),"LIVE","HIDDEN")</f>
        <v>LIVE</v>
      </c>
      <c r="BF207" s="6" t="s">
        <v>139</v>
      </c>
      <c r="BG207" s="6" t="s">
        <v>452</v>
      </c>
      <c r="BH207" s="7" t="str">
        <f aca="false">B207&amp;"|"&amp;COUNTIF($B$4:B207,B207)</f>
        <v>Photo / Photoshop / Design|2</v>
      </c>
      <c r="BI207" s="7" t="str">
        <f aca="false">IF(AND(AI207="Yes",BE207="LIVE"),COUNTIFS($AI$4:AI207,"Yes",$BE$4:BE207,"LIVE"),"")</f>
        <v/>
      </c>
      <c r="BJ207" s="7" t="str">
        <f aca="false">IF(AND(AJ207="Yes",BE207="LIVE"),COUNTIFS($AJ$4:AJ207,"Yes",$BE$4:BE207,"LIVE"),"")</f>
        <v/>
      </c>
      <c r="BK207" s="7" t="str">
        <f aca="false">IF(AND(AK207="Yes",BE207="LIVE"),COUNTIFS($AK$4:AK207,"Yes",$BE$4:BE207,"LIVE"),"")</f>
        <v/>
      </c>
      <c r="BL207" s="7" t="str">
        <f aca="false">IF(I207="To Verify",COUNTIF($I$4:I207,"To Verify"),"")</f>
        <v/>
      </c>
    </row>
    <row r="208" customFormat="false" ht="57.45" hidden="false" customHeight="false" outlineLevel="0" collapsed="false">
      <c r="A208" s="5" t="s">
        <v>2412</v>
      </c>
      <c r="B208" s="6" t="s">
        <v>2387</v>
      </c>
      <c r="C208" s="6" t="s">
        <v>2388</v>
      </c>
      <c r="D208" s="6" t="s">
        <v>2389</v>
      </c>
      <c r="E208" s="6" t="s">
        <v>2413</v>
      </c>
      <c r="F208" s="6" t="s">
        <v>2414</v>
      </c>
      <c r="G208" s="6" t="s">
        <v>2415</v>
      </c>
      <c r="H208" s="6" t="s">
        <v>2416</v>
      </c>
      <c r="I208" s="5" t="s">
        <v>167</v>
      </c>
      <c r="J208" s="7" t="str">
        <f aca="false">IFERROR(INDEX(AVAILABILITY_MASTER!$C$4:$C$10,MATCH(I208,AVAILABILITY_MASTER!$A$4:$A$10,0)),"To Be Confirmed")</f>
        <v>Available</v>
      </c>
      <c r="K208" s="6" t="s">
        <v>79</v>
      </c>
      <c r="L208" s="6" t="s">
        <v>437</v>
      </c>
      <c r="M208" s="7" t="str">
        <f aca="false">IFERROR(INDEX(SERVICE_DOCUMENTS!$S$4:$S$1000,MATCH(A208,SERVICE_DOCUMENTS!$A$4:$A$1000,0))&amp;"","")</f>
        <v/>
      </c>
      <c r="N208" s="7" t="str">
        <f aca="false">IFERROR(INDEX(SERVICE_DOCUMENTS!$T$4:$T$1000,MATCH(A208,SERVICE_DOCUMENTS!$A$4:$A$1000,0))&amp;"","")</f>
        <v/>
      </c>
      <c r="O208" s="6" t="s">
        <v>645</v>
      </c>
      <c r="P208" s="6" t="s">
        <v>2394</v>
      </c>
      <c r="Q208" s="6" t="s">
        <v>440</v>
      </c>
      <c r="R208" s="8" t="s">
        <v>441</v>
      </c>
      <c r="S208" s="8" t="s">
        <v>75</v>
      </c>
      <c r="T208" s="9" t="str">
        <f aca="false">IF(AND(OR(ISNUMBER(R208),R208="N/A"),OR(ISNUMBER(S208),S208="N/A"),OR(ISNUMBER(R208),ISNUMBER(S208))),N(R208)+N(S208),"To Verify")</f>
        <v>To Verify</v>
      </c>
      <c r="U208" s="6" t="s">
        <v>442</v>
      </c>
      <c r="V208" s="6" t="s">
        <v>79</v>
      </c>
      <c r="W208" s="6" t="s">
        <v>80</v>
      </c>
      <c r="X208" s="6" t="s">
        <v>81</v>
      </c>
      <c r="Y208" s="6" t="s">
        <v>79</v>
      </c>
      <c r="Z208" s="6"/>
      <c r="AA208" s="6" t="s">
        <v>74</v>
      </c>
      <c r="AB208" s="6" t="s">
        <v>79</v>
      </c>
      <c r="AC208" s="6" t="s">
        <v>75</v>
      </c>
      <c r="AD208" s="6" t="s">
        <v>75</v>
      </c>
      <c r="AE208" s="6" t="s">
        <v>79</v>
      </c>
      <c r="AF208" s="6" t="s">
        <v>79</v>
      </c>
      <c r="AG208" s="6" t="s">
        <v>170</v>
      </c>
      <c r="AH208" s="6" t="s">
        <v>74</v>
      </c>
      <c r="AI208" s="6" t="s">
        <v>79</v>
      </c>
      <c r="AJ208" s="6" t="s">
        <v>79</v>
      </c>
      <c r="AK208" s="6" t="s">
        <v>79</v>
      </c>
      <c r="AL208" s="6" t="s">
        <v>2387</v>
      </c>
      <c r="AM208" s="6" t="s">
        <v>2389</v>
      </c>
      <c r="AN208" s="7" t="str">
        <f aca="false">BA208&amp;", "&amp;AZ208</f>
        <v>ID Card Photo, Photo / Photoshop / Design, Devmobile Stores, आईडी कार्ड फोटो, फोटो / फोटोशॉप / डिज़ाइन, सेवा</v>
      </c>
      <c r="AO208" s="6" t="s">
        <v>2417</v>
      </c>
      <c r="AP208" s="5" t="s">
        <v>2396</v>
      </c>
      <c r="AQ208" s="5" t="n">
        <v>30</v>
      </c>
      <c r="AR208" s="6" t="s">
        <v>133</v>
      </c>
      <c r="AS208" s="6"/>
      <c r="AT208" s="6" t="s">
        <v>86</v>
      </c>
      <c r="AU208" s="10"/>
      <c r="AV208" s="6" t="s">
        <v>75</v>
      </c>
      <c r="AW208" s="6"/>
      <c r="AX208" s="6" t="s">
        <v>2418</v>
      </c>
      <c r="AY208" s="6" t="s">
        <v>2419</v>
      </c>
      <c r="AZ208" s="6" t="s">
        <v>2420</v>
      </c>
      <c r="BA208" s="6" t="s">
        <v>2421</v>
      </c>
      <c r="BB208" s="6"/>
      <c r="BC208" s="11" t="str">
        <f aca="false">IFERROR(INDEX(CATEGORY_MASTER!$C$4:$C$30,MATCH(B208,CATEGORY_MASTER!$A$4:$A$30,0)),"")</f>
        <v>📷</v>
      </c>
      <c r="BD208" s="7" t="str">
        <f aca="false">"/services/"&amp;AO208</f>
        <v>/services/id-card-photo</v>
      </c>
      <c r="BE208" s="7" t="str">
        <f aca="false">IF(AND(AH208="Yes",AG208="Active",I208&lt;&gt;"Not Available"),"LIVE","HIDDEN")</f>
        <v>LIVE</v>
      </c>
      <c r="BF208" s="6" t="s">
        <v>139</v>
      </c>
      <c r="BG208" s="6" t="s">
        <v>452</v>
      </c>
      <c r="BH208" s="7" t="str">
        <f aca="false">B208&amp;"|"&amp;COUNTIF($B$4:B208,B208)</f>
        <v>Photo / Photoshop / Design|3</v>
      </c>
      <c r="BI208" s="7" t="str">
        <f aca="false">IF(AND(AI208="Yes",BE208="LIVE"),COUNTIFS($AI$4:AI208,"Yes",$BE$4:BE208,"LIVE"),"")</f>
        <v/>
      </c>
      <c r="BJ208" s="7" t="str">
        <f aca="false">IF(AND(AJ208="Yes",BE208="LIVE"),COUNTIFS($AJ$4:AJ208,"Yes",$BE$4:BE208,"LIVE"),"")</f>
        <v/>
      </c>
      <c r="BK208" s="7" t="str">
        <f aca="false">IF(AND(AK208="Yes",BE208="LIVE"),COUNTIFS($AK$4:AK208,"Yes",$BE$4:BE208,"LIVE"),"")</f>
        <v/>
      </c>
      <c r="BL208" s="7" t="str">
        <f aca="false">IF(I208="To Verify",COUNTIF($I$4:I208,"To Verify"),"")</f>
        <v/>
      </c>
    </row>
    <row r="209" customFormat="false" ht="57.45" hidden="false" customHeight="false" outlineLevel="0" collapsed="false">
      <c r="A209" s="5" t="s">
        <v>2422</v>
      </c>
      <c r="B209" s="6" t="s">
        <v>2387</v>
      </c>
      <c r="C209" s="6" t="s">
        <v>2388</v>
      </c>
      <c r="D209" s="6" t="s">
        <v>2423</v>
      </c>
      <c r="E209" s="6" t="s">
        <v>2424</v>
      </c>
      <c r="F209" s="6" t="s">
        <v>2425</v>
      </c>
      <c r="G209" s="6" t="s">
        <v>2426</v>
      </c>
      <c r="H209" s="6" t="s">
        <v>2427</v>
      </c>
      <c r="I209" s="5" t="s">
        <v>167</v>
      </c>
      <c r="J209" s="7" t="str">
        <f aca="false">IFERROR(INDEX(AVAILABILITY_MASTER!$C$4:$C$10,MATCH(I209,AVAILABILITY_MASTER!$A$4:$A$10,0)),"To Be Confirmed")</f>
        <v>Available</v>
      </c>
      <c r="K209" s="6" t="s">
        <v>79</v>
      </c>
      <c r="L209" s="6" t="s">
        <v>437</v>
      </c>
      <c r="M209" s="7" t="str">
        <f aca="false">IFERROR(INDEX(SERVICE_DOCUMENTS!$S$4:$S$1000,MATCH(A209,SERVICE_DOCUMENTS!$A$4:$A$1000,0))&amp;"","")</f>
        <v>✓ Old Photo / Photo Files</v>
      </c>
      <c r="N209" s="7" t="str">
        <f aca="false">IFERROR(INDEX(SERVICE_DOCUMENTS!$T$4:$T$1000,MATCH(A209,SERVICE_DOCUMENTS!$A$4:$A$1000,0))&amp;"","")</f>
        <v/>
      </c>
      <c r="O209" s="6" t="s">
        <v>645</v>
      </c>
      <c r="P209" s="6" t="s">
        <v>2428</v>
      </c>
      <c r="Q209" s="6" t="s">
        <v>371</v>
      </c>
      <c r="R209" s="8" t="s">
        <v>441</v>
      </c>
      <c r="S209" s="8" t="s">
        <v>75</v>
      </c>
      <c r="T209" s="9" t="str">
        <f aca="false">IF(AND(OR(ISNUMBER(R209),R209="N/A"),OR(ISNUMBER(S209),S209="N/A"),OR(ISNUMBER(R209),ISNUMBER(S209))),N(R209)+N(S209),"To Verify")</f>
        <v>To Verify</v>
      </c>
      <c r="U209" s="6" t="s">
        <v>442</v>
      </c>
      <c r="V209" s="6" t="s">
        <v>79</v>
      </c>
      <c r="W209" s="6" t="s">
        <v>80</v>
      </c>
      <c r="X209" s="6" t="s">
        <v>443</v>
      </c>
      <c r="Y209" s="6" t="s">
        <v>79</v>
      </c>
      <c r="Z209" s="6"/>
      <c r="AA209" s="6" t="s">
        <v>74</v>
      </c>
      <c r="AB209" s="6" t="s">
        <v>79</v>
      </c>
      <c r="AC209" s="6" t="s">
        <v>75</v>
      </c>
      <c r="AD209" s="6" t="s">
        <v>75</v>
      </c>
      <c r="AE209" s="6" t="s">
        <v>79</v>
      </c>
      <c r="AF209" s="6" t="s">
        <v>79</v>
      </c>
      <c r="AG209" s="6" t="s">
        <v>170</v>
      </c>
      <c r="AH209" s="6" t="s">
        <v>74</v>
      </c>
      <c r="AI209" s="6" t="s">
        <v>79</v>
      </c>
      <c r="AJ209" s="6" t="s">
        <v>79</v>
      </c>
      <c r="AK209" s="6" t="s">
        <v>79</v>
      </c>
      <c r="AL209" s="6" t="s">
        <v>2387</v>
      </c>
      <c r="AM209" s="6" t="s">
        <v>2423</v>
      </c>
      <c r="AN209" s="7" t="str">
        <f aca="false">BA209&amp;", "&amp;AZ209</f>
        <v>Photo Crop, Photo / Photoshop / Design, Devmobile Stores, फोटो क्रॉप, फोटो / फोटोशॉप / डिज़ाइन, सेवा</v>
      </c>
      <c r="AO209" s="6" t="s">
        <v>2429</v>
      </c>
      <c r="AP209" s="5" t="s">
        <v>2430</v>
      </c>
      <c r="AQ209" s="5" t="n">
        <v>40</v>
      </c>
      <c r="AR209" s="6" t="s">
        <v>133</v>
      </c>
      <c r="AS209" s="6"/>
      <c r="AT209" s="6" t="s">
        <v>86</v>
      </c>
      <c r="AU209" s="10"/>
      <c r="AV209" s="6" t="s">
        <v>75</v>
      </c>
      <c r="AW209" s="6"/>
      <c r="AX209" s="6" t="s">
        <v>2431</v>
      </c>
      <c r="AY209" s="6" t="s">
        <v>2432</v>
      </c>
      <c r="AZ209" s="6" t="s">
        <v>2433</v>
      </c>
      <c r="BA209" s="6" t="s">
        <v>2434</v>
      </c>
      <c r="BB209" s="6"/>
      <c r="BC209" s="11" t="str">
        <f aca="false">IFERROR(INDEX(CATEGORY_MASTER!$C$4:$C$30,MATCH(B209,CATEGORY_MASTER!$A$4:$A$30,0)),"")</f>
        <v>📷</v>
      </c>
      <c r="BD209" s="7" t="str">
        <f aca="false">"/services/"&amp;AO209</f>
        <v>/services/photo-crop</v>
      </c>
      <c r="BE209" s="7" t="str">
        <f aca="false">IF(AND(AH209="Yes",AG209="Active",I209&lt;&gt;"Not Available"),"LIVE","HIDDEN")</f>
        <v>LIVE</v>
      </c>
      <c r="BF209" s="6" t="s">
        <v>139</v>
      </c>
      <c r="BG209" s="6" t="s">
        <v>452</v>
      </c>
      <c r="BH209" s="7" t="str">
        <f aca="false">B209&amp;"|"&amp;COUNTIF($B$4:B209,B209)</f>
        <v>Photo / Photoshop / Design|4</v>
      </c>
      <c r="BI209" s="7" t="str">
        <f aca="false">IF(AND(AI209="Yes",BE209="LIVE"),COUNTIFS($AI$4:AI209,"Yes",$BE$4:BE209,"LIVE"),"")</f>
        <v/>
      </c>
      <c r="BJ209" s="7" t="str">
        <f aca="false">IF(AND(AJ209="Yes",BE209="LIVE"),COUNTIFS($AJ$4:AJ209,"Yes",$BE$4:BE209,"LIVE"),"")</f>
        <v/>
      </c>
      <c r="BK209" s="7" t="str">
        <f aca="false">IF(AND(AK209="Yes",BE209="LIVE"),COUNTIFS($AK$4:AK209,"Yes",$BE$4:BE209,"LIVE"),"")</f>
        <v/>
      </c>
      <c r="BL209" s="7" t="str">
        <f aca="false">IF(I209="To Verify",COUNTIF($I$4:I209,"To Verify"),"")</f>
        <v/>
      </c>
    </row>
    <row r="210" customFormat="false" ht="57.45" hidden="false" customHeight="false" outlineLevel="0" collapsed="false">
      <c r="A210" s="5" t="s">
        <v>2435</v>
      </c>
      <c r="B210" s="6" t="s">
        <v>2387</v>
      </c>
      <c r="C210" s="6" t="s">
        <v>2388</v>
      </c>
      <c r="D210" s="6" t="s">
        <v>2423</v>
      </c>
      <c r="E210" s="6" t="s">
        <v>2436</v>
      </c>
      <c r="F210" s="6" t="s">
        <v>2437</v>
      </c>
      <c r="G210" s="6" t="s">
        <v>2438</v>
      </c>
      <c r="H210" s="6" t="s">
        <v>2439</v>
      </c>
      <c r="I210" s="5" t="s">
        <v>167</v>
      </c>
      <c r="J210" s="7" t="str">
        <f aca="false">IFERROR(INDEX(AVAILABILITY_MASTER!$C$4:$C$10,MATCH(I210,AVAILABILITY_MASTER!$A$4:$A$10,0)),"To Be Confirmed")</f>
        <v>Available</v>
      </c>
      <c r="K210" s="6" t="s">
        <v>79</v>
      </c>
      <c r="L210" s="6" t="s">
        <v>437</v>
      </c>
      <c r="M210" s="7" t="str">
        <f aca="false">IFERROR(INDEX(SERVICE_DOCUMENTS!$S$4:$S$1000,MATCH(A210,SERVICE_DOCUMENTS!$A$4:$A$1000,0))&amp;"","")</f>
        <v>✓ Old Photo / Photo Files</v>
      </c>
      <c r="N210" s="7" t="str">
        <f aca="false">IFERROR(INDEX(SERVICE_DOCUMENTS!$T$4:$T$1000,MATCH(A210,SERVICE_DOCUMENTS!$A$4:$A$1000,0))&amp;"","")</f>
        <v/>
      </c>
      <c r="O210" s="6" t="s">
        <v>645</v>
      </c>
      <c r="P210" s="6" t="s">
        <v>2440</v>
      </c>
      <c r="Q210" s="6" t="s">
        <v>371</v>
      </c>
      <c r="R210" s="8" t="s">
        <v>441</v>
      </c>
      <c r="S210" s="8" t="s">
        <v>75</v>
      </c>
      <c r="T210" s="9" t="str">
        <f aca="false">IF(AND(OR(ISNUMBER(R210),R210="N/A"),OR(ISNUMBER(S210),S210="N/A"),OR(ISNUMBER(R210),ISNUMBER(S210))),N(R210)+N(S210),"To Verify")</f>
        <v>To Verify</v>
      </c>
      <c r="U210" s="6" t="s">
        <v>442</v>
      </c>
      <c r="V210" s="6" t="s">
        <v>79</v>
      </c>
      <c r="W210" s="6" t="s">
        <v>80</v>
      </c>
      <c r="X210" s="6" t="s">
        <v>443</v>
      </c>
      <c r="Y210" s="6" t="s">
        <v>79</v>
      </c>
      <c r="Z210" s="6"/>
      <c r="AA210" s="6" t="s">
        <v>74</v>
      </c>
      <c r="AB210" s="6" t="s">
        <v>79</v>
      </c>
      <c r="AC210" s="6" t="s">
        <v>75</v>
      </c>
      <c r="AD210" s="6" t="s">
        <v>75</v>
      </c>
      <c r="AE210" s="6" t="s">
        <v>79</v>
      </c>
      <c r="AF210" s="6" t="s">
        <v>79</v>
      </c>
      <c r="AG210" s="6" t="s">
        <v>170</v>
      </c>
      <c r="AH210" s="6" t="s">
        <v>74</v>
      </c>
      <c r="AI210" s="6" t="s">
        <v>79</v>
      </c>
      <c r="AJ210" s="6" t="s">
        <v>79</v>
      </c>
      <c r="AK210" s="6" t="s">
        <v>79</v>
      </c>
      <c r="AL210" s="6" t="s">
        <v>2387</v>
      </c>
      <c r="AM210" s="6" t="s">
        <v>2423</v>
      </c>
      <c r="AN210" s="7" t="str">
        <f aca="false">BA210&amp;", "&amp;AZ210</f>
        <v>Photo Resize, Photo / Photoshop / Design, Devmobile Stores, फोटो रीसाइज़, फोटो / फोटोशॉप / डिज़ाइन, सेवा</v>
      </c>
      <c r="AO210" s="6" t="s">
        <v>2441</v>
      </c>
      <c r="AP210" s="5" t="s">
        <v>2430</v>
      </c>
      <c r="AQ210" s="5" t="n">
        <v>50</v>
      </c>
      <c r="AR210" s="6" t="s">
        <v>133</v>
      </c>
      <c r="AS210" s="6"/>
      <c r="AT210" s="6" t="s">
        <v>86</v>
      </c>
      <c r="AU210" s="10"/>
      <c r="AV210" s="6" t="s">
        <v>75</v>
      </c>
      <c r="AW210" s="6"/>
      <c r="AX210" s="6" t="s">
        <v>2442</v>
      </c>
      <c r="AY210" s="6" t="s">
        <v>2443</v>
      </c>
      <c r="AZ210" s="6" t="s">
        <v>2444</v>
      </c>
      <c r="BA210" s="6" t="s">
        <v>2445</v>
      </c>
      <c r="BB210" s="6"/>
      <c r="BC210" s="11" t="str">
        <f aca="false">IFERROR(INDEX(CATEGORY_MASTER!$C$4:$C$30,MATCH(B210,CATEGORY_MASTER!$A$4:$A$30,0)),"")</f>
        <v>📷</v>
      </c>
      <c r="BD210" s="7" t="str">
        <f aca="false">"/services/"&amp;AO210</f>
        <v>/services/photo-resize</v>
      </c>
      <c r="BE210" s="7" t="str">
        <f aca="false">IF(AND(AH210="Yes",AG210="Active",I210&lt;&gt;"Not Available"),"LIVE","HIDDEN")</f>
        <v>LIVE</v>
      </c>
      <c r="BF210" s="6" t="s">
        <v>139</v>
      </c>
      <c r="BG210" s="6" t="s">
        <v>452</v>
      </c>
      <c r="BH210" s="7" t="str">
        <f aca="false">B210&amp;"|"&amp;COUNTIF($B$4:B210,B210)</f>
        <v>Photo / Photoshop / Design|5</v>
      </c>
      <c r="BI210" s="7" t="str">
        <f aca="false">IF(AND(AI210="Yes",BE210="LIVE"),COUNTIFS($AI$4:AI210,"Yes",$BE$4:BE210,"LIVE"),"")</f>
        <v/>
      </c>
      <c r="BJ210" s="7" t="str">
        <f aca="false">IF(AND(AJ210="Yes",BE210="LIVE"),COUNTIFS($AJ$4:AJ210,"Yes",$BE$4:BE210,"LIVE"),"")</f>
        <v/>
      </c>
      <c r="BK210" s="7" t="str">
        <f aca="false">IF(AND(AK210="Yes",BE210="LIVE"),COUNTIFS($AK$4:AK210,"Yes",$BE$4:BE210,"LIVE"),"")</f>
        <v/>
      </c>
      <c r="BL210" s="7" t="str">
        <f aca="false">IF(I210="To Verify",COUNTIF($I$4:I210,"To Verify"),"")</f>
        <v/>
      </c>
    </row>
    <row r="211" customFormat="false" ht="57.45" hidden="false" customHeight="false" outlineLevel="0" collapsed="false">
      <c r="A211" s="5" t="s">
        <v>2446</v>
      </c>
      <c r="B211" s="6" t="s">
        <v>2387</v>
      </c>
      <c r="C211" s="6" t="s">
        <v>2388</v>
      </c>
      <c r="D211" s="6" t="s">
        <v>2423</v>
      </c>
      <c r="E211" s="6" t="s">
        <v>2447</v>
      </c>
      <c r="F211" s="6" t="s">
        <v>2448</v>
      </c>
      <c r="G211" s="6" t="s">
        <v>2449</v>
      </c>
      <c r="H211" s="6" t="s">
        <v>2450</v>
      </c>
      <c r="I211" s="5" t="s">
        <v>167</v>
      </c>
      <c r="J211" s="7" t="str">
        <f aca="false">IFERROR(INDEX(AVAILABILITY_MASTER!$C$4:$C$10,MATCH(I211,AVAILABILITY_MASTER!$A$4:$A$10,0)),"To Be Confirmed")</f>
        <v>Available</v>
      </c>
      <c r="K211" s="6" t="s">
        <v>79</v>
      </c>
      <c r="L211" s="6" t="s">
        <v>437</v>
      </c>
      <c r="M211" s="7" t="str">
        <f aca="false">IFERROR(INDEX(SERVICE_DOCUMENTS!$S$4:$S$1000,MATCH(A211,SERVICE_DOCUMENTS!$A$4:$A$1000,0))&amp;"","")</f>
        <v>✓ Old Photo / Photo Files</v>
      </c>
      <c r="N211" s="7" t="str">
        <f aca="false">IFERROR(INDEX(SERVICE_DOCUMENTS!$T$4:$T$1000,MATCH(A211,SERVICE_DOCUMENTS!$A$4:$A$1000,0))&amp;"","")</f>
        <v/>
      </c>
      <c r="O211" s="6" t="s">
        <v>645</v>
      </c>
      <c r="P211" s="6" t="s">
        <v>2451</v>
      </c>
      <c r="Q211" s="6" t="s">
        <v>371</v>
      </c>
      <c r="R211" s="8" t="s">
        <v>441</v>
      </c>
      <c r="S211" s="8" t="s">
        <v>75</v>
      </c>
      <c r="T211" s="9" t="str">
        <f aca="false">IF(AND(OR(ISNUMBER(R211),R211="N/A"),OR(ISNUMBER(S211),S211="N/A"),OR(ISNUMBER(R211),ISNUMBER(S211))),N(R211)+N(S211),"To Verify")</f>
        <v>To Verify</v>
      </c>
      <c r="U211" s="6" t="s">
        <v>442</v>
      </c>
      <c r="V211" s="6" t="s">
        <v>79</v>
      </c>
      <c r="W211" s="6" t="s">
        <v>80</v>
      </c>
      <c r="X211" s="6" t="s">
        <v>443</v>
      </c>
      <c r="Y211" s="6" t="s">
        <v>79</v>
      </c>
      <c r="Z211" s="6"/>
      <c r="AA211" s="6" t="s">
        <v>74</v>
      </c>
      <c r="AB211" s="6" t="s">
        <v>79</v>
      </c>
      <c r="AC211" s="6" t="s">
        <v>75</v>
      </c>
      <c r="AD211" s="6" t="s">
        <v>75</v>
      </c>
      <c r="AE211" s="6" t="s">
        <v>79</v>
      </c>
      <c r="AF211" s="6" t="s">
        <v>79</v>
      </c>
      <c r="AG211" s="6" t="s">
        <v>170</v>
      </c>
      <c r="AH211" s="6" t="s">
        <v>74</v>
      </c>
      <c r="AI211" s="6" t="s">
        <v>79</v>
      </c>
      <c r="AJ211" s="6" t="s">
        <v>79</v>
      </c>
      <c r="AK211" s="6" t="s">
        <v>79</v>
      </c>
      <c r="AL211" s="6" t="s">
        <v>2387</v>
      </c>
      <c r="AM211" s="6" t="s">
        <v>2423</v>
      </c>
      <c r="AN211" s="7" t="str">
        <f aca="false">BA211&amp;", "&amp;AZ211</f>
        <v>Signature Resize, Photo / Photoshop / Design, Devmobile Stores, हस्ताक्षर (सिग्नेचर) रीसाइज़, फोटो / फोटोशॉप / डिज़ाइन, सेवा</v>
      </c>
      <c r="AO211" s="6" t="s">
        <v>2452</v>
      </c>
      <c r="AP211" s="5" t="s">
        <v>2430</v>
      </c>
      <c r="AQ211" s="5" t="n">
        <v>60</v>
      </c>
      <c r="AR211" s="6" t="s">
        <v>133</v>
      </c>
      <c r="AS211" s="6"/>
      <c r="AT211" s="6" t="s">
        <v>86</v>
      </c>
      <c r="AU211" s="10"/>
      <c r="AV211" s="6" t="s">
        <v>75</v>
      </c>
      <c r="AW211" s="6"/>
      <c r="AX211" s="6" t="s">
        <v>2453</v>
      </c>
      <c r="AY211" s="6" t="s">
        <v>2454</v>
      </c>
      <c r="AZ211" s="6" t="s">
        <v>2455</v>
      </c>
      <c r="BA211" s="6" t="s">
        <v>2456</v>
      </c>
      <c r="BB211" s="6"/>
      <c r="BC211" s="11" t="str">
        <f aca="false">IFERROR(INDEX(CATEGORY_MASTER!$C$4:$C$30,MATCH(B211,CATEGORY_MASTER!$A$4:$A$30,0)),"")</f>
        <v>📷</v>
      </c>
      <c r="BD211" s="7" t="str">
        <f aca="false">"/services/"&amp;AO211</f>
        <v>/services/signature-resize</v>
      </c>
      <c r="BE211" s="7" t="str">
        <f aca="false">IF(AND(AH211="Yes",AG211="Active",I211&lt;&gt;"Not Available"),"LIVE","HIDDEN")</f>
        <v>LIVE</v>
      </c>
      <c r="BF211" s="6" t="s">
        <v>139</v>
      </c>
      <c r="BG211" s="6" t="s">
        <v>452</v>
      </c>
      <c r="BH211" s="7" t="str">
        <f aca="false">B211&amp;"|"&amp;COUNTIF($B$4:B211,B211)</f>
        <v>Photo / Photoshop / Design|6</v>
      </c>
      <c r="BI211" s="7" t="str">
        <f aca="false">IF(AND(AI211="Yes",BE211="LIVE"),COUNTIFS($AI$4:AI211,"Yes",$BE$4:BE211,"LIVE"),"")</f>
        <v/>
      </c>
      <c r="BJ211" s="7" t="str">
        <f aca="false">IF(AND(AJ211="Yes",BE211="LIVE"),COUNTIFS($AJ$4:AJ211,"Yes",$BE$4:BE211,"LIVE"),"")</f>
        <v/>
      </c>
      <c r="BK211" s="7" t="str">
        <f aca="false">IF(AND(AK211="Yes",BE211="LIVE"),COUNTIFS($AK$4:AK211,"Yes",$BE$4:BE211,"LIVE"),"")</f>
        <v/>
      </c>
      <c r="BL211" s="7" t="str">
        <f aca="false">IF(I211="To Verify",COUNTIF($I$4:I211,"To Verify"),"")</f>
        <v/>
      </c>
    </row>
    <row r="212" customFormat="false" ht="57.45" hidden="false" customHeight="false" outlineLevel="0" collapsed="false">
      <c r="A212" s="5" t="s">
        <v>2457</v>
      </c>
      <c r="B212" s="6" t="s">
        <v>2387</v>
      </c>
      <c r="C212" s="6" t="s">
        <v>2388</v>
      </c>
      <c r="D212" s="6" t="s">
        <v>2423</v>
      </c>
      <c r="E212" s="6" t="s">
        <v>2458</v>
      </c>
      <c r="F212" s="6" t="s">
        <v>2459</v>
      </c>
      <c r="G212" s="6" t="s">
        <v>2460</v>
      </c>
      <c r="H212" s="6" t="s">
        <v>2461</v>
      </c>
      <c r="I212" s="5" t="s">
        <v>167</v>
      </c>
      <c r="J212" s="7" t="str">
        <f aca="false">IFERROR(INDEX(AVAILABILITY_MASTER!$C$4:$C$10,MATCH(I212,AVAILABILITY_MASTER!$A$4:$A$10,0)),"To Be Confirmed")</f>
        <v>Available</v>
      </c>
      <c r="K212" s="6" t="s">
        <v>79</v>
      </c>
      <c r="L212" s="6" t="s">
        <v>437</v>
      </c>
      <c r="M212" s="7" t="str">
        <f aca="false">IFERROR(INDEX(SERVICE_DOCUMENTS!$S$4:$S$1000,MATCH(A212,SERVICE_DOCUMENTS!$A$4:$A$1000,0))&amp;"","")</f>
        <v>✓ Old Photo / Photo Files</v>
      </c>
      <c r="N212" s="7" t="str">
        <f aca="false">IFERROR(INDEX(SERVICE_DOCUMENTS!$T$4:$T$1000,MATCH(A212,SERVICE_DOCUMENTS!$A$4:$A$1000,0))&amp;"","")</f>
        <v/>
      </c>
      <c r="O212" s="6" t="s">
        <v>645</v>
      </c>
      <c r="P212" s="6" t="s">
        <v>2462</v>
      </c>
      <c r="Q212" s="6" t="s">
        <v>371</v>
      </c>
      <c r="R212" s="8" t="s">
        <v>441</v>
      </c>
      <c r="S212" s="8" t="s">
        <v>75</v>
      </c>
      <c r="T212" s="9" t="str">
        <f aca="false">IF(AND(OR(ISNUMBER(R212),R212="N/A"),OR(ISNUMBER(S212),S212="N/A"),OR(ISNUMBER(R212),ISNUMBER(S212))),N(R212)+N(S212),"To Verify")</f>
        <v>To Verify</v>
      </c>
      <c r="U212" s="6" t="s">
        <v>442</v>
      </c>
      <c r="V212" s="6" t="s">
        <v>79</v>
      </c>
      <c r="W212" s="6" t="s">
        <v>80</v>
      </c>
      <c r="X212" s="6" t="s">
        <v>443</v>
      </c>
      <c r="Y212" s="6" t="s">
        <v>79</v>
      </c>
      <c r="Z212" s="6"/>
      <c r="AA212" s="6" t="s">
        <v>74</v>
      </c>
      <c r="AB212" s="6" t="s">
        <v>79</v>
      </c>
      <c r="AC212" s="6" t="s">
        <v>75</v>
      </c>
      <c r="AD212" s="6" t="s">
        <v>75</v>
      </c>
      <c r="AE212" s="6" t="s">
        <v>79</v>
      </c>
      <c r="AF212" s="6" t="s">
        <v>79</v>
      </c>
      <c r="AG212" s="6" t="s">
        <v>170</v>
      </c>
      <c r="AH212" s="6" t="s">
        <v>74</v>
      </c>
      <c r="AI212" s="6" t="s">
        <v>79</v>
      </c>
      <c r="AJ212" s="6" t="s">
        <v>79</v>
      </c>
      <c r="AK212" s="6" t="s">
        <v>79</v>
      </c>
      <c r="AL212" s="6" t="s">
        <v>2387</v>
      </c>
      <c r="AM212" s="6" t="s">
        <v>2423</v>
      </c>
      <c r="AN212" s="7" t="str">
        <f aca="false">BA212&amp;", "&amp;AZ212</f>
        <v>Background Change, Photo / Photoshop / Design, Devmobile Stores, बैकग्राउंड बदलना, फोटो / फोटोशॉप / डिज़ाइन, सेवा</v>
      </c>
      <c r="AO212" s="6" t="s">
        <v>2463</v>
      </c>
      <c r="AP212" s="5" t="s">
        <v>2430</v>
      </c>
      <c r="AQ212" s="5" t="n">
        <v>70</v>
      </c>
      <c r="AR212" s="6" t="s">
        <v>133</v>
      </c>
      <c r="AS212" s="6"/>
      <c r="AT212" s="6" t="s">
        <v>86</v>
      </c>
      <c r="AU212" s="10"/>
      <c r="AV212" s="6" t="s">
        <v>75</v>
      </c>
      <c r="AW212" s="6"/>
      <c r="AX212" s="6" t="s">
        <v>2464</v>
      </c>
      <c r="AY212" s="6" t="s">
        <v>2465</v>
      </c>
      <c r="AZ212" s="6" t="s">
        <v>2466</v>
      </c>
      <c r="BA212" s="6" t="s">
        <v>2467</v>
      </c>
      <c r="BB212" s="6"/>
      <c r="BC212" s="11" t="str">
        <f aca="false">IFERROR(INDEX(CATEGORY_MASTER!$C$4:$C$30,MATCH(B212,CATEGORY_MASTER!$A$4:$A$30,0)),"")</f>
        <v>📷</v>
      </c>
      <c r="BD212" s="7" t="str">
        <f aca="false">"/services/"&amp;AO212</f>
        <v>/services/background-change</v>
      </c>
      <c r="BE212" s="7" t="str">
        <f aca="false">IF(AND(AH212="Yes",AG212="Active",I212&lt;&gt;"Not Available"),"LIVE","HIDDEN")</f>
        <v>LIVE</v>
      </c>
      <c r="BF212" s="6" t="s">
        <v>139</v>
      </c>
      <c r="BG212" s="6" t="s">
        <v>452</v>
      </c>
      <c r="BH212" s="7" t="str">
        <f aca="false">B212&amp;"|"&amp;COUNTIF($B$4:B212,B212)</f>
        <v>Photo / Photoshop / Design|7</v>
      </c>
      <c r="BI212" s="7" t="str">
        <f aca="false">IF(AND(AI212="Yes",BE212="LIVE"),COUNTIFS($AI$4:AI212,"Yes",$BE$4:BE212,"LIVE"),"")</f>
        <v/>
      </c>
      <c r="BJ212" s="7" t="str">
        <f aca="false">IF(AND(AJ212="Yes",BE212="LIVE"),COUNTIFS($AJ$4:AJ212,"Yes",$BE$4:BE212,"LIVE"),"")</f>
        <v/>
      </c>
      <c r="BK212" s="7" t="str">
        <f aca="false">IF(AND(AK212="Yes",BE212="LIVE"),COUNTIFS($AK$4:AK212,"Yes",$BE$4:BE212,"LIVE"),"")</f>
        <v/>
      </c>
      <c r="BL212" s="7" t="str">
        <f aca="false">IF(I212="To Verify",COUNTIF($I$4:I212,"To Verify"),"")</f>
        <v/>
      </c>
    </row>
    <row r="213" customFormat="false" ht="57.45" hidden="false" customHeight="false" outlineLevel="0" collapsed="false">
      <c r="A213" s="5" t="s">
        <v>2468</v>
      </c>
      <c r="B213" s="6" t="s">
        <v>2387</v>
      </c>
      <c r="C213" s="6" t="s">
        <v>2388</v>
      </c>
      <c r="D213" s="6" t="s">
        <v>2423</v>
      </c>
      <c r="E213" s="6" t="s">
        <v>2469</v>
      </c>
      <c r="F213" s="6" t="s">
        <v>2470</v>
      </c>
      <c r="G213" s="6" t="s">
        <v>2471</v>
      </c>
      <c r="H213" s="6" t="s">
        <v>2472</v>
      </c>
      <c r="I213" s="5" t="s">
        <v>167</v>
      </c>
      <c r="J213" s="7" t="str">
        <f aca="false">IFERROR(INDEX(AVAILABILITY_MASTER!$C$4:$C$10,MATCH(I213,AVAILABILITY_MASTER!$A$4:$A$10,0)),"To Be Confirmed")</f>
        <v>Available</v>
      </c>
      <c r="K213" s="6" t="s">
        <v>79</v>
      </c>
      <c r="L213" s="6" t="s">
        <v>437</v>
      </c>
      <c r="M213" s="7" t="str">
        <f aca="false">IFERROR(INDEX(SERVICE_DOCUMENTS!$S$4:$S$1000,MATCH(A213,SERVICE_DOCUMENTS!$A$4:$A$1000,0))&amp;"","")</f>
        <v>✓ Old Photo / Photo Files</v>
      </c>
      <c r="N213" s="7" t="str">
        <f aca="false">IFERROR(INDEX(SERVICE_DOCUMENTS!$T$4:$T$1000,MATCH(A213,SERVICE_DOCUMENTS!$A$4:$A$1000,0))&amp;"","")</f>
        <v/>
      </c>
      <c r="O213" s="6" t="s">
        <v>645</v>
      </c>
      <c r="P213" s="6" t="s">
        <v>2473</v>
      </c>
      <c r="Q213" s="6" t="s">
        <v>371</v>
      </c>
      <c r="R213" s="8" t="s">
        <v>441</v>
      </c>
      <c r="S213" s="8" t="s">
        <v>75</v>
      </c>
      <c r="T213" s="9" t="str">
        <f aca="false">IF(AND(OR(ISNUMBER(R213),R213="N/A"),OR(ISNUMBER(S213),S213="N/A"),OR(ISNUMBER(R213),ISNUMBER(S213))),N(R213)+N(S213),"To Verify")</f>
        <v>To Verify</v>
      </c>
      <c r="U213" s="6" t="s">
        <v>442</v>
      </c>
      <c r="V213" s="6" t="s">
        <v>79</v>
      </c>
      <c r="W213" s="6" t="s">
        <v>80</v>
      </c>
      <c r="X213" s="6" t="s">
        <v>443</v>
      </c>
      <c r="Y213" s="6" t="s">
        <v>79</v>
      </c>
      <c r="Z213" s="6"/>
      <c r="AA213" s="6" t="s">
        <v>74</v>
      </c>
      <c r="AB213" s="6" t="s">
        <v>79</v>
      </c>
      <c r="AC213" s="6" t="s">
        <v>75</v>
      </c>
      <c r="AD213" s="6" t="s">
        <v>75</v>
      </c>
      <c r="AE213" s="6" t="s">
        <v>79</v>
      </c>
      <c r="AF213" s="6" t="s">
        <v>79</v>
      </c>
      <c r="AG213" s="6" t="s">
        <v>170</v>
      </c>
      <c r="AH213" s="6" t="s">
        <v>74</v>
      </c>
      <c r="AI213" s="6" t="s">
        <v>79</v>
      </c>
      <c r="AJ213" s="6" t="s">
        <v>79</v>
      </c>
      <c r="AK213" s="6" t="s">
        <v>79</v>
      </c>
      <c r="AL213" s="6" t="s">
        <v>2387</v>
      </c>
      <c r="AM213" s="6" t="s">
        <v>2423</v>
      </c>
      <c r="AN213" s="7" t="str">
        <f aca="false">BA213&amp;", "&amp;AZ213</f>
        <v>Blue Background, Photo / Photoshop / Design, Devmobile Stores, नीला बैकग्राउंड, फोटो / फोटोशॉप / डिज़ाइन, सेवा</v>
      </c>
      <c r="AO213" s="6" t="s">
        <v>2474</v>
      </c>
      <c r="AP213" s="5" t="s">
        <v>2430</v>
      </c>
      <c r="AQ213" s="5" t="n">
        <v>80</v>
      </c>
      <c r="AR213" s="6" t="s">
        <v>133</v>
      </c>
      <c r="AS213" s="6"/>
      <c r="AT213" s="6" t="s">
        <v>86</v>
      </c>
      <c r="AU213" s="10"/>
      <c r="AV213" s="6" t="s">
        <v>75</v>
      </c>
      <c r="AW213" s="6"/>
      <c r="AX213" s="6" t="s">
        <v>2475</v>
      </c>
      <c r="AY213" s="6" t="s">
        <v>2476</v>
      </c>
      <c r="AZ213" s="6" t="s">
        <v>2477</v>
      </c>
      <c r="BA213" s="6" t="s">
        <v>2478</v>
      </c>
      <c r="BB213" s="6"/>
      <c r="BC213" s="11" t="str">
        <f aca="false">IFERROR(INDEX(CATEGORY_MASTER!$C$4:$C$30,MATCH(B213,CATEGORY_MASTER!$A$4:$A$30,0)),"")</f>
        <v>📷</v>
      </c>
      <c r="BD213" s="7" t="str">
        <f aca="false">"/services/"&amp;AO213</f>
        <v>/services/blue-background</v>
      </c>
      <c r="BE213" s="7" t="str">
        <f aca="false">IF(AND(AH213="Yes",AG213="Active",I213&lt;&gt;"Not Available"),"LIVE","HIDDEN")</f>
        <v>LIVE</v>
      </c>
      <c r="BF213" s="6" t="s">
        <v>139</v>
      </c>
      <c r="BG213" s="6" t="s">
        <v>452</v>
      </c>
      <c r="BH213" s="7" t="str">
        <f aca="false">B213&amp;"|"&amp;COUNTIF($B$4:B213,B213)</f>
        <v>Photo / Photoshop / Design|8</v>
      </c>
      <c r="BI213" s="7" t="str">
        <f aca="false">IF(AND(AI213="Yes",BE213="LIVE"),COUNTIFS($AI$4:AI213,"Yes",$BE$4:BE213,"LIVE"),"")</f>
        <v/>
      </c>
      <c r="BJ213" s="7" t="str">
        <f aca="false">IF(AND(AJ213="Yes",BE213="LIVE"),COUNTIFS($AJ$4:AJ213,"Yes",$BE$4:BE213,"LIVE"),"")</f>
        <v/>
      </c>
      <c r="BK213" s="7" t="str">
        <f aca="false">IF(AND(AK213="Yes",BE213="LIVE"),COUNTIFS($AK$4:AK213,"Yes",$BE$4:BE213,"LIVE"),"")</f>
        <v/>
      </c>
      <c r="BL213" s="7" t="str">
        <f aca="false">IF(I213="To Verify",COUNTIF($I$4:I213,"To Verify"),"")</f>
        <v/>
      </c>
    </row>
    <row r="214" customFormat="false" ht="57.45" hidden="false" customHeight="false" outlineLevel="0" collapsed="false">
      <c r="A214" s="5" t="s">
        <v>2479</v>
      </c>
      <c r="B214" s="6" t="s">
        <v>2387</v>
      </c>
      <c r="C214" s="6" t="s">
        <v>2388</v>
      </c>
      <c r="D214" s="6" t="s">
        <v>2423</v>
      </c>
      <c r="E214" s="6" t="s">
        <v>2480</v>
      </c>
      <c r="F214" s="6" t="s">
        <v>2481</v>
      </c>
      <c r="G214" s="6" t="s">
        <v>2482</v>
      </c>
      <c r="H214" s="6" t="s">
        <v>2483</v>
      </c>
      <c r="I214" s="5" t="s">
        <v>167</v>
      </c>
      <c r="J214" s="7" t="str">
        <f aca="false">IFERROR(INDEX(AVAILABILITY_MASTER!$C$4:$C$10,MATCH(I214,AVAILABILITY_MASTER!$A$4:$A$10,0)),"To Be Confirmed")</f>
        <v>Available</v>
      </c>
      <c r="K214" s="6" t="s">
        <v>79</v>
      </c>
      <c r="L214" s="6" t="s">
        <v>437</v>
      </c>
      <c r="M214" s="7" t="str">
        <f aca="false">IFERROR(INDEX(SERVICE_DOCUMENTS!$S$4:$S$1000,MATCH(A214,SERVICE_DOCUMENTS!$A$4:$A$1000,0))&amp;"","")</f>
        <v>✓ Old Photo / Photo Files</v>
      </c>
      <c r="N214" s="7" t="str">
        <f aca="false">IFERROR(INDEX(SERVICE_DOCUMENTS!$T$4:$T$1000,MATCH(A214,SERVICE_DOCUMENTS!$A$4:$A$1000,0))&amp;"","")</f>
        <v/>
      </c>
      <c r="O214" s="6" t="s">
        <v>645</v>
      </c>
      <c r="P214" s="6" t="s">
        <v>2484</v>
      </c>
      <c r="Q214" s="6" t="s">
        <v>371</v>
      </c>
      <c r="R214" s="8" t="s">
        <v>441</v>
      </c>
      <c r="S214" s="8" t="s">
        <v>75</v>
      </c>
      <c r="T214" s="9" t="str">
        <f aca="false">IF(AND(OR(ISNUMBER(R214),R214="N/A"),OR(ISNUMBER(S214),S214="N/A"),OR(ISNUMBER(R214),ISNUMBER(S214))),N(R214)+N(S214),"To Verify")</f>
        <v>To Verify</v>
      </c>
      <c r="U214" s="6" t="s">
        <v>442</v>
      </c>
      <c r="V214" s="6" t="s">
        <v>79</v>
      </c>
      <c r="W214" s="6" t="s">
        <v>80</v>
      </c>
      <c r="X214" s="6" t="s">
        <v>443</v>
      </c>
      <c r="Y214" s="6" t="s">
        <v>79</v>
      </c>
      <c r="Z214" s="6"/>
      <c r="AA214" s="6" t="s">
        <v>74</v>
      </c>
      <c r="AB214" s="6" t="s">
        <v>79</v>
      </c>
      <c r="AC214" s="6" t="s">
        <v>75</v>
      </c>
      <c r="AD214" s="6" t="s">
        <v>75</v>
      </c>
      <c r="AE214" s="6" t="s">
        <v>79</v>
      </c>
      <c r="AF214" s="6" t="s">
        <v>79</v>
      </c>
      <c r="AG214" s="6" t="s">
        <v>170</v>
      </c>
      <c r="AH214" s="6" t="s">
        <v>74</v>
      </c>
      <c r="AI214" s="6" t="s">
        <v>79</v>
      </c>
      <c r="AJ214" s="6" t="s">
        <v>79</v>
      </c>
      <c r="AK214" s="6" t="s">
        <v>79</v>
      </c>
      <c r="AL214" s="6" t="s">
        <v>2387</v>
      </c>
      <c r="AM214" s="6" t="s">
        <v>2423</v>
      </c>
      <c r="AN214" s="7" t="str">
        <f aca="false">BA214&amp;", "&amp;AZ214</f>
        <v>White Background, Photo / Photoshop / Design, Devmobile Stores, सफेद बैकग्राउंड, फोटो / फोटोशॉप / डिज़ाइन, सेवा</v>
      </c>
      <c r="AO214" s="6" t="s">
        <v>2485</v>
      </c>
      <c r="AP214" s="5" t="s">
        <v>2430</v>
      </c>
      <c r="AQ214" s="5" t="n">
        <v>90</v>
      </c>
      <c r="AR214" s="6" t="s">
        <v>133</v>
      </c>
      <c r="AS214" s="6"/>
      <c r="AT214" s="6" t="s">
        <v>86</v>
      </c>
      <c r="AU214" s="10"/>
      <c r="AV214" s="6" t="s">
        <v>75</v>
      </c>
      <c r="AW214" s="6"/>
      <c r="AX214" s="6" t="s">
        <v>2486</v>
      </c>
      <c r="AY214" s="6" t="s">
        <v>2487</v>
      </c>
      <c r="AZ214" s="6" t="s">
        <v>2488</v>
      </c>
      <c r="BA214" s="6" t="s">
        <v>2489</v>
      </c>
      <c r="BB214" s="6"/>
      <c r="BC214" s="11" t="str">
        <f aca="false">IFERROR(INDEX(CATEGORY_MASTER!$C$4:$C$30,MATCH(B214,CATEGORY_MASTER!$A$4:$A$30,0)),"")</f>
        <v>📷</v>
      </c>
      <c r="BD214" s="7" t="str">
        <f aca="false">"/services/"&amp;AO214</f>
        <v>/services/white-background</v>
      </c>
      <c r="BE214" s="7" t="str">
        <f aca="false">IF(AND(AH214="Yes",AG214="Active",I214&lt;&gt;"Not Available"),"LIVE","HIDDEN")</f>
        <v>LIVE</v>
      </c>
      <c r="BF214" s="6" t="s">
        <v>139</v>
      </c>
      <c r="BG214" s="6" t="s">
        <v>452</v>
      </c>
      <c r="BH214" s="7" t="str">
        <f aca="false">B214&amp;"|"&amp;COUNTIF($B$4:B214,B214)</f>
        <v>Photo / Photoshop / Design|9</v>
      </c>
      <c r="BI214" s="7" t="str">
        <f aca="false">IF(AND(AI214="Yes",BE214="LIVE"),COUNTIFS($AI$4:AI214,"Yes",$BE$4:BE214,"LIVE"),"")</f>
        <v/>
      </c>
      <c r="BJ214" s="7" t="str">
        <f aca="false">IF(AND(AJ214="Yes",BE214="LIVE"),COUNTIFS($AJ$4:AJ214,"Yes",$BE$4:BE214,"LIVE"),"")</f>
        <v/>
      </c>
      <c r="BK214" s="7" t="str">
        <f aca="false">IF(AND(AK214="Yes",BE214="LIVE"),COUNTIFS($AK$4:AK214,"Yes",$BE$4:BE214,"LIVE"),"")</f>
        <v/>
      </c>
      <c r="BL214" s="7" t="str">
        <f aca="false">IF(I214="To Verify",COUNTIF($I$4:I214,"To Verify"),"")</f>
        <v/>
      </c>
    </row>
    <row r="215" customFormat="false" ht="57.45" hidden="false" customHeight="false" outlineLevel="0" collapsed="false">
      <c r="A215" s="5" t="s">
        <v>2490</v>
      </c>
      <c r="B215" s="6" t="s">
        <v>2387</v>
      </c>
      <c r="C215" s="6" t="s">
        <v>2388</v>
      </c>
      <c r="D215" s="6" t="s">
        <v>2423</v>
      </c>
      <c r="E215" s="6" t="s">
        <v>2491</v>
      </c>
      <c r="F215" s="6" t="s">
        <v>2492</v>
      </c>
      <c r="G215" s="6" t="s">
        <v>2493</v>
      </c>
      <c r="H215" s="6" t="s">
        <v>2494</v>
      </c>
      <c r="I215" s="5" t="s">
        <v>167</v>
      </c>
      <c r="J215" s="7" t="str">
        <f aca="false">IFERROR(INDEX(AVAILABILITY_MASTER!$C$4:$C$10,MATCH(I215,AVAILABILITY_MASTER!$A$4:$A$10,0)),"To Be Confirmed")</f>
        <v>Available</v>
      </c>
      <c r="K215" s="6" t="s">
        <v>79</v>
      </c>
      <c r="L215" s="6" t="s">
        <v>437</v>
      </c>
      <c r="M215" s="7" t="str">
        <f aca="false">IFERROR(INDEX(SERVICE_DOCUMENTS!$S$4:$S$1000,MATCH(A215,SERVICE_DOCUMENTS!$A$4:$A$1000,0))&amp;"","")</f>
        <v>✓ Old Photo / Photo Files</v>
      </c>
      <c r="N215" s="7" t="str">
        <f aca="false">IFERROR(INDEX(SERVICE_DOCUMENTS!$T$4:$T$1000,MATCH(A215,SERVICE_DOCUMENTS!$A$4:$A$1000,0))&amp;"","")</f>
        <v/>
      </c>
      <c r="O215" s="6" t="s">
        <v>645</v>
      </c>
      <c r="P215" s="6" t="s">
        <v>2495</v>
      </c>
      <c r="Q215" s="6" t="s">
        <v>371</v>
      </c>
      <c r="R215" s="8" t="s">
        <v>441</v>
      </c>
      <c r="S215" s="8" t="s">
        <v>75</v>
      </c>
      <c r="T215" s="9" t="str">
        <f aca="false">IF(AND(OR(ISNUMBER(R215),R215="N/A"),OR(ISNUMBER(S215),S215="N/A"),OR(ISNUMBER(R215),ISNUMBER(S215))),N(R215)+N(S215),"To Verify")</f>
        <v>To Verify</v>
      </c>
      <c r="U215" s="6" t="s">
        <v>442</v>
      </c>
      <c r="V215" s="6" t="s">
        <v>79</v>
      </c>
      <c r="W215" s="6" t="s">
        <v>80</v>
      </c>
      <c r="X215" s="6" t="s">
        <v>443</v>
      </c>
      <c r="Y215" s="6" t="s">
        <v>79</v>
      </c>
      <c r="Z215" s="6"/>
      <c r="AA215" s="6" t="s">
        <v>74</v>
      </c>
      <c r="AB215" s="6" t="s">
        <v>79</v>
      </c>
      <c r="AC215" s="6" t="s">
        <v>75</v>
      </c>
      <c r="AD215" s="6" t="s">
        <v>75</v>
      </c>
      <c r="AE215" s="6" t="s">
        <v>79</v>
      </c>
      <c r="AF215" s="6" t="s">
        <v>79</v>
      </c>
      <c r="AG215" s="6" t="s">
        <v>170</v>
      </c>
      <c r="AH215" s="6" t="s">
        <v>74</v>
      </c>
      <c r="AI215" s="6" t="s">
        <v>79</v>
      </c>
      <c r="AJ215" s="6" t="s">
        <v>79</v>
      </c>
      <c r="AK215" s="6" t="s">
        <v>79</v>
      </c>
      <c r="AL215" s="6" t="s">
        <v>2387</v>
      </c>
      <c r="AM215" s="6" t="s">
        <v>2423</v>
      </c>
      <c r="AN215" s="7" t="str">
        <f aca="false">BA215&amp;", "&amp;AZ215</f>
        <v>Photo Retouching, Photo / Photoshop / Design, Devmobile Stores, फोटो रीटचिंग, फोटो / फोटोशॉप / डिज़ाइन, सेवा</v>
      </c>
      <c r="AO215" s="6" t="s">
        <v>2496</v>
      </c>
      <c r="AP215" s="5" t="s">
        <v>2430</v>
      </c>
      <c r="AQ215" s="5" t="n">
        <v>100</v>
      </c>
      <c r="AR215" s="6" t="s">
        <v>133</v>
      </c>
      <c r="AS215" s="6"/>
      <c r="AT215" s="6" t="s">
        <v>86</v>
      </c>
      <c r="AU215" s="10"/>
      <c r="AV215" s="6" t="s">
        <v>75</v>
      </c>
      <c r="AW215" s="6"/>
      <c r="AX215" s="6" t="s">
        <v>2497</v>
      </c>
      <c r="AY215" s="6" t="s">
        <v>2498</v>
      </c>
      <c r="AZ215" s="6" t="s">
        <v>2499</v>
      </c>
      <c r="BA215" s="6" t="s">
        <v>2500</v>
      </c>
      <c r="BB215" s="6"/>
      <c r="BC215" s="11" t="str">
        <f aca="false">IFERROR(INDEX(CATEGORY_MASTER!$C$4:$C$30,MATCH(B215,CATEGORY_MASTER!$A$4:$A$30,0)),"")</f>
        <v>📷</v>
      </c>
      <c r="BD215" s="7" t="str">
        <f aca="false">"/services/"&amp;AO215</f>
        <v>/services/photo-retouching</v>
      </c>
      <c r="BE215" s="7" t="str">
        <f aca="false">IF(AND(AH215="Yes",AG215="Active",I215&lt;&gt;"Not Available"),"LIVE","HIDDEN")</f>
        <v>LIVE</v>
      </c>
      <c r="BF215" s="6" t="s">
        <v>139</v>
      </c>
      <c r="BG215" s="6" t="s">
        <v>452</v>
      </c>
      <c r="BH215" s="7" t="str">
        <f aca="false">B215&amp;"|"&amp;COUNTIF($B$4:B215,B215)</f>
        <v>Photo / Photoshop / Design|10</v>
      </c>
      <c r="BI215" s="7" t="str">
        <f aca="false">IF(AND(AI215="Yes",BE215="LIVE"),COUNTIFS($AI$4:AI215,"Yes",$BE$4:BE215,"LIVE"),"")</f>
        <v/>
      </c>
      <c r="BJ215" s="7" t="str">
        <f aca="false">IF(AND(AJ215="Yes",BE215="LIVE"),COUNTIFS($AJ$4:AJ215,"Yes",$BE$4:BE215,"LIVE"),"")</f>
        <v/>
      </c>
      <c r="BK215" s="7" t="str">
        <f aca="false">IF(AND(AK215="Yes",BE215="LIVE"),COUNTIFS($AK$4:AK215,"Yes",$BE$4:BE215,"LIVE"),"")</f>
        <v/>
      </c>
      <c r="BL215" s="7" t="str">
        <f aca="false">IF(I215="To Verify",COUNTIF($I$4:I215,"To Verify"),"")</f>
        <v/>
      </c>
    </row>
    <row r="216" customFormat="false" ht="57.45" hidden="false" customHeight="false" outlineLevel="0" collapsed="false">
      <c r="A216" s="5" t="s">
        <v>2501</v>
      </c>
      <c r="B216" s="6" t="s">
        <v>2387</v>
      </c>
      <c r="C216" s="6" t="s">
        <v>2388</v>
      </c>
      <c r="D216" s="6" t="s">
        <v>2423</v>
      </c>
      <c r="E216" s="6" t="s">
        <v>2502</v>
      </c>
      <c r="F216" s="6" t="s">
        <v>2503</v>
      </c>
      <c r="G216" s="6" t="s">
        <v>2504</v>
      </c>
      <c r="H216" s="6" t="s">
        <v>2505</v>
      </c>
      <c r="I216" s="5" t="s">
        <v>167</v>
      </c>
      <c r="J216" s="7" t="str">
        <f aca="false">IFERROR(INDEX(AVAILABILITY_MASTER!$C$4:$C$10,MATCH(I216,AVAILABILITY_MASTER!$A$4:$A$10,0)),"To Be Confirmed")</f>
        <v>Available</v>
      </c>
      <c r="K216" s="6" t="s">
        <v>79</v>
      </c>
      <c r="L216" s="6" t="s">
        <v>437</v>
      </c>
      <c r="M216" s="7" t="str">
        <f aca="false">IFERROR(INDEX(SERVICE_DOCUMENTS!$S$4:$S$1000,MATCH(A216,SERVICE_DOCUMENTS!$A$4:$A$1000,0))&amp;"","")</f>
        <v>✓ Old Photo / Photo Files</v>
      </c>
      <c r="N216" s="7" t="str">
        <f aca="false">IFERROR(INDEX(SERVICE_DOCUMENTS!$T$4:$T$1000,MATCH(A216,SERVICE_DOCUMENTS!$A$4:$A$1000,0))&amp;"","")</f>
        <v/>
      </c>
      <c r="O216" s="6" t="s">
        <v>645</v>
      </c>
      <c r="P216" s="6" t="s">
        <v>2506</v>
      </c>
      <c r="Q216" s="6" t="s">
        <v>371</v>
      </c>
      <c r="R216" s="8" t="s">
        <v>441</v>
      </c>
      <c r="S216" s="8" t="s">
        <v>75</v>
      </c>
      <c r="T216" s="9" t="str">
        <f aca="false">IF(AND(OR(ISNUMBER(R216),R216="N/A"),OR(ISNUMBER(S216),S216="N/A"),OR(ISNUMBER(R216),ISNUMBER(S216))),N(R216)+N(S216),"To Verify")</f>
        <v>To Verify</v>
      </c>
      <c r="U216" s="6" t="s">
        <v>442</v>
      </c>
      <c r="V216" s="6" t="s">
        <v>79</v>
      </c>
      <c r="W216" s="6" t="s">
        <v>80</v>
      </c>
      <c r="X216" s="6" t="s">
        <v>443</v>
      </c>
      <c r="Y216" s="6" t="s">
        <v>79</v>
      </c>
      <c r="Z216" s="6"/>
      <c r="AA216" s="6" t="s">
        <v>74</v>
      </c>
      <c r="AB216" s="6" t="s">
        <v>79</v>
      </c>
      <c r="AC216" s="6" t="s">
        <v>75</v>
      </c>
      <c r="AD216" s="6" t="s">
        <v>75</v>
      </c>
      <c r="AE216" s="6" t="s">
        <v>79</v>
      </c>
      <c r="AF216" s="6" t="s">
        <v>79</v>
      </c>
      <c r="AG216" s="6" t="s">
        <v>170</v>
      </c>
      <c r="AH216" s="6" t="s">
        <v>74</v>
      </c>
      <c r="AI216" s="6" t="s">
        <v>79</v>
      </c>
      <c r="AJ216" s="6" t="s">
        <v>79</v>
      </c>
      <c r="AK216" s="6" t="s">
        <v>79</v>
      </c>
      <c r="AL216" s="6" t="s">
        <v>2387</v>
      </c>
      <c r="AM216" s="6" t="s">
        <v>2423</v>
      </c>
      <c r="AN216" s="7" t="str">
        <f aca="false">BA216&amp;", "&amp;AZ216</f>
        <v>Face Cleanup, Photo / Photoshop / Design, Devmobile Stores, फेस क्लीनअप, फोटो / फोटोशॉप / डिज़ाइन, सेवा</v>
      </c>
      <c r="AO216" s="6" t="s">
        <v>2507</v>
      </c>
      <c r="AP216" s="5" t="s">
        <v>2430</v>
      </c>
      <c r="AQ216" s="5" t="n">
        <v>110</v>
      </c>
      <c r="AR216" s="6" t="s">
        <v>133</v>
      </c>
      <c r="AS216" s="6"/>
      <c r="AT216" s="6" t="s">
        <v>86</v>
      </c>
      <c r="AU216" s="10"/>
      <c r="AV216" s="6" t="s">
        <v>75</v>
      </c>
      <c r="AW216" s="6"/>
      <c r="AX216" s="6" t="s">
        <v>2508</v>
      </c>
      <c r="AY216" s="6" t="s">
        <v>2509</v>
      </c>
      <c r="AZ216" s="6" t="s">
        <v>2510</v>
      </c>
      <c r="BA216" s="6" t="s">
        <v>2511</v>
      </c>
      <c r="BB216" s="6"/>
      <c r="BC216" s="11" t="str">
        <f aca="false">IFERROR(INDEX(CATEGORY_MASTER!$C$4:$C$30,MATCH(B216,CATEGORY_MASTER!$A$4:$A$30,0)),"")</f>
        <v>📷</v>
      </c>
      <c r="BD216" s="7" t="str">
        <f aca="false">"/services/"&amp;AO216</f>
        <v>/services/face-cleanup</v>
      </c>
      <c r="BE216" s="7" t="str">
        <f aca="false">IF(AND(AH216="Yes",AG216="Active",I216&lt;&gt;"Not Available"),"LIVE","HIDDEN")</f>
        <v>LIVE</v>
      </c>
      <c r="BF216" s="6" t="s">
        <v>139</v>
      </c>
      <c r="BG216" s="6" t="s">
        <v>452</v>
      </c>
      <c r="BH216" s="7" t="str">
        <f aca="false">B216&amp;"|"&amp;COUNTIF($B$4:B216,B216)</f>
        <v>Photo / Photoshop / Design|11</v>
      </c>
      <c r="BI216" s="7" t="str">
        <f aca="false">IF(AND(AI216="Yes",BE216="LIVE"),COUNTIFS($AI$4:AI216,"Yes",$BE$4:BE216,"LIVE"),"")</f>
        <v/>
      </c>
      <c r="BJ216" s="7" t="str">
        <f aca="false">IF(AND(AJ216="Yes",BE216="LIVE"),COUNTIFS($AJ$4:AJ216,"Yes",$BE$4:BE216,"LIVE"),"")</f>
        <v/>
      </c>
      <c r="BK216" s="7" t="str">
        <f aca="false">IF(AND(AK216="Yes",BE216="LIVE"),COUNTIFS($AK$4:AK216,"Yes",$BE$4:BE216,"LIVE"),"")</f>
        <v/>
      </c>
      <c r="BL216" s="7" t="str">
        <f aca="false">IF(I216="To Verify",COUNTIF($I$4:I216,"To Verify"),"")</f>
        <v/>
      </c>
    </row>
    <row r="217" customFormat="false" ht="57.45" hidden="false" customHeight="false" outlineLevel="0" collapsed="false">
      <c r="A217" s="5" t="s">
        <v>2512</v>
      </c>
      <c r="B217" s="6" t="s">
        <v>2387</v>
      </c>
      <c r="C217" s="6" t="s">
        <v>2388</v>
      </c>
      <c r="D217" s="6" t="s">
        <v>2423</v>
      </c>
      <c r="E217" s="6" t="s">
        <v>2513</v>
      </c>
      <c r="F217" s="6" t="s">
        <v>2514</v>
      </c>
      <c r="G217" s="6" t="s">
        <v>2515</v>
      </c>
      <c r="H217" s="6" t="s">
        <v>2516</v>
      </c>
      <c r="I217" s="5" t="s">
        <v>167</v>
      </c>
      <c r="J217" s="7" t="str">
        <f aca="false">IFERROR(INDEX(AVAILABILITY_MASTER!$C$4:$C$10,MATCH(I217,AVAILABILITY_MASTER!$A$4:$A$10,0)),"To Be Confirmed")</f>
        <v>Available</v>
      </c>
      <c r="K217" s="6" t="s">
        <v>79</v>
      </c>
      <c r="L217" s="6" t="s">
        <v>437</v>
      </c>
      <c r="M217" s="7" t="str">
        <f aca="false">IFERROR(INDEX(SERVICE_DOCUMENTS!$S$4:$S$1000,MATCH(A217,SERVICE_DOCUMENTS!$A$4:$A$1000,0))&amp;"","")</f>
        <v>✓ Old Photo / Photo Files</v>
      </c>
      <c r="N217" s="7" t="str">
        <f aca="false">IFERROR(INDEX(SERVICE_DOCUMENTS!$T$4:$T$1000,MATCH(A217,SERVICE_DOCUMENTS!$A$4:$A$1000,0))&amp;"","")</f>
        <v/>
      </c>
      <c r="O217" s="6" t="s">
        <v>645</v>
      </c>
      <c r="P217" s="6" t="s">
        <v>2517</v>
      </c>
      <c r="Q217" s="6" t="s">
        <v>371</v>
      </c>
      <c r="R217" s="8" t="s">
        <v>441</v>
      </c>
      <c r="S217" s="8" t="s">
        <v>75</v>
      </c>
      <c r="T217" s="9" t="str">
        <f aca="false">IF(AND(OR(ISNUMBER(R217),R217="N/A"),OR(ISNUMBER(S217),S217="N/A"),OR(ISNUMBER(R217),ISNUMBER(S217))),N(R217)+N(S217),"To Verify")</f>
        <v>To Verify</v>
      </c>
      <c r="U217" s="6" t="s">
        <v>442</v>
      </c>
      <c r="V217" s="6" t="s">
        <v>79</v>
      </c>
      <c r="W217" s="6" t="s">
        <v>80</v>
      </c>
      <c r="X217" s="6" t="s">
        <v>443</v>
      </c>
      <c r="Y217" s="6" t="s">
        <v>79</v>
      </c>
      <c r="Z217" s="6"/>
      <c r="AA217" s="6" t="s">
        <v>74</v>
      </c>
      <c r="AB217" s="6" t="s">
        <v>79</v>
      </c>
      <c r="AC217" s="6" t="s">
        <v>75</v>
      </c>
      <c r="AD217" s="6" t="s">
        <v>75</v>
      </c>
      <c r="AE217" s="6" t="s">
        <v>79</v>
      </c>
      <c r="AF217" s="6" t="s">
        <v>79</v>
      </c>
      <c r="AG217" s="6" t="s">
        <v>170</v>
      </c>
      <c r="AH217" s="6" t="s">
        <v>74</v>
      </c>
      <c r="AI217" s="6" t="s">
        <v>79</v>
      </c>
      <c r="AJ217" s="6" t="s">
        <v>79</v>
      </c>
      <c r="AK217" s="6" t="s">
        <v>79</v>
      </c>
      <c r="AL217" s="6" t="s">
        <v>2387</v>
      </c>
      <c r="AM217" s="6" t="s">
        <v>2423</v>
      </c>
      <c r="AN217" s="7" t="str">
        <f aca="false">BA217&amp;", "&amp;AZ217</f>
        <v>Photo Enhancement, Photo / Photoshop / Design, Devmobile Stores, फोटो एन्हांसमेंट, फोटो / फोटोशॉप / डिज़ाइन, सेवा</v>
      </c>
      <c r="AO217" s="6" t="s">
        <v>2518</v>
      </c>
      <c r="AP217" s="5" t="s">
        <v>2430</v>
      </c>
      <c r="AQ217" s="5" t="n">
        <v>120</v>
      </c>
      <c r="AR217" s="6" t="s">
        <v>133</v>
      </c>
      <c r="AS217" s="6"/>
      <c r="AT217" s="6" t="s">
        <v>86</v>
      </c>
      <c r="AU217" s="10"/>
      <c r="AV217" s="6" t="s">
        <v>75</v>
      </c>
      <c r="AW217" s="6"/>
      <c r="AX217" s="6" t="s">
        <v>2519</v>
      </c>
      <c r="AY217" s="6" t="s">
        <v>2520</v>
      </c>
      <c r="AZ217" s="6" t="s">
        <v>2521</v>
      </c>
      <c r="BA217" s="6" t="s">
        <v>2522</v>
      </c>
      <c r="BB217" s="6"/>
      <c r="BC217" s="11" t="str">
        <f aca="false">IFERROR(INDEX(CATEGORY_MASTER!$C$4:$C$30,MATCH(B217,CATEGORY_MASTER!$A$4:$A$30,0)),"")</f>
        <v>📷</v>
      </c>
      <c r="BD217" s="7" t="str">
        <f aca="false">"/services/"&amp;AO217</f>
        <v>/services/photo-enhancement</v>
      </c>
      <c r="BE217" s="7" t="str">
        <f aca="false">IF(AND(AH217="Yes",AG217="Active",I217&lt;&gt;"Not Available"),"LIVE","HIDDEN")</f>
        <v>LIVE</v>
      </c>
      <c r="BF217" s="6" t="s">
        <v>139</v>
      </c>
      <c r="BG217" s="6" t="s">
        <v>452</v>
      </c>
      <c r="BH217" s="7" t="str">
        <f aca="false">B217&amp;"|"&amp;COUNTIF($B$4:B217,B217)</f>
        <v>Photo / Photoshop / Design|12</v>
      </c>
      <c r="BI217" s="7" t="str">
        <f aca="false">IF(AND(AI217="Yes",BE217="LIVE"),COUNTIFS($AI$4:AI217,"Yes",$BE$4:BE217,"LIVE"),"")</f>
        <v/>
      </c>
      <c r="BJ217" s="7" t="str">
        <f aca="false">IF(AND(AJ217="Yes",BE217="LIVE"),COUNTIFS($AJ$4:AJ217,"Yes",$BE$4:BE217,"LIVE"),"")</f>
        <v/>
      </c>
      <c r="BK217" s="7" t="str">
        <f aca="false">IF(AND(AK217="Yes",BE217="LIVE"),COUNTIFS($AK$4:AK217,"Yes",$BE$4:BE217,"LIVE"),"")</f>
        <v/>
      </c>
      <c r="BL217" s="7" t="str">
        <f aca="false">IF(I217="To Verify",COUNTIF($I$4:I217,"To Verify"),"")</f>
        <v/>
      </c>
    </row>
    <row r="218" customFormat="false" ht="57.45" hidden="false" customHeight="false" outlineLevel="0" collapsed="false">
      <c r="A218" s="5" t="s">
        <v>2523</v>
      </c>
      <c r="B218" s="6" t="s">
        <v>2387</v>
      </c>
      <c r="C218" s="6" t="s">
        <v>2388</v>
      </c>
      <c r="D218" s="6" t="s">
        <v>2423</v>
      </c>
      <c r="E218" s="6" t="s">
        <v>2524</v>
      </c>
      <c r="F218" s="6" t="s">
        <v>2525</v>
      </c>
      <c r="G218" s="6" t="s">
        <v>2526</v>
      </c>
      <c r="H218" s="6" t="s">
        <v>2527</v>
      </c>
      <c r="I218" s="5" t="s">
        <v>167</v>
      </c>
      <c r="J218" s="7" t="str">
        <f aca="false">IFERROR(INDEX(AVAILABILITY_MASTER!$C$4:$C$10,MATCH(I218,AVAILABILITY_MASTER!$A$4:$A$10,0)),"To Be Confirmed")</f>
        <v>Available</v>
      </c>
      <c r="K218" s="6" t="s">
        <v>79</v>
      </c>
      <c r="L218" s="6" t="s">
        <v>437</v>
      </c>
      <c r="M218" s="7" t="str">
        <f aca="false">IFERROR(INDEX(SERVICE_DOCUMENTS!$S$4:$S$1000,MATCH(A218,SERVICE_DOCUMENTS!$A$4:$A$1000,0))&amp;"","")</f>
        <v>✓ Old Photo / Photo Files</v>
      </c>
      <c r="N218" s="7" t="str">
        <f aca="false">IFERROR(INDEX(SERVICE_DOCUMENTS!$T$4:$T$1000,MATCH(A218,SERVICE_DOCUMENTS!$A$4:$A$1000,0))&amp;"","")</f>
        <v/>
      </c>
      <c r="O218" s="6" t="s">
        <v>645</v>
      </c>
      <c r="P218" s="6" t="s">
        <v>2528</v>
      </c>
      <c r="Q218" s="6" t="s">
        <v>371</v>
      </c>
      <c r="R218" s="8" t="s">
        <v>441</v>
      </c>
      <c r="S218" s="8" t="s">
        <v>75</v>
      </c>
      <c r="T218" s="9" t="str">
        <f aca="false">IF(AND(OR(ISNUMBER(R218),R218="N/A"),OR(ISNUMBER(S218),S218="N/A"),OR(ISNUMBER(R218),ISNUMBER(S218))),N(R218)+N(S218),"To Verify")</f>
        <v>To Verify</v>
      </c>
      <c r="U218" s="6" t="s">
        <v>442</v>
      </c>
      <c r="V218" s="6" t="s">
        <v>79</v>
      </c>
      <c r="W218" s="6" t="s">
        <v>80</v>
      </c>
      <c r="X218" s="6" t="s">
        <v>443</v>
      </c>
      <c r="Y218" s="6" t="s">
        <v>79</v>
      </c>
      <c r="Z218" s="6"/>
      <c r="AA218" s="6" t="s">
        <v>74</v>
      </c>
      <c r="AB218" s="6" t="s">
        <v>79</v>
      </c>
      <c r="AC218" s="6" t="s">
        <v>75</v>
      </c>
      <c r="AD218" s="6" t="s">
        <v>75</v>
      </c>
      <c r="AE218" s="6" t="s">
        <v>79</v>
      </c>
      <c r="AF218" s="6" t="s">
        <v>79</v>
      </c>
      <c r="AG218" s="6" t="s">
        <v>170</v>
      </c>
      <c r="AH218" s="6" t="s">
        <v>74</v>
      </c>
      <c r="AI218" s="6" t="s">
        <v>79</v>
      </c>
      <c r="AJ218" s="6" t="s">
        <v>79</v>
      </c>
      <c r="AK218" s="6" t="s">
        <v>79</v>
      </c>
      <c r="AL218" s="6" t="s">
        <v>2387</v>
      </c>
      <c r="AM218" s="6" t="s">
        <v>2423</v>
      </c>
      <c r="AN218" s="7" t="str">
        <f aca="false">BA218&amp;", "&amp;AZ218</f>
        <v>Old Photo Restoration, Photo / Photoshop / Design, Devmobile Stores, पुरानी फोटो रिस्टोरेशन, फोटो / फोटोशॉप / डिज़ाइन, सेवा</v>
      </c>
      <c r="AO218" s="6" t="s">
        <v>2529</v>
      </c>
      <c r="AP218" s="5" t="s">
        <v>2430</v>
      </c>
      <c r="AQ218" s="5" t="n">
        <v>130</v>
      </c>
      <c r="AR218" s="6" t="s">
        <v>133</v>
      </c>
      <c r="AS218" s="6"/>
      <c r="AT218" s="6" t="s">
        <v>86</v>
      </c>
      <c r="AU218" s="10"/>
      <c r="AV218" s="6" t="s">
        <v>75</v>
      </c>
      <c r="AW218" s="6"/>
      <c r="AX218" s="6" t="s">
        <v>2530</v>
      </c>
      <c r="AY218" s="6" t="s">
        <v>2531</v>
      </c>
      <c r="AZ218" s="6" t="s">
        <v>2532</v>
      </c>
      <c r="BA218" s="6" t="s">
        <v>2533</v>
      </c>
      <c r="BB218" s="6"/>
      <c r="BC218" s="11" t="str">
        <f aca="false">IFERROR(INDEX(CATEGORY_MASTER!$C$4:$C$30,MATCH(B218,CATEGORY_MASTER!$A$4:$A$30,0)),"")</f>
        <v>📷</v>
      </c>
      <c r="BD218" s="7" t="str">
        <f aca="false">"/services/"&amp;AO218</f>
        <v>/services/old-photo-restoration</v>
      </c>
      <c r="BE218" s="7" t="str">
        <f aca="false">IF(AND(AH218="Yes",AG218="Active",I218&lt;&gt;"Not Available"),"LIVE","HIDDEN")</f>
        <v>LIVE</v>
      </c>
      <c r="BF218" s="6" t="s">
        <v>139</v>
      </c>
      <c r="BG218" s="6" t="s">
        <v>452</v>
      </c>
      <c r="BH218" s="7" t="str">
        <f aca="false">B218&amp;"|"&amp;COUNTIF($B$4:B218,B218)</f>
        <v>Photo / Photoshop / Design|13</v>
      </c>
      <c r="BI218" s="7" t="str">
        <f aca="false">IF(AND(AI218="Yes",BE218="LIVE"),COUNTIFS($AI$4:AI218,"Yes",$BE$4:BE218,"LIVE"),"")</f>
        <v/>
      </c>
      <c r="BJ218" s="7" t="str">
        <f aca="false">IF(AND(AJ218="Yes",BE218="LIVE"),COUNTIFS($AJ$4:AJ218,"Yes",$BE$4:BE218,"LIVE"),"")</f>
        <v/>
      </c>
      <c r="BK218" s="7" t="str">
        <f aca="false">IF(AND(AK218="Yes",BE218="LIVE"),COUNTIFS($AK$4:AK218,"Yes",$BE$4:BE218,"LIVE"),"")</f>
        <v/>
      </c>
      <c r="BL218" s="7" t="str">
        <f aca="false">IF(I218="To Verify",COUNTIF($I$4:I218,"To Verify"),"")</f>
        <v/>
      </c>
    </row>
    <row r="219" customFormat="false" ht="57.45" hidden="false" customHeight="false" outlineLevel="0" collapsed="false">
      <c r="A219" s="5" t="s">
        <v>2534</v>
      </c>
      <c r="B219" s="6" t="s">
        <v>2387</v>
      </c>
      <c r="C219" s="6" t="s">
        <v>2388</v>
      </c>
      <c r="D219" s="6" t="s">
        <v>2535</v>
      </c>
      <c r="E219" s="6" t="s">
        <v>2536</v>
      </c>
      <c r="F219" s="6" t="s">
        <v>2537</v>
      </c>
      <c r="G219" s="6" t="s">
        <v>2538</v>
      </c>
      <c r="H219" s="6" t="s">
        <v>2539</v>
      </c>
      <c r="I219" s="5" t="s">
        <v>167</v>
      </c>
      <c r="J219" s="7" t="str">
        <f aca="false">IFERROR(INDEX(AVAILABILITY_MASTER!$C$4:$C$10,MATCH(I219,AVAILABILITY_MASTER!$A$4:$A$10,0)),"To Be Confirmed")</f>
        <v>Available</v>
      </c>
      <c r="K219" s="6" t="s">
        <v>79</v>
      </c>
      <c r="L219" s="6" t="s">
        <v>437</v>
      </c>
      <c r="M219" s="7" t="str">
        <f aca="false">IFERROR(INDEX(SERVICE_DOCUMENTS!$S$4:$S$1000,MATCH(A219,SERVICE_DOCUMENTS!$A$4:$A$1000,0))&amp;"","")</f>
        <v>✓ Old Photo / Photo Files</v>
      </c>
      <c r="N219" s="7" t="str">
        <f aca="false">IFERROR(INDEX(SERVICE_DOCUMENTS!$T$4:$T$1000,MATCH(A219,SERVICE_DOCUMENTS!$A$4:$A$1000,0))&amp;"","")</f>
        <v/>
      </c>
      <c r="O219" s="6" t="s">
        <v>645</v>
      </c>
      <c r="P219" s="6" t="s">
        <v>2540</v>
      </c>
      <c r="Q219" s="6" t="s">
        <v>371</v>
      </c>
      <c r="R219" s="8" t="s">
        <v>441</v>
      </c>
      <c r="S219" s="8" t="s">
        <v>75</v>
      </c>
      <c r="T219" s="9" t="str">
        <f aca="false">IF(AND(OR(ISNUMBER(R219),R219="N/A"),OR(ISNUMBER(S219),S219="N/A"),OR(ISNUMBER(R219),ISNUMBER(S219))),N(R219)+N(S219),"To Verify")</f>
        <v>To Verify</v>
      </c>
      <c r="U219" s="6" t="s">
        <v>442</v>
      </c>
      <c r="V219" s="6" t="s">
        <v>79</v>
      </c>
      <c r="W219" s="6" t="s">
        <v>80</v>
      </c>
      <c r="X219" s="6" t="s">
        <v>443</v>
      </c>
      <c r="Y219" s="6" t="s">
        <v>79</v>
      </c>
      <c r="Z219" s="6"/>
      <c r="AA219" s="6" t="s">
        <v>74</v>
      </c>
      <c r="AB219" s="6" t="s">
        <v>79</v>
      </c>
      <c r="AC219" s="6" t="s">
        <v>75</v>
      </c>
      <c r="AD219" s="6" t="s">
        <v>75</v>
      </c>
      <c r="AE219" s="6" t="s">
        <v>79</v>
      </c>
      <c r="AF219" s="6" t="s">
        <v>79</v>
      </c>
      <c r="AG219" s="6" t="s">
        <v>170</v>
      </c>
      <c r="AH219" s="6" t="s">
        <v>74</v>
      </c>
      <c r="AI219" s="6" t="s">
        <v>79</v>
      </c>
      <c r="AJ219" s="6" t="s">
        <v>79</v>
      </c>
      <c r="AK219" s="6" t="s">
        <v>79</v>
      </c>
      <c r="AL219" s="6" t="s">
        <v>2387</v>
      </c>
      <c r="AM219" s="6" t="s">
        <v>2535</v>
      </c>
      <c r="AN219" s="7" t="str">
        <f aca="false">BA219&amp;", "&amp;AZ219</f>
        <v>Photo Print, Photo / Photoshop / Design, Devmobile Stores, फोटो प्रिंट, फोटो / फोटोशॉप / डिज़ाइन, सेवा</v>
      </c>
      <c r="AO219" s="6" t="s">
        <v>2541</v>
      </c>
      <c r="AP219" s="5" t="s">
        <v>2430</v>
      </c>
      <c r="AQ219" s="5" t="n">
        <v>140</v>
      </c>
      <c r="AR219" s="6" t="s">
        <v>133</v>
      </c>
      <c r="AS219" s="6"/>
      <c r="AT219" s="6" t="s">
        <v>86</v>
      </c>
      <c r="AU219" s="10"/>
      <c r="AV219" s="6" t="s">
        <v>75</v>
      </c>
      <c r="AW219" s="6"/>
      <c r="AX219" s="6" t="s">
        <v>2542</v>
      </c>
      <c r="AY219" s="6" t="s">
        <v>2543</v>
      </c>
      <c r="AZ219" s="6" t="s">
        <v>2544</v>
      </c>
      <c r="BA219" s="6" t="s">
        <v>2545</v>
      </c>
      <c r="BB219" s="6"/>
      <c r="BC219" s="11" t="str">
        <f aca="false">IFERROR(INDEX(CATEGORY_MASTER!$C$4:$C$30,MATCH(B219,CATEGORY_MASTER!$A$4:$A$30,0)),"")</f>
        <v>📷</v>
      </c>
      <c r="BD219" s="7" t="str">
        <f aca="false">"/services/"&amp;AO219</f>
        <v>/services/photo-print</v>
      </c>
      <c r="BE219" s="7" t="str">
        <f aca="false">IF(AND(AH219="Yes",AG219="Active",I219&lt;&gt;"Not Available"),"LIVE","HIDDEN")</f>
        <v>LIVE</v>
      </c>
      <c r="BF219" s="6" t="s">
        <v>139</v>
      </c>
      <c r="BG219" s="6" t="s">
        <v>452</v>
      </c>
      <c r="BH219" s="7" t="str">
        <f aca="false">B219&amp;"|"&amp;COUNTIF($B$4:B219,B219)</f>
        <v>Photo / Photoshop / Design|14</v>
      </c>
      <c r="BI219" s="7" t="str">
        <f aca="false">IF(AND(AI219="Yes",BE219="LIVE"),COUNTIFS($AI$4:AI219,"Yes",$BE$4:BE219,"LIVE"),"")</f>
        <v/>
      </c>
      <c r="BJ219" s="7" t="str">
        <f aca="false">IF(AND(AJ219="Yes",BE219="LIVE"),COUNTIFS($AJ$4:AJ219,"Yes",$BE$4:BE219,"LIVE"),"")</f>
        <v/>
      </c>
      <c r="BK219" s="7" t="str">
        <f aca="false">IF(AND(AK219="Yes",BE219="LIVE"),COUNTIFS($AK$4:AK219,"Yes",$BE$4:BE219,"LIVE"),"")</f>
        <v/>
      </c>
      <c r="BL219" s="7" t="str">
        <f aca="false">IF(I219="To Verify",COUNTIF($I$4:I219,"To Verify"),"")</f>
        <v/>
      </c>
    </row>
    <row r="220" customFormat="false" ht="57.45" hidden="false" customHeight="false" outlineLevel="0" collapsed="false">
      <c r="A220" s="5" t="s">
        <v>2546</v>
      </c>
      <c r="B220" s="6" t="s">
        <v>2387</v>
      </c>
      <c r="C220" s="6" t="s">
        <v>2388</v>
      </c>
      <c r="D220" s="6" t="s">
        <v>2535</v>
      </c>
      <c r="E220" s="6" t="s">
        <v>2547</v>
      </c>
      <c r="F220" s="6" t="s">
        <v>2548</v>
      </c>
      <c r="G220" s="6" t="s">
        <v>2549</v>
      </c>
      <c r="H220" s="6" t="s">
        <v>2550</v>
      </c>
      <c r="I220" s="5" t="s">
        <v>167</v>
      </c>
      <c r="J220" s="7" t="str">
        <f aca="false">IFERROR(INDEX(AVAILABILITY_MASTER!$C$4:$C$10,MATCH(I220,AVAILABILITY_MASTER!$A$4:$A$10,0)),"To Be Confirmed")</f>
        <v>Available</v>
      </c>
      <c r="K220" s="6" t="s">
        <v>79</v>
      </c>
      <c r="L220" s="6" t="s">
        <v>437</v>
      </c>
      <c r="M220" s="7" t="str">
        <f aca="false">IFERROR(INDEX(SERVICE_DOCUMENTS!$S$4:$S$1000,MATCH(A220,SERVICE_DOCUMENTS!$A$4:$A$1000,0))&amp;"","")</f>
        <v>✓ Old Photo / Photo Files</v>
      </c>
      <c r="N220" s="7" t="str">
        <f aca="false">IFERROR(INDEX(SERVICE_DOCUMENTS!$T$4:$T$1000,MATCH(A220,SERVICE_DOCUMENTS!$A$4:$A$1000,0))&amp;"","")</f>
        <v/>
      </c>
      <c r="O220" s="6" t="s">
        <v>645</v>
      </c>
      <c r="P220" s="6" t="s">
        <v>2551</v>
      </c>
      <c r="Q220" s="6" t="s">
        <v>371</v>
      </c>
      <c r="R220" s="8" t="s">
        <v>441</v>
      </c>
      <c r="S220" s="8" t="s">
        <v>75</v>
      </c>
      <c r="T220" s="9" t="str">
        <f aca="false">IF(AND(OR(ISNUMBER(R220),R220="N/A"),OR(ISNUMBER(S220),S220="N/A"),OR(ISNUMBER(R220),ISNUMBER(S220))),N(R220)+N(S220),"To Verify")</f>
        <v>To Verify</v>
      </c>
      <c r="U220" s="6" t="s">
        <v>442</v>
      </c>
      <c r="V220" s="6" t="s">
        <v>79</v>
      </c>
      <c r="W220" s="6" t="s">
        <v>80</v>
      </c>
      <c r="X220" s="6" t="s">
        <v>443</v>
      </c>
      <c r="Y220" s="6" t="s">
        <v>79</v>
      </c>
      <c r="Z220" s="6"/>
      <c r="AA220" s="6" t="s">
        <v>74</v>
      </c>
      <c r="AB220" s="6" t="s">
        <v>79</v>
      </c>
      <c r="AC220" s="6" t="s">
        <v>75</v>
      </c>
      <c r="AD220" s="6" t="s">
        <v>75</v>
      </c>
      <c r="AE220" s="6" t="s">
        <v>79</v>
      </c>
      <c r="AF220" s="6" t="s">
        <v>79</v>
      </c>
      <c r="AG220" s="6" t="s">
        <v>170</v>
      </c>
      <c r="AH220" s="6" t="s">
        <v>74</v>
      </c>
      <c r="AI220" s="6" t="s">
        <v>79</v>
      </c>
      <c r="AJ220" s="6" t="s">
        <v>79</v>
      </c>
      <c r="AK220" s="6" t="s">
        <v>79</v>
      </c>
      <c r="AL220" s="6" t="s">
        <v>2387</v>
      </c>
      <c r="AM220" s="6" t="s">
        <v>2535</v>
      </c>
      <c r="AN220" s="7" t="str">
        <f aca="false">BA220&amp;", "&amp;AZ220</f>
        <v>4×6 Photo Sheet, Photo / Photoshop / Design, Devmobile Stores, 4×6 फोटो शीट, फोटो / फोटोशॉप / डिज़ाइन, सेवा</v>
      </c>
      <c r="AO220" s="6" t="s">
        <v>2552</v>
      </c>
      <c r="AP220" s="5" t="s">
        <v>2430</v>
      </c>
      <c r="AQ220" s="5" t="n">
        <v>150</v>
      </c>
      <c r="AR220" s="6" t="s">
        <v>133</v>
      </c>
      <c r="AS220" s="6"/>
      <c r="AT220" s="6" t="s">
        <v>86</v>
      </c>
      <c r="AU220" s="10"/>
      <c r="AV220" s="6" t="s">
        <v>75</v>
      </c>
      <c r="AW220" s="6"/>
      <c r="AX220" s="6" t="s">
        <v>2553</v>
      </c>
      <c r="AY220" s="6" t="s">
        <v>2554</v>
      </c>
      <c r="AZ220" s="6" t="s">
        <v>2555</v>
      </c>
      <c r="BA220" s="6" t="s">
        <v>2556</v>
      </c>
      <c r="BB220" s="6"/>
      <c r="BC220" s="11" t="str">
        <f aca="false">IFERROR(INDEX(CATEGORY_MASTER!$C$4:$C$30,MATCH(B220,CATEGORY_MASTER!$A$4:$A$30,0)),"")</f>
        <v>📷</v>
      </c>
      <c r="BD220" s="7" t="str">
        <f aca="false">"/services/"&amp;AO220</f>
        <v>/services/4-6-photo-sheet</v>
      </c>
      <c r="BE220" s="7" t="str">
        <f aca="false">IF(AND(AH220="Yes",AG220="Active",I220&lt;&gt;"Not Available"),"LIVE","HIDDEN")</f>
        <v>LIVE</v>
      </c>
      <c r="BF220" s="6" t="s">
        <v>139</v>
      </c>
      <c r="BG220" s="6" t="s">
        <v>452</v>
      </c>
      <c r="BH220" s="7" t="str">
        <f aca="false">B220&amp;"|"&amp;COUNTIF($B$4:B220,B220)</f>
        <v>Photo / Photoshop / Design|15</v>
      </c>
      <c r="BI220" s="7" t="str">
        <f aca="false">IF(AND(AI220="Yes",BE220="LIVE"),COUNTIFS($AI$4:AI220,"Yes",$BE$4:BE220,"LIVE"),"")</f>
        <v/>
      </c>
      <c r="BJ220" s="7" t="str">
        <f aca="false">IF(AND(AJ220="Yes",BE220="LIVE"),COUNTIFS($AJ$4:AJ220,"Yes",$BE$4:BE220,"LIVE"),"")</f>
        <v/>
      </c>
      <c r="BK220" s="7" t="str">
        <f aca="false">IF(AND(AK220="Yes",BE220="LIVE"),COUNTIFS($AK$4:AK220,"Yes",$BE$4:BE220,"LIVE"),"")</f>
        <v/>
      </c>
      <c r="BL220" s="7" t="str">
        <f aca="false">IF(I220="To Verify",COUNTIF($I$4:I220,"To Verify"),"")</f>
        <v/>
      </c>
    </row>
    <row r="221" customFormat="false" ht="57.45" hidden="false" customHeight="false" outlineLevel="0" collapsed="false">
      <c r="A221" s="5" t="s">
        <v>2557</v>
      </c>
      <c r="B221" s="6" t="s">
        <v>2387</v>
      </c>
      <c r="C221" s="6" t="s">
        <v>2388</v>
      </c>
      <c r="D221" s="6" t="s">
        <v>2535</v>
      </c>
      <c r="E221" s="6" t="s">
        <v>2558</v>
      </c>
      <c r="F221" s="6" t="s">
        <v>2559</v>
      </c>
      <c r="G221" s="6" t="s">
        <v>2560</v>
      </c>
      <c r="H221" s="6" t="s">
        <v>2561</v>
      </c>
      <c r="I221" s="5" t="s">
        <v>167</v>
      </c>
      <c r="J221" s="7" t="str">
        <f aca="false">IFERROR(INDEX(AVAILABILITY_MASTER!$C$4:$C$10,MATCH(I221,AVAILABILITY_MASTER!$A$4:$A$10,0)),"To Be Confirmed")</f>
        <v>Available</v>
      </c>
      <c r="K221" s="6" t="s">
        <v>79</v>
      </c>
      <c r="L221" s="6" t="s">
        <v>437</v>
      </c>
      <c r="M221" s="7" t="str">
        <f aca="false">IFERROR(INDEX(SERVICE_DOCUMENTS!$S$4:$S$1000,MATCH(A221,SERVICE_DOCUMENTS!$A$4:$A$1000,0))&amp;"","")</f>
        <v>✓ Old Photo / Photo Files</v>
      </c>
      <c r="N221" s="7" t="str">
        <f aca="false">IFERROR(INDEX(SERVICE_DOCUMENTS!$T$4:$T$1000,MATCH(A221,SERVICE_DOCUMENTS!$A$4:$A$1000,0))&amp;"","")</f>
        <v/>
      </c>
      <c r="O221" s="6" t="s">
        <v>645</v>
      </c>
      <c r="P221" s="6" t="s">
        <v>2562</v>
      </c>
      <c r="Q221" s="6" t="s">
        <v>371</v>
      </c>
      <c r="R221" s="8" t="s">
        <v>441</v>
      </c>
      <c r="S221" s="8" t="s">
        <v>75</v>
      </c>
      <c r="T221" s="9" t="str">
        <f aca="false">IF(AND(OR(ISNUMBER(R221),R221="N/A"),OR(ISNUMBER(S221),S221="N/A"),OR(ISNUMBER(R221),ISNUMBER(S221))),N(R221)+N(S221),"To Verify")</f>
        <v>To Verify</v>
      </c>
      <c r="U221" s="6" t="s">
        <v>442</v>
      </c>
      <c r="V221" s="6" t="s">
        <v>79</v>
      </c>
      <c r="W221" s="6" t="s">
        <v>80</v>
      </c>
      <c r="X221" s="6" t="s">
        <v>443</v>
      </c>
      <c r="Y221" s="6" t="s">
        <v>79</v>
      </c>
      <c r="Z221" s="6"/>
      <c r="AA221" s="6" t="s">
        <v>74</v>
      </c>
      <c r="AB221" s="6" t="s">
        <v>79</v>
      </c>
      <c r="AC221" s="6" t="s">
        <v>75</v>
      </c>
      <c r="AD221" s="6" t="s">
        <v>75</v>
      </c>
      <c r="AE221" s="6" t="s">
        <v>79</v>
      </c>
      <c r="AF221" s="6" t="s">
        <v>79</v>
      </c>
      <c r="AG221" s="6" t="s">
        <v>170</v>
      </c>
      <c r="AH221" s="6" t="s">
        <v>74</v>
      </c>
      <c r="AI221" s="6" t="s">
        <v>79</v>
      </c>
      <c r="AJ221" s="6" t="s">
        <v>79</v>
      </c>
      <c r="AK221" s="6" t="s">
        <v>79</v>
      </c>
      <c r="AL221" s="6" t="s">
        <v>2387</v>
      </c>
      <c r="AM221" s="6" t="s">
        <v>2535</v>
      </c>
      <c r="AN221" s="7" t="str">
        <f aca="false">BA221&amp;", "&amp;AZ221</f>
        <v>Multiple Photo Layout, Photo / Photoshop / Design, Devmobile Stores, मल्टीपल फोटो लेआउट, फोटो / फोटोशॉप / डिज़ाइन, सेवा</v>
      </c>
      <c r="AO221" s="6" t="s">
        <v>2563</v>
      </c>
      <c r="AP221" s="5" t="s">
        <v>2430</v>
      </c>
      <c r="AQ221" s="5" t="n">
        <v>160</v>
      </c>
      <c r="AR221" s="6" t="s">
        <v>133</v>
      </c>
      <c r="AS221" s="6"/>
      <c r="AT221" s="6" t="s">
        <v>86</v>
      </c>
      <c r="AU221" s="10"/>
      <c r="AV221" s="6" t="s">
        <v>75</v>
      </c>
      <c r="AW221" s="6"/>
      <c r="AX221" s="6" t="s">
        <v>2564</v>
      </c>
      <c r="AY221" s="6" t="s">
        <v>2565</v>
      </c>
      <c r="AZ221" s="6" t="s">
        <v>2566</v>
      </c>
      <c r="BA221" s="6" t="s">
        <v>2567</v>
      </c>
      <c r="BB221" s="6"/>
      <c r="BC221" s="11" t="str">
        <f aca="false">IFERROR(INDEX(CATEGORY_MASTER!$C$4:$C$30,MATCH(B221,CATEGORY_MASTER!$A$4:$A$30,0)),"")</f>
        <v>📷</v>
      </c>
      <c r="BD221" s="7" t="str">
        <f aca="false">"/services/"&amp;AO221</f>
        <v>/services/multiple-photo-layout</v>
      </c>
      <c r="BE221" s="7" t="str">
        <f aca="false">IF(AND(AH221="Yes",AG221="Active",I221&lt;&gt;"Not Available"),"LIVE","HIDDEN")</f>
        <v>LIVE</v>
      </c>
      <c r="BF221" s="6" t="s">
        <v>139</v>
      </c>
      <c r="BG221" s="6" t="s">
        <v>452</v>
      </c>
      <c r="BH221" s="7" t="str">
        <f aca="false">B221&amp;"|"&amp;COUNTIF($B$4:B221,B221)</f>
        <v>Photo / Photoshop / Design|16</v>
      </c>
      <c r="BI221" s="7" t="str">
        <f aca="false">IF(AND(AI221="Yes",BE221="LIVE"),COUNTIFS($AI$4:AI221,"Yes",$BE$4:BE221,"LIVE"),"")</f>
        <v/>
      </c>
      <c r="BJ221" s="7" t="str">
        <f aca="false">IF(AND(AJ221="Yes",BE221="LIVE"),COUNTIFS($AJ$4:AJ221,"Yes",$BE$4:BE221,"LIVE"),"")</f>
        <v/>
      </c>
      <c r="BK221" s="7" t="str">
        <f aca="false">IF(AND(AK221="Yes",BE221="LIVE"),COUNTIFS($AK$4:AK221,"Yes",$BE$4:BE221,"LIVE"),"")</f>
        <v/>
      </c>
      <c r="BL221" s="7" t="str">
        <f aca="false">IF(I221="To Verify",COUNTIF($I$4:I221,"To Verify"),"")</f>
        <v/>
      </c>
    </row>
    <row r="222" customFormat="false" ht="57.45" hidden="false" customHeight="false" outlineLevel="0" collapsed="false">
      <c r="A222" s="5" t="s">
        <v>2568</v>
      </c>
      <c r="B222" s="6" t="s">
        <v>2387</v>
      </c>
      <c r="C222" s="6" t="s">
        <v>2388</v>
      </c>
      <c r="D222" s="6" t="s">
        <v>2569</v>
      </c>
      <c r="E222" s="6" t="s">
        <v>2570</v>
      </c>
      <c r="F222" s="6" t="s">
        <v>2571</v>
      </c>
      <c r="G222" s="6" t="s">
        <v>2572</v>
      </c>
      <c r="H222" s="6" t="s">
        <v>2573</v>
      </c>
      <c r="I222" s="5" t="s">
        <v>167</v>
      </c>
      <c r="J222" s="7" t="str">
        <f aca="false">IFERROR(INDEX(AVAILABILITY_MASTER!$C$4:$C$10,MATCH(I222,AVAILABILITY_MASTER!$A$4:$A$10,0)),"To Be Confirmed")</f>
        <v>Available</v>
      </c>
      <c r="K222" s="6" t="s">
        <v>79</v>
      </c>
      <c r="L222" s="6" t="s">
        <v>437</v>
      </c>
      <c r="M222" s="7" t="str">
        <f aca="false">IFERROR(INDEX(SERVICE_DOCUMENTS!$S$4:$S$1000,MATCH(A222,SERVICE_DOCUMENTS!$A$4:$A$1000,0))&amp;"","")</f>
        <v>✓ Design Content / Text</v>
      </c>
      <c r="N222" s="7" t="str">
        <f aca="false">IFERROR(INDEX(SERVICE_DOCUMENTS!$T$4:$T$1000,MATCH(A222,SERVICE_DOCUMENTS!$A$4:$A$1000,0))&amp;"","")</f>
        <v/>
      </c>
      <c r="O222" s="6" t="s">
        <v>645</v>
      </c>
      <c r="P222" s="6" t="s">
        <v>2574</v>
      </c>
      <c r="Q222" s="6" t="s">
        <v>756</v>
      </c>
      <c r="R222" s="8" t="s">
        <v>441</v>
      </c>
      <c r="S222" s="8" t="s">
        <v>75</v>
      </c>
      <c r="T222" s="9" t="str">
        <f aca="false">IF(AND(OR(ISNUMBER(R222),R222="N/A"),OR(ISNUMBER(S222),S222="N/A"),OR(ISNUMBER(R222),ISNUMBER(S222))),N(R222)+N(S222),"To Verify")</f>
        <v>To Verify</v>
      </c>
      <c r="U222" s="6" t="s">
        <v>442</v>
      </c>
      <c r="V222" s="6" t="s">
        <v>79</v>
      </c>
      <c r="W222" s="6" t="s">
        <v>80</v>
      </c>
      <c r="X222" s="6" t="s">
        <v>443</v>
      </c>
      <c r="Y222" s="6" t="s">
        <v>79</v>
      </c>
      <c r="Z222" s="6"/>
      <c r="AA222" s="6" t="s">
        <v>74</v>
      </c>
      <c r="AB222" s="6" t="s">
        <v>79</v>
      </c>
      <c r="AC222" s="6" t="s">
        <v>75</v>
      </c>
      <c r="AD222" s="6" t="s">
        <v>75</v>
      </c>
      <c r="AE222" s="6" t="s">
        <v>79</v>
      </c>
      <c r="AF222" s="6" t="s">
        <v>79</v>
      </c>
      <c r="AG222" s="6" t="s">
        <v>170</v>
      </c>
      <c r="AH222" s="6" t="s">
        <v>74</v>
      </c>
      <c r="AI222" s="6" t="s">
        <v>79</v>
      </c>
      <c r="AJ222" s="6" t="s">
        <v>79</v>
      </c>
      <c r="AK222" s="6" t="s">
        <v>79</v>
      </c>
      <c r="AL222" s="6" t="s">
        <v>2387</v>
      </c>
      <c r="AM222" s="6" t="s">
        <v>2569</v>
      </c>
      <c r="AN222" s="7" t="str">
        <f aca="false">BA222&amp;", "&amp;AZ222</f>
        <v>Visiting Card Design, Photo / Photoshop / Design, Devmobile Stores, विजिटिंग कार्ड डिज़ाइन, फोटो / फोटोशॉप / डिज़ाइन, सेवा</v>
      </c>
      <c r="AO222" s="6" t="s">
        <v>2575</v>
      </c>
      <c r="AP222" s="5" t="s">
        <v>2576</v>
      </c>
      <c r="AQ222" s="5" t="n">
        <v>170</v>
      </c>
      <c r="AR222" s="6" t="s">
        <v>133</v>
      </c>
      <c r="AS222" s="6"/>
      <c r="AT222" s="6" t="s">
        <v>86</v>
      </c>
      <c r="AU222" s="10"/>
      <c r="AV222" s="6" t="s">
        <v>75</v>
      </c>
      <c r="AW222" s="6"/>
      <c r="AX222" s="6" t="s">
        <v>2577</v>
      </c>
      <c r="AY222" s="6" t="s">
        <v>2578</v>
      </c>
      <c r="AZ222" s="6" t="s">
        <v>2579</v>
      </c>
      <c r="BA222" s="6" t="s">
        <v>2580</v>
      </c>
      <c r="BB222" s="6"/>
      <c r="BC222" s="11" t="str">
        <f aca="false">IFERROR(INDEX(CATEGORY_MASTER!$C$4:$C$30,MATCH(B222,CATEGORY_MASTER!$A$4:$A$30,0)),"")</f>
        <v>📷</v>
      </c>
      <c r="BD222" s="7" t="str">
        <f aca="false">"/services/"&amp;AO222</f>
        <v>/services/visiting-card-design</v>
      </c>
      <c r="BE222" s="7" t="str">
        <f aca="false">IF(AND(AH222="Yes",AG222="Active",I222&lt;&gt;"Not Available"),"LIVE","HIDDEN")</f>
        <v>LIVE</v>
      </c>
      <c r="BF222" s="6" t="s">
        <v>139</v>
      </c>
      <c r="BG222" s="6" t="s">
        <v>1892</v>
      </c>
      <c r="BH222" s="7" t="str">
        <f aca="false">B222&amp;"|"&amp;COUNTIF($B$4:B222,B222)</f>
        <v>Photo / Photoshop / Design|17</v>
      </c>
      <c r="BI222" s="7" t="str">
        <f aca="false">IF(AND(AI222="Yes",BE222="LIVE"),COUNTIFS($AI$4:AI222,"Yes",$BE$4:BE222,"LIVE"),"")</f>
        <v/>
      </c>
      <c r="BJ222" s="7" t="str">
        <f aca="false">IF(AND(AJ222="Yes",BE222="LIVE"),COUNTIFS($AJ$4:AJ222,"Yes",$BE$4:BE222,"LIVE"),"")</f>
        <v/>
      </c>
      <c r="BK222" s="7" t="str">
        <f aca="false">IF(AND(AK222="Yes",BE222="LIVE"),COUNTIFS($AK$4:AK222,"Yes",$BE$4:BE222,"LIVE"),"")</f>
        <v/>
      </c>
      <c r="BL222" s="7" t="str">
        <f aca="false">IF(I222="To Verify",COUNTIF($I$4:I222,"To Verify"),"")</f>
        <v/>
      </c>
    </row>
    <row r="223" customFormat="false" ht="57.45" hidden="false" customHeight="false" outlineLevel="0" collapsed="false">
      <c r="A223" s="5" t="s">
        <v>2581</v>
      </c>
      <c r="B223" s="6" t="s">
        <v>2387</v>
      </c>
      <c r="C223" s="6" t="s">
        <v>2388</v>
      </c>
      <c r="D223" s="6" t="s">
        <v>2569</v>
      </c>
      <c r="E223" s="6" t="s">
        <v>2582</v>
      </c>
      <c r="F223" s="6" t="s">
        <v>2583</v>
      </c>
      <c r="G223" s="6" t="s">
        <v>2584</v>
      </c>
      <c r="H223" s="6" t="s">
        <v>2585</v>
      </c>
      <c r="I223" s="5" t="s">
        <v>167</v>
      </c>
      <c r="J223" s="7" t="str">
        <f aca="false">IFERROR(INDEX(AVAILABILITY_MASTER!$C$4:$C$10,MATCH(I223,AVAILABILITY_MASTER!$A$4:$A$10,0)),"To Be Confirmed")</f>
        <v>Available</v>
      </c>
      <c r="K223" s="6" t="s">
        <v>79</v>
      </c>
      <c r="L223" s="6" t="s">
        <v>437</v>
      </c>
      <c r="M223" s="7" t="str">
        <f aca="false">IFERROR(INDEX(SERVICE_DOCUMENTS!$S$4:$S$1000,MATCH(A223,SERVICE_DOCUMENTS!$A$4:$A$1000,0))&amp;"","")</f>
        <v>✓ Design Content / Text</v>
      </c>
      <c r="N223" s="7" t="str">
        <f aca="false">IFERROR(INDEX(SERVICE_DOCUMENTS!$T$4:$T$1000,MATCH(A223,SERVICE_DOCUMENTS!$A$4:$A$1000,0))&amp;"","")</f>
        <v/>
      </c>
      <c r="O223" s="6" t="s">
        <v>645</v>
      </c>
      <c r="P223" s="6" t="s">
        <v>2574</v>
      </c>
      <c r="Q223" s="6" t="s">
        <v>756</v>
      </c>
      <c r="R223" s="8" t="s">
        <v>441</v>
      </c>
      <c r="S223" s="8" t="s">
        <v>75</v>
      </c>
      <c r="T223" s="9" t="str">
        <f aca="false">IF(AND(OR(ISNUMBER(R223),R223="N/A"),OR(ISNUMBER(S223),S223="N/A"),OR(ISNUMBER(R223),ISNUMBER(S223))),N(R223)+N(S223),"To Verify")</f>
        <v>To Verify</v>
      </c>
      <c r="U223" s="6" t="s">
        <v>442</v>
      </c>
      <c r="V223" s="6" t="s">
        <v>79</v>
      </c>
      <c r="W223" s="6" t="s">
        <v>80</v>
      </c>
      <c r="X223" s="6" t="s">
        <v>443</v>
      </c>
      <c r="Y223" s="6" t="s">
        <v>79</v>
      </c>
      <c r="Z223" s="6"/>
      <c r="AA223" s="6" t="s">
        <v>74</v>
      </c>
      <c r="AB223" s="6" t="s">
        <v>79</v>
      </c>
      <c r="AC223" s="6" t="s">
        <v>75</v>
      </c>
      <c r="AD223" s="6" t="s">
        <v>75</v>
      </c>
      <c r="AE223" s="6" t="s">
        <v>79</v>
      </c>
      <c r="AF223" s="6" t="s">
        <v>79</v>
      </c>
      <c r="AG223" s="6" t="s">
        <v>170</v>
      </c>
      <c r="AH223" s="6" t="s">
        <v>74</v>
      </c>
      <c r="AI223" s="6" t="s">
        <v>79</v>
      </c>
      <c r="AJ223" s="6" t="s">
        <v>79</v>
      </c>
      <c r="AK223" s="6" t="s">
        <v>79</v>
      </c>
      <c r="AL223" s="6" t="s">
        <v>2387</v>
      </c>
      <c r="AM223" s="6" t="s">
        <v>2569</v>
      </c>
      <c r="AN223" s="7" t="str">
        <f aca="false">BA223&amp;", "&amp;AZ223</f>
        <v>ID Card Design, Photo / Photoshop / Design, Devmobile Stores, आईडी कार्ड डिज़ाइन, फोटो / फोटोशॉप / डिज़ाइन, सेवा</v>
      </c>
      <c r="AO223" s="6" t="s">
        <v>2586</v>
      </c>
      <c r="AP223" s="5" t="s">
        <v>2576</v>
      </c>
      <c r="AQ223" s="5" t="n">
        <v>180</v>
      </c>
      <c r="AR223" s="6" t="s">
        <v>133</v>
      </c>
      <c r="AS223" s="6"/>
      <c r="AT223" s="6" t="s">
        <v>86</v>
      </c>
      <c r="AU223" s="10"/>
      <c r="AV223" s="6" t="s">
        <v>75</v>
      </c>
      <c r="AW223" s="6"/>
      <c r="AX223" s="6" t="s">
        <v>2587</v>
      </c>
      <c r="AY223" s="6" t="s">
        <v>2588</v>
      </c>
      <c r="AZ223" s="6" t="s">
        <v>2589</v>
      </c>
      <c r="BA223" s="6" t="s">
        <v>2590</v>
      </c>
      <c r="BB223" s="6"/>
      <c r="BC223" s="11" t="str">
        <f aca="false">IFERROR(INDEX(CATEGORY_MASTER!$C$4:$C$30,MATCH(B223,CATEGORY_MASTER!$A$4:$A$30,0)),"")</f>
        <v>📷</v>
      </c>
      <c r="BD223" s="7" t="str">
        <f aca="false">"/services/"&amp;AO223</f>
        <v>/services/id-card-design</v>
      </c>
      <c r="BE223" s="7" t="str">
        <f aca="false">IF(AND(AH223="Yes",AG223="Active",I223&lt;&gt;"Not Available"),"LIVE","HIDDEN")</f>
        <v>LIVE</v>
      </c>
      <c r="BF223" s="6" t="s">
        <v>139</v>
      </c>
      <c r="BG223" s="6" t="s">
        <v>1892</v>
      </c>
      <c r="BH223" s="7" t="str">
        <f aca="false">B223&amp;"|"&amp;COUNTIF($B$4:B223,B223)</f>
        <v>Photo / Photoshop / Design|18</v>
      </c>
      <c r="BI223" s="7" t="str">
        <f aca="false">IF(AND(AI223="Yes",BE223="LIVE"),COUNTIFS($AI$4:AI223,"Yes",$BE$4:BE223,"LIVE"),"")</f>
        <v/>
      </c>
      <c r="BJ223" s="7" t="str">
        <f aca="false">IF(AND(AJ223="Yes",BE223="LIVE"),COUNTIFS($AJ$4:AJ223,"Yes",$BE$4:BE223,"LIVE"),"")</f>
        <v/>
      </c>
      <c r="BK223" s="7" t="str">
        <f aca="false">IF(AND(AK223="Yes",BE223="LIVE"),COUNTIFS($AK$4:AK223,"Yes",$BE$4:BE223,"LIVE"),"")</f>
        <v/>
      </c>
      <c r="BL223" s="7" t="str">
        <f aca="false">IF(I223="To Verify",COUNTIF($I$4:I223,"To Verify"),"")</f>
        <v/>
      </c>
    </row>
    <row r="224" customFormat="false" ht="57.45" hidden="false" customHeight="false" outlineLevel="0" collapsed="false">
      <c r="A224" s="5" t="s">
        <v>2591</v>
      </c>
      <c r="B224" s="6" t="s">
        <v>2387</v>
      </c>
      <c r="C224" s="6" t="s">
        <v>2388</v>
      </c>
      <c r="D224" s="6" t="s">
        <v>2569</v>
      </c>
      <c r="E224" s="6" t="s">
        <v>2592</v>
      </c>
      <c r="F224" s="6" t="s">
        <v>2593</v>
      </c>
      <c r="G224" s="6" t="s">
        <v>2594</v>
      </c>
      <c r="H224" s="6" t="s">
        <v>2595</v>
      </c>
      <c r="I224" s="5" t="s">
        <v>167</v>
      </c>
      <c r="J224" s="7" t="str">
        <f aca="false">IFERROR(INDEX(AVAILABILITY_MASTER!$C$4:$C$10,MATCH(I224,AVAILABILITY_MASTER!$A$4:$A$10,0)),"To Be Confirmed")</f>
        <v>Available</v>
      </c>
      <c r="K224" s="6" t="s">
        <v>79</v>
      </c>
      <c r="L224" s="6" t="s">
        <v>437</v>
      </c>
      <c r="M224" s="7" t="str">
        <f aca="false">IFERROR(INDEX(SERVICE_DOCUMENTS!$S$4:$S$1000,MATCH(A224,SERVICE_DOCUMENTS!$A$4:$A$1000,0))&amp;"","")</f>
        <v>✓ Design Content / Text</v>
      </c>
      <c r="N224" s="7" t="str">
        <f aca="false">IFERROR(INDEX(SERVICE_DOCUMENTS!$T$4:$T$1000,MATCH(A224,SERVICE_DOCUMENTS!$A$4:$A$1000,0))&amp;"","")</f>
        <v/>
      </c>
      <c r="O224" s="6" t="s">
        <v>645</v>
      </c>
      <c r="P224" s="6" t="s">
        <v>2574</v>
      </c>
      <c r="Q224" s="6" t="s">
        <v>756</v>
      </c>
      <c r="R224" s="8" t="s">
        <v>441</v>
      </c>
      <c r="S224" s="8" t="s">
        <v>75</v>
      </c>
      <c r="T224" s="9" t="str">
        <f aca="false">IF(AND(OR(ISNUMBER(R224),R224="N/A"),OR(ISNUMBER(S224),S224="N/A"),OR(ISNUMBER(R224),ISNUMBER(S224))),N(R224)+N(S224),"To Verify")</f>
        <v>To Verify</v>
      </c>
      <c r="U224" s="6" t="s">
        <v>442</v>
      </c>
      <c r="V224" s="6" t="s">
        <v>79</v>
      </c>
      <c r="W224" s="6" t="s">
        <v>80</v>
      </c>
      <c r="X224" s="6" t="s">
        <v>443</v>
      </c>
      <c r="Y224" s="6" t="s">
        <v>79</v>
      </c>
      <c r="Z224" s="6"/>
      <c r="AA224" s="6" t="s">
        <v>74</v>
      </c>
      <c r="AB224" s="6" t="s">
        <v>79</v>
      </c>
      <c r="AC224" s="6" t="s">
        <v>75</v>
      </c>
      <c r="AD224" s="6" t="s">
        <v>75</v>
      </c>
      <c r="AE224" s="6" t="s">
        <v>79</v>
      </c>
      <c r="AF224" s="6" t="s">
        <v>79</v>
      </c>
      <c r="AG224" s="6" t="s">
        <v>170</v>
      </c>
      <c r="AH224" s="6" t="s">
        <v>74</v>
      </c>
      <c r="AI224" s="6" t="s">
        <v>79</v>
      </c>
      <c r="AJ224" s="6" t="s">
        <v>79</v>
      </c>
      <c r="AK224" s="6" t="s">
        <v>79</v>
      </c>
      <c r="AL224" s="6" t="s">
        <v>2387</v>
      </c>
      <c r="AM224" s="6" t="s">
        <v>2569</v>
      </c>
      <c r="AN224" s="7" t="str">
        <f aca="false">BA224&amp;", "&amp;AZ224</f>
        <v>Certificate Design, Photo / Photoshop / Design, Devmobile Stores, सर्टिफिकेट डिज़ाइन, फोटो / फोटोशॉप / डिज़ाइन, सेवा</v>
      </c>
      <c r="AO224" s="6" t="s">
        <v>2596</v>
      </c>
      <c r="AP224" s="5" t="s">
        <v>2576</v>
      </c>
      <c r="AQ224" s="5" t="n">
        <v>190</v>
      </c>
      <c r="AR224" s="6" t="s">
        <v>133</v>
      </c>
      <c r="AS224" s="6"/>
      <c r="AT224" s="6" t="s">
        <v>86</v>
      </c>
      <c r="AU224" s="10"/>
      <c r="AV224" s="6" t="s">
        <v>75</v>
      </c>
      <c r="AW224" s="6"/>
      <c r="AX224" s="6" t="s">
        <v>2597</v>
      </c>
      <c r="AY224" s="6" t="s">
        <v>2598</v>
      </c>
      <c r="AZ224" s="6" t="s">
        <v>2599</v>
      </c>
      <c r="BA224" s="6" t="s">
        <v>2600</v>
      </c>
      <c r="BB224" s="6"/>
      <c r="BC224" s="11" t="str">
        <f aca="false">IFERROR(INDEX(CATEGORY_MASTER!$C$4:$C$30,MATCH(B224,CATEGORY_MASTER!$A$4:$A$30,0)),"")</f>
        <v>📷</v>
      </c>
      <c r="BD224" s="7" t="str">
        <f aca="false">"/services/"&amp;AO224</f>
        <v>/services/certificate-design</v>
      </c>
      <c r="BE224" s="7" t="str">
        <f aca="false">IF(AND(AH224="Yes",AG224="Active",I224&lt;&gt;"Not Available"),"LIVE","HIDDEN")</f>
        <v>LIVE</v>
      </c>
      <c r="BF224" s="6" t="s">
        <v>139</v>
      </c>
      <c r="BG224" s="6" t="s">
        <v>1892</v>
      </c>
      <c r="BH224" s="7" t="str">
        <f aca="false">B224&amp;"|"&amp;COUNTIF($B$4:B224,B224)</f>
        <v>Photo / Photoshop / Design|19</v>
      </c>
      <c r="BI224" s="7" t="str">
        <f aca="false">IF(AND(AI224="Yes",BE224="LIVE"),COUNTIFS($AI$4:AI224,"Yes",$BE$4:BE224,"LIVE"),"")</f>
        <v/>
      </c>
      <c r="BJ224" s="7" t="str">
        <f aca="false">IF(AND(AJ224="Yes",BE224="LIVE"),COUNTIFS($AJ$4:AJ224,"Yes",$BE$4:BE224,"LIVE"),"")</f>
        <v/>
      </c>
      <c r="BK224" s="7" t="str">
        <f aca="false">IF(AND(AK224="Yes",BE224="LIVE"),COUNTIFS($AK$4:AK224,"Yes",$BE$4:BE224,"LIVE"),"")</f>
        <v/>
      </c>
      <c r="BL224" s="7" t="str">
        <f aca="false">IF(I224="To Verify",COUNTIF($I$4:I224,"To Verify"),"")</f>
        <v/>
      </c>
    </row>
    <row r="225" customFormat="false" ht="57.45" hidden="false" customHeight="false" outlineLevel="0" collapsed="false">
      <c r="A225" s="5" t="s">
        <v>2601</v>
      </c>
      <c r="B225" s="6" t="s">
        <v>2387</v>
      </c>
      <c r="C225" s="6" t="s">
        <v>2388</v>
      </c>
      <c r="D225" s="6" t="s">
        <v>2569</v>
      </c>
      <c r="E225" s="6" t="s">
        <v>2602</v>
      </c>
      <c r="F225" s="6" t="s">
        <v>2603</v>
      </c>
      <c r="G225" s="6" t="s">
        <v>2604</v>
      </c>
      <c r="H225" s="6" t="s">
        <v>2605</v>
      </c>
      <c r="I225" s="5" t="s">
        <v>167</v>
      </c>
      <c r="J225" s="7" t="str">
        <f aca="false">IFERROR(INDEX(AVAILABILITY_MASTER!$C$4:$C$10,MATCH(I225,AVAILABILITY_MASTER!$A$4:$A$10,0)),"To Be Confirmed")</f>
        <v>Available</v>
      </c>
      <c r="K225" s="6" t="s">
        <v>79</v>
      </c>
      <c r="L225" s="6" t="s">
        <v>437</v>
      </c>
      <c r="M225" s="7" t="str">
        <f aca="false">IFERROR(INDEX(SERVICE_DOCUMENTS!$S$4:$S$1000,MATCH(A225,SERVICE_DOCUMENTS!$A$4:$A$1000,0))&amp;"","")</f>
        <v>✓ Design Content / Text</v>
      </c>
      <c r="N225" s="7" t="str">
        <f aca="false">IFERROR(INDEX(SERVICE_DOCUMENTS!$T$4:$T$1000,MATCH(A225,SERVICE_DOCUMENTS!$A$4:$A$1000,0))&amp;"","")</f>
        <v/>
      </c>
      <c r="O225" s="6" t="s">
        <v>645</v>
      </c>
      <c r="P225" s="6" t="s">
        <v>2574</v>
      </c>
      <c r="Q225" s="6" t="s">
        <v>756</v>
      </c>
      <c r="R225" s="8" t="s">
        <v>441</v>
      </c>
      <c r="S225" s="8" t="s">
        <v>75</v>
      </c>
      <c r="T225" s="9" t="str">
        <f aca="false">IF(AND(OR(ISNUMBER(R225),R225="N/A"),OR(ISNUMBER(S225),S225="N/A"),OR(ISNUMBER(R225),ISNUMBER(S225))),N(R225)+N(S225),"To Verify")</f>
        <v>To Verify</v>
      </c>
      <c r="U225" s="6" t="s">
        <v>442</v>
      </c>
      <c r="V225" s="6" t="s">
        <v>79</v>
      </c>
      <c r="W225" s="6" t="s">
        <v>80</v>
      </c>
      <c r="X225" s="6" t="s">
        <v>443</v>
      </c>
      <c r="Y225" s="6" t="s">
        <v>79</v>
      </c>
      <c r="Z225" s="6"/>
      <c r="AA225" s="6" t="s">
        <v>74</v>
      </c>
      <c r="AB225" s="6" t="s">
        <v>79</v>
      </c>
      <c r="AC225" s="6" t="s">
        <v>75</v>
      </c>
      <c r="AD225" s="6" t="s">
        <v>75</v>
      </c>
      <c r="AE225" s="6" t="s">
        <v>79</v>
      </c>
      <c r="AF225" s="6" t="s">
        <v>79</v>
      </c>
      <c r="AG225" s="6" t="s">
        <v>170</v>
      </c>
      <c r="AH225" s="6" t="s">
        <v>74</v>
      </c>
      <c r="AI225" s="6" t="s">
        <v>79</v>
      </c>
      <c r="AJ225" s="6" t="s">
        <v>79</v>
      </c>
      <c r="AK225" s="6" t="s">
        <v>79</v>
      </c>
      <c r="AL225" s="6" t="s">
        <v>2387</v>
      </c>
      <c r="AM225" s="6" t="s">
        <v>2569</v>
      </c>
      <c r="AN225" s="7" t="str">
        <f aca="false">BA225&amp;", "&amp;AZ225</f>
        <v>Poster Design, Photo / Photoshop / Design, Devmobile Stores, पोस्टर डिज़ाइन, फोटो / फोटोशॉप / डिज़ाइन, सेवा</v>
      </c>
      <c r="AO225" s="6" t="s">
        <v>2606</v>
      </c>
      <c r="AP225" s="5" t="s">
        <v>2576</v>
      </c>
      <c r="AQ225" s="5" t="n">
        <v>200</v>
      </c>
      <c r="AR225" s="6" t="s">
        <v>133</v>
      </c>
      <c r="AS225" s="6"/>
      <c r="AT225" s="6" t="s">
        <v>86</v>
      </c>
      <c r="AU225" s="10"/>
      <c r="AV225" s="6" t="s">
        <v>75</v>
      </c>
      <c r="AW225" s="6"/>
      <c r="AX225" s="6" t="s">
        <v>2607</v>
      </c>
      <c r="AY225" s="6" t="s">
        <v>2608</v>
      </c>
      <c r="AZ225" s="6" t="s">
        <v>2609</v>
      </c>
      <c r="BA225" s="6" t="s">
        <v>2610</v>
      </c>
      <c r="BB225" s="6"/>
      <c r="BC225" s="11" t="str">
        <f aca="false">IFERROR(INDEX(CATEGORY_MASTER!$C$4:$C$30,MATCH(B225,CATEGORY_MASTER!$A$4:$A$30,0)),"")</f>
        <v>📷</v>
      </c>
      <c r="BD225" s="7" t="str">
        <f aca="false">"/services/"&amp;AO225</f>
        <v>/services/poster-design</v>
      </c>
      <c r="BE225" s="7" t="str">
        <f aca="false">IF(AND(AH225="Yes",AG225="Active",I225&lt;&gt;"Not Available"),"LIVE","HIDDEN")</f>
        <v>LIVE</v>
      </c>
      <c r="BF225" s="6" t="s">
        <v>139</v>
      </c>
      <c r="BG225" s="6" t="s">
        <v>1892</v>
      </c>
      <c r="BH225" s="7" t="str">
        <f aca="false">B225&amp;"|"&amp;COUNTIF($B$4:B225,B225)</f>
        <v>Photo / Photoshop / Design|20</v>
      </c>
      <c r="BI225" s="7" t="str">
        <f aca="false">IF(AND(AI225="Yes",BE225="LIVE"),COUNTIFS($AI$4:AI225,"Yes",$BE$4:BE225,"LIVE"),"")</f>
        <v/>
      </c>
      <c r="BJ225" s="7" t="str">
        <f aca="false">IF(AND(AJ225="Yes",BE225="LIVE"),COUNTIFS($AJ$4:AJ225,"Yes",$BE$4:BE225,"LIVE"),"")</f>
        <v/>
      </c>
      <c r="BK225" s="7" t="str">
        <f aca="false">IF(AND(AK225="Yes",BE225="LIVE"),COUNTIFS($AK$4:AK225,"Yes",$BE$4:BE225,"LIVE"),"")</f>
        <v/>
      </c>
      <c r="BL225" s="7" t="str">
        <f aca="false">IF(I225="To Verify",COUNTIF($I$4:I225,"To Verify"),"")</f>
        <v/>
      </c>
    </row>
    <row r="226" customFormat="false" ht="57.45" hidden="false" customHeight="false" outlineLevel="0" collapsed="false">
      <c r="A226" s="5" t="s">
        <v>2611</v>
      </c>
      <c r="B226" s="6" t="s">
        <v>2387</v>
      </c>
      <c r="C226" s="6" t="s">
        <v>2388</v>
      </c>
      <c r="D226" s="6" t="s">
        <v>2569</v>
      </c>
      <c r="E226" s="6" t="s">
        <v>2612</v>
      </c>
      <c r="F226" s="6" t="s">
        <v>2613</v>
      </c>
      <c r="G226" s="6" t="s">
        <v>2614</v>
      </c>
      <c r="H226" s="6" t="s">
        <v>2615</v>
      </c>
      <c r="I226" s="5" t="s">
        <v>167</v>
      </c>
      <c r="J226" s="7" t="str">
        <f aca="false">IFERROR(INDEX(AVAILABILITY_MASTER!$C$4:$C$10,MATCH(I226,AVAILABILITY_MASTER!$A$4:$A$10,0)),"To Be Confirmed")</f>
        <v>Available</v>
      </c>
      <c r="K226" s="6" t="s">
        <v>79</v>
      </c>
      <c r="L226" s="6" t="s">
        <v>437</v>
      </c>
      <c r="M226" s="7" t="str">
        <f aca="false">IFERROR(INDEX(SERVICE_DOCUMENTS!$S$4:$S$1000,MATCH(A226,SERVICE_DOCUMENTS!$A$4:$A$1000,0))&amp;"","")</f>
        <v>✓ Design Content / Text</v>
      </c>
      <c r="N226" s="7" t="str">
        <f aca="false">IFERROR(INDEX(SERVICE_DOCUMENTS!$T$4:$T$1000,MATCH(A226,SERVICE_DOCUMENTS!$A$4:$A$1000,0))&amp;"","")</f>
        <v/>
      </c>
      <c r="O226" s="6" t="s">
        <v>645</v>
      </c>
      <c r="P226" s="6" t="s">
        <v>2574</v>
      </c>
      <c r="Q226" s="6" t="s">
        <v>756</v>
      </c>
      <c r="R226" s="8" t="s">
        <v>441</v>
      </c>
      <c r="S226" s="8" t="s">
        <v>75</v>
      </c>
      <c r="T226" s="9" t="str">
        <f aca="false">IF(AND(OR(ISNUMBER(R226),R226="N/A"),OR(ISNUMBER(S226),S226="N/A"),OR(ISNUMBER(R226),ISNUMBER(S226))),N(R226)+N(S226),"To Verify")</f>
        <v>To Verify</v>
      </c>
      <c r="U226" s="6" t="s">
        <v>442</v>
      </c>
      <c r="V226" s="6" t="s">
        <v>79</v>
      </c>
      <c r="W226" s="6" t="s">
        <v>80</v>
      </c>
      <c r="X226" s="6" t="s">
        <v>443</v>
      </c>
      <c r="Y226" s="6" t="s">
        <v>79</v>
      </c>
      <c r="Z226" s="6"/>
      <c r="AA226" s="6" t="s">
        <v>74</v>
      </c>
      <c r="AB226" s="6" t="s">
        <v>79</v>
      </c>
      <c r="AC226" s="6" t="s">
        <v>75</v>
      </c>
      <c r="AD226" s="6" t="s">
        <v>75</v>
      </c>
      <c r="AE226" s="6" t="s">
        <v>79</v>
      </c>
      <c r="AF226" s="6" t="s">
        <v>79</v>
      </c>
      <c r="AG226" s="6" t="s">
        <v>170</v>
      </c>
      <c r="AH226" s="6" t="s">
        <v>74</v>
      </c>
      <c r="AI226" s="6" t="s">
        <v>79</v>
      </c>
      <c r="AJ226" s="6" t="s">
        <v>79</v>
      </c>
      <c r="AK226" s="6" t="s">
        <v>79</v>
      </c>
      <c r="AL226" s="6" t="s">
        <v>2387</v>
      </c>
      <c r="AM226" s="6" t="s">
        <v>2569</v>
      </c>
      <c r="AN226" s="7" t="str">
        <f aca="false">BA226&amp;", "&amp;AZ226</f>
        <v>Banner Design, Photo / Photoshop / Design, Devmobile Stores, बैनर डिज़ाइन, फोटो / फोटोशॉप / डिज़ाइन, सेवा</v>
      </c>
      <c r="AO226" s="6" t="s">
        <v>2616</v>
      </c>
      <c r="AP226" s="5" t="s">
        <v>2576</v>
      </c>
      <c r="AQ226" s="5" t="n">
        <v>210</v>
      </c>
      <c r="AR226" s="6" t="s">
        <v>133</v>
      </c>
      <c r="AS226" s="6"/>
      <c r="AT226" s="6" t="s">
        <v>86</v>
      </c>
      <c r="AU226" s="10"/>
      <c r="AV226" s="6" t="s">
        <v>75</v>
      </c>
      <c r="AW226" s="6"/>
      <c r="AX226" s="6" t="s">
        <v>2617</v>
      </c>
      <c r="AY226" s="6" t="s">
        <v>2618</v>
      </c>
      <c r="AZ226" s="6" t="s">
        <v>2619</v>
      </c>
      <c r="BA226" s="6" t="s">
        <v>2620</v>
      </c>
      <c r="BB226" s="6"/>
      <c r="BC226" s="11" t="str">
        <f aca="false">IFERROR(INDEX(CATEGORY_MASTER!$C$4:$C$30,MATCH(B226,CATEGORY_MASTER!$A$4:$A$30,0)),"")</f>
        <v>📷</v>
      </c>
      <c r="BD226" s="7" t="str">
        <f aca="false">"/services/"&amp;AO226</f>
        <v>/services/banner-design</v>
      </c>
      <c r="BE226" s="7" t="str">
        <f aca="false">IF(AND(AH226="Yes",AG226="Active",I226&lt;&gt;"Not Available"),"LIVE","HIDDEN")</f>
        <v>LIVE</v>
      </c>
      <c r="BF226" s="6" t="s">
        <v>139</v>
      </c>
      <c r="BG226" s="6" t="s">
        <v>1892</v>
      </c>
      <c r="BH226" s="7" t="str">
        <f aca="false">B226&amp;"|"&amp;COUNTIF($B$4:B226,B226)</f>
        <v>Photo / Photoshop / Design|21</v>
      </c>
      <c r="BI226" s="7" t="str">
        <f aca="false">IF(AND(AI226="Yes",BE226="LIVE"),COUNTIFS($AI$4:AI226,"Yes",$BE$4:BE226,"LIVE"),"")</f>
        <v/>
      </c>
      <c r="BJ226" s="7" t="str">
        <f aca="false">IF(AND(AJ226="Yes",BE226="LIVE"),COUNTIFS($AJ$4:AJ226,"Yes",$BE$4:BE226,"LIVE"),"")</f>
        <v/>
      </c>
      <c r="BK226" s="7" t="str">
        <f aca="false">IF(AND(AK226="Yes",BE226="LIVE"),COUNTIFS($AK$4:AK226,"Yes",$BE$4:BE226,"LIVE"),"")</f>
        <v/>
      </c>
      <c r="BL226" s="7" t="str">
        <f aca="false">IF(I226="To Verify",COUNTIF($I$4:I226,"To Verify"),"")</f>
        <v/>
      </c>
    </row>
    <row r="227" customFormat="false" ht="57.45" hidden="false" customHeight="false" outlineLevel="0" collapsed="false">
      <c r="A227" s="5" t="s">
        <v>2621</v>
      </c>
      <c r="B227" s="6" t="s">
        <v>2387</v>
      </c>
      <c r="C227" s="6" t="s">
        <v>2388</v>
      </c>
      <c r="D227" s="6" t="s">
        <v>2569</v>
      </c>
      <c r="E227" s="6" t="s">
        <v>2622</v>
      </c>
      <c r="F227" s="6" t="s">
        <v>2623</v>
      </c>
      <c r="G227" s="6" t="s">
        <v>2624</v>
      </c>
      <c r="H227" s="6" t="s">
        <v>2625</v>
      </c>
      <c r="I227" s="5" t="s">
        <v>167</v>
      </c>
      <c r="J227" s="7" t="str">
        <f aca="false">IFERROR(INDEX(AVAILABILITY_MASTER!$C$4:$C$10,MATCH(I227,AVAILABILITY_MASTER!$A$4:$A$10,0)),"To Be Confirmed")</f>
        <v>Available</v>
      </c>
      <c r="K227" s="6" t="s">
        <v>79</v>
      </c>
      <c r="L227" s="6" t="s">
        <v>437</v>
      </c>
      <c r="M227" s="7" t="str">
        <f aca="false">IFERROR(INDEX(SERVICE_DOCUMENTS!$S$4:$S$1000,MATCH(A227,SERVICE_DOCUMENTS!$A$4:$A$1000,0))&amp;"","")</f>
        <v>✓ Design Content / Text</v>
      </c>
      <c r="N227" s="7" t="str">
        <f aca="false">IFERROR(INDEX(SERVICE_DOCUMENTS!$T$4:$T$1000,MATCH(A227,SERVICE_DOCUMENTS!$A$4:$A$1000,0))&amp;"","")</f>
        <v/>
      </c>
      <c r="O227" s="6" t="s">
        <v>645</v>
      </c>
      <c r="P227" s="6" t="s">
        <v>2574</v>
      </c>
      <c r="Q227" s="6" t="s">
        <v>756</v>
      </c>
      <c r="R227" s="8" t="s">
        <v>441</v>
      </c>
      <c r="S227" s="8" t="s">
        <v>75</v>
      </c>
      <c r="T227" s="9" t="str">
        <f aca="false">IF(AND(OR(ISNUMBER(R227),R227="N/A"),OR(ISNUMBER(S227),S227="N/A"),OR(ISNUMBER(R227),ISNUMBER(S227))),N(R227)+N(S227),"To Verify")</f>
        <v>To Verify</v>
      </c>
      <c r="U227" s="6" t="s">
        <v>442</v>
      </c>
      <c r="V227" s="6" t="s">
        <v>79</v>
      </c>
      <c r="W227" s="6" t="s">
        <v>80</v>
      </c>
      <c r="X227" s="6" t="s">
        <v>443</v>
      </c>
      <c r="Y227" s="6" t="s">
        <v>79</v>
      </c>
      <c r="Z227" s="6"/>
      <c r="AA227" s="6" t="s">
        <v>74</v>
      </c>
      <c r="AB227" s="6" t="s">
        <v>79</v>
      </c>
      <c r="AC227" s="6" t="s">
        <v>75</v>
      </c>
      <c r="AD227" s="6" t="s">
        <v>75</v>
      </c>
      <c r="AE227" s="6" t="s">
        <v>79</v>
      </c>
      <c r="AF227" s="6" t="s">
        <v>79</v>
      </c>
      <c r="AG227" s="6" t="s">
        <v>170</v>
      </c>
      <c r="AH227" s="6" t="s">
        <v>74</v>
      </c>
      <c r="AI227" s="6" t="s">
        <v>79</v>
      </c>
      <c r="AJ227" s="6" t="s">
        <v>79</v>
      </c>
      <c r="AK227" s="6" t="s">
        <v>79</v>
      </c>
      <c r="AL227" s="6" t="s">
        <v>2387</v>
      </c>
      <c r="AM227" s="6" t="s">
        <v>2569</v>
      </c>
      <c r="AN227" s="7" t="str">
        <f aca="false">BA227&amp;", "&amp;AZ227</f>
        <v>Pamphlet Design, Photo / Photoshop / Design, Devmobile Stores, पम्फलेट डिज़ाइन, फोटो / फोटोशॉप / डिज़ाइन, सेवा</v>
      </c>
      <c r="AO227" s="6" t="s">
        <v>2626</v>
      </c>
      <c r="AP227" s="5" t="s">
        <v>2576</v>
      </c>
      <c r="AQ227" s="5" t="n">
        <v>220</v>
      </c>
      <c r="AR227" s="6" t="s">
        <v>133</v>
      </c>
      <c r="AS227" s="6"/>
      <c r="AT227" s="6" t="s">
        <v>86</v>
      </c>
      <c r="AU227" s="10"/>
      <c r="AV227" s="6" t="s">
        <v>75</v>
      </c>
      <c r="AW227" s="6"/>
      <c r="AX227" s="6" t="s">
        <v>2627</v>
      </c>
      <c r="AY227" s="6" t="s">
        <v>2628</v>
      </c>
      <c r="AZ227" s="6" t="s">
        <v>2629</v>
      </c>
      <c r="BA227" s="6" t="s">
        <v>2630</v>
      </c>
      <c r="BB227" s="6"/>
      <c r="BC227" s="11" t="str">
        <f aca="false">IFERROR(INDEX(CATEGORY_MASTER!$C$4:$C$30,MATCH(B227,CATEGORY_MASTER!$A$4:$A$30,0)),"")</f>
        <v>📷</v>
      </c>
      <c r="BD227" s="7" t="str">
        <f aca="false">"/services/"&amp;AO227</f>
        <v>/services/pamphlet-design</v>
      </c>
      <c r="BE227" s="7" t="str">
        <f aca="false">IF(AND(AH227="Yes",AG227="Active",I227&lt;&gt;"Not Available"),"LIVE","HIDDEN")</f>
        <v>LIVE</v>
      </c>
      <c r="BF227" s="6" t="s">
        <v>139</v>
      </c>
      <c r="BG227" s="6" t="s">
        <v>1892</v>
      </c>
      <c r="BH227" s="7" t="str">
        <f aca="false">B227&amp;"|"&amp;COUNTIF($B$4:B227,B227)</f>
        <v>Photo / Photoshop / Design|22</v>
      </c>
      <c r="BI227" s="7" t="str">
        <f aca="false">IF(AND(AI227="Yes",BE227="LIVE"),COUNTIFS($AI$4:AI227,"Yes",$BE$4:BE227,"LIVE"),"")</f>
        <v/>
      </c>
      <c r="BJ227" s="7" t="str">
        <f aca="false">IF(AND(AJ227="Yes",BE227="LIVE"),COUNTIFS($AJ$4:AJ227,"Yes",$BE$4:BE227,"LIVE"),"")</f>
        <v/>
      </c>
      <c r="BK227" s="7" t="str">
        <f aca="false">IF(AND(AK227="Yes",BE227="LIVE"),COUNTIFS($AK$4:AK227,"Yes",$BE$4:BE227,"LIVE"),"")</f>
        <v/>
      </c>
      <c r="BL227" s="7" t="str">
        <f aca="false">IF(I227="To Verify",COUNTIF($I$4:I227,"To Verify"),"")</f>
        <v/>
      </c>
    </row>
    <row r="228" customFormat="false" ht="57.45" hidden="false" customHeight="false" outlineLevel="0" collapsed="false">
      <c r="A228" s="5" t="s">
        <v>2631</v>
      </c>
      <c r="B228" s="6" t="s">
        <v>2387</v>
      </c>
      <c r="C228" s="6" t="s">
        <v>2388</v>
      </c>
      <c r="D228" s="6" t="s">
        <v>2569</v>
      </c>
      <c r="E228" s="6" t="s">
        <v>2632</v>
      </c>
      <c r="F228" s="6" t="s">
        <v>2633</v>
      </c>
      <c r="G228" s="6" t="s">
        <v>2634</v>
      </c>
      <c r="H228" s="6" t="s">
        <v>2635</v>
      </c>
      <c r="I228" s="5" t="s">
        <v>167</v>
      </c>
      <c r="J228" s="7" t="str">
        <f aca="false">IFERROR(INDEX(AVAILABILITY_MASTER!$C$4:$C$10,MATCH(I228,AVAILABILITY_MASTER!$A$4:$A$10,0)),"To Be Confirmed")</f>
        <v>Available</v>
      </c>
      <c r="K228" s="6" t="s">
        <v>79</v>
      </c>
      <c r="L228" s="6" t="s">
        <v>437</v>
      </c>
      <c r="M228" s="7" t="str">
        <f aca="false">IFERROR(INDEX(SERVICE_DOCUMENTS!$S$4:$S$1000,MATCH(A228,SERVICE_DOCUMENTS!$A$4:$A$1000,0))&amp;"","")</f>
        <v>✓ Design Content / Text</v>
      </c>
      <c r="N228" s="7" t="str">
        <f aca="false">IFERROR(INDEX(SERVICE_DOCUMENTS!$T$4:$T$1000,MATCH(A228,SERVICE_DOCUMENTS!$A$4:$A$1000,0))&amp;"","")</f>
        <v/>
      </c>
      <c r="O228" s="6" t="s">
        <v>645</v>
      </c>
      <c r="P228" s="6" t="s">
        <v>2574</v>
      </c>
      <c r="Q228" s="6" t="s">
        <v>756</v>
      </c>
      <c r="R228" s="8" t="s">
        <v>441</v>
      </c>
      <c r="S228" s="8" t="s">
        <v>75</v>
      </c>
      <c r="T228" s="9" t="str">
        <f aca="false">IF(AND(OR(ISNUMBER(R228),R228="N/A"),OR(ISNUMBER(S228),S228="N/A"),OR(ISNUMBER(R228),ISNUMBER(S228))),N(R228)+N(S228),"To Verify")</f>
        <v>To Verify</v>
      </c>
      <c r="U228" s="6" t="s">
        <v>442</v>
      </c>
      <c r="V228" s="6" t="s">
        <v>79</v>
      </c>
      <c r="W228" s="6" t="s">
        <v>80</v>
      </c>
      <c r="X228" s="6" t="s">
        <v>443</v>
      </c>
      <c r="Y228" s="6" t="s">
        <v>79</v>
      </c>
      <c r="Z228" s="6"/>
      <c r="AA228" s="6" t="s">
        <v>74</v>
      </c>
      <c r="AB228" s="6" t="s">
        <v>79</v>
      </c>
      <c r="AC228" s="6" t="s">
        <v>75</v>
      </c>
      <c r="AD228" s="6" t="s">
        <v>75</v>
      </c>
      <c r="AE228" s="6" t="s">
        <v>79</v>
      </c>
      <c r="AF228" s="6" t="s">
        <v>79</v>
      </c>
      <c r="AG228" s="6" t="s">
        <v>170</v>
      </c>
      <c r="AH228" s="6" t="s">
        <v>74</v>
      </c>
      <c r="AI228" s="6" t="s">
        <v>79</v>
      </c>
      <c r="AJ228" s="6" t="s">
        <v>79</v>
      </c>
      <c r="AK228" s="6" t="s">
        <v>79</v>
      </c>
      <c r="AL228" s="6" t="s">
        <v>2387</v>
      </c>
      <c r="AM228" s="6" t="s">
        <v>2569</v>
      </c>
      <c r="AN228" s="7" t="str">
        <f aca="false">BA228&amp;", "&amp;AZ228</f>
        <v>Invitation Card Design, Photo / Photoshop / Design, Devmobile Stores, निमंत्रण कार्ड डिज़ाइन, फोटो / फोटोशॉप / डिज़ाइन, सेवा</v>
      </c>
      <c r="AO228" s="6" t="s">
        <v>2636</v>
      </c>
      <c r="AP228" s="5" t="s">
        <v>2576</v>
      </c>
      <c r="AQ228" s="5" t="n">
        <v>230</v>
      </c>
      <c r="AR228" s="6" t="s">
        <v>133</v>
      </c>
      <c r="AS228" s="6"/>
      <c r="AT228" s="6" t="s">
        <v>86</v>
      </c>
      <c r="AU228" s="10"/>
      <c r="AV228" s="6" t="s">
        <v>75</v>
      </c>
      <c r="AW228" s="6"/>
      <c r="AX228" s="6" t="s">
        <v>2637</v>
      </c>
      <c r="AY228" s="6" t="s">
        <v>2638</v>
      </c>
      <c r="AZ228" s="6" t="s">
        <v>2639</v>
      </c>
      <c r="BA228" s="6" t="s">
        <v>2640</v>
      </c>
      <c r="BB228" s="6"/>
      <c r="BC228" s="11" t="str">
        <f aca="false">IFERROR(INDEX(CATEGORY_MASTER!$C$4:$C$30,MATCH(B228,CATEGORY_MASTER!$A$4:$A$30,0)),"")</f>
        <v>📷</v>
      </c>
      <c r="BD228" s="7" t="str">
        <f aca="false">"/services/"&amp;AO228</f>
        <v>/services/invitation-card-design</v>
      </c>
      <c r="BE228" s="7" t="str">
        <f aca="false">IF(AND(AH228="Yes",AG228="Active",I228&lt;&gt;"Not Available"),"LIVE","HIDDEN")</f>
        <v>LIVE</v>
      </c>
      <c r="BF228" s="6" t="s">
        <v>139</v>
      </c>
      <c r="BG228" s="6" t="s">
        <v>1892</v>
      </c>
      <c r="BH228" s="7" t="str">
        <f aca="false">B228&amp;"|"&amp;COUNTIF($B$4:B228,B228)</f>
        <v>Photo / Photoshop / Design|23</v>
      </c>
      <c r="BI228" s="7" t="str">
        <f aca="false">IF(AND(AI228="Yes",BE228="LIVE"),COUNTIFS($AI$4:AI228,"Yes",$BE$4:BE228,"LIVE"),"")</f>
        <v/>
      </c>
      <c r="BJ228" s="7" t="str">
        <f aca="false">IF(AND(AJ228="Yes",BE228="LIVE"),COUNTIFS($AJ$4:AJ228,"Yes",$BE$4:BE228,"LIVE"),"")</f>
        <v/>
      </c>
      <c r="BK228" s="7" t="str">
        <f aca="false">IF(AND(AK228="Yes",BE228="LIVE"),COUNTIFS($AK$4:AK228,"Yes",$BE$4:BE228,"LIVE"),"")</f>
        <v/>
      </c>
      <c r="BL228" s="7" t="str">
        <f aca="false">IF(I228="To Verify",COUNTIF($I$4:I228,"To Verify"),"")</f>
        <v/>
      </c>
    </row>
    <row r="229" customFormat="false" ht="57.45" hidden="false" customHeight="false" outlineLevel="0" collapsed="false">
      <c r="A229" s="5" t="s">
        <v>2641</v>
      </c>
      <c r="B229" s="6" t="s">
        <v>2387</v>
      </c>
      <c r="C229" s="6" t="s">
        <v>2388</v>
      </c>
      <c r="D229" s="6" t="s">
        <v>2569</v>
      </c>
      <c r="E229" s="6" t="s">
        <v>2642</v>
      </c>
      <c r="F229" s="6" t="s">
        <v>2643</v>
      </c>
      <c r="G229" s="6" t="s">
        <v>2644</v>
      </c>
      <c r="H229" s="6" t="s">
        <v>2645</v>
      </c>
      <c r="I229" s="5" t="s">
        <v>167</v>
      </c>
      <c r="J229" s="7" t="str">
        <f aca="false">IFERROR(INDEX(AVAILABILITY_MASTER!$C$4:$C$10,MATCH(I229,AVAILABILITY_MASTER!$A$4:$A$10,0)),"To Be Confirmed")</f>
        <v>Available</v>
      </c>
      <c r="K229" s="6" t="s">
        <v>79</v>
      </c>
      <c r="L229" s="6" t="s">
        <v>437</v>
      </c>
      <c r="M229" s="7" t="str">
        <f aca="false">IFERROR(INDEX(SERVICE_DOCUMENTS!$S$4:$S$1000,MATCH(A229,SERVICE_DOCUMENTS!$A$4:$A$1000,0))&amp;"","")</f>
        <v>✓ Design Content / Text</v>
      </c>
      <c r="N229" s="7" t="str">
        <f aca="false">IFERROR(INDEX(SERVICE_DOCUMENTS!$T$4:$T$1000,MATCH(A229,SERVICE_DOCUMENTS!$A$4:$A$1000,0))&amp;"","")</f>
        <v/>
      </c>
      <c r="O229" s="6" t="s">
        <v>645</v>
      </c>
      <c r="P229" s="6" t="s">
        <v>2574</v>
      </c>
      <c r="Q229" s="6" t="s">
        <v>756</v>
      </c>
      <c r="R229" s="8" t="s">
        <v>441</v>
      </c>
      <c r="S229" s="8" t="s">
        <v>75</v>
      </c>
      <c r="T229" s="9" t="str">
        <f aca="false">IF(AND(OR(ISNUMBER(R229),R229="N/A"),OR(ISNUMBER(S229),S229="N/A"),OR(ISNUMBER(R229),ISNUMBER(S229))),N(R229)+N(S229),"To Verify")</f>
        <v>To Verify</v>
      </c>
      <c r="U229" s="6" t="s">
        <v>442</v>
      </c>
      <c r="V229" s="6" t="s">
        <v>79</v>
      </c>
      <c r="W229" s="6" t="s">
        <v>80</v>
      </c>
      <c r="X229" s="6" t="s">
        <v>443</v>
      </c>
      <c r="Y229" s="6" t="s">
        <v>79</v>
      </c>
      <c r="Z229" s="6"/>
      <c r="AA229" s="6" t="s">
        <v>74</v>
      </c>
      <c r="AB229" s="6" t="s">
        <v>79</v>
      </c>
      <c r="AC229" s="6" t="s">
        <v>75</v>
      </c>
      <c r="AD229" s="6" t="s">
        <v>75</v>
      </c>
      <c r="AE229" s="6" t="s">
        <v>79</v>
      </c>
      <c r="AF229" s="6" t="s">
        <v>79</v>
      </c>
      <c r="AG229" s="6" t="s">
        <v>170</v>
      </c>
      <c r="AH229" s="6" t="s">
        <v>74</v>
      </c>
      <c r="AI229" s="6" t="s">
        <v>79</v>
      </c>
      <c r="AJ229" s="6" t="s">
        <v>79</v>
      </c>
      <c r="AK229" s="6" t="s">
        <v>79</v>
      </c>
      <c r="AL229" s="6" t="s">
        <v>2387</v>
      </c>
      <c r="AM229" s="6" t="s">
        <v>2569</v>
      </c>
      <c r="AN229" s="7" t="str">
        <f aca="false">BA229&amp;", "&amp;AZ229</f>
        <v>Letterhead Design, Photo / Photoshop / Design, Devmobile Stores, लेटरहेड डिज़ाइन, फोटो / फोटोशॉप / डिज़ाइन, सेवा</v>
      </c>
      <c r="AO229" s="6" t="s">
        <v>2646</v>
      </c>
      <c r="AP229" s="5" t="s">
        <v>2576</v>
      </c>
      <c r="AQ229" s="5" t="n">
        <v>240</v>
      </c>
      <c r="AR229" s="6" t="s">
        <v>133</v>
      </c>
      <c r="AS229" s="6"/>
      <c r="AT229" s="6" t="s">
        <v>86</v>
      </c>
      <c r="AU229" s="10"/>
      <c r="AV229" s="6" t="s">
        <v>75</v>
      </c>
      <c r="AW229" s="6"/>
      <c r="AX229" s="6" t="s">
        <v>2647</v>
      </c>
      <c r="AY229" s="6" t="s">
        <v>2648</v>
      </c>
      <c r="AZ229" s="6" t="s">
        <v>2649</v>
      </c>
      <c r="BA229" s="6" t="s">
        <v>2650</v>
      </c>
      <c r="BB229" s="6"/>
      <c r="BC229" s="11" t="str">
        <f aca="false">IFERROR(INDEX(CATEGORY_MASTER!$C$4:$C$30,MATCH(B229,CATEGORY_MASTER!$A$4:$A$30,0)),"")</f>
        <v>📷</v>
      </c>
      <c r="BD229" s="7" t="str">
        <f aca="false">"/services/"&amp;AO229</f>
        <v>/services/letterhead-design</v>
      </c>
      <c r="BE229" s="7" t="str">
        <f aca="false">IF(AND(AH229="Yes",AG229="Active",I229&lt;&gt;"Not Available"),"LIVE","HIDDEN")</f>
        <v>LIVE</v>
      </c>
      <c r="BF229" s="6" t="s">
        <v>139</v>
      </c>
      <c r="BG229" s="6" t="s">
        <v>1892</v>
      </c>
      <c r="BH229" s="7" t="str">
        <f aca="false">B229&amp;"|"&amp;COUNTIF($B$4:B229,B229)</f>
        <v>Photo / Photoshop / Design|24</v>
      </c>
      <c r="BI229" s="7" t="str">
        <f aca="false">IF(AND(AI229="Yes",BE229="LIVE"),COUNTIFS($AI$4:AI229,"Yes",$BE$4:BE229,"LIVE"),"")</f>
        <v/>
      </c>
      <c r="BJ229" s="7" t="str">
        <f aca="false">IF(AND(AJ229="Yes",BE229="LIVE"),COUNTIFS($AJ$4:AJ229,"Yes",$BE$4:BE229,"LIVE"),"")</f>
        <v/>
      </c>
      <c r="BK229" s="7" t="str">
        <f aca="false">IF(AND(AK229="Yes",BE229="LIVE"),COUNTIFS($AK$4:AK229,"Yes",$BE$4:BE229,"LIVE"),"")</f>
        <v/>
      </c>
      <c r="BL229" s="7" t="str">
        <f aca="false">IF(I229="To Verify",COUNTIF($I$4:I229,"To Verify"),"")</f>
        <v/>
      </c>
    </row>
    <row r="230" customFormat="false" ht="57.45" hidden="false" customHeight="false" outlineLevel="0" collapsed="false">
      <c r="A230" s="5" t="s">
        <v>2651</v>
      </c>
      <c r="B230" s="6" t="s">
        <v>2387</v>
      </c>
      <c r="C230" s="6" t="s">
        <v>2388</v>
      </c>
      <c r="D230" s="6" t="s">
        <v>2569</v>
      </c>
      <c r="E230" s="6" t="s">
        <v>2652</v>
      </c>
      <c r="F230" s="6" t="s">
        <v>2653</v>
      </c>
      <c r="G230" s="6" t="s">
        <v>2654</v>
      </c>
      <c r="H230" s="6" t="s">
        <v>2655</v>
      </c>
      <c r="I230" s="5" t="s">
        <v>75</v>
      </c>
      <c r="J230" s="7" t="str">
        <f aca="false">IFERROR(INDEX(AVAILABILITY_MASTER!$C$4:$C$10,MATCH(I230,AVAILABILITY_MASTER!$A$4:$A$10,0)),"To Be Confirmed")</f>
        <v>To Be Confirmed</v>
      </c>
      <c r="K230" s="6" t="s">
        <v>129</v>
      </c>
      <c r="L230" s="6" t="s">
        <v>75</v>
      </c>
      <c r="M230" s="7" t="str">
        <f aca="false">IFERROR(INDEX(SERVICE_DOCUMENTS!$S$4:$S$1000,MATCH(A230,SERVICE_DOCUMENTS!$A$4:$A$1000,0))&amp;"","")</f>
        <v>✓ Design Content / Text</v>
      </c>
      <c r="N230" s="7" t="str">
        <f aca="false">IFERROR(INDEX(SERVICE_DOCUMENTS!$T$4:$T$1000,MATCH(A230,SERVICE_DOCUMENTS!$A$4:$A$1000,0))&amp;"","")</f>
        <v/>
      </c>
      <c r="O230" s="6" t="s">
        <v>645</v>
      </c>
      <c r="P230" s="6" t="s">
        <v>2574</v>
      </c>
      <c r="Q230" s="6" t="s">
        <v>756</v>
      </c>
      <c r="R230" s="8" t="s">
        <v>441</v>
      </c>
      <c r="S230" s="8" t="s">
        <v>75</v>
      </c>
      <c r="T230" s="9" t="str">
        <f aca="false">IF(AND(OR(ISNUMBER(R230),R230="N/A"),OR(ISNUMBER(S230),S230="N/A"),OR(ISNUMBER(R230),ISNUMBER(S230))),N(R230)+N(S230),"To Verify")</f>
        <v>To Verify</v>
      </c>
      <c r="U230" s="6" t="s">
        <v>442</v>
      </c>
      <c r="V230" s="6" t="s">
        <v>79</v>
      </c>
      <c r="W230" s="6" t="s">
        <v>80</v>
      </c>
      <c r="X230" s="6" t="s">
        <v>443</v>
      </c>
      <c r="Y230" s="6" t="s">
        <v>79</v>
      </c>
      <c r="Z230" s="6"/>
      <c r="AA230" s="6" t="s">
        <v>74</v>
      </c>
      <c r="AB230" s="6" t="s">
        <v>79</v>
      </c>
      <c r="AC230" s="6" t="s">
        <v>75</v>
      </c>
      <c r="AD230" s="6" t="s">
        <v>75</v>
      </c>
      <c r="AE230" s="6" t="s">
        <v>79</v>
      </c>
      <c r="AF230" s="6" t="s">
        <v>79</v>
      </c>
      <c r="AG230" s="6" t="s">
        <v>75</v>
      </c>
      <c r="AH230" s="6" t="s">
        <v>79</v>
      </c>
      <c r="AI230" s="6" t="s">
        <v>79</v>
      </c>
      <c r="AJ230" s="6" t="s">
        <v>79</v>
      </c>
      <c r="AK230" s="6" t="s">
        <v>79</v>
      </c>
      <c r="AL230" s="6" t="s">
        <v>2387</v>
      </c>
      <c r="AM230" s="6" t="s">
        <v>2569</v>
      </c>
      <c r="AN230" s="7" t="str">
        <f aca="false">BA230&amp;", "&amp;AZ230</f>
        <v>Logo Design, Photo / Photoshop / Design, Devmobile Stores, लोगो डिज़ाइन, फोटो / फोटोशॉप / डिज़ाइन, सेवा</v>
      </c>
      <c r="AO230" s="6" t="s">
        <v>2656</v>
      </c>
      <c r="AP230" s="5" t="s">
        <v>2576</v>
      </c>
      <c r="AQ230" s="5" t="n">
        <v>250</v>
      </c>
      <c r="AR230" s="6" t="s">
        <v>133</v>
      </c>
      <c r="AS230" s="6" t="s">
        <v>474</v>
      </c>
      <c r="AT230" s="6" t="s">
        <v>86</v>
      </c>
      <c r="AU230" s="10"/>
      <c r="AV230" s="6" t="s">
        <v>75</v>
      </c>
      <c r="AW230" s="6" t="s">
        <v>2657</v>
      </c>
      <c r="AX230" s="6" t="s">
        <v>2658</v>
      </c>
      <c r="AY230" s="6" t="s">
        <v>2659</v>
      </c>
      <c r="AZ230" s="6" t="s">
        <v>2660</v>
      </c>
      <c r="BA230" s="6" t="s">
        <v>2661</v>
      </c>
      <c r="BB230" s="6"/>
      <c r="BC230" s="11" t="str">
        <f aca="false">IFERROR(INDEX(CATEGORY_MASTER!$C$4:$C$30,MATCH(B230,CATEGORY_MASTER!$A$4:$A$30,0)),"")</f>
        <v>📷</v>
      </c>
      <c r="BD230" s="7" t="str">
        <f aca="false">"/services/"&amp;AO230</f>
        <v>/services/logo-design</v>
      </c>
      <c r="BE230" s="7" t="str">
        <f aca="false">IF(AND(AH230="Yes",AG230="Active",I230&lt;&gt;"Not Available"),"LIVE","HIDDEN")</f>
        <v>HIDDEN</v>
      </c>
      <c r="BF230" s="6" t="s">
        <v>139</v>
      </c>
      <c r="BG230" s="6" t="s">
        <v>1892</v>
      </c>
      <c r="BH230" s="7" t="str">
        <f aca="false">B230&amp;"|"&amp;COUNTIF($B$4:B230,B230)</f>
        <v>Photo / Photoshop / Design|25</v>
      </c>
      <c r="BI230" s="7" t="str">
        <f aca="false">IF(AND(AI230="Yes",BE230="LIVE"),COUNTIFS($AI$4:AI230,"Yes",$BE$4:BE230,"LIVE"),"")</f>
        <v/>
      </c>
      <c r="BJ230" s="7" t="str">
        <f aca="false">IF(AND(AJ230="Yes",BE230="LIVE"),COUNTIFS($AJ$4:AJ230,"Yes",$BE$4:BE230,"LIVE"),"")</f>
        <v/>
      </c>
      <c r="BK230" s="7" t="str">
        <f aca="false">IF(AND(AK230="Yes",BE230="LIVE"),COUNTIFS($AK$4:AK230,"Yes",$BE$4:BE230,"LIVE"),"")</f>
        <v/>
      </c>
      <c r="BL230" s="7" t="n">
        <f aca="false">IF(I230="To Verify",COUNTIF($I$4:I230,"To Verify"),"")</f>
        <v>56</v>
      </c>
    </row>
    <row r="231" customFormat="false" ht="57.45" hidden="false" customHeight="false" outlineLevel="0" collapsed="false">
      <c r="A231" s="5" t="s">
        <v>2662</v>
      </c>
      <c r="B231" s="6" t="s">
        <v>2387</v>
      </c>
      <c r="C231" s="6" t="s">
        <v>2388</v>
      </c>
      <c r="D231" s="6" t="s">
        <v>2569</v>
      </c>
      <c r="E231" s="6" t="s">
        <v>2663</v>
      </c>
      <c r="F231" s="6" t="s">
        <v>2664</v>
      </c>
      <c r="G231" s="6" t="s">
        <v>2665</v>
      </c>
      <c r="H231" s="6" t="s">
        <v>2666</v>
      </c>
      <c r="I231" s="5" t="s">
        <v>75</v>
      </c>
      <c r="J231" s="7" t="str">
        <f aca="false">IFERROR(INDEX(AVAILABILITY_MASTER!$C$4:$C$10,MATCH(I231,AVAILABILITY_MASTER!$A$4:$A$10,0)),"To Be Confirmed")</f>
        <v>To Be Confirmed</v>
      </c>
      <c r="K231" s="6" t="s">
        <v>129</v>
      </c>
      <c r="L231" s="6" t="s">
        <v>75</v>
      </c>
      <c r="M231" s="7" t="str">
        <f aca="false">IFERROR(INDEX(SERVICE_DOCUMENTS!$S$4:$S$1000,MATCH(A231,SERVICE_DOCUMENTS!$A$4:$A$1000,0))&amp;"","")</f>
        <v>✓ Design Content / Text</v>
      </c>
      <c r="N231" s="7" t="str">
        <f aca="false">IFERROR(INDEX(SERVICE_DOCUMENTS!$T$4:$T$1000,MATCH(A231,SERVICE_DOCUMENTS!$A$4:$A$1000,0))&amp;"","")</f>
        <v/>
      </c>
      <c r="O231" s="6" t="s">
        <v>645</v>
      </c>
      <c r="P231" s="6" t="s">
        <v>2574</v>
      </c>
      <c r="Q231" s="6" t="s">
        <v>756</v>
      </c>
      <c r="R231" s="8" t="s">
        <v>441</v>
      </c>
      <c r="S231" s="8" t="s">
        <v>75</v>
      </c>
      <c r="T231" s="9" t="str">
        <f aca="false">IF(AND(OR(ISNUMBER(R231),R231="N/A"),OR(ISNUMBER(S231),S231="N/A"),OR(ISNUMBER(R231),ISNUMBER(S231))),N(R231)+N(S231),"To Verify")</f>
        <v>To Verify</v>
      </c>
      <c r="U231" s="6" t="s">
        <v>442</v>
      </c>
      <c r="V231" s="6" t="s">
        <v>79</v>
      </c>
      <c r="W231" s="6" t="s">
        <v>80</v>
      </c>
      <c r="X231" s="6" t="s">
        <v>443</v>
      </c>
      <c r="Y231" s="6" t="s">
        <v>79</v>
      </c>
      <c r="Z231" s="6"/>
      <c r="AA231" s="6" t="s">
        <v>74</v>
      </c>
      <c r="AB231" s="6" t="s">
        <v>79</v>
      </c>
      <c r="AC231" s="6" t="s">
        <v>75</v>
      </c>
      <c r="AD231" s="6" t="s">
        <v>75</v>
      </c>
      <c r="AE231" s="6" t="s">
        <v>79</v>
      </c>
      <c r="AF231" s="6" t="s">
        <v>79</v>
      </c>
      <c r="AG231" s="6" t="s">
        <v>75</v>
      </c>
      <c r="AH231" s="6" t="s">
        <v>79</v>
      </c>
      <c r="AI231" s="6" t="s">
        <v>79</v>
      </c>
      <c r="AJ231" s="6" t="s">
        <v>79</v>
      </c>
      <c r="AK231" s="6" t="s">
        <v>79</v>
      </c>
      <c r="AL231" s="6" t="s">
        <v>2387</v>
      </c>
      <c r="AM231" s="6" t="s">
        <v>2569</v>
      </c>
      <c r="AN231" s="7" t="str">
        <f aca="false">BA231&amp;", "&amp;AZ231</f>
        <v>Flex / Banner Printing, Photo / Photoshop / Design, Devmobile Stores, फ्लेक्स / बैनर प्रिंटिंग, फोटो / फोटोशॉप / डिज़ाइन, सेवा</v>
      </c>
      <c r="AO231" s="6" t="s">
        <v>2667</v>
      </c>
      <c r="AP231" s="5" t="s">
        <v>2576</v>
      </c>
      <c r="AQ231" s="5" t="n">
        <v>260</v>
      </c>
      <c r="AR231" s="6" t="s">
        <v>133</v>
      </c>
      <c r="AS231" s="6" t="s">
        <v>474</v>
      </c>
      <c r="AT231" s="6" t="s">
        <v>86</v>
      </c>
      <c r="AU231" s="10"/>
      <c r="AV231" s="6" t="s">
        <v>75</v>
      </c>
      <c r="AW231" s="6" t="s">
        <v>2668</v>
      </c>
      <c r="AX231" s="6" t="s">
        <v>2669</v>
      </c>
      <c r="AY231" s="6" t="s">
        <v>2670</v>
      </c>
      <c r="AZ231" s="6" t="s">
        <v>2671</v>
      </c>
      <c r="BA231" s="6" t="s">
        <v>2672</v>
      </c>
      <c r="BB231" s="6"/>
      <c r="BC231" s="11" t="str">
        <f aca="false">IFERROR(INDEX(CATEGORY_MASTER!$C$4:$C$30,MATCH(B231,CATEGORY_MASTER!$A$4:$A$30,0)),"")</f>
        <v>📷</v>
      </c>
      <c r="BD231" s="7" t="str">
        <f aca="false">"/services/"&amp;AO231</f>
        <v>/services/flex-banner-printing</v>
      </c>
      <c r="BE231" s="7" t="str">
        <f aca="false">IF(AND(AH231="Yes",AG231="Active",I231&lt;&gt;"Not Available"),"LIVE","HIDDEN")</f>
        <v>HIDDEN</v>
      </c>
      <c r="BF231" s="6" t="s">
        <v>139</v>
      </c>
      <c r="BG231" s="6" t="s">
        <v>1892</v>
      </c>
      <c r="BH231" s="7" t="str">
        <f aca="false">B231&amp;"|"&amp;COUNTIF($B$4:B231,B231)</f>
        <v>Photo / Photoshop / Design|26</v>
      </c>
      <c r="BI231" s="7" t="str">
        <f aca="false">IF(AND(AI231="Yes",BE231="LIVE"),COUNTIFS($AI$4:AI231,"Yes",$BE$4:BE231,"LIVE"),"")</f>
        <v/>
      </c>
      <c r="BJ231" s="7" t="str">
        <f aca="false">IF(AND(AJ231="Yes",BE231="LIVE"),COUNTIFS($AJ$4:AJ231,"Yes",$BE$4:BE231,"LIVE"),"")</f>
        <v/>
      </c>
      <c r="BK231" s="7" t="str">
        <f aca="false">IF(AND(AK231="Yes",BE231="LIVE"),COUNTIFS($AK$4:AK231,"Yes",$BE$4:BE231,"LIVE"),"")</f>
        <v/>
      </c>
      <c r="BL231" s="7" t="n">
        <f aca="false">IF(I231="To Verify",COUNTIF($I$4:I231,"To Verify"),"")</f>
        <v>57</v>
      </c>
    </row>
    <row r="232" customFormat="false" ht="79.85" hidden="false" customHeight="false" outlineLevel="0" collapsed="false">
      <c r="A232" s="5" t="s">
        <v>2673</v>
      </c>
      <c r="B232" s="6" t="s">
        <v>2674</v>
      </c>
      <c r="C232" s="6" t="s">
        <v>2675</v>
      </c>
      <c r="D232" s="6" t="s">
        <v>2676</v>
      </c>
      <c r="E232" s="6" t="s">
        <v>2677</v>
      </c>
      <c r="F232" s="6" t="s">
        <v>2678</v>
      </c>
      <c r="G232" s="6" t="s">
        <v>2679</v>
      </c>
      <c r="H232" s="6" t="s">
        <v>2680</v>
      </c>
      <c r="I232" s="5" t="s">
        <v>167</v>
      </c>
      <c r="J232" s="7" t="str">
        <f aca="false">IFERROR(INDEX(AVAILABILITY_MASTER!$C$4:$C$10,MATCH(I232,AVAILABILITY_MASTER!$A$4:$A$10,0)),"To Be Confirmed")</f>
        <v>Available</v>
      </c>
      <c r="K232" s="6" t="s">
        <v>79</v>
      </c>
      <c r="L232" s="6" t="s">
        <v>437</v>
      </c>
      <c r="M232" s="7" t="str">
        <f aca="false">IFERROR(INDEX(SERVICE_DOCUMENTS!$S$4:$S$1000,MATCH(A232,SERVICE_DOCUMENTS!$A$4:$A$1000,0))&amp;"","")</f>
        <v>✓ Aadhaar Card
✓ Educational Certificates
✓ Photo &amp; Signature (Soft Copy)
✓ Active Mobile Number
✓ Email ID
✓ Exam / Form Notification Details</v>
      </c>
      <c r="N232" s="7" t="str">
        <f aca="false">IFERROR(INDEX(SERVICE_DOCUMENTS!$T$4:$T$1000,MATCH(A232,SERVICE_DOCUMENTS!$A$4:$A$1000,0))&amp;"","")</f>
        <v>• Category Certificate (If Applicable)</v>
      </c>
      <c r="O232" s="6" t="s">
        <v>2681</v>
      </c>
      <c r="P232" s="6" t="s">
        <v>2682</v>
      </c>
      <c r="Q232" s="6" t="s">
        <v>756</v>
      </c>
      <c r="R232" s="8" t="s">
        <v>75</v>
      </c>
      <c r="S232" s="8" t="s">
        <v>75</v>
      </c>
      <c r="T232" s="9" t="str">
        <f aca="false">IF(AND(OR(ISNUMBER(R232),R232="N/A"),OR(ISNUMBER(S232),S232="N/A"),OR(ISNUMBER(R232),ISNUMBER(S232))),N(R232)+N(S232),"To Verify")</f>
        <v>To Verify</v>
      </c>
      <c r="U232" s="6" t="s">
        <v>75</v>
      </c>
      <c r="V232" s="6" t="s">
        <v>79</v>
      </c>
      <c r="W232" s="6" t="s">
        <v>80</v>
      </c>
      <c r="X232" s="6" t="s">
        <v>221</v>
      </c>
      <c r="Y232" s="6" t="s">
        <v>74</v>
      </c>
      <c r="Z232" s="6" t="s">
        <v>2683</v>
      </c>
      <c r="AA232" s="6" t="s">
        <v>74</v>
      </c>
      <c r="AB232" s="6" t="s">
        <v>79</v>
      </c>
      <c r="AC232" s="6" t="s">
        <v>75</v>
      </c>
      <c r="AD232" s="6" t="s">
        <v>75</v>
      </c>
      <c r="AE232" s="6" t="s">
        <v>79</v>
      </c>
      <c r="AF232" s="6" t="s">
        <v>79</v>
      </c>
      <c r="AG232" s="6" t="s">
        <v>170</v>
      </c>
      <c r="AH232" s="6" t="s">
        <v>74</v>
      </c>
      <c r="AI232" s="6" t="s">
        <v>79</v>
      </c>
      <c r="AJ232" s="6" t="s">
        <v>79</v>
      </c>
      <c r="AK232" s="6" t="s">
        <v>79</v>
      </c>
      <c r="AL232" s="6" t="s">
        <v>2674</v>
      </c>
      <c r="AM232" s="6" t="s">
        <v>2676</v>
      </c>
      <c r="AN232" s="7" t="str">
        <f aca="false">BA232&amp;", "&amp;AZ232</f>
        <v>Government Job Form – Central, Online Form &amp; Digital Services, Devmobile Stores, सरकारी नौकरी फॉर्म – केंद्र, ऑनलाइन फॉर्म व डिजिटल सेवाएँ, सेवा</v>
      </c>
      <c r="AO232" s="6" t="s">
        <v>2684</v>
      </c>
      <c r="AP232" s="5" t="s">
        <v>2685</v>
      </c>
      <c r="AQ232" s="5" t="n">
        <v>10</v>
      </c>
      <c r="AR232" s="6" t="s">
        <v>2686</v>
      </c>
      <c r="AS232" s="6"/>
      <c r="AT232" s="6" t="s">
        <v>86</v>
      </c>
      <c r="AU232" s="10"/>
      <c r="AV232" s="6" t="s">
        <v>75</v>
      </c>
      <c r="AW232" s="6"/>
      <c r="AX232" s="6" t="s">
        <v>2687</v>
      </c>
      <c r="AY232" s="6" t="s">
        <v>2688</v>
      </c>
      <c r="AZ232" s="6" t="s">
        <v>2689</v>
      </c>
      <c r="BA232" s="6" t="s">
        <v>2690</v>
      </c>
      <c r="BB232" s="6"/>
      <c r="BC232" s="11" t="str">
        <f aca="false">IFERROR(INDEX(CATEGORY_MASTER!$C$4:$C$30,MATCH(B232,CATEGORY_MASTER!$A$4:$A$30,0)),"")</f>
        <v>🌐</v>
      </c>
      <c r="BD232" s="7" t="str">
        <f aca="false">"/services/"&amp;AO232</f>
        <v>/services/government-job-form-central</v>
      </c>
      <c r="BE232" s="7" t="str">
        <f aca="false">IF(AND(AH232="Yes",AG232="Active",I232&lt;&gt;"Not Available"),"LIVE","HIDDEN")</f>
        <v>LIVE</v>
      </c>
      <c r="BF232" s="6" t="s">
        <v>139</v>
      </c>
      <c r="BG232" s="6" t="s">
        <v>93</v>
      </c>
      <c r="BH232" s="7" t="str">
        <f aca="false">B232&amp;"|"&amp;COUNTIF($B$4:B232,B232)</f>
        <v>Online Form &amp; Digital Services|1</v>
      </c>
      <c r="BI232" s="7" t="str">
        <f aca="false">IF(AND(AI232="Yes",BE232="LIVE"),COUNTIFS($AI$4:AI232,"Yes",$BE$4:BE232,"LIVE"),"")</f>
        <v/>
      </c>
      <c r="BJ232" s="7" t="str">
        <f aca="false">IF(AND(AJ232="Yes",BE232="LIVE"),COUNTIFS($AJ$4:AJ232,"Yes",$BE$4:BE232,"LIVE"),"")</f>
        <v/>
      </c>
      <c r="BK232" s="7" t="str">
        <f aca="false">IF(AND(AK232="Yes",BE232="LIVE"),COUNTIFS($AK$4:AK232,"Yes",$BE$4:BE232,"LIVE"),"")</f>
        <v/>
      </c>
      <c r="BL232" s="7" t="str">
        <f aca="false">IF(I232="To Verify",COUNTIF($I$4:I232,"To Verify"),"")</f>
        <v/>
      </c>
    </row>
    <row r="233" customFormat="false" ht="79.85" hidden="false" customHeight="false" outlineLevel="0" collapsed="false">
      <c r="A233" s="5" t="s">
        <v>2691</v>
      </c>
      <c r="B233" s="6" t="s">
        <v>2674</v>
      </c>
      <c r="C233" s="6" t="s">
        <v>2675</v>
      </c>
      <c r="D233" s="6" t="s">
        <v>2676</v>
      </c>
      <c r="E233" s="6" t="s">
        <v>2692</v>
      </c>
      <c r="F233" s="6" t="s">
        <v>2693</v>
      </c>
      <c r="G233" s="6" t="s">
        <v>2694</v>
      </c>
      <c r="H233" s="6" t="s">
        <v>2695</v>
      </c>
      <c r="I233" s="5" t="s">
        <v>167</v>
      </c>
      <c r="J233" s="7" t="str">
        <f aca="false">IFERROR(INDEX(AVAILABILITY_MASTER!$C$4:$C$10,MATCH(I233,AVAILABILITY_MASTER!$A$4:$A$10,0)),"To Be Confirmed")</f>
        <v>Available</v>
      </c>
      <c r="K233" s="6" t="s">
        <v>79</v>
      </c>
      <c r="L233" s="6" t="s">
        <v>437</v>
      </c>
      <c r="M233" s="7" t="str">
        <f aca="false">IFERROR(INDEX(SERVICE_DOCUMENTS!$S$4:$S$1000,MATCH(A233,SERVICE_DOCUMENTS!$A$4:$A$1000,0))&amp;"","")</f>
        <v>✓ Aadhaar Card
✓ Educational Certificates
✓ Photo &amp; Signature (Soft Copy)
✓ Active Mobile Number
✓ Email ID
✓ Exam / Form Notification Details</v>
      </c>
      <c r="N233" s="7" t="str">
        <f aca="false">IFERROR(INDEX(SERVICE_DOCUMENTS!$T$4:$T$1000,MATCH(A233,SERVICE_DOCUMENTS!$A$4:$A$1000,0))&amp;"","")</f>
        <v>• Category Certificate (If Applicable)</v>
      </c>
      <c r="O233" s="6" t="s">
        <v>2681</v>
      </c>
      <c r="P233" s="6" t="s">
        <v>2682</v>
      </c>
      <c r="Q233" s="6" t="s">
        <v>756</v>
      </c>
      <c r="R233" s="8" t="s">
        <v>75</v>
      </c>
      <c r="S233" s="8" t="s">
        <v>75</v>
      </c>
      <c r="T233" s="9" t="str">
        <f aca="false">IF(AND(OR(ISNUMBER(R233),R233="N/A"),OR(ISNUMBER(S233),S233="N/A"),OR(ISNUMBER(R233),ISNUMBER(S233))),N(R233)+N(S233),"To Verify")</f>
        <v>To Verify</v>
      </c>
      <c r="U233" s="6" t="s">
        <v>75</v>
      </c>
      <c r="V233" s="6" t="s">
        <v>79</v>
      </c>
      <c r="W233" s="6" t="s">
        <v>80</v>
      </c>
      <c r="X233" s="6" t="s">
        <v>221</v>
      </c>
      <c r="Y233" s="6" t="s">
        <v>74</v>
      </c>
      <c r="Z233" s="6" t="s">
        <v>2683</v>
      </c>
      <c r="AA233" s="6" t="s">
        <v>74</v>
      </c>
      <c r="AB233" s="6" t="s">
        <v>79</v>
      </c>
      <c r="AC233" s="6" t="s">
        <v>75</v>
      </c>
      <c r="AD233" s="6" t="s">
        <v>75</v>
      </c>
      <c r="AE233" s="6" t="s">
        <v>79</v>
      </c>
      <c r="AF233" s="6" t="s">
        <v>79</v>
      </c>
      <c r="AG233" s="6" t="s">
        <v>170</v>
      </c>
      <c r="AH233" s="6" t="s">
        <v>74</v>
      </c>
      <c r="AI233" s="6" t="s">
        <v>79</v>
      </c>
      <c r="AJ233" s="6" t="s">
        <v>79</v>
      </c>
      <c r="AK233" s="6" t="s">
        <v>79</v>
      </c>
      <c r="AL233" s="6" t="s">
        <v>2674</v>
      </c>
      <c r="AM233" s="6" t="s">
        <v>2676</v>
      </c>
      <c r="AN233" s="7" t="str">
        <f aca="false">BA233&amp;", "&amp;AZ233</f>
        <v>Government Job Form – State, Online Form &amp; Digital Services, Devmobile Stores, सरकारी नौकरी फॉर्म – राज्य, ऑनलाइन फॉर्म व डिजिटल सेवाएँ, सेवा</v>
      </c>
      <c r="AO233" s="6" t="s">
        <v>2696</v>
      </c>
      <c r="AP233" s="5" t="s">
        <v>2685</v>
      </c>
      <c r="AQ233" s="5" t="n">
        <v>20</v>
      </c>
      <c r="AR233" s="6" t="s">
        <v>2686</v>
      </c>
      <c r="AS233" s="6"/>
      <c r="AT233" s="6" t="s">
        <v>86</v>
      </c>
      <c r="AU233" s="10"/>
      <c r="AV233" s="6" t="s">
        <v>75</v>
      </c>
      <c r="AW233" s="6"/>
      <c r="AX233" s="6" t="s">
        <v>2697</v>
      </c>
      <c r="AY233" s="6" t="s">
        <v>2698</v>
      </c>
      <c r="AZ233" s="6" t="s">
        <v>2699</v>
      </c>
      <c r="BA233" s="6" t="s">
        <v>2700</v>
      </c>
      <c r="BB233" s="6"/>
      <c r="BC233" s="11" t="str">
        <f aca="false">IFERROR(INDEX(CATEGORY_MASTER!$C$4:$C$30,MATCH(B233,CATEGORY_MASTER!$A$4:$A$30,0)),"")</f>
        <v>🌐</v>
      </c>
      <c r="BD233" s="7" t="str">
        <f aca="false">"/services/"&amp;AO233</f>
        <v>/services/government-job-form-state</v>
      </c>
      <c r="BE233" s="7" t="str">
        <f aca="false">IF(AND(AH233="Yes",AG233="Active",I233&lt;&gt;"Not Available"),"LIVE","HIDDEN")</f>
        <v>LIVE</v>
      </c>
      <c r="BF233" s="6" t="s">
        <v>139</v>
      </c>
      <c r="BG233" s="6" t="s">
        <v>93</v>
      </c>
      <c r="BH233" s="7" t="str">
        <f aca="false">B233&amp;"|"&amp;COUNTIF($B$4:B233,B233)</f>
        <v>Online Form &amp; Digital Services|2</v>
      </c>
      <c r="BI233" s="7" t="str">
        <f aca="false">IF(AND(AI233="Yes",BE233="LIVE"),COUNTIFS($AI$4:AI233,"Yes",$BE$4:BE233,"LIVE"),"")</f>
        <v/>
      </c>
      <c r="BJ233" s="7" t="str">
        <f aca="false">IF(AND(AJ233="Yes",BE233="LIVE"),COUNTIFS($AJ$4:AJ233,"Yes",$BE$4:BE233,"LIVE"),"")</f>
        <v/>
      </c>
      <c r="BK233" s="7" t="str">
        <f aca="false">IF(AND(AK233="Yes",BE233="LIVE"),COUNTIFS($AK$4:AK233,"Yes",$BE$4:BE233,"LIVE"),"")</f>
        <v/>
      </c>
      <c r="BL233" s="7" t="str">
        <f aca="false">IF(I233="To Verify",COUNTIF($I$4:I233,"To Verify"),"")</f>
        <v/>
      </c>
    </row>
    <row r="234" customFormat="false" ht="79.85" hidden="false" customHeight="false" outlineLevel="0" collapsed="false">
      <c r="A234" s="5" t="s">
        <v>2701</v>
      </c>
      <c r="B234" s="6" t="s">
        <v>2674</v>
      </c>
      <c r="C234" s="6" t="s">
        <v>2675</v>
      </c>
      <c r="D234" s="6" t="s">
        <v>2676</v>
      </c>
      <c r="E234" s="6" t="s">
        <v>2702</v>
      </c>
      <c r="F234" s="6" t="s">
        <v>2703</v>
      </c>
      <c r="G234" s="6" t="s">
        <v>2704</v>
      </c>
      <c r="H234" s="6" t="s">
        <v>2705</v>
      </c>
      <c r="I234" s="5" t="s">
        <v>167</v>
      </c>
      <c r="J234" s="7" t="str">
        <f aca="false">IFERROR(INDEX(AVAILABILITY_MASTER!$C$4:$C$10,MATCH(I234,AVAILABILITY_MASTER!$A$4:$A$10,0)),"To Be Confirmed")</f>
        <v>Available</v>
      </c>
      <c r="K234" s="6" t="s">
        <v>79</v>
      </c>
      <c r="L234" s="6" t="s">
        <v>437</v>
      </c>
      <c r="M234" s="7" t="str">
        <f aca="false">IFERROR(INDEX(SERVICE_DOCUMENTS!$S$4:$S$1000,MATCH(A234,SERVICE_DOCUMENTS!$A$4:$A$1000,0))&amp;"","")</f>
        <v>✓ Aadhaar Card
✓ Educational Certificates
✓ Photo &amp; Signature (Soft Copy)
✓ Active Mobile Number
✓ Email ID
✓ Exam / Form Notification Details</v>
      </c>
      <c r="N234" s="7" t="str">
        <f aca="false">IFERROR(INDEX(SERVICE_DOCUMENTS!$T$4:$T$1000,MATCH(A234,SERVICE_DOCUMENTS!$A$4:$A$1000,0))&amp;"","")</f>
        <v>• Category Certificate (If Applicable)</v>
      </c>
      <c r="O234" s="6" t="s">
        <v>2681</v>
      </c>
      <c r="P234" s="6" t="s">
        <v>2682</v>
      </c>
      <c r="Q234" s="6" t="s">
        <v>756</v>
      </c>
      <c r="R234" s="8" t="s">
        <v>75</v>
      </c>
      <c r="S234" s="8" t="s">
        <v>75</v>
      </c>
      <c r="T234" s="9" t="str">
        <f aca="false">IF(AND(OR(ISNUMBER(R234),R234="N/A"),OR(ISNUMBER(S234),S234="N/A"),OR(ISNUMBER(R234),ISNUMBER(S234))),N(R234)+N(S234),"To Verify")</f>
        <v>To Verify</v>
      </c>
      <c r="U234" s="6" t="s">
        <v>75</v>
      </c>
      <c r="V234" s="6" t="s">
        <v>79</v>
      </c>
      <c r="W234" s="6" t="s">
        <v>80</v>
      </c>
      <c r="X234" s="6" t="s">
        <v>221</v>
      </c>
      <c r="Y234" s="6" t="s">
        <v>74</v>
      </c>
      <c r="Z234" s="6" t="s">
        <v>2683</v>
      </c>
      <c r="AA234" s="6" t="s">
        <v>74</v>
      </c>
      <c r="AB234" s="6" t="s">
        <v>79</v>
      </c>
      <c r="AC234" s="6" t="s">
        <v>75</v>
      </c>
      <c r="AD234" s="6" t="s">
        <v>75</v>
      </c>
      <c r="AE234" s="6" t="s">
        <v>79</v>
      </c>
      <c r="AF234" s="6" t="s">
        <v>79</v>
      </c>
      <c r="AG234" s="6" t="s">
        <v>170</v>
      </c>
      <c r="AH234" s="6" t="s">
        <v>74</v>
      </c>
      <c r="AI234" s="6" t="s">
        <v>79</v>
      </c>
      <c r="AJ234" s="6" t="s">
        <v>79</v>
      </c>
      <c r="AK234" s="6" t="s">
        <v>79</v>
      </c>
      <c r="AL234" s="6" t="s">
        <v>2674</v>
      </c>
      <c r="AM234" s="6" t="s">
        <v>2676</v>
      </c>
      <c r="AN234" s="7" t="str">
        <f aca="false">BA234&amp;", "&amp;AZ234</f>
        <v>Recruitment Form – Railway (RRB), Online Form &amp; Digital Services, Devmobile Stores, रेलवे भर्ती फॉर्म (RRB), ऑनलाइन फॉर्म व डिजिटल सेवाएँ, सेवा</v>
      </c>
      <c r="AO234" s="6" t="s">
        <v>2706</v>
      </c>
      <c r="AP234" s="5" t="s">
        <v>2685</v>
      </c>
      <c r="AQ234" s="5" t="n">
        <v>30</v>
      </c>
      <c r="AR234" s="6" t="s">
        <v>2686</v>
      </c>
      <c r="AS234" s="6"/>
      <c r="AT234" s="6" t="s">
        <v>86</v>
      </c>
      <c r="AU234" s="10"/>
      <c r="AV234" s="6" t="s">
        <v>75</v>
      </c>
      <c r="AW234" s="6"/>
      <c r="AX234" s="6" t="s">
        <v>2707</v>
      </c>
      <c r="AY234" s="6" t="s">
        <v>2708</v>
      </c>
      <c r="AZ234" s="6" t="s">
        <v>2709</v>
      </c>
      <c r="BA234" s="6" t="s">
        <v>2710</v>
      </c>
      <c r="BB234" s="6"/>
      <c r="BC234" s="11" t="str">
        <f aca="false">IFERROR(INDEX(CATEGORY_MASTER!$C$4:$C$30,MATCH(B234,CATEGORY_MASTER!$A$4:$A$30,0)),"")</f>
        <v>🌐</v>
      </c>
      <c r="BD234" s="7" t="str">
        <f aca="false">"/services/"&amp;AO234</f>
        <v>/services/recruitment-form-railway-rrb</v>
      </c>
      <c r="BE234" s="7" t="str">
        <f aca="false">IF(AND(AH234="Yes",AG234="Active",I234&lt;&gt;"Not Available"),"LIVE","HIDDEN")</f>
        <v>LIVE</v>
      </c>
      <c r="BF234" s="6" t="s">
        <v>139</v>
      </c>
      <c r="BG234" s="6" t="s">
        <v>93</v>
      </c>
      <c r="BH234" s="7" t="str">
        <f aca="false">B234&amp;"|"&amp;COUNTIF($B$4:B234,B234)</f>
        <v>Online Form &amp; Digital Services|3</v>
      </c>
      <c r="BI234" s="7" t="str">
        <f aca="false">IF(AND(AI234="Yes",BE234="LIVE"),COUNTIFS($AI$4:AI234,"Yes",$BE$4:BE234,"LIVE"),"")</f>
        <v/>
      </c>
      <c r="BJ234" s="7" t="str">
        <f aca="false">IF(AND(AJ234="Yes",BE234="LIVE"),COUNTIFS($AJ$4:AJ234,"Yes",$BE$4:BE234,"LIVE"),"")</f>
        <v/>
      </c>
      <c r="BK234" s="7" t="str">
        <f aca="false">IF(AND(AK234="Yes",BE234="LIVE"),COUNTIFS($AK$4:AK234,"Yes",$BE$4:BE234,"LIVE"),"")</f>
        <v/>
      </c>
      <c r="BL234" s="7" t="str">
        <f aca="false">IF(I234="To Verify",COUNTIF($I$4:I234,"To Verify"),"")</f>
        <v/>
      </c>
    </row>
    <row r="235" customFormat="false" ht="79.85" hidden="false" customHeight="false" outlineLevel="0" collapsed="false">
      <c r="A235" s="5" t="s">
        <v>2711</v>
      </c>
      <c r="B235" s="6" t="s">
        <v>2674</v>
      </c>
      <c r="C235" s="6" t="s">
        <v>2675</v>
      </c>
      <c r="D235" s="6" t="s">
        <v>2676</v>
      </c>
      <c r="E235" s="6" t="s">
        <v>2712</v>
      </c>
      <c r="F235" s="6" t="s">
        <v>2713</v>
      </c>
      <c r="G235" s="6" t="s">
        <v>2714</v>
      </c>
      <c r="H235" s="6" t="s">
        <v>2715</v>
      </c>
      <c r="I235" s="5" t="s">
        <v>167</v>
      </c>
      <c r="J235" s="7" t="str">
        <f aca="false">IFERROR(INDEX(AVAILABILITY_MASTER!$C$4:$C$10,MATCH(I235,AVAILABILITY_MASTER!$A$4:$A$10,0)),"To Be Confirmed")</f>
        <v>Available</v>
      </c>
      <c r="K235" s="6" t="s">
        <v>79</v>
      </c>
      <c r="L235" s="6" t="s">
        <v>437</v>
      </c>
      <c r="M235" s="7" t="str">
        <f aca="false">IFERROR(INDEX(SERVICE_DOCUMENTS!$S$4:$S$1000,MATCH(A235,SERVICE_DOCUMENTS!$A$4:$A$1000,0))&amp;"","")</f>
        <v>✓ Aadhaar Card
✓ Educational Certificates
✓ Photo &amp; Signature (Soft Copy)
✓ Active Mobile Number
✓ Email ID
✓ Exam / Form Notification Details</v>
      </c>
      <c r="N235" s="7" t="str">
        <f aca="false">IFERROR(INDEX(SERVICE_DOCUMENTS!$T$4:$T$1000,MATCH(A235,SERVICE_DOCUMENTS!$A$4:$A$1000,0))&amp;"","")</f>
        <v>• Category Certificate (If Applicable)</v>
      </c>
      <c r="O235" s="6" t="s">
        <v>2681</v>
      </c>
      <c r="P235" s="6" t="s">
        <v>2682</v>
      </c>
      <c r="Q235" s="6" t="s">
        <v>756</v>
      </c>
      <c r="R235" s="8" t="s">
        <v>75</v>
      </c>
      <c r="S235" s="8" t="s">
        <v>75</v>
      </c>
      <c r="T235" s="9" t="str">
        <f aca="false">IF(AND(OR(ISNUMBER(R235),R235="N/A"),OR(ISNUMBER(S235),S235="N/A"),OR(ISNUMBER(R235),ISNUMBER(S235))),N(R235)+N(S235),"To Verify")</f>
        <v>To Verify</v>
      </c>
      <c r="U235" s="6" t="s">
        <v>75</v>
      </c>
      <c r="V235" s="6" t="s">
        <v>79</v>
      </c>
      <c r="W235" s="6" t="s">
        <v>80</v>
      </c>
      <c r="X235" s="6" t="s">
        <v>221</v>
      </c>
      <c r="Y235" s="6" t="s">
        <v>74</v>
      </c>
      <c r="Z235" s="6" t="s">
        <v>2683</v>
      </c>
      <c r="AA235" s="6" t="s">
        <v>74</v>
      </c>
      <c r="AB235" s="6" t="s">
        <v>79</v>
      </c>
      <c r="AC235" s="6" t="s">
        <v>75</v>
      </c>
      <c r="AD235" s="6" t="s">
        <v>75</v>
      </c>
      <c r="AE235" s="6" t="s">
        <v>79</v>
      </c>
      <c r="AF235" s="6" t="s">
        <v>79</v>
      </c>
      <c r="AG235" s="6" t="s">
        <v>170</v>
      </c>
      <c r="AH235" s="6" t="s">
        <v>74</v>
      </c>
      <c r="AI235" s="6" t="s">
        <v>79</v>
      </c>
      <c r="AJ235" s="6" t="s">
        <v>79</v>
      </c>
      <c r="AK235" s="6" t="s">
        <v>79</v>
      </c>
      <c r="AL235" s="6" t="s">
        <v>2674</v>
      </c>
      <c r="AM235" s="6" t="s">
        <v>2676</v>
      </c>
      <c r="AN235" s="7" t="str">
        <f aca="false">BA235&amp;", "&amp;AZ235</f>
        <v>Recruitment Form – SSC, Online Form &amp; Digital Services, Devmobile Stores, SSC भर्ती फॉर्म, ऑनलाइन फॉर्म व डिजिटल सेवाएँ, सेवा</v>
      </c>
      <c r="AO235" s="6" t="s">
        <v>2716</v>
      </c>
      <c r="AP235" s="5" t="s">
        <v>2685</v>
      </c>
      <c r="AQ235" s="5" t="n">
        <v>40</v>
      </c>
      <c r="AR235" s="6" t="s">
        <v>2686</v>
      </c>
      <c r="AS235" s="6"/>
      <c r="AT235" s="6" t="s">
        <v>86</v>
      </c>
      <c r="AU235" s="10"/>
      <c r="AV235" s="6" t="s">
        <v>75</v>
      </c>
      <c r="AW235" s="6"/>
      <c r="AX235" s="6" t="s">
        <v>2717</v>
      </c>
      <c r="AY235" s="6" t="s">
        <v>2718</v>
      </c>
      <c r="AZ235" s="6" t="s">
        <v>2719</v>
      </c>
      <c r="BA235" s="6" t="s">
        <v>2720</v>
      </c>
      <c r="BB235" s="6"/>
      <c r="BC235" s="11" t="str">
        <f aca="false">IFERROR(INDEX(CATEGORY_MASTER!$C$4:$C$30,MATCH(B235,CATEGORY_MASTER!$A$4:$A$30,0)),"")</f>
        <v>🌐</v>
      </c>
      <c r="BD235" s="7" t="str">
        <f aca="false">"/services/"&amp;AO235</f>
        <v>/services/recruitment-form-ssc</v>
      </c>
      <c r="BE235" s="7" t="str">
        <f aca="false">IF(AND(AH235="Yes",AG235="Active",I235&lt;&gt;"Not Available"),"LIVE","HIDDEN")</f>
        <v>LIVE</v>
      </c>
      <c r="BF235" s="6" t="s">
        <v>139</v>
      </c>
      <c r="BG235" s="6" t="s">
        <v>93</v>
      </c>
      <c r="BH235" s="7" t="str">
        <f aca="false">B235&amp;"|"&amp;COUNTIF($B$4:B235,B235)</f>
        <v>Online Form &amp; Digital Services|4</v>
      </c>
      <c r="BI235" s="7" t="str">
        <f aca="false">IF(AND(AI235="Yes",BE235="LIVE"),COUNTIFS($AI$4:AI235,"Yes",$BE$4:BE235,"LIVE"),"")</f>
        <v/>
      </c>
      <c r="BJ235" s="7" t="str">
        <f aca="false">IF(AND(AJ235="Yes",BE235="LIVE"),COUNTIFS($AJ$4:AJ235,"Yes",$BE$4:BE235,"LIVE"),"")</f>
        <v/>
      </c>
      <c r="BK235" s="7" t="str">
        <f aca="false">IF(AND(AK235="Yes",BE235="LIVE"),COUNTIFS($AK$4:AK235,"Yes",$BE$4:BE235,"LIVE"),"")</f>
        <v/>
      </c>
      <c r="BL235" s="7" t="str">
        <f aca="false">IF(I235="To Verify",COUNTIF($I$4:I235,"To Verify"),"")</f>
        <v/>
      </c>
    </row>
    <row r="236" customFormat="false" ht="79.85" hidden="false" customHeight="false" outlineLevel="0" collapsed="false">
      <c r="A236" s="5" t="s">
        <v>2721</v>
      </c>
      <c r="B236" s="6" t="s">
        <v>2674</v>
      </c>
      <c r="C236" s="6" t="s">
        <v>2675</v>
      </c>
      <c r="D236" s="6" t="s">
        <v>2676</v>
      </c>
      <c r="E236" s="6" t="s">
        <v>2722</v>
      </c>
      <c r="F236" s="6" t="s">
        <v>2723</v>
      </c>
      <c r="G236" s="6" t="s">
        <v>2724</v>
      </c>
      <c r="H236" s="6" t="s">
        <v>2725</v>
      </c>
      <c r="I236" s="5" t="s">
        <v>167</v>
      </c>
      <c r="J236" s="7" t="str">
        <f aca="false">IFERROR(INDEX(AVAILABILITY_MASTER!$C$4:$C$10,MATCH(I236,AVAILABILITY_MASTER!$A$4:$A$10,0)),"To Be Confirmed")</f>
        <v>Available</v>
      </c>
      <c r="K236" s="6" t="s">
        <v>79</v>
      </c>
      <c r="L236" s="6" t="s">
        <v>437</v>
      </c>
      <c r="M236" s="7" t="str">
        <f aca="false">IFERROR(INDEX(SERVICE_DOCUMENTS!$S$4:$S$1000,MATCH(A236,SERVICE_DOCUMENTS!$A$4:$A$1000,0))&amp;"","")</f>
        <v>✓ Aadhaar Card
✓ Educational Certificates
✓ Photo &amp; Signature (Soft Copy)
✓ Active Mobile Number
✓ Email ID
✓ Exam / Form Notification Details</v>
      </c>
      <c r="N236" s="7" t="str">
        <f aca="false">IFERROR(INDEX(SERVICE_DOCUMENTS!$T$4:$T$1000,MATCH(A236,SERVICE_DOCUMENTS!$A$4:$A$1000,0))&amp;"","")</f>
        <v>• Category Certificate (If Applicable)</v>
      </c>
      <c r="O236" s="6" t="s">
        <v>2681</v>
      </c>
      <c r="P236" s="6" t="s">
        <v>2682</v>
      </c>
      <c r="Q236" s="6" t="s">
        <v>756</v>
      </c>
      <c r="R236" s="8" t="s">
        <v>75</v>
      </c>
      <c r="S236" s="8" t="s">
        <v>75</v>
      </c>
      <c r="T236" s="9" t="str">
        <f aca="false">IF(AND(OR(ISNUMBER(R236),R236="N/A"),OR(ISNUMBER(S236),S236="N/A"),OR(ISNUMBER(R236),ISNUMBER(S236))),N(R236)+N(S236),"To Verify")</f>
        <v>To Verify</v>
      </c>
      <c r="U236" s="6" t="s">
        <v>75</v>
      </c>
      <c r="V236" s="6" t="s">
        <v>79</v>
      </c>
      <c r="W236" s="6" t="s">
        <v>80</v>
      </c>
      <c r="X236" s="6" t="s">
        <v>221</v>
      </c>
      <c r="Y236" s="6" t="s">
        <v>74</v>
      </c>
      <c r="Z236" s="6" t="s">
        <v>2683</v>
      </c>
      <c r="AA236" s="6" t="s">
        <v>74</v>
      </c>
      <c r="AB236" s="6" t="s">
        <v>79</v>
      </c>
      <c r="AC236" s="6" t="s">
        <v>75</v>
      </c>
      <c r="AD236" s="6" t="s">
        <v>75</v>
      </c>
      <c r="AE236" s="6" t="s">
        <v>79</v>
      </c>
      <c r="AF236" s="6" t="s">
        <v>79</v>
      </c>
      <c r="AG236" s="6" t="s">
        <v>170</v>
      </c>
      <c r="AH236" s="6" t="s">
        <v>74</v>
      </c>
      <c r="AI236" s="6" t="s">
        <v>79</v>
      </c>
      <c r="AJ236" s="6" t="s">
        <v>79</v>
      </c>
      <c r="AK236" s="6" t="s">
        <v>79</v>
      </c>
      <c r="AL236" s="6" t="s">
        <v>2674</v>
      </c>
      <c r="AM236" s="6" t="s">
        <v>2676</v>
      </c>
      <c r="AN236" s="7" t="str">
        <f aca="false">BA236&amp;", "&amp;AZ236</f>
        <v>Recruitment Form – Bank (IBPS / SBI etc.), Online Form &amp; Digital Services, Devmobile Stores, बैंक भर्ती फॉर्म (IBPS / SBI आदि), ऑनलाइन फॉर्म व डिजिटल सेवाएँ, सेवा</v>
      </c>
      <c r="AO236" s="6" t="s">
        <v>2726</v>
      </c>
      <c r="AP236" s="5" t="s">
        <v>2685</v>
      </c>
      <c r="AQ236" s="5" t="n">
        <v>50</v>
      </c>
      <c r="AR236" s="6" t="s">
        <v>2686</v>
      </c>
      <c r="AS236" s="6"/>
      <c r="AT236" s="6" t="s">
        <v>86</v>
      </c>
      <c r="AU236" s="10"/>
      <c r="AV236" s="6" t="s">
        <v>75</v>
      </c>
      <c r="AW236" s="6"/>
      <c r="AX236" s="6" t="s">
        <v>2727</v>
      </c>
      <c r="AY236" s="6" t="s">
        <v>2728</v>
      </c>
      <c r="AZ236" s="6" t="s">
        <v>2729</v>
      </c>
      <c r="BA236" s="6" t="s">
        <v>2730</v>
      </c>
      <c r="BB236" s="6"/>
      <c r="BC236" s="11" t="str">
        <f aca="false">IFERROR(INDEX(CATEGORY_MASTER!$C$4:$C$30,MATCH(B236,CATEGORY_MASTER!$A$4:$A$30,0)),"")</f>
        <v>🌐</v>
      </c>
      <c r="BD236" s="7" t="str">
        <f aca="false">"/services/"&amp;AO236</f>
        <v>/services/recruitment-form-bank-ibps-sbi-etc</v>
      </c>
      <c r="BE236" s="7" t="str">
        <f aca="false">IF(AND(AH236="Yes",AG236="Active",I236&lt;&gt;"Not Available"),"LIVE","HIDDEN")</f>
        <v>LIVE</v>
      </c>
      <c r="BF236" s="6" t="s">
        <v>139</v>
      </c>
      <c r="BG236" s="6" t="s">
        <v>93</v>
      </c>
      <c r="BH236" s="7" t="str">
        <f aca="false">B236&amp;"|"&amp;COUNTIF($B$4:B236,B236)</f>
        <v>Online Form &amp; Digital Services|5</v>
      </c>
      <c r="BI236" s="7" t="str">
        <f aca="false">IF(AND(AI236="Yes",BE236="LIVE"),COUNTIFS($AI$4:AI236,"Yes",$BE$4:BE236,"LIVE"),"")</f>
        <v/>
      </c>
      <c r="BJ236" s="7" t="str">
        <f aca="false">IF(AND(AJ236="Yes",BE236="LIVE"),COUNTIFS($AJ$4:AJ236,"Yes",$BE$4:BE236,"LIVE"),"")</f>
        <v/>
      </c>
      <c r="BK236" s="7" t="str">
        <f aca="false">IF(AND(AK236="Yes",BE236="LIVE"),COUNTIFS($AK$4:AK236,"Yes",$BE$4:BE236,"LIVE"),"")</f>
        <v/>
      </c>
      <c r="BL236" s="7" t="str">
        <f aca="false">IF(I236="To Verify",COUNTIF($I$4:I236,"To Verify"),"")</f>
        <v/>
      </c>
    </row>
    <row r="237" customFormat="false" ht="79.85" hidden="false" customHeight="false" outlineLevel="0" collapsed="false">
      <c r="A237" s="5" t="s">
        <v>2731</v>
      </c>
      <c r="B237" s="6" t="s">
        <v>2674</v>
      </c>
      <c r="C237" s="6" t="s">
        <v>2675</v>
      </c>
      <c r="D237" s="6" t="s">
        <v>2676</v>
      </c>
      <c r="E237" s="6" t="s">
        <v>2732</v>
      </c>
      <c r="F237" s="6" t="s">
        <v>2733</v>
      </c>
      <c r="G237" s="6" t="s">
        <v>2734</v>
      </c>
      <c r="H237" s="6" t="s">
        <v>2735</v>
      </c>
      <c r="I237" s="5" t="s">
        <v>167</v>
      </c>
      <c r="J237" s="7" t="str">
        <f aca="false">IFERROR(INDEX(AVAILABILITY_MASTER!$C$4:$C$10,MATCH(I237,AVAILABILITY_MASTER!$A$4:$A$10,0)),"To Be Confirmed")</f>
        <v>Available</v>
      </c>
      <c r="K237" s="6" t="s">
        <v>79</v>
      </c>
      <c r="L237" s="6" t="s">
        <v>437</v>
      </c>
      <c r="M237" s="7" t="str">
        <f aca="false">IFERROR(INDEX(SERVICE_DOCUMENTS!$S$4:$S$1000,MATCH(A237,SERVICE_DOCUMENTS!$A$4:$A$1000,0))&amp;"","")</f>
        <v>✓ Aadhaar Card
✓ Educational Certificates
✓ Photo &amp; Signature (Soft Copy)
✓ Active Mobile Number
✓ Email ID
✓ Exam / Form Notification Details</v>
      </c>
      <c r="N237" s="7" t="str">
        <f aca="false">IFERROR(INDEX(SERVICE_DOCUMENTS!$T$4:$T$1000,MATCH(A237,SERVICE_DOCUMENTS!$A$4:$A$1000,0))&amp;"","")</f>
        <v>• Category Certificate (If Applicable)</v>
      </c>
      <c r="O237" s="6" t="s">
        <v>2681</v>
      </c>
      <c r="P237" s="6" t="s">
        <v>2682</v>
      </c>
      <c r="Q237" s="6" t="s">
        <v>756</v>
      </c>
      <c r="R237" s="8" t="s">
        <v>75</v>
      </c>
      <c r="S237" s="8" t="s">
        <v>75</v>
      </c>
      <c r="T237" s="9" t="str">
        <f aca="false">IF(AND(OR(ISNUMBER(R237),R237="N/A"),OR(ISNUMBER(S237),S237="N/A"),OR(ISNUMBER(R237),ISNUMBER(S237))),N(R237)+N(S237),"To Verify")</f>
        <v>To Verify</v>
      </c>
      <c r="U237" s="6" t="s">
        <v>75</v>
      </c>
      <c r="V237" s="6" t="s">
        <v>79</v>
      </c>
      <c r="W237" s="6" t="s">
        <v>80</v>
      </c>
      <c r="X237" s="6" t="s">
        <v>221</v>
      </c>
      <c r="Y237" s="6" t="s">
        <v>74</v>
      </c>
      <c r="Z237" s="6" t="s">
        <v>2683</v>
      </c>
      <c r="AA237" s="6" t="s">
        <v>74</v>
      </c>
      <c r="AB237" s="6" t="s">
        <v>79</v>
      </c>
      <c r="AC237" s="6" t="s">
        <v>75</v>
      </c>
      <c r="AD237" s="6" t="s">
        <v>75</v>
      </c>
      <c r="AE237" s="6" t="s">
        <v>79</v>
      </c>
      <c r="AF237" s="6" t="s">
        <v>79</v>
      </c>
      <c r="AG237" s="6" t="s">
        <v>170</v>
      </c>
      <c r="AH237" s="6" t="s">
        <v>74</v>
      </c>
      <c r="AI237" s="6" t="s">
        <v>79</v>
      </c>
      <c r="AJ237" s="6" t="s">
        <v>79</v>
      </c>
      <c r="AK237" s="6" t="s">
        <v>79</v>
      </c>
      <c r="AL237" s="6" t="s">
        <v>2674</v>
      </c>
      <c r="AM237" s="6" t="s">
        <v>2676</v>
      </c>
      <c r="AN237" s="7" t="str">
        <f aca="false">BA237&amp;", "&amp;AZ237</f>
        <v>Recruitment Form – Police / Defence, Online Form &amp; Digital Services, Devmobile Stores, पुलिस / रक्षा भर्ती फॉर्म, ऑनलाइन फॉर्म व डिजिटल सेवाएँ, सेवा</v>
      </c>
      <c r="AO237" s="6" t="s">
        <v>2736</v>
      </c>
      <c r="AP237" s="5" t="s">
        <v>2685</v>
      </c>
      <c r="AQ237" s="5" t="n">
        <v>60</v>
      </c>
      <c r="AR237" s="6" t="s">
        <v>2686</v>
      </c>
      <c r="AS237" s="6"/>
      <c r="AT237" s="6" t="s">
        <v>86</v>
      </c>
      <c r="AU237" s="10"/>
      <c r="AV237" s="6" t="s">
        <v>75</v>
      </c>
      <c r="AW237" s="6"/>
      <c r="AX237" s="6" t="s">
        <v>2737</v>
      </c>
      <c r="AY237" s="6" t="s">
        <v>2738</v>
      </c>
      <c r="AZ237" s="6" t="s">
        <v>2739</v>
      </c>
      <c r="BA237" s="6" t="s">
        <v>2740</v>
      </c>
      <c r="BB237" s="6"/>
      <c r="BC237" s="11" t="str">
        <f aca="false">IFERROR(INDEX(CATEGORY_MASTER!$C$4:$C$30,MATCH(B237,CATEGORY_MASTER!$A$4:$A$30,0)),"")</f>
        <v>🌐</v>
      </c>
      <c r="BD237" s="7" t="str">
        <f aca="false">"/services/"&amp;AO237</f>
        <v>/services/recruitment-form-police-defence</v>
      </c>
      <c r="BE237" s="7" t="str">
        <f aca="false">IF(AND(AH237="Yes",AG237="Active",I237&lt;&gt;"Not Available"),"LIVE","HIDDEN")</f>
        <v>LIVE</v>
      </c>
      <c r="BF237" s="6" t="s">
        <v>139</v>
      </c>
      <c r="BG237" s="6" t="s">
        <v>93</v>
      </c>
      <c r="BH237" s="7" t="str">
        <f aca="false">B237&amp;"|"&amp;COUNTIF($B$4:B237,B237)</f>
        <v>Online Form &amp; Digital Services|6</v>
      </c>
      <c r="BI237" s="7" t="str">
        <f aca="false">IF(AND(AI237="Yes",BE237="LIVE"),COUNTIFS($AI$4:AI237,"Yes",$BE$4:BE237,"LIVE"),"")</f>
        <v/>
      </c>
      <c r="BJ237" s="7" t="str">
        <f aca="false">IF(AND(AJ237="Yes",BE237="LIVE"),COUNTIFS($AJ$4:AJ237,"Yes",$BE$4:BE237,"LIVE"),"")</f>
        <v/>
      </c>
      <c r="BK237" s="7" t="str">
        <f aca="false">IF(AND(AK237="Yes",BE237="LIVE"),COUNTIFS($AK$4:AK237,"Yes",$BE$4:BE237,"LIVE"),"")</f>
        <v/>
      </c>
      <c r="BL237" s="7" t="str">
        <f aca="false">IF(I237="To Verify",COUNTIF($I$4:I237,"To Verify"),"")</f>
        <v/>
      </c>
    </row>
    <row r="238" customFormat="false" ht="79.85" hidden="false" customHeight="false" outlineLevel="0" collapsed="false">
      <c r="A238" s="5" t="s">
        <v>2741</v>
      </c>
      <c r="B238" s="6" t="s">
        <v>2674</v>
      </c>
      <c r="C238" s="6" t="s">
        <v>2675</v>
      </c>
      <c r="D238" s="6" t="s">
        <v>2676</v>
      </c>
      <c r="E238" s="6" t="s">
        <v>2742</v>
      </c>
      <c r="F238" s="6" t="s">
        <v>2743</v>
      </c>
      <c r="G238" s="6" t="s">
        <v>2744</v>
      </c>
      <c r="H238" s="6" t="s">
        <v>2745</v>
      </c>
      <c r="I238" s="5" t="s">
        <v>167</v>
      </c>
      <c r="J238" s="7" t="str">
        <f aca="false">IFERROR(INDEX(AVAILABILITY_MASTER!$C$4:$C$10,MATCH(I238,AVAILABILITY_MASTER!$A$4:$A$10,0)),"To Be Confirmed")</f>
        <v>Available</v>
      </c>
      <c r="K238" s="6" t="s">
        <v>79</v>
      </c>
      <c r="L238" s="6" t="s">
        <v>437</v>
      </c>
      <c r="M238" s="7" t="str">
        <f aca="false">IFERROR(INDEX(SERVICE_DOCUMENTS!$S$4:$S$1000,MATCH(A238,SERVICE_DOCUMENTS!$A$4:$A$1000,0))&amp;"","")</f>
        <v>✓ Aadhaar Card
✓ Educational Certificates
✓ Photo &amp; Signature (Soft Copy)
✓ Active Mobile Number
✓ Email ID
✓ Exam / Form Notification Details</v>
      </c>
      <c r="N238" s="7" t="str">
        <f aca="false">IFERROR(INDEX(SERVICE_DOCUMENTS!$T$4:$T$1000,MATCH(A238,SERVICE_DOCUMENTS!$A$4:$A$1000,0))&amp;"","")</f>
        <v>• Category Certificate (If Applicable)</v>
      </c>
      <c r="O238" s="6" t="s">
        <v>2681</v>
      </c>
      <c r="P238" s="6" t="s">
        <v>2682</v>
      </c>
      <c r="Q238" s="6" t="s">
        <v>756</v>
      </c>
      <c r="R238" s="8" t="s">
        <v>75</v>
      </c>
      <c r="S238" s="8" t="s">
        <v>75</v>
      </c>
      <c r="T238" s="9" t="str">
        <f aca="false">IF(AND(OR(ISNUMBER(R238),R238="N/A"),OR(ISNUMBER(S238),S238="N/A"),OR(ISNUMBER(R238),ISNUMBER(S238))),N(R238)+N(S238),"To Verify")</f>
        <v>To Verify</v>
      </c>
      <c r="U238" s="6" t="s">
        <v>75</v>
      </c>
      <c r="V238" s="6" t="s">
        <v>79</v>
      </c>
      <c r="W238" s="6" t="s">
        <v>80</v>
      </c>
      <c r="X238" s="6" t="s">
        <v>221</v>
      </c>
      <c r="Y238" s="6" t="s">
        <v>74</v>
      </c>
      <c r="Z238" s="6" t="s">
        <v>2683</v>
      </c>
      <c r="AA238" s="6" t="s">
        <v>74</v>
      </c>
      <c r="AB238" s="6" t="s">
        <v>79</v>
      </c>
      <c r="AC238" s="6" t="s">
        <v>75</v>
      </c>
      <c r="AD238" s="6" t="s">
        <v>75</v>
      </c>
      <c r="AE238" s="6" t="s">
        <v>79</v>
      </c>
      <c r="AF238" s="6" t="s">
        <v>79</v>
      </c>
      <c r="AG238" s="6" t="s">
        <v>170</v>
      </c>
      <c r="AH238" s="6" t="s">
        <v>74</v>
      </c>
      <c r="AI238" s="6" t="s">
        <v>79</v>
      </c>
      <c r="AJ238" s="6" t="s">
        <v>79</v>
      </c>
      <c r="AK238" s="6" t="s">
        <v>79</v>
      </c>
      <c r="AL238" s="6" t="s">
        <v>2674</v>
      </c>
      <c r="AM238" s="6" t="s">
        <v>2676</v>
      </c>
      <c r="AN238" s="7" t="str">
        <f aca="false">BA238&amp;", "&amp;AZ238</f>
        <v>Recruitment Form – Teacher (TET / TRE), Online Form &amp; Digital Services, Devmobile Stores, शिक्षक भर्ती फॉर्म (TET / TRE), ऑनलाइन फॉर्म व डिजिटल सेवाएँ, सेवा</v>
      </c>
      <c r="AO238" s="6" t="s">
        <v>2746</v>
      </c>
      <c r="AP238" s="5" t="s">
        <v>2685</v>
      </c>
      <c r="AQ238" s="5" t="n">
        <v>70</v>
      </c>
      <c r="AR238" s="6" t="s">
        <v>2686</v>
      </c>
      <c r="AS238" s="6"/>
      <c r="AT238" s="6" t="s">
        <v>86</v>
      </c>
      <c r="AU238" s="10"/>
      <c r="AV238" s="6" t="s">
        <v>75</v>
      </c>
      <c r="AW238" s="6"/>
      <c r="AX238" s="6" t="s">
        <v>2747</v>
      </c>
      <c r="AY238" s="6" t="s">
        <v>2748</v>
      </c>
      <c r="AZ238" s="6" t="s">
        <v>2749</v>
      </c>
      <c r="BA238" s="6" t="s">
        <v>2750</v>
      </c>
      <c r="BB238" s="6"/>
      <c r="BC238" s="11" t="str">
        <f aca="false">IFERROR(INDEX(CATEGORY_MASTER!$C$4:$C$30,MATCH(B238,CATEGORY_MASTER!$A$4:$A$30,0)),"")</f>
        <v>🌐</v>
      </c>
      <c r="BD238" s="7" t="str">
        <f aca="false">"/services/"&amp;AO238</f>
        <v>/services/recruitment-form-teacher-tet-tre</v>
      </c>
      <c r="BE238" s="7" t="str">
        <f aca="false">IF(AND(AH238="Yes",AG238="Active",I238&lt;&gt;"Not Available"),"LIVE","HIDDEN")</f>
        <v>LIVE</v>
      </c>
      <c r="BF238" s="6" t="s">
        <v>139</v>
      </c>
      <c r="BG238" s="6" t="s">
        <v>93</v>
      </c>
      <c r="BH238" s="7" t="str">
        <f aca="false">B238&amp;"|"&amp;COUNTIF($B$4:B238,B238)</f>
        <v>Online Form &amp; Digital Services|7</v>
      </c>
      <c r="BI238" s="7" t="str">
        <f aca="false">IF(AND(AI238="Yes",BE238="LIVE"),COUNTIFS($AI$4:AI238,"Yes",$BE$4:BE238,"LIVE"),"")</f>
        <v/>
      </c>
      <c r="BJ238" s="7" t="str">
        <f aca="false">IF(AND(AJ238="Yes",BE238="LIVE"),COUNTIFS($AJ$4:AJ238,"Yes",$BE$4:BE238,"LIVE"),"")</f>
        <v/>
      </c>
      <c r="BK238" s="7" t="str">
        <f aca="false">IF(AND(AK238="Yes",BE238="LIVE"),COUNTIFS($AK$4:AK238,"Yes",$BE$4:BE238,"LIVE"),"")</f>
        <v/>
      </c>
      <c r="BL238" s="7" t="str">
        <f aca="false">IF(I238="To Verify",COUNTIF($I$4:I238,"To Verify"),"")</f>
        <v/>
      </c>
    </row>
    <row r="239" customFormat="false" ht="79.85" hidden="false" customHeight="false" outlineLevel="0" collapsed="false">
      <c r="A239" s="5" t="s">
        <v>2751</v>
      </c>
      <c r="B239" s="6" t="s">
        <v>2674</v>
      </c>
      <c r="C239" s="6" t="s">
        <v>2675</v>
      </c>
      <c r="D239" s="6" t="s">
        <v>2676</v>
      </c>
      <c r="E239" s="6" t="s">
        <v>2752</v>
      </c>
      <c r="F239" s="6" t="s">
        <v>2753</v>
      </c>
      <c r="G239" s="6" t="s">
        <v>2754</v>
      </c>
      <c r="H239" s="6" t="s">
        <v>2755</v>
      </c>
      <c r="I239" s="5" t="s">
        <v>167</v>
      </c>
      <c r="J239" s="7" t="str">
        <f aca="false">IFERROR(INDEX(AVAILABILITY_MASTER!$C$4:$C$10,MATCH(I239,AVAILABILITY_MASTER!$A$4:$A$10,0)),"To Be Confirmed")</f>
        <v>Available</v>
      </c>
      <c r="K239" s="6" t="s">
        <v>79</v>
      </c>
      <c r="L239" s="6" t="s">
        <v>437</v>
      </c>
      <c r="M239" s="7" t="str">
        <f aca="false">IFERROR(INDEX(SERVICE_DOCUMENTS!$S$4:$S$1000,MATCH(A239,SERVICE_DOCUMENTS!$A$4:$A$1000,0))&amp;"","")</f>
        <v>✓ Aadhaar Card
✓ Educational Certificates
✓ Photo &amp; Signature (Soft Copy)
✓ Active Mobile Number
✓ Email ID
✓ Exam / Form Notification Details</v>
      </c>
      <c r="N239" s="7" t="str">
        <f aca="false">IFERROR(INDEX(SERVICE_DOCUMENTS!$T$4:$T$1000,MATCH(A239,SERVICE_DOCUMENTS!$A$4:$A$1000,0))&amp;"","")</f>
        <v>• Category Certificate (If Applicable)</v>
      </c>
      <c r="O239" s="6" t="s">
        <v>2681</v>
      </c>
      <c r="P239" s="6" t="s">
        <v>2682</v>
      </c>
      <c r="Q239" s="6" t="s">
        <v>756</v>
      </c>
      <c r="R239" s="8" t="s">
        <v>75</v>
      </c>
      <c r="S239" s="8" t="s">
        <v>75</v>
      </c>
      <c r="T239" s="9" t="str">
        <f aca="false">IF(AND(OR(ISNUMBER(R239),R239="N/A"),OR(ISNUMBER(S239),S239="N/A"),OR(ISNUMBER(R239),ISNUMBER(S239))),N(R239)+N(S239),"To Verify")</f>
        <v>To Verify</v>
      </c>
      <c r="U239" s="6" t="s">
        <v>75</v>
      </c>
      <c r="V239" s="6" t="s">
        <v>79</v>
      </c>
      <c r="W239" s="6" t="s">
        <v>80</v>
      </c>
      <c r="X239" s="6" t="s">
        <v>221</v>
      </c>
      <c r="Y239" s="6" t="s">
        <v>74</v>
      </c>
      <c r="Z239" s="6" t="s">
        <v>2683</v>
      </c>
      <c r="AA239" s="6" t="s">
        <v>74</v>
      </c>
      <c r="AB239" s="6" t="s">
        <v>79</v>
      </c>
      <c r="AC239" s="6" t="s">
        <v>75</v>
      </c>
      <c r="AD239" s="6" t="s">
        <v>75</v>
      </c>
      <c r="AE239" s="6" t="s">
        <v>79</v>
      </c>
      <c r="AF239" s="6" t="s">
        <v>79</v>
      </c>
      <c r="AG239" s="6" t="s">
        <v>170</v>
      </c>
      <c r="AH239" s="6" t="s">
        <v>74</v>
      </c>
      <c r="AI239" s="6" t="s">
        <v>79</v>
      </c>
      <c r="AJ239" s="6" t="s">
        <v>79</v>
      </c>
      <c r="AK239" s="6" t="s">
        <v>79</v>
      </c>
      <c r="AL239" s="6" t="s">
        <v>2674</v>
      </c>
      <c r="AM239" s="6" t="s">
        <v>2676</v>
      </c>
      <c r="AN239" s="7" t="str">
        <f aca="false">BA239&amp;", "&amp;AZ239</f>
        <v>Competitive Exam Form (UPSC / State PSC etc.), Online Form &amp; Digital Services, Devmobile Stores, प्रतियोगी परीक्षा फॉर्म (UPSC / राज्य PSC आदि), ऑनलाइन फॉर्म व डिजिटल सेवाएँ, सेवा</v>
      </c>
      <c r="AO239" s="6" t="s">
        <v>2756</v>
      </c>
      <c r="AP239" s="5" t="s">
        <v>2685</v>
      </c>
      <c r="AQ239" s="5" t="n">
        <v>80</v>
      </c>
      <c r="AR239" s="6" t="s">
        <v>2686</v>
      </c>
      <c r="AS239" s="6"/>
      <c r="AT239" s="6" t="s">
        <v>86</v>
      </c>
      <c r="AU239" s="10"/>
      <c r="AV239" s="6" t="s">
        <v>75</v>
      </c>
      <c r="AW239" s="6"/>
      <c r="AX239" s="6" t="s">
        <v>2757</v>
      </c>
      <c r="AY239" s="6" t="s">
        <v>2758</v>
      </c>
      <c r="AZ239" s="6" t="s">
        <v>2759</v>
      </c>
      <c r="BA239" s="6" t="s">
        <v>2760</v>
      </c>
      <c r="BB239" s="6"/>
      <c r="BC239" s="11" t="str">
        <f aca="false">IFERROR(INDEX(CATEGORY_MASTER!$C$4:$C$30,MATCH(B239,CATEGORY_MASTER!$A$4:$A$30,0)),"")</f>
        <v>🌐</v>
      </c>
      <c r="BD239" s="7" t="str">
        <f aca="false">"/services/"&amp;AO239</f>
        <v>/services/competitive-exam-form-upsc-state-psc-etc</v>
      </c>
      <c r="BE239" s="7" t="str">
        <f aca="false">IF(AND(AH239="Yes",AG239="Active",I239&lt;&gt;"Not Available"),"LIVE","HIDDEN")</f>
        <v>LIVE</v>
      </c>
      <c r="BF239" s="6" t="s">
        <v>139</v>
      </c>
      <c r="BG239" s="6" t="s">
        <v>93</v>
      </c>
      <c r="BH239" s="7" t="str">
        <f aca="false">B239&amp;"|"&amp;COUNTIF($B$4:B239,B239)</f>
        <v>Online Form &amp; Digital Services|8</v>
      </c>
      <c r="BI239" s="7" t="str">
        <f aca="false">IF(AND(AI239="Yes",BE239="LIVE"),COUNTIFS($AI$4:AI239,"Yes",$BE$4:BE239,"LIVE"),"")</f>
        <v/>
      </c>
      <c r="BJ239" s="7" t="str">
        <f aca="false">IF(AND(AJ239="Yes",BE239="LIVE"),COUNTIFS($AJ$4:AJ239,"Yes",$BE$4:BE239,"LIVE"),"")</f>
        <v/>
      </c>
      <c r="BK239" s="7" t="str">
        <f aca="false">IF(AND(AK239="Yes",BE239="LIVE"),COUNTIFS($AK$4:AK239,"Yes",$BE$4:BE239,"LIVE"),"")</f>
        <v/>
      </c>
      <c r="BL239" s="7" t="str">
        <f aca="false">IF(I239="To Verify",COUNTIF($I$4:I239,"To Verify"),"")</f>
        <v/>
      </c>
    </row>
    <row r="240" customFormat="false" ht="79.85" hidden="false" customHeight="false" outlineLevel="0" collapsed="false">
      <c r="A240" s="5" t="s">
        <v>2761</v>
      </c>
      <c r="B240" s="6" t="s">
        <v>2674</v>
      </c>
      <c r="C240" s="6" t="s">
        <v>2675</v>
      </c>
      <c r="D240" s="6" t="s">
        <v>2676</v>
      </c>
      <c r="E240" s="6" t="s">
        <v>2762</v>
      </c>
      <c r="F240" s="6" t="s">
        <v>2763</v>
      </c>
      <c r="G240" s="6" t="s">
        <v>2764</v>
      </c>
      <c r="H240" s="6" t="s">
        <v>2765</v>
      </c>
      <c r="I240" s="5" t="s">
        <v>167</v>
      </c>
      <c r="J240" s="7" t="str">
        <f aca="false">IFERROR(INDEX(AVAILABILITY_MASTER!$C$4:$C$10,MATCH(I240,AVAILABILITY_MASTER!$A$4:$A$10,0)),"To Be Confirmed")</f>
        <v>Available</v>
      </c>
      <c r="K240" s="6" t="s">
        <v>79</v>
      </c>
      <c r="L240" s="6" t="s">
        <v>437</v>
      </c>
      <c r="M240" s="7" t="str">
        <f aca="false">IFERROR(INDEX(SERVICE_DOCUMENTS!$S$4:$S$1000,MATCH(A240,SERVICE_DOCUMENTS!$A$4:$A$1000,0))&amp;"","")</f>
        <v>✓ Aadhaar Card
✓ Educational Certificates
✓ Photo &amp; Signature (Soft Copy)
✓ Active Mobile Number
✓ Email ID
✓ Exam / Form Notification Details</v>
      </c>
      <c r="N240" s="7" t="str">
        <f aca="false">IFERROR(INDEX(SERVICE_DOCUMENTS!$T$4:$T$1000,MATCH(A240,SERVICE_DOCUMENTS!$A$4:$A$1000,0))&amp;"","")</f>
        <v>• Category Certificate (If Applicable)</v>
      </c>
      <c r="O240" s="6" t="s">
        <v>2681</v>
      </c>
      <c r="P240" s="6" t="s">
        <v>2682</v>
      </c>
      <c r="Q240" s="6" t="s">
        <v>756</v>
      </c>
      <c r="R240" s="8" t="s">
        <v>75</v>
      </c>
      <c r="S240" s="8" t="s">
        <v>75</v>
      </c>
      <c r="T240" s="9" t="str">
        <f aca="false">IF(AND(OR(ISNUMBER(R240),R240="N/A"),OR(ISNUMBER(S240),S240="N/A"),OR(ISNUMBER(R240),ISNUMBER(S240))),N(R240)+N(S240),"To Verify")</f>
        <v>To Verify</v>
      </c>
      <c r="U240" s="6" t="s">
        <v>75</v>
      </c>
      <c r="V240" s="6" t="s">
        <v>79</v>
      </c>
      <c r="W240" s="6" t="s">
        <v>80</v>
      </c>
      <c r="X240" s="6" t="s">
        <v>221</v>
      </c>
      <c r="Y240" s="6" t="s">
        <v>74</v>
      </c>
      <c r="Z240" s="6" t="s">
        <v>2683</v>
      </c>
      <c r="AA240" s="6" t="s">
        <v>74</v>
      </c>
      <c r="AB240" s="6" t="s">
        <v>79</v>
      </c>
      <c r="AC240" s="6" t="s">
        <v>75</v>
      </c>
      <c r="AD240" s="6" t="s">
        <v>75</v>
      </c>
      <c r="AE240" s="6" t="s">
        <v>79</v>
      </c>
      <c r="AF240" s="6" t="s">
        <v>79</v>
      </c>
      <c r="AG240" s="6" t="s">
        <v>170</v>
      </c>
      <c r="AH240" s="6" t="s">
        <v>74</v>
      </c>
      <c r="AI240" s="6" t="s">
        <v>79</v>
      </c>
      <c r="AJ240" s="6" t="s">
        <v>79</v>
      </c>
      <c r="AK240" s="6" t="s">
        <v>79</v>
      </c>
      <c r="AL240" s="6" t="s">
        <v>2674</v>
      </c>
      <c r="AM240" s="6" t="s">
        <v>2676</v>
      </c>
      <c r="AN240" s="7" t="str">
        <f aca="false">BA240&amp;", "&amp;AZ240</f>
        <v>Entrance Exam Form (JEE / NEET / CUET etc.), Online Form &amp; Digital Services, Devmobile Stores, प्रवेश परीक्षा फॉर्म (JEE / NEET / CUET आदि), ऑनलाइन फॉर्म व डिजिटल सेवाएँ, सेवा</v>
      </c>
      <c r="AO240" s="6" t="s">
        <v>2766</v>
      </c>
      <c r="AP240" s="5" t="s">
        <v>2685</v>
      </c>
      <c r="AQ240" s="5" t="n">
        <v>90</v>
      </c>
      <c r="AR240" s="6" t="s">
        <v>2686</v>
      </c>
      <c r="AS240" s="6"/>
      <c r="AT240" s="6" t="s">
        <v>86</v>
      </c>
      <c r="AU240" s="10"/>
      <c r="AV240" s="6" t="s">
        <v>75</v>
      </c>
      <c r="AW240" s="6"/>
      <c r="AX240" s="6" t="s">
        <v>2767</v>
      </c>
      <c r="AY240" s="6" t="s">
        <v>2768</v>
      </c>
      <c r="AZ240" s="6" t="s">
        <v>2769</v>
      </c>
      <c r="BA240" s="6" t="s">
        <v>2770</v>
      </c>
      <c r="BB240" s="6"/>
      <c r="BC240" s="11" t="str">
        <f aca="false">IFERROR(INDEX(CATEGORY_MASTER!$C$4:$C$30,MATCH(B240,CATEGORY_MASTER!$A$4:$A$30,0)),"")</f>
        <v>🌐</v>
      </c>
      <c r="BD240" s="7" t="str">
        <f aca="false">"/services/"&amp;AO240</f>
        <v>/services/entrance-exam-form-jee-neet-cuet-etc</v>
      </c>
      <c r="BE240" s="7" t="str">
        <f aca="false">IF(AND(AH240="Yes",AG240="Active",I240&lt;&gt;"Not Available"),"LIVE","HIDDEN")</f>
        <v>LIVE</v>
      </c>
      <c r="BF240" s="6" t="s">
        <v>139</v>
      </c>
      <c r="BG240" s="6" t="s">
        <v>93</v>
      </c>
      <c r="BH240" s="7" t="str">
        <f aca="false">B240&amp;"|"&amp;COUNTIF($B$4:B240,B240)</f>
        <v>Online Form &amp; Digital Services|9</v>
      </c>
      <c r="BI240" s="7" t="str">
        <f aca="false">IF(AND(AI240="Yes",BE240="LIVE"),COUNTIFS($AI$4:AI240,"Yes",$BE$4:BE240,"LIVE"),"")</f>
        <v/>
      </c>
      <c r="BJ240" s="7" t="str">
        <f aca="false">IF(AND(AJ240="Yes",BE240="LIVE"),COUNTIFS($AJ$4:AJ240,"Yes",$BE$4:BE240,"LIVE"),"")</f>
        <v/>
      </c>
      <c r="BK240" s="7" t="str">
        <f aca="false">IF(AND(AK240="Yes",BE240="LIVE"),COUNTIFS($AK$4:AK240,"Yes",$BE$4:BE240,"LIVE"),"")</f>
        <v/>
      </c>
      <c r="BL240" s="7" t="str">
        <f aca="false">IF(I240="To Verify",COUNTIF($I$4:I240,"To Verify"),"")</f>
        <v/>
      </c>
    </row>
    <row r="241" customFormat="false" ht="57.45" hidden="false" customHeight="false" outlineLevel="0" collapsed="false">
      <c r="A241" s="5" t="s">
        <v>2771</v>
      </c>
      <c r="B241" s="6" t="s">
        <v>2674</v>
      </c>
      <c r="C241" s="6" t="s">
        <v>2675</v>
      </c>
      <c r="D241" s="6" t="s">
        <v>1685</v>
      </c>
      <c r="E241" s="6" t="s">
        <v>2772</v>
      </c>
      <c r="F241" s="6" t="s">
        <v>2773</v>
      </c>
      <c r="G241" s="6" t="s">
        <v>2774</v>
      </c>
      <c r="H241" s="6" t="s">
        <v>2775</v>
      </c>
      <c r="I241" s="5" t="s">
        <v>167</v>
      </c>
      <c r="J241" s="7" t="str">
        <f aca="false">IFERROR(INDEX(AVAILABILITY_MASTER!$C$4:$C$10,MATCH(I241,AVAILABILITY_MASTER!$A$4:$A$10,0)),"To Be Confirmed")</f>
        <v>Available</v>
      </c>
      <c r="K241" s="6" t="s">
        <v>79</v>
      </c>
      <c r="L241" s="6" t="s">
        <v>437</v>
      </c>
      <c r="M241" s="7" t="str">
        <f aca="false">IFERROR(INDEX(SERVICE_DOCUMENTS!$S$4:$S$1000,MATCH(A241,SERVICE_DOCUMENTS!$A$4:$A$1000,0))&amp;"","")</f>
        <v>✓ Aadhaar Card
✓ Educational Certificates
✓ Photo &amp; Signature (Soft Copy)
✓ Active Mobile Number</v>
      </c>
      <c r="N241" s="7" t="str">
        <f aca="false">IFERROR(INDEX(SERVICE_DOCUMENTS!$T$4:$T$1000,MATCH(A241,SERVICE_DOCUMENTS!$A$4:$A$1000,0))&amp;"","")</f>
        <v>• Bank Passbook (If Applicable)
• Category Certificate (If Applicable)</v>
      </c>
      <c r="O241" s="6" t="s">
        <v>645</v>
      </c>
      <c r="P241" s="6" t="s">
        <v>2776</v>
      </c>
      <c r="Q241" s="6" t="s">
        <v>756</v>
      </c>
      <c r="R241" s="8" t="s">
        <v>75</v>
      </c>
      <c r="S241" s="8" t="s">
        <v>75</v>
      </c>
      <c r="T241" s="9" t="str">
        <f aca="false">IF(AND(OR(ISNUMBER(R241),R241="N/A"),OR(ISNUMBER(S241),S241="N/A"),OR(ISNUMBER(R241),ISNUMBER(S241))),N(R241)+N(S241),"To Verify")</f>
        <v>To Verify</v>
      </c>
      <c r="U241" s="6" t="s">
        <v>75</v>
      </c>
      <c r="V241" s="6" t="s">
        <v>79</v>
      </c>
      <c r="W241" s="6" t="s">
        <v>80</v>
      </c>
      <c r="X241" s="6" t="s">
        <v>221</v>
      </c>
      <c r="Y241" s="6" t="s">
        <v>74</v>
      </c>
      <c r="Z241" s="6" t="s">
        <v>2777</v>
      </c>
      <c r="AA241" s="6" t="s">
        <v>74</v>
      </c>
      <c r="AB241" s="6" t="s">
        <v>79</v>
      </c>
      <c r="AC241" s="6" t="s">
        <v>75</v>
      </c>
      <c r="AD241" s="6" t="s">
        <v>75</v>
      </c>
      <c r="AE241" s="6" t="s">
        <v>79</v>
      </c>
      <c r="AF241" s="6" t="s">
        <v>79</v>
      </c>
      <c r="AG241" s="6" t="s">
        <v>170</v>
      </c>
      <c r="AH241" s="6" t="s">
        <v>74</v>
      </c>
      <c r="AI241" s="6" t="s">
        <v>79</v>
      </c>
      <c r="AJ241" s="6" t="s">
        <v>79</v>
      </c>
      <c r="AK241" s="6" t="s">
        <v>79</v>
      </c>
      <c r="AL241" s="6" t="s">
        <v>2674</v>
      </c>
      <c r="AM241" s="6" t="s">
        <v>1685</v>
      </c>
      <c r="AN241" s="7" t="str">
        <f aca="false">BA241&amp;", "&amp;AZ241</f>
        <v>School Admission Form, Online Form &amp; Digital Services, Devmobile Stores, स्कूल दाखिला फॉर्म, ऑनलाइन फॉर्म व डिजिटल सेवाएँ, सेवा</v>
      </c>
      <c r="AO241" s="6" t="s">
        <v>2778</v>
      </c>
      <c r="AP241" s="5" t="s">
        <v>1691</v>
      </c>
      <c r="AQ241" s="5" t="n">
        <v>100</v>
      </c>
      <c r="AR241" s="6" t="s">
        <v>133</v>
      </c>
      <c r="AS241" s="6"/>
      <c r="AT241" s="6" t="s">
        <v>86</v>
      </c>
      <c r="AU241" s="10"/>
      <c r="AV241" s="6" t="s">
        <v>75</v>
      </c>
      <c r="AW241" s="6"/>
      <c r="AX241" s="6" t="s">
        <v>2779</v>
      </c>
      <c r="AY241" s="6" t="s">
        <v>2780</v>
      </c>
      <c r="AZ241" s="6" t="s">
        <v>2781</v>
      </c>
      <c r="BA241" s="6" t="s">
        <v>2782</v>
      </c>
      <c r="BB241" s="6"/>
      <c r="BC241" s="11" t="str">
        <f aca="false">IFERROR(INDEX(CATEGORY_MASTER!$C$4:$C$30,MATCH(B241,CATEGORY_MASTER!$A$4:$A$30,0)),"")</f>
        <v>🌐</v>
      </c>
      <c r="BD241" s="7" t="str">
        <f aca="false">"/services/"&amp;AO241</f>
        <v>/services/school-admission-form</v>
      </c>
      <c r="BE241" s="7" t="str">
        <f aca="false">IF(AND(AH241="Yes",AG241="Active",I241&lt;&gt;"Not Available"),"LIVE","HIDDEN")</f>
        <v>LIVE</v>
      </c>
      <c r="BF241" s="6" t="s">
        <v>139</v>
      </c>
      <c r="BG241" s="6" t="s">
        <v>93</v>
      </c>
      <c r="BH241" s="7" t="str">
        <f aca="false">B241&amp;"|"&amp;COUNTIF($B$4:B241,B241)</f>
        <v>Online Form &amp; Digital Services|10</v>
      </c>
      <c r="BI241" s="7" t="str">
        <f aca="false">IF(AND(AI241="Yes",BE241="LIVE"),COUNTIFS($AI$4:AI241,"Yes",$BE$4:BE241,"LIVE"),"")</f>
        <v/>
      </c>
      <c r="BJ241" s="7" t="str">
        <f aca="false">IF(AND(AJ241="Yes",BE241="LIVE"),COUNTIFS($AJ$4:AJ241,"Yes",$BE$4:BE241,"LIVE"),"")</f>
        <v/>
      </c>
      <c r="BK241" s="7" t="str">
        <f aca="false">IF(AND(AK241="Yes",BE241="LIVE"),COUNTIFS($AK$4:AK241,"Yes",$BE$4:BE241,"LIVE"),"")</f>
        <v/>
      </c>
      <c r="BL241" s="7" t="str">
        <f aca="false">IF(I241="To Verify",COUNTIF($I$4:I241,"To Verify"),"")</f>
        <v/>
      </c>
    </row>
    <row r="242" customFormat="false" ht="57.45" hidden="false" customHeight="false" outlineLevel="0" collapsed="false">
      <c r="A242" s="5" t="s">
        <v>2783</v>
      </c>
      <c r="B242" s="6" t="s">
        <v>2674</v>
      </c>
      <c r="C242" s="6" t="s">
        <v>2675</v>
      </c>
      <c r="D242" s="6" t="s">
        <v>1685</v>
      </c>
      <c r="E242" s="6" t="s">
        <v>2784</v>
      </c>
      <c r="F242" s="6" t="s">
        <v>2785</v>
      </c>
      <c r="G242" s="6" t="s">
        <v>2786</v>
      </c>
      <c r="H242" s="6" t="s">
        <v>2787</v>
      </c>
      <c r="I242" s="5" t="s">
        <v>167</v>
      </c>
      <c r="J242" s="7" t="str">
        <f aca="false">IFERROR(INDEX(AVAILABILITY_MASTER!$C$4:$C$10,MATCH(I242,AVAILABILITY_MASTER!$A$4:$A$10,0)),"To Be Confirmed")</f>
        <v>Available</v>
      </c>
      <c r="K242" s="6" t="s">
        <v>79</v>
      </c>
      <c r="L242" s="6" t="s">
        <v>437</v>
      </c>
      <c r="M242" s="7" t="str">
        <f aca="false">IFERROR(INDEX(SERVICE_DOCUMENTS!$S$4:$S$1000,MATCH(A242,SERVICE_DOCUMENTS!$A$4:$A$1000,0))&amp;"","")</f>
        <v>✓ Aadhaar Card
✓ Educational Certificates
✓ Photo &amp; Signature (Soft Copy)
✓ Active Mobile Number</v>
      </c>
      <c r="N242" s="7" t="str">
        <f aca="false">IFERROR(INDEX(SERVICE_DOCUMENTS!$T$4:$T$1000,MATCH(A242,SERVICE_DOCUMENTS!$A$4:$A$1000,0))&amp;"","")</f>
        <v>• Bank Passbook (If Applicable)
• Category Certificate (If Applicable)</v>
      </c>
      <c r="O242" s="6" t="s">
        <v>645</v>
      </c>
      <c r="P242" s="6" t="s">
        <v>2776</v>
      </c>
      <c r="Q242" s="6" t="s">
        <v>756</v>
      </c>
      <c r="R242" s="8" t="s">
        <v>75</v>
      </c>
      <c r="S242" s="8" t="s">
        <v>75</v>
      </c>
      <c r="T242" s="9" t="str">
        <f aca="false">IF(AND(OR(ISNUMBER(R242),R242="N/A"),OR(ISNUMBER(S242),S242="N/A"),OR(ISNUMBER(R242),ISNUMBER(S242))),N(R242)+N(S242),"To Verify")</f>
        <v>To Verify</v>
      </c>
      <c r="U242" s="6" t="s">
        <v>75</v>
      </c>
      <c r="V242" s="6" t="s">
        <v>79</v>
      </c>
      <c r="W242" s="6" t="s">
        <v>80</v>
      </c>
      <c r="X242" s="6" t="s">
        <v>221</v>
      </c>
      <c r="Y242" s="6" t="s">
        <v>74</v>
      </c>
      <c r="Z242" s="6" t="s">
        <v>2777</v>
      </c>
      <c r="AA242" s="6" t="s">
        <v>74</v>
      </c>
      <c r="AB242" s="6" t="s">
        <v>79</v>
      </c>
      <c r="AC242" s="6" t="s">
        <v>75</v>
      </c>
      <c r="AD242" s="6" t="s">
        <v>75</v>
      </c>
      <c r="AE242" s="6" t="s">
        <v>79</v>
      </c>
      <c r="AF242" s="6" t="s">
        <v>79</v>
      </c>
      <c r="AG242" s="6" t="s">
        <v>170</v>
      </c>
      <c r="AH242" s="6" t="s">
        <v>74</v>
      </c>
      <c r="AI242" s="6" t="s">
        <v>79</v>
      </c>
      <c r="AJ242" s="6" t="s">
        <v>79</v>
      </c>
      <c r="AK242" s="6" t="s">
        <v>79</v>
      </c>
      <c r="AL242" s="6" t="s">
        <v>2674</v>
      </c>
      <c r="AM242" s="6" t="s">
        <v>1685</v>
      </c>
      <c r="AN242" s="7" t="str">
        <f aca="false">BA242&amp;", "&amp;AZ242</f>
        <v>College Admission Form, Online Form &amp; Digital Services, Devmobile Stores, कॉलेज दाखिला फॉर्म, ऑनलाइन फॉर्म व डिजिटल सेवाएँ, सेवा</v>
      </c>
      <c r="AO242" s="6" t="s">
        <v>2788</v>
      </c>
      <c r="AP242" s="5" t="s">
        <v>1691</v>
      </c>
      <c r="AQ242" s="5" t="n">
        <v>110</v>
      </c>
      <c r="AR242" s="6" t="s">
        <v>133</v>
      </c>
      <c r="AS242" s="6"/>
      <c r="AT242" s="6" t="s">
        <v>86</v>
      </c>
      <c r="AU242" s="10"/>
      <c r="AV242" s="6" t="s">
        <v>75</v>
      </c>
      <c r="AW242" s="6"/>
      <c r="AX242" s="6" t="s">
        <v>2789</v>
      </c>
      <c r="AY242" s="6" t="s">
        <v>2790</v>
      </c>
      <c r="AZ242" s="6" t="s">
        <v>2791</v>
      </c>
      <c r="BA242" s="6" t="s">
        <v>2792</v>
      </c>
      <c r="BB242" s="6"/>
      <c r="BC242" s="11" t="str">
        <f aca="false">IFERROR(INDEX(CATEGORY_MASTER!$C$4:$C$30,MATCH(B242,CATEGORY_MASTER!$A$4:$A$30,0)),"")</f>
        <v>🌐</v>
      </c>
      <c r="BD242" s="7" t="str">
        <f aca="false">"/services/"&amp;AO242</f>
        <v>/services/college-admission-form</v>
      </c>
      <c r="BE242" s="7" t="str">
        <f aca="false">IF(AND(AH242="Yes",AG242="Active",I242&lt;&gt;"Not Available"),"LIVE","HIDDEN")</f>
        <v>LIVE</v>
      </c>
      <c r="BF242" s="6" t="s">
        <v>139</v>
      </c>
      <c r="BG242" s="6" t="s">
        <v>93</v>
      </c>
      <c r="BH242" s="7" t="str">
        <f aca="false">B242&amp;"|"&amp;COUNTIF($B$4:B242,B242)</f>
        <v>Online Form &amp; Digital Services|11</v>
      </c>
      <c r="BI242" s="7" t="str">
        <f aca="false">IF(AND(AI242="Yes",BE242="LIVE"),COUNTIFS($AI$4:AI242,"Yes",$BE$4:BE242,"LIVE"),"")</f>
        <v/>
      </c>
      <c r="BJ242" s="7" t="str">
        <f aca="false">IF(AND(AJ242="Yes",BE242="LIVE"),COUNTIFS($AJ$4:AJ242,"Yes",$BE$4:BE242,"LIVE"),"")</f>
        <v/>
      </c>
      <c r="BK242" s="7" t="str">
        <f aca="false">IF(AND(AK242="Yes",BE242="LIVE"),COUNTIFS($AK$4:AK242,"Yes",$BE$4:BE242,"LIVE"),"")</f>
        <v/>
      </c>
      <c r="BL242" s="7" t="str">
        <f aca="false">IF(I242="To Verify",COUNTIF($I$4:I242,"To Verify"),"")</f>
        <v/>
      </c>
    </row>
    <row r="243" customFormat="false" ht="57.45" hidden="false" customHeight="false" outlineLevel="0" collapsed="false">
      <c r="A243" s="5" t="s">
        <v>2793</v>
      </c>
      <c r="B243" s="6" t="s">
        <v>2674</v>
      </c>
      <c r="C243" s="6" t="s">
        <v>2675</v>
      </c>
      <c r="D243" s="6" t="s">
        <v>1685</v>
      </c>
      <c r="E243" s="6" t="s">
        <v>2794</v>
      </c>
      <c r="F243" s="6" t="s">
        <v>2795</v>
      </c>
      <c r="G243" s="6" t="s">
        <v>2796</v>
      </c>
      <c r="H243" s="6" t="s">
        <v>2797</v>
      </c>
      <c r="I243" s="5" t="s">
        <v>167</v>
      </c>
      <c r="J243" s="7" t="str">
        <f aca="false">IFERROR(INDEX(AVAILABILITY_MASTER!$C$4:$C$10,MATCH(I243,AVAILABILITY_MASTER!$A$4:$A$10,0)),"To Be Confirmed")</f>
        <v>Available</v>
      </c>
      <c r="K243" s="6" t="s">
        <v>79</v>
      </c>
      <c r="L243" s="6" t="s">
        <v>437</v>
      </c>
      <c r="M243" s="7" t="str">
        <f aca="false">IFERROR(INDEX(SERVICE_DOCUMENTS!$S$4:$S$1000,MATCH(A243,SERVICE_DOCUMENTS!$A$4:$A$1000,0))&amp;"","")</f>
        <v>✓ Aadhaar Card
✓ Educational Certificates
✓ Photo &amp; Signature (Soft Copy)
✓ Active Mobile Number</v>
      </c>
      <c r="N243" s="7" t="str">
        <f aca="false">IFERROR(INDEX(SERVICE_DOCUMENTS!$T$4:$T$1000,MATCH(A243,SERVICE_DOCUMENTS!$A$4:$A$1000,0))&amp;"","")</f>
        <v>• Bank Passbook (If Applicable)
• Category Certificate (If Applicable)</v>
      </c>
      <c r="O243" s="6" t="s">
        <v>645</v>
      </c>
      <c r="P243" s="6" t="s">
        <v>2776</v>
      </c>
      <c r="Q243" s="6" t="s">
        <v>756</v>
      </c>
      <c r="R243" s="8" t="s">
        <v>75</v>
      </c>
      <c r="S243" s="8" t="s">
        <v>75</v>
      </c>
      <c r="T243" s="9" t="str">
        <f aca="false">IF(AND(OR(ISNUMBER(R243),R243="N/A"),OR(ISNUMBER(S243),S243="N/A"),OR(ISNUMBER(R243),ISNUMBER(S243))),N(R243)+N(S243),"To Verify")</f>
        <v>To Verify</v>
      </c>
      <c r="U243" s="6" t="s">
        <v>75</v>
      </c>
      <c r="V243" s="6" t="s">
        <v>79</v>
      </c>
      <c r="W243" s="6" t="s">
        <v>80</v>
      </c>
      <c r="X243" s="6" t="s">
        <v>221</v>
      </c>
      <c r="Y243" s="6" t="s">
        <v>74</v>
      </c>
      <c r="Z243" s="6" t="s">
        <v>2777</v>
      </c>
      <c r="AA243" s="6" t="s">
        <v>74</v>
      </c>
      <c r="AB243" s="6" t="s">
        <v>79</v>
      </c>
      <c r="AC243" s="6" t="s">
        <v>75</v>
      </c>
      <c r="AD243" s="6" t="s">
        <v>75</v>
      </c>
      <c r="AE243" s="6" t="s">
        <v>79</v>
      </c>
      <c r="AF243" s="6" t="s">
        <v>79</v>
      </c>
      <c r="AG243" s="6" t="s">
        <v>170</v>
      </c>
      <c r="AH243" s="6" t="s">
        <v>74</v>
      </c>
      <c r="AI243" s="6" t="s">
        <v>79</v>
      </c>
      <c r="AJ243" s="6" t="s">
        <v>79</v>
      </c>
      <c r="AK243" s="6" t="s">
        <v>79</v>
      </c>
      <c r="AL243" s="6" t="s">
        <v>2674</v>
      </c>
      <c r="AM243" s="6" t="s">
        <v>1685</v>
      </c>
      <c r="AN243" s="7" t="str">
        <f aca="false">BA243&amp;", "&amp;AZ243</f>
        <v>University Admission Form, Online Form &amp; Digital Services, Devmobile Stores, विश्वविद्यालय दाखिला फॉर्म, ऑनलाइन फॉर्म व डिजिटल सेवाएँ, सेवा</v>
      </c>
      <c r="AO243" s="6" t="s">
        <v>2798</v>
      </c>
      <c r="AP243" s="5" t="s">
        <v>1691</v>
      </c>
      <c r="AQ243" s="5" t="n">
        <v>120</v>
      </c>
      <c r="AR243" s="6" t="s">
        <v>133</v>
      </c>
      <c r="AS243" s="6"/>
      <c r="AT243" s="6" t="s">
        <v>86</v>
      </c>
      <c r="AU243" s="10"/>
      <c r="AV243" s="6" t="s">
        <v>75</v>
      </c>
      <c r="AW243" s="6"/>
      <c r="AX243" s="6" t="s">
        <v>2799</v>
      </c>
      <c r="AY243" s="6" t="s">
        <v>2800</v>
      </c>
      <c r="AZ243" s="6" t="s">
        <v>2801</v>
      </c>
      <c r="BA243" s="6" t="s">
        <v>2802</v>
      </c>
      <c r="BB243" s="6"/>
      <c r="BC243" s="11" t="str">
        <f aca="false">IFERROR(INDEX(CATEGORY_MASTER!$C$4:$C$30,MATCH(B243,CATEGORY_MASTER!$A$4:$A$30,0)),"")</f>
        <v>🌐</v>
      </c>
      <c r="BD243" s="7" t="str">
        <f aca="false">"/services/"&amp;AO243</f>
        <v>/services/university-admission-form</v>
      </c>
      <c r="BE243" s="7" t="str">
        <f aca="false">IF(AND(AH243="Yes",AG243="Active",I243&lt;&gt;"Not Available"),"LIVE","HIDDEN")</f>
        <v>LIVE</v>
      </c>
      <c r="BF243" s="6" t="s">
        <v>139</v>
      </c>
      <c r="BG243" s="6" t="s">
        <v>93</v>
      </c>
      <c r="BH243" s="7" t="str">
        <f aca="false">B243&amp;"|"&amp;COUNTIF($B$4:B243,B243)</f>
        <v>Online Form &amp; Digital Services|12</v>
      </c>
      <c r="BI243" s="7" t="str">
        <f aca="false">IF(AND(AI243="Yes",BE243="LIVE"),COUNTIFS($AI$4:AI243,"Yes",$BE$4:BE243,"LIVE"),"")</f>
        <v/>
      </c>
      <c r="BJ243" s="7" t="str">
        <f aca="false">IF(AND(AJ243="Yes",BE243="LIVE"),COUNTIFS($AJ$4:AJ243,"Yes",$BE$4:BE243,"LIVE"),"")</f>
        <v/>
      </c>
      <c r="BK243" s="7" t="str">
        <f aca="false">IF(AND(AK243="Yes",BE243="LIVE"),COUNTIFS($AK$4:AK243,"Yes",$BE$4:BE243,"LIVE"),"")</f>
        <v/>
      </c>
      <c r="BL243" s="7" t="str">
        <f aca="false">IF(I243="To Verify",COUNTIF($I$4:I243,"To Verify"),"")</f>
        <v/>
      </c>
    </row>
    <row r="244" customFormat="false" ht="57.45" hidden="false" customHeight="false" outlineLevel="0" collapsed="false">
      <c r="A244" s="5" t="s">
        <v>2803</v>
      </c>
      <c r="B244" s="6" t="s">
        <v>2674</v>
      </c>
      <c r="C244" s="6" t="s">
        <v>2675</v>
      </c>
      <c r="D244" s="6" t="s">
        <v>1685</v>
      </c>
      <c r="E244" s="6" t="s">
        <v>2804</v>
      </c>
      <c r="F244" s="6" t="s">
        <v>2805</v>
      </c>
      <c r="G244" s="6" t="s">
        <v>2806</v>
      </c>
      <c r="H244" s="6" t="s">
        <v>2807</v>
      </c>
      <c r="I244" s="5" t="s">
        <v>167</v>
      </c>
      <c r="J244" s="7" t="str">
        <f aca="false">IFERROR(INDEX(AVAILABILITY_MASTER!$C$4:$C$10,MATCH(I244,AVAILABILITY_MASTER!$A$4:$A$10,0)),"To Be Confirmed")</f>
        <v>Available</v>
      </c>
      <c r="K244" s="6" t="s">
        <v>79</v>
      </c>
      <c r="L244" s="6" t="s">
        <v>437</v>
      </c>
      <c r="M244" s="7" t="str">
        <f aca="false">IFERROR(INDEX(SERVICE_DOCUMENTS!$S$4:$S$1000,MATCH(A244,SERVICE_DOCUMENTS!$A$4:$A$1000,0))&amp;"","")</f>
        <v>✓ Aadhaar Card
✓ Educational Certificates
✓ Photo &amp; Signature (Soft Copy)
✓ Active Mobile Number</v>
      </c>
      <c r="N244" s="7" t="str">
        <f aca="false">IFERROR(INDEX(SERVICE_DOCUMENTS!$T$4:$T$1000,MATCH(A244,SERVICE_DOCUMENTS!$A$4:$A$1000,0))&amp;"","")</f>
        <v>• Bank Passbook (If Applicable)
• Category Certificate (If Applicable)</v>
      </c>
      <c r="O244" s="6" t="s">
        <v>645</v>
      </c>
      <c r="P244" s="6" t="s">
        <v>2776</v>
      </c>
      <c r="Q244" s="6" t="s">
        <v>756</v>
      </c>
      <c r="R244" s="8" t="s">
        <v>75</v>
      </c>
      <c r="S244" s="8" t="s">
        <v>75</v>
      </c>
      <c r="T244" s="9" t="str">
        <f aca="false">IF(AND(OR(ISNUMBER(R244),R244="N/A"),OR(ISNUMBER(S244),S244="N/A"),OR(ISNUMBER(R244),ISNUMBER(S244))),N(R244)+N(S244),"To Verify")</f>
        <v>To Verify</v>
      </c>
      <c r="U244" s="6" t="s">
        <v>75</v>
      </c>
      <c r="V244" s="6" t="s">
        <v>79</v>
      </c>
      <c r="W244" s="6" t="s">
        <v>80</v>
      </c>
      <c r="X244" s="6" t="s">
        <v>221</v>
      </c>
      <c r="Y244" s="6" t="s">
        <v>74</v>
      </c>
      <c r="Z244" s="6" t="s">
        <v>2777</v>
      </c>
      <c r="AA244" s="6" t="s">
        <v>74</v>
      </c>
      <c r="AB244" s="6" t="s">
        <v>79</v>
      </c>
      <c r="AC244" s="6" t="s">
        <v>75</v>
      </c>
      <c r="AD244" s="6" t="s">
        <v>75</v>
      </c>
      <c r="AE244" s="6" t="s">
        <v>79</v>
      </c>
      <c r="AF244" s="6" t="s">
        <v>79</v>
      </c>
      <c r="AG244" s="6" t="s">
        <v>170</v>
      </c>
      <c r="AH244" s="6" t="s">
        <v>74</v>
      </c>
      <c r="AI244" s="6" t="s">
        <v>79</v>
      </c>
      <c r="AJ244" s="6" t="s">
        <v>79</v>
      </c>
      <c r="AK244" s="6" t="s">
        <v>79</v>
      </c>
      <c r="AL244" s="6" t="s">
        <v>2674</v>
      </c>
      <c r="AM244" s="6" t="s">
        <v>1685</v>
      </c>
      <c r="AN244" s="7" t="str">
        <f aca="false">BA244&amp;", "&amp;AZ244</f>
        <v>ITI Admission Form, Online Form &amp; Digital Services, Devmobile Stores, ITI दाखिला फॉर्म, ऑनलाइन फॉर्म व डिजिटल सेवाएँ, सेवा</v>
      </c>
      <c r="AO244" s="6" t="s">
        <v>2808</v>
      </c>
      <c r="AP244" s="5" t="s">
        <v>1691</v>
      </c>
      <c r="AQ244" s="5" t="n">
        <v>130</v>
      </c>
      <c r="AR244" s="6" t="s">
        <v>133</v>
      </c>
      <c r="AS244" s="6"/>
      <c r="AT244" s="6" t="s">
        <v>86</v>
      </c>
      <c r="AU244" s="10"/>
      <c r="AV244" s="6" t="s">
        <v>75</v>
      </c>
      <c r="AW244" s="6"/>
      <c r="AX244" s="6" t="s">
        <v>2809</v>
      </c>
      <c r="AY244" s="6" t="s">
        <v>2810</v>
      </c>
      <c r="AZ244" s="6" t="s">
        <v>2811</v>
      </c>
      <c r="BA244" s="6" t="s">
        <v>2812</v>
      </c>
      <c r="BB244" s="6"/>
      <c r="BC244" s="11" t="str">
        <f aca="false">IFERROR(INDEX(CATEGORY_MASTER!$C$4:$C$30,MATCH(B244,CATEGORY_MASTER!$A$4:$A$30,0)),"")</f>
        <v>🌐</v>
      </c>
      <c r="BD244" s="7" t="str">
        <f aca="false">"/services/"&amp;AO244</f>
        <v>/services/iti-admission-form</v>
      </c>
      <c r="BE244" s="7" t="str">
        <f aca="false">IF(AND(AH244="Yes",AG244="Active",I244&lt;&gt;"Not Available"),"LIVE","HIDDEN")</f>
        <v>LIVE</v>
      </c>
      <c r="BF244" s="6" t="s">
        <v>139</v>
      </c>
      <c r="BG244" s="6" t="s">
        <v>93</v>
      </c>
      <c r="BH244" s="7" t="str">
        <f aca="false">B244&amp;"|"&amp;COUNTIF($B$4:B244,B244)</f>
        <v>Online Form &amp; Digital Services|13</v>
      </c>
      <c r="BI244" s="7" t="str">
        <f aca="false">IF(AND(AI244="Yes",BE244="LIVE"),COUNTIFS($AI$4:AI244,"Yes",$BE$4:BE244,"LIVE"),"")</f>
        <v/>
      </c>
      <c r="BJ244" s="7" t="str">
        <f aca="false">IF(AND(AJ244="Yes",BE244="LIVE"),COUNTIFS($AJ$4:AJ244,"Yes",$BE$4:BE244,"LIVE"),"")</f>
        <v/>
      </c>
      <c r="BK244" s="7" t="str">
        <f aca="false">IF(AND(AK244="Yes",BE244="LIVE"),COUNTIFS($AK$4:AK244,"Yes",$BE$4:BE244,"LIVE"),"")</f>
        <v/>
      </c>
      <c r="BL244" s="7" t="str">
        <f aca="false">IF(I244="To Verify",COUNTIF($I$4:I244,"To Verify"),"")</f>
        <v/>
      </c>
    </row>
    <row r="245" customFormat="false" ht="57.45" hidden="false" customHeight="false" outlineLevel="0" collapsed="false">
      <c r="A245" s="5" t="s">
        <v>2813</v>
      </c>
      <c r="B245" s="6" t="s">
        <v>2674</v>
      </c>
      <c r="C245" s="6" t="s">
        <v>2675</v>
      </c>
      <c r="D245" s="6" t="s">
        <v>1685</v>
      </c>
      <c r="E245" s="6" t="s">
        <v>2814</v>
      </c>
      <c r="F245" s="6" t="s">
        <v>2815</v>
      </c>
      <c r="G245" s="6" t="s">
        <v>2816</v>
      </c>
      <c r="H245" s="6" t="s">
        <v>2817</v>
      </c>
      <c r="I245" s="5" t="s">
        <v>167</v>
      </c>
      <c r="J245" s="7" t="str">
        <f aca="false">IFERROR(INDEX(AVAILABILITY_MASTER!$C$4:$C$10,MATCH(I245,AVAILABILITY_MASTER!$A$4:$A$10,0)),"To Be Confirmed")</f>
        <v>Available</v>
      </c>
      <c r="K245" s="6" t="s">
        <v>79</v>
      </c>
      <c r="L245" s="6" t="s">
        <v>437</v>
      </c>
      <c r="M245" s="7" t="str">
        <f aca="false">IFERROR(INDEX(SERVICE_DOCUMENTS!$S$4:$S$1000,MATCH(A245,SERVICE_DOCUMENTS!$A$4:$A$1000,0))&amp;"","")</f>
        <v>✓ Aadhaar Card
✓ Educational Certificates
✓ Photo &amp; Signature (Soft Copy)
✓ Active Mobile Number</v>
      </c>
      <c r="N245" s="7" t="str">
        <f aca="false">IFERROR(INDEX(SERVICE_DOCUMENTS!$T$4:$T$1000,MATCH(A245,SERVICE_DOCUMENTS!$A$4:$A$1000,0))&amp;"","")</f>
        <v>• Bank Passbook (If Applicable)
• Category Certificate (If Applicable)</v>
      </c>
      <c r="O245" s="6" t="s">
        <v>645</v>
      </c>
      <c r="P245" s="6" t="s">
        <v>2776</v>
      </c>
      <c r="Q245" s="6" t="s">
        <v>756</v>
      </c>
      <c r="R245" s="8" t="s">
        <v>75</v>
      </c>
      <c r="S245" s="8" t="s">
        <v>75</v>
      </c>
      <c r="T245" s="9" t="str">
        <f aca="false">IF(AND(OR(ISNUMBER(R245),R245="N/A"),OR(ISNUMBER(S245),S245="N/A"),OR(ISNUMBER(R245),ISNUMBER(S245))),N(R245)+N(S245),"To Verify")</f>
        <v>To Verify</v>
      </c>
      <c r="U245" s="6" t="s">
        <v>75</v>
      </c>
      <c r="V245" s="6" t="s">
        <v>79</v>
      </c>
      <c r="W245" s="6" t="s">
        <v>80</v>
      </c>
      <c r="X245" s="6" t="s">
        <v>221</v>
      </c>
      <c r="Y245" s="6" t="s">
        <v>74</v>
      </c>
      <c r="Z245" s="6" t="s">
        <v>2777</v>
      </c>
      <c r="AA245" s="6" t="s">
        <v>74</v>
      </c>
      <c r="AB245" s="6" t="s">
        <v>79</v>
      </c>
      <c r="AC245" s="6" t="s">
        <v>75</v>
      </c>
      <c r="AD245" s="6" t="s">
        <v>75</v>
      </c>
      <c r="AE245" s="6" t="s">
        <v>79</v>
      </c>
      <c r="AF245" s="6" t="s">
        <v>79</v>
      </c>
      <c r="AG245" s="6" t="s">
        <v>170</v>
      </c>
      <c r="AH245" s="6" t="s">
        <v>74</v>
      </c>
      <c r="AI245" s="6" t="s">
        <v>79</v>
      </c>
      <c r="AJ245" s="6" t="s">
        <v>79</v>
      </c>
      <c r="AK245" s="6" t="s">
        <v>79</v>
      </c>
      <c r="AL245" s="6" t="s">
        <v>2674</v>
      </c>
      <c r="AM245" s="6" t="s">
        <v>1685</v>
      </c>
      <c r="AN245" s="7" t="str">
        <f aca="false">BA245&amp;", "&amp;AZ245</f>
        <v>Polytechnic Admission Form, Online Form &amp; Digital Services, Devmobile Stores, पॉलिटेक्निक दाखिला फॉर्म, ऑनलाइन फॉर्म व डिजिटल सेवाएँ, सेवा</v>
      </c>
      <c r="AO245" s="6" t="s">
        <v>2818</v>
      </c>
      <c r="AP245" s="5" t="s">
        <v>1691</v>
      </c>
      <c r="AQ245" s="5" t="n">
        <v>140</v>
      </c>
      <c r="AR245" s="6" t="s">
        <v>133</v>
      </c>
      <c r="AS245" s="6"/>
      <c r="AT245" s="6" t="s">
        <v>86</v>
      </c>
      <c r="AU245" s="10"/>
      <c r="AV245" s="6" t="s">
        <v>75</v>
      </c>
      <c r="AW245" s="6"/>
      <c r="AX245" s="6" t="s">
        <v>2819</v>
      </c>
      <c r="AY245" s="6" t="s">
        <v>2820</v>
      </c>
      <c r="AZ245" s="6" t="s">
        <v>2821</v>
      </c>
      <c r="BA245" s="6" t="s">
        <v>2822</v>
      </c>
      <c r="BB245" s="6"/>
      <c r="BC245" s="11" t="str">
        <f aca="false">IFERROR(INDEX(CATEGORY_MASTER!$C$4:$C$30,MATCH(B245,CATEGORY_MASTER!$A$4:$A$30,0)),"")</f>
        <v>🌐</v>
      </c>
      <c r="BD245" s="7" t="str">
        <f aca="false">"/services/"&amp;AO245</f>
        <v>/services/polytechnic-admission-form</v>
      </c>
      <c r="BE245" s="7" t="str">
        <f aca="false">IF(AND(AH245="Yes",AG245="Active",I245&lt;&gt;"Not Available"),"LIVE","HIDDEN")</f>
        <v>LIVE</v>
      </c>
      <c r="BF245" s="6" t="s">
        <v>139</v>
      </c>
      <c r="BG245" s="6" t="s">
        <v>93</v>
      </c>
      <c r="BH245" s="7" t="str">
        <f aca="false">B245&amp;"|"&amp;COUNTIF($B$4:B245,B245)</f>
        <v>Online Form &amp; Digital Services|14</v>
      </c>
      <c r="BI245" s="7" t="str">
        <f aca="false">IF(AND(AI245="Yes",BE245="LIVE"),COUNTIFS($AI$4:AI245,"Yes",$BE$4:BE245,"LIVE"),"")</f>
        <v/>
      </c>
      <c r="BJ245" s="7" t="str">
        <f aca="false">IF(AND(AJ245="Yes",BE245="LIVE"),COUNTIFS($AJ$4:AJ245,"Yes",$BE$4:BE245,"LIVE"),"")</f>
        <v/>
      </c>
      <c r="BK245" s="7" t="str">
        <f aca="false">IF(AND(AK245="Yes",BE245="LIVE"),COUNTIFS($AK$4:AK245,"Yes",$BE$4:BE245,"LIVE"),"")</f>
        <v/>
      </c>
      <c r="BL245" s="7" t="str">
        <f aca="false">IF(I245="To Verify",COUNTIF($I$4:I245,"To Verify"),"")</f>
        <v/>
      </c>
    </row>
    <row r="246" customFormat="false" ht="57.45" hidden="false" customHeight="false" outlineLevel="0" collapsed="false">
      <c r="A246" s="5" t="s">
        <v>2823</v>
      </c>
      <c r="B246" s="6" t="s">
        <v>2674</v>
      </c>
      <c r="C246" s="6" t="s">
        <v>2675</v>
      </c>
      <c r="D246" s="6" t="s">
        <v>1685</v>
      </c>
      <c r="E246" s="6" t="s">
        <v>2824</v>
      </c>
      <c r="F246" s="6" t="s">
        <v>2825</v>
      </c>
      <c r="G246" s="6" t="s">
        <v>2826</v>
      </c>
      <c r="H246" s="6" t="s">
        <v>2827</v>
      </c>
      <c r="I246" s="5" t="s">
        <v>167</v>
      </c>
      <c r="J246" s="7" t="str">
        <f aca="false">IFERROR(INDEX(AVAILABILITY_MASTER!$C$4:$C$10,MATCH(I246,AVAILABILITY_MASTER!$A$4:$A$10,0)),"To Be Confirmed")</f>
        <v>Available</v>
      </c>
      <c r="K246" s="6" t="s">
        <v>79</v>
      </c>
      <c r="L246" s="6" t="s">
        <v>437</v>
      </c>
      <c r="M246" s="7" t="str">
        <f aca="false">IFERROR(INDEX(SERVICE_DOCUMENTS!$S$4:$S$1000,MATCH(A246,SERVICE_DOCUMENTS!$A$4:$A$1000,0))&amp;"","")</f>
        <v>✓ Aadhaar Card
✓ Educational Certificates
✓ Photo &amp; Signature (Soft Copy)
✓ Active Mobile Number</v>
      </c>
      <c r="N246" s="7" t="str">
        <f aca="false">IFERROR(INDEX(SERVICE_DOCUMENTS!$T$4:$T$1000,MATCH(A246,SERVICE_DOCUMENTS!$A$4:$A$1000,0))&amp;"","")</f>
        <v>• Bank Passbook (If Applicable)
• Category Certificate (If Applicable)</v>
      </c>
      <c r="O246" s="6" t="s">
        <v>645</v>
      </c>
      <c r="P246" s="6" t="s">
        <v>2776</v>
      </c>
      <c r="Q246" s="6" t="s">
        <v>756</v>
      </c>
      <c r="R246" s="8" t="s">
        <v>75</v>
      </c>
      <c r="S246" s="8" t="s">
        <v>75</v>
      </c>
      <c r="T246" s="9" t="str">
        <f aca="false">IF(AND(OR(ISNUMBER(R246),R246="N/A"),OR(ISNUMBER(S246),S246="N/A"),OR(ISNUMBER(R246),ISNUMBER(S246))),N(R246)+N(S246),"To Verify")</f>
        <v>To Verify</v>
      </c>
      <c r="U246" s="6" t="s">
        <v>75</v>
      </c>
      <c r="V246" s="6" t="s">
        <v>79</v>
      </c>
      <c r="W246" s="6" t="s">
        <v>80</v>
      </c>
      <c r="X246" s="6" t="s">
        <v>221</v>
      </c>
      <c r="Y246" s="6" t="s">
        <v>74</v>
      </c>
      <c r="Z246" s="6" t="s">
        <v>2777</v>
      </c>
      <c r="AA246" s="6" t="s">
        <v>74</v>
      </c>
      <c r="AB246" s="6" t="s">
        <v>79</v>
      </c>
      <c r="AC246" s="6" t="s">
        <v>75</v>
      </c>
      <c r="AD246" s="6" t="s">
        <v>75</v>
      </c>
      <c r="AE246" s="6" t="s">
        <v>79</v>
      </c>
      <c r="AF246" s="6" t="s">
        <v>79</v>
      </c>
      <c r="AG246" s="6" t="s">
        <v>170</v>
      </c>
      <c r="AH246" s="6" t="s">
        <v>74</v>
      </c>
      <c r="AI246" s="6" t="s">
        <v>79</v>
      </c>
      <c r="AJ246" s="6" t="s">
        <v>79</v>
      </c>
      <c r="AK246" s="6" t="s">
        <v>79</v>
      </c>
      <c r="AL246" s="6" t="s">
        <v>2674</v>
      </c>
      <c r="AM246" s="6" t="s">
        <v>1685</v>
      </c>
      <c r="AN246" s="7" t="str">
        <f aca="false">BA246&amp;", "&amp;AZ246</f>
        <v>Scholarship Application, Online Form &amp; Digital Services, Devmobile Stores, छात्रवृत्ति आवेदन, ऑनलाइन फॉर्म व डिजिटल सेवाएँ, सेवा</v>
      </c>
      <c r="AO246" s="6" t="s">
        <v>2828</v>
      </c>
      <c r="AP246" s="5" t="s">
        <v>1691</v>
      </c>
      <c r="AQ246" s="5" t="n">
        <v>150</v>
      </c>
      <c r="AR246" s="6" t="s">
        <v>133</v>
      </c>
      <c r="AS246" s="6"/>
      <c r="AT246" s="6" t="s">
        <v>86</v>
      </c>
      <c r="AU246" s="10"/>
      <c r="AV246" s="6" t="s">
        <v>75</v>
      </c>
      <c r="AW246" s="6"/>
      <c r="AX246" s="6" t="s">
        <v>2829</v>
      </c>
      <c r="AY246" s="6" t="s">
        <v>2830</v>
      </c>
      <c r="AZ246" s="6" t="s">
        <v>2831</v>
      </c>
      <c r="BA246" s="6" t="s">
        <v>2832</v>
      </c>
      <c r="BB246" s="6"/>
      <c r="BC246" s="11" t="str">
        <f aca="false">IFERROR(INDEX(CATEGORY_MASTER!$C$4:$C$30,MATCH(B246,CATEGORY_MASTER!$A$4:$A$30,0)),"")</f>
        <v>🌐</v>
      </c>
      <c r="BD246" s="7" t="str">
        <f aca="false">"/services/"&amp;AO246</f>
        <v>/services/scholarship-application</v>
      </c>
      <c r="BE246" s="7" t="str">
        <f aca="false">IF(AND(AH246="Yes",AG246="Active",I246&lt;&gt;"Not Available"),"LIVE","HIDDEN")</f>
        <v>LIVE</v>
      </c>
      <c r="BF246" s="6" t="s">
        <v>139</v>
      </c>
      <c r="BG246" s="6" t="s">
        <v>93</v>
      </c>
      <c r="BH246" s="7" t="str">
        <f aca="false">B246&amp;"|"&amp;COUNTIF($B$4:B246,B246)</f>
        <v>Online Form &amp; Digital Services|15</v>
      </c>
      <c r="BI246" s="7" t="str">
        <f aca="false">IF(AND(AI246="Yes",BE246="LIVE"),COUNTIFS($AI$4:AI246,"Yes",$BE$4:BE246,"LIVE"),"")</f>
        <v/>
      </c>
      <c r="BJ246" s="7" t="str">
        <f aca="false">IF(AND(AJ246="Yes",BE246="LIVE"),COUNTIFS($AJ$4:AJ246,"Yes",$BE$4:BE246,"LIVE"),"")</f>
        <v/>
      </c>
      <c r="BK246" s="7" t="str">
        <f aca="false">IF(AND(AK246="Yes",BE246="LIVE"),COUNTIFS($AK$4:AK246,"Yes",$BE$4:BE246,"LIVE"),"")</f>
        <v/>
      </c>
      <c r="BL246" s="7" t="str">
        <f aca="false">IF(I246="To Verify",COUNTIF($I$4:I246,"To Verify"),"")</f>
        <v/>
      </c>
    </row>
    <row r="247" customFormat="false" ht="68.65" hidden="false" customHeight="false" outlineLevel="0" collapsed="false">
      <c r="A247" s="5" t="s">
        <v>2833</v>
      </c>
      <c r="B247" s="6" t="s">
        <v>2674</v>
      </c>
      <c r="C247" s="6" t="s">
        <v>2675</v>
      </c>
      <c r="D247" s="6" t="s">
        <v>1685</v>
      </c>
      <c r="E247" s="6" t="s">
        <v>2834</v>
      </c>
      <c r="F247" s="6" t="s">
        <v>2835</v>
      </c>
      <c r="G247" s="6" t="s">
        <v>2836</v>
      </c>
      <c r="H247" s="6" t="s">
        <v>2837</v>
      </c>
      <c r="I247" s="5" t="s">
        <v>75</v>
      </c>
      <c r="J247" s="7" t="str">
        <f aca="false">IFERROR(INDEX(AVAILABILITY_MASTER!$C$4:$C$10,MATCH(I247,AVAILABILITY_MASTER!$A$4:$A$10,0)),"To Be Confirmed")</f>
        <v>To Be Confirmed</v>
      </c>
      <c r="K247" s="6" t="s">
        <v>129</v>
      </c>
      <c r="L247" s="6" t="s">
        <v>75</v>
      </c>
      <c r="M247" s="7" t="str">
        <f aca="false">IFERROR(INDEX(SERVICE_DOCUMENTS!$S$4:$S$1000,MATCH(A247,SERVICE_DOCUMENTS!$A$4:$A$1000,0))&amp;"","")</f>
        <v>✓ Aadhaar Card
✓ Educational Certificates
✓ Photo &amp; Signature (Soft Copy)
✓ Active Mobile Number</v>
      </c>
      <c r="N247" s="7" t="str">
        <f aca="false">IFERROR(INDEX(SERVICE_DOCUMENTS!$T$4:$T$1000,MATCH(A247,SERVICE_DOCUMENTS!$A$4:$A$1000,0))&amp;"","")</f>
        <v>• Bank Passbook (If Applicable)
• Category Certificate (If Applicable)</v>
      </c>
      <c r="O247" s="6" t="s">
        <v>645</v>
      </c>
      <c r="P247" s="6" t="s">
        <v>2776</v>
      </c>
      <c r="Q247" s="6" t="s">
        <v>756</v>
      </c>
      <c r="R247" s="8" t="s">
        <v>75</v>
      </c>
      <c r="S247" s="8" t="s">
        <v>75</v>
      </c>
      <c r="T247" s="9" t="str">
        <f aca="false">IF(AND(OR(ISNUMBER(R247),R247="N/A"),OR(ISNUMBER(S247),S247="N/A"),OR(ISNUMBER(R247),ISNUMBER(S247))),N(R247)+N(S247),"To Verify")</f>
        <v>To Verify</v>
      </c>
      <c r="U247" s="6" t="s">
        <v>75</v>
      </c>
      <c r="V247" s="6" t="s">
        <v>79</v>
      </c>
      <c r="W247" s="6" t="s">
        <v>80</v>
      </c>
      <c r="X247" s="6" t="s">
        <v>221</v>
      </c>
      <c r="Y247" s="6" t="s">
        <v>74</v>
      </c>
      <c r="Z247" s="6" t="s">
        <v>2777</v>
      </c>
      <c r="AA247" s="6" t="s">
        <v>74</v>
      </c>
      <c r="AB247" s="6" t="s">
        <v>79</v>
      </c>
      <c r="AC247" s="6" t="s">
        <v>75</v>
      </c>
      <c r="AD247" s="6" t="s">
        <v>75</v>
      </c>
      <c r="AE247" s="6" t="s">
        <v>79</v>
      </c>
      <c r="AF247" s="6" t="s">
        <v>79</v>
      </c>
      <c r="AG247" s="6" t="s">
        <v>75</v>
      </c>
      <c r="AH247" s="6" t="s">
        <v>79</v>
      </c>
      <c r="AI247" s="6" t="s">
        <v>79</v>
      </c>
      <c r="AJ247" s="6" t="s">
        <v>79</v>
      </c>
      <c r="AK247" s="6" t="s">
        <v>79</v>
      </c>
      <c r="AL247" s="6" t="s">
        <v>2674</v>
      </c>
      <c r="AM247" s="6" t="s">
        <v>1685</v>
      </c>
      <c r="AN247" s="7" t="str">
        <f aca="false">BA247&amp;", "&amp;AZ247</f>
        <v>Student Credit Card / Education Loan Scheme Application, Online Form &amp; Digital Services, Devmobile Stores, स्टूडेंट क्रेडिट कार्ड / शिक्षा ऋण योजना आवेदन, ऑनलाइन फॉर्म व डिजिटल सेवाएँ, सेवा</v>
      </c>
      <c r="AO247" s="6" t="s">
        <v>2838</v>
      </c>
      <c r="AP247" s="5" t="s">
        <v>1691</v>
      </c>
      <c r="AQ247" s="5" t="n">
        <v>160</v>
      </c>
      <c r="AR247" s="6" t="s">
        <v>133</v>
      </c>
      <c r="AS247" s="6" t="s">
        <v>474</v>
      </c>
      <c r="AT247" s="6" t="s">
        <v>86</v>
      </c>
      <c r="AU247" s="10"/>
      <c r="AV247" s="6" t="s">
        <v>75</v>
      </c>
      <c r="AW247" s="6" t="s">
        <v>2839</v>
      </c>
      <c r="AX247" s="6" t="s">
        <v>2840</v>
      </c>
      <c r="AY247" s="6" t="s">
        <v>2841</v>
      </c>
      <c r="AZ247" s="6" t="s">
        <v>2842</v>
      </c>
      <c r="BA247" s="6" t="s">
        <v>2843</v>
      </c>
      <c r="BB247" s="6"/>
      <c r="BC247" s="11" t="str">
        <f aca="false">IFERROR(INDEX(CATEGORY_MASTER!$C$4:$C$30,MATCH(B247,CATEGORY_MASTER!$A$4:$A$30,0)),"")</f>
        <v>🌐</v>
      </c>
      <c r="BD247" s="7" t="str">
        <f aca="false">"/services/"&amp;AO247</f>
        <v>/services/student-credit-card-education-loan-scheme-application</v>
      </c>
      <c r="BE247" s="7" t="str">
        <f aca="false">IF(AND(AH247="Yes",AG247="Active",I247&lt;&gt;"Not Available"),"LIVE","HIDDEN")</f>
        <v>HIDDEN</v>
      </c>
      <c r="BF247" s="6" t="s">
        <v>139</v>
      </c>
      <c r="BG247" s="6" t="s">
        <v>93</v>
      </c>
      <c r="BH247" s="7" t="str">
        <f aca="false">B247&amp;"|"&amp;COUNTIF($B$4:B247,B247)</f>
        <v>Online Form &amp; Digital Services|16</v>
      </c>
      <c r="BI247" s="7" t="str">
        <f aca="false">IF(AND(AI247="Yes",BE247="LIVE"),COUNTIFS($AI$4:AI247,"Yes",$BE$4:BE247,"LIVE"),"")</f>
        <v/>
      </c>
      <c r="BJ247" s="7" t="str">
        <f aca="false">IF(AND(AJ247="Yes",BE247="LIVE"),COUNTIFS($AJ$4:AJ247,"Yes",$BE$4:BE247,"LIVE"),"")</f>
        <v/>
      </c>
      <c r="BK247" s="7" t="str">
        <f aca="false">IF(AND(AK247="Yes",BE247="LIVE"),COUNTIFS($AK$4:AK247,"Yes",$BE$4:BE247,"LIVE"),"")</f>
        <v/>
      </c>
      <c r="BL247" s="7" t="n">
        <f aca="false">IF(I247="To Verify",COUNTIF($I$4:I247,"To Verify"),"")</f>
        <v>58</v>
      </c>
    </row>
    <row r="248" customFormat="false" ht="57.45" hidden="false" customHeight="false" outlineLevel="0" collapsed="false">
      <c r="A248" s="5" t="s">
        <v>2844</v>
      </c>
      <c r="B248" s="6" t="s">
        <v>2674</v>
      </c>
      <c r="C248" s="6" t="s">
        <v>2675</v>
      </c>
      <c r="D248" s="6" t="s">
        <v>1685</v>
      </c>
      <c r="E248" s="6" t="s">
        <v>2845</v>
      </c>
      <c r="F248" s="6" t="s">
        <v>2846</v>
      </c>
      <c r="G248" s="6" t="s">
        <v>2847</v>
      </c>
      <c r="H248" s="6" t="s">
        <v>2848</v>
      </c>
      <c r="I248" s="5" t="s">
        <v>167</v>
      </c>
      <c r="J248" s="7" t="str">
        <f aca="false">IFERROR(INDEX(AVAILABILITY_MASTER!$C$4:$C$10,MATCH(I248,AVAILABILITY_MASTER!$A$4:$A$10,0)),"To Be Confirmed")</f>
        <v>Available</v>
      </c>
      <c r="K248" s="6" t="s">
        <v>79</v>
      </c>
      <c r="L248" s="6" t="s">
        <v>437</v>
      </c>
      <c r="M248" s="7" t="str">
        <f aca="false">IFERROR(INDEX(SERVICE_DOCUMENTS!$S$4:$S$1000,MATCH(A248,SERVICE_DOCUMENTS!$A$4:$A$1000,0))&amp;"","")</f>
        <v>✓ Aadhaar Card
✓ Educational Certificates
✓ Photo &amp; Signature (Soft Copy)
✓ Active Mobile Number</v>
      </c>
      <c r="N248" s="7" t="str">
        <f aca="false">IFERROR(INDEX(SERVICE_DOCUMENTS!$T$4:$T$1000,MATCH(A248,SERVICE_DOCUMENTS!$A$4:$A$1000,0))&amp;"","")</f>
        <v>• Bank Passbook (If Applicable)
• Category Certificate (If Applicable)</v>
      </c>
      <c r="O248" s="6" t="s">
        <v>645</v>
      </c>
      <c r="P248" s="6" t="s">
        <v>2776</v>
      </c>
      <c r="Q248" s="6" t="s">
        <v>756</v>
      </c>
      <c r="R248" s="8" t="s">
        <v>75</v>
      </c>
      <c r="S248" s="8" t="s">
        <v>75</v>
      </c>
      <c r="T248" s="9" t="str">
        <f aca="false">IF(AND(OR(ISNUMBER(R248),R248="N/A"),OR(ISNUMBER(S248),S248="N/A"),OR(ISNUMBER(R248),ISNUMBER(S248))),N(R248)+N(S248),"To Verify")</f>
        <v>To Verify</v>
      </c>
      <c r="U248" s="6" t="s">
        <v>75</v>
      </c>
      <c r="V248" s="6" t="s">
        <v>79</v>
      </c>
      <c r="W248" s="6" t="s">
        <v>80</v>
      </c>
      <c r="X248" s="6" t="s">
        <v>221</v>
      </c>
      <c r="Y248" s="6" t="s">
        <v>74</v>
      </c>
      <c r="Z248" s="6" t="s">
        <v>2777</v>
      </c>
      <c r="AA248" s="6" t="s">
        <v>74</v>
      </c>
      <c r="AB248" s="6" t="s">
        <v>79</v>
      </c>
      <c r="AC248" s="6" t="s">
        <v>75</v>
      </c>
      <c r="AD248" s="6" t="s">
        <v>75</v>
      </c>
      <c r="AE248" s="6" t="s">
        <v>79</v>
      </c>
      <c r="AF248" s="6" t="s">
        <v>79</v>
      </c>
      <c r="AG248" s="6" t="s">
        <v>170</v>
      </c>
      <c r="AH248" s="6" t="s">
        <v>74</v>
      </c>
      <c r="AI248" s="6" t="s">
        <v>79</v>
      </c>
      <c r="AJ248" s="6" t="s">
        <v>79</v>
      </c>
      <c r="AK248" s="6" t="s">
        <v>79</v>
      </c>
      <c r="AL248" s="6" t="s">
        <v>2674</v>
      </c>
      <c r="AM248" s="6" t="s">
        <v>1685</v>
      </c>
      <c r="AN248" s="7" t="str">
        <f aca="false">BA248&amp;", "&amp;AZ248</f>
        <v>Exam Registration, Online Form &amp; Digital Services, Devmobile Stores, परीक्षा पंजीकरण, ऑनलाइन फॉर्म व डिजिटल सेवाएँ, सेवा</v>
      </c>
      <c r="AO248" s="6" t="s">
        <v>2849</v>
      </c>
      <c r="AP248" s="5" t="s">
        <v>1691</v>
      </c>
      <c r="AQ248" s="5" t="n">
        <v>170</v>
      </c>
      <c r="AR248" s="6" t="s">
        <v>133</v>
      </c>
      <c r="AS248" s="6"/>
      <c r="AT248" s="6" t="s">
        <v>86</v>
      </c>
      <c r="AU248" s="10"/>
      <c r="AV248" s="6" t="s">
        <v>75</v>
      </c>
      <c r="AW248" s="6"/>
      <c r="AX248" s="6" t="s">
        <v>2850</v>
      </c>
      <c r="AY248" s="6" t="s">
        <v>2851</v>
      </c>
      <c r="AZ248" s="6" t="s">
        <v>2852</v>
      </c>
      <c r="BA248" s="6" t="s">
        <v>2853</v>
      </c>
      <c r="BB248" s="6"/>
      <c r="BC248" s="11" t="str">
        <f aca="false">IFERROR(INDEX(CATEGORY_MASTER!$C$4:$C$30,MATCH(B248,CATEGORY_MASTER!$A$4:$A$30,0)),"")</f>
        <v>🌐</v>
      </c>
      <c r="BD248" s="7" t="str">
        <f aca="false">"/services/"&amp;AO248</f>
        <v>/services/exam-registration</v>
      </c>
      <c r="BE248" s="7" t="str">
        <f aca="false">IF(AND(AH248="Yes",AG248="Active",I248&lt;&gt;"Not Available"),"LIVE","HIDDEN")</f>
        <v>LIVE</v>
      </c>
      <c r="BF248" s="6" t="s">
        <v>139</v>
      </c>
      <c r="BG248" s="6" t="s">
        <v>93</v>
      </c>
      <c r="BH248" s="7" t="str">
        <f aca="false">B248&amp;"|"&amp;COUNTIF($B$4:B248,B248)</f>
        <v>Online Form &amp; Digital Services|17</v>
      </c>
      <c r="BI248" s="7" t="str">
        <f aca="false">IF(AND(AI248="Yes",BE248="LIVE"),COUNTIFS($AI$4:AI248,"Yes",$BE$4:BE248,"LIVE"),"")</f>
        <v/>
      </c>
      <c r="BJ248" s="7" t="str">
        <f aca="false">IF(AND(AJ248="Yes",BE248="LIVE"),COUNTIFS($AJ$4:AJ248,"Yes",$BE$4:BE248,"LIVE"),"")</f>
        <v/>
      </c>
      <c r="BK248" s="7" t="str">
        <f aca="false">IF(AND(AK248="Yes",BE248="LIVE"),COUNTIFS($AK$4:AK248,"Yes",$BE$4:BE248,"LIVE"),"")</f>
        <v/>
      </c>
      <c r="BL248" s="7" t="str">
        <f aca="false">IF(I248="To Verify",COUNTIF($I$4:I248,"To Verify"),"")</f>
        <v/>
      </c>
    </row>
    <row r="249" customFormat="false" ht="57.45" hidden="false" customHeight="false" outlineLevel="0" collapsed="false">
      <c r="A249" s="5" t="s">
        <v>2854</v>
      </c>
      <c r="B249" s="6" t="s">
        <v>2674</v>
      </c>
      <c r="C249" s="6" t="s">
        <v>2675</v>
      </c>
      <c r="D249" s="6" t="s">
        <v>1685</v>
      </c>
      <c r="E249" s="6" t="s">
        <v>2855</v>
      </c>
      <c r="F249" s="6" t="s">
        <v>2856</v>
      </c>
      <c r="G249" s="6" t="s">
        <v>2857</v>
      </c>
      <c r="H249" s="6" t="s">
        <v>2858</v>
      </c>
      <c r="I249" s="5" t="s">
        <v>167</v>
      </c>
      <c r="J249" s="7" t="str">
        <f aca="false">IFERROR(INDEX(AVAILABILITY_MASTER!$C$4:$C$10,MATCH(I249,AVAILABILITY_MASTER!$A$4:$A$10,0)),"To Be Confirmed")</f>
        <v>Available</v>
      </c>
      <c r="K249" s="6" t="s">
        <v>79</v>
      </c>
      <c r="L249" s="6" t="s">
        <v>437</v>
      </c>
      <c r="M249" s="7" t="str">
        <f aca="false">IFERROR(INDEX(SERVICE_DOCUMENTS!$S$4:$S$1000,MATCH(A249,SERVICE_DOCUMENTS!$A$4:$A$1000,0))&amp;"","")</f>
        <v>✓ Aadhaar Card
✓ Educational Certificates
✓ Photo &amp; Signature (Soft Copy)
✓ Active Mobile Number</v>
      </c>
      <c r="N249" s="7" t="str">
        <f aca="false">IFERROR(INDEX(SERVICE_DOCUMENTS!$T$4:$T$1000,MATCH(A249,SERVICE_DOCUMENTS!$A$4:$A$1000,0))&amp;"","")</f>
        <v>• Bank Passbook (If Applicable)
• Category Certificate (If Applicable)</v>
      </c>
      <c r="O249" s="6" t="s">
        <v>645</v>
      </c>
      <c r="P249" s="6" t="s">
        <v>2776</v>
      </c>
      <c r="Q249" s="6" t="s">
        <v>756</v>
      </c>
      <c r="R249" s="8" t="s">
        <v>75</v>
      </c>
      <c r="S249" s="8" t="s">
        <v>75</v>
      </c>
      <c r="T249" s="9" t="str">
        <f aca="false">IF(AND(OR(ISNUMBER(R249),R249="N/A"),OR(ISNUMBER(S249),S249="N/A"),OR(ISNUMBER(R249),ISNUMBER(S249))),N(R249)+N(S249),"To Verify")</f>
        <v>To Verify</v>
      </c>
      <c r="U249" s="6" t="s">
        <v>75</v>
      </c>
      <c r="V249" s="6" t="s">
        <v>79</v>
      </c>
      <c r="W249" s="6" t="s">
        <v>80</v>
      </c>
      <c r="X249" s="6" t="s">
        <v>221</v>
      </c>
      <c r="Y249" s="6" t="s">
        <v>74</v>
      </c>
      <c r="Z249" s="6" t="s">
        <v>2777</v>
      </c>
      <c r="AA249" s="6" t="s">
        <v>74</v>
      </c>
      <c r="AB249" s="6" t="s">
        <v>79</v>
      </c>
      <c r="AC249" s="6" t="s">
        <v>75</v>
      </c>
      <c r="AD249" s="6" t="s">
        <v>75</v>
      </c>
      <c r="AE249" s="6" t="s">
        <v>79</v>
      </c>
      <c r="AF249" s="6" t="s">
        <v>79</v>
      </c>
      <c r="AG249" s="6" t="s">
        <v>170</v>
      </c>
      <c r="AH249" s="6" t="s">
        <v>74</v>
      </c>
      <c r="AI249" s="6" t="s">
        <v>79</v>
      </c>
      <c r="AJ249" s="6" t="s">
        <v>79</v>
      </c>
      <c r="AK249" s="6" t="s">
        <v>79</v>
      </c>
      <c r="AL249" s="6" t="s">
        <v>2674</v>
      </c>
      <c r="AM249" s="6" t="s">
        <v>1685</v>
      </c>
      <c r="AN249" s="7" t="str">
        <f aca="false">BA249&amp;", "&amp;AZ249</f>
        <v>Admit Card Download, Online Form &amp; Digital Services, Devmobile Stores, एडमिट कार्ड डाउनलोड, ऑनलाइन फॉर्म व डिजिटल सेवाएँ, सेवा</v>
      </c>
      <c r="AO249" s="6" t="s">
        <v>2859</v>
      </c>
      <c r="AP249" s="5" t="s">
        <v>1691</v>
      </c>
      <c r="AQ249" s="5" t="n">
        <v>180</v>
      </c>
      <c r="AR249" s="6" t="s">
        <v>133</v>
      </c>
      <c r="AS249" s="6"/>
      <c r="AT249" s="6" t="s">
        <v>86</v>
      </c>
      <c r="AU249" s="10"/>
      <c r="AV249" s="6" t="s">
        <v>75</v>
      </c>
      <c r="AW249" s="6"/>
      <c r="AX249" s="6" t="s">
        <v>2860</v>
      </c>
      <c r="AY249" s="6" t="s">
        <v>2861</v>
      </c>
      <c r="AZ249" s="6" t="s">
        <v>2862</v>
      </c>
      <c r="BA249" s="6" t="s">
        <v>2863</v>
      </c>
      <c r="BB249" s="6"/>
      <c r="BC249" s="11" t="str">
        <f aca="false">IFERROR(INDEX(CATEGORY_MASTER!$C$4:$C$30,MATCH(B249,CATEGORY_MASTER!$A$4:$A$30,0)),"")</f>
        <v>🌐</v>
      </c>
      <c r="BD249" s="7" t="str">
        <f aca="false">"/services/"&amp;AO249</f>
        <v>/services/admit-card-download</v>
      </c>
      <c r="BE249" s="7" t="str">
        <f aca="false">IF(AND(AH249="Yes",AG249="Active",I249&lt;&gt;"Not Available"),"LIVE","HIDDEN")</f>
        <v>LIVE</v>
      </c>
      <c r="BF249" s="6" t="s">
        <v>139</v>
      </c>
      <c r="BG249" s="6" t="s">
        <v>93</v>
      </c>
      <c r="BH249" s="7" t="str">
        <f aca="false">B249&amp;"|"&amp;COUNTIF($B$4:B249,B249)</f>
        <v>Online Form &amp; Digital Services|18</v>
      </c>
      <c r="BI249" s="7" t="str">
        <f aca="false">IF(AND(AI249="Yes",BE249="LIVE"),COUNTIFS($AI$4:AI249,"Yes",$BE$4:BE249,"LIVE"),"")</f>
        <v/>
      </c>
      <c r="BJ249" s="7" t="str">
        <f aca="false">IF(AND(AJ249="Yes",BE249="LIVE"),COUNTIFS($AJ$4:AJ249,"Yes",$BE$4:BE249,"LIVE"),"")</f>
        <v/>
      </c>
      <c r="BK249" s="7" t="str">
        <f aca="false">IF(AND(AK249="Yes",BE249="LIVE"),COUNTIFS($AK$4:AK249,"Yes",$BE$4:BE249,"LIVE"),"")</f>
        <v/>
      </c>
      <c r="BL249" s="7" t="str">
        <f aca="false">IF(I249="To Verify",COUNTIF($I$4:I249,"To Verify"),"")</f>
        <v/>
      </c>
    </row>
    <row r="250" customFormat="false" ht="57.45" hidden="false" customHeight="false" outlineLevel="0" collapsed="false">
      <c r="A250" s="5" t="s">
        <v>2864</v>
      </c>
      <c r="B250" s="6" t="s">
        <v>2674</v>
      </c>
      <c r="C250" s="6" t="s">
        <v>2675</v>
      </c>
      <c r="D250" s="6" t="s">
        <v>1685</v>
      </c>
      <c r="E250" s="6" t="s">
        <v>2865</v>
      </c>
      <c r="F250" s="6" t="s">
        <v>2866</v>
      </c>
      <c r="G250" s="6" t="s">
        <v>2867</v>
      </c>
      <c r="H250" s="6" t="s">
        <v>2868</v>
      </c>
      <c r="I250" s="5" t="s">
        <v>167</v>
      </c>
      <c r="J250" s="7" t="str">
        <f aca="false">IFERROR(INDEX(AVAILABILITY_MASTER!$C$4:$C$10,MATCH(I250,AVAILABILITY_MASTER!$A$4:$A$10,0)),"To Be Confirmed")</f>
        <v>Available</v>
      </c>
      <c r="K250" s="6" t="s">
        <v>79</v>
      </c>
      <c r="L250" s="6" t="s">
        <v>437</v>
      </c>
      <c r="M250" s="7" t="str">
        <f aca="false">IFERROR(INDEX(SERVICE_DOCUMENTS!$S$4:$S$1000,MATCH(A250,SERVICE_DOCUMENTS!$A$4:$A$1000,0))&amp;"","")</f>
        <v>✓ Aadhaar Card
✓ Educational Certificates
✓ Photo &amp; Signature (Soft Copy)
✓ Active Mobile Number</v>
      </c>
      <c r="N250" s="7" t="str">
        <f aca="false">IFERROR(INDEX(SERVICE_DOCUMENTS!$T$4:$T$1000,MATCH(A250,SERVICE_DOCUMENTS!$A$4:$A$1000,0))&amp;"","")</f>
        <v>• Bank Passbook (If Applicable)
• Category Certificate (If Applicable)</v>
      </c>
      <c r="O250" s="6" t="s">
        <v>645</v>
      </c>
      <c r="P250" s="6" t="s">
        <v>2776</v>
      </c>
      <c r="Q250" s="6" t="s">
        <v>756</v>
      </c>
      <c r="R250" s="8" t="s">
        <v>75</v>
      </c>
      <c r="S250" s="8" t="s">
        <v>75</v>
      </c>
      <c r="T250" s="9" t="str">
        <f aca="false">IF(AND(OR(ISNUMBER(R250),R250="N/A"),OR(ISNUMBER(S250),S250="N/A"),OR(ISNUMBER(R250),ISNUMBER(S250))),N(R250)+N(S250),"To Verify")</f>
        <v>To Verify</v>
      </c>
      <c r="U250" s="6" t="s">
        <v>75</v>
      </c>
      <c r="V250" s="6" t="s">
        <v>79</v>
      </c>
      <c r="W250" s="6" t="s">
        <v>80</v>
      </c>
      <c r="X250" s="6" t="s">
        <v>221</v>
      </c>
      <c r="Y250" s="6" t="s">
        <v>74</v>
      </c>
      <c r="Z250" s="6" t="s">
        <v>2777</v>
      </c>
      <c r="AA250" s="6" t="s">
        <v>74</v>
      </c>
      <c r="AB250" s="6" t="s">
        <v>79</v>
      </c>
      <c r="AC250" s="6" t="s">
        <v>75</v>
      </c>
      <c r="AD250" s="6" t="s">
        <v>75</v>
      </c>
      <c r="AE250" s="6" t="s">
        <v>79</v>
      </c>
      <c r="AF250" s="6" t="s">
        <v>79</v>
      </c>
      <c r="AG250" s="6" t="s">
        <v>170</v>
      </c>
      <c r="AH250" s="6" t="s">
        <v>74</v>
      </c>
      <c r="AI250" s="6" t="s">
        <v>79</v>
      </c>
      <c r="AJ250" s="6" t="s">
        <v>79</v>
      </c>
      <c r="AK250" s="6" t="s">
        <v>79</v>
      </c>
      <c r="AL250" s="6" t="s">
        <v>2674</v>
      </c>
      <c r="AM250" s="6" t="s">
        <v>1685</v>
      </c>
      <c r="AN250" s="7" t="str">
        <f aca="false">BA250&amp;", "&amp;AZ250</f>
        <v>Result Check / Download, Online Form &amp; Digital Services, Devmobile Stores, रिज़ल्ट जाँच / डाउनलोड, ऑनलाइन फॉर्म व डिजिटल सेवाएँ, सेवा</v>
      </c>
      <c r="AO250" s="6" t="s">
        <v>2869</v>
      </c>
      <c r="AP250" s="5" t="s">
        <v>1691</v>
      </c>
      <c r="AQ250" s="5" t="n">
        <v>190</v>
      </c>
      <c r="AR250" s="6" t="s">
        <v>133</v>
      </c>
      <c r="AS250" s="6"/>
      <c r="AT250" s="6" t="s">
        <v>86</v>
      </c>
      <c r="AU250" s="10"/>
      <c r="AV250" s="6" t="s">
        <v>75</v>
      </c>
      <c r="AW250" s="6"/>
      <c r="AX250" s="6" t="s">
        <v>2870</v>
      </c>
      <c r="AY250" s="6" t="s">
        <v>2871</v>
      </c>
      <c r="AZ250" s="6" t="s">
        <v>2872</v>
      </c>
      <c r="BA250" s="6" t="s">
        <v>2873</v>
      </c>
      <c r="BB250" s="6"/>
      <c r="BC250" s="11" t="str">
        <f aca="false">IFERROR(INDEX(CATEGORY_MASTER!$C$4:$C$30,MATCH(B250,CATEGORY_MASTER!$A$4:$A$30,0)),"")</f>
        <v>🌐</v>
      </c>
      <c r="BD250" s="7" t="str">
        <f aca="false">"/services/"&amp;AO250</f>
        <v>/services/result-check-download</v>
      </c>
      <c r="BE250" s="7" t="str">
        <f aca="false">IF(AND(AH250="Yes",AG250="Active",I250&lt;&gt;"Not Available"),"LIVE","HIDDEN")</f>
        <v>LIVE</v>
      </c>
      <c r="BF250" s="6" t="s">
        <v>139</v>
      </c>
      <c r="BG250" s="6" t="s">
        <v>93</v>
      </c>
      <c r="BH250" s="7" t="str">
        <f aca="false">B250&amp;"|"&amp;COUNTIF($B$4:B250,B250)</f>
        <v>Online Form &amp; Digital Services|19</v>
      </c>
      <c r="BI250" s="7" t="str">
        <f aca="false">IF(AND(AI250="Yes",BE250="LIVE"),COUNTIFS($AI$4:AI250,"Yes",$BE$4:BE250,"LIVE"),"")</f>
        <v/>
      </c>
      <c r="BJ250" s="7" t="str">
        <f aca="false">IF(AND(AJ250="Yes",BE250="LIVE"),COUNTIFS($AJ$4:AJ250,"Yes",$BE$4:BE250,"LIVE"),"")</f>
        <v/>
      </c>
      <c r="BK250" s="7" t="str">
        <f aca="false">IF(AND(AK250="Yes",BE250="LIVE"),COUNTIFS($AK$4:AK250,"Yes",$BE$4:BE250,"LIVE"),"")</f>
        <v/>
      </c>
      <c r="BL250" s="7" t="str">
        <f aca="false">IF(I250="To Verify",COUNTIF($I$4:I250,"To Verify"),"")</f>
        <v/>
      </c>
    </row>
    <row r="251" customFormat="false" ht="68.65" hidden="false" customHeight="false" outlineLevel="0" collapsed="false">
      <c r="A251" s="5" t="s">
        <v>2874</v>
      </c>
      <c r="B251" s="6" t="s">
        <v>2674</v>
      </c>
      <c r="C251" s="6" t="s">
        <v>2675</v>
      </c>
      <c r="D251" s="6" t="s">
        <v>1685</v>
      </c>
      <c r="E251" s="6" t="s">
        <v>2875</v>
      </c>
      <c r="F251" s="6" t="s">
        <v>2876</v>
      </c>
      <c r="G251" s="6" t="s">
        <v>2877</v>
      </c>
      <c r="H251" s="6" t="s">
        <v>2878</v>
      </c>
      <c r="I251" s="5" t="s">
        <v>167</v>
      </c>
      <c r="J251" s="7" t="str">
        <f aca="false">IFERROR(INDEX(AVAILABILITY_MASTER!$C$4:$C$10,MATCH(I251,AVAILABILITY_MASTER!$A$4:$A$10,0)),"To Be Confirmed")</f>
        <v>Available</v>
      </c>
      <c r="K251" s="6" t="s">
        <v>79</v>
      </c>
      <c r="L251" s="6" t="s">
        <v>437</v>
      </c>
      <c r="M251" s="7" t="str">
        <f aca="false">IFERROR(INDEX(SERVICE_DOCUMENTS!$S$4:$S$1000,MATCH(A251,SERVICE_DOCUMENTS!$A$4:$A$1000,0))&amp;"","")</f>
        <v>✓ Aadhaar Card
✓ Educational Certificates
✓ Photo &amp; Signature (Soft Copy)
✓ Active Mobile Number</v>
      </c>
      <c r="N251" s="7" t="str">
        <f aca="false">IFERROR(INDEX(SERVICE_DOCUMENTS!$T$4:$T$1000,MATCH(A251,SERVICE_DOCUMENTS!$A$4:$A$1000,0))&amp;"","")</f>
        <v>• Bank Passbook (If Applicable)
• Category Certificate (If Applicable)</v>
      </c>
      <c r="O251" s="6" t="s">
        <v>645</v>
      </c>
      <c r="P251" s="6" t="s">
        <v>2776</v>
      </c>
      <c r="Q251" s="6" t="s">
        <v>756</v>
      </c>
      <c r="R251" s="8" t="s">
        <v>75</v>
      </c>
      <c r="S251" s="8" t="s">
        <v>75</v>
      </c>
      <c r="T251" s="9" t="str">
        <f aca="false">IF(AND(OR(ISNUMBER(R251),R251="N/A"),OR(ISNUMBER(S251),S251="N/A"),OR(ISNUMBER(R251),ISNUMBER(S251))),N(R251)+N(S251),"To Verify")</f>
        <v>To Verify</v>
      </c>
      <c r="U251" s="6" t="s">
        <v>75</v>
      </c>
      <c r="V251" s="6" t="s">
        <v>79</v>
      </c>
      <c r="W251" s="6" t="s">
        <v>80</v>
      </c>
      <c r="X251" s="6" t="s">
        <v>221</v>
      </c>
      <c r="Y251" s="6" t="s">
        <v>74</v>
      </c>
      <c r="Z251" s="6" t="s">
        <v>2777</v>
      </c>
      <c r="AA251" s="6" t="s">
        <v>74</v>
      </c>
      <c r="AB251" s="6" t="s">
        <v>79</v>
      </c>
      <c r="AC251" s="6" t="s">
        <v>75</v>
      </c>
      <c r="AD251" s="6" t="s">
        <v>75</v>
      </c>
      <c r="AE251" s="6" t="s">
        <v>79</v>
      </c>
      <c r="AF251" s="6" t="s">
        <v>79</v>
      </c>
      <c r="AG251" s="6" t="s">
        <v>170</v>
      </c>
      <c r="AH251" s="6" t="s">
        <v>74</v>
      </c>
      <c r="AI251" s="6" t="s">
        <v>79</v>
      </c>
      <c r="AJ251" s="6" t="s">
        <v>79</v>
      </c>
      <c r="AK251" s="6" t="s">
        <v>79</v>
      </c>
      <c r="AL251" s="6" t="s">
        <v>2674</v>
      </c>
      <c r="AM251" s="6" t="s">
        <v>1685</v>
      </c>
      <c r="AN251" s="7" t="str">
        <f aca="false">BA251&amp;", "&amp;AZ251</f>
        <v>Marksheet / Certificate Download, Online Form &amp; Digital Services, Devmobile Stores, मार्कशीट / प्रमाण पत्र डाउनलोड, ऑनलाइन फॉर्म व डिजिटल सेवाएँ, सेवा</v>
      </c>
      <c r="AO251" s="6" t="s">
        <v>2879</v>
      </c>
      <c r="AP251" s="5" t="s">
        <v>1691</v>
      </c>
      <c r="AQ251" s="5" t="n">
        <v>200</v>
      </c>
      <c r="AR251" s="6" t="s">
        <v>133</v>
      </c>
      <c r="AS251" s="6"/>
      <c r="AT251" s="6" t="s">
        <v>86</v>
      </c>
      <c r="AU251" s="10"/>
      <c r="AV251" s="6" t="s">
        <v>75</v>
      </c>
      <c r="AW251" s="6"/>
      <c r="AX251" s="6" t="s">
        <v>2880</v>
      </c>
      <c r="AY251" s="6" t="s">
        <v>2881</v>
      </c>
      <c r="AZ251" s="6" t="s">
        <v>2882</v>
      </c>
      <c r="BA251" s="6" t="s">
        <v>2883</v>
      </c>
      <c r="BB251" s="6"/>
      <c r="BC251" s="11" t="str">
        <f aca="false">IFERROR(INDEX(CATEGORY_MASTER!$C$4:$C$30,MATCH(B251,CATEGORY_MASTER!$A$4:$A$30,0)),"")</f>
        <v>🌐</v>
      </c>
      <c r="BD251" s="7" t="str">
        <f aca="false">"/services/"&amp;AO251</f>
        <v>/services/marksheet-certificate-download</v>
      </c>
      <c r="BE251" s="7" t="str">
        <f aca="false">IF(AND(AH251="Yes",AG251="Active",I251&lt;&gt;"Not Available"),"LIVE","HIDDEN")</f>
        <v>LIVE</v>
      </c>
      <c r="BF251" s="6" t="s">
        <v>139</v>
      </c>
      <c r="BG251" s="6" t="s">
        <v>93</v>
      </c>
      <c r="BH251" s="7" t="str">
        <f aca="false">B251&amp;"|"&amp;COUNTIF($B$4:B251,B251)</f>
        <v>Online Form &amp; Digital Services|20</v>
      </c>
      <c r="BI251" s="7" t="str">
        <f aca="false">IF(AND(AI251="Yes",BE251="LIVE"),COUNTIFS($AI$4:AI251,"Yes",$BE$4:BE251,"LIVE"),"")</f>
        <v/>
      </c>
      <c r="BJ251" s="7" t="str">
        <f aca="false">IF(AND(AJ251="Yes",BE251="LIVE"),COUNTIFS($AJ$4:AJ251,"Yes",$BE$4:BE251,"LIVE"),"")</f>
        <v/>
      </c>
      <c r="BK251" s="7" t="str">
        <f aca="false">IF(AND(AK251="Yes",BE251="LIVE"),COUNTIFS($AK$4:AK251,"Yes",$BE$4:BE251,"LIVE"),"")</f>
        <v/>
      </c>
      <c r="BL251" s="7" t="str">
        <f aca="false">IF(I251="To Verify",COUNTIF($I$4:I251,"To Verify"),"")</f>
        <v/>
      </c>
    </row>
    <row r="252" customFormat="false" ht="57.45" hidden="false" customHeight="false" outlineLevel="0" collapsed="false">
      <c r="A252" s="5" t="s">
        <v>2884</v>
      </c>
      <c r="B252" s="6" t="s">
        <v>2674</v>
      </c>
      <c r="C252" s="6" t="s">
        <v>2675</v>
      </c>
      <c r="D252" s="6" t="s">
        <v>1749</v>
      </c>
      <c r="E252" s="6" t="s">
        <v>2885</v>
      </c>
      <c r="F252" s="6" t="s">
        <v>2886</v>
      </c>
      <c r="G252" s="6" t="s">
        <v>2887</v>
      </c>
      <c r="H252" s="6" t="s">
        <v>2888</v>
      </c>
      <c r="I252" s="5" t="s">
        <v>167</v>
      </c>
      <c r="J252" s="7" t="str">
        <f aca="false">IFERROR(INDEX(AVAILABILITY_MASTER!$C$4:$C$10,MATCH(I252,AVAILABILITY_MASTER!$A$4:$A$10,0)),"To Be Confirmed")</f>
        <v>Available</v>
      </c>
      <c r="K252" s="6" t="s">
        <v>79</v>
      </c>
      <c r="L252" s="6" t="s">
        <v>437</v>
      </c>
      <c r="M252" s="7" t="str">
        <f aca="false">IFERROR(INDEX(SERVICE_DOCUMENTS!$S$4:$S$1000,MATCH(A252,SERVICE_DOCUMENTS!$A$4:$A$1000,0))&amp;"","")</f>
        <v>✓ Active Mobile Number</v>
      </c>
      <c r="N252" s="7" t="str">
        <f aca="false">IFERROR(INDEX(SERVICE_DOCUMENTS!$T$4:$T$1000,MATCH(A252,SERVICE_DOCUMENTS!$A$4:$A$1000,0))&amp;"","")</f>
        <v/>
      </c>
      <c r="O252" s="6" t="s">
        <v>645</v>
      </c>
      <c r="P252" s="6" t="s">
        <v>2889</v>
      </c>
      <c r="Q252" s="6" t="s">
        <v>371</v>
      </c>
      <c r="R252" s="8" t="s">
        <v>441</v>
      </c>
      <c r="S252" s="8" t="s">
        <v>75</v>
      </c>
      <c r="T252" s="9" t="str">
        <f aca="false">IF(AND(OR(ISNUMBER(R252),R252="N/A"),OR(ISNUMBER(S252),S252="N/A"),OR(ISNUMBER(R252),ISNUMBER(S252))),N(R252)+N(S252),"To Verify")</f>
        <v>To Verify</v>
      </c>
      <c r="U252" s="6" t="s">
        <v>442</v>
      </c>
      <c r="V252" s="6" t="s">
        <v>79</v>
      </c>
      <c r="W252" s="6" t="s">
        <v>80</v>
      </c>
      <c r="X252" s="6" t="s">
        <v>224</v>
      </c>
      <c r="Y252" s="6" t="s">
        <v>129</v>
      </c>
      <c r="Z252" s="6"/>
      <c r="AA252" s="6" t="s">
        <v>74</v>
      </c>
      <c r="AB252" s="6" t="s">
        <v>79</v>
      </c>
      <c r="AC252" s="6" t="s">
        <v>75</v>
      </c>
      <c r="AD252" s="6" t="s">
        <v>75</v>
      </c>
      <c r="AE252" s="6" t="s">
        <v>79</v>
      </c>
      <c r="AF252" s="6" t="s">
        <v>79</v>
      </c>
      <c r="AG252" s="6" t="s">
        <v>170</v>
      </c>
      <c r="AH252" s="6" t="s">
        <v>74</v>
      </c>
      <c r="AI252" s="6" t="s">
        <v>79</v>
      </c>
      <c r="AJ252" s="6" t="s">
        <v>79</v>
      </c>
      <c r="AK252" s="6" t="s">
        <v>79</v>
      </c>
      <c r="AL252" s="6" t="s">
        <v>2674</v>
      </c>
      <c r="AM252" s="6" t="s">
        <v>1749</v>
      </c>
      <c r="AN252" s="7" t="str">
        <f aca="false">BA252&amp;", "&amp;AZ252</f>
        <v>Email ID Creation, Online Form &amp; Digital Services, Devmobile Stores, ईमेल आईडी बनवाना, ऑनलाइन फॉर्म व डिजिटल सेवाएँ, सेवा</v>
      </c>
      <c r="AO252" s="6" t="s">
        <v>2890</v>
      </c>
      <c r="AP252" s="5" t="s">
        <v>1755</v>
      </c>
      <c r="AQ252" s="5" t="n">
        <v>210</v>
      </c>
      <c r="AR252" s="6" t="s">
        <v>133</v>
      </c>
      <c r="AS252" s="6"/>
      <c r="AT252" s="6" t="s">
        <v>86</v>
      </c>
      <c r="AU252" s="10"/>
      <c r="AV252" s="6" t="s">
        <v>75</v>
      </c>
      <c r="AW252" s="6"/>
      <c r="AX252" s="6" t="s">
        <v>2891</v>
      </c>
      <c r="AY252" s="6" t="s">
        <v>2892</v>
      </c>
      <c r="AZ252" s="6" t="s">
        <v>2893</v>
      </c>
      <c r="BA252" s="6" t="s">
        <v>2894</v>
      </c>
      <c r="BB252" s="6"/>
      <c r="BC252" s="11" t="str">
        <f aca="false">IFERROR(INDEX(CATEGORY_MASTER!$C$4:$C$30,MATCH(B252,CATEGORY_MASTER!$A$4:$A$30,0)),"")</f>
        <v>🌐</v>
      </c>
      <c r="BD252" s="7" t="str">
        <f aca="false">"/services/"&amp;AO252</f>
        <v>/services/email-id-creation</v>
      </c>
      <c r="BE252" s="7" t="str">
        <f aca="false">IF(AND(AH252="Yes",AG252="Active",I252&lt;&gt;"Not Available"),"LIVE","HIDDEN")</f>
        <v>LIVE</v>
      </c>
      <c r="BF252" s="6" t="s">
        <v>139</v>
      </c>
      <c r="BG252" s="6" t="s">
        <v>452</v>
      </c>
      <c r="BH252" s="7" t="str">
        <f aca="false">B252&amp;"|"&amp;COUNTIF($B$4:B252,B252)</f>
        <v>Online Form &amp; Digital Services|21</v>
      </c>
      <c r="BI252" s="7" t="str">
        <f aca="false">IF(AND(AI252="Yes",BE252="LIVE"),COUNTIFS($AI$4:AI252,"Yes",$BE$4:BE252,"LIVE"),"")</f>
        <v/>
      </c>
      <c r="BJ252" s="7" t="str">
        <f aca="false">IF(AND(AJ252="Yes",BE252="LIVE"),COUNTIFS($AJ$4:AJ252,"Yes",$BE$4:BE252,"LIVE"),"")</f>
        <v/>
      </c>
      <c r="BK252" s="7" t="str">
        <f aca="false">IF(AND(AK252="Yes",BE252="LIVE"),COUNTIFS($AK$4:AK252,"Yes",$BE$4:BE252,"LIVE"),"")</f>
        <v/>
      </c>
      <c r="BL252" s="7" t="str">
        <f aca="false">IF(I252="To Verify",COUNTIF($I$4:I252,"To Verify"),"")</f>
        <v/>
      </c>
    </row>
    <row r="253" customFormat="false" ht="57.45" hidden="false" customHeight="false" outlineLevel="0" collapsed="false">
      <c r="A253" s="5" t="s">
        <v>2895</v>
      </c>
      <c r="B253" s="6" t="s">
        <v>2674</v>
      </c>
      <c r="C253" s="6" t="s">
        <v>2675</v>
      </c>
      <c r="D253" s="6" t="s">
        <v>1749</v>
      </c>
      <c r="E253" s="6" t="s">
        <v>2896</v>
      </c>
      <c r="F253" s="6" t="s">
        <v>2897</v>
      </c>
      <c r="G253" s="6" t="s">
        <v>2898</v>
      </c>
      <c r="H253" s="6" t="s">
        <v>2899</v>
      </c>
      <c r="I253" s="5" t="s">
        <v>167</v>
      </c>
      <c r="J253" s="7" t="str">
        <f aca="false">IFERROR(INDEX(AVAILABILITY_MASTER!$C$4:$C$10,MATCH(I253,AVAILABILITY_MASTER!$A$4:$A$10,0)),"To Be Confirmed")</f>
        <v>Available</v>
      </c>
      <c r="K253" s="6" t="s">
        <v>79</v>
      </c>
      <c r="L253" s="6" t="s">
        <v>437</v>
      </c>
      <c r="M253" s="7" t="str">
        <f aca="false">IFERROR(INDEX(SERVICE_DOCUMENTS!$S$4:$S$1000,MATCH(A253,SERVICE_DOCUMENTS!$A$4:$A$1000,0))&amp;"","")</f>
        <v>✓ Active Mobile Number</v>
      </c>
      <c r="N253" s="7" t="str">
        <f aca="false">IFERROR(INDEX(SERVICE_DOCUMENTS!$T$4:$T$1000,MATCH(A253,SERVICE_DOCUMENTS!$A$4:$A$1000,0))&amp;"","")</f>
        <v/>
      </c>
      <c r="O253" s="6" t="s">
        <v>645</v>
      </c>
      <c r="P253" s="6" t="s">
        <v>2900</v>
      </c>
      <c r="Q253" s="6" t="s">
        <v>371</v>
      </c>
      <c r="R253" s="8" t="s">
        <v>441</v>
      </c>
      <c r="S253" s="8" t="s">
        <v>75</v>
      </c>
      <c r="T253" s="9" t="str">
        <f aca="false">IF(AND(OR(ISNUMBER(R253),R253="N/A"),OR(ISNUMBER(S253),S253="N/A"),OR(ISNUMBER(R253),ISNUMBER(S253))),N(R253)+N(S253),"To Verify")</f>
        <v>To Verify</v>
      </c>
      <c r="U253" s="6" t="s">
        <v>442</v>
      </c>
      <c r="V253" s="6" t="s">
        <v>79</v>
      </c>
      <c r="W253" s="6" t="s">
        <v>80</v>
      </c>
      <c r="X253" s="6" t="s">
        <v>224</v>
      </c>
      <c r="Y253" s="6" t="s">
        <v>129</v>
      </c>
      <c r="Z253" s="6"/>
      <c r="AA253" s="6" t="s">
        <v>74</v>
      </c>
      <c r="AB253" s="6" t="s">
        <v>79</v>
      </c>
      <c r="AC253" s="6" t="s">
        <v>75</v>
      </c>
      <c r="AD253" s="6" t="s">
        <v>75</v>
      </c>
      <c r="AE253" s="6" t="s">
        <v>79</v>
      </c>
      <c r="AF253" s="6" t="s">
        <v>79</v>
      </c>
      <c r="AG253" s="6" t="s">
        <v>170</v>
      </c>
      <c r="AH253" s="6" t="s">
        <v>74</v>
      </c>
      <c r="AI253" s="6" t="s">
        <v>79</v>
      </c>
      <c r="AJ253" s="6" t="s">
        <v>79</v>
      </c>
      <c r="AK253" s="6" t="s">
        <v>79</v>
      </c>
      <c r="AL253" s="6" t="s">
        <v>2674</v>
      </c>
      <c r="AM253" s="6" t="s">
        <v>1749</v>
      </c>
      <c r="AN253" s="7" t="str">
        <f aca="false">BA253&amp;", "&amp;AZ253</f>
        <v>Online Registration – General, Online Form &amp; Digital Services, Devmobile Stores, ऑनलाइन पंजीकरण – सामान्य, ऑनलाइन फॉर्म व डिजिटल सेवाएँ, सेवा</v>
      </c>
      <c r="AO253" s="6" t="s">
        <v>2901</v>
      </c>
      <c r="AP253" s="5" t="s">
        <v>1755</v>
      </c>
      <c r="AQ253" s="5" t="n">
        <v>220</v>
      </c>
      <c r="AR253" s="6" t="s">
        <v>133</v>
      </c>
      <c r="AS253" s="6"/>
      <c r="AT253" s="6" t="s">
        <v>86</v>
      </c>
      <c r="AU253" s="10"/>
      <c r="AV253" s="6" t="s">
        <v>75</v>
      </c>
      <c r="AW253" s="6"/>
      <c r="AX253" s="6" t="s">
        <v>2902</v>
      </c>
      <c r="AY253" s="6" t="s">
        <v>2903</v>
      </c>
      <c r="AZ253" s="6" t="s">
        <v>2904</v>
      </c>
      <c r="BA253" s="6" t="s">
        <v>2905</v>
      </c>
      <c r="BB253" s="6"/>
      <c r="BC253" s="11" t="str">
        <f aca="false">IFERROR(INDEX(CATEGORY_MASTER!$C$4:$C$30,MATCH(B253,CATEGORY_MASTER!$A$4:$A$30,0)),"")</f>
        <v>🌐</v>
      </c>
      <c r="BD253" s="7" t="str">
        <f aca="false">"/services/"&amp;AO253</f>
        <v>/services/online-registration-general</v>
      </c>
      <c r="BE253" s="7" t="str">
        <f aca="false">IF(AND(AH253="Yes",AG253="Active",I253&lt;&gt;"Not Available"),"LIVE","HIDDEN")</f>
        <v>LIVE</v>
      </c>
      <c r="BF253" s="6" t="s">
        <v>139</v>
      </c>
      <c r="BG253" s="6" t="s">
        <v>452</v>
      </c>
      <c r="BH253" s="7" t="str">
        <f aca="false">B253&amp;"|"&amp;COUNTIF($B$4:B253,B253)</f>
        <v>Online Form &amp; Digital Services|22</v>
      </c>
      <c r="BI253" s="7" t="str">
        <f aca="false">IF(AND(AI253="Yes",BE253="LIVE"),COUNTIFS($AI$4:AI253,"Yes",$BE$4:BE253,"LIVE"),"")</f>
        <v/>
      </c>
      <c r="BJ253" s="7" t="str">
        <f aca="false">IF(AND(AJ253="Yes",BE253="LIVE"),COUNTIFS($AJ$4:AJ253,"Yes",$BE$4:BE253,"LIVE"),"")</f>
        <v/>
      </c>
      <c r="BK253" s="7" t="str">
        <f aca="false">IF(AND(AK253="Yes",BE253="LIVE"),COUNTIFS($AK$4:AK253,"Yes",$BE$4:BE253,"LIVE"),"")</f>
        <v/>
      </c>
      <c r="BL253" s="7" t="str">
        <f aca="false">IF(I253="To Verify",COUNTIF($I$4:I253,"To Verify"),"")</f>
        <v/>
      </c>
    </row>
    <row r="254" customFormat="false" ht="57.45" hidden="false" customHeight="false" outlineLevel="0" collapsed="false">
      <c r="A254" s="5" t="s">
        <v>2906</v>
      </c>
      <c r="B254" s="6" t="s">
        <v>2674</v>
      </c>
      <c r="C254" s="6" t="s">
        <v>2675</v>
      </c>
      <c r="D254" s="6" t="s">
        <v>1749</v>
      </c>
      <c r="E254" s="6" t="s">
        <v>2907</v>
      </c>
      <c r="F254" s="6" t="s">
        <v>2908</v>
      </c>
      <c r="G254" s="6" t="s">
        <v>2909</v>
      </c>
      <c r="H254" s="6" t="s">
        <v>2910</v>
      </c>
      <c r="I254" s="5" t="s">
        <v>167</v>
      </c>
      <c r="J254" s="7" t="str">
        <f aca="false">IFERROR(INDEX(AVAILABILITY_MASTER!$C$4:$C$10,MATCH(I254,AVAILABILITY_MASTER!$A$4:$A$10,0)),"To Be Confirmed")</f>
        <v>Available</v>
      </c>
      <c r="K254" s="6" t="s">
        <v>79</v>
      </c>
      <c r="L254" s="6" t="s">
        <v>437</v>
      </c>
      <c r="M254" s="7" t="str">
        <f aca="false">IFERROR(INDEX(SERVICE_DOCUMENTS!$S$4:$S$1000,MATCH(A254,SERVICE_DOCUMENTS!$A$4:$A$1000,0))&amp;"","")</f>
        <v>✓ Active Mobile Number</v>
      </c>
      <c r="N254" s="7" t="str">
        <f aca="false">IFERROR(INDEX(SERVICE_DOCUMENTS!$T$4:$T$1000,MATCH(A254,SERVICE_DOCUMENTS!$A$4:$A$1000,0))&amp;"","")</f>
        <v/>
      </c>
      <c r="O254" s="6" t="s">
        <v>645</v>
      </c>
      <c r="P254" s="6" t="s">
        <v>2911</v>
      </c>
      <c r="Q254" s="6" t="s">
        <v>371</v>
      </c>
      <c r="R254" s="8" t="s">
        <v>441</v>
      </c>
      <c r="S254" s="8" t="s">
        <v>75</v>
      </c>
      <c r="T254" s="9" t="str">
        <f aca="false">IF(AND(OR(ISNUMBER(R254),R254="N/A"),OR(ISNUMBER(S254),S254="N/A"),OR(ISNUMBER(R254),ISNUMBER(S254))),N(R254)+N(S254),"To Verify")</f>
        <v>To Verify</v>
      </c>
      <c r="U254" s="6" t="s">
        <v>442</v>
      </c>
      <c r="V254" s="6" t="s">
        <v>79</v>
      </c>
      <c r="W254" s="6" t="s">
        <v>80</v>
      </c>
      <c r="X254" s="6" t="s">
        <v>224</v>
      </c>
      <c r="Y254" s="6" t="s">
        <v>129</v>
      </c>
      <c r="Z254" s="6"/>
      <c r="AA254" s="6" t="s">
        <v>74</v>
      </c>
      <c r="AB254" s="6" t="s">
        <v>79</v>
      </c>
      <c r="AC254" s="6" t="s">
        <v>75</v>
      </c>
      <c r="AD254" s="6" t="s">
        <v>75</v>
      </c>
      <c r="AE254" s="6" t="s">
        <v>79</v>
      </c>
      <c r="AF254" s="6" t="s">
        <v>79</v>
      </c>
      <c r="AG254" s="6" t="s">
        <v>170</v>
      </c>
      <c r="AH254" s="6" t="s">
        <v>74</v>
      </c>
      <c r="AI254" s="6" t="s">
        <v>79</v>
      </c>
      <c r="AJ254" s="6" t="s">
        <v>79</v>
      </c>
      <c r="AK254" s="6" t="s">
        <v>79</v>
      </c>
      <c r="AL254" s="6" t="s">
        <v>2674</v>
      </c>
      <c r="AM254" s="6" t="s">
        <v>1749</v>
      </c>
      <c r="AN254" s="7" t="str">
        <f aca="false">BA254&amp;", "&amp;AZ254</f>
        <v>Document Upload, Online Form &amp; Digital Services, Devmobile Stores, दस्तावेज़ अपलोड, ऑनलाइन फॉर्म व डिजिटल सेवाएँ, सेवा</v>
      </c>
      <c r="AO254" s="6" t="s">
        <v>2912</v>
      </c>
      <c r="AP254" s="5" t="s">
        <v>1755</v>
      </c>
      <c r="AQ254" s="5" t="n">
        <v>230</v>
      </c>
      <c r="AR254" s="6" t="s">
        <v>133</v>
      </c>
      <c r="AS254" s="6"/>
      <c r="AT254" s="6" t="s">
        <v>86</v>
      </c>
      <c r="AU254" s="10"/>
      <c r="AV254" s="6" t="s">
        <v>75</v>
      </c>
      <c r="AW254" s="6"/>
      <c r="AX254" s="6" t="s">
        <v>2913</v>
      </c>
      <c r="AY254" s="6" t="s">
        <v>2914</v>
      </c>
      <c r="AZ254" s="6" t="s">
        <v>2915</v>
      </c>
      <c r="BA254" s="6" t="s">
        <v>2916</v>
      </c>
      <c r="BB254" s="6"/>
      <c r="BC254" s="11" t="str">
        <f aca="false">IFERROR(INDEX(CATEGORY_MASTER!$C$4:$C$30,MATCH(B254,CATEGORY_MASTER!$A$4:$A$30,0)),"")</f>
        <v>🌐</v>
      </c>
      <c r="BD254" s="7" t="str">
        <f aca="false">"/services/"&amp;AO254</f>
        <v>/services/document-upload</v>
      </c>
      <c r="BE254" s="7" t="str">
        <f aca="false">IF(AND(AH254="Yes",AG254="Active",I254&lt;&gt;"Not Available"),"LIVE","HIDDEN")</f>
        <v>LIVE</v>
      </c>
      <c r="BF254" s="6" t="s">
        <v>139</v>
      </c>
      <c r="BG254" s="6" t="s">
        <v>452</v>
      </c>
      <c r="BH254" s="7" t="str">
        <f aca="false">B254&amp;"|"&amp;COUNTIF($B$4:B254,B254)</f>
        <v>Online Form &amp; Digital Services|23</v>
      </c>
      <c r="BI254" s="7" t="str">
        <f aca="false">IF(AND(AI254="Yes",BE254="LIVE"),COUNTIFS($AI$4:AI254,"Yes",$BE$4:BE254,"LIVE"),"")</f>
        <v/>
      </c>
      <c r="BJ254" s="7" t="str">
        <f aca="false">IF(AND(AJ254="Yes",BE254="LIVE"),COUNTIFS($AJ$4:AJ254,"Yes",$BE$4:BE254,"LIVE"),"")</f>
        <v/>
      </c>
      <c r="BK254" s="7" t="str">
        <f aca="false">IF(AND(AK254="Yes",BE254="LIVE"),COUNTIFS($AK$4:AK254,"Yes",$BE$4:BE254,"LIVE"),"")</f>
        <v/>
      </c>
      <c r="BL254" s="7" t="str">
        <f aca="false">IF(I254="To Verify",COUNTIF($I$4:I254,"To Verify"),"")</f>
        <v/>
      </c>
    </row>
    <row r="255" customFormat="false" ht="57.45" hidden="false" customHeight="false" outlineLevel="0" collapsed="false">
      <c r="A255" s="5" t="s">
        <v>2917</v>
      </c>
      <c r="B255" s="6" t="s">
        <v>2674</v>
      </c>
      <c r="C255" s="6" t="s">
        <v>2675</v>
      </c>
      <c r="D255" s="6" t="s">
        <v>1749</v>
      </c>
      <c r="E255" s="6" t="s">
        <v>2918</v>
      </c>
      <c r="F255" s="6" t="s">
        <v>2919</v>
      </c>
      <c r="G255" s="6" t="s">
        <v>2920</v>
      </c>
      <c r="H255" s="6" t="s">
        <v>2921</v>
      </c>
      <c r="I255" s="5" t="s">
        <v>167</v>
      </c>
      <c r="J255" s="7" t="str">
        <f aca="false">IFERROR(INDEX(AVAILABILITY_MASTER!$C$4:$C$10,MATCH(I255,AVAILABILITY_MASTER!$A$4:$A$10,0)),"To Be Confirmed")</f>
        <v>Available</v>
      </c>
      <c r="K255" s="6" t="s">
        <v>79</v>
      </c>
      <c r="L255" s="6" t="s">
        <v>437</v>
      </c>
      <c r="M255" s="7" t="str">
        <f aca="false">IFERROR(INDEX(SERVICE_DOCUMENTS!$S$4:$S$1000,MATCH(A255,SERVICE_DOCUMENTS!$A$4:$A$1000,0))&amp;"","")</f>
        <v>✓ Active Mobile Number</v>
      </c>
      <c r="N255" s="7" t="str">
        <f aca="false">IFERROR(INDEX(SERVICE_DOCUMENTS!$T$4:$T$1000,MATCH(A255,SERVICE_DOCUMENTS!$A$4:$A$1000,0))&amp;"","")</f>
        <v/>
      </c>
      <c r="O255" s="6" t="s">
        <v>645</v>
      </c>
      <c r="P255" s="6" t="s">
        <v>2922</v>
      </c>
      <c r="Q255" s="6" t="s">
        <v>371</v>
      </c>
      <c r="R255" s="8" t="s">
        <v>441</v>
      </c>
      <c r="S255" s="8" t="s">
        <v>75</v>
      </c>
      <c r="T255" s="9" t="str">
        <f aca="false">IF(AND(OR(ISNUMBER(R255),R255="N/A"),OR(ISNUMBER(S255),S255="N/A"),OR(ISNUMBER(R255),ISNUMBER(S255))),N(R255)+N(S255),"To Verify")</f>
        <v>To Verify</v>
      </c>
      <c r="U255" s="6" t="s">
        <v>442</v>
      </c>
      <c r="V255" s="6" t="s">
        <v>79</v>
      </c>
      <c r="W255" s="6" t="s">
        <v>80</v>
      </c>
      <c r="X255" s="6" t="s">
        <v>224</v>
      </c>
      <c r="Y255" s="6" t="s">
        <v>129</v>
      </c>
      <c r="Z255" s="6"/>
      <c r="AA255" s="6" t="s">
        <v>74</v>
      </c>
      <c r="AB255" s="6" t="s">
        <v>79</v>
      </c>
      <c r="AC255" s="6" t="s">
        <v>75</v>
      </c>
      <c r="AD255" s="6" t="s">
        <v>75</v>
      </c>
      <c r="AE255" s="6" t="s">
        <v>79</v>
      </c>
      <c r="AF255" s="6" t="s">
        <v>79</v>
      </c>
      <c r="AG255" s="6" t="s">
        <v>170</v>
      </c>
      <c r="AH255" s="6" t="s">
        <v>74</v>
      </c>
      <c r="AI255" s="6" t="s">
        <v>79</v>
      </c>
      <c r="AJ255" s="6" t="s">
        <v>79</v>
      </c>
      <c r="AK255" s="6" t="s">
        <v>79</v>
      </c>
      <c r="AL255" s="6" t="s">
        <v>2674</v>
      </c>
      <c r="AM255" s="6" t="s">
        <v>1749</v>
      </c>
      <c r="AN255" s="7" t="str">
        <f aca="false">BA255&amp;", "&amp;AZ255</f>
        <v>Document Download, Online Form &amp; Digital Services, Devmobile Stores, दस्तावेज़ डाउनलोड, ऑनलाइन फॉर्म व डिजिटल सेवाएँ, सेवा</v>
      </c>
      <c r="AO255" s="6" t="s">
        <v>2923</v>
      </c>
      <c r="AP255" s="5" t="s">
        <v>1755</v>
      </c>
      <c r="AQ255" s="5" t="n">
        <v>240</v>
      </c>
      <c r="AR255" s="6" t="s">
        <v>133</v>
      </c>
      <c r="AS255" s="6"/>
      <c r="AT255" s="6" t="s">
        <v>86</v>
      </c>
      <c r="AU255" s="10"/>
      <c r="AV255" s="6" t="s">
        <v>75</v>
      </c>
      <c r="AW255" s="6"/>
      <c r="AX255" s="6" t="s">
        <v>2924</v>
      </c>
      <c r="AY255" s="6" t="s">
        <v>2925</v>
      </c>
      <c r="AZ255" s="6" t="s">
        <v>2926</v>
      </c>
      <c r="BA255" s="6" t="s">
        <v>2927</v>
      </c>
      <c r="BB255" s="6"/>
      <c r="BC255" s="11" t="str">
        <f aca="false">IFERROR(INDEX(CATEGORY_MASTER!$C$4:$C$30,MATCH(B255,CATEGORY_MASTER!$A$4:$A$30,0)),"")</f>
        <v>🌐</v>
      </c>
      <c r="BD255" s="7" t="str">
        <f aca="false">"/services/"&amp;AO255</f>
        <v>/services/document-download</v>
      </c>
      <c r="BE255" s="7" t="str">
        <f aca="false">IF(AND(AH255="Yes",AG255="Active",I255&lt;&gt;"Not Available"),"LIVE","HIDDEN")</f>
        <v>LIVE</v>
      </c>
      <c r="BF255" s="6" t="s">
        <v>139</v>
      </c>
      <c r="BG255" s="6" t="s">
        <v>452</v>
      </c>
      <c r="BH255" s="7" t="str">
        <f aca="false">B255&amp;"|"&amp;COUNTIF($B$4:B255,B255)</f>
        <v>Online Form &amp; Digital Services|24</v>
      </c>
      <c r="BI255" s="7" t="str">
        <f aca="false">IF(AND(AI255="Yes",BE255="LIVE"),COUNTIFS($AI$4:AI255,"Yes",$BE$4:BE255,"LIVE"),"")</f>
        <v/>
      </c>
      <c r="BJ255" s="7" t="str">
        <f aca="false">IF(AND(AJ255="Yes",BE255="LIVE"),COUNTIFS($AJ$4:AJ255,"Yes",$BE$4:BE255,"LIVE"),"")</f>
        <v/>
      </c>
      <c r="BK255" s="7" t="str">
        <f aca="false">IF(AND(AK255="Yes",BE255="LIVE"),COUNTIFS($AK$4:AK255,"Yes",$BE$4:BE255,"LIVE"),"")</f>
        <v/>
      </c>
      <c r="BL255" s="7" t="str">
        <f aca="false">IF(I255="To Verify",COUNTIF($I$4:I255,"To Verify"),"")</f>
        <v/>
      </c>
    </row>
    <row r="256" customFormat="false" ht="68.65" hidden="false" customHeight="false" outlineLevel="0" collapsed="false">
      <c r="A256" s="5" t="s">
        <v>2928</v>
      </c>
      <c r="B256" s="6" t="s">
        <v>2674</v>
      </c>
      <c r="C256" s="6" t="s">
        <v>2675</v>
      </c>
      <c r="D256" s="6" t="s">
        <v>1749</v>
      </c>
      <c r="E256" s="6" t="s">
        <v>2929</v>
      </c>
      <c r="F256" s="6" t="s">
        <v>2930</v>
      </c>
      <c r="G256" s="6" t="s">
        <v>2931</v>
      </c>
      <c r="H256" s="6" t="s">
        <v>2932</v>
      </c>
      <c r="I256" s="5" t="s">
        <v>167</v>
      </c>
      <c r="J256" s="7" t="str">
        <f aca="false">IFERROR(INDEX(AVAILABILITY_MASTER!$C$4:$C$10,MATCH(I256,AVAILABILITY_MASTER!$A$4:$A$10,0)),"To Be Confirmed")</f>
        <v>Available</v>
      </c>
      <c r="K256" s="6" t="s">
        <v>79</v>
      </c>
      <c r="L256" s="6" t="s">
        <v>437</v>
      </c>
      <c r="M256" s="7" t="str">
        <f aca="false">IFERROR(INDEX(SERVICE_DOCUMENTS!$S$4:$S$1000,MATCH(A256,SERVICE_DOCUMENTS!$A$4:$A$1000,0))&amp;"","")</f>
        <v>✓ Active Mobile Number</v>
      </c>
      <c r="N256" s="7" t="str">
        <f aca="false">IFERROR(INDEX(SERVICE_DOCUMENTS!$T$4:$T$1000,MATCH(A256,SERVICE_DOCUMENTS!$A$4:$A$1000,0))&amp;"","")</f>
        <v/>
      </c>
      <c r="O256" s="6" t="s">
        <v>645</v>
      </c>
      <c r="P256" s="6" t="s">
        <v>2933</v>
      </c>
      <c r="Q256" s="6" t="s">
        <v>371</v>
      </c>
      <c r="R256" s="8" t="s">
        <v>441</v>
      </c>
      <c r="S256" s="8" t="s">
        <v>75</v>
      </c>
      <c r="T256" s="9" t="str">
        <f aca="false">IF(AND(OR(ISNUMBER(R256),R256="N/A"),OR(ISNUMBER(S256),S256="N/A"),OR(ISNUMBER(R256),ISNUMBER(S256))),N(R256)+N(S256),"To Verify")</f>
        <v>To Verify</v>
      </c>
      <c r="U256" s="6" t="s">
        <v>442</v>
      </c>
      <c r="V256" s="6" t="s">
        <v>79</v>
      </c>
      <c r="W256" s="6" t="s">
        <v>80</v>
      </c>
      <c r="X256" s="6" t="s">
        <v>224</v>
      </c>
      <c r="Y256" s="6" t="s">
        <v>129</v>
      </c>
      <c r="Z256" s="6"/>
      <c r="AA256" s="6" t="s">
        <v>74</v>
      </c>
      <c r="AB256" s="6" t="s">
        <v>79</v>
      </c>
      <c r="AC256" s="6" t="s">
        <v>75</v>
      </c>
      <c r="AD256" s="6" t="s">
        <v>75</v>
      </c>
      <c r="AE256" s="6" t="s">
        <v>79</v>
      </c>
      <c r="AF256" s="6" t="s">
        <v>79</v>
      </c>
      <c r="AG256" s="6" t="s">
        <v>170</v>
      </c>
      <c r="AH256" s="6" t="s">
        <v>74</v>
      </c>
      <c r="AI256" s="6" t="s">
        <v>79</v>
      </c>
      <c r="AJ256" s="6" t="s">
        <v>79</v>
      </c>
      <c r="AK256" s="6" t="s">
        <v>79</v>
      </c>
      <c r="AL256" s="6" t="s">
        <v>2674</v>
      </c>
      <c r="AM256" s="6" t="s">
        <v>1749</v>
      </c>
      <c r="AN256" s="7" t="str">
        <f aca="false">BA256&amp;", "&amp;AZ256</f>
        <v>Application Status Check – Other Portals, Online Form &amp; Digital Services, Devmobile Stores, आवेदन स्थिति जाँच – अन्य पोर्टल, ऑनलाइन फॉर्म व डिजिटल सेवाएँ, सेवा</v>
      </c>
      <c r="AO256" s="6" t="s">
        <v>2934</v>
      </c>
      <c r="AP256" s="5" t="s">
        <v>1755</v>
      </c>
      <c r="AQ256" s="5" t="n">
        <v>250</v>
      </c>
      <c r="AR256" s="6" t="s">
        <v>133</v>
      </c>
      <c r="AS256" s="6"/>
      <c r="AT256" s="6" t="s">
        <v>86</v>
      </c>
      <c r="AU256" s="10"/>
      <c r="AV256" s="6" t="s">
        <v>75</v>
      </c>
      <c r="AW256" s="6"/>
      <c r="AX256" s="6" t="s">
        <v>2935</v>
      </c>
      <c r="AY256" s="6" t="s">
        <v>2936</v>
      </c>
      <c r="AZ256" s="6" t="s">
        <v>2937</v>
      </c>
      <c r="BA256" s="6" t="s">
        <v>2938</v>
      </c>
      <c r="BB256" s="6"/>
      <c r="BC256" s="11" t="str">
        <f aca="false">IFERROR(INDEX(CATEGORY_MASTER!$C$4:$C$30,MATCH(B256,CATEGORY_MASTER!$A$4:$A$30,0)),"")</f>
        <v>🌐</v>
      </c>
      <c r="BD256" s="7" t="str">
        <f aca="false">"/services/"&amp;AO256</f>
        <v>/services/application-status-check-other-portals</v>
      </c>
      <c r="BE256" s="7" t="str">
        <f aca="false">IF(AND(AH256="Yes",AG256="Active",I256&lt;&gt;"Not Available"),"LIVE","HIDDEN")</f>
        <v>LIVE</v>
      </c>
      <c r="BF256" s="6" t="s">
        <v>139</v>
      </c>
      <c r="BG256" s="6" t="s">
        <v>452</v>
      </c>
      <c r="BH256" s="7" t="str">
        <f aca="false">B256&amp;"|"&amp;COUNTIF($B$4:B256,B256)</f>
        <v>Online Form &amp; Digital Services|25</v>
      </c>
      <c r="BI256" s="7" t="str">
        <f aca="false">IF(AND(AI256="Yes",BE256="LIVE"),COUNTIFS($AI$4:AI256,"Yes",$BE$4:BE256,"LIVE"),"")</f>
        <v/>
      </c>
      <c r="BJ256" s="7" t="str">
        <f aca="false">IF(AND(AJ256="Yes",BE256="LIVE"),COUNTIFS($AJ$4:AJ256,"Yes",$BE$4:BE256,"LIVE"),"")</f>
        <v/>
      </c>
      <c r="BK256" s="7" t="str">
        <f aca="false">IF(AND(AK256="Yes",BE256="LIVE"),COUNTIFS($AK$4:AK256,"Yes",$BE$4:BE256,"LIVE"),"")</f>
        <v/>
      </c>
      <c r="BL256" s="7" t="str">
        <f aca="false">IF(I256="To Verify",COUNTIF($I$4:I256,"To Verify"),"")</f>
        <v/>
      </c>
    </row>
    <row r="257" customFormat="false" ht="57.45" hidden="false" customHeight="false" outlineLevel="0" collapsed="false">
      <c r="A257" s="5" t="s">
        <v>2939</v>
      </c>
      <c r="B257" s="6" t="s">
        <v>2674</v>
      </c>
      <c r="C257" s="6" t="s">
        <v>2675</v>
      </c>
      <c r="D257" s="6" t="s">
        <v>1749</v>
      </c>
      <c r="E257" s="6" t="s">
        <v>2940</v>
      </c>
      <c r="F257" s="6" t="s">
        <v>2941</v>
      </c>
      <c r="G257" s="6" t="s">
        <v>2942</v>
      </c>
      <c r="H257" s="6" t="s">
        <v>2943</v>
      </c>
      <c r="I257" s="5" t="s">
        <v>221</v>
      </c>
      <c r="J257" s="7" t="str">
        <f aca="false">IFERROR(INDEX(AVAILABILITY_MASTER!$C$4:$C$10,MATCH(I257,AVAILABILITY_MASTER!$A$4:$A$10,0)),"To Be Confirmed")</f>
        <v>Depends on Portal – Confirm at Shop</v>
      </c>
      <c r="K257" s="6" t="s">
        <v>129</v>
      </c>
      <c r="L257" s="6" t="s">
        <v>221</v>
      </c>
      <c r="M257" s="7" t="str">
        <f aca="false">IFERROR(INDEX(SERVICE_DOCUMENTS!$S$4:$S$1000,MATCH(A257,SERVICE_DOCUMENTS!$A$4:$A$1000,0))&amp;"","")</f>
        <v>✓ Active Mobile Number</v>
      </c>
      <c r="N257" s="7" t="str">
        <f aca="false">IFERROR(INDEX(SERVICE_DOCUMENTS!$T$4:$T$1000,MATCH(A257,SERVICE_DOCUMENTS!$A$4:$A$1000,0))&amp;"","")</f>
        <v/>
      </c>
      <c r="O257" s="6" t="s">
        <v>645</v>
      </c>
      <c r="P257" s="6" t="s">
        <v>2944</v>
      </c>
      <c r="Q257" s="6" t="s">
        <v>371</v>
      </c>
      <c r="R257" s="8" t="s">
        <v>441</v>
      </c>
      <c r="S257" s="8" t="s">
        <v>75</v>
      </c>
      <c r="T257" s="9" t="str">
        <f aca="false">IF(AND(OR(ISNUMBER(R257),R257="N/A"),OR(ISNUMBER(S257),S257="N/A"),OR(ISNUMBER(R257),ISNUMBER(S257))),N(R257)+N(S257),"To Verify")</f>
        <v>To Verify</v>
      </c>
      <c r="U257" s="6" t="s">
        <v>442</v>
      </c>
      <c r="V257" s="6" t="s">
        <v>79</v>
      </c>
      <c r="W257" s="6" t="s">
        <v>80</v>
      </c>
      <c r="X257" s="6" t="s">
        <v>224</v>
      </c>
      <c r="Y257" s="6" t="s">
        <v>129</v>
      </c>
      <c r="Z257" s="6"/>
      <c r="AA257" s="6" t="s">
        <v>74</v>
      </c>
      <c r="AB257" s="6" t="s">
        <v>79</v>
      </c>
      <c r="AC257" s="6" t="s">
        <v>75</v>
      </c>
      <c r="AD257" s="6" t="s">
        <v>75</v>
      </c>
      <c r="AE257" s="6" t="s">
        <v>79</v>
      </c>
      <c r="AF257" s="6" t="s">
        <v>79</v>
      </c>
      <c r="AG257" s="6" t="s">
        <v>75</v>
      </c>
      <c r="AH257" s="6" t="s">
        <v>79</v>
      </c>
      <c r="AI257" s="6" t="s">
        <v>79</v>
      </c>
      <c r="AJ257" s="6" t="s">
        <v>79</v>
      </c>
      <c r="AK257" s="6" t="s">
        <v>79</v>
      </c>
      <c r="AL257" s="6" t="s">
        <v>2674</v>
      </c>
      <c r="AM257" s="6" t="s">
        <v>1749</v>
      </c>
      <c r="AN257" s="7" t="str">
        <f aca="false">BA257&amp;", "&amp;AZ257</f>
        <v>DigiLocker Assistance, Online Form &amp; Digital Services, Devmobile Stores, डिजिलॉकर सहायता, ऑनलाइन फॉर्म व डिजिटल सेवाएँ, सेवा</v>
      </c>
      <c r="AO257" s="6" t="s">
        <v>2945</v>
      </c>
      <c r="AP257" s="5" t="s">
        <v>1755</v>
      </c>
      <c r="AQ257" s="5" t="n">
        <v>260</v>
      </c>
      <c r="AR257" s="6" t="s">
        <v>133</v>
      </c>
      <c r="AS257" s="6" t="s">
        <v>474</v>
      </c>
      <c r="AT257" s="6" t="s">
        <v>86</v>
      </c>
      <c r="AU257" s="10"/>
      <c r="AV257" s="6" t="s">
        <v>75</v>
      </c>
      <c r="AW257" s="6" t="s">
        <v>2946</v>
      </c>
      <c r="AX257" s="6" t="s">
        <v>2947</v>
      </c>
      <c r="AY257" s="6" t="s">
        <v>2948</v>
      </c>
      <c r="AZ257" s="6" t="s">
        <v>2949</v>
      </c>
      <c r="BA257" s="6" t="s">
        <v>2950</v>
      </c>
      <c r="BB257" s="6"/>
      <c r="BC257" s="11" t="str">
        <f aca="false">IFERROR(INDEX(CATEGORY_MASTER!$C$4:$C$30,MATCH(B257,CATEGORY_MASTER!$A$4:$A$30,0)),"")</f>
        <v>🌐</v>
      </c>
      <c r="BD257" s="7" t="str">
        <f aca="false">"/services/"&amp;AO257</f>
        <v>/services/digilocker-assistance</v>
      </c>
      <c r="BE257" s="7" t="str">
        <f aca="false">IF(AND(AH257="Yes",AG257="Active",I257&lt;&gt;"Not Available"),"LIVE","HIDDEN")</f>
        <v>HIDDEN</v>
      </c>
      <c r="BF257" s="6" t="s">
        <v>139</v>
      </c>
      <c r="BG257" s="6" t="s">
        <v>452</v>
      </c>
      <c r="BH257" s="7" t="str">
        <f aca="false">B257&amp;"|"&amp;COUNTIF($B$4:B257,B257)</f>
        <v>Online Form &amp; Digital Services|26</v>
      </c>
      <c r="BI257" s="7" t="str">
        <f aca="false">IF(AND(AI257="Yes",BE257="LIVE"),COUNTIFS($AI$4:AI257,"Yes",$BE$4:BE257,"LIVE"),"")</f>
        <v/>
      </c>
      <c r="BJ257" s="7" t="str">
        <f aca="false">IF(AND(AJ257="Yes",BE257="LIVE"),COUNTIFS($AJ$4:AJ257,"Yes",$BE$4:BE257,"LIVE"),"")</f>
        <v/>
      </c>
      <c r="BK257" s="7" t="str">
        <f aca="false">IF(AND(AK257="Yes",BE257="LIVE"),COUNTIFS($AK$4:AK257,"Yes",$BE$4:BE257,"LIVE"),"")</f>
        <v/>
      </c>
      <c r="BL257" s="7" t="str">
        <f aca="false">IF(I257="To Verify",COUNTIF($I$4:I257,"To Verify"),"")</f>
        <v/>
      </c>
    </row>
    <row r="258" customFormat="false" ht="68.65" hidden="false" customHeight="false" outlineLevel="0" collapsed="false">
      <c r="A258" s="5" t="s">
        <v>2951</v>
      </c>
      <c r="B258" s="6" t="s">
        <v>2674</v>
      </c>
      <c r="C258" s="6" t="s">
        <v>2675</v>
      </c>
      <c r="D258" s="6" t="s">
        <v>1749</v>
      </c>
      <c r="E258" s="6" t="s">
        <v>2952</v>
      </c>
      <c r="F258" s="6" t="s">
        <v>2953</v>
      </c>
      <c r="G258" s="6" t="s">
        <v>2954</v>
      </c>
      <c r="H258" s="6" t="s">
        <v>2955</v>
      </c>
      <c r="I258" s="5" t="s">
        <v>221</v>
      </c>
      <c r="J258" s="7" t="str">
        <f aca="false">IFERROR(INDEX(AVAILABILITY_MASTER!$C$4:$C$10,MATCH(I258,AVAILABILITY_MASTER!$A$4:$A$10,0)),"To Be Confirmed")</f>
        <v>Depends on Portal – Confirm at Shop</v>
      </c>
      <c r="K258" s="6" t="s">
        <v>129</v>
      </c>
      <c r="L258" s="6" t="s">
        <v>221</v>
      </c>
      <c r="M258" s="7" t="str">
        <f aca="false">IFERROR(INDEX(SERVICE_DOCUMENTS!$S$4:$S$1000,MATCH(A258,SERVICE_DOCUMENTS!$A$4:$A$1000,0))&amp;"","")</f>
        <v>✓ Active Mobile Number</v>
      </c>
      <c r="N258" s="7" t="str">
        <f aca="false">IFERROR(INDEX(SERVICE_DOCUMENTS!$T$4:$T$1000,MATCH(A258,SERVICE_DOCUMENTS!$A$4:$A$1000,0))&amp;"","")</f>
        <v/>
      </c>
      <c r="O258" s="6" t="s">
        <v>645</v>
      </c>
      <c r="P258" s="6" t="s">
        <v>2956</v>
      </c>
      <c r="Q258" s="6" t="s">
        <v>371</v>
      </c>
      <c r="R258" s="8" t="s">
        <v>441</v>
      </c>
      <c r="S258" s="8" t="s">
        <v>75</v>
      </c>
      <c r="T258" s="9" t="str">
        <f aca="false">IF(AND(OR(ISNUMBER(R258),R258="N/A"),OR(ISNUMBER(S258),S258="N/A"),OR(ISNUMBER(R258),ISNUMBER(S258))),N(R258)+N(S258),"To Verify")</f>
        <v>To Verify</v>
      </c>
      <c r="U258" s="6" t="s">
        <v>442</v>
      </c>
      <c r="V258" s="6" t="s">
        <v>79</v>
      </c>
      <c r="W258" s="6" t="s">
        <v>80</v>
      </c>
      <c r="X258" s="6" t="s">
        <v>224</v>
      </c>
      <c r="Y258" s="6" t="s">
        <v>129</v>
      </c>
      <c r="Z258" s="6"/>
      <c r="AA258" s="6" t="s">
        <v>74</v>
      </c>
      <c r="AB258" s="6" t="s">
        <v>79</v>
      </c>
      <c r="AC258" s="6" t="s">
        <v>75</v>
      </c>
      <c r="AD258" s="6" t="s">
        <v>75</v>
      </c>
      <c r="AE258" s="6" t="s">
        <v>79</v>
      </c>
      <c r="AF258" s="6" t="s">
        <v>79</v>
      </c>
      <c r="AG258" s="6" t="s">
        <v>75</v>
      </c>
      <c r="AH258" s="6" t="s">
        <v>79</v>
      </c>
      <c r="AI258" s="6" t="s">
        <v>79</v>
      </c>
      <c r="AJ258" s="6" t="s">
        <v>79</v>
      </c>
      <c r="AK258" s="6" t="s">
        <v>79</v>
      </c>
      <c r="AL258" s="6" t="s">
        <v>2674</v>
      </c>
      <c r="AM258" s="6" t="s">
        <v>1749</v>
      </c>
      <c r="AN258" s="7" t="str">
        <f aca="false">BA258&amp;", "&amp;AZ258</f>
        <v>Digital Document Download (DigiLocker etc.), Online Form &amp; Digital Services, Devmobile Stores, डिजिटल दस्तावेज़ डाउनलोड (डिजिलॉकर आदि), ऑनलाइन फॉर्म व डिजिटल सेवाएँ, सेवा</v>
      </c>
      <c r="AO258" s="6" t="s">
        <v>2957</v>
      </c>
      <c r="AP258" s="5" t="s">
        <v>1755</v>
      </c>
      <c r="AQ258" s="5" t="n">
        <v>270</v>
      </c>
      <c r="AR258" s="6" t="s">
        <v>133</v>
      </c>
      <c r="AS258" s="6" t="s">
        <v>474</v>
      </c>
      <c r="AT258" s="6" t="s">
        <v>86</v>
      </c>
      <c r="AU258" s="10"/>
      <c r="AV258" s="6" t="s">
        <v>75</v>
      </c>
      <c r="AW258" s="6"/>
      <c r="AX258" s="6" t="s">
        <v>2958</v>
      </c>
      <c r="AY258" s="6" t="s">
        <v>2959</v>
      </c>
      <c r="AZ258" s="6" t="s">
        <v>2960</v>
      </c>
      <c r="BA258" s="6" t="s">
        <v>2961</v>
      </c>
      <c r="BB258" s="6"/>
      <c r="BC258" s="11" t="str">
        <f aca="false">IFERROR(INDEX(CATEGORY_MASTER!$C$4:$C$30,MATCH(B258,CATEGORY_MASTER!$A$4:$A$30,0)),"")</f>
        <v>🌐</v>
      </c>
      <c r="BD258" s="7" t="str">
        <f aca="false">"/services/"&amp;AO258</f>
        <v>/services/digital-document-download-digilocker-etc</v>
      </c>
      <c r="BE258" s="7" t="str">
        <f aca="false">IF(AND(AH258="Yes",AG258="Active",I258&lt;&gt;"Not Available"),"LIVE","HIDDEN")</f>
        <v>HIDDEN</v>
      </c>
      <c r="BF258" s="6" t="s">
        <v>139</v>
      </c>
      <c r="BG258" s="6" t="s">
        <v>452</v>
      </c>
      <c r="BH258" s="7" t="str">
        <f aca="false">B258&amp;"|"&amp;COUNTIF($B$4:B258,B258)</f>
        <v>Online Form &amp; Digital Services|27</v>
      </c>
      <c r="BI258" s="7" t="str">
        <f aca="false">IF(AND(AI258="Yes",BE258="LIVE"),COUNTIFS($AI$4:AI258,"Yes",$BE$4:BE258,"LIVE"),"")</f>
        <v/>
      </c>
      <c r="BJ258" s="7" t="str">
        <f aca="false">IF(AND(AJ258="Yes",BE258="LIVE"),COUNTIFS($AJ$4:AJ258,"Yes",$BE$4:BE258,"LIVE"),"")</f>
        <v/>
      </c>
      <c r="BK258" s="7" t="str">
        <f aca="false">IF(AND(AK258="Yes",BE258="LIVE"),COUNTIFS($AK$4:AK258,"Yes",$BE$4:BE258,"LIVE"),"")</f>
        <v/>
      </c>
      <c r="BL258" s="7" t="str">
        <f aca="false">IF(I258="To Verify",COUNTIF($I$4:I258,"To Verify"),"")</f>
        <v/>
      </c>
    </row>
    <row r="259" customFormat="false" ht="68.65" hidden="false" customHeight="false" outlineLevel="0" collapsed="false">
      <c r="A259" s="5" t="s">
        <v>2962</v>
      </c>
      <c r="B259" s="6" t="s">
        <v>2674</v>
      </c>
      <c r="C259" s="6" t="s">
        <v>2675</v>
      </c>
      <c r="D259" s="6" t="s">
        <v>1749</v>
      </c>
      <c r="E259" s="6" t="s">
        <v>2963</v>
      </c>
      <c r="F259" s="6" t="s">
        <v>2964</v>
      </c>
      <c r="G259" s="6" t="s">
        <v>2965</v>
      </c>
      <c r="H259" s="6" t="s">
        <v>2966</v>
      </c>
      <c r="I259" s="5" t="s">
        <v>167</v>
      </c>
      <c r="J259" s="7" t="str">
        <f aca="false">IFERROR(INDEX(AVAILABILITY_MASTER!$C$4:$C$10,MATCH(I259,AVAILABILITY_MASTER!$A$4:$A$10,0)),"To Be Confirmed")</f>
        <v>Available</v>
      </c>
      <c r="K259" s="6" t="s">
        <v>79</v>
      </c>
      <c r="L259" s="6" t="s">
        <v>437</v>
      </c>
      <c r="M259" s="7" t="str">
        <f aca="false">IFERROR(INDEX(SERVICE_DOCUMENTS!$S$4:$S$1000,MATCH(A259,SERVICE_DOCUMENTS!$A$4:$A$1000,0))&amp;"","")</f>
        <v>✓ Active Mobile Number</v>
      </c>
      <c r="N259" s="7" t="str">
        <f aca="false">IFERROR(INDEX(SERVICE_DOCUMENTS!$T$4:$T$1000,MATCH(A259,SERVICE_DOCUMENTS!$A$4:$A$1000,0))&amp;"","")</f>
        <v/>
      </c>
      <c r="O259" s="6" t="s">
        <v>645</v>
      </c>
      <c r="P259" s="6" t="s">
        <v>2967</v>
      </c>
      <c r="Q259" s="6" t="s">
        <v>371</v>
      </c>
      <c r="R259" s="8" t="s">
        <v>441</v>
      </c>
      <c r="S259" s="8" t="s">
        <v>75</v>
      </c>
      <c r="T259" s="9" t="str">
        <f aca="false">IF(AND(OR(ISNUMBER(R259),R259="N/A"),OR(ISNUMBER(S259),S259="N/A"),OR(ISNUMBER(R259),ISNUMBER(S259))),N(R259)+N(S259),"To Verify")</f>
        <v>To Verify</v>
      </c>
      <c r="U259" s="6" t="s">
        <v>442</v>
      </c>
      <c r="V259" s="6" t="s">
        <v>79</v>
      </c>
      <c r="W259" s="6" t="s">
        <v>80</v>
      </c>
      <c r="X259" s="6" t="s">
        <v>224</v>
      </c>
      <c r="Y259" s="6" t="s">
        <v>129</v>
      </c>
      <c r="Z259" s="6"/>
      <c r="AA259" s="6" t="s">
        <v>74</v>
      </c>
      <c r="AB259" s="6" t="s">
        <v>79</v>
      </c>
      <c r="AC259" s="6" t="s">
        <v>75</v>
      </c>
      <c r="AD259" s="6" t="s">
        <v>75</v>
      </c>
      <c r="AE259" s="6" t="s">
        <v>79</v>
      </c>
      <c r="AF259" s="6" t="s">
        <v>79</v>
      </c>
      <c r="AG259" s="6" t="s">
        <v>170</v>
      </c>
      <c r="AH259" s="6" t="s">
        <v>74</v>
      </c>
      <c r="AI259" s="6" t="s">
        <v>79</v>
      </c>
      <c r="AJ259" s="6" t="s">
        <v>79</v>
      </c>
      <c r="AK259" s="6" t="s">
        <v>79</v>
      </c>
      <c r="AL259" s="6" t="s">
        <v>2674</v>
      </c>
      <c r="AM259" s="6" t="s">
        <v>1749</v>
      </c>
      <c r="AN259" s="7" t="str">
        <f aca="false">BA259&amp;", "&amp;AZ259</f>
        <v>Online Payment Assistance (Fee / Challan), Online Form &amp; Digital Services, Devmobile Stores, ऑनलाइन भुगतान सहायता (फीस / चालान), ऑनलाइन फॉर्म व डिजिटल सेवाएँ, सेवा</v>
      </c>
      <c r="AO259" s="6" t="s">
        <v>2968</v>
      </c>
      <c r="AP259" s="5" t="s">
        <v>1755</v>
      </c>
      <c r="AQ259" s="5" t="n">
        <v>280</v>
      </c>
      <c r="AR259" s="6" t="s">
        <v>133</v>
      </c>
      <c r="AS259" s="6"/>
      <c r="AT259" s="6" t="s">
        <v>86</v>
      </c>
      <c r="AU259" s="10"/>
      <c r="AV259" s="6" t="s">
        <v>75</v>
      </c>
      <c r="AW259" s="6"/>
      <c r="AX259" s="6" t="s">
        <v>2969</v>
      </c>
      <c r="AY259" s="6" t="s">
        <v>2970</v>
      </c>
      <c r="AZ259" s="6" t="s">
        <v>2971</v>
      </c>
      <c r="BA259" s="6" t="s">
        <v>2972</v>
      </c>
      <c r="BB259" s="6"/>
      <c r="BC259" s="11" t="str">
        <f aca="false">IFERROR(INDEX(CATEGORY_MASTER!$C$4:$C$30,MATCH(B259,CATEGORY_MASTER!$A$4:$A$30,0)),"")</f>
        <v>🌐</v>
      </c>
      <c r="BD259" s="7" t="str">
        <f aca="false">"/services/"&amp;AO259</f>
        <v>/services/online-payment-assistance-fee-challan</v>
      </c>
      <c r="BE259" s="7" t="str">
        <f aca="false">IF(AND(AH259="Yes",AG259="Active",I259&lt;&gt;"Not Available"),"LIVE","HIDDEN")</f>
        <v>LIVE</v>
      </c>
      <c r="BF259" s="6" t="s">
        <v>139</v>
      </c>
      <c r="BG259" s="6" t="s">
        <v>452</v>
      </c>
      <c r="BH259" s="7" t="str">
        <f aca="false">B259&amp;"|"&amp;COUNTIF($B$4:B259,B259)</f>
        <v>Online Form &amp; Digital Services|28</v>
      </c>
      <c r="BI259" s="7" t="str">
        <f aca="false">IF(AND(AI259="Yes",BE259="LIVE"),COUNTIFS($AI$4:AI259,"Yes",$BE$4:BE259,"LIVE"),"")</f>
        <v/>
      </c>
      <c r="BJ259" s="7" t="str">
        <f aca="false">IF(AND(AJ259="Yes",BE259="LIVE"),COUNTIFS($AJ$4:AJ259,"Yes",$BE$4:BE259,"LIVE"),"")</f>
        <v/>
      </c>
      <c r="BK259" s="7" t="str">
        <f aca="false">IF(AND(AK259="Yes",BE259="LIVE"),COUNTIFS($AK$4:AK259,"Yes",$BE$4:BE259,"LIVE"),"")</f>
        <v/>
      </c>
      <c r="BL259" s="7" t="str">
        <f aca="false">IF(I259="To Verify",COUNTIF($I$4:I259,"To Verify"),"")</f>
        <v/>
      </c>
    </row>
    <row r="260" customFormat="false" ht="68.65" hidden="false" customHeight="false" outlineLevel="0" collapsed="false">
      <c r="A260" s="5" t="s">
        <v>2973</v>
      </c>
      <c r="B260" s="6" t="s">
        <v>2674</v>
      </c>
      <c r="C260" s="6" t="s">
        <v>2675</v>
      </c>
      <c r="D260" s="6" t="s">
        <v>1749</v>
      </c>
      <c r="E260" s="6" t="s">
        <v>2974</v>
      </c>
      <c r="F260" s="6" t="s">
        <v>2975</v>
      </c>
      <c r="G260" s="6" t="s">
        <v>2976</v>
      </c>
      <c r="H260" s="6" t="s">
        <v>2977</v>
      </c>
      <c r="I260" s="5" t="s">
        <v>167</v>
      </c>
      <c r="J260" s="7" t="str">
        <f aca="false">IFERROR(INDEX(AVAILABILITY_MASTER!$C$4:$C$10,MATCH(I260,AVAILABILITY_MASTER!$A$4:$A$10,0)),"To Be Confirmed")</f>
        <v>Available</v>
      </c>
      <c r="K260" s="6" t="s">
        <v>79</v>
      </c>
      <c r="L260" s="6" t="s">
        <v>437</v>
      </c>
      <c r="M260" s="7" t="str">
        <f aca="false">IFERROR(INDEX(SERVICE_DOCUMENTS!$S$4:$S$1000,MATCH(A260,SERVICE_DOCUMENTS!$A$4:$A$1000,0))&amp;"","")</f>
        <v>✓ Active Mobile Number</v>
      </c>
      <c r="N260" s="7" t="str">
        <f aca="false">IFERROR(INDEX(SERVICE_DOCUMENTS!$T$4:$T$1000,MATCH(A260,SERVICE_DOCUMENTS!$A$4:$A$1000,0))&amp;"","")</f>
        <v/>
      </c>
      <c r="O260" s="6" t="s">
        <v>645</v>
      </c>
      <c r="P260" s="6" t="s">
        <v>2978</v>
      </c>
      <c r="Q260" s="6" t="s">
        <v>371</v>
      </c>
      <c r="R260" s="8" t="s">
        <v>441</v>
      </c>
      <c r="S260" s="8" t="s">
        <v>75</v>
      </c>
      <c r="T260" s="9" t="str">
        <f aca="false">IF(AND(OR(ISNUMBER(R260),R260="N/A"),OR(ISNUMBER(S260),S260="N/A"),OR(ISNUMBER(R260),ISNUMBER(S260))),N(R260)+N(S260),"To Verify")</f>
        <v>To Verify</v>
      </c>
      <c r="U260" s="6" t="s">
        <v>442</v>
      </c>
      <c r="V260" s="6" t="s">
        <v>79</v>
      </c>
      <c r="W260" s="6" t="s">
        <v>80</v>
      </c>
      <c r="X260" s="6" t="s">
        <v>224</v>
      </c>
      <c r="Y260" s="6" t="s">
        <v>129</v>
      </c>
      <c r="Z260" s="6"/>
      <c r="AA260" s="6" t="s">
        <v>74</v>
      </c>
      <c r="AB260" s="6" t="s">
        <v>79</v>
      </c>
      <c r="AC260" s="6" t="s">
        <v>75</v>
      </c>
      <c r="AD260" s="6" t="s">
        <v>75</v>
      </c>
      <c r="AE260" s="6" t="s">
        <v>79</v>
      </c>
      <c r="AF260" s="6" t="s">
        <v>79</v>
      </c>
      <c r="AG260" s="6" t="s">
        <v>170</v>
      </c>
      <c r="AH260" s="6" t="s">
        <v>74</v>
      </c>
      <c r="AI260" s="6" t="s">
        <v>79</v>
      </c>
      <c r="AJ260" s="6" t="s">
        <v>79</v>
      </c>
      <c r="AK260" s="6" t="s">
        <v>79</v>
      </c>
      <c r="AL260" s="6" t="s">
        <v>2674</v>
      </c>
      <c r="AM260" s="6" t="s">
        <v>1749</v>
      </c>
      <c r="AN260" s="7" t="str">
        <f aca="false">BA260&amp;", "&amp;AZ260</f>
        <v>UPI / Payment App Setup Assistance, Online Form &amp; Digital Services, Devmobile Stores, UPI / पेमेंट ऐप सेटअप सहायता, ऑनलाइन फॉर्म व डिजिटल सेवाएँ, सेवा</v>
      </c>
      <c r="AO260" s="6" t="s">
        <v>2979</v>
      </c>
      <c r="AP260" s="5" t="s">
        <v>1755</v>
      </c>
      <c r="AQ260" s="5" t="n">
        <v>290</v>
      </c>
      <c r="AR260" s="6" t="s">
        <v>133</v>
      </c>
      <c r="AS260" s="6"/>
      <c r="AT260" s="6" t="s">
        <v>86</v>
      </c>
      <c r="AU260" s="10"/>
      <c r="AV260" s="6" t="s">
        <v>75</v>
      </c>
      <c r="AW260" s="6"/>
      <c r="AX260" s="6" t="s">
        <v>2980</v>
      </c>
      <c r="AY260" s="6" t="s">
        <v>2981</v>
      </c>
      <c r="AZ260" s="6" t="s">
        <v>2982</v>
      </c>
      <c r="BA260" s="6" t="s">
        <v>2983</v>
      </c>
      <c r="BB260" s="6"/>
      <c r="BC260" s="11" t="str">
        <f aca="false">IFERROR(INDEX(CATEGORY_MASTER!$C$4:$C$30,MATCH(B260,CATEGORY_MASTER!$A$4:$A$30,0)),"")</f>
        <v>🌐</v>
      </c>
      <c r="BD260" s="7" t="str">
        <f aca="false">"/services/"&amp;AO260</f>
        <v>/services/upi-payment-app-setup-assistance</v>
      </c>
      <c r="BE260" s="7" t="str">
        <f aca="false">IF(AND(AH260="Yes",AG260="Active",I260&lt;&gt;"Not Available"),"LIVE","HIDDEN")</f>
        <v>LIVE</v>
      </c>
      <c r="BF260" s="6" t="s">
        <v>139</v>
      </c>
      <c r="BG260" s="6" t="s">
        <v>452</v>
      </c>
      <c r="BH260" s="7" t="str">
        <f aca="false">B260&amp;"|"&amp;COUNTIF($B$4:B260,B260)</f>
        <v>Online Form &amp; Digital Services|29</v>
      </c>
      <c r="BI260" s="7" t="str">
        <f aca="false">IF(AND(AI260="Yes",BE260="LIVE"),COUNTIFS($AI$4:AI260,"Yes",$BE$4:BE260,"LIVE"),"")</f>
        <v/>
      </c>
      <c r="BJ260" s="7" t="str">
        <f aca="false">IF(AND(AJ260="Yes",BE260="LIVE"),COUNTIFS($AJ$4:AJ260,"Yes",$BE$4:BE260,"LIVE"),"")</f>
        <v/>
      </c>
      <c r="BK260" s="7" t="str">
        <f aca="false">IF(AND(AK260="Yes",BE260="LIVE"),COUNTIFS($AK$4:AK260,"Yes",$BE$4:BE260,"LIVE"),"")</f>
        <v/>
      </c>
      <c r="BL260" s="7" t="str">
        <f aca="false">IF(I260="To Verify",COUNTIF($I$4:I260,"To Verify"),"")</f>
        <v/>
      </c>
    </row>
    <row r="261" customFormat="false" ht="79.85" hidden="false" customHeight="false" outlineLevel="0" collapsed="false">
      <c r="A261" s="5" t="s">
        <v>2984</v>
      </c>
      <c r="B261" s="6" t="s">
        <v>2674</v>
      </c>
      <c r="C261" s="6" t="s">
        <v>2675</v>
      </c>
      <c r="D261" s="6" t="s">
        <v>2985</v>
      </c>
      <c r="E261" s="6" t="s">
        <v>2986</v>
      </c>
      <c r="F261" s="6" t="s">
        <v>2987</v>
      </c>
      <c r="G261" s="6" t="s">
        <v>2988</v>
      </c>
      <c r="H261" s="6" t="s">
        <v>2989</v>
      </c>
      <c r="I261" s="5" t="s">
        <v>221</v>
      </c>
      <c r="J261" s="7" t="str">
        <f aca="false">IFERROR(INDEX(AVAILABILITY_MASTER!$C$4:$C$10,MATCH(I261,AVAILABILITY_MASTER!$A$4:$A$10,0)),"To Be Confirmed")</f>
        <v>Depends on Portal – Confirm at Shop</v>
      </c>
      <c r="K261" s="6" t="s">
        <v>129</v>
      </c>
      <c r="L261" s="6" t="s">
        <v>221</v>
      </c>
      <c r="M261" s="7" t="str">
        <f aca="false">IFERROR(INDEX(SERVICE_DOCUMENTS!$S$4:$S$1000,MATCH(A261,SERVICE_DOCUMENTS!$A$4:$A$1000,0))&amp;"","")</f>
        <v>✓ Aadhaar Card
✓ Active Mobile Number</v>
      </c>
      <c r="N261" s="7" t="str">
        <f aca="false">IFERROR(INDEX(SERVICE_DOCUMENTS!$T$4:$T$1000,MATCH(A261,SERVICE_DOCUMENTS!$A$4:$A$1000,0))&amp;"","")</f>
        <v/>
      </c>
      <c r="O261" s="6" t="s">
        <v>645</v>
      </c>
      <c r="P261" s="6" t="s">
        <v>2990</v>
      </c>
      <c r="Q261" s="6" t="s">
        <v>78</v>
      </c>
      <c r="R261" s="8" t="s">
        <v>75</v>
      </c>
      <c r="S261" s="8" t="s">
        <v>75</v>
      </c>
      <c r="T261" s="9" t="str">
        <f aca="false">IF(AND(OR(ISNUMBER(R261),R261="N/A"),OR(ISNUMBER(S261),S261="N/A"),OR(ISNUMBER(R261),ISNUMBER(S261))),N(R261)+N(S261),"To Verify")</f>
        <v>To Verify</v>
      </c>
      <c r="U261" s="6" t="s">
        <v>75</v>
      </c>
      <c r="V261" s="6" t="s">
        <v>79</v>
      </c>
      <c r="W261" s="6" t="s">
        <v>80</v>
      </c>
      <c r="X261" s="6" t="s">
        <v>221</v>
      </c>
      <c r="Y261" s="6" t="s">
        <v>74</v>
      </c>
      <c r="Z261" s="6" t="s">
        <v>2991</v>
      </c>
      <c r="AA261" s="6" t="s">
        <v>74</v>
      </c>
      <c r="AB261" s="6" t="s">
        <v>74</v>
      </c>
      <c r="AC261" s="6" t="s">
        <v>75</v>
      </c>
      <c r="AD261" s="6" t="s">
        <v>75</v>
      </c>
      <c r="AE261" s="6" t="s">
        <v>79</v>
      </c>
      <c r="AF261" s="6" t="s">
        <v>79</v>
      </c>
      <c r="AG261" s="6" t="s">
        <v>75</v>
      </c>
      <c r="AH261" s="6" t="s">
        <v>79</v>
      </c>
      <c r="AI261" s="6" t="s">
        <v>79</v>
      </c>
      <c r="AJ261" s="6" t="s">
        <v>79</v>
      </c>
      <c r="AK261" s="6" t="s">
        <v>79</v>
      </c>
      <c r="AL261" s="6" t="s">
        <v>2674</v>
      </c>
      <c r="AM261" s="6" t="s">
        <v>2985</v>
      </c>
      <c r="AN261" s="7" t="str">
        <f aca="false">BA261&amp;", "&amp;AZ261</f>
        <v>PAN – New Application, Online Form &amp; Digital Services, Devmobile Stores, पैन – नया आवेदन, ऑनलाइन फॉर्म व डिजिटल सेवाएँ, सेवा</v>
      </c>
      <c r="AO261" s="6" t="s">
        <v>2992</v>
      </c>
      <c r="AP261" s="5" t="s">
        <v>2993</v>
      </c>
      <c r="AQ261" s="5" t="n">
        <v>300</v>
      </c>
      <c r="AR261" s="6" t="s">
        <v>133</v>
      </c>
      <c r="AS261" s="6" t="s">
        <v>2994</v>
      </c>
      <c r="AT261" s="6" t="s">
        <v>86</v>
      </c>
      <c r="AU261" s="10"/>
      <c r="AV261" s="6" t="s">
        <v>75</v>
      </c>
      <c r="AW261" s="6" t="s">
        <v>2995</v>
      </c>
      <c r="AX261" s="6" t="s">
        <v>2996</v>
      </c>
      <c r="AY261" s="6" t="s">
        <v>2997</v>
      </c>
      <c r="AZ261" s="6" t="s">
        <v>2998</v>
      </c>
      <c r="BA261" s="6" t="s">
        <v>2999</v>
      </c>
      <c r="BB261" s="6"/>
      <c r="BC261" s="11" t="str">
        <f aca="false">IFERROR(INDEX(CATEGORY_MASTER!$C$4:$C$30,MATCH(B261,CATEGORY_MASTER!$A$4:$A$30,0)),"")</f>
        <v>🌐</v>
      </c>
      <c r="BD261" s="7" t="str">
        <f aca="false">"/services/"&amp;AO261</f>
        <v>/services/pan-new-application</v>
      </c>
      <c r="BE261" s="7" t="str">
        <f aca="false">IF(AND(AH261="Yes",AG261="Active",I261&lt;&gt;"Not Available"),"LIVE","HIDDEN")</f>
        <v>HIDDEN</v>
      </c>
      <c r="BF261" s="6" t="s">
        <v>139</v>
      </c>
      <c r="BG261" s="6" t="s">
        <v>93</v>
      </c>
      <c r="BH261" s="7" t="str">
        <f aca="false">B261&amp;"|"&amp;COUNTIF($B$4:B261,B261)</f>
        <v>Online Form &amp; Digital Services|30</v>
      </c>
      <c r="BI261" s="7" t="str">
        <f aca="false">IF(AND(AI261="Yes",BE261="LIVE"),COUNTIFS($AI$4:AI261,"Yes",$BE$4:BE261,"LIVE"),"")</f>
        <v/>
      </c>
      <c r="BJ261" s="7" t="str">
        <f aca="false">IF(AND(AJ261="Yes",BE261="LIVE"),COUNTIFS($AJ$4:AJ261,"Yes",$BE$4:BE261,"LIVE"),"")</f>
        <v/>
      </c>
      <c r="BK261" s="7" t="str">
        <f aca="false">IF(AND(AK261="Yes",BE261="LIVE"),COUNTIFS($AK$4:AK261,"Yes",$BE$4:BE261,"LIVE"),"")</f>
        <v/>
      </c>
      <c r="BL261" s="7" t="str">
        <f aca="false">IF(I261="To Verify",COUNTIF($I$4:I261,"To Verify"),"")</f>
        <v/>
      </c>
    </row>
    <row r="262" customFormat="false" ht="79.85" hidden="false" customHeight="false" outlineLevel="0" collapsed="false">
      <c r="A262" s="5" t="s">
        <v>3000</v>
      </c>
      <c r="B262" s="6" t="s">
        <v>2674</v>
      </c>
      <c r="C262" s="6" t="s">
        <v>2675</v>
      </c>
      <c r="D262" s="6" t="s">
        <v>2985</v>
      </c>
      <c r="E262" s="6" t="s">
        <v>3001</v>
      </c>
      <c r="F262" s="6" t="s">
        <v>3002</v>
      </c>
      <c r="G262" s="6" t="s">
        <v>3003</v>
      </c>
      <c r="H262" s="6" t="s">
        <v>3004</v>
      </c>
      <c r="I262" s="5" t="s">
        <v>167</v>
      </c>
      <c r="J262" s="7" t="str">
        <f aca="false">IFERROR(INDEX(AVAILABILITY_MASTER!$C$4:$C$10,MATCH(I262,AVAILABILITY_MASTER!$A$4:$A$10,0)),"To Be Confirmed")</f>
        <v>Available</v>
      </c>
      <c r="K262" s="6" t="s">
        <v>129</v>
      </c>
      <c r="L262" s="6" t="s">
        <v>221</v>
      </c>
      <c r="M262" s="7" t="str">
        <f aca="false">IFERROR(INDEX(SERVICE_DOCUMENTS!$S$4:$S$1000,MATCH(A262,SERVICE_DOCUMENTS!$A$4:$A$1000,0))&amp;"","")</f>
        <v>✓ Aadhaar Card
✓ Active Mobile Number</v>
      </c>
      <c r="N262" s="7" t="str">
        <f aca="false">IFERROR(INDEX(SERVICE_DOCUMENTS!$T$4:$T$1000,MATCH(A262,SERVICE_DOCUMENTS!$A$4:$A$1000,0))&amp;"","")</f>
        <v>• PAN Card (If Applicable)</v>
      </c>
      <c r="O262" s="6" t="s">
        <v>645</v>
      </c>
      <c r="P262" s="6" t="s">
        <v>3005</v>
      </c>
      <c r="Q262" s="6" t="s">
        <v>78</v>
      </c>
      <c r="R262" s="8" t="s">
        <v>75</v>
      </c>
      <c r="S262" s="8" t="s">
        <v>75</v>
      </c>
      <c r="T262" s="9" t="str">
        <f aca="false">IF(AND(OR(ISNUMBER(R262),R262="N/A"),OR(ISNUMBER(S262),S262="N/A"),OR(ISNUMBER(R262),ISNUMBER(S262))),N(R262)+N(S262),"To Verify")</f>
        <v>To Verify</v>
      </c>
      <c r="U262" s="6" t="s">
        <v>75</v>
      </c>
      <c r="V262" s="6" t="s">
        <v>79</v>
      </c>
      <c r="W262" s="6" t="s">
        <v>80</v>
      </c>
      <c r="X262" s="6" t="s">
        <v>221</v>
      </c>
      <c r="Y262" s="6" t="s">
        <v>74</v>
      </c>
      <c r="Z262" s="6" t="s">
        <v>2991</v>
      </c>
      <c r="AA262" s="6" t="s">
        <v>74</v>
      </c>
      <c r="AB262" s="6" t="s">
        <v>74</v>
      </c>
      <c r="AC262" s="6" t="s">
        <v>75</v>
      </c>
      <c r="AD262" s="6" t="s">
        <v>75</v>
      </c>
      <c r="AE262" s="6" t="s">
        <v>79</v>
      </c>
      <c r="AF262" s="6" t="s">
        <v>79</v>
      </c>
      <c r="AG262" s="6" t="s">
        <v>170</v>
      </c>
      <c r="AH262" s="6" t="s">
        <v>74</v>
      </c>
      <c r="AI262" s="6" t="s">
        <v>79</v>
      </c>
      <c r="AJ262" s="6" t="s">
        <v>79</v>
      </c>
      <c r="AK262" s="6" t="s">
        <v>79</v>
      </c>
      <c r="AL262" s="6" t="s">
        <v>2674</v>
      </c>
      <c r="AM262" s="6" t="s">
        <v>2985</v>
      </c>
      <c r="AN262" s="7" t="str">
        <f aca="false">BA262&amp;", "&amp;AZ262</f>
        <v>PAN – Correction / Update, Online Form &amp; Digital Services, Devmobile Stores, पैन – सुधार / अपडेट, ऑनलाइन फॉर्म व डिजिटल सेवाएँ, सेवा</v>
      </c>
      <c r="AO262" s="6" t="s">
        <v>3006</v>
      </c>
      <c r="AP262" s="5" t="s">
        <v>2993</v>
      </c>
      <c r="AQ262" s="5" t="n">
        <v>310</v>
      </c>
      <c r="AR262" s="6" t="s">
        <v>133</v>
      </c>
      <c r="AS262" s="6" t="s">
        <v>2994</v>
      </c>
      <c r="AT262" s="6" t="s">
        <v>86</v>
      </c>
      <c r="AU262" s="10"/>
      <c r="AV262" s="6" t="s">
        <v>75</v>
      </c>
      <c r="AW262" s="6" t="s">
        <v>253</v>
      </c>
      <c r="AX262" s="6" t="s">
        <v>3007</v>
      </c>
      <c r="AY262" s="6" t="s">
        <v>3008</v>
      </c>
      <c r="AZ262" s="6" t="s">
        <v>3009</v>
      </c>
      <c r="BA262" s="6" t="s">
        <v>3010</v>
      </c>
      <c r="BB262" s="6"/>
      <c r="BC262" s="11" t="str">
        <f aca="false">IFERROR(INDEX(CATEGORY_MASTER!$C$4:$C$30,MATCH(B262,CATEGORY_MASTER!$A$4:$A$30,0)),"")</f>
        <v>🌐</v>
      </c>
      <c r="BD262" s="7" t="str">
        <f aca="false">"/services/"&amp;AO262</f>
        <v>/services/pan-correction-update</v>
      </c>
      <c r="BE262" s="7" t="str">
        <f aca="false">IF(AND(AH262="Yes",AG262="Active",I262&lt;&gt;"Not Available"),"LIVE","HIDDEN")</f>
        <v>LIVE</v>
      </c>
      <c r="BF262" s="6" t="s">
        <v>139</v>
      </c>
      <c r="BG262" s="6" t="s">
        <v>93</v>
      </c>
      <c r="BH262" s="7" t="str">
        <f aca="false">B262&amp;"|"&amp;COUNTIF($B$4:B262,B262)</f>
        <v>Online Form &amp; Digital Services|31</v>
      </c>
      <c r="BI262" s="7" t="str">
        <f aca="false">IF(AND(AI262="Yes",BE262="LIVE"),COUNTIFS($AI$4:AI262,"Yes",$BE$4:BE262,"LIVE"),"")</f>
        <v/>
      </c>
      <c r="BJ262" s="7" t="str">
        <f aca="false">IF(AND(AJ262="Yes",BE262="LIVE"),COUNTIFS($AJ$4:AJ262,"Yes",$BE$4:BE262,"LIVE"),"")</f>
        <v/>
      </c>
      <c r="BK262" s="7" t="str">
        <f aca="false">IF(AND(AK262="Yes",BE262="LIVE"),COUNTIFS($AK$4:AK262,"Yes",$BE$4:BE262,"LIVE"),"")</f>
        <v/>
      </c>
      <c r="BL262" s="7" t="str">
        <f aca="false">IF(I262="To Verify",COUNTIF($I$4:I262,"To Verify"),"")</f>
        <v/>
      </c>
    </row>
    <row r="263" customFormat="false" ht="79.85" hidden="false" customHeight="false" outlineLevel="0" collapsed="false">
      <c r="A263" s="5" t="s">
        <v>3011</v>
      </c>
      <c r="B263" s="6" t="s">
        <v>2674</v>
      </c>
      <c r="C263" s="6" t="s">
        <v>2675</v>
      </c>
      <c r="D263" s="6" t="s">
        <v>2985</v>
      </c>
      <c r="E263" s="6" t="s">
        <v>3012</v>
      </c>
      <c r="F263" s="6" t="s">
        <v>3013</v>
      </c>
      <c r="G263" s="6" t="s">
        <v>3014</v>
      </c>
      <c r="H263" s="6" t="s">
        <v>3015</v>
      </c>
      <c r="I263" s="5" t="s">
        <v>221</v>
      </c>
      <c r="J263" s="7" t="str">
        <f aca="false">IFERROR(INDEX(AVAILABILITY_MASTER!$C$4:$C$10,MATCH(I263,AVAILABILITY_MASTER!$A$4:$A$10,0)),"To Be Confirmed")</f>
        <v>Depends on Portal – Confirm at Shop</v>
      </c>
      <c r="K263" s="6" t="s">
        <v>129</v>
      </c>
      <c r="L263" s="6" t="s">
        <v>221</v>
      </c>
      <c r="M263" s="7" t="str">
        <f aca="false">IFERROR(INDEX(SERVICE_DOCUMENTS!$S$4:$S$1000,MATCH(A263,SERVICE_DOCUMENTS!$A$4:$A$1000,0))&amp;"","")</f>
        <v>✓ Aadhaar Card
✓ Active Mobile Number</v>
      </c>
      <c r="N263" s="7" t="str">
        <f aca="false">IFERROR(INDEX(SERVICE_DOCUMENTS!$T$4:$T$1000,MATCH(A263,SERVICE_DOCUMENTS!$A$4:$A$1000,0))&amp;"","")</f>
        <v>• PAN Card (If Applicable)</v>
      </c>
      <c r="O263" s="6" t="s">
        <v>645</v>
      </c>
      <c r="P263" s="6" t="s">
        <v>3016</v>
      </c>
      <c r="Q263" s="6" t="s">
        <v>78</v>
      </c>
      <c r="R263" s="8" t="s">
        <v>75</v>
      </c>
      <c r="S263" s="8" t="s">
        <v>75</v>
      </c>
      <c r="T263" s="9" t="str">
        <f aca="false">IF(AND(OR(ISNUMBER(R263),R263="N/A"),OR(ISNUMBER(S263),S263="N/A"),OR(ISNUMBER(R263),ISNUMBER(S263))),N(R263)+N(S263),"To Verify")</f>
        <v>To Verify</v>
      </c>
      <c r="U263" s="6" t="s">
        <v>75</v>
      </c>
      <c r="V263" s="6" t="s">
        <v>79</v>
      </c>
      <c r="W263" s="6" t="s">
        <v>80</v>
      </c>
      <c r="X263" s="6" t="s">
        <v>221</v>
      </c>
      <c r="Y263" s="6" t="s">
        <v>74</v>
      </c>
      <c r="Z263" s="6" t="s">
        <v>2991</v>
      </c>
      <c r="AA263" s="6" t="s">
        <v>74</v>
      </c>
      <c r="AB263" s="6" t="s">
        <v>74</v>
      </c>
      <c r="AC263" s="6" t="s">
        <v>75</v>
      </c>
      <c r="AD263" s="6" t="s">
        <v>75</v>
      </c>
      <c r="AE263" s="6" t="s">
        <v>79</v>
      </c>
      <c r="AF263" s="6" t="s">
        <v>79</v>
      </c>
      <c r="AG263" s="6" t="s">
        <v>75</v>
      </c>
      <c r="AH263" s="6" t="s">
        <v>79</v>
      </c>
      <c r="AI263" s="6" t="s">
        <v>79</v>
      </c>
      <c r="AJ263" s="6" t="s">
        <v>79</v>
      </c>
      <c r="AK263" s="6" t="s">
        <v>79</v>
      </c>
      <c r="AL263" s="6" t="s">
        <v>2674</v>
      </c>
      <c r="AM263" s="6" t="s">
        <v>2985</v>
      </c>
      <c r="AN263" s="7" t="str">
        <f aca="false">BA263&amp;", "&amp;AZ263</f>
        <v>PAN – Reprint / e-PAN Download, Online Form &amp; Digital Services, Devmobile Stores, पैन – रीप्रिंट / e-PAN डाउनलोड, ऑनलाइन फॉर्म व डिजिटल सेवाएँ, सेवा</v>
      </c>
      <c r="AO263" s="6" t="s">
        <v>3017</v>
      </c>
      <c r="AP263" s="5" t="s">
        <v>2993</v>
      </c>
      <c r="AQ263" s="5" t="n">
        <v>320</v>
      </c>
      <c r="AR263" s="6" t="s">
        <v>133</v>
      </c>
      <c r="AS263" s="6" t="s">
        <v>2994</v>
      </c>
      <c r="AT263" s="6" t="s">
        <v>86</v>
      </c>
      <c r="AU263" s="10"/>
      <c r="AV263" s="6" t="s">
        <v>75</v>
      </c>
      <c r="AW263" s="6"/>
      <c r="AX263" s="6" t="s">
        <v>3018</v>
      </c>
      <c r="AY263" s="6" t="s">
        <v>3019</v>
      </c>
      <c r="AZ263" s="6" t="s">
        <v>3020</v>
      </c>
      <c r="BA263" s="6" t="s">
        <v>3021</v>
      </c>
      <c r="BB263" s="6"/>
      <c r="BC263" s="11" t="str">
        <f aca="false">IFERROR(INDEX(CATEGORY_MASTER!$C$4:$C$30,MATCH(B263,CATEGORY_MASTER!$A$4:$A$30,0)),"")</f>
        <v>🌐</v>
      </c>
      <c r="BD263" s="7" t="str">
        <f aca="false">"/services/"&amp;AO263</f>
        <v>/services/pan-reprint-e-pan-download</v>
      </c>
      <c r="BE263" s="7" t="str">
        <f aca="false">IF(AND(AH263="Yes",AG263="Active",I263&lt;&gt;"Not Available"),"LIVE","HIDDEN")</f>
        <v>HIDDEN</v>
      </c>
      <c r="BF263" s="6" t="s">
        <v>139</v>
      </c>
      <c r="BG263" s="6" t="s">
        <v>93</v>
      </c>
      <c r="BH263" s="7" t="str">
        <f aca="false">B263&amp;"|"&amp;COUNTIF($B$4:B263,B263)</f>
        <v>Online Form &amp; Digital Services|32</v>
      </c>
      <c r="BI263" s="7" t="str">
        <f aca="false">IF(AND(AI263="Yes",BE263="LIVE"),COUNTIFS($AI$4:AI263,"Yes",$BE$4:BE263,"LIVE"),"")</f>
        <v/>
      </c>
      <c r="BJ263" s="7" t="str">
        <f aca="false">IF(AND(AJ263="Yes",BE263="LIVE"),COUNTIFS($AJ$4:AJ263,"Yes",$BE$4:BE263,"LIVE"),"")</f>
        <v/>
      </c>
      <c r="BK263" s="7" t="str">
        <f aca="false">IF(AND(AK263="Yes",BE263="LIVE"),COUNTIFS($AK$4:AK263,"Yes",$BE$4:BE263,"LIVE"),"")</f>
        <v/>
      </c>
      <c r="BL263" s="7" t="str">
        <f aca="false">IF(I263="To Verify",COUNTIF($I$4:I263,"To Verify"),"")</f>
        <v/>
      </c>
    </row>
    <row r="264" customFormat="false" ht="79.85" hidden="false" customHeight="false" outlineLevel="0" collapsed="false">
      <c r="A264" s="5" t="s">
        <v>3022</v>
      </c>
      <c r="B264" s="6" t="s">
        <v>2674</v>
      </c>
      <c r="C264" s="6" t="s">
        <v>2675</v>
      </c>
      <c r="D264" s="6" t="s">
        <v>2985</v>
      </c>
      <c r="E264" s="6" t="s">
        <v>3023</v>
      </c>
      <c r="F264" s="6" t="s">
        <v>3024</v>
      </c>
      <c r="G264" s="6" t="s">
        <v>3025</v>
      </c>
      <c r="H264" s="6" t="s">
        <v>3026</v>
      </c>
      <c r="I264" s="5" t="s">
        <v>221</v>
      </c>
      <c r="J264" s="7" t="str">
        <f aca="false">IFERROR(INDEX(AVAILABILITY_MASTER!$C$4:$C$10,MATCH(I264,AVAILABILITY_MASTER!$A$4:$A$10,0)),"To Be Confirmed")</f>
        <v>Depends on Portal – Confirm at Shop</v>
      </c>
      <c r="K264" s="6" t="s">
        <v>129</v>
      </c>
      <c r="L264" s="6" t="s">
        <v>221</v>
      </c>
      <c r="M264" s="7" t="str">
        <f aca="false">IFERROR(INDEX(SERVICE_DOCUMENTS!$S$4:$S$1000,MATCH(A264,SERVICE_DOCUMENTS!$A$4:$A$1000,0))&amp;"","")</f>
        <v>✓ Aadhaar Card
✓ Active Mobile Number</v>
      </c>
      <c r="N264" s="7" t="str">
        <f aca="false">IFERROR(INDEX(SERVICE_DOCUMENTS!$T$4:$T$1000,MATCH(A264,SERVICE_DOCUMENTS!$A$4:$A$1000,0))&amp;"","")</f>
        <v/>
      </c>
      <c r="O264" s="6" t="s">
        <v>645</v>
      </c>
      <c r="P264" s="6" t="s">
        <v>3027</v>
      </c>
      <c r="Q264" s="6" t="s">
        <v>78</v>
      </c>
      <c r="R264" s="8" t="s">
        <v>75</v>
      </c>
      <c r="S264" s="8" t="s">
        <v>75</v>
      </c>
      <c r="T264" s="9" t="str">
        <f aca="false">IF(AND(OR(ISNUMBER(R264),R264="N/A"),OR(ISNUMBER(S264),S264="N/A"),OR(ISNUMBER(R264),ISNUMBER(S264))),N(R264)+N(S264),"To Verify")</f>
        <v>To Verify</v>
      </c>
      <c r="U264" s="6" t="s">
        <v>75</v>
      </c>
      <c r="V264" s="6" t="s">
        <v>79</v>
      </c>
      <c r="W264" s="6" t="s">
        <v>80</v>
      </c>
      <c r="X264" s="6" t="s">
        <v>221</v>
      </c>
      <c r="Y264" s="6" t="s">
        <v>74</v>
      </c>
      <c r="Z264" s="6" t="s">
        <v>2991</v>
      </c>
      <c r="AA264" s="6" t="s">
        <v>74</v>
      </c>
      <c r="AB264" s="6" t="s">
        <v>74</v>
      </c>
      <c r="AC264" s="6" t="s">
        <v>75</v>
      </c>
      <c r="AD264" s="6" t="s">
        <v>75</v>
      </c>
      <c r="AE264" s="6" t="s">
        <v>79</v>
      </c>
      <c r="AF264" s="6" t="s">
        <v>79</v>
      </c>
      <c r="AG264" s="6" t="s">
        <v>75</v>
      </c>
      <c r="AH264" s="6" t="s">
        <v>79</v>
      </c>
      <c r="AI264" s="6" t="s">
        <v>79</v>
      </c>
      <c r="AJ264" s="6" t="s">
        <v>79</v>
      </c>
      <c r="AK264" s="6" t="s">
        <v>79</v>
      </c>
      <c r="AL264" s="6" t="s">
        <v>2674</v>
      </c>
      <c r="AM264" s="6" t="s">
        <v>2985</v>
      </c>
      <c r="AN264" s="7" t="str">
        <f aca="false">BA264&amp;", "&amp;AZ264</f>
        <v>PAN – Status Check, Online Form &amp; Digital Services, Devmobile Stores, पैन – स्थिति जाँच, ऑनलाइन फॉर्म व डिजिटल सेवाएँ, सेवा</v>
      </c>
      <c r="AO264" s="6" t="s">
        <v>3028</v>
      </c>
      <c r="AP264" s="5" t="s">
        <v>2993</v>
      </c>
      <c r="AQ264" s="5" t="n">
        <v>330</v>
      </c>
      <c r="AR264" s="6" t="s">
        <v>133</v>
      </c>
      <c r="AS264" s="6" t="s">
        <v>2994</v>
      </c>
      <c r="AT264" s="6" t="s">
        <v>86</v>
      </c>
      <c r="AU264" s="10"/>
      <c r="AV264" s="6" t="s">
        <v>75</v>
      </c>
      <c r="AW264" s="6"/>
      <c r="AX264" s="6" t="s">
        <v>3029</v>
      </c>
      <c r="AY264" s="6" t="s">
        <v>3030</v>
      </c>
      <c r="AZ264" s="6" t="s">
        <v>3031</v>
      </c>
      <c r="BA264" s="6" t="s">
        <v>3032</v>
      </c>
      <c r="BB264" s="6"/>
      <c r="BC264" s="11" t="str">
        <f aca="false">IFERROR(INDEX(CATEGORY_MASTER!$C$4:$C$30,MATCH(B264,CATEGORY_MASTER!$A$4:$A$30,0)),"")</f>
        <v>🌐</v>
      </c>
      <c r="BD264" s="7" t="str">
        <f aca="false">"/services/"&amp;AO264</f>
        <v>/services/pan-status-check</v>
      </c>
      <c r="BE264" s="7" t="str">
        <f aca="false">IF(AND(AH264="Yes",AG264="Active",I264&lt;&gt;"Not Available"),"LIVE","HIDDEN")</f>
        <v>HIDDEN</v>
      </c>
      <c r="BF264" s="6" t="s">
        <v>139</v>
      </c>
      <c r="BG264" s="6" t="s">
        <v>93</v>
      </c>
      <c r="BH264" s="7" t="str">
        <f aca="false">B264&amp;"|"&amp;COUNTIF($B$4:B264,B264)</f>
        <v>Online Form &amp; Digital Services|33</v>
      </c>
      <c r="BI264" s="7" t="str">
        <f aca="false">IF(AND(AI264="Yes",BE264="LIVE"),COUNTIFS($AI$4:AI264,"Yes",$BE$4:BE264,"LIVE"),"")</f>
        <v/>
      </c>
      <c r="BJ264" s="7" t="str">
        <f aca="false">IF(AND(AJ264="Yes",BE264="LIVE"),COUNTIFS($AJ$4:AJ264,"Yes",$BE$4:BE264,"LIVE"),"")</f>
        <v/>
      </c>
      <c r="BK264" s="7" t="str">
        <f aca="false">IF(AND(AK264="Yes",BE264="LIVE"),COUNTIFS($AK$4:AK264,"Yes",$BE$4:BE264,"LIVE"),"")</f>
        <v/>
      </c>
      <c r="BL264" s="7" t="str">
        <f aca="false">IF(I264="To Verify",COUNTIF($I$4:I264,"To Verify"),"")</f>
        <v/>
      </c>
    </row>
    <row r="265" customFormat="false" ht="79.85" hidden="false" customHeight="false" outlineLevel="0" collapsed="false">
      <c r="A265" s="5" t="s">
        <v>3033</v>
      </c>
      <c r="B265" s="6" t="s">
        <v>2674</v>
      </c>
      <c r="C265" s="6" t="s">
        <v>2675</v>
      </c>
      <c r="D265" s="6" t="s">
        <v>2985</v>
      </c>
      <c r="E265" s="6" t="s">
        <v>3034</v>
      </c>
      <c r="F265" s="6" t="s">
        <v>3035</v>
      </c>
      <c r="G265" s="6" t="s">
        <v>3036</v>
      </c>
      <c r="H265" s="6" t="s">
        <v>3037</v>
      </c>
      <c r="I265" s="5" t="s">
        <v>221</v>
      </c>
      <c r="J265" s="7" t="str">
        <f aca="false">IFERROR(INDEX(AVAILABILITY_MASTER!$C$4:$C$10,MATCH(I265,AVAILABILITY_MASTER!$A$4:$A$10,0)),"To Be Confirmed")</f>
        <v>Depends on Portal – Confirm at Shop</v>
      </c>
      <c r="K265" s="6" t="s">
        <v>129</v>
      </c>
      <c r="L265" s="6" t="s">
        <v>221</v>
      </c>
      <c r="M265" s="7" t="str">
        <f aca="false">IFERROR(INDEX(SERVICE_DOCUMENTS!$S$4:$S$1000,MATCH(A265,SERVICE_DOCUMENTS!$A$4:$A$1000,0))&amp;"","")</f>
        <v>✓ Aadhaar Card
✓ Active Mobile Number</v>
      </c>
      <c r="N265" s="7" t="str">
        <f aca="false">IFERROR(INDEX(SERVICE_DOCUMENTS!$T$4:$T$1000,MATCH(A265,SERVICE_DOCUMENTS!$A$4:$A$1000,0))&amp;"","")</f>
        <v/>
      </c>
      <c r="O265" s="6" t="s">
        <v>645</v>
      </c>
      <c r="P265" s="6" t="s">
        <v>3038</v>
      </c>
      <c r="Q265" s="6" t="s">
        <v>78</v>
      </c>
      <c r="R265" s="8" t="s">
        <v>75</v>
      </c>
      <c r="S265" s="8" t="s">
        <v>75</v>
      </c>
      <c r="T265" s="9" t="str">
        <f aca="false">IF(AND(OR(ISNUMBER(R265),R265="N/A"),OR(ISNUMBER(S265),S265="N/A"),OR(ISNUMBER(R265),ISNUMBER(S265))),N(R265)+N(S265),"To Verify")</f>
        <v>To Verify</v>
      </c>
      <c r="U265" s="6" t="s">
        <v>75</v>
      </c>
      <c r="V265" s="6" t="s">
        <v>79</v>
      </c>
      <c r="W265" s="6" t="s">
        <v>80</v>
      </c>
      <c r="X265" s="6" t="s">
        <v>221</v>
      </c>
      <c r="Y265" s="6" t="s">
        <v>74</v>
      </c>
      <c r="Z265" s="6" t="s">
        <v>2991</v>
      </c>
      <c r="AA265" s="6" t="s">
        <v>74</v>
      </c>
      <c r="AB265" s="6" t="s">
        <v>74</v>
      </c>
      <c r="AC265" s="6" t="s">
        <v>75</v>
      </c>
      <c r="AD265" s="6" t="s">
        <v>75</v>
      </c>
      <c r="AE265" s="6" t="s">
        <v>79</v>
      </c>
      <c r="AF265" s="6" t="s">
        <v>79</v>
      </c>
      <c r="AG265" s="6" t="s">
        <v>75</v>
      </c>
      <c r="AH265" s="6" t="s">
        <v>79</v>
      </c>
      <c r="AI265" s="6" t="s">
        <v>79</v>
      </c>
      <c r="AJ265" s="6" t="s">
        <v>79</v>
      </c>
      <c r="AK265" s="6" t="s">
        <v>79</v>
      </c>
      <c r="AL265" s="6" t="s">
        <v>2674</v>
      </c>
      <c r="AM265" s="6" t="s">
        <v>2985</v>
      </c>
      <c r="AN265" s="7" t="str">
        <f aca="false">BA265&amp;", "&amp;AZ265</f>
        <v>PAN–Aadhaar Link Assistance, Online Form &amp; Digital Services, Devmobile Stores, पैन–आधार लिंक सहायता, ऑनलाइन फॉर्म व डिजिटल सेवाएँ, सेवा</v>
      </c>
      <c r="AO265" s="6" t="s">
        <v>3039</v>
      </c>
      <c r="AP265" s="5" t="s">
        <v>2993</v>
      </c>
      <c r="AQ265" s="5" t="n">
        <v>340</v>
      </c>
      <c r="AR265" s="6" t="s">
        <v>133</v>
      </c>
      <c r="AS265" s="6" t="s">
        <v>2994</v>
      </c>
      <c r="AT265" s="6" t="s">
        <v>86</v>
      </c>
      <c r="AU265" s="10"/>
      <c r="AV265" s="6" t="s">
        <v>75</v>
      </c>
      <c r="AW265" s="6"/>
      <c r="AX265" s="6" t="s">
        <v>3040</v>
      </c>
      <c r="AY265" s="6" t="s">
        <v>3041</v>
      </c>
      <c r="AZ265" s="6" t="s">
        <v>3042</v>
      </c>
      <c r="BA265" s="6" t="s">
        <v>3043</v>
      </c>
      <c r="BB265" s="6"/>
      <c r="BC265" s="11" t="str">
        <f aca="false">IFERROR(INDEX(CATEGORY_MASTER!$C$4:$C$30,MATCH(B265,CATEGORY_MASTER!$A$4:$A$30,0)),"")</f>
        <v>🌐</v>
      </c>
      <c r="BD265" s="7" t="str">
        <f aca="false">"/services/"&amp;AO265</f>
        <v>/services/pan-aadhaar-link-assistance</v>
      </c>
      <c r="BE265" s="7" t="str">
        <f aca="false">IF(AND(AH265="Yes",AG265="Active",I265&lt;&gt;"Not Available"),"LIVE","HIDDEN")</f>
        <v>HIDDEN</v>
      </c>
      <c r="BF265" s="6" t="s">
        <v>139</v>
      </c>
      <c r="BG265" s="6" t="s">
        <v>93</v>
      </c>
      <c r="BH265" s="7" t="str">
        <f aca="false">B265&amp;"|"&amp;COUNTIF($B$4:B265,B265)</f>
        <v>Online Form &amp; Digital Services|34</v>
      </c>
      <c r="BI265" s="7" t="str">
        <f aca="false">IF(AND(AI265="Yes",BE265="LIVE"),COUNTIFS($AI$4:AI265,"Yes",$BE$4:BE265,"LIVE"),"")</f>
        <v/>
      </c>
      <c r="BJ265" s="7" t="str">
        <f aca="false">IF(AND(AJ265="Yes",BE265="LIVE"),COUNTIFS($AJ$4:AJ265,"Yes",$BE$4:BE265,"LIVE"),"")</f>
        <v/>
      </c>
      <c r="BK265" s="7" t="str">
        <f aca="false">IF(AND(AK265="Yes",BE265="LIVE"),COUNTIFS($AK$4:AK265,"Yes",$BE$4:BE265,"LIVE"),"")</f>
        <v/>
      </c>
      <c r="BL265" s="7" t="str">
        <f aca="false">IF(I265="To Verify",COUNTIF($I$4:I265,"To Verify"),"")</f>
        <v/>
      </c>
    </row>
    <row r="266" customFormat="false" ht="79.85" hidden="false" customHeight="false" outlineLevel="0" collapsed="false">
      <c r="A266" s="5" t="s">
        <v>3044</v>
      </c>
      <c r="B266" s="6" t="s">
        <v>2674</v>
      </c>
      <c r="C266" s="6" t="s">
        <v>2675</v>
      </c>
      <c r="D266" s="6" t="s">
        <v>2985</v>
      </c>
      <c r="E266" s="6" t="s">
        <v>3045</v>
      </c>
      <c r="F266" s="6" t="s">
        <v>3046</v>
      </c>
      <c r="G266" s="6" t="s">
        <v>3047</v>
      </c>
      <c r="H266" s="6" t="s">
        <v>3048</v>
      </c>
      <c r="I266" s="5" t="s">
        <v>221</v>
      </c>
      <c r="J266" s="7" t="str">
        <f aca="false">IFERROR(INDEX(AVAILABILITY_MASTER!$C$4:$C$10,MATCH(I266,AVAILABILITY_MASTER!$A$4:$A$10,0)),"To Be Confirmed")</f>
        <v>Depends on Portal – Confirm at Shop</v>
      </c>
      <c r="K266" s="6" t="s">
        <v>129</v>
      </c>
      <c r="L266" s="6" t="s">
        <v>221</v>
      </c>
      <c r="M266" s="7" t="str">
        <f aca="false">IFERROR(INDEX(SERVICE_DOCUMENTS!$S$4:$S$1000,MATCH(A266,SERVICE_DOCUMENTS!$A$4:$A$1000,0))&amp;"","")</f>
        <v>✓ Aadhaar Card
✓ Active Mobile Number
✓ Passport Photo
✓ Address Proof
✓ Date of Birth Proof</v>
      </c>
      <c r="N266" s="7" t="str">
        <f aca="false">IFERROR(INDEX(SERVICE_DOCUMENTS!$T$4:$T$1000,MATCH(A266,SERVICE_DOCUMENTS!$A$4:$A$1000,0))&amp;"","")</f>
        <v/>
      </c>
      <c r="O266" s="6" t="s">
        <v>645</v>
      </c>
      <c r="P266" s="6" t="s">
        <v>3049</v>
      </c>
      <c r="Q266" s="6" t="s">
        <v>78</v>
      </c>
      <c r="R266" s="8" t="s">
        <v>75</v>
      </c>
      <c r="S266" s="8" t="s">
        <v>75</v>
      </c>
      <c r="T266" s="9" t="str">
        <f aca="false">IF(AND(OR(ISNUMBER(R266),R266="N/A"),OR(ISNUMBER(S266),S266="N/A"),OR(ISNUMBER(R266),ISNUMBER(S266))),N(R266)+N(S266),"To Verify")</f>
        <v>To Verify</v>
      </c>
      <c r="U266" s="6" t="s">
        <v>75</v>
      </c>
      <c r="V266" s="6" t="s">
        <v>79</v>
      </c>
      <c r="W266" s="6" t="s">
        <v>80</v>
      </c>
      <c r="X266" s="6" t="s">
        <v>221</v>
      </c>
      <c r="Y266" s="6" t="s">
        <v>74</v>
      </c>
      <c r="Z266" s="6" t="s">
        <v>3050</v>
      </c>
      <c r="AA266" s="6" t="s">
        <v>74</v>
      </c>
      <c r="AB266" s="6" t="s">
        <v>74</v>
      </c>
      <c r="AC266" s="6" t="s">
        <v>75</v>
      </c>
      <c r="AD266" s="6" t="s">
        <v>75</v>
      </c>
      <c r="AE266" s="6" t="s">
        <v>79</v>
      </c>
      <c r="AF266" s="6" t="s">
        <v>79</v>
      </c>
      <c r="AG266" s="6" t="s">
        <v>75</v>
      </c>
      <c r="AH266" s="6" t="s">
        <v>79</v>
      </c>
      <c r="AI266" s="6" t="s">
        <v>79</v>
      </c>
      <c r="AJ266" s="6" t="s">
        <v>79</v>
      </c>
      <c r="AK266" s="6" t="s">
        <v>79</v>
      </c>
      <c r="AL266" s="6" t="s">
        <v>2674</v>
      </c>
      <c r="AM266" s="6" t="s">
        <v>2985</v>
      </c>
      <c r="AN266" s="7" t="str">
        <f aca="false">BA266&amp;", "&amp;AZ266</f>
        <v>Voter ID – New Registration (Form 6), Online Form &amp; Digital Services, Devmobile Stores, वोटर आईडी – नया पंजीकरण (फॉर्म 6), ऑनलाइन फॉर्म व डिजिटल सेवाएँ, सेवा</v>
      </c>
      <c r="AO266" s="6" t="s">
        <v>3051</v>
      </c>
      <c r="AP266" s="5" t="s">
        <v>2993</v>
      </c>
      <c r="AQ266" s="5" t="n">
        <v>350</v>
      </c>
      <c r="AR266" s="6" t="s">
        <v>133</v>
      </c>
      <c r="AS266" s="6" t="s">
        <v>2994</v>
      </c>
      <c r="AT266" s="6" t="s">
        <v>86</v>
      </c>
      <c r="AU266" s="10"/>
      <c r="AV266" s="6" t="s">
        <v>75</v>
      </c>
      <c r="AW266" s="6"/>
      <c r="AX266" s="6" t="s">
        <v>3052</v>
      </c>
      <c r="AY266" s="6" t="s">
        <v>3053</v>
      </c>
      <c r="AZ266" s="6" t="s">
        <v>3054</v>
      </c>
      <c r="BA266" s="6" t="s">
        <v>3055</v>
      </c>
      <c r="BB266" s="6"/>
      <c r="BC266" s="11" t="str">
        <f aca="false">IFERROR(INDEX(CATEGORY_MASTER!$C$4:$C$30,MATCH(B266,CATEGORY_MASTER!$A$4:$A$30,0)),"")</f>
        <v>🌐</v>
      </c>
      <c r="BD266" s="7" t="str">
        <f aca="false">"/services/"&amp;AO266</f>
        <v>/services/voter-id-new-registration-form-6</v>
      </c>
      <c r="BE266" s="7" t="str">
        <f aca="false">IF(AND(AH266="Yes",AG266="Active",I266&lt;&gt;"Not Available"),"LIVE","HIDDEN")</f>
        <v>HIDDEN</v>
      </c>
      <c r="BF266" s="6" t="s">
        <v>139</v>
      </c>
      <c r="BG266" s="6" t="s">
        <v>93</v>
      </c>
      <c r="BH266" s="7" t="str">
        <f aca="false">B266&amp;"|"&amp;COUNTIF($B$4:B266,B266)</f>
        <v>Online Form &amp; Digital Services|35</v>
      </c>
      <c r="BI266" s="7" t="str">
        <f aca="false">IF(AND(AI266="Yes",BE266="LIVE"),COUNTIFS($AI$4:AI266,"Yes",$BE$4:BE266,"LIVE"),"")</f>
        <v/>
      </c>
      <c r="BJ266" s="7" t="str">
        <f aca="false">IF(AND(AJ266="Yes",BE266="LIVE"),COUNTIFS($AJ$4:AJ266,"Yes",$BE$4:BE266,"LIVE"),"")</f>
        <v/>
      </c>
      <c r="BK266" s="7" t="str">
        <f aca="false">IF(AND(AK266="Yes",BE266="LIVE"),COUNTIFS($AK$4:AK266,"Yes",$BE$4:BE266,"LIVE"),"")</f>
        <v/>
      </c>
      <c r="BL266" s="7" t="str">
        <f aca="false">IF(I266="To Verify",COUNTIF($I$4:I266,"To Verify"),"")</f>
        <v/>
      </c>
    </row>
    <row r="267" customFormat="false" ht="79.85" hidden="false" customHeight="false" outlineLevel="0" collapsed="false">
      <c r="A267" s="5" t="s">
        <v>3056</v>
      </c>
      <c r="B267" s="6" t="s">
        <v>2674</v>
      </c>
      <c r="C267" s="6" t="s">
        <v>2675</v>
      </c>
      <c r="D267" s="6" t="s">
        <v>2985</v>
      </c>
      <c r="E267" s="6" t="s">
        <v>3057</v>
      </c>
      <c r="F267" s="6" t="s">
        <v>3058</v>
      </c>
      <c r="G267" s="6" t="s">
        <v>3059</v>
      </c>
      <c r="H267" s="6" t="s">
        <v>3060</v>
      </c>
      <c r="I267" s="5" t="s">
        <v>221</v>
      </c>
      <c r="J267" s="7" t="str">
        <f aca="false">IFERROR(INDEX(AVAILABILITY_MASTER!$C$4:$C$10,MATCH(I267,AVAILABILITY_MASTER!$A$4:$A$10,0)),"To Be Confirmed")</f>
        <v>Depends on Portal – Confirm at Shop</v>
      </c>
      <c r="K267" s="6" t="s">
        <v>129</v>
      </c>
      <c r="L267" s="6" t="s">
        <v>221</v>
      </c>
      <c r="M267" s="7" t="str">
        <f aca="false">IFERROR(INDEX(SERVICE_DOCUMENTS!$S$4:$S$1000,MATCH(A267,SERVICE_DOCUMENTS!$A$4:$A$1000,0))&amp;"","")</f>
        <v>✓ Aadhaar Card
✓ Active Mobile Number
✓ Passport Photo
✓ Address Proof
✓ Date of Birth Proof</v>
      </c>
      <c r="N267" s="7" t="str">
        <f aca="false">IFERROR(INDEX(SERVICE_DOCUMENTS!$T$4:$T$1000,MATCH(A267,SERVICE_DOCUMENTS!$A$4:$A$1000,0))&amp;"","")</f>
        <v>• PAN Card (If Applicable)</v>
      </c>
      <c r="O267" s="6" t="s">
        <v>645</v>
      </c>
      <c r="P267" s="6" t="s">
        <v>3061</v>
      </c>
      <c r="Q267" s="6" t="s">
        <v>78</v>
      </c>
      <c r="R267" s="8" t="s">
        <v>75</v>
      </c>
      <c r="S267" s="8" t="s">
        <v>75</v>
      </c>
      <c r="T267" s="9" t="str">
        <f aca="false">IF(AND(OR(ISNUMBER(R267),R267="N/A"),OR(ISNUMBER(S267),S267="N/A"),OR(ISNUMBER(R267),ISNUMBER(S267))),N(R267)+N(S267),"To Verify")</f>
        <v>To Verify</v>
      </c>
      <c r="U267" s="6" t="s">
        <v>75</v>
      </c>
      <c r="V267" s="6" t="s">
        <v>79</v>
      </c>
      <c r="W267" s="6" t="s">
        <v>80</v>
      </c>
      <c r="X267" s="6" t="s">
        <v>221</v>
      </c>
      <c r="Y267" s="6" t="s">
        <v>74</v>
      </c>
      <c r="Z267" s="6" t="s">
        <v>3050</v>
      </c>
      <c r="AA267" s="6" t="s">
        <v>74</v>
      </c>
      <c r="AB267" s="6" t="s">
        <v>74</v>
      </c>
      <c r="AC267" s="6" t="s">
        <v>75</v>
      </c>
      <c r="AD267" s="6" t="s">
        <v>75</v>
      </c>
      <c r="AE267" s="6" t="s">
        <v>79</v>
      </c>
      <c r="AF267" s="6" t="s">
        <v>79</v>
      </c>
      <c r="AG267" s="6" t="s">
        <v>75</v>
      </c>
      <c r="AH267" s="6" t="s">
        <v>79</v>
      </c>
      <c r="AI267" s="6" t="s">
        <v>79</v>
      </c>
      <c r="AJ267" s="6" t="s">
        <v>79</v>
      </c>
      <c r="AK267" s="6" t="s">
        <v>79</v>
      </c>
      <c r="AL267" s="6" t="s">
        <v>2674</v>
      </c>
      <c r="AM267" s="6" t="s">
        <v>2985</v>
      </c>
      <c r="AN267" s="7" t="str">
        <f aca="false">BA267&amp;", "&amp;AZ267</f>
        <v>Voter ID – Correction (Form 8), Online Form &amp; Digital Services, Devmobile Stores, वोटर आईडी – सुधार (फॉर्म 8), ऑनलाइन फॉर्म व डिजिटल सेवाएँ, सेवा</v>
      </c>
      <c r="AO267" s="6" t="s">
        <v>3062</v>
      </c>
      <c r="AP267" s="5" t="s">
        <v>2993</v>
      </c>
      <c r="AQ267" s="5" t="n">
        <v>360</v>
      </c>
      <c r="AR267" s="6" t="s">
        <v>133</v>
      </c>
      <c r="AS267" s="6" t="s">
        <v>2994</v>
      </c>
      <c r="AT267" s="6" t="s">
        <v>86</v>
      </c>
      <c r="AU267" s="10"/>
      <c r="AV267" s="6" t="s">
        <v>75</v>
      </c>
      <c r="AW267" s="6"/>
      <c r="AX267" s="6" t="s">
        <v>3063</v>
      </c>
      <c r="AY267" s="6" t="s">
        <v>3064</v>
      </c>
      <c r="AZ267" s="6" t="s">
        <v>3065</v>
      </c>
      <c r="BA267" s="6" t="s">
        <v>3066</v>
      </c>
      <c r="BB267" s="6"/>
      <c r="BC267" s="11" t="str">
        <f aca="false">IFERROR(INDEX(CATEGORY_MASTER!$C$4:$C$30,MATCH(B267,CATEGORY_MASTER!$A$4:$A$30,0)),"")</f>
        <v>🌐</v>
      </c>
      <c r="BD267" s="7" t="str">
        <f aca="false">"/services/"&amp;AO267</f>
        <v>/services/voter-id-correction-form-8</v>
      </c>
      <c r="BE267" s="7" t="str">
        <f aca="false">IF(AND(AH267="Yes",AG267="Active",I267&lt;&gt;"Not Available"),"LIVE","HIDDEN")</f>
        <v>HIDDEN</v>
      </c>
      <c r="BF267" s="6" t="s">
        <v>139</v>
      </c>
      <c r="BG267" s="6" t="s">
        <v>93</v>
      </c>
      <c r="BH267" s="7" t="str">
        <f aca="false">B267&amp;"|"&amp;COUNTIF($B$4:B267,B267)</f>
        <v>Online Form &amp; Digital Services|36</v>
      </c>
      <c r="BI267" s="7" t="str">
        <f aca="false">IF(AND(AI267="Yes",BE267="LIVE"),COUNTIFS($AI$4:AI267,"Yes",$BE$4:BE267,"LIVE"),"")</f>
        <v/>
      </c>
      <c r="BJ267" s="7" t="str">
        <f aca="false">IF(AND(AJ267="Yes",BE267="LIVE"),COUNTIFS($AJ$4:AJ267,"Yes",$BE$4:BE267,"LIVE"),"")</f>
        <v/>
      </c>
      <c r="BK267" s="7" t="str">
        <f aca="false">IF(AND(AK267="Yes",BE267="LIVE"),COUNTIFS($AK$4:AK267,"Yes",$BE$4:BE267,"LIVE"),"")</f>
        <v/>
      </c>
      <c r="BL267" s="7" t="str">
        <f aca="false">IF(I267="To Verify",COUNTIF($I$4:I267,"To Verify"),"")</f>
        <v/>
      </c>
    </row>
    <row r="268" customFormat="false" ht="79.85" hidden="false" customHeight="false" outlineLevel="0" collapsed="false">
      <c r="A268" s="5" t="s">
        <v>3067</v>
      </c>
      <c r="B268" s="6" t="s">
        <v>2674</v>
      </c>
      <c r="C268" s="6" t="s">
        <v>2675</v>
      </c>
      <c r="D268" s="6" t="s">
        <v>2985</v>
      </c>
      <c r="E268" s="6" t="s">
        <v>3068</v>
      </c>
      <c r="F268" s="6" t="s">
        <v>3069</v>
      </c>
      <c r="G268" s="6" t="s">
        <v>3070</v>
      </c>
      <c r="H268" s="6" t="s">
        <v>3071</v>
      </c>
      <c r="I268" s="5" t="s">
        <v>221</v>
      </c>
      <c r="J268" s="7" t="str">
        <f aca="false">IFERROR(INDEX(AVAILABILITY_MASTER!$C$4:$C$10,MATCH(I268,AVAILABILITY_MASTER!$A$4:$A$10,0)),"To Be Confirmed")</f>
        <v>Depends on Portal – Confirm at Shop</v>
      </c>
      <c r="K268" s="6" t="s">
        <v>129</v>
      </c>
      <c r="L268" s="6" t="s">
        <v>221</v>
      </c>
      <c r="M268" s="7" t="str">
        <f aca="false">IFERROR(INDEX(SERVICE_DOCUMENTS!$S$4:$S$1000,MATCH(A268,SERVICE_DOCUMENTS!$A$4:$A$1000,0))&amp;"","")</f>
        <v>✓ Aadhaar Card
✓ Active Mobile Number
✓ Passport Photo
✓ Address Proof
✓ Date of Birth Proof</v>
      </c>
      <c r="N268" s="7" t="str">
        <f aca="false">IFERROR(INDEX(SERVICE_DOCUMENTS!$T$4:$T$1000,MATCH(A268,SERVICE_DOCUMENTS!$A$4:$A$1000,0))&amp;"","")</f>
        <v/>
      </c>
      <c r="O268" s="6" t="s">
        <v>645</v>
      </c>
      <c r="P268" s="6" t="s">
        <v>3072</v>
      </c>
      <c r="Q268" s="6" t="s">
        <v>78</v>
      </c>
      <c r="R268" s="8" t="s">
        <v>75</v>
      </c>
      <c r="S268" s="8" t="s">
        <v>75</v>
      </c>
      <c r="T268" s="9" t="str">
        <f aca="false">IF(AND(OR(ISNUMBER(R268),R268="N/A"),OR(ISNUMBER(S268),S268="N/A"),OR(ISNUMBER(R268),ISNUMBER(S268))),N(R268)+N(S268),"To Verify")</f>
        <v>To Verify</v>
      </c>
      <c r="U268" s="6" t="s">
        <v>75</v>
      </c>
      <c r="V268" s="6" t="s">
        <v>79</v>
      </c>
      <c r="W268" s="6" t="s">
        <v>80</v>
      </c>
      <c r="X268" s="6" t="s">
        <v>221</v>
      </c>
      <c r="Y268" s="6" t="s">
        <v>74</v>
      </c>
      <c r="Z268" s="6" t="s">
        <v>3050</v>
      </c>
      <c r="AA268" s="6" t="s">
        <v>74</v>
      </c>
      <c r="AB268" s="6" t="s">
        <v>74</v>
      </c>
      <c r="AC268" s="6" t="s">
        <v>75</v>
      </c>
      <c r="AD268" s="6" t="s">
        <v>75</v>
      </c>
      <c r="AE268" s="6" t="s">
        <v>79</v>
      </c>
      <c r="AF268" s="6" t="s">
        <v>79</v>
      </c>
      <c r="AG268" s="6" t="s">
        <v>75</v>
      </c>
      <c r="AH268" s="6" t="s">
        <v>79</v>
      </c>
      <c r="AI268" s="6" t="s">
        <v>79</v>
      </c>
      <c r="AJ268" s="6" t="s">
        <v>79</v>
      </c>
      <c r="AK268" s="6" t="s">
        <v>79</v>
      </c>
      <c r="AL268" s="6" t="s">
        <v>2674</v>
      </c>
      <c r="AM268" s="6" t="s">
        <v>2985</v>
      </c>
      <c r="AN268" s="7" t="str">
        <f aca="false">BA268&amp;", "&amp;AZ268</f>
        <v>Voter ID (e-EPIC) Download, Online Form &amp; Digital Services, Devmobile Stores, वोटर आईडी (e-EPIC) डाउनलोड, ऑनलाइन फॉर्म व डिजिटल सेवाएँ, सेवा</v>
      </c>
      <c r="AO268" s="6" t="s">
        <v>3073</v>
      </c>
      <c r="AP268" s="5" t="s">
        <v>2993</v>
      </c>
      <c r="AQ268" s="5" t="n">
        <v>370</v>
      </c>
      <c r="AR268" s="6" t="s">
        <v>133</v>
      </c>
      <c r="AS268" s="6" t="s">
        <v>2994</v>
      </c>
      <c r="AT268" s="6" t="s">
        <v>86</v>
      </c>
      <c r="AU268" s="10"/>
      <c r="AV268" s="6" t="s">
        <v>75</v>
      </c>
      <c r="AW268" s="6"/>
      <c r="AX268" s="6" t="s">
        <v>3074</v>
      </c>
      <c r="AY268" s="6" t="s">
        <v>3075</v>
      </c>
      <c r="AZ268" s="6" t="s">
        <v>3076</v>
      </c>
      <c r="BA268" s="6" t="s">
        <v>3077</v>
      </c>
      <c r="BB268" s="6"/>
      <c r="BC268" s="11" t="str">
        <f aca="false">IFERROR(INDEX(CATEGORY_MASTER!$C$4:$C$30,MATCH(B268,CATEGORY_MASTER!$A$4:$A$30,0)),"")</f>
        <v>🌐</v>
      </c>
      <c r="BD268" s="7" t="str">
        <f aca="false">"/services/"&amp;AO268</f>
        <v>/services/voter-id-e-epic-download</v>
      </c>
      <c r="BE268" s="7" t="str">
        <f aca="false">IF(AND(AH268="Yes",AG268="Active",I268&lt;&gt;"Not Available"),"LIVE","HIDDEN")</f>
        <v>HIDDEN</v>
      </c>
      <c r="BF268" s="6" t="s">
        <v>139</v>
      </c>
      <c r="BG268" s="6" t="s">
        <v>93</v>
      </c>
      <c r="BH268" s="7" t="str">
        <f aca="false">B268&amp;"|"&amp;COUNTIF($B$4:B268,B268)</f>
        <v>Online Form &amp; Digital Services|37</v>
      </c>
      <c r="BI268" s="7" t="str">
        <f aca="false">IF(AND(AI268="Yes",BE268="LIVE"),COUNTIFS($AI$4:AI268,"Yes",$BE$4:BE268,"LIVE"),"")</f>
        <v/>
      </c>
      <c r="BJ268" s="7" t="str">
        <f aca="false">IF(AND(AJ268="Yes",BE268="LIVE"),COUNTIFS($AJ$4:AJ268,"Yes",$BE$4:BE268,"LIVE"),"")</f>
        <v/>
      </c>
      <c r="BK268" s="7" t="str">
        <f aca="false">IF(AND(AK268="Yes",BE268="LIVE"),COUNTIFS($AK$4:AK268,"Yes",$BE$4:BE268,"LIVE"),"")</f>
        <v/>
      </c>
      <c r="BL268" s="7" t="str">
        <f aca="false">IF(I268="To Verify",COUNTIF($I$4:I268,"To Verify"),"")</f>
        <v/>
      </c>
    </row>
    <row r="269" customFormat="false" ht="79.85" hidden="false" customHeight="false" outlineLevel="0" collapsed="false">
      <c r="A269" s="5" t="s">
        <v>3078</v>
      </c>
      <c r="B269" s="6" t="s">
        <v>2674</v>
      </c>
      <c r="C269" s="6" t="s">
        <v>2675</v>
      </c>
      <c r="D269" s="6" t="s">
        <v>2985</v>
      </c>
      <c r="E269" s="6" t="s">
        <v>3079</v>
      </c>
      <c r="F269" s="6" t="s">
        <v>3080</v>
      </c>
      <c r="G269" s="6" t="s">
        <v>3081</v>
      </c>
      <c r="H269" s="6" t="s">
        <v>3082</v>
      </c>
      <c r="I269" s="5" t="s">
        <v>221</v>
      </c>
      <c r="J269" s="7" t="str">
        <f aca="false">IFERROR(INDEX(AVAILABILITY_MASTER!$C$4:$C$10,MATCH(I269,AVAILABILITY_MASTER!$A$4:$A$10,0)),"To Be Confirmed")</f>
        <v>Depends on Portal – Confirm at Shop</v>
      </c>
      <c r="K269" s="6" t="s">
        <v>129</v>
      </c>
      <c r="L269" s="6" t="s">
        <v>221</v>
      </c>
      <c r="M269" s="7" t="str">
        <f aca="false">IFERROR(INDEX(SERVICE_DOCUMENTS!$S$4:$S$1000,MATCH(A269,SERVICE_DOCUMENTS!$A$4:$A$1000,0))&amp;"","")</f>
        <v>✓ Aadhaar Card
✓ Active Mobile Number</v>
      </c>
      <c r="N269" s="7" t="str">
        <f aca="false">IFERROR(INDEX(SERVICE_DOCUMENTS!$T$4:$T$1000,MATCH(A269,SERVICE_DOCUMENTS!$A$4:$A$1000,0))&amp;"","")</f>
        <v/>
      </c>
      <c r="O269" s="6" t="s">
        <v>645</v>
      </c>
      <c r="P269" s="6" t="s">
        <v>3083</v>
      </c>
      <c r="Q269" s="6" t="s">
        <v>78</v>
      </c>
      <c r="R269" s="8" t="s">
        <v>75</v>
      </c>
      <c r="S269" s="8" t="s">
        <v>75</v>
      </c>
      <c r="T269" s="9" t="str">
        <f aca="false">IF(AND(OR(ISNUMBER(R269),R269="N/A"),OR(ISNUMBER(S269),S269="N/A"),OR(ISNUMBER(R269),ISNUMBER(S269))),N(R269)+N(S269),"To Verify")</f>
        <v>To Verify</v>
      </c>
      <c r="U269" s="6" t="s">
        <v>75</v>
      </c>
      <c r="V269" s="6" t="s">
        <v>79</v>
      </c>
      <c r="W269" s="6" t="s">
        <v>80</v>
      </c>
      <c r="X269" s="6" t="s">
        <v>221</v>
      </c>
      <c r="Y269" s="6" t="s">
        <v>74</v>
      </c>
      <c r="Z269" s="6" t="s">
        <v>3050</v>
      </c>
      <c r="AA269" s="6" t="s">
        <v>74</v>
      </c>
      <c r="AB269" s="6" t="s">
        <v>74</v>
      </c>
      <c r="AC269" s="6" t="s">
        <v>75</v>
      </c>
      <c r="AD269" s="6" t="s">
        <v>75</v>
      </c>
      <c r="AE269" s="6" t="s">
        <v>79</v>
      </c>
      <c r="AF269" s="6" t="s">
        <v>79</v>
      </c>
      <c r="AG269" s="6" t="s">
        <v>75</v>
      </c>
      <c r="AH269" s="6" t="s">
        <v>79</v>
      </c>
      <c r="AI269" s="6" t="s">
        <v>79</v>
      </c>
      <c r="AJ269" s="6" t="s">
        <v>79</v>
      </c>
      <c r="AK269" s="6" t="s">
        <v>79</v>
      </c>
      <c r="AL269" s="6" t="s">
        <v>2674</v>
      </c>
      <c r="AM269" s="6" t="s">
        <v>2985</v>
      </c>
      <c r="AN269" s="7" t="str">
        <f aca="false">BA269&amp;", "&amp;AZ269</f>
        <v>Voter List Name Search, Online Form &amp; Digital Services, Devmobile Stores, वोटर लिस्ट में नाम खोजना, ऑनलाइन फॉर्म व डिजिटल सेवाएँ, सेवा</v>
      </c>
      <c r="AO269" s="6" t="s">
        <v>3084</v>
      </c>
      <c r="AP269" s="5" t="s">
        <v>2993</v>
      </c>
      <c r="AQ269" s="5" t="n">
        <v>380</v>
      </c>
      <c r="AR269" s="6" t="s">
        <v>133</v>
      </c>
      <c r="AS269" s="6" t="s">
        <v>2994</v>
      </c>
      <c r="AT269" s="6" t="s">
        <v>86</v>
      </c>
      <c r="AU269" s="10"/>
      <c r="AV269" s="6" t="s">
        <v>75</v>
      </c>
      <c r="AW269" s="6"/>
      <c r="AX269" s="6" t="s">
        <v>3085</v>
      </c>
      <c r="AY269" s="6" t="s">
        <v>3086</v>
      </c>
      <c r="AZ269" s="6" t="s">
        <v>3087</v>
      </c>
      <c r="BA269" s="6" t="s">
        <v>3088</v>
      </c>
      <c r="BB269" s="6"/>
      <c r="BC269" s="11" t="str">
        <f aca="false">IFERROR(INDEX(CATEGORY_MASTER!$C$4:$C$30,MATCH(B269,CATEGORY_MASTER!$A$4:$A$30,0)),"")</f>
        <v>🌐</v>
      </c>
      <c r="BD269" s="7" t="str">
        <f aca="false">"/services/"&amp;AO269</f>
        <v>/services/voter-list-name-search</v>
      </c>
      <c r="BE269" s="7" t="str">
        <f aca="false">IF(AND(AH269="Yes",AG269="Active",I269&lt;&gt;"Not Available"),"LIVE","HIDDEN")</f>
        <v>HIDDEN</v>
      </c>
      <c r="BF269" s="6" t="s">
        <v>139</v>
      </c>
      <c r="BG269" s="6" t="s">
        <v>93</v>
      </c>
      <c r="BH269" s="7" t="str">
        <f aca="false">B269&amp;"|"&amp;COUNTIF($B$4:B269,B269)</f>
        <v>Online Form &amp; Digital Services|38</v>
      </c>
      <c r="BI269" s="7" t="str">
        <f aca="false">IF(AND(AI269="Yes",BE269="LIVE"),COUNTIFS($AI$4:AI269,"Yes",$BE$4:BE269,"LIVE"),"")</f>
        <v/>
      </c>
      <c r="BJ269" s="7" t="str">
        <f aca="false">IF(AND(AJ269="Yes",BE269="LIVE"),COUNTIFS($AJ$4:AJ269,"Yes",$BE$4:BE269,"LIVE"),"")</f>
        <v/>
      </c>
      <c r="BK269" s="7" t="str">
        <f aca="false">IF(AND(AK269="Yes",BE269="LIVE"),COUNTIFS($AK$4:AK269,"Yes",$BE$4:BE269,"LIVE"),"")</f>
        <v/>
      </c>
      <c r="BL269" s="7" t="str">
        <f aca="false">IF(I269="To Verify",COUNTIF($I$4:I269,"To Verify"),"")</f>
        <v/>
      </c>
    </row>
    <row r="270" customFormat="false" ht="79.85" hidden="false" customHeight="false" outlineLevel="0" collapsed="false">
      <c r="A270" s="5" t="s">
        <v>3089</v>
      </c>
      <c r="B270" s="6" t="s">
        <v>2674</v>
      </c>
      <c r="C270" s="6" t="s">
        <v>2675</v>
      </c>
      <c r="D270" s="6" t="s">
        <v>2985</v>
      </c>
      <c r="E270" s="6" t="s">
        <v>3090</v>
      </c>
      <c r="F270" s="6" t="s">
        <v>3091</v>
      </c>
      <c r="G270" s="6" t="s">
        <v>3092</v>
      </c>
      <c r="H270" s="6" t="s">
        <v>3093</v>
      </c>
      <c r="I270" s="5" t="s">
        <v>221</v>
      </c>
      <c r="J270" s="7" t="str">
        <f aca="false">IFERROR(INDEX(AVAILABILITY_MASTER!$C$4:$C$10,MATCH(I270,AVAILABILITY_MASTER!$A$4:$A$10,0)),"To Be Confirmed")</f>
        <v>Depends on Portal – Confirm at Shop</v>
      </c>
      <c r="K270" s="6" t="s">
        <v>129</v>
      </c>
      <c r="L270" s="6" t="s">
        <v>221</v>
      </c>
      <c r="M270" s="7" t="str">
        <f aca="false">IFERROR(INDEX(SERVICE_DOCUMENTS!$S$4:$S$1000,MATCH(A270,SERVICE_DOCUMENTS!$A$4:$A$1000,0))&amp;"","")</f>
        <v>✓ Aadhaar Card
✓ Active Mobile Number
✓ Passport Photo
✓ Address Proof
✓ Date of Birth Proof</v>
      </c>
      <c r="N270" s="7" t="str">
        <f aca="false">IFERROR(INDEX(SERVICE_DOCUMENTS!$T$4:$T$1000,MATCH(A270,SERVICE_DOCUMENTS!$A$4:$A$1000,0))&amp;"","")</f>
        <v/>
      </c>
      <c r="O270" s="6" t="s">
        <v>645</v>
      </c>
      <c r="P270" s="6" t="s">
        <v>3094</v>
      </c>
      <c r="Q270" s="6" t="s">
        <v>78</v>
      </c>
      <c r="R270" s="8" t="s">
        <v>75</v>
      </c>
      <c r="S270" s="8" t="s">
        <v>75</v>
      </c>
      <c r="T270" s="9" t="str">
        <f aca="false">IF(AND(OR(ISNUMBER(R270),R270="N/A"),OR(ISNUMBER(S270),S270="N/A"),OR(ISNUMBER(R270),ISNUMBER(S270))),N(R270)+N(S270),"To Verify")</f>
        <v>To Verify</v>
      </c>
      <c r="U270" s="6" t="s">
        <v>75</v>
      </c>
      <c r="V270" s="6" t="s">
        <v>79</v>
      </c>
      <c r="W270" s="6" t="s">
        <v>80</v>
      </c>
      <c r="X270" s="6" t="s">
        <v>221</v>
      </c>
      <c r="Y270" s="6" t="s">
        <v>74</v>
      </c>
      <c r="Z270" s="6" t="s">
        <v>3050</v>
      </c>
      <c r="AA270" s="6" t="s">
        <v>74</v>
      </c>
      <c r="AB270" s="6" t="s">
        <v>74</v>
      </c>
      <c r="AC270" s="6" t="s">
        <v>75</v>
      </c>
      <c r="AD270" s="6" t="s">
        <v>75</v>
      </c>
      <c r="AE270" s="6" t="s">
        <v>79</v>
      </c>
      <c r="AF270" s="6" t="s">
        <v>79</v>
      </c>
      <c r="AG270" s="6" t="s">
        <v>75</v>
      </c>
      <c r="AH270" s="6" t="s">
        <v>79</v>
      </c>
      <c r="AI270" s="6" t="s">
        <v>79</v>
      </c>
      <c r="AJ270" s="6" t="s">
        <v>79</v>
      </c>
      <c r="AK270" s="6" t="s">
        <v>79</v>
      </c>
      <c r="AL270" s="6" t="s">
        <v>2674</v>
      </c>
      <c r="AM270" s="6" t="s">
        <v>2985</v>
      </c>
      <c r="AN270" s="7" t="str">
        <f aca="false">BA270&amp;", "&amp;AZ270</f>
        <v>Voter ID–Aadhaar Link (Form 6B), Online Form &amp; Digital Services, Devmobile Stores, वोटर आईडी–आधार लिंक (फॉर्म 6B), ऑनलाइन फॉर्म व डिजिटल सेवाएँ, सेवा</v>
      </c>
      <c r="AO270" s="6" t="s">
        <v>3095</v>
      </c>
      <c r="AP270" s="5" t="s">
        <v>2993</v>
      </c>
      <c r="AQ270" s="5" t="n">
        <v>390</v>
      </c>
      <c r="AR270" s="6" t="s">
        <v>133</v>
      </c>
      <c r="AS270" s="6" t="s">
        <v>2994</v>
      </c>
      <c r="AT270" s="6" t="s">
        <v>86</v>
      </c>
      <c r="AU270" s="10"/>
      <c r="AV270" s="6" t="s">
        <v>75</v>
      </c>
      <c r="AW270" s="6"/>
      <c r="AX270" s="6" t="s">
        <v>3096</v>
      </c>
      <c r="AY270" s="6" t="s">
        <v>3097</v>
      </c>
      <c r="AZ270" s="6" t="s">
        <v>3098</v>
      </c>
      <c r="BA270" s="6" t="s">
        <v>3099</v>
      </c>
      <c r="BB270" s="6"/>
      <c r="BC270" s="11" t="str">
        <f aca="false">IFERROR(INDEX(CATEGORY_MASTER!$C$4:$C$30,MATCH(B270,CATEGORY_MASTER!$A$4:$A$30,0)),"")</f>
        <v>🌐</v>
      </c>
      <c r="BD270" s="7" t="str">
        <f aca="false">"/services/"&amp;AO270</f>
        <v>/services/voter-id-aadhaar-link-form-6b</v>
      </c>
      <c r="BE270" s="7" t="str">
        <f aca="false">IF(AND(AH270="Yes",AG270="Active",I270&lt;&gt;"Not Available"),"LIVE","HIDDEN")</f>
        <v>HIDDEN</v>
      </c>
      <c r="BF270" s="6" t="s">
        <v>139</v>
      </c>
      <c r="BG270" s="6" t="s">
        <v>93</v>
      </c>
      <c r="BH270" s="7" t="str">
        <f aca="false">B270&amp;"|"&amp;COUNTIF($B$4:B270,B270)</f>
        <v>Online Form &amp; Digital Services|39</v>
      </c>
      <c r="BI270" s="7" t="str">
        <f aca="false">IF(AND(AI270="Yes",BE270="LIVE"),COUNTIFS($AI$4:AI270,"Yes",$BE$4:BE270,"LIVE"),"")</f>
        <v/>
      </c>
      <c r="BJ270" s="7" t="str">
        <f aca="false">IF(AND(AJ270="Yes",BE270="LIVE"),COUNTIFS($AJ$4:AJ270,"Yes",$BE$4:BE270,"LIVE"),"")</f>
        <v/>
      </c>
      <c r="BK270" s="7" t="str">
        <f aca="false">IF(AND(AK270="Yes",BE270="LIVE"),COUNTIFS($AK$4:AK270,"Yes",$BE$4:BE270,"LIVE"),"")</f>
        <v/>
      </c>
      <c r="BL270" s="7" t="str">
        <f aca="false">IF(I270="To Verify",COUNTIF($I$4:I270,"To Verify"),"")</f>
        <v/>
      </c>
    </row>
    <row r="271" customFormat="false" ht="57.45" hidden="false" customHeight="false" outlineLevel="0" collapsed="false">
      <c r="A271" s="5" t="s">
        <v>3100</v>
      </c>
      <c r="B271" s="6" t="s">
        <v>3101</v>
      </c>
      <c r="C271" s="6" t="s">
        <v>3102</v>
      </c>
      <c r="D271" s="6" t="s">
        <v>3103</v>
      </c>
      <c r="E271" s="6" t="s">
        <v>3104</v>
      </c>
      <c r="F271" s="6" t="s">
        <v>3105</v>
      </c>
      <c r="G271" s="6" t="s">
        <v>3106</v>
      </c>
      <c r="H271" s="6" t="s">
        <v>3107</v>
      </c>
      <c r="I271" s="5" t="s">
        <v>167</v>
      </c>
      <c r="J271" s="7" t="str">
        <f aca="false">IFERROR(INDEX(AVAILABILITY_MASTER!$C$4:$C$10,MATCH(I271,AVAILABILITY_MASTER!$A$4:$A$10,0)),"To Be Confirmed")</f>
        <v>Available</v>
      </c>
      <c r="K271" s="6" t="s">
        <v>79</v>
      </c>
      <c r="L271" s="6" t="s">
        <v>437</v>
      </c>
      <c r="M271" s="7" t="str">
        <f aca="false">IFERROR(INDEX(SERVICE_DOCUMENTS!$S$4:$S$1000,MATCH(A271,SERVICE_DOCUMENTS!$A$4:$A$1000,0))&amp;"","")</f>
        <v>✓ Consumer / Account Number
✓ Cash Amount</v>
      </c>
      <c r="N271" s="7" t="str">
        <f aca="false">IFERROR(INDEX(SERVICE_DOCUMENTS!$T$4:$T$1000,MATCH(A271,SERVICE_DOCUMENTS!$A$4:$A$1000,0))&amp;"","")</f>
        <v/>
      </c>
      <c r="O271" s="6" t="s">
        <v>1882</v>
      </c>
      <c r="P271" s="6" t="s">
        <v>3108</v>
      </c>
      <c r="Q271" s="6" t="s">
        <v>440</v>
      </c>
      <c r="R271" s="8" t="s">
        <v>441</v>
      </c>
      <c r="S271" s="8" t="s">
        <v>75</v>
      </c>
      <c r="T271" s="9" t="str">
        <f aca="false">IF(AND(OR(ISNUMBER(R271),R271="N/A"),OR(ISNUMBER(S271),S271="N/A"),OR(ISNUMBER(R271),ISNUMBER(S271))),N(R271)+N(S271),"To Verify")</f>
        <v>To Verify</v>
      </c>
      <c r="U271" s="6" t="s">
        <v>1884</v>
      </c>
      <c r="V271" s="6" t="s">
        <v>79</v>
      </c>
      <c r="W271" s="6" t="s">
        <v>80</v>
      </c>
      <c r="X271" s="6" t="s">
        <v>443</v>
      </c>
      <c r="Y271" s="6" t="s">
        <v>129</v>
      </c>
      <c r="Z271" s="6"/>
      <c r="AA271" s="6" t="s">
        <v>74</v>
      </c>
      <c r="AB271" s="6" t="s">
        <v>79</v>
      </c>
      <c r="AC271" s="6" t="s">
        <v>75</v>
      </c>
      <c r="AD271" s="6" t="s">
        <v>75</v>
      </c>
      <c r="AE271" s="6" t="s">
        <v>79</v>
      </c>
      <c r="AF271" s="6" t="s">
        <v>79</v>
      </c>
      <c r="AG271" s="6" t="s">
        <v>170</v>
      </c>
      <c r="AH271" s="6" t="s">
        <v>74</v>
      </c>
      <c r="AI271" s="6" t="s">
        <v>79</v>
      </c>
      <c r="AJ271" s="6" t="s">
        <v>79</v>
      </c>
      <c r="AK271" s="6" t="s">
        <v>79</v>
      </c>
      <c r="AL271" s="6" t="s">
        <v>3101</v>
      </c>
      <c r="AM271" s="6" t="s">
        <v>3103</v>
      </c>
      <c r="AN271" s="7" t="str">
        <f aca="false">BA271&amp;", "&amp;AZ271</f>
        <v>Mobile Recharge (Prepaid), Recharge / Bill Payment, Devmobile Stores, मोबाइल रिचार्ज (प्रीपेड), रिचार्ज / बिल भुगतान, सेवा</v>
      </c>
      <c r="AO271" s="6" t="s">
        <v>3109</v>
      </c>
      <c r="AP271" s="5" t="s">
        <v>3110</v>
      </c>
      <c r="AQ271" s="5" t="n">
        <v>10</v>
      </c>
      <c r="AR271" s="6" t="s">
        <v>3111</v>
      </c>
      <c r="AS271" s="6"/>
      <c r="AT271" s="6" t="s">
        <v>86</v>
      </c>
      <c r="AU271" s="10"/>
      <c r="AV271" s="6" t="s">
        <v>75</v>
      </c>
      <c r="AW271" s="6" t="s">
        <v>3112</v>
      </c>
      <c r="AX271" s="6" t="s">
        <v>3113</v>
      </c>
      <c r="AY271" s="6" t="s">
        <v>3114</v>
      </c>
      <c r="AZ271" s="6" t="s">
        <v>3115</v>
      </c>
      <c r="BA271" s="6" t="s">
        <v>3116</v>
      </c>
      <c r="BB271" s="6"/>
      <c r="BC271" s="11" t="str">
        <f aca="false">IFERROR(INDEX(CATEGORY_MASTER!$C$4:$C$30,MATCH(B271,CATEGORY_MASTER!$A$4:$A$30,0)),"")</f>
        <v>💡</v>
      </c>
      <c r="BD271" s="7" t="str">
        <f aca="false">"/services/"&amp;AO271</f>
        <v>/services/mobile-recharge-prepaid</v>
      </c>
      <c r="BE271" s="7" t="str">
        <f aca="false">IF(AND(AH271="Yes",AG271="Active",I271&lt;&gt;"Not Available"),"LIVE","HIDDEN")</f>
        <v>LIVE</v>
      </c>
      <c r="BF271" s="6" t="s">
        <v>139</v>
      </c>
      <c r="BG271" s="6" t="s">
        <v>452</v>
      </c>
      <c r="BH271" s="7" t="str">
        <f aca="false">B271&amp;"|"&amp;COUNTIF($B$4:B271,B271)</f>
        <v>Recharge / Bill Payment|1</v>
      </c>
      <c r="BI271" s="7" t="str">
        <f aca="false">IF(AND(AI271="Yes",BE271="LIVE"),COUNTIFS($AI$4:AI271,"Yes",$BE$4:BE271,"LIVE"),"")</f>
        <v/>
      </c>
      <c r="BJ271" s="7" t="str">
        <f aca="false">IF(AND(AJ271="Yes",BE271="LIVE"),COUNTIFS($AJ$4:AJ271,"Yes",$BE$4:BE271,"LIVE"),"")</f>
        <v/>
      </c>
      <c r="BK271" s="7" t="str">
        <f aca="false">IF(AND(AK271="Yes",BE271="LIVE"),COUNTIFS($AK$4:AK271,"Yes",$BE$4:BE271,"LIVE"),"")</f>
        <v/>
      </c>
      <c r="BL271" s="7" t="str">
        <f aca="false">IF(I271="To Verify",COUNTIF($I$4:I271,"To Verify"),"")</f>
        <v/>
      </c>
    </row>
    <row r="272" customFormat="false" ht="57.45" hidden="false" customHeight="false" outlineLevel="0" collapsed="false">
      <c r="A272" s="5" t="s">
        <v>3117</v>
      </c>
      <c r="B272" s="6" t="s">
        <v>3101</v>
      </c>
      <c r="C272" s="6" t="s">
        <v>3102</v>
      </c>
      <c r="D272" s="6" t="s">
        <v>3103</v>
      </c>
      <c r="E272" s="6" t="s">
        <v>3118</v>
      </c>
      <c r="F272" s="6" t="s">
        <v>3119</v>
      </c>
      <c r="G272" s="6" t="s">
        <v>3120</v>
      </c>
      <c r="H272" s="6" t="s">
        <v>3121</v>
      </c>
      <c r="I272" s="5" t="s">
        <v>167</v>
      </c>
      <c r="J272" s="7" t="str">
        <f aca="false">IFERROR(INDEX(AVAILABILITY_MASTER!$C$4:$C$10,MATCH(I272,AVAILABILITY_MASTER!$A$4:$A$10,0)),"To Be Confirmed")</f>
        <v>Available</v>
      </c>
      <c r="K272" s="6" t="s">
        <v>79</v>
      </c>
      <c r="L272" s="6" t="s">
        <v>437</v>
      </c>
      <c r="M272" s="7" t="str">
        <f aca="false">IFERROR(INDEX(SERVICE_DOCUMENTS!$S$4:$S$1000,MATCH(A272,SERVICE_DOCUMENTS!$A$4:$A$1000,0))&amp;"","")</f>
        <v>✓ Consumer / Account Number
✓ Cash Amount</v>
      </c>
      <c r="N272" s="7" t="str">
        <f aca="false">IFERROR(INDEX(SERVICE_DOCUMENTS!$T$4:$T$1000,MATCH(A272,SERVICE_DOCUMENTS!$A$4:$A$1000,0))&amp;"","")</f>
        <v/>
      </c>
      <c r="O272" s="6" t="s">
        <v>1882</v>
      </c>
      <c r="P272" s="6" t="s">
        <v>3122</v>
      </c>
      <c r="Q272" s="6" t="s">
        <v>440</v>
      </c>
      <c r="R272" s="8" t="s">
        <v>441</v>
      </c>
      <c r="S272" s="8" t="s">
        <v>75</v>
      </c>
      <c r="T272" s="9" t="str">
        <f aca="false">IF(AND(OR(ISNUMBER(R272),R272="N/A"),OR(ISNUMBER(S272),S272="N/A"),OR(ISNUMBER(R272),ISNUMBER(S272))),N(R272)+N(S272),"To Verify")</f>
        <v>To Verify</v>
      </c>
      <c r="U272" s="6" t="s">
        <v>1884</v>
      </c>
      <c r="V272" s="6" t="s">
        <v>79</v>
      </c>
      <c r="W272" s="6" t="s">
        <v>80</v>
      </c>
      <c r="X272" s="6" t="s">
        <v>443</v>
      </c>
      <c r="Y272" s="6" t="s">
        <v>129</v>
      </c>
      <c r="Z272" s="6"/>
      <c r="AA272" s="6" t="s">
        <v>74</v>
      </c>
      <c r="AB272" s="6" t="s">
        <v>79</v>
      </c>
      <c r="AC272" s="6" t="s">
        <v>75</v>
      </c>
      <c r="AD272" s="6" t="s">
        <v>75</v>
      </c>
      <c r="AE272" s="6" t="s">
        <v>79</v>
      </c>
      <c r="AF272" s="6" t="s">
        <v>79</v>
      </c>
      <c r="AG272" s="6" t="s">
        <v>170</v>
      </c>
      <c r="AH272" s="6" t="s">
        <v>74</v>
      </c>
      <c r="AI272" s="6" t="s">
        <v>79</v>
      </c>
      <c r="AJ272" s="6" t="s">
        <v>79</v>
      </c>
      <c r="AK272" s="6" t="s">
        <v>79</v>
      </c>
      <c r="AL272" s="6" t="s">
        <v>3101</v>
      </c>
      <c r="AM272" s="6" t="s">
        <v>3103</v>
      </c>
      <c r="AN272" s="7" t="str">
        <f aca="false">BA272&amp;", "&amp;AZ272</f>
        <v>DTH Recharge, Recharge / Bill Payment, Devmobile Stores, DTH रिचार्ज, रिचार्ज / बिल भुगतान, सेवा</v>
      </c>
      <c r="AO272" s="6" t="s">
        <v>3123</v>
      </c>
      <c r="AP272" s="5" t="s">
        <v>3110</v>
      </c>
      <c r="AQ272" s="5" t="n">
        <v>20</v>
      </c>
      <c r="AR272" s="6" t="s">
        <v>3111</v>
      </c>
      <c r="AS272" s="6"/>
      <c r="AT272" s="6" t="s">
        <v>86</v>
      </c>
      <c r="AU272" s="10"/>
      <c r="AV272" s="6" t="s">
        <v>75</v>
      </c>
      <c r="AW272" s="6" t="s">
        <v>3124</v>
      </c>
      <c r="AX272" s="6" t="s">
        <v>3125</v>
      </c>
      <c r="AY272" s="6" t="s">
        <v>3126</v>
      </c>
      <c r="AZ272" s="6" t="s">
        <v>3127</v>
      </c>
      <c r="BA272" s="6" t="s">
        <v>3128</v>
      </c>
      <c r="BB272" s="6"/>
      <c r="BC272" s="11" t="str">
        <f aca="false">IFERROR(INDEX(CATEGORY_MASTER!$C$4:$C$30,MATCH(B272,CATEGORY_MASTER!$A$4:$A$30,0)),"")</f>
        <v>💡</v>
      </c>
      <c r="BD272" s="7" t="str">
        <f aca="false">"/services/"&amp;AO272</f>
        <v>/services/dth-recharge</v>
      </c>
      <c r="BE272" s="7" t="str">
        <f aca="false">IF(AND(AH272="Yes",AG272="Active",I272&lt;&gt;"Not Available"),"LIVE","HIDDEN")</f>
        <v>LIVE</v>
      </c>
      <c r="BF272" s="6" t="s">
        <v>139</v>
      </c>
      <c r="BG272" s="6" t="s">
        <v>452</v>
      </c>
      <c r="BH272" s="7" t="str">
        <f aca="false">B272&amp;"|"&amp;COUNTIF($B$4:B272,B272)</f>
        <v>Recharge / Bill Payment|2</v>
      </c>
      <c r="BI272" s="7" t="str">
        <f aca="false">IF(AND(AI272="Yes",BE272="LIVE"),COUNTIFS($AI$4:AI272,"Yes",$BE$4:BE272,"LIVE"),"")</f>
        <v/>
      </c>
      <c r="BJ272" s="7" t="str">
        <f aca="false">IF(AND(AJ272="Yes",BE272="LIVE"),COUNTIFS($AJ$4:AJ272,"Yes",$BE$4:BE272,"LIVE"),"")</f>
        <v/>
      </c>
      <c r="BK272" s="7" t="str">
        <f aca="false">IF(AND(AK272="Yes",BE272="LIVE"),COUNTIFS($AK$4:AK272,"Yes",$BE$4:BE272,"LIVE"),"")</f>
        <v/>
      </c>
      <c r="BL272" s="7" t="str">
        <f aca="false">IF(I272="To Verify",COUNTIF($I$4:I272,"To Verify"),"")</f>
        <v/>
      </c>
    </row>
    <row r="273" customFormat="false" ht="57.45" hidden="false" customHeight="false" outlineLevel="0" collapsed="false">
      <c r="A273" s="5" t="s">
        <v>3129</v>
      </c>
      <c r="B273" s="6" t="s">
        <v>3101</v>
      </c>
      <c r="C273" s="6" t="s">
        <v>3102</v>
      </c>
      <c r="D273" s="6" t="s">
        <v>3103</v>
      </c>
      <c r="E273" s="6" t="s">
        <v>3130</v>
      </c>
      <c r="F273" s="6" t="s">
        <v>3131</v>
      </c>
      <c r="G273" s="6" t="s">
        <v>3132</v>
      </c>
      <c r="H273" s="6" t="s">
        <v>3133</v>
      </c>
      <c r="I273" s="5" t="s">
        <v>12</v>
      </c>
      <c r="J273" s="7" t="str">
        <f aca="false">IFERROR(INDEX(AVAILABILITY_MASTER!$C$4:$C$10,MATCH(I273,AVAILABILITY_MASTER!$A$4:$A$10,0)),"To Be Confirmed")</f>
        <v>Please Confirm at Shop</v>
      </c>
      <c r="K273" s="6" t="s">
        <v>74</v>
      </c>
      <c r="L273" s="6" t="s">
        <v>75</v>
      </c>
      <c r="M273" s="7" t="str">
        <f aca="false">IFERROR(INDEX(SERVICE_DOCUMENTS!$S$4:$S$1000,MATCH(A273,SERVICE_DOCUMENTS!$A$4:$A$1000,0))&amp;"","")</f>
        <v>✓ Consumer / Account Number
✓ Cash Amount</v>
      </c>
      <c r="N273" s="7" t="str">
        <f aca="false">IFERROR(INDEX(SERVICE_DOCUMENTS!$T$4:$T$1000,MATCH(A273,SERVICE_DOCUMENTS!$A$4:$A$1000,0))&amp;"","")</f>
        <v/>
      </c>
      <c r="O273" s="6" t="s">
        <v>1882</v>
      </c>
      <c r="P273" s="6" t="s">
        <v>3134</v>
      </c>
      <c r="Q273" s="6" t="s">
        <v>440</v>
      </c>
      <c r="R273" s="8" t="s">
        <v>441</v>
      </c>
      <c r="S273" s="8" t="s">
        <v>75</v>
      </c>
      <c r="T273" s="9" t="str">
        <f aca="false">IF(AND(OR(ISNUMBER(R273),R273="N/A"),OR(ISNUMBER(S273),S273="N/A"),OR(ISNUMBER(R273),ISNUMBER(S273))),N(R273)+N(S273),"To Verify")</f>
        <v>To Verify</v>
      </c>
      <c r="U273" s="6" t="s">
        <v>1884</v>
      </c>
      <c r="V273" s="6" t="s">
        <v>79</v>
      </c>
      <c r="W273" s="6" t="s">
        <v>80</v>
      </c>
      <c r="X273" s="6" t="s">
        <v>443</v>
      </c>
      <c r="Y273" s="6" t="s">
        <v>129</v>
      </c>
      <c r="Z273" s="6"/>
      <c r="AA273" s="6" t="s">
        <v>74</v>
      </c>
      <c r="AB273" s="6" t="s">
        <v>79</v>
      </c>
      <c r="AC273" s="6" t="s">
        <v>75</v>
      </c>
      <c r="AD273" s="6" t="s">
        <v>75</v>
      </c>
      <c r="AE273" s="6" t="s">
        <v>79</v>
      </c>
      <c r="AF273" s="6" t="s">
        <v>79</v>
      </c>
      <c r="AG273" s="6" t="s">
        <v>75</v>
      </c>
      <c r="AH273" s="6" t="s">
        <v>79</v>
      </c>
      <c r="AI273" s="6" t="s">
        <v>79</v>
      </c>
      <c r="AJ273" s="6" t="s">
        <v>79</v>
      </c>
      <c r="AK273" s="6" t="s">
        <v>79</v>
      </c>
      <c r="AL273" s="6" t="s">
        <v>3101</v>
      </c>
      <c r="AM273" s="6" t="s">
        <v>3103</v>
      </c>
      <c r="AN273" s="7" t="str">
        <f aca="false">BA273&amp;", "&amp;AZ273</f>
        <v>FASTag Recharge, Recharge / Bill Payment, Devmobile Stores, FASTag रिचार्ज, रिचार्ज / बिल भुगतान, सेवा</v>
      </c>
      <c r="AO273" s="6" t="s">
        <v>3135</v>
      </c>
      <c r="AP273" s="5" t="s">
        <v>3110</v>
      </c>
      <c r="AQ273" s="5" t="n">
        <v>30</v>
      </c>
      <c r="AR273" s="6" t="s">
        <v>3111</v>
      </c>
      <c r="AS273" s="6" t="s">
        <v>474</v>
      </c>
      <c r="AT273" s="6" t="s">
        <v>86</v>
      </c>
      <c r="AU273" s="10"/>
      <c r="AV273" s="6" t="s">
        <v>75</v>
      </c>
      <c r="AW273" s="6"/>
      <c r="AX273" s="6" t="s">
        <v>3136</v>
      </c>
      <c r="AY273" s="6" t="s">
        <v>3137</v>
      </c>
      <c r="AZ273" s="6" t="s">
        <v>3138</v>
      </c>
      <c r="BA273" s="6" t="s">
        <v>3139</v>
      </c>
      <c r="BB273" s="6"/>
      <c r="BC273" s="11" t="str">
        <f aca="false">IFERROR(INDEX(CATEGORY_MASTER!$C$4:$C$30,MATCH(B273,CATEGORY_MASTER!$A$4:$A$30,0)),"")</f>
        <v>💡</v>
      </c>
      <c r="BD273" s="7" t="str">
        <f aca="false">"/services/"&amp;AO273</f>
        <v>/services/fastag-recharge</v>
      </c>
      <c r="BE273" s="7" t="str">
        <f aca="false">IF(AND(AH273="Yes",AG273="Active",I273&lt;&gt;"Not Available"),"LIVE","HIDDEN")</f>
        <v>HIDDEN</v>
      </c>
      <c r="BF273" s="6" t="s">
        <v>139</v>
      </c>
      <c r="BG273" s="6" t="s">
        <v>452</v>
      </c>
      <c r="BH273" s="7" t="str">
        <f aca="false">B273&amp;"|"&amp;COUNTIF($B$4:B273,B273)</f>
        <v>Recharge / Bill Payment|3</v>
      </c>
      <c r="BI273" s="7" t="str">
        <f aca="false">IF(AND(AI273="Yes",BE273="LIVE"),COUNTIFS($AI$4:AI273,"Yes",$BE$4:BE273,"LIVE"),"")</f>
        <v/>
      </c>
      <c r="BJ273" s="7" t="str">
        <f aca="false">IF(AND(AJ273="Yes",BE273="LIVE"),COUNTIFS($AJ$4:AJ273,"Yes",$BE$4:BE273,"LIVE"),"")</f>
        <v/>
      </c>
      <c r="BK273" s="7" t="str">
        <f aca="false">IF(AND(AK273="Yes",BE273="LIVE"),COUNTIFS($AK$4:AK273,"Yes",$BE$4:BE273,"LIVE"),"")</f>
        <v/>
      </c>
      <c r="BL273" s="7" t="str">
        <f aca="false">IF(I273="To Verify",COUNTIF($I$4:I273,"To Verify"),"")</f>
        <v/>
      </c>
    </row>
    <row r="274" customFormat="false" ht="57.45" hidden="false" customHeight="false" outlineLevel="0" collapsed="false">
      <c r="A274" s="5" t="s">
        <v>3140</v>
      </c>
      <c r="B274" s="6" t="s">
        <v>3101</v>
      </c>
      <c r="C274" s="6" t="s">
        <v>3102</v>
      </c>
      <c r="D274" s="6" t="s">
        <v>3141</v>
      </c>
      <c r="E274" s="6" t="s">
        <v>3142</v>
      </c>
      <c r="F274" s="6" t="s">
        <v>3143</v>
      </c>
      <c r="G274" s="6" t="s">
        <v>3144</v>
      </c>
      <c r="H274" s="6" t="s">
        <v>3145</v>
      </c>
      <c r="I274" s="5" t="s">
        <v>12</v>
      </c>
      <c r="J274" s="7" t="str">
        <f aca="false">IFERROR(INDEX(AVAILABILITY_MASTER!$C$4:$C$10,MATCH(I274,AVAILABILITY_MASTER!$A$4:$A$10,0)),"To Be Confirmed")</f>
        <v>Please Confirm at Shop</v>
      </c>
      <c r="K274" s="6" t="s">
        <v>74</v>
      </c>
      <c r="L274" s="6" t="s">
        <v>75</v>
      </c>
      <c r="M274" s="7" t="str">
        <f aca="false">IFERROR(INDEX(SERVICE_DOCUMENTS!$S$4:$S$1000,MATCH(A274,SERVICE_DOCUMENTS!$A$4:$A$1000,0))&amp;"","")</f>
        <v>✓ Consumer / Account Number
✓ Cash Amount</v>
      </c>
      <c r="N274" s="7" t="str">
        <f aca="false">IFERROR(INDEX(SERVICE_DOCUMENTS!$T$4:$T$1000,MATCH(A274,SERVICE_DOCUMENTS!$A$4:$A$1000,0))&amp;"","")</f>
        <v/>
      </c>
      <c r="O274" s="6" t="s">
        <v>1882</v>
      </c>
      <c r="P274" s="6" t="s">
        <v>3146</v>
      </c>
      <c r="Q274" s="6" t="s">
        <v>440</v>
      </c>
      <c r="R274" s="8" t="s">
        <v>441</v>
      </c>
      <c r="S274" s="8" t="s">
        <v>75</v>
      </c>
      <c r="T274" s="9" t="str">
        <f aca="false">IF(AND(OR(ISNUMBER(R274),R274="N/A"),OR(ISNUMBER(S274),S274="N/A"),OR(ISNUMBER(R274),ISNUMBER(S274))),N(R274)+N(S274),"To Verify")</f>
        <v>To Verify</v>
      </c>
      <c r="U274" s="6" t="s">
        <v>1884</v>
      </c>
      <c r="V274" s="6" t="s">
        <v>79</v>
      </c>
      <c r="W274" s="6" t="s">
        <v>80</v>
      </c>
      <c r="X274" s="6" t="s">
        <v>443</v>
      </c>
      <c r="Y274" s="6" t="s">
        <v>129</v>
      </c>
      <c r="Z274" s="6"/>
      <c r="AA274" s="6" t="s">
        <v>74</v>
      </c>
      <c r="AB274" s="6" t="s">
        <v>79</v>
      </c>
      <c r="AC274" s="6" t="s">
        <v>75</v>
      </c>
      <c r="AD274" s="6" t="s">
        <v>75</v>
      </c>
      <c r="AE274" s="6" t="s">
        <v>79</v>
      </c>
      <c r="AF274" s="6" t="s">
        <v>79</v>
      </c>
      <c r="AG274" s="6" t="s">
        <v>75</v>
      </c>
      <c r="AH274" s="6" t="s">
        <v>79</v>
      </c>
      <c r="AI274" s="6" t="s">
        <v>79</v>
      </c>
      <c r="AJ274" s="6" t="s">
        <v>79</v>
      </c>
      <c r="AK274" s="6" t="s">
        <v>79</v>
      </c>
      <c r="AL274" s="6" t="s">
        <v>3101</v>
      </c>
      <c r="AM274" s="6" t="s">
        <v>3141</v>
      </c>
      <c r="AN274" s="7" t="str">
        <f aca="false">BA274&amp;", "&amp;AZ274</f>
        <v>Mobile Postpaid Bill Payment, Recharge / Bill Payment, Devmobile Stores, पोस्टपेड मोबाइल बिल भुगतान, रिचार्ज / बिल भुगतान, सेवा</v>
      </c>
      <c r="AO274" s="6" t="s">
        <v>3147</v>
      </c>
      <c r="AP274" s="5" t="s">
        <v>3148</v>
      </c>
      <c r="AQ274" s="5" t="n">
        <v>40</v>
      </c>
      <c r="AR274" s="6" t="s">
        <v>3111</v>
      </c>
      <c r="AS274" s="6" t="s">
        <v>474</v>
      </c>
      <c r="AT274" s="6" t="s">
        <v>86</v>
      </c>
      <c r="AU274" s="10"/>
      <c r="AV274" s="6" t="s">
        <v>75</v>
      </c>
      <c r="AW274" s="6"/>
      <c r="AX274" s="6" t="s">
        <v>3149</v>
      </c>
      <c r="AY274" s="6" t="s">
        <v>3150</v>
      </c>
      <c r="AZ274" s="6" t="s">
        <v>3151</v>
      </c>
      <c r="BA274" s="6" t="s">
        <v>3152</v>
      </c>
      <c r="BB274" s="6"/>
      <c r="BC274" s="11" t="str">
        <f aca="false">IFERROR(INDEX(CATEGORY_MASTER!$C$4:$C$30,MATCH(B274,CATEGORY_MASTER!$A$4:$A$30,0)),"")</f>
        <v>💡</v>
      </c>
      <c r="BD274" s="7" t="str">
        <f aca="false">"/services/"&amp;AO274</f>
        <v>/services/mobile-postpaid-bill-payment</v>
      </c>
      <c r="BE274" s="7" t="str">
        <f aca="false">IF(AND(AH274="Yes",AG274="Active",I274&lt;&gt;"Not Available"),"LIVE","HIDDEN")</f>
        <v>HIDDEN</v>
      </c>
      <c r="BF274" s="6" t="s">
        <v>139</v>
      </c>
      <c r="BG274" s="6" t="s">
        <v>452</v>
      </c>
      <c r="BH274" s="7" t="str">
        <f aca="false">B274&amp;"|"&amp;COUNTIF($B$4:B274,B274)</f>
        <v>Recharge / Bill Payment|4</v>
      </c>
      <c r="BI274" s="7" t="str">
        <f aca="false">IF(AND(AI274="Yes",BE274="LIVE"),COUNTIFS($AI$4:AI274,"Yes",$BE$4:BE274,"LIVE"),"")</f>
        <v/>
      </c>
      <c r="BJ274" s="7" t="str">
        <f aca="false">IF(AND(AJ274="Yes",BE274="LIVE"),COUNTIFS($AJ$4:AJ274,"Yes",$BE$4:BE274,"LIVE"),"")</f>
        <v/>
      </c>
      <c r="BK274" s="7" t="str">
        <f aca="false">IF(AND(AK274="Yes",BE274="LIVE"),COUNTIFS($AK$4:AK274,"Yes",$BE$4:BE274,"LIVE"),"")</f>
        <v/>
      </c>
      <c r="BL274" s="7" t="str">
        <f aca="false">IF(I274="To Verify",COUNTIF($I$4:I274,"To Verify"),"")</f>
        <v/>
      </c>
    </row>
    <row r="275" customFormat="false" ht="57.45" hidden="false" customHeight="false" outlineLevel="0" collapsed="false">
      <c r="A275" s="5" t="s">
        <v>3153</v>
      </c>
      <c r="B275" s="6" t="s">
        <v>3101</v>
      </c>
      <c r="C275" s="6" t="s">
        <v>3102</v>
      </c>
      <c r="D275" s="6" t="s">
        <v>3141</v>
      </c>
      <c r="E275" s="6" t="s">
        <v>3154</v>
      </c>
      <c r="F275" s="6" t="s">
        <v>3155</v>
      </c>
      <c r="G275" s="6" t="s">
        <v>3156</v>
      </c>
      <c r="H275" s="6" t="s">
        <v>3157</v>
      </c>
      <c r="I275" s="5" t="s">
        <v>12</v>
      </c>
      <c r="J275" s="7" t="str">
        <f aca="false">IFERROR(INDEX(AVAILABILITY_MASTER!$C$4:$C$10,MATCH(I275,AVAILABILITY_MASTER!$A$4:$A$10,0)),"To Be Confirmed")</f>
        <v>Please Confirm at Shop</v>
      </c>
      <c r="K275" s="6" t="s">
        <v>74</v>
      </c>
      <c r="L275" s="6" t="s">
        <v>75</v>
      </c>
      <c r="M275" s="7" t="str">
        <f aca="false">IFERROR(INDEX(SERVICE_DOCUMENTS!$S$4:$S$1000,MATCH(A275,SERVICE_DOCUMENTS!$A$4:$A$1000,0))&amp;"","")</f>
        <v>✓ Consumer / Account Number
✓ Cash Amount</v>
      </c>
      <c r="N275" s="7" t="str">
        <f aca="false">IFERROR(INDEX(SERVICE_DOCUMENTS!$T$4:$T$1000,MATCH(A275,SERVICE_DOCUMENTS!$A$4:$A$1000,0))&amp;"","")</f>
        <v/>
      </c>
      <c r="O275" s="6" t="s">
        <v>1882</v>
      </c>
      <c r="P275" s="6" t="s">
        <v>3158</v>
      </c>
      <c r="Q275" s="6" t="s">
        <v>440</v>
      </c>
      <c r="R275" s="8" t="s">
        <v>441</v>
      </c>
      <c r="S275" s="8" t="s">
        <v>75</v>
      </c>
      <c r="T275" s="9" t="str">
        <f aca="false">IF(AND(OR(ISNUMBER(R275),R275="N/A"),OR(ISNUMBER(S275),S275="N/A"),OR(ISNUMBER(R275),ISNUMBER(S275))),N(R275)+N(S275),"To Verify")</f>
        <v>To Verify</v>
      </c>
      <c r="U275" s="6" t="s">
        <v>1884</v>
      </c>
      <c r="V275" s="6" t="s">
        <v>79</v>
      </c>
      <c r="W275" s="6" t="s">
        <v>80</v>
      </c>
      <c r="X275" s="6" t="s">
        <v>443</v>
      </c>
      <c r="Y275" s="6" t="s">
        <v>129</v>
      </c>
      <c r="Z275" s="6"/>
      <c r="AA275" s="6" t="s">
        <v>74</v>
      </c>
      <c r="AB275" s="6" t="s">
        <v>79</v>
      </c>
      <c r="AC275" s="6" t="s">
        <v>75</v>
      </c>
      <c r="AD275" s="6" t="s">
        <v>75</v>
      </c>
      <c r="AE275" s="6" t="s">
        <v>79</v>
      </c>
      <c r="AF275" s="6" t="s">
        <v>79</v>
      </c>
      <c r="AG275" s="6" t="s">
        <v>75</v>
      </c>
      <c r="AH275" s="6" t="s">
        <v>79</v>
      </c>
      <c r="AI275" s="6" t="s">
        <v>79</v>
      </c>
      <c r="AJ275" s="6" t="s">
        <v>79</v>
      </c>
      <c r="AK275" s="6" t="s">
        <v>79</v>
      </c>
      <c r="AL275" s="6" t="s">
        <v>3101</v>
      </c>
      <c r="AM275" s="6" t="s">
        <v>3141</v>
      </c>
      <c r="AN275" s="7" t="str">
        <f aca="false">BA275&amp;", "&amp;AZ275</f>
        <v>Electricity Bill Payment, Recharge / Bill Payment, Devmobile Stores, बिजली बिल भुगतान, रिचार्ज / बिल भुगतान, सेवा</v>
      </c>
      <c r="AO275" s="6" t="s">
        <v>3159</v>
      </c>
      <c r="AP275" s="5" t="s">
        <v>3148</v>
      </c>
      <c r="AQ275" s="5" t="n">
        <v>50</v>
      </c>
      <c r="AR275" s="6" t="s">
        <v>3111</v>
      </c>
      <c r="AS275" s="6" t="s">
        <v>474</v>
      </c>
      <c r="AT275" s="6" t="s">
        <v>86</v>
      </c>
      <c r="AU275" s="10"/>
      <c r="AV275" s="6" t="s">
        <v>75</v>
      </c>
      <c r="AW275" s="6"/>
      <c r="AX275" s="6" t="s">
        <v>3160</v>
      </c>
      <c r="AY275" s="6" t="s">
        <v>3161</v>
      </c>
      <c r="AZ275" s="6" t="s">
        <v>3162</v>
      </c>
      <c r="BA275" s="6" t="s">
        <v>3163</v>
      </c>
      <c r="BB275" s="6"/>
      <c r="BC275" s="11" t="str">
        <f aca="false">IFERROR(INDEX(CATEGORY_MASTER!$C$4:$C$30,MATCH(B275,CATEGORY_MASTER!$A$4:$A$30,0)),"")</f>
        <v>💡</v>
      </c>
      <c r="BD275" s="7" t="str">
        <f aca="false">"/services/"&amp;AO275</f>
        <v>/services/electricity-bill-payment</v>
      </c>
      <c r="BE275" s="7" t="str">
        <f aca="false">IF(AND(AH275="Yes",AG275="Active",I275&lt;&gt;"Not Available"),"LIVE","HIDDEN")</f>
        <v>HIDDEN</v>
      </c>
      <c r="BF275" s="6" t="s">
        <v>139</v>
      </c>
      <c r="BG275" s="6" t="s">
        <v>452</v>
      </c>
      <c r="BH275" s="7" t="str">
        <f aca="false">B275&amp;"|"&amp;COUNTIF($B$4:B275,B275)</f>
        <v>Recharge / Bill Payment|5</v>
      </c>
      <c r="BI275" s="7" t="str">
        <f aca="false">IF(AND(AI275="Yes",BE275="LIVE"),COUNTIFS($AI$4:AI275,"Yes",$BE$4:BE275,"LIVE"),"")</f>
        <v/>
      </c>
      <c r="BJ275" s="7" t="str">
        <f aca="false">IF(AND(AJ275="Yes",BE275="LIVE"),COUNTIFS($AJ$4:AJ275,"Yes",$BE$4:BE275,"LIVE"),"")</f>
        <v/>
      </c>
      <c r="BK275" s="7" t="str">
        <f aca="false">IF(AND(AK275="Yes",BE275="LIVE"),COUNTIFS($AK$4:AK275,"Yes",$BE$4:BE275,"LIVE"),"")</f>
        <v/>
      </c>
      <c r="BL275" s="7" t="str">
        <f aca="false">IF(I275="To Verify",COUNTIF($I$4:I275,"To Verify"),"")</f>
        <v/>
      </c>
    </row>
    <row r="276" customFormat="false" ht="57.45" hidden="false" customHeight="false" outlineLevel="0" collapsed="false">
      <c r="A276" s="5" t="s">
        <v>3164</v>
      </c>
      <c r="B276" s="6" t="s">
        <v>3101</v>
      </c>
      <c r="C276" s="6" t="s">
        <v>3102</v>
      </c>
      <c r="D276" s="6" t="s">
        <v>3141</v>
      </c>
      <c r="E276" s="6" t="s">
        <v>3165</v>
      </c>
      <c r="F276" s="6" t="s">
        <v>3166</v>
      </c>
      <c r="G276" s="6" t="s">
        <v>3167</v>
      </c>
      <c r="H276" s="6" t="s">
        <v>3168</v>
      </c>
      <c r="I276" s="5" t="s">
        <v>12</v>
      </c>
      <c r="J276" s="7" t="str">
        <f aca="false">IFERROR(INDEX(AVAILABILITY_MASTER!$C$4:$C$10,MATCH(I276,AVAILABILITY_MASTER!$A$4:$A$10,0)),"To Be Confirmed")</f>
        <v>Please Confirm at Shop</v>
      </c>
      <c r="K276" s="6" t="s">
        <v>74</v>
      </c>
      <c r="L276" s="6" t="s">
        <v>75</v>
      </c>
      <c r="M276" s="7" t="str">
        <f aca="false">IFERROR(INDEX(SERVICE_DOCUMENTS!$S$4:$S$1000,MATCH(A276,SERVICE_DOCUMENTS!$A$4:$A$1000,0))&amp;"","")</f>
        <v>✓ Consumer / Account Number
✓ Cash Amount</v>
      </c>
      <c r="N276" s="7" t="str">
        <f aca="false">IFERROR(INDEX(SERVICE_DOCUMENTS!$T$4:$T$1000,MATCH(A276,SERVICE_DOCUMENTS!$A$4:$A$1000,0))&amp;"","")</f>
        <v/>
      </c>
      <c r="O276" s="6" t="s">
        <v>1882</v>
      </c>
      <c r="P276" s="6" t="s">
        <v>3169</v>
      </c>
      <c r="Q276" s="6" t="s">
        <v>440</v>
      </c>
      <c r="R276" s="8" t="s">
        <v>441</v>
      </c>
      <c r="S276" s="8" t="s">
        <v>75</v>
      </c>
      <c r="T276" s="9" t="str">
        <f aca="false">IF(AND(OR(ISNUMBER(R276),R276="N/A"),OR(ISNUMBER(S276),S276="N/A"),OR(ISNUMBER(R276),ISNUMBER(S276))),N(R276)+N(S276),"To Verify")</f>
        <v>To Verify</v>
      </c>
      <c r="U276" s="6" t="s">
        <v>1884</v>
      </c>
      <c r="V276" s="6" t="s">
        <v>79</v>
      </c>
      <c r="W276" s="6" t="s">
        <v>80</v>
      </c>
      <c r="X276" s="6" t="s">
        <v>443</v>
      </c>
      <c r="Y276" s="6" t="s">
        <v>129</v>
      </c>
      <c r="Z276" s="6"/>
      <c r="AA276" s="6" t="s">
        <v>74</v>
      </c>
      <c r="AB276" s="6" t="s">
        <v>79</v>
      </c>
      <c r="AC276" s="6" t="s">
        <v>75</v>
      </c>
      <c r="AD276" s="6" t="s">
        <v>75</v>
      </c>
      <c r="AE276" s="6" t="s">
        <v>79</v>
      </c>
      <c r="AF276" s="6" t="s">
        <v>79</v>
      </c>
      <c r="AG276" s="6" t="s">
        <v>75</v>
      </c>
      <c r="AH276" s="6" t="s">
        <v>79</v>
      </c>
      <c r="AI276" s="6" t="s">
        <v>79</v>
      </c>
      <c r="AJ276" s="6" t="s">
        <v>79</v>
      </c>
      <c r="AK276" s="6" t="s">
        <v>79</v>
      </c>
      <c r="AL276" s="6" t="s">
        <v>3101</v>
      </c>
      <c r="AM276" s="6" t="s">
        <v>3141</v>
      </c>
      <c r="AN276" s="7" t="str">
        <f aca="false">BA276&amp;", "&amp;AZ276</f>
        <v>Water Bill Payment, Recharge / Bill Payment, Devmobile Stores, पानी बिल भुगतान, रिचार्ज / बिल भुगतान, सेवा</v>
      </c>
      <c r="AO276" s="6" t="s">
        <v>3170</v>
      </c>
      <c r="AP276" s="5" t="s">
        <v>3148</v>
      </c>
      <c r="AQ276" s="5" t="n">
        <v>60</v>
      </c>
      <c r="AR276" s="6" t="s">
        <v>3111</v>
      </c>
      <c r="AS276" s="6" t="s">
        <v>474</v>
      </c>
      <c r="AT276" s="6" t="s">
        <v>86</v>
      </c>
      <c r="AU276" s="10"/>
      <c r="AV276" s="6" t="s">
        <v>75</v>
      </c>
      <c r="AW276" s="6"/>
      <c r="AX276" s="6" t="s">
        <v>3171</v>
      </c>
      <c r="AY276" s="6" t="s">
        <v>3172</v>
      </c>
      <c r="AZ276" s="6" t="s">
        <v>3173</v>
      </c>
      <c r="BA276" s="6" t="s">
        <v>3174</v>
      </c>
      <c r="BB276" s="6"/>
      <c r="BC276" s="11" t="str">
        <f aca="false">IFERROR(INDEX(CATEGORY_MASTER!$C$4:$C$30,MATCH(B276,CATEGORY_MASTER!$A$4:$A$30,0)),"")</f>
        <v>💡</v>
      </c>
      <c r="BD276" s="7" t="str">
        <f aca="false">"/services/"&amp;AO276</f>
        <v>/services/water-bill-payment</v>
      </c>
      <c r="BE276" s="7" t="str">
        <f aca="false">IF(AND(AH276="Yes",AG276="Active",I276&lt;&gt;"Not Available"),"LIVE","HIDDEN")</f>
        <v>HIDDEN</v>
      </c>
      <c r="BF276" s="6" t="s">
        <v>139</v>
      </c>
      <c r="BG276" s="6" t="s">
        <v>452</v>
      </c>
      <c r="BH276" s="7" t="str">
        <f aca="false">B276&amp;"|"&amp;COUNTIF($B$4:B276,B276)</f>
        <v>Recharge / Bill Payment|6</v>
      </c>
      <c r="BI276" s="7" t="str">
        <f aca="false">IF(AND(AI276="Yes",BE276="LIVE"),COUNTIFS($AI$4:AI276,"Yes",$BE$4:BE276,"LIVE"),"")</f>
        <v/>
      </c>
      <c r="BJ276" s="7" t="str">
        <f aca="false">IF(AND(AJ276="Yes",BE276="LIVE"),COUNTIFS($AJ$4:AJ276,"Yes",$BE$4:BE276,"LIVE"),"")</f>
        <v/>
      </c>
      <c r="BK276" s="7" t="str">
        <f aca="false">IF(AND(AK276="Yes",BE276="LIVE"),COUNTIFS($AK$4:AK276,"Yes",$BE$4:BE276,"LIVE"),"")</f>
        <v/>
      </c>
      <c r="BL276" s="7" t="str">
        <f aca="false">IF(I276="To Verify",COUNTIF($I$4:I276,"To Verify"),"")</f>
        <v/>
      </c>
    </row>
    <row r="277" customFormat="false" ht="57.45" hidden="false" customHeight="false" outlineLevel="0" collapsed="false">
      <c r="A277" s="5" t="s">
        <v>3175</v>
      </c>
      <c r="B277" s="6" t="s">
        <v>3101</v>
      </c>
      <c r="C277" s="6" t="s">
        <v>3102</v>
      </c>
      <c r="D277" s="6" t="s">
        <v>3141</v>
      </c>
      <c r="E277" s="6" t="s">
        <v>3176</v>
      </c>
      <c r="F277" s="6" t="s">
        <v>3177</v>
      </c>
      <c r="G277" s="6" t="s">
        <v>3178</v>
      </c>
      <c r="H277" s="6" t="s">
        <v>3179</v>
      </c>
      <c r="I277" s="5" t="s">
        <v>12</v>
      </c>
      <c r="J277" s="7" t="str">
        <f aca="false">IFERROR(INDEX(AVAILABILITY_MASTER!$C$4:$C$10,MATCH(I277,AVAILABILITY_MASTER!$A$4:$A$10,0)),"To Be Confirmed")</f>
        <v>Please Confirm at Shop</v>
      </c>
      <c r="K277" s="6" t="s">
        <v>74</v>
      </c>
      <c r="L277" s="6" t="s">
        <v>75</v>
      </c>
      <c r="M277" s="7" t="str">
        <f aca="false">IFERROR(INDEX(SERVICE_DOCUMENTS!$S$4:$S$1000,MATCH(A277,SERVICE_DOCUMENTS!$A$4:$A$1000,0))&amp;"","")</f>
        <v>✓ Consumer / Account Number
✓ Cash Amount</v>
      </c>
      <c r="N277" s="7" t="str">
        <f aca="false">IFERROR(INDEX(SERVICE_DOCUMENTS!$T$4:$T$1000,MATCH(A277,SERVICE_DOCUMENTS!$A$4:$A$1000,0))&amp;"","")</f>
        <v/>
      </c>
      <c r="O277" s="6" t="s">
        <v>1882</v>
      </c>
      <c r="P277" s="6" t="s">
        <v>3180</v>
      </c>
      <c r="Q277" s="6" t="s">
        <v>440</v>
      </c>
      <c r="R277" s="8" t="s">
        <v>441</v>
      </c>
      <c r="S277" s="8" t="s">
        <v>75</v>
      </c>
      <c r="T277" s="9" t="str">
        <f aca="false">IF(AND(OR(ISNUMBER(R277),R277="N/A"),OR(ISNUMBER(S277),S277="N/A"),OR(ISNUMBER(R277),ISNUMBER(S277))),N(R277)+N(S277),"To Verify")</f>
        <v>To Verify</v>
      </c>
      <c r="U277" s="6" t="s">
        <v>1884</v>
      </c>
      <c r="V277" s="6" t="s">
        <v>79</v>
      </c>
      <c r="W277" s="6" t="s">
        <v>80</v>
      </c>
      <c r="X277" s="6" t="s">
        <v>443</v>
      </c>
      <c r="Y277" s="6" t="s">
        <v>129</v>
      </c>
      <c r="Z277" s="6"/>
      <c r="AA277" s="6" t="s">
        <v>74</v>
      </c>
      <c r="AB277" s="6" t="s">
        <v>79</v>
      </c>
      <c r="AC277" s="6" t="s">
        <v>75</v>
      </c>
      <c r="AD277" s="6" t="s">
        <v>75</v>
      </c>
      <c r="AE277" s="6" t="s">
        <v>79</v>
      </c>
      <c r="AF277" s="6" t="s">
        <v>79</v>
      </c>
      <c r="AG277" s="6" t="s">
        <v>75</v>
      </c>
      <c r="AH277" s="6" t="s">
        <v>79</v>
      </c>
      <c r="AI277" s="6" t="s">
        <v>79</v>
      </c>
      <c r="AJ277" s="6" t="s">
        <v>79</v>
      </c>
      <c r="AK277" s="6" t="s">
        <v>79</v>
      </c>
      <c r="AL277" s="6" t="s">
        <v>3101</v>
      </c>
      <c r="AM277" s="6" t="s">
        <v>3141</v>
      </c>
      <c r="AN277" s="7" t="str">
        <f aca="false">BA277&amp;", "&amp;AZ277</f>
        <v>Gas (Piped / PNG) Bill Payment, Recharge / Bill Payment, Devmobile Stores, गैस (PNG) बिल भुगतान, रिचार्ज / बिल भुगतान, सेवा</v>
      </c>
      <c r="AO277" s="6" t="s">
        <v>3181</v>
      </c>
      <c r="AP277" s="5" t="s">
        <v>3148</v>
      </c>
      <c r="AQ277" s="5" t="n">
        <v>70</v>
      </c>
      <c r="AR277" s="6" t="s">
        <v>3111</v>
      </c>
      <c r="AS277" s="6" t="s">
        <v>474</v>
      </c>
      <c r="AT277" s="6" t="s">
        <v>86</v>
      </c>
      <c r="AU277" s="10"/>
      <c r="AV277" s="6" t="s">
        <v>75</v>
      </c>
      <c r="AW277" s="6"/>
      <c r="AX277" s="6" t="s">
        <v>3182</v>
      </c>
      <c r="AY277" s="6" t="s">
        <v>3183</v>
      </c>
      <c r="AZ277" s="6" t="s">
        <v>3184</v>
      </c>
      <c r="BA277" s="6" t="s">
        <v>3185</v>
      </c>
      <c r="BB277" s="6"/>
      <c r="BC277" s="11" t="str">
        <f aca="false">IFERROR(INDEX(CATEGORY_MASTER!$C$4:$C$30,MATCH(B277,CATEGORY_MASTER!$A$4:$A$30,0)),"")</f>
        <v>💡</v>
      </c>
      <c r="BD277" s="7" t="str">
        <f aca="false">"/services/"&amp;AO277</f>
        <v>/services/gas-piped-png-bill-payment</v>
      </c>
      <c r="BE277" s="7" t="str">
        <f aca="false">IF(AND(AH277="Yes",AG277="Active",I277&lt;&gt;"Not Available"),"LIVE","HIDDEN")</f>
        <v>HIDDEN</v>
      </c>
      <c r="BF277" s="6" t="s">
        <v>139</v>
      </c>
      <c r="BG277" s="6" t="s">
        <v>452</v>
      </c>
      <c r="BH277" s="7" t="str">
        <f aca="false">B277&amp;"|"&amp;COUNTIF($B$4:B277,B277)</f>
        <v>Recharge / Bill Payment|7</v>
      </c>
      <c r="BI277" s="7" t="str">
        <f aca="false">IF(AND(AI277="Yes",BE277="LIVE"),COUNTIFS($AI$4:AI277,"Yes",$BE$4:BE277,"LIVE"),"")</f>
        <v/>
      </c>
      <c r="BJ277" s="7" t="str">
        <f aca="false">IF(AND(AJ277="Yes",BE277="LIVE"),COUNTIFS($AJ$4:AJ277,"Yes",$BE$4:BE277,"LIVE"),"")</f>
        <v/>
      </c>
      <c r="BK277" s="7" t="str">
        <f aca="false">IF(AND(AK277="Yes",BE277="LIVE"),COUNTIFS($AK$4:AK277,"Yes",$BE$4:BE277,"LIVE"),"")</f>
        <v/>
      </c>
      <c r="BL277" s="7" t="str">
        <f aca="false">IF(I277="To Verify",COUNTIF($I$4:I277,"To Verify"),"")</f>
        <v/>
      </c>
    </row>
    <row r="278" customFormat="false" ht="57.45" hidden="false" customHeight="false" outlineLevel="0" collapsed="false">
      <c r="A278" s="5" t="s">
        <v>3186</v>
      </c>
      <c r="B278" s="6" t="s">
        <v>3101</v>
      </c>
      <c r="C278" s="6" t="s">
        <v>3102</v>
      </c>
      <c r="D278" s="6" t="s">
        <v>3141</v>
      </c>
      <c r="E278" s="6" t="s">
        <v>3187</v>
      </c>
      <c r="F278" s="6" t="s">
        <v>3188</v>
      </c>
      <c r="G278" s="6" t="s">
        <v>3189</v>
      </c>
      <c r="H278" s="6" t="s">
        <v>3190</v>
      </c>
      <c r="I278" s="5" t="s">
        <v>12</v>
      </c>
      <c r="J278" s="7" t="str">
        <f aca="false">IFERROR(INDEX(AVAILABILITY_MASTER!$C$4:$C$10,MATCH(I278,AVAILABILITY_MASTER!$A$4:$A$10,0)),"To Be Confirmed")</f>
        <v>Please Confirm at Shop</v>
      </c>
      <c r="K278" s="6" t="s">
        <v>74</v>
      </c>
      <c r="L278" s="6" t="s">
        <v>75</v>
      </c>
      <c r="M278" s="7" t="str">
        <f aca="false">IFERROR(INDEX(SERVICE_DOCUMENTS!$S$4:$S$1000,MATCH(A278,SERVICE_DOCUMENTS!$A$4:$A$1000,0))&amp;"","")</f>
        <v>✓ Consumer / Account Number
✓ Cash Amount</v>
      </c>
      <c r="N278" s="7" t="str">
        <f aca="false">IFERROR(INDEX(SERVICE_DOCUMENTS!$T$4:$T$1000,MATCH(A278,SERVICE_DOCUMENTS!$A$4:$A$1000,0))&amp;"","")</f>
        <v/>
      </c>
      <c r="O278" s="6" t="s">
        <v>1882</v>
      </c>
      <c r="P278" s="6" t="s">
        <v>3191</v>
      </c>
      <c r="Q278" s="6" t="s">
        <v>440</v>
      </c>
      <c r="R278" s="8" t="s">
        <v>441</v>
      </c>
      <c r="S278" s="8" t="s">
        <v>75</v>
      </c>
      <c r="T278" s="9" t="str">
        <f aca="false">IF(AND(OR(ISNUMBER(R278),R278="N/A"),OR(ISNUMBER(S278),S278="N/A"),OR(ISNUMBER(R278),ISNUMBER(S278))),N(R278)+N(S278),"To Verify")</f>
        <v>To Verify</v>
      </c>
      <c r="U278" s="6" t="s">
        <v>1884</v>
      </c>
      <c r="V278" s="6" t="s">
        <v>79</v>
      </c>
      <c r="W278" s="6" t="s">
        <v>80</v>
      </c>
      <c r="X278" s="6" t="s">
        <v>443</v>
      </c>
      <c r="Y278" s="6" t="s">
        <v>129</v>
      </c>
      <c r="Z278" s="6"/>
      <c r="AA278" s="6" t="s">
        <v>74</v>
      </c>
      <c r="AB278" s="6" t="s">
        <v>79</v>
      </c>
      <c r="AC278" s="6" t="s">
        <v>75</v>
      </c>
      <c r="AD278" s="6" t="s">
        <v>75</v>
      </c>
      <c r="AE278" s="6" t="s">
        <v>79</v>
      </c>
      <c r="AF278" s="6" t="s">
        <v>79</v>
      </c>
      <c r="AG278" s="6" t="s">
        <v>75</v>
      </c>
      <c r="AH278" s="6" t="s">
        <v>79</v>
      </c>
      <c r="AI278" s="6" t="s">
        <v>79</v>
      </c>
      <c r="AJ278" s="6" t="s">
        <v>79</v>
      </c>
      <c r="AK278" s="6" t="s">
        <v>79</v>
      </c>
      <c r="AL278" s="6" t="s">
        <v>3101</v>
      </c>
      <c r="AM278" s="6" t="s">
        <v>3141</v>
      </c>
      <c r="AN278" s="7" t="str">
        <f aca="false">BA278&amp;", "&amp;AZ278</f>
        <v>LPG Cylinder Booking / Payment, Recharge / Bill Payment, Devmobile Stores, LPG सिलेंडर बुकिंग / भुगतान, रिचार्ज / बिल भुगतान, सेवा</v>
      </c>
      <c r="AO278" s="6" t="s">
        <v>3192</v>
      </c>
      <c r="AP278" s="5" t="s">
        <v>3148</v>
      </c>
      <c r="AQ278" s="5" t="n">
        <v>80</v>
      </c>
      <c r="AR278" s="6" t="s">
        <v>3111</v>
      </c>
      <c r="AS278" s="6" t="s">
        <v>474</v>
      </c>
      <c r="AT278" s="6" t="s">
        <v>86</v>
      </c>
      <c r="AU278" s="10"/>
      <c r="AV278" s="6" t="s">
        <v>75</v>
      </c>
      <c r="AW278" s="6"/>
      <c r="AX278" s="6" t="s">
        <v>3193</v>
      </c>
      <c r="AY278" s="6" t="s">
        <v>3194</v>
      </c>
      <c r="AZ278" s="6" t="s">
        <v>3195</v>
      </c>
      <c r="BA278" s="6" t="s">
        <v>3196</v>
      </c>
      <c r="BB278" s="6"/>
      <c r="BC278" s="11" t="str">
        <f aca="false">IFERROR(INDEX(CATEGORY_MASTER!$C$4:$C$30,MATCH(B278,CATEGORY_MASTER!$A$4:$A$30,0)),"")</f>
        <v>💡</v>
      </c>
      <c r="BD278" s="7" t="str">
        <f aca="false">"/services/"&amp;AO278</f>
        <v>/services/lpg-cylinder-booking-payment</v>
      </c>
      <c r="BE278" s="7" t="str">
        <f aca="false">IF(AND(AH278="Yes",AG278="Active",I278&lt;&gt;"Not Available"),"LIVE","HIDDEN")</f>
        <v>HIDDEN</v>
      </c>
      <c r="BF278" s="6" t="s">
        <v>139</v>
      </c>
      <c r="BG278" s="6" t="s">
        <v>452</v>
      </c>
      <c r="BH278" s="7" t="str">
        <f aca="false">B278&amp;"|"&amp;COUNTIF($B$4:B278,B278)</f>
        <v>Recharge / Bill Payment|8</v>
      </c>
      <c r="BI278" s="7" t="str">
        <f aca="false">IF(AND(AI278="Yes",BE278="LIVE"),COUNTIFS($AI$4:AI278,"Yes",$BE$4:BE278,"LIVE"),"")</f>
        <v/>
      </c>
      <c r="BJ278" s="7" t="str">
        <f aca="false">IF(AND(AJ278="Yes",BE278="LIVE"),COUNTIFS($AJ$4:AJ278,"Yes",$BE$4:BE278,"LIVE"),"")</f>
        <v/>
      </c>
      <c r="BK278" s="7" t="str">
        <f aca="false">IF(AND(AK278="Yes",BE278="LIVE"),COUNTIFS($AK$4:AK278,"Yes",$BE$4:BE278,"LIVE"),"")</f>
        <v/>
      </c>
      <c r="BL278" s="7" t="str">
        <f aca="false">IF(I278="To Verify",COUNTIF($I$4:I278,"To Verify"),"")</f>
        <v/>
      </c>
    </row>
    <row r="279" customFormat="false" ht="57.45" hidden="false" customHeight="false" outlineLevel="0" collapsed="false">
      <c r="A279" s="5" t="s">
        <v>3197</v>
      </c>
      <c r="B279" s="6" t="s">
        <v>3101</v>
      </c>
      <c r="C279" s="6" t="s">
        <v>3102</v>
      </c>
      <c r="D279" s="6" t="s">
        <v>3141</v>
      </c>
      <c r="E279" s="6" t="s">
        <v>3198</v>
      </c>
      <c r="F279" s="6" t="s">
        <v>3199</v>
      </c>
      <c r="G279" s="6" t="s">
        <v>3200</v>
      </c>
      <c r="H279" s="6" t="s">
        <v>3201</v>
      </c>
      <c r="I279" s="5" t="s">
        <v>12</v>
      </c>
      <c r="J279" s="7" t="str">
        <f aca="false">IFERROR(INDEX(AVAILABILITY_MASTER!$C$4:$C$10,MATCH(I279,AVAILABILITY_MASTER!$A$4:$A$10,0)),"To Be Confirmed")</f>
        <v>Please Confirm at Shop</v>
      </c>
      <c r="K279" s="6" t="s">
        <v>74</v>
      </c>
      <c r="L279" s="6" t="s">
        <v>75</v>
      </c>
      <c r="M279" s="7" t="str">
        <f aca="false">IFERROR(INDEX(SERVICE_DOCUMENTS!$S$4:$S$1000,MATCH(A279,SERVICE_DOCUMENTS!$A$4:$A$1000,0))&amp;"","")</f>
        <v>✓ Consumer / Account Number
✓ Cash Amount</v>
      </c>
      <c r="N279" s="7" t="str">
        <f aca="false">IFERROR(INDEX(SERVICE_DOCUMENTS!$T$4:$T$1000,MATCH(A279,SERVICE_DOCUMENTS!$A$4:$A$1000,0))&amp;"","")</f>
        <v/>
      </c>
      <c r="O279" s="6" t="s">
        <v>1882</v>
      </c>
      <c r="P279" s="6" t="s">
        <v>3202</v>
      </c>
      <c r="Q279" s="6" t="s">
        <v>440</v>
      </c>
      <c r="R279" s="8" t="s">
        <v>441</v>
      </c>
      <c r="S279" s="8" t="s">
        <v>75</v>
      </c>
      <c r="T279" s="9" t="str">
        <f aca="false">IF(AND(OR(ISNUMBER(R279),R279="N/A"),OR(ISNUMBER(S279),S279="N/A"),OR(ISNUMBER(R279),ISNUMBER(S279))),N(R279)+N(S279),"To Verify")</f>
        <v>To Verify</v>
      </c>
      <c r="U279" s="6" t="s">
        <v>1884</v>
      </c>
      <c r="V279" s="6" t="s">
        <v>79</v>
      </c>
      <c r="W279" s="6" t="s">
        <v>80</v>
      </c>
      <c r="X279" s="6" t="s">
        <v>443</v>
      </c>
      <c r="Y279" s="6" t="s">
        <v>129</v>
      </c>
      <c r="Z279" s="6"/>
      <c r="AA279" s="6" t="s">
        <v>74</v>
      </c>
      <c r="AB279" s="6" t="s">
        <v>79</v>
      </c>
      <c r="AC279" s="6" t="s">
        <v>75</v>
      </c>
      <c r="AD279" s="6" t="s">
        <v>75</v>
      </c>
      <c r="AE279" s="6" t="s">
        <v>79</v>
      </c>
      <c r="AF279" s="6" t="s">
        <v>79</v>
      </c>
      <c r="AG279" s="6" t="s">
        <v>75</v>
      </c>
      <c r="AH279" s="6" t="s">
        <v>79</v>
      </c>
      <c r="AI279" s="6" t="s">
        <v>79</v>
      </c>
      <c r="AJ279" s="6" t="s">
        <v>79</v>
      </c>
      <c r="AK279" s="6" t="s">
        <v>79</v>
      </c>
      <c r="AL279" s="6" t="s">
        <v>3101</v>
      </c>
      <c r="AM279" s="6" t="s">
        <v>3141</v>
      </c>
      <c r="AN279" s="7" t="str">
        <f aca="false">BA279&amp;", "&amp;AZ279</f>
        <v>Broadband / Internet Bill Payment, Recharge / Bill Payment, Devmobile Stores, ब्रॉडबैंड / इंटरनेट बिल भुगतान, रिचार्ज / बिल भुगतान, सेवा</v>
      </c>
      <c r="AO279" s="6" t="s">
        <v>3203</v>
      </c>
      <c r="AP279" s="5" t="s">
        <v>3148</v>
      </c>
      <c r="AQ279" s="5" t="n">
        <v>90</v>
      </c>
      <c r="AR279" s="6" t="s">
        <v>3111</v>
      </c>
      <c r="AS279" s="6" t="s">
        <v>474</v>
      </c>
      <c r="AT279" s="6" t="s">
        <v>86</v>
      </c>
      <c r="AU279" s="10"/>
      <c r="AV279" s="6" t="s">
        <v>75</v>
      </c>
      <c r="AW279" s="6"/>
      <c r="AX279" s="6" t="s">
        <v>3204</v>
      </c>
      <c r="AY279" s="6" t="s">
        <v>3205</v>
      </c>
      <c r="AZ279" s="6" t="s">
        <v>3206</v>
      </c>
      <c r="BA279" s="6" t="s">
        <v>3207</v>
      </c>
      <c r="BB279" s="6"/>
      <c r="BC279" s="11" t="str">
        <f aca="false">IFERROR(INDEX(CATEGORY_MASTER!$C$4:$C$30,MATCH(B279,CATEGORY_MASTER!$A$4:$A$30,0)),"")</f>
        <v>💡</v>
      </c>
      <c r="BD279" s="7" t="str">
        <f aca="false">"/services/"&amp;AO279</f>
        <v>/services/broadband-internet-bill-payment</v>
      </c>
      <c r="BE279" s="7" t="str">
        <f aca="false">IF(AND(AH279="Yes",AG279="Active",I279&lt;&gt;"Not Available"),"LIVE","HIDDEN")</f>
        <v>HIDDEN</v>
      </c>
      <c r="BF279" s="6" t="s">
        <v>139</v>
      </c>
      <c r="BG279" s="6" t="s">
        <v>452</v>
      </c>
      <c r="BH279" s="7" t="str">
        <f aca="false">B279&amp;"|"&amp;COUNTIF($B$4:B279,B279)</f>
        <v>Recharge / Bill Payment|9</v>
      </c>
      <c r="BI279" s="7" t="str">
        <f aca="false">IF(AND(AI279="Yes",BE279="LIVE"),COUNTIFS($AI$4:AI279,"Yes",$BE$4:BE279,"LIVE"),"")</f>
        <v/>
      </c>
      <c r="BJ279" s="7" t="str">
        <f aca="false">IF(AND(AJ279="Yes",BE279="LIVE"),COUNTIFS($AJ$4:AJ279,"Yes",$BE$4:BE279,"LIVE"),"")</f>
        <v/>
      </c>
      <c r="BK279" s="7" t="str">
        <f aca="false">IF(AND(AK279="Yes",BE279="LIVE"),COUNTIFS($AK$4:AK279,"Yes",$BE$4:BE279,"LIVE"),"")</f>
        <v/>
      </c>
      <c r="BL279" s="7" t="str">
        <f aca="false">IF(I279="To Verify",COUNTIF($I$4:I279,"To Verify"),"")</f>
        <v/>
      </c>
    </row>
    <row r="280" customFormat="false" ht="57.45" hidden="false" customHeight="false" outlineLevel="0" collapsed="false">
      <c r="A280" s="5" t="s">
        <v>3208</v>
      </c>
      <c r="B280" s="6" t="s">
        <v>3101</v>
      </c>
      <c r="C280" s="6" t="s">
        <v>3102</v>
      </c>
      <c r="D280" s="6" t="s">
        <v>3141</v>
      </c>
      <c r="E280" s="6" t="s">
        <v>3209</v>
      </c>
      <c r="F280" s="6" t="s">
        <v>3210</v>
      </c>
      <c r="G280" s="6" t="s">
        <v>3211</v>
      </c>
      <c r="H280" s="6" t="s">
        <v>3212</v>
      </c>
      <c r="I280" s="5" t="s">
        <v>12</v>
      </c>
      <c r="J280" s="7" t="str">
        <f aca="false">IFERROR(INDEX(AVAILABILITY_MASTER!$C$4:$C$10,MATCH(I280,AVAILABILITY_MASTER!$A$4:$A$10,0)),"To Be Confirmed")</f>
        <v>Please Confirm at Shop</v>
      </c>
      <c r="K280" s="6" t="s">
        <v>74</v>
      </c>
      <c r="L280" s="6" t="s">
        <v>75</v>
      </c>
      <c r="M280" s="7" t="str">
        <f aca="false">IFERROR(INDEX(SERVICE_DOCUMENTS!$S$4:$S$1000,MATCH(A280,SERVICE_DOCUMENTS!$A$4:$A$1000,0))&amp;"","")</f>
        <v>✓ Consumer / Account Number
✓ Cash Amount</v>
      </c>
      <c r="N280" s="7" t="str">
        <f aca="false">IFERROR(INDEX(SERVICE_DOCUMENTS!$T$4:$T$1000,MATCH(A280,SERVICE_DOCUMENTS!$A$4:$A$1000,0))&amp;"","")</f>
        <v/>
      </c>
      <c r="O280" s="6" t="s">
        <v>1882</v>
      </c>
      <c r="P280" s="6" t="s">
        <v>3213</v>
      </c>
      <c r="Q280" s="6" t="s">
        <v>440</v>
      </c>
      <c r="R280" s="8" t="s">
        <v>441</v>
      </c>
      <c r="S280" s="8" t="s">
        <v>75</v>
      </c>
      <c r="T280" s="9" t="str">
        <f aca="false">IF(AND(OR(ISNUMBER(R280),R280="N/A"),OR(ISNUMBER(S280),S280="N/A"),OR(ISNUMBER(R280),ISNUMBER(S280))),N(R280)+N(S280),"To Verify")</f>
        <v>To Verify</v>
      </c>
      <c r="U280" s="6" t="s">
        <v>1884</v>
      </c>
      <c r="V280" s="6" t="s">
        <v>79</v>
      </c>
      <c r="W280" s="6" t="s">
        <v>80</v>
      </c>
      <c r="X280" s="6" t="s">
        <v>443</v>
      </c>
      <c r="Y280" s="6" t="s">
        <v>129</v>
      </c>
      <c r="Z280" s="6"/>
      <c r="AA280" s="6" t="s">
        <v>74</v>
      </c>
      <c r="AB280" s="6" t="s">
        <v>79</v>
      </c>
      <c r="AC280" s="6" t="s">
        <v>75</v>
      </c>
      <c r="AD280" s="6" t="s">
        <v>75</v>
      </c>
      <c r="AE280" s="6" t="s">
        <v>79</v>
      </c>
      <c r="AF280" s="6" t="s">
        <v>79</v>
      </c>
      <c r="AG280" s="6" t="s">
        <v>75</v>
      </c>
      <c r="AH280" s="6" t="s">
        <v>79</v>
      </c>
      <c r="AI280" s="6" t="s">
        <v>79</v>
      </c>
      <c r="AJ280" s="6" t="s">
        <v>79</v>
      </c>
      <c r="AK280" s="6" t="s">
        <v>79</v>
      </c>
      <c r="AL280" s="6" t="s">
        <v>3101</v>
      </c>
      <c r="AM280" s="6" t="s">
        <v>3141</v>
      </c>
      <c r="AN280" s="7" t="str">
        <f aca="false">BA280&amp;", "&amp;AZ280</f>
        <v>Landline Bill Payment, Recharge / Bill Payment, Devmobile Stores, लैंडलाइन बिल भुगतान, रिचार्ज / बिल भुगतान, सेवा</v>
      </c>
      <c r="AO280" s="6" t="s">
        <v>3214</v>
      </c>
      <c r="AP280" s="5" t="s">
        <v>3148</v>
      </c>
      <c r="AQ280" s="5" t="n">
        <v>100</v>
      </c>
      <c r="AR280" s="6" t="s">
        <v>3111</v>
      </c>
      <c r="AS280" s="6" t="s">
        <v>474</v>
      </c>
      <c r="AT280" s="6" t="s">
        <v>86</v>
      </c>
      <c r="AU280" s="10"/>
      <c r="AV280" s="6" t="s">
        <v>75</v>
      </c>
      <c r="AW280" s="6"/>
      <c r="AX280" s="6" t="s">
        <v>3215</v>
      </c>
      <c r="AY280" s="6" t="s">
        <v>3216</v>
      </c>
      <c r="AZ280" s="6" t="s">
        <v>3217</v>
      </c>
      <c r="BA280" s="6" t="s">
        <v>3218</v>
      </c>
      <c r="BB280" s="6"/>
      <c r="BC280" s="11" t="str">
        <f aca="false">IFERROR(INDEX(CATEGORY_MASTER!$C$4:$C$30,MATCH(B280,CATEGORY_MASTER!$A$4:$A$30,0)),"")</f>
        <v>💡</v>
      </c>
      <c r="BD280" s="7" t="str">
        <f aca="false">"/services/"&amp;AO280</f>
        <v>/services/landline-bill-payment</v>
      </c>
      <c r="BE280" s="7" t="str">
        <f aca="false">IF(AND(AH280="Yes",AG280="Active",I280&lt;&gt;"Not Available"),"LIVE","HIDDEN")</f>
        <v>HIDDEN</v>
      </c>
      <c r="BF280" s="6" t="s">
        <v>139</v>
      </c>
      <c r="BG280" s="6" t="s">
        <v>452</v>
      </c>
      <c r="BH280" s="7" t="str">
        <f aca="false">B280&amp;"|"&amp;COUNTIF($B$4:B280,B280)</f>
        <v>Recharge / Bill Payment|10</v>
      </c>
      <c r="BI280" s="7" t="str">
        <f aca="false">IF(AND(AI280="Yes",BE280="LIVE"),COUNTIFS($AI$4:AI280,"Yes",$BE$4:BE280,"LIVE"),"")</f>
        <v/>
      </c>
      <c r="BJ280" s="7" t="str">
        <f aca="false">IF(AND(AJ280="Yes",BE280="LIVE"),COUNTIFS($AJ$4:AJ280,"Yes",$BE$4:BE280,"LIVE"),"")</f>
        <v/>
      </c>
      <c r="BK280" s="7" t="str">
        <f aca="false">IF(AND(AK280="Yes",BE280="LIVE"),COUNTIFS($AK$4:AK280,"Yes",$BE$4:BE280,"LIVE"),"")</f>
        <v/>
      </c>
      <c r="BL280" s="7" t="str">
        <f aca="false">IF(I280="To Verify",COUNTIF($I$4:I280,"To Verify"),"")</f>
        <v/>
      </c>
    </row>
    <row r="281" customFormat="false" ht="57.45" hidden="false" customHeight="false" outlineLevel="0" collapsed="false">
      <c r="A281" s="5" t="s">
        <v>3219</v>
      </c>
      <c r="B281" s="6" t="s">
        <v>3101</v>
      </c>
      <c r="C281" s="6" t="s">
        <v>3102</v>
      </c>
      <c r="D281" s="6" t="s">
        <v>3141</v>
      </c>
      <c r="E281" s="6" t="s">
        <v>3220</v>
      </c>
      <c r="F281" s="6" t="s">
        <v>3221</v>
      </c>
      <c r="G281" s="6" t="s">
        <v>3222</v>
      </c>
      <c r="H281" s="6" t="s">
        <v>3223</v>
      </c>
      <c r="I281" s="5" t="s">
        <v>12</v>
      </c>
      <c r="J281" s="7" t="str">
        <f aca="false">IFERROR(INDEX(AVAILABILITY_MASTER!$C$4:$C$10,MATCH(I281,AVAILABILITY_MASTER!$A$4:$A$10,0)),"To Be Confirmed")</f>
        <v>Please Confirm at Shop</v>
      </c>
      <c r="K281" s="6" t="s">
        <v>74</v>
      </c>
      <c r="L281" s="6" t="s">
        <v>75</v>
      </c>
      <c r="M281" s="7" t="str">
        <f aca="false">IFERROR(INDEX(SERVICE_DOCUMENTS!$S$4:$S$1000,MATCH(A281,SERVICE_DOCUMENTS!$A$4:$A$1000,0))&amp;"","")</f>
        <v>✓ Consumer / Account Number
✓ Cash Amount</v>
      </c>
      <c r="N281" s="7" t="str">
        <f aca="false">IFERROR(INDEX(SERVICE_DOCUMENTS!$T$4:$T$1000,MATCH(A281,SERVICE_DOCUMENTS!$A$4:$A$1000,0))&amp;"","")</f>
        <v/>
      </c>
      <c r="O281" s="6" t="s">
        <v>1882</v>
      </c>
      <c r="P281" s="6" t="s">
        <v>3224</v>
      </c>
      <c r="Q281" s="6" t="s">
        <v>440</v>
      </c>
      <c r="R281" s="8" t="s">
        <v>441</v>
      </c>
      <c r="S281" s="8" t="s">
        <v>75</v>
      </c>
      <c r="T281" s="9" t="str">
        <f aca="false">IF(AND(OR(ISNUMBER(R281),R281="N/A"),OR(ISNUMBER(S281),S281="N/A"),OR(ISNUMBER(R281),ISNUMBER(S281))),N(R281)+N(S281),"To Verify")</f>
        <v>To Verify</v>
      </c>
      <c r="U281" s="6" t="s">
        <v>1884</v>
      </c>
      <c r="V281" s="6" t="s">
        <v>79</v>
      </c>
      <c r="W281" s="6" t="s">
        <v>80</v>
      </c>
      <c r="X281" s="6" t="s">
        <v>443</v>
      </c>
      <c r="Y281" s="6" t="s">
        <v>129</v>
      </c>
      <c r="Z281" s="6"/>
      <c r="AA281" s="6" t="s">
        <v>74</v>
      </c>
      <c r="AB281" s="6" t="s">
        <v>79</v>
      </c>
      <c r="AC281" s="6" t="s">
        <v>75</v>
      </c>
      <c r="AD281" s="6" t="s">
        <v>75</v>
      </c>
      <c r="AE281" s="6" t="s">
        <v>79</v>
      </c>
      <c r="AF281" s="6" t="s">
        <v>79</v>
      </c>
      <c r="AG281" s="6" t="s">
        <v>75</v>
      </c>
      <c r="AH281" s="6" t="s">
        <v>79</v>
      </c>
      <c r="AI281" s="6" t="s">
        <v>79</v>
      </c>
      <c r="AJ281" s="6" t="s">
        <v>79</v>
      </c>
      <c r="AK281" s="6" t="s">
        <v>79</v>
      </c>
      <c r="AL281" s="6" t="s">
        <v>3101</v>
      </c>
      <c r="AM281" s="6" t="s">
        <v>3141</v>
      </c>
      <c r="AN281" s="7" t="str">
        <f aca="false">BA281&amp;", "&amp;AZ281</f>
        <v>Cable TV Bill Payment, Recharge / Bill Payment, Devmobile Stores, केबल टीवी बिल भुगतान, रिचार्ज / बिल भुगतान, सेवा</v>
      </c>
      <c r="AO281" s="6" t="s">
        <v>3225</v>
      </c>
      <c r="AP281" s="5" t="s">
        <v>3148</v>
      </c>
      <c r="AQ281" s="5" t="n">
        <v>110</v>
      </c>
      <c r="AR281" s="6" t="s">
        <v>3111</v>
      </c>
      <c r="AS281" s="6" t="s">
        <v>474</v>
      </c>
      <c r="AT281" s="6" t="s">
        <v>86</v>
      </c>
      <c r="AU281" s="10"/>
      <c r="AV281" s="6" t="s">
        <v>75</v>
      </c>
      <c r="AW281" s="6"/>
      <c r="AX281" s="6" t="s">
        <v>3226</v>
      </c>
      <c r="AY281" s="6" t="s">
        <v>3227</v>
      </c>
      <c r="AZ281" s="6" t="s">
        <v>3228</v>
      </c>
      <c r="BA281" s="6" t="s">
        <v>3229</v>
      </c>
      <c r="BB281" s="6"/>
      <c r="BC281" s="11" t="str">
        <f aca="false">IFERROR(INDEX(CATEGORY_MASTER!$C$4:$C$30,MATCH(B281,CATEGORY_MASTER!$A$4:$A$30,0)),"")</f>
        <v>💡</v>
      </c>
      <c r="BD281" s="7" t="str">
        <f aca="false">"/services/"&amp;AO281</f>
        <v>/services/cable-tv-bill-payment</v>
      </c>
      <c r="BE281" s="7" t="str">
        <f aca="false">IF(AND(AH281="Yes",AG281="Active",I281&lt;&gt;"Not Available"),"LIVE","HIDDEN")</f>
        <v>HIDDEN</v>
      </c>
      <c r="BF281" s="6" t="s">
        <v>139</v>
      </c>
      <c r="BG281" s="6" t="s">
        <v>452</v>
      </c>
      <c r="BH281" s="7" t="str">
        <f aca="false">B281&amp;"|"&amp;COUNTIF($B$4:B281,B281)</f>
        <v>Recharge / Bill Payment|11</v>
      </c>
      <c r="BI281" s="7" t="str">
        <f aca="false">IF(AND(AI281="Yes",BE281="LIVE"),COUNTIFS($AI$4:AI281,"Yes",$BE$4:BE281,"LIVE"),"")</f>
        <v/>
      </c>
      <c r="BJ281" s="7" t="str">
        <f aca="false">IF(AND(AJ281="Yes",BE281="LIVE"),COUNTIFS($AJ$4:AJ281,"Yes",$BE$4:BE281,"LIVE"),"")</f>
        <v/>
      </c>
      <c r="BK281" s="7" t="str">
        <f aca="false">IF(AND(AK281="Yes",BE281="LIVE"),COUNTIFS($AK$4:AK281,"Yes",$BE$4:BE281,"LIVE"),"")</f>
        <v/>
      </c>
      <c r="BL281" s="7" t="str">
        <f aca="false">IF(I281="To Verify",COUNTIF($I$4:I281,"To Verify"),"")</f>
        <v/>
      </c>
    </row>
    <row r="282" customFormat="false" ht="68.65" hidden="false" customHeight="false" outlineLevel="0" collapsed="false">
      <c r="A282" s="5" t="s">
        <v>3230</v>
      </c>
      <c r="B282" s="6" t="s">
        <v>3101</v>
      </c>
      <c r="C282" s="6" t="s">
        <v>3102</v>
      </c>
      <c r="D282" s="6" t="s">
        <v>3141</v>
      </c>
      <c r="E282" s="6" t="s">
        <v>3231</v>
      </c>
      <c r="F282" s="6" t="s">
        <v>3232</v>
      </c>
      <c r="G282" s="6" t="s">
        <v>3233</v>
      </c>
      <c r="H282" s="6" t="s">
        <v>3234</v>
      </c>
      <c r="I282" s="5" t="s">
        <v>12</v>
      </c>
      <c r="J282" s="7" t="str">
        <f aca="false">IFERROR(INDEX(AVAILABILITY_MASTER!$C$4:$C$10,MATCH(I282,AVAILABILITY_MASTER!$A$4:$A$10,0)),"To Be Confirmed")</f>
        <v>Please Confirm at Shop</v>
      </c>
      <c r="K282" s="6" t="s">
        <v>74</v>
      </c>
      <c r="L282" s="6" t="s">
        <v>75</v>
      </c>
      <c r="M282" s="7" t="str">
        <f aca="false">IFERROR(INDEX(SERVICE_DOCUMENTS!$S$4:$S$1000,MATCH(A282,SERVICE_DOCUMENTS!$A$4:$A$1000,0))&amp;"","")</f>
        <v>✓ Consumer / Account Number
✓ Cash Amount</v>
      </c>
      <c r="N282" s="7" t="str">
        <f aca="false">IFERROR(INDEX(SERVICE_DOCUMENTS!$T$4:$T$1000,MATCH(A282,SERVICE_DOCUMENTS!$A$4:$A$1000,0))&amp;"","")</f>
        <v/>
      </c>
      <c r="O282" s="6" t="s">
        <v>1882</v>
      </c>
      <c r="P282" s="6" t="s">
        <v>3235</v>
      </c>
      <c r="Q282" s="6" t="s">
        <v>440</v>
      </c>
      <c r="R282" s="8" t="s">
        <v>441</v>
      </c>
      <c r="S282" s="8" t="s">
        <v>75</v>
      </c>
      <c r="T282" s="9" t="str">
        <f aca="false">IF(AND(OR(ISNUMBER(R282),R282="N/A"),OR(ISNUMBER(S282),S282="N/A"),OR(ISNUMBER(R282),ISNUMBER(S282))),N(R282)+N(S282),"To Verify")</f>
        <v>To Verify</v>
      </c>
      <c r="U282" s="6" t="s">
        <v>1884</v>
      </c>
      <c r="V282" s="6" t="s">
        <v>79</v>
      </c>
      <c r="W282" s="6" t="s">
        <v>80</v>
      </c>
      <c r="X282" s="6" t="s">
        <v>443</v>
      </c>
      <c r="Y282" s="6" t="s">
        <v>129</v>
      </c>
      <c r="Z282" s="6"/>
      <c r="AA282" s="6" t="s">
        <v>74</v>
      </c>
      <c r="AB282" s="6" t="s">
        <v>79</v>
      </c>
      <c r="AC282" s="6" t="s">
        <v>75</v>
      </c>
      <c r="AD282" s="6" t="s">
        <v>75</v>
      </c>
      <c r="AE282" s="6" t="s">
        <v>79</v>
      </c>
      <c r="AF282" s="6" t="s">
        <v>79</v>
      </c>
      <c r="AG282" s="6" t="s">
        <v>75</v>
      </c>
      <c r="AH282" s="6" t="s">
        <v>79</v>
      </c>
      <c r="AI282" s="6" t="s">
        <v>79</v>
      </c>
      <c r="AJ282" s="6" t="s">
        <v>79</v>
      </c>
      <c r="AK282" s="6" t="s">
        <v>79</v>
      </c>
      <c r="AL282" s="6" t="s">
        <v>3101</v>
      </c>
      <c r="AM282" s="6" t="s">
        <v>3141</v>
      </c>
      <c r="AN282" s="7" t="str">
        <f aca="false">BA282&amp;", "&amp;AZ282</f>
        <v>Insurance Premium Payment (LIC / Others), Recharge / Bill Payment, Devmobile Stores, बीमा (LIC आदि) प्रीमियम भुगतान, रिचार्ज / बिल भुगतान, सेवा</v>
      </c>
      <c r="AO282" s="6" t="s">
        <v>3236</v>
      </c>
      <c r="AP282" s="5" t="s">
        <v>3148</v>
      </c>
      <c r="AQ282" s="5" t="n">
        <v>120</v>
      </c>
      <c r="AR282" s="6" t="s">
        <v>3111</v>
      </c>
      <c r="AS282" s="6" t="s">
        <v>474</v>
      </c>
      <c r="AT282" s="6" t="s">
        <v>86</v>
      </c>
      <c r="AU282" s="10"/>
      <c r="AV282" s="6" t="s">
        <v>75</v>
      </c>
      <c r="AW282" s="6"/>
      <c r="AX282" s="6" t="s">
        <v>3237</v>
      </c>
      <c r="AY282" s="6" t="s">
        <v>3238</v>
      </c>
      <c r="AZ282" s="6" t="s">
        <v>3239</v>
      </c>
      <c r="BA282" s="6" t="s">
        <v>3240</v>
      </c>
      <c r="BB282" s="6"/>
      <c r="BC282" s="11" t="str">
        <f aca="false">IFERROR(INDEX(CATEGORY_MASTER!$C$4:$C$30,MATCH(B282,CATEGORY_MASTER!$A$4:$A$30,0)),"")</f>
        <v>💡</v>
      </c>
      <c r="BD282" s="7" t="str">
        <f aca="false">"/services/"&amp;AO282</f>
        <v>/services/insurance-premium-payment-lic-others</v>
      </c>
      <c r="BE282" s="7" t="str">
        <f aca="false">IF(AND(AH282="Yes",AG282="Active",I282&lt;&gt;"Not Available"),"LIVE","HIDDEN")</f>
        <v>HIDDEN</v>
      </c>
      <c r="BF282" s="6" t="s">
        <v>139</v>
      </c>
      <c r="BG282" s="6" t="s">
        <v>452</v>
      </c>
      <c r="BH282" s="7" t="str">
        <f aca="false">B282&amp;"|"&amp;COUNTIF($B$4:B282,B282)</f>
        <v>Recharge / Bill Payment|12</v>
      </c>
      <c r="BI282" s="7" t="str">
        <f aca="false">IF(AND(AI282="Yes",BE282="LIVE"),COUNTIFS($AI$4:AI282,"Yes",$BE$4:BE282,"LIVE"),"")</f>
        <v/>
      </c>
      <c r="BJ282" s="7" t="str">
        <f aca="false">IF(AND(AJ282="Yes",BE282="LIVE"),COUNTIFS($AJ$4:AJ282,"Yes",$BE$4:BE282,"LIVE"),"")</f>
        <v/>
      </c>
      <c r="BK282" s="7" t="str">
        <f aca="false">IF(AND(AK282="Yes",BE282="LIVE"),COUNTIFS($AK$4:AK282,"Yes",$BE$4:BE282,"LIVE"),"")</f>
        <v/>
      </c>
      <c r="BL282" s="7" t="str">
        <f aca="false">IF(I282="To Verify",COUNTIF($I$4:I282,"To Verify"),"")</f>
        <v/>
      </c>
    </row>
    <row r="283" customFormat="false" ht="57.45" hidden="false" customHeight="false" outlineLevel="0" collapsed="false">
      <c r="A283" s="5" t="s">
        <v>3241</v>
      </c>
      <c r="B283" s="6" t="s">
        <v>3101</v>
      </c>
      <c r="C283" s="6" t="s">
        <v>3102</v>
      </c>
      <c r="D283" s="6" t="s">
        <v>3141</v>
      </c>
      <c r="E283" s="6" t="s">
        <v>3242</v>
      </c>
      <c r="F283" s="6" t="s">
        <v>3243</v>
      </c>
      <c r="G283" s="6" t="s">
        <v>3244</v>
      </c>
      <c r="H283" s="6" t="s">
        <v>3245</v>
      </c>
      <c r="I283" s="5" t="s">
        <v>12</v>
      </c>
      <c r="J283" s="7" t="str">
        <f aca="false">IFERROR(INDEX(AVAILABILITY_MASTER!$C$4:$C$10,MATCH(I283,AVAILABILITY_MASTER!$A$4:$A$10,0)),"To Be Confirmed")</f>
        <v>Please Confirm at Shop</v>
      </c>
      <c r="K283" s="6" t="s">
        <v>74</v>
      </c>
      <c r="L283" s="6" t="s">
        <v>75</v>
      </c>
      <c r="M283" s="7" t="str">
        <f aca="false">IFERROR(INDEX(SERVICE_DOCUMENTS!$S$4:$S$1000,MATCH(A283,SERVICE_DOCUMENTS!$A$4:$A$1000,0))&amp;"","")</f>
        <v>✓ Consumer / Account Number
✓ Cash Amount</v>
      </c>
      <c r="N283" s="7" t="str">
        <f aca="false">IFERROR(INDEX(SERVICE_DOCUMENTS!$T$4:$T$1000,MATCH(A283,SERVICE_DOCUMENTS!$A$4:$A$1000,0))&amp;"","")</f>
        <v/>
      </c>
      <c r="O283" s="6" t="s">
        <v>1882</v>
      </c>
      <c r="P283" s="6" t="s">
        <v>3246</v>
      </c>
      <c r="Q283" s="6" t="s">
        <v>440</v>
      </c>
      <c r="R283" s="8" t="s">
        <v>441</v>
      </c>
      <c r="S283" s="8" t="s">
        <v>75</v>
      </c>
      <c r="T283" s="9" t="str">
        <f aca="false">IF(AND(OR(ISNUMBER(R283),R283="N/A"),OR(ISNUMBER(S283),S283="N/A"),OR(ISNUMBER(R283),ISNUMBER(S283))),N(R283)+N(S283),"To Verify")</f>
        <v>To Verify</v>
      </c>
      <c r="U283" s="6" t="s">
        <v>1884</v>
      </c>
      <c r="V283" s="6" t="s">
        <v>79</v>
      </c>
      <c r="W283" s="6" t="s">
        <v>80</v>
      </c>
      <c r="X283" s="6" t="s">
        <v>443</v>
      </c>
      <c r="Y283" s="6" t="s">
        <v>129</v>
      </c>
      <c r="Z283" s="6"/>
      <c r="AA283" s="6" t="s">
        <v>74</v>
      </c>
      <c r="AB283" s="6" t="s">
        <v>79</v>
      </c>
      <c r="AC283" s="6" t="s">
        <v>75</v>
      </c>
      <c r="AD283" s="6" t="s">
        <v>75</v>
      </c>
      <c r="AE283" s="6" t="s">
        <v>79</v>
      </c>
      <c r="AF283" s="6" t="s">
        <v>79</v>
      </c>
      <c r="AG283" s="6" t="s">
        <v>75</v>
      </c>
      <c r="AH283" s="6" t="s">
        <v>79</v>
      </c>
      <c r="AI283" s="6" t="s">
        <v>79</v>
      </c>
      <c r="AJ283" s="6" t="s">
        <v>79</v>
      </c>
      <c r="AK283" s="6" t="s">
        <v>79</v>
      </c>
      <c r="AL283" s="6" t="s">
        <v>3101</v>
      </c>
      <c r="AM283" s="6" t="s">
        <v>3141</v>
      </c>
      <c r="AN283" s="7" t="str">
        <f aca="false">BA283&amp;", "&amp;AZ283</f>
        <v>Loan EMI Payment, Recharge / Bill Payment, Devmobile Stores, लोन EMI भुगतान, रिचार्ज / बिल भुगतान, सेवा</v>
      </c>
      <c r="AO283" s="6" t="s">
        <v>3247</v>
      </c>
      <c r="AP283" s="5" t="s">
        <v>3148</v>
      </c>
      <c r="AQ283" s="5" t="n">
        <v>130</v>
      </c>
      <c r="AR283" s="6" t="s">
        <v>3111</v>
      </c>
      <c r="AS283" s="6" t="s">
        <v>474</v>
      </c>
      <c r="AT283" s="6" t="s">
        <v>86</v>
      </c>
      <c r="AU283" s="10"/>
      <c r="AV283" s="6" t="s">
        <v>75</v>
      </c>
      <c r="AW283" s="6"/>
      <c r="AX283" s="6" t="s">
        <v>3248</v>
      </c>
      <c r="AY283" s="6" t="s">
        <v>3249</v>
      </c>
      <c r="AZ283" s="6" t="s">
        <v>3250</v>
      </c>
      <c r="BA283" s="6" t="s">
        <v>3251</v>
      </c>
      <c r="BB283" s="6"/>
      <c r="BC283" s="11" t="str">
        <f aca="false">IFERROR(INDEX(CATEGORY_MASTER!$C$4:$C$30,MATCH(B283,CATEGORY_MASTER!$A$4:$A$30,0)),"")</f>
        <v>💡</v>
      </c>
      <c r="BD283" s="7" t="str">
        <f aca="false">"/services/"&amp;AO283</f>
        <v>/services/loan-emi-payment</v>
      </c>
      <c r="BE283" s="7" t="str">
        <f aca="false">IF(AND(AH283="Yes",AG283="Active",I283&lt;&gt;"Not Available"),"LIVE","HIDDEN")</f>
        <v>HIDDEN</v>
      </c>
      <c r="BF283" s="6" t="s">
        <v>139</v>
      </c>
      <c r="BG283" s="6" t="s">
        <v>452</v>
      </c>
      <c r="BH283" s="7" t="str">
        <f aca="false">B283&amp;"|"&amp;COUNTIF($B$4:B283,B283)</f>
        <v>Recharge / Bill Payment|13</v>
      </c>
      <c r="BI283" s="7" t="str">
        <f aca="false">IF(AND(AI283="Yes",BE283="LIVE"),COUNTIFS($AI$4:AI283,"Yes",$BE$4:BE283,"LIVE"),"")</f>
        <v/>
      </c>
      <c r="BJ283" s="7" t="str">
        <f aca="false">IF(AND(AJ283="Yes",BE283="LIVE"),COUNTIFS($AJ$4:AJ283,"Yes",$BE$4:BE283,"LIVE"),"")</f>
        <v/>
      </c>
      <c r="BK283" s="7" t="str">
        <f aca="false">IF(AND(AK283="Yes",BE283="LIVE"),COUNTIFS($AK$4:AK283,"Yes",$BE$4:BE283,"LIVE"),"")</f>
        <v/>
      </c>
      <c r="BL283" s="7" t="str">
        <f aca="false">IF(I283="To Verify",COUNTIF($I$4:I283,"To Verify"),"")</f>
        <v/>
      </c>
    </row>
    <row r="284" customFormat="false" ht="57.45" hidden="false" customHeight="false" outlineLevel="0" collapsed="false">
      <c r="A284" s="5" t="s">
        <v>3252</v>
      </c>
      <c r="B284" s="6" t="s">
        <v>3101</v>
      </c>
      <c r="C284" s="6" t="s">
        <v>3102</v>
      </c>
      <c r="D284" s="6" t="s">
        <v>3141</v>
      </c>
      <c r="E284" s="6" t="s">
        <v>3253</v>
      </c>
      <c r="F284" s="6" t="s">
        <v>3254</v>
      </c>
      <c r="G284" s="6" t="s">
        <v>3255</v>
      </c>
      <c r="H284" s="6" t="s">
        <v>3256</v>
      </c>
      <c r="I284" s="5" t="s">
        <v>12</v>
      </c>
      <c r="J284" s="7" t="str">
        <f aca="false">IFERROR(INDEX(AVAILABILITY_MASTER!$C$4:$C$10,MATCH(I284,AVAILABILITY_MASTER!$A$4:$A$10,0)),"To Be Confirmed")</f>
        <v>Please Confirm at Shop</v>
      </c>
      <c r="K284" s="6" t="s">
        <v>74</v>
      </c>
      <c r="L284" s="6" t="s">
        <v>75</v>
      </c>
      <c r="M284" s="7" t="str">
        <f aca="false">IFERROR(INDEX(SERVICE_DOCUMENTS!$S$4:$S$1000,MATCH(A284,SERVICE_DOCUMENTS!$A$4:$A$1000,0))&amp;"","")</f>
        <v>✓ Consumer / Account Number
✓ Cash Amount</v>
      </c>
      <c r="N284" s="7" t="str">
        <f aca="false">IFERROR(INDEX(SERVICE_DOCUMENTS!$T$4:$T$1000,MATCH(A284,SERVICE_DOCUMENTS!$A$4:$A$1000,0))&amp;"","")</f>
        <v/>
      </c>
      <c r="O284" s="6" t="s">
        <v>1882</v>
      </c>
      <c r="P284" s="6" t="s">
        <v>3257</v>
      </c>
      <c r="Q284" s="6" t="s">
        <v>440</v>
      </c>
      <c r="R284" s="8" t="s">
        <v>441</v>
      </c>
      <c r="S284" s="8" t="s">
        <v>75</v>
      </c>
      <c r="T284" s="9" t="str">
        <f aca="false">IF(AND(OR(ISNUMBER(R284),R284="N/A"),OR(ISNUMBER(S284),S284="N/A"),OR(ISNUMBER(R284),ISNUMBER(S284))),N(R284)+N(S284),"To Verify")</f>
        <v>To Verify</v>
      </c>
      <c r="U284" s="6" t="s">
        <v>1884</v>
      </c>
      <c r="V284" s="6" t="s">
        <v>79</v>
      </c>
      <c r="W284" s="6" t="s">
        <v>80</v>
      </c>
      <c r="X284" s="6" t="s">
        <v>443</v>
      </c>
      <c r="Y284" s="6" t="s">
        <v>129</v>
      </c>
      <c r="Z284" s="6"/>
      <c r="AA284" s="6" t="s">
        <v>74</v>
      </c>
      <c r="AB284" s="6" t="s">
        <v>79</v>
      </c>
      <c r="AC284" s="6" t="s">
        <v>75</v>
      </c>
      <c r="AD284" s="6" t="s">
        <v>75</v>
      </c>
      <c r="AE284" s="6" t="s">
        <v>79</v>
      </c>
      <c r="AF284" s="6" t="s">
        <v>79</v>
      </c>
      <c r="AG284" s="6" t="s">
        <v>75</v>
      </c>
      <c r="AH284" s="6" t="s">
        <v>79</v>
      </c>
      <c r="AI284" s="6" t="s">
        <v>79</v>
      </c>
      <c r="AJ284" s="6" t="s">
        <v>79</v>
      </c>
      <c r="AK284" s="6" t="s">
        <v>79</v>
      </c>
      <c r="AL284" s="6" t="s">
        <v>3101</v>
      </c>
      <c r="AM284" s="6" t="s">
        <v>3141</v>
      </c>
      <c r="AN284" s="7" t="str">
        <f aca="false">BA284&amp;", "&amp;AZ284</f>
        <v>Credit Card Bill Payment, Recharge / Bill Payment, Devmobile Stores, क्रेडिट कार्ड बिल भुगतान, रिचार्ज / बिल भुगतान, सेवा</v>
      </c>
      <c r="AO284" s="6" t="s">
        <v>3258</v>
      </c>
      <c r="AP284" s="5" t="s">
        <v>3148</v>
      </c>
      <c r="AQ284" s="5" t="n">
        <v>140</v>
      </c>
      <c r="AR284" s="6" t="s">
        <v>3111</v>
      </c>
      <c r="AS284" s="6" t="s">
        <v>474</v>
      </c>
      <c r="AT284" s="6" t="s">
        <v>86</v>
      </c>
      <c r="AU284" s="10"/>
      <c r="AV284" s="6" t="s">
        <v>75</v>
      </c>
      <c r="AW284" s="6"/>
      <c r="AX284" s="6" t="s">
        <v>3259</v>
      </c>
      <c r="AY284" s="6" t="s">
        <v>3260</v>
      </c>
      <c r="AZ284" s="6" t="s">
        <v>3261</v>
      </c>
      <c r="BA284" s="6" t="s">
        <v>3262</v>
      </c>
      <c r="BB284" s="6"/>
      <c r="BC284" s="11" t="str">
        <f aca="false">IFERROR(INDEX(CATEGORY_MASTER!$C$4:$C$30,MATCH(B284,CATEGORY_MASTER!$A$4:$A$30,0)),"")</f>
        <v>💡</v>
      </c>
      <c r="BD284" s="7" t="str">
        <f aca="false">"/services/"&amp;AO284</f>
        <v>/services/credit-card-bill-payment</v>
      </c>
      <c r="BE284" s="7" t="str">
        <f aca="false">IF(AND(AH284="Yes",AG284="Active",I284&lt;&gt;"Not Available"),"LIVE","HIDDEN")</f>
        <v>HIDDEN</v>
      </c>
      <c r="BF284" s="6" t="s">
        <v>139</v>
      </c>
      <c r="BG284" s="6" t="s">
        <v>452</v>
      </c>
      <c r="BH284" s="7" t="str">
        <f aca="false">B284&amp;"|"&amp;COUNTIF($B$4:B284,B284)</f>
        <v>Recharge / Bill Payment|14</v>
      </c>
      <c r="BI284" s="7" t="str">
        <f aca="false">IF(AND(AI284="Yes",BE284="LIVE"),COUNTIFS($AI$4:AI284,"Yes",$BE$4:BE284,"LIVE"),"")</f>
        <v/>
      </c>
      <c r="BJ284" s="7" t="str">
        <f aca="false">IF(AND(AJ284="Yes",BE284="LIVE"),COUNTIFS($AJ$4:AJ284,"Yes",$BE$4:BE284,"LIVE"),"")</f>
        <v/>
      </c>
      <c r="BK284" s="7" t="str">
        <f aca="false">IF(AND(AK284="Yes",BE284="LIVE"),COUNTIFS($AK$4:AK284,"Yes",$BE$4:BE284,"LIVE"),"")</f>
        <v/>
      </c>
      <c r="BL284" s="7" t="str">
        <f aca="false">IF(I284="To Verify",COUNTIF($I$4:I284,"To Verify"),"")</f>
        <v/>
      </c>
    </row>
    <row r="285" customFormat="false" ht="57.45" hidden="false" customHeight="false" outlineLevel="0" collapsed="false">
      <c r="A285" s="5" t="s">
        <v>3263</v>
      </c>
      <c r="B285" s="6" t="s">
        <v>3101</v>
      </c>
      <c r="C285" s="6" t="s">
        <v>3102</v>
      </c>
      <c r="D285" s="6" t="s">
        <v>3141</v>
      </c>
      <c r="E285" s="6" t="s">
        <v>3264</v>
      </c>
      <c r="F285" s="6" t="s">
        <v>3265</v>
      </c>
      <c r="G285" s="6" t="s">
        <v>3266</v>
      </c>
      <c r="H285" s="6" t="s">
        <v>3267</v>
      </c>
      <c r="I285" s="5" t="s">
        <v>12</v>
      </c>
      <c r="J285" s="7" t="str">
        <f aca="false">IFERROR(INDEX(AVAILABILITY_MASTER!$C$4:$C$10,MATCH(I285,AVAILABILITY_MASTER!$A$4:$A$10,0)),"To Be Confirmed")</f>
        <v>Please Confirm at Shop</v>
      </c>
      <c r="K285" s="6" t="s">
        <v>74</v>
      </c>
      <c r="L285" s="6" t="s">
        <v>75</v>
      </c>
      <c r="M285" s="7" t="str">
        <f aca="false">IFERROR(INDEX(SERVICE_DOCUMENTS!$S$4:$S$1000,MATCH(A285,SERVICE_DOCUMENTS!$A$4:$A$1000,0))&amp;"","")</f>
        <v>✓ Consumer / Account Number
✓ Cash Amount</v>
      </c>
      <c r="N285" s="7" t="str">
        <f aca="false">IFERROR(INDEX(SERVICE_DOCUMENTS!$T$4:$T$1000,MATCH(A285,SERVICE_DOCUMENTS!$A$4:$A$1000,0))&amp;"","")</f>
        <v/>
      </c>
      <c r="O285" s="6" t="s">
        <v>1882</v>
      </c>
      <c r="P285" s="6" t="s">
        <v>3268</v>
      </c>
      <c r="Q285" s="6" t="s">
        <v>440</v>
      </c>
      <c r="R285" s="8" t="s">
        <v>441</v>
      </c>
      <c r="S285" s="8" t="s">
        <v>75</v>
      </c>
      <c r="T285" s="9" t="str">
        <f aca="false">IF(AND(OR(ISNUMBER(R285),R285="N/A"),OR(ISNUMBER(S285),S285="N/A"),OR(ISNUMBER(R285),ISNUMBER(S285))),N(R285)+N(S285),"To Verify")</f>
        <v>To Verify</v>
      </c>
      <c r="U285" s="6" t="s">
        <v>1884</v>
      </c>
      <c r="V285" s="6" t="s">
        <v>79</v>
      </c>
      <c r="W285" s="6" t="s">
        <v>80</v>
      </c>
      <c r="X285" s="6" t="s">
        <v>443</v>
      </c>
      <c r="Y285" s="6" t="s">
        <v>129</v>
      </c>
      <c r="Z285" s="6"/>
      <c r="AA285" s="6" t="s">
        <v>74</v>
      </c>
      <c r="AB285" s="6" t="s">
        <v>79</v>
      </c>
      <c r="AC285" s="6" t="s">
        <v>75</v>
      </c>
      <c r="AD285" s="6" t="s">
        <v>75</v>
      </c>
      <c r="AE285" s="6" t="s">
        <v>79</v>
      </c>
      <c r="AF285" s="6" t="s">
        <v>79</v>
      </c>
      <c r="AG285" s="6" t="s">
        <v>75</v>
      </c>
      <c r="AH285" s="6" t="s">
        <v>79</v>
      </c>
      <c r="AI285" s="6" t="s">
        <v>79</v>
      </c>
      <c r="AJ285" s="6" t="s">
        <v>79</v>
      </c>
      <c r="AK285" s="6" t="s">
        <v>79</v>
      </c>
      <c r="AL285" s="6" t="s">
        <v>3101</v>
      </c>
      <c r="AM285" s="6" t="s">
        <v>3141</v>
      </c>
      <c r="AN285" s="7" t="str">
        <f aca="false">BA285&amp;", "&amp;AZ285</f>
        <v>Education Fee Payment, Recharge / Bill Payment, Devmobile Stores, शिक्षा शुल्क भुगतान, रिचार्ज / बिल भुगतान, सेवा</v>
      </c>
      <c r="AO285" s="6" t="s">
        <v>3269</v>
      </c>
      <c r="AP285" s="5" t="s">
        <v>3148</v>
      </c>
      <c r="AQ285" s="5" t="n">
        <v>150</v>
      </c>
      <c r="AR285" s="6" t="s">
        <v>3111</v>
      </c>
      <c r="AS285" s="6" t="s">
        <v>474</v>
      </c>
      <c r="AT285" s="6" t="s">
        <v>86</v>
      </c>
      <c r="AU285" s="10"/>
      <c r="AV285" s="6" t="s">
        <v>75</v>
      </c>
      <c r="AW285" s="6"/>
      <c r="AX285" s="6" t="s">
        <v>3270</v>
      </c>
      <c r="AY285" s="6" t="s">
        <v>3271</v>
      </c>
      <c r="AZ285" s="6" t="s">
        <v>3272</v>
      </c>
      <c r="BA285" s="6" t="s">
        <v>3273</v>
      </c>
      <c r="BB285" s="6"/>
      <c r="BC285" s="11" t="str">
        <f aca="false">IFERROR(INDEX(CATEGORY_MASTER!$C$4:$C$30,MATCH(B285,CATEGORY_MASTER!$A$4:$A$30,0)),"")</f>
        <v>💡</v>
      </c>
      <c r="BD285" s="7" t="str">
        <f aca="false">"/services/"&amp;AO285</f>
        <v>/services/education-fee-payment</v>
      </c>
      <c r="BE285" s="7" t="str">
        <f aca="false">IF(AND(AH285="Yes",AG285="Active",I285&lt;&gt;"Not Available"),"LIVE","HIDDEN")</f>
        <v>HIDDEN</v>
      </c>
      <c r="BF285" s="6" t="s">
        <v>139</v>
      </c>
      <c r="BG285" s="6" t="s">
        <v>452</v>
      </c>
      <c r="BH285" s="7" t="str">
        <f aca="false">B285&amp;"|"&amp;COUNTIF($B$4:B285,B285)</f>
        <v>Recharge / Bill Payment|15</v>
      </c>
      <c r="BI285" s="7" t="str">
        <f aca="false">IF(AND(AI285="Yes",BE285="LIVE"),COUNTIFS($AI$4:AI285,"Yes",$BE$4:BE285,"LIVE"),"")</f>
        <v/>
      </c>
      <c r="BJ285" s="7" t="str">
        <f aca="false">IF(AND(AJ285="Yes",BE285="LIVE"),COUNTIFS($AJ$4:AJ285,"Yes",$BE$4:BE285,"LIVE"),"")</f>
        <v/>
      </c>
      <c r="BK285" s="7" t="str">
        <f aca="false">IF(AND(AK285="Yes",BE285="LIVE"),COUNTIFS($AK$4:AK285,"Yes",$BE$4:BE285,"LIVE"),"")</f>
        <v/>
      </c>
      <c r="BL285" s="7" t="str">
        <f aca="false">IF(I285="To Verify",COUNTIF($I$4:I285,"To Verify"),"")</f>
        <v/>
      </c>
    </row>
    <row r="286" customFormat="false" ht="57.45" hidden="false" customHeight="false" outlineLevel="0" collapsed="false">
      <c r="A286" s="5" t="s">
        <v>3274</v>
      </c>
      <c r="B286" s="6" t="s">
        <v>3101</v>
      </c>
      <c r="C286" s="6" t="s">
        <v>3102</v>
      </c>
      <c r="D286" s="6" t="s">
        <v>3141</v>
      </c>
      <c r="E286" s="6" t="s">
        <v>3275</v>
      </c>
      <c r="F286" s="6" t="s">
        <v>3276</v>
      </c>
      <c r="G286" s="6" t="s">
        <v>3277</v>
      </c>
      <c r="H286" s="6" t="s">
        <v>3278</v>
      </c>
      <c r="I286" s="5" t="s">
        <v>12</v>
      </c>
      <c r="J286" s="7" t="str">
        <f aca="false">IFERROR(INDEX(AVAILABILITY_MASTER!$C$4:$C$10,MATCH(I286,AVAILABILITY_MASTER!$A$4:$A$10,0)),"To Be Confirmed")</f>
        <v>Please Confirm at Shop</v>
      </c>
      <c r="K286" s="6" t="s">
        <v>74</v>
      </c>
      <c r="L286" s="6" t="s">
        <v>75</v>
      </c>
      <c r="M286" s="7" t="str">
        <f aca="false">IFERROR(INDEX(SERVICE_DOCUMENTS!$S$4:$S$1000,MATCH(A286,SERVICE_DOCUMENTS!$A$4:$A$1000,0))&amp;"","")</f>
        <v>✓ Consumer / Account Number
✓ Cash Amount</v>
      </c>
      <c r="N286" s="7" t="str">
        <f aca="false">IFERROR(INDEX(SERVICE_DOCUMENTS!$T$4:$T$1000,MATCH(A286,SERVICE_DOCUMENTS!$A$4:$A$1000,0))&amp;"","")</f>
        <v/>
      </c>
      <c r="O286" s="6" t="s">
        <v>1882</v>
      </c>
      <c r="P286" s="6" t="s">
        <v>3279</v>
      </c>
      <c r="Q286" s="6" t="s">
        <v>440</v>
      </c>
      <c r="R286" s="8" t="s">
        <v>441</v>
      </c>
      <c r="S286" s="8" t="s">
        <v>75</v>
      </c>
      <c r="T286" s="9" t="str">
        <f aca="false">IF(AND(OR(ISNUMBER(R286),R286="N/A"),OR(ISNUMBER(S286),S286="N/A"),OR(ISNUMBER(R286),ISNUMBER(S286))),N(R286)+N(S286),"To Verify")</f>
        <v>To Verify</v>
      </c>
      <c r="U286" s="6" t="s">
        <v>1884</v>
      </c>
      <c r="V286" s="6" t="s">
        <v>79</v>
      </c>
      <c r="W286" s="6" t="s">
        <v>80</v>
      </c>
      <c r="X286" s="6" t="s">
        <v>443</v>
      </c>
      <c r="Y286" s="6" t="s">
        <v>129</v>
      </c>
      <c r="Z286" s="6"/>
      <c r="AA286" s="6" t="s">
        <v>74</v>
      </c>
      <c r="AB286" s="6" t="s">
        <v>79</v>
      </c>
      <c r="AC286" s="6" t="s">
        <v>75</v>
      </c>
      <c r="AD286" s="6" t="s">
        <v>75</v>
      </c>
      <c r="AE286" s="6" t="s">
        <v>79</v>
      </c>
      <c r="AF286" s="6" t="s">
        <v>79</v>
      </c>
      <c r="AG286" s="6" t="s">
        <v>75</v>
      </c>
      <c r="AH286" s="6" t="s">
        <v>79</v>
      </c>
      <c r="AI286" s="6" t="s">
        <v>79</v>
      </c>
      <c r="AJ286" s="6" t="s">
        <v>79</v>
      </c>
      <c r="AK286" s="6" t="s">
        <v>79</v>
      </c>
      <c r="AL286" s="6" t="s">
        <v>3101</v>
      </c>
      <c r="AM286" s="6" t="s">
        <v>3141</v>
      </c>
      <c r="AN286" s="7" t="str">
        <f aca="false">BA286&amp;", "&amp;AZ286</f>
        <v>BBPS – Other Billers, Recharge / Bill Payment, Devmobile Stores, BBPS – अन्य बिलर, रिचार्ज / बिल भुगतान, सेवा</v>
      </c>
      <c r="AO286" s="6" t="s">
        <v>3280</v>
      </c>
      <c r="AP286" s="5" t="s">
        <v>3148</v>
      </c>
      <c r="AQ286" s="5" t="n">
        <v>160</v>
      </c>
      <c r="AR286" s="6" t="s">
        <v>3111</v>
      </c>
      <c r="AS286" s="6" t="s">
        <v>474</v>
      </c>
      <c r="AT286" s="6" t="s">
        <v>86</v>
      </c>
      <c r="AU286" s="10"/>
      <c r="AV286" s="6" t="s">
        <v>75</v>
      </c>
      <c r="AW286" s="6"/>
      <c r="AX286" s="6" t="s">
        <v>3281</v>
      </c>
      <c r="AY286" s="6" t="s">
        <v>3282</v>
      </c>
      <c r="AZ286" s="6" t="s">
        <v>3283</v>
      </c>
      <c r="BA286" s="6" t="s">
        <v>3284</v>
      </c>
      <c r="BB286" s="6"/>
      <c r="BC286" s="11" t="str">
        <f aca="false">IFERROR(INDEX(CATEGORY_MASTER!$C$4:$C$30,MATCH(B286,CATEGORY_MASTER!$A$4:$A$30,0)),"")</f>
        <v>💡</v>
      </c>
      <c r="BD286" s="7" t="str">
        <f aca="false">"/services/"&amp;AO286</f>
        <v>/services/bbps-other-billers</v>
      </c>
      <c r="BE286" s="7" t="str">
        <f aca="false">IF(AND(AH286="Yes",AG286="Active",I286&lt;&gt;"Not Available"),"LIVE","HIDDEN")</f>
        <v>HIDDEN</v>
      </c>
      <c r="BF286" s="6" t="s">
        <v>139</v>
      </c>
      <c r="BG286" s="6" t="s">
        <v>452</v>
      </c>
      <c r="BH286" s="7" t="str">
        <f aca="false">B286&amp;"|"&amp;COUNTIF($B$4:B286,B286)</f>
        <v>Recharge / Bill Payment|16</v>
      </c>
      <c r="BI286" s="7" t="str">
        <f aca="false">IF(AND(AI286="Yes",BE286="LIVE"),COUNTIFS($AI$4:AI286,"Yes",$BE$4:BE286,"LIVE"),"")</f>
        <v/>
      </c>
      <c r="BJ286" s="7" t="str">
        <f aca="false">IF(AND(AJ286="Yes",BE286="LIVE"),COUNTIFS($AJ$4:AJ286,"Yes",$BE$4:BE286,"LIVE"),"")</f>
        <v/>
      </c>
      <c r="BK286" s="7" t="str">
        <f aca="false">IF(AND(AK286="Yes",BE286="LIVE"),COUNTIFS($AK$4:AK286,"Yes",$BE$4:BE286,"LIVE"),"")</f>
        <v/>
      </c>
      <c r="BL286" s="7" t="str">
        <f aca="false">IF(I286="To Verify",COUNTIF($I$4:I286,"To Verify"),"")</f>
        <v/>
      </c>
    </row>
    <row r="287" customFormat="false" ht="57.45" hidden="false" customHeight="false" outlineLevel="0" collapsed="false">
      <c r="A287" s="5" t="s">
        <v>3285</v>
      </c>
      <c r="B287" s="6" t="s">
        <v>3286</v>
      </c>
      <c r="C287" s="6" t="s">
        <v>3287</v>
      </c>
      <c r="D287" s="6" t="s">
        <v>3288</v>
      </c>
      <c r="E287" s="6" t="s">
        <v>3289</v>
      </c>
      <c r="F287" s="6" t="s">
        <v>3290</v>
      </c>
      <c r="G287" s="6" t="s">
        <v>3291</v>
      </c>
      <c r="H287" s="6" t="s">
        <v>3292</v>
      </c>
      <c r="I287" s="5" t="s">
        <v>12</v>
      </c>
      <c r="J287" s="7" t="str">
        <f aca="false">IFERROR(INDEX(AVAILABILITY_MASTER!$C$4:$C$10,MATCH(I287,AVAILABILITY_MASTER!$A$4:$A$10,0)),"To Be Confirmed")</f>
        <v>Please Confirm at Shop</v>
      </c>
      <c r="K287" s="6" t="s">
        <v>74</v>
      </c>
      <c r="L287" s="6" t="s">
        <v>75</v>
      </c>
      <c r="M287" s="7" t="str">
        <f aca="false">IFERROR(INDEX(SERVICE_DOCUMENTS!$S$4:$S$1000,MATCH(A287,SERVICE_DOCUMENTS!$A$4:$A$1000,0))&amp;"","")</f>
        <v>✓ Passenger Details &amp; ID</v>
      </c>
      <c r="N287" s="7" t="str">
        <f aca="false">IFERROR(INDEX(SERVICE_DOCUMENTS!$T$4:$T$1000,MATCH(A287,SERVICE_DOCUMENTS!$A$4:$A$1000,0))&amp;"","")</f>
        <v/>
      </c>
      <c r="O287" s="6" t="s">
        <v>645</v>
      </c>
      <c r="P287" s="6" t="s">
        <v>3293</v>
      </c>
      <c r="Q287" s="6" t="s">
        <v>371</v>
      </c>
      <c r="R287" s="8" t="s">
        <v>75</v>
      </c>
      <c r="S287" s="8" t="s">
        <v>75</v>
      </c>
      <c r="T287" s="9" t="str">
        <f aca="false">IF(AND(OR(ISNUMBER(R287),R287="N/A"),OR(ISNUMBER(S287),S287="N/A"),OR(ISNUMBER(R287),ISNUMBER(S287))),N(R287)+N(S287),"To Verify")</f>
        <v>To Verify</v>
      </c>
      <c r="U287" s="6" t="s">
        <v>75</v>
      </c>
      <c r="V287" s="6" t="s">
        <v>79</v>
      </c>
      <c r="W287" s="6" t="s">
        <v>80</v>
      </c>
      <c r="X287" s="6" t="s">
        <v>221</v>
      </c>
      <c r="Y287" s="6" t="s">
        <v>74</v>
      </c>
      <c r="Z287" s="6" t="s">
        <v>3294</v>
      </c>
      <c r="AA287" s="6" t="s">
        <v>74</v>
      </c>
      <c r="AB287" s="6" t="s">
        <v>74</v>
      </c>
      <c r="AC287" s="6" t="s">
        <v>75</v>
      </c>
      <c r="AD287" s="6" t="s">
        <v>75</v>
      </c>
      <c r="AE287" s="6" t="s">
        <v>79</v>
      </c>
      <c r="AF287" s="6" t="s">
        <v>79</v>
      </c>
      <c r="AG287" s="6" t="s">
        <v>75</v>
      </c>
      <c r="AH287" s="6" t="s">
        <v>79</v>
      </c>
      <c r="AI287" s="6" t="s">
        <v>79</v>
      </c>
      <c r="AJ287" s="6" t="s">
        <v>79</v>
      </c>
      <c r="AK287" s="6" t="s">
        <v>79</v>
      </c>
      <c r="AL287" s="6" t="s">
        <v>3286</v>
      </c>
      <c r="AM287" s="6" t="s">
        <v>3288</v>
      </c>
      <c r="AN287" s="7" t="str">
        <f aca="false">BA287&amp;", "&amp;AZ287</f>
        <v>Railway Ticket Booking (General), Travel / Ticketing, Devmobile Stores, रेलवे टिकट बुकिंग (सामान्य), टिकट / बुकिंग, सेवा</v>
      </c>
      <c r="AO287" s="6" t="s">
        <v>3295</v>
      </c>
      <c r="AP287" s="5" t="s">
        <v>3296</v>
      </c>
      <c r="AQ287" s="5" t="n">
        <v>10</v>
      </c>
      <c r="AR287" s="6" t="s">
        <v>133</v>
      </c>
      <c r="AS287" s="6" t="s">
        <v>3297</v>
      </c>
      <c r="AT287" s="6" t="s">
        <v>86</v>
      </c>
      <c r="AU287" s="10"/>
      <c r="AV287" s="6" t="s">
        <v>75</v>
      </c>
      <c r="AW287" s="6" t="s">
        <v>3298</v>
      </c>
      <c r="AX287" s="6" t="s">
        <v>3299</v>
      </c>
      <c r="AY287" s="6" t="s">
        <v>3300</v>
      </c>
      <c r="AZ287" s="6" t="s">
        <v>3301</v>
      </c>
      <c r="BA287" s="6" t="s">
        <v>3302</v>
      </c>
      <c r="BB287" s="6"/>
      <c r="BC287" s="11" t="str">
        <f aca="false">IFERROR(INDEX(CATEGORY_MASTER!$C$4:$C$30,MATCH(B287,CATEGORY_MASTER!$A$4:$A$30,0)),"")</f>
        <v>🚆</v>
      </c>
      <c r="BD287" s="7" t="str">
        <f aca="false">"/services/"&amp;AO287</f>
        <v>/services/railway-ticket-booking-general</v>
      </c>
      <c r="BE287" s="7" t="str">
        <f aca="false">IF(AND(AH287="Yes",AG287="Active",I287&lt;&gt;"Not Available"),"LIVE","HIDDEN")</f>
        <v>HIDDEN</v>
      </c>
      <c r="BF287" s="6" t="s">
        <v>139</v>
      </c>
      <c r="BG287" s="6" t="s">
        <v>1892</v>
      </c>
      <c r="BH287" s="7" t="str">
        <f aca="false">B287&amp;"|"&amp;COUNTIF($B$4:B287,B287)</f>
        <v>Travel / Ticketing|1</v>
      </c>
      <c r="BI287" s="7" t="str">
        <f aca="false">IF(AND(AI287="Yes",BE287="LIVE"),COUNTIFS($AI$4:AI287,"Yes",$BE$4:BE287,"LIVE"),"")</f>
        <v/>
      </c>
      <c r="BJ287" s="7" t="str">
        <f aca="false">IF(AND(AJ287="Yes",BE287="LIVE"),COUNTIFS($AJ$4:AJ287,"Yes",$BE$4:BE287,"LIVE"),"")</f>
        <v/>
      </c>
      <c r="BK287" s="7" t="str">
        <f aca="false">IF(AND(AK287="Yes",BE287="LIVE"),COUNTIFS($AK$4:AK287,"Yes",$BE$4:BE287,"LIVE"),"")</f>
        <v/>
      </c>
      <c r="BL287" s="7" t="str">
        <f aca="false">IF(I287="To Verify",COUNTIF($I$4:I287,"To Verify"),"")</f>
        <v/>
      </c>
    </row>
    <row r="288" customFormat="false" ht="57.45" hidden="false" customHeight="false" outlineLevel="0" collapsed="false">
      <c r="A288" s="5" t="s">
        <v>3303</v>
      </c>
      <c r="B288" s="6" t="s">
        <v>3286</v>
      </c>
      <c r="C288" s="6" t="s">
        <v>3287</v>
      </c>
      <c r="D288" s="6" t="s">
        <v>3288</v>
      </c>
      <c r="E288" s="6" t="s">
        <v>3304</v>
      </c>
      <c r="F288" s="6" t="s">
        <v>3305</v>
      </c>
      <c r="G288" s="6" t="s">
        <v>3306</v>
      </c>
      <c r="H288" s="6" t="s">
        <v>3307</v>
      </c>
      <c r="I288" s="5" t="s">
        <v>12</v>
      </c>
      <c r="J288" s="7" t="str">
        <f aca="false">IFERROR(INDEX(AVAILABILITY_MASTER!$C$4:$C$10,MATCH(I288,AVAILABILITY_MASTER!$A$4:$A$10,0)),"To Be Confirmed")</f>
        <v>Please Confirm at Shop</v>
      </c>
      <c r="K288" s="6" t="s">
        <v>74</v>
      </c>
      <c r="L288" s="6" t="s">
        <v>75</v>
      </c>
      <c r="M288" s="7" t="str">
        <f aca="false">IFERROR(INDEX(SERVICE_DOCUMENTS!$S$4:$S$1000,MATCH(A288,SERVICE_DOCUMENTS!$A$4:$A$1000,0))&amp;"","")</f>
        <v>✓ Passenger Details &amp; ID</v>
      </c>
      <c r="N288" s="7" t="str">
        <f aca="false">IFERROR(INDEX(SERVICE_DOCUMENTS!$T$4:$T$1000,MATCH(A288,SERVICE_DOCUMENTS!$A$4:$A$1000,0))&amp;"","")</f>
        <v/>
      </c>
      <c r="O288" s="6" t="s">
        <v>645</v>
      </c>
      <c r="P288" s="6" t="s">
        <v>3308</v>
      </c>
      <c r="Q288" s="6" t="s">
        <v>371</v>
      </c>
      <c r="R288" s="8" t="s">
        <v>75</v>
      </c>
      <c r="S288" s="8" t="s">
        <v>75</v>
      </c>
      <c r="T288" s="9" t="str">
        <f aca="false">IF(AND(OR(ISNUMBER(R288),R288="N/A"),OR(ISNUMBER(S288),S288="N/A"),OR(ISNUMBER(R288),ISNUMBER(S288))),N(R288)+N(S288),"To Verify")</f>
        <v>To Verify</v>
      </c>
      <c r="U288" s="6" t="s">
        <v>75</v>
      </c>
      <c r="V288" s="6" t="s">
        <v>79</v>
      </c>
      <c r="W288" s="6" t="s">
        <v>80</v>
      </c>
      <c r="X288" s="6" t="s">
        <v>221</v>
      </c>
      <c r="Y288" s="6" t="s">
        <v>74</v>
      </c>
      <c r="Z288" s="6" t="s">
        <v>3294</v>
      </c>
      <c r="AA288" s="6" t="s">
        <v>74</v>
      </c>
      <c r="AB288" s="6" t="s">
        <v>74</v>
      </c>
      <c r="AC288" s="6" t="s">
        <v>75</v>
      </c>
      <c r="AD288" s="6" t="s">
        <v>75</v>
      </c>
      <c r="AE288" s="6" t="s">
        <v>79</v>
      </c>
      <c r="AF288" s="6" t="s">
        <v>79</v>
      </c>
      <c r="AG288" s="6" t="s">
        <v>75</v>
      </c>
      <c r="AH288" s="6" t="s">
        <v>79</v>
      </c>
      <c r="AI288" s="6" t="s">
        <v>79</v>
      </c>
      <c r="AJ288" s="6" t="s">
        <v>79</v>
      </c>
      <c r="AK288" s="6" t="s">
        <v>79</v>
      </c>
      <c r="AL288" s="6" t="s">
        <v>3286</v>
      </c>
      <c r="AM288" s="6" t="s">
        <v>3288</v>
      </c>
      <c r="AN288" s="7" t="str">
        <f aca="false">BA288&amp;", "&amp;AZ288</f>
        <v>Railway Ticket Booking (Tatkal), Travel / Ticketing, Devmobile Stores, रेलवे टिकट बुकिंग (तत्काल), टिकट / बुकिंग, सेवा</v>
      </c>
      <c r="AO288" s="6" t="s">
        <v>3309</v>
      </c>
      <c r="AP288" s="5" t="s">
        <v>3296</v>
      </c>
      <c r="AQ288" s="5" t="n">
        <v>20</v>
      </c>
      <c r="AR288" s="6" t="s">
        <v>133</v>
      </c>
      <c r="AS288" s="6" t="s">
        <v>3297</v>
      </c>
      <c r="AT288" s="6" t="s">
        <v>86</v>
      </c>
      <c r="AU288" s="10"/>
      <c r="AV288" s="6" t="s">
        <v>75</v>
      </c>
      <c r="AW288" s="6" t="s">
        <v>3298</v>
      </c>
      <c r="AX288" s="6" t="s">
        <v>3310</v>
      </c>
      <c r="AY288" s="6" t="s">
        <v>3311</v>
      </c>
      <c r="AZ288" s="6" t="s">
        <v>3312</v>
      </c>
      <c r="BA288" s="6" t="s">
        <v>3313</v>
      </c>
      <c r="BB288" s="6"/>
      <c r="BC288" s="11" t="str">
        <f aca="false">IFERROR(INDEX(CATEGORY_MASTER!$C$4:$C$30,MATCH(B288,CATEGORY_MASTER!$A$4:$A$30,0)),"")</f>
        <v>🚆</v>
      </c>
      <c r="BD288" s="7" t="str">
        <f aca="false">"/services/"&amp;AO288</f>
        <v>/services/railway-ticket-booking-tatkal</v>
      </c>
      <c r="BE288" s="7" t="str">
        <f aca="false">IF(AND(AH288="Yes",AG288="Active",I288&lt;&gt;"Not Available"),"LIVE","HIDDEN")</f>
        <v>HIDDEN</v>
      </c>
      <c r="BF288" s="6" t="s">
        <v>139</v>
      </c>
      <c r="BG288" s="6" t="s">
        <v>1892</v>
      </c>
      <c r="BH288" s="7" t="str">
        <f aca="false">B288&amp;"|"&amp;COUNTIF($B$4:B288,B288)</f>
        <v>Travel / Ticketing|2</v>
      </c>
      <c r="BI288" s="7" t="str">
        <f aca="false">IF(AND(AI288="Yes",BE288="LIVE"),COUNTIFS($AI$4:AI288,"Yes",$BE$4:BE288,"LIVE"),"")</f>
        <v/>
      </c>
      <c r="BJ288" s="7" t="str">
        <f aca="false">IF(AND(AJ288="Yes",BE288="LIVE"),COUNTIFS($AJ$4:AJ288,"Yes",$BE$4:BE288,"LIVE"),"")</f>
        <v/>
      </c>
      <c r="BK288" s="7" t="str">
        <f aca="false">IF(AND(AK288="Yes",BE288="LIVE"),COUNTIFS($AK$4:AK288,"Yes",$BE$4:BE288,"LIVE"),"")</f>
        <v/>
      </c>
      <c r="BL288" s="7" t="str">
        <f aca="false">IF(I288="To Verify",COUNTIF($I$4:I288,"To Verify"),"")</f>
        <v/>
      </c>
    </row>
    <row r="289" customFormat="false" ht="57.45" hidden="false" customHeight="false" outlineLevel="0" collapsed="false">
      <c r="A289" s="5" t="s">
        <v>3314</v>
      </c>
      <c r="B289" s="6" t="s">
        <v>3286</v>
      </c>
      <c r="C289" s="6" t="s">
        <v>3287</v>
      </c>
      <c r="D289" s="6" t="s">
        <v>3288</v>
      </c>
      <c r="E289" s="6" t="s">
        <v>3315</v>
      </c>
      <c r="F289" s="6" t="s">
        <v>3316</v>
      </c>
      <c r="G289" s="6" t="s">
        <v>3317</v>
      </c>
      <c r="H289" s="6" t="s">
        <v>3318</v>
      </c>
      <c r="I289" s="5" t="s">
        <v>167</v>
      </c>
      <c r="J289" s="7" t="str">
        <f aca="false">IFERROR(INDEX(AVAILABILITY_MASTER!$C$4:$C$10,MATCH(I289,AVAILABILITY_MASTER!$A$4:$A$10,0)),"To Be Confirmed")</f>
        <v>Available</v>
      </c>
      <c r="K289" s="6" t="s">
        <v>79</v>
      </c>
      <c r="L289" s="6" t="s">
        <v>437</v>
      </c>
      <c r="M289" s="7" t="str">
        <f aca="false">IFERROR(INDEX(SERVICE_DOCUMENTS!$S$4:$S$1000,MATCH(A289,SERVICE_DOCUMENTS!$A$4:$A$1000,0))&amp;"","")</f>
        <v>✓ Passenger Details &amp; ID</v>
      </c>
      <c r="N289" s="7" t="str">
        <f aca="false">IFERROR(INDEX(SERVICE_DOCUMENTS!$T$4:$T$1000,MATCH(A289,SERVICE_DOCUMENTS!$A$4:$A$1000,0))&amp;"","")</f>
        <v/>
      </c>
      <c r="O289" s="6" t="s">
        <v>645</v>
      </c>
      <c r="P289" s="6" t="s">
        <v>3319</v>
      </c>
      <c r="Q289" s="6" t="s">
        <v>371</v>
      </c>
      <c r="R289" s="8" t="s">
        <v>75</v>
      </c>
      <c r="S289" s="8" t="s">
        <v>75</v>
      </c>
      <c r="T289" s="9" t="str">
        <f aca="false">IF(AND(OR(ISNUMBER(R289),R289="N/A"),OR(ISNUMBER(S289),S289="N/A"),OR(ISNUMBER(R289),ISNUMBER(S289))),N(R289)+N(S289),"To Verify")</f>
        <v>To Verify</v>
      </c>
      <c r="U289" s="6" t="s">
        <v>75</v>
      </c>
      <c r="V289" s="6" t="s">
        <v>79</v>
      </c>
      <c r="W289" s="6" t="s">
        <v>80</v>
      </c>
      <c r="X289" s="6" t="s">
        <v>221</v>
      </c>
      <c r="Y289" s="6" t="s">
        <v>74</v>
      </c>
      <c r="Z289" s="6" t="s">
        <v>3294</v>
      </c>
      <c r="AA289" s="6" t="s">
        <v>74</v>
      </c>
      <c r="AB289" s="6" t="s">
        <v>74</v>
      </c>
      <c r="AC289" s="6" t="s">
        <v>75</v>
      </c>
      <c r="AD289" s="6" t="s">
        <v>75</v>
      </c>
      <c r="AE289" s="6" t="s">
        <v>79</v>
      </c>
      <c r="AF289" s="6" t="s">
        <v>79</v>
      </c>
      <c r="AG289" s="6" t="s">
        <v>170</v>
      </c>
      <c r="AH289" s="6" t="s">
        <v>74</v>
      </c>
      <c r="AI289" s="6" t="s">
        <v>79</v>
      </c>
      <c r="AJ289" s="6" t="s">
        <v>79</v>
      </c>
      <c r="AK289" s="6" t="s">
        <v>79</v>
      </c>
      <c r="AL289" s="6" t="s">
        <v>3286</v>
      </c>
      <c r="AM289" s="6" t="s">
        <v>3288</v>
      </c>
      <c r="AN289" s="7" t="str">
        <f aca="false">BA289&amp;", "&amp;AZ289</f>
        <v>PNR Status Check, Travel / Ticketing, Devmobile Stores, PNR स्टेटस जाँच, टिकट / बुकिंग, सेवा</v>
      </c>
      <c r="AO289" s="6" t="s">
        <v>3320</v>
      </c>
      <c r="AP289" s="5" t="s">
        <v>3296</v>
      </c>
      <c r="AQ289" s="5" t="n">
        <v>30</v>
      </c>
      <c r="AR289" s="6" t="s">
        <v>133</v>
      </c>
      <c r="AS289" s="6" t="s">
        <v>3297</v>
      </c>
      <c r="AT289" s="6" t="s">
        <v>86</v>
      </c>
      <c r="AU289" s="10"/>
      <c r="AV289" s="6" t="s">
        <v>75</v>
      </c>
      <c r="AW289" s="6"/>
      <c r="AX289" s="6" t="s">
        <v>3321</v>
      </c>
      <c r="AY289" s="6" t="s">
        <v>3322</v>
      </c>
      <c r="AZ289" s="6" t="s">
        <v>3323</v>
      </c>
      <c r="BA289" s="6" t="s">
        <v>3324</v>
      </c>
      <c r="BB289" s="6"/>
      <c r="BC289" s="11" t="str">
        <f aca="false">IFERROR(INDEX(CATEGORY_MASTER!$C$4:$C$30,MATCH(B289,CATEGORY_MASTER!$A$4:$A$30,0)),"")</f>
        <v>🚆</v>
      </c>
      <c r="BD289" s="7" t="str">
        <f aca="false">"/services/"&amp;AO289</f>
        <v>/services/pnr-status-check</v>
      </c>
      <c r="BE289" s="7" t="str">
        <f aca="false">IF(AND(AH289="Yes",AG289="Active",I289&lt;&gt;"Not Available"),"LIVE","HIDDEN")</f>
        <v>LIVE</v>
      </c>
      <c r="BF289" s="6" t="s">
        <v>139</v>
      </c>
      <c r="BG289" s="6" t="s">
        <v>1892</v>
      </c>
      <c r="BH289" s="7" t="str">
        <f aca="false">B289&amp;"|"&amp;COUNTIF($B$4:B289,B289)</f>
        <v>Travel / Ticketing|3</v>
      </c>
      <c r="BI289" s="7" t="str">
        <f aca="false">IF(AND(AI289="Yes",BE289="LIVE"),COUNTIFS($AI$4:AI289,"Yes",$BE$4:BE289,"LIVE"),"")</f>
        <v/>
      </c>
      <c r="BJ289" s="7" t="str">
        <f aca="false">IF(AND(AJ289="Yes",BE289="LIVE"),COUNTIFS($AJ$4:AJ289,"Yes",$BE$4:BE289,"LIVE"),"")</f>
        <v/>
      </c>
      <c r="BK289" s="7" t="str">
        <f aca="false">IF(AND(AK289="Yes",BE289="LIVE"),COUNTIFS($AK$4:AK289,"Yes",$BE$4:BE289,"LIVE"),"")</f>
        <v/>
      </c>
      <c r="BL289" s="7" t="str">
        <f aca="false">IF(I289="To Verify",COUNTIF($I$4:I289,"To Verify"),"")</f>
        <v/>
      </c>
    </row>
    <row r="290" customFormat="false" ht="57.45" hidden="false" customHeight="false" outlineLevel="0" collapsed="false">
      <c r="A290" s="5" t="s">
        <v>3325</v>
      </c>
      <c r="B290" s="6" t="s">
        <v>3286</v>
      </c>
      <c r="C290" s="6" t="s">
        <v>3287</v>
      </c>
      <c r="D290" s="6" t="s">
        <v>3288</v>
      </c>
      <c r="E290" s="6" t="s">
        <v>3326</v>
      </c>
      <c r="F290" s="6" t="s">
        <v>3327</v>
      </c>
      <c r="G290" s="6" t="s">
        <v>3328</v>
      </c>
      <c r="H290" s="6" t="s">
        <v>3329</v>
      </c>
      <c r="I290" s="5" t="s">
        <v>167</v>
      </c>
      <c r="J290" s="7" t="str">
        <f aca="false">IFERROR(INDEX(AVAILABILITY_MASTER!$C$4:$C$10,MATCH(I290,AVAILABILITY_MASTER!$A$4:$A$10,0)),"To Be Confirmed")</f>
        <v>Available</v>
      </c>
      <c r="K290" s="6" t="s">
        <v>79</v>
      </c>
      <c r="L290" s="6" t="s">
        <v>437</v>
      </c>
      <c r="M290" s="7" t="str">
        <f aca="false">IFERROR(INDEX(SERVICE_DOCUMENTS!$S$4:$S$1000,MATCH(A290,SERVICE_DOCUMENTS!$A$4:$A$1000,0))&amp;"","")</f>
        <v>✓ Passenger Details &amp; ID</v>
      </c>
      <c r="N290" s="7" t="str">
        <f aca="false">IFERROR(INDEX(SERVICE_DOCUMENTS!$T$4:$T$1000,MATCH(A290,SERVICE_DOCUMENTS!$A$4:$A$1000,0))&amp;"","")</f>
        <v/>
      </c>
      <c r="O290" s="6" t="s">
        <v>645</v>
      </c>
      <c r="P290" s="6" t="s">
        <v>3330</v>
      </c>
      <c r="Q290" s="6" t="s">
        <v>371</v>
      </c>
      <c r="R290" s="8" t="s">
        <v>75</v>
      </c>
      <c r="S290" s="8" t="s">
        <v>75</v>
      </c>
      <c r="T290" s="9" t="str">
        <f aca="false">IF(AND(OR(ISNUMBER(R290),R290="N/A"),OR(ISNUMBER(S290),S290="N/A"),OR(ISNUMBER(R290),ISNUMBER(S290))),N(R290)+N(S290),"To Verify")</f>
        <v>To Verify</v>
      </c>
      <c r="U290" s="6" t="s">
        <v>75</v>
      </c>
      <c r="V290" s="6" t="s">
        <v>79</v>
      </c>
      <c r="W290" s="6" t="s">
        <v>80</v>
      </c>
      <c r="X290" s="6" t="s">
        <v>221</v>
      </c>
      <c r="Y290" s="6" t="s">
        <v>74</v>
      </c>
      <c r="Z290" s="6" t="s">
        <v>3294</v>
      </c>
      <c r="AA290" s="6" t="s">
        <v>74</v>
      </c>
      <c r="AB290" s="6" t="s">
        <v>74</v>
      </c>
      <c r="AC290" s="6" t="s">
        <v>75</v>
      </c>
      <c r="AD290" s="6" t="s">
        <v>75</v>
      </c>
      <c r="AE290" s="6" t="s">
        <v>79</v>
      </c>
      <c r="AF290" s="6" t="s">
        <v>79</v>
      </c>
      <c r="AG290" s="6" t="s">
        <v>170</v>
      </c>
      <c r="AH290" s="6" t="s">
        <v>74</v>
      </c>
      <c r="AI290" s="6" t="s">
        <v>79</v>
      </c>
      <c r="AJ290" s="6" t="s">
        <v>79</v>
      </c>
      <c r="AK290" s="6" t="s">
        <v>79</v>
      </c>
      <c r="AL290" s="6" t="s">
        <v>3286</v>
      </c>
      <c r="AM290" s="6" t="s">
        <v>3288</v>
      </c>
      <c r="AN290" s="7" t="str">
        <f aca="false">BA290&amp;", "&amp;AZ290</f>
        <v>Train Running Status, Travel / Ticketing, Devmobile Stores, ट्रेन रनिंग स्टेटस, टिकट / बुकिंग, सेवा</v>
      </c>
      <c r="AO290" s="6" t="s">
        <v>3331</v>
      </c>
      <c r="AP290" s="5" t="s">
        <v>3296</v>
      </c>
      <c r="AQ290" s="5" t="n">
        <v>40</v>
      </c>
      <c r="AR290" s="6" t="s">
        <v>133</v>
      </c>
      <c r="AS290" s="6" t="s">
        <v>3297</v>
      </c>
      <c r="AT290" s="6" t="s">
        <v>86</v>
      </c>
      <c r="AU290" s="10"/>
      <c r="AV290" s="6" t="s">
        <v>75</v>
      </c>
      <c r="AW290" s="6"/>
      <c r="AX290" s="6" t="s">
        <v>3332</v>
      </c>
      <c r="AY290" s="6" t="s">
        <v>3333</v>
      </c>
      <c r="AZ290" s="6" t="s">
        <v>3334</v>
      </c>
      <c r="BA290" s="6" t="s">
        <v>3335</v>
      </c>
      <c r="BB290" s="6"/>
      <c r="BC290" s="11" t="str">
        <f aca="false">IFERROR(INDEX(CATEGORY_MASTER!$C$4:$C$30,MATCH(B290,CATEGORY_MASTER!$A$4:$A$30,0)),"")</f>
        <v>🚆</v>
      </c>
      <c r="BD290" s="7" t="str">
        <f aca="false">"/services/"&amp;AO290</f>
        <v>/services/train-running-status</v>
      </c>
      <c r="BE290" s="7" t="str">
        <f aca="false">IF(AND(AH290="Yes",AG290="Active",I290&lt;&gt;"Not Available"),"LIVE","HIDDEN")</f>
        <v>LIVE</v>
      </c>
      <c r="BF290" s="6" t="s">
        <v>139</v>
      </c>
      <c r="BG290" s="6" t="s">
        <v>1892</v>
      </c>
      <c r="BH290" s="7" t="str">
        <f aca="false">B290&amp;"|"&amp;COUNTIF($B$4:B290,B290)</f>
        <v>Travel / Ticketing|4</v>
      </c>
      <c r="BI290" s="7" t="str">
        <f aca="false">IF(AND(AI290="Yes",BE290="LIVE"),COUNTIFS($AI$4:AI290,"Yes",$BE$4:BE290,"LIVE"),"")</f>
        <v/>
      </c>
      <c r="BJ290" s="7" t="str">
        <f aca="false">IF(AND(AJ290="Yes",BE290="LIVE"),COUNTIFS($AJ$4:AJ290,"Yes",$BE$4:BE290,"LIVE"),"")</f>
        <v/>
      </c>
      <c r="BK290" s="7" t="str">
        <f aca="false">IF(AND(AK290="Yes",BE290="LIVE"),COUNTIFS($AK$4:AK290,"Yes",$BE$4:BE290,"LIVE"),"")</f>
        <v/>
      </c>
      <c r="BL290" s="7" t="str">
        <f aca="false">IF(I290="To Verify",COUNTIF($I$4:I290,"To Verify"),"")</f>
        <v/>
      </c>
    </row>
    <row r="291" customFormat="false" ht="57.45" hidden="false" customHeight="false" outlineLevel="0" collapsed="false">
      <c r="A291" s="5" t="s">
        <v>3336</v>
      </c>
      <c r="B291" s="6" t="s">
        <v>3286</v>
      </c>
      <c r="C291" s="6" t="s">
        <v>3287</v>
      </c>
      <c r="D291" s="6" t="s">
        <v>3288</v>
      </c>
      <c r="E291" s="6" t="s">
        <v>3337</v>
      </c>
      <c r="F291" s="6" t="s">
        <v>3338</v>
      </c>
      <c r="G291" s="6" t="s">
        <v>3339</v>
      </c>
      <c r="H291" s="6" t="s">
        <v>3340</v>
      </c>
      <c r="I291" s="5" t="s">
        <v>12</v>
      </c>
      <c r="J291" s="7" t="str">
        <f aca="false">IFERROR(INDEX(AVAILABILITY_MASTER!$C$4:$C$10,MATCH(I291,AVAILABILITY_MASTER!$A$4:$A$10,0)),"To Be Confirmed")</f>
        <v>Please Confirm at Shop</v>
      </c>
      <c r="K291" s="6" t="s">
        <v>74</v>
      </c>
      <c r="L291" s="6" t="s">
        <v>75</v>
      </c>
      <c r="M291" s="7" t="str">
        <f aca="false">IFERROR(INDEX(SERVICE_DOCUMENTS!$S$4:$S$1000,MATCH(A291,SERVICE_DOCUMENTS!$A$4:$A$1000,0))&amp;"","")</f>
        <v>✓ Passenger Details &amp; ID</v>
      </c>
      <c r="N291" s="7" t="str">
        <f aca="false">IFERROR(INDEX(SERVICE_DOCUMENTS!$T$4:$T$1000,MATCH(A291,SERVICE_DOCUMENTS!$A$4:$A$1000,0))&amp;"","")</f>
        <v/>
      </c>
      <c r="O291" s="6" t="s">
        <v>645</v>
      </c>
      <c r="P291" s="6" t="s">
        <v>3341</v>
      </c>
      <c r="Q291" s="6" t="s">
        <v>371</v>
      </c>
      <c r="R291" s="8" t="s">
        <v>75</v>
      </c>
      <c r="S291" s="8" t="s">
        <v>75</v>
      </c>
      <c r="T291" s="9" t="str">
        <f aca="false">IF(AND(OR(ISNUMBER(R291),R291="N/A"),OR(ISNUMBER(S291),S291="N/A"),OR(ISNUMBER(R291),ISNUMBER(S291))),N(R291)+N(S291),"To Verify")</f>
        <v>To Verify</v>
      </c>
      <c r="U291" s="6" t="s">
        <v>75</v>
      </c>
      <c r="V291" s="6" t="s">
        <v>79</v>
      </c>
      <c r="W291" s="6" t="s">
        <v>80</v>
      </c>
      <c r="X291" s="6" t="s">
        <v>221</v>
      </c>
      <c r="Y291" s="6" t="s">
        <v>74</v>
      </c>
      <c r="Z291" s="6" t="s">
        <v>3294</v>
      </c>
      <c r="AA291" s="6" t="s">
        <v>74</v>
      </c>
      <c r="AB291" s="6" t="s">
        <v>74</v>
      </c>
      <c r="AC291" s="6" t="s">
        <v>75</v>
      </c>
      <c r="AD291" s="6" t="s">
        <v>75</v>
      </c>
      <c r="AE291" s="6" t="s">
        <v>79</v>
      </c>
      <c r="AF291" s="6" t="s">
        <v>79</v>
      </c>
      <c r="AG291" s="6" t="s">
        <v>75</v>
      </c>
      <c r="AH291" s="6" t="s">
        <v>79</v>
      </c>
      <c r="AI291" s="6" t="s">
        <v>79</v>
      </c>
      <c r="AJ291" s="6" t="s">
        <v>79</v>
      </c>
      <c r="AK291" s="6" t="s">
        <v>79</v>
      </c>
      <c r="AL291" s="6" t="s">
        <v>3286</v>
      </c>
      <c r="AM291" s="6" t="s">
        <v>3288</v>
      </c>
      <c r="AN291" s="7" t="str">
        <f aca="false">BA291&amp;", "&amp;AZ291</f>
        <v>Railway Ticket Cancellation, Travel / Ticketing, Devmobile Stores, रेलवे टिकट रद्द करना, टिकट / बुकिंग, सेवा</v>
      </c>
      <c r="AO291" s="6" t="s">
        <v>3342</v>
      </c>
      <c r="AP291" s="5" t="s">
        <v>3296</v>
      </c>
      <c r="AQ291" s="5" t="n">
        <v>50</v>
      </c>
      <c r="AR291" s="6" t="s">
        <v>133</v>
      </c>
      <c r="AS291" s="6" t="s">
        <v>3297</v>
      </c>
      <c r="AT291" s="6" t="s">
        <v>86</v>
      </c>
      <c r="AU291" s="10"/>
      <c r="AV291" s="6" t="s">
        <v>75</v>
      </c>
      <c r="AW291" s="6" t="s">
        <v>3298</v>
      </c>
      <c r="AX291" s="6" t="s">
        <v>3343</v>
      </c>
      <c r="AY291" s="6" t="s">
        <v>3344</v>
      </c>
      <c r="AZ291" s="6" t="s">
        <v>3345</v>
      </c>
      <c r="BA291" s="6" t="s">
        <v>3346</v>
      </c>
      <c r="BB291" s="6"/>
      <c r="BC291" s="11" t="str">
        <f aca="false">IFERROR(INDEX(CATEGORY_MASTER!$C$4:$C$30,MATCH(B291,CATEGORY_MASTER!$A$4:$A$30,0)),"")</f>
        <v>🚆</v>
      </c>
      <c r="BD291" s="7" t="str">
        <f aca="false">"/services/"&amp;AO291</f>
        <v>/services/railway-ticket-cancellation</v>
      </c>
      <c r="BE291" s="7" t="str">
        <f aca="false">IF(AND(AH291="Yes",AG291="Active",I291&lt;&gt;"Not Available"),"LIVE","HIDDEN")</f>
        <v>HIDDEN</v>
      </c>
      <c r="BF291" s="6" t="s">
        <v>139</v>
      </c>
      <c r="BG291" s="6" t="s">
        <v>1892</v>
      </c>
      <c r="BH291" s="7" t="str">
        <f aca="false">B291&amp;"|"&amp;COUNTIF($B$4:B291,B291)</f>
        <v>Travel / Ticketing|5</v>
      </c>
      <c r="BI291" s="7" t="str">
        <f aca="false">IF(AND(AI291="Yes",BE291="LIVE"),COUNTIFS($AI$4:AI291,"Yes",$BE$4:BE291,"LIVE"),"")</f>
        <v/>
      </c>
      <c r="BJ291" s="7" t="str">
        <f aca="false">IF(AND(AJ291="Yes",BE291="LIVE"),COUNTIFS($AJ$4:AJ291,"Yes",$BE$4:BE291,"LIVE"),"")</f>
        <v/>
      </c>
      <c r="BK291" s="7" t="str">
        <f aca="false">IF(AND(AK291="Yes",BE291="LIVE"),COUNTIFS($AK$4:AK291,"Yes",$BE$4:BE291,"LIVE"),"")</f>
        <v/>
      </c>
      <c r="BL291" s="7" t="str">
        <f aca="false">IF(I291="To Verify",COUNTIF($I$4:I291,"To Verify"),"")</f>
        <v/>
      </c>
    </row>
    <row r="292" customFormat="false" ht="57.45" hidden="false" customHeight="false" outlineLevel="0" collapsed="false">
      <c r="A292" s="5" t="s">
        <v>3347</v>
      </c>
      <c r="B292" s="6" t="s">
        <v>3286</v>
      </c>
      <c r="C292" s="6" t="s">
        <v>3287</v>
      </c>
      <c r="D292" s="6" t="s">
        <v>3288</v>
      </c>
      <c r="E292" s="6" t="s">
        <v>3348</v>
      </c>
      <c r="F292" s="6" t="s">
        <v>3349</v>
      </c>
      <c r="G292" s="6" t="s">
        <v>3350</v>
      </c>
      <c r="H292" s="6" t="s">
        <v>3351</v>
      </c>
      <c r="I292" s="5" t="s">
        <v>75</v>
      </c>
      <c r="J292" s="7" t="str">
        <f aca="false">IFERROR(INDEX(AVAILABILITY_MASTER!$C$4:$C$10,MATCH(I292,AVAILABILITY_MASTER!$A$4:$A$10,0)),"To Be Confirmed")</f>
        <v>To Be Confirmed</v>
      </c>
      <c r="K292" s="6" t="s">
        <v>129</v>
      </c>
      <c r="L292" s="6" t="s">
        <v>75</v>
      </c>
      <c r="M292" s="7" t="str">
        <f aca="false">IFERROR(INDEX(SERVICE_DOCUMENTS!$S$4:$S$1000,MATCH(A292,SERVICE_DOCUMENTS!$A$4:$A$1000,0))&amp;"","")</f>
        <v>✓ Passenger Details &amp; ID</v>
      </c>
      <c r="N292" s="7" t="str">
        <f aca="false">IFERROR(INDEX(SERVICE_DOCUMENTS!$T$4:$T$1000,MATCH(A292,SERVICE_DOCUMENTS!$A$4:$A$1000,0))&amp;"","")</f>
        <v/>
      </c>
      <c r="O292" s="6" t="s">
        <v>645</v>
      </c>
      <c r="P292" s="6" t="s">
        <v>3352</v>
      </c>
      <c r="Q292" s="6" t="s">
        <v>371</v>
      </c>
      <c r="R292" s="8" t="s">
        <v>75</v>
      </c>
      <c r="S292" s="8" t="s">
        <v>75</v>
      </c>
      <c r="T292" s="9" t="str">
        <f aca="false">IF(AND(OR(ISNUMBER(R292),R292="N/A"),OR(ISNUMBER(S292),S292="N/A"),OR(ISNUMBER(R292),ISNUMBER(S292))),N(R292)+N(S292),"To Verify")</f>
        <v>To Verify</v>
      </c>
      <c r="U292" s="6" t="s">
        <v>75</v>
      </c>
      <c r="V292" s="6" t="s">
        <v>79</v>
      </c>
      <c r="W292" s="6" t="s">
        <v>80</v>
      </c>
      <c r="X292" s="6" t="s">
        <v>221</v>
      </c>
      <c r="Y292" s="6" t="s">
        <v>74</v>
      </c>
      <c r="Z292" s="6" t="s">
        <v>3294</v>
      </c>
      <c r="AA292" s="6" t="s">
        <v>74</v>
      </c>
      <c r="AB292" s="6" t="s">
        <v>74</v>
      </c>
      <c r="AC292" s="6" t="s">
        <v>75</v>
      </c>
      <c r="AD292" s="6" t="s">
        <v>75</v>
      </c>
      <c r="AE292" s="6" t="s">
        <v>79</v>
      </c>
      <c r="AF292" s="6" t="s">
        <v>79</v>
      </c>
      <c r="AG292" s="6" t="s">
        <v>75</v>
      </c>
      <c r="AH292" s="6" t="s">
        <v>79</v>
      </c>
      <c r="AI292" s="6" t="s">
        <v>79</v>
      </c>
      <c r="AJ292" s="6" t="s">
        <v>79</v>
      </c>
      <c r="AK292" s="6" t="s">
        <v>79</v>
      </c>
      <c r="AL292" s="6" t="s">
        <v>3286</v>
      </c>
      <c r="AM292" s="6" t="s">
        <v>3288</v>
      </c>
      <c r="AN292" s="7" t="str">
        <f aca="false">BA292&amp;", "&amp;AZ292</f>
        <v>Railway Refund Status Check, Travel / Ticketing, Devmobile Stores, रेलवे रिफंड स्टेटस जाँच, टिकट / बुकिंग, सेवा</v>
      </c>
      <c r="AO292" s="6" t="s">
        <v>3353</v>
      </c>
      <c r="AP292" s="5" t="s">
        <v>3296</v>
      </c>
      <c r="AQ292" s="5" t="n">
        <v>60</v>
      </c>
      <c r="AR292" s="6" t="s">
        <v>133</v>
      </c>
      <c r="AS292" s="6" t="s">
        <v>3297</v>
      </c>
      <c r="AT292" s="6" t="s">
        <v>86</v>
      </c>
      <c r="AU292" s="10"/>
      <c r="AV292" s="6" t="s">
        <v>75</v>
      </c>
      <c r="AW292" s="6"/>
      <c r="AX292" s="6" t="s">
        <v>3354</v>
      </c>
      <c r="AY292" s="6" t="s">
        <v>3355</v>
      </c>
      <c r="AZ292" s="6" t="s">
        <v>3356</v>
      </c>
      <c r="BA292" s="6" t="s">
        <v>3357</v>
      </c>
      <c r="BB292" s="6"/>
      <c r="BC292" s="11" t="str">
        <f aca="false">IFERROR(INDEX(CATEGORY_MASTER!$C$4:$C$30,MATCH(B292,CATEGORY_MASTER!$A$4:$A$30,0)),"")</f>
        <v>🚆</v>
      </c>
      <c r="BD292" s="7" t="str">
        <f aca="false">"/services/"&amp;AO292</f>
        <v>/services/railway-refund-status-check</v>
      </c>
      <c r="BE292" s="7" t="str">
        <f aca="false">IF(AND(AH292="Yes",AG292="Active",I292&lt;&gt;"Not Available"),"LIVE","HIDDEN")</f>
        <v>HIDDEN</v>
      </c>
      <c r="BF292" s="6" t="s">
        <v>139</v>
      </c>
      <c r="BG292" s="6" t="s">
        <v>1892</v>
      </c>
      <c r="BH292" s="7" t="str">
        <f aca="false">B292&amp;"|"&amp;COUNTIF($B$4:B292,B292)</f>
        <v>Travel / Ticketing|6</v>
      </c>
      <c r="BI292" s="7" t="str">
        <f aca="false">IF(AND(AI292="Yes",BE292="LIVE"),COUNTIFS($AI$4:AI292,"Yes",$BE$4:BE292,"LIVE"),"")</f>
        <v/>
      </c>
      <c r="BJ292" s="7" t="str">
        <f aca="false">IF(AND(AJ292="Yes",BE292="LIVE"),COUNTIFS($AJ$4:AJ292,"Yes",$BE$4:BE292,"LIVE"),"")</f>
        <v/>
      </c>
      <c r="BK292" s="7" t="str">
        <f aca="false">IF(AND(AK292="Yes",BE292="LIVE"),COUNTIFS($AK$4:AK292,"Yes",$BE$4:BE292,"LIVE"),"")</f>
        <v/>
      </c>
      <c r="BL292" s="7" t="n">
        <f aca="false">IF(I292="To Verify",COUNTIF($I$4:I292,"To Verify"),"")</f>
        <v>59</v>
      </c>
    </row>
    <row r="293" customFormat="false" ht="57.45" hidden="false" customHeight="false" outlineLevel="0" collapsed="false">
      <c r="A293" s="5" t="s">
        <v>3358</v>
      </c>
      <c r="B293" s="6" t="s">
        <v>3286</v>
      </c>
      <c r="C293" s="6" t="s">
        <v>3287</v>
      </c>
      <c r="D293" s="6" t="s">
        <v>3359</v>
      </c>
      <c r="E293" s="6" t="s">
        <v>3360</v>
      </c>
      <c r="F293" s="6" t="s">
        <v>3361</v>
      </c>
      <c r="G293" s="6" t="s">
        <v>3362</v>
      </c>
      <c r="H293" s="6" t="s">
        <v>3363</v>
      </c>
      <c r="I293" s="5" t="s">
        <v>75</v>
      </c>
      <c r="J293" s="7" t="str">
        <f aca="false">IFERROR(INDEX(AVAILABILITY_MASTER!$C$4:$C$10,MATCH(I293,AVAILABILITY_MASTER!$A$4:$A$10,0)),"To Be Confirmed")</f>
        <v>To Be Confirmed</v>
      </c>
      <c r="K293" s="6" t="s">
        <v>129</v>
      </c>
      <c r="L293" s="6" t="s">
        <v>75</v>
      </c>
      <c r="M293" s="7" t="str">
        <f aca="false">IFERROR(INDEX(SERVICE_DOCUMENTS!$S$4:$S$1000,MATCH(A293,SERVICE_DOCUMENTS!$A$4:$A$1000,0))&amp;"","")</f>
        <v>✓ Passenger Details &amp; ID</v>
      </c>
      <c r="N293" s="7" t="str">
        <f aca="false">IFERROR(INDEX(SERVICE_DOCUMENTS!$T$4:$T$1000,MATCH(A293,SERVICE_DOCUMENTS!$A$4:$A$1000,0))&amp;"","")</f>
        <v/>
      </c>
      <c r="O293" s="6" t="s">
        <v>645</v>
      </c>
      <c r="P293" s="6" t="s">
        <v>3364</v>
      </c>
      <c r="Q293" s="6" t="s">
        <v>371</v>
      </c>
      <c r="R293" s="8" t="s">
        <v>75</v>
      </c>
      <c r="S293" s="8" t="s">
        <v>75</v>
      </c>
      <c r="T293" s="9" t="str">
        <f aca="false">IF(AND(OR(ISNUMBER(R293),R293="N/A"),OR(ISNUMBER(S293),S293="N/A"),OR(ISNUMBER(R293),ISNUMBER(S293))),N(R293)+N(S293),"To Verify")</f>
        <v>To Verify</v>
      </c>
      <c r="U293" s="6" t="s">
        <v>75</v>
      </c>
      <c r="V293" s="6" t="s">
        <v>79</v>
      </c>
      <c r="W293" s="6" t="s">
        <v>80</v>
      </c>
      <c r="X293" s="6" t="s">
        <v>221</v>
      </c>
      <c r="Y293" s="6" t="s">
        <v>74</v>
      </c>
      <c r="Z293" s="6" t="s">
        <v>3294</v>
      </c>
      <c r="AA293" s="6" t="s">
        <v>74</v>
      </c>
      <c r="AB293" s="6" t="s">
        <v>74</v>
      </c>
      <c r="AC293" s="6" t="s">
        <v>75</v>
      </c>
      <c r="AD293" s="6" t="s">
        <v>75</v>
      </c>
      <c r="AE293" s="6" t="s">
        <v>79</v>
      </c>
      <c r="AF293" s="6" t="s">
        <v>79</v>
      </c>
      <c r="AG293" s="6" t="s">
        <v>75</v>
      </c>
      <c r="AH293" s="6" t="s">
        <v>79</v>
      </c>
      <c r="AI293" s="6" t="s">
        <v>79</v>
      </c>
      <c r="AJ293" s="6" t="s">
        <v>79</v>
      </c>
      <c r="AK293" s="6" t="s">
        <v>79</v>
      </c>
      <c r="AL293" s="6" t="s">
        <v>3286</v>
      </c>
      <c r="AM293" s="6" t="s">
        <v>3359</v>
      </c>
      <c r="AN293" s="7" t="str">
        <f aca="false">BA293&amp;", "&amp;AZ293</f>
        <v>Bus Ticket Booking, Travel / Ticketing, Devmobile Stores, बस टिकट बुकिंग, टिकट / बुकिंग, सेवा</v>
      </c>
      <c r="AO293" s="6" t="s">
        <v>3365</v>
      </c>
      <c r="AP293" s="5" t="s">
        <v>3296</v>
      </c>
      <c r="AQ293" s="5" t="n">
        <v>70</v>
      </c>
      <c r="AR293" s="6" t="s">
        <v>133</v>
      </c>
      <c r="AS293" s="6" t="s">
        <v>3297</v>
      </c>
      <c r="AT293" s="6" t="s">
        <v>86</v>
      </c>
      <c r="AU293" s="10"/>
      <c r="AV293" s="6" t="s">
        <v>75</v>
      </c>
      <c r="AW293" s="6" t="s">
        <v>3366</v>
      </c>
      <c r="AX293" s="6" t="s">
        <v>3367</v>
      </c>
      <c r="AY293" s="6" t="s">
        <v>3368</v>
      </c>
      <c r="AZ293" s="6" t="s">
        <v>3369</v>
      </c>
      <c r="BA293" s="6" t="s">
        <v>3370</v>
      </c>
      <c r="BB293" s="6"/>
      <c r="BC293" s="11" t="str">
        <f aca="false">IFERROR(INDEX(CATEGORY_MASTER!$C$4:$C$30,MATCH(B293,CATEGORY_MASTER!$A$4:$A$30,0)),"")</f>
        <v>🚆</v>
      </c>
      <c r="BD293" s="7" t="str">
        <f aca="false">"/services/"&amp;AO293</f>
        <v>/services/bus-ticket-booking</v>
      </c>
      <c r="BE293" s="7" t="str">
        <f aca="false">IF(AND(AH293="Yes",AG293="Active",I293&lt;&gt;"Not Available"),"LIVE","HIDDEN")</f>
        <v>HIDDEN</v>
      </c>
      <c r="BF293" s="6" t="s">
        <v>139</v>
      </c>
      <c r="BG293" s="6" t="s">
        <v>1892</v>
      </c>
      <c r="BH293" s="7" t="str">
        <f aca="false">B293&amp;"|"&amp;COUNTIF($B$4:B293,B293)</f>
        <v>Travel / Ticketing|7</v>
      </c>
      <c r="BI293" s="7" t="str">
        <f aca="false">IF(AND(AI293="Yes",BE293="LIVE"),COUNTIFS($AI$4:AI293,"Yes",$BE$4:BE293,"LIVE"),"")</f>
        <v/>
      </c>
      <c r="BJ293" s="7" t="str">
        <f aca="false">IF(AND(AJ293="Yes",BE293="LIVE"),COUNTIFS($AJ$4:AJ293,"Yes",$BE$4:BE293,"LIVE"),"")</f>
        <v/>
      </c>
      <c r="BK293" s="7" t="str">
        <f aca="false">IF(AND(AK293="Yes",BE293="LIVE"),COUNTIFS($AK$4:AK293,"Yes",$BE$4:BE293,"LIVE"),"")</f>
        <v/>
      </c>
      <c r="BL293" s="7" t="n">
        <f aca="false">IF(I293="To Verify",COUNTIF($I$4:I293,"To Verify"),"")</f>
        <v>60</v>
      </c>
    </row>
    <row r="294" customFormat="false" ht="57.45" hidden="false" customHeight="false" outlineLevel="0" collapsed="false">
      <c r="A294" s="5" t="s">
        <v>3371</v>
      </c>
      <c r="B294" s="6" t="s">
        <v>3286</v>
      </c>
      <c r="C294" s="6" t="s">
        <v>3287</v>
      </c>
      <c r="D294" s="6" t="s">
        <v>3359</v>
      </c>
      <c r="E294" s="6" t="s">
        <v>3372</v>
      </c>
      <c r="F294" s="6" t="s">
        <v>3373</v>
      </c>
      <c r="G294" s="6" t="s">
        <v>3374</v>
      </c>
      <c r="H294" s="6" t="s">
        <v>3375</v>
      </c>
      <c r="I294" s="5" t="s">
        <v>75</v>
      </c>
      <c r="J294" s="7" t="str">
        <f aca="false">IFERROR(INDEX(AVAILABILITY_MASTER!$C$4:$C$10,MATCH(I294,AVAILABILITY_MASTER!$A$4:$A$10,0)),"To Be Confirmed")</f>
        <v>To Be Confirmed</v>
      </c>
      <c r="K294" s="6" t="s">
        <v>129</v>
      </c>
      <c r="L294" s="6" t="s">
        <v>75</v>
      </c>
      <c r="M294" s="7" t="str">
        <f aca="false">IFERROR(INDEX(SERVICE_DOCUMENTS!$S$4:$S$1000,MATCH(A294,SERVICE_DOCUMENTS!$A$4:$A$1000,0))&amp;"","")</f>
        <v>✓ Passenger Details &amp; ID</v>
      </c>
      <c r="N294" s="7" t="str">
        <f aca="false">IFERROR(INDEX(SERVICE_DOCUMENTS!$T$4:$T$1000,MATCH(A294,SERVICE_DOCUMENTS!$A$4:$A$1000,0))&amp;"","")</f>
        <v/>
      </c>
      <c r="O294" s="6" t="s">
        <v>645</v>
      </c>
      <c r="P294" s="6" t="s">
        <v>3376</v>
      </c>
      <c r="Q294" s="6" t="s">
        <v>371</v>
      </c>
      <c r="R294" s="8" t="s">
        <v>75</v>
      </c>
      <c r="S294" s="8" t="s">
        <v>75</v>
      </c>
      <c r="T294" s="9" t="str">
        <f aca="false">IF(AND(OR(ISNUMBER(R294),R294="N/A"),OR(ISNUMBER(S294),S294="N/A"),OR(ISNUMBER(R294),ISNUMBER(S294))),N(R294)+N(S294),"To Verify")</f>
        <v>To Verify</v>
      </c>
      <c r="U294" s="6" t="s">
        <v>75</v>
      </c>
      <c r="V294" s="6" t="s">
        <v>79</v>
      </c>
      <c r="W294" s="6" t="s">
        <v>80</v>
      </c>
      <c r="X294" s="6" t="s">
        <v>221</v>
      </c>
      <c r="Y294" s="6" t="s">
        <v>74</v>
      </c>
      <c r="Z294" s="6" t="s">
        <v>3294</v>
      </c>
      <c r="AA294" s="6" t="s">
        <v>74</v>
      </c>
      <c r="AB294" s="6" t="s">
        <v>74</v>
      </c>
      <c r="AC294" s="6" t="s">
        <v>75</v>
      </c>
      <c r="AD294" s="6" t="s">
        <v>75</v>
      </c>
      <c r="AE294" s="6" t="s">
        <v>79</v>
      </c>
      <c r="AF294" s="6" t="s">
        <v>79</v>
      </c>
      <c r="AG294" s="6" t="s">
        <v>75</v>
      </c>
      <c r="AH294" s="6" t="s">
        <v>79</v>
      </c>
      <c r="AI294" s="6" t="s">
        <v>79</v>
      </c>
      <c r="AJ294" s="6" t="s">
        <v>79</v>
      </c>
      <c r="AK294" s="6" t="s">
        <v>79</v>
      </c>
      <c r="AL294" s="6" t="s">
        <v>3286</v>
      </c>
      <c r="AM294" s="6" t="s">
        <v>3359</v>
      </c>
      <c r="AN294" s="7" t="str">
        <f aca="false">BA294&amp;", "&amp;AZ294</f>
        <v>Bus Ticket Cancellation, Travel / Ticketing, Devmobile Stores, बस टिकट रद्द करना, टिकट / बुकिंग, सेवा</v>
      </c>
      <c r="AO294" s="6" t="s">
        <v>3377</v>
      </c>
      <c r="AP294" s="5" t="s">
        <v>3296</v>
      </c>
      <c r="AQ294" s="5" t="n">
        <v>80</v>
      </c>
      <c r="AR294" s="6" t="s">
        <v>133</v>
      </c>
      <c r="AS294" s="6" t="s">
        <v>3297</v>
      </c>
      <c r="AT294" s="6" t="s">
        <v>86</v>
      </c>
      <c r="AU294" s="10"/>
      <c r="AV294" s="6" t="s">
        <v>75</v>
      </c>
      <c r="AW294" s="6"/>
      <c r="AX294" s="6" t="s">
        <v>3378</v>
      </c>
      <c r="AY294" s="6" t="s">
        <v>3379</v>
      </c>
      <c r="AZ294" s="6" t="s">
        <v>3380</v>
      </c>
      <c r="BA294" s="6" t="s">
        <v>3381</v>
      </c>
      <c r="BB294" s="6"/>
      <c r="BC294" s="11" t="str">
        <f aca="false">IFERROR(INDEX(CATEGORY_MASTER!$C$4:$C$30,MATCH(B294,CATEGORY_MASTER!$A$4:$A$30,0)),"")</f>
        <v>🚆</v>
      </c>
      <c r="BD294" s="7" t="str">
        <f aca="false">"/services/"&amp;AO294</f>
        <v>/services/bus-ticket-cancellation</v>
      </c>
      <c r="BE294" s="7" t="str">
        <f aca="false">IF(AND(AH294="Yes",AG294="Active",I294&lt;&gt;"Not Available"),"LIVE","HIDDEN")</f>
        <v>HIDDEN</v>
      </c>
      <c r="BF294" s="6" t="s">
        <v>139</v>
      </c>
      <c r="BG294" s="6" t="s">
        <v>1892</v>
      </c>
      <c r="BH294" s="7" t="str">
        <f aca="false">B294&amp;"|"&amp;COUNTIF($B$4:B294,B294)</f>
        <v>Travel / Ticketing|8</v>
      </c>
      <c r="BI294" s="7" t="str">
        <f aca="false">IF(AND(AI294="Yes",BE294="LIVE"),COUNTIFS($AI$4:AI294,"Yes",$BE$4:BE294,"LIVE"),"")</f>
        <v/>
      </c>
      <c r="BJ294" s="7" t="str">
        <f aca="false">IF(AND(AJ294="Yes",BE294="LIVE"),COUNTIFS($AJ$4:AJ294,"Yes",$BE$4:BE294,"LIVE"),"")</f>
        <v/>
      </c>
      <c r="BK294" s="7" t="str">
        <f aca="false">IF(AND(AK294="Yes",BE294="LIVE"),COUNTIFS($AK$4:AK294,"Yes",$BE$4:BE294,"LIVE"),"")</f>
        <v/>
      </c>
      <c r="BL294" s="7" t="n">
        <f aca="false">IF(I294="To Verify",COUNTIF($I$4:I294,"To Verify"),"")</f>
        <v>61</v>
      </c>
    </row>
    <row r="295" customFormat="false" ht="57.45" hidden="false" customHeight="false" outlineLevel="0" collapsed="false">
      <c r="A295" s="5" t="s">
        <v>3382</v>
      </c>
      <c r="B295" s="6" t="s">
        <v>3286</v>
      </c>
      <c r="C295" s="6" t="s">
        <v>3287</v>
      </c>
      <c r="D295" s="6" t="s">
        <v>3359</v>
      </c>
      <c r="E295" s="6" t="s">
        <v>3383</v>
      </c>
      <c r="F295" s="6" t="s">
        <v>3384</v>
      </c>
      <c r="G295" s="6" t="s">
        <v>3385</v>
      </c>
      <c r="H295" s="6" t="s">
        <v>3386</v>
      </c>
      <c r="I295" s="5" t="s">
        <v>75</v>
      </c>
      <c r="J295" s="7" t="str">
        <f aca="false">IFERROR(INDEX(AVAILABILITY_MASTER!$C$4:$C$10,MATCH(I295,AVAILABILITY_MASTER!$A$4:$A$10,0)),"To Be Confirmed")</f>
        <v>To Be Confirmed</v>
      </c>
      <c r="K295" s="6" t="s">
        <v>129</v>
      </c>
      <c r="L295" s="6" t="s">
        <v>75</v>
      </c>
      <c r="M295" s="7" t="str">
        <f aca="false">IFERROR(INDEX(SERVICE_DOCUMENTS!$S$4:$S$1000,MATCH(A295,SERVICE_DOCUMENTS!$A$4:$A$1000,0))&amp;"","")</f>
        <v>✓ Passenger Details &amp; ID</v>
      </c>
      <c r="N295" s="7" t="str">
        <f aca="false">IFERROR(INDEX(SERVICE_DOCUMENTS!$T$4:$T$1000,MATCH(A295,SERVICE_DOCUMENTS!$A$4:$A$1000,0))&amp;"","")</f>
        <v/>
      </c>
      <c r="O295" s="6" t="s">
        <v>645</v>
      </c>
      <c r="P295" s="6" t="s">
        <v>3387</v>
      </c>
      <c r="Q295" s="6" t="s">
        <v>371</v>
      </c>
      <c r="R295" s="8" t="s">
        <v>75</v>
      </c>
      <c r="S295" s="8" t="s">
        <v>75</v>
      </c>
      <c r="T295" s="9" t="str">
        <f aca="false">IF(AND(OR(ISNUMBER(R295),R295="N/A"),OR(ISNUMBER(S295),S295="N/A"),OR(ISNUMBER(R295),ISNUMBER(S295))),N(R295)+N(S295),"To Verify")</f>
        <v>To Verify</v>
      </c>
      <c r="U295" s="6" t="s">
        <v>75</v>
      </c>
      <c r="V295" s="6" t="s">
        <v>79</v>
      </c>
      <c r="W295" s="6" t="s">
        <v>80</v>
      </c>
      <c r="X295" s="6" t="s">
        <v>221</v>
      </c>
      <c r="Y295" s="6" t="s">
        <v>74</v>
      </c>
      <c r="Z295" s="6" t="s">
        <v>3294</v>
      </c>
      <c r="AA295" s="6" t="s">
        <v>74</v>
      </c>
      <c r="AB295" s="6" t="s">
        <v>74</v>
      </c>
      <c r="AC295" s="6" t="s">
        <v>75</v>
      </c>
      <c r="AD295" s="6" t="s">
        <v>75</v>
      </c>
      <c r="AE295" s="6" t="s">
        <v>79</v>
      </c>
      <c r="AF295" s="6" t="s">
        <v>79</v>
      </c>
      <c r="AG295" s="6" t="s">
        <v>75</v>
      </c>
      <c r="AH295" s="6" t="s">
        <v>79</v>
      </c>
      <c r="AI295" s="6" t="s">
        <v>79</v>
      </c>
      <c r="AJ295" s="6" t="s">
        <v>79</v>
      </c>
      <c r="AK295" s="6" t="s">
        <v>79</v>
      </c>
      <c r="AL295" s="6" t="s">
        <v>3286</v>
      </c>
      <c r="AM295" s="6" t="s">
        <v>3359</v>
      </c>
      <c r="AN295" s="7" t="str">
        <f aca="false">BA295&amp;", "&amp;AZ295</f>
        <v>Flight Ticket Booking, Travel / Ticketing, Devmobile Stores, हवाई टिकट बुकिंग, टिकट / बुकिंग, सेवा</v>
      </c>
      <c r="AO295" s="6" t="s">
        <v>3388</v>
      </c>
      <c r="AP295" s="5" t="s">
        <v>3296</v>
      </c>
      <c r="AQ295" s="5" t="n">
        <v>90</v>
      </c>
      <c r="AR295" s="6" t="s">
        <v>133</v>
      </c>
      <c r="AS295" s="6" t="s">
        <v>3297</v>
      </c>
      <c r="AT295" s="6" t="s">
        <v>86</v>
      </c>
      <c r="AU295" s="10"/>
      <c r="AV295" s="6" t="s">
        <v>75</v>
      </c>
      <c r="AW295" s="6" t="s">
        <v>2657</v>
      </c>
      <c r="AX295" s="6" t="s">
        <v>3389</v>
      </c>
      <c r="AY295" s="6" t="s">
        <v>3390</v>
      </c>
      <c r="AZ295" s="6" t="s">
        <v>3391</v>
      </c>
      <c r="BA295" s="6" t="s">
        <v>3392</v>
      </c>
      <c r="BB295" s="6"/>
      <c r="BC295" s="11" t="str">
        <f aca="false">IFERROR(INDEX(CATEGORY_MASTER!$C$4:$C$30,MATCH(B295,CATEGORY_MASTER!$A$4:$A$30,0)),"")</f>
        <v>🚆</v>
      </c>
      <c r="BD295" s="7" t="str">
        <f aca="false">"/services/"&amp;AO295</f>
        <v>/services/flight-ticket-booking</v>
      </c>
      <c r="BE295" s="7" t="str">
        <f aca="false">IF(AND(AH295="Yes",AG295="Active",I295&lt;&gt;"Not Available"),"LIVE","HIDDEN")</f>
        <v>HIDDEN</v>
      </c>
      <c r="BF295" s="6" t="s">
        <v>139</v>
      </c>
      <c r="BG295" s="6" t="s">
        <v>1892</v>
      </c>
      <c r="BH295" s="7" t="str">
        <f aca="false">B295&amp;"|"&amp;COUNTIF($B$4:B295,B295)</f>
        <v>Travel / Ticketing|9</v>
      </c>
      <c r="BI295" s="7" t="str">
        <f aca="false">IF(AND(AI295="Yes",BE295="LIVE"),COUNTIFS($AI$4:AI295,"Yes",$BE$4:BE295,"LIVE"),"")</f>
        <v/>
      </c>
      <c r="BJ295" s="7" t="str">
        <f aca="false">IF(AND(AJ295="Yes",BE295="LIVE"),COUNTIFS($AJ$4:AJ295,"Yes",$BE$4:BE295,"LIVE"),"")</f>
        <v/>
      </c>
      <c r="BK295" s="7" t="str">
        <f aca="false">IF(AND(AK295="Yes",BE295="LIVE"),COUNTIFS($AK$4:AK295,"Yes",$BE$4:BE295,"LIVE"),"")</f>
        <v/>
      </c>
      <c r="BL295" s="7" t="n">
        <f aca="false">IF(I295="To Verify",COUNTIF($I$4:I295,"To Verify"),"")</f>
        <v>62</v>
      </c>
    </row>
  </sheetData>
  <conditionalFormatting sqref="I4:I1000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AG4:AG1000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BE4:BE1000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conditionalFormatting sqref="U4:U1000">
    <cfRule type="cellIs" priority="23" operator="equal" aboveAverage="0" equalAverage="0" bottom="0" percent="0" rank="0" text="" dxfId="17">
      <formula>"To Verify"</formula>
    </cfRule>
  </conditionalFormatting>
  <dataValidations count="25">
    <dataValidation allowBlank="true" error="Please choose a value from the dropdown list." errorStyle="stop" errorTitle="Invalid value" operator="between" showDropDown="false" showErrorMessage="true" showInputMessage="false" sqref="B4:B1000" type="list">
      <formula1>CATEGORY_MASTER!$A$4:$A$30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L4:AL1000" type="list">
      <formula1>CATEGORY_MASTER!$A$4:$A$30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I4:I1000" type="list">
      <formula1>AVAILABILITY_MASTER!$A$4:$A$10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K4:K1000" type="list">
      <formula1>LISTS!$B$4:$B$6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L4:L1000" type="list">
      <formula1>LISTS!$D$4:$D$9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Q4:Q1000" type="list">
      <formula1>LISTS!$F$4:$F$10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U4:U1000" type="list">
      <formula1>CHARGE_MASTER!$A$4:$A$10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V4:V1000" type="list">
      <formula1>LISTS!$A$4:$A$5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W4:W1000" type="list">
      <formula1>LISTS!$G$4:$G$9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X4:X1000" type="list">
      <formula1>LISTS!$H$4:$H$7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Y4:Y1000" type="list">
      <formula1>LISTS!$B$4:$B$6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A4:AA1000" type="list">
      <formula1>LISTS!$B$4:$B$6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B4:AB1000" type="list">
      <formula1>LISTS!$A$4:$A$5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C4:AC1000" type="list">
      <formula1>LISTS!$C$4:$C$6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D4:AD1000" type="list">
      <formula1>LISTS!$C$4:$C$6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E4:AE1000" type="list">
      <formula1>LISTS!$C$4:$C$6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F4:AF1000" type="list">
      <formula1>LISTS!$C$4:$C$6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G4:AG1000" type="list">
      <formula1>LISTS!$E$4:$E$8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H4:AH1000" type="list">
      <formula1>LISTS!$A$4:$A$5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I4:AI1000" type="list">
      <formula1>LISTS!$A$4:$A$5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J4:AJ1000" type="list">
      <formula1>LISTS!$A$4:$A$5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K4:AK1000" type="list">
      <formula1>LISTS!$A$4:$A$5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AV4:AV1000" type="list">
      <formula1>LISTS!$J$4:$J$6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BG4:BG1000" type="list">
      <formula1>LISTS!$I$4:$I$10</formula1>
      <formula2>0</formula2>
    </dataValidation>
    <dataValidation allowBlank="true" error="Enter a valid date." errorStyle="stop" operator="greaterThan" showDropDown="false" showErrorMessage="true" showInputMessage="false" sqref="AU4:AU100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A3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22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8" min="7" style="0" width="22"/>
    <col collapsed="false" customWidth="true" hidden="false" outlineLevel="0" max="10" min="9" style="0" width="34"/>
    <col collapsed="false" customWidth="true" hidden="false" outlineLevel="0" max="11" min="11" style="0" width="36"/>
    <col collapsed="false" customWidth="true" hidden="false" outlineLevel="0" max="12" min="12" style="0" width="46"/>
    <col collapsed="false" customWidth="true" hidden="false" outlineLevel="0" max="13" min="13" style="0" width="40"/>
    <col collapsed="false" customWidth="true" hidden="false" outlineLevel="0" max="15" min="14" style="0" width="30"/>
    <col collapsed="false" customWidth="true" hidden="false" outlineLevel="0" max="16" min="16" style="0" width="8"/>
    <col collapsed="false" customWidth="true" hidden="false" outlineLevel="0" max="17" min="17" style="0" width="16"/>
    <col collapsed="false" customWidth="true" hidden="false" outlineLevel="0" max="19" min="18" style="0" width="8"/>
    <col collapsed="false" customWidth="true" hidden="false" outlineLevel="0" max="21" min="20" style="0" width="22"/>
    <col collapsed="false" customWidth="true" hidden="false" outlineLevel="0" max="22" min="22" style="0" width="12"/>
    <col collapsed="false" customWidth="true" hidden="false" outlineLevel="0" max="26" min="23" style="0" width="10"/>
    <col collapsed="false" customWidth="true" hidden="false" outlineLevel="0" max="27" min="27" style="0" width="12"/>
  </cols>
  <sheetData>
    <row r="1" customFormat="false" ht="17.35" hidden="false" customHeight="false" outlineLevel="0" collapsed="false">
      <c r="A1" s="1" t="s">
        <v>3393</v>
      </c>
    </row>
    <row r="2" customFormat="false" ht="15" hidden="false" customHeight="false" outlineLevel="0" collapsed="false">
      <c r="A2" s="2" t="s">
        <v>3394</v>
      </c>
    </row>
    <row r="3" customFormat="false" ht="33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39</v>
      </c>
      <c r="H3" s="4" t="s">
        <v>40</v>
      </c>
      <c r="I3" s="4" t="s">
        <v>42</v>
      </c>
      <c r="J3" s="4" t="s">
        <v>57</v>
      </c>
      <c r="K3" s="4" t="s">
        <v>51</v>
      </c>
      <c r="L3" s="4" t="s">
        <v>52</v>
      </c>
      <c r="M3" s="4" t="s">
        <v>41</v>
      </c>
      <c r="N3" s="4" t="s">
        <v>53</v>
      </c>
      <c r="O3" s="4" t="s">
        <v>54</v>
      </c>
      <c r="P3" s="4" t="s">
        <v>3395</v>
      </c>
      <c r="Q3" s="4" t="s">
        <v>55</v>
      </c>
      <c r="R3" s="4" t="s">
        <v>56</v>
      </c>
      <c r="S3" s="4" t="s">
        <v>44</v>
      </c>
      <c r="T3" s="4" t="s">
        <v>10</v>
      </c>
      <c r="U3" s="4" t="s">
        <v>11</v>
      </c>
      <c r="V3" s="4" t="s">
        <v>34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58</v>
      </c>
    </row>
    <row r="4" customFormat="false" ht="57.45" hidden="false" customHeight="false" outlineLevel="0" collapsed="false">
      <c r="A4" s="11" t="str">
        <f aca="false">IF(INDEX(MASTER_DATABASE!$A$4:$A$1000,ROW()-3)="","",INDEX(MASTER_DATABASE!$A$4:$A$1000,ROW()-3)&amp;"")</f>
        <v>AAD-001</v>
      </c>
      <c r="B4" s="7" t="str">
        <f aca="false">IF(INDEX(MASTER_DATABASE!$A$4:$A$1000,ROW()-3)="","",INDEX(MASTER_DATABASE!$B$4:$B$1000,ROW()-3)&amp;"")</f>
        <v>Aadhaar Centre</v>
      </c>
      <c r="C4" s="7" t="str">
        <f aca="false">IF(INDEX(MASTER_DATABASE!$A$4:$A$1000,ROW()-3)="","",INDEX(MASTER_DATABASE!$C$4:$C$1000,ROW()-3)&amp;"")</f>
        <v>Aadhaar Services</v>
      </c>
      <c r="D4" s="7" t="str">
        <f aca="false">IF(INDEX(MASTER_DATABASE!$A$4:$A$1000,ROW()-3)="","",INDEX(MASTER_DATABASE!$D$4:$D$1000,ROW()-3)&amp;"")</f>
        <v>Enrolment</v>
      </c>
      <c r="E4" s="7" t="str">
        <f aca="false">IF(INDEX(MASTER_DATABASE!$A$4:$A$1000,ROW()-3)="","",INDEX(MASTER_DATABASE!$E$4:$E$1000,ROW()-3)&amp;"")</f>
        <v>New Aadhaar Enrolment – Adult (18+ years)</v>
      </c>
      <c r="F4" s="7" t="str">
        <f aca="false">IF(INDEX(MASTER_DATABASE!$A$4:$A$1000,ROW()-3)="","",INDEX(MASTER_DATABASE!$F$4:$F$1000,ROW()-3)&amp;"")</f>
        <v>नया आधार नामांकन – वयस्क (18+ वर्ष)</v>
      </c>
      <c r="G4" s="7" t="str">
        <f aca="false">IF(INDEX(MASTER_DATABASE!$A$4:$A$1000,ROW()-3)="","",INDEX(MASTER_DATABASE!$AL$4:$AL$1000,ROW()-3)&amp;"")</f>
        <v>Aadhaar Centre</v>
      </c>
      <c r="H4" s="7" t="str">
        <f aca="false">IF(INDEX(MASTER_DATABASE!$A$4:$A$1000,ROW()-3)="","",INDEX(MASTER_DATABASE!$AM$4:$AM$1000,ROW()-3)&amp;"")</f>
        <v>Enrolment</v>
      </c>
      <c r="I4" s="7" t="str">
        <f aca="false">IF(INDEX(MASTER_DATABASE!$A$4:$A$1000,ROW()-3)="","",INDEX(MASTER_DATABASE!$AO$4:$AO$1000,ROW()-3)&amp;"")</f>
        <v>new-aadhaar-enrolment-adult-18-years</v>
      </c>
      <c r="J4" s="7" t="str">
        <f aca="false">IF(INDEX(MASTER_DATABASE!$A$4:$A$1000,ROW()-3)="","",INDEX(MASTER_DATABASE!$BD$4:$BD$1000,ROW()-3)&amp;"")</f>
        <v>/services/new-aadhaar-enrolment-adult-18-years</v>
      </c>
      <c r="K4" s="7" t="str">
        <f aca="false">IF(INDEX(MASTER_DATABASE!$A$4:$A$1000,ROW()-3)="","",INDEX(MASTER_DATABASE!$AX$4:$AX$1000,ROW()-3)&amp;"")</f>
        <v>New Aadhaar Enrolment – Adult (18+ years) Service | Devmobile Stores</v>
      </c>
      <c r="L4" s="7" t="str">
        <f aca="false">IF(INDEX(MASTER_DATABASE!$A$4:$A$1000,ROW()-3)="","",INDEX(MASTER_DATABASE!$AY$4:$AY$1000,ROW()-3)&amp;"")</f>
        <v>New Aadhaar Enrolment – Adult (18+ years) (नया आधार नामांकन – वयस्क (18+ वर्ष)) at Devmobile Stores and Common Service Center &amp; Aadhaar Centre. Check required documents, charges and process before you visit.</v>
      </c>
      <c r="M4" s="7" t="str">
        <f aca="false">IF(INDEX(MASTER_DATABASE!$A$4:$A$1000,ROW()-3)="","",INDEX(MASTER_DATABASE!$AN$4:$AN$1000,ROW()-3)&amp;"")</f>
        <v>New Aadhaar Enrolment – Adult (18+ years), Aadhaar Centre, Devmobile Stores, नया आधार नामांकन – वयस्क (18+ वर्ष), आधार सेंटर, सेवा</v>
      </c>
      <c r="N4" s="7" t="str">
        <f aca="false">IF(INDEX(MASTER_DATABASE!$A$4:$A$1000,ROW()-3)="","",INDEX(MASTER_DATABASE!$AZ$4:$AZ$1000,ROW()-3)&amp;"")</f>
        <v>नया आधार नामांकन – वयस्क (18+ वर्ष), आधार सेंटर, सेवा</v>
      </c>
      <c r="O4" s="7" t="str">
        <f aca="false">IF(INDEX(MASTER_DATABASE!$A$4:$A$1000,ROW()-3)="","",INDEX(MASTER_DATABASE!$BA$4:$BA$1000,ROW()-3)&amp;"")</f>
        <v>New Aadhaar Enrolment – Adult (18+ years), Aadhaar Centre, Devmobile Stores</v>
      </c>
      <c r="P4" s="11" t="str">
        <f aca="false">IF(INDEX(MASTER_DATABASE!$A$4:$A$1000,ROW()-3)="","",INDEX(MASTER_DATABASE!$AP$4:$AP$1000,ROW()-3)&amp;"")</f>
        <v>🆕</v>
      </c>
      <c r="Q4" s="7" t="str">
        <f aca="false">IF(INDEX(MASTER_DATABASE!$A$4:$A$1000,ROW()-3)="","",INDEX(MASTER_DATABASE!$BB$4:$BB$1000,ROW()-3)&amp;"")</f>
        <v/>
      </c>
      <c r="R4" s="11" t="str">
        <f aca="false">IF(INDEX(MASTER_DATABASE!$A$4:$A$1000,ROW()-3)="","",INDEX(MASTER_DATABASE!$BC$4:$BC$1000,ROW()-3)&amp;"")</f>
        <v>🪪</v>
      </c>
      <c r="S4" s="11" t="n">
        <f aca="false">IF(INDEX(MASTER_DATABASE!$A$4:$A$1000,ROW()-3)="","",INDEX(MASTER_DATABASE!$AQ$4:$AQ$1000,ROW()-3))</f>
        <v>10</v>
      </c>
      <c r="T4" s="7" t="str">
        <f aca="false">IF(INDEX(MASTER_DATABASE!$A$4:$A$1000,ROW()-3)="","",INDEX(MASTER_DATABASE!$I$4:$I$1000,ROW()-3)&amp;"")</f>
        <v>Authorization Required</v>
      </c>
      <c r="U4" s="7" t="str">
        <f aca="false">IF(INDEX(MASTER_DATABASE!$A$4:$A$1000,ROW()-3)="","",INDEX(MASTER_DATABASE!$J$4:$J$1000,ROW()-3)&amp;"")</f>
        <v>Please Confirm at Shop</v>
      </c>
      <c r="V4" s="7" t="str">
        <f aca="false">IF(INDEX(MASTER_DATABASE!$A$4:$A$1000,ROW()-3)="","",INDEX(MASTER_DATABASE!$AG$4:$AG$1000,ROW()-3)&amp;"")</f>
        <v>To Verify</v>
      </c>
      <c r="W4" s="7" t="str">
        <f aca="false">IF(INDEX(MASTER_DATABASE!$A$4:$A$1000,ROW()-3)="","",INDEX(MASTER_DATABASE!$AH$4:$AH$1000,ROW()-3)&amp;"")</f>
        <v>No</v>
      </c>
      <c r="X4" s="7" t="str">
        <f aca="false">IF(INDEX(MASTER_DATABASE!$A$4:$A$1000,ROW()-3)="","",INDEX(MASTER_DATABASE!$AI$4:$AI$1000,ROW()-3)&amp;"")</f>
        <v>No</v>
      </c>
      <c r="Y4" s="7" t="str">
        <f aca="false">IF(INDEX(MASTER_DATABASE!$A$4:$A$1000,ROW()-3)="","",INDEX(MASTER_DATABASE!$AJ$4:$AJ$1000,ROW()-3)&amp;"")</f>
        <v>No</v>
      </c>
      <c r="Z4" s="7" t="str">
        <f aca="false">IF(INDEX(MASTER_DATABASE!$A$4:$A$1000,ROW()-3)="","",INDEX(MASTER_DATABASE!$AK$4:$AK$1000,ROW()-3)&amp;"")</f>
        <v>No</v>
      </c>
      <c r="AA4" s="7" t="str">
        <f aca="false">IF(INDEX(MASTER_DATABASE!$A$4:$A$1000,ROW()-3)="","",INDEX(MASTER_DATABASE!$BE$4:$BE$1000,ROW()-3)&amp;"")</f>
        <v>HIDDEN</v>
      </c>
    </row>
    <row r="5" customFormat="false" ht="57.45" hidden="false" customHeight="false" outlineLevel="0" collapsed="false">
      <c r="A5" s="11" t="str">
        <f aca="false">IF(INDEX(MASTER_DATABASE!$A$4:$A$1000,ROW()-3)="","",INDEX(MASTER_DATABASE!$A$4:$A$1000,ROW()-3)&amp;"")</f>
        <v>AAD-002</v>
      </c>
      <c r="B5" s="7" t="str">
        <f aca="false">IF(INDEX(MASTER_DATABASE!$A$4:$A$1000,ROW()-3)="","",INDEX(MASTER_DATABASE!$B$4:$B$1000,ROW()-3)&amp;"")</f>
        <v>Aadhaar Centre</v>
      </c>
      <c r="C5" s="7" t="str">
        <f aca="false">IF(INDEX(MASTER_DATABASE!$A$4:$A$1000,ROW()-3)="","",INDEX(MASTER_DATABASE!$C$4:$C$1000,ROW()-3)&amp;"")</f>
        <v>Aadhaar Services</v>
      </c>
      <c r="D5" s="7" t="str">
        <f aca="false">IF(INDEX(MASTER_DATABASE!$A$4:$A$1000,ROW()-3)="","",INDEX(MASTER_DATABASE!$D$4:$D$1000,ROW()-3)&amp;"")</f>
        <v>Enrolment</v>
      </c>
      <c r="E5" s="7" t="str">
        <f aca="false">IF(INDEX(MASTER_DATABASE!$A$4:$A$1000,ROW()-3)="","",INDEX(MASTER_DATABASE!$E$4:$E$1000,ROW()-3)&amp;"")</f>
        <v>New Aadhaar Enrolment – Child (5 to 17 years)</v>
      </c>
      <c r="F5" s="7" t="str">
        <f aca="false">IF(INDEX(MASTER_DATABASE!$A$4:$A$1000,ROW()-3)="","",INDEX(MASTER_DATABASE!$F$4:$F$1000,ROW()-3)&amp;"")</f>
        <v>नया आधार नामांकन – बच्चा (5 से 17 वर्ष)</v>
      </c>
      <c r="G5" s="7" t="str">
        <f aca="false">IF(INDEX(MASTER_DATABASE!$A$4:$A$1000,ROW()-3)="","",INDEX(MASTER_DATABASE!$AL$4:$AL$1000,ROW()-3)&amp;"")</f>
        <v>Aadhaar Centre</v>
      </c>
      <c r="H5" s="7" t="str">
        <f aca="false">IF(INDEX(MASTER_DATABASE!$A$4:$A$1000,ROW()-3)="","",INDEX(MASTER_DATABASE!$AM$4:$AM$1000,ROW()-3)&amp;"")</f>
        <v>Enrolment</v>
      </c>
      <c r="I5" s="7" t="str">
        <f aca="false">IF(INDEX(MASTER_DATABASE!$A$4:$A$1000,ROW()-3)="","",INDEX(MASTER_DATABASE!$AO$4:$AO$1000,ROW()-3)&amp;"")</f>
        <v>new-aadhaar-enrolment-child-5-to-17-years</v>
      </c>
      <c r="J5" s="7" t="str">
        <f aca="false">IF(INDEX(MASTER_DATABASE!$A$4:$A$1000,ROW()-3)="","",INDEX(MASTER_DATABASE!$BD$4:$BD$1000,ROW()-3)&amp;"")</f>
        <v>/services/new-aadhaar-enrolment-child-5-to-17-years</v>
      </c>
      <c r="K5" s="7" t="str">
        <f aca="false">IF(INDEX(MASTER_DATABASE!$A$4:$A$1000,ROW()-3)="","",INDEX(MASTER_DATABASE!$AX$4:$AX$1000,ROW()-3)&amp;"")</f>
        <v>New Aadhaar Enrolment – Child (5 to 17 years) Service | Devmobile Stores</v>
      </c>
      <c r="L5" s="7" t="str">
        <f aca="false">IF(INDEX(MASTER_DATABASE!$A$4:$A$1000,ROW()-3)="","",INDEX(MASTER_DATABASE!$AY$4:$AY$1000,ROW()-3)&amp;"")</f>
        <v>New Aadhaar Enrolment – Child (5 to 17 years) (नया आधार नामांकन – बच्चा (5 से 17 वर्ष)) at Devmobile Stores and Common Service Center &amp; Aadhaar Centre. Check required documents, charges and process before you visit.</v>
      </c>
      <c r="M5" s="7" t="str">
        <f aca="false">IF(INDEX(MASTER_DATABASE!$A$4:$A$1000,ROW()-3)="","",INDEX(MASTER_DATABASE!$AN$4:$AN$1000,ROW()-3)&amp;"")</f>
        <v>New Aadhaar Enrolment – Child (5 to 17 years), Aadhaar Centre, Devmobile Stores, नया आधार नामांकन – बच्चा (5 से 17 वर्ष), आधार सेंटर, सेवा</v>
      </c>
      <c r="N5" s="7" t="str">
        <f aca="false">IF(INDEX(MASTER_DATABASE!$A$4:$A$1000,ROW()-3)="","",INDEX(MASTER_DATABASE!$AZ$4:$AZ$1000,ROW()-3)&amp;"")</f>
        <v>नया आधार नामांकन – बच्चा (5 से 17 वर्ष), आधार सेंटर, सेवा</v>
      </c>
      <c r="O5" s="7" t="str">
        <f aca="false">IF(INDEX(MASTER_DATABASE!$A$4:$A$1000,ROW()-3)="","",INDEX(MASTER_DATABASE!$BA$4:$BA$1000,ROW()-3)&amp;"")</f>
        <v>New Aadhaar Enrolment – Child (5 to 17 years), Aadhaar Centre, Devmobile Stores</v>
      </c>
      <c r="P5" s="11" t="str">
        <f aca="false">IF(INDEX(MASTER_DATABASE!$A$4:$A$1000,ROW()-3)="","",INDEX(MASTER_DATABASE!$AP$4:$AP$1000,ROW()-3)&amp;"")</f>
        <v>🆕</v>
      </c>
      <c r="Q5" s="7" t="str">
        <f aca="false">IF(INDEX(MASTER_DATABASE!$A$4:$A$1000,ROW()-3)="","",INDEX(MASTER_DATABASE!$BB$4:$BB$1000,ROW()-3)&amp;"")</f>
        <v/>
      </c>
      <c r="R5" s="11" t="str">
        <f aca="false">IF(INDEX(MASTER_DATABASE!$A$4:$A$1000,ROW()-3)="","",INDEX(MASTER_DATABASE!$BC$4:$BC$1000,ROW()-3)&amp;"")</f>
        <v>🪪</v>
      </c>
      <c r="S5" s="11" t="n">
        <f aca="false">IF(INDEX(MASTER_DATABASE!$A$4:$A$1000,ROW()-3)="","",INDEX(MASTER_DATABASE!$AQ$4:$AQ$1000,ROW()-3))</f>
        <v>20</v>
      </c>
      <c r="T5" s="7" t="str">
        <f aca="false">IF(INDEX(MASTER_DATABASE!$A$4:$A$1000,ROW()-3)="","",INDEX(MASTER_DATABASE!$I$4:$I$1000,ROW()-3)&amp;"")</f>
        <v>Authorization Required</v>
      </c>
      <c r="U5" s="7" t="str">
        <f aca="false">IF(INDEX(MASTER_DATABASE!$A$4:$A$1000,ROW()-3)="","",INDEX(MASTER_DATABASE!$J$4:$J$1000,ROW()-3)&amp;"")</f>
        <v>Please Confirm at Shop</v>
      </c>
      <c r="V5" s="7" t="str">
        <f aca="false">IF(INDEX(MASTER_DATABASE!$A$4:$A$1000,ROW()-3)="","",INDEX(MASTER_DATABASE!$AG$4:$AG$1000,ROW()-3)&amp;"")</f>
        <v>To Verify</v>
      </c>
      <c r="W5" s="7" t="str">
        <f aca="false">IF(INDEX(MASTER_DATABASE!$A$4:$A$1000,ROW()-3)="","",INDEX(MASTER_DATABASE!$AH$4:$AH$1000,ROW()-3)&amp;"")</f>
        <v>No</v>
      </c>
      <c r="X5" s="7" t="str">
        <f aca="false">IF(INDEX(MASTER_DATABASE!$A$4:$A$1000,ROW()-3)="","",INDEX(MASTER_DATABASE!$AI$4:$AI$1000,ROW()-3)&amp;"")</f>
        <v>No</v>
      </c>
      <c r="Y5" s="7" t="str">
        <f aca="false">IF(INDEX(MASTER_DATABASE!$A$4:$A$1000,ROW()-3)="","",INDEX(MASTER_DATABASE!$AJ$4:$AJ$1000,ROW()-3)&amp;"")</f>
        <v>No</v>
      </c>
      <c r="Z5" s="7" t="str">
        <f aca="false">IF(INDEX(MASTER_DATABASE!$A$4:$A$1000,ROW()-3)="","",INDEX(MASTER_DATABASE!$AK$4:$AK$1000,ROW()-3)&amp;"")</f>
        <v>No</v>
      </c>
      <c r="AA5" s="7" t="str">
        <f aca="false">IF(INDEX(MASTER_DATABASE!$A$4:$A$1000,ROW()-3)="","",INDEX(MASTER_DATABASE!$BE$4:$BE$1000,ROW()-3)&amp;"")</f>
        <v>HIDDEN</v>
      </c>
    </row>
    <row r="6" customFormat="false" ht="57.45" hidden="false" customHeight="false" outlineLevel="0" collapsed="false">
      <c r="A6" s="11" t="str">
        <f aca="false">IF(INDEX(MASTER_DATABASE!$A$4:$A$1000,ROW()-3)="","",INDEX(MASTER_DATABASE!$A$4:$A$1000,ROW()-3)&amp;"")</f>
        <v>AAD-003</v>
      </c>
      <c r="B6" s="7" t="str">
        <f aca="false">IF(INDEX(MASTER_DATABASE!$A$4:$A$1000,ROW()-3)="","",INDEX(MASTER_DATABASE!$B$4:$B$1000,ROW()-3)&amp;"")</f>
        <v>Aadhaar Centre</v>
      </c>
      <c r="C6" s="7" t="str">
        <f aca="false">IF(INDEX(MASTER_DATABASE!$A$4:$A$1000,ROW()-3)="","",INDEX(MASTER_DATABASE!$C$4:$C$1000,ROW()-3)&amp;"")</f>
        <v>Aadhaar Services</v>
      </c>
      <c r="D6" s="7" t="str">
        <f aca="false">IF(INDEX(MASTER_DATABASE!$A$4:$A$1000,ROW()-3)="","",INDEX(MASTER_DATABASE!$D$4:$D$1000,ROW()-3)&amp;"")</f>
        <v>Enrolment</v>
      </c>
      <c r="E6" s="7" t="str">
        <f aca="false">IF(INDEX(MASTER_DATABASE!$A$4:$A$1000,ROW()-3)="","",INDEX(MASTER_DATABASE!$E$4:$E$1000,ROW()-3)&amp;"")</f>
        <v>New Aadhaar Enrolment – Child (0 to 5 years, Baal Aadhaar)</v>
      </c>
      <c r="F6" s="7" t="str">
        <f aca="false">IF(INDEX(MASTER_DATABASE!$A$4:$A$1000,ROW()-3)="","",INDEX(MASTER_DATABASE!$F$4:$F$1000,ROW()-3)&amp;"")</f>
        <v>नया आधार नामांकन – बच्चा (0 से 5 वर्ष, बाल आधार)</v>
      </c>
      <c r="G6" s="7" t="str">
        <f aca="false">IF(INDEX(MASTER_DATABASE!$A$4:$A$1000,ROW()-3)="","",INDEX(MASTER_DATABASE!$AL$4:$AL$1000,ROW()-3)&amp;"")</f>
        <v>Aadhaar Centre</v>
      </c>
      <c r="H6" s="7" t="str">
        <f aca="false">IF(INDEX(MASTER_DATABASE!$A$4:$A$1000,ROW()-3)="","",INDEX(MASTER_DATABASE!$AM$4:$AM$1000,ROW()-3)&amp;"")</f>
        <v>Enrolment</v>
      </c>
      <c r="I6" s="7" t="str">
        <f aca="false">IF(INDEX(MASTER_DATABASE!$A$4:$A$1000,ROW()-3)="","",INDEX(MASTER_DATABASE!$AO$4:$AO$1000,ROW()-3)&amp;"")</f>
        <v>new-aadhaar-enrolment-child-0-to-5-years-baal-aadhaar</v>
      </c>
      <c r="J6" s="7" t="str">
        <f aca="false">IF(INDEX(MASTER_DATABASE!$A$4:$A$1000,ROW()-3)="","",INDEX(MASTER_DATABASE!$BD$4:$BD$1000,ROW()-3)&amp;"")</f>
        <v>/services/new-aadhaar-enrolment-child-0-to-5-years-baal-aadhaar</v>
      </c>
      <c r="K6" s="7" t="str">
        <f aca="false">IF(INDEX(MASTER_DATABASE!$A$4:$A$1000,ROW()-3)="","",INDEX(MASTER_DATABASE!$AX$4:$AX$1000,ROW()-3)&amp;"")</f>
        <v>New Aadhaar Enrolment – Child (0 to 5 years, Baal Aadhaar) Service | Devmobile Stores</v>
      </c>
      <c r="L6" s="7" t="str">
        <f aca="false">IF(INDEX(MASTER_DATABASE!$A$4:$A$1000,ROW()-3)="","",INDEX(MASTER_DATABASE!$AY$4:$AY$1000,ROW()-3)&amp;"")</f>
        <v>New Aadhaar Enrolment – Child (0 to 5 years, Baal Aadhaar) (नया आधार नामांकन – बच्चा (0 से 5 वर्ष, बाल आधार)) at Devmobile Stores and Common Service Center &amp; Aadhaar Centre. Check required documents, charges and process before you visit.</v>
      </c>
      <c r="M6" s="7" t="str">
        <f aca="false">IF(INDEX(MASTER_DATABASE!$A$4:$A$1000,ROW()-3)="","",INDEX(MASTER_DATABASE!$AN$4:$AN$1000,ROW()-3)&amp;"")</f>
        <v>New Aadhaar Enrolment – Child (0 to 5 years, Baal Aadhaar), Aadhaar Centre, Devmobile Stores, नया आधार नामांकन – बच्चा (0 से 5 वर्ष, बाल आधार), आधार सेंटर, सेवा</v>
      </c>
      <c r="N6" s="7" t="str">
        <f aca="false">IF(INDEX(MASTER_DATABASE!$A$4:$A$1000,ROW()-3)="","",INDEX(MASTER_DATABASE!$AZ$4:$AZ$1000,ROW()-3)&amp;"")</f>
        <v>नया आधार नामांकन – बच्चा (0 से 5 वर्ष, बाल आधार), आधार सेंटर, सेवा</v>
      </c>
      <c r="O6" s="7" t="str">
        <f aca="false">IF(INDEX(MASTER_DATABASE!$A$4:$A$1000,ROW()-3)="","",INDEX(MASTER_DATABASE!$BA$4:$BA$1000,ROW()-3)&amp;"")</f>
        <v>New Aadhaar Enrolment – Child (0 to 5 years, Baal Aadhaar), Aadhaar Centre, Devmobile Stores</v>
      </c>
      <c r="P6" s="11" t="str">
        <f aca="false">IF(INDEX(MASTER_DATABASE!$A$4:$A$1000,ROW()-3)="","",INDEX(MASTER_DATABASE!$AP$4:$AP$1000,ROW()-3)&amp;"")</f>
        <v>🆕</v>
      </c>
      <c r="Q6" s="7" t="str">
        <f aca="false">IF(INDEX(MASTER_DATABASE!$A$4:$A$1000,ROW()-3)="","",INDEX(MASTER_DATABASE!$BB$4:$BB$1000,ROW()-3)&amp;"")</f>
        <v/>
      </c>
      <c r="R6" s="11" t="str">
        <f aca="false">IF(INDEX(MASTER_DATABASE!$A$4:$A$1000,ROW()-3)="","",INDEX(MASTER_DATABASE!$BC$4:$BC$1000,ROW()-3)&amp;"")</f>
        <v>🪪</v>
      </c>
      <c r="S6" s="11" t="n">
        <f aca="false">IF(INDEX(MASTER_DATABASE!$A$4:$A$1000,ROW()-3)="","",INDEX(MASTER_DATABASE!$AQ$4:$AQ$1000,ROW()-3))</f>
        <v>30</v>
      </c>
      <c r="T6" s="7" t="str">
        <f aca="false">IF(INDEX(MASTER_DATABASE!$A$4:$A$1000,ROW()-3)="","",INDEX(MASTER_DATABASE!$I$4:$I$1000,ROW()-3)&amp;"")</f>
        <v>Authorization Required</v>
      </c>
      <c r="U6" s="7" t="str">
        <f aca="false">IF(INDEX(MASTER_DATABASE!$A$4:$A$1000,ROW()-3)="","",INDEX(MASTER_DATABASE!$J$4:$J$1000,ROW()-3)&amp;"")</f>
        <v>Please Confirm at Shop</v>
      </c>
      <c r="V6" s="7" t="str">
        <f aca="false">IF(INDEX(MASTER_DATABASE!$A$4:$A$1000,ROW()-3)="","",INDEX(MASTER_DATABASE!$AG$4:$AG$1000,ROW()-3)&amp;"")</f>
        <v>To Verify</v>
      </c>
      <c r="W6" s="7" t="str">
        <f aca="false">IF(INDEX(MASTER_DATABASE!$A$4:$A$1000,ROW()-3)="","",INDEX(MASTER_DATABASE!$AH$4:$AH$1000,ROW()-3)&amp;"")</f>
        <v>No</v>
      </c>
      <c r="X6" s="7" t="str">
        <f aca="false">IF(INDEX(MASTER_DATABASE!$A$4:$A$1000,ROW()-3)="","",INDEX(MASTER_DATABASE!$AI$4:$AI$1000,ROW()-3)&amp;"")</f>
        <v>No</v>
      </c>
      <c r="Y6" s="7" t="str">
        <f aca="false">IF(INDEX(MASTER_DATABASE!$A$4:$A$1000,ROW()-3)="","",INDEX(MASTER_DATABASE!$AJ$4:$AJ$1000,ROW()-3)&amp;"")</f>
        <v>No</v>
      </c>
      <c r="Z6" s="7" t="str">
        <f aca="false">IF(INDEX(MASTER_DATABASE!$A$4:$A$1000,ROW()-3)="","",INDEX(MASTER_DATABASE!$AK$4:$AK$1000,ROW()-3)&amp;"")</f>
        <v>No</v>
      </c>
      <c r="AA6" s="7" t="str">
        <f aca="false">IF(INDEX(MASTER_DATABASE!$A$4:$A$1000,ROW()-3)="","",INDEX(MASTER_DATABASE!$BE$4:$BE$1000,ROW()-3)&amp;"")</f>
        <v>HIDDEN</v>
      </c>
    </row>
    <row r="7" customFormat="false" ht="57.45" hidden="false" customHeight="false" outlineLevel="0" collapsed="false">
      <c r="A7" s="11" t="str">
        <f aca="false">IF(INDEX(MASTER_DATABASE!$A$4:$A$1000,ROW()-3)="","",INDEX(MASTER_DATABASE!$A$4:$A$1000,ROW()-3)&amp;"")</f>
        <v>AAD-004</v>
      </c>
      <c r="B7" s="7" t="str">
        <f aca="false">IF(INDEX(MASTER_DATABASE!$A$4:$A$1000,ROW()-3)="","",INDEX(MASTER_DATABASE!$B$4:$B$1000,ROW()-3)&amp;"")</f>
        <v>Aadhaar Centre</v>
      </c>
      <c r="C7" s="7" t="str">
        <f aca="false">IF(INDEX(MASTER_DATABASE!$A$4:$A$1000,ROW()-3)="","",INDEX(MASTER_DATABASE!$C$4:$C$1000,ROW()-3)&amp;"")</f>
        <v>Aadhaar Services</v>
      </c>
      <c r="D7" s="7" t="str">
        <f aca="false">IF(INDEX(MASTER_DATABASE!$A$4:$A$1000,ROW()-3)="","",INDEX(MASTER_DATABASE!$D$4:$D$1000,ROW()-3)&amp;"")</f>
        <v>Enrolment</v>
      </c>
      <c r="E7" s="7" t="str">
        <f aca="false">IF(INDEX(MASTER_DATABASE!$A$4:$A$1000,ROW()-3)="","",INDEX(MASTER_DATABASE!$E$4:$E$1000,ROW()-3)&amp;"")</f>
        <v>Aadhaar Enrolment – Head of Family / Introducer Based</v>
      </c>
      <c r="F7" s="7" t="str">
        <f aca="false">IF(INDEX(MASTER_DATABASE!$A$4:$A$1000,ROW()-3)="","",INDEX(MASTER_DATABASE!$F$4:$F$1000,ROW()-3)&amp;"")</f>
        <v>आधार नामांकन – परिवार मुखिया / परिचयकर्ता आधारित</v>
      </c>
      <c r="G7" s="7" t="str">
        <f aca="false">IF(INDEX(MASTER_DATABASE!$A$4:$A$1000,ROW()-3)="","",INDEX(MASTER_DATABASE!$AL$4:$AL$1000,ROW()-3)&amp;"")</f>
        <v>Aadhaar Centre</v>
      </c>
      <c r="H7" s="7" t="str">
        <f aca="false">IF(INDEX(MASTER_DATABASE!$A$4:$A$1000,ROW()-3)="","",INDEX(MASTER_DATABASE!$AM$4:$AM$1000,ROW()-3)&amp;"")</f>
        <v>Enrolment</v>
      </c>
      <c r="I7" s="7" t="str">
        <f aca="false">IF(INDEX(MASTER_DATABASE!$A$4:$A$1000,ROW()-3)="","",INDEX(MASTER_DATABASE!$AO$4:$AO$1000,ROW()-3)&amp;"")</f>
        <v>aadhaar-enrolment-head-of-family-introducer-based</v>
      </c>
      <c r="J7" s="7" t="str">
        <f aca="false">IF(INDEX(MASTER_DATABASE!$A$4:$A$1000,ROW()-3)="","",INDEX(MASTER_DATABASE!$BD$4:$BD$1000,ROW()-3)&amp;"")</f>
        <v>/services/aadhaar-enrolment-head-of-family-introducer-based</v>
      </c>
      <c r="K7" s="7" t="str">
        <f aca="false">IF(INDEX(MASTER_DATABASE!$A$4:$A$1000,ROW()-3)="","",INDEX(MASTER_DATABASE!$AX$4:$AX$1000,ROW()-3)&amp;"")</f>
        <v>Aadhaar Enrolment – Head of Family / Introducer Based Service | Devmobile Stores</v>
      </c>
      <c r="L7" s="7" t="str">
        <f aca="false">IF(INDEX(MASTER_DATABASE!$A$4:$A$1000,ROW()-3)="","",INDEX(MASTER_DATABASE!$AY$4:$AY$1000,ROW()-3)&amp;"")</f>
        <v>Aadhaar Enrolment – Head of Family / Introducer Based (आधार नामांकन – परिवार मुखिया / परिचयकर्ता आधारित) at Devmobile Stores and Common Service Center &amp; Aadhaar Centre. Check required documents, charges and process before you visit.</v>
      </c>
      <c r="M7" s="7" t="str">
        <f aca="false">IF(INDEX(MASTER_DATABASE!$A$4:$A$1000,ROW()-3)="","",INDEX(MASTER_DATABASE!$AN$4:$AN$1000,ROW()-3)&amp;"")</f>
        <v>Aadhaar Enrolment – Head of Family / Introducer Based, Aadhaar Centre, Devmobile Stores, आधार नामांकन – परिवार मुखिया / परिचयकर्ता आधारित, आधार सेंटर, सेवा</v>
      </c>
      <c r="N7" s="7" t="str">
        <f aca="false">IF(INDEX(MASTER_DATABASE!$A$4:$A$1000,ROW()-3)="","",INDEX(MASTER_DATABASE!$AZ$4:$AZ$1000,ROW()-3)&amp;"")</f>
        <v>आधार नामांकन – परिवार मुखिया / परिचयकर्ता आधारित, आधार सेंटर, सेवा</v>
      </c>
      <c r="O7" s="7" t="str">
        <f aca="false">IF(INDEX(MASTER_DATABASE!$A$4:$A$1000,ROW()-3)="","",INDEX(MASTER_DATABASE!$BA$4:$BA$1000,ROW()-3)&amp;"")</f>
        <v>Aadhaar Enrolment – Head of Family / Introducer Based, Aadhaar Centre, Devmobile Stores</v>
      </c>
      <c r="P7" s="11" t="str">
        <f aca="false">IF(INDEX(MASTER_DATABASE!$A$4:$A$1000,ROW()-3)="","",INDEX(MASTER_DATABASE!$AP$4:$AP$1000,ROW()-3)&amp;"")</f>
        <v>🆕</v>
      </c>
      <c r="Q7" s="7" t="str">
        <f aca="false">IF(INDEX(MASTER_DATABASE!$A$4:$A$1000,ROW()-3)="","",INDEX(MASTER_DATABASE!$BB$4:$BB$1000,ROW()-3)&amp;"")</f>
        <v/>
      </c>
      <c r="R7" s="11" t="str">
        <f aca="false">IF(INDEX(MASTER_DATABASE!$A$4:$A$1000,ROW()-3)="","",INDEX(MASTER_DATABASE!$BC$4:$BC$1000,ROW()-3)&amp;"")</f>
        <v>🪪</v>
      </c>
      <c r="S7" s="11" t="n">
        <f aca="false">IF(INDEX(MASTER_DATABASE!$A$4:$A$1000,ROW()-3)="","",INDEX(MASTER_DATABASE!$AQ$4:$AQ$1000,ROW()-3))</f>
        <v>40</v>
      </c>
      <c r="T7" s="7" t="str">
        <f aca="false">IF(INDEX(MASTER_DATABASE!$A$4:$A$1000,ROW()-3)="","",INDEX(MASTER_DATABASE!$I$4:$I$1000,ROW()-3)&amp;"")</f>
        <v>To Verify</v>
      </c>
      <c r="U7" s="7" t="str">
        <f aca="false">IF(INDEX(MASTER_DATABASE!$A$4:$A$1000,ROW()-3)="","",INDEX(MASTER_DATABASE!$J$4:$J$1000,ROW()-3)&amp;"")</f>
        <v>To Be Confirmed</v>
      </c>
      <c r="V7" s="7" t="str">
        <f aca="false">IF(INDEX(MASTER_DATABASE!$A$4:$A$1000,ROW()-3)="","",INDEX(MASTER_DATABASE!$AG$4:$AG$1000,ROW()-3)&amp;"")</f>
        <v>To Verify</v>
      </c>
      <c r="W7" s="7" t="str">
        <f aca="false">IF(INDEX(MASTER_DATABASE!$A$4:$A$1000,ROW()-3)="","",INDEX(MASTER_DATABASE!$AH$4:$AH$1000,ROW()-3)&amp;"")</f>
        <v>No</v>
      </c>
      <c r="X7" s="7" t="str">
        <f aca="false">IF(INDEX(MASTER_DATABASE!$A$4:$A$1000,ROW()-3)="","",INDEX(MASTER_DATABASE!$AI$4:$AI$1000,ROW()-3)&amp;"")</f>
        <v>No</v>
      </c>
      <c r="Y7" s="7" t="str">
        <f aca="false">IF(INDEX(MASTER_DATABASE!$A$4:$A$1000,ROW()-3)="","",INDEX(MASTER_DATABASE!$AJ$4:$AJ$1000,ROW()-3)&amp;"")</f>
        <v>No</v>
      </c>
      <c r="Z7" s="7" t="str">
        <f aca="false">IF(INDEX(MASTER_DATABASE!$A$4:$A$1000,ROW()-3)="","",INDEX(MASTER_DATABASE!$AK$4:$AK$1000,ROW()-3)&amp;"")</f>
        <v>No</v>
      </c>
      <c r="AA7" s="7" t="str">
        <f aca="false">IF(INDEX(MASTER_DATABASE!$A$4:$A$1000,ROW()-3)="","",INDEX(MASTER_DATABASE!$BE$4:$BE$1000,ROW()-3)&amp;"")</f>
        <v>HIDDEN</v>
      </c>
    </row>
    <row r="8" customFormat="false" ht="57.45" hidden="false" customHeight="false" outlineLevel="0" collapsed="false">
      <c r="A8" s="11" t="str">
        <f aca="false">IF(INDEX(MASTER_DATABASE!$A$4:$A$1000,ROW()-3)="","",INDEX(MASTER_DATABASE!$A$4:$A$1000,ROW()-3)&amp;"")</f>
        <v>AAD-005</v>
      </c>
      <c r="B8" s="7" t="str">
        <f aca="false">IF(INDEX(MASTER_DATABASE!$A$4:$A$1000,ROW()-3)="","",INDEX(MASTER_DATABASE!$B$4:$B$1000,ROW()-3)&amp;"")</f>
        <v>Aadhaar Centre</v>
      </c>
      <c r="C8" s="7" t="str">
        <f aca="false">IF(INDEX(MASTER_DATABASE!$A$4:$A$1000,ROW()-3)="","",INDEX(MASTER_DATABASE!$C$4:$C$1000,ROW()-3)&amp;"")</f>
        <v>Aadhaar Services</v>
      </c>
      <c r="D8" s="7" t="str">
        <f aca="false">IF(INDEX(MASTER_DATABASE!$A$4:$A$1000,ROW()-3)="","",INDEX(MASTER_DATABASE!$D$4:$D$1000,ROW()-3)&amp;"")</f>
        <v>Enrolment</v>
      </c>
      <c r="E8" s="7" t="str">
        <f aca="false">IF(INDEX(MASTER_DATABASE!$A$4:$A$1000,ROW()-3)="","",INDEX(MASTER_DATABASE!$E$4:$E$1000,ROW()-3)&amp;"")</f>
        <v>Aadhaar Enrolment – NRI / Foreign Resident</v>
      </c>
      <c r="F8" s="7" t="str">
        <f aca="false">IF(INDEX(MASTER_DATABASE!$A$4:$A$1000,ROW()-3)="","",INDEX(MASTER_DATABASE!$F$4:$F$1000,ROW()-3)&amp;"")</f>
        <v>आधार नामांकन – NRI / विदेशी निवासी</v>
      </c>
      <c r="G8" s="7" t="str">
        <f aca="false">IF(INDEX(MASTER_DATABASE!$A$4:$A$1000,ROW()-3)="","",INDEX(MASTER_DATABASE!$AL$4:$AL$1000,ROW()-3)&amp;"")</f>
        <v>Aadhaar Centre</v>
      </c>
      <c r="H8" s="7" t="str">
        <f aca="false">IF(INDEX(MASTER_DATABASE!$A$4:$A$1000,ROW()-3)="","",INDEX(MASTER_DATABASE!$AM$4:$AM$1000,ROW()-3)&amp;"")</f>
        <v>Enrolment</v>
      </c>
      <c r="I8" s="7" t="str">
        <f aca="false">IF(INDEX(MASTER_DATABASE!$A$4:$A$1000,ROW()-3)="","",INDEX(MASTER_DATABASE!$AO$4:$AO$1000,ROW()-3)&amp;"")</f>
        <v>aadhaar-enrolment-nri-foreign-resident</v>
      </c>
      <c r="J8" s="7" t="str">
        <f aca="false">IF(INDEX(MASTER_DATABASE!$A$4:$A$1000,ROW()-3)="","",INDEX(MASTER_DATABASE!$BD$4:$BD$1000,ROW()-3)&amp;"")</f>
        <v>/services/aadhaar-enrolment-nri-foreign-resident</v>
      </c>
      <c r="K8" s="7" t="str">
        <f aca="false">IF(INDEX(MASTER_DATABASE!$A$4:$A$1000,ROW()-3)="","",INDEX(MASTER_DATABASE!$AX$4:$AX$1000,ROW()-3)&amp;"")</f>
        <v>Aadhaar Enrolment – NRI / Foreign Resident Service | Devmobile Stores</v>
      </c>
      <c r="L8" s="7" t="str">
        <f aca="false">IF(INDEX(MASTER_DATABASE!$A$4:$A$1000,ROW()-3)="","",INDEX(MASTER_DATABASE!$AY$4:$AY$1000,ROW()-3)&amp;"")</f>
        <v>Aadhaar Enrolment – NRI / Foreign Resident (आधार नामांकन – NRI / विदेशी निवासी) at Devmobile Stores and Common Service Center &amp; Aadhaar Centre. Check required documents, charges and process before you visit.</v>
      </c>
      <c r="M8" s="7" t="str">
        <f aca="false">IF(INDEX(MASTER_DATABASE!$A$4:$A$1000,ROW()-3)="","",INDEX(MASTER_DATABASE!$AN$4:$AN$1000,ROW()-3)&amp;"")</f>
        <v>Aadhaar Enrolment – NRI / Foreign Resident, Aadhaar Centre, Devmobile Stores, आधार नामांकन – NRI / विदेशी निवासी, आधार सेंटर, सेवा</v>
      </c>
      <c r="N8" s="7" t="str">
        <f aca="false">IF(INDEX(MASTER_DATABASE!$A$4:$A$1000,ROW()-3)="","",INDEX(MASTER_DATABASE!$AZ$4:$AZ$1000,ROW()-3)&amp;"")</f>
        <v>आधार नामांकन – NRI / विदेशी निवासी, आधार सेंटर, सेवा</v>
      </c>
      <c r="O8" s="7" t="str">
        <f aca="false">IF(INDEX(MASTER_DATABASE!$A$4:$A$1000,ROW()-3)="","",INDEX(MASTER_DATABASE!$BA$4:$BA$1000,ROW()-3)&amp;"")</f>
        <v>Aadhaar Enrolment – NRI / Foreign Resident, Aadhaar Centre, Devmobile Stores</v>
      </c>
      <c r="P8" s="11" t="str">
        <f aca="false">IF(INDEX(MASTER_DATABASE!$A$4:$A$1000,ROW()-3)="","",INDEX(MASTER_DATABASE!$AP$4:$AP$1000,ROW()-3)&amp;"")</f>
        <v>🆕</v>
      </c>
      <c r="Q8" s="7" t="str">
        <f aca="false">IF(INDEX(MASTER_DATABASE!$A$4:$A$1000,ROW()-3)="","",INDEX(MASTER_DATABASE!$BB$4:$BB$1000,ROW()-3)&amp;"")</f>
        <v/>
      </c>
      <c r="R8" s="11" t="str">
        <f aca="false">IF(INDEX(MASTER_DATABASE!$A$4:$A$1000,ROW()-3)="","",INDEX(MASTER_DATABASE!$BC$4:$BC$1000,ROW()-3)&amp;"")</f>
        <v>🪪</v>
      </c>
      <c r="S8" s="11" t="n">
        <f aca="false">IF(INDEX(MASTER_DATABASE!$A$4:$A$1000,ROW()-3)="","",INDEX(MASTER_DATABASE!$AQ$4:$AQ$1000,ROW()-3))</f>
        <v>50</v>
      </c>
      <c r="T8" s="7" t="str">
        <f aca="false">IF(INDEX(MASTER_DATABASE!$A$4:$A$1000,ROW()-3)="","",INDEX(MASTER_DATABASE!$I$4:$I$1000,ROW()-3)&amp;"")</f>
        <v>To Verify</v>
      </c>
      <c r="U8" s="7" t="str">
        <f aca="false">IF(INDEX(MASTER_DATABASE!$A$4:$A$1000,ROW()-3)="","",INDEX(MASTER_DATABASE!$J$4:$J$1000,ROW()-3)&amp;"")</f>
        <v>To Be Confirmed</v>
      </c>
      <c r="V8" s="7" t="str">
        <f aca="false">IF(INDEX(MASTER_DATABASE!$A$4:$A$1000,ROW()-3)="","",INDEX(MASTER_DATABASE!$AG$4:$AG$1000,ROW()-3)&amp;"")</f>
        <v>To Verify</v>
      </c>
      <c r="W8" s="7" t="str">
        <f aca="false">IF(INDEX(MASTER_DATABASE!$A$4:$A$1000,ROW()-3)="","",INDEX(MASTER_DATABASE!$AH$4:$AH$1000,ROW()-3)&amp;"")</f>
        <v>No</v>
      </c>
      <c r="X8" s="7" t="str">
        <f aca="false">IF(INDEX(MASTER_DATABASE!$A$4:$A$1000,ROW()-3)="","",INDEX(MASTER_DATABASE!$AI$4:$AI$1000,ROW()-3)&amp;"")</f>
        <v>No</v>
      </c>
      <c r="Y8" s="7" t="str">
        <f aca="false">IF(INDEX(MASTER_DATABASE!$A$4:$A$1000,ROW()-3)="","",INDEX(MASTER_DATABASE!$AJ$4:$AJ$1000,ROW()-3)&amp;"")</f>
        <v>No</v>
      </c>
      <c r="Z8" s="7" t="str">
        <f aca="false">IF(INDEX(MASTER_DATABASE!$A$4:$A$1000,ROW()-3)="","",INDEX(MASTER_DATABASE!$AK$4:$AK$1000,ROW()-3)&amp;"")</f>
        <v>No</v>
      </c>
      <c r="AA8" s="7" t="str">
        <f aca="false">IF(INDEX(MASTER_DATABASE!$A$4:$A$1000,ROW()-3)="","",INDEX(MASTER_DATABASE!$BE$4:$BE$1000,ROW()-3)&amp;"")</f>
        <v>HIDDEN</v>
      </c>
    </row>
    <row r="9" customFormat="false" ht="57.45" hidden="false" customHeight="false" outlineLevel="0" collapsed="false">
      <c r="A9" s="11" t="str">
        <f aca="false">IF(INDEX(MASTER_DATABASE!$A$4:$A$1000,ROW()-3)="","",INDEX(MASTER_DATABASE!$A$4:$A$1000,ROW()-3)&amp;"")</f>
        <v>AAD-006</v>
      </c>
      <c r="B9" s="7" t="str">
        <f aca="false">IF(INDEX(MASTER_DATABASE!$A$4:$A$1000,ROW()-3)="","",INDEX(MASTER_DATABASE!$B$4:$B$1000,ROW()-3)&amp;"")</f>
        <v>Aadhaar Centre</v>
      </c>
      <c r="C9" s="7" t="str">
        <f aca="false">IF(INDEX(MASTER_DATABASE!$A$4:$A$1000,ROW()-3)="","",INDEX(MASTER_DATABASE!$C$4:$C$1000,ROW()-3)&amp;"")</f>
        <v>Aadhaar Services</v>
      </c>
      <c r="D9" s="7" t="str">
        <f aca="false">IF(INDEX(MASTER_DATABASE!$A$4:$A$1000,ROW()-3)="","",INDEX(MASTER_DATABASE!$D$4:$D$1000,ROW()-3)&amp;"")</f>
        <v>Enrolment</v>
      </c>
      <c r="E9" s="7" t="str">
        <f aca="false">IF(INDEX(MASTER_DATABASE!$A$4:$A$1000,ROW()-3)="","",INDEX(MASTER_DATABASE!$E$4:$E$1000,ROW()-3)&amp;"")</f>
        <v>Aadhaar Enrolment – Biometric Exception Case</v>
      </c>
      <c r="F9" s="7" t="str">
        <f aca="false">IF(INDEX(MASTER_DATABASE!$A$4:$A$1000,ROW()-3)="","",INDEX(MASTER_DATABASE!$F$4:$F$1000,ROW()-3)&amp;"")</f>
        <v>आधार नामांकन – बायोमेट्रिक अपवाद मामला</v>
      </c>
      <c r="G9" s="7" t="str">
        <f aca="false">IF(INDEX(MASTER_DATABASE!$A$4:$A$1000,ROW()-3)="","",INDEX(MASTER_DATABASE!$AL$4:$AL$1000,ROW()-3)&amp;"")</f>
        <v>Aadhaar Centre</v>
      </c>
      <c r="H9" s="7" t="str">
        <f aca="false">IF(INDEX(MASTER_DATABASE!$A$4:$A$1000,ROW()-3)="","",INDEX(MASTER_DATABASE!$AM$4:$AM$1000,ROW()-3)&amp;"")</f>
        <v>Enrolment</v>
      </c>
      <c r="I9" s="7" t="str">
        <f aca="false">IF(INDEX(MASTER_DATABASE!$A$4:$A$1000,ROW()-3)="","",INDEX(MASTER_DATABASE!$AO$4:$AO$1000,ROW()-3)&amp;"")</f>
        <v>aadhaar-enrolment-biometric-exception-case</v>
      </c>
      <c r="J9" s="7" t="str">
        <f aca="false">IF(INDEX(MASTER_DATABASE!$A$4:$A$1000,ROW()-3)="","",INDEX(MASTER_DATABASE!$BD$4:$BD$1000,ROW()-3)&amp;"")</f>
        <v>/services/aadhaar-enrolment-biometric-exception-case</v>
      </c>
      <c r="K9" s="7" t="str">
        <f aca="false">IF(INDEX(MASTER_DATABASE!$A$4:$A$1000,ROW()-3)="","",INDEX(MASTER_DATABASE!$AX$4:$AX$1000,ROW()-3)&amp;"")</f>
        <v>Aadhaar Enrolment – Biometric Exception Case Service | Devmobile Stores</v>
      </c>
      <c r="L9" s="7" t="str">
        <f aca="false">IF(INDEX(MASTER_DATABASE!$A$4:$A$1000,ROW()-3)="","",INDEX(MASTER_DATABASE!$AY$4:$AY$1000,ROW()-3)&amp;"")</f>
        <v>Aadhaar Enrolment – Biometric Exception Case (आधार नामांकन – बायोमेट्रिक अपवाद मामला) at Devmobile Stores and Common Service Center &amp; Aadhaar Centre. Check required documents, charges and process before you visit.</v>
      </c>
      <c r="M9" s="7" t="str">
        <f aca="false">IF(INDEX(MASTER_DATABASE!$A$4:$A$1000,ROW()-3)="","",INDEX(MASTER_DATABASE!$AN$4:$AN$1000,ROW()-3)&amp;"")</f>
        <v>Aadhaar Enrolment – Biometric Exception Case, Aadhaar Centre, Devmobile Stores, आधार नामांकन – बायोमेट्रिक अपवाद मामला, आधार सेंटर, सेवा</v>
      </c>
      <c r="N9" s="7" t="str">
        <f aca="false">IF(INDEX(MASTER_DATABASE!$A$4:$A$1000,ROW()-3)="","",INDEX(MASTER_DATABASE!$AZ$4:$AZ$1000,ROW()-3)&amp;"")</f>
        <v>आधार नामांकन – बायोमेट्रिक अपवाद मामला, आधार सेंटर, सेवा</v>
      </c>
      <c r="O9" s="7" t="str">
        <f aca="false">IF(INDEX(MASTER_DATABASE!$A$4:$A$1000,ROW()-3)="","",INDEX(MASTER_DATABASE!$BA$4:$BA$1000,ROW()-3)&amp;"")</f>
        <v>Aadhaar Enrolment – Biometric Exception Case, Aadhaar Centre, Devmobile Stores</v>
      </c>
      <c r="P9" s="11" t="str">
        <f aca="false">IF(INDEX(MASTER_DATABASE!$A$4:$A$1000,ROW()-3)="","",INDEX(MASTER_DATABASE!$AP$4:$AP$1000,ROW()-3)&amp;"")</f>
        <v>🆕</v>
      </c>
      <c r="Q9" s="7" t="str">
        <f aca="false">IF(INDEX(MASTER_DATABASE!$A$4:$A$1000,ROW()-3)="","",INDEX(MASTER_DATABASE!$BB$4:$BB$1000,ROW()-3)&amp;"")</f>
        <v/>
      </c>
      <c r="R9" s="11" t="str">
        <f aca="false">IF(INDEX(MASTER_DATABASE!$A$4:$A$1000,ROW()-3)="","",INDEX(MASTER_DATABASE!$BC$4:$BC$1000,ROW()-3)&amp;"")</f>
        <v>🪪</v>
      </c>
      <c r="S9" s="11" t="n">
        <f aca="false">IF(INDEX(MASTER_DATABASE!$A$4:$A$1000,ROW()-3)="","",INDEX(MASTER_DATABASE!$AQ$4:$AQ$1000,ROW()-3))</f>
        <v>60</v>
      </c>
      <c r="T9" s="7" t="str">
        <f aca="false">IF(INDEX(MASTER_DATABASE!$A$4:$A$1000,ROW()-3)="","",INDEX(MASTER_DATABASE!$I$4:$I$1000,ROW()-3)&amp;"")</f>
        <v>To Verify</v>
      </c>
      <c r="U9" s="7" t="str">
        <f aca="false">IF(INDEX(MASTER_DATABASE!$A$4:$A$1000,ROW()-3)="","",INDEX(MASTER_DATABASE!$J$4:$J$1000,ROW()-3)&amp;"")</f>
        <v>To Be Confirmed</v>
      </c>
      <c r="V9" s="7" t="str">
        <f aca="false">IF(INDEX(MASTER_DATABASE!$A$4:$A$1000,ROW()-3)="","",INDEX(MASTER_DATABASE!$AG$4:$AG$1000,ROW()-3)&amp;"")</f>
        <v>To Verify</v>
      </c>
      <c r="W9" s="7" t="str">
        <f aca="false">IF(INDEX(MASTER_DATABASE!$A$4:$A$1000,ROW()-3)="","",INDEX(MASTER_DATABASE!$AH$4:$AH$1000,ROW()-3)&amp;"")</f>
        <v>No</v>
      </c>
      <c r="X9" s="7" t="str">
        <f aca="false">IF(INDEX(MASTER_DATABASE!$A$4:$A$1000,ROW()-3)="","",INDEX(MASTER_DATABASE!$AI$4:$AI$1000,ROW()-3)&amp;"")</f>
        <v>No</v>
      </c>
      <c r="Y9" s="7" t="str">
        <f aca="false">IF(INDEX(MASTER_DATABASE!$A$4:$A$1000,ROW()-3)="","",INDEX(MASTER_DATABASE!$AJ$4:$AJ$1000,ROW()-3)&amp;"")</f>
        <v>No</v>
      </c>
      <c r="Z9" s="7" t="str">
        <f aca="false">IF(INDEX(MASTER_DATABASE!$A$4:$A$1000,ROW()-3)="","",INDEX(MASTER_DATABASE!$AK$4:$AK$1000,ROW()-3)&amp;"")</f>
        <v>No</v>
      </c>
      <c r="AA9" s="7" t="str">
        <f aca="false">IF(INDEX(MASTER_DATABASE!$A$4:$A$1000,ROW()-3)="","",INDEX(MASTER_DATABASE!$BE$4:$BE$1000,ROW()-3)&amp;"")</f>
        <v>HIDDEN</v>
      </c>
    </row>
    <row r="10" customFormat="false" ht="46.25" hidden="false" customHeight="false" outlineLevel="0" collapsed="false">
      <c r="A10" s="11" t="str">
        <f aca="false">IF(INDEX(MASTER_DATABASE!$A$4:$A$1000,ROW()-3)="","",INDEX(MASTER_DATABASE!$A$4:$A$1000,ROW()-3)&amp;"")</f>
        <v>AAD-007</v>
      </c>
      <c r="B10" s="7" t="str">
        <f aca="false">IF(INDEX(MASTER_DATABASE!$A$4:$A$1000,ROW()-3)="","",INDEX(MASTER_DATABASE!$B$4:$B$1000,ROW()-3)&amp;"")</f>
        <v>Aadhaar Centre</v>
      </c>
      <c r="C10" s="7" t="str">
        <f aca="false">IF(INDEX(MASTER_DATABASE!$A$4:$A$1000,ROW()-3)="","",INDEX(MASTER_DATABASE!$C$4:$C$1000,ROW()-3)&amp;"")</f>
        <v>Aadhaar Services</v>
      </c>
      <c r="D10" s="7" t="str">
        <f aca="false">IF(INDEX(MASTER_DATABASE!$A$4:$A$1000,ROW()-3)="","",INDEX(MASTER_DATABASE!$D$4:$D$1000,ROW()-3)&amp;"")</f>
        <v>Demographic Update</v>
      </c>
      <c r="E10" s="7" t="str">
        <f aca="false">IF(INDEX(MASTER_DATABASE!$A$4:$A$1000,ROW()-3)="","",INDEX(MASTER_DATABASE!$E$4:$E$1000,ROW()-3)&amp;"")</f>
        <v>Aadhaar Name Update</v>
      </c>
      <c r="F10" s="7" t="str">
        <f aca="false">IF(INDEX(MASTER_DATABASE!$A$4:$A$1000,ROW()-3)="","",INDEX(MASTER_DATABASE!$F$4:$F$1000,ROW()-3)&amp;"")</f>
        <v>आधार नाम अपडेट</v>
      </c>
      <c r="G10" s="7" t="str">
        <f aca="false">IF(INDEX(MASTER_DATABASE!$A$4:$A$1000,ROW()-3)="","",INDEX(MASTER_DATABASE!$AL$4:$AL$1000,ROW()-3)&amp;"")</f>
        <v>Aadhaar Centre</v>
      </c>
      <c r="H10" s="7" t="str">
        <f aca="false">IF(INDEX(MASTER_DATABASE!$A$4:$A$1000,ROW()-3)="","",INDEX(MASTER_DATABASE!$AM$4:$AM$1000,ROW()-3)&amp;"")</f>
        <v>Demographic Update</v>
      </c>
      <c r="I10" s="7" t="str">
        <f aca="false">IF(INDEX(MASTER_DATABASE!$A$4:$A$1000,ROW()-3)="","",INDEX(MASTER_DATABASE!$AO$4:$AO$1000,ROW()-3)&amp;"")</f>
        <v>aadhaar-name-update</v>
      </c>
      <c r="J10" s="7" t="str">
        <f aca="false">IF(INDEX(MASTER_DATABASE!$A$4:$A$1000,ROW()-3)="","",INDEX(MASTER_DATABASE!$BD$4:$BD$1000,ROW()-3)&amp;"")</f>
        <v>/services/aadhaar-name-update</v>
      </c>
      <c r="K10" s="7" t="str">
        <f aca="false">IF(INDEX(MASTER_DATABASE!$A$4:$A$1000,ROW()-3)="","",INDEX(MASTER_DATABASE!$AX$4:$AX$1000,ROW()-3)&amp;"")</f>
        <v>Aadhaar Name Update Service | Devmobile Stores</v>
      </c>
      <c r="L10" s="7" t="str">
        <f aca="false">IF(INDEX(MASTER_DATABASE!$A$4:$A$1000,ROW()-3)="","",INDEX(MASTER_DATABASE!$AY$4:$AY$1000,ROW()-3)&amp;"")</f>
        <v>Aadhaar Name Update (आधार नाम अपडेट) at Devmobile Stores and Common Service Center &amp; Aadhaar Centre. Check required documents, charges and process before you visit.</v>
      </c>
      <c r="M10" s="7" t="str">
        <f aca="false">IF(INDEX(MASTER_DATABASE!$A$4:$A$1000,ROW()-3)="","",INDEX(MASTER_DATABASE!$AN$4:$AN$1000,ROW()-3)&amp;"")</f>
        <v>Aadhaar Name Update, Aadhaar Centre, Devmobile Stores, आधार नाम अपडेट, आधार सेंटर, सेवा</v>
      </c>
      <c r="N10" s="7" t="str">
        <f aca="false">IF(INDEX(MASTER_DATABASE!$A$4:$A$1000,ROW()-3)="","",INDEX(MASTER_DATABASE!$AZ$4:$AZ$1000,ROW()-3)&amp;"")</f>
        <v>आधार नाम अपडेट, आधार सेंटर, सेवा</v>
      </c>
      <c r="O10" s="7" t="str">
        <f aca="false">IF(INDEX(MASTER_DATABASE!$A$4:$A$1000,ROW()-3)="","",INDEX(MASTER_DATABASE!$BA$4:$BA$1000,ROW()-3)&amp;"")</f>
        <v>Aadhaar Name Update, Aadhaar Centre, Devmobile Stores</v>
      </c>
      <c r="P10" s="11" t="str">
        <f aca="false">IF(INDEX(MASTER_DATABASE!$A$4:$A$1000,ROW()-3)="","",INDEX(MASTER_DATABASE!$AP$4:$AP$1000,ROW()-3)&amp;"")</f>
        <v>✏️</v>
      </c>
      <c r="Q10" s="7" t="str">
        <f aca="false">IF(INDEX(MASTER_DATABASE!$A$4:$A$1000,ROW()-3)="","",INDEX(MASTER_DATABASE!$BB$4:$BB$1000,ROW()-3)&amp;"")</f>
        <v/>
      </c>
      <c r="R10" s="11" t="str">
        <f aca="false">IF(INDEX(MASTER_DATABASE!$A$4:$A$1000,ROW()-3)="","",INDEX(MASTER_DATABASE!$BC$4:$BC$1000,ROW()-3)&amp;"")</f>
        <v>🪪</v>
      </c>
      <c r="S10" s="11" t="n">
        <f aca="false">IF(INDEX(MASTER_DATABASE!$A$4:$A$1000,ROW()-3)="","",INDEX(MASTER_DATABASE!$AQ$4:$AQ$1000,ROW()-3))</f>
        <v>70</v>
      </c>
      <c r="T10" s="7" t="str">
        <f aca="false">IF(INDEX(MASTER_DATABASE!$A$4:$A$1000,ROW()-3)="","",INDEX(MASTER_DATABASE!$I$4:$I$1000,ROW()-3)&amp;"")</f>
        <v>Available</v>
      </c>
      <c r="U10" s="7" t="str">
        <f aca="false">IF(INDEX(MASTER_DATABASE!$A$4:$A$1000,ROW()-3)="","",INDEX(MASTER_DATABASE!$J$4:$J$1000,ROW()-3)&amp;"")</f>
        <v>Available</v>
      </c>
      <c r="V10" s="7" t="str">
        <f aca="false">IF(INDEX(MASTER_DATABASE!$A$4:$A$1000,ROW()-3)="","",INDEX(MASTER_DATABASE!$AG$4:$AG$1000,ROW()-3)&amp;"")</f>
        <v>Active</v>
      </c>
      <c r="W10" s="7" t="str">
        <f aca="false">IF(INDEX(MASTER_DATABASE!$A$4:$A$1000,ROW()-3)="","",INDEX(MASTER_DATABASE!$AH$4:$AH$1000,ROW()-3)&amp;"")</f>
        <v>Yes</v>
      </c>
      <c r="X10" s="7" t="str">
        <f aca="false">IF(INDEX(MASTER_DATABASE!$A$4:$A$1000,ROW()-3)="","",INDEX(MASTER_DATABASE!$AI$4:$AI$1000,ROW()-3)&amp;"")</f>
        <v>No</v>
      </c>
      <c r="Y10" s="7" t="str">
        <f aca="false">IF(INDEX(MASTER_DATABASE!$A$4:$A$1000,ROW()-3)="","",INDEX(MASTER_DATABASE!$AJ$4:$AJ$1000,ROW()-3)&amp;"")</f>
        <v>No</v>
      </c>
      <c r="Z10" s="7" t="str">
        <f aca="false">IF(INDEX(MASTER_DATABASE!$A$4:$A$1000,ROW()-3)="","",INDEX(MASTER_DATABASE!$AK$4:$AK$1000,ROW()-3)&amp;"")</f>
        <v>No</v>
      </c>
      <c r="AA10" s="7" t="str">
        <f aca="false">IF(INDEX(MASTER_DATABASE!$A$4:$A$1000,ROW()-3)="","",INDEX(MASTER_DATABASE!$BE$4:$BE$1000,ROW()-3)&amp;"")</f>
        <v>LIVE</v>
      </c>
    </row>
    <row r="11" customFormat="false" ht="46.25" hidden="false" customHeight="false" outlineLevel="0" collapsed="false">
      <c r="A11" s="11" t="str">
        <f aca="false">IF(INDEX(MASTER_DATABASE!$A$4:$A$1000,ROW()-3)="","",INDEX(MASTER_DATABASE!$A$4:$A$1000,ROW()-3)&amp;"")</f>
        <v>AAD-008</v>
      </c>
      <c r="B11" s="7" t="str">
        <f aca="false">IF(INDEX(MASTER_DATABASE!$A$4:$A$1000,ROW()-3)="","",INDEX(MASTER_DATABASE!$B$4:$B$1000,ROW()-3)&amp;"")</f>
        <v>Aadhaar Centre</v>
      </c>
      <c r="C11" s="7" t="str">
        <f aca="false">IF(INDEX(MASTER_DATABASE!$A$4:$A$1000,ROW()-3)="","",INDEX(MASTER_DATABASE!$C$4:$C$1000,ROW()-3)&amp;"")</f>
        <v>Aadhaar Services</v>
      </c>
      <c r="D11" s="7" t="str">
        <f aca="false">IF(INDEX(MASTER_DATABASE!$A$4:$A$1000,ROW()-3)="","",INDEX(MASTER_DATABASE!$D$4:$D$1000,ROW()-3)&amp;"")</f>
        <v>Demographic Update</v>
      </c>
      <c r="E11" s="7" t="str">
        <f aca="false">IF(INDEX(MASTER_DATABASE!$A$4:$A$1000,ROW()-3)="","",INDEX(MASTER_DATABASE!$E$4:$E$1000,ROW()-3)&amp;"")</f>
        <v>Aadhaar Date of Birth Update</v>
      </c>
      <c r="F11" s="7" t="str">
        <f aca="false">IF(INDEX(MASTER_DATABASE!$A$4:$A$1000,ROW()-3)="","",INDEX(MASTER_DATABASE!$F$4:$F$1000,ROW()-3)&amp;"")</f>
        <v>आधार जन्म तिथि अपडेट</v>
      </c>
      <c r="G11" s="7" t="str">
        <f aca="false">IF(INDEX(MASTER_DATABASE!$A$4:$A$1000,ROW()-3)="","",INDEX(MASTER_DATABASE!$AL$4:$AL$1000,ROW()-3)&amp;"")</f>
        <v>Aadhaar Centre</v>
      </c>
      <c r="H11" s="7" t="str">
        <f aca="false">IF(INDEX(MASTER_DATABASE!$A$4:$A$1000,ROW()-3)="","",INDEX(MASTER_DATABASE!$AM$4:$AM$1000,ROW()-3)&amp;"")</f>
        <v>Demographic Update</v>
      </c>
      <c r="I11" s="7" t="str">
        <f aca="false">IF(INDEX(MASTER_DATABASE!$A$4:$A$1000,ROW()-3)="","",INDEX(MASTER_DATABASE!$AO$4:$AO$1000,ROW()-3)&amp;"")</f>
        <v>aadhaar-date-of-birth-update</v>
      </c>
      <c r="J11" s="7" t="str">
        <f aca="false">IF(INDEX(MASTER_DATABASE!$A$4:$A$1000,ROW()-3)="","",INDEX(MASTER_DATABASE!$BD$4:$BD$1000,ROW()-3)&amp;"")</f>
        <v>/services/aadhaar-date-of-birth-update</v>
      </c>
      <c r="K11" s="7" t="str">
        <f aca="false">IF(INDEX(MASTER_DATABASE!$A$4:$A$1000,ROW()-3)="","",INDEX(MASTER_DATABASE!$AX$4:$AX$1000,ROW()-3)&amp;"")</f>
        <v>Aadhaar Date of Birth Update Service | Devmobile Stores</v>
      </c>
      <c r="L11" s="7" t="str">
        <f aca="false">IF(INDEX(MASTER_DATABASE!$A$4:$A$1000,ROW()-3)="","",INDEX(MASTER_DATABASE!$AY$4:$AY$1000,ROW()-3)&amp;"")</f>
        <v>Aadhaar Date of Birth Update (आधार जन्म तिथि अपडेट) at Devmobile Stores and Common Service Center &amp; Aadhaar Centre. Check required documents, charges and process before you visit.</v>
      </c>
      <c r="M11" s="7" t="str">
        <f aca="false">IF(INDEX(MASTER_DATABASE!$A$4:$A$1000,ROW()-3)="","",INDEX(MASTER_DATABASE!$AN$4:$AN$1000,ROW()-3)&amp;"")</f>
        <v>Aadhaar Date of Birth Update, Aadhaar Centre, Devmobile Stores, आधार जन्म तिथि अपडेट, आधार सेंटर, सेवा</v>
      </c>
      <c r="N11" s="7" t="str">
        <f aca="false">IF(INDEX(MASTER_DATABASE!$A$4:$A$1000,ROW()-3)="","",INDEX(MASTER_DATABASE!$AZ$4:$AZ$1000,ROW()-3)&amp;"")</f>
        <v>आधार जन्म तिथि अपडेट, आधार सेंटर, सेवा</v>
      </c>
      <c r="O11" s="7" t="str">
        <f aca="false">IF(INDEX(MASTER_DATABASE!$A$4:$A$1000,ROW()-3)="","",INDEX(MASTER_DATABASE!$BA$4:$BA$1000,ROW()-3)&amp;"")</f>
        <v>Aadhaar Date of Birth Update, Aadhaar Centre, Devmobile Stores</v>
      </c>
      <c r="P11" s="11" t="str">
        <f aca="false">IF(INDEX(MASTER_DATABASE!$A$4:$A$1000,ROW()-3)="","",INDEX(MASTER_DATABASE!$AP$4:$AP$1000,ROW()-3)&amp;"")</f>
        <v>✏️</v>
      </c>
      <c r="Q11" s="7" t="str">
        <f aca="false">IF(INDEX(MASTER_DATABASE!$A$4:$A$1000,ROW()-3)="","",INDEX(MASTER_DATABASE!$BB$4:$BB$1000,ROW()-3)&amp;"")</f>
        <v/>
      </c>
      <c r="R11" s="11" t="str">
        <f aca="false">IF(INDEX(MASTER_DATABASE!$A$4:$A$1000,ROW()-3)="","",INDEX(MASTER_DATABASE!$BC$4:$BC$1000,ROW()-3)&amp;"")</f>
        <v>🪪</v>
      </c>
      <c r="S11" s="11" t="n">
        <f aca="false">IF(INDEX(MASTER_DATABASE!$A$4:$A$1000,ROW()-3)="","",INDEX(MASTER_DATABASE!$AQ$4:$AQ$1000,ROW()-3))</f>
        <v>80</v>
      </c>
      <c r="T11" s="7" t="str">
        <f aca="false">IF(INDEX(MASTER_DATABASE!$A$4:$A$1000,ROW()-3)="","",INDEX(MASTER_DATABASE!$I$4:$I$1000,ROW()-3)&amp;"")</f>
        <v>Available</v>
      </c>
      <c r="U11" s="7" t="str">
        <f aca="false">IF(INDEX(MASTER_DATABASE!$A$4:$A$1000,ROW()-3)="","",INDEX(MASTER_DATABASE!$J$4:$J$1000,ROW()-3)&amp;"")</f>
        <v>Available</v>
      </c>
      <c r="V11" s="7" t="str">
        <f aca="false">IF(INDEX(MASTER_DATABASE!$A$4:$A$1000,ROW()-3)="","",INDEX(MASTER_DATABASE!$AG$4:$AG$1000,ROW()-3)&amp;"")</f>
        <v>Active</v>
      </c>
      <c r="W11" s="7" t="str">
        <f aca="false">IF(INDEX(MASTER_DATABASE!$A$4:$A$1000,ROW()-3)="","",INDEX(MASTER_DATABASE!$AH$4:$AH$1000,ROW()-3)&amp;"")</f>
        <v>Yes</v>
      </c>
      <c r="X11" s="7" t="str">
        <f aca="false">IF(INDEX(MASTER_DATABASE!$A$4:$A$1000,ROW()-3)="","",INDEX(MASTER_DATABASE!$AI$4:$AI$1000,ROW()-3)&amp;"")</f>
        <v>No</v>
      </c>
      <c r="Y11" s="7" t="str">
        <f aca="false">IF(INDEX(MASTER_DATABASE!$A$4:$A$1000,ROW()-3)="","",INDEX(MASTER_DATABASE!$AJ$4:$AJ$1000,ROW()-3)&amp;"")</f>
        <v>No</v>
      </c>
      <c r="Z11" s="7" t="str">
        <f aca="false">IF(INDEX(MASTER_DATABASE!$A$4:$A$1000,ROW()-3)="","",INDEX(MASTER_DATABASE!$AK$4:$AK$1000,ROW()-3)&amp;"")</f>
        <v>No</v>
      </c>
      <c r="AA11" s="7" t="str">
        <f aca="false">IF(INDEX(MASTER_DATABASE!$A$4:$A$1000,ROW()-3)="","",INDEX(MASTER_DATABASE!$BE$4:$BE$1000,ROW()-3)&amp;"")</f>
        <v>LIVE</v>
      </c>
    </row>
    <row r="12" customFormat="false" ht="46.25" hidden="false" customHeight="false" outlineLevel="0" collapsed="false">
      <c r="A12" s="11" t="str">
        <f aca="false">IF(INDEX(MASTER_DATABASE!$A$4:$A$1000,ROW()-3)="","",INDEX(MASTER_DATABASE!$A$4:$A$1000,ROW()-3)&amp;"")</f>
        <v>AAD-009</v>
      </c>
      <c r="B12" s="7" t="str">
        <f aca="false">IF(INDEX(MASTER_DATABASE!$A$4:$A$1000,ROW()-3)="","",INDEX(MASTER_DATABASE!$B$4:$B$1000,ROW()-3)&amp;"")</f>
        <v>Aadhaar Centre</v>
      </c>
      <c r="C12" s="7" t="str">
        <f aca="false">IF(INDEX(MASTER_DATABASE!$A$4:$A$1000,ROW()-3)="","",INDEX(MASTER_DATABASE!$C$4:$C$1000,ROW()-3)&amp;"")</f>
        <v>Aadhaar Services</v>
      </c>
      <c r="D12" s="7" t="str">
        <f aca="false">IF(INDEX(MASTER_DATABASE!$A$4:$A$1000,ROW()-3)="","",INDEX(MASTER_DATABASE!$D$4:$D$1000,ROW()-3)&amp;"")</f>
        <v>Demographic Update</v>
      </c>
      <c r="E12" s="7" t="str">
        <f aca="false">IF(INDEX(MASTER_DATABASE!$A$4:$A$1000,ROW()-3)="","",INDEX(MASTER_DATABASE!$E$4:$E$1000,ROW()-3)&amp;"")</f>
        <v>Aadhaar Gender Update</v>
      </c>
      <c r="F12" s="7" t="str">
        <f aca="false">IF(INDEX(MASTER_DATABASE!$A$4:$A$1000,ROW()-3)="","",INDEX(MASTER_DATABASE!$F$4:$F$1000,ROW()-3)&amp;"")</f>
        <v>आधार लिंग अपडेट</v>
      </c>
      <c r="G12" s="7" t="str">
        <f aca="false">IF(INDEX(MASTER_DATABASE!$A$4:$A$1000,ROW()-3)="","",INDEX(MASTER_DATABASE!$AL$4:$AL$1000,ROW()-3)&amp;"")</f>
        <v>Aadhaar Centre</v>
      </c>
      <c r="H12" s="7" t="str">
        <f aca="false">IF(INDEX(MASTER_DATABASE!$A$4:$A$1000,ROW()-3)="","",INDEX(MASTER_DATABASE!$AM$4:$AM$1000,ROW()-3)&amp;"")</f>
        <v>Demographic Update</v>
      </c>
      <c r="I12" s="7" t="str">
        <f aca="false">IF(INDEX(MASTER_DATABASE!$A$4:$A$1000,ROW()-3)="","",INDEX(MASTER_DATABASE!$AO$4:$AO$1000,ROW()-3)&amp;"")</f>
        <v>aadhaar-gender-update</v>
      </c>
      <c r="J12" s="7" t="str">
        <f aca="false">IF(INDEX(MASTER_DATABASE!$A$4:$A$1000,ROW()-3)="","",INDEX(MASTER_DATABASE!$BD$4:$BD$1000,ROW()-3)&amp;"")</f>
        <v>/services/aadhaar-gender-update</v>
      </c>
      <c r="K12" s="7" t="str">
        <f aca="false">IF(INDEX(MASTER_DATABASE!$A$4:$A$1000,ROW()-3)="","",INDEX(MASTER_DATABASE!$AX$4:$AX$1000,ROW()-3)&amp;"")</f>
        <v>Aadhaar Gender Update Service | Devmobile Stores</v>
      </c>
      <c r="L12" s="7" t="str">
        <f aca="false">IF(INDEX(MASTER_DATABASE!$A$4:$A$1000,ROW()-3)="","",INDEX(MASTER_DATABASE!$AY$4:$AY$1000,ROW()-3)&amp;"")</f>
        <v>Aadhaar Gender Update (आधार लिंग अपडेट) at Devmobile Stores and Common Service Center &amp; Aadhaar Centre. Check required documents, charges and process before you visit.</v>
      </c>
      <c r="M12" s="7" t="str">
        <f aca="false">IF(INDEX(MASTER_DATABASE!$A$4:$A$1000,ROW()-3)="","",INDEX(MASTER_DATABASE!$AN$4:$AN$1000,ROW()-3)&amp;"")</f>
        <v>Aadhaar Gender Update, Aadhaar Centre, Devmobile Stores, आधार लिंग अपडेट, आधार सेंटर, सेवा</v>
      </c>
      <c r="N12" s="7" t="str">
        <f aca="false">IF(INDEX(MASTER_DATABASE!$A$4:$A$1000,ROW()-3)="","",INDEX(MASTER_DATABASE!$AZ$4:$AZ$1000,ROW()-3)&amp;"")</f>
        <v>आधार लिंग अपडेट, आधार सेंटर, सेवा</v>
      </c>
      <c r="O12" s="7" t="str">
        <f aca="false">IF(INDEX(MASTER_DATABASE!$A$4:$A$1000,ROW()-3)="","",INDEX(MASTER_DATABASE!$BA$4:$BA$1000,ROW()-3)&amp;"")</f>
        <v>Aadhaar Gender Update, Aadhaar Centre, Devmobile Stores</v>
      </c>
      <c r="P12" s="11" t="str">
        <f aca="false">IF(INDEX(MASTER_DATABASE!$A$4:$A$1000,ROW()-3)="","",INDEX(MASTER_DATABASE!$AP$4:$AP$1000,ROW()-3)&amp;"")</f>
        <v>✏️</v>
      </c>
      <c r="Q12" s="7" t="str">
        <f aca="false">IF(INDEX(MASTER_DATABASE!$A$4:$A$1000,ROW()-3)="","",INDEX(MASTER_DATABASE!$BB$4:$BB$1000,ROW()-3)&amp;"")</f>
        <v/>
      </c>
      <c r="R12" s="11" t="str">
        <f aca="false">IF(INDEX(MASTER_DATABASE!$A$4:$A$1000,ROW()-3)="","",INDEX(MASTER_DATABASE!$BC$4:$BC$1000,ROW()-3)&amp;"")</f>
        <v>🪪</v>
      </c>
      <c r="S12" s="11" t="n">
        <f aca="false">IF(INDEX(MASTER_DATABASE!$A$4:$A$1000,ROW()-3)="","",INDEX(MASTER_DATABASE!$AQ$4:$AQ$1000,ROW()-3))</f>
        <v>90</v>
      </c>
      <c r="T12" s="7" t="str">
        <f aca="false">IF(INDEX(MASTER_DATABASE!$A$4:$A$1000,ROW()-3)="","",INDEX(MASTER_DATABASE!$I$4:$I$1000,ROW()-3)&amp;"")</f>
        <v>Available</v>
      </c>
      <c r="U12" s="7" t="str">
        <f aca="false">IF(INDEX(MASTER_DATABASE!$A$4:$A$1000,ROW()-3)="","",INDEX(MASTER_DATABASE!$J$4:$J$1000,ROW()-3)&amp;"")</f>
        <v>Available</v>
      </c>
      <c r="V12" s="7" t="str">
        <f aca="false">IF(INDEX(MASTER_DATABASE!$A$4:$A$1000,ROW()-3)="","",INDEX(MASTER_DATABASE!$AG$4:$AG$1000,ROW()-3)&amp;"")</f>
        <v>Active</v>
      </c>
      <c r="W12" s="7" t="str">
        <f aca="false">IF(INDEX(MASTER_DATABASE!$A$4:$A$1000,ROW()-3)="","",INDEX(MASTER_DATABASE!$AH$4:$AH$1000,ROW()-3)&amp;"")</f>
        <v>Yes</v>
      </c>
      <c r="X12" s="7" t="str">
        <f aca="false">IF(INDEX(MASTER_DATABASE!$A$4:$A$1000,ROW()-3)="","",INDEX(MASTER_DATABASE!$AI$4:$AI$1000,ROW()-3)&amp;"")</f>
        <v>No</v>
      </c>
      <c r="Y12" s="7" t="str">
        <f aca="false">IF(INDEX(MASTER_DATABASE!$A$4:$A$1000,ROW()-3)="","",INDEX(MASTER_DATABASE!$AJ$4:$AJ$1000,ROW()-3)&amp;"")</f>
        <v>No</v>
      </c>
      <c r="Z12" s="7" t="str">
        <f aca="false">IF(INDEX(MASTER_DATABASE!$A$4:$A$1000,ROW()-3)="","",INDEX(MASTER_DATABASE!$AK$4:$AK$1000,ROW()-3)&amp;"")</f>
        <v>No</v>
      </c>
      <c r="AA12" s="7" t="str">
        <f aca="false">IF(INDEX(MASTER_DATABASE!$A$4:$A$1000,ROW()-3)="","",INDEX(MASTER_DATABASE!$BE$4:$BE$1000,ROW()-3)&amp;"")</f>
        <v>LIVE</v>
      </c>
    </row>
    <row r="13" customFormat="false" ht="46.25" hidden="false" customHeight="false" outlineLevel="0" collapsed="false">
      <c r="A13" s="11" t="str">
        <f aca="false">IF(INDEX(MASTER_DATABASE!$A$4:$A$1000,ROW()-3)="","",INDEX(MASTER_DATABASE!$A$4:$A$1000,ROW()-3)&amp;"")</f>
        <v>AAD-010</v>
      </c>
      <c r="B13" s="7" t="str">
        <f aca="false">IF(INDEX(MASTER_DATABASE!$A$4:$A$1000,ROW()-3)="","",INDEX(MASTER_DATABASE!$B$4:$B$1000,ROW()-3)&amp;"")</f>
        <v>Aadhaar Centre</v>
      </c>
      <c r="C13" s="7" t="str">
        <f aca="false">IF(INDEX(MASTER_DATABASE!$A$4:$A$1000,ROW()-3)="","",INDEX(MASTER_DATABASE!$C$4:$C$1000,ROW()-3)&amp;"")</f>
        <v>Aadhaar Services</v>
      </c>
      <c r="D13" s="7" t="str">
        <f aca="false">IF(INDEX(MASTER_DATABASE!$A$4:$A$1000,ROW()-3)="","",INDEX(MASTER_DATABASE!$D$4:$D$1000,ROW()-3)&amp;"")</f>
        <v>Demographic Update</v>
      </c>
      <c r="E13" s="7" t="str">
        <f aca="false">IF(INDEX(MASTER_DATABASE!$A$4:$A$1000,ROW()-3)="","",INDEX(MASTER_DATABASE!$E$4:$E$1000,ROW()-3)&amp;"")</f>
        <v>Aadhaar Address Update (with Document)</v>
      </c>
      <c r="F13" s="7" t="str">
        <f aca="false">IF(INDEX(MASTER_DATABASE!$A$4:$A$1000,ROW()-3)="","",INDEX(MASTER_DATABASE!$F$4:$F$1000,ROW()-3)&amp;"")</f>
        <v>आधार पता अपडेट (दस्तावेज़ के साथ)</v>
      </c>
      <c r="G13" s="7" t="str">
        <f aca="false">IF(INDEX(MASTER_DATABASE!$A$4:$A$1000,ROW()-3)="","",INDEX(MASTER_DATABASE!$AL$4:$AL$1000,ROW()-3)&amp;"")</f>
        <v>Aadhaar Centre</v>
      </c>
      <c r="H13" s="7" t="str">
        <f aca="false">IF(INDEX(MASTER_DATABASE!$A$4:$A$1000,ROW()-3)="","",INDEX(MASTER_DATABASE!$AM$4:$AM$1000,ROW()-3)&amp;"")</f>
        <v>Demographic Update</v>
      </c>
      <c r="I13" s="7" t="str">
        <f aca="false">IF(INDEX(MASTER_DATABASE!$A$4:$A$1000,ROW()-3)="","",INDEX(MASTER_DATABASE!$AO$4:$AO$1000,ROW()-3)&amp;"")</f>
        <v>aadhaar-address-update-with-document</v>
      </c>
      <c r="J13" s="7" t="str">
        <f aca="false">IF(INDEX(MASTER_DATABASE!$A$4:$A$1000,ROW()-3)="","",INDEX(MASTER_DATABASE!$BD$4:$BD$1000,ROW()-3)&amp;"")</f>
        <v>/services/aadhaar-address-update-with-document</v>
      </c>
      <c r="K13" s="7" t="str">
        <f aca="false">IF(INDEX(MASTER_DATABASE!$A$4:$A$1000,ROW()-3)="","",INDEX(MASTER_DATABASE!$AX$4:$AX$1000,ROW()-3)&amp;"")</f>
        <v>Aadhaar Address Update (with Document) Service | Devmobile Stores</v>
      </c>
      <c r="L13" s="7" t="str">
        <f aca="false">IF(INDEX(MASTER_DATABASE!$A$4:$A$1000,ROW()-3)="","",INDEX(MASTER_DATABASE!$AY$4:$AY$1000,ROW()-3)&amp;"")</f>
        <v>Aadhaar Address Update (with Document) (आधार पता अपडेट (दस्तावेज़ के साथ)) at Devmobile Stores and Common Service Center &amp; Aadhaar Centre. Check required documents, charges and process before you visit.</v>
      </c>
      <c r="M13" s="7" t="str">
        <f aca="false">IF(INDEX(MASTER_DATABASE!$A$4:$A$1000,ROW()-3)="","",INDEX(MASTER_DATABASE!$AN$4:$AN$1000,ROW()-3)&amp;"")</f>
        <v>Aadhaar Address Update (with Document), Aadhaar Centre, Devmobile Stores, आधार पता अपडेट (दस्तावेज़ के साथ), आधार सेंटर, सेवा</v>
      </c>
      <c r="N13" s="7" t="str">
        <f aca="false">IF(INDEX(MASTER_DATABASE!$A$4:$A$1000,ROW()-3)="","",INDEX(MASTER_DATABASE!$AZ$4:$AZ$1000,ROW()-3)&amp;"")</f>
        <v>आधार पता अपडेट (दस्तावेज़ के साथ), आधार सेंटर, सेवा</v>
      </c>
      <c r="O13" s="7" t="str">
        <f aca="false">IF(INDEX(MASTER_DATABASE!$A$4:$A$1000,ROW()-3)="","",INDEX(MASTER_DATABASE!$BA$4:$BA$1000,ROW()-3)&amp;"")</f>
        <v>Aadhaar Address Update (with Document), Aadhaar Centre, Devmobile Stores</v>
      </c>
      <c r="P13" s="11" t="str">
        <f aca="false">IF(INDEX(MASTER_DATABASE!$A$4:$A$1000,ROW()-3)="","",INDEX(MASTER_DATABASE!$AP$4:$AP$1000,ROW()-3)&amp;"")</f>
        <v>✏️</v>
      </c>
      <c r="Q13" s="7" t="str">
        <f aca="false">IF(INDEX(MASTER_DATABASE!$A$4:$A$1000,ROW()-3)="","",INDEX(MASTER_DATABASE!$BB$4:$BB$1000,ROW()-3)&amp;"")</f>
        <v/>
      </c>
      <c r="R13" s="11" t="str">
        <f aca="false">IF(INDEX(MASTER_DATABASE!$A$4:$A$1000,ROW()-3)="","",INDEX(MASTER_DATABASE!$BC$4:$BC$1000,ROW()-3)&amp;"")</f>
        <v>🪪</v>
      </c>
      <c r="S13" s="11" t="n">
        <f aca="false">IF(INDEX(MASTER_DATABASE!$A$4:$A$1000,ROW()-3)="","",INDEX(MASTER_DATABASE!$AQ$4:$AQ$1000,ROW()-3))</f>
        <v>100</v>
      </c>
      <c r="T13" s="7" t="str">
        <f aca="false">IF(INDEX(MASTER_DATABASE!$A$4:$A$1000,ROW()-3)="","",INDEX(MASTER_DATABASE!$I$4:$I$1000,ROW()-3)&amp;"")</f>
        <v>Available</v>
      </c>
      <c r="U13" s="7" t="str">
        <f aca="false">IF(INDEX(MASTER_DATABASE!$A$4:$A$1000,ROW()-3)="","",INDEX(MASTER_DATABASE!$J$4:$J$1000,ROW()-3)&amp;"")</f>
        <v>Available</v>
      </c>
      <c r="V13" s="7" t="str">
        <f aca="false">IF(INDEX(MASTER_DATABASE!$A$4:$A$1000,ROW()-3)="","",INDEX(MASTER_DATABASE!$AG$4:$AG$1000,ROW()-3)&amp;"")</f>
        <v>Active</v>
      </c>
      <c r="W13" s="7" t="str">
        <f aca="false">IF(INDEX(MASTER_DATABASE!$A$4:$A$1000,ROW()-3)="","",INDEX(MASTER_DATABASE!$AH$4:$AH$1000,ROW()-3)&amp;"")</f>
        <v>Yes</v>
      </c>
      <c r="X13" s="7" t="str">
        <f aca="false">IF(INDEX(MASTER_DATABASE!$A$4:$A$1000,ROW()-3)="","",INDEX(MASTER_DATABASE!$AI$4:$AI$1000,ROW()-3)&amp;"")</f>
        <v>No</v>
      </c>
      <c r="Y13" s="7" t="str">
        <f aca="false">IF(INDEX(MASTER_DATABASE!$A$4:$A$1000,ROW()-3)="","",INDEX(MASTER_DATABASE!$AJ$4:$AJ$1000,ROW()-3)&amp;"")</f>
        <v>No</v>
      </c>
      <c r="Z13" s="7" t="str">
        <f aca="false">IF(INDEX(MASTER_DATABASE!$A$4:$A$1000,ROW()-3)="","",INDEX(MASTER_DATABASE!$AK$4:$AK$1000,ROW()-3)&amp;"")</f>
        <v>No</v>
      </c>
      <c r="AA13" s="7" t="str">
        <f aca="false">IF(INDEX(MASTER_DATABASE!$A$4:$A$1000,ROW()-3)="","",INDEX(MASTER_DATABASE!$BE$4:$BE$1000,ROW()-3)&amp;"")</f>
        <v>LIVE</v>
      </c>
    </row>
    <row r="14" customFormat="false" ht="57.45" hidden="false" customHeight="false" outlineLevel="0" collapsed="false">
      <c r="A14" s="11" t="str">
        <f aca="false">IF(INDEX(MASTER_DATABASE!$A$4:$A$1000,ROW()-3)="","",INDEX(MASTER_DATABASE!$A$4:$A$1000,ROW()-3)&amp;"")</f>
        <v>AAD-011</v>
      </c>
      <c r="B14" s="7" t="str">
        <f aca="false">IF(INDEX(MASTER_DATABASE!$A$4:$A$1000,ROW()-3)="","",INDEX(MASTER_DATABASE!$B$4:$B$1000,ROW()-3)&amp;"")</f>
        <v>Aadhaar Centre</v>
      </c>
      <c r="C14" s="7" t="str">
        <f aca="false">IF(INDEX(MASTER_DATABASE!$A$4:$A$1000,ROW()-3)="","",INDEX(MASTER_DATABASE!$C$4:$C$1000,ROW()-3)&amp;"")</f>
        <v>Aadhaar Services</v>
      </c>
      <c r="D14" s="7" t="str">
        <f aca="false">IF(INDEX(MASTER_DATABASE!$A$4:$A$1000,ROW()-3)="","",INDEX(MASTER_DATABASE!$D$4:$D$1000,ROW()-3)&amp;"")</f>
        <v>Demographic Update</v>
      </c>
      <c r="E14" s="7" t="str">
        <f aca="false">IF(INDEX(MASTER_DATABASE!$A$4:$A$1000,ROW()-3)="","",INDEX(MASTER_DATABASE!$E$4:$E$1000,ROW()-3)&amp;"")</f>
        <v>Aadhaar Address Update – Online (SSUP) Assistance</v>
      </c>
      <c r="F14" s="7" t="str">
        <f aca="false">IF(INDEX(MASTER_DATABASE!$A$4:$A$1000,ROW()-3)="","",INDEX(MASTER_DATABASE!$F$4:$F$1000,ROW()-3)&amp;"")</f>
        <v>आधार पता अपडेट – ऑनलाइन (SSUP) सहायता</v>
      </c>
      <c r="G14" s="7" t="str">
        <f aca="false">IF(INDEX(MASTER_DATABASE!$A$4:$A$1000,ROW()-3)="","",INDEX(MASTER_DATABASE!$AL$4:$AL$1000,ROW()-3)&amp;"")</f>
        <v>Aadhaar Centre</v>
      </c>
      <c r="H14" s="7" t="str">
        <f aca="false">IF(INDEX(MASTER_DATABASE!$A$4:$A$1000,ROW()-3)="","",INDEX(MASTER_DATABASE!$AM$4:$AM$1000,ROW()-3)&amp;"")</f>
        <v>Demographic Update</v>
      </c>
      <c r="I14" s="7" t="str">
        <f aca="false">IF(INDEX(MASTER_DATABASE!$A$4:$A$1000,ROW()-3)="","",INDEX(MASTER_DATABASE!$AO$4:$AO$1000,ROW()-3)&amp;"")</f>
        <v>aadhaar-address-update-online-ssup-assistance</v>
      </c>
      <c r="J14" s="7" t="str">
        <f aca="false">IF(INDEX(MASTER_DATABASE!$A$4:$A$1000,ROW()-3)="","",INDEX(MASTER_DATABASE!$BD$4:$BD$1000,ROW()-3)&amp;"")</f>
        <v>/services/aadhaar-address-update-online-ssup-assistance</v>
      </c>
      <c r="K14" s="7" t="str">
        <f aca="false">IF(INDEX(MASTER_DATABASE!$A$4:$A$1000,ROW()-3)="","",INDEX(MASTER_DATABASE!$AX$4:$AX$1000,ROW()-3)&amp;"")</f>
        <v>Aadhaar Address Update – Online (SSUP) Assistance Service | Devmobile Stores</v>
      </c>
      <c r="L14" s="7" t="str">
        <f aca="false">IF(INDEX(MASTER_DATABASE!$A$4:$A$1000,ROW()-3)="","",INDEX(MASTER_DATABASE!$AY$4:$AY$1000,ROW()-3)&amp;"")</f>
        <v>Aadhaar Address Update – Online (SSUP) Assistance (आधार पता अपडेट – ऑनलाइन (SSUP) सहायता) at Devmobile Stores and Common Service Center &amp; Aadhaar Centre. Check required documents, charges and process before you visit.</v>
      </c>
      <c r="M14" s="7" t="str">
        <f aca="false">IF(INDEX(MASTER_DATABASE!$A$4:$A$1000,ROW()-3)="","",INDEX(MASTER_DATABASE!$AN$4:$AN$1000,ROW()-3)&amp;"")</f>
        <v>Aadhaar Address Update – Online (SSUP) Assistance, Aadhaar Centre, Devmobile Stores, आधार पता अपडेट – ऑनलाइन (SSUP) सहायता, आधार सेंटर, सेवा</v>
      </c>
      <c r="N14" s="7" t="str">
        <f aca="false">IF(INDEX(MASTER_DATABASE!$A$4:$A$1000,ROW()-3)="","",INDEX(MASTER_DATABASE!$AZ$4:$AZ$1000,ROW()-3)&amp;"")</f>
        <v>आधार पता अपडेट – ऑनलाइन (SSUP) सहायता, आधार सेंटर, सेवा</v>
      </c>
      <c r="O14" s="7" t="str">
        <f aca="false">IF(INDEX(MASTER_DATABASE!$A$4:$A$1000,ROW()-3)="","",INDEX(MASTER_DATABASE!$BA$4:$BA$1000,ROW()-3)&amp;"")</f>
        <v>Aadhaar Address Update – Online (SSUP) Assistance, Aadhaar Centre, Devmobile Stores</v>
      </c>
      <c r="P14" s="11" t="str">
        <f aca="false">IF(INDEX(MASTER_DATABASE!$A$4:$A$1000,ROW()-3)="","",INDEX(MASTER_DATABASE!$AP$4:$AP$1000,ROW()-3)&amp;"")</f>
        <v>✏️</v>
      </c>
      <c r="Q14" s="7" t="str">
        <f aca="false">IF(INDEX(MASTER_DATABASE!$A$4:$A$1000,ROW()-3)="","",INDEX(MASTER_DATABASE!$BB$4:$BB$1000,ROW()-3)&amp;"")</f>
        <v/>
      </c>
      <c r="R14" s="11" t="str">
        <f aca="false">IF(INDEX(MASTER_DATABASE!$A$4:$A$1000,ROW()-3)="","",INDEX(MASTER_DATABASE!$BC$4:$BC$1000,ROW()-3)&amp;"")</f>
        <v>🪪</v>
      </c>
      <c r="S14" s="11" t="n">
        <f aca="false">IF(INDEX(MASTER_DATABASE!$A$4:$A$1000,ROW()-3)="","",INDEX(MASTER_DATABASE!$AQ$4:$AQ$1000,ROW()-3))</f>
        <v>110</v>
      </c>
      <c r="T14" s="7" t="str">
        <f aca="false">IF(INDEX(MASTER_DATABASE!$A$4:$A$1000,ROW()-3)="","",INDEX(MASTER_DATABASE!$I$4:$I$1000,ROW()-3)&amp;"")</f>
        <v>Portal Dependent</v>
      </c>
      <c r="U14" s="7" t="str">
        <f aca="false">IF(INDEX(MASTER_DATABASE!$A$4:$A$1000,ROW()-3)="","",INDEX(MASTER_DATABASE!$J$4:$J$1000,ROW()-3)&amp;"")</f>
        <v>Depends on Portal – Confirm at Shop</v>
      </c>
      <c r="V14" s="7" t="str">
        <f aca="false">IF(INDEX(MASTER_DATABASE!$A$4:$A$1000,ROW()-3)="","",INDEX(MASTER_DATABASE!$AG$4:$AG$1000,ROW()-3)&amp;"")</f>
        <v>To Verify</v>
      </c>
      <c r="W14" s="7" t="str">
        <f aca="false">IF(INDEX(MASTER_DATABASE!$A$4:$A$1000,ROW()-3)="","",INDEX(MASTER_DATABASE!$AH$4:$AH$1000,ROW()-3)&amp;"")</f>
        <v>No</v>
      </c>
      <c r="X14" s="7" t="str">
        <f aca="false">IF(INDEX(MASTER_DATABASE!$A$4:$A$1000,ROW()-3)="","",INDEX(MASTER_DATABASE!$AI$4:$AI$1000,ROW()-3)&amp;"")</f>
        <v>No</v>
      </c>
      <c r="Y14" s="7" t="str">
        <f aca="false">IF(INDEX(MASTER_DATABASE!$A$4:$A$1000,ROW()-3)="","",INDEX(MASTER_DATABASE!$AJ$4:$AJ$1000,ROW()-3)&amp;"")</f>
        <v>No</v>
      </c>
      <c r="Z14" s="7" t="str">
        <f aca="false">IF(INDEX(MASTER_DATABASE!$A$4:$A$1000,ROW()-3)="","",INDEX(MASTER_DATABASE!$AK$4:$AK$1000,ROW()-3)&amp;"")</f>
        <v>No</v>
      </c>
      <c r="AA14" s="7" t="str">
        <f aca="false">IF(INDEX(MASTER_DATABASE!$A$4:$A$1000,ROW()-3)="","",INDEX(MASTER_DATABASE!$BE$4:$BE$1000,ROW()-3)&amp;"")</f>
        <v>HIDDEN</v>
      </c>
    </row>
    <row r="15" customFormat="false" ht="46.25" hidden="false" customHeight="false" outlineLevel="0" collapsed="false">
      <c r="A15" s="11" t="str">
        <f aca="false">IF(INDEX(MASTER_DATABASE!$A$4:$A$1000,ROW()-3)="","",INDEX(MASTER_DATABASE!$A$4:$A$1000,ROW()-3)&amp;"")</f>
        <v>AAD-012</v>
      </c>
      <c r="B15" s="7" t="str">
        <f aca="false">IF(INDEX(MASTER_DATABASE!$A$4:$A$1000,ROW()-3)="","",INDEX(MASTER_DATABASE!$B$4:$B$1000,ROW()-3)&amp;"")</f>
        <v>Aadhaar Centre</v>
      </c>
      <c r="C15" s="7" t="str">
        <f aca="false">IF(INDEX(MASTER_DATABASE!$A$4:$A$1000,ROW()-3)="","",INDEX(MASTER_DATABASE!$C$4:$C$1000,ROW()-3)&amp;"")</f>
        <v>Aadhaar Services</v>
      </c>
      <c r="D15" s="7" t="str">
        <f aca="false">IF(INDEX(MASTER_DATABASE!$A$4:$A$1000,ROW()-3)="","",INDEX(MASTER_DATABASE!$D$4:$D$1000,ROW()-3)&amp;"")</f>
        <v>Demographic Update</v>
      </c>
      <c r="E15" s="7" t="str">
        <f aca="false">IF(INDEX(MASTER_DATABASE!$A$4:$A$1000,ROW()-3)="","",INDEX(MASTER_DATABASE!$E$4:$E$1000,ROW()-3)&amp;"")</f>
        <v>Aadhaar Mobile Number Update</v>
      </c>
      <c r="F15" s="7" t="str">
        <f aca="false">IF(INDEX(MASTER_DATABASE!$A$4:$A$1000,ROW()-3)="","",INDEX(MASTER_DATABASE!$F$4:$F$1000,ROW()-3)&amp;"")</f>
        <v>आधार मोबाइल नंबर अपडेट</v>
      </c>
      <c r="G15" s="7" t="str">
        <f aca="false">IF(INDEX(MASTER_DATABASE!$A$4:$A$1000,ROW()-3)="","",INDEX(MASTER_DATABASE!$AL$4:$AL$1000,ROW()-3)&amp;"")</f>
        <v>Aadhaar Centre</v>
      </c>
      <c r="H15" s="7" t="str">
        <f aca="false">IF(INDEX(MASTER_DATABASE!$A$4:$A$1000,ROW()-3)="","",INDEX(MASTER_DATABASE!$AM$4:$AM$1000,ROW()-3)&amp;"")</f>
        <v>Demographic Update</v>
      </c>
      <c r="I15" s="7" t="str">
        <f aca="false">IF(INDEX(MASTER_DATABASE!$A$4:$A$1000,ROW()-3)="","",INDEX(MASTER_DATABASE!$AO$4:$AO$1000,ROW()-3)&amp;"")</f>
        <v>aadhaar-mobile-number-update</v>
      </c>
      <c r="J15" s="7" t="str">
        <f aca="false">IF(INDEX(MASTER_DATABASE!$A$4:$A$1000,ROW()-3)="","",INDEX(MASTER_DATABASE!$BD$4:$BD$1000,ROW()-3)&amp;"")</f>
        <v>/services/aadhaar-mobile-number-update</v>
      </c>
      <c r="K15" s="7" t="str">
        <f aca="false">IF(INDEX(MASTER_DATABASE!$A$4:$A$1000,ROW()-3)="","",INDEX(MASTER_DATABASE!$AX$4:$AX$1000,ROW()-3)&amp;"")</f>
        <v>Aadhaar Mobile Number Update Service | Devmobile Stores</v>
      </c>
      <c r="L15" s="7" t="str">
        <f aca="false">IF(INDEX(MASTER_DATABASE!$A$4:$A$1000,ROW()-3)="","",INDEX(MASTER_DATABASE!$AY$4:$AY$1000,ROW()-3)&amp;"")</f>
        <v>Aadhaar Mobile Number Update (आधार मोबाइल नंबर अपडेट) at Devmobile Stores and Common Service Center &amp; Aadhaar Centre. Check required documents, charges and process before you visit.</v>
      </c>
      <c r="M15" s="7" t="str">
        <f aca="false">IF(INDEX(MASTER_DATABASE!$A$4:$A$1000,ROW()-3)="","",INDEX(MASTER_DATABASE!$AN$4:$AN$1000,ROW()-3)&amp;"")</f>
        <v>Aadhaar Mobile Number Update, Aadhaar Centre, Devmobile Stores, आधार मोबाइल नंबर अपडेट, आधार सेंटर, सेवा</v>
      </c>
      <c r="N15" s="7" t="str">
        <f aca="false">IF(INDEX(MASTER_DATABASE!$A$4:$A$1000,ROW()-3)="","",INDEX(MASTER_DATABASE!$AZ$4:$AZ$1000,ROW()-3)&amp;"")</f>
        <v>आधार मोबाइल नंबर अपडेट, आधार सेंटर, सेवा</v>
      </c>
      <c r="O15" s="7" t="str">
        <f aca="false">IF(INDEX(MASTER_DATABASE!$A$4:$A$1000,ROW()-3)="","",INDEX(MASTER_DATABASE!$BA$4:$BA$1000,ROW()-3)&amp;"")</f>
        <v>Aadhaar Mobile Number Update, Aadhaar Centre, Devmobile Stores</v>
      </c>
      <c r="P15" s="11" t="str">
        <f aca="false">IF(INDEX(MASTER_DATABASE!$A$4:$A$1000,ROW()-3)="","",INDEX(MASTER_DATABASE!$AP$4:$AP$1000,ROW()-3)&amp;"")</f>
        <v>✏️</v>
      </c>
      <c r="Q15" s="7" t="str">
        <f aca="false">IF(INDEX(MASTER_DATABASE!$A$4:$A$1000,ROW()-3)="","",INDEX(MASTER_DATABASE!$BB$4:$BB$1000,ROW()-3)&amp;"")</f>
        <v/>
      </c>
      <c r="R15" s="11" t="str">
        <f aca="false">IF(INDEX(MASTER_DATABASE!$A$4:$A$1000,ROW()-3)="","",INDEX(MASTER_DATABASE!$BC$4:$BC$1000,ROW()-3)&amp;"")</f>
        <v>🪪</v>
      </c>
      <c r="S15" s="11" t="n">
        <f aca="false">IF(INDEX(MASTER_DATABASE!$A$4:$A$1000,ROW()-3)="","",INDEX(MASTER_DATABASE!$AQ$4:$AQ$1000,ROW()-3))</f>
        <v>120</v>
      </c>
      <c r="T15" s="7" t="str">
        <f aca="false">IF(INDEX(MASTER_DATABASE!$A$4:$A$1000,ROW()-3)="","",INDEX(MASTER_DATABASE!$I$4:$I$1000,ROW()-3)&amp;"")</f>
        <v>Available</v>
      </c>
      <c r="U15" s="7" t="str">
        <f aca="false">IF(INDEX(MASTER_DATABASE!$A$4:$A$1000,ROW()-3)="","",INDEX(MASTER_DATABASE!$J$4:$J$1000,ROW()-3)&amp;"")</f>
        <v>Available</v>
      </c>
      <c r="V15" s="7" t="str">
        <f aca="false">IF(INDEX(MASTER_DATABASE!$A$4:$A$1000,ROW()-3)="","",INDEX(MASTER_DATABASE!$AG$4:$AG$1000,ROW()-3)&amp;"")</f>
        <v>Active</v>
      </c>
      <c r="W15" s="7" t="str">
        <f aca="false">IF(INDEX(MASTER_DATABASE!$A$4:$A$1000,ROW()-3)="","",INDEX(MASTER_DATABASE!$AH$4:$AH$1000,ROW()-3)&amp;"")</f>
        <v>Yes</v>
      </c>
      <c r="X15" s="7" t="str">
        <f aca="false">IF(INDEX(MASTER_DATABASE!$A$4:$A$1000,ROW()-3)="","",INDEX(MASTER_DATABASE!$AI$4:$AI$1000,ROW()-3)&amp;"")</f>
        <v>No</v>
      </c>
      <c r="Y15" s="7" t="str">
        <f aca="false">IF(INDEX(MASTER_DATABASE!$A$4:$A$1000,ROW()-3)="","",INDEX(MASTER_DATABASE!$AJ$4:$AJ$1000,ROW()-3)&amp;"")</f>
        <v>No</v>
      </c>
      <c r="Z15" s="7" t="str">
        <f aca="false">IF(INDEX(MASTER_DATABASE!$A$4:$A$1000,ROW()-3)="","",INDEX(MASTER_DATABASE!$AK$4:$AK$1000,ROW()-3)&amp;"")</f>
        <v>No</v>
      </c>
      <c r="AA15" s="7" t="str">
        <f aca="false">IF(INDEX(MASTER_DATABASE!$A$4:$A$1000,ROW()-3)="","",INDEX(MASTER_DATABASE!$BE$4:$BE$1000,ROW()-3)&amp;"")</f>
        <v>LIVE</v>
      </c>
    </row>
    <row r="16" customFormat="false" ht="46.25" hidden="false" customHeight="false" outlineLevel="0" collapsed="false">
      <c r="A16" s="11" t="str">
        <f aca="false">IF(INDEX(MASTER_DATABASE!$A$4:$A$1000,ROW()-3)="","",INDEX(MASTER_DATABASE!$A$4:$A$1000,ROW()-3)&amp;"")</f>
        <v>AAD-013</v>
      </c>
      <c r="B16" s="7" t="str">
        <f aca="false">IF(INDEX(MASTER_DATABASE!$A$4:$A$1000,ROW()-3)="","",INDEX(MASTER_DATABASE!$B$4:$B$1000,ROW()-3)&amp;"")</f>
        <v>Aadhaar Centre</v>
      </c>
      <c r="C16" s="7" t="str">
        <f aca="false">IF(INDEX(MASTER_DATABASE!$A$4:$A$1000,ROW()-3)="","",INDEX(MASTER_DATABASE!$C$4:$C$1000,ROW()-3)&amp;"")</f>
        <v>Aadhaar Services</v>
      </c>
      <c r="D16" s="7" t="str">
        <f aca="false">IF(INDEX(MASTER_DATABASE!$A$4:$A$1000,ROW()-3)="","",INDEX(MASTER_DATABASE!$D$4:$D$1000,ROW()-3)&amp;"")</f>
        <v>Demographic Update</v>
      </c>
      <c r="E16" s="7" t="str">
        <f aca="false">IF(INDEX(MASTER_DATABASE!$A$4:$A$1000,ROW()-3)="","",INDEX(MASTER_DATABASE!$E$4:$E$1000,ROW()-3)&amp;"")</f>
        <v>Aadhaar Email ID Update</v>
      </c>
      <c r="F16" s="7" t="str">
        <f aca="false">IF(INDEX(MASTER_DATABASE!$A$4:$A$1000,ROW()-3)="","",INDEX(MASTER_DATABASE!$F$4:$F$1000,ROW()-3)&amp;"")</f>
        <v>आधार ईमेल आईडी अपडेट</v>
      </c>
      <c r="G16" s="7" t="str">
        <f aca="false">IF(INDEX(MASTER_DATABASE!$A$4:$A$1000,ROW()-3)="","",INDEX(MASTER_DATABASE!$AL$4:$AL$1000,ROW()-3)&amp;"")</f>
        <v>Aadhaar Centre</v>
      </c>
      <c r="H16" s="7" t="str">
        <f aca="false">IF(INDEX(MASTER_DATABASE!$A$4:$A$1000,ROW()-3)="","",INDEX(MASTER_DATABASE!$AM$4:$AM$1000,ROW()-3)&amp;"")</f>
        <v>Demographic Update</v>
      </c>
      <c r="I16" s="7" t="str">
        <f aca="false">IF(INDEX(MASTER_DATABASE!$A$4:$A$1000,ROW()-3)="","",INDEX(MASTER_DATABASE!$AO$4:$AO$1000,ROW()-3)&amp;"")</f>
        <v>aadhaar-email-id-update</v>
      </c>
      <c r="J16" s="7" t="str">
        <f aca="false">IF(INDEX(MASTER_DATABASE!$A$4:$A$1000,ROW()-3)="","",INDEX(MASTER_DATABASE!$BD$4:$BD$1000,ROW()-3)&amp;"")</f>
        <v>/services/aadhaar-email-id-update</v>
      </c>
      <c r="K16" s="7" t="str">
        <f aca="false">IF(INDEX(MASTER_DATABASE!$A$4:$A$1000,ROW()-3)="","",INDEX(MASTER_DATABASE!$AX$4:$AX$1000,ROW()-3)&amp;"")</f>
        <v>Aadhaar Email ID Update Service | Devmobile Stores</v>
      </c>
      <c r="L16" s="7" t="str">
        <f aca="false">IF(INDEX(MASTER_DATABASE!$A$4:$A$1000,ROW()-3)="","",INDEX(MASTER_DATABASE!$AY$4:$AY$1000,ROW()-3)&amp;"")</f>
        <v>Aadhaar Email ID Update (आधार ईमेल आईडी अपडेट) at Devmobile Stores and Common Service Center &amp; Aadhaar Centre. Check required documents, charges and process before you visit.</v>
      </c>
      <c r="M16" s="7" t="str">
        <f aca="false">IF(INDEX(MASTER_DATABASE!$A$4:$A$1000,ROW()-3)="","",INDEX(MASTER_DATABASE!$AN$4:$AN$1000,ROW()-3)&amp;"")</f>
        <v>Aadhaar Email ID Update, Aadhaar Centre, Devmobile Stores, आधार ईमेल आईडी अपडेट, आधार सेंटर, सेवा</v>
      </c>
      <c r="N16" s="7" t="str">
        <f aca="false">IF(INDEX(MASTER_DATABASE!$A$4:$A$1000,ROW()-3)="","",INDEX(MASTER_DATABASE!$AZ$4:$AZ$1000,ROW()-3)&amp;"")</f>
        <v>आधार ईमेल आईडी अपडेट, आधार सेंटर, सेवा</v>
      </c>
      <c r="O16" s="7" t="str">
        <f aca="false">IF(INDEX(MASTER_DATABASE!$A$4:$A$1000,ROW()-3)="","",INDEX(MASTER_DATABASE!$BA$4:$BA$1000,ROW()-3)&amp;"")</f>
        <v>Aadhaar Email ID Update, Aadhaar Centre, Devmobile Stores</v>
      </c>
      <c r="P16" s="11" t="str">
        <f aca="false">IF(INDEX(MASTER_DATABASE!$A$4:$A$1000,ROW()-3)="","",INDEX(MASTER_DATABASE!$AP$4:$AP$1000,ROW()-3)&amp;"")</f>
        <v>✏️</v>
      </c>
      <c r="Q16" s="7" t="str">
        <f aca="false">IF(INDEX(MASTER_DATABASE!$A$4:$A$1000,ROW()-3)="","",INDEX(MASTER_DATABASE!$BB$4:$BB$1000,ROW()-3)&amp;"")</f>
        <v/>
      </c>
      <c r="R16" s="11" t="str">
        <f aca="false">IF(INDEX(MASTER_DATABASE!$A$4:$A$1000,ROW()-3)="","",INDEX(MASTER_DATABASE!$BC$4:$BC$1000,ROW()-3)&amp;"")</f>
        <v>🪪</v>
      </c>
      <c r="S16" s="11" t="n">
        <f aca="false">IF(INDEX(MASTER_DATABASE!$A$4:$A$1000,ROW()-3)="","",INDEX(MASTER_DATABASE!$AQ$4:$AQ$1000,ROW()-3))</f>
        <v>130</v>
      </c>
      <c r="T16" s="7" t="str">
        <f aca="false">IF(INDEX(MASTER_DATABASE!$A$4:$A$1000,ROW()-3)="","",INDEX(MASTER_DATABASE!$I$4:$I$1000,ROW()-3)&amp;"")</f>
        <v>Available</v>
      </c>
      <c r="U16" s="7" t="str">
        <f aca="false">IF(INDEX(MASTER_DATABASE!$A$4:$A$1000,ROW()-3)="","",INDEX(MASTER_DATABASE!$J$4:$J$1000,ROW()-3)&amp;"")</f>
        <v>Available</v>
      </c>
      <c r="V16" s="7" t="str">
        <f aca="false">IF(INDEX(MASTER_DATABASE!$A$4:$A$1000,ROW()-3)="","",INDEX(MASTER_DATABASE!$AG$4:$AG$1000,ROW()-3)&amp;"")</f>
        <v>Active</v>
      </c>
      <c r="W16" s="7" t="str">
        <f aca="false">IF(INDEX(MASTER_DATABASE!$A$4:$A$1000,ROW()-3)="","",INDEX(MASTER_DATABASE!$AH$4:$AH$1000,ROW()-3)&amp;"")</f>
        <v>Yes</v>
      </c>
      <c r="X16" s="7" t="str">
        <f aca="false">IF(INDEX(MASTER_DATABASE!$A$4:$A$1000,ROW()-3)="","",INDEX(MASTER_DATABASE!$AI$4:$AI$1000,ROW()-3)&amp;"")</f>
        <v>No</v>
      </c>
      <c r="Y16" s="7" t="str">
        <f aca="false">IF(INDEX(MASTER_DATABASE!$A$4:$A$1000,ROW()-3)="","",INDEX(MASTER_DATABASE!$AJ$4:$AJ$1000,ROW()-3)&amp;"")</f>
        <v>No</v>
      </c>
      <c r="Z16" s="7" t="str">
        <f aca="false">IF(INDEX(MASTER_DATABASE!$A$4:$A$1000,ROW()-3)="","",INDEX(MASTER_DATABASE!$AK$4:$AK$1000,ROW()-3)&amp;"")</f>
        <v>No</v>
      </c>
      <c r="AA16" s="7" t="str">
        <f aca="false">IF(INDEX(MASTER_DATABASE!$A$4:$A$1000,ROW()-3)="","",INDEX(MASTER_DATABASE!$BE$4:$BE$1000,ROW()-3)&amp;"")</f>
        <v>LIVE</v>
      </c>
    </row>
    <row r="17" customFormat="false" ht="57.45" hidden="false" customHeight="false" outlineLevel="0" collapsed="false">
      <c r="A17" s="11" t="str">
        <f aca="false">IF(INDEX(MASTER_DATABASE!$A$4:$A$1000,ROW()-3)="","",INDEX(MASTER_DATABASE!$A$4:$A$1000,ROW()-3)&amp;"")</f>
        <v>AAD-014</v>
      </c>
      <c r="B17" s="7" t="str">
        <f aca="false">IF(INDEX(MASTER_DATABASE!$A$4:$A$1000,ROW()-3)="","",INDEX(MASTER_DATABASE!$B$4:$B$1000,ROW()-3)&amp;"")</f>
        <v>Aadhaar Centre</v>
      </c>
      <c r="C17" s="7" t="str">
        <f aca="false">IF(INDEX(MASTER_DATABASE!$A$4:$A$1000,ROW()-3)="","",INDEX(MASTER_DATABASE!$C$4:$C$1000,ROW()-3)&amp;"")</f>
        <v>Aadhaar Services</v>
      </c>
      <c r="D17" s="7" t="str">
        <f aca="false">IF(INDEX(MASTER_DATABASE!$A$4:$A$1000,ROW()-3)="","",INDEX(MASTER_DATABASE!$D$4:$D$1000,ROW()-3)&amp;"")</f>
        <v>Demographic Update</v>
      </c>
      <c r="E17" s="7" t="str">
        <f aca="false">IF(INDEX(MASTER_DATABASE!$A$4:$A$1000,ROW()-3)="","",INDEX(MASTER_DATABASE!$E$4:$E$1000,ROW()-3)&amp;"")</f>
        <v>Aadhaar Relationship / Head of Family Detail Update</v>
      </c>
      <c r="F17" s="7" t="str">
        <f aca="false">IF(INDEX(MASTER_DATABASE!$A$4:$A$1000,ROW()-3)="","",INDEX(MASTER_DATABASE!$F$4:$F$1000,ROW()-3)&amp;"")</f>
        <v>आधार संबंध / परिवार मुखिया विवरण अपडेट</v>
      </c>
      <c r="G17" s="7" t="str">
        <f aca="false">IF(INDEX(MASTER_DATABASE!$A$4:$A$1000,ROW()-3)="","",INDEX(MASTER_DATABASE!$AL$4:$AL$1000,ROW()-3)&amp;"")</f>
        <v>Aadhaar Centre</v>
      </c>
      <c r="H17" s="7" t="str">
        <f aca="false">IF(INDEX(MASTER_DATABASE!$A$4:$A$1000,ROW()-3)="","",INDEX(MASTER_DATABASE!$AM$4:$AM$1000,ROW()-3)&amp;"")</f>
        <v>Demographic Update</v>
      </c>
      <c r="I17" s="7" t="str">
        <f aca="false">IF(INDEX(MASTER_DATABASE!$A$4:$A$1000,ROW()-3)="","",INDEX(MASTER_DATABASE!$AO$4:$AO$1000,ROW()-3)&amp;"")</f>
        <v>aadhaar-relationship-head-of-family-detail-update</v>
      </c>
      <c r="J17" s="7" t="str">
        <f aca="false">IF(INDEX(MASTER_DATABASE!$A$4:$A$1000,ROW()-3)="","",INDEX(MASTER_DATABASE!$BD$4:$BD$1000,ROW()-3)&amp;"")</f>
        <v>/services/aadhaar-relationship-head-of-family-detail-update</v>
      </c>
      <c r="K17" s="7" t="str">
        <f aca="false">IF(INDEX(MASTER_DATABASE!$A$4:$A$1000,ROW()-3)="","",INDEX(MASTER_DATABASE!$AX$4:$AX$1000,ROW()-3)&amp;"")</f>
        <v>Aadhaar Relationship / Head of Family Detail Update Service | Devmobile Stores</v>
      </c>
      <c r="L17" s="7" t="str">
        <f aca="false">IF(INDEX(MASTER_DATABASE!$A$4:$A$1000,ROW()-3)="","",INDEX(MASTER_DATABASE!$AY$4:$AY$1000,ROW()-3)&amp;"")</f>
        <v>Aadhaar Relationship / Head of Family Detail Update (आधार संबंध / परिवार मुखिया विवरण अपडेट) at Devmobile Stores and Common Service Center &amp; Aadhaar Centre. Check required documents, charges and process before you visit.</v>
      </c>
      <c r="M17" s="7" t="str">
        <f aca="false">IF(INDEX(MASTER_DATABASE!$A$4:$A$1000,ROW()-3)="","",INDEX(MASTER_DATABASE!$AN$4:$AN$1000,ROW()-3)&amp;"")</f>
        <v>Aadhaar Relationship / Head of Family Detail Update, Aadhaar Centre, Devmobile Stores, आधार संबंध / परिवार मुखिया विवरण अपडेट, आधार सेंटर, सेवा</v>
      </c>
      <c r="N17" s="7" t="str">
        <f aca="false">IF(INDEX(MASTER_DATABASE!$A$4:$A$1000,ROW()-3)="","",INDEX(MASTER_DATABASE!$AZ$4:$AZ$1000,ROW()-3)&amp;"")</f>
        <v>आधार संबंध / परिवार मुखिया विवरण अपडेट, आधार सेंटर, सेवा</v>
      </c>
      <c r="O17" s="7" t="str">
        <f aca="false">IF(INDEX(MASTER_DATABASE!$A$4:$A$1000,ROW()-3)="","",INDEX(MASTER_DATABASE!$BA$4:$BA$1000,ROW()-3)&amp;"")</f>
        <v>Aadhaar Relationship / Head of Family Detail Update, Aadhaar Centre, Devmobile Stores</v>
      </c>
      <c r="P17" s="11" t="str">
        <f aca="false">IF(INDEX(MASTER_DATABASE!$A$4:$A$1000,ROW()-3)="","",INDEX(MASTER_DATABASE!$AP$4:$AP$1000,ROW()-3)&amp;"")</f>
        <v>✏️</v>
      </c>
      <c r="Q17" s="7" t="str">
        <f aca="false">IF(INDEX(MASTER_DATABASE!$A$4:$A$1000,ROW()-3)="","",INDEX(MASTER_DATABASE!$BB$4:$BB$1000,ROW()-3)&amp;"")</f>
        <v/>
      </c>
      <c r="R17" s="11" t="str">
        <f aca="false">IF(INDEX(MASTER_DATABASE!$A$4:$A$1000,ROW()-3)="","",INDEX(MASTER_DATABASE!$BC$4:$BC$1000,ROW()-3)&amp;"")</f>
        <v>🪪</v>
      </c>
      <c r="S17" s="11" t="n">
        <f aca="false">IF(INDEX(MASTER_DATABASE!$A$4:$A$1000,ROW()-3)="","",INDEX(MASTER_DATABASE!$AQ$4:$AQ$1000,ROW()-3))</f>
        <v>140</v>
      </c>
      <c r="T17" s="7" t="str">
        <f aca="false">IF(INDEX(MASTER_DATABASE!$A$4:$A$1000,ROW()-3)="","",INDEX(MASTER_DATABASE!$I$4:$I$1000,ROW()-3)&amp;"")</f>
        <v>To Verify</v>
      </c>
      <c r="U17" s="7" t="str">
        <f aca="false">IF(INDEX(MASTER_DATABASE!$A$4:$A$1000,ROW()-3)="","",INDEX(MASTER_DATABASE!$J$4:$J$1000,ROW()-3)&amp;"")</f>
        <v>To Be Confirmed</v>
      </c>
      <c r="V17" s="7" t="str">
        <f aca="false">IF(INDEX(MASTER_DATABASE!$A$4:$A$1000,ROW()-3)="","",INDEX(MASTER_DATABASE!$AG$4:$AG$1000,ROW()-3)&amp;"")</f>
        <v>To Verify</v>
      </c>
      <c r="W17" s="7" t="str">
        <f aca="false">IF(INDEX(MASTER_DATABASE!$A$4:$A$1000,ROW()-3)="","",INDEX(MASTER_DATABASE!$AH$4:$AH$1000,ROW()-3)&amp;"")</f>
        <v>No</v>
      </c>
      <c r="X17" s="7" t="str">
        <f aca="false">IF(INDEX(MASTER_DATABASE!$A$4:$A$1000,ROW()-3)="","",INDEX(MASTER_DATABASE!$AI$4:$AI$1000,ROW()-3)&amp;"")</f>
        <v>No</v>
      </c>
      <c r="Y17" s="7" t="str">
        <f aca="false">IF(INDEX(MASTER_DATABASE!$A$4:$A$1000,ROW()-3)="","",INDEX(MASTER_DATABASE!$AJ$4:$AJ$1000,ROW()-3)&amp;"")</f>
        <v>No</v>
      </c>
      <c r="Z17" s="7" t="str">
        <f aca="false">IF(INDEX(MASTER_DATABASE!$A$4:$A$1000,ROW()-3)="","",INDEX(MASTER_DATABASE!$AK$4:$AK$1000,ROW()-3)&amp;"")</f>
        <v>No</v>
      </c>
      <c r="AA17" s="7" t="str">
        <f aca="false">IF(INDEX(MASTER_DATABASE!$A$4:$A$1000,ROW()-3)="","",INDEX(MASTER_DATABASE!$BE$4:$BE$1000,ROW()-3)&amp;"")</f>
        <v>HIDDEN</v>
      </c>
    </row>
    <row r="18" customFormat="false" ht="57.45" hidden="false" customHeight="false" outlineLevel="0" collapsed="false">
      <c r="A18" s="11" t="str">
        <f aca="false">IF(INDEX(MASTER_DATABASE!$A$4:$A$1000,ROW()-3)="","",INDEX(MASTER_DATABASE!$A$4:$A$1000,ROW()-3)&amp;"")</f>
        <v>AAD-015</v>
      </c>
      <c r="B18" s="7" t="str">
        <f aca="false">IF(INDEX(MASTER_DATABASE!$A$4:$A$1000,ROW()-3)="","",INDEX(MASTER_DATABASE!$B$4:$B$1000,ROW()-3)&amp;"")</f>
        <v>Aadhaar Centre</v>
      </c>
      <c r="C18" s="7" t="str">
        <f aca="false">IF(INDEX(MASTER_DATABASE!$A$4:$A$1000,ROW()-3)="","",INDEX(MASTER_DATABASE!$C$4:$C$1000,ROW()-3)&amp;"")</f>
        <v>Aadhaar Services</v>
      </c>
      <c r="D18" s="7" t="str">
        <f aca="false">IF(INDEX(MASTER_DATABASE!$A$4:$A$1000,ROW()-3)="","",INDEX(MASTER_DATABASE!$D$4:$D$1000,ROW()-3)&amp;"")</f>
        <v>Demographic Update</v>
      </c>
      <c r="E18" s="7" t="str">
        <f aca="false">IF(INDEX(MASTER_DATABASE!$A$4:$A$1000,ROW()-3)="","",INDEX(MASTER_DATABASE!$E$4:$E$1000,ROW()-3)&amp;"")</f>
        <v>Aadhaar Combined Demographic Update (Multiple Fields)</v>
      </c>
      <c r="F18" s="7" t="str">
        <f aca="false">IF(INDEX(MASTER_DATABASE!$A$4:$A$1000,ROW()-3)="","",INDEX(MASTER_DATABASE!$F$4:$F$1000,ROW()-3)&amp;"")</f>
        <v>आधार संयुक्त डेमोग्राफिक अपडेट (कई जानकारियाँ)</v>
      </c>
      <c r="G18" s="7" t="str">
        <f aca="false">IF(INDEX(MASTER_DATABASE!$A$4:$A$1000,ROW()-3)="","",INDEX(MASTER_DATABASE!$AL$4:$AL$1000,ROW()-3)&amp;"")</f>
        <v>Aadhaar Centre</v>
      </c>
      <c r="H18" s="7" t="str">
        <f aca="false">IF(INDEX(MASTER_DATABASE!$A$4:$A$1000,ROW()-3)="","",INDEX(MASTER_DATABASE!$AM$4:$AM$1000,ROW()-3)&amp;"")</f>
        <v>Demographic Update</v>
      </c>
      <c r="I18" s="7" t="str">
        <f aca="false">IF(INDEX(MASTER_DATABASE!$A$4:$A$1000,ROW()-3)="","",INDEX(MASTER_DATABASE!$AO$4:$AO$1000,ROW()-3)&amp;"")</f>
        <v>aadhaar-combined-demographic-update-multiple-fields</v>
      </c>
      <c r="J18" s="7" t="str">
        <f aca="false">IF(INDEX(MASTER_DATABASE!$A$4:$A$1000,ROW()-3)="","",INDEX(MASTER_DATABASE!$BD$4:$BD$1000,ROW()-3)&amp;"")</f>
        <v>/services/aadhaar-combined-demographic-update-multiple-fields</v>
      </c>
      <c r="K18" s="7" t="str">
        <f aca="false">IF(INDEX(MASTER_DATABASE!$A$4:$A$1000,ROW()-3)="","",INDEX(MASTER_DATABASE!$AX$4:$AX$1000,ROW()-3)&amp;"")</f>
        <v>Aadhaar Combined Demographic Update (Multiple Fields) Service | Devmobile Stores</v>
      </c>
      <c r="L18" s="7" t="str">
        <f aca="false">IF(INDEX(MASTER_DATABASE!$A$4:$A$1000,ROW()-3)="","",INDEX(MASTER_DATABASE!$AY$4:$AY$1000,ROW()-3)&amp;"")</f>
        <v>Aadhaar Combined Demographic Update (Multiple Fields) (आधार संयुक्त डेमोग्राफिक अपडेट (कई जानकारियाँ)) at Devmobile Stores and Common Service Center &amp; Aadhaar Centre. Check required documents, charges and process before you visit.</v>
      </c>
      <c r="M18" s="7" t="str">
        <f aca="false">IF(INDEX(MASTER_DATABASE!$A$4:$A$1000,ROW()-3)="","",INDEX(MASTER_DATABASE!$AN$4:$AN$1000,ROW()-3)&amp;"")</f>
        <v>Aadhaar Combined Demographic Update (Multiple Fields), Aadhaar Centre, Devmobile Stores, आधार संयुक्त डेमोग्राफिक अपडेट (कई जानकारियाँ), आधार सेंटर, सेवा</v>
      </c>
      <c r="N18" s="7" t="str">
        <f aca="false">IF(INDEX(MASTER_DATABASE!$A$4:$A$1000,ROW()-3)="","",INDEX(MASTER_DATABASE!$AZ$4:$AZ$1000,ROW()-3)&amp;"")</f>
        <v>आधार संयुक्त डेमोग्राफिक अपडेट (कई जानकारियाँ), आधार सेंटर, सेवा</v>
      </c>
      <c r="O18" s="7" t="str">
        <f aca="false">IF(INDEX(MASTER_DATABASE!$A$4:$A$1000,ROW()-3)="","",INDEX(MASTER_DATABASE!$BA$4:$BA$1000,ROW()-3)&amp;"")</f>
        <v>Aadhaar Combined Demographic Update (Multiple Fields), Aadhaar Centre, Devmobile Stores</v>
      </c>
      <c r="P18" s="11" t="str">
        <f aca="false">IF(INDEX(MASTER_DATABASE!$A$4:$A$1000,ROW()-3)="","",INDEX(MASTER_DATABASE!$AP$4:$AP$1000,ROW()-3)&amp;"")</f>
        <v>✏️</v>
      </c>
      <c r="Q18" s="7" t="str">
        <f aca="false">IF(INDEX(MASTER_DATABASE!$A$4:$A$1000,ROW()-3)="","",INDEX(MASTER_DATABASE!$BB$4:$BB$1000,ROW()-3)&amp;"")</f>
        <v/>
      </c>
      <c r="R18" s="11" t="str">
        <f aca="false">IF(INDEX(MASTER_DATABASE!$A$4:$A$1000,ROW()-3)="","",INDEX(MASTER_DATABASE!$BC$4:$BC$1000,ROW()-3)&amp;"")</f>
        <v>🪪</v>
      </c>
      <c r="S18" s="11" t="n">
        <f aca="false">IF(INDEX(MASTER_DATABASE!$A$4:$A$1000,ROW()-3)="","",INDEX(MASTER_DATABASE!$AQ$4:$AQ$1000,ROW()-3))</f>
        <v>150</v>
      </c>
      <c r="T18" s="7" t="str">
        <f aca="false">IF(INDEX(MASTER_DATABASE!$A$4:$A$1000,ROW()-3)="","",INDEX(MASTER_DATABASE!$I$4:$I$1000,ROW()-3)&amp;"")</f>
        <v>Available</v>
      </c>
      <c r="U18" s="7" t="str">
        <f aca="false">IF(INDEX(MASTER_DATABASE!$A$4:$A$1000,ROW()-3)="","",INDEX(MASTER_DATABASE!$J$4:$J$1000,ROW()-3)&amp;"")</f>
        <v>Available</v>
      </c>
      <c r="V18" s="7" t="str">
        <f aca="false">IF(INDEX(MASTER_DATABASE!$A$4:$A$1000,ROW()-3)="","",INDEX(MASTER_DATABASE!$AG$4:$AG$1000,ROW()-3)&amp;"")</f>
        <v>Active</v>
      </c>
      <c r="W18" s="7" t="str">
        <f aca="false">IF(INDEX(MASTER_DATABASE!$A$4:$A$1000,ROW()-3)="","",INDEX(MASTER_DATABASE!$AH$4:$AH$1000,ROW()-3)&amp;"")</f>
        <v>Yes</v>
      </c>
      <c r="X18" s="7" t="str">
        <f aca="false">IF(INDEX(MASTER_DATABASE!$A$4:$A$1000,ROW()-3)="","",INDEX(MASTER_DATABASE!$AI$4:$AI$1000,ROW()-3)&amp;"")</f>
        <v>No</v>
      </c>
      <c r="Y18" s="7" t="str">
        <f aca="false">IF(INDEX(MASTER_DATABASE!$A$4:$A$1000,ROW()-3)="","",INDEX(MASTER_DATABASE!$AJ$4:$AJ$1000,ROW()-3)&amp;"")</f>
        <v>No</v>
      </c>
      <c r="Z18" s="7" t="str">
        <f aca="false">IF(INDEX(MASTER_DATABASE!$A$4:$A$1000,ROW()-3)="","",INDEX(MASTER_DATABASE!$AK$4:$AK$1000,ROW()-3)&amp;"")</f>
        <v>No</v>
      </c>
      <c r="AA18" s="7" t="str">
        <f aca="false">IF(INDEX(MASTER_DATABASE!$A$4:$A$1000,ROW()-3)="","",INDEX(MASTER_DATABASE!$BE$4:$BE$1000,ROW()-3)&amp;"")</f>
        <v>LIVE</v>
      </c>
    </row>
    <row r="19" customFormat="false" ht="46.25" hidden="false" customHeight="false" outlineLevel="0" collapsed="false">
      <c r="A19" s="11" t="str">
        <f aca="false">IF(INDEX(MASTER_DATABASE!$A$4:$A$1000,ROW()-3)="","",INDEX(MASTER_DATABASE!$A$4:$A$1000,ROW()-3)&amp;"")</f>
        <v>AAD-016</v>
      </c>
      <c r="B19" s="7" t="str">
        <f aca="false">IF(INDEX(MASTER_DATABASE!$A$4:$A$1000,ROW()-3)="","",INDEX(MASTER_DATABASE!$B$4:$B$1000,ROW()-3)&amp;"")</f>
        <v>Aadhaar Centre</v>
      </c>
      <c r="C19" s="7" t="str">
        <f aca="false">IF(INDEX(MASTER_DATABASE!$A$4:$A$1000,ROW()-3)="","",INDEX(MASTER_DATABASE!$C$4:$C$1000,ROW()-3)&amp;"")</f>
        <v>Aadhaar Services</v>
      </c>
      <c r="D19" s="7" t="str">
        <f aca="false">IF(INDEX(MASTER_DATABASE!$A$4:$A$1000,ROW()-3)="","",INDEX(MASTER_DATABASE!$D$4:$D$1000,ROW()-3)&amp;"")</f>
        <v>Biometric Update</v>
      </c>
      <c r="E19" s="7" t="str">
        <f aca="false">IF(INDEX(MASTER_DATABASE!$A$4:$A$1000,ROW()-3)="","",INDEX(MASTER_DATABASE!$E$4:$E$1000,ROW()-3)&amp;"")</f>
        <v>Aadhaar Fingerprint Update</v>
      </c>
      <c r="F19" s="7" t="str">
        <f aca="false">IF(INDEX(MASTER_DATABASE!$A$4:$A$1000,ROW()-3)="","",INDEX(MASTER_DATABASE!$F$4:$F$1000,ROW()-3)&amp;"")</f>
        <v>आधार फिंगरप्रिंट अपडेट</v>
      </c>
      <c r="G19" s="7" t="str">
        <f aca="false">IF(INDEX(MASTER_DATABASE!$A$4:$A$1000,ROW()-3)="","",INDEX(MASTER_DATABASE!$AL$4:$AL$1000,ROW()-3)&amp;"")</f>
        <v>Aadhaar Centre</v>
      </c>
      <c r="H19" s="7" t="str">
        <f aca="false">IF(INDEX(MASTER_DATABASE!$A$4:$A$1000,ROW()-3)="","",INDEX(MASTER_DATABASE!$AM$4:$AM$1000,ROW()-3)&amp;"")</f>
        <v>Biometric Update</v>
      </c>
      <c r="I19" s="7" t="str">
        <f aca="false">IF(INDEX(MASTER_DATABASE!$A$4:$A$1000,ROW()-3)="","",INDEX(MASTER_DATABASE!$AO$4:$AO$1000,ROW()-3)&amp;"")</f>
        <v>aadhaar-fingerprint-update</v>
      </c>
      <c r="J19" s="7" t="str">
        <f aca="false">IF(INDEX(MASTER_DATABASE!$A$4:$A$1000,ROW()-3)="","",INDEX(MASTER_DATABASE!$BD$4:$BD$1000,ROW()-3)&amp;"")</f>
        <v>/services/aadhaar-fingerprint-update</v>
      </c>
      <c r="K19" s="7" t="str">
        <f aca="false">IF(INDEX(MASTER_DATABASE!$A$4:$A$1000,ROW()-3)="","",INDEX(MASTER_DATABASE!$AX$4:$AX$1000,ROW()-3)&amp;"")</f>
        <v>Aadhaar Fingerprint Update Service | Devmobile Stores</v>
      </c>
      <c r="L19" s="7" t="str">
        <f aca="false">IF(INDEX(MASTER_DATABASE!$A$4:$A$1000,ROW()-3)="","",INDEX(MASTER_DATABASE!$AY$4:$AY$1000,ROW()-3)&amp;"")</f>
        <v>Aadhaar Fingerprint Update (आधार फिंगरप्रिंट अपडेट) at Devmobile Stores and Common Service Center &amp; Aadhaar Centre. Check required documents, charges and process before you visit.</v>
      </c>
      <c r="M19" s="7" t="str">
        <f aca="false">IF(INDEX(MASTER_DATABASE!$A$4:$A$1000,ROW()-3)="","",INDEX(MASTER_DATABASE!$AN$4:$AN$1000,ROW()-3)&amp;"")</f>
        <v>Aadhaar Fingerprint Update, Aadhaar Centre, Devmobile Stores, आधार फिंगरप्रिंट अपडेट, आधार सेंटर, सेवा</v>
      </c>
      <c r="N19" s="7" t="str">
        <f aca="false">IF(INDEX(MASTER_DATABASE!$A$4:$A$1000,ROW()-3)="","",INDEX(MASTER_DATABASE!$AZ$4:$AZ$1000,ROW()-3)&amp;"")</f>
        <v>आधार फिंगरप्रिंट अपडेट, आधार सेंटर, सेवा</v>
      </c>
      <c r="O19" s="7" t="str">
        <f aca="false">IF(INDEX(MASTER_DATABASE!$A$4:$A$1000,ROW()-3)="","",INDEX(MASTER_DATABASE!$BA$4:$BA$1000,ROW()-3)&amp;"")</f>
        <v>Aadhaar Fingerprint Update, Aadhaar Centre, Devmobile Stores</v>
      </c>
      <c r="P19" s="11" t="str">
        <f aca="false">IF(INDEX(MASTER_DATABASE!$A$4:$A$1000,ROW()-3)="","",INDEX(MASTER_DATABASE!$AP$4:$AP$1000,ROW()-3)&amp;"")</f>
        <v>👆</v>
      </c>
      <c r="Q19" s="7" t="str">
        <f aca="false">IF(INDEX(MASTER_DATABASE!$A$4:$A$1000,ROW()-3)="","",INDEX(MASTER_DATABASE!$BB$4:$BB$1000,ROW()-3)&amp;"")</f>
        <v/>
      </c>
      <c r="R19" s="11" t="str">
        <f aca="false">IF(INDEX(MASTER_DATABASE!$A$4:$A$1000,ROW()-3)="","",INDEX(MASTER_DATABASE!$BC$4:$BC$1000,ROW()-3)&amp;"")</f>
        <v>🪪</v>
      </c>
      <c r="S19" s="11" t="n">
        <f aca="false">IF(INDEX(MASTER_DATABASE!$A$4:$A$1000,ROW()-3)="","",INDEX(MASTER_DATABASE!$AQ$4:$AQ$1000,ROW()-3))</f>
        <v>160</v>
      </c>
      <c r="T19" s="7" t="str">
        <f aca="false">IF(INDEX(MASTER_DATABASE!$A$4:$A$1000,ROW()-3)="","",INDEX(MASTER_DATABASE!$I$4:$I$1000,ROW()-3)&amp;"")</f>
        <v>Available</v>
      </c>
      <c r="U19" s="7" t="str">
        <f aca="false">IF(INDEX(MASTER_DATABASE!$A$4:$A$1000,ROW()-3)="","",INDEX(MASTER_DATABASE!$J$4:$J$1000,ROW()-3)&amp;"")</f>
        <v>Available</v>
      </c>
      <c r="V19" s="7" t="str">
        <f aca="false">IF(INDEX(MASTER_DATABASE!$A$4:$A$1000,ROW()-3)="","",INDEX(MASTER_DATABASE!$AG$4:$AG$1000,ROW()-3)&amp;"")</f>
        <v>Active</v>
      </c>
      <c r="W19" s="7" t="str">
        <f aca="false">IF(INDEX(MASTER_DATABASE!$A$4:$A$1000,ROW()-3)="","",INDEX(MASTER_DATABASE!$AH$4:$AH$1000,ROW()-3)&amp;"")</f>
        <v>Yes</v>
      </c>
      <c r="X19" s="7" t="str">
        <f aca="false">IF(INDEX(MASTER_DATABASE!$A$4:$A$1000,ROW()-3)="","",INDEX(MASTER_DATABASE!$AI$4:$AI$1000,ROW()-3)&amp;"")</f>
        <v>No</v>
      </c>
      <c r="Y19" s="7" t="str">
        <f aca="false">IF(INDEX(MASTER_DATABASE!$A$4:$A$1000,ROW()-3)="","",INDEX(MASTER_DATABASE!$AJ$4:$AJ$1000,ROW()-3)&amp;"")</f>
        <v>No</v>
      </c>
      <c r="Z19" s="7" t="str">
        <f aca="false">IF(INDEX(MASTER_DATABASE!$A$4:$A$1000,ROW()-3)="","",INDEX(MASTER_DATABASE!$AK$4:$AK$1000,ROW()-3)&amp;"")</f>
        <v>No</v>
      </c>
      <c r="AA19" s="7" t="str">
        <f aca="false">IF(INDEX(MASTER_DATABASE!$A$4:$A$1000,ROW()-3)="","",INDEX(MASTER_DATABASE!$BE$4:$BE$1000,ROW()-3)&amp;"")</f>
        <v>LIVE</v>
      </c>
    </row>
    <row r="20" customFormat="false" ht="46.25" hidden="false" customHeight="false" outlineLevel="0" collapsed="false">
      <c r="A20" s="11" t="str">
        <f aca="false">IF(INDEX(MASTER_DATABASE!$A$4:$A$1000,ROW()-3)="","",INDEX(MASTER_DATABASE!$A$4:$A$1000,ROW()-3)&amp;"")</f>
        <v>AAD-017</v>
      </c>
      <c r="B20" s="7" t="str">
        <f aca="false">IF(INDEX(MASTER_DATABASE!$A$4:$A$1000,ROW()-3)="","",INDEX(MASTER_DATABASE!$B$4:$B$1000,ROW()-3)&amp;"")</f>
        <v>Aadhaar Centre</v>
      </c>
      <c r="C20" s="7" t="str">
        <f aca="false">IF(INDEX(MASTER_DATABASE!$A$4:$A$1000,ROW()-3)="","",INDEX(MASTER_DATABASE!$C$4:$C$1000,ROW()-3)&amp;"")</f>
        <v>Aadhaar Services</v>
      </c>
      <c r="D20" s="7" t="str">
        <f aca="false">IF(INDEX(MASTER_DATABASE!$A$4:$A$1000,ROW()-3)="","",INDEX(MASTER_DATABASE!$D$4:$D$1000,ROW()-3)&amp;"")</f>
        <v>Biometric Update</v>
      </c>
      <c r="E20" s="7" t="str">
        <f aca="false">IF(INDEX(MASTER_DATABASE!$A$4:$A$1000,ROW()-3)="","",INDEX(MASTER_DATABASE!$E$4:$E$1000,ROW()-3)&amp;"")</f>
        <v>Aadhaar Iris Update</v>
      </c>
      <c r="F20" s="7" t="str">
        <f aca="false">IF(INDEX(MASTER_DATABASE!$A$4:$A$1000,ROW()-3)="","",INDEX(MASTER_DATABASE!$F$4:$F$1000,ROW()-3)&amp;"")</f>
        <v>आधार आइरिस अपडेट</v>
      </c>
      <c r="G20" s="7" t="str">
        <f aca="false">IF(INDEX(MASTER_DATABASE!$A$4:$A$1000,ROW()-3)="","",INDEX(MASTER_DATABASE!$AL$4:$AL$1000,ROW()-3)&amp;"")</f>
        <v>Aadhaar Centre</v>
      </c>
      <c r="H20" s="7" t="str">
        <f aca="false">IF(INDEX(MASTER_DATABASE!$A$4:$A$1000,ROW()-3)="","",INDEX(MASTER_DATABASE!$AM$4:$AM$1000,ROW()-3)&amp;"")</f>
        <v>Biometric Update</v>
      </c>
      <c r="I20" s="7" t="str">
        <f aca="false">IF(INDEX(MASTER_DATABASE!$A$4:$A$1000,ROW()-3)="","",INDEX(MASTER_DATABASE!$AO$4:$AO$1000,ROW()-3)&amp;"")</f>
        <v>aadhaar-iris-update</v>
      </c>
      <c r="J20" s="7" t="str">
        <f aca="false">IF(INDEX(MASTER_DATABASE!$A$4:$A$1000,ROW()-3)="","",INDEX(MASTER_DATABASE!$BD$4:$BD$1000,ROW()-3)&amp;"")</f>
        <v>/services/aadhaar-iris-update</v>
      </c>
      <c r="K20" s="7" t="str">
        <f aca="false">IF(INDEX(MASTER_DATABASE!$A$4:$A$1000,ROW()-3)="","",INDEX(MASTER_DATABASE!$AX$4:$AX$1000,ROW()-3)&amp;"")</f>
        <v>Aadhaar Iris Update Service | Devmobile Stores</v>
      </c>
      <c r="L20" s="7" t="str">
        <f aca="false">IF(INDEX(MASTER_DATABASE!$A$4:$A$1000,ROW()-3)="","",INDEX(MASTER_DATABASE!$AY$4:$AY$1000,ROW()-3)&amp;"")</f>
        <v>Aadhaar Iris Update (आधार आइरिस अपडेट) at Devmobile Stores and Common Service Center &amp; Aadhaar Centre. Check required documents, charges and process before you visit.</v>
      </c>
      <c r="M20" s="7" t="str">
        <f aca="false">IF(INDEX(MASTER_DATABASE!$A$4:$A$1000,ROW()-3)="","",INDEX(MASTER_DATABASE!$AN$4:$AN$1000,ROW()-3)&amp;"")</f>
        <v>Aadhaar Iris Update, Aadhaar Centre, Devmobile Stores, आधार आइरिस अपडेट, आधार सेंटर, सेवा</v>
      </c>
      <c r="N20" s="7" t="str">
        <f aca="false">IF(INDEX(MASTER_DATABASE!$A$4:$A$1000,ROW()-3)="","",INDEX(MASTER_DATABASE!$AZ$4:$AZ$1000,ROW()-3)&amp;"")</f>
        <v>आधार आइरिस अपडेट, आधार सेंटर, सेवा</v>
      </c>
      <c r="O20" s="7" t="str">
        <f aca="false">IF(INDEX(MASTER_DATABASE!$A$4:$A$1000,ROW()-3)="","",INDEX(MASTER_DATABASE!$BA$4:$BA$1000,ROW()-3)&amp;"")</f>
        <v>Aadhaar Iris Update, Aadhaar Centre, Devmobile Stores</v>
      </c>
      <c r="P20" s="11" t="str">
        <f aca="false">IF(INDEX(MASTER_DATABASE!$A$4:$A$1000,ROW()-3)="","",INDEX(MASTER_DATABASE!$AP$4:$AP$1000,ROW()-3)&amp;"")</f>
        <v>👆</v>
      </c>
      <c r="Q20" s="7" t="str">
        <f aca="false">IF(INDEX(MASTER_DATABASE!$A$4:$A$1000,ROW()-3)="","",INDEX(MASTER_DATABASE!$BB$4:$BB$1000,ROW()-3)&amp;"")</f>
        <v/>
      </c>
      <c r="R20" s="11" t="str">
        <f aca="false">IF(INDEX(MASTER_DATABASE!$A$4:$A$1000,ROW()-3)="","",INDEX(MASTER_DATABASE!$BC$4:$BC$1000,ROW()-3)&amp;"")</f>
        <v>🪪</v>
      </c>
      <c r="S20" s="11" t="n">
        <f aca="false">IF(INDEX(MASTER_DATABASE!$A$4:$A$1000,ROW()-3)="","",INDEX(MASTER_DATABASE!$AQ$4:$AQ$1000,ROW()-3))</f>
        <v>170</v>
      </c>
      <c r="T20" s="7" t="str">
        <f aca="false">IF(INDEX(MASTER_DATABASE!$A$4:$A$1000,ROW()-3)="","",INDEX(MASTER_DATABASE!$I$4:$I$1000,ROW()-3)&amp;"")</f>
        <v>Available</v>
      </c>
      <c r="U20" s="7" t="str">
        <f aca="false">IF(INDEX(MASTER_DATABASE!$A$4:$A$1000,ROW()-3)="","",INDEX(MASTER_DATABASE!$J$4:$J$1000,ROW()-3)&amp;"")</f>
        <v>Available</v>
      </c>
      <c r="V20" s="7" t="str">
        <f aca="false">IF(INDEX(MASTER_DATABASE!$A$4:$A$1000,ROW()-3)="","",INDEX(MASTER_DATABASE!$AG$4:$AG$1000,ROW()-3)&amp;"")</f>
        <v>Active</v>
      </c>
      <c r="W20" s="7" t="str">
        <f aca="false">IF(INDEX(MASTER_DATABASE!$A$4:$A$1000,ROW()-3)="","",INDEX(MASTER_DATABASE!$AH$4:$AH$1000,ROW()-3)&amp;"")</f>
        <v>Yes</v>
      </c>
      <c r="X20" s="7" t="str">
        <f aca="false">IF(INDEX(MASTER_DATABASE!$A$4:$A$1000,ROW()-3)="","",INDEX(MASTER_DATABASE!$AI$4:$AI$1000,ROW()-3)&amp;"")</f>
        <v>No</v>
      </c>
      <c r="Y20" s="7" t="str">
        <f aca="false">IF(INDEX(MASTER_DATABASE!$A$4:$A$1000,ROW()-3)="","",INDEX(MASTER_DATABASE!$AJ$4:$AJ$1000,ROW()-3)&amp;"")</f>
        <v>No</v>
      </c>
      <c r="Z20" s="7" t="str">
        <f aca="false">IF(INDEX(MASTER_DATABASE!$A$4:$A$1000,ROW()-3)="","",INDEX(MASTER_DATABASE!$AK$4:$AK$1000,ROW()-3)&amp;"")</f>
        <v>No</v>
      </c>
      <c r="AA20" s="7" t="str">
        <f aca="false">IF(INDEX(MASTER_DATABASE!$A$4:$A$1000,ROW()-3)="","",INDEX(MASTER_DATABASE!$BE$4:$BE$1000,ROW()-3)&amp;"")</f>
        <v>LIVE</v>
      </c>
    </row>
    <row r="21" customFormat="false" ht="46.25" hidden="false" customHeight="false" outlineLevel="0" collapsed="false">
      <c r="A21" s="11" t="str">
        <f aca="false">IF(INDEX(MASTER_DATABASE!$A$4:$A$1000,ROW()-3)="","",INDEX(MASTER_DATABASE!$A$4:$A$1000,ROW()-3)&amp;"")</f>
        <v>AAD-018</v>
      </c>
      <c r="B21" s="7" t="str">
        <f aca="false">IF(INDEX(MASTER_DATABASE!$A$4:$A$1000,ROW()-3)="","",INDEX(MASTER_DATABASE!$B$4:$B$1000,ROW()-3)&amp;"")</f>
        <v>Aadhaar Centre</v>
      </c>
      <c r="C21" s="7" t="str">
        <f aca="false">IF(INDEX(MASTER_DATABASE!$A$4:$A$1000,ROW()-3)="","",INDEX(MASTER_DATABASE!$C$4:$C$1000,ROW()-3)&amp;"")</f>
        <v>Aadhaar Services</v>
      </c>
      <c r="D21" s="7" t="str">
        <f aca="false">IF(INDEX(MASTER_DATABASE!$A$4:$A$1000,ROW()-3)="","",INDEX(MASTER_DATABASE!$D$4:$D$1000,ROW()-3)&amp;"")</f>
        <v>Biometric Update</v>
      </c>
      <c r="E21" s="7" t="str">
        <f aca="false">IF(INDEX(MASTER_DATABASE!$A$4:$A$1000,ROW()-3)="","",INDEX(MASTER_DATABASE!$E$4:$E$1000,ROW()-3)&amp;"")</f>
        <v>Aadhaar Photograph Update</v>
      </c>
      <c r="F21" s="7" t="str">
        <f aca="false">IF(INDEX(MASTER_DATABASE!$A$4:$A$1000,ROW()-3)="","",INDEX(MASTER_DATABASE!$F$4:$F$1000,ROW()-3)&amp;"")</f>
        <v>आधार फोटो अपडेट</v>
      </c>
      <c r="G21" s="7" t="str">
        <f aca="false">IF(INDEX(MASTER_DATABASE!$A$4:$A$1000,ROW()-3)="","",INDEX(MASTER_DATABASE!$AL$4:$AL$1000,ROW()-3)&amp;"")</f>
        <v>Aadhaar Centre</v>
      </c>
      <c r="H21" s="7" t="str">
        <f aca="false">IF(INDEX(MASTER_DATABASE!$A$4:$A$1000,ROW()-3)="","",INDEX(MASTER_DATABASE!$AM$4:$AM$1000,ROW()-3)&amp;"")</f>
        <v>Biometric Update</v>
      </c>
      <c r="I21" s="7" t="str">
        <f aca="false">IF(INDEX(MASTER_DATABASE!$A$4:$A$1000,ROW()-3)="","",INDEX(MASTER_DATABASE!$AO$4:$AO$1000,ROW()-3)&amp;"")</f>
        <v>aadhaar-photograph-update</v>
      </c>
      <c r="J21" s="7" t="str">
        <f aca="false">IF(INDEX(MASTER_DATABASE!$A$4:$A$1000,ROW()-3)="","",INDEX(MASTER_DATABASE!$BD$4:$BD$1000,ROW()-3)&amp;"")</f>
        <v>/services/aadhaar-photograph-update</v>
      </c>
      <c r="K21" s="7" t="str">
        <f aca="false">IF(INDEX(MASTER_DATABASE!$A$4:$A$1000,ROW()-3)="","",INDEX(MASTER_DATABASE!$AX$4:$AX$1000,ROW()-3)&amp;"")</f>
        <v>Aadhaar Photograph Update Service | Devmobile Stores</v>
      </c>
      <c r="L21" s="7" t="str">
        <f aca="false">IF(INDEX(MASTER_DATABASE!$A$4:$A$1000,ROW()-3)="","",INDEX(MASTER_DATABASE!$AY$4:$AY$1000,ROW()-3)&amp;"")</f>
        <v>Aadhaar Photograph Update (आधार फोटो अपडेट) at Devmobile Stores and Common Service Center &amp; Aadhaar Centre. Check required documents, charges and process before you visit.</v>
      </c>
      <c r="M21" s="7" t="str">
        <f aca="false">IF(INDEX(MASTER_DATABASE!$A$4:$A$1000,ROW()-3)="","",INDEX(MASTER_DATABASE!$AN$4:$AN$1000,ROW()-3)&amp;"")</f>
        <v>Aadhaar Photograph Update, Aadhaar Centre, Devmobile Stores, आधार फोटो अपडेट, आधार सेंटर, सेवा</v>
      </c>
      <c r="N21" s="7" t="str">
        <f aca="false">IF(INDEX(MASTER_DATABASE!$A$4:$A$1000,ROW()-3)="","",INDEX(MASTER_DATABASE!$AZ$4:$AZ$1000,ROW()-3)&amp;"")</f>
        <v>आधार फोटो अपडेट, आधार सेंटर, सेवा</v>
      </c>
      <c r="O21" s="7" t="str">
        <f aca="false">IF(INDEX(MASTER_DATABASE!$A$4:$A$1000,ROW()-3)="","",INDEX(MASTER_DATABASE!$BA$4:$BA$1000,ROW()-3)&amp;"")</f>
        <v>Aadhaar Photograph Update, Aadhaar Centre, Devmobile Stores</v>
      </c>
      <c r="P21" s="11" t="str">
        <f aca="false">IF(INDEX(MASTER_DATABASE!$A$4:$A$1000,ROW()-3)="","",INDEX(MASTER_DATABASE!$AP$4:$AP$1000,ROW()-3)&amp;"")</f>
        <v>👆</v>
      </c>
      <c r="Q21" s="7" t="str">
        <f aca="false">IF(INDEX(MASTER_DATABASE!$A$4:$A$1000,ROW()-3)="","",INDEX(MASTER_DATABASE!$BB$4:$BB$1000,ROW()-3)&amp;"")</f>
        <v/>
      </c>
      <c r="R21" s="11" t="str">
        <f aca="false">IF(INDEX(MASTER_DATABASE!$A$4:$A$1000,ROW()-3)="","",INDEX(MASTER_DATABASE!$BC$4:$BC$1000,ROW()-3)&amp;"")</f>
        <v>🪪</v>
      </c>
      <c r="S21" s="11" t="n">
        <f aca="false">IF(INDEX(MASTER_DATABASE!$A$4:$A$1000,ROW()-3)="","",INDEX(MASTER_DATABASE!$AQ$4:$AQ$1000,ROW()-3))</f>
        <v>180</v>
      </c>
      <c r="T21" s="7" t="str">
        <f aca="false">IF(INDEX(MASTER_DATABASE!$A$4:$A$1000,ROW()-3)="","",INDEX(MASTER_DATABASE!$I$4:$I$1000,ROW()-3)&amp;"")</f>
        <v>Available</v>
      </c>
      <c r="U21" s="7" t="str">
        <f aca="false">IF(INDEX(MASTER_DATABASE!$A$4:$A$1000,ROW()-3)="","",INDEX(MASTER_DATABASE!$J$4:$J$1000,ROW()-3)&amp;"")</f>
        <v>Available</v>
      </c>
      <c r="V21" s="7" t="str">
        <f aca="false">IF(INDEX(MASTER_DATABASE!$A$4:$A$1000,ROW()-3)="","",INDEX(MASTER_DATABASE!$AG$4:$AG$1000,ROW()-3)&amp;"")</f>
        <v>Active</v>
      </c>
      <c r="W21" s="7" t="str">
        <f aca="false">IF(INDEX(MASTER_DATABASE!$A$4:$A$1000,ROW()-3)="","",INDEX(MASTER_DATABASE!$AH$4:$AH$1000,ROW()-3)&amp;"")</f>
        <v>Yes</v>
      </c>
      <c r="X21" s="7" t="str">
        <f aca="false">IF(INDEX(MASTER_DATABASE!$A$4:$A$1000,ROW()-3)="","",INDEX(MASTER_DATABASE!$AI$4:$AI$1000,ROW()-3)&amp;"")</f>
        <v>No</v>
      </c>
      <c r="Y21" s="7" t="str">
        <f aca="false">IF(INDEX(MASTER_DATABASE!$A$4:$A$1000,ROW()-3)="","",INDEX(MASTER_DATABASE!$AJ$4:$AJ$1000,ROW()-3)&amp;"")</f>
        <v>No</v>
      </c>
      <c r="Z21" s="7" t="str">
        <f aca="false">IF(INDEX(MASTER_DATABASE!$A$4:$A$1000,ROW()-3)="","",INDEX(MASTER_DATABASE!$AK$4:$AK$1000,ROW()-3)&amp;"")</f>
        <v>No</v>
      </c>
      <c r="AA21" s="7" t="str">
        <f aca="false">IF(INDEX(MASTER_DATABASE!$A$4:$A$1000,ROW()-3)="","",INDEX(MASTER_DATABASE!$BE$4:$BE$1000,ROW()-3)&amp;"")</f>
        <v>LIVE</v>
      </c>
    </row>
    <row r="22" customFormat="false" ht="57.45" hidden="false" customHeight="false" outlineLevel="0" collapsed="false">
      <c r="A22" s="11" t="str">
        <f aca="false">IF(INDEX(MASTER_DATABASE!$A$4:$A$1000,ROW()-3)="","",INDEX(MASTER_DATABASE!$A$4:$A$1000,ROW()-3)&amp;"")</f>
        <v>AAD-019</v>
      </c>
      <c r="B22" s="7" t="str">
        <f aca="false">IF(INDEX(MASTER_DATABASE!$A$4:$A$1000,ROW()-3)="","",INDEX(MASTER_DATABASE!$B$4:$B$1000,ROW()-3)&amp;"")</f>
        <v>Aadhaar Centre</v>
      </c>
      <c r="C22" s="7" t="str">
        <f aca="false">IF(INDEX(MASTER_DATABASE!$A$4:$A$1000,ROW()-3)="","",INDEX(MASTER_DATABASE!$C$4:$C$1000,ROW()-3)&amp;"")</f>
        <v>Aadhaar Services</v>
      </c>
      <c r="D22" s="7" t="str">
        <f aca="false">IF(INDEX(MASTER_DATABASE!$A$4:$A$1000,ROW()-3)="","",INDEX(MASTER_DATABASE!$D$4:$D$1000,ROW()-3)&amp;"")</f>
        <v>Biometric Update</v>
      </c>
      <c r="E22" s="7" t="str">
        <f aca="false">IF(INDEX(MASTER_DATABASE!$A$4:$A$1000,ROW()-3)="","",INDEX(MASTER_DATABASE!$E$4:$E$1000,ROW()-3)&amp;"")</f>
        <v>Aadhaar Biometric Update – Combined (Finger + Iris + Photo)</v>
      </c>
      <c r="F22" s="7" t="str">
        <f aca="false">IF(INDEX(MASTER_DATABASE!$A$4:$A$1000,ROW()-3)="","",INDEX(MASTER_DATABASE!$F$4:$F$1000,ROW()-3)&amp;"")</f>
        <v>आधार बायोमेट्रिक अपडेट – संयुक्त (उँगली + आँख + फोटो)</v>
      </c>
      <c r="G22" s="7" t="str">
        <f aca="false">IF(INDEX(MASTER_DATABASE!$A$4:$A$1000,ROW()-3)="","",INDEX(MASTER_DATABASE!$AL$4:$AL$1000,ROW()-3)&amp;"")</f>
        <v>Aadhaar Centre</v>
      </c>
      <c r="H22" s="7" t="str">
        <f aca="false">IF(INDEX(MASTER_DATABASE!$A$4:$A$1000,ROW()-3)="","",INDEX(MASTER_DATABASE!$AM$4:$AM$1000,ROW()-3)&amp;"")</f>
        <v>Biometric Update</v>
      </c>
      <c r="I22" s="7" t="str">
        <f aca="false">IF(INDEX(MASTER_DATABASE!$A$4:$A$1000,ROW()-3)="","",INDEX(MASTER_DATABASE!$AO$4:$AO$1000,ROW()-3)&amp;"")</f>
        <v>aadhaar-biometric-update-combined-finger-iris-photo</v>
      </c>
      <c r="J22" s="7" t="str">
        <f aca="false">IF(INDEX(MASTER_DATABASE!$A$4:$A$1000,ROW()-3)="","",INDEX(MASTER_DATABASE!$BD$4:$BD$1000,ROW()-3)&amp;"")</f>
        <v>/services/aadhaar-biometric-update-combined-finger-iris-photo</v>
      </c>
      <c r="K22" s="7" t="str">
        <f aca="false">IF(INDEX(MASTER_DATABASE!$A$4:$A$1000,ROW()-3)="","",INDEX(MASTER_DATABASE!$AX$4:$AX$1000,ROW()-3)&amp;"")</f>
        <v>Aadhaar Biometric Update – Combined (Finger + Iris + Photo) Service | Devmobile Stores</v>
      </c>
      <c r="L22" s="7" t="str">
        <f aca="false">IF(INDEX(MASTER_DATABASE!$A$4:$A$1000,ROW()-3)="","",INDEX(MASTER_DATABASE!$AY$4:$AY$1000,ROW()-3)&amp;"")</f>
        <v>Aadhaar Biometric Update – Combined (Finger + Iris + Photo) (आधार बायोमेट्रिक अपडेट – संयुक्त (उँगली + आँख + फोटो)) at Devmobile Stores and Common Service Center &amp; Aadhaar Centre. Check required documents, charges and process before you visit.</v>
      </c>
      <c r="M22" s="7" t="str">
        <f aca="false">IF(INDEX(MASTER_DATABASE!$A$4:$A$1000,ROW()-3)="","",INDEX(MASTER_DATABASE!$AN$4:$AN$1000,ROW()-3)&amp;"")</f>
        <v>Aadhaar Biometric Update – Combined (Finger + Iris + Photo), Aadhaar Centre, Devmobile Stores, आधार बायोमेट्रिक अपडेट – संयुक्त (उँगली + आँख + फोटो), आधार सेंटर, सेवा</v>
      </c>
      <c r="N22" s="7" t="str">
        <f aca="false">IF(INDEX(MASTER_DATABASE!$A$4:$A$1000,ROW()-3)="","",INDEX(MASTER_DATABASE!$AZ$4:$AZ$1000,ROW()-3)&amp;"")</f>
        <v>आधार बायोमेट्रिक अपडेट – संयुक्त (उँगली + आँख + फोटो), आधार सेंटर, सेवा</v>
      </c>
      <c r="O22" s="7" t="str">
        <f aca="false">IF(INDEX(MASTER_DATABASE!$A$4:$A$1000,ROW()-3)="","",INDEX(MASTER_DATABASE!$BA$4:$BA$1000,ROW()-3)&amp;"")</f>
        <v>Aadhaar Biometric Update – Combined (Finger + Iris + Photo), Aadhaar Centre, Devmobile Stores</v>
      </c>
      <c r="P22" s="11" t="str">
        <f aca="false">IF(INDEX(MASTER_DATABASE!$A$4:$A$1000,ROW()-3)="","",INDEX(MASTER_DATABASE!$AP$4:$AP$1000,ROW()-3)&amp;"")</f>
        <v>👆</v>
      </c>
      <c r="Q22" s="7" t="str">
        <f aca="false">IF(INDEX(MASTER_DATABASE!$A$4:$A$1000,ROW()-3)="","",INDEX(MASTER_DATABASE!$BB$4:$BB$1000,ROW()-3)&amp;"")</f>
        <v/>
      </c>
      <c r="R22" s="11" t="str">
        <f aca="false">IF(INDEX(MASTER_DATABASE!$A$4:$A$1000,ROW()-3)="","",INDEX(MASTER_DATABASE!$BC$4:$BC$1000,ROW()-3)&amp;"")</f>
        <v>🪪</v>
      </c>
      <c r="S22" s="11" t="n">
        <f aca="false">IF(INDEX(MASTER_DATABASE!$A$4:$A$1000,ROW()-3)="","",INDEX(MASTER_DATABASE!$AQ$4:$AQ$1000,ROW()-3))</f>
        <v>190</v>
      </c>
      <c r="T22" s="7" t="str">
        <f aca="false">IF(INDEX(MASTER_DATABASE!$A$4:$A$1000,ROW()-3)="","",INDEX(MASTER_DATABASE!$I$4:$I$1000,ROW()-3)&amp;"")</f>
        <v>Available</v>
      </c>
      <c r="U22" s="7" t="str">
        <f aca="false">IF(INDEX(MASTER_DATABASE!$A$4:$A$1000,ROW()-3)="","",INDEX(MASTER_DATABASE!$J$4:$J$1000,ROW()-3)&amp;"")</f>
        <v>Available</v>
      </c>
      <c r="V22" s="7" t="str">
        <f aca="false">IF(INDEX(MASTER_DATABASE!$A$4:$A$1000,ROW()-3)="","",INDEX(MASTER_DATABASE!$AG$4:$AG$1000,ROW()-3)&amp;"")</f>
        <v>Active</v>
      </c>
      <c r="W22" s="7" t="str">
        <f aca="false">IF(INDEX(MASTER_DATABASE!$A$4:$A$1000,ROW()-3)="","",INDEX(MASTER_DATABASE!$AH$4:$AH$1000,ROW()-3)&amp;"")</f>
        <v>Yes</v>
      </c>
      <c r="X22" s="7" t="str">
        <f aca="false">IF(INDEX(MASTER_DATABASE!$A$4:$A$1000,ROW()-3)="","",INDEX(MASTER_DATABASE!$AI$4:$AI$1000,ROW()-3)&amp;"")</f>
        <v>No</v>
      </c>
      <c r="Y22" s="7" t="str">
        <f aca="false">IF(INDEX(MASTER_DATABASE!$A$4:$A$1000,ROW()-3)="","",INDEX(MASTER_DATABASE!$AJ$4:$AJ$1000,ROW()-3)&amp;"")</f>
        <v>No</v>
      </c>
      <c r="Z22" s="7" t="str">
        <f aca="false">IF(INDEX(MASTER_DATABASE!$A$4:$A$1000,ROW()-3)="","",INDEX(MASTER_DATABASE!$AK$4:$AK$1000,ROW()-3)&amp;"")</f>
        <v>No</v>
      </c>
      <c r="AA22" s="7" t="str">
        <f aca="false">IF(INDEX(MASTER_DATABASE!$A$4:$A$1000,ROW()-3)="","",INDEX(MASTER_DATABASE!$BE$4:$BE$1000,ROW()-3)&amp;"")</f>
        <v>LIVE</v>
      </c>
    </row>
    <row r="23" customFormat="false" ht="57.45" hidden="false" customHeight="false" outlineLevel="0" collapsed="false">
      <c r="A23" s="11" t="str">
        <f aca="false">IF(INDEX(MASTER_DATABASE!$A$4:$A$1000,ROW()-3)="","",INDEX(MASTER_DATABASE!$A$4:$A$1000,ROW()-3)&amp;"")</f>
        <v>AAD-020</v>
      </c>
      <c r="B23" s="7" t="str">
        <f aca="false">IF(INDEX(MASTER_DATABASE!$A$4:$A$1000,ROW()-3)="","",INDEX(MASTER_DATABASE!$B$4:$B$1000,ROW()-3)&amp;"")</f>
        <v>Aadhaar Centre</v>
      </c>
      <c r="C23" s="7" t="str">
        <f aca="false">IF(INDEX(MASTER_DATABASE!$A$4:$A$1000,ROW()-3)="","",INDEX(MASTER_DATABASE!$C$4:$C$1000,ROW()-3)&amp;"")</f>
        <v>Aadhaar Services</v>
      </c>
      <c r="D23" s="7" t="str">
        <f aca="false">IF(INDEX(MASTER_DATABASE!$A$4:$A$1000,ROW()-3)="","",INDEX(MASTER_DATABASE!$D$4:$D$1000,ROW()-3)&amp;"")</f>
        <v>Biometric Update</v>
      </c>
      <c r="E23" s="7" t="str">
        <f aca="false">IF(INDEX(MASTER_DATABASE!$A$4:$A$1000,ROW()-3)="","",INDEX(MASTER_DATABASE!$E$4:$E$1000,ROW()-3)&amp;"")</f>
        <v>Mandatory Biometric Update – Child at Age 5</v>
      </c>
      <c r="F23" s="7" t="str">
        <f aca="false">IF(INDEX(MASTER_DATABASE!$A$4:$A$1000,ROW()-3)="","",INDEX(MASTER_DATABASE!$F$4:$F$1000,ROW()-3)&amp;"")</f>
        <v>अनिवार्य बायोमेट्रिक अपडेट – बच्चा (5 वर्ष)</v>
      </c>
      <c r="G23" s="7" t="str">
        <f aca="false">IF(INDEX(MASTER_DATABASE!$A$4:$A$1000,ROW()-3)="","",INDEX(MASTER_DATABASE!$AL$4:$AL$1000,ROW()-3)&amp;"")</f>
        <v>Aadhaar Centre</v>
      </c>
      <c r="H23" s="7" t="str">
        <f aca="false">IF(INDEX(MASTER_DATABASE!$A$4:$A$1000,ROW()-3)="","",INDEX(MASTER_DATABASE!$AM$4:$AM$1000,ROW()-3)&amp;"")</f>
        <v>Biometric Update</v>
      </c>
      <c r="I23" s="7" t="str">
        <f aca="false">IF(INDEX(MASTER_DATABASE!$A$4:$A$1000,ROW()-3)="","",INDEX(MASTER_DATABASE!$AO$4:$AO$1000,ROW()-3)&amp;"")</f>
        <v>mandatory-biometric-update-child-at-age-5</v>
      </c>
      <c r="J23" s="7" t="str">
        <f aca="false">IF(INDEX(MASTER_DATABASE!$A$4:$A$1000,ROW()-3)="","",INDEX(MASTER_DATABASE!$BD$4:$BD$1000,ROW()-3)&amp;"")</f>
        <v>/services/mandatory-biometric-update-child-at-age-5</v>
      </c>
      <c r="K23" s="7" t="str">
        <f aca="false">IF(INDEX(MASTER_DATABASE!$A$4:$A$1000,ROW()-3)="","",INDEX(MASTER_DATABASE!$AX$4:$AX$1000,ROW()-3)&amp;"")</f>
        <v>Mandatory Biometric Update – Child at Age 5 Service | Devmobile Stores</v>
      </c>
      <c r="L23" s="7" t="str">
        <f aca="false">IF(INDEX(MASTER_DATABASE!$A$4:$A$1000,ROW()-3)="","",INDEX(MASTER_DATABASE!$AY$4:$AY$1000,ROW()-3)&amp;"")</f>
        <v>Mandatory Biometric Update – Child at Age 5 (अनिवार्य बायोमेट्रिक अपडेट – बच्चा (5 वर्ष)) at Devmobile Stores and Common Service Center &amp; Aadhaar Centre. Check required documents, charges and process before you visit.</v>
      </c>
      <c r="M23" s="7" t="str">
        <f aca="false">IF(INDEX(MASTER_DATABASE!$A$4:$A$1000,ROW()-3)="","",INDEX(MASTER_DATABASE!$AN$4:$AN$1000,ROW()-3)&amp;"")</f>
        <v>Mandatory Biometric Update – Child at Age 5, Aadhaar Centre, Devmobile Stores, अनिवार्य बायोमेट्रिक अपडेट – बच्चा (5 वर्ष), आधार सेंटर, सेवा</v>
      </c>
      <c r="N23" s="7" t="str">
        <f aca="false">IF(INDEX(MASTER_DATABASE!$A$4:$A$1000,ROW()-3)="","",INDEX(MASTER_DATABASE!$AZ$4:$AZ$1000,ROW()-3)&amp;"")</f>
        <v>अनिवार्य बायोमेट्रिक अपडेट – बच्चा (5 वर्ष), आधार सेंटर, सेवा</v>
      </c>
      <c r="O23" s="7" t="str">
        <f aca="false">IF(INDEX(MASTER_DATABASE!$A$4:$A$1000,ROW()-3)="","",INDEX(MASTER_DATABASE!$BA$4:$BA$1000,ROW()-3)&amp;"")</f>
        <v>Mandatory Biometric Update – Child at Age 5, Aadhaar Centre, Devmobile Stores</v>
      </c>
      <c r="P23" s="11" t="str">
        <f aca="false">IF(INDEX(MASTER_DATABASE!$A$4:$A$1000,ROW()-3)="","",INDEX(MASTER_DATABASE!$AP$4:$AP$1000,ROW()-3)&amp;"")</f>
        <v>👆</v>
      </c>
      <c r="Q23" s="7" t="str">
        <f aca="false">IF(INDEX(MASTER_DATABASE!$A$4:$A$1000,ROW()-3)="","",INDEX(MASTER_DATABASE!$BB$4:$BB$1000,ROW()-3)&amp;"")</f>
        <v/>
      </c>
      <c r="R23" s="11" t="str">
        <f aca="false">IF(INDEX(MASTER_DATABASE!$A$4:$A$1000,ROW()-3)="","",INDEX(MASTER_DATABASE!$BC$4:$BC$1000,ROW()-3)&amp;"")</f>
        <v>🪪</v>
      </c>
      <c r="S23" s="11" t="n">
        <f aca="false">IF(INDEX(MASTER_DATABASE!$A$4:$A$1000,ROW()-3)="","",INDEX(MASTER_DATABASE!$AQ$4:$AQ$1000,ROW()-3))</f>
        <v>200</v>
      </c>
      <c r="T23" s="7" t="str">
        <f aca="false">IF(INDEX(MASTER_DATABASE!$A$4:$A$1000,ROW()-3)="","",INDEX(MASTER_DATABASE!$I$4:$I$1000,ROW()-3)&amp;"")</f>
        <v>Available</v>
      </c>
      <c r="U23" s="7" t="str">
        <f aca="false">IF(INDEX(MASTER_DATABASE!$A$4:$A$1000,ROW()-3)="","",INDEX(MASTER_DATABASE!$J$4:$J$1000,ROW()-3)&amp;"")</f>
        <v>Available</v>
      </c>
      <c r="V23" s="7" t="str">
        <f aca="false">IF(INDEX(MASTER_DATABASE!$A$4:$A$1000,ROW()-3)="","",INDEX(MASTER_DATABASE!$AG$4:$AG$1000,ROW()-3)&amp;"")</f>
        <v>Active</v>
      </c>
      <c r="W23" s="7" t="str">
        <f aca="false">IF(INDEX(MASTER_DATABASE!$A$4:$A$1000,ROW()-3)="","",INDEX(MASTER_DATABASE!$AH$4:$AH$1000,ROW()-3)&amp;"")</f>
        <v>Yes</v>
      </c>
      <c r="X23" s="7" t="str">
        <f aca="false">IF(INDEX(MASTER_DATABASE!$A$4:$A$1000,ROW()-3)="","",INDEX(MASTER_DATABASE!$AI$4:$AI$1000,ROW()-3)&amp;"")</f>
        <v>No</v>
      </c>
      <c r="Y23" s="7" t="str">
        <f aca="false">IF(INDEX(MASTER_DATABASE!$A$4:$A$1000,ROW()-3)="","",INDEX(MASTER_DATABASE!$AJ$4:$AJ$1000,ROW()-3)&amp;"")</f>
        <v>No</v>
      </c>
      <c r="Z23" s="7" t="str">
        <f aca="false">IF(INDEX(MASTER_DATABASE!$A$4:$A$1000,ROW()-3)="","",INDEX(MASTER_DATABASE!$AK$4:$AK$1000,ROW()-3)&amp;"")</f>
        <v>No</v>
      </c>
      <c r="AA23" s="7" t="str">
        <f aca="false">IF(INDEX(MASTER_DATABASE!$A$4:$A$1000,ROW()-3)="","",INDEX(MASTER_DATABASE!$BE$4:$BE$1000,ROW()-3)&amp;"")</f>
        <v>LIVE</v>
      </c>
    </row>
    <row r="24" customFormat="false" ht="57.45" hidden="false" customHeight="false" outlineLevel="0" collapsed="false">
      <c r="A24" s="11" t="str">
        <f aca="false">IF(INDEX(MASTER_DATABASE!$A$4:$A$1000,ROW()-3)="","",INDEX(MASTER_DATABASE!$A$4:$A$1000,ROW()-3)&amp;"")</f>
        <v>AAD-021</v>
      </c>
      <c r="B24" s="7" t="str">
        <f aca="false">IF(INDEX(MASTER_DATABASE!$A$4:$A$1000,ROW()-3)="","",INDEX(MASTER_DATABASE!$B$4:$B$1000,ROW()-3)&amp;"")</f>
        <v>Aadhaar Centre</v>
      </c>
      <c r="C24" s="7" t="str">
        <f aca="false">IF(INDEX(MASTER_DATABASE!$A$4:$A$1000,ROW()-3)="","",INDEX(MASTER_DATABASE!$C$4:$C$1000,ROW()-3)&amp;"")</f>
        <v>Aadhaar Services</v>
      </c>
      <c r="D24" s="7" t="str">
        <f aca="false">IF(INDEX(MASTER_DATABASE!$A$4:$A$1000,ROW()-3)="","",INDEX(MASTER_DATABASE!$D$4:$D$1000,ROW()-3)&amp;"")</f>
        <v>Biometric Update</v>
      </c>
      <c r="E24" s="7" t="str">
        <f aca="false">IF(INDEX(MASTER_DATABASE!$A$4:$A$1000,ROW()-3)="","",INDEX(MASTER_DATABASE!$E$4:$E$1000,ROW()-3)&amp;"")</f>
        <v>Mandatory Biometric Update – Child at Age 15</v>
      </c>
      <c r="F24" s="7" t="str">
        <f aca="false">IF(INDEX(MASTER_DATABASE!$A$4:$A$1000,ROW()-3)="","",INDEX(MASTER_DATABASE!$F$4:$F$1000,ROW()-3)&amp;"")</f>
        <v>अनिवार्य बायोमेट्रिक अपडेट – बच्चा (15 वर्ष)</v>
      </c>
      <c r="G24" s="7" t="str">
        <f aca="false">IF(INDEX(MASTER_DATABASE!$A$4:$A$1000,ROW()-3)="","",INDEX(MASTER_DATABASE!$AL$4:$AL$1000,ROW()-3)&amp;"")</f>
        <v>Aadhaar Centre</v>
      </c>
      <c r="H24" s="7" t="str">
        <f aca="false">IF(INDEX(MASTER_DATABASE!$A$4:$A$1000,ROW()-3)="","",INDEX(MASTER_DATABASE!$AM$4:$AM$1000,ROW()-3)&amp;"")</f>
        <v>Biometric Update</v>
      </c>
      <c r="I24" s="7" t="str">
        <f aca="false">IF(INDEX(MASTER_DATABASE!$A$4:$A$1000,ROW()-3)="","",INDEX(MASTER_DATABASE!$AO$4:$AO$1000,ROW()-3)&amp;"")</f>
        <v>mandatory-biometric-update-child-at-age-15</v>
      </c>
      <c r="J24" s="7" t="str">
        <f aca="false">IF(INDEX(MASTER_DATABASE!$A$4:$A$1000,ROW()-3)="","",INDEX(MASTER_DATABASE!$BD$4:$BD$1000,ROW()-3)&amp;"")</f>
        <v>/services/mandatory-biometric-update-child-at-age-15</v>
      </c>
      <c r="K24" s="7" t="str">
        <f aca="false">IF(INDEX(MASTER_DATABASE!$A$4:$A$1000,ROW()-3)="","",INDEX(MASTER_DATABASE!$AX$4:$AX$1000,ROW()-3)&amp;"")</f>
        <v>Mandatory Biometric Update – Child at Age 15 Service | Devmobile Stores</v>
      </c>
      <c r="L24" s="7" t="str">
        <f aca="false">IF(INDEX(MASTER_DATABASE!$A$4:$A$1000,ROW()-3)="","",INDEX(MASTER_DATABASE!$AY$4:$AY$1000,ROW()-3)&amp;"")</f>
        <v>Mandatory Biometric Update – Child at Age 15 (अनिवार्य बायोमेट्रिक अपडेट – बच्चा (15 वर्ष)) at Devmobile Stores and Common Service Center &amp; Aadhaar Centre. Check required documents, charges and process before you visit.</v>
      </c>
      <c r="M24" s="7" t="str">
        <f aca="false">IF(INDEX(MASTER_DATABASE!$A$4:$A$1000,ROW()-3)="","",INDEX(MASTER_DATABASE!$AN$4:$AN$1000,ROW()-3)&amp;"")</f>
        <v>Mandatory Biometric Update – Child at Age 15, Aadhaar Centre, Devmobile Stores, अनिवार्य बायोमेट्रिक अपडेट – बच्चा (15 वर्ष), आधार सेंटर, सेवा</v>
      </c>
      <c r="N24" s="7" t="str">
        <f aca="false">IF(INDEX(MASTER_DATABASE!$A$4:$A$1000,ROW()-3)="","",INDEX(MASTER_DATABASE!$AZ$4:$AZ$1000,ROW()-3)&amp;"")</f>
        <v>अनिवार्य बायोमेट्रिक अपडेट – बच्चा (15 वर्ष), आधार सेंटर, सेवा</v>
      </c>
      <c r="O24" s="7" t="str">
        <f aca="false">IF(INDEX(MASTER_DATABASE!$A$4:$A$1000,ROW()-3)="","",INDEX(MASTER_DATABASE!$BA$4:$BA$1000,ROW()-3)&amp;"")</f>
        <v>Mandatory Biometric Update – Child at Age 15, Aadhaar Centre, Devmobile Stores</v>
      </c>
      <c r="P24" s="11" t="str">
        <f aca="false">IF(INDEX(MASTER_DATABASE!$A$4:$A$1000,ROW()-3)="","",INDEX(MASTER_DATABASE!$AP$4:$AP$1000,ROW()-3)&amp;"")</f>
        <v>👆</v>
      </c>
      <c r="Q24" s="7" t="str">
        <f aca="false">IF(INDEX(MASTER_DATABASE!$A$4:$A$1000,ROW()-3)="","",INDEX(MASTER_DATABASE!$BB$4:$BB$1000,ROW()-3)&amp;"")</f>
        <v/>
      </c>
      <c r="R24" s="11" t="str">
        <f aca="false">IF(INDEX(MASTER_DATABASE!$A$4:$A$1000,ROW()-3)="","",INDEX(MASTER_DATABASE!$BC$4:$BC$1000,ROW()-3)&amp;"")</f>
        <v>🪪</v>
      </c>
      <c r="S24" s="11" t="n">
        <f aca="false">IF(INDEX(MASTER_DATABASE!$A$4:$A$1000,ROW()-3)="","",INDEX(MASTER_DATABASE!$AQ$4:$AQ$1000,ROW()-3))</f>
        <v>210</v>
      </c>
      <c r="T24" s="7" t="str">
        <f aca="false">IF(INDEX(MASTER_DATABASE!$A$4:$A$1000,ROW()-3)="","",INDEX(MASTER_DATABASE!$I$4:$I$1000,ROW()-3)&amp;"")</f>
        <v>Available</v>
      </c>
      <c r="U24" s="7" t="str">
        <f aca="false">IF(INDEX(MASTER_DATABASE!$A$4:$A$1000,ROW()-3)="","",INDEX(MASTER_DATABASE!$J$4:$J$1000,ROW()-3)&amp;"")</f>
        <v>Available</v>
      </c>
      <c r="V24" s="7" t="str">
        <f aca="false">IF(INDEX(MASTER_DATABASE!$A$4:$A$1000,ROW()-3)="","",INDEX(MASTER_DATABASE!$AG$4:$AG$1000,ROW()-3)&amp;"")</f>
        <v>Active</v>
      </c>
      <c r="W24" s="7" t="str">
        <f aca="false">IF(INDEX(MASTER_DATABASE!$A$4:$A$1000,ROW()-3)="","",INDEX(MASTER_DATABASE!$AH$4:$AH$1000,ROW()-3)&amp;"")</f>
        <v>Yes</v>
      </c>
      <c r="X24" s="7" t="str">
        <f aca="false">IF(INDEX(MASTER_DATABASE!$A$4:$A$1000,ROW()-3)="","",INDEX(MASTER_DATABASE!$AI$4:$AI$1000,ROW()-3)&amp;"")</f>
        <v>No</v>
      </c>
      <c r="Y24" s="7" t="str">
        <f aca="false">IF(INDEX(MASTER_DATABASE!$A$4:$A$1000,ROW()-3)="","",INDEX(MASTER_DATABASE!$AJ$4:$AJ$1000,ROW()-3)&amp;"")</f>
        <v>No</v>
      </c>
      <c r="Z24" s="7" t="str">
        <f aca="false">IF(INDEX(MASTER_DATABASE!$A$4:$A$1000,ROW()-3)="","",INDEX(MASTER_DATABASE!$AK$4:$AK$1000,ROW()-3)&amp;"")</f>
        <v>No</v>
      </c>
      <c r="AA24" s="7" t="str">
        <f aca="false">IF(INDEX(MASTER_DATABASE!$A$4:$A$1000,ROW()-3)="","",INDEX(MASTER_DATABASE!$BE$4:$BE$1000,ROW()-3)&amp;"")</f>
        <v>LIVE</v>
      </c>
    </row>
    <row r="25" customFormat="false" ht="57.45" hidden="false" customHeight="false" outlineLevel="0" collapsed="false">
      <c r="A25" s="11" t="str">
        <f aca="false">IF(INDEX(MASTER_DATABASE!$A$4:$A$1000,ROW()-3)="","",INDEX(MASTER_DATABASE!$A$4:$A$1000,ROW()-3)&amp;"")</f>
        <v>AAD-022</v>
      </c>
      <c r="B25" s="7" t="str">
        <f aca="false">IF(INDEX(MASTER_DATABASE!$A$4:$A$1000,ROW()-3)="","",INDEX(MASTER_DATABASE!$B$4:$B$1000,ROW()-3)&amp;"")</f>
        <v>Aadhaar Centre</v>
      </c>
      <c r="C25" s="7" t="str">
        <f aca="false">IF(INDEX(MASTER_DATABASE!$A$4:$A$1000,ROW()-3)="","",INDEX(MASTER_DATABASE!$C$4:$C$1000,ROW()-3)&amp;"")</f>
        <v>Aadhaar Services</v>
      </c>
      <c r="D25" s="7" t="str">
        <f aca="false">IF(INDEX(MASTER_DATABASE!$A$4:$A$1000,ROW()-3)="","",INDEX(MASTER_DATABASE!$D$4:$D$1000,ROW()-3)&amp;"")</f>
        <v>Biometric Update</v>
      </c>
      <c r="E25" s="7" t="str">
        <f aca="false">IF(INDEX(MASTER_DATABASE!$A$4:$A$1000,ROW()-3)="","",INDEX(MASTER_DATABASE!$E$4:$E$1000,ROW()-3)&amp;"")</f>
        <v>Aadhaar Biometric Update – Adult (Quality / Periodic)</v>
      </c>
      <c r="F25" s="7" t="str">
        <f aca="false">IF(INDEX(MASTER_DATABASE!$A$4:$A$1000,ROW()-3)="","",INDEX(MASTER_DATABASE!$F$4:$F$1000,ROW()-3)&amp;"")</f>
        <v>आधार बायोमेट्रिक अपडेट – वयस्क (क्वालिटी / आवधिक)</v>
      </c>
      <c r="G25" s="7" t="str">
        <f aca="false">IF(INDEX(MASTER_DATABASE!$A$4:$A$1000,ROW()-3)="","",INDEX(MASTER_DATABASE!$AL$4:$AL$1000,ROW()-3)&amp;"")</f>
        <v>Aadhaar Centre</v>
      </c>
      <c r="H25" s="7" t="str">
        <f aca="false">IF(INDEX(MASTER_DATABASE!$A$4:$A$1000,ROW()-3)="","",INDEX(MASTER_DATABASE!$AM$4:$AM$1000,ROW()-3)&amp;"")</f>
        <v>Biometric Update</v>
      </c>
      <c r="I25" s="7" t="str">
        <f aca="false">IF(INDEX(MASTER_DATABASE!$A$4:$A$1000,ROW()-3)="","",INDEX(MASTER_DATABASE!$AO$4:$AO$1000,ROW()-3)&amp;"")</f>
        <v>aadhaar-biometric-update-adult-quality-periodic</v>
      </c>
      <c r="J25" s="7" t="str">
        <f aca="false">IF(INDEX(MASTER_DATABASE!$A$4:$A$1000,ROW()-3)="","",INDEX(MASTER_DATABASE!$BD$4:$BD$1000,ROW()-3)&amp;"")</f>
        <v>/services/aadhaar-biometric-update-adult-quality-periodic</v>
      </c>
      <c r="K25" s="7" t="str">
        <f aca="false">IF(INDEX(MASTER_DATABASE!$A$4:$A$1000,ROW()-3)="","",INDEX(MASTER_DATABASE!$AX$4:$AX$1000,ROW()-3)&amp;"")</f>
        <v>Aadhaar Biometric Update – Adult (Quality / Periodic) Service | Devmobile Stores</v>
      </c>
      <c r="L25" s="7" t="str">
        <f aca="false">IF(INDEX(MASTER_DATABASE!$A$4:$A$1000,ROW()-3)="","",INDEX(MASTER_DATABASE!$AY$4:$AY$1000,ROW()-3)&amp;"")</f>
        <v>Aadhaar Biometric Update – Adult (Quality / Periodic) (आधार बायोमेट्रिक अपडेट – वयस्क (क्वालिटी / आवधिक)) at Devmobile Stores and Common Service Center &amp; Aadhaar Centre. Check required documents, charges and process before you visit.</v>
      </c>
      <c r="M25" s="7" t="str">
        <f aca="false">IF(INDEX(MASTER_DATABASE!$A$4:$A$1000,ROW()-3)="","",INDEX(MASTER_DATABASE!$AN$4:$AN$1000,ROW()-3)&amp;"")</f>
        <v>Aadhaar Biometric Update – Adult (Quality / Periodic), Aadhaar Centre, Devmobile Stores, आधार बायोमेट्रिक अपडेट – वयस्क (क्वालिटी / आवधिक), आधार सेंटर, सेवा</v>
      </c>
      <c r="N25" s="7" t="str">
        <f aca="false">IF(INDEX(MASTER_DATABASE!$A$4:$A$1000,ROW()-3)="","",INDEX(MASTER_DATABASE!$AZ$4:$AZ$1000,ROW()-3)&amp;"")</f>
        <v>आधार बायोमेट्रिक अपडेट – वयस्क (क्वालिटी / आवधिक), आधार सेंटर, सेवा</v>
      </c>
      <c r="O25" s="7" t="str">
        <f aca="false">IF(INDEX(MASTER_DATABASE!$A$4:$A$1000,ROW()-3)="","",INDEX(MASTER_DATABASE!$BA$4:$BA$1000,ROW()-3)&amp;"")</f>
        <v>Aadhaar Biometric Update – Adult (Quality / Periodic), Aadhaar Centre, Devmobile Stores</v>
      </c>
      <c r="P25" s="11" t="str">
        <f aca="false">IF(INDEX(MASTER_DATABASE!$A$4:$A$1000,ROW()-3)="","",INDEX(MASTER_DATABASE!$AP$4:$AP$1000,ROW()-3)&amp;"")</f>
        <v>👆</v>
      </c>
      <c r="Q25" s="7" t="str">
        <f aca="false">IF(INDEX(MASTER_DATABASE!$A$4:$A$1000,ROW()-3)="","",INDEX(MASTER_DATABASE!$BB$4:$BB$1000,ROW()-3)&amp;"")</f>
        <v/>
      </c>
      <c r="R25" s="11" t="str">
        <f aca="false">IF(INDEX(MASTER_DATABASE!$A$4:$A$1000,ROW()-3)="","",INDEX(MASTER_DATABASE!$BC$4:$BC$1000,ROW()-3)&amp;"")</f>
        <v>🪪</v>
      </c>
      <c r="S25" s="11" t="n">
        <f aca="false">IF(INDEX(MASTER_DATABASE!$A$4:$A$1000,ROW()-3)="","",INDEX(MASTER_DATABASE!$AQ$4:$AQ$1000,ROW()-3))</f>
        <v>220</v>
      </c>
      <c r="T25" s="7" t="str">
        <f aca="false">IF(INDEX(MASTER_DATABASE!$A$4:$A$1000,ROW()-3)="","",INDEX(MASTER_DATABASE!$I$4:$I$1000,ROW()-3)&amp;"")</f>
        <v>Available</v>
      </c>
      <c r="U25" s="7" t="str">
        <f aca="false">IF(INDEX(MASTER_DATABASE!$A$4:$A$1000,ROW()-3)="","",INDEX(MASTER_DATABASE!$J$4:$J$1000,ROW()-3)&amp;"")</f>
        <v>Available</v>
      </c>
      <c r="V25" s="7" t="str">
        <f aca="false">IF(INDEX(MASTER_DATABASE!$A$4:$A$1000,ROW()-3)="","",INDEX(MASTER_DATABASE!$AG$4:$AG$1000,ROW()-3)&amp;"")</f>
        <v>Active</v>
      </c>
      <c r="W25" s="7" t="str">
        <f aca="false">IF(INDEX(MASTER_DATABASE!$A$4:$A$1000,ROW()-3)="","",INDEX(MASTER_DATABASE!$AH$4:$AH$1000,ROW()-3)&amp;"")</f>
        <v>Yes</v>
      </c>
      <c r="X25" s="7" t="str">
        <f aca="false">IF(INDEX(MASTER_DATABASE!$A$4:$A$1000,ROW()-3)="","",INDEX(MASTER_DATABASE!$AI$4:$AI$1000,ROW()-3)&amp;"")</f>
        <v>No</v>
      </c>
      <c r="Y25" s="7" t="str">
        <f aca="false">IF(INDEX(MASTER_DATABASE!$A$4:$A$1000,ROW()-3)="","",INDEX(MASTER_DATABASE!$AJ$4:$AJ$1000,ROW()-3)&amp;"")</f>
        <v>No</v>
      </c>
      <c r="Z25" s="7" t="str">
        <f aca="false">IF(INDEX(MASTER_DATABASE!$A$4:$A$1000,ROW()-3)="","",INDEX(MASTER_DATABASE!$AK$4:$AK$1000,ROW()-3)&amp;"")</f>
        <v>No</v>
      </c>
      <c r="AA25" s="7" t="str">
        <f aca="false">IF(INDEX(MASTER_DATABASE!$A$4:$A$1000,ROW()-3)="","",INDEX(MASTER_DATABASE!$BE$4:$BE$1000,ROW()-3)&amp;"")</f>
        <v>LIVE</v>
      </c>
    </row>
    <row r="26" customFormat="false" ht="57.45" hidden="false" customHeight="false" outlineLevel="0" collapsed="false">
      <c r="A26" s="11" t="str">
        <f aca="false">IF(INDEX(MASTER_DATABASE!$A$4:$A$1000,ROW()-3)="","",INDEX(MASTER_DATABASE!$A$4:$A$1000,ROW()-3)&amp;"")</f>
        <v>AAD-023</v>
      </c>
      <c r="B26" s="7" t="str">
        <f aca="false">IF(INDEX(MASTER_DATABASE!$A$4:$A$1000,ROW()-3)="","",INDEX(MASTER_DATABASE!$B$4:$B$1000,ROW()-3)&amp;"")</f>
        <v>Aadhaar Centre</v>
      </c>
      <c r="C26" s="7" t="str">
        <f aca="false">IF(INDEX(MASTER_DATABASE!$A$4:$A$1000,ROW()-3)="","",INDEX(MASTER_DATABASE!$C$4:$C$1000,ROW()-3)&amp;"")</f>
        <v>Aadhaar Services</v>
      </c>
      <c r="D26" s="7" t="str">
        <f aca="false">IF(INDEX(MASTER_DATABASE!$A$4:$A$1000,ROW()-3)="","",INDEX(MASTER_DATABASE!$D$4:$D$1000,ROW()-3)&amp;"")</f>
        <v>Biometric Update</v>
      </c>
      <c r="E26" s="7" t="str">
        <f aca="false">IF(INDEX(MASTER_DATABASE!$A$4:$A$1000,ROW()-3)="","",INDEX(MASTER_DATABASE!$E$4:$E$1000,ROW()-3)&amp;"")</f>
        <v>Aadhaar Biometric Lock / Unlock Assistance</v>
      </c>
      <c r="F26" s="7" t="str">
        <f aca="false">IF(INDEX(MASTER_DATABASE!$A$4:$A$1000,ROW()-3)="","",INDEX(MASTER_DATABASE!$F$4:$F$1000,ROW()-3)&amp;"")</f>
        <v>आधार बायोमेट्रिक लॉक / अनलॉक सहायता</v>
      </c>
      <c r="G26" s="7" t="str">
        <f aca="false">IF(INDEX(MASTER_DATABASE!$A$4:$A$1000,ROW()-3)="","",INDEX(MASTER_DATABASE!$AL$4:$AL$1000,ROW()-3)&amp;"")</f>
        <v>Aadhaar Centre</v>
      </c>
      <c r="H26" s="7" t="str">
        <f aca="false">IF(INDEX(MASTER_DATABASE!$A$4:$A$1000,ROW()-3)="","",INDEX(MASTER_DATABASE!$AM$4:$AM$1000,ROW()-3)&amp;"")</f>
        <v>Biometric Update</v>
      </c>
      <c r="I26" s="7" t="str">
        <f aca="false">IF(INDEX(MASTER_DATABASE!$A$4:$A$1000,ROW()-3)="","",INDEX(MASTER_DATABASE!$AO$4:$AO$1000,ROW()-3)&amp;"")</f>
        <v>aadhaar-biometric-lock-unlock-assistance</v>
      </c>
      <c r="J26" s="7" t="str">
        <f aca="false">IF(INDEX(MASTER_DATABASE!$A$4:$A$1000,ROW()-3)="","",INDEX(MASTER_DATABASE!$BD$4:$BD$1000,ROW()-3)&amp;"")</f>
        <v>/services/aadhaar-biometric-lock-unlock-assistance</v>
      </c>
      <c r="K26" s="7" t="str">
        <f aca="false">IF(INDEX(MASTER_DATABASE!$A$4:$A$1000,ROW()-3)="","",INDEX(MASTER_DATABASE!$AX$4:$AX$1000,ROW()-3)&amp;"")</f>
        <v>Aadhaar Biometric Lock / Unlock Assistance Service | Devmobile Stores</v>
      </c>
      <c r="L26" s="7" t="str">
        <f aca="false">IF(INDEX(MASTER_DATABASE!$A$4:$A$1000,ROW()-3)="","",INDEX(MASTER_DATABASE!$AY$4:$AY$1000,ROW()-3)&amp;"")</f>
        <v>Aadhaar Biometric Lock / Unlock Assistance (आधार बायोमेट्रिक लॉक / अनलॉक सहायता) at Devmobile Stores and Common Service Center &amp; Aadhaar Centre. Check required documents, charges and process before you visit.</v>
      </c>
      <c r="M26" s="7" t="str">
        <f aca="false">IF(INDEX(MASTER_DATABASE!$A$4:$A$1000,ROW()-3)="","",INDEX(MASTER_DATABASE!$AN$4:$AN$1000,ROW()-3)&amp;"")</f>
        <v>Aadhaar Biometric Lock / Unlock Assistance, Aadhaar Centre, Devmobile Stores, आधार बायोमेट्रिक लॉक / अनलॉक सहायता, आधार सेंटर, सेवा</v>
      </c>
      <c r="N26" s="7" t="str">
        <f aca="false">IF(INDEX(MASTER_DATABASE!$A$4:$A$1000,ROW()-3)="","",INDEX(MASTER_DATABASE!$AZ$4:$AZ$1000,ROW()-3)&amp;"")</f>
        <v>आधार बायोमेट्रिक लॉक / अनलॉक सहायता, आधार सेंटर, सेवा</v>
      </c>
      <c r="O26" s="7" t="str">
        <f aca="false">IF(INDEX(MASTER_DATABASE!$A$4:$A$1000,ROW()-3)="","",INDEX(MASTER_DATABASE!$BA$4:$BA$1000,ROW()-3)&amp;"")</f>
        <v>Aadhaar Biometric Lock / Unlock Assistance, Aadhaar Centre, Devmobile Stores</v>
      </c>
      <c r="P26" s="11" t="str">
        <f aca="false">IF(INDEX(MASTER_DATABASE!$A$4:$A$1000,ROW()-3)="","",INDEX(MASTER_DATABASE!$AP$4:$AP$1000,ROW()-3)&amp;"")</f>
        <v>👆</v>
      </c>
      <c r="Q26" s="7" t="str">
        <f aca="false">IF(INDEX(MASTER_DATABASE!$A$4:$A$1000,ROW()-3)="","",INDEX(MASTER_DATABASE!$BB$4:$BB$1000,ROW()-3)&amp;"")</f>
        <v/>
      </c>
      <c r="R26" s="11" t="str">
        <f aca="false">IF(INDEX(MASTER_DATABASE!$A$4:$A$1000,ROW()-3)="","",INDEX(MASTER_DATABASE!$BC$4:$BC$1000,ROW()-3)&amp;"")</f>
        <v>🪪</v>
      </c>
      <c r="S26" s="11" t="n">
        <f aca="false">IF(INDEX(MASTER_DATABASE!$A$4:$A$1000,ROW()-3)="","",INDEX(MASTER_DATABASE!$AQ$4:$AQ$1000,ROW()-3))</f>
        <v>230</v>
      </c>
      <c r="T26" s="7" t="str">
        <f aca="false">IF(INDEX(MASTER_DATABASE!$A$4:$A$1000,ROW()-3)="","",INDEX(MASTER_DATABASE!$I$4:$I$1000,ROW()-3)&amp;"")</f>
        <v>Portal Dependent</v>
      </c>
      <c r="U26" s="7" t="str">
        <f aca="false">IF(INDEX(MASTER_DATABASE!$A$4:$A$1000,ROW()-3)="","",INDEX(MASTER_DATABASE!$J$4:$J$1000,ROW()-3)&amp;"")</f>
        <v>Depends on Portal – Confirm at Shop</v>
      </c>
      <c r="V26" s="7" t="str">
        <f aca="false">IF(INDEX(MASTER_DATABASE!$A$4:$A$1000,ROW()-3)="","",INDEX(MASTER_DATABASE!$AG$4:$AG$1000,ROW()-3)&amp;"")</f>
        <v>To Verify</v>
      </c>
      <c r="W26" s="7" t="str">
        <f aca="false">IF(INDEX(MASTER_DATABASE!$A$4:$A$1000,ROW()-3)="","",INDEX(MASTER_DATABASE!$AH$4:$AH$1000,ROW()-3)&amp;"")</f>
        <v>No</v>
      </c>
      <c r="X26" s="7" t="str">
        <f aca="false">IF(INDEX(MASTER_DATABASE!$A$4:$A$1000,ROW()-3)="","",INDEX(MASTER_DATABASE!$AI$4:$AI$1000,ROW()-3)&amp;"")</f>
        <v>No</v>
      </c>
      <c r="Y26" s="7" t="str">
        <f aca="false">IF(INDEX(MASTER_DATABASE!$A$4:$A$1000,ROW()-3)="","",INDEX(MASTER_DATABASE!$AJ$4:$AJ$1000,ROW()-3)&amp;"")</f>
        <v>No</v>
      </c>
      <c r="Z26" s="7" t="str">
        <f aca="false">IF(INDEX(MASTER_DATABASE!$A$4:$A$1000,ROW()-3)="","",INDEX(MASTER_DATABASE!$AK$4:$AK$1000,ROW()-3)&amp;"")</f>
        <v>No</v>
      </c>
      <c r="AA26" s="7" t="str">
        <f aca="false">IF(INDEX(MASTER_DATABASE!$A$4:$A$1000,ROW()-3)="","",INDEX(MASTER_DATABASE!$BE$4:$BE$1000,ROW()-3)&amp;"")</f>
        <v>HIDDEN</v>
      </c>
    </row>
    <row r="27" customFormat="false" ht="57.45" hidden="false" customHeight="false" outlineLevel="0" collapsed="false">
      <c r="A27" s="11" t="str">
        <f aca="false">IF(INDEX(MASTER_DATABASE!$A$4:$A$1000,ROW()-3)="","",INDEX(MASTER_DATABASE!$A$4:$A$1000,ROW()-3)&amp;"")</f>
        <v>AAD-024</v>
      </c>
      <c r="B27" s="7" t="str">
        <f aca="false">IF(INDEX(MASTER_DATABASE!$A$4:$A$1000,ROW()-3)="","",INDEX(MASTER_DATABASE!$B$4:$B$1000,ROW()-3)&amp;"")</f>
        <v>Aadhaar Centre</v>
      </c>
      <c r="C27" s="7" t="str">
        <f aca="false">IF(INDEX(MASTER_DATABASE!$A$4:$A$1000,ROW()-3)="","",INDEX(MASTER_DATABASE!$C$4:$C$1000,ROW()-3)&amp;"")</f>
        <v>Aadhaar Services</v>
      </c>
      <c r="D27" s="7" t="str">
        <f aca="false">IF(INDEX(MASTER_DATABASE!$A$4:$A$1000,ROW()-3)="","",INDEX(MASTER_DATABASE!$D$4:$D$1000,ROW()-3)&amp;"")</f>
        <v>Document Update</v>
      </c>
      <c r="E27" s="7" t="str">
        <f aca="false">IF(INDEX(MASTER_DATABASE!$A$4:$A$1000,ROW()-3)="","",INDEX(MASTER_DATABASE!$E$4:$E$1000,ROW()-3)&amp;"")</f>
        <v>Aadhaar Document Update (Identity &amp; Address Proof)</v>
      </c>
      <c r="F27" s="7" t="str">
        <f aca="false">IF(INDEX(MASTER_DATABASE!$A$4:$A$1000,ROW()-3)="","",INDEX(MASTER_DATABASE!$F$4:$F$1000,ROW()-3)&amp;"")</f>
        <v>आधार दस्तावेज़ अपडेट (पहचान व पता प्रमाण)</v>
      </c>
      <c r="G27" s="7" t="str">
        <f aca="false">IF(INDEX(MASTER_DATABASE!$A$4:$A$1000,ROW()-3)="","",INDEX(MASTER_DATABASE!$AL$4:$AL$1000,ROW()-3)&amp;"")</f>
        <v>Aadhaar Centre</v>
      </c>
      <c r="H27" s="7" t="str">
        <f aca="false">IF(INDEX(MASTER_DATABASE!$A$4:$A$1000,ROW()-3)="","",INDEX(MASTER_DATABASE!$AM$4:$AM$1000,ROW()-3)&amp;"")</f>
        <v>Document Update</v>
      </c>
      <c r="I27" s="7" t="str">
        <f aca="false">IF(INDEX(MASTER_DATABASE!$A$4:$A$1000,ROW()-3)="","",INDEX(MASTER_DATABASE!$AO$4:$AO$1000,ROW()-3)&amp;"")</f>
        <v>aadhaar-document-update-identity-address-proof</v>
      </c>
      <c r="J27" s="7" t="str">
        <f aca="false">IF(INDEX(MASTER_DATABASE!$A$4:$A$1000,ROW()-3)="","",INDEX(MASTER_DATABASE!$BD$4:$BD$1000,ROW()-3)&amp;"")</f>
        <v>/services/aadhaar-document-update-identity-address-proof</v>
      </c>
      <c r="K27" s="7" t="str">
        <f aca="false">IF(INDEX(MASTER_DATABASE!$A$4:$A$1000,ROW()-3)="","",INDEX(MASTER_DATABASE!$AX$4:$AX$1000,ROW()-3)&amp;"")</f>
        <v>Aadhaar Document Update (Identity &amp; Address Proof) Service | Devmobile Stores</v>
      </c>
      <c r="L27" s="7" t="str">
        <f aca="false">IF(INDEX(MASTER_DATABASE!$A$4:$A$1000,ROW()-3)="","",INDEX(MASTER_DATABASE!$AY$4:$AY$1000,ROW()-3)&amp;"")</f>
        <v>Aadhaar Document Update (Identity &amp; Address Proof) (आधार दस्तावेज़ अपडेट (पहचान व पता प्रमाण)) at Devmobile Stores and Common Service Center &amp; Aadhaar Centre. Check required documents, charges and process before you visit.</v>
      </c>
      <c r="M27" s="7" t="str">
        <f aca="false">IF(INDEX(MASTER_DATABASE!$A$4:$A$1000,ROW()-3)="","",INDEX(MASTER_DATABASE!$AN$4:$AN$1000,ROW()-3)&amp;"")</f>
        <v>Aadhaar Document Update (Identity &amp; Address Proof), Aadhaar Centre, Devmobile Stores, आधार दस्तावेज़ अपडेट (पहचान व पता प्रमाण), आधार सेंटर, सेवा</v>
      </c>
      <c r="N27" s="7" t="str">
        <f aca="false">IF(INDEX(MASTER_DATABASE!$A$4:$A$1000,ROW()-3)="","",INDEX(MASTER_DATABASE!$AZ$4:$AZ$1000,ROW()-3)&amp;"")</f>
        <v>आधार दस्तावेज़ अपडेट (पहचान व पता प्रमाण), आधार सेंटर, सेवा</v>
      </c>
      <c r="O27" s="7" t="str">
        <f aca="false">IF(INDEX(MASTER_DATABASE!$A$4:$A$1000,ROW()-3)="","",INDEX(MASTER_DATABASE!$BA$4:$BA$1000,ROW()-3)&amp;"")</f>
        <v>Aadhaar Document Update (Identity &amp; Address Proof), Aadhaar Centre, Devmobile Stores</v>
      </c>
      <c r="P27" s="11" t="str">
        <f aca="false">IF(INDEX(MASTER_DATABASE!$A$4:$A$1000,ROW()-3)="","",INDEX(MASTER_DATABASE!$AP$4:$AP$1000,ROW()-3)&amp;"")</f>
        <v>📄</v>
      </c>
      <c r="Q27" s="7" t="str">
        <f aca="false">IF(INDEX(MASTER_DATABASE!$A$4:$A$1000,ROW()-3)="","",INDEX(MASTER_DATABASE!$BB$4:$BB$1000,ROW()-3)&amp;"")</f>
        <v/>
      </c>
      <c r="R27" s="11" t="str">
        <f aca="false">IF(INDEX(MASTER_DATABASE!$A$4:$A$1000,ROW()-3)="","",INDEX(MASTER_DATABASE!$BC$4:$BC$1000,ROW()-3)&amp;"")</f>
        <v>🪪</v>
      </c>
      <c r="S27" s="11" t="n">
        <f aca="false">IF(INDEX(MASTER_DATABASE!$A$4:$A$1000,ROW()-3)="","",INDEX(MASTER_DATABASE!$AQ$4:$AQ$1000,ROW()-3))</f>
        <v>240</v>
      </c>
      <c r="T27" s="7" t="str">
        <f aca="false">IF(INDEX(MASTER_DATABASE!$A$4:$A$1000,ROW()-3)="","",INDEX(MASTER_DATABASE!$I$4:$I$1000,ROW()-3)&amp;"")</f>
        <v>Available</v>
      </c>
      <c r="U27" s="7" t="str">
        <f aca="false">IF(INDEX(MASTER_DATABASE!$A$4:$A$1000,ROW()-3)="","",INDEX(MASTER_DATABASE!$J$4:$J$1000,ROW()-3)&amp;"")</f>
        <v>Available</v>
      </c>
      <c r="V27" s="7" t="str">
        <f aca="false">IF(INDEX(MASTER_DATABASE!$A$4:$A$1000,ROW()-3)="","",INDEX(MASTER_DATABASE!$AG$4:$AG$1000,ROW()-3)&amp;"")</f>
        <v>Active</v>
      </c>
      <c r="W27" s="7" t="str">
        <f aca="false">IF(INDEX(MASTER_DATABASE!$A$4:$A$1000,ROW()-3)="","",INDEX(MASTER_DATABASE!$AH$4:$AH$1000,ROW()-3)&amp;"")</f>
        <v>Yes</v>
      </c>
      <c r="X27" s="7" t="str">
        <f aca="false">IF(INDEX(MASTER_DATABASE!$A$4:$A$1000,ROW()-3)="","",INDEX(MASTER_DATABASE!$AI$4:$AI$1000,ROW()-3)&amp;"")</f>
        <v>No</v>
      </c>
      <c r="Y27" s="7" t="str">
        <f aca="false">IF(INDEX(MASTER_DATABASE!$A$4:$A$1000,ROW()-3)="","",INDEX(MASTER_DATABASE!$AJ$4:$AJ$1000,ROW()-3)&amp;"")</f>
        <v>No</v>
      </c>
      <c r="Z27" s="7" t="str">
        <f aca="false">IF(INDEX(MASTER_DATABASE!$A$4:$A$1000,ROW()-3)="","",INDEX(MASTER_DATABASE!$AK$4:$AK$1000,ROW()-3)&amp;"")</f>
        <v>No</v>
      </c>
      <c r="AA27" s="7" t="str">
        <f aca="false">IF(INDEX(MASTER_DATABASE!$A$4:$A$1000,ROW()-3)="","",INDEX(MASTER_DATABASE!$BE$4:$BE$1000,ROW()-3)&amp;"")</f>
        <v>LIVE</v>
      </c>
    </row>
    <row r="28" customFormat="false" ht="57.45" hidden="false" customHeight="false" outlineLevel="0" collapsed="false">
      <c r="A28" s="11" t="str">
        <f aca="false">IF(INDEX(MASTER_DATABASE!$A$4:$A$1000,ROW()-3)="","",INDEX(MASTER_DATABASE!$A$4:$A$1000,ROW()-3)&amp;"")</f>
        <v>AAD-025</v>
      </c>
      <c r="B28" s="7" t="str">
        <f aca="false">IF(INDEX(MASTER_DATABASE!$A$4:$A$1000,ROW()-3)="","",INDEX(MASTER_DATABASE!$B$4:$B$1000,ROW()-3)&amp;"")</f>
        <v>Aadhaar Centre</v>
      </c>
      <c r="C28" s="7" t="str">
        <f aca="false">IF(INDEX(MASTER_DATABASE!$A$4:$A$1000,ROW()-3)="","",INDEX(MASTER_DATABASE!$C$4:$C$1000,ROW()-3)&amp;"")</f>
        <v>Aadhaar Services</v>
      </c>
      <c r="D28" s="7" t="str">
        <f aca="false">IF(INDEX(MASTER_DATABASE!$A$4:$A$1000,ROW()-3)="","",INDEX(MASTER_DATABASE!$D$4:$D$1000,ROW()-3)&amp;"")</f>
        <v>Document Update</v>
      </c>
      <c r="E28" s="7" t="str">
        <f aca="false">IF(INDEX(MASTER_DATABASE!$A$4:$A$1000,ROW()-3)="","",INDEX(MASTER_DATABASE!$E$4:$E$1000,ROW()-3)&amp;"")</f>
        <v>Aadhaar Document Update – Online Assistance</v>
      </c>
      <c r="F28" s="7" t="str">
        <f aca="false">IF(INDEX(MASTER_DATABASE!$A$4:$A$1000,ROW()-3)="","",INDEX(MASTER_DATABASE!$F$4:$F$1000,ROW()-3)&amp;"")</f>
        <v>आधार दस्तावेज़ अपडेट – ऑनलाइन सहायता</v>
      </c>
      <c r="G28" s="7" t="str">
        <f aca="false">IF(INDEX(MASTER_DATABASE!$A$4:$A$1000,ROW()-3)="","",INDEX(MASTER_DATABASE!$AL$4:$AL$1000,ROW()-3)&amp;"")</f>
        <v>Aadhaar Centre</v>
      </c>
      <c r="H28" s="7" t="str">
        <f aca="false">IF(INDEX(MASTER_DATABASE!$A$4:$A$1000,ROW()-3)="","",INDEX(MASTER_DATABASE!$AM$4:$AM$1000,ROW()-3)&amp;"")</f>
        <v>Document Update</v>
      </c>
      <c r="I28" s="7" t="str">
        <f aca="false">IF(INDEX(MASTER_DATABASE!$A$4:$A$1000,ROW()-3)="","",INDEX(MASTER_DATABASE!$AO$4:$AO$1000,ROW()-3)&amp;"")</f>
        <v>aadhaar-document-update-online-assistance</v>
      </c>
      <c r="J28" s="7" t="str">
        <f aca="false">IF(INDEX(MASTER_DATABASE!$A$4:$A$1000,ROW()-3)="","",INDEX(MASTER_DATABASE!$BD$4:$BD$1000,ROW()-3)&amp;"")</f>
        <v>/services/aadhaar-document-update-online-assistance</v>
      </c>
      <c r="K28" s="7" t="str">
        <f aca="false">IF(INDEX(MASTER_DATABASE!$A$4:$A$1000,ROW()-3)="","",INDEX(MASTER_DATABASE!$AX$4:$AX$1000,ROW()-3)&amp;"")</f>
        <v>Aadhaar Document Update – Online Assistance Service | Devmobile Stores</v>
      </c>
      <c r="L28" s="7" t="str">
        <f aca="false">IF(INDEX(MASTER_DATABASE!$A$4:$A$1000,ROW()-3)="","",INDEX(MASTER_DATABASE!$AY$4:$AY$1000,ROW()-3)&amp;"")</f>
        <v>Aadhaar Document Update – Online Assistance (आधार दस्तावेज़ अपडेट – ऑनलाइन सहायता) at Devmobile Stores and Common Service Center &amp; Aadhaar Centre. Check required documents, charges and process before you visit.</v>
      </c>
      <c r="M28" s="7" t="str">
        <f aca="false">IF(INDEX(MASTER_DATABASE!$A$4:$A$1000,ROW()-3)="","",INDEX(MASTER_DATABASE!$AN$4:$AN$1000,ROW()-3)&amp;"")</f>
        <v>Aadhaar Document Update – Online Assistance, Aadhaar Centre, Devmobile Stores, आधार दस्तावेज़ अपडेट – ऑनलाइन सहायता, आधार सेंटर, सेवा</v>
      </c>
      <c r="N28" s="7" t="str">
        <f aca="false">IF(INDEX(MASTER_DATABASE!$A$4:$A$1000,ROW()-3)="","",INDEX(MASTER_DATABASE!$AZ$4:$AZ$1000,ROW()-3)&amp;"")</f>
        <v>आधार दस्तावेज़ अपडेट – ऑनलाइन सहायता, आधार सेंटर, सेवा</v>
      </c>
      <c r="O28" s="7" t="str">
        <f aca="false">IF(INDEX(MASTER_DATABASE!$A$4:$A$1000,ROW()-3)="","",INDEX(MASTER_DATABASE!$BA$4:$BA$1000,ROW()-3)&amp;"")</f>
        <v>Aadhaar Document Update – Online Assistance, Aadhaar Centre, Devmobile Stores</v>
      </c>
      <c r="P28" s="11" t="str">
        <f aca="false">IF(INDEX(MASTER_DATABASE!$A$4:$A$1000,ROW()-3)="","",INDEX(MASTER_DATABASE!$AP$4:$AP$1000,ROW()-3)&amp;"")</f>
        <v>📄</v>
      </c>
      <c r="Q28" s="7" t="str">
        <f aca="false">IF(INDEX(MASTER_DATABASE!$A$4:$A$1000,ROW()-3)="","",INDEX(MASTER_DATABASE!$BB$4:$BB$1000,ROW()-3)&amp;"")</f>
        <v/>
      </c>
      <c r="R28" s="11" t="str">
        <f aca="false">IF(INDEX(MASTER_DATABASE!$A$4:$A$1000,ROW()-3)="","",INDEX(MASTER_DATABASE!$BC$4:$BC$1000,ROW()-3)&amp;"")</f>
        <v>🪪</v>
      </c>
      <c r="S28" s="11" t="n">
        <f aca="false">IF(INDEX(MASTER_DATABASE!$A$4:$A$1000,ROW()-3)="","",INDEX(MASTER_DATABASE!$AQ$4:$AQ$1000,ROW()-3))</f>
        <v>250</v>
      </c>
      <c r="T28" s="7" t="str">
        <f aca="false">IF(INDEX(MASTER_DATABASE!$A$4:$A$1000,ROW()-3)="","",INDEX(MASTER_DATABASE!$I$4:$I$1000,ROW()-3)&amp;"")</f>
        <v>Portal Dependent</v>
      </c>
      <c r="U28" s="7" t="str">
        <f aca="false">IF(INDEX(MASTER_DATABASE!$A$4:$A$1000,ROW()-3)="","",INDEX(MASTER_DATABASE!$J$4:$J$1000,ROW()-3)&amp;"")</f>
        <v>Depends on Portal – Confirm at Shop</v>
      </c>
      <c r="V28" s="7" t="str">
        <f aca="false">IF(INDEX(MASTER_DATABASE!$A$4:$A$1000,ROW()-3)="","",INDEX(MASTER_DATABASE!$AG$4:$AG$1000,ROW()-3)&amp;"")</f>
        <v>To Verify</v>
      </c>
      <c r="W28" s="7" t="str">
        <f aca="false">IF(INDEX(MASTER_DATABASE!$A$4:$A$1000,ROW()-3)="","",INDEX(MASTER_DATABASE!$AH$4:$AH$1000,ROW()-3)&amp;"")</f>
        <v>No</v>
      </c>
      <c r="X28" s="7" t="str">
        <f aca="false">IF(INDEX(MASTER_DATABASE!$A$4:$A$1000,ROW()-3)="","",INDEX(MASTER_DATABASE!$AI$4:$AI$1000,ROW()-3)&amp;"")</f>
        <v>No</v>
      </c>
      <c r="Y28" s="7" t="str">
        <f aca="false">IF(INDEX(MASTER_DATABASE!$A$4:$A$1000,ROW()-3)="","",INDEX(MASTER_DATABASE!$AJ$4:$AJ$1000,ROW()-3)&amp;"")</f>
        <v>No</v>
      </c>
      <c r="Z28" s="7" t="str">
        <f aca="false">IF(INDEX(MASTER_DATABASE!$A$4:$A$1000,ROW()-3)="","",INDEX(MASTER_DATABASE!$AK$4:$AK$1000,ROW()-3)&amp;"")</f>
        <v>No</v>
      </c>
      <c r="AA28" s="7" t="str">
        <f aca="false">IF(INDEX(MASTER_DATABASE!$A$4:$A$1000,ROW()-3)="","",INDEX(MASTER_DATABASE!$BE$4:$BE$1000,ROW()-3)&amp;"")</f>
        <v>HIDDEN</v>
      </c>
    </row>
    <row r="29" customFormat="false" ht="57.45" hidden="false" customHeight="false" outlineLevel="0" collapsed="false">
      <c r="A29" s="11" t="str">
        <f aca="false">IF(INDEX(MASTER_DATABASE!$A$4:$A$1000,ROW()-3)="","",INDEX(MASTER_DATABASE!$A$4:$A$1000,ROW()-3)&amp;"")</f>
        <v>AAD-026</v>
      </c>
      <c r="B29" s="7" t="str">
        <f aca="false">IF(INDEX(MASTER_DATABASE!$A$4:$A$1000,ROW()-3)="","",INDEX(MASTER_DATABASE!$B$4:$B$1000,ROW()-3)&amp;"")</f>
        <v>Aadhaar Centre</v>
      </c>
      <c r="C29" s="7" t="str">
        <f aca="false">IF(INDEX(MASTER_DATABASE!$A$4:$A$1000,ROW()-3)="","",INDEX(MASTER_DATABASE!$C$4:$C$1000,ROW()-3)&amp;"")</f>
        <v>Aadhaar Services</v>
      </c>
      <c r="D29" s="7" t="str">
        <f aca="false">IF(INDEX(MASTER_DATABASE!$A$4:$A$1000,ROW()-3)="","",INDEX(MASTER_DATABASE!$D$4:$D$1000,ROW()-3)&amp;"")</f>
        <v>Download, Print &amp; Status</v>
      </c>
      <c r="E29" s="7" t="str">
        <f aca="false">IF(INDEX(MASTER_DATABASE!$A$4:$A$1000,ROW()-3)="","",INDEX(MASTER_DATABASE!$E$4:$E$1000,ROW()-3)&amp;"")</f>
        <v>Aadhaar Download Assistance (e-Aadhaar)</v>
      </c>
      <c r="F29" s="7" t="str">
        <f aca="false">IF(INDEX(MASTER_DATABASE!$A$4:$A$1000,ROW()-3)="","",INDEX(MASTER_DATABASE!$F$4:$F$1000,ROW()-3)&amp;"")</f>
        <v>आधार डाउनलोड सहायता (e-Aadhaar)</v>
      </c>
      <c r="G29" s="7" t="str">
        <f aca="false">IF(INDEX(MASTER_DATABASE!$A$4:$A$1000,ROW()-3)="","",INDEX(MASTER_DATABASE!$AL$4:$AL$1000,ROW()-3)&amp;"")</f>
        <v>Aadhaar Centre</v>
      </c>
      <c r="H29" s="7" t="str">
        <f aca="false">IF(INDEX(MASTER_DATABASE!$A$4:$A$1000,ROW()-3)="","",INDEX(MASTER_DATABASE!$AM$4:$AM$1000,ROW()-3)&amp;"")</f>
        <v>Download, Print &amp; Status</v>
      </c>
      <c r="I29" s="7" t="str">
        <f aca="false">IF(INDEX(MASTER_DATABASE!$A$4:$A$1000,ROW()-3)="","",INDEX(MASTER_DATABASE!$AO$4:$AO$1000,ROW()-3)&amp;"")</f>
        <v>aadhaar-download-assistance-e-aadhaar</v>
      </c>
      <c r="J29" s="7" t="str">
        <f aca="false">IF(INDEX(MASTER_DATABASE!$A$4:$A$1000,ROW()-3)="","",INDEX(MASTER_DATABASE!$BD$4:$BD$1000,ROW()-3)&amp;"")</f>
        <v>/services/aadhaar-download-assistance-e-aadhaar</v>
      </c>
      <c r="K29" s="7" t="str">
        <f aca="false">IF(INDEX(MASTER_DATABASE!$A$4:$A$1000,ROW()-3)="","",INDEX(MASTER_DATABASE!$AX$4:$AX$1000,ROW()-3)&amp;"")</f>
        <v>Aadhaar Download Assistance (e-Aadhaar) Service | Devmobile Stores</v>
      </c>
      <c r="L29" s="7" t="str">
        <f aca="false">IF(INDEX(MASTER_DATABASE!$A$4:$A$1000,ROW()-3)="","",INDEX(MASTER_DATABASE!$AY$4:$AY$1000,ROW()-3)&amp;"")</f>
        <v>Aadhaar Download Assistance (e-Aadhaar) (आधार डाउनलोड सहायता (e-Aadhaar)) at Devmobile Stores and Common Service Center &amp; Aadhaar Centre. Check required documents, charges and process before you visit.</v>
      </c>
      <c r="M29" s="7" t="str">
        <f aca="false">IF(INDEX(MASTER_DATABASE!$A$4:$A$1000,ROW()-3)="","",INDEX(MASTER_DATABASE!$AN$4:$AN$1000,ROW()-3)&amp;"")</f>
        <v>Aadhaar Download Assistance (e-Aadhaar), Aadhaar Centre, Devmobile Stores, आधार डाउनलोड सहायता (e-Aadhaar), आधार सेंटर, सेवा</v>
      </c>
      <c r="N29" s="7" t="str">
        <f aca="false">IF(INDEX(MASTER_DATABASE!$A$4:$A$1000,ROW()-3)="","",INDEX(MASTER_DATABASE!$AZ$4:$AZ$1000,ROW()-3)&amp;"")</f>
        <v>आधार डाउनलोड सहायता (e-Aadhaar), आधार सेंटर, सेवा</v>
      </c>
      <c r="O29" s="7" t="str">
        <f aca="false">IF(INDEX(MASTER_DATABASE!$A$4:$A$1000,ROW()-3)="","",INDEX(MASTER_DATABASE!$BA$4:$BA$1000,ROW()-3)&amp;"")</f>
        <v>Aadhaar Download Assistance (e-Aadhaar), Aadhaar Centre, Devmobile Stores</v>
      </c>
      <c r="P29" s="11" t="str">
        <f aca="false">IF(INDEX(MASTER_DATABASE!$A$4:$A$1000,ROW()-3)="","",INDEX(MASTER_DATABASE!$AP$4:$AP$1000,ROW()-3)&amp;"")</f>
        <v>🖨️</v>
      </c>
      <c r="Q29" s="7" t="str">
        <f aca="false">IF(INDEX(MASTER_DATABASE!$A$4:$A$1000,ROW()-3)="","",INDEX(MASTER_DATABASE!$BB$4:$BB$1000,ROW()-3)&amp;"")</f>
        <v/>
      </c>
      <c r="R29" s="11" t="str">
        <f aca="false">IF(INDEX(MASTER_DATABASE!$A$4:$A$1000,ROW()-3)="","",INDEX(MASTER_DATABASE!$BC$4:$BC$1000,ROW()-3)&amp;"")</f>
        <v>🪪</v>
      </c>
      <c r="S29" s="11" t="n">
        <f aca="false">IF(INDEX(MASTER_DATABASE!$A$4:$A$1000,ROW()-3)="","",INDEX(MASTER_DATABASE!$AQ$4:$AQ$1000,ROW()-3))</f>
        <v>260</v>
      </c>
      <c r="T29" s="7" t="str">
        <f aca="false">IF(INDEX(MASTER_DATABASE!$A$4:$A$1000,ROW()-3)="","",INDEX(MASTER_DATABASE!$I$4:$I$1000,ROW()-3)&amp;"")</f>
        <v>Portal Dependent</v>
      </c>
      <c r="U29" s="7" t="str">
        <f aca="false">IF(INDEX(MASTER_DATABASE!$A$4:$A$1000,ROW()-3)="","",INDEX(MASTER_DATABASE!$J$4:$J$1000,ROW()-3)&amp;"")</f>
        <v>Depends on Portal – Confirm at Shop</v>
      </c>
      <c r="V29" s="7" t="str">
        <f aca="false">IF(INDEX(MASTER_DATABASE!$A$4:$A$1000,ROW()-3)="","",INDEX(MASTER_DATABASE!$AG$4:$AG$1000,ROW()-3)&amp;"")</f>
        <v>To Verify</v>
      </c>
      <c r="W29" s="7" t="str">
        <f aca="false">IF(INDEX(MASTER_DATABASE!$A$4:$A$1000,ROW()-3)="","",INDEX(MASTER_DATABASE!$AH$4:$AH$1000,ROW()-3)&amp;"")</f>
        <v>No</v>
      </c>
      <c r="X29" s="7" t="str">
        <f aca="false">IF(INDEX(MASTER_DATABASE!$A$4:$A$1000,ROW()-3)="","",INDEX(MASTER_DATABASE!$AI$4:$AI$1000,ROW()-3)&amp;"")</f>
        <v>No</v>
      </c>
      <c r="Y29" s="7" t="str">
        <f aca="false">IF(INDEX(MASTER_DATABASE!$A$4:$A$1000,ROW()-3)="","",INDEX(MASTER_DATABASE!$AJ$4:$AJ$1000,ROW()-3)&amp;"")</f>
        <v>No</v>
      </c>
      <c r="Z29" s="7" t="str">
        <f aca="false">IF(INDEX(MASTER_DATABASE!$A$4:$A$1000,ROW()-3)="","",INDEX(MASTER_DATABASE!$AK$4:$AK$1000,ROW()-3)&amp;"")</f>
        <v>No</v>
      </c>
      <c r="AA29" s="7" t="str">
        <f aca="false">IF(INDEX(MASTER_DATABASE!$A$4:$A$1000,ROW()-3)="","",INDEX(MASTER_DATABASE!$BE$4:$BE$1000,ROW()-3)&amp;"")</f>
        <v>HIDDEN</v>
      </c>
    </row>
    <row r="30" customFormat="false" ht="46.25" hidden="false" customHeight="false" outlineLevel="0" collapsed="false">
      <c r="A30" s="11" t="str">
        <f aca="false">IF(INDEX(MASTER_DATABASE!$A$4:$A$1000,ROW()-3)="","",INDEX(MASTER_DATABASE!$A$4:$A$1000,ROW()-3)&amp;"")</f>
        <v>AAD-027</v>
      </c>
      <c r="B30" s="7" t="str">
        <f aca="false">IF(INDEX(MASTER_DATABASE!$A$4:$A$1000,ROW()-3)="","",INDEX(MASTER_DATABASE!$B$4:$B$1000,ROW()-3)&amp;"")</f>
        <v>Aadhaar Centre</v>
      </c>
      <c r="C30" s="7" t="str">
        <f aca="false">IF(INDEX(MASTER_DATABASE!$A$4:$A$1000,ROW()-3)="","",INDEX(MASTER_DATABASE!$C$4:$C$1000,ROW()-3)&amp;"")</f>
        <v>Aadhaar Services</v>
      </c>
      <c r="D30" s="7" t="str">
        <f aca="false">IF(INDEX(MASTER_DATABASE!$A$4:$A$1000,ROW()-3)="","",INDEX(MASTER_DATABASE!$D$4:$D$1000,ROW()-3)&amp;"")</f>
        <v>Download, Print &amp; Status</v>
      </c>
      <c r="E30" s="7" t="str">
        <f aca="false">IF(INDEX(MASTER_DATABASE!$A$4:$A$1000,ROW()-3)="","",INDEX(MASTER_DATABASE!$E$4:$E$1000,ROW()-3)&amp;"")</f>
        <v>Masked Aadhaar Download</v>
      </c>
      <c r="F30" s="7" t="str">
        <f aca="false">IF(INDEX(MASTER_DATABASE!$A$4:$A$1000,ROW()-3)="","",INDEX(MASTER_DATABASE!$F$4:$F$1000,ROW()-3)&amp;"")</f>
        <v>मास्क्ड आधार डाउनलोड</v>
      </c>
      <c r="G30" s="7" t="str">
        <f aca="false">IF(INDEX(MASTER_DATABASE!$A$4:$A$1000,ROW()-3)="","",INDEX(MASTER_DATABASE!$AL$4:$AL$1000,ROW()-3)&amp;"")</f>
        <v>Aadhaar Centre</v>
      </c>
      <c r="H30" s="7" t="str">
        <f aca="false">IF(INDEX(MASTER_DATABASE!$A$4:$A$1000,ROW()-3)="","",INDEX(MASTER_DATABASE!$AM$4:$AM$1000,ROW()-3)&amp;"")</f>
        <v>Download, Print &amp; Status</v>
      </c>
      <c r="I30" s="7" t="str">
        <f aca="false">IF(INDEX(MASTER_DATABASE!$A$4:$A$1000,ROW()-3)="","",INDEX(MASTER_DATABASE!$AO$4:$AO$1000,ROW()-3)&amp;"")</f>
        <v>masked-aadhaar-download</v>
      </c>
      <c r="J30" s="7" t="str">
        <f aca="false">IF(INDEX(MASTER_DATABASE!$A$4:$A$1000,ROW()-3)="","",INDEX(MASTER_DATABASE!$BD$4:$BD$1000,ROW()-3)&amp;"")</f>
        <v>/services/masked-aadhaar-download</v>
      </c>
      <c r="K30" s="7" t="str">
        <f aca="false">IF(INDEX(MASTER_DATABASE!$A$4:$A$1000,ROW()-3)="","",INDEX(MASTER_DATABASE!$AX$4:$AX$1000,ROW()-3)&amp;"")</f>
        <v>Masked Aadhaar Download Service | Devmobile Stores</v>
      </c>
      <c r="L30" s="7" t="str">
        <f aca="false">IF(INDEX(MASTER_DATABASE!$A$4:$A$1000,ROW()-3)="","",INDEX(MASTER_DATABASE!$AY$4:$AY$1000,ROW()-3)&amp;"")</f>
        <v>Masked Aadhaar Download (मास्क्ड आधार डाउनलोड) at Devmobile Stores and Common Service Center &amp; Aadhaar Centre. Check required documents, charges and process before you visit.</v>
      </c>
      <c r="M30" s="7" t="str">
        <f aca="false">IF(INDEX(MASTER_DATABASE!$A$4:$A$1000,ROW()-3)="","",INDEX(MASTER_DATABASE!$AN$4:$AN$1000,ROW()-3)&amp;"")</f>
        <v>Masked Aadhaar Download, Aadhaar Centre, Devmobile Stores, मास्क्ड आधार डाउनलोड, आधार सेंटर, सेवा</v>
      </c>
      <c r="N30" s="7" t="str">
        <f aca="false">IF(INDEX(MASTER_DATABASE!$A$4:$A$1000,ROW()-3)="","",INDEX(MASTER_DATABASE!$AZ$4:$AZ$1000,ROW()-3)&amp;"")</f>
        <v>मास्क्ड आधार डाउनलोड, आधार सेंटर, सेवा</v>
      </c>
      <c r="O30" s="7" t="str">
        <f aca="false">IF(INDEX(MASTER_DATABASE!$A$4:$A$1000,ROW()-3)="","",INDEX(MASTER_DATABASE!$BA$4:$BA$1000,ROW()-3)&amp;"")</f>
        <v>Masked Aadhaar Download, Aadhaar Centre, Devmobile Stores</v>
      </c>
      <c r="P30" s="11" t="str">
        <f aca="false">IF(INDEX(MASTER_DATABASE!$A$4:$A$1000,ROW()-3)="","",INDEX(MASTER_DATABASE!$AP$4:$AP$1000,ROW()-3)&amp;"")</f>
        <v>🖨️</v>
      </c>
      <c r="Q30" s="7" t="str">
        <f aca="false">IF(INDEX(MASTER_DATABASE!$A$4:$A$1000,ROW()-3)="","",INDEX(MASTER_DATABASE!$BB$4:$BB$1000,ROW()-3)&amp;"")</f>
        <v/>
      </c>
      <c r="R30" s="11" t="str">
        <f aca="false">IF(INDEX(MASTER_DATABASE!$A$4:$A$1000,ROW()-3)="","",INDEX(MASTER_DATABASE!$BC$4:$BC$1000,ROW()-3)&amp;"")</f>
        <v>🪪</v>
      </c>
      <c r="S30" s="11" t="n">
        <f aca="false">IF(INDEX(MASTER_DATABASE!$A$4:$A$1000,ROW()-3)="","",INDEX(MASTER_DATABASE!$AQ$4:$AQ$1000,ROW()-3))</f>
        <v>270</v>
      </c>
      <c r="T30" s="7" t="str">
        <f aca="false">IF(INDEX(MASTER_DATABASE!$A$4:$A$1000,ROW()-3)="","",INDEX(MASTER_DATABASE!$I$4:$I$1000,ROW()-3)&amp;"")</f>
        <v>Portal Dependent</v>
      </c>
      <c r="U30" s="7" t="str">
        <f aca="false">IF(INDEX(MASTER_DATABASE!$A$4:$A$1000,ROW()-3)="","",INDEX(MASTER_DATABASE!$J$4:$J$1000,ROW()-3)&amp;"")</f>
        <v>Depends on Portal – Confirm at Shop</v>
      </c>
      <c r="V30" s="7" t="str">
        <f aca="false">IF(INDEX(MASTER_DATABASE!$A$4:$A$1000,ROW()-3)="","",INDEX(MASTER_DATABASE!$AG$4:$AG$1000,ROW()-3)&amp;"")</f>
        <v>To Verify</v>
      </c>
      <c r="W30" s="7" t="str">
        <f aca="false">IF(INDEX(MASTER_DATABASE!$A$4:$A$1000,ROW()-3)="","",INDEX(MASTER_DATABASE!$AH$4:$AH$1000,ROW()-3)&amp;"")</f>
        <v>No</v>
      </c>
      <c r="X30" s="7" t="str">
        <f aca="false">IF(INDEX(MASTER_DATABASE!$A$4:$A$1000,ROW()-3)="","",INDEX(MASTER_DATABASE!$AI$4:$AI$1000,ROW()-3)&amp;"")</f>
        <v>No</v>
      </c>
      <c r="Y30" s="7" t="str">
        <f aca="false">IF(INDEX(MASTER_DATABASE!$A$4:$A$1000,ROW()-3)="","",INDEX(MASTER_DATABASE!$AJ$4:$AJ$1000,ROW()-3)&amp;"")</f>
        <v>No</v>
      </c>
      <c r="Z30" s="7" t="str">
        <f aca="false">IF(INDEX(MASTER_DATABASE!$A$4:$A$1000,ROW()-3)="","",INDEX(MASTER_DATABASE!$AK$4:$AK$1000,ROW()-3)&amp;"")</f>
        <v>No</v>
      </c>
      <c r="AA30" s="7" t="str">
        <f aca="false">IF(INDEX(MASTER_DATABASE!$A$4:$A$1000,ROW()-3)="","",INDEX(MASTER_DATABASE!$BE$4:$BE$1000,ROW()-3)&amp;"")</f>
        <v>HIDDEN</v>
      </c>
    </row>
    <row r="31" customFormat="false" ht="46.25" hidden="false" customHeight="false" outlineLevel="0" collapsed="false">
      <c r="A31" s="11" t="str">
        <f aca="false">IF(INDEX(MASTER_DATABASE!$A$4:$A$1000,ROW()-3)="","",INDEX(MASTER_DATABASE!$A$4:$A$1000,ROW()-3)&amp;"")</f>
        <v>AAD-028</v>
      </c>
      <c r="B31" s="7" t="str">
        <f aca="false">IF(INDEX(MASTER_DATABASE!$A$4:$A$1000,ROW()-3)="","",INDEX(MASTER_DATABASE!$B$4:$B$1000,ROW()-3)&amp;"")</f>
        <v>Aadhaar Centre</v>
      </c>
      <c r="C31" s="7" t="str">
        <f aca="false">IF(INDEX(MASTER_DATABASE!$A$4:$A$1000,ROW()-3)="","",INDEX(MASTER_DATABASE!$C$4:$C$1000,ROW()-3)&amp;"")</f>
        <v>Aadhaar Services</v>
      </c>
      <c r="D31" s="7" t="str">
        <f aca="false">IF(INDEX(MASTER_DATABASE!$A$4:$A$1000,ROW()-3)="","",INDEX(MASTER_DATABASE!$D$4:$D$1000,ROW()-3)&amp;"")</f>
        <v>Download, Print &amp; Status</v>
      </c>
      <c r="E31" s="7" t="str">
        <f aca="false">IF(INDEX(MASTER_DATABASE!$A$4:$A$1000,ROW()-3)="","",INDEX(MASTER_DATABASE!$E$4:$E$1000,ROW()-3)&amp;"")</f>
        <v>Aadhaar Print (Paper – Colour / B&amp;W Printout)</v>
      </c>
      <c r="F31" s="7" t="str">
        <f aca="false">IF(INDEX(MASTER_DATABASE!$A$4:$A$1000,ROW()-3)="","",INDEX(MASTER_DATABASE!$F$4:$F$1000,ROW()-3)&amp;"")</f>
        <v>आधार प्रिंट (पेपर – रंगीन / सादा)</v>
      </c>
      <c r="G31" s="7" t="str">
        <f aca="false">IF(INDEX(MASTER_DATABASE!$A$4:$A$1000,ROW()-3)="","",INDEX(MASTER_DATABASE!$AL$4:$AL$1000,ROW()-3)&amp;"")</f>
        <v>Aadhaar Centre</v>
      </c>
      <c r="H31" s="7" t="str">
        <f aca="false">IF(INDEX(MASTER_DATABASE!$A$4:$A$1000,ROW()-3)="","",INDEX(MASTER_DATABASE!$AM$4:$AM$1000,ROW()-3)&amp;"")</f>
        <v>Download, Print &amp; Status</v>
      </c>
      <c r="I31" s="7" t="str">
        <f aca="false">IF(INDEX(MASTER_DATABASE!$A$4:$A$1000,ROW()-3)="","",INDEX(MASTER_DATABASE!$AO$4:$AO$1000,ROW()-3)&amp;"")</f>
        <v>aadhaar-print-paper-colour-b-w-printout</v>
      </c>
      <c r="J31" s="7" t="str">
        <f aca="false">IF(INDEX(MASTER_DATABASE!$A$4:$A$1000,ROW()-3)="","",INDEX(MASTER_DATABASE!$BD$4:$BD$1000,ROW()-3)&amp;"")</f>
        <v>/services/aadhaar-print-paper-colour-b-w-printout</v>
      </c>
      <c r="K31" s="7" t="str">
        <f aca="false">IF(INDEX(MASTER_DATABASE!$A$4:$A$1000,ROW()-3)="","",INDEX(MASTER_DATABASE!$AX$4:$AX$1000,ROW()-3)&amp;"")</f>
        <v>Aadhaar Print (Paper – Colour / B&amp;W Printout) Service | Devmobile Stores</v>
      </c>
      <c r="L31" s="7" t="str">
        <f aca="false">IF(INDEX(MASTER_DATABASE!$A$4:$A$1000,ROW()-3)="","",INDEX(MASTER_DATABASE!$AY$4:$AY$1000,ROW()-3)&amp;"")</f>
        <v>Aadhaar Print (Paper – Colour / B&amp;W Printout) (आधार प्रिंट (पेपर – रंगीन / सादा)) at Devmobile Stores and Common Service Center &amp; Aadhaar Centre. Check required documents, charges and process before you visit.</v>
      </c>
      <c r="M31" s="7" t="str">
        <f aca="false">IF(INDEX(MASTER_DATABASE!$A$4:$A$1000,ROW()-3)="","",INDEX(MASTER_DATABASE!$AN$4:$AN$1000,ROW()-3)&amp;"")</f>
        <v>Aadhaar Print (Paper – Colour / B&amp;W Printout), Aadhaar Centre, Devmobile Stores, आधार प्रिंट (पेपर – रंगीन / सादा), आधार सेंटर, सेवा</v>
      </c>
      <c r="N31" s="7" t="str">
        <f aca="false">IF(INDEX(MASTER_DATABASE!$A$4:$A$1000,ROW()-3)="","",INDEX(MASTER_DATABASE!$AZ$4:$AZ$1000,ROW()-3)&amp;"")</f>
        <v>आधार प्रिंट (पेपर – रंगीन / सादा), आधार सेंटर, सेवा</v>
      </c>
      <c r="O31" s="7" t="str">
        <f aca="false">IF(INDEX(MASTER_DATABASE!$A$4:$A$1000,ROW()-3)="","",INDEX(MASTER_DATABASE!$BA$4:$BA$1000,ROW()-3)&amp;"")</f>
        <v>Aadhaar Print (Paper – Colour / B&amp;W Printout), Aadhaar Centre, Devmobile Stores</v>
      </c>
      <c r="P31" s="11" t="str">
        <f aca="false">IF(INDEX(MASTER_DATABASE!$A$4:$A$1000,ROW()-3)="","",INDEX(MASTER_DATABASE!$AP$4:$AP$1000,ROW()-3)&amp;"")</f>
        <v>🖨️</v>
      </c>
      <c r="Q31" s="7" t="str">
        <f aca="false">IF(INDEX(MASTER_DATABASE!$A$4:$A$1000,ROW()-3)="","",INDEX(MASTER_DATABASE!$BB$4:$BB$1000,ROW()-3)&amp;"")</f>
        <v/>
      </c>
      <c r="R31" s="11" t="str">
        <f aca="false">IF(INDEX(MASTER_DATABASE!$A$4:$A$1000,ROW()-3)="","",INDEX(MASTER_DATABASE!$BC$4:$BC$1000,ROW()-3)&amp;"")</f>
        <v>🪪</v>
      </c>
      <c r="S31" s="11" t="n">
        <f aca="false">IF(INDEX(MASTER_DATABASE!$A$4:$A$1000,ROW()-3)="","",INDEX(MASTER_DATABASE!$AQ$4:$AQ$1000,ROW()-3))</f>
        <v>280</v>
      </c>
      <c r="T31" s="7" t="str">
        <f aca="false">IF(INDEX(MASTER_DATABASE!$A$4:$A$1000,ROW()-3)="","",INDEX(MASTER_DATABASE!$I$4:$I$1000,ROW()-3)&amp;"")</f>
        <v>Available</v>
      </c>
      <c r="U31" s="7" t="str">
        <f aca="false">IF(INDEX(MASTER_DATABASE!$A$4:$A$1000,ROW()-3)="","",INDEX(MASTER_DATABASE!$J$4:$J$1000,ROW()-3)&amp;"")</f>
        <v>Available</v>
      </c>
      <c r="V31" s="7" t="str">
        <f aca="false">IF(INDEX(MASTER_DATABASE!$A$4:$A$1000,ROW()-3)="","",INDEX(MASTER_DATABASE!$AG$4:$AG$1000,ROW()-3)&amp;"")</f>
        <v>Active</v>
      </c>
      <c r="W31" s="7" t="str">
        <f aca="false">IF(INDEX(MASTER_DATABASE!$A$4:$A$1000,ROW()-3)="","",INDEX(MASTER_DATABASE!$AH$4:$AH$1000,ROW()-3)&amp;"")</f>
        <v>Yes</v>
      </c>
      <c r="X31" s="7" t="str">
        <f aca="false">IF(INDEX(MASTER_DATABASE!$A$4:$A$1000,ROW()-3)="","",INDEX(MASTER_DATABASE!$AI$4:$AI$1000,ROW()-3)&amp;"")</f>
        <v>No</v>
      </c>
      <c r="Y31" s="7" t="str">
        <f aca="false">IF(INDEX(MASTER_DATABASE!$A$4:$A$1000,ROW()-3)="","",INDEX(MASTER_DATABASE!$AJ$4:$AJ$1000,ROW()-3)&amp;"")</f>
        <v>No</v>
      </c>
      <c r="Z31" s="7" t="str">
        <f aca="false">IF(INDEX(MASTER_DATABASE!$A$4:$A$1000,ROW()-3)="","",INDEX(MASTER_DATABASE!$AK$4:$AK$1000,ROW()-3)&amp;"")</f>
        <v>No</v>
      </c>
      <c r="AA31" s="7" t="str">
        <f aca="false">IF(INDEX(MASTER_DATABASE!$A$4:$A$1000,ROW()-3)="","",INDEX(MASTER_DATABASE!$BE$4:$BE$1000,ROW()-3)&amp;"")</f>
        <v>LIVE</v>
      </c>
    </row>
    <row r="32" customFormat="false" ht="46.25" hidden="false" customHeight="false" outlineLevel="0" collapsed="false">
      <c r="A32" s="11" t="str">
        <f aca="false">IF(INDEX(MASTER_DATABASE!$A$4:$A$1000,ROW()-3)="","",INDEX(MASTER_DATABASE!$A$4:$A$1000,ROW()-3)&amp;"")</f>
        <v>AAD-029</v>
      </c>
      <c r="B32" s="7" t="str">
        <f aca="false">IF(INDEX(MASTER_DATABASE!$A$4:$A$1000,ROW()-3)="","",INDEX(MASTER_DATABASE!$B$4:$B$1000,ROW()-3)&amp;"")</f>
        <v>Aadhaar Centre</v>
      </c>
      <c r="C32" s="7" t="str">
        <f aca="false">IF(INDEX(MASTER_DATABASE!$A$4:$A$1000,ROW()-3)="","",INDEX(MASTER_DATABASE!$C$4:$C$1000,ROW()-3)&amp;"")</f>
        <v>Aadhaar Services</v>
      </c>
      <c r="D32" s="7" t="str">
        <f aca="false">IF(INDEX(MASTER_DATABASE!$A$4:$A$1000,ROW()-3)="","",INDEX(MASTER_DATABASE!$D$4:$D$1000,ROW()-3)&amp;"")</f>
        <v>Download, Print &amp; Status</v>
      </c>
      <c r="E32" s="7" t="str">
        <f aca="false">IF(INDEX(MASTER_DATABASE!$A$4:$A$1000,ROW()-3)="","",INDEX(MASTER_DATABASE!$E$4:$E$1000,ROW()-3)&amp;"")</f>
        <v>Aadhaar PVC Card Order Assistance</v>
      </c>
      <c r="F32" s="7" t="str">
        <f aca="false">IF(INDEX(MASTER_DATABASE!$A$4:$A$1000,ROW()-3)="","",INDEX(MASTER_DATABASE!$F$4:$F$1000,ROW()-3)&amp;"")</f>
        <v>आधार PVC कार्ड ऑर्डर सहायता</v>
      </c>
      <c r="G32" s="7" t="str">
        <f aca="false">IF(INDEX(MASTER_DATABASE!$A$4:$A$1000,ROW()-3)="","",INDEX(MASTER_DATABASE!$AL$4:$AL$1000,ROW()-3)&amp;"")</f>
        <v>Aadhaar Centre</v>
      </c>
      <c r="H32" s="7" t="str">
        <f aca="false">IF(INDEX(MASTER_DATABASE!$A$4:$A$1000,ROW()-3)="","",INDEX(MASTER_DATABASE!$AM$4:$AM$1000,ROW()-3)&amp;"")</f>
        <v>Download, Print &amp; Status</v>
      </c>
      <c r="I32" s="7" t="str">
        <f aca="false">IF(INDEX(MASTER_DATABASE!$A$4:$A$1000,ROW()-3)="","",INDEX(MASTER_DATABASE!$AO$4:$AO$1000,ROW()-3)&amp;"")</f>
        <v>aadhaar-pvc-card-order-assistance</v>
      </c>
      <c r="J32" s="7" t="str">
        <f aca="false">IF(INDEX(MASTER_DATABASE!$A$4:$A$1000,ROW()-3)="","",INDEX(MASTER_DATABASE!$BD$4:$BD$1000,ROW()-3)&amp;"")</f>
        <v>/services/aadhaar-pvc-card-order-assistance</v>
      </c>
      <c r="K32" s="7" t="str">
        <f aca="false">IF(INDEX(MASTER_DATABASE!$A$4:$A$1000,ROW()-3)="","",INDEX(MASTER_DATABASE!$AX$4:$AX$1000,ROW()-3)&amp;"")</f>
        <v>Aadhaar PVC Card Order Assistance Service | Devmobile Stores</v>
      </c>
      <c r="L32" s="7" t="str">
        <f aca="false">IF(INDEX(MASTER_DATABASE!$A$4:$A$1000,ROW()-3)="","",INDEX(MASTER_DATABASE!$AY$4:$AY$1000,ROW()-3)&amp;"")</f>
        <v>Aadhaar PVC Card Order Assistance (आधार PVC कार्ड ऑर्डर सहायता) at Devmobile Stores and Common Service Center &amp; Aadhaar Centre. Check required documents, charges and process before you visit.</v>
      </c>
      <c r="M32" s="7" t="str">
        <f aca="false">IF(INDEX(MASTER_DATABASE!$A$4:$A$1000,ROW()-3)="","",INDEX(MASTER_DATABASE!$AN$4:$AN$1000,ROW()-3)&amp;"")</f>
        <v>Aadhaar PVC Card Order Assistance, Aadhaar Centre, Devmobile Stores, आधार PVC कार्ड ऑर्डर सहायता, आधार सेंटर, सेवा</v>
      </c>
      <c r="N32" s="7" t="str">
        <f aca="false">IF(INDEX(MASTER_DATABASE!$A$4:$A$1000,ROW()-3)="","",INDEX(MASTER_DATABASE!$AZ$4:$AZ$1000,ROW()-3)&amp;"")</f>
        <v>आधार PVC कार्ड ऑर्डर सहायता, आधार सेंटर, सेवा</v>
      </c>
      <c r="O32" s="7" t="str">
        <f aca="false">IF(INDEX(MASTER_DATABASE!$A$4:$A$1000,ROW()-3)="","",INDEX(MASTER_DATABASE!$BA$4:$BA$1000,ROW()-3)&amp;"")</f>
        <v>Aadhaar PVC Card Order Assistance, Aadhaar Centre, Devmobile Stores</v>
      </c>
      <c r="P32" s="11" t="str">
        <f aca="false">IF(INDEX(MASTER_DATABASE!$A$4:$A$1000,ROW()-3)="","",INDEX(MASTER_DATABASE!$AP$4:$AP$1000,ROW()-3)&amp;"")</f>
        <v>🖨️</v>
      </c>
      <c r="Q32" s="7" t="str">
        <f aca="false">IF(INDEX(MASTER_DATABASE!$A$4:$A$1000,ROW()-3)="","",INDEX(MASTER_DATABASE!$BB$4:$BB$1000,ROW()-3)&amp;"")</f>
        <v/>
      </c>
      <c r="R32" s="11" t="str">
        <f aca="false">IF(INDEX(MASTER_DATABASE!$A$4:$A$1000,ROW()-3)="","",INDEX(MASTER_DATABASE!$BC$4:$BC$1000,ROW()-3)&amp;"")</f>
        <v>🪪</v>
      </c>
      <c r="S32" s="11" t="n">
        <f aca="false">IF(INDEX(MASTER_DATABASE!$A$4:$A$1000,ROW()-3)="","",INDEX(MASTER_DATABASE!$AQ$4:$AQ$1000,ROW()-3))</f>
        <v>290</v>
      </c>
      <c r="T32" s="7" t="str">
        <f aca="false">IF(INDEX(MASTER_DATABASE!$A$4:$A$1000,ROW()-3)="","",INDEX(MASTER_DATABASE!$I$4:$I$1000,ROW()-3)&amp;"")</f>
        <v>Portal Dependent</v>
      </c>
      <c r="U32" s="7" t="str">
        <f aca="false">IF(INDEX(MASTER_DATABASE!$A$4:$A$1000,ROW()-3)="","",INDEX(MASTER_DATABASE!$J$4:$J$1000,ROW()-3)&amp;"")</f>
        <v>Depends on Portal – Confirm at Shop</v>
      </c>
      <c r="V32" s="7" t="str">
        <f aca="false">IF(INDEX(MASTER_DATABASE!$A$4:$A$1000,ROW()-3)="","",INDEX(MASTER_DATABASE!$AG$4:$AG$1000,ROW()-3)&amp;"")</f>
        <v>To Verify</v>
      </c>
      <c r="W32" s="7" t="str">
        <f aca="false">IF(INDEX(MASTER_DATABASE!$A$4:$A$1000,ROW()-3)="","",INDEX(MASTER_DATABASE!$AH$4:$AH$1000,ROW()-3)&amp;"")</f>
        <v>No</v>
      </c>
      <c r="X32" s="7" t="str">
        <f aca="false">IF(INDEX(MASTER_DATABASE!$A$4:$A$1000,ROW()-3)="","",INDEX(MASTER_DATABASE!$AI$4:$AI$1000,ROW()-3)&amp;"")</f>
        <v>No</v>
      </c>
      <c r="Y32" s="7" t="str">
        <f aca="false">IF(INDEX(MASTER_DATABASE!$A$4:$A$1000,ROW()-3)="","",INDEX(MASTER_DATABASE!$AJ$4:$AJ$1000,ROW()-3)&amp;"")</f>
        <v>No</v>
      </c>
      <c r="Z32" s="7" t="str">
        <f aca="false">IF(INDEX(MASTER_DATABASE!$A$4:$A$1000,ROW()-3)="","",INDEX(MASTER_DATABASE!$AK$4:$AK$1000,ROW()-3)&amp;"")</f>
        <v>No</v>
      </c>
      <c r="AA32" s="7" t="str">
        <f aca="false">IF(INDEX(MASTER_DATABASE!$A$4:$A$1000,ROW()-3)="","",INDEX(MASTER_DATABASE!$BE$4:$BE$1000,ROW()-3)&amp;"")</f>
        <v>HIDDEN</v>
      </c>
    </row>
    <row r="33" customFormat="false" ht="46.25" hidden="false" customHeight="false" outlineLevel="0" collapsed="false">
      <c r="A33" s="11" t="str">
        <f aca="false">IF(INDEX(MASTER_DATABASE!$A$4:$A$1000,ROW()-3)="","",INDEX(MASTER_DATABASE!$A$4:$A$1000,ROW()-3)&amp;"")</f>
        <v>AAD-030</v>
      </c>
      <c r="B33" s="7" t="str">
        <f aca="false">IF(INDEX(MASTER_DATABASE!$A$4:$A$1000,ROW()-3)="","",INDEX(MASTER_DATABASE!$B$4:$B$1000,ROW()-3)&amp;"")</f>
        <v>Aadhaar Centre</v>
      </c>
      <c r="C33" s="7" t="str">
        <f aca="false">IF(INDEX(MASTER_DATABASE!$A$4:$A$1000,ROW()-3)="","",INDEX(MASTER_DATABASE!$C$4:$C$1000,ROW()-3)&amp;"")</f>
        <v>Aadhaar Services</v>
      </c>
      <c r="D33" s="7" t="str">
        <f aca="false">IF(INDEX(MASTER_DATABASE!$A$4:$A$1000,ROW()-3)="","",INDEX(MASTER_DATABASE!$D$4:$D$1000,ROW()-3)&amp;"")</f>
        <v>Download, Print &amp; Status</v>
      </c>
      <c r="E33" s="7" t="str">
        <f aca="false">IF(INDEX(MASTER_DATABASE!$A$4:$A$1000,ROW()-3)="","",INDEX(MASTER_DATABASE!$E$4:$E$1000,ROW()-3)&amp;"")</f>
        <v>Aadhaar Enrolment Status Check (EID)</v>
      </c>
      <c r="F33" s="7" t="str">
        <f aca="false">IF(INDEX(MASTER_DATABASE!$A$4:$A$1000,ROW()-3)="","",INDEX(MASTER_DATABASE!$F$4:$F$1000,ROW()-3)&amp;"")</f>
        <v>आधार नामांकन स्थिति जाँच (EID)</v>
      </c>
      <c r="G33" s="7" t="str">
        <f aca="false">IF(INDEX(MASTER_DATABASE!$A$4:$A$1000,ROW()-3)="","",INDEX(MASTER_DATABASE!$AL$4:$AL$1000,ROW()-3)&amp;"")</f>
        <v>Aadhaar Centre</v>
      </c>
      <c r="H33" s="7" t="str">
        <f aca="false">IF(INDEX(MASTER_DATABASE!$A$4:$A$1000,ROW()-3)="","",INDEX(MASTER_DATABASE!$AM$4:$AM$1000,ROW()-3)&amp;"")</f>
        <v>Download, Print &amp; Status</v>
      </c>
      <c r="I33" s="7" t="str">
        <f aca="false">IF(INDEX(MASTER_DATABASE!$A$4:$A$1000,ROW()-3)="","",INDEX(MASTER_DATABASE!$AO$4:$AO$1000,ROW()-3)&amp;"")</f>
        <v>aadhaar-enrolment-status-check-eid</v>
      </c>
      <c r="J33" s="7" t="str">
        <f aca="false">IF(INDEX(MASTER_DATABASE!$A$4:$A$1000,ROW()-3)="","",INDEX(MASTER_DATABASE!$BD$4:$BD$1000,ROW()-3)&amp;"")</f>
        <v>/services/aadhaar-enrolment-status-check-eid</v>
      </c>
      <c r="K33" s="7" t="str">
        <f aca="false">IF(INDEX(MASTER_DATABASE!$A$4:$A$1000,ROW()-3)="","",INDEX(MASTER_DATABASE!$AX$4:$AX$1000,ROW()-3)&amp;"")</f>
        <v>Aadhaar Enrolment Status Check (EID) Service | Devmobile Stores</v>
      </c>
      <c r="L33" s="7" t="str">
        <f aca="false">IF(INDEX(MASTER_DATABASE!$A$4:$A$1000,ROW()-3)="","",INDEX(MASTER_DATABASE!$AY$4:$AY$1000,ROW()-3)&amp;"")</f>
        <v>Aadhaar Enrolment Status Check (EID) (आधार नामांकन स्थिति जाँच (EID)) at Devmobile Stores and Common Service Center &amp; Aadhaar Centre. Check required documents, charges and process before you visit.</v>
      </c>
      <c r="M33" s="7" t="str">
        <f aca="false">IF(INDEX(MASTER_DATABASE!$A$4:$A$1000,ROW()-3)="","",INDEX(MASTER_DATABASE!$AN$4:$AN$1000,ROW()-3)&amp;"")</f>
        <v>Aadhaar Enrolment Status Check (EID), Aadhaar Centre, Devmobile Stores, आधार नामांकन स्थिति जाँच (EID), आधार सेंटर, सेवा</v>
      </c>
      <c r="N33" s="7" t="str">
        <f aca="false">IF(INDEX(MASTER_DATABASE!$A$4:$A$1000,ROW()-3)="","",INDEX(MASTER_DATABASE!$AZ$4:$AZ$1000,ROW()-3)&amp;"")</f>
        <v>आधार नामांकन स्थिति जाँच (EID), आधार सेंटर, सेवा</v>
      </c>
      <c r="O33" s="7" t="str">
        <f aca="false">IF(INDEX(MASTER_DATABASE!$A$4:$A$1000,ROW()-3)="","",INDEX(MASTER_DATABASE!$BA$4:$BA$1000,ROW()-3)&amp;"")</f>
        <v>Aadhaar Enrolment Status Check (EID), Aadhaar Centre, Devmobile Stores</v>
      </c>
      <c r="P33" s="11" t="str">
        <f aca="false">IF(INDEX(MASTER_DATABASE!$A$4:$A$1000,ROW()-3)="","",INDEX(MASTER_DATABASE!$AP$4:$AP$1000,ROW()-3)&amp;"")</f>
        <v>🖨️</v>
      </c>
      <c r="Q33" s="7" t="str">
        <f aca="false">IF(INDEX(MASTER_DATABASE!$A$4:$A$1000,ROW()-3)="","",INDEX(MASTER_DATABASE!$BB$4:$BB$1000,ROW()-3)&amp;"")</f>
        <v/>
      </c>
      <c r="R33" s="11" t="str">
        <f aca="false">IF(INDEX(MASTER_DATABASE!$A$4:$A$1000,ROW()-3)="","",INDEX(MASTER_DATABASE!$BC$4:$BC$1000,ROW()-3)&amp;"")</f>
        <v>🪪</v>
      </c>
      <c r="S33" s="11" t="n">
        <f aca="false">IF(INDEX(MASTER_DATABASE!$A$4:$A$1000,ROW()-3)="","",INDEX(MASTER_DATABASE!$AQ$4:$AQ$1000,ROW()-3))</f>
        <v>300</v>
      </c>
      <c r="T33" s="7" t="str">
        <f aca="false">IF(INDEX(MASTER_DATABASE!$A$4:$A$1000,ROW()-3)="","",INDEX(MASTER_DATABASE!$I$4:$I$1000,ROW()-3)&amp;"")</f>
        <v>Portal Dependent</v>
      </c>
      <c r="U33" s="7" t="str">
        <f aca="false">IF(INDEX(MASTER_DATABASE!$A$4:$A$1000,ROW()-3)="","",INDEX(MASTER_DATABASE!$J$4:$J$1000,ROW()-3)&amp;"")</f>
        <v>Depends on Portal – Confirm at Shop</v>
      </c>
      <c r="V33" s="7" t="str">
        <f aca="false">IF(INDEX(MASTER_DATABASE!$A$4:$A$1000,ROW()-3)="","",INDEX(MASTER_DATABASE!$AG$4:$AG$1000,ROW()-3)&amp;"")</f>
        <v>To Verify</v>
      </c>
      <c r="W33" s="7" t="str">
        <f aca="false">IF(INDEX(MASTER_DATABASE!$A$4:$A$1000,ROW()-3)="","",INDEX(MASTER_DATABASE!$AH$4:$AH$1000,ROW()-3)&amp;"")</f>
        <v>No</v>
      </c>
      <c r="X33" s="7" t="str">
        <f aca="false">IF(INDEX(MASTER_DATABASE!$A$4:$A$1000,ROW()-3)="","",INDEX(MASTER_DATABASE!$AI$4:$AI$1000,ROW()-3)&amp;"")</f>
        <v>No</v>
      </c>
      <c r="Y33" s="7" t="str">
        <f aca="false">IF(INDEX(MASTER_DATABASE!$A$4:$A$1000,ROW()-3)="","",INDEX(MASTER_DATABASE!$AJ$4:$AJ$1000,ROW()-3)&amp;"")</f>
        <v>No</v>
      </c>
      <c r="Z33" s="7" t="str">
        <f aca="false">IF(INDEX(MASTER_DATABASE!$A$4:$A$1000,ROW()-3)="","",INDEX(MASTER_DATABASE!$AK$4:$AK$1000,ROW()-3)&amp;"")</f>
        <v>No</v>
      </c>
      <c r="AA33" s="7" t="str">
        <f aca="false">IF(INDEX(MASTER_DATABASE!$A$4:$A$1000,ROW()-3)="","",INDEX(MASTER_DATABASE!$BE$4:$BE$1000,ROW()-3)&amp;"")</f>
        <v>HIDDEN</v>
      </c>
    </row>
    <row r="34" customFormat="false" ht="57.45" hidden="false" customHeight="false" outlineLevel="0" collapsed="false">
      <c r="A34" s="11" t="str">
        <f aca="false">IF(INDEX(MASTER_DATABASE!$A$4:$A$1000,ROW()-3)="","",INDEX(MASTER_DATABASE!$A$4:$A$1000,ROW()-3)&amp;"")</f>
        <v>AAD-031</v>
      </c>
      <c r="B34" s="7" t="str">
        <f aca="false">IF(INDEX(MASTER_DATABASE!$A$4:$A$1000,ROW()-3)="","",INDEX(MASTER_DATABASE!$B$4:$B$1000,ROW()-3)&amp;"")</f>
        <v>Aadhaar Centre</v>
      </c>
      <c r="C34" s="7" t="str">
        <f aca="false">IF(INDEX(MASTER_DATABASE!$A$4:$A$1000,ROW()-3)="","",INDEX(MASTER_DATABASE!$C$4:$C$1000,ROW()-3)&amp;"")</f>
        <v>Aadhaar Services</v>
      </c>
      <c r="D34" s="7" t="str">
        <f aca="false">IF(INDEX(MASTER_DATABASE!$A$4:$A$1000,ROW()-3)="","",INDEX(MASTER_DATABASE!$D$4:$D$1000,ROW()-3)&amp;"")</f>
        <v>Download, Print &amp; Status</v>
      </c>
      <c r="E34" s="7" t="str">
        <f aca="false">IF(INDEX(MASTER_DATABASE!$A$4:$A$1000,ROW()-3)="","",INDEX(MASTER_DATABASE!$E$4:$E$1000,ROW()-3)&amp;"")</f>
        <v>Aadhaar Update Request Status Check (URN)</v>
      </c>
      <c r="F34" s="7" t="str">
        <f aca="false">IF(INDEX(MASTER_DATABASE!$A$4:$A$1000,ROW()-3)="","",INDEX(MASTER_DATABASE!$F$4:$F$1000,ROW()-3)&amp;"")</f>
        <v>आधार अपडेट रिक्वेस्ट स्थिति जाँच (URN)</v>
      </c>
      <c r="G34" s="7" t="str">
        <f aca="false">IF(INDEX(MASTER_DATABASE!$A$4:$A$1000,ROW()-3)="","",INDEX(MASTER_DATABASE!$AL$4:$AL$1000,ROW()-3)&amp;"")</f>
        <v>Aadhaar Centre</v>
      </c>
      <c r="H34" s="7" t="str">
        <f aca="false">IF(INDEX(MASTER_DATABASE!$A$4:$A$1000,ROW()-3)="","",INDEX(MASTER_DATABASE!$AM$4:$AM$1000,ROW()-3)&amp;"")</f>
        <v>Download, Print &amp; Status</v>
      </c>
      <c r="I34" s="7" t="str">
        <f aca="false">IF(INDEX(MASTER_DATABASE!$A$4:$A$1000,ROW()-3)="","",INDEX(MASTER_DATABASE!$AO$4:$AO$1000,ROW()-3)&amp;"")</f>
        <v>aadhaar-update-request-status-check-urn</v>
      </c>
      <c r="J34" s="7" t="str">
        <f aca="false">IF(INDEX(MASTER_DATABASE!$A$4:$A$1000,ROW()-3)="","",INDEX(MASTER_DATABASE!$BD$4:$BD$1000,ROW()-3)&amp;"")</f>
        <v>/services/aadhaar-update-request-status-check-urn</v>
      </c>
      <c r="K34" s="7" t="str">
        <f aca="false">IF(INDEX(MASTER_DATABASE!$A$4:$A$1000,ROW()-3)="","",INDEX(MASTER_DATABASE!$AX$4:$AX$1000,ROW()-3)&amp;"")</f>
        <v>Aadhaar Update Request Status Check (URN) Service | Devmobile Stores</v>
      </c>
      <c r="L34" s="7" t="str">
        <f aca="false">IF(INDEX(MASTER_DATABASE!$A$4:$A$1000,ROW()-3)="","",INDEX(MASTER_DATABASE!$AY$4:$AY$1000,ROW()-3)&amp;"")</f>
        <v>Aadhaar Update Request Status Check (URN) (आधार अपडेट रिक्वेस्ट स्थिति जाँच (URN)) at Devmobile Stores and Common Service Center &amp; Aadhaar Centre. Check required documents, charges and process before you visit.</v>
      </c>
      <c r="M34" s="7" t="str">
        <f aca="false">IF(INDEX(MASTER_DATABASE!$A$4:$A$1000,ROW()-3)="","",INDEX(MASTER_DATABASE!$AN$4:$AN$1000,ROW()-3)&amp;"")</f>
        <v>Aadhaar Update Request Status Check (URN), Aadhaar Centre, Devmobile Stores, आधार अपडेट रिक्वेस्ट स्थिति जाँच (URN), आधार सेंटर, सेवा</v>
      </c>
      <c r="N34" s="7" t="str">
        <f aca="false">IF(INDEX(MASTER_DATABASE!$A$4:$A$1000,ROW()-3)="","",INDEX(MASTER_DATABASE!$AZ$4:$AZ$1000,ROW()-3)&amp;"")</f>
        <v>आधार अपडेट रिक्वेस्ट स्थिति जाँच (URN), आधार सेंटर, सेवा</v>
      </c>
      <c r="O34" s="7" t="str">
        <f aca="false">IF(INDEX(MASTER_DATABASE!$A$4:$A$1000,ROW()-3)="","",INDEX(MASTER_DATABASE!$BA$4:$BA$1000,ROW()-3)&amp;"")</f>
        <v>Aadhaar Update Request Status Check (URN), Aadhaar Centre, Devmobile Stores</v>
      </c>
      <c r="P34" s="11" t="str">
        <f aca="false">IF(INDEX(MASTER_DATABASE!$A$4:$A$1000,ROW()-3)="","",INDEX(MASTER_DATABASE!$AP$4:$AP$1000,ROW()-3)&amp;"")</f>
        <v>🖨️</v>
      </c>
      <c r="Q34" s="7" t="str">
        <f aca="false">IF(INDEX(MASTER_DATABASE!$A$4:$A$1000,ROW()-3)="","",INDEX(MASTER_DATABASE!$BB$4:$BB$1000,ROW()-3)&amp;"")</f>
        <v/>
      </c>
      <c r="R34" s="11" t="str">
        <f aca="false">IF(INDEX(MASTER_DATABASE!$A$4:$A$1000,ROW()-3)="","",INDEX(MASTER_DATABASE!$BC$4:$BC$1000,ROW()-3)&amp;"")</f>
        <v>🪪</v>
      </c>
      <c r="S34" s="11" t="n">
        <f aca="false">IF(INDEX(MASTER_DATABASE!$A$4:$A$1000,ROW()-3)="","",INDEX(MASTER_DATABASE!$AQ$4:$AQ$1000,ROW()-3))</f>
        <v>310</v>
      </c>
      <c r="T34" s="7" t="str">
        <f aca="false">IF(INDEX(MASTER_DATABASE!$A$4:$A$1000,ROW()-3)="","",INDEX(MASTER_DATABASE!$I$4:$I$1000,ROW()-3)&amp;"")</f>
        <v>Portal Dependent</v>
      </c>
      <c r="U34" s="7" t="str">
        <f aca="false">IF(INDEX(MASTER_DATABASE!$A$4:$A$1000,ROW()-3)="","",INDEX(MASTER_DATABASE!$J$4:$J$1000,ROW()-3)&amp;"")</f>
        <v>Depends on Portal – Confirm at Shop</v>
      </c>
      <c r="V34" s="7" t="str">
        <f aca="false">IF(INDEX(MASTER_DATABASE!$A$4:$A$1000,ROW()-3)="","",INDEX(MASTER_DATABASE!$AG$4:$AG$1000,ROW()-3)&amp;"")</f>
        <v>To Verify</v>
      </c>
      <c r="W34" s="7" t="str">
        <f aca="false">IF(INDEX(MASTER_DATABASE!$A$4:$A$1000,ROW()-3)="","",INDEX(MASTER_DATABASE!$AH$4:$AH$1000,ROW()-3)&amp;"")</f>
        <v>No</v>
      </c>
      <c r="X34" s="7" t="str">
        <f aca="false">IF(INDEX(MASTER_DATABASE!$A$4:$A$1000,ROW()-3)="","",INDEX(MASTER_DATABASE!$AI$4:$AI$1000,ROW()-3)&amp;"")</f>
        <v>No</v>
      </c>
      <c r="Y34" s="7" t="str">
        <f aca="false">IF(INDEX(MASTER_DATABASE!$A$4:$A$1000,ROW()-3)="","",INDEX(MASTER_DATABASE!$AJ$4:$AJ$1000,ROW()-3)&amp;"")</f>
        <v>No</v>
      </c>
      <c r="Z34" s="7" t="str">
        <f aca="false">IF(INDEX(MASTER_DATABASE!$A$4:$A$1000,ROW()-3)="","",INDEX(MASTER_DATABASE!$AK$4:$AK$1000,ROW()-3)&amp;"")</f>
        <v>No</v>
      </c>
      <c r="AA34" s="7" t="str">
        <f aca="false">IF(INDEX(MASTER_DATABASE!$A$4:$A$1000,ROW()-3)="","",INDEX(MASTER_DATABASE!$BE$4:$BE$1000,ROW()-3)&amp;"")</f>
        <v>HIDDEN</v>
      </c>
    </row>
    <row r="35" customFormat="false" ht="57.45" hidden="false" customHeight="false" outlineLevel="0" collapsed="false">
      <c r="A35" s="11" t="str">
        <f aca="false">IF(INDEX(MASTER_DATABASE!$A$4:$A$1000,ROW()-3)="","",INDEX(MASTER_DATABASE!$A$4:$A$1000,ROW()-3)&amp;"")</f>
        <v>AAD-032</v>
      </c>
      <c r="B35" s="7" t="str">
        <f aca="false">IF(INDEX(MASTER_DATABASE!$A$4:$A$1000,ROW()-3)="","",INDEX(MASTER_DATABASE!$B$4:$B$1000,ROW()-3)&amp;"")</f>
        <v>Aadhaar Centre</v>
      </c>
      <c r="C35" s="7" t="str">
        <f aca="false">IF(INDEX(MASTER_DATABASE!$A$4:$A$1000,ROW()-3)="","",INDEX(MASTER_DATABASE!$C$4:$C$1000,ROW()-3)&amp;"")</f>
        <v>Aadhaar Services</v>
      </c>
      <c r="D35" s="7" t="str">
        <f aca="false">IF(INDEX(MASTER_DATABASE!$A$4:$A$1000,ROW()-3)="","",INDEX(MASTER_DATABASE!$D$4:$D$1000,ROW()-3)&amp;"")</f>
        <v>Download, Print &amp; Status</v>
      </c>
      <c r="E35" s="7" t="str">
        <f aca="false">IF(INDEX(MASTER_DATABASE!$A$4:$A$1000,ROW()-3)="","",INDEX(MASTER_DATABASE!$E$4:$E$1000,ROW()-3)&amp;"")</f>
        <v>Aadhaar Lost UID / EID Retrieval Assistance</v>
      </c>
      <c r="F35" s="7" t="str">
        <f aca="false">IF(INDEX(MASTER_DATABASE!$A$4:$A$1000,ROW()-3)="","",INDEX(MASTER_DATABASE!$F$4:$F$1000,ROW()-3)&amp;"")</f>
        <v>खोया आधार नंबर / EID पुनः प्राप्ति सहायता</v>
      </c>
      <c r="G35" s="7" t="str">
        <f aca="false">IF(INDEX(MASTER_DATABASE!$A$4:$A$1000,ROW()-3)="","",INDEX(MASTER_DATABASE!$AL$4:$AL$1000,ROW()-3)&amp;"")</f>
        <v>Aadhaar Centre</v>
      </c>
      <c r="H35" s="7" t="str">
        <f aca="false">IF(INDEX(MASTER_DATABASE!$A$4:$A$1000,ROW()-3)="","",INDEX(MASTER_DATABASE!$AM$4:$AM$1000,ROW()-3)&amp;"")</f>
        <v>Download, Print &amp; Status</v>
      </c>
      <c r="I35" s="7" t="str">
        <f aca="false">IF(INDEX(MASTER_DATABASE!$A$4:$A$1000,ROW()-3)="","",INDEX(MASTER_DATABASE!$AO$4:$AO$1000,ROW()-3)&amp;"")</f>
        <v>aadhaar-lost-uid-eid-retrieval-assistance</v>
      </c>
      <c r="J35" s="7" t="str">
        <f aca="false">IF(INDEX(MASTER_DATABASE!$A$4:$A$1000,ROW()-3)="","",INDEX(MASTER_DATABASE!$BD$4:$BD$1000,ROW()-3)&amp;"")</f>
        <v>/services/aadhaar-lost-uid-eid-retrieval-assistance</v>
      </c>
      <c r="K35" s="7" t="str">
        <f aca="false">IF(INDEX(MASTER_DATABASE!$A$4:$A$1000,ROW()-3)="","",INDEX(MASTER_DATABASE!$AX$4:$AX$1000,ROW()-3)&amp;"")</f>
        <v>Aadhaar Lost UID / EID Retrieval Assistance Service | Devmobile Stores</v>
      </c>
      <c r="L35" s="7" t="str">
        <f aca="false">IF(INDEX(MASTER_DATABASE!$A$4:$A$1000,ROW()-3)="","",INDEX(MASTER_DATABASE!$AY$4:$AY$1000,ROW()-3)&amp;"")</f>
        <v>Aadhaar Lost UID / EID Retrieval Assistance (खोया आधार नंबर / EID पुनः प्राप्ति सहायता) at Devmobile Stores and Common Service Center &amp; Aadhaar Centre. Check required documents, charges and process before you visit.</v>
      </c>
      <c r="M35" s="7" t="str">
        <f aca="false">IF(INDEX(MASTER_DATABASE!$A$4:$A$1000,ROW()-3)="","",INDEX(MASTER_DATABASE!$AN$4:$AN$1000,ROW()-3)&amp;"")</f>
        <v>Aadhaar Lost UID / EID Retrieval Assistance, Aadhaar Centre, Devmobile Stores, खोया आधार नंबर / EID पुनः प्राप्ति सहायता, आधार सेंटर, सेवा</v>
      </c>
      <c r="N35" s="7" t="str">
        <f aca="false">IF(INDEX(MASTER_DATABASE!$A$4:$A$1000,ROW()-3)="","",INDEX(MASTER_DATABASE!$AZ$4:$AZ$1000,ROW()-3)&amp;"")</f>
        <v>खोया आधार नंबर / EID पुनः प्राप्ति सहायता, आधार सेंटर, सेवा</v>
      </c>
      <c r="O35" s="7" t="str">
        <f aca="false">IF(INDEX(MASTER_DATABASE!$A$4:$A$1000,ROW()-3)="","",INDEX(MASTER_DATABASE!$BA$4:$BA$1000,ROW()-3)&amp;"")</f>
        <v>Aadhaar Lost UID / EID Retrieval Assistance, Aadhaar Centre, Devmobile Stores</v>
      </c>
      <c r="P35" s="11" t="str">
        <f aca="false">IF(INDEX(MASTER_DATABASE!$A$4:$A$1000,ROW()-3)="","",INDEX(MASTER_DATABASE!$AP$4:$AP$1000,ROW()-3)&amp;"")</f>
        <v>🖨️</v>
      </c>
      <c r="Q35" s="7" t="str">
        <f aca="false">IF(INDEX(MASTER_DATABASE!$A$4:$A$1000,ROW()-3)="","",INDEX(MASTER_DATABASE!$BB$4:$BB$1000,ROW()-3)&amp;"")</f>
        <v/>
      </c>
      <c r="R35" s="11" t="str">
        <f aca="false">IF(INDEX(MASTER_DATABASE!$A$4:$A$1000,ROW()-3)="","",INDEX(MASTER_DATABASE!$BC$4:$BC$1000,ROW()-3)&amp;"")</f>
        <v>🪪</v>
      </c>
      <c r="S35" s="11" t="n">
        <f aca="false">IF(INDEX(MASTER_DATABASE!$A$4:$A$1000,ROW()-3)="","",INDEX(MASTER_DATABASE!$AQ$4:$AQ$1000,ROW()-3))</f>
        <v>320</v>
      </c>
      <c r="T35" s="7" t="str">
        <f aca="false">IF(INDEX(MASTER_DATABASE!$A$4:$A$1000,ROW()-3)="","",INDEX(MASTER_DATABASE!$I$4:$I$1000,ROW()-3)&amp;"")</f>
        <v>Portal Dependent</v>
      </c>
      <c r="U35" s="7" t="str">
        <f aca="false">IF(INDEX(MASTER_DATABASE!$A$4:$A$1000,ROW()-3)="","",INDEX(MASTER_DATABASE!$J$4:$J$1000,ROW()-3)&amp;"")</f>
        <v>Depends on Portal – Confirm at Shop</v>
      </c>
      <c r="V35" s="7" t="str">
        <f aca="false">IF(INDEX(MASTER_DATABASE!$A$4:$A$1000,ROW()-3)="","",INDEX(MASTER_DATABASE!$AG$4:$AG$1000,ROW()-3)&amp;"")</f>
        <v>To Verify</v>
      </c>
      <c r="W35" s="7" t="str">
        <f aca="false">IF(INDEX(MASTER_DATABASE!$A$4:$A$1000,ROW()-3)="","",INDEX(MASTER_DATABASE!$AH$4:$AH$1000,ROW()-3)&amp;"")</f>
        <v>No</v>
      </c>
      <c r="X35" s="7" t="str">
        <f aca="false">IF(INDEX(MASTER_DATABASE!$A$4:$A$1000,ROW()-3)="","",INDEX(MASTER_DATABASE!$AI$4:$AI$1000,ROW()-3)&amp;"")</f>
        <v>No</v>
      </c>
      <c r="Y35" s="7" t="str">
        <f aca="false">IF(INDEX(MASTER_DATABASE!$A$4:$A$1000,ROW()-3)="","",INDEX(MASTER_DATABASE!$AJ$4:$AJ$1000,ROW()-3)&amp;"")</f>
        <v>No</v>
      </c>
      <c r="Z35" s="7" t="str">
        <f aca="false">IF(INDEX(MASTER_DATABASE!$A$4:$A$1000,ROW()-3)="","",INDEX(MASTER_DATABASE!$AK$4:$AK$1000,ROW()-3)&amp;"")</f>
        <v>No</v>
      </c>
      <c r="AA35" s="7" t="str">
        <f aca="false">IF(INDEX(MASTER_DATABASE!$A$4:$A$1000,ROW()-3)="","",INDEX(MASTER_DATABASE!$BE$4:$BE$1000,ROW()-3)&amp;"")</f>
        <v>HIDDEN</v>
      </c>
    </row>
    <row r="36" customFormat="false" ht="57.45" hidden="false" customHeight="false" outlineLevel="0" collapsed="false">
      <c r="A36" s="11" t="str">
        <f aca="false">IF(INDEX(MASTER_DATABASE!$A$4:$A$1000,ROW()-3)="","",INDEX(MASTER_DATABASE!$A$4:$A$1000,ROW()-3)&amp;"")</f>
        <v>AAD-033</v>
      </c>
      <c r="B36" s="7" t="str">
        <f aca="false">IF(INDEX(MASTER_DATABASE!$A$4:$A$1000,ROW()-3)="","",INDEX(MASTER_DATABASE!$B$4:$B$1000,ROW()-3)&amp;"")</f>
        <v>Aadhaar Centre</v>
      </c>
      <c r="C36" s="7" t="str">
        <f aca="false">IF(INDEX(MASTER_DATABASE!$A$4:$A$1000,ROW()-3)="","",INDEX(MASTER_DATABASE!$C$4:$C$1000,ROW()-3)&amp;"")</f>
        <v>Aadhaar Services</v>
      </c>
      <c r="D36" s="7" t="str">
        <f aca="false">IF(INDEX(MASTER_DATABASE!$A$4:$A$1000,ROW()-3)="","",INDEX(MASTER_DATABASE!$D$4:$D$1000,ROW()-3)&amp;"")</f>
        <v>Download, Print &amp; Status</v>
      </c>
      <c r="E36" s="7" t="str">
        <f aca="false">IF(INDEX(MASTER_DATABASE!$A$4:$A$1000,ROW()-3)="","",INDEX(MASTER_DATABASE!$E$4:$E$1000,ROW()-3)&amp;"")</f>
        <v>Aadhaar Virtual ID (VID) Generation Assistance</v>
      </c>
      <c r="F36" s="7" t="str">
        <f aca="false">IF(INDEX(MASTER_DATABASE!$A$4:$A$1000,ROW()-3)="","",INDEX(MASTER_DATABASE!$F$4:$F$1000,ROW()-3)&amp;"")</f>
        <v>आधार वर्चुअल ID (VID) निर्माण सहायता</v>
      </c>
      <c r="G36" s="7" t="str">
        <f aca="false">IF(INDEX(MASTER_DATABASE!$A$4:$A$1000,ROW()-3)="","",INDEX(MASTER_DATABASE!$AL$4:$AL$1000,ROW()-3)&amp;"")</f>
        <v>Aadhaar Centre</v>
      </c>
      <c r="H36" s="7" t="str">
        <f aca="false">IF(INDEX(MASTER_DATABASE!$A$4:$A$1000,ROW()-3)="","",INDEX(MASTER_DATABASE!$AM$4:$AM$1000,ROW()-3)&amp;"")</f>
        <v>Download, Print &amp; Status</v>
      </c>
      <c r="I36" s="7" t="str">
        <f aca="false">IF(INDEX(MASTER_DATABASE!$A$4:$A$1000,ROW()-3)="","",INDEX(MASTER_DATABASE!$AO$4:$AO$1000,ROW()-3)&amp;"")</f>
        <v>aadhaar-virtual-id-vid-generation-assistance</v>
      </c>
      <c r="J36" s="7" t="str">
        <f aca="false">IF(INDEX(MASTER_DATABASE!$A$4:$A$1000,ROW()-3)="","",INDEX(MASTER_DATABASE!$BD$4:$BD$1000,ROW()-3)&amp;"")</f>
        <v>/services/aadhaar-virtual-id-vid-generation-assistance</v>
      </c>
      <c r="K36" s="7" t="str">
        <f aca="false">IF(INDEX(MASTER_DATABASE!$A$4:$A$1000,ROW()-3)="","",INDEX(MASTER_DATABASE!$AX$4:$AX$1000,ROW()-3)&amp;"")</f>
        <v>Aadhaar Virtual ID (VID) Generation Assistance Service | Devmobile Stores</v>
      </c>
      <c r="L36" s="7" t="str">
        <f aca="false">IF(INDEX(MASTER_DATABASE!$A$4:$A$1000,ROW()-3)="","",INDEX(MASTER_DATABASE!$AY$4:$AY$1000,ROW()-3)&amp;"")</f>
        <v>Aadhaar Virtual ID (VID) Generation Assistance (आधार वर्चुअल ID (VID) निर्माण सहायता) at Devmobile Stores and Common Service Center &amp; Aadhaar Centre. Check required documents, charges and process before you visit.</v>
      </c>
      <c r="M36" s="7" t="str">
        <f aca="false">IF(INDEX(MASTER_DATABASE!$A$4:$A$1000,ROW()-3)="","",INDEX(MASTER_DATABASE!$AN$4:$AN$1000,ROW()-3)&amp;"")</f>
        <v>Aadhaar Virtual ID (VID) Generation Assistance, Aadhaar Centre, Devmobile Stores, आधार वर्चुअल ID (VID) निर्माण सहायता, आधार सेंटर, सेवा</v>
      </c>
      <c r="N36" s="7" t="str">
        <f aca="false">IF(INDEX(MASTER_DATABASE!$A$4:$A$1000,ROW()-3)="","",INDEX(MASTER_DATABASE!$AZ$4:$AZ$1000,ROW()-3)&amp;"")</f>
        <v>आधार वर्चुअल ID (VID) निर्माण सहायता, आधार सेंटर, सेवा</v>
      </c>
      <c r="O36" s="7" t="str">
        <f aca="false">IF(INDEX(MASTER_DATABASE!$A$4:$A$1000,ROW()-3)="","",INDEX(MASTER_DATABASE!$BA$4:$BA$1000,ROW()-3)&amp;"")</f>
        <v>Aadhaar Virtual ID (VID) Generation Assistance, Aadhaar Centre, Devmobile Stores</v>
      </c>
      <c r="P36" s="11" t="str">
        <f aca="false">IF(INDEX(MASTER_DATABASE!$A$4:$A$1000,ROW()-3)="","",INDEX(MASTER_DATABASE!$AP$4:$AP$1000,ROW()-3)&amp;"")</f>
        <v>🖨️</v>
      </c>
      <c r="Q36" s="7" t="str">
        <f aca="false">IF(INDEX(MASTER_DATABASE!$A$4:$A$1000,ROW()-3)="","",INDEX(MASTER_DATABASE!$BB$4:$BB$1000,ROW()-3)&amp;"")</f>
        <v/>
      </c>
      <c r="R36" s="11" t="str">
        <f aca="false">IF(INDEX(MASTER_DATABASE!$A$4:$A$1000,ROW()-3)="","",INDEX(MASTER_DATABASE!$BC$4:$BC$1000,ROW()-3)&amp;"")</f>
        <v>🪪</v>
      </c>
      <c r="S36" s="11" t="n">
        <f aca="false">IF(INDEX(MASTER_DATABASE!$A$4:$A$1000,ROW()-3)="","",INDEX(MASTER_DATABASE!$AQ$4:$AQ$1000,ROW()-3))</f>
        <v>330</v>
      </c>
      <c r="T36" s="7" t="str">
        <f aca="false">IF(INDEX(MASTER_DATABASE!$A$4:$A$1000,ROW()-3)="","",INDEX(MASTER_DATABASE!$I$4:$I$1000,ROW()-3)&amp;"")</f>
        <v>Portal Dependent</v>
      </c>
      <c r="U36" s="7" t="str">
        <f aca="false">IF(INDEX(MASTER_DATABASE!$A$4:$A$1000,ROW()-3)="","",INDEX(MASTER_DATABASE!$J$4:$J$1000,ROW()-3)&amp;"")</f>
        <v>Depends on Portal – Confirm at Shop</v>
      </c>
      <c r="V36" s="7" t="str">
        <f aca="false">IF(INDEX(MASTER_DATABASE!$A$4:$A$1000,ROW()-3)="","",INDEX(MASTER_DATABASE!$AG$4:$AG$1000,ROW()-3)&amp;"")</f>
        <v>To Verify</v>
      </c>
      <c r="W36" s="7" t="str">
        <f aca="false">IF(INDEX(MASTER_DATABASE!$A$4:$A$1000,ROW()-3)="","",INDEX(MASTER_DATABASE!$AH$4:$AH$1000,ROW()-3)&amp;"")</f>
        <v>No</v>
      </c>
      <c r="X36" s="7" t="str">
        <f aca="false">IF(INDEX(MASTER_DATABASE!$A$4:$A$1000,ROW()-3)="","",INDEX(MASTER_DATABASE!$AI$4:$AI$1000,ROW()-3)&amp;"")</f>
        <v>No</v>
      </c>
      <c r="Y36" s="7" t="str">
        <f aca="false">IF(INDEX(MASTER_DATABASE!$A$4:$A$1000,ROW()-3)="","",INDEX(MASTER_DATABASE!$AJ$4:$AJ$1000,ROW()-3)&amp;"")</f>
        <v>No</v>
      </c>
      <c r="Z36" s="7" t="str">
        <f aca="false">IF(INDEX(MASTER_DATABASE!$A$4:$A$1000,ROW()-3)="","",INDEX(MASTER_DATABASE!$AK$4:$AK$1000,ROW()-3)&amp;"")</f>
        <v>No</v>
      </c>
      <c r="AA36" s="7" t="str">
        <f aca="false">IF(INDEX(MASTER_DATABASE!$A$4:$A$1000,ROW()-3)="","",INDEX(MASTER_DATABASE!$BE$4:$BE$1000,ROW()-3)&amp;"")</f>
        <v>HIDDEN</v>
      </c>
    </row>
    <row r="37" customFormat="false" ht="46.25" hidden="false" customHeight="false" outlineLevel="0" collapsed="false">
      <c r="A37" s="11" t="str">
        <f aca="false">IF(INDEX(MASTER_DATABASE!$A$4:$A$1000,ROW()-3)="","",INDEX(MASTER_DATABASE!$A$4:$A$1000,ROW()-3)&amp;"")</f>
        <v>AAD-034</v>
      </c>
      <c r="B37" s="7" t="str">
        <f aca="false">IF(INDEX(MASTER_DATABASE!$A$4:$A$1000,ROW()-3)="","",INDEX(MASTER_DATABASE!$B$4:$B$1000,ROW()-3)&amp;"")</f>
        <v>Aadhaar Centre</v>
      </c>
      <c r="C37" s="7" t="str">
        <f aca="false">IF(INDEX(MASTER_DATABASE!$A$4:$A$1000,ROW()-3)="","",INDEX(MASTER_DATABASE!$C$4:$C$1000,ROW()-3)&amp;"")</f>
        <v>Aadhaar Services</v>
      </c>
      <c r="D37" s="7" t="str">
        <f aca="false">IF(INDEX(MASTER_DATABASE!$A$4:$A$1000,ROW()-3)="","",INDEX(MASTER_DATABASE!$D$4:$D$1000,ROW()-3)&amp;"")</f>
        <v>Download, Print &amp; Status</v>
      </c>
      <c r="E37" s="7" t="str">
        <f aca="false">IF(INDEX(MASTER_DATABASE!$A$4:$A$1000,ROW()-3)="","",INDEX(MASTER_DATABASE!$E$4:$E$1000,ROW()-3)&amp;"")</f>
        <v>Aadhaar Lock / Unlock Assistance</v>
      </c>
      <c r="F37" s="7" t="str">
        <f aca="false">IF(INDEX(MASTER_DATABASE!$A$4:$A$1000,ROW()-3)="","",INDEX(MASTER_DATABASE!$F$4:$F$1000,ROW()-3)&amp;"")</f>
        <v>आधार लॉक / अनलॉक सहायता</v>
      </c>
      <c r="G37" s="7" t="str">
        <f aca="false">IF(INDEX(MASTER_DATABASE!$A$4:$A$1000,ROW()-3)="","",INDEX(MASTER_DATABASE!$AL$4:$AL$1000,ROW()-3)&amp;"")</f>
        <v>Aadhaar Centre</v>
      </c>
      <c r="H37" s="7" t="str">
        <f aca="false">IF(INDEX(MASTER_DATABASE!$A$4:$A$1000,ROW()-3)="","",INDEX(MASTER_DATABASE!$AM$4:$AM$1000,ROW()-3)&amp;"")</f>
        <v>Download, Print &amp; Status</v>
      </c>
      <c r="I37" s="7" t="str">
        <f aca="false">IF(INDEX(MASTER_DATABASE!$A$4:$A$1000,ROW()-3)="","",INDEX(MASTER_DATABASE!$AO$4:$AO$1000,ROW()-3)&amp;"")</f>
        <v>aadhaar-lock-unlock-assistance</v>
      </c>
      <c r="J37" s="7" t="str">
        <f aca="false">IF(INDEX(MASTER_DATABASE!$A$4:$A$1000,ROW()-3)="","",INDEX(MASTER_DATABASE!$BD$4:$BD$1000,ROW()-3)&amp;"")</f>
        <v>/services/aadhaar-lock-unlock-assistance</v>
      </c>
      <c r="K37" s="7" t="str">
        <f aca="false">IF(INDEX(MASTER_DATABASE!$A$4:$A$1000,ROW()-3)="","",INDEX(MASTER_DATABASE!$AX$4:$AX$1000,ROW()-3)&amp;"")</f>
        <v>Aadhaar Lock / Unlock Assistance Service | Devmobile Stores</v>
      </c>
      <c r="L37" s="7" t="str">
        <f aca="false">IF(INDEX(MASTER_DATABASE!$A$4:$A$1000,ROW()-3)="","",INDEX(MASTER_DATABASE!$AY$4:$AY$1000,ROW()-3)&amp;"")</f>
        <v>Aadhaar Lock / Unlock Assistance (आधार लॉक / अनलॉक सहायता) at Devmobile Stores and Common Service Center &amp; Aadhaar Centre. Check required documents, charges and process before you visit.</v>
      </c>
      <c r="M37" s="7" t="str">
        <f aca="false">IF(INDEX(MASTER_DATABASE!$A$4:$A$1000,ROW()-3)="","",INDEX(MASTER_DATABASE!$AN$4:$AN$1000,ROW()-3)&amp;"")</f>
        <v>Aadhaar Lock / Unlock Assistance, Aadhaar Centre, Devmobile Stores, आधार लॉक / अनलॉक सहायता, आधार सेंटर, सेवा</v>
      </c>
      <c r="N37" s="7" t="str">
        <f aca="false">IF(INDEX(MASTER_DATABASE!$A$4:$A$1000,ROW()-3)="","",INDEX(MASTER_DATABASE!$AZ$4:$AZ$1000,ROW()-3)&amp;"")</f>
        <v>आधार लॉक / अनलॉक सहायता, आधार सेंटर, सेवा</v>
      </c>
      <c r="O37" s="7" t="str">
        <f aca="false">IF(INDEX(MASTER_DATABASE!$A$4:$A$1000,ROW()-3)="","",INDEX(MASTER_DATABASE!$BA$4:$BA$1000,ROW()-3)&amp;"")</f>
        <v>Aadhaar Lock / Unlock Assistance, Aadhaar Centre, Devmobile Stores</v>
      </c>
      <c r="P37" s="11" t="str">
        <f aca="false">IF(INDEX(MASTER_DATABASE!$A$4:$A$1000,ROW()-3)="","",INDEX(MASTER_DATABASE!$AP$4:$AP$1000,ROW()-3)&amp;"")</f>
        <v>🖨️</v>
      </c>
      <c r="Q37" s="7" t="str">
        <f aca="false">IF(INDEX(MASTER_DATABASE!$A$4:$A$1000,ROW()-3)="","",INDEX(MASTER_DATABASE!$BB$4:$BB$1000,ROW()-3)&amp;"")</f>
        <v/>
      </c>
      <c r="R37" s="11" t="str">
        <f aca="false">IF(INDEX(MASTER_DATABASE!$A$4:$A$1000,ROW()-3)="","",INDEX(MASTER_DATABASE!$BC$4:$BC$1000,ROW()-3)&amp;"")</f>
        <v>🪪</v>
      </c>
      <c r="S37" s="11" t="n">
        <f aca="false">IF(INDEX(MASTER_DATABASE!$A$4:$A$1000,ROW()-3)="","",INDEX(MASTER_DATABASE!$AQ$4:$AQ$1000,ROW()-3))</f>
        <v>340</v>
      </c>
      <c r="T37" s="7" t="str">
        <f aca="false">IF(INDEX(MASTER_DATABASE!$A$4:$A$1000,ROW()-3)="","",INDEX(MASTER_DATABASE!$I$4:$I$1000,ROW()-3)&amp;"")</f>
        <v>Portal Dependent</v>
      </c>
      <c r="U37" s="7" t="str">
        <f aca="false">IF(INDEX(MASTER_DATABASE!$A$4:$A$1000,ROW()-3)="","",INDEX(MASTER_DATABASE!$J$4:$J$1000,ROW()-3)&amp;"")</f>
        <v>Depends on Portal – Confirm at Shop</v>
      </c>
      <c r="V37" s="7" t="str">
        <f aca="false">IF(INDEX(MASTER_DATABASE!$A$4:$A$1000,ROW()-3)="","",INDEX(MASTER_DATABASE!$AG$4:$AG$1000,ROW()-3)&amp;"")</f>
        <v>To Verify</v>
      </c>
      <c r="W37" s="7" t="str">
        <f aca="false">IF(INDEX(MASTER_DATABASE!$A$4:$A$1000,ROW()-3)="","",INDEX(MASTER_DATABASE!$AH$4:$AH$1000,ROW()-3)&amp;"")</f>
        <v>No</v>
      </c>
      <c r="X37" s="7" t="str">
        <f aca="false">IF(INDEX(MASTER_DATABASE!$A$4:$A$1000,ROW()-3)="","",INDEX(MASTER_DATABASE!$AI$4:$AI$1000,ROW()-3)&amp;"")</f>
        <v>No</v>
      </c>
      <c r="Y37" s="7" t="str">
        <f aca="false">IF(INDEX(MASTER_DATABASE!$A$4:$A$1000,ROW()-3)="","",INDEX(MASTER_DATABASE!$AJ$4:$AJ$1000,ROW()-3)&amp;"")</f>
        <v>No</v>
      </c>
      <c r="Z37" s="7" t="str">
        <f aca="false">IF(INDEX(MASTER_DATABASE!$A$4:$A$1000,ROW()-3)="","",INDEX(MASTER_DATABASE!$AK$4:$AK$1000,ROW()-3)&amp;"")</f>
        <v>No</v>
      </c>
      <c r="AA37" s="7" t="str">
        <f aca="false">IF(INDEX(MASTER_DATABASE!$A$4:$A$1000,ROW()-3)="","",INDEX(MASTER_DATABASE!$BE$4:$BE$1000,ROW()-3)&amp;"")</f>
        <v>HIDDEN</v>
      </c>
    </row>
    <row r="38" customFormat="false" ht="46.25" hidden="false" customHeight="false" outlineLevel="0" collapsed="false">
      <c r="A38" s="11" t="str">
        <f aca="false">IF(INDEX(MASTER_DATABASE!$A$4:$A$1000,ROW()-3)="","",INDEX(MASTER_DATABASE!$A$4:$A$1000,ROW()-3)&amp;"")</f>
        <v>AAD-035</v>
      </c>
      <c r="B38" s="7" t="str">
        <f aca="false">IF(INDEX(MASTER_DATABASE!$A$4:$A$1000,ROW()-3)="","",INDEX(MASTER_DATABASE!$B$4:$B$1000,ROW()-3)&amp;"")</f>
        <v>Aadhaar Centre</v>
      </c>
      <c r="C38" s="7" t="str">
        <f aca="false">IF(INDEX(MASTER_DATABASE!$A$4:$A$1000,ROW()-3)="","",INDEX(MASTER_DATABASE!$C$4:$C$1000,ROW()-3)&amp;"")</f>
        <v>Aadhaar Services</v>
      </c>
      <c r="D38" s="7" t="str">
        <f aca="false">IF(INDEX(MASTER_DATABASE!$A$4:$A$1000,ROW()-3)="","",INDEX(MASTER_DATABASE!$D$4:$D$1000,ROW()-3)&amp;"")</f>
        <v>Download, Print &amp; Status</v>
      </c>
      <c r="E38" s="7" t="str">
        <f aca="false">IF(INDEX(MASTER_DATABASE!$A$4:$A$1000,ROW()-3)="","",INDEX(MASTER_DATABASE!$E$4:$E$1000,ROW()-3)&amp;"")</f>
        <v>Aadhaar Authentication History Check</v>
      </c>
      <c r="F38" s="7" t="str">
        <f aca="false">IF(INDEX(MASTER_DATABASE!$A$4:$A$1000,ROW()-3)="","",INDEX(MASTER_DATABASE!$F$4:$F$1000,ROW()-3)&amp;"")</f>
        <v>आधार ऑथेंटिकेशन हिस्ट्री जाँच</v>
      </c>
      <c r="G38" s="7" t="str">
        <f aca="false">IF(INDEX(MASTER_DATABASE!$A$4:$A$1000,ROW()-3)="","",INDEX(MASTER_DATABASE!$AL$4:$AL$1000,ROW()-3)&amp;"")</f>
        <v>Aadhaar Centre</v>
      </c>
      <c r="H38" s="7" t="str">
        <f aca="false">IF(INDEX(MASTER_DATABASE!$A$4:$A$1000,ROW()-3)="","",INDEX(MASTER_DATABASE!$AM$4:$AM$1000,ROW()-3)&amp;"")</f>
        <v>Download, Print &amp; Status</v>
      </c>
      <c r="I38" s="7" t="str">
        <f aca="false">IF(INDEX(MASTER_DATABASE!$A$4:$A$1000,ROW()-3)="","",INDEX(MASTER_DATABASE!$AO$4:$AO$1000,ROW()-3)&amp;"")</f>
        <v>aadhaar-authentication-history-check</v>
      </c>
      <c r="J38" s="7" t="str">
        <f aca="false">IF(INDEX(MASTER_DATABASE!$A$4:$A$1000,ROW()-3)="","",INDEX(MASTER_DATABASE!$BD$4:$BD$1000,ROW()-3)&amp;"")</f>
        <v>/services/aadhaar-authentication-history-check</v>
      </c>
      <c r="K38" s="7" t="str">
        <f aca="false">IF(INDEX(MASTER_DATABASE!$A$4:$A$1000,ROW()-3)="","",INDEX(MASTER_DATABASE!$AX$4:$AX$1000,ROW()-3)&amp;"")</f>
        <v>Aadhaar Authentication History Check Service | Devmobile Stores</v>
      </c>
      <c r="L38" s="7" t="str">
        <f aca="false">IF(INDEX(MASTER_DATABASE!$A$4:$A$1000,ROW()-3)="","",INDEX(MASTER_DATABASE!$AY$4:$AY$1000,ROW()-3)&amp;"")</f>
        <v>Aadhaar Authentication History Check (आधार ऑथेंटिकेशन हिस्ट्री जाँच) at Devmobile Stores and Common Service Center &amp; Aadhaar Centre. Check required documents, charges and process before you visit.</v>
      </c>
      <c r="M38" s="7" t="str">
        <f aca="false">IF(INDEX(MASTER_DATABASE!$A$4:$A$1000,ROW()-3)="","",INDEX(MASTER_DATABASE!$AN$4:$AN$1000,ROW()-3)&amp;"")</f>
        <v>Aadhaar Authentication History Check, Aadhaar Centre, Devmobile Stores, आधार ऑथेंटिकेशन हिस्ट्री जाँच, आधार सेंटर, सेवा</v>
      </c>
      <c r="N38" s="7" t="str">
        <f aca="false">IF(INDEX(MASTER_DATABASE!$A$4:$A$1000,ROW()-3)="","",INDEX(MASTER_DATABASE!$AZ$4:$AZ$1000,ROW()-3)&amp;"")</f>
        <v>आधार ऑथेंटिकेशन हिस्ट्री जाँच, आधार सेंटर, सेवा</v>
      </c>
      <c r="O38" s="7" t="str">
        <f aca="false">IF(INDEX(MASTER_DATABASE!$A$4:$A$1000,ROW()-3)="","",INDEX(MASTER_DATABASE!$BA$4:$BA$1000,ROW()-3)&amp;"")</f>
        <v>Aadhaar Authentication History Check, Aadhaar Centre, Devmobile Stores</v>
      </c>
      <c r="P38" s="11" t="str">
        <f aca="false">IF(INDEX(MASTER_DATABASE!$A$4:$A$1000,ROW()-3)="","",INDEX(MASTER_DATABASE!$AP$4:$AP$1000,ROW()-3)&amp;"")</f>
        <v>🖨️</v>
      </c>
      <c r="Q38" s="7" t="str">
        <f aca="false">IF(INDEX(MASTER_DATABASE!$A$4:$A$1000,ROW()-3)="","",INDEX(MASTER_DATABASE!$BB$4:$BB$1000,ROW()-3)&amp;"")</f>
        <v/>
      </c>
      <c r="R38" s="11" t="str">
        <f aca="false">IF(INDEX(MASTER_DATABASE!$A$4:$A$1000,ROW()-3)="","",INDEX(MASTER_DATABASE!$BC$4:$BC$1000,ROW()-3)&amp;"")</f>
        <v>🪪</v>
      </c>
      <c r="S38" s="11" t="n">
        <f aca="false">IF(INDEX(MASTER_DATABASE!$A$4:$A$1000,ROW()-3)="","",INDEX(MASTER_DATABASE!$AQ$4:$AQ$1000,ROW()-3))</f>
        <v>350</v>
      </c>
      <c r="T38" s="7" t="str">
        <f aca="false">IF(INDEX(MASTER_DATABASE!$A$4:$A$1000,ROW()-3)="","",INDEX(MASTER_DATABASE!$I$4:$I$1000,ROW()-3)&amp;"")</f>
        <v>Portal Dependent</v>
      </c>
      <c r="U38" s="7" t="str">
        <f aca="false">IF(INDEX(MASTER_DATABASE!$A$4:$A$1000,ROW()-3)="","",INDEX(MASTER_DATABASE!$J$4:$J$1000,ROW()-3)&amp;"")</f>
        <v>Depends on Portal – Confirm at Shop</v>
      </c>
      <c r="V38" s="7" t="str">
        <f aca="false">IF(INDEX(MASTER_DATABASE!$A$4:$A$1000,ROW()-3)="","",INDEX(MASTER_DATABASE!$AG$4:$AG$1000,ROW()-3)&amp;"")</f>
        <v>To Verify</v>
      </c>
      <c r="W38" s="7" t="str">
        <f aca="false">IF(INDEX(MASTER_DATABASE!$A$4:$A$1000,ROW()-3)="","",INDEX(MASTER_DATABASE!$AH$4:$AH$1000,ROW()-3)&amp;"")</f>
        <v>No</v>
      </c>
      <c r="X38" s="7" t="str">
        <f aca="false">IF(INDEX(MASTER_DATABASE!$A$4:$A$1000,ROW()-3)="","",INDEX(MASTER_DATABASE!$AI$4:$AI$1000,ROW()-3)&amp;"")</f>
        <v>No</v>
      </c>
      <c r="Y38" s="7" t="str">
        <f aca="false">IF(INDEX(MASTER_DATABASE!$A$4:$A$1000,ROW()-3)="","",INDEX(MASTER_DATABASE!$AJ$4:$AJ$1000,ROW()-3)&amp;"")</f>
        <v>No</v>
      </c>
      <c r="Z38" s="7" t="str">
        <f aca="false">IF(INDEX(MASTER_DATABASE!$A$4:$A$1000,ROW()-3)="","",INDEX(MASTER_DATABASE!$AK$4:$AK$1000,ROW()-3)&amp;"")</f>
        <v>No</v>
      </c>
      <c r="AA38" s="7" t="str">
        <f aca="false">IF(INDEX(MASTER_DATABASE!$A$4:$A$1000,ROW()-3)="","",INDEX(MASTER_DATABASE!$BE$4:$BE$1000,ROW()-3)&amp;"")</f>
        <v>HIDDEN</v>
      </c>
    </row>
    <row r="39" customFormat="false" ht="46.25" hidden="false" customHeight="false" outlineLevel="0" collapsed="false">
      <c r="A39" s="11" t="str">
        <f aca="false">IF(INDEX(MASTER_DATABASE!$A$4:$A$1000,ROW()-3)="","",INDEX(MASTER_DATABASE!$A$4:$A$1000,ROW()-3)&amp;"")</f>
        <v>AAD-036</v>
      </c>
      <c r="B39" s="7" t="str">
        <f aca="false">IF(INDEX(MASTER_DATABASE!$A$4:$A$1000,ROW()-3)="","",INDEX(MASTER_DATABASE!$B$4:$B$1000,ROW()-3)&amp;"")</f>
        <v>Aadhaar Centre</v>
      </c>
      <c r="C39" s="7" t="str">
        <f aca="false">IF(INDEX(MASTER_DATABASE!$A$4:$A$1000,ROW()-3)="","",INDEX(MASTER_DATABASE!$C$4:$C$1000,ROW()-3)&amp;"")</f>
        <v>Aadhaar Services</v>
      </c>
      <c r="D39" s="7" t="str">
        <f aca="false">IF(INDEX(MASTER_DATABASE!$A$4:$A$1000,ROW()-3)="","",INDEX(MASTER_DATABASE!$D$4:$D$1000,ROW()-3)&amp;"")</f>
        <v>Download, Print &amp; Status</v>
      </c>
      <c r="E39" s="7" t="str">
        <f aca="false">IF(INDEX(MASTER_DATABASE!$A$4:$A$1000,ROW()-3)="","",INDEX(MASTER_DATABASE!$E$4:$E$1000,ROW()-3)&amp;"")</f>
        <v>Aadhaar Mobile / Email Link Check</v>
      </c>
      <c r="F39" s="7" t="str">
        <f aca="false">IF(INDEX(MASTER_DATABASE!$A$4:$A$1000,ROW()-3)="","",INDEX(MASTER_DATABASE!$F$4:$F$1000,ROW()-3)&amp;"")</f>
        <v>आधार मोबाइल / ईमेल लिंक जाँच</v>
      </c>
      <c r="G39" s="7" t="str">
        <f aca="false">IF(INDEX(MASTER_DATABASE!$A$4:$A$1000,ROW()-3)="","",INDEX(MASTER_DATABASE!$AL$4:$AL$1000,ROW()-3)&amp;"")</f>
        <v>Aadhaar Centre</v>
      </c>
      <c r="H39" s="7" t="str">
        <f aca="false">IF(INDEX(MASTER_DATABASE!$A$4:$A$1000,ROW()-3)="","",INDEX(MASTER_DATABASE!$AM$4:$AM$1000,ROW()-3)&amp;"")</f>
        <v>Download, Print &amp; Status</v>
      </c>
      <c r="I39" s="7" t="str">
        <f aca="false">IF(INDEX(MASTER_DATABASE!$A$4:$A$1000,ROW()-3)="","",INDEX(MASTER_DATABASE!$AO$4:$AO$1000,ROW()-3)&amp;"")</f>
        <v>aadhaar-mobile-email-link-check</v>
      </c>
      <c r="J39" s="7" t="str">
        <f aca="false">IF(INDEX(MASTER_DATABASE!$A$4:$A$1000,ROW()-3)="","",INDEX(MASTER_DATABASE!$BD$4:$BD$1000,ROW()-3)&amp;"")</f>
        <v>/services/aadhaar-mobile-email-link-check</v>
      </c>
      <c r="K39" s="7" t="str">
        <f aca="false">IF(INDEX(MASTER_DATABASE!$A$4:$A$1000,ROW()-3)="","",INDEX(MASTER_DATABASE!$AX$4:$AX$1000,ROW()-3)&amp;"")</f>
        <v>Aadhaar Mobile / Email Link Check Service | Devmobile Stores</v>
      </c>
      <c r="L39" s="7" t="str">
        <f aca="false">IF(INDEX(MASTER_DATABASE!$A$4:$A$1000,ROW()-3)="","",INDEX(MASTER_DATABASE!$AY$4:$AY$1000,ROW()-3)&amp;"")</f>
        <v>Aadhaar Mobile / Email Link Check (आधार मोबाइल / ईमेल लिंक जाँच) at Devmobile Stores and Common Service Center &amp; Aadhaar Centre. Check required documents, charges and process before you visit.</v>
      </c>
      <c r="M39" s="7" t="str">
        <f aca="false">IF(INDEX(MASTER_DATABASE!$A$4:$A$1000,ROW()-3)="","",INDEX(MASTER_DATABASE!$AN$4:$AN$1000,ROW()-3)&amp;"")</f>
        <v>Aadhaar Mobile / Email Link Check, Aadhaar Centre, Devmobile Stores, आधार मोबाइल / ईमेल लिंक जाँच, आधार सेंटर, सेवा</v>
      </c>
      <c r="N39" s="7" t="str">
        <f aca="false">IF(INDEX(MASTER_DATABASE!$A$4:$A$1000,ROW()-3)="","",INDEX(MASTER_DATABASE!$AZ$4:$AZ$1000,ROW()-3)&amp;"")</f>
        <v>आधार मोबाइल / ईमेल लिंक जाँच, आधार सेंटर, सेवा</v>
      </c>
      <c r="O39" s="7" t="str">
        <f aca="false">IF(INDEX(MASTER_DATABASE!$A$4:$A$1000,ROW()-3)="","",INDEX(MASTER_DATABASE!$BA$4:$BA$1000,ROW()-3)&amp;"")</f>
        <v>Aadhaar Mobile / Email Link Check, Aadhaar Centre, Devmobile Stores</v>
      </c>
      <c r="P39" s="11" t="str">
        <f aca="false">IF(INDEX(MASTER_DATABASE!$A$4:$A$1000,ROW()-3)="","",INDEX(MASTER_DATABASE!$AP$4:$AP$1000,ROW()-3)&amp;"")</f>
        <v>🖨️</v>
      </c>
      <c r="Q39" s="7" t="str">
        <f aca="false">IF(INDEX(MASTER_DATABASE!$A$4:$A$1000,ROW()-3)="","",INDEX(MASTER_DATABASE!$BB$4:$BB$1000,ROW()-3)&amp;"")</f>
        <v/>
      </c>
      <c r="R39" s="11" t="str">
        <f aca="false">IF(INDEX(MASTER_DATABASE!$A$4:$A$1000,ROW()-3)="","",INDEX(MASTER_DATABASE!$BC$4:$BC$1000,ROW()-3)&amp;"")</f>
        <v>🪪</v>
      </c>
      <c r="S39" s="11" t="n">
        <f aca="false">IF(INDEX(MASTER_DATABASE!$A$4:$A$1000,ROW()-3)="","",INDEX(MASTER_DATABASE!$AQ$4:$AQ$1000,ROW()-3))</f>
        <v>360</v>
      </c>
      <c r="T39" s="7" t="str">
        <f aca="false">IF(INDEX(MASTER_DATABASE!$A$4:$A$1000,ROW()-3)="","",INDEX(MASTER_DATABASE!$I$4:$I$1000,ROW()-3)&amp;"")</f>
        <v>Portal Dependent</v>
      </c>
      <c r="U39" s="7" t="str">
        <f aca="false">IF(INDEX(MASTER_DATABASE!$A$4:$A$1000,ROW()-3)="","",INDEX(MASTER_DATABASE!$J$4:$J$1000,ROW()-3)&amp;"")</f>
        <v>Depends on Portal – Confirm at Shop</v>
      </c>
      <c r="V39" s="7" t="str">
        <f aca="false">IF(INDEX(MASTER_DATABASE!$A$4:$A$1000,ROW()-3)="","",INDEX(MASTER_DATABASE!$AG$4:$AG$1000,ROW()-3)&amp;"")</f>
        <v>To Verify</v>
      </c>
      <c r="W39" s="7" t="str">
        <f aca="false">IF(INDEX(MASTER_DATABASE!$A$4:$A$1000,ROW()-3)="","",INDEX(MASTER_DATABASE!$AH$4:$AH$1000,ROW()-3)&amp;"")</f>
        <v>No</v>
      </c>
      <c r="X39" s="7" t="str">
        <f aca="false">IF(INDEX(MASTER_DATABASE!$A$4:$A$1000,ROW()-3)="","",INDEX(MASTER_DATABASE!$AI$4:$AI$1000,ROW()-3)&amp;"")</f>
        <v>No</v>
      </c>
      <c r="Y39" s="7" t="str">
        <f aca="false">IF(INDEX(MASTER_DATABASE!$A$4:$A$1000,ROW()-3)="","",INDEX(MASTER_DATABASE!$AJ$4:$AJ$1000,ROW()-3)&amp;"")</f>
        <v>No</v>
      </c>
      <c r="Z39" s="7" t="str">
        <f aca="false">IF(INDEX(MASTER_DATABASE!$A$4:$A$1000,ROW()-3)="","",INDEX(MASTER_DATABASE!$AK$4:$AK$1000,ROW()-3)&amp;"")</f>
        <v>No</v>
      </c>
      <c r="AA39" s="7" t="str">
        <f aca="false">IF(INDEX(MASTER_DATABASE!$A$4:$A$1000,ROW()-3)="","",INDEX(MASTER_DATABASE!$BE$4:$BE$1000,ROW()-3)&amp;"")</f>
        <v>HIDDEN</v>
      </c>
    </row>
    <row r="40" customFormat="false" ht="46.25" hidden="false" customHeight="false" outlineLevel="0" collapsed="false">
      <c r="A40" s="11" t="str">
        <f aca="false">IF(INDEX(MASTER_DATABASE!$A$4:$A$1000,ROW()-3)="","",INDEX(MASTER_DATABASE!$A$4:$A$1000,ROW()-3)&amp;"")</f>
        <v>AAD-037</v>
      </c>
      <c r="B40" s="7" t="str">
        <f aca="false">IF(INDEX(MASTER_DATABASE!$A$4:$A$1000,ROW()-3)="","",INDEX(MASTER_DATABASE!$B$4:$B$1000,ROW()-3)&amp;"")</f>
        <v>Aadhaar Centre</v>
      </c>
      <c r="C40" s="7" t="str">
        <f aca="false">IF(INDEX(MASTER_DATABASE!$A$4:$A$1000,ROW()-3)="","",INDEX(MASTER_DATABASE!$C$4:$C$1000,ROW()-3)&amp;"")</f>
        <v>Aadhaar Services</v>
      </c>
      <c r="D40" s="7" t="str">
        <f aca="false">IF(INDEX(MASTER_DATABASE!$A$4:$A$1000,ROW()-3)="","",INDEX(MASTER_DATABASE!$D$4:$D$1000,ROW()-3)&amp;"")</f>
        <v>Download, Print &amp; Status</v>
      </c>
      <c r="E40" s="7" t="str">
        <f aca="false">IF(INDEX(MASTER_DATABASE!$A$4:$A$1000,ROW()-3)="","",INDEX(MASTER_DATABASE!$E$4:$E$1000,ROW()-3)&amp;"")</f>
        <v>Aadhaar Number Verification</v>
      </c>
      <c r="F40" s="7" t="str">
        <f aca="false">IF(INDEX(MASTER_DATABASE!$A$4:$A$1000,ROW()-3)="","",INDEX(MASTER_DATABASE!$F$4:$F$1000,ROW()-3)&amp;"")</f>
        <v>आधार नंबर सत्यापन</v>
      </c>
      <c r="G40" s="7" t="str">
        <f aca="false">IF(INDEX(MASTER_DATABASE!$A$4:$A$1000,ROW()-3)="","",INDEX(MASTER_DATABASE!$AL$4:$AL$1000,ROW()-3)&amp;"")</f>
        <v>Aadhaar Centre</v>
      </c>
      <c r="H40" s="7" t="str">
        <f aca="false">IF(INDEX(MASTER_DATABASE!$A$4:$A$1000,ROW()-3)="","",INDEX(MASTER_DATABASE!$AM$4:$AM$1000,ROW()-3)&amp;"")</f>
        <v>Download, Print &amp; Status</v>
      </c>
      <c r="I40" s="7" t="str">
        <f aca="false">IF(INDEX(MASTER_DATABASE!$A$4:$A$1000,ROW()-3)="","",INDEX(MASTER_DATABASE!$AO$4:$AO$1000,ROW()-3)&amp;"")</f>
        <v>aadhaar-number-verification</v>
      </c>
      <c r="J40" s="7" t="str">
        <f aca="false">IF(INDEX(MASTER_DATABASE!$A$4:$A$1000,ROW()-3)="","",INDEX(MASTER_DATABASE!$BD$4:$BD$1000,ROW()-3)&amp;"")</f>
        <v>/services/aadhaar-number-verification</v>
      </c>
      <c r="K40" s="7" t="str">
        <f aca="false">IF(INDEX(MASTER_DATABASE!$A$4:$A$1000,ROW()-3)="","",INDEX(MASTER_DATABASE!$AX$4:$AX$1000,ROW()-3)&amp;"")</f>
        <v>Aadhaar Number Verification Service | Devmobile Stores</v>
      </c>
      <c r="L40" s="7" t="str">
        <f aca="false">IF(INDEX(MASTER_DATABASE!$A$4:$A$1000,ROW()-3)="","",INDEX(MASTER_DATABASE!$AY$4:$AY$1000,ROW()-3)&amp;"")</f>
        <v>Aadhaar Number Verification (आधार नंबर सत्यापन) at Devmobile Stores and Common Service Center &amp; Aadhaar Centre. Check required documents, charges and process before you visit.</v>
      </c>
      <c r="M40" s="7" t="str">
        <f aca="false">IF(INDEX(MASTER_DATABASE!$A$4:$A$1000,ROW()-3)="","",INDEX(MASTER_DATABASE!$AN$4:$AN$1000,ROW()-3)&amp;"")</f>
        <v>Aadhaar Number Verification, Aadhaar Centre, Devmobile Stores, आधार नंबर सत्यापन, आधार सेंटर, सेवा</v>
      </c>
      <c r="N40" s="7" t="str">
        <f aca="false">IF(INDEX(MASTER_DATABASE!$A$4:$A$1000,ROW()-3)="","",INDEX(MASTER_DATABASE!$AZ$4:$AZ$1000,ROW()-3)&amp;"")</f>
        <v>आधार नंबर सत्यापन, आधार सेंटर, सेवा</v>
      </c>
      <c r="O40" s="7" t="str">
        <f aca="false">IF(INDEX(MASTER_DATABASE!$A$4:$A$1000,ROW()-3)="","",INDEX(MASTER_DATABASE!$BA$4:$BA$1000,ROW()-3)&amp;"")</f>
        <v>Aadhaar Number Verification, Aadhaar Centre, Devmobile Stores</v>
      </c>
      <c r="P40" s="11" t="str">
        <f aca="false">IF(INDEX(MASTER_DATABASE!$A$4:$A$1000,ROW()-3)="","",INDEX(MASTER_DATABASE!$AP$4:$AP$1000,ROW()-3)&amp;"")</f>
        <v>🖨️</v>
      </c>
      <c r="Q40" s="7" t="str">
        <f aca="false">IF(INDEX(MASTER_DATABASE!$A$4:$A$1000,ROW()-3)="","",INDEX(MASTER_DATABASE!$BB$4:$BB$1000,ROW()-3)&amp;"")</f>
        <v/>
      </c>
      <c r="R40" s="11" t="str">
        <f aca="false">IF(INDEX(MASTER_DATABASE!$A$4:$A$1000,ROW()-3)="","",INDEX(MASTER_DATABASE!$BC$4:$BC$1000,ROW()-3)&amp;"")</f>
        <v>🪪</v>
      </c>
      <c r="S40" s="11" t="n">
        <f aca="false">IF(INDEX(MASTER_DATABASE!$A$4:$A$1000,ROW()-3)="","",INDEX(MASTER_DATABASE!$AQ$4:$AQ$1000,ROW()-3))</f>
        <v>370</v>
      </c>
      <c r="T40" s="7" t="str">
        <f aca="false">IF(INDEX(MASTER_DATABASE!$A$4:$A$1000,ROW()-3)="","",INDEX(MASTER_DATABASE!$I$4:$I$1000,ROW()-3)&amp;"")</f>
        <v>Portal Dependent</v>
      </c>
      <c r="U40" s="7" t="str">
        <f aca="false">IF(INDEX(MASTER_DATABASE!$A$4:$A$1000,ROW()-3)="","",INDEX(MASTER_DATABASE!$J$4:$J$1000,ROW()-3)&amp;"")</f>
        <v>Depends on Portal – Confirm at Shop</v>
      </c>
      <c r="V40" s="7" t="str">
        <f aca="false">IF(INDEX(MASTER_DATABASE!$A$4:$A$1000,ROW()-3)="","",INDEX(MASTER_DATABASE!$AG$4:$AG$1000,ROW()-3)&amp;"")</f>
        <v>To Verify</v>
      </c>
      <c r="W40" s="7" t="str">
        <f aca="false">IF(INDEX(MASTER_DATABASE!$A$4:$A$1000,ROW()-3)="","",INDEX(MASTER_DATABASE!$AH$4:$AH$1000,ROW()-3)&amp;"")</f>
        <v>No</v>
      </c>
      <c r="X40" s="7" t="str">
        <f aca="false">IF(INDEX(MASTER_DATABASE!$A$4:$A$1000,ROW()-3)="","",INDEX(MASTER_DATABASE!$AI$4:$AI$1000,ROW()-3)&amp;"")</f>
        <v>No</v>
      </c>
      <c r="Y40" s="7" t="str">
        <f aca="false">IF(INDEX(MASTER_DATABASE!$A$4:$A$1000,ROW()-3)="","",INDEX(MASTER_DATABASE!$AJ$4:$AJ$1000,ROW()-3)&amp;"")</f>
        <v>No</v>
      </c>
      <c r="Z40" s="7" t="str">
        <f aca="false">IF(INDEX(MASTER_DATABASE!$A$4:$A$1000,ROW()-3)="","",INDEX(MASTER_DATABASE!$AK$4:$AK$1000,ROW()-3)&amp;"")</f>
        <v>No</v>
      </c>
      <c r="AA40" s="7" t="str">
        <f aca="false">IF(INDEX(MASTER_DATABASE!$A$4:$A$1000,ROW()-3)="","",INDEX(MASTER_DATABASE!$BE$4:$BE$1000,ROW()-3)&amp;"")</f>
        <v>HIDDEN</v>
      </c>
    </row>
    <row r="41" customFormat="false" ht="57.45" hidden="false" customHeight="false" outlineLevel="0" collapsed="false">
      <c r="A41" s="11" t="str">
        <f aca="false">IF(INDEX(MASTER_DATABASE!$A$4:$A$1000,ROW()-3)="","",INDEX(MASTER_DATABASE!$A$4:$A$1000,ROW()-3)&amp;"")</f>
        <v>AAD-038</v>
      </c>
      <c r="B41" s="7" t="str">
        <f aca="false">IF(INDEX(MASTER_DATABASE!$A$4:$A$1000,ROW()-3)="","",INDEX(MASTER_DATABASE!$B$4:$B$1000,ROW()-3)&amp;"")</f>
        <v>Aadhaar Centre</v>
      </c>
      <c r="C41" s="7" t="str">
        <f aca="false">IF(INDEX(MASTER_DATABASE!$A$4:$A$1000,ROW()-3)="","",INDEX(MASTER_DATABASE!$C$4:$C$1000,ROW()-3)&amp;"")</f>
        <v>Aadhaar Services</v>
      </c>
      <c r="D41" s="7" t="str">
        <f aca="false">IF(INDEX(MASTER_DATABASE!$A$4:$A$1000,ROW()-3)="","",INDEX(MASTER_DATABASE!$D$4:$D$1000,ROW()-3)&amp;"")</f>
        <v>Download, Print &amp; Status</v>
      </c>
      <c r="E41" s="7" t="str">
        <f aca="false">IF(INDEX(MASTER_DATABASE!$A$4:$A$1000,ROW()-3)="","",INDEX(MASTER_DATABASE!$E$4:$E$1000,ROW()-3)&amp;"")</f>
        <v>Aadhaar Offline eKYC (XML / QR) Download Assistance</v>
      </c>
      <c r="F41" s="7" t="str">
        <f aca="false">IF(INDEX(MASTER_DATABASE!$A$4:$A$1000,ROW()-3)="","",INDEX(MASTER_DATABASE!$F$4:$F$1000,ROW()-3)&amp;"")</f>
        <v>आधार Offline eKYC (XML / QR) डाउनलोड सहायता</v>
      </c>
      <c r="G41" s="7" t="str">
        <f aca="false">IF(INDEX(MASTER_DATABASE!$A$4:$A$1000,ROW()-3)="","",INDEX(MASTER_DATABASE!$AL$4:$AL$1000,ROW()-3)&amp;"")</f>
        <v>Aadhaar Centre</v>
      </c>
      <c r="H41" s="7" t="str">
        <f aca="false">IF(INDEX(MASTER_DATABASE!$A$4:$A$1000,ROW()-3)="","",INDEX(MASTER_DATABASE!$AM$4:$AM$1000,ROW()-3)&amp;"")</f>
        <v>Download, Print &amp; Status</v>
      </c>
      <c r="I41" s="7" t="str">
        <f aca="false">IF(INDEX(MASTER_DATABASE!$A$4:$A$1000,ROW()-3)="","",INDEX(MASTER_DATABASE!$AO$4:$AO$1000,ROW()-3)&amp;"")</f>
        <v>aadhaar-offline-ekyc-xml-qr-download-assistance</v>
      </c>
      <c r="J41" s="7" t="str">
        <f aca="false">IF(INDEX(MASTER_DATABASE!$A$4:$A$1000,ROW()-3)="","",INDEX(MASTER_DATABASE!$BD$4:$BD$1000,ROW()-3)&amp;"")</f>
        <v>/services/aadhaar-offline-ekyc-xml-qr-download-assistance</v>
      </c>
      <c r="K41" s="7" t="str">
        <f aca="false">IF(INDEX(MASTER_DATABASE!$A$4:$A$1000,ROW()-3)="","",INDEX(MASTER_DATABASE!$AX$4:$AX$1000,ROW()-3)&amp;"")</f>
        <v>Aadhaar Offline eKYC (XML / QR) Download Assistance Service | Devmobile Stores</v>
      </c>
      <c r="L41" s="7" t="str">
        <f aca="false">IF(INDEX(MASTER_DATABASE!$A$4:$A$1000,ROW()-3)="","",INDEX(MASTER_DATABASE!$AY$4:$AY$1000,ROW()-3)&amp;"")</f>
        <v>Aadhaar Offline eKYC (XML / QR) Download Assistance (आधार Offline eKYC (XML / QR) डाउनलोड सहायता) at Devmobile Stores and Common Service Center &amp; Aadhaar Centre. Check required documents, charges and process before you visit.</v>
      </c>
      <c r="M41" s="7" t="str">
        <f aca="false">IF(INDEX(MASTER_DATABASE!$A$4:$A$1000,ROW()-3)="","",INDEX(MASTER_DATABASE!$AN$4:$AN$1000,ROW()-3)&amp;"")</f>
        <v>Aadhaar Offline eKYC (XML / QR) Download Assistance, Aadhaar Centre, Devmobile Stores, आधार Offline eKYC (XML / QR) डाउनलोड सहायता, आधार सेंटर, सेवा</v>
      </c>
      <c r="N41" s="7" t="str">
        <f aca="false">IF(INDEX(MASTER_DATABASE!$A$4:$A$1000,ROW()-3)="","",INDEX(MASTER_DATABASE!$AZ$4:$AZ$1000,ROW()-3)&amp;"")</f>
        <v>आधार Offline eKYC (XML / QR) डाउनलोड सहायता, आधार सेंटर, सेवा</v>
      </c>
      <c r="O41" s="7" t="str">
        <f aca="false">IF(INDEX(MASTER_DATABASE!$A$4:$A$1000,ROW()-3)="","",INDEX(MASTER_DATABASE!$BA$4:$BA$1000,ROW()-3)&amp;"")</f>
        <v>Aadhaar Offline eKYC (XML / QR) Download Assistance, Aadhaar Centre, Devmobile Stores</v>
      </c>
      <c r="P41" s="11" t="str">
        <f aca="false">IF(INDEX(MASTER_DATABASE!$A$4:$A$1000,ROW()-3)="","",INDEX(MASTER_DATABASE!$AP$4:$AP$1000,ROW()-3)&amp;"")</f>
        <v>🖨️</v>
      </c>
      <c r="Q41" s="7" t="str">
        <f aca="false">IF(INDEX(MASTER_DATABASE!$A$4:$A$1000,ROW()-3)="","",INDEX(MASTER_DATABASE!$BB$4:$BB$1000,ROW()-3)&amp;"")</f>
        <v/>
      </c>
      <c r="R41" s="11" t="str">
        <f aca="false">IF(INDEX(MASTER_DATABASE!$A$4:$A$1000,ROW()-3)="","",INDEX(MASTER_DATABASE!$BC$4:$BC$1000,ROW()-3)&amp;"")</f>
        <v>🪪</v>
      </c>
      <c r="S41" s="11" t="n">
        <f aca="false">IF(INDEX(MASTER_DATABASE!$A$4:$A$1000,ROW()-3)="","",INDEX(MASTER_DATABASE!$AQ$4:$AQ$1000,ROW()-3))</f>
        <v>380</v>
      </c>
      <c r="T41" s="7" t="str">
        <f aca="false">IF(INDEX(MASTER_DATABASE!$A$4:$A$1000,ROW()-3)="","",INDEX(MASTER_DATABASE!$I$4:$I$1000,ROW()-3)&amp;"")</f>
        <v>Portal Dependent</v>
      </c>
      <c r="U41" s="7" t="str">
        <f aca="false">IF(INDEX(MASTER_DATABASE!$A$4:$A$1000,ROW()-3)="","",INDEX(MASTER_DATABASE!$J$4:$J$1000,ROW()-3)&amp;"")</f>
        <v>Depends on Portal – Confirm at Shop</v>
      </c>
      <c r="V41" s="7" t="str">
        <f aca="false">IF(INDEX(MASTER_DATABASE!$A$4:$A$1000,ROW()-3)="","",INDEX(MASTER_DATABASE!$AG$4:$AG$1000,ROW()-3)&amp;"")</f>
        <v>To Verify</v>
      </c>
      <c r="W41" s="7" t="str">
        <f aca="false">IF(INDEX(MASTER_DATABASE!$A$4:$A$1000,ROW()-3)="","",INDEX(MASTER_DATABASE!$AH$4:$AH$1000,ROW()-3)&amp;"")</f>
        <v>No</v>
      </c>
      <c r="X41" s="7" t="str">
        <f aca="false">IF(INDEX(MASTER_DATABASE!$A$4:$A$1000,ROW()-3)="","",INDEX(MASTER_DATABASE!$AI$4:$AI$1000,ROW()-3)&amp;"")</f>
        <v>No</v>
      </c>
      <c r="Y41" s="7" t="str">
        <f aca="false">IF(INDEX(MASTER_DATABASE!$A$4:$A$1000,ROW()-3)="","",INDEX(MASTER_DATABASE!$AJ$4:$AJ$1000,ROW()-3)&amp;"")</f>
        <v>No</v>
      </c>
      <c r="Z41" s="7" t="str">
        <f aca="false">IF(INDEX(MASTER_DATABASE!$A$4:$A$1000,ROW()-3)="","",INDEX(MASTER_DATABASE!$AK$4:$AK$1000,ROW()-3)&amp;"")</f>
        <v>No</v>
      </c>
      <c r="AA41" s="7" t="str">
        <f aca="false">IF(INDEX(MASTER_DATABASE!$A$4:$A$1000,ROW()-3)="","",INDEX(MASTER_DATABASE!$BE$4:$BE$1000,ROW()-3)&amp;"")</f>
        <v>HIDDEN</v>
      </c>
    </row>
    <row r="42" customFormat="false" ht="57.45" hidden="false" customHeight="false" outlineLevel="0" collapsed="false">
      <c r="A42" s="11" t="str">
        <f aca="false">IF(INDEX(MASTER_DATABASE!$A$4:$A$1000,ROW()-3)="","",INDEX(MASTER_DATABASE!$A$4:$A$1000,ROW()-3)&amp;"")</f>
        <v>AAD-039</v>
      </c>
      <c r="B42" s="7" t="str">
        <f aca="false">IF(INDEX(MASTER_DATABASE!$A$4:$A$1000,ROW()-3)="","",INDEX(MASTER_DATABASE!$B$4:$B$1000,ROW()-3)&amp;"")</f>
        <v>Aadhaar Centre</v>
      </c>
      <c r="C42" s="7" t="str">
        <f aca="false">IF(INDEX(MASTER_DATABASE!$A$4:$A$1000,ROW()-3)="","",INDEX(MASTER_DATABASE!$C$4:$C$1000,ROW()-3)&amp;"")</f>
        <v>Aadhaar Services</v>
      </c>
      <c r="D42" s="7" t="str">
        <f aca="false">IF(INDEX(MASTER_DATABASE!$A$4:$A$1000,ROW()-3)="","",INDEX(MASTER_DATABASE!$D$4:$D$1000,ROW()-3)&amp;"")</f>
        <v>Download, Print &amp; Status</v>
      </c>
      <c r="E42" s="7" t="str">
        <f aca="false">IF(INDEX(MASTER_DATABASE!$A$4:$A$1000,ROW()-3)="","",INDEX(MASTER_DATABASE!$E$4:$E$1000,ROW()-3)&amp;"")</f>
        <v>Aadhaar–Bank Seeding Status Check (NPCI)</v>
      </c>
      <c r="F42" s="7" t="str">
        <f aca="false">IF(INDEX(MASTER_DATABASE!$A$4:$A$1000,ROW()-3)="","",INDEX(MASTER_DATABASE!$F$4:$F$1000,ROW()-3)&amp;"")</f>
        <v>आधार–बैंक सीडिंग स्थिति जाँच (NPCI)</v>
      </c>
      <c r="G42" s="7" t="str">
        <f aca="false">IF(INDEX(MASTER_DATABASE!$A$4:$A$1000,ROW()-3)="","",INDEX(MASTER_DATABASE!$AL$4:$AL$1000,ROW()-3)&amp;"")</f>
        <v>Aadhaar Centre</v>
      </c>
      <c r="H42" s="7" t="str">
        <f aca="false">IF(INDEX(MASTER_DATABASE!$A$4:$A$1000,ROW()-3)="","",INDEX(MASTER_DATABASE!$AM$4:$AM$1000,ROW()-3)&amp;"")</f>
        <v>Download, Print &amp; Status</v>
      </c>
      <c r="I42" s="7" t="str">
        <f aca="false">IF(INDEX(MASTER_DATABASE!$A$4:$A$1000,ROW()-3)="","",INDEX(MASTER_DATABASE!$AO$4:$AO$1000,ROW()-3)&amp;"")</f>
        <v>aadhaar-bank-seeding-status-check-npci</v>
      </c>
      <c r="J42" s="7" t="str">
        <f aca="false">IF(INDEX(MASTER_DATABASE!$A$4:$A$1000,ROW()-3)="","",INDEX(MASTER_DATABASE!$BD$4:$BD$1000,ROW()-3)&amp;"")</f>
        <v>/services/aadhaar-bank-seeding-status-check-npci</v>
      </c>
      <c r="K42" s="7" t="str">
        <f aca="false">IF(INDEX(MASTER_DATABASE!$A$4:$A$1000,ROW()-3)="","",INDEX(MASTER_DATABASE!$AX$4:$AX$1000,ROW()-3)&amp;"")</f>
        <v>Aadhaar–Bank Seeding Status Check (NPCI) Service | Devmobile Stores</v>
      </c>
      <c r="L42" s="7" t="str">
        <f aca="false">IF(INDEX(MASTER_DATABASE!$A$4:$A$1000,ROW()-3)="","",INDEX(MASTER_DATABASE!$AY$4:$AY$1000,ROW()-3)&amp;"")</f>
        <v>Aadhaar–Bank Seeding Status Check (NPCI) (आधार–बैंक सीडिंग स्थिति जाँच (NPCI)) at Devmobile Stores and Common Service Center &amp; Aadhaar Centre. Check required documents, charges and process before you visit.</v>
      </c>
      <c r="M42" s="7" t="str">
        <f aca="false">IF(INDEX(MASTER_DATABASE!$A$4:$A$1000,ROW()-3)="","",INDEX(MASTER_DATABASE!$AN$4:$AN$1000,ROW()-3)&amp;"")</f>
        <v>Aadhaar–Bank Seeding Status Check (NPCI), Aadhaar Centre, Devmobile Stores, आधार–बैंक सीडिंग स्थिति जाँच (NPCI), आधार सेंटर, सेवा</v>
      </c>
      <c r="N42" s="7" t="str">
        <f aca="false">IF(INDEX(MASTER_DATABASE!$A$4:$A$1000,ROW()-3)="","",INDEX(MASTER_DATABASE!$AZ$4:$AZ$1000,ROW()-3)&amp;"")</f>
        <v>आधार–बैंक सीडिंग स्थिति जाँच (NPCI), आधार सेंटर, सेवा</v>
      </c>
      <c r="O42" s="7" t="str">
        <f aca="false">IF(INDEX(MASTER_DATABASE!$A$4:$A$1000,ROW()-3)="","",INDEX(MASTER_DATABASE!$BA$4:$BA$1000,ROW()-3)&amp;"")</f>
        <v>Aadhaar–Bank Seeding Status Check (NPCI), Aadhaar Centre, Devmobile Stores</v>
      </c>
      <c r="P42" s="11" t="str">
        <f aca="false">IF(INDEX(MASTER_DATABASE!$A$4:$A$1000,ROW()-3)="","",INDEX(MASTER_DATABASE!$AP$4:$AP$1000,ROW()-3)&amp;"")</f>
        <v>🖨️</v>
      </c>
      <c r="Q42" s="7" t="str">
        <f aca="false">IF(INDEX(MASTER_DATABASE!$A$4:$A$1000,ROW()-3)="","",INDEX(MASTER_DATABASE!$BB$4:$BB$1000,ROW()-3)&amp;"")</f>
        <v/>
      </c>
      <c r="R42" s="11" t="str">
        <f aca="false">IF(INDEX(MASTER_DATABASE!$A$4:$A$1000,ROW()-3)="","",INDEX(MASTER_DATABASE!$BC$4:$BC$1000,ROW()-3)&amp;"")</f>
        <v>🪪</v>
      </c>
      <c r="S42" s="11" t="n">
        <f aca="false">IF(INDEX(MASTER_DATABASE!$A$4:$A$1000,ROW()-3)="","",INDEX(MASTER_DATABASE!$AQ$4:$AQ$1000,ROW()-3))</f>
        <v>390</v>
      </c>
      <c r="T42" s="7" t="str">
        <f aca="false">IF(INDEX(MASTER_DATABASE!$A$4:$A$1000,ROW()-3)="","",INDEX(MASTER_DATABASE!$I$4:$I$1000,ROW()-3)&amp;"")</f>
        <v>Portal Dependent</v>
      </c>
      <c r="U42" s="7" t="str">
        <f aca="false">IF(INDEX(MASTER_DATABASE!$A$4:$A$1000,ROW()-3)="","",INDEX(MASTER_DATABASE!$J$4:$J$1000,ROW()-3)&amp;"")</f>
        <v>Depends on Portal – Confirm at Shop</v>
      </c>
      <c r="V42" s="7" t="str">
        <f aca="false">IF(INDEX(MASTER_DATABASE!$A$4:$A$1000,ROW()-3)="","",INDEX(MASTER_DATABASE!$AG$4:$AG$1000,ROW()-3)&amp;"")</f>
        <v>To Verify</v>
      </c>
      <c r="W42" s="7" t="str">
        <f aca="false">IF(INDEX(MASTER_DATABASE!$A$4:$A$1000,ROW()-3)="","",INDEX(MASTER_DATABASE!$AH$4:$AH$1000,ROW()-3)&amp;"")</f>
        <v>No</v>
      </c>
      <c r="X42" s="7" t="str">
        <f aca="false">IF(INDEX(MASTER_DATABASE!$A$4:$A$1000,ROW()-3)="","",INDEX(MASTER_DATABASE!$AI$4:$AI$1000,ROW()-3)&amp;"")</f>
        <v>No</v>
      </c>
      <c r="Y42" s="7" t="str">
        <f aca="false">IF(INDEX(MASTER_DATABASE!$A$4:$A$1000,ROW()-3)="","",INDEX(MASTER_DATABASE!$AJ$4:$AJ$1000,ROW()-3)&amp;"")</f>
        <v>No</v>
      </c>
      <c r="Z42" s="7" t="str">
        <f aca="false">IF(INDEX(MASTER_DATABASE!$A$4:$A$1000,ROW()-3)="","",INDEX(MASTER_DATABASE!$AK$4:$AK$1000,ROW()-3)&amp;"")</f>
        <v>No</v>
      </c>
      <c r="AA42" s="7" t="str">
        <f aca="false">IF(INDEX(MASTER_DATABASE!$A$4:$A$1000,ROW()-3)="","",INDEX(MASTER_DATABASE!$BE$4:$BE$1000,ROW()-3)&amp;"")</f>
        <v>HIDDEN</v>
      </c>
    </row>
    <row r="43" customFormat="false" ht="57.45" hidden="false" customHeight="false" outlineLevel="0" collapsed="false">
      <c r="A43" s="11" t="str">
        <f aca="false">IF(INDEX(MASTER_DATABASE!$A$4:$A$1000,ROW()-3)="","",INDEX(MASTER_DATABASE!$A$4:$A$1000,ROW()-3)&amp;"")</f>
        <v>AAD-040</v>
      </c>
      <c r="B43" s="7" t="str">
        <f aca="false">IF(INDEX(MASTER_DATABASE!$A$4:$A$1000,ROW()-3)="","",INDEX(MASTER_DATABASE!$B$4:$B$1000,ROW()-3)&amp;"")</f>
        <v>Aadhaar Centre</v>
      </c>
      <c r="C43" s="7" t="str">
        <f aca="false">IF(INDEX(MASTER_DATABASE!$A$4:$A$1000,ROW()-3)="","",INDEX(MASTER_DATABASE!$C$4:$C$1000,ROW()-3)&amp;"")</f>
        <v>Aadhaar Services</v>
      </c>
      <c r="D43" s="7" t="str">
        <f aca="false">IF(INDEX(MASTER_DATABASE!$A$4:$A$1000,ROW()-3)="","",INDEX(MASTER_DATABASE!$D$4:$D$1000,ROW()-3)&amp;"")</f>
        <v>Download, Print &amp; Status</v>
      </c>
      <c r="E43" s="7" t="str">
        <f aca="false">IF(INDEX(MASTER_DATABASE!$A$4:$A$1000,ROW()-3)="","",INDEX(MASTER_DATABASE!$E$4:$E$1000,ROW()-3)&amp;"")</f>
        <v>Aadhaar Update Appointment Booking Assistance</v>
      </c>
      <c r="F43" s="7" t="str">
        <f aca="false">IF(INDEX(MASTER_DATABASE!$A$4:$A$1000,ROW()-3)="","",INDEX(MASTER_DATABASE!$F$4:$F$1000,ROW()-3)&amp;"")</f>
        <v>आधार अपडेट अपॉइंटमेंट बुकिंग सहायता</v>
      </c>
      <c r="G43" s="7" t="str">
        <f aca="false">IF(INDEX(MASTER_DATABASE!$A$4:$A$1000,ROW()-3)="","",INDEX(MASTER_DATABASE!$AL$4:$AL$1000,ROW()-3)&amp;"")</f>
        <v>Aadhaar Centre</v>
      </c>
      <c r="H43" s="7" t="str">
        <f aca="false">IF(INDEX(MASTER_DATABASE!$A$4:$A$1000,ROW()-3)="","",INDEX(MASTER_DATABASE!$AM$4:$AM$1000,ROW()-3)&amp;"")</f>
        <v>Download, Print &amp; Status</v>
      </c>
      <c r="I43" s="7" t="str">
        <f aca="false">IF(INDEX(MASTER_DATABASE!$A$4:$A$1000,ROW()-3)="","",INDEX(MASTER_DATABASE!$AO$4:$AO$1000,ROW()-3)&amp;"")</f>
        <v>aadhaar-update-appointment-booking-assistance</v>
      </c>
      <c r="J43" s="7" t="str">
        <f aca="false">IF(INDEX(MASTER_DATABASE!$A$4:$A$1000,ROW()-3)="","",INDEX(MASTER_DATABASE!$BD$4:$BD$1000,ROW()-3)&amp;"")</f>
        <v>/services/aadhaar-update-appointment-booking-assistance</v>
      </c>
      <c r="K43" s="7" t="str">
        <f aca="false">IF(INDEX(MASTER_DATABASE!$A$4:$A$1000,ROW()-3)="","",INDEX(MASTER_DATABASE!$AX$4:$AX$1000,ROW()-3)&amp;"")</f>
        <v>Aadhaar Update Appointment Booking Assistance Service | Devmobile Stores</v>
      </c>
      <c r="L43" s="7" t="str">
        <f aca="false">IF(INDEX(MASTER_DATABASE!$A$4:$A$1000,ROW()-3)="","",INDEX(MASTER_DATABASE!$AY$4:$AY$1000,ROW()-3)&amp;"")</f>
        <v>Aadhaar Update Appointment Booking Assistance (आधार अपडेट अपॉइंटमेंट बुकिंग सहायता) at Devmobile Stores and Common Service Center &amp; Aadhaar Centre. Check required documents, charges and process before you visit.</v>
      </c>
      <c r="M43" s="7" t="str">
        <f aca="false">IF(INDEX(MASTER_DATABASE!$A$4:$A$1000,ROW()-3)="","",INDEX(MASTER_DATABASE!$AN$4:$AN$1000,ROW()-3)&amp;"")</f>
        <v>Aadhaar Update Appointment Booking Assistance, Aadhaar Centre, Devmobile Stores, आधार अपडेट अपॉइंटमेंट बुकिंग सहायता, आधार सेंटर, सेवा</v>
      </c>
      <c r="N43" s="7" t="str">
        <f aca="false">IF(INDEX(MASTER_DATABASE!$A$4:$A$1000,ROW()-3)="","",INDEX(MASTER_DATABASE!$AZ$4:$AZ$1000,ROW()-3)&amp;"")</f>
        <v>आधार अपडेट अपॉइंटमेंट बुकिंग सहायता, आधार सेंटर, सेवा</v>
      </c>
      <c r="O43" s="7" t="str">
        <f aca="false">IF(INDEX(MASTER_DATABASE!$A$4:$A$1000,ROW()-3)="","",INDEX(MASTER_DATABASE!$BA$4:$BA$1000,ROW()-3)&amp;"")</f>
        <v>Aadhaar Update Appointment Booking Assistance, Aadhaar Centre, Devmobile Stores</v>
      </c>
      <c r="P43" s="11" t="str">
        <f aca="false">IF(INDEX(MASTER_DATABASE!$A$4:$A$1000,ROW()-3)="","",INDEX(MASTER_DATABASE!$AP$4:$AP$1000,ROW()-3)&amp;"")</f>
        <v>🖨️</v>
      </c>
      <c r="Q43" s="7" t="str">
        <f aca="false">IF(INDEX(MASTER_DATABASE!$A$4:$A$1000,ROW()-3)="","",INDEX(MASTER_DATABASE!$BB$4:$BB$1000,ROW()-3)&amp;"")</f>
        <v/>
      </c>
      <c r="R43" s="11" t="str">
        <f aca="false">IF(INDEX(MASTER_DATABASE!$A$4:$A$1000,ROW()-3)="","",INDEX(MASTER_DATABASE!$BC$4:$BC$1000,ROW()-3)&amp;"")</f>
        <v>🪪</v>
      </c>
      <c r="S43" s="11" t="n">
        <f aca="false">IF(INDEX(MASTER_DATABASE!$A$4:$A$1000,ROW()-3)="","",INDEX(MASTER_DATABASE!$AQ$4:$AQ$1000,ROW()-3))</f>
        <v>400</v>
      </c>
      <c r="T43" s="7" t="str">
        <f aca="false">IF(INDEX(MASTER_DATABASE!$A$4:$A$1000,ROW()-3)="","",INDEX(MASTER_DATABASE!$I$4:$I$1000,ROW()-3)&amp;"")</f>
        <v>Portal Dependent</v>
      </c>
      <c r="U43" s="7" t="str">
        <f aca="false">IF(INDEX(MASTER_DATABASE!$A$4:$A$1000,ROW()-3)="","",INDEX(MASTER_DATABASE!$J$4:$J$1000,ROW()-3)&amp;"")</f>
        <v>Depends on Portal – Confirm at Shop</v>
      </c>
      <c r="V43" s="7" t="str">
        <f aca="false">IF(INDEX(MASTER_DATABASE!$A$4:$A$1000,ROW()-3)="","",INDEX(MASTER_DATABASE!$AG$4:$AG$1000,ROW()-3)&amp;"")</f>
        <v>To Verify</v>
      </c>
      <c r="W43" s="7" t="str">
        <f aca="false">IF(INDEX(MASTER_DATABASE!$A$4:$A$1000,ROW()-3)="","",INDEX(MASTER_DATABASE!$AH$4:$AH$1000,ROW()-3)&amp;"")</f>
        <v>No</v>
      </c>
      <c r="X43" s="7" t="str">
        <f aca="false">IF(INDEX(MASTER_DATABASE!$A$4:$A$1000,ROW()-3)="","",INDEX(MASTER_DATABASE!$AI$4:$AI$1000,ROW()-3)&amp;"")</f>
        <v>No</v>
      </c>
      <c r="Y43" s="7" t="str">
        <f aca="false">IF(INDEX(MASTER_DATABASE!$A$4:$A$1000,ROW()-3)="","",INDEX(MASTER_DATABASE!$AJ$4:$AJ$1000,ROW()-3)&amp;"")</f>
        <v>No</v>
      </c>
      <c r="Z43" s="7" t="str">
        <f aca="false">IF(INDEX(MASTER_DATABASE!$A$4:$A$1000,ROW()-3)="","",INDEX(MASTER_DATABASE!$AK$4:$AK$1000,ROW()-3)&amp;"")</f>
        <v>No</v>
      </c>
      <c r="AA43" s="7" t="str">
        <f aca="false">IF(INDEX(MASTER_DATABASE!$A$4:$A$1000,ROW()-3)="","",INDEX(MASTER_DATABASE!$BE$4:$BE$1000,ROW()-3)&amp;"")</f>
        <v>HIDDEN</v>
      </c>
    </row>
    <row r="44" customFormat="false" ht="46.25" hidden="false" customHeight="false" outlineLevel="0" collapsed="false">
      <c r="A44" s="11" t="str">
        <f aca="false">IF(INDEX(MASTER_DATABASE!$A$4:$A$1000,ROW()-3)="","",INDEX(MASTER_DATABASE!$A$4:$A$1000,ROW()-3)&amp;"")</f>
        <v>AAD-041</v>
      </c>
      <c r="B44" s="7" t="str">
        <f aca="false">IF(INDEX(MASTER_DATABASE!$A$4:$A$1000,ROW()-3)="","",INDEX(MASTER_DATABASE!$B$4:$B$1000,ROW()-3)&amp;"")</f>
        <v>Aadhaar Centre</v>
      </c>
      <c r="C44" s="7" t="str">
        <f aca="false">IF(INDEX(MASTER_DATABASE!$A$4:$A$1000,ROW()-3)="","",INDEX(MASTER_DATABASE!$C$4:$C$1000,ROW()-3)&amp;"")</f>
        <v>Aadhaar Services</v>
      </c>
      <c r="D44" s="7" t="str">
        <f aca="false">IF(INDEX(MASTER_DATABASE!$A$4:$A$1000,ROW()-3)="","",INDEX(MASTER_DATABASE!$D$4:$D$1000,ROW()-3)&amp;"")</f>
        <v>Download, Print &amp; Status</v>
      </c>
      <c r="E44" s="7" t="str">
        <f aca="false">IF(INDEX(MASTER_DATABASE!$A$4:$A$1000,ROW()-3)="","",INDEX(MASTER_DATABASE!$E$4:$E$1000,ROW()-3)&amp;"")</f>
        <v>mAadhaar App Setup Assistance</v>
      </c>
      <c r="F44" s="7" t="str">
        <f aca="false">IF(INDEX(MASTER_DATABASE!$A$4:$A$1000,ROW()-3)="","",INDEX(MASTER_DATABASE!$F$4:$F$1000,ROW()-3)&amp;"")</f>
        <v>mAadhaar ऐप सेटअप सहायता</v>
      </c>
      <c r="G44" s="7" t="str">
        <f aca="false">IF(INDEX(MASTER_DATABASE!$A$4:$A$1000,ROW()-3)="","",INDEX(MASTER_DATABASE!$AL$4:$AL$1000,ROW()-3)&amp;"")</f>
        <v>Aadhaar Centre</v>
      </c>
      <c r="H44" s="7" t="str">
        <f aca="false">IF(INDEX(MASTER_DATABASE!$A$4:$A$1000,ROW()-3)="","",INDEX(MASTER_DATABASE!$AM$4:$AM$1000,ROW()-3)&amp;"")</f>
        <v>Download, Print &amp; Status</v>
      </c>
      <c r="I44" s="7" t="str">
        <f aca="false">IF(INDEX(MASTER_DATABASE!$A$4:$A$1000,ROW()-3)="","",INDEX(MASTER_DATABASE!$AO$4:$AO$1000,ROW()-3)&amp;"")</f>
        <v>maadhaar-app-setup-assistance</v>
      </c>
      <c r="J44" s="7" t="str">
        <f aca="false">IF(INDEX(MASTER_DATABASE!$A$4:$A$1000,ROW()-3)="","",INDEX(MASTER_DATABASE!$BD$4:$BD$1000,ROW()-3)&amp;"")</f>
        <v>/services/maadhaar-app-setup-assistance</v>
      </c>
      <c r="K44" s="7" t="str">
        <f aca="false">IF(INDEX(MASTER_DATABASE!$A$4:$A$1000,ROW()-3)="","",INDEX(MASTER_DATABASE!$AX$4:$AX$1000,ROW()-3)&amp;"")</f>
        <v>mAadhaar App Setup Assistance Service | Devmobile Stores</v>
      </c>
      <c r="L44" s="7" t="str">
        <f aca="false">IF(INDEX(MASTER_DATABASE!$A$4:$A$1000,ROW()-3)="","",INDEX(MASTER_DATABASE!$AY$4:$AY$1000,ROW()-3)&amp;"")</f>
        <v>mAadhaar App Setup Assistance (mAadhaar ऐप सेटअप सहायता) at Devmobile Stores and Common Service Center &amp; Aadhaar Centre. Check required documents, charges and process before you visit.</v>
      </c>
      <c r="M44" s="7" t="str">
        <f aca="false">IF(INDEX(MASTER_DATABASE!$A$4:$A$1000,ROW()-3)="","",INDEX(MASTER_DATABASE!$AN$4:$AN$1000,ROW()-3)&amp;"")</f>
        <v>mAadhaar App Setup Assistance, Aadhaar Centre, Devmobile Stores, mAadhaar ऐप सेटअप सहायता, आधार सेंटर, सेवा</v>
      </c>
      <c r="N44" s="7" t="str">
        <f aca="false">IF(INDEX(MASTER_DATABASE!$A$4:$A$1000,ROW()-3)="","",INDEX(MASTER_DATABASE!$AZ$4:$AZ$1000,ROW()-3)&amp;"")</f>
        <v>mAadhaar ऐप सेटअप सहायता, आधार सेंटर, सेवा</v>
      </c>
      <c r="O44" s="7" t="str">
        <f aca="false">IF(INDEX(MASTER_DATABASE!$A$4:$A$1000,ROW()-3)="","",INDEX(MASTER_DATABASE!$BA$4:$BA$1000,ROW()-3)&amp;"")</f>
        <v>mAadhaar App Setup Assistance, Aadhaar Centre, Devmobile Stores</v>
      </c>
      <c r="P44" s="11" t="str">
        <f aca="false">IF(INDEX(MASTER_DATABASE!$A$4:$A$1000,ROW()-3)="","",INDEX(MASTER_DATABASE!$AP$4:$AP$1000,ROW()-3)&amp;"")</f>
        <v>🖨️</v>
      </c>
      <c r="Q44" s="7" t="str">
        <f aca="false">IF(INDEX(MASTER_DATABASE!$A$4:$A$1000,ROW()-3)="","",INDEX(MASTER_DATABASE!$BB$4:$BB$1000,ROW()-3)&amp;"")</f>
        <v/>
      </c>
      <c r="R44" s="11" t="str">
        <f aca="false">IF(INDEX(MASTER_DATABASE!$A$4:$A$1000,ROW()-3)="","",INDEX(MASTER_DATABASE!$BC$4:$BC$1000,ROW()-3)&amp;"")</f>
        <v>🪪</v>
      </c>
      <c r="S44" s="11" t="n">
        <f aca="false">IF(INDEX(MASTER_DATABASE!$A$4:$A$1000,ROW()-3)="","",INDEX(MASTER_DATABASE!$AQ$4:$AQ$1000,ROW()-3))</f>
        <v>410</v>
      </c>
      <c r="T44" s="7" t="str">
        <f aca="false">IF(INDEX(MASTER_DATABASE!$A$4:$A$1000,ROW()-3)="","",INDEX(MASTER_DATABASE!$I$4:$I$1000,ROW()-3)&amp;"")</f>
        <v>Portal Dependent</v>
      </c>
      <c r="U44" s="7" t="str">
        <f aca="false">IF(INDEX(MASTER_DATABASE!$A$4:$A$1000,ROW()-3)="","",INDEX(MASTER_DATABASE!$J$4:$J$1000,ROW()-3)&amp;"")</f>
        <v>Depends on Portal – Confirm at Shop</v>
      </c>
      <c r="V44" s="7" t="str">
        <f aca="false">IF(INDEX(MASTER_DATABASE!$A$4:$A$1000,ROW()-3)="","",INDEX(MASTER_DATABASE!$AG$4:$AG$1000,ROW()-3)&amp;"")</f>
        <v>To Verify</v>
      </c>
      <c r="W44" s="7" t="str">
        <f aca="false">IF(INDEX(MASTER_DATABASE!$A$4:$A$1000,ROW()-3)="","",INDEX(MASTER_DATABASE!$AH$4:$AH$1000,ROW()-3)&amp;"")</f>
        <v>No</v>
      </c>
      <c r="X44" s="7" t="str">
        <f aca="false">IF(INDEX(MASTER_DATABASE!$A$4:$A$1000,ROW()-3)="","",INDEX(MASTER_DATABASE!$AI$4:$AI$1000,ROW()-3)&amp;"")</f>
        <v>No</v>
      </c>
      <c r="Y44" s="7" t="str">
        <f aca="false">IF(INDEX(MASTER_DATABASE!$A$4:$A$1000,ROW()-3)="","",INDEX(MASTER_DATABASE!$AJ$4:$AJ$1000,ROW()-3)&amp;"")</f>
        <v>No</v>
      </c>
      <c r="Z44" s="7" t="str">
        <f aca="false">IF(INDEX(MASTER_DATABASE!$A$4:$A$1000,ROW()-3)="","",INDEX(MASTER_DATABASE!$AK$4:$AK$1000,ROW()-3)&amp;"")</f>
        <v>No</v>
      </c>
      <c r="AA44" s="7" t="str">
        <f aca="false">IF(INDEX(MASTER_DATABASE!$A$4:$A$1000,ROW()-3)="","",INDEX(MASTER_DATABASE!$BE$4:$BE$1000,ROW()-3)&amp;"")</f>
        <v>HIDDEN</v>
      </c>
    </row>
    <row r="45" customFormat="false" ht="57.45" hidden="false" customHeight="false" outlineLevel="0" collapsed="false">
      <c r="A45" s="11" t="str">
        <f aca="false">IF(INDEX(MASTER_DATABASE!$A$4:$A$1000,ROW()-3)="","",INDEX(MASTER_DATABASE!$A$4:$A$1000,ROW()-3)&amp;"")</f>
        <v>AAD-042</v>
      </c>
      <c r="B45" s="7" t="str">
        <f aca="false">IF(INDEX(MASTER_DATABASE!$A$4:$A$1000,ROW()-3)="","",INDEX(MASTER_DATABASE!$B$4:$B$1000,ROW()-3)&amp;"")</f>
        <v>Aadhaar Centre</v>
      </c>
      <c r="C45" s="7" t="str">
        <f aca="false">IF(INDEX(MASTER_DATABASE!$A$4:$A$1000,ROW()-3)="","",INDEX(MASTER_DATABASE!$C$4:$C$1000,ROW()-3)&amp;"")</f>
        <v>Aadhaar Services</v>
      </c>
      <c r="D45" s="7" t="str">
        <f aca="false">IF(INDEX(MASTER_DATABASE!$A$4:$A$1000,ROW()-3)="","",INDEX(MASTER_DATABASE!$D$4:$D$1000,ROW()-3)&amp;"")</f>
        <v>Download, Print &amp; Status</v>
      </c>
      <c r="E45" s="7" t="str">
        <f aca="false">IF(INDEX(MASTER_DATABASE!$A$4:$A$1000,ROW()-3)="","",INDEX(MASTER_DATABASE!$E$4:$E$1000,ROW()-3)&amp;"")</f>
        <v>Aadhaar Complaint / Grievance Filing Assistance</v>
      </c>
      <c r="F45" s="7" t="str">
        <f aca="false">IF(INDEX(MASTER_DATABASE!$A$4:$A$1000,ROW()-3)="","",INDEX(MASTER_DATABASE!$F$4:$F$1000,ROW()-3)&amp;"")</f>
        <v>आधार शिकायत दर्ज करने में सहायता</v>
      </c>
      <c r="G45" s="7" t="str">
        <f aca="false">IF(INDEX(MASTER_DATABASE!$A$4:$A$1000,ROW()-3)="","",INDEX(MASTER_DATABASE!$AL$4:$AL$1000,ROW()-3)&amp;"")</f>
        <v>Aadhaar Centre</v>
      </c>
      <c r="H45" s="7" t="str">
        <f aca="false">IF(INDEX(MASTER_DATABASE!$A$4:$A$1000,ROW()-3)="","",INDEX(MASTER_DATABASE!$AM$4:$AM$1000,ROW()-3)&amp;"")</f>
        <v>Download, Print &amp; Status</v>
      </c>
      <c r="I45" s="7" t="str">
        <f aca="false">IF(INDEX(MASTER_DATABASE!$A$4:$A$1000,ROW()-3)="","",INDEX(MASTER_DATABASE!$AO$4:$AO$1000,ROW()-3)&amp;"")</f>
        <v>aadhaar-complaint-grievance-filing-assistance</v>
      </c>
      <c r="J45" s="7" t="str">
        <f aca="false">IF(INDEX(MASTER_DATABASE!$A$4:$A$1000,ROW()-3)="","",INDEX(MASTER_DATABASE!$BD$4:$BD$1000,ROW()-3)&amp;"")</f>
        <v>/services/aadhaar-complaint-grievance-filing-assistance</v>
      </c>
      <c r="K45" s="7" t="str">
        <f aca="false">IF(INDEX(MASTER_DATABASE!$A$4:$A$1000,ROW()-3)="","",INDEX(MASTER_DATABASE!$AX$4:$AX$1000,ROW()-3)&amp;"")</f>
        <v>Aadhaar Complaint / Grievance Filing Assistance Service | Devmobile Stores</v>
      </c>
      <c r="L45" s="7" t="str">
        <f aca="false">IF(INDEX(MASTER_DATABASE!$A$4:$A$1000,ROW()-3)="","",INDEX(MASTER_DATABASE!$AY$4:$AY$1000,ROW()-3)&amp;"")</f>
        <v>Aadhaar Complaint / Grievance Filing Assistance (आधार शिकायत दर्ज करने में सहायता) at Devmobile Stores and Common Service Center &amp; Aadhaar Centre. Check required documents, charges and process before you visit.</v>
      </c>
      <c r="M45" s="7" t="str">
        <f aca="false">IF(INDEX(MASTER_DATABASE!$A$4:$A$1000,ROW()-3)="","",INDEX(MASTER_DATABASE!$AN$4:$AN$1000,ROW()-3)&amp;"")</f>
        <v>Aadhaar Complaint / Grievance Filing Assistance, Aadhaar Centre, Devmobile Stores, आधार शिकायत दर्ज करने में सहायता, आधार सेंटर, सेवा</v>
      </c>
      <c r="N45" s="7" t="str">
        <f aca="false">IF(INDEX(MASTER_DATABASE!$A$4:$A$1000,ROW()-3)="","",INDEX(MASTER_DATABASE!$AZ$4:$AZ$1000,ROW()-3)&amp;"")</f>
        <v>आधार शिकायत दर्ज करने में सहायता, आधार सेंटर, सेवा</v>
      </c>
      <c r="O45" s="7" t="str">
        <f aca="false">IF(INDEX(MASTER_DATABASE!$A$4:$A$1000,ROW()-3)="","",INDEX(MASTER_DATABASE!$BA$4:$BA$1000,ROW()-3)&amp;"")</f>
        <v>Aadhaar Complaint / Grievance Filing Assistance, Aadhaar Centre, Devmobile Stores</v>
      </c>
      <c r="P45" s="11" t="str">
        <f aca="false">IF(INDEX(MASTER_DATABASE!$A$4:$A$1000,ROW()-3)="","",INDEX(MASTER_DATABASE!$AP$4:$AP$1000,ROW()-3)&amp;"")</f>
        <v>🖨️</v>
      </c>
      <c r="Q45" s="7" t="str">
        <f aca="false">IF(INDEX(MASTER_DATABASE!$A$4:$A$1000,ROW()-3)="","",INDEX(MASTER_DATABASE!$BB$4:$BB$1000,ROW()-3)&amp;"")</f>
        <v/>
      </c>
      <c r="R45" s="11" t="str">
        <f aca="false">IF(INDEX(MASTER_DATABASE!$A$4:$A$1000,ROW()-3)="","",INDEX(MASTER_DATABASE!$BC$4:$BC$1000,ROW()-3)&amp;"")</f>
        <v>🪪</v>
      </c>
      <c r="S45" s="11" t="n">
        <f aca="false">IF(INDEX(MASTER_DATABASE!$A$4:$A$1000,ROW()-3)="","",INDEX(MASTER_DATABASE!$AQ$4:$AQ$1000,ROW()-3))</f>
        <v>420</v>
      </c>
      <c r="T45" s="7" t="str">
        <f aca="false">IF(INDEX(MASTER_DATABASE!$A$4:$A$1000,ROW()-3)="","",INDEX(MASTER_DATABASE!$I$4:$I$1000,ROW()-3)&amp;"")</f>
        <v>Portal Dependent</v>
      </c>
      <c r="U45" s="7" t="str">
        <f aca="false">IF(INDEX(MASTER_DATABASE!$A$4:$A$1000,ROW()-3)="","",INDEX(MASTER_DATABASE!$J$4:$J$1000,ROW()-3)&amp;"")</f>
        <v>Depends on Portal – Confirm at Shop</v>
      </c>
      <c r="V45" s="7" t="str">
        <f aca="false">IF(INDEX(MASTER_DATABASE!$A$4:$A$1000,ROW()-3)="","",INDEX(MASTER_DATABASE!$AG$4:$AG$1000,ROW()-3)&amp;"")</f>
        <v>To Verify</v>
      </c>
      <c r="W45" s="7" t="str">
        <f aca="false">IF(INDEX(MASTER_DATABASE!$A$4:$A$1000,ROW()-3)="","",INDEX(MASTER_DATABASE!$AH$4:$AH$1000,ROW()-3)&amp;"")</f>
        <v>No</v>
      </c>
      <c r="X45" s="7" t="str">
        <f aca="false">IF(INDEX(MASTER_DATABASE!$A$4:$A$1000,ROW()-3)="","",INDEX(MASTER_DATABASE!$AI$4:$AI$1000,ROW()-3)&amp;"")</f>
        <v>No</v>
      </c>
      <c r="Y45" s="7" t="str">
        <f aca="false">IF(INDEX(MASTER_DATABASE!$A$4:$A$1000,ROW()-3)="","",INDEX(MASTER_DATABASE!$AJ$4:$AJ$1000,ROW()-3)&amp;"")</f>
        <v>No</v>
      </c>
      <c r="Z45" s="7" t="str">
        <f aca="false">IF(INDEX(MASTER_DATABASE!$A$4:$A$1000,ROW()-3)="","",INDEX(MASTER_DATABASE!$AK$4:$AK$1000,ROW()-3)&amp;"")</f>
        <v>No</v>
      </c>
      <c r="AA45" s="7" t="str">
        <f aca="false">IF(INDEX(MASTER_DATABASE!$A$4:$A$1000,ROW()-3)="","",INDEX(MASTER_DATABASE!$BE$4:$BE$1000,ROW()-3)&amp;"")</f>
        <v>HIDDEN</v>
      </c>
    </row>
    <row r="46" customFormat="false" ht="46.25" hidden="false" customHeight="false" outlineLevel="0" collapsed="false">
      <c r="A46" s="11" t="str">
        <f aca="false">IF(INDEX(MASTER_DATABASE!$A$4:$A$1000,ROW()-3)="","",INDEX(MASTER_DATABASE!$A$4:$A$1000,ROW()-3)&amp;"")</f>
        <v>HDF-001</v>
      </c>
      <c r="B46" s="7" t="str">
        <f aca="false">IF(INDEX(MASTER_DATABASE!$A$4:$A$1000,ROW()-3)="","",INDEX(MASTER_DATABASE!$B$4:$B$1000,ROW()-3)&amp;"")</f>
        <v>HDFC Bank BC Point</v>
      </c>
      <c r="C46" s="7" t="str">
        <f aca="false">IF(INDEX(MASTER_DATABASE!$A$4:$A$1000,ROW()-3)="","",INDEX(MASTER_DATABASE!$C$4:$C$1000,ROW()-3)&amp;"")</f>
        <v>Banking Services</v>
      </c>
      <c r="D46" s="7" t="str">
        <f aca="false">IF(INDEX(MASTER_DATABASE!$A$4:$A$1000,ROW()-3)="","",INDEX(MASTER_DATABASE!$D$4:$D$1000,ROW()-3)&amp;"")</f>
        <v>Cash &amp; Balance Services</v>
      </c>
      <c r="E46" s="7" t="str">
        <f aca="false">IF(INDEX(MASTER_DATABASE!$A$4:$A$1000,ROW()-3)="","",INDEX(MASTER_DATABASE!$E$4:$E$1000,ROW()-3)&amp;"")</f>
        <v>HDFC BC – Cash Deposit</v>
      </c>
      <c r="F46" s="7" t="str">
        <f aca="false">IF(INDEX(MASTER_DATABASE!$A$4:$A$1000,ROW()-3)="","",INDEX(MASTER_DATABASE!$F$4:$F$1000,ROW()-3)&amp;"")</f>
        <v>HDFC BC – नकद जमा</v>
      </c>
      <c r="G46" s="7" t="str">
        <f aca="false">IF(INDEX(MASTER_DATABASE!$A$4:$A$1000,ROW()-3)="","",INDEX(MASTER_DATABASE!$AL$4:$AL$1000,ROW()-3)&amp;"")</f>
        <v>HDFC Bank BC Point</v>
      </c>
      <c r="H46" s="7" t="str">
        <f aca="false">IF(INDEX(MASTER_DATABASE!$A$4:$A$1000,ROW()-3)="","",INDEX(MASTER_DATABASE!$AM$4:$AM$1000,ROW()-3)&amp;"")</f>
        <v>Cash &amp; Balance Services</v>
      </c>
      <c r="I46" s="7" t="str">
        <f aca="false">IF(INDEX(MASTER_DATABASE!$A$4:$A$1000,ROW()-3)="","",INDEX(MASTER_DATABASE!$AO$4:$AO$1000,ROW()-3)&amp;"")</f>
        <v>hdfc-bc-cash-deposit</v>
      </c>
      <c r="J46" s="7" t="str">
        <f aca="false">IF(INDEX(MASTER_DATABASE!$A$4:$A$1000,ROW()-3)="","",INDEX(MASTER_DATABASE!$BD$4:$BD$1000,ROW()-3)&amp;"")</f>
        <v>/services/hdfc-bc-cash-deposit</v>
      </c>
      <c r="K46" s="7" t="str">
        <f aca="false">IF(INDEX(MASTER_DATABASE!$A$4:$A$1000,ROW()-3)="","",INDEX(MASTER_DATABASE!$AX$4:$AX$1000,ROW()-3)&amp;"")</f>
        <v>HDFC BC – Cash Deposit Service | Devmobile Stores</v>
      </c>
      <c r="L46" s="7" t="str">
        <f aca="false">IF(INDEX(MASTER_DATABASE!$A$4:$A$1000,ROW()-3)="","",INDEX(MASTER_DATABASE!$AY$4:$AY$1000,ROW()-3)&amp;"")</f>
        <v>HDFC BC – Cash Deposit (HDFC BC – नकद जमा) at Devmobile Stores and Common Service Center &amp; Aadhaar Centre. Check required documents, charges and process before you visit.</v>
      </c>
      <c r="M46" s="7" t="str">
        <f aca="false">IF(INDEX(MASTER_DATABASE!$A$4:$A$1000,ROW()-3)="","",INDEX(MASTER_DATABASE!$AN$4:$AN$1000,ROW()-3)&amp;"")</f>
        <v>HDFC BC – Cash Deposit, HDFC Bank BC Point, Devmobile Stores, HDFC BC – नकद जमा, HDFC बैंक BC पॉइंट, सेवा</v>
      </c>
      <c r="N46" s="7" t="str">
        <f aca="false">IF(INDEX(MASTER_DATABASE!$A$4:$A$1000,ROW()-3)="","",INDEX(MASTER_DATABASE!$AZ$4:$AZ$1000,ROW()-3)&amp;"")</f>
        <v>HDFC BC – नकद जमा, HDFC बैंक BC पॉइंट, सेवा</v>
      </c>
      <c r="O46" s="7" t="str">
        <f aca="false">IF(INDEX(MASTER_DATABASE!$A$4:$A$1000,ROW()-3)="","",INDEX(MASTER_DATABASE!$BA$4:$BA$1000,ROW()-3)&amp;"")</f>
        <v>HDFC BC – Cash Deposit, HDFC Bank BC Point, Devmobile Stores</v>
      </c>
      <c r="P46" s="11" t="str">
        <f aca="false">IF(INDEX(MASTER_DATABASE!$A$4:$A$1000,ROW()-3)="","",INDEX(MASTER_DATABASE!$AP$4:$AP$1000,ROW()-3)&amp;"")</f>
        <v>💵</v>
      </c>
      <c r="Q46" s="7" t="str">
        <f aca="false">IF(INDEX(MASTER_DATABASE!$A$4:$A$1000,ROW()-3)="","",INDEX(MASTER_DATABASE!$BB$4:$BB$1000,ROW()-3)&amp;"")</f>
        <v/>
      </c>
      <c r="R46" s="11" t="str">
        <f aca="false">IF(INDEX(MASTER_DATABASE!$A$4:$A$1000,ROW()-3)="","",INDEX(MASTER_DATABASE!$BC$4:$BC$1000,ROW()-3)&amp;"")</f>
        <v>🏦</v>
      </c>
      <c r="S46" s="11" t="n">
        <f aca="false">IF(INDEX(MASTER_DATABASE!$A$4:$A$1000,ROW()-3)="","",INDEX(MASTER_DATABASE!$AQ$4:$AQ$1000,ROW()-3))</f>
        <v>10</v>
      </c>
      <c r="T46" s="7" t="str">
        <f aca="false">IF(INDEX(MASTER_DATABASE!$A$4:$A$1000,ROW()-3)="","",INDEX(MASTER_DATABASE!$I$4:$I$1000,ROW()-3)&amp;"")</f>
        <v>Authorization Required</v>
      </c>
      <c r="U46" s="7" t="str">
        <f aca="false">IF(INDEX(MASTER_DATABASE!$A$4:$A$1000,ROW()-3)="","",INDEX(MASTER_DATABASE!$J$4:$J$1000,ROW()-3)&amp;"")</f>
        <v>Please Confirm at Shop</v>
      </c>
      <c r="V46" s="7" t="str">
        <f aca="false">IF(INDEX(MASTER_DATABASE!$A$4:$A$1000,ROW()-3)="","",INDEX(MASTER_DATABASE!$AG$4:$AG$1000,ROW()-3)&amp;"")</f>
        <v>To Verify</v>
      </c>
      <c r="W46" s="7" t="str">
        <f aca="false">IF(INDEX(MASTER_DATABASE!$A$4:$A$1000,ROW()-3)="","",INDEX(MASTER_DATABASE!$AH$4:$AH$1000,ROW()-3)&amp;"")</f>
        <v>No</v>
      </c>
      <c r="X46" s="7" t="str">
        <f aca="false">IF(INDEX(MASTER_DATABASE!$A$4:$A$1000,ROW()-3)="","",INDEX(MASTER_DATABASE!$AI$4:$AI$1000,ROW()-3)&amp;"")</f>
        <v>No</v>
      </c>
      <c r="Y46" s="7" t="str">
        <f aca="false">IF(INDEX(MASTER_DATABASE!$A$4:$A$1000,ROW()-3)="","",INDEX(MASTER_DATABASE!$AJ$4:$AJ$1000,ROW()-3)&amp;"")</f>
        <v>No</v>
      </c>
      <c r="Z46" s="7" t="str">
        <f aca="false">IF(INDEX(MASTER_DATABASE!$A$4:$A$1000,ROW()-3)="","",INDEX(MASTER_DATABASE!$AK$4:$AK$1000,ROW()-3)&amp;"")</f>
        <v>No</v>
      </c>
      <c r="AA46" s="7" t="str">
        <f aca="false">IF(INDEX(MASTER_DATABASE!$A$4:$A$1000,ROW()-3)="","",INDEX(MASTER_DATABASE!$BE$4:$BE$1000,ROW()-3)&amp;"")</f>
        <v>HIDDEN</v>
      </c>
    </row>
    <row r="47" customFormat="false" ht="46.25" hidden="false" customHeight="false" outlineLevel="0" collapsed="false">
      <c r="A47" s="11" t="str">
        <f aca="false">IF(INDEX(MASTER_DATABASE!$A$4:$A$1000,ROW()-3)="","",INDEX(MASTER_DATABASE!$A$4:$A$1000,ROW()-3)&amp;"")</f>
        <v>HDF-002</v>
      </c>
      <c r="B47" s="7" t="str">
        <f aca="false">IF(INDEX(MASTER_DATABASE!$A$4:$A$1000,ROW()-3)="","",INDEX(MASTER_DATABASE!$B$4:$B$1000,ROW()-3)&amp;"")</f>
        <v>HDFC Bank BC Point</v>
      </c>
      <c r="C47" s="7" t="str">
        <f aca="false">IF(INDEX(MASTER_DATABASE!$A$4:$A$1000,ROW()-3)="","",INDEX(MASTER_DATABASE!$C$4:$C$1000,ROW()-3)&amp;"")</f>
        <v>Banking Services</v>
      </c>
      <c r="D47" s="7" t="str">
        <f aca="false">IF(INDEX(MASTER_DATABASE!$A$4:$A$1000,ROW()-3)="","",INDEX(MASTER_DATABASE!$D$4:$D$1000,ROW()-3)&amp;"")</f>
        <v>Cash &amp; Balance Services</v>
      </c>
      <c r="E47" s="7" t="str">
        <f aca="false">IF(INDEX(MASTER_DATABASE!$A$4:$A$1000,ROW()-3)="","",INDEX(MASTER_DATABASE!$E$4:$E$1000,ROW()-3)&amp;"")</f>
        <v>HDFC BC – Cash Withdrawal</v>
      </c>
      <c r="F47" s="7" t="str">
        <f aca="false">IF(INDEX(MASTER_DATABASE!$A$4:$A$1000,ROW()-3)="","",INDEX(MASTER_DATABASE!$F$4:$F$1000,ROW()-3)&amp;"")</f>
        <v>HDFC BC – नकद निकासी</v>
      </c>
      <c r="G47" s="7" t="str">
        <f aca="false">IF(INDEX(MASTER_DATABASE!$A$4:$A$1000,ROW()-3)="","",INDEX(MASTER_DATABASE!$AL$4:$AL$1000,ROW()-3)&amp;"")</f>
        <v>HDFC Bank BC Point</v>
      </c>
      <c r="H47" s="7" t="str">
        <f aca="false">IF(INDEX(MASTER_DATABASE!$A$4:$A$1000,ROW()-3)="","",INDEX(MASTER_DATABASE!$AM$4:$AM$1000,ROW()-3)&amp;"")</f>
        <v>Cash &amp; Balance Services</v>
      </c>
      <c r="I47" s="7" t="str">
        <f aca="false">IF(INDEX(MASTER_DATABASE!$A$4:$A$1000,ROW()-3)="","",INDEX(MASTER_DATABASE!$AO$4:$AO$1000,ROW()-3)&amp;"")</f>
        <v>hdfc-bc-cash-withdrawal</v>
      </c>
      <c r="J47" s="7" t="str">
        <f aca="false">IF(INDEX(MASTER_DATABASE!$A$4:$A$1000,ROW()-3)="","",INDEX(MASTER_DATABASE!$BD$4:$BD$1000,ROW()-3)&amp;"")</f>
        <v>/services/hdfc-bc-cash-withdrawal</v>
      </c>
      <c r="K47" s="7" t="str">
        <f aca="false">IF(INDEX(MASTER_DATABASE!$A$4:$A$1000,ROW()-3)="","",INDEX(MASTER_DATABASE!$AX$4:$AX$1000,ROW()-3)&amp;"")</f>
        <v>HDFC BC – Cash Withdrawal Service | Devmobile Stores</v>
      </c>
      <c r="L47" s="7" t="str">
        <f aca="false">IF(INDEX(MASTER_DATABASE!$A$4:$A$1000,ROW()-3)="","",INDEX(MASTER_DATABASE!$AY$4:$AY$1000,ROW()-3)&amp;"")</f>
        <v>HDFC BC – Cash Withdrawal (HDFC BC – नकद निकासी) at Devmobile Stores and Common Service Center &amp; Aadhaar Centre. Check required documents, charges and process before you visit.</v>
      </c>
      <c r="M47" s="7" t="str">
        <f aca="false">IF(INDEX(MASTER_DATABASE!$A$4:$A$1000,ROW()-3)="","",INDEX(MASTER_DATABASE!$AN$4:$AN$1000,ROW()-3)&amp;"")</f>
        <v>HDFC BC – Cash Withdrawal, HDFC Bank BC Point, Devmobile Stores, HDFC BC – नकद निकासी, HDFC बैंक BC पॉइंट, सेवा</v>
      </c>
      <c r="N47" s="7" t="str">
        <f aca="false">IF(INDEX(MASTER_DATABASE!$A$4:$A$1000,ROW()-3)="","",INDEX(MASTER_DATABASE!$AZ$4:$AZ$1000,ROW()-3)&amp;"")</f>
        <v>HDFC BC – नकद निकासी, HDFC बैंक BC पॉइंट, सेवा</v>
      </c>
      <c r="O47" s="7" t="str">
        <f aca="false">IF(INDEX(MASTER_DATABASE!$A$4:$A$1000,ROW()-3)="","",INDEX(MASTER_DATABASE!$BA$4:$BA$1000,ROW()-3)&amp;"")</f>
        <v>HDFC BC – Cash Withdrawal, HDFC Bank BC Point, Devmobile Stores</v>
      </c>
      <c r="P47" s="11" t="str">
        <f aca="false">IF(INDEX(MASTER_DATABASE!$A$4:$A$1000,ROW()-3)="","",INDEX(MASTER_DATABASE!$AP$4:$AP$1000,ROW()-3)&amp;"")</f>
        <v>💵</v>
      </c>
      <c r="Q47" s="7" t="str">
        <f aca="false">IF(INDEX(MASTER_DATABASE!$A$4:$A$1000,ROW()-3)="","",INDEX(MASTER_DATABASE!$BB$4:$BB$1000,ROW()-3)&amp;"")</f>
        <v/>
      </c>
      <c r="R47" s="11" t="str">
        <f aca="false">IF(INDEX(MASTER_DATABASE!$A$4:$A$1000,ROW()-3)="","",INDEX(MASTER_DATABASE!$BC$4:$BC$1000,ROW()-3)&amp;"")</f>
        <v>🏦</v>
      </c>
      <c r="S47" s="11" t="n">
        <f aca="false">IF(INDEX(MASTER_DATABASE!$A$4:$A$1000,ROW()-3)="","",INDEX(MASTER_DATABASE!$AQ$4:$AQ$1000,ROW()-3))</f>
        <v>20</v>
      </c>
      <c r="T47" s="7" t="str">
        <f aca="false">IF(INDEX(MASTER_DATABASE!$A$4:$A$1000,ROW()-3)="","",INDEX(MASTER_DATABASE!$I$4:$I$1000,ROW()-3)&amp;"")</f>
        <v>Authorization Required</v>
      </c>
      <c r="U47" s="7" t="str">
        <f aca="false">IF(INDEX(MASTER_DATABASE!$A$4:$A$1000,ROW()-3)="","",INDEX(MASTER_DATABASE!$J$4:$J$1000,ROW()-3)&amp;"")</f>
        <v>Please Confirm at Shop</v>
      </c>
      <c r="V47" s="7" t="str">
        <f aca="false">IF(INDEX(MASTER_DATABASE!$A$4:$A$1000,ROW()-3)="","",INDEX(MASTER_DATABASE!$AG$4:$AG$1000,ROW()-3)&amp;"")</f>
        <v>To Verify</v>
      </c>
      <c r="W47" s="7" t="str">
        <f aca="false">IF(INDEX(MASTER_DATABASE!$A$4:$A$1000,ROW()-3)="","",INDEX(MASTER_DATABASE!$AH$4:$AH$1000,ROW()-3)&amp;"")</f>
        <v>No</v>
      </c>
      <c r="X47" s="7" t="str">
        <f aca="false">IF(INDEX(MASTER_DATABASE!$A$4:$A$1000,ROW()-3)="","",INDEX(MASTER_DATABASE!$AI$4:$AI$1000,ROW()-3)&amp;"")</f>
        <v>No</v>
      </c>
      <c r="Y47" s="7" t="str">
        <f aca="false">IF(INDEX(MASTER_DATABASE!$A$4:$A$1000,ROW()-3)="","",INDEX(MASTER_DATABASE!$AJ$4:$AJ$1000,ROW()-3)&amp;"")</f>
        <v>No</v>
      </c>
      <c r="Z47" s="7" t="str">
        <f aca="false">IF(INDEX(MASTER_DATABASE!$A$4:$A$1000,ROW()-3)="","",INDEX(MASTER_DATABASE!$AK$4:$AK$1000,ROW()-3)&amp;"")</f>
        <v>No</v>
      </c>
      <c r="AA47" s="7" t="str">
        <f aca="false">IF(INDEX(MASTER_DATABASE!$A$4:$A$1000,ROW()-3)="","",INDEX(MASTER_DATABASE!$BE$4:$BE$1000,ROW()-3)&amp;"")</f>
        <v>HIDDEN</v>
      </c>
    </row>
    <row r="48" customFormat="false" ht="46.25" hidden="false" customHeight="false" outlineLevel="0" collapsed="false">
      <c r="A48" s="11" t="str">
        <f aca="false">IF(INDEX(MASTER_DATABASE!$A$4:$A$1000,ROW()-3)="","",INDEX(MASTER_DATABASE!$A$4:$A$1000,ROW()-3)&amp;"")</f>
        <v>HDF-003</v>
      </c>
      <c r="B48" s="7" t="str">
        <f aca="false">IF(INDEX(MASTER_DATABASE!$A$4:$A$1000,ROW()-3)="","",INDEX(MASTER_DATABASE!$B$4:$B$1000,ROW()-3)&amp;"")</f>
        <v>HDFC Bank BC Point</v>
      </c>
      <c r="C48" s="7" t="str">
        <f aca="false">IF(INDEX(MASTER_DATABASE!$A$4:$A$1000,ROW()-3)="","",INDEX(MASTER_DATABASE!$C$4:$C$1000,ROW()-3)&amp;"")</f>
        <v>Banking Services</v>
      </c>
      <c r="D48" s="7" t="str">
        <f aca="false">IF(INDEX(MASTER_DATABASE!$A$4:$A$1000,ROW()-3)="","",INDEX(MASTER_DATABASE!$D$4:$D$1000,ROW()-3)&amp;"")</f>
        <v>Cash &amp; Balance Services</v>
      </c>
      <c r="E48" s="7" t="str">
        <f aca="false">IF(INDEX(MASTER_DATABASE!$A$4:$A$1000,ROW()-3)="","",INDEX(MASTER_DATABASE!$E$4:$E$1000,ROW()-3)&amp;"")</f>
        <v>HDFC BC – Balance Enquiry</v>
      </c>
      <c r="F48" s="7" t="str">
        <f aca="false">IF(INDEX(MASTER_DATABASE!$A$4:$A$1000,ROW()-3)="","",INDEX(MASTER_DATABASE!$F$4:$F$1000,ROW()-3)&amp;"")</f>
        <v>HDFC BC – बैलेंस पूछताछ</v>
      </c>
      <c r="G48" s="7" t="str">
        <f aca="false">IF(INDEX(MASTER_DATABASE!$A$4:$A$1000,ROW()-3)="","",INDEX(MASTER_DATABASE!$AL$4:$AL$1000,ROW()-3)&amp;"")</f>
        <v>HDFC Bank BC Point</v>
      </c>
      <c r="H48" s="7" t="str">
        <f aca="false">IF(INDEX(MASTER_DATABASE!$A$4:$A$1000,ROW()-3)="","",INDEX(MASTER_DATABASE!$AM$4:$AM$1000,ROW()-3)&amp;"")</f>
        <v>Cash &amp; Balance Services</v>
      </c>
      <c r="I48" s="7" t="str">
        <f aca="false">IF(INDEX(MASTER_DATABASE!$A$4:$A$1000,ROW()-3)="","",INDEX(MASTER_DATABASE!$AO$4:$AO$1000,ROW()-3)&amp;"")</f>
        <v>hdfc-bc-balance-enquiry</v>
      </c>
      <c r="J48" s="7" t="str">
        <f aca="false">IF(INDEX(MASTER_DATABASE!$A$4:$A$1000,ROW()-3)="","",INDEX(MASTER_DATABASE!$BD$4:$BD$1000,ROW()-3)&amp;"")</f>
        <v>/services/hdfc-bc-balance-enquiry</v>
      </c>
      <c r="K48" s="7" t="str">
        <f aca="false">IF(INDEX(MASTER_DATABASE!$A$4:$A$1000,ROW()-3)="","",INDEX(MASTER_DATABASE!$AX$4:$AX$1000,ROW()-3)&amp;"")</f>
        <v>HDFC BC – Balance Enquiry Service | Devmobile Stores</v>
      </c>
      <c r="L48" s="7" t="str">
        <f aca="false">IF(INDEX(MASTER_DATABASE!$A$4:$A$1000,ROW()-3)="","",INDEX(MASTER_DATABASE!$AY$4:$AY$1000,ROW()-3)&amp;"")</f>
        <v>HDFC BC – Balance Enquiry (HDFC BC – बैलेंस पूछताछ) at Devmobile Stores and Common Service Center &amp; Aadhaar Centre. Check required documents, charges and process before you visit.</v>
      </c>
      <c r="M48" s="7" t="str">
        <f aca="false">IF(INDEX(MASTER_DATABASE!$A$4:$A$1000,ROW()-3)="","",INDEX(MASTER_DATABASE!$AN$4:$AN$1000,ROW()-3)&amp;"")</f>
        <v>HDFC BC – Balance Enquiry, HDFC Bank BC Point, Devmobile Stores, HDFC BC – बैलेंस पूछताछ, HDFC बैंक BC पॉइंट, सेवा</v>
      </c>
      <c r="N48" s="7" t="str">
        <f aca="false">IF(INDEX(MASTER_DATABASE!$A$4:$A$1000,ROW()-3)="","",INDEX(MASTER_DATABASE!$AZ$4:$AZ$1000,ROW()-3)&amp;"")</f>
        <v>HDFC BC – बैलेंस पूछताछ, HDFC बैंक BC पॉइंट, सेवा</v>
      </c>
      <c r="O48" s="7" t="str">
        <f aca="false">IF(INDEX(MASTER_DATABASE!$A$4:$A$1000,ROW()-3)="","",INDEX(MASTER_DATABASE!$BA$4:$BA$1000,ROW()-3)&amp;"")</f>
        <v>HDFC BC – Balance Enquiry, HDFC Bank BC Point, Devmobile Stores</v>
      </c>
      <c r="P48" s="11" t="str">
        <f aca="false">IF(INDEX(MASTER_DATABASE!$A$4:$A$1000,ROW()-3)="","",INDEX(MASTER_DATABASE!$AP$4:$AP$1000,ROW()-3)&amp;"")</f>
        <v>💵</v>
      </c>
      <c r="Q48" s="7" t="str">
        <f aca="false">IF(INDEX(MASTER_DATABASE!$A$4:$A$1000,ROW()-3)="","",INDEX(MASTER_DATABASE!$BB$4:$BB$1000,ROW()-3)&amp;"")</f>
        <v/>
      </c>
      <c r="R48" s="11" t="str">
        <f aca="false">IF(INDEX(MASTER_DATABASE!$A$4:$A$1000,ROW()-3)="","",INDEX(MASTER_DATABASE!$BC$4:$BC$1000,ROW()-3)&amp;"")</f>
        <v>🏦</v>
      </c>
      <c r="S48" s="11" t="n">
        <f aca="false">IF(INDEX(MASTER_DATABASE!$A$4:$A$1000,ROW()-3)="","",INDEX(MASTER_DATABASE!$AQ$4:$AQ$1000,ROW()-3))</f>
        <v>30</v>
      </c>
      <c r="T48" s="7" t="str">
        <f aca="false">IF(INDEX(MASTER_DATABASE!$A$4:$A$1000,ROW()-3)="","",INDEX(MASTER_DATABASE!$I$4:$I$1000,ROW()-3)&amp;"")</f>
        <v>Authorization Required</v>
      </c>
      <c r="U48" s="7" t="str">
        <f aca="false">IF(INDEX(MASTER_DATABASE!$A$4:$A$1000,ROW()-3)="","",INDEX(MASTER_DATABASE!$J$4:$J$1000,ROW()-3)&amp;"")</f>
        <v>Please Confirm at Shop</v>
      </c>
      <c r="V48" s="7" t="str">
        <f aca="false">IF(INDEX(MASTER_DATABASE!$A$4:$A$1000,ROW()-3)="","",INDEX(MASTER_DATABASE!$AG$4:$AG$1000,ROW()-3)&amp;"")</f>
        <v>To Verify</v>
      </c>
      <c r="W48" s="7" t="str">
        <f aca="false">IF(INDEX(MASTER_DATABASE!$A$4:$A$1000,ROW()-3)="","",INDEX(MASTER_DATABASE!$AH$4:$AH$1000,ROW()-3)&amp;"")</f>
        <v>No</v>
      </c>
      <c r="X48" s="7" t="str">
        <f aca="false">IF(INDEX(MASTER_DATABASE!$A$4:$A$1000,ROW()-3)="","",INDEX(MASTER_DATABASE!$AI$4:$AI$1000,ROW()-3)&amp;"")</f>
        <v>No</v>
      </c>
      <c r="Y48" s="7" t="str">
        <f aca="false">IF(INDEX(MASTER_DATABASE!$A$4:$A$1000,ROW()-3)="","",INDEX(MASTER_DATABASE!$AJ$4:$AJ$1000,ROW()-3)&amp;"")</f>
        <v>No</v>
      </c>
      <c r="Z48" s="7" t="str">
        <f aca="false">IF(INDEX(MASTER_DATABASE!$A$4:$A$1000,ROW()-3)="","",INDEX(MASTER_DATABASE!$AK$4:$AK$1000,ROW()-3)&amp;"")</f>
        <v>No</v>
      </c>
      <c r="AA48" s="7" t="str">
        <f aca="false">IF(INDEX(MASTER_DATABASE!$A$4:$A$1000,ROW()-3)="","",INDEX(MASTER_DATABASE!$BE$4:$BE$1000,ROW()-3)&amp;"")</f>
        <v>HIDDEN</v>
      </c>
    </row>
    <row r="49" customFormat="false" ht="46.25" hidden="false" customHeight="false" outlineLevel="0" collapsed="false">
      <c r="A49" s="11" t="str">
        <f aca="false">IF(INDEX(MASTER_DATABASE!$A$4:$A$1000,ROW()-3)="","",INDEX(MASTER_DATABASE!$A$4:$A$1000,ROW()-3)&amp;"")</f>
        <v>HDF-004</v>
      </c>
      <c r="B49" s="7" t="str">
        <f aca="false">IF(INDEX(MASTER_DATABASE!$A$4:$A$1000,ROW()-3)="","",INDEX(MASTER_DATABASE!$B$4:$B$1000,ROW()-3)&amp;"")</f>
        <v>HDFC Bank BC Point</v>
      </c>
      <c r="C49" s="7" t="str">
        <f aca="false">IF(INDEX(MASTER_DATABASE!$A$4:$A$1000,ROW()-3)="","",INDEX(MASTER_DATABASE!$C$4:$C$1000,ROW()-3)&amp;"")</f>
        <v>Banking Services</v>
      </c>
      <c r="D49" s="7" t="str">
        <f aca="false">IF(INDEX(MASTER_DATABASE!$A$4:$A$1000,ROW()-3)="","",INDEX(MASTER_DATABASE!$D$4:$D$1000,ROW()-3)&amp;"")</f>
        <v>Cash &amp; Balance Services</v>
      </c>
      <c r="E49" s="7" t="str">
        <f aca="false">IF(INDEX(MASTER_DATABASE!$A$4:$A$1000,ROW()-3)="","",INDEX(MASTER_DATABASE!$E$4:$E$1000,ROW()-3)&amp;"")</f>
        <v>HDFC BC – Mini Statement</v>
      </c>
      <c r="F49" s="7" t="str">
        <f aca="false">IF(INDEX(MASTER_DATABASE!$A$4:$A$1000,ROW()-3)="","",INDEX(MASTER_DATABASE!$F$4:$F$1000,ROW()-3)&amp;"")</f>
        <v>HDFC BC – मिनी स्टेटमेंट</v>
      </c>
      <c r="G49" s="7" t="str">
        <f aca="false">IF(INDEX(MASTER_DATABASE!$A$4:$A$1000,ROW()-3)="","",INDEX(MASTER_DATABASE!$AL$4:$AL$1000,ROW()-3)&amp;"")</f>
        <v>HDFC Bank BC Point</v>
      </c>
      <c r="H49" s="7" t="str">
        <f aca="false">IF(INDEX(MASTER_DATABASE!$A$4:$A$1000,ROW()-3)="","",INDEX(MASTER_DATABASE!$AM$4:$AM$1000,ROW()-3)&amp;"")</f>
        <v>Cash &amp; Balance Services</v>
      </c>
      <c r="I49" s="7" t="str">
        <f aca="false">IF(INDEX(MASTER_DATABASE!$A$4:$A$1000,ROW()-3)="","",INDEX(MASTER_DATABASE!$AO$4:$AO$1000,ROW()-3)&amp;"")</f>
        <v>hdfc-bc-mini-statement</v>
      </c>
      <c r="J49" s="7" t="str">
        <f aca="false">IF(INDEX(MASTER_DATABASE!$A$4:$A$1000,ROW()-3)="","",INDEX(MASTER_DATABASE!$BD$4:$BD$1000,ROW()-3)&amp;"")</f>
        <v>/services/hdfc-bc-mini-statement</v>
      </c>
      <c r="K49" s="7" t="str">
        <f aca="false">IF(INDEX(MASTER_DATABASE!$A$4:$A$1000,ROW()-3)="","",INDEX(MASTER_DATABASE!$AX$4:$AX$1000,ROW()-3)&amp;"")</f>
        <v>HDFC BC – Mini Statement Service | Devmobile Stores</v>
      </c>
      <c r="L49" s="7" t="str">
        <f aca="false">IF(INDEX(MASTER_DATABASE!$A$4:$A$1000,ROW()-3)="","",INDEX(MASTER_DATABASE!$AY$4:$AY$1000,ROW()-3)&amp;"")</f>
        <v>HDFC BC – Mini Statement (HDFC BC – मिनी स्टेटमेंट) at Devmobile Stores and Common Service Center &amp; Aadhaar Centre. Check required documents, charges and process before you visit.</v>
      </c>
      <c r="M49" s="7" t="str">
        <f aca="false">IF(INDEX(MASTER_DATABASE!$A$4:$A$1000,ROW()-3)="","",INDEX(MASTER_DATABASE!$AN$4:$AN$1000,ROW()-3)&amp;"")</f>
        <v>HDFC BC – Mini Statement, HDFC Bank BC Point, Devmobile Stores, HDFC BC – मिनी स्टेटमेंट, HDFC बैंक BC पॉइंट, सेवा</v>
      </c>
      <c r="N49" s="7" t="str">
        <f aca="false">IF(INDEX(MASTER_DATABASE!$A$4:$A$1000,ROW()-3)="","",INDEX(MASTER_DATABASE!$AZ$4:$AZ$1000,ROW()-3)&amp;"")</f>
        <v>HDFC BC – मिनी स्टेटमेंट, HDFC बैंक BC पॉइंट, सेवा</v>
      </c>
      <c r="O49" s="7" t="str">
        <f aca="false">IF(INDEX(MASTER_DATABASE!$A$4:$A$1000,ROW()-3)="","",INDEX(MASTER_DATABASE!$BA$4:$BA$1000,ROW()-3)&amp;"")</f>
        <v>HDFC BC – Mini Statement, HDFC Bank BC Point, Devmobile Stores</v>
      </c>
      <c r="P49" s="11" t="str">
        <f aca="false">IF(INDEX(MASTER_DATABASE!$A$4:$A$1000,ROW()-3)="","",INDEX(MASTER_DATABASE!$AP$4:$AP$1000,ROW()-3)&amp;"")</f>
        <v>💵</v>
      </c>
      <c r="Q49" s="7" t="str">
        <f aca="false">IF(INDEX(MASTER_DATABASE!$A$4:$A$1000,ROW()-3)="","",INDEX(MASTER_DATABASE!$BB$4:$BB$1000,ROW()-3)&amp;"")</f>
        <v/>
      </c>
      <c r="R49" s="11" t="str">
        <f aca="false">IF(INDEX(MASTER_DATABASE!$A$4:$A$1000,ROW()-3)="","",INDEX(MASTER_DATABASE!$BC$4:$BC$1000,ROW()-3)&amp;"")</f>
        <v>🏦</v>
      </c>
      <c r="S49" s="11" t="n">
        <f aca="false">IF(INDEX(MASTER_DATABASE!$A$4:$A$1000,ROW()-3)="","",INDEX(MASTER_DATABASE!$AQ$4:$AQ$1000,ROW()-3))</f>
        <v>40</v>
      </c>
      <c r="T49" s="7" t="str">
        <f aca="false">IF(INDEX(MASTER_DATABASE!$A$4:$A$1000,ROW()-3)="","",INDEX(MASTER_DATABASE!$I$4:$I$1000,ROW()-3)&amp;"")</f>
        <v>Authorization Required</v>
      </c>
      <c r="U49" s="7" t="str">
        <f aca="false">IF(INDEX(MASTER_DATABASE!$A$4:$A$1000,ROW()-3)="","",INDEX(MASTER_DATABASE!$J$4:$J$1000,ROW()-3)&amp;"")</f>
        <v>Please Confirm at Shop</v>
      </c>
      <c r="V49" s="7" t="str">
        <f aca="false">IF(INDEX(MASTER_DATABASE!$A$4:$A$1000,ROW()-3)="","",INDEX(MASTER_DATABASE!$AG$4:$AG$1000,ROW()-3)&amp;"")</f>
        <v>To Verify</v>
      </c>
      <c r="W49" s="7" t="str">
        <f aca="false">IF(INDEX(MASTER_DATABASE!$A$4:$A$1000,ROW()-3)="","",INDEX(MASTER_DATABASE!$AH$4:$AH$1000,ROW()-3)&amp;"")</f>
        <v>No</v>
      </c>
      <c r="X49" s="7" t="str">
        <f aca="false">IF(INDEX(MASTER_DATABASE!$A$4:$A$1000,ROW()-3)="","",INDEX(MASTER_DATABASE!$AI$4:$AI$1000,ROW()-3)&amp;"")</f>
        <v>No</v>
      </c>
      <c r="Y49" s="7" t="str">
        <f aca="false">IF(INDEX(MASTER_DATABASE!$A$4:$A$1000,ROW()-3)="","",INDEX(MASTER_DATABASE!$AJ$4:$AJ$1000,ROW()-3)&amp;"")</f>
        <v>No</v>
      </c>
      <c r="Z49" s="7" t="str">
        <f aca="false">IF(INDEX(MASTER_DATABASE!$A$4:$A$1000,ROW()-3)="","",INDEX(MASTER_DATABASE!$AK$4:$AK$1000,ROW()-3)&amp;"")</f>
        <v>No</v>
      </c>
      <c r="AA49" s="7" t="str">
        <f aca="false">IF(INDEX(MASTER_DATABASE!$A$4:$A$1000,ROW()-3)="","",INDEX(MASTER_DATABASE!$BE$4:$BE$1000,ROW()-3)&amp;"")</f>
        <v>HIDDEN</v>
      </c>
    </row>
    <row r="50" customFormat="false" ht="46.25" hidden="false" customHeight="false" outlineLevel="0" collapsed="false">
      <c r="A50" s="11" t="str">
        <f aca="false">IF(INDEX(MASTER_DATABASE!$A$4:$A$1000,ROW()-3)="","",INDEX(MASTER_DATABASE!$A$4:$A$1000,ROW()-3)&amp;"")</f>
        <v>HDF-005</v>
      </c>
      <c r="B50" s="7" t="str">
        <f aca="false">IF(INDEX(MASTER_DATABASE!$A$4:$A$1000,ROW()-3)="","",INDEX(MASTER_DATABASE!$B$4:$B$1000,ROW()-3)&amp;"")</f>
        <v>HDFC Bank BC Point</v>
      </c>
      <c r="C50" s="7" t="str">
        <f aca="false">IF(INDEX(MASTER_DATABASE!$A$4:$A$1000,ROW()-3)="","",INDEX(MASTER_DATABASE!$C$4:$C$1000,ROW()-3)&amp;"")</f>
        <v>Banking Services</v>
      </c>
      <c r="D50" s="7" t="str">
        <f aca="false">IF(INDEX(MASTER_DATABASE!$A$4:$A$1000,ROW()-3)="","",INDEX(MASTER_DATABASE!$D$4:$D$1000,ROW()-3)&amp;"")</f>
        <v>AEPS / Biometric Banking</v>
      </c>
      <c r="E50" s="7" t="str">
        <f aca="false">IF(INDEX(MASTER_DATABASE!$A$4:$A$1000,ROW()-3)="","",INDEX(MASTER_DATABASE!$E$4:$E$1000,ROW()-3)&amp;"")</f>
        <v>HDFC BC – AEPS Cash Withdrawal</v>
      </c>
      <c r="F50" s="7" t="str">
        <f aca="false">IF(INDEX(MASTER_DATABASE!$A$4:$A$1000,ROW()-3)="","",INDEX(MASTER_DATABASE!$F$4:$F$1000,ROW()-3)&amp;"")</f>
        <v>HDFC BC – AEPS नकद निकासी</v>
      </c>
      <c r="G50" s="7" t="str">
        <f aca="false">IF(INDEX(MASTER_DATABASE!$A$4:$A$1000,ROW()-3)="","",INDEX(MASTER_DATABASE!$AL$4:$AL$1000,ROW()-3)&amp;"")</f>
        <v>HDFC Bank BC Point</v>
      </c>
      <c r="H50" s="7" t="str">
        <f aca="false">IF(INDEX(MASTER_DATABASE!$A$4:$A$1000,ROW()-3)="","",INDEX(MASTER_DATABASE!$AM$4:$AM$1000,ROW()-3)&amp;"")</f>
        <v>AEPS / Biometric Banking</v>
      </c>
      <c r="I50" s="7" t="str">
        <f aca="false">IF(INDEX(MASTER_DATABASE!$A$4:$A$1000,ROW()-3)="","",INDEX(MASTER_DATABASE!$AO$4:$AO$1000,ROW()-3)&amp;"")</f>
        <v>hdfc-bc-aeps-cash-withdrawal</v>
      </c>
      <c r="J50" s="7" t="str">
        <f aca="false">IF(INDEX(MASTER_DATABASE!$A$4:$A$1000,ROW()-3)="","",INDEX(MASTER_DATABASE!$BD$4:$BD$1000,ROW()-3)&amp;"")</f>
        <v>/services/hdfc-bc-aeps-cash-withdrawal</v>
      </c>
      <c r="K50" s="7" t="str">
        <f aca="false">IF(INDEX(MASTER_DATABASE!$A$4:$A$1000,ROW()-3)="","",INDEX(MASTER_DATABASE!$AX$4:$AX$1000,ROW()-3)&amp;"")</f>
        <v>HDFC BC – AEPS Cash Withdrawal Service | Devmobile Stores</v>
      </c>
      <c r="L50" s="7" t="str">
        <f aca="false">IF(INDEX(MASTER_DATABASE!$A$4:$A$1000,ROW()-3)="","",INDEX(MASTER_DATABASE!$AY$4:$AY$1000,ROW()-3)&amp;"")</f>
        <v>HDFC BC – AEPS Cash Withdrawal (HDFC BC – AEPS नकद निकासी) at Devmobile Stores and Common Service Center &amp; Aadhaar Centre. Check required documents, charges and process before you visit.</v>
      </c>
      <c r="M50" s="7" t="str">
        <f aca="false">IF(INDEX(MASTER_DATABASE!$A$4:$A$1000,ROW()-3)="","",INDEX(MASTER_DATABASE!$AN$4:$AN$1000,ROW()-3)&amp;"")</f>
        <v>HDFC BC – AEPS Cash Withdrawal, HDFC Bank BC Point, Devmobile Stores, HDFC BC – AEPS नकद निकासी, HDFC बैंक BC पॉइंट, सेवा</v>
      </c>
      <c r="N50" s="7" t="str">
        <f aca="false">IF(INDEX(MASTER_DATABASE!$A$4:$A$1000,ROW()-3)="","",INDEX(MASTER_DATABASE!$AZ$4:$AZ$1000,ROW()-3)&amp;"")</f>
        <v>HDFC BC – AEPS नकद निकासी, HDFC बैंक BC पॉइंट, सेवा</v>
      </c>
      <c r="O50" s="7" t="str">
        <f aca="false">IF(INDEX(MASTER_DATABASE!$A$4:$A$1000,ROW()-3)="","",INDEX(MASTER_DATABASE!$BA$4:$BA$1000,ROW()-3)&amp;"")</f>
        <v>HDFC BC – AEPS Cash Withdrawal, HDFC Bank BC Point, Devmobile Stores</v>
      </c>
      <c r="P50" s="11" t="str">
        <f aca="false">IF(INDEX(MASTER_DATABASE!$A$4:$A$1000,ROW()-3)="","",INDEX(MASTER_DATABASE!$AP$4:$AP$1000,ROW()-3)&amp;"")</f>
        <v>👆</v>
      </c>
      <c r="Q50" s="7" t="str">
        <f aca="false">IF(INDEX(MASTER_DATABASE!$A$4:$A$1000,ROW()-3)="","",INDEX(MASTER_DATABASE!$BB$4:$BB$1000,ROW()-3)&amp;"")</f>
        <v/>
      </c>
      <c r="R50" s="11" t="str">
        <f aca="false">IF(INDEX(MASTER_DATABASE!$A$4:$A$1000,ROW()-3)="","",INDEX(MASTER_DATABASE!$BC$4:$BC$1000,ROW()-3)&amp;"")</f>
        <v>🏦</v>
      </c>
      <c r="S50" s="11" t="n">
        <f aca="false">IF(INDEX(MASTER_DATABASE!$A$4:$A$1000,ROW()-3)="","",INDEX(MASTER_DATABASE!$AQ$4:$AQ$1000,ROW()-3))</f>
        <v>50</v>
      </c>
      <c r="T50" s="7" t="str">
        <f aca="false">IF(INDEX(MASTER_DATABASE!$A$4:$A$1000,ROW()-3)="","",INDEX(MASTER_DATABASE!$I$4:$I$1000,ROW()-3)&amp;"")</f>
        <v>Authorization Required</v>
      </c>
      <c r="U50" s="7" t="str">
        <f aca="false">IF(INDEX(MASTER_DATABASE!$A$4:$A$1000,ROW()-3)="","",INDEX(MASTER_DATABASE!$J$4:$J$1000,ROW()-3)&amp;"")</f>
        <v>Please Confirm at Shop</v>
      </c>
      <c r="V50" s="7" t="str">
        <f aca="false">IF(INDEX(MASTER_DATABASE!$A$4:$A$1000,ROW()-3)="","",INDEX(MASTER_DATABASE!$AG$4:$AG$1000,ROW()-3)&amp;"")</f>
        <v>To Verify</v>
      </c>
      <c r="W50" s="7" t="str">
        <f aca="false">IF(INDEX(MASTER_DATABASE!$A$4:$A$1000,ROW()-3)="","",INDEX(MASTER_DATABASE!$AH$4:$AH$1000,ROW()-3)&amp;"")</f>
        <v>No</v>
      </c>
      <c r="X50" s="7" t="str">
        <f aca="false">IF(INDEX(MASTER_DATABASE!$A$4:$A$1000,ROW()-3)="","",INDEX(MASTER_DATABASE!$AI$4:$AI$1000,ROW()-3)&amp;"")</f>
        <v>No</v>
      </c>
      <c r="Y50" s="7" t="str">
        <f aca="false">IF(INDEX(MASTER_DATABASE!$A$4:$A$1000,ROW()-3)="","",INDEX(MASTER_DATABASE!$AJ$4:$AJ$1000,ROW()-3)&amp;"")</f>
        <v>No</v>
      </c>
      <c r="Z50" s="7" t="str">
        <f aca="false">IF(INDEX(MASTER_DATABASE!$A$4:$A$1000,ROW()-3)="","",INDEX(MASTER_DATABASE!$AK$4:$AK$1000,ROW()-3)&amp;"")</f>
        <v>No</v>
      </c>
      <c r="AA50" s="7" t="str">
        <f aca="false">IF(INDEX(MASTER_DATABASE!$A$4:$A$1000,ROW()-3)="","",INDEX(MASTER_DATABASE!$BE$4:$BE$1000,ROW()-3)&amp;"")</f>
        <v>HIDDEN</v>
      </c>
    </row>
    <row r="51" customFormat="false" ht="46.25" hidden="false" customHeight="false" outlineLevel="0" collapsed="false">
      <c r="A51" s="11" t="str">
        <f aca="false">IF(INDEX(MASTER_DATABASE!$A$4:$A$1000,ROW()-3)="","",INDEX(MASTER_DATABASE!$A$4:$A$1000,ROW()-3)&amp;"")</f>
        <v>HDF-006</v>
      </c>
      <c r="B51" s="7" t="str">
        <f aca="false">IF(INDEX(MASTER_DATABASE!$A$4:$A$1000,ROW()-3)="","",INDEX(MASTER_DATABASE!$B$4:$B$1000,ROW()-3)&amp;"")</f>
        <v>HDFC Bank BC Point</v>
      </c>
      <c r="C51" s="7" t="str">
        <f aca="false">IF(INDEX(MASTER_DATABASE!$A$4:$A$1000,ROW()-3)="","",INDEX(MASTER_DATABASE!$C$4:$C$1000,ROW()-3)&amp;"")</f>
        <v>Banking Services</v>
      </c>
      <c r="D51" s="7" t="str">
        <f aca="false">IF(INDEX(MASTER_DATABASE!$A$4:$A$1000,ROW()-3)="","",INDEX(MASTER_DATABASE!$D$4:$D$1000,ROW()-3)&amp;"")</f>
        <v>AEPS / Biometric Banking</v>
      </c>
      <c r="E51" s="7" t="str">
        <f aca="false">IF(INDEX(MASTER_DATABASE!$A$4:$A$1000,ROW()-3)="","",INDEX(MASTER_DATABASE!$E$4:$E$1000,ROW()-3)&amp;"")</f>
        <v>HDFC BC – AEPS Balance Enquiry</v>
      </c>
      <c r="F51" s="7" t="str">
        <f aca="false">IF(INDEX(MASTER_DATABASE!$A$4:$A$1000,ROW()-3)="","",INDEX(MASTER_DATABASE!$F$4:$F$1000,ROW()-3)&amp;"")</f>
        <v>HDFC BC – AEPS बैलेंस पूछताछ</v>
      </c>
      <c r="G51" s="7" t="str">
        <f aca="false">IF(INDEX(MASTER_DATABASE!$A$4:$A$1000,ROW()-3)="","",INDEX(MASTER_DATABASE!$AL$4:$AL$1000,ROW()-3)&amp;"")</f>
        <v>HDFC Bank BC Point</v>
      </c>
      <c r="H51" s="7" t="str">
        <f aca="false">IF(INDEX(MASTER_DATABASE!$A$4:$A$1000,ROW()-3)="","",INDEX(MASTER_DATABASE!$AM$4:$AM$1000,ROW()-3)&amp;"")</f>
        <v>AEPS / Biometric Banking</v>
      </c>
      <c r="I51" s="7" t="str">
        <f aca="false">IF(INDEX(MASTER_DATABASE!$A$4:$A$1000,ROW()-3)="","",INDEX(MASTER_DATABASE!$AO$4:$AO$1000,ROW()-3)&amp;"")</f>
        <v>hdfc-bc-aeps-balance-enquiry</v>
      </c>
      <c r="J51" s="7" t="str">
        <f aca="false">IF(INDEX(MASTER_DATABASE!$A$4:$A$1000,ROW()-3)="","",INDEX(MASTER_DATABASE!$BD$4:$BD$1000,ROW()-3)&amp;"")</f>
        <v>/services/hdfc-bc-aeps-balance-enquiry</v>
      </c>
      <c r="K51" s="7" t="str">
        <f aca="false">IF(INDEX(MASTER_DATABASE!$A$4:$A$1000,ROW()-3)="","",INDEX(MASTER_DATABASE!$AX$4:$AX$1000,ROW()-3)&amp;"")</f>
        <v>HDFC BC – AEPS Balance Enquiry Service | Devmobile Stores</v>
      </c>
      <c r="L51" s="7" t="str">
        <f aca="false">IF(INDEX(MASTER_DATABASE!$A$4:$A$1000,ROW()-3)="","",INDEX(MASTER_DATABASE!$AY$4:$AY$1000,ROW()-3)&amp;"")</f>
        <v>HDFC BC – AEPS Balance Enquiry (HDFC BC – AEPS बैलेंस पूछताछ) at Devmobile Stores and Common Service Center &amp; Aadhaar Centre. Check required documents, charges and process before you visit.</v>
      </c>
      <c r="M51" s="7" t="str">
        <f aca="false">IF(INDEX(MASTER_DATABASE!$A$4:$A$1000,ROW()-3)="","",INDEX(MASTER_DATABASE!$AN$4:$AN$1000,ROW()-3)&amp;"")</f>
        <v>HDFC BC – AEPS Balance Enquiry, HDFC Bank BC Point, Devmobile Stores, HDFC BC – AEPS बैलेंस पूछताछ, HDFC बैंक BC पॉइंट, सेवा</v>
      </c>
      <c r="N51" s="7" t="str">
        <f aca="false">IF(INDEX(MASTER_DATABASE!$A$4:$A$1000,ROW()-3)="","",INDEX(MASTER_DATABASE!$AZ$4:$AZ$1000,ROW()-3)&amp;"")</f>
        <v>HDFC BC – AEPS बैलेंस पूछताछ, HDFC बैंक BC पॉइंट, सेवा</v>
      </c>
      <c r="O51" s="7" t="str">
        <f aca="false">IF(INDEX(MASTER_DATABASE!$A$4:$A$1000,ROW()-3)="","",INDEX(MASTER_DATABASE!$BA$4:$BA$1000,ROW()-3)&amp;"")</f>
        <v>HDFC BC – AEPS Balance Enquiry, HDFC Bank BC Point, Devmobile Stores</v>
      </c>
      <c r="P51" s="11" t="str">
        <f aca="false">IF(INDEX(MASTER_DATABASE!$A$4:$A$1000,ROW()-3)="","",INDEX(MASTER_DATABASE!$AP$4:$AP$1000,ROW()-3)&amp;"")</f>
        <v>👆</v>
      </c>
      <c r="Q51" s="7" t="str">
        <f aca="false">IF(INDEX(MASTER_DATABASE!$A$4:$A$1000,ROW()-3)="","",INDEX(MASTER_DATABASE!$BB$4:$BB$1000,ROW()-3)&amp;"")</f>
        <v/>
      </c>
      <c r="R51" s="11" t="str">
        <f aca="false">IF(INDEX(MASTER_DATABASE!$A$4:$A$1000,ROW()-3)="","",INDEX(MASTER_DATABASE!$BC$4:$BC$1000,ROW()-3)&amp;"")</f>
        <v>🏦</v>
      </c>
      <c r="S51" s="11" t="n">
        <f aca="false">IF(INDEX(MASTER_DATABASE!$A$4:$A$1000,ROW()-3)="","",INDEX(MASTER_DATABASE!$AQ$4:$AQ$1000,ROW()-3))</f>
        <v>60</v>
      </c>
      <c r="T51" s="7" t="str">
        <f aca="false">IF(INDEX(MASTER_DATABASE!$A$4:$A$1000,ROW()-3)="","",INDEX(MASTER_DATABASE!$I$4:$I$1000,ROW()-3)&amp;"")</f>
        <v>Authorization Required</v>
      </c>
      <c r="U51" s="7" t="str">
        <f aca="false">IF(INDEX(MASTER_DATABASE!$A$4:$A$1000,ROW()-3)="","",INDEX(MASTER_DATABASE!$J$4:$J$1000,ROW()-3)&amp;"")</f>
        <v>Please Confirm at Shop</v>
      </c>
      <c r="V51" s="7" t="str">
        <f aca="false">IF(INDEX(MASTER_DATABASE!$A$4:$A$1000,ROW()-3)="","",INDEX(MASTER_DATABASE!$AG$4:$AG$1000,ROW()-3)&amp;"")</f>
        <v>To Verify</v>
      </c>
      <c r="W51" s="7" t="str">
        <f aca="false">IF(INDEX(MASTER_DATABASE!$A$4:$A$1000,ROW()-3)="","",INDEX(MASTER_DATABASE!$AH$4:$AH$1000,ROW()-3)&amp;"")</f>
        <v>No</v>
      </c>
      <c r="X51" s="7" t="str">
        <f aca="false">IF(INDEX(MASTER_DATABASE!$A$4:$A$1000,ROW()-3)="","",INDEX(MASTER_DATABASE!$AI$4:$AI$1000,ROW()-3)&amp;"")</f>
        <v>No</v>
      </c>
      <c r="Y51" s="7" t="str">
        <f aca="false">IF(INDEX(MASTER_DATABASE!$A$4:$A$1000,ROW()-3)="","",INDEX(MASTER_DATABASE!$AJ$4:$AJ$1000,ROW()-3)&amp;"")</f>
        <v>No</v>
      </c>
      <c r="Z51" s="7" t="str">
        <f aca="false">IF(INDEX(MASTER_DATABASE!$A$4:$A$1000,ROW()-3)="","",INDEX(MASTER_DATABASE!$AK$4:$AK$1000,ROW()-3)&amp;"")</f>
        <v>No</v>
      </c>
      <c r="AA51" s="7" t="str">
        <f aca="false">IF(INDEX(MASTER_DATABASE!$A$4:$A$1000,ROW()-3)="","",INDEX(MASTER_DATABASE!$BE$4:$BE$1000,ROW()-3)&amp;"")</f>
        <v>HIDDEN</v>
      </c>
    </row>
    <row r="52" customFormat="false" ht="46.25" hidden="false" customHeight="false" outlineLevel="0" collapsed="false">
      <c r="A52" s="11" t="str">
        <f aca="false">IF(INDEX(MASTER_DATABASE!$A$4:$A$1000,ROW()-3)="","",INDEX(MASTER_DATABASE!$A$4:$A$1000,ROW()-3)&amp;"")</f>
        <v>HDF-007</v>
      </c>
      <c r="B52" s="7" t="str">
        <f aca="false">IF(INDEX(MASTER_DATABASE!$A$4:$A$1000,ROW()-3)="","",INDEX(MASTER_DATABASE!$B$4:$B$1000,ROW()-3)&amp;"")</f>
        <v>HDFC Bank BC Point</v>
      </c>
      <c r="C52" s="7" t="str">
        <f aca="false">IF(INDEX(MASTER_DATABASE!$A$4:$A$1000,ROW()-3)="","",INDEX(MASTER_DATABASE!$C$4:$C$1000,ROW()-3)&amp;"")</f>
        <v>Banking Services</v>
      </c>
      <c r="D52" s="7" t="str">
        <f aca="false">IF(INDEX(MASTER_DATABASE!$A$4:$A$1000,ROW()-3)="","",INDEX(MASTER_DATABASE!$D$4:$D$1000,ROW()-3)&amp;"")</f>
        <v>AEPS / Biometric Banking</v>
      </c>
      <c r="E52" s="7" t="str">
        <f aca="false">IF(INDEX(MASTER_DATABASE!$A$4:$A$1000,ROW()-3)="","",INDEX(MASTER_DATABASE!$E$4:$E$1000,ROW()-3)&amp;"")</f>
        <v>HDFC BC – AEPS Mini Statement</v>
      </c>
      <c r="F52" s="7" t="str">
        <f aca="false">IF(INDEX(MASTER_DATABASE!$A$4:$A$1000,ROW()-3)="","",INDEX(MASTER_DATABASE!$F$4:$F$1000,ROW()-3)&amp;"")</f>
        <v>HDFC BC – AEPS मिनी स्टेटमेंट</v>
      </c>
      <c r="G52" s="7" t="str">
        <f aca="false">IF(INDEX(MASTER_DATABASE!$A$4:$A$1000,ROW()-3)="","",INDEX(MASTER_DATABASE!$AL$4:$AL$1000,ROW()-3)&amp;"")</f>
        <v>HDFC Bank BC Point</v>
      </c>
      <c r="H52" s="7" t="str">
        <f aca="false">IF(INDEX(MASTER_DATABASE!$A$4:$A$1000,ROW()-3)="","",INDEX(MASTER_DATABASE!$AM$4:$AM$1000,ROW()-3)&amp;"")</f>
        <v>AEPS / Biometric Banking</v>
      </c>
      <c r="I52" s="7" t="str">
        <f aca="false">IF(INDEX(MASTER_DATABASE!$A$4:$A$1000,ROW()-3)="","",INDEX(MASTER_DATABASE!$AO$4:$AO$1000,ROW()-3)&amp;"")</f>
        <v>hdfc-bc-aeps-mini-statement</v>
      </c>
      <c r="J52" s="7" t="str">
        <f aca="false">IF(INDEX(MASTER_DATABASE!$A$4:$A$1000,ROW()-3)="","",INDEX(MASTER_DATABASE!$BD$4:$BD$1000,ROW()-3)&amp;"")</f>
        <v>/services/hdfc-bc-aeps-mini-statement</v>
      </c>
      <c r="K52" s="7" t="str">
        <f aca="false">IF(INDEX(MASTER_DATABASE!$A$4:$A$1000,ROW()-3)="","",INDEX(MASTER_DATABASE!$AX$4:$AX$1000,ROW()-3)&amp;"")</f>
        <v>HDFC BC – AEPS Mini Statement Service | Devmobile Stores</v>
      </c>
      <c r="L52" s="7" t="str">
        <f aca="false">IF(INDEX(MASTER_DATABASE!$A$4:$A$1000,ROW()-3)="","",INDEX(MASTER_DATABASE!$AY$4:$AY$1000,ROW()-3)&amp;"")</f>
        <v>HDFC BC – AEPS Mini Statement (HDFC BC – AEPS मिनी स्टेटमेंट) at Devmobile Stores and Common Service Center &amp; Aadhaar Centre. Check required documents, charges and process before you visit.</v>
      </c>
      <c r="M52" s="7" t="str">
        <f aca="false">IF(INDEX(MASTER_DATABASE!$A$4:$A$1000,ROW()-3)="","",INDEX(MASTER_DATABASE!$AN$4:$AN$1000,ROW()-3)&amp;"")</f>
        <v>HDFC BC – AEPS Mini Statement, HDFC Bank BC Point, Devmobile Stores, HDFC BC – AEPS मिनी स्टेटमेंट, HDFC बैंक BC पॉइंट, सेवा</v>
      </c>
      <c r="N52" s="7" t="str">
        <f aca="false">IF(INDEX(MASTER_DATABASE!$A$4:$A$1000,ROW()-3)="","",INDEX(MASTER_DATABASE!$AZ$4:$AZ$1000,ROW()-3)&amp;"")</f>
        <v>HDFC BC – AEPS मिनी स्टेटमेंट, HDFC बैंक BC पॉइंट, सेवा</v>
      </c>
      <c r="O52" s="7" t="str">
        <f aca="false">IF(INDEX(MASTER_DATABASE!$A$4:$A$1000,ROW()-3)="","",INDEX(MASTER_DATABASE!$BA$4:$BA$1000,ROW()-3)&amp;"")</f>
        <v>HDFC BC – AEPS Mini Statement, HDFC Bank BC Point, Devmobile Stores</v>
      </c>
      <c r="P52" s="11" t="str">
        <f aca="false">IF(INDEX(MASTER_DATABASE!$A$4:$A$1000,ROW()-3)="","",INDEX(MASTER_DATABASE!$AP$4:$AP$1000,ROW()-3)&amp;"")</f>
        <v>👆</v>
      </c>
      <c r="Q52" s="7" t="str">
        <f aca="false">IF(INDEX(MASTER_DATABASE!$A$4:$A$1000,ROW()-3)="","",INDEX(MASTER_DATABASE!$BB$4:$BB$1000,ROW()-3)&amp;"")</f>
        <v/>
      </c>
      <c r="R52" s="11" t="str">
        <f aca="false">IF(INDEX(MASTER_DATABASE!$A$4:$A$1000,ROW()-3)="","",INDEX(MASTER_DATABASE!$BC$4:$BC$1000,ROW()-3)&amp;"")</f>
        <v>🏦</v>
      </c>
      <c r="S52" s="11" t="n">
        <f aca="false">IF(INDEX(MASTER_DATABASE!$A$4:$A$1000,ROW()-3)="","",INDEX(MASTER_DATABASE!$AQ$4:$AQ$1000,ROW()-3))</f>
        <v>70</v>
      </c>
      <c r="T52" s="7" t="str">
        <f aca="false">IF(INDEX(MASTER_DATABASE!$A$4:$A$1000,ROW()-3)="","",INDEX(MASTER_DATABASE!$I$4:$I$1000,ROW()-3)&amp;"")</f>
        <v>Authorization Required</v>
      </c>
      <c r="U52" s="7" t="str">
        <f aca="false">IF(INDEX(MASTER_DATABASE!$A$4:$A$1000,ROW()-3)="","",INDEX(MASTER_DATABASE!$J$4:$J$1000,ROW()-3)&amp;"")</f>
        <v>Please Confirm at Shop</v>
      </c>
      <c r="V52" s="7" t="str">
        <f aca="false">IF(INDEX(MASTER_DATABASE!$A$4:$A$1000,ROW()-3)="","",INDEX(MASTER_DATABASE!$AG$4:$AG$1000,ROW()-3)&amp;"")</f>
        <v>To Verify</v>
      </c>
      <c r="W52" s="7" t="str">
        <f aca="false">IF(INDEX(MASTER_DATABASE!$A$4:$A$1000,ROW()-3)="","",INDEX(MASTER_DATABASE!$AH$4:$AH$1000,ROW()-3)&amp;"")</f>
        <v>No</v>
      </c>
      <c r="X52" s="7" t="str">
        <f aca="false">IF(INDEX(MASTER_DATABASE!$A$4:$A$1000,ROW()-3)="","",INDEX(MASTER_DATABASE!$AI$4:$AI$1000,ROW()-3)&amp;"")</f>
        <v>No</v>
      </c>
      <c r="Y52" s="7" t="str">
        <f aca="false">IF(INDEX(MASTER_DATABASE!$A$4:$A$1000,ROW()-3)="","",INDEX(MASTER_DATABASE!$AJ$4:$AJ$1000,ROW()-3)&amp;"")</f>
        <v>No</v>
      </c>
      <c r="Z52" s="7" t="str">
        <f aca="false">IF(INDEX(MASTER_DATABASE!$A$4:$A$1000,ROW()-3)="","",INDEX(MASTER_DATABASE!$AK$4:$AK$1000,ROW()-3)&amp;"")</f>
        <v>No</v>
      </c>
      <c r="AA52" s="7" t="str">
        <f aca="false">IF(INDEX(MASTER_DATABASE!$A$4:$A$1000,ROW()-3)="","",INDEX(MASTER_DATABASE!$BE$4:$BE$1000,ROW()-3)&amp;"")</f>
        <v>HIDDEN</v>
      </c>
    </row>
    <row r="53" customFormat="false" ht="57.45" hidden="false" customHeight="false" outlineLevel="0" collapsed="false">
      <c r="A53" s="11" t="str">
        <f aca="false">IF(INDEX(MASTER_DATABASE!$A$4:$A$1000,ROW()-3)="","",INDEX(MASTER_DATABASE!$A$4:$A$1000,ROW()-3)&amp;"")</f>
        <v>HDF-008</v>
      </c>
      <c r="B53" s="7" t="str">
        <f aca="false">IF(INDEX(MASTER_DATABASE!$A$4:$A$1000,ROW()-3)="","",INDEX(MASTER_DATABASE!$B$4:$B$1000,ROW()-3)&amp;"")</f>
        <v>HDFC Bank BC Point</v>
      </c>
      <c r="C53" s="7" t="str">
        <f aca="false">IF(INDEX(MASTER_DATABASE!$A$4:$A$1000,ROW()-3)="","",INDEX(MASTER_DATABASE!$C$4:$C$1000,ROW()-3)&amp;"")</f>
        <v>Banking Services</v>
      </c>
      <c r="D53" s="7" t="str">
        <f aca="false">IF(INDEX(MASTER_DATABASE!$A$4:$A$1000,ROW()-3)="","",INDEX(MASTER_DATABASE!$D$4:$D$1000,ROW()-3)&amp;"")</f>
        <v>AEPS / Biometric Banking</v>
      </c>
      <c r="E53" s="7" t="str">
        <f aca="false">IF(INDEX(MASTER_DATABASE!$A$4:$A$1000,ROW()-3)="","",INDEX(MASTER_DATABASE!$E$4:$E$1000,ROW()-3)&amp;"")</f>
        <v>HDFC BC – Biometric Banking (Fingerprint Authenticated)</v>
      </c>
      <c r="F53" s="7" t="str">
        <f aca="false">IF(INDEX(MASTER_DATABASE!$A$4:$A$1000,ROW()-3)="","",INDEX(MASTER_DATABASE!$F$4:$F$1000,ROW()-3)&amp;"")</f>
        <v>HDFC BC – बायोमेट्रिक बैंकिंग (फिंगरप्रिंट सत्यापित)</v>
      </c>
      <c r="G53" s="7" t="str">
        <f aca="false">IF(INDEX(MASTER_DATABASE!$A$4:$A$1000,ROW()-3)="","",INDEX(MASTER_DATABASE!$AL$4:$AL$1000,ROW()-3)&amp;"")</f>
        <v>HDFC Bank BC Point</v>
      </c>
      <c r="H53" s="7" t="str">
        <f aca="false">IF(INDEX(MASTER_DATABASE!$A$4:$A$1000,ROW()-3)="","",INDEX(MASTER_DATABASE!$AM$4:$AM$1000,ROW()-3)&amp;"")</f>
        <v>AEPS / Biometric Banking</v>
      </c>
      <c r="I53" s="7" t="str">
        <f aca="false">IF(INDEX(MASTER_DATABASE!$A$4:$A$1000,ROW()-3)="","",INDEX(MASTER_DATABASE!$AO$4:$AO$1000,ROW()-3)&amp;"")</f>
        <v>hdfc-bc-biometric-banking-fingerprint-authenticated</v>
      </c>
      <c r="J53" s="7" t="str">
        <f aca="false">IF(INDEX(MASTER_DATABASE!$A$4:$A$1000,ROW()-3)="","",INDEX(MASTER_DATABASE!$BD$4:$BD$1000,ROW()-3)&amp;"")</f>
        <v>/services/hdfc-bc-biometric-banking-fingerprint-authenticated</v>
      </c>
      <c r="K53" s="7" t="str">
        <f aca="false">IF(INDEX(MASTER_DATABASE!$A$4:$A$1000,ROW()-3)="","",INDEX(MASTER_DATABASE!$AX$4:$AX$1000,ROW()-3)&amp;"")</f>
        <v>HDFC BC – Biometric Banking (Fingerprint Authenticated) Service | Devmobile Stores</v>
      </c>
      <c r="L53" s="7" t="str">
        <f aca="false">IF(INDEX(MASTER_DATABASE!$A$4:$A$1000,ROW()-3)="","",INDEX(MASTER_DATABASE!$AY$4:$AY$1000,ROW()-3)&amp;"")</f>
        <v>HDFC BC – Biometric Banking (Fingerprint Authenticated) (HDFC BC – बायोमेट्रिक बैंकिंग (फिंगरप्रिंट सत्यापित)) at Devmobile Stores and Common Service Center &amp; Aadhaar Centre. Check required documents, charges and process before you visit.</v>
      </c>
      <c r="M53" s="7" t="str">
        <f aca="false">IF(INDEX(MASTER_DATABASE!$A$4:$A$1000,ROW()-3)="","",INDEX(MASTER_DATABASE!$AN$4:$AN$1000,ROW()-3)&amp;"")</f>
        <v>HDFC BC – Biometric Banking (Fingerprint Authenticated), HDFC Bank BC Point, Devmobile Stores, HDFC BC – बायोमेट्रिक बैंकिंग (फिंगरप्रिंट सत्यापित), HDFC बैंक BC पॉइंट, सेवा</v>
      </c>
      <c r="N53" s="7" t="str">
        <f aca="false">IF(INDEX(MASTER_DATABASE!$A$4:$A$1000,ROW()-3)="","",INDEX(MASTER_DATABASE!$AZ$4:$AZ$1000,ROW()-3)&amp;"")</f>
        <v>HDFC BC – बायोमेट्रिक बैंकिंग (फिंगरप्रिंट सत्यापित), HDFC बैंक BC पॉइंट, सेवा</v>
      </c>
      <c r="O53" s="7" t="str">
        <f aca="false">IF(INDEX(MASTER_DATABASE!$A$4:$A$1000,ROW()-3)="","",INDEX(MASTER_DATABASE!$BA$4:$BA$1000,ROW()-3)&amp;"")</f>
        <v>HDFC BC – Biometric Banking (Fingerprint Authenticated), HDFC Bank BC Point, Devmobile Stores</v>
      </c>
      <c r="P53" s="11" t="str">
        <f aca="false">IF(INDEX(MASTER_DATABASE!$A$4:$A$1000,ROW()-3)="","",INDEX(MASTER_DATABASE!$AP$4:$AP$1000,ROW()-3)&amp;"")</f>
        <v>👆</v>
      </c>
      <c r="Q53" s="7" t="str">
        <f aca="false">IF(INDEX(MASTER_DATABASE!$A$4:$A$1000,ROW()-3)="","",INDEX(MASTER_DATABASE!$BB$4:$BB$1000,ROW()-3)&amp;"")</f>
        <v/>
      </c>
      <c r="R53" s="11" t="str">
        <f aca="false">IF(INDEX(MASTER_DATABASE!$A$4:$A$1000,ROW()-3)="","",INDEX(MASTER_DATABASE!$BC$4:$BC$1000,ROW()-3)&amp;"")</f>
        <v>🏦</v>
      </c>
      <c r="S53" s="11" t="n">
        <f aca="false">IF(INDEX(MASTER_DATABASE!$A$4:$A$1000,ROW()-3)="","",INDEX(MASTER_DATABASE!$AQ$4:$AQ$1000,ROW()-3))</f>
        <v>80</v>
      </c>
      <c r="T53" s="7" t="str">
        <f aca="false">IF(INDEX(MASTER_DATABASE!$A$4:$A$1000,ROW()-3)="","",INDEX(MASTER_DATABASE!$I$4:$I$1000,ROW()-3)&amp;"")</f>
        <v>Authorization Required</v>
      </c>
      <c r="U53" s="7" t="str">
        <f aca="false">IF(INDEX(MASTER_DATABASE!$A$4:$A$1000,ROW()-3)="","",INDEX(MASTER_DATABASE!$J$4:$J$1000,ROW()-3)&amp;"")</f>
        <v>Please Confirm at Shop</v>
      </c>
      <c r="V53" s="7" t="str">
        <f aca="false">IF(INDEX(MASTER_DATABASE!$A$4:$A$1000,ROW()-3)="","",INDEX(MASTER_DATABASE!$AG$4:$AG$1000,ROW()-3)&amp;"")</f>
        <v>To Verify</v>
      </c>
      <c r="W53" s="7" t="str">
        <f aca="false">IF(INDEX(MASTER_DATABASE!$A$4:$A$1000,ROW()-3)="","",INDEX(MASTER_DATABASE!$AH$4:$AH$1000,ROW()-3)&amp;"")</f>
        <v>No</v>
      </c>
      <c r="X53" s="7" t="str">
        <f aca="false">IF(INDEX(MASTER_DATABASE!$A$4:$A$1000,ROW()-3)="","",INDEX(MASTER_DATABASE!$AI$4:$AI$1000,ROW()-3)&amp;"")</f>
        <v>No</v>
      </c>
      <c r="Y53" s="7" t="str">
        <f aca="false">IF(INDEX(MASTER_DATABASE!$A$4:$A$1000,ROW()-3)="","",INDEX(MASTER_DATABASE!$AJ$4:$AJ$1000,ROW()-3)&amp;"")</f>
        <v>No</v>
      </c>
      <c r="Z53" s="7" t="str">
        <f aca="false">IF(INDEX(MASTER_DATABASE!$A$4:$A$1000,ROW()-3)="","",INDEX(MASTER_DATABASE!$AK$4:$AK$1000,ROW()-3)&amp;"")</f>
        <v>No</v>
      </c>
      <c r="AA53" s="7" t="str">
        <f aca="false">IF(INDEX(MASTER_DATABASE!$A$4:$A$1000,ROW()-3)="","",INDEX(MASTER_DATABASE!$BE$4:$BE$1000,ROW()-3)&amp;"")</f>
        <v>HIDDEN</v>
      </c>
    </row>
    <row r="54" customFormat="false" ht="57.45" hidden="false" customHeight="false" outlineLevel="0" collapsed="false">
      <c r="A54" s="11" t="str">
        <f aca="false">IF(INDEX(MASTER_DATABASE!$A$4:$A$1000,ROW()-3)="","",INDEX(MASTER_DATABASE!$A$4:$A$1000,ROW()-3)&amp;"")</f>
        <v>HDF-009</v>
      </c>
      <c r="B54" s="7" t="str">
        <f aca="false">IF(INDEX(MASTER_DATABASE!$A$4:$A$1000,ROW()-3)="","",INDEX(MASTER_DATABASE!$B$4:$B$1000,ROW()-3)&amp;"")</f>
        <v>HDFC Bank BC Point</v>
      </c>
      <c r="C54" s="7" t="str">
        <f aca="false">IF(INDEX(MASTER_DATABASE!$A$4:$A$1000,ROW()-3)="","",INDEX(MASTER_DATABASE!$C$4:$C$1000,ROW()-3)&amp;"")</f>
        <v>Banking Services</v>
      </c>
      <c r="D54" s="7" t="str">
        <f aca="false">IF(INDEX(MASTER_DATABASE!$A$4:$A$1000,ROW()-3)="","",INDEX(MASTER_DATABASE!$D$4:$D$1000,ROW()-3)&amp;"")</f>
        <v>Micro ATM</v>
      </c>
      <c r="E54" s="7" t="str">
        <f aca="false">IF(INDEX(MASTER_DATABASE!$A$4:$A$1000,ROW()-3)="","",INDEX(MASTER_DATABASE!$E$4:$E$1000,ROW()-3)&amp;"")</f>
        <v>HDFC BC – Micro ATM Cash Withdrawal</v>
      </c>
      <c r="F54" s="7" t="str">
        <f aca="false">IF(INDEX(MASTER_DATABASE!$A$4:$A$1000,ROW()-3)="","",INDEX(MASTER_DATABASE!$F$4:$F$1000,ROW()-3)&amp;"")</f>
        <v>HDFC BC – Micro ATM नकद निकासी</v>
      </c>
      <c r="G54" s="7" t="str">
        <f aca="false">IF(INDEX(MASTER_DATABASE!$A$4:$A$1000,ROW()-3)="","",INDEX(MASTER_DATABASE!$AL$4:$AL$1000,ROW()-3)&amp;"")</f>
        <v>HDFC Bank BC Point</v>
      </c>
      <c r="H54" s="7" t="str">
        <f aca="false">IF(INDEX(MASTER_DATABASE!$A$4:$A$1000,ROW()-3)="","",INDEX(MASTER_DATABASE!$AM$4:$AM$1000,ROW()-3)&amp;"")</f>
        <v>Micro ATM</v>
      </c>
      <c r="I54" s="7" t="str">
        <f aca="false">IF(INDEX(MASTER_DATABASE!$A$4:$A$1000,ROW()-3)="","",INDEX(MASTER_DATABASE!$AO$4:$AO$1000,ROW()-3)&amp;"")</f>
        <v>hdfc-bc-micro-atm-cash-withdrawal</v>
      </c>
      <c r="J54" s="7" t="str">
        <f aca="false">IF(INDEX(MASTER_DATABASE!$A$4:$A$1000,ROW()-3)="","",INDEX(MASTER_DATABASE!$BD$4:$BD$1000,ROW()-3)&amp;"")</f>
        <v>/services/hdfc-bc-micro-atm-cash-withdrawal</v>
      </c>
      <c r="K54" s="7" t="str">
        <f aca="false">IF(INDEX(MASTER_DATABASE!$A$4:$A$1000,ROW()-3)="","",INDEX(MASTER_DATABASE!$AX$4:$AX$1000,ROW()-3)&amp;"")</f>
        <v>HDFC BC – Micro ATM Cash Withdrawal Service | Devmobile Stores</v>
      </c>
      <c r="L54" s="7" t="str">
        <f aca="false">IF(INDEX(MASTER_DATABASE!$A$4:$A$1000,ROW()-3)="","",INDEX(MASTER_DATABASE!$AY$4:$AY$1000,ROW()-3)&amp;"")</f>
        <v>HDFC BC – Micro ATM Cash Withdrawal (HDFC BC – Micro ATM नकद निकासी) at Devmobile Stores and Common Service Center &amp; Aadhaar Centre. Check required documents, charges and process before you visit.</v>
      </c>
      <c r="M54" s="7" t="str">
        <f aca="false">IF(INDEX(MASTER_DATABASE!$A$4:$A$1000,ROW()-3)="","",INDEX(MASTER_DATABASE!$AN$4:$AN$1000,ROW()-3)&amp;"")</f>
        <v>HDFC BC – Micro ATM Cash Withdrawal, HDFC Bank BC Point, Devmobile Stores, HDFC BC – Micro ATM नकद निकासी, HDFC बैंक BC पॉइंट, सेवा</v>
      </c>
      <c r="N54" s="7" t="str">
        <f aca="false">IF(INDEX(MASTER_DATABASE!$A$4:$A$1000,ROW()-3)="","",INDEX(MASTER_DATABASE!$AZ$4:$AZ$1000,ROW()-3)&amp;"")</f>
        <v>HDFC BC – Micro ATM नकद निकासी, HDFC बैंक BC पॉइंट, सेवा</v>
      </c>
      <c r="O54" s="7" t="str">
        <f aca="false">IF(INDEX(MASTER_DATABASE!$A$4:$A$1000,ROW()-3)="","",INDEX(MASTER_DATABASE!$BA$4:$BA$1000,ROW()-3)&amp;"")</f>
        <v>HDFC BC – Micro ATM Cash Withdrawal, HDFC Bank BC Point, Devmobile Stores</v>
      </c>
      <c r="P54" s="11" t="str">
        <f aca="false">IF(INDEX(MASTER_DATABASE!$A$4:$A$1000,ROW()-3)="","",INDEX(MASTER_DATABASE!$AP$4:$AP$1000,ROW()-3)&amp;"")</f>
        <v>🏧</v>
      </c>
      <c r="Q54" s="7" t="str">
        <f aca="false">IF(INDEX(MASTER_DATABASE!$A$4:$A$1000,ROW()-3)="","",INDEX(MASTER_DATABASE!$BB$4:$BB$1000,ROW()-3)&amp;"")</f>
        <v/>
      </c>
      <c r="R54" s="11" t="str">
        <f aca="false">IF(INDEX(MASTER_DATABASE!$A$4:$A$1000,ROW()-3)="","",INDEX(MASTER_DATABASE!$BC$4:$BC$1000,ROW()-3)&amp;"")</f>
        <v>🏦</v>
      </c>
      <c r="S54" s="11" t="n">
        <f aca="false">IF(INDEX(MASTER_DATABASE!$A$4:$A$1000,ROW()-3)="","",INDEX(MASTER_DATABASE!$AQ$4:$AQ$1000,ROW()-3))</f>
        <v>90</v>
      </c>
      <c r="T54" s="7" t="str">
        <f aca="false">IF(INDEX(MASTER_DATABASE!$A$4:$A$1000,ROW()-3)="","",INDEX(MASTER_DATABASE!$I$4:$I$1000,ROW()-3)&amp;"")</f>
        <v>Authorization Required</v>
      </c>
      <c r="U54" s="7" t="str">
        <f aca="false">IF(INDEX(MASTER_DATABASE!$A$4:$A$1000,ROW()-3)="","",INDEX(MASTER_DATABASE!$J$4:$J$1000,ROW()-3)&amp;"")</f>
        <v>Please Confirm at Shop</v>
      </c>
      <c r="V54" s="7" t="str">
        <f aca="false">IF(INDEX(MASTER_DATABASE!$A$4:$A$1000,ROW()-3)="","",INDEX(MASTER_DATABASE!$AG$4:$AG$1000,ROW()-3)&amp;"")</f>
        <v>To Verify</v>
      </c>
      <c r="W54" s="7" t="str">
        <f aca="false">IF(INDEX(MASTER_DATABASE!$A$4:$A$1000,ROW()-3)="","",INDEX(MASTER_DATABASE!$AH$4:$AH$1000,ROW()-3)&amp;"")</f>
        <v>No</v>
      </c>
      <c r="X54" s="7" t="str">
        <f aca="false">IF(INDEX(MASTER_DATABASE!$A$4:$A$1000,ROW()-3)="","",INDEX(MASTER_DATABASE!$AI$4:$AI$1000,ROW()-3)&amp;"")</f>
        <v>No</v>
      </c>
      <c r="Y54" s="7" t="str">
        <f aca="false">IF(INDEX(MASTER_DATABASE!$A$4:$A$1000,ROW()-3)="","",INDEX(MASTER_DATABASE!$AJ$4:$AJ$1000,ROW()-3)&amp;"")</f>
        <v>No</v>
      </c>
      <c r="Z54" s="7" t="str">
        <f aca="false">IF(INDEX(MASTER_DATABASE!$A$4:$A$1000,ROW()-3)="","",INDEX(MASTER_DATABASE!$AK$4:$AK$1000,ROW()-3)&amp;"")</f>
        <v>No</v>
      </c>
      <c r="AA54" s="7" t="str">
        <f aca="false">IF(INDEX(MASTER_DATABASE!$A$4:$A$1000,ROW()-3)="","",INDEX(MASTER_DATABASE!$BE$4:$BE$1000,ROW()-3)&amp;"")</f>
        <v>HIDDEN</v>
      </c>
    </row>
    <row r="55" customFormat="false" ht="57.45" hidden="false" customHeight="false" outlineLevel="0" collapsed="false">
      <c r="A55" s="11" t="str">
        <f aca="false">IF(INDEX(MASTER_DATABASE!$A$4:$A$1000,ROW()-3)="","",INDEX(MASTER_DATABASE!$A$4:$A$1000,ROW()-3)&amp;"")</f>
        <v>HDF-010</v>
      </c>
      <c r="B55" s="7" t="str">
        <f aca="false">IF(INDEX(MASTER_DATABASE!$A$4:$A$1000,ROW()-3)="","",INDEX(MASTER_DATABASE!$B$4:$B$1000,ROW()-3)&amp;"")</f>
        <v>HDFC Bank BC Point</v>
      </c>
      <c r="C55" s="7" t="str">
        <f aca="false">IF(INDEX(MASTER_DATABASE!$A$4:$A$1000,ROW()-3)="","",INDEX(MASTER_DATABASE!$C$4:$C$1000,ROW()-3)&amp;"")</f>
        <v>Banking Services</v>
      </c>
      <c r="D55" s="7" t="str">
        <f aca="false">IF(INDEX(MASTER_DATABASE!$A$4:$A$1000,ROW()-3)="","",INDEX(MASTER_DATABASE!$D$4:$D$1000,ROW()-3)&amp;"")</f>
        <v>Micro ATM</v>
      </c>
      <c r="E55" s="7" t="str">
        <f aca="false">IF(INDEX(MASTER_DATABASE!$A$4:$A$1000,ROW()-3)="","",INDEX(MASTER_DATABASE!$E$4:$E$1000,ROW()-3)&amp;"")</f>
        <v>HDFC BC – Micro ATM Balance Enquiry</v>
      </c>
      <c r="F55" s="7" t="str">
        <f aca="false">IF(INDEX(MASTER_DATABASE!$A$4:$A$1000,ROW()-3)="","",INDEX(MASTER_DATABASE!$F$4:$F$1000,ROW()-3)&amp;"")</f>
        <v>HDFC BC – Micro ATM बैलेंस पूछताछ</v>
      </c>
      <c r="G55" s="7" t="str">
        <f aca="false">IF(INDEX(MASTER_DATABASE!$A$4:$A$1000,ROW()-3)="","",INDEX(MASTER_DATABASE!$AL$4:$AL$1000,ROW()-3)&amp;"")</f>
        <v>HDFC Bank BC Point</v>
      </c>
      <c r="H55" s="7" t="str">
        <f aca="false">IF(INDEX(MASTER_DATABASE!$A$4:$A$1000,ROW()-3)="","",INDEX(MASTER_DATABASE!$AM$4:$AM$1000,ROW()-3)&amp;"")</f>
        <v>Micro ATM</v>
      </c>
      <c r="I55" s="7" t="str">
        <f aca="false">IF(INDEX(MASTER_DATABASE!$A$4:$A$1000,ROW()-3)="","",INDEX(MASTER_DATABASE!$AO$4:$AO$1000,ROW()-3)&amp;"")</f>
        <v>hdfc-bc-micro-atm-balance-enquiry</v>
      </c>
      <c r="J55" s="7" t="str">
        <f aca="false">IF(INDEX(MASTER_DATABASE!$A$4:$A$1000,ROW()-3)="","",INDEX(MASTER_DATABASE!$BD$4:$BD$1000,ROW()-3)&amp;"")</f>
        <v>/services/hdfc-bc-micro-atm-balance-enquiry</v>
      </c>
      <c r="K55" s="7" t="str">
        <f aca="false">IF(INDEX(MASTER_DATABASE!$A$4:$A$1000,ROW()-3)="","",INDEX(MASTER_DATABASE!$AX$4:$AX$1000,ROW()-3)&amp;"")</f>
        <v>HDFC BC – Micro ATM Balance Enquiry Service | Devmobile Stores</v>
      </c>
      <c r="L55" s="7" t="str">
        <f aca="false">IF(INDEX(MASTER_DATABASE!$A$4:$A$1000,ROW()-3)="","",INDEX(MASTER_DATABASE!$AY$4:$AY$1000,ROW()-3)&amp;"")</f>
        <v>HDFC BC – Micro ATM Balance Enquiry (HDFC BC – Micro ATM बैलेंस पूछताछ) at Devmobile Stores and Common Service Center &amp; Aadhaar Centre. Check required documents, charges and process before you visit.</v>
      </c>
      <c r="M55" s="7" t="str">
        <f aca="false">IF(INDEX(MASTER_DATABASE!$A$4:$A$1000,ROW()-3)="","",INDEX(MASTER_DATABASE!$AN$4:$AN$1000,ROW()-3)&amp;"")</f>
        <v>HDFC BC – Micro ATM Balance Enquiry, HDFC Bank BC Point, Devmobile Stores, HDFC BC – Micro ATM बैलेंस पूछताछ, HDFC बैंक BC पॉइंट, सेवा</v>
      </c>
      <c r="N55" s="7" t="str">
        <f aca="false">IF(INDEX(MASTER_DATABASE!$A$4:$A$1000,ROW()-3)="","",INDEX(MASTER_DATABASE!$AZ$4:$AZ$1000,ROW()-3)&amp;"")</f>
        <v>HDFC BC – Micro ATM बैलेंस पूछताछ, HDFC बैंक BC पॉइंट, सेवा</v>
      </c>
      <c r="O55" s="7" t="str">
        <f aca="false">IF(INDEX(MASTER_DATABASE!$A$4:$A$1000,ROW()-3)="","",INDEX(MASTER_DATABASE!$BA$4:$BA$1000,ROW()-3)&amp;"")</f>
        <v>HDFC BC – Micro ATM Balance Enquiry, HDFC Bank BC Point, Devmobile Stores</v>
      </c>
      <c r="P55" s="11" t="str">
        <f aca="false">IF(INDEX(MASTER_DATABASE!$A$4:$A$1000,ROW()-3)="","",INDEX(MASTER_DATABASE!$AP$4:$AP$1000,ROW()-3)&amp;"")</f>
        <v>🏧</v>
      </c>
      <c r="Q55" s="7" t="str">
        <f aca="false">IF(INDEX(MASTER_DATABASE!$A$4:$A$1000,ROW()-3)="","",INDEX(MASTER_DATABASE!$BB$4:$BB$1000,ROW()-3)&amp;"")</f>
        <v/>
      </c>
      <c r="R55" s="11" t="str">
        <f aca="false">IF(INDEX(MASTER_DATABASE!$A$4:$A$1000,ROW()-3)="","",INDEX(MASTER_DATABASE!$BC$4:$BC$1000,ROW()-3)&amp;"")</f>
        <v>🏦</v>
      </c>
      <c r="S55" s="11" t="n">
        <f aca="false">IF(INDEX(MASTER_DATABASE!$A$4:$A$1000,ROW()-3)="","",INDEX(MASTER_DATABASE!$AQ$4:$AQ$1000,ROW()-3))</f>
        <v>100</v>
      </c>
      <c r="T55" s="7" t="str">
        <f aca="false">IF(INDEX(MASTER_DATABASE!$A$4:$A$1000,ROW()-3)="","",INDEX(MASTER_DATABASE!$I$4:$I$1000,ROW()-3)&amp;"")</f>
        <v>Authorization Required</v>
      </c>
      <c r="U55" s="7" t="str">
        <f aca="false">IF(INDEX(MASTER_DATABASE!$A$4:$A$1000,ROW()-3)="","",INDEX(MASTER_DATABASE!$J$4:$J$1000,ROW()-3)&amp;"")</f>
        <v>Please Confirm at Shop</v>
      </c>
      <c r="V55" s="7" t="str">
        <f aca="false">IF(INDEX(MASTER_DATABASE!$A$4:$A$1000,ROW()-3)="","",INDEX(MASTER_DATABASE!$AG$4:$AG$1000,ROW()-3)&amp;"")</f>
        <v>To Verify</v>
      </c>
      <c r="W55" s="7" t="str">
        <f aca="false">IF(INDEX(MASTER_DATABASE!$A$4:$A$1000,ROW()-3)="","",INDEX(MASTER_DATABASE!$AH$4:$AH$1000,ROW()-3)&amp;"")</f>
        <v>No</v>
      </c>
      <c r="X55" s="7" t="str">
        <f aca="false">IF(INDEX(MASTER_DATABASE!$A$4:$A$1000,ROW()-3)="","",INDEX(MASTER_DATABASE!$AI$4:$AI$1000,ROW()-3)&amp;"")</f>
        <v>No</v>
      </c>
      <c r="Y55" s="7" t="str">
        <f aca="false">IF(INDEX(MASTER_DATABASE!$A$4:$A$1000,ROW()-3)="","",INDEX(MASTER_DATABASE!$AJ$4:$AJ$1000,ROW()-3)&amp;"")</f>
        <v>No</v>
      </c>
      <c r="Z55" s="7" t="str">
        <f aca="false">IF(INDEX(MASTER_DATABASE!$A$4:$A$1000,ROW()-3)="","",INDEX(MASTER_DATABASE!$AK$4:$AK$1000,ROW()-3)&amp;"")</f>
        <v>No</v>
      </c>
      <c r="AA55" s="7" t="str">
        <f aca="false">IF(INDEX(MASTER_DATABASE!$A$4:$A$1000,ROW()-3)="","",INDEX(MASTER_DATABASE!$BE$4:$BE$1000,ROW()-3)&amp;"")</f>
        <v>HIDDEN</v>
      </c>
    </row>
    <row r="56" customFormat="false" ht="57.45" hidden="false" customHeight="false" outlineLevel="0" collapsed="false">
      <c r="A56" s="11" t="str">
        <f aca="false">IF(INDEX(MASTER_DATABASE!$A$4:$A$1000,ROW()-3)="","",INDEX(MASTER_DATABASE!$A$4:$A$1000,ROW()-3)&amp;"")</f>
        <v>HDF-011</v>
      </c>
      <c r="B56" s="7" t="str">
        <f aca="false">IF(INDEX(MASTER_DATABASE!$A$4:$A$1000,ROW()-3)="","",INDEX(MASTER_DATABASE!$B$4:$B$1000,ROW()-3)&amp;"")</f>
        <v>HDFC Bank BC Point</v>
      </c>
      <c r="C56" s="7" t="str">
        <f aca="false">IF(INDEX(MASTER_DATABASE!$A$4:$A$1000,ROW()-3)="","",INDEX(MASTER_DATABASE!$C$4:$C$1000,ROW()-3)&amp;"")</f>
        <v>Banking Services</v>
      </c>
      <c r="D56" s="7" t="str">
        <f aca="false">IF(INDEX(MASTER_DATABASE!$A$4:$A$1000,ROW()-3)="","",INDEX(MASTER_DATABASE!$D$4:$D$1000,ROW()-3)&amp;"")</f>
        <v>Micro ATM</v>
      </c>
      <c r="E56" s="7" t="str">
        <f aca="false">IF(INDEX(MASTER_DATABASE!$A$4:$A$1000,ROW()-3)="","",INDEX(MASTER_DATABASE!$E$4:$E$1000,ROW()-3)&amp;"")</f>
        <v>HDFC BC – Micro ATM Mini Statement</v>
      </c>
      <c r="F56" s="7" t="str">
        <f aca="false">IF(INDEX(MASTER_DATABASE!$A$4:$A$1000,ROW()-3)="","",INDEX(MASTER_DATABASE!$F$4:$F$1000,ROW()-3)&amp;"")</f>
        <v>HDFC BC – Micro ATM मिनी स्टेटमेंट</v>
      </c>
      <c r="G56" s="7" t="str">
        <f aca="false">IF(INDEX(MASTER_DATABASE!$A$4:$A$1000,ROW()-3)="","",INDEX(MASTER_DATABASE!$AL$4:$AL$1000,ROW()-3)&amp;"")</f>
        <v>HDFC Bank BC Point</v>
      </c>
      <c r="H56" s="7" t="str">
        <f aca="false">IF(INDEX(MASTER_DATABASE!$A$4:$A$1000,ROW()-3)="","",INDEX(MASTER_DATABASE!$AM$4:$AM$1000,ROW()-3)&amp;"")</f>
        <v>Micro ATM</v>
      </c>
      <c r="I56" s="7" t="str">
        <f aca="false">IF(INDEX(MASTER_DATABASE!$A$4:$A$1000,ROW()-3)="","",INDEX(MASTER_DATABASE!$AO$4:$AO$1000,ROW()-3)&amp;"")</f>
        <v>hdfc-bc-micro-atm-mini-statement</v>
      </c>
      <c r="J56" s="7" t="str">
        <f aca="false">IF(INDEX(MASTER_DATABASE!$A$4:$A$1000,ROW()-3)="","",INDEX(MASTER_DATABASE!$BD$4:$BD$1000,ROW()-3)&amp;"")</f>
        <v>/services/hdfc-bc-micro-atm-mini-statement</v>
      </c>
      <c r="K56" s="7" t="str">
        <f aca="false">IF(INDEX(MASTER_DATABASE!$A$4:$A$1000,ROW()-3)="","",INDEX(MASTER_DATABASE!$AX$4:$AX$1000,ROW()-3)&amp;"")</f>
        <v>HDFC BC – Micro ATM Mini Statement Service | Devmobile Stores</v>
      </c>
      <c r="L56" s="7" t="str">
        <f aca="false">IF(INDEX(MASTER_DATABASE!$A$4:$A$1000,ROW()-3)="","",INDEX(MASTER_DATABASE!$AY$4:$AY$1000,ROW()-3)&amp;"")</f>
        <v>HDFC BC – Micro ATM Mini Statement (HDFC BC – Micro ATM मिनी स्टेटमेंट) at Devmobile Stores and Common Service Center &amp; Aadhaar Centre. Check required documents, charges and process before you visit.</v>
      </c>
      <c r="M56" s="7" t="str">
        <f aca="false">IF(INDEX(MASTER_DATABASE!$A$4:$A$1000,ROW()-3)="","",INDEX(MASTER_DATABASE!$AN$4:$AN$1000,ROW()-3)&amp;"")</f>
        <v>HDFC BC – Micro ATM Mini Statement, HDFC Bank BC Point, Devmobile Stores, HDFC BC – Micro ATM मिनी स्टेटमेंट, HDFC बैंक BC पॉइंट, सेवा</v>
      </c>
      <c r="N56" s="7" t="str">
        <f aca="false">IF(INDEX(MASTER_DATABASE!$A$4:$A$1000,ROW()-3)="","",INDEX(MASTER_DATABASE!$AZ$4:$AZ$1000,ROW()-3)&amp;"")</f>
        <v>HDFC BC – Micro ATM मिनी स्टेटमेंट, HDFC बैंक BC पॉइंट, सेवा</v>
      </c>
      <c r="O56" s="7" t="str">
        <f aca="false">IF(INDEX(MASTER_DATABASE!$A$4:$A$1000,ROW()-3)="","",INDEX(MASTER_DATABASE!$BA$4:$BA$1000,ROW()-3)&amp;"")</f>
        <v>HDFC BC – Micro ATM Mini Statement, HDFC Bank BC Point, Devmobile Stores</v>
      </c>
      <c r="P56" s="11" t="str">
        <f aca="false">IF(INDEX(MASTER_DATABASE!$A$4:$A$1000,ROW()-3)="","",INDEX(MASTER_DATABASE!$AP$4:$AP$1000,ROW()-3)&amp;"")</f>
        <v>🏧</v>
      </c>
      <c r="Q56" s="7" t="str">
        <f aca="false">IF(INDEX(MASTER_DATABASE!$A$4:$A$1000,ROW()-3)="","",INDEX(MASTER_DATABASE!$BB$4:$BB$1000,ROW()-3)&amp;"")</f>
        <v/>
      </c>
      <c r="R56" s="11" t="str">
        <f aca="false">IF(INDEX(MASTER_DATABASE!$A$4:$A$1000,ROW()-3)="","",INDEX(MASTER_DATABASE!$BC$4:$BC$1000,ROW()-3)&amp;"")</f>
        <v>🏦</v>
      </c>
      <c r="S56" s="11" t="n">
        <f aca="false">IF(INDEX(MASTER_DATABASE!$A$4:$A$1000,ROW()-3)="","",INDEX(MASTER_DATABASE!$AQ$4:$AQ$1000,ROW()-3))</f>
        <v>110</v>
      </c>
      <c r="T56" s="7" t="str">
        <f aca="false">IF(INDEX(MASTER_DATABASE!$A$4:$A$1000,ROW()-3)="","",INDEX(MASTER_DATABASE!$I$4:$I$1000,ROW()-3)&amp;"")</f>
        <v>Authorization Required</v>
      </c>
      <c r="U56" s="7" t="str">
        <f aca="false">IF(INDEX(MASTER_DATABASE!$A$4:$A$1000,ROW()-3)="","",INDEX(MASTER_DATABASE!$J$4:$J$1000,ROW()-3)&amp;"")</f>
        <v>Please Confirm at Shop</v>
      </c>
      <c r="V56" s="7" t="str">
        <f aca="false">IF(INDEX(MASTER_DATABASE!$A$4:$A$1000,ROW()-3)="","",INDEX(MASTER_DATABASE!$AG$4:$AG$1000,ROW()-3)&amp;"")</f>
        <v>To Verify</v>
      </c>
      <c r="W56" s="7" t="str">
        <f aca="false">IF(INDEX(MASTER_DATABASE!$A$4:$A$1000,ROW()-3)="","",INDEX(MASTER_DATABASE!$AH$4:$AH$1000,ROW()-3)&amp;"")</f>
        <v>No</v>
      </c>
      <c r="X56" s="7" t="str">
        <f aca="false">IF(INDEX(MASTER_DATABASE!$A$4:$A$1000,ROW()-3)="","",INDEX(MASTER_DATABASE!$AI$4:$AI$1000,ROW()-3)&amp;"")</f>
        <v>No</v>
      </c>
      <c r="Y56" s="7" t="str">
        <f aca="false">IF(INDEX(MASTER_DATABASE!$A$4:$A$1000,ROW()-3)="","",INDEX(MASTER_DATABASE!$AJ$4:$AJ$1000,ROW()-3)&amp;"")</f>
        <v>No</v>
      </c>
      <c r="Z56" s="7" t="str">
        <f aca="false">IF(INDEX(MASTER_DATABASE!$A$4:$A$1000,ROW()-3)="","",INDEX(MASTER_DATABASE!$AK$4:$AK$1000,ROW()-3)&amp;"")</f>
        <v>No</v>
      </c>
      <c r="AA56" s="7" t="str">
        <f aca="false">IF(INDEX(MASTER_DATABASE!$A$4:$A$1000,ROW()-3)="","",INDEX(MASTER_DATABASE!$BE$4:$BE$1000,ROW()-3)&amp;"")</f>
        <v>HIDDEN</v>
      </c>
    </row>
    <row r="57" customFormat="false" ht="46.25" hidden="false" customHeight="false" outlineLevel="0" collapsed="false">
      <c r="A57" s="11" t="str">
        <f aca="false">IF(INDEX(MASTER_DATABASE!$A$4:$A$1000,ROW()-3)="","",INDEX(MASTER_DATABASE!$A$4:$A$1000,ROW()-3)&amp;"")</f>
        <v>HDF-012</v>
      </c>
      <c r="B57" s="7" t="str">
        <f aca="false">IF(INDEX(MASTER_DATABASE!$A$4:$A$1000,ROW()-3)="","",INDEX(MASTER_DATABASE!$B$4:$B$1000,ROW()-3)&amp;"")</f>
        <v>HDFC Bank BC Point</v>
      </c>
      <c r="C57" s="7" t="str">
        <f aca="false">IF(INDEX(MASTER_DATABASE!$A$4:$A$1000,ROW()-3)="","",INDEX(MASTER_DATABASE!$C$4:$C$1000,ROW()-3)&amp;"")</f>
        <v>Banking Services</v>
      </c>
      <c r="D57" s="7" t="str">
        <f aca="false">IF(INDEX(MASTER_DATABASE!$A$4:$A$1000,ROW()-3)="","",INDEX(MASTER_DATABASE!$D$4:$D$1000,ROW()-3)&amp;"")</f>
        <v>Money Transfer</v>
      </c>
      <c r="E57" s="7" t="str">
        <f aca="false">IF(INDEX(MASTER_DATABASE!$A$4:$A$1000,ROW()-3)="","",INDEX(MASTER_DATABASE!$E$4:$E$1000,ROW()-3)&amp;"")</f>
        <v>HDFC BC – Money Transfer (Domestic)</v>
      </c>
      <c r="F57" s="7" t="str">
        <f aca="false">IF(INDEX(MASTER_DATABASE!$A$4:$A$1000,ROW()-3)="","",INDEX(MASTER_DATABASE!$F$4:$F$1000,ROW()-3)&amp;"")</f>
        <v>HDFC BC – मनी ट्रांसफर (घरेलू)</v>
      </c>
      <c r="G57" s="7" t="str">
        <f aca="false">IF(INDEX(MASTER_DATABASE!$A$4:$A$1000,ROW()-3)="","",INDEX(MASTER_DATABASE!$AL$4:$AL$1000,ROW()-3)&amp;"")</f>
        <v>HDFC Bank BC Point</v>
      </c>
      <c r="H57" s="7" t="str">
        <f aca="false">IF(INDEX(MASTER_DATABASE!$A$4:$A$1000,ROW()-3)="","",INDEX(MASTER_DATABASE!$AM$4:$AM$1000,ROW()-3)&amp;"")</f>
        <v>Money Transfer</v>
      </c>
      <c r="I57" s="7" t="str">
        <f aca="false">IF(INDEX(MASTER_DATABASE!$A$4:$A$1000,ROW()-3)="","",INDEX(MASTER_DATABASE!$AO$4:$AO$1000,ROW()-3)&amp;"")</f>
        <v>hdfc-bc-money-transfer-domestic</v>
      </c>
      <c r="J57" s="7" t="str">
        <f aca="false">IF(INDEX(MASTER_DATABASE!$A$4:$A$1000,ROW()-3)="","",INDEX(MASTER_DATABASE!$BD$4:$BD$1000,ROW()-3)&amp;"")</f>
        <v>/services/hdfc-bc-money-transfer-domestic</v>
      </c>
      <c r="K57" s="7" t="str">
        <f aca="false">IF(INDEX(MASTER_DATABASE!$A$4:$A$1000,ROW()-3)="","",INDEX(MASTER_DATABASE!$AX$4:$AX$1000,ROW()-3)&amp;"")</f>
        <v>HDFC BC – Money Transfer (Domestic) Service | Devmobile Stores</v>
      </c>
      <c r="L57" s="7" t="str">
        <f aca="false">IF(INDEX(MASTER_DATABASE!$A$4:$A$1000,ROW()-3)="","",INDEX(MASTER_DATABASE!$AY$4:$AY$1000,ROW()-3)&amp;"")</f>
        <v>HDFC BC – Money Transfer (Domestic) (HDFC BC – मनी ट्रांसफर (घरेलू)) at Devmobile Stores and Common Service Center &amp; Aadhaar Centre. Check required documents, charges and process before you visit.</v>
      </c>
      <c r="M57" s="7" t="str">
        <f aca="false">IF(INDEX(MASTER_DATABASE!$A$4:$A$1000,ROW()-3)="","",INDEX(MASTER_DATABASE!$AN$4:$AN$1000,ROW()-3)&amp;"")</f>
        <v>HDFC BC – Money Transfer (Domestic), HDFC Bank BC Point, Devmobile Stores, HDFC BC – मनी ट्रांसफर (घरेलू), HDFC बैंक BC पॉइंट, सेवा</v>
      </c>
      <c r="N57" s="7" t="str">
        <f aca="false">IF(INDEX(MASTER_DATABASE!$A$4:$A$1000,ROW()-3)="","",INDEX(MASTER_DATABASE!$AZ$4:$AZ$1000,ROW()-3)&amp;"")</f>
        <v>HDFC BC – मनी ट्रांसफर (घरेलू), HDFC बैंक BC पॉइंट, सेवा</v>
      </c>
      <c r="O57" s="7" t="str">
        <f aca="false">IF(INDEX(MASTER_DATABASE!$A$4:$A$1000,ROW()-3)="","",INDEX(MASTER_DATABASE!$BA$4:$BA$1000,ROW()-3)&amp;"")</f>
        <v>HDFC BC – Money Transfer (Domestic), HDFC Bank BC Point, Devmobile Stores</v>
      </c>
      <c r="P57" s="11" t="str">
        <f aca="false">IF(INDEX(MASTER_DATABASE!$A$4:$A$1000,ROW()-3)="","",INDEX(MASTER_DATABASE!$AP$4:$AP$1000,ROW()-3)&amp;"")</f>
        <v>💸</v>
      </c>
      <c r="Q57" s="7" t="str">
        <f aca="false">IF(INDEX(MASTER_DATABASE!$A$4:$A$1000,ROW()-3)="","",INDEX(MASTER_DATABASE!$BB$4:$BB$1000,ROW()-3)&amp;"")</f>
        <v/>
      </c>
      <c r="R57" s="11" t="str">
        <f aca="false">IF(INDEX(MASTER_DATABASE!$A$4:$A$1000,ROW()-3)="","",INDEX(MASTER_DATABASE!$BC$4:$BC$1000,ROW()-3)&amp;"")</f>
        <v>🏦</v>
      </c>
      <c r="S57" s="11" t="n">
        <f aca="false">IF(INDEX(MASTER_DATABASE!$A$4:$A$1000,ROW()-3)="","",INDEX(MASTER_DATABASE!$AQ$4:$AQ$1000,ROW()-3))</f>
        <v>120</v>
      </c>
      <c r="T57" s="7" t="str">
        <f aca="false">IF(INDEX(MASTER_DATABASE!$A$4:$A$1000,ROW()-3)="","",INDEX(MASTER_DATABASE!$I$4:$I$1000,ROW()-3)&amp;"")</f>
        <v>Authorization Required</v>
      </c>
      <c r="U57" s="7" t="str">
        <f aca="false">IF(INDEX(MASTER_DATABASE!$A$4:$A$1000,ROW()-3)="","",INDEX(MASTER_DATABASE!$J$4:$J$1000,ROW()-3)&amp;"")</f>
        <v>Please Confirm at Shop</v>
      </c>
      <c r="V57" s="7" t="str">
        <f aca="false">IF(INDEX(MASTER_DATABASE!$A$4:$A$1000,ROW()-3)="","",INDEX(MASTER_DATABASE!$AG$4:$AG$1000,ROW()-3)&amp;"")</f>
        <v>To Verify</v>
      </c>
      <c r="W57" s="7" t="str">
        <f aca="false">IF(INDEX(MASTER_DATABASE!$A$4:$A$1000,ROW()-3)="","",INDEX(MASTER_DATABASE!$AH$4:$AH$1000,ROW()-3)&amp;"")</f>
        <v>No</v>
      </c>
      <c r="X57" s="7" t="str">
        <f aca="false">IF(INDEX(MASTER_DATABASE!$A$4:$A$1000,ROW()-3)="","",INDEX(MASTER_DATABASE!$AI$4:$AI$1000,ROW()-3)&amp;"")</f>
        <v>No</v>
      </c>
      <c r="Y57" s="7" t="str">
        <f aca="false">IF(INDEX(MASTER_DATABASE!$A$4:$A$1000,ROW()-3)="","",INDEX(MASTER_DATABASE!$AJ$4:$AJ$1000,ROW()-3)&amp;"")</f>
        <v>No</v>
      </c>
      <c r="Z57" s="7" t="str">
        <f aca="false">IF(INDEX(MASTER_DATABASE!$A$4:$A$1000,ROW()-3)="","",INDEX(MASTER_DATABASE!$AK$4:$AK$1000,ROW()-3)&amp;"")</f>
        <v>No</v>
      </c>
      <c r="AA57" s="7" t="str">
        <f aca="false">IF(INDEX(MASTER_DATABASE!$A$4:$A$1000,ROW()-3)="","",INDEX(MASTER_DATABASE!$BE$4:$BE$1000,ROW()-3)&amp;"")</f>
        <v>HIDDEN</v>
      </c>
    </row>
    <row r="58" customFormat="false" ht="57.45" hidden="false" customHeight="false" outlineLevel="0" collapsed="false">
      <c r="A58" s="11" t="str">
        <f aca="false">IF(INDEX(MASTER_DATABASE!$A$4:$A$1000,ROW()-3)="","",INDEX(MASTER_DATABASE!$A$4:$A$1000,ROW()-3)&amp;"")</f>
        <v>HDF-013</v>
      </c>
      <c r="B58" s="7" t="str">
        <f aca="false">IF(INDEX(MASTER_DATABASE!$A$4:$A$1000,ROW()-3)="","",INDEX(MASTER_DATABASE!$B$4:$B$1000,ROW()-3)&amp;"")</f>
        <v>HDFC Bank BC Point</v>
      </c>
      <c r="C58" s="7" t="str">
        <f aca="false">IF(INDEX(MASTER_DATABASE!$A$4:$A$1000,ROW()-3)="","",INDEX(MASTER_DATABASE!$C$4:$C$1000,ROW()-3)&amp;"")</f>
        <v>Banking Services</v>
      </c>
      <c r="D58" s="7" t="str">
        <f aca="false">IF(INDEX(MASTER_DATABASE!$A$4:$A$1000,ROW()-3)="","",INDEX(MASTER_DATABASE!$D$4:$D$1000,ROW()-3)&amp;"")</f>
        <v>Account &amp; KYC Services</v>
      </c>
      <c r="E58" s="7" t="str">
        <f aca="false">IF(INDEX(MASTER_DATABASE!$A$4:$A$1000,ROW()-3)="","",INDEX(MASTER_DATABASE!$E$4:$E$1000,ROW()-3)&amp;"")</f>
        <v>HDFC BC – New Savings Account Opening Assistance</v>
      </c>
      <c r="F58" s="7" t="str">
        <f aca="false">IF(INDEX(MASTER_DATABASE!$A$4:$A$1000,ROW()-3)="","",INDEX(MASTER_DATABASE!$F$4:$F$1000,ROW()-3)&amp;"")</f>
        <v>HDFC BC – नया बचत खाता खुलवाने में सहायता</v>
      </c>
      <c r="G58" s="7" t="str">
        <f aca="false">IF(INDEX(MASTER_DATABASE!$A$4:$A$1000,ROW()-3)="","",INDEX(MASTER_DATABASE!$AL$4:$AL$1000,ROW()-3)&amp;"")</f>
        <v>HDFC Bank BC Point</v>
      </c>
      <c r="H58" s="7" t="str">
        <f aca="false">IF(INDEX(MASTER_DATABASE!$A$4:$A$1000,ROW()-3)="","",INDEX(MASTER_DATABASE!$AM$4:$AM$1000,ROW()-3)&amp;"")</f>
        <v>Account &amp; KYC Services</v>
      </c>
      <c r="I58" s="7" t="str">
        <f aca="false">IF(INDEX(MASTER_DATABASE!$A$4:$A$1000,ROW()-3)="","",INDEX(MASTER_DATABASE!$AO$4:$AO$1000,ROW()-3)&amp;"")</f>
        <v>hdfc-bc-new-savings-account-opening-assistance</v>
      </c>
      <c r="J58" s="7" t="str">
        <f aca="false">IF(INDEX(MASTER_DATABASE!$A$4:$A$1000,ROW()-3)="","",INDEX(MASTER_DATABASE!$BD$4:$BD$1000,ROW()-3)&amp;"")</f>
        <v>/services/hdfc-bc-new-savings-account-opening-assistance</v>
      </c>
      <c r="K58" s="7" t="str">
        <f aca="false">IF(INDEX(MASTER_DATABASE!$A$4:$A$1000,ROW()-3)="","",INDEX(MASTER_DATABASE!$AX$4:$AX$1000,ROW()-3)&amp;"")</f>
        <v>HDFC BC – New Savings Account Opening Assistance Service | Devmobile Stores</v>
      </c>
      <c r="L58" s="7" t="str">
        <f aca="false">IF(INDEX(MASTER_DATABASE!$A$4:$A$1000,ROW()-3)="","",INDEX(MASTER_DATABASE!$AY$4:$AY$1000,ROW()-3)&amp;"")</f>
        <v>HDFC BC – New Savings Account Opening Assistance (HDFC BC – नया बचत खाता खुलवाने में सहायता) at Devmobile Stores and Common Service Center &amp; Aadhaar Centre. Check required documents, charges and process before you visit.</v>
      </c>
      <c r="M58" s="7" t="str">
        <f aca="false">IF(INDEX(MASTER_DATABASE!$A$4:$A$1000,ROW()-3)="","",INDEX(MASTER_DATABASE!$AN$4:$AN$1000,ROW()-3)&amp;"")</f>
        <v>HDFC BC – New Savings Account Opening Assistance, HDFC Bank BC Point, Devmobile Stores, HDFC BC – नया बचत खाता खुलवाने में सहायता, HDFC बैंक BC पॉइंट, सेवा</v>
      </c>
      <c r="N58" s="7" t="str">
        <f aca="false">IF(INDEX(MASTER_DATABASE!$A$4:$A$1000,ROW()-3)="","",INDEX(MASTER_DATABASE!$AZ$4:$AZ$1000,ROW()-3)&amp;"")</f>
        <v>HDFC BC – नया बचत खाता खुलवाने में सहायता, HDFC बैंक BC पॉइंट, सेवा</v>
      </c>
      <c r="O58" s="7" t="str">
        <f aca="false">IF(INDEX(MASTER_DATABASE!$A$4:$A$1000,ROW()-3)="","",INDEX(MASTER_DATABASE!$BA$4:$BA$1000,ROW()-3)&amp;"")</f>
        <v>HDFC BC – New Savings Account Opening Assistance, HDFC Bank BC Point, Devmobile Stores</v>
      </c>
      <c r="P58" s="11" t="str">
        <f aca="false">IF(INDEX(MASTER_DATABASE!$A$4:$A$1000,ROW()-3)="","",INDEX(MASTER_DATABASE!$AP$4:$AP$1000,ROW()-3)&amp;"")</f>
        <v>🗂️</v>
      </c>
      <c r="Q58" s="7" t="str">
        <f aca="false">IF(INDEX(MASTER_DATABASE!$A$4:$A$1000,ROW()-3)="","",INDEX(MASTER_DATABASE!$BB$4:$BB$1000,ROW()-3)&amp;"")</f>
        <v/>
      </c>
      <c r="R58" s="11" t="str">
        <f aca="false">IF(INDEX(MASTER_DATABASE!$A$4:$A$1000,ROW()-3)="","",INDEX(MASTER_DATABASE!$BC$4:$BC$1000,ROW()-3)&amp;"")</f>
        <v>🏦</v>
      </c>
      <c r="S58" s="11" t="n">
        <f aca="false">IF(INDEX(MASTER_DATABASE!$A$4:$A$1000,ROW()-3)="","",INDEX(MASTER_DATABASE!$AQ$4:$AQ$1000,ROW()-3))</f>
        <v>130</v>
      </c>
      <c r="T58" s="7" t="str">
        <f aca="false">IF(INDEX(MASTER_DATABASE!$A$4:$A$1000,ROW()-3)="","",INDEX(MASTER_DATABASE!$I$4:$I$1000,ROW()-3)&amp;"")</f>
        <v>To Verify</v>
      </c>
      <c r="U58" s="7" t="str">
        <f aca="false">IF(INDEX(MASTER_DATABASE!$A$4:$A$1000,ROW()-3)="","",INDEX(MASTER_DATABASE!$J$4:$J$1000,ROW()-3)&amp;"")</f>
        <v>To Be Confirmed</v>
      </c>
      <c r="V58" s="7" t="str">
        <f aca="false">IF(INDEX(MASTER_DATABASE!$A$4:$A$1000,ROW()-3)="","",INDEX(MASTER_DATABASE!$AG$4:$AG$1000,ROW()-3)&amp;"")</f>
        <v>To Verify</v>
      </c>
      <c r="W58" s="7" t="str">
        <f aca="false">IF(INDEX(MASTER_DATABASE!$A$4:$A$1000,ROW()-3)="","",INDEX(MASTER_DATABASE!$AH$4:$AH$1000,ROW()-3)&amp;"")</f>
        <v>No</v>
      </c>
      <c r="X58" s="7" t="str">
        <f aca="false">IF(INDEX(MASTER_DATABASE!$A$4:$A$1000,ROW()-3)="","",INDEX(MASTER_DATABASE!$AI$4:$AI$1000,ROW()-3)&amp;"")</f>
        <v>No</v>
      </c>
      <c r="Y58" s="7" t="str">
        <f aca="false">IF(INDEX(MASTER_DATABASE!$A$4:$A$1000,ROW()-3)="","",INDEX(MASTER_DATABASE!$AJ$4:$AJ$1000,ROW()-3)&amp;"")</f>
        <v>No</v>
      </c>
      <c r="Z58" s="7" t="str">
        <f aca="false">IF(INDEX(MASTER_DATABASE!$A$4:$A$1000,ROW()-3)="","",INDEX(MASTER_DATABASE!$AK$4:$AK$1000,ROW()-3)&amp;"")</f>
        <v>No</v>
      </c>
      <c r="AA58" s="7" t="str">
        <f aca="false">IF(INDEX(MASTER_DATABASE!$A$4:$A$1000,ROW()-3)="","",INDEX(MASTER_DATABASE!$BE$4:$BE$1000,ROW()-3)&amp;"")</f>
        <v>HIDDEN</v>
      </c>
    </row>
    <row r="59" customFormat="false" ht="57.45" hidden="false" customHeight="false" outlineLevel="0" collapsed="false">
      <c r="A59" s="11" t="str">
        <f aca="false">IF(INDEX(MASTER_DATABASE!$A$4:$A$1000,ROW()-3)="","",INDEX(MASTER_DATABASE!$A$4:$A$1000,ROW()-3)&amp;"")</f>
        <v>HDF-014</v>
      </c>
      <c r="B59" s="7" t="str">
        <f aca="false">IF(INDEX(MASTER_DATABASE!$A$4:$A$1000,ROW()-3)="","",INDEX(MASTER_DATABASE!$B$4:$B$1000,ROW()-3)&amp;"")</f>
        <v>HDFC Bank BC Point</v>
      </c>
      <c r="C59" s="7" t="str">
        <f aca="false">IF(INDEX(MASTER_DATABASE!$A$4:$A$1000,ROW()-3)="","",INDEX(MASTER_DATABASE!$C$4:$C$1000,ROW()-3)&amp;"")</f>
        <v>Banking Services</v>
      </c>
      <c r="D59" s="7" t="str">
        <f aca="false">IF(INDEX(MASTER_DATABASE!$A$4:$A$1000,ROW()-3)="","",INDEX(MASTER_DATABASE!$D$4:$D$1000,ROW()-3)&amp;"")</f>
        <v>Account &amp; KYC Services</v>
      </c>
      <c r="E59" s="7" t="str">
        <f aca="false">IF(INDEX(MASTER_DATABASE!$A$4:$A$1000,ROW()-3)="","",INDEX(MASTER_DATABASE!$E$4:$E$1000,ROW()-3)&amp;"")</f>
        <v>HDFC BC – Account Mobile Number Registration / Update</v>
      </c>
      <c r="F59" s="7" t="str">
        <f aca="false">IF(INDEX(MASTER_DATABASE!$A$4:$A$1000,ROW()-3)="","",INDEX(MASTER_DATABASE!$F$4:$F$1000,ROW()-3)&amp;"")</f>
        <v>HDFC BC – खाते में मोबाइल नंबर पंजीकरण / अपडेट</v>
      </c>
      <c r="G59" s="7" t="str">
        <f aca="false">IF(INDEX(MASTER_DATABASE!$A$4:$A$1000,ROW()-3)="","",INDEX(MASTER_DATABASE!$AL$4:$AL$1000,ROW()-3)&amp;"")</f>
        <v>HDFC Bank BC Point</v>
      </c>
      <c r="H59" s="7" t="str">
        <f aca="false">IF(INDEX(MASTER_DATABASE!$A$4:$A$1000,ROW()-3)="","",INDEX(MASTER_DATABASE!$AM$4:$AM$1000,ROW()-3)&amp;"")</f>
        <v>Account &amp; KYC Services</v>
      </c>
      <c r="I59" s="7" t="str">
        <f aca="false">IF(INDEX(MASTER_DATABASE!$A$4:$A$1000,ROW()-3)="","",INDEX(MASTER_DATABASE!$AO$4:$AO$1000,ROW()-3)&amp;"")</f>
        <v>hdfc-bc-account-mobile-number-registration-update</v>
      </c>
      <c r="J59" s="7" t="str">
        <f aca="false">IF(INDEX(MASTER_DATABASE!$A$4:$A$1000,ROW()-3)="","",INDEX(MASTER_DATABASE!$BD$4:$BD$1000,ROW()-3)&amp;"")</f>
        <v>/services/hdfc-bc-account-mobile-number-registration-update</v>
      </c>
      <c r="K59" s="7" t="str">
        <f aca="false">IF(INDEX(MASTER_DATABASE!$A$4:$A$1000,ROW()-3)="","",INDEX(MASTER_DATABASE!$AX$4:$AX$1000,ROW()-3)&amp;"")</f>
        <v>HDFC BC – Account Mobile Number Registration / Update Service | Devmobile Stores</v>
      </c>
      <c r="L59" s="7" t="str">
        <f aca="false">IF(INDEX(MASTER_DATABASE!$A$4:$A$1000,ROW()-3)="","",INDEX(MASTER_DATABASE!$AY$4:$AY$1000,ROW()-3)&amp;"")</f>
        <v>HDFC BC – Account Mobile Number Registration / Update (HDFC BC – खाते में मोबाइल नंबर पंजीकरण / अपडेट) at Devmobile Stores and Common Service Center &amp; Aadhaar Centre. Check required documents, charges and process before you visit.</v>
      </c>
      <c r="M59" s="7" t="str">
        <f aca="false">IF(INDEX(MASTER_DATABASE!$A$4:$A$1000,ROW()-3)="","",INDEX(MASTER_DATABASE!$AN$4:$AN$1000,ROW()-3)&amp;"")</f>
        <v>HDFC BC – Account Mobile Number Registration / Update, HDFC Bank BC Point, Devmobile Stores, HDFC BC – खाते में मोबाइल नंबर पंजीकरण / अपडेट, HDFC बैंक BC पॉइंट, सेवा</v>
      </c>
      <c r="N59" s="7" t="str">
        <f aca="false">IF(INDEX(MASTER_DATABASE!$A$4:$A$1000,ROW()-3)="","",INDEX(MASTER_DATABASE!$AZ$4:$AZ$1000,ROW()-3)&amp;"")</f>
        <v>HDFC BC – खाते में मोबाइल नंबर पंजीकरण / अपडेट, HDFC बैंक BC पॉइंट, सेवा</v>
      </c>
      <c r="O59" s="7" t="str">
        <f aca="false">IF(INDEX(MASTER_DATABASE!$A$4:$A$1000,ROW()-3)="","",INDEX(MASTER_DATABASE!$BA$4:$BA$1000,ROW()-3)&amp;"")</f>
        <v>HDFC BC – Account Mobile Number Registration / Update, HDFC Bank BC Point, Devmobile Stores</v>
      </c>
      <c r="P59" s="11" t="str">
        <f aca="false">IF(INDEX(MASTER_DATABASE!$A$4:$A$1000,ROW()-3)="","",INDEX(MASTER_DATABASE!$AP$4:$AP$1000,ROW()-3)&amp;"")</f>
        <v>🗂️</v>
      </c>
      <c r="Q59" s="7" t="str">
        <f aca="false">IF(INDEX(MASTER_DATABASE!$A$4:$A$1000,ROW()-3)="","",INDEX(MASTER_DATABASE!$BB$4:$BB$1000,ROW()-3)&amp;"")</f>
        <v/>
      </c>
      <c r="R59" s="11" t="str">
        <f aca="false">IF(INDEX(MASTER_DATABASE!$A$4:$A$1000,ROW()-3)="","",INDEX(MASTER_DATABASE!$BC$4:$BC$1000,ROW()-3)&amp;"")</f>
        <v>🏦</v>
      </c>
      <c r="S59" s="11" t="n">
        <f aca="false">IF(INDEX(MASTER_DATABASE!$A$4:$A$1000,ROW()-3)="","",INDEX(MASTER_DATABASE!$AQ$4:$AQ$1000,ROW()-3))</f>
        <v>140</v>
      </c>
      <c r="T59" s="7" t="str">
        <f aca="false">IF(INDEX(MASTER_DATABASE!$A$4:$A$1000,ROW()-3)="","",INDEX(MASTER_DATABASE!$I$4:$I$1000,ROW()-3)&amp;"")</f>
        <v>To Verify</v>
      </c>
      <c r="U59" s="7" t="str">
        <f aca="false">IF(INDEX(MASTER_DATABASE!$A$4:$A$1000,ROW()-3)="","",INDEX(MASTER_DATABASE!$J$4:$J$1000,ROW()-3)&amp;"")</f>
        <v>To Be Confirmed</v>
      </c>
      <c r="V59" s="7" t="str">
        <f aca="false">IF(INDEX(MASTER_DATABASE!$A$4:$A$1000,ROW()-3)="","",INDEX(MASTER_DATABASE!$AG$4:$AG$1000,ROW()-3)&amp;"")</f>
        <v>To Verify</v>
      </c>
      <c r="W59" s="7" t="str">
        <f aca="false">IF(INDEX(MASTER_DATABASE!$A$4:$A$1000,ROW()-3)="","",INDEX(MASTER_DATABASE!$AH$4:$AH$1000,ROW()-3)&amp;"")</f>
        <v>No</v>
      </c>
      <c r="X59" s="7" t="str">
        <f aca="false">IF(INDEX(MASTER_DATABASE!$A$4:$A$1000,ROW()-3)="","",INDEX(MASTER_DATABASE!$AI$4:$AI$1000,ROW()-3)&amp;"")</f>
        <v>No</v>
      </c>
      <c r="Y59" s="7" t="str">
        <f aca="false">IF(INDEX(MASTER_DATABASE!$A$4:$A$1000,ROW()-3)="","",INDEX(MASTER_DATABASE!$AJ$4:$AJ$1000,ROW()-3)&amp;"")</f>
        <v>No</v>
      </c>
      <c r="Z59" s="7" t="str">
        <f aca="false">IF(INDEX(MASTER_DATABASE!$A$4:$A$1000,ROW()-3)="","",INDEX(MASTER_DATABASE!$AK$4:$AK$1000,ROW()-3)&amp;"")</f>
        <v>No</v>
      </c>
      <c r="AA59" s="7" t="str">
        <f aca="false">IF(INDEX(MASTER_DATABASE!$A$4:$A$1000,ROW()-3)="","",INDEX(MASTER_DATABASE!$BE$4:$BE$1000,ROW()-3)&amp;"")</f>
        <v>HIDDEN</v>
      </c>
    </row>
    <row r="60" customFormat="false" ht="57.45" hidden="false" customHeight="false" outlineLevel="0" collapsed="false">
      <c r="A60" s="11" t="str">
        <f aca="false">IF(INDEX(MASTER_DATABASE!$A$4:$A$1000,ROW()-3)="","",INDEX(MASTER_DATABASE!$A$4:$A$1000,ROW()-3)&amp;"")</f>
        <v>HDF-015</v>
      </c>
      <c r="B60" s="7" t="str">
        <f aca="false">IF(INDEX(MASTER_DATABASE!$A$4:$A$1000,ROW()-3)="","",INDEX(MASTER_DATABASE!$B$4:$B$1000,ROW()-3)&amp;"")</f>
        <v>HDFC Bank BC Point</v>
      </c>
      <c r="C60" s="7" t="str">
        <f aca="false">IF(INDEX(MASTER_DATABASE!$A$4:$A$1000,ROW()-3)="","",INDEX(MASTER_DATABASE!$C$4:$C$1000,ROW()-3)&amp;"")</f>
        <v>Banking Services</v>
      </c>
      <c r="D60" s="7" t="str">
        <f aca="false">IF(INDEX(MASTER_DATABASE!$A$4:$A$1000,ROW()-3)="","",INDEX(MASTER_DATABASE!$D$4:$D$1000,ROW()-3)&amp;"")</f>
        <v>Account &amp; KYC Services</v>
      </c>
      <c r="E60" s="7" t="str">
        <f aca="false">IF(INDEX(MASTER_DATABASE!$A$4:$A$1000,ROW()-3)="","",INDEX(MASTER_DATABASE!$E$4:$E$1000,ROW()-3)&amp;"")</f>
        <v>HDFC BC – Debit Card Request / PIN Assistance</v>
      </c>
      <c r="F60" s="7" t="str">
        <f aca="false">IF(INDEX(MASTER_DATABASE!$A$4:$A$1000,ROW()-3)="","",INDEX(MASTER_DATABASE!$F$4:$F$1000,ROW()-3)&amp;"")</f>
        <v>HDFC BC – डेबिट कार्ड / PIN सहायता</v>
      </c>
      <c r="G60" s="7" t="str">
        <f aca="false">IF(INDEX(MASTER_DATABASE!$A$4:$A$1000,ROW()-3)="","",INDEX(MASTER_DATABASE!$AL$4:$AL$1000,ROW()-3)&amp;"")</f>
        <v>HDFC Bank BC Point</v>
      </c>
      <c r="H60" s="7" t="str">
        <f aca="false">IF(INDEX(MASTER_DATABASE!$A$4:$A$1000,ROW()-3)="","",INDEX(MASTER_DATABASE!$AM$4:$AM$1000,ROW()-3)&amp;"")</f>
        <v>Account &amp; KYC Services</v>
      </c>
      <c r="I60" s="7" t="str">
        <f aca="false">IF(INDEX(MASTER_DATABASE!$A$4:$A$1000,ROW()-3)="","",INDEX(MASTER_DATABASE!$AO$4:$AO$1000,ROW()-3)&amp;"")</f>
        <v>hdfc-bc-debit-card-request-pin-assistance</v>
      </c>
      <c r="J60" s="7" t="str">
        <f aca="false">IF(INDEX(MASTER_DATABASE!$A$4:$A$1000,ROW()-3)="","",INDEX(MASTER_DATABASE!$BD$4:$BD$1000,ROW()-3)&amp;"")</f>
        <v>/services/hdfc-bc-debit-card-request-pin-assistance</v>
      </c>
      <c r="K60" s="7" t="str">
        <f aca="false">IF(INDEX(MASTER_DATABASE!$A$4:$A$1000,ROW()-3)="","",INDEX(MASTER_DATABASE!$AX$4:$AX$1000,ROW()-3)&amp;"")</f>
        <v>HDFC BC – Debit Card Request / PIN Assistance Service | Devmobile Stores</v>
      </c>
      <c r="L60" s="7" t="str">
        <f aca="false">IF(INDEX(MASTER_DATABASE!$A$4:$A$1000,ROW()-3)="","",INDEX(MASTER_DATABASE!$AY$4:$AY$1000,ROW()-3)&amp;"")</f>
        <v>HDFC BC – Debit Card Request / PIN Assistance (HDFC BC – डेबिट कार्ड / PIN सहायता) at Devmobile Stores and Common Service Center &amp; Aadhaar Centre. Check required documents, charges and process before you visit.</v>
      </c>
      <c r="M60" s="7" t="str">
        <f aca="false">IF(INDEX(MASTER_DATABASE!$A$4:$A$1000,ROW()-3)="","",INDEX(MASTER_DATABASE!$AN$4:$AN$1000,ROW()-3)&amp;"")</f>
        <v>HDFC BC – Debit Card Request / PIN Assistance, HDFC Bank BC Point, Devmobile Stores, HDFC BC – डेबिट कार्ड / PIN सहायता, HDFC बैंक BC पॉइंट, सेवा</v>
      </c>
      <c r="N60" s="7" t="str">
        <f aca="false">IF(INDEX(MASTER_DATABASE!$A$4:$A$1000,ROW()-3)="","",INDEX(MASTER_DATABASE!$AZ$4:$AZ$1000,ROW()-3)&amp;"")</f>
        <v>HDFC BC – डेबिट कार्ड / PIN सहायता, HDFC बैंक BC पॉइंट, सेवा</v>
      </c>
      <c r="O60" s="7" t="str">
        <f aca="false">IF(INDEX(MASTER_DATABASE!$A$4:$A$1000,ROW()-3)="","",INDEX(MASTER_DATABASE!$BA$4:$BA$1000,ROW()-3)&amp;"")</f>
        <v>HDFC BC – Debit Card Request / PIN Assistance, HDFC Bank BC Point, Devmobile Stores</v>
      </c>
      <c r="P60" s="11" t="str">
        <f aca="false">IF(INDEX(MASTER_DATABASE!$A$4:$A$1000,ROW()-3)="","",INDEX(MASTER_DATABASE!$AP$4:$AP$1000,ROW()-3)&amp;"")</f>
        <v>🗂️</v>
      </c>
      <c r="Q60" s="7" t="str">
        <f aca="false">IF(INDEX(MASTER_DATABASE!$A$4:$A$1000,ROW()-3)="","",INDEX(MASTER_DATABASE!$BB$4:$BB$1000,ROW()-3)&amp;"")</f>
        <v/>
      </c>
      <c r="R60" s="11" t="str">
        <f aca="false">IF(INDEX(MASTER_DATABASE!$A$4:$A$1000,ROW()-3)="","",INDEX(MASTER_DATABASE!$BC$4:$BC$1000,ROW()-3)&amp;"")</f>
        <v>🏦</v>
      </c>
      <c r="S60" s="11" t="n">
        <f aca="false">IF(INDEX(MASTER_DATABASE!$A$4:$A$1000,ROW()-3)="","",INDEX(MASTER_DATABASE!$AQ$4:$AQ$1000,ROW()-3))</f>
        <v>150</v>
      </c>
      <c r="T60" s="7" t="str">
        <f aca="false">IF(INDEX(MASTER_DATABASE!$A$4:$A$1000,ROW()-3)="","",INDEX(MASTER_DATABASE!$I$4:$I$1000,ROW()-3)&amp;"")</f>
        <v>To Verify</v>
      </c>
      <c r="U60" s="7" t="str">
        <f aca="false">IF(INDEX(MASTER_DATABASE!$A$4:$A$1000,ROW()-3)="","",INDEX(MASTER_DATABASE!$J$4:$J$1000,ROW()-3)&amp;"")</f>
        <v>To Be Confirmed</v>
      </c>
      <c r="V60" s="7" t="str">
        <f aca="false">IF(INDEX(MASTER_DATABASE!$A$4:$A$1000,ROW()-3)="","",INDEX(MASTER_DATABASE!$AG$4:$AG$1000,ROW()-3)&amp;"")</f>
        <v>To Verify</v>
      </c>
      <c r="W60" s="7" t="str">
        <f aca="false">IF(INDEX(MASTER_DATABASE!$A$4:$A$1000,ROW()-3)="","",INDEX(MASTER_DATABASE!$AH$4:$AH$1000,ROW()-3)&amp;"")</f>
        <v>No</v>
      </c>
      <c r="X60" s="7" t="str">
        <f aca="false">IF(INDEX(MASTER_DATABASE!$A$4:$A$1000,ROW()-3)="","",INDEX(MASTER_DATABASE!$AI$4:$AI$1000,ROW()-3)&amp;"")</f>
        <v>No</v>
      </c>
      <c r="Y60" s="7" t="str">
        <f aca="false">IF(INDEX(MASTER_DATABASE!$A$4:$A$1000,ROW()-3)="","",INDEX(MASTER_DATABASE!$AJ$4:$AJ$1000,ROW()-3)&amp;"")</f>
        <v>No</v>
      </c>
      <c r="Z60" s="7" t="str">
        <f aca="false">IF(INDEX(MASTER_DATABASE!$A$4:$A$1000,ROW()-3)="","",INDEX(MASTER_DATABASE!$AK$4:$AK$1000,ROW()-3)&amp;"")</f>
        <v>No</v>
      </c>
      <c r="AA60" s="7" t="str">
        <f aca="false">IF(INDEX(MASTER_DATABASE!$A$4:$A$1000,ROW()-3)="","",INDEX(MASTER_DATABASE!$BE$4:$BE$1000,ROW()-3)&amp;"")</f>
        <v>HIDDEN</v>
      </c>
    </row>
    <row r="61" customFormat="false" ht="57.45" hidden="false" customHeight="false" outlineLevel="0" collapsed="false">
      <c r="A61" s="11" t="str">
        <f aca="false">IF(INDEX(MASTER_DATABASE!$A$4:$A$1000,ROW()-3)="","",INDEX(MASTER_DATABASE!$A$4:$A$1000,ROW()-3)&amp;"")</f>
        <v>HDF-016</v>
      </c>
      <c r="B61" s="7" t="str">
        <f aca="false">IF(INDEX(MASTER_DATABASE!$A$4:$A$1000,ROW()-3)="","",INDEX(MASTER_DATABASE!$B$4:$B$1000,ROW()-3)&amp;"")</f>
        <v>HDFC Bank BC Point</v>
      </c>
      <c r="C61" s="7" t="str">
        <f aca="false">IF(INDEX(MASTER_DATABASE!$A$4:$A$1000,ROW()-3)="","",INDEX(MASTER_DATABASE!$C$4:$C$1000,ROW()-3)&amp;"")</f>
        <v>Banking Services</v>
      </c>
      <c r="D61" s="7" t="str">
        <f aca="false">IF(INDEX(MASTER_DATABASE!$A$4:$A$1000,ROW()-3)="","",INDEX(MASTER_DATABASE!$D$4:$D$1000,ROW()-3)&amp;"")</f>
        <v>Account &amp; KYC Services</v>
      </c>
      <c r="E61" s="7" t="str">
        <f aca="false">IF(INDEX(MASTER_DATABASE!$A$4:$A$1000,ROW()-3)="","",INDEX(MASTER_DATABASE!$E$4:$E$1000,ROW()-3)&amp;"")</f>
        <v>HDFC BC – Cheque Book Request Assistance</v>
      </c>
      <c r="F61" s="7" t="str">
        <f aca="false">IF(INDEX(MASTER_DATABASE!$A$4:$A$1000,ROW()-3)="","",INDEX(MASTER_DATABASE!$F$4:$F$1000,ROW()-3)&amp;"")</f>
        <v>HDFC BC – चेक बुक आवेदन सहायता</v>
      </c>
      <c r="G61" s="7" t="str">
        <f aca="false">IF(INDEX(MASTER_DATABASE!$A$4:$A$1000,ROW()-3)="","",INDEX(MASTER_DATABASE!$AL$4:$AL$1000,ROW()-3)&amp;"")</f>
        <v>HDFC Bank BC Point</v>
      </c>
      <c r="H61" s="7" t="str">
        <f aca="false">IF(INDEX(MASTER_DATABASE!$A$4:$A$1000,ROW()-3)="","",INDEX(MASTER_DATABASE!$AM$4:$AM$1000,ROW()-3)&amp;"")</f>
        <v>Account &amp; KYC Services</v>
      </c>
      <c r="I61" s="7" t="str">
        <f aca="false">IF(INDEX(MASTER_DATABASE!$A$4:$A$1000,ROW()-3)="","",INDEX(MASTER_DATABASE!$AO$4:$AO$1000,ROW()-3)&amp;"")</f>
        <v>hdfc-bc-cheque-book-request-assistance</v>
      </c>
      <c r="J61" s="7" t="str">
        <f aca="false">IF(INDEX(MASTER_DATABASE!$A$4:$A$1000,ROW()-3)="","",INDEX(MASTER_DATABASE!$BD$4:$BD$1000,ROW()-3)&amp;"")</f>
        <v>/services/hdfc-bc-cheque-book-request-assistance</v>
      </c>
      <c r="K61" s="7" t="str">
        <f aca="false">IF(INDEX(MASTER_DATABASE!$A$4:$A$1000,ROW()-3)="","",INDEX(MASTER_DATABASE!$AX$4:$AX$1000,ROW()-3)&amp;"")</f>
        <v>HDFC BC – Cheque Book Request Assistance Service | Devmobile Stores</v>
      </c>
      <c r="L61" s="7" t="str">
        <f aca="false">IF(INDEX(MASTER_DATABASE!$A$4:$A$1000,ROW()-3)="","",INDEX(MASTER_DATABASE!$AY$4:$AY$1000,ROW()-3)&amp;"")</f>
        <v>HDFC BC – Cheque Book Request Assistance (HDFC BC – चेक बुक आवेदन सहायता) at Devmobile Stores and Common Service Center &amp; Aadhaar Centre. Check required documents, charges and process before you visit.</v>
      </c>
      <c r="M61" s="7" t="str">
        <f aca="false">IF(INDEX(MASTER_DATABASE!$A$4:$A$1000,ROW()-3)="","",INDEX(MASTER_DATABASE!$AN$4:$AN$1000,ROW()-3)&amp;"")</f>
        <v>HDFC BC – Cheque Book Request Assistance, HDFC Bank BC Point, Devmobile Stores, HDFC BC – चेक बुक आवेदन सहायता, HDFC बैंक BC पॉइंट, सेवा</v>
      </c>
      <c r="N61" s="7" t="str">
        <f aca="false">IF(INDEX(MASTER_DATABASE!$A$4:$A$1000,ROW()-3)="","",INDEX(MASTER_DATABASE!$AZ$4:$AZ$1000,ROW()-3)&amp;"")</f>
        <v>HDFC BC – चेक बुक आवेदन सहायता, HDFC बैंक BC पॉइंट, सेवा</v>
      </c>
      <c r="O61" s="7" t="str">
        <f aca="false">IF(INDEX(MASTER_DATABASE!$A$4:$A$1000,ROW()-3)="","",INDEX(MASTER_DATABASE!$BA$4:$BA$1000,ROW()-3)&amp;"")</f>
        <v>HDFC BC – Cheque Book Request Assistance, HDFC Bank BC Point, Devmobile Stores</v>
      </c>
      <c r="P61" s="11" t="str">
        <f aca="false">IF(INDEX(MASTER_DATABASE!$A$4:$A$1000,ROW()-3)="","",INDEX(MASTER_DATABASE!$AP$4:$AP$1000,ROW()-3)&amp;"")</f>
        <v>🗂️</v>
      </c>
      <c r="Q61" s="7" t="str">
        <f aca="false">IF(INDEX(MASTER_DATABASE!$A$4:$A$1000,ROW()-3)="","",INDEX(MASTER_DATABASE!$BB$4:$BB$1000,ROW()-3)&amp;"")</f>
        <v/>
      </c>
      <c r="R61" s="11" t="str">
        <f aca="false">IF(INDEX(MASTER_DATABASE!$A$4:$A$1000,ROW()-3)="","",INDEX(MASTER_DATABASE!$BC$4:$BC$1000,ROW()-3)&amp;"")</f>
        <v>🏦</v>
      </c>
      <c r="S61" s="11" t="n">
        <f aca="false">IF(INDEX(MASTER_DATABASE!$A$4:$A$1000,ROW()-3)="","",INDEX(MASTER_DATABASE!$AQ$4:$AQ$1000,ROW()-3))</f>
        <v>160</v>
      </c>
      <c r="T61" s="7" t="str">
        <f aca="false">IF(INDEX(MASTER_DATABASE!$A$4:$A$1000,ROW()-3)="","",INDEX(MASTER_DATABASE!$I$4:$I$1000,ROW()-3)&amp;"")</f>
        <v>To Verify</v>
      </c>
      <c r="U61" s="7" t="str">
        <f aca="false">IF(INDEX(MASTER_DATABASE!$A$4:$A$1000,ROW()-3)="","",INDEX(MASTER_DATABASE!$J$4:$J$1000,ROW()-3)&amp;"")</f>
        <v>To Be Confirmed</v>
      </c>
      <c r="V61" s="7" t="str">
        <f aca="false">IF(INDEX(MASTER_DATABASE!$A$4:$A$1000,ROW()-3)="","",INDEX(MASTER_DATABASE!$AG$4:$AG$1000,ROW()-3)&amp;"")</f>
        <v>To Verify</v>
      </c>
      <c r="W61" s="7" t="str">
        <f aca="false">IF(INDEX(MASTER_DATABASE!$A$4:$A$1000,ROW()-3)="","",INDEX(MASTER_DATABASE!$AH$4:$AH$1000,ROW()-3)&amp;"")</f>
        <v>No</v>
      </c>
      <c r="X61" s="7" t="str">
        <f aca="false">IF(INDEX(MASTER_DATABASE!$A$4:$A$1000,ROW()-3)="","",INDEX(MASTER_DATABASE!$AI$4:$AI$1000,ROW()-3)&amp;"")</f>
        <v>No</v>
      </c>
      <c r="Y61" s="7" t="str">
        <f aca="false">IF(INDEX(MASTER_DATABASE!$A$4:$A$1000,ROW()-3)="","",INDEX(MASTER_DATABASE!$AJ$4:$AJ$1000,ROW()-3)&amp;"")</f>
        <v>No</v>
      </c>
      <c r="Z61" s="7" t="str">
        <f aca="false">IF(INDEX(MASTER_DATABASE!$A$4:$A$1000,ROW()-3)="","",INDEX(MASTER_DATABASE!$AK$4:$AK$1000,ROW()-3)&amp;"")</f>
        <v>No</v>
      </c>
      <c r="AA61" s="7" t="str">
        <f aca="false">IF(INDEX(MASTER_DATABASE!$A$4:$A$1000,ROW()-3)="","",INDEX(MASTER_DATABASE!$BE$4:$BE$1000,ROW()-3)&amp;"")</f>
        <v>HIDDEN</v>
      </c>
    </row>
    <row r="62" customFormat="false" ht="57.45" hidden="false" customHeight="false" outlineLevel="0" collapsed="false">
      <c r="A62" s="11" t="str">
        <f aca="false">IF(INDEX(MASTER_DATABASE!$A$4:$A$1000,ROW()-3)="","",INDEX(MASTER_DATABASE!$A$4:$A$1000,ROW()-3)&amp;"")</f>
        <v>HDF-017</v>
      </c>
      <c r="B62" s="7" t="str">
        <f aca="false">IF(INDEX(MASTER_DATABASE!$A$4:$A$1000,ROW()-3)="","",INDEX(MASTER_DATABASE!$B$4:$B$1000,ROW()-3)&amp;"")</f>
        <v>HDFC Bank BC Point</v>
      </c>
      <c r="C62" s="7" t="str">
        <f aca="false">IF(INDEX(MASTER_DATABASE!$A$4:$A$1000,ROW()-3)="","",INDEX(MASTER_DATABASE!$C$4:$C$1000,ROW()-3)&amp;"")</f>
        <v>Banking Services</v>
      </c>
      <c r="D62" s="7" t="str">
        <f aca="false">IF(INDEX(MASTER_DATABASE!$A$4:$A$1000,ROW()-3)="","",INDEX(MASTER_DATABASE!$D$4:$D$1000,ROW()-3)&amp;"")</f>
        <v>Account &amp; KYC Services</v>
      </c>
      <c r="E62" s="7" t="str">
        <f aca="false">IF(INDEX(MASTER_DATABASE!$A$4:$A$1000,ROW()-3)="","",INDEX(MASTER_DATABASE!$E$4:$E$1000,ROW()-3)&amp;"")</f>
        <v>HDFC BC – Passbook / Statement Request Assistance</v>
      </c>
      <c r="F62" s="7" t="str">
        <f aca="false">IF(INDEX(MASTER_DATABASE!$A$4:$A$1000,ROW()-3)="","",INDEX(MASTER_DATABASE!$F$4:$F$1000,ROW()-3)&amp;"")</f>
        <v>HDFC BC – पासबुक / स्टेटमेंट आवेदन सहायता</v>
      </c>
      <c r="G62" s="7" t="str">
        <f aca="false">IF(INDEX(MASTER_DATABASE!$A$4:$A$1000,ROW()-3)="","",INDEX(MASTER_DATABASE!$AL$4:$AL$1000,ROW()-3)&amp;"")</f>
        <v>HDFC Bank BC Point</v>
      </c>
      <c r="H62" s="7" t="str">
        <f aca="false">IF(INDEX(MASTER_DATABASE!$A$4:$A$1000,ROW()-3)="","",INDEX(MASTER_DATABASE!$AM$4:$AM$1000,ROW()-3)&amp;"")</f>
        <v>Account &amp; KYC Services</v>
      </c>
      <c r="I62" s="7" t="str">
        <f aca="false">IF(INDEX(MASTER_DATABASE!$A$4:$A$1000,ROW()-3)="","",INDEX(MASTER_DATABASE!$AO$4:$AO$1000,ROW()-3)&amp;"")</f>
        <v>hdfc-bc-passbook-statement-request-assistance</v>
      </c>
      <c r="J62" s="7" t="str">
        <f aca="false">IF(INDEX(MASTER_DATABASE!$A$4:$A$1000,ROW()-3)="","",INDEX(MASTER_DATABASE!$BD$4:$BD$1000,ROW()-3)&amp;"")</f>
        <v>/services/hdfc-bc-passbook-statement-request-assistance</v>
      </c>
      <c r="K62" s="7" t="str">
        <f aca="false">IF(INDEX(MASTER_DATABASE!$A$4:$A$1000,ROW()-3)="","",INDEX(MASTER_DATABASE!$AX$4:$AX$1000,ROW()-3)&amp;"")</f>
        <v>HDFC BC – Passbook / Statement Request Assistance Service | Devmobile Stores</v>
      </c>
      <c r="L62" s="7" t="str">
        <f aca="false">IF(INDEX(MASTER_DATABASE!$A$4:$A$1000,ROW()-3)="","",INDEX(MASTER_DATABASE!$AY$4:$AY$1000,ROW()-3)&amp;"")</f>
        <v>HDFC BC – Passbook / Statement Request Assistance (HDFC BC – पासबुक / स्टेटमेंट आवेदन सहायता) at Devmobile Stores and Common Service Center &amp; Aadhaar Centre. Check required documents, charges and process before you visit.</v>
      </c>
      <c r="M62" s="7" t="str">
        <f aca="false">IF(INDEX(MASTER_DATABASE!$A$4:$A$1000,ROW()-3)="","",INDEX(MASTER_DATABASE!$AN$4:$AN$1000,ROW()-3)&amp;"")</f>
        <v>HDFC BC – Passbook / Statement Request Assistance, HDFC Bank BC Point, Devmobile Stores, HDFC BC – पासबुक / स्टेटमेंट आवेदन सहायता, HDFC बैंक BC पॉइंट, सेवा</v>
      </c>
      <c r="N62" s="7" t="str">
        <f aca="false">IF(INDEX(MASTER_DATABASE!$A$4:$A$1000,ROW()-3)="","",INDEX(MASTER_DATABASE!$AZ$4:$AZ$1000,ROW()-3)&amp;"")</f>
        <v>HDFC BC – पासबुक / स्टेटमेंट आवेदन सहायता, HDFC बैंक BC पॉइंट, सेवा</v>
      </c>
      <c r="O62" s="7" t="str">
        <f aca="false">IF(INDEX(MASTER_DATABASE!$A$4:$A$1000,ROW()-3)="","",INDEX(MASTER_DATABASE!$BA$4:$BA$1000,ROW()-3)&amp;"")</f>
        <v>HDFC BC – Passbook / Statement Request Assistance, HDFC Bank BC Point, Devmobile Stores</v>
      </c>
      <c r="P62" s="11" t="str">
        <f aca="false">IF(INDEX(MASTER_DATABASE!$A$4:$A$1000,ROW()-3)="","",INDEX(MASTER_DATABASE!$AP$4:$AP$1000,ROW()-3)&amp;"")</f>
        <v>🗂️</v>
      </c>
      <c r="Q62" s="7" t="str">
        <f aca="false">IF(INDEX(MASTER_DATABASE!$A$4:$A$1000,ROW()-3)="","",INDEX(MASTER_DATABASE!$BB$4:$BB$1000,ROW()-3)&amp;"")</f>
        <v/>
      </c>
      <c r="R62" s="11" t="str">
        <f aca="false">IF(INDEX(MASTER_DATABASE!$A$4:$A$1000,ROW()-3)="","",INDEX(MASTER_DATABASE!$BC$4:$BC$1000,ROW()-3)&amp;"")</f>
        <v>🏦</v>
      </c>
      <c r="S62" s="11" t="n">
        <f aca="false">IF(INDEX(MASTER_DATABASE!$A$4:$A$1000,ROW()-3)="","",INDEX(MASTER_DATABASE!$AQ$4:$AQ$1000,ROW()-3))</f>
        <v>170</v>
      </c>
      <c r="T62" s="7" t="str">
        <f aca="false">IF(INDEX(MASTER_DATABASE!$A$4:$A$1000,ROW()-3)="","",INDEX(MASTER_DATABASE!$I$4:$I$1000,ROW()-3)&amp;"")</f>
        <v>To Verify</v>
      </c>
      <c r="U62" s="7" t="str">
        <f aca="false">IF(INDEX(MASTER_DATABASE!$A$4:$A$1000,ROW()-3)="","",INDEX(MASTER_DATABASE!$J$4:$J$1000,ROW()-3)&amp;"")</f>
        <v>To Be Confirmed</v>
      </c>
      <c r="V62" s="7" t="str">
        <f aca="false">IF(INDEX(MASTER_DATABASE!$A$4:$A$1000,ROW()-3)="","",INDEX(MASTER_DATABASE!$AG$4:$AG$1000,ROW()-3)&amp;"")</f>
        <v>To Verify</v>
      </c>
      <c r="W62" s="7" t="str">
        <f aca="false">IF(INDEX(MASTER_DATABASE!$A$4:$A$1000,ROW()-3)="","",INDEX(MASTER_DATABASE!$AH$4:$AH$1000,ROW()-3)&amp;"")</f>
        <v>No</v>
      </c>
      <c r="X62" s="7" t="str">
        <f aca="false">IF(INDEX(MASTER_DATABASE!$A$4:$A$1000,ROW()-3)="","",INDEX(MASTER_DATABASE!$AI$4:$AI$1000,ROW()-3)&amp;"")</f>
        <v>No</v>
      </c>
      <c r="Y62" s="7" t="str">
        <f aca="false">IF(INDEX(MASTER_DATABASE!$A$4:$A$1000,ROW()-3)="","",INDEX(MASTER_DATABASE!$AJ$4:$AJ$1000,ROW()-3)&amp;"")</f>
        <v>No</v>
      </c>
      <c r="Z62" s="7" t="str">
        <f aca="false">IF(INDEX(MASTER_DATABASE!$A$4:$A$1000,ROW()-3)="","",INDEX(MASTER_DATABASE!$AK$4:$AK$1000,ROW()-3)&amp;"")</f>
        <v>No</v>
      </c>
      <c r="AA62" s="7" t="str">
        <f aca="false">IF(INDEX(MASTER_DATABASE!$A$4:$A$1000,ROW()-3)="","",INDEX(MASTER_DATABASE!$BE$4:$BE$1000,ROW()-3)&amp;"")</f>
        <v>HIDDEN</v>
      </c>
    </row>
    <row r="63" customFormat="false" ht="57.45" hidden="false" customHeight="false" outlineLevel="0" collapsed="false">
      <c r="A63" s="11" t="str">
        <f aca="false">IF(INDEX(MASTER_DATABASE!$A$4:$A$1000,ROW()-3)="","",INDEX(MASTER_DATABASE!$A$4:$A$1000,ROW()-3)&amp;"")</f>
        <v>HDF-018</v>
      </c>
      <c r="B63" s="7" t="str">
        <f aca="false">IF(INDEX(MASTER_DATABASE!$A$4:$A$1000,ROW()-3)="","",INDEX(MASTER_DATABASE!$B$4:$B$1000,ROW()-3)&amp;"")</f>
        <v>HDFC Bank BC Point</v>
      </c>
      <c r="C63" s="7" t="str">
        <f aca="false">IF(INDEX(MASTER_DATABASE!$A$4:$A$1000,ROW()-3)="","",INDEX(MASTER_DATABASE!$C$4:$C$1000,ROW()-3)&amp;"")</f>
        <v>Banking Services</v>
      </c>
      <c r="D63" s="7" t="str">
        <f aca="false">IF(INDEX(MASTER_DATABASE!$A$4:$A$1000,ROW()-3)="","",INDEX(MASTER_DATABASE!$D$4:$D$1000,ROW()-3)&amp;"")</f>
        <v>Account &amp; KYC Services</v>
      </c>
      <c r="E63" s="7" t="str">
        <f aca="false">IF(INDEX(MASTER_DATABASE!$A$4:$A$1000,ROW()-3)="","",INDEX(MASTER_DATABASE!$E$4:$E$1000,ROW()-3)&amp;"")</f>
        <v>HDFC BC – KYC Document Collection / Update</v>
      </c>
      <c r="F63" s="7" t="str">
        <f aca="false">IF(INDEX(MASTER_DATABASE!$A$4:$A$1000,ROW()-3)="","",INDEX(MASTER_DATABASE!$F$4:$F$1000,ROW()-3)&amp;"")</f>
        <v>HDFC BC – KYC दस्तावेज़ जमा / अपडेट</v>
      </c>
      <c r="G63" s="7" t="str">
        <f aca="false">IF(INDEX(MASTER_DATABASE!$A$4:$A$1000,ROW()-3)="","",INDEX(MASTER_DATABASE!$AL$4:$AL$1000,ROW()-3)&amp;"")</f>
        <v>HDFC Bank BC Point</v>
      </c>
      <c r="H63" s="7" t="str">
        <f aca="false">IF(INDEX(MASTER_DATABASE!$A$4:$A$1000,ROW()-3)="","",INDEX(MASTER_DATABASE!$AM$4:$AM$1000,ROW()-3)&amp;"")</f>
        <v>Account &amp; KYC Services</v>
      </c>
      <c r="I63" s="7" t="str">
        <f aca="false">IF(INDEX(MASTER_DATABASE!$A$4:$A$1000,ROW()-3)="","",INDEX(MASTER_DATABASE!$AO$4:$AO$1000,ROW()-3)&amp;"")</f>
        <v>hdfc-bc-kyc-document-collection-update</v>
      </c>
      <c r="J63" s="7" t="str">
        <f aca="false">IF(INDEX(MASTER_DATABASE!$A$4:$A$1000,ROW()-3)="","",INDEX(MASTER_DATABASE!$BD$4:$BD$1000,ROW()-3)&amp;"")</f>
        <v>/services/hdfc-bc-kyc-document-collection-update</v>
      </c>
      <c r="K63" s="7" t="str">
        <f aca="false">IF(INDEX(MASTER_DATABASE!$A$4:$A$1000,ROW()-3)="","",INDEX(MASTER_DATABASE!$AX$4:$AX$1000,ROW()-3)&amp;"")</f>
        <v>HDFC BC – KYC Document Collection / Update Service | Devmobile Stores</v>
      </c>
      <c r="L63" s="7" t="str">
        <f aca="false">IF(INDEX(MASTER_DATABASE!$A$4:$A$1000,ROW()-3)="","",INDEX(MASTER_DATABASE!$AY$4:$AY$1000,ROW()-3)&amp;"")</f>
        <v>HDFC BC – KYC Document Collection / Update (HDFC BC – KYC दस्तावेज़ जमा / अपडेट) at Devmobile Stores and Common Service Center &amp; Aadhaar Centre. Check required documents, charges and process before you visit.</v>
      </c>
      <c r="M63" s="7" t="str">
        <f aca="false">IF(INDEX(MASTER_DATABASE!$A$4:$A$1000,ROW()-3)="","",INDEX(MASTER_DATABASE!$AN$4:$AN$1000,ROW()-3)&amp;"")</f>
        <v>HDFC BC – KYC Document Collection / Update, HDFC Bank BC Point, Devmobile Stores, HDFC BC – KYC दस्तावेज़ जमा / अपडेट, HDFC बैंक BC पॉइंट, सेवा</v>
      </c>
      <c r="N63" s="7" t="str">
        <f aca="false">IF(INDEX(MASTER_DATABASE!$A$4:$A$1000,ROW()-3)="","",INDEX(MASTER_DATABASE!$AZ$4:$AZ$1000,ROW()-3)&amp;"")</f>
        <v>HDFC BC – KYC दस्तावेज़ जमा / अपडेट, HDFC बैंक BC पॉइंट, सेवा</v>
      </c>
      <c r="O63" s="7" t="str">
        <f aca="false">IF(INDEX(MASTER_DATABASE!$A$4:$A$1000,ROW()-3)="","",INDEX(MASTER_DATABASE!$BA$4:$BA$1000,ROW()-3)&amp;"")</f>
        <v>HDFC BC – KYC Document Collection / Update, HDFC Bank BC Point, Devmobile Stores</v>
      </c>
      <c r="P63" s="11" t="str">
        <f aca="false">IF(INDEX(MASTER_DATABASE!$A$4:$A$1000,ROW()-3)="","",INDEX(MASTER_DATABASE!$AP$4:$AP$1000,ROW()-3)&amp;"")</f>
        <v>🗂️</v>
      </c>
      <c r="Q63" s="7" t="str">
        <f aca="false">IF(INDEX(MASTER_DATABASE!$A$4:$A$1000,ROW()-3)="","",INDEX(MASTER_DATABASE!$BB$4:$BB$1000,ROW()-3)&amp;"")</f>
        <v/>
      </c>
      <c r="R63" s="11" t="str">
        <f aca="false">IF(INDEX(MASTER_DATABASE!$A$4:$A$1000,ROW()-3)="","",INDEX(MASTER_DATABASE!$BC$4:$BC$1000,ROW()-3)&amp;"")</f>
        <v>🏦</v>
      </c>
      <c r="S63" s="11" t="n">
        <f aca="false">IF(INDEX(MASTER_DATABASE!$A$4:$A$1000,ROW()-3)="","",INDEX(MASTER_DATABASE!$AQ$4:$AQ$1000,ROW()-3))</f>
        <v>180</v>
      </c>
      <c r="T63" s="7" t="str">
        <f aca="false">IF(INDEX(MASTER_DATABASE!$A$4:$A$1000,ROW()-3)="","",INDEX(MASTER_DATABASE!$I$4:$I$1000,ROW()-3)&amp;"")</f>
        <v>To Verify</v>
      </c>
      <c r="U63" s="7" t="str">
        <f aca="false">IF(INDEX(MASTER_DATABASE!$A$4:$A$1000,ROW()-3)="","",INDEX(MASTER_DATABASE!$J$4:$J$1000,ROW()-3)&amp;"")</f>
        <v>To Be Confirmed</v>
      </c>
      <c r="V63" s="7" t="str">
        <f aca="false">IF(INDEX(MASTER_DATABASE!$A$4:$A$1000,ROW()-3)="","",INDEX(MASTER_DATABASE!$AG$4:$AG$1000,ROW()-3)&amp;"")</f>
        <v>To Verify</v>
      </c>
      <c r="W63" s="7" t="str">
        <f aca="false">IF(INDEX(MASTER_DATABASE!$A$4:$A$1000,ROW()-3)="","",INDEX(MASTER_DATABASE!$AH$4:$AH$1000,ROW()-3)&amp;"")</f>
        <v>No</v>
      </c>
      <c r="X63" s="7" t="str">
        <f aca="false">IF(INDEX(MASTER_DATABASE!$A$4:$A$1000,ROW()-3)="","",INDEX(MASTER_DATABASE!$AI$4:$AI$1000,ROW()-3)&amp;"")</f>
        <v>No</v>
      </c>
      <c r="Y63" s="7" t="str">
        <f aca="false">IF(INDEX(MASTER_DATABASE!$A$4:$A$1000,ROW()-3)="","",INDEX(MASTER_DATABASE!$AJ$4:$AJ$1000,ROW()-3)&amp;"")</f>
        <v>No</v>
      </c>
      <c r="Z63" s="7" t="str">
        <f aca="false">IF(INDEX(MASTER_DATABASE!$A$4:$A$1000,ROW()-3)="","",INDEX(MASTER_DATABASE!$AK$4:$AK$1000,ROW()-3)&amp;"")</f>
        <v>No</v>
      </c>
      <c r="AA63" s="7" t="str">
        <f aca="false">IF(INDEX(MASTER_DATABASE!$A$4:$A$1000,ROW()-3)="","",INDEX(MASTER_DATABASE!$BE$4:$BE$1000,ROW()-3)&amp;"")</f>
        <v>HIDDEN</v>
      </c>
    </row>
    <row r="64" customFormat="false" ht="57.45" hidden="false" customHeight="false" outlineLevel="0" collapsed="false">
      <c r="A64" s="11" t="str">
        <f aca="false">IF(INDEX(MASTER_DATABASE!$A$4:$A$1000,ROW()-3)="","",INDEX(MASTER_DATABASE!$A$4:$A$1000,ROW()-3)&amp;"")</f>
        <v>HDF-019</v>
      </c>
      <c r="B64" s="7" t="str">
        <f aca="false">IF(INDEX(MASTER_DATABASE!$A$4:$A$1000,ROW()-3)="","",INDEX(MASTER_DATABASE!$B$4:$B$1000,ROW()-3)&amp;"")</f>
        <v>HDFC Bank BC Point</v>
      </c>
      <c r="C64" s="7" t="str">
        <f aca="false">IF(INDEX(MASTER_DATABASE!$A$4:$A$1000,ROW()-3)="","",INDEX(MASTER_DATABASE!$C$4:$C$1000,ROW()-3)&amp;"")</f>
        <v>Banking Services</v>
      </c>
      <c r="D64" s="7" t="str">
        <f aca="false">IF(INDEX(MASTER_DATABASE!$A$4:$A$1000,ROW()-3)="","",INDEX(MASTER_DATABASE!$D$4:$D$1000,ROW()-3)&amp;"")</f>
        <v>Account &amp; KYC Services</v>
      </c>
      <c r="E64" s="7" t="str">
        <f aca="false">IF(INDEX(MASTER_DATABASE!$A$4:$A$1000,ROW()-3)="","",INDEX(MASTER_DATABASE!$E$4:$E$1000,ROW()-3)&amp;"")</f>
        <v>HDFC BC – Account Query / Complaint Assistance</v>
      </c>
      <c r="F64" s="7" t="str">
        <f aca="false">IF(INDEX(MASTER_DATABASE!$A$4:$A$1000,ROW()-3)="","",INDEX(MASTER_DATABASE!$F$4:$F$1000,ROW()-3)&amp;"")</f>
        <v>HDFC BC – खाता शिकायत / समस्या सहायता</v>
      </c>
      <c r="G64" s="7" t="str">
        <f aca="false">IF(INDEX(MASTER_DATABASE!$A$4:$A$1000,ROW()-3)="","",INDEX(MASTER_DATABASE!$AL$4:$AL$1000,ROW()-3)&amp;"")</f>
        <v>HDFC Bank BC Point</v>
      </c>
      <c r="H64" s="7" t="str">
        <f aca="false">IF(INDEX(MASTER_DATABASE!$A$4:$A$1000,ROW()-3)="","",INDEX(MASTER_DATABASE!$AM$4:$AM$1000,ROW()-3)&amp;"")</f>
        <v>Account &amp; KYC Services</v>
      </c>
      <c r="I64" s="7" t="str">
        <f aca="false">IF(INDEX(MASTER_DATABASE!$A$4:$A$1000,ROW()-3)="","",INDEX(MASTER_DATABASE!$AO$4:$AO$1000,ROW()-3)&amp;"")</f>
        <v>hdfc-bc-account-query-complaint-assistance</v>
      </c>
      <c r="J64" s="7" t="str">
        <f aca="false">IF(INDEX(MASTER_DATABASE!$A$4:$A$1000,ROW()-3)="","",INDEX(MASTER_DATABASE!$BD$4:$BD$1000,ROW()-3)&amp;"")</f>
        <v>/services/hdfc-bc-account-query-complaint-assistance</v>
      </c>
      <c r="K64" s="7" t="str">
        <f aca="false">IF(INDEX(MASTER_DATABASE!$A$4:$A$1000,ROW()-3)="","",INDEX(MASTER_DATABASE!$AX$4:$AX$1000,ROW()-3)&amp;"")</f>
        <v>HDFC BC – Account Query / Complaint Assistance Service | Devmobile Stores</v>
      </c>
      <c r="L64" s="7" t="str">
        <f aca="false">IF(INDEX(MASTER_DATABASE!$A$4:$A$1000,ROW()-3)="","",INDEX(MASTER_DATABASE!$AY$4:$AY$1000,ROW()-3)&amp;"")</f>
        <v>HDFC BC – Account Query / Complaint Assistance (HDFC BC – खाता शिकायत / समस्या सहायता) at Devmobile Stores and Common Service Center &amp; Aadhaar Centre. Check required documents, charges and process before you visit.</v>
      </c>
      <c r="M64" s="7" t="str">
        <f aca="false">IF(INDEX(MASTER_DATABASE!$A$4:$A$1000,ROW()-3)="","",INDEX(MASTER_DATABASE!$AN$4:$AN$1000,ROW()-3)&amp;"")</f>
        <v>HDFC BC – Account Query / Complaint Assistance, HDFC Bank BC Point, Devmobile Stores, HDFC BC – खाता शिकायत / समस्या सहायता, HDFC बैंक BC पॉइंट, सेवा</v>
      </c>
      <c r="N64" s="7" t="str">
        <f aca="false">IF(INDEX(MASTER_DATABASE!$A$4:$A$1000,ROW()-3)="","",INDEX(MASTER_DATABASE!$AZ$4:$AZ$1000,ROW()-3)&amp;"")</f>
        <v>HDFC BC – खाता शिकायत / समस्या सहायता, HDFC बैंक BC पॉइंट, सेवा</v>
      </c>
      <c r="O64" s="7" t="str">
        <f aca="false">IF(INDEX(MASTER_DATABASE!$A$4:$A$1000,ROW()-3)="","",INDEX(MASTER_DATABASE!$BA$4:$BA$1000,ROW()-3)&amp;"")</f>
        <v>HDFC BC – Account Query / Complaint Assistance, HDFC Bank BC Point, Devmobile Stores</v>
      </c>
      <c r="P64" s="11" t="str">
        <f aca="false">IF(INDEX(MASTER_DATABASE!$A$4:$A$1000,ROW()-3)="","",INDEX(MASTER_DATABASE!$AP$4:$AP$1000,ROW()-3)&amp;"")</f>
        <v>🗂️</v>
      </c>
      <c r="Q64" s="7" t="str">
        <f aca="false">IF(INDEX(MASTER_DATABASE!$A$4:$A$1000,ROW()-3)="","",INDEX(MASTER_DATABASE!$BB$4:$BB$1000,ROW()-3)&amp;"")</f>
        <v/>
      </c>
      <c r="R64" s="11" t="str">
        <f aca="false">IF(INDEX(MASTER_DATABASE!$A$4:$A$1000,ROW()-3)="","",INDEX(MASTER_DATABASE!$BC$4:$BC$1000,ROW()-3)&amp;"")</f>
        <v>🏦</v>
      </c>
      <c r="S64" s="11" t="n">
        <f aca="false">IF(INDEX(MASTER_DATABASE!$A$4:$A$1000,ROW()-3)="","",INDEX(MASTER_DATABASE!$AQ$4:$AQ$1000,ROW()-3))</f>
        <v>190</v>
      </c>
      <c r="T64" s="7" t="str">
        <f aca="false">IF(INDEX(MASTER_DATABASE!$A$4:$A$1000,ROW()-3)="","",INDEX(MASTER_DATABASE!$I$4:$I$1000,ROW()-3)&amp;"")</f>
        <v>To Verify</v>
      </c>
      <c r="U64" s="7" t="str">
        <f aca="false">IF(INDEX(MASTER_DATABASE!$A$4:$A$1000,ROW()-3)="","",INDEX(MASTER_DATABASE!$J$4:$J$1000,ROW()-3)&amp;"")</f>
        <v>To Be Confirmed</v>
      </c>
      <c r="V64" s="7" t="str">
        <f aca="false">IF(INDEX(MASTER_DATABASE!$A$4:$A$1000,ROW()-3)="","",INDEX(MASTER_DATABASE!$AG$4:$AG$1000,ROW()-3)&amp;"")</f>
        <v>To Verify</v>
      </c>
      <c r="W64" s="7" t="str">
        <f aca="false">IF(INDEX(MASTER_DATABASE!$A$4:$A$1000,ROW()-3)="","",INDEX(MASTER_DATABASE!$AH$4:$AH$1000,ROW()-3)&amp;"")</f>
        <v>No</v>
      </c>
      <c r="X64" s="7" t="str">
        <f aca="false">IF(INDEX(MASTER_DATABASE!$A$4:$A$1000,ROW()-3)="","",INDEX(MASTER_DATABASE!$AI$4:$AI$1000,ROW()-3)&amp;"")</f>
        <v>No</v>
      </c>
      <c r="Y64" s="7" t="str">
        <f aca="false">IF(INDEX(MASTER_DATABASE!$A$4:$A$1000,ROW()-3)="","",INDEX(MASTER_DATABASE!$AJ$4:$AJ$1000,ROW()-3)&amp;"")</f>
        <v>No</v>
      </c>
      <c r="Z64" s="7" t="str">
        <f aca="false">IF(INDEX(MASTER_DATABASE!$A$4:$A$1000,ROW()-3)="","",INDEX(MASTER_DATABASE!$AK$4:$AK$1000,ROW()-3)&amp;"")</f>
        <v>No</v>
      </c>
      <c r="AA64" s="7" t="str">
        <f aca="false">IF(INDEX(MASTER_DATABASE!$A$4:$A$1000,ROW()-3)="","",INDEX(MASTER_DATABASE!$BE$4:$BE$1000,ROW()-3)&amp;"")</f>
        <v>HIDDEN</v>
      </c>
    </row>
    <row r="65" customFormat="false" ht="57.45" hidden="false" customHeight="false" outlineLevel="0" collapsed="false">
      <c r="A65" s="11" t="str">
        <f aca="false">IF(INDEX(MASTER_DATABASE!$A$4:$A$1000,ROW()-3)="","",INDEX(MASTER_DATABASE!$A$4:$A$1000,ROW()-3)&amp;"")</f>
        <v>HDF-020</v>
      </c>
      <c r="B65" s="7" t="str">
        <f aca="false">IF(INDEX(MASTER_DATABASE!$A$4:$A$1000,ROW()-3)="","",INDEX(MASTER_DATABASE!$B$4:$B$1000,ROW()-3)&amp;"")</f>
        <v>HDFC Bank BC Point</v>
      </c>
      <c r="C65" s="7" t="str">
        <f aca="false">IF(INDEX(MASTER_DATABASE!$A$4:$A$1000,ROW()-3)="","",INDEX(MASTER_DATABASE!$C$4:$C$1000,ROW()-3)&amp;"")</f>
        <v>Banking Services</v>
      </c>
      <c r="D65" s="7" t="str">
        <f aca="false">IF(INDEX(MASTER_DATABASE!$A$4:$A$1000,ROW()-3)="","",INDEX(MASTER_DATABASE!$D$4:$D$1000,ROW()-3)&amp;"")</f>
        <v>Government Scheme Enrolment via Bank</v>
      </c>
      <c r="E65" s="7" t="str">
        <f aca="false">IF(INDEX(MASTER_DATABASE!$A$4:$A$1000,ROW()-3)="","",INDEX(MASTER_DATABASE!$E$4:$E$1000,ROW()-3)&amp;"")</f>
        <v>HDFC BC – PMJJBY / PMSBY Enrolment Assistance</v>
      </c>
      <c r="F65" s="7" t="str">
        <f aca="false">IF(INDEX(MASTER_DATABASE!$A$4:$A$1000,ROW()-3)="","",INDEX(MASTER_DATABASE!$F$4:$F$1000,ROW()-3)&amp;"")</f>
        <v>HDFC BC – PMJJBY / PMSBY नामांकन सहायता</v>
      </c>
      <c r="G65" s="7" t="str">
        <f aca="false">IF(INDEX(MASTER_DATABASE!$A$4:$A$1000,ROW()-3)="","",INDEX(MASTER_DATABASE!$AL$4:$AL$1000,ROW()-3)&amp;"")</f>
        <v>HDFC Bank BC Point</v>
      </c>
      <c r="H65" s="7" t="str">
        <f aca="false">IF(INDEX(MASTER_DATABASE!$A$4:$A$1000,ROW()-3)="","",INDEX(MASTER_DATABASE!$AM$4:$AM$1000,ROW()-3)&amp;"")</f>
        <v>Government Scheme Enrolment via Bank</v>
      </c>
      <c r="I65" s="7" t="str">
        <f aca="false">IF(INDEX(MASTER_DATABASE!$A$4:$A$1000,ROW()-3)="","",INDEX(MASTER_DATABASE!$AO$4:$AO$1000,ROW()-3)&amp;"")</f>
        <v>hdfc-bc-pmjjby-pmsby-enrolment-assistance</v>
      </c>
      <c r="J65" s="7" t="str">
        <f aca="false">IF(INDEX(MASTER_DATABASE!$A$4:$A$1000,ROW()-3)="","",INDEX(MASTER_DATABASE!$BD$4:$BD$1000,ROW()-3)&amp;"")</f>
        <v>/services/hdfc-bc-pmjjby-pmsby-enrolment-assistance</v>
      </c>
      <c r="K65" s="7" t="str">
        <f aca="false">IF(INDEX(MASTER_DATABASE!$A$4:$A$1000,ROW()-3)="","",INDEX(MASTER_DATABASE!$AX$4:$AX$1000,ROW()-3)&amp;"")</f>
        <v>HDFC BC – PMJJBY / PMSBY Enrolment Assistance Service | Devmobile Stores</v>
      </c>
      <c r="L65" s="7" t="str">
        <f aca="false">IF(INDEX(MASTER_DATABASE!$A$4:$A$1000,ROW()-3)="","",INDEX(MASTER_DATABASE!$AY$4:$AY$1000,ROW()-3)&amp;"")</f>
        <v>HDFC BC – PMJJBY / PMSBY Enrolment Assistance (HDFC BC – PMJJBY / PMSBY नामांकन सहायता) at Devmobile Stores and Common Service Center &amp; Aadhaar Centre. Check required documents, charges and process before you visit.</v>
      </c>
      <c r="M65" s="7" t="str">
        <f aca="false">IF(INDEX(MASTER_DATABASE!$A$4:$A$1000,ROW()-3)="","",INDEX(MASTER_DATABASE!$AN$4:$AN$1000,ROW()-3)&amp;"")</f>
        <v>HDFC BC – PMJJBY / PMSBY Enrolment Assistance, HDFC Bank BC Point, Devmobile Stores, HDFC BC – PMJJBY / PMSBY नामांकन सहायता, HDFC बैंक BC पॉइंट, सेवा</v>
      </c>
      <c r="N65" s="7" t="str">
        <f aca="false">IF(INDEX(MASTER_DATABASE!$A$4:$A$1000,ROW()-3)="","",INDEX(MASTER_DATABASE!$AZ$4:$AZ$1000,ROW()-3)&amp;"")</f>
        <v>HDFC BC – PMJJBY / PMSBY नामांकन सहायता, HDFC बैंक BC पॉइंट, सेवा</v>
      </c>
      <c r="O65" s="7" t="str">
        <f aca="false">IF(INDEX(MASTER_DATABASE!$A$4:$A$1000,ROW()-3)="","",INDEX(MASTER_DATABASE!$BA$4:$BA$1000,ROW()-3)&amp;"")</f>
        <v>HDFC BC – PMJJBY / PMSBY Enrolment Assistance, HDFC Bank BC Point, Devmobile Stores</v>
      </c>
      <c r="P65" s="11" t="str">
        <f aca="false">IF(INDEX(MASTER_DATABASE!$A$4:$A$1000,ROW()-3)="","",INDEX(MASTER_DATABASE!$AP$4:$AP$1000,ROW()-3)&amp;"")</f>
        <v>🏦</v>
      </c>
      <c r="Q65" s="7" t="str">
        <f aca="false">IF(INDEX(MASTER_DATABASE!$A$4:$A$1000,ROW()-3)="","",INDEX(MASTER_DATABASE!$BB$4:$BB$1000,ROW()-3)&amp;"")</f>
        <v/>
      </c>
      <c r="R65" s="11" t="str">
        <f aca="false">IF(INDEX(MASTER_DATABASE!$A$4:$A$1000,ROW()-3)="","",INDEX(MASTER_DATABASE!$BC$4:$BC$1000,ROW()-3)&amp;"")</f>
        <v>🏦</v>
      </c>
      <c r="S65" s="11" t="n">
        <f aca="false">IF(INDEX(MASTER_DATABASE!$A$4:$A$1000,ROW()-3)="","",INDEX(MASTER_DATABASE!$AQ$4:$AQ$1000,ROW()-3))</f>
        <v>200</v>
      </c>
      <c r="T65" s="7" t="str">
        <f aca="false">IF(INDEX(MASTER_DATABASE!$A$4:$A$1000,ROW()-3)="","",INDEX(MASTER_DATABASE!$I$4:$I$1000,ROW()-3)&amp;"")</f>
        <v>To Verify</v>
      </c>
      <c r="U65" s="7" t="str">
        <f aca="false">IF(INDEX(MASTER_DATABASE!$A$4:$A$1000,ROW()-3)="","",INDEX(MASTER_DATABASE!$J$4:$J$1000,ROW()-3)&amp;"")</f>
        <v>To Be Confirmed</v>
      </c>
      <c r="V65" s="7" t="str">
        <f aca="false">IF(INDEX(MASTER_DATABASE!$A$4:$A$1000,ROW()-3)="","",INDEX(MASTER_DATABASE!$AG$4:$AG$1000,ROW()-3)&amp;"")</f>
        <v>To Verify</v>
      </c>
      <c r="W65" s="7" t="str">
        <f aca="false">IF(INDEX(MASTER_DATABASE!$A$4:$A$1000,ROW()-3)="","",INDEX(MASTER_DATABASE!$AH$4:$AH$1000,ROW()-3)&amp;"")</f>
        <v>No</v>
      </c>
      <c r="X65" s="7" t="str">
        <f aca="false">IF(INDEX(MASTER_DATABASE!$A$4:$A$1000,ROW()-3)="","",INDEX(MASTER_DATABASE!$AI$4:$AI$1000,ROW()-3)&amp;"")</f>
        <v>No</v>
      </c>
      <c r="Y65" s="7" t="str">
        <f aca="false">IF(INDEX(MASTER_DATABASE!$A$4:$A$1000,ROW()-3)="","",INDEX(MASTER_DATABASE!$AJ$4:$AJ$1000,ROW()-3)&amp;"")</f>
        <v>No</v>
      </c>
      <c r="Z65" s="7" t="str">
        <f aca="false">IF(INDEX(MASTER_DATABASE!$A$4:$A$1000,ROW()-3)="","",INDEX(MASTER_DATABASE!$AK$4:$AK$1000,ROW()-3)&amp;"")</f>
        <v>No</v>
      </c>
      <c r="AA65" s="7" t="str">
        <f aca="false">IF(INDEX(MASTER_DATABASE!$A$4:$A$1000,ROW()-3)="","",INDEX(MASTER_DATABASE!$BE$4:$BE$1000,ROW()-3)&amp;"")</f>
        <v>HIDDEN</v>
      </c>
    </row>
    <row r="66" customFormat="false" ht="57.45" hidden="false" customHeight="false" outlineLevel="0" collapsed="false">
      <c r="A66" s="11" t="str">
        <f aca="false">IF(INDEX(MASTER_DATABASE!$A$4:$A$1000,ROW()-3)="","",INDEX(MASTER_DATABASE!$A$4:$A$1000,ROW()-3)&amp;"")</f>
        <v>HDF-021</v>
      </c>
      <c r="B66" s="7" t="str">
        <f aca="false">IF(INDEX(MASTER_DATABASE!$A$4:$A$1000,ROW()-3)="","",INDEX(MASTER_DATABASE!$B$4:$B$1000,ROW()-3)&amp;"")</f>
        <v>HDFC Bank BC Point</v>
      </c>
      <c r="C66" s="7" t="str">
        <f aca="false">IF(INDEX(MASTER_DATABASE!$A$4:$A$1000,ROW()-3)="","",INDEX(MASTER_DATABASE!$C$4:$C$1000,ROW()-3)&amp;"")</f>
        <v>Banking Services</v>
      </c>
      <c r="D66" s="7" t="str">
        <f aca="false">IF(INDEX(MASTER_DATABASE!$A$4:$A$1000,ROW()-3)="","",INDEX(MASTER_DATABASE!$D$4:$D$1000,ROW()-3)&amp;"")</f>
        <v>Government Scheme Enrolment via Bank</v>
      </c>
      <c r="E66" s="7" t="str">
        <f aca="false">IF(INDEX(MASTER_DATABASE!$A$4:$A$1000,ROW()-3)="","",INDEX(MASTER_DATABASE!$E$4:$E$1000,ROW()-3)&amp;"")</f>
        <v>HDFC BC – Atal Pension Yojana Enrolment Assistance</v>
      </c>
      <c r="F66" s="7" t="str">
        <f aca="false">IF(INDEX(MASTER_DATABASE!$A$4:$A$1000,ROW()-3)="","",INDEX(MASTER_DATABASE!$F$4:$F$1000,ROW()-3)&amp;"")</f>
        <v>HDFC BC – अटल पेंशन योजना नामांकन सहायता</v>
      </c>
      <c r="G66" s="7" t="str">
        <f aca="false">IF(INDEX(MASTER_DATABASE!$A$4:$A$1000,ROW()-3)="","",INDEX(MASTER_DATABASE!$AL$4:$AL$1000,ROW()-3)&amp;"")</f>
        <v>HDFC Bank BC Point</v>
      </c>
      <c r="H66" s="7" t="str">
        <f aca="false">IF(INDEX(MASTER_DATABASE!$A$4:$A$1000,ROW()-3)="","",INDEX(MASTER_DATABASE!$AM$4:$AM$1000,ROW()-3)&amp;"")</f>
        <v>Government Scheme Enrolment via Bank</v>
      </c>
      <c r="I66" s="7" t="str">
        <f aca="false">IF(INDEX(MASTER_DATABASE!$A$4:$A$1000,ROW()-3)="","",INDEX(MASTER_DATABASE!$AO$4:$AO$1000,ROW()-3)&amp;"")</f>
        <v>hdfc-bc-atal-pension-yojana-enrolment-assistance</v>
      </c>
      <c r="J66" s="7" t="str">
        <f aca="false">IF(INDEX(MASTER_DATABASE!$A$4:$A$1000,ROW()-3)="","",INDEX(MASTER_DATABASE!$BD$4:$BD$1000,ROW()-3)&amp;"")</f>
        <v>/services/hdfc-bc-atal-pension-yojana-enrolment-assistance</v>
      </c>
      <c r="K66" s="7" t="str">
        <f aca="false">IF(INDEX(MASTER_DATABASE!$A$4:$A$1000,ROW()-3)="","",INDEX(MASTER_DATABASE!$AX$4:$AX$1000,ROW()-3)&amp;"")</f>
        <v>HDFC BC – Atal Pension Yojana Enrolment Assistance Service | Devmobile Stores</v>
      </c>
      <c r="L66" s="7" t="str">
        <f aca="false">IF(INDEX(MASTER_DATABASE!$A$4:$A$1000,ROW()-3)="","",INDEX(MASTER_DATABASE!$AY$4:$AY$1000,ROW()-3)&amp;"")</f>
        <v>HDFC BC – Atal Pension Yojana Enrolment Assistance (HDFC BC – अटल पेंशन योजना नामांकन सहायता) at Devmobile Stores and Common Service Center &amp; Aadhaar Centre. Check required documents, charges and process before you visit.</v>
      </c>
      <c r="M66" s="7" t="str">
        <f aca="false">IF(INDEX(MASTER_DATABASE!$A$4:$A$1000,ROW()-3)="","",INDEX(MASTER_DATABASE!$AN$4:$AN$1000,ROW()-3)&amp;"")</f>
        <v>HDFC BC – Atal Pension Yojana Enrolment Assistance, HDFC Bank BC Point, Devmobile Stores, HDFC BC – अटल पेंशन योजना नामांकन सहायता, HDFC बैंक BC पॉइंट, सेवा</v>
      </c>
      <c r="N66" s="7" t="str">
        <f aca="false">IF(INDEX(MASTER_DATABASE!$A$4:$A$1000,ROW()-3)="","",INDEX(MASTER_DATABASE!$AZ$4:$AZ$1000,ROW()-3)&amp;"")</f>
        <v>HDFC BC – अटल पेंशन योजना नामांकन सहायता, HDFC बैंक BC पॉइंट, सेवा</v>
      </c>
      <c r="O66" s="7" t="str">
        <f aca="false">IF(INDEX(MASTER_DATABASE!$A$4:$A$1000,ROW()-3)="","",INDEX(MASTER_DATABASE!$BA$4:$BA$1000,ROW()-3)&amp;"")</f>
        <v>HDFC BC – Atal Pension Yojana Enrolment Assistance, HDFC Bank BC Point, Devmobile Stores</v>
      </c>
      <c r="P66" s="11" t="str">
        <f aca="false">IF(INDEX(MASTER_DATABASE!$A$4:$A$1000,ROW()-3)="","",INDEX(MASTER_DATABASE!$AP$4:$AP$1000,ROW()-3)&amp;"")</f>
        <v>🏦</v>
      </c>
      <c r="Q66" s="7" t="str">
        <f aca="false">IF(INDEX(MASTER_DATABASE!$A$4:$A$1000,ROW()-3)="","",INDEX(MASTER_DATABASE!$BB$4:$BB$1000,ROW()-3)&amp;"")</f>
        <v/>
      </c>
      <c r="R66" s="11" t="str">
        <f aca="false">IF(INDEX(MASTER_DATABASE!$A$4:$A$1000,ROW()-3)="","",INDEX(MASTER_DATABASE!$BC$4:$BC$1000,ROW()-3)&amp;"")</f>
        <v>🏦</v>
      </c>
      <c r="S66" s="11" t="n">
        <f aca="false">IF(INDEX(MASTER_DATABASE!$A$4:$A$1000,ROW()-3)="","",INDEX(MASTER_DATABASE!$AQ$4:$AQ$1000,ROW()-3))</f>
        <v>210</v>
      </c>
      <c r="T66" s="7" t="str">
        <f aca="false">IF(INDEX(MASTER_DATABASE!$A$4:$A$1000,ROW()-3)="","",INDEX(MASTER_DATABASE!$I$4:$I$1000,ROW()-3)&amp;"")</f>
        <v>To Verify</v>
      </c>
      <c r="U66" s="7" t="str">
        <f aca="false">IF(INDEX(MASTER_DATABASE!$A$4:$A$1000,ROW()-3)="","",INDEX(MASTER_DATABASE!$J$4:$J$1000,ROW()-3)&amp;"")</f>
        <v>To Be Confirmed</v>
      </c>
      <c r="V66" s="7" t="str">
        <f aca="false">IF(INDEX(MASTER_DATABASE!$A$4:$A$1000,ROW()-3)="","",INDEX(MASTER_DATABASE!$AG$4:$AG$1000,ROW()-3)&amp;"")</f>
        <v>To Verify</v>
      </c>
      <c r="W66" s="7" t="str">
        <f aca="false">IF(INDEX(MASTER_DATABASE!$A$4:$A$1000,ROW()-3)="","",INDEX(MASTER_DATABASE!$AH$4:$AH$1000,ROW()-3)&amp;"")</f>
        <v>No</v>
      </c>
      <c r="X66" s="7" t="str">
        <f aca="false">IF(INDEX(MASTER_DATABASE!$A$4:$A$1000,ROW()-3)="","",INDEX(MASTER_DATABASE!$AI$4:$AI$1000,ROW()-3)&amp;"")</f>
        <v>No</v>
      </c>
      <c r="Y66" s="7" t="str">
        <f aca="false">IF(INDEX(MASTER_DATABASE!$A$4:$A$1000,ROW()-3)="","",INDEX(MASTER_DATABASE!$AJ$4:$AJ$1000,ROW()-3)&amp;"")</f>
        <v>No</v>
      </c>
      <c r="Z66" s="7" t="str">
        <f aca="false">IF(INDEX(MASTER_DATABASE!$A$4:$A$1000,ROW()-3)="","",INDEX(MASTER_DATABASE!$AK$4:$AK$1000,ROW()-3)&amp;"")</f>
        <v>No</v>
      </c>
      <c r="AA66" s="7" t="str">
        <f aca="false">IF(INDEX(MASTER_DATABASE!$A$4:$A$1000,ROW()-3)="","",INDEX(MASTER_DATABASE!$BE$4:$BE$1000,ROW()-3)&amp;"")</f>
        <v>HIDDEN</v>
      </c>
    </row>
    <row r="67" customFormat="false" ht="46.25" hidden="false" customHeight="false" outlineLevel="0" collapsed="false">
      <c r="A67" s="11" t="str">
        <f aca="false">IF(INDEX(MASTER_DATABASE!$A$4:$A$1000,ROW()-3)="","",INDEX(MASTER_DATABASE!$A$4:$A$1000,ROW()-3)&amp;"")</f>
        <v>FIN-001</v>
      </c>
      <c r="B67" s="7" t="str">
        <f aca="false">IF(INDEX(MASTER_DATABASE!$A$4:$A$1000,ROW()-3)="","",INDEX(MASTER_DATABASE!$B$4:$B$1000,ROW()-3)&amp;"")</f>
        <v>FINO Payments Bank BC Point</v>
      </c>
      <c r="C67" s="7" t="str">
        <f aca="false">IF(INDEX(MASTER_DATABASE!$A$4:$A$1000,ROW()-3)="","",INDEX(MASTER_DATABASE!$C$4:$C$1000,ROW()-3)&amp;"")</f>
        <v>Banking Services</v>
      </c>
      <c r="D67" s="7" t="str">
        <f aca="false">IF(INDEX(MASTER_DATABASE!$A$4:$A$1000,ROW()-3)="","",INDEX(MASTER_DATABASE!$D$4:$D$1000,ROW()-3)&amp;"")</f>
        <v>Cash &amp; Balance Services</v>
      </c>
      <c r="E67" s="7" t="str">
        <f aca="false">IF(INDEX(MASTER_DATABASE!$A$4:$A$1000,ROW()-3)="","",INDEX(MASTER_DATABASE!$E$4:$E$1000,ROW()-3)&amp;"")</f>
        <v>FINO BC – Cash Deposit</v>
      </c>
      <c r="F67" s="7" t="str">
        <f aca="false">IF(INDEX(MASTER_DATABASE!$A$4:$A$1000,ROW()-3)="","",INDEX(MASTER_DATABASE!$F$4:$F$1000,ROW()-3)&amp;"")</f>
        <v>FINO BC – नकद जमा</v>
      </c>
      <c r="G67" s="7" t="str">
        <f aca="false">IF(INDEX(MASTER_DATABASE!$A$4:$A$1000,ROW()-3)="","",INDEX(MASTER_DATABASE!$AL$4:$AL$1000,ROW()-3)&amp;"")</f>
        <v>FINO Payments Bank BC Point</v>
      </c>
      <c r="H67" s="7" t="str">
        <f aca="false">IF(INDEX(MASTER_DATABASE!$A$4:$A$1000,ROW()-3)="","",INDEX(MASTER_DATABASE!$AM$4:$AM$1000,ROW()-3)&amp;"")</f>
        <v>Cash &amp; Balance Services</v>
      </c>
      <c r="I67" s="7" t="str">
        <f aca="false">IF(INDEX(MASTER_DATABASE!$A$4:$A$1000,ROW()-3)="","",INDEX(MASTER_DATABASE!$AO$4:$AO$1000,ROW()-3)&amp;"")</f>
        <v>fino-bc-cash-deposit</v>
      </c>
      <c r="J67" s="7" t="str">
        <f aca="false">IF(INDEX(MASTER_DATABASE!$A$4:$A$1000,ROW()-3)="","",INDEX(MASTER_DATABASE!$BD$4:$BD$1000,ROW()-3)&amp;"")</f>
        <v>/services/fino-bc-cash-deposit</v>
      </c>
      <c r="K67" s="7" t="str">
        <f aca="false">IF(INDEX(MASTER_DATABASE!$A$4:$A$1000,ROW()-3)="","",INDEX(MASTER_DATABASE!$AX$4:$AX$1000,ROW()-3)&amp;"")</f>
        <v>FINO BC – Cash Deposit Service | Devmobile Stores</v>
      </c>
      <c r="L67" s="7" t="str">
        <f aca="false">IF(INDEX(MASTER_DATABASE!$A$4:$A$1000,ROW()-3)="","",INDEX(MASTER_DATABASE!$AY$4:$AY$1000,ROW()-3)&amp;"")</f>
        <v>FINO BC – Cash Deposit (FINO BC – नकद जमा) at Devmobile Stores and Common Service Center &amp; Aadhaar Centre. Check required documents, charges and process before you visit.</v>
      </c>
      <c r="M67" s="7" t="str">
        <f aca="false">IF(INDEX(MASTER_DATABASE!$A$4:$A$1000,ROW()-3)="","",INDEX(MASTER_DATABASE!$AN$4:$AN$1000,ROW()-3)&amp;"")</f>
        <v>FINO BC – Cash Deposit, FINO Payments Bank BC Point, Devmobile Stores, FINO BC – नकद जमा, FINO पेमेंट्स बैंक BC पॉइंट, सेवा</v>
      </c>
      <c r="N67" s="7" t="str">
        <f aca="false">IF(INDEX(MASTER_DATABASE!$A$4:$A$1000,ROW()-3)="","",INDEX(MASTER_DATABASE!$AZ$4:$AZ$1000,ROW()-3)&amp;"")</f>
        <v>FINO BC – नकद जमा, FINO पेमेंट्स बैंक BC पॉइंट, सेवा</v>
      </c>
      <c r="O67" s="7" t="str">
        <f aca="false">IF(INDEX(MASTER_DATABASE!$A$4:$A$1000,ROW()-3)="","",INDEX(MASTER_DATABASE!$BA$4:$BA$1000,ROW()-3)&amp;"")</f>
        <v>FINO BC – Cash Deposit, FINO Payments Bank BC Point, Devmobile Stores</v>
      </c>
      <c r="P67" s="11" t="str">
        <f aca="false">IF(INDEX(MASTER_DATABASE!$A$4:$A$1000,ROW()-3)="","",INDEX(MASTER_DATABASE!$AP$4:$AP$1000,ROW()-3)&amp;"")</f>
        <v>💵</v>
      </c>
      <c r="Q67" s="7" t="str">
        <f aca="false">IF(INDEX(MASTER_DATABASE!$A$4:$A$1000,ROW()-3)="","",INDEX(MASTER_DATABASE!$BB$4:$BB$1000,ROW()-3)&amp;"")</f>
        <v/>
      </c>
      <c r="R67" s="11" t="str">
        <f aca="false">IF(INDEX(MASTER_DATABASE!$A$4:$A$1000,ROW()-3)="","",INDEX(MASTER_DATABASE!$BC$4:$BC$1000,ROW()-3)&amp;"")</f>
        <v>💳</v>
      </c>
      <c r="S67" s="11" t="n">
        <f aca="false">IF(INDEX(MASTER_DATABASE!$A$4:$A$1000,ROW()-3)="","",INDEX(MASTER_DATABASE!$AQ$4:$AQ$1000,ROW()-3))</f>
        <v>10</v>
      </c>
      <c r="T67" s="7" t="str">
        <f aca="false">IF(INDEX(MASTER_DATABASE!$A$4:$A$1000,ROW()-3)="","",INDEX(MASTER_DATABASE!$I$4:$I$1000,ROW()-3)&amp;"")</f>
        <v>Authorization Required</v>
      </c>
      <c r="U67" s="7" t="str">
        <f aca="false">IF(INDEX(MASTER_DATABASE!$A$4:$A$1000,ROW()-3)="","",INDEX(MASTER_DATABASE!$J$4:$J$1000,ROW()-3)&amp;"")</f>
        <v>Please Confirm at Shop</v>
      </c>
      <c r="V67" s="7" t="str">
        <f aca="false">IF(INDEX(MASTER_DATABASE!$A$4:$A$1000,ROW()-3)="","",INDEX(MASTER_DATABASE!$AG$4:$AG$1000,ROW()-3)&amp;"")</f>
        <v>To Verify</v>
      </c>
      <c r="W67" s="7" t="str">
        <f aca="false">IF(INDEX(MASTER_DATABASE!$A$4:$A$1000,ROW()-3)="","",INDEX(MASTER_DATABASE!$AH$4:$AH$1000,ROW()-3)&amp;"")</f>
        <v>No</v>
      </c>
      <c r="X67" s="7" t="str">
        <f aca="false">IF(INDEX(MASTER_DATABASE!$A$4:$A$1000,ROW()-3)="","",INDEX(MASTER_DATABASE!$AI$4:$AI$1000,ROW()-3)&amp;"")</f>
        <v>No</v>
      </c>
      <c r="Y67" s="7" t="str">
        <f aca="false">IF(INDEX(MASTER_DATABASE!$A$4:$A$1000,ROW()-3)="","",INDEX(MASTER_DATABASE!$AJ$4:$AJ$1000,ROW()-3)&amp;"")</f>
        <v>No</v>
      </c>
      <c r="Z67" s="7" t="str">
        <f aca="false">IF(INDEX(MASTER_DATABASE!$A$4:$A$1000,ROW()-3)="","",INDEX(MASTER_DATABASE!$AK$4:$AK$1000,ROW()-3)&amp;"")</f>
        <v>No</v>
      </c>
      <c r="AA67" s="7" t="str">
        <f aca="false">IF(INDEX(MASTER_DATABASE!$A$4:$A$1000,ROW()-3)="","",INDEX(MASTER_DATABASE!$BE$4:$BE$1000,ROW()-3)&amp;"")</f>
        <v>HIDDEN</v>
      </c>
    </row>
    <row r="68" customFormat="false" ht="46.25" hidden="false" customHeight="false" outlineLevel="0" collapsed="false">
      <c r="A68" s="11" t="str">
        <f aca="false">IF(INDEX(MASTER_DATABASE!$A$4:$A$1000,ROW()-3)="","",INDEX(MASTER_DATABASE!$A$4:$A$1000,ROW()-3)&amp;"")</f>
        <v>FIN-002</v>
      </c>
      <c r="B68" s="7" t="str">
        <f aca="false">IF(INDEX(MASTER_DATABASE!$A$4:$A$1000,ROW()-3)="","",INDEX(MASTER_DATABASE!$B$4:$B$1000,ROW()-3)&amp;"")</f>
        <v>FINO Payments Bank BC Point</v>
      </c>
      <c r="C68" s="7" t="str">
        <f aca="false">IF(INDEX(MASTER_DATABASE!$A$4:$A$1000,ROW()-3)="","",INDEX(MASTER_DATABASE!$C$4:$C$1000,ROW()-3)&amp;"")</f>
        <v>Banking Services</v>
      </c>
      <c r="D68" s="7" t="str">
        <f aca="false">IF(INDEX(MASTER_DATABASE!$A$4:$A$1000,ROW()-3)="","",INDEX(MASTER_DATABASE!$D$4:$D$1000,ROW()-3)&amp;"")</f>
        <v>Cash &amp; Balance Services</v>
      </c>
      <c r="E68" s="7" t="str">
        <f aca="false">IF(INDEX(MASTER_DATABASE!$A$4:$A$1000,ROW()-3)="","",INDEX(MASTER_DATABASE!$E$4:$E$1000,ROW()-3)&amp;"")</f>
        <v>FINO BC – Cash Withdrawal</v>
      </c>
      <c r="F68" s="7" t="str">
        <f aca="false">IF(INDEX(MASTER_DATABASE!$A$4:$A$1000,ROW()-3)="","",INDEX(MASTER_DATABASE!$F$4:$F$1000,ROW()-3)&amp;"")</f>
        <v>FINO BC – नकद निकासी</v>
      </c>
      <c r="G68" s="7" t="str">
        <f aca="false">IF(INDEX(MASTER_DATABASE!$A$4:$A$1000,ROW()-3)="","",INDEX(MASTER_DATABASE!$AL$4:$AL$1000,ROW()-3)&amp;"")</f>
        <v>FINO Payments Bank BC Point</v>
      </c>
      <c r="H68" s="7" t="str">
        <f aca="false">IF(INDEX(MASTER_DATABASE!$A$4:$A$1000,ROW()-3)="","",INDEX(MASTER_DATABASE!$AM$4:$AM$1000,ROW()-3)&amp;"")</f>
        <v>Cash &amp; Balance Services</v>
      </c>
      <c r="I68" s="7" t="str">
        <f aca="false">IF(INDEX(MASTER_DATABASE!$A$4:$A$1000,ROW()-3)="","",INDEX(MASTER_DATABASE!$AO$4:$AO$1000,ROW()-3)&amp;"")</f>
        <v>fino-bc-cash-withdrawal</v>
      </c>
      <c r="J68" s="7" t="str">
        <f aca="false">IF(INDEX(MASTER_DATABASE!$A$4:$A$1000,ROW()-3)="","",INDEX(MASTER_DATABASE!$BD$4:$BD$1000,ROW()-3)&amp;"")</f>
        <v>/services/fino-bc-cash-withdrawal</v>
      </c>
      <c r="K68" s="7" t="str">
        <f aca="false">IF(INDEX(MASTER_DATABASE!$A$4:$A$1000,ROW()-3)="","",INDEX(MASTER_DATABASE!$AX$4:$AX$1000,ROW()-3)&amp;"")</f>
        <v>FINO BC – Cash Withdrawal Service | Devmobile Stores</v>
      </c>
      <c r="L68" s="7" t="str">
        <f aca="false">IF(INDEX(MASTER_DATABASE!$A$4:$A$1000,ROW()-3)="","",INDEX(MASTER_DATABASE!$AY$4:$AY$1000,ROW()-3)&amp;"")</f>
        <v>FINO BC – Cash Withdrawal (FINO BC – नकद निकासी) at Devmobile Stores and Common Service Center &amp; Aadhaar Centre. Check required documents, charges and process before you visit.</v>
      </c>
      <c r="M68" s="7" t="str">
        <f aca="false">IF(INDEX(MASTER_DATABASE!$A$4:$A$1000,ROW()-3)="","",INDEX(MASTER_DATABASE!$AN$4:$AN$1000,ROW()-3)&amp;"")</f>
        <v>FINO BC – Cash Withdrawal, FINO Payments Bank BC Point, Devmobile Stores, FINO BC – नकद निकासी, FINO पेमेंट्स बैंक BC पॉइंट, सेवा</v>
      </c>
      <c r="N68" s="7" t="str">
        <f aca="false">IF(INDEX(MASTER_DATABASE!$A$4:$A$1000,ROW()-3)="","",INDEX(MASTER_DATABASE!$AZ$4:$AZ$1000,ROW()-3)&amp;"")</f>
        <v>FINO BC – नकद निकासी, FINO पेमेंट्स बैंक BC पॉइंट, सेवा</v>
      </c>
      <c r="O68" s="7" t="str">
        <f aca="false">IF(INDEX(MASTER_DATABASE!$A$4:$A$1000,ROW()-3)="","",INDEX(MASTER_DATABASE!$BA$4:$BA$1000,ROW()-3)&amp;"")</f>
        <v>FINO BC – Cash Withdrawal, FINO Payments Bank BC Point, Devmobile Stores</v>
      </c>
      <c r="P68" s="11" t="str">
        <f aca="false">IF(INDEX(MASTER_DATABASE!$A$4:$A$1000,ROW()-3)="","",INDEX(MASTER_DATABASE!$AP$4:$AP$1000,ROW()-3)&amp;"")</f>
        <v>💵</v>
      </c>
      <c r="Q68" s="7" t="str">
        <f aca="false">IF(INDEX(MASTER_DATABASE!$A$4:$A$1000,ROW()-3)="","",INDEX(MASTER_DATABASE!$BB$4:$BB$1000,ROW()-3)&amp;"")</f>
        <v/>
      </c>
      <c r="R68" s="11" t="str">
        <f aca="false">IF(INDEX(MASTER_DATABASE!$A$4:$A$1000,ROW()-3)="","",INDEX(MASTER_DATABASE!$BC$4:$BC$1000,ROW()-3)&amp;"")</f>
        <v>💳</v>
      </c>
      <c r="S68" s="11" t="n">
        <f aca="false">IF(INDEX(MASTER_DATABASE!$A$4:$A$1000,ROW()-3)="","",INDEX(MASTER_DATABASE!$AQ$4:$AQ$1000,ROW()-3))</f>
        <v>20</v>
      </c>
      <c r="T68" s="7" t="str">
        <f aca="false">IF(INDEX(MASTER_DATABASE!$A$4:$A$1000,ROW()-3)="","",INDEX(MASTER_DATABASE!$I$4:$I$1000,ROW()-3)&amp;"")</f>
        <v>Authorization Required</v>
      </c>
      <c r="U68" s="7" t="str">
        <f aca="false">IF(INDEX(MASTER_DATABASE!$A$4:$A$1000,ROW()-3)="","",INDEX(MASTER_DATABASE!$J$4:$J$1000,ROW()-3)&amp;"")</f>
        <v>Please Confirm at Shop</v>
      </c>
      <c r="V68" s="7" t="str">
        <f aca="false">IF(INDEX(MASTER_DATABASE!$A$4:$A$1000,ROW()-3)="","",INDEX(MASTER_DATABASE!$AG$4:$AG$1000,ROW()-3)&amp;"")</f>
        <v>To Verify</v>
      </c>
      <c r="W68" s="7" t="str">
        <f aca="false">IF(INDEX(MASTER_DATABASE!$A$4:$A$1000,ROW()-3)="","",INDEX(MASTER_DATABASE!$AH$4:$AH$1000,ROW()-3)&amp;"")</f>
        <v>No</v>
      </c>
      <c r="X68" s="7" t="str">
        <f aca="false">IF(INDEX(MASTER_DATABASE!$A$4:$A$1000,ROW()-3)="","",INDEX(MASTER_DATABASE!$AI$4:$AI$1000,ROW()-3)&amp;"")</f>
        <v>No</v>
      </c>
      <c r="Y68" s="7" t="str">
        <f aca="false">IF(INDEX(MASTER_DATABASE!$A$4:$A$1000,ROW()-3)="","",INDEX(MASTER_DATABASE!$AJ$4:$AJ$1000,ROW()-3)&amp;"")</f>
        <v>No</v>
      </c>
      <c r="Z68" s="7" t="str">
        <f aca="false">IF(INDEX(MASTER_DATABASE!$A$4:$A$1000,ROW()-3)="","",INDEX(MASTER_DATABASE!$AK$4:$AK$1000,ROW()-3)&amp;"")</f>
        <v>No</v>
      </c>
      <c r="AA68" s="7" t="str">
        <f aca="false">IF(INDEX(MASTER_DATABASE!$A$4:$A$1000,ROW()-3)="","",INDEX(MASTER_DATABASE!$BE$4:$BE$1000,ROW()-3)&amp;"")</f>
        <v>HIDDEN</v>
      </c>
    </row>
    <row r="69" customFormat="false" ht="46.25" hidden="false" customHeight="false" outlineLevel="0" collapsed="false">
      <c r="A69" s="11" t="str">
        <f aca="false">IF(INDEX(MASTER_DATABASE!$A$4:$A$1000,ROW()-3)="","",INDEX(MASTER_DATABASE!$A$4:$A$1000,ROW()-3)&amp;"")</f>
        <v>FIN-003</v>
      </c>
      <c r="B69" s="7" t="str">
        <f aca="false">IF(INDEX(MASTER_DATABASE!$A$4:$A$1000,ROW()-3)="","",INDEX(MASTER_DATABASE!$B$4:$B$1000,ROW()-3)&amp;"")</f>
        <v>FINO Payments Bank BC Point</v>
      </c>
      <c r="C69" s="7" t="str">
        <f aca="false">IF(INDEX(MASTER_DATABASE!$A$4:$A$1000,ROW()-3)="","",INDEX(MASTER_DATABASE!$C$4:$C$1000,ROW()-3)&amp;"")</f>
        <v>Banking Services</v>
      </c>
      <c r="D69" s="7" t="str">
        <f aca="false">IF(INDEX(MASTER_DATABASE!$A$4:$A$1000,ROW()-3)="","",INDEX(MASTER_DATABASE!$D$4:$D$1000,ROW()-3)&amp;"")</f>
        <v>Cash &amp; Balance Services</v>
      </c>
      <c r="E69" s="7" t="str">
        <f aca="false">IF(INDEX(MASTER_DATABASE!$A$4:$A$1000,ROW()-3)="","",INDEX(MASTER_DATABASE!$E$4:$E$1000,ROW()-3)&amp;"")</f>
        <v>FINO BC – Balance Enquiry</v>
      </c>
      <c r="F69" s="7" t="str">
        <f aca="false">IF(INDEX(MASTER_DATABASE!$A$4:$A$1000,ROW()-3)="","",INDEX(MASTER_DATABASE!$F$4:$F$1000,ROW()-3)&amp;"")</f>
        <v>FINO BC – बैलेंस पूछताछ</v>
      </c>
      <c r="G69" s="7" t="str">
        <f aca="false">IF(INDEX(MASTER_DATABASE!$A$4:$A$1000,ROW()-3)="","",INDEX(MASTER_DATABASE!$AL$4:$AL$1000,ROW()-3)&amp;"")</f>
        <v>FINO Payments Bank BC Point</v>
      </c>
      <c r="H69" s="7" t="str">
        <f aca="false">IF(INDEX(MASTER_DATABASE!$A$4:$A$1000,ROW()-3)="","",INDEX(MASTER_DATABASE!$AM$4:$AM$1000,ROW()-3)&amp;"")</f>
        <v>Cash &amp; Balance Services</v>
      </c>
      <c r="I69" s="7" t="str">
        <f aca="false">IF(INDEX(MASTER_DATABASE!$A$4:$A$1000,ROW()-3)="","",INDEX(MASTER_DATABASE!$AO$4:$AO$1000,ROW()-3)&amp;"")</f>
        <v>fino-bc-balance-enquiry</v>
      </c>
      <c r="J69" s="7" t="str">
        <f aca="false">IF(INDEX(MASTER_DATABASE!$A$4:$A$1000,ROW()-3)="","",INDEX(MASTER_DATABASE!$BD$4:$BD$1000,ROW()-3)&amp;"")</f>
        <v>/services/fino-bc-balance-enquiry</v>
      </c>
      <c r="K69" s="7" t="str">
        <f aca="false">IF(INDEX(MASTER_DATABASE!$A$4:$A$1000,ROW()-3)="","",INDEX(MASTER_DATABASE!$AX$4:$AX$1000,ROW()-3)&amp;"")</f>
        <v>FINO BC – Balance Enquiry Service | Devmobile Stores</v>
      </c>
      <c r="L69" s="7" t="str">
        <f aca="false">IF(INDEX(MASTER_DATABASE!$A$4:$A$1000,ROW()-3)="","",INDEX(MASTER_DATABASE!$AY$4:$AY$1000,ROW()-3)&amp;"")</f>
        <v>FINO BC – Balance Enquiry (FINO BC – बैलेंस पूछताछ) at Devmobile Stores and Common Service Center &amp; Aadhaar Centre. Check required documents, charges and process before you visit.</v>
      </c>
      <c r="M69" s="7" t="str">
        <f aca="false">IF(INDEX(MASTER_DATABASE!$A$4:$A$1000,ROW()-3)="","",INDEX(MASTER_DATABASE!$AN$4:$AN$1000,ROW()-3)&amp;"")</f>
        <v>FINO BC – Balance Enquiry, FINO Payments Bank BC Point, Devmobile Stores, FINO BC – बैलेंस पूछताछ, FINO पेमेंट्स बैंक BC पॉइंट, सेवा</v>
      </c>
      <c r="N69" s="7" t="str">
        <f aca="false">IF(INDEX(MASTER_DATABASE!$A$4:$A$1000,ROW()-3)="","",INDEX(MASTER_DATABASE!$AZ$4:$AZ$1000,ROW()-3)&amp;"")</f>
        <v>FINO BC – बैलेंस पूछताछ, FINO पेमेंट्स बैंक BC पॉइंट, सेवा</v>
      </c>
      <c r="O69" s="7" t="str">
        <f aca="false">IF(INDEX(MASTER_DATABASE!$A$4:$A$1000,ROW()-3)="","",INDEX(MASTER_DATABASE!$BA$4:$BA$1000,ROW()-3)&amp;"")</f>
        <v>FINO BC – Balance Enquiry, FINO Payments Bank BC Point, Devmobile Stores</v>
      </c>
      <c r="P69" s="11" t="str">
        <f aca="false">IF(INDEX(MASTER_DATABASE!$A$4:$A$1000,ROW()-3)="","",INDEX(MASTER_DATABASE!$AP$4:$AP$1000,ROW()-3)&amp;"")</f>
        <v>💵</v>
      </c>
      <c r="Q69" s="7" t="str">
        <f aca="false">IF(INDEX(MASTER_DATABASE!$A$4:$A$1000,ROW()-3)="","",INDEX(MASTER_DATABASE!$BB$4:$BB$1000,ROW()-3)&amp;"")</f>
        <v/>
      </c>
      <c r="R69" s="11" t="str">
        <f aca="false">IF(INDEX(MASTER_DATABASE!$A$4:$A$1000,ROW()-3)="","",INDEX(MASTER_DATABASE!$BC$4:$BC$1000,ROW()-3)&amp;"")</f>
        <v>💳</v>
      </c>
      <c r="S69" s="11" t="n">
        <f aca="false">IF(INDEX(MASTER_DATABASE!$A$4:$A$1000,ROW()-3)="","",INDEX(MASTER_DATABASE!$AQ$4:$AQ$1000,ROW()-3))</f>
        <v>30</v>
      </c>
      <c r="T69" s="7" t="str">
        <f aca="false">IF(INDEX(MASTER_DATABASE!$A$4:$A$1000,ROW()-3)="","",INDEX(MASTER_DATABASE!$I$4:$I$1000,ROW()-3)&amp;"")</f>
        <v>Authorization Required</v>
      </c>
      <c r="U69" s="7" t="str">
        <f aca="false">IF(INDEX(MASTER_DATABASE!$A$4:$A$1000,ROW()-3)="","",INDEX(MASTER_DATABASE!$J$4:$J$1000,ROW()-3)&amp;"")</f>
        <v>Please Confirm at Shop</v>
      </c>
      <c r="V69" s="7" t="str">
        <f aca="false">IF(INDEX(MASTER_DATABASE!$A$4:$A$1000,ROW()-3)="","",INDEX(MASTER_DATABASE!$AG$4:$AG$1000,ROW()-3)&amp;"")</f>
        <v>To Verify</v>
      </c>
      <c r="W69" s="7" t="str">
        <f aca="false">IF(INDEX(MASTER_DATABASE!$A$4:$A$1000,ROW()-3)="","",INDEX(MASTER_DATABASE!$AH$4:$AH$1000,ROW()-3)&amp;"")</f>
        <v>No</v>
      </c>
      <c r="X69" s="7" t="str">
        <f aca="false">IF(INDEX(MASTER_DATABASE!$A$4:$A$1000,ROW()-3)="","",INDEX(MASTER_DATABASE!$AI$4:$AI$1000,ROW()-3)&amp;"")</f>
        <v>No</v>
      </c>
      <c r="Y69" s="7" t="str">
        <f aca="false">IF(INDEX(MASTER_DATABASE!$A$4:$A$1000,ROW()-3)="","",INDEX(MASTER_DATABASE!$AJ$4:$AJ$1000,ROW()-3)&amp;"")</f>
        <v>No</v>
      </c>
      <c r="Z69" s="7" t="str">
        <f aca="false">IF(INDEX(MASTER_DATABASE!$A$4:$A$1000,ROW()-3)="","",INDEX(MASTER_DATABASE!$AK$4:$AK$1000,ROW()-3)&amp;"")</f>
        <v>No</v>
      </c>
      <c r="AA69" s="7" t="str">
        <f aca="false">IF(INDEX(MASTER_DATABASE!$A$4:$A$1000,ROW()-3)="","",INDEX(MASTER_DATABASE!$BE$4:$BE$1000,ROW()-3)&amp;"")</f>
        <v>HIDDEN</v>
      </c>
    </row>
    <row r="70" customFormat="false" ht="46.25" hidden="false" customHeight="false" outlineLevel="0" collapsed="false">
      <c r="A70" s="11" t="str">
        <f aca="false">IF(INDEX(MASTER_DATABASE!$A$4:$A$1000,ROW()-3)="","",INDEX(MASTER_DATABASE!$A$4:$A$1000,ROW()-3)&amp;"")</f>
        <v>FIN-004</v>
      </c>
      <c r="B70" s="7" t="str">
        <f aca="false">IF(INDEX(MASTER_DATABASE!$A$4:$A$1000,ROW()-3)="","",INDEX(MASTER_DATABASE!$B$4:$B$1000,ROW()-3)&amp;"")</f>
        <v>FINO Payments Bank BC Point</v>
      </c>
      <c r="C70" s="7" t="str">
        <f aca="false">IF(INDEX(MASTER_DATABASE!$A$4:$A$1000,ROW()-3)="","",INDEX(MASTER_DATABASE!$C$4:$C$1000,ROW()-3)&amp;"")</f>
        <v>Banking Services</v>
      </c>
      <c r="D70" s="7" t="str">
        <f aca="false">IF(INDEX(MASTER_DATABASE!$A$4:$A$1000,ROW()-3)="","",INDEX(MASTER_DATABASE!$D$4:$D$1000,ROW()-3)&amp;"")</f>
        <v>Cash &amp; Balance Services</v>
      </c>
      <c r="E70" s="7" t="str">
        <f aca="false">IF(INDEX(MASTER_DATABASE!$A$4:$A$1000,ROW()-3)="","",INDEX(MASTER_DATABASE!$E$4:$E$1000,ROW()-3)&amp;"")</f>
        <v>FINO BC – Mini Statement</v>
      </c>
      <c r="F70" s="7" t="str">
        <f aca="false">IF(INDEX(MASTER_DATABASE!$A$4:$A$1000,ROW()-3)="","",INDEX(MASTER_DATABASE!$F$4:$F$1000,ROW()-3)&amp;"")</f>
        <v>FINO BC – मिनी स्टेटमेंट</v>
      </c>
      <c r="G70" s="7" t="str">
        <f aca="false">IF(INDEX(MASTER_DATABASE!$A$4:$A$1000,ROW()-3)="","",INDEX(MASTER_DATABASE!$AL$4:$AL$1000,ROW()-3)&amp;"")</f>
        <v>FINO Payments Bank BC Point</v>
      </c>
      <c r="H70" s="7" t="str">
        <f aca="false">IF(INDEX(MASTER_DATABASE!$A$4:$A$1000,ROW()-3)="","",INDEX(MASTER_DATABASE!$AM$4:$AM$1000,ROW()-3)&amp;"")</f>
        <v>Cash &amp; Balance Services</v>
      </c>
      <c r="I70" s="7" t="str">
        <f aca="false">IF(INDEX(MASTER_DATABASE!$A$4:$A$1000,ROW()-3)="","",INDEX(MASTER_DATABASE!$AO$4:$AO$1000,ROW()-3)&amp;"")</f>
        <v>fino-bc-mini-statement</v>
      </c>
      <c r="J70" s="7" t="str">
        <f aca="false">IF(INDEX(MASTER_DATABASE!$A$4:$A$1000,ROW()-3)="","",INDEX(MASTER_DATABASE!$BD$4:$BD$1000,ROW()-3)&amp;"")</f>
        <v>/services/fino-bc-mini-statement</v>
      </c>
      <c r="K70" s="7" t="str">
        <f aca="false">IF(INDEX(MASTER_DATABASE!$A$4:$A$1000,ROW()-3)="","",INDEX(MASTER_DATABASE!$AX$4:$AX$1000,ROW()-3)&amp;"")</f>
        <v>FINO BC – Mini Statement Service | Devmobile Stores</v>
      </c>
      <c r="L70" s="7" t="str">
        <f aca="false">IF(INDEX(MASTER_DATABASE!$A$4:$A$1000,ROW()-3)="","",INDEX(MASTER_DATABASE!$AY$4:$AY$1000,ROW()-3)&amp;"")</f>
        <v>FINO BC – Mini Statement (FINO BC – मिनी स्टेटमेंट) at Devmobile Stores and Common Service Center &amp; Aadhaar Centre. Check required documents, charges and process before you visit.</v>
      </c>
      <c r="M70" s="7" t="str">
        <f aca="false">IF(INDEX(MASTER_DATABASE!$A$4:$A$1000,ROW()-3)="","",INDEX(MASTER_DATABASE!$AN$4:$AN$1000,ROW()-3)&amp;"")</f>
        <v>FINO BC – Mini Statement, FINO Payments Bank BC Point, Devmobile Stores, FINO BC – मिनी स्टेटमेंट, FINO पेमेंट्स बैंक BC पॉइंट, सेवा</v>
      </c>
      <c r="N70" s="7" t="str">
        <f aca="false">IF(INDEX(MASTER_DATABASE!$A$4:$A$1000,ROW()-3)="","",INDEX(MASTER_DATABASE!$AZ$4:$AZ$1000,ROW()-3)&amp;"")</f>
        <v>FINO BC – मिनी स्टेटमेंट, FINO पेमेंट्स बैंक BC पॉइंट, सेवा</v>
      </c>
      <c r="O70" s="7" t="str">
        <f aca="false">IF(INDEX(MASTER_DATABASE!$A$4:$A$1000,ROW()-3)="","",INDEX(MASTER_DATABASE!$BA$4:$BA$1000,ROW()-3)&amp;"")</f>
        <v>FINO BC – Mini Statement, FINO Payments Bank BC Point, Devmobile Stores</v>
      </c>
      <c r="P70" s="11" t="str">
        <f aca="false">IF(INDEX(MASTER_DATABASE!$A$4:$A$1000,ROW()-3)="","",INDEX(MASTER_DATABASE!$AP$4:$AP$1000,ROW()-3)&amp;"")</f>
        <v>💵</v>
      </c>
      <c r="Q70" s="7" t="str">
        <f aca="false">IF(INDEX(MASTER_DATABASE!$A$4:$A$1000,ROW()-3)="","",INDEX(MASTER_DATABASE!$BB$4:$BB$1000,ROW()-3)&amp;"")</f>
        <v/>
      </c>
      <c r="R70" s="11" t="str">
        <f aca="false">IF(INDEX(MASTER_DATABASE!$A$4:$A$1000,ROW()-3)="","",INDEX(MASTER_DATABASE!$BC$4:$BC$1000,ROW()-3)&amp;"")</f>
        <v>💳</v>
      </c>
      <c r="S70" s="11" t="n">
        <f aca="false">IF(INDEX(MASTER_DATABASE!$A$4:$A$1000,ROW()-3)="","",INDEX(MASTER_DATABASE!$AQ$4:$AQ$1000,ROW()-3))</f>
        <v>40</v>
      </c>
      <c r="T70" s="7" t="str">
        <f aca="false">IF(INDEX(MASTER_DATABASE!$A$4:$A$1000,ROW()-3)="","",INDEX(MASTER_DATABASE!$I$4:$I$1000,ROW()-3)&amp;"")</f>
        <v>Authorization Required</v>
      </c>
      <c r="U70" s="7" t="str">
        <f aca="false">IF(INDEX(MASTER_DATABASE!$A$4:$A$1000,ROW()-3)="","",INDEX(MASTER_DATABASE!$J$4:$J$1000,ROW()-3)&amp;"")</f>
        <v>Please Confirm at Shop</v>
      </c>
      <c r="V70" s="7" t="str">
        <f aca="false">IF(INDEX(MASTER_DATABASE!$A$4:$A$1000,ROW()-3)="","",INDEX(MASTER_DATABASE!$AG$4:$AG$1000,ROW()-3)&amp;"")</f>
        <v>To Verify</v>
      </c>
      <c r="W70" s="7" t="str">
        <f aca="false">IF(INDEX(MASTER_DATABASE!$A$4:$A$1000,ROW()-3)="","",INDEX(MASTER_DATABASE!$AH$4:$AH$1000,ROW()-3)&amp;"")</f>
        <v>No</v>
      </c>
      <c r="X70" s="7" t="str">
        <f aca="false">IF(INDEX(MASTER_DATABASE!$A$4:$A$1000,ROW()-3)="","",INDEX(MASTER_DATABASE!$AI$4:$AI$1000,ROW()-3)&amp;"")</f>
        <v>No</v>
      </c>
      <c r="Y70" s="7" t="str">
        <f aca="false">IF(INDEX(MASTER_DATABASE!$A$4:$A$1000,ROW()-3)="","",INDEX(MASTER_DATABASE!$AJ$4:$AJ$1000,ROW()-3)&amp;"")</f>
        <v>No</v>
      </c>
      <c r="Z70" s="7" t="str">
        <f aca="false">IF(INDEX(MASTER_DATABASE!$A$4:$A$1000,ROW()-3)="","",INDEX(MASTER_DATABASE!$AK$4:$AK$1000,ROW()-3)&amp;"")</f>
        <v>No</v>
      </c>
      <c r="AA70" s="7" t="str">
        <f aca="false">IF(INDEX(MASTER_DATABASE!$A$4:$A$1000,ROW()-3)="","",INDEX(MASTER_DATABASE!$BE$4:$BE$1000,ROW()-3)&amp;"")</f>
        <v>HIDDEN</v>
      </c>
    </row>
    <row r="71" customFormat="false" ht="46.25" hidden="false" customHeight="false" outlineLevel="0" collapsed="false">
      <c r="A71" s="11" t="str">
        <f aca="false">IF(INDEX(MASTER_DATABASE!$A$4:$A$1000,ROW()-3)="","",INDEX(MASTER_DATABASE!$A$4:$A$1000,ROW()-3)&amp;"")</f>
        <v>FIN-005</v>
      </c>
      <c r="B71" s="7" t="str">
        <f aca="false">IF(INDEX(MASTER_DATABASE!$A$4:$A$1000,ROW()-3)="","",INDEX(MASTER_DATABASE!$B$4:$B$1000,ROW()-3)&amp;"")</f>
        <v>FINO Payments Bank BC Point</v>
      </c>
      <c r="C71" s="7" t="str">
        <f aca="false">IF(INDEX(MASTER_DATABASE!$A$4:$A$1000,ROW()-3)="","",INDEX(MASTER_DATABASE!$C$4:$C$1000,ROW()-3)&amp;"")</f>
        <v>Banking Services</v>
      </c>
      <c r="D71" s="7" t="str">
        <f aca="false">IF(INDEX(MASTER_DATABASE!$A$4:$A$1000,ROW()-3)="","",INDEX(MASTER_DATABASE!$D$4:$D$1000,ROW()-3)&amp;"")</f>
        <v>AEPS / Biometric Banking</v>
      </c>
      <c r="E71" s="7" t="str">
        <f aca="false">IF(INDEX(MASTER_DATABASE!$A$4:$A$1000,ROW()-3)="","",INDEX(MASTER_DATABASE!$E$4:$E$1000,ROW()-3)&amp;"")</f>
        <v>FINO BC – AEPS Cash Withdrawal</v>
      </c>
      <c r="F71" s="7" t="str">
        <f aca="false">IF(INDEX(MASTER_DATABASE!$A$4:$A$1000,ROW()-3)="","",INDEX(MASTER_DATABASE!$F$4:$F$1000,ROW()-3)&amp;"")</f>
        <v>FINO BC – AEPS नकद निकासी</v>
      </c>
      <c r="G71" s="7" t="str">
        <f aca="false">IF(INDEX(MASTER_DATABASE!$A$4:$A$1000,ROW()-3)="","",INDEX(MASTER_DATABASE!$AL$4:$AL$1000,ROW()-3)&amp;"")</f>
        <v>FINO Payments Bank BC Point</v>
      </c>
      <c r="H71" s="7" t="str">
        <f aca="false">IF(INDEX(MASTER_DATABASE!$A$4:$A$1000,ROW()-3)="","",INDEX(MASTER_DATABASE!$AM$4:$AM$1000,ROW()-3)&amp;"")</f>
        <v>AEPS / Biometric Banking</v>
      </c>
      <c r="I71" s="7" t="str">
        <f aca="false">IF(INDEX(MASTER_DATABASE!$A$4:$A$1000,ROW()-3)="","",INDEX(MASTER_DATABASE!$AO$4:$AO$1000,ROW()-3)&amp;"")</f>
        <v>fino-bc-aeps-cash-withdrawal</v>
      </c>
      <c r="J71" s="7" t="str">
        <f aca="false">IF(INDEX(MASTER_DATABASE!$A$4:$A$1000,ROW()-3)="","",INDEX(MASTER_DATABASE!$BD$4:$BD$1000,ROW()-3)&amp;"")</f>
        <v>/services/fino-bc-aeps-cash-withdrawal</v>
      </c>
      <c r="K71" s="7" t="str">
        <f aca="false">IF(INDEX(MASTER_DATABASE!$A$4:$A$1000,ROW()-3)="","",INDEX(MASTER_DATABASE!$AX$4:$AX$1000,ROW()-3)&amp;"")</f>
        <v>FINO BC – AEPS Cash Withdrawal Service | Devmobile Stores</v>
      </c>
      <c r="L71" s="7" t="str">
        <f aca="false">IF(INDEX(MASTER_DATABASE!$A$4:$A$1000,ROW()-3)="","",INDEX(MASTER_DATABASE!$AY$4:$AY$1000,ROW()-3)&amp;"")</f>
        <v>FINO BC – AEPS Cash Withdrawal (FINO BC – AEPS नकद निकासी) at Devmobile Stores and Common Service Center &amp; Aadhaar Centre. Check required documents, charges and process before you visit.</v>
      </c>
      <c r="M71" s="7" t="str">
        <f aca="false">IF(INDEX(MASTER_DATABASE!$A$4:$A$1000,ROW()-3)="","",INDEX(MASTER_DATABASE!$AN$4:$AN$1000,ROW()-3)&amp;"")</f>
        <v>FINO BC – AEPS Cash Withdrawal, FINO Payments Bank BC Point, Devmobile Stores, FINO BC – AEPS नकद निकासी, FINO पेमेंट्स बैंक BC पॉइंट, सेवा</v>
      </c>
      <c r="N71" s="7" t="str">
        <f aca="false">IF(INDEX(MASTER_DATABASE!$A$4:$A$1000,ROW()-3)="","",INDEX(MASTER_DATABASE!$AZ$4:$AZ$1000,ROW()-3)&amp;"")</f>
        <v>FINO BC – AEPS नकद निकासी, FINO पेमेंट्स बैंक BC पॉइंट, सेवा</v>
      </c>
      <c r="O71" s="7" t="str">
        <f aca="false">IF(INDEX(MASTER_DATABASE!$A$4:$A$1000,ROW()-3)="","",INDEX(MASTER_DATABASE!$BA$4:$BA$1000,ROW()-3)&amp;"")</f>
        <v>FINO BC – AEPS Cash Withdrawal, FINO Payments Bank BC Point, Devmobile Stores</v>
      </c>
      <c r="P71" s="11" t="str">
        <f aca="false">IF(INDEX(MASTER_DATABASE!$A$4:$A$1000,ROW()-3)="","",INDEX(MASTER_DATABASE!$AP$4:$AP$1000,ROW()-3)&amp;"")</f>
        <v>👆</v>
      </c>
      <c r="Q71" s="7" t="str">
        <f aca="false">IF(INDEX(MASTER_DATABASE!$A$4:$A$1000,ROW()-3)="","",INDEX(MASTER_DATABASE!$BB$4:$BB$1000,ROW()-3)&amp;"")</f>
        <v/>
      </c>
      <c r="R71" s="11" t="str">
        <f aca="false">IF(INDEX(MASTER_DATABASE!$A$4:$A$1000,ROW()-3)="","",INDEX(MASTER_DATABASE!$BC$4:$BC$1000,ROW()-3)&amp;"")</f>
        <v>💳</v>
      </c>
      <c r="S71" s="11" t="n">
        <f aca="false">IF(INDEX(MASTER_DATABASE!$A$4:$A$1000,ROW()-3)="","",INDEX(MASTER_DATABASE!$AQ$4:$AQ$1000,ROW()-3))</f>
        <v>50</v>
      </c>
      <c r="T71" s="7" t="str">
        <f aca="false">IF(INDEX(MASTER_DATABASE!$A$4:$A$1000,ROW()-3)="","",INDEX(MASTER_DATABASE!$I$4:$I$1000,ROW()-3)&amp;"")</f>
        <v>Authorization Required</v>
      </c>
      <c r="U71" s="7" t="str">
        <f aca="false">IF(INDEX(MASTER_DATABASE!$A$4:$A$1000,ROW()-3)="","",INDEX(MASTER_DATABASE!$J$4:$J$1000,ROW()-3)&amp;"")</f>
        <v>Please Confirm at Shop</v>
      </c>
      <c r="V71" s="7" t="str">
        <f aca="false">IF(INDEX(MASTER_DATABASE!$A$4:$A$1000,ROW()-3)="","",INDEX(MASTER_DATABASE!$AG$4:$AG$1000,ROW()-3)&amp;"")</f>
        <v>To Verify</v>
      </c>
      <c r="W71" s="7" t="str">
        <f aca="false">IF(INDEX(MASTER_DATABASE!$A$4:$A$1000,ROW()-3)="","",INDEX(MASTER_DATABASE!$AH$4:$AH$1000,ROW()-3)&amp;"")</f>
        <v>No</v>
      </c>
      <c r="X71" s="7" t="str">
        <f aca="false">IF(INDEX(MASTER_DATABASE!$A$4:$A$1000,ROW()-3)="","",INDEX(MASTER_DATABASE!$AI$4:$AI$1000,ROW()-3)&amp;"")</f>
        <v>No</v>
      </c>
      <c r="Y71" s="7" t="str">
        <f aca="false">IF(INDEX(MASTER_DATABASE!$A$4:$A$1000,ROW()-3)="","",INDEX(MASTER_DATABASE!$AJ$4:$AJ$1000,ROW()-3)&amp;"")</f>
        <v>No</v>
      </c>
      <c r="Z71" s="7" t="str">
        <f aca="false">IF(INDEX(MASTER_DATABASE!$A$4:$A$1000,ROW()-3)="","",INDEX(MASTER_DATABASE!$AK$4:$AK$1000,ROW()-3)&amp;"")</f>
        <v>No</v>
      </c>
      <c r="AA71" s="7" t="str">
        <f aca="false">IF(INDEX(MASTER_DATABASE!$A$4:$A$1000,ROW()-3)="","",INDEX(MASTER_DATABASE!$BE$4:$BE$1000,ROW()-3)&amp;"")</f>
        <v>HIDDEN</v>
      </c>
    </row>
    <row r="72" customFormat="false" ht="46.25" hidden="false" customHeight="false" outlineLevel="0" collapsed="false">
      <c r="A72" s="11" t="str">
        <f aca="false">IF(INDEX(MASTER_DATABASE!$A$4:$A$1000,ROW()-3)="","",INDEX(MASTER_DATABASE!$A$4:$A$1000,ROW()-3)&amp;"")</f>
        <v>FIN-006</v>
      </c>
      <c r="B72" s="7" t="str">
        <f aca="false">IF(INDEX(MASTER_DATABASE!$A$4:$A$1000,ROW()-3)="","",INDEX(MASTER_DATABASE!$B$4:$B$1000,ROW()-3)&amp;"")</f>
        <v>FINO Payments Bank BC Point</v>
      </c>
      <c r="C72" s="7" t="str">
        <f aca="false">IF(INDEX(MASTER_DATABASE!$A$4:$A$1000,ROW()-3)="","",INDEX(MASTER_DATABASE!$C$4:$C$1000,ROW()-3)&amp;"")</f>
        <v>Banking Services</v>
      </c>
      <c r="D72" s="7" t="str">
        <f aca="false">IF(INDEX(MASTER_DATABASE!$A$4:$A$1000,ROW()-3)="","",INDEX(MASTER_DATABASE!$D$4:$D$1000,ROW()-3)&amp;"")</f>
        <v>AEPS / Biometric Banking</v>
      </c>
      <c r="E72" s="7" t="str">
        <f aca="false">IF(INDEX(MASTER_DATABASE!$A$4:$A$1000,ROW()-3)="","",INDEX(MASTER_DATABASE!$E$4:$E$1000,ROW()-3)&amp;"")</f>
        <v>FINO BC – AEPS Balance Enquiry</v>
      </c>
      <c r="F72" s="7" t="str">
        <f aca="false">IF(INDEX(MASTER_DATABASE!$A$4:$A$1000,ROW()-3)="","",INDEX(MASTER_DATABASE!$F$4:$F$1000,ROW()-3)&amp;"")</f>
        <v>FINO BC – AEPS बैलेंस पूछताछ</v>
      </c>
      <c r="G72" s="7" t="str">
        <f aca="false">IF(INDEX(MASTER_DATABASE!$A$4:$A$1000,ROW()-3)="","",INDEX(MASTER_DATABASE!$AL$4:$AL$1000,ROW()-3)&amp;"")</f>
        <v>FINO Payments Bank BC Point</v>
      </c>
      <c r="H72" s="7" t="str">
        <f aca="false">IF(INDEX(MASTER_DATABASE!$A$4:$A$1000,ROW()-3)="","",INDEX(MASTER_DATABASE!$AM$4:$AM$1000,ROW()-3)&amp;"")</f>
        <v>AEPS / Biometric Banking</v>
      </c>
      <c r="I72" s="7" t="str">
        <f aca="false">IF(INDEX(MASTER_DATABASE!$A$4:$A$1000,ROW()-3)="","",INDEX(MASTER_DATABASE!$AO$4:$AO$1000,ROW()-3)&amp;"")</f>
        <v>fino-bc-aeps-balance-enquiry</v>
      </c>
      <c r="J72" s="7" t="str">
        <f aca="false">IF(INDEX(MASTER_DATABASE!$A$4:$A$1000,ROW()-3)="","",INDEX(MASTER_DATABASE!$BD$4:$BD$1000,ROW()-3)&amp;"")</f>
        <v>/services/fino-bc-aeps-balance-enquiry</v>
      </c>
      <c r="K72" s="7" t="str">
        <f aca="false">IF(INDEX(MASTER_DATABASE!$A$4:$A$1000,ROW()-3)="","",INDEX(MASTER_DATABASE!$AX$4:$AX$1000,ROW()-3)&amp;"")</f>
        <v>FINO BC – AEPS Balance Enquiry Service | Devmobile Stores</v>
      </c>
      <c r="L72" s="7" t="str">
        <f aca="false">IF(INDEX(MASTER_DATABASE!$A$4:$A$1000,ROW()-3)="","",INDEX(MASTER_DATABASE!$AY$4:$AY$1000,ROW()-3)&amp;"")</f>
        <v>FINO BC – AEPS Balance Enquiry (FINO BC – AEPS बैलेंस पूछताछ) at Devmobile Stores and Common Service Center &amp; Aadhaar Centre. Check required documents, charges and process before you visit.</v>
      </c>
      <c r="M72" s="7" t="str">
        <f aca="false">IF(INDEX(MASTER_DATABASE!$A$4:$A$1000,ROW()-3)="","",INDEX(MASTER_DATABASE!$AN$4:$AN$1000,ROW()-3)&amp;"")</f>
        <v>FINO BC – AEPS Balance Enquiry, FINO Payments Bank BC Point, Devmobile Stores, FINO BC – AEPS बैलेंस पूछताछ, FINO पेमेंट्स बैंक BC पॉइंट, सेवा</v>
      </c>
      <c r="N72" s="7" t="str">
        <f aca="false">IF(INDEX(MASTER_DATABASE!$A$4:$A$1000,ROW()-3)="","",INDEX(MASTER_DATABASE!$AZ$4:$AZ$1000,ROW()-3)&amp;"")</f>
        <v>FINO BC – AEPS बैलेंस पूछताछ, FINO पेमेंट्स बैंक BC पॉइंट, सेवा</v>
      </c>
      <c r="O72" s="7" t="str">
        <f aca="false">IF(INDEX(MASTER_DATABASE!$A$4:$A$1000,ROW()-3)="","",INDEX(MASTER_DATABASE!$BA$4:$BA$1000,ROW()-3)&amp;"")</f>
        <v>FINO BC – AEPS Balance Enquiry, FINO Payments Bank BC Point, Devmobile Stores</v>
      </c>
      <c r="P72" s="11" t="str">
        <f aca="false">IF(INDEX(MASTER_DATABASE!$A$4:$A$1000,ROW()-3)="","",INDEX(MASTER_DATABASE!$AP$4:$AP$1000,ROW()-3)&amp;"")</f>
        <v>👆</v>
      </c>
      <c r="Q72" s="7" t="str">
        <f aca="false">IF(INDEX(MASTER_DATABASE!$A$4:$A$1000,ROW()-3)="","",INDEX(MASTER_DATABASE!$BB$4:$BB$1000,ROW()-3)&amp;"")</f>
        <v/>
      </c>
      <c r="R72" s="11" t="str">
        <f aca="false">IF(INDEX(MASTER_DATABASE!$A$4:$A$1000,ROW()-3)="","",INDEX(MASTER_DATABASE!$BC$4:$BC$1000,ROW()-3)&amp;"")</f>
        <v>💳</v>
      </c>
      <c r="S72" s="11" t="n">
        <f aca="false">IF(INDEX(MASTER_DATABASE!$A$4:$A$1000,ROW()-3)="","",INDEX(MASTER_DATABASE!$AQ$4:$AQ$1000,ROW()-3))</f>
        <v>60</v>
      </c>
      <c r="T72" s="7" t="str">
        <f aca="false">IF(INDEX(MASTER_DATABASE!$A$4:$A$1000,ROW()-3)="","",INDEX(MASTER_DATABASE!$I$4:$I$1000,ROW()-3)&amp;"")</f>
        <v>Authorization Required</v>
      </c>
      <c r="U72" s="7" t="str">
        <f aca="false">IF(INDEX(MASTER_DATABASE!$A$4:$A$1000,ROW()-3)="","",INDEX(MASTER_DATABASE!$J$4:$J$1000,ROW()-3)&amp;"")</f>
        <v>Please Confirm at Shop</v>
      </c>
      <c r="V72" s="7" t="str">
        <f aca="false">IF(INDEX(MASTER_DATABASE!$A$4:$A$1000,ROW()-3)="","",INDEX(MASTER_DATABASE!$AG$4:$AG$1000,ROW()-3)&amp;"")</f>
        <v>To Verify</v>
      </c>
      <c r="W72" s="7" t="str">
        <f aca="false">IF(INDEX(MASTER_DATABASE!$A$4:$A$1000,ROW()-3)="","",INDEX(MASTER_DATABASE!$AH$4:$AH$1000,ROW()-3)&amp;"")</f>
        <v>No</v>
      </c>
      <c r="X72" s="7" t="str">
        <f aca="false">IF(INDEX(MASTER_DATABASE!$A$4:$A$1000,ROW()-3)="","",INDEX(MASTER_DATABASE!$AI$4:$AI$1000,ROW()-3)&amp;"")</f>
        <v>No</v>
      </c>
      <c r="Y72" s="7" t="str">
        <f aca="false">IF(INDEX(MASTER_DATABASE!$A$4:$A$1000,ROW()-3)="","",INDEX(MASTER_DATABASE!$AJ$4:$AJ$1000,ROW()-3)&amp;"")</f>
        <v>No</v>
      </c>
      <c r="Z72" s="7" t="str">
        <f aca="false">IF(INDEX(MASTER_DATABASE!$A$4:$A$1000,ROW()-3)="","",INDEX(MASTER_DATABASE!$AK$4:$AK$1000,ROW()-3)&amp;"")</f>
        <v>No</v>
      </c>
      <c r="AA72" s="7" t="str">
        <f aca="false">IF(INDEX(MASTER_DATABASE!$A$4:$A$1000,ROW()-3)="","",INDEX(MASTER_DATABASE!$BE$4:$BE$1000,ROW()-3)&amp;"")</f>
        <v>HIDDEN</v>
      </c>
    </row>
    <row r="73" customFormat="false" ht="46.25" hidden="false" customHeight="false" outlineLevel="0" collapsed="false">
      <c r="A73" s="11" t="str">
        <f aca="false">IF(INDEX(MASTER_DATABASE!$A$4:$A$1000,ROW()-3)="","",INDEX(MASTER_DATABASE!$A$4:$A$1000,ROW()-3)&amp;"")</f>
        <v>FIN-007</v>
      </c>
      <c r="B73" s="7" t="str">
        <f aca="false">IF(INDEX(MASTER_DATABASE!$A$4:$A$1000,ROW()-3)="","",INDEX(MASTER_DATABASE!$B$4:$B$1000,ROW()-3)&amp;"")</f>
        <v>FINO Payments Bank BC Point</v>
      </c>
      <c r="C73" s="7" t="str">
        <f aca="false">IF(INDEX(MASTER_DATABASE!$A$4:$A$1000,ROW()-3)="","",INDEX(MASTER_DATABASE!$C$4:$C$1000,ROW()-3)&amp;"")</f>
        <v>Banking Services</v>
      </c>
      <c r="D73" s="7" t="str">
        <f aca="false">IF(INDEX(MASTER_DATABASE!$A$4:$A$1000,ROW()-3)="","",INDEX(MASTER_DATABASE!$D$4:$D$1000,ROW()-3)&amp;"")</f>
        <v>AEPS / Biometric Banking</v>
      </c>
      <c r="E73" s="7" t="str">
        <f aca="false">IF(INDEX(MASTER_DATABASE!$A$4:$A$1000,ROW()-3)="","",INDEX(MASTER_DATABASE!$E$4:$E$1000,ROW()-3)&amp;"")</f>
        <v>FINO BC – AEPS Mini Statement</v>
      </c>
      <c r="F73" s="7" t="str">
        <f aca="false">IF(INDEX(MASTER_DATABASE!$A$4:$A$1000,ROW()-3)="","",INDEX(MASTER_DATABASE!$F$4:$F$1000,ROW()-3)&amp;"")</f>
        <v>FINO BC – AEPS मिनी स्टेटमेंट</v>
      </c>
      <c r="G73" s="7" t="str">
        <f aca="false">IF(INDEX(MASTER_DATABASE!$A$4:$A$1000,ROW()-3)="","",INDEX(MASTER_DATABASE!$AL$4:$AL$1000,ROW()-3)&amp;"")</f>
        <v>FINO Payments Bank BC Point</v>
      </c>
      <c r="H73" s="7" t="str">
        <f aca="false">IF(INDEX(MASTER_DATABASE!$A$4:$A$1000,ROW()-3)="","",INDEX(MASTER_DATABASE!$AM$4:$AM$1000,ROW()-3)&amp;"")</f>
        <v>AEPS / Biometric Banking</v>
      </c>
      <c r="I73" s="7" t="str">
        <f aca="false">IF(INDEX(MASTER_DATABASE!$A$4:$A$1000,ROW()-3)="","",INDEX(MASTER_DATABASE!$AO$4:$AO$1000,ROW()-3)&amp;"")</f>
        <v>fino-bc-aeps-mini-statement</v>
      </c>
      <c r="J73" s="7" t="str">
        <f aca="false">IF(INDEX(MASTER_DATABASE!$A$4:$A$1000,ROW()-3)="","",INDEX(MASTER_DATABASE!$BD$4:$BD$1000,ROW()-3)&amp;"")</f>
        <v>/services/fino-bc-aeps-mini-statement</v>
      </c>
      <c r="K73" s="7" t="str">
        <f aca="false">IF(INDEX(MASTER_DATABASE!$A$4:$A$1000,ROW()-3)="","",INDEX(MASTER_DATABASE!$AX$4:$AX$1000,ROW()-3)&amp;"")</f>
        <v>FINO BC – AEPS Mini Statement Service | Devmobile Stores</v>
      </c>
      <c r="L73" s="7" t="str">
        <f aca="false">IF(INDEX(MASTER_DATABASE!$A$4:$A$1000,ROW()-3)="","",INDEX(MASTER_DATABASE!$AY$4:$AY$1000,ROW()-3)&amp;"")</f>
        <v>FINO BC – AEPS Mini Statement (FINO BC – AEPS मिनी स्टेटमेंट) at Devmobile Stores and Common Service Center &amp; Aadhaar Centre. Check required documents, charges and process before you visit.</v>
      </c>
      <c r="M73" s="7" t="str">
        <f aca="false">IF(INDEX(MASTER_DATABASE!$A$4:$A$1000,ROW()-3)="","",INDEX(MASTER_DATABASE!$AN$4:$AN$1000,ROW()-3)&amp;"")</f>
        <v>FINO BC – AEPS Mini Statement, FINO Payments Bank BC Point, Devmobile Stores, FINO BC – AEPS मिनी स्टेटमेंट, FINO पेमेंट्स बैंक BC पॉइंट, सेवा</v>
      </c>
      <c r="N73" s="7" t="str">
        <f aca="false">IF(INDEX(MASTER_DATABASE!$A$4:$A$1000,ROW()-3)="","",INDEX(MASTER_DATABASE!$AZ$4:$AZ$1000,ROW()-3)&amp;"")</f>
        <v>FINO BC – AEPS मिनी स्टेटमेंट, FINO पेमेंट्स बैंक BC पॉइंट, सेवा</v>
      </c>
      <c r="O73" s="7" t="str">
        <f aca="false">IF(INDEX(MASTER_DATABASE!$A$4:$A$1000,ROW()-3)="","",INDEX(MASTER_DATABASE!$BA$4:$BA$1000,ROW()-3)&amp;"")</f>
        <v>FINO BC – AEPS Mini Statement, FINO Payments Bank BC Point, Devmobile Stores</v>
      </c>
      <c r="P73" s="11" t="str">
        <f aca="false">IF(INDEX(MASTER_DATABASE!$A$4:$A$1000,ROW()-3)="","",INDEX(MASTER_DATABASE!$AP$4:$AP$1000,ROW()-3)&amp;"")</f>
        <v>👆</v>
      </c>
      <c r="Q73" s="7" t="str">
        <f aca="false">IF(INDEX(MASTER_DATABASE!$A$4:$A$1000,ROW()-3)="","",INDEX(MASTER_DATABASE!$BB$4:$BB$1000,ROW()-3)&amp;"")</f>
        <v/>
      </c>
      <c r="R73" s="11" t="str">
        <f aca="false">IF(INDEX(MASTER_DATABASE!$A$4:$A$1000,ROW()-3)="","",INDEX(MASTER_DATABASE!$BC$4:$BC$1000,ROW()-3)&amp;"")</f>
        <v>💳</v>
      </c>
      <c r="S73" s="11" t="n">
        <f aca="false">IF(INDEX(MASTER_DATABASE!$A$4:$A$1000,ROW()-3)="","",INDEX(MASTER_DATABASE!$AQ$4:$AQ$1000,ROW()-3))</f>
        <v>70</v>
      </c>
      <c r="T73" s="7" t="str">
        <f aca="false">IF(INDEX(MASTER_DATABASE!$A$4:$A$1000,ROW()-3)="","",INDEX(MASTER_DATABASE!$I$4:$I$1000,ROW()-3)&amp;"")</f>
        <v>Authorization Required</v>
      </c>
      <c r="U73" s="7" t="str">
        <f aca="false">IF(INDEX(MASTER_DATABASE!$A$4:$A$1000,ROW()-3)="","",INDEX(MASTER_DATABASE!$J$4:$J$1000,ROW()-3)&amp;"")</f>
        <v>Please Confirm at Shop</v>
      </c>
      <c r="V73" s="7" t="str">
        <f aca="false">IF(INDEX(MASTER_DATABASE!$A$4:$A$1000,ROW()-3)="","",INDEX(MASTER_DATABASE!$AG$4:$AG$1000,ROW()-3)&amp;"")</f>
        <v>To Verify</v>
      </c>
      <c r="W73" s="7" t="str">
        <f aca="false">IF(INDEX(MASTER_DATABASE!$A$4:$A$1000,ROW()-3)="","",INDEX(MASTER_DATABASE!$AH$4:$AH$1000,ROW()-3)&amp;"")</f>
        <v>No</v>
      </c>
      <c r="X73" s="7" t="str">
        <f aca="false">IF(INDEX(MASTER_DATABASE!$A$4:$A$1000,ROW()-3)="","",INDEX(MASTER_DATABASE!$AI$4:$AI$1000,ROW()-3)&amp;"")</f>
        <v>No</v>
      </c>
      <c r="Y73" s="7" t="str">
        <f aca="false">IF(INDEX(MASTER_DATABASE!$A$4:$A$1000,ROW()-3)="","",INDEX(MASTER_DATABASE!$AJ$4:$AJ$1000,ROW()-3)&amp;"")</f>
        <v>No</v>
      </c>
      <c r="Z73" s="7" t="str">
        <f aca="false">IF(INDEX(MASTER_DATABASE!$A$4:$A$1000,ROW()-3)="","",INDEX(MASTER_DATABASE!$AK$4:$AK$1000,ROW()-3)&amp;"")</f>
        <v>No</v>
      </c>
      <c r="AA73" s="7" t="str">
        <f aca="false">IF(INDEX(MASTER_DATABASE!$A$4:$A$1000,ROW()-3)="","",INDEX(MASTER_DATABASE!$BE$4:$BE$1000,ROW()-3)&amp;"")</f>
        <v>HIDDEN</v>
      </c>
    </row>
    <row r="74" customFormat="false" ht="57.45" hidden="false" customHeight="false" outlineLevel="0" collapsed="false">
      <c r="A74" s="11" t="str">
        <f aca="false">IF(INDEX(MASTER_DATABASE!$A$4:$A$1000,ROW()-3)="","",INDEX(MASTER_DATABASE!$A$4:$A$1000,ROW()-3)&amp;"")</f>
        <v>FIN-008</v>
      </c>
      <c r="B74" s="7" t="str">
        <f aca="false">IF(INDEX(MASTER_DATABASE!$A$4:$A$1000,ROW()-3)="","",INDEX(MASTER_DATABASE!$B$4:$B$1000,ROW()-3)&amp;"")</f>
        <v>FINO Payments Bank BC Point</v>
      </c>
      <c r="C74" s="7" t="str">
        <f aca="false">IF(INDEX(MASTER_DATABASE!$A$4:$A$1000,ROW()-3)="","",INDEX(MASTER_DATABASE!$C$4:$C$1000,ROW()-3)&amp;"")</f>
        <v>Banking Services</v>
      </c>
      <c r="D74" s="7" t="str">
        <f aca="false">IF(INDEX(MASTER_DATABASE!$A$4:$A$1000,ROW()-3)="","",INDEX(MASTER_DATABASE!$D$4:$D$1000,ROW()-3)&amp;"")</f>
        <v>AEPS / Biometric Banking</v>
      </c>
      <c r="E74" s="7" t="str">
        <f aca="false">IF(INDEX(MASTER_DATABASE!$A$4:$A$1000,ROW()-3)="","",INDEX(MASTER_DATABASE!$E$4:$E$1000,ROW()-3)&amp;"")</f>
        <v>FINO BC – Biometric Banking (Fingerprint Authenticated)</v>
      </c>
      <c r="F74" s="7" t="str">
        <f aca="false">IF(INDEX(MASTER_DATABASE!$A$4:$A$1000,ROW()-3)="","",INDEX(MASTER_DATABASE!$F$4:$F$1000,ROW()-3)&amp;"")</f>
        <v>FINO BC – बायोमेट्रिक बैंकिंग (फिंगरप्रिंट सत्यापित)</v>
      </c>
      <c r="G74" s="7" t="str">
        <f aca="false">IF(INDEX(MASTER_DATABASE!$A$4:$A$1000,ROW()-3)="","",INDEX(MASTER_DATABASE!$AL$4:$AL$1000,ROW()-3)&amp;"")</f>
        <v>FINO Payments Bank BC Point</v>
      </c>
      <c r="H74" s="7" t="str">
        <f aca="false">IF(INDEX(MASTER_DATABASE!$A$4:$A$1000,ROW()-3)="","",INDEX(MASTER_DATABASE!$AM$4:$AM$1000,ROW()-3)&amp;"")</f>
        <v>AEPS / Biometric Banking</v>
      </c>
      <c r="I74" s="7" t="str">
        <f aca="false">IF(INDEX(MASTER_DATABASE!$A$4:$A$1000,ROW()-3)="","",INDEX(MASTER_DATABASE!$AO$4:$AO$1000,ROW()-3)&amp;"")</f>
        <v>fino-bc-biometric-banking-fingerprint-authenticated</v>
      </c>
      <c r="J74" s="7" t="str">
        <f aca="false">IF(INDEX(MASTER_DATABASE!$A$4:$A$1000,ROW()-3)="","",INDEX(MASTER_DATABASE!$BD$4:$BD$1000,ROW()-3)&amp;"")</f>
        <v>/services/fino-bc-biometric-banking-fingerprint-authenticated</v>
      </c>
      <c r="K74" s="7" t="str">
        <f aca="false">IF(INDEX(MASTER_DATABASE!$A$4:$A$1000,ROW()-3)="","",INDEX(MASTER_DATABASE!$AX$4:$AX$1000,ROW()-3)&amp;"")</f>
        <v>FINO BC – Biometric Banking (Fingerprint Authenticated) Service | Devmobile Stores</v>
      </c>
      <c r="L74" s="7" t="str">
        <f aca="false">IF(INDEX(MASTER_DATABASE!$A$4:$A$1000,ROW()-3)="","",INDEX(MASTER_DATABASE!$AY$4:$AY$1000,ROW()-3)&amp;"")</f>
        <v>FINO BC – Biometric Banking (Fingerprint Authenticated) (FINO BC – बायोमेट्रिक बैंकिंग (फिंगरप्रिंट सत्यापित)) at Devmobile Stores and Common Service Center &amp; Aadhaar Centre. Check required documents, charges and process before you visit.</v>
      </c>
      <c r="M74" s="7" t="str">
        <f aca="false">IF(INDEX(MASTER_DATABASE!$A$4:$A$1000,ROW()-3)="","",INDEX(MASTER_DATABASE!$AN$4:$AN$1000,ROW()-3)&amp;"")</f>
        <v>FINO BC – Biometric Banking (Fingerprint Authenticated), FINO Payments Bank BC Point, Devmobile Stores, FINO BC – बायोमेट्रिक बैंकिंग (फिंगरप्रिंट सत्यापित), FINO पेमेंट्स बैंक BC पॉइंट, सेवा</v>
      </c>
      <c r="N74" s="7" t="str">
        <f aca="false">IF(INDEX(MASTER_DATABASE!$A$4:$A$1000,ROW()-3)="","",INDEX(MASTER_DATABASE!$AZ$4:$AZ$1000,ROW()-3)&amp;"")</f>
        <v>FINO BC – बायोमेट्रिक बैंकिंग (फिंगरप्रिंट सत्यापित), FINO पेमेंट्स बैंक BC पॉइंट, सेवा</v>
      </c>
      <c r="O74" s="7" t="str">
        <f aca="false">IF(INDEX(MASTER_DATABASE!$A$4:$A$1000,ROW()-3)="","",INDEX(MASTER_DATABASE!$BA$4:$BA$1000,ROW()-3)&amp;"")</f>
        <v>FINO BC – Biometric Banking (Fingerprint Authenticated), FINO Payments Bank BC Point, Devmobile Stores</v>
      </c>
      <c r="P74" s="11" t="str">
        <f aca="false">IF(INDEX(MASTER_DATABASE!$A$4:$A$1000,ROW()-3)="","",INDEX(MASTER_DATABASE!$AP$4:$AP$1000,ROW()-3)&amp;"")</f>
        <v>👆</v>
      </c>
      <c r="Q74" s="7" t="str">
        <f aca="false">IF(INDEX(MASTER_DATABASE!$A$4:$A$1000,ROW()-3)="","",INDEX(MASTER_DATABASE!$BB$4:$BB$1000,ROW()-3)&amp;"")</f>
        <v/>
      </c>
      <c r="R74" s="11" t="str">
        <f aca="false">IF(INDEX(MASTER_DATABASE!$A$4:$A$1000,ROW()-3)="","",INDEX(MASTER_DATABASE!$BC$4:$BC$1000,ROW()-3)&amp;"")</f>
        <v>💳</v>
      </c>
      <c r="S74" s="11" t="n">
        <f aca="false">IF(INDEX(MASTER_DATABASE!$A$4:$A$1000,ROW()-3)="","",INDEX(MASTER_DATABASE!$AQ$4:$AQ$1000,ROW()-3))</f>
        <v>80</v>
      </c>
      <c r="T74" s="7" t="str">
        <f aca="false">IF(INDEX(MASTER_DATABASE!$A$4:$A$1000,ROW()-3)="","",INDEX(MASTER_DATABASE!$I$4:$I$1000,ROW()-3)&amp;"")</f>
        <v>Authorization Required</v>
      </c>
      <c r="U74" s="7" t="str">
        <f aca="false">IF(INDEX(MASTER_DATABASE!$A$4:$A$1000,ROW()-3)="","",INDEX(MASTER_DATABASE!$J$4:$J$1000,ROW()-3)&amp;"")</f>
        <v>Please Confirm at Shop</v>
      </c>
      <c r="V74" s="7" t="str">
        <f aca="false">IF(INDEX(MASTER_DATABASE!$A$4:$A$1000,ROW()-3)="","",INDEX(MASTER_DATABASE!$AG$4:$AG$1000,ROW()-3)&amp;"")</f>
        <v>To Verify</v>
      </c>
      <c r="W74" s="7" t="str">
        <f aca="false">IF(INDEX(MASTER_DATABASE!$A$4:$A$1000,ROW()-3)="","",INDEX(MASTER_DATABASE!$AH$4:$AH$1000,ROW()-3)&amp;"")</f>
        <v>No</v>
      </c>
      <c r="X74" s="7" t="str">
        <f aca="false">IF(INDEX(MASTER_DATABASE!$A$4:$A$1000,ROW()-3)="","",INDEX(MASTER_DATABASE!$AI$4:$AI$1000,ROW()-3)&amp;"")</f>
        <v>No</v>
      </c>
      <c r="Y74" s="7" t="str">
        <f aca="false">IF(INDEX(MASTER_DATABASE!$A$4:$A$1000,ROW()-3)="","",INDEX(MASTER_DATABASE!$AJ$4:$AJ$1000,ROW()-3)&amp;"")</f>
        <v>No</v>
      </c>
      <c r="Z74" s="7" t="str">
        <f aca="false">IF(INDEX(MASTER_DATABASE!$A$4:$A$1000,ROW()-3)="","",INDEX(MASTER_DATABASE!$AK$4:$AK$1000,ROW()-3)&amp;"")</f>
        <v>No</v>
      </c>
      <c r="AA74" s="7" t="str">
        <f aca="false">IF(INDEX(MASTER_DATABASE!$A$4:$A$1000,ROW()-3)="","",INDEX(MASTER_DATABASE!$BE$4:$BE$1000,ROW()-3)&amp;"")</f>
        <v>HIDDEN</v>
      </c>
    </row>
    <row r="75" customFormat="false" ht="57.45" hidden="false" customHeight="false" outlineLevel="0" collapsed="false">
      <c r="A75" s="11" t="str">
        <f aca="false">IF(INDEX(MASTER_DATABASE!$A$4:$A$1000,ROW()-3)="","",INDEX(MASTER_DATABASE!$A$4:$A$1000,ROW()-3)&amp;"")</f>
        <v>FIN-009</v>
      </c>
      <c r="B75" s="7" t="str">
        <f aca="false">IF(INDEX(MASTER_DATABASE!$A$4:$A$1000,ROW()-3)="","",INDEX(MASTER_DATABASE!$B$4:$B$1000,ROW()-3)&amp;"")</f>
        <v>FINO Payments Bank BC Point</v>
      </c>
      <c r="C75" s="7" t="str">
        <f aca="false">IF(INDEX(MASTER_DATABASE!$A$4:$A$1000,ROW()-3)="","",INDEX(MASTER_DATABASE!$C$4:$C$1000,ROW()-3)&amp;"")</f>
        <v>Banking Services</v>
      </c>
      <c r="D75" s="7" t="str">
        <f aca="false">IF(INDEX(MASTER_DATABASE!$A$4:$A$1000,ROW()-3)="","",INDEX(MASTER_DATABASE!$D$4:$D$1000,ROW()-3)&amp;"")</f>
        <v>Micro ATM</v>
      </c>
      <c r="E75" s="7" t="str">
        <f aca="false">IF(INDEX(MASTER_DATABASE!$A$4:$A$1000,ROW()-3)="","",INDEX(MASTER_DATABASE!$E$4:$E$1000,ROW()-3)&amp;"")</f>
        <v>FINO BC – Micro ATM Cash Withdrawal</v>
      </c>
      <c r="F75" s="7" t="str">
        <f aca="false">IF(INDEX(MASTER_DATABASE!$A$4:$A$1000,ROW()-3)="","",INDEX(MASTER_DATABASE!$F$4:$F$1000,ROW()-3)&amp;"")</f>
        <v>FINO BC – Micro ATM नकद निकासी</v>
      </c>
      <c r="G75" s="7" t="str">
        <f aca="false">IF(INDEX(MASTER_DATABASE!$A$4:$A$1000,ROW()-3)="","",INDEX(MASTER_DATABASE!$AL$4:$AL$1000,ROW()-3)&amp;"")</f>
        <v>FINO Payments Bank BC Point</v>
      </c>
      <c r="H75" s="7" t="str">
        <f aca="false">IF(INDEX(MASTER_DATABASE!$A$4:$A$1000,ROW()-3)="","",INDEX(MASTER_DATABASE!$AM$4:$AM$1000,ROW()-3)&amp;"")</f>
        <v>Micro ATM</v>
      </c>
      <c r="I75" s="7" t="str">
        <f aca="false">IF(INDEX(MASTER_DATABASE!$A$4:$A$1000,ROW()-3)="","",INDEX(MASTER_DATABASE!$AO$4:$AO$1000,ROW()-3)&amp;"")</f>
        <v>fino-bc-micro-atm-cash-withdrawal</v>
      </c>
      <c r="J75" s="7" t="str">
        <f aca="false">IF(INDEX(MASTER_DATABASE!$A$4:$A$1000,ROW()-3)="","",INDEX(MASTER_DATABASE!$BD$4:$BD$1000,ROW()-3)&amp;"")</f>
        <v>/services/fino-bc-micro-atm-cash-withdrawal</v>
      </c>
      <c r="K75" s="7" t="str">
        <f aca="false">IF(INDEX(MASTER_DATABASE!$A$4:$A$1000,ROW()-3)="","",INDEX(MASTER_DATABASE!$AX$4:$AX$1000,ROW()-3)&amp;"")</f>
        <v>FINO BC – Micro ATM Cash Withdrawal Service | Devmobile Stores</v>
      </c>
      <c r="L75" s="7" t="str">
        <f aca="false">IF(INDEX(MASTER_DATABASE!$A$4:$A$1000,ROW()-3)="","",INDEX(MASTER_DATABASE!$AY$4:$AY$1000,ROW()-3)&amp;"")</f>
        <v>FINO BC – Micro ATM Cash Withdrawal (FINO BC – Micro ATM नकद निकासी) at Devmobile Stores and Common Service Center &amp; Aadhaar Centre. Check required documents, charges and process before you visit.</v>
      </c>
      <c r="M75" s="7" t="str">
        <f aca="false">IF(INDEX(MASTER_DATABASE!$A$4:$A$1000,ROW()-3)="","",INDEX(MASTER_DATABASE!$AN$4:$AN$1000,ROW()-3)&amp;"")</f>
        <v>FINO BC – Micro ATM Cash Withdrawal, FINO Payments Bank BC Point, Devmobile Stores, FINO BC – Micro ATM नकद निकासी, FINO पेमेंट्स बैंक BC पॉइंट, सेवा</v>
      </c>
      <c r="N75" s="7" t="str">
        <f aca="false">IF(INDEX(MASTER_DATABASE!$A$4:$A$1000,ROW()-3)="","",INDEX(MASTER_DATABASE!$AZ$4:$AZ$1000,ROW()-3)&amp;"")</f>
        <v>FINO BC – Micro ATM नकद निकासी, FINO पेमेंट्स बैंक BC पॉइंट, सेवा</v>
      </c>
      <c r="O75" s="7" t="str">
        <f aca="false">IF(INDEX(MASTER_DATABASE!$A$4:$A$1000,ROW()-3)="","",INDEX(MASTER_DATABASE!$BA$4:$BA$1000,ROW()-3)&amp;"")</f>
        <v>FINO BC – Micro ATM Cash Withdrawal, FINO Payments Bank BC Point, Devmobile Stores</v>
      </c>
      <c r="P75" s="11" t="str">
        <f aca="false">IF(INDEX(MASTER_DATABASE!$A$4:$A$1000,ROW()-3)="","",INDEX(MASTER_DATABASE!$AP$4:$AP$1000,ROW()-3)&amp;"")</f>
        <v>🏧</v>
      </c>
      <c r="Q75" s="7" t="str">
        <f aca="false">IF(INDEX(MASTER_DATABASE!$A$4:$A$1000,ROW()-3)="","",INDEX(MASTER_DATABASE!$BB$4:$BB$1000,ROW()-3)&amp;"")</f>
        <v/>
      </c>
      <c r="R75" s="11" t="str">
        <f aca="false">IF(INDEX(MASTER_DATABASE!$A$4:$A$1000,ROW()-3)="","",INDEX(MASTER_DATABASE!$BC$4:$BC$1000,ROW()-3)&amp;"")</f>
        <v>💳</v>
      </c>
      <c r="S75" s="11" t="n">
        <f aca="false">IF(INDEX(MASTER_DATABASE!$A$4:$A$1000,ROW()-3)="","",INDEX(MASTER_DATABASE!$AQ$4:$AQ$1000,ROW()-3))</f>
        <v>90</v>
      </c>
      <c r="T75" s="7" t="str">
        <f aca="false">IF(INDEX(MASTER_DATABASE!$A$4:$A$1000,ROW()-3)="","",INDEX(MASTER_DATABASE!$I$4:$I$1000,ROW()-3)&amp;"")</f>
        <v>To Verify</v>
      </c>
      <c r="U75" s="7" t="str">
        <f aca="false">IF(INDEX(MASTER_DATABASE!$A$4:$A$1000,ROW()-3)="","",INDEX(MASTER_DATABASE!$J$4:$J$1000,ROW()-3)&amp;"")</f>
        <v>To Be Confirmed</v>
      </c>
      <c r="V75" s="7" t="str">
        <f aca="false">IF(INDEX(MASTER_DATABASE!$A$4:$A$1000,ROW()-3)="","",INDEX(MASTER_DATABASE!$AG$4:$AG$1000,ROW()-3)&amp;"")</f>
        <v>To Verify</v>
      </c>
      <c r="W75" s="7" t="str">
        <f aca="false">IF(INDEX(MASTER_DATABASE!$A$4:$A$1000,ROW()-3)="","",INDEX(MASTER_DATABASE!$AH$4:$AH$1000,ROW()-3)&amp;"")</f>
        <v>No</v>
      </c>
      <c r="X75" s="7" t="str">
        <f aca="false">IF(INDEX(MASTER_DATABASE!$A$4:$A$1000,ROW()-3)="","",INDEX(MASTER_DATABASE!$AI$4:$AI$1000,ROW()-3)&amp;"")</f>
        <v>No</v>
      </c>
      <c r="Y75" s="7" t="str">
        <f aca="false">IF(INDEX(MASTER_DATABASE!$A$4:$A$1000,ROW()-3)="","",INDEX(MASTER_DATABASE!$AJ$4:$AJ$1000,ROW()-3)&amp;"")</f>
        <v>No</v>
      </c>
      <c r="Z75" s="7" t="str">
        <f aca="false">IF(INDEX(MASTER_DATABASE!$A$4:$A$1000,ROW()-3)="","",INDEX(MASTER_DATABASE!$AK$4:$AK$1000,ROW()-3)&amp;"")</f>
        <v>No</v>
      </c>
      <c r="AA75" s="7" t="str">
        <f aca="false">IF(INDEX(MASTER_DATABASE!$A$4:$A$1000,ROW()-3)="","",INDEX(MASTER_DATABASE!$BE$4:$BE$1000,ROW()-3)&amp;"")</f>
        <v>HIDDEN</v>
      </c>
    </row>
    <row r="76" customFormat="false" ht="46.25" hidden="false" customHeight="false" outlineLevel="0" collapsed="false">
      <c r="A76" s="11" t="str">
        <f aca="false">IF(INDEX(MASTER_DATABASE!$A$4:$A$1000,ROW()-3)="","",INDEX(MASTER_DATABASE!$A$4:$A$1000,ROW()-3)&amp;"")</f>
        <v>FIN-010</v>
      </c>
      <c r="B76" s="7" t="str">
        <f aca="false">IF(INDEX(MASTER_DATABASE!$A$4:$A$1000,ROW()-3)="","",INDEX(MASTER_DATABASE!$B$4:$B$1000,ROW()-3)&amp;"")</f>
        <v>FINO Payments Bank BC Point</v>
      </c>
      <c r="C76" s="7" t="str">
        <f aca="false">IF(INDEX(MASTER_DATABASE!$A$4:$A$1000,ROW()-3)="","",INDEX(MASTER_DATABASE!$C$4:$C$1000,ROW()-3)&amp;"")</f>
        <v>Banking Services</v>
      </c>
      <c r="D76" s="7" t="str">
        <f aca="false">IF(INDEX(MASTER_DATABASE!$A$4:$A$1000,ROW()-3)="","",INDEX(MASTER_DATABASE!$D$4:$D$1000,ROW()-3)&amp;"")</f>
        <v>Money Transfer</v>
      </c>
      <c r="E76" s="7" t="str">
        <f aca="false">IF(INDEX(MASTER_DATABASE!$A$4:$A$1000,ROW()-3)="","",INDEX(MASTER_DATABASE!$E$4:$E$1000,ROW()-3)&amp;"")</f>
        <v>FINO BC – Money Transfer (Domestic)</v>
      </c>
      <c r="F76" s="7" t="str">
        <f aca="false">IF(INDEX(MASTER_DATABASE!$A$4:$A$1000,ROW()-3)="","",INDEX(MASTER_DATABASE!$F$4:$F$1000,ROW()-3)&amp;"")</f>
        <v>FINO BC – मनी ट्रांसफर (घरेलू)</v>
      </c>
      <c r="G76" s="7" t="str">
        <f aca="false">IF(INDEX(MASTER_DATABASE!$A$4:$A$1000,ROW()-3)="","",INDEX(MASTER_DATABASE!$AL$4:$AL$1000,ROW()-3)&amp;"")</f>
        <v>FINO Payments Bank BC Point</v>
      </c>
      <c r="H76" s="7" t="str">
        <f aca="false">IF(INDEX(MASTER_DATABASE!$A$4:$A$1000,ROW()-3)="","",INDEX(MASTER_DATABASE!$AM$4:$AM$1000,ROW()-3)&amp;"")</f>
        <v>Money Transfer</v>
      </c>
      <c r="I76" s="7" t="str">
        <f aca="false">IF(INDEX(MASTER_DATABASE!$A$4:$A$1000,ROW()-3)="","",INDEX(MASTER_DATABASE!$AO$4:$AO$1000,ROW()-3)&amp;"")</f>
        <v>fino-bc-money-transfer-domestic</v>
      </c>
      <c r="J76" s="7" t="str">
        <f aca="false">IF(INDEX(MASTER_DATABASE!$A$4:$A$1000,ROW()-3)="","",INDEX(MASTER_DATABASE!$BD$4:$BD$1000,ROW()-3)&amp;"")</f>
        <v>/services/fino-bc-money-transfer-domestic</v>
      </c>
      <c r="K76" s="7" t="str">
        <f aca="false">IF(INDEX(MASTER_DATABASE!$A$4:$A$1000,ROW()-3)="","",INDEX(MASTER_DATABASE!$AX$4:$AX$1000,ROW()-3)&amp;"")</f>
        <v>FINO BC – Money Transfer (Domestic) Service | Devmobile Stores</v>
      </c>
      <c r="L76" s="7" t="str">
        <f aca="false">IF(INDEX(MASTER_DATABASE!$A$4:$A$1000,ROW()-3)="","",INDEX(MASTER_DATABASE!$AY$4:$AY$1000,ROW()-3)&amp;"")</f>
        <v>FINO BC – Money Transfer (Domestic) (FINO BC – मनी ट्रांसफर (घरेलू)) at Devmobile Stores and Common Service Center &amp; Aadhaar Centre. Check required documents, charges and process before you visit.</v>
      </c>
      <c r="M76" s="7" t="str">
        <f aca="false">IF(INDEX(MASTER_DATABASE!$A$4:$A$1000,ROW()-3)="","",INDEX(MASTER_DATABASE!$AN$4:$AN$1000,ROW()-3)&amp;"")</f>
        <v>FINO BC – Money Transfer (Domestic), FINO Payments Bank BC Point, Devmobile Stores, FINO BC – मनी ट्रांसफर (घरेलू), FINO पेमेंट्स बैंक BC पॉइंट, सेवा</v>
      </c>
      <c r="N76" s="7" t="str">
        <f aca="false">IF(INDEX(MASTER_DATABASE!$A$4:$A$1000,ROW()-3)="","",INDEX(MASTER_DATABASE!$AZ$4:$AZ$1000,ROW()-3)&amp;"")</f>
        <v>FINO BC – मनी ट्रांसफर (घरेलू), FINO पेमेंट्स बैंक BC पॉइंट, सेवा</v>
      </c>
      <c r="O76" s="7" t="str">
        <f aca="false">IF(INDEX(MASTER_DATABASE!$A$4:$A$1000,ROW()-3)="","",INDEX(MASTER_DATABASE!$BA$4:$BA$1000,ROW()-3)&amp;"")</f>
        <v>FINO BC – Money Transfer (Domestic), FINO Payments Bank BC Point, Devmobile Stores</v>
      </c>
      <c r="P76" s="11" t="str">
        <f aca="false">IF(INDEX(MASTER_DATABASE!$A$4:$A$1000,ROW()-3)="","",INDEX(MASTER_DATABASE!$AP$4:$AP$1000,ROW()-3)&amp;"")</f>
        <v>💸</v>
      </c>
      <c r="Q76" s="7" t="str">
        <f aca="false">IF(INDEX(MASTER_DATABASE!$A$4:$A$1000,ROW()-3)="","",INDEX(MASTER_DATABASE!$BB$4:$BB$1000,ROW()-3)&amp;"")</f>
        <v/>
      </c>
      <c r="R76" s="11" t="str">
        <f aca="false">IF(INDEX(MASTER_DATABASE!$A$4:$A$1000,ROW()-3)="","",INDEX(MASTER_DATABASE!$BC$4:$BC$1000,ROW()-3)&amp;"")</f>
        <v>💳</v>
      </c>
      <c r="S76" s="11" t="n">
        <f aca="false">IF(INDEX(MASTER_DATABASE!$A$4:$A$1000,ROW()-3)="","",INDEX(MASTER_DATABASE!$AQ$4:$AQ$1000,ROW()-3))</f>
        <v>100</v>
      </c>
      <c r="T76" s="7" t="str">
        <f aca="false">IF(INDEX(MASTER_DATABASE!$A$4:$A$1000,ROW()-3)="","",INDEX(MASTER_DATABASE!$I$4:$I$1000,ROW()-3)&amp;"")</f>
        <v>Authorization Required</v>
      </c>
      <c r="U76" s="7" t="str">
        <f aca="false">IF(INDEX(MASTER_DATABASE!$A$4:$A$1000,ROW()-3)="","",INDEX(MASTER_DATABASE!$J$4:$J$1000,ROW()-3)&amp;"")</f>
        <v>Please Confirm at Shop</v>
      </c>
      <c r="V76" s="7" t="str">
        <f aca="false">IF(INDEX(MASTER_DATABASE!$A$4:$A$1000,ROW()-3)="","",INDEX(MASTER_DATABASE!$AG$4:$AG$1000,ROW()-3)&amp;"")</f>
        <v>To Verify</v>
      </c>
      <c r="W76" s="7" t="str">
        <f aca="false">IF(INDEX(MASTER_DATABASE!$A$4:$A$1000,ROW()-3)="","",INDEX(MASTER_DATABASE!$AH$4:$AH$1000,ROW()-3)&amp;"")</f>
        <v>No</v>
      </c>
      <c r="X76" s="7" t="str">
        <f aca="false">IF(INDEX(MASTER_DATABASE!$A$4:$A$1000,ROW()-3)="","",INDEX(MASTER_DATABASE!$AI$4:$AI$1000,ROW()-3)&amp;"")</f>
        <v>No</v>
      </c>
      <c r="Y76" s="7" t="str">
        <f aca="false">IF(INDEX(MASTER_DATABASE!$A$4:$A$1000,ROW()-3)="","",INDEX(MASTER_DATABASE!$AJ$4:$AJ$1000,ROW()-3)&amp;"")</f>
        <v>No</v>
      </c>
      <c r="Z76" s="7" t="str">
        <f aca="false">IF(INDEX(MASTER_DATABASE!$A$4:$A$1000,ROW()-3)="","",INDEX(MASTER_DATABASE!$AK$4:$AK$1000,ROW()-3)&amp;"")</f>
        <v>No</v>
      </c>
      <c r="AA76" s="7" t="str">
        <f aca="false">IF(INDEX(MASTER_DATABASE!$A$4:$A$1000,ROW()-3)="","",INDEX(MASTER_DATABASE!$BE$4:$BE$1000,ROW()-3)&amp;"")</f>
        <v>HIDDEN</v>
      </c>
    </row>
    <row r="77" customFormat="false" ht="57.45" hidden="false" customHeight="false" outlineLevel="0" collapsed="false">
      <c r="A77" s="11" t="str">
        <f aca="false">IF(INDEX(MASTER_DATABASE!$A$4:$A$1000,ROW()-3)="","",INDEX(MASTER_DATABASE!$A$4:$A$1000,ROW()-3)&amp;"")</f>
        <v>FIN-011</v>
      </c>
      <c r="B77" s="7" t="str">
        <f aca="false">IF(INDEX(MASTER_DATABASE!$A$4:$A$1000,ROW()-3)="","",INDEX(MASTER_DATABASE!$B$4:$B$1000,ROW()-3)&amp;"")</f>
        <v>FINO Payments Bank BC Point</v>
      </c>
      <c r="C77" s="7" t="str">
        <f aca="false">IF(INDEX(MASTER_DATABASE!$A$4:$A$1000,ROW()-3)="","",INDEX(MASTER_DATABASE!$C$4:$C$1000,ROW()-3)&amp;"")</f>
        <v>Banking Services</v>
      </c>
      <c r="D77" s="7" t="str">
        <f aca="false">IF(INDEX(MASTER_DATABASE!$A$4:$A$1000,ROW()-3)="","",INDEX(MASTER_DATABASE!$D$4:$D$1000,ROW()-3)&amp;"")</f>
        <v>Account &amp; KYC Services</v>
      </c>
      <c r="E77" s="7" t="str">
        <f aca="false">IF(INDEX(MASTER_DATABASE!$A$4:$A$1000,ROW()-3)="","",INDEX(MASTER_DATABASE!$E$4:$E$1000,ROW()-3)&amp;"")</f>
        <v>FINO BC – New Account Opening Assistance</v>
      </c>
      <c r="F77" s="7" t="str">
        <f aca="false">IF(INDEX(MASTER_DATABASE!$A$4:$A$1000,ROW()-3)="","",INDEX(MASTER_DATABASE!$F$4:$F$1000,ROW()-3)&amp;"")</f>
        <v>FINO BC – नया खाता खुलवाने में सहायता</v>
      </c>
      <c r="G77" s="7" t="str">
        <f aca="false">IF(INDEX(MASTER_DATABASE!$A$4:$A$1000,ROW()-3)="","",INDEX(MASTER_DATABASE!$AL$4:$AL$1000,ROW()-3)&amp;"")</f>
        <v>FINO Payments Bank BC Point</v>
      </c>
      <c r="H77" s="7" t="str">
        <f aca="false">IF(INDEX(MASTER_DATABASE!$A$4:$A$1000,ROW()-3)="","",INDEX(MASTER_DATABASE!$AM$4:$AM$1000,ROW()-3)&amp;"")</f>
        <v>Account &amp; KYC Services</v>
      </c>
      <c r="I77" s="7" t="str">
        <f aca="false">IF(INDEX(MASTER_DATABASE!$A$4:$A$1000,ROW()-3)="","",INDEX(MASTER_DATABASE!$AO$4:$AO$1000,ROW()-3)&amp;"")</f>
        <v>fino-bc-new-account-opening-assistance</v>
      </c>
      <c r="J77" s="7" t="str">
        <f aca="false">IF(INDEX(MASTER_DATABASE!$A$4:$A$1000,ROW()-3)="","",INDEX(MASTER_DATABASE!$BD$4:$BD$1000,ROW()-3)&amp;"")</f>
        <v>/services/fino-bc-new-account-opening-assistance</v>
      </c>
      <c r="K77" s="7" t="str">
        <f aca="false">IF(INDEX(MASTER_DATABASE!$A$4:$A$1000,ROW()-3)="","",INDEX(MASTER_DATABASE!$AX$4:$AX$1000,ROW()-3)&amp;"")</f>
        <v>FINO BC – New Account Opening Assistance Service | Devmobile Stores</v>
      </c>
      <c r="L77" s="7" t="str">
        <f aca="false">IF(INDEX(MASTER_DATABASE!$A$4:$A$1000,ROW()-3)="","",INDEX(MASTER_DATABASE!$AY$4:$AY$1000,ROW()-3)&amp;"")</f>
        <v>FINO BC – New Account Opening Assistance (FINO BC – नया खाता खुलवाने में सहायता) at Devmobile Stores and Common Service Center &amp; Aadhaar Centre. Check required documents, charges and process before you visit.</v>
      </c>
      <c r="M77" s="7" t="str">
        <f aca="false">IF(INDEX(MASTER_DATABASE!$A$4:$A$1000,ROW()-3)="","",INDEX(MASTER_DATABASE!$AN$4:$AN$1000,ROW()-3)&amp;"")</f>
        <v>FINO BC – New Account Opening Assistance, FINO Payments Bank BC Point, Devmobile Stores, FINO BC – नया खाता खुलवाने में सहायता, FINO पेमेंट्स बैंक BC पॉइंट, सेवा</v>
      </c>
      <c r="N77" s="7" t="str">
        <f aca="false">IF(INDEX(MASTER_DATABASE!$A$4:$A$1000,ROW()-3)="","",INDEX(MASTER_DATABASE!$AZ$4:$AZ$1000,ROW()-3)&amp;"")</f>
        <v>FINO BC – नया खाता खुलवाने में सहायता, FINO पेमेंट्स बैंक BC पॉइंट, सेवा</v>
      </c>
      <c r="O77" s="7" t="str">
        <f aca="false">IF(INDEX(MASTER_DATABASE!$A$4:$A$1000,ROW()-3)="","",INDEX(MASTER_DATABASE!$BA$4:$BA$1000,ROW()-3)&amp;"")</f>
        <v>FINO BC – New Account Opening Assistance, FINO Payments Bank BC Point, Devmobile Stores</v>
      </c>
      <c r="P77" s="11" t="str">
        <f aca="false">IF(INDEX(MASTER_DATABASE!$A$4:$A$1000,ROW()-3)="","",INDEX(MASTER_DATABASE!$AP$4:$AP$1000,ROW()-3)&amp;"")</f>
        <v>🗂️</v>
      </c>
      <c r="Q77" s="7" t="str">
        <f aca="false">IF(INDEX(MASTER_DATABASE!$A$4:$A$1000,ROW()-3)="","",INDEX(MASTER_DATABASE!$BB$4:$BB$1000,ROW()-3)&amp;"")</f>
        <v/>
      </c>
      <c r="R77" s="11" t="str">
        <f aca="false">IF(INDEX(MASTER_DATABASE!$A$4:$A$1000,ROW()-3)="","",INDEX(MASTER_DATABASE!$BC$4:$BC$1000,ROW()-3)&amp;"")</f>
        <v>💳</v>
      </c>
      <c r="S77" s="11" t="n">
        <f aca="false">IF(INDEX(MASTER_DATABASE!$A$4:$A$1000,ROW()-3)="","",INDEX(MASTER_DATABASE!$AQ$4:$AQ$1000,ROW()-3))</f>
        <v>110</v>
      </c>
      <c r="T77" s="7" t="str">
        <f aca="false">IF(INDEX(MASTER_DATABASE!$A$4:$A$1000,ROW()-3)="","",INDEX(MASTER_DATABASE!$I$4:$I$1000,ROW()-3)&amp;"")</f>
        <v>To Verify</v>
      </c>
      <c r="U77" s="7" t="str">
        <f aca="false">IF(INDEX(MASTER_DATABASE!$A$4:$A$1000,ROW()-3)="","",INDEX(MASTER_DATABASE!$J$4:$J$1000,ROW()-3)&amp;"")</f>
        <v>To Be Confirmed</v>
      </c>
      <c r="V77" s="7" t="str">
        <f aca="false">IF(INDEX(MASTER_DATABASE!$A$4:$A$1000,ROW()-3)="","",INDEX(MASTER_DATABASE!$AG$4:$AG$1000,ROW()-3)&amp;"")</f>
        <v>To Verify</v>
      </c>
      <c r="W77" s="7" t="str">
        <f aca="false">IF(INDEX(MASTER_DATABASE!$A$4:$A$1000,ROW()-3)="","",INDEX(MASTER_DATABASE!$AH$4:$AH$1000,ROW()-3)&amp;"")</f>
        <v>No</v>
      </c>
      <c r="X77" s="7" t="str">
        <f aca="false">IF(INDEX(MASTER_DATABASE!$A$4:$A$1000,ROW()-3)="","",INDEX(MASTER_DATABASE!$AI$4:$AI$1000,ROW()-3)&amp;"")</f>
        <v>No</v>
      </c>
      <c r="Y77" s="7" t="str">
        <f aca="false">IF(INDEX(MASTER_DATABASE!$A$4:$A$1000,ROW()-3)="","",INDEX(MASTER_DATABASE!$AJ$4:$AJ$1000,ROW()-3)&amp;"")</f>
        <v>No</v>
      </c>
      <c r="Z77" s="7" t="str">
        <f aca="false">IF(INDEX(MASTER_DATABASE!$A$4:$A$1000,ROW()-3)="","",INDEX(MASTER_DATABASE!$AK$4:$AK$1000,ROW()-3)&amp;"")</f>
        <v>No</v>
      </c>
      <c r="AA77" s="7" t="str">
        <f aca="false">IF(INDEX(MASTER_DATABASE!$A$4:$A$1000,ROW()-3)="","",INDEX(MASTER_DATABASE!$BE$4:$BE$1000,ROW()-3)&amp;"")</f>
        <v>HIDDEN</v>
      </c>
    </row>
    <row r="78" customFormat="false" ht="57.45" hidden="false" customHeight="false" outlineLevel="0" collapsed="false">
      <c r="A78" s="11" t="str">
        <f aca="false">IF(INDEX(MASTER_DATABASE!$A$4:$A$1000,ROW()-3)="","",INDEX(MASTER_DATABASE!$A$4:$A$1000,ROW()-3)&amp;"")</f>
        <v>FIN-012</v>
      </c>
      <c r="B78" s="7" t="str">
        <f aca="false">IF(INDEX(MASTER_DATABASE!$A$4:$A$1000,ROW()-3)="","",INDEX(MASTER_DATABASE!$B$4:$B$1000,ROW()-3)&amp;"")</f>
        <v>FINO Payments Bank BC Point</v>
      </c>
      <c r="C78" s="7" t="str">
        <f aca="false">IF(INDEX(MASTER_DATABASE!$A$4:$A$1000,ROW()-3)="","",INDEX(MASTER_DATABASE!$C$4:$C$1000,ROW()-3)&amp;"")</f>
        <v>Banking Services</v>
      </c>
      <c r="D78" s="7" t="str">
        <f aca="false">IF(INDEX(MASTER_DATABASE!$A$4:$A$1000,ROW()-3)="","",INDEX(MASTER_DATABASE!$D$4:$D$1000,ROW()-3)&amp;"")</f>
        <v>Account &amp; KYC Services</v>
      </c>
      <c r="E78" s="7" t="str">
        <f aca="false">IF(INDEX(MASTER_DATABASE!$A$4:$A$1000,ROW()-3)="","",INDEX(MASTER_DATABASE!$E$4:$E$1000,ROW()-3)&amp;"")</f>
        <v>FINO BC – Account Mobile Number Update</v>
      </c>
      <c r="F78" s="7" t="str">
        <f aca="false">IF(INDEX(MASTER_DATABASE!$A$4:$A$1000,ROW()-3)="","",INDEX(MASTER_DATABASE!$F$4:$F$1000,ROW()-3)&amp;"")</f>
        <v>FINO BC – खाते में मोबाइल नंबर अपडेट</v>
      </c>
      <c r="G78" s="7" t="str">
        <f aca="false">IF(INDEX(MASTER_DATABASE!$A$4:$A$1000,ROW()-3)="","",INDEX(MASTER_DATABASE!$AL$4:$AL$1000,ROW()-3)&amp;"")</f>
        <v>FINO Payments Bank BC Point</v>
      </c>
      <c r="H78" s="7" t="str">
        <f aca="false">IF(INDEX(MASTER_DATABASE!$A$4:$A$1000,ROW()-3)="","",INDEX(MASTER_DATABASE!$AM$4:$AM$1000,ROW()-3)&amp;"")</f>
        <v>Account &amp; KYC Services</v>
      </c>
      <c r="I78" s="7" t="str">
        <f aca="false">IF(INDEX(MASTER_DATABASE!$A$4:$A$1000,ROW()-3)="","",INDEX(MASTER_DATABASE!$AO$4:$AO$1000,ROW()-3)&amp;"")</f>
        <v>fino-bc-account-mobile-number-update</v>
      </c>
      <c r="J78" s="7" t="str">
        <f aca="false">IF(INDEX(MASTER_DATABASE!$A$4:$A$1000,ROW()-3)="","",INDEX(MASTER_DATABASE!$BD$4:$BD$1000,ROW()-3)&amp;"")</f>
        <v>/services/fino-bc-account-mobile-number-update</v>
      </c>
      <c r="K78" s="7" t="str">
        <f aca="false">IF(INDEX(MASTER_DATABASE!$A$4:$A$1000,ROW()-3)="","",INDEX(MASTER_DATABASE!$AX$4:$AX$1000,ROW()-3)&amp;"")</f>
        <v>FINO BC – Account Mobile Number Update Service | Devmobile Stores</v>
      </c>
      <c r="L78" s="7" t="str">
        <f aca="false">IF(INDEX(MASTER_DATABASE!$A$4:$A$1000,ROW()-3)="","",INDEX(MASTER_DATABASE!$AY$4:$AY$1000,ROW()-3)&amp;"")</f>
        <v>FINO BC – Account Mobile Number Update (FINO BC – खाते में मोबाइल नंबर अपडेट) at Devmobile Stores and Common Service Center &amp; Aadhaar Centre. Check required documents, charges and process before you visit.</v>
      </c>
      <c r="M78" s="7" t="str">
        <f aca="false">IF(INDEX(MASTER_DATABASE!$A$4:$A$1000,ROW()-3)="","",INDEX(MASTER_DATABASE!$AN$4:$AN$1000,ROW()-3)&amp;"")</f>
        <v>FINO BC – Account Mobile Number Update, FINO Payments Bank BC Point, Devmobile Stores, FINO BC – खाते में मोबाइल नंबर अपडेट, FINO पेमेंट्स बैंक BC पॉइंट, सेवा</v>
      </c>
      <c r="N78" s="7" t="str">
        <f aca="false">IF(INDEX(MASTER_DATABASE!$A$4:$A$1000,ROW()-3)="","",INDEX(MASTER_DATABASE!$AZ$4:$AZ$1000,ROW()-3)&amp;"")</f>
        <v>FINO BC – खाते में मोबाइल नंबर अपडेट, FINO पेमेंट्स बैंक BC पॉइंट, सेवा</v>
      </c>
      <c r="O78" s="7" t="str">
        <f aca="false">IF(INDEX(MASTER_DATABASE!$A$4:$A$1000,ROW()-3)="","",INDEX(MASTER_DATABASE!$BA$4:$BA$1000,ROW()-3)&amp;"")</f>
        <v>FINO BC – Account Mobile Number Update, FINO Payments Bank BC Point, Devmobile Stores</v>
      </c>
      <c r="P78" s="11" t="str">
        <f aca="false">IF(INDEX(MASTER_DATABASE!$A$4:$A$1000,ROW()-3)="","",INDEX(MASTER_DATABASE!$AP$4:$AP$1000,ROW()-3)&amp;"")</f>
        <v>🗂️</v>
      </c>
      <c r="Q78" s="7" t="str">
        <f aca="false">IF(INDEX(MASTER_DATABASE!$A$4:$A$1000,ROW()-3)="","",INDEX(MASTER_DATABASE!$BB$4:$BB$1000,ROW()-3)&amp;"")</f>
        <v/>
      </c>
      <c r="R78" s="11" t="str">
        <f aca="false">IF(INDEX(MASTER_DATABASE!$A$4:$A$1000,ROW()-3)="","",INDEX(MASTER_DATABASE!$BC$4:$BC$1000,ROW()-3)&amp;"")</f>
        <v>💳</v>
      </c>
      <c r="S78" s="11" t="n">
        <f aca="false">IF(INDEX(MASTER_DATABASE!$A$4:$A$1000,ROW()-3)="","",INDEX(MASTER_DATABASE!$AQ$4:$AQ$1000,ROW()-3))</f>
        <v>120</v>
      </c>
      <c r="T78" s="7" t="str">
        <f aca="false">IF(INDEX(MASTER_DATABASE!$A$4:$A$1000,ROW()-3)="","",INDEX(MASTER_DATABASE!$I$4:$I$1000,ROW()-3)&amp;"")</f>
        <v>To Verify</v>
      </c>
      <c r="U78" s="7" t="str">
        <f aca="false">IF(INDEX(MASTER_DATABASE!$A$4:$A$1000,ROW()-3)="","",INDEX(MASTER_DATABASE!$J$4:$J$1000,ROW()-3)&amp;"")</f>
        <v>To Be Confirmed</v>
      </c>
      <c r="V78" s="7" t="str">
        <f aca="false">IF(INDEX(MASTER_DATABASE!$A$4:$A$1000,ROW()-3)="","",INDEX(MASTER_DATABASE!$AG$4:$AG$1000,ROW()-3)&amp;"")</f>
        <v>To Verify</v>
      </c>
      <c r="W78" s="7" t="str">
        <f aca="false">IF(INDEX(MASTER_DATABASE!$A$4:$A$1000,ROW()-3)="","",INDEX(MASTER_DATABASE!$AH$4:$AH$1000,ROW()-3)&amp;"")</f>
        <v>No</v>
      </c>
      <c r="X78" s="7" t="str">
        <f aca="false">IF(INDEX(MASTER_DATABASE!$A$4:$A$1000,ROW()-3)="","",INDEX(MASTER_DATABASE!$AI$4:$AI$1000,ROW()-3)&amp;"")</f>
        <v>No</v>
      </c>
      <c r="Y78" s="7" t="str">
        <f aca="false">IF(INDEX(MASTER_DATABASE!$A$4:$A$1000,ROW()-3)="","",INDEX(MASTER_DATABASE!$AJ$4:$AJ$1000,ROW()-3)&amp;"")</f>
        <v>No</v>
      </c>
      <c r="Z78" s="7" t="str">
        <f aca="false">IF(INDEX(MASTER_DATABASE!$A$4:$A$1000,ROW()-3)="","",INDEX(MASTER_DATABASE!$AK$4:$AK$1000,ROW()-3)&amp;"")</f>
        <v>No</v>
      </c>
      <c r="AA78" s="7" t="str">
        <f aca="false">IF(INDEX(MASTER_DATABASE!$A$4:$A$1000,ROW()-3)="","",INDEX(MASTER_DATABASE!$BE$4:$BE$1000,ROW()-3)&amp;"")</f>
        <v>HIDDEN</v>
      </c>
    </row>
    <row r="79" customFormat="false" ht="57.45" hidden="false" customHeight="false" outlineLevel="0" collapsed="false">
      <c r="A79" s="11" t="str">
        <f aca="false">IF(INDEX(MASTER_DATABASE!$A$4:$A$1000,ROW()-3)="","",INDEX(MASTER_DATABASE!$A$4:$A$1000,ROW()-3)&amp;"")</f>
        <v>FIN-013</v>
      </c>
      <c r="B79" s="7" t="str">
        <f aca="false">IF(INDEX(MASTER_DATABASE!$A$4:$A$1000,ROW()-3)="","",INDEX(MASTER_DATABASE!$B$4:$B$1000,ROW()-3)&amp;"")</f>
        <v>FINO Payments Bank BC Point</v>
      </c>
      <c r="C79" s="7" t="str">
        <f aca="false">IF(INDEX(MASTER_DATABASE!$A$4:$A$1000,ROW()-3)="","",INDEX(MASTER_DATABASE!$C$4:$C$1000,ROW()-3)&amp;"")</f>
        <v>Banking Services</v>
      </c>
      <c r="D79" s="7" t="str">
        <f aca="false">IF(INDEX(MASTER_DATABASE!$A$4:$A$1000,ROW()-3)="","",INDEX(MASTER_DATABASE!$D$4:$D$1000,ROW()-3)&amp;"")</f>
        <v>Account &amp; KYC Services</v>
      </c>
      <c r="E79" s="7" t="str">
        <f aca="false">IF(INDEX(MASTER_DATABASE!$A$4:$A$1000,ROW()-3)="","",INDEX(MASTER_DATABASE!$E$4:$E$1000,ROW()-3)&amp;"")</f>
        <v>FINO BC – KYC Document Collection / Update</v>
      </c>
      <c r="F79" s="7" t="str">
        <f aca="false">IF(INDEX(MASTER_DATABASE!$A$4:$A$1000,ROW()-3)="","",INDEX(MASTER_DATABASE!$F$4:$F$1000,ROW()-3)&amp;"")</f>
        <v>FINO BC – KYC दस्तावेज़ जमा / अपडेट</v>
      </c>
      <c r="G79" s="7" t="str">
        <f aca="false">IF(INDEX(MASTER_DATABASE!$A$4:$A$1000,ROW()-3)="","",INDEX(MASTER_DATABASE!$AL$4:$AL$1000,ROW()-3)&amp;"")</f>
        <v>FINO Payments Bank BC Point</v>
      </c>
      <c r="H79" s="7" t="str">
        <f aca="false">IF(INDEX(MASTER_DATABASE!$A$4:$A$1000,ROW()-3)="","",INDEX(MASTER_DATABASE!$AM$4:$AM$1000,ROW()-3)&amp;"")</f>
        <v>Account &amp; KYC Services</v>
      </c>
      <c r="I79" s="7" t="str">
        <f aca="false">IF(INDEX(MASTER_DATABASE!$A$4:$A$1000,ROW()-3)="","",INDEX(MASTER_DATABASE!$AO$4:$AO$1000,ROW()-3)&amp;"")</f>
        <v>fino-bc-kyc-document-collection-update</v>
      </c>
      <c r="J79" s="7" t="str">
        <f aca="false">IF(INDEX(MASTER_DATABASE!$A$4:$A$1000,ROW()-3)="","",INDEX(MASTER_DATABASE!$BD$4:$BD$1000,ROW()-3)&amp;"")</f>
        <v>/services/fino-bc-kyc-document-collection-update</v>
      </c>
      <c r="K79" s="7" t="str">
        <f aca="false">IF(INDEX(MASTER_DATABASE!$A$4:$A$1000,ROW()-3)="","",INDEX(MASTER_DATABASE!$AX$4:$AX$1000,ROW()-3)&amp;"")</f>
        <v>FINO BC – KYC Document Collection / Update Service | Devmobile Stores</v>
      </c>
      <c r="L79" s="7" t="str">
        <f aca="false">IF(INDEX(MASTER_DATABASE!$A$4:$A$1000,ROW()-3)="","",INDEX(MASTER_DATABASE!$AY$4:$AY$1000,ROW()-3)&amp;"")</f>
        <v>FINO BC – KYC Document Collection / Update (FINO BC – KYC दस्तावेज़ जमा / अपडेट) at Devmobile Stores and Common Service Center &amp; Aadhaar Centre. Check required documents, charges and process before you visit.</v>
      </c>
      <c r="M79" s="7" t="str">
        <f aca="false">IF(INDEX(MASTER_DATABASE!$A$4:$A$1000,ROW()-3)="","",INDEX(MASTER_DATABASE!$AN$4:$AN$1000,ROW()-3)&amp;"")</f>
        <v>FINO BC – KYC Document Collection / Update, FINO Payments Bank BC Point, Devmobile Stores, FINO BC – KYC दस्तावेज़ जमा / अपडेट, FINO पेमेंट्स बैंक BC पॉइंट, सेवा</v>
      </c>
      <c r="N79" s="7" t="str">
        <f aca="false">IF(INDEX(MASTER_DATABASE!$A$4:$A$1000,ROW()-3)="","",INDEX(MASTER_DATABASE!$AZ$4:$AZ$1000,ROW()-3)&amp;"")</f>
        <v>FINO BC – KYC दस्तावेज़ जमा / अपडेट, FINO पेमेंट्स बैंक BC पॉइंट, सेवा</v>
      </c>
      <c r="O79" s="7" t="str">
        <f aca="false">IF(INDEX(MASTER_DATABASE!$A$4:$A$1000,ROW()-3)="","",INDEX(MASTER_DATABASE!$BA$4:$BA$1000,ROW()-3)&amp;"")</f>
        <v>FINO BC – KYC Document Collection / Update, FINO Payments Bank BC Point, Devmobile Stores</v>
      </c>
      <c r="P79" s="11" t="str">
        <f aca="false">IF(INDEX(MASTER_DATABASE!$A$4:$A$1000,ROW()-3)="","",INDEX(MASTER_DATABASE!$AP$4:$AP$1000,ROW()-3)&amp;"")</f>
        <v>🗂️</v>
      </c>
      <c r="Q79" s="7" t="str">
        <f aca="false">IF(INDEX(MASTER_DATABASE!$A$4:$A$1000,ROW()-3)="","",INDEX(MASTER_DATABASE!$BB$4:$BB$1000,ROW()-3)&amp;"")</f>
        <v/>
      </c>
      <c r="R79" s="11" t="str">
        <f aca="false">IF(INDEX(MASTER_DATABASE!$A$4:$A$1000,ROW()-3)="","",INDEX(MASTER_DATABASE!$BC$4:$BC$1000,ROW()-3)&amp;"")</f>
        <v>💳</v>
      </c>
      <c r="S79" s="11" t="n">
        <f aca="false">IF(INDEX(MASTER_DATABASE!$A$4:$A$1000,ROW()-3)="","",INDEX(MASTER_DATABASE!$AQ$4:$AQ$1000,ROW()-3))</f>
        <v>130</v>
      </c>
      <c r="T79" s="7" t="str">
        <f aca="false">IF(INDEX(MASTER_DATABASE!$A$4:$A$1000,ROW()-3)="","",INDEX(MASTER_DATABASE!$I$4:$I$1000,ROW()-3)&amp;"")</f>
        <v>To Verify</v>
      </c>
      <c r="U79" s="7" t="str">
        <f aca="false">IF(INDEX(MASTER_DATABASE!$A$4:$A$1000,ROW()-3)="","",INDEX(MASTER_DATABASE!$J$4:$J$1000,ROW()-3)&amp;"")</f>
        <v>To Be Confirmed</v>
      </c>
      <c r="V79" s="7" t="str">
        <f aca="false">IF(INDEX(MASTER_DATABASE!$A$4:$A$1000,ROW()-3)="","",INDEX(MASTER_DATABASE!$AG$4:$AG$1000,ROW()-3)&amp;"")</f>
        <v>To Verify</v>
      </c>
      <c r="W79" s="7" t="str">
        <f aca="false">IF(INDEX(MASTER_DATABASE!$A$4:$A$1000,ROW()-3)="","",INDEX(MASTER_DATABASE!$AH$4:$AH$1000,ROW()-3)&amp;"")</f>
        <v>No</v>
      </c>
      <c r="X79" s="7" t="str">
        <f aca="false">IF(INDEX(MASTER_DATABASE!$A$4:$A$1000,ROW()-3)="","",INDEX(MASTER_DATABASE!$AI$4:$AI$1000,ROW()-3)&amp;"")</f>
        <v>No</v>
      </c>
      <c r="Y79" s="7" t="str">
        <f aca="false">IF(INDEX(MASTER_DATABASE!$A$4:$A$1000,ROW()-3)="","",INDEX(MASTER_DATABASE!$AJ$4:$AJ$1000,ROW()-3)&amp;"")</f>
        <v>No</v>
      </c>
      <c r="Z79" s="7" t="str">
        <f aca="false">IF(INDEX(MASTER_DATABASE!$A$4:$A$1000,ROW()-3)="","",INDEX(MASTER_DATABASE!$AK$4:$AK$1000,ROW()-3)&amp;"")</f>
        <v>No</v>
      </c>
      <c r="AA79" s="7" t="str">
        <f aca="false">IF(INDEX(MASTER_DATABASE!$A$4:$A$1000,ROW()-3)="","",INDEX(MASTER_DATABASE!$BE$4:$BE$1000,ROW()-3)&amp;"")</f>
        <v>HIDDEN</v>
      </c>
    </row>
    <row r="80" customFormat="false" ht="57.45" hidden="false" customHeight="false" outlineLevel="0" collapsed="false">
      <c r="A80" s="11" t="str">
        <f aca="false">IF(INDEX(MASTER_DATABASE!$A$4:$A$1000,ROW()-3)="","",INDEX(MASTER_DATABASE!$A$4:$A$1000,ROW()-3)&amp;"")</f>
        <v>FIN-014</v>
      </c>
      <c r="B80" s="7" t="str">
        <f aca="false">IF(INDEX(MASTER_DATABASE!$A$4:$A$1000,ROW()-3)="","",INDEX(MASTER_DATABASE!$B$4:$B$1000,ROW()-3)&amp;"")</f>
        <v>FINO Payments Bank BC Point</v>
      </c>
      <c r="C80" s="7" t="str">
        <f aca="false">IF(INDEX(MASTER_DATABASE!$A$4:$A$1000,ROW()-3)="","",INDEX(MASTER_DATABASE!$C$4:$C$1000,ROW()-3)&amp;"")</f>
        <v>Banking Services</v>
      </c>
      <c r="D80" s="7" t="str">
        <f aca="false">IF(INDEX(MASTER_DATABASE!$A$4:$A$1000,ROW()-3)="","",INDEX(MASTER_DATABASE!$D$4:$D$1000,ROW()-3)&amp;"")</f>
        <v>Account &amp; KYC Services</v>
      </c>
      <c r="E80" s="7" t="str">
        <f aca="false">IF(INDEX(MASTER_DATABASE!$A$4:$A$1000,ROW()-3)="","",INDEX(MASTER_DATABASE!$E$4:$E$1000,ROW()-3)&amp;"")</f>
        <v>FINO BC – Account Query / Complaint Assistance</v>
      </c>
      <c r="F80" s="7" t="str">
        <f aca="false">IF(INDEX(MASTER_DATABASE!$A$4:$A$1000,ROW()-3)="","",INDEX(MASTER_DATABASE!$F$4:$F$1000,ROW()-3)&amp;"")</f>
        <v>FINO BC – खाता शिकायत / समस्या सहायता</v>
      </c>
      <c r="G80" s="7" t="str">
        <f aca="false">IF(INDEX(MASTER_DATABASE!$A$4:$A$1000,ROW()-3)="","",INDEX(MASTER_DATABASE!$AL$4:$AL$1000,ROW()-3)&amp;"")</f>
        <v>FINO Payments Bank BC Point</v>
      </c>
      <c r="H80" s="7" t="str">
        <f aca="false">IF(INDEX(MASTER_DATABASE!$A$4:$A$1000,ROW()-3)="","",INDEX(MASTER_DATABASE!$AM$4:$AM$1000,ROW()-3)&amp;"")</f>
        <v>Account &amp; KYC Services</v>
      </c>
      <c r="I80" s="7" t="str">
        <f aca="false">IF(INDEX(MASTER_DATABASE!$A$4:$A$1000,ROW()-3)="","",INDEX(MASTER_DATABASE!$AO$4:$AO$1000,ROW()-3)&amp;"")</f>
        <v>fino-bc-account-query-complaint-assistance</v>
      </c>
      <c r="J80" s="7" t="str">
        <f aca="false">IF(INDEX(MASTER_DATABASE!$A$4:$A$1000,ROW()-3)="","",INDEX(MASTER_DATABASE!$BD$4:$BD$1000,ROW()-3)&amp;"")</f>
        <v>/services/fino-bc-account-query-complaint-assistance</v>
      </c>
      <c r="K80" s="7" t="str">
        <f aca="false">IF(INDEX(MASTER_DATABASE!$A$4:$A$1000,ROW()-3)="","",INDEX(MASTER_DATABASE!$AX$4:$AX$1000,ROW()-3)&amp;"")</f>
        <v>FINO BC – Account Query / Complaint Assistance Service | Devmobile Stores</v>
      </c>
      <c r="L80" s="7" t="str">
        <f aca="false">IF(INDEX(MASTER_DATABASE!$A$4:$A$1000,ROW()-3)="","",INDEX(MASTER_DATABASE!$AY$4:$AY$1000,ROW()-3)&amp;"")</f>
        <v>FINO BC – Account Query / Complaint Assistance (FINO BC – खाता शिकायत / समस्या सहायता) at Devmobile Stores and Common Service Center &amp; Aadhaar Centre. Check required documents, charges and process before you visit.</v>
      </c>
      <c r="M80" s="7" t="str">
        <f aca="false">IF(INDEX(MASTER_DATABASE!$A$4:$A$1000,ROW()-3)="","",INDEX(MASTER_DATABASE!$AN$4:$AN$1000,ROW()-3)&amp;"")</f>
        <v>FINO BC – Account Query / Complaint Assistance, FINO Payments Bank BC Point, Devmobile Stores, FINO BC – खाता शिकायत / समस्या सहायता, FINO पेमेंट्स बैंक BC पॉइंट, सेवा</v>
      </c>
      <c r="N80" s="7" t="str">
        <f aca="false">IF(INDEX(MASTER_DATABASE!$A$4:$A$1000,ROW()-3)="","",INDEX(MASTER_DATABASE!$AZ$4:$AZ$1000,ROW()-3)&amp;"")</f>
        <v>FINO BC – खाता शिकायत / समस्या सहायता, FINO पेमेंट्स बैंक BC पॉइंट, सेवा</v>
      </c>
      <c r="O80" s="7" t="str">
        <f aca="false">IF(INDEX(MASTER_DATABASE!$A$4:$A$1000,ROW()-3)="","",INDEX(MASTER_DATABASE!$BA$4:$BA$1000,ROW()-3)&amp;"")</f>
        <v>FINO BC – Account Query / Complaint Assistance, FINO Payments Bank BC Point, Devmobile Stores</v>
      </c>
      <c r="P80" s="11" t="str">
        <f aca="false">IF(INDEX(MASTER_DATABASE!$A$4:$A$1000,ROW()-3)="","",INDEX(MASTER_DATABASE!$AP$4:$AP$1000,ROW()-3)&amp;"")</f>
        <v>🗂️</v>
      </c>
      <c r="Q80" s="7" t="str">
        <f aca="false">IF(INDEX(MASTER_DATABASE!$A$4:$A$1000,ROW()-3)="","",INDEX(MASTER_DATABASE!$BB$4:$BB$1000,ROW()-3)&amp;"")</f>
        <v/>
      </c>
      <c r="R80" s="11" t="str">
        <f aca="false">IF(INDEX(MASTER_DATABASE!$A$4:$A$1000,ROW()-3)="","",INDEX(MASTER_DATABASE!$BC$4:$BC$1000,ROW()-3)&amp;"")</f>
        <v>💳</v>
      </c>
      <c r="S80" s="11" t="n">
        <f aca="false">IF(INDEX(MASTER_DATABASE!$A$4:$A$1000,ROW()-3)="","",INDEX(MASTER_DATABASE!$AQ$4:$AQ$1000,ROW()-3))</f>
        <v>140</v>
      </c>
      <c r="T80" s="7" t="str">
        <f aca="false">IF(INDEX(MASTER_DATABASE!$A$4:$A$1000,ROW()-3)="","",INDEX(MASTER_DATABASE!$I$4:$I$1000,ROW()-3)&amp;"")</f>
        <v>To Verify</v>
      </c>
      <c r="U80" s="7" t="str">
        <f aca="false">IF(INDEX(MASTER_DATABASE!$A$4:$A$1000,ROW()-3)="","",INDEX(MASTER_DATABASE!$J$4:$J$1000,ROW()-3)&amp;"")</f>
        <v>To Be Confirmed</v>
      </c>
      <c r="V80" s="7" t="str">
        <f aca="false">IF(INDEX(MASTER_DATABASE!$A$4:$A$1000,ROW()-3)="","",INDEX(MASTER_DATABASE!$AG$4:$AG$1000,ROW()-3)&amp;"")</f>
        <v>To Verify</v>
      </c>
      <c r="W80" s="7" t="str">
        <f aca="false">IF(INDEX(MASTER_DATABASE!$A$4:$A$1000,ROW()-3)="","",INDEX(MASTER_DATABASE!$AH$4:$AH$1000,ROW()-3)&amp;"")</f>
        <v>No</v>
      </c>
      <c r="X80" s="7" t="str">
        <f aca="false">IF(INDEX(MASTER_DATABASE!$A$4:$A$1000,ROW()-3)="","",INDEX(MASTER_DATABASE!$AI$4:$AI$1000,ROW()-3)&amp;"")</f>
        <v>No</v>
      </c>
      <c r="Y80" s="7" t="str">
        <f aca="false">IF(INDEX(MASTER_DATABASE!$A$4:$A$1000,ROW()-3)="","",INDEX(MASTER_DATABASE!$AJ$4:$AJ$1000,ROW()-3)&amp;"")</f>
        <v>No</v>
      </c>
      <c r="Z80" s="7" t="str">
        <f aca="false">IF(INDEX(MASTER_DATABASE!$A$4:$A$1000,ROW()-3)="","",INDEX(MASTER_DATABASE!$AK$4:$AK$1000,ROW()-3)&amp;"")</f>
        <v>No</v>
      </c>
      <c r="AA80" s="7" t="str">
        <f aca="false">IF(INDEX(MASTER_DATABASE!$A$4:$A$1000,ROW()-3)="","",INDEX(MASTER_DATABASE!$BE$4:$BE$1000,ROW()-3)&amp;"")</f>
        <v>HIDDEN</v>
      </c>
    </row>
    <row r="81" customFormat="false" ht="57.45" hidden="false" customHeight="false" outlineLevel="0" collapsed="false">
      <c r="A81" s="11" t="str">
        <f aca="false">IF(INDEX(MASTER_DATABASE!$A$4:$A$1000,ROW()-3)="","",INDEX(MASTER_DATABASE!$A$4:$A$1000,ROW()-3)&amp;"")</f>
        <v>FIN-015</v>
      </c>
      <c r="B81" s="7" t="str">
        <f aca="false">IF(INDEX(MASTER_DATABASE!$A$4:$A$1000,ROW()-3)="","",INDEX(MASTER_DATABASE!$B$4:$B$1000,ROW()-3)&amp;"")</f>
        <v>FINO Payments Bank BC Point</v>
      </c>
      <c r="C81" s="7" t="str">
        <f aca="false">IF(INDEX(MASTER_DATABASE!$A$4:$A$1000,ROW()-3)="","",INDEX(MASTER_DATABASE!$C$4:$C$1000,ROW()-3)&amp;"")</f>
        <v>Banking Services</v>
      </c>
      <c r="D81" s="7" t="str">
        <f aca="false">IF(INDEX(MASTER_DATABASE!$A$4:$A$1000,ROW()-3)="","",INDEX(MASTER_DATABASE!$D$4:$D$1000,ROW()-3)&amp;"")</f>
        <v>Payment Services</v>
      </c>
      <c r="E81" s="7" t="str">
        <f aca="false">IF(INDEX(MASTER_DATABASE!$A$4:$A$1000,ROW()-3)="","",INDEX(MASTER_DATABASE!$E$4:$E$1000,ROW()-3)&amp;"")</f>
        <v>FINO BC – Payment Services (via FINO)</v>
      </c>
      <c r="F81" s="7" t="str">
        <f aca="false">IF(INDEX(MASTER_DATABASE!$A$4:$A$1000,ROW()-3)="","",INDEX(MASTER_DATABASE!$F$4:$F$1000,ROW()-3)&amp;"")</f>
        <v>FINO BC – भुगतान सेवाएँ (FINO के माध्यम से)</v>
      </c>
      <c r="G81" s="7" t="str">
        <f aca="false">IF(INDEX(MASTER_DATABASE!$A$4:$A$1000,ROW()-3)="","",INDEX(MASTER_DATABASE!$AL$4:$AL$1000,ROW()-3)&amp;"")</f>
        <v>FINO Payments Bank BC Point</v>
      </c>
      <c r="H81" s="7" t="str">
        <f aca="false">IF(INDEX(MASTER_DATABASE!$A$4:$A$1000,ROW()-3)="","",INDEX(MASTER_DATABASE!$AM$4:$AM$1000,ROW()-3)&amp;"")</f>
        <v>Payment Services</v>
      </c>
      <c r="I81" s="7" t="str">
        <f aca="false">IF(INDEX(MASTER_DATABASE!$A$4:$A$1000,ROW()-3)="","",INDEX(MASTER_DATABASE!$AO$4:$AO$1000,ROW()-3)&amp;"")</f>
        <v>fino-bc-payment-services-via-fino</v>
      </c>
      <c r="J81" s="7" t="str">
        <f aca="false">IF(INDEX(MASTER_DATABASE!$A$4:$A$1000,ROW()-3)="","",INDEX(MASTER_DATABASE!$BD$4:$BD$1000,ROW()-3)&amp;"")</f>
        <v>/services/fino-bc-payment-services-via-fino</v>
      </c>
      <c r="K81" s="7" t="str">
        <f aca="false">IF(INDEX(MASTER_DATABASE!$A$4:$A$1000,ROW()-3)="","",INDEX(MASTER_DATABASE!$AX$4:$AX$1000,ROW()-3)&amp;"")</f>
        <v>FINO BC – Payment Services (via FINO) Service | Devmobile Stores</v>
      </c>
      <c r="L81" s="7" t="str">
        <f aca="false">IF(INDEX(MASTER_DATABASE!$A$4:$A$1000,ROW()-3)="","",INDEX(MASTER_DATABASE!$AY$4:$AY$1000,ROW()-3)&amp;"")</f>
        <v>FINO BC – Payment Services (via FINO) (FINO BC – भुगतान सेवाएँ (FINO के माध्यम से)) at Devmobile Stores and Common Service Center &amp; Aadhaar Centre. Check required documents, charges and process before you visit.</v>
      </c>
      <c r="M81" s="7" t="str">
        <f aca="false">IF(INDEX(MASTER_DATABASE!$A$4:$A$1000,ROW()-3)="","",INDEX(MASTER_DATABASE!$AN$4:$AN$1000,ROW()-3)&amp;"")</f>
        <v>FINO BC – Payment Services (via FINO), FINO Payments Bank BC Point, Devmobile Stores, FINO BC – भुगतान सेवाएँ (FINO के माध्यम से), FINO पेमेंट्स बैंक BC पॉइंट, सेवा</v>
      </c>
      <c r="N81" s="7" t="str">
        <f aca="false">IF(INDEX(MASTER_DATABASE!$A$4:$A$1000,ROW()-3)="","",INDEX(MASTER_DATABASE!$AZ$4:$AZ$1000,ROW()-3)&amp;"")</f>
        <v>FINO BC – भुगतान सेवाएँ (FINO के माध्यम से), FINO पेमेंट्स बैंक BC पॉइंट, सेवा</v>
      </c>
      <c r="O81" s="7" t="str">
        <f aca="false">IF(INDEX(MASTER_DATABASE!$A$4:$A$1000,ROW()-3)="","",INDEX(MASTER_DATABASE!$BA$4:$BA$1000,ROW()-3)&amp;"")</f>
        <v>FINO BC – Payment Services (via FINO), FINO Payments Bank BC Point, Devmobile Stores</v>
      </c>
      <c r="P81" s="11" t="str">
        <f aca="false">IF(INDEX(MASTER_DATABASE!$A$4:$A$1000,ROW()-3)="","",INDEX(MASTER_DATABASE!$AP$4:$AP$1000,ROW()-3)&amp;"")</f>
        <v>💳</v>
      </c>
      <c r="Q81" s="7" t="str">
        <f aca="false">IF(INDEX(MASTER_DATABASE!$A$4:$A$1000,ROW()-3)="","",INDEX(MASTER_DATABASE!$BB$4:$BB$1000,ROW()-3)&amp;"")</f>
        <v/>
      </c>
      <c r="R81" s="11" t="str">
        <f aca="false">IF(INDEX(MASTER_DATABASE!$A$4:$A$1000,ROW()-3)="","",INDEX(MASTER_DATABASE!$BC$4:$BC$1000,ROW()-3)&amp;"")</f>
        <v>💳</v>
      </c>
      <c r="S81" s="11" t="n">
        <f aca="false">IF(INDEX(MASTER_DATABASE!$A$4:$A$1000,ROW()-3)="","",INDEX(MASTER_DATABASE!$AQ$4:$AQ$1000,ROW()-3))</f>
        <v>150</v>
      </c>
      <c r="T81" s="7" t="str">
        <f aca="false">IF(INDEX(MASTER_DATABASE!$A$4:$A$1000,ROW()-3)="","",INDEX(MASTER_DATABASE!$I$4:$I$1000,ROW()-3)&amp;"")</f>
        <v>To Verify</v>
      </c>
      <c r="U81" s="7" t="str">
        <f aca="false">IF(INDEX(MASTER_DATABASE!$A$4:$A$1000,ROW()-3)="","",INDEX(MASTER_DATABASE!$J$4:$J$1000,ROW()-3)&amp;"")</f>
        <v>To Be Confirmed</v>
      </c>
      <c r="V81" s="7" t="str">
        <f aca="false">IF(INDEX(MASTER_DATABASE!$A$4:$A$1000,ROW()-3)="","",INDEX(MASTER_DATABASE!$AG$4:$AG$1000,ROW()-3)&amp;"")</f>
        <v>To Verify</v>
      </c>
      <c r="W81" s="7" t="str">
        <f aca="false">IF(INDEX(MASTER_DATABASE!$A$4:$A$1000,ROW()-3)="","",INDEX(MASTER_DATABASE!$AH$4:$AH$1000,ROW()-3)&amp;"")</f>
        <v>No</v>
      </c>
      <c r="X81" s="7" t="str">
        <f aca="false">IF(INDEX(MASTER_DATABASE!$A$4:$A$1000,ROW()-3)="","",INDEX(MASTER_DATABASE!$AI$4:$AI$1000,ROW()-3)&amp;"")</f>
        <v>No</v>
      </c>
      <c r="Y81" s="7" t="str">
        <f aca="false">IF(INDEX(MASTER_DATABASE!$A$4:$A$1000,ROW()-3)="","",INDEX(MASTER_DATABASE!$AJ$4:$AJ$1000,ROW()-3)&amp;"")</f>
        <v>No</v>
      </c>
      <c r="Z81" s="7" t="str">
        <f aca="false">IF(INDEX(MASTER_DATABASE!$A$4:$A$1000,ROW()-3)="","",INDEX(MASTER_DATABASE!$AK$4:$AK$1000,ROW()-3)&amp;"")</f>
        <v>No</v>
      </c>
      <c r="AA81" s="7" t="str">
        <f aca="false">IF(INDEX(MASTER_DATABASE!$A$4:$A$1000,ROW()-3)="","",INDEX(MASTER_DATABASE!$BE$4:$BE$1000,ROW()-3)&amp;"")</f>
        <v>HIDDEN</v>
      </c>
    </row>
    <row r="82" customFormat="false" ht="46.25" hidden="false" customHeight="false" outlineLevel="0" collapsed="false">
      <c r="A82" s="11" t="str">
        <f aca="false">IF(INDEX(MASTER_DATABASE!$A$4:$A$1000,ROW()-3)="","",INDEX(MASTER_DATABASE!$A$4:$A$1000,ROW()-3)&amp;"")</f>
        <v>BAS-001</v>
      </c>
      <c r="B82" s="7" t="str">
        <f aca="false">IF(INDEX(MASTER_DATABASE!$A$4:$A$1000,ROW()-3)="","",INDEX(MASTER_DATABASE!$B$4:$B$1000,ROW()-3)&amp;"")</f>
        <v>BASUDHA Kendra</v>
      </c>
      <c r="C82" s="7" t="str">
        <f aca="false">IF(INDEX(MASTER_DATABASE!$A$4:$A$1000,ROW()-3)="","",INDEX(MASTER_DATABASE!$C$4:$C$1000,ROW()-3)&amp;"")</f>
        <v>Government Services</v>
      </c>
      <c r="D82" s="7" t="str">
        <f aca="false">IF(INDEX(MASTER_DATABASE!$A$4:$A$1000,ROW()-3)="","",INDEX(MASTER_DATABASE!$D$4:$D$1000,ROW()-3)&amp;"")</f>
        <v>Certificates</v>
      </c>
      <c r="E82" s="7" t="str">
        <f aca="false">IF(INDEX(MASTER_DATABASE!$A$4:$A$1000,ROW()-3)="","",INDEX(MASTER_DATABASE!$E$4:$E$1000,ROW()-3)&amp;"")</f>
        <v>Income Certificate – Application</v>
      </c>
      <c r="F82" s="7" t="str">
        <f aca="false">IF(INDEX(MASTER_DATABASE!$A$4:$A$1000,ROW()-3)="","",INDEX(MASTER_DATABASE!$F$4:$F$1000,ROW()-3)&amp;"")</f>
        <v>आय प्रमाण पत्र – आवेदन</v>
      </c>
      <c r="G82" s="7" t="str">
        <f aca="false">IF(INDEX(MASTER_DATABASE!$A$4:$A$1000,ROW()-3)="","",INDEX(MASTER_DATABASE!$AL$4:$AL$1000,ROW()-3)&amp;"")</f>
        <v>BASUDHA Kendra</v>
      </c>
      <c r="H82" s="7" t="str">
        <f aca="false">IF(INDEX(MASTER_DATABASE!$A$4:$A$1000,ROW()-3)="","",INDEX(MASTER_DATABASE!$AM$4:$AM$1000,ROW()-3)&amp;"")</f>
        <v>Certificates</v>
      </c>
      <c r="I82" s="7" t="str">
        <f aca="false">IF(INDEX(MASTER_DATABASE!$A$4:$A$1000,ROW()-3)="","",INDEX(MASTER_DATABASE!$AO$4:$AO$1000,ROW()-3)&amp;"")</f>
        <v>income-certificate-application</v>
      </c>
      <c r="J82" s="7" t="str">
        <f aca="false">IF(INDEX(MASTER_DATABASE!$A$4:$A$1000,ROW()-3)="","",INDEX(MASTER_DATABASE!$BD$4:$BD$1000,ROW()-3)&amp;"")</f>
        <v>/services/income-certificate-application</v>
      </c>
      <c r="K82" s="7" t="str">
        <f aca="false">IF(INDEX(MASTER_DATABASE!$A$4:$A$1000,ROW()-3)="","",INDEX(MASTER_DATABASE!$AX$4:$AX$1000,ROW()-3)&amp;"")</f>
        <v>Income Certificate – Application Service | Devmobile Stores</v>
      </c>
      <c r="L82" s="7" t="str">
        <f aca="false">IF(INDEX(MASTER_DATABASE!$A$4:$A$1000,ROW()-3)="","",INDEX(MASTER_DATABASE!$AY$4:$AY$1000,ROW()-3)&amp;"")</f>
        <v>Income Certificate – Application (आय प्रमाण पत्र – आवेदन) at Devmobile Stores and Common Service Center &amp; Aadhaar Centre. Check required documents, charges and process before you visit.</v>
      </c>
      <c r="M82" s="7" t="str">
        <f aca="false">IF(INDEX(MASTER_DATABASE!$A$4:$A$1000,ROW()-3)="","",INDEX(MASTER_DATABASE!$AN$4:$AN$1000,ROW()-3)&amp;"")</f>
        <v>Income Certificate – Application, BASUDHA Kendra, Devmobile Stores, आय प्रमाण पत्र – आवेदन, बसुधा केंद्र, सेवा</v>
      </c>
      <c r="N82" s="7" t="str">
        <f aca="false">IF(INDEX(MASTER_DATABASE!$A$4:$A$1000,ROW()-3)="","",INDEX(MASTER_DATABASE!$AZ$4:$AZ$1000,ROW()-3)&amp;"")</f>
        <v>आय प्रमाण पत्र – आवेदन, बसुधा केंद्र, सेवा</v>
      </c>
      <c r="O82" s="7" t="str">
        <f aca="false">IF(INDEX(MASTER_DATABASE!$A$4:$A$1000,ROW()-3)="","",INDEX(MASTER_DATABASE!$BA$4:$BA$1000,ROW()-3)&amp;"")</f>
        <v>Income Certificate – Application, BASUDHA Kendra, Devmobile Stores</v>
      </c>
      <c r="P82" s="11" t="str">
        <f aca="false">IF(INDEX(MASTER_DATABASE!$A$4:$A$1000,ROW()-3)="","",INDEX(MASTER_DATABASE!$AP$4:$AP$1000,ROW()-3)&amp;"")</f>
        <v>📜</v>
      </c>
      <c r="Q82" s="7" t="str">
        <f aca="false">IF(INDEX(MASTER_DATABASE!$A$4:$A$1000,ROW()-3)="","",INDEX(MASTER_DATABASE!$BB$4:$BB$1000,ROW()-3)&amp;"")</f>
        <v/>
      </c>
      <c r="R82" s="11" t="str">
        <f aca="false">IF(INDEX(MASTER_DATABASE!$A$4:$A$1000,ROW()-3)="","",INDEX(MASTER_DATABASE!$BC$4:$BC$1000,ROW()-3)&amp;"")</f>
        <v>🏛️</v>
      </c>
      <c r="S82" s="11" t="n">
        <f aca="false">IF(INDEX(MASTER_DATABASE!$A$4:$A$1000,ROW()-3)="","",INDEX(MASTER_DATABASE!$AQ$4:$AQ$1000,ROW()-3))</f>
        <v>10</v>
      </c>
      <c r="T82" s="7" t="str">
        <f aca="false">IF(INDEX(MASTER_DATABASE!$A$4:$A$1000,ROW()-3)="","",INDEX(MASTER_DATABASE!$I$4:$I$1000,ROW()-3)&amp;"")</f>
        <v>Portal Dependent</v>
      </c>
      <c r="U82" s="7" t="str">
        <f aca="false">IF(INDEX(MASTER_DATABASE!$A$4:$A$1000,ROW()-3)="","",INDEX(MASTER_DATABASE!$J$4:$J$1000,ROW()-3)&amp;"")</f>
        <v>Depends on Portal – Confirm at Shop</v>
      </c>
      <c r="V82" s="7" t="str">
        <f aca="false">IF(INDEX(MASTER_DATABASE!$A$4:$A$1000,ROW()-3)="","",INDEX(MASTER_DATABASE!$AG$4:$AG$1000,ROW()-3)&amp;"")</f>
        <v>To Verify</v>
      </c>
      <c r="W82" s="7" t="str">
        <f aca="false">IF(INDEX(MASTER_DATABASE!$A$4:$A$1000,ROW()-3)="","",INDEX(MASTER_DATABASE!$AH$4:$AH$1000,ROW()-3)&amp;"")</f>
        <v>No</v>
      </c>
      <c r="X82" s="7" t="str">
        <f aca="false">IF(INDEX(MASTER_DATABASE!$A$4:$A$1000,ROW()-3)="","",INDEX(MASTER_DATABASE!$AI$4:$AI$1000,ROW()-3)&amp;"")</f>
        <v>No</v>
      </c>
      <c r="Y82" s="7" t="str">
        <f aca="false">IF(INDEX(MASTER_DATABASE!$A$4:$A$1000,ROW()-3)="","",INDEX(MASTER_DATABASE!$AJ$4:$AJ$1000,ROW()-3)&amp;"")</f>
        <v>No</v>
      </c>
      <c r="Z82" s="7" t="str">
        <f aca="false">IF(INDEX(MASTER_DATABASE!$A$4:$A$1000,ROW()-3)="","",INDEX(MASTER_DATABASE!$AK$4:$AK$1000,ROW()-3)&amp;"")</f>
        <v>No</v>
      </c>
      <c r="AA82" s="7" t="str">
        <f aca="false">IF(INDEX(MASTER_DATABASE!$A$4:$A$1000,ROW()-3)="","",INDEX(MASTER_DATABASE!$BE$4:$BE$1000,ROW()-3)&amp;"")</f>
        <v>HIDDEN</v>
      </c>
    </row>
    <row r="83" customFormat="false" ht="46.25" hidden="false" customHeight="false" outlineLevel="0" collapsed="false">
      <c r="A83" s="11" t="str">
        <f aca="false">IF(INDEX(MASTER_DATABASE!$A$4:$A$1000,ROW()-3)="","",INDEX(MASTER_DATABASE!$A$4:$A$1000,ROW()-3)&amp;"")</f>
        <v>BAS-002</v>
      </c>
      <c r="B83" s="7" t="str">
        <f aca="false">IF(INDEX(MASTER_DATABASE!$A$4:$A$1000,ROW()-3)="","",INDEX(MASTER_DATABASE!$B$4:$B$1000,ROW()-3)&amp;"")</f>
        <v>BASUDHA Kendra</v>
      </c>
      <c r="C83" s="7" t="str">
        <f aca="false">IF(INDEX(MASTER_DATABASE!$A$4:$A$1000,ROW()-3)="","",INDEX(MASTER_DATABASE!$C$4:$C$1000,ROW()-3)&amp;"")</f>
        <v>Government Services</v>
      </c>
      <c r="D83" s="7" t="str">
        <f aca="false">IF(INDEX(MASTER_DATABASE!$A$4:$A$1000,ROW()-3)="","",INDEX(MASTER_DATABASE!$D$4:$D$1000,ROW()-3)&amp;"")</f>
        <v>Certificates</v>
      </c>
      <c r="E83" s="7" t="str">
        <f aca="false">IF(INDEX(MASTER_DATABASE!$A$4:$A$1000,ROW()-3)="","",INDEX(MASTER_DATABASE!$E$4:$E$1000,ROW()-3)&amp;"")</f>
        <v>Caste Certificate – Application</v>
      </c>
      <c r="F83" s="7" t="str">
        <f aca="false">IF(INDEX(MASTER_DATABASE!$A$4:$A$1000,ROW()-3)="","",INDEX(MASTER_DATABASE!$F$4:$F$1000,ROW()-3)&amp;"")</f>
        <v>जाति प्रमाण पत्र – आवेदन</v>
      </c>
      <c r="G83" s="7" t="str">
        <f aca="false">IF(INDEX(MASTER_DATABASE!$A$4:$A$1000,ROW()-3)="","",INDEX(MASTER_DATABASE!$AL$4:$AL$1000,ROW()-3)&amp;"")</f>
        <v>BASUDHA Kendra</v>
      </c>
      <c r="H83" s="7" t="str">
        <f aca="false">IF(INDEX(MASTER_DATABASE!$A$4:$A$1000,ROW()-3)="","",INDEX(MASTER_DATABASE!$AM$4:$AM$1000,ROW()-3)&amp;"")</f>
        <v>Certificates</v>
      </c>
      <c r="I83" s="7" t="str">
        <f aca="false">IF(INDEX(MASTER_DATABASE!$A$4:$A$1000,ROW()-3)="","",INDEX(MASTER_DATABASE!$AO$4:$AO$1000,ROW()-3)&amp;"")</f>
        <v>caste-certificate-application</v>
      </c>
      <c r="J83" s="7" t="str">
        <f aca="false">IF(INDEX(MASTER_DATABASE!$A$4:$A$1000,ROW()-3)="","",INDEX(MASTER_DATABASE!$BD$4:$BD$1000,ROW()-3)&amp;"")</f>
        <v>/services/caste-certificate-application</v>
      </c>
      <c r="K83" s="7" t="str">
        <f aca="false">IF(INDEX(MASTER_DATABASE!$A$4:$A$1000,ROW()-3)="","",INDEX(MASTER_DATABASE!$AX$4:$AX$1000,ROW()-3)&amp;"")</f>
        <v>Caste Certificate – Application Service | Devmobile Stores</v>
      </c>
      <c r="L83" s="7" t="str">
        <f aca="false">IF(INDEX(MASTER_DATABASE!$A$4:$A$1000,ROW()-3)="","",INDEX(MASTER_DATABASE!$AY$4:$AY$1000,ROW()-3)&amp;"")</f>
        <v>Caste Certificate – Application (जाति प्रमाण पत्र – आवेदन) at Devmobile Stores and Common Service Center &amp; Aadhaar Centre. Check required documents, charges and process before you visit.</v>
      </c>
      <c r="M83" s="7" t="str">
        <f aca="false">IF(INDEX(MASTER_DATABASE!$A$4:$A$1000,ROW()-3)="","",INDEX(MASTER_DATABASE!$AN$4:$AN$1000,ROW()-3)&amp;"")</f>
        <v>Caste Certificate – Application, BASUDHA Kendra, Devmobile Stores, जाति प्रमाण पत्र – आवेदन, बसुधा केंद्र, सेवा</v>
      </c>
      <c r="N83" s="7" t="str">
        <f aca="false">IF(INDEX(MASTER_DATABASE!$A$4:$A$1000,ROW()-3)="","",INDEX(MASTER_DATABASE!$AZ$4:$AZ$1000,ROW()-3)&amp;"")</f>
        <v>जाति प्रमाण पत्र – आवेदन, बसुधा केंद्र, सेवा</v>
      </c>
      <c r="O83" s="7" t="str">
        <f aca="false">IF(INDEX(MASTER_DATABASE!$A$4:$A$1000,ROW()-3)="","",INDEX(MASTER_DATABASE!$BA$4:$BA$1000,ROW()-3)&amp;"")</f>
        <v>Caste Certificate – Application, BASUDHA Kendra, Devmobile Stores</v>
      </c>
      <c r="P83" s="11" t="str">
        <f aca="false">IF(INDEX(MASTER_DATABASE!$A$4:$A$1000,ROW()-3)="","",INDEX(MASTER_DATABASE!$AP$4:$AP$1000,ROW()-3)&amp;"")</f>
        <v>📜</v>
      </c>
      <c r="Q83" s="7" t="str">
        <f aca="false">IF(INDEX(MASTER_DATABASE!$A$4:$A$1000,ROW()-3)="","",INDEX(MASTER_DATABASE!$BB$4:$BB$1000,ROW()-3)&amp;"")</f>
        <v/>
      </c>
      <c r="R83" s="11" t="str">
        <f aca="false">IF(INDEX(MASTER_DATABASE!$A$4:$A$1000,ROW()-3)="","",INDEX(MASTER_DATABASE!$BC$4:$BC$1000,ROW()-3)&amp;"")</f>
        <v>🏛️</v>
      </c>
      <c r="S83" s="11" t="n">
        <f aca="false">IF(INDEX(MASTER_DATABASE!$A$4:$A$1000,ROW()-3)="","",INDEX(MASTER_DATABASE!$AQ$4:$AQ$1000,ROW()-3))</f>
        <v>20</v>
      </c>
      <c r="T83" s="7" t="str">
        <f aca="false">IF(INDEX(MASTER_DATABASE!$A$4:$A$1000,ROW()-3)="","",INDEX(MASTER_DATABASE!$I$4:$I$1000,ROW()-3)&amp;"")</f>
        <v>Portal Dependent</v>
      </c>
      <c r="U83" s="7" t="str">
        <f aca="false">IF(INDEX(MASTER_DATABASE!$A$4:$A$1000,ROW()-3)="","",INDEX(MASTER_DATABASE!$J$4:$J$1000,ROW()-3)&amp;"")</f>
        <v>Depends on Portal – Confirm at Shop</v>
      </c>
      <c r="V83" s="7" t="str">
        <f aca="false">IF(INDEX(MASTER_DATABASE!$A$4:$A$1000,ROW()-3)="","",INDEX(MASTER_DATABASE!$AG$4:$AG$1000,ROW()-3)&amp;"")</f>
        <v>To Verify</v>
      </c>
      <c r="W83" s="7" t="str">
        <f aca="false">IF(INDEX(MASTER_DATABASE!$A$4:$A$1000,ROW()-3)="","",INDEX(MASTER_DATABASE!$AH$4:$AH$1000,ROW()-3)&amp;"")</f>
        <v>No</v>
      </c>
      <c r="X83" s="7" t="str">
        <f aca="false">IF(INDEX(MASTER_DATABASE!$A$4:$A$1000,ROW()-3)="","",INDEX(MASTER_DATABASE!$AI$4:$AI$1000,ROW()-3)&amp;"")</f>
        <v>No</v>
      </c>
      <c r="Y83" s="7" t="str">
        <f aca="false">IF(INDEX(MASTER_DATABASE!$A$4:$A$1000,ROW()-3)="","",INDEX(MASTER_DATABASE!$AJ$4:$AJ$1000,ROW()-3)&amp;"")</f>
        <v>No</v>
      </c>
      <c r="Z83" s="7" t="str">
        <f aca="false">IF(INDEX(MASTER_DATABASE!$A$4:$A$1000,ROW()-3)="","",INDEX(MASTER_DATABASE!$AK$4:$AK$1000,ROW()-3)&amp;"")</f>
        <v>No</v>
      </c>
      <c r="AA83" s="7" t="str">
        <f aca="false">IF(INDEX(MASTER_DATABASE!$A$4:$A$1000,ROW()-3)="","",INDEX(MASTER_DATABASE!$BE$4:$BE$1000,ROW()-3)&amp;"")</f>
        <v>HIDDEN</v>
      </c>
    </row>
    <row r="84" customFormat="false" ht="46.25" hidden="false" customHeight="false" outlineLevel="0" collapsed="false">
      <c r="A84" s="11" t="str">
        <f aca="false">IF(INDEX(MASTER_DATABASE!$A$4:$A$1000,ROW()-3)="","",INDEX(MASTER_DATABASE!$A$4:$A$1000,ROW()-3)&amp;"")</f>
        <v>BAS-003</v>
      </c>
      <c r="B84" s="7" t="str">
        <f aca="false">IF(INDEX(MASTER_DATABASE!$A$4:$A$1000,ROW()-3)="","",INDEX(MASTER_DATABASE!$B$4:$B$1000,ROW()-3)&amp;"")</f>
        <v>BASUDHA Kendra</v>
      </c>
      <c r="C84" s="7" t="str">
        <f aca="false">IF(INDEX(MASTER_DATABASE!$A$4:$A$1000,ROW()-3)="","",INDEX(MASTER_DATABASE!$C$4:$C$1000,ROW()-3)&amp;"")</f>
        <v>Government Services</v>
      </c>
      <c r="D84" s="7" t="str">
        <f aca="false">IF(INDEX(MASTER_DATABASE!$A$4:$A$1000,ROW()-3)="","",INDEX(MASTER_DATABASE!$D$4:$D$1000,ROW()-3)&amp;"")</f>
        <v>Certificates</v>
      </c>
      <c r="E84" s="7" t="str">
        <f aca="false">IF(INDEX(MASTER_DATABASE!$A$4:$A$1000,ROW()-3)="","",INDEX(MASTER_DATABASE!$E$4:$E$1000,ROW()-3)&amp;"")</f>
        <v>Residence Certificate – Application</v>
      </c>
      <c r="F84" s="7" t="str">
        <f aca="false">IF(INDEX(MASTER_DATABASE!$A$4:$A$1000,ROW()-3)="","",INDEX(MASTER_DATABASE!$F$4:$F$1000,ROW()-3)&amp;"")</f>
        <v>निवास प्रमाण पत्र – आवेदन</v>
      </c>
      <c r="G84" s="7" t="str">
        <f aca="false">IF(INDEX(MASTER_DATABASE!$A$4:$A$1000,ROW()-3)="","",INDEX(MASTER_DATABASE!$AL$4:$AL$1000,ROW()-3)&amp;"")</f>
        <v>BASUDHA Kendra</v>
      </c>
      <c r="H84" s="7" t="str">
        <f aca="false">IF(INDEX(MASTER_DATABASE!$A$4:$A$1000,ROW()-3)="","",INDEX(MASTER_DATABASE!$AM$4:$AM$1000,ROW()-3)&amp;"")</f>
        <v>Certificates</v>
      </c>
      <c r="I84" s="7" t="str">
        <f aca="false">IF(INDEX(MASTER_DATABASE!$A$4:$A$1000,ROW()-3)="","",INDEX(MASTER_DATABASE!$AO$4:$AO$1000,ROW()-3)&amp;"")</f>
        <v>residence-certificate-application</v>
      </c>
      <c r="J84" s="7" t="str">
        <f aca="false">IF(INDEX(MASTER_DATABASE!$A$4:$A$1000,ROW()-3)="","",INDEX(MASTER_DATABASE!$BD$4:$BD$1000,ROW()-3)&amp;"")</f>
        <v>/services/residence-certificate-application</v>
      </c>
      <c r="K84" s="7" t="str">
        <f aca="false">IF(INDEX(MASTER_DATABASE!$A$4:$A$1000,ROW()-3)="","",INDEX(MASTER_DATABASE!$AX$4:$AX$1000,ROW()-3)&amp;"")</f>
        <v>Residence Certificate – Application Service | Devmobile Stores</v>
      </c>
      <c r="L84" s="7" t="str">
        <f aca="false">IF(INDEX(MASTER_DATABASE!$A$4:$A$1000,ROW()-3)="","",INDEX(MASTER_DATABASE!$AY$4:$AY$1000,ROW()-3)&amp;"")</f>
        <v>Residence Certificate – Application (निवास प्रमाण पत्र – आवेदन) at Devmobile Stores and Common Service Center &amp; Aadhaar Centre. Check required documents, charges and process before you visit.</v>
      </c>
      <c r="M84" s="7" t="str">
        <f aca="false">IF(INDEX(MASTER_DATABASE!$A$4:$A$1000,ROW()-3)="","",INDEX(MASTER_DATABASE!$AN$4:$AN$1000,ROW()-3)&amp;"")</f>
        <v>Residence Certificate – Application, BASUDHA Kendra, Devmobile Stores, निवास प्रमाण पत्र – आवेदन, बसुधा केंद्र, सेवा</v>
      </c>
      <c r="N84" s="7" t="str">
        <f aca="false">IF(INDEX(MASTER_DATABASE!$A$4:$A$1000,ROW()-3)="","",INDEX(MASTER_DATABASE!$AZ$4:$AZ$1000,ROW()-3)&amp;"")</f>
        <v>निवास प्रमाण पत्र – आवेदन, बसुधा केंद्र, सेवा</v>
      </c>
      <c r="O84" s="7" t="str">
        <f aca="false">IF(INDEX(MASTER_DATABASE!$A$4:$A$1000,ROW()-3)="","",INDEX(MASTER_DATABASE!$BA$4:$BA$1000,ROW()-3)&amp;"")</f>
        <v>Residence Certificate – Application, BASUDHA Kendra, Devmobile Stores</v>
      </c>
      <c r="P84" s="11" t="str">
        <f aca="false">IF(INDEX(MASTER_DATABASE!$A$4:$A$1000,ROW()-3)="","",INDEX(MASTER_DATABASE!$AP$4:$AP$1000,ROW()-3)&amp;"")</f>
        <v>📜</v>
      </c>
      <c r="Q84" s="7" t="str">
        <f aca="false">IF(INDEX(MASTER_DATABASE!$A$4:$A$1000,ROW()-3)="","",INDEX(MASTER_DATABASE!$BB$4:$BB$1000,ROW()-3)&amp;"")</f>
        <v/>
      </c>
      <c r="R84" s="11" t="str">
        <f aca="false">IF(INDEX(MASTER_DATABASE!$A$4:$A$1000,ROW()-3)="","",INDEX(MASTER_DATABASE!$BC$4:$BC$1000,ROW()-3)&amp;"")</f>
        <v>🏛️</v>
      </c>
      <c r="S84" s="11" t="n">
        <f aca="false">IF(INDEX(MASTER_DATABASE!$A$4:$A$1000,ROW()-3)="","",INDEX(MASTER_DATABASE!$AQ$4:$AQ$1000,ROW()-3))</f>
        <v>30</v>
      </c>
      <c r="T84" s="7" t="str">
        <f aca="false">IF(INDEX(MASTER_DATABASE!$A$4:$A$1000,ROW()-3)="","",INDEX(MASTER_DATABASE!$I$4:$I$1000,ROW()-3)&amp;"")</f>
        <v>Portal Dependent</v>
      </c>
      <c r="U84" s="7" t="str">
        <f aca="false">IF(INDEX(MASTER_DATABASE!$A$4:$A$1000,ROW()-3)="","",INDEX(MASTER_DATABASE!$J$4:$J$1000,ROW()-3)&amp;"")</f>
        <v>Depends on Portal – Confirm at Shop</v>
      </c>
      <c r="V84" s="7" t="str">
        <f aca="false">IF(INDEX(MASTER_DATABASE!$A$4:$A$1000,ROW()-3)="","",INDEX(MASTER_DATABASE!$AG$4:$AG$1000,ROW()-3)&amp;"")</f>
        <v>To Verify</v>
      </c>
      <c r="W84" s="7" t="str">
        <f aca="false">IF(INDEX(MASTER_DATABASE!$A$4:$A$1000,ROW()-3)="","",INDEX(MASTER_DATABASE!$AH$4:$AH$1000,ROW()-3)&amp;"")</f>
        <v>No</v>
      </c>
      <c r="X84" s="7" t="str">
        <f aca="false">IF(INDEX(MASTER_DATABASE!$A$4:$A$1000,ROW()-3)="","",INDEX(MASTER_DATABASE!$AI$4:$AI$1000,ROW()-3)&amp;"")</f>
        <v>No</v>
      </c>
      <c r="Y84" s="7" t="str">
        <f aca="false">IF(INDEX(MASTER_DATABASE!$A$4:$A$1000,ROW()-3)="","",INDEX(MASTER_DATABASE!$AJ$4:$AJ$1000,ROW()-3)&amp;"")</f>
        <v>No</v>
      </c>
      <c r="Z84" s="7" t="str">
        <f aca="false">IF(INDEX(MASTER_DATABASE!$A$4:$A$1000,ROW()-3)="","",INDEX(MASTER_DATABASE!$AK$4:$AK$1000,ROW()-3)&amp;"")</f>
        <v>No</v>
      </c>
      <c r="AA84" s="7" t="str">
        <f aca="false">IF(INDEX(MASTER_DATABASE!$A$4:$A$1000,ROW()-3)="","",INDEX(MASTER_DATABASE!$BE$4:$BE$1000,ROW()-3)&amp;"")</f>
        <v>HIDDEN</v>
      </c>
    </row>
    <row r="85" customFormat="false" ht="46.25" hidden="false" customHeight="false" outlineLevel="0" collapsed="false">
      <c r="A85" s="11" t="str">
        <f aca="false">IF(INDEX(MASTER_DATABASE!$A$4:$A$1000,ROW()-3)="","",INDEX(MASTER_DATABASE!$A$4:$A$1000,ROW()-3)&amp;"")</f>
        <v>BAS-004</v>
      </c>
      <c r="B85" s="7" t="str">
        <f aca="false">IF(INDEX(MASTER_DATABASE!$A$4:$A$1000,ROW()-3)="","",INDEX(MASTER_DATABASE!$B$4:$B$1000,ROW()-3)&amp;"")</f>
        <v>BASUDHA Kendra</v>
      </c>
      <c r="C85" s="7" t="str">
        <f aca="false">IF(INDEX(MASTER_DATABASE!$A$4:$A$1000,ROW()-3)="","",INDEX(MASTER_DATABASE!$C$4:$C$1000,ROW()-3)&amp;"")</f>
        <v>Government Services</v>
      </c>
      <c r="D85" s="7" t="str">
        <f aca="false">IF(INDEX(MASTER_DATABASE!$A$4:$A$1000,ROW()-3)="","",INDEX(MASTER_DATABASE!$D$4:$D$1000,ROW()-3)&amp;"")</f>
        <v>Certificates</v>
      </c>
      <c r="E85" s="7" t="str">
        <f aca="false">IF(INDEX(MASTER_DATABASE!$A$4:$A$1000,ROW()-3)="","",INDEX(MASTER_DATABASE!$E$4:$E$1000,ROW()-3)&amp;"")</f>
        <v>EWS Certificate – Application</v>
      </c>
      <c r="F85" s="7" t="str">
        <f aca="false">IF(INDEX(MASTER_DATABASE!$A$4:$A$1000,ROW()-3)="","",INDEX(MASTER_DATABASE!$F$4:$F$1000,ROW()-3)&amp;"")</f>
        <v>EWS प्रमाण पत्र – आवेदन</v>
      </c>
      <c r="G85" s="7" t="str">
        <f aca="false">IF(INDEX(MASTER_DATABASE!$A$4:$A$1000,ROW()-3)="","",INDEX(MASTER_DATABASE!$AL$4:$AL$1000,ROW()-3)&amp;"")</f>
        <v>BASUDHA Kendra</v>
      </c>
      <c r="H85" s="7" t="str">
        <f aca="false">IF(INDEX(MASTER_DATABASE!$A$4:$A$1000,ROW()-3)="","",INDEX(MASTER_DATABASE!$AM$4:$AM$1000,ROW()-3)&amp;"")</f>
        <v>Certificates</v>
      </c>
      <c r="I85" s="7" t="str">
        <f aca="false">IF(INDEX(MASTER_DATABASE!$A$4:$A$1000,ROW()-3)="","",INDEX(MASTER_DATABASE!$AO$4:$AO$1000,ROW()-3)&amp;"")</f>
        <v>ews-certificate-application</v>
      </c>
      <c r="J85" s="7" t="str">
        <f aca="false">IF(INDEX(MASTER_DATABASE!$A$4:$A$1000,ROW()-3)="","",INDEX(MASTER_DATABASE!$BD$4:$BD$1000,ROW()-3)&amp;"")</f>
        <v>/services/ews-certificate-application</v>
      </c>
      <c r="K85" s="7" t="str">
        <f aca="false">IF(INDEX(MASTER_DATABASE!$A$4:$A$1000,ROW()-3)="","",INDEX(MASTER_DATABASE!$AX$4:$AX$1000,ROW()-3)&amp;"")</f>
        <v>EWS Certificate – Application Service | Devmobile Stores</v>
      </c>
      <c r="L85" s="7" t="str">
        <f aca="false">IF(INDEX(MASTER_DATABASE!$A$4:$A$1000,ROW()-3)="","",INDEX(MASTER_DATABASE!$AY$4:$AY$1000,ROW()-3)&amp;"")</f>
        <v>EWS Certificate – Application (EWS प्रमाण पत्र – आवेदन) at Devmobile Stores and Common Service Center &amp; Aadhaar Centre. Check required documents, charges and process before you visit.</v>
      </c>
      <c r="M85" s="7" t="str">
        <f aca="false">IF(INDEX(MASTER_DATABASE!$A$4:$A$1000,ROW()-3)="","",INDEX(MASTER_DATABASE!$AN$4:$AN$1000,ROW()-3)&amp;"")</f>
        <v>EWS Certificate – Application, BASUDHA Kendra, Devmobile Stores, EWS प्रमाण पत्र – आवेदन, बसुधा केंद्र, सेवा</v>
      </c>
      <c r="N85" s="7" t="str">
        <f aca="false">IF(INDEX(MASTER_DATABASE!$A$4:$A$1000,ROW()-3)="","",INDEX(MASTER_DATABASE!$AZ$4:$AZ$1000,ROW()-3)&amp;"")</f>
        <v>EWS प्रमाण पत्र – आवेदन, बसुधा केंद्र, सेवा</v>
      </c>
      <c r="O85" s="7" t="str">
        <f aca="false">IF(INDEX(MASTER_DATABASE!$A$4:$A$1000,ROW()-3)="","",INDEX(MASTER_DATABASE!$BA$4:$BA$1000,ROW()-3)&amp;"")</f>
        <v>EWS Certificate – Application, BASUDHA Kendra, Devmobile Stores</v>
      </c>
      <c r="P85" s="11" t="str">
        <f aca="false">IF(INDEX(MASTER_DATABASE!$A$4:$A$1000,ROW()-3)="","",INDEX(MASTER_DATABASE!$AP$4:$AP$1000,ROW()-3)&amp;"")</f>
        <v>📜</v>
      </c>
      <c r="Q85" s="7" t="str">
        <f aca="false">IF(INDEX(MASTER_DATABASE!$A$4:$A$1000,ROW()-3)="","",INDEX(MASTER_DATABASE!$BB$4:$BB$1000,ROW()-3)&amp;"")</f>
        <v/>
      </c>
      <c r="R85" s="11" t="str">
        <f aca="false">IF(INDEX(MASTER_DATABASE!$A$4:$A$1000,ROW()-3)="","",INDEX(MASTER_DATABASE!$BC$4:$BC$1000,ROW()-3)&amp;"")</f>
        <v>🏛️</v>
      </c>
      <c r="S85" s="11" t="n">
        <f aca="false">IF(INDEX(MASTER_DATABASE!$A$4:$A$1000,ROW()-3)="","",INDEX(MASTER_DATABASE!$AQ$4:$AQ$1000,ROW()-3))</f>
        <v>40</v>
      </c>
      <c r="T85" s="7" t="str">
        <f aca="false">IF(INDEX(MASTER_DATABASE!$A$4:$A$1000,ROW()-3)="","",INDEX(MASTER_DATABASE!$I$4:$I$1000,ROW()-3)&amp;"")</f>
        <v>Portal Dependent</v>
      </c>
      <c r="U85" s="7" t="str">
        <f aca="false">IF(INDEX(MASTER_DATABASE!$A$4:$A$1000,ROW()-3)="","",INDEX(MASTER_DATABASE!$J$4:$J$1000,ROW()-3)&amp;"")</f>
        <v>Depends on Portal – Confirm at Shop</v>
      </c>
      <c r="V85" s="7" t="str">
        <f aca="false">IF(INDEX(MASTER_DATABASE!$A$4:$A$1000,ROW()-3)="","",INDEX(MASTER_DATABASE!$AG$4:$AG$1000,ROW()-3)&amp;"")</f>
        <v>To Verify</v>
      </c>
      <c r="W85" s="7" t="str">
        <f aca="false">IF(INDEX(MASTER_DATABASE!$A$4:$A$1000,ROW()-3)="","",INDEX(MASTER_DATABASE!$AH$4:$AH$1000,ROW()-3)&amp;"")</f>
        <v>No</v>
      </c>
      <c r="X85" s="7" t="str">
        <f aca="false">IF(INDEX(MASTER_DATABASE!$A$4:$A$1000,ROW()-3)="","",INDEX(MASTER_DATABASE!$AI$4:$AI$1000,ROW()-3)&amp;"")</f>
        <v>No</v>
      </c>
      <c r="Y85" s="7" t="str">
        <f aca="false">IF(INDEX(MASTER_DATABASE!$A$4:$A$1000,ROW()-3)="","",INDEX(MASTER_DATABASE!$AJ$4:$AJ$1000,ROW()-3)&amp;"")</f>
        <v>No</v>
      </c>
      <c r="Z85" s="7" t="str">
        <f aca="false">IF(INDEX(MASTER_DATABASE!$A$4:$A$1000,ROW()-3)="","",INDEX(MASTER_DATABASE!$AK$4:$AK$1000,ROW()-3)&amp;"")</f>
        <v>No</v>
      </c>
      <c r="AA85" s="7" t="str">
        <f aca="false">IF(INDEX(MASTER_DATABASE!$A$4:$A$1000,ROW()-3)="","",INDEX(MASTER_DATABASE!$BE$4:$BE$1000,ROW()-3)&amp;"")</f>
        <v>HIDDEN</v>
      </c>
    </row>
    <row r="86" customFormat="false" ht="57.45" hidden="false" customHeight="false" outlineLevel="0" collapsed="false">
      <c r="A86" s="11" t="str">
        <f aca="false">IF(INDEX(MASTER_DATABASE!$A$4:$A$1000,ROW()-3)="","",INDEX(MASTER_DATABASE!$A$4:$A$1000,ROW()-3)&amp;"")</f>
        <v>BAS-005</v>
      </c>
      <c r="B86" s="7" t="str">
        <f aca="false">IF(INDEX(MASTER_DATABASE!$A$4:$A$1000,ROW()-3)="","",INDEX(MASTER_DATABASE!$B$4:$B$1000,ROW()-3)&amp;"")</f>
        <v>BASUDHA Kendra</v>
      </c>
      <c r="C86" s="7" t="str">
        <f aca="false">IF(INDEX(MASTER_DATABASE!$A$4:$A$1000,ROW()-3)="","",INDEX(MASTER_DATABASE!$C$4:$C$1000,ROW()-3)&amp;"")</f>
        <v>Government Services</v>
      </c>
      <c r="D86" s="7" t="str">
        <f aca="false">IF(INDEX(MASTER_DATABASE!$A$4:$A$1000,ROW()-3)="","",INDEX(MASTER_DATABASE!$D$4:$D$1000,ROW()-3)&amp;"")</f>
        <v>Certificates</v>
      </c>
      <c r="E86" s="7" t="str">
        <f aca="false">IF(INDEX(MASTER_DATABASE!$A$4:$A$1000,ROW()-3)="","",INDEX(MASTER_DATABASE!$E$4:$E$1000,ROW()-3)&amp;"")</f>
        <v>Non-Creamy Layer (OBC / EBC) Certificate – Application</v>
      </c>
      <c r="F86" s="7" t="str">
        <f aca="false">IF(INDEX(MASTER_DATABASE!$A$4:$A$1000,ROW()-3)="","",INDEX(MASTER_DATABASE!$F$4:$F$1000,ROW()-3)&amp;"")</f>
        <v>नॉन-क्रीमी लेयर (OBC / EBC) प्रमाण पत्र – आवेदन</v>
      </c>
      <c r="G86" s="7" t="str">
        <f aca="false">IF(INDEX(MASTER_DATABASE!$A$4:$A$1000,ROW()-3)="","",INDEX(MASTER_DATABASE!$AL$4:$AL$1000,ROW()-3)&amp;"")</f>
        <v>BASUDHA Kendra</v>
      </c>
      <c r="H86" s="7" t="str">
        <f aca="false">IF(INDEX(MASTER_DATABASE!$A$4:$A$1000,ROW()-3)="","",INDEX(MASTER_DATABASE!$AM$4:$AM$1000,ROW()-3)&amp;"")</f>
        <v>Certificates</v>
      </c>
      <c r="I86" s="7" t="str">
        <f aca="false">IF(INDEX(MASTER_DATABASE!$A$4:$A$1000,ROW()-3)="","",INDEX(MASTER_DATABASE!$AO$4:$AO$1000,ROW()-3)&amp;"")</f>
        <v>non-creamy-layer-obc-ebc-certificate-application</v>
      </c>
      <c r="J86" s="7" t="str">
        <f aca="false">IF(INDEX(MASTER_DATABASE!$A$4:$A$1000,ROW()-3)="","",INDEX(MASTER_DATABASE!$BD$4:$BD$1000,ROW()-3)&amp;"")</f>
        <v>/services/non-creamy-layer-obc-ebc-certificate-application</v>
      </c>
      <c r="K86" s="7" t="str">
        <f aca="false">IF(INDEX(MASTER_DATABASE!$A$4:$A$1000,ROW()-3)="","",INDEX(MASTER_DATABASE!$AX$4:$AX$1000,ROW()-3)&amp;"")</f>
        <v>Non-Creamy Layer (OBC / EBC) Certificate – Application Service | Devmobile Stores</v>
      </c>
      <c r="L86" s="7" t="str">
        <f aca="false">IF(INDEX(MASTER_DATABASE!$A$4:$A$1000,ROW()-3)="","",INDEX(MASTER_DATABASE!$AY$4:$AY$1000,ROW()-3)&amp;"")</f>
        <v>Non-Creamy Layer (OBC / EBC) Certificate – Application (नॉन-क्रीमी लेयर (OBC / EBC) प्रमाण पत्र – आवेदन) at Devmobile Stores and Common Service Center &amp; Aadhaar Centre. Check required documents, charges and process before you visit.</v>
      </c>
      <c r="M86" s="7" t="str">
        <f aca="false">IF(INDEX(MASTER_DATABASE!$A$4:$A$1000,ROW()-3)="","",INDEX(MASTER_DATABASE!$AN$4:$AN$1000,ROW()-3)&amp;"")</f>
        <v>Non-Creamy Layer (OBC / EBC) Certificate – Application, BASUDHA Kendra, Devmobile Stores, नॉन-क्रीमी लेयर (OBC / EBC) प्रमाण पत्र – आवेदन, बसुधा केंद्र, सेवा</v>
      </c>
      <c r="N86" s="7" t="str">
        <f aca="false">IF(INDEX(MASTER_DATABASE!$A$4:$A$1000,ROW()-3)="","",INDEX(MASTER_DATABASE!$AZ$4:$AZ$1000,ROW()-3)&amp;"")</f>
        <v>नॉन-क्रीमी लेयर (OBC / EBC) प्रमाण पत्र – आवेदन, बसुधा केंद्र, सेवा</v>
      </c>
      <c r="O86" s="7" t="str">
        <f aca="false">IF(INDEX(MASTER_DATABASE!$A$4:$A$1000,ROW()-3)="","",INDEX(MASTER_DATABASE!$BA$4:$BA$1000,ROW()-3)&amp;"")</f>
        <v>Non-Creamy Layer (OBC / EBC) Certificate – Application, BASUDHA Kendra, Devmobile Stores</v>
      </c>
      <c r="P86" s="11" t="str">
        <f aca="false">IF(INDEX(MASTER_DATABASE!$A$4:$A$1000,ROW()-3)="","",INDEX(MASTER_DATABASE!$AP$4:$AP$1000,ROW()-3)&amp;"")</f>
        <v>📜</v>
      </c>
      <c r="Q86" s="7" t="str">
        <f aca="false">IF(INDEX(MASTER_DATABASE!$A$4:$A$1000,ROW()-3)="","",INDEX(MASTER_DATABASE!$BB$4:$BB$1000,ROW()-3)&amp;"")</f>
        <v/>
      </c>
      <c r="R86" s="11" t="str">
        <f aca="false">IF(INDEX(MASTER_DATABASE!$A$4:$A$1000,ROW()-3)="","",INDEX(MASTER_DATABASE!$BC$4:$BC$1000,ROW()-3)&amp;"")</f>
        <v>🏛️</v>
      </c>
      <c r="S86" s="11" t="n">
        <f aca="false">IF(INDEX(MASTER_DATABASE!$A$4:$A$1000,ROW()-3)="","",INDEX(MASTER_DATABASE!$AQ$4:$AQ$1000,ROW()-3))</f>
        <v>50</v>
      </c>
      <c r="T86" s="7" t="str">
        <f aca="false">IF(INDEX(MASTER_DATABASE!$A$4:$A$1000,ROW()-3)="","",INDEX(MASTER_DATABASE!$I$4:$I$1000,ROW()-3)&amp;"")</f>
        <v>Portal Dependent</v>
      </c>
      <c r="U86" s="7" t="str">
        <f aca="false">IF(INDEX(MASTER_DATABASE!$A$4:$A$1000,ROW()-3)="","",INDEX(MASTER_DATABASE!$J$4:$J$1000,ROW()-3)&amp;"")</f>
        <v>Depends on Portal – Confirm at Shop</v>
      </c>
      <c r="V86" s="7" t="str">
        <f aca="false">IF(INDEX(MASTER_DATABASE!$A$4:$A$1000,ROW()-3)="","",INDEX(MASTER_DATABASE!$AG$4:$AG$1000,ROW()-3)&amp;"")</f>
        <v>To Verify</v>
      </c>
      <c r="W86" s="7" t="str">
        <f aca="false">IF(INDEX(MASTER_DATABASE!$A$4:$A$1000,ROW()-3)="","",INDEX(MASTER_DATABASE!$AH$4:$AH$1000,ROW()-3)&amp;"")</f>
        <v>No</v>
      </c>
      <c r="X86" s="7" t="str">
        <f aca="false">IF(INDEX(MASTER_DATABASE!$A$4:$A$1000,ROW()-3)="","",INDEX(MASTER_DATABASE!$AI$4:$AI$1000,ROW()-3)&amp;"")</f>
        <v>No</v>
      </c>
      <c r="Y86" s="7" t="str">
        <f aca="false">IF(INDEX(MASTER_DATABASE!$A$4:$A$1000,ROW()-3)="","",INDEX(MASTER_DATABASE!$AJ$4:$AJ$1000,ROW()-3)&amp;"")</f>
        <v>No</v>
      </c>
      <c r="Z86" s="7" t="str">
        <f aca="false">IF(INDEX(MASTER_DATABASE!$A$4:$A$1000,ROW()-3)="","",INDEX(MASTER_DATABASE!$AK$4:$AK$1000,ROW()-3)&amp;"")</f>
        <v>No</v>
      </c>
      <c r="AA86" s="7" t="str">
        <f aca="false">IF(INDEX(MASTER_DATABASE!$A$4:$A$1000,ROW()-3)="","",INDEX(MASTER_DATABASE!$BE$4:$BE$1000,ROW()-3)&amp;"")</f>
        <v>HIDDEN</v>
      </c>
    </row>
    <row r="87" customFormat="false" ht="46.25" hidden="false" customHeight="false" outlineLevel="0" collapsed="false">
      <c r="A87" s="11" t="str">
        <f aca="false">IF(INDEX(MASTER_DATABASE!$A$4:$A$1000,ROW()-3)="","",INDEX(MASTER_DATABASE!$A$4:$A$1000,ROW()-3)&amp;"")</f>
        <v>BAS-006</v>
      </c>
      <c r="B87" s="7" t="str">
        <f aca="false">IF(INDEX(MASTER_DATABASE!$A$4:$A$1000,ROW()-3)="","",INDEX(MASTER_DATABASE!$B$4:$B$1000,ROW()-3)&amp;"")</f>
        <v>BASUDHA Kendra</v>
      </c>
      <c r="C87" s="7" t="str">
        <f aca="false">IF(INDEX(MASTER_DATABASE!$A$4:$A$1000,ROW()-3)="","",INDEX(MASTER_DATABASE!$C$4:$C$1000,ROW()-3)&amp;"")</f>
        <v>Government Services</v>
      </c>
      <c r="D87" s="7" t="str">
        <f aca="false">IF(INDEX(MASTER_DATABASE!$A$4:$A$1000,ROW()-3)="","",INDEX(MASTER_DATABASE!$D$4:$D$1000,ROW()-3)&amp;"")</f>
        <v>Certificates</v>
      </c>
      <c r="E87" s="7" t="str">
        <f aca="false">IF(INDEX(MASTER_DATABASE!$A$4:$A$1000,ROW()-3)="","",INDEX(MASTER_DATABASE!$E$4:$E$1000,ROW()-3)&amp;"")</f>
        <v>Birth Certificate – Application</v>
      </c>
      <c r="F87" s="7" t="str">
        <f aca="false">IF(INDEX(MASTER_DATABASE!$A$4:$A$1000,ROW()-3)="","",INDEX(MASTER_DATABASE!$F$4:$F$1000,ROW()-3)&amp;"")</f>
        <v>जन्म प्रमाण पत्र – आवेदन</v>
      </c>
      <c r="G87" s="7" t="str">
        <f aca="false">IF(INDEX(MASTER_DATABASE!$A$4:$A$1000,ROW()-3)="","",INDEX(MASTER_DATABASE!$AL$4:$AL$1000,ROW()-3)&amp;"")</f>
        <v>BASUDHA Kendra</v>
      </c>
      <c r="H87" s="7" t="str">
        <f aca="false">IF(INDEX(MASTER_DATABASE!$A$4:$A$1000,ROW()-3)="","",INDEX(MASTER_DATABASE!$AM$4:$AM$1000,ROW()-3)&amp;"")</f>
        <v>Certificates</v>
      </c>
      <c r="I87" s="7" t="str">
        <f aca="false">IF(INDEX(MASTER_DATABASE!$A$4:$A$1000,ROW()-3)="","",INDEX(MASTER_DATABASE!$AO$4:$AO$1000,ROW()-3)&amp;"")</f>
        <v>birth-certificate-application</v>
      </c>
      <c r="J87" s="7" t="str">
        <f aca="false">IF(INDEX(MASTER_DATABASE!$A$4:$A$1000,ROW()-3)="","",INDEX(MASTER_DATABASE!$BD$4:$BD$1000,ROW()-3)&amp;"")</f>
        <v>/services/birth-certificate-application</v>
      </c>
      <c r="K87" s="7" t="str">
        <f aca="false">IF(INDEX(MASTER_DATABASE!$A$4:$A$1000,ROW()-3)="","",INDEX(MASTER_DATABASE!$AX$4:$AX$1000,ROW()-3)&amp;"")</f>
        <v>Birth Certificate – Application Service | Devmobile Stores</v>
      </c>
      <c r="L87" s="7" t="str">
        <f aca="false">IF(INDEX(MASTER_DATABASE!$A$4:$A$1000,ROW()-3)="","",INDEX(MASTER_DATABASE!$AY$4:$AY$1000,ROW()-3)&amp;"")</f>
        <v>Birth Certificate – Application (जन्म प्रमाण पत्र – आवेदन) at Devmobile Stores and Common Service Center &amp; Aadhaar Centre. Check required documents, charges and process before you visit.</v>
      </c>
      <c r="M87" s="7" t="str">
        <f aca="false">IF(INDEX(MASTER_DATABASE!$A$4:$A$1000,ROW()-3)="","",INDEX(MASTER_DATABASE!$AN$4:$AN$1000,ROW()-3)&amp;"")</f>
        <v>Birth Certificate – Application, BASUDHA Kendra, Devmobile Stores, जन्म प्रमाण पत्र – आवेदन, बसुधा केंद्र, सेवा</v>
      </c>
      <c r="N87" s="7" t="str">
        <f aca="false">IF(INDEX(MASTER_DATABASE!$A$4:$A$1000,ROW()-3)="","",INDEX(MASTER_DATABASE!$AZ$4:$AZ$1000,ROW()-3)&amp;"")</f>
        <v>जन्म प्रमाण पत्र – आवेदन, बसुधा केंद्र, सेवा</v>
      </c>
      <c r="O87" s="7" t="str">
        <f aca="false">IF(INDEX(MASTER_DATABASE!$A$4:$A$1000,ROW()-3)="","",INDEX(MASTER_DATABASE!$BA$4:$BA$1000,ROW()-3)&amp;"")</f>
        <v>Birth Certificate – Application, BASUDHA Kendra, Devmobile Stores</v>
      </c>
      <c r="P87" s="11" t="str">
        <f aca="false">IF(INDEX(MASTER_DATABASE!$A$4:$A$1000,ROW()-3)="","",INDEX(MASTER_DATABASE!$AP$4:$AP$1000,ROW()-3)&amp;"")</f>
        <v>📜</v>
      </c>
      <c r="Q87" s="7" t="str">
        <f aca="false">IF(INDEX(MASTER_DATABASE!$A$4:$A$1000,ROW()-3)="","",INDEX(MASTER_DATABASE!$BB$4:$BB$1000,ROW()-3)&amp;"")</f>
        <v/>
      </c>
      <c r="R87" s="11" t="str">
        <f aca="false">IF(INDEX(MASTER_DATABASE!$A$4:$A$1000,ROW()-3)="","",INDEX(MASTER_DATABASE!$BC$4:$BC$1000,ROW()-3)&amp;"")</f>
        <v>🏛️</v>
      </c>
      <c r="S87" s="11" t="n">
        <f aca="false">IF(INDEX(MASTER_DATABASE!$A$4:$A$1000,ROW()-3)="","",INDEX(MASTER_DATABASE!$AQ$4:$AQ$1000,ROW()-3))</f>
        <v>60</v>
      </c>
      <c r="T87" s="7" t="str">
        <f aca="false">IF(INDEX(MASTER_DATABASE!$A$4:$A$1000,ROW()-3)="","",INDEX(MASTER_DATABASE!$I$4:$I$1000,ROW()-3)&amp;"")</f>
        <v>To Verify</v>
      </c>
      <c r="U87" s="7" t="str">
        <f aca="false">IF(INDEX(MASTER_DATABASE!$A$4:$A$1000,ROW()-3)="","",INDEX(MASTER_DATABASE!$J$4:$J$1000,ROW()-3)&amp;"")</f>
        <v>To Be Confirmed</v>
      </c>
      <c r="V87" s="7" t="str">
        <f aca="false">IF(INDEX(MASTER_DATABASE!$A$4:$A$1000,ROW()-3)="","",INDEX(MASTER_DATABASE!$AG$4:$AG$1000,ROW()-3)&amp;"")</f>
        <v>To Verify</v>
      </c>
      <c r="W87" s="7" t="str">
        <f aca="false">IF(INDEX(MASTER_DATABASE!$A$4:$A$1000,ROW()-3)="","",INDEX(MASTER_DATABASE!$AH$4:$AH$1000,ROW()-3)&amp;"")</f>
        <v>No</v>
      </c>
      <c r="X87" s="7" t="str">
        <f aca="false">IF(INDEX(MASTER_DATABASE!$A$4:$A$1000,ROW()-3)="","",INDEX(MASTER_DATABASE!$AI$4:$AI$1000,ROW()-3)&amp;"")</f>
        <v>No</v>
      </c>
      <c r="Y87" s="7" t="str">
        <f aca="false">IF(INDEX(MASTER_DATABASE!$A$4:$A$1000,ROW()-3)="","",INDEX(MASTER_DATABASE!$AJ$4:$AJ$1000,ROW()-3)&amp;"")</f>
        <v>No</v>
      </c>
      <c r="Z87" s="7" t="str">
        <f aca="false">IF(INDEX(MASTER_DATABASE!$A$4:$A$1000,ROW()-3)="","",INDEX(MASTER_DATABASE!$AK$4:$AK$1000,ROW()-3)&amp;"")</f>
        <v>No</v>
      </c>
      <c r="AA87" s="7" t="str">
        <f aca="false">IF(INDEX(MASTER_DATABASE!$A$4:$A$1000,ROW()-3)="","",INDEX(MASTER_DATABASE!$BE$4:$BE$1000,ROW()-3)&amp;"")</f>
        <v>HIDDEN</v>
      </c>
    </row>
    <row r="88" customFormat="false" ht="46.25" hidden="false" customHeight="false" outlineLevel="0" collapsed="false">
      <c r="A88" s="11" t="str">
        <f aca="false">IF(INDEX(MASTER_DATABASE!$A$4:$A$1000,ROW()-3)="","",INDEX(MASTER_DATABASE!$A$4:$A$1000,ROW()-3)&amp;"")</f>
        <v>BAS-007</v>
      </c>
      <c r="B88" s="7" t="str">
        <f aca="false">IF(INDEX(MASTER_DATABASE!$A$4:$A$1000,ROW()-3)="","",INDEX(MASTER_DATABASE!$B$4:$B$1000,ROW()-3)&amp;"")</f>
        <v>BASUDHA Kendra</v>
      </c>
      <c r="C88" s="7" t="str">
        <f aca="false">IF(INDEX(MASTER_DATABASE!$A$4:$A$1000,ROW()-3)="","",INDEX(MASTER_DATABASE!$C$4:$C$1000,ROW()-3)&amp;"")</f>
        <v>Government Services</v>
      </c>
      <c r="D88" s="7" t="str">
        <f aca="false">IF(INDEX(MASTER_DATABASE!$A$4:$A$1000,ROW()-3)="","",INDEX(MASTER_DATABASE!$D$4:$D$1000,ROW()-3)&amp;"")</f>
        <v>Certificates</v>
      </c>
      <c r="E88" s="7" t="str">
        <f aca="false">IF(INDEX(MASTER_DATABASE!$A$4:$A$1000,ROW()-3)="","",INDEX(MASTER_DATABASE!$E$4:$E$1000,ROW()-3)&amp;"")</f>
        <v>Death Certificate – Application</v>
      </c>
      <c r="F88" s="7" t="str">
        <f aca="false">IF(INDEX(MASTER_DATABASE!$A$4:$A$1000,ROW()-3)="","",INDEX(MASTER_DATABASE!$F$4:$F$1000,ROW()-3)&amp;"")</f>
        <v>मृत्यु प्रमाण पत्र – आवेदन</v>
      </c>
      <c r="G88" s="7" t="str">
        <f aca="false">IF(INDEX(MASTER_DATABASE!$A$4:$A$1000,ROW()-3)="","",INDEX(MASTER_DATABASE!$AL$4:$AL$1000,ROW()-3)&amp;"")</f>
        <v>BASUDHA Kendra</v>
      </c>
      <c r="H88" s="7" t="str">
        <f aca="false">IF(INDEX(MASTER_DATABASE!$A$4:$A$1000,ROW()-3)="","",INDEX(MASTER_DATABASE!$AM$4:$AM$1000,ROW()-3)&amp;"")</f>
        <v>Certificates</v>
      </c>
      <c r="I88" s="7" t="str">
        <f aca="false">IF(INDEX(MASTER_DATABASE!$A$4:$A$1000,ROW()-3)="","",INDEX(MASTER_DATABASE!$AO$4:$AO$1000,ROW()-3)&amp;"")</f>
        <v>death-certificate-application</v>
      </c>
      <c r="J88" s="7" t="str">
        <f aca="false">IF(INDEX(MASTER_DATABASE!$A$4:$A$1000,ROW()-3)="","",INDEX(MASTER_DATABASE!$BD$4:$BD$1000,ROW()-3)&amp;"")</f>
        <v>/services/death-certificate-application</v>
      </c>
      <c r="K88" s="7" t="str">
        <f aca="false">IF(INDEX(MASTER_DATABASE!$A$4:$A$1000,ROW()-3)="","",INDEX(MASTER_DATABASE!$AX$4:$AX$1000,ROW()-3)&amp;"")</f>
        <v>Death Certificate – Application Service | Devmobile Stores</v>
      </c>
      <c r="L88" s="7" t="str">
        <f aca="false">IF(INDEX(MASTER_DATABASE!$A$4:$A$1000,ROW()-3)="","",INDEX(MASTER_DATABASE!$AY$4:$AY$1000,ROW()-3)&amp;"")</f>
        <v>Death Certificate – Application (मृत्यु प्रमाण पत्र – आवेदन) at Devmobile Stores and Common Service Center &amp; Aadhaar Centre. Check required documents, charges and process before you visit.</v>
      </c>
      <c r="M88" s="7" t="str">
        <f aca="false">IF(INDEX(MASTER_DATABASE!$A$4:$A$1000,ROW()-3)="","",INDEX(MASTER_DATABASE!$AN$4:$AN$1000,ROW()-3)&amp;"")</f>
        <v>Death Certificate – Application, BASUDHA Kendra, Devmobile Stores, मृत्यु प्रमाण पत्र – आवेदन, बसुधा केंद्र, सेवा</v>
      </c>
      <c r="N88" s="7" t="str">
        <f aca="false">IF(INDEX(MASTER_DATABASE!$A$4:$A$1000,ROW()-3)="","",INDEX(MASTER_DATABASE!$AZ$4:$AZ$1000,ROW()-3)&amp;"")</f>
        <v>मृत्यु प्रमाण पत्र – आवेदन, बसुधा केंद्र, सेवा</v>
      </c>
      <c r="O88" s="7" t="str">
        <f aca="false">IF(INDEX(MASTER_DATABASE!$A$4:$A$1000,ROW()-3)="","",INDEX(MASTER_DATABASE!$BA$4:$BA$1000,ROW()-3)&amp;"")</f>
        <v>Death Certificate – Application, BASUDHA Kendra, Devmobile Stores</v>
      </c>
      <c r="P88" s="11" t="str">
        <f aca="false">IF(INDEX(MASTER_DATABASE!$A$4:$A$1000,ROW()-3)="","",INDEX(MASTER_DATABASE!$AP$4:$AP$1000,ROW()-3)&amp;"")</f>
        <v>📜</v>
      </c>
      <c r="Q88" s="7" t="str">
        <f aca="false">IF(INDEX(MASTER_DATABASE!$A$4:$A$1000,ROW()-3)="","",INDEX(MASTER_DATABASE!$BB$4:$BB$1000,ROW()-3)&amp;"")</f>
        <v/>
      </c>
      <c r="R88" s="11" t="str">
        <f aca="false">IF(INDEX(MASTER_DATABASE!$A$4:$A$1000,ROW()-3)="","",INDEX(MASTER_DATABASE!$BC$4:$BC$1000,ROW()-3)&amp;"")</f>
        <v>🏛️</v>
      </c>
      <c r="S88" s="11" t="n">
        <f aca="false">IF(INDEX(MASTER_DATABASE!$A$4:$A$1000,ROW()-3)="","",INDEX(MASTER_DATABASE!$AQ$4:$AQ$1000,ROW()-3))</f>
        <v>70</v>
      </c>
      <c r="T88" s="7" t="str">
        <f aca="false">IF(INDEX(MASTER_DATABASE!$A$4:$A$1000,ROW()-3)="","",INDEX(MASTER_DATABASE!$I$4:$I$1000,ROW()-3)&amp;"")</f>
        <v>To Verify</v>
      </c>
      <c r="U88" s="7" t="str">
        <f aca="false">IF(INDEX(MASTER_DATABASE!$A$4:$A$1000,ROW()-3)="","",INDEX(MASTER_DATABASE!$J$4:$J$1000,ROW()-3)&amp;"")</f>
        <v>To Be Confirmed</v>
      </c>
      <c r="V88" s="7" t="str">
        <f aca="false">IF(INDEX(MASTER_DATABASE!$A$4:$A$1000,ROW()-3)="","",INDEX(MASTER_DATABASE!$AG$4:$AG$1000,ROW()-3)&amp;"")</f>
        <v>To Verify</v>
      </c>
      <c r="W88" s="7" t="str">
        <f aca="false">IF(INDEX(MASTER_DATABASE!$A$4:$A$1000,ROW()-3)="","",INDEX(MASTER_DATABASE!$AH$4:$AH$1000,ROW()-3)&amp;"")</f>
        <v>No</v>
      </c>
      <c r="X88" s="7" t="str">
        <f aca="false">IF(INDEX(MASTER_DATABASE!$A$4:$A$1000,ROW()-3)="","",INDEX(MASTER_DATABASE!$AI$4:$AI$1000,ROW()-3)&amp;"")</f>
        <v>No</v>
      </c>
      <c r="Y88" s="7" t="str">
        <f aca="false">IF(INDEX(MASTER_DATABASE!$A$4:$A$1000,ROW()-3)="","",INDEX(MASTER_DATABASE!$AJ$4:$AJ$1000,ROW()-3)&amp;"")</f>
        <v>No</v>
      </c>
      <c r="Z88" s="7" t="str">
        <f aca="false">IF(INDEX(MASTER_DATABASE!$A$4:$A$1000,ROW()-3)="","",INDEX(MASTER_DATABASE!$AK$4:$AK$1000,ROW()-3)&amp;"")</f>
        <v>No</v>
      </c>
      <c r="AA88" s="7" t="str">
        <f aca="false">IF(INDEX(MASTER_DATABASE!$A$4:$A$1000,ROW()-3)="","",INDEX(MASTER_DATABASE!$BE$4:$BE$1000,ROW()-3)&amp;"")</f>
        <v>HIDDEN</v>
      </c>
    </row>
    <row r="89" customFormat="false" ht="57.45" hidden="false" customHeight="false" outlineLevel="0" collapsed="false">
      <c r="A89" s="11" t="str">
        <f aca="false">IF(INDEX(MASTER_DATABASE!$A$4:$A$1000,ROW()-3)="","",INDEX(MASTER_DATABASE!$A$4:$A$1000,ROW()-3)&amp;"")</f>
        <v>BAS-008</v>
      </c>
      <c r="B89" s="7" t="str">
        <f aca="false">IF(INDEX(MASTER_DATABASE!$A$4:$A$1000,ROW()-3)="","",INDEX(MASTER_DATABASE!$B$4:$B$1000,ROW()-3)&amp;"")</f>
        <v>BASUDHA Kendra</v>
      </c>
      <c r="C89" s="7" t="str">
        <f aca="false">IF(INDEX(MASTER_DATABASE!$A$4:$A$1000,ROW()-3)="","",INDEX(MASTER_DATABASE!$C$4:$C$1000,ROW()-3)&amp;"")</f>
        <v>Government Services</v>
      </c>
      <c r="D89" s="7" t="str">
        <f aca="false">IF(INDEX(MASTER_DATABASE!$A$4:$A$1000,ROW()-3)="","",INDEX(MASTER_DATABASE!$D$4:$D$1000,ROW()-3)&amp;"")</f>
        <v>Certificates</v>
      </c>
      <c r="E89" s="7" t="str">
        <f aca="false">IF(INDEX(MASTER_DATABASE!$A$4:$A$1000,ROW()-3)="","",INDEX(MASTER_DATABASE!$E$4:$E$1000,ROW()-3)&amp;"")</f>
        <v>Marriage Registration / Certificate – Application</v>
      </c>
      <c r="F89" s="7" t="str">
        <f aca="false">IF(INDEX(MASTER_DATABASE!$A$4:$A$1000,ROW()-3)="","",INDEX(MASTER_DATABASE!$F$4:$F$1000,ROW()-3)&amp;"")</f>
        <v>विवाह पंजीकरण / प्रमाण पत्र – आवेदन</v>
      </c>
      <c r="G89" s="7" t="str">
        <f aca="false">IF(INDEX(MASTER_DATABASE!$A$4:$A$1000,ROW()-3)="","",INDEX(MASTER_DATABASE!$AL$4:$AL$1000,ROW()-3)&amp;"")</f>
        <v>BASUDHA Kendra</v>
      </c>
      <c r="H89" s="7" t="str">
        <f aca="false">IF(INDEX(MASTER_DATABASE!$A$4:$A$1000,ROW()-3)="","",INDEX(MASTER_DATABASE!$AM$4:$AM$1000,ROW()-3)&amp;"")</f>
        <v>Certificates</v>
      </c>
      <c r="I89" s="7" t="str">
        <f aca="false">IF(INDEX(MASTER_DATABASE!$A$4:$A$1000,ROW()-3)="","",INDEX(MASTER_DATABASE!$AO$4:$AO$1000,ROW()-3)&amp;"")</f>
        <v>marriage-registration-certificate-application</v>
      </c>
      <c r="J89" s="7" t="str">
        <f aca="false">IF(INDEX(MASTER_DATABASE!$A$4:$A$1000,ROW()-3)="","",INDEX(MASTER_DATABASE!$BD$4:$BD$1000,ROW()-3)&amp;"")</f>
        <v>/services/marriage-registration-certificate-application</v>
      </c>
      <c r="K89" s="7" t="str">
        <f aca="false">IF(INDEX(MASTER_DATABASE!$A$4:$A$1000,ROW()-3)="","",INDEX(MASTER_DATABASE!$AX$4:$AX$1000,ROW()-3)&amp;"")</f>
        <v>Marriage Registration / Certificate – Application Service | Devmobile Stores</v>
      </c>
      <c r="L89" s="7" t="str">
        <f aca="false">IF(INDEX(MASTER_DATABASE!$A$4:$A$1000,ROW()-3)="","",INDEX(MASTER_DATABASE!$AY$4:$AY$1000,ROW()-3)&amp;"")</f>
        <v>Marriage Registration / Certificate – Application (विवाह पंजीकरण / प्रमाण पत्र – आवेदन) at Devmobile Stores and Common Service Center &amp; Aadhaar Centre. Check required documents, charges and process before you visit.</v>
      </c>
      <c r="M89" s="7" t="str">
        <f aca="false">IF(INDEX(MASTER_DATABASE!$A$4:$A$1000,ROW()-3)="","",INDEX(MASTER_DATABASE!$AN$4:$AN$1000,ROW()-3)&amp;"")</f>
        <v>Marriage Registration / Certificate – Application, BASUDHA Kendra, Devmobile Stores, विवाह पंजीकरण / प्रमाण पत्र – आवेदन, बसुधा केंद्र, सेवा</v>
      </c>
      <c r="N89" s="7" t="str">
        <f aca="false">IF(INDEX(MASTER_DATABASE!$A$4:$A$1000,ROW()-3)="","",INDEX(MASTER_DATABASE!$AZ$4:$AZ$1000,ROW()-3)&amp;"")</f>
        <v>विवाह पंजीकरण / प्रमाण पत्र – आवेदन, बसुधा केंद्र, सेवा</v>
      </c>
      <c r="O89" s="7" t="str">
        <f aca="false">IF(INDEX(MASTER_DATABASE!$A$4:$A$1000,ROW()-3)="","",INDEX(MASTER_DATABASE!$BA$4:$BA$1000,ROW()-3)&amp;"")</f>
        <v>Marriage Registration / Certificate – Application, BASUDHA Kendra, Devmobile Stores</v>
      </c>
      <c r="P89" s="11" t="str">
        <f aca="false">IF(INDEX(MASTER_DATABASE!$A$4:$A$1000,ROW()-3)="","",INDEX(MASTER_DATABASE!$AP$4:$AP$1000,ROW()-3)&amp;"")</f>
        <v>📜</v>
      </c>
      <c r="Q89" s="7" t="str">
        <f aca="false">IF(INDEX(MASTER_DATABASE!$A$4:$A$1000,ROW()-3)="","",INDEX(MASTER_DATABASE!$BB$4:$BB$1000,ROW()-3)&amp;"")</f>
        <v/>
      </c>
      <c r="R89" s="11" t="str">
        <f aca="false">IF(INDEX(MASTER_DATABASE!$A$4:$A$1000,ROW()-3)="","",INDEX(MASTER_DATABASE!$BC$4:$BC$1000,ROW()-3)&amp;"")</f>
        <v>🏛️</v>
      </c>
      <c r="S89" s="11" t="n">
        <f aca="false">IF(INDEX(MASTER_DATABASE!$A$4:$A$1000,ROW()-3)="","",INDEX(MASTER_DATABASE!$AQ$4:$AQ$1000,ROW()-3))</f>
        <v>80</v>
      </c>
      <c r="T89" s="7" t="str">
        <f aca="false">IF(INDEX(MASTER_DATABASE!$A$4:$A$1000,ROW()-3)="","",INDEX(MASTER_DATABASE!$I$4:$I$1000,ROW()-3)&amp;"")</f>
        <v>To Verify</v>
      </c>
      <c r="U89" s="7" t="str">
        <f aca="false">IF(INDEX(MASTER_DATABASE!$A$4:$A$1000,ROW()-3)="","",INDEX(MASTER_DATABASE!$J$4:$J$1000,ROW()-3)&amp;"")</f>
        <v>To Be Confirmed</v>
      </c>
      <c r="V89" s="7" t="str">
        <f aca="false">IF(INDEX(MASTER_DATABASE!$A$4:$A$1000,ROW()-3)="","",INDEX(MASTER_DATABASE!$AG$4:$AG$1000,ROW()-3)&amp;"")</f>
        <v>To Verify</v>
      </c>
      <c r="W89" s="7" t="str">
        <f aca="false">IF(INDEX(MASTER_DATABASE!$A$4:$A$1000,ROW()-3)="","",INDEX(MASTER_DATABASE!$AH$4:$AH$1000,ROW()-3)&amp;"")</f>
        <v>No</v>
      </c>
      <c r="X89" s="7" t="str">
        <f aca="false">IF(INDEX(MASTER_DATABASE!$A$4:$A$1000,ROW()-3)="","",INDEX(MASTER_DATABASE!$AI$4:$AI$1000,ROW()-3)&amp;"")</f>
        <v>No</v>
      </c>
      <c r="Y89" s="7" t="str">
        <f aca="false">IF(INDEX(MASTER_DATABASE!$A$4:$A$1000,ROW()-3)="","",INDEX(MASTER_DATABASE!$AJ$4:$AJ$1000,ROW()-3)&amp;"")</f>
        <v>No</v>
      </c>
      <c r="Z89" s="7" t="str">
        <f aca="false">IF(INDEX(MASTER_DATABASE!$A$4:$A$1000,ROW()-3)="","",INDEX(MASTER_DATABASE!$AK$4:$AK$1000,ROW()-3)&amp;"")</f>
        <v>No</v>
      </c>
      <c r="AA89" s="7" t="str">
        <f aca="false">IF(INDEX(MASTER_DATABASE!$A$4:$A$1000,ROW()-3)="","",INDEX(MASTER_DATABASE!$BE$4:$BE$1000,ROW()-3)&amp;"")</f>
        <v>HIDDEN</v>
      </c>
    </row>
    <row r="90" customFormat="false" ht="46.25" hidden="false" customHeight="false" outlineLevel="0" collapsed="false">
      <c r="A90" s="11" t="str">
        <f aca="false">IF(INDEX(MASTER_DATABASE!$A$4:$A$1000,ROW()-3)="","",INDEX(MASTER_DATABASE!$A$4:$A$1000,ROW()-3)&amp;"")</f>
        <v>BAS-009</v>
      </c>
      <c r="B90" s="7" t="str">
        <f aca="false">IF(INDEX(MASTER_DATABASE!$A$4:$A$1000,ROW()-3)="","",INDEX(MASTER_DATABASE!$B$4:$B$1000,ROW()-3)&amp;"")</f>
        <v>BASUDHA Kendra</v>
      </c>
      <c r="C90" s="7" t="str">
        <f aca="false">IF(INDEX(MASTER_DATABASE!$A$4:$A$1000,ROW()-3)="","",INDEX(MASTER_DATABASE!$C$4:$C$1000,ROW()-3)&amp;"")</f>
        <v>Government Services</v>
      </c>
      <c r="D90" s="7" t="str">
        <f aca="false">IF(INDEX(MASTER_DATABASE!$A$4:$A$1000,ROW()-3)="","",INDEX(MASTER_DATABASE!$D$4:$D$1000,ROW()-3)&amp;"")</f>
        <v>Certificates</v>
      </c>
      <c r="E90" s="7" t="str">
        <f aca="false">IF(INDEX(MASTER_DATABASE!$A$4:$A$1000,ROW()-3)="","",INDEX(MASTER_DATABASE!$E$4:$E$1000,ROW()-3)&amp;"")</f>
        <v>Character Certificate – Application</v>
      </c>
      <c r="F90" s="7" t="str">
        <f aca="false">IF(INDEX(MASTER_DATABASE!$A$4:$A$1000,ROW()-3)="","",INDEX(MASTER_DATABASE!$F$4:$F$1000,ROW()-3)&amp;"")</f>
        <v>चरित्र प्रमाण पत्र – आवेदन</v>
      </c>
      <c r="G90" s="7" t="str">
        <f aca="false">IF(INDEX(MASTER_DATABASE!$A$4:$A$1000,ROW()-3)="","",INDEX(MASTER_DATABASE!$AL$4:$AL$1000,ROW()-3)&amp;"")</f>
        <v>BASUDHA Kendra</v>
      </c>
      <c r="H90" s="7" t="str">
        <f aca="false">IF(INDEX(MASTER_DATABASE!$A$4:$A$1000,ROW()-3)="","",INDEX(MASTER_DATABASE!$AM$4:$AM$1000,ROW()-3)&amp;"")</f>
        <v>Certificates</v>
      </c>
      <c r="I90" s="7" t="str">
        <f aca="false">IF(INDEX(MASTER_DATABASE!$A$4:$A$1000,ROW()-3)="","",INDEX(MASTER_DATABASE!$AO$4:$AO$1000,ROW()-3)&amp;"")</f>
        <v>character-certificate-application</v>
      </c>
      <c r="J90" s="7" t="str">
        <f aca="false">IF(INDEX(MASTER_DATABASE!$A$4:$A$1000,ROW()-3)="","",INDEX(MASTER_DATABASE!$BD$4:$BD$1000,ROW()-3)&amp;"")</f>
        <v>/services/character-certificate-application</v>
      </c>
      <c r="K90" s="7" t="str">
        <f aca="false">IF(INDEX(MASTER_DATABASE!$A$4:$A$1000,ROW()-3)="","",INDEX(MASTER_DATABASE!$AX$4:$AX$1000,ROW()-3)&amp;"")</f>
        <v>Character Certificate – Application Service | Devmobile Stores</v>
      </c>
      <c r="L90" s="7" t="str">
        <f aca="false">IF(INDEX(MASTER_DATABASE!$A$4:$A$1000,ROW()-3)="","",INDEX(MASTER_DATABASE!$AY$4:$AY$1000,ROW()-3)&amp;"")</f>
        <v>Character Certificate – Application (चरित्र प्रमाण पत्र – आवेदन) at Devmobile Stores and Common Service Center &amp; Aadhaar Centre. Check required documents, charges and process before you visit.</v>
      </c>
      <c r="M90" s="7" t="str">
        <f aca="false">IF(INDEX(MASTER_DATABASE!$A$4:$A$1000,ROW()-3)="","",INDEX(MASTER_DATABASE!$AN$4:$AN$1000,ROW()-3)&amp;"")</f>
        <v>Character Certificate – Application, BASUDHA Kendra, Devmobile Stores, चरित्र प्रमाण पत्र – आवेदन, बसुधा केंद्र, सेवा</v>
      </c>
      <c r="N90" s="7" t="str">
        <f aca="false">IF(INDEX(MASTER_DATABASE!$A$4:$A$1000,ROW()-3)="","",INDEX(MASTER_DATABASE!$AZ$4:$AZ$1000,ROW()-3)&amp;"")</f>
        <v>चरित्र प्रमाण पत्र – आवेदन, बसुधा केंद्र, सेवा</v>
      </c>
      <c r="O90" s="7" t="str">
        <f aca="false">IF(INDEX(MASTER_DATABASE!$A$4:$A$1000,ROW()-3)="","",INDEX(MASTER_DATABASE!$BA$4:$BA$1000,ROW()-3)&amp;"")</f>
        <v>Character Certificate – Application, BASUDHA Kendra, Devmobile Stores</v>
      </c>
      <c r="P90" s="11" t="str">
        <f aca="false">IF(INDEX(MASTER_DATABASE!$A$4:$A$1000,ROW()-3)="","",INDEX(MASTER_DATABASE!$AP$4:$AP$1000,ROW()-3)&amp;"")</f>
        <v>📜</v>
      </c>
      <c r="Q90" s="7" t="str">
        <f aca="false">IF(INDEX(MASTER_DATABASE!$A$4:$A$1000,ROW()-3)="","",INDEX(MASTER_DATABASE!$BB$4:$BB$1000,ROW()-3)&amp;"")</f>
        <v/>
      </c>
      <c r="R90" s="11" t="str">
        <f aca="false">IF(INDEX(MASTER_DATABASE!$A$4:$A$1000,ROW()-3)="","",INDEX(MASTER_DATABASE!$BC$4:$BC$1000,ROW()-3)&amp;"")</f>
        <v>🏛️</v>
      </c>
      <c r="S90" s="11" t="n">
        <f aca="false">IF(INDEX(MASTER_DATABASE!$A$4:$A$1000,ROW()-3)="","",INDEX(MASTER_DATABASE!$AQ$4:$AQ$1000,ROW()-3))</f>
        <v>90</v>
      </c>
      <c r="T90" s="7" t="str">
        <f aca="false">IF(INDEX(MASTER_DATABASE!$A$4:$A$1000,ROW()-3)="","",INDEX(MASTER_DATABASE!$I$4:$I$1000,ROW()-3)&amp;"")</f>
        <v>To Verify</v>
      </c>
      <c r="U90" s="7" t="str">
        <f aca="false">IF(INDEX(MASTER_DATABASE!$A$4:$A$1000,ROW()-3)="","",INDEX(MASTER_DATABASE!$J$4:$J$1000,ROW()-3)&amp;"")</f>
        <v>To Be Confirmed</v>
      </c>
      <c r="V90" s="7" t="str">
        <f aca="false">IF(INDEX(MASTER_DATABASE!$A$4:$A$1000,ROW()-3)="","",INDEX(MASTER_DATABASE!$AG$4:$AG$1000,ROW()-3)&amp;"")</f>
        <v>To Verify</v>
      </c>
      <c r="W90" s="7" t="str">
        <f aca="false">IF(INDEX(MASTER_DATABASE!$A$4:$A$1000,ROW()-3)="","",INDEX(MASTER_DATABASE!$AH$4:$AH$1000,ROW()-3)&amp;"")</f>
        <v>No</v>
      </c>
      <c r="X90" s="7" t="str">
        <f aca="false">IF(INDEX(MASTER_DATABASE!$A$4:$A$1000,ROW()-3)="","",INDEX(MASTER_DATABASE!$AI$4:$AI$1000,ROW()-3)&amp;"")</f>
        <v>No</v>
      </c>
      <c r="Y90" s="7" t="str">
        <f aca="false">IF(INDEX(MASTER_DATABASE!$A$4:$A$1000,ROW()-3)="","",INDEX(MASTER_DATABASE!$AJ$4:$AJ$1000,ROW()-3)&amp;"")</f>
        <v>No</v>
      </c>
      <c r="Z90" s="7" t="str">
        <f aca="false">IF(INDEX(MASTER_DATABASE!$A$4:$A$1000,ROW()-3)="","",INDEX(MASTER_DATABASE!$AK$4:$AK$1000,ROW()-3)&amp;"")</f>
        <v>No</v>
      </c>
      <c r="AA90" s="7" t="str">
        <f aca="false">IF(INDEX(MASTER_DATABASE!$A$4:$A$1000,ROW()-3)="","",INDEX(MASTER_DATABASE!$BE$4:$BE$1000,ROW()-3)&amp;"")</f>
        <v>HIDDEN</v>
      </c>
    </row>
    <row r="91" customFormat="false" ht="57.45" hidden="false" customHeight="false" outlineLevel="0" collapsed="false">
      <c r="A91" s="11" t="str">
        <f aca="false">IF(INDEX(MASTER_DATABASE!$A$4:$A$1000,ROW()-3)="","",INDEX(MASTER_DATABASE!$A$4:$A$1000,ROW()-3)&amp;"")</f>
        <v>BAS-010</v>
      </c>
      <c r="B91" s="7" t="str">
        <f aca="false">IF(INDEX(MASTER_DATABASE!$A$4:$A$1000,ROW()-3)="","",INDEX(MASTER_DATABASE!$B$4:$B$1000,ROW()-3)&amp;"")</f>
        <v>BASUDHA Kendra</v>
      </c>
      <c r="C91" s="7" t="str">
        <f aca="false">IF(INDEX(MASTER_DATABASE!$A$4:$A$1000,ROW()-3)="","",INDEX(MASTER_DATABASE!$C$4:$C$1000,ROW()-3)&amp;"")</f>
        <v>Government Services</v>
      </c>
      <c r="D91" s="7" t="str">
        <f aca="false">IF(INDEX(MASTER_DATABASE!$A$4:$A$1000,ROW()-3)="","",INDEX(MASTER_DATABASE!$D$4:$D$1000,ROW()-3)&amp;"")</f>
        <v>Certificates</v>
      </c>
      <c r="E91" s="7" t="str">
        <f aca="false">IF(INDEX(MASTER_DATABASE!$A$4:$A$1000,ROW()-3)="","",INDEX(MASTER_DATABASE!$E$4:$E$1000,ROW()-3)&amp;"")</f>
        <v>Certificate Correction / Re-application Assistance</v>
      </c>
      <c r="F91" s="7" t="str">
        <f aca="false">IF(INDEX(MASTER_DATABASE!$A$4:$A$1000,ROW()-3)="","",INDEX(MASTER_DATABASE!$F$4:$F$1000,ROW()-3)&amp;"")</f>
        <v>प्रमाण पत्र सुधार / पुनः आवेदन सहायता</v>
      </c>
      <c r="G91" s="7" t="str">
        <f aca="false">IF(INDEX(MASTER_DATABASE!$A$4:$A$1000,ROW()-3)="","",INDEX(MASTER_DATABASE!$AL$4:$AL$1000,ROW()-3)&amp;"")</f>
        <v>BASUDHA Kendra</v>
      </c>
      <c r="H91" s="7" t="str">
        <f aca="false">IF(INDEX(MASTER_DATABASE!$A$4:$A$1000,ROW()-3)="","",INDEX(MASTER_DATABASE!$AM$4:$AM$1000,ROW()-3)&amp;"")</f>
        <v>Certificates</v>
      </c>
      <c r="I91" s="7" t="str">
        <f aca="false">IF(INDEX(MASTER_DATABASE!$A$4:$A$1000,ROW()-3)="","",INDEX(MASTER_DATABASE!$AO$4:$AO$1000,ROW()-3)&amp;"")</f>
        <v>certificate-correction-re-application-assistance</v>
      </c>
      <c r="J91" s="7" t="str">
        <f aca="false">IF(INDEX(MASTER_DATABASE!$A$4:$A$1000,ROW()-3)="","",INDEX(MASTER_DATABASE!$BD$4:$BD$1000,ROW()-3)&amp;"")</f>
        <v>/services/certificate-correction-re-application-assistance</v>
      </c>
      <c r="K91" s="7" t="str">
        <f aca="false">IF(INDEX(MASTER_DATABASE!$A$4:$A$1000,ROW()-3)="","",INDEX(MASTER_DATABASE!$AX$4:$AX$1000,ROW()-3)&amp;"")</f>
        <v>Certificate Correction / Re-application Assistance Service | Devmobile Stores</v>
      </c>
      <c r="L91" s="7" t="str">
        <f aca="false">IF(INDEX(MASTER_DATABASE!$A$4:$A$1000,ROW()-3)="","",INDEX(MASTER_DATABASE!$AY$4:$AY$1000,ROW()-3)&amp;"")</f>
        <v>Certificate Correction / Re-application Assistance (प्रमाण पत्र सुधार / पुनः आवेदन सहायता) at Devmobile Stores and Common Service Center &amp; Aadhaar Centre. Check required documents, charges and process before you visit.</v>
      </c>
      <c r="M91" s="7" t="str">
        <f aca="false">IF(INDEX(MASTER_DATABASE!$A$4:$A$1000,ROW()-3)="","",INDEX(MASTER_DATABASE!$AN$4:$AN$1000,ROW()-3)&amp;"")</f>
        <v>Certificate Correction / Re-application Assistance, BASUDHA Kendra, Devmobile Stores, प्रमाण पत्र सुधार / पुनः आवेदन सहायता, बसुधा केंद्र, सेवा</v>
      </c>
      <c r="N91" s="7" t="str">
        <f aca="false">IF(INDEX(MASTER_DATABASE!$A$4:$A$1000,ROW()-3)="","",INDEX(MASTER_DATABASE!$AZ$4:$AZ$1000,ROW()-3)&amp;"")</f>
        <v>प्रमाण पत्र सुधार / पुनः आवेदन सहायता, बसुधा केंद्र, सेवा</v>
      </c>
      <c r="O91" s="7" t="str">
        <f aca="false">IF(INDEX(MASTER_DATABASE!$A$4:$A$1000,ROW()-3)="","",INDEX(MASTER_DATABASE!$BA$4:$BA$1000,ROW()-3)&amp;"")</f>
        <v>Certificate Correction / Re-application Assistance, BASUDHA Kendra, Devmobile Stores</v>
      </c>
      <c r="P91" s="11" t="str">
        <f aca="false">IF(INDEX(MASTER_DATABASE!$A$4:$A$1000,ROW()-3)="","",INDEX(MASTER_DATABASE!$AP$4:$AP$1000,ROW()-3)&amp;"")</f>
        <v>📜</v>
      </c>
      <c r="Q91" s="7" t="str">
        <f aca="false">IF(INDEX(MASTER_DATABASE!$A$4:$A$1000,ROW()-3)="","",INDEX(MASTER_DATABASE!$BB$4:$BB$1000,ROW()-3)&amp;"")</f>
        <v/>
      </c>
      <c r="R91" s="11" t="str">
        <f aca="false">IF(INDEX(MASTER_DATABASE!$A$4:$A$1000,ROW()-3)="","",INDEX(MASTER_DATABASE!$BC$4:$BC$1000,ROW()-3)&amp;"")</f>
        <v>🏛️</v>
      </c>
      <c r="S91" s="11" t="n">
        <f aca="false">IF(INDEX(MASTER_DATABASE!$A$4:$A$1000,ROW()-3)="","",INDEX(MASTER_DATABASE!$AQ$4:$AQ$1000,ROW()-3))</f>
        <v>100</v>
      </c>
      <c r="T91" s="7" t="str">
        <f aca="false">IF(INDEX(MASTER_DATABASE!$A$4:$A$1000,ROW()-3)="","",INDEX(MASTER_DATABASE!$I$4:$I$1000,ROW()-3)&amp;"")</f>
        <v>To Verify</v>
      </c>
      <c r="U91" s="7" t="str">
        <f aca="false">IF(INDEX(MASTER_DATABASE!$A$4:$A$1000,ROW()-3)="","",INDEX(MASTER_DATABASE!$J$4:$J$1000,ROW()-3)&amp;"")</f>
        <v>To Be Confirmed</v>
      </c>
      <c r="V91" s="7" t="str">
        <f aca="false">IF(INDEX(MASTER_DATABASE!$A$4:$A$1000,ROW()-3)="","",INDEX(MASTER_DATABASE!$AG$4:$AG$1000,ROW()-3)&amp;"")</f>
        <v>To Verify</v>
      </c>
      <c r="W91" s="7" t="str">
        <f aca="false">IF(INDEX(MASTER_DATABASE!$A$4:$A$1000,ROW()-3)="","",INDEX(MASTER_DATABASE!$AH$4:$AH$1000,ROW()-3)&amp;"")</f>
        <v>No</v>
      </c>
      <c r="X91" s="7" t="str">
        <f aca="false">IF(INDEX(MASTER_DATABASE!$A$4:$A$1000,ROW()-3)="","",INDEX(MASTER_DATABASE!$AI$4:$AI$1000,ROW()-3)&amp;"")</f>
        <v>No</v>
      </c>
      <c r="Y91" s="7" t="str">
        <f aca="false">IF(INDEX(MASTER_DATABASE!$A$4:$A$1000,ROW()-3)="","",INDEX(MASTER_DATABASE!$AJ$4:$AJ$1000,ROW()-3)&amp;"")</f>
        <v>No</v>
      </c>
      <c r="Z91" s="7" t="str">
        <f aca="false">IF(INDEX(MASTER_DATABASE!$A$4:$A$1000,ROW()-3)="","",INDEX(MASTER_DATABASE!$AK$4:$AK$1000,ROW()-3)&amp;"")</f>
        <v>No</v>
      </c>
      <c r="AA91" s="7" t="str">
        <f aca="false">IF(INDEX(MASTER_DATABASE!$A$4:$A$1000,ROW()-3)="","",INDEX(MASTER_DATABASE!$BE$4:$BE$1000,ROW()-3)&amp;"")</f>
        <v>HIDDEN</v>
      </c>
    </row>
    <row r="92" customFormat="false" ht="46.25" hidden="false" customHeight="false" outlineLevel="0" collapsed="false">
      <c r="A92" s="11" t="str">
        <f aca="false">IF(INDEX(MASTER_DATABASE!$A$4:$A$1000,ROW()-3)="","",INDEX(MASTER_DATABASE!$A$4:$A$1000,ROW()-3)&amp;"")</f>
        <v>BAS-011</v>
      </c>
      <c r="B92" s="7" t="str">
        <f aca="false">IF(INDEX(MASTER_DATABASE!$A$4:$A$1000,ROW()-3)="","",INDEX(MASTER_DATABASE!$B$4:$B$1000,ROW()-3)&amp;"")</f>
        <v>BASUDHA Kendra</v>
      </c>
      <c r="C92" s="7" t="str">
        <f aca="false">IF(INDEX(MASTER_DATABASE!$A$4:$A$1000,ROW()-3)="","",INDEX(MASTER_DATABASE!$C$4:$C$1000,ROW()-3)&amp;"")</f>
        <v>Government Services</v>
      </c>
      <c r="D92" s="7" t="str">
        <f aca="false">IF(INDEX(MASTER_DATABASE!$A$4:$A$1000,ROW()-3)="","",INDEX(MASTER_DATABASE!$D$4:$D$1000,ROW()-3)&amp;"")</f>
        <v>Certificates</v>
      </c>
      <c r="E92" s="7" t="str">
        <f aca="false">IF(INDEX(MASTER_DATABASE!$A$4:$A$1000,ROW()-3)="","",INDEX(MASTER_DATABASE!$E$4:$E$1000,ROW()-3)&amp;"")</f>
        <v>Certificate Download</v>
      </c>
      <c r="F92" s="7" t="str">
        <f aca="false">IF(INDEX(MASTER_DATABASE!$A$4:$A$1000,ROW()-3)="","",INDEX(MASTER_DATABASE!$F$4:$F$1000,ROW()-3)&amp;"")</f>
        <v>प्रमाण पत्र डाउनलोड</v>
      </c>
      <c r="G92" s="7" t="str">
        <f aca="false">IF(INDEX(MASTER_DATABASE!$A$4:$A$1000,ROW()-3)="","",INDEX(MASTER_DATABASE!$AL$4:$AL$1000,ROW()-3)&amp;"")</f>
        <v>BASUDHA Kendra</v>
      </c>
      <c r="H92" s="7" t="str">
        <f aca="false">IF(INDEX(MASTER_DATABASE!$A$4:$A$1000,ROW()-3)="","",INDEX(MASTER_DATABASE!$AM$4:$AM$1000,ROW()-3)&amp;"")</f>
        <v>Certificates</v>
      </c>
      <c r="I92" s="7" t="str">
        <f aca="false">IF(INDEX(MASTER_DATABASE!$A$4:$A$1000,ROW()-3)="","",INDEX(MASTER_DATABASE!$AO$4:$AO$1000,ROW()-3)&amp;"")</f>
        <v>certificate-download</v>
      </c>
      <c r="J92" s="7" t="str">
        <f aca="false">IF(INDEX(MASTER_DATABASE!$A$4:$A$1000,ROW()-3)="","",INDEX(MASTER_DATABASE!$BD$4:$BD$1000,ROW()-3)&amp;"")</f>
        <v>/services/certificate-download</v>
      </c>
      <c r="K92" s="7" t="str">
        <f aca="false">IF(INDEX(MASTER_DATABASE!$A$4:$A$1000,ROW()-3)="","",INDEX(MASTER_DATABASE!$AX$4:$AX$1000,ROW()-3)&amp;"")</f>
        <v>Certificate Download Service | Devmobile Stores</v>
      </c>
      <c r="L92" s="7" t="str">
        <f aca="false">IF(INDEX(MASTER_DATABASE!$A$4:$A$1000,ROW()-3)="","",INDEX(MASTER_DATABASE!$AY$4:$AY$1000,ROW()-3)&amp;"")</f>
        <v>Certificate Download (प्रमाण पत्र डाउनलोड) at Devmobile Stores and Common Service Center &amp; Aadhaar Centre. Check required documents, charges and process before you visit.</v>
      </c>
      <c r="M92" s="7" t="str">
        <f aca="false">IF(INDEX(MASTER_DATABASE!$A$4:$A$1000,ROW()-3)="","",INDEX(MASTER_DATABASE!$AN$4:$AN$1000,ROW()-3)&amp;"")</f>
        <v>Certificate Download, BASUDHA Kendra, Devmobile Stores, प्रमाण पत्र डाउनलोड, बसुधा केंद्र, सेवा</v>
      </c>
      <c r="N92" s="7" t="str">
        <f aca="false">IF(INDEX(MASTER_DATABASE!$A$4:$A$1000,ROW()-3)="","",INDEX(MASTER_DATABASE!$AZ$4:$AZ$1000,ROW()-3)&amp;"")</f>
        <v>प्रमाण पत्र डाउनलोड, बसुधा केंद्र, सेवा</v>
      </c>
      <c r="O92" s="7" t="str">
        <f aca="false">IF(INDEX(MASTER_DATABASE!$A$4:$A$1000,ROW()-3)="","",INDEX(MASTER_DATABASE!$BA$4:$BA$1000,ROW()-3)&amp;"")</f>
        <v>Certificate Download, BASUDHA Kendra, Devmobile Stores</v>
      </c>
      <c r="P92" s="11" t="str">
        <f aca="false">IF(INDEX(MASTER_DATABASE!$A$4:$A$1000,ROW()-3)="","",INDEX(MASTER_DATABASE!$AP$4:$AP$1000,ROW()-3)&amp;"")</f>
        <v>📜</v>
      </c>
      <c r="Q92" s="7" t="str">
        <f aca="false">IF(INDEX(MASTER_DATABASE!$A$4:$A$1000,ROW()-3)="","",INDEX(MASTER_DATABASE!$BB$4:$BB$1000,ROW()-3)&amp;"")</f>
        <v/>
      </c>
      <c r="R92" s="11" t="str">
        <f aca="false">IF(INDEX(MASTER_DATABASE!$A$4:$A$1000,ROW()-3)="","",INDEX(MASTER_DATABASE!$BC$4:$BC$1000,ROW()-3)&amp;"")</f>
        <v>🏛️</v>
      </c>
      <c r="S92" s="11" t="n">
        <f aca="false">IF(INDEX(MASTER_DATABASE!$A$4:$A$1000,ROW()-3)="","",INDEX(MASTER_DATABASE!$AQ$4:$AQ$1000,ROW()-3))</f>
        <v>110</v>
      </c>
      <c r="T92" s="7" t="str">
        <f aca="false">IF(INDEX(MASTER_DATABASE!$A$4:$A$1000,ROW()-3)="","",INDEX(MASTER_DATABASE!$I$4:$I$1000,ROW()-3)&amp;"")</f>
        <v>Portal Dependent</v>
      </c>
      <c r="U92" s="7" t="str">
        <f aca="false">IF(INDEX(MASTER_DATABASE!$A$4:$A$1000,ROW()-3)="","",INDEX(MASTER_DATABASE!$J$4:$J$1000,ROW()-3)&amp;"")</f>
        <v>Depends on Portal – Confirm at Shop</v>
      </c>
      <c r="V92" s="7" t="str">
        <f aca="false">IF(INDEX(MASTER_DATABASE!$A$4:$A$1000,ROW()-3)="","",INDEX(MASTER_DATABASE!$AG$4:$AG$1000,ROW()-3)&amp;"")</f>
        <v>To Verify</v>
      </c>
      <c r="W92" s="7" t="str">
        <f aca="false">IF(INDEX(MASTER_DATABASE!$A$4:$A$1000,ROW()-3)="","",INDEX(MASTER_DATABASE!$AH$4:$AH$1000,ROW()-3)&amp;"")</f>
        <v>No</v>
      </c>
      <c r="X92" s="7" t="str">
        <f aca="false">IF(INDEX(MASTER_DATABASE!$A$4:$A$1000,ROW()-3)="","",INDEX(MASTER_DATABASE!$AI$4:$AI$1000,ROW()-3)&amp;"")</f>
        <v>No</v>
      </c>
      <c r="Y92" s="7" t="str">
        <f aca="false">IF(INDEX(MASTER_DATABASE!$A$4:$A$1000,ROW()-3)="","",INDEX(MASTER_DATABASE!$AJ$4:$AJ$1000,ROW()-3)&amp;"")</f>
        <v>No</v>
      </c>
      <c r="Z92" s="7" t="str">
        <f aca="false">IF(INDEX(MASTER_DATABASE!$A$4:$A$1000,ROW()-3)="","",INDEX(MASTER_DATABASE!$AK$4:$AK$1000,ROW()-3)&amp;"")</f>
        <v>No</v>
      </c>
      <c r="AA92" s="7" t="str">
        <f aca="false">IF(INDEX(MASTER_DATABASE!$A$4:$A$1000,ROW()-3)="","",INDEX(MASTER_DATABASE!$BE$4:$BE$1000,ROW()-3)&amp;"")</f>
        <v>HIDDEN</v>
      </c>
    </row>
    <row r="93" customFormat="false" ht="46.25" hidden="false" customHeight="false" outlineLevel="0" collapsed="false">
      <c r="A93" s="11" t="str">
        <f aca="false">IF(INDEX(MASTER_DATABASE!$A$4:$A$1000,ROW()-3)="","",INDEX(MASTER_DATABASE!$A$4:$A$1000,ROW()-3)&amp;"")</f>
        <v>BAS-012</v>
      </c>
      <c r="B93" s="7" t="str">
        <f aca="false">IF(INDEX(MASTER_DATABASE!$A$4:$A$1000,ROW()-3)="","",INDEX(MASTER_DATABASE!$B$4:$B$1000,ROW()-3)&amp;"")</f>
        <v>BASUDHA Kendra</v>
      </c>
      <c r="C93" s="7" t="str">
        <f aca="false">IF(INDEX(MASTER_DATABASE!$A$4:$A$1000,ROW()-3)="","",INDEX(MASTER_DATABASE!$C$4:$C$1000,ROW()-3)&amp;"")</f>
        <v>Government Services</v>
      </c>
      <c r="D93" s="7" t="str">
        <f aca="false">IF(INDEX(MASTER_DATABASE!$A$4:$A$1000,ROW()-3)="","",INDEX(MASTER_DATABASE!$D$4:$D$1000,ROW()-3)&amp;"")</f>
        <v>Certificates</v>
      </c>
      <c r="E93" s="7" t="str">
        <f aca="false">IF(INDEX(MASTER_DATABASE!$A$4:$A$1000,ROW()-3)="","",INDEX(MASTER_DATABASE!$E$4:$E$1000,ROW()-3)&amp;"")</f>
        <v>Certificate Print</v>
      </c>
      <c r="F93" s="7" t="str">
        <f aca="false">IF(INDEX(MASTER_DATABASE!$A$4:$A$1000,ROW()-3)="","",INDEX(MASTER_DATABASE!$F$4:$F$1000,ROW()-3)&amp;"")</f>
        <v>प्रमाण पत्र प्रिंट</v>
      </c>
      <c r="G93" s="7" t="str">
        <f aca="false">IF(INDEX(MASTER_DATABASE!$A$4:$A$1000,ROW()-3)="","",INDEX(MASTER_DATABASE!$AL$4:$AL$1000,ROW()-3)&amp;"")</f>
        <v>BASUDHA Kendra</v>
      </c>
      <c r="H93" s="7" t="str">
        <f aca="false">IF(INDEX(MASTER_DATABASE!$A$4:$A$1000,ROW()-3)="","",INDEX(MASTER_DATABASE!$AM$4:$AM$1000,ROW()-3)&amp;"")</f>
        <v>Certificates</v>
      </c>
      <c r="I93" s="7" t="str">
        <f aca="false">IF(INDEX(MASTER_DATABASE!$A$4:$A$1000,ROW()-3)="","",INDEX(MASTER_DATABASE!$AO$4:$AO$1000,ROW()-3)&amp;"")</f>
        <v>certificate-print</v>
      </c>
      <c r="J93" s="7" t="str">
        <f aca="false">IF(INDEX(MASTER_DATABASE!$A$4:$A$1000,ROW()-3)="","",INDEX(MASTER_DATABASE!$BD$4:$BD$1000,ROW()-3)&amp;"")</f>
        <v>/services/certificate-print</v>
      </c>
      <c r="K93" s="7" t="str">
        <f aca="false">IF(INDEX(MASTER_DATABASE!$A$4:$A$1000,ROW()-3)="","",INDEX(MASTER_DATABASE!$AX$4:$AX$1000,ROW()-3)&amp;"")</f>
        <v>Certificate Print Service | Devmobile Stores</v>
      </c>
      <c r="L93" s="7" t="str">
        <f aca="false">IF(INDEX(MASTER_DATABASE!$A$4:$A$1000,ROW()-3)="","",INDEX(MASTER_DATABASE!$AY$4:$AY$1000,ROW()-3)&amp;"")</f>
        <v>Certificate Print (प्रमाण पत्र प्रिंट) at Devmobile Stores and Common Service Center &amp; Aadhaar Centre. Check required documents, charges and process before you visit.</v>
      </c>
      <c r="M93" s="7" t="str">
        <f aca="false">IF(INDEX(MASTER_DATABASE!$A$4:$A$1000,ROW()-3)="","",INDEX(MASTER_DATABASE!$AN$4:$AN$1000,ROW()-3)&amp;"")</f>
        <v>Certificate Print, BASUDHA Kendra, Devmobile Stores, प्रमाण पत्र प्रिंट, बसुधा केंद्र, सेवा</v>
      </c>
      <c r="N93" s="7" t="str">
        <f aca="false">IF(INDEX(MASTER_DATABASE!$A$4:$A$1000,ROW()-3)="","",INDEX(MASTER_DATABASE!$AZ$4:$AZ$1000,ROW()-3)&amp;"")</f>
        <v>प्रमाण पत्र प्रिंट, बसुधा केंद्र, सेवा</v>
      </c>
      <c r="O93" s="7" t="str">
        <f aca="false">IF(INDEX(MASTER_DATABASE!$A$4:$A$1000,ROW()-3)="","",INDEX(MASTER_DATABASE!$BA$4:$BA$1000,ROW()-3)&amp;"")</f>
        <v>Certificate Print, BASUDHA Kendra, Devmobile Stores</v>
      </c>
      <c r="P93" s="11" t="str">
        <f aca="false">IF(INDEX(MASTER_DATABASE!$A$4:$A$1000,ROW()-3)="","",INDEX(MASTER_DATABASE!$AP$4:$AP$1000,ROW()-3)&amp;"")</f>
        <v>📜</v>
      </c>
      <c r="Q93" s="7" t="str">
        <f aca="false">IF(INDEX(MASTER_DATABASE!$A$4:$A$1000,ROW()-3)="","",INDEX(MASTER_DATABASE!$BB$4:$BB$1000,ROW()-3)&amp;"")</f>
        <v/>
      </c>
      <c r="R93" s="11" t="str">
        <f aca="false">IF(INDEX(MASTER_DATABASE!$A$4:$A$1000,ROW()-3)="","",INDEX(MASTER_DATABASE!$BC$4:$BC$1000,ROW()-3)&amp;"")</f>
        <v>🏛️</v>
      </c>
      <c r="S93" s="11" t="n">
        <f aca="false">IF(INDEX(MASTER_DATABASE!$A$4:$A$1000,ROW()-3)="","",INDEX(MASTER_DATABASE!$AQ$4:$AQ$1000,ROW()-3))</f>
        <v>120</v>
      </c>
      <c r="T93" s="7" t="str">
        <f aca="false">IF(INDEX(MASTER_DATABASE!$A$4:$A$1000,ROW()-3)="","",INDEX(MASTER_DATABASE!$I$4:$I$1000,ROW()-3)&amp;"")</f>
        <v>Portal Dependent</v>
      </c>
      <c r="U93" s="7" t="str">
        <f aca="false">IF(INDEX(MASTER_DATABASE!$A$4:$A$1000,ROW()-3)="","",INDEX(MASTER_DATABASE!$J$4:$J$1000,ROW()-3)&amp;"")</f>
        <v>Depends on Portal – Confirm at Shop</v>
      </c>
      <c r="V93" s="7" t="str">
        <f aca="false">IF(INDEX(MASTER_DATABASE!$A$4:$A$1000,ROW()-3)="","",INDEX(MASTER_DATABASE!$AG$4:$AG$1000,ROW()-3)&amp;"")</f>
        <v>To Verify</v>
      </c>
      <c r="W93" s="7" t="str">
        <f aca="false">IF(INDEX(MASTER_DATABASE!$A$4:$A$1000,ROW()-3)="","",INDEX(MASTER_DATABASE!$AH$4:$AH$1000,ROW()-3)&amp;"")</f>
        <v>No</v>
      </c>
      <c r="X93" s="7" t="str">
        <f aca="false">IF(INDEX(MASTER_DATABASE!$A$4:$A$1000,ROW()-3)="","",INDEX(MASTER_DATABASE!$AI$4:$AI$1000,ROW()-3)&amp;"")</f>
        <v>No</v>
      </c>
      <c r="Y93" s="7" t="str">
        <f aca="false">IF(INDEX(MASTER_DATABASE!$A$4:$A$1000,ROW()-3)="","",INDEX(MASTER_DATABASE!$AJ$4:$AJ$1000,ROW()-3)&amp;"")</f>
        <v>No</v>
      </c>
      <c r="Z93" s="7" t="str">
        <f aca="false">IF(INDEX(MASTER_DATABASE!$A$4:$A$1000,ROW()-3)="","",INDEX(MASTER_DATABASE!$AK$4:$AK$1000,ROW()-3)&amp;"")</f>
        <v>No</v>
      </c>
      <c r="AA93" s="7" t="str">
        <f aca="false">IF(INDEX(MASTER_DATABASE!$A$4:$A$1000,ROW()-3)="","",INDEX(MASTER_DATABASE!$BE$4:$BE$1000,ROW()-3)&amp;"")</f>
        <v>HIDDEN</v>
      </c>
    </row>
    <row r="94" customFormat="false" ht="46.25" hidden="false" customHeight="false" outlineLevel="0" collapsed="false">
      <c r="A94" s="11" t="str">
        <f aca="false">IF(INDEX(MASTER_DATABASE!$A$4:$A$1000,ROW()-3)="","",INDEX(MASTER_DATABASE!$A$4:$A$1000,ROW()-3)&amp;"")</f>
        <v>BAS-013</v>
      </c>
      <c r="B94" s="7" t="str">
        <f aca="false">IF(INDEX(MASTER_DATABASE!$A$4:$A$1000,ROW()-3)="","",INDEX(MASTER_DATABASE!$B$4:$B$1000,ROW()-3)&amp;"")</f>
        <v>BASUDHA Kendra</v>
      </c>
      <c r="C94" s="7" t="str">
        <f aca="false">IF(INDEX(MASTER_DATABASE!$A$4:$A$1000,ROW()-3)="","",INDEX(MASTER_DATABASE!$C$4:$C$1000,ROW()-3)&amp;"")</f>
        <v>Government Services</v>
      </c>
      <c r="D94" s="7" t="str">
        <f aca="false">IF(INDEX(MASTER_DATABASE!$A$4:$A$1000,ROW()-3)="","",INDEX(MASTER_DATABASE!$D$4:$D$1000,ROW()-3)&amp;"")</f>
        <v>Government Scheme Applications</v>
      </c>
      <c r="E94" s="7" t="str">
        <f aca="false">IF(INDEX(MASTER_DATABASE!$A$4:$A$1000,ROW()-3)="","",INDEX(MASTER_DATABASE!$E$4:$E$1000,ROW()-3)&amp;"")</f>
        <v>Old Age Pension – Application</v>
      </c>
      <c r="F94" s="7" t="str">
        <f aca="false">IF(INDEX(MASTER_DATABASE!$A$4:$A$1000,ROW()-3)="","",INDEX(MASTER_DATABASE!$F$4:$F$1000,ROW()-3)&amp;"")</f>
        <v>वृद्धावस्था पेंशन – आवेदन</v>
      </c>
      <c r="G94" s="7" t="str">
        <f aca="false">IF(INDEX(MASTER_DATABASE!$A$4:$A$1000,ROW()-3)="","",INDEX(MASTER_DATABASE!$AL$4:$AL$1000,ROW()-3)&amp;"")</f>
        <v>BASUDHA Kendra</v>
      </c>
      <c r="H94" s="7" t="str">
        <f aca="false">IF(INDEX(MASTER_DATABASE!$A$4:$A$1000,ROW()-3)="","",INDEX(MASTER_DATABASE!$AM$4:$AM$1000,ROW()-3)&amp;"")</f>
        <v>Government Scheme Applications</v>
      </c>
      <c r="I94" s="7" t="str">
        <f aca="false">IF(INDEX(MASTER_DATABASE!$A$4:$A$1000,ROW()-3)="","",INDEX(MASTER_DATABASE!$AO$4:$AO$1000,ROW()-3)&amp;"")</f>
        <v>old-age-pension-application</v>
      </c>
      <c r="J94" s="7" t="str">
        <f aca="false">IF(INDEX(MASTER_DATABASE!$A$4:$A$1000,ROW()-3)="","",INDEX(MASTER_DATABASE!$BD$4:$BD$1000,ROW()-3)&amp;"")</f>
        <v>/services/old-age-pension-application</v>
      </c>
      <c r="K94" s="7" t="str">
        <f aca="false">IF(INDEX(MASTER_DATABASE!$A$4:$A$1000,ROW()-3)="","",INDEX(MASTER_DATABASE!$AX$4:$AX$1000,ROW()-3)&amp;"")</f>
        <v>Old Age Pension – Application Service | Devmobile Stores</v>
      </c>
      <c r="L94" s="7" t="str">
        <f aca="false">IF(INDEX(MASTER_DATABASE!$A$4:$A$1000,ROW()-3)="","",INDEX(MASTER_DATABASE!$AY$4:$AY$1000,ROW()-3)&amp;"")</f>
        <v>Old Age Pension – Application (वृद्धावस्था पेंशन – आवेदन) at Devmobile Stores and Common Service Center &amp; Aadhaar Centre. Check required documents, charges and process before you visit.</v>
      </c>
      <c r="M94" s="7" t="str">
        <f aca="false">IF(INDEX(MASTER_DATABASE!$A$4:$A$1000,ROW()-3)="","",INDEX(MASTER_DATABASE!$AN$4:$AN$1000,ROW()-3)&amp;"")</f>
        <v>Old Age Pension – Application, BASUDHA Kendra, Devmobile Stores, वृद्धावस्था पेंशन – आवेदन, बसुधा केंद्र, सेवा</v>
      </c>
      <c r="N94" s="7" t="str">
        <f aca="false">IF(INDEX(MASTER_DATABASE!$A$4:$A$1000,ROW()-3)="","",INDEX(MASTER_DATABASE!$AZ$4:$AZ$1000,ROW()-3)&amp;"")</f>
        <v>वृद्धावस्था पेंशन – आवेदन, बसुधा केंद्र, सेवा</v>
      </c>
      <c r="O94" s="7" t="str">
        <f aca="false">IF(INDEX(MASTER_DATABASE!$A$4:$A$1000,ROW()-3)="","",INDEX(MASTER_DATABASE!$BA$4:$BA$1000,ROW()-3)&amp;"")</f>
        <v>Old Age Pension – Application, BASUDHA Kendra, Devmobile Stores</v>
      </c>
      <c r="P94" s="11" t="str">
        <f aca="false">IF(INDEX(MASTER_DATABASE!$A$4:$A$1000,ROW()-3)="","",INDEX(MASTER_DATABASE!$AP$4:$AP$1000,ROW()-3)&amp;"")</f>
        <v>🏛️</v>
      </c>
      <c r="Q94" s="7" t="str">
        <f aca="false">IF(INDEX(MASTER_DATABASE!$A$4:$A$1000,ROW()-3)="","",INDEX(MASTER_DATABASE!$BB$4:$BB$1000,ROW()-3)&amp;"")</f>
        <v/>
      </c>
      <c r="R94" s="11" t="str">
        <f aca="false">IF(INDEX(MASTER_DATABASE!$A$4:$A$1000,ROW()-3)="","",INDEX(MASTER_DATABASE!$BC$4:$BC$1000,ROW()-3)&amp;"")</f>
        <v>🏛️</v>
      </c>
      <c r="S94" s="11" t="n">
        <f aca="false">IF(INDEX(MASTER_DATABASE!$A$4:$A$1000,ROW()-3)="","",INDEX(MASTER_DATABASE!$AQ$4:$AQ$1000,ROW()-3))</f>
        <v>130</v>
      </c>
      <c r="T94" s="7" t="str">
        <f aca="false">IF(INDEX(MASTER_DATABASE!$A$4:$A$1000,ROW()-3)="","",INDEX(MASTER_DATABASE!$I$4:$I$1000,ROW()-3)&amp;"")</f>
        <v>To Verify</v>
      </c>
      <c r="U94" s="7" t="str">
        <f aca="false">IF(INDEX(MASTER_DATABASE!$A$4:$A$1000,ROW()-3)="","",INDEX(MASTER_DATABASE!$J$4:$J$1000,ROW()-3)&amp;"")</f>
        <v>To Be Confirmed</v>
      </c>
      <c r="V94" s="7" t="str">
        <f aca="false">IF(INDEX(MASTER_DATABASE!$A$4:$A$1000,ROW()-3)="","",INDEX(MASTER_DATABASE!$AG$4:$AG$1000,ROW()-3)&amp;"")</f>
        <v>To Verify</v>
      </c>
      <c r="W94" s="7" t="str">
        <f aca="false">IF(INDEX(MASTER_DATABASE!$A$4:$A$1000,ROW()-3)="","",INDEX(MASTER_DATABASE!$AH$4:$AH$1000,ROW()-3)&amp;"")</f>
        <v>No</v>
      </c>
      <c r="X94" s="7" t="str">
        <f aca="false">IF(INDEX(MASTER_DATABASE!$A$4:$A$1000,ROW()-3)="","",INDEX(MASTER_DATABASE!$AI$4:$AI$1000,ROW()-3)&amp;"")</f>
        <v>No</v>
      </c>
      <c r="Y94" s="7" t="str">
        <f aca="false">IF(INDEX(MASTER_DATABASE!$A$4:$A$1000,ROW()-3)="","",INDEX(MASTER_DATABASE!$AJ$4:$AJ$1000,ROW()-3)&amp;"")</f>
        <v>No</v>
      </c>
      <c r="Z94" s="7" t="str">
        <f aca="false">IF(INDEX(MASTER_DATABASE!$A$4:$A$1000,ROW()-3)="","",INDEX(MASTER_DATABASE!$AK$4:$AK$1000,ROW()-3)&amp;"")</f>
        <v>No</v>
      </c>
      <c r="AA94" s="7" t="str">
        <f aca="false">IF(INDEX(MASTER_DATABASE!$A$4:$A$1000,ROW()-3)="","",INDEX(MASTER_DATABASE!$BE$4:$BE$1000,ROW()-3)&amp;"")</f>
        <v>HIDDEN</v>
      </c>
    </row>
    <row r="95" customFormat="false" ht="46.25" hidden="false" customHeight="false" outlineLevel="0" collapsed="false">
      <c r="A95" s="11" t="str">
        <f aca="false">IF(INDEX(MASTER_DATABASE!$A$4:$A$1000,ROW()-3)="","",INDEX(MASTER_DATABASE!$A$4:$A$1000,ROW()-3)&amp;"")</f>
        <v>BAS-014</v>
      </c>
      <c r="B95" s="7" t="str">
        <f aca="false">IF(INDEX(MASTER_DATABASE!$A$4:$A$1000,ROW()-3)="","",INDEX(MASTER_DATABASE!$B$4:$B$1000,ROW()-3)&amp;"")</f>
        <v>BASUDHA Kendra</v>
      </c>
      <c r="C95" s="7" t="str">
        <f aca="false">IF(INDEX(MASTER_DATABASE!$A$4:$A$1000,ROW()-3)="","",INDEX(MASTER_DATABASE!$C$4:$C$1000,ROW()-3)&amp;"")</f>
        <v>Government Services</v>
      </c>
      <c r="D95" s="7" t="str">
        <f aca="false">IF(INDEX(MASTER_DATABASE!$A$4:$A$1000,ROW()-3)="","",INDEX(MASTER_DATABASE!$D$4:$D$1000,ROW()-3)&amp;"")</f>
        <v>Government Scheme Applications</v>
      </c>
      <c r="E95" s="7" t="str">
        <f aca="false">IF(INDEX(MASTER_DATABASE!$A$4:$A$1000,ROW()-3)="","",INDEX(MASTER_DATABASE!$E$4:$E$1000,ROW()-3)&amp;"")</f>
        <v>Widow Pension – Application</v>
      </c>
      <c r="F95" s="7" t="str">
        <f aca="false">IF(INDEX(MASTER_DATABASE!$A$4:$A$1000,ROW()-3)="","",INDEX(MASTER_DATABASE!$F$4:$F$1000,ROW()-3)&amp;"")</f>
        <v>विधवा पेंशन – आवेदन</v>
      </c>
      <c r="G95" s="7" t="str">
        <f aca="false">IF(INDEX(MASTER_DATABASE!$A$4:$A$1000,ROW()-3)="","",INDEX(MASTER_DATABASE!$AL$4:$AL$1000,ROW()-3)&amp;"")</f>
        <v>BASUDHA Kendra</v>
      </c>
      <c r="H95" s="7" t="str">
        <f aca="false">IF(INDEX(MASTER_DATABASE!$A$4:$A$1000,ROW()-3)="","",INDEX(MASTER_DATABASE!$AM$4:$AM$1000,ROW()-3)&amp;"")</f>
        <v>Government Scheme Applications</v>
      </c>
      <c r="I95" s="7" t="str">
        <f aca="false">IF(INDEX(MASTER_DATABASE!$A$4:$A$1000,ROW()-3)="","",INDEX(MASTER_DATABASE!$AO$4:$AO$1000,ROW()-3)&amp;"")</f>
        <v>widow-pension-application</v>
      </c>
      <c r="J95" s="7" t="str">
        <f aca="false">IF(INDEX(MASTER_DATABASE!$A$4:$A$1000,ROW()-3)="","",INDEX(MASTER_DATABASE!$BD$4:$BD$1000,ROW()-3)&amp;"")</f>
        <v>/services/widow-pension-application</v>
      </c>
      <c r="K95" s="7" t="str">
        <f aca="false">IF(INDEX(MASTER_DATABASE!$A$4:$A$1000,ROW()-3)="","",INDEX(MASTER_DATABASE!$AX$4:$AX$1000,ROW()-3)&amp;"")</f>
        <v>Widow Pension – Application Service | Devmobile Stores</v>
      </c>
      <c r="L95" s="7" t="str">
        <f aca="false">IF(INDEX(MASTER_DATABASE!$A$4:$A$1000,ROW()-3)="","",INDEX(MASTER_DATABASE!$AY$4:$AY$1000,ROW()-3)&amp;"")</f>
        <v>Widow Pension – Application (विधवा पेंशन – आवेदन) at Devmobile Stores and Common Service Center &amp; Aadhaar Centre. Check required documents, charges and process before you visit.</v>
      </c>
      <c r="M95" s="7" t="str">
        <f aca="false">IF(INDEX(MASTER_DATABASE!$A$4:$A$1000,ROW()-3)="","",INDEX(MASTER_DATABASE!$AN$4:$AN$1000,ROW()-3)&amp;"")</f>
        <v>Widow Pension – Application, BASUDHA Kendra, Devmobile Stores, विधवा पेंशन – आवेदन, बसुधा केंद्र, सेवा</v>
      </c>
      <c r="N95" s="7" t="str">
        <f aca="false">IF(INDEX(MASTER_DATABASE!$A$4:$A$1000,ROW()-3)="","",INDEX(MASTER_DATABASE!$AZ$4:$AZ$1000,ROW()-3)&amp;"")</f>
        <v>विधवा पेंशन – आवेदन, बसुधा केंद्र, सेवा</v>
      </c>
      <c r="O95" s="7" t="str">
        <f aca="false">IF(INDEX(MASTER_DATABASE!$A$4:$A$1000,ROW()-3)="","",INDEX(MASTER_DATABASE!$BA$4:$BA$1000,ROW()-3)&amp;"")</f>
        <v>Widow Pension – Application, BASUDHA Kendra, Devmobile Stores</v>
      </c>
      <c r="P95" s="11" t="str">
        <f aca="false">IF(INDEX(MASTER_DATABASE!$A$4:$A$1000,ROW()-3)="","",INDEX(MASTER_DATABASE!$AP$4:$AP$1000,ROW()-3)&amp;"")</f>
        <v>🏛️</v>
      </c>
      <c r="Q95" s="7" t="str">
        <f aca="false">IF(INDEX(MASTER_DATABASE!$A$4:$A$1000,ROW()-3)="","",INDEX(MASTER_DATABASE!$BB$4:$BB$1000,ROW()-3)&amp;"")</f>
        <v/>
      </c>
      <c r="R95" s="11" t="str">
        <f aca="false">IF(INDEX(MASTER_DATABASE!$A$4:$A$1000,ROW()-3)="","",INDEX(MASTER_DATABASE!$BC$4:$BC$1000,ROW()-3)&amp;"")</f>
        <v>🏛️</v>
      </c>
      <c r="S95" s="11" t="n">
        <f aca="false">IF(INDEX(MASTER_DATABASE!$A$4:$A$1000,ROW()-3)="","",INDEX(MASTER_DATABASE!$AQ$4:$AQ$1000,ROW()-3))</f>
        <v>140</v>
      </c>
      <c r="T95" s="7" t="str">
        <f aca="false">IF(INDEX(MASTER_DATABASE!$A$4:$A$1000,ROW()-3)="","",INDEX(MASTER_DATABASE!$I$4:$I$1000,ROW()-3)&amp;"")</f>
        <v>To Verify</v>
      </c>
      <c r="U95" s="7" t="str">
        <f aca="false">IF(INDEX(MASTER_DATABASE!$A$4:$A$1000,ROW()-3)="","",INDEX(MASTER_DATABASE!$J$4:$J$1000,ROW()-3)&amp;"")</f>
        <v>To Be Confirmed</v>
      </c>
      <c r="V95" s="7" t="str">
        <f aca="false">IF(INDEX(MASTER_DATABASE!$A$4:$A$1000,ROW()-3)="","",INDEX(MASTER_DATABASE!$AG$4:$AG$1000,ROW()-3)&amp;"")</f>
        <v>To Verify</v>
      </c>
      <c r="W95" s="7" t="str">
        <f aca="false">IF(INDEX(MASTER_DATABASE!$A$4:$A$1000,ROW()-3)="","",INDEX(MASTER_DATABASE!$AH$4:$AH$1000,ROW()-3)&amp;"")</f>
        <v>No</v>
      </c>
      <c r="X95" s="7" t="str">
        <f aca="false">IF(INDEX(MASTER_DATABASE!$A$4:$A$1000,ROW()-3)="","",INDEX(MASTER_DATABASE!$AI$4:$AI$1000,ROW()-3)&amp;"")</f>
        <v>No</v>
      </c>
      <c r="Y95" s="7" t="str">
        <f aca="false">IF(INDEX(MASTER_DATABASE!$A$4:$A$1000,ROW()-3)="","",INDEX(MASTER_DATABASE!$AJ$4:$AJ$1000,ROW()-3)&amp;"")</f>
        <v>No</v>
      </c>
      <c r="Z95" s="7" t="str">
        <f aca="false">IF(INDEX(MASTER_DATABASE!$A$4:$A$1000,ROW()-3)="","",INDEX(MASTER_DATABASE!$AK$4:$AK$1000,ROW()-3)&amp;"")</f>
        <v>No</v>
      </c>
      <c r="AA95" s="7" t="str">
        <f aca="false">IF(INDEX(MASTER_DATABASE!$A$4:$A$1000,ROW()-3)="","",INDEX(MASTER_DATABASE!$BE$4:$BE$1000,ROW()-3)&amp;"")</f>
        <v>HIDDEN</v>
      </c>
    </row>
    <row r="96" customFormat="false" ht="46.25" hidden="false" customHeight="false" outlineLevel="0" collapsed="false">
      <c r="A96" s="11" t="str">
        <f aca="false">IF(INDEX(MASTER_DATABASE!$A$4:$A$1000,ROW()-3)="","",INDEX(MASTER_DATABASE!$A$4:$A$1000,ROW()-3)&amp;"")</f>
        <v>BAS-015</v>
      </c>
      <c r="B96" s="7" t="str">
        <f aca="false">IF(INDEX(MASTER_DATABASE!$A$4:$A$1000,ROW()-3)="","",INDEX(MASTER_DATABASE!$B$4:$B$1000,ROW()-3)&amp;"")</f>
        <v>BASUDHA Kendra</v>
      </c>
      <c r="C96" s="7" t="str">
        <f aca="false">IF(INDEX(MASTER_DATABASE!$A$4:$A$1000,ROW()-3)="","",INDEX(MASTER_DATABASE!$C$4:$C$1000,ROW()-3)&amp;"")</f>
        <v>Government Services</v>
      </c>
      <c r="D96" s="7" t="str">
        <f aca="false">IF(INDEX(MASTER_DATABASE!$A$4:$A$1000,ROW()-3)="","",INDEX(MASTER_DATABASE!$D$4:$D$1000,ROW()-3)&amp;"")</f>
        <v>Government Scheme Applications</v>
      </c>
      <c r="E96" s="7" t="str">
        <f aca="false">IF(INDEX(MASTER_DATABASE!$A$4:$A$1000,ROW()-3)="","",INDEX(MASTER_DATABASE!$E$4:$E$1000,ROW()-3)&amp;"")</f>
        <v>Divyang (Disability) Pension – Application</v>
      </c>
      <c r="F96" s="7" t="str">
        <f aca="false">IF(INDEX(MASTER_DATABASE!$A$4:$A$1000,ROW()-3)="","",INDEX(MASTER_DATABASE!$F$4:$F$1000,ROW()-3)&amp;"")</f>
        <v>दिव्यांग पेंशन – आवेदन</v>
      </c>
      <c r="G96" s="7" t="str">
        <f aca="false">IF(INDEX(MASTER_DATABASE!$A$4:$A$1000,ROW()-3)="","",INDEX(MASTER_DATABASE!$AL$4:$AL$1000,ROW()-3)&amp;"")</f>
        <v>BASUDHA Kendra</v>
      </c>
      <c r="H96" s="7" t="str">
        <f aca="false">IF(INDEX(MASTER_DATABASE!$A$4:$A$1000,ROW()-3)="","",INDEX(MASTER_DATABASE!$AM$4:$AM$1000,ROW()-3)&amp;"")</f>
        <v>Government Scheme Applications</v>
      </c>
      <c r="I96" s="7" t="str">
        <f aca="false">IF(INDEX(MASTER_DATABASE!$A$4:$A$1000,ROW()-3)="","",INDEX(MASTER_DATABASE!$AO$4:$AO$1000,ROW()-3)&amp;"")</f>
        <v>divyang-disability-pension-application</v>
      </c>
      <c r="J96" s="7" t="str">
        <f aca="false">IF(INDEX(MASTER_DATABASE!$A$4:$A$1000,ROW()-3)="","",INDEX(MASTER_DATABASE!$BD$4:$BD$1000,ROW()-3)&amp;"")</f>
        <v>/services/divyang-disability-pension-application</v>
      </c>
      <c r="K96" s="7" t="str">
        <f aca="false">IF(INDEX(MASTER_DATABASE!$A$4:$A$1000,ROW()-3)="","",INDEX(MASTER_DATABASE!$AX$4:$AX$1000,ROW()-3)&amp;"")</f>
        <v>Divyang (Disability) Pension – Application Service | Devmobile Stores</v>
      </c>
      <c r="L96" s="7" t="str">
        <f aca="false">IF(INDEX(MASTER_DATABASE!$A$4:$A$1000,ROW()-3)="","",INDEX(MASTER_DATABASE!$AY$4:$AY$1000,ROW()-3)&amp;"")</f>
        <v>Divyang (Disability) Pension – Application (दिव्यांग पेंशन – आवेदन) at Devmobile Stores and Common Service Center &amp; Aadhaar Centre. Check required documents, charges and process before you visit.</v>
      </c>
      <c r="M96" s="7" t="str">
        <f aca="false">IF(INDEX(MASTER_DATABASE!$A$4:$A$1000,ROW()-3)="","",INDEX(MASTER_DATABASE!$AN$4:$AN$1000,ROW()-3)&amp;"")</f>
        <v>Divyang (Disability) Pension – Application, BASUDHA Kendra, Devmobile Stores, दिव्यांग पेंशन – आवेदन, बसुधा केंद्र, सेवा</v>
      </c>
      <c r="N96" s="7" t="str">
        <f aca="false">IF(INDEX(MASTER_DATABASE!$A$4:$A$1000,ROW()-3)="","",INDEX(MASTER_DATABASE!$AZ$4:$AZ$1000,ROW()-3)&amp;"")</f>
        <v>दिव्यांग पेंशन – आवेदन, बसुधा केंद्र, सेवा</v>
      </c>
      <c r="O96" s="7" t="str">
        <f aca="false">IF(INDEX(MASTER_DATABASE!$A$4:$A$1000,ROW()-3)="","",INDEX(MASTER_DATABASE!$BA$4:$BA$1000,ROW()-3)&amp;"")</f>
        <v>Divyang (Disability) Pension – Application, BASUDHA Kendra, Devmobile Stores</v>
      </c>
      <c r="P96" s="11" t="str">
        <f aca="false">IF(INDEX(MASTER_DATABASE!$A$4:$A$1000,ROW()-3)="","",INDEX(MASTER_DATABASE!$AP$4:$AP$1000,ROW()-3)&amp;"")</f>
        <v>🏛️</v>
      </c>
      <c r="Q96" s="7" t="str">
        <f aca="false">IF(INDEX(MASTER_DATABASE!$A$4:$A$1000,ROW()-3)="","",INDEX(MASTER_DATABASE!$BB$4:$BB$1000,ROW()-3)&amp;"")</f>
        <v/>
      </c>
      <c r="R96" s="11" t="str">
        <f aca="false">IF(INDEX(MASTER_DATABASE!$A$4:$A$1000,ROW()-3)="","",INDEX(MASTER_DATABASE!$BC$4:$BC$1000,ROW()-3)&amp;"")</f>
        <v>🏛️</v>
      </c>
      <c r="S96" s="11" t="n">
        <f aca="false">IF(INDEX(MASTER_DATABASE!$A$4:$A$1000,ROW()-3)="","",INDEX(MASTER_DATABASE!$AQ$4:$AQ$1000,ROW()-3))</f>
        <v>150</v>
      </c>
      <c r="T96" s="7" t="str">
        <f aca="false">IF(INDEX(MASTER_DATABASE!$A$4:$A$1000,ROW()-3)="","",INDEX(MASTER_DATABASE!$I$4:$I$1000,ROW()-3)&amp;"")</f>
        <v>To Verify</v>
      </c>
      <c r="U96" s="7" t="str">
        <f aca="false">IF(INDEX(MASTER_DATABASE!$A$4:$A$1000,ROW()-3)="","",INDEX(MASTER_DATABASE!$J$4:$J$1000,ROW()-3)&amp;"")</f>
        <v>To Be Confirmed</v>
      </c>
      <c r="V96" s="7" t="str">
        <f aca="false">IF(INDEX(MASTER_DATABASE!$A$4:$A$1000,ROW()-3)="","",INDEX(MASTER_DATABASE!$AG$4:$AG$1000,ROW()-3)&amp;"")</f>
        <v>To Verify</v>
      </c>
      <c r="W96" s="7" t="str">
        <f aca="false">IF(INDEX(MASTER_DATABASE!$A$4:$A$1000,ROW()-3)="","",INDEX(MASTER_DATABASE!$AH$4:$AH$1000,ROW()-3)&amp;"")</f>
        <v>No</v>
      </c>
      <c r="X96" s="7" t="str">
        <f aca="false">IF(INDEX(MASTER_DATABASE!$A$4:$A$1000,ROW()-3)="","",INDEX(MASTER_DATABASE!$AI$4:$AI$1000,ROW()-3)&amp;"")</f>
        <v>No</v>
      </c>
      <c r="Y96" s="7" t="str">
        <f aca="false">IF(INDEX(MASTER_DATABASE!$A$4:$A$1000,ROW()-3)="","",INDEX(MASTER_DATABASE!$AJ$4:$AJ$1000,ROW()-3)&amp;"")</f>
        <v>No</v>
      </c>
      <c r="Z96" s="7" t="str">
        <f aca="false">IF(INDEX(MASTER_DATABASE!$A$4:$A$1000,ROW()-3)="","",INDEX(MASTER_DATABASE!$AK$4:$AK$1000,ROW()-3)&amp;"")</f>
        <v>No</v>
      </c>
      <c r="AA96" s="7" t="str">
        <f aca="false">IF(INDEX(MASTER_DATABASE!$A$4:$A$1000,ROW()-3)="","",INDEX(MASTER_DATABASE!$BE$4:$BE$1000,ROW()-3)&amp;"")</f>
        <v>HIDDEN</v>
      </c>
    </row>
    <row r="97" customFormat="false" ht="46.25" hidden="false" customHeight="false" outlineLevel="0" collapsed="false">
      <c r="A97" s="11" t="str">
        <f aca="false">IF(INDEX(MASTER_DATABASE!$A$4:$A$1000,ROW()-3)="","",INDEX(MASTER_DATABASE!$A$4:$A$1000,ROW()-3)&amp;"")</f>
        <v>BAS-016</v>
      </c>
      <c r="B97" s="7" t="str">
        <f aca="false">IF(INDEX(MASTER_DATABASE!$A$4:$A$1000,ROW()-3)="","",INDEX(MASTER_DATABASE!$B$4:$B$1000,ROW()-3)&amp;"")</f>
        <v>BASUDHA Kendra</v>
      </c>
      <c r="C97" s="7" t="str">
        <f aca="false">IF(INDEX(MASTER_DATABASE!$A$4:$A$1000,ROW()-3)="","",INDEX(MASTER_DATABASE!$C$4:$C$1000,ROW()-3)&amp;"")</f>
        <v>Government Services</v>
      </c>
      <c r="D97" s="7" t="str">
        <f aca="false">IF(INDEX(MASTER_DATABASE!$A$4:$A$1000,ROW()-3)="","",INDEX(MASTER_DATABASE!$D$4:$D$1000,ROW()-3)&amp;"")</f>
        <v>Government Scheme Applications</v>
      </c>
      <c r="E97" s="7" t="str">
        <f aca="false">IF(INDEX(MASTER_DATABASE!$A$4:$A$1000,ROW()-3)="","",INDEX(MASTER_DATABASE!$E$4:$E$1000,ROW()-3)&amp;"")</f>
        <v>Government Scheme Application – General</v>
      </c>
      <c r="F97" s="7" t="str">
        <f aca="false">IF(INDEX(MASTER_DATABASE!$A$4:$A$1000,ROW()-3)="","",INDEX(MASTER_DATABASE!$F$4:$F$1000,ROW()-3)&amp;"")</f>
        <v>सरकारी योजना आवेदन – सामान्य</v>
      </c>
      <c r="G97" s="7" t="str">
        <f aca="false">IF(INDEX(MASTER_DATABASE!$A$4:$A$1000,ROW()-3)="","",INDEX(MASTER_DATABASE!$AL$4:$AL$1000,ROW()-3)&amp;"")</f>
        <v>BASUDHA Kendra</v>
      </c>
      <c r="H97" s="7" t="str">
        <f aca="false">IF(INDEX(MASTER_DATABASE!$A$4:$A$1000,ROW()-3)="","",INDEX(MASTER_DATABASE!$AM$4:$AM$1000,ROW()-3)&amp;"")</f>
        <v>Government Scheme Applications</v>
      </c>
      <c r="I97" s="7" t="str">
        <f aca="false">IF(INDEX(MASTER_DATABASE!$A$4:$A$1000,ROW()-3)="","",INDEX(MASTER_DATABASE!$AO$4:$AO$1000,ROW()-3)&amp;"")</f>
        <v>government-scheme-application-general</v>
      </c>
      <c r="J97" s="7" t="str">
        <f aca="false">IF(INDEX(MASTER_DATABASE!$A$4:$A$1000,ROW()-3)="","",INDEX(MASTER_DATABASE!$BD$4:$BD$1000,ROW()-3)&amp;"")</f>
        <v>/services/government-scheme-application-general</v>
      </c>
      <c r="K97" s="7" t="str">
        <f aca="false">IF(INDEX(MASTER_DATABASE!$A$4:$A$1000,ROW()-3)="","",INDEX(MASTER_DATABASE!$AX$4:$AX$1000,ROW()-3)&amp;"")</f>
        <v>Government Scheme Application – General Service | Devmobile Stores</v>
      </c>
      <c r="L97" s="7" t="str">
        <f aca="false">IF(INDEX(MASTER_DATABASE!$A$4:$A$1000,ROW()-3)="","",INDEX(MASTER_DATABASE!$AY$4:$AY$1000,ROW()-3)&amp;"")</f>
        <v>Government Scheme Application – General (सरकारी योजना आवेदन – सामान्य) at Devmobile Stores and Common Service Center &amp; Aadhaar Centre. Check required documents, charges and process before you visit.</v>
      </c>
      <c r="M97" s="7" t="str">
        <f aca="false">IF(INDEX(MASTER_DATABASE!$A$4:$A$1000,ROW()-3)="","",INDEX(MASTER_DATABASE!$AN$4:$AN$1000,ROW()-3)&amp;"")</f>
        <v>Government Scheme Application – General, BASUDHA Kendra, Devmobile Stores, सरकारी योजना आवेदन – सामान्य, बसुधा केंद्र, सेवा</v>
      </c>
      <c r="N97" s="7" t="str">
        <f aca="false">IF(INDEX(MASTER_DATABASE!$A$4:$A$1000,ROW()-3)="","",INDEX(MASTER_DATABASE!$AZ$4:$AZ$1000,ROW()-3)&amp;"")</f>
        <v>सरकारी योजना आवेदन – सामान्य, बसुधा केंद्र, सेवा</v>
      </c>
      <c r="O97" s="7" t="str">
        <f aca="false">IF(INDEX(MASTER_DATABASE!$A$4:$A$1000,ROW()-3)="","",INDEX(MASTER_DATABASE!$BA$4:$BA$1000,ROW()-3)&amp;"")</f>
        <v>Government Scheme Application – General, BASUDHA Kendra, Devmobile Stores</v>
      </c>
      <c r="P97" s="11" t="str">
        <f aca="false">IF(INDEX(MASTER_DATABASE!$A$4:$A$1000,ROW()-3)="","",INDEX(MASTER_DATABASE!$AP$4:$AP$1000,ROW()-3)&amp;"")</f>
        <v>🏛️</v>
      </c>
      <c r="Q97" s="7" t="str">
        <f aca="false">IF(INDEX(MASTER_DATABASE!$A$4:$A$1000,ROW()-3)="","",INDEX(MASTER_DATABASE!$BB$4:$BB$1000,ROW()-3)&amp;"")</f>
        <v/>
      </c>
      <c r="R97" s="11" t="str">
        <f aca="false">IF(INDEX(MASTER_DATABASE!$A$4:$A$1000,ROW()-3)="","",INDEX(MASTER_DATABASE!$BC$4:$BC$1000,ROW()-3)&amp;"")</f>
        <v>🏛️</v>
      </c>
      <c r="S97" s="11" t="n">
        <f aca="false">IF(INDEX(MASTER_DATABASE!$A$4:$A$1000,ROW()-3)="","",INDEX(MASTER_DATABASE!$AQ$4:$AQ$1000,ROW()-3))</f>
        <v>160</v>
      </c>
      <c r="T97" s="7" t="str">
        <f aca="false">IF(INDEX(MASTER_DATABASE!$A$4:$A$1000,ROW()-3)="","",INDEX(MASTER_DATABASE!$I$4:$I$1000,ROW()-3)&amp;"")</f>
        <v>Portal Dependent</v>
      </c>
      <c r="U97" s="7" t="str">
        <f aca="false">IF(INDEX(MASTER_DATABASE!$A$4:$A$1000,ROW()-3)="","",INDEX(MASTER_DATABASE!$J$4:$J$1000,ROW()-3)&amp;"")</f>
        <v>Depends on Portal – Confirm at Shop</v>
      </c>
      <c r="V97" s="7" t="str">
        <f aca="false">IF(INDEX(MASTER_DATABASE!$A$4:$A$1000,ROW()-3)="","",INDEX(MASTER_DATABASE!$AG$4:$AG$1000,ROW()-3)&amp;"")</f>
        <v>To Verify</v>
      </c>
      <c r="W97" s="7" t="str">
        <f aca="false">IF(INDEX(MASTER_DATABASE!$A$4:$A$1000,ROW()-3)="","",INDEX(MASTER_DATABASE!$AH$4:$AH$1000,ROW()-3)&amp;"")</f>
        <v>No</v>
      </c>
      <c r="X97" s="7" t="str">
        <f aca="false">IF(INDEX(MASTER_DATABASE!$A$4:$A$1000,ROW()-3)="","",INDEX(MASTER_DATABASE!$AI$4:$AI$1000,ROW()-3)&amp;"")</f>
        <v>No</v>
      </c>
      <c r="Y97" s="7" t="str">
        <f aca="false">IF(INDEX(MASTER_DATABASE!$A$4:$A$1000,ROW()-3)="","",INDEX(MASTER_DATABASE!$AJ$4:$AJ$1000,ROW()-3)&amp;"")</f>
        <v>No</v>
      </c>
      <c r="Z97" s="7" t="str">
        <f aca="false">IF(INDEX(MASTER_DATABASE!$A$4:$A$1000,ROW()-3)="","",INDEX(MASTER_DATABASE!$AK$4:$AK$1000,ROW()-3)&amp;"")</f>
        <v>No</v>
      </c>
      <c r="AA97" s="7" t="str">
        <f aca="false">IF(INDEX(MASTER_DATABASE!$A$4:$A$1000,ROW()-3)="","",INDEX(MASTER_DATABASE!$BE$4:$BE$1000,ROW()-3)&amp;"")</f>
        <v>HIDDEN</v>
      </c>
    </row>
    <row r="98" customFormat="false" ht="46.25" hidden="false" customHeight="false" outlineLevel="0" collapsed="false">
      <c r="A98" s="11" t="str">
        <f aca="false">IF(INDEX(MASTER_DATABASE!$A$4:$A$1000,ROW()-3)="","",INDEX(MASTER_DATABASE!$A$4:$A$1000,ROW()-3)&amp;"")</f>
        <v>BAS-017</v>
      </c>
      <c r="B98" s="7" t="str">
        <f aca="false">IF(INDEX(MASTER_DATABASE!$A$4:$A$1000,ROW()-3)="","",INDEX(MASTER_DATABASE!$B$4:$B$1000,ROW()-3)&amp;"")</f>
        <v>BASUDHA Kendra</v>
      </c>
      <c r="C98" s="7" t="str">
        <f aca="false">IF(INDEX(MASTER_DATABASE!$A$4:$A$1000,ROW()-3)="","",INDEX(MASTER_DATABASE!$C$4:$C$1000,ROW()-3)&amp;"")</f>
        <v>Government Services</v>
      </c>
      <c r="D98" s="7" t="str">
        <f aca="false">IF(INDEX(MASTER_DATABASE!$A$4:$A$1000,ROW()-3)="","",INDEX(MASTER_DATABASE!$D$4:$D$1000,ROW()-3)&amp;"")</f>
        <v>Ration Card</v>
      </c>
      <c r="E98" s="7" t="str">
        <f aca="false">IF(INDEX(MASTER_DATABASE!$A$4:$A$1000,ROW()-3)="","",INDEX(MASTER_DATABASE!$E$4:$E$1000,ROW()-3)&amp;"")</f>
        <v>Ration Card – New Application</v>
      </c>
      <c r="F98" s="7" t="str">
        <f aca="false">IF(INDEX(MASTER_DATABASE!$A$4:$A$1000,ROW()-3)="","",INDEX(MASTER_DATABASE!$F$4:$F$1000,ROW()-3)&amp;"")</f>
        <v>राशन कार्ड – नया आवेदन</v>
      </c>
      <c r="G98" s="7" t="str">
        <f aca="false">IF(INDEX(MASTER_DATABASE!$A$4:$A$1000,ROW()-3)="","",INDEX(MASTER_DATABASE!$AL$4:$AL$1000,ROW()-3)&amp;"")</f>
        <v>BASUDHA Kendra</v>
      </c>
      <c r="H98" s="7" t="str">
        <f aca="false">IF(INDEX(MASTER_DATABASE!$A$4:$A$1000,ROW()-3)="","",INDEX(MASTER_DATABASE!$AM$4:$AM$1000,ROW()-3)&amp;"")</f>
        <v>Ration Card</v>
      </c>
      <c r="I98" s="7" t="str">
        <f aca="false">IF(INDEX(MASTER_DATABASE!$A$4:$A$1000,ROW()-3)="","",INDEX(MASTER_DATABASE!$AO$4:$AO$1000,ROW()-3)&amp;"")</f>
        <v>ration-card-new-application</v>
      </c>
      <c r="J98" s="7" t="str">
        <f aca="false">IF(INDEX(MASTER_DATABASE!$A$4:$A$1000,ROW()-3)="","",INDEX(MASTER_DATABASE!$BD$4:$BD$1000,ROW()-3)&amp;"")</f>
        <v>/services/ration-card-new-application</v>
      </c>
      <c r="K98" s="7" t="str">
        <f aca="false">IF(INDEX(MASTER_DATABASE!$A$4:$A$1000,ROW()-3)="","",INDEX(MASTER_DATABASE!$AX$4:$AX$1000,ROW()-3)&amp;"")</f>
        <v>Ration Card – New Application Service | Devmobile Stores</v>
      </c>
      <c r="L98" s="7" t="str">
        <f aca="false">IF(INDEX(MASTER_DATABASE!$A$4:$A$1000,ROW()-3)="","",INDEX(MASTER_DATABASE!$AY$4:$AY$1000,ROW()-3)&amp;"")</f>
        <v>Ration Card – New Application (राशन कार्ड – नया आवेदन) at Devmobile Stores and Common Service Center &amp; Aadhaar Centre. Check required documents, charges and process before you visit.</v>
      </c>
      <c r="M98" s="7" t="str">
        <f aca="false">IF(INDEX(MASTER_DATABASE!$A$4:$A$1000,ROW()-3)="","",INDEX(MASTER_DATABASE!$AN$4:$AN$1000,ROW()-3)&amp;"")</f>
        <v>Ration Card – New Application, BASUDHA Kendra, Devmobile Stores, राशन कार्ड – नया आवेदन, बसुधा केंद्र, सेवा</v>
      </c>
      <c r="N98" s="7" t="str">
        <f aca="false">IF(INDEX(MASTER_DATABASE!$A$4:$A$1000,ROW()-3)="","",INDEX(MASTER_DATABASE!$AZ$4:$AZ$1000,ROW()-3)&amp;"")</f>
        <v>राशन कार्ड – नया आवेदन, बसुधा केंद्र, सेवा</v>
      </c>
      <c r="O98" s="7" t="str">
        <f aca="false">IF(INDEX(MASTER_DATABASE!$A$4:$A$1000,ROW()-3)="","",INDEX(MASTER_DATABASE!$BA$4:$BA$1000,ROW()-3)&amp;"")</f>
        <v>Ration Card – New Application, BASUDHA Kendra, Devmobile Stores</v>
      </c>
      <c r="P98" s="11" t="str">
        <f aca="false">IF(INDEX(MASTER_DATABASE!$A$4:$A$1000,ROW()-3)="","",INDEX(MASTER_DATABASE!$AP$4:$AP$1000,ROW()-3)&amp;"")</f>
        <v>🌾</v>
      </c>
      <c r="Q98" s="7" t="str">
        <f aca="false">IF(INDEX(MASTER_DATABASE!$A$4:$A$1000,ROW()-3)="","",INDEX(MASTER_DATABASE!$BB$4:$BB$1000,ROW()-3)&amp;"")</f>
        <v/>
      </c>
      <c r="R98" s="11" t="str">
        <f aca="false">IF(INDEX(MASTER_DATABASE!$A$4:$A$1000,ROW()-3)="","",INDEX(MASTER_DATABASE!$BC$4:$BC$1000,ROW()-3)&amp;"")</f>
        <v>🏛️</v>
      </c>
      <c r="S98" s="11" t="n">
        <f aca="false">IF(INDEX(MASTER_DATABASE!$A$4:$A$1000,ROW()-3)="","",INDEX(MASTER_DATABASE!$AQ$4:$AQ$1000,ROW()-3))</f>
        <v>170</v>
      </c>
      <c r="T98" s="7" t="str">
        <f aca="false">IF(INDEX(MASTER_DATABASE!$A$4:$A$1000,ROW()-3)="","",INDEX(MASTER_DATABASE!$I$4:$I$1000,ROW()-3)&amp;"")</f>
        <v>To Verify</v>
      </c>
      <c r="U98" s="7" t="str">
        <f aca="false">IF(INDEX(MASTER_DATABASE!$A$4:$A$1000,ROW()-3)="","",INDEX(MASTER_DATABASE!$J$4:$J$1000,ROW()-3)&amp;"")</f>
        <v>To Be Confirmed</v>
      </c>
      <c r="V98" s="7" t="str">
        <f aca="false">IF(INDEX(MASTER_DATABASE!$A$4:$A$1000,ROW()-3)="","",INDEX(MASTER_DATABASE!$AG$4:$AG$1000,ROW()-3)&amp;"")</f>
        <v>To Verify</v>
      </c>
      <c r="W98" s="7" t="str">
        <f aca="false">IF(INDEX(MASTER_DATABASE!$A$4:$A$1000,ROW()-3)="","",INDEX(MASTER_DATABASE!$AH$4:$AH$1000,ROW()-3)&amp;"")</f>
        <v>No</v>
      </c>
      <c r="X98" s="7" t="str">
        <f aca="false">IF(INDEX(MASTER_DATABASE!$A$4:$A$1000,ROW()-3)="","",INDEX(MASTER_DATABASE!$AI$4:$AI$1000,ROW()-3)&amp;"")</f>
        <v>No</v>
      </c>
      <c r="Y98" s="7" t="str">
        <f aca="false">IF(INDEX(MASTER_DATABASE!$A$4:$A$1000,ROW()-3)="","",INDEX(MASTER_DATABASE!$AJ$4:$AJ$1000,ROW()-3)&amp;"")</f>
        <v>No</v>
      </c>
      <c r="Z98" s="7" t="str">
        <f aca="false">IF(INDEX(MASTER_DATABASE!$A$4:$A$1000,ROW()-3)="","",INDEX(MASTER_DATABASE!$AK$4:$AK$1000,ROW()-3)&amp;"")</f>
        <v>No</v>
      </c>
      <c r="AA98" s="7" t="str">
        <f aca="false">IF(INDEX(MASTER_DATABASE!$A$4:$A$1000,ROW()-3)="","",INDEX(MASTER_DATABASE!$BE$4:$BE$1000,ROW()-3)&amp;"")</f>
        <v>HIDDEN</v>
      </c>
    </row>
    <row r="99" customFormat="false" ht="57.45" hidden="false" customHeight="false" outlineLevel="0" collapsed="false">
      <c r="A99" s="11" t="str">
        <f aca="false">IF(INDEX(MASTER_DATABASE!$A$4:$A$1000,ROW()-3)="","",INDEX(MASTER_DATABASE!$A$4:$A$1000,ROW()-3)&amp;"")</f>
        <v>BAS-018</v>
      </c>
      <c r="B99" s="7" t="str">
        <f aca="false">IF(INDEX(MASTER_DATABASE!$A$4:$A$1000,ROW()-3)="","",INDEX(MASTER_DATABASE!$B$4:$B$1000,ROW()-3)&amp;"")</f>
        <v>BASUDHA Kendra</v>
      </c>
      <c r="C99" s="7" t="str">
        <f aca="false">IF(INDEX(MASTER_DATABASE!$A$4:$A$1000,ROW()-3)="","",INDEX(MASTER_DATABASE!$C$4:$C$1000,ROW()-3)&amp;"")</f>
        <v>Government Services</v>
      </c>
      <c r="D99" s="7" t="str">
        <f aca="false">IF(INDEX(MASTER_DATABASE!$A$4:$A$1000,ROW()-3)="","",INDEX(MASTER_DATABASE!$D$4:$D$1000,ROW()-3)&amp;"")</f>
        <v>Ration Card</v>
      </c>
      <c r="E99" s="7" t="str">
        <f aca="false">IF(INDEX(MASTER_DATABASE!$A$4:$A$1000,ROW()-3)="","",INDEX(MASTER_DATABASE!$E$4:$E$1000,ROW()-3)&amp;"")</f>
        <v>Ration Card – Member Add / Delete / Correction</v>
      </c>
      <c r="F99" s="7" t="str">
        <f aca="false">IF(INDEX(MASTER_DATABASE!$A$4:$A$1000,ROW()-3)="","",INDEX(MASTER_DATABASE!$F$4:$F$1000,ROW()-3)&amp;"")</f>
        <v>राशन कार्ड – सदस्य जोड़ना / हटाना / सुधार</v>
      </c>
      <c r="G99" s="7" t="str">
        <f aca="false">IF(INDEX(MASTER_DATABASE!$A$4:$A$1000,ROW()-3)="","",INDEX(MASTER_DATABASE!$AL$4:$AL$1000,ROW()-3)&amp;"")</f>
        <v>BASUDHA Kendra</v>
      </c>
      <c r="H99" s="7" t="str">
        <f aca="false">IF(INDEX(MASTER_DATABASE!$A$4:$A$1000,ROW()-3)="","",INDEX(MASTER_DATABASE!$AM$4:$AM$1000,ROW()-3)&amp;"")</f>
        <v>Ration Card</v>
      </c>
      <c r="I99" s="7" t="str">
        <f aca="false">IF(INDEX(MASTER_DATABASE!$A$4:$A$1000,ROW()-3)="","",INDEX(MASTER_DATABASE!$AO$4:$AO$1000,ROW()-3)&amp;"")</f>
        <v>ration-card-member-add-delete-correction</v>
      </c>
      <c r="J99" s="7" t="str">
        <f aca="false">IF(INDEX(MASTER_DATABASE!$A$4:$A$1000,ROW()-3)="","",INDEX(MASTER_DATABASE!$BD$4:$BD$1000,ROW()-3)&amp;"")</f>
        <v>/services/ration-card-member-add-delete-correction</v>
      </c>
      <c r="K99" s="7" t="str">
        <f aca="false">IF(INDEX(MASTER_DATABASE!$A$4:$A$1000,ROW()-3)="","",INDEX(MASTER_DATABASE!$AX$4:$AX$1000,ROW()-3)&amp;"")</f>
        <v>Ration Card – Member Add / Delete / Correction Service | Devmobile Stores</v>
      </c>
      <c r="L99" s="7" t="str">
        <f aca="false">IF(INDEX(MASTER_DATABASE!$A$4:$A$1000,ROW()-3)="","",INDEX(MASTER_DATABASE!$AY$4:$AY$1000,ROW()-3)&amp;"")</f>
        <v>Ration Card – Member Add / Delete / Correction (राशन कार्ड – सदस्य जोड़ना / हटाना / सुधार) at Devmobile Stores and Common Service Center &amp; Aadhaar Centre. Check required documents, charges and process before you visit.</v>
      </c>
      <c r="M99" s="7" t="str">
        <f aca="false">IF(INDEX(MASTER_DATABASE!$A$4:$A$1000,ROW()-3)="","",INDEX(MASTER_DATABASE!$AN$4:$AN$1000,ROW()-3)&amp;"")</f>
        <v>Ration Card – Member Add / Delete / Correction, BASUDHA Kendra, Devmobile Stores, राशन कार्ड – सदस्य जोड़ना / हटाना / सुधार, बसुधा केंद्र, सेवा</v>
      </c>
      <c r="N99" s="7" t="str">
        <f aca="false">IF(INDEX(MASTER_DATABASE!$A$4:$A$1000,ROW()-3)="","",INDEX(MASTER_DATABASE!$AZ$4:$AZ$1000,ROW()-3)&amp;"")</f>
        <v>राशन कार्ड – सदस्य जोड़ना / हटाना / सुधार, बसुधा केंद्र, सेवा</v>
      </c>
      <c r="O99" s="7" t="str">
        <f aca="false">IF(INDEX(MASTER_DATABASE!$A$4:$A$1000,ROW()-3)="","",INDEX(MASTER_DATABASE!$BA$4:$BA$1000,ROW()-3)&amp;"")</f>
        <v>Ration Card – Member Add / Delete / Correction, BASUDHA Kendra, Devmobile Stores</v>
      </c>
      <c r="P99" s="11" t="str">
        <f aca="false">IF(INDEX(MASTER_DATABASE!$A$4:$A$1000,ROW()-3)="","",INDEX(MASTER_DATABASE!$AP$4:$AP$1000,ROW()-3)&amp;"")</f>
        <v>🌾</v>
      </c>
      <c r="Q99" s="7" t="str">
        <f aca="false">IF(INDEX(MASTER_DATABASE!$A$4:$A$1000,ROW()-3)="","",INDEX(MASTER_DATABASE!$BB$4:$BB$1000,ROW()-3)&amp;"")</f>
        <v/>
      </c>
      <c r="R99" s="11" t="str">
        <f aca="false">IF(INDEX(MASTER_DATABASE!$A$4:$A$1000,ROW()-3)="","",INDEX(MASTER_DATABASE!$BC$4:$BC$1000,ROW()-3)&amp;"")</f>
        <v>🏛️</v>
      </c>
      <c r="S99" s="11" t="n">
        <f aca="false">IF(INDEX(MASTER_DATABASE!$A$4:$A$1000,ROW()-3)="","",INDEX(MASTER_DATABASE!$AQ$4:$AQ$1000,ROW()-3))</f>
        <v>180</v>
      </c>
      <c r="T99" s="7" t="str">
        <f aca="false">IF(INDEX(MASTER_DATABASE!$A$4:$A$1000,ROW()-3)="","",INDEX(MASTER_DATABASE!$I$4:$I$1000,ROW()-3)&amp;"")</f>
        <v>To Verify</v>
      </c>
      <c r="U99" s="7" t="str">
        <f aca="false">IF(INDEX(MASTER_DATABASE!$A$4:$A$1000,ROW()-3)="","",INDEX(MASTER_DATABASE!$J$4:$J$1000,ROW()-3)&amp;"")</f>
        <v>To Be Confirmed</v>
      </c>
      <c r="V99" s="7" t="str">
        <f aca="false">IF(INDEX(MASTER_DATABASE!$A$4:$A$1000,ROW()-3)="","",INDEX(MASTER_DATABASE!$AG$4:$AG$1000,ROW()-3)&amp;"")</f>
        <v>To Verify</v>
      </c>
      <c r="W99" s="7" t="str">
        <f aca="false">IF(INDEX(MASTER_DATABASE!$A$4:$A$1000,ROW()-3)="","",INDEX(MASTER_DATABASE!$AH$4:$AH$1000,ROW()-3)&amp;"")</f>
        <v>No</v>
      </c>
      <c r="X99" s="7" t="str">
        <f aca="false">IF(INDEX(MASTER_DATABASE!$A$4:$A$1000,ROW()-3)="","",INDEX(MASTER_DATABASE!$AI$4:$AI$1000,ROW()-3)&amp;"")</f>
        <v>No</v>
      </c>
      <c r="Y99" s="7" t="str">
        <f aca="false">IF(INDEX(MASTER_DATABASE!$A$4:$A$1000,ROW()-3)="","",INDEX(MASTER_DATABASE!$AJ$4:$AJ$1000,ROW()-3)&amp;"")</f>
        <v>No</v>
      </c>
      <c r="Z99" s="7" t="str">
        <f aca="false">IF(INDEX(MASTER_DATABASE!$A$4:$A$1000,ROW()-3)="","",INDEX(MASTER_DATABASE!$AK$4:$AK$1000,ROW()-3)&amp;"")</f>
        <v>No</v>
      </c>
      <c r="AA99" s="7" t="str">
        <f aca="false">IF(INDEX(MASTER_DATABASE!$A$4:$A$1000,ROW()-3)="","",INDEX(MASTER_DATABASE!$BE$4:$BE$1000,ROW()-3)&amp;"")</f>
        <v>HIDDEN</v>
      </c>
    </row>
    <row r="100" customFormat="false" ht="46.25" hidden="false" customHeight="false" outlineLevel="0" collapsed="false">
      <c r="A100" s="11" t="str">
        <f aca="false">IF(INDEX(MASTER_DATABASE!$A$4:$A$1000,ROW()-3)="","",INDEX(MASTER_DATABASE!$A$4:$A$1000,ROW()-3)&amp;"")</f>
        <v>BAS-019</v>
      </c>
      <c r="B100" s="7" t="str">
        <f aca="false">IF(INDEX(MASTER_DATABASE!$A$4:$A$1000,ROW()-3)="","",INDEX(MASTER_DATABASE!$B$4:$B$1000,ROW()-3)&amp;"")</f>
        <v>BASUDHA Kendra</v>
      </c>
      <c r="C100" s="7" t="str">
        <f aca="false">IF(INDEX(MASTER_DATABASE!$A$4:$A$1000,ROW()-3)="","",INDEX(MASTER_DATABASE!$C$4:$C$1000,ROW()-3)&amp;"")</f>
        <v>Government Services</v>
      </c>
      <c r="D100" s="7" t="str">
        <f aca="false">IF(INDEX(MASTER_DATABASE!$A$4:$A$1000,ROW()-3)="","",INDEX(MASTER_DATABASE!$D$4:$D$1000,ROW()-3)&amp;"")</f>
        <v>Ration Card</v>
      </c>
      <c r="E100" s="7" t="str">
        <f aca="false">IF(INDEX(MASTER_DATABASE!$A$4:$A$1000,ROW()-3)="","",INDEX(MASTER_DATABASE!$E$4:$E$1000,ROW()-3)&amp;"")</f>
        <v>Ration Card – Status Check / Download</v>
      </c>
      <c r="F100" s="7" t="str">
        <f aca="false">IF(INDEX(MASTER_DATABASE!$A$4:$A$1000,ROW()-3)="","",INDEX(MASTER_DATABASE!$F$4:$F$1000,ROW()-3)&amp;"")</f>
        <v>राशन कार्ड – स्थिति जाँच / डाउनलोड</v>
      </c>
      <c r="G100" s="7" t="str">
        <f aca="false">IF(INDEX(MASTER_DATABASE!$A$4:$A$1000,ROW()-3)="","",INDEX(MASTER_DATABASE!$AL$4:$AL$1000,ROW()-3)&amp;"")</f>
        <v>BASUDHA Kendra</v>
      </c>
      <c r="H100" s="7" t="str">
        <f aca="false">IF(INDEX(MASTER_DATABASE!$A$4:$A$1000,ROW()-3)="","",INDEX(MASTER_DATABASE!$AM$4:$AM$1000,ROW()-3)&amp;"")</f>
        <v>Ration Card</v>
      </c>
      <c r="I100" s="7" t="str">
        <f aca="false">IF(INDEX(MASTER_DATABASE!$A$4:$A$1000,ROW()-3)="","",INDEX(MASTER_DATABASE!$AO$4:$AO$1000,ROW()-3)&amp;"")</f>
        <v>ration-card-status-check-download</v>
      </c>
      <c r="J100" s="7" t="str">
        <f aca="false">IF(INDEX(MASTER_DATABASE!$A$4:$A$1000,ROW()-3)="","",INDEX(MASTER_DATABASE!$BD$4:$BD$1000,ROW()-3)&amp;"")</f>
        <v>/services/ration-card-status-check-download</v>
      </c>
      <c r="K100" s="7" t="str">
        <f aca="false">IF(INDEX(MASTER_DATABASE!$A$4:$A$1000,ROW()-3)="","",INDEX(MASTER_DATABASE!$AX$4:$AX$1000,ROW()-3)&amp;"")</f>
        <v>Ration Card – Status Check / Download Service | Devmobile Stores</v>
      </c>
      <c r="L100" s="7" t="str">
        <f aca="false">IF(INDEX(MASTER_DATABASE!$A$4:$A$1000,ROW()-3)="","",INDEX(MASTER_DATABASE!$AY$4:$AY$1000,ROW()-3)&amp;"")</f>
        <v>Ration Card – Status Check / Download (राशन कार्ड – स्थिति जाँच / डाउनलोड) at Devmobile Stores and Common Service Center &amp; Aadhaar Centre. Check required documents, charges and process before you visit.</v>
      </c>
      <c r="M100" s="7" t="str">
        <f aca="false">IF(INDEX(MASTER_DATABASE!$A$4:$A$1000,ROW()-3)="","",INDEX(MASTER_DATABASE!$AN$4:$AN$1000,ROW()-3)&amp;"")</f>
        <v>Ration Card – Status Check / Download, BASUDHA Kendra, Devmobile Stores, राशन कार्ड – स्थिति जाँच / डाउनलोड, बसुधा केंद्र, सेवा</v>
      </c>
      <c r="N100" s="7" t="str">
        <f aca="false">IF(INDEX(MASTER_DATABASE!$A$4:$A$1000,ROW()-3)="","",INDEX(MASTER_DATABASE!$AZ$4:$AZ$1000,ROW()-3)&amp;"")</f>
        <v>राशन कार्ड – स्थिति जाँच / डाउनलोड, बसुधा केंद्र, सेवा</v>
      </c>
      <c r="O100" s="7" t="str">
        <f aca="false">IF(INDEX(MASTER_DATABASE!$A$4:$A$1000,ROW()-3)="","",INDEX(MASTER_DATABASE!$BA$4:$BA$1000,ROW()-3)&amp;"")</f>
        <v>Ration Card – Status Check / Download, BASUDHA Kendra, Devmobile Stores</v>
      </c>
      <c r="P100" s="11" t="str">
        <f aca="false">IF(INDEX(MASTER_DATABASE!$A$4:$A$1000,ROW()-3)="","",INDEX(MASTER_DATABASE!$AP$4:$AP$1000,ROW()-3)&amp;"")</f>
        <v>🌾</v>
      </c>
      <c r="Q100" s="7" t="str">
        <f aca="false">IF(INDEX(MASTER_DATABASE!$A$4:$A$1000,ROW()-3)="","",INDEX(MASTER_DATABASE!$BB$4:$BB$1000,ROW()-3)&amp;"")</f>
        <v/>
      </c>
      <c r="R100" s="11" t="str">
        <f aca="false">IF(INDEX(MASTER_DATABASE!$A$4:$A$1000,ROW()-3)="","",INDEX(MASTER_DATABASE!$BC$4:$BC$1000,ROW()-3)&amp;"")</f>
        <v>🏛️</v>
      </c>
      <c r="S100" s="11" t="n">
        <f aca="false">IF(INDEX(MASTER_DATABASE!$A$4:$A$1000,ROW()-3)="","",INDEX(MASTER_DATABASE!$AQ$4:$AQ$1000,ROW()-3))</f>
        <v>190</v>
      </c>
      <c r="T100" s="7" t="str">
        <f aca="false">IF(INDEX(MASTER_DATABASE!$A$4:$A$1000,ROW()-3)="","",INDEX(MASTER_DATABASE!$I$4:$I$1000,ROW()-3)&amp;"")</f>
        <v>Portal Dependent</v>
      </c>
      <c r="U100" s="7" t="str">
        <f aca="false">IF(INDEX(MASTER_DATABASE!$A$4:$A$1000,ROW()-3)="","",INDEX(MASTER_DATABASE!$J$4:$J$1000,ROW()-3)&amp;"")</f>
        <v>Depends on Portal – Confirm at Shop</v>
      </c>
      <c r="V100" s="7" t="str">
        <f aca="false">IF(INDEX(MASTER_DATABASE!$A$4:$A$1000,ROW()-3)="","",INDEX(MASTER_DATABASE!$AG$4:$AG$1000,ROW()-3)&amp;"")</f>
        <v>To Verify</v>
      </c>
      <c r="W100" s="7" t="str">
        <f aca="false">IF(INDEX(MASTER_DATABASE!$A$4:$A$1000,ROW()-3)="","",INDEX(MASTER_DATABASE!$AH$4:$AH$1000,ROW()-3)&amp;"")</f>
        <v>No</v>
      </c>
      <c r="X100" s="7" t="str">
        <f aca="false">IF(INDEX(MASTER_DATABASE!$A$4:$A$1000,ROW()-3)="","",INDEX(MASTER_DATABASE!$AI$4:$AI$1000,ROW()-3)&amp;"")</f>
        <v>No</v>
      </c>
      <c r="Y100" s="7" t="str">
        <f aca="false">IF(INDEX(MASTER_DATABASE!$A$4:$A$1000,ROW()-3)="","",INDEX(MASTER_DATABASE!$AJ$4:$AJ$1000,ROW()-3)&amp;"")</f>
        <v>No</v>
      </c>
      <c r="Z100" s="7" t="str">
        <f aca="false">IF(INDEX(MASTER_DATABASE!$A$4:$A$1000,ROW()-3)="","",INDEX(MASTER_DATABASE!$AK$4:$AK$1000,ROW()-3)&amp;"")</f>
        <v>No</v>
      </c>
      <c r="AA100" s="7" t="str">
        <f aca="false">IF(INDEX(MASTER_DATABASE!$A$4:$A$1000,ROW()-3)="","",INDEX(MASTER_DATABASE!$BE$4:$BE$1000,ROW()-3)&amp;"")</f>
        <v>HIDDEN</v>
      </c>
    </row>
    <row r="101" customFormat="false" ht="57.45" hidden="false" customHeight="false" outlineLevel="0" collapsed="false">
      <c r="A101" s="11" t="str">
        <f aca="false">IF(INDEX(MASTER_DATABASE!$A$4:$A$1000,ROW()-3)="","",INDEX(MASTER_DATABASE!$A$4:$A$1000,ROW()-3)&amp;"")</f>
        <v>BAS-020</v>
      </c>
      <c r="B101" s="7" t="str">
        <f aca="false">IF(INDEX(MASTER_DATABASE!$A$4:$A$1000,ROW()-3)="","",INDEX(MASTER_DATABASE!$B$4:$B$1000,ROW()-3)&amp;"")</f>
        <v>BASUDHA Kendra</v>
      </c>
      <c r="C101" s="7" t="str">
        <f aca="false">IF(INDEX(MASTER_DATABASE!$A$4:$A$1000,ROW()-3)="","",INDEX(MASTER_DATABASE!$C$4:$C$1000,ROW()-3)&amp;"")</f>
        <v>Government Services</v>
      </c>
      <c r="D101" s="7" t="str">
        <f aca="false">IF(INDEX(MASTER_DATABASE!$A$4:$A$1000,ROW()-3)="","",INDEX(MASTER_DATABASE!$D$4:$D$1000,ROW()-3)&amp;"")</f>
        <v>Land &amp; Revenue Services</v>
      </c>
      <c r="E101" s="7" t="str">
        <f aca="false">IF(INDEX(MASTER_DATABASE!$A$4:$A$1000,ROW()-3)="","",INDEX(MASTER_DATABASE!$E$4:$E$1000,ROW()-3)&amp;"")</f>
        <v>Land Record (Jamabandi / Khatiyan) Copy Download</v>
      </c>
      <c r="F101" s="7" t="str">
        <f aca="false">IF(INDEX(MASTER_DATABASE!$A$4:$A$1000,ROW()-3)="","",INDEX(MASTER_DATABASE!$F$4:$F$1000,ROW()-3)&amp;"")</f>
        <v>भूमि रिकॉर्ड (जमाबंदी / खतियान) नकल डाउनलोड</v>
      </c>
      <c r="G101" s="7" t="str">
        <f aca="false">IF(INDEX(MASTER_DATABASE!$A$4:$A$1000,ROW()-3)="","",INDEX(MASTER_DATABASE!$AL$4:$AL$1000,ROW()-3)&amp;"")</f>
        <v>BASUDHA Kendra</v>
      </c>
      <c r="H101" s="7" t="str">
        <f aca="false">IF(INDEX(MASTER_DATABASE!$A$4:$A$1000,ROW()-3)="","",INDEX(MASTER_DATABASE!$AM$4:$AM$1000,ROW()-3)&amp;"")</f>
        <v>Land &amp; Revenue Services</v>
      </c>
      <c r="I101" s="7" t="str">
        <f aca="false">IF(INDEX(MASTER_DATABASE!$A$4:$A$1000,ROW()-3)="","",INDEX(MASTER_DATABASE!$AO$4:$AO$1000,ROW()-3)&amp;"")</f>
        <v>land-record-jamabandi-khatiyan-copy-download</v>
      </c>
      <c r="J101" s="7" t="str">
        <f aca="false">IF(INDEX(MASTER_DATABASE!$A$4:$A$1000,ROW()-3)="","",INDEX(MASTER_DATABASE!$BD$4:$BD$1000,ROW()-3)&amp;"")</f>
        <v>/services/land-record-jamabandi-khatiyan-copy-download</v>
      </c>
      <c r="K101" s="7" t="str">
        <f aca="false">IF(INDEX(MASTER_DATABASE!$A$4:$A$1000,ROW()-3)="","",INDEX(MASTER_DATABASE!$AX$4:$AX$1000,ROW()-3)&amp;"")</f>
        <v>Land Record (Jamabandi / Khatiyan) Copy Download Service | Devmobile Stores</v>
      </c>
      <c r="L101" s="7" t="str">
        <f aca="false">IF(INDEX(MASTER_DATABASE!$A$4:$A$1000,ROW()-3)="","",INDEX(MASTER_DATABASE!$AY$4:$AY$1000,ROW()-3)&amp;"")</f>
        <v>Land Record (Jamabandi / Khatiyan) Copy Download (भूमि रिकॉर्ड (जमाबंदी / खतियान) नकल डाउनलोड) at Devmobile Stores and Common Service Center &amp; Aadhaar Centre. Check required documents, charges and process before you visit.</v>
      </c>
      <c r="M101" s="7" t="str">
        <f aca="false">IF(INDEX(MASTER_DATABASE!$A$4:$A$1000,ROW()-3)="","",INDEX(MASTER_DATABASE!$AN$4:$AN$1000,ROW()-3)&amp;"")</f>
        <v>Land Record (Jamabandi / Khatiyan) Copy Download, BASUDHA Kendra, Devmobile Stores, भूमि रिकॉर्ड (जमाबंदी / खतियान) नकल डाउनलोड, बसुधा केंद्र, सेवा</v>
      </c>
      <c r="N101" s="7" t="str">
        <f aca="false">IF(INDEX(MASTER_DATABASE!$A$4:$A$1000,ROW()-3)="","",INDEX(MASTER_DATABASE!$AZ$4:$AZ$1000,ROW()-3)&amp;"")</f>
        <v>भूमि रिकॉर्ड (जमाबंदी / खतियान) नकल डाउनलोड, बसुधा केंद्र, सेवा</v>
      </c>
      <c r="O101" s="7" t="str">
        <f aca="false">IF(INDEX(MASTER_DATABASE!$A$4:$A$1000,ROW()-3)="","",INDEX(MASTER_DATABASE!$BA$4:$BA$1000,ROW()-3)&amp;"")</f>
        <v>Land Record (Jamabandi / Khatiyan) Copy Download, BASUDHA Kendra, Devmobile Stores</v>
      </c>
      <c r="P101" s="11" t="str">
        <f aca="false">IF(INDEX(MASTER_DATABASE!$A$4:$A$1000,ROW()-3)="","",INDEX(MASTER_DATABASE!$AP$4:$AP$1000,ROW()-3)&amp;"")</f>
        <v>🗺️</v>
      </c>
      <c r="Q101" s="7" t="str">
        <f aca="false">IF(INDEX(MASTER_DATABASE!$A$4:$A$1000,ROW()-3)="","",INDEX(MASTER_DATABASE!$BB$4:$BB$1000,ROW()-3)&amp;"")</f>
        <v/>
      </c>
      <c r="R101" s="11" t="str">
        <f aca="false">IF(INDEX(MASTER_DATABASE!$A$4:$A$1000,ROW()-3)="","",INDEX(MASTER_DATABASE!$BC$4:$BC$1000,ROW()-3)&amp;"")</f>
        <v>🏛️</v>
      </c>
      <c r="S101" s="11" t="n">
        <f aca="false">IF(INDEX(MASTER_DATABASE!$A$4:$A$1000,ROW()-3)="","",INDEX(MASTER_DATABASE!$AQ$4:$AQ$1000,ROW()-3))</f>
        <v>200</v>
      </c>
      <c r="T101" s="7" t="str">
        <f aca="false">IF(INDEX(MASTER_DATABASE!$A$4:$A$1000,ROW()-3)="","",INDEX(MASTER_DATABASE!$I$4:$I$1000,ROW()-3)&amp;"")</f>
        <v>To Verify</v>
      </c>
      <c r="U101" s="7" t="str">
        <f aca="false">IF(INDEX(MASTER_DATABASE!$A$4:$A$1000,ROW()-3)="","",INDEX(MASTER_DATABASE!$J$4:$J$1000,ROW()-3)&amp;"")</f>
        <v>To Be Confirmed</v>
      </c>
      <c r="V101" s="7" t="str">
        <f aca="false">IF(INDEX(MASTER_DATABASE!$A$4:$A$1000,ROW()-3)="","",INDEX(MASTER_DATABASE!$AG$4:$AG$1000,ROW()-3)&amp;"")</f>
        <v>To Verify</v>
      </c>
      <c r="W101" s="7" t="str">
        <f aca="false">IF(INDEX(MASTER_DATABASE!$A$4:$A$1000,ROW()-3)="","",INDEX(MASTER_DATABASE!$AH$4:$AH$1000,ROW()-3)&amp;"")</f>
        <v>No</v>
      </c>
      <c r="X101" s="7" t="str">
        <f aca="false">IF(INDEX(MASTER_DATABASE!$A$4:$A$1000,ROW()-3)="","",INDEX(MASTER_DATABASE!$AI$4:$AI$1000,ROW()-3)&amp;"")</f>
        <v>No</v>
      </c>
      <c r="Y101" s="7" t="str">
        <f aca="false">IF(INDEX(MASTER_DATABASE!$A$4:$A$1000,ROW()-3)="","",INDEX(MASTER_DATABASE!$AJ$4:$AJ$1000,ROW()-3)&amp;"")</f>
        <v>No</v>
      </c>
      <c r="Z101" s="7" t="str">
        <f aca="false">IF(INDEX(MASTER_DATABASE!$A$4:$A$1000,ROW()-3)="","",INDEX(MASTER_DATABASE!$AK$4:$AK$1000,ROW()-3)&amp;"")</f>
        <v>No</v>
      </c>
      <c r="AA101" s="7" t="str">
        <f aca="false">IF(INDEX(MASTER_DATABASE!$A$4:$A$1000,ROW()-3)="","",INDEX(MASTER_DATABASE!$BE$4:$BE$1000,ROW()-3)&amp;"")</f>
        <v>HIDDEN</v>
      </c>
    </row>
    <row r="102" customFormat="false" ht="57.45" hidden="false" customHeight="false" outlineLevel="0" collapsed="false">
      <c r="A102" s="11" t="str">
        <f aca="false">IF(INDEX(MASTER_DATABASE!$A$4:$A$1000,ROW()-3)="","",INDEX(MASTER_DATABASE!$A$4:$A$1000,ROW()-3)&amp;"")</f>
        <v>BAS-021</v>
      </c>
      <c r="B102" s="7" t="str">
        <f aca="false">IF(INDEX(MASTER_DATABASE!$A$4:$A$1000,ROW()-3)="","",INDEX(MASTER_DATABASE!$B$4:$B$1000,ROW()-3)&amp;"")</f>
        <v>BASUDHA Kendra</v>
      </c>
      <c r="C102" s="7" t="str">
        <f aca="false">IF(INDEX(MASTER_DATABASE!$A$4:$A$1000,ROW()-3)="","",INDEX(MASTER_DATABASE!$C$4:$C$1000,ROW()-3)&amp;"")</f>
        <v>Government Services</v>
      </c>
      <c r="D102" s="7" t="str">
        <f aca="false">IF(INDEX(MASTER_DATABASE!$A$4:$A$1000,ROW()-3)="","",INDEX(MASTER_DATABASE!$D$4:$D$1000,ROW()-3)&amp;"")</f>
        <v>Land &amp; Revenue Services</v>
      </c>
      <c r="E102" s="7" t="str">
        <f aca="false">IF(INDEX(MASTER_DATABASE!$A$4:$A$1000,ROW()-3)="","",INDEX(MASTER_DATABASE!$E$4:$E$1000,ROW()-3)&amp;"")</f>
        <v>Land Mutation (Dakhil-Kharij) Application Assistance</v>
      </c>
      <c r="F102" s="7" t="str">
        <f aca="false">IF(INDEX(MASTER_DATABASE!$A$4:$A$1000,ROW()-3)="","",INDEX(MASTER_DATABASE!$F$4:$F$1000,ROW()-3)&amp;"")</f>
        <v>दाखिल-खारिज आवेदन सहायता</v>
      </c>
      <c r="G102" s="7" t="str">
        <f aca="false">IF(INDEX(MASTER_DATABASE!$A$4:$A$1000,ROW()-3)="","",INDEX(MASTER_DATABASE!$AL$4:$AL$1000,ROW()-3)&amp;"")</f>
        <v>BASUDHA Kendra</v>
      </c>
      <c r="H102" s="7" t="str">
        <f aca="false">IF(INDEX(MASTER_DATABASE!$A$4:$A$1000,ROW()-3)="","",INDEX(MASTER_DATABASE!$AM$4:$AM$1000,ROW()-3)&amp;"")</f>
        <v>Land &amp; Revenue Services</v>
      </c>
      <c r="I102" s="7" t="str">
        <f aca="false">IF(INDEX(MASTER_DATABASE!$A$4:$A$1000,ROW()-3)="","",INDEX(MASTER_DATABASE!$AO$4:$AO$1000,ROW()-3)&amp;"")</f>
        <v>land-mutation-dakhil-kharij-application-assistance</v>
      </c>
      <c r="J102" s="7" t="str">
        <f aca="false">IF(INDEX(MASTER_DATABASE!$A$4:$A$1000,ROW()-3)="","",INDEX(MASTER_DATABASE!$BD$4:$BD$1000,ROW()-3)&amp;"")</f>
        <v>/services/land-mutation-dakhil-kharij-application-assistance</v>
      </c>
      <c r="K102" s="7" t="str">
        <f aca="false">IF(INDEX(MASTER_DATABASE!$A$4:$A$1000,ROW()-3)="","",INDEX(MASTER_DATABASE!$AX$4:$AX$1000,ROW()-3)&amp;"")</f>
        <v>Land Mutation (Dakhil-Kharij) Application Assistance Service | Devmobile Stores</v>
      </c>
      <c r="L102" s="7" t="str">
        <f aca="false">IF(INDEX(MASTER_DATABASE!$A$4:$A$1000,ROW()-3)="","",INDEX(MASTER_DATABASE!$AY$4:$AY$1000,ROW()-3)&amp;"")</f>
        <v>Land Mutation (Dakhil-Kharij) Application Assistance (दाखिल-खारिज आवेदन सहायता) at Devmobile Stores and Common Service Center &amp; Aadhaar Centre. Check required documents, charges and process before you visit.</v>
      </c>
      <c r="M102" s="7" t="str">
        <f aca="false">IF(INDEX(MASTER_DATABASE!$A$4:$A$1000,ROW()-3)="","",INDEX(MASTER_DATABASE!$AN$4:$AN$1000,ROW()-3)&amp;"")</f>
        <v>Land Mutation (Dakhil-Kharij) Application Assistance, BASUDHA Kendra, Devmobile Stores, दाखिल-खारिज आवेदन सहायता, बसुधा केंद्र, सेवा</v>
      </c>
      <c r="N102" s="7" t="str">
        <f aca="false">IF(INDEX(MASTER_DATABASE!$A$4:$A$1000,ROW()-3)="","",INDEX(MASTER_DATABASE!$AZ$4:$AZ$1000,ROW()-3)&amp;"")</f>
        <v>दाखिल-खारिज आवेदन सहायता, बसुधा केंद्र, सेवा</v>
      </c>
      <c r="O102" s="7" t="str">
        <f aca="false">IF(INDEX(MASTER_DATABASE!$A$4:$A$1000,ROW()-3)="","",INDEX(MASTER_DATABASE!$BA$4:$BA$1000,ROW()-3)&amp;"")</f>
        <v>Land Mutation (Dakhil-Kharij) Application Assistance, BASUDHA Kendra, Devmobile Stores</v>
      </c>
      <c r="P102" s="11" t="str">
        <f aca="false">IF(INDEX(MASTER_DATABASE!$A$4:$A$1000,ROW()-3)="","",INDEX(MASTER_DATABASE!$AP$4:$AP$1000,ROW()-3)&amp;"")</f>
        <v>🗺️</v>
      </c>
      <c r="Q102" s="7" t="str">
        <f aca="false">IF(INDEX(MASTER_DATABASE!$A$4:$A$1000,ROW()-3)="","",INDEX(MASTER_DATABASE!$BB$4:$BB$1000,ROW()-3)&amp;"")</f>
        <v/>
      </c>
      <c r="R102" s="11" t="str">
        <f aca="false">IF(INDEX(MASTER_DATABASE!$A$4:$A$1000,ROW()-3)="","",INDEX(MASTER_DATABASE!$BC$4:$BC$1000,ROW()-3)&amp;"")</f>
        <v>🏛️</v>
      </c>
      <c r="S102" s="11" t="n">
        <f aca="false">IF(INDEX(MASTER_DATABASE!$A$4:$A$1000,ROW()-3)="","",INDEX(MASTER_DATABASE!$AQ$4:$AQ$1000,ROW()-3))</f>
        <v>210</v>
      </c>
      <c r="T102" s="7" t="str">
        <f aca="false">IF(INDEX(MASTER_DATABASE!$A$4:$A$1000,ROW()-3)="","",INDEX(MASTER_DATABASE!$I$4:$I$1000,ROW()-3)&amp;"")</f>
        <v>To Verify</v>
      </c>
      <c r="U102" s="7" t="str">
        <f aca="false">IF(INDEX(MASTER_DATABASE!$A$4:$A$1000,ROW()-3)="","",INDEX(MASTER_DATABASE!$J$4:$J$1000,ROW()-3)&amp;"")</f>
        <v>To Be Confirmed</v>
      </c>
      <c r="V102" s="7" t="str">
        <f aca="false">IF(INDEX(MASTER_DATABASE!$A$4:$A$1000,ROW()-3)="","",INDEX(MASTER_DATABASE!$AG$4:$AG$1000,ROW()-3)&amp;"")</f>
        <v>To Verify</v>
      </c>
      <c r="W102" s="7" t="str">
        <f aca="false">IF(INDEX(MASTER_DATABASE!$A$4:$A$1000,ROW()-3)="","",INDEX(MASTER_DATABASE!$AH$4:$AH$1000,ROW()-3)&amp;"")</f>
        <v>No</v>
      </c>
      <c r="X102" s="7" t="str">
        <f aca="false">IF(INDEX(MASTER_DATABASE!$A$4:$A$1000,ROW()-3)="","",INDEX(MASTER_DATABASE!$AI$4:$AI$1000,ROW()-3)&amp;"")</f>
        <v>No</v>
      </c>
      <c r="Y102" s="7" t="str">
        <f aca="false">IF(INDEX(MASTER_DATABASE!$A$4:$A$1000,ROW()-3)="","",INDEX(MASTER_DATABASE!$AJ$4:$AJ$1000,ROW()-3)&amp;"")</f>
        <v>No</v>
      </c>
      <c r="Z102" s="7" t="str">
        <f aca="false">IF(INDEX(MASTER_DATABASE!$A$4:$A$1000,ROW()-3)="","",INDEX(MASTER_DATABASE!$AK$4:$AK$1000,ROW()-3)&amp;"")</f>
        <v>No</v>
      </c>
      <c r="AA102" s="7" t="str">
        <f aca="false">IF(INDEX(MASTER_DATABASE!$A$4:$A$1000,ROW()-3)="","",INDEX(MASTER_DATABASE!$BE$4:$BE$1000,ROW()-3)&amp;"")</f>
        <v>HIDDEN</v>
      </c>
    </row>
    <row r="103" customFormat="false" ht="57.45" hidden="false" customHeight="false" outlineLevel="0" collapsed="false">
      <c r="A103" s="11" t="str">
        <f aca="false">IF(INDEX(MASTER_DATABASE!$A$4:$A$1000,ROW()-3)="","",INDEX(MASTER_DATABASE!$A$4:$A$1000,ROW()-3)&amp;"")</f>
        <v>BAS-022</v>
      </c>
      <c r="B103" s="7" t="str">
        <f aca="false">IF(INDEX(MASTER_DATABASE!$A$4:$A$1000,ROW()-3)="","",INDEX(MASTER_DATABASE!$B$4:$B$1000,ROW()-3)&amp;"")</f>
        <v>BASUDHA Kendra</v>
      </c>
      <c r="C103" s="7" t="str">
        <f aca="false">IF(INDEX(MASTER_DATABASE!$A$4:$A$1000,ROW()-3)="","",INDEX(MASTER_DATABASE!$C$4:$C$1000,ROW()-3)&amp;"")</f>
        <v>Government Services</v>
      </c>
      <c r="D103" s="7" t="str">
        <f aca="false">IF(INDEX(MASTER_DATABASE!$A$4:$A$1000,ROW()-3)="","",INDEX(MASTER_DATABASE!$D$4:$D$1000,ROW()-3)&amp;"")</f>
        <v>Land &amp; Revenue Services</v>
      </c>
      <c r="E103" s="7" t="str">
        <f aca="false">IF(INDEX(MASTER_DATABASE!$A$4:$A$1000,ROW()-3)="","",INDEX(MASTER_DATABASE!$E$4:$E$1000,ROW()-3)&amp;"")</f>
        <v>Land Rent (Lagaan) Online Payment Assistance</v>
      </c>
      <c r="F103" s="7" t="str">
        <f aca="false">IF(INDEX(MASTER_DATABASE!$A$4:$A$1000,ROW()-3)="","",INDEX(MASTER_DATABASE!$F$4:$F$1000,ROW()-3)&amp;"")</f>
        <v>ऑनलाइन लगान भुगतान सहायता</v>
      </c>
      <c r="G103" s="7" t="str">
        <f aca="false">IF(INDEX(MASTER_DATABASE!$A$4:$A$1000,ROW()-3)="","",INDEX(MASTER_DATABASE!$AL$4:$AL$1000,ROW()-3)&amp;"")</f>
        <v>BASUDHA Kendra</v>
      </c>
      <c r="H103" s="7" t="str">
        <f aca="false">IF(INDEX(MASTER_DATABASE!$A$4:$A$1000,ROW()-3)="","",INDEX(MASTER_DATABASE!$AM$4:$AM$1000,ROW()-3)&amp;"")</f>
        <v>Land &amp; Revenue Services</v>
      </c>
      <c r="I103" s="7" t="str">
        <f aca="false">IF(INDEX(MASTER_DATABASE!$A$4:$A$1000,ROW()-3)="","",INDEX(MASTER_DATABASE!$AO$4:$AO$1000,ROW()-3)&amp;"")</f>
        <v>land-rent-lagaan-online-payment-assistance</v>
      </c>
      <c r="J103" s="7" t="str">
        <f aca="false">IF(INDEX(MASTER_DATABASE!$A$4:$A$1000,ROW()-3)="","",INDEX(MASTER_DATABASE!$BD$4:$BD$1000,ROW()-3)&amp;"")</f>
        <v>/services/land-rent-lagaan-online-payment-assistance</v>
      </c>
      <c r="K103" s="7" t="str">
        <f aca="false">IF(INDEX(MASTER_DATABASE!$A$4:$A$1000,ROW()-3)="","",INDEX(MASTER_DATABASE!$AX$4:$AX$1000,ROW()-3)&amp;"")</f>
        <v>Land Rent (Lagaan) Online Payment Assistance Service | Devmobile Stores</v>
      </c>
      <c r="L103" s="7" t="str">
        <f aca="false">IF(INDEX(MASTER_DATABASE!$A$4:$A$1000,ROW()-3)="","",INDEX(MASTER_DATABASE!$AY$4:$AY$1000,ROW()-3)&amp;"")</f>
        <v>Land Rent (Lagaan) Online Payment Assistance (ऑनलाइन लगान भुगतान सहायता) at Devmobile Stores and Common Service Center &amp; Aadhaar Centre. Check required documents, charges and process before you visit.</v>
      </c>
      <c r="M103" s="7" t="str">
        <f aca="false">IF(INDEX(MASTER_DATABASE!$A$4:$A$1000,ROW()-3)="","",INDEX(MASTER_DATABASE!$AN$4:$AN$1000,ROW()-3)&amp;"")</f>
        <v>Land Rent (Lagaan) Online Payment Assistance, BASUDHA Kendra, Devmobile Stores, ऑनलाइन लगान भुगतान सहायता, बसुधा केंद्र, सेवा</v>
      </c>
      <c r="N103" s="7" t="str">
        <f aca="false">IF(INDEX(MASTER_DATABASE!$A$4:$A$1000,ROW()-3)="","",INDEX(MASTER_DATABASE!$AZ$4:$AZ$1000,ROW()-3)&amp;"")</f>
        <v>ऑनलाइन लगान भुगतान सहायता, बसुधा केंद्र, सेवा</v>
      </c>
      <c r="O103" s="7" t="str">
        <f aca="false">IF(INDEX(MASTER_DATABASE!$A$4:$A$1000,ROW()-3)="","",INDEX(MASTER_DATABASE!$BA$4:$BA$1000,ROW()-3)&amp;"")</f>
        <v>Land Rent (Lagaan) Online Payment Assistance, BASUDHA Kendra, Devmobile Stores</v>
      </c>
      <c r="P103" s="11" t="str">
        <f aca="false">IF(INDEX(MASTER_DATABASE!$A$4:$A$1000,ROW()-3)="","",INDEX(MASTER_DATABASE!$AP$4:$AP$1000,ROW()-3)&amp;"")</f>
        <v>🗺️</v>
      </c>
      <c r="Q103" s="7" t="str">
        <f aca="false">IF(INDEX(MASTER_DATABASE!$A$4:$A$1000,ROW()-3)="","",INDEX(MASTER_DATABASE!$BB$4:$BB$1000,ROW()-3)&amp;"")</f>
        <v/>
      </c>
      <c r="R103" s="11" t="str">
        <f aca="false">IF(INDEX(MASTER_DATABASE!$A$4:$A$1000,ROW()-3)="","",INDEX(MASTER_DATABASE!$BC$4:$BC$1000,ROW()-3)&amp;"")</f>
        <v>🏛️</v>
      </c>
      <c r="S103" s="11" t="n">
        <f aca="false">IF(INDEX(MASTER_DATABASE!$A$4:$A$1000,ROW()-3)="","",INDEX(MASTER_DATABASE!$AQ$4:$AQ$1000,ROW()-3))</f>
        <v>220</v>
      </c>
      <c r="T103" s="7" t="str">
        <f aca="false">IF(INDEX(MASTER_DATABASE!$A$4:$A$1000,ROW()-3)="","",INDEX(MASTER_DATABASE!$I$4:$I$1000,ROW()-3)&amp;"")</f>
        <v>To Verify</v>
      </c>
      <c r="U103" s="7" t="str">
        <f aca="false">IF(INDEX(MASTER_DATABASE!$A$4:$A$1000,ROW()-3)="","",INDEX(MASTER_DATABASE!$J$4:$J$1000,ROW()-3)&amp;"")</f>
        <v>To Be Confirmed</v>
      </c>
      <c r="V103" s="7" t="str">
        <f aca="false">IF(INDEX(MASTER_DATABASE!$A$4:$A$1000,ROW()-3)="","",INDEX(MASTER_DATABASE!$AG$4:$AG$1000,ROW()-3)&amp;"")</f>
        <v>To Verify</v>
      </c>
      <c r="W103" s="7" t="str">
        <f aca="false">IF(INDEX(MASTER_DATABASE!$A$4:$A$1000,ROW()-3)="","",INDEX(MASTER_DATABASE!$AH$4:$AH$1000,ROW()-3)&amp;"")</f>
        <v>No</v>
      </c>
      <c r="X103" s="7" t="str">
        <f aca="false">IF(INDEX(MASTER_DATABASE!$A$4:$A$1000,ROW()-3)="","",INDEX(MASTER_DATABASE!$AI$4:$AI$1000,ROW()-3)&amp;"")</f>
        <v>No</v>
      </c>
      <c r="Y103" s="7" t="str">
        <f aca="false">IF(INDEX(MASTER_DATABASE!$A$4:$A$1000,ROW()-3)="","",INDEX(MASTER_DATABASE!$AJ$4:$AJ$1000,ROW()-3)&amp;"")</f>
        <v>No</v>
      </c>
      <c r="Z103" s="7" t="str">
        <f aca="false">IF(INDEX(MASTER_DATABASE!$A$4:$A$1000,ROW()-3)="","",INDEX(MASTER_DATABASE!$AK$4:$AK$1000,ROW()-3)&amp;"")</f>
        <v>No</v>
      </c>
      <c r="AA103" s="7" t="str">
        <f aca="false">IF(INDEX(MASTER_DATABASE!$A$4:$A$1000,ROW()-3)="","",INDEX(MASTER_DATABASE!$BE$4:$BE$1000,ROW()-3)&amp;"")</f>
        <v>HIDDEN</v>
      </c>
    </row>
    <row r="104" customFormat="false" ht="57.45" hidden="false" customHeight="false" outlineLevel="0" collapsed="false">
      <c r="A104" s="11" t="str">
        <f aca="false">IF(INDEX(MASTER_DATABASE!$A$4:$A$1000,ROW()-3)="","",INDEX(MASTER_DATABASE!$A$4:$A$1000,ROW()-3)&amp;"")</f>
        <v>BAS-023</v>
      </c>
      <c r="B104" s="7" t="str">
        <f aca="false">IF(INDEX(MASTER_DATABASE!$A$4:$A$1000,ROW()-3)="","",INDEX(MASTER_DATABASE!$B$4:$B$1000,ROW()-3)&amp;"")</f>
        <v>BASUDHA Kendra</v>
      </c>
      <c r="C104" s="7" t="str">
        <f aca="false">IF(INDEX(MASTER_DATABASE!$A$4:$A$1000,ROW()-3)="","",INDEX(MASTER_DATABASE!$C$4:$C$1000,ROW()-3)&amp;"")</f>
        <v>Government Services</v>
      </c>
      <c r="D104" s="7" t="str">
        <f aca="false">IF(INDEX(MASTER_DATABASE!$A$4:$A$1000,ROW()-3)="","",INDEX(MASTER_DATABASE!$D$4:$D$1000,ROW()-3)&amp;"")</f>
        <v>Public Service Applications</v>
      </c>
      <c r="E104" s="7" t="str">
        <f aca="false">IF(INDEX(MASTER_DATABASE!$A$4:$A$1000,ROW()-3)="","",INDEX(MASTER_DATABASE!$E$4:$E$1000,ROW()-3)&amp;"")</f>
        <v>Public Service Application (RTPS / e-Service) – General</v>
      </c>
      <c r="F104" s="7" t="str">
        <f aca="false">IF(INDEX(MASTER_DATABASE!$A$4:$A$1000,ROW()-3)="","",INDEX(MASTER_DATABASE!$F$4:$F$1000,ROW()-3)&amp;"")</f>
        <v>लोक सेवा आवेदन (RTPS / e-Service) – सामान्य</v>
      </c>
      <c r="G104" s="7" t="str">
        <f aca="false">IF(INDEX(MASTER_DATABASE!$A$4:$A$1000,ROW()-3)="","",INDEX(MASTER_DATABASE!$AL$4:$AL$1000,ROW()-3)&amp;"")</f>
        <v>BASUDHA Kendra</v>
      </c>
      <c r="H104" s="7" t="str">
        <f aca="false">IF(INDEX(MASTER_DATABASE!$A$4:$A$1000,ROW()-3)="","",INDEX(MASTER_DATABASE!$AM$4:$AM$1000,ROW()-3)&amp;"")</f>
        <v>Public Service Applications</v>
      </c>
      <c r="I104" s="7" t="str">
        <f aca="false">IF(INDEX(MASTER_DATABASE!$A$4:$A$1000,ROW()-3)="","",INDEX(MASTER_DATABASE!$AO$4:$AO$1000,ROW()-3)&amp;"")</f>
        <v>public-service-application-rtps-e-service-general</v>
      </c>
      <c r="J104" s="7" t="str">
        <f aca="false">IF(INDEX(MASTER_DATABASE!$A$4:$A$1000,ROW()-3)="","",INDEX(MASTER_DATABASE!$BD$4:$BD$1000,ROW()-3)&amp;"")</f>
        <v>/services/public-service-application-rtps-e-service-general</v>
      </c>
      <c r="K104" s="7" t="str">
        <f aca="false">IF(INDEX(MASTER_DATABASE!$A$4:$A$1000,ROW()-3)="","",INDEX(MASTER_DATABASE!$AX$4:$AX$1000,ROW()-3)&amp;"")</f>
        <v>Public Service Application (RTPS / e-Service) – General Service | Devmobile Stores</v>
      </c>
      <c r="L104" s="7" t="str">
        <f aca="false">IF(INDEX(MASTER_DATABASE!$A$4:$A$1000,ROW()-3)="","",INDEX(MASTER_DATABASE!$AY$4:$AY$1000,ROW()-3)&amp;"")</f>
        <v>Public Service Application (RTPS / e-Service) – General (लोक सेवा आवेदन (RTPS / e-Service) – सामान्य) at Devmobile Stores and Common Service Center &amp; Aadhaar Centre. Check required documents, charges and process before you visit.</v>
      </c>
      <c r="M104" s="7" t="str">
        <f aca="false">IF(INDEX(MASTER_DATABASE!$A$4:$A$1000,ROW()-3)="","",INDEX(MASTER_DATABASE!$AN$4:$AN$1000,ROW()-3)&amp;"")</f>
        <v>Public Service Application (RTPS / e-Service) – General, BASUDHA Kendra, Devmobile Stores, लोक सेवा आवेदन (RTPS / e-Service) – सामान्य, बसुधा केंद्र, सेवा</v>
      </c>
      <c r="N104" s="7" t="str">
        <f aca="false">IF(INDEX(MASTER_DATABASE!$A$4:$A$1000,ROW()-3)="","",INDEX(MASTER_DATABASE!$AZ$4:$AZ$1000,ROW()-3)&amp;"")</f>
        <v>लोक सेवा आवेदन (RTPS / e-Service) – सामान्य, बसुधा केंद्र, सेवा</v>
      </c>
      <c r="O104" s="7" t="str">
        <f aca="false">IF(INDEX(MASTER_DATABASE!$A$4:$A$1000,ROW()-3)="","",INDEX(MASTER_DATABASE!$BA$4:$BA$1000,ROW()-3)&amp;"")</f>
        <v>Public Service Application (RTPS / e-Service) – General, BASUDHA Kendra, Devmobile Stores</v>
      </c>
      <c r="P104" s="11" t="str">
        <f aca="false">IF(INDEX(MASTER_DATABASE!$A$4:$A$1000,ROW()-3)="","",INDEX(MASTER_DATABASE!$AP$4:$AP$1000,ROW()-3)&amp;"")</f>
        <v>🏛️</v>
      </c>
      <c r="Q104" s="7" t="str">
        <f aca="false">IF(INDEX(MASTER_DATABASE!$A$4:$A$1000,ROW()-3)="","",INDEX(MASTER_DATABASE!$BB$4:$BB$1000,ROW()-3)&amp;"")</f>
        <v/>
      </c>
      <c r="R104" s="11" t="str">
        <f aca="false">IF(INDEX(MASTER_DATABASE!$A$4:$A$1000,ROW()-3)="","",INDEX(MASTER_DATABASE!$BC$4:$BC$1000,ROW()-3)&amp;"")</f>
        <v>🏛️</v>
      </c>
      <c r="S104" s="11" t="n">
        <f aca="false">IF(INDEX(MASTER_DATABASE!$A$4:$A$1000,ROW()-3)="","",INDEX(MASTER_DATABASE!$AQ$4:$AQ$1000,ROW()-3))</f>
        <v>230</v>
      </c>
      <c r="T104" s="7" t="str">
        <f aca="false">IF(INDEX(MASTER_DATABASE!$A$4:$A$1000,ROW()-3)="","",INDEX(MASTER_DATABASE!$I$4:$I$1000,ROW()-3)&amp;"")</f>
        <v>Portal Dependent</v>
      </c>
      <c r="U104" s="7" t="str">
        <f aca="false">IF(INDEX(MASTER_DATABASE!$A$4:$A$1000,ROW()-3)="","",INDEX(MASTER_DATABASE!$J$4:$J$1000,ROW()-3)&amp;"")</f>
        <v>Depends on Portal – Confirm at Shop</v>
      </c>
      <c r="V104" s="7" t="str">
        <f aca="false">IF(INDEX(MASTER_DATABASE!$A$4:$A$1000,ROW()-3)="","",INDEX(MASTER_DATABASE!$AG$4:$AG$1000,ROW()-3)&amp;"")</f>
        <v>To Verify</v>
      </c>
      <c r="W104" s="7" t="str">
        <f aca="false">IF(INDEX(MASTER_DATABASE!$A$4:$A$1000,ROW()-3)="","",INDEX(MASTER_DATABASE!$AH$4:$AH$1000,ROW()-3)&amp;"")</f>
        <v>No</v>
      </c>
      <c r="X104" s="7" t="str">
        <f aca="false">IF(INDEX(MASTER_DATABASE!$A$4:$A$1000,ROW()-3)="","",INDEX(MASTER_DATABASE!$AI$4:$AI$1000,ROW()-3)&amp;"")</f>
        <v>No</v>
      </c>
      <c r="Y104" s="7" t="str">
        <f aca="false">IF(INDEX(MASTER_DATABASE!$A$4:$A$1000,ROW()-3)="","",INDEX(MASTER_DATABASE!$AJ$4:$AJ$1000,ROW()-3)&amp;"")</f>
        <v>No</v>
      </c>
      <c r="Z104" s="7" t="str">
        <f aca="false">IF(INDEX(MASTER_DATABASE!$A$4:$A$1000,ROW()-3)="","",INDEX(MASTER_DATABASE!$AK$4:$AK$1000,ROW()-3)&amp;"")</f>
        <v>No</v>
      </c>
      <c r="AA104" s="7" t="str">
        <f aca="false">IF(INDEX(MASTER_DATABASE!$A$4:$A$1000,ROW()-3)="","",INDEX(MASTER_DATABASE!$BE$4:$BE$1000,ROW()-3)&amp;"")</f>
        <v>HIDDEN</v>
      </c>
    </row>
    <row r="105" customFormat="false" ht="46.25" hidden="false" customHeight="false" outlineLevel="0" collapsed="false">
      <c r="A105" s="11" t="str">
        <f aca="false">IF(INDEX(MASTER_DATABASE!$A$4:$A$1000,ROW()-3)="","",INDEX(MASTER_DATABASE!$A$4:$A$1000,ROW()-3)&amp;"")</f>
        <v>BAS-024</v>
      </c>
      <c r="B105" s="7" t="str">
        <f aca="false">IF(INDEX(MASTER_DATABASE!$A$4:$A$1000,ROW()-3)="","",INDEX(MASTER_DATABASE!$B$4:$B$1000,ROW()-3)&amp;"")</f>
        <v>BASUDHA Kendra</v>
      </c>
      <c r="C105" s="7" t="str">
        <f aca="false">IF(INDEX(MASTER_DATABASE!$A$4:$A$1000,ROW()-3)="","",INDEX(MASTER_DATABASE!$C$4:$C$1000,ROW()-3)&amp;"")</f>
        <v>Government Services</v>
      </c>
      <c r="D105" s="7" t="str">
        <f aca="false">IF(INDEX(MASTER_DATABASE!$A$4:$A$1000,ROW()-3)="","",INDEX(MASTER_DATABASE!$D$4:$D$1000,ROW()-3)&amp;"")</f>
        <v>Public Service Applications</v>
      </c>
      <c r="E105" s="7" t="str">
        <f aca="false">IF(INDEX(MASTER_DATABASE!$A$4:$A$1000,ROW()-3)="","",INDEX(MASTER_DATABASE!$E$4:$E$1000,ROW()-3)&amp;"")</f>
        <v>Online Government Application – General</v>
      </c>
      <c r="F105" s="7" t="str">
        <f aca="false">IF(INDEX(MASTER_DATABASE!$A$4:$A$1000,ROW()-3)="","",INDEX(MASTER_DATABASE!$F$4:$F$1000,ROW()-3)&amp;"")</f>
        <v>ऑनलाइन सरकारी आवेदन – सामान्य</v>
      </c>
      <c r="G105" s="7" t="str">
        <f aca="false">IF(INDEX(MASTER_DATABASE!$A$4:$A$1000,ROW()-3)="","",INDEX(MASTER_DATABASE!$AL$4:$AL$1000,ROW()-3)&amp;"")</f>
        <v>BASUDHA Kendra</v>
      </c>
      <c r="H105" s="7" t="str">
        <f aca="false">IF(INDEX(MASTER_DATABASE!$A$4:$A$1000,ROW()-3)="","",INDEX(MASTER_DATABASE!$AM$4:$AM$1000,ROW()-3)&amp;"")</f>
        <v>Public Service Applications</v>
      </c>
      <c r="I105" s="7" t="str">
        <f aca="false">IF(INDEX(MASTER_DATABASE!$A$4:$A$1000,ROW()-3)="","",INDEX(MASTER_DATABASE!$AO$4:$AO$1000,ROW()-3)&amp;"")</f>
        <v>online-government-application-general</v>
      </c>
      <c r="J105" s="7" t="str">
        <f aca="false">IF(INDEX(MASTER_DATABASE!$A$4:$A$1000,ROW()-3)="","",INDEX(MASTER_DATABASE!$BD$4:$BD$1000,ROW()-3)&amp;"")</f>
        <v>/services/online-government-application-general</v>
      </c>
      <c r="K105" s="7" t="str">
        <f aca="false">IF(INDEX(MASTER_DATABASE!$A$4:$A$1000,ROW()-3)="","",INDEX(MASTER_DATABASE!$AX$4:$AX$1000,ROW()-3)&amp;"")</f>
        <v>Online Government Application – General Service | Devmobile Stores</v>
      </c>
      <c r="L105" s="7" t="str">
        <f aca="false">IF(INDEX(MASTER_DATABASE!$A$4:$A$1000,ROW()-3)="","",INDEX(MASTER_DATABASE!$AY$4:$AY$1000,ROW()-3)&amp;"")</f>
        <v>Online Government Application – General (ऑनलाइन सरकारी आवेदन – सामान्य) at Devmobile Stores and Common Service Center &amp; Aadhaar Centre. Check required documents, charges and process before you visit.</v>
      </c>
      <c r="M105" s="7" t="str">
        <f aca="false">IF(INDEX(MASTER_DATABASE!$A$4:$A$1000,ROW()-3)="","",INDEX(MASTER_DATABASE!$AN$4:$AN$1000,ROW()-3)&amp;"")</f>
        <v>Online Government Application – General, BASUDHA Kendra, Devmobile Stores, ऑनलाइन सरकारी आवेदन – सामान्य, बसुधा केंद्र, सेवा</v>
      </c>
      <c r="N105" s="7" t="str">
        <f aca="false">IF(INDEX(MASTER_DATABASE!$A$4:$A$1000,ROW()-3)="","",INDEX(MASTER_DATABASE!$AZ$4:$AZ$1000,ROW()-3)&amp;"")</f>
        <v>ऑनलाइन सरकारी आवेदन – सामान्य, बसुधा केंद्र, सेवा</v>
      </c>
      <c r="O105" s="7" t="str">
        <f aca="false">IF(INDEX(MASTER_DATABASE!$A$4:$A$1000,ROW()-3)="","",INDEX(MASTER_DATABASE!$BA$4:$BA$1000,ROW()-3)&amp;"")</f>
        <v>Online Government Application – General, BASUDHA Kendra, Devmobile Stores</v>
      </c>
      <c r="P105" s="11" t="str">
        <f aca="false">IF(INDEX(MASTER_DATABASE!$A$4:$A$1000,ROW()-3)="","",INDEX(MASTER_DATABASE!$AP$4:$AP$1000,ROW()-3)&amp;"")</f>
        <v>🏛️</v>
      </c>
      <c r="Q105" s="7" t="str">
        <f aca="false">IF(INDEX(MASTER_DATABASE!$A$4:$A$1000,ROW()-3)="","",INDEX(MASTER_DATABASE!$BB$4:$BB$1000,ROW()-3)&amp;"")</f>
        <v/>
      </c>
      <c r="R105" s="11" t="str">
        <f aca="false">IF(INDEX(MASTER_DATABASE!$A$4:$A$1000,ROW()-3)="","",INDEX(MASTER_DATABASE!$BC$4:$BC$1000,ROW()-3)&amp;"")</f>
        <v>🏛️</v>
      </c>
      <c r="S105" s="11" t="n">
        <f aca="false">IF(INDEX(MASTER_DATABASE!$A$4:$A$1000,ROW()-3)="","",INDEX(MASTER_DATABASE!$AQ$4:$AQ$1000,ROW()-3))</f>
        <v>240</v>
      </c>
      <c r="T105" s="7" t="str">
        <f aca="false">IF(INDEX(MASTER_DATABASE!$A$4:$A$1000,ROW()-3)="","",INDEX(MASTER_DATABASE!$I$4:$I$1000,ROW()-3)&amp;"")</f>
        <v>Portal Dependent</v>
      </c>
      <c r="U105" s="7" t="str">
        <f aca="false">IF(INDEX(MASTER_DATABASE!$A$4:$A$1000,ROW()-3)="","",INDEX(MASTER_DATABASE!$J$4:$J$1000,ROW()-3)&amp;"")</f>
        <v>Depends on Portal – Confirm at Shop</v>
      </c>
      <c r="V105" s="7" t="str">
        <f aca="false">IF(INDEX(MASTER_DATABASE!$A$4:$A$1000,ROW()-3)="","",INDEX(MASTER_DATABASE!$AG$4:$AG$1000,ROW()-3)&amp;"")</f>
        <v>To Verify</v>
      </c>
      <c r="W105" s="7" t="str">
        <f aca="false">IF(INDEX(MASTER_DATABASE!$A$4:$A$1000,ROW()-3)="","",INDEX(MASTER_DATABASE!$AH$4:$AH$1000,ROW()-3)&amp;"")</f>
        <v>No</v>
      </c>
      <c r="X105" s="7" t="str">
        <f aca="false">IF(INDEX(MASTER_DATABASE!$A$4:$A$1000,ROW()-3)="","",INDEX(MASTER_DATABASE!$AI$4:$AI$1000,ROW()-3)&amp;"")</f>
        <v>No</v>
      </c>
      <c r="Y105" s="7" t="str">
        <f aca="false">IF(INDEX(MASTER_DATABASE!$A$4:$A$1000,ROW()-3)="","",INDEX(MASTER_DATABASE!$AJ$4:$AJ$1000,ROW()-3)&amp;"")</f>
        <v>No</v>
      </c>
      <c r="Z105" s="7" t="str">
        <f aca="false">IF(INDEX(MASTER_DATABASE!$A$4:$A$1000,ROW()-3)="","",INDEX(MASTER_DATABASE!$AK$4:$AK$1000,ROW()-3)&amp;"")</f>
        <v>No</v>
      </c>
      <c r="AA105" s="7" t="str">
        <f aca="false">IF(INDEX(MASTER_DATABASE!$A$4:$A$1000,ROW()-3)="","",INDEX(MASTER_DATABASE!$BE$4:$BE$1000,ROW()-3)&amp;"")</f>
        <v>HIDDEN</v>
      </c>
    </row>
    <row r="106" customFormat="false" ht="46.25" hidden="false" customHeight="false" outlineLevel="0" collapsed="false">
      <c r="A106" s="11" t="str">
        <f aca="false">IF(INDEX(MASTER_DATABASE!$A$4:$A$1000,ROW()-3)="","",INDEX(MASTER_DATABASE!$A$4:$A$1000,ROW()-3)&amp;"")</f>
        <v>BAS-025</v>
      </c>
      <c r="B106" s="7" t="str">
        <f aca="false">IF(INDEX(MASTER_DATABASE!$A$4:$A$1000,ROW()-3)="","",INDEX(MASTER_DATABASE!$B$4:$B$1000,ROW()-3)&amp;"")</f>
        <v>BASUDHA Kendra</v>
      </c>
      <c r="C106" s="7" t="str">
        <f aca="false">IF(INDEX(MASTER_DATABASE!$A$4:$A$1000,ROW()-3)="","",INDEX(MASTER_DATABASE!$C$4:$C$1000,ROW()-3)&amp;"")</f>
        <v>Government Services</v>
      </c>
      <c r="D106" s="7" t="str">
        <f aca="false">IF(INDEX(MASTER_DATABASE!$A$4:$A$1000,ROW()-3)="","",INDEX(MASTER_DATABASE!$D$4:$D$1000,ROW()-3)&amp;"")</f>
        <v>Public Service Applications</v>
      </c>
      <c r="E106" s="7" t="str">
        <f aca="false">IF(INDEX(MASTER_DATABASE!$A$4:$A$1000,ROW()-3)="","",INDEX(MASTER_DATABASE!$E$4:$E$1000,ROW()-3)&amp;"")</f>
        <v>Application Status Check</v>
      </c>
      <c r="F106" s="7" t="str">
        <f aca="false">IF(INDEX(MASTER_DATABASE!$A$4:$A$1000,ROW()-3)="","",INDEX(MASTER_DATABASE!$F$4:$F$1000,ROW()-3)&amp;"")</f>
        <v>आवेदन स्थिति जाँच</v>
      </c>
      <c r="G106" s="7" t="str">
        <f aca="false">IF(INDEX(MASTER_DATABASE!$A$4:$A$1000,ROW()-3)="","",INDEX(MASTER_DATABASE!$AL$4:$AL$1000,ROW()-3)&amp;"")</f>
        <v>BASUDHA Kendra</v>
      </c>
      <c r="H106" s="7" t="str">
        <f aca="false">IF(INDEX(MASTER_DATABASE!$A$4:$A$1000,ROW()-3)="","",INDEX(MASTER_DATABASE!$AM$4:$AM$1000,ROW()-3)&amp;"")</f>
        <v>Public Service Applications</v>
      </c>
      <c r="I106" s="7" t="str">
        <f aca="false">IF(INDEX(MASTER_DATABASE!$A$4:$A$1000,ROW()-3)="","",INDEX(MASTER_DATABASE!$AO$4:$AO$1000,ROW()-3)&amp;"")</f>
        <v>application-status-check</v>
      </c>
      <c r="J106" s="7" t="str">
        <f aca="false">IF(INDEX(MASTER_DATABASE!$A$4:$A$1000,ROW()-3)="","",INDEX(MASTER_DATABASE!$BD$4:$BD$1000,ROW()-3)&amp;"")</f>
        <v>/services/application-status-check</v>
      </c>
      <c r="K106" s="7" t="str">
        <f aca="false">IF(INDEX(MASTER_DATABASE!$A$4:$A$1000,ROW()-3)="","",INDEX(MASTER_DATABASE!$AX$4:$AX$1000,ROW()-3)&amp;"")</f>
        <v>Application Status Check Service | Devmobile Stores</v>
      </c>
      <c r="L106" s="7" t="str">
        <f aca="false">IF(INDEX(MASTER_DATABASE!$A$4:$A$1000,ROW()-3)="","",INDEX(MASTER_DATABASE!$AY$4:$AY$1000,ROW()-3)&amp;"")</f>
        <v>Application Status Check (आवेदन स्थिति जाँच) at Devmobile Stores and Common Service Center &amp; Aadhaar Centre. Check required documents, charges and process before you visit.</v>
      </c>
      <c r="M106" s="7" t="str">
        <f aca="false">IF(INDEX(MASTER_DATABASE!$A$4:$A$1000,ROW()-3)="","",INDEX(MASTER_DATABASE!$AN$4:$AN$1000,ROW()-3)&amp;"")</f>
        <v>Application Status Check, BASUDHA Kendra, Devmobile Stores, आवेदन स्थिति जाँच, बसुधा केंद्र, सेवा</v>
      </c>
      <c r="N106" s="7" t="str">
        <f aca="false">IF(INDEX(MASTER_DATABASE!$A$4:$A$1000,ROW()-3)="","",INDEX(MASTER_DATABASE!$AZ$4:$AZ$1000,ROW()-3)&amp;"")</f>
        <v>आवेदन स्थिति जाँच, बसुधा केंद्र, सेवा</v>
      </c>
      <c r="O106" s="7" t="str">
        <f aca="false">IF(INDEX(MASTER_DATABASE!$A$4:$A$1000,ROW()-3)="","",INDEX(MASTER_DATABASE!$BA$4:$BA$1000,ROW()-3)&amp;"")</f>
        <v>Application Status Check, BASUDHA Kendra, Devmobile Stores</v>
      </c>
      <c r="P106" s="11" t="str">
        <f aca="false">IF(INDEX(MASTER_DATABASE!$A$4:$A$1000,ROW()-3)="","",INDEX(MASTER_DATABASE!$AP$4:$AP$1000,ROW()-3)&amp;"")</f>
        <v>🏛️</v>
      </c>
      <c r="Q106" s="7" t="str">
        <f aca="false">IF(INDEX(MASTER_DATABASE!$A$4:$A$1000,ROW()-3)="","",INDEX(MASTER_DATABASE!$BB$4:$BB$1000,ROW()-3)&amp;"")</f>
        <v/>
      </c>
      <c r="R106" s="11" t="str">
        <f aca="false">IF(INDEX(MASTER_DATABASE!$A$4:$A$1000,ROW()-3)="","",INDEX(MASTER_DATABASE!$BC$4:$BC$1000,ROW()-3)&amp;"")</f>
        <v>🏛️</v>
      </c>
      <c r="S106" s="11" t="n">
        <f aca="false">IF(INDEX(MASTER_DATABASE!$A$4:$A$1000,ROW()-3)="","",INDEX(MASTER_DATABASE!$AQ$4:$AQ$1000,ROW()-3))</f>
        <v>250</v>
      </c>
      <c r="T106" s="7" t="str">
        <f aca="false">IF(INDEX(MASTER_DATABASE!$A$4:$A$1000,ROW()-3)="","",INDEX(MASTER_DATABASE!$I$4:$I$1000,ROW()-3)&amp;"")</f>
        <v>Portal Dependent</v>
      </c>
      <c r="U106" s="7" t="str">
        <f aca="false">IF(INDEX(MASTER_DATABASE!$A$4:$A$1000,ROW()-3)="","",INDEX(MASTER_DATABASE!$J$4:$J$1000,ROW()-3)&amp;"")</f>
        <v>Depends on Portal – Confirm at Shop</v>
      </c>
      <c r="V106" s="7" t="str">
        <f aca="false">IF(INDEX(MASTER_DATABASE!$A$4:$A$1000,ROW()-3)="","",INDEX(MASTER_DATABASE!$AG$4:$AG$1000,ROW()-3)&amp;"")</f>
        <v>To Verify</v>
      </c>
      <c r="W106" s="7" t="str">
        <f aca="false">IF(INDEX(MASTER_DATABASE!$A$4:$A$1000,ROW()-3)="","",INDEX(MASTER_DATABASE!$AH$4:$AH$1000,ROW()-3)&amp;"")</f>
        <v>No</v>
      </c>
      <c r="X106" s="7" t="str">
        <f aca="false">IF(INDEX(MASTER_DATABASE!$A$4:$A$1000,ROW()-3)="","",INDEX(MASTER_DATABASE!$AI$4:$AI$1000,ROW()-3)&amp;"")</f>
        <v>No</v>
      </c>
      <c r="Y106" s="7" t="str">
        <f aca="false">IF(INDEX(MASTER_DATABASE!$A$4:$A$1000,ROW()-3)="","",INDEX(MASTER_DATABASE!$AJ$4:$AJ$1000,ROW()-3)&amp;"")</f>
        <v>No</v>
      </c>
      <c r="Z106" s="7" t="str">
        <f aca="false">IF(INDEX(MASTER_DATABASE!$A$4:$A$1000,ROW()-3)="","",INDEX(MASTER_DATABASE!$AK$4:$AK$1000,ROW()-3)&amp;"")</f>
        <v>No</v>
      </c>
      <c r="AA106" s="7" t="str">
        <f aca="false">IF(INDEX(MASTER_DATABASE!$A$4:$A$1000,ROW()-3)="","",INDEX(MASTER_DATABASE!$BE$4:$BE$1000,ROW()-3)&amp;"")</f>
        <v>HIDDEN</v>
      </c>
    </row>
    <row r="107" customFormat="false" ht="46.25" hidden="false" customHeight="false" outlineLevel="0" collapsed="false">
      <c r="A107" s="11" t="str">
        <f aca="false">IF(INDEX(MASTER_DATABASE!$A$4:$A$1000,ROW()-3)="","",INDEX(MASTER_DATABASE!$A$4:$A$1000,ROW()-3)&amp;"")</f>
        <v>BAS-026</v>
      </c>
      <c r="B107" s="7" t="str">
        <f aca="false">IF(INDEX(MASTER_DATABASE!$A$4:$A$1000,ROW()-3)="","",INDEX(MASTER_DATABASE!$B$4:$B$1000,ROW()-3)&amp;"")</f>
        <v>BASUDHA Kendra</v>
      </c>
      <c r="C107" s="7" t="str">
        <f aca="false">IF(INDEX(MASTER_DATABASE!$A$4:$A$1000,ROW()-3)="","",INDEX(MASTER_DATABASE!$C$4:$C$1000,ROW()-3)&amp;"")</f>
        <v>Government Services</v>
      </c>
      <c r="D107" s="7" t="str">
        <f aca="false">IF(INDEX(MASTER_DATABASE!$A$4:$A$1000,ROW()-3)="","",INDEX(MASTER_DATABASE!$D$4:$D$1000,ROW()-3)&amp;"")</f>
        <v>Public Service Applications</v>
      </c>
      <c r="E107" s="7" t="str">
        <f aca="false">IF(INDEX(MASTER_DATABASE!$A$4:$A$1000,ROW()-3)="","",INDEX(MASTER_DATABASE!$E$4:$E$1000,ROW()-3)&amp;"")</f>
        <v>Application Acknowledgement / Receipt Print</v>
      </c>
      <c r="F107" s="7" t="str">
        <f aca="false">IF(INDEX(MASTER_DATABASE!$A$4:$A$1000,ROW()-3)="","",INDEX(MASTER_DATABASE!$F$4:$F$1000,ROW()-3)&amp;"")</f>
        <v>आवेदन पावती / रसीद प्रिंट</v>
      </c>
      <c r="G107" s="7" t="str">
        <f aca="false">IF(INDEX(MASTER_DATABASE!$A$4:$A$1000,ROW()-3)="","",INDEX(MASTER_DATABASE!$AL$4:$AL$1000,ROW()-3)&amp;"")</f>
        <v>BASUDHA Kendra</v>
      </c>
      <c r="H107" s="7" t="str">
        <f aca="false">IF(INDEX(MASTER_DATABASE!$A$4:$A$1000,ROW()-3)="","",INDEX(MASTER_DATABASE!$AM$4:$AM$1000,ROW()-3)&amp;"")</f>
        <v>Public Service Applications</v>
      </c>
      <c r="I107" s="7" t="str">
        <f aca="false">IF(INDEX(MASTER_DATABASE!$A$4:$A$1000,ROW()-3)="","",INDEX(MASTER_DATABASE!$AO$4:$AO$1000,ROW()-3)&amp;"")</f>
        <v>application-acknowledgement-receipt-print</v>
      </c>
      <c r="J107" s="7" t="str">
        <f aca="false">IF(INDEX(MASTER_DATABASE!$A$4:$A$1000,ROW()-3)="","",INDEX(MASTER_DATABASE!$BD$4:$BD$1000,ROW()-3)&amp;"")</f>
        <v>/services/application-acknowledgement-receipt-print</v>
      </c>
      <c r="K107" s="7" t="str">
        <f aca="false">IF(INDEX(MASTER_DATABASE!$A$4:$A$1000,ROW()-3)="","",INDEX(MASTER_DATABASE!$AX$4:$AX$1000,ROW()-3)&amp;"")</f>
        <v>Application Acknowledgement / Receipt Print Service | Devmobile Stores</v>
      </c>
      <c r="L107" s="7" t="str">
        <f aca="false">IF(INDEX(MASTER_DATABASE!$A$4:$A$1000,ROW()-3)="","",INDEX(MASTER_DATABASE!$AY$4:$AY$1000,ROW()-3)&amp;"")</f>
        <v>Application Acknowledgement / Receipt Print (आवेदन पावती / रसीद प्रिंट) at Devmobile Stores and Common Service Center &amp; Aadhaar Centre. Check required documents, charges and process before you visit.</v>
      </c>
      <c r="M107" s="7" t="str">
        <f aca="false">IF(INDEX(MASTER_DATABASE!$A$4:$A$1000,ROW()-3)="","",INDEX(MASTER_DATABASE!$AN$4:$AN$1000,ROW()-3)&amp;"")</f>
        <v>Application Acknowledgement / Receipt Print, BASUDHA Kendra, Devmobile Stores, आवेदन पावती / रसीद प्रिंट, बसुधा केंद्र, सेवा</v>
      </c>
      <c r="N107" s="7" t="str">
        <f aca="false">IF(INDEX(MASTER_DATABASE!$A$4:$A$1000,ROW()-3)="","",INDEX(MASTER_DATABASE!$AZ$4:$AZ$1000,ROW()-3)&amp;"")</f>
        <v>आवेदन पावती / रसीद प्रिंट, बसुधा केंद्र, सेवा</v>
      </c>
      <c r="O107" s="7" t="str">
        <f aca="false">IF(INDEX(MASTER_DATABASE!$A$4:$A$1000,ROW()-3)="","",INDEX(MASTER_DATABASE!$BA$4:$BA$1000,ROW()-3)&amp;"")</f>
        <v>Application Acknowledgement / Receipt Print, BASUDHA Kendra, Devmobile Stores</v>
      </c>
      <c r="P107" s="11" t="str">
        <f aca="false">IF(INDEX(MASTER_DATABASE!$A$4:$A$1000,ROW()-3)="","",INDEX(MASTER_DATABASE!$AP$4:$AP$1000,ROW()-3)&amp;"")</f>
        <v>🏛️</v>
      </c>
      <c r="Q107" s="7" t="str">
        <f aca="false">IF(INDEX(MASTER_DATABASE!$A$4:$A$1000,ROW()-3)="","",INDEX(MASTER_DATABASE!$BB$4:$BB$1000,ROW()-3)&amp;"")</f>
        <v/>
      </c>
      <c r="R107" s="11" t="str">
        <f aca="false">IF(INDEX(MASTER_DATABASE!$A$4:$A$1000,ROW()-3)="","",INDEX(MASTER_DATABASE!$BC$4:$BC$1000,ROW()-3)&amp;"")</f>
        <v>🏛️</v>
      </c>
      <c r="S107" s="11" t="n">
        <f aca="false">IF(INDEX(MASTER_DATABASE!$A$4:$A$1000,ROW()-3)="","",INDEX(MASTER_DATABASE!$AQ$4:$AQ$1000,ROW()-3))</f>
        <v>260</v>
      </c>
      <c r="T107" s="7" t="str">
        <f aca="false">IF(INDEX(MASTER_DATABASE!$A$4:$A$1000,ROW()-3)="","",INDEX(MASTER_DATABASE!$I$4:$I$1000,ROW()-3)&amp;"")</f>
        <v>Portal Dependent</v>
      </c>
      <c r="U107" s="7" t="str">
        <f aca="false">IF(INDEX(MASTER_DATABASE!$A$4:$A$1000,ROW()-3)="","",INDEX(MASTER_DATABASE!$J$4:$J$1000,ROW()-3)&amp;"")</f>
        <v>Depends on Portal – Confirm at Shop</v>
      </c>
      <c r="V107" s="7" t="str">
        <f aca="false">IF(INDEX(MASTER_DATABASE!$A$4:$A$1000,ROW()-3)="","",INDEX(MASTER_DATABASE!$AG$4:$AG$1000,ROW()-3)&amp;"")</f>
        <v>To Verify</v>
      </c>
      <c r="W107" s="7" t="str">
        <f aca="false">IF(INDEX(MASTER_DATABASE!$A$4:$A$1000,ROW()-3)="","",INDEX(MASTER_DATABASE!$AH$4:$AH$1000,ROW()-3)&amp;"")</f>
        <v>No</v>
      </c>
      <c r="X107" s="7" t="str">
        <f aca="false">IF(INDEX(MASTER_DATABASE!$A$4:$A$1000,ROW()-3)="","",INDEX(MASTER_DATABASE!$AI$4:$AI$1000,ROW()-3)&amp;"")</f>
        <v>No</v>
      </c>
      <c r="Y107" s="7" t="str">
        <f aca="false">IF(INDEX(MASTER_DATABASE!$A$4:$A$1000,ROW()-3)="","",INDEX(MASTER_DATABASE!$AJ$4:$AJ$1000,ROW()-3)&amp;"")</f>
        <v>No</v>
      </c>
      <c r="Z107" s="7" t="str">
        <f aca="false">IF(INDEX(MASTER_DATABASE!$A$4:$A$1000,ROW()-3)="","",INDEX(MASTER_DATABASE!$AK$4:$AK$1000,ROW()-3)&amp;"")</f>
        <v>No</v>
      </c>
      <c r="AA107" s="7" t="str">
        <f aca="false">IF(INDEX(MASTER_DATABASE!$A$4:$A$1000,ROW()-3)="","",INDEX(MASTER_DATABASE!$BE$4:$BE$1000,ROW()-3)&amp;"")</f>
        <v>HIDDEN</v>
      </c>
    </row>
    <row r="108" customFormat="false" ht="57.45" hidden="false" customHeight="false" outlineLevel="0" collapsed="false">
      <c r="A108" s="11" t="str">
        <f aca="false">IF(INDEX(MASTER_DATABASE!$A$4:$A$1000,ROW()-3)="","",INDEX(MASTER_DATABASE!$A$4:$A$1000,ROW()-3)&amp;"")</f>
        <v>BAS-027</v>
      </c>
      <c r="B108" s="7" t="str">
        <f aca="false">IF(INDEX(MASTER_DATABASE!$A$4:$A$1000,ROW()-3)="","",INDEX(MASTER_DATABASE!$B$4:$B$1000,ROW()-3)&amp;"")</f>
        <v>BASUDHA Kendra</v>
      </c>
      <c r="C108" s="7" t="str">
        <f aca="false">IF(INDEX(MASTER_DATABASE!$A$4:$A$1000,ROW()-3)="","",INDEX(MASTER_DATABASE!$C$4:$C$1000,ROW()-3)&amp;"")</f>
        <v>Government Services</v>
      </c>
      <c r="D108" s="7" t="str">
        <f aca="false">IF(INDEX(MASTER_DATABASE!$A$4:$A$1000,ROW()-3)="","",INDEX(MASTER_DATABASE!$D$4:$D$1000,ROW()-3)&amp;"")</f>
        <v>Public Service Applications</v>
      </c>
      <c r="E108" s="7" t="str">
        <f aca="false">IF(INDEX(MASTER_DATABASE!$A$4:$A$1000,ROW()-3)="","",INDEX(MASTER_DATABASE!$E$4:$E$1000,ROW()-3)&amp;"")</f>
        <v>Public Grievance / Complaint Filing Assistance</v>
      </c>
      <c r="F108" s="7" t="str">
        <f aca="false">IF(INDEX(MASTER_DATABASE!$A$4:$A$1000,ROW()-3)="","",INDEX(MASTER_DATABASE!$F$4:$F$1000,ROW()-3)&amp;"")</f>
        <v>सरकारी शिकायत / जनसुनवाई दर्ज करने में सहायता</v>
      </c>
      <c r="G108" s="7" t="str">
        <f aca="false">IF(INDEX(MASTER_DATABASE!$A$4:$A$1000,ROW()-3)="","",INDEX(MASTER_DATABASE!$AL$4:$AL$1000,ROW()-3)&amp;"")</f>
        <v>BASUDHA Kendra</v>
      </c>
      <c r="H108" s="7" t="str">
        <f aca="false">IF(INDEX(MASTER_DATABASE!$A$4:$A$1000,ROW()-3)="","",INDEX(MASTER_DATABASE!$AM$4:$AM$1000,ROW()-3)&amp;"")</f>
        <v>Public Service Applications</v>
      </c>
      <c r="I108" s="7" t="str">
        <f aca="false">IF(INDEX(MASTER_DATABASE!$A$4:$A$1000,ROW()-3)="","",INDEX(MASTER_DATABASE!$AO$4:$AO$1000,ROW()-3)&amp;"")</f>
        <v>public-grievance-complaint-filing-assistance</v>
      </c>
      <c r="J108" s="7" t="str">
        <f aca="false">IF(INDEX(MASTER_DATABASE!$A$4:$A$1000,ROW()-3)="","",INDEX(MASTER_DATABASE!$BD$4:$BD$1000,ROW()-3)&amp;"")</f>
        <v>/services/public-grievance-complaint-filing-assistance</v>
      </c>
      <c r="K108" s="7" t="str">
        <f aca="false">IF(INDEX(MASTER_DATABASE!$A$4:$A$1000,ROW()-3)="","",INDEX(MASTER_DATABASE!$AX$4:$AX$1000,ROW()-3)&amp;"")</f>
        <v>Public Grievance / Complaint Filing Assistance Service | Devmobile Stores</v>
      </c>
      <c r="L108" s="7" t="str">
        <f aca="false">IF(INDEX(MASTER_DATABASE!$A$4:$A$1000,ROW()-3)="","",INDEX(MASTER_DATABASE!$AY$4:$AY$1000,ROW()-3)&amp;"")</f>
        <v>Public Grievance / Complaint Filing Assistance (सरकारी शिकायत / जनसुनवाई दर्ज करने में सहायता) at Devmobile Stores and Common Service Center &amp; Aadhaar Centre. Check required documents, charges and process before you visit.</v>
      </c>
      <c r="M108" s="7" t="str">
        <f aca="false">IF(INDEX(MASTER_DATABASE!$A$4:$A$1000,ROW()-3)="","",INDEX(MASTER_DATABASE!$AN$4:$AN$1000,ROW()-3)&amp;"")</f>
        <v>Public Grievance / Complaint Filing Assistance, BASUDHA Kendra, Devmobile Stores, सरकारी शिकायत / जनसुनवाई दर्ज करने में सहायता, बसुधा केंद्र, सेवा</v>
      </c>
      <c r="N108" s="7" t="str">
        <f aca="false">IF(INDEX(MASTER_DATABASE!$A$4:$A$1000,ROW()-3)="","",INDEX(MASTER_DATABASE!$AZ$4:$AZ$1000,ROW()-3)&amp;"")</f>
        <v>सरकारी शिकायत / जनसुनवाई दर्ज करने में सहायता, बसुधा केंद्र, सेवा</v>
      </c>
      <c r="O108" s="7" t="str">
        <f aca="false">IF(INDEX(MASTER_DATABASE!$A$4:$A$1000,ROW()-3)="","",INDEX(MASTER_DATABASE!$BA$4:$BA$1000,ROW()-3)&amp;"")</f>
        <v>Public Grievance / Complaint Filing Assistance, BASUDHA Kendra, Devmobile Stores</v>
      </c>
      <c r="P108" s="11" t="str">
        <f aca="false">IF(INDEX(MASTER_DATABASE!$A$4:$A$1000,ROW()-3)="","",INDEX(MASTER_DATABASE!$AP$4:$AP$1000,ROW()-3)&amp;"")</f>
        <v>🏛️</v>
      </c>
      <c r="Q108" s="7" t="str">
        <f aca="false">IF(INDEX(MASTER_DATABASE!$A$4:$A$1000,ROW()-3)="","",INDEX(MASTER_DATABASE!$BB$4:$BB$1000,ROW()-3)&amp;"")</f>
        <v/>
      </c>
      <c r="R108" s="11" t="str">
        <f aca="false">IF(INDEX(MASTER_DATABASE!$A$4:$A$1000,ROW()-3)="","",INDEX(MASTER_DATABASE!$BC$4:$BC$1000,ROW()-3)&amp;"")</f>
        <v>🏛️</v>
      </c>
      <c r="S108" s="11" t="n">
        <f aca="false">IF(INDEX(MASTER_DATABASE!$A$4:$A$1000,ROW()-3)="","",INDEX(MASTER_DATABASE!$AQ$4:$AQ$1000,ROW()-3))</f>
        <v>270</v>
      </c>
      <c r="T108" s="7" t="str">
        <f aca="false">IF(INDEX(MASTER_DATABASE!$A$4:$A$1000,ROW()-3)="","",INDEX(MASTER_DATABASE!$I$4:$I$1000,ROW()-3)&amp;"")</f>
        <v>To Verify</v>
      </c>
      <c r="U108" s="7" t="str">
        <f aca="false">IF(INDEX(MASTER_DATABASE!$A$4:$A$1000,ROW()-3)="","",INDEX(MASTER_DATABASE!$J$4:$J$1000,ROW()-3)&amp;"")</f>
        <v>To Be Confirmed</v>
      </c>
      <c r="V108" s="7" t="str">
        <f aca="false">IF(INDEX(MASTER_DATABASE!$A$4:$A$1000,ROW()-3)="","",INDEX(MASTER_DATABASE!$AG$4:$AG$1000,ROW()-3)&amp;"")</f>
        <v>To Verify</v>
      </c>
      <c r="W108" s="7" t="str">
        <f aca="false">IF(INDEX(MASTER_DATABASE!$A$4:$A$1000,ROW()-3)="","",INDEX(MASTER_DATABASE!$AH$4:$AH$1000,ROW()-3)&amp;"")</f>
        <v>No</v>
      </c>
      <c r="X108" s="7" t="str">
        <f aca="false">IF(INDEX(MASTER_DATABASE!$A$4:$A$1000,ROW()-3)="","",INDEX(MASTER_DATABASE!$AI$4:$AI$1000,ROW()-3)&amp;"")</f>
        <v>No</v>
      </c>
      <c r="Y108" s="7" t="str">
        <f aca="false">IF(INDEX(MASTER_DATABASE!$A$4:$A$1000,ROW()-3)="","",INDEX(MASTER_DATABASE!$AJ$4:$AJ$1000,ROW()-3)&amp;"")</f>
        <v>No</v>
      </c>
      <c r="Z108" s="7" t="str">
        <f aca="false">IF(INDEX(MASTER_DATABASE!$A$4:$A$1000,ROW()-3)="","",INDEX(MASTER_DATABASE!$AK$4:$AK$1000,ROW()-3)&amp;"")</f>
        <v>No</v>
      </c>
      <c r="AA108" s="7" t="str">
        <f aca="false">IF(INDEX(MASTER_DATABASE!$A$4:$A$1000,ROW()-3)="","",INDEX(MASTER_DATABASE!$BE$4:$BE$1000,ROW()-3)&amp;"")</f>
        <v>HIDDEN</v>
      </c>
    </row>
    <row r="109" customFormat="false" ht="46.25" hidden="false" customHeight="false" outlineLevel="0" collapsed="false">
      <c r="A109" s="11" t="str">
        <f aca="false">IF(INDEX(MASTER_DATABASE!$A$4:$A$1000,ROW()-3)="","",INDEX(MASTER_DATABASE!$A$4:$A$1000,ROW()-3)&amp;"")</f>
        <v>CSC-001</v>
      </c>
      <c r="B109" s="7" t="str">
        <f aca="false">IF(INDEX(MASTER_DATABASE!$A$4:$A$1000,ROW()-3)="","",INDEX(MASTER_DATABASE!$B$4:$B$1000,ROW()-3)&amp;"")</f>
        <v>Common Service Centre (CSC)</v>
      </c>
      <c r="C109" s="7" t="str">
        <f aca="false">IF(INDEX(MASTER_DATABASE!$A$4:$A$1000,ROW()-3)="","",INDEX(MASTER_DATABASE!$C$4:$C$1000,ROW()-3)&amp;"")</f>
        <v>Government &amp; Digital Services (CSC)</v>
      </c>
      <c r="D109" s="7" t="str">
        <f aca="false">IF(INDEX(MASTER_DATABASE!$A$4:$A$1000,ROW()-3)="","",INDEX(MASTER_DATABASE!$D$4:$D$1000,ROW()-3)&amp;"")</f>
        <v>Government Services</v>
      </c>
      <c r="E109" s="7" t="str">
        <f aca="false">IF(INDEX(MASTER_DATABASE!$A$4:$A$1000,ROW()-3)="","",INDEX(MASTER_DATABASE!$E$4:$E$1000,ROW()-3)&amp;"")</f>
        <v>Passport Application Assistance</v>
      </c>
      <c r="F109" s="7" t="str">
        <f aca="false">IF(INDEX(MASTER_DATABASE!$A$4:$A$1000,ROW()-3)="","",INDEX(MASTER_DATABASE!$F$4:$F$1000,ROW()-3)&amp;"")</f>
        <v>पासपोर्ट आवेदन सहायता</v>
      </c>
      <c r="G109" s="7" t="str">
        <f aca="false">IF(INDEX(MASTER_DATABASE!$A$4:$A$1000,ROW()-3)="","",INDEX(MASTER_DATABASE!$AL$4:$AL$1000,ROW()-3)&amp;"")</f>
        <v>Common Service Centre (CSC)</v>
      </c>
      <c r="H109" s="7" t="str">
        <f aca="false">IF(INDEX(MASTER_DATABASE!$A$4:$A$1000,ROW()-3)="","",INDEX(MASTER_DATABASE!$AM$4:$AM$1000,ROW()-3)&amp;"")</f>
        <v>Government Services</v>
      </c>
      <c r="I109" s="7" t="str">
        <f aca="false">IF(INDEX(MASTER_DATABASE!$A$4:$A$1000,ROW()-3)="","",INDEX(MASTER_DATABASE!$AO$4:$AO$1000,ROW()-3)&amp;"")</f>
        <v>passport-application-assistance</v>
      </c>
      <c r="J109" s="7" t="str">
        <f aca="false">IF(INDEX(MASTER_DATABASE!$A$4:$A$1000,ROW()-3)="","",INDEX(MASTER_DATABASE!$BD$4:$BD$1000,ROW()-3)&amp;"")</f>
        <v>/services/passport-application-assistance</v>
      </c>
      <c r="K109" s="7" t="str">
        <f aca="false">IF(INDEX(MASTER_DATABASE!$A$4:$A$1000,ROW()-3)="","",INDEX(MASTER_DATABASE!$AX$4:$AX$1000,ROW()-3)&amp;"")</f>
        <v>Passport Application Assistance Service | Devmobile Stores</v>
      </c>
      <c r="L109" s="7" t="str">
        <f aca="false">IF(INDEX(MASTER_DATABASE!$A$4:$A$1000,ROW()-3)="","",INDEX(MASTER_DATABASE!$AY$4:$AY$1000,ROW()-3)&amp;"")</f>
        <v>Passport Application Assistance (पासपोर्ट आवेदन सहायता) at Devmobile Stores and Common Service Center &amp; Aadhaar Centre. Check required documents, charges and process before you visit.</v>
      </c>
      <c r="M109" s="7" t="str">
        <f aca="false">IF(INDEX(MASTER_DATABASE!$A$4:$A$1000,ROW()-3)="","",INDEX(MASTER_DATABASE!$AN$4:$AN$1000,ROW()-3)&amp;"")</f>
        <v>Passport Application Assistance, Common Service Centre (CSC), Devmobile Stores, पासपोर्ट आवेदन सहायता, कॉमन सर्विस सेंटर (CSC), सेवा</v>
      </c>
      <c r="N109" s="7" t="str">
        <f aca="false">IF(INDEX(MASTER_DATABASE!$A$4:$A$1000,ROW()-3)="","",INDEX(MASTER_DATABASE!$AZ$4:$AZ$1000,ROW()-3)&amp;"")</f>
        <v>पासपोर्ट आवेदन सहायता, कॉमन सर्विस सेंटर (CSC), सेवा</v>
      </c>
      <c r="O109" s="7" t="str">
        <f aca="false">IF(INDEX(MASTER_DATABASE!$A$4:$A$1000,ROW()-3)="","",INDEX(MASTER_DATABASE!$BA$4:$BA$1000,ROW()-3)&amp;"")</f>
        <v>Passport Application Assistance, Common Service Centre (CSC), Devmobile Stores</v>
      </c>
      <c r="P109" s="11" t="str">
        <f aca="false">IF(INDEX(MASTER_DATABASE!$A$4:$A$1000,ROW()-3)="","",INDEX(MASTER_DATABASE!$AP$4:$AP$1000,ROW()-3)&amp;"")</f>
        <v>🖥️</v>
      </c>
      <c r="Q109" s="7" t="str">
        <f aca="false">IF(INDEX(MASTER_DATABASE!$A$4:$A$1000,ROW()-3)="","",INDEX(MASTER_DATABASE!$BB$4:$BB$1000,ROW()-3)&amp;"")</f>
        <v/>
      </c>
      <c r="R109" s="11" t="str">
        <f aca="false">IF(INDEX(MASTER_DATABASE!$A$4:$A$1000,ROW()-3)="","",INDEX(MASTER_DATABASE!$BC$4:$BC$1000,ROW()-3)&amp;"")</f>
        <v>🖥️</v>
      </c>
      <c r="S109" s="11" t="n">
        <f aca="false">IF(INDEX(MASTER_DATABASE!$A$4:$A$1000,ROW()-3)="","",INDEX(MASTER_DATABASE!$AQ$4:$AQ$1000,ROW()-3))</f>
        <v>10</v>
      </c>
      <c r="T109" s="7" t="str">
        <f aca="false">IF(INDEX(MASTER_DATABASE!$A$4:$A$1000,ROW()-3)="","",INDEX(MASTER_DATABASE!$I$4:$I$1000,ROW()-3)&amp;"")</f>
        <v>Portal Dependent</v>
      </c>
      <c r="U109" s="7" t="str">
        <f aca="false">IF(INDEX(MASTER_DATABASE!$A$4:$A$1000,ROW()-3)="","",INDEX(MASTER_DATABASE!$J$4:$J$1000,ROW()-3)&amp;"")</f>
        <v>Depends on Portal – Confirm at Shop</v>
      </c>
      <c r="V109" s="7" t="str">
        <f aca="false">IF(INDEX(MASTER_DATABASE!$A$4:$A$1000,ROW()-3)="","",INDEX(MASTER_DATABASE!$AG$4:$AG$1000,ROW()-3)&amp;"")</f>
        <v>To Verify</v>
      </c>
      <c r="W109" s="7" t="str">
        <f aca="false">IF(INDEX(MASTER_DATABASE!$A$4:$A$1000,ROW()-3)="","",INDEX(MASTER_DATABASE!$AH$4:$AH$1000,ROW()-3)&amp;"")</f>
        <v>No</v>
      </c>
      <c r="X109" s="7" t="str">
        <f aca="false">IF(INDEX(MASTER_DATABASE!$A$4:$A$1000,ROW()-3)="","",INDEX(MASTER_DATABASE!$AI$4:$AI$1000,ROW()-3)&amp;"")</f>
        <v>No</v>
      </c>
      <c r="Y109" s="7" t="str">
        <f aca="false">IF(INDEX(MASTER_DATABASE!$A$4:$A$1000,ROW()-3)="","",INDEX(MASTER_DATABASE!$AJ$4:$AJ$1000,ROW()-3)&amp;"")</f>
        <v>No</v>
      </c>
      <c r="Z109" s="7" t="str">
        <f aca="false">IF(INDEX(MASTER_DATABASE!$A$4:$A$1000,ROW()-3)="","",INDEX(MASTER_DATABASE!$AK$4:$AK$1000,ROW()-3)&amp;"")</f>
        <v>No</v>
      </c>
      <c r="AA109" s="7" t="str">
        <f aca="false">IF(INDEX(MASTER_DATABASE!$A$4:$A$1000,ROW()-3)="","",INDEX(MASTER_DATABASE!$BE$4:$BE$1000,ROW()-3)&amp;"")</f>
        <v>HIDDEN</v>
      </c>
    </row>
    <row r="110" customFormat="false" ht="57.45" hidden="false" customHeight="false" outlineLevel="0" collapsed="false">
      <c r="A110" s="11" t="str">
        <f aca="false">IF(INDEX(MASTER_DATABASE!$A$4:$A$1000,ROW()-3)="","",INDEX(MASTER_DATABASE!$A$4:$A$1000,ROW()-3)&amp;"")</f>
        <v>CSC-002</v>
      </c>
      <c r="B110" s="7" t="str">
        <f aca="false">IF(INDEX(MASTER_DATABASE!$A$4:$A$1000,ROW()-3)="","",INDEX(MASTER_DATABASE!$B$4:$B$1000,ROW()-3)&amp;"")</f>
        <v>Common Service Centre (CSC)</v>
      </c>
      <c r="C110" s="7" t="str">
        <f aca="false">IF(INDEX(MASTER_DATABASE!$A$4:$A$1000,ROW()-3)="","",INDEX(MASTER_DATABASE!$C$4:$C$1000,ROW()-3)&amp;"")</f>
        <v>Government &amp; Digital Services (CSC)</v>
      </c>
      <c r="D110" s="7" t="str">
        <f aca="false">IF(INDEX(MASTER_DATABASE!$A$4:$A$1000,ROW()-3)="","",INDEX(MASTER_DATABASE!$D$4:$D$1000,ROW()-3)&amp;"")</f>
        <v>Government Services</v>
      </c>
      <c r="E110" s="7" t="str">
        <f aca="false">IF(INDEX(MASTER_DATABASE!$A$4:$A$1000,ROW()-3)="","",INDEX(MASTER_DATABASE!$E$4:$E$1000,ROW()-3)&amp;"")</f>
        <v>Driving Licence / Learner Licence Application Assistance</v>
      </c>
      <c r="F110" s="7" t="str">
        <f aca="false">IF(INDEX(MASTER_DATABASE!$A$4:$A$1000,ROW()-3)="","",INDEX(MASTER_DATABASE!$F$4:$F$1000,ROW()-3)&amp;"")</f>
        <v>ड्राइविंग / लर्नर लाइसेंस आवेदन सहायता</v>
      </c>
      <c r="G110" s="7" t="str">
        <f aca="false">IF(INDEX(MASTER_DATABASE!$A$4:$A$1000,ROW()-3)="","",INDEX(MASTER_DATABASE!$AL$4:$AL$1000,ROW()-3)&amp;"")</f>
        <v>Common Service Centre (CSC)</v>
      </c>
      <c r="H110" s="7" t="str">
        <f aca="false">IF(INDEX(MASTER_DATABASE!$A$4:$A$1000,ROW()-3)="","",INDEX(MASTER_DATABASE!$AM$4:$AM$1000,ROW()-3)&amp;"")</f>
        <v>Government Services</v>
      </c>
      <c r="I110" s="7" t="str">
        <f aca="false">IF(INDEX(MASTER_DATABASE!$A$4:$A$1000,ROW()-3)="","",INDEX(MASTER_DATABASE!$AO$4:$AO$1000,ROW()-3)&amp;"")</f>
        <v>driving-licence-learner-licence-application-assistance</v>
      </c>
      <c r="J110" s="7" t="str">
        <f aca="false">IF(INDEX(MASTER_DATABASE!$A$4:$A$1000,ROW()-3)="","",INDEX(MASTER_DATABASE!$BD$4:$BD$1000,ROW()-3)&amp;"")</f>
        <v>/services/driving-licence-learner-licence-application-assistance</v>
      </c>
      <c r="K110" s="7" t="str">
        <f aca="false">IF(INDEX(MASTER_DATABASE!$A$4:$A$1000,ROW()-3)="","",INDEX(MASTER_DATABASE!$AX$4:$AX$1000,ROW()-3)&amp;"")</f>
        <v>Driving Licence / Learner Licence Application Assistance Service | Devmobile Stores</v>
      </c>
      <c r="L110" s="7" t="str">
        <f aca="false">IF(INDEX(MASTER_DATABASE!$A$4:$A$1000,ROW()-3)="","",INDEX(MASTER_DATABASE!$AY$4:$AY$1000,ROW()-3)&amp;"")</f>
        <v>Driving Licence / Learner Licence Application Assistance (ड्राइविंग / लर्नर लाइसेंस आवेदन सहायता) at Devmobile Stores and Common Service Center &amp; Aadhaar Centre. Check required documents, charges and process before you visit.</v>
      </c>
      <c r="M110" s="7" t="str">
        <f aca="false">IF(INDEX(MASTER_DATABASE!$A$4:$A$1000,ROW()-3)="","",INDEX(MASTER_DATABASE!$AN$4:$AN$1000,ROW()-3)&amp;"")</f>
        <v>Driving Licence / Learner Licence Application Assistance, Common Service Centre (CSC), Devmobile Stores, ड्राइविंग / लर्नर लाइसेंस आवेदन सहायता, कॉमन सर्विस सेंटर (CSC), सेवा</v>
      </c>
      <c r="N110" s="7" t="str">
        <f aca="false">IF(INDEX(MASTER_DATABASE!$A$4:$A$1000,ROW()-3)="","",INDEX(MASTER_DATABASE!$AZ$4:$AZ$1000,ROW()-3)&amp;"")</f>
        <v>ड्राइविंग / लर्नर लाइसेंस आवेदन सहायता, कॉमन सर्विस सेंटर (CSC), सेवा</v>
      </c>
      <c r="O110" s="7" t="str">
        <f aca="false">IF(INDEX(MASTER_DATABASE!$A$4:$A$1000,ROW()-3)="","",INDEX(MASTER_DATABASE!$BA$4:$BA$1000,ROW()-3)&amp;"")</f>
        <v>Driving Licence / Learner Licence Application Assistance, Common Service Centre (CSC), Devmobile Stores</v>
      </c>
      <c r="P110" s="11" t="str">
        <f aca="false">IF(INDEX(MASTER_DATABASE!$A$4:$A$1000,ROW()-3)="","",INDEX(MASTER_DATABASE!$AP$4:$AP$1000,ROW()-3)&amp;"")</f>
        <v>🖥️</v>
      </c>
      <c r="Q110" s="7" t="str">
        <f aca="false">IF(INDEX(MASTER_DATABASE!$A$4:$A$1000,ROW()-3)="","",INDEX(MASTER_DATABASE!$BB$4:$BB$1000,ROW()-3)&amp;"")</f>
        <v/>
      </c>
      <c r="R110" s="11" t="str">
        <f aca="false">IF(INDEX(MASTER_DATABASE!$A$4:$A$1000,ROW()-3)="","",INDEX(MASTER_DATABASE!$BC$4:$BC$1000,ROW()-3)&amp;"")</f>
        <v>🖥️</v>
      </c>
      <c r="S110" s="11" t="n">
        <f aca="false">IF(INDEX(MASTER_DATABASE!$A$4:$A$1000,ROW()-3)="","",INDEX(MASTER_DATABASE!$AQ$4:$AQ$1000,ROW()-3))</f>
        <v>20</v>
      </c>
      <c r="T110" s="7" t="str">
        <f aca="false">IF(INDEX(MASTER_DATABASE!$A$4:$A$1000,ROW()-3)="","",INDEX(MASTER_DATABASE!$I$4:$I$1000,ROW()-3)&amp;"")</f>
        <v>Portal Dependent</v>
      </c>
      <c r="U110" s="7" t="str">
        <f aca="false">IF(INDEX(MASTER_DATABASE!$A$4:$A$1000,ROW()-3)="","",INDEX(MASTER_DATABASE!$J$4:$J$1000,ROW()-3)&amp;"")</f>
        <v>Depends on Portal – Confirm at Shop</v>
      </c>
      <c r="V110" s="7" t="str">
        <f aca="false">IF(INDEX(MASTER_DATABASE!$A$4:$A$1000,ROW()-3)="","",INDEX(MASTER_DATABASE!$AG$4:$AG$1000,ROW()-3)&amp;"")</f>
        <v>To Verify</v>
      </c>
      <c r="W110" s="7" t="str">
        <f aca="false">IF(INDEX(MASTER_DATABASE!$A$4:$A$1000,ROW()-3)="","",INDEX(MASTER_DATABASE!$AH$4:$AH$1000,ROW()-3)&amp;"")</f>
        <v>No</v>
      </c>
      <c r="X110" s="7" t="str">
        <f aca="false">IF(INDEX(MASTER_DATABASE!$A$4:$A$1000,ROW()-3)="","",INDEX(MASTER_DATABASE!$AI$4:$AI$1000,ROW()-3)&amp;"")</f>
        <v>No</v>
      </c>
      <c r="Y110" s="7" t="str">
        <f aca="false">IF(INDEX(MASTER_DATABASE!$A$4:$A$1000,ROW()-3)="","",INDEX(MASTER_DATABASE!$AJ$4:$AJ$1000,ROW()-3)&amp;"")</f>
        <v>No</v>
      </c>
      <c r="Z110" s="7" t="str">
        <f aca="false">IF(INDEX(MASTER_DATABASE!$A$4:$A$1000,ROW()-3)="","",INDEX(MASTER_DATABASE!$AK$4:$AK$1000,ROW()-3)&amp;"")</f>
        <v>No</v>
      </c>
      <c r="AA110" s="7" t="str">
        <f aca="false">IF(INDEX(MASTER_DATABASE!$A$4:$A$1000,ROW()-3)="","",INDEX(MASTER_DATABASE!$BE$4:$BE$1000,ROW()-3)&amp;"")</f>
        <v>HIDDEN</v>
      </c>
    </row>
    <row r="111" customFormat="false" ht="46.25" hidden="false" customHeight="false" outlineLevel="0" collapsed="false">
      <c r="A111" s="11" t="str">
        <f aca="false">IF(INDEX(MASTER_DATABASE!$A$4:$A$1000,ROW()-3)="","",INDEX(MASTER_DATABASE!$A$4:$A$1000,ROW()-3)&amp;"")</f>
        <v>CSC-003</v>
      </c>
      <c r="B111" s="7" t="str">
        <f aca="false">IF(INDEX(MASTER_DATABASE!$A$4:$A$1000,ROW()-3)="","",INDEX(MASTER_DATABASE!$B$4:$B$1000,ROW()-3)&amp;"")</f>
        <v>Common Service Centre (CSC)</v>
      </c>
      <c r="C111" s="7" t="str">
        <f aca="false">IF(INDEX(MASTER_DATABASE!$A$4:$A$1000,ROW()-3)="","",INDEX(MASTER_DATABASE!$C$4:$C$1000,ROW()-3)&amp;"")</f>
        <v>Government &amp; Digital Services (CSC)</v>
      </c>
      <c r="D111" s="7" t="str">
        <f aca="false">IF(INDEX(MASTER_DATABASE!$A$4:$A$1000,ROW()-3)="","",INDEX(MASTER_DATABASE!$D$4:$D$1000,ROW()-3)&amp;"")</f>
        <v>Government Services</v>
      </c>
      <c r="E111" s="7" t="str">
        <f aca="false">IF(INDEX(MASTER_DATABASE!$A$4:$A$1000,ROW()-3)="","",INDEX(MASTER_DATABASE!$E$4:$E$1000,ROW()-3)&amp;"")</f>
        <v>Tele-Law Consultation</v>
      </c>
      <c r="F111" s="7" t="str">
        <f aca="false">IF(INDEX(MASTER_DATABASE!$A$4:$A$1000,ROW()-3)="","",INDEX(MASTER_DATABASE!$F$4:$F$1000,ROW()-3)&amp;"")</f>
        <v>टेली-लॉ परामर्श</v>
      </c>
      <c r="G111" s="7" t="str">
        <f aca="false">IF(INDEX(MASTER_DATABASE!$A$4:$A$1000,ROW()-3)="","",INDEX(MASTER_DATABASE!$AL$4:$AL$1000,ROW()-3)&amp;"")</f>
        <v>Common Service Centre (CSC)</v>
      </c>
      <c r="H111" s="7" t="str">
        <f aca="false">IF(INDEX(MASTER_DATABASE!$A$4:$A$1000,ROW()-3)="","",INDEX(MASTER_DATABASE!$AM$4:$AM$1000,ROW()-3)&amp;"")</f>
        <v>Government Services</v>
      </c>
      <c r="I111" s="7" t="str">
        <f aca="false">IF(INDEX(MASTER_DATABASE!$A$4:$A$1000,ROW()-3)="","",INDEX(MASTER_DATABASE!$AO$4:$AO$1000,ROW()-3)&amp;"")</f>
        <v>tele-law-consultation</v>
      </c>
      <c r="J111" s="7" t="str">
        <f aca="false">IF(INDEX(MASTER_DATABASE!$A$4:$A$1000,ROW()-3)="","",INDEX(MASTER_DATABASE!$BD$4:$BD$1000,ROW()-3)&amp;"")</f>
        <v>/services/tele-law-consultation</v>
      </c>
      <c r="K111" s="7" t="str">
        <f aca="false">IF(INDEX(MASTER_DATABASE!$A$4:$A$1000,ROW()-3)="","",INDEX(MASTER_DATABASE!$AX$4:$AX$1000,ROW()-3)&amp;"")</f>
        <v>Tele-Law Consultation Service | Devmobile Stores</v>
      </c>
      <c r="L111" s="7" t="str">
        <f aca="false">IF(INDEX(MASTER_DATABASE!$A$4:$A$1000,ROW()-3)="","",INDEX(MASTER_DATABASE!$AY$4:$AY$1000,ROW()-3)&amp;"")</f>
        <v>Tele-Law Consultation (टेली-लॉ परामर्श) at Devmobile Stores and Common Service Center &amp; Aadhaar Centre. Check required documents, charges and process before you visit.</v>
      </c>
      <c r="M111" s="7" t="str">
        <f aca="false">IF(INDEX(MASTER_DATABASE!$A$4:$A$1000,ROW()-3)="","",INDEX(MASTER_DATABASE!$AN$4:$AN$1000,ROW()-3)&amp;"")</f>
        <v>Tele-Law Consultation, Common Service Centre (CSC), Devmobile Stores, टेली-लॉ परामर्श, कॉमन सर्विस सेंटर (CSC), सेवा</v>
      </c>
      <c r="N111" s="7" t="str">
        <f aca="false">IF(INDEX(MASTER_DATABASE!$A$4:$A$1000,ROW()-3)="","",INDEX(MASTER_DATABASE!$AZ$4:$AZ$1000,ROW()-3)&amp;"")</f>
        <v>टेली-लॉ परामर्श, कॉमन सर्विस सेंटर (CSC), सेवा</v>
      </c>
      <c r="O111" s="7" t="str">
        <f aca="false">IF(INDEX(MASTER_DATABASE!$A$4:$A$1000,ROW()-3)="","",INDEX(MASTER_DATABASE!$BA$4:$BA$1000,ROW()-3)&amp;"")</f>
        <v>Tele-Law Consultation, Common Service Centre (CSC), Devmobile Stores</v>
      </c>
      <c r="P111" s="11" t="str">
        <f aca="false">IF(INDEX(MASTER_DATABASE!$A$4:$A$1000,ROW()-3)="","",INDEX(MASTER_DATABASE!$AP$4:$AP$1000,ROW()-3)&amp;"")</f>
        <v>🖥️</v>
      </c>
      <c r="Q111" s="7" t="str">
        <f aca="false">IF(INDEX(MASTER_DATABASE!$A$4:$A$1000,ROW()-3)="","",INDEX(MASTER_DATABASE!$BB$4:$BB$1000,ROW()-3)&amp;"")</f>
        <v/>
      </c>
      <c r="R111" s="11" t="str">
        <f aca="false">IF(INDEX(MASTER_DATABASE!$A$4:$A$1000,ROW()-3)="","",INDEX(MASTER_DATABASE!$BC$4:$BC$1000,ROW()-3)&amp;"")</f>
        <v>🖥️</v>
      </c>
      <c r="S111" s="11" t="n">
        <f aca="false">IF(INDEX(MASTER_DATABASE!$A$4:$A$1000,ROW()-3)="","",INDEX(MASTER_DATABASE!$AQ$4:$AQ$1000,ROW()-3))</f>
        <v>30</v>
      </c>
      <c r="T111" s="7" t="str">
        <f aca="false">IF(INDEX(MASTER_DATABASE!$A$4:$A$1000,ROW()-3)="","",INDEX(MASTER_DATABASE!$I$4:$I$1000,ROW()-3)&amp;"")</f>
        <v>Authorization Required</v>
      </c>
      <c r="U111" s="7" t="str">
        <f aca="false">IF(INDEX(MASTER_DATABASE!$A$4:$A$1000,ROW()-3)="","",INDEX(MASTER_DATABASE!$J$4:$J$1000,ROW()-3)&amp;"")</f>
        <v>Please Confirm at Shop</v>
      </c>
      <c r="V111" s="7" t="str">
        <f aca="false">IF(INDEX(MASTER_DATABASE!$A$4:$A$1000,ROW()-3)="","",INDEX(MASTER_DATABASE!$AG$4:$AG$1000,ROW()-3)&amp;"")</f>
        <v>To Verify</v>
      </c>
      <c r="W111" s="7" t="str">
        <f aca="false">IF(INDEX(MASTER_DATABASE!$A$4:$A$1000,ROW()-3)="","",INDEX(MASTER_DATABASE!$AH$4:$AH$1000,ROW()-3)&amp;"")</f>
        <v>No</v>
      </c>
      <c r="X111" s="7" t="str">
        <f aca="false">IF(INDEX(MASTER_DATABASE!$A$4:$A$1000,ROW()-3)="","",INDEX(MASTER_DATABASE!$AI$4:$AI$1000,ROW()-3)&amp;"")</f>
        <v>No</v>
      </c>
      <c r="Y111" s="7" t="str">
        <f aca="false">IF(INDEX(MASTER_DATABASE!$A$4:$A$1000,ROW()-3)="","",INDEX(MASTER_DATABASE!$AJ$4:$AJ$1000,ROW()-3)&amp;"")</f>
        <v>No</v>
      </c>
      <c r="Z111" s="7" t="str">
        <f aca="false">IF(INDEX(MASTER_DATABASE!$A$4:$A$1000,ROW()-3)="","",INDEX(MASTER_DATABASE!$AK$4:$AK$1000,ROW()-3)&amp;"")</f>
        <v>No</v>
      </c>
      <c r="AA111" s="7" t="str">
        <f aca="false">IF(INDEX(MASTER_DATABASE!$A$4:$A$1000,ROW()-3)="","",INDEX(MASTER_DATABASE!$BE$4:$BE$1000,ROW()-3)&amp;"")</f>
        <v>HIDDEN</v>
      </c>
    </row>
    <row r="112" customFormat="false" ht="46.25" hidden="false" customHeight="false" outlineLevel="0" collapsed="false">
      <c r="A112" s="11" t="str">
        <f aca="false">IF(INDEX(MASTER_DATABASE!$A$4:$A$1000,ROW()-3)="","",INDEX(MASTER_DATABASE!$A$4:$A$1000,ROW()-3)&amp;"")</f>
        <v>CSC-004</v>
      </c>
      <c r="B112" s="7" t="str">
        <f aca="false">IF(INDEX(MASTER_DATABASE!$A$4:$A$1000,ROW()-3)="","",INDEX(MASTER_DATABASE!$B$4:$B$1000,ROW()-3)&amp;"")</f>
        <v>Common Service Centre (CSC)</v>
      </c>
      <c r="C112" s="7" t="str">
        <f aca="false">IF(INDEX(MASTER_DATABASE!$A$4:$A$1000,ROW()-3)="","",INDEX(MASTER_DATABASE!$C$4:$C$1000,ROW()-3)&amp;"")</f>
        <v>Government &amp; Digital Services (CSC)</v>
      </c>
      <c r="D112" s="7" t="str">
        <f aca="false">IF(INDEX(MASTER_DATABASE!$A$4:$A$1000,ROW()-3)="","",INDEX(MASTER_DATABASE!$D$4:$D$1000,ROW()-3)&amp;"")</f>
        <v>Government Services</v>
      </c>
      <c r="E112" s="7" t="str">
        <f aca="false">IF(INDEX(MASTER_DATABASE!$A$4:$A$1000,ROW()-3)="","",INDEX(MASTER_DATABASE!$E$4:$E$1000,ROW()-3)&amp;"")</f>
        <v>Telemedicine / eSanjeevani Consultation</v>
      </c>
      <c r="F112" s="7" t="str">
        <f aca="false">IF(INDEX(MASTER_DATABASE!$A$4:$A$1000,ROW()-3)="","",INDEX(MASTER_DATABASE!$F$4:$F$1000,ROW()-3)&amp;"")</f>
        <v>टेलीमेडिसिन / eSanjeevani परामर्श</v>
      </c>
      <c r="G112" s="7" t="str">
        <f aca="false">IF(INDEX(MASTER_DATABASE!$A$4:$A$1000,ROW()-3)="","",INDEX(MASTER_DATABASE!$AL$4:$AL$1000,ROW()-3)&amp;"")</f>
        <v>Common Service Centre (CSC)</v>
      </c>
      <c r="H112" s="7" t="str">
        <f aca="false">IF(INDEX(MASTER_DATABASE!$A$4:$A$1000,ROW()-3)="","",INDEX(MASTER_DATABASE!$AM$4:$AM$1000,ROW()-3)&amp;"")</f>
        <v>Government Services</v>
      </c>
      <c r="I112" s="7" t="str">
        <f aca="false">IF(INDEX(MASTER_DATABASE!$A$4:$A$1000,ROW()-3)="","",INDEX(MASTER_DATABASE!$AO$4:$AO$1000,ROW()-3)&amp;"")</f>
        <v>telemedicine-esanjeevani-consultation</v>
      </c>
      <c r="J112" s="7" t="str">
        <f aca="false">IF(INDEX(MASTER_DATABASE!$A$4:$A$1000,ROW()-3)="","",INDEX(MASTER_DATABASE!$BD$4:$BD$1000,ROW()-3)&amp;"")</f>
        <v>/services/telemedicine-esanjeevani-consultation</v>
      </c>
      <c r="K112" s="7" t="str">
        <f aca="false">IF(INDEX(MASTER_DATABASE!$A$4:$A$1000,ROW()-3)="","",INDEX(MASTER_DATABASE!$AX$4:$AX$1000,ROW()-3)&amp;"")</f>
        <v>Telemedicine / eSanjeevani Consultation Service | Devmobile Stores</v>
      </c>
      <c r="L112" s="7" t="str">
        <f aca="false">IF(INDEX(MASTER_DATABASE!$A$4:$A$1000,ROW()-3)="","",INDEX(MASTER_DATABASE!$AY$4:$AY$1000,ROW()-3)&amp;"")</f>
        <v>Telemedicine / eSanjeevani Consultation (टेलीमेडिसिन / eSanjeevani परामर्श) at Devmobile Stores and Common Service Center &amp; Aadhaar Centre. Check required documents, charges and process before you visit.</v>
      </c>
      <c r="M112" s="7" t="str">
        <f aca="false">IF(INDEX(MASTER_DATABASE!$A$4:$A$1000,ROW()-3)="","",INDEX(MASTER_DATABASE!$AN$4:$AN$1000,ROW()-3)&amp;"")</f>
        <v>Telemedicine / eSanjeevani Consultation, Common Service Centre (CSC), Devmobile Stores, टेलीमेडिसिन / eSanjeevani परामर्श, कॉमन सर्विस सेंटर (CSC), सेवा</v>
      </c>
      <c r="N112" s="7" t="str">
        <f aca="false">IF(INDEX(MASTER_DATABASE!$A$4:$A$1000,ROW()-3)="","",INDEX(MASTER_DATABASE!$AZ$4:$AZ$1000,ROW()-3)&amp;"")</f>
        <v>टेलीमेडिसिन / eSanjeevani परामर्श, कॉमन सर्विस सेंटर (CSC), सेवा</v>
      </c>
      <c r="O112" s="7" t="str">
        <f aca="false">IF(INDEX(MASTER_DATABASE!$A$4:$A$1000,ROW()-3)="","",INDEX(MASTER_DATABASE!$BA$4:$BA$1000,ROW()-3)&amp;"")</f>
        <v>Telemedicine / eSanjeevani Consultation, Common Service Centre (CSC), Devmobile Stores</v>
      </c>
      <c r="P112" s="11" t="str">
        <f aca="false">IF(INDEX(MASTER_DATABASE!$A$4:$A$1000,ROW()-3)="","",INDEX(MASTER_DATABASE!$AP$4:$AP$1000,ROW()-3)&amp;"")</f>
        <v>🖥️</v>
      </c>
      <c r="Q112" s="7" t="str">
        <f aca="false">IF(INDEX(MASTER_DATABASE!$A$4:$A$1000,ROW()-3)="","",INDEX(MASTER_DATABASE!$BB$4:$BB$1000,ROW()-3)&amp;"")</f>
        <v/>
      </c>
      <c r="R112" s="11" t="str">
        <f aca="false">IF(INDEX(MASTER_DATABASE!$A$4:$A$1000,ROW()-3)="","",INDEX(MASTER_DATABASE!$BC$4:$BC$1000,ROW()-3)&amp;"")</f>
        <v>🖥️</v>
      </c>
      <c r="S112" s="11" t="n">
        <f aca="false">IF(INDEX(MASTER_DATABASE!$A$4:$A$1000,ROW()-3)="","",INDEX(MASTER_DATABASE!$AQ$4:$AQ$1000,ROW()-3))</f>
        <v>40</v>
      </c>
      <c r="T112" s="7" t="str">
        <f aca="false">IF(INDEX(MASTER_DATABASE!$A$4:$A$1000,ROW()-3)="","",INDEX(MASTER_DATABASE!$I$4:$I$1000,ROW()-3)&amp;"")</f>
        <v>Authorization Required</v>
      </c>
      <c r="U112" s="7" t="str">
        <f aca="false">IF(INDEX(MASTER_DATABASE!$A$4:$A$1000,ROW()-3)="","",INDEX(MASTER_DATABASE!$J$4:$J$1000,ROW()-3)&amp;"")</f>
        <v>Please Confirm at Shop</v>
      </c>
      <c r="V112" s="7" t="str">
        <f aca="false">IF(INDEX(MASTER_DATABASE!$A$4:$A$1000,ROW()-3)="","",INDEX(MASTER_DATABASE!$AG$4:$AG$1000,ROW()-3)&amp;"")</f>
        <v>To Verify</v>
      </c>
      <c r="W112" s="7" t="str">
        <f aca="false">IF(INDEX(MASTER_DATABASE!$A$4:$A$1000,ROW()-3)="","",INDEX(MASTER_DATABASE!$AH$4:$AH$1000,ROW()-3)&amp;"")</f>
        <v>No</v>
      </c>
      <c r="X112" s="7" t="str">
        <f aca="false">IF(INDEX(MASTER_DATABASE!$A$4:$A$1000,ROW()-3)="","",INDEX(MASTER_DATABASE!$AI$4:$AI$1000,ROW()-3)&amp;"")</f>
        <v>No</v>
      </c>
      <c r="Y112" s="7" t="str">
        <f aca="false">IF(INDEX(MASTER_DATABASE!$A$4:$A$1000,ROW()-3)="","",INDEX(MASTER_DATABASE!$AJ$4:$AJ$1000,ROW()-3)&amp;"")</f>
        <v>No</v>
      </c>
      <c r="Z112" s="7" t="str">
        <f aca="false">IF(INDEX(MASTER_DATABASE!$A$4:$A$1000,ROW()-3)="","",INDEX(MASTER_DATABASE!$AK$4:$AK$1000,ROW()-3)&amp;"")</f>
        <v>No</v>
      </c>
      <c r="AA112" s="7" t="str">
        <f aca="false">IF(INDEX(MASTER_DATABASE!$A$4:$A$1000,ROW()-3)="","",INDEX(MASTER_DATABASE!$BE$4:$BE$1000,ROW()-3)&amp;"")</f>
        <v>HIDDEN</v>
      </c>
    </row>
    <row r="113" customFormat="false" ht="46.25" hidden="false" customHeight="false" outlineLevel="0" collapsed="false">
      <c r="A113" s="11" t="str">
        <f aca="false">IF(INDEX(MASTER_DATABASE!$A$4:$A$1000,ROW()-3)="","",INDEX(MASTER_DATABASE!$A$4:$A$1000,ROW()-3)&amp;"")</f>
        <v>CSC-005</v>
      </c>
      <c r="B113" s="7" t="str">
        <f aca="false">IF(INDEX(MASTER_DATABASE!$A$4:$A$1000,ROW()-3)="","",INDEX(MASTER_DATABASE!$B$4:$B$1000,ROW()-3)&amp;"")</f>
        <v>Common Service Centre (CSC)</v>
      </c>
      <c r="C113" s="7" t="str">
        <f aca="false">IF(INDEX(MASTER_DATABASE!$A$4:$A$1000,ROW()-3)="","",INDEX(MASTER_DATABASE!$C$4:$C$1000,ROW()-3)&amp;"")</f>
        <v>Government &amp; Digital Services (CSC)</v>
      </c>
      <c r="D113" s="7" t="str">
        <f aca="false">IF(INDEX(MASTER_DATABASE!$A$4:$A$1000,ROW()-3)="","",INDEX(MASTER_DATABASE!$D$4:$D$1000,ROW()-3)&amp;"")</f>
        <v>e-Governance</v>
      </c>
      <c r="E113" s="7" t="str">
        <f aca="false">IF(INDEX(MASTER_DATABASE!$A$4:$A$1000,ROW()-3)="","",INDEX(MASTER_DATABASE!$E$4:$E$1000,ROW()-3)&amp;"")</f>
        <v>e-District Services (State Portal)</v>
      </c>
      <c r="F113" s="7" t="str">
        <f aca="false">IF(INDEX(MASTER_DATABASE!$A$4:$A$1000,ROW()-3)="","",INDEX(MASTER_DATABASE!$F$4:$F$1000,ROW()-3)&amp;"")</f>
        <v>e-District सेवाएँ (राज्य पोर्टल)</v>
      </c>
      <c r="G113" s="7" t="str">
        <f aca="false">IF(INDEX(MASTER_DATABASE!$A$4:$A$1000,ROW()-3)="","",INDEX(MASTER_DATABASE!$AL$4:$AL$1000,ROW()-3)&amp;"")</f>
        <v>Common Service Centre (CSC)</v>
      </c>
      <c r="H113" s="7" t="str">
        <f aca="false">IF(INDEX(MASTER_DATABASE!$A$4:$A$1000,ROW()-3)="","",INDEX(MASTER_DATABASE!$AM$4:$AM$1000,ROW()-3)&amp;"")</f>
        <v>e-Governance</v>
      </c>
      <c r="I113" s="7" t="str">
        <f aca="false">IF(INDEX(MASTER_DATABASE!$A$4:$A$1000,ROW()-3)="","",INDEX(MASTER_DATABASE!$AO$4:$AO$1000,ROW()-3)&amp;"")</f>
        <v>e-district-services-state-portal</v>
      </c>
      <c r="J113" s="7" t="str">
        <f aca="false">IF(INDEX(MASTER_DATABASE!$A$4:$A$1000,ROW()-3)="","",INDEX(MASTER_DATABASE!$BD$4:$BD$1000,ROW()-3)&amp;"")</f>
        <v>/services/e-district-services-state-portal</v>
      </c>
      <c r="K113" s="7" t="str">
        <f aca="false">IF(INDEX(MASTER_DATABASE!$A$4:$A$1000,ROW()-3)="","",INDEX(MASTER_DATABASE!$AX$4:$AX$1000,ROW()-3)&amp;"")</f>
        <v>e-District Services (State Portal) Service | Devmobile Stores</v>
      </c>
      <c r="L113" s="7" t="str">
        <f aca="false">IF(INDEX(MASTER_DATABASE!$A$4:$A$1000,ROW()-3)="","",INDEX(MASTER_DATABASE!$AY$4:$AY$1000,ROW()-3)&amp;"")</f>
        <v>e-District Services (State Portal) (e-District सेवाएँ (राज्य पोर्टल)) at Devmobile Stores and Common Service Center &amp; Aadhaar Centre. Check required documents, charges and process before you visit.</v>
      </c>
      <c r="M113" s="7" t="str">
        <f aca="false">IF(INDEX(MASTER_DATABASE!$A$4:$A$1000,ROW()-3)="","",INDEX(MASTER_DATABASE!$AN$4:$AN$1000,ROW()-3)&amp;"")</f>
        <v>e-District Services (State Portal), Common Service Centre (CSC), Devmobile Stores, e-District सेवाएँ (राज्य पोर्टल), कॉमन सर्विस सेंटर (CSC), सेवा</v>
      </c>
      <c r="N113" s="7" t="str">
        <f aca="false">IF(INDEX(MASTER_DATABASE!$A$4:$A$1000,ROW()-3)="","",INDEX(MASTER_DATABASE!$AZ$4:$AZ$1000,ROW()-3)&amp;"")</f>
        <v>e-District सेवाएँ (राज्य पोर्टल), कॉमन सर्विस सेंटर (CSC), सेवा</v>
      </c>
      <c r="O113" s="7" t="str">
        <f aca="false">IF(INDEX(MASTER_DATABASE!$A$4:$A$1000,ROW()-3)="","",INDEX(MASTER_DATABASE!$BA$4:$BA$1000,ROW()-3)&amp;"")</f>
        <v>e-District Services (State Portal), Common Service Centre (CSC), Devmobile Stores</v>
      </c>
      <c r="P113" s="11" t="str">
        <f aca="false">IF(INDEX(MASTER_DATABASE!$A$4:$A$1000,ROW()-3)="","",INDEX(MASTER_DATABASE!$AP$4:$AP$1000,ROW()-3)&amp;"")</f>
        <v>🖥️</v>
      </c>
      <c r="Q113" s="7" t="str">
        <f aca="false">IF(INDEX(MASTER_DATABASE!$A$4:$A$1000,ROW()-3)="","",INDEX(MASTER_DATABASE!$BB$4:$BB$1000,ROW()-3)&amp;"")</f>
        <v/>
      </c>
      <c r="R113" s="11" t="str">
        <f aca="false">IF(INDEX(MASTER_DATABASE!$A$4:$A$1000,ROW()-3)="","",INDEX(MASTER_DATABASE!$BC$4:$BC$1000,ROW()-3)&amp;"")</f>
        <v>🖥️</v>
      </c>
      <c r="S113" s="11" t="n">
        <f aca="false">IF(INDEX(MASTER_DATABASE!$A$4:$A$1000,ROW()-3)="","",INDEX(MASTER_DATABASE!$AQ$4:$AQ$1000,ROW()-3))</f>
        <v>50</v>
      </c>
      <c r="T113" s="7" t="str">
        <f aca="false">IF(INDEX(MASTER_DATABASE!$A$4:$A$1000,ROW()-3)="","",INDEX(MASTER_DATABASE!$I$4:$I$1000,ROW()-3)&amp;"")</f>
        <v>Portal Dependent</v>
      </c>
      <c r="U113" s="7" t="str">
        <f aca="false">IF(INDEX(MASTER_DATABASE!$A$4:$A$1000,ROW()-3)="","",INDEX(MASTER_DATABASE!$J$4:$J$1000,ROW()-3)&amp;"")</f>
        <v>Depends on Portal – Confirm at Shop</v>
      </c>
      <c r="V113" s="7" t="str">
        <f aca="false">IF(INDEX(MASTER_DATABASE!$A$4:$A$1000,ROW()-3)="","",INDEX(MASTER_DATABASE!$AG$4:$AG$1000,ROW()-3)&amp;"")</f>
        <v>To Verify</v>
      </c>
      <c r="W113" s="7" t="str">
        <f aca="false">IF(INDEX(MASTER_DATABASE!$A$4:$A$1000,ROW()-3)="","",INDEX(MASTER_DATABASE!$AH$4:$AH$1000,ROW()-3)&amp;"")</f>
        <v>No</v>
      </c>
      <c r="X113" s="7" t="str">
        <f aca="false">IF(INDEX(MASTER_DATABASE!$A$4:$A$1000,ROW()-3)="","",INDEX(MASTER_DATABASE!$AI$4:$AI$1000,ROW()-3)&amp;"")</f>
        <v>No</v>
      </c>
      <c r="Y113" s="7" t="str">
        <f aca="false">IF(INDEX(MASTER_DATABASE!$A$4:$A$1000,ROW()-3)="","",INDEX(MASTER_DATABASE!$AJ$4:$AJ$1000,ROW()-3)&amp;"")</f>
        <v>No</v>
      </c>
      <c r="Z113" s="7" t="str">
        <f aca="false">IF(INDEX(MASTER_DATABASE!$A$4:$A$1000,ROW()-3)="","",INDEX(MASTER_DATABASE!$AK$4:$AK$1000,ROW()-3)&amp;"")</f>
        <v>No</v>
      </c>
      <c r="AA113" s="7" t="str">
        <f aca="false">IF(INDEX(MASTER_DATABASE!$A$4:$A$1000,ROW()-3)="","",INDEX(MASTER_DATABASE!$BE$4:$BE$1000,ROW()-3)&amp;"")</f>
        <v>HIDDEN</v>
      </c>
    </row>
    <row r="114" customFormat="false" ht="46.25" hidden="false" customHeight="false" outlineLevel="0" collapsed="false">
      <c r="A114" s="11" t="str">
        <f aca="false">IF(INDEX(MASTER_DATABASE!$A$4:$A$1000,ROW()-3)="","",INDEX(MASTER_DATABASE!$A$4:$A$1000,ROW()-3)&amp;"")</f>
        <v>CSC-006</v>
      </c>
      <c r="B114" s="7" t="str">
        <f aca="false">IF(INDEX(MASTER_DATABASE!$A$4:$A$1000,ROW()-3)="","",INDEX(MASTER_DATABASE!$B$4:$B$1000,ROW()-3)&amp;"")</f>
        <v>Common Service Centre (CSC)</v>
      </c>
      <c r="C114" s="7" t="str">
        <f aca="false">IF(INDEX(MASTER_DATABASE!$A$4:$A$1000,ROW()-3)="","",INDEX(MASTER_DATABASE!$C$4:$C$1000,ROW()-3)&amp;"")</f>
        <v>Government &amp; Digital Services (CSC)</v>
      </c>
      <c r="D114" s="7" t="str">
        <f aca="false">IF(INDEX(MASTER_DATABASE!$A$4:$A$1000,ROW()-3)="","",INDEX(MASTER_DATABASE!$D$4:$D$1000,ROW()-3)&amp;"")</f>
        <v>e-Governance</v>
      </c>
      <c r="E114" s="7" t="str">
        <f aca="false">IF(INDEX(MASTER_DATABASE!$A$4:$A$1000,ROW()-3)="","",INDEX(MASTER_DATABASE!$E$4:$E$1000,ROW()-3)&amp;"")</f>
        <v>RTI Online Filing Assistance</v>
      </c>
      <c r="F114" s="7" t="str">
        <f aca="false">IF(INDEX(MASTER_DATABASE!$A$4:$A$1000,ROW()-3)="","",INDEX(MASTER_DATABASE!$F$4:$F$1000,ROW()-3)&amp;"")</f>
        <v>RTI ऑनलाइन दाखिल करने में सहायता</v>
      </c>
      <c r="G114" s="7" t="str">
        <f aca="false">IF(INDEX(MASTER_DATABASE!$A$4:$A$1000,ROW()-3)="","",INDEX(MASTER_DATABASE!$AL$4:$AL$1000,ROW()-3)&amp;"")</f>
        <v>Common Service Centre (CSC)</v>
      </c>
      <c r="H114" s="7" t="str">
        <f aca="false">IF(INDEX(MASTER_DATABASE!$A$4:$A$1000,ROW()-3)="","",INDEX(MASTER_DATABASE!$AM$4:$AM$1000,ROW()-3)&amp;"")</f>
        <v>e-Governance</v>
      </c>
      <c r="I114" s="7" t="str">
        <f aca="false">IF(INDEX(MASTER_DATABASE!$A$4:$A$1000,ROW()-3)="","",INDEX(MASTER_DATABASE!$AO$4:$AO$1000,ROW()-3)&amp;"")</f>
        <v>rti-online-filing-assistance</v>
      </c>
      <c r="J114" s="7" t="str">
        <f aca="false">IF(INDEX(MASTER_DATABASE!$A$4:$A$1000,ROW()-3)="","",INDEX(MASTER_DATABASE!$BD$4:$BD$1000,ROW()-3)&amp;"")</f>
        <v>/services/rti-online-filing-assistance</v>
      </c>
      <c r="K114" s="7" t="str">
        <f aca="false">IF(INDEX(MASTER_DATABASE!$A$4:$A$1000,ROW()-3)="","",INDEX(MASTER_DATABASE!$AX$4:$AX$1000,ROW()-3)&amp;"")</f>
        <v>RTI Online Filing Assistance Service | Devmobile Stores</v>
      </c>
      <c r="L114" s="7" t="str">
        <f aca="false">IF(INDEX(MASTER_DATABASE!$A$4:$A$1000,ROW()-3)="","",INDEX(MASTER_DATABASE!$AY$4:$AY$1000,ROW()-3)&amp;"")</f>
        <v>RTI Online Filing Assistance (RTI ऑनलाइन दाखिल करने में सहायता) at Devmobile Stores and Common Service Center &amp; Aadhaar Centre. Check required documents, charges and process before you visit.</v>
      </c>
      <c r="M114" s="7" t="str">
        <f aca="false">IF(INDEX(MASTER_DATABASE!$A$4:$A$1000,ROW()-3)="","",INDEX(MASTER_DATABASE!$AN$4:$AN$1000,ROW()-3)&amp;"")</f>
        <v>RTI Online Filing Assistance, Common Service Centre (CSC), Devmobile Stores, RTI ऑनलाइन दाखिल करने में सहायता, कॉमन सर्विस सेंटर (CSC), सेवा</v>
      </c>
      <c r="N114" s="7" t="str">
        <f aca="false">IF(INDEX(MASTER_DATABASE!$A$4:$A$1000,ROW()-3)="","",INDEX(MASTER_DATABASE!$AZ$4:$AZ$1000,ROW()-3)&amp;"")</f>
        <v>RTI ऑनलाइन दाखिल करने में सहायता, कॉमन सर्विस सेंटर (CSC), सेवा</v>
      </c>
      <c r="O114" s="7" t="str">
        <f aca="false">IF(INDEX(MASTER_DATABASE!$A$4:$A$1000,ROW()-3)="","",INDEX(MASTER_DATABASE!$BA$4:$BA$1000,ROW()-3)&amp;"")</f>
        <v>RTI Online Filing Assistance, Common Service Centre (CSC), Devmobile Stores</v>
      </c>
      <c r="P114" s="11" t="str">
        <f aca="false">IF(INDEX(MASTER_DATABASE!$A$4:$A$1000,ROW()-3)="","",INDEX(MASTER_DATABASE!$AP$4:$AP$1000,ROW()-3)&amp;"")</f>
        <v>🖥️</v>
      </c>
      <c r="Q114" s="7" t="str">
        <f aca="false">IF(INDEX(MASTER_DATABASE!$A$4:$A$1000,ROW()-3)="","",INDEX(MASTER_DATABASE!$BB$4:$BB$1000,ROW()-3)&amp;"")</f>
        <v/>
      </c>
      <c r="R114" s="11" t="str">
        <f aca="false">IF(INDEX(MASTER_DATABASE!$A$4:$A$1000,ROW()-3)="","",INDEX(MASTER_DATABASE!$BC$4:$BC$1000,ROW()-3)&amp;"")</f>
        <v>🖥️</v>
      </c>
      <c r="S114" s="11" t="n">
        <f aca="false">IF(INDEX(MASTER_DATABASE!$A$4:$A$1000,ROW()-3)="","",INDEX(MASTER_DATABASE!$AQ$4:$AQ$1000,ROW()-3))</f>
        <v>60</v>
      </c>
      <c r="T114" s="7" t="str">
        <f aca="false">IF(INDEX(MASTER_DATABASE!$A$4:$A$1000,ROW()-3)="","",INDEX(MASTER_DATABASE!$I$4:$I$1000,ROW()-3)&amp;"")</f>
        <v>Portal Dependent</v>
      </c>
      <c r="U114" s="7" t="str">
        <f aca="false">IF(INDEX(MASTER_DATABASE!$A$4:$A$1000,ROW()-3)="","",INDEX(MASTER_DATABASE!$J$4:$J$1000,ROW()-3)&amp;"")</f>
        <v>Depends on Portal – Confirm at Shop</v>
      </c>
      <c r="V114" s="7" t="str">
        <f aca="false">IF(INDEX(MASTER_DATABASE!$A$4:$A$1000,ROW()-3)="","",INDEX(MASTER_DATABASE!$AG$4:$AG$1000,ROW()-3)&amp;"")</f>
        <v>To Verify</v>
      </c>
      <c r="W114" s="7" t="str">
        <f aca="false">IF(INDEX(MASTER_DATABASE!$A$4:$A$1000,ROW()-3)="","",INDEX(MASTER_DATABASE!$AH$4:$AH$1000,ROW()-3)&amp;"")</f>
        <v>No</v>
      </c>
      <c r="X114" s="7" t="str">
        <f aca="false">IF(INDEX(MASTER_DATABASE!$A$4:$A$1000,ROW()-3)="","",INDEX(MASTER_DATABASE!$AI$4:$AI$1000,ROW()-3)&amp;"")</f>
        <v>No</v>
      </c>
      <c r="Y114" s="7" t="str">
        <f aca="false">IF(INDEX(MASTER_DATABASE!$A$4:$A$1000,ROW()-3)="","",INDEX(MASTER_DATABASE!$AJ$4:$AJ$1000,ROW()-3)&amp;"")</f>
        <v>No</v>
      </c>
      <c r="Z114" s="7" t="str">
        <f aca="false">IF(INDEX(MASTER_DATABASE!$A$4:$A$1000,ROW()-3)="","",INDEX(MASTER_DATABASE!$AK$4:$AK$1000,ROW()-3)&amp;"")</f>
        <v>No</v>
      </c>
      <c r="AA114" s="7" t="str">
        <f aca="false">IF(INDEX(MASTER_DATABASE!$A$4:$A$1000,ROW()-3)="","",INDEX(MASTER_DATABASE!$BE$4:$BE$1000,ROW()-3)&amp;"")</f>
        <v>HIDDEN</v>
      </c>
    </row>
    <row r="115" customFormat="false" ht="57.45" hidden="false" customHeight="false" outlineLevel="0" collapsed="false">
      <c r="A115" s="11" t="str">
        <f aca="false">IF(INDEX(MASTER_DATABASE!$A$4:$A$1000,ROW()-3)="","",INDEX(MASTER_DATABASE!$A$4:$A$1000,ROW()-3)&amp;"")</f>
        <v>CSC-007</v>
      </c>
      <c r="B115" s="7" t="str">
        <f aca="false">IF(INDEX(MASTER_DATABASE!$A$4:$A$1000,ROW()-3)="","",INDEX(MASTER_DATABASE!$B$4:$B$1000,ROW()-3)&amp;"")</f>
        <v>Common Service Centre (CSC)</v>
      </c>
      <c r="C115" s="7" t="str">
        <f aca="false">IF(INDEX(MASTER_DATABASE!$A$4:$A$1000,ROW()-3)="","",INDEX(MASTER_DATABASE!$C$4:$C$1000,ROW()-3)&amp;"")</f>
        <v>Government &amp; Digital Services (CSC)</v>
      </c>
      <c r="D115" s="7" t="str">
        <f aca="false">IF(INDEX(MASTER_DATABASE!$A$4:$A$1000,ROW()-3)="","",INDEX(MASTER_DATABASE!$D$4:$D$1000,ROW()-3)&amp;"")</f>
        <v>e-Governance</v>
      </c>
      <c r="E115" s="7" t="str">
        <f aca="false">IF(INDEX(MASTER_DATABASE!$A$4:$A$1000,ROW()-3)="","",INDEX(MASTER_DATABASE!$E$4:$E$1000,ROW()-3)&amp;"")</f>
        <v>Central Public Grievance (CPGRAMS) Filing Assistance</v>
      </c>
      <c r="F115" s="7" t="str">
        <f aca="false">IF(INDEX(MASTER_DATABASE!$A$4:$A$1000,ROW()-3)="","",INDEX(MASTER_DATABASE!$F$4:$F$1000,ROW()-3)&amp;"")</f>
        <v>केंद्रीय जन शिकायत (CPGRAMS) दर्ज करने में सहायता</v>
      </c>
      <c r="G115" s="7" t="str">
        <f aca="false">IF(INDEX(MASTER_DATABASE!$A$4:$A$1000,ROW()-3)="","",INDEX(MASTER_DATABASE!$AL$4:$AL$1000,ROW()-3)&amp;"")</f>
        <v>Common Service Centre (CSC)</v>
      </c>
      <c r="H115" s="7" t="str">
        <f aca="false">IF(INDEX(MASTER_DATABASE!$A$4:$A$1000,ROW()-3)="","",INDEX(MASTER_DATABASE!$AM$4:$AM$1000,ROW()-3)&amp;"")</f>
        <v>e-Governance</v>
      </c>
      <c r="I115" s="7" t="str">
        <f aca="false">IF(INDEX(MASTER_DATABASE!$A$4:$A$1000,ROW()-3)="","",INDEX(MASTER_DATABASE!$AO$4:$AO$1000,ROW()-3)&amp;"")</f>
        <v>central-public-grievance-cpgrams-filing-assistance</v>
      </c>
      <c r="J115" s="7" t="str">
        <f aca="false">IF(INDEX(MASTER_DATABASE!$A$4:$A$1000,ROW()-3)="","",INDEX(MASTER_DATABASE!$BD$4:$BD$1000,ROW()-3)&amp;"")</f>
        <v>/services/central-public-grievance-cpgrams-filing-assistance</v>
      </c>
      <c r="K115" s="7" t="str">
        <f aca="false">IF(INDEX(MASTER_DATABASE!$A$4:$A$1000,ROW()-3)="","",INDEX(MASTER_DATABASE!$AX$4:$AX$1000,ROW()-3)&amp;"")</f>
        <v>Central Public Grievance (CPGRAMS) Filing Assistance Service | Devmobile Stores</v>
      </c>
      <c r="L115" s="7" t="str">
        <f aca="false">IF(INDEX(MASTER_DATABASE!$A$4:$A$1000,ROW()-3)="","",INDEX(MASTER_DATABASE!$AY$4:$AY$1000,ROW()-3)&amp;"")</f>
        <v>Central Public Grievance (CPGRAMS) Filing Assistance (केंद्रीय जन शिकायत (CPGRAMS) दर्ज करने में सहायता) at Devmobile Stores and Common Service Center &amp; Aadhaar Centre. Check required documents, charges and process before you visit.</v>
      </c>
      <c r="M115" s="7" t="str">
        <f aca="false">IF(INDEX(MASTER_DATABASE!$A$4:$A$1000,ROW()-3)="","",INDEX(MASTER_DATABASE!$AN$4:$AN$1000,ROW()-3)&amp;"")</f>
        <v>Central Public Grievance (CPGRAMS) Filing Assistance, Common Service Centre (CSC), Devmobile Stores, केंद्रीय जन शिकायत (CPGRAMS) दर्ज करने में सहायता, कॉमन सर्विस सेंटर (CSC), सेवा</v>
      </c>
      <c r="N115" s="7" t="str">
        <f aca="false">IF(INDEX(MASTER_DATABASE!$A$4:$A$1000,ROW()-3)="","",INDEX(MASTER_DATABASE!$AZ$4:$AZ$1000,ROW()-3)&amp;"")</f>
        <v>केंद्रीय जन शिकायत (CPGRAMS) दर्ज करने में सहायता, कॉमन सर्विस सेंटर (CSC), सेवा</v>
      </c>
      <c r="O115" s="7" t="str">
        <f aca="false">IF(INDEX(MASTER_DATABASE!$A$4:$A$1000,ROW()-3)="","",INDEX(MASTER_DATABASE!$BA$4:$BA$1000,ROW()-3)&amp;"")</f>
        <v>Central Public Grievance (CPGRAMS) Filing Assistance, Common Service Centre (CSC), Devmobile Stores</v>
      </c>
      <c r="P115" s="11" t="str">
        <f aca="false">IF(INDEX(MASTER_DATABASE!$A$4:$A$1000,ROW()-3)="","",INDEX(MASTER_DATABASE!$AP$4:$AP$1000,ROW()-3)&amp;"")</f>
        <v>🖥️</v>
      </c>
      <c r="Q115" s="7" t="str">
        <f aca="false">IF(INDEX(MASTER_DATABASE!$A$4:$A$1000,ROW()-3)="","",INDEX(MASTER_DATABASE!$BB$4:$BB$1000,ROW()-3)&amp;"")</f>
        <v/>
      </c>
      <c r="R115" s="11" t="str">
        <f aca="false">IF(INDEX(MASTER_DATABASE!$A$4:$A$1000,ROW()-3)="","",INDEX(MASTER_DATABASE!$BC$4:$BC$1000,ROW()-3)&amp;"")</f>
        <v>🖥️</v>
      </c>
      <c r="S115" s="11" t="n">
        <f aca="false">IF(INDEX(MASTER_DATABASE!$A$4:$A$1000,ROW()-3)="","",INDEX(MASTER_DATABASE!$AQ$4:$AQ$1000,ROW()-3))</f>
        <v>70</v>
      </c>
      <c r="T115" s="7" t="str">
        <f aca="false">IF(INDEX(MASTER_DATABASE!$A$4:$A$1000,ROW()-3)="","",INDEX(MASTER_DATABASE!$I$4:$I$1000,ROW()-3)&amp;"")</f>
        <v>Portal Dependent</v>
      </c>
      <c r="U115" s="7" t="str">
        <f aca="false">IF(INDEX(MASTER_DATABASE!$A$4:$A$1000,ROW()-3)="","",INDEX(MASTER_DATABASE!$J$4:$J$1000,ROW()-3)&amp;"")</f>
        <v>Depends on Portal – Confirm at Shop</v>
      </c>
      <c r="V115" s="7" t="str">
        <f aca="false">IF(INDEX(MASTER_DATABASE!$A$4:$A$1000,ROW()-3)="","",INDEX(MASTER_DATABASE!$AG$4:$AG$1000,ROW()-3)&amp;"")</f>
        <v>To Verify</v>
      </c>
      <c r="W115" s="7" t="str">
        <f aca="false">IF(INDEX(MASTER_DATABASE!$A$4:$A$1000,ROW()-3)="","",INDEX(MASTER_DATABASE!$AH$4:$AH$1000,ROW()-3)&amp;"")</f>
        <v>No</v>
      </c>
      <c r="X115" s="7" t="str">
        <f aca="false">IF(INDEX(MASTER_DATABASE!$A$4:$A$1000,ROW()-3)="","",INDEX(MASTER_DATABASE!$AI$4:$AI$1000,ROW()-3)&amp;"")</f>
        <v>No</v>
      </c>
      <c r="Y115" s="7" t="str">
        <f aca="false">IF(INDEX(MASTER_DATABASE!$A$4:$A$1000,ROW()-3)="","",INDEX(MASTER_DATABASE!$AJ$4:$AJ$1000,ROW()-3)&amp;"")</f>
        <v>No</v>
      </c>
      <c r="Z115" s="7" t="str">
        <f aca="false">IF(INDEX(MASTER_DATABASE!$A$4:$A$1000,ROW()-3)="","",INDEX(MASTER_DATABASE!$AK$4:$AK$1000,ROW()-3)&amp;"")</f>
        <v>No</v>
      </c>
      <c r="AA115" s="7" t="str">
        <f aca="false">IF(INDEX(MASTER_DATABASE!$A$4:$A$1000,ROW()-3)="","",INDEX(MASTER_DATABASE!$BE$4:$BE$1000,ROW()-3)&amp;"")</f>
        <v>HIDDEN</v>
      </c>
    </row>
    <row r="116" customFormat="false" ht="46.25" hidden="false" customHeight="false" outlineLevel="0" collapsed="false">
      <c r="A116" s="11" t="str">
        <f aca="false">IF(INDEX(MASTER_DATABASE!$A$4:$A$1000,ROW()-3)="","",INDEX(MASTER_DATABASE!$A$4:$A$1000,ROW()-3)&amp;"")</f>
        <v>CSC-008</v>
      </c>
      <c r="B116" s="7" t="str">
        <f aca="false">IF(INDEX(MASTER_DATABASE!$A$4:$A$1000,ROW()-3)="","",INDEX(MASTER_DATABASE!$B$4:$B$1000,ROW()-3)&amp;"")</f>
        <v>Common Service Centre (CSC)</v>
      </c>
      <c r="C116" s="7" t="str">
        <f aca="false">IF(INDEX(MASTER_DATABASE!$A$4:$A$1000,ROW()-3)="","",INDEX(MASTER_DATABASE!$C$4:$C$1000,ROW()-3)&amp;"")</f>
        <v>Government &amp; Digital Services (CSC)</v>
      </c>
      <c r="D116" s="7" t="str">
        <f aca="false">IF(INDEX(MASTER_DATABASE!$A$4:$A$1000,ROW()-3)="","",INDEX(MASTER_DATABASE!$D$4:$D$1000,ROW()-3)&amp;"")</f>
        <v>e-Governance</v>
      </c>
      <c r="E116" s="7" t="str">
        <f aca="false">IF(INDEX(MASTER_DATABASE!$A$4:$A$1000,ROW()-3)="","",INDEX(MASTER_DATABASE!$E$4:$E$1000,ROW()-3)&amp;"")</f>
        <v>Municipal / Property Tax Payment</v>
      </c>
      <c r="F116" s="7" t="str">
        <f aca="false">IF(INDEX(MASTER_DATABASE!$A$4:$A$1000,ROW()-3)="","",INDEX(MASTER_DATABASE!$F$4:$F$1000,ROW()-3)&amp;"")</f>
        <v>नगर निगम / संपत्ति कर भुगतान</v>
      </c>
      <c r="G116" s="7" t="str">
        <f aca="false">IF(INDEX(MASTER_DATABASE!$A$4:$A$1000,ROW()-3)="","",INDEX(MASTER_DATABASE!$AL$4:$AL$1000,ROW()-3)&amp;"")</f>
        <v>Common Service Centre (CSC)</v>
      </c>
      <c r="H116" s="7" t="str">
        <f aca="false">IF(INDEX(MASTER_DATABASE!$A$4:$A$1000,ROW()-3)="","",INDEX(MASTER_DATABASE!$AM$4:$AM$1000,ROW()-3)&amp;"")</f>
        <v>e-Governance</v>
      </c>
      <c r="I116" s="7" t="str">
        <f aca="false">IF(INDEX(MASTER_DATABASE!$A$4:$A$1000,ROW()-3)="","",INDEX(MASTER_DATABASE!$AO$4:$AO$1000,ROW()-3)&amp;"")</f>
        <v>municipal-property-tax-payment</v>
      </c>
      <c r="J116" s="7" t="str">
        <f aca="false">IF(INDEX(MASTER_DATABASE!$A$4:$A$1000,ROW()-3)="","",INDEX(MASTER_DATABASE!$BD$4:$BD$1000,ROW()-3)&amp;"")</f>
        <v>/services/municipal-property-tax-payment</v>
      </c>
      <c r="K116" s="7" t="str">
        <f aca="false">IF(INDEX(MASTER_DATABASE!$A$4:$A$1000,ROW()-3)="","",INDEX(MASTER_DATABASE!$AX$4:$AX$1000,ROW()-3)&amp;"")</f>
        <v>Municipal / Property Tax Payment Service | Devmobile Stores</v>
      </c>
      <c r="L116" s="7" t="str">
        <f aca="false">IF(INDEX(MASTER_DATABASE!$A$4:$A$1000,ROW()-3)="","",INDEX(MASTER_DATABASE!$AY$4:$AY$1000,ROW()-3)&amp;"")</f>
        <v>Municipal / Property Tax Payment (नगर निगम / संपत्ति कर भुगतान) at Devmobile Stores and Common Service Center &amp; Aadhaar Centre. Check required documents, charges and process before you visit.</v>
      </c>
      <c r="M116" s="7" t="str">
        <f aca="false">IF(INDEX(MASTER_DATABASE!$A$4:$A$1000,ROW()-3)="","",INDEX(MASTER_DATABASE!$AN$4:$AN$1000,ROW()-3)&amp;"")</f>
        <v>Municipal / Property Tax Payment, Common Service Centre (CSC), Devmobile Stores, नगर निगम / संपत्ति कर भुगतान, कॉमन सर्विस सेंटर (CSC), सेवा</v>
      </c>
      <c r="N116" s="7" t="str">
        <f aca="false">IF(INDEX(MASTER_DATABASE!$A$4:$A$1000,ROW()-3)="","",INDEX(MASTER_DATABASE!$AZ$4:$AZ$1000,ROW()-3)&amp;"")</f>
        <v>नगर निगम / संपत्ति कर भुगतान, कॉमन सर्विस सेंटर (CSC), सेवा</v>
      </c>
      <c r="O116" s="7" t="str">
        <f aca="false">IF(INDEX(MASTER_DATABASE!$A$4:$A$1000,ROW()-3)="","",INDEX(MASTER_DATABASE!$BA$4:$BA$1000,ROW()-3)&amp;"")</f>
        <v>Municipal / Property Tax Payment, Common Service Centre (CSC), Devmobile Stores</v>
      </c>
      <c r="P116" s="11" t="str">
        <f aca="false">IF(INDEX(MASTER_DATABASE!$A$4:$A$1000,ROW()-3)="","",INDEX(MASTER_DATABASE!$AP$4:$AP$1000,ROW()-3)&amp;"")</f>
        <v>🖥️</v>
      </c>
      <c r="Q116" s="7" t="str">
        <f aca="false">IF(INDEX(MASTER_DATABASE!$A$4:$A$1000,ROW()-3)="","",INDEX(MASTER_DATABASE!$BB$4:$BB$1000,ROW()-3)&amp;"")</f>
        <v/>
      </c>
      <c r="R116" s="11" t="str">
        <f aca="false">IF(INDEX(MASTER_DATABASE!$A$4:$A$1000,ROW()-3)="","",INDEX(MASTER_DATABASE!$BC$4:$BC$1000,ROW()-3)&amp;"")</f>
        <v>🖥️</v>
      </c>
      <c r="S116" s="11" t="n">
        <f aca="false">IF(INDEX(MASTER_DATABASE!$A$4:$A$1000,ROW()-3)="","",INDEX(MASTER_DATABASE!$AQ$4:$AQ$1000,ROW()-3))</f>
        <v>80</v>
      </c>
      <c r="T116" s="7" t="str">
        <f aca="false">IF(INDEX(MASTER_DATABASE!$A$4:$A$1000,ROW()-3)="","",INDEX(MASTER_DATABASE!$I$4:$I$1000,ROW()-3)&amp;"")</f>
        <v>Portal Dependent</v>
      </c>
      <c r="U116" s="7" t="str">
        <f aca="false">IF(INDEX(MASTER_DATABASE!$A$4:$A$1000,ROW()-3)="","",INDEX(MASTER_DATABASE!$J$4:$J$1000,ROW()-3)&amp;"")</f>
        <v>Depends on Portal – Confirm at Shop</v>
      </c>
      <c r="V116" s="7" t="str">
        <f aca="false">IF(INDEX(MASTER_DATABASE!$A$4:$A$1000,ROW()-3)="","",INDEX(MASTER_DATABASE!$AG$4:$AG$1000,ROW()-3)&amp;"")</f>
        <v>To Verify</v>
      </c>
      <c r="W116" s="7" t="str">
        <f aca="false">IF(INDEX(MASTER_DATABASE!$A$4:$A$1000,ROW()-3)="","",INDEX(MASTER_DATABASE!$AH$4:$AH$1000,ROW()-3)&amp;"")</f>
        <v>No</v>
      </c>
      <c r="X116" s="7" t="str">
        <f aca="false">IF(INDEX(MASTER_DATABASE!$A$4:$A$1000,ROW()-3)="","",INDEX(MASTER_DATABASE!$AI$4:$AI$1000,ROW()-3)&amp;"")</f>
        <v>No</v>
      </c>
      <c r="Y116" s="7" t="str">
        <f aca="false">IF(INDEX(MASTER_DATABASE!$A$4:$A$1000,ROW()-3)="","",INDEX(MASTER_DATABASE!$AJ$4:$AJ$1000,ROW()-3)&amp;"")</f>
        <v>No</v>
      </c>
      <c r="Z116" s="7" t="str">
        <f aca="false">IF(INDEX(MASTER_DATABASE!$A$4:$A$1000,ROW()-3)="","",INDEX(MASTER_DATABASE!$AK$4:$AK$1000,ROW()-3)&amp;"")</f>
        <v>No</v>
      </c>
      <c r="AA116" s="7" t="str">
        <f aca="false">IF(INDEX(MASTER_DATABASE!$A$4:$A$1000,ROW()-3)="","",INDEX(MASTER_DATABASE!$BE$4:$BE$1000,ROW()-3)&amp;"")</f>
        <v>HIDDEN</v>
      </c>
    </row>
    <row r="117" customFormat="false" ht="46.25" hidden="false" customHeight="false" outlineLevel="0" collapsed="false">
      <c r="A117" s="11" t="str">
        <f aca="false">IF(INDEX(MASTER_DATABASE!$A$4:$A$1000,ROW()-3)="","",INDEX(MASTER_DATABASE!$A$4:$A$1000,ROW()-3)&amp;"")</f>
        <v>CSC-009</v>
      </c>
      <c r="B117" s="7" t="str">
        <f aca="false">IF(INDEX(MASTER_DATABASE!$A$4:$A$1000,ROW()-3)="","",INDEX(MASTER_DATABASE!$B$4:$B$1000,ROW()-3)&amp;"")</f>
        <v>Common Service Centre (CSC)</v>
      </c>
      <c r="C117" s="7" t="str">
        <f aca="false">IF(INDEX(MASTER_DATABASE!$A$4:$A$1000,ROW()-3)="","",INDEX(MASTER_DATABASE!$C$4:$C$1000,ROW()-3)&amp;"")</f>
        <v>Government &amp; Digital Services (CSC)</v>
      </c>
      <c r="D117" s="7" t="str">
        <f aca="false">IF(INDEX(MASTER_DATABASE!$A$4:$A$1000,ROW()-3)="","",INDEX(MASTER_DATABASE!$D$4:$D$1000,ROW()-3)&amp;"")</f>
        <v>Government Schemes</v>
      </c>
      <c r="E117" s="7" t="str">
        <f aca="false">IF(INDEX(MASTER_DATABASE!$A$4:$A$1000,ROW()-3)="","",INDEX(MASTER_DATABASE!$E$4:$E$1000,ROW()-3)&amp;"")</f>
        <v>PM-Kisan Registration &amp; eKYC</v>
      </c>
      <c r="F117" s="7" t="str">
        <f aca="false">IF(INDEX(MASTER_DATABASE!$A$4:$A$1000,ROW()-3)="","",INDEX(MASTER_DATABASE!$F$4:$F$1000,ROW()-3)&amp;"")</f>
        <v>PM-किसान पंजीकरण व eKYC</v>
      </c>
      <c r="G117" s="7" t="str">
        <f aca="false">IF(INDEX(MASTER_DATABASE!$A$4:$A$1000,ROW()-3)="","",INDEX(MASTER_DATABASE!$AL$4:$AL$1000,ROW()-3)&amp;"")</f>
        <v>Common Service Centre (CSC)</v>
      </c>
      <c r="H117" s="7" t="str">
        <f aca="false">IF(INDEX(MASTER_DATABASE!$A$4:$A$1000,ROW()-3)="","",INDEX(MASTER_DATABASE!$AM$4:$AM$1000,ROW()-3)&amp;"")</f>
        <v>Government Schemes</v>
      </c>
      <c r="I117" s="7" t="str">
        <f aca="false">IF(INDEX(MASTER_DATABASE!$A$4:$A$1000,ROW()-3)="","",INDEX(MASTER_DATABASE!$AO$4:$AO$1000,ROW()-3)&amp;"")</f>
        <v>pm-kisan-registration-ekyc</v>
      </c>
      <c r="J117" s="7" t="str">
        <f aca="false">IF(INDEX(MASTER_DATABASE!$A$4:$A$1000,ROW()-3)="","",INDEX(MASTER_DATABASE!$BD$4:$BD$1000,ROW()-3)&amp;"")</f>
        <v>/services/pm-kisan-registration-ekyc</v>
      </c>
      <c r="K117" s="7" t="str">
        <f aca="false">IF(INDEX(MASTER_DATABASE!$A$4:$A$1000,ROW()-3)="","",INDEX(MASTER_DATABASE!$AX$4:$AX$1000,ROW()-3)&amp;"")</f>
        <v>PM-Kisan Registration &amp; eKYC Service | Devmobile Stores</v>
      </c>
      <c r="L117" s="7" t="str">
        <f aca="false">IF(INDEX(MASTER_DATABASE!$A$4:$A$1000,ROW()-3)="","",INDEX(MASTER_DATABASE!$AY$4:$AY$1000,ROW()-3)&amp;"")</f>
        <v>PM-Kisan Registration &amp; eKYC (PM-किसान पंजीकरण व eKYC) at Devmobile Stores and Common Service Center &amp; Aadhaar Centre. Check required documents, charges and process before you visit.</v>
      </c>
      <c r="M117" s="7" t="str">
        <f aca="false">IF(INDEX(MASTER_DATABASE!$A$4:$A$1000,ROW()-3)="","",INDEX(MASTER_DATABASE!$AN$4:$AN$1000,ROW()-3)&amp;"")</f>
        <v>PM-Kisan Registration &amp; eKYC, Common Service Centre (CSC), Devmobile Stores, PM-किसान पंजीकरण व eKYC, कॉमन सर्विस सेंटर (CSC), सेवा</v>
      </c>
      <c r="N117" s="7" t="str">
        <f aca="false">IF(INDEX(MASTER_DATABASE!$A$4:$A$1000,ROW()-3)="","",INDEX(MASTER_DATABASE!$AZ$4:$AZ$1000,ROW()-3)&amp;"")</f>
        <v>PM-किसान पंजीकरण व eKYC, कॉमन सर्विस सेंटर (CSC), सेवा</v>
      </c>
      <c r="O117" s="7" t="str">
        <f aca="false">IF(INDEX(MASTER_DATABASE!$A$4:$A$1000,ROW()-3)="","",INDEX(MASTER_DATABASE!$BA$4:$BA$1000,ROW()-3)&amp;"")</f>
        <v>PM-Kisan Registration &amp; eKYC, Common Service Centre (CSC), Devmobile Stores</v>
      </c>
      <c r="P117" s="11" t="str">
        <f aca="false">IF(INDEX(MASTER_DATABASE!$A$4:$A$1000,ROW()-3)="","",INDEX(MASTER_DATABASE!$AP$4:$AP$1000,ROW()-3)&amp;"")</f>
        <v>🤝</v>
      </c>
      <c r="Q117" s="7" t="str">
        <f aca="false">IF(INDEX(MASTER_DATABASE!$A$4:$A$1000,ROW()-3)="","",INDEX(MASTER_DATABASE!$BB$4:$BB$1000,ROW()-3)&amp;"")</f>
        <v/>
      </c>
      <c r="R117" s="11" t="str">
        <f aca="false">IF(INDEX(MASTER_DATABASE!$A$4:$A$1000,ROW()-3)="","",INDEX(MASTER_DATABASE!$BC$4:$BC$1000,ROW()-3)&amp;"")</f>
        <v>🖥️</v>
      </c>
      <c r="S117" s="11" t="n">
        <f aca="false">IF(INDEX(MASTER_DATABASE!$A$4:$A$1000,ROW()-3)="","",INDEX(MASTER_DATABASE!$AQ$4:$AQ$1000,ROW()-3))</f>
        <v>90</v>
      </c>
      <c r="T117" s="7" t="str">
        <f aca="false">IF(INDEX(MASTER_DATABASE!$A$4:$A$1000,ROW()-3)="","",INDEX(MASTER_DATABASE!$I$4:$I$1000,ROW()-3)&amp;"")</f>
        <v>Portal Dependent</v>
      </c>
      <c r="U117" s="7" t="str">
        <f aca="false">IF(INDEX(MASTER_DATABASE!$A$4:$A$1000,ROW()-3)="","",INDEX(MASTER_DATABASE!$J$4:$J$1000,ROW()-3)&amp;"")</f>
        <v>Depends on Portal – Confirm at Shop</v>
      </c>
      <c r="V117" s="7" t="str">
        <f aca="false">IF(INDEX(MASTER_DATABASE!$A$4:$A$1000,ROW()-3)="","",INDEX(MASTER_DATABASE!$AG$4:$AG$1000,ROW()-3)&amp;"")</f>
        <v>To Verify</v>
      </c>
      <c r="W117" s="7" t="str">
        <f aca="false">IF(INDEX(MASTER_DATABASE!$A$4:$A$1000,ROW()-3)="","",INDEX(MASTER_DATABASE!$AH$4:$AH$1000,ROW()-3)&amp;"")</f>
        <v>No</v>
      </c>
      <c r="X117" s="7" t="str">
        <f aca="false">IF(INDEX(MASTER_DATABASE!$A$4:$A$1000,ROW()-3)="","",INDEX(MASTER_DATABASE!$AI$4:$AI$1000,ROW()-3)&amp;"")</f>
        <v>No</v>
      </c>
      <c r="Y117" s="7" t="str">
        <f aca="false">IF(INDEX(MASTER_DATABASE!$A$4:$A$1000,ROW()-3)="","",INDEX(MASTER_DATABASE!$AJ$4:$AJ$1000,ROW()-3)&amp;"")</f>
        <v>No</v>
      </c>
      <c r="Z117" s="7" t="str">
        <f aca="false">IF(INDEX(MASTER_DATABASE!$A$4:$A$1000,ROW()-3)="","",INDEX(MASTER_DATABASE!$AK$4:$AK$1000,ROW()-3)&amp;"")</f>
        <v>No</v>
      </c>
      <c r="AA117" s="7" t="str">
        <f aca="false">IF(INDEX(MASTER_DATABASE!$A$4:$A$1000,ROW()-3)="","",INDEX(MASTER_DATABASE!$BE$4:$BE$1000,ROW()-3)&amp;"")</f>
        <v>HIDDEN</v>
      </c>
    </row>
    <row r="118" customFormat="false" ht="46.25" hidden="false" customHeight="false" outlineLevel="0" collapsed="false">
      <c r="A118" s="11" t="str">
        <f aca="false">IF(INDEX(MASTER_DATABASE!$A$4:$A$1000,ROW()-3)="","",INDEX(MASTER_DATABASE!$A$4:$A$1000,ROW()-3)&amp;"")</f>
        <v>CSC-010</v>
      </c>
      <c r="B118" s="7" t="str">
        <f aca="false">IF(INDEX(MASTER_DATABASE!$A$4:$A$1000,ROW()-3)="","",INDEX(MASTER_DATABASE!$B$4:$B$1000,ROW()-3)&amp;"")</f>
        <v>Common Service Centre (CSC)</v>
      </c>
      <c r="C118" s="7" t="str">
        <f aca="false">IF(INDEX(MASTER_DATABASE!$A$4:$A$1000,ROW()-3)="","",INDEX(MASTER_DATABASE!$C$4:$C$1000,ROW()-3)&amp;"")</f>
        <v>Government &amp; Digital Services (CSC)</v>
      </c>
      <c r="D118" s="7" t="str">
        <f aca="false">IF(INDEX(MASTER_DATABASE!$A$4:$A$1000,ROW()-3)="","",INDEX(MASTER_DATABASE!$D$4:$D$1000,ROW()-3)&amp;"")</f>
        <v>Government Schemes</v>
      </c>
      <c r="E118" s="7" t="str">
        <f aca="false">IF(INDEX(MASTER_DATABASE!$A$4:$A$1000,ROW()-3)="","",INDEX(MASTER_DATABASE!$E$4:$E$1000,ROW()-3)&amp;"")</f>
        <v>e-Shram Card Registration</v>
      </c>
      <c r="F118" s="7" t="str">
        <f aca="false">IF(INDEX(MASTER_DATABASE!$A$4:$A$1000,ROW()-3)="","",INDEX(MASTER_DATABASE!$F$4:$F$1000,ROW()-3)&amp;"")</f>
        <v>e-श्रम कार्ड पंजीकरण</v>
      </c>
      <c r="G118" s="7" t="str">
        <f aca="false">IF(INDEX(MASTER_DATABASE!$A$4:$A$1000,ROW()-3)="","",INDEX(MASTER_DATABASE!$AL$4:$AL$1000,ROW()-3)&amp;"")</f>
        <v>Common Service Centre (CSC)</v>
      </c>
      <c r="H118" s="7" t="str">
        <f aca="false">IF(INDEX(MASTER_DATABASE!$A$4:$A$1000,ROW()-3)="","",INDEX(MASTER_DATABASE!$AM$4:$AM$1000,ROW()-3)&amp;"")</f>
        <v>Government Schemes</v>
      </c>
      <c r="I118" s="7" t="str">
        <f aca="false">IF(INDEX(MASTER_DATABASE!$A$4:$A$1000,ROW()-3)="","",INDEX(MASTER_DATABASE!$AO$4:$AO$1000,ROW()-3)&amp;"")</f>
        <v>e-shram-card-registration</v>
      </c>
      <c r="J118" s="7" t="str">
        <f aca="false">IF(INDEX(MASTER_DATABASE!$A$4:$A$1000,ROW()-3)="","",INDEX(MASTER_DATABASE!$BD$4:$BD$1000,ROW()-3)&amp;"")</f>
        <v>/services/e-shram-card-registration</v>
      </c>
      <c r="K118" s="7" t="str">
        <f aca="false">IF(INDEX(MASTER_DATABASE!$A$4:$A$1000,ROW()-3)="","",INDEX(MASTER_DATABASE!$AX$4:$AX$1000,ROW()-3)&amp;"")</f>
        <v>e-Shram Card Registration Service | Devmobile Stores</v>
      </c>
      <c r="L118" s="7" t="str">
        <f aca="false">IF(INDEX(MASTER_DATABASE!$A$4:$A$1000,ROW()-3)="","",INDEX(MASTER_DATABASE!$AY$4:$AY$1000,ROW()-3)&amp;"")</f>
        <v>e-Shram Card Registration (e-श्रम कार्ड पंजीकरण) at Devmobile Stores and Common Service Center &amp; Aadhaar Centre. Check required documents, charges and process before you visit.</v>
      </c>
      <c r="M118" s="7" t="str">
        <f aca="false">IF(INDEX(MASTER_DATABASE!$A$4:$A$1000,ROW()-3)="","",INDEX(MASTER_DATABASE!$AN$4:$AN$1000,ROW()-3)&amp;"")</f>
        <v>e-Shram Card Registration, Common Service Centre (CSC), Devmobile Stores, e-श्रम कार्ड पंजीकरण, कॉमन सर्विस सेंटर (CSC), सेवा</v>
      </c>
      <c r="N118" s="7" t="str">
        <f aca="false">IF(INDEX(MASTER_DATABASE!$A$4:$A$1000,ROW()-3)="","",INDEX(MASTER_DATABASE!$AZ$4:$AZ$1000,ROW()-3)&amp;"")</f>
        <v>e-श्रम कार्ड पंजीकरण, कॉमन सर्विस सेंटर (CSC), सेवा</v>
      </c>
      <c r="O118" s="7" t="str">
        <f aca="false">IF(INDEX(MASTER_DATABASE!$A$4:$A$1000,ROW()-3)="","",INDEX(MASTER_DATABASE!$BA$4:$BA$1000,ROW()-3)&amp;"")</f>
        <v>e-Shram Card Registration, Common Service Centre (CSC), Devmobile Stores</v>
      </c>
      <c r="P118" s="11" t="str">
        <f aca="false">IF(INDEX(MASTER_DATABASE!$A$4:$A$1000,ROW()-3)="","",INDEX(MASTER_DATABASE!$AP$4:$AP$1000,ROW()-3)&amp;"")</f>
        <v>🤝</v>
      </c>
      <c r="Q118" s="7" t="str">
        <f aca="false">IF(INDEX(MASTER_DATABASE!$A$4:$A$1000,ROW()-3)="","",INDEX(MASTER_DATABASE!$BB$4:$BB$1000,ROW()-3)&amp;"")</f>
        <v/>
      </c>
      <c r="R118" s="11" t="str">
        <f aca="false">IF(INDEX(MASTER_DATABASE!$A$4:$A$1000,ROW()-3)="","",INDEX(MASTER_DATABASE!$BC$4:$BC$1000,ROW()-3)&amp;"")</f>
        <v>🖥️</v>
      </c>
      <c r="S118" s="11" t="n">
        <f aca="false">IF(INDEX(MASTER_DATABASE!$A$4:$A$1000,ROW()-3)="","",INDEX(MASTER_DATABASE!$AQ$4:$AQ$1000,ROW()-3))</f>
        <v>100</v>
      </c>
      <c r="T118" s="7" t="str">
        <f aca="false">IF(INDEX(MASTER_DATABASE!$A$4:$A$1000,ROW()-3)="","",INDEX(MASTER_DATABASE!$I$4:$I$1000,ROW()-3)&amp;"")</f>
        <v>Portal Dependent</v>
      </c>
      <c r="U118" s="7" t="str">
        <f aca="false">IF(INDEX(MASTER_DATABASE!$A$4:$A$1000,ROW()-3)="","",INDEX(MASTER_DATABASE!$J$4:$J$1000,ROW()-3)&amp;"")</f>
        <v>Depends on Portal – Confirm at Shop</v>
      </c>
      <c r="V118" s="7" t="str">
        <f aca="false">IF(INDEX(MASTER_DATABASE!$A$4:$A$1000,ROW()-3)="","",INDEX(MASTER_DATABASE!$AG$4:$AG$1000,ROW()-3)&amp;"")</f>
        <v>To Verify</v>
      </c>
      <c r="W118" s="7" t="str">
        <f aca="false">IF(INDEX(MASTER_DATABASE!$A$4:$A$1000,ROW()-3)="","",INDEX(MASTER_DATABASE!$AH$4:$AH$1000,ROW()-3)&amp;"")</f>
        <v>No</v>
      </c>
      <c r="X118" s="7" t="str">
        <f aca="false">IF(INDEX(MASTER_DATABASE!$A$4:$A$1000,ROW()-3)="","",INDEX(MASTER_DATABASE!$AI$4:$AI$1000,ROW()-3)&amp;"")</f>
        <v>No</v>
      </c>
      <c r="Y118" s="7" t="str">
        <f aca="false">IF(INDEX(MASTER_DATABASE!$A$4:$A$1000,ROW()-3)="","",INDEX(MASTER_DATABASE!$AJ$4:$AJ$1000,ROW()-3)&amp;"")</f>
        <v>No</v>
      </c>
      <c r="Z118" s="7" t="str">
        <f aca="false">IF(INDEX(MASTER_DATABASE!$A$4:$A$1000,ROW()-3)="","",INDEX(MASTER_DATABASE!$AK$4:$AK$1000,ROW()-3)&amp;"")</f>
        <v>No</v>
      </c>
      <c r="AA118" s="7" t="str">
        <f aca="false">IF(INDEX(MASTER_DATABASE!$A$4:$A$1000,ROW()-3)="","",INDEX(MASTER_DATABASE!$BE$4:$BE$1000,ROW()-3)&amp;"")</f>
        <v>HIDDEN</v>
      </c>
    </row>
    <row r="119" customFormat="false" ht="57.45" hidden="false" customHeight="false" outlineLevel="0" collapsed="false">
      <c r="A119" s="11" t="str">
        <f aca="false">IF(INDEX(MASTER_DATABASE!$A$4:$A$1000,ROW()-3)="","",INDEX(MASTER_DATABASE!$A$4:$A$1000,ROW()-3)&amp;"")</f>
        <v>CSC-011</v>
      </c>
      <c r="B119" s="7" t="str">
        <f aca="false">IF(INDEX(MASTER_DATABASE!$A$4:$A$1000,ROW()-3)="","",INDEX(MASTER_DATABASE!$B$4:$B$1000,ROW()-3)&amp;"")</f>
        <v>Common Service Centre (CSC)</v>
      </c>
      <c r="C119" s="7" t="str">
        <f aca="false">IF(INDEX(MASTER_DATABASE!$A$4:$A$1000,ROW()-3)="","",INDEX(MASTER_DATABASE!$C$4:$C$1000,ROW()-3)&amp;"")</f>
        <v>Government &amp; Digital Services (CSC)</v>
      </c>
      <c r="D119" s="7" t="str">
        <f aca="false">IF(INDEX(MASTER_DATABASE!$A$4:$A$1000,ROW()-3)="","",INDEX(MASTER_DATABASE!$D$4:$D$1000,ROW()-3)&amp;"")</f>
        <v>Government Schemes</v>
      </c>
      <c r="E119" s="7" t="str">
        <f aca="false">IF(INDEX(MASTER_DATABASE!$A$4:$A$1000,ROW()-3)="","",INDEX(MASTER_DATABASE!$E$4:$E$1000,ROW()-3)&amp;"")</f>
        <v>Ayushman Bharat (PM-JAY) Card Registration</v>
      </c>
      <c r="F119" s="7" t="str">
        <f aca="false">IF(INDEX(MASTER_DATABASE!$A$4:$A$1000,ROW()-3)="","",INDEX(MASTER_DATABASE!$F$4:$F$1000,ROW()-3)&amp;"")</f>
        <v>आयुष्मान भारत (PM-JAY) कार्ड पंजीकरण</v>
      </c>
      <c r="G119" s="7" t="str">
        <f aca="false">IF(INDEX(MASTER_DATABASE!$A$4:$A$1000,ROW()-3)="","",INDEX(MASTER_DATABASE!$AL$4:$AL$1000,ROW()-3)&amp;"")</f>
        <v>Common Service Centre (CSC)</v>
      </c>
      <c r="H119" s="7" t="str">
        <f aca="false">IF(INDEX(MASTER_DATABASE!$A$4:$A$1000,ROW()-3)="","",INDEX(MASTER_DATABASE!$AM$4:$AM$1000,ROW()-3)&amp;"")</f>
        <v>Government Schemes</v>
      </c>
      <c r="I119" s="7" t="str">
        <f aca="false">IF(INDEX(MASTER_DATABASE!$A$4:$A$1000,ROW()-3)="","",INDEX(MASTER_DATABASE!$AO$4:$AO$1000,ROW()-3)&amp;"")</f>
        <v>ayushman-bharat-pm-jay-card-registration</v>
      </c>
      <c r="J119" s="7" t="str">
        <f aca="false">IF(INDEX(MASTER_DATABASE!$A$4:$A$1000,ROW()-3)="","",INDEX(MASTER_DATABASE!$BD$4:$BD$1000,ROW()-3)&amp;"")</f>
        <v>/services/ayushman-bharat-pm-jay-card-registration</v>
      </c>
      <c r="K119" s="7" t="str">
        <f aca="false">IF(INDEX(MASTER_DATABASE!$A$4:$A$1000,ROW()-3)="","",INDEX(MASTER_DATABASE!$AX$4:$AX$1000,ROW()-3)&amp;"")</f>
        <v>Ayushman Bharat (PM-JAY) Card Registration Service | Devmobile Stores</v>
      </c>
      <c r="L119" s="7" t="str">
        <f aca="false">IF(INDEX(MASTER_DATABASE!$A$4:$A$1000,ROW()-3)="","",INDEX(MASTER_DATABASE!$AY$4:$AY$1000,ROW()-3)&amp;"")</f>
        <v>Ayushman Bharat (PM-JAY) Card Registration (आयुष्मान भारत (PM-JAY) कार्ड पंजीकरण) at Devmobile Stores and Common Service Center &amp; Aadhaar Centre. Check required documents, charges and process before you visit.</v>
      </c>
      <c r="M119" s="7" t="str">
        <f aca="false">IF(INDEX(MASTER_DATABASE!$A$4:$A$1000,ROW()-3)="","",INDEX(MASTER_DATABASE!$AN$4:$AN$1000,ROW()-3)&amp;"")</f>
        <v>Ayushman Bharat (PM-JAY) Card Registration, Common Service Centre (CSC), Devmobile Stores, आयुष्मान भारत (PM-JAY) कार्ड पंजीकरण, कॉमन सर्विस सेंटर (CSC), सेवा</v>
      </c>
      <c r="N119" s="7" t="str">
        <f aca="false">IF(INDEX(MASTER_DATABASE!$A$4:$A$1000,ROW()-3)="","",INDEX(MASTER_DATABASE!$AZ$4:$AZ$1000,ROW()-3)&amp;"")</f>
        <v>आयुष्मान भारत (PM-JAY) कार्ड पंजीकरण, कॉमन सर्विस सेंटर (CSC), सेवा</v>
      </c>
      <c r="O119" s="7" t="str">
        <f aca="false">IF(INDEX(MASTER_DATABASE!$A$4:$A$1000,ROW()-3)="","",INDEX(MASTER_DATABASE!$BA$4:$BA$1000,ROW()-3)&amp;"")</f>
        <v>Ayushman Bharat (PM-JAY) Card Registration, Common Service Centre (CSC), Devmobile Stores</v>
      </c>
      <c r="P119" s="11" t="str">
        <f aca="false">IF(INDEX(MASTER_DATABASE!$A$4:$A$1000,ROW()-3)="","",INDEX(MASTER_DATABASE!$AP$4:$AP$1000,ROW()-3)&amp;"")</f>
        <v>🤝</v>
      </c>
      <c r="Q119" s="7" t="str">
        <f aca="false">IF(INDEX(MASTER_DATABASE!$A$4:$A$1000,ROW()-3)="","",INDEX(MASTER_DATABASE!$BB$4:$BB$1000,ROW()-3)&amp;"")</f>
        <v/>
      </c>
      <c r="R119" s="11" t="str">
        <f aca="false">IF(INDEX(MASTER_DATABASE!$A$4:$A$1000,ROW()-3)="","",INDEX(MASTER_DATABASE!$BC$4:$BC$1000,ROW()-3)&amp;"")</f>
        <v>🖥️</v>
      </c>
      <c r="S119" s="11" t="n">
        <f aca="false">IF(INDEX(MASTER_DATABASE!$A$4:$A$1000,ROW()-3)="","",INDEX(MASTER_DATABASE!$AQ$4:$AQ$1000,ROW()-3))</f>
        <v>110</v>
      </c>
      <c r="T119" s="7" t="str">
        <f aca="false">IF(INDEX(MASTER_DATABASE!$A$4:$A$1000,ROW()-3)="","",INDEX(MASTER_DATABASE!$I$4:$I$1000,ROW()-3)&amp;"")</f>
        <v>Portal Dependent</v>
      </c>
      <c r="U119" s="7" t="str">
        <f aca="false">IF(INDEX(MASTER_DATABASE!$A$4:$A$1000,ROW()-3)="","",INDEX(MASTER_DATABASE!$J$4:$J$1000,ROW()-3)&amp;"")</f>
        <v>Depends on Portal – Confirm at Shop</v>
      </c>
      <c r="V119" s="7" t="str">
        <f aca="false">IF(INDEX(MASTER_DATABASE!$A$4:$A$1000,ROW()-3)="","",INDEX(MASTER_DATABASE!$AG$4:$AG$1000,ROW()-3)&amp;"")</f>
        <v>To Verify</v>
      </c>
      <c r="W119" s="7" t="str">
        <f aca="false">IF(INDEX(MASTER_DATABASE!$A$4:$A$1000,ROW()-3)="","",INDEX(MASTER_DATABASE!$AH$4:$AH$1000,ROW()-3)&amp;"")</f>
        <v>No</v>
      </c>
      <c r="X119" s="7" t="str">
        <f aca="false">IF(INDEX(MASTER_DATABASE!$A$4:$A$1000,ROW()-3)="","",INDEX(MASTER_DATABASE!$AI$4:$AI$1000,ROW()-3)&amp;"")</f>
        <v>No</v>
      </c>
      <c r="Y119" s="7" t="str">
        <f aca="false">IF(INDEX(MASTER_DATABASE!$A$4:$A$1000,ROW()-3)="","",INDEX(MASTER_DATABASE!$AJ$4:$AJ$1000,ROW()-3)&amp;"")</f>
        <v>No</v>
      </c>
      <c r="Z119" s="7" t="str">
        <f aca="false">IF(INDEX(MASTER_DATABASE!$A$4:$A$1000,ROW()-3)="","",INDEX(MASTER_DATABASE!$AK$4:$AK$1000,ROW()-3)&amp;"")</f>
        <v>No</v>
      </c>
      <c r="AA119" s="7" t="str">
        <f aca="false">IF(INDEX(MASTER_DATABASE!$A$4:$A$1000,ROW()-3)="","",INDEX(MASTER_DATABASE!$BE$4:$BE$1000,ROW()-3)&amp;"")</f>
        <v>HIDDEN</v>
      </c>
    </row>
    <row r="120" customFormat="false" ht="46.25" hidden="false" customHeight="false" outlineLevel="0" collapsed="false">
      <c r="A120" s="11" t="str">
        <f aca="false">IF(INDEX(MASTER_DATABASE!$A$4:$A$1000,ROW()-3)="","",INDEX(MASTER_DATABASE!$A$4:$A$1000,ROW()-3)&amp;"")</f>
        <v>CSC-012</v>
      </c>
      <c r="B120" s="7" t="str">
        <f aca="false">IF(INDEX(MASTER_DATABASE!$A$4:$A$1000,ROW()-3)="","",INDEX(MASTER_DATABASE!$B$4:$B$1000,ROW()-3)&amp;"")</f>
        <v>Common Service Centre (CSC)</v>
      </c>
      <c r="C120" s="7" t="str">
        <f aca="false">IF(INDEX(MASTER_DATABASE!$A$4:$A$1000,ROW()-3)="","",INDEX(MASTER_DATABASE!$C$4:$C$1000,ROW()-3)&amp;"")</f>
        <v>Government &amp; Digital Services (CSC)</v>
      </c>
      <c r="D120" s="7" t="str">
        <f aca="false">IF(INDEX(MASTER_DATABASE!$A$4:$A$1000,ROW()-3)="","",INDEX(MASTER_DATABASE!$D$4:$D$1000,ROW()-3)&amp;"")</f>
        <v>Government Schemes</v>
      </c>
      <c r="E120" s="7" t="str">
        <f aca="false">IF(INDEX(MASTER_DATABASE!$A$4:$A$1000,ROW()-3)="","",INDEX(MASTER_DATABASE!$E$4:$E$1000,ROW()-3)&amp;"")</f>
        <v>ABHA (Health ID) Creation</v>
      </c>
      <c r="F120" s="7" t="str">
        <f aca="false">IF(INDEX(MASTER_DATABASE!$A$4:$A$1000,ROW()-3)="","",INDEX(MASTER_DATABASE!$F$4:$F$1000,ROW()-3)&amp;"")</f>
        <v>ABHA (हेल्थ आईडी) निर्माण</v>
      </c>
      <c r="G120" s="7" t="str">
        <f aca="false">IF(INDEX(MASTER_DATABASE!$A$4:$A$1000,ROW()-3)="","",INDEX(MASTER_DATABASE!$AL$4:$AL$1000,ROW()-3)&amp;"")</f>
        <v>Common Service Centre (CSC)</v>
      </c>
      <c r="H120" s="7" t="str">
        <f aca="false">IF(INDEX(MASTER_DATABASE!$A$4:$A$1000,ROW()-3)="","",INDEX(MASTER_DATABASE!$AM$4:$AM$1000,ROW()-3)&amp;"")</f>
        <v>Government Schemes</v>
      </c>
      <c r="I120" s="7" t="str">
        <f aca="false">IF(INDEX(MASTER_DATABASE!$A$4:$A$1000,ROW()-3)="","",INDEX(MASTER_DATABASE!$AO$4:$AO$1000,ROW()-3)&amp;"")</f>
        <v>abha-health-id-creation</v>
      </c>
      <c r="J120" s="7" t="str">
        <f aca="false">IF(INDEX(MASTER_DATABASE!$A$4:$A$1000,ROW()-3)="","",INDEX(MASTER_DATABASE!$BD$4:$BD$1000,ROW()-3)&amp;"")</f>
        <v>/services/abha-health-id-creation</v>
      </c>
      <c r="K120" s="7" t="str">
        <f aca="false">IF(INDEX(MASTER_DATABASE!$A$4:$A$1000,ROW()-3)="","",INDEX(MASTER_DATABASE!$AX$4:$AX$1000,ROW()-3)&amp;"")</f>
        <v>ABHA (Health ID) Creation Service | Devmobile Stores</v>
      </c>
      <c r="L120" s="7" t="str">
        <f aca="false">IF(INDEX(MASTER_DATABASE!$A$4:$A$1000,ROW()-3)="","",INDEX(MASTER_DATABASE!$AY$4:$AY$1000,ROW()-3)&amp;"")</f>
        <v>ABHA (Health ID) Creation (ABHA (हेल्थ आईडी) निर्माण) at Devmobile Stores and Common Service Center &amp; Aadhaar Centre. Check required documents, charges and process before you visit.</v>
      </c>
      <c r="M120" s="7" t="str">
        <f aca="false">IF(INDEX(MASTER_DATABASE!$A$4:$A$1000,ROW()-3)="","",INDEX(MASTER_DATABASE!$AN$4:$AN$1000,ROW()-3)&amp;"")</f>
        <v>ABHA (Health ID) Creation, Common Service Centre (CSC), Devmobile Stores, ABHA (हेल्थ आईडी) निर्माण, कॉमन सर्विस सेंटर (CSC), सेवा</v>
      </c>
      <c r="N120" s="7" t="str">
        <f aca="false">IF(INDEX(MASTER_DATABASE!$A$4:$A$1000,ROW()-3)="","",INDEX(MASTER_DATABASE!$AZ$4:$AZ$1000,ROW()-3)&amp;"")</f>
        <v>ABHA (हेल्थ आईडी) निर्माण, कॉमन सर्विस सेंटर (CSC), सेवा</v>
      </c>
      <c r="O120" s="7" t="str">
        <f aca="false">IF(INDEX(MASTER_DATABASE!$A$4:$A$1000,ROW()-3)="","",INDEX(MASTER_DATABASE!$BA$4:$BA$1000,ROW()-3)&amp;"")</f>
        <v>ABHA (Health ID) Creation, Common Service Centre (CSC), Devmobile Stores</v>
      </c>
      <c r="P120" s="11" t="str">
        <f aca="false">IF(INDEX(MASTER_DATABASE!$A$4:$A$1000,ROW()-3)="","",INDEX(MASTER_DATABASE!$AP$4:$AP$1000,ROW()-3)&amp;"")</f>
        <v>🤝</v>
      </c>
      <c r="Q120" s="7" t="str">
        <f aca="false">IF(INDEX(MASTER_DATABASE!$A$4:$A$1000,ROW()-3)="","",INDEX(MASTER_DATABASE!$BB$4:$BB$1000,ROW()-3)&amp;"")</f>
        <v/>
      </c>
      <c r="R120" s="11" t="str">
        <f aca="false">IF(INDEX(MASTER_DATABASE!$A$4:$A$1000,ROW()-3)="","",INDEX(MASTER_DATABASE!$BC$4:$BC$1000,ROW()-3)&amp;"")</f>
        <v>🖥️</v>
      </c>
      <c r="S120" s="11" t="n">
        <f aca="false">IF(INDEX(MASTER_DATABASE!$A$4:$A$1000,ROW()-3)="","",INDEX(MASTER_DATABASE!$AQ$4:$AQ$1000,ROW()-3))</f>
        <v>120</v>
      </c>
      <c r="T120" s="7" t="str">
        <f aca="false">IF(INDEX(MASTER_DATABASE!$A$4:$A$1000,ROW()-3)="","",INDEX(MASTER_DATABASE!$I$4:$I$1000,ROW()-3)&amp;"")</f>
        <v>Portal Dependent</v>
      </c>
      <c r="U120" s="7" t="str">
        <f aca="false">IF(INDEX(MASTER_DATABASE!$A$4:$A$1000,ROW()-3)="","",INDEX(MASTER_DATABASE!$J$4:$J$1000,ROW()-3)&amp;"")</f>
        <v>Depends on Portal – Confirm at Shop</v>
      </c>
      <c r="V120" s="7" t="str">
        <f aca="false">IF(INDEX(MASTER_DATABASE!$A$4:$A$1000,ROW()-3)="","",INDEX(MASTER_DATABASE!$AG$4:$AG$1000,ROW()-3)&amp;"")</f>
        <v>To Verify</v>
      </c>
      <c r="W120" s="7" t="str">
        <f aca="false">IF(INDEX(MASTER_DATABASE!$A$4:$A$1000,ROW()-3)="","",INDEX(MASTER_DATABASE!$AH$4:$AH$1000,ROW()-3)&amp;"")</f>
        <v>No</v>
      </c>
      <c r="X120" s="7" t="str">
        <f aca="false">IF(INDEX(MASTER_DATABASE!$A$4:$A$1000,ROW()-3)="","",INDEX(MASTER_DATABASE!$AI$4:$AI$1000,ROW()-3)&amp;"")</f>
        <v>No</v>
      </c>
      <c r="Y120" s="7" t="str">
        <f aca="false">IF(INDEX(MASTER_DATABASE!$A$4:$A$1000,ROW()-3)="","",INDEX(MASTER_DATABASE!$AJ$4:$AJ$1000,ROW()-3)&amp;"")</f>
        <v>No</v>
      </c>
      <c r="Z120" s="7" t="str">
        <f aca="false">IF(INDEX(MASTER_DATABASE!$A$4:$A$1000,ROW()-3)="","",INDEX(MASTER_DATABASE!$AK$4:$AK$1000,ROW()-3)&amp;"")</f>
        <v>No</v>
      </c>
      <c r="AA120" s="7" t="str">
        <f aca="false">IF(INDEX(MASTER_DATABASE!$A$4:$A$1000,ROW()-3)="","",INDEX(MASTER_DATABASE!$BE$4:$BE$1000,ROW()-3)&amp;"")</f>
        <v>HIDDEN</v>
      </c>
    </row>
    <row r="121" customFormat="false" ht="57.45" hidden="false" customHeight="false" outlineLevel="0" collapsed="false">
      <c r="A121" s="11" t="str">
        <f aca="false">IF(INDEX(MASTER_DATABASE!$A$4:$A$1000,ROW()-3)="","",INDEX(MASTER_DATABASE!$A$4:$A$1000,ROW()-3)&amp;"")</f>
        <v>CSC-013</v>
      </c>
      <c r="B121" s="7" t="str">
        <f aca="false">IF(INDEX(MASTER_DATABASE!$A$4:$A$1000,ROW()-3)="","",INDEX(MASTER_DATABASE!$B$4:$B$1000,ROW()-3)&amp;"")</f>
        <v>Common Service Centre (CSC)</v>
      </c>
      <c r="C121" s="7" t="str">
        <f aca="false">IF(INDEX(MASTER_DATABASE!$A$4:$A$1000,ROW()-3)="","",INDEX(MASTER_DATABASE!$C$4:$C$1000,ROW()-3)&amp;"")</f>
        <v>Government &amp; Digital Services (CSC)</v>
      </c>
      <c r="D121" s="7" t="str">
        <f aca="false">IF(INDEX(MASTER_DATABASE!$A$4:$A$1000,ROW()-3)="","",INDEX(MASTER_DATABASE!$D$4:$D$1000,ROW()-3)&amp;"")</f>
        <v>Government Schemes</v>
      </c>
      <c r="E121" s="7" t="str">
        <f aca="false">IF(INDEX(MASTER_DATABASE!$A$4:$A$1000,ROW()-3)="","",INDEX(MASTER_DATABASE!$E$4:$E$1000,ROW()-3)&amp;"")</f>
        <v>PM Shram Yogi Maan-Dhan (PM-SYM) Enrolment</v>
      </c>
      <c r="F121" s="7" t="str">
        <f aca="false">IF(INDEX(MASTER_DATABASE!$A$4:$A$1000,ROW()-3)="","",INDEX(MASTER_DATABASE!$F$4:$F$1000,ROW()-3)&amp;"")</f>
        <v>PM श्रम योगी मानधन (PM-SYM) नामांकन</v>
      </c>
      <c r="G121" s="7" t="str">
        <f aca="false">IF(INDEX(MASTER_DATABASE!$A$4:$A$1000,ROW()-3)="","",INDEX(MASTER_DATABASE!$AL$4:$AL$1000,ROW()-3)&amp;"")</f>
        <v>Common Service Centre (CSC)</v>
      </c>
      <c r="H121" s="7" t="str">
        <f aca="false">IF(INDEX(MASTER_DATABASE!$A$4:$A$1000,ROW()-3)="","",INDEX(MASTER_DATABASE!$AM$4:$AM$1000,ROW()-3)&amp;"")</f>
        <v>Government Schemes</v>
      </c>
      <c r="I121" s="7" t="str">
        <f aca="false">IF(INDEX(MASTER_DATABASE!$A$4:$A$1000,ROW()-3)="","",INDEX(MASTER_DATABASE!$AO$4:$AO$1000,ROW()-3)&amp;"")</f>
        <v>pm-shram-yogi-maan-dhan-pm-sym-enrolment</v>
      </c>
      <c r="J121" s="7" t="str">
        <f aca="false">IF(INDEX(MASTER_DATABASE!$A$4:$A$1000,ROW()-3)="","",INDEX(MASTER_DATABASE!$BD$4:$BD$1000,ROW()-3)&amp;"")</f>
        <v>/services/pm-shram-yogi-maan-dhan-pm-sym-enrolment</v>
      </c>
      <c r="K121" s="7" t="str">
        <f aca="false">IF(INDEX(MASTER_DATABASE!$A$4:$A$1000,ROW()-3)="","",INDEX(MASTER_DATABASE!$AX$4:$AX$1000,ROW()-3)&amp;"")</f>
        <v>PM Shram Yogi Maan-Dhan (PM-SYM) Enrolment Service | Devmobile Stores</v>
      </c>
      <c r="L121" s="7" t="str">
        <f aca="false">IF(INDEX(MASTER_DATABASE!$A$4:$A$1000,ROW()-3)="","",INDEX(MASTER_DATABASE!$AY$4:$AY$1000,ROW()-3)&amp;"")</f>
        <v>PM Shram Yogi Maan-Dhan (PM-SYM) Enrolment (PM श्रम योगी मानधन (PM-SYM) नामांकन) at Devmobile Stores and Common Service Center &amp; Aadhaar Centre. Check required documents, charges and process before you visit.</v>
      </c>
      <c r="M121" s="7" t="str">
        <f aca="false">IF(INDEX(MASTER_DATABASE!$A$4:$A$1000,ROW()-3)="","",INDEX(MASTER_DATABASE!$AN$4:$AN$1000,ROW()-3)&amp;"")</f>
        <v>PM Shram Yogi Maan-Dhan (PM-SYM) Enrolment, Common Service Centre (CSC), Devmobile Stores, PM श्रम योगी मानधन (PM-SYM) नामांकन, कॉमन सर्विस सेंटर (CSC), सेवा</v>
      </c>
      <c r="N121" s="7" t="str">
        <f aca="false">IF(INDEX(MASTER_DATABASE!$A$4:$A$1000,ROW()-3)="","",INDEX(MASTER_DATABASE!$AZ$4:$AZ$1000,ROW()-3)&amp;"")</f>
        <v>PM श्रम योगी मानधन (PM-SYM) नामांकन, कॉमन सर्विस सेंटर (CSC), सेवा</v>
      </c>
      <c r="O121" s="7" t="str">
        <f aca="false">IF(INDEX(MASTER_DATABASE!$A$4:$A$1000,ROW()-3)="","",INDEX(MASTER_DATABASE!$BA$4:$BA$1000,ROW()-3)&amp;"")</f>
        <v>PM Shram Yogi Maan-Dhan (PM-SYM) Enrolment, Common Service Centre (CSC), Devmobile Stores</v>
      </c>
      <c r="P121" s="11" t="str">
        <f aca="false">IF(INDEX(MASTER_DATABASE!$A$4:$A$1000,ROW()-3)="","",INDEX(MASTER_DATABASE!$AP$4:$AP$1000,ROW()-3)&amp;"")</f>
        <v>🤝</v>
      </c>
      <c r="Q121" s="7" t="str">
        <f aca="false">IF(INDEX(MASTER_DATABASE!$A$4:$A$1000,ROW()-3)="","",INDEX(MASTER_DATABASE!$BB$4:$BB$1000,ROW()-3)&amp;"")</f>
        <v/>
      </c>
      <c r="R121" s="11" t="str">
        <f aca="false">IF(INDEX(MASTER_DATABASE!$A$4:$A$1000,ROW()-3)="","",INDEX(MASTER_DATABASE!$BC$4:$BC$1000,ROW()-3)&amp;"")</f>
        <v>🖥️</v>
      </c>
      <c r="S121" s="11" t="n">
        <f aca="false">IF(INDEX(MASTER_DATABASE!$A$4:$A$1000,ROW()-3)="","",INDEX(MASTER_DATABASE!$AQ$4:$AQ$1000,ROW()-3))</f>
        <v>130</v>
      </c>
      <c r="T121" s="7" t="str">
        <f aca="false">IF(INDEX(MASTER_DATABASE!$A$4:$A$1000,ROW()-3)="","",INDEX(MASTER_DATABASE!$I$4:$I$1000,ROW()-3)&amp;"")</f>
        <v>Authorization Required</v>
      </c>
      <c r="U121" s="7" t="str">
        <f aca="false">IF(INDEX(MASTER_DATABASE!$A$4:$A$1000,ROW()-3)="","",INDEX(MASTER_DATABASE!$J$4:$J$1000,ROW()-3)&amp;"")</f>
        <v>Please Confirm at Shop</v>
      </c>
      <c r="V121" s="7" t="str">
        <f aca="false">IF(INDEX(MASTER_DATABASE!$A$4:$A$1000,ROW()-3)="","",INDEX(MASTER_DATABASE!$AG$4:$AG$1000,ROW()-3)&amp;"")</f>
        <v>To Verify</v>
      </c>
      <c r="W121" s="7" t="str">
        <f aca="false">IF(INDEX(MASTER_DATABASE!$A$4:$A$1000,ROW()-3)="","",INDEX(MASTER_DATABASE!$AH$4:$AH$1000,ROW()-3)&amp;"")</f>
        <v>No</v>
      </c>
      <c r="X121" s="7" t="str">
        <f aca="false">IF(INDEX(MASTER_DATABASE!$A$4:$A$1000,ROW()-3)="","",INDEX(MASTER_DATABASE!$AI$4:$AI$1000,ROW()-3)&amp;"")</f>
        <v>No</v>
      </c>
      <c r="Y121" s="7" t="str">
        <f aca="false">IF(INDEX(MASTER_DATABASE!$A$4:$A$1000,ROW()-3)="","",INDEX(MASTER_DATABASE!$AJ$4:$AJ$1000,ROW()-3)&amp;"")</f>
        <v>No</v>
      </c>
      <c r="Z121" s="7" t="str">
        <f aca="false">IF(INDEX(MASTER_DATABASE!$A$4:$A$1000,ROW()-3)="","",INDEX(MASTER_DATABASE!$AK$4:$AK$1000,ROW()-3)&amp;"")</f>
        <v>No</v>
      </c>
      <c r="AA121" s="7" t="str">
        <f aca="false">IF(INDEX(MASTER_DATABASE!$A$4:$A$1000,ROW()-3)="","",INDEX(MASTER_DATABASE!$BE$4:$BE$1000,ROW()-3)&amp;"")</f>
        <v>HIDDEN</v>
      </c>
    </row>
    <row r="122" customFormat="false" ht="57.45" hidden="false" customHeight="false" outlineLevel="0" collapsed="false">
      <c r="A122" s="11" t="str">
        <f aca="false">IF(INDEX(MASTER_DATABASE!$A$4:$A$1000,ROW()-3)="","",INDEX(MASTER_DATABASE!$A$4:$A$1000,ROW()-3)&amp;"")</f>
        <v>CSC-014</v>
      </c>
      <c r="B122" s="7" t="str">
        <f aca="false">IF(INDEX(MASTER_DATABASE!$A$4:$A$1000,ROW()-3)="","",INDEX(MASTER_DATABASE!$B$4:$B$1000,ROW()-3)&amp;"")</f>
        <v>Common Service Centre (CSC)</v>
      </c>
      <c r="C122" s="7" t="str">
        <f aca="false">IF(INDEX(MASTER_DATABASE!$A$4:$A$1000,ROW()-3)="","",INDEX(MASTER_DATABASE!$C$4:$C$1000,ROW()-3)&amp;"")</f>
        <v>Government &amp; Digital Services (CSC)</v>
      </c>
      <c r="D122" s="7" t="str">
        <f aca="false">IF(INDEX(MASTER_DATABASE!$A$4:$A$1000,ROW()-3)="","",INDEX(MASTER_DATABASE!$D$4:$D$1000,ROW()-3)&amp;"")</f>
        <v>Government Schemes</v>
      </c>
      <c r="E122" s="7" t="str">
        <f aca="false">IF(INDEX(MASTER_DATABASE!$A$4:$A$1000,ROW()-3)="","",INDEX(MASTER_DATABASE!$E$4:$E$1000,ROW()-3)&amp;"")</f>
        <v>PM Kisan Maan-Dhan (PM-KMY) Enrolment</v>
      </c>
      <c r="F122" s="7" t="str">
        <f aca="false">IF(INDEX(MASTER_DATABASE!$A$4:$A$1000,ROW()-3)="","",INDEX(MASTER_DATABASE!$F$4:$F$1000,ROW()-3)&amp;"")</f>
        <v>PM किसान मानधन (PM-KMY) नामांकन</v>
      </c>
      <c r="G122" s="7" t="str">
        <f aca="false">IF(INDEX(MASTER_DATABASE!$A$4:$A$1000,ROW()-3)="","",INDEX(MASTER_DATABASE!$AL$4:$AL$1000,ROW()-3)&amp;"")</f>
        <v>Common Service Centre (CSC)</v>
      </c>
      <c r="H122" s="7" t="str">
        <f aca="false">IF(INDEX(MASTER_DATABASE!$A$4:$A$1000,ROW()-3)="","",INDEX(MASTER_DATABASE!$AM$4:$AM$1000,ROW()-3)&amp;"")</f>
        <v>Government Schemes</v>
      </c>
      <c r="I122" s="7" t="str">
        <f aca="false">IF(INDEX(MASTER_DATABASE!$A$4:$A$1000,ROW()-3)="","",INDEX(MASTER_DATABASE!$AO$4:$AO$1000,ROW()-3)&amp;"")</f>
        <v>pm-kisan-maan-dhan-pm-kmy-enrolment</v>
      </c>
      <c r="J122" s="7" t="str">
        <f aca="false">IF(INDEX(MASTER_DATABASE!$A$4:$A$1000,ROW()-3)="","",INDEX(MASTER_DATABASE!$BD$4:$BD$1000,ROW()-3)&amp;"")</f>
        <v>/services/pm-kisan-maan-dhan-pm-kmy-enrolment</v>
      </c>
      <c r="K122" s="7" t="str">
        <f aca="false">IF(INDEX(MASTER_DATABASE!$A$4:$A$1000,ROW()-3)="","",INDEX(MASTER_DATABASE!$AX$4:$AX$1000,ROW()-3)&amp;"")</f>
        <v>PM Kisan Maan-Dhan (PM-KMY) Enrolment Service | Devmobile Stores</v>
      </c>
      <c r="L122" s="7" t="str">
        <f aca="false">IF(INDEX(MASTER_DATABASE!$A$4:$A$1000,ROW()-3)="","",INDEX(MASTER_DATABASE!$AY$4:$AY$1000,ROW()-3)&amp;"")</f>
        <v>PM Kisan Maan-Dhan (PM-KMY) Enrolment (PM किसान मानधन (PM-KMY) नामांकन) at Devmobile Stores and Common Service Center &amp; Aadhaar Centre. Check required documents, charges and process before you visit.</v>
      </c>
      <c r="M122" s="7" t="str">
        <f aca="false">IF(INDEX(MASTER_DATABASE!$A$4:$A$1000,ROW()-3)="","",INDEX(MASTER_DATABASE!$AN$4:$AN$1000,ROW()-3)&amp;"")</f>
        <v>PM Kisan Maan-Dhan (PM-KMY) Enrolment, Common Service Centre (CSC), Devmobile Stores, PM किसान मानधन (PM-KMY) नामांकन, कॉमन सर्विस सेंटर (CSC), सेवा</v>
      </c>
      <c r="N122" s="7" t="str">
        <f aca="false">IF(INDEX(MASTER_DATABASE!$A$4:$A$1000,ROW()-3)="","",INDEX(MASTER_DATABASE!$AZ$4:$AZ$1000,ROW()-3)&amp;"")</f>
        <v>PM किसान मानधन (PM-KMY) नामांकन, कॉमन सर्विस सेंटर (CSC), सेवा</v>
      </c>
      <c r="O122" s="7" t="str">
        <f aca="false">IF(INDEX(MASTER_DATABASE!$A$4:$A$1000,ROW()-3)="","",INDEX(MASTER_DATABASE!$BA$4:$BA$1000,ROW()-3)&amp;"")</f>
        <v>PM Kisan Maan-Dhan (PM-KMY) Enrolment, Common Service Centre (CSC), Devmobile Stores</v>
      </c>
      <c r="P122" s="11" t="str">
        <f aca="false">IF(INDEX(MASTER_DATABASE!$A$4:$A$1000,ROW()-3)="","",INDEX(MASTER_DATABASE!$AP$4:$AP$1000,ROW()-3)&amp;"")</f>
        <v>🤝</v>
      </c>
      <c r="Q122" s="7" t="str">
        <f aca="false">IF(INDEX(MASTER_DATABASE!$A$4:$A$1000,ROW()-3)="","",INDEX(MASTER_DATABASE!$BB$4:$BB$1000,ROW()-3)&amp;"")</f>
        <v/>
      </c>
      <c r="R122" s="11" t="str">
        <f aca="false">IF(INDEX(MASTER_DATABASE!$A$4:$A$1000,ROW()-3)="","",INDEX(MASTER_DATABASE!$BC$4:$BC$1000,ROW()-3)&amp;"")</f>
        <v>🖥️</v>
      </c>
      <c r="S122" s="11" t="n">
        <f aca="false">IF(INDEX(MASTER_DATABASE!$A$4:$A$1000,ROW()-3)="","",INDEX(MASTER_DATABASE!$AQ$4:$AQ$1000,ROW()-3))</f>
        <v>140</v>
      </c>
      <c r="T122" s="7" t="str">
        <f aca="false">IF(INDEX(MASTER_DATABASE!$A$4:$A$1000,ROW()-3)="","",INDEX(MASTER_DATABASE!$I$4:$I$1000,ROW()-3)&amp;"")</f>
        <v>Authorization Required</v>
      </c>
      <c r="U122" s="7" t="str">
        <f aca="false">IF(INDEX(MASTER_DATABASE!$A$4:$A$1000,ROW()-3)="","",INDEX(MASTER_DATABASE!$J$4:$J$1000,ROW()-3)&amp;"")</f>
        <v>Please Confirm at Shop</v>
      </c>
      <c r="V122" s="7" t="str">
        <f aca="false">IF(INDEX(MASTER_DATABASE!$A$4:$A$1000,ROW()-3)="","",INDEX(MASTER_DATABASE!$AG$4:$AG$1000,ROW()-3)&amp;"")</f>
        <v>To Verify</v>
      </c>
      <c r="W122" s="7" t="str">
        <f aca="false">IF(INDEX(MASTER_DATABASE!$A$4:$A$1000,ROW()-3)="","",INDEX(MASTER_DATABASE!$AH$4:$AH$1000,ROW()-3)&amp;"")</f>
        <v>No</v>
      </c>
      <c r="X122" s="7" t="str">
        <f aca="false">IF(INDEX(MASTER_DATABASE!$A$4:$A$1000,ROW()-3)="","",INDEX(MASTER_DATABASE!$AI$4:$AI$1000,ROW()-3)&amp;"")</f>
        <v>No</v>
      </c>
      <c r="Y122" s="7" t="str">
        <f aca="false">IF(INDEX(MASTER_DATABASE!$A$4:$A$1000,ROW()-3)="","",INDEX(MASTER_DATABASE!$AJ$4:$AJ$1000,ROW()-3)&amp;"")</f>
        <v>No</v>
      </c>
      <c r="Z122" s="7" t="str">
        <f aca="false">IF(INDEX(MASTER_DATABASE!$A$4:$A$1000,ROW()-3)="","",INDEX(MASTER_DATABASE!$AK$4:$AK$1000,ROW()-3)&amp;"")</f>
        <v>No</v>
      </c>
      <c r="AA122" s="7" t="str">
        <f aca="false">IF(INDEX(MASTER_DATABASE!$A$4:$A$1000,ROW()-3)="","",INDEX(MASTER_DATABASE!$BE$4:$BE$1000,ROW()-3)&amp;"")</f>
        <v>HIDDEN</v>
      </c>
    </row>
    <row r="123" customFormat="false" ht="46.25" hidden="false" customHeight="false" outlineLevel="0" collapsed="false">
      <c r="A123" s="11" t="str">
        <f aca="false">IF(INDEX(MASTER_DATABASE!$A$4:$A$1000,ROW()-3)="","",INDEX(MASTER_DATABASE!$A$4:$A$1000,ROW()-3)&amp;"")</f>
        <v>CSC-015</v>
      </c>
      <c r="B123" s="7" t="str">
        <f aca="false">IF(INDEX(MASTER_DATABASE!$A$4:$A$1000,ROW()-3)="","",INDEX(MASTER_DATABASE!$B$4:$B$1000,ROW()-3)&amp;"")</f>
        <v>Common Service Centre (CSC)</v>
      </c>
      <c r="C123" s="7" t="str">
        <f aca="false">IF(INDEX(MASTER_DATABASE!$A$4:$A$1000,ROW()-3)="","",INDEX(MASTER_DATABASE!$C$4:$C$1000,ROW()-3)&amp;"")</f>
        <v>Government &amp; Digital Services (CSC)</v>
      </c>
      <c r="D123" s="7" t="str">
        <f aca="false">IF(INDEX(MASTER_DATABASE!$A$4:$A$1000,ROW()-3)="","",INDEX(MASTER_DATABASE!$D$4:$D$1000,ROW()-3)&amp;"")</f>
        <v>Government Schemes</v>
      </c>
      <c r="E123" s="7" t="str">
        <f aca="false">IF(INDEX(MASTER_DATABASE!$A$4:$A$1000,ROW()-3)="","",INDEX(MASTER_DATABASE!$E$4:$E$1000,ROW()-3)&amp;"")</f>
        <v>PM Vishwakarma Registration</v>
      </c>
      <c r="F123" s="7" t="str">
        <f aca="false">IF(INDEX(MASTER_DATABASE!$A$4:$A$1000,ROW()-3)="","",INDEX(MASTER_DATABASE!$F$4:$F$1000,ROW()-3)&amp;"")</f>
        <v>PM विश्वकर्मा पंजीकरण</v>
      </c>
      <c r="G123" s="7" t="str">
        <f aca="false">IF(INDEX(MASTER_DATABASE!$A$4:$A$1000,ROW()-3)="","",INDEX(MASTER_DATABASE!$AL$4:$AL$1000,ROW()-3)&amp;"")</f>
        <v>Common Service Centre (CSC)</v>
      </c>
      <c r="H123" s="7" t="str">
        <f aca="false">IF(INDEX(MASTER_DATABASE!$A$4:$A$1000,ROW()-3)="","",INDEX(MASTER_DATABASE!$AM$4:$AM$1000,ROW()-3)&amp;"")</f>
        <v>Government Schemes</v>
      </c>
      <c r="I123" s="7" t="str">
        <f aca="false">IF(INDEX(MASTER_DATABASE!$A$4:$A$1000,ROW()-3)="","",INDEX(MASTER_DATABASE!$AO$4:$AO$1000,ROW()-3)&amp;"")</f>
        <v>pm-vishwakarma-registration</v>
      </c>
      <c r="J123" s="7" t="str">
        <f aca="false">IF(INDEX(MASTER_DATABASE!$A$4:$A$1000,ROW()-3)="","",INDEX(MASTER_DATABASE!$BD$4:$BD$1000,ROW()-3)&amp;"")</f>
        <v>/services/pm-vishwakarma-registration</v>
      </c>
      <c r="K123" s="7" t="str">
        <f aca="false">IF(INDEX(MASTER_DATABASE!$A$4:$A$1000,ROW()-3)="","",INDEX(MASTER_DATABASE!$AX$4:$AX$1000,ROW()-3)&amp;"")</f>
        <v>PM Vishwakarma Registration Service | Devmobile Stores</v>
      </c>
      <c r="L123" s="7" t="str">
        <f aca="false">IF(INDEX(MASTER_DATABASE!$A$4:$A$1000,ROW()-3)="","",INDEX(MASTER_DATABASE!$AY$4:$AY$1000,ROW()-3)&amp;"")</f>
        <v>PM Vishwakarma Registration (PM विश्वकर्मा पंजीकरण) at Devmobile Stores and Common Service Center &amp; Aadhaar Centre. Check required documents, charges and process before you visit.</v>
      </c>
      <c r="M123" s="7" t="str">
        <f aca="false">IF(INDEX(MASTER_DATABASE!$A$4:$A$1000,ROW()-3)="","",INDEX(MASTER_DATABASE!$AN$4:$AN$1000,ROW()-3)&amp;"")</f>
        <v>PM Vishwakarma Registration, Common Service Centre (CSC), Devmobile Stores, PM विश्वकर्मा पंजीकरण, कॉमन सर्विस सेंटर (CSC), सेवा</v>
      </c>
      <c r="N123" s="7" t="str">
        <f aca="false">IF(INDEX(MASTER_DATABASE!$A$4:$A$1000,ROW()-3)="","",INDEX(MASTER_DATABASE!$AZ$4:$AZ$1000,ROW()-3)&amp;"")</f>
        <v>PM विश्वकर्मा पंजीकरण, कॉमन सर्विस सेंटर (CSC), सेवा</v>
      </c>
      <c r="O123" s="7" t="str">
        <f aca="false">IF(INDEX(MASTER_DATABASE!$A$4:$A$1000,ROW()-3)="","",INDEX(MASTER_DATABASE!$BA$4:$BA$1000,ROW()-3)&amp;"")</f>
        <v>PM Vishwakarma Registration, Common Service Centre (CSC), Devmobile Stores</v>
      </c>
      <c r="P123" s="11" t="str">
        <f aca="false">IF(INDEX(MASTER_DATABASE!$A$4:$A$1000,ROW()-3)="","",INDEX(MASTER_DATABASE!$AP$4:$AP$1000,ROW()-3)&amp;"")</f>
        <v>🤝</v>
      </c>
      <c r="Q123" s="7" t="str">
        <f aca="false">IF(INDEX(MASTER_DATABASE!$A$4:$A$1000,ROW()-3)="","",INDEX(MASTER_DATABASE!$BB$4:$BB$1000,ROW()-3)&amp;"")</f>
        <v/>
      </c>
      <c r="R123" s="11" t="str">
        <f aca="false">IF(INDEX(MASTER_DATABASE!$A$4:$A$1000,ROW()-3)="","",INDEX(MASTER_DATABASE!$BC$4:$BC$1000,ROW()-3)&amp;"")</f>
        <v>🖥️</v>
      </c>
      <c r="S123" s="11" t="n">
        <f aca="false">IF(INDEX(MASTER_DATABASE!$A$4:$A$1000,ROW()-3)="","",INDEX(MASTER_DATABASE!$AQ$4:$AQ$1000,ROW()-3))</f>
        <v>150</v>
      </c>
      <c r="T123" s="7" t="str">
        <f aca="false">IF(INDEX(MASTER_DATABASE!$A$4:$A$1000,ROW()-3)="","",INDEX(MASTER_DATABASE!$I$4:$I$1000,ROW()-3)&amp;"")</f>
        <v>Portal Dependent</v>
      </c>
      <c r="U123" s="7" t="str">
        <f aca="false">IF(INDEX(MASTER_DATABASE!$A$4:$A$1000,ROW()-3)="","",INDEX(MASTER_DATABASE!$J$4:$J$1000,ROW()-3)&amp;"")</f>
        <v>Depends on Portal – Confirm at Shop</v>
      </c>
      <c r="V123" s="7" t="str">
        <f aca="false">IF(INDEX(MASTER_DATABASE!$A$4:$A$1000,ROW()-3)="","",INDEX(MASTER_DATABASE!$AG$4:$AG$1000,ROW()-3)&amp;"")</f>
        <v>To Verify</v>
      </c>
      <c r="W123" s="7" t="str">
        <f aca="false">IF(INDEX(MASTER_DATABASE!$A$4:$A$1000,ROW()-3)="","",INDEX(MASTER_DATABASE!$AH$4:$AH$1000,ROW()-3)&amp;"")</f>
        <v>No</v>
      </c>
      <c r="X123" s="7" t="str">
        <f aca="false">IF(INDEX(MASTER_DATABASE!$A$4:$A$1000,ROW()-3)="","",INDEX(MASTER_DATABASE!$AI$4:$AI$1000,ROW()-3)&amp;"")</f>
        <v>No</v>
      </c>
      <c r="Y123" s="7" t="str">
        <f aca="false">IF(INDEX(MASTER_DATABASE!$A$4:$A$1000,ROW()-3)="","",INDEX(MASTER_DATABASE!$AJ$4:$AJ$1000,ROW()-3)&amp;"")</f>
        <v>No</v>
      </c>
      <c r="Z123" s="7" t="str">
        <f aca="false">IF(INDEX(MASTER_DATABASE!$A$4:$A$1000,ROW()-3)="","",INDEX(MASTER_DATABASE!$AK$4:$AK$1000,ROW()-3)&amp;"")</f>
        <v>No</v>
      </c>
      <c r="AA123" s="7" t="str">
        <f aca="false">IF(INDEX(MASTER_DATABASE!$A$4:$A$1000,ROW()-3)="","",INDEX(MASTER_DATABASE!$BE$4:$BE$1000,ROW()-3)&amp;"")</f>
        <v>HIDDEN</v>
      </c>
    </row>
    <row r="124" customFormat="false" ht="57.45" hidden="false" customHeight="false" outlineLevel="0" collapsed="false">
      <c r="A124" s="11" t="str">
        <f aca="false">IF(INDEX(MASTER_DATABASE!$A$4:$A$1000,ROW()-3)="","",INDEX(MASTER_DATABASE!$A$4:$A$1000,ROW()-3)&amp;"")</f>
        <v>CSC-016</v>
      </c>
      <c r="B124" s="7" t="str">
        <f aca="false">IF(INDEX(MASTER_DATABASE!$A$4:$A$1000,ROW()-3)="","",INDEX(MASTER_DATABASE!$B$4:$B$1000,ROW()-3)&amp;"")</f>
        <v>Common Service Centre (CSC)</v>
      </c>
      <c r="C124" s="7" t="str">
        <f aca="false">IF(INDEX(MASTER_DATABASE!$A$4:$A$1000,ROW()-3)="","",INDEX(MASTER_DATABASE!$C$4:$C$1000,ROW()-3)&amp;"")</f>
        <v>Government &amp; Digital Services (CSC)</v>
      </c>
      <c r="D124" s="7" t="str">
        <f aca="false">IF(INDEX(MASTER_DATABASE!$A$4:$A$1000,ROW()-3)="","",INDEX(MASTER_DATABASE!$D$4:$D$1000,ROW()-3)&amp;"")</f>
        <v>Government Schemes</v>
      </c>
      <c r="E124" s="7" t="str">
        <f aca="false">IF(INDEX(MASTER_DATABASE!$A$4:$A$1000,ROW()-3)="","",INDEX(MASTER_DATABASE!$E$4:$E$1000,ROW()-3)&amp;"")</f>
        <v>PM Surya Ghar (Rooftop Solar) Registration Assistance</v>
      </c>
      <c r="F124" s="7" t="str">
        <f aca="false">IF(INDEX(MASTER_DATABASE!$A$4:$A$1000,ROW()-3)="","",INDEX(MASTER_DATABASE!$F$4:$F$1000,ROW()-3)&amp;"")</f>
        <v>PM सूर्य घर (रूफटॉप सोलर) पंजीकरण सहायता</v>
      </c>
      <c r="G124" s="7" t="str">
        <f aca="false">IF(INDEX(MASTER_DATABASE!$A$4:$A$1000,ROW()-3)="","",INDEX(MASTER_DATABASE!$AL$4:$AL$1000,ROW()-3)&amp;"")</f>
        <v>Common Service Centre (CSC)</v>
      </c>
      <c r="H124" s="7" t="str">
        <f aca="false">IF(INDEX(MASTER_DATABASE!$A$4:$A$1000,ROW()-3)="","",INDEX(MASTER_DATABASE!$AM$4:$AM$1000,ROW()-3)&amp;"")</f>
        <v>Government Schemes</v>
      </c>
      <c r="I124" s="7" t="str">
        <f aca="false">IF(INDEX(MASTER_DATABASE!$A$4:$A$1000,ROW()-3)="","",INDEX(MASTER_DATABASE!$AO$4:$AO$1000,ROW()-3)&amp;"")</f>
        <v>pm-surya-ghar-rooftop-solar-registration-assistance</v>
      </c>
      <c r="J124" s="7" t="str">
        <f aca="false">IF(INDEX(MASTER_DATABASE!$A$4:$A$1000,ROW()-3)="","",INDEX(MASTER_DATABASE!$BD$4:$BD$1000,ROW()-3)&amp;"")</f>
        <v>/services/pm-surya-ghar-rooftop-solar-registration-assistance</v>
      </c>
      <c r="K124" s="7" t="str">
        <f aca="false">IF(INDEX(MASTER_DATABASE!$A$4:$A$1000,ROW()-3)="","",INDEX(MASTER_DATABASE!$AX$4:$AX$1000,ROW()-3)&amp;"")</f>
        <v>PM Surya Ghar (Rooftop Solar) Registration Assistance Service | Devmobile Stores</v>
      </c>
      <c r="L124" s="7" t="str">
        <f aca="false">IF(INDEX(MASTER_DATABASE!$A$4:$A$1000,ROW()-3)="","",INDEX(MASTER_DATABASE!$AY$4:$AY$1000,ROW()-3)&amp;"")</f>
        <v>PM Surya Ghar (Rooftop Solar) Registration Assistance (PM सूर्य घर (रूफटॉप सोलर) पंजीकरण सहायता) at Devmobile Stores and Common Service Center &amp; Aadhaar Centre. Check required documents, charges and process before you visit.</v>
      </c>
      <c r="M124" s="7" t="str">
        <f aca="false">IF(INDEX(MASTER_DATABASE!$A$4:$A$1000,ROW()-3)="","",INDEX(MASTER_DATABASE!$AN$4:$AN$1000,ROW()-3)&amp;"")</f>
        <v>PM Surya Ghar (Rooftop Solar) Registration Assistance, Common Service Centre (CSC), Devmobile Stores, PM सूर्य घर (रूफटॉप सोलर) पंजीकरण सहायता, कॉमन सर्विस सेंटर (CSC), सेवा</v>
      </c>
      <c r="N124" s="7" t="str">
        <f aca="false">IF(INDEX(MASTER_DATABASE!$A$4:$A$1000,ROW()-3)="","",INDEX(MASTER_DATABASE!$AZ$4:$AZ$1000,ROW()-3)&amp;"")</f>
        <v>PM सूर्य घर (रूफटॉप सोलर) पंजीकरण सहायता, कॉमन सर्विस सेंटर (CSC), सेवा</v>
      </c>
      <c r="O124" s="7" t="str">
        <f aca="false">IF(INDEX(MASTER_DATABASE!$A$4:$A$1000,ROW()-3)="","",INDEX(MASTER_DATABASE!$BA$4:$BA$1000,ROW()-3)&amp;"")</f>
        <v>PM Surya Ghar (Rooftop Solar) Registration Assistance, Common Service Centre (CSC), Devmobile Stores</v>
      </c>
      <c r="P124" s="11" t="str">
        <f aca="false">IF(INDEX(MASTER_DATABASE!$A$4:$A$1000,ROW()-3)="","",INDEX(MASTER_DATABASE!$AP$4:$AP$1000,ROW()-3)&amp;"")</f>
        <v>🤝</v>
      </c>
      <c r="Q124" s="7" t="str">
        <f aca="false">IF(INDEX(MASTER_DATABASE!$A$4:$A$1000,ROW()-3)="","",INDEX(MASTER_DATABASE!$BB$4:$BB$1000,ROW()-3)&amp;"")</f>
        <v/>
      </c>
      <c r="R124" s="11" t="str">
        <f aca="false">IF(INDEX(MASTER_DATABASE!$A$4:$A$1000,ROW()-3)="","",INDEX(MASTER_DATABASE!$BC$4:$BC$1000,ROW()-3)&amp;"")</f>
        <v>🖥️</v>
      </c>
      <c r="S124" s="11" t="n">
        <f aca="false">IF(INDEX(MASTER_DATABASE!$A$4:$A$1000,ROW()-3)="","",INDEX(MASTER_DATABASE!$AQ$4:$AQ$1000,ROW()-3))</f>
        <v>160</v>
      </c>
      <c r="T124" s="7" t="str">
        <f aca="false">IF(INDEX(MASTER_DATABASE!$A$4:$A$1000,ROW()-3)="","",INDEX(MASTER_DATABASE!$I$4:$I$1000,ROW()-3)&amp;"")</f>
        <v>To Verify</v>
      </c>
      <c r="U124" s="7" t="str">
        <f aca="false">IF(INDEX(MASTER_DATABASE!$A$4:$A$1000,ROW()-3)="","",INDEX(MASTER_DATABASE!$J$4:$J$1000,ROW()-3)&amp;"")</f>
        <v>To Be Confirmed</v>
      </c>
      <c r="V124" s="7" t="str">
        <f aca="false">IF(INDEX(MASTER_DATABASE!$A$4:$A$1000,ROW()-3)="","",INDEX(MASTER_DATABASE!$AG$4:$AG$1000,ROW()-3)&amp;"")</f>
        <v>To Verify</v>
      </c>
      <c r="W124" s="7" t="str">
        <f aca="false">IF(INDEX(MASTER_DATABASE!$A$4:$A$1000,ROW()-3)="","",INDEX(MASTER_DATABASE!$AH$4:$AH$1000,ROW()-3)&amp;"")</f>
        <v>No</v>
      </c>
      <c r="X124" s="7" t="str">
        <f aca="false">IF(INDEX(MASTER_DATABASE!$A$4:$A$1000,ROW()-3)="","",INDEX(MASTER_DATABASE!$AI$4:$AI$1000,ROW()-3)&amp;"")</f>
        <v>No</v>
      </c>
      <c r="Y124" s="7" t="str">
        <f aca="false">IF(INDEX(MASTER_DATABASE!$A$4:$A$1000,ROW()-3)="","",INDEX(MASTER_DATABASE!$AJ$4:$AJ$1000,ROW()-3)&amp;"")</f>
        <v>No</v>
      </c>
      <c r="Z124" s="7" t="str">
        <f aca="false">IF(INDEX(MASTER_DATABASE!$A$4:$A$1000,ROW()-3)="","",INDEX(MASTER_DATABASE!$AK$4:$AK$1000,ROW()-3)&amp;"")</f>
        <v>No</v>
      </c>
      <c r="AA124" s="7" t="str">
        <f aca="false">IF(INDEX(MASTER_DATABASE!$A$4:$A$1000,ROW()-3)="","",INDEX(MASTER_DATABASE!$BE$4:$BE$1000,ROW()-3)&amp;"")</f>
        <v>HIDDEN</v>
      </c>
    </row>
    <row r="125" customFormat="false" ht="46.25" hidden="false" customHeight="false" outlineLevel="0" collapsed="false">
      <c r="A125" s="11" t="str">
        <f aca="false">IF(INDEX(MASTER_DATABASE!$A$4:$A$1000,ROW()-3)="","",INDEX(MASTER_DATABASE!$A$4:$A$1000,ROW()-3)&amp;"")</f>
        <v>CSC-017</v>
      </c>
      <c r="B125" s="7" t="str">
        <f aca="false">IF(INDEX(MASTER_DATABASE!$A$4:$A$1000,ROW()-3)="","",INDEX(MASTER_DATABASE!$B$4:$B$1000,ROW()-3)&amp;"")</f>
        <v>Common Service Centre (CSC)</v>
      </c>
      <c r="C125" s="7" t="str">
        <f aca="false">IF(INDEX(MASTER_DATABASE!$A$4:$A$1000,ROW()-3)="","",INDEX(MASTER_DATABASE!$C$4:$C$1000,ROW()-3)&amp;"")</f>
        <v>Government &amp; Digital Services (CSC)</v>
      </c>
      <c r="D125" s="7" t="str">
        <f aca="false">IF(INDEX(MASTER_DATABASE!$A$4:$A$1000,ROW()-3)="","",INDEX(MASTER_DATABASE!$D$4:$D$1000,ROW()-3)&amp;"")</f>
        <v>Government Schemes</v>
      </c>
      <c r="E125" s="7" t="str">
        <f aca="false">IF(INDEX(MASTER_DATABASE!$A$4:$A$1000,ROW()-3)="","",INDEX(MASTER_DATABASE!$E$4:$E$1000,ROW()-3)&amp;"")</f>
        <v>PM SVANidhi Application Assistance</v>
      </c>
      <c r="F125" s="7" t="str">
        <f aca="false">IF(INDEX(MASTER_DATABASE!$A$4:$A$1000,ROW()-3)="","",INDEX(MASTER_DATABASE!$F$4:$F$1000,ROW()-3)&amp;"")</f>
        <v>PM स्वनिधि आवेदन सहायता</v>
      </c>
      <c r="G125" s="7" t="str">
        <f aca="false">IF(INDEX(MASTER_DATABASE!$A$4:$A$1000,ROW()-3)="","",INDEX(MASTER_DATABASE!$AL$4:$AL$1000,ROW()-3)&amp;"")</f>
        <v>Common Service Centre (CSC)</v>
      </c>
      <c r="H125" s="7" t="str">
        <f aca="false">IF(INDEX(MASTER_DATABASE!$A$4:$A$1000,ROW()-3)="","",INDEX(MASTER_DATABASE!$AM$4:$AM$1000,ROW()-3)&amp;"")</f>
        <v>Government Schemes</v>
      </c>
      <c r="I125" s="7" t="str">
        <f aca="false">IF(INDEX(MASTER_DATABASE!$A$4:$A$1000,ROW()-3)="","",INDEX(MASTER_DATABASE!$AO$4:$AO$1000,ROW()-3)&amp;"")</f>
        <v>pm-svanidhi-application-assistance</v>
      </c>
      <c r="J125" s="7" t="str">
        <f aca="false">IF(INDEX(MASTER_DATABASE!$A$4:$A$1000,ROW()-3)="","",INDEX(MASTER_DATABASE!$BD$4:$BD$1000,ROW()-3)&amp;"")</f>
        <v>/services/pm-svanidhi-application-assistance</v>
      </c>
      <c r="K125" s="7" t="str">
        <f aca="false">IF(INDEX(MASTER_DATABASE!$A$4:$A$1000,ROW()-3)="","",INDEX(MASTER_DATABASE!$AX$4:$AX$1000,ROW()-3)&amp;"")</f>
        <v>PM SVANidhi Application Assistance Service | Devmobile Stores</v>
      </c>
      <c r="L125" s="7" t="str">
        <f aca="false">IF(INDEX(MASTER_DATABASE!$A$4:$A$1000,ROW()-3)="","",INDEX(MASTER_DATABASE!$AY$4:$AY$1000,ROW()-3)&amp;"")</f>
        <v>PM SVANidhi Application Assistance (PM स्वनिधि आवेदन सहायता) at Devmobile Stores and Common Service Center &amp; Aadhaar Centre. Check required documents, charges and process before you visit.</v>
      </c>
      <c r="M125" s="7" t="str">
        <f aca="false">IF(INDEX(MASTER_DATABASE!$A$4:$A$1000,ROW()-3)="","",INDEX(MASTER_DATABASE!$AN$4:$AN$1000,ROW()-3)&amp;"")</f>
        <v>PM SVANidhi Application Assistance, Common Service Centre (CSC), Devmobile Stores, PM स्वनिधि आवेदन सहायता, कॉमन सर्विस सेंटर (CSC), सेवा</v>
      </c>
      <c r="N125" s="7" t="str">
        <f aca="false">IF(INDEX(MASTER_DATABASE!$A$4:$A$1000,ROW()-3)="","",INDEX(MASTER_DATABASE!$AZ$4:$AZ$1000,ROW()-3)&amp;"")</f>
        <v>PM स्वनिधि आवेदन सहायता, कॉमन सर्विस सेंटर (CSC), सेवा</v>
      </c>
      <c r="O125" s="7" t="str">
        <f aca="false">IF(INDEX(MASTER_DATABASE!$A$4:$A$1000,ROW()-3)="","",INDEX(MASTER_DATABASE!$BA$4:$BA$1000,ROW()-3)&amp;"")</f>
        <v>PM SVANidhi Application Assistance, Common Service Centre (CSC), Devmobile Stores</v>
      </c>
      <c r="P125" s="11" t="str">
        <f aca="false">IF(INDEX(MASTER_DATABASE!$A$4:$A$1000,ROW()-3)="","",INDEX(MASTER_DATABASE!$AP$4:$AP$1000,ROW()-3)&amp;"")</f>
        <v>🤝</v>
      </c>
      <c r="Q125" s="7" t="str">
        <f aca="false">IF(INDEX(MASTER_DATABASE!$A$4:$A$1000,ROW()-3)="","",INDEX(MASTER_DATABASE!$BB$4:$BB$1000,ROW()-3)&amp;"")</f>
        <v/>
      </c>
      <c r="R125" s="11" t="str">
        <f aca="false">IF(INDEX(MASTER_DATABASE!$A$4:$A$1000,ROW()-3)="","",INDEX(MASTER_DATABASE!$BC$4:$BC$1000,ROW()-3)&amp;"")</f>
        <v>🖥️</v>
      </c>
      <c r="S125" s="11" t="n">
        <f aca="false">IF(INDEX(MASTER_DATABASE!$A$4:$A$1000,ROW()-3)="","",INDEX(MASTER_DATABASE!$AQ$4:$AQ$1000,ROW()-3))</f>
        <v>170</v>
      </c>
      <c r="T125" s="7" t="str">
        <f aca="false">IF(INDEX(MASTER_DATABASE!$A$4:$A$1000,ROW()-3)="","",INDEX(MASTER_DATABASE!$I$4:$I$1000,ROW()-3)&amp;"")</f>
        <v>To Verify</v>
      </c>
      <c r="U125" s="7" t="str">
        <f aca="false">IF(INDEX(MASTER_DATABASE!$A$4:$A$1000,ROW()-3)="","",INDEX(MASTER_DATABASE!$J$4:$J$1000,ROW()-3)&amp;"")</f>
        <v>To Be Confirmed</v>
      </c>
      <c r="V125" s="7" t="str">
        <f aca="false">IF(INDEX(MASTER_DATABASE!$A$4:$A$1000,ROW()-3)="","",INDEX(MASTER_DATABASE!$AG$4:$AG$1000,ROW()-3)&amp;"")</f>
        <v>To Verify</v>
      </c>
      <c r="W125" s="7" t="str">
        <f aca="false">IF(INDEX(MASTER_DATABASE!$A$4:$A$1000,ROW()-3)="","",INDEX(MASTER_DATABASE!$AH$4:$AH$1000,ROW()-3)&amp;"")</f>
        <v>No</v>
      </c>
      <c r="X125" s="7" t="str">
        <f aca="false">IF(INDEX(MASTER_DATABASE!$A$4:$A$1000,ROW()-3)="","",INDEX(MASTER_DATABASE!$AI$4:$AI$1000,ROW()-3)&amp;"")</f>
        <v>No</v>
      </c>
      <c r="Y125" s="7" t="str">
        <f aca="false">IF(INDEX(MASTER_DATABASE!$A$4:$A$1000,ROW()-3)="","",INDEX(MASTER_DATABASE!$AJ$4:$AJ$1000,ROW()-3)&amp;"")</f>
        <v>No</v>
      </c>
      <c r="Z125" s="7" t="str">
        <f aca="false">IF(INDEX(MASTER_DATABASE!$A$4:$A$1000,ROW()-3)="","",INDEX(MASTER_DATABASE!$AK$4:$AK$1000,ROW()-3)&amp;"")</f>
        <v>No</v>
      </c>
      <c r="AA125" s="7" t="str">
        <f aca="false">IF(INDEX(MASTER_DATABASE!$A$4:$A$1000,ROW()-3)="","",INDEX(MASTER_DATABASE!$BE$4:$BE$1000,ROW()-3)&amp;"")</f>
        <v>HIDDEN</v>
      </c>
    </row>
    <row r="126" customFormat="false" ht="46.25" hidden="false" customHeight="false" outlineLevel="0" collapsed="false">
      <c r="A126" s="11" t="str">
        <f aca="false">IF(INDEX(MASTER_DATABASE!$A$4:$A$1000,ROW()-3)="","",INDEX(MASTER_DATABASE!$A$4:$A$1000,ROW()-3)&amp;"")</f>
        <v>CSC-018</v>
      </c>
      <c r="B126" s="7" t="str">
        <f aca="false">IF(INDEX(MASTER_DATABASE!$A$4:$A$1000,ROW()-3)="","",INDEX(MASTER_DATABASE!$B$4:$B$1000,ROW()-3)&amp;"")</f>
        <v>Common Service Centre (CSC)</v>
      </c>
      <c r="C126" s="7" t="str">
        <f aca="false">IF(INDEX(MASTER_DATABASE!$A$4:$A$1000,ROW()-3)="","",INDEX(MASTER_DATABASE!$C$4:$C$1000,ROW()-3)&amp;"")</f>
        <v>Government &amp; Digital Services (CSC)</v>
      </c>
      <c r="D126" s="7" t="str">
        <f aca="false">IF(INDEX(MASTER_DATABASE!$A$4:$A$1000,ROW()-3)="","",INDEX(MASTER_DATABASE!$D$4:$D$1000,ROW()-3)&amp;"")</f>
        <v>Financial Services</v>
      </c>
      <c r="E126" s="7" t="str">
        <f aca="false">IF(INDEX(MASTER_DATABASE!$A$4:$A$1000,ROW()-3)="","",INDEX(MASTER_DATABASE!$E$4:$E$1000,ROW()-3)&amp;"")</f>
        <v>CSC Digipay – AEPS Cash Withdrawal</v>
      </c>
      <c r="F126" s="7" t="str">
        <f aca="false">IF(INDEX(MASTER_DATABASE!$A$4:$A$1000,ROW()-3)="","",INDEX(MASTER_DATABASE!$F$4:$F$1000,ROW()-3)&amp;"")</f>
        <v>CSC डिजीपे – AEPS नकद निकासी</v>
      </c>
      <c r="G126" s="7" t="str">
        <f aca="false">IF(INDEX(MASTER_DATABASE!$A$4:$A$1000,ROW()-3)="","",INDEX(MASTER_DATABASE!$AL$4:$AL$1000,ROW()-3)&amp;"")</f>
        <v>Common Service Centre (CSC)</v>
      </c>
      <c r="H126" s="7" t="str">
        <f aca="false">IF(INDEX(MASTER_DATABASE!$A$4:$A$1000,ROW()-3)="","",INDEX(MASTER_DATABASE!$AM$4:$AM$1000,ROW()-3)&amp;"")</f>
        <v>Financial Services</v>
      </c>
      <c r="I126" s="7" t="str">
        <f aca="false">IF(INDEX(MASTER_DATABASE!$A$4:$A$1000,ROW()-3)="","",INDEX(MASTER_DATABASE!$AO$4:$AO$1000,ROW()-3)&amp;"")</f>
        <v>csc-digipay-aeps-cash-withdrawal</v>
      </c>
      <c r="J126" s="7" t="str">
        <f aca="false">IF(INDEX(MASTER_DATABASE!$A$4:$A$1000,ROW()-3)="","",INDEX(MASTER_DATABASE!$BD$4:$BD$1000,ROW()-3)&amp;"")</f>
        <v>/services/csc-digipay-aeps-cash-withdrawal</v>
      </c>
      <c r="K126" s="7" t="str">
        <f aca="false">IF(INDEX(MASTER_DATABASE!$A$4:$A$1000,ROW()-3)="","",INDEX(MASTER_DATABASE!$AX$4:$AX$1000,ROW()-3)&amp;"")</f>
        <v>CSC Digipay – AEPS Cash Withdrawal Service | Devmobile Stores</v>
      </c>
      <c r="L126" s="7" t="str">
        <f aca="false">IF(INDEX(MASTER_DATABASE!$A$4:$A$1000,ROW()-3)="","",INDEX(MASTER_DATABASE!$AY$4:$AY$1000,ROW()-3)&amp;"")</f>
        <v>CSC Digipay – AEPS Cash Withdrawal (CSC डिजीपे – AEPS नकद निकासी) at Devmobile Stores and Common Service Center &amp; Aadhaar Centre. Check required documents, charges and process before you visit.</v>
      </c>
      <c r="M126" s="7" t="str">
        <f aca="false">IF(INDEX(MASTER_DATABASE!$A$4:$A$1000,ROW()-3)="","",INDEX(MASTER_DATABASE!$AN$4:$AN$1000,ROW()-3)&amp;"")</f>
        <v>CSC Digipay – AEPS Cash Withdrawal, Common Service Centre (CSC), Devmobile Stores, CSC डिजीपे – AEPS नकद निकासी, कॉमन सर्विस सेंटर (CSC), सेवा</v>
      </c>
      <c r="N126" s="7" t="str">
        <f aca="false">IF(INDEX(MASTER_DATABASE!$A$4:$A$1000,ROW()-3)="","",INDEX(MASTER_DATABASE!$AZ$4:$AZ$1000,ROW()-3)&amp;"")</f>
        <v>CSC डिजीपे – AEPS नकद निकासी, कॉमन सर्विस सेंटर (CSC), सेवा</v>
      </c>
      <c r="O126" s="7" t="str">
        <f aca="false">IF(INDEX(MASTER_DATABASE!$A$4:$A$1000,ROW()-3)="","",INDEX(MASTER_DATABASE!$BA$4:$BA$1000,ROW()-3)&amp;"")</f>
        <v>CSC Digipay – AEPS Cash Withdrawal, Common Service Centre (CSC), Devmobile Stores</v>
      </c>
      <c r="P126" s="11" t="str">
        <f aca="false">IF(INDEX(MASTER_DATABASE!$A$4:$A$1000,ROW()-3)="","",INDEX(MASTER_DATABASE!$AP$4:$AP$1000,ROW()-3)&amp;"")</f>
        <v>🖥️</v>
      </c>
      <c r="Q126" s="7" t="str">
        <f aca="false">IF(INDEX(MASTER_DATABASE!$A$4:$A$1000,ROW()-3)="","",INDEX(MASTER_DATABASE!$BB$4:$BB$1000,ROW()-3)&amp;"")</f>
        <v/>
      </c>
      <c r="R126" s="11" t="str">
        <f aca="false">IF(INDEX(MASTER_DATABASE!$A$4:$A$1000,ROW()-3)="","",INDEX(MASTER_DATABASE!$BC$4:$BC$1000,ROW()-3)&amp;"")</f>
        <v>🖥️</v>
      </c>
      <c r="S126" s="11" t="n">
        <f aca="false">IF(INDEX(MASTER_DATABASE!$A$4:$A$1000,ROW()-3)="","",INDEX(MASTER_DATABASE!$AQ$4:$AQ$1000,ROW()-3))</f>
        <v>180</v>
      </c>
      <c r="T126" s="7" t="str">
        <f aca="false">IF(INDEX(MASTER_DATABASE!$A$4:$A$1000,ROW()-3)="","",INDEX(MASTER_DATABASE!$I$4:$I$1000,ROW()-3)&amp;"")</f>
        <v>Authorization Required</v>
      </c>
      <c r="U126" s="7" t="str">
        <f aca="false">IF(INDEX(MASTER_DATABASE!$A$4:$A$1000,ROW()-3)="","",INDEX(MASTER_DATABASE!$J$4:$J$1000,ROW()-3)&amp;"")</f>
        <v>Please Confirm at Shop</v>
      </c>
      <c r="V126" s="7" t="str">
        <f aca="false">IF(INDEX(MASTER_DATABASE!$A$4:$A$1000,ROW()-3)="","",INDEX(MASTER_DATABASE!$AG$4:$AG$1000,ROW()-3)&amp;"")</f>
        <v>To Verify</v>
      </c>
      <c r="W126" s="7" t="str">
        <f aca="false">IF(INDEX(MASTER_DATABASE!$A$4:$A$1000,ROW()-3)="","",INDEX(MASTER_DATABASE!$AH$4:$AH$1000,ROW()-3)&amp;"")</f>
        <v>No</v>
      </c>
      <c r="X126" s="7" t="str">
        <f aca="false">IF(INDEX(MASTER_DATABASE!$A$4:$A$1000,ROW()-3)="","",INDEX(MASTER_DATABASE!$AI$4:$AI$1000,ROW()-3)&amp;"")</f>
        <v>No</v>
      </c>
      <c r="Y126" s="7" t="str">
        <f aca="false">IF(INDEX(MASTER_DATABASE!$A$4:$A$1000,ROW()-3)="","",INDEX(MASTER_DATABASE!$AJ$4:$AJ$1000,ROW()-3)&amp;"")</f>
        <v>No</v>
      </c>
      <c r="Z126" s="7" t="str">
        <f aca="false">IF(INDEX(MASTER_DATABASE!$A$4:$A$1000,ROW()-3)="","",INDEX(MASTER_DATABASE!$AK$4:$AK$1000,ROW()-3)&amp;"")</f>
        <v>No</v>
      </c>
      <c r="AA126" s="7" t="str">
        <f aca="false">IF(INDEX(MASTER_DATABASE!$A$4:$A$1000,ROW()-3)="","",INDEX(MASTER_DATABASE!$BE$4:$BE$1000,ROW()-3)&amp;"")</f>
        <v>HIDDEN</v>
      </c>
    </row>
    <row r="127" customFormat="false" ht="46.25" hidden="false" customHeight="false" outlineLevel="0" collapsed="false">
      <c r="A127" s="11" t="str">
        <f aca="false">IF(INDEX(MASTER_DATABASE!$A$4:$A$1000,ROW()-3)="","",INDEX(MASTER_DATABASE!$A$4:$A$1000,ROW()-3)&amp;"")</f>
        <v>CSC-019</v>
      </c>
      <c r="B127" s="7" t="str">
        <f aca="false">IF(INDEX(MASTER_DATABASE!$A$4:$A$1000,ROW()-3)="","",INDEX(MASTER_DATABASE!$B$4:$B$1000,ROW()-3)&amp;"")</f>
        <v>Common Service Centre (CSC)</v>
      </c>
      <c r="C127" s="7" t="str">
        <f aca="false">IF(INDEX(MASTER_DATABASE!$A$4:$A$1000,ROW()-3)="","",INDEX(MASTER_DATABASE!$C$4:$C$1000,ROW()-3)&amp;"")</f>
        <v>Government &amp; Digital Services (CSC)</v>
      </c>
      <c r="D127" s="7" t="str">
        <f aca="false">IF(INDEX(MASTER_DATABASE!$A$4:$A$1000,ROW()-3)="","",INDEX(MASTER_DATABASE!$D$4:$D$1000,ROW()-3)&amp;"")</f>
        <v>Financial Services</v>
      </c>
      <c r="E127" s="7" t="str">
        <f aca="false">IF(INDEX(MASTER_DATABASE!$A$4:$A$1000,ROW()-3)="","",INDEX(MASTER_DATABASE!$E$4:$E$1000,ROW()-3)&amp;"")</f>
        <v>CSC Digipay – Money Transfer</v>
      </c>
      <c r="F127" s="7" t="str">
        <f aca="false">IF(INDEX(MASTER_DATABASE!$A$4:$A$1000,ROW()-3)="","",INDEX(MASTER_DATABASE!$F$4:$F$1000,ROW()-3)&amp;"")</f>
        <v>CSC डिजीपे – मनी ट्रांसफर</v>
      </c>
      <c r="G127" s="7" t="str">
        <f aca="false">IF(INDEX(MASTER_DATABASE!$A$4:$A$1000,ROW()-3)="","",INDEX(MASTER_DATABASE!$AL$4:$AL$1000,ROW()-3)&amp;"")</f>
        <v>Common Service Centre (CSC)</v>
      </c>
      <c r="H127" s="7" t="str">
        <f aca="false">IF(INDEX(MASTER_DATABASE!$A$4:$A$1000,ROW()-3)="","",INDEX(MASTER_DATABASE!$AM$4:$AM$1000,ROW()-3)&amp;"")</f>
        <v>Financial Services</v>
      </c>
      <c r="I127" s="7" t="str">
        <f aca="false">IF(INDEX(MASTER_DATABASE!$A$4:$A$1000,ROW()-3)="","",INDEX(MASTER_DATABASE!$AO$4:$AO$1000,ROW()-3)&amp;"")</f>
        <v>csc-digipay-money-transfer</v>
      </c>
      <c r="J127" s="7" t="str">
        <f aca="false">IF(INDEX(MASTER_DATABASE!$A$4:$A$1000,ROW()-3)="","",INDEX(MASTER_DATABASE!$BD$4:$BD$1000,ROW()-3)&amp;"")</f>
        <v>/services/csc-digipay-money-transfer</v>
      </c>
      <c r="K127" s="7" t="str">
        <f aca="false">IF(INDEX(MASTER_DATABASE!$A$4:$A$1000,ROW()-3)="","",INDEX(MASTER_DATABASE!$AX$4:$AX$1000,ROW()-3)&amp;"")</f>
        <v>CSC Digipay – Money Transfer Service | Devmobile Stores</v>
      </c>
      <c r="L127" s="7" t="str">
        <f aca="false">IF(INDEX(MASTER_DATABASE!$A$4:$A$1000,ROW()-3)="","",INDEX(MASTER_DATABASE!$AY$4:$AY$1000,ROW()-3)&amp;"")</f>
        <v>CSC Digipay – Money Transfer (CSC डिजीपे – मनी ट्रांसफर) at Devmobile Stores and Common Service Center &amp; Aadhaar Centre. Check required documents, charges and process before you visit.</v>
      </c>
      <c r="M127" s="7" t="str">
        <f aca="false">IF(INDEX(MASTER_DATABASE!$A$4:$A$1000,ROW()-3)="","",INDEX(MASTER_DATABASE!$AN$4:$AN$1000,ROW()-3)&amp;"")</f>
        <v>CSC Digipay – Money Transfer, Common Service Centre (CSC), Devmobile Stores, CSC डिजीपे – मनी ट्रांसफर, कॉमन सर्विस सेंटर (CSC), सेवा</v>
      </c>
      <c r="N127" s="7" t="str">
        <f aca="false">IF(INDEX(MASTER_DATABASE!$A$4:$A$1000,ROW()-3)="","",INDEX(MASTER_DATABASE!$AZ$4:$AZ$1000,ROW()-3)&amp;"")</f>
        <v>CSC डिजीपे – मनी ट्रांसफर, कॉमन सर्विस सेंटर (CSC), सेवा</v>
      </c>
      <c r="O127" s="7" t="str">
        <f aca="false">IF(INDEX(MASTER_DATABASE!$A$4:$A$1000,ROW()-3)="","",INDEX(MASTER_DATABASE!$BA$4:$BA$1000,ROW()-3)&amp;"")</f>
        <v>CSC Digipay – Money Transfer, Common Service Centre (CSC), Devmobile Stores</v>
      </c>
      <c r="P127" s="11" t="str">
        <f aca="false">IF(INDEX(MASTER_DATABASE!$A$4:$A$1000,ROW()-3)="","",INDEX(MASTER_DATABASE!$AP$4:$AP$1000,ROW()-3)&amp;"")</f>
        <v>🖥️</v>
      </c>
      <c r="Q127" s="7" t="str">
        <f aca="false">IF(INDEX(MASTER_DATABASE!$A$4:$A$1000,ROW()-3)="","",INDEX(MASTER_DATABASE!$BB$4:$BB$1000,ROW()-3)&amp;"")</f>
        <v/>
      </c>
      <c r="R127" s="11" t="str">
        <f aca="false">IF(INDEX(MASTER_DATABASE!$A$4:$A$1000,ROW()-3)="","",INDEX(MASTER_DATABASE!$BC$4:$BC$1000,ROW()-3)&amp;"")</f>
        <v>🖥️</v>
      </c>
      <c r="S127" s="11" t="n">
        <f aca="false">IF(INDEX(MASTER_DATABASE!$A$4:$A$1000,ROW()-3)="","",INDEX(MASTER_DATABASE!$AQ$4:$AQ$1000,ROW()-3))</f>
        <v>190</v>
      </c>
      <c r="T127" s="7" t="str">
        <f aca="false">IF(INDEX(MASTER_DATABASE!$A$4:$A$1000,ROW()-3)="","",INDEX(MASTER_DATABASE!$I$4:$I$1000,ROW()-3)&amp;"")</f>
        <v>Authorization Required</v>
      </c>
      <c r="U127" s="7" t="str">
        <f aca="false">IF(INDEX(MASTER_DATABASE!$A$4:$A$1000,ROW()-3)="","",INDEX(MASTER_DATABASE!$J$4:$J$1000,ROW()-3)&amp;"")</f>
        <v>Please Confirm at Shop</v>
      </c>
      <c r="V127" s="7" t="str">
        <f aca="false">IF(INDEX(MASTER_DATABASE!$A$4:$A$1000,ROW()-3)="","",INDEX(MASTER_DATABASE!$AG$4:$AG$1000,ROW()-3)&amp;"")</f>
        <v>To Verify</v>
      </c>
      <c r="W127" s="7" t="str">
        <f aca="false">IF(INDEX(MASTER_DATABASE!$A$4:$A$1000,ROW()-3)="","",INDEX(MASTER_DATABASE!$AH$4:$AH$1000,ROW()-3)&amp;"")</f>
        <v>No</v>
      </c>
      <c r="X127" s="7" t="str">
        <f aca="false">IF(INDEX(MASTER_DATABASE!$A$4:$A$1000,ROW()-3)="","",INDEX(MASTER_DATABASE!$AI$4:$AI$1000,ROW()-3)&amp;"")</f>
        <v>No</v>
      </c>
      <c r="Y127" s="7" t="str">
        <f aca="false">IF(INDEX(MASTER_DATABASE!$A$4:$A$1000,ROW()-3)="","",INDEX(MASTER_DATABASE!$AJ$4:$AJ$1000,ROW()-3)&amp;"")</f>
        <v>No</v>
      </c>
      <c r="Z127" s="7" t="str">
        <f aca="false">IF(INDEX(MASTER_DATABASE!$A$4:$A$1000,ROW()-3)="","",INDEX(MASTER_DATABASE!$AK$4:$AK$1000,ROW()-3)&amp;"")</f>
        <v>No</v>
      </c>
      <c r="AA127" s="7" t="str">
        <f aca="false">IF(INDEX(MASTER_DATABASE!$A$4:$A$1000,ROW()-3)="","",INDEX(MASTER_DATABASE!$BE$4:$BE$1000,ROW()-3)&amp;"")</f>
        <v>HIDDEN</v>
      </c>
    </row>
    <row r="128" customFormat="false" ht="46.25" hidden="false" customHeight="false" outlineLevel="0" collapsed="false">
      <c r="A128" s="11" t="str">
        <f aca="false">IF(INDEX(MASTER_DATABASE!$A$4:$A$1000,ROW()-3)="","",INDEX(MASTER_DATABASE!$A$4:$A$1000,ROW()-3)&amp;"")</f>
        <v>CSC-020</v>
      </c>
      <c r="B128" s="7" t="str">
        <f aca="false">IF(INDEX(MASTER_DATABASE!$A$4:$A$1000,ROW()-3)="","",INDEX(MASTER_DATABASE!$B$4:$B$1000,ROW()-3)&amp;"")</f>
        <v>Common Service Centre (CSC)</v>
      </c>
      <c r="C128" s="7" t="str">
        <f aca="false">IF(INDEX(MASTER_DATABASE!$A$4:$A$1000,ROW()-3)="","",INDEX(MASTER_DATABASE!$C$4:$C$1000,ROW()-3)&amp;"")</f>
        <v>Government &amp; Digital Services (CSC)</v>
      </c>
      <c r="D128" s="7" t="str">
        <f aca="false">IF(INDEX(MASTER_DATABASE!$A$4:$A$1000,ROW()-3)="","",INDEX(MASTER_DATABASE!$D$4:$D$1000,ROW()-3)&amp;"")</f>
        <v>Financial Services</v>
      </c>
      <c r="E128" s="7" t="str">
        <f aca="false">IF(INDEX(MASTER_DATABASE!$A$4:$A$1000,ROW()-3)="","",INDEX(MASTER_DATABASE!$E$4:$E$1000,ROW()-3)&amp;"")</f>
        <v>CSC Digipay – Micro ATM</v>
      </c>
      <c r="F128" s="7" t="str">
        <f aca="false">IF(INDEX(MASTER_DATABASE!$A$4:$A$1000,ROW()-3)="","",INDEX(MASTER_DATABASE!$F$4:$F$1000,ROW()-3)&amp;"")</f>
        <v>CSC डिजीपे – Micro ATM</v>
      </c>
      <c r="G128" s="7" t="str">
        <f aca="false">IF(INDEX(MASTER_DATABASE!$A$4:$A$1000,ROW()-3)="","",INDEX(MASTER_DATABASE!$AL$4:$AL$1000,ROW()-3)&amp;"")</f>
        <v>Common Service Centre (CSC)</v>
      </c>
      <c r="H128" s="7" t="str">
        <f aca="false">IF(INDEX(MASTER_DATABASE!$A$4:$A$1000,ROW()-3)="","",INDEX(MASTER_DATABASE!$AM$4:$AM$1000,ROW()-3)&amp;"")</f>
        <v>Financial Services</v>
      </c>
      <c r="I128" s="7" t="str">
        <f aca="false">IF(INDEX(MASTER_DATABASE!$A$4:$A$1000,ROW()-3)="","",INDEX(MASTER_DATABASE!$AO$4:$AO$1000,ROW()-3)&amp;"")</f>
        <v>csc-digipay-micro-atm</v>
      </c>
      <c r="J128" s="7" t="str">
        <f aca="false">IF(INDEX(MASTER_DATABASE!$A$4:$A$1000,ROW()-3)="","",INDEX(MASTER_DATABASE!$BD$4:$BD$1000,ROW()-3)&amp;"")</f>
        <v>/services/csc-digipay-micro-atm</v>
      </c>
      <c r="K128" s="7" t="str">
        <f aca="false">IF(INDEX(MASTER_DATABASE!$A$4:$A$1000,ROW()-3)="","",INDEX(MASTER_DATABASE!$AX$4:$AX$1000,ROW()-3)&amp;"")</f>
        <v>CSC Digipay – Micro ATM Service | Devmobile Stores</v>
      </c>
      <c r="L128" s="7" t="str">
        <f aca="false">IF(INDEX(MASTER_DATABASE!$A$4:$A$1000,ROW()-3)="","",INDEX(MASTER_DATABASE!$AY$4:$AY$1000,ROW()-3)&amp;"")</f>
        <v>CSC Digipay – Micro ATM (CSC डिजीपे – Micro ATM) at Devmobile Stores and Common Service Center &amp; Aadhaar Centre. Check required documents, charges and process before you visit.</v>
      </c>
      <c r="M128" s="7" t="str">
        <f aca="false">IF(INDEX(MASTER_DATABASE!$A$4:$A$1000,ROW()-3)="","",INDEX(MASTER_DATABASE!$AN$4:$AN$1000,ROW()-3)&amp;"")</f>
        <v>CSC Digipay – Micro ATM, Common Service Centre (CSC), Devmobile Stores, CSC डिजीपे – Micro ATM, कॉमन सर्विस सेंटर (CSC), सेवा</v>
      </c>
      <c r="N128" s="7" t="str">
        <f aca="false">IF(INDEX(MASTER_DATABASE!$A$4:$A$1000,ROW()-3)="","",INDEX(MASTER_DATABASE!$AZ$4:$AZ$1000,ROW()-3)&amp;"")</f>
        <v>CSC डिजीपे – Micro ATM, कॉमन सर्विस सेंटर (CSC), सेवा</v>
      </c>
      <c r="O128" s="7" t="str">
        <f aca="false">IF(INDEX(MASTER_DATABASE!$A$4:$A$1000,ROW()-3)="","",INDEX(MASTER_DATABASE!$BA$4:$BA$1000,ROW()-3)&amp;"")</f>
        <v>CSC Digipay – Micro ATM, Common Service Centre (CSC), Devmobile Stores</v>
      </c>
      <c r="P128" s="11" t="str">
        <f aca="false">IF(INDEX(MASTER_DATABASE!$A$4:$A$1000,ROW()-3)="","",INDEX(MASTER_DATABASE!$AP$4:$AP$1000,ROW()-3)&amp;"")</f>
        <v>🖥️</v>
      </c>
      <c r="Q128" s="7" t="str">
        <f aca="false">IF(INDEX(MASTER_DATABASE!$A$4:$A$1000,ROW()-3)="","",INDEX(MASTER_DATABASE!$BB$4:$BB$1000,ROW()-3)&amp;"")</f>
        <v/>
      </c>
      <c r="R128" s="11" t="str">
        <f aca="false">IF(INDEX(MASTER_DATABASE!$A$4:$A$1000,ROW()-3)="","",INDEX(MASTER_DATABASE!$BC$4:$BC$1000,ROW()-3)&amp;"")</f>
        <v>🖥️</v>
      </c>
      <c r="S128" s="11" t="n">
        <f aca="false">IF(INDEX(MASTER_DATABASE!$A$4:$A$1000,ROW()-3)="","",INDEX(MASTER_DATABASE!$AQ$4:$AQ$1000,ROW()-3))</f>
        <v>200</v>
      </c>
      <c r="T128" s="7" t="str">
        <f aca="false">IF(INDEX(MASTER_DATABASE!$A$4:$A$1000,ROW()-3)="","",INDEX(MASTER_DATABASE!$I$4:$I$1000,ROW()-3)&amp;"")</f>
        <v>To Verify</v>
      </c>
      <c r="U128" s="7" t="str">
        <f aca="false">IF(INDEX(MASTER_DATABASE!$A$4:$A$1000,ROW()-3)="","",INDEX(MASTER_DATABASE!$J$4:$J$1000,ROW()-3)&amp;"")</f>
        <v>To Be Confirmed</v>
      </c>
      <c r="V128" s="7" t="str">
        <f aca="false">IF(INDEX(MASTER_DATABASE!$A$4:$A$1000,ROW()-3)="","",INDEX(MASTER_DATABASE!$AG$4:$AG$1000,ROW()-3)&amp;"")</f>
        <v>To Verify</v>
      </c>
      <c r="W128" s="7" t="str">
        <f aca="false">IF(INDEX(MASTER_DATABASE!$A$4:$A$1000,ROW()-3)="","",INDEX(MASTER_DATABASE!$AH$4:$AH$1000,ROW()-3)&amp;"")</f>
        <v>No</v>
      </c>
      <c r="X128" s="7" t="str">
        <f aca="false">IF(INDEX(MASTER_DATABASE!$A$4:$A$1000,ROW()-3)="","",INDEX(MASTER_DATABASE!$AI$4:$AI$1000,ROW()-3)&amp;"")</f>
        <v>No</v>
      </c>
      <c r="Y128" s="7" t="str">
        <f aca="false">IF(INDEX(MASTER_DATABASE!$A$4:$A$1000,ROW()-3)="","",INDEX(MASTER_DATABASE!$AJ$4:$AJ$1000,ROW()-3)&amp;"")</f>
        <v>No</v>
      </c>
      <c r="Z128" s="7" t="str">
        <f aca="false">IF(INDEX(MASTER_DATABASE!$A$4:$A$1000,ROW()-3)="","",INDEX(MASTER_DATABASE!$AK$4:$AK$1000,ROW()-3)&amp;"")</f>
        <v>No</v>
      </c>
      <c r="AA128" s="7" t="str">
        <f aca="false">IF(INDEX(MASTER_DATABASE!$A$4:$A$1000,ROW()-3)="","",INDEX(MASTER_DATABASE!$BE$4:$BE$1000,ROW()-3)&amp;"")</f>
        <v>HIDDEN</v>
      </c>
    </row>
    <row r="129" customFormat="false" ht="57.45" hidden="false" customHeight="false" outlineLevel="0" collapsed="false">
      <c r="A129" s="11" t="str">
        <f aca="false">IF(INDEX(MASTER_DATABASE!$A$4:$A$1000,ROW()-3)="","",INDEX(MASTER_DATABASE!$A$4:$A$1000,ROW()-3)&amp;"")</f>
        <v>CSC-021</v>
      </c>
      <c r="B129" s="7" t="str">
        <f aca="false">IF(INDEX(MASTER_DATABASE!$A$4:$A$1000,ROW()-3)="","",INDEX(MASTER_DATABASE!$B$4:$B$1000,ROW()-3)&amp;"")</f>
        <v>Common Service Centre (CSC)</v>
      </c>
      <c r="C129" s="7" t="str">
        <f aca="false">IF(INDEX(MASTER_DATABASE!$A$4:$A$1000,ROW()-3)="","",INDEX(MASTER_DATABASE!$C$4:$C$1000,ROW()-3)&amp;"")</f>
        <v>Government &amp; Digital Services (CSC)</v>
      </c>
      <c r="D129" s="7" t="str">
        <f aca="false">IF(INDEX(MASTER_DATABASE!$A$4:$A$1000,ROW()-3)="","",INDEX(MASTER_DATABASE!$D$4:$D$1000,ROW()-3)&amp;"")</f>
        <v>Financial Services</v>
      </c>
      <c r="E129" s="7" t="str">
        <f aca="false">IF(INDEX(MASTER_DATABASE!$A$4:$A$1000,ROW()-3)="","",INDEX(MASTER_DATABASE!$E$4:$E$1000,ROW()-3)&amp;"")</f>
        <v>Loan Application Assistance (Mudra / PMEGP etc.)</v>
      </c>
      <c r="F129" s="7" t="str">
        <f aca="false">IF(INDEX(MASTER_DATABASE!$A$4:$A$1000,ROW()-3)="","",INDEX(MASTER_DATABASE!$F$4:$F$1000,ROW()-3)&amp;"")</f>
        <v>ऋण आवेदन सहायता (मुद्रा / PMEGP आदि)</v>
      </c>
      <c r="G129" s="7" t="str">
        <f aca="false">IF(INDEX(MASTER_DATABASE!$A$4:$A$1000,ROW()-3)="","",INDEX(MASTER_DATABASE!$AL$4:$AL$1000,ROW()-3)&amp;"")</f>
        <v>Common Service Centre (CSC)</v>
      </c>
      <c r="H129" s="7" t="str">
        <f aca="false">IF(INDEX(MASTER_DATABASE!$A$4:$A$1000,ROW()-3)="","",INDEX(MASTER_DATABASE!$AM$4:$AM$1000,ROW()-3)&amp;"")</f>
        <v>Financial Services</v>
      </c>
      <c r="I129" s="7" t="str">
        <f aca="false">IF(INDEX(MASTER_DATABASE!$A$4:$A$1000,ROW()-3)="","",INDEX(MASTER_DATABASE!$AO$4:$AO$1000,ROW()-3)&amp;"")</f>
        <v>loan-application-assistance-mudra-pmegp-etc</v>
      </c>
      <c r="J129" s="7" t="str">
        <f aca="false">IF(INDEX(MASTER_DATABASE!$A$4:$A$1000,ROW()-3)="","",INDEX(MASTER_DATABASE!$BD$4:$BD$1000,ROW()-3)&amp;"")</f>
        <v>/services/loan-application-assistance-mudra-pmegp-etc</v>
      </c>
      <c r="K129" s="7" t="str">
        <f aca="false">IF(INDEX(MASTER_DATABASE!$A$4:$A$1000,ROW()-3)="","",INDEX(MASTER_DATABASE!$AX$4:$AX$1000,ROW()-3)&amp;"")</f>
        <v>Loan Application Assistance (Mudra / PMEGP etc.) Service | Devmobile Stores</v>
      </c>
      <c r="L129" s="7" t="str">
        <f aca="false">IF(INDEX(MASTER_DATABASE!$A$4:$A$1000,ROW()-3)="","",INDEX(MASTER_DATABASE!$AY$4:$AY$1000,ROW()-3)&amp;"")</f>
        <v>Loan Application Assistance (Mudra / PMEGP etc.) (ऋण आवेदन सहायता (मुद्रा / PMEGP आदि)) at Devmobile Stores and Common Service Center &amp; Aadhaar Centre. Check required documents, charges and process before you visit.</v>
      </c>
      <c r="M129" s="7" t="str">
        <f aca="false">IF(INDEX(MASTER_DATABASE!$A$4:$A$1000,ROW()-3)="","",INDEX(MASTER_DATABASE!$AN$4:$AN$1000,ROW()-3)&amp;"")</f>
        <v>Loan Application Assistance (Mudra / PMEGP etc.), Common Service Centre (CSC), Devmobile Stores, ऋण आवेदन सहायता (मुद्रा / PMEGP आदि), कॉमन सर्विस सेंटर (CSC), सेवा</v>
      </c>
      <c r="N129" s="7" t="str">
        <f aca="false">IF(INDEX(MASTER_DATABASE!$A$4:$A$1000,ROW()-3)="","",INDEX(MASTER_DATABASE!$AZ$4:$AZ$1000,ROW()-3)&amp;"")</f>
        <v>ऋण आवेदन सहायता (मुद्रा / PMEGP आदि), कॉमन सर्विस सेंटर (CSC), सेवा</v>
      </c>
      <c r="O129" s="7" t="str">
        <f aca="false">IF(INDEX(MASTER_DATABASE!$A$4:$A$1000,ROW()-3)="","",INDEX(MASTER_DATABASE!$BA$4:$BA$1000,ROW()-3)&amp;"")</f>
        <v>Loan Application Assistance (Mudra / PMEGP etc.), Common Service Centre (CSC), Devmobile Stores</v>
      </c>
      <c r="P129" s="11" t="str">
        <f aca="false">IF(INDEX(MASTER_DATABASE!$A$4:$A$1000,ROW()-3)="","",INDEX(MASTER_DATABASE!$AP$4:$AP$1000,ROW()-3)&amp;"")</f>
        <v>🖥️</v>
      </c>
      <c r="Q129" s="7" t="str">
        <f aca="false">IF(INDEX(MASTER_DATABASE!$A$4:$A$1000,ROW()-3)="","",INDEX(MASTER_DATABASE!$BB$4:$BB$1000,ROW()-3)&amp;"")</f>
        <v/>
      </c>
      <c r="R129" s="11" t="str">
        <f aca="false">IF(INDEX(MASTER_DATABASE!$A$4:$A$1000,ROW()-3)="","",INDEX(MASTER_DATABASE!$BC$4:$BC$1000,ROW()-3)&amp;"")</f>
        <v>🖥️</v>
      </c>
      <c r="S129" s="11" t="n">
        <f aca="false">IF(INDEX(MASTER_DATABASE!$A$4:$A$1000,ROW()-3)="","",INDEX(MASTER_DATABASE!$AQ$4:$AQ$1000,ROW()-3))</f>
        <v>210</v>
      </c>
      <c r="T129" s="7" t="str">
        <f aca="false">IF(INDEX(MASTER_DATABASE!$A$4:$A$1000,ROW()-3)="","",INDEX(MASTER_DATABASE!$I$4:$I$1000,ROW()-3)&amp;"")</f>
        <v>To Verify</v>
      </c>
      <c r="U129" s="7" t="str">
        <f aca="false">IF(INDEX(MASTER_DATABASE!$A$4:$A$1000,ROW()-3)="","",INDEX(MASTER_DATABASE!$J$4:$J$1000,ROW()-3)&amp;"")</f>
        <v>To Be Confirmed</v>
      </c>
      <c r="V129" s="7" t="str">
        <f aca="false">IF(INDEX(MASTER_DATABASE!$A$4:$A$1000,ROW()-3)="","",INDEX(MASTER_DATABASE!$AG$4:$AG$1000,ROW()-3)&amp;"")</f>
        <v>To Verify</v>
      </c>
      <c r="W129" s="7" t="str">
        <f aca="false">IF(INDEX(MASTER_DATABASE!$A$4:$A$1000,ROW()-3)="","",INDEX(MASTER_DATABASE!$AH$4:$AH$1000,ROW()-3)&amp;"")</f>
        <v>No</v>
      </c>
      <c r="X129" s="7" t="str">
        <f aca="false">IF(INDEX(MASTER_DATABASE!$A$4:$A$1000,ROW()-3)="","",INDEX(MASTER_DATABASE!$AI$4:$AI$1000,ROW()-3)&amp;"")</f>
        <v>No</v>
      </c>
      <c r="Y129" s="7" t="str">
        <f aca="false">IF(INDEX(MASTER_DATABASE!$A$4:$A$1000,ROW()-3)="","",INDEX(MASTER_DATABASE!$AJ$4:$AJ$1000,ROW()-3)&amp;"")</f>
        <v>No</v>
      </c>
      <c r="Z129" s="7" t="str">
        <f aca="false">IF(INDEX(MASTER_DATABASE!$A$4:$A$1000,ROW()-3)="","",INDEX(MASTER_DATABASE!$AK$4:$AK$1000,ROW()-3)&amp;"")</f>
        <v>No</v>
      </c>
      <c r="AA129" s="7" t="str">
        <f aca="false">IF(INDEX(MASTER_DATABASE!$A$4:$A$1000,ROW()-3)="","",INDEX(MASTER_DATABASE!$BE$4:$BE$1000,ROW()-3)&amp;"")</f>
        <v>HIDDEN</v>
      </c>
    </row>
    <row r="130" customFormat="false" ht="46.25" hidden="false" customHeight="false" outlineLevel="0" collapsed="false">
      <c r="A130" s="11" t="str">
        <f aca="false">IF(INDEX(MASTER_DATABASE!$A$4:$A$1000,ROW()-3)="","",INDEX(MASTER_DATABASE!$A$4:$A$1000,ROW()-3)&amp;"")</f>
        <v>CSC-022</v>
      </c>
      <c r="B130" s="7" t="str">
        <f aca="false">IF(INDEX(MASTER_DATABASE!$A$4:$A$1000,ROW()-3)="","",INDEX(MASTER_DATABASE!$B$4:$B$1000,ROW()-3)&amp;"")</f>
        <v>Common Service Centre (CSC)</v>
      </c>
      <c r="C130" s="7" t="str">
        <f aca="false">IF(INDEX(MASTER_DATABASE!$A$4:$A$1000,ROW()-3)="","",INDEX(MASTER_DATABASE!$C$4:$C$1000,ROW()-3)&amp;"")</f>
        <v>Government &amp; Digital Services (CSC)</v>
      </c>
      <c r="D130" s="7" t="str">
        <f aca="false">IF(INDEX(MASTER_DATABASE!$A$4:$A$1000,ROW()-3)="","",INDEX(MASTER_DATABASE!$D$4:$D$1000,ROW()-3)&amp;"")</f>
        <v>Insurance Services</v>
      </c>
      <c r="E130" s="7" t="str">
        <f aca="false">IF(INDEX(MASTER_DATABASE!$A$4:$A$1000,ROW()-3)="","",INDEX(MASTER_DATABASE!$E$4:$E$1000,ROW()-3)&amp;"")</f>
        <v>Life Insurance – New Policy</v>
      </c>
      <c r="F130" s="7" t="str">
        <f aca="false">IF(INDEX(MASTER_DATABASE!$A$4:$A$1000,ROW()-3)="","",INDEX(MASTER_DATABASE!$F$4:$F$1000,ROW()-3)&amp;"")</f>
        <v>जीवन बीमा – नई पॉलिसी</v>
      </c>
      <c r="G130" s="7" t="str">
        <f aca="false">IF(INDEX(MASTER_DATABASE!$A$4:$A$1000,ROW()-3)="","",INDEX(MASTER_DATABASE!$AL$4:$AL$1000,ROW()-3)&amp;"")</f>
        <v>Common Service Centre (CSC)</v>
      </c>
      <c r="H130" s="7" t="str">
        <f aca="false">IF(INDEX(MASTER_DATABASE!$A$4:$A$1000,ROW()-3)="","",INDEX(MASTER_DATABASE!$AM$4:$AM$1000,ROW()-3)&amp;"")</f>
        <v>Insurance Services</v>
      </c>
      <c r="I130" s="7" t="str">
        <f aca="false">IF(INDEX(MASTER_DATABASE!$A$4:$A$1000,ROW()-3)="","",INDEX(MASTER_DATABASE!$AO$4:$AO$1000,ROW()-3)&amp;"")</f>
        <v>life-insurance-new-policy</v>
      </c>
      <c r="J130" s="7" t="str">
        <f aca="false">IF(INDEX(MASTER_DATABASE!$A$4:$A$1000,ROW()-3)="","",INDEX(MASTER_DATABASE!$BD$4:$BD$1000,ROW()-3)&amp;"")</f>
        <v>/services/life-insurance-new-policy</v>
      </c>
      <c r="K130" s="7" t="str">
        <f aca="false">IF(INDEX(MASTER_DATABASE!$A$4:$A$1000,ROW()-3)="","",INDEX(MASTER_DATABASE!$AX$4:$AX$1000,ROW()-3)&amp;"")</f>
        <v>Life Insurance – New Policy Service | Devmobile Stores</v>
      </c>
      <c r="L130" s="7" t="str">
        <f aca="false">IF(INDEX(MASTER_DATABASE!$A$4:$A$1000,ROW()-3)="","",INDEX(MASTER_DATABASE!$AY$4:$AY$1000,ROW()-3)&amp;"")</f>
        <v>Life Insurance – New Policy (जीवन बीमा – नई पॉलिसी) at Devmobile Stores and Common Service Center &amp; Aadhaar Centre. Check required documents, charges and process before you visit.</v>
      </c>
      <c r="M130" s="7" t="str">
        <f aca="false">IF(INDEX(MASTER_DATABASE!$A$4:$A$1000,ROW()-3)="","",INDEX(MASTER_DATABASE!$AN$4:$AN$1000,ROW()-3)&amp;"")</f>
        <v>Life Insurance – New Policy, Common Service Centre (CSC), Devmobile Stores, जीवन बीमा – नई पॉलिसी, कॉमन सर्विस सेंटर (CSC), सेवा</v>
      </c>
      <c r="N130" s="7" t="str">
        <f aca="false">IF(INDEX(MASTER_DATABASE!$A$4:$A$1000,ROW()-3)="","",INDEX(MASTER_DATABASE!$AZ$4:$AZ$1000,ROW()-3)&amp;"")</f>
        <v>जीवन बीमा – नई पॉलिसी, कॉमन सर्विस सेंटर (CSC), सेवा</v>
      </c>
      <c r="O130" s="7" t="str">
        <f aca="false">IF(INDEX(MASTER_DATABASE!$A$4:$A$1000,ROW()-3)="","",INDEX(MASTER_DATABASE!$BA$4:$BA$1000,ROW()-3)&amp;"")</f>
        <v>Life Insurance – New Policy, Common Service Centre (CSC), Devmobile Stores</v>
      </c>
      <c r="P130" s="11" t="str">
        <f aca="false">IF(INDEX(MASTER_DATABASE!$A$4:$A$1000,ROW()-3)="","",INDEX(MASTER_DATABASE!$AP$4:$AP$1000,ROW()-3)&amp;"")</f>
        <v>🛡️</v>
      </c>
      <c r="Q130" s="7" t="str">
        <f aca="false">IF(INDEX(MASTER_DATABASE!$A$4:$A$1000,ROW()-3)="","",INDEX(MASTER_DATABASE!$BB$4:$BB$1000,ROW()-3)&amp;"")</f>
        <v/>
      </c>
      <c r="R130" s="11" t="str">
        <f aca="false">IF(INDEX(MASTER_DATABASE!$A$4:$A$1000,ROW()-3)="","",INDEX(MASTER_DATABASE!$BC$4:$BC$1000,ROW()-3)&amp;"")</f>
        <v>🖥️</v>
      </c>
      <c r="S130" s="11" t="n">
        <f aca="false">IF(INDEX(MASTER_DATABASE!$A$4:$A$1000,ROW()-3)="","",INDEX(MASTER_DATABASE!$AQ$4:$AQ$1000,ROW()-3))</f>
        <v>220</v>
      </c>
      <c r="T130" s="7" t="str">
        <f aca="false">IF(INDEX(MASTER_DATABASE!$A$4:$A$1000,ROW()-3)="","",INDEX(MASTER_DATABASE!$I$4:$I$1000,ROW()-3)&amp;"")</f>
        <v>Authorization Required</v>
      </c>
      <c r="U130" s="7" t="str">
        <f aca="false">IF(INDEX(MASTER_DATABASE!$A$4:$A$1000,ROW()-3)="","",INDEX(MASTER_DATABASE!$J$4:$J$1000,ROW()-3)&amp;"")</f>
        <v>Please Confirm at Shop</v>
      </c>
      <c r="V130" s="7" t="str">
        <f aca="false">IF(INDEX(MASTER_DATABASE!$A$4:$A$1000,ROW()-3)="","",INDEX(MASTER_DATABASE!$AG$4:$AG$1000,ROW()-3)&amp;"")</f>
        <v>To Verify</v>
      </c>
      <c r="W130" s="7" t="str">
        <f aca="false">IF(INDEX(MASTER_DATABASE!$A$4:$A$1000,ROW()-3)="","",INDEX(MASTER_DATABASE!$AH$4:$AH$1000,ROW()-3)&amp;"")</f>
        <v>No</v>
      </c>
      <c r="X130" s="7" t="str">
        <f aca="false">IF(INDEX(MASTER_DATABASE!$A$4:$A$1000,ROW()-3)="","",INDEX(MASTER_DATABASE!$AI$4:$AI$1000,ROW()-3)&amp;"")</f>
        <v>No</v>
      </c>
      <c r="Y130" s="7" t="str">
        <f aca="false">IF(INDEX(MASTER_DATABASE!$A$4:$A$1000,ROW()-3)="","",INDEX(MASTER_DATABASE!$AJ$4:$AJ$1000,ROW()-3)&amp;"")</f>
        <v>No</v>
      </c>
      <c r="Z130" s="7" t="str">
        <f aca="false">IF(INDEX(MASTER_DATABASE!$A$4:$A$1000,ROW()-3)="","",INDEX(MASTER_DATABASE!$AK$4:$AK$1000,ROW()-3)&amp;"")</f>
        <v>No</v>
      </c>
      <c r="AA130" s="7" t="str">
        <f aca="false">IF(INDEX(MASTER_DATABASE!$A$4:$A$1000,ROW()-3)="","",INDEX(MASTER_DATABASE!$BE$4:$BE$1000,ROW()-3)&amp;"")</f>
        <v>HIDDEN</v>
      </c>
    </row>
    <row r="131" customFormat="false" ht="46.25" hidden="false" customHeight="false" outlineLevel="0" collapsed="false">
      <c r="A131" s="11" t="str">
        <f aca="false">IF(INDEX(MASTER_DATABASE!$A$4:$A$1000,ROW()-3)="","",INDEX(MASTER_DATABASE!$A$4:$A$1000,ROW()-3)&amp;"")</f>
        <v>CSC-023</v>
      </c>
      <c r="B131" s="7" t="str">
        <f aca="false">IF(INDEX(MASTER_DATABASE!$A$4:$A$1000,ROW()-3)="","",INDEX(MASTER_DATABASE!$B$4:$B$1000,ROW()-3)&amp;"")</f>
        <v>Common Service Centre (CSC)</v>
      </c>
      <c r="C131" s="7" t="str">
        <f aca="false">IF(INDEX(MASTER_DATABASE!$A$4:$A$1000,ROW()-3)="","",INDEX(MASTER_DATABASE!$C$4:$C$1000,ROW()-3)&amp;"")</f>
        <v>Government &amp; Digital Services (CSC)</v>
      </c>
      <c r="D131" s="7" t="str">
        <f aca="false">IF(INDEX(MASTER_DATABASE!$A$4:$A$1000,ROW()-3)="","",INDEX(MASTER_DATABASE!$D$4:$D$1000,ROW()-3)&amp;"")</f>
        <v>Insurance Services</v>
      </c>
      <c r="E131" s="7" t="str">
        <f aca="false">IF(INDEX(MASTER_DATABASE!$A$4:$A$1000,ROW()-3)="","",INDEX(MASTER_DATABASE!$E$4:$E$1000,ROW()-3)&amp;"")</f>
        <v>Health Insurance – New Policy</v>
      </c>
      <c r="F131" s="7" t="str">
        <f aca="false">IF(INDEX(MASTER_DATABASE!$A$4:$A$1000,ROW()-3)="","",INDEX(MASTER_DATABASE!$F$4:$F$1000,ROW()-3)&amp;"")</f>
        <v>स्वास्थ्य बीमा – नई पॉलिसी</v>
      </c>
      <c r="G131" s="7" t="str">
        <f aca="false">IF(INDEX(MASTER_DATABASE!$A$4:$A$1000,ROW()-3)="","",INDEX(MASTER_DATABASE!$AL$4:$AL$1000,ROW()-3)&amp;"")</f>
        <v>Common Service Centre (CSC)</v>
      </c>
      <c r="H131" s="7" t="str">
        <f aca="false">IF(INDEX(MASTER_DATABASE!$A$4:$A$1000,ROW()-3)="","",INDEX(MASTER_DATABASE!$AM$4:$AM$1000,ROW()-3)&amp;"")</f>
        <v>Insurance Services</v>
      </c>
      <c r="I131" s="7" t="str">
        <f aca="false">IF(INDEX(MASTER_DATABASE!$A$4:$A$1000,ROW()-3)="","",INDEX(MASTER_DATABASE!$AO$4:$AO$1000,ROW()-3)&amp;"")</f>
        <v>health-insurance-new-policy</v>
      </c>
      <c r="J131" s="7" t="str">
        <f aca="false">IF(INDEX(MASTER_DATABASE!$A$4:$A$1000,ROW()-3)="","",INDEX(MASTER_DATABASE!$BD$4:$BD$1000,ROW()-3)&amp;"")</f>
        <v>/services/health-insurance-new-policy</v>
      </c>
      <c r="K131" s="7" t="str">
        <f aca="false">IF(INDEX(MASTER_DATABASE!$A$4:$A$1000,ROW()-3)="","",INDEX(MASTER_DATABASE!$AX$4:$AX$1000,ROW()-3)&amp;"")</f>
        <v>Health Insurance – New Policy Service | Devmobile Stores</v>
      </c>
      <c r="L131" s="7" t="str">
        <f aca="false">IF(INDEX(MASTER_DATABASE!$A$4:$A$1000,ROW()-3)="","",INDEX(MASTER_DATABASE!$AY$4:$AY$1000,ROW()-3)&amp;"")</f>
        <v>Health Insurance – New Policy (स्वास्थ्य बीमा – नई पॉलिसी) at Devmobile Stores and Common Service Center &amp; Aadhaar Centre. Check required documents, charges and process before you visit.</v>
      </c>
      <c r="M131" s="7" t="str">
        <f aca="false">IF(INDEX(MASTER_DATABASE!$A$4:$A$1000,ROW()-3)="","",INDEX(MASTER_DATABASE!$AN$4:$AN$1000,ROW()-3)&amp;"")</f>
        <v>Health Insurance – New Policy, Common Service Centre (CSC), Devmobile Stores, स्वास्थ्य बीमा – नई पॉलिसी, कॉमन सर्विस सेंटर (CSC), सेवा</v>
      </c>
      <c r="N131" s="7" t="str">
        <f aca="false">IF(INDEX(MASTER_DATABASE!$A$4:$A$1000,ROW()-3)="","",INDEX(MASTER_DATABASE!$AZ$4:$AZ$1000,ROW()-3)&amp;"")</f>
        <v>स्वास्थ्य बीमा – नई पॉलिसी, कॉमन सर्विस सेंटर (CSC), सेवा</v>
      </c>
      <c r="O131" s="7" t="str">
        <f aca="false">IF(INDEX(MASTER_DATABASE!$A$4:$A$1000,ROW()-3)="","",INDEX(MASTER_DATABASE!$BA$4:$BA$1000,ROW()-3)&amp;"")</f>
        <v>Health Insurance – New Policy, Common Service Centre (CSC), Devmobile Stores</v>
      </c>
      <c r="P131" s="11" t="str">
        <f aca="false">IF(INDEX(MASTER_DATABASE!$A$4:$A$1000,ROW()-3)="","",INDEX(MASTER_DATABASE!$AP$4:$AP$1000,ROW()-3)&amp;"")</f>
        <v>🛡️</v>
      </c>
      <c r="Q131" s="7" t="str">
        <f aca="false">IF(INDEX(MASTER_DATABASE!$A$4:$A$1000,ROW()-3)="","",INDEX(MASTER_DATABASE!$BB$4:$BB$1000,ROW()-3)&amp;"")</f>
        <v/>
      </c>
      <c r="R131" s="11" t="str">
        <f aca="false">IF(INDEX(MASTER_DATABASE!$A$4:$A$1000,ROW()-3)="","",INDEX(MASTER_DATABASE!$BC$4:$BC$1000,ROW()-3)&amp;"")</f>
        <v>🖥️</v>
      </c>
      <c r="S131" s="11" t="n">
        <f aca="false">IF(INDEX(MASTER_DATABASE!$A$4:$A$1000,ROW()-3)="","",INDEX(MASTER_DATABASE!$AQ$4:$AQ$1000,ROW()-3))</f>
        <v>230</v>
      </c>
      <c r="T131" s="7" t="str">
        <f aca="false">IF(INDEX(MASTER_DATABASE!$A$4:$A$1000,ROW()-3)="","",INDEX(MASTER_DATABASE!$I$4:$I$1000,ROW()-3)&amp;"")</f>
        <v>Authorization Required</v>
      </c>
      <c r="U131" s="7" t="str">
        <f aca="false">IF(INDEX(MASTER_DATABASE!$A$4:$A$1000,ROW()-3)="","",INDEX(MASTER_DATABASE!$J$4:$J$1000,ROW()-3)&amp;"")</f>
        <v>Please Confirm at Shop</v>
      </c>
      <c r="V131" s="7" t="str">
        <f aca="false">IF(INDEX(MASTER_DATABASE!$A$4:$A$1000,ROW()-3)="","",INDEX(MASTER_DATABASE!$AG$4:$AG$1000,ROW()-3)&amp;"")</f>
        <v>To Verify</v>
      </c>
      <c r="W131" s="7" t="str">
        <f aca="false">IF(INDEX(MASTER_DATABASE!$A$4:$A$1000,ROW()-3)="","",INDEX(MASTER_DATABASE!$AH$4:$AH$1000,ROW()-3)&amp;"")</f>
        <v>No</v>
      </c>
      <c r="X131" s="7" t="str">
        <f aca="false">IF(INDEX(MASTER_DATABASE!$A$4:$A$1000,ROW()-3)="","",INDEX(MASTER_DATABASE!$AI$4:$AI$1000,ROW()-3)&amp;"")</f>
        <v>No</v>
      </c>
      <c r="Y131" s="7" t="str">
        <f aca="false">IF(INDEX(MASTER_DATABASE!$A$4:$A$1000,ROW()-3)="","",INDEX(MASTER_DATABASE!$AJ$4:$AJ$1000,ROW()-3)&amp;"")</f>
        <v>No</v>
      </c>
      <c r="Z131" s="7" t="str">
        <f aca="false">IF(INDEX(MASTER_DATABASE!$A$4:$A$1000,ROW()-3)="","",INDEX(MASTER_DATABASE!$AK$4:$AK$1000,ROW()-3)&amp;"")</f>
        <v>No</v>
      </c>
      <c r="AA131" s="7" t="str">
        <f aca="false">IF(INDEX(MASTER_DATABASE!$A$4:$A$1000,ROW()-3)="","",INDEX(MASTER_DATABASE!$BE$4:$BE$1000,ROW()-3)&amp;"")</f>
        <v>HIDDEN</v>
      </c>
    </row>
    <row r="132" customFormat="false" ht="46.25" hidden="false" customHeight="false" outlineLevel="0" collapsed="false">
      <c r="A132" s="11" t="str">
        <f aca="false">IF(INDEX(MASTER_DATABASE!$A$4:$A$1000,ROW()-3)="","",INDEX(MASTER_DATABASE!$A$4:$A$1000,ROW()-3)&amp;"")</f>
        <v>CSC-024</v>
      </c>
      <c r="B132" s="7" t="str">
        <f aca="false">IF(INDEX(MASTER_DATABASE!$A$4:$A$1000,ROW()-3)="","",INDEX(MASTER_DATABASE!$B$4:$B$1000,ROW()-3)&amp;"")</f>
        <v>Common Service Centre (CSC)</v>
      </c>
      <c r="C132" s="7" t="str">
        <f aca="false">IF(INDEX(MASTER_DATABASE!$A$4:$A$1000,ROW()-3)="","",INDEX(MASTER_DATABASE!$C$4:$C$1000,ROW()-3)&amp;"")</f>
        <v>Government &amp; Digital Services (CSC)</v>
      </c>
      <c r="D132" s="7" t="str">
        <f aca="false">IF(INDEX(MASTER_DATABASE!$A$4:$A$1000,ROW()-3)="","",INDEX(MASTER_DATABASE!$D$4:$D$1000,ROW()-3)&amp;"")</f>
        <v>Insurance Services</v>
      </c>
      <c r="E132" s="7" t="str">
        <f aca="false">IF(INDEX(MASTER_DATABASE!$A$4:$A$1000,ROW()-3)="","",INDEX(MASTER_DATABASE!$E$4:$E$1000,ROW()-3)&amp;"")</f>
        <v>Motor Insurance – New / Renewal</v>
      </c>
      <c r="F132" s="7" t="str">
        <f aca="false">IF(INDEX(MASTER_DATABASE!$A$4:$A$1000,ROW()-3)="","",INDEX(MASTER_DATABASE!$F$4:$F$1000,ROW()-3)&amp;"")</f>
        <v>वाहन बीमा – नया / नवीनीकरण</v>
      </c>
      <c r="G132" s="7" t="str">
        <f aca="false">IF(INDEX(MASTER_DATABASE!$A$4:$A$1000,ROW()-3)="","",INDEX(MASTER_DATABASE!$AL$4:$AL$1000,ROW()-3)&amp;"")</f>
        <v>Common Service Centre (CSC)</v>
      </c>
      <c r="H132" s="7" t="str">
        <f aca="false">IF(INDEX(MASTER_DATABASE!$A$4:$A$1000,ROW()-3)="","",INDEX(MASTER_DATABASE!$AM$4:$AM$1000,ROW()-3)&amp;"")</f>
        <v>Insurance Services</v>
      </c>
      <c r="I132" s="7" t="str">
        <f aca="false">IF(INDEX(MASTER_DATABASE!$A$4:$A$1000,ROW()-3)="","",INDEX(MASTER_DATABASE!$AO$4:$AO$1000,ROW()-3)&amp;"")</f>
        <v>motor-insurance-new-renewal</v>
      </c>
      <c r="J132" s="7" t="str">
        <f aca="false">IF(INDEX(MASTER_DATABASE!$A$4:$A$1000,ROW()-3)="","",INDEX(MASTER_DATABASE!$BD$4:$BD$1000,ROW()-3)&amp;"")</f>
        <v>/services/motor-insurance-new-renewal</v>
      </c>
      <c r="K132" s="7" t="str">
        <f aca="false">IF(INDEX(MASTER_DATABASE!$A$4:$A$1000,ROW()-3)="","",INDEX(MASTER_DATABASE!$AX$4:$AX$1000,ROW()-3)&amp;"")</f>
        <v>Motor Insurance – New / Renewal Service | Devmobile Stores</v>
      </c>
      <c r="L132" s="7" t="str">
        <f aca="false">IF(INDEX(MASTER_DATABASE!$A$4:$A$1000,ROW()-3)="","",INDEX(MASTER_DATABASE!$AY$4:$AY$1000,ROW()-3)&amp;"")</f>
        <v>Motor Insurance – New / Renewal (वाहन बीमा – नया / नवीनीकरण) at Devmobile Stores and Common Service Center &amp; Aadhaar Centre. Check required documents, charges and process before you visit.</v>
      </c>
      <c r="M132" s="7" t="str">
        <f aca="false">IF(INDEX(MASTER_DATABASE!$A$4:$A$1000,ROW()-3)="","",INDEX(MASTER_DATABASE!$AN$4:$AN$1000,ROW()-3)&amp;"")</f>
        <v>Motor Insurance – New / Renewal, Common Service Centre (CSC), Devmobile Stores, वाहन बीमा – नया / नवीनीकरण, कॉमन सर्विस सेंटर (CSC), सेवा</v>
      </c>
      <c r="N132" s="7" t="str">
        <f aca="false">IF(INDEX(MASTER_DATABASE!$A$4:$A$1000,ROW()-3)="","",INDEX(MASTER_DATABASE!$AZ$4:$AZ$1000,ROW()-3)&amp;"")</f>
        <v>वाहन बीमा – नया / नवीनीकरण, कॉमन सर्विस सेंटर (CSC), सेवा</v>
      </c>
      <c r="O132" s="7" t="str">
        <f aca="false">IF(INDEX(MASTER_DATABASE!$A$4:$A$1000,ROW()-3)="","",INDEX(MASTER_DATABASE!$BA$4:$BA$1000,ROW()-3)&amp;"")</f>
        <v>Motor Insurance – New / Renewal, Common Service Centre (CSC), Devmobile Stores</v>
      </c>
      <c r="P132" s="11" t="str">
        <f aca="false">IF(INDEX(MASTER_DATABASE!$A$4:$A$1000,ROW()-3)="","",INDEX(MASTER_DATABASE!$AP$4:$AP$1000,ROW()-3)&amp;"")</f>
        <v>🛡️</v>
      </c>
      <c r="Q132" s="7" t="str">
        <f aca="false">IF(INDEX(MASTER_DATABASE!$A$4:$A$1000,ROW()-3)="","",INDEX(MASTER_DATABASE!$BB$4:$BB$1000,ROW()-3)&amp;"")</f>
        <v/>
      </c>
      <c r="R132" s="11" t="str">
        <f aca="false">IF(INDEX(MASTER_DATABASE!$A$4:$A$1000,ROW()-3)="","",INDEX(MASTER_DATABASE!$BC$4:$BC$1000,ROW()-3)&amp;"")</f>
        <v>🖥️</v>
      </c>
      <c r="S132" s="11" t="n">
        <f aca="false">IF(INDEX(MASTER_DATABASE!$A$4:$A$1000,ROW()-3)="","",INDEX(MASTER_DATABASE!$AQ$4:$AQ$1000,ROW()-3))</f>
        <v>240</v>
      </c>
      <c r="T132" s="7" t="str">
        <f aca="false">IF(INDEX(MASTER_DATABASE!$A$4:$A$1000,ROW()-3)="","",INDEX(MASTER_DATABASE!$I$4:$I$1000,ROW()-3)&amp;"")</f>
        <v>Authorization Required</v>
      </c>
      <c r="U132" s="7" t="str">
        <f aca="false">IF(INDEX(MASTER_DATABASE!$A$4:$A$1000,ROW()-3)="","",INDEX(MASTER_DATABASE!$J$4:$J$1000,ROW()-3)&amp;"")</f>
        <v>Please Confirm at Shop</v>
      </c>
      <c r="V132" s="7" t="str">
        <f aca="false">IF(INDEX(MASTER_DATABASE!$A$4:$A$1000,ROW()-3)="","",INDEX(MASTER_DATABASE!$AG$4:$AG$1000,ROW()-3)&amp;"")</f>
        <v>To Verify</v>
      </c>
      <c r="W132" s="7" t="str">
        <f aca="false">IF(INDEX(MASTER_DATABASE!$A$4:$A$1000,ROW()-3)="","",INDEX(MASTER_DATABASE!$AH$4:$AH$1000,ROW()-3)&amp;"")</f>
        <v>No</v>
      </c>
      <c r="X132" s="7" t="str">
        <f aca="false">IF(INDEX(MASTER_DATABASE!$A$4:$A$1000,ROW()-3)="","",INDEX(MASTER_DATABASE!$AI$4:$AI$1000,ROW()-3)&amp;"")</f>
        <v>No</v>
      </c>
      <c r="Y132" s="7" t="str">
        <f aca="false">IF(INDEX(MASTER_DATABASE!$A$4:$A$1000,ROW()-3)="","",INDEX(MASTER_DATABASE!$AJ$4:$AJ$1000,ROW()-3)&amp;"")</f>
        <v>No</v>
      </c>
      <c r="Z132" s="7" t="str">
        <f aca="false">IF(INDEX(MASTER_DATABASE!$A$4:$A$1000,ROW()-3)="","",INDEX(MASTER_DATABASE!$AK$4:$AK$1000,ROW()-3)&amp;"")</f>
        <v>No</v>
      </c>
      <c r="AA132" s="7" t="str">
        <f aca="false">IF(INDEX(MASTER_DATABASE!$A$4:$A$1000,ROW()-3)="","",INDEX(MASTER_DATABASE!$BE$4:$BE$1000,ROW()-3)&amp;"")</f>
        <v>HIDDEN</v>
      </c>
    </row>
    <row r="133" customFormat="false" ht="46.25" hidden="false" customHeight="false" outlineLevel="0" collapsed="false">
      <c r="A133" s="11" t="str">
        <f aca="false">IF(INDEX(MASTER_DATABASE!$A$4:$A$1000,ROW()-3)="","",INDEX(MASTER_DATABASE!$A$4:$A$1000,ROW()-3)&amp;"")</f>
        <v>CSC-025</v>
      </c>
      <c r="B133" s="7" t="str">
        <f aca="false">IF(INDEX(MASTER_DATABASE!$A$4:$A$1000,ROW()-3)="","",INDEX(MASTER_DATABASE!$B$4:$B$1000,ROW()-3)&amp;"")</f>
        <v>Common Service Centre (CSC)</v>
      </c>
      <c r="C133" s="7" t="str">
        <f aca="false">IF(INDEX(MASTER_DATABASE!$A$4:$A$1000,ROW()-3)="","",INDEX(MASTER_DATABASE!$C$4:$C$1000,ROW()-3)&amp;"")</f>
        <v>Government &amp; Digital Services (CSC)</v>
      </c>
      <c r="D133" s="7" t="str">
        <f aca="false">IF(INDEX(MASTER_DATABASE!$A$4:$A$1000,ROW()-3)="","",INDEX(MASTER_DATABASE!$D$4:$D$1000,ROW()-3)&amp;"")</f>
        <v>Insurance Services</v>
      </c>
      <c r="E133" s="7" t="str">
        <f aca="false">IF(INDEX(MASTER_DATABASE!$A$4:$A$1000,ROW()-3)="","",INDEX(MASTER_DATABASE!$E$4:$E$1000,ROW()-3)&amp;"")</f>
        <v>Crop Insurance (PMFBY) Enrolment</v>
      </c>
      <c r="F133" s="7" t="str">
        <f aca="false">IF(INDEX(MASTER_DATABASE!$A$4:$A$1000,ROW()-3)="","",INDEX(MASTER_DATABASE!$F$4:$F$1000,ROW()-3)&amp;"")</f>
        <v>फसल बीमा (PMFBY) नामांकन</v>
      </c>
      <c r="G133" s="7" t="str">
        <f aca="false">IF(INDEX(MASTER_DATABASE!$A$4:$A$1000,ROW()-3)="","",INDEX(MASTER_DATABASE!$AL$4:$AL$1000,ROW()-3)&amp;"")</f>
        <v>Common Service Centre (CSC)</v>
      </c>
      <c r="H133" s="7" t="str">
        <f aca="false">IF(INDEX(MASTER_DATABASE!$A$4:$A$1000,ROW()-3)="","",INDEX(MASTER_DATABASE!$AM$4:$AM$1000,ROW()-3)&amp;"")</f>
        <v>Insurance Services</v>
      </c>
      <c r="I133" s="7" t="str">
        <f aca="false">IF(INDEX(MASTER_DATABASE!$A$4:$A$1000,ROW()-3)="","",INDEX(MASTER_DATABASE!$AO$4:$AO$1000,ROW()-3)&amp;"")</f>
        <v>crop-insurance-pmfby-enrolment</v>
      </c>
      <c r="J133" s="7" t="str">
        <f aca="false">IF(INDEX(MASTER_DATABASE!$A$4:$A$1000,ROW()-3)="","",INDEX(MASTER_DATABASE!$BD$4:$BD$1000,ROW()-3)&amp;"")</f>
        <v>/services/crop-insurance-pmfby-enrolment</v>
      </c>
      <c r="K133" s="7" t="str">
        <f aca="false">IF(INDEX(MASTER_DATABASE!$A$4:$A$1000,ROW()-3)="","",INDEX(MASTER_DATABASE!$AX$4:$AX$1000,ROW()-3)&amp;"")</f>
        <v>Crop Insurance (PMFBY) Enrolment Service | Devmobile Stores</v>
      </c>
      <c r="L133" s="7" t="str">
        <f aca="false">IF(INDEX(MASTER_DATABASE!$A$4:$A$1000,ROW()-3)="","",INDEX(MASTER_DATABASE!$AY$4:$AY$1000,ROW()-3)&amp;"")</f>
        <v>Crop Insurance (PMFBY) Enrolment (फसल बीमा (PMFBY) नामांकन) at Devmobile Stores and Common Service Center &amp; Aadhaar Centre. Check required documents, charges and process before you visit.</v>
      </c>
      <c r="M133" s="7" t="str">
        <f aca="false">IF(INDEX(MASTER_DATABASE!$A$4:$A$1000,ROW()-3)="","",INDEX(MASTER_DATABASE!$AN$4:$AN$1000,ROW()-3)&amp;"")</f>
        <v>Crop Insurance (PMFBY) Enrolment, Common Service Centre (CSC), Devmobile Stores, फसल बीमा (PMFBY) नामांकन, कॉमन सर्विस सेंटर (CSC), सेवा</v>
      </c>
      <c r="N133" s="7" t="str">
        <f aca="false">IF(INDEX(MASTER_DATABASE!$A$4:$A$1000,ROW()-3)="","",INDEX(MASTER_DATABASE!$AZ$4:$AZ$1000,ROW()-3)&amp;"")</f>
        <v>फसल बीमा (PMFBY) नामांकन, कॉमन सर्विस सेंटर (CSC), सेवा</v>
      </c>
      <c r="O133" s="7" t="str">
        <f aca="false">IF(INDEX(MASTER_DATABASE!$A$4:$A$1000,ROW()-3)="","",INDEX(MASTER_DATABASE!$BA$4:$BA$1000,ROW()-3)&amp;"")</f>
        <v>Crop Insurance (PMFBY) Enrolment, Common Service Centre (CSC), Devmobile Stores</v>
      </c>
      <c r="P133" s="11" t="str">
        <f aca="false">IF(INDEX(MASTER_DATABASE!$A$4:$A$1000,ROW()-3)="","",INDEX(MASTER_DATABASE!$AP$4:$AP$1000,ROW()-3)&amp;"")</f>
        <v>🛡️</v>
      </c>
      <c r="Q133" s="7" t="str">
        <f aca="false">IF(INDEX(MASTER_DATABASE!$A$4:$A$1000,ROW()-3)="","",INDEX(MASTER_DATABASE!$BB$4:$BB$1000,ROW()-3)&amp;"")</f>
        <v/>
      </c>
      <c r="R133" s="11" t="str">
        <f aca="false">IF(INDEX(MASTER_DATABASE!$A$4:$A$1000,ROW()-3)="","",INDEX(MASTER_DATABASE!$BC$4:$BC$1000,ROW()-3)&amp;"")</f>
        <v>🖥️</v>
      </c>
      <c r="S133" s="11" t="n">
        <f aca="false">IF(INDEX(MASTER_DATABASE!$A$4:$A$1000,ROW()-3)="","",INDEX(MASTER_DATABASE!$AQ$4:$AQ$1000,ROW()-3))</f>
        <v>250</v>
      </c>
      <c r="T133" s="7" t="str">
        <f aca="false">IF(INDEX(MASTER_DATABASE!$A$4:$A$1000,ROW()-3)="","",INDEX(MASTER_DATABASE!$I$4:$I$1000,ROW()-3)&amp;"")</f>
        <v>Portal Dependent</v>
      </c>
      <c r="U133" s="7" t="str">
        <f aca="false">IF(INDEX(MASTER_DATABASE!$A$4:$A$1000,ROW()-3)="","",INDEX(MASTER_DATABASE!$J$4:$J$1000,ROW()-3)&amp;"")</f>
        <v>Depends on Portal – Confirm at Shop</v>
      </c>
      <c r="V133" s="7" t="str">
        <f aca="false">IF(INDEX(MASTER_DATABASE!$A$4:$A$1000,ROW()-3)="","",INDEX(MASTER_DATABASE!$AG$4:$AG$1000,ROW()-3)&amp;"")</f>
        <v>To Verify</v>
      </c>
      <c r="W133" s="7" t="str">
        <f aca="false">IF(INDEX(MASTER_DATABASE!$A$4:$A$1000,ROW()-3)="","",INDEX(MASTER_DATABASE!$AH$4:$AH$1000,ROW()-3)&amp;"")</f>
        <v>No</v>
      </c>
      <c r="X133" s="7" t="str">
        <f aca="false">IF(INDEX(MASTER_DATABASE!$A$4:$A$1000,ROW()-3)="","",INDEX(MASTER_DATABASE!$AI$4:$AI$1000,ROW()-3)&amp;"")</f>
        <v>No</v>
      </c>
      <c r="Y133" s="7" t="str">
        <f aca="false">IF(INDEX(MASTER_DATABASE!$A$4:$A$1000,ROW()-3)="","",INDEX(MASTER_DATABASE!$AJ$4:$AJ$1000,ROW()-3)&amp;"")</f>
        <v>No</v>
      </c>
      <c r="Z133" s="7" t="str">
        <f aca="false">IF(INDEX(MASTER_DATABASE!$A$4:$A$1000,ROW()-3)="","",INDEX(MASTER_DATABASE!$AK$4:$AK$1000,ROW()-3)&amp;"")</f>
        <v>No</v>
      </c>
      <c r="AA133" s="7" t="str">
        <f aca="false">IF(INDEX(MASTER_DATABASE!$A$4:$A$1000,ROW()-3)="","",INDEX(MASTER_DATABASE!$BE$4:$BE$1000,ROW()-3)&amp;"")</f>
        <v>HIDDEN</v>
      </c>
    </row>
    <row r="134" customFormat="false" ht="57.45" hidden="false" customHeight="false" outlineLevel="0" collapsed="false">
      <c r="A134" s="11" t="str">
        <f aca="false">IF(INDEX(MASTER_DATABASE!$A$4:$A$1000,ROW()-3)="","",INDEX(MASTER_DATABASE!$A$4:$A$1000,ROW()-3)&amp;"")</f>
        <v>CSC-026</v>
      </c>
      <c r="B134" s="7" t="str">
        <f aca="false">IF(INDEX(MASTER_DATABASE!$A$4:$A$1000,ROW()-3)="","",INDEX(MASTER_DATABASE!$B$4:$B$1000,ROW()-3)&amp;"")</f>
        <v>Common Service Centre (CSC)</v>
      </c>
      <c r="C134" s="7" t="str">
        <f aca="false">IF(INDEX(MASTER_DATABASE!$A$4:$A$1000,ROW()-3)="","",INDEX(MASTER_DATABASE!$C$4:$C$1000,ROW()-3)&amp;"")</f>
        <v>Government &amp; Digital Services (CSC)</v>
      </c>
      <c r="D134" s="7" t="str">
        <f aca="false">IF(INDEX(MASTER_DATABASE!$A$4:$A$1000,ROW()-3)="","",INDEX(MASTER_DATABASE!$D$4:$D$1000,ROW()-3)&amp;"")</f>
        <v>Insurance Services</v>
      </c>
      <c r="E134" s="7" t="str">
        <f aca="false">IF(INDEX(MASTER_DATABASE!$A$4:$A$1000,ROW()-3)="","",INDEX(MASTER_DATABASE!$E$4:$E$1000,ROW()-3)&amp;"")</f>
        <v>PM Suraksha Bima Yojana (PMSBY) Enrolment</v>
      </c>
      <c r="F134" s="7" t="str">
        <f aca="false">IF(INDEX(MASTER_DATABASE!$A$4:$A$1000,ROW()-3)="","",INDEX(MASTER_DATABASE!$F$4:$F$1000,ROW()-3)&amp;"")</f>
        <v>PM सुरक्षा बीमा योजना (PMSBY) नामांकन</v>
      </c>
      <c r="G134" s="7" t="str">
        <f aca="false">IF(INDEX(MASTER_DATABASE!$A$4:$A$1000,ROW()-3)="","",INDEX(MASTER_DATABASE!$AL$4:$AL$1000,ROW()-3)&amp;"")</f>
        <v>Common Service Centre (CSC)</v>
      </c>
      <c r="H134" s="7" t="str">
        <f aca="false">IF(INDEX(MASTER_DATABASE!$A$4:$A$1000,ROW()-3)="","",INDEX(MASTER_DATABASE!$AM$4:$AM$1000,ROW()-3)&amp;"")</f>
        <v>Insurance Services</v>
      </c>
      <c r="I134" s="7" t="str">
        <f aca="false">IF(INDEX(MASTER_DATABASE!$A$4:$A$1000,ROW()-3)="","",INDEX(MASTER_DATABASE!$AO$4:$AO$1000,ROW()-3)&amp;"")</f>
        <v>pm-suraksha-bima-yojana-pmsby-enrolment</v>
      </c>
      <c r="J134" s="7" t="str">
        <f aca="false">IF(INDEX(MASTER_DATABASE!$A$4:$A$1000,ROW()-3)="","",INDEX(MASTER_DATABASE!$BD$4:$BD$1000,ROW()-3)&amp;"")</f>
        <v>/services/pm-suraksha-bima-yojana-pmsby-enrolment</v>
      </c>
      <c r="K134" s="7" t="str">
        <f aca="false">IF(INDEX(MASTER_DATABASE!$A$4:$A$1000,ROW()-3)="","",INDEX(MASTER_DATABASE!$AX$4:$AX$1000,ROW()-3)&amp;"")</f>
        <v>PM Suraksha Bima Yojana (PMSBY) Enrolment Service | Devmobile Stores</v>
      </c>
      <c r="L134" s="7" t="str">
        <f aca="false">IF(INDEX(MASTER_DATABASE!$A$4:$A$1000,ROW()-3)="","",INDEX(MASTER_DATABASE!$AY$4:$AY$1000,ROW()-3)&amp;"")</f>
        <v>PM Suraksha Bima Yojana (PMSBY) Enrolment (PM सुरक्षा बीमा योजना (PMSBY) नामांकन) at Devmobile Stores and Common Service Center &amp; Aadhaar Centre. Check required documents, charges and process before you visit.</v>
      </c>
      <c r="M134" s="7" t="str">
        <f aca="false">IF(INDEX(MASTER_DATABASE!$A$4:$A$1000,ROW()-3)="","",INDEX(MASTER_DATABASE!$AN$4:$AN$1000,ROW()-3)&amp;"")</f>
        <v>PM Suraksha Bima Yojana (PMSBY) Enrolment, Common Service Centre (CSC), Devmobile Stores, PM सुरक्षा बीमा योजना (PMSBY) नामांकन, कॉमन सर्विस सेंटर (CSC), सेवा</v>
      </c>
      <c r="N134" s="7" t="str">
        <f aca="false">IF(INDEX(MASTER_DATABASE!$A$4:$A$1000,ROW()-3)="","",INDEX(MASTER_DATABASE!$AZ$4:$AZ$1000,ROW()-3)&amp;"")</f>
        <v>PM सुरक्षा बीमा योजना (PMSBY) नामांकन, कॉमन सर्विस सेंटर (CSC), सेवा</v>
      </c>
      <c r="O134" s="7" t="str">
        <f aca="false">IF(INDEX(MASTER_DATABASE!$A$4:$A$1000,ROW()-3)="","",INDEX(MASTER_DATABASE!$BA$4:$BA$1000,ROW()-3)&amp;"")</f>
        <v>PM Suraksha Bima Yojana (PMSBY) Enrolment, Common Service Centre (CSC), Devmobile Stores</v>
      </c>
      <c r="P134" s="11" t="str">
        <f aca="false">IF(INDEX(MASTER_DATABASE!$A$4:$A$1000,ROW()-3)="","",INDEX(MASTER_DATABASE!$AP$4:$AP$1000,ROW()-3)&amp;"")</f>
        <v>🛡️</v>
      </c>
      <c r="Q134" s="7" t="str">
        <f aca="false">IF(INDEX(MASTER_DATABASE!$A$4:$A$1000,ROW()-3)="","",INDEX(MASTER_DATABASE!$BB$4:$BB$1000,ROW()-3)&amp;"")</f>
        <v/>
      </c>
      <c r="R134" s="11" t="str">
        <f aca="false">IF(INDEX(MASTER_DATABASE!$A$4:$A$1000,ROW()-3)="","",INDEX(MASTER_DATABASE!$BC$4:$BC$1000,ROW()-3)&amp;"")</f>
        <v>🖥️</v>
      </c>
      <c r="S134" s="11" t="n">
        <f aca="false">IF(INDEX(MASTER_DATABASE!$A$4:$A$1000,ROW()-3)="","",INDEX(MASTER_DATABASE!$AQ$4:$AQ$1000,ROW()-3))</f>
        <v>260</v>
      </c>
      <c r="T134" s="7" t="str">
        <f aca="false">IF(INDEX(MASTER_DATABASE!$A$4:$A$1000,ROW()-3)="","",INDEX(MASTER_DATABASE!$I$4:$I$1000,ROW()-3)&amp;"")</f>
        <v>To Verify</v>
      </c>
      <c r="U134" s="7" t="str">
        <f aca="false">IF(INDEX(MASTER_DATABASE!$A$4:$A$1000,ROW()-3)="","",INDEX(MASTER_DATABASE!$J$4:$J$1000,ROW()-3)&amp;"")</f>
        <v>To Be Confirmed</v>
      </c>
      <c r="V134" s="7" t="str">
        <f aca="false">IF(INDEX(MASTER_DATABASE!$A$4:$A$1000,ROW()-3)="","",INDEX(MASTER_DATABASE!$AG$4:$AG$1000,ROW()-3)&amp;"")</f>
        <v>To Verify</v>
      </c>
      <c r="W134" s="7" t="str">
        <f aca="false">IF(INDEX(MASTER_DATABASE!$A$4:$A$1000,ROW()-3)="","",INDEX(MASTER_DATABASE!$AH$4:$AH$1000,ROW()-3)&amp;"")</f>
        <v>No</v>
      </c>
      <c r="X134" s="7" t="str">
        <f aca="false">IF(INDEX(MASTER_DATABASE!$A$4:$A$1000,ROW()-3)="","",INDEX(MASTER_DATABASE!$AI$4:$AI$1000,ROW()-3)&amp;"")</f>
        <v>No</v>
      </c>
      <c r="Y134" s="7" t="str">
        <f aca="false">IF(INDEX(MASTER_DATABASE!$A$4:$A$1000,ROW()-3)="","",INDEX(MASTER_DATABASE!$AJ$4:$AJ$1000,ROW()-3)&amp;"")</f>
        <v>No</v>
      </c>
      <c r="Z134" s="7" t="str">
        <f aca="false">IF(INDEX(MASTER_DATABASE!$A$4:$A$1000,ROW()-3)="","",INDEX(MASTER_DATABASE!$AK$4:$AK$1000,ROW()-3)&amp;"")</f>
        <v>No</v>
      </c>
      <c r="AA134" s="7" t="str">
        <f aca="false">IF(INDEX(MASTER_DATABASE!$A$4:$A$1000,ROW()-3)="","",INDEX(MASTER_DATABASE!$BE$4:$BE$1000,ROW()-3)&amp;"")</f>
        <v>HIDDEN</v>
      </c>
    </row>
    <row r="135" customFormat="false" ht="57.45" hidden="false" customHeight="false" outlineLevel="0" collapsed="false">
      <c r="A135" s="11" t="str">
        <f aca="false">IF(INDEX(MASTER_DATABASE!$A$4:$A$1000,ROW()-3)="","",INDEX(MASTER_DATABASE!$A$4:$A$1000,ROW()-3)&amp;"")</f>
        <v>CSC-027</v>
      </c>
      <c r="B135" s="7" t="str">
        <f aca="false">IF(INDEX(MASTER_DATABASE!$A$4:$A$1000,ROW()-3)="","",INDEX(MASTER_DATABASE!$B$4:$B$1000,ROW()-3)&amp;"")</f>
        <v>Common Service Centre (CSC)</v>
      </c>
      <c r="C135" s="7" t="str">
        <f aca="false">IF(INDEX(MASTER_DATABASE!$A$4:$A$1000,ROW()-3)="","",INDEX(MASTER_DATABASE!$C$4:$C$1000,ROW()-3)&amp;"")</f>
        <v>Government &amp; Digital Services (CSC)</v>
      </c>
      <c r="D135" s="7" t="str">
        <f aca="false">IF(INDEX(MASTER_DATABASE!$A$4:$A$1000,ROW()-3)="","",INDEX(MASTER_DATABASE!$D$4:$D$1000,ROW()-3)&amp;"")</f>
        <v>Insurance Services</v>
      </c>
      <c r="E135" s="7" t="str">
        <f aca="false">IF(INDEX(MASTER_DATABASE!$A$4:$A$1000,ROW()-3)="","",INDEX(MASTER_DATABASE!$E$4:$E$1000,ROW()-3)&amp;"")</f>
        <v>PM Jeevan Jyoti Bima Yojana (PMJJBY) Enrolment</v>
      </c>
      <c r="F135" s="7" t="str">
        <f aca="false">IF(INDEX(MASTER_DATABASE!$A$4:$A$1000,ROW()-3)="","",INDEX(MASTER_DATABASE!$F$4:$F$1000,ROW()-3)&amp;"")</f>
        <v>PM जीवन ज्योति बीमा योजना (PMJJBY) नामांकन</v>
      </c>
      <c r="G135" s="7" t="str">
        <f aca="false">IF(INDEX(MASTER_DATABASE!$A$4:$A$1000,ROW()-3)="","",INDEX(MASTER_DATABASE!$AL$4:$AL$1000,ROW()-3)&amp;"")</f>
        <v>Common Service Centre (CSC)</v>
      </c>
      <c r="H135" s="7" t="str">
        <f aca="false">IF(INDEX(MASTER_DATABASE!$A$4:$A$1000,ROW()-3)="","",INDEX(MASTER_DATABASE!$AM$4:$AM$1000,ROW()-3)&amp;"")</f>
        <v>Insurance Services</v>
      </c>
      <c r="I135" s="7" t="str">
        <f aca="false">IF(INDEX(MASTER_DATABASE!$A$4:$A$1000,ROW()-3)="","",INDEX(MASTER_DATABASE!$AO$4:$AO$1000,ROW()-3)&amp;"")</f>
        <v>pm-jeevan-jyoti-bima-yojana-pmjjby-enrolment</v>
      </c>
      <c r="J135" s="7" t="str">
        <f aca="false">IF(INDEX(MASTER_DATABASE!$A$4:$A$1000,ROW()-3)="","",INDEX(MASTER_DATABASE!$BD$4:$BD$1000,ROW()-3)&amp;"")</f>
        <v>/services/pm-jeevan-jyoti-bima-yojana-pmjjby-enrolment</v>
      </c>
      <c r="K135" s="7" t="str">
        <f aca="false">IF(INDEX(MASTER_DATABASE!$A$4:$A$1000,ROW()-3)="","",INDEX(MASTER_DATABASE!$AX$4:$AX$1000,ROW()-3)&amp;"")</f>
        <v>PM Jeevan Jyoti Bima Yojana (PMJJBY) Enrolment Service | Devmobile Stores</v>
      </c>
      <c r="L135" s="7" t="str">
        <f aca="false">IF(INDEX(MASTER_DATABASE!$A$4:$A$1000,ROW()-3)="","",INDEX(MASTER_DATABASE!$AY$4:$AY$1000,ROW()-3)&amp;"")</f>
        <v>PM Jeevan Jyoti Bima Yojana (PMJJBY) Enrolment (PM जीवन ज्योति बीमा योजना (PMJJBY) नामांकन) at Devmobile Stores and Common Service Center &amp; Aadhaar Centre. Check required documents, charges and process before you visit.</v>
      </c>
      <c r="M135" s="7" t="str">
        <f aca="false">IF(INDEX(MASTER_DATABASE!$A$4:$A$1000,ROW()-3)="","",INDEX(MASTER_DATABASE!$AN$4:$AN$1000,ROW()-3)&amp;"")</f>
        <v>PM Jeevan Jyoti Bima Yojana (PMJJBY) Enrolment, Common Service Centre (CSC), Devmobile Stores, PM जीवन ज्योति बीमा योजना (PMJJBY) नामांकन, कॉमन सर्विस सेंटर (CSC), सेवा</v>
      </c>
      <c r="N135" s="7" t="str">
        <f aca="false">IF(INDEX(MASTER_DATABASE!$A$4:$A$1000,ROW()-3)="","",INDEX(MASTER_DATABASE!$AZ$4:$AZ$1000,ROW()-3)&amp;"")</f>
        <v>PM जीवन ज्योति बीमा योजना (PMJJBY) नामांकन, कॉमन सर्विस सेंटर (CSC), सेवा</v>
      </c>
      <c r="O135" s="7" t="str">
        <f aca="false">IF(INDEX(MASTER_DATABASE!$A$4:$A$1000,ROW()-3)="","",INDEX(MASTER_DATABASE!$BA$4:$BA$1000,ROW()-3)&amp;"")</f>
        <v>PM Jeevan Jyoti Bima Yojana (PMJJBY) Enrolment, Common Service Centre (CSC), Devmobile Stores</v>
      </c>
      <c r="P135" s="11" t="str">
        <f aca="false">IF(INDEX(MASTER_DATABASE!$A$4:$A$1000,ROW()-3)="","",INDEX(MASTER_DATABASE!$AP$4:$AP$1000,ROW()-3)&amp;"")</f>
        <v>🛡️</v>
      </c>
      <c r="Q135" s="7" t="str">
        <f aca="false">IF(INDEX(MASTER_DATABASE!$A$4:$A$1000,ROW()-3)="","",INDEX(MASTER_DATABASE!$BB$4:$BB$1000,ROW()-3)&amp;"")</f>
        <v/>
      </c>
      <c r="R135" s="11" t="str">
        <f aca="false">IF(INDEX(MASTER_DATABASE!$A$4:$A$1000,ROW()-3)="","",INDEX(MASTER_DATABASE!$BC$4:$BC$1000,ROW()-3)&amp;"")</f>
        <v>🖥️</v>
      </c>
      <c r="S135" s="11" t="n">
        <f aca="false">IF(INDEX(MASTER_DATABASE!$A$4:$A$1000,ROW()-3)="","",INDEX(MASTER_DATABASE!$AQ$4:$AQ$1000,ROW()-3))</f>
        <v>270</v>
      </c>
      <c r="T135" s="7" t="str">
        <f aca="false">IF(INDEX(MASTER_DATABASE!$A$4:$A$1000,ROW()-3)="","",INDEX(MASTER_DATABASE!$I$4:$I$1000,ROW()-3)&amp;"")</f>
        <v>To Verify</v>
      </c>
      <c r="U135" s="7" t="str">
        <f aca="false">IF(INDEX(MASTER_DATABASE!$A$4:$A$1000,ROW()-3)="","",INDEX(MASTER_DATABASE!$J$4:$J$1000,ROW()-3)&amp;"")</f>
        <v>To Be Confirmed</v>
      </c>
      <c r="V135" s="7" t="str">
        <f aca="false">IF(INDEX(MASTER_DATABASE!$A$4:$A$1000,ROW()-3)="","",INDEX(MASTER_DATABASE!$AG$4:$AG$1000,ROW()-3)&amp;"")</f>
        <v>To Verify</v>
      </c>
      <c r="W135" s="7" t="str">
        <f aca="false">IF(INDEX(MASTER_DATABASE!$A$4:$A$1000,ROW()-3)="","",INDEX(MASTER_DATABASE!$AH$4:$AH$1000,ROW()-3)&amp;"")</f>
        <v>No</v>
      </c>
      <c r="X135" s="7" t="str">
        <f aca="false">IF(INDEX(MASTER_DATABASE!$A$4:$A$1000,ROW()-3)="","",INDEX(MASTER_DATABASE!$AI$4:$AI$1000,ROW()-3)&amp;"")</f>
        <v>No</v>
      </c>
      <c r="Y135" s="7" t="str">
        <f aca="false">IF(INDEX(MASTER_DATABASE!$A$4:$A$1000,ROW()-3)="","",INDEX(MASTER_DATABASE!$AJ$4:$AJ$1000,ROW()-3)&amp;"")</f>
        <v>No</v>
      </c>
      <c r="Z135" s="7" t="str">
        <f aca="false">IF(INDEX(MASTER_DATABASE!$A$4:$A$1000,ROW()-3)="","",INDEX(MASTER_DATABASE!$AK$4:$AK$1000,ROW()-3)&amp;"")</f>
        <v>No</v>
      </c>
      <c r="AA135" s="7" t="str">
        <f aca="false">IF(INDEX(MASTER_DATABASE!$A$4:$A$1000,ROW()-3)="","",INDEX(MASTER_DATABASE!$BE$4:$BE$1000,ROW()-3)&amp;"")</f>
        <v>HIDDEN</v>
      </c>
    </row>
    <row r="136" customFormat="false" ht="46.25" hidden="false" customHeight="false" outlineLevel="0" collapsed="false">
      <c r="A136" s="11" t="str">
        <f aca="false">IF(INDEX(MASTER_DATABASE!$A$4:$A$1000,ROW()-3)="","",INDEX(MASTER_DATABASE!$A$4:$A$1000,ROW()-3)&amp;"")</f>
        <v>CSC-028</v>
      </c>
      <c r="B136" s="7" t="str">
        <f aca="false">IF(INDEX(MASTER_DATABASE!$A$4:$A$1000,ROW()-3)="","",INDEX(MASTER_DATABASE!$B$4:$B$1000,ROW()-3)&amp;"")</f>
        <v>Common Service Centre (CSC)</v>
      </c>
      <c r="C136" s="7" t="str">
        <f aca="false">IF(INDEX(MASTER_DATABASE!$A$4:$A$1000,ROW()-3)="","",INDEX(MASTER_DATABASE!$C$4:$C$1000,ROW()-3)&amp;"")</f>
        <v>Government &amp; Digital Services (CSC)</v>
      </c>
      <c r="D136" s="7" t="str">
        <f aca="false">IF(INDEX(MASTER_DATABASE!$A$4:$A$1000,ROW()-3)="","",INDEX(MASTER_DATABASE!$D$4:$D$1000,ROW()-3)&amp;"")</f>
        <v>Pension Services</v>
      </c>
      <c r="E136" s="7" t="str">
        <f aca="false">IF(INDEX(MASTER_DATABASE!$A$4:$A$1000,ROW()-3)="","",INDEX(MASTER_DATABASE!$E$4:$E$1000,ROW()-3)&amp;"")</f>
        <v>Atal Pension Yojana (APY) Enrolment</v>
      </c>
      <c r="F136" s="7" t="str">
        <f aca="false">IF(INDEX(MASTER_DATABASE!$A$4:$A$1000,ROW()-3)="","",INDEX(MASTER_DATABASE!$F$4:$F$1000,ROW()-3)&amp;"")</f>
        <v>अटल पेंशन योजना (APY) नामांकन</v>
      </c>
      <c r="G136" s="7" t="str">
        <f aca="false">IF(INDEX(MASTER_DATABASE!$A$4:$A$1000,ROW()-3)="","",INDEX(MASTER_DATABASE!$AL$4:$AL$1000,ROW()-3)&amp;"")</f>
        <v>Common Service Centre (CSC)</v>
      </c>
      <c r="H136" s="7" t="str">
        <f aca="false">IF(INDEX(MASTER_DATABASE!$A$4:$A$1000,ROW()-3)="","",INDEX(MASTER_DATABASE!$AM$4:$AM$1000,ROW()-3)&amp;"")</f>
        <v>Pension Services</v>
      </c>
      <c r="I136" s="7" t="str">
        <f aca="false">IF(INDEX(MASTER_DATABASE!$A$4:$A$1000,ROW()-3)="","",INDEX(MASTER_DATABASE!$AO$4:$AO$1000,ROW()-3)&amp;"")</f>
        <v>atal-pension-yojana-apy-enrolment</v>
      </c>
      <c r="J136" s="7" t="str">
        <f aca="false">IF(INDEX(MASTER_DATABASE!$A$4:$A$1000,ROW()-3)="","",INDEX(MASTER_DATABASE!$BD$4:$BD$1000,ROW()-3)&amp;"")</f>
        <v>/services/atal-pension-yojana-apy-enrolment</v>
      </c>
      <c r="K136" s="7" t="str">
        <f aca="false">IF(INDEX(MASTER_DATABASE!$A$4:$A$1000,ROW()-3)="","",INDEX(MASTER_DATABASE!$AX$4:$AX$1000,ROW()-3)&amp;"")</f>
        <v>Atal Pension Yojana (APY) Enrolment Service | Devmobile Stores</v>
      </c>
      <c r="L136" s="7" t="str">
        <f aca="false">IF(INDEX(MASTER_DATABASE!$A$4:$A$1000,ROW()-3)="","",INDEX(MASTER_DATABASE!$AY$4:$AY$1000,ROW()-3)&amp;"")</f>
        <v>Atal Pension Yojana (APY) Enrolment (अटल पेंशन योजना (APY) नामांकन) at Devmobile Stores and Common Service Center &amp; Aadhaar Centre. Check required documents, charges and process before you visit.</v>
      </c>
      <c r="M136" s="7" t="str">
        <f aca="false">IF(INDEX(MASTER_DATABASE!$A$4:$A$1000,ROW()-3)="","",INDEX(MASTER_DATABASE!$AN$4:$AN$1000,ROW()-3)&amp;"")</f>
        <v>Atal Pension Yojana (APY) Enrolment, Common Service Centre (CSC), Devmobile Stores, अटल पेंशन योजना (APY) नामांकन, कॉमन सर्विस सेंटर (CSC), सेवा</v>
      </c>
      <c r="N136" s="7" t="str">
        <f aca="false">IF(INDEX(MASTER_DATABASE!$A$4:$A$1000,ROW()-3)="","",INDEX(MASTER_DATABASE!$AZ$4:$AZ$1000,ROW()-3)&amp;"")</f>
        <v>अटल पेंशन योजना (APY) नामांकन, कॉमन सर्विस सेंटर (CSC), सेवा</v>
      </c>
      <c r="O136" s="7" t="str">
        <f aca="false">IF(INDEX(MASTER_DATABASE!$A$4:$A$1000,ROW()-3)="","",INDEX(MASTER_DATABASE!$BA$4:$BA$1000,ROW()-3)&amp;"")</f>
        <v>Atal Pension Yojana (APY) Enrolment, Common Service Centre (CSC), Devmobile Stores</v>
      </c>
      <c r="P136" s="11" t="str">
        <f aca="false">IF(INDEX(MASTER_DATABASE!$A$4:$A$1000,ROW()-3)="","",INDEX(MASTER_DATABASE!$AP$4:$AP$1000,ROW()-3)&amp;"")</f>
        <v>👴</v>
      </c>
      <c r="Q136" s="7" t="str">
        <f aca="false">IF(INDEX(MASTER_DATABASE!$A$4:$A$1000,ROW()-3)="","",INDEX(MASTER_DATABASE!$BB$4:$BB$1000,ROW()-3)&amp;"")</f>
        <v/>
      </c>
      <c r="R136" s="11" t="str">
        <f aca="false">IF(INDEX(MASTER_DATABASE!$A$4:$A$1000,ROW()-3)="","",INDEX(MASTER_DATABASE!$BC$4:$BC$1000,ROW()-3)&amp;"")</f>
        <v>🖥️</v>
      </c>
      <c r="S136" s="11" t="n">
        <f aca="false">IF(INDEX(MASTER_DATABASE!$A$4:$A$1000,ROW()-3)="","",INDEX(MASTER_DATABASE!$AQ$4:$AQ$1000,ROW()-3))</f>
        <v>280</v>
      </c>
      <c r="T136" s="7" t="str">
        <f aca="false">IF(INDEX(MASTER_DATABASE!$A$4:$A$1000,ROW()-3)="","",INDEX(MASTER_DATABASE!$I$4:$I$1000,ROW()-3)&amp;"")</f>
        <v>Authorization Required</v>
      </c>
      <c r="U136" s="7" t="str">
        <f aca="false">IF(INDEX(MASTER_DATABASE!$A$4:$A$1000,ROW()-3)="","",INDEX(MASTER_DATABASE!$J$4:$J$1000,ROW()-3)&amp;"")</f>
        <v>Please Confirm at Shop</v>
      </c>
      <c r="V136" s="7" t="str">
        <f aca="false">IF(INDEX(MASTER_DATABASE!$A$4:$A$1000,ROW()-3)="","",INDEX(MASTER_DATABASE!$AG$4:$AG$1000,ROW()-3)&amp;"")</f>
        <v>To Verify</v>
      </c>
      <c r="W136" s="7" t="str">
        <f aca="false">IF(INDEX(MASTER_DATABASE!$A$4:$A$1000,ROW()-3)="","",INDEX(MASTER_DATABASE!$AH$4:$AH$1000,ROW()-3)&amp;"")</f>
        <v>No</v>
      </c>
      <c r="X136" s="7" t="str">
        <f aca="false">IF(INDEX(MASTER_DATABASE!$A$4:$A$1000,ROW()-3)="","",INDEX(MASTER_DATABASE!$AI$4:$AI$1000,ROW()-3)&amp;"")</f>
        <v>No</v>
      </c>
      <c r="Y136" s="7" t="str">
        <f aca="false">IF(INDEX(MASTER_DATABASE!$A$4:$A$1000,ROW()-3)="","",INDEX(MASTER_DATABASE!$AJ$4:$AJ$1000,ROW()-3)&amp;"")</f>
        <v>No</v>
      </c>
      <c r="Z136" s="7" t="str">
        <f aca="false">IF(INDEX(MASTER_DATABASE!$A$4:$A$1000,ROW()-3)="","",INDEX(MASTER_DATABASE!$AK$4:$AK$1000,ROW()-3)&amp;"")</f>
        <v>No</v>
      </c>
      <c r="AA136" s="7" t="str">
        <f aca="false">IF(INDEX(MASTER_DATABASE!$A$4:$A$1000,ROW()-3)="","",INDEX(MASTER_DATABASE!$BE$4:$BE$1000,ROW()-3)&amp;"")</f>
        <v>HIDDEN</v>
      </c>
    </row>
    <row r="137" customFormat="false" ht="46.25" hidden="false" customHeight="false" outlineLevel="0" collapsed="false">
      <c r="A137" s="11" t="str">
        <f aca="false">IF(INDEX(MASTER_DATABASE!$A$4:$A$1000,ROW()-3)="","",INDEX(MASTER_DATABASE!$A$4:$A$1000,ROW()-3)&amp;"")</f>
        <v>CSC-029</v>
      </c>
      <c r="B137" s="7" t="str">
        <f aca="false">IF(INDEX(MASTER_DATABASE!$A$4:$A$1000,ROW()-3)="","",INDEX(MASTER_DATABASE!$B$4:$B$1000,ROW()-3)&amp;"")</f>
        <v>Common Service Centre (CSC)</v>
      </c>
      <c r="C137" s="7" t="str">
        <f aca="false">IF(INDEX(MASTER_DATABASE!$A$4:$A$1000,ROW()-3)="","",INDEX(MASTER_DATABASE!$C$4:$C$1000,ROW()-3)&amp;"")</f>
        <v>Government &amp; Digital Services (CSC)</v>
      </c>
      <c r="D137" s="7" t="str">
        <f aca="false">IF(INDEX(MASTER_DATABASE!$A$4:$A$1000,ROW()-3)="","",INDEX(MASTER_DATABASE!$D$4:$D$1000,ROW()-3)&amp;"")</f>
        <v>Pension Services</v>
      </c>
      <c r="E137" s="7" t="str">
        <f aca="false">IF(INDEX(MASTER_DATABASE!$A$4:$A$1000,ROW()-3)="","",INDEX(MASTER_DATABASE!$E$4:$E$1000,ROW()-3)&amp;"")</f>
        <v>NPS (National Pension System) Account Opening</v>
      </c>
      <c r="F137" s="7" t="str">
        <f aca="false">IF(INDEX(MASTER_DATABASE!$A$4:$A$1000,ROW()-3)="","",INDEX(MASTER_DATABASE!$F$4:$F$1000,ROW()-3)&amp;"")</f>
        <v>NPS खाता खोलना</v>
      </c>
      <c r="G137" s="7" t="str">
        <f aca="false">IF(INDEX(MASTER_DATABASE!$A$4:$A$1000,ROW()-3)="","",INDEX(MASTER_DATABASE!$AL$4:$AL$1000,ROW()-3)&amp;"")</f>
        <v>Common Service Centre (CSC)</v>
      </c>
      <c r="H137" s="7" t="str">
        <f aca="false">IF(INDEX(MASTER_DATABASE!$A$4:$A$1000,ROW()-3)="","",INDEX(MASTER_DATABASE!$AM$4:$AM$1000,ROW()-3)&amp;"")</f>
        <v>Pension Services</v>
      </c>
      <c r="I137" s="7" t="str">
        <f aca="false">IF(INDEX(MASTER_DATABASE!$A$4:$A$1000,ROW()-3)="","",INDEX(MASTER_DATABASE!$AO$4:$AO$1000,ROW()-3)&amp;"")</f>
        <v>nps-national-pension-system-account-opening</v>
      </c>
      <c r="J137" s="7" t="str">
        <f aca="false">IF(INDEX(MASTER_DATABASE!$A$4:$A$1000,ROW()-3)="","",INDEX(MASTER_DATABASE!$BD$4:$BD$1000,ROW()-3)&amp;"")</f>
        <v>/services/nps-national-pension-system-account-opening</v>
      </c>
      <c r="K137" s="7" t="str">
        <f aca="false">IF(INDEX(MASTER_DATABASE!$A$4:$A$1000,ROW()-3)="","",INDEX(MASTER_DATABASE!$AX$4:$AX$1000,ROW()-3)&amp;"")</f>
        <v>NPS (National Pension System) Account Opening Service | Devmobile Stores</v>
      </c>
      <c r="L137" s="7" t="str">
        <f aca="false">IF(INDEX(MASTER_DATABASE!$A$4:$A$1000,ROW()-3)="","",INDEX(MASTER_DATABASE!$AY$4:$AY$1000,ROW()-3)&amp;"")</f>
        <v>NPS (National Pension System) Account Opening (NPS खाता खोलना) at Devmobile Stores and Common Service Center &amp; Aadhaar Centre. Check required documents, charges and process before you visit.</v>
      </c>
      <c r="M137" s="7" t="str">
        <f aca="false">IF(INDEX(MASTER_DATABASE!$A$4:$A$1000,ROW()-3)="","",INDEX(MASTER_DATABASE!$AN$4:$AN$1000,ROW()-3)&amp;"")</f>
        <v>NPS (National Pension System) Account Opening, Common Service Centre (CSC), Devmobile Stores, NPS खाता खोलना, कॉमन सर्विस सेंटर (CSC), सेवा</v>
      </c>
      <c r="N137" s="7" t="str">
        <f aca="false">IF(INDEX(MASTER_DATABASE!$A$4:$A$1000,ROW()-3)="","",INDEX(MASTER_DATABASE!$AZ$4:$AZ$1000,ROW()-3)&amp;"")</f>
        <v>NPS खाता खोलना, कॉमन सर्विस सेंटर (CSC), सेवा</v>
      </c>
      <c r="O137" s="7" t="str">
        <f aca="false">IF(INDEX(MASTER_DATABASE!$A$4:$A$1000,ROW()-3)="","",INDEX(MASTER_DATABASE!$BA$4:$BA$1000,ROW()-3)&amp;"")</f>
        <v>NPS (National Pension System) Account Opening, Common Service Centre (CSC), Devmobile Stores</v>
      </c>
      <c r="P137" s="11" t="str">
        <f aca="false">IF(INDEX(MASTER_DATABASE!$A$4:$A$1000,ROW()-3)="","",INDEX(MASTER_DATABASE!$AP$4:$AP$1000,ROW()-3)&amp;"")</f>
        <v>👴</v>
      </c>
      <c r="Q137" s="7" t="str">
        <f aca="false">IF(INDEX(MASTER_DATABASE!$A$4:$A$1000,ROW()-3)="","",INDEX(MASTER_DATABASE!$BB$4:$BB$1000,ROW()-3)&amp;"")</f>
        <v/>
      </c>
      <c r="R137" s="11" t="str">
        <f aca="false">IF(INDEX(MASTER_DATABASE!$A$4:$A$1000,ROW()-3)="","",INDEX(MASTER_DATABASE!$BC$4:$BC$1000,ROW()-3)&amp;"")</f>
        <v>🖥️</v>
      </c>
      <c r="S137" s="11" t="n">
        <f aca="false">IF(INDEX(MASTER_DATABASE!$A$4:$A$1000,ROW()-3)="","",INDEX(MASTER_DATABASE!$AQ$4:$AQ$1000,ROW()-3))</f>
        <v>290</v>
      </c>
      <c r="T137" s="7" t="str">
        <f aca="false">IF(INDEX(MASTER_DATABASE!$A$4:$A$1000,ROW()-3)="","",INDEX(MASTER_DATABASE!$I$4:$I$1000,ROW()-3)&amp;"")</f>
        <v>Authorization Required</v>
      </c>
      <c r="U137" s="7" t="str">
        <f aca="false">IF(INDEX(MASTER_DATABASE!$A$4:$A$1000,ROW()-3)="","",INDEX(MASTER_DATABASE!$J$4:$J$1000,ROW()-3)&amp;"")</f>
        <v>Please Confirm at Shop</v>
      </c>
      <c r="V137" s="7" t="str">
        <f aca="false">IF(INDEX(MASTER_DATABASE!$A$4:$A$1000,ROW()-3)="","",INDEX(MASTER_DATABASE!$AG$4:$AG$1000,ROW()-3)&amp;"")</f>
        <v>To Verify</v>
      </c>
      <c r="W137" s="7" t="str">
        <f aca="false">IF(INDEX(MASTER_DATABASE!$A$4:$A$1000,ROW()-3)="","",INDEX(MASTER_DATABASE!$AH$4:$AH$1000,ROW()-3)&amp;"")</f>
        <v>No</v>
      </c>
      <c r="X137" s="7" t="str">
        <f aca="false">IF(INDEX(MASTER_DATABASE!$A$4:$A$1000,ROW()-3)="","",INDEX(MASTER_DATABASE!$AI$4:$AI$1000,ROW()-3)&amp;"")</f>
        <v>No</v>
      </c>
      <c r="Y137" s="7" t="str">
        <f aca="false">IF(INDEX(MASTER_DATABASE!$A$4:$A$1000,ROW()-3)="","",INDEX(MASTER_DATABASE!$AJ$4:$AJ$1000,ROW()-3)&amp;"")</f>
        <v>No</v>
      </c>
      <c r="Z137" s="7" t="str">
        <f aca="false">IF(INDEX(MASTER_DATABASE!$A$4:$A$1000,ROW()-3)="","",INDEX(MASTER_DATABASE!$AK$4:$AK$1000,ROW()-3)&amp;"")</f>
        <v>No</v>
      </c>
      <c r="AA137" s="7" t="str">
        <f aca="false">IF(INDEX(MASTER_DATABASE!$A$4:$A$1000,ROW()-3)="","",INDEX(MASTER_DATABASE!$BE$4:$BE$1000,ROW()-3)&amp;"")</f>
        <v>HIDDEN</v>
      </c>
    </row>
    <row r="138" customFormat="false" ht="46.25" hidden="false" customHeight="false" outlineLevel="0" collapsed="false">
      <c r="A138" s="11" t="str">
        <f aca="false">IF(INDEX(MASTER_DATABASE!$A$4:$A$1000,ROW()-3)="","",INDEX(MASTER_DATABASE!$A$4:$A$1000,ROW()-3)&amp;"")</f>
        <v>CSC-030</v>
      </c>
      <c r="B138" s="7" t="str">
        <f aca="false">IF(INDEX(MASTER_DATABASE!$A$4:$A$1000,ROW()-3)="","",INDEX(MASTER_DATABASE!$B$4:$B$1000,ROW()-3)&amp;"")</f>
        <v>Common Service Centre (CSC)</v>
      </c>
      <c r="C138" s="7" t="str">
        <f aca="false">IF(INDEX(MASTER_DATABASE!$A$4:$A$1000,ROW()-3)="","",INDEX(MASTER_DATABASE!$C$4:$C$1000,ROW()-3)&amp;"")</f>
        <v>Government &amp; Digital Services (CSC)</v>
      </c>
      <c r="D138" s="7" t="str">
        <f aca="false">IF(INDEX(MASTER_DATABASE!$A$4:$A$1000,ROW()-3)="","",INDEX(MASTER_DATABASE!$D$4:$D$1000,ROW()-3)&amp;"")</f>
        <v>Pension Services</v>
      </c>
      <c r="E138" s="7" t="str">
        <f aca="false">IF(INDEX(MASTER_DATABASE!$A$4:$A$1000,ROW()-3)="","",INDEX(MASTER_DATABASE!$E$4:$E$1000,ROW()-3)&amp;"")</f>
        <v>Digital Life Certificate (Jeevan Pramaan)</v>
      </c>
      <c r="F138" s="7" t="str">
        <f aca="false">IF(INDEX(MASTER_DATABASE!$A$4:$A$1000,ROW()-3)="","",INDEX(MASTER_DATABASE!$F$4:$F$1000,ROW()-3)&amp;"")</f>
        <v>डिजिटल जीवन प्रमाण पत्र (जीवन प्रमाण)</v>
      </c>
      <c r="G138" s="7" t="str">
        <f aca="false">IF(INDEX(MASTER_DATABASE!$A$4:$A$1000,ROW()-3)="","",INDEX(MASTER_DATABASE!$AL$4:$AL$1000,ROW()-3)&amp;"")</f>
        <v>Common Service Centre (CSC)</v>
      </c>
      <c r="H138" s="7" t="str">
        <f aca="false">IF(INDEX(MASTER_DATABASE!$A$4:$A$1000,ROW()-3)="","",INDEX(MASTER_DATABASE!$AM$4:$AM$1000,ROW()-3)&amp;"")</f>
        <v>Pension Services</v>
      </c>
      <c r="I138" s="7" t="str">
        <f aca="false">IF(INDEX(MASTER_DATABASE!$A$4:$A$1000,ROW()-3)="","",INDEX(MASTER_DATABASE!$AO$4:$AO$1000,ROW()-3)&amp;"")</f>
        <v>digital-life-certificate-jeevan-pramaan</v>
      </c>
      <c r="J138" s="7" t="str">
        <f aca="false">IF(INDEX(MASTER_DATABASE!$A$4:$A$1000,ROW()-3)="","",INDEX(MASTER_DATABASE!$BD$4:$BD$1000,ROW()-3)&amp;"")</f>
        <v>/services/digital-life-certificate-jeevan-pramaan</v>
      </c>
      <c r="K138" s="7" t="str">
        <f aca="false">IF(INDEX(MASTER_DATABASE!$A$4:$A$1000,ROW()-3)="","",INDEX(MASTER_DATABASE!$AX$4:$AX$1000,ROW()-3)&amp;"")</f>
        <v>Digital Life Certificate (Jeevan Pramaan) Service | Devmobile Stores</v>
      </c>
      <c r="L138" s="7" t="str">
        <f aca="false">IF(INDEX(MASTER_DATABASE!$A$4:$A$1000,ROW()-3)="","",INDEX(MASTER_DATABASE!$AY$4:$AY$1000,ROW()-3)&amp;"")</f>
        <v>Digital Life Certificate (Jeevan Pramaan) (डिजिटल जीवन प्रमाण पत्र (जीवन प्रमाण)) at Devmobile Stores and Common Service Center &amp; Aadhaar Centre. Check required documents, charges and process before you visit.</v>
      </c>
      <c r="M138" s="7" t="str">
        <f aca="false">IF(INDEX(MASTER_DATABASE!$A$4:$A$1000,ROW()-3)="","",INDEX(MASTER_DATABASE!$AN$4:$AN$1000,ROW()-3)&amp;"")</f>
        <v>Digital Life Certificate (Jeevan Pramaan), Common Service Centre (CSC), Devmobile Stores, डिजिटल जीवन प्रमाण पत्र (जीवन प्रमाण), कॉमन सर्विस सेंटर (CSC), सेवा</v>
      </c>
      <c r="N138" s="7" t="str">
        <f aca="false">IF(INDEX(MASTER_DATABASE!$A$4:$A$1000,ROW()-3)="","",INDEX(MASTER_DATABASE!$AZ$4:$AZ$1000,ROW()-3)&amp;"")</f>
        <v>डिजिटल जीवन प्रमाण पत्र (जीवन प्रमाण), कॉमन सर्विस सेंटर (CSC), सेवा</v>
      </c>
      <c r="O138" s="7" t="str">
        <f aca="false">IF(INDEX(MASTER_DATABASE!$A$4:$A$1000,ROW()-3)="","",INDEX(MASTER_DATABASE!$BA$4:$BA$1000,ROW()-3)&amp;"")</f>
        <v>Digital Life Certificate (Jeevan Pramaan), Common Service Centre (CSC), Devmobile Stores</v>
      </c>
      <c r="P138" s="11" t="str">
        <f aca="false">IF(INDEX(MASTER_DATABASE!$A$4:$A$1000,ROW()-3)="","",INDEX(MASTER_DATABASE!$AP$4:$AP$1000,ROW()-3)&amp;"")</f>
        <v>👴</v>
      </c>
      <c r="Q138" s="7" t="str">
        <f aca="false">IF(INDEX(MASTER_DATABASE!$A$4:$A$1000,ROW()-3)="","",INDEX(MASTER_DATABASE!$BB$4:$BB$1000,ROW()-3)&amp;"")</f>
        <v/>
      </c>
      <c r="R138" s="11" t="str">
        <f aca="false">IF(INDEX(MASTER_DATABASE!$A$4:$A$1000,ROW()-3)="","",INDEX(MASTER_DATABASE!$BC$4:$BC$1000,ROW()-3)&amp;"")</f>
        <v>🖥️</v>
      </c>
      <c r="S138" s="11" t="n">
        <f aca="false">IF(INDEX(MASTER_DATABASE!$A$4:$A$1000,ROW()-3)="","",INDEX(MASTER_DATABASE!$AQ$4:$AQ$1000,ROW()-3))</f>
        <v>300</v>
      </c>
      <c r="T138" s="7" t="str">
        <f aca="false">IF(INDEX(MASTER_DATABASE!$A$4:$A$1000,ROW()-3)="","",INDEX(MASTER_DATABASE!$I$4:$I$1000,ROW()-3)&amp;"")</f>
        <v>Portal Dependent</v>
      </c>
      <c r="U138" s="7" t="str">
        <f aca="false">IF(INDEX(MASTER_DATABASE!$A$4:$A$1000,ROW()-3)="","",INDEX(MASTER_DATABASE!$J$4:$J$1000,ROW()-3)&amp;"")</f>
        <v>Depends on Portal – Confirm at Shop</v>
      </c>
      <c r="V138" s="7" t="str">
        <f aca="false">IF(INDEX(MASTER_DATABASE!$A$4:$A$1000,ROW()-3)="","",INDEX(MASTER_DATABASE!$AG$4:$AG$1000,ROW()-3)&amp;"")</f>
        <v>To Verify</v>
      </c>
      <c r="W138" s="7" t="str">
        <f aca="false">IF(INDEX(MASTER_DATABASE!$A$4:$A$1000,ROW()-3)="","",INDEX(MASTER_DATABASE!$AH$4:$AH$1000,ROW()-3)&amp;"")</f>
        <v>No</v>
      </c>
      <c r="X138" s="7" t="str">
        <f aca="false">IF(INDEX(MASTER_DATABASE!$A$4:$A$1000,ROW()-3)="","",INDEX(MASTER_DATABASE!$AI$4:$AI$1000,ROW()-3)&amp;"")</f>
        <v>No</v>
      </c>
      <c r="Y138" s="7" t="str">
        <f aca="false">IF(INDEX(MASTER_DATABASE!$A$4:$A$1000,ROW()-3)="","",INDEX(MASTER_DATABASE!$AJ$4:$AJ$1000,ROW()-3)&amp;"")</f>
        <v>No</v>
      </c>
      <c r="Z138" s="7" t="str">
        <f aca="false">IF(INDEX(MASTER_DATABASE!$A$4:$A$1000,ROW()-3)="","",INDEX(MASTER_DATABASE!$AK$4:$AK$1000,ROW()-3)&amp;"")</f>
        <v>No</v>
      </c>
      <c r="AA138" s="7" t="str">
        <f aca="false">IF(INDEX(MASTER_DATABASE!$A$4:$A$1000,ROW()-3)="","",INDEX(MASTER_DATABASE!$BE$4:$BE$1000,ROW()-3)&amp;"")</f>
        <v>HIDDEN</v>
      </c>
    </row>
    <row r="139" customFormat="false" ht="46.25" hidden="false" customHeight="false" outlineLevel="0" collapsed="false">
      <c r="A139" s="11" t="str">
        <f aca="false">IF(INDEX(MASTER_DATABASE!$A$4:$A$1000,ROW()-3)="","",INDEX(MASTER_DATABASE!$A$4:$A$1000,ROW()-3)&amp;"")</f>
        <v>CSC-031</v>
      </c>
      <c r="B139" s="7" t="str">
        <f aca="false">IF(INDEX(MASTER_DATABASE!$A$4:$A$1000,ROW()-3)="","",INDEX(MASTER_DATABASE!$B$4:$B$1000,ROW()-3)&amp;"")</f>
        <v>Common Service Centre (CSC)</v>
      </c>
      <c r="C139" s="7" t="str">
        <f aca="false">IF(INDEX(MASTER_DATABASE!$A$4:$A$1000,ROW()-3)="","",INDEX(MASTER_DATABASE!$C$4:$C$1000,ROW()-3)&amp;"")</f>
        <v>Government &amp; Digital Services (CSC)</v>
      </c>
      <c r="D139" s="7" t="str">
        <f aca="false">IF(INDEX(MASTER_DATABASE!$A$4:$A$1000,ROW()-3)="","",INDEX(MASTER_DATABASE!$D$4:$D$1000,ROW()-3)&amp;"")</f>
        <v>Pension Services</v>
      </c>
      <c r="E139" s="7" t="str">
        <f aca="false">IF(INDEX(MASTER_DATABASE!$A$4:$A$1000,ROW()-3)="","",INDEX(MASTER_DATABASE!$E$4:$E$1000,ROW()-3)&amp;"")</f>
        <v>EPFO / UAN Service Assistance</v>
      </c>
      <c r="F139" s="7" t="str">
        <f aca="false">IF(INDEX(MASTER_DATABASE!$A$4:$A$1000,ROW()-3)="","",INDEX(MASTER_DATABASE!$F$4:$F$1000,ROW()-3)&amp;"")</f>
        <v>EPFO / UAN सेवा सहायता</v>
      </c>
      <c r="G139" s="7" t="str">
        <f aca="false">IF(INDEX(MASTER_DATABASE!$A$4:$A$1000,ROW()-3)="","",INDEX(MASTER_DATABASE!$AL$4:$AL$1000,ROW()-3)&amp;"")</f>
        <v>Common Service Centre (CSC)</v>
      </c>
      <c r="H139" s="7" t="str">
        <f aca="false">IF(INDEX(MASTER_DATABASE!$A$4:$A$1000,ROW()-3)="","",INDEX(MASTER_DATABASE!$AM$4:$AM$1000,ROW()-3)&amp;"")</f>
        <v>Pension Services</v>
      </c>
      <c r="I139" s="7" t="str">
        <f aca="false">IF(INDEX(MASTER_DATABASE!$A$4:$A$1000,ROW()-3)="","",INDEX(MASTER_DATABASE!$AO$4:$AO$1000,ROW()-3)&amp;"")</f>
        <v>epfo-uan-service-assistance</v>
      </c>
      <c r="J139" s="7" t="str">
        <f aca="false">IF(INDEX(MASTER_DATABASE!$A$4:$A$1000,ROW()-3)="","",INDEX(MASTER_DATABASE!$BD$4:$BD$1000,ROW()-3)&amp;"")</f>
        <v>/services/epfo-uan-service-assistance</v>
      </c>
      <c r="K139" s="7" t="str">
        <f aca="false">IF(INDEX(MASTER_DATABASE!$A$4:$A$1000,ROW()-3)="","",INDEX(MASTER_DATABASE!$AX$4:$AX$1000,ROW()-3)&amp;"")</f>
        <v>EPFO / UAN Service Assistance Service | Devmobile Stores</v>
      </c>
      <c r="L139" s="7" t="str">
        <f aca="false">IF(INDEX(MASTER_DATABASE!$A$4:$A$1000,ROW()-3)="","",INDEX(MASTER_DATABASE!$AY$4:$AY$1000,ROW()-3)&amp;"")</f>
        <v>EPFO / UAN Service Assistance (EPFO / UAN सेवा सहायता) at Devmobile Stores and Common Service Center &amp; Aadhaar Centre. Check required documents, charges and process before you visit.</v>
      </c>
      <c r="M139" s="7" t="str">
        <f aca="false">IF(INDEX(MASTER_DATABASE!$A$4:$A$1000,ROW()-3)="","",INDEX(MASTER_DATABASE!$AN$4:$AN$1000,ROW()-3)&amp;"")</f>
        <v>EPFO / UAN Service Assistance, Common Service Centre (CSC), Devmobile Stores, EPFO / UAN सेवा सहायता, कॉमन सर्विस सेंटर (CSC), सेवा</v>
      </c>
      <c r="N139" s="7" t="str">
        <f aca="false">IF(INDEX(MASTER_DATABASE!$A$4:$A$1000,ROW()-3)="","",INDEX(MASTER_DATABASE!$AZ$4:$AZ$1000,ROW()-3)&amp;"")</f>
        <v>EPFO / UAN सेवा सहायता, कॉमन सर्विस सेंटर (CSC), सेवा</v>
      </c>
      <c r="O139" s="7" t="str">
        <f aca="false">IF(INDEX(MASTER_DATABASE!$A$4:$A$1000,ROW()-3)="","",INDEX(MASTER_DATABASE!$BA$4:$BA$1000,ROW()-3)&amp;"")</f>
        <v>EPFO / UAN Service Assistance, Common Service Centre (CSC), Devmobile Stores</v>
      </c>
      <c r="P139" s="11" t="str">
        <f aca="false">IF(INDEX(MASTER_DATABASE!$A$4:$A$1000,ROW()-3)="","",INDEX(MASTER_DATABASE!$AP$4:$AP$1000,ROW()-3)&amp;"")</f>
        <v>👴</v>
      </c>
      <c r="Q139" s="7" t="str">
        <f aca="false">IF(INDEX(MASTER_DATABASE!$A$4:$A$1000,ROW()-3)="","",INDEX(MASTER_DATABASE!$BB$4:$BB$1000,ROW()-3)&amp;"")</f>
        <v/>
      </c>
      <c r="R139" s="11" t="str">
        <f aca="false">IF(INDEX(MASTER_DATABASE!$A$4:$A$1000,ROW()-3)="","",INDEX(MASTER_DATABASE!$BC$4:$BC$1000,ROW()-3)&amp;"")</f>
        <v>🖥️</v>
      </c>
      <c r="S139" s="11" t="n">
        <f aca="false">IF(INDEX(MASTER_DATABASE!$A$4:$A$1000,ROW()-3)="","",INDEX(MASTER_DATABASE!$AQ$4:$AQ$1000,ROW()-3))</f>
        <v>310</v>
      </c>
      <c r="T139" s="7" t="str">
        <f aca="false">IF(INDEX(MASTER_DATABASE!$A$4:$A$1000,ROW()-3)="","",INDEX(MASTER_DATABASE!$I$4:$I$1000,ROW()-3)&amp;"")</f>
        <v>Portal Dependent</v>
      </c>
      <c r="U139" s="7" t="str">
        <f aca="false">IF(INDEX(MASTER_DATABASE!$A$4:$A$1000,ROW()-3)="","",INDEX(MASTER_DATABASE!$J$4:$J$1000,ROW()-3)&amp;"")</f>
        <v>Depends on Portal – Confirm at Shop</v>
      </c>
      <c r="V139" s="7" t="str">
        <f aca="false">IF(INDEX(MASTER_DATABASE!$A$4:$A$1000,ROW()-3)="","",INDEX(MASTER_DATABASE!$AG$4:$AG$1000,ROW()-3)&amp;"")</f>
        <v>To Verify</v>
      </c>
      <c r="W139" s="7" t="str">
        <f aca="false">IF(INDEX(MASTER_DATABASE!$A$4:$A$1000,ROW()-3)="","",INDEX(MASTER_DATABASE!$AH$4:$AH$1000,ROW()-3)&amp;"")</f>
        <v>No</v>
      </c>
      <c r="X139" s="7" t="str">
        <f aca="false">IF(INDEX(MASTER_DATABASE!$A$4:$A$1000,ROW()-3)="","",INDEX(MASTER_DATABASE!$AI$4:$AI$1000,ROW()-3)&amp;"")</f>
        <v>No</v>
      </c>
      <c r="Y139" s="7" t="str">
        <f aca="false">IF(INDEX(MASTER_DATABASE!$A$4:$A$1000,ROW()-3)="","",INDEX(MASTER_DATABASE!$AJ$4:$AJ$1000,ROW()-3)&amp;"")</f>
        <v>No</v>
      </c>
      <c r="Z139" s="7" t="str">
        <f aca="false">IF(INDEX(MASTER_DATABASE!$A$4:$A$1000,ROW()-3)="","",INDEX(MASTER_DATABASE!$AK$4:$AK$1000,ROW()-3)&amp;"")</f>
        <v>No</v>
      </c>
      <c r="AA139" s="7" t="str">
        <f aca="false">IF(INDEX(MASTER_DATABASE!$A$4:$A$1000,ROW()-3)="","",INDEX(MASTER_DATABASE!$BE$4:$BE$1000,ROW()-3)&amp;"")</f>
        <v>HIDDEN</v>
      </c>
    </row>
    <row r="140" customFormat="false" ht="57.45" hidden="false" customHeight="false" outlineLevel="0" collapsed="false">
      <c r="A140" s="11" t="str">
        <f aca="false">IF(INDEX(MASTER_DATABASE!$A$4:$A$1000,ROW()-3)="","",INDEX(MASTER_DATABASE!$A$4:$A$1000,ROW()-3)&amp;"")</f>
        <v>CSC-032</v>
      </c>
      <c r="B140" s="7" t="str">
        <f aca="false">IF(INDEX(MASTER_DATABASE!$A$4:$A$1000,ROW()-3)="","",INDEX(MASTER_DATABASE!$B$4:$B$1000,ROW()-3)&amp;"")</f>
        <v>Common Service Centre (CSC)</v>
      </c>
      <c r="C140" s="7" t="str">
        <f aca="false">IF(INDEX(MASTER_DATABASE!$A$4:$A$1000,ROW()-3)="","",INDEX(MASTER_DATABASE!$C$4:$C$1000,ROW()-3)&amp;"")</f>
        <v>Government &amp; Digital Services (CSC)</v>
      </c>
      <c r="D140" s="7" t="str">
        <f aca="false">IF(INDEX(MASTER_DATABASE!$A$4:$A$1000,ROW()-3)="","",INDEX(MASTER_DATABASE!$D$4:$D$1000,ROW()-3)&amp;"")</f>
        <v>Pension Services</v>
      </c>
      <c r="E140" s="7" t="str">
        <f aca="false">IF(INDEX(MASTER_DATABASE!$A$4:$A$1000,ROW()-3)="","",INDEX(MASTER_DATABASE!$E$4:$E$1000,ROW()-3)&amp;"")</f>
        <v>Pension Application Assistance (Central / State)</v>
      </c>
      <c r="F140" s="7" t="str">
        <f aca="false">IF(INDEX(MASTER_DATABASE!$A$4:$A$1000,ROW()-3)="","",INDEX(MASTER_DATABASE!$F$4:$F$1000,ROW()-3)&amp;"")</f>
        <v>पेंशन आवेदन सहायता (केंद्र / राज्य)</v>
      </c>
      <c r="G140" s="7" t="str">
        <f aca="false">IF(INDEX(MASTER_DATABASE!$A$4:$A$1000,ROW()-3)="","",INDEX(MASTER_DATABASE!$AL$4:$AL$1000,ROW()-3)&amp;"")</f>
        <v>Common Service Centre (CSC)</v>
      </c>
      <c r="H140" s="7" t="str">
        <f aca="false">IF(INDEX(MASTER_DATABASE!$A$4:$A$1000,ROW()-3)="","",INDEX(MASTER_DATABASE!$AM$4:$AM$1000,ROW()-3)&amp;"")</f>
        <v>Pension Services</v>
      </c>
      <c r="I140" s="7" t="str">
        <f aca="false">IF(INDEX(MASTER_DATABASE!$A$4:$A$1000,ROW()-3)="","",INDEX(MASTER_DATABASE!$AO$4:$AO$1000,ROW()-3)&amp;"")</f>
        <v>pension-application-assistance-central-state</v>
      </c>
      <c r="J140" s="7" t="str">
        <f aca="false">IF(INDEX(MASTER_DATABASE!$A$4:$A$1000,ROW()-3)="","",INDEX(MASTER_DATABASE!$BD$4:$BD$1000,ROW()-3)&amp;"")</f>
        <v>/services/pension-application-assistance-central-state</v>
      </c>
      <c r="K140" s="7" t="str">
        <f aca="false">IF(INDEX(MASTER_DATABASE!$A$4:$A$1000,ROW()-3)="","",INDEX(MASTER_DATABASE!$AX$4:$AX$1000,ROW()-3)&amp;"")</f>
        <v>Pension Application Assistance (Central / State) Service | Devmobile Stores</v>
      </c>
      <c r="L140" s="7" t="str">
        <f aca="false">IF(INDEX(MASTER_DATABASE!$A$4:$A$1000,ROW()-3)="","",INDEX(MASTER_DATABASE!$AY$4:$AY$1000,ROW()-3)&amp;"")</f>
        <v>Pension Application Assistance (Central / State) (पेंशन आवेदन सहायता (केंद्र / राज्य)) at Devmobile Stores and Common Service Center &amp; Aadhaar Centre. Check required documents, charges and process before you visit.</v>
      </c>
      <c r="M140" s="7" t="str">
        <f aca="false">IF(INDEX(MASTER_DATABASE!$A$4:$A$1000,ROW()-3)="","",INDEX(MASTER_DATABASE!$AN$4:$AN$1000,ROW()-3)&amp;"")</f>
        <v>Pension Application Assistance (Central / State), Common Service Centre (CSC), Devmobile Stores, पेंशन आवेदन सहायता (केंद्र / राज्य), कॉमन सर्विस सेंटर (CSC), सेवा</v>
      </c>
      <c r="N140" s="7" t="str">
        <f aca="false">IF(INDEX(MASTER_DATABASE!$A$4:$A$1000,ROW()-3)="","",INDEX(MASTER_DATABASE!$AZ$4:$AZ$1000,ROW()-3)&amp;"")</f>
        <v>पेंशन आवेदन सहायता (केंद्र / राज्य), कॉमन सर्विस सेंटर (CSC), सेवा</v>
      </c>
      <c r="O140" s="7" t="str">
        <f aca="false">IF(INDEX(MASTER_DATABASE!$A$4:$A$1000,ROW()-3)="","",INDEX(MASTER_DATABASE!$BA$4:$BA$1000,ROW()-3)&amp;"")</f>
        <v>Pension Application Assistance (Central / State), Common Service Centre (CSC), Devmobile Stores</v>
      </c>
      <c r="P140" s="11" t="str">
        <f aca="false">IF(INDEX(MASTER_DATABASE!$A$4:$A$1000,ROW()-3)="","",INDEX(MASTER_DATABASE!$AP$4:$AP$1000,ROW()-3)&amp;"")</f>
        <v>👴</v>
      </c>
      <c r="Q140" s="7" t="str">
        <f aca="false">IF(INDEX(MASTER_DATABASE!$A$4:$A$1000,ROW()-3)="","",INDEX(MASTER_DATABASE!$BB$4:$BB$1000,ROW()-3)&amp;"")</f>
        <v/>
      </c>
      <c r="R140" s="11" t="str">
        <f aca="false">IF(INDEX(MASTER_DATABASE!$A$4:$A$1000,ROW()-3)="","",INDEX(MASTER_DATABASE!$BC$4:$BC$1000,ROW()-3)&amp;"")</f>
        <v>🖥️</v>
      </c>
      <c r="S140" s="11" t="n">
        <f aca="false">IF(INDEX(MASTER_DATABASE!$A$4:$A$1000,ROW()-3)="","",INDEX(MASTER_DATABASE!$AQ$4:$AQ$1000,ROW()-3))</f>
        <v>320</v>
      </c>
      <c r="T140" s="7" t="str">
        <f aca="false">IF(INDEX(MASTER_DATABASE!$A$4:$A$1000,ROW()-3)="","",INDEX(MASTER_DATABASE!$I$4:$I$1000,ROW()-3)&amp;"")</f>
        <v>To Verify</v>
      </c>
      <c r="U140" s="7" t="str">
        <f aca="false">IF(INDEX(MASTER_DATABASE!$A$4:$A$1000,ROW()-3)="","",INDEX(MASTER_DATABASE!$J$4:$J$1000,ROW()-3)&amp;"")</f>
        <v>To Be Confirmed</v>
      </c>
      <c r="V140" s="7" t="str">
        <f aca="false">IF(INDEX(MASTER_DATABASE!$A$4:$A$1000,ROW()-3)="","",INDEX(MASTER_DATABASE!$AG$4:$AG$1000,ROW()-3)&amp;"")</f>
        <v>To Verify</v>
      </c>
      <c r="W140" s="7" t="str">
        <f aca="false">IF(INDEX(MASTER_DATABASE!$A$4:$A$1000,ROW()-3)="","",INDEX(MASTER_DATABASE!$AH$4:$AH$1000,ROW()-3)&amp;"")</f>
        <v>No</v>
      </c>
      <c r="X140" s="7" t="str">
        <f aca="false">IF(INDEX(MASTER_DATABASE!$A$4:$A$1000,ROW()-3)="","",INDEX(MASTER_DATABASE!$AI$4:$AI$1000,ROW()-3)&amp;"")</f>
        <v>No</v>
      </c>
      <c r="Y140" s="7" t="str">
        <f aca="false">IF(INDEX(MASTER_DATABASE!$A$4:$A$1000,ROW()-3)="","",INDEX(MASTER_DATABASE!$AJ$4:$AJ$1000,ROW()-3)&amp;"")</f>
        <v>No</v>
      </c>
      <c r="Z140" s="7" t="str">
        <f aca="false">IF(INDEX(MASTER_DATABASE!$A$4:$A$1000,ROW()-3)="","",INDEX(MASTER_DATABASE!$AK$4:$AK$1000,ROW()-3)&amp;"")</f>
        <v>No</v>
      </c>
      <c r="AA140" s="7" t="str">
        <f aca="false">IF(INDEX(MASTER_DATABASE!$A$4:$A$1000,ROW()-3)="","",INDEX(MASTER_DATABASE!$BE$4:$BE$1000,ROW()-3)&amp;"")</f>
        <v>HIDDEN</v>
      </c>
    </row>
    <row r="141" customFormat="false" ht="57.45" hidden="false" customHeight="false" outlineLevel="0" collapsed="false">
      <c r="A141" s="11" t="str">
        <f aca="false">IF(INDEX(MASTER_DATABASE!$A$4:$A$1000,ROW()-3)="","",INDEX(MASTER_DATABASE!$A$4:$A$1000,ROW()-3)&amp;"")</f>
        <v>CSC-033</v>
      </c>
      <c r="B141" s="7" t="str">
        <f aca="false">IF(INDEX(MASTER_DATABASE!$A$4:$A$1000,ROW()-3)="","",INDEX(MASTER_DATABASE!$B$4:$B$1000,ROW()-3)&amp;"")</f>
        <v>Common Service Centre (CSC)</v>
      </c>
      <c r="C141" s="7" t="str">
        <f aca="false">IF(INDEX(MASTER_DATABASE!$A$4:$A$1000,ROW()-3)="","",INDEX(MASTER_DATABASE!$C$4:$C$1000,ROW()-3)&amp;"")</f>
        <v>Government &amp; Digital Services (CSC)</v>
      </c>
      <c r="D141" s="7" t="str">
        <f aca="false">IF(INDEX(MASTER_DATABASE!$A$4:$A$1000,ROW()-3)="","",INDEX(MASTER_DATABASE!$D$4:$D$1000,ROW()-3)&amp;"")</f>
        <v>Education Services</v>
      </c>
      <c r="E141" s="7" t="str">
        <f aca="false">IF(INDEX(MASTER_DATABASE!$A$4:$A$1000,ROW()-3)="","",INDEX(MASTER_DATABASE!$E$4:$E$1000,ROW()-3)&amp;"")</f>
        <v>Digital Literacy (PMGDISHA) Registration</v>
      </c>
      <c r="F141" s="7" t="str">
        <f aca="false">IF(INDEX(MASTER_DATABASE!$A$4:$A$1000,ROW()-3)="","",INDEX(MASTER_DATABASE!$F$4:$F$1000,ROW()-3)&amp;"")</f>
        <v>डिजिटल साक्षरता (PMGDISHA) पंजीकरण</v>
      </c>
      <c r="G141" s="7" t="str">
        <f aca="false">IF(INDEX(MASTER_DATABASE!$A$4:$A$1000,ROW()-3)="","",INDEX(MASTER_DATABASE!$AL$4:$AL$1000,ROW()-3)&amp;"")</f>
        <v>Common Service Centre (CSC)</v>
      </c>
      <c r="H141" s="7" t="str">
        <f aca="false">IF(INDEX(MASTER_DATABASE!$A$4:$A$1000,ROW()-3)="","",INDEX(MASTER_DATABASE!$AM$4:$AM$1000,ROW()-3)&amp;"")</f>
        <v>Education Services</v>
      </c>
      <c r="I141" s="7" t="str">
        <f aca="false">IF(INDEX(MASTER_DATABASE!$A$4:$A$1000,ROW()-3)="","",INDEX(MASTER_DATABASE!$AO$4:$AO$1000,ROW()-3)&amp;"")</f>
        <v>digital-literacy-pmgdisha-registration</v>
      </c>
      <c r="J141" s="7" t="str">
        <f aca="false">IF(INDEX(MASTER_DATABASE!$A$4:$A$1000,ROW()-3)="","",INDEX(MASTER_DATABASE!$BD$4:$BD$1000,ROW()-3)&amp;"")</f>
        <v>/services/digital-literacy-pmgdisha-registration</v>
      </c>
      <c r="K141" s="7" t="str">
        <f aca="false">IF(INDEX(MASTER_DATABASE!$A$4:$A$1000,ROW()-3)="","",INDEX(MASTER_DATABASE!$AX$4:$AX$1000,ROW()-3)&amp;"")</f>
        <v>Digital Literacy (PMGDISHA) Registration Service | Devmobile Stores</v>
      </c>
      <c r="L141" s="7" t="str">
        <f aca="false">IF(INDEX(MASTER_DATABASE!$A$4:$A$1000,ROW()-3)="","",INDEX(MASTER_DATABASE!$AY$4:$AY$1000,ROW()-3)&amp;"")</f>
        <v>Digital Literacy (PMGDISHA) Registration (डिजिटल साक्षरता (PMGDISHA) पंजीकरण) at Devmobile Stores and Common Service Center &amp; Aadhaar Centre. Check required documents, charges and process before you visit.</v>
      </c>
      <c r="M141" s="7" t="str">
        <f aca="false">IF(INDEX(MASTER_DATABASE!$A$4:$A$1000,ROW()-3)="","",INDEX(MASTER_DATABASE!$AN$4:$AN$1000,ROW()-3)&amp;"")</f>
        <v>Digital Literacy (PMGDISHA) Registration, Common Service Centre (CSC), Devmobile Stores, डिजिटल साक्षरता (PMGDISHA) पंजीकरण, कॉमन सर्विस सेंटर (CSC), सेवा</v>
      </c>
      <c r="N141" s="7" t="str">
        <f aca="false">IF(INDEX(MASTER_DATABASE!$A$4:$A$1000,ROW()-3)="","",INDEX(MASTER_DATABASE!$AZ$4:$AZ$1000,ROW()-3)&amp;"")</f>
        <v>डिजिटल साक्षरता (PMGDISHA) पंजीकरण, कॉमन सर्विस सेंटर (CSC), सेवा</v>
      </c>
      <c r="O141" s="7" t="str">
        <f aca="false">IF(INDEX(MASTER_DATABASE!$A$4:$A$1000,ROW()-3)="","",INDEX(MASTER_DATABASE!$BA$4:$BA$1000,ROW()-3)&amp;"")</f>
        <v>Digital Literacy (PMGDISHA) Registration, Common Service Centre (CSC), Devmobile Stores</v>
      </c>
      <c r="P141" s="11" t="str">
        <f aca="false">IF(INDEX(MASTER_DATABASE!$A$4:$A$1000,ROW()-3)="","",INDEX(MASTER_DATABASE!$AP$4:$AP$1000,ROW()-3)&amp;"")</f>
        <v>🎓</v>
      </c>
      <c r="Q141" s="7" t="str">
        <f aca="false">IF(INDEX(MASTER_DATABASE!$A$4:$A$1000,ROW()-3)="","",INDEX(MASTER_DATABASE!$BB$4:$BB$1000,ROW()-3)&amp;"")</f>
        <v/>
      </c>
      <c r="R141" s="11" t="str">
        <f aca="false">IF(INDEX(MASTER_DATABASE!$A$4:$A$1000,ROW()-3)="","",INDEX(MASTER_DATABASE!$BC$4:$BC$1000,ROW()-3)&amp;"")</f>
        <v>🖥️</v>
      </c>
      <c r="S141" s="11" t="n">
        <f aca="false">IF(INDEX(MASTER_DATABASE!$A$4:$A$1000,ROW()-3)="","",INDEX(MASTER_DATABASE!$AQ$4:$AQ$1000,ROW()-3))</f>
        <v>330</v>
      </c>
      <c r="T141" s="7" t="str">
        <f aca="false">IF(INDEX(MASTER_DATABASE!$A$4:$A$1000,ROW()-3)="","",INDEX(MASTER_DATABASE!$I$4:$I$1000,ROW()-3)&amp;"")</f>
        <v>Authorization Required</v>
      </c>
      <c r="U141" s="7" t="str">
        <f aca="false">IF(INDEX(MASTER_DATABASE!$A$4:$A$1000,ROW()-3)="","",INDEX(MASTER_DATABASE!$J$4:$J$1000,ROW()-3)&amp;"")</f>
        <v>Please Confirm at Shop</v>
      </c>
      <c r="V141" s="7" t="str">
        <f aca="false">IF(INDEX(MASTER_DATABASE!$A$4:$A$1000,ROW()-3)="","",INDEX(MASTER_DATABASE!$AG$4:$AG$1000,ROW()-3)&amp;"")</f>
        <v>To Verify</v>
      </c>
      <c r="W141" s="7" t="str">
        <f aca="false">IF(INDEX(MASTER_DATABASE!$A$4:$A$1000,ROW()-3)="","",INDEX(MASTER_DATABASE!$AH$4:$AH$1000,ROW()-3)&amp;"")</f>
        <v>No</v>
      </c>
      <c r="X141" s="7" t="str">
        <f aca="false">IF(INDEX(MASTER_DATABASE!$A$4:$A$1000,ROW()-3)="","",INDEX(MASTER_DATABASE!$AI$4:$AI$1000,ROW()-3)&amp;"")</f>
        <v>No</v>
      </c>
      <c r="Y141" s="7" t="str">
        <f aca="false">IF(INDEX(MASTER_DATABASE!$A$4:$A$1000,ROW()-3)="","",INDEX(MASTER_DATABASE!$AJ$4:$AJ$1000,ROW()-3)&amp;"")</f>
        <v>No</v>
      </c>
      <c r="Z141" s="7" t="str">
        <f aca="false">IF(INDEX(MASTER_DATABASE!$A$4:$A$1000,ROW()-3)="","",INDEX(MASTER_DATABASE!$AK$4:$AK$1000,ROW()-3)&amp;"")</f>
        <v>No</v>
      </c>
      <c r="AA141" s="7" t="str">
        <f aca="false">IF(INDEX(MASTER_DATABASE!$A$4:$A$1000,ROW()-3)="","",INDEX(MASTER_DATABASE!$BE$4:$BE$1000,ROW()-3)&amp;"")</f>
        <v>HIDDEN</v>
      </c>
    </row>
    <row r="142" customFormat="false" ht="46.25" hidden="false" customHeight="false" outlineLevel="0" collapsed="false">
      <c r="A142" s="11" t="str">
        <f aca="false">IF(INDEX(MASTER_DATABASE!$A$4:$A$1000,ROW()-3)="","",INDEX(MASTER_DATABASE!$A$4:$A$1000,ROW()-3)&amp;"")</f>
        <v>CSC-034</v>
      </c>
      <c r="B142" s="7" t="str">
        <f aca="false">IF(INDEX(MASTER_DATABASE!$A$4:$A$1000,ROW()-3)="","",INDEX(MASTER_DATABASE!$B$4:$B$1000,ROW()-3)&amp;"")</f>
        <v>Common Service Centre (CSC)</v>
      </c>
      <c r="C142" s="7" t="str">
        <f aca="false">IF(INDEX(MASTER_DATABASE!$A$4:$A$1000,ROW()-3)="","",INDEX(MASTER_DATABASE!$C$4:$C$1000,ROW()-3)&amp;"")</f>
        <v>Government &amp; Digital Services (CSC)</v>
      </c>
      <c r="D142" s="7" t="str">
        <f aca="false">IF(INDEX(MASTER_DATABASE!$A$4:$A$1000,ROW()-3)="","",INDEX(MASTER_DATABASE!$D$4:$D$1000,ROW()-3)&amp;"")</f>
        <v>Education Services</v>
      </c>
      <c r="E142" s="7" t="str">
        <f aca="false">IF(INDEX(MASTER_DATABASE!$A$4:$A$1000,ROW()-3)="","",INDEX(MASTER_DATABASE!$E$4:$E$1000,ROW()-3)&amp;"")</f>
        <v>Skill Development Course Enrolment</v>
      </c>
      <c r="F142" s="7" t="str">
        <f aca="false">IF(INDEX(MASTER_DATABASE!$A$4:$A$1000,ROW()-3)="","",INDEX(MASTER_DATABASE!$F$4:$F$1000,ROW()-3)&amp;"")</f>
        <v>कौशल विकास कोर्स नामांकन</v>
      </c>
      <c r="G142" s="7" t="str">
        <f aca="false">IF(INDEX(MASTER_DATABASE!$A$4:$A$1000,ROW()-3)="","",INDEX(MASTER_DATABASE!$AL$4:$AL$1000,ROW()-3)&amp;"")</f>
        <v>Common Service Centre (CSC)</v>
      </c>
      <c r="H142" s="7" t="str">
        <f aca="false">IF(INDEX(MASTER_DATABASE!$A$4:$A$1000,ROW()-3)="","",INDEX(MASTER_DATABASE!$AM$4:$AM$1000,ROW()-3)&amp;"")</f>
        <v>Education Services</v>
      </c>
      <c r="I142" s="7" t="str">
        <f aca="false">IF(INDEX(MASTER_DATABASE!$A$4:$A$1000,ROW()-3)="","",INDEX(MASTER_DATABASE!$AO$4:$AO$1000,ROW()-3)&amp;"")</f>
        <v>skill-development-course-enrolment</v>
      </c>
      <c r="J142" s="7" t="str">
        <f aca="false">IF(INDEX(MASTER_DATABASE!$A$4:$A$1000,ROW()-3)="","",INDEX(MASTER_DATABASE!$BD$4:$BD$1000,ROW()-3)&amp;"")</f>
        <v>/services/skill-development-course-enrolment</v>
      </c>
      <c r="K142" s="7" t="str">
        <f aca="false">IF(INDEX(MASTER_DATABASE!$A$4:$A$1000,ROW()-3)="","",INDEX(MASTER_DATABASE!$AX$4:$AX$1000,ROW()-3)&amp;"")</f>
        <v>Skill Development Course Enrolment Service | Devmobile Stores</v>
      </c>
      <c r="L142" s="7" t="str">
        <f aca="false">IF(INDEX(MASTER_DATABASE!$A$4:$A$1000,ROW()-3)="","",INDEX(MASTER_DATABASE!$AY$4:$AY$1000,ROW()-3)&amp;"")</f>
        <v>Skill Development Course Enrolment (कौशल विकास कोर्स नामांकन) at Devmobile Stores and Common Service Center &amp; Aadhaar Centre. Check required documents, charges and process before you visit.</v>
      </c>
      <c r="M142" s="7" t="str">
        <f aca="false">IF(INDEX(MASTER_DATABASE!$A$4:$A$1000,ROW()-3)="","",INDEX(MASTER_DATABASE!$AN$4:$AN$1000,ROW()-3)&amp;"")</f>
        <v>Skill Development Course Enrolment, Common Service Centre (CSC), Devmobile Stores, कौशल विकास कोर्स नामांकन, कॉमन सर्विस सेंटर (CSC), सेवा</v>
      </c>
      <c r="N142" s="7" t="str">
        <f aca="false">IF(INDEX(MASTER_DATABASE!$A$4:$A$1000,ROW()-3)="","",INDEX(MASTER_DATABASE!$AZ$4:$AZ$1000,ROW()-3)&amp;"")</f>
        <v>कौशल विकास कोर्स नामांकन, कॉमन सर्विस सेंटर (CSC), सेवा</v>
      </c>
      <c r="O142" s="7" t="str">
        <f aca="false">IF(INDEX(MASTER_DATABASE!$A$4:$A$1000,ROW()-3)="","",INDEX(MASTER_DATABASE!$BA$4:$BA$1000,ROW()-3)&amp;"")</f>
        <v>Skill Development Course Enrolment, Common Service Centre (CSC), Devmobile Stores</v>
      </c>
      <c r="P142" s="11" t="str">
        <f aca="false">IF(INDEX(MASTER_DATABASE!$A$4:$A$1000,ROW()-3)="","",INDEX(MASTER_DATABASE!$AP$4:$AP$1000,ROW()-3)&amp;"")</f>
        <v>🎓</v>
      </c>
      <c r="Q142" s="7" t="str">
        <f aca="false">IF(INDEX(MASTER_DATABASE!$A$4:$A$1000,ROW()-3)="","",INDEX(MASTER_DATABASE!$BB$4:$BB$1000,ROW()-3)&amp;"")</f>
        <v/>
      </c>
      <c r="R142" s="11" t="str">
        <f aca="false">IF(INDEX(MASTER_DATABASE!$A$4:$A$1000,ROW()-3)="","",INDEX(MASTER_DATABASE!$BC$4:$BC$1000,ROW()-3)&amp;"")</f>
        <v>🖥️</v>
      </c>
      <c r="S142" s="11" t="n">
        <f aca="false">IF(INDEX(MASTER_DATABASE!$A$4:$A$1000,ROW()-3)="","",INDEX(MASTER_DATABASE!$AQ$4:$AQ$1000,ROW()-3))</f>
        <v>340</v>
      </c>
      <c r="T142" s="7" t="str">
        <f aca="false">IF(INDEX(MASTER_DATABASE!$A$4:$A$1000,ROW()-3)="","",INDEX(MASTER_DATABASE!$I$4:$I$1000,ROW()-3)&amp;"")</f>
        <v>To Verify</v>
      </c>
      <c r="U142" s="7" t="str">
        <f aca="false">IF(INDEX(MASTER_DATABASE!$A$4:$A$1000,ROW()-3)="","",INDEX(MASTER_DATABASE!$J$4:$J$1000,ROW()-3)&amp;"")</f>
        <v>To Be Confirmed</v>
      </c>
      <c r="V142" s="7" t="str">
        <f aca="false">IF(INDEX(MASTER_DATABASE!$A$4:$A$1000,ROW()-3)="","",INDEX(MASTER_DATABASE!$AG$4:$AG$1000,ROW()-3)&amp;"")</f>
        <v>To Verify</v>
      </c>
      <c r="W142" s="7" t="str">
        <f aca="false">IF(INDEX(MASTER_DATABASE!$A$4:$A$1000,ROW()-3)="","",INDEX(MASTER_DATABASE!$AH$4:$AH$1000,ROW()-3)&amp;"")</f>
        <v>No</v>
      </c>
      <c r="X142" s="7" t="str">
        <f aca="false">IF(INDEX(MASTER_DATABASE!$A$4:$A$1000,ROW()-3)="","",INDEX(MASTER_DATABASE!$AI$4:$AI$1000,ROW()-3)&amp;"")</f>
        <v>No</v>
      </c>
      <c r="Y142" s="7" t="str">
        <f aca="false">IF(INDEX(MASTER_DATABASE!$A$4:$A$1000,ROW()-3)="","",INDEX(MASTER_DATABASE!$AJ$4:$AJ$1000,ROW()-3)&amp;"")</f>
        <v>No</v>
      </c>
      <c r="Z142" s="7" t="str">
        <f aca="false">IF(INDEX(MASTER_DATABASE!$A$4:$A$1000,ROW()-3)="","",INDEX(MASTER_DATABASE!$AK$4:$AK$1000,ROW()-3)&amp;"")</f>
        <v>No</v>
      </c>
      <c r="AA142" s="7" t="str">
        <f aca="false">IF(INDEX(MASTER_DATABASE!$A$4:$A$1000,ROW()-3)="","",INDEX(MASTER_DATABASE!$BE$4:$BE$1000,ROW()-3)&amp;"")</f>
        <v>HIDDEN</v>
      </c>
    </row>
    <row r="143" customFormat="false" ht="57.45" hidden="false" customHeight="false" outlineLevel="0" collapsed="false">
      <c r="A143" s="11" t="str">
        <f aca="false">IF(INDEX(MASTER_DATABASE!$A$4:$A$1000,ROW()-3)="","",INDEX(MASTER_DATABASE!$A$4:$A$1000,ROW()-3)&amp;"")</f>
        <v>CSC-035</v>
      </c>
      <c r="B143" s="7" t="str">
        <f aca="false">IF(INDEX(MASTER_DATABASE!$A$4:$A$1000,ROW()-3)="","",INDEX(MASTER_DATABASE!$B$4:$B$1000,ROW()-3)&amp;"")</f>
        <v>Common Service Centre (CSC)</v>
      </c>
      <c r="C143" s="7" t="str">
        <f aca="false">IF(INDEX(MASTER_DATABASE!$A$4:$A$1000,ROW()-3)="","",INDEX(MASTER_DATABASE!$C$4:$C$1000,ROW()-3)&amp;"")</f>
        <v>Government &amp; Digital Services (CSC)</v>
      </c>
      <c r="D143" s="7" t="str">
        <f aca="false">IF(INDEX(MASTER_DATABASE!$A$4:$A$1000,ROW()-3)="","",INDEX(MASTER_DATABASE!$D$4:$D$1000,ROW()-3)&amp;"")</f>
        <v>Education Services</v>
      </c>
      <c r="E143" s="7" t="str">
        <f aca="false">IF(INDEX(MASTER_DATABASE!$A$4:$A$1000,ROW()-3)="","",INDEX(MASTER_DATABASE!$E$4:$E$1000,ROW()-3)&amp;"")</f>
        <v>e-Learning / Tele-Education Course Enrolment</v>
      </c>
      <c r="F143" s="7" t="str">
        <f aca="false">IF(INDEX(MASTER_DATABASE!$A$4:$A$1000,ROW()-3)="","",INDEX(MASTER_DATABASE!$F$4:$F$1000,ROW()-3)&amp;"")</f>
        <v>ई-लर्निंग / टेली-एजुकेशन कोर्स नामांकन</v>
      </c>
      <c r="G143" s="7" t="str">
        <f aca="false">IF(INDEX(MASTER_DATABASE!$A$4:$A$1000,ROW()-3)="","",INDEX(MASTER_DATABASE!$AL$4:$AL$1000,ROW()-3)&amp;"")</f>
        <v>Common Service Centre (CSC)</v>
      </c>
      <c r="H143" s="7" t="str">
        <f aca="false">IF(INDEX(MASTER_DATABASE!$A$4:$A$1000,ROW()-3)="","",INDEX(MASTER_DATABASE!$AM$4:$AM$1000,ROW()-3)&amp;"")</f>
        <v>Education Services</v>
      </c>
      <c r="I143" s="7" t="str">
        <f aca="false">IF(INDEX(MASTER_DATABASE!$A$4:$A$1000,ROW()-3)="","",INDEX(MASTER_DATABASE!$AO$4:$AO$1000,ROW()-3)&amp;"")</f>
        <v>e-learning-tele-education-course-enrolment</v>
      </c>
      <c r="J143" s="7" t="str">
        <f aca="false">IF(INDEX(MASTER_DATABASE!$A$4:$A$1000,ROW()-3)="","",INDEX(MASTER_DATABASE!$BD$4:$BD$1000,ROW()-3)&amp;"")</f>
        <v>/services/e-learning-tele-education-course-enrolment</v>
      </c>
      <c r="K143" s="7" t="str">
        <f aca="false">IF(INDEX(MASTER_DATABASE!$A$4:$A$1000,ROW()-3)="","",INDEX(MASTER_DATABASE!$AX$4:$AX$1000,ROW()-3)&amp;"")</f>
        <v>e-Learning / Tele-Education Course Enrolment Service | Devmobile Stores</v>
      </c>
      <c r="L143" s="7" t="str">
        <f aca="false">IF(INDEX(MASTER_DATABASE!$A$4:$A$1000,ROW()-3)="","",INDEX(MASTER_DATABASE!$AY$4:$AY$1000,ROW()-3)&amp;"")</f>
        <v>e-Learning / Tele-Education Course Enrolment (ई-लर्निंग / टेली-एजुकेशन कोर्स नामांकन) at Devmobile Stores and Common Service Center &amp; Aadhaar Centre. Check required documents, charges and process before you visit.</v>
      </c>
      <c r="M143" s="7" t="str">
        <f aca="false">IF(INDEX(MASTER_DATABASE!$A$4:$A$1000,ROW()-3)="","",INDEX(MASTER_DATABASE!$AN$4:$AN$1000,ROW()-3)&amp;"")</f>
        <v>e-Learning / Tele-Education Course Enrolment, Common Service Centre (CSC), Devmobile Stores, ई-लर्निंग / टेली-एजुकेशन कोर्स नामांकन, कॉमन सर्विस सेंटर (CSC), सेवा</v>
      </c>
      <c r="N143" s="7" t="str">
        <f aca="false">IF(INDEX(MASTER_DATABASE!$A$4:$A$1000,ROW()-3)="","",INDEX(MASTER_DATABASE!$AZ$4:$AZ$1000,ROW()-3)&amp;"")</f>
        <v>ई-लर्निंग / टेली-एजुकेशन कोर्स नामांकन, कॉमन सर्विस सेंटर (CSC), सेवा</v>
      </c>
      <c r="O143" s="7" t="str">
        <f aca="false">IF(INDEX(MASTER_DATABASE!$A$4:$A$1000,ROW()-3)="","",INDEX(MASTER_DATABASE!$BA$4:$BA$1000,ROW()-3)&amp;"")</f>
        <v>e-Learning / Tele-Education Course Enrolment, Common Service Centre (CSC), Devmobile Stores</v>
      </c>
      <c r="P143" s="11" t="str">
        <f aca="false">IF(INDEX(MASTER_DATABASE!$A$4:$A$1000,ROW()-3)="","",INDEX(MASTER_DATABASE!$AP$4:$AP$1000,ROW()-3)&amp;"")</f>
        <v>🎓</v>
      </c>
      <c r="Q143" s="7" t="str">
        <f aca="false">IF(INDEX(MASTER_DATABASE!$A$4:$A$1000,ROW()-3)="","",INDEX(MASTER_DATABASE!$BB$4:$BB$1000,ROW()-3)&amp;"")</f>
        <v/>
      </c>
      <c r="R143" s="11" t="str">
        <f aca="false">IF(INDEX(MASTER_DATABASE!$A$4:$A$1000,ROW()-3)="","",INDEX(MASTER_DATABASE!$BC$4:$BC$1000,ROW()-3)&amp;"")</f>
        <v>🖥️</v>
      </c>
      <c r="S143" s="11" t="n">
        <f aca="false">IF(INDEX(MASTER_DATABASE!$A$4:$A$1000,ROW()-3)="","",INDEX(MASTER_DATABASE!$AQ$4:$AQ$1000,ROW()-3))</f>
        <v>350</v>
      </c>
      <c r="T143" s="7" t="str">
        <f aca="false">IF(INDEX(MASTER_DATABASE!$A$4:$A$1000,ROW()-3)="","",INDEX(MASTER_DATABASE!$I$4:$I$1000,ROW()-3)&amp;"")</f>
        <v>To Verify</v>
      </c>
      <c r="U143" s="7" t="str">
        <f aca="false">IF(INDEX(MASTER_DATABASE!$A$4:$A$1000,ROW()-3)="","",INDEX(MASTER_DATABASE!$J$4:$J$1000,ROW()-3)&amp;"")</f>
        <v>To Be Confirmed</v>
      </c>
      <c r="V143" s="7" t="str">
        <f aca="false">IF(INDEX(MASTER_DATABASE!$A$4:$A$1000,ROW()-3)="","",INDEX(MASTER_DATABASE!$AG$4:$AG$1000,ROW()-3)&amp;"")</f>
        <v>To Verify</v>
      </c>
      <c r="W143" s="7" t="str">
        <f aca="false">IF(INDEX(MASTER_DATABASE!$A$4:$A$1000,ROW()-3)="","",INDEX(MASTER_DATABASE!$AH$4:$AH$1000,ROW()-3)&amp;"")</f>
        <v>No</v>
      </c>
      <c r="X143" s="7" t="str">
        <f aca="false">IF(INDEX(MASTER_DATABASE!$A$4:$A$1000,ROW()-3)="","",INDEX(MASTER_DATABASE!$AI$4:$AI$1000,ROW()-3)&amp;"")</f>
        <v>No</v>
      </c>
      <c r="Y143" s="7" t="str">
        <f aca="false">IF(INDEX(MASTER_DATABASE!$A$4:$A$1000,ROW()-3)="","",INDEX(MASTER_DATABASE!$AJ$4:$AJ$1000,ROW()-3)&amp;"")</f>
        <v>No</v>
      </c>
      <c r="Z143" s="7" t="str">
        <f aca="false">IF(INDEX(MASTER_DATABASE!$A$4:$A$1000,ROW()-3)="","",INDEX(MASTER_DATABASE!$AK$4:$AK$1000,ROW()-3)&amp;"")</f>
        <v>No</v>
      </c>
      <c r="AA143" s="7" t="str">
        <f aca="false">IF(INDEX(MASTER_DATABASE!$A$4:$A$1000,ROW()-3)="","",INDEX(MASTER_DATABASE!$BE$4:$BE$1000,ROW()-3)&amp;"")</f>
        <v>HIDDEN</v>
      </c>
    </row>
    <row r="144" customFormat="false" ht="46.25" hidden="false" customHeight="false" outlineLevel="0" collapsed="false">
      <c r="A144" s="11" t="str">
        <f aca="false">IF(INDEX(MASTER_DATABASE!$A$4:$A$1000,ROW()-3)="","",INDEX(MASTER_DATABASE!$A$4:$A$1000,ROW()-3)&amp;"")</f>
        <v>CSC-036</v>
      </c>
      <c r="B144" s="7" t="str">
        <f aca="false">IF(INDEX(MASTER_DATABASE!$A$4:$A$1000,ROW()-3)="","",INDEX(MASTER_DATABASE!$B$4:$B$1000,ROW()-3)&amp;"")</f>
        <v>Common Service Centre (CSC)</v>
      </c>
      <c r="C144" s="7" t="str">
        <f aca="false">IF(INDEX(MASTER_DATABASE!$A$4:$A$1000,ROW()-3)="","",INDEX(MASTER_DATABASE!$C$4:$C$1000,ROW()-3)&amp;"")</f>
        <v>Government &amp; Digital Services (CSC)</v>
      </c>
      <c r="D144" s="7" t="str">
        <f aca="false">IF(INDEX(MASTER_DATABASE!$A$4:$A$1000,ROW()-3)="","",INDEX(MASTER_DATABASE!$D$4:$D$1000,ROW()-3)&amp;"")</f>
        <v>Education Services</v>
      </c>
      <c r="E144" s="7" t="str">
        <f aca="false">IF(INDEX(MASTER_DATABASE!$A$4:$A$1000,ROW()-3)="","",INDEX(MASTER_DATABASE!$E$4:$E$1000,ROW()-3)&amp;"")</f>
        <v>PMKVY Training Enrolment Assistance</v>
      </c>
      <c r="F144" s="7" t="str">
        <f aca="false">IF(INDEX(MASTER_DATABASE!$A$4:$A$1000,ROW()-3)="","",INDEX(MASTER_DATABASE!$F$4:$F$1000,ROW()-3)&amp;"")</f>
        <v>PMKVY प्रशिक्षण नामांकन सहायता</v>
      </c>
      <c r="G144" s="7" t="str">
        <f aca="false">IF(INDEX(MASTER_DATABASE!$A$4:$A$1000,ROW()-3)="","",INDEX(MASTER_DATABASE!$AL$4:$AL$1000,ROW()-3)&amp;"")</f>
        <v>Common Service Centre (CSC)</v>
      </c>
      <c r="H144" s="7" t="str">
        <f aca="false">IF(INDEX(MASTER_DATABASE!$A$4:$A$1000,ROW()-3)="","",INDEX(MASTER_DATABASE!$AM$4:$AM$1000,ROW()-3)&amp;"")</f>
        <v>Education Services</v>
      </c>
      <c r="I144" s="7" t="str">
        <f aca="false">IF(INDEX(MASTER_DATABASE!$A$4:$A$1000,ROW()-3)="","",INDEX(MASTER_DATABASE!$AO$4:$AO$1000,ROW()-3)&amp;"")</f>
        <v>pmkvy-training-enrolment-assistance</v>
      </c>
      <c r="J144" s="7" t="str">
        <f aca="false">IF(INDEX(MASTER_DATABASE!$A$4:$A$1000,ROW()-3)="","",INDEX(MASTER_DATABASE!$BD$4:$BD$1000,ROW()-3)&amp;"")</f>
        <v>/services/pmkvy-training-enrolment-assistance</v>
      </c>
      <c r="K144" s="7" t="str">
        <f aca="false">IF(INDEX(MASTER_DATABASE!$A$4:$A$1000,ROW()-3)="","",INDEX(MASTER_DATABASE!$AX$4:$AX$1000,ROW()-3)&amp;"")</f>
        <v>PMKVY Training Enrolment Assistance Service | Devmobile Stores</v>
      </c>
      <c r="L144" s="7" t="str">
        <f aca="false">IF(INDEX(MASTER_DATABASE!$A$4:$A$1000,ROW()-3)="","",INDEX(MASTER_DATABASE!$AY$4:$AY$1000,ROW()-3)&amp;"")</f>
        <v>PMKVY Training Enrolment Assistance (PMKVY प्रशिक्षण नामांकन सहायता) at Devmobile Stores and Common Service Center &amp; Aadhaar Centre. Check required documents, charges and process before you visit.</v>
      </c>
      <c r="M144" s="7" t="str">
        <f aca="false">IF(INDEX(MASTER_DATABASE!$A$4:$A$1000,ROW()-3)="","",INDEX(MASTER_DATABASE!$AN$4:$AN$1000,ROW()-3)&amp;"")</f>
        <v>PMKVY Training Enrolment Assistance, Common Service Centre (CSC), Devmobile Stores, PMKVY प्रशिक्षण नामांकन सहायता, कॉमन सर्विस सेंटर (CSC), सेवा</v>
      </c>
      <c r="N144" s="7" t="str">
        <f aca="false">IF(INDEX(MASTER_DATABASE!$A$4:$A$1000,ROW()-3)="","",INDEX(MASTER_DATABASE!$AZ$4:$AZ$1000,ROW()-3)&amp;"")</f>
        <v>PMKVY प्रशिक्षण नामांकन सहायता, कॉमन सर्विस सेंटर (CSC), सेवा</v>
      </c>
      <c r="O144" s="7" t="str">
        <f aca="false">IF(INDEX(MASTER_DATABASE!$A$4:$A$1000,ROW()-3)="","",INDEX(MASTER_DATABASE!$BA$4:$BA$1000,ROW()-3)&amp;"")</f>
        <v>PMKVY Training Enrolment Assistance, Common Service Centre (CSC), Devmobile Stores</v>
      </c>
      <c r="P144" s="11" t="str">
        <f aca="false">IF(INDEX(MASTER_DATABASE!$A$4:$A$1000,ROW()-3)="","",INDEX(MASTER_DATABASE!$AP$4:$AP$1000,ROW()-3)&amp;"")</f>
        <v>🎓</v>
      </c>
      <c r="Q144" s="7" t="str">
        <f aca="false">IF(INDEX(MASTER_DATABASE!$A$4:$A$1000,ROW()-3)="","",INDEX(MASTER_DATABASE!$BB$4:$BB$1000,ROW()-3)&amp;"")</f>
        <v/>
      </c>
      <c r="R144" s="11" t="str">
        <f aca="false">IF(INDEX(MASTER_DATABASE!$A$4:$A$1000,ROW()-3)="","",INDEX(MASTER_DATABASE!$BC$4:$BC$1000,ROW()-3)&amp;"")</f>
        <v>🖥️</v>
      </c>
      <c r="S144" s="11" t="n">
        <f aca="false">IF(INDEX(MASTER_DATABASE!$A$4:$A$1000,ROW()-3)="","",INDEX(MASTER_DATABASE!$AQ$4:$AQ$1000,ROW()-3))</f>
        <v>360</v>
      </c>
      <c r="T144" s="7" t="str">
        <f aca="false">IF(INDEX(MASTER_DATABASE!$A$4:$A$1000,ROW()-3)="","",INDEX(MASTER_DATABASE!$I$4:$I$1000,ROW()-3)&amp;"")</f>
        <v>To Verify</v>
      </c>
      <c r="U144" s="7" t="str">
        <f aca="false">IF(INDEX(MASTER_DATABASE!$A$4:$A$1000,ROW()-3)="","",INDEX(MASTER_DATABASE!$J$4:$J$1000,ROW()-3)&amp;"")</f>
        <v>To Be Confirmed</v>
      </c>
      <c r="V144" s="7" t="str">
        <f aca="false">IF(INDEX(MASTER_DATABASE!$A$4:$A$1000,ROW()-3)="","",INDEX(MASTER_DATABASE!$AG$4:$AG$1000,ROW()-3)&amp;"")</f>
        <v>To Verify</v>
      </c>
      <c r="W144" s="7" t="str">
        <f aca="false">IF(INDEX(MASTER_DATABASE!$A$4:$A$1000,ROW()-3)="","",INDEX(MASTER_DATABASE!$AH$4:$AH$1000,ROW()-3)&amp;"")</f>
        <v>No</v>
      </c>
      <c r="X144" s="7" t="str">
        <f aca="false">IF(INDEX(MASTER_DATABASE!$A$4:$A$1000,ROW()-3)="","",INDEX(MASTER_DATABASE!$AI$4:$AI$1000,ROW()-3)&amp;"")</f>
        <v>No</v>
      </c>
      <c r="Y144" s="7" t="str">
        <f aca="false">IF(INDEX(MASTER_DATABASE!$A$4:$A$1000,ROW()-3)="","",INDEX(MASTER_DATABASE!$AJ$4:$AJ$1000,ROW()-3)&amp;"")</f>
        <v>No</v>
      </c>
      <c r="Z144" s="7" t="str">
        <f aca="false">IF(INDEX(MASTER_DATABASE!$A$4:$A$1000,ROW()-3)="","",INDEX(MASTER_DATABASE!$AK$4:$AK$1000,ROW()-3)&amp;"")</f>
        <v>No</v>
      </c>
      <c r="AA144" s="7" t="str">
        <f aca="false">IF(INDEX(MASTER_DATABASE!$A$4:$A$1000,ROW()-3)="","",INDEX(MASTER_DATABASE!$BE$4:$BE$1000,ROW()-3)&amp;"")</f>
        <v>HIDDEN</v>
      </c>
    </row>
    <row r="145" customFormat="false" ht="46.25" hidden="false" customHeight="false" outlineLevel="0" collapsed="false">
      <c r="A145" s="11" t="str">
        <f aca="false">IF(INDEX(MASTER_DATABASE!$A$4:$A$1000,ROW()-3)="","",INDEX(MASTER_DATABASE!$A$4:$A$1000,ROW()-3)&amp;"")</f>
        <v>CSC-037</v>
      </c>
      <c r="B145" s="7" t="str">
        <f aca="false">IF(INDEX(MASTER_DATABASE!$A$4:$A$1000,ROW()-3)="","",INDEX(MASTER_DATABASE!$B$4:$B$1000,ROW()-3)&amp;"")</f>
        <v>Common Service Centre (CSC)</v>
      </c>
      <c r="C145" s="7" t="str">
        <f aca="false">IF(INDEX(MASTER_DATABASE!$A$4:$A$1000,ROW()-3)="","",INDEX(MASTER_DATABASE!$C$4:$C$1000,ROW()-3)&amp;"")</f>
        <v>Government &amp; Digital Services (CSC)</v>
      </c>
      <c r="D145" s="7" t="str">
        <f aca="false">IF(INDEX(MASTER_DATABASE!$A$4:$A$1000,ROW()-3)="","",INDEX(MASTER_DATABASE!$D$4:$D$1000,ROW()-3)&amp;"")</f>
        <v>Utility Services</v>
      </c>
      <c r="E145" s="7" t="str">
        <f aca="false">IF(INDEX(MASTER_DATABASE!$A$4:$A$1000,ROW()-3)="","",INDEX(MASTER_DATABASE!$E$4:$E$1000,ROW()-3)&amp;"")</f>
        <v>e-Challan (Traffic) Payment</v>
      </c>
      <c r="F145" s="7" t="str">
        <f aca="false">IF(INDEX(MASTER_DATABASE!$A$4:$A$1000,ROW()-3)="","",INDEX(MASTER_DATABASE!$F$4:$F$1000,ROW()-3)&amp;"")</f>
        <v>e-चालान (ट्रैफिक) भुगतान</v>
      </c>
      <c r="G145" s="7" t="str">
        <f aca="false">IF(INDEX(MASTER_DATABASE!$A$4:$A$1000,ROW()-3)="","",INDEX(MASTER_DATABASE!$AL$4:$AL$1000,ROW()-3)&amp;"")</f>
        <v>Common Service Centre (CSC)</v>
      </c>
      <c r="H145" s="7" t="str">
        <f aca="false">IF(INDEX(MASTER_DATABASE!$A$4:$A$1000,ROW()-3)="","",INDEX(MASTER_DATABASE!$AM$4:$AM$1000,ROW()-3)&amp;"")</f>
        <v>Utility Services</v>
      </c>
      <c r="I145" s="7" t="str">
        <f aca="false">IF(INDEX(MASTER_DATABASE!$A$4:$A$1000,ROW()-3)="","",INDEX(MASTER_DATABASE!$AO$4:$AO$1000,ROW()-3)&amp;"")</f>
        <v>e-challan-traffic-payment</v>
      </c>
      <c r="J145" s="7" t="str">
        <f aca="false">IF(INDEX(MASTER_DATABASE!$A$4:$A$1000,ROW()-3)="","",INDEX(MASTER_DATABASE!$BD$4:$BD$1000,ROW()-3)&amp;"")</f>
        <v>/services/e-challan-traffic-payment</v>
      </c>
      <c r="K145" s="7" t="str">
        <f aca="false">IF(INDEX(MASTER_DATABASE!$A$4:$A$1000,ROW()-3)="","",INDEX(MASTER_DATABASE!$AX$4:$AX$1000,ROW()-3)&amp;"")</f>
        <v>e-Challan (Traffic) Payment Service | Devmobile Stores</v>
      </c>
      <c r="L145" s="7" t="str">
        <f aca="false">IF(INDEX(MASTER_DATABASE!$A$4:$A$1000,ROW()-3)="","",INDEX(MASTER_DATABASE!$AY$4:$AY$1000,ROW()-3)&amp;"")</f>
        <v>e-Challan (Traffic) Payment (e-चालान (ट्रैफिक) भुगतान) at Devmobile Stores and Common Service Center &amp; Aadhaar Centre. Check required documents, charges and process before you visit.</v>
      </c>
      <c r="M145" s="7" t="str">
        <f aca="false">IF(INDEX(MASTER_DATABASE!$A$4:$A$1000,ROW()-3)="","",INDEX(MASTER_DATABASE!$AN$4:$AN$1000,ROW()-3)&amp;"")</f>
        <v>e-Challan (Traffic) Payment, Common Service Centre (CSC), Devmobile Stores, e-चालान (ट्रैफिक) भुगतान, कॉमन सर्विस सेंटर (CSC), सेवा</v>
      </c>
      <c r="N145" s="7" t="str">
        <f aca="false">IF(INDEX(MASTER_DATABASE!$A$4:$A$1000,ROW()-3)="","",INDEX(MASTER_DATABASE!$AZ$4:$AZ$1000,ROW()-3)&amp;"")</f>
        <v>e-चालान (ट्रैफिक) भुगतान, कॉमन सर्विस सेंटर (CSC), सेवा</v>
      </c>
      <c r="O145" s="7" t="str">
        <f aca="false">IF(INDEX(MASTER_DATABASE!$A$4:$A$1000,ROW()-3)="","",INDEX(MASTER_DATABASE!$BA$4:$BA$1000,ROW()-3)&amp;"")</f>
        <v>e-Challan (Traffic) Payment, Common Service Centre (CSC), Devmobile Stores</v>
      </c>
      <c r="P145" s="11" t="str">
        <f aca="false">IF(INDEX(MASTER_DATABASE!$A$4:$A$1000,ROW()-3)="","",INDEX(MASTER_DATABASE!$AP$4:$AP$1000,ROW()-3)&amp;"")</f>
        <v>🖥️</v>
      </c>
      <c r="Q145" s="7" t="str">
        <f aca="false">IF(INDEX(MASTER_DATABASE!$A$4:$A$1000,ROW()-3)="","",INDEX(MASTER_DATABASE!$BB$4:$BB$1000,ROW()-3)&amp;"")</f>
        <v/>
      </c>
      <c r="R145" s="11" t="str">
        <f aca="false">IF(INDEX(MASTER_DATABASE!$A$4:$A$1000,ROW()-3)="","",INDEX(MASTER_DATABASE!$BC$4:$BC$1000,ROW()-3)&amp;"")</f>
        <v>🖥️</v>
      </c>
      <c r="S145" s="11" t="n">
        <f aca="false">IF(INDEX(MASTER_DATABASE!$A$4:$A$1000,ROW()-3)="","",INDEX(MASTER_DATABASE!$AQ$4:$AQ$1000,ROW()-3))</f>
        <v>370</v>
      </c>
      <c r="T145" s="7" t="str">
        <f aca="false">IF(INDEX(MASTER_DATABASE!$A$4:$A$1000,ROW()-3)="","",INDEX(MASTER_DATABASE!$I$4:$I$1000,ROW()-3)&amp;"")</f>
        <v>Portal Dependent</v>
      </c>
      <c r="U145" s="7" t="str">
        <f aca="false">IF(INDEX(MASTER_DATABASE!$A$4:$A$1000,ROW()-3)="","",INDEX(MASTER_DATABASE!$J$4:$J$1000,ROW()-3)&amp;"")</f>
        <v>Depends on Portal – Confirm at Shop</v>
      </c>
      <c r="V145" s="7" t="str">
        <f aca="false">IF(INDEX(MASTER_DATABASE!$A$4:$A$1000,ROW()-3)="","",INDEX(MASTER_DATABASE!$AG$4:$AG$1000,ROW()-3)&amp;"")</f>
        <v>To Verify</v>
      </c>
      <c r="W145" s="7" t="str">
        <f aca="false">IF(INDEX(MASTER_DATABASE!$A$4:$A$1000,ROW()-3)="","",INDEX(MASTER_DATABASE!$AH$4:$AH$1000,ROW()-3)&amp;"")</f>
        <v>No</v>
      </c>
      <c r="X145" s="7" t="str">
        <f aca="false">IF(INDEX(MASTER_DATABASE!$A$4:$A$1000,ROW()-3)="","",INDEX(MASTER_DATABASE!$AI$4:$AI$1000,ROW()-3)&amp;"")</f>
        <v>No</v>
      </c>
      <c r="Y145" s="7" t="str">
        <f aca="false">IF(INDEX(MASTER_DATABASE!$A$4:$A$1000,ROW()-3)="","",INDEX(MASTER_DATABASE!$AJ$4:$AJ$1000,ROW()-3)&amp;"")</f>
        <v>No</v>
      </c>
      <c r="Z145" s="7" t="str">
        <f aca="false">IF(INDEX(MASTER_DATABASE!$A$4:$A$1000,ROW()-3)="","",INDEX(MASTER_DATABASE!$AK$4:$AK$1000,ROW()-3)&amp;"")</f>
        <v>No</v>
      </c>
      <c r="AA145" s="7" t="str">
        <f aca="false">IF(INDEX(MASTER_DATABASE!$A$4:$A$1000,ROW()-3)="","",INDEX(MASTER_DATABASE!$BE$4:$BE$1000,ROW()-3)&amp;"")</f>
        <v>HIDDEN</v>
      </c>
    </row>
    <row r="146" customFormat="false" ht="57.45" hidden="false" customHeight="false" outlineLevel="0" collapsed="false">
      <c r="A146" s="11" t="str">
        <f aca="false">IF(INDEX(MASTER_DATABASE!$A$4:$A$1000,ROW()-3)="","",INDEX(MASTER_DATABASE!$A$4:$A$1000,ROW()-3)&amp;"")</f>
        <v>CSC-038</v>
      </c>
      <c r="B146" s="7" t="str">
        <f aca="false">IF(INDEX(MASTER_DATABASE!$A$4:$A$1000,ROW()-3)="","",INDEX(MASTER_DATABASE!$B$4:$B$1000,ROW()-3)&amp;"")</f>
        <v>Common Service Centre (CSC)</v>
      </c>
      <c r="C146" s="7" t="str">
        <f aca="false">IF(INDEX(MASTER_DATABASE!$A$4:$A$1000,ROW()-3)="","",INDEX(MASTER_DATABASE!$C$4:$C$1000,ROW()-3)&amp;"")</f>
        <v>Government &amp; Digital Services (CSC)</v>
      </c>
      <c r="D146" s="7" t="str">
        <f aca="false">IF(INDEX(MASTER_DATABASE!$A$4:$A$1000,ROW()-3)="","",INDEX(MASTER_DATABASE!$D$4:$D$1000,ROW()-3)&amp;"")</f>
        <v>Utility Services</v>
      </c>
      <c r="E146" s="7" t="str">
        <f aca="false">IF(INDEX(MASTER_DATABASE!$A$4:$A$1000,ROW()-3)="","",INDEX(MASTER_DATABASE!$E$4:$E$1000,ROW()-3)&amp;"")</f>
        <v>Vehicle Services (Parivahan / VAHAN) Assistance</v>
      </c>
      <c r="F146" s="7" t="str">
        <f aca="false">IF(INDEX(MASTER_DATABASE!$A$4:$A$1000,ROW()-3)="","",INDEX(MASTER_DATABASE!$F$4:$F$1000,ROW()-3)&amp;"")</f>
        <v>वाहन सेवाएँ (परिवहन / VAHAN) सहायता</v>
      </c>
      <c r="G146" s="7" t="str">
        <f aca="false">IF(INDEX(MASTER_DATABASE!$A$4:$A$1000,ROW()-3)="","",INDEX(MASTER_DATABASE!$AL$4:$AL$1000,ROW()-3)&amp;"")</f>
        <v>Common Service Centre (CSC)</v>
      </c>
      <c r="H146" s="7" t="str">
        <f aca="false">IF(INDEX(MASTER_DATABASE!$A$4:$A$1000,ROW()-3)="","",INDEX(MASTER_DATABASE!$AM$4:$AM$1000,ROW()-3)&amp;"")</f>
        <v>Utility Services</v>
      </c>
      <c r="I146" s="7" t="str">
        <f aca="false">IF(INDEX(MASTER_DATABASE!$A$4:$A$1000,ROW()-3)="","",INDEX(MASTER_DATABASE!$AO$4:$AO$1000,ROW()-3)&amp;"")</f>
        <v>vehicle-services-parivahan-vahan-assistance</v>
      </c>
      <c r="J146" s="7" t="str">
        <f aca="false">IF(INDEX(MASTER_DATABASE!$A$4:$A$1000,ROW()-3)="","",INDEX(MASTER_DATABASE!$BD$4:$BD$1000,ROW()-3)&amp;"")</f>
        <v>/services/vehicle-services-parivahan-vahan-assistance</v>
      </c>
      <c r="K146" s="7" t="str">
        <f aca="false">IF(INDEX(MASTER_DATABASE!$A$4:$A$1000,ROW()-3)="","",INDEX(MASTER_DATABASE!$AX$4:$AX$1000,ROW()-3)&amp;"")</f>
        <v>Vehicle Services (Parivahan / VAHAN) Assistance Service | Devmobile Stores</v>
      </c>
      <c r="L146" s="7" t="str">
        <f aca="false">IF(INDEX(MASTER_DATABASE!$A$4:$A$1000,ROW()-3)="","",INDEX(MASTER_DATABASE!$AY$4:$AY$1000,ROW()-3)&amp;"")</f>
        <v>Vehicle Services (Parivahan / VAHAN) Assistance (वाहन सेवाएँ (परिवहन / VAHAN) सहायता) at Devmobile Stores and Common Service Center &amp; Aadhaar Centre. Check required documents, charges and process before you visit.</v>
      </c>
      <c r="M146" s="7" t="str">
        <f aca="false">IF(INDEX(MASTER_DATABASE!$A$4:$A$1000,ROW()-3)="","",INDEX(MASTER_DATABASE!$AN$4:$AN$1000,ROW()-3)&amp;"")</f>
        <v>Vehicle Services (Parivahan / VAHAN) Assistance, Common Service Centre (CSC), Devmobile Stores, वाहन सेवाएँ (परिवहन / VAHAN) सहायता, कॉमन सर्विस सेंटर (CSC), सेवा</v>
      </c>
      <c r="N146" s="7" t="str">
        <f aca="false">IF(INDEX(MASTER_DATABASE!$A$4:$A$1000,ROW()-3)="","",INDEX(MASTER_DATABASE!$AZ$4:$AZ$1000,ROW()-3)&amp;"")</f>
        <v>वाहन सेवाएँ (परिवहन / VAHAN) सहायता, कॉमन सर्विस सेंटर (CSC), सेवा</v>
      </c>
      <c r="O146" s="7" t="str">
        <f aca="false">IF(INDEX(MASTER_DATABASE!$A$4:$A$1000,ROW()-3)="","",INDEX(MASTER_DATABASE!$BA$4:$BA$1000,ROW()-3)&amp;"")</f>
        <v>Vehicle Services (Parivahan / VAHAN) Assistance, Common Service Centre (CSC), Devmobile Stores</v>
      </c>
      <c r="P146" s="11" t="str">
        <f aca="false">IF(INDEX(MASTER_DATABASE!$A$4:$A$1000,ROW()-3)="","",INDEX(MASTER_DATABASE!$AP$4:$AP$1000,ROW()-3)&amp;"")</f>
        <v>🖥️</v>
      </c>
      <c r="Q146" s="7" t="str">
        <f aca="false">IF(INDEX(MASTER_DATABASE!$A$4:$A$1000,ROW()-3)="","",INDEX(MASTER_DATABASE!$BB$4:$BB$1000,ROW()-3)&amp;"")</f>
        <v/>
      </c>
      <c r="R146" s="11" t="str">
        <f aca="false">IF(INDEX(MASTER_DATABASE!$A$4:$A$1000,ROW()-3)="","",INDEX(MASTER_DATABASE!$BC$4:$BC$1000,ROW()-3)&amp;"")</f>
        <v>🖥️</v>
      </c>
      <c r="S146" s="11" t="n">
        <f aca="false">IF(INDEX(MASTER_DATABASE!$A$4:$A$1000,ROW()-3)="","",INDEX(MASTER_DATABASE!$AQ$4:$AQ$1000,ROW()-3))</f>
        <v>380</v>
      </c>
      <c r="T146" s="7" t="str">
        <f aca="false">IF(INDEX(MASTER_DATABASE!$A$4:$A$1000,ROW()-3)="","",INDEX(MASTER_DATABASE!$I$4:$I$1000,ROW()-3)&amp;"")</f>
        <v>Portal Dependent</v>
      </c>
      <c r="U146" s="7" t="str">
        <f aca="false">IF(INDEX(MASTER_DATABASE!$A$4:$A$1000,ROW()-3)="","",INDEX(MASTER_DATABASE!$J$4:$J$1000,ROW()-3)&amp;"")</f>
        <v>Depends on Portal – Confirm at Shop</v>
      </c>
      <c r="V146" s="7" t="str">
        <f aca="false">IF(INDEX(MASTER_DATABASE!$A$4:$A$1000,ROW()-3)="","",INDEX(MASTER_DATABASE!$AG$4:$AG$1000,ROW()-3)&amp;"")</f>
        <v>To Verify</v>
      </c>
      <c r="W146" s="7" t="str">
        <f aca="false">IF(INDEX(MASTER_DATABASE!$A$4:$A$1000,ROW()-3)="","",INDEX(MASTER_DATABASE!$AH$4:$AH$1000,ROW()-3)&amp;"")</f>
        <v>No</v>
      </c>
      <c r="X146" s="7" t="str">
        <f aca="false">IF(INDEX(MASTER_DATABASE!$A$4:$A$1000,ROW()-3)="","",INDEX(MASTER_DATABASE!$AI$4:$AI$1000,ROW()-3)&amp;"")</f>
        <v>No</v>
      </c>
      <c r="Y146" s="7" t="str">
        <f aca="false">IF(INDEX(MASTER_DATABASE!$A$4:$A$1000,ROW()-3)="","",INDEX(MASTER_DATABASE!$AJ$4:$AJ$1000,ROW()-3)&amp;"")</f>
        <v>No</v>
      </c>
      <c r="Z146" s="7" t="str">
        <f aca="false">IF(INDEX(MASTER_DATABASE!$A$4:$A$1000,ROW()-3)="","",INDEX(MASTER_DATABASE!$AK$4:$AK$1000,ROW()-3)&amp;"")</f>
        <v>No</v>
      </c>
      <c r="AA146" s="7" t="str">
        <f aca="false">IF(INDEX(MASTER_DATABASE!$A$4:$A$1000,ROW()-3)="","",INDEX(MASTER_DATABASE!$BE$4:$BE$1000,ROW()-3)&amp;"")</f>
        <v>HIDDEN</v>
      </c>
    </row>
    <row r="147" customFormat="false" ht="57.45" hidden="false" customHeight="false" outlineLevel="0" collapsed="false">
      <c r="A147" s="11" t="str">
        <f aca="false">IF(INDEX(MASTER_DATABASE!$A$4:$A$1000,ROW()-3)="","",INDEX(MASTER_DATABASE!$A$4:$A$1000,ROW()-3)&amp;"")</f>
        <v>CSC-039</v>
      </c>
      <c r="B147" s="7" t="str">
        <f aca="false">IF(INDEX(MASTER_DATABASE!$A$4:$A$1000,ROW()-3)="","",INDEX(MASTER_DATABASE!$B$4:$B$1000,ROW()-3)&amp;"")</f>
        <v>Common Service Centre (CSC)</v>
      </c>
      <c r="C147" s="7" t="str">
        <f aca="false">IF(INDEX(MASTER_DATABASE!$A$4:$A$1000,ROW()-3)="","",INDEX(MASTER_DATABASE!$C$4:$C$1000,ROW()-3)&amp;"")</f>
        <v>Government &amp; Digital Services (CSC)</v>
      </c>
      <c r="D147" s="7" t="str">
        <f aca="false">IF(INDEX(MASTER_DATABASE!$A$4:$A$1000,ROW()-3)="","",INDEX(MASTER_DATABASE!$D$4:$D$1000,ROW()-3)&amp;"")</f>
        <v>Digital Services</v>
      </c>
      <c r="E147" s="7" t="str">
        <f aca="false">IF(INDEX(MASTER_DATABASE!$A$4:$A$1000,ROW()-3)="","",INDEX(MASTER_DATABASE!$E$4:$E$1000,ROW()-3)&amp;"")</f>
        <v>Digital Signature Certificate (DSC) Issuance</v>
      </c>
      <c r="F147" s="7" t="str">
        <f aca="false">IF(INDEX(MASTER_DATABASE!$A$4:$A$1000,ROW()-3)="","",INDEX(MASTER_DATABASE!$F$4:$F$1000,ROW()-3)&amp;"")</f>
        <v>डिजिटल सिग्नेचर सर्टिफिकेट (DSC) निर्माण</v>
      </c>
      <c r="G147" s="7" t="str">
        <f aca="false">IF(INDEX(MASTER_DATABASE!$A$4:$A$1000,ROW()-3)="","",INDEX(MASTER_DATABASE!$AL$4:$AL$1000,ROW()-3)&amp;"")</f>
        <v>Common Service Centre (CSC)</v>
      </c>
      <c r="H147" s="7" t="str">
        <f aca="false">IF(INDEX(MASTER_DATABASE!$A$4:$A$1000,ROW()-3)="","",INDEX(MASTER_DATABASE!$AM$4:$AM$1000,ROW()-3)&amp;"")</f>
        <v>Digital Services</v>
      </c>
      <c r="I147" s="7" t="str">
        <f aca="false">IF(INDEX(MASTER_DATABASE!$A$4:$A$1000,ROW()-3)="","",INDEX(MASTER_DATABASE!$AO$4:$AO$1000,ROW()-3)&amp;"")</f>
        <v>digital-signature-certificate-dsc-issuance</v>
      </c>
      <c r="J147" s="7" t="str">
        <f aca="false">IF(INDEX(MASTER_DATABASE!$A$4:$A$1000,ROW()-3)="","",INDEX(MASTER_DATABASE!$BD$4:$BD$1000,ROW()-3)&amp;"")</f>
        <v>/services/digital-signature-certificate-dsc-issuance</v>
      </c>
      <c r="K147" s="7" t="str">
        <f aca="false">IF(INDEX(MASTER_DATABASE!$A$4:$A$1000,ROW()-3)="","",INDEX(MASTER_DATABASE!$AX$4:$AX$1000,ROW()-3)&amp;"")</f>
        <v>Digital Signature Certificate (DSC) Issuance Service | Devmobile Stores</v>
      </c>
      <c r="L147" s="7" t="str">
        <f aca="false">IF(INDEX(MASTER_DATABASE!$A$4:$A$1000,ROW()-3)="","",INDEX(MASTER_DATABASE!$AY$4:$AY$1000,ROW()-3)&amp;"")</f>
        <v>Digital Signature Certificate (DSC) Issuance (डिजिटल सिग्नेचर सर्टिफिकेट (DSC) निर्माण) at Devmobile Stores and Common Service Center &amp; Aadhaar Centre. Check required documents, charges and process before you visit.</v>
      </c>
      <c r="M147" s="7" t="str">
        <f aca="false">IF(INDEX(MASTER_DATABASE!$A$4:$A$1000,ROW()-3)="","",INDEX(MASTER_DATABASE!$AN$4:$AN$1000,ROW()-3)&amp;"")</f>
        <v>Digital Signature Certificate (DSC) Issuance, Common Service Centre (CSC), Devmobile Stores, डिजिटल सिग्नेचर सर्टिफिकेट (DSC) निर्माण, कॉमन सर्विस सेंटर (CSC), सेवा</v>
      </c>
      <c r="N147" s="7" t="str">
        <f aca="false">IF(INDEX(MASTER_DATABASE!$A$4:$A$1000,ROW()-3)="","",INDEX(MASTER_DATABASE!$AZ$4:$AZ$1000,ROW()-3)&amp;"")</f>
        <v>डिजिटल सिग्नेचर सर्टिफिकेट (DSC) निर्माण, कॉमन सर्विस सेंटर (CSC), सेवा</v>
      </c>
      <c r="O147" s="7" t="str">
        <f aca="false">IF(INDEX(MASTER_DATABASE!$A$4:$A$1000,ROW()-3)="","",INDEX(MASTER_DATABASE!$BA$4:$BA$1000,ROW()-3)&amp;"")</f>
        <v>Digital Signature Certificate (DSC) Issuance, Common Service Centre (CSC), Devmobile Stores</v>
      </c>
      <c r="P147" s="11" t="str">
        <f aca="false">IF(INDEX(MASTER_DATABASE!$A$4:$A$1000,ROW()-3)="","",INDEX(MASTER_DATABASE!$AP$4:$AP$1000,ROW()-3)&amp;"")</f>
        <v>☁️</v>
      </c>
      <c r="Q147" s="7" t="str">
        <f aca="false">IF(INDEX(MASTER_DATABASE!$A$4:$A$1000,ROW()-3)="","",INDEX(MASTER_DATABASE!$BB$4:$BB$1000,ROW()-3)&amp;"")</f>
        <v/>
      </c>
      <c r="R147" s="11" t="str">
        <f aca="false">IF(INDEX(MASTER_DATABASE!$A$4:$A$1000,ROW()-3)="","",INDEX(MASTER_DATABASE!$BC$4:$BC$1000,ROW()-3)&amp;"")</f>
        <v>🖥️</v>
      </c>
      <c r="S147" s="11" t="n">
        <f aca="false">IF(INDEX(MASTER_DATABASE!$A$4:$A$1000,ROW()-3)="","",INDEX(MASTER_DATABASE!$AQ$4:$AQ$1000,ROW()-3))</f>
        <v>390</v>
      </c>
      <c r="T147" s="7" t="str">
        <f aca="false">IF(INDEX(MASTER_DATABASE!$A$4:$A$1000,ROW()-3)="","",INDEX(MASTER_DATABASE!$I$4:$I$1000,ROW()-3)&amp;"")</f>
        <v>Authorization Required</v>
      </c>
      <c r="U147" s="7" t="str">
        <f aca="false">IF(INDEX(MASTER_DATABASE!$A$4:$A$1000,ROW()-3)="","",INDEX(MASTER_DATABASE!$J$4:$J$1000,ROW()-3)&amp;"")</f>
        <v>Please Confirm at Shop</v>
      </c>
      <c r="V147" s="7" t="str">
        <f aca="false">IF(INDEX(MASTER_DATABASE!$A$4:$A$1000,ROW()-3)="","",INDEX(MASTER_DATABASE!$AG$4:$AG$1000,ROW()-3)&amp;"")</f>
        <v>To Verify</v>
      </c>
      <c r="W147" s="7" t="str">
        <f aca="false">IF(INDEX(MASTER_DATABASE!$A$4:$A$1000,ROW()-3)="","",INDEX(MASTER_DATABASE!$AH$4:$AH$1000,ROW()-3)&amp;"")</f>
        <v>No</v>
      </c>
      <c r="X147" s="7" t="str">
        <f aca="false">IF(INDEX(MASTER_DATABASE!$A$4:$A$1000,ROW()-3)="","",INDEX(MASTER_DATABASE!$AI$4:$AI$1000,ROW()-3)&amp;"")</f>
        <v>No</v>
      </c>
      <c r="Y147" s="7" t="str">
        <f aca="false">IF(INDEX(MASTER_DATABASE!$A$4:$A$1000,ROW()-3)="","",INDEX(MASTER_DATABASE!$AJ$4:$AJ$1000,ROW()-3)&amp;"")</f>
        <v>No</v>
      </c>
      <c r="Z147" s="7" t="str">
        <f aca="false">IF(INDEX(MASTER_DATABASE!$A$4:$A$1000,ROW()-3)="","",INDEX(MASTER_DATABASE!$AK$4:$AK$1000,ROW()-3)&amp;"")</f>
        <v>No</v>
      </c>
      <c r="AA147" s="7" t="str">
        <f aca="false">IF(INDEX(MASTER_DATABASE!$A$4:$A$1000,ROW()-3)="","",INDEX(MASTER_DATABASE!$BE$4:$BE$1000,ROW()-3)&amp;"")</f>
        <v>HIDDEN</v>
      </c>
    </row>
    <row r="148" customFormat="false" ht="46.25" hidden="false" customHeight="false" outlineLevel="0" collapsed="false">
      <c r="A148" s="11" t="str">
        <f aca="false">IF(INDEX(MASTER_DATABASE!$A$4:$A$1000,ROW()-3)="","",INDEX(MASTER_DATABASE!$A$4:$A$1000,ROW()-3)&amp;"")</f>
        <v>CSC-040</v>
      </c>
      <c r="B148" s="7" t="str">
        <f aca="false">IF(INDEX(MASTER_DATABASE!$A$4:$A$1000,ROW()-3)="","",INDEX(MASTER_DATABASE!$B$4:$B$1000,ROW()-3)&amp;"")</f>
        <v>Common Service Centre (CSC)</v>
      </c>
      <c r="C148" s="7" t="str">
        <f aca="false">IF(INDEX(MASTER_DATABASE!$A$4:$A$1000,ROW()-3)="","",INDEX(MASTER_DATABASE!$C$4:$C$1000,ROW()-3)&amp;"")</f>
        <v>Government &amp; Digital Services (CSC)</v>
      </c>
      <c r="D148" s="7" t="str">
        <f aca="false">IF(INDEX(MASTER_DATABASE!$A$4:$A$1000,ROW()-3)="","",INDEX(MASTER_DATABASE!$D$4:$D$1000,ROW()-3)&amp;"")</f>
        <v>Digital Services</v>
      </c>
      <c r="E148" s="7" t="str">
        <f aca="false">IF(INDEX(MASTER_DATABASE!$A$4:$A$1000,ROW()-3)="","",INDEX(MASTER_DATABASE!$E$4:$E$1000,ROW()-3)&amp;"")</f>
        <v>Aadhaar eSign Assistance</v>
      </c>
      <c r="F148" s="7" t="str">
        <f aca="false">IF(INDEX(MASTER_DATABASE!$A$4:$A$1000,ROW()-3)="","",INDEX(MASTER_DATABASE!$F$4:$F$1000,ROW()-3)&amp;"")</f>
        <v>आधार eSign सहायता</v>
      </c>
      <c r="G148" s="7" t="str">
        <f aca="false">IF(INDEX(MASTER_DATABASE!$A$4:$A$1000,ROW()-3)="","",INDEX(MASTER_DATABASE!$AL$4:$AL$1000,ROW()-3)&amp;"")</f>
        <v>Common Service Centre (CSC)</v>
      </c>
      <c r="H148" s="7" t="str">
        <f aca="false">IF(INDEX(MASTER_DATABASE!$A$4:$A$1000,ROW()-3)="","",INDEX(MASTER_DATABASE!$AM$4:$AM$1000,ROW()-3)&amp;"")</f>
        <v>Digital Services</v>
      </c>
      <c r="I148" s="7" t="str">
        <f aca="false">IF(INDEX(MASTER_DATABASE!$A$4:$A$1000,ROW()-3)="","",INDEX(MASTER_DATABASE!$AO$4:$AO$1000,ROW()-3)&amp;"")</f>
        <v>aadhaar-esign-assistance</v>
      </c>
      <c r="J148" s="7" t="str">
        <f aca="false">IF(INDEX(MASTER_DATABASE!$A$4:$A$1000,ROW()-3)="","",INDEX(MASTER_DATABASE!$BD$4:$BD$1000,ROW()-3)&amp;"")</f>
        <v>/services/aadhaar-esign-assistance</v>
      </c>
      <c r="K148" s="7" t="str">
        <f aca="false">IF(INDEX(MASTER_DATABASE!$A$4:$A$1000,ROW()-3)="","",INDEX(MASTER_DATABASE!$AX$4:$AX$1000,ROW()-3)&amp;"")</f>
        <v>Aadhaar eSign Assistance Service | Devmobile Stores</v>
      </c>
      <c r="L148" s="7" t="str">
        <f aca="false">IF(INDEX(MASTER_DATABASE!$A$4:$A$1000,ROW()-3)="","",INDEX(MASTER_DATABASE!$AY$4:$AY$1000,ROW()-3)&amp;"")</f>
        <v>Aadhaar eSign Assistance (आधार eSign सहायता) at Devmobile Stores and Common Service Center &amp; Aadhaar Centre. Check required documents, charges and process before you visit.</v>
      </c>
      <c r="M148" s="7" t="str">
        <f aca="false">IF(INDEX(MASTER_DATABASE!$A$4:$A$1000,ROW()-3)="","",INDEX(MASTER_DATABASE!$AN$4:$AN$1000,ROW()-3)&amp;"")</f>
        <v>Aadhaar eSign Assistance, Common Service Centre (CSC), Devmobile Stores, आधार eSign सहायता, कॉमन सर्विस सेंटर (CSC), सेवा</v>
      </c>
      <c r="N148" s="7" t="str">
        <f aca="false">IF(INDEX(MASTER_DATABASE!$A$4:$A$1000,ROW()-3)="","",INDEX(MASTER_DATABASE!$AZ$4:$AZ$1000,ROW()-3)&amp;"")</f>
        <v>आधार eSign सहायता, कॉमन सर्विस सेंटर (CSC), सेवा</v>
      </c>
      <c r="O148" s="7" t="str">
        <f aca="false">IF(INDEX(MASTER_DATABASE!$A$4:$A$1000,ROW()-3)="","",INDEX(MASTER_DATABASE!$BA$4:$BA$1000,ROW()-3)&amp;"")</f>
        <v>Aadhaar eSign Assistance, Common Service Centre (CSC), Devmobile Stores</v>
      </c>
      <c r="P148" s="11" t="str">
        <f aca="false">IF(INDEX(MASTER_DATABASE!$A$4:$A$1000,ROW()-3)="","",INDEX(MASTER_DATABASE!$AP$4:$AP$1000,ROW()-3)&amp;"")</f>
        <v>☁️</v>
      </c>
      <c r="Q148" s="7" t="str">
        <f aca="false">IF(INDEX(MASTER_DATABASE!$A$4:$A$1000,ROW()-3)="","",INDEX(MASTER_DATABASE!$BB$4:$BB$1000,ROW()-3)&amp;"")</f>
        <v/>
      </c>
      <c r="R148" s="11" t="str">
        <f aca="false">IF(INDEX(MASTER_DATABASE!$A$4:$A$1000,ROW()-3)="","",INDEX(MASTER_DATABASE!$BC$4:$BC$1000,ROW()-3)&amp;"")</f>
        <v>🖥️</v>
      </c>
      <c r="S148" s="11" t="n">
        <f aca="false">IF(INDEX(MASTER_DATABASE!$A$4:$A$1000,ROW()-3)="","",INDEX(MASTER_DATABASE!$AQ$4:$AQ$1000,ROW()-3))</f>
        <v>400</v>
      </c>
      <c r="T148" s="7" t="str">
        <f aca="false">IF(INDEX(MASTER_DATABASE!$A$4:$A$1000,ROW()-3)="","",INDEX(MASTER_DATABASE!$I$4:$I$1000,ROW()-3)&amp;"")</f>
        <v>To Verify</v>
      </c>
      <c r="U148" s="7" t="str">
        <f aca="false">IF(INDEX(MASTER_DATABASE!$A$4:$A$1000,ROW()-3)="","",INDEX(MASTER_DATABASE!$J$4:$J$1000,ROW()-3)&amp;"")</f>
        <v>To Be Confirmed</v>
      </c>
      <c r="V148" s="7" t="str">
        <f aca="false">IF(INDEX(MASTER_DATABASE!$A$4:$A$1000,ROW()-3)="","",INDEX(MASTER_DATABASE!$AG$4:$AG$1000,ROW()-3)&amp;"")</f>
        <v>To Verify</v>
      </c>
      <c r="W148" s="7" t="str">
        <f aca="false">IF(INDEX(MASTER_DATABASE!$A$4:$A$1000,ROW()-3)="","",INDEX(MASTER_DATABASE!$AH$4:$AH$1000,ROW()-3)&amp;"")</f>
        <v>No</v>
      </c>
      <c r="X148" s="7" t="str">
        <f aca="false">IF(INDEX(MASTER_DATABASE!$A$4:$A$1000,ROW()-3)="","",INDEX(MASTER_DATABASE!$AI$4:$AI$1000,ROW()-3)&amp;"")</f>
        <v>No</v>
      </c>
      <c r="Y148" s="7" t="str">
        <f aca="false">IF(INDEX(MASTER_DATABASE!$A$4:$A$1000,ROW()-3)="","",INDEX(MASTER_DATABASE!$AJ$4:$AJ$1000,ROW()-3)&amp;"")</f>
        <v>No</v>
      </c>
      <c r="Z148" s="7" t="str">
        <f aca="false">IF(INDEX(MASTER_DATABASE!$A$4:$A$1000,ROW()-3)="","",INDEX(MASTER_DATABASE!$AK$4:$AK$1000,ROW()-3)&amp;"")</f>
        <v>No</v>
      </c>
      <c r="AA148" s="7" t="str">
        <f aca="false">IF(INDEX(MASTER_DATABASE!$A$4:$A$1000,ROW()-3)="","",INDEX(MASTER_DATABASE!$BE$4:$BE$1000,ROW()-3)&amp;"")</f>
        <v>HIDDEN</v>
      </c>
    </row>
    <row r="149" customFormat="false" ht="46.25" hidden="false" customHeight="false" outlineLevel="0" collapsed="false">
      <c r="A149" s="11" t="str">
        <f aca="false">IF(INDEX(MASTER_DATABASE!$A$4:$A$1000,ROW()-3)="","",INDEX(MASTER_DATABASE!$A$4:$A$1000,ROW()-3)&amp;"")</f>
        <v>CSC-041</v>
      </c>
      <c r="B149" s="7" t="str">
        <f aca="false">IF(INDEX(MASTER_DATABASE!$A$4:$A$1000,ROW()-3)="","",INDEX(MASTER_DATABASE!$B$4:$B$1000,ROW()-3)&amp;"")</f>
        <v>Common Service Centre (CSC)</v>
      </c>
      <c r="C149" s="7" t="str">
        <f aca="false">IF(INDEX(MASTER_DATABASE!$A$4:$A$1000,ROW()-3)="","",INDEX(MASTER_DATABASE!$C$4:$C$1000,ROW()-3)&amp;"")</f>
        <v>Government &amp; Digital Services (CSC)</v>
      </c>
      <c r="D149" s="7" t="str">
        <f aca="false">IF(INDEX(MASTER_DATABASE!$A$4:$A$1000,ROW()-3)="","",INDEX(MASTER_DATABASE!$D$4:$D$1000,ROW()-3)&amp;"")</f>
        <v>Digital Services</v>
      </c>
      <c r="E149" s="7" t="str">
        <f aca="false">IF(INDEX(MASTER_DATABASE!$A$4:$A$1000,ROW()-3)="","",INDEX(MASTER_DATABASE!$E$4:$E$1000,ROW()-3)&amp;"")</f>
        <v>CSC e-Store / Grameen e-Store Orders</v>
      </c>
      <c r="F149" s="7" t="str">
        <f aca="false">IF(INDEX(MASTER_DATABASE!$A$4:$A$1000,ROW()-3)="","",INDEX(MASTER_DATABASE!$F$4:$F$1000,ROW()-3)&amp;"")</f>
        <v>CSC e-Store / ग्रामीण e-Store ऑर्डर</v>
      </c>
      <c r="G149" s="7" t="str">
        <f aca="false">IF(INDEX(MASTER_DATABASE!$A$4:$A$1000,ROW()-3)="","",INDEX(MASTER_DATABASE!$AL$4:$AL$1000,ROW()-3)&amp;"")</f>
        <v>Common Service Centre (CSC)</v>
      </c>
      <c r="H149" s="7" t="str">
        <f aca="false">IF(INDEX(MASTER_DATABASE!$A$4:$A$1000,ROW()-3)="","",INDEX(MASTER_DATABASE!$AM$4:$AM$1000,ROW()-3)&amp;"")</f>
        <v>Digital Services</v>
      </c>
      <c r="I149" s="7" t="str">
        <f aca="false">IF(INDEX(MASTER_DATABASE!$A$4:$A$1000,ROW()-3)="","",INDEX(MASTER_DATABASE!$AO$4:$AO$1000,ROW()-3)&amp;"")</f>
        <v>csc-e-store-grameen-e-store-orders</v>
      </c>
      <c r="J149" s="7" t="str">
        <f aca="false">IF(INDEX(MASTER_DATABASE!$A$4:$A$1000,ROW()-3)="","",INDEX(MASTER_DATABASE!$BD$4:$BD$1000,ROW()-3)&amp;"")</f>
        <v>/services/csc-e-store-grameen-e-store-orders</v>
      </c>
      <c r="K149" s="7" t="str">
        <f aca="false">IF(INDEX(MASTER_DATABASE!$A$4:$A$1000,ROW()-3)="","",INDEX(MASTER_DATABASE!$AX$4:$AX$1000,ROW()-3)&amp;"")</f>
        <v>CSC e-Store / Grameen e-Store Orders Service | Devmobile Stores</v>
      </c>
      <c r="L149" s="7" t="str">
        <f aca="false">IF(INDEX(MASTER_DATABASE!$A$4:$A$1000,ROW()-3)="","",INDEX(MASTER_DATABASE!$AY$4:$AY$1000,ROW()-3)&amp;"")</f>
        <v>CSC e-Store / Grameen e-Store Orders (CSC e-Store / ग्रामीण e-Store ऑर्डर) at Devmobile Stores and Common Service Center &amp; Aadhaar Centre. Check required documents, charges and process before you visit.</v>
      </c>
      <c r="M149" s="7" t="str">
        <f aca="false">IF(INDEX(MASTER_DATABASE!$A$4:$A$1000,ROW()-3)="","",INDEX(MASTER_DATABASE!$AN$4:$AN$1000,ROW()-3)&amp;"")</f>
        <v>CSC e-Store / Grameen e-Store Orders, Common Service Centre (CSC), Devmobile Stores, CSC e-Store / ग्रामीण e-Store ऑर्डर, कॉमन सर्विस सेंटर (CSC), सेवा</v>
      </c>
      <c r="N149" s="7" t="str">
        <f aca="false">IF(INDEX(MASTER_DATABASE!$A$4:$A$1000,ROW()-3)="","",INDEX(MASTER_DATABASE!$AZ$4:$AZ$1000,ROW()-3)&amp;"")</f>
        <v>CSC e-Store / ग्रामीण e-Store ऑर्डर, कॉमन सर्विस सेंटर (CSC), सेवा</v>
      </c>
      <c r="O149" s="7" t="str">
        <f aca="false">IF(INDEX(MASTER_DATABASE!$A$4:$A$1000,ROW()-3)="","",INDEX(MASTER_DATABASE!$BA$4:$BA$1000,ROW()-3)&amp;"")</f>
        <v>CSC e-Store / Grameen e-Store Orders, Common Service Centre (CSC), Devmobile Stores</v>
      </c>
      <c r="P149" s="11" t="str">
        <f aca="false">IF(INDEX(MASTER_DATABASE!$A$4:$A$1000,ROW()-3)="","",INDEX(MASTER_DATABASE!$AP$4:$AP$1000,ROW()-3)&amp;"")</f>
        <v>☁️</v>
      </c>
      <c r="Q149" s="7" t="str">
        <f aca="false">IF(INDEX(MASTER_DATABASE!$A$4:$A$1000,ROW()-3)="","",INDEX(MASTER_DATABASE!$BB$4:$BB$1000,ROW()-3)&amp;"")</f>
        <v/>
      </c>
      <c r="R149" s="11" t="str">
        <f aca="false">IF(INDEX(MASTER_DATABASE!$A$4:$A$1000,ROW()-3)="","",INDEX(MASTER_DATABASE!$BC$4:$BC$1000,ROW()-3)&amp;"")</f>
        <v>🖥️</v>
      </c>
      <c r="S149" s="11" t="n">
        <f aca="false">IF(INDEX(MASTER_DATABASE!$A$4:$A$1000,ROW()-3)="","",INDEX(MASTER_DATABASE!$AQ$4:$AQ$1000,ROW()-3))</f>
        <v>410</v>
      </c>
      <c r="T149" s="7" t="str">
        <f aca="false">IF(INDEX(MASTER_DATABASE!$A$4:$A$1000,ROW()-3)="","",INDEX(MASTER_DATABASE!$I$4:$I$1000,ROW()-3)&amp;"")</f>
        <v>To Verify</v>
      </c>
      <c r="U149" s="7" t="str">
        <f aca="false">IF(INDEX(MASTER_DATABASE!$A$4:$A$1000,ROW()-3)="","",INDEX(MASTER_DATABASE!$J$4:$J$1000,ROW()-3)&amp;"")</f>
        <v>To Be Confirmed</v>
      </c>
      <c r="V149" s="7" t="str">
        <f aca="false">IF(INDEX(MASTER_DATABASE!$A$4:$A$1000,ROW()-3)="","",INDEX(MASTER_DATABASE!$AG$4:$AG$1000,ROW()-3)&amp;"")</f>
        <v>To Verify</v>
      </c>
      <c r="W149" s="7" t="str">
        <f aca="false">IF(INDEX(MASTER_DATABASE!$A$4:$A$1000,ROW()-3)="","",INDEX(MASTER_DATABASE!$AH$4:$AH$1000,ROW()-3)&amp;"")</f>
        <v>No</v>
      </c>
      <c r="X149" s="7" t="str">
        <f aca="false">IF(INDEX(MASTER_DATABASE!$A$4:$A$1000,ROW()-3)="","",INDEX(MASTER_DATABASE!$AI$4:$AI$1000,ROW()-3)&amp;"")</f>
        <v>No</v>
      </c>
      <c r="Y149" s="7" t="str">
        <f aca="false">IF(INDEX(MASTER_DATABASE!$A$4:$A$1000,ROW()-3)="","",INDEX(MASTER_DATABASE!$AJ$4:$AJ$1000,ROW()-3)&amp;"")</f>
        <v>No</v>
      </c>
      <c r="Z149" s="7" t="str">
        <f aca="false">IF(INDEX(MASTER_DATABASE!$A$4:$A$1000,ROW()-3)="","",INDEX(MASTER_DATABASE!$AK$4:$AK$1000,ROW()-3)&amp;"")</f>
        <v>No</v>
      </c>
      <c r="AA149" s="7" t="str">
        <f aca="false">IF(INDEX(MASTER_DATABASE!$A$4:$A$1000,ROW()-3)="","",INDEX(MASTER_DATABASE!$BE$4:$BE$1000,ROW()-3)&amp;"")</f>
        <v>HIDDEN</v>
      </c>
    </row>
    <row r="150" customFormat="false" ht="46.25" hidden="false" customHeight="false" outlineLevel="0" collapsed="false">
      <c r="A150" s="11" t="str">
        <f aca="false">IF(INDEX(MASTER_DATABASE!$A$4:$A$1000,ROW()-3)="","",INDEX(MASTER_DATABASE!$A$4:$A$1000,ROW()-3)&amp;"")</f>
        <v>CSC-042</v>
      </c>
      <c r="B150" s="7" t="str">
        <f aca="false">IF(INDEX(MASTER_DATABASE!$A$4:$A$1000,ROW()-3)="","",INDEX(MASTER_DATABASE!$B$4:$B$1000,ROW()-3)&amp;"")</f>
        <v>Common Service Centre (CSC)</v>
      </c>
      <c r="C150" s="7" t="str">
        <f aca="false">IF(INDEX(MASTER_DATABASE!$A$4:$A$1000,ROW()-3)="","",INDEX(MASTER_DATABASE!$C$4:$C$1000,ROW()-3)&amp;"")</f>
        <v>Government &amp; Digital Services (CSC)</v>
      </c>
      <c r="D150" s="7" t="str">
        <f aca="false">IF(INDEX(MASTER_DATABASE!$A$4:$A$1000,ROW()-3)="","",INDEX(MASTER_DATABASE!$D$4:$D$1000,ROW()-3)&amp;"")</f>
        <v>Registration Services</v>
      </c>
      <c r="E150" s="7" t="str">
        <f aca="false">IF(INDEX(MASTER_DATABASE!$A$4:$A$1000,ROW()-3)="","",INDEX(MASTER_DATABASE!$E$4:$E$1000,ROW()-3)&amp;"")</f>
        <v>Udyam (MSME) Registration</v>
      </c>
      <c r="F150" s="7" t="str">
        <f aca="false">IF(INDEX(MASTER_DATABASE!$A$4:$A$1000,ROW()-3)="","",INDEX(MASTER_DATABASE!$F$4:$F$1000,ROW()-3)&amp;"")</f>
        <v>उद्यम (MSME) पंजीकरण</v>
      </c>
      <c r="G150" s="7" t="str">
        <f aca="false">IF(INDEX(MASTER_DATABASE!$A$4:$A$1000,ROW()-3)="","",INDEX(MASTER_DATABASE!$AL$4:$AL$1000,ROW()-3)&amp;"")</f>
        <v>Common Service Centre (CSC)</v>
      </c>
      <c r="H150" s="7" t="str">
        <f aca="false">IF(INDEX(MASTER_DATABASE!$A$4:$A$1000,ROW()-3)="","",INDEX(MASTER_DATABASE!$AM$4:$AM$1000,ROW()-3)&amp;"")</f>
        <v>Registration Services</v>
      </c>
      <c r="I150" s="7" t="str">
        <f aca="false">IF(INDEX(MASTER_DATABASE!$A$4:$A$1000,ROW()-3)="","",INDEX(MASTER_DATABASE!$AO$4:$AO$1000,ROW()-3)&amp;"")</f>
        <v>udyam-msme-registration</v>
      </c>
      <c r="J150" s="7" t="str">
        <f aca="false">IF(INDEX(MASTER_DATABASE!$A$4:$A$1000,ROW()-3)="","",INDEX(MASTER_DATABASE!$BD$4:$BD$1000,ROW()-3)&amp;"")</f>
        <v>/services/udyam-msme-registration</v>
      </c>
      <c r="K150" s="7" t="str">
        <f aca="false">IF(INDEX(MASTER_DATABASE!$A$4:$A$1000,ROW()-3)="","",INDEX(MASTER_DATABASE!$AX$4:$AX$1000,ROW()-3)&amp;"")</f>
        <v>Udyam (MSME) Registration Service | Devmobile Stores</v>
      </c>
      <c r="L150" s="7" t="str">
        <f aca="false">IF(INDEX(MASTER_DATABASE!$A$4:$A$1000,ROW()-3)="","",INDEX(MASTER_DATABASE!$AY$4:$AY$1000,ROW()-3)&amp;"")</f>
        <v>Udyam (MSME) Registration (उद्यम (MSME) पंजीकरण) at Devmobile Stores and Common Service Center &amp; Aadhaar Centre. Check required documents, charges and process before you visit.</v>
      </c>
      <c r="M150" s="7" t="str">
        <f aca="false">IF(INDEX(MASTER_DATABASE!$A$4:$A$1000,ROW()-3)="","",INDEX(MASTER_DATABASE!$AN$4:$AN$1000,ROW()-3)&amp;"")</f>
        <v>Udyam (MSME) Registration, Common Service Centre (CSC), Devmobile Stores, उद्यम (MSME) पंजीकरण, कॉमन सर्विस सेंटर (CSC), सेवा</v>
      </c>
      <c r="N150" s="7" t="str">
        <f aca="false">IF(INDEX(MASTER_DATABASE!$A$4:$A$1000,ROW()-3)="","",INDEX(MASTER_DATABASE!$AZ$4:$AZ$1000,ROW()-3)&amp;"")</f>
        <v>उद्यम (MSME) पंजीकरण, कॉमन सर्विस सेंटर (CSC), सेवा</v>
      </c>
      <c r="O150" s="7" t="str">
        <f aca="false">IF(INDEX(MASTER_DATABASE!$A$4:$A$1000,ROW()-3)="","",INDEX(MASTER_DATABASE!$BA$4:$BA$1000,ROW()-3)&amp;"")</f>
        <v>Udyam (MSME) Registration, Common Service Centre (CSC), Devmobile Stores</v>
      </c>
      <c r="P150" s="11" t="str">
        <f aca="false">IF(INDEX(MASTER_DATABASE!$A$4:$A$1000,ROW()-3)="","",INDEX(MASTER_DATABASE!$AP$4:$AP$1000,ROW()-3)&amp;"")</f>
        <v>🖥️</v>
      </c>
      <c r="Q150" s="7" t="str">
        <f aca="false">IF(INDEX(MASTER_DATABASE!$A$4:$A$1000,ROW()-3)="","",INDEX(MASTER_DATABASE!$BB$4:$BB$1000,ROW()-3)&amp;"")</f>
        <v/>
      </c>
      <c r="R150" s="11" t="str">
        <f aca="false">IF(INDEX(MASTER_DATABASE!$A$4:$A$1000,ROW()-3)="","",INDEX(MASTER_DATABASE!$BC$4:$BC$1000,ROW()-3)&amp;"")</f>
        <v>🖥️</v>
      </c>
      <c r="S150" s="11" t="n">
        <f aca="false">IF(INDEX(MASTER_DATABASE!$A$4:$A$1000,ROW()-3)="","",INDEX(MASTER_DATABASE!$AQ$4:$AQ$1000,ROW()-3))</f>
        <v>420</v>
      </c>
      <c r="T150" s="7" t="str">
        <f aca="false">IF(INDEX(MASTER_DATABASE!$A$4:$A$1000,ROW()-3)="","",INDEX(MASTER_DATABASE!$I$4:$I$1000,ROW()-3)&amp;"")</f>
        <v>Portal Dependent</v>
      </c>
      <c r="U150" s="7" t="str">
        <f aca="false">IF(INDEX(MASTER_DATABASE!$A$4:$A$1000,ROW()-3)="","",INDEX(MASTER_DATABASE!$J$4:$J$1000,ROW()-3)&amp;"")</f>
        <v>Depends on Portal – Confirm at Shop</v>
      </c>
      <c r="V150" s="7" t="str">
        <f aca="false">IF(INDEX(MASTER_DATABASE!$A$4:$A$1000,ROW()-3)="","",INDEX(MASTER_DATABASE!$AG$4:$AG$1000,ROW()-3)&amp;"")</f>
        <v>To Verify</v>
      </c>
      <c r="W150" s="7" t="str">
        <f aca="false">IF(INDEX(MASTER_DATABASE!$A$4:$A$1000,ROW()-3)="","",INDEX(MASTER_DATABASE!$AH$4:$AH$1000,ROW()-3)&amp;"")</f>
        <v>No</v>
      </c>
      <c r="X150" s="7" t="str">
        <f aca="false">IF(INDEX(MASTER_DATABASE!$A$4:$A$1000,ROW()-3)="","",INDEX(MASTER_DATABASE!$AI$4:$AI$1000,ROW()-3)&amp;"")</f>
        <v>No</v>
      </c>
      <c r="Y150" s="7" t="str">
        <f aca="false">IF(INDEX(MASTER_DATABASE!$A$4:$A$1000,ROW()-3)="","",INDEX(MASTER_DATABASE!$AJ$4:$AJ$1000,ROW()-3)&amp;"")</f>
        <v>No</v>
      </c>
      <c r="Z150" s="7" t="str">
        <f aca="false">IF(INDEX(MASTER_DATABASE!$A$4:$A$1000,ROW()-3)="","",INDEX(MASTER_DATABASE!$AK$4:$AK$1000,ROW()-3)&amp;"")</f>
        <v>No</v>
      </c>
      <c r="AA150" s="7" t="str">
        <f aca="false">IF(INDEX(MASTER_DATABASE!$A$4:$A$1000,ROW()-3)="","",INDEX(MASTER_DATABASE!$BE$4:$BE$1000,ROW()-3)&amp;"")</f>
        <v>HIDDEN</v>
      </c>
    </row>
    <row r="151" customFormat="false" ht="46.25" hidden="false" customHeight="false" outlineLevel="0" collapsed="false">
      <c r="A151" s="11" t="str">
        <f aca="false">IF(INDEX(MASTER_DATABASE!$A$4:$A$1000,ROW()-3)="","",INDEX(MASTER_DATABASE!$A$4:$A$1000,ROW()-3)&amp;"")</f>
        <v>CSC-043</v>
      </c>
      <c r="B151" s="7" t="str">
        <f aca="false">IF(INDEX(MASTER_DATABASE!$A$4:$A$1000,ROW()-3)="","",INDEX(MASTER_DATABASE!$B$4:$B$1000,ROW()-3)&amp;"")</f>
        <v>Common Service Centre (CSC)</v>
      </c>
      <c r="C151" s="7" t="str">
        <f aca="false">IF(INDEX(MASTER_DATABASE!$A$4:$A$1000,ROW()-3)="","",INDEX(MASTER_DATABASE!$C$4:$C$1000,ROW()-3)&amp;"")</f>
        <v>Government &amp; Digital Services (CSC)</v>
      </c>
      <c r="D151" s="7" t="str">
        <f aca="false">IF(INDEX(MASTER_DATABASE!$A$4:$A$1000,ROW()-3)="","",INDEX(MASTER_DATABASE!$D$4:$D$1000,ROW()-3)&amp;"")</f>
        <v>Registration Services</v>
      </c>
      <c r="E151" s="7" t="str">
        <f aca="false">IF(INDEX(MASTER_DATABASE!$A$4:$A$1000,ROW()-3)="","",INDEX(MASTER_DATABASE!$E$4:$E$1000,ROW()-3)&amp;"")</f>
        <v>GST Registration Assistance</v>
      </c>
      <c r="F151" s="7" t="str">
        <f aca="false">IF(INDEX(MASTER_DATABASE!$A$4:$A$1000,ROW()-3)="","",INDEX(MASTER_DATABASE!$F$4:$F$1000,ROW()-3)&amp;"")</f>
        <v>GST पंजीकरण सहायता</v>
      </c>
      <c r="G151" s="7" t="str">
        <f aca="false">IF(INDEX(MASTER_DATABASE!$A$4:$A$1000,ROW()-3)="","",INDEX(MASTER_DATABASE!$AL$4:$AL$1000,ROW()-3)&amp;"")</f>
        <v>Common Service Centre (CSC)</v>
      </c>
      <c r="H151" s="7" t="str">
        <f aca="false">IF(INDEX(MASTER_DATABASE!$A$4:$A$1000,ROW()-3)="","",INDEX(MASTER_DATABASE!$AM$4:$AM$1000,ROW()-3)&amp;"")</f>
        <v>Registration Services</v>
      </c>
      <c r="I151" s="7" t="str">
        <f aca="false">IF(INDEX(MASTER_DATABASE!$A$4:$A$1000,ROW()-3)="","",INDEX(MASTER_DATABASE!$AO$4:$AO$1000,ROW()-3)&amp;"")</f>
        <v>gst-registration-assistance</v>
      </c>
      <c r="J151" s="7" t="str">
        <f aca="false">IF(INDEX(MASTER_DATABASE!$A$4:$A$1000,ROW()-3)="","",INDEX(MASTER_DATABASE!$BD$4:$BD$1000,ROW()-3)&amp;"")</f>
        <v>/services/gst-registration-assistance</v>
      </c>
      <c r="K151" s="7" t="str">
        <f aca="false">IF(INDEX(MASTER_DATABASE!$A$4:$A$1000,ROW()-3)="","",INDEX(MASTER_DATABASE!$AX$4:$AX$1000,ROW()-3)&amp;"")</f>
        <v>GST Registration Assistance Service | Devmobile Stores</v>
      </c>
      <c r="L151" s="7" t="str">
        <f aca="false">IF(INDEX(MASTER_DATABASE!$A$4:$A$1000,ROW()-3)="","",INDEX(MASTER_DATABASE!$AY$4:$AY$1000,ROW()-3)&amp;"")</f>
        <v>GST Registration Assistance (GST पंजीकरण सहायता) at Devmobile Stores and Common Service Center &amp; Aadhaar Centre. Check required documents, charges and process before you visit.</v>
      </c>
      <c r="M151" s="7" t="str">
        <f aca="false">IF(INDEX(MASTER_DATABASE!$A$4:$A$1000,ROW()-3)="","",INDEX(MASTER_DATABASE!$AN$4:$AN$1000,ROW()-3)&amp;"")</f>
        <v>GST Registration Assistance, Common Service Centre (CSC), Devmobile Stores, GST पंजीकरण सहायता, कॉमन सर्विस सेंटर (CSC), सेवा</v>
      </c>
      <c r="N151" s="7" t="str">
        <f aca="false">IF(INDEX(MASTER_DATABASE!$A$4:$A$1000,ROW()-3)="","",INDEX(MASTER_DATABASE!$AZ$4:$AZ$1000,ROW()-3)&amp;"")</f>
        <v>GST पंजीकरण सहायता, कॉमन सर्विस सेंटर (CSC), सेवा</v>
      </c>
      <c r="O151" s="7" t="str">
        <f aca="false">IF(INDEX(MASTER_DATABASE!$A$4:$A$1000,ROW()-3)="","",INDEX(MASTER_DATABASE!$BA$4:$BA$1000,ROW()-3)&amp;"")</f>
        <v>GST Registration Assistance, Common Service Centre (CSC), Devmobile Stores</v>
      </c>
      <c r="P151" s="11" t="str">
        <f aca="false">IF(INDEX(MASTER_DATABASE!$A$4:$A$1000,ROW()-3)="","",INDEX(MASTER_DATABASE!$AP$4:$AP$1000,ROW()-3)&amp;"")</f>
        <v>🖥️</v>
      </c>
      <c r="Q151" s="7" t="str">
        <f aca="false">IF(INDEX(MASTER_DATABASE!$A$4:$A$1000,ROW()-3)="","",INDEX(MASTER_DATABASE!$BB$4:$BB$1000,ROW()-3)&amp;"")</f>
        <v/>
      </c>
      <c r="R151" s="11" t="str">
        <f aca="false">IF(INDEX(MASTER_DATABASE!$A$4:$A$1000,ROW()-3)="","",INDEX(MASTER_DATABASE!$BC$4:$BC$1000,ROW()-3)&amp;"")</f>
        <v>🖥️</v>
      </c>
      <c r="S151" s="11" t="n">
        <f aca="false">IF(INDEX(MASTER_DATABASE!$A$4:$A$1000,ROW()-3)="","",INDEX(MASTER_DATABASE!$AQ$4:$AQ$1000,ROW()-3))</f>
        <v>430</v>
      </c>
      <c r="T151" s="7" t="str">
        <f aca="false">IF(INDEX(MASTER_DATABASE!$A$4:$A$1000,ROW()-3)="","",INDEX(MASTER_DATABASE!$I$4:$I$1000,ROW()-3)&amp;"")</f>
        <v>Portal Dependent</v>
      </c>
      <c r="U151" s="7" t="str">
        <f aca="false">IF(INDEX(MASTER_DATABASE!$A$4:$A$1000,ROW()-3)="","",INDEX(MASTER_DATABASE!$J$4:$J$1000,ROW()-3)&amp;"")</f>
        <v>Depends on Portal – Confirm at Shop</v>
      </c>
      <c r="V151" s="7" t="str">
        <f aca="false">IF(INDEX(MASTER_DATABASE!$A$4:$A$1000,ROW()-3)="","",INDEX(MASTER_DATABASE!$AG$4:$AG$1000,ROW()-3)&amp;"")</f>
        <v>To Verify</v>
      </c>
      <c r="W151" s="7" t="str">
        <f aca="false">IF(INDEX(MASTER_DATABASE!$A$4:$A$1000,ROW()-3)="","",INDEX(MASTER_DATABASE!$AH$4:$AH$1000,ROW()-3)&amp;"")</f>
        <v>No</v>
      </c>
      <c r="X151" s="7" t="str">
        <f aca="false">IF(INDEX(MASTER_DATABASE!$A$4:$A$1000,ROW()-3)="","",INDEX(MASTER_DATABASE!$AI$4:$AI$1000,ROW()-3)&amp;"")</f>
        <v>No</v>
      </c>
      <c r="Y151" s="7" t="str">
        <f aca="false">IF(INDEX(MASTER_DATABASE!$A$4:$A$1000,ROW()-3)="","",INDEX(MASTER_DATABASE!$AJ$4:$AJ$1000,ROW()-3)&amp;"")</f>
        <v>No</v>
      </c>
      <c r="Z151" s="7" t="str">
        <f aca="false">IF(INDEX(MASTER_DATABASE!$A$4:$A$1000,ROW()-3)="","",INDEX(MASTER_DATABASE!$AK$4:$AK$1000,ROW()-3)&amp;"")</f>
        <v>No</v>
      </c>
      <c r="AA151" s="7" t="str">
        <f aca="false">IF(INDEX(MASTER_DATABASE!$A$4:$A$1000,ROW()-3)="","",INDEX(MASTER_DATABASE!$BE$4:$BE$1000,ROW()-3)&amp;"")</f>
        <v>HIDDEN</v>
      </c>
    </row>
    <row r="152" customFormat="false" ht="46.25" hidden="false" customHeight="false" outlineLevel="0" collapsed="false">
      <c r="A152" s="11" t="str">
        <f aca="false">IF(INDEX(MASTER_DATABASE!$A$4:$A$1000,ROW()-3)="","",INDEX(MASTER_DATABASE!$A$4:$A$1000,ROW()-3)&amp;"")</f>
        <v>CSC-044</v>
      </c>
      <c r="B152" s="7" t="str">
        <f aca="false">IF(INDEX(MASTER_DATABASE!$A$4:$A$1000,ROW()-3)="","",INDEX(MASTER_DATABASE!$B$4:$B$1000,ROW()-3)&amp;"")</f>
        <v>Common Service Centre (CSC)</v>
      </c>
      <c r="C152" s="7" t="str">
        <f aca="false">IF(INDEX(MASTER_DATABASE!$A$4:$A$1000,ROW()-3)="","",INDEX(MASTER_DATABASE!$C$4:$C$1000,ROW()-3)&amp;"")</f>
        <v>Government &amp; Digital Services (CSC)</v>
      </c>
      <c r="D152" s="7" t="str">
        <f aca="false">IF(INDEX(MASTER_DATABASE!$A$4:$A$1000,ROW()-3)="","",INDEX(MASTER_DATABASE!$D$4:$D$1000,ROW()-3)&amp;"")</f>
        <v>Registration Services</v>
      </c>
      <c r="E152" s="7" t="str">
        <f aca="false">IF(INDEX(MASTER_DATABASE!$A$4:$A$1000,ROW()-3)="","",INDEX(MASTER_DATABASE!$E$4:$E$1000,ROW()-3)&amp;"")</f>
        <v>GST Return Filing Assistance</v>
      </c>
      <c r="F152" s="7" t="str">
        <f aca="false">IF(INDEX(MASTER_DATABASE!$A$4:$A$1000,ROW()-3)="","",INDEX(MASTER_DATABASE!$F$4:$F$1000,ROW()-3)&amp;"")</f>
        <v>GST रिटर्न फाइलिंग सहायता</v>
      </c>
      <c r="G152" s="7" t="str">
        <f aca="false">IF(INDEX(MASTER_DATABASE!$A$4:$A$1000,ROW()-3)="","",INDEX(MASTER_DATABASE!$AL$4:$AL$1000,ROW()-3)&amp;"")</f>
        <v>Common Service Centre (CSC)</v>
      </c>
      <c r="H152" s="7" t="str">
        <f aca="false">IF(INDEX(MASTER_DATABASE!$A$4:$A$1000,ROW()-3)="","",INDEX(MASTER_DATABASE!$AM$4:$AM$1000,ROW()-3)&amp;"")</f>
        <v>Registration Services</v>
      </c>
      <c r="I152" s="7" t="str">
        <f aca="false">IF(INDEX(MASTER_DATABASE!$A$4:$A$1000,ROW()-3)="","",INDEX(MASTER_DATABASE!$AO$4:$AO$1000,ROW()-3)&amp;"")</f>
        <v>gst-return-filing-assistance</v>
      </c>
      <c r="J152" s="7" t="str">
        <f aca="false">IF(INDEX(MASTER_DATABASE!$A$4:$A$1000,ROW()-3)="","",INDEX(MASTER_DATABASE!$BD$4:$BD$1000,ROW()-3)&amp;"")</f>
        <v>/services/gst-return-filing-assistance</v>
      </c>
      <c r="K152" s="7" t="str">
        <f aca="false">IF(INDEX(MASTER_DATABASE!$A$4:$A$1000,ROW()-3)="","",INDEX(MASTER_DATABASE!$AX$4:$AX$1000,ROW()-3)&amp;"")</f>
        <v>GST Return Filing Assistance Service | Devmobile Stores</v>
      </c>
      <c r="L152" s="7" t="str">
        <f aca="false">IF(INDEX(MASTER_DATABASE!$A$4:$A$1000,ROW()-3)="","",INDEX(MASTER_DATABASE!$AY$4:$AY$1000,ROW()-3)&amp;"")</f>
        <v>GST Return Filing Assistance (GST रिटर्न फाइलिंग सहायता) at Devmobile Stores and Common Service Center &amp; Aadhaar Centre. Check required documents, charges and process before you visit.</v>
      </c>
      <c r="M152" s="7" t="str">
        <f aca="false">IF(INDEX(MASTER_DATABASE!$A$4:$A$1000,ROW()-3)="","",INDEX(MASTER_DATABASE!$AN$4:$AN$1000,ROW()-3)&amp;"")</f>
        <v>GST Return Filing Assistance, Common Service Centre (CSC), Devmobile Stores, GST रिटर्न फाइलिंग सहायता, कॉमन सर्विस सेंटर (CSC), सेवा</v>
      </c>
      <c r="N152" s="7" t="str">
        <f aca="false">IF(INDEX(MASTER_DATABASE!$A$4:$A$1000,ROW()-3)="","",INDEX(MASTER_DATABASE!$AZ$4:$AZ$1000,ROW()-3)&amp;"")</f>
        <v>GST रिटर्न फाइलिंग सहायता, कॉमन सर्विस सेंटर (CSC), सेवा</v>
      </c>
      <c r="O152" s="7" t="str">
        <f aca="false">IF(INDEX(MASTER_DATABASE!$A$4:$A$1000,ROW()-3)="","",INDEX(MASTER_DATABASE!$BA$4:$BA$1000,ROW()-3)&amp;"")</f>
        <v>GST Return Filing Assistance, Common Service Centre (CSC), Devmobile Stores</v>
      </c>
      <c r="P152" s="11" t="str">
        <f aca="false">IF(INDEX(MASTER_DATABASE!$A$4:$A$1000,ROW()-3)="","",INDEX(MASTER_DATABASE!$AP$4:$AP$1000,ROW()-3)&amp;"")</f>
        <v>🖥️</v>
      </c>
      <c r="Q152" s="7" t="str">
        <f aca="false">IF(INDEX(MASTER_DATABASE!$A$4:$A$1000,ROW()-3)="","",INDEX(MASTER_DATABASE!$BB$4:$BB$1000,ROW()-3)&amp;"")</f>
        <v/>
      </c>
      <c r="R152" s="11" t="str">
        <f aca="false">IF(INDEX(MASTER_DATABASE!$A$4:$A$1000,ROW()-3)="","",INDEX(MASTER_DATABASE!$BC$4:$BC$1000,ROW()-3)&amp;"")</f>
        <v>🖥️</v>
      </c>
      <c r="S152" s="11" t="n">
        <f aca="false">IF(INDEX(MASTER_DATABASE!$A$4:$A$1000,ROW()-3)="","",INDEX(MASTER_DATABASE!$AQ$4:$AQ$1000,ROW()-3))</f>
        <v>440</v>
      </c>
      <c r="T152" s="7" t="str">
        <f aca="false">IF(INDEX(MASTER_DATABASE!$A$4:$A$1000,ROW()-3)="","",INDEX(MASTER_DATABASE!$I$4:$I$1000,ROW()-3)&amp;"")</f>
        <v>Portal Dependent</v>
      </c>
      <c r="U152" s="7" t="str">
        <f aca="false">IF(INDEX(MASTER_DATABASE!$A$4:$A$1000,ROW()-3)="","",INDEX(MASTER_DATABASE!$J$4:$J$1000,ROW()-3)&amp;"")</f>
        <v>Depends on Portal – Confirm at Shop</v>
      </c>
      <c r="V152" s="7" t="str">
        <f aca="false">IF(INDEX(MASTER_DATABASE!$A$4:$A$1000,ROW()-3)="","",INDEX(MASTER_DATABASE!$AG$4:$AG$1000,ROW()-3)&amp;"")</f>
        <v>To Verify</v>
      </c>
      <c r="W152" s="7" t="str">
        <f aca="false">IF(INDEX(MASTER_DATABASE!$A$4:$A$1000,ROW()-3)="","",INDEX(MASTER_DATABASE!$AH$4:$AH$1000,ROW()-3)&amp;"")</f>
        <v>No</v>
      </c>
      <c r="X152" s="7" t="str">
        <f aca="false">IF(INDEX(MASTER_DATABASE!$A$4:$A$1000,ROW()-3)="","",INDEX(MASTER_DATABASE!$AI$4:$AI$1000,ROW()-3)&amp;"")</f>
        <v>No</v>
      </c>
      <c r="Y152" s="7" t="str">
        <f aca="false">IF(INDEX(MASTER_DATABASE!$A$4:$A$1000,ROW()-3)="","",INDEX(MASTER_DATABASE!$AJ$4:$AJ$1000,ROW()-3)&amp;"")</f>
        <v>No</v>
      </c>
      <c r="Z152" s="7" t="str">
        <f aca="false">IF(INDEX(MASTER_DATABASE!$A$4:$A$1000,ROW()-3)="","",INDEX(MASTER_DATABASE!$AK$4:$AK$1000,ROW()-3)&amp;"")</f>
        <v>No</v>
      </c>
      <c r="AA152" s="7" t="str">
        <f aca="false">IF(INDEX(MASTER_DATABASE!$A$4:$A$1000,ROW()-3)="","",INDEX(MASTER_DATABASE!$BE$4:$BE$1000,ROW()-3)&amp;"")</f>
        <v>HIDDEN</v>
      </c>
    </row>
    <row r="153" customFormat="false" ht="57.45" hidden="false" customHeight="false" outlineLevel="0" collapsed="false">
      <c r="A153" s="11" t="str">
        <f aca="false">IF(INDEX(MASTER_DATABASE!$A$4:$A$1000,ROW()-3)="","",INDEX(MASTER_DATABASE!$A$4:$A$1000,ROW()-3)&amp;"")</f>
        <v>CSC-045</v>
      </c>
      <c r="B153" s="7" t="str">
        <f aca="false">IF(INDEX(MASTER_DATABASE!$A$4:$A$1000,ROW()-3)="","",INDEX(MASTER_DATABASE!$B$4:$B$1000,ROW()-3)&amp;"")</f>
        <v>Common Service Centre (CSC)</v>
      </c>
      <c r="C153" s="7" t="str">
        <f aca="false">IF(INDEX(MASTER_DATABASE!$A$4:$A$1000,ROW()-3)="","",INDEX(MASTER_DATABASE!$C$4:$C$1000,ROW()-3)&amp;"")</f>
        <v>Government &amp; Digital Services (CSC)</v>
      </c>
      <c r="D153" s="7" t="str">
        <f aca="false">IF(INDEX(MASTER_DATABASE!$A$4:$A$1000,ROW()-3)="","",INDEX(MASTER_DATABASE!$D$4:$D$1000,ROW()-3)&amp;"")</f>
        <v>Registration Services</v>
      </c>
      <c r="E153" s="7" t="str">
        <f aca="false">IF(INDEX(MASTER_DATABASE!$A$4:$A$1000,ROW()-3)="","",INDEX(MASTER_DATABASE!$E$4:$E$1000,ROW()-3)&amp;"")</f>
        <v>FSSAI Registration / Licence Assistance</v>
      </c>
      <c r="F153" s="7" t="str">
        <f aca="false">IF(INDEX(MASTER_DATABASE!$A$4:$A$1000,ROW()-3)="","",INDEX(MASTER_DATABASE!$F$4:$F$1000,ROW()-3)&amp;"")</f>
        <v>FSSAI पंजीकरण / लाइसेंस सहायता</v>
      </c>
      <c r="G153" s="7" t="str">
        <f aca="false">IF(INDEX(MASTER_DATABASE!$A$4:$A$1000,ROW()-3)="","",INDEX(MASTER_DATABASE!$AL$4:$AL$1000,ROW()-3)&amp;"")</f>
        <v>Common Service Centre (CSC)</v>
      </c>
      <c r="H153" s="7" t="str">
        <f aca="false">IF(INDEX(MASTER_DATABASE!$A$4:$A$1000,ROW()-3)="","",INDEX(MASTER_DATABASE!$AM$4:$AM$1000,ROW()-3)&amp;"")</f>
        <v>Registration Services</v>
      </c>
      <c r="I153" s="7" t="str">
        <f aca="false">IF(INDEX(MASTER_DATABASE!$A$4:$A$1000,ROW()-3)="","",INDEX(MASTER_DATABASE!$AO$4:$AO$1000,ROW()-3)&amp;"")</f>
        <v>fssai-registration-licence-assistance</v>
      </c>
      <c r="J153" s="7" t="str">
        <f aca="false">IF(INDEX(MASTER_DATABASE!$A$4:$A$1000,ROW()-3)="","",INDEX(MASTER_DATABASE!$BD$4:$BD$1000,ROW()-3)&amp;"")</f>
        <v>/services/fssai-registration-licence-assistance</v>
      </c>
      <c r="K153" s="7" t="str">
        <f aca="false">IF(INDEX(MASTER_DATABASE!$A$4:$A$1000,ROW()-3)="","",INDEX(MASTER_DATABASE!$AX$4:$AX$1000,ROW()-3)&amp;"")</f>
        <v>FSSAI Registration / Licence Assistance Service | Devmobile Stores</v>
      </c>
      <c r="L153" s="7" t="str">
        <f aca="false">IF(INDEX(MASTER_DATABASE!$A$4:$A$1000,ROW()-3)="","",INDEX(MASTER_DATABASE!$AY$4:$AY$1000,ROW()-3)&amp;"")</f>
        <v>FSSAI Registration / Licence Assistance (FSSAI पंजीकरण / लाइसेंस सहायता) at Devmobile Stores and Common Service Center &amp; Aadhaar Centre. Check required documents, charges and process before you visit.</v>
      </c>
      <c r="M153" s="7" t="str">
        <f aca="false">IF(INDEX(MASTER_DATABASE!$A$4:$A$1000,ROW()-3)="","",INDEX(MASTER_DATABASE!$AN$4:$AN$1000,ROW()-3)&amp;"")</f>
        <v>FSSAI Registration / Licence Assistance, Common Service Centre (CSC), Devmobile Stores, FSSAI पंजीकरण / लाइसेंस सहायता, कॉमन सर्विस सेंटर (CSC), सेवा</v>
      </c>
      <c r="N153" s="7" t="str">
        <f aca="false">IF(INDEX(MASTER_DATABASE!$A$4:$A$1000,ROW()-3)="","",INDEX(MASTER_DATABASE!$AZ$4:$AZ$1000,ROW()-3)&amp;"")</f>
        <v>FSSAI पंजीकरण / लाइसेंस सहायता, कॉमन सर्विस सेंटर (CSC), सेवा</v>
      </c>
      <c r="O153" s="7" t="str">
        <f aca="false">IF(INDEX(MASTER_DATABASE!$A$4:$A$1000,ROW()-3)="","",INDEX(MASTER_DATABASE!$BA$4:$BA$1000,ROW()-3)&amp;"")</f>
        <v>FSSAI Registration / Licence Assistance, Common Service Centre (CSC), Devmobile Stores</v>
      </c>
      <c r="P153" s="11" t="str">
        <f aca="false">IF(INDEX(MASTER_DATABASE!$A$4:$A$1000,ROW()-3)="","",INDEX(MASTER_DATABASE!$AP$4:$AP$1000,ROW()-3)&amp;"")</f>
        <v>🖥️</v>
      </c>
      <c r="Q153" s="7" t="str">
        <f aca="false">IF(INDEX(MASTER_DATABASE!$A$4:$A$1000,ROW()-3)="","",INDEX(MASTER_DATABASE!$BB$4:$BB$1000,ROW()-3)&amp;"")</f>
        <v/>
      </c>
      <c r="R153" s="11" t="str">
        <f aca="false">IF(INDEX(MASTER_DATABASE!$A$4:$A$1000,ROW()-3)="","",INDEX(MASTER_DATABASE!$BC$4:$BC$1000,ROW()-3)&amp;"")</f>
        <v>🖥️</v>
      </c>
      <c r="S153" s="11" t="n">
        <f aca="false">IF(INDEX(MASTER_DATABASE!$A$4:$A$1000,ROW()-3)="","",INDEX(MASTER_DATABASE!$AQ$4:$AQ$1000,ROW()-3))</f>
        <v>450</v>
      </c>
      <c r="T153" s="7" t="str">
        <f aca="false">IF(INDEX(MASTER_DATABASE!$A$4:$A$1000,ROW()-3)="","",INDEX(MASTER_DATABASE!$I$4:$I$1000,ROW()-3)&amp;"")</f>
        <v>Portal Dependent</v>
      </c>
      <c r="U153" s="7" t="str">
        <f aca="false">IF(INDEX(MASTER_DATABASE!$A$4:$A$1000,ROW()-3)="","",INDEX(MASTER_DATABASE!$J$4:$J$1000,ROW()-3)&amp;"")</f>
        <v>Depends on Portal – Confirm at Shop</v>
      </c>
      <c r="V153" s="7" t="str">
        <f aca="false">IF(INDEX(MASTER_DATABASE!$A$4:$A$1000,ROW()-3)="","",INDEX(MASTER_DATABASE!$AG$4:$AG$1000,ROW()-3)&amp;"")</f>
        <v>To Verify</v>
      </c>
      <c r="W153" s="7" t="str">
        <f aca="false">IF(INDEX(MASTER_DATABASE!$A$4:$A$1000,ROW()-3)="","",INDEX(MASTER_DATABASE!$AH$4:$AH$1000,ROW()-3)&amp;"")</f>
        <v>No</v>
      </c>
      <c r="X153" s="7" t="str">
        <f aca="false">IF(INDEX(MASTER_DATABASE!$A$4:$A$1000,ROW()-3)="","",INDEX(MASTER_DATABASE!$AI$4:$AI$1000,ROW()-3)&amp;"")</f>
        <v>No</v>
      </c>
      <c r="Y153" s="7" t="str">
        <f aca="false">IF(INDEX(MASTER_DATABASE!$A$4:$A$1000,ROW()-3)="","",INDEX(MASTER_DATABASE!$AJ$4:$AJ$1000,ROW()-3)&amp;"")</f>
        <v>No</v>
      </c>
      <c r="Z153" s="7" t="str">
        <f aca="false">IF(INDEX(MASTER_DATABASE!$A$4:$A$1000,ROW()-3)="","",INDEX(MASTER_DATABASE!$AK$4:$AK$1000,ROW()-3)&amp;"")</f>
        <v>No</v>
      </c>
      <c r="AA153" s="7" t="str">
        <f aca="false">IF(INDEX(MASTER_DATABASE!$A$4:$A$1000,ROW()-3)="","",INDEX(MASTER_DATABASE!$BE$4:$BE$1000,ROW()-3)&amp;"")</f>
        <v>HIDDEN</v>
      </c>
    </row>
    <row r="154" customFormat="false" ht="46.25" hidden="false" customHeight="false" outlineLevel="0" collapsed="false">
      <c r="A154" s="11" t="str">
        <f aca="false">IF(INDEX(MASTER_DATABASE!$A$4:$A$1000,ROW()-3)="","",INDEX(MASTER_DATABASE!$A$4:$A$1000,ROW()-3)&amp;"")</f>
        <v>CSC-046</v>
      </c>
      <c r="B154" s="7" t="str">
        <f aca="false">IF(INDEX(MASTER_DATABASE!$A$4:$A$1000,ROW()-3)="","",INDEX(MASTER_DATABASE!$B$4:$B$1000,ROW()-3)&amp;"")</f>
        <v>Common Service Centre (CSC)</v>
      </c>
      <c r="C154" s="7" t="str">
        <f aca="false">IF(INDEX(MASTER_DATABASE!$A$4:$A$1000,ROW()-3)="","",INDEX(MASTER_DATABASE!$C$4:$C$1000,ROW()-3)&amp;"")</f>
        <v>Government &amp; Digital Services (CSC)</v>
      </c>
      <c r="D154" s="7" t="str">
        <f aca="false">IF(INDEX(MASTER_DATABASE!$A$4:$A$1000,ROW()-3)="","",INDEX(MASTER_DATABASE!$D$4:$D$1000,ROW()-3)&amp;"")</f>
        <v>Registration Services</v>
      </c>
      <c r="E154" s="7" t="str">
        <f aca="false">IF(INDEX(MASTER_DATABASE!$A$4:$A$1000,ROW()-3)="","",INDEX(MASTER_DATABASE!$E$4:$E$1000,ROW()-3)&amp;"")</f>
        <v>Income Tax Return (ITR) Filing Assistance</v>
      </c>
      <c r="F154" s="7" t="str">
        <f aca="false">IF(INDEX(MASTER_DATABASE!$A$4:$A$1000,ROW()-3)="","",INDEX(MASTER_DATABASE!$F$4:$F$1000,ROW()-3)&amp;"")</f>
        <v>आयकर रिटर्न (ITR) फाइलिंग सहायता</v>
      </c>
      <c r="G154" s="7" t="str">
        <f aca="false">IF(INDEX(MASTER_DATABASE!$A$4:$A$1000,ROW()-3)="","",INDEX(MASTER_DATABASE!$AL$4:$AL$1000,ROW()-3)&amp;"")</f>
        <v>Common Service Centre (CSC)</v>
      </c>
      <c r="H154" s="7" t="str">
        <f aca="false">IF(INDEX(MASTER_DATABASE!$A$4:$A$1000,ROW()-3)="","",INDEX(MASTER_DATABASE!$AM$4:$AM$1000,ROW()-3)&amp;"")</f>
        <v>Registration Services</v>
      </c>
      <c r="I154" s="7" t="str">
        <f aca="false">IF(INDEX(MASTER_DATABASE!$A$4:$A$1000,ROW()-3)="","",INDEX(MASTER_DATABASE!$AO$4:$AO$1000,ROW()-3)&amp;"")</f>
        <v>income-tax-return-itr-filing-assistance</v>
      </c>
      <c r="J154" s="7" t="str">
        <f aca="false">IF(INDEX(MASTER_DATABASE!$A$4:$A$1000,ROW()-3)="","",INDEX(MASTER_DATABASE!$BD$4:$BD$1000,ROW()-3)&amp;"")</f>
        <v>/services/income-tax-return-itr-filing-assistance</v>
      </c>
      <c r="K154" s="7" t="str">
        <f aca="false">IF(INDEX(MASTER_DATABASE!$A$4:$A$1000,ROW()-3)="","",INDEX(MASTER_DATABASE!$AX$4:$AX$1000,ROW()-3)&amp;"")</f>
        <v>Income Tax Return (ITR) Filing Assistance Service | Devmobile Stores</v>
      </c>
      <c r="L154" s="7" t="str">
        <f aca="false">IF(INDEX(MASTER_DATABASE!$A$4:$A$1000,ROW()-3)="","",INDEX(MASTER_DATABASE!$AY$4:$AY$1000,ROW()-3)&amp;"")</f>
        <v>Income Tax Return (ITR) Filing Assistance (आयकर रिटर्न (ITR) फाइलिंग सहायता) at Devmobile Stores and Common Service Center &amp; Aadhaar Centre. Check required documents, charges and process before you visit.</v>
      </c>
      <c r="M154" s="7" t="str">
        <f aca="false">IF(INDEX(MASTER_DATABASE!$A$4:$A$1000,ROW()-3)="","",INDEX(MASTER_DATABASE!$AN$4:$AN$1000,ROW()-3)&amp;"")</f>
        <v>Income Tax Return (ITR) Filing Assistance, Common Service Centre (CSC), Devmobile Stores, आयकर रिटर्न (ITR) फाइलिंग सहायता, कॉमन सर्विस सेंटर (CSC), सेवा</v>
      </c>
      <c r="N154" s="7" t="str">
        <f aca="false">IF(INDEX(MASTER_DATABASE!$A$4:$A$1000,ROW()-3)="","",INDEX(MASTER_DATABASE!$AZ$4:$AZ$1000,ROW()-3)&amp;"")</f>
        <v>आयकर रिटर्न (ITR) फाइलिंग सहायता, कॉमन सर्विस सेंटर (CSC), सेवा</v>
      </c>
      <c r="O154" s="7" t="str">
        <f aca="false">IF(INDEX(MASTER_DATABASE!$A$4:$A$1000,ROW()-3)="","",INDEX(MASTER_DATABASE!$BA$4:$BA$1000,ROW()-3)&amp;"")</f>
        <v>Income Tax Return (ITR) Filing Assistance, Common Service Centre (CSC), Devmobile Stores</v>
      </c>
      <c r="P154" s="11" t="str">
        <f aca="false">IF(INDEX(MASTER_DATABASE!$A$4:$A$1000,ROW()-3)="","",INDEX(MASTER_DATABASE!$AP$4:$AP$1000,ROW()-3)&amp;"")</f>
        <v>🖥️</v>
      </c>
      <c r="Q154" s="7" t="str">
        <f aca="false">IF(INDEX(MASTER_DATABASE!$A$4:$A$1000,ROW()-3)="","",INDEX(MASTER_DATABASE!$BB$4:$BB$1000,ROW()-3)&amp;"")</f>
        <v/>
      </c>
      <c r="R154" s="11" t="str">
        <f aca="false">IF(INDEX(MASTER_DATABASE!$A$4:$A$1000,ROW()-3)="","",INDEX(MASTER_DATABASE!$BC$4:$BC$1000,ROW()-3)&amp;"")</f>
        <v>🖥️</v>
      </c>
      <c r="S154" s="11" t="n">
        <f aca="false">IF(INDEX(MASTER_DATABASE!$A$4:$A$1000,ROW()-3)="","",INDEX(MASTER_DATABASE!$AQ$4:$AQ$1000,ROW()-3))</f>
        <v>460</v>
      </c>
      <c r="T154" s="7" t="str">
        <f aca="false">IF(INDEX(MASTER_DATABASE!$A$4:$A$1000,ROW()-3)="","",INDEX(MASTER_DATABASE!$I$4:$I$1000,ROW()-3)&amp;"")</f>
        <v>Portal Dependent</v>
      </c>
      <c r="U154" s="7" t="str">
        <f aca="false">IF(INDEX(MASTER_DATABASE!$A$4:$A$1000,ROW()-3)="","",INDEX(MASTER_DATABASE!$J$4:$J$1000,ROW()-3)&amp;"")</f>
        <v>Depends on Portal – Confirm at Shop</v>
      </c>
      <c r="V154" s="7" t="str">
        <f aca="false">IF(INDEX(MASTER_DATABASE!$A$4:$A$1000,ROW()-3)="","",INDEX(MASTER_DATABASE!$AG$4:$AG$1000,ROW()-3)&amp;"")</f>
        <v>To Verify</v>
      </c>
      <c r="W154" s="7" t="str">
        <f aca="false">IF(INDEX(MASTER_DATABASE!$A$4:$A$1000,ROW()-3)="","",INDEX(MASTER_DATABASE!$AH$4:$AH$1000,ROW()-3)&amp;"")</f>
        <v>No</v>
      </c>
      <c r="X154" s="7" t="str">
        <f aca="false">IF(INDEX(MASTER_DATABASE!$A$4:$A$1000,ROW()-3)="","",INDEX(MASTER_DATABASE!$AI$4:$AI$1000,ROW()-3)&amp;"")</f>
        <v>No</v>
      </c>
      <c r="Y154" s="7" t="str">
        <f aca="false">IF(INDEX(MASTER_DATABASE!$A$4:$A$1000,ROW()-3)="","",INDEX(MASTER_DATABASE!$AJ$4:$AJ$1000,ROW()-3)&amp;"")</f>
        <v>No</v>
      </c>
      <c r="Z154" s="7" t="str">
        <f aca="false">IF(INDEX(MASTER_DATABASE!$A$4:$A$1000,ROW()-3)="","",INDEX(MASTER_DATABASE!$AK$4:$AK$1000,ROW()-3)&amp;"")</f>
        <v>No</v>
      </c>
      <c r="AA154" s="7" t="str">
        <f aca="false">IF(INDEX(MASTER_DATABASE!$A$4:$A$1000,ROW()-3)="","",INDEX(MASTER_DATABASE!$BE$4:$BE$1000,ROW()-3)&amp;"")</f>
        <v>HIDDEN</v>
      </c>
    </row>
    <row r="155" customFormat="false" ht="46.25" hidden="false" customHeight="false" outlineLevel="0" collapsed="false">
      <c r="A155" s="11" t="str">
        <f aca="false">IF(INDEX(MASTER_DATABASE!$A$4:$A$1000,ROW()-3)="","",INDEX(MASTER_DATABASE!$A$4:$A$1000,ROW()-3)&amp;"")</f>
        <v>CSC-047</v>
      </c>
      <c r="B155" s="7" t="str">
        <f aca="false">IF(INDEX(MASTER_DATABASE!$A$4:$A$1000,ROW()-3)="","",INDEX(MASTER_DATABASE!$B$4:$B$1000,ROW()-3)&amp;"")</f>
        <v>Common Service Centre (CSC)</v>
      </c>
      <c r="C155" s="7" t="str">
        <f aca="false">IF(INDEX(MASTER_DATABASE!$A$4:$A$1000,ROW()-3)="","",INDEX(MASTER_DATABASE!$C$4:$C$1000,ROW()-3)&amp;"")</f>
        <v>Government &amp; Digital Services (CSC)</v>
      </c>
      <c r="D155" s="7" t="str">
        <f aca="false">IF(INDEX(MASTER_DATABASE!$A$4:$A$1000,ROW()-3)="","",INDEX(MASTER_DATABASE!$D$4:$D$1000,ROW()-3)&amp;"")</f>
        <v>Registration Services</v>
      </c>
      <c r="E155" s="7" t="str">
        <f aca="false">IF(INDEX(MASTER_DATABASE!$A$4:$A$1000,ROW()-3)="","",INDEX(MASTER_DATABASE!$E$4:$E$1000,ROW()-3)&amp;"")</f>
        <v>Shop &amp; Establishment Registration Assistance</v>
      </c>
      <c r="F155" s="7" t="str">
        <f aca="false">IF(INDEX(MASTER_DATABASE!$A$4:$A$1000,ROW()-3)="","",INDEX(MASTER_DATABASE!$F$4:$F$1000,ROW()-3)&amp;"")</f>
        <v>दुकान एवं प्रतिष्ठान पंजीकरण सहायता</v>
      </c>
      <c r="G155" s="7" t="str">
        <f aca="false">IF(INDEX(MASTER_DATABASE!$A$4:$A$1000,ROW()-3)="","",INDEX(MASTER_DATABASE!$AL$4:$AL$1000,ROW()-3)&amp;"")</f>
        <v>Common Service Centre (CSC)</v>
      </c>
      <c r="H155" s="7" t="str">
        <f aca="false">IF(INDEX(MASTER_DATABASE!$A$4:$A$1000,ROW()-3)="","",INDEX(MASTER_DATABASE!$AM$4:$AM$1000,ROW()-3)&amp;"")</f>
        <v>Registration Services</v>
      </c>
      <c r="I155" s="7" t="str">
        <f aca="false">IF(INDEX(MASTER_DATABASE!$A$4:$A$1000,ROW()-3)="","",INDEX(MASTER_DATABASE!$AO$4:$AO$1000,ROW()-3)&amp;"")</f>
        <v>shop-establishment-registration-assistance</v>
      </c>
      <c r="J155" s="7" t="str">
        <f aca="false">IF(INDEX(MASTER_DATABASE!$A$4:$A$1000,ROW()-3)="","",INDEX(MASTER_DATABASE!$BD$4:$BD$1000,ROW()-3)&amp;"")</f>
        <v>/services/shop-establishment-registration-assistance</v>
      </c>
      <c r="K155" s="7" t="str">
        <f aca="false">IF(INDEX(MASTER_DATABASE!$A$4:$A$1000,ROW()-3)="","",INDEX(MASTER_DATABASE!$AX$4:$AX$1000,ROW()-3)&amp;"")</f>
        <v>Shop &amp; Establishment Registration Assistance Service | Devmobile Stores</v>
      </c>
      <c r="L155" s="7" t="str">
        <f aca="false">IF(INDEX(MASTER_DATABASE!$A$4:$A$1000,ROW()-3)="","",INDEX(MASTER_DATABASE!$AY$4:$AY$1000,ROW()-3)&amp;"")</f>
        <v>Shop &amp; Establishment Registration Assistance (दुकान एवं प्रतिष्ठान पंजीकरण सहायता) at Devmobile Stores and Common Service Center &amp; Aadhaar Centre. Check required documents, charges and process before you visit.</v>
      </c>
      <c r="M155" s="7" t="str">
        <f aca="false">IF(INDEX(MASTER_DATABASE!$A$4:$A$1000,ROW()-3)="","",INDEX(MASTER_DATABASE!$AN$4:$AN$1000,ROW()-3)&amp;"")</f>
        <v>Shop &amp; Establishment Registration Assistance, Common Service Centre (CSC), Devmobile Stores, दुकान एवं प्रतिष्ठान पंजीकरण सहायता, कॉमन सर्विस सेंटर (CSC), सेवा</v>
      </c>
      <c r="N155" s="7" t="str">
        <f aca="false">IF(INDEX(MASTER_DATABASE!$A$4:$A$1000,ROW()-3)="","",INDEX(MASTER_DATABASE!$AZ$4:$AZ$1000,ROW()-3)&amp;"")</f>
        <v>दुकान एवं प्रतिष्ठान पंजीकरण सहायता, कॉमन सर्विस सेंटर (CSC), सेवा</v>
      </c>
      <c r="O155" s="7" t="str">
        <f aca="false">IF(INDEX(MASTER_DATABASE!$A$4:$A$1000,ROW()-3)="","",INDEX(MASTER_DATABASE!$BA$4:$BA$1000,ROW()-3)&amp;"")</f>
        <v>Shop &amp; Establishment Registration Assistance, Common Service Centre (CSC), Devmobile Stores</v>
      </c>
      <c r="P155" s="11" t="str">
        <f aca="false">IF(INDEX(MASTER_DATABASE!$A$4:$A$1000,ROW()-3)="","",INDEX(MASTER_DATABASE!$AP$4:$AP$1000,ROW()-3)&amp;"")</f>
        <v>🖥️</v>
      </c>
      <c r="Q155" s="7" t="str">
        <f aca="false">IF(INDEX(MASTER_DATABASE!$A$4:$A$1000,ROW()-3)="","",INDEX(MASTER_DATABASE!$BB$4:$BB$1000,ROW()-3)&amp;"")</f>
        <v/>
      </c>
      <c r="R155" s="11" t="str">
        <f aca="false">IF(INDEX(MASTER_DATABASE!$A$4:$A$1000,ROW()-3)="","",INDEX(MASTER_DATABASE!$BC$4:$BC$1000,ROW()-3)&amp;"")</f>
        <v>🖥️</v>
      </c>
      <c r="S155" s="11" t="n">
        <f aca="false">IF(INDEX(MASTER_DATABASE!$A$4:$A$1000,ROW()-3)="","",INDEX(MASTER_DATABASE!$AQ$4:$AQ$1000,ROW()-3))</f>
        <v>470</v>
      </c>
      <c r="T155" s="7" t="str">
        <f aca="false">IF(INDEX(MASTER_DATABASE!$A$4:$A$1000,ROW()-3)="","",INDEX(MASTER_DATABASE!$I$4:$I$1000,ROW()-3)&amp;"")</f>
        <v>To Verify</v>
      </c>
      <c r="U155" s="7" t="str">
        <f aca="false">IF(INDEX(MASTER_DATABASE!$A$4:$A$1000,ROW()-3)="","",INDEX(MASTER_DATABASE!$J$4:$J$1000,ROW()-3)&amp;"")</f>
        <v>To Be Confirmed</v>
      </c>
      <c r="V155" s="7" t="str">
        <f aca="false">IF(INDEX(MASTER_DATABASE!$A$4:$A$1000,ROW()-3)="","",INDEX(MASTER_DATABASE!$AG$4:$AG$1000,ROW()-3)&amp;"")</f>
        <v>To Verify</v>
      </c>
      <c r="W155" s="7" t="str">
        <f aca="false">IF(INDEX(MASTER_DATABASE!$A$4:$A$1000,ROW()-3)="","",INDEX(MASTER_DATABASE!$AH$4:$AH$1000,ROW()-3)&amp;"")</f>
        <v>No</v>
      </c>
      <c r="X155" s="7" t="str">
        <f aca="false">IF(INDEX(MASTER_DATABASE!$A$4:$A$1000,ROW()-3)="","",INDEX(MASTER_DATABASE!$AI$4:$AI$1000,ROW()-3)&amp;"")</f>
        <v>No</v>
      </c>
      <c r="Y155" s="7" t="str">
        <f aca="false">IF(INDEX(MASTER_DATABASE!$A$4:$A$1000,ROW()-3)="","",INDEX(MASTER_DATABASE!$AJ$4:$AJ$1000,ROW()-3)&amp;"")</f>
        <v>No</v>
      </c>
      <c r="Z155" s="7" t="str">
        <f aca="false">IF(INDEX(MASTER_DATABASE!$A$4:$A$1000,ROW()-3)="","",INDEX(MASTER_DATABASE!$AK$4:$AK$1000,ROW()-3)&amp;"")</f>
        <v>No</v>
      </c>
      <c r="AA155" s="7" t="str">
        <f aca="false">IF(INDEX(MASTER_DATABASE!$A$4:$A$1000,ROW()-3)="","",INDEX(MASTER_DATABASE!$BE$4:$BE$1000,ROW()-3)&amp;"")</f>
        <v>HIDDEN</v>
      </c>
    </row>
    <row r="156" customFormat="false" ht="57.45" hidden="false" customHeight="false" outlineLevel="0" collapsed="false">
      <c r="A156" s="11" t="str">
        <f aca="false">IF(INDEX(MASTER_DATABASE!$A$4:$A$1000,ROW()-3)="","",INDEX(MASTER_DATABASE!$A$4:$A$1000,ROW()-3)&amp;"")</f>
        <v>CSC-048</v>
      </c>
      <c r="B156" s="7" t="str">
        <f aca="false">IF(INDEX(MASTER_DATABASE!$A$4:$A$1000,ROW()-3)="","",INDEX(MASTER_DATABASE!$B$4:$B$1000,ROW()-3)&amp;"")</f>
        <v>Common Service Centre (CSC)</v>
      </c>
      <c r="C156" s="7" t="str">
        <f aca="false">IF(INDEX(MASTER_DATABASE!$A$4:$A$1000,ROW()-3)="","",INDEX(MASTER_DATABASE!$C$4:$C$1000,ROW()-3)&amp;"")</f>
        <v>Government &amp; Digital Services (CSC)</v>
      </c>
      <c r="D156" s="7" t="str">
        <f aca="false">IF(INDEX(MASTER_DATABASE!$A$4:$A$1000,ROW()-3)="","",INDEX(MASTER_DATABASE!$D$4:$D$1000,ROW()-3)&amp;"")</f>
        <v>Registration Services</v>
      </c>
      <c r="E156" s="7" t="str">
        <f aca="false">IF(INDEX(MASTER_DATABASE!$A$4:$A$1000,ROW()-3)="","",INDEX(MASTER_DATABASE!$E$4:$E$1000,ROW()-3)&amp;"")</f>
        <v>Labour (Construction Worker) Registration Assistance</v>
      </c>
      <c r="F156" s="7" t="str">
        <f aca="false">IF(INDEX(MASTER_DATABASE!$A$4:$A$1000,ROW()-3)="","",INDEX(MASTER_DATABASE!$F$4:$F$1000,ROW()-3)&amp;"")</f>
        <v>श्रमिक (निर्माण मजदूर) पंजीकरण सहायता</v>
      </c>
      <c r="G156" s="7" t="str">
        <f aca="false">IF(INDEX(MASTER_DATABASE!$A$4:$A$1000,ROW()-3)="","",INDEX(MASTER_DATABASE!$AL$4:$AL$1000,ROW()-3)&amp;"")</f>
        <v>Common Service Centre (CSC)</v>
      </c>
      <c r="H156" s="7" t="str">
        <f aca="false">IF(INDEX(MASTER_DATABASE!$A$4:$A$1000,ROW()-3)="","",INDEX(MASTER_DATABASE!$AM$4:$AM$1000,ROW()-3)&amp;"")</f>
        <v>Registration Services</v>
      </c>
      <c r="I156" s="7" t="str">
        <f aca="false">IF(INDEX(MASTER_DATABASE!$A$4:$A$1000,ROW()-3)="","",INDEX(MASTER_DATABASE!$AO$4:$AO$1000,ROW()-3)&amp;"")</f>
        <v>labour-construction-worker-registration-assistance</v>
      </c>
      <c r="J156" s="7" t="str">
        <f aca="false">IF(INDEX(MASTER_DATABASE!$A$4:$A$1000,ROW()-3)="","",INDEX(MASTER_DATABASE!$BD$4:$BD$1000,ROW()-3)&amp;"")</f>
        <v>/services/labour-construction-worker-registration-assistance</v>
      </c>
      <c r="K156" s="7" t="str">
        <f aca="false">IF(INDEX(MASTER_DATABASE!$A$4:$A$1000,ROW()-3)="","",INDEX(MASTER_DATABASE!$AX$4:$AX$1000,ROW()-3)&amp;"")</f>
        <v>Labour (Construction Worker) Registration Assistance Service | Devmobile Stores</v>
      </c>
      <c r="L156" s="7" t="str">
        <f aca="false">IF(INDEX(MASTER_DATABASE!$A$4:$A$1000,ROW()-3)="","",INDEX(MASTER_DATABASE!$AY$4:$AY$1000,ROW()-3)&amp;"")</f>
        <v>Labour (Construction Worker) Registration Assistance (श्रमिक (निर्माण मजदूर) पंजीकरण सहायता) at Devmobile Stores and Common Service Center &amp; Aadhaar Centre. Check required documents, charges and process before you visit.</v>
      </c>
      <c r="M156" s="7" t="str">
        <f aca="false">IF(INDEX(MASTER_DATABASE!$A$4:$A$1000,ROW()-3)="","",INDEX(MASTER_DATABASE!$AN$4:$AN$1000,ROW()-3)&amp;"")</f>
        <v>Labour (Construction Worker) Registration Assistance, Common Service Centre (CSC), Devmobile Stores, श्रमिक (निर्माण मजदूर) पंजीकरण सहायता, कॉमन सर्विस सेंटर (CSC), सेवा</v>
      </c>
      <c r="N156" s="7" t="str">
        <f aca="false">IF(INDEX(MASTER_DATABASE!$A$4:$A$1000,ROW()-3)="","",INDEX(MASTER_DATABASE!$AZ$4:$AZ$1000,ROW()-3)&amp;"")</f>
        <v>श्रमिक (निर्माण मजदूर) पंजीकरण सहायता, कॉमन सर्विस सेंटर (CSC), सेवा</v>
      </c>
      <c r="O156" s="7" t="str">
        <f aca="false">IF(INDEX(MASTER_DATABASE!$A$4:$A$1000,ROW()-3)="","",INDEX(MASTER_DATABASE!$BA$4:$BA$1000,ROW()-3)&amp;"")</f>
        <v>Labour (Construction Worker) Registration Assistance, Common Service Centre (CSC), Devmobile Stores</v>
      </c>
      <c r="P156" s="11" t="str">
        <f aca="false">IF(INDEX(MASTER_DATABASE!$A$4:$A$1000,ROW()-3)="","",INDEX(MASTER_DATABASE!$AP$4:$AP$1000,ROW()-3)&amp;"")</f>
        <v>🖥️</v>
      </c>
      <c r="Q156" s="7" t="str">
        <f aca="false">IF(INDEX(MASTER_DATABASE!$A$4:$A$1000,ROW()-3)="","",INDEX(MASTER_DATABASE!$BB$4:$BB$1000,ROW()-3)&amp;"")</f>
        <v/>
      </c>
      <c r="R156" s="11" t="str">
        <f aca="false">IF(INDEX(MASTER_DATABASE!$A$4:$A$1000,ROW()-3)="","",INDEX(MASTER_DATABASE!$BC$4:$BC$1000,ROW()-3)&amp;"")</f>
        <v>🖥️</v>
      </c>
      <c r="S156" s="11" t="n">
        <f aca="false">IF(INDEX(MASTER_DATABASE!$A$4:$A$1000,ROW()-3)="","",INDEX(MASTER_DATABASE!$AQ$4:$AQ$1000,ROW()-3))</f>
        <v>480</v>
      </c>
      <c r="T156" s="7" t="str">
        <f aca="false">IF(INDEX(MASTER_DATABASE!$A$4:$A$1000,ROW()-3)="","",INDEX(MASTER_DATABASE!$I$4:$I$1000,ROW()-3)&amp;"")</f>
        <v>To Verify</v>
      </c>
      <c r="U156" s="7" t="str">
        <f aca="false">IF(INDEX(MASTER_DATABASE!$A$4:$A$1000,ROW()-3)="","",INDEX(MASTER_DATABASE!$J$4:$J$1000,ROW()-3)&amp;"")</f>
        <v>To Be Confirmed</v>
      </c>
      <c r="V156" s="7" t="str">
        <f aca="false">IF(INDEX(MASTER_DATABASE!$A$4:$A$1000,ROW()-3)="","",INDEX(MASTER_DATABASE!$AG$4:$AG$1000,ROW()-3)&amp;"")</f>
        <v>To Verify</v>
      </c>
      <c r="W156" s="7" t="str">
        <f aca="false">IF(INDEX(MASTER_DATABASE!$A$4:$A$1000,ROW()-3)="","",INDEX(MASTER_DATABASE!$AH$4:$AH$1000,ROW()-3)&amp;"")</f>
        <v>No</v>
      </c>
      <c r="X156" s="7" t="str">
        <f aca="false">IF(INDEX(MASTER_DATABASE!$A$4:$A$1000,ROW()-3)="","",INDEX(MASTER_DATABASE!$AI$4:$AI$1000,ROW()-3)&amp;"")</f>
        <v>No</v>
      </c>
      <c r="Y156" s="7" t="str">
        <f aca="false">IF(INDEX(MASTER_DATABASE!$A$4:$A$1000,ROW()-3)="","",INDEX(MASTER_DATABASE!$AJ$4:$AJ$1000,ROW()-3)&amp;"")</f>
        <v>No</v>
      </c>
      <c r="Z156" s="7" t="str">
        <f aca="false">IF(INDEX(MASTER_DATABASE!$A$4:$A$1000,ROW()-3)="","",INDEX(MASTER_DATABASE!$AK$4:$AK$1000,ROW()-3)&amp;"")</f>
        <v>No</v>
      </c>
      <c r="AA156" s="7" t="str">
        <f aca="false">IF(INDEX(MASTER_DATABASE!$A$4:$A$1000,ROW()-3)="","",INDEX(MASTER_DATABASE!$BE$4:$BE$1000,ROW()-3)&amp;"")</f>
        <v>HIDDEN</v>
      </c>
    </row>
    <row r="157" customFormat="false" ht="57.45" hidden="false" customHeight="false" outlineLevel="0" collapsed="false">
      <c r="A157" s="11" t="str">
        <f aca="false">IF(INDEX(MASTER_DATABASE!$A$4:$A$1000,ROW()-3)="","",INDEX(MASTER_DATABASE!$A$4:$A$1000,ROW()-3)&amp;"")</f>
        <v>CSC-049</v>
      </c>
      <c r="B157" s="7" t="str">
        <f aca="false">IF(INDEX(MASTER_DATABASE!$A$4:$A$1000,ROW()-3)="","",INDEX(MASTER_DATABASE!$B$4:$B$1000,ROW()-3)&amp;"")</f>
        <v>Common Service Centre (CSC)</v>
      </c>
      <c r="C157" s="7" t="str">
        <f aca="false">IF(INDEX(MASTER_DATABASE!$A$4:$A$1000,ROW()-3)="","",INDEX(MASTER_DATABASE!$C$4:$C$1000,ROW()-3)&amp;"")</f>
        <v>Government &amp; Digital Services (CSC)</v>
      </c>
      <c r="D157" s="7" t="str">
        <f aca="false">IF(INDEX(MASTER_DATABASE!$A$4:$A$1000,ROW()-3)="","",INDEX(MASTER_DATABASE!$D$4:$D$1000,ROW()-3)&amp;"")</f>
        <v>Document Services</v>
      </c>
      <c r="E157" s="7" t="str">
        <f aca="false">IF(INDEX(MASTER_DATABASE!$A$4:$A$1000,ROW()-3)="","",INDEX(MASTER_DATABASE!$E$4:$E$1000,ROW()-3)&amp;"")</f>
        <v>Academic Bank of Credits (ABC) / APAAR ID Assistance</v>
      </c>
      <c r="F157" s="7" t="str">
        <f aca="false">IF(INDEX(MASTER_DATABASE!$A$4:$A$1000,ROW()-3)="","",INDEX(MASTER_DATABASE!$F$4:$F$1000,ROW()-3)&amp;"")</f>
        <v>ABC / APAAR आईडी सहायता</v>
      </c>
      <c r="G157" s="7" t="str">
        <f aca="false">IF(INDEX(MASTER_DATABASE!$A$4:$A$1000,ROW()-3)="","",INDEX(MASTER_DATABASE!$AL$4:$AL$1000,ROW()-3)&amp;"")</f>
        <v>Common Service Centre (CSC)</v>
      </c>
      <c r="H157" s="7" t="str">
        <f aca="false">IF(INDEX(MASTER_DATABASE!$A$4:$A$1000,ROW()-3)="","",INDEX(MASTER_DATABASE!$AM$4:$AM$1000,ROW()-3)&amp;"")</f>
        <v>Document Services</v>
      </c>
      <c r="I157" s="7" t="str">
        <f aca="false">IF(INDEX(MASTER_DATABASE!$A$4:$A$1000,ROW()-3)="","",INDEX(MASTER_DATABASE!$AO$4:$AO$1000,ROW()-3)&amp;"")</f>
        <v>academic-bank-of-credits-abc-apaar-id-assistance</v>
      </c>
      <c r="J157" s="7" t="str">
        <f aca="false">IF(INDEX(MASTER_DATABASE!$A$4:$A$1000,ROW()-3)="","",INDEX(MASTER_DATABASE!$BD$4:$BD$1000,ROW()-3)&amp;"")</f>
        <v>/services/academic-bank-of-credits-abc-apaar-id-assistance</v>
      </c>
      <c r="K157" s="7" t="str">
        <f aca="false">IF(INDEX(MASTER_DATABASE!$A$4:$A$1000,ROW()-3)="","",INDEX(MASTER_DATABASE!$AX$4:$AX$1000,ROW()-3)&amp;"")</f>
        <v>Academic Bank of Credits (ABC) / APAAR ID Assistance Service | Devmobile Stores</v>
      </c>
      <c r="L157" s="7" t="str">
        <f aca="false">IF(INDEX(MASTER_DATABASE!$A$4:$A$1000,ROW()-3)="","",INDEX(MASTER_DATABASE!$AY$4:$AY$1000,ROW()-3)&amp;"")</f>
        <v>Academic Bank of Credits (ABC) / APAAR ID Assistance (ABC / APAAR आईडी सहायता) at Devmobile Stores and Common Service Center &amp; Aadhaar Centre. Check required documents, charges and process before you visit.</v>
      </c>
      <c r="M157" s="7" t="str">
        <f aca="false">IF(INDEX(MASTER_DATABASE!$A$4:$A$1000,ROW()-3)="","",INDEX(MASTER_DATABASE!$AN$4:$AN$1000,ROW()-3)&amp;"")</f>
        <v>Academic Bank of Credits (ABC) / APAAR ID Assistance, Common Service Centre (CSC), Devmobile Stores, ABC / APAAR आईडी सहायता, कॉमन सर्विस सेंटर (CSC), सेवा</v>
      </c>
      <c r="N157" s="7" t="str">
        <f aca="false">IF(INDEX(MASTER_DATABASE!$A$4:$A$1000,ROW()-3)="","",INDEX(MASTER_DATABASE!$AZ$4:$AZ$1000,ROW()-3)&amp;"")</f>
        <v>ABC / APAAR आईडी सहायता, कॉमन सर्विस सेंटर (CSC), सेवा</v>
      </c>
      <c r="O157" s="7" t="str">
        <f aca="false">IF(INDEX(MASTER_DATABASE!$A$4:$A$1000,ROW()-3)="","",INDEX(MASTER_DATABASE!$BA$4:$BA$1000,ROW()-3)&amp;"")</f>
        <v>Academic Bank of Credits (ABC) / APAAR ID Assistance, Common Service Centre (CSC), Devmobile Stores</v>
      </c>
      <c r="P157" s="11" t="str">
        <f aca="false">IF(INDEX(MASTER_DATABASE!$A$4:$A$1000,ROW()-3)="","",INDEX(MASTER_DATABASE!$AP$4:$AP$1000,ROW()-3)&amp;"")</f>
        <v>🖥️</v>
      </c>
      <c r="Q157" s="7" t="str">
        <f aca="false">IF(INDEX(MASTER_DATABASE!$A$4:$A$1000,ROW()-3)="","",INDEX(MASTER_DATABASE!$BB$4:$BB$1000,ROW()-3)&amp;"")</f>
        <v/>
      </c>
      <c r="R157" s="11" t="str">
        <f aca="false">IF(INDEX(MASTER_DATABASE!$A$4:$A$1000,ROW()-3)="","",INDEX(MASTER_DATABASE!$BC$4:$BC$1000,ROW()-3)&amp;"")</f>
        <v>🖥️</v>
      </c>
      <c r="S157" s="11" t="n">
        <f aca="false">IF(INDEX(MASTER_DATABASE!$A$4:$A$1000,ROW()-3)="","",INDEX(MASTER_DATABASE!$AQ$4:$AQ$1000,ROW()-3))</f>
        <v>490</v>
      </c>
      <c r="T157" s="7" t="str">
        <f aca="false">IF(INDEX(MASTER_DATABASE!$A$4:$A$1000,ROW()-3)="","",INDEX(MASTER_DATABASE!$I$4:$I$1000,ROW()-3)&amp;"")</f>
        <v>To Verify</v>
      </c>
      <c r="U157" s="7" t="str">
        <f aca="false">IF(INDEX(MASTER_DATABASE!$A$4:$A$1000,ROW()-3)="","",INDEX(MASTER_DATABASE!$J$4:$J$1000,ROW()-3)&amp;"")</f>
        <v>To Be Confirmed</v>
      </c>
      <c r="V157" s="7" t="str">
        <f aca="false">IF(INDEX(MASTER_DATABASE!$A$4:$A$1000,ROW()-3)="","",INDEX(MASTER_DATABASE!$AG$4:$AG$1000,ROW()-3)&amp;"")</f>
        <v>To Verify</v>
      </c>
      <c r="W157" s="7" t="str">
        <f aca="false">IF(INDEX(MASTER_DATABASE!$A$4:$A$1000,ROW()-3)="","",INDEX(MASTER_DATABASE!$AH$4:$AH$1000,ROW()-3)&amp;"")</f>
        <v>No</v>
      </c>
      <c r="X157" s="7" t="str">
        <f aca="false">IF(INDEX(MASTER_DATABASE!$A$4:$A$1000,ROW()-3)="","",INDEX(MASTER_DATABASE!$AI$4:$AI$1000,ROW()-3)&amp;"")</f>
        <v>No</v>
      </c>
      <c r="Y157" s="7" t="str">
        <f aca="false">IF(INDEX(MASTER_DATABASE!$A$4:$A$1000,ROW()-3)="","",INDEX(MASTER_DATABASE!$AJ$4:$AJ$1000,ROW()-3)&amp;"")</f>
        <v>No</v>
      </c>
      <c r="Z157" s="7" t="str">
        <f aca="false">IF(INDEX(MASTER_DATABASE!$A$4:$A$1000,ROW()-3)="","",INDEX(MASTER_DATABASE!$AK$4:$AK$1000,ROW()-3)&amp;"")</f>
        <v>No</v>
      </c>
      <c r="AA157" s="7" t="str">
        <f aca="false">IF(INDEX(MASTER_DATABASE!$A$4:$A$1000,ROW()-3)="","",INDEX(MASTER_DATABASE!$BE$4:$BE$1000,ROW()-3)&amp;"")</f>
        <v>HIDDEN</v>
      </c>
    </row>
    <row r="158" customFormat="false" ht="57.45" hidden="false" customHeight="false" outlineLevel="0" collapsed="false">
      <c r="A158" s="11" t="str">
        <f aca="false">IF(INDEX(MASTER_DATABASE!$A$4:$A$1000,ROW()-3)="","",INDEX(MASTER_DATABASE!$A$4:$A$1000,ROW()-3)&amp;"")</f>
        <v>CSC-050</v>
      </c>
      <c r="B158" s="7" t="str">
        <f aca="false">IF(INDEX(MASTER_DATABASE!$A$4:$A$1000,ROW()-3)="","",INDEX(MASTER_DATABASE!$B$4:$B$1000,ROW()-3)&amp;"")</f>
        <v>Common Service Centre (CSC)</v>
      </c>
      <c r="C158" s="7" t="str">
        <f aca="false">IF(INDEX(MASTER_DATABASE!$A$4:$A$1000,ROW()-3)="","",INDEX(MASTER_DATABASE!$C$4:$C$1000,ROW()-3)&amp;"")</f>
        <v>Government &amp; Digital Services (CSC)</v>
      </c>
      <c r="D158" s="7" t="str">
        <f aca="false">IF(INDEX(MASTER_DATABASE!$A$4:$A$1000,ROW()-3)="","",INDEX(MASTER_DATABASE!$D$4:$D$1000,ROW()-3)&amp;"")</f>
        <v>Document Services</v>
      </c>
      <c r="E158" s="7" t="str">
        <f aca="false">IF(INDEX(MASTER_DATABASE!$A$4:$A$1000,ROW()-3)="","",INDEX(MASTER_DATABASE!$E$4:$E$1000,ROW()-3)&amp;"")</f>
        <v>Document Attestation / Apostille Assistance</v>
      </c>
      <c r="F158" s="7" t="str">
        <f aca="false">IF(INDEX(MASTER_DATABASE!$A$4:$A$1000,ROW()-3)="","",INDEX(MASTER_DATABASE!$F$4:$F$1000,ROW()-3)&amp;"")</f>
        <v>दस्तावेज़ सत्यापन / अपोस्टिल सहायता</v>
      </c>
      <c r="G158" s="7" t="str">
        <f aca="false">IF(INDEX(MASTER_DATABASE!$A$4:$A$1000,ROW()-3)="","",INDEX(MASTER_DATABASE!$AL$4:$AL$1000,ROW()-3)&amp;"")</f>
        <v>Common Service Centre (CSC)</v>
      </c>
      <c r="H158" s="7" t="str">
        <f aca="false">IF(INDEX(MASTER_DATABASE!$A$4:$A$1000,ROW()-3)="","",INDEX(MASTER_DATABASE!$AM$4:$AM$1000,ROW()-3)&amp;"")</f>
        <v>Document Services</v>
      </c>
      <c r="I158" s="7" t="str">
        <f aca="false">IF(INDEX(MASTER_DATABASE!$A$4:$A$1000,ROW()-3)="","",INDEX(MASTER_DATABASE!$AO$4:$AO$1000,ROW()-3)&amp;"")</f>
        <v>document-attestation-apostille-assistance</v>
      </c>
      <c r="J158" s="7" t="str">
        <f aca="false">IF(INDEX(MASTER_DATABASE!$A$4:$A$1000,ROW()-3)="","",INDEX(MASTER_DATABASE!$BD$4:$BD$1000,ROW()-3)&amp;"")</f>
        <v>/services/document-attestation-apostille-assistance</v>
      </c>
      <c r="K158" s="7" t="str">
        <f aca="false">IF(INDEX(MASTER_DATABASE!$A$4:$A$1000,ROW()-3)="","",INDEX(MASTER_DATABASE!$AX$4:$AX$1000,ROW()-3)&amp;"")</f>
        <v>Document Attestation / Apostille Assistance Service | Devmobile Stores</v>
      </c>
      <c r="L158" s="7" t="str">
        <f aca="false">IF(INDEX(MASTER_DATABASE!$A$4:$A$1000,ROW()-3)="","",INDEX(MASTER_DATABASE!$AY$4:$AY$1000,ROW()-3)&amp;"")</f>
        <v>Document Attestation / Apostille Assistance (दस्तावेज़ सत्यापन / अपोस्टिल सहायता) at Devmobile Stores and Common Service Center &amp; Aadhaar Centre. Check required documents, charges and process before you visit.</v>
      </c>
      <c r="M158" s="7" t="str">
        <f aca="false">IF(INDEX(MASTER_DATABASE!$A$4:$A$1000,ROW()-3)="","",INDEX(MASTER_DATABASE!$AN$4:$AN$1000,ROW()-3)&amp;"")</f>
        <v>Document Attestation / Apostille Assistance, Common Service Centre (CSC), Devmobile Stores, दस्तावेज़ सत्यापन / अपोस्टिल सहायता, कॉमन सर्विस सेंटर (CSC), सेवा</v>
      </c>
      <c r="N158" s="7" t="str">
        <f aca="false">IF(INDEX(MASTER_DATABASE!$A$4:$A$1000,ROW()-3)="","",INDEX(MASTER_DATABASE!$AZ$4:$AZ$1000,ROW()-3)&amp;"")</f>
        <v>दस्तावेज़ सत्यापन / अपोस्टिल सहायता, कॉमन सर्विस सेंटर (CSC), सेवा</v>
      </c>
      <c r="O158" s="7" t="str">
        <f aca="false">IF(INDEX(MASTER_DATABASE!$A$4:$A$1000,ROW()-3)="","",INDEX(MASTER_DATABASE!$BA$4:$BA$1000,ROW()-3)&amp;"")</f>
        <v>Document Attestation / Apostille Assistance, Common Service Centre (CSC), Devmobile Stores</v>
      </c>
      <c r="P158" s="11" t="str">
        <f aca="false">IF(INDEX(MASTER_DATABASE!$A$4:$A$1000,ROW()-3)="","",INDEX(MASTER_DATABASE!$AP$4:$AP$1000,ROW()-3)&amp;"")</f>
        <v>🖥️</v>
      </c>
      <c r="Q158" s="7" t="str">
        <f aca="false">IF(INDEX(MASTER_DATABASE!$A$4:$A$1000,ROW()-3)="","",INDEX(MASTER_DATABASE!$BB$4:$BB$1000,ROW()-3)&amp;"")</f>
        <v/>
      </c>
      <c r="R158" s="11" t="str">
        <f aca="false">IF(INDEX(MASTER_DATABASE!$A$4:$A$1000,ROW()-3)="","",INDEX(MASTER_DATABASE!$BC$4:$BC$1000,ROW()-3)&amp;"")</f>
        <v>🖥️</v>
      </c>
      <c r="S158" s="11" t="n">
        <f aca="false">IF(INDEX(MASTER_DATABASE!$A$4:$A$1000,ROW()-3)="","",INDEX(MASTER_DATABASE!$AQ$4:$AQ$1000,ROW()-3))</f>
        <v>500</v>
      </c>
      <c r="T158" s="7" t="str">
        <f aca="false">IF(INDEX(MASTER_DATABASE!$A$4:$A$1000,ROW()-3)="","",INDEX(MASTER_DATABASE!$I$4:$I$1000,ROW()-3)&amp;"")</f>
        <v>To Verify</v>
      </c>
      <c r="U158" s="7" t="str">
        <f aca="false">IF(INDEX(MASTER_DATABASE!$A$4:$A$1000,ROW()-3)="","",INDEX(MASTER_DATABASE!$J$4:$J$1000,ROW()-3)&amp;"")</f>
        <v>To Be Confirmed</v>
      </c>
      <c r="V158" s="7" t="str">
        <f aca="false">IF(INDEX(MASTER_DATABASE!$A$4:$A$1000,ROW()-3)="","",INDEX(MASTER_DATABASE!$AG$4:$AG$1000,ROW()-3)&amp;"")</f>
        <v>To Verify</v>
      </c>
      <c r="W158" s="7" t="str">
        <f aca="false">IF(INDEX(MASTER_DATABASE!$A$4:$A$1000,ROW()-3)="","",INDEX(MASTER_DATABASE!$AH$4:$AH$1000,ROW()-3)&amp;"")</f>
        <v>No</v>
      </c>
      <c r="X158" s="7" t="str">
        <f aca="false">IF(INDEX(MASTER_DATABASE!$A$4:$A$1000,ROW()-3)="","",INDEX(MASTER_DATABASE!$AI$4:$AI$1000,ROW()-3)&amp;"")</f>
        <v>No</v>
      </c>
      <c r="Y158" s="7" t="str">
        <f aca="false">IF(INDEX(MASTER_DATABASE!$A$4:$A$1000,ROW()-3)="","",INDEX(MASTER_DATABASE!$AJ$4:$AJ$1000,ROW()-3)&amp;"")</f>
        <v>No</v>
      </c>
      <c r="Z158" s="7" t="str">
        <f aca="false">IF(INDEX(MASTER_DATABASE!$A$4:$A$1000,ROW()-3)="","",INDEX(MASTER_DATABASE!$AK$4:$AK$1000,ROW()-3)&amp;"")</f>
        <v>No</v>
      </c>
      <c r="AA158" s="7" t="str">
        <f aca="false">IF(INDEX(MASTER_DATABASE!$A$4:$A$1000,ROW()-3)="","",INDEX(MASTER_DATABASE!$BE$4:$BE$1000,ROW()-3)&amp;"")</f>
        <v>HIDDEN</v>
      </c>
    </row>
    <row r="159" customFormat="false" ht="46.25" hidden="false" customHeight="false" outlineLevel="0" collapsed="false">
      <c r="A159" s="11" t="str">
        <f aca="false">IF(INDEX(MASTER_DATABASE!$A$4:$A$1000,ROW()-3)="","",INDEX(MASTER_DATABASE!$A$4:$A$1000,ROW()-3)&amp;"")</f>
        <v>MOB-001</v>
      </c>
      <c r="B159" s="7" t="str">
        <f aca="false">IF(INDEX(MASTER_DATABASE!$A$4:$A$1000,ROW()-3)="","",INDEX(MASTER_DATABASE!$B$4:$B$1000,ROW()-3)&amp;"")</f>
        <v>Mobile Store</v>
      </c>
      <c r="C159" s="7" t="str">
        <f aca="false">IF(INDEX(MASTER_DATABASE!$A$4:$A$1000,ROW()-3)="","",INDEX(MASTER_DATABASE!$C$4:$C$1000,ROW()-3)&amp;"")</f>
        <v>Mobile Retail &amp; Services</v>
      </c>
      <c r="D159" s="7" t="str">
        <f aca="false">IF(INDEX(MASTER_DATABASE!$A$4:$A$1000,ROW()-3)="","",INDEX(MASTER_DATABASE!$D$4:$D$1000,ROW()-3)&amp;"")</f>
        <v>Mobile Sales</v>
      </c>
      <c r="E159" s="7" t="str">
        <f aca="false">IF(INDEX(MASTER_DATABASE!$A$4:$A$1000,ROW()-3)="","",INDEX(MASTER_DATABASE!$E$4:$E$1000,ROW()-3)&amp;"")</f>
        <v>New Mobile Phone Sales (Smartphone)</v>
      </c>
      <c r="F159" s="7" t="str">
        <f aca="false">IF(INDEX(MASTER_DATABASE!$A$4:$A$1000,ROW()-3)="","",INDEX(MASTER_DATABASE!$F$4:$F$1000,ROW()-3)&amp;"")</f>
        <v>नया मोबाइल फोन बिक्री (स्मार्टफोन)</v>
      </c>
      <c r="G159" s="7" t="str">
        <f aca="false">IF(INDEX(MASTER_DATABASE!$A$4:$A$1000,ROW()-3)="","",INDEX(MASTER_DATABASE!$AL$4:$AL$1000,ROW()-3)&amp;"")</f>
        <v>Mobile Store</v>
      </c>
      <c r="H159" s="7" t="str">
        <f aca="false">IF(INDEX(MASTER_DATABASE!$A$4:$A$1000,ROW()-3)="","",INDEX(MASTER_DATABASE!$AM$4:$AM$1000,ROW()-3)&amp;"")</f>
        <v>Mobile Sales</v>
      </c>
      <c r="I159" s="7" t="str">
        <f aca="false">IF(INDEX(MASTER_DATABASE!$A$4:$A$1000,ROW()-3)="","",INDEX(MASTER_DATABASE!$AO$4:$AO$1000,ROW()-3)&amp;"")</f>
        <v>new-mobile-phone-sales-smartphone</v>
      </c>
      <c r="J159" s="7" t="str">
        <f aca="false">IF(INDEX(MASTER_DATABASE!$A$4:$A$1000,ROW()-3)="","",INDEX(MASTER_DATABASE!$BD$4:$BD$1000,ROW()-3)&amp;"")</f>
        <v>/services/new-mobile-phone-sales-smartphone</v>
      </c>
      <c r="K159" s="7" t="str">
        <f aca="false">IF(INDEX(MASTER_DATABASE!$A$4:$A$1000,ROW()-3)="","",INDEX(MASTER_DATABASE!$AX$4:$AX$1000,ROW()-3)&amp;"")</f>
        <v>New Mobile Phone Sales (Smartphone) | Devmobile Stores</v>
      </c>
      <c r="L159" s="7" t="str">
        <f aca="false">IF(INDEX(MASTER_DATABASE!$A$4:$A$1000,ROW()-3)="","",INDEX(MASTER_DATABASE!$AY$4:$AY$1000,ROW()-3)&amp;"")</f>
        <v>New Mobile Phone Sales (Smartphone) (नया मोबाइल फोन बिक्री (स्मार्टफोन)) at Devmobile Stores and Common Service Center &amp; Aadhaar Centre. Check required documents, charges and process before you visit.</v>
      </c>
      <c r="M159" s="7" t="str">
        <f aca="false">IF(INDEX(MASTER_DATABASE!$A$4:$A$1000,ROW()-3)="","",INDEX(MASTER_DATABASE!$AN$4:$AN$1000,ROW()-3)&amp;"")</f>
        <v>New Mobile Phone Sales (Smartphone), Mobile Store, Devmobile Stores, नया मोबाइल फोन बिक्री (स्मार्टफोन), मोबाइल स्टोर, सेवा</v>
      </c>
      <c r="N159" s="7" t="str">
        <f aca="false">IF(INDEX(MASTER_DATABASE!$A$4:$A$1000,ROW()-3)="","",INDEX(MASTER_DATABASE!$AZ$4:$AZ$1000,ROW()-3)&amp;"")</f>
        <v>नया मोबाइल फोन बिक्री (स्मार्टफोन), मोबाइल स्टोर, सेवा</v>
      </c>
      <c r="O159" s="7" t="str">
        <f aca="false">IF(INDEX(MASTER_DATABASE!$A$4:$A$1000,ROW()-3)="","",INDEX(MASTER_DATABASE!$BA$4:$BA$1000,ROW()-3)&amp;"")</f>
        <v>New Mobile Phone Sales (Smartphone), Mobile Store, Devmobile Stores</v>
      </c>
      <c r="P159" s="11" t="str">
        <f aca="false">IF(INDEX(MASTER_DATABASE!$A$4:$A$1000,ROW()-3)="","",INDEX(MASTER_DATABASE!$AP$4:$AP$1000,ROW()-3)&amp;"")</f>
        <v>📱</v>
      </c>
      <c r="Q159" s="7" t="str">
        <f aca="false">IF(INDEX(MASTER_DATABASE!$A$4:$A$1000,ROW()-3)="","",INDEX(MASTER_DATABASE!$BB$4:$BB$1000,ROW()-3)&amp;"")</f>
        <v/>
      </c>
      <c r="R159" s="11" t="str">
        <f aca="false">IF(INDEX(MASTER_DATABASE!$A$4:$A$1000,ROW()-3)="","",INDEX(MASTER_DATABASE!$BC$4:$BC$1000,ROW()-3)&amp;"")</f>
        <v>📱</v>
      </c>
      <c r="S159" s="11" t="n">
        <f aca="false">IF(INDEX(MASTER_DATABASE!$A$4:$A$1000,ROW()-3)="","",INDEX(MASTER_DATABASE!$AQ$4:$AQ$1000,ROW()-3))</f>
        <v>10</v>
      </c>
      <c r="T159" s="7" t="str">
        <f aca="false">IF(INDEX(MASTER_DATABASE!$A$4:$A$1000,ROW()-3)="","",INDEX(MASTER_DATABASE!$I$4:$I$1000,ROW()-3)&amp;"")</f>
        <v>Available</v>
      </c>
      <c r="U159" s="7" t="str">
        <f aca="false">IF(INDEX(MASTER_DATABASE!$A$4:$A$1000,ROW()-3)="","",INDEX(MASTER_DATABASE!$J$4:$J$1000,ROW()-3)&amp;"")</f>
        <v>Available</v>
      </c>
      <c r="V159" s="7" t="str">
        <f aca="false">IF(INDEX(MASTER_DATABASE!$A$4:$A$1000,ROW()-3)="","",INDEX(MASTER_DATABASE!$AG$4:$AG$1000,ROW()-3)&amp;"")</f>
        <v>Active</v>
      </c>
      <c r="W159" s="7" t="str">
        <f aca="false">IF(INDEX(MASTER_DATABASE!$A$4:$A$1000,ROW()-3)="","",INDEX(MASTER_DATABASE!$AH$4:$AH$1000,ROW()-3)&amp;"")</f>
        <v>Yes</v>
      </c>
      <c r="X159" s="7" t="str">
        <f aca="false">IF(INDEX(MASTER_DATABASE!$A$4:$A$1000,ROW()-3)="","",INDEX(MASTER_DATABASE!$AI$4:$AI$1000,ROW()-3)&amp;"")</f>
        <v>No</v>
      </c>
      <c r="Y159" s="7" t="str">
        <f aca="false">IF(INDEX(MASTER_DATABASE!$A$4:$A$1000,ROW()-3)="","",INDEX(MASTER_DATABASE!$AJ$4:$AJ$1000,ROW()-3)&amp;"")</f>
        <v>No</v>
      </c>
      <c r="Z159" s="7" t="str">
        <f aca="false">IF(INDEX(MASTER_DATABASE!$A$4:$A$1000,ROW()-3)="","",INDEX(MASTER_DATABASE!$AK$4:$AK$1000,ROW()-3)&amp;"")</f>
        <v>No</v>
      </c>
      <c r="AA159" s="7" t="str">
        <f aca="false">IF(INDEX(MASTER_DATABASE!$A$4:$A$1000,ROW()-3)="","",INDEX(MASTER_DATABASE!$BE$4:$BE$1000,ROW()-3)&amp;"")</f>
        <v>LIVE</v>
      </c>
    </row>
    <row r="160" customFormat="false" ht="46.25" hidden="false" customHeight="false" outlineLevel="0" collapsed="false">
      <c r="A160" s="11" t="str">
        <f aca="false">IF(INDEX(MASTER_DATABASE!$A$4:$A$1000,ROW()-3)="","",INDEX(MASTER_DATABASE!$A$4:$A$1000,ROW()-3)&amp;"")</f>
        <v>MOB-002</v>
      </c>
      <c r="B160" s="7" t="str">
        <f aca="false">IF(INDEX(MASTER_DATABASE!$A$4:$A$1000,ROW()-3)="","",INDEX(MASTER_DATABASE!$B$4:$B$1000,ROW()-3)&amp;"")</f>
        <v>Mobile Store</v>
      </c>
      <c r="C160" s="7" t="str">
        <f aca="false">IF(INDEX(MASTER_DATABASE!$A$4:$A$1000,ROW()-3)="","",INDEX(MASTER_DATABASE!$C$4:$C$1000,ROW()-3)&amp;"")</f>
        <v>Mobile Retail &amp; Services</v>
      </c>
      <c r="D160" s="7" t="str">
        <f aca="false">IF(INDEX(MASTER_DATABASE!$A$4:$A$1000,ROW()-3)="","",INDEX(MASTER_DATABASE!$D$4:$D$1000,ROW()-3)&amp;"")</f>
        <v>Mobile Sales</v>
      </c>
      <c r="E160" s="7" t="str">
        <f aca="false">IF(INDEX(MASTER_DATABASE!$A$4:$A$1000,ROW()-3)="","",INDEX(MASTER_DATABASE!$E$4:$E$1000,ROW()-3)&amp;"")</f>
        <v>Keypad / Feature Phone Sales</v>
      </c>
      <c r="F160" s="7" t="str">
        <f aca="false">IF(INDEX(MASTER_DATABASE!$A$4:$A$1000,ROW()-3)="","",INDEX(MASTER_DATABASE!$F$4:$F$1000,ROW()-3)&amp;"")</f>
        <v>कीपैड / फीचर फोन बिक्री</v>
      </c>
      <c r="G160" s="7" t="str">
        <f aca="false">IF(INDEX(MASTER_DATABASE!$A$4:$A$1000,ROW()-3)="","",INDEX(MASTER_DATABASE!$AL$4:$AL$1000,ROW()-3)&amp;"")</f>
        <v>Mobile Store</v>
      </c>
      <c r="H160" s="7" t="str">
        <f aca="false">IF(INDEX(MASTER_DATABASE!$A$4:$A$1000,ROW()-3)="","",INDEX(MASTER_DATABASE!$AM$4:$AM$1000,ROW()-3)&amp;"")</f>
        <v>Mobile Sales</v>
      </c>
      <c r="I160" s="7" t="str">
        <f aca="false">IF(INDEX(MASTER_DATABASE!$A$4:$A$1000,ROW()-3)="","",INDEX(MASTER_DATABASE!$AO$4:$AO$1000,ROW()-3)&amp;"")</f>
        <v>keypad-feature-phone-sales</v>
      </c>
      <c r="J160" s="7" t="str">
        <f aca="false">IF(INDEX(MASTER_DATABASE!$A$4:$A$1000,ROW()-3)="","",INDEX(MASTER_DATABASE!$BD$4:$BD$1000,ROW()-3)&amp;"")</f>
        <v>/services/keypad-feature-phone-sales</v>
      </c>
      <c r="K160" s="7" t="str">
        <f aca="false">IF(INDEX(MASTER_DATABASE!$A$4:$A$1000,ROW()-3)="","",INDEX(MASTER_DATABASE!$AX$4:$AX$1000,ROW()-3)&amp;"")</f>
        <v>Keypad / Feature Phone Sales | Devmobile Stores</v>
      </c>
      <c r="L160" s="7" t="str">
        <f aca="false">IF(INDEX(MASTER_DATABASE!$A$4:$A$1000,ROW()-3)="","",INDEX(MASTER_DATABASE!$AY$4:$AY$1000,ROW()-3)&amp;"")</f>
        <v>Keypad / Feature Phone Sales (कीपैड / फीचर फोन बिक्री) at Devmobile Stores and Common Service Center &amp; Aadhaar Centre. Check required documents, charges and process before you visit.</v>
      </c>
      <c r="M160" s="7" t="str">
        <f aca="false">IF(INDEX(MASTER_DATABASE!$A$4:$A$1000,ROW()-3)="","",INDEX(MASTER_DATABASE!$AN$4:$AN$1000,ROW()-3)&amp;"")</f>
        <v>Keypad / Feature Phone Sales, Mobile Store, Devmobile Stores, कीपैड / फीचर फोन बिक्री, मोबाइल स्टोर, सेवा</v>
      </c>
      <c r="N160" s="7" t="str">
        <f aca="false">IF(INDEX(MASTER_DATABASE!$A$4:$A$1000,ROW()-3)="","",INDEX(MASTER_DATABASE!$AZ$4:$AZ$1000,ROW()-3)&amp;"")</f>
        <v>कीपैड / फीचर फोन बिक्री, मोबाइल स्टोर, सेवा</v>
      </c>
      <c r="O160" s="7" t="str">
        <f aca="false">IF(INDEX(MASTER_DATABASE!$A$4:$A$1000,ROW()-3)="","",INDEX(MASTER_DATABASE!$BA$4:$BA$1000,ROW()-3)&amp;"")</f>
        <v>Keypad / Feature Phone Sales, Mobile Store, Devmobile Stores</v>
      </c>
      <c r="P160" s="11" t="str">
        <f aca="false">IF(INDEX(MASTER_DATABASE!$A$4:$A$1000,ROW()-3)="","",INDEX(MASTER_DATABASE!$AP$4:$AP$1000,ROW()-3)&amp;"")</f>
        <v>📱</v>
      </c>
      <c r="Q160" s="7" t="str">
        <f aca="false">IF(INDEX(MASTER_DATABASE!$A$4:$A$1000,ROW()-3)="","",INDEX(MASTER_DATABASE!$BB$4:$BB$1000,ROW()-3)&amp;"")</f>
        <v/>
      </c>
      <c r="R160" s="11" t="str">
        <f aca="false">IF(INDEX(MASTER_DATABASE!$A$4:$A$1000,ROW()-3)="","",INDEX(MASTER_DATABASE!$BC$4:$BC$1000,ROW()-3)&amp;"")</f>
        <v>📱</v>
      </c>
      <c r="S160" s="11" t="n">
        <f aca="false">IF(INDEX(MASTER_DATABASE!$A$4:$A$1000,ROW()-3)="","",INDEX(MASTER_DATABASE!$AQ$4:$AQ$1000,ROW()-3))</f>
        <v>20</v>
      </c>
      <c r="T160" s="7" t="str">
        <f aca="false">IF(INDEX(MASTER_DATABASE!$A$4:$A$1000,ROW()-3)="","",INDEX(MASTER_DATABASE!$I$4:$I$1000,ROW()-3)&amp;"")</f>
        <v>To Verify</v>
      </c>
      <c r="U160" s="7" t="str">
        <f aca="false">IF(INDEX(MASTER_DATABASE!$A$4:$A$1000,ROW()-3)="","",INDEX(MASTER_DATABASE!$J$4:$J$1000,ROW()-3)&amp;"")</f>
        <v>To Be Confirmed</v>
      </c>
      <c r="V160" s="7" t="str">
        <f aca="false">IF(INDEX(MASTER_DATABASE!$A$4:$A$1000,ROW()-3)="","",INDEX(MASTER_DATABASE!$AG$4:$AG$1000,ROW()-3)&amp;"")</f>
        <v>To Verify</v>
      </c>
      <c r="W160" s="7" t="str">
        <f aca="false">IF(INDEX(MASTER_DATABASE!$A$4:$A$1000,ROW()-3)="","",INDEX(MASTER_DATABASE!$AH$4:$AH$1000,ROW()-3)&amp;"")</f>
        <v>No</v>
      </c>
      <c r="X160" s="7" t="str">
        <f aca="false">IF(INDEX(MASTER_DATABASE!$A$4:$A$1000,ROW()-3)="","",INDEX(MASTER_DATABASE!$AI$4:$AI$1000,ROW()-3)&amp;"")</f>
        <v>No</v>
      </c>
      <c r="Y160" s="7" t="str">
        <f aca="false">IF(INDEX(MASTER_DATABASE!$A$4:$A$1000,ROW()-3)="","",INDEX(MASTER_DATABASE!$AJ$4:$AJ$1000,ROW()-3)&amp;"")</f>
        <v>No</v>
      </c>
      <c r="Z160" s="7" t="str">
        <f aca="false">IF(INDEX(MASTER_DATABASE!$A$4:$A$1000,ROW()-3)="","",INDEX(MASTER_DATABASE!$AK$4:$AK$1000,ROW()-3)&amp;"")</f>
        <v>No</v>
      </c>
      <c r="AA160" s="7" t="str">
        <f aca="false">IF(INDEX(MASTER_DATABASE!$A$4:$A$1000,ROW()-3)="","",INDEX(MASTER_DATABASE!$BE$4:$BE$1000,ROW()-3)&amp;"")</f>
        <v>HIDDEN</v>
      </c>
    </row>
    <row r="161" customFormat="false" ht="46.25" hidden="false" customHeight="false" outlineLevel="0" collapsed="false">
      <c r="A161" s="11" t="str">
        <f aca="false">IF(INDEX(MASTER_DATABASE!$A$4:$A$1000,ROW()-3)="","",INDEX(MASTER_DATABASE!$A$4:$A$1000,ROW()-3)&amp;"")</f>
        <v>MOB-003</v>
      </c>
      <c r="B161" s="7" t="str">
        <f aca="false">IF(INDEX(MASTER_DATABASE!$A$4:$A$1000,ROW()-3)="","",INDEX(MASTER_DATABASE!$B$4:$B$1000,ROW()-3)&amp;"")</f>
        <v>Mobile Store</v>
      </c>
      <c r="C161" s="7" t="str">
        <f aca="false">IF(INDEX(MASTER_DATABASE!$A$4:$A$1000,ROW()-3)="","",INDEX(MASTER_DATABASE!$C$4:$C$1000,ROW()-3)&amp;"")</f>
        <v>Mobile Retail &amp; Services</v>
      </c>
      <c r="D161" s="7" t="str">
        <f aca="false">IF(INDEX(MASTER_DATABASE!$A$4:$A$1000,ROW()-3)="","",INDEX(MASTER_DATABASE!$D$4:$D$1000,ROW()-3)&amp;"")</f>
        <v>Charging &amp; Cables</v>
      </c>
      <c r="E161" s="7" t="str">
        <f aca="false">IF(INDEX(MASTER_DATABASE!$A$4:$A$1000,ROW()-3)="","",INDEX(MASTER_DATABASE!$E$4:$E$1000,ROW()-3)&amp;"")</f>
        <v>Mobile Charger</v>
      </c>
      <c r="F161" s="7" t="str">
        <f aca="false">IF(INDEX(MASTER_DATABASE!$A$4:$A$1000,ROW()-3)="","",INDEX(MASTER_DATABASE!$F$4:$F$1000,ROW()-3)&amp;"")</f>
        <v>मोबाइल चार्जर</v>
      </c>
      <c r="G161" s="7" t="str">
        <f aca="false">IF(INDEX(MASTER_DATABASE!$A$4:$A$1000,ROW()-3)="","",INDEX(MASTER_DATABASE!$AL$4:$AL$1000,ROW()-3)&amp;"")</f>
        <v>Mobile Store</v>
      </c>
      <c r="H161" s="7" t="str">
        <f aca="false">IF(INDEX(MASTER_DATABASE!$A$4:$A$1000,ROW()-3)="","",INDEX(MASTER_DATABASE!$AM$4:$AM$1000,ROW()-3)&amp;"")</f>
        <v>Charging &amp; Cables</v>
      </c>
      <c r="I161" s="7" t="str">
        <f aca="false">IF(INDEX(MASTER_DATABASE!$A$4:$A$1000,ROW()-3)="","",INDEX(MASTER_DATABASE!$AO$4:$AO$1000,ROW()-3)&amp;"")</f>
        <v>mobile-charger</v>
      </c>
      <c r="J161" s="7" t="str">
        <f aca="false">IF(INDEX(MASTER_DATABASE!$A$4:$A$1000,ROW()-3)="","",INDEX(MASTER_DATABASE!$BD$4:$BD$1000,ROW()-3)&amp;"")</f>
        <v>/services/mobile-charger</v>
      </c>
      <c r="K161" s="7" t="str">
        <f aca="false">IF(INDEX(MASTER_DATABASE!$A$4:$A$1000,ROW()-3)="","",INDEX(MASTER_DATABASE!$AX$4:$AX$1000,ROW()-3)&amp;"")</f>
        <v>Mobile Charger | Devmobile Stores</v>
      </c>
      <c r="L161" s="7" t="str">
        <f aca="false">IF(INDEX(MASTER_DATABASE!$A$4:$A$1000,ROW()-3)="","",INDEX(MASTER_DATABASE!$AY$4:$AY$1000,ROW()-3)&amp;"")</f>
        <v>Mobile Charger (मोबाइल चार्जर) at Devmobile Stores and Common Service Center &amp; Aadhaar Centre. Check required documents, charges and process before you visit.</v>
      </c>
      <c r="M161" s="7" t="str">
        <f aca="false">IF(INDEX(MASTER_DATABASE!$A$4:$A$1000,ROW()-3)="","",INDEX(MASTER_DATABASE!$AN$4:$AN$1000,ROW()-3)&amp;"")</f>
        <v>Mobile Charger, Mobile Store, Devmobile Stores, मोबाइल चार्जर, मोबाइल स्टोर, सेवा</v>
      </c>
      <c r="N161" s="7" t="str">
        <f aca="false">IF(INDEX(MASTER_DATABASE!$A$4:$A$1000,ROW()-3)="","",INDEX(MASTER_DATABASE!$AZ$4:$AZ$1000,ROW()-3)&amp;"")</f>
        <v>मोबाइल चार्जर, मोबाइल स्टोर, सेवा</v>
      </c>
      <c r="O161" s="7" t="str">
        <f aca="false">IF(INDEX(MASTER_DATABASE!$A$4:$A$1000,ROW()-3)="","",INDEX(MASTER_DATABASE!$BA$4:$BA$1000,ROW()-3)&amp;"")</f>
        <v>Mobile Charger, Mobile Store, Devmobile Stores</v>
      </c>
      <c r="P161" s="11" t="str">
        <f aca="false">IF(INDEX(MASTER_DATABASE!$A$4:$A$1000,ROW()-3)="","",INDEX(MASTER_DATABASE!$AP$4:$AP$1000,ROW()-3)&amp;"")</f>
        <v>🔌</v>
      </c>
      <c r="Q161" s="7" t="str">
        <f aca="false">IF(INDEX(MASTER_DATABASE!$A$4:$A$1000,ROW()-3)="","",INDEX(MASTER_DATABASE!$BB$4:$BB$1000,ROW()-3)&amp;"")</f>
        <v/>
      </c>
      <c r="R161" s="11" t="str">
        <f aca="false">IF(INDEX(MASTER_DATABASE!$A$4:$A$1000,ROW()-3)="","",INDEX(MASTER_DATABASE!$BC$4:$BC$1000,ROW()-3)&amp;"")</f>
        <v>📱</v>
      </c>
      <c r="S161" s="11" t="n">
        <f aca="false">IF(INDEX(MASTER_DATABASE!$A$4:$A$1000,ROW()-3)="","",INDEX(MASTER_DATABASE!$AQ$4:$AQ$1000,ROW()-3))</f>
        <v>30</v>
      </c>
      <c r="T161" s="7" t="str">
        <f aca="false">IF(INDEX(MASTER_DATABASE!$A$4:$A$1000,ROW()-3)="","",INDEX(MASTER_DATABASE!$I$4:$I$1000,ROW()-3)&amp;"")</f>
        <v>Available</v>
      </c>
      <c r="U161" s="7" t="str">
        <f aca="false">IF(INDEX(MASTER_DATABASE!$A$4:$A$1000,ROW()-3)="","",INDEX(MASTER_DATABASE!$J$4:$J$1000,ROW()-3)&amp;"")</f>
        <v>Available</v>
      </c>
      <c r="V161" s="7" t="str">
        <f aca="false">IF(INDEX(MASTER_DATABASE!$A$4:$A$1000,ROW()-3)="","",INDEX(MASTER_DATABASE!$AG$4:$AG$1000,ROW()-3)&amp;"")</f>
        <v>Active</v>
      </c>
      <c r="W161" s="7" t="str">
        <f aca="false">IF(INDEX(MASTER_DATABASE!$A$4:$A$1000,ROW()-3)="","",INDEX(MASTER_DATABASE!$AH$4:$AH$1000,ROW()-3)&amp;"")</f>
        <v>Yes</v>
      </c>
      <c r="X161" s="7" t="str">
        <f aca="false">IF(INDEX(MASTER_DATABASE!$A$4:$A$1000,ROW()-3)="","",INDEX(MASTER_DATABASE!$AI$4:$AI$1000,ROW()-3)&amp;"")</f>
        <v>No</v>
      </c>
      <c r="Y161" s="7" t="str">
        <f aca="false">IF(INDEX(MASTER_DATABASE!$A$4:$A$1000,ROW()-3)="","",INDEX(MASTER_DATABASE!$AJ$4:$AJ$1000,ROW()-3)&amp;"")</f>
        <v>No</v>
      </c>
      <c r="Z161" s="7" t="str">
        <f aca="false">IF(INDEX(MASTER_DATABASE!$A$4:$A$1000,ROW()-3)="","",INDEX(MASTER_DATABASE!$AK$4:$AK$1000,ROW()-3)&amp;"")</f>
        <v>No</v>
      </c>
      <c r="AA161" s="7" t="str">
        <f aca="false">IF(INDEX(MASTER_DATABASE!$A$4:$A$1000,ROW()-3)="","",INDEX(MASTER_DATABASE!$BE$4:$BE$1000,ROW()-3)&amp;"")</f>
        <v>LIVE</v>
      </c>
    </row>
    <row r="162" customFormat="false" ht="35.05" hidden="false" customHeight="false" outlineLevel="0" collapsed="false">
      <c r="A162" s="11" t="str">
        <f aca="false">IF(INDEX(MASTER_DATABASE!$A$4:$A$1000,ROW()-3)="","",INDEX(MASTER_DATABASE!$A$4:$A$1000,ROW()-3)&amp;"")</f>
        <v>MOB-004</v>
      </c>
      <c r="B162" s="7" t="str">
        <f aca="false">IF(INDEX(MASTER_DATABASE!$A$4:$A$1000,ROW()-3)="","",INDEX(MASTER_DATABASE!$B$4:$B$1000,ROW()-3)&amp;"")</f>
        <v>Mobile Store</v>
      </c>
      <c r="C162" s="7" t="str">
        <f aca="false">IF(INDEX(MASTER_DATABASE!$A$4:$A$1000,ROW()-3)="","",INDEX(MASTER_DATABASE!$C$4:$C$1000,ROW()-3)&amp;"")</f>
        <v>Mobile Retail &amp; Services</v>
      </c>
      <c r="D162" s="7" t="str">
        <f aca="false">IF(INDEX(MASTER_DATABASE!$A$4:$A$1000,ROW()-3)="","",INDEX(MASTER_DATABASE!$D$4:$D$1000,ROW()-3)&amp;"")</f>
        <v>Charging &amp; Cables</v>
      </c>
      <c r="E162" s="7" t="str">
        <f aca="false">IF(INDEX(MASTER_DATABASE!$A$4:$A$1000,ROW()-3)="","",INDEX(MASTER_DATABASE!$E$4:$E$1000,ROW()-3)&amp;"")</f>
        <v>Data Cable</v>
      </c>
      <c r="F162" s="7" t="str">
        <f aca="false">IF(INDEX(MASTER_DATABASE!$A$4:$A$1000,ROW()-3)="","",INDEX(MASTER_DATABASE!$F$4:$F$1000,ROW()-3)&amp;"")</f>
        <v>डेटा केबल</v>
      </c>
      <c r="G162" s="7" t="str">
        <f aca="false">IF(INDEX(MASTER_DATABASE!$A$4:$A$1000,ROW()-3)="","",INDEX(MASTER_DATABASE!$AL$4:$AL$1000,ROW()-3)&amp;"")</f>
        <v>Mobile Store</v>
      </c>
      <c r="H162" s="7" t="str">
        <f aca="false">IF(INDEX(MASTER_DATABASE!$A$4:$A$1000,ROW()-3)="","",INDEX(MASTER_DATABASE!$AM$4:$AM$1000,ROW()-3)&amp;"")</f>
        <v>Charging &amp; Cables</v>
      </c>
      <c r="I162" s="7" t="str">
        <f aca="false">IF(INDEX(MASTER_DATABASE!$A$4:$A$1000,ROW()-3)="","",INDEX(MASTER_DATABASE!$AO$4:$AO$1000,ROW()-3)&amp;"")</f>
        <v>data-cable</v>
      </c>
      <c r="J162" s="7" t="str">
        <f aca="false">IF(INDEX(MASTER_DATABASE!$A$4:$A$1000,ROW()-3)="","",INDEX(MASTER_DATABASE!$BD$4:$BD$1000,ROW()-3)&amp;"")</f>
        <v>/services/data-cable</v>
      </c>
      <c r="K162" s="7" t="str">
        <f aca="false">IF(INDEX(MASTER_DATABASE!$A$4:$A$1000,ROW()-3)="","",INDEX(MASTER_DATABASE!$AX$4:$AX$1000,ROW()-3)&amp;"")</f>
        <v>Data Cable | Devmobile Stores</v>
      </c>
      <c r="L162" s="7" t="str">
        <f aca="false">IF(INDEX(MASTER_DATABASE!$A$4:$A$1000,ROW()-3)="","",INDEX(MASTER_DATABASE!$AY$4:$AY$1000,ROW()-3)&amp;"")</f>
        <v>Data Cable (डेटा केबल) at Devmobile Stores and Common Service Center &amp; Aadhaar Centre. Check required documents, charges and process before you visit.</v>
      </c>
      <c r="M162" s="7" t="str">
        <f aca="false">IF(INDEX(MASTER_DATABASE!$A$4:$A$1000,ROW()-3)="","",INDEX(MASTER_DATABASE!$AN$4:$AN$1000,ROW()-3)&amp;"")</f>
        <v>Data Cable, Mobile Store, Devmobile Stores, डेटा केबल, मोबाइल स्टोर, सेवा</v>
      </c>
      <c r="N162" s="7" t="str">
        <f aca="false">IF(INDEX(MASTER_DATABASE!$A$4:$A$1000,ROW()-3)="","",INDEX(MASTER_DATABASE!$AZ$4:$AZ$1000,ROW()-3)&amp;"")</f>
        <v>डेटा केबल, मोबाइल स्टोर, सेवा</v>
      </c>
      <c r="O162" s="7" t="str">
        <f aca="false">IF(INDEX(MASTER_DATABASE!$A$4:$A$1000,ROW()-3)="","",INDEX(MASTER_DATABASE!$BA$4:$BA$1000,ROW()-3)&amp;"")</f>
        <v>Data Cable, Mobile Store, Devmobile Stores</v>
      </c>
      <c r="P162" s="11" t="str">
        <f aca="false">IF(INDEX(MASTER_DATABASE!$A$4:$A$1000,ROW()-3)="","",INDEX(MASTER_DATABASE!$AP$4:$AP$1000,ROW()-3)&amp;"")</f>
        <v>🔌</v>
      </c>
      <c r="Q162" s="7" t="str">
        <f aca="false">IF(INDEX(MASTER_DATABASE!$A$4:$A$1000,ROW()-3)="","",INDEX(MASTER_DATABASE!$BB$4:$BB$1000,ROW()-3)&amp;"")</f>
        <v/>
      </c>
      <c r="R162" s="11" t="str">
        <f aca="false">IF(INDEX(MASTER_DATABASE!$A$4:$A$1000,ROW()-3)="","",INDEX(MASTER_DATABASE!$BC$4:$BC$1000,ROW()-3)&amp;"")</f>
        <v>📱</v>
      </c>
      <c r="S162" s="11" t="n">
        <f aca="false">IF(INDEX(MASTER_DATABASE!$A$4:$A$1000,ROW()-3)="","",INDEX(MASTER_DATABASE!$AQ$4:$AQ$1000,ROW()-3))</f>
        <v>40</v>
      </c>
      <c r="T162" s="7" t="str">
        <f aca="false">IF(INDEX(MASTER_DATABASE!$A$4:$A$1000,ROW()-3)="","",INDEX(MASTER_DATABASE!$I$4:$I$1000,ROW()-3)&amp;"")</f>
        <v>Available</v>
      </c>
      <c r="U162" s="7" t="str">
        <f aca="false">IF(INDEX(MASTER_DATABASE!$A$4:$A$1000,ROW()-3)="","",INDEX(MASTER_DATABASE!$J$4:$J$1000,ROW()-3)&amp;"")</f>
        <v>Available</v>
      </c>
      <c r="V162" s="7" t="str">
        <f aca="false">IF(INDEX(MASTER_DATABASE!$A$4:$A$1000,ROW()-3)="","",INDEX(MASTER_DATABASE!$AG$4:$AG$1000,ROW()-3)&amp;"")</f>
        <v>Active</v>
      </c>
      <c r="W162" s="7" t="str">
        <f aca="false">IF(INDEX(MASTER_DATABASE!$A$4:$A$1000,ROW()-3)="","",INDEX(MASTER_DATABASE!$AH$4:$AH$1000,ROW()-3)&amp;"")</f>
        <v>Yes</v>
      </c>
      <c r="X162" s="7" t="str">
        <f aca="false">IF(INDEX(MASTER_DATABASE!$A$4:$A$1000,ROW()-3)="","",INDEX(MASTER_DATABASE!$AI$4:$AI$1000,ROW()-3)&amp;"")</f>
        <v>No</v>
      </c>
      <c r="Y162" s="7" t="str">
        <f aca="false">IF(INDEX(MASTER_DATABASE!$A$4:$A$1000,ROW()-3)="","",INDEX(MASTER_DATABASE!$AJ$4:$AJ$1000,ROW()-3)&amp;"")</f>
        <v>No</v>
      </c>
      <c r="Z162" s="7" t="str">
        <f aca="false">IF(INDEX(MASTER_DATABASE!$A$4:$A$1000,ROW()-3)="","",INDEX(MASTER_DATABASE!$AK$4:$AK$1000,ROW()-3)&amp;"")</f>
        <v>No</v>
      </c>
      <c r="AA162" s="7" t="str">
        <f aca="false">IF(INDEX(MASTER_DATABASE!$A$4:$A$1000,ROW()-3)="","",INDEX(MASTER_DATABASE!$BE$4:$BE$1000,ROW()-3)&amp;"")</f>
        <v>LIVE</v>
      </c>
    </row>
    <row r="163" customFormat="false" ht="35.05" hidden="false" customHeight="false" outlineLevel="0" collapsed="false">
      <c r="A163" s="11" t="str">
        <f aca="false">IF(INDEX(MASTER_DATABASE!$A$4:$A$1000,ROW()-3)="","",INDEX(MASTER_DATABASE!$A$4:$A$1000,ROW()-3)&amp;"")</f>
        <v>MOB-005</v>
      </c>
      <c r="B163" s="7" t="str">
        <f aca="false">IF(INDEX(MASTER_DATABASE!$A$4:$A$1000,ROW()-3)="","",INDEX(MASTER_DATABASE!$B$4:$B$1000,ROW()-3)&amp;"")</f>
        <v>Mobile Store</v>
      </c>
      <c r="C163" s="7" t="str">
        <f aca="false">IF(INDEX(MASTER_DATABASE!$A$4:$A$1000,ROW()-3)="","",INDEX(MASTER_DATABASE!$C$4:$C$1000,ROW()-3)&amp;"")</f>
        <v>Mobile Retail &amp; Services</v>
      </c>
      <c r="D163" s="7" t="str">
        <f aca="false">IF(INDEX(MASTER_DATABASE!$A$4:$A$1000,ROW()-3)="","",INDEX(MASTER_DATABASE!$D$4:$D$1000,ROW()-3)&amp;"")</f>
        <v>Charging &amp; Cables</v>
      </c>
      <c r="E163" s="7" t="str">
        <f aca="false">IF(INDEX(MASTER_DATABASE!$A$4:$A$1000,ROW()-3)="","",INDEX(MASTER_DATABASE!$E$4:$E$1000,ROW()-3)&amp;"")</f>
        <v>Power Bank</v>
      </c>
      <c r="F163" s="7" t="str">
        <f aca="false">IF(INDEX(MASTER_DATABASE!$A$4:$A$1000,ROW()-3)="","",INDEX(MASTER_DATABASE!$F$4:$F$1000,ROW()-3)&amp;"")</f>
        <v>पावर बैंक</v>
      </c>
      <c r="G163" s="7" t="str">
        <f aca="false">IF(INDEX(MASTER_DATABASE!$A$4:$A$1000,ROW()-3)="","",INDEX(MASTER_DATABASE!$AL$4:$AL$1000,ROW()-3)&amp;"")</f>
        <v>Mobile Store</v>
      </c>
      <c r="H163" s="7" t="str">
        <f aca="false">IF(INDEX(MASTER_DATABASE!$A$4:$A$1000,ROW()-3)="","",INDEX(MASTER_DATABASE!$AM$4:$AM$1000,ROW()-3)&amp;"")</f>
        <v>Charging &amp; Cables</v>
      </c>
      <c r="I163" s="7" t="str">
        <f aca="false">IF(INDEX(MASTER_DATABASE!$A$4:$A$1000,ROW()-3)="","",INDEX(MASTER_DATABASE!$AO$4:$AO$1000,ROW()-3)&amp;"")</f>
        <v>power-bank</v>
      </c>
      <c r="J163" s="7" t="str">
        <f aca="false">IF(INDEX(MASTER_DATABASE!$A$4:$A$1000,ROW()-3)="","",INDEX(MASTER_DATABASE!$BD$4:$BD$1000,ROW()-3)&amp;"")</f>
        <v>/services/power-bank</v>
      </c>
      <c r="K163" s="7" t="str">
        <f aca="false">IF(INDEX(MASTER_DATABASE!$A$4:$A$1000,ROW()-3)="","",INDEX(MASTER_DATABASE!$AX$4:$AX$1000,ROW()-3)&amp;"")</f>
        <v>Power Bank | Devmobile Stores</v>
      </c>
      <c r="L163" s="7" t="str">
        <f aca="false">IF(INDEX(MASTER_DATABASE!$A$4:$A$1000,ROW()-3)="","",INDEX(MASTER_DATABASE!$AY$4:$AY$1000,ROW()-3)&amp;"")</f>
        <v>Power Bank (पावर बैंक) at Devmobile Stores and Common Service Center &amp; Aadhaar Centre. Check required documents, charges and process before you visit.</v>
      </c>
      <c r="M163" s="7" t="str">
        <f aca="false">IF(INDEX(MASTER_DATABASE!$A$4:$A$1000,ROW()-3)="","",INDEX(MASTER_DATABASE!$AN$4:$AN$1000,ROW()-3)&amp;"")</f>
        <v>Power Bank, Mobile Store, Devmobile Stores, पावर बैंक, मोबाइल स्टोर, सेवा</v>
      </c>
      <c r="N163" s="7" t="str">
        <f aca="false">IF(INDEX(MASTER_DATABASE!$A$4:$A$1000,ROW()-3)="","",INDEX(MASTER_DATABASE!$AZ$4:$AZ$1000,ROW()-3)&amp;"")</f>
        <v>पावर बैंक, मोबाइल स्टोर, सेवा</v>
      </c>
      <c r="O163" s="7" t="str">
        <f aca="false">IF(INDEX(MASTER_DATABASE!$A$4:$A$1000,ROW()-3)="","",INDEX(MASTER_DATABASE!$BA$4:$BA$1000,ROW()-3)&amp;"")</f>
        <v>Power Bank, Mobile Store, Devmobile Stores</v>
      </c>
      <c r="P163" s="11" t="str">
        <f aca="false">IF(INDEX(MASTER_DATABASE!$A$4:$A$1000,ROW()-3)="","",INDEX(MASTER_DATABASE!$AP$4:$AP$1000,ROW()-3)&amp;"")</f>
        <v>🔌</v>
      </c>
      <c r="Q163" s="7" t="str">
        <f aca="false">IF(INDEX(MASTER_DATABASE!$A$4:$A$1000,ROW()-3)="","",INDEX(MASTER_DATABASE!$BB$4:$BB$1000,ROW()-3)&amp;"")</f>
        <v/>
      </c>
      <c r="R163" s="11" t="str">
        <f aca="false">IF(INDEX(MASTER_DATABASE!$A$4:$A$1000,ROW()-3)="","",INDEX(MASTER_DATABASE!$BC$4:$BC$1000,ROW()-3)&amp;"")</f>
        <v>📱</v>
      </c>
      <c r="S163" s="11" t="n">
        <f aca="false">IF(INDEX(MASTER_DATABASE!$A$4:$A$1000,ROW()-3)="","",INDEX(MASTER_DATABASE!$AQ$4:$AQ$1000,ROW()-3))</f>
        <v>50</v>
      </c>
      <c r="T163" s="7" t="str">
        <f aca="false">IF(INDEX(MASTER_DATABASE!$A$4:$A$1000,ROW()-3)="","",INDEX(MASTER_DATABASE!$I$4:$I$1000,ROW()-3)&amp;"")</f>
        <v>To Verify</v>
      </c>
      <c r="U163" s="7" t="str">
        <f aca="false">IF(INDEX(MASTER_DATABASE!$A$4:$A$1000,ROW()-3)="","",INDEX(MASTER_DATABASE!$J$4:$J$1000,ROW()-3)&amp;"")</f>
        <v>To Be Confirmed</v>
      </c>
      <c r="V163" s="7" t="str">
        <f aca="false">IF(INDEX(MASTER_DATABASE!$A$4:$A$1000,ROW()-3)="","",INDEX(MASTER_DATABASE!$AG$4:$AG$1000,ROW()-3)&amp;"")</f>
        <v>To Verify</v>
      </c>
      <c r="W163" s="7" t="str">
        <f aca="false">IF(INDEX(MASTER_DATABASE!$A$4:$A$1000,ROW()-3)="","",INDEX(MASTER_DATABASE!$AH$4:$AH$1000,ROW()-3)&amp;"")</f>
        <v>No</v>
      </c>
      <c r="X163" s="7" t="str">
        <f aca="false">IF(INDEX(MASTER_DATABASE!$A$4:$A$1000,ROW()-3)="","",INDEX(MASTER_DATABASE!$AI$4:$AI$1000,ROW()-3)&amp;"")</f>
        <v>No</v>
      </c>
      <c r="Y163" s="7" t="str">
        <f aca="false">IF(INDEX(MASTER_DATABASE!$A$4:$A$1000,ROW()-3)="","",INDEX(MASTER_DATABASE!$AJ$4:$AJ$1000,ROW()-3)&amp;"")</f>
        <v>No</v>
      </c>
      <c r="Z163" s="7" t="str">
        <f aca="false">IF(INDEX(MASTER_DATABASE!$A$4:$A$1000,ROW()-3)="","",INDEX(MASTER_DATABASE!$AK$4:$AK$1000,ROW()-3)&amp;"")</f>
        <v>No</v>
      </c>
      <c r="AA163" s="7" t="str">
        <f aca="false">IF(INDEX(MASTER_DATABASE!$A$4:$A$1000,ROW()-3)="","",INDEX(MASTER_DATABASE!$BE$4:$BE$1000,ROW()-3)&amp;"")</f>
        <v>HIDDEN</v>
      </c>
    </row>
    <row r="164" customFormat="false" ht="46.25" hidden="false" customHeight="false" outlineLevel="0" collapsed="false">
      <c r="A164" s="11" t="str">
        <f aca="false">IF(INDEX(MASTER_DATABASE!$A$4:$A$1000,ROW()-3)="","",INDEX(MASTER_DATABASE!$A$4:$A$1000,ROW()-3)&amp;"")</f>
        <v>MOB-006</v>
      </c>
      <c r="B164" s="7" t="str">
        <f aca="false">IF(INDEX(MASTER_DATABASE!$A$4:$A$1000,ROW()-3)="","",INDEX(MASTER_DATABASE!$B$4:$B$1000,ROW()-3)&amp;"")</f>
        <v>Mobile Store</v>
      </c>
      <c r="C164" s="7" t="str">
        <f aca="false">IF(INDEX(MASTER_DATABASE!$A$4:$A$1000,ROW()-3)="","",INDEX(MASTER_DATABASE!$C$4:$C$1000,ROW()-3)&amp;"")</f>
        <v>Mobile Retail &amp; Services</v>
      </c>
      <c r="D164" s="7" t="str">
        <f aca="false">IF(INDEX(MASTER_DATABASE!$A$4:$A$1000,ROW()-3)="","",INDEX(MASTER_DATABASE!$D$4:$D$1000,ROW()-3)&amp;"")</f>
        <v>Audio Accessories</v>
      </c>
      <c r="E164" s="7" t="str">
        <f aca="false">IF(INDEX(MASTER_DATABASE!$A$4:$A$1000,ROW()-3)="","",INDEX(MASTER_DATABASE!$E$4:$E$1000,ROW()-3)&amp;"")</f>
        <v>Earphone (Wired)</v>
      </c>
      <c r="F164" s="7" t="str">
        <f aca="false">IF(INDEX(MASTER_DATABASE!$A$4:$A$1000,ROW()-3)="","",INDEX(MASTER_DATABASE!$F$4:$F$1000,ROW()-3)&amp;"")</f>
        <v>ईयरफोन (वायर्ड)</v>
      </c>
      <c r="G164" s="7" t="str">
        <f aca="false">IF(INDEX(MASTER_DATABASE!$A$4:$A$1000,ROW()-3)="","",INDEX(MASTER_DATABASE!$AL$4:$AL$1000,ROW()-3)&amp;"")</f>
        <v>Mobile Store</v>
      </c>
      <c r="H164" s="7" t="str">
        <f aca="false">IF(INDEX(MASTER_DATABASE!$A$4:$A$1000,ROW()-3)="","",INDEX(MASTER_DATABASE!$AM$4:$AM$1000,ROW()-3)&amp;"")</f>
        <v>Audio Accessories</v>
      </c>
      <c r="I164" s="7" t="str">
        <f aca="false">IF(INDEX(MASTER_DATABASE!$A$4:$A$1000,ROW()-3)="","",INDEX(MASTER_DATABASE!$AO$4:$AO$1000,ROW()-3)&amp;"")</f>
        <v>earphone-wired</v>
      </c>
      <c r="J164" s="7" t="str">
        <f aca="false">IF(INDEX(MASTER_DATABASE!$A$4:$A$1000,ROW()-3)="","",INDEX(MASTER_DATABASE!$BD$4:$BD$1000,ROW()-3)&amp;"")</f>
        <v>/services/earphone-wired</v>
      </c>
      <c r="K164" s="7" t="str">
        <f aca="false">IF(INDEX(MASTER_DATABASE!$A$4:$A$1000,ROW()-3)="","",INDEX(MASTER_DATABASE!$AX$4:$AX$1000,ROW()-3)&amp;"")</f>
        <v>Earphone (Wired) | Devmobile Stores</v>
      </c>
      <c r="L164" s="7" t="str">
        <f aca="false">IF(INDEX(MASTER_DATABASE!$A$4:$A$1000,ROW()-3)="","",INDEX(MASTER_DATABASE!$AY$4:$AY$1000,ROW()-3)&amp;"")</f>
        <v>Earphone (Wired) (ईयरफोन (वायर्ड)) at Devmobile Stores and Common Service Center &amp; Aadhaar Centre. Check required documents, charges and process before you visit.</v>
      </c>
      <c r="M164" s="7" t="str">
        <f aca="false">IF(INDEX(MASTER_DATABASE!$A$4:$A$1000,ROW()-3)="","",INDEX(MASTER_DATABASE!$AN$4:$AN$1000,ROW()-3)&amp;"")</f>
        <v>Earphone (Wired), Mobile Store, Devmobile Stores, ईयरफोन (वायर्ड), मोबाइल स्टोर, सेवा</v>
      </c>
      <c r="N164" s="7" t="str">
        <f aca="false">IF(INDEX(MASTER_DATABASE!$A$4:$A$1000,ROW()-3)="","",INDEX(MASTER_DATABASE!$AZ$4:$AZ$1000,ROW()-3)&amp;"")</f>
        <v>ईयरफोन (वायर्ड), मोबाइल स्टोर, सेवा</v>
      </c>
      <c r="O164" s="7" t="str">
        <f aca="false">IF(INDEX(MASTER_DATABASE!$A$4:$A$1000,ROW()-3)="","",INDEX(MASTER_DATABASE!$BA$4:$BA$1000,ROW()-3)&amp;"")</f>
        <v>Earphone (Wired), Mobile Store, Devmobile Stores</v>
      </c>
      <c r="P164" s="11" t="str">
        <f aca="false">IF(INDEX(MASTER_DATABASE!$A$4:$A$1000,ROW()-3)="","",INDEX(MASTER_DATABASE!$AP$4:$AP$1000,ROW()-3)&amp;"")</f>
        <v>🎧</v>
      </c>
      <c r="Q164" s="7" t="str">
        <f aca="false">IF(INDEX(MASTER_DATABASE!$A$4:$A$1000,ROW()-3)="","",INDEX(MASTER_DATABASE!$BB$4:$BB$1000,ROW()-3)&amp;"")</f>
        <v/>
      </c>
      <c r="R164" s="11" t="str">
        <f aca="false">IF(INDEX(MASTER_DATABASE!$A$4:$A$1000,ROW()-3)="","",INDEX(MASTER_DATABASE!$BC$4:$BC$1000,ROW()-3)&amp;"")</f>
        <v>📱</v>
      </c>
      <c r="S164" s="11" t="n">
        <f aca="false">IF(INDEX(MASTER_DATABASE!$A$4:$A$1000,ROW()-3)="","",INDEX(MASTER_DATABASE!$AQ$4:$AQ$1000,ROW()-3))</f>
        <v>60</v>
      </c>
      <c r="T164" s="7" t="str">
        <f aca="false">IF(INDEX(MASTER_DATABASE!$A$4:$A$1000,ROW()-3)="","",INDEX(MASTER_DATABASE!$I$4:$I$1000,ROW()-3)&amp;"")</f>
        <v>Available</v>
      </c>
      <c r="U164" s="7" t="str">
        <f aca="false">IF(INDEX(MASTER_DATABASE!$A$4:$A$1000,ROW()-3)="","",INDEX(MASTER_DATABASE!$J$4:$J$1000,ROW()-3)&amp;"")</f>
        <v>Available</v>
      </c>
      <c r="V164" s="7" t="str">
        <f aca="false">IF(INDEX(MASTER_DATABASE!$A$4:$A$1000,ROW()-3)="","",INDEX(MASTER_DATABASE!$AG$4:$AG$1000,ROW()-3)&amp;"")</f>
        <v>Active</v>
      </c>
      <c r="W164" s="7" t="str">
        <f aca="false">IF(INDEX(MASTER_DATABASE!$A$4:$A$1000,ROW()-3)="","",INDEX(MASTER_DATABASE!$AH$4:$AH$1000,ROW()-3)&amp;"")</f>
        <v>Yes</v>
      </c>
      <c r="X164" s="7" t="str">
        <f aca="false">IF(INDEX(MASTER_DATABASE!$A$4:$A$1000,ROW()-3)="","",INDEX(MASTER_DATABASE!$AI$4:$AI$1000,ROW()-3)&amp;"")</f>
        <v>No</v>
      </c>
      <c r="Y164" s="7" t="str">
        <f aca="false">IF(INDEX(MASTER_DATABASE!$A$4:$A$1000,ROW()-3)="","",INDEX(MASTER_DATABASE!$AJ$4:$AJ$1000,ROW()-3)&amp;"")</f>
        <v>No</v>
      </c>
      <c r="Z164" s="7" t="str">
        <f aca="false">IF(INDEX(MASTER_DATABASE!$A$4:$A$1000,ROW()-3)="","",INDEX(MASTER_DATABASE!$AK$4:$AK$1000,ROW()-3)&amp;"")</f>
        <v>No</v>
      </c>
      <c r="AA164" s="7" t="str">
        <f aca="false">IF(INDEX(MASTER_DATABASE!$A$4:$A$1000,ROW()-3)="","",INDEX(MASTER_DATABASE!$BE$4:$BE$1000,ROW()-3)&amp;"")</f>
        <v>LIVE</v>
      </c>
    </row>
    <row r="165" customFormat="false" ht="46.25" hidden="false" customHeight="false" outlineLevel="0" collapsed="false">
      <c r="A165" s="11" t="str">
        <f aca="false">IF(INDEX(MASTER_DATABASE!$A$4:$A$1000,ROW()-3)="","",INDEX(MASTER_DATABASE!$A$4:$A$1000,ROW()-3)&amp;"")</f>
        <v>MOB-007</v>
      </c>
      <c r="B165" s="7" t="str">
        <f aca="false">IF(INDEX(MASTER_DATABASE!$A$4:$A$1000,ROW()-3)="","",INDEX(MASTER_DATABASE!$B$4:$B$1000,ROW()-3)&amp;"")</f>
        <v>Mobile Store</v>
      </c>
      <c r="C165" s="7" t="str">
        <f aca="false">IF(INDEX(MASTER_DATABASE!$A$4:$A$1000,ROW()-3)="","",INDEX(MASTER_DATABASE!$C$4:$C$1000,ROW()-3)&amp;"")</f>
        <v>Mobile Retail &amp; Services</v>
      </c>
      <c r="D165" s="7" t="str">
        <f aca="false">IF(INDEX(MASTER_DATABASE!$A$4:$A$1000,ROW()-3)="","",INDEX(MASTER_DATABASE!$D$4:$D$1000,ROW()-3)&amp;"")</f>
        <v>Audio Accessories</v>
      </c>
      <c r="E165" s="7" t="str">
        <f aca="false">IF(INDEX(MASTER_DATABASE!$A$4:$A$1000,ROW()-3)="","",INDEX(MASTER_DATABASE!$E$4:$E$1000,ROW()-3)&amp;"")</f>
        <v>Bluetooth Earphone</v>
      </c>
      <c r="F165" s="7" t="str">
        <f aca="false">IF(INDEX(MASTER_DATABASE!$A$4:$A$1000,ROW()-3)="","",INDEX(MASTER_DATABASE!$F$4:$F$1000,ROW()-3)&amp;"")</f>
        <v>ब्लूटूथ ईयरफोन</v>
      </c>
      <c r="G165" s="7" t="str">
        <f aca="false">IF(INDEX(MASTER_DATABASE!$A$4:$A$1000,ROW()-3)="","",INDEX(MASTER_DATABASE!$AL$4:$AL$1000,ROW()-3)&amp;"")</f>
        <v>Mobile Store</v>
      </c>
      <c r="H165" s="7" t="str">
        <f aca="false">IF(INDEX(MASTER_DATABASE!$A$4:$A$1000,ROW()-3)="","",INDEX(MASTER_DATABASE!$AM$4:$AM$1000,ROW()-3)&amp;"")</f>
        <v>Audio Accessories</v>
      </c>
      <c r="I165" s="7" t="str">
        <f aca="false">IF(INDEX(MASTER_DATABASE!$A$4:$A$1000,ROW()-3)="","",INDEX(MASTER_DATABASE!$AO$4:$AO$1000,ROW()-3)&amp;"")</f>
        <v>bluetooth-earphone</v>
      </c>
      <c r="J165" s="7" t="str">
        <f aca="false">IF(INDEX(MASTER_DATABASE!$A$4:$A$1000,ROW()-3)="","",INDEX(MASTER_DATABASE!$BD$4:$BD$1000,ROW()-3)&amp;"")</f>
        <v>/services/bluetooth-earphone</v>
      </c>
      <c r="K165" s="7" t="str">
        <f aca="false">IF(INDEX(MASTER_DATABASE!$A$4:$A$1000,ROW()-3)="","",INDEX(MASTER_DATABASE!$AX$4:$AX$1000,ROW()-3)&amp;"")</f>
        <v>Bluetooth Earphone | Devmobile Stores</v>
      </c>
      <c r="L165" s="7" t="str">
        <f aca="false">IF(INDEX(MASTER_DATABASE!$A$4:$A$1000,ROW()-3)="","",INDEX(MASTER_DATABASE!$AY$4:$AY$1000,ROW()-3)&amp;"")</f>
        <v>Bluetooth Earphone (ब्लूटूथ ईयरफोन) at Devmobile Stores and Common Service Center &amp; Aadhaar Centre. Check required documents, charges and process before you visit.</v>
      </c>
      <c r="M165" s="7" t="str">
        <f aca="false">IF(INDEX(MASTER_DATABASE!$A$4:$A$1000,ROW()-3)="","",INDEX(MASTER_DATABASE!$AN$4:$AN$1000,ROW()-3)&amp;"")</f>
        <v>Bluetooth Earphone, Mobile Store, Devmobile Stores, ब्लूटूथ ईयरफोन, मोबाइल स्टोर, सेवा</v>
      </c>
      <c r="N165" s="7" t="str">
        <f aca="false">IF(INDEX(MASTER_DATABASE!$A$4:$A$1000,ROW()-3)="","",INDEX(MASTER_DATABASE!$AZ$4:$AZ$1000,ROW()-3)&amp;"")</f>
        <v>ब्लूटूथ ईयरफोन, मोबाइल स्टोर, सेवा</v>
      </c>
      <c r="O165" s="7" t="str">
        <f aca="false">IF(INDEX(MASTER_DATABASE!$A$4:$A$1000,ROW()-3)="","",INDEX(MASTER_DATABASE!$BA$4:$BA$1000,ROW()-3)&amp;"")</f>
        <v>Bluetooth Earphone, Mobile Store, Devmobile Stores</v>
      </c>
      <c r="P165" s="11" t="str">
        <f aca="false">IF(INDEX(MASTER_DATABASE!$A$4:$A$1000,ROW()-3)="","",INDEX(MASTER_DATABASE!$AP$4:$AP$1000,ROW()-3)&amp;"")</f>
        <v>🎧</v>
      </c>
      <c r="Q165" s="7" t="str">
        <f aca="false">IF(INDEX(MASTER_DATABASE!$A$4:$A$1000,ROW()-3)="","",INDEX(MASTER_DATABASE!$BB$4:$BB$1000,ROW()-3)&amp;"")</f>
        <v/>
      </c>
      <c r="R165" s="11" t="str">
        <f aca="false">IF(INDEX(MASTER_DATABASE!$A$4:$A$1000,ROW()-3)="","",INDEX(MASTER_DATABASE!$BC$4:$BC$1000,ROW()-3)&amp;"")</f>
        <v>📱</v>
      </c>
      <c r="S165" s="11" t="n">
        <f aca="false">IF(INDEX(MASTER_DATABASE!$A$4:$A$1000,ROW()-3)="","",INDEX(MASTER_DATABASE!$AQ$4:$AQ$1000,ROW()-3))</f>
        <v>70</v>
      </c>
      <c r="T165" s="7" t="str">
        <f aca="false">IF(INDEX(MASTER_DATABASE!$A$4:$A$1000,ROW()-3)="","",INDEX(MASTER_DATABASE!$I$4:$I$1000,ROW()-3)&amp;"")</f>
        <v>Available</v>
      </c>
      <c r="U165" s="7" t="str">
        <f aca="false">IF(INDEX(MASTER_DATABASE!$A$4:$A$1000,ROW()-3)="","",INDEX(MASTER_DATABASE!$J$4:$J$1000,ROW()-3)&amp;"")</f>
        <v>Available</v>
      </c>
      <c r="V165" s="7" t="str">
        <f aca="false">IF(INDEX(MASTER_DATABASE!$A$4:$A$1000,ROW()-3)="","",INDEX(MASTER_DATABASE!$AG$4:$AG$1000,ROW()-3)&amp;"")</f>
        <v>Active</v>
      </c>
      <c r="W165" s="7" t="str">
        <f aca="false">IF(INDEX(MASTER_DATABASE!$A$4:$A$1000,ROW()-3)="","",INDEX(MASTER_DATABASE!$AH$4:$AH$1000,ROW()-3)&amp;"")</f>
        <v>Yes</v>
      </c>
      <c r="X165" s="7" t="str">
        <f aca="false">IF(INDEX(MASTER_DATABASE!$A$4:$A$1000,ROW()-3)="","",INDEX(MASTER_DATABASE!$AI$4:$AI$1000,ROW()-3)&amp;"")</f>
        <v>No</v>
      </c>
      <c r="Y165" s="7" t="str">
        <f aca="false">IF(INDEX(MASTER_DATABASE!$A$4:$A$1000,ROW()-3)="","",INDEX(MASTER_DATABASE!$AJ$4:$AJ$1000,ROW()-3)&amp;"")</f>
        <v>No</v>
      </c>
      <c r="Z165" s="7" t="str">
        <f aca="false">IF(INDEX(MASTER_DATABASE!$A$4:$A$1000,ROW()-3)="","",INDEX(MASTER_DATABASE!$AK$4:$AK$1000,ROW()-3)&amp;"")</f>
        <v>No</v>
      </c>
      <c r="AA165" s="7" t="str">
        <f aca="false">IF(INDEX(MASTER_DATABASE!$A$4:$A$1000,ROW()-3)="","",INDEX(MASTER_DATABASE!$BE$4:$BE$1000,ROW()-3)&amp;"")</f>
        <v>LIVE</v>
      </c>
    </row>
    <row r="166" customFormat="false" ht="35.05" hidden="false" customHeight="false" outlineLevel="0" collapsed="false">
      <c r="A166" s="11" t="str">
        <f aca="false">IF(INDEX(MASTER_DATABASE!$A$4:$A$1000,ROW()-3)="","",INDEX(MASTER_DATABASE!$A$4:$A$1000,ROW()-3)&amp;"")</f>
        <v>MOB-008</v>
      </c>
      <c r="B166" s="7" t="str">
        <f aca="false">IF(INDEX(MASTER_DATABASE!$A$4:$A$1000,ROW()-3)="","",INDEX(MASTER_DATABASE!$B$4:$B$1000,ROW()-3)&amp;"")</f>
        <v>Mobile Store</v>
      </c>
      <c r="C166" s="7" t="str">
        <f aca="false">IF(INDEX(MASTER_DATABASE!$A$4:$A$1000,ROW()-3)="","",INDEX(MASTER_DATABASE!$C$4:$C$1000,ROW()-3)&amp;"")</f>
        <v>Mobile Retail &amp; Services</v>
      </c>
      <c r="D166" s="7" t="str">
        <f aca="false">IF(INDEX(MASTER_DATABASE!$A$4:$A$1000,ROW()-3)="","",INDEX(MASTER_DATABASE!$D$4:$D$1000,ROW()-3)&amp;"")</f>
        <v>Audio Accessories</v>
      </c>
      <c r="E166" s="7" t="str">
        <f aca="false">IF(INDEX(MASTER_DATABASE!$A$4:$A$1000,ROW()-3)="","",INDEX(MASTER_DATABASE!$E$4:$E$1000,ROW()-3)&amp;"")</f>
        <v>Speaker</v>
      </c>
      <c r="F166" s="7" t="str">
        <f aca="false">IF(INDEX(MASTER_DATABASE!$A$4:$A$1000,ROW()-3)="","",INDEX(MASTER_DATABASE!$F$4:$F$1000,ROW()-3)&amp;"")</f>
        <v>स्पीकर</v>
      </c>
      <c r="G166" s="7" t="str">
        <f aca="false">IF(INDEX(MASTER_DATABASE!$A$4:$A$1000,ROW()-3)="","",INDEX(MASTER_DATABASE!$AL$4:$AL$1000,ROW()-3)&amp;"")</f>
        <v>Mobile Store</v>
      </c>
      <c r="H166" s="7" t="str">
        <f aca="false">IF(INDEX(MASTER_DATABASE!$A$4:$A$1000,ROW()-3)="","",INDEX(MASTER_DATABASE!$AM$4:$AM$1000,ROW()-3)&amp;"")</f>
        <v>Audio Accessories</v>
      </c>
      <c r="I166" s="7" t="str">
        <f aca="false">IF(INDEX(MASTER_DATABASE!$A$4:$A$1000,ROW()-3)="","",INDEX(MASTER_DATABASE!$AO$4:$AO$1000,ROW()-3)&amp;"")</f>
        <v>speaker</v>
      </c>
      <c r="J166" s="7" t="str">
        <f aca="false">IF(INDEX(MASTER_DATABASE!$A$4:$A$1000,ROW()-3)="","",INDEX(MASTER_DATABASE!$BD$4:$BD$1000,ROW()-3)&amp;"")</f>
        <v>/services/speaker</v>
      </c>
      <c r="K166" s="7" t="str">
        <f aca="false">IF(INDEX(MASTER_DATABASE!$A$4:$A$1000,ROW()-3)="","",INDEX(MASTER_DATABASE!$AX$4:$AX$1000,ROW()-3)&amp;"")</f>
        <v>Speaker | Devmobile Stores</v>
      </c>
      <c r="L166" s="7" t="str">
        <f aca="false">IF(INDEX(MASTER_DATABASE!$A$4:$A$1000,ROW()-3)="","",INDEX(MASTER_DATABASE!$AY$4:$AY$1000,ROW()-3)&amp;"")</f>
        <v>Speaker (स्पीकर) at Devmobile Stores and Common Service Center &amp; Aadhaar Centre. Check required documents, charges and process before you visit.</v>
      </c>
      <c r="M166" s="7" t="str">
        <f aca="false">IF(INDEX(MASTER_DATABASE!$A$4:$A$1000,ROW()-3)="","",INDEX(MASTER_DATABASE!$AN$4:$AN$1000,ROW()-3)&amp;"")</f>
        <v>Speaker, Mobile Store, Devmobile Stores, स्पीकर, मोबाइल स्टोर, सेवा</v>
      </c>
      <c r="N166" s="7" t="str">
        <f aca="false">IF(INDEX(MASTER_DATABASE!$A$4:$A$1000,ROW()-3)="","",INDEX(MASTER_DATABASE!$AZ$4:$AZ$1000,ROW()-3)&amp;"")</f>
        <v>स्पीकर, मोबाइल स्टोर, सेवा</v>
      </c>
      <c r="O166" s="7" t="str">
        <f aca="false">IF(INDEX(MASTER_DATABASE!$A$4:$A$1000,ROW()-3)="","",INDEX(MASTER_DATABASE!$BA$4:$BA$1000,ROW()-3)&amp;"")</f>
        <v>Speaker, Mobile Store, Devmobile Stores</v>
      </c>
      <c r="P166" s="11" t="str">
        <f aca="false">IF(INDEX(MASTER_DATABASE!$A$4:$A$1000,ROW()-3)="","",INDEX(MASTER_DATABASE!$AP$4:$AP$1000,ROW()-3)&amp;"")</f>
        <v>🎧</v>
      </c>
      <c r="Q166" s="7" t="str">
        <f aca="false">IF(INDEX(MASTER_DATABASE!$A$4:$A$1000,ROW()-3)="","",INDEX(MASTER_DATABASE!$BB$4:$BB$1000,ROW()-3)&amp;"")</f>
        <v/>
      </c>
      <c r="R166" s="11" t="str">
        <f aca="false">IF(INDEX(MASTER_DATABASE!$A$4:$A$1000,ROW()-3)="","",INDEX(MASTER_DATABASE!$BC$4:$BC$1000,ROW()-3)&amp;"")</f>
        <v>📱</v>
      </c>
      <c r="S166" s="11" t="n">
        <f aca="false">IF(INDEX(MASTER_DATABASE!$A$4:$A$1000,ROW()-3)="","",INDEX(MASTER_DATABASE!$AQ$4:$AQ$1000,ROW()-3))</f>
        <v>80</v>
      </c>
      <c r="T166" s="7" t="str">
        <f aca="false">IF(INDEX(MASTER_DATABASE!$A$4:$A$1000,ROW()-3)="","",INDEX(MASTER_DATABASE!$I$4:$I$1000,ROW()-3)&amp;"")</f>
        <v>Available</v>
      </c>
      <c r="U166" s="7" t="str">
        <f aca="false">IF(INDEX(MASTER_DATABASE!$A$4:$A$1000,ROW()-3)="","",INDEX(MASTER_DATABASE!$J$4:$J$1000,ROW()-3)&amp;"")</f>
        <v>Available</v>
      </c>
      <c r="V166" s="7" t="str">
        <f aca="false">IF(INDEX(MASTER_DATABASE!$A$4:$A$1000,ROW()-3)="","",INDEX(MASTER_DATABASE!$AG$4:$AG$1000,ROW()-3)&amp;"")</f>
        <v>Active</v>
      </c>
      <c r="W166" s="7" t="str">
        <f aca="false">IF(INDEX(MASTER_DATABASE!$A$4:$A$1000,ROW()-3)="","",INDEX(MASTER_DATABASE!$AH$4:$AH$1000,ROW()-3)&amp;"")</f>
        <v>Yes</v>
      </c>
      <c r="X166" s="7" t="str">
        <f aca="false">IF(INDEX(MASTER_DATABASE!$A$4:$A$1000,ROW()-3)="","",INDEX(MASTER_DATABASE!$AI$4:$AI$1000,ROW()-3)&amp;"")</f>
        <v>No</v>
      </c>
      <c r="Y166" s="7" t="str">
        <f aca="false">IF(INDEX(MASTER_DATABASE!$A$4:$A$1000,ROW()-3)="","",INDEX(MASTER_DATABASE!$AJ$4:$AJ$1000,ROW()-3)&amp;"")</f>
        <v>No</v>
      </c>
      <c r="Z166" s="7" t="str">
        <f aca="false">IF(INDEX(MASTER_DATABASE!$A$4:$A$1000,ROW()-3)="","",INDEX(MASTER_DATABASE!$AK$4:$AK$1000,ROW()-3)&amp;"")</f>
        <v>No</v>
      </c>
      <c r="AA166" s="7" t="str">
        <f aca="false">IF(INDEX(MASTER_DATABASE!$A$4:$A$1000,ROW()-3)="","",INDEX(MASTER_DATABASE!$BE$4:$BE$1000,ROW()-3)&amp;"")</f>
        <v>LIVE</v>
      </c>
    </row>
    <row r="167" customFormat="false" ht="46.25" hidden="false" customHeight="false" outlineLevel="0" collapsed="false">
      <c r="A167" s="11" t="str">
        <f aca="false">IF(INDEX(MASTER_DATABASE!$A$4:$A$1000,ROW()-3)="","",INDEX(MASTER_DATABASE!$A$4:$A$1000,ROW()-3)&amp;"")</f>
        <v>MOB-009</v>
      </c>
      <c r="B167" s="7" t="str">
        <f aca="false">IF(INDEX(MASTER_DATABASE!$A$4:$A$1000,ROW()-3)="","",INDEX(MASTER_DATABASE!$B$4:$B$1000,ROW()-3)&amp;"")</f>
        <v>Mobile Store</v>
      </c>
      <c r="C167" s="7" t="str">
        <f aca="false">IF(INDEX(MASTER_DATABASE!$A$4:$A$1000,ROW()-3)="","",INDEX(MASTER_DATABASE!$C$4:$C$1000,ROW()-3)&amp;"")</f>
        <v>Mobile Retail &amp; Services</v>
      </c>
      <c r="D167" s="7" t="str">
        <f aca="false">IF(INDEX(MASTER_DATABASE!$A$4:$A$1000,ROW()-3)="","",INDEX(MASTER_DATABASE!$D$4:$D$1000,ROW()-3)&amp;"")</f>
        <v>Protection Accessories</v>
      </c>
      <c r="E167" s="7" t="str">
        <f aca="false">IF(INDEX(MASTER_DATABASE!$A$4:$A$1000,ROW()-3)="","",INDEX(MASTER_DATABASE!$E$4:$E$1000,ROW()-3)&amp;"")</f>
        <v>Mobile Cover</v>
      </c>
      <c r="F167" s="7" t="str">
        <f aca="false">IF(INDEX(MASTER_DATABASE!$A$4:$A$1000,ROW()-3)="","",INDEX(MASTER_DATABASE!$F$4:$F$1000,ROW()-3)&amp;"")</f>
        <v>मोबाइल कवर</v>
      </c>
      <c r="G167" s="7" t="str">
        <f aca="false">IF(INDEX(MASTER_DATABASE!$A$4:$A$1000,ROW()-3)="","",INDEX(MASTER_DATABASE!$AL$4:$AL$1000,ROW()-3)&amp;"")</f>
        <v>Mobile Store</v>
      </c>
      <c r="H167" s="7" t="str">
        <f aca="false">IF(INDEX(MASTER_DATABASE!$A$4:$A$1000,ROW()-3)="","",INDEX(MASTER_DATABASE!$AM$4:$AM$1000,ROW()-3)&amp;"")</f>
        <v>Protection Accessories</v>
      </c>
      <c r="I167" s="7" t="str">
        <f aca="false">IF(INDEX(MASTER_DATABASE!$A$4:$A$1000,ROW()-3)="","",INDEX(MASTER_DATABASE!$AO$4:$AO$1000,ROW()-3)&amp;"")</f>
        <v>mobile-cover</v>
      </c>
      <c r="J167" s="7" t="str">
        <f aca="false">IF(INDEX(MASTER_DATABASE!$A$4:$A$1000,ROW()-3)="","",INDEX(MASTER_DATABASE!$BD$4:$BD$1000,ROW()-3)&amp;"")</f>
        <v>/services/mobile-cover</v>
      </c>
      <c r="K167" s="7" t="str">
        <f aca="false">IF(INDEX(MASTER_DATABASE!$A$4:$A$1000,ROW()-3)="","",INDEX(MASTER_DATABASE!$AX$4:$AX$1000,ROW()-3)&amp;"")</f>
        <v>Mobile Cover | Devmobile Stores</v>
      </c>
      <c r="L167" s="7" t="str">
        <f aca="false">IF(INDEX(MASTER_DATABASE!$A$4:$A$1000,ROW()-3)="","",INDEX(MASTER_DATABASE!$AY$4:$AY$1000,ROW()-3)&amp;"")</f>
        <v>Mobile Cover (मोबाइल कवर) at Devmobile Stores and Common Service Center &amp; Aadhaar Centre. Check required documents, charges and process before you visit.</v>
      </c>
      <c r="M167" s="7" t="str">
        <f aca="false">IF(INDEX(MASTER_DATABASE!$A$4:$A$1000,ROW()-3)="","",INDEX(MASTER_DATABASE!$AN$4:$AN$1000,ROW()-3)&amp;"")</f>
        <v>Mobile Cover, Mobile Store, Devmobile Stores, मोबाइल कवर, मोबाइल स्टोर, सेवा</v>
      </c>
      <c r="N167" s="7" t="str">
        <f aca="false">IF(INDEX(MASTER_DATABASE!$A$4:$A$1000,ROW()-3)="","",INDEX(MASTER_DATABASE!$AZ$4:$AZ$1000,ROW()-3)&amp;"")</f>
        <v>मोबाइल कवर, मोबाइल स्टोर, सेवा</v>
      </c>
      <c r="O167" s="7" t="str">
        <f aca="false">IF(INDEX(MASTER_DATABASE!$A$4:$A$1000,ROW()-3)="","",INDEX(MASTER_DATABASE!$BA$4:$BA$1000,ROW()-3)&amp;"")</f>
        <v>Mobile Cover, Mobile Store, Devmobile Stores</v>
      </c>
      <c r="P167" s="11" t="str">
        <f aca="false">IF(INDEX(MASTER_DATABASE!$A$4:$A$1000,ROW()-3)="","",INDEX(MASTER_DATABASE!$AP$4:$AP$1000,ROW()-3)&amp;"")</f>
        <v>🛡️</v>
      </c>
      <c r="Q167" s="7" t="str">
        <f aca="false">IF(INDEX(MASTER_DATABASE!$A$4:$A$1000,ROW()-3)="","",INDEX(MASTER_DATABASE!$BB$4:$BB$1000,ROW()-3)&amp;"")</f>
        <v/>
      </c>
      <c r="R167" s="11" t="str">
        <f aca="false">IF(INDEX(MASTER_DATABASE!$A$4:$A$1000,ROW()-3)="","",INDEX(MASTER_DATABASE!$BC$4:$BC$1000,ROW()-3)&amp;"")</f>
        <v>📱</v>
      </c>
      <c r="S167" s="11" t="n">
        <f aca="false">IF(INDEX(MASTER_DATABASE!$A$4:$A$1000,ROW()-3)="","",INDEX(MASTER_DATABASE!$AQ$4:$AQ$1000,ROW()-3))</f>
        <v>90</v>
      </c>
      <c r="T167" s="7" t="str">
        <f aca="false">IF(INDEX(MASTER_DATABASE!$A$4:$A$1000,ROW()-3)="","",INDEX(MASTER_DATABASE!$I$4:$I$1000,ROW()-3)&amp;"")</f>
        <v>Available</v>
      </c>
      <c r="U167" s="7" t="str">
        <f aca="false">IF(INDEX(MASTER_DATABASE!$A$4:$A$1000,ROW()-3)="","",INDEX(MASTER_DATABASE!$J$4:$J$1000,ROW()-3)&amp;"")</f>
        <v>Available</v>
      </c>
      <c r="V167" s="7" t="str">
        <f aca="false">IF(INDEX(MASTER_DATABASE!$A$4:$A$1000,ROW()-3)="","",INDEX(MASTER_DATABASE!$AG$4:$AG$1000,ROW()-3)&amp;"")</f>
        <v>Active</v>
      </c>
      <c r="W167" s="7" t="str">
        <f aca="false">IF(INDEX(MASTER_DATABASE!$A$4:$A$1000,ROW()-3)="","",INDEX(MASTER_DATABASE!$AH$4:$AH$1000,ROW()-3)&amp;"")</f>
        <v>Yes</v>
      </c>
      <c r="X167" s="7" t="str">
        <f aca="false">IF(INDEX(MASTER_DATABASE!$A$4:$A$1000,ROW()-3)="","",INDEX(MASTER_DATABASE!$AI$4:$AI$1000,ROW()-3)&amp;"")</f>
        <v>No</v>
      </c>
      <c r="Y167" s="7" t="str">
        <f aca="false">IF(INDEX(MASTER_DATABASE!$A$4:$A$1000,ROW()-3)="","",INDEX(MASTER_DATABASE!$AJ$4:$AJ$1000,ROW()-3)&amp;"")</f>
        <v>No</v>
      </c>
      <c r="Z167" s="7" t="str">
        <f aca="false">IF(INDEX(MASTER_DATABASE!$A$4:$A$1000,ROW()-3)="","",INDEX(MASTER_DATABASE!$AK$4:$AK$1000,ROW()-3)&amp;"")</f>
        <v>No</v>
      </c>
      <c r="AA167" s="7" t="str">
        <f aca="false">IF(INDEX(MASTER_DATABASE!$A$4:$A$1000,ROW()-3)="","",INDEX(MASTER_DATABASE!$BE$4:$BE$1000,ROW()-3)&amp;"")</f>
        <v>LIVE</v>
      </c>
    </row>
    <row r="168" customFormat="false" ht="46.25" hidden="false" customHeight="false" outlineLevel="0" collapsed="false">
      <c r="A168" s="11" t="str">
        <f aca="false">IF(INDEX(MASTER_DATABASE!$A$4:$A$1000,ROW()-3)="","",INDEX(MASTER_DATABASE!$A$4:$A$1000,ROW()-3)&amp;"")</f>
        <v>MOB-010</v>
      </c>
      <c r="B168" s="7" t="str">
        <f aca="false">IF(INDEX(MASTER_DATABASE!$A$4:$A$1000,ROW()-3)="","",INDEX(MASTER_DATABASE!$B$4:$B$1000,ROW()-3)&amp;"")</f>
        <v>Mobile Store</v>
      </c>
      <c r="C168" s="7" t="str">
        <f aca="false">IF(INDEX(MASTER_DATABASE!$A$4:$A$1000,ROW()-3)="","",INDEX(MASTER_DATABASE!$C$4:$C$1000,ROW()-3)&amp;"")</f>
        <v>Mobile Retail &amp; Services</v>
      </c>
      <c r="D168" s="7" t="str">
        <f aca="false">IF(INDEX(MASTER_DATABASE!$A$4:$A$1000,ROW()-3)="","",INDEX(MASTER_DATABASE!$D$4:$D$1000,ROW()-3)&amp;"")</f>
        <v>Protection Accessories</v>
      </c>
      <c r="E168" s="7" t="str">
        <f aca="false">IF(INDEX(MASTER_DATABASE!$A$4:$A$1000,ROW()-3)="","",INDEX(MASTER_DATABASE!$E$4:$E$1000,ROW()-3)&amp;"")</f>
        <v>Tempered Glass</v>
      </c>
      <c r="F168" s="7" t="str">
        <f aca="false">IF(INDEX(MASTER_DATABASE!$A$4:$A$1000,ROW()-3)="","",INDEX(MASTER_DATABASE!$F$4:$F$1000,ROW()-3)&amp;"")</f>
        <v>टेम्पर्ड ग्लास</v>
      </c>
      <c r="G168" s="7" t="str">
        <f aca="false">IF(INDEX(MASTER_DATABASE!$A$4:$A$1000,ROW()-3)="","",INDEX(MASTER_DATABASE!$AL$4:$AL$1000,ROW()-3)&amp;"")</f>
        <v>Mobile Store</v>
      </c>
      <c r="H168" s="7" t="str">
        <f aca="false">IF(INDEX(MASTER_DATABASE!$A$4:$A$1000,ROW()-3)="","",INDEX(MASTER_DATABASE!$AM$4:$AM$1000,ROW()-3)&amp;"")</f>
        <v>Protection Accessories</v>
      </c>
      <c r="I168" s="7" t="str">
        <f aca="false">IF(INDEX(MASTER_DATABASE!$A$4:$A$1000,ROW()-3)="","",INDEX(MASTER_DATABASE!$AO$4:$AO$1000,ROW()-3)&amp;"")</f>
        <v>tempered-glass</v>
      </c>
      <c r="J168" s="7" t="str">
        <f aca="false">IF(INDEX(MASTER_DATABASE!$A$4:$A$1000,ROW()-3)="","",INDEX(MASTER_DATABASE!$BD$4:$BD$1000,ROW()-3)&amp;"")</f>
        <v>/services/tempered-glass</v>
      </c>
      <c r="K168" s="7" t="str">
        <f aca="false">IF(INDEX(MASTER_DATABASE!$A$4:$A$1000,ROW()-3)="","",INDEX(MASTER_DATABASE!$AX$4:$AX$1000,ROW()-3)&amp;"")</f>
        <v>Tempered Glass | Devmobile Stores</v>
      </c>
      <c r="L168" s="7" t="str">
        <f aca="false">IF(INDEX(MASTER_DATABASE!$A$4:$A$1000,ROW()-3)="","",INDEX(MASTER_DATABASE!$AY$4:$AY$1000,ROW()-3)&amp;"")</f>
        <v>Tempered Glass (टेम्पर्ड ग्लास) at Devmobile Stores and Common Service Center &amp; Aadhaar Centre. Check required documents, charges and process before you visit.</v>
      </c>
      <c r="M168" s="7" t="str">
        <f aca="false">IF(INDEX(MASTER_DATABASE!$A$4:$A$1000,ROW()-3)="","",INDEX(MASTER_DATABASE!$AN$4:$AN$1000,ROW()-3)&amp;"")</f>
        <v>Tempered Glass, Mobile Store, Devmobile Stores, टेम्पर्ड ग्लास, मोबाइल स्टोर, सेवा</v>
      </c>
      <c r="N168" s="7" t="str">
        <f aca="false">IF(INDEX(MASTER_DATABASE!$A$4:$A$1000,ROW()-3)="","",INDEX(MASTER_DATABASE!$AZ$4:$AZ$1000,ROW()-3)&amp;"")</f>
        <v>टेम्पर्ड ग्लास, मोबाइल स्टोर, सेवा</v>
      </c>
      <c r="O168" s="7" t="str">
        <f aca="false">IF(INDEX(MASTER_DATABASE!$A$4:$A$1000,ROW()-3)="","",INDEX(MASTER_DATABASE!$BA$4:$BA$1000,ROW()-3)&amp;"")</f>
        <v>Tempered Glass, Mobile Store, Devmobile Stores</v>
      </c>
      <c r="P168" s="11" t="str">
        <f aca="false">IF(INDEX(MASTER_DATABASE!$A$4:$A$1000,ROW()-3)="","",INDEX(MASTER_DATABASE!$AP$4:$AP$1000,ROW()-3)&amp;"")</f>
        <v>🛡️</v>
      </c>
      <c r="Q168" s="7" t="str">
        <f aca="false">IF(INDEX(MASTER_DATABASE!$A$4:$A$1000,ROW()-3)="","",INDEX(MASTER_DATABASE!$BB$4:$BB$1000,ROW()-3)&amp;"")</f>
        <v/>
      </c>
      <c r="R168" s="11" t="str">
        <f aca="false">IF(INDEX(MASTER_DATABASE!$A$4:$A$1000,ROW()-3)="","",INDEX(MASTER_DATABASE!$BC$4:$BC$1000,ROW()-3)&amp;"")</f>
        <v>📱</v>
      </c>
      <c r="S168" s="11" t="n">
        <f aca="false">IF(INDEX(MASTER_DATABASE!$A$4:$A$1000,ROW()-3)="","",INDEX(MASTER_DATABASE!$AQ$4:$AQ$1000,ROW()-3))</f>
        <v>100</v>
      </c>
      <c r="T168" s="7" t="str">
        <f aca="false">IF(INDEX(MASTER_DATABASE!$A$4:$A$1000,ROW()-3)="","",INDEX(MASTER_DATABASE!$I$4:$I$1000,ROW()-3)&amp;"")</f>
        <v>Available</v>
      </c>
      <c r="U168" s="7" t="str">
        <f aca="false">IF(INDEX(MASTER_DATABASE!$A$4:$A$1000,ROW()-3)="","",INDEX(MASTER_DATABASE!$J$4:$J$1000,ROW()-3)&amp;"")</f>
        <v>Available</v>
      </c>
      <c r="V168" s="7" t="str">
        <f aca="false">IF(INDEX(MASTER_DATABASE!$A$4:$A$1000,ROW()-3)="","",INDEX(MASTER_DATABASE!$AG$4:$AG$1000,ROW()-3)&amp;"")</f>
        <v>Active</v>
      </c>
      <c r="W168" s="7" t="str">
        <f aca="false">IF(INDEX(MASTER_DATABASE!$A$4:$A$1000,ROW()-3)="","",INDEX(MASTER_DATABASE!$AH$4:$AH$1000,ROW()-3)&amp;"")</f>
        <v>Yes</v>
      </c>
      <c r="X168" s="7" t="str">
        <f aca="false">IF(INDEX(MASTER_DATABASE!$A$4:$A$1000,ROW()-3)="","",INDEX(MASTER_DATABASE!$AI$4:$AI$1000,ROW()-3)&amp;"")</f>
        <v>No</v>
      </c>
      <c r="Y168" s="7" t="str">
        <f aca="false">IF(INDEX(MASTER_DATABASE!$A$4:$A$1000,ROW()-3)="","",INDEX(MASTER_DATABASE!$AJ$4:$AJ$1000,ROW()-3)&amp;"")</f>
        <v>No</v>
      </c>
      <c r="Z168" s="7" t="str">
        <f aca="false">IF(INDEX(MASTER_DATABASE!$A$4:$A$1000,ROW()-3)="","",INDEX(MASTER_DATABASE!$AK$4:$AK$1000,ROW()-3)&amp;"")</f>
        <v>No</v>
      </c>
      <c r="AA168" s="7" t="str">
        <f aca="false">IF(INDEX(MASTER_DATABASE!$A$4:$A$1000,ROW()-3)="","",INDEX(MASTER_DATABASE!$BE$4:$BE$1000,ROW()-3)&amp;"")</f>
        <v>LIVE</v>
      </c>
    </row>
    <row r="169" customFormat="false" ht="46.25" hidden="false" customHeight="false" outlineLevel="0" collapsed="false">
      <c r="A169" s="11" t="str">
        <f aca="false">IF(INDEX(MASTER_DATABASE!$A$4:$A$1000,ROW()-3)="","",INDEX(MASTER_DATABASE!$A$4:$A$1000,ROW()-3)&amp;"")</f>
        <v>MOB-011</v>
      </c>
      <c r="B169" s="7" t="str">
        <f aca="false">IF(INDEX(MASTER_DATABASE!$A$4:$A$1000,ROW()-3)="","",INDEX(MASTER_DATABASE!$B$4:$B$1000,ROW()-3)&amp;"")</f>
        <v>Mobile Store</v>
      </c>
      <c r="C169" s="7" t="str">
        <f aca="false">IF(INDEX(MASTER_DATABASE!$A$4:$A$1000,ROW()-3)="","",INDEX(MASTER_DATABASE!$C$4:$C$1000,ROW()-3)&amp;"")</f>
        <v>Mobile Retail &amp; Services</v>
      </c>
      <c r="D169" s="7" t="str">
        <f aca="false">IF(INDEX(MASTER_DATABASE!$A$4:$A$1000,ROW()-3)="","",INDEX(MASTER_DATABASE!$D$4:$D$1000,ROW()-3)&amp;"")</f>
        <v>Protection Accessories</v>
      </c>
      <c r="E169" s="7" t="str">
        <f aca="false">IF(INDEX(MASTER_DATABASE!$A$4:$A$1000,ROW()-3)="","",INDEX(MASTER_DATABASE!$E$4:$E$1000,ROW()-3)&amp;"")</f>
        <v>Tempered Glass Fitting</v>
      </c>
      <c r="F169" s="7" t="str">
        <f aca="false">IF(INDEX(MASTER_DATABASE!$A$4:$A$1000,ROW()-3)="","",INDEX(MASTER_DATABASE!$F$4:$F$1000,ROW()-3)&amp;"")</f>
        <v>टेम्पर्ड ग्लास फिटिंग</v>
      </c>
      <c r="G169" s="7" t="str">
        <f aca="false">IF(INDEX(MASTER_DATABASE!$A$4:$A$1000,ROW()-3)="","",INDEX(MASTER_DATABASE!$AL$4:$AL$1000,ROW()-3)&amp;"")</f>
        <v>Mobile Store</v>
      </c>
      <c r="H169" s="7" t="str">
        <f aca="false">IF(INDEX(MASTER_DATABASE!$A$4:$A$1000,ROW()-3)="","",INDEX(MASTER_DATABASE!$AM$4:$AM$1000,ROW()-3)&amp;"")</f>
        <v>Protection Accessories</v>
      </c>
      <c r="I169" s="7" t="str">
        <f aca="false">IF(INDEX(MASTER_DATABASE!$A$4:$A$1000,ROW()-3)="","",INDEX(MASTER_DATABASE!$AO$4:$AO$1000,ROW()-3)&amp;"")</f>
        <v>tempered-glass-fitting</v>
      </c>
      <c r="J169" s="7" t="str">
        <f aca="false">IF(INDEX(MASTER_DATABASE!$A$4:$A$1000,ROW()-3)="","",INDEX(MASTER_DATABASE!$BD$4:$BD$1000,ROW()-3)&amp;"")</f>
        <v>/services/tempered-glass-fitting</v>
      </c>
      <c r="K169" s="7" t="str">
        <f aca="false">IF(INDEX(MASTER_DATABASE!$A$4:$A$1000,ROW()-3)="","",INDEX(MASTER_DATABASE!$AX$4:$AX$1000,ROW()-3)&amp;"")</f>
        <v>Tempered Glass Fitting | Devmobile Stores</v>
      </c>
      <c r="L169" s="7" t="str">
        <f aca="false">IF(INDEX(MASTER_DATABASE!$A$4:$A$1000,ROW()-3)="","",INDEX(MASTER_DATABASE!$AY$4:$AY$1000,ROW()-3)&amp;"")</f>
        <v>Tempered Glass Fitting (टेम्पर्ड ग्लास फिटिंग) at Devmobile Stores and Common Service Center &amp; Aadhaar Centre. Check required documents, charges and process before you visit.</v>
      </c>
      <c r="M169" s="7" t="str">
        <f aca="false">IF(INDEX(MASTER_DATABASE!$A$4:$A$1000,ROW()-3)="","",INDEX(MASTER_DATABASE!$AN$4:$AN$1000,ROW()-3)&amp;"")</f>
        <v>Tempered Glass Fitting, Mobile Store, Devmobile Stores, टेम्पर्ड ग्लास फिटिंग, मोबाइल स्टोर, सेवा</v>
      </c>
      <c r="N169" s="7" t="str">
        <f aca="false">IF(INDEX(MASTER_DATABASE!$A$4:$A$1000,ROW()-3)="","",INDEX(MASTER_DATABASE!$AZ$4:$AZ$1000,ROW()-3)&amp;"")</f>
        <v>टेम्पर्ड ग्लास फिटिंग, मोबाइल स्टोर, सेवा</v>
      </c>
      <c r="O169" s="7" t="str">
        <f aca="false">IF(INDEX(MASTER_DATABASE!$A$4:$A$1000,ROW()-3)="","",INDEX(MASTER_DATABASE!$BA$4:$BA$1000,ROW()-3)&amp;"")</f>
        <v>Tempered Glass Fitting, Mobile Store, Devmobile Stores</v>
      </c>
      <c r="P169" s="11" t="str">
        <f aca="false">IF(INDEX(MASTER_DATABASE!$A$4:$A$1000,ROW()-3)="","",INDEX(MASTER_DATABASE!$AP$4:$AP$1000,ROW()-3)&amp;"")</f>
        <v>🛡️</v>
      </c>
      <c r="Q169" s="7" t="str">
        <f aca="false">IF(INDEX(MASTER_DATABASE!$A$4:$A$1000,ROW()-3)="","",INDEX(MASTER_DATABASE!$BB$4:$BB$1000,ROW()-3)&amp;"")</f>
        <v/>
      </c>
      <c r="R169" s="11" t="str">
        <f aca="false">IF(INDEX(MASTER_DATABASE!$A$4:$A$1000,ROW()-3)="","",INDEX(MASTER_DATABASE!$BC$4:$BC$1000,ROW()-3)&amp;"")</f>
        <v>📱</v>
      </c>
      <c r="S169" s="11" t="n">
        <f aca="false">IF(INDEX(MASTER_DATABASE!$A$4:$A$1000,ROW()-3)="","",INDEX(MASTER_DATABASE!$AQ$4:$AQ$1000,ROW()-3))</f>
        <v>110</v>
      </c>
      <c r="T169" s="7" t="str">
        <f aca="false">IF(INDEX(MASTER_DATABASE!$A$4:$A$1000,ROW()-3)="","",INDEX(MASTER_DATABASE!$I$4:$I$1000,ROW()-3)&amp;"")</f>
        <v>Available</v>
      </c>
      <c r="U169" s="7" t="str">
        <f aca="false">IF(INDEX(MASTER_DATABASE!$A$4:$A$1000,ROW()-3)="","",INDEX(MASTER_DATABASE!$J$4:$J$1000,ROW()-3)&amp;"")</f>
        <v>Available</v>
      </c>
      <c r="V169" s="7" t="str">
        <f aca="false">IF(INDEX(MASTER_DATABASE!$A$4:$A$1000,ROW()-3)="","",INDEX(MASTER_DATABASE!$AG$4:$AG$1000,ROW()-3)&amp;"")</f>
        <v>Active</v>
      </c>
      <c r="W169" s="7" t="str">
        <f aca="false">IF(INDEX(MASTER_DATABASE!$A$4:$A$1000,ROW()-3)="","",INDEX(MASTER_DATABASE!$AH$4:$AH$1000,ROW()-3)&amp;"")</f>
        <v>Yes</v>
      </c>
      <c r="X169" s="7" t="str">
        <f aca="false">IF(INDEX(MASTER_DATABASE!$A$4:$A$1000,ROW()-3)="","",INDEX(MASTER_DATABASE!$AI$4:$AI$1000,ROW()-3)&amp;"")</f>
        <v>No</v>
      </c>
      <c r="Y169" s="7" t="str">
        <f aca="false">IF(INDEX(MASTER_DATABASE!$A$4:$A$1000,ROW()-3)="","",INDEX(MASTER_DATABASE!$AJ$4:$AJ$1000,ROW()-3)&amp;"")</f>
        <v>No</v>
      </c>
      <c r="Z169" s="7" t="str">
        <f aca="false">IF(INDEX(MASTER_DATABASE!$A$4:$A$1000,ROW()-3)="","",INDEX(MASTER_DATABASE!$AK$4:$AK$1000,ROW()-3)&amp;"")</f>
        <v>No</v>
      </c>
      <c r="AA169" s="7" t="str">
        <f aca="false">IF(INDEX(MASTER_DATABASE!$A$4:$A$1000,ROW()-3)="","",INDEX(MASTER_DATABASE!$BE$4:$BE$1000,ROW()-3)&amp;"")</f>
        <v>LIVE</v>
      </c>
    </row>
    <row r="170" customFormat="false" ht="46.25" hidden="false" customHeight="false" outlineLevel="0" collapsed="false">
      <c r="A170" s="11" t="str">
        <f aca="false">IF(INDEX(MASTER_DATABASE!$A$4:$A$1000,ROW()-3)="","",INDEX(MASTER_DATABASE!$A$4:$A$1000,ROW()-3)&amp;"")</f>
        <v>MOB-012</v>
      </c>
      <c r="B170" s="7" t="str">
        <f aca="false">IF(INDEX(MASTER_DATABASE!$A$4:$A$1000,ROW()-3)="","",INDEX(MASTER_DATABASE!$B$4:$B$1000,ROW()-3)&amp;"")</f>
        <v>Mobile Store</v>
      </c>
      <c r="C170" s="7" t="str">
        <f aca="false">IF(INDEX(MASTER_DATABASE!$A$4:$A$1000,ROW()-3)="","",INDEX(MASTER_DATABASE!$C$4:$C$1000,ROW()-3)&amp;"")</f>
        <v>Mobile Retail &amp; Services</v>
      </c>
      <c r="D170" s="7" t="str">
        <f aca="false">IF(INDEX(MASTER_DATABASE!$A$4:$A$1000,ROW()-3)="","",INDEX(MASTER_DATABASE!$D$4:$D$1000,ROW()-3)&amp;"")</f>
        <v>Storage Devices</v>
      </c>
      <c r="E170" s="7" t="str">
        <f aca="false">IF(INDEX(MASTER_DATABASE!$A$4:$A$1000,ROW()-3)="","",INDEX(MASTER_DATABASE!$E$4:$E$1000,ROW()-3)&amp;"")</f>
        <v>Memory Card</v>
      </c>
      <c r="F170" s="7" t="str">
        <f aca="false">IF(INDEX(MASTER_DATABASE!$A$4:$A$1000,ROW()-3)="","",INDEX(MASTER_DATABASE!$F$4:$F$1000,ROW()-3)&amp;"")</f>
        <v>मेमोरी कार्ड</v>
      </c>
      <c r="G170" s="7" t="str">
        <f aca="false">IF(INDEX(MASTER_DATABASE!$A$4:$A$1000,ROW()-3)="","",INDEX(MASTER_DATABASE!$AL$4:$AL$1000,ROW()-3)&amp;"")</f>
        <v>Mobile Store</v>
      </c>
      <c r="H170" s="7" t="str">
        <f aca="false">IF(INDEX(MASTER_DATABASE!$A$4:$A$1000,ROW()-3)="","",INDEX(MASTER_DATABASE!$AM$4:$AM$1000,ROW()-3)&amp;"")</f>
        <v>Storage Devices</v>
      </c>
      <c r="I170" s="7" t="str">
        <f aca="false">IF(INDEX(MASTER_DATABASE!$A$4:$A$1000,ROW()-3)="","",INDEX(MASTER_DATABASE!$AO$4:$AO$1000,ROW()-3)&amp;"")</f>
        <v>memory-card</v>
      </c>
      <c r="J170" s="7" t="str">
        <f aca="false">IF(INDEX(MASTER_DATABASE!$A$4:$A$1000,ROW()-3)="","",INDEX(MASTER_DATABASE!$BD$4:$BD$1000,ROW()-3)&amp;"")</f>
        <v>/services/memory-card</v>
      </c>
      <c r="K170" s="7" t="str">
        <f aca="false">IF(INDEX(MASTER_DATABASE!$A$4:$A$1000,ROW()-3)="","",INDEX(MASTER_DATABASE!$AX$4:$AX$1000,ROW()-3)&amp;"")</f>
        <v>Memory Card | Devmobile Stores</v>
      </c>
      <c r="L170" s="7" t="str">
        <f aca="false">IF(INDEX(MASTER_DATABASE!$A$4:$A$1000,ROW()-3)="","",INDEX(MASTER_DATABASE!$AY$4:$AY$1000,ROW()-3)&amp;"")</f>
        <v>Memory Card (मेमोरी कार्ड) at Devmobile Stores and Common Service Center &amp; Aadhaar Centre. Check required documents, charges and process before you visit.</v>
      </c>
      <c r="M170" s="7" t="str">
        <f aca="false">IF(INDEX(MASTER_DATABASE!$A$4:$A$1000,ROW()-3)="","",INDEX(MASTER_DATABASE!$AN$4:$AN$1000,ROW()-3)&amp;"")</f>
        <v>Memory Card, Mobile Store, Devmobile Stores, मेमोरी कार्ड, मोबाइल स्टोर, सेवा</v>
      </c>
      <c r="N170" s="7" t="str">
        <f aca="false">IF(INDEX(MASTER_DATABASE!$A$4:$A$1000,ROW()-3)="","",INDEX(MASTER_DATABASE!$AZ$4:$AZ$1000,ROW()-3)&amp;"")</f>
        <v>मेमोरी कार्ड, मोबाइल स्टोर, सेवा</v>
      </c>
      <c r="O170" s="7" t="str">
        <f aca="false">IF(INDEX(MASTER_DATABASE!$A$4:$A$1000,ROW()-3)="","",INDEX(MASTER_DATABASE!$BA$4:$BA$1000,ROW()-3)&amp;"")</f>
        <v>Memory Card, Mobile Store, Devmobile Stores</v>
      </c>
      <c r="P170" s="11" t="str">
        <f aca="false">IF(INDEX(MASTER_DATABASE!$A$4:$A$1000,ROW()-3)="","",INDEX(MASTER_DATABASE!$AP$4:$AP$1000,ROW()-3)&amp;"")</f>
        <v>💾</v>
      </c>
      <c r="Q170" s="7" t="str">
        <f aca="false">IF(INDEX(MASTER_DATABASE!$A$4:$A$1000,ROW()-3)="","",INDEX(MASTER_DATABASE!$BB$4:$BB$1000,ROW()-3)&amp;"")</f>
        <v/>
      </c>
      <c r="R170" s="11" t="str">
        <f aca="false">IF(INDEX(MASTER_DATABASE!$A$4:$A$1000,ROW()-3)="","",INDEX(MASTER_DATABASE!$BC$4:$BC$1000,ROW()-3)&amp;"")</f>
        <v>📱</v>
      </c>
      <c r="S170" s="11" t="n">
        <f aca="false">IF(INDEX(MASTER_DATABASE!$A$4:$A$1000,ROW()-3)="","",INDEX(MASTER_DATABASE!$AQ$4:$AQ$1000,ROW()-3))</f>
        <v>120</v>
      </c>
      <c r="T170" s="7" t="str">
        <f aca="false">IF(INDEX(MASTER_DATABASE!$A$4:$A$1000,ROW()-3)="","",INDEX(MASTER_DATABASE!$I$4:$I$1000,ROW()-3)&amp;"")</f>
        <v>Available</v>
      </c>
      <c r="U170" s="7" t="str">
        <f aca="false">IF(INDEX(MASTER_DATABASE!$A$4:$A$1000,ROW()-3)="","",INDEX(MASTER_DATABASE!$J$4:$J$1000,ROW()-3)&amp;"")</f>
        <v>Available</v>
      </c>
      <c r="V170" s="7" t="str">
        <f aca="false">IF(INDEX(MASTER_DATABASE!$A$4:$A$1000,ROW()-3)="","",INDEX(MASTER_DATABASE!$AG$4:$AG$1000,ROW()-3)&amp;"")</f>
        <v>Active</v>
      </c>
      <c r="W170" s="7" t="str">
        <f aca="false">IF(INDEX(MASTER_DATABASE!$A$4:$A$1000,ROW()-3)="","",INDEX(MASTER_DATABASE!$AH$4:$AH$1000,ROW()-3)&amp;"")</f>
        <v>Yes</v>
      </c>
      <c r="X170" s="7" t="str">
        <f aca="false">IF(INDEX(MASTER_DATABASE!$A$4:$A$1000,ROW()-3)="","",INDEX(MASTER_DATABASE!$AI$4:$AI$1000,ROW()-3)&amp;"")</f>
        <v>No</v>
      </c>
      <c r="Y170" s="7" t="str">
        <f aca="false">IF(INDEX(MASTER_DATABASE!$A$4:$A$1000,ROW()-3)="","",INDEX(MASTER_DATABASE!$AJ$4:$AJ$1000,ROW()-3)&amp;"")</f>
        <v>No</v>
      </c>
      <c r="Z170" s="7" t="str">
        <f aca="false">IF(INDEX(MASTER_DATABASE!$A$4:$A$1000,ROW()-3)="","",INDEX(MASTER_DATABASE!$AK$4:$AK$1000,ROW()-3)&amp;"")</f>
        <v>No</v>
      </c>
      <c r="AA170" s="7" t="str">
        <f aca="false">IF(INDEX(MASTER_DATABASE!$A$4:$A$1000,ROW()-3)="","",INDEX(MASTER_DATABASE!$BE$4:$BE$1000,ROW()-3)&amp;"")</f>
        <v>LIVE</v>
      </c>
    </row>
    <row r="171" customFormat="false" ht="35.05" hidden="false" customHeight="false" outlineLevel="0" collapsed="false">
      <c r="A171" s="11" t="str">
        <f aca="false">IF(INDEX(MASTER_DATABASE!$A$4:$A$1000,ROW()-3)="","",INDEX(MASTER_DATABASE!$A$4:$A$1000,ROW()-3)&amp;"")</f>
        <v>MOB-013</v>
      </c>
      <c r="B171" s="7" t="str">
        <f aca="false">IF(INDEX(MASTER_DATABASE!$A$4:$A$1000,ROW()-3)="","",INDEX(MASTER_DATABASE!$B$4:$B$1000,ROW()-3)&amp;"")</f>
        <v>Mobile Store</v>
      </c>
      <c r="C171" s="7" t="str">
        <f aca="false">IF(INDEX(MASTER_DATABASE!$A$4:$A$1000,ROW()-3)="","",INDEX(MASTER_DATABASE!$C$4:$C$1000,ROW()-3)&amp;"")</f>
        <v>Mobile Retail &amp; Services</v>
      </c>
      <c r="D171" s="7" t="str">
        <f aca="false">IF(INDEX(MASTER_DATABASE!$A$4:$A$1000,ROW()-3)="","",INDEX(MASTER_DATABASE!$D$4:$D$1000,ROW()-3)&amp;"")</f>
        <v>Storage Devices</v>
      </c>
      <c r="E171" s="7" t="str">
        <f aca="false">IF(INDEX(MASTER_DATABASE!$A$4:$A$1000,ROW()-3)="","",INDEX(MASTER_DATABASE!$E$4:$E$1000,ROW()-3)&amp;"")</f>
        <v>Pendrive</v>
      </c>
      <c r="F171" s="7" t="str">
        <f aca="false">IF(INDEX(MASTER_DATABASE!$A$4:$A$1000,ROW()-3)="","",INDEX(MASTER_DATABASE!$F$4:$F$1000,ROW()-3)&amp;"")</f>
        <v>पेनड्राइव</v>
      </c>
      <c r="G171" s="7" t="str">
        <f aca="false">IF(INDEX(MASTER_DATABASE!$A$4:$A$1000,ROW()-3)="","",INDEX(MASTER_DATABASE!$AL$4:$AL$1000,ROW()-3)&amp;"")</f>
        <v>Mobile Store</v>
      </c>
      <c r="H171" s="7" t="str">
        <f aca="false">IF(INDEX(MASTER_DATABASE!$A$4:$A$1000,ROW()-3)="","",INDEX(MASTER_DATABASE!$AM$4:$AM$1000,ROW()-3)&amp;"")</f>
        <v>Storage Devices</v>
      </c>
      <c r="I171" s="7" t="str">
        <f aca="false">IF(INDEX(MASTER_DATABASE!$A$4:$A$1000,ROW()-3)="","",INDEX(MASTER_DATABASE!$AO$4:$AO$1000,ROW()-3)&amp;"")</f>
        <v>pendrive</v>
      </c>
      <c r="J171" s="7" t="str">
        <f aca="false">IF(INDEX(MASTER_DATABASE!$A$4:$A$1000,ROW()-3)="","",INDEX(MASTER_DATABASE!$BD$4:$BD$1000,ROW()-3)&amp;"")</f>
        <v>/services/pendrive</v>
      </c>
      <c r="K171" s="7" t="str">
        <f aca="false">IF(INDEX(MASTER_DATABASE!$A$4:$A$1000,ROW()-3)="","",INDEX(MASTER_DATABASE!$AX$4:$AX$1000,ROW()-3)&amp;"")</f>
        <v>Pendrive | Devmobile Stores</v>
      </c>
      <c r="L171" s="7" t="str">
        <f aca="false">IF(INDEX(MASTER_DATABASE!$A$4:$A$1000,ROW()-3)="","",INDEX(MASTER_DATABASE!$AY$4:$AY$1000,ROW()-3)&amp;"")</f>
        <v>Pendrive (पेनड्राइव) at Devmobile Stores and Common Service Center &amp; Aadhaar Centre. Check required documents, charges and process before you visit.</v>
      </c>
      <c r="M171" s="7" t="str">
        <f aca="false">IF(INDEX(MASTER_DATABASE!$A$4:$A$1000,ROW()-3)="","",INDEX(MASTER_DATABASE!$AN$4:$AN$1000,ROW()-3)&amp;"")</f>
        <v>Pendrive, Mobile Store, Devmobile Stores, पेनड्राइव, मोबाइल स्टोर, सेवा</v>
      </c>
      <c r="N171" s="7" t="str">
        <f aca="false">IF(INDEX(MASTER_DATABASE!$A$4:$A$1000,ROW()-3)="","",INDEX(MASTER_DATABASE!$AZ$4:$AZ$1000,ROW()-3)&amp;"")</f>
        <v>पेनड्राइव, मोबाइल स्टोर, सेवा</v>
      </c>
      <c r="O171" s="7" t="str">
        <f aca="false">IF(INDEX(MASTER_DATABASE!$A$4:$A$1000,ROW()-3)="","",INDEX(MASTER_DATABASE!$BA$4:$BA$1000,ROW()-3)&amp;"")</f>
        <v>Pendrive, Mobile Store, Devmobile Stores</v>
      </c>
      <c r="P171" s="11" t="str">
        <f aca="false">IF(INDEX(MASTER_DATABASE!$A$4:$A$1000,ROW()-3)="","",INDEX(MASTER_DATABASE!$AP$4:$AP$1000,ROW()-3)&amp;"")</f>
        <v>💾</v>
      </c>
      <c r="Q171" s="7" t="str">
        <f aca="false">IF(INDEX(MASTER_DATABASE!$A$4:$A$1000,ROW()-3)="","",INDEX(MASTER_DATABASE!$BB$4:$BB$1000,ROW()-3)&amp;"")</f>
        <v/>
      </c>
      <c r="R171" s="11" t="str">
        <f aca="false">IF(INDEX(MASTER_DATABASE!$A$4:$A$1000,ROW()-3)="","",INDEX(MASTER_DATABASE!$BC$4:$BC$1000,ROW()-3)&amp;"")</f>
        <v>📱</v>
      </c>
      <c r="S171" s="11" t="n">
        <f aca="false">IF(INDEX(MASTER_DATABASE!$A$4:$A$1000,ROW()-3)="","",INDEX(MASTER_DATABASE!$AQ$4:$AQ$1000,ROW()-3))</f>
        <v>130</v>
      </c>
      <c r="T171" s="7" t="str">
        <f aca="false">IF(INDEX(MASTER_DATABASE!$A$4:$A$1000,ROW()-3)="","",INDEX(MASTER_DATABASE!$I$4:$I$1000,ROW()-3)&amp;"")</f>
        <v>Available</v>
      </c>
      <c r="U171" s="7" t="str">
        <f aca="false">IF(INDEX(MASTER_DATABASE!$A$4:$A$1000,ROW()-3)="","",INDEX(MASTER_DATABASE!$J$4:$J$1000,ROW()-3)&amp;"")</f>
        <v>Available</v>
      </c>
      <c r="V171" s="7" t="str">
        <f aca="false">IF(INDEX(MASTER_DATABASE!$A$4:$A$1000,ROW()-3)="","",INDEX(MASTER_DATABASE!$AG$4:$AG$1000,ROW()-3)&amp;"")</f>
        <v>Active</v>
      </c>
      <c r="W171" s="7" t="str">
        <f aca="false">IF(INDEX(MASTER_DATABASE!$A$4:$A$1000,ROW()-3)="","",INDEX(MASTER_DATABASE!$AH$4:$AH$1000,ROW()-3)&amp;"")</f>
        <v>Yes</v>
      </c>
      <c r="X171" s="7" t="str">
        <f aca="false">IF(INDEX(MASTER_DATABASE!$A$4:$A$1000,ROW()-3)="","",INDEX(MASTER_DATABASE!$AI$4:$AI$1000,ROW()-3)&amp;"")</f>
        <v>No</v>
      </c>
      <c r="Y171" s="7" t="str">
        <f aca="false">IF(INDEX(MASTER_DATABASE!$A$4:$A$1000,ROW()-3)="","",INDEX(MASTER_DATABASE!$AJ$4:$AJ$1000,ROW()-3)&amp;"")</f>
        <v>No</v>
      </c>
      <c r="Z171" s="7" t="str">
        <f aca="false">IF(INDEX(MASTER_DATABASE!$A$4:$A$1000,ROW()-3)="","",INDEX(MASTER_DATABASE!$AK$4:$AK$1000,ROW()-3)&amp;"")</f>
        <v>No</v>
      </c>
      <c r="AA171" s="7" t="str">
        <f aca="false">IF(INDEX(MASTER_DATABASE!$A$4:$A$1000,ROW()-3)="","",INDEX(MASTER_DATABASE!$BE$4:$BE$1000,ROW()-3)&amp;"")</f>
        <v>LIVE</v>
      </c>
    </row>
    <row r="172" customFormat="false" ht="46.25" hidden="false" customHeight="false" outlineLevel="0" collapsed="false">
      <c r="A172" s="11" t="str">
        <f aca="false">IF(INDEX(MASTER_DATABASE!$A$4:$A$1000,ROW()-3)="","",INDEX(MASTER_DATABASE!$A$4:$A$1000,ROW()-3)&amp;"")</f>
        <v>MOB-014</v>
      </c>
      <c r="B172" s="7" t="str">
        <f aca="false">IF(INDEX(MASTER_DATABASE!$A$4:$A$1000,ROW()-3)="","",INDEX(MASTER_DATABASE!$B$4:$B$1000,ROW()-3)&amp;"")</f>
        <v>Mobile Store</v>
      </c>
      <c r="C172" s="7" t="str">
        <f aca="false">IF(INDEX(MASTER_DATABASE!$A$4:$A$1000,ROW()-3)="","",INDEX(MASTER_DATABASE!$C$4:$C$1000,ROW()-3)&amp;"")</f>
        <v>Mobile Retail &amp; Services</v>
      </c>
      <c r="D172" s="7" t="str">
        <f aca="false">IF(INDEX(MASTER_DATABASE!$A$4:$A$1000,ROW()-3)="","",INDEX(MASTER_DATABASE!$D$4:$D$1000,ROW()-3)&amp;"")</f>
        <v>SIM Services</v>
      </c>
      <c r="E172" s="7" t="str">
        <f aca="false">IF(INDEX(MASTER_DATABASE!$A$4:$A$1000,ROW()-3)="","",INDEX(MASTER_DATABASE!$E$4:$E$1000,ROW()-3)&amp;"")</f>
        <v>New SIM Card Sale / Activation</v>
      </c>
      <c r="F172" s="7" t="str">
        <f aca="false">IF(INDEX(MASTER_DATABASE!$A$4:$A$1000,ROW()-3)="","",INDEX(MASTER_DATABASE!$F$4:$F$1000,ROW()-3)&amp;"")</f>
        <v>नया सिम कार्ड बिक्री / एक्टिवेशन</v>
      </c>
      <c r="G172" s="7" t="str">
        <f aca="false">IF(INDEX(MASTER_DATABASE!$A$4:$A$1000,ROW()-3)="","",INDEX(MASTER_DATABASE!$AL$4:$AL$1000,ROW()-3)&amp;"")</f>
        <v>Mobile Store</v>
      </c>
      <c r="H172" s="7" t="str">
        <f aca="false">IF(INDEX(MASTER_DATABASE!$A$4:$A$1000,ROW()-3)="","",INDEX(MASTER_DATABASE!$AM$4:$AM$1000,ROW()-3)&amp;"")</f>
        <v>SIM Services</v>
      </c>
      <c r="I172" s="7" t="str">
        <f aca="false">IF(INDEX(MASTER_DATABASE!$A$4:$A$1000,ROW()-3)="","",INDEX(MASTER_DATABASE!$AO$4:$AO$1000,ROW()-3)&amp;"")</f>
        <v>new-sim-card-sale-activation</v>
      </c>
      <c r="J172" s="7" t="str">
        <f aca="false">IF(INDEX(MASTER_DATABASE!$A$4:$A$1000,ROW()-3)="","",INDEX(MASTER_DATABASE!$BD$4:$BD$1000,ROW()-3)&amp;"")</f>
        <v>/services/new-sim-card-sale-activation</v>
      </c>
      <c r="K172" s="7" t="str">
        <f aca="false">IF(INDEX(MASTER_DATABASE!$A$4:$A$1000,ROW()-3)="","",INDEX(MASTER_DATABASE!$AX$4:$AX$1000,ROW()-3)&amp;"")</f>
        <v>New SIM Card Sale / Activation Service | Devmobile Stores</v>
      </c>
      <c r="L172" s="7" t="str">
        <f aca="false">IF(INDEX(MASTER_DATABASE!$A$4:$A$1000,ROW()-3)="","",INDEX(MASTER_DATABASE!$AY$4:$AY$1000,ROW()-3)&amp;"")</f>
        <v>New SIM Card Sale / Activation (नया सिम कार्ड बिक्री / एक्टिवेशन) at Devmobile Stores and Common Service Center &amp; Aadhaar Centre. Check required documents, charges and process before you visit.</v>
      </c>
      <c r="M172" s="7" t="str">
        <f aca="false">IF(INDEX(MASTER_DATABASE!$A$4:$A$1000,ROW()-3)="","",INDEX(MASTER_DATABASE!$AN$4:$AN$1000,ROW()-3)&amp;"")</f>
        <v>New SIM Card Sale / Activation, Mobile Store, Devmobile Stores, नया सिम कार्ड बिक्री / एक्टिवेशन, मोबाइल स्टोर, सेवा</v>
      </c>
      <c r="N172" s="7" t="str">
        <f aca="false">IF(INDEX(MASTER_DATABASE!$A$4:$A$1000,ROW()-3)="","",INDEX(MASTER_DATABASE!$AZ$4:$AZ$1000,ROW()-3)&amp;"")</f>
        <v>नया सिम कार्ड बिक्री / एक्टिवेशन, मोबाइल स्टोर, सेवा</v>
      </c>
      <c r="O172" s="7" t="str">
        <f aca="false">IF(INDEX(MASTER_DATABASE!$A$4:$A$1000,ROW()-3)="","",INDEX(MASTER_DATABASE!$BA$4:$BA$1000,ROW()-3)&amp;"")</f>
        <v>New SIM Card Sale / Activation, Mobile Store, Devmobile Stores</v>
      </c>
      <c r="P172" s="11" t="str">
        <f aca="false">IF(INDEX(MASTER_DATABASE!$A$4:$A$1000,ROW()-3)="","",INDEX(MASTER_DATABASE!$AP$4:$AP$1000,ROW()-3)&amp;"")</f>
        <v>📶</v>
      </c>
      <c r="Q172" s="7" t="str">
        <f aca="false">IF(INDEX(MASTER_DATABASE!$A$4:$A$1000,ROW()-3)="","",INDEX(MASTER_DATABASE!$BB$4:$BB$1000,ROW()-3)&amp;"")</f>
        <v/>
      </c>
      <c r="R172" s="11" t="str">
        <f aca="false">IF(INDEX(MASTER_DATABASE!$A$4:$A$1000,ROW()-3)="","",INDEX(MASTER_DATABASE!$BC$4:$BC$1000,ROW()-3)&amp;"")</f>
        <v>📱</v>
      </c>
      <c r="S172" s="11" t="n">
        <f aca="false">IF(INDEX(MASTER_DATABASE!$A$4:$A$1000,ROW()-3)="","",INDEX(MASTER_DATABASE!$AQ$4:$AQ$1000,ROW()-3))</f>
        <v>140</v>
      </c>
      <c r="T172" s="7" t="str">
        <f aca="false">IF(INDEX(MASTER_DATABASE!$A$4:$A$1000,ROW()-3)="","",INDEX(MASTER_DATABASE!$I$4:$I$1000,ROW()-3)&amp;"")</f>
        <v>Authorization Required</v>
      </c>
      <c r="U172" s="7" t="str">
        <f aca="false">IF(INDEX(MASTER_DATABASE!$A$4:$A$1000,ROW()-3)="","",INDEX(MASTER_DATABASE!$J$4:$J$1000,ROW()-3)&amp;"")</f>
        <v>Please Confirm at Shop</v>
      </c>
      <c r="V172" s="7" t="str">
        <f aca="false">IF(INDEX(MASTER_DATABASE!$A$4:$A$1000,ROW()-3)="","",INDEX(MASTER_DATABASE!$AG$4:$AG$1000,ROW()-3)&amp;"")</f>
        <v>To Verify</v>
      </c>
      <c r="W172" s="7" t="str">
        <f aca="false">IF(INDEX(MASTER_DATABASE!$A$4:$A$1000,ROW()-3)="","",INDEX(MASTER_DATABASE!$AH$4:$AH$1000,ROW()-3)&amp;"")</f>
        <v>No</v>
      </c>
      <c r="X172" s="7" t="str">
        <f aca="false">IF(INDEX(MASTER_DATABASE!$A$4:$A$1000,ROW()-3)="","",INDEX(MASTER_DATABASE!$AI$4:$AI$1000,ROW()-3)&amp;"")</f>
        <v>No</v>
      </c>
      <c r="Y172" s="7" t="str">
        <f aca="false">IF(INDEX(MASTER_DATABASE!$A$4:$A$1000,ROW()-3)="","",INDEX(MASTER_DATABASE!$AJ$4:$AJ$1000,ROW()-3)&amp;"")</f>
        <v>No</v>
      </c>
      <c r="Z172" s="7" t="str">
        <f aca="false">IF(INDEX(MASTER_DATABASE!$A$4:$A$1000,ROW()-3)="","",INDEX(MASTER_DATABASE!$AK$4:$AK$1000,ROW()-3)&amp;"")</f>
        <v>No</v>
      </c>
      <c r="AA172" s="7" t="str">
        <f aca="false">IF(INDEX(MASTER_DATABASE!$A$4:$A$1000,ROW()-3)="","",INDEX(MASTER_DATABASE!$BE$4:$BE$1000,ROW()-3)&amp;"")</f>
        <v>HIDDEN</v>
      </c>
    </row>
    <row r="173" customFormat="false" ht="46.25" hidden="false" customHeight="false" outlineLevel="0" collapsed="false">
      <c r="A173" s="11" t="str">
        <f aca="false">IF(INDEX(MASTER_DATABASE!$A$4:$A$1000,ROW()-3)="","",INDEX(MASTER_DATABASE!$A$4:$A$1000,ROW()-3)&amp;"")</f>
        <v>MOB-015</v>
      </c>
      <c r="B173" s="7" t="str">
        <f aca="false">IF(INDEX(MASTER_DATABASE!$A$4:$A$1000,ROW()-3)="","",INDEX(MASTER_DATABASE!$B$4:$B$1000,ROW()-3)&amp;"")</f>
        <v>Mobile Store</v>
      </c>
      <c r="C173" s="7" t="str">
        <f aca="false">IF(INDEX(MASTER_DATABASE!$A$4:$A$1000,ROW()-3)="","",INDEX(MASTER_DATABASE!$C$4:$C$1000,ROW()-3)&amp;"")</f>
        <v>Mobile Retail &amp; Services</v>
      </c>
      <c r="D173" s="7" t="str">
        <f aca="false">IF(INDEX(MASTER_DATABASE!$A$4:$A$1000,ROW()-3)="","",INDEX(MASTER_DATABASE!$D$4:$D$1000,ROW()-3)&amp;"")</f>
        <v>SIM Services</v>
      </c>
      <c r="E173" s="7" t="str">
        <f aca="false">IF(INDEX(MASTER_DATABASE!$A$4:$A$1000,ROW()-3)="","",INDEX(MASTER_DATABASE!$E$4:$E$1000,ROW()-3)&amp;"")</f>
        <v>SIM Replacement (Lost / Damaged SIM)</v>
      </c>
      <c r="F173" s="7" t="str">
        <f aca="false">IF(INDEX(MASTER_DATABASE!$A$4:$A$1000,ROW()-3)="","",INDEX(MASTER_DATABASE!$F$4:$F$1000,ROW()-3)&amp;"")</f>
        <v>सिम रिप्लेसमेंट (खोया / खराब सिम)</v>
      </c>
      <c r="G173" s="7" t="str">
        <f aca="false">IF(INDEX(MASTER_DATABASE!$A$4:$A$1000,ROW()-3)="","",INDEX(MASTER_DATABASE!$AL$4:$AL$1000,ROW()-3)&amp;"")</f>
        <v>Mobile Store</v>
      </c>
      <c r="H173" s="7" t="str">
        <f aca="false">IF(INDEX(MASTER_DATABASE!$A$4:$A$1000,ROW()-3)="","",INDEX(MASTER_DATABASE!$AM$4:$AM$1000,ROW()-3)&amp;"")</f>
        <v>SIM Services</v>
      </c>
      <c r="I173" s="7" t="str">
        <f aca="false">IF(INDEX(MASTER_DATABASE!$A$4:$A$1000,ROW()-3)="","",INDEX(MASTER_DATABASE!$AO$4:$AO$1000,ROW()-3)&amp;"")</f>
        <v>sim-replacement-lost-damaged-sim</v>
      </c>
      <c r="J173" s="7" t="str">
        <f aca="false">IF(INDEX(MASTER_DATABASE!$A$4:$A$1000,ROW()-3)="","",INDEX(MASTER_DATABASE!$BD$4:$BD$1000,ROW()-3)&amp;"")</f>
        <v>/services/sim-replacement-lost-damaged-sim</v>
      </c>
      <c r="K173" s="7" t="str">
        <f aca="false">IF(INDEX(MASTER_DATABASE!$A$4:$A$1000,ROW()-3)="","",INDEX(MASTER_DATABASE!$AX$4:$AX$1000,ROW()-3)&amp;"")</f>
        <v>SIM Replacement (Lost / Damaged SIM) Service | Devmobile Stores</v>
      </c>
      <c r="L173" s="7" t="str">
        <f aca="false">IF(INDEX(MASTER_DATABASE!$A$4:$A$1000,ROW()-3)="","",INDEX(MASTER_DATABASE!$AY$4:$AY$1000,ROW()-3)&amp;"")</f>
        <v>SIM Replacement (Lost / Damaged SIM) (सिम रिप्लेसमेंट (खोया / खराब सिम)) at Devmobile Stores and Common Service Center &amp; Aadhaar Centre. Check required documents, charges and process before you visit.</v>
      </c>
      <c r="M173" s="7" t="str">
        <f aca="false">IF(INDEX(MASTER_DATABASE!$A$4:$A$1000,ROW()-3)="","",INDEX(MASTER_DATABASE!$AN$4:$AN$1000,ROW()-3)&amp;"")</f>
        <v>SIM Replacement (Lost / Damaged SIM), Mobile Store, Devmobile Stores, सिम रिप्लेसमेंट (खोया / खराब सिम), मोबाइल स्टोर, सेवा</v>
      </c>
      <c r="N173" s="7" t="str">
        <f aca="false">IF(INDEX(MASTER_DATABASE!$A$4:$A$1000,ROW()-3)="","",INDEX(MASTER_DATABASE!$AZ$4:$AZ$1000,ROW()-3)&amp;"")</f>
        <v>सिम रिप्लेसमेंट (खोया / खराब सिम), मोबाइल स्टोर, सेवा</v>
      </c>
      <c r="O173" s="7" t="str">
        <f aca="false">IF(INDEX(MASTER_DATABASE!$A$4:$A$1000,ROW()-3)="","",INDEX(MASTER_DATABASE!$BA$4:$BA$1000,ROW()-3)&amp;"")</f>
        <v>SIM Replacement (Lost / Damaged SIM), Mobile Store, Devmobile Stores</v>
      </c>
      <c r="P173" s="11" t="str">
        <f aca="false">IF(INDEX(MASTER_DATABASE!$A$4:$A$1000,ROW()-3)="","",INDEX(MASTER_DATABASE!$AP$4:$AP$1000,ROW()-3)&amp;"")</f>
        <v>📶</v>
      </c>
      <c r="Q173" s="7" t="str">
        <f aca="false">IF(INDEX(MASTER_DATABASE!$A$4:$A$1000,ROW()-3)="","",INDEX(MASTER_DATABASE!$BB$4:$BB$1000,ROW()-3)&amp;"")</f>
        <v/>
      </c>
      <c r="R173" s="11" t="str">
        <f aca="false">IF(INDEX(MASTER_DATABASE!$A$4:$A$1000,ROW()-3)="","",INDEX(MASTER_DATABASE!$BC$4:$BC$1000,ROW()-3)&amp;"")</f>
        <v>📱</v>
      </c>
      <c r="S173" s="11" t="n">
        <f aca="false">IF(INDEX(MASTER_DATABASE!$A$4:$A$1000,ROW()-3)="","",INDEX(MASTER_DATABASE!$AQ$4:$AQ$1000,ROW()-3))</f>
        <v>150</v>
      </c>
      <c r="T173" s="7" t="str">
        <f aca="false">IF(INDEX(MASTER_DATABASE!$A$4:$A$1000,ROW()-3)="","",INDEX(MASTER_DATABASE!$I$4:$I$1000,ROW()-3)&amp;"")</f>
        <v>Authorization Required</v>
      </c>
      <c r="U173" s="7" t="str">
        <f aca="false">IF(INDEX(MASTER_DATABASE!$A$4:$A$1000,ROW()-3)="","",INDEX(MASTER_DATABASE!$J$4:$J$1000,ROW()-3)&amp;"")</f>
        <v>Please Confirm at Shop</v>
      </c>
      <c r="V173" s="7" t="str">
        <f aca="false">IF(INDEX(MASTER_DATABASE!$A$4:$A$1000,ROW()-3)="","",INDEX(MASTER_DATABASE!$AG$4:$AG$1000,ROW()-3)&amp;"")</f>
        <v>To Verify</v>
      </c>
      <c r="W173" s="7" t="str">
        <f aca="false">IF(INDEX(MASTER_DATABASE!$A$4:$A$1000,ROW()-3)="","",INDEX(MASTER_DATABASE!$AH$4:$AH$1000,ROW()-3)&amp;"")</f>
        <v>No</v>
      </c>
      <c r="X173" s="7" t="str">
        <f aca="false">IF(INDEX(MASTER_DATABASE!$A$4:$A$1000,ROW()-3)="","",INDEX(MASTER_DATABASE!$AI$4:$AI$1000,ROW()-3)&amp;"")</f>
        <v>No</v>
      </c>
      <c r="Y173" s="7" t="str">
        <f aca="false">IF(INDEX(MASTER_DATABASE!$A$4:$A$1000,ROW()-3)="","",INDEX(MASTER_DATABASE!$AJ$4:$AJ$1000,ROW()-3)&amp;"")</f>
        <v>No</v>
      </c>
      <c r="Z173" s="7" t="str">
        <f aca="false">IF(INDEX(MASTER_DATABASE!$A$4:$A$1000,ROW()-3)="","",INDEX(MASTER_DATABASE!$AK$4:$AK$1000,ROW()-3)&amp;"")</f>
        <v>No</v>
      </c>
      <c r="AA173" s="7" t="str">
        <f aca="false">IF(INDEX(MASTER_DATABASE!$A$4:$A$1000,ROW()-3)="","",INDEX(MASTER_DATABASE!$BE$4:$BE$1000,ROW()-3)&amp;"")</f>
        <v>HIDDEN</v>
      </c>
    </row>
    <row r="174" customFormat="false" ht="57.45" hidden="false" customHeight="false" outlineLevel="0" collapsed="false">
      <c r="A174" s="11" t="str">
        <f aca="false">IF(INDEX(MASTER_DATABASE!$A$4:$A$1000,ROW()-3)="","",INDEX(MASTER_DATABASE!$A$4:$A$1000,ROW()-3)&amp;"")</f>
        <v>MOB-016</v>
      </c>
      <c r="B174" s="7" t="str">
        <f aca="false">IF(INDEX(MASTER_DATABASE!$A$4:$A$1000,ROW()-3)="","",INDEX(MASTER_DATABASE!$B$4:$B$1000,ROW()-3)&amp;"")</f>
        <v>Mobile Store</v>
      </c>
      <c r="C174" s="7" t="str">
        <f aca="false">IF(INDEX(MASTER_DATABASE!$A$4:$A$1000,ROW()-3)="","",INDEX(MASTER_DATABASE!$C$4:$C$1000,ROW()-3)&amp;"")</f>
        <v>Mobile Retail &amp; Services</v>
      </c>
      <c r="D174" s="7" t="str">
        <f aca="false">IF(INDEX(MASTER_DATABASE!$A$4:$A$1000,ROW()-3)="","",INDEX(MASTER_DATABASE!$D$4:$D$1000,ROW()-3)&amp;"")</f>
        <v>SIM Services</v>
      </c>
      <c r="E174" s="7" t="str">
        <f aca="false">IF(INDEX(MASTER_DATABASE!$A$4:$A$1000,ROW()-3)="","",INDEX(MASTER_DATABASE!$E$4:$E$1000,ROW()-3)&amp;"")</f>
        <v>Mobile Number Portability (MNP) Assistance</v>
      </c>
      <c r="F174" s="7" t="str">
        <f aca="false">IF(INDEX(MASTER_DATABASE!$A$4:$A$1000,ROW()-3)="","",INDEX(MASTER_DATABASE!$F$4:$F$1000,ROW()-3)&amp;"")</f>
        <v>मोबाइल नंबर पोर्टेबिलिटी (MNP) सहायता</v>
      </c>
      <c r="G174" s="7" t="str">
        <f aca="false">IF(INDEX(MASTER_DATABASE!$A$4:$A$1000,ROW()-3)="","",INDEX(MASTER_DATABASE!$AL$4:$AL$1000,ROW()-3)&amp;"")</f>
        <v>Mobile Store</v>
      </c>
      <c r="H174" s="7" t="str">
        <f aca="false">IF(INDEX(MASTER_DATABASE!$A$4:$A$1000,ROW()-3)="","",INDEX(MASTER_DATABASE!$AM$4:$AM$1000,ROW()-3)&amp;"")</f>
        <v>SIM Services</v>
      </c>
      <c r="I174" s="7" t="str">
        <f aca="false">IF(INDEX(MASTER_DATABASE!$A$4:$A$1000,ROW()-3)="","",INDEX(MASTER_DATABASE!$AO$4:$AO$1000,ROW()-3)&amp;"")</f>
        <v>mobile-number-portability-mnp-assistance</v>
      </c>
      <c r="J174" s="7" t="str">
        <f aca="false">IF(INDEX(MASTER_DATABASE!$A$4:$A$1000,ROW()-3)="","",INDEX(MASTER_DATABASE!$BD$4:$BD$1000,ROW()-3)&amp;"")</f>
        <v>/services/mobile-number-portability-mnp-assistance</v>
      </c>
      <c r="K174" s="7" t="str">
        <f aca="false">IF(INDEX(MASTER_DATABASE!$A$4:$A$1000,ROW()-3)="","",INDEX(MASTER_DATABASE!$AX$4:$AX$1000,ROW()-3)&amp;"")</f>
        <v>Mobile Number Portability (MNP) Assistance Service | Devmobile Stores</v>
      </c>
      <c r="L174" s="7" t="str">
        <f aca="false">IF(INDEX(MASTER_DATABASE!$A$4:$A$1000,ROW()-3)="","",INDEX(MASTER_DATABASE!$AY$4:$AY$1000,ROW()-3)&amp;"")</f>
        <v>Mobile Number Portability (MNP) Assistance (मोबाइल नंबर पोर्टेबिलिटी (MNP) सहायता) at Devmobile Stores and Common Service Center &amp; Aadhaar Centre. Check required documents, charges and process before you visit.</v>
      </c>
      <c r="M174" s="7" t="str">
        <f aca="false">IF(INDEX(MASTER_DATABASE!$A$4:$A$1000,ROW()-3)="","",INDEX(MASTER_DATABASE!$AN$4:$AN$1000,ROW()-3)&amp;"")</f>
        <v>Mobile Number Portability (MNP) Assistance, Mobile Store, Devmobile Stores, मोबाइल नंबर पोर्टेबिलिटी (MNP) सहायता, मोबाइल स्टोर, सेवा</v>
      </c>
      <c r="N174" s="7" t="str">
        <f aca="false">IF(INDEX(MASTER_DATABASE!$A$4:$A$1000,ROW()-3)="","",INDEX(MASTER_DATABASE!$AZ$4:$AZ$1000,ROW()-3)&amp;"")</f>
        <v>मोबाइल नंबर पोर्टेबिलिटी (MNP) सहायता, मोबाइल स्टोर, सेवा</v>
      </c>
      <c r="O174" s="7" t="str">
        <f aca="false">IF(INDEX(MASTER_DATABASE!$A$4:$A$1000,ROW()-3)="","",INDEX(MASTER_DATABASE!$BA$4:$BA$1000,ROW()-3)&amp;"")</f>
        <v>Mobile Number Portability (MNP) Assistance, Mobile Store, Devmobile Stores</v>
      </c>
      <c r="P174" s="11" t="str">
        <f aca="false">IF(INDEX(MASTER_DATABASE!$A$4:$A$1000,ROW()-3)="","",INDEX(MASTER_DATABASE!$AP$4:$AP$1000,ROW()-3)&amp;"")</f>
        <v>📶</v>
      </c>
      <c r="Q174" s="7" t="str">
        <f aca="false">IF(INDEX(MASTER_DATABASE!$A$4:$A$1000,ROW()-3)="","",INDEX(MASTER_DATABASE!$BB$4:$BB$1000,ROW()-3)&amp;"")</f>
        <v/>
      </c>
      <c r="R174" s="11" t="str">
        <f aca="false">IF(INDEX(MASTER_DATABASE!$A$4:$A$1000,ROW()-3)="","",INDEX(MASTER_DATABASE!$BC$4:$BC$1000,ROW()-3)&amp;"")</f>
        <v>📱</v>
      </c>
      <c r="S174" s="11" t="n">
        <f aca="false">IF(INDEX(MASTER_DATABASE!$A$4:$A$1000,ROW()-3)="","",INDEX(MASTER_DATABASE!$AQ$4:$AQ$1000,ROW()-3))</f>
        <v>160</v>
      </c>
      <c r="T174" s="7" t="str">
        <f aca="false">IF(INDEX(MASTER_DATABASE!$A$4:$A$1000,ROW()-3)="","",INDEX(MASTER_DATABASE!$I$4:$I$1000,ROW()-3)&amp;"")</f>
        <v>Authorization Required</v>
      </c>
      <c r="U174" s="7" t="str">
        <f aca="false">IF(INDEX(MASTER_DATABASE!$A$4:$A$1000,ROW()-3)="","",INDEX(MASTER_DATABASE!$J$4:$J$1000,ROW()-3)&amp;"")</f>
        <v>Please Confirm at Shop</v>
      </c>
      <c r="V174" s="7" t="str">
        <f aca="false">IF(INDEX(MASTER_DATABASE!$A$4:$A$1000,ROW()-3)="","",INDEX(MASTER_DATABASE!$AG$4:$AG$1000,ROW()-3)&amp;"")</f>
        <v>To Verify</v>
      </c>
      <c r="W174" s="7" t="str">
        <f aca="false">IF(INDEX(MASTER_DATABASE!$A$4:$A$1000,ROW()-3)="","",INDEX(MASTER_DATABASE!$AH$4:$AH$1000,ROW()-3)&amp;"")</f>
        <v>No</v>
      </c>
      <c r="X174" s="7" t="str">
        <f aca="false">IF(INDEX(MASTER_DATABASE!$A$4:$A$1000,ROW()-3)="","",INDEX(MASTER_DATABASE!$AI$4:$AI$1000,ROW()-3)&amp;"")</f>
        <v>No</v>
      </c>
      <c r="Y174" s="7" t="str">
        <f aca="false">IF(INDEX(MASTER_DATABASE!$A$4:$A$1000,ROW()-3)="","",INDEX(MASTER_DATABASE!$AJ$4:$AJ$1000,ROW()-3)&amp;"")</f>
        <v>No</v>
      </c>
      <c r="Z174" s="7" t="str">
        <f aca="false">IF(INDEX(MASTER_DATABASE!$A$4:$A$1000,ROW()-3)="","",INDEX(MASTER_DATABASE!$AK$4:$AK$1000,ROW()-3)&amp;"")</f>
        <v>No</v>
      </c>
      <c r="AA174" s="7" t="str">
        <f aca="false">IF(INDEX(MASTER_DATABASE!$A$4:$A$1000,ROW()-3)="","",INDEX(MASTER_DATABASE!$BE$4:$BE$1000,ROW()-3)&amp;"")</f>
        <v>HIDDEN</v>
      </c>
    </row>
    <row r="175" customFormat="false" ht="46.25" hidden="false" customHeight="false" outlineLevel="0" collapsed="false">
      <c r="A175" s="11" t="str">
        <f aca="false">IF(INDEX(MASTER_DATABASE!$A$4:$A$1000,ROW()-3)="","",INDEX(MASTER_DATABASE!$A$4:$A$1000,ROW()-3)&amp;"")</f>
        <v>MOB-017</v>
      </c>
      <c r="B175" s="7" t="str">
        <f aca="false">IF(INDEX(MASTER_DATABASE!$A$4:$A$1000,ROW()-3)="","",INDEX(MASTER_DATABASE!$B$4:$B$1000,ROW()-3)&amp;"")</f>
        <v>Mobile Store</v>
      </c>
      <c r="C175" s="7" t="str">
        <f aca="false">IF(INDEX(MASTER_DATABASE!$A$4:$A$1000,ROW()-3)="","",INDEX(MASTER_DATABASE!$C$4:$C$1000,ROW()-3)&amp;"")</f>
        <v>Mobile Retail &amp; Services</v>
      </c>
      <c r="D175" s="7" t="str">
        <f aca="false">IF(INDEX(MASTER_DATABASE!$A$4:$A$1000,ROW()-3)="","",INDEX(MASTER_DATABASE!$D$4:$D$1000,ROW()-3)&amp;"")</f>
        <v>SIM Services</v>
      </c>
      <c r="E175" s="7" t="str">
        <f aca="false">IF(INDEX(MASTER_DATABASE!$A$4:$A$1000,ROW()-3)="","",INDEX(MASTER_DATABASE!$E$4:$E$1000,ROW()-3)&amp;"")</f>
        <v>SIM KYC / Re-verification Assistance</v>
      </c>
      <c r="F175" s="7" t="str">
        <f aca="false">IF(INDEX(MASTER_DATABASE!$A$4:$A$1000,ROW()-3)="","",INDEX(MASTER_DATABASE!$F$4:$F$1000,ROW()-3)&amp;"")</f>
        <v>सिम KYC / पुनः सत्यापन सहायता</v>
      </c>
      <c r="G175" s="7" t="str">
        <f aca="false">IF(INDEX(MASTER_DATABASE!$A$4:$A$1000,ROW()-3)="","",INDEX(MASTER_DATABASE!$AL$4:$AL$1000,ROW()-3)&amp;"")</f>
        <v>Mobile Store</v>
      </c>
      <c r="H175" s="7" t="str">
        <f aca="false">IF(INDEX(MASTER_DATABASE!$A$4:$A$1000,ROW()-3)="","",INDEX(MASTER_DATABASE!$AM$4:$AM$1000,ROW()-3)&amp;"")</f>
        <v>SIM Services</v>
      </c>
      <c r="I175" s="7" t="str">
        <f aca="false">IF(INDEX(MASTER_DATABASE!$A$4:$A$1000,ROW()-3)="","",INDEX(MASTER_DATABASE!$AO$4:$AO$1000,ROW()-3)&amp;"")</f>
        <v>sim-kyc-re-verification-assistance</v>
      </c>
      <c r="J175" s="7" t="str">
        <f aca="false">IF(INDEX(MASTER_DATABASE!$A$4:$A$1000,ROW()-3)="","",INDEX(MASTER_DATABASE!$BD$4:$BD$1000,ROW()-3)&amp;"")</f>
        <v>/services/sim-kyc-re-verification-assistance</v>
      </c>
      <c r="K175" s="7" t="str">
        <f aca="false">IF(INDEX(MASTER_DATABASE!$A$4:$A$1000,ROW()-3)="","",INDEX(MASTER_DATABASE!$AX$4:$AX$1000,ROW()-3)&amp;"")</f>
        <v>SIM KYC / Re-verification Assistance Service | Devmobile Stores</v>
      </c>
      <c r="L175" s="7" t="str">
        <f aca="false">IF(INDEX(MASTER_DATABASE!$A$4:$A$1000,ROW()-3)="","",INDEX(MASTER_DATABASE!$AY$4:$AY$1000,ROW()-3)&amp;"")</f>
        <v>SIM KYC / Re-verification Assistance (सिम KYC / पुनः सत्यापन सहायता) at Devmobile Stores and Common Service Center &amp; Aadhaar Centre. Check required documents, charges and process before you visit.</v>
      </c>
      <c r="M175" s="7" t="str">
        <f aca="false">IF(INDEX(MASTER_DATABASE!$A$4:$A$1000,ROW()-3)="","",INDEX(MASTER_DATABASE!$AN$4:$AN$1000,ROW()-3)&amp;"")</f>
        <v>SIM KYC / Re-verification Assistance, Mobile Store, Devmobile Stores, सिम KYC / पुनः सत्यापन सहायता, मोबाइल स्टोर, सेवा</v>
      </c>
      <c r="N175" s="7" t="str">
        <f aca="false">IF(INDEX(MASTER_DATABASE!$A$4:$A$1000,ROW()-3)="","",INDEX(MASTER_DATABASE!$AZ$4:$AZ$1000,ROW()-3)&amp;"")</f>
        <v>सिम KYC / पुनः सत्यापन सहायता, मोबाइल स्टोर, सेवा</v>
      </c>
      <c r="O175" s="7" t="str">
        <f aca="false">IF(INDEX(MASTER_DATABASE!$A$4:$A$1000,ROW()-3)="","",INDEX(MASTER_DATABASE!$BA$4:$BA$1000,ROW()-3)&amp;"")</f>
        <v>SIM KYC / Re-verification Assistance, Mobile Store, Devmobile Stores</v>
      </c>
      <c r="P175" s="11" t="str">
        <f aca="false">IF(INDEX(MASTER_DATABASE!$A$4:$A$1000,ROW()-3)="","",INDEX(MASTER_DATABASE!$AP$4:$AP$1000,ROW()-3)&amp;"")</f>
        <v>📶</v>
      </c>
      <c r="Q175" s="7" t="str">
        <f aca="false">IF(INDEX(MASTER_DATABASE!$A$4:$A$1000,ROW()-3)="","",INDEX(MASTER_DATABASE!$BB$4:$BB$1000,ROW()-3)&amp;"")</f>
        <v/>
      </c>
      <c r="R175" s="11" t="str">
        <f aca="false">IF(INDEX(MASTER_DATABASE!$A$4:$A$1000,ROW()-3)="","",INDEX(MASTER_DATABASE!$BC$4:$BC$1000,ROW()-3)&amp;"")</f>
        <v>📱</v>
      </c>
      <c r="S175" s="11" t="n">
        <f aca="false">IF(INDEX(MASTER_DATABASE!$A$4:$A$1000,ROW()-3)="","",INDEX(MASTER_DATABASE!$AQ$4:$AQ$1000,ROW()-3))</f>
        <v>170</v>
      </c>
      <c r="T175" s="7" t="str">
        <f aca="false">IF(INDEX(MASTER_DATABASE!$A$4:$A$1000,ROW()-3)="","",INDEX(MASTER_DATABASE!$I$4:$I$1000,ROW()-3)&amp;"")</f>
        <v>Authorization Required</v>
      </c>
      <c r="U175" s="7" t="str">
        <f aca="false">IF(INDEX(MASTER_DATABASE!$A$4:$A$1000,ROW()-3)="","",INDEX(MASTER_DATABASE!$J$4:$J$1000,ROW()-3)&amp;"")</f>
        <v>Please Confirm at Shop</v>
      </c>
      <c r="V175" s="7" t="str">
        <f aca="false">IF(INDEX(MASTER_DATABASE!$A$4:$A$1000,ROW()-3)="","",INDEX(MASTER_DATABASE!$AG$4:$AG$1000,ROW()-3)&amp;"")</f>
        <v>To Verify</v>
      </c>
      <c r="W175" s="7" t="str">
        <f aca="false">IF(INDEX(MASTER_DATABASE!$A$4:$A$1000,ROW()-3)="","",INDEX(MASTER_DATABASE!$AH$4:$AH$1000,ROW()-3)&amp;"")</f>
        <v>No</v>
      </c>
      <c r="X175" s="7" t="str">
        <f aca="false">IF(INDEX(MASTER_DATABASE!$A$4:$A$1000,ROW()-3)="","",INDEX(MASTER_DATABASE!$AI$4:$AI$1000,ROW()-3)&amp;"")</f>
        <v>No</v>
      </c>
      <c r="Y175" s="7" t="str">
        <f aca="false">IF(INDEX(MASTER_DATABASE!$A$4:$A$1000,ROW()-3)="","",INDEX(MASTER_DATABASE!$AJ$4:$AJ$1000,ROW()-3)&amp;"")</f>
        <v>No</v>
      </c>
      <c r="Z175" s="7" t="str">
        <f aca="false">IF(INDEX(MASTER_DATABASE!$A$4:$A$1000,ROW()-3)="","",INDEX(MASTER_DATABASE!$AK$4:$AK$1000,ROW()-3)&amp;"")</f>
        <v>No</v>
      </c>
      <c r="AA175" s="7" t="str">
        <f aca="false">IF(INDEX(MASTER_DATABASE!$A$4:$A$1000,ROW()-3)="","",INDEX(MASTER_DATABASE!$BE$4:$BE$1000,ROW()-3)&amp;"")</f>
        <v>HIDDEN</v>
      </c>
    </row>
    <row r="176" customFormat="false" ht="46.25" hidden="false" customHeight="false" outlineLevel="0" collapsed="false">
      <c r="A176" s="11" t="str">
        <f aca="false">IF(INDEX(MASTER_DATABASE!$A$4:$A$1000,ROW()-3)="","",INDEX(MASTER_DATABASE!$A$4:$A$1000,ROW()-3)&amp;"")</f>
        <v>MOB-018</v>
      </c>
      <c r="B176" s="7" t="str">
        <f aca="false">IF(INDEX(MASTER_DATABASE!$A$4:$A$1000,ROW()-3)="","",INDEX(MASTER_DATABASE!$B$4:$B$1000,ROW()-3)&amp;"")</f>
        <v>Mobile Store</v>
      </c>
      <c r="C176" s="7" t="str">
        <f aca="false">IF(INDEX(MASTER_DATABASE!$A$4:$A$1000,ROW()-3)="","",INDEX(MASTER_DATABASE!$C$4:$C$1000,ROW()-3)&amp;"")</f>
        <v>Mobile Retail &amp; Services</v>
      </c>
      <c r="D176" s="7" t="str">
        <f aca="false">IF(INDEX(MASTER_DATABASE!$A$4:$A$1000,ROW()-3)="","",INDEX(MASTER_DATABASE!$D$4:$D$1000,ROW()-3)&amp;"")</f>
        <v>Setup &amp; Support</v>
      </c>
      <c r="E176" s="7" t="str">
        <f aca="false">IF(INDEX(MASTER_DATABASE!$A$4:$A$1000,ROW()-3)="","",INDEX(MASTER_DATABASE!$E$4:$E$1000,ROW()-3)&amp;"")</f>
        <v>Basic Mobile Setup (New Phone)</v>
      </c>
      <c r="F176" s="7" t="str">
        <f aca="false">IF(INDEX(MASTER_DATABASE!$A$4:$A$1000,ROW()-3)="","",INDEX(MASTER_DATABASE!$F$4:$F$1000,ROW()-3)&amp;"")</f>
        <v>बेसिक मोबाइल सेटअप (नया फोन)</v>
      </c>
      <c r="G176" s="7" t="str">
        <f aca="false">IF(INDEX(MASTER_DATABASE!$A$4:$A$1000,ROW()-3)="","",INDEX(MASTER_DATABASE!$AL$4:$AL$1000,ROW()-3)&amp;"")</f>
        <v>Mobile Store</v>
      </c>
      <c r="H176" s="7" t="str">
        <f aca="false">IF(INDEX(MASTER_DATABASE!$A$4:$A$1000,ROW()-3)="","",INDEX(MASTER_DATABASE!$AM$4:$AM$1000,ROW()-3)&amp;"")</f>
        <v>Setup &amp; Support</v>
      </c>
      <c r="I176" s="7" t="str">
        <f aca="false">IF(INDEX(MASTER_DATABASE!$A$4:$A$1000,ROW()-3)="","",INDEX(MASTER_DATABASE!$AO$4:$AO$1000,ROW()-3)&amp;"")</f>
        <v>basic-mobile-setup-new-phone</v>
      </c>
      <c r="J176" s="7" t="str">
        <f aca="false">IF(INDEX(MASTER_DATABASE!$A$4:$A$1000,ROW()-3)="","",INDEX(MASTER_DATABASE!$BD$4:$BD$1000,ROW()-3)&amp;"")</f>
        <v>/services/basic-mobile-setup-new-phone</v>
      </c>
      <c r="K176" s="7" t="str">
        <f aca="false">IF(INDEX(MASTER_DATABASE!$A$4:$A$1000,ROW()-3)="","",INDEX(MASTER_DATABASE!$AX$4:$AX$1000,ROW()-3)&amp;"")</f>
        <v>Basic Mobile Setup (New Phone) Service | Devmobile Stores</v>
      </c>
      <c r="L176" s="7" t="str">
        <f aca="false">IF(INDEX(MASTER_DATABASE!$A$4:$A$1000,ROW()-3)="","",INDEX(MASTER_DATABASE!$AY$4:$AY$1000,ROW()-3)&amp;"")</f>
        <v>Basic Mobile Setup (New Phone) (बेसिक मोबाइल सेटअप (नया फोन)) at Devmobile Stores and Common Service Center &amp; Aadhaar Centre. Check required documents, charges and process before you visit.</v>
      </c>
      <c r="M176" s="7" t="str">
        <f aca="false">IF(INDEX(MASTER_DATABASE!$A$4:$A$1000,ROW()-3)="","",INDEX(MASTER_DATABASE!$AN$4:$AN$1000,ROW()-3)&amp;"")</f>
        <v>Basic Mobile Setup (New Phone), Mobile Store, Devmobile Stores, बेसिक मोबाइल सेटअप (नया फोन), मोबाइल स्टोर, सेवा</v>
      </c>
      <c r="N176" s="7" t="str">
        <f aca="false">IF(INDEX(MASTER_DATABASE!$A$4:$A$1000,ROW()-3)="","",INDEX(MASTER_DATABASE!$AZ$4:$AZ$1000,ROW()-3)&amp;"")</f>
        <v>बेसिक मोबाइल सेटअप (नया फोन), मोबाइल स्टोर, सेवा</v>
      </c>
      <c r="O176" s="7" t="str">
        <f aca="false">IF(INDEX(MASTER_DATABASE!$A$4:$A$1000,ROW()-3)="","",INDEX(MASTER_DATABASE!$BA$4:$BA$1000,ROW()-3)&amp;"")</f>
        <v>Basic Mobile Setup (New Phone), Mobile Store, Devmobile Stores</v>
      </c>
      <c r="P176" s="11" t="str">
        <f aca="false">IF(INDEX(MASTER_DATABASE!$A$4:$A$1000,ROW()-3)="","",INDEX(MASTER_DATABASE!$AP$4:$AP$1000,ROW()-3)&amp;"")</f>
        <v>🛠️</v>
      </c>
      <c r="Q176" s="7" t="str">
        <f aca="false">IF(INDEX(MASTER_DATABASE!$A$4:$A$1000,ROW()-3)="","",INDEX(MASTER_DATABASE!$BB$4:$BB$1000,ROW()-3)&amp;"")</f>
        <v/>
      </c>
      <c r="R176" s="11" t="str">
        <f aca="false">IF(INDEX(MASTER_DATABASE!$A$4:$A$1000,ROW()-3)="","",INDEX(MASTER_DATABASE!$BC$4:$BC$1000,ROW()-3)&amp;"")</f>
        <v>📱</v>
      </c>
      <c r="S176" s="11" t="n">
        <f aca="false">IF(INDEX(MASTER_DATABASE!$A$4:$A$1000,ROW()-3)="","",INDEX(MASTER_DATABASE!$AQ$4:$AQ$1000,ROW()-3))</f>
        <v>180</v>
      </c>
      <c r="T176" s="7" t="str">
        <f aca="false">IF(INDEX(MASTER_DATABASE!$A$4:$A$1000,ROW()-3)="","",INDEX(MASTER_DATABASE!$I$4:$I$1000,ROW()-3)&amp;"")</f>
        <v>Available</v>
      </c>
      <c r="U176" s="7" t="str">
        <f aca="false">IF(INDEX(MASTER_DATABASE!$A$4:$A$1000,ROW()-3)="","",INDEX(MASTER_DATABASE!$J$4:$J$1000,ROW()-3)&amp;"")</f>
        <v>Available</v>
      </c>
      <c r="V176" s="7" t="str">
        <f aca="false">IF(INDEX(MASTER_DATABASE!$A$4:$A$1000,ROW()-3)="","",INDEX(MASTER_DATABASE!$AG$4:$AG$1000,ROW()-3)&amp;"")</f>
        <v>Active</v>
      </c>
      <c r="W176" s="7" t="str">
        <f aca="false">IF(INDEX(MASTER_DATABASE!$A$4:$A$1000,ROW()-3)="","",INDEX(MASTER_DATABASE!$AH$4:$AH$1000,ROW()-3)&amp;"")</f>
        <v>Yes</v>
      </c>
      <c r="X176" s="7" t="str">
        <f aca="false">IF(INDEX(MASTER_DATABASE!$A$4:$A$1000,ROW()-3)="","",INDEX(MASTER_DATABASE!$AI$4:$AI$1000,ROW()-3)&amp;"")</f>
        <v>No</v>
      </c>
      <c r="Y176" s="7" t="str">
        <f aca="false">IF(INDEX(MASTER_DATABASE!$A$4:$A$1000,ROW()-3)="","",INDEX(MASTER_DATABASE!$AJ$4:$AJ$1000,ROW()-3)&amp;"")</f>
        <v>No</v>
      </c>
      <c r="Z176" s="7" t="str">
        <f aca="false">IF(INDEX(MASTER_DATABASE!$A$4:$A$1000,ROW()-3)="","",INDEX(MASTER_DATABASE!$AK$4:$AK$1000,ROW()-3)&amp;"")</f>
        <v>No</v>
      </c>
      <c r="AA176" s="7" t="str">
        <f aca="false">IF(INDEX(MASTER_DATABASE!$A$4:$A$1000,ROW()-3)="","",INDEX(MASTER_DATABASE!$BE$4:$BE$1000,ROW()-3)&amp;"")</f>
        <v>LIVE</v>
      </c>
    </row>
    <row r="177" customFormat="false" ht="46.25" hidden="false" customHeight="false" outlineLevel="0" collapsed="false">
      <c r="A177" s="11" t="str">
        <f aca="false">IF(INDEX(MASTER_DATABASE!$A$4:$A$1000,ROW()-3)="","",INDEX(MASTER_DATABASE!$A$4:$A$1000,ROW()-3)&amp;"")</f>
        <v>MOB-019</v>
      </c>
      <c r="B177" s="7" t="str">
        <f aca="false">IF(INDEX(MASTER_DATABASE!$A$4:$A$1000,ROW()-3)="","",INDEX(MASTER_DATABASE!$B$4:$B$1000,ROW()-3)&amp;"")</f>
        <v>Mobile Store</v>
      </c>
      <c r="C177" s="7" t="str">
        <f aca="false">IF(INDEX(MASTER_DATABASE!$A$4:$A$1000,ROW()-3)="","",INDEX(MASTER_DATABASE!$C$4:$C$1000,ROW()-3)&amp;"")</f>
        <v>Mobile Retail &amp; Services</v>
      </c>
      <c r="D177" s="7" t="str">
        <f aca="false">IF(INDEX(MASTER_DATABASE!$A$4:$A$1000,ROW()-3)="","",INDEX(MASTER_DATABASE!$D$4:$D$1000,ROW()-3)&amp;"")</f>
        <v>Setup &amp; Support</v>
      </c>
      <c r="E177" s="7" t="str">
        <f aca="false">IF(INDEX(MASTER_DATABASE!$A$4:$A$1000,ROW()-3)="","",INDEX(MASTER_DATABASE!$E$4:$E$1000,ROW()-3)&amp;"")</f>
        <v>App Installation / Setup</v>
      </c>
      <c r="F177" s="7" t="str">
        <f aca="false">IF(INDEX(MASTER_DATABASE!$A$4:$A$1000,ROW()-3)="","",INDEX(MASTER_DATABASE!$F$4:$F$1000,ROW()-3)&amp;"")</f>
        <v>ऐप इंस्टॉलेशन / सेटअप</v>
      </c>
      <c r="G177" s="7" t="str">
        <f aca="false">IF(INDEX(MASTER_DATABASE!$A$4:$A$1000,ROW()-3)="","",INDEX(MASTER_DATABASE!$AL$4:$AL$1000,ROW()-3)&amp;"")</f>
        <v>Mobile Store</v>
      </c>
      <c r="H177" s="7" t="str">
        <f aca="false">IF(INDEX(MASTER_DATABASE!$A$4:$A$1000,ROW()-3)="","",INDEX(MASTER_DATABASE!$AM$4:$AM$1000,ROW()-3)&amp;"")</f>
        <v>Setup &amp; Support</v>
      </c>
      <c r="I177" s="7" t="str">
        <f aca="false">IF(INDEX(MASTER_DATABASE!$A$4:$A$1000,ROW()-3)="","",INDEX(MASTER_DATABASE!$AO$4:$AO$1000,ROW()-3)&amp;"")</f>
        <v>app-installation-setup</v>
      </c>
      <c r="J177" s="7" t="str">
        <f aca="false">IF(INDEX(MASTER_DATABASE!$A$4:$A$1000,ROW()-3)="","",INDEX(MASTER_DATABASE!$BD$4:$BD$1000,ROW()-3)&amp;"")</f>
        <v>/services/app-installation-setup</v>
      </c>
      <c r="K177" s="7" t="str">
        <f aca="false">IF(INDEX(MASTER_DATABASE!$A$4:$A$1000,ROW()-3)="","",INDEX(MASTER_DATABASE!$AX$4:$AX$1000,ROW()-3)&amp;"")</f>
        <v>App Installation / Setup Service | Devmobile Stores</v>
      </c>
      <c r="L177" s="7" t="str">
        <f aca="false">IF(INDEX(MASTER_DATABASE!$A$4:$A$1000,ROW()-3)="","",INDEX(MASTER_DATABASE!$AY$4:$AY$1000,ROW()-3)&amp;"")</f>
        <v>App Installation / Setup (ऐप इंस्टॉलेशन / सेटअप) at Devmobile Stores and Common Service Center &amp; Aadhaar Centre. Check required documents, charges and process before you visit.</v>
      </c>
      <c r="M177" s="7" t="str">
        <f aca="false">IF(INDEX(MASTER_DATABASE!$A$4:$A$1000,ROW()-3)="","",INDEX(MASTER_DATABASE!$AN$4:$AN$1000,ROW()-3)&amp;"")</f>
        <v>App Installation / Setup, Mobile Store, Devmobile Stores, ऐप इंस्टॉलेशन / सेटअप, मोबाइल स्टोर, सेवा</v>
      </c>
      <c r="N177" s="7" t="str">
        <f aca="false">IF(INDEX(MASTER_DATABASE!$A$4:$A$1000,ROW()-3)="","",INDEX(MASTER_DATABASE!$AZ$4:$AZ$1000,ROW()-3)&amp;"")</f>
        <v>ऐप इंस्टॉलेशन / सेटअप, मोबाइल स्टोर, सेवा</v>
      </c>
      <c r="O177" s="7" t="str">
        <f aca="false">IF(INDEX(MASTER_DATABASE!$A$4:$A$1000,ROW()-3)="","",INDEX(MASTER_DATABASE!$BA$4:$BA$1000,ROW()-3)&amp;"")</f>
        <v>App Installation / Setup, Mobile Store, Devmobile Stores</v>
      </c>
      <c r="P177" s="11" t="str">
        <f aca="false">IF(INDEX(MASTER_DATABASE!$A$4:$A$1000,ROW()-3)="","",INDEX(MASTER_DATABASE!$AP$4:$AP$1000,ROW()-3)&amp;"")</f>
        <v>🛠️</v>
      </c>
      <c r="Q177" s="7" t="str">
        <f aca="false">IF(INDEX(MASTER_DATABASE!$A$4:$A$1000,ROW()-3)="","",INDEX(MASTER_DATABASE!$BB$4:$BB$1000,ROW()-3)&amp;"")</f>
        <v/>
      </c>
      <c r="R177" s="11" t="str">
        <f aca="false">IF(INDEX(MASTER_DATABASE!$A$4:$A$1000,ROW()-3)="","",INDEX(MASTER_DATABASE!$BC$4:$BC$1000,ROW()-3)&amp;"")</f>
        <v>📱</v>
      </c>
      <c r="S177" s="11" t="n">
        <f aca="false">IF(INDEX(MASTER_DATABASE!$A$4:$A$1000,ROW()-3)="","",INDEX(MASTER_DATABASE!$AQ$4:$AQ$1000,ROW()-3))</f>
        <v>190</v>
      </c>
      <c r="T177" s="7" t="str">
        <f aca="false">IF(INDEX(MASTER_DATABASE!$A$4:$A$1000,ROW()-3)="","",INDEX(MASTER_DATABASE!$I$4:$I$1000,ROW()-3)&amp;"")</f>
        <v>Available</v>
      </c>
      <c r="U177" s="7" t="str">
        <f aca="false">IF(INDEX(MASTER_DATABASE!$A$4:$A$1000,ROW()-3)="","",INDEX(MASTER_DATABASE!$J$4:$J$1000,ROW()-3)&amp;"")</f>
        <v>Available</v>
      </c>
      <c r="V177" s="7" t="str">
        <f aca="false">IF(INDEX(MASTER_DATABASE!$A$4:$A$1000,ROW()-3)="","",INDEX(MASTER_DATABASE!$AG$4:$AG$1000,ROW()-3)&amp;"")</f>
        <v>Active</v>
      </c>
      <c r="W177" s="7" t="str">
        <f aca="false">IF(INDEX(MASTER_DATABASE!$A$4:$A$1000,ROW()-3)="","",INDEX(MASTER_DATABASE!$AH$4:$AH$1000,ROW()-3)&amp;"")</f>
        <v>Yes</v>
      </c>
      <c r="X177" s="7" t="str">
        <f aca="false">IF(INDEX(MASTER_DATABASE!$A$4:$A$1000,ROW()-3)="","",INDEX(MASTER_DATABASE!$AI$4:$AI$1000,ROW()-3)&amp;"")</f>
        <v>No</v>
      </c>
      <c r="Y177" s="7" t="str">
        <f aca="false">IF(INDEX(MASTER_DATABASE!$A$4:$A$1000,ROW()-3)="","",INDEX(MASTER_DATABASE!$AJ$4:$AJ$1000,ROW()-3)&amp;"")</f>
        <v>No</v>
      </c>
      <c r="Z177" s="7" t="str">
        <f aca="false">IF(INDEX(MASTER_DATABASE!$A$4:$A$1000,ROW()-3)="","",INDEX(MASTER_DATABASE!$AK$4:$AK$1000,ROW()-3)&amp;"")</f>
        <v>No</v>
      </c>
      <c r="AA177" s="7" t="str">
        <f aca="false">IF(INDEX(MASTER_DATABASE!$A$4:$A$1000,ROW()-3)="","",INDEX(MASTER_DATABASE!$BE$4:$BE$1000,ROW()-3)&amp;"")</f>
        <v>LIVE</v>
      </c>
    </row>
    <row r="178" customFormat="false" ht="46.25" hidden="false" customHeight="false" outlineLevel="0" collapsed="false">
      <c r="A178" s="11" t="str">
        <f aca="false">IF(INDEX(MASTER_DATABASE!$A$4:$A$1000,ROW()-3)="","",INDEX(MASTER_DATABASE!$A$4:$A$1000,ROW()-3)&amp;"")</f>
        <v>MOB-020</v>
      </c>
      <c r="B178" s="7" t="str">
        <f aca="false">IF(INDEX(MASTER_DATABASE!$A$4:$A$1000,ROW()-3)="","",INDEX(MASTER_DATABASE!$B$4:$B$1000,ROW()-3)&amp;"")</f>
        <v>Mobile Store</v>
      </c>
      <c r="C178" s="7" t="str">
        <f aca="false">IF(INDEX(MASTER_DATABASE!$A$4:$A$1000,ROW()-3)="","",INDEX(MASTER_DATABASE!$C$4:$C$1000,ROW()-3)&amp;"")</f>
        <v>Mobile Retail &amp; Services</v>
      </c>
      <c r="D178" s="7" t="str">
        <f aca="false">IF(INDEX(MASTER_DATABASE!$A$4:$A$1000,ROW()-3)="","",INDEX(MASTER_DATABASE!$D$4:$D$1000,ROW()-3)&amp;"")</f>
        <v>Setup &amp; Support</v>
      </c>
      <c r="E178" s="7" t="str">
        <f aca="false">IF(INDEX(MASTER_DATABASE!$A$4:$A$1000,ROW()-3)="","",INDEX(MASTER_DATABASE!$E$4:$E$1000,ROW()-3)&amp;"")</f>
        <v>Data Transfer Assistance</v>
      </c>
      <c r="F178" s="7" t="str">
        <f aca="false">IF(INDEX(MASTER_DATABASE!$A$4:$A$1000,ROW()-3)="","",INDEX(MASTER_DATABASE!$F$4:$F$1000,ROW()-3)&amp;"")</f>
        <v>डेटा ट्रांसफर सहायता</v>
      </c>
      <c r="G178" s="7" t="str">
        <f aca="false">IF(INDEX(MASTER_DATABASE!$A$4:$A$1000,ROW()-3)="","",INDEX(MASTER_DATABASE!$AL$4:$AL$1000,ROW()-3)&amp;"")</f>
        <v>Mobile Store</v>
      </c>
      <c r="H178" s="7" t="str">
        <f aca="false">IF(INDEX(MASTER_DATABASE!$A$4:$A$1000,ROW()-3)="","",INDEX(MASTER_DATABASE!$AM$4:$AM$1000,ROW()-3)&amp;"")</f>
        <v>Setup &amp; Support</v>
      </c>
      <c r="I178" s="7" t="str">
        <f aca="false">IF(INDEX(MASTER_DATABASE!$A$4:$A$1000,ROW()-3)="","",INDEX(MASTER_DATABASE!$AO$4:$AO$1000,ROW()-3)&amp;"")</f>
        <v>data-transfer-assistance</v>
      </c>
      <c r="J178" s="7" t="str">
        <f aca="false">IF(INDEX(MASTER_DATABASE!$A$4:$A$1000,ROW()-3)="","",INDEX(MASTER_DATABASE!$BD$4:$BD$1000,ROW()-3)&amp;"")</f>
        <v>/services/data-transfer-assistance</v>
      </c>
      <c r="K178" s="7" t="str">
        <f aca="false">IF(INDEX(MASTER_DATABASE!$A$4:$A$1000,ROW()-3)="","",INDEX(MASTER_DATABASE!$AX$4:$AX$1000,ROW()-3)&amp;"")</f>
        <v>Data Transfer Assistance Service | Devmobile Stores</v>
      </c>
      <c r="L178" s="7" t="str">
        <f aca="false">IF(INDEX(MASTER_DATABASE!$A$4:$A$1000,ROW()-3)="","",INDEX(MASTER_DATABASE!$AY$4:$AY$1000,ROW()-3)&amp;"")</f>
        <v>Data Transfer Assistance (डेटा ट्रांसफर सहायता) at Devmobile Stores and Common Service Center &amp; Aadhaar Centre. Check required documents, charges and process before you visit.</v>
      </c>
      <c r="M178" s="7" t="str">
        <f aca="false">IF(INDEX(MASTER_DATABASE!$A$4:$A$1000,ROW()-3)="","",INDEX(MASTER_DATABASE!$AN$4:$AN$1000,ROW()-3)&amp;"")</f>
        <v>Data Transfer Assistance, Mobile Store, Devmobile Stores, डेटा ट्रांसफर सहायता, मोबाइल स्टोर, सेवा</v>
      </c>
      <c r="N178" s="7" t="str">
        <f aca="false">IF(INDEX(MASTER_DATABASE!$A$4:$A$1000,ROW()-3)="","",INDEX(MASTER_DATABASE!$AZ$4:$AZ$1000,ROW()-3)&amp;"")</f>
        <v>डेटा ट्रांसफर सहायता, मोबाइल स्टोर, सेवा</v>
      </c>
      <c r="O178" s="7" t="str">
        <f aca="false">IF(INDEX(MASTER_DATABASE!$A$4:$A$1000,ROW()-3)="","",INDEX(MASTER_DATABASE!$BA$4:$BA$1000,ROW()-3)&amp;"")</f>
        <v>Data Transfer Assistance, Mobile Store, Devmobile Stores</v>
      </c>
      <c r="P178" s="11" t="str">
        <f aca="false">IF(INDEX(MASTER_DATABASE!$A$4:$A$1000,ROW()-3)="","",INDEX(MASTER_DATABASE!$AP$4:$AP$1000,ROW()-3)&amp;"")</f>
        <v>🛠️</v>
      </c>
      <c r="Q178" s="7" t="str">
        <f aca="false">IF(INDEX(MASTER_DATABASE!$A$4:$A$1000,ROW()-3)="","",INDEX(MASTER_DATABASE!$BB$4:$BB$1000,ROW()-3)&amp;"")</f>
        <v/>
      </c>
      <c r="R178" s="11" t="str">
        <f aca="false">IF(INDEX(MASTER_DATABASE!$A$4:$A$1000,ROW()-3)="","",INDEX(MASTER_DATABASE!$BC$4:$BC$1000,ROW()-3)&amp;"")</f>
        <v>📱</v>
      </c>
      <c r="S178" s="11" t="n">
        <f aca="false">IF(INDEX(MASTER_DATABASE!$A$4:$A$1000,ROW()-3)="","",INDEX(MASTER_DATABASE!$AQ$4:$AQ$1000,ROW()-3))</f>
        <v>200</v>
      </c>
      <c r="T178" s="7" t="str">
        <f aca="false">IF(INDEX(MASTER_DATABASE!$A$4:$A$1000,ROW()-3)="","",INDEX(MASTER_DATABASE!$I$4:$I$1000,ROW()-3)&amp;"")</f>
        <v>Available</v>
      </c>
      <c r="U178" s="7" t="str">
        <f aca="false">IF(INDEX(MASTER_DATABASE!$A$4:$A$1000,ROW()-3)="","",INDEX(MASTER_DATABASE!$J$4:$J$1000,ROW()-3)&amp;"")</f>
        <v>Available</v>
      </c>
      <c r="V178" s="7" t="str">
        <f aca="false">IF(INDEX(MASTER_DATABASE!$A$4:$A$1000,ROW()-3)="","",INDEX(MASTER_DATABASE!$AG$4:$AG$1000,ROW()-3)&amp;"")</f>
        <v>Active</v>
      </c>
      <c r="W178" s="7" t="str">
        <f aca="false">IF(INDEX(MASTER_DATABASE!$A$4:$A$1000,ROW()-3)="","",INDEX(MASTER_DATABASE!$AH$4:$AH$1000,ROW()-3)&amp;"")</f>
        <v>Yes</v>
      </c>
      <c r="X178" s="7" t="str">
        <f aca="false">IF(INDEX(MASTER_DATABASE!$A$4:$A$1000,ROW()-3)="","",INDEX(MASTER_DATABASE!$AI$4:$AI$1000,ROW()-3)&amp;"")</f>
        <v>No</v>
      </c>
      <c r="Y178" s="7" t="str">
        <f aca="false">IF(INDEX(MASTER_DATABASE!$A$4:$A$1000,ROW()-3)="","",INDEX(MASTER_DATABASE!$AJ$4:$AJ$1000,ROW()-3)&amp;"")</f>
        <v>No</v>
      </c>
      <c r="Z178" s="7" t="str">
        <f aca="false">IF(INDEX(MASTER_DATABASE!$A$4:$A$1000,ROW()-3)="","",INDEX(MASTER_DATABASE!$AK$4:$AK$1000,ROW()-3)&amp;"")</f>
        <v>No</v>
      </c>
      <c r="AA178" s="7" t="str">
        <f aca="false">IF(INDEX(MASTER_DATABASE!$A$4:$A$1000,ROW()-3)="","",INDEX(MASTER_DATABASE!$BE$4:$BE$1000,ROW()-3)&amp;"")</f>
        <v>LIVE</v>
      </c>
    </row>
    <row r="179" customFormat="false" ht="57.45" hidden="false" customHeight="false" outlineLevel="0" collapsed="false">
      <c r="A179" s="11" t="str">
        <f aca="false">IF(INDEX(MASTER_DATABASE!$A$4:$A$1000,ROW()-3)="","",INDEX(MASTER_DATABASE!$A$4:$A$1000,ROW()-3)&amp;"")</f>
        <v>MOB-021</v>
      </c>
      <c r="B179" s="7" t="str">
        <f aca="false">IF(INDEX(MASTER_DATABASE!$A$4:$A$1000,ROW()-3)="","",INDEX(MASTER_DATABASE!$B$4:$B$1000,ROW()-3)&amp;"")</f>
        <v>Mobile Store</v>
      </c>
      <c r="C179" s="7" t="str">
        <f aca="false">IF(INDEX(MASTER_DATABASE!$A$4:$A$1000,ROW()-3)="","",INDEX(MASTER_DATABASE!$C$4:$C$1000,ROW()-3)&amp;"")</f>
        <v>Mobile Retail &amp; Services</v>
      </c>
      <c r="D179" s="7" t="str">
        <f aca="false">IF(INDEX(MASTER_DATABASE!$A$4:$A$1000,ROW()-3)="","",INDEX(MASTER_DATABASE!$D$4:$D$1000,ROW()-3)&amp;"")</f>
        <v>Setup &amp; Support</v>
      </c>
      <c r="E179" s="7" t="str">
        <f aca="false">IF(INDEX(MASTER_DATABASE!$A$4:$A$1000,ROW()-3)="","",INDEX(MASTER_DATABASE!$E$4:$E$1000,ROW()-3)&amp;"")</f>
        <v>Mobile Software Update / Reset Assistance</v>
      </c>
      <c r="F179" s="7" t="str">
        <f aca="false">IF(INDEX(MASTER_DATABASE!$A$4:$A$1000,ROW()-3)="","",INDEX(MASTER_DATABASE!$F$4:$F$1000,ROW()-3)&amp;"")</f>
        <v>मोबाइल सॉफ्टवेयर अपडेट / रीसेट सहायता</v>
      </c>
      <c r="G179" s="7" t="str">
        <f aca="false">IF(INDEX(MASTER_DATABASE!$A$4:$A$1000,ROW()-3)="","",INDEX(MASTER_DATABASE!$AL$4:$AL$1000,ROW()-3)&amp;"")</f>
        <v>Mobile Store</v>
      </c>
      <c r="H179" s="7" t="str">
        <f aca="false">IF(INDEX(MASTER_DATABASE!$A$4:$A$1000,ROW()-3)="","",INDEX(MASTER_DATABASE!$AM$4:$AM$1000,ROW()-3)&amp;"")</f>
        <v>Setup &amp; Support</v>
      </c>
      <c r="I179" s="7" t="str">
        <f aca="false">IF(INDEX(MASTER_DATABASE!$A$4:$A$1000,ROW()-3)="","",INDEX(MASTER_DATABASE!$AO$4:$AO$1000,ROW()-3)&amp;"")</f>
        <v>mobile-software-update-reset-assistance</v>
      </c>
      <c r="J179" s="7" t="str">
        <f aca="false">IF(INDEX(MASTER_DATABASE!$A$4:$A$1000,ROW()-3)="","",INDEX(MASTER_DATABASE!$BD$4:$BD$1000,ROW()-3)&amp;"")</f>
        <v>/services/mobile-software-update-reset-assistance</v>
      </c>
      <c r="K179" s="7" t="str">
        <f aca="false">IF(INDEX(MASTER_DATABASE!$A$4:$A$1000,ROW()-3)="","",INDEX(MASTER_DATABASE!$AX$4:$AX$1000,ROW()-3)&amp;"")</f>
        <v>Mobile Software Update / Reset Assistance Service | Devmobile Stores</v>
      </c>
      <c r="L179" s="7" t="str">
        <f aca="false">IF(INDEX(MASTER_DATABASE!$A$4:$A$1000,ROW()-3)="","",INDEX(MASTER_DATABASE!$AY$4:$AY$1000,ROW()-3)&amp;"")</f>
        <v>Mobile Software Update / Reset Assistance (मोबाइल सॉफ्टवेयर अपडेट / रीसेट सहायता) at Devmobile Stores and Common Service Center &amp; Aadhaar Centre. Check required documents, charges and process before you visit.</v>
      </c>
      <c r="M179" s="7" t="str">
        <f aca="false">IF(INDEX(MASTER_DATABASE!$A$4:$A$1000,ROW()-3)="","",INDEX(MASTER_DATABASE!$AN$4:$AN$1000,ROW()-3)&amp;"")</f>
        <v>Mobile Software Update / Reset Assistance, Mobile Store, Devmobile Stores, मोबाइल सॉफ्टवेयर अपडेट / रीसेट सहायता, मोबाइल स्टोर, सेवा</v>
      </c>
      <c r="N179" s="7" t="str">
        <f aca="false">IF(INDEX(MASTER_DATABASE!$A$4:$A$1000,ROW()-3)="","",INDEX(MASTER_DATABASE!$AZ$4:$AZ$1000,ROW()-3)&amp;"")</f>
        <v>मोबाइल सॉफ्टवेयर अपडेट / रीसेट सहायता, मोबाइल स्टोर, सेवा</v>
      </c>
      <c r="O179" s="7" t="str">
        <f aca="false">IF(INDEX(MASTER_DATABASE!$A$4:$A$1000,ROW()-3)="","",INDEX(MASTER_DATABASE!$BA$4:$BA$1000,ROW()-3)&amp;"")</f>
        <v>Mobile Software Update / Reset Assistance, Mobile Store, Devmobile Stores</v>
      </c>
      <c r="P179" s="11" t="str">
        <f aca="false">IF(INDEX(MASTER_DATABASE!$A$4:$A$1000,ROW()-3)="","",INDEX(MASTER_DATABASE!$AP$4:$AP$1000,ROW()-3)&amp;"")</f>
        <v>🛠️</v>
      </c>
      <c r="Q179" s="7" t="str">
        <f aca="false">IF(INDEX(MASTER_DATABASE!$A$4:$A$1000,ROW()-3)="","",INDEX(MASTER_DATABASE!$BB$4:$BB$1000,ROW()-3)&amp;"")</f>
        <v/>
      </c>
      <c r="R179" s="11" t="str">
        <f aca="false">IF(INDEX(MASTER_DATABASE!$A$4:$A$1000,ROW()-3)="","",INDEX(MASTER_DATABASE!$BC$4:$BC$1000,ROW()-3)&amp;"")</f>
        <v>📱</v>
      </c>
      <c r="S179" s="11" t="n">
        <f aca="false">IF(INDEX(MASTER_DATABASE!$A$4:$A$1000,ROW()-3)="","",INDEX(MASTER_DATABASE!$AQ$4:$AQ$1000,ROW()-3))</f>
        <v>210</v>
      </c>
      <c r="T179" s="7" t="str">
        <f aca="false">IF(INDEX(MASTER_DATABASE!$A$4:$A$1000,ROW()-3)="","",INDEX(MASTER_DATABASE!$I$4:$I$1000,ROW()-3)&amp;"")</f>
        <v>To Verify</v>
      </c>
      <c r="U179" s="7" t="str">
        <f aca="false">IF(INDEX(MASTER_DATABASE!$A$4:$A$1000,ROW()-3)="","",INDEX(MASTER_DATABASE!$J$4:$J$1000,ROW()-3)&amp;"")</f>
        <v>To Be Confirmed</v>
      </c>
      <c r="V179" s="7" t="str">
        <f aca="false">IF(INDEX(MASTER_DATABASE!$A$4:$A$1000,ROW()-3)="","",INDEX(MASTER_DATABASE!$AG$4:$AG$1000,ROW()-3)&amp;"")</f>
        <v>To Verify</v>
      </c>
      <c r="W179" s="7" t="str">
        <f aca="false">IF(INDEX(MASTER_DATABASE!$A$4:$A$1000,ROW()-3)="","",INDEX(MASTER_DATABASE!$AH$4:$AH$1000,ROW()-3)&amp;"")</f>
        <v>No</v>
      </c>
      <c r="X179" s="7" t="str">
        <f aca="false">IF(INDEX(MASTER_DATABASE!$A$4:$A$1000,ROW()-3)="","",INDEX(MASTER_DATABASE!$AI$4:$AI$1000,ROW()-3)&amp;"")</f>
        <v>No</v>
      </c>
      <c r="Y179" s="7" t="str">
        <f aca="false">IF(INDEX(MASTER_DATABASE!$A$4:$A$1000,ROW()-3)="","",INDEX(MASTER_DATABASE!$AJ$4:$AJ$1000,ROW()-3)&amp;"")</f>
        <v>No</v>
      </c>
      <c r="Z179" s="7" t="str">
        <f aca="false">IF(INDEX(MASTER_DATABASE!$A$4:$A$1000,ROW()-3)="","",INDEX(MASTER_DATABASE!$AK$4:$AK$1000,ROW()-3)&amp;"")</f>
        <v>No</v>
      </c>
      <c r="AA179" s="7" t="str">
        <f aca="false">IF(INDEX(MASTER_DATABASE!$A$4:$A$1000,ROW()-3)="","",INDEX(MASTER_DATABASE!$BE$4:$BE$1000,ROW()-3)&amp;"")</f>
        <v>HIDDEN</v>
      </c>
    </row>
    <row r="180" customFormat="false" ht="46.25" hidden="false" customHeight="false" outlineLevel="0" collapsed="false">
      <c r="A180" s="11" t="str">
        <f aca="false">IF(INDEX(MASTER_DATABASE!$A$4:$A$1000,ROW()-3)="","",INDEX(MASTER_DATABASE!$A$4:$A$1000,ROW()-3)&amp;"")</f>
        <v>MOB-022</v>
      </c>
      <c r="B180" s="7" t="str">
        <f aca="false">IF(INDEX(MASTER_DATABASE!$A$4:$A$1000,ROW()-3)="","",INDEX(MASTER_DATABASE!$B$4:$B$1000,ROW()-3)&amp;"")</f>
        <v>Mobile Store</v>
      </c>
      <c r="C180" s="7" t="str">
        <f aca="false">IF(INDEX(MASTER_DATABASE!$A$4:$A$1000,ROW()-3)="","",INDEX(MASTER_DATABASE!$C$4:$C$1000,ROW()-3)&amp;"")</f>
        <v>Mobile Retail &amp; Services</v>
      </c>
      <c r="D180" s="7" t="str">
        <f aca="false">IF(INDEX(MASTER_DATABASE!$A$4:$A$1000,ROW()-3)="","",INDEX(MASTER_DATABASE!$D$4:$D$1000,ROW()-3)&amp;"")</f>
        <v>Setup &amp; Support</v>
      </c>
      <c r="E180" s="7" t="str">
        <f aca="false">IF(INDEX(MASTER_DATABASE!$A$4:$A$1000,ROW()-3)="","",INDEX(MASTER_DATABASE!$E$4:$E$1000,ROW()-3)&amp;"")</f>
        <v>Basic Mobile Repair (Screen / Battery)</v>
      </c>
      <c r="F180" s="7" t="str">
        <f aca="false">IF(INDEX(MASTER_DATABASE!$A$4:$A$1000,ROW()-3)="","",INDEX(MASTER_DATABASE!$F$4:$F$1000,ROW()-3)&amp;"")</f>
        <v>बेसिक मोबाइल रिपेयर (स्क्रीन / बैटरी)</v>
      </c>
      <c r="G180" s="7" t="str">
        <f aca="false">IF(INDEX(MASTER_DATABASE!$A$4:$A$1000,ROW()-3)="","",INDEX(MASTER_DATABASE!$AL$4:$AL$1000,ROW()-3)&amp;"")</f>
        <v>Mobile Store</v>
      </c>
      <c r="H180" s="7" t="str">
        <f aca="false">IF(INDEX(MASTER_DATABASE!$A$4:$A$1000,ROW()-3)="","",INDEX(MASTER_DATABASE!$AM$4:$AM$1000,ROW()-3)&amp;"")</f>
        <v>Setup &amp; Support</v>
      </c>
      <c r="I180" s="7" t="str">
        <f aca="false">IF(INDEX(MASTER_DATABASE!$A$4:$A$1000,ROW()-3)="","",INDEX(MASTER_DATABASE!$AO$4:$AO$1000,ROW()-3)&amp;"")</f>
        <v>basic-mobile-repair-screen-battery</v>
      </c>
      <c r="J180" s="7" t="str">
        <f aca="false">IF(INDEX(MASTER_DATABASE!$A$4:$A$1000,ROW()-3)="","",INDEX(MASTER_DATABASE!$BD$4:$BD$1000,ROW()-3)&amp;"")</f>
        <v>/services/basic-mobile-repair-screen-battery</v>
      </c>
      <c r="K180" s="7" t="str">
        <f aca="false">IF(INDEX(MASTER_DATABASE!$A$4:$A$1000,ROW()-3)="","",INDEX(MASTER_DATABASE!$AX$4:$AX$1000,ROW()-3)&amp;"")</f>
        <v>Basic Mobile Repair (Screen / Battery) Service | Devmobile Stores</v>
      </c>
      <c r="L180" s="7" t="str">
        <f aca="false">IF(INDEX(MASTER_DATABASE!$A$4:$A$1000,ROW()-3)="","",INDEX(MASTER_DATABASE!$AY$4:$AY$1000,ROW()-3)&amp;"")</f>
        <v>Basic Mobile Repair (Screen / Battery) (बेसिक मोबाइल रिपेयर (स्क्रीन / बैटरी)) at Devmobile Stores and Common Service Center &amp; Aadhaar Centre. Check required documents, charges and process before you visit.</v>
      </c>
      <c r="M180" s="7" t="str">
        <f aca="false">IF(INDEX(MASTER_DATABASE!$A$4:$A$1000,ROW()-3)="","",INDEX(MASTER_DATABASE!$AN$4:$AN$1000,ROW()-3)&amp;"")</f>
        <v>Basic Mobile Repair (Screen / Battery), Mobile Store, Devmobile Stores, बेसिक मोबाइल रिपेयर (स्क्रीन / बैटरी), मोबाइल स्टोर, सेवा</v>
      </c>
      <c r="N180" s="7" t="str">
        <f aca="false">IF(INDEX(MASTER_DATABASE!$A$4:$A$1000,ROW()-3)="","",INDEX(MASTER_DATABASE!$AZ$4:$AZ$1000,ROW()-3)&amp;"")</f>
        <v>बेसिक मोबाइल रिपेयर (स्क्रीन / बैटरी), मोबाइल स्टोर, सेवा</v>
      </c>
      <c r="O180" s="7" t="str">
        <f aca="false">IF(INDEX(MASTER_DATABASE!$A$4:$A$1000,ROW()-3)="","",INDEX(MASTER_DATABASE!$BA$4:$BA$1000,ROW()-3)&amp;"")</f>
        <v>Basic Mobile Repair (Screen / Battery), Mobile Store, Devmobile Stores</v>
      </c>
      <c r="P180" s="11" t="str">
        <f aca="false">IF(INDEX(MASTER_DATABASE!$A$4:$A$1000,ROW()-3)="","",INDEX(MASTER_DATABASE!$AP$4:$AP$1000,ROW()-3)&amp;"")</f>
        <v>🛠️</v>
      </c>
      <c r="Q180" s="7" t="str">
        <f aca="false">IF(INDEX(MASTER_DATABASE!$A$4:$A$1000,ROW()-3)="","",INDEX(MASTER_DATABASE!$BB$4:$BB$1000,ROW()-3)&amp;"")</f>
        <v/>
      </c>
      <c r="R180" s="11" t="str">
        <f aca="false">IF(INDEX(MASTER_DATABASE!$A$4:$A$1000,ROW()-3)="","",INDEX(MASTER_DATABASE!$BC$4:$BC$1000,ROW()-3)&amp;"")</f>
        <v>📱</v>
      </c>
      <c r="S180" s="11" t="n">
        <f aca="false">IF(INDEX(MASTER_DATABASE!$A$4:$A$1000,ROW()-3)="","",INDEX(MASTER_DATABASE!$AQ$4:$AQ$1000,ROW()-3))</f>
        <v>220</v>
      </c>
      <c r="T180" s="7" t="str">
        <f aca="false">IF(INDEX(MASTER_DATABASE!$A$4:$A$1000,ROW()-3)="","",INDEX(MASTER_DATABASE!$I$4:$I$1000,ROW()-3)&amp;"")</f>
        <v>To Verify</v>
      </c>
      <c r="U180" s="7" t="str">
        <f aca="false">IF(INDEX(MASTER_DATABASE!$A$4:$A$1000,ROW()-3)="","",INDEX(MASTER_DATABASE!$J$4:$J$1000,ROW()-3)&amp;"")</f>
        <v>To Be Confirmed</v>
      </c>
      <c r="V180" s="7" t="str">
        <f aca="false">IF(INDEX(MASTER_DATABASE!$A$4:$A$1000,ROW()-3)="","",INDEX(MASTER_DATABASE!$AG$4:$AG$1000,ROW()-3)&amp;"")</f>
        <v>To Verify</v>
      </c>
      <c r="W180" s="7" t="str">
        <f aca="false">IF(INDEX(MASTER_DATABASE!$A$4:$A$1000,ROW()-3)="","",INDEX(MASTER_DATABASE!$AH$4:$AH$1000,ROW()-3)&amp;"")</f>
        <v>No</v>
      </c>
      <c r="X180" s="7" t="str">
        <f aca="false">IF(INDEX(MASTER_DATABASE!$A$4:$A$1000,ROW()-3)="","",INDEX(MASTER_DATABASE!$AI$4:$AI$1000,ROW()-3)&amp;"")</f>
        <v>No</v>
      </c>
      <c r="Y180" s="7" t="str">
        <f aca="false">IF(INDEX(MASTER_DATABASE!$A$4:$A$1000,ROW()-3)="","",INDEX(MASTER_DATABASE!$AJ$4:$AJ$1000,ROW()-3)&amp;"")</f>
        <v>No</v>
      </c>
      <c r="Z180" s="7" t="str">
        <f aca="false">IF(INDEX(MASTER_DATABASE!$A$4:$A$1000,ROW()-3)="","",INDEX(MASTER_DATABASE!$AK$4:$AK$1000,ROW()-3)&amp;"")</f>
        <v>No</v>
      </c>
      <c r="AA180" s="7" t="str">
        <f aca="false">IF(INDEX(MASTER_DATABASE!$A$4:$A$1000,ROW()-3)="","",INDEX(MASTER_DATABASE!$BE$4:$BE$1000,ROW()-3)&amp;"")</f>
        <v>HIDDEN</v>
      </c>
    </row>
    <row r="181" customFormat="false" ht="46.25" hidden="false" customHeight="false" outlineLevel="0" collapsed="false">
      <c r="A181" s="11" t="str">
        <f aca="false">IF(INDEX(MASTER_DATABASE!$A$4:$A$1000,ROW()-3)="","",INDEX(MASTER_DATABASE!$A$4:$A$1000,ROW()-3)&amp;"")</f>
        <v>PRT-001</v>
      </c>
      <c r="B181" s="7" t="str">
        <f aca="false">IF(INDEX(MASTER_DATABASE!$A$4:$A$1000,ROW()-3)="","",INDEX(MASTER_DATABASE!$B$4:$B$1000,ROW()-3)&amp;"")</f>
        <v>Printing / Xerox / Scanning</v>
      </c>
      <c r="C181" s="7" t="str">
        <f aca="false">IF(INDEX(MASTER_DATABASE!$A$4:$A$1000,ROW()-3)="","",INDEX(MASTER_DATABASE!$C$4:$C$1000,ROW()-3)&amp;"")</f>
        <v>Document Services</v>
      </c>
      <c r="D181" s="7" t="str">
        <f aca="false">IF(INDEX(MASTER_DATABASE!$A$4:$A$1000,ROW()-3)="","",INDEX(MASTER_DATABASE!$D$4:$D$1000,ROW()-3)&amp;"")</f>
        <v>Printing &amp; Copying</v>
      </c>
      <c r="E181" s="7" t="str">
        <f aca="false">IF(INDEX(MASTER_DATABASE!$A$4:$A$1000,ROW()-3)="","",INDEX(MASTER_DATABASE!$E$4:$E$1000,ROW()-3)&amp;"")</f>
        <v>B/W Print</v>
      </c>
      <c r="F181" s="7" t="str">
        <f aca="false">IF(INDEX(MASTER_DATABASE!$A$4:$A$1000,ROW()-3)="","",INDEX(MASTER_DATABASE!$F$4:$F$1000,ROW()-3)&amp;"")</f>
        <v>सादा (B/W) प्रिंट</v>
      </c>
      <c r="G181" s="7" t="str">
        <f aca="false">IF(INDEX(MASTER_DATABASE!$A$4:$A$1000,ROW()-3)="","",INDEX(MASTER_DATABASE!$AL$4:$AL$1000,ROW()-3)&amp;"")</f>
        <v>Printing / Xerox / Scanning</v>
      </c>
      <c r="H181" s="7" t="str">
        <f aca="false">IF(INDEX(MASTER_DATABASE!$A$4:$A$1000,ROW()-3)="","",INDEX(MASTER_DATABASE!$AM$4:$AM$1000,ROW()-3)&amp;"")</f>
        <v>Printing &amp; Copying</v>
      </c>
      <c r="I181" s="7" t="str">
        <f aca="false">IF(INDEX(MASTER_DATABASE!$A$4:$A$1000,ROW()-3)="","",INDEX(MASTER_DATABASE!$AO$4:$AO$1000,ROW()-3)&amp;"")</f>
        <v>b-w-print</v>
      </c>
      <c r="J181" s="7" t="str">
        <f aca="false">IF(INDEX(MASTER_DATABASE!$A$4:$A$1000,ROW()-3)="","",INDEX(MASTER_DATABASE!$BD$4:$BD$1000,ROW()-3)&amp;"")</f>
        <v>/services/b-w-print</v>
      </c>
      <c r="K181" s="7" t="str">
        <f aca="false">IF(INDEX(MASTER_DATABASE!$A$4:$A$1000,ROW()-3)="","",INDEX(MASTER_DATABASE!$AX$4:$AX$1000,ROW()-3)&amp;"")</f>
        <v>B/W Print Service | Devmobile Stores</v>
      </c>
      <c r="L181" s="7" t="str">
        <f aca="false">IF(INDEX(MASTER_DATABASE!$A$4:$A$1000,ROW()-3)="","",INDEX(MASTER_DATABASE!$AY$4:$AY$1000,ROW()-3)&amp;"")</f>
        <v>B/W Print (सादा (B/W) प्रिंट) at Devmobile Stores and Common Service Center &amp; Aadhaar Centre. Check required documents, charges and process before you visit.</v>
      </c>
      <c r="M181" s="7" t="str">
        <f aca="false">IF(INDEX(MASTER_DATABASE!$A$4:$A$1000,ROW()-3)="","",INDEX(MASTER_DATABASE!$AN$4:$AN$1000,ROW()-3)&amp;"")</f>
        <v>B/W Print, Printing / Xerox / Scanning, Devmobile Stores, सादा (B/W) प्रिंट, प्रिंटिंग / ज़ेरॉक्स / स्कैनिंग, सेवा</v>
      </c>
      <c r="N181" s="7" t="str">
        <f aca="false">IF(INDEX(MASTER_DATABASE!$A$4:$A$1000,ROW()-3)="","",INDEX(MASTER_DATABASE!$AZ$4:$AZ$1000,ROW()-3)&amp;"")</f>
        <v>सादा (B/W) प्रिंट, प्रिंटिंग / ज़ेरॉक्स / स्कैनिंग, सेवा</v>
      </c>
      <c r="O181" s="7" t="str">
        <f aca="false">IF(INDEX(MASTER_DATABASE!$A$4:$A$1000,ROW()-3)="","",INDEX(MASTER_DATABASE!$BA$4:$BA$1000,ROW()-3)&amp;"")</f>
        <v>B/W Print, Printing / Xerox / Scanning, Devmobile Stores</v>
      </c>
      <c r="P181" s="11" t="str">
        <f aca="false">IF(INDEX(MASTER_DATABASE!$A$4:$A$1000,ROW()-3)="","",INDEX(MASTER_DATABASE!$AP$4:$AP$1000,ROW()-3)&amp;"")</f>
        <v>🖨️</v>
      </c>
      <c r="Q181" s="7" t="str">
        <f aca="false">IF(INDEX(MASTER_DATABASE!$A$4:$A$1000,ROW()-3)="","",INDEX(MASTER_DATABASE!$BB$4:$BB$1000,ROW()-3)&amp;"")</f>
        <v/>
      </c>
      <c r="R181" s="11" t="str">
        <f aca="false">IF(INDEX(MASTER_DATABASE!$A$4:$A$1000,ROW()-3)="","",INDEX(MASTER_DATABASE!$BC$4:$BC$1000,ROW()-3)&amp;"")</f>
        <v>🖨️</v>
      </c>
      <c r="S181" s="11" t="n">
        <f aca="false">IF(INDEX(MASTER_DATABASE!$A$4:$A$1000,ROW()-3)="","",INDEX(MASTER_DATABASE!$AQ$4:$AQ$1000,ROW()-3))</f>
        <v>10</v>
      </c>
      <c r="T181" s="7" t="str">
        <f aca="false">IF(INDEX(MASTER_DATABASE!$A$4:$A$1000,ROW()-3)="","",INDEX(MASTER_DATABASE!$I$4:$I$1000,ROW()-3)&amp;"")</f>
        <v>Available</v>
      </c>
      <c r="U181" s="7" t="str">
        <f aca="false">IF(INDEX(MASTER_DATABASE!$A$4:$A$1000,ROW()-3)="","",INDEX(MASTER_DATABASE!$J$4:$J$1000,ROW()-3)&amp;"")</f>
        <v>Available</v>
      </c>
      <c r="V181" s="7" t="str">
        <f aca="false">IF(INDEX(MASTER_DATABASE!$A$4:$A$1000,ROW()-3)="","",INDEX(MASTER_DATABASE!$AG$4:$AG$1000,ROW()-3)&amp;"")</f>
        <v>Active</v>
      </c>
      <c r="W181" s="7" t="str">
        <f aca="false">IF(INDEX(MASTER_DATABASE!$A$4:$A$1000,ROW()-3)="","",INDEX(MASTER_DATABASE!$AH$4:$AH$1000,ROW()-3)&amp;"")</f>
        <v>Yes</v>
      </c>
      <c r="X181" s="7" t="str">
        <f aca="false">IF(INDEX(MASTER_DATABASE!$A$4:$A$1000,ROW()-3)="","",INDEX(MASTER_DATABASE!$AI$4:$AI$1000,ROW()-3)&amp;"")</f>
        <v>No</v>
      </c>
      <c r="Y181" s="7" t="str">
        <f aca="false">IF(INDEX(MASTER_DATABASE!$A$4:$A$1000,ROW()-3)="","",INDEX(MASTER_DATABASE!$AJ$4:$AJ$1000,ROW()-3)&amp;"")</f>
        <v>No</v>
      </c>
      <c r="Z181" s="7" t="str">
        <f aca="false">IF(INDEX(MASTER_DATABASE!$A$4:$A$1000,ROW()-3)="","",INDEX(MASTER_DATABASE!$AK$4:$AK$1000,ROW()-3)&amp;"")</f>
        <v>No</v>
      </c>
      <c r="AA181" s="7" t="str">
        <f aca="false">IF(INDEX(MASTER_DATABASE!$A$4:$A$1000,ROW()-3)="","",INDEX(MASTER_DATABASE!$BE$4:$BE$1000,ROW()-3)&amp;"")</f>
        <v>LIVE</v>
      </c>
    </row>
    <row r="182" customFormat="false" ht="35.05" hidden="false" customHeight="false" outlineLevel="0" collapsed="false">
      <c r="A182" s="11" t="str">
        <f aca="false">IF(INDEX(MASTER_DATABASE!$A$4:$A$1000,ROW()-3)="","",INDEX(MASTER_DATABASE!$A$4:$A$1000,ROW()-3)&amp;"")</f>
        <v>PRT-002</v>
      </c>
      <c r="B182" s="7" t="str">
        <f aca="false">IF(INDEX(MASTER_DATABASE!$A$4:$A$1000,ROW()-3)="","",INDEX(MASTER_DATABASE!$B$4:$B$1000,ROW()-3)&amp;"")</f>
        <v>Printing / Xerox / Scanning</v>
      </c>
      <c r="C182" s="7" t="str">
        <f aca="false">IF(INDEX(MASTER_DATABASE!$A$4:$A$1000,ROW()-3)="","",INDEX(MASTER_DATABASE!$C$4:$C$1000,ROW()-3)&amp;"")</f>
        <v>Document Services</v>
      </c>
      <c r="D182" s="7" t="str">
        <f aca="false">IF(INDEX(MASTER_DATABASE!$A$4:$A$1000,ROW()-3)="","",INDEX(MASTER_DATABASE!$D$4:$D$1000,ROW()-3)&amp;"")</f>
        <v>Printing &amp; Copying</v>
      </c>
      <c r="E182" s="7" t="str">
        <f aca="false">IF(INDEX(MASTER_DATABASE!$A$4:$A$1000,ROW()-3)="","",INDEX(MASTER_DATABASE!$E$4:$E$1000,ROW()-3)&amp;"")</f>
        <v>Colour Print</v>
      </c>
      <c r="F182" s="7" t="str">
        <f aca="false">IF(INDEX(MASTER_DATABASE!$A$4:$A$1000,ROW()-3)="","",INDEX(MASTER_DATABASE!$F$4:$F$1000,ROW()-3)&amp;"")</f>
        <v>रंगीन प्रिंट</v>
      </c>
      <c r="G182" s="7" t="str">
        <f aca="false">IF(INDEX(MASTER_DATABASE!$A$4:$A$1000,ROW()-3)="","",INDEX(MASTER_DATABASE!$AL$4:$AL$1000,ROW()-3)&amp;"")</f>
        <v>Printing / Xerox / Scanning</v>
      </c>
      <c r="H182" s="7" t="str">
        <f aca="false">IF(INDEX(MASTER_DATABASE!$A$4:$A$1000,ROW()-3)="","",INDEX(MASTER_DATABASE!$AM$4:$AM$1000,ROW()-3)&amp;"")</f>
        <v>Printing &amp; Copying</v>
      </c>
      <c r="I182" s="7" t="str">
        <f aca="false">IF(INDEX(MASTER_DATABASE!$A$4:$A$1000,ROW()-3)="","",INDEX(MASTER_DATABASE!$AO$4:$AO$1000,ROW()-3)&amp;"")</f>
        <v>colour-print</v>
      </c>
      <c r="J182" s="7" t="str">
        <f aca="false">IF(INDEX(MASTER_DATABASE!$A$4:$A$1000,ROW()-3)="","",INDEX(MASTER_DATABASE!$BD$4:$BD$1000,ROW()-3)&amp;"")</f>
        <v>/services/colour-print</v>
      </c>
      <c r="K182" s="7" t="str">
        <f aca="false">IF(INDEX(MASTER_DATABASE!$A$4:$A$1000,ROW()-3)="","",INDEX(MASTER_DATABASE!$AX$4:$AX$1000,ROW()-3)&amp;"")</f>
        <v>Colour Print Service | Devmobile Stores</v>
      </c>
      <c r="L182" s="7" t="str">
        <f aca="false">IF(INDEX(MASTER_DATABASE!$A$4:$A$1000,ROW()-3)="","",INDEX(MASTER_DATABASE!$AY$4:$AY$1000,ROW()-3)&amp;"")</f>
        <v>Colour Print (रंगीन प्रिंट) at Devmobile Stores and Common Service Center &amp; Aadhaar Centre. Check required documents, charges and process before you visit.</v>
      </c>
      <c r="M182" s="7" t="str">
        <f aca="false">IF(INDEX(MASTER_DATABASE!$A$4:$A$1000,ROW()-3)="","",INDEX(MASTER_DATABASE!$AN$4:$AN$1000,ROW()-3)&amp;"")</f>
        <v>Colour Print, Printing / Xerox / Scanning, Devmobile Stores, रंगीन प्रिंट, प्रिंटिंग / ज़ेरॉक्स / स्कैनिंग, सेवा</v>
      </c>
      <c r="N182" s="7" t="str">
        <f aca="false">IF(INDEX(MASTER_DATABASE!$A$4:$A$1000,ROW()-3)="","",INDEX(MASTER_DATABASE!$AZ$4:$AZ$1000,ROW()-3)&amp;"")</f>
        <v>रंगीन प्रिंट, प्रिंटिंग / ज़ेरॉक्स / स्कैनिंग, सेवा</v>
      </c>
      <c r="O182" s="7" t="str">
        <f aca="false">IF(INDEX(MASTER_DATABASE!$A$4:$A$1000,ROW()-3)="","",INDEX(MASTER_DATABASE!$BA$4:$BA$1000,ROW()-3)&amp;"")</f>
        <v>Colour Print, Printing / Xerox / Scanning, Devmobile Stores</v>
      </c>
      <c r="P182" s="11" t="str">
        <f aca="false">IF(INDEX(MASTER_DATABASE!$A$4:$A$1000,ROW()-3)="","",INDEX(MASTER_DATABASE!$AP$4:$AP$1000,ROW()-3)&amp;"")</f>
        <v>🖨️</v>
      </c>
      <c r="Q182" s="7" t="str">
        <f aca="false">IF(INDEX(MASTER_DATABASE!$A$4:$A$1000,ROW()-3)="","",INDEX(MASTER_DATABASE!$BB$4:$BB$1000,ROW()-3)&amp;"")</f>
        <v/>
      </c>
      <c r="R182" s="11" t="str">
        <f aca="false">IF(INDEX(MASTER_DATABASE!$A$4:$A$1000,ROW()-3)="","",INDEX(MASTER_DATABASE!$BC$4:$BC$1000,ROW()-3)&amp;"")</f>
        <v>🖨️</v>
      </c>
      <c r="S182" s="11" t="n">
        <f aca="false">IF(INDEX(MASTER_DATABASE!$A$4:$A$1000,ROW()-3)="","",INDEX(MASTER_DATABASE!$AQ$4:$AQ$1000,ROW()-3))</f>
        <v>20</v>
      </c>
      <c r="T182" s="7" t="str">
        <f aca="false">IF(INDEX(MASTER_DATABASE!$A$4:$A$1000,ROW()-3)="","",INDEX(MASTER_DATABASE!$I$4:$I$1000,ROW()-3)&amp;"")</f>
        <v>Available</v>
      </c>
      <c r="U182" s="7" t="str">
        <f aca="false">IF(INDEX(MASTER_DATABASE!$A$4:$A$1000,ROW()-3)="","",INDEX(MASTER_DATABASE!$J$4:$J$1000,ROW()-3)&amp;"")</f>
        <v>Available</v>
      </c>
      <c r="V182" s="7" t="str">
        <f aca="false">IF(INDEX(MASTER_DATABASE!$A$4:$A$1000,ROW()-3)="","",INDEX(MASTER_DATABASE!$AG$4:$AG$1000,ROW()-3)&amp;"")</f>
        <v>Active</v>
      </c>
      <c r="W182" s="7" t="str">
        <f aca="false">IF(INDEX(MASTER_DATABASE!$A$4:$A$1000,ROW()-3)="","",INDEX(MASTER_DATABASE!$AH$4:$AH$1000,ROW()-3)&amp;"")</f>
        <v>Yes</v>
      </c>
      <c r="X182" s="7" t="str">
        <f aca="false">IF(INDEX(MASTER_DATABASE!$A$4:$A$1000,ROW()-3)="","",INDEX(MASTER_DATABASE!$AI$4:$AI$1000,ROW()-3)&amp;"")</f>
        <v>No</v>
      </c>
      <c r="Y182" s="7" t="str">
        <f aca="false">IF(INDEX(MASTER_DATABASE!$A$4:$A$1000,ROW()-3)="","",INDEX(MASTER_DATABASE!$AJ$4:$AJ$1000,ROW()-3)&amp;"")</f>
        <v>No</v>
      </c>
      <c r="Z182" s="7" t="str">
        <f aca="false">IF(INDEX(MASTER_DATABASE!$A$4:$A$1000,ROW()-3)="","",INDEX(MASTER_DATABASE!$AK$4:$AK$1000,ROW()-3)&amp;"")</f>
        <v>No</v>
      </c>
      <c r="AA182" s="7" t="str">
        <f aca="false">IF(INDEX(MASTER_DATABASE!$A$4:$A$1000,ROW()-3)="","",INDEX(MASTER_DATABASE!$BE$4:$BE$1000,ROW()-3)&amp;"")</f>
        <v>LIVE</v>
      </c>
    </row>
    <row r="183" customFormat="false" ht="46.25" hidden="false" customHeight="false" outlineLevel="0" collapsed="false">
      <c r="A183" s="11" t="str">
        <f aca="false">IF(INDEX(MASTER_DATABASE!$A$4:$A$1000,ROW()-3)="","",INDEX(MASTER_DATABASE!$A$4:$A$1000,ROW()-3)&amp;"")</f>
        <v>PRT-003</v>
      </c>
      <c r="B183" s="7" t="str">
        <f aca="false">IF(INDEX(MASTER_DATABASE!$A$4:$A$1000,ROW()-3)="","",INDEX(MASTER_DATABASE!$B$4:$B$1000,ROW()-3)&amp;"")</f>
        <v>Printing / Xerox / Scanning</v>
      </c>
      <c r="C183" s="7" t="str">
        <f aca="false">IF(INDEX(MASTER_DATABASE!$A$4:$A$1000,ROW()-3)="","",INDEX(MASTER_DATABASE!$C$4:$C$1000,ROW()-3)&amp;"")</f>
        <v>Document Services</v>
      </c>
      <c r="D183" s="7" t="str">
        <f aca="false">IF(INDEX(MASTER_DATABASE!$A$4:$A$1000,ROW()-3)="","",INDEX(MASTER_DATABASE!$D$4:$D$1000,ROW()-3)&amp;"")</f>
        <v>Printing &amp; Copying</v>
      </c>
      <c r="E183" s="7" t="str">
        <f aca="false">IF(INDEX(MASTER_DATABASE!$A$4:$A$1000,ROW()-3)="","",INDEX(MASTER_DATABASE!$E$4:$E$1000,ROW()-3)&amp;"")</f>
        <v>Xerox (Photocopy)</v>
      </c>
      <c r="F183" s="7" t="str">
        <f aca="false">IF(INDEX(MASTER_DATABASE!$A$4:$A$1000,ROW()-3)="","",INDEX(MASTER_DATABASE!$F$4:$F$1000,ROW()-3)&amp;"")</f>
        <v>ज़ेरॉक्स (फोटोकॉपी)</v>
      </c>
      <c r="G183" s="7" t="str">
        <f aca="false">IF(INDEX(MASTER_DATABASE!$A$4:$A$1000,ROW()-3)="","",INDEX(MASTER_DATABASE!$AL$4:$AL$1000,ROW()-3)&amp;"")</f>
        <v>Printing / Xerox / Scanning</v>
      </c>
      <c r="H183" s="7" t="str">
        <f aca="false">IF(INDEX(MASTER_DATABASE!$A$4:$A$1000,ROW()-3)="","",INDEX(MASTER_DATABASE!$AM$4:$AM$1000,ROW()-3)&amp;"")</f>
        <v>Printing &amp; Copying</v>
      </c>
      <c r="I183" s="7" t="str">
        <f aca="false">IF(INDEX(MASTER_DATABASE!$A$4:$A$1000,ROW()-3)="","",INDEX(MASTER_DATABASE!$AO$4:$AO$1000,ROW()-3)&amp;"")</f>
        <v>xerox-photocopy</v>
      </c>
      <c r="J183" s="7" t="str">
        <f aca="false">IF(INDEX(MASTER_DATABASE!$A$4:$A$1000,ROW()-3)="","",INDEX(MASTER_DATABASE!$BD$4:$BD$1000,ROW()-3)&amp;"")</f>
        <v>/services/xerox-photocopy</v>
      </c>
      <c r="K183" s="7" t="str">
        <f aca="false">IF(INDEX(MASTER_DATABASE!$A$4:$A$1000,ROW()-3)="","",INDEX(MASTER_DATABASE!$AX$4:$AX$1000,ROW()-3)&amp;"")</f>
        <v>Xerox (Photocopy) Service | Devmobile Stores</v>
      </c>
      <c r="L183" s="7" t="str">
        <f aca="false">IF(INDEX(MASTER_DATABASE!$A$4:$A$1000,ROW()-3)="","",INDEX(MASTER_DATABASE!$AY$4:$AY$1000,ROW()-3)&amp;"")</f>
        <v>Xerox (Photocopy) (ज़ेरॉक्स (फोटोकॉपी)) at Devmobile Stores and Common Service Center &amp; Aadhaar Centre. Check required documents, charges and process before you visit.</v>
      </c>
      <c r="M183" s="7" t="str">
        <f aca="false">IF(INDEX(MASTER_DATABASE!$A$4:$A$1000,ROW()-3)="","",INDEX(MASTER_DATABASE!$AN$4:$AN$1000,ROW()-3)&amp;"")</f>
        <v>Xerox (Photocopy), Printing / Xerox / Scanning, Devmobile Stores, ज़ेरॉक्स (फोटोकॉपी), प्रिंटिंग / ज़ेरॉक्स / स्कैनिंग, सेवा</v>
      </c>
      <c r="N183" s="7" t="str">
        <f aca="false">IF(INDEX(MASTER_DATABASE!$A$4:$A$1000,ROW()-3)="","",INDEX(MASTER_DATABASE!$AZ$4:$AZ$1000,ROW()-3)&amp;"")</f>
        <v>ज़ेरॉक्स (फोटोकॉपी), प्रिंटिंग / ज़ेरॉक्स / स्कैनिंग, सेवा</v>
      </c>
      <c r="O183" s="7" t="str">
        <f aca="false">IF(INDEX(MASTER_DATABASE!$A$4:$A$1000,ROW()-3)="","",INDEX(MASTER_DATABASE!$BA$4:$BA$1000,ROW()-3)&amp;"")</f>
        <v>Xerox (Photocopy), Printing / Xerox / Scanning, Devmobile Stores</v>
      </c>
      <c r="P183" s="11" t="str">
        <f aca="false">IF(INDEX(MASTER_DATABASE!$A$4:$A$1000,ROW()-3)="","",INDEX(MASTER_DATABASE!$AP$4:$AP$1000,ROW()-3)&amp;"")</f>
        <v>🖨️</v>
      </c>
      <c r="Q183" s="7" t="str">
        <f aca="false">IF(INDEX(MASTER_DATABASE!$A$4:$A$1000,ROW()-3)="","",INDEX(MASTER_DATABASE!$BB$4:$BB$1000,ROW()-3)&amp;"")</f>
        <v/>
      </c>
      <c r="R183" s="11" t="str">
        <f aca="false">IF(INDEX(MASTER_DATABASE!$A$4:$A$1000,ROW()-3)="","",INDEX(MASTER_DATABASE!$BC$4:$BC$1000,ROW()-3)&amp;"")</f>
        <v>🖨️</v>
      </c>
      <c r="S183" s="11" t="n">
        <f aca="false">IF(INDEX(MASTER_DATABASE!$A$4:$A$1000,ROW()-3)="","",INDEX(MASTER_DATABASE!$AQ$4:$AQ$1000,ROW()-3))</f>
        <v>30</v>
      </c>
      <c r="T183" s="7" t="str">
        <f aca="false">IF(INDEX(MASTER_DATABASE!$A$4:$A$1000,ROW()-3)="","",INDEX(MASTER_DATABASE!$I$4:$I$1000,ROW()-3)&amp;"")</f>
        <v>Available</v>
      </c>
      <c r="U183" s="7" t="str">
        <f aca="false">IF(INDEX(MASTER_DATABASE!$A$4:$A$1000,ROW()-3)="","",INDEX(MASTER_DATABASE!$J$4:$J$1000,ROW()-3)&amp;"")</f>
        <v>Available</v>
      </c>
      <c r="V183" s="7" t="str">
        <f aca="false">IF(INDEX(MASTER_DATABASE!$A$4:$A$1000,ROW()-3)="","",INDEX(MASTER_DATABASE!$AG$4:$AG$1000,ROW()-3)&amp;"")</f>
        <v>Active</v>
      </c>
      <c r="W183" s="7" t="str">
        <f aca="false">IF(INDEX(MASTER_DATABASE!$A$4:$A$1000,ROW()-3)="","",INDEX(MASTER_DATABASE!$AH$4:$AH$1000,ROW()-3)&amp;"")</f>
        <v>Yes</v>
      </c>
      <c r="X183" s="7" t="str">
        <f aca="false">IF(INDEX(MASTER_DATABASE!$A$4:$A$1000,ROW()-3)="","",INDEX(MASTER_DATABASE!$AI$4:$AI$1000,ROW()-3)&amp;"")</f>
        <v>No</v>
      </c>
      <c r="Y183" s="7" t="str">
        <f aca="false">IF(INDEX(MASTER_DATABASE!$A$4:$A$1000,ROW()-3)="","",INDEX(MASTER_DATABASE!$AJ$4:$AJ$1000,ROW()-3)&amp;"")</f>
        <v>No</v>
      </c>
      <c r="Z183" s="7" t="str">
        <f aca="false">IF(INDEX(MASTER_DATABASE!$A$4:$A$1000,ROW()-3)="","",INDEX(MASTER_DATABASE!$AK$4:$AK$1000,ROW()-3)&amp;"")</f>
        <v>No</v>
      </c>
      <c r="AA183" s="7" t="str">
        <f aca="false">IF(INDEX(MASTER_DATABASE!$A$4:$A$1000,ROW()-3)="","",INDEX(MASTER_DATABASE!$BE$4:$BE$1000,ROW()-3)&amp;"")</f>
        <v>LIVE</v>
      </c>
    </row>
    <row r="184" customFormat="false" ht="35.05" hidden="false" customHeight="false" outlineLevel="0" collapsed="false">
      <c r="A184" s="11" t="str">
        <f aca="false">IF(INDEX(MASTER_DATABASE!$A$4:$A$1000,ROW()-3)="","",INDEX(MASTER_DATABASE!$A$4:$A$1000,ROW()-3)&amp;"")</f>
        <v>PRT-004</v>
      </c>
      <c r="B184" s="7" t="str">
        <f aca="false">IF(INDEX(MASTER_DATABASE!$A$4:$A$1000,ROW()-3)="","",INDEX(MASTER_DATABASE!$B$4:$B$1000,ROW()-3)&amp;"")</f>
        <v>Printing / Xerox / Scanning</v>
      </c>
      <c r="C184" s="7" t="str">
        <f aca="false">IF(INDEX(MASTER_DATABASE!$A$4:$A$1000,ROW()-3)="","",INDEX(MASTER_DATABASE!$C$4:$C$1000,ROW()-3)&amp;"")</f>
        <v>Document Services</v>
      </c>
      <c r="D184" s="7" t="str">
        <f aca="false">IF(INDEX(MASTER_DATABASE!$A$4:$A$1000,ROW()-3)="","",INDEX(MASTER_DATABASE!$D$4:$D$1000,ROW()-3)&amp;"")</f>
        <v>Printing &amp; Copying</v>
      </c>
      <c r="E184" s="7" t="str">
        <f aca="false">IF(INDEX(MASTER_DATABASE!$A$4:$A$1000,ROW()-3)="","",INDEX(MASTER_DATABASE!$E$4:$E$1000,ROW()-3)&amp;"")</f>
        <v>PDF Print</v>
      </c>
      <c r="F184" s="7" t="str">
        <f aca="false">IF(INDEX(MASTER_DATABASE!$A$4:$A$1000,ROW()-3)="","",INDEX(MASTER_DATABASE!$F$4:$F$1000,ROW()-3)&amp;"")</f>
        <v>PDF प्रिंट</v>
      </c>
      <c r="G184" s="7" t="str">
        <f aca="false">IF(INDEX(MASTER_DATABASE!$A$4:$A$1000,ROW()-3)="","",INDEX(MASTER_DATABASE!$AL$4:$AL$1000,ROW()-3)&amp;"")</f>
        <v>Printing / Xerox / Scanning</v>
      </c>
      <c r="H184" s="7" t="str">
        <f aca="false">IF(INDEX(MASTER_DATABASE!$A$4:$A$1000,ROW()-3)="","",INDEX(MASTER_DATABASE!$AM$4:$AM$1000,ROW()-3)&amp;"")</f>
        <v>Printing &amp; Copying</v>
      </c>
      <c r="I184" s="7" t="str">
        <f aca="false">IF(INDEX(MASTER_DATABASE!$A$4:$A$1000,ROW()-3)="","",INDEX(MASTER_DATABASE!$AO$4:$AO$1000,ROW()-3)&amp;"")</f>
        <v>pdf-print</v>
      </c>
      <c r="J184" s="7" t="str">
        <f aca="false">IF(INDEX(MASTER_DATABASE!$A$4:$A$1000,ROW()-3)="","",INDEX(MASTER_DATABASE!$BD$4:$BD$1000,ROW()-3)&amp;"")</f>
        <v>/services/pdf-print</v>
      </c>
      <c r="K184" s="7" t="str">
        <f aca="false">IF(INDEX(MASTER_DATABASE!$A$4:$A$1000,ROW()-3)="","",INDEX(MASTER_DATABASE!$AX$4:$AX$1000,ROW()-3)&amp;"")</f>
        <v>PDF Print Service | Devmobile Stores</v>
      </c>
      <c r="L184" s="7" t="str">
        <f aca="false">IF(INDEX(MASTER_DATABASE!$A$4:$A$1000,ROW()-3)="","",INDEX(MASTER_DATABASE!$AY$4:$AY$1000,ROW()-3)&amp;"")</f>
        <v>PDF Print (PDF प्रिंट) at Devmobile Stores and Common Service Center &amp; Aadhaar Centre. Check required documents, charges and process before you visit.</v>
      </c>
      <c r="M184" s="7" t="str">
        <f aca="false">IF(INDEX(MASTER_DATABASE!$A$4:$A$1000,ROW()-3)="","",INDEX(MASTER_DATABASE!$AN$4:$AN$1000,ROW()-3)&amp;"")</f>
        <v>PDF Print, Printing / Xerox / Scanning, Devmobile Stores, PDF प्रिंट, प्रिंटिंग / ज़ेरॉक्स / स्कैनिंग, सेवा</v>
      </c>
      <c r="N184" s="7" t="str">
        <f aca="false">IF(INDEX(MASTER_DATABASE!$A$4:$A$1000,ROW()-3)="","",INDEX(MASTER_DATABASE!$AZ$4:$AZ$1000,ROW()-3)&amp;"")</f>
        <v>PDF प्रिंट, प्रिंटिंग / ज़ेरॉक्स / स्कैनिंग, सेवा</v>
      </c>
      <c r="O184" s="7" t="str">
        <f aca="false">IF(INDEX(MASTER_DATABASE!$A$4:$A$1000,ROW()-3)="","",INDEX(MASTER_DATABASE!$BA$4:$BA$1000,ROW()-3)&amp;"")</f>
        <v>PDF Print, Printing / Xerox / Scanning, Devmobile Stores</v>
      </c>
      <c r="P184" s="11" t="str">
        <f aca="false">IF(INDEX(MASTER_DATABASE!$A$4:$A$1000,ROW()-3)="","",INDEX(MASTER_DATABASE!$AP$4:$AP$1000,ROW()-3)&amp;"")</f>
        <v>🖨️</v>
      </c>
      <c r="Q184" s="7" t="str">
        <f aca="false">IF(INDEX(MASTER_DATABASE!$A$4:$A$1000,ROW()-3)="","",INDEX(MASTER_DATABASE!$BB$4:$BB$1000,ROW()-3)&amp;"")</f>
        <v/>
      </c>
      <c r="R184" s="11" t="str">
        <f aca="false">IF(INDEX(MASTER_DATABASE!$A$4:$A$1000,ROW()-3)="","",INDEX(MASTER_DATABASE!$BC$4:$BC$1000,ROW()-3)&amp;"")</f>
        <v>🖨️</v>
      </c>
      <c r="S184" s="11" t="n">
        <f aca="false">IF(INDEX(MASTER_DATABASE!$A$4:$A$1000,ROW()-3)="","",INDEX(MASTER_DATABASE!$AQ$4:$AQ$1000,ROW()-3))</f>
        <v>40</v>
      </c>
      <c r="T184" s="7" t="str">
        <f aca="false">IF(INDEX(MASTER_DATABASE!$A$4:$A$1000,ROW()-3)="","",INDEX(MASTER_DATABASE!$I$4:$I$1000,ROW()-3)&amp;"")</f>
        <v>Available</v>
      </c>
      <c r="U184" s="7" t="str">
        <f aca="false">IF(INDEX(MASTER_DATABASE!$A$4:$A$1000,ROW()-3)="","",INDEX(MASTER_DATABASE!$J$4:$J$1000,ROW()-3)&amp;"")</f>
        <v>Available</v>
      </c>
      <c r="V184" s="7" t="str">
        <f aca="false">IF(INDEX(MASTER_DATABASE!$A$4:$A$1000,ROW()-3)="","",INDEX(MASTER_DATABASE!$AG$4:$AG$1000,ROW()-3)&amp;"")</f>
        <v>Active</v>
      </c>
      <c r="W184" s="7" t="str">
        <f aca="false">IF(INDEX(MASTER_DATABASE!$A$4:$A$1000,ROW()-3)="","",INDEX(MASTER_DATABASE!$AH$4:$AH$1000,ROW()-3)&amp;"")</f>
        <v>Yes</v>
      </c>
      <c r="X184" s="7" t="str">
        <f aca="false">IF(INDEX(MASTER_DATABASE!$A$4:$A$1000,ROW()-3)="","",INDEX(MASTER_DATABASE!$AI$4:$AI$1000,ROW()-3)&amp;"")</f>
        <v>No</v>
      </c>
      <c r="Y184" s="7" t="str">
        <f aca="false">IF(INDEX(MASTER_DATABASE!$A$4:$A$1000,ROW()-3)="","",INDEX(MASTER_DATABASE!$AJ$4:$AJ$1000,ROW()-3)&amp;"")</f>
        <v>No</v>
      </c>
      <c r="Z184" s="7" t="str">
        <f aca="false">IF(INDEX(MASTER_DATABASE!$A$4:$A$1000,ROW()-3)="","",INDEX(MASTER_DATABASE!$AK$4:$AK$1000,ROW()-3)&amp;"")</f>
        <v>No</v>
      </c>
      <c r="AA184" s="7" t="str">
        <f aca="false">IF(INDEX(MASTER_DATABASE!$A$4:$A$1000,ROW()-3)="","",INDEX(MASTER_DATABASE!$BE$4:$BE$1000,ROW()-3)&amp;"")</f>
        <v>LIVE</v>
      </c>
    </row>
    <row r="185" customFormat="false" ht="46.25" hidden="false" customHeight="false" outlineLevel="0" collapsed="false">
      <c r="A185" s="11" t="str">
        <f aca="false">IF(INDEX(MASTER_DATABASE!$A$4:$A$1000,ROW()-3)="","",INDEX(MASTER_DATABASE!$A$4:$A$1000,ROW()-3)&amp;"")</f>
        <v>PRT-005</v>
      </c>
      <c r="B185" s="7" t="str">
        <f aca="false">IF(INDEX(MASTER_DATABASE!$A$4:$A$1000,ROW()-3)="","",INDEX(MASTER_DATABASE!$B$4:$B$1000,ROW()-3)&amp;"")</f>
        <v>Printing / Xerox / Scanning</v>
      </c>
      <c r="C185" s="7" t="str">
        <f aca="false">IF(INDEX(MASTER_DATABASE!$A$4:$A$1000,ROW()-3)="","",INDEX(MASTER_DATABASE!$C$4:$C$1000,ROW()-3)&amp;"")</f>
        <v>Document Services</v>
      </c>
      <c r="D185" s="7" t="str">
        <f aca="false">IF(INDEX(MASTER_DATABASE!$A$4:$A$1000,ROW()-3)="","",INDEX(MASTER_DATABASE!$D$4:$D$1000,ROW()-3)&amp;"")</f>
        <v>Printing &amp; Copying</v>
      </c>
      <c r="E185" s="7" t="str">
        <f aca="false">IF(INDEX(MASTER_DATABASE!$A$4:$A$1000,ROW()-3)="","",INDEX(MASTER_DATABASE!$E$4:$E$1000,ROW()-3)&amp;"")</f>
        <v>A3 / Large Size Print</v>
      </c>
      <c r="F185" s="7" t="str">
        <f aca="false">IF(INDEX(MASTER_DATABASE!$A$4:$A$1000,ROW()-3)="","",INDEX(MASTER_DATABASE!$F$4:$F$1000,ROW()-3)&amp;"")</f>
        <v>A3 / बड़े साइज़ का प्रिंट</v>
      </c>
      <c r="G185" s="7" t="str">
        <f aca="false">IF(INDEX(MASTER_DATABASE!$A$4:$A$1000,ROW()-3)="","",INDEX(MASTER_DATABASE!$AL$4:$AL$1000,ROW()-3)&amp;"")</f>
        <v>Printing / Xerox / Scanning</v>
      </c>
      <c r="H185" s="7" t="str">
        <f aca="false">IF(INDEX(MASTER_DATABASE!$A$4:$A$1000,ROW()-3)="","",INDEX(MASTER_DATABASE!$AM$4:$AM$1000,ROW()-3)&amp;"")</f>
        <v>Printing &amp; Copying</v>
      </c>
      <c r="I185" s="7" t="str">
        <f aca="false">IF(INDEX(MASTER_DATABASE!$A$4:$A$1000,ROW()-3)="","",INDEX(MASTER_DATABASE!$AO$4:$AO$1000,ROW()-3)&amp;"")</f>
        <v>a3-large-size-print</v>
      </c>
      <c r="J185" s="7" t="str">
        <f aca="false">IF(INDEX(MASTER_DATABASE!$A$4:$A$1000,ROW()-3)="","",INDEX(MASTER_DATABASE!$BD$4:$BD$1000,ROW()-3)&amp;"")</f>
        <v>/services/a3-large-size-print</v>
      </c>
      <c r="K185" s="7" t="str">
        <f aca="false">IF(INDEX(MASTER_DATABASE!$A$4:$A$1000,ROW()-3)="","",INDEX(MASTER_DATABASE!$AX$4:$AX$1000,ROW()-3)&amp;"")</f>
        <v>A3 / Large Size Print Service | Devmobile Stores</v>
      </c>
      <c r="L185" s="7" t="str">
        <f aca="false">IF(INDEX(MASTER_DATABASE!$A$4:$A$1000,ROW()-3)="","",INDEX(MASTER_DATABASE!$AY$4:$AY$1000,ROW()-3)&amp;"")</f>
        <v>A3 / Large Size Print (A3 / बड़े साइज़ का प्रिंट) at Devmobile Stores and Common Service Center &amp; Aadhaar Centre. Check required documents, charges and process before you visit.</v>
      </c>
      <c r="M185" s="7" t="str">
        <f aca="false">IF(INDEX(MASTER_DATABASE!$A$4:$A$1000,ROW()-3)="","",INDEX(MASTER_DATABASE!$AN$4:$AN$1000,ROW()-3)&amp;"")</f>
        <v>A3 / Large Size Print, Printing / Xerox / Scanning, Devmobile Stores, A3 / बड़े साइज़ का प्रिंट, प्रिंटिंग / ज़ेरॉक्स / स्कैनिंग, सेवा</v>
      </c>
      <c r="N185" s="7" t="str">
        <f aca="false">IF(INDEX(MASTER_DATABASE!$A$4:$A$1000,ROW()-3)="","",INDEX(MASTER_DATABASE!$AZ$4:$AZ$1000,ROW()-3)&amp;"")</f>
        <v>A3 / बड़े साइज़ का प्रिंट, प्रिंटिंग / ज़ेरॉक्स / स्कैनिंग, सेवा</v>
      </c>
      <c r="O185" s="7" t="str">
        <f aca="false">IF(INDEX(MASTER_DATABASE!$A$4:$A$1000,ROW()-3)="","",INDEX(MASTER_DATABASE!$BA$4:$BA$1000,ROW()-3)&amp;"")</f>
        <v>A3 / Large Size Print, Printing / Xerox / Scanning, Devmobile Stores</v>
      </c>
      <c r="P185" s="11" t="str">
        <f aca="false">IF(INDEX(MASTER_DATABASE!$A$4:$A$1000,ROW()-3)="","",INDEX(MASTER_DATABASE!$AP$4:$AP$1000,ROW()-3)&amp;"")</f>
        <v>🖨️</v>
      </c>
      <c r="Q185" s="7" t="str">
        <f aca="false">IF(INDEX(MASTER_DATABASE!$A$4:$A$1000,ROW()-3)="","",INDEX(MASTER_DATABASE!$BB$4:$BB$1000,ROW()-3)&amp;"")</f>
        <v/>
      </c>
      <c r="R185" s="11" t="str">
        <f aca="false">IF(INDEX(MASTER_DATABASE!$A$4:$A$1000,ROW()-3)="","",INDEX(MASTER_DATABASE!$BC$4:$BC$1000,ROW()-3)&amp;"")</f>
        <v>🖨️</v>
      </c>
      <c r="S185" s="11" t="n">
        <f aca="false">IF(INDEX(MASTER_DATABASE!$A$4:$A$1000,ROW()-3)="","",INDEX(MASTER_DATABASE!$AQ$4:$AQ$1000,ROW()-3))</f>
        <v>50</v>
      </c>
      <c r="T185" s="7" t="str">
        <f aca="false">IF(INDEX(MASTER_DATABASE!$A$4:$A$1000,ROW()-3)="","",INDEX(MASTER_DATABASE!$I$4:$I$1000,ROW()-3)&amp;"")</f>
        <v>To Verify</v>
      </c>
      <c r="U185" s="7" t="str">
        <f aca="false">IF(INDEX(MASTER_DATABASE!$A$4:$A$1000,ROW()-3)="","",INDEX(MASTER_DATABASE!$J$4:$J$1000,ROW()-3)&amp;"")</f>
        <v>To Be Confirmed</v>
      </c>
      <c r="V185" s="7" t="str">
        <f aca="false">IF(INDEX(MASTER_DATABASE!$A$4:$A$1000,ROW()-3)="","",INDEX(MASTER_DATABASE!$AG$4:$AG$1000,ROW()-3)&amp;"")</f>
        <v>To Verify</v>
      </c>
      <c r="W185" s="7" t="str">
        <f aca="false">IF(INDEX(MASTER_DATABASE!$A$4:$A$1000,ROW()-3)="","",INDEX(MASTER_DATABASE!$AH$4:$AH$1000,ROW()-3)&amp;"")</f>
        <v>No</v>
      </c>
      <c r="X185" s="7" t="str">
        <f aca="false">IF(INDEX(MASTER_DATABASE!$A$4:$A$1000,ROW()-3)="","",INDEX(MASTER_DATABASE!$AI$4:$AI$1000,ROW()-3)&amp;"")</f>
        <v>No</v>
      </c>
      <c r="Y185" s="7" t="str">
        <f aca="false">IF(INDEX(MASTER_DATABASE!$A$4:$A$1000,ROW()-3)="","",INDEX(MASTER_DATABASE!$AJ$4:$AJ$1000,ROW()-3)&amp;"")</f>
        <v>No</v>
      </c>
      <c r="Z185" s="7" t="str">
        <f aca="false">IF(INDEX(MASTER_DATABASE!$A$4:$A$1000,ROW()-3)="","",INDEX(MASTER_DATABASE!$AK$4:$AK$1000,ROW()-3)&amp;"")</f>
        <v>No</v>
      </c>
      <c r="AA185" s="7" t="str">
        <f aca="false">IF(INDEX(MASTER_DATABASE!$A$4:$A$1000,ROW()-3)="","",INDEX(MASTER_DATABASE!$BE$4:$BE$1000,ROW()-3)&amp;"")</f>
        <v>HIDDEN</v>
      </c>
    </row>
    <row r="186" customFormat="false" ht="57.45" hidden="false" customHeight="false" outlineLevel="0" collapsed="false">
      <c r="A186" s="11" t="str">
        <f aca="false">IF(INDEX(MASTER_DATABASE!$A$4:$A$1000,ROW()-3)="","",INDEX(MASTER_DATABASE!$A$4:$A$1000,ROW()-3)&amp;"")</f>
        <v>PRT-006</v>
      </c>
      <c r="B186" s="7" t="str">
        <f aca="false">IF(INDEX(MASTER_DATABASE!$A$4:$A$1000,ROW()-3)="","",INDEX(MASTER_DATABASE!$B$4:$B$1000,ROW()-3)&amp;"")</f>
        <v>Printing / Xerox / Scanning</v>
      </c>
      <c r="C186" s="7" t="str">
        <f aca="false">IF(INDEX(MASTER_DATABASE!$A$4:$A$1000,ROW()-3)="","",INDEX(MASTER_DATABASE!$C$4:$C$1000,ROW()-3)&amp;"")</f>
        <v>Document Services</v>
      </c>
      <c r="D186" s="7" t="str">
        <f aca="false">IF(INDEX(MASTER_DATABASE!$A$4:$A$1000,ROW()-3)="","",INDEX(MASTER_DATABASE!$D$4:$D$1000,ROW()-3)&amp;"")</f>
        <v>Printing &amp; Copying</v>
      </c>
      <c r="E186" s="7" t="str">
        <f aca="false">IF(INDEX(MASTER_DATABASE!$A$4:$A$1000,ROW()-3)="","",INDEX(MASTER_DATABASE!$E$4:$E$1000,ROW()-3)&amp;"")</f>
        <v>Print from Mobile (WhatsApp / Email / Drive)</v>
      </c>
      <c r="F186" s="7" t="str">
        <f aca="false">IF(INDEX(MASTER_DATABASE!$A$4:$A$1000,ROW()-3)="","",INDEX(MASTER_DATABASE!$F$4:$F$1000,ROW()-3)&amp;"")</f>
        <v>मोबाइल से प्रिंट (WhatsApp / Email / Drive)</v>
      </c>
      <c r="G186" s="7" t="str">
        <f aca="false">IF(INDEX(MASTER_DATABASE!$A$4:$A$1000,ROW()-3)="","",INDEX(MASTER_DATABASE!$AL$4:$AL$1000,ROW()-3)&amp;"")</f>
        <v>Printing / Xerox / Scanning</v>
      </c>
      <c r="H186" s="7" t="str">
        <f aca="false">IF(INDEX(MASTER_DATABASE!$A$4:$A$1000,ROW()-3)="","",INDEX(MASTER_DATABASE!$AM$4:$AM$1000,ROW()-3)&amp;"")</f>
        <v>Printing &amp; Copying</v>
      </c>
      <c r="I186" s="7" t="str">
        <f aca="false">IF(INDEX(MASTER_DATABASE!$A$4:$A$1000,ROW()-3)="","",INDEX(MASTER_DATABASE!$AO$4:$AO$1000,ROW()-3)&amp;"")</f>
        <v>print-from-mobile-whatsapp-email-drive</v>
      </c>
      <c r="J186" s="7" t="str">
        <f aca="false">IF(INDEX(MASTER_DATABASE!$A$4:$A$1000,ROW()-3)="","",INDEX(MASTER_DATABASE!$BD$4:$BD$1000,ROW()-3)&amp;"")</f>
        <v>/services/print-from-mobile-whatsapp-email-drive</v>
      </c>
      <c r="K186" s="7" t="str">
        <f aca="false">IF(INDEX(MASTER_DATABASE!$A$4:$A$1000,ROW()-3)="","",INDEX(MASTER_DATABASE!$AX$4:$AX$1000,ROW()-3)&amp;"")</f>
        <v>Print from Mobile (WhatsApp / Email / Drive) Service | Devmobile Stores</v>
      </c>
      <c r="L186" s="7" t="str">
        <f aca="false">IF(INDEX(MASTER_DATABASE!$A$4:$A$1000,ROW()-3)="","",INDEX(MASTER_DATABASE!$AY$4:$AY$1000,ROW()-3)&amp;"")</f>
        <v>Print from Mobile (WhatsApp / Email / Drive) (मोबाइल से प्रिंट (WhatsApp / Email / Drive)) at Devmobile Stores and Common Service Center &amp; Aadhaar Centre. Check required documents, charges and process before you visit.</v>
      </c>
      <c r="M186" s="7" t="str">
        <f aca="false">IF(INDEX(MASTER_DATABASE!$A$4:$A$1000,ROW()-3)="","",INDEX(MASTER_DATABASE!$AN$4:$AN$1000,ROW()-3)&amp;"")</f>
        <v>Print from Mobile (WhatsApp / Email / Drive), Printing / Xerox / Scanning, Devmobile Stores, मोबाइल से प्रिंट (WhatsApp / Email / Drive), प्रिंटिंग / ज़ेरॉक्स / स्कैनिंग, सेवा</v>
      </c>
      <c r="N186" s="7" t="str">
        <f aca="false">IF(INDEX(MASTER_DATABASE!$A$4:$A$1000,ROW()-3)="","",INDEX(MASTER_DATABASE!$AZ$4:$AZ$1000,ROW()-3)&amp;"")</f>
        <v>मोबाइल से प्रिंट (WhatsApp / Email / Drive), प्रिंटिंग / ज़ेरॉक्स / स्कैनिंग, सेवा</v>
      </c>
      <c r="O186" s="7" t="str">
        <f aca="false">IF(INDEX(MASTER_DATABASE!$A$4:$A$1000,ROW()-3)="","",INDEX(MASTER_DATABASE!$BA$4:$BA$1000,ROW()-3)&amp;"")</f>
        <v>Print from Mobile (WhatsApp / Email / Drive), Printing / Xerox / Scanning, Devmobile Stores</v>
      </c>
      <c r="P186" s="11" t="str">
        <f aca="false">IF(INDEX(MASTER_DATABASE!$A$4:$A$1000,ROW()-3)="","",INDEX(MASTER_DATABASE!$AP$4:$AP$1000,ROW()-3)&amp;"")</f>
        <v>🖨️</v>
      </c>
      <c r="Q186" s="7" t="str">
        <f aca="false">IF(INDEX(MASTER_DATABASE!$A$4:$A$1000,ROW()-3)="","",INDEX(MASTER_DATABASE!$BB$4:$BB$1000,ROW()-3)&amp;"")</f>
        <v/>
      </c>
      <c r="R186" s="11" t="str">
        <f aca="false">IF(INDEX(MASTER_DATABASE!$A$4:$A$1000,ROW()-3)="","",INDEX(MASTER_DATABASE!$BC$4:$BC$1000,ROW()-3)&amp;"")</f>
        <v>🖨️</v>
      </c>
      <c r="S186" s="11" t="n">
        <f aca="false">IF(INDEX(MASTER_DATABASE!$A$4:$A$1000,ROW()-3)="","",INDEX(MASTER_DATABASE!$AQ$4:$AQ$1000,ROW()-3))</f>
        <v>60</v>
      </c>
      <c r="T186" s="7" t="str">
        <f aca="false">IF(INDEX(MASTER_DATABASE!$A$4:$A$1000,ROW()-3)="","",INDEX(MASTER_DATABASE!$I$4:$I$1000,ROW()-3)&amp;"")</f>
        <v>Available</v>
      </c>
      <c r="U186" s="7" t="str">
        <f aca="false">IF(INDEX(MASTER_DATABASE!$A$4:$A$1000,ROW()-3)="","",INDEX(MASTER_DATABASE!$J$4:$J$1000,ROW()-3)&amp;"")</f>
        <v>Available</v>
      </c>
      <c r="V186" s="7" t="str">
        <f aca="false">IF(INDEX(MASTER_DATABASE!$A$4:$A$1000,ROW()-3)="","",INDEX(MASTER_DATABASE!$AG$4:$AG$1000,ROW()-3)&amp;"")</f>
        <v>Active</v>
      </c>
      <c r="W186" s="7" t="str">
        <f aca="false">IF(INDEX(MASTER_DATABASE!$A$4:$A$1000,ROW()-3)="","",INDEX(MASTER_DATABASE!$AH$4:$AH$1000,ROW()-3)&amp;"")</f>
        <v>Yes</v>
      </c>
      <c r="X186" s="7" t="str">
        <f aca="false">IF(INDEX(MASTER_DATABASE!$A$4:$A$1000,ROW()-3)="","",INDEX(MASTER_DATABASE!$AI$4:$AI$1000,ROW()-3)&amp;"")</f>
        <v>No</v>
      </c>
      <c r="Y186" s="7" t="str">
        <f aca="false">IF(INDEX(MASTER_DATABASE!$A$4:$A$1000,ROW()-3)="","",INDEX(MASTER_DATABASE!$AJ$4:$AJ$1000,ROW()-3)&amp;"")</f>
        <v>No</v>
      </c>
      <c r="Z186" s="7" t="str">
        <f aca="false">IF(INDEX(MASTER_DATABASE!$A$4:$A$1000,ROW()-3)="","",INDEX(MASTER_DATABASE!$AK$4:$AK$1000,ROW()-3)&amp;"")</f>
        <v>No</v>
      </c>
      <c r="AA186" s="7" t="str">
        <f aca="false">IF(INDEX(MASTER_DATABASE!$A$4:$A$1000,ROW()-3)="","",INDEX(MASTER_DATABASE!$BE$4:$BE$1000,ROW()-3)&amp;"")</f>
        <v>LIVE</v>
      </c>
    </row>
    <row r="187" customFormat="false" ht="35.05" hidden="false" customHeight="false" outlineLevel="0" collapsed="false">
      <c r="A187" s="11" t="str">
        <f aca="false">IF(INDEX(MASTER_DATABASE!$A$4:$A$1000,ROW()-3)="","",INDEX(MASTER_DATABASE!$A$4:$A$1000,ROW()-3)&amp;"")</f>
        <v>PRT-007</v>
      </c>
      <c r="B187" s="7" t="str">
        <f aca="false">IF(INDEX(MASTER_DATABASE!$A$4:$A$1000,ROW()-3)="","",INDEX(MASTER_DATABASE!$B$4:$B$1000,ROW()-3)&amp;"")</f>
        <v>Printing / Xerox / Scanning</v>
      </c>
      <c r="C187" s="7" t="str">
        <f aca="false">IF(INDEX(MASTER_DATABASE!$A$4:$A$1000,ROW()-3)="","",INDEX(MASTER_DATABASE!$C$4:$C$1000,ROW()-3)&amp;"")</f>
        <v>Document Services</v>
      </c>
      <c r="D187" s="7" t="str">
        <f aca="false">IF(INDEX(MASTER_DATABASE!$A$4:$A$1000,ROW()-3)="","",INDEX(MASTER_DATABASE!$D$4:$D$1000,ROW()-3)&amp;"")</f>
        <v>Scanning &amp; Finishing</v>
      </c>
      <c r="E187" s="7" t="str">
        <f aca="false">IF(INDEX(MASTER_DATABASE!$A$4:$A$1000,ROW()-3)="","",INDEX(MASTER_DATABASE!$E$4:$E$1000,ROW()-3)&amp;"")</f>
        <v>Scanning</v>
      </c>
      <c r="F187" s="7" t="str">
        <f aca="false">IF(INDEX(MASTER_DATABASE!$A$4:$A$1000,ROW()-3)="","",INDEX(MASTER_DATABASE!$F$4:$F$1000,ROW()-3)&amp;"")</f>
        <v>स्कैनिंग</v>
      </c>
      <c r="G187" s="7" t="str">
        <f aca="false">IF(INDEX(MASTER_DATABASE!$A$4:$A$1000,ROW()-3)="","",INDEX(MASTER_DATABASE!$AL$4:$AL$1000,ROW()-3)&amp;"")</f>
        <v>Printing / Xerox / Scanning</v>
      </c>
      <c r="H187" s="7" t="str">
        <f aca="false">IF(INDEX(MASTER_DATABASE!$A$4:$A$1000,ROW()-3)="","",INDEX(MASTER_DATABASE!$AM$4:$AM$1000,ROW()-3)&amp;"")</f>
        <v>Scanning &amp; Finishing</v>
      </c>
      <c r="I187" s="7" t="str">
        <f aca="false">IF(INDEX(MASTER_DATABASE!$A$4:$A$1000,ROW()-3)="","",INDEX(MASTER_DATABASE!$AO$4:$AO$1000,ROW()-3)&amp;"")</f>
        <v>scanning</v>
      </c>
      <c r="J187" s="7" t="str">
        <f aca="false">IF(INDEX(MASTER_DATABASE!$A$4:$A$1000,ROW()-3)="","",INDEX(MASTER_DATABASE!$BD$4:$BD$1000,ROW()-3)&amp;"")</f>
        <v>/services/scanning</v>
      </c>
      <c r="K187" s="7" t="str">
        <f aca="false">IF(INDEX(MASTER_DATABASE!$A$4:$A$1000,ROW()-3)="","",INDEX(MASTER_DATABASE!$AX$4:$AX$1000,ROW()-3)&amp;"")</f>
        <v>Scanning Service | Devmobile Stores</v>
      </c>
      <c r="L187" s="7" t="str">
        <f aca="false">IF(INDEX(MASTER_DATABASE!$A$4:$A$1000,ROW()-3)="","",INDEX(MASTER_DATABASE!$AY$4:$AY$1000,ROW()-3)&amp;"")</f>
        <v>Scanning (स्कैनिंग) at Devmobile Stores and Common Service Center &amp; Aadhaar Centre. Check required documents, charges and process before you visit.</v>
      </c>
      <c r="M187" s="7" t="str">
        <f aca="false">IF(INDEX(MASTER_DATABASE!$A$4:$A$1000,ROW()-3)="","",INDEX(MASTER_DATABASE!$AN$4:$AN$1000,ROW()-3)&amp;"")</f>
        <v>Scanning, Printing / Xerox / Scanning, Devmobile Stores, स्कैनिंग, प्रिंटिंग / ज़ेरॉक्स / स्कैनिंग, सेवा</v>
      </c>
      <c r="N187" s="7" t="str">
        <f aca="false">IF(INDEX(MASTER_DATABASE!$A$4:$A$1000,ROW()-3)="","",INDEX(MASTER_DATABASE!$AZ$4:$AZ$1000,ROW()-3)&amp;"")</f>
        <v>स्कैनिंग, प्रिंटिंग / ज़ेरॉक्स / स्कैनिंग, सेवा</v>
      </c>
      <c r="O187" s="7" t="str">
        <f aca="false">IF(INDEX(MASTER_DATABASE!$A$4:$A$1000,ROW()-3)="","",INDEX(MASTER_DATABASE!$BA$4:$BA$1000,ROW()-3)&amp;"")</f>
        <v>Scanning, Printing / Xerox / Scanning, Devmobile Stores</v>
      </c>
      <c r="P187" s="11" t="str">
        <f aca="false">IF(INDEX(MASTER_DATABASE!$A$4:$A$1000,ROW()-3)="","",INDEX(MASTER_DATABASE!$AP$4:$AP$1000,ROW()-3)&amp;"")</f>
        <v>🖨️</v>
      </c>
      <c r="Q187" s="7" t="str">
        <f aca="false">IF(INDEX(MASTER_DATABASE!$A$4:$A$1000,ROW()-3)="","",INDEX(MASTER_DATABASE!$BB$4:$BB$1000,ROW()-3)&amp;"")</f>
        <v/>
      </c>
      <c r="R187" s="11" t="str">
        <f aca="false">IF(INDEX(MASTER_DATABASE!$A$4:$A$1000,ROW()-3)="","",INDEX(MASTER_DATABASE!$BC$4:$BC$1000,ROW()-3)&amp;"")</f>
        <v>🖨️</v>
      </c>
      <c r="S187" s="11" t="n">
        <f aca="false">IF(INDEX(MASTER_DATABASE!$A$4:$A$1000,ROW()-3)="","",INDEX(MASTER_DATABASE!$AQ$4:$AQ$1000,ROW()-3))</f>
        <v>70</v>
      </c>
      <c r="T187" s="7" t="str">
        <f aca="false">IF(INDEX(MASTER_DATABASE!$A$4:$A$1000,ROW()-3)="","",INDEX(MASTER_DATABASE!$I$4:$I$1000,ROW()-3)&amp;"")</f>
        <v>Available</v>
      </c>
      <c r="U187" s="7" t="str">
        <f aca="false">IF(INDEX(MASTER_DATABASE!$A$4:$A$1000,ROW()-3)="","",INDEX(MASTER_DATABASE!$J$4:$J$1000,ROW()-3)&amp;"")</f>
        <v>Available</v>
      </c>
      <c r="V187" s="7" t="str">
        <f aca="false">IF(INDEX(MASTER_DATABASE!$A$4:$A$1000,ROW()-3)="","",INDEX(MASTER_DATABASE!$AG$4:$AG$1000,ROW()-3)&amp;"")</f>
        <v>Active</v>
      </c>
      <c r="W187" s="7" t="str">
        <f aca="false">IF(INDEX(MASTER_DATABASE!$A$4:$A$1000,ROW()-3)="","",INDEX(MASTER_DATABASE!$AH$4:$AH$1000,ROW()-3)&amp;"")</f>
        <v>Yes</v>
      </c>
      <c r="X187" s="7" t="str">
        <f aca="false">IF(INDEX(MASTER_DATABASE!$A$4:$A$1000,ROW()-3)="","",INDEX(MASTER_DATABASE!$AI$4:$AI$1000,ROW()-3)&amp;"")</f>
        <v>No</v>
      </c>
      <c r="Y187" s="7" t="str">
        <f aca="false">IF(INDEX(MASTER_DATABASE!$A$4:$A$1000,ROW()-3)="","",INDEX(MASTER_DATABASE!$AJ$4:$AJ$1000,ROW()-3)&amp;"")</f>
        <v>No</v>
      </c>
      <c r="Z187" s="7" t="str">
        <f aca="false">IF(INDEX(MASTER_DATABASE!$A$4:$A$1000,ROW()-3)="","",INDEX(MASTER_DATABASE!$AK$4:$AK$1000,ROW()-3)&amp;"")</f>
        <v>No</v>
      </c>
      <c r="AA187" s="7" t="str">
        <f aca="false">IF(INDEX(MASTER_DATABASE!$A$4:$A$1000,ROW()-3)="","",INDEX(MASTER_DATABASE!$BE$4:$BE$1000,ROW()-3)&amp;"")</f>
        <v>LIVE</v>
      </c>
    </row>
    <row r="188" customFormat="false" ht="35.05" hidden="false" customHeight="false" outlineLevel="0" collapsed="false">
      <c r="A188" s="11" t="str">
        <f aca="false">IF(INDEX(MASTER_DATABASE!$A$4:$A$1000,ROW()-3)="","",INDEX(MASTER_DATABASE!$A$4:$A$1000,ROW()-3)&amp;"")</f>
        <v>PRT-008</v>
      </c>
      <c r="B188" s="7" t="str">
        <f aca="false">IF(INDEX(MASTER_DATABASE!$A$4:$A$1000,ROW()-3)="","",INDEX(MASTER_DATABASE!$B$4:$B$1000,ROW()-3)&amp;"")</f>
        <v>Printing / Xerox / Scanning</v>
      </c>
      <c r="C188" s="7" t="str">
        <f aca="false">IF(INDEX(MASTER_DATABASE!$A$4:$A$1000,ROW()-3)="","",INDEX(MASTER_DATABASE!$C$4:$C$1000,ROW()-3)&amp;"")</f>
        <v>Document Services</v>
      </c>
      <c r="D188" s="7" t="str">
        <f aca="false">IF(INDEX(MASTER_DATABASE!$A$4:$A$1000,ROW()-3)="","",INDEX(MASTER_DATABASE!$D$4:$D$1000,ROW()-3)&amp;"")</f>
        <v>Scanning &amp; Finishing</v>
      </c>
      <c r="E188" s="7" t="str">
        <f aca="false">IF(INDEX(MASTER_DATABASE!$A$4:$A$1000,ROW()-3)="","",INDEX(MASTER_DATABASE!$E$4:$E$1000,ROW()-3)&amp;"")</f>
        <v>Lamination</v>
      </c>
      <c r="F188" s="7" t="str">
        <f aca="false">IF(INDEX(MASTER_DATABASE!$A$4:$A$1000,ROW()-3)="","",INDEX(MASTER_DATABASE!$F$4:$F$1000,ROW()-3)&amp;"")</f>
        <v>लेमिनेशन</v>
      </c>
      <c r="G188" s="7" t="str">
        <f aca="false">IF(INDEX(MASTER_DATABASE!$A$4:$A$1000,ROW()-3)="","",INDEX(MASTER_DATABASE!$AL$4:$AL$1000,ROW()-3)&amp;"")</f>
        <v>Printing / Xerox / Scanning</v>
      </c>
      <c r="H188" s="7" t="str">
        <f aca="false">IF(INDEX(MASTER_DATABASE!$A$4:$A$1000,ROW()-3)="","",INDEX(MASTER_DATABASE!$AM$4:$AM$1000,ROW()-3)&amp;"")</f>
        <v>Scanning &amp; Finishing</v>
      </c>
      <c r="I188" s="7" t="str">
        <f aca="false">IF(INDEX(MASTER_DATABASE!$A$4:$A$1000,ROW()-3)="","",INDEX(MASTER_DATABASE!$AO$4:$AO$1000,ROW()-3)&amp;"")</f>
        <v>lamination</v>
      </c>
      <c r="J188" s="7" t="str">
        <f aca="false">IF(INDEX(MASTER_DATABASE!$A$4:$A$1000,ROW()-3)="","",INDEX(MASTER_DATABASE!$BD$4:$BD$1000,ROW()-3)&amp;"")</f>
        <v>/services/lamination</v>
      </c>
      <c r="K188" s="7" t="str">
        <f aca="false">IF(INDEX(MASTER_DATABASE!$A$4:$A$1000,ROW()-3)="","",INDEX(MASTER_DATABASE!$AX$4:$AX$1000,ROW()-3)&amp;"")</f>
        <v>Lamination Service | Devmobile Stores</v>
      </c>
      <c r="L188" s="7" t="str">
        <f aca="false">IF(INDEX(MASTER_DATABASE!$A$4:$A$1000,ROW()-3)="","",INDEX(MASTER_DATABASE!$AY$4:$AY$1000,ROW()-3)&amp;"")</f>
        <v>Lamination (लेमिनेशन) at Devmobile Stores and Common Service Center &amp; Aadhaar Centre. Check required documents, charges and process before you visit.</v>
      </c>
      <c r="M188" s="7" t="str">
        <f aca="false">IF(INDEX(MASTER_DATABASE!$A$4:$A$1000,ROW()-3)="","",INDEX(MASTER_DATABASE!$AN$4:$AN$1000,ROW()-3)&amp;"")</f>
        <v>Lamination, Printing / Xerox / Scanning, Devmobile Stores, लेमिनेशन, प्रिंटिंग / ज़ेरॉक्स / स्कैनिंग, सेवा</v>
      </c>
      <c r="N188" s="7" t="str">
        <f aca="false">IF(INDEX(MASTER_DATABASE!$A$4:$A$1000,ROW()-3)="","",INDEX(MASTER_DATABASE!$AZ$4:$AZ$1000,ROW()-3)&amp;"")</f>
        <v>लेमिनेशन, प्रिंटिंग / ज़ेरॉक्स / स्कैनिंग, सेवा</v>
      </c>
      <c r="O188" s="7" t="str">
        <f aca="false">IF(INDEX(MASTER_DATABASE!$A$4:$A$1000,ROW()-3)="","",INDEX(MASTER_DATABASE!$BA$4:$BA$1000,ROW()-3)&amp;"")</f>
        <v>Lamination, Printing / Xerox / Scanning, Devmobile Stores</v>
      </c>
      <c r="P188" s="11" t="str">
        <f aca="false">IF(INDEX(MASTER_DATABASE!$A$4:$A$1000,ROW()-3)="","",INDEX(MASTER_DATABASE!$AP$4:$AP$1000,ROW()-3)&amp;"")</f>
        <v>🖨️</v>
      </c>
      <c r="Q188" s="7" t="str">
        <f aca="false">IF(INDEX(MASTER_DATABASE!$A$4:$A$1000,ROW()-3)="","",INDEX(MASTER_DATABASE!$BB$4:$BB$1000,ROW()-3)&amp;"")</f>
        <v/>
      </c>
      <c r="R188" s="11" t="str">
        <f aca="false">IF(INDEX(MASTER_DATABASE!$A$4:$A$1000,ROW()-3)="","",INDEX(MASTER_DATABASE!$BC$4:$BC$1000,ROW()-3)&amp;"")</f>
        <v>🖨️</v>
      </c>
      <c r="S188" s="11" t="n">
        <f aca="false">IF(INDEX(MASTER_DATABASE!$A$4:$A$1000,ROW()-3)="","",INDEX(MASTER_DATABASE!$AQ$4:$AQ$1000,ROW()-3))</f>
        <v>80</v>
      </c>
      <c r="T188" s="7" t="str">
        <f aca="false">IF(INDEX(MASTER_DATABASE!$A$4:$A$1000,ROW()-3)="","",INDEX(MASTER_DATABASE!$I$4:$I$1000,ROW()-3)&amp;"")</f>
        <v>Available</v>
      </c>
      <c r="U188" s="7" t="str">
        <f aca="false">IF(INDEX(MASTER_DATABASE!$A$4:$A$1000,ROW()-3)="","",INDEX(MASTER_DATABASE!$J$4:$J$1000,ROW()-3)&amp;"")</f>
        <v>Available</v>
      </c>
      <c r="V188" s="7" t="str">
        <f aca="false">IF(INDEX(MASTER_DATABASE!$A$4:$A$1000,ROW()-3)="","",INDEX(MASTER_DATABASE!$AG$4:$AG$1000,ROW()-3)&amp;"")</f>
        <v>Active</v>
      </c>
      <c r="W188" s="7" t="str">
        <f aca="false">IF(INDEX(MASTER_DATABASE!$A$4:$A$1000,ROW()-3)="","",INDEX(MASTER_DATABASE!$AH$4:$AH$1000,ROW()-3)&amp;"")</f>
        <v>Yes</v>
      </c>
      <c r="X188" s="7" t="str">
        <f aca="false">IF(INDEX(MASTER_DATABASE!$A$4:$A$1000,ROW()-3)="","",INDEX(MASTER_DATABASE!$AI$4:$AI$1000,ROW()-3)&amp;"")</f>
        <v>No</v>
      </c>
      <c r="Y188" s="7" t="str">
        <f aca="false">IF(INDEX(MASTER_DATABASE!$A$4:$A$1000,ROW()-3)="","",INDEX(MASTER_DATABASE!$AJ$4:$AJ$1000,ROW()-3)&amp;"")</f>
        <v>No</v>
      </c>
      <c r="Z188" s="7" t="str">
        <f aca="false">IF(INDEX(MASTER_DATABASE!$A$4:$A$1000,ROW()-3)="","",INDEX(MASTER_DATABASE!$AK$4:$AK$1000,ROW()-3)&amp;"")</f>
        <v>No</v>
      </c>
      <c r="AA188" s="7" t="str">
        <f aca="false">IF(INDEX(MASTER_DATABASE!$A$4:$A$1000,ROW()-3)="","",INDEX(MASTER_DATABASE!$BE$4:$BE$1000,ROW()-3)&amp;"")</f>
        <v>LIVE</v>
      </c>
    </row>
    <row r="189" customFormat="false" ht="46.25" hidden="false" customHeight="false" outlineLevel="0" collapsed="false">
      <c r="A189" s="11" t="str">
        <f aca="false">IF(INDEX(MASTER_DATABASE!$A$4:$A$1000,ROW()-3)="","",INDEX(MASTER_DATABASE!$A$4:$A$1000,ROW()-3)&amp;"")</f>
        <v>PRT-009</v>
      </c>
      <c r="B189" s="7" t="str">
        <f aca="false">IF(INDEX(MASTER_DATABASE!$A$4:$A$1000,ROW()-3)="","",INDEX(MASTER_DATABASE!$B$4:$B$1000,ROW()-3)&amp;"")</f>
        <v>Printing / Xerox / Scanning</v>
      </c>
      <c r="C189" s="7" t="str">
        <f aca="false">IF(INDEX(MASTER_DATABASE!$A$4:$A$1000,ROW()-3)="","",INDEX(MASTER_DATABASE!$C$4:$C$1000,ROW()-3)&amp;"")</f>
        <v>Document Services</v>
      </c>
      <c r="D189" s="7" t="str">
        <f aca="false">IF(INDEX(MASTER_DATABASE!$A$4:$A$1000,ROW()-3)="","",INDEX(MASTER_DATABASE!$D$4:$D$1000,ROW()-3)&amp;"")</f>
        <v>Scanning &amp; Finishing</v>
      </c>
      <c r="E189" s="7" t="str">
        <f aca="false">IF(INDEX(MASTER_DATABASE!$A$4:$A$1000,ROW()-3)="","",INDEX(MASTER_DATABASE!$E$4:$E$1000,ROW()-3)&amp;"")</f>
        <v>Spiral Binding</v>
      </c>
      <c r="F189" s="7" t="str">
        <f aca="false">IF(INDEX(MASTER_DATABASE!$A$4:$A$1000,ROW()-3)="","",INDEX(MASTER_DATABASE!$F$4:$F$1000,ROW()-3)&amp;"")</f>
        <v>स्पाइरल बाइंडिंग</v>
      </c>
      <c r="G189" s="7" t="str">
        <f aca="false">IF(INDEX(MASTER_DATABASE!$A$4:$A$1000,ROW()-3)="","",INDEX(MASTER_DATABASE!$AL$4:$AL$1000,ROW()-3)&amp;"")</f>
        <v>Printing / Xerox / Scanning</v>
      </c>
      <c r="H189" s="7" t="str">
        <f aca="false">IF(INDEX(MASTER_DATABASE!$A$4:$A$1000,ROW()-3)="","",INDEX(MASTER_DATABASE!$AM$4:$AM$1000,ROW()-3)&amp;"")</f>
        <v>Scanning &amp; Finishing</v>
      </c>
      <c r="I189" s="7" t="str">
        <f aca="false">IF(INDEX(MASTER_DATABASE!$A$4:$A$1000,ROW()-3)="","",INDEX(MASTER_DATABASE!$AO$4:$AO$1000,ROW()-3)&amp;"")</f>
        <v>spiral-binding</v>
      </c>
      <c r="J189" s="7" t="str">
        <f aca="false">IF(INDEX(MASTER_DATABASE!$A$4:$A$1000,ROW()-3)="","",INDEX(MASTER_DATABASE!$BD$4:$BD$1000,ROW()-3)&amp;"")</f>
        <v>/services/spiral-binding</v>
      </c>
      <c r="K189" s="7" t="str">
        <f aca="false">IF(INDEX(MASTER_DATABASE!$A$4:$A$1000,ROW()-3)="","",INDEX(MASTER_DATABASE!$AX$4:$AX$1000,ROW()-3)&amp;"")</f>
        <v>Spiral Binding Service | Devmobile Stores</v>
      </c>
      <c r="L189" s="7" t="str">
        <f aca="false">IF(INDEX(MASTER_DATABASE!$A$4:$A$1000,ROW()-3)="","",INDEX(MASTER_DATABASE!$AY$4:$AY$1000,ROW()-3)&amp;"")</f>
        <v>Spiral Binding (स्पाइरल बाइंडिंग) at Devmobile Stores and Common Service Center &amp; Aadhaar Centre. Check required documents, charges and process before you visit.</v>
      </c>
      <c r="M189" s="7" t="str">
        <f aca="false">IF(INDEX(MASTER_DATABASE!$A$4:$A$1000,ROW()-3)="","",INDEX(MASTER_DATABASE!$AN$4:$AN$1000,ROW()-3)&amp;"")</f>
        <v>Spiral Binding, Printing / Xerox / Scanning, Devmobile Stores, स्पाइरल बाइंडिंग, प्रिंटिंग / ज़ेरॉक्स / स्कैनिंग, सेवा</v>
      </c>
      <c r="N189" s="7" t="str">
        <f aca="false">IF(INDEX(MASTER_DATABASE!$A$4:$A$1000,ROW()-3)="","",INDEX(MASTER_DATABASE!$AZ$4:$AZ$1000,ROW()-3)&amp;"")</f>
        <v>स्पाइरल बाइंडिंग, प्रिंटिंग / ज़ेरॉक्स / स्कैनिंग, सेवा</v>
      </c>
      <c r="O189" s="7" t="str">
        <f aca="false">IF(INDEX(MASTER_DATABASE!$A$4:$A$1000,ROW()-3)="","",INDEX(MASTER_DATABASE!$BA$4:$BA$1000,ROW()-3)&amp;"")</f>
        <v>Spiral Binding, Printing / Xerox / Scanning, Devmobile Stores</v>
      </c>
      <c r="P189" s="11" t="str">
        <f aca="false">IF(INDEX(MASTER_DATABASE!$A$4:$A$1000,ROW()-3)="","",INDEX(MASTER_DATABASE!$AP$4:$AP$1000,ROW()-3)&amp;"")</f>
        <v>🖨️</v>
      </c>
      <c r="Q189" s="7" t="str">
        <f aca="false">IF(INDEX(MASTER_DATABASE!$A$4:$A$1000,ROW()-3)="","",INDEX(MASTER_DATABASE!$BB$4:$BB$1000,ROW()-3)&amp;"")</f>
        <v/>
      </c>
      <c r="R189" s="11" t="str">
        <f aca="false">IF(INDEX(MASTER_DATABASE!$A$4:$A$1000,ROW()-3)="","",INDEX(MASTER_DATABASE!$BC$4:$BC$1000,ROW()-3)&amp;"")</f>
        <v>🖨️</v>
      </c>
      <c r="S189" s="11" t="n">
        <f aca="false">IF(INDEX(MASTER_DATABASE!$A$4:$A$1000,ROW()-3)="","",INDEX(MASTER_DATABASE!$AQ$4:$AQ$1000,ROW()-3))</f>
        <v>90</v>
      </c>
      <c r="T189" s="7" t="str">
        <f aca="false">IF(INDEX(MASTER_DATABASE!$A$4:$A$1000,ROW()-3)="","",INDEX(MASTER_DATABASE!$I$4:$I$1000,ROW()-3)&amp;"")</f>
        <v>To Verify</v>
      </c>
      <c r="U189" s="7" t="str">
        <f aca="false">IF(INDEX(MASTER_DATABASE!$A$4:$A$1000,ROW()-3)="","",INDEX(MASTER_DATABASE!$J$4:$J$1000,ROW()-3)&amp;"")</f>
        <v>To Be Confirmed</v>
      </c>
      <c r="V189" s="7" t="str">
        <f aca="false">IF(INDEX(MASTER_DATABASE!$A$4:$A$1000,ROW()-3)="","",INDEX(MASTER_DATABASE!$AG$4:$AG$1000,ROW()-3)&amp;"")</f>
        <v>To Verify</v>
      </c>
      <c r="W189" s="7" t="str">
        <f aca="false">IF(INDEX(MASTER_DATABASE!$A$4:$A$1000,ROW()-3)="","",INDEX(MASTER_DATABASE!$AH$4:$AH$1000,ROW()-3)&amp;"")</f>
        <v>No</v>
      </c>
      <c r="X189" s="7" t="str">
        <f aca="false">IF(INDEX(MASTER_DATABASE!$A$4:$A$1000,ROW()-3)="","",INDEX(MASTER_DATABASE!$AI$4:$AI$1000,ROW()-3)&amp;"")</f>
        <v>No</v>
      </c>
      <c r="Y189" s="7" t="str">
        <f aca="false">IF(INDEX(MASTER_DATABASE!$A$4:$A$1000,ROW()-3)="","",INDEX(MASTER_DATABASE!$AJ$4:$AJ$1000,ROW()-3)&amp;"")</f>
        <v>No</v>
      </c>
      <c r="Z189" s="7" t="str">
        <f aca="false">IF(INDEX(MASTER_DATABASE!$A$4:$A$1000,ROW()-3)="","",INDEX(MASTER_DATABASE!$AK$4:$AK$1000,ROW()-3)&amp;"")</f>
        <v>No</v>
      </c>
      <c r="AA189" s="7" t="str">
        <f aca="false">IF(INDEX(MASTER_DATABASE!$A$4:$A$1000,ROW()-3)="","",INDEX(MASTER_DATABASE!$BE$4:$BE$1000,ROW()-3)&amp;"")</f>
        <v>HIDDEN</v>
      </c>
    </row>
    <row r="190" customFormat="false" ht="46.25" hidden="false" customHeight="false" outlineLevel="0" collapsed="false">
      <c r="A190" s="11" t="str">
        <f aca="false">IF(INDEX(MASTER_DATABASE!$A$4:$A$1000,ROW()-3)="","",INDEX(MASTER_DATABASE!$A$4:$A$1000,ROW()-3)&amp;"")</f>
        <v>PRT-010</v>
      </c>
      <c r="B190" s="7" t="str">
        <f aca="false">IF(INDEX(MASTER_DATABASE!$A$4:$A$1000,ROW()-3)="","",INDEX(MASTER_DATABASE!$B$4:$B$1000,ROW()-3)&amp;"")</f>
        <v>Printing / Xerox / Scanning</v>
      </c>
      <c r="C190" s="7" t="str">
        <f aca="false">IF(INDEX(MASTER_DATABASE!$A$4:$A$1000,ROW()-3)="","",INDEX(MASTER_DATABASE!$C$4:$C$1000,ROW()-3)&amp;"")</f>
        <v>Document Services</v>
      </c>
      <c r="D190" s="7" t="str">
        <f aca="false">IF(INDEX(MASTER_DATABASE!$A$4:$A$1000,ROW()-3)="","",INDEX(MASTER_DATABASE!$D$4:$D$1000,ROW()-3)&amp;"")</f>
        <v>PDF Services</v>
      </c>
      <c r="E190" s="7" t="str">
        <f aca="false">IF(INDEX(MASTER_DATABASE!$A$4:$A$1000,ROW()-3)="","",INDEX(MASTER_DATABASE!$E$4:$E$1000,ROW()-3)&amp;"")</f>
        <v>PDF Creation</v>
      </c>
      <c r="F190" s="7" t="str">
        <f aca="false">IF(INDEX(MASTER_DATABASE!$A$4:$A$1000,ROW()-3)="","",INDEX(MASTER_DATABASE!$F$4:$F$1000,ROW()-3)&amp;"")</f>
        <v>PDF निर्माण</v>
      </c>
      <c r="G190" s="7" t="str">
        <f aca="false">IF(INDEX(MASTER_DATABASE!$A$4:$A$1000,ROW()-3)="","",INDEX(MASTER_DATABASE!$AL$4:$AL$1000,ROW()-3)&amp;"")</f>
        <v>Printing / Xerox / Scanning</v>
      </c>
      <c r="H190" s="7" t="str">
        <f aca="false">IF(INDEX(MASTER_DATABASE!$A$4:$A$1000,ROW()-3)="","",INDEX(MASTER_DATABASE!$AM$4:$AM$1000,ROW()-3)&amp;"")</f>
        <v>PDF Services</v>
      </c>
      <c r="I190" s="7" t="str">
        <f aca="false">IF(INDEX(MASTER_DATABASE!$A$4:$A$1000,ROW()-3)="","",INDEX(MASTER_DATABASE!$AO$4:$AO$1000,ROW()-3)&amp;"")</f>
        <v>pdf-creation</v>
      </c>
      <c r="J190" s="7" t="str">
        <f aca="false">IF(INDEX(MASTER_DATABASE!$A$4:$A$1000,ROW()-3)="","",INDEX(MASTER_DATABASE!$BD$4:$BD$1000,ROW()-3)&amp;"")</f>
        <v>/services/pdf-creation</v>
      </c>
      <c r="K190" s="7" t="str">
        <f aca="false">IF(INDEX(MASTER_DATABASE!$A$4:$A$1000,ROW()-3)="","",INDEX(MASTER_DATABASE!$AX$4:$AX$1000,ROW()-3)&amp;"")</f>
        <v>PDF Creation Service | Devmobile Stores</v>
      </c>
      <c r="L190" s="7" t="str">
        <f aca="false">IF(INDEX(MASTER_DATABASE!$A$4:$A$1000,ROW()-3)="","",INDEX(MASTER_DATABASE!$AY$4:$AY$1000,ROW()-3)&amp;"")</f>
        <v>PDF Creation (PDF निर्माण) at Devmobile Stores and Common Service Center &amp; Aadhaar Centre. Check required documents, charges and process before you visit.</v>
      </c>
      <c r="M190" s="7" t="str">
        <f aca="false">IF(INDEX(MASTER_DATABASE!$A$4:$A$1000,ROW()-3)="","",INDEX(MASTER_DATABASE!$AN$4:$AN$1000,ROW()-3)&amp;"")</f>
        <v>PDF Creation, Printing / Xerox / Scanning, Devmobile Stores, PDF निर्माण, प्रिंटिंग / ज़ेरॉक्स / स्कैनिंग, सेवा</v>
      </c>
      <c r="N190" s="7" t="str">
        <f aca="false">IF(INDEX(MASTER_DATABASE!$A$4:$A$1000,ROW()-3)="","",INDEX(MASTER_DATABASE!$AZ$4:$AZ$1000,ROW()-3)&amp;"")</f>
        <v>PDF निर्माण, प्रिंटिंग / ज़ेरॉक्स / स्कैनिंग, सेवा</v>
      </c>
      <c r="O190" s="7" t="str">
        <f aca="false">IF(INDEX(MASTER_DATABASE!$A$4:$A$1000,ROW()-3)="","",INDEX(MASTER_DATABASE!$BA$4:$BA$1000,ROW()-3)&amp;"")</f>
        <v>PDF Creation, Printing / Xerox / Scanning, Devmobile Stores</v>
      </c>
      <c r="P190" s="11" t="str">
        <f aca="false">IF(INDEX(MASTER_DATABASE!$A$4:$A$1000,ROW()-3)="","",INDEX(MASTER_DATABASE!$AP$4:$AP$1000,ROW()-3)&amp;"")</f>
        <v>📑</v>
      </c>
      <c r="Q190" s="7" t="str">
        <f aca="false">IF(INDEX(MASTER_DATABASE!$A$4:$A$1000,ROW()-3)="","",INDEX(MASTER_DATABASE!$BB$4:$BB$1000,ROW()-3)&amp;"")</f>
        <v/>
      </c>
      <c r="R190" s="11" t="str">
        <f aca="false">IF(INDEX(MASTER_DATABASE!$A$4:$A$1000,ROW()-3)="","",INDEX(MASTER_DATABASE!$BC$4:$BC$1000,ROW()-3)&amp;"")</f>
        <v>🖨️</v>
      </c>
      <c r="S190" s="11" t="n">
        <f aca="false">IF(INDEX(MASTER_DATABASE!$A$4:$A$1000,ROW()-3)="","",INDEX(MASTER_DATABASE!$AQ$4:$AQ$1000,ROW()-3))</f>
        <v>100</v>
      </c>
      <c r="T190" s="7" t="str">
        <f aca="false">IF(INDEX(MASTER_DATABASE!$A$4:$A$1000,ROW()-3)="","",INDEX(MASTER_DATABASE!$I$4:$I$1000,ROW()-3)&amp;"")</f>
        <v>Available</v>
      </c>
      <c r="U190" s="7" t="str">
        <f aca="false">IF(INDEX(MASTER_DATABASE!$A$4:$A$1000,ROW()-3)="","",INDEX(MASTER_DATABASE!$J$4:$J$1000,ROW()-3)&amp;"")</f>
        <v>Available</v>
      </c>
      <c r="V190" s="7" t="str">
        <f aca="false">IF(INDEX(MASTER_DATABASE!$A$4:$A$1000,ROW()-3)="","",INDEX(MASTER_DATABASE!$AG$4:$AG$1000,ROW()-3)&amp;"")</f>
        <v>Active</v>
      </c>
      <c r="W190" s="7" t="str">
        <f aca="false">IF(INDEX(MASTER_DATABASE!$A$4:$A$1000,ROW()-3)="","",INDEX(MASTER_DATABASE!$AH$4:$AH$1000,ROW()-3)&amp;"")</f>
        <v>Yes</v>
      </c>
      <c r="X190" s="7" t="str">
        <f aca="false">IF(INDEX(MASTER_DATABASE!$A$4:$A$1000,ROW()-3)="","",INDEX(MASTER_DATABASE!$AI$4:$AI$1000,ROW()-3)&amp;"")</f>
        <v>No</v>
      </c>
      <c r="Y190" s="7" t="str">
        <f aca="false">IF(INDEX(MASTER_DATABASE!$A$4:$A$1000,ROW()-3)="","",INDEX(MASTER_DATABASE!$AJ$4:$AJ$1000,ROW()-3)&amp;"")</f>
        <v>No</v>
      </c>
      <c r="Z190" s="7" t="str">
        <f aca="false">IF(INDEX(MASTER_DATABASE!$A$4:$A$1000,ROW()-3)="","",INDEX(MASTER_DATABASE!$AK$4:$AK$1000,ROW()-3)&amp;"")</f>
        <v>No</v>
      </c>
      <c r="AA190" s="7" t="str">
        <f aca="false">IF(INDEX(MASTER_DATABASE!$A$4:$A$1000,ROW()-3)="","",INDEX(MASTER_DATABASE!$BE$4:$BE$1000,ROW()-3)&amp;"")</f>
        <v>LIVE</v>
      </c>
    </row>
    <row r="191" customFormat="false" ht="35.05" hidden="false" customHeight="false" outlineLevel="0" collapsed="false">
      <c r="A191" s="11" t="str">
        <f aca="false">IF(INDEX(MASTER_DATABASE!$A$4:$A$1000,ROW()-3)="","",INDEX(MASTER_DATABASE!$A$4:$A$1000,ROW()-3)&amp;"")</f>
        <v>PRT-011</v>
      </c>
      <c r="B191" s="7" t="str">
        <f aca="false">IF(INDEX(MASTER_DATABASE!$A$4:$A$1000,ROW()-3)="","",INDEX(MASTER_DATABASE!$B$4:$B$1000,ROW()-3)&amp;"")</f>
        <v>Printing / Xerox / Scanning</v>
      </c>
      <c r="C191" s="7" t="str">
        <f aca="false">IF(INDEX(MASTER_DATABASE!$A$4:$A$1000,ROW()-3)="","",INDEX(MASTER_DATABASE!$C$4:$C$1000,ROW()-3)&amp;"")</f>
        <v>Document Services</v>
      </c>
      <c r="D191" s="7" t="str">
        <f aca="false">IF(INDEX(MASTER_DATABASE!$A$4:$A$1000,ROW()-3)="","",INDEX(MASTER_DATABASE!$D$4:$D$1000,ROW()-3)&amp;"")</f>
        <v>PDF Services</v>
      </c>
      <c r="E191" s="7" t="str">
        <f aca="false">IF(INDEX(MASTER_DATABASE!$A$4:$A$1000,ROW()-3)="","",INDEX(MASTER_DATABASE!$E$4:$E$1000,ROW()-3)&amp;"")</f>
        <v>PDF Merge</v>
      </c>
      <c r="F191" s="7" t="str">
        <f aca="false">IF(INDEX(MASTER_DATABASE!$A$4:$A$1000,ROW()-3)="","",INDEX(MASTER_DATABASE!$F$4:$F$1000,ROW()-3)&amp;"")</f>
        <v>PDF मर्ज</v>
      </c>
      <c r="G191" s="7" t="str">
        <f aca="false">IF(INDEX(MASTER_DATABASE!$A$4:$A$1000,ROW()-3)="","",INDEX(MASTER_DATABASE!$AL$4:$AL$1000,ROW()-3)&amp;"")</f>
        <v>Printing / Xerox / Scanning</v>
      </c>
      <c r="H191" s="7" t="str">
        <f aca="false">IF(INDEX(MASTER_DATABASE!$A$4:$A$1000,ROW()-3)="","",INDEX(MASTER_DATABASE!$AM$4:$AM$1000,ROW()-3)&amp;"")</f>
        <v>PDF Services</v>
      </c>
      <c r="I191" s="7" t="str">
        <f aca="false">IF(INDEX(MASTER_DATABASE!$A$4:$A$1000,ROW()-3)="","",INDEX(MASTER_DATABASE!$AO$4:$AO$1000,ROW()-3)&amp;"")</f>
        <v>pdf-merge</v>
      </c>
      <c r="J191" s="7" t="str">
        <f aca="false">IF(INDEX(MASTER_DATABASE!$A$4:$A$1000,ROW()-3)="","",INDEX(MASTER_DATABASE!$BD$4:$BD$1000,ROW()-3)&amp;"")</f>
        <v>/services/pdf-merge</v>
      </c>
      <c r="K191" s="7" t="str">
        <f aca="false">IF(INDEX(MASTER_DATABASE!$A$4:$A$1000,ROW()-3)="","",INDEX(MASTER_DATABASE!$AX$4:$AX$1000,ROW()-3)&amp;"")</f>
        <v>PDF Merge Service | Devmobile Stores</v>
      </c>
      <c r="L191" s="7" t="str">
        <f aca="false">IF(INDEX(MASTER_DATABASE!$A$4:$A$1000,ROW()-3)="","",INDEX(MASTER_DATABASE!$AY$4:$AY$1000,ROW()-3)&amp;"")</f>
        <v>PDF Merge (PDF मर्ज) at Devmobile Stores and Common Service Center &amp; Aadhaar Centre. Check required documents, charges and process before you visit.</v>
      </c>
      <c r="M191" s="7" t="str">
        <f aca="false">IF(INDEX(MASTER_DATABASE!$A$4:$A$1000,ROW()-3)="","",INDEX(MASTER_DATABASE!$AN$4:$AN$1000,ROW()-3)&amp;"")</f>
        <v>PDF Merge, Printing / Xerox / Scanning, Devmobile Stores, PDF मर्ज, प्रिंटिंग / ज़ेरॉक्स / स्कैनिंग, सेवा</v>
      </c>
      <c r="N191" s="7" t="str">
        <f aca="false">IF(INDEX(MASTER_DATABASE!$A$4:$A$1000,ROW()-3)="","",INDEX(MASTER_DATABASE!$AZ$4:$AZ$1000,ROW()-3)&amp;"")</f>
        <v>PDF मर्ज, प्रिंटिंग / ज़ेरॉक्स / स्कैनिंग, सेवा</v>
      </c>
      <c r="O191" s="7" t="str">
        <f aca="false">IF(INDEX(MASTER_DATABASE!$A$4:$A$1000,ROW()-3)="","",INDEX(MASTER_DATABASE!$BA$4:$BA$1000,ROW()-3)&amp;"")</f>
        <v>PDF Merge, Printing / Xerox / Scanning, Devmobile Stores</v>
      </c>
      <c r="P191" s="11" t="str">
        <f aca="false">IF(INDEX(MASTER_DATABASE!$A$4:$A$1000,ROW()-3)="","",INDEX(MASTER_DATABASE!$AP$4:$AP$1000,ROW()-3)&amp;"")</f>
        <v>📑</v>
      </c>
      <c r="Q191" s="7" t="str">
        <f aca="false">IF(INDEX(MASTER_DATABASE!$A$4:$A$1000,ROW()-3)="","",INDEX(MASTER_DATABASE!$BB$4:$BB$1000,ROW()-3)&amp;"")</f>
        <v/>
      </c>
      <c r="R191" s="11" t="str">
        <f aca="false">IF(INDEX(MASTER_DATABASE!$A$4:$A$1000,ROW()-3)="","",INDEX(MASTER_DATABASE!$BC$4:$BC$1000,ROW()-3)&amp;"")</f>
        <v>🖨️</v>
      </c>
      <c r="S191" s="11" t="n">
        <f aca="false">IF(INDEX(MASTER_DATABASE!$A$4:$A$1000,ROW()-3)="","",INDEX(MASTER_DATABASE!$AQ$4:$AQ$1000,ROW()-3))</f>
        <v>110</v>
      </c>
      <c r="T191" s="7" t="str">
        <f aca="false">IF(INDEX(MASTER_DATABASE!$A$4:$A$1000,ROW()-3)="","",INDEX(MASTER_DATABASE!$I$4:$I$1000,ROW()-3)&amp;"")</f>
        <v>Available</v>
      </c>
      <c r="U191" s="7" t="str">
        <f aca="false">IF(INDEX(MASTER_DATABASE!$A$4:$A$1000,ROW()-3)="","",INDEX(MASTER_DATABASE!$J$4:$J$1000,ROW()-3)&amp;"")</f>
        <v>Available</v>
      </c>
      <c r="V191" s="7" t="str">
        <f aca="false">IF(INDEX(MASTER_DATABASE!$A$4:$A$1000,ROW()-3)="","",INDEX(MASTER_DATABASE!$AG$4:$AG$1000,ROW()-3)&amp;"")</f>
        <v>Active</v>
      </c>
      <c r="W191" s="7" t="str">
        <f aca="false">IF(INDEX(MASTER_DATABASE!$A$4:$A$1000,ROW()-3)="","",INDEX(MASTER_DATABASE!$AH$4:$AH$1000,ROW()-3)&amp;"")</f>
        <v>Yes</v>
      </c>
      <c r="X191" s="7" t="str">
        <f aca="false">IF(INDEX(MASTER_DATABASE!$A$4:$A$1000,ROW()-3)="","",INDEX(MASTER_DATABASE!$AI$4:$AI$1000,ROW()-3)&amp;"")</f>
        <v>No</v>
      </c>
      <c r="Y191" s="7" t="str">
        <f aca="false">IF(INDEX(MASTER_DATABASE!$A$4:$A$1000,ROW()-3)="","",INDEX(MASTER_DATABASE!$AJ$4:$AJ$1000,ROW()-3)&amp;"")</f>
        <v>No</v>
      </c>
      <c r="Z191" s="7" t="str">
        <f aca="false">IF(INDEX(MASTER_DATABASE!$A$4:$A$1000,ROW()-3)="","",INDEX(MASTER_DATABASE!$AK$4:$AK$1000,ROW()-3)&amp;"")</f>
        <v>No</v>
      </c>
      <c r="AA191" s="7" t="str">
        <f aca="false">IF(INDEX(MASTER_DATABASE!$A$4:$A$1000,ROW()-3)="","",INDEX(MASTER_DATABASE!$BE$4:$BE$1000,ROW()-3)&amp;"")</f>
        <v>LIVE</v>
      </c>
    </row>
    <row r="192" customFormat="false" ht="35.05" hidden="false" customHeight="false" outlineLevel="0" collapsed="false">
      <c r="A192" s="11" t="str">
        <f aca="false">IF(INDEX(MASTER_DATABASE!$A$4:$A$1000,ROW()-3)="","",INDEX(MASTER_DATABASE!$A$4:$A$1000,ROW()-3)&amp;"")</f>
        <v>PRT-012</v>
      </c>
      <c r="B192" s="7" t="str">
        <f aca="false">IF(INDEX(MASTER_DATABASE!$A$4:$A$1000,ROW()-3)="","",INDEX(MASTER_DATABASE!$B$4:$B$1000,ROW()-3)&amp;"")</f>
        <v>Printing / Xerox / Scanning</v>
      </c>
      <c r="C192" s="7" t="str">
        <f aca="false">IF(INDEX(MASTER_DATABASE!$A$4:$A$1000,ROW()-3)="","",INDEX(MASTER_DATABASE!$C$4:$C$1000,ROW()-3)&amp;"")</f>
        <v>Document Services</v>
      </c>
      <c r="D192" s="7" t="str">
        <f aca="false">IF(INDEX(MASTER_DATABASE!$A$4:$A$1000,ROW()-3)="","",INDEX(MASTER_DATABASE!$D$4:$D$1000,ROW()-3)&amp;"")</f>
        <v>PDF Services</v>
      </c>
      <c r="E192" s="7" t="str">
        <f aca="false">IF(INDEX(MASTER_DATABASE!$A$4:$A$1000,ROW()-3)="","",INDEX(MASTER_DATABASE!$E$4:$E$1000,ROW()-3)&amp;"")</f>
        <v>PDF Split</v>
      </c>
      <c r="F192" s="7" t="str">
        <f aca="false">IF(INDEX(MASTER_DATABASE!$A$4:$A$1000,ROW()-3)="","",INDEX(MASTER_DATABASE!$F$4:$F$1000,ROW()-3)&amp;"")</f>
        <v>PDF स्प्लिट</v>
      </c>
      <c r="G192" s="7" t="str">
        <f aca="false">IF(INDEX(MASTER_DATABASE!$A$4:$A$1000,ROW()-3)="","",INDEX(MASTER_DATABASE!$AL$4:$AL$1000,ROW()-3)&amp;"")</f>
        <v>Printing / Xerox / Scanning</v>
      </c>
      <c r="H192" s="7" t="str">
        <f aca="false">IF(INDEX(MASTER_DATABASE!$A$4:$A$1000,ROW()-3)="","",INDEX(MASTER_DATABASE!$AM$4:$AM$1000,ROW()-3)&amp;"")</f>
        <v>PDF Services</v>
      </c>
      <c r="I192" s="7" t="str">
        <f aca="false">IF(INDEX(MASTER_DATABASE!$A$4:$A$1000,ROW()-3)="","",INDEX(MASTER_DATABASE!$AO$4:$AO$1000,ROW()-3)&amp;"")</f>
        <v>pdf-split</v>
      </c>
      <c r="J192" s="7" t="str">
        <f aca="false">IF(INDEX(MASTER_DATABASE!$A$4:$A$1000,ROW()-3)="","",INDEX(MASTER_DATABASE!$BD$4:$BD$1000,ROW()-3)&amp;"")</f>
        <v>/services/pdf-split</v>
      </c>
      <c r="K192" s="7" t="str">
        <f aca="false">IF(INDEX(MASTER_DATABASE!$A$4:$A$1000,ROW()-3)="","",INDEX(MASTER_DATABASE!$AX$4:$AX$1000,ROW()-3)&amp;"")</f>
        <v>PDF Split Service | Devmobile Stores</v>
      </c>
      <c r="L192" s="7" t="str">
        <f aca="false">IF(INDEX(MASTER_DATABASE!$A$4:$A$1000,ROW()-3)="","",INDEX(MASTER_DATABASE!$AY$4:$AY$1000,ROW()-3)&amp;"")</f>
        <v>PDF Split (PDF स्प्लिट) at Devmobile Stores and Common Service Center &amp; Aadhaar Centre. Check required documents, charges and process before you visit.</v>
      </c>
      <c r="M192" s="7" t="str">
        <f aca="false">IF(INDEX(MASTER_DATABASE!$A$4:$A$1000,ROW()-3)="","",INDEX(MASTER_DATABASE!$AN$4:$AN$1000,ROW()-3)&amp;"")</f>
        <v>PDF Split, Printing / Xerox / Scanning, Devmobile Stores, PDF स्प्लिट, प्रिंटिंग / ज़ेरॉक्स / स्कैनिंग, सेवा</v>
      </c>
      <c r="N192" s="7" t="str">
        <f aca="false">IF(INDEX(MASTER_DATABASE!$A$4:$A$1000,ROW()-3)="","",INDEX(MASTER_DATABASE!$AZ$4:$AZ$1000,ROW()-3)&amp;"")</f>
        <v>PDF स्प्लिट, प्रिंटिंग / ज़ेरॉक्स / स्कैनिंग, सेवा</v>
      </c>
      <c r="O192" s="7" t="str">
        <f aca="false">IF(INDEX(MASTER_DATABASE!$A$4:$A$1000,ROW()-3)="","",INDEX(MASTER_DATABASE!$BA$4:$BA$1000,ROW()-3)&amp;"")</f>
        <v>PDF Split, Printing / Xerox / Scanning, Devmobile Stores</v>
      </c>
      <c r="P192" s="11" t="str">
        <f aca="false">IF(INDEX(MASTER_DATABASE!$A$4:$A$1000,ROW()-3)="","",INDEX(MASTER_DATABASE!$AP$4:$AP$1000,ROW()-3)&amp;"")</f>
        <v>📑</v>
      </c>
      <c r="Q192" s="7" t="str">
        <f aca="false">IF(INDEX(MASTER_DATABASE!$A$4:$A$1000,ROW()-3)="","",INDEX(MASTER_DATABASE!$BB$4:$BB$1000,ROW()-3)&amp;"")</f>
        <v/>
      </c>
      <c r="R192" s="11" t="str">
        <f aca="false">IF(INDEX(MASTER_DATABASE!$A$4:$A$1000,ROW()-3)="","",INDEX(MASTER_DATABASE!$BC$4:$BC$1000,ROW()-3)&amp;"")</f>
        <v>🖨️</v>
      </c>
      <c r="S192" s="11" t="n">
        <f aca="false">IF(INDEX(MASTER_DATABASE!$A$4:$A$1000,ROW()-3)="","",INDEX(MASTER_DATABASE!$AQ$4:$AQ$1000,ROW()-3))</f>
        <v>120</v>
      </c>
      <c r="T192" s="7" t="str">
        <f aca="false">IF(INDEX(MASTER_DATABASE!$A$4:$A$1000,ROW()-3)="","",INDEX(MASTER_DATABASE!$I$4:$I$1000,ROW()-3)&amp;"")</f>
        <v>Available</v>
      </c>
      <c r="U192" s="7" t="str">
        <f aca="false">IF(INDEX(MASTER_DATABASE!$A$4:$A$1000,ROW()-3)="","",INDEX(MASTER_DATABASE!$J$4:$J$1000,ROW()-3)&amp;"")</f>
        <v>Available</v>
      </c>
      <c r="V192" s="7" t="str">
        <f aca="false">IF(INDEX(MASTER_DATABASE!$A$4:$A$1000,ROW()-3)="","",INDEX(MASTER_DATABASE!$AG$4:$AG$1000,ROW()-3)&amp;"")</f>
        <v>Active</v>
      </c>
      <c r="W192" s="7" t="str">
        <f aca="false">IF(INDEX(MASTER_DATABASE!$A$4:$A$1000,ROW()-3)="","",INDEX(MASTER_DATABASE!$AH$4:$AH$1000,ROW()-3)&amp;"")</f>
        <v>Yes</v>
      </c>
      <c r="X192" s="7" t="str">
        <f aca="false">IF(INDEX(MASTER_DATABASE!$A$4:$A$1000,ROW()-3)="","",INDEX(MASTER_DATABASE!$AI$4:$AI$1000,ROW()-3)&amp;"")</f>
        <v>No</v>
      </c>
      <c r="Y192" s="7" t="str">
        <f aca="false">IF(INDEX(MASTER_DATABASE!$A$4:$A$1000,ROW()-3)="","",INDEX(MASTER_DATABASE!$AJ$4:$AJ$1000,ROW()-3)&amp;"")</f>
        <v>No</v>
      </c>
      <c r="Z192" s="7" t="str">
        <f aca="false">IF(INDEX(MASTER_DATABASE!$A$4:$A$1000,ROW()-3)="","",INDEX(MASTER_DATABASE!$AK$4:$AK$1000,ROW()-3)&amp;"")</f>
        <v>No</v>
      </c>
      <c r="AA192" s="7" t="str">
        <f aca="false">IF(INDEX(MASTER_DATABASE!$A$4:$A$1000,ROW()-3)="","",INDEX(MASTER_DATABASE!$BE$4:$BE$1000,ROW()-3)&amp;"")</f>
        <v>LIVE</v>
      </c>
    </row>
    <row r="193" customFormat="false" ht="46.25" hidden="false" customHeight="false" outlineLevel="0" collapsed="false">
      <c r="A193" s="11" t="str">
        <f aca="false">IF(INDEX(MASTER_DATABASE!$A$4:$A$1000,ROW()-3)="","",INDEX(MASTER_DATABASE!$A$4:$A$1000,ROW()-3)&amp;"")</f>
        <v>PRT-013</v>
      </c>
      <c r="B193" s="7" t="str">
        <f aca="false">IF(INDEX(MASTER_DATABASE!$A$4:$A$1000,ROW()-3)="","",INDEX(MASTER_DATABASE!$B$4:$B$1000,ROW()-3)&amp;"")</f>
        <v>Printing / Xerox / Scanning</v>
      </c>
      <c r="C193" s="7" t="str">
        <f aca="false">IF(INDEX(MASTER_DATABASE!$A$4:$A$1000,ROW()-3)="","",INDEX(MASTER_DATABASE!$C$4:$C$1000,ROW()-3)&amp;"")</f>
        <v>Document Services</v>
      </c>
      <c r="D193" s="7" t="str">
        <f aca="false">IF(INDEX(MASTER_DATABASE!$A$4:$A$1000,ROW()-3)="","",INDEX(MASTER_DATABASE!$D$4:$D$1000,ROW()-3)&amp;"")</f>
        <v>PDF Services</v>
      </c>
      <c r="E193" s="7" t="str">
        <f aca="false">IF(INDEX(MASTER_DATABASE!$A$4:$A$1000,ROW()-3)="","",INDEX(MASTER_DATABASE!$E$4:$E$1000,ROW()-3)&amp;"")</f>
        <v>PDF Compression</v>
      </c>
      <c r="F193" s="7" t="str">
        <f aca="false">IF(INDEX(MASTER_DATABASE!$A$4:$A$1000,ROW()-3)="","",INDEX(MASTER_DATABASE!$F$4:$F$1000,ROW()-3)&amp;"")</f>
        <v>PDF कंप्रेशन</v>
      </c>
      <c r="G193" s="7" t="str">
        <f aca="false">IF(INDEX(MASTER_DATABASE!$A$4:$A$1000,ROW()-3)="","",INDEX(MASTER_DATABASE!$AL$4:$AL$1000,ROW()-3)&amp;"")</f>
        <v>Printing / Xerox / Scanning</v>
      </c>
      <c r="H193" s="7" t="str">
        <f aca="false">IF(INDEX(MASTER_DATABASE!$A$4:$A$1000,ROW()-3)="","",INDEX(MASTER_DATABASE!$AM$4:$AM$1000,ROW()-3)&amp;"")</f>
        <v>PDF Services</v>
      </c>
      <c r="I193" s="7" t="str">
        <f aca="false">IF(INDEX(MASTER_DATABASE!$A$4:$A$1000,ROW()-3)="","",INDEX(MASTER_DATABASE!$AO$4:$AO$1000,ROW()-3)&amp;"")</f>
        <v>pdf-compression</v>
      </c>
      <c r="J193" s="7" t="str">
        <f aca="false">IF(INDEX(MASTER_DATABASE!$A$4:$A$1000,ROW()-3)="","",INDEX(MASTER_DATABASE!$BD$4:$BD$1000,ROW()-3)&amp;"")</f>
        <v>/services/pdf-compression</v>
      </c>
      <c r="K193" s="7" t="str">
        <f aca="false">IF(INDEX(MASTER_DATABASE!$A$4:$A$1000,ROW()-3)="","",INDEX(MASTER_DATABASE!$AX$4:$AX$1000,ROW()-3)&amp;"")</f>
        <v>PDF Compression Service | Devmobile Stores</v>
      </c>
      <c r="L193" s="7" t="str">
        <f aca="false">IF(INDEX(MASTER_DATABASE!$A$4:$A$1000,ROW()-3)="","",INDEX(MASTER_DATABASE!$AY$4:$AY$1000,ROW()-3)&amp;"")</f>
        <v>PDF Compression (PDF कंप्रेशन) at Devmobile Stores and Common Service Center &amp; Aadhaar Centre. Check required documents, charges and process before you visit.</v>
      </c>
      <c r="M193" s="7" t="str">
        <f aca="false">IF(INDEX(MASTER_DATABASE!$A$4:$A$1000,ROW()-3)="","",INDEX(MASTER_DATABASE!$AN$4:$AN$1000,ROW()-3)&amp;"")</f>
        <v>PDF Compression, Printing / Xerox / Scanning, Devmobile Stores, PDF कंप्रेशन, प्रिंटिंग / ज़ेरॉक्स / स्कैनिंग, सेवा</v>
      </c>
      <c r="N193" s="7" t="str">
        <f aca="false">IF(INDEX(MASTER_DATABASE!$A$4:$A$1000,ROW()-3)="","",INDEX(MASTER_DATABASE!$AZ$4:$AZ$1000,ROW()-3)&amp;"")</f>
        <v>PDF कंप्रेशन, प्रिंटिंग / ज़ेरॉक्स / स्कैनिंग, सेवा</v>
      </c>
      <c r="O193" s="7" t="str">
        <f aca="false">IF(INDEX(MASTER_DATABASE!$A$4:$A$1000,ROW()-3)="","",INDEX(MASTER_DATABASE!$BA$4:$BA$1000,ROW()-3)&amp;"")</f>
        <v>PDF Compression, Printing / Xerox / Scanning, Devmobile Stores</v>
      </c>
      <c r="P193" s="11" t="str">
        <f aca="false">IF(INDEX(MASTER_DATABASE!$A$4:$A$1000,ROW()-3)="","",INDEX(MASTER_DATABASE!$AP$4:$AP$1000,ROW()-3)&amp;"")</f>
        <v>📑</v>
      </c>
      <c r="Q193" s="7" t="str">
        <f aca="false">IF(INDEX(MASTER_DATABASE!$A$4:$A$1000,ROW()-3)="","",INDEX(MASTER_DATABASE!$BB$4:$BB$1000,ROW()-3)&amp;"")</f>
        <v/>
      </c>
      <c r="R193" s="11" t="str">
        <f aca="false">IF(INDEX(MASTER_DATABASE!$A$4:$A$1000,ROW()-3)="","",INDEX(MASTER_DATABASE!$BC$4:$BC$1000,ROW()-3)&amp;"")</f>
        <v>🖨️</v>
      </c>
      <c r="S193" s="11" t="n">
        <f aca="false">IF(INDEX(MASTER_DATABASE!$A$4:$A$1000,ROW()-3)="","",INDEX(MASTER_DATABASE!$AQ$4:$AQ$1000,ROW()-3))</f>
        <v>130</v>
      </c>
      <c r="T193" s="7" t="str">
        <f aca="false">IF(INDEX(MASTER_DATABASE!$A$4:$A$1000,ROW()-3)="","",INDEX(MASTER_DATABASE!$I$4:$I$1000,ROW()-3)&amp;"")</f>
        <v>Available</v>
      </c>
      <c r="U193" s="7" t="str">
        <f aca="false">IF(INDEX(MASTER_DATABASE!$A$4:$A$1000,ROW()-3)="","",INDEX(MASTER_DATABASE!$J$4:$J$1000,ROW()-3)&amp;"")</f>
        <v>Available</v>
      </c>
      <c r="V193" s="7" t="str">
        <f aca="false">IF(INDEX(MASTER_DATABASE!$A$4:$A$1000,ROW()-3)="","",INDEX(MASTER_DATABASE!$AG$4:$AG$1000,ROW()-3)&amp;"")</f>
        <v>Active</v>
      </c>
      <c r="W193" s="7" t="str">
        <f aca="false">IF(INDEX(MASTER_DATABASE!$A$4:$A$1000,ROW()-3)="","",INDEX(MASTER_DATABASE!$AH$4:$AH$1000,ROW()-3)&amp;"")</f>
        <v>Yes</v>
      </c>
      <c r="X193" s="7" t="str">
        <f aca="false">IF(INDEX(MASTER_DATABASE!$A$4:$A$1000,ROW()-3)="","",INDEX(MASTER_DATABASE!$AI$4:$AI$1000,ROW()-3)&amp;"")</f>
        <v>No</v>
      </c>
      <c r="Y193" s="7" t="str">
        <f aca="false">IF(INDEX(MASTER_DATABASE!$A$4:$A$1000,ROW()-3)="","",INDEX(MASTER_DATABASE!$AJ$4:$AJ$1000,ROW()-3)&amp;"")</f>
        <v>No</v>
      </c>
      <c r="Z193" s="7" t="str">
        <f aca="false">IF(INDEX(MASTER_DATABASE!$A$4:$A$1000,ROW()-3)="","",INDEX(MASTER_DATABASE!$AK$4:$AK$1000,ROW()-3)&amp;"")</f>
        <v>No</v>
      </c>
      <c r="AA193" s="7" t="str">
        <f aca="false">IF(INDEX(MASTER_DATABASE!$A$4:$A$1000,ROW()-3)="","",INDEX(MASTER_DATABASE!$BE$4:$BE$1000,ROW()-3)&amp;"")</f>
        <v>LIVE</v>
      </c>
    </row>
    <row r="194" customFormat="false" ht="46.25" hidden="false" customHeight="false" outlineLevel="0" collapsed="false">
      <c r="A194" s="11" t="str">
        <f aca="false">IF(INDEX(MASTER_DATABASE!$A$4:$A$1000,ROW()-3)="","",INDEX(MASTER_DATABASE!$A$4:$A$1000,ROW()-3)&amp;"")</f>
        <v>PRT-014</v>
      </c>
      <c r="B194" s="7" t="str">
        <f aca="false">IF(INDEX(MASTER_DATABASE!$A$4:$A$1000,ROW()-3)="","",INDEX(MASTER_DATABASE!$B$4:$B$1000,ROW()-3)&amp;"")</f>
        <v>Printing / Xerox / Scanning</v>
      </c>
      <c r="C194" s="7" t="str">
        <f aca="false">IF(INDEX(MASTER_DATABASE!$A$4:$A$1000,ROW()-3)="","",INDEX(MASTER_DATABASE!$C$4:$C$1000,ROW()-3)&amp;"")</f>
        <v>Document Services</v>
      </c>
      <c r="D194" s="7" t="str">
        <f aca="false">IF(INDEX(MASTER_DATABASE!$A$4:$A$1000,ROW()-3)="","",INDEX(MASTER_DATABASE!$D$4:$D$1000,ROW()-3)&amp;"")</f>
        <v>PDF Services</v>
      </c>
      <c r="E194" s="7" t="str">
        <f aca="false">IF(INDEX(MASTER_DATABASE!$A$4:$A$1000,ROW()-3)="","",INDEX(MASTER_DATABASE!$E$4:$E$1000,ROW()-3)&amp;"")</f>
        <v>PDF Conversion (PDF to Image / Other)</v>
      </c>
      <c r="F194" s="7" t="str">
        <f aca="false">IF(INDEX(MASTER_DATABASE!$A$4:$A$1000,ROW()-3)="","",INDEX(MASTER_DATABASE!$F$4:$F$1000,ROW()-3)&amp;"")</f>
        <v>PDF कन्वर्ज़न (PDF से इमेज / अन्य)</v>
      </c>
      <c r="G194" s="7" t="str">
        <f aca="false">IF(INDEX(MASTER_DATABASE!$A$4:$A$1000,ROW()-3)="","",INDEX(MASTER_DATABASE!$AL$4:$AL$1000,ROW()-3)&amp;"")</f>
        <v>Printing / Xerox / Scanning</v>
      </c>
      <c r="H194" s="7" t="str">
        <f aca="false">IF(INDEX(MASTER_DATABASE!$A$4:$A$1000,ROW()-3)="","",INDEX(MASTER_DATABASE!$AM$4:$AM$1000,ROW()-3)&amp;"")</f>
        <v>PDF Services</v>
      </c>
      <c r="I194" s="7" t="str">
        <f aca="false">IF(INDEX(MASTER_DATABASE!$A$4:$A$1000,ROW()-3)="","",INDEX(MASTER_DATABASE!$AO$4:$AO$1000,ROW()-3)&amp;"")</f>
        <v>pdf-conversion-pdf-to-image-other</v>
      </c>
      <c r="J194" s="7" t="str">
        <f aca="false">IF(INDEX(MASTER_DATABASE!$A$4:$A$1000,ROW()-3)="","",INDEX(MASTER_DATABASE!$BD$4:$BD$1000,ROW()-3)&amp;"")</f>
        <v>/services/pdf-conversion-pdf-to-image-other</v>
      </c>
      <c r="K194" s="7" t="str">
        <f aca="false">IF(INDEX(MASTER_DATABASE!$A$4:$A$1000,ROW()-3)="","",INDEX(MASTER_DATABASE!$AX$4:$AX$1000,ROW()-3)&amp;"")</f>
        <v>PDF Conversion (PDF to Image / Other) Service | Devmobile Stores</v>
      </c>
      <c r="L194" s="7" t="str">
        <f aca="false">IF(INDEX(MASTER_DATABASE!$A$4:$A$1000,ROW()-3)="","",INDEX(MASTER_DATABASE!$AY$4:$AY$1000,ROW()-3)&amp;"")</f>
        <v>PDF Conversion (PDF to Image / Other) (PDF कन्वर्ज़न (PDF से इमेज / अन्य)) at Devmobile Stores and Common Service Center &amp; Aadhaar Centre. Check required documents, charges and process before you visit.</v>
      </c>
      <c r="M194" s="7" t="str">
        <f aca="false">IF(INDEX(MASTER_DATABASE!$A$4:$A$1000,ROW()-3)="","",INDEX(MASTER_DATABASE!$AN$4:$AN$1000,ROW()-3)&amp;"")</f>
        <v>PDF Conversion (PDF to Image / Other), Printing / Xerox / Scanning, Devmobile Stores, PDF कन्वर्ज़न (PDF से इमेज / अन्य), प्रिंटिंग / ज़ेरॉक्स / स्कैनिंग, सेवा</v>
      </c>
      <c r="N194" s="7" t="str">
        <f aca="false">IF(INDEX(MASTER_DATABASE!$A$4:$A$1000,ROW()-3)="","",INDEX(MASTER_DATABASE!$AZ$4:$AZ$1000,ROW()-3)&amp;"")</f>
        <v>PDF कन्वर्ज़न (PDF से इमेज / अन्य), प्रिंटिंग / ज़ेरॉक्स / स्कैनिंग, सेवा</v>
      </c>
      <c r="O194" s="7" t="str">
        <f aca="false">IF(INDEX(MASTER_DATABASE!$A$4:$A$1000,ROW()-3)="","",INDEX(MASTER_DATABASE!$BA$4:$BA$1000,ROW()-3)&amp;"")</f>
        <v>PDF Conversion (PDF to Image / Other), Printing / Xerox / Scanning, Devmobile Stores</v>
      </c>
      <c r="P194" s="11" t="str">
        <f aca="false">IF(INDEX(MASTER_DATABASE!$A$4:$A$1000,ROW()-3)="","",INDEX(MASTER_DATABASE!$AP$4:$AP$1000,ROW()-3)&amp;"")</f>
        <v>📑</v>
      </c>
      <c r="Q194" s="7" t="str">
        <f aca="false">IF(INDEX(MASTER_DATABASE!$A$4:$A$1000,ROW()-3)="","",INDEX(MASTER_DATABASE!$BB$4:$BB$1000,ROW()-3)&amp;"")</f>
        <v/>
      </c>
      <c r="R194" s="11" t="str">
        <f aca="false">IF(INDEX(MASTER_DATABASE!$A$4:$A$1000,ROW()-3)="","",INDEX(MASTER_DATABASE!$BC$4:$BC$1000,ROW()-3)&amp;"")</f>
        <v>🖨️</v>
      </c>
      <c r="S194" s="11" t="n">
        <f aca="false">IF(INDEX(MASTER_DATABASE!$A$4:$A$1000,ROW()-3)="","",INDEX(MASTER_DATABASE!$AQ$4:$AQ$1000,ROW()-3))</f>
        <v>140</v>
      </c>
      <c r="T194" s="7" t="str">
        <f aca="false">IF(INDEX(MASTER_DATABASE!$A$4:$A$1000,ROW()-3)="","",INDEX(MASTER_DATABASE!$I$4:$I$1000,ROW()-3)&amp;"")</f>
        <v>Available</v>
      </c>
      <c r="U194" s="7" t="str">
        <f aca="false">IF(INDEX(MASTER_DATABASE!$A$4:$A$1000,ROW()-3)="","",INDEX(MASTER_DATABASE!$J$4:$J$1000,ROW()-3)&amp;"")</f>
        <v>Available</v>
      </c>
      <c r="V194" s="7" t="str">
        <f aca="false">IF(INDEX(MASTER_DATABASE!$A$4:$A$1000,ROW()-3)="","",INDEX(MASTER_DATABASE!$AG$4:$AG$1000,ROW()-3)&amp;"")</f>
        <v>Active</v>
      </c>
      <c r="W194" s="7" t="str">
        <f aca="false">IF(INDEX(MASTER_DATABASE!$A$4:$A$1000,ROW()-3)="","",INDEX(MASTER_DATABASE!$AH$4:$AH$1000,ROW()-3)&amp;"")</f>
        <v>Yes</v>
      </c>
      <c r="X194" s="7" t="str">
        <f aca="false">IF(INDEX(MASTER_DATABASE!$A$4:$A$1000,ROW()-3)="","",INDEX(MASTER_DATABASE!$AI$4:$AI$1000,ROW()-3)&amp;"")</f>
        <v>No</v>
      </c>
      <c r="Y194" s="7" t="str">
        <f aca="false">IF(INDEX(MASTER_DATABASE!$A$4:$A$1000,ROW()-3)="","",INDEX(MASTER_DATABASE!$AJ$4:$AJ$1000,ROW()-3)&amp;"")</f>
        <v>No</v>
      </c>
      <c r="Z194" s="7" t="str">
        <f aca="false">IF(INDEX(MASTER_DATABASE!$A$4:$A$1000,ROW()-3)="","",INDEX(MASTER_DATABASE!$AK$4:$AK$1000,ROW()-3)&amp;"")</f>
        <v>No</v>
      </c>
      <c r="AA194" s="7" t="str">
        <f aca="false">IF(INDEX(MASTER_DATABASE!$A$4:$A$1000,ROW()-3)="","",INDEX(MASTER_DATABASE!$BE$4:$BE$1000,ROW()-3)&amp;"")</f>
        <v>LIVE</v>
      </c>
    </row>
    <row r="195" customFormat="false" ht="46.25" hidden="false" customHeight="false" outlineLevel="0" collapsed="false">
      <c r="A195" s="11" t="str">
        <f aca="false">IF(INDEX(MASTER_DATABASE!$A$4:$A$1000,ROW()-3)="","",INDEX(MASTER_DATABASE!$A$4:$A$1000,ROW()-3)&amp;"")</f>
        <v>PRT-015</v>
      </c>
      <c r="B195" s="7" t="str">
        <f aca="false">IF(INDEX(MASTER_DATABASE!$A$4:$A$1000,ROW()-3)="","",INDEX(MASTER_DATABASE!$B$4:$B$1000,ROW()-3)&amp;"")</f>
        <v>Printing / Xerox / Scanning</v>
      </c>
      <c r="C195" s="7" t="str">
        <f aca="false">IF(INDEX(MASTER_DATABASE!$A$4:$A$1000,ROW()-3)="","",INDEX(MASTER_DATABASE!$C$4:$C$1000,ROW()-3)&amp;"")</f>
        <v>Document Services</v>
      </c>
      <c r="D195" s="7" t="str">
        <f aca="false">IF(INDEX(MASTER_DATABASE!$A$4:$A$1000,ROW()-3)="","",INDEX(MASTER_DATABASE!$D$4:$D$1000,ROW()-3)&amp;"")</f>
        <v>PDF Services</v>
      </c>
      <c r="E195" s="7" t="str">
        <f aca="false">IF(INDEX(MASTER_DATABASE!$A$4:$A$1000,ROW()-3)="","",INDEX(MASTER_DATABASE!$E$4:$E$1000,ROW()-3)&amp;"")</f>
        <v>Word to PDF</v>
      </c>
      <c r="F195" s="7" t="str">
        <f aca="false">IF(INDEX(MASTER_DATABASE!$A$4:$A$1000,ROW()-3)="","",INDEX(MASTER_DATABASE!$F$4:$F$1000,ROW()-3)&amp;"")</f>
        <v>Word से PDF</v>
      </c>
      <c r="G195" s="7" t="str">
        <f aca="false">IF(INDEX(MASTER_DATABASE!$A$4:$A$1000,ROW()-3)="","",INDEX(MASTER_DATABASE!$AL$4:$AL$1000,ROW()-3)&amp;"")</f>
        <v>Printing / Xerox / Scanning</v>
      </c>
      <c r="H195" s="7" t="str">
        <f aca="false">IF(INDEX(MASTER_DATABASE!$A$4:$A$1000,ROW()-3)="","",INDEX(MASTER_DATABASE!$AM$4:$AM$1000,ROW()-3)&amp;"")</f>
        <v>PDF Services</v>
      </c>
      <c r="I195" s="7" t="str">
        <f aca="false">IF(INDEX(MASTER_DATABASE!$A$4:$A$1000,ROW()-3)="","",INDEX(MASTER_DATABASE!$AO$4:$AO$1000,ROW()-3)&amp;"")</f>
        <v>word-to-pdf</v>
      </c>
      <c r="J195" s="7" t="str">
        <f aca="false">IF(INDEX(MASTER_DATABASE!$A$4:$A$1000,ROW()-3)="","",INDEX(MASTER_DATABASE!$BD$4:$BD$1000,ROW()-3)&amp;"")</f>
        <v>/services/word-to-pdf</v>
      </c>
      <c r="K195" s="7" t="str">
        <f aca="false">IF(INDEX(MASTER_DATABASE!$A$4:$A$1000,ROW()-3)="","",INDEX(MASTER_DATABASE!$AX$4:$AX$1000,ROW()-3)&amp;"")</f>
        <v>Word to PDF Service | Devmobile Stores</v>
      </c>
      <c r="L195" s="7" t="str">
        <f aca="false">IF(INDEX(MASTER_DATABASE!$A$4:$A$1000,ROW()-3)="","",INDEX(MASTER_DATABASE!$AY$4:$AY$1000,ROW()-3)&amp;"")</f>
        <v>Word to PDF (Word से PDF) at Devmobile Stores and Common Service Center &amp; Aadhaar Centre. Check required documents, charges and process before you visit.</v>
      </c>
      <c r="M195" s="7" t="str">
        <f aca="false">IF(INDEX(MASTER_DATABASE!$A$4:$A$1000,ROW()-3)="","",INDEX(MASTER_DATABASE!$AN$4:$AN$1000,ROW()-3)&amp;"")</f>
        <v>Word to PDF, Printing / Xerox / Scanning, Devmobile Stores, Word से PDF, प्रिंटिंग / ज़ेरॉक्स / स्कैनिंग, सेवा</v>
      </c>
      <c r="N195" s="7" t="str">
        <f aca="false">IF(INDEX(MASTER_DATABASE!$A$4:$A$1000,ROW()-3)="","",INDEX(MASTER_DATABASE!$AZ$4:$AZ$1000,ROW()-3)&amp;"")</f>
        <v>Word से PDF, प्रिंटिंग / ज़ेरॉक्स / स्कैनिंग, सेवा</v>
      </c>
      <c r="O195" s="7" t="str">
        <f aca="false">IF(INDEX(MASTER_DATABASE!$A$4:$A$1000,ROW()-3)="","",INDEX(MASTER_DATABASE!$BA$4:$BA$1000,ROW()-3)&amp;"")</f>
        <v>Word to PDF, Printing / Xerox / Scanning, Devmobile Stores</v>
      </c>
      <c r="P195" s="11" t="str">
        <f aca="false">IF(INDEX(MASTER_DATABASE!$A$4:$A$1000,ROW()-3)="","",INDEX(MASTER_DATABASE!$AP$4:$AP$1000,ROW()-3)&amp;"")</f>
        <v>📑</v>
      </c>
      <c r="Q195" s="7" t="str">
        <f aca="false">IF(INDEX(MASTER_DATABASE!$A$4:$A$1000,ROW()-3)="","",INDEX(MASTER_DATABASE!$BB$4:$BB$1000,ROW()-3)&amp;"")</f>
        <v/>
      </c>
      <c r="R195" s="11" t="str">
        <f aca="false">IF(INDEX(MASTER_DATABASE!$A$4:$A$1000,ROW()-3)="","",INDEX(MASTER_DATABASE!$BC$4:$BC$1000,ROW()-3)&amp;"")</f>
        <v>🖨️</v>
      </c>
      <c r="S195" s="11" t="n">
        <f aca="false">IF(INDEX(MASTER_DATABASE!$A$4:$A$1000,ROW()-3)="","",INDEX(MASTER_DATABASE!$AQ$4:$AQ$1000,ROW()-3))</f>
        <v>150</v>
      </c>
      <c r="T195" s="7" t="str">
        <f aca="false">IF(INDEX(MASTER_DATABASE!$A$4:$A$1000,ROW()-3)="","",INDEX(MASTER_DATABASE!$I$4:$I$1000,ROW()-3)&amp;"")</f>
        <v>Available</v>
      </c>
      <c r="U195" s="7" t="str">
        <f aca="false">IF(INDEX(MASTER_DATABASE!$A$4:$A$1000,ROW()-3)="","",INDEX(MASTER_DATABASE!$J$4:$J$1000,ROW()-3)&amp;"")</f>
        <v>Available</v>
      </c>
      <c r="V195" s="7" t="str">
        <f aca="false">IF(INDEX(MASTER_DATABASE!$A$4:$A$1000,ROW()-3)="","",INDEX(MASTER_DATABASE!$AG$4:$AG$1000,ROW()-3)&amp;"")</f>
        <v>Active</v>
      </c>
      <c r="W195" s="7" t="str">
        <f aca="false">IF(INDEX(MASTER_DATABASE!$A$4:$A$1000,ROW()-3)="","",INDEX(MASTER_DATABASE!$AH$4:$AH$1000,ROW()-3)&amp;"")</f>
        <v>Yes</v>
      </c>
      <c r="X195" s="7" t="str">
        <f aca="false">IF(INDEX(MASTER_DATABASE!$A$4:$A$1000,ROW()-3)="","",INDEX(MASTER_DATABASE!$AI$4:$AI$1000,ROW()-3)&amp;"")</f>
        <v>No</v>
      </c>
      <c r="Y195" s="7" t="str">
        <f aca="false">IF(INDEX(MASTER_DATABASE!$A$4:$A$1000,ROW()-3)="","",INDEX(MASTER_DATABASE!$AJ$4:$AJ$1000,ROW()-3)&amp;"")</f>
        <v>No</v>
      </c>
      <c r="Z195" s="7" t="str">
        <f aca="false">IF(INDEX(MASTER_DATABASE!$A$4:$A$1000,ROW()-3)="","",INDEX(MASTER_DATABASE!$AK$4:$AK$1000,ROW()-3)&amp;"")</f>
        <v>No</v>
      </c>
      <c r="AA195" s="7" t="str">
        <f aca="false">IF(INDEX(MASTER_DATABASE!$A$4:$A$1000,ROW()-3)="","",INDEX(MASTER_DATABASE!$BE$4:$BE$1000,ROW()-3)&amp;"")</f>
        <v>LIVE</v>
      </c>
    </row>
    <row r="196" customFormat="false" ht="46.25" hidden="false" customHeight="false" outlineLevel="0" collapsed="false">
      <c r="A196" s="11" t="str">
        <f aca="false">IF(INDEX(MASTER_DATABASE!$A$4:$A$1000,ROW()-3)="","",INDEX(MASTER_DATABASE!$A$4:$A$1000,ROW()-3)&amp;"")</f>
        <v>PRT-016</v>
      </c>
      <c r="B196" s="7" t="str">
        <f aca="false">IF(INDEX(MASTER_DATABASE!$A$4:$A$1000,ROW()-3)="","",INDEX(MASTER_DATABASE!$B$4:$B$1000,ROW()-3)&amp;"")</f>
        <v>Printing / Xerox / Scanning</v>
      </c>
      <c r="C196" s="7" t="str">
        <f aca="false">IF(INDEX(MASTER_DATABASE!$A$4:$A$1000,ROW()-3)="","",INDEX(MASTER_DATABASE!$C$4:$C$1000,ROW()-3)&amp;"")</f>
        <v>Document Services</v>
      </c>
      <c r="D196" s="7" t="str">
        <f aca="false">IF(INDEX(MASTER_DATABASE!$A$4:$A$1000,ROW()-3)="","",INDEX(MASTER_DATABASE!$D$4:$D$1000,ROW()-3)&amp;"")</f>
        <v>PDF Services</v>
      </c>
      <c r="E196" s="7" t="str">
        <f aca="false">IF(INDEX(MASTER_DATABASE!$A$4:$A$1000,ROW()-3)="","",INDEX(MASTER_DATABASE!$E$4:$E$1000,ROW()-3)&amp;"")</f>
        <v>PDF to Word</v>
      </c>
      <c r="F196" s="7" t="str">
        <f aca="false">IF(INDEX(MASTER_DATABASE!$A$4:$A$1000,ROW()-3)="","",INDEX(MASTER_DATABASE!$F$4:$F$1000,ROW()-3)&amp;"")</f>
        <v>PDF से Word</v>
      </c>
      <c r="G196" s="7" t="str">
        <f aca="false">IF(INDEX(MASTER_DATABASE!$A$4:$A$1000,ROW()-3)="","",INDEX(MASTER_DATABASE!$AL$4:$AL$1000,ROW()-3)&amp;"")</f>
        <v>Printing / Xerox / Scanning</v>
      </c>
      <c r="H196" s="7" t="str">
        <f aca="false">IF(INDEX(MASTER_DATABASE!$A$4:$A$1000,ROW()-3)="","",INDEX(MASTER_DATABASE!$AM$4:$AM$1000,ROW()-3)&amp;"")</f>
        <v>PDF Services</v>
      </c>
      <c r="I196" s="7" t="str">
        <f aca="false">IF(INDEX(MASTER_DATABASE!$A$4:$A$1000,ROW()-3)="","",INDEX(MASTER_DATABASE!$AO$4:$AO$1000,ROW()-3)&amp;"")</f>
        <v>pdf-to-word</v>
      </c>
      <c r="J196" s="7" t="str">
        <f aca="false">IF(INDEX(MASTER_DATABASE!$A$4:$A$1000,ROW()-3)="","",INDEX(MASTER_DATABASE!$BD$4:$BD$1000,ROW()-3)&amp;"")</f>
        <v>/services/pdf-to-word</v>
      </c>
      <c r="K196" s="7" t="str">
        <f aca="false">IF(INDEX(MASTER_DATABASE!$A$4:$A$1000,ROW()-3)="","",INDEX(MASTER_DATABASE!$AX$4:$AX$1000,ROW()-3)&amp;"")</f>
        <v>PDF to Word Service | Devmobile Stores</v>
      </c>
      <c r="L196" s="7" t="str">
        <f aca="false">IF(INDEX(MASTER_DATABASE!$A$4:$A$1000,ROW()-3)="","",INDEX(MASTER_DATABASE!$AY$4:$AY$1000,ROW()-3)&amp;"")</f>
        <v>PDF to Word (PDF से Word) at Devmobile Stores and Common Service Center &amp; Aadhaar Centre. Check required documents, charges and process before you visit.</v>
      </c>
      <c r="M196" s="7" t="str">
        <f aca="false">IF(INDEX(MASTER_DATABASE!$A$4:$A$1000,ROW()-3)="","",INDEX(MASTER_DATABASE!$AN$4:$AN$1000,ROW()-3)&amp;"")</f>
        <v>PDF to Word, Printing / Xerox / Scanning, Devmobile Stores, PDF से Word, प्रिंटिंग / ज़ेरॉक्स / स्कैनिंग, सेवा</v>
      </c>
      <c r="N196" s="7" t="str">
        <f aca="false">IF(INDEX(MASTER_DATABASE!$A$4:$A$1000,ROW()-3)="","",INDEX(MASTER_DATABASE!$AZ$4:$AZ$1000,ROW()-3)&amp;"")</f>
        <v>PDF से Word, प्रिंटिंग / ज़ेरॉक्स / स्कैनिंग, सेवा</v>
      </c>
      <c r="O196" s="7" t="str">
        <f aca="false">IF(INDEX(MASTER_DATABASE!$A$4:$A$1000,ROW()-3)="","",INDEX(MASTER_DATABASE!$BA$4:$BA$1000,ROW()-3)&amp;"")</f>
        <v>PDF to Word, Printing / Xerox / Scanning, Devmobile Stores</v>
      </c>
      <c r="P196" s="11" t="str">
        <f aca="false">IF(INDEX(MASTER_DATABASE!$A$4:$A$1000,ROW()-3)="","",INDEX(MASTER_DATABASE!$AP$4:$AP$1000,ROW()-3)&amp;"")</f>
        <v>📑</v>
      </c>
      <c r="Q196" s="7" t="str">
        <f aca="false">IF(INDEX(MASTER_DATABASE!$A$4:$A$1000,ROW()-3)="","",INDEX(MASTER_DATABASE!$BB$4:$BB$1000,ROW()-3)&amp;"")</f>
        <v/>
      </c>
      <c r="R196" s="11" t="str">
        <f aca="false">IF(INDEX(MASTER_DATABASE!$A$4:$A$1000,ROW()-3)="","",INDEX(MASTER_DATABASE!$BC$4:$BC$1000,ROW()-3)&amp;"")</f>
        <v>🖨️</v>
      </c>
      <c r="S196" s="11" t="n">
        <f aca="false">IF(INDEX(MASTER_DATABASE!$A$4:$A$1000,ROW()-3)="","",INDEX(MASTER_DATABASE!$AQ$4:$AQ$1000,ROW()-3))</f>
        <v>160</v>
      </c>
      <c r="T196" s="7" t="str">
        <f aca="false">IF(INDEX(MASTER_DATABASE!$A$4:$A$1000,ROW()-3)="","",INDEX(MASTER_DATABASE!$I$4:$I$1000,ROW()-3)&amp;"")</f>
        <v>Available</v>
      </c>
      <c r="U196" s="7" t="str">
        <f aca="false">IF(INDEX(MASTER_DATABASE!$A$4:$A$1000,ROW()-3)="","",INDEX(MASTER_DATABASE!$J$4:$J$1000,ROW()-3)&amp;"")</f>
        <v>Available</v>
      </c>
      <c r="V196" s="7" t="str">
        <f aca="false">IF(INDEX(MASTER_DATABASE!$A$4:$A$1000,ROW()-3)="","",INDEX(MASTER_DATABASE!$AG$4:$AG$1000,ROW()-3)&amp;"")</f>
        <v>Active</v>
      </c>
      <c r="W196" s="7" t="str">
        <f aca="false">IF(INDEX(MASTER_DATABASE!$A$4:$A$1000,ROW()-3)="","",INDEX(MASTER_DATABASE!$AH$4:$AH$1000,ROW()-3)&amp;"")</f>
        <v>Yes</v>
      </c>
      <c r="X196" s="7" t="str">
        <f aca="false">IF(INDEX(MASTER_DATABASE!$A$4:$A$1000,ROW()-3)="","",INDEX(MASTER_DATABASE!$AI$4:$AI$1000,ROW()-3)&amp;"")</f>
        <v>No</v>
      </c>
      <c r="Y196" s="7" t="str">
        <f aca="false">IF(INDEX(MASTER_DATABASE!$A$4:$A$1000,ROW()-3)="","",INDEX(MASTER_DATABASE!$AJ$4:$AJ$1000,ROW()-3)&amp;"")</f>
        <v>No</v>
      </c>
      <c r="Z196" s="7" t="str">
        <f aca="false">IF(INDEX(MASTER_DATABASE!$A$4:$A$1000,ROW()-3)="","",INDEX(MASTER_DATABASE!$AK$4:$AK$1000,ROW()-3)&amp;"")</f>
        <v>No</v>
      </c>
      <c r="AA196" s="7" t="str">
        <f aca="false">IF(INDEX(MASTER_DATABASE!$A$4:$A$1000,ROW()-3)="","",INDEX(MASTER_DATABASE!$BE$4:$BE$1000,ROW()-3)&amp;"")</f>
        <v>LIVE</v>
      </c>
    </row>
    <row r="197" customFormat="false" ht="46.25" hidden="false" customHeight="false" outlineLevel="0" collapsed="false">
      <c r="A197" s="11" t="str">
        <f aca="false">IF(INDEX(MASTER_DATABASE!$A$4:$A$1000,ROW()-3)="","",INDEX(MASTER_DATABASE!$A$4:$A$1000,ROW()-3)&amp;"")</f>
        <v>PRT-017</v>
      </c>
      <c r="B197" s="7" t="str">
        <f aca="false">IF(INDEX(MASTER_DATABASE!$A$4:$A$1000,ROW()-3)="","",INDEX(MASTER_DATABASE!$B$4:$B$1000,ROW()-3)&amp;"")</f>
        <v>Printing / Xerox / Scanning</v>
      </c>
      <c r="C197" s="7" t="str">
        <f aca="false">IF(INDEX(MASTER_DATABASE!$A$4:$A$1000,ROW()-3)="","",INDEX(MASTER_DATABASE!$C$4:$C$1000,ROW()-3)&amp;"")</f>
        <v>Document Services</v>
      </c>
      <c r="D197" s="7" t="str">
        <f aca="false">IF(INDEX(MASTER_DATABASE!$A$4:$A$1000,ROW()-3)="","",INDEX(MASTER_DATABASE!$D$4:$D$1000,ROW()-3)&amp;"")</f>
        <v>Typing &amp; Data Entry</v>
      </c>
      <c r="E197" s="7" t="str">
        <f aca="false">IF(INDEX(MASTER_DATABASE!$A$4:$A$1000,ROW()-3)="","",INDEX(MASTER_DATABASE!$E$4:$E$1000,ROW()-3)&amp;"")</f>
        <v>Hindi Typing</v>
      </c>
      <c r="F197" s="7" t="str">
        <f aca="false">IF(INDEX(MASTER_DATABASE!$A$4:$A$1000,ROW()-3)="","",INDEX(MASTER_DATABASE!$F$4:$F$1000,ROW()-3)&amp;"")</f>
        <v>हिंदी टाइपिंग</v>
      </c>
      <c r="G197" s="7" t="str">
        <f aca="false">IF(INDEX(MASTER_DATABASE!$A$4:$A$1000,ROW()-3)="","",INDEX(MASTER_DATABASE!$AL$4:$AL$1000,ROW()-3)&amp;"")</f>
        <v>Printing / Xerox / Scanning</v>
      </c>
      <c r="H197" s="7" t="str">
        <f aca="false">IF(INDEX(MASTER_DATABASE!$A$4:$A$1000,ROW()-3)="","",INDEX(MASTER_DATABASE!$AM$4:$AM$1000,ROW()-3)&amp;"")</f>
        <v>Typing &amp; Data Entry</v>
      </c>
      <c r="I197" s="7" t="str">
        <f aca="false">IF(INDEX(MASTER_DATABASE!$A$4:$A$1000,ROW()-3)="","",INDEX(MASTER_DATABASE!$AO$4:$AO$1000,ROW()-3)&amp;"")</f>
        <v>hindi-typing</v>
      </c>
      <c r="J197" s="7" t="str">
        <f aca="false">IF(INDEX(MASTER_DATABASE!$A$4:$A$1000,ROW()-3)="","",INDEX(MASTER_DATABASE!$BD$4:$BD$1000,ROW()-3)&amp;"")</f>
        <v>/services/hindi-typing</v>
      </c>
      <c r="K197" s="7" t="str">
        <f aca="false">IF(INDEX(MASTER_DATABASE!$A$4:$A$1000,ROW()-3)="","",INDEX(MASTER_DATABASE!$AX$4:$AX$1000,ROW()-3)&amp;"")</f>
        <v>Hindi Typing Service | Devmobile Stores</v>
      </c>
      <c r="L197" s="7" t="str">
        <f aca="false">IF(INDEX(MASTER_DATABASE!$A$4:$A$1000,ROW()-3)="","",INDEX(MASTER_DATABASE!$AY$4:$AY$1000,ROW()-3)&amp;"")</f>
        <v>Hindi Typing (हिंदी टाइपिंग) at Devmobile Stores and Common Service Center &amp; Aadhaar Centre. Check required documents, charges and process before you visit.</v>
      </c>
      <c r="M197" s="7" t="str">
        <f aca="false">IF(INDEX(MASTER_DATABASE!$A$4:$A$1000,ROW()-3)="","",INDEX(MASTER_DATABASE!$AN$4:$AN$1000,ROW()-3)&amp;"")</f>
        <v>Hindi Typing, Printing / Xerox / Scanning, Devmobile Stores, हिंदी टाइपिंग, प्रिंटिंग / ज़ेरॉक्स / स्कैनिंग, सेवा</v>
      </c>
      <c r="N197" s="7" t="str">
        <f aca="false">IF(INDEX(MASTER_DATABASE!$A$4:$A$1000,ROW()-3)="","",INDEX(MASTER_DATABASE!$AZ$4:$AZ$1000,ROW()-3)&amp;"")</f>
        <v>हिंदी टाइपिंग, प्रिंटिंग / ज़ेरॉक्स / स्कैनिंग, सेवा</v>
      </c>
      <c r="O197" s="7" t="str">
        <f aca="false">IF(INDEX(MASTER_DATABASE!$A$4:$A$1000,ROW()-3)="","",INDEX(MASTER_DATABASE!$BA$4:$BA$1000,ROW()-3)&amp;"")</f>
        <v>Hindi Typing, Printing / Xerox / Scanning, Devmobile Stores</v>
      </c>
      <c r="P197" s="11" t="str">
        <f aca="false">IF(INDEX(MASTER_DATABASE!$A$4:$A$1000,ROW()-3)="","",INDEX(MASTER_DATABASE!$AP$4:$AP$1000,ROW()-3)&amp;"")</f>
        <v>⌨️</v>
      </c>
      <c r="Q197" s="7" t="str">
        <f aca="false">IF(INDEX(MASTER_DATABASE!$A$4:$A$1000,ROW()-3)="","",INDEX(MASTER_DATABASE!$BB$4:$BB$1000,ROW()-3)&amp;"")</f>
        <v/>
      </c>
      <c r="R197" s="11" t="str">
        <f aca="false">IF(INDEX(MASTER_DATABASE!$A$4:$A$1000,ROW()-3)="","",INDEX(MASTER_DATABASE!$BC$4:$BC$1000,ROW()-3)&amp;"")</f>
        <v>🖨️</v>
      </c>
      <c r="S197" s="11" t="n">
        <f aca="false">IF(INDEX(MASTER_DATABASE!$A$4:$A$1000,ROW()-3)="","",INDEX(MASTER_DATABASE!$AQ$4:$AQ$1000,ROW()-3))</f>
        <v>170</v>
      </c>
      <c r="T197" s="7" t="str">
        <f aca="false">IF(INDEX(MASTER_DATABASE!$A$4:$A$1000,ROW()-3)="","",INDEX(MASTER_DATABASE!$I$4:$I$1000,ROW()-3)&amp;"")</f>
        <v>Available</v>
      </c>
      <c r="U197" s="7" t="str">
        <f aca="false">IF(INDEX(MASTER_DATABASE!$A$4:$A$1000,ROW()-3)="","",INDEX(MASTER_DATABASE!$J$4:$J$1000,ROW()-3)&amp;"")</f>
        <v>Available</v>
      </c>
      <c r="V197" s="7" t="str">
        <f aca="false">IF(INDEX(MASTER_DATABASE!$A$4:$A$1000,ROW()-3)="","",INDEX(MASTER_DATABASE!$AG$4:$AG$1000,ROW()-3)&amp;"")</f>
        <v>Active</v>
      </c>
      <c r="W197" s="7" t="str">
        <f aca="false">IF(INDEX(MASTER_DATABASE!$A$4:$A$1000,ROW()-3)="","",INDEX(MASTER_DATABASE!$AH$4:$AH$1000,ROW()-3)&amp;"")</f>
        <v>Yes</v>
      </c>
      <c r="X197" s="7" t="str">
        <f aca="false">IF(INDEX(MASTER_DATABASE!$A$4:$A$1000,ROW()-3)="","",INDEX(MASTER_DATABASE!$AI$4:$AI$1000,ROW()-3)&amp;"")</f>
        <v>No</v>
      </c>
      <c r="Y197" s="7" t="str">
        <f aca="false">IF(INDEX(MASTER_DATABASE!$A$4:$A$1000,ROW()-3)="","",INDEX(MASTER_DATABASE!$AJ$4:$AJ$1000,ROW()-3)&amp;"")</f>
        <v>No</v>
      </c>
      <c r="Z197" s="7" t="str">
        <f aca="false">IF(INDEX(MASTER_DATABASE!$A$4:$A$1000,ROW()-3)="","",INDEX(MASTER_DATABASE!$AK$4:$AK$1000,ROW()-3)&amp;"")</f>
        <v>No</v>
      </c>
      <c r="AA197" s="7" t="str">
        <f aca="false">IF(INDEX(MASTER_DATABASE!$A$4:$A$1000,ROW()-3)="","",INDEX(MASTER_DATABASE!$BE$4:$BE$1000,ROW()-3)&amp;"")</f>
        <v>LIVE</v>
      </c>
    </row>
    <row r="198" customFormat="false" ht="46.25" hidden="false" customHeight="false" outlineLevel="0" collapsed="false">
      <c r="A198" s="11" t="str">
        <f aca="false">IF(INDEX(MASTER_DATABASE!$A$4:$A$1000,ROW()-3)="","",INDEX(MASTER_DATABASE!$A$4:$A$1000,ROW()-3)&amp;"")</f>
        <v>PRT-018</v>
      </c>
      <c r="B198" s="7" t="str">
        <f aca="false">IF(INDEX(MASTER_DATABASE!$A$4:$A$1000,ROW()-3)="","",INDEX(MASTER_DATABASE!$B$4:$B$1000,ROW()-3)&amp;"")</f>
        <v>Printing / Xerox / Scanning</v>
      </c>
      <c r="C198" s="7" t="str">
        <f aca="false">IF(INDEX(MASTER_DATABASE!$A$4:$A$1000,ROW()-3)="","",INDEX(MASTER_DATABASE!$C$4:$C$1000,ROW()-3)&amp;"")</f>
        <v>Document Services</v>
      </c>
      <c r="D198" s="7" t="str">
        <f aca="false">IF(INDEX(MASTER_DATABASE!$A$4:$A$1000,ROW()-3)="","",INDEX(MASTER_DATABASE!$D$4:$D$1000,ROW()-3)&amp;"")</f>
        <v>Typing &amp; Data Entry</v>
      </c>
      <c r="E198" s="7" t="str">
        <f aca="false">IF(INDEX(MASTER_DATABASE!$A$4:$A$1000,ROW()-3)="","",INDEX(MASTER_DATABASE!$E$4:$E$1000,ROW()-3)&amp;"")</f>
        <v>English Typing</v>
      </c>
      <c r="F198" s="7" t="str">
        <f aca="false">IF(INDEX(MASTER_DATABASE!$A$4:$A$1000,ROW()-3)="","",INDEX(MASTER_DATABASE!$F$4:$F$1000,ROW()-3)&amp;"")</f>
        <v>अंग्रेज़ी टाइपिंग</v>
      </c>
      <c r="G198" s="7" t="str">
        <f aca="false">IF(INDEX(MASTER_DATABASE!$A$4:$A$1000,ROW()-3)="","",INDEX(MASTER_DATABASE!$AL$4:$AL$1000,ROW()-3)&amp;"")</f>
        <v>Printing / Xerox / Scanning</v>
      </c>
      <c r="H198" s="7" t="str">
        <f aca="false">IF(INDEX(MASTER_DATABASE!$A$4:$A$1000,ROW()-3)="","",INDEX(MASTER_DATABASE!$AM$4:$AM$1000,ROW()-3)&amp;"")</f>
        <v>Typing &amp; Data Entry</v>
      </c>
      <c r="I198" s="7" t="str">
        <f aca="false">IF(INDEX(MASTER_DATABASE!$A$4:$A$1000,ROW()-3)="","",INDEX(MASTER_DATABASE!$AO$4:$AO$1000,ROW()-3)&amp;"")</f>
        <v>english-typing</v>
      </c>
      <c r="J198" s="7" t="str">
        <f aca="false">IF(INDEX(MASTER_DATABASE!$A$4:$A$1000,ROW()-3)="","",INDEX(MASTER_DATABASE!$BD$4:$BD$1000,ROW()-3)&amp;"")</f>
        <v>/services/english-typing</v>
      </c>
      <c r="K198" s="7" t="str">
        <f aca="false">IF(INDEX(MASTER_DATABASE!$A$4:$A$1000,ROW()-3)="","",INDEX(MASTER_DATABASE!$AX$4:$AX$1000,ROW()-3)&amp;"")</f>
        <v>English Typing Service | Devmobile Stores</v>
      </c>
      <c r="L198" s="7" t="str">
        <f aca="false">IF(INDEX(MASTER_DATABASE!$A$4:$A$1000,ROW()-3)="","",INDEX(MASTER_DATABASE!$AY$4:$AY$1000,ROW()-3)&amp;"")</f>
        <v>English Typing (अंग्रेज़ी टाइपिंग) at Devmobile Stores and Common Service Center &amp; Aadhaar Centre. Check required documents, charges and process before you visit.</v>
      </c>
      <c r="M198" s="7" t="str">
        <f aca="false">IF(INDEX(MASTER_DATABASE!$A$4:$A$1000,ROW()-3)="","",INDEX(MASTER_DATABASE!$AN$4:$AN$1000,ROW()-3)&amp;"")</f>
        <v>English Typing, Printing / Xerox / Scanning, Devmobile Stores, अंग्रेज़ी टाइपिंग, प्रिंटिंग / ज़ेरॉक्स / स्कैनिंग, सेवा</v>
      </c>
      <c r="N198" s="7" t="str">
        <f aca="false">IF(INDEX(MASTER_DATABASE!$A$4:$A$1000,ROW()-3)="","",INDEX(MASTER_DATABASE!$AZ$4:$AZ$1000,ROW()-3)&amp;"")</f>
        <v>अंग्रेज़ी टाइपिंग, प्रिंटिंग / ज़ेरॉक्स / स्कैनिंग, सेवा</v>
      </c>
      <c r="O198" s="7" t="str">
        <f aca="false">IF(INDEX(MASTER_DATABASE!$A$4:$A$1000,ROW()-3)="","",INDEX(MASTER_DATABASE!$BA$4:$BA$1000,ROW()-3)&amp;"")</f>
        <v>English Typing, Printing / Xerox / Scanning, Devmobile Stores</v>
      </c>
      <c r="P198" s="11" t="str">
        <f aca="false">IF(INDEX(MASTER_DATABASE!$A$4:$A$1000,ROW()-3)="","",INDEX(MASTER_DATABASE!$AP$4:$AP$1000,ROW()-3)&amp;"")</f>
        <v>⌨️</v>
      </c>
      <c r="Q198" s="7" t="str">
        <f aca="false">IF(INDEX(MASTER_DATABASE!$A$4:$A$1000,ROW()-3)="","",INDEX(MASTER_DATABASE!$BB$4:$BB$1000,ROW()-3)&amp;"")</f>
        <v/>
      </c>
      <c r="R198" s="11" t="str">
        <f aca="false">IF(INDEX(MASTER_DATABASE!$A$4:$A$1000,ROW()-3)="","",INDEX(MASTER_DATABASE!$BC$4:$BC$1000,ROW()-3)&amp;"")</f>
        <v>🖨️</v>
      </c>
      <c r="S198" s="11" t="n">
        <f aca="false">IF(INDEX(MASTER_DATABASE!$A$4:$A$1000,ROW()-3)="","",INDEX(MASTER_DATABASE!$AQ$4:$AQ$1000,ROW()-3))</f>
        <v>180</v>
      </c>
      <c r="T198" s="7" t="str">
        <f aca="false">IF(INDEX(MASTER_DATABASE!$A$4:$A$1000,ROW()-3)="","",INDEX(MASTER_DATABASE!$I$4:$I$1000,ROW()-3)&amp;"")</f>
        <v>Available</v>
      </c>
      <c r="U198" s="7" t="str">
        <f aca="false">IF(INDEX(MASTER_DATABASE!$A$4:$A$1000,ROW()-3)="","",INDEX(MASTER_DATABASE!$J$4:$J$1000,ROW()-3)&amp;"")</f>
        <v>Available</v>
      </c>
      <c r="V198" s="7" t="str">
        <f aca="false">IF(INDEX(MASTER_DATABASE!$A$4:$A$1000,ROW()-3)="","",INDEX(MASTER_DATABASE!$AG$4:$AG$1000,ROW()-3)&amp;"")</f>
        <v>Active</v>
      </c>
      <c r="W198" s="7" t="str">
        <f aca="false">IF(INDEX(MASTER_DATABASE!$A$4:$A$1000,ROW()-3)="","",INDEX(MASTER_DATABASE!$AH$4:$AH$1000,ROW()-3)&amp;"")</f>
        <v>Yes</v>
      </c>
      <c r="X198" s="7" t="str">
        <f aca="false">IF(INDEX(MASTER_DATABASE!$A$4:$A$1000,ROW()-3)="","",INDEX(MASTER_DATABASE!$AI$4:$AI$1000,ROW()-3)&amp;"")</f>
        <v>No</v>
      </c>
      <c r="Y198" s="7" t="str">
        <f aca="false">IF(INDEX(MASTER_DATABASE!$A$4:$A$1000,ROW()-3)="","",INDEX(MASTER_DATABASE!$AJ$4:$AJ$1000,ROW()-3)&amp;"")</f>
        <v>No</v>
      </c>
      <c r="Z198" s="7" t="str">
        <f aca="false">IF(INDEX(MASTER_DATABASE!$A$4:$A$1000,ROW()-3)="","",INDEX(MASTER_DATABASE!$AK$4:$AK$1000,ROW()-3)&amp;"")</f>
        <v>No</v>
      </c>
      <c r="AA198" s="7" t="str">
        <f aca="false">IF(INDEX(MASTER_DATABASE!$A$4:$A$1000,ROW()-3)="","",INDEX(MASTER_DATABASE!$BE$4:$BE$1000,ROW()-3)&amp;"")</f>
        <v>LIVE</v>
      </c>
    </row>
    <row r="199" customFormat="false" ht="35.05" hidden="false" customHeight="false" outlineLevel="0" collapsed="false">
      <c r="A199" s="11" t="str">
        <f aca="false">IF(INDEX(MASTER_DATABASE!$A$4:$A$1000,ROW()-3)="","",INDEX(MASTER_DATABASE!$A$4:$A$1000,ROW()-3)&amp;"")</f>
        <v>PRT-019</v>
      </c>
      <c r="B199" s="7" t="str">
        <f aca="false">IF(INDEX(MASTER_DATABASE!$A$4:$A$1000,ROW()-3)="","",INDEX(MASTER_DATABASE!$B$4:$B$1000,ROW()-3)&amp;"")</f>
        <v>Printing / Xerox / Scanning</v>
      </c>
      <c r="C199" s="7" t="str">
        <f aca="false">IF(INDEX(MASTER_DATABASE!$A$4:$A$1000,ROW()-3)="","",INDEX(MASTER_DATABASE!$C$4:$C$1000,ROW()-3)&amp;"")</f>
        <v>Document Services</v>
      </c>
      <c r="D199" s="7" t="str">
        <f aca="false">IF(INDEX(MASTER_DATABASE!$A$4:$A$1000,ROW()-3)="","",INDEX(MASTER_DATABASE!$D$4:$D$1000,ROW()-3)&amp;"")</f>
        <v>Typing &amp; Data Entry</v>
      </c>
      <c r="E199" s="7" t="str">
        <f aca="false">IF(INDEX(MASTER_DATABASE!$A$4:$A$1000,ROW()-3)="","",INDEX(MASTER_DATABASE!$E$4:$E$1000,ROW()-3)&amp;"")</f>
        <v>Data Entry</v>
      </c>
      <c r="F199" s="7" t="str">
        <f aca="false">IF(INDEX(MASTER_DATABASE!$A$4:$A$1000,ROW()-3)="","",INDEX(MASTER_DATABASE!$F$4:$F$1000,ROW()-3)&amp;"")</f>
        <v>डेटा एंट्री</v>
      </c>
      <c r="G199" s="7" t="str">
        <f aca="false">IF(INDEX(MASTER_DATABASE!$A$4:$A$1000,ROW()-3)="","",INDEX(MASTER_DATABASE!$AL$4:$AL$1000,ROW()-3)&amp;"")</f>
        <v>Printing / Xerox / Scanning</v>
      </c>
      <c r="H199" s="7" t="str">
        <f aca="false">IF(INDEX(MASTER_DATABASE!$A$4:$A$1000,ROW()-3)="","",INDEX(MASTER_DATABASE!$AM$4:$AM$1000,ROW()-3)&amp;"")</f>
        <v>Typing &amp; Data Entry</v>
      </c>
      <c r="I199" s="7" t="str">
        <f aca="false">IF(INDEX(MASTER_DATABASE!$A$4:$A$1000,ROW()-3)="","",INDEX(MASTER_DATABASE!$AO$4:$AO$1000,ROW()-3)&amp;"")</f>
        <v>data-entry</v>
      </c>
      <c r="J199" s="7" t="str">
        <f aca="false">IF(INDEX(MASTER_DATABASE!$A$4:$A$1000,ROW()-3)="","",INDEX(MASTER_DATABASE!$BD$4:$BD$1000,ROW()-3)&amp;"")</f>
        <v>/services/data-entry</v>
      </c>
      <c r="K199" s="7" t="str">
        <f aca="false">IF(INDEX(MASTER_DATABASE!$A$4:$A$1000,ROW()-3)="","",INDEX(MASTER_DATABASE!$AX$4:$AX$1000,ROW()-3)&amp;"")</f>
        <v>Data Entry Service | Devmobile Stores</v>
      </c>
      <c r="L199" s="7" t="str">
        <f aca="false">IF(INDEX(MASTER_DATABASE!$A$4:$A$1000,ROW()-3)="","",INDEX(MASTER_DATABASE!$AY$4:$AY$1000,ROW()-3)&amp;"")</f>
        <v>Data Entry (डेटा एंट्री) at Devmobile Stores and Common Service Center &amp; Aadhaar Centre. Check required documents, charges and process before you visit.</v>
      </c>
      <c r="M199" s="7" t="str">
        <f aca="false">IF(INDEX(MASTER_DATABASE!$A$4:$A$1000,ROW()-3)="","",INDEX(MASTER_DATABASE!$AN$4:$AN$1000,ROW()-3)&amp;"")</f>
        <v>Data Entry, Printing / Xerox / Scanning, Devmobile Stores, डेटा एंट्री, प्रिंटिंग / ज़ेरॉक्स / स्कैनिंग, सेवा</v>
      </c>
      <c r="N199" s="7" t="str">
        <f aca="false">IF(INDEX(MASTER_DATABASE!$A$4:$A$1000,ROW()-3)="","",INDEX(MASTER_DATABASE!$AZ$4:$AZ$1000,ROW()-3)&amp;"")</f>
        <v>डेटा एंट्री, प्रिंटिंग / ज़ेरॉक्स / स्कैनिंग, सेवा</v>
      </c>
      <c r="O199" s="7" t="str">
        <f aca="false">IF(INDEX(MASTER_DATABASE!$A$4:$A$1000,ROW()-3)="","",INDEX(MASTER_DATABASE!$BA$4:$BA$1000,ROW()-3)&amp;"")</f>
        <v>Data Entry, Printing / Xerox / Scanning, Devmobile Stores</v>
      </c>
      <c r="P199" s="11" t="str">
        <f aca="false">IF(INDEX(MASTER_DATABASE!$A$4:$A$1000,ROW()-3)="","",INDEX(MASTER_DATABASE!$AP$4:$AP$1000,ROW()-3)&amp;"")</f>
        <v>⌨️</v>
      </c>
      <c r="Q199" s="7" t="str">
        <f aca="false">IF(INDEX(MASTER_DATABASE!$A$4:$A$1000,ROW()-3)="","",INDEX(MASTER_DATABASE!$BB$4:$BB$1000,ROW()-3)&amp;"")</f>
        <v/>
      </c>
      <c r="R199" s="11" t="str">
        <f aca="false">IF(INDEX(MASTER_DATABASE!$A$4:$A$1000,ROW()-3)="","",INDEX(MASTER_DATABASE!$BC$4:$BC$1000,ROW()-3)&amp;"")</f>
        <v>🖨️</v>
      </c>
      <c r="S199" s="11" t="n">
        <f aca="false">IF(INDEX(MASTER_DATABASE!$A$4:$A$1000,ROW()-3)="","",INDEX(MASTER_DATABASE!$AQ$4:$AQ$1000,ROW()-3))</f>
        <v>190</v>
      </c>
      <c r="T199" s="7" t="str">
        <f aca="false">IF(INDEX(MASTER_DATABASE!$A$4:$A$1000,ROW()-3)="","",INDEX(MASTER_DATABASE!$I$4:$I$1000,ROW()-3)&amp;"")</f>
        <v>Available</v>
      </c>
      <c r="U199" s="7" t="str">
        <f aca="false">IF(INDEX(MASTER_DATABASE!$A$4:$A$1000,ROW()-3)="","",INDEX(MASTER_DATABASE!$J$4:$J$1000,ROW()-3)&amp;"")</f>
        <v>Available</v>
      </c>
      <c r="V199" s="7" t="str">
        <f aca="false">IF(INDEX(MASTER_DATABASE!$A$4:$A$1000,ROW()-3)="","",INDEX(MASTER_DATABASE!$AG$4:$AG$1000,ROW()-3)&amp;"")</f>
        <v>Active</v>
      </c>
      <c r="W199" s="7" t="str">
        <f aca="false">IF(INDEX(MASTER_DATABASE!$A$4:$A$1000,ROW()-3)="","",INDEX(MASTER_DATABASE!$AH$4:$AH$1000,ROW()-3)&amp;"")</f>
        <v>Yes</v>
      </c>
      <c r="X199" s="7" t="str">
        <f aca="false">IF(INDEX(MASTER_DATABASE!$A$4:$A$1000,ROW()-3)="","",INDEX(MASTER_DATABASE!$AI$4:$AI$1000,ROW()-3)&amp;"")</f>
        <v>No</v>
      </c>
      <c r="Y199" s="7" t="str">
        <f aca="false">IF(INDEX(MASTER_DATABASE!$A$4:$A$1000,ROW()-3)="","",INDEX(MASTER_DATABASE!$AJ$4:$AJ$1000,ROW()-3)&amp;"")</f>
        <v>No</v>
      </c>
      <c r="Z199" s="7" t="str">
        <f aca="false">IF(INDEX(MASTER_DATABASE!$A$4:$A$1000,ROW()-3)="","",INDEX(MASTER_DATABASE!$AK$4:$AK$1000,ROW()-3)&amp;"")</f>
        <v>No</v>
      </c>
      <c r="AA199" s="7" t="str">
        <f aca="false">IF(INDEX(MASTER_DATABASE!$A$4:$A$1000,ROW()-3)="","",INDEX(MASTER_DATABASE!$BE$4:$BE$1000,ROW()-3)&amp;"")</f>
        <v>LIVE</v>
      </c>
    </row>
    <row r="200" customFormat="false" ht="46.25" hidden="false" customHeight="false" outlineLevel="0" collapsed="false">
      <c r="A200" s="11" t="str">
        <f aca="false">IF(INDEX(MASTER_DATABASE!$A$4:$A$1000,ROW()-3)="","",INDEX(MASTER_DATABASE!$A$4:$A$1000,ROW()-3)&amp;"")</f>
        <v>PRT-020</v>
      </c>
      <c r="B200" s="7" t="str">
        <f aca="false">IF(INDEX(MASTER_DATABASE!$A$4:$A$1000,ROW()-3)="","",INDEX(MASTER_DATABASE!$B$4:$B$1000,ROW()-3)&amp;"")</f>
        <v>Printing / Xerox / Scanning</v>
      </c>
      <c r="C200" s="7" t="str">
        <f aca="false">IF(INDEX(MASTER_DATABASE!$A$4:$A$1000,ROW()-3)="","",INDEX(MASTER_DATABASE!$C$4:$C$1000,ROW()-3)&amp;"")</f>
        <v>Document Services</v>
      </c>
      <c r="D200" s="7" t="str">
        <f aca="false">IF(INDEX(MASTER_DATABASE!$A$4:$A$1000,ROW()-3)="","",INDEX(MASTER_DATABASE!$D$4:$D$1000,ROW()-3)&amp;"")</f>
        <v>Typing &amp; Data Entry</v>
      </c>
      <c r="E200" s="7" t="str">
        <f aca="false">IF(INDEX(MASTER_DATABASE!$A$4:$A$1000,ROW()-3)="","",INDEX(MASTER_DATABASE!$E$4:$E$1000,ROW()-3)&amp;"")</f>
        <v>Application Typing</v>
      </c>
      <c r="F200" s="7" t="str">
        <f aca="false">IF(INDEX(MASTER_DATABASE!$A$4:$A$1000,ROW()-3)="","",INDEX(MASTER_DATABASE!$F$4:$F$1000,ROW()-3)&amp;"")</f>
        <v>आवेदन टाइपिंग</v>
      </c>
      <c r="G200" s="7" t="str">
        <f aca="false">IF(INDEX(MASTER_DATABASE!$A$4:$A$1000,ROW()-3)="","",INDEX(MASTER_DATABASE!$AL$4:$AL$1000,ROW()-3)&amp;"")</f>
        <v>Printing / Xerox / Scanning</v>
      </c>
      <c r="H200" s="7" t="str">
        <f aca="false">IF(INDEX(MASTER_DATABASE!$A$4:$A$1000,ROW()-3)="","",INDEX(MASTER_DATABASE!$AM$4:$AM$1000,ROW()-3)&amp;"")</f>
        <v>Typing &amp; Data Entry</v>
      </c>
      <c r="I200" s="7" t="str">
        <f aca="false">IF(INDEX(MASTER_DATABASE!$A$4:$A$1000,ROW()-3)="","",INDEX(MASTER_DATABASE!$AO$4:$AO$1000,ROW()-3)&amp;"")</f>
        <v>application-typing</v>
      </c>
      <c r="J200" s="7" t="str">
        <f aca="false">IF(INDEX(MASTER_DATABASE!$A$4:$A$1000,ROW()-3)="","",INDEX(MASTER_DATABASE!$BD$4:$BD$1000,ROW()-3)&amp;"")</f>
        <v>/services/application-typing</v>
      </c>
      <c r="K200" s="7" t="str">
        <f aca="false">IF(INDEX(MASTER_DATABASE!$A$4:$A$1000,ROW()-3)="","",INDEX(MASTER_DATABASE!$AX$4:$AX$1000,ROW()-3)&amp;"")</f>
        <v>Application Typing Service | Devmobile Stores</v>
      </c>
      <c r="L200" s="7" t="str">
        <f aca="false">IF(INDEX(MASTER_DATABASE!$A$4:$A$1000,ROW()-3)="","",INDEX(MASTER_DATABASE!$AY$4:$AY$1000,ROW()-3)&amp;"")</f>
        <v>Application Typing (आवेदन टाइपिंग) at Devmobile Stores and Common Service Center &amp; Aadhaar Centre. Check required documents, charges and process before you visit.</v>
      </c>
      <c r="M200" s="7" t="str">
        <f aca="false">IF(INDEX(MASTER_DATABASE!$A$4:$A$1000,ROW()-3)="","",INDEX(MASTER_DATABASE!$AN$4:$AN$1000,ROW()-3)&amp;"")</f>
        <v>Application Typing, Printing / Xerox / Scanning, Devmobile Stores, आवेदन टाइपिंग, प्रिंटिंग / ज़ेरॉक्स / स्कैनिंग, सेवा</v>
      </c>
      <c r="N200" s="7" t="str">
        <f aca="false">IF(INDEX(MASTER_DATABASE!$A$4:$A$1000,ROW()-3)="","",INDEX(MASTER_DATABASE!$AZ$4:$AZ$1000,ROW()-3)&amp;"")</f>
        <v>आवेदन टाइपिंग, प्रिंटिंग / ज़ेरॉक्स / स्कैनिंग, सेवा</v>
      </c>
      <c r="O200" s="7" t="str">
        <f aca="false">IF(INDEX(MASTER_DATABASE!$A$4:$A$1000,ROW()-3)="","",INDEX(MASTER_DATABASE!$BA$4:$BA$1000,ROW()-3)&amp;"")</f>
        <v>Application Typing, Printing / Xerox / Scanning, Devmobile Stores</v>
      </c>
      <c r="P200" s="11" t="str">
        <f aca="false">IF(INDEX(MASTER_DATABASE!$A$4:$A$1000,ROW()-3)="","",INDEX(MASTER_DATABASE!$AP$4:$AP$1000,ROW()-3)&amp;"")</f>
        <v>⌨️</v>
      </c>
      <c r="Q200" s="7" t="str">
        <f aca="false">IF(INDEX(MASTER_DATABASE!$A$4:$A$1000,ROW()-3)="","",INDEX(MASTER_DATABASE!$BB$4:$BB$1000,ROW()-3)&amp;"")</f>
        <v/>
      </c>
      <c r="R200" s="11" t="str">
        <f aca="false">IF(INDEX(MASTER_DATABASE!$A$4:$A$1000,ROW()-3)="","",INDEX(MASTER_DATABASE!$BC$4:$BC$1000,ROW()-3)&amp;"")</f>
        <v>🖨️</v>
      </c>
      <c r="S200" s="11" t="n">
        <f aca="false">IF(INDEX(MASTER_DATABASE!$A$4:$A$1000,ROW()-3)="","",INDEX(MASTER_DATABASE!$AQ$4:$AQ$1000,ROW()-3))</f>
        <v>200</v>
      </c>
      <c r="T200" s="7" t="str">
        <f aca="false">IF(INDEX(MASTER_DATABASE!$A$4:$A$1000,ROW()-3)="","",INDEX(MASTER_DATABASE!$I$4:$I$1000,ROW()-3)&amp;"")</f>
        <v>Available</v>
      </c>
      <c r="U200" s="7" t="str">
        <f aca="false">IF(INDEX(MASTER_DATABASE!$A$4:$A$1000,ROW()-3)="","",INDEX(MASTER_DATABASE!$J$4:$J$1000,ROW()-3)&amp;"")</f>
        <v>Available</v>
      </c>
      <c r="V200" s="7" t="str">
        <f aca="false">IF(INDEX(MASTER_DATABASE!$A$4:$A$1000,ROW()-3)="","",INDEX(MASTER_DATABASE!$AG$4:$AG$1000,ROW()-3)&amp;"")</f>
        <v>Active</v>
      </c>
      <c r="W200" s="7" t="str">
        <f aca="false">IF(INDEX(MASTER_DATABASE!$A$4:$A$1000,ROW()-3)="","",INDEX(MASTER_DATABASE!$AH$4:$AH$1000,ROW()-3)&amp;"")</f>
        <v>Yes</v>
      </c>
      <c r="X200" s="7" t="str">
        <f aca="false">IF(INDEX(MASTER_DATABASE!$A$4:$A$1000,ROW()-3)="","",INDEX(MASTER_DATABASE!$AI$4:$AI$1000,ROW()-3)&amp;"")</f>
        <v>No</v>
      </c>
      <c r="Y200" s="7" t="str">
        <f aca="false">IF(INDEX(MASTER_DATABASE!$A$4:$A$1000,ROW()-3)="","",INDEX(MASTER_DATABASE!$AJ$4:$AJ$1000,ROW()-3)&amp;"")</f>
        <v>No</v>
      </c>
      <c r="Z200" s="7" t="str">
        <f aca="false">IF(INDEX(MASTER_DATABASE!$A$4:$A$1000,ROW()-3)="","",INDEX(MASTER_DATABASE!$AK$4:$AK$1000,ROW()-3)&amp;"")</f>
        <v>No</v>
      </c>
      <c r="AA200" s="7" t="str">
        <f aca="false">IF(INDEX(MASTER_DATABASE!$A$4:$A$1000,ROW()-3)="","",INDEX(MASTER_DATABASE!$BE$4:$BE$1000,ROW()-3)&amp;"")</f>
        <v>LIVE</v>
      </c>
    </row>
    <row r="201" customFormat="false" ht="46.25" hidden="false" customHeight="false" outlineLevel="0" collapsed="false">
      <c r="A201" s="11" t="str">
        <f aca="false">IF(INDEX(MASTER_DATABASE!$A$4:$A$1000,ROW()-3)="","",INDEX(MASTER_DATABASE!$A$4:$A$1000,ROW()-3)&amp;"")</f>
        <v>PRT-021</v>
      </c>
      <c r="B201" s="7" t="str">
        <f aca="false">IF(INDEX(MASTER_DATABASE!$A$4:$A$1000,ROW()-3)="","",INDEX(MASTER_DATABASE!$B$4:$B$1000,ROW()-3)&amp;"")</f>
        <v>Printing / Xerox / Scanning</v>
      </c>
      <c r="C201" s="7" t="str">
        <f aca="false">IF(INDEX(MASTER_DATABASE!$A$4:$A$1000,ROW()-3)="","",INDEX(MASTER_DATABASE!$C$4:$C$1000,ROW()-3)&amp;"")</f>
        <v>Document Services</v>
      </c>
      <c r="D201" s="7" t="str">
        <f aca="false">IF(INDEX(MASTER_DATABASE!$A$4:$A$1000,ROW()-3)="","",INDEX(MASTER_DATABASE!$D$4:$D$1000,ROW()-3)&amp;"")</f>
        <v>Typing &amp; Data Entry</v>
      </c>
      <c r="E201" s="7" t="str">
        <f aca="false">IF(INDEX(MASTER_DATABASE!$A$4:$A$1000,ROW()-3)="","",INDEX(MASTER_DATABASE!$E$4:$E$1000,ROW()-3)&amp;"")</f>
        <v>Letter Typing</v>
      </c>
      <c r="F201" s="7" t="str">
        <f aca="false">IF(INDEX(MASTER_DATABASE!$A$4:$A$1000,ROW()-3)="","",INDEX(MASTER_DATABASE!$F$4:$F$1000,ROW()-3)&amp;"")</f>
        <v>पत्र टाइपिंग</v>
      </c>
      <c r="G201" s="7" t="str">
        <f aca="false">IF(INDEX(MASTER_DATABASE!$A$4:$A$1000,ROW()-3)="","",INDEX(MASTER_DATABASE!$AL$4:$AL$1000,ROW()-3)&amp;"")</f>
        <v>Printing / Xerox / Scanning</v>
      </c>
      <c r="H201" s="7" t="str">
        <f aca="false">IF(INDEX(MASTER_DATABASE!$A$4:$A$1000,ROW()-3)="","",INDEX(MASTER_DATABASE!$AM$4:$AM$1000,ROW()-3)&amp;"")</f>
        <v>Typing &amp; Data Entry</v>
      </c>
      <c r="I201" s="7" t="str">
        <f aca="false">IF(INDEX(MASTER_DATABASE!$A$4:$A$1000,ROW()-3)="","",INDEX(MASTER_DATABASE!$AO$4:$AO$1000,ROW()-3)&amp;"")</f>
        <v>letter-typing</v>
      </c>
      <c r="J201" s="7" t="str">
        <f aca="false">IF(INDEX(MASTER_DATABASE!$A$4:$A$1000,ROW()-3)="","",INDEX(MASTER_DATABASE!$BD$4:$BD$1000,ROW()-3)&amp;"")</f>
        <v>/services/letter-typing</v>
      </c>
      <c r="K201" s="7" t="str">
        <f aca="false">IF(INDEX(MASTER_DATABASE!$A$4:$A$1000,ROW()-3)="","",INDEX(MASTER_DATABASE!$AX$4:$AX$1000,ROW()-3)&amp;"")</f>
        <v>Letter Typing Service | Devmobile Stores</v>
      </c>
      <c r="L201" s="7" t="str">
        <f aca="false">IF(INDEX(MASTER_DATABASE!$A$4:$A$1000,ROW()-3)="","",INDEX(MASTER_DATABASE!$AY$4:$AY$1000,ROW()-3)&amp;"")</f>
        <v>Letter Typing (पत्र टाइपिंग) at Devmobile Stores and Common Service Center &amp; Aadhaar Centre. Check required documents, charges and process before you visit.</v>
      </c>
      <c r="M201" s="7" t="str">
        <f aca="false">IF(INDEX(MASTER_DATABASE!$A$4:$A$1000,ROW()-3)="","",INDEX(MASTER_DATABASE!$AN$4:$AN$1000,ROW()-3)&amp;"")</f>
        <v>Letter Typing, Printing / Xerox / Scanning, Devmobile Stores, पत्र टाइपिंग, प्रिंटिंग / ज़ेरॉक्स / स्कैनिंग, सेवा</v>
      </c>
      <c r="N201" s="7" t="str">
        <f aca="false">IF(INDEX(MASTER_DATABASE!$A$4:$A$1000,ROW()-3)="","",INDEX(MASTER_DATABASE!$AZ$4:$AZ$1000,ROW()-3)&amp;"")</f>
        <v>पत्र टाइपिंग, प्रिंटिंग / ज़ेरॉक्स / स्कैनिंग, सेवा</v>
      </c>
      <c r="O201" s="7" t="str">
        <f aca="false">IF(INDEX(MASTER_DATABASE!$A$4:$A$1000,ROW()-3)="","",INDEX(MASTER_DATABASE!$BA$4:$BA$1000,ROW()-3)&amp;"")</f>
        <v>Letter Typing, Printing / Xerox / Scanning, Devmobile Stores</v>
      </c>
      <c r="P201" s="11" t="str">
        <f aca="false">IF(INDEX(MASTER_DATABASE!$A$4:$A$1000,ROW()-3)="","",INDEX(MASTER_DATABASE!$AP$4:$AP$1000,ROW()-3)&amp;"")</f>
        <v>⌨️</v>
      </c>
      <c r="Q201" s="7" t="str">
        <f aca="false">IF(INDEX(MASTER_DATABASE!$A$4:$A$1000,ROW()-3)="","",INDEX(MASTER_DATABASE!$BB$4:$BB$1000,ROW()-3)&amp;"")</f>
        <v/>
      </c>
      <c r="R201" s="11" t="str">
        <f aca="false">IF(INDEX(MASTER_DATABASE!$A$4:$A$1000,ROW()-3)="","",INDEX(MASTER_DATABASE!$BC$4:$BC$1000,ROW()-3)&amp;"")</f>
        <v>🖨️</v>
      </c>
      <c r="S201" s="11" t="n">
        <f aca="false">IF(INDEX(MASTER_DATABASE!$A$4:$A$1000,ROW()-3)="","",INDEX(MASTER_DATABASE!$AQ$4:$AQ$1000,ROW()-3))</f>
        <v>210</v>
      </c>
      <c r="T201" s="7" t="str">
        <f aca="false">IF(INDEX(MASTER_DATABASE!$A$4:$A$1000,ROW()-3)="","",INDEX(MASTER_DATABASE!$I$4:$I$1000,ROW()-3)&amp;"")</f>
        <v>Available</v>
      </c>
      <c r="U201" s="7" t="str">
        <f aca="false">IF(INDEX(MASTER_DATABASE!$A$4:$A$1000,ROW()-3)="","",INDEX(MASTER_DATABASE!$J$4:$J$1000,ROW()-3)&amp;"")</f>
        <v>Available</v>
      </c>
      <c r="V201" s="7" t="str">
        <f aca="false">IF(INDEX(MASTER_DATABASE!$A$4:$A$1000,ROW()-3)="","",INDEX(MASTER_DATABASE!$AG$4:$AG$1000,ROW()-3)&amp;"")</f>
        <v>Active</v>
      </c>
      <c r="W201" s="7" t="str">
        <f aca="false">IF(INDEX(MASTER_DATABASE!$A$4:$A$1000,ROW()-3)="","",INDEX(MASTER_DATABASE!$AH$4:$AH$1000,ROW()-3)&amp;"")</f>
        <v>Yes</v>
      </c>
      <c r="X201" s="7" t="str">
        <f aca="false">IF(INDEX(MASTER_DATABASE!$A$4:$A$1000,ROW()-3)="","",INDEX(MASTER_DATABASE!$AI$4:$AI$1000,ROW()-3)&amp;"")</f>
        <v>No</v>
      </c>
      <c r="Y201" s="7" t="str">
        <f aca="false">IF(INDEX(MASTER_DATABASE!$A$4:$A$1000,ROW()-3)="","",INDEX(MASTER_DATABASE!$AJ$4:$AJ$1000,ROW()-3)&amp;"")</f>
        <v>No</v>
      </c>
      <c r="Z201" s="7" t="str">
        <f aca="false">IF(INDEX(MASTER_DATABASE!$A$4:$A$1000,ROW()-3)="","",INDEX(MASTER_DATABASE!$AK$4:$AK$1000,ROW()-3)&amp;"")</f>
        <v>No</v>
      </c>
      <c r="AA201" s="7" t="str">
        <f aca="false">IF(INDEX(MASTER_DATABASE!$A$4:$A$1000,ROW()-3)="","",INDEX(MASTER_DATABASE!$BE$4:$BE$1000,ROW()-3)&amp;"")</f>
        <v>LIVE</v>
      </c>
    </row>
    <row r="202" customFormat="false" ht="46.25" hidden="false" customHeight="false" outlineLevel="0" collapsed="false">
      <c r="A202" s="11" t="str">
        <f aca="false">IF(INDEX(MASTER_DATABASE!$A$4:$A$1000,ROW()-3)="","",INDEX(MASTER_DATABASE!$A$4:$A$1000,ROW()-3)&amp;"")</f>
        <v>PRT-022</v>
      </c>
      <c r="B202" s="7" t="str">
        <f aca="false">IF(INDEX(MASTER_DATABASE!$A$4:$A$1000,ROW()-3)="","",INDEX(MASTER_DATABASE!$B$4:$B$1000,ROW()-3)&amp;"")</f>
        <v>Printing / Xerox / Scanning</v>
      </c>
      <c r="C202" s="7" t="str">
        <f aca="false">IF(INDEX(MASTER_DATABASE!$A$4:$A$1000,ROW()-3)="","",INDEX(MASTER_DATABASE!$C$4:$C$1000,ROW()-3)&amp;"")</f>
        <v>Document Services</v>
      </c>
      <c r="D202" s="7" t="str">
        <f aca="false">IF(INDEX(MASTER_DATABASE!$A$4:$A$1000,ROW()-3)="","",INDEX(MASTER_DATABASE!$D$4:$D$1000,ROW()-3)&amp;"")</f>
        <v>Document Preparation</v>
      </c>
      <c r="E202" s="7" t="str">
        <f aca="false">IF(INDEX(MASTER_DATABASE!$A$4:$A$1000,ROW()-3)="","",INDEX(MASTER_DATABASE!$E$4:$E$1000,ROW()-3)&amp;"")</f>
        <v>Resume Making</v>
      </c>
      <c r="F202" s="7" t="str">
        <f aca="false">IF(INDEX(MASTER_DATABASE!$A$4:$A$1000,ROW()-3)="","",INDEX(MASTER_DATABASE!$F$4:$F$1000,ROW()-3)&amp;"")</f>
        <v>रिज़्यूमे निर्माण</v>
      </c>
      <c r="G202" s="7" t="str">
        <f aca="false">IF(INDEX(MASTER_DATABASE!$A$4:$A$1000,ROW()-3)="","",INDEX(MASTER_DATABASE!$AL$4:$AL$1000,ROW()-3)&amp;"")</f>
        <v>Printing / Xerox / Scanning</v>
      </c>
      <c r="H202" s="7" t="str">
        <f aca="false">IF(INDEX(MASTER_DATABASE!$A$4:$A$1000,ROW()-3)="","",INDEX(MASTER_DATABASE!$AM$4:$AM$1000,ROW()-3)&amp;"")</f>
        <v>Document Preparation</v>
      </c>
      <c r="I202" s="7" t="str">
        <f aca="false">IF(INDEX(MASTER_DATABASE!$A$4:$A$1000,ROW()-3)="","",INDEX(MASTER_DATABASE!$AO$4:$AO$1000,ROW()-3)&amp;"")</f>
        <v>resume-making</v>
      </c>
      <c r="J202" s="7" t="str">
        <f aca="false">IF(INDEX(MASTER_DATABASE!$A$4:$A$1000,ROW()-3)="","",INDEX(MASTER_DATABASE!$BD$4:$BD$1000,ROW()-3)&amp;"")</f>
        <v>/services/resume-making</v>
      </c>
      <c r="K202" s="7" t="str">
        <f aca="false">IF(INDEX(MASTER_DATABASE!$A$4:$A$1000,ROW()-3)="","",INDEX(MASTER_DATABASE!$AX$4:$AX$1000,ROW()-3)&amp;"")</f>
        <v>Resume Making Service | Devmobile Stores</v>
      </c>
      <c r="L202" s="7" t="str">
        <f aca="false">IF(INDEX(MASTER_DATABASE!$A$4:$A$1000,ROW()-3)="","",INDEX(MASTER_DATABASE!$AY$4:$AY$1000,ROW()-3)&amp;"")</f>
        <v>Resume Making (रिज़्यूमे निर्माण) at Devmobile Stores and Common Service Center &amp; Aadhaar Centre. Check required documents, charges and process before you visit.</v>
      </c>
      <c r="M202" s="7" t="str">
        <f aca="false">IF(INDEX(MASTER_DATABASE!$A$4:$A$1000,ROW()-3)="","",INDEX(MASTER_DATABASE!$AN$4:$AN$1000,ROW()-3)&amp;"")</f>
        <v>Resume Making, Printing / Xerox / Scanning, Devmobile Stores, रिज़्यूमे निर्माण, प्रिंटिंग / ज़ेरॉक्स / स्कैनिंग, सेवा</v>
      </c>
      <c r="N202" s="7" t="str">
        <f aca="false">IF(INDEX(MASTER_DATABASE!$A$4:$A$1000,ROW()-3)="","",INDEX(MASTER_DATABASE!$AZ$4:$AZ$1000,ROW()-3)&amp;"")</f>
        <v>रिज़्यूमे निर्माण, प्रिंटिंग / ज़ेरॉक्स / स्कैनिंग, सेवा</v>
      </c>
      <c r="O202" s="7" t="str">
        <f aca="false">IF(INDEX(MASTER_DATABASE!$A$4:$A$1000,ROW()-3)="","",INDEX(MASTER_DATABASE!$BA$4:$BA$1000,ROW()-3)&amp;"")</f>
        <v>Resume Making, Printing / Xerox / Scanning, Devmobile Stores</v>
      </c>
      <c r="P202" s="11" t="str">
        <f aca="false">IF(INDEX(MASTER_DATABASE!$A$4:$A$1000,ROW()-3)="","",INDEX(MASTER_DATABASE!$AP$4:$AP$1000,ROW()-3)&amp;"")</f>
        <v>🖨️</v>
      </c>
      <c r="Q202" s="7" t="str">
        <f aca="false">IF(INDEX(MASTER_DATABASE!$A$4:$A$1000,ROW()-3)="","",INDEX(MASTER_DATABASE!$BB$4:$BB$1000,ROW()-3)&amp;"")</f>
        <v/>
      </c>
      <c r="R202" s="11" t="str">
        <f aca="false">IF(INDEX(MASTER_DATABASE!$A$4:$A$1000,ROW()-3)="","",INDEX(MASTER_DATABASE!$BC$4:$BC$1000,ROW()-3)&amp;"")</f>
        <v>🖨️</v>
      </c>
      <c r="S202" s="11" t="n">
        <f aca="false">IF(INDEX(MASTER_DATABASE!$A$4:$A$1000,ROW()-3)="","",INDEX(MASTER_DATABASE!$AQ$4:$AQ$1000,ROW()-3))</f>
        <v>220</v>
      </c>
      <c r="T202" s="7" t="str">
        <f aca="false">IF(INDEX(MASTER_DATABASE!$A$4:$A$1000,ROW()-3)="","",INDEX(MASTER_DATABASE!$I$4:$I$1000,ROW()-3)&amp;"")</f>
        <v>Available</v>
      </c>
      <c r="U202" s="7" t="str">
        <f aca="false">IF(INDEX(MASTER_DATABASE!$A$4:$A$1000,ROW()-3)="","",INDEX(MASTER_DATABASE!$J$4:$J$1000,ROW()-3)&amp;"")</f>
        <v>Available</v>
      </c>
      <c r="V202" s="7" t="str">
        <f aca="false">IF(INDEX(MASTER_DATABASE!$A$4:$A$1000,ROW()-3)="","",INDEX(MASTER_DATABASE!$AG$4:$AG$1000,ROW()-3)&amp;"")</f>
        <v>Active</v>
      </c>
      <c r="W202" s="7" t="str">
        <f aca="false">IF(INDEX(MASTER_DATABASE!$A$4:$A$1000,ROW()-3)="","",INDEX(MASTER_DATABASE!$AH$4:$AH$1000,ROW()-3)&amp;"")</f>
        <v>Yes</v>
      </c>
      <c r="X202" s="7" t="str">
        <f aca="false">IF(INDEX(MASTER_DATABASE!$A$4:$A$1000,ROW()-3)="","",INDEX(MASTER_DATABASE!$AI$4:$AI$1000,ROW()-3)&amp;"")</f>
        <v>No</v>
      </c>
      <c r="Y202" s="7" t="str">
        <f aca="false">IF(INDEX(MASTER_DATABASE!$A$4:$A$1000,ROW()-3)="","",INDEX(MASTER_DATABASE!$AJ$4:$AJ$1000,ROW()-3)&amp;"")</f>
        <v>No</v>
      </c>
      <c r="Z202" s="7" t="str">
        <f aca="false">IF(INDEX(MASTER_DATABASE!$A$4:$A$1000,ROW()-3)="","",INDEX(MASTER_DATABASE!$AK$4:$AK$1000,ROW()-3)&amp;"")</f>
        <v>No</v>
      </c>
      <c r="AA202" s="7" t="str">
        <f aca="false">IF(INDEX(MASTER_DATABASE!$A$4:$A$1000,ROW()-3)="","",INDEX(MASTER_DATABASE!$BE$4:$BE$1000,ROW()-3)&amp;"")</f>
        <v>LIVE</v>
      </c>
    </row>
    <row r="203" customFormat="false" ht="46.25" hidden="false" customHeight="false" outlineLevel="0" collapsed="false">
      <c r="A203" s="11" t="str">
        <f aca="false">IF(INDEX(MASTER_DATABASE!$A$4:$A$1000,ROW()-3)="","",INDEX(MASTER_DATABASE!$A$4:$A$1000,ROW()-3)&amp;"")</f>
        <v>PRT-023</v>
      </c>
      <c r="B203" s="7" t="str">
        <f aca="false">IF(INDEX(MASTER_DATABASE!$A$4:$A$1000,ROW()-3)="","",INDEX(MASTER_DATABASE!$B$4:$B$1000,ROW()-3)&amp;"")</f>
        <v>Printing / Xerox / Scanning</v>
      </c>
      <c r="C203" s="7" t="str">
        <f aca="false">IF(INDEX(MASTER_DATABASE!$A$4:$A$1000,ROW()-3)="","",INDEX(MASTER_DATABASE!$C$4:$C$1000,ROW()-3)&amp;"")</f>
        <v>Document Services</v>
      </c>
      <c r="D203" s="7" t="str">
        <f aca="false">IF(INDEX(MASTER_DATABASE!$A$4:$A$1000,ROW()-3)="","",INDEX(MASTER_DATABASE!$D$4:$D$1000,ROW()-3)&amp;"")</f>
        <v>Document Preparation</v>
      </c>
      <c r="E203" s="7" t="str">
        <f aca="false">IF(INDEX(MASTER_DATABASE!$A$4:$A$1000,ROW()-3)="","",INDEX(MASTER_DATABASE!$E$4:$E$1000,ROW()-3)&amp;"")</f>
        <v>Biodata Making</v>
      </c>
      <c r="F203" s="7" t="str">
        <f aca="false">IF(INDEX(MASTER_DATABASE!$A$4:$A$1000,ROW()-3)="","",INDEX(MASTER_DATABASE!$F$4:$F$1000,ROW()-3)&amp;"")</f>
        <v>बायोडाटा निर्माण</v>
      </c>
      <c r="G203" s="7" t="str">
        <f aca="false">IF(INDEX(MASTER_DATABASE!$A$4:$A$1000,ROW()-3)="","",INDEX(MASTER_DATABASE!$AL$4:$AL$1000,ROW()-3)&amp;"")</f>
        <v>Printing / Xerox / Scanning</v>
      </c>
      <c r="H203" s="7" t="str">
        <f aca="false">IF(INDEX(MASTER_DATABASE!$A$4:$A$1000,ROW()-3)="","",INDEX(MASTER_DATABASE!$AM$4:$AM$1000,ROW()-3)&amp;"")</f>
        <v>Document Preparation</v>
      </c>
      <c r="I203" s="7" t="str">
        <f aca="false">IF(INDEX(MASTER_DATABASE!$A$4:$A$1000,ROW()-3)="","",INDEX(MASTER_DATABASE!$AO$4:$AO$1000,ROW()-3)&amp;"")</f>
        <v>biodata-making</v>
      </c>
      <c r="J203" s="7" t="str">
        <f aca="false">IF(INDEX(MASTER_DATABASE!$A$4:$A$1000,ROW()-3)="","",INDEX(MASTER_DATABASE!$BD$4:$BD$1000,ROW()-3)&amp;"")</f>
        <v>/services/biodata-making</v>
      </c>
      <c r="K203" s="7" t="str">
        <f aca="false">IF(INDEX(MASTER_DATABASE!$A$4:$A$1000,ROW()-3)="","",INDEX(MASTER_DATABASE!$AX$4:$AX$1000,ROW()-3)&amp;"")</f>
        <v>Biodata Making Service | Devmobile Stores</v>
      </c>
      <c r="L203" s="7" t="str">
        <f aca="false">IF(INDEX(MASTER_DATABASE!$A$4:$A$1000,ROW()-3)="","",INDEX(MASTER_DATABASE!$AY$4:$AY$1000,ROW()-3)&amp;"")</f>
        <v>Biodata Making (बायोडाटा निर्माण) at Devmobile Stores and Common Service Center &amp; Aadhaar Centre. Check required documents, charges and process before you visit.</v>
      </c>
      <c r="M203" s="7" t="str">
        <f aca="false">IF(INDEX(MASTER_DATABASE!$A$4:$A$1000,ROW()-3)="","",INDEX(MASTER_DATABASE!$AN$4:$AN$1000,ROW()-3)&amp;"")</f>
        <v>Biodata Making, Printing / Xerox / Scanning, Devmobile Stores, बायोडाटा निर्माण, प्रिंटिंग / ज़ेरॉक्स / स्कैनिंग, सेवा</v>
      </c>
      <c r="N203" s="7" t="str">
        <f aca="false">IF(INDEX(MASTER_DATABASE!$A$4:$A$1000,ROW()-3)="","",INDEX(MASTER_DATABASE!$AZ$4:$AZ$1000,ROW()-3)&amp;"")</f>
        <v>बायोडाटा निर्माण, प्रिंटिंग / ज़ेरॉक्स / स्कैनिंग, सेवा</v>
      </c>
      <c r="O203" s="7" t="str">
        <f aca="false">IF(INDEX(MASTER_DATABASE!$A$4:$A$1000,ROW()-3)="","",INDEX(MASTER_DATABASE!$BA$4:$BA$1000,ROW()-3)&amp;"")</f>
        <v>Biodata Making, Printing / Xerox / Scanning, Devmobile Stores</v>
      </c>
      <c r="P203" s="11" t="str">
        <f aca="false">IF(INDEX(MASTER_DATABASE!$A$4:$A$1000,ROW()-3)="","",INDEX(MASTER_DATABASE!$AP$4:$AP$1000,ROW()-3)&amp;"")</f>
        <v>🖨️</v>
      </c>
      <c r="Q203" s="7" t="str">
        <f aca="false">IF(INDEX(MASTER_DATABASE!$A$4:$A$1000,ROW()-3)="","",INDEX(MASTER_DATABASE!$BB$4:$BB$1000,ROW()-3)&amp;"")</f>
        <v/>
      </c>
      <c r="R203" s="11" t="str">
        <f aca="false">IF(INDEX(MASTER_DATABASE!$A$4:$A$1000,ROW()-3)="","",INDEX(MASTER_DATABASE!$BC$4:$BC$1000,ROW()-3)&amp;"")</f>
        <v>🖨️</v>
      </c>
      <c r="S203" s="11" t="n">
        <f aca="false">IF(INDEX(MASTER_DATABASE!$A$4:$A$1000,ROW()-3)="","",INDEX(MASTER_DATABASE!$AQ$4:$AQ$1000,ROW()-3))</f>
        <v>230</v>
      </c>
      <c r="T203" s="7" t="str">
        <f aca="false">IF(INDEX(MASTER_DATABASE!$A$4:$A$1000,ROW()-3)="","",INDEX(MASTER_DATABASE!$I$4:$I$1000,ROW()-3)&amp;"")</f>
        <v>Available</v>
      </c>
      <c r="U203" s="7" t="str">
        <f aca="false">IF(INDEX(MASTER_DATABASE!$A$4:$A$1000,ROW()-3)="","",INDEX(MASTER_DATABASE!$J$4:$J$1000,ROW()-3)&amp;"")</f>
        <v>Available</v>
      </c>
      <c r="V203" s="7" t="str">
        <f aca="false">IF(INDEX(MASTER_DATABASE!$A$4:$A$1000,ROW()-3)="","",INDEX(MASTER_DATABASE!$AG$4:$AG$1000,ROW()-3)&amp;"")</f>
        <v>Active</v>
      </c>
      <c r="W203" s="7" t="str">
        <f aca="false">IF(INDEX(MASTER_DATABASE!$A$4:$A$1000,ROW()-3)="","",INDEX(MASTER_DATABASE!$AH$4:$AH$1000,ROW()-3)&amp;"")</f>
        <v>Yes</v>
      </c>
      <c r="X203" s="7" t="str">
        <f aca="false">IF(INDEX(MASTER_DATABASE!$A$4:$A$1000,ROW()-3)="","",INDEX(MASTER_DATABASE!$AI$4:$AI$1000,ROW()-3)&amp;"")</f>
        <v>No</v>
      </c>
      <c r="Y203" s="7" t="str">
        <f aca="false">IF(INDEX(MASTER_DATABASE!$A$4:$A$1000,ROW()-3)="","",INDEX(MASTER_DATABASE!$AJ$4:$AJ$1000,ROW()-3)&amp;"")</f>
        <v>No</v>
      </c>
      <c r="Z203" s="7" t="str">
        <f aca="false">IF(INDEX(MASTER_DATABASE!$A$4:$A$1000,ROW()-3)="","",INDEX(MASTER_DATABASE!$AK$4:$AK$1000,ROW()-3)&amp;"")</f>
        <v>No</v>
      </c>
      <c r="AA203" s="7" t="str">
        <f aca="false">IF(INDEX(MASTER_DATABASE!$A$4:$A$1000,ROW()-3)="","",INDEX(MASTER_DATABASE!$BE$4:$BE$1000,ROW()-3)&amp;"")</f>
        <v>LIVE</v>
      </c>
    </row>
    <row r="204" customFormat="false" ht="46.25" hidden="false" customHeight="false" outlineLevel="0" collapsed="false">
      <c r="A204" s="11" t="str">
        <f aca="false">IF(INDEX(MASTER_DATABASE!$A$4:$A$1000,ROW()-3)="","",INDEX(MASTER_DATABASE!$A$4:$A$1000,ROW()-3)&amp;"")</f>
        <v>PRT-024</v>
      </c>
      <c r="B204" s="7" t="str">
        <f aca="false">IF(INDEX(MASTER_DATABASE!$A$4:$A$1000,ROW()-3)="","",INDEX(MASTER_DATABASE!$B$4:$B$1000,ROW()-3)&amp;"")</f>
        <v>Printing / Xerox / Scanning</v>
      </c>
      <c r="C204" s="7" t="str">
        <f aca="false">IF(INDEX(MASTER_DATABASE!$A$4:$A$1000,ROW()-3)="","",INDEX(MASTER_DATABASE!$C$4:$C$1000,ROW()-3)&amp;"")</f>
        <v>Document Services</v>
      </c>
      <c r="D204" s="7" t="str">
        <f aca="false">IF(INDEX(MASTER_DATABASE!$A$4:$A$1000,ROW()-3)="","",INDEX(MASTER_DATABASE!$D$4:$D$1000,ROW()-3)&amp;"")</f>
        <v>Document Preparation</v>
      </c>
      <c r="E204" s="7" t="str">
        <f aca="false">IF(INDEX(MASTER_DATABASE!$A$4:$A$1000,ROW()-3)="","",INDEX(MASTER_DATABASE!$E$4:$E$1000,ROW()-3)&amp;"")</f>
        <v>Document Formatting</v>
      </c>
      <c r="F204" s="7" t="str">
        <f aca="false">IF(INDEX(MASTER_DATABASE!$A$4:$A$1000,ROW()-3)="","",INDEX(MASTER_DATABASE!$F$4:$F$1000,ROW()-3)&amp;"")</f>
        <v>दस्तावेज़ फॉर्मेटिंग</v>
      </c>
      <c r="G204" s="7" t="str">
        <f aca="false">IF(INDEX(MASTER_DATABASE!$A$4:$A$1000,ROW()-3)="","",INDEX(MASTER_DATABASE!$AL$4:$AL$1000,ROW()-3)&amp;"")</f>
        <v>Printing / Xerox / Scanning</v>
      </c>
      <c r="H204" s="7" t="str">
        <f aca="false">IF(INDEX(MASTER_DATABASE!$A$4:$A$1000,ROW()-3)="","",INDEX(MASTER_DATABASE!$AM$4:$AM$1000,ROW()-3)&amp;"")</f>
        <v>Document Preparation</v>
      </c>
      <c r="I204" s="7" t="str">
        <f aca="false">IF(INDEX(MASTER_DATABASE!$A$4:$A$1000,ROW()-3)="","",INDEX(MASTER_DATABASE!$AO$4:$AO$1000,ROW()-3)&amp;"")</f>
        <v>document-formatting</v>
      </c>
      <c r="J204" s="7" t="str">
        <f aca="false">IF(INDEX(MASTER_DATABASE!$A$4:$A$1000,ROW()-3)="","",INDEX(MASTER_DATABASE!$BD$4:$BD$1000,ROW()-3)&amp;"")</f>
        <v>/services/document-formatting</v>
      </c>
      <c r="K204" s="7" t="str">
        <f aca="false">IF(INDEX(MASTER_DATABASE!$A$4:$A$1000,ROW()-3)="","",INDEX(MASTER_DATABASE!$AX$4:$AX$1000,ROW()-3)&amp;"")</f>
        <v>Document Formatting Service | Devmobile Stores</v>
      </c>
      <c r="L204" s="7" t="str">
        <f aca="false">IF(INDEX(MASTER_DATABASE!$A$4:$A$1000,ROW()-3)="","",INDEX(MASTER_DATABASE!$AY$4:$AY$1000,ROW()-3)&amp;"")</f>
        <v>Document Formatting (दस्तावेज़ फॉर्मेटिंग) at Devmobile Stores and Common Service Center &amp; Aadhaar Centre. Check required documents, charges and process before you visit.</v>
      </c>
      <c r="M204" s="7" t="str">
        <f aca="false">IF(INDEX(MASTER_DATABASE!$A$4:$A$1000,ROW()-3)="","",INDEX(MASTER_DATABASE!$AN$4:$AN$1000,ROW()-3)&amp;"")</f>
        <v>Document Formatting, Printing / Xerox / Scanning, Devmobile Stores, दस्तावेज़ फॉर्मेटिंग, प्रिंटिंग / ज़ेरॉक्स / स्कैनिंग, सेवा</v>
      </c>
      <c r="N204" s="7" t="str">
        <f aca="false">IF(INDEX(MASTER_DATABASE!$A$4:$A$1000,ROW()-3)="","",INDEX(MASTER_DATABASE!$AZ$4:$AZ$1000,ROW()-3)&amp;"")</f>
        <v>दस्तावेज़ फॉर्मेटिंग, प्रिंटिंग / ज़ेरॉक्स / स्कैनिंग, सेवा</v>
      </c>
      <c r="O204" s="7" t="str">
        <f aca="false">IF(INDEX(MASTER_DATABASE!$A$4:$A$1000,ROW()-3)="","",INDEX(MASTER_DATABASE!$BA$4:$BA$1000,ROW()-3)&amp;"")</f>
        <v>Document Formatting, Printing / Xerox / Scanning, Devmobile Stores</v>
      </c>
      <c r="P204" s="11" t="str">
        <f aca="false">IF(INDEX(MASTER_DATABASE!$A$4:$A$1000,ROW()-3)="","",INDEX(MASTER_DATABASE!$AP$4:$AP$1000,ROW()-3)&amp;"")</f>
        <v>🖨️</v>
      </c>
      <c r="Q204" s="7" t="str">
        <f aca="false">IF(INDEX(MASTER_DATABASE!$A$4:$A$1000,ROW()-3)="","",INDEX(MASTER_DATABASE!$BB$4:$BB$1000,ROW()-3)&amp;"")</f>
        <v/>
      </c>
      <c r="R204" s="11" t="str">
        <f aca="false">IF(INDEX(MASTER_DATABASE!$A$4:$A$1000,ROW()-3)="","",INDEX(MASTER_DATABASE!$BC$4:$BC$1000,ROW()-3)&amp;"")</f>
        <v>🖨️</v>
      </c>
      <c r="S204" s="11" t="n">
        <f aca="false">IF(INDEX(MASTER_DATABASE!$A$4:$A$1000,ROW()-3)="","",INDEX(MASTER_DATABASE!$AQ$4:$AQ$1000,ROW()-3))</f>
        <v>240</v>
      </c>
      <c r="T204" s="7" t="str">
        <f aca="false">IF(INDEX(MASTER_DATABASE!$A$4:$A$1000,ROW()-3)="","",INDEX(MASTER_DATABASE!$I$4:$I$1000,ROW()-3)&amp;"")</f>
        <v>Available</v>
      </c>
      <c r="U204" s="7" t="str">
        <f aca="false">IF(INDEX(MASTER_DATABASE!$A$4:$A$1000,ROW()-3)="","",INDEX(MASTER_DATABASE!$J$4:$J$1000,ROW()-3)&amp;"")</f>
        <v>Available</v>
      </c>
      <c r="V204" s="7" t="str">
        <f aca="false">IF(INDEX(MASTER_DATABASE!$A$4:$A$1000,ROW()-3)="","",INDEX(MASTER_DATABASE!$AG$4:$AG$1000,ROW()-3)&amp;"")</f>
        <v>Active</v>
      </c>
      <c r="W204" s="7" t="str">
        <f aca="false">IF(INDEX(MASTER_DATABASE!$A$4:$A$1000,ROW()-3)="","",INDEX(MASTER_DATABASE!$AH$4:$AH$1000,ROW()-3)&amp;"")</f>
        <v>Yes</v>
      </c>
      <c r="X204" s="7" t="str">
        <f aca="false">IF(INDEX(MASTER_DATABASE!$A$4:$A$1000,ROW()-3)="","",INDEX(MASTER_DATABASE!$AI$4:$AI$1000,ROW()-3)&amp;"")</f>
        <v>No</v>
      </c>
      <c r="Y204" s="7" t="str">
        <f aca="false">IF(INDEX(MASTER_DATABASE!$A$4:$A$1000,ROW()-3)="","",INDEX(MASTER_DATABASE!$AJ$4:$AJ$1000,ROW()-3)&amp;"")</f>
        <v>No</v>
      </c>
      <c r="Z204" s="7" t="str">
        <f aca="false">IF(INDEX(MASTER_DATABASE!$A$4:$A$1000,ROW()-3)="","",INDEX(MASTER_DATABASE!$AK$4:$AK$1000,ROW()-3)&amp;"")</f>
        <v>No</v>
      </c>
      <c r="AA204" s="7" t="str">
        <f aca="false">IF(INDEX(MASTER_DATABASE!$A$4:$A$1000,ROW()-3)="","",INDEX(MASTER_DATABASE!$BE$4:$BE$1000,ROW()-3)&amp;"")</f>
        <v>LIVE</v>
      </c>
    </row>
    <row r="205" customFormat="false" ht="46.25" hidden="false" customHeight="false" outlineLevel="0" collapsed="false">
      <c r="A205" s="11" t="str">
        <f aca="false">IF(INDEX(MASTER_DATABASE!$A$4:$A$1000,ROW()-3)="","",INDEX(MASTER_DATABASE!$A$4:$A$1000,ROW()-3)&amp;"")</f>
        <v>PRT-025</v>
      </c>
      <c r="B205" s="7" t="str">
        <f aca="false">IF(INDEX(MASTER_DATABASE!$A$4:$A$1000,ROW()-3)="","",INDEX(MASTER_DATABASE!$B$4:$B$1000,ROW()-3)&amp;"")</f>
        <v>Printing / Xerox / Scanning</v>
      </c>
      <c r="C205" s="7" t="str">
        <f aca="false">IF(INDEX(MASTER_DATABASE!$A$4:$A$1000,ROW()-3)="","",INDEX(MASTER_DATABASE!$C$4:$C$1000,ROW()-3)&amp;"")</f>
        <v>Document Services</v>
      </c>
      <c r="D205" s="7" t="str">
        <f aca="false">IF(INDEX(MASTER_DATABASE!$A$4:$A$1000,ROW()-3)="","",INDEX(MASTER_DATABASE!$D$4:$D$1000,ROW()-3)&amp;"")</f>
        <v>Document Preparation</v>
      </c>
      <c r="E205" s="7" t="str">
        <f aca="false">IF(INDEX(MASTER_DATABASE!$A$4:$A$1000,ROW()-3)="","",INDEX(MASTER_DATABASE!$E$4:$E$1000,ROW()-3)&amp;"")</f>
        <v>Official Document Formatting</v>
      </c>
      <c r="F205" s="7" t="str">
        <f aca="false">IF(INDEX(MASTER_DATABASE!$A$4:$A$1000,ROW()-3)="","",INDEX(MASTER_DATABASE!$F$4:$F$1000,ROW()-3)&amp;"")</f>
        <v>ऑफिशियल दस्तावेज़ फॉर्मेटिंग</v>
      </c>
      <c r="G205" s="7" t="str">
        <f aca="false">IF(INDEX(MASTER_DATABASE!$A$4:$A$1000,ROW()-3)="","",INDEX(MASTER_DATABASE!$AL$4:$AL$1000,ROW()-3)&amp;"")</f>
        <v>Printing / Xerox / Scanning</v>
      </c>
      <c r="H205" s="7" t="str">
        <f aca="false">IF(INDEX(MASTER_DATABASE!$A$4:$A$1000,ROW()-3)="","",INDEX(MASTER_DATABASE!$AM$4:$AM$1000,ROW()-3)&amp;"")</f>
        <v>Document Preparation</v>
      </c>
      <c r="I205" s="7" t="str">
        <f aca="false">IF(INDEX(MASTER_DATABASE!$A$4:$A$1000,ROW()-3)="","",INDEX(MASTER_DATABASE!$AO$4:$AO$1000,ROW()-3)&amp;"")</f>
        <v>official-document-formatting</v>
      </c>
      <c r="J205" s="7" t="str">
        <f aca="false">IF(INDEX(MASTER_DATABASE!$A$4:$A$1000,ROW()-3)="","",INDEX(MASTER_DATABASE!$BD$4:$BD$1000,ROW()-3)&amp;"")</f>
        <v>/services/official-document-formatting</v>
      </c>
      <c r="K205" s="7" t="str">
        <f aca="false">IF(INDEX(MASTER_DATABASE!$A$4:$A$1000,ROW()-3)="","",INDEX(MASTER_DATABASE!$AX$4:$AX$1000,ROW()-3)&amp;"")</f>
        <v>Official Document Formatting Service | Devmobile Stores</v>
      </c>
      <c r="L205" s="7" t="str">
        <f aca="false">IF(INDEX(MASTER_DATABASE!$A$4:$A$1000,ROW()-3)="","",INDEX(MASTER_DATABASE!$AY$4:$AY$1000,ROW()-3)&amp;"")</f>
        <v>Official Document Formatting (ऑफिशियल दस्तावेज़ फॉर्मेटिंग) at Devmobile Stores and Common Service Center &amp; Aadhaar Centre. Check required documents, charges and process before you visit.</v>
      </c>
      <c r="M205" s="7" t="str">
        <f aca="false">IF(INDEX(MASTER_DATABASE!$A$4:$A$1000,ROW()-3)="","",INDEX(MASTER_DATABASE!$AN$4:$AN$1000,ROW()-3)&amp;"")</f>
        <v>Official Document Formatting, Printing / Xerox / Scanning, Devmobile Stores, ऑफिशियल दस्तावेज़ फॉर्मेटिंग, प्रिंटिंग / ज़ेरॉक्स / स्कैनिंग, सेवा</v>
      </c>
      <c r="N205" s="7" t="str">
        <f aca="false">IF(INDEX(MASTER_DATABASE!$A$4:$A$1000,ROW()-3)="","",INDEX(MASTER_DATABASE!$AZ$4:$AZ$1000,ROW()-3)&amp;"")</f>
        <v>ऑफिशियल दस्तावेज़ फॉर्मेटिंग, प्रिंटिंग / ज़ेरॉक्स / स्कैनिंग, सेवा</v>
      </c>
      <c r="O205" s="7" t="str">
        <f aca="false">IF(INDEX(MASTER_DATABASE!$A$4:$A$1000,ROW()-3)="","",INDEX(MASTER_DATABASE!$BA$4:$BA$1000,ROW()-3)&amp;"")</f>
        <v>Official Document Formatting, Printing / Xerox / Scanning, Devmobile Stores</v>
      </c>
      <c r="P205" s="11" t="str">
        <f aca="false">IF(INDEX(MASTER_DATABASE!$A$4:$A$1000,ROW()-3)="","",INDEX(MASTER_DATABASE!$AP$4:$AP$1000,ROW()-3)&amp;"")</f>
        <v>🖨️</v>
      </c>
      <c r="Q205" s="7" t="str">
        <f aca="false">IF(INDEX(MASTER_DATABASE!$A$4:$A$1000,ROW()-3)="","",INDEX(MASTER_DATABASE!$BB$4:$BB$1000,ROW()-3)&amp;"")</f>
        <v/>
      </c>
      <c r="R205" s="11" t="str">
        <f aca="false">IF(INDEX(MASTER_DATABASE!$A$4:$A$1000,ROW()-3)="","",INDEX(MASTER_DATABASE!$BC$4:$BC$1000,ROW()-3)&amp;"")</f>
        <v>🖨️</v>
      </c>
      <c r="S205" s="11" t="n">
        <f aca="false">IF(INDEX(MASTER_DATABASE!$A$4:$A$1000,ROW()-3)="","",INDEX(MASTER_DATABASE!$AQ$4:$AQ$1000,ROW()-3))</f>
        <v>250</v>
      </c>
      <c r="T205" s="7" t="str">
        <f aca="false">IF(INDEX(MASTER_DATABASE!$A$4:$A$1000,ROW()-3)="","",INDEX(MASTER_DATABASE!$I$4:$I$1000,ROW()-3)&amp;"")</f>
        <v>Available</v>
      </c>
      <c r="U205" s="7" t="str">
        <f aca="false">IF(INDEX(MASTER_DATABASE!$A$4:$A$1000,ROW()-3)="","",INDEX(MASTER_DATABASE!$J$4:$J$1000,ROW()-3)&amp;"")</f>
        <v>Available</v>
      </c>
      <c r="V205" s="7" t="str">
        <f aca="false">IF(INDEX(MASTER_DATABASE!$A$4:$A$1000,ROW()-3)="","",INDEX(MASTER_DATABASE!$AG$4:$AG$1000,ROW()-3)&amp;"")</f>
        <v>Active</v>
      </c>
      <c r="W205" s="7" t="str">
        <f aca="false">IF(INDEX(MASTER_DATABASE!$A$4:$A$1000,ROW()-3)="","",INDEX(MASTER_DATABASE!$AH$4:$AH$1000,ROW()-3)&amp;"")</f>
        <v>Yes</v>
      </c>
      <c r="X205" s="7" t="str">
        <f aca="false">IF(INDEX(MASTER_DATABASE!$A$4:$A$1000,ROW()-3)="","",INDEX(MASTER_DATABASE!$AI$4:$AI$1000,ROW()-3)&amp;"")</f>
        <v>No</v>
      </c>
      <c r="Y205" s="7" t="str">
        <f aca="false">IF(INDEX(MASTER_DATABASE!$A$4:$A$1000,ROW()-3)="","",INDEX(MASTER_DATABASE!$AJ$4:$AJ$1000,ROW()-3)&amp;"")</f>
        <v>No</v>
      </c>
      <c r="Z205" s="7" t="str">
        <f aca="false">IF(INDEX(MASTER_DATABASE!$A$4:$A$1000,ROW()-3)="","",INDEX(MASTER_DATABASE!$AK$4:$AK$1000,ROW()-3)&amp;"")</f>
        <v>No</v>
      </c>
      <c r="AA205" s="7" t="str">
        <f aca="false">IF(INDEX(MASTER_DATABASE!$A$4:$A$1000,ROW()-3)="","",INDEX(MASTER_DATABASE!$BE$4:$BE$1000,ROW()-3)&amp;"")</f>
        <v>LIVE</v>
      </c>
    </row>
    <row r="206" customFormat="false" ht="46.25" hidden="false" customHeight="false" outlineLevel="0" collapsed="false">
      <c r="A206" s="11" t="str">
        <f aca="false">IF(INDEX(MASTER_DATABASE!$A$4:$A$1000,ROW()-3)="","",INDEX(MASTER_DATABASE!$A$4:$A$1000,ROW()-3)&amp;"")</f>
        <v>PHO-001</v>
      </c>
      <c r="B206" s="7" t="str">
        <f aca="false">IF(INDEX(MASTER_DATABASE!$A$4:$A$1000,ROW()-3)="","",INDEX(MASTER_DATABASE!$B$4:$B$1000,ROW()-3)&amp;"")</f>
        <v>Photo / Photoshop / Design</v>
      </c>
      <c r="C206" s="7" t="str">
        <f aca="false">IF(INDEX(MASTER_DATABASE!$A$4:$A$1000,ROW()-3)="","",INDEX(MASTER_DATABASE!$C$4:$C$1000,ROW()-3)&amp;"")</f>
        <v>Photo &amp; Design Services</v>
      </c>
      <c r="D206" s="7" t="str">
        <f aca="false">IF(INDEX(MASTER_DATABASE!$A$4:$A$1000,ROW()-3)="","",INDEX(MASTER_DATABASE!$D$4:$D$1000,ROW()-3)&amp;"")</f>
        <v>Passport &amp; ID Photo</v>
      </c>
      <c r="E206" s="7" t="str">
        <f aca="false">IF(INDEX(MASTER_DATABASE!$A$4:$A$1000,ROW()-3)="","",INDEX(MASTER_DATABASE!$E$4:$E$1000,ROW()-3)&amp;"")</f>
        <v>Passport Photo</v>
      </c>
      <c r="F206" s="7" t="str">
        <f aca="false">IF(INDEX(MASTER_DATABASE!$A$4:$A$1000,ROW()-3)="","",INDEX(MASTER_DATABASE!$F$4:$F$1000,ROW()-3)&amp;"")</f>
        <v>पासपोर्ट फोटो</v>
      </c>
      <c r="G206" s="7" t="str">
        <f aca="false">IF(INDEX(MASTER_DATABASE!$A$4:$A$1000,ROW()-3)="","",INDEX(MASTER_DATABASE!$AL$4:$AL$1000,ROW()-3)&amp;"")</f>
        <v>Photo / Photoshop / Design</v>
      </c>
      <c r="H206" s="7" t="str">
        <f aca="false">IF(INDEX(MASTER_DATABASE!$A$4:$A$1000,ROW()-3)="","",INDEX(MASTER_DATABASE!$AM$4:$AM$1000,ROW()-3)&amp;"")</f>
        <v>Passport &amp; ID Photo</v>
      </c>
      <c r="I206" s="7" t="str">
        <f aca="false">IF(INDEX(MASTER_DATABASE!$A$4:$A$1000,ROW()-3)="","",INDEX(MASTER_DATABASE!$AO$4:$AO$1000,ROW()-3)&amp;"")</f>
        <v>passport-photo</v>
      </c>
      <c r="J206" s="7" t="str">
        <f aca="false">IF(INDEX(MASTER_DATABASE!$A$4:$A$1000,ROW()-3)="","",INDEX(MASTER_DATABASE!$BD$4:$BD$1000,ROW()-3)&amp;"")</f>
        <v>/services/passport-photo</v>
      </c>
      <c r="K206" s="7" t="str">
        <f aca="false">IF(INDEX(MASTER_DATABASE!$A$4:$A$1000,ROW()-3)="","",INDEX(MASTER_DATABASE!$AX$4:$AX$1000,ROW()-3)&amp;"")</f>
        <v>Passport Photo Service | Devmobile Stores</v>
      </c>
      <c r="L206" s="7" t="str">
        <f aca="false">IF(INDEX(MASTER_DATABASE!$A$4:$A$1000,ROW()-3)="","",INDEX(MASTER_DATABASE!$AY$4:$AY$1000,ROW()-3)&amp;"")</f>
        <v>Passport Photo (पासपोर्ट फोटो) at Devmobile Stores and Common Service Center &amp; Aadhaar Centre. Check required documents, charges and process before you visit.</v>
      </c>
      <c r="M206" s="7" t="str">
        <f aca="false">IF(INDEX(MASTER_DATABASE!$A$4:$A$1000,ROW()-3)="","",INDEX(MASTER_DATABASE!$AN$4:$AN$1000,ROW()-3)&amp;"")</f>
        <v>Passport Photo, Photo / Photoshop / Design, Devmobile Stores, पासपोर्ट फोटो, फोटो / फोटोशॉप / डिज़ाइन, सेवा</v>
      </c>
      <c r="N206" s="7" t="str">
        <f aca="false">IF(INDEX(MASTER_DATABASE!$A$4:$A$1000,ROW()-3)="","",INDEX(MASTER_DATABASE!$AZ$4:$AZ$1000,ROW()-3)&amp;"")</f>
        <v>पासपोर्ट फोटो, फोटो / फोटोशॉप / डिज़ाइन, सेवा</v>
      </c>
      <c r="O206" s="7" t="str">
        <f aca="false">IF(INDEX(MASTER_DATABASE!$A$4:$A$1000,ROW()-3)="","",INDEX(MASTER_DATABASE!$BA$4:$BA$1000,ROW()-3)&amp;"")</f>
        <v>Passport Photo, Photo / Photoshop / Design, Devmobile Stores</v>
      </c>
      <c r="P206" s="11" t="str">
        <f aca="false">IF(INDEX(MASTER_DATABASE!$A$4:$A$1000,ROW()-3)="","",INDEX(MASTER_DATABASE!$AP$4:$AP$1000,ROW()-3)&amp;"")</f>
        <v>🧑</v>
      </c>
      <c r="Q206" s="7" t="str">
        <f aca="false">IF(INDEX(MASTER_DATABASE!$A$4:$A$1000,ROW()-3)="","",INDEX(MASTER_DATABASE!$BB$4:$BB$1000,ROW()-3)&amp;"")</f>
        <v/>
      </c>
      <c r="R206" s="11" t="str">
        <f aca="false">IF(INDEX(MASTER_DATABASE!$A$4:$A$1000,ROW()-3)="","",INDEX(MASTER_DATABASE!$BC$4:$BC$1000,ROW()-3)&amp;"")</f>
        <v>📷</v>
      </c>
      <c r="S206" s="11" t="n">
        <f aca="false">IF(INDEX(MASTER_DATABASE!$A$4:$A$1000,ROW()-3)="","",INDEX(MASTER_DATABASE!$AQ$4:$AQ$1000,ROW()-3))</f>
        <v>10</v>
      </c>
      <c r="T206" s="7" t="str">
        <f aca="false">IF(INDEX(MASTER_DATABASE!$A$4:$A$1000,ROW()-3)="","",INDEX(MASTER_DATABASE!$I$4:$I$1000,ROW()-3)&amp;"")</f>
        <v>Available</v>
      </c>
      <c r="U206" s="7" t="str">
        <f aca="false">IF(INDEX(MASTER_DATABASE!$A$4:$A$1000,ROW()-3)="","",INDEX(MASTER_DATABASE!$J$4:$J$1000,ROW()-3)&amp;"")</f>
        <v>Available</v>
      </c>
      <c r="V206" s="7" t="str">
        <f aca="false">IF(INDEX(MASTER_DATABASE!$A$4:$A$1000,ROW()-3)="","",INDEX(MASTER_DATABASE!$AG$4:$AG$1000,ROW()-3)&amp;"")</f>
        <v>Active</v>
      </c>
      <c r="W206" s="7" t="str">
        <f aca="false">IF(INDEX(MASTER_DATABASE!$A$4:$A$1000,ROW()-3)="","",INDEX(MASTER_DATABASE!$AH$4:$AH$1000,ROW()-3)&amp;"")</f>
        <v>Yes</v>
      </c>
      <c r="X206" s="7" t="str">
        <f aca="false">IF(INDEX(MASTER_DATABASE!$A$4:$A$1000,ROW()-3)="","",INDEX(MASTER_DATABASE!$AI$4:$AI$1000,ROW()-3)&amp;"")</f>
        <v>No</v>
      </c>
      <c r="Y206" s="7" t="str">
        <f aca="false">IF(INDEX(MASTER_DATABASE!$A$4:$A$1000,ROW()-3)="","",INDEX(MASTER_DATABASE!$AJ$4:$AJ$1000,ROW()-3)&amp;"")</f>
        <v>No</v>
      </c>
      <c r="Z206" s="7" t="str">
        <f aca="false">IF(INDEX(MASTER_DATABASE!$A$4:$A$1000,ROW()-3)="","",INDEX(MASTER_DATABASE!$AK$4:$AK$1000,ROW()-3)&amp;"")</f>
        <v>No</v>
      </c>
      <c r="AA206" s="7" t="str">
        <f aca="false">IF(INDEX(MASTER_DATABASE!$A$4:$A$1000,ROW()-3)="","",INDEX(MASTER_DATABASE!$BE$4:$BE$1000,ROW()-3)&amp;"")</f>
        <v>LIVE</v>
      </c>
    </row>
    <row r="207" customFormat="false" ht="35.05" hidden="false" customHeight="false" outlineLevel="0" collapsed="false">
      <c r="A207" s="11" t="str">
        <f aca="false">IF(INDEX(MASTER_DATABASE!$A$4:$A$1000,ROW()-3)="","",INDEX(MASTER_DATABASE!$A$4:$A$1000,ROW()-3)&amp;"")</f>
        <v>PHO-002</v>
      </c>
      <c r="B207" s="7" t="str">
        <f aca="false">IF(INDEX(MASTER_DATABASE!$A$4:$A$1000,ROW()-3)="","",INDEX(MASTER_DATABASE!$B$4:$B$1000,ROW()-3)&amp;"")</f>
        <v>Photo / Photoshop / Design</v>
      </c>
      <c r="C207" s="7" t="str">
        <f aca="false">IF(INDEX(MASTER_DATABASE!$A$4:$A$1000,ROW()-3)="","",INDEX(MASTER_DATABASE!$C$4:$C$1000,ROW()-3)&amp;"")</f>
        <v>Photo &amp; Design Services</v>
      </c>
      <c r="D207" s="7" t="str">
        <f aca="false">IF(INDEX(MASTER_DATABASE!$A$4:$A$1000,ROW()-3)="","",INDEX(MASTER_DATABASE!$D$4:$D$1000,ROW()-3)&amp;"")</f>
        <v>Passport &amp; ID Photo</v>
      </c>
      <c r="E207" s="7" t="str">
        <f aca="false">IF(INDEX(MASTER_DATABASE!$A$4:$A$1000,ROW()-3)="","",INDEX(MASTER_DATABASE!$E$4:$E$1000,ROW()-3)&amp;"")</f>
        <v>Visa Photo</v>
      </c>
      <c r="F207" s="7" t="str">
        <f aca="false">IF(INDEX(MASTER_DATABASE!$A$4:$A$1000,ROW()-3)="","",INDEX(MASTER_DATABASE!$F$4:$F$1000,ROW()-3)&amp;"")</f>
        <v>वीज़ा फोटो</v>
      </c>
      <c r="G207" s="7" t="str">
        <f aca="false">IF(INDEX(MASTER_DATABASE!$A$4:$A$1000,ROW()-3)="","",INDEX(MASTER_DATABASE!$AL$4:$AL$1000,ROW()-3)&amp;"")</f>
        <v>Photo / Photoshop / Design</v>
      </c>
      <c r="H207" s="7" t="str">
        <f aca="false">IF(INDEX(MASTER_DATABASE!$A$4:$A$1000,ROW()-3)="","",INDEX(MASTER_DATABASE!$AM$4:$AM$1000,ROW()-3)&amp;"")</f>
        <v>Passport &amp; ID Photo</v>
      </c>
      <c r="I207" s="7" t="str">
        <f aca="false">IF(INDEX(MASTER_DATABASE!$A$4:$A$1000,ROW()-3)="","",INDEX(MASTER_DATABASE!$AO$4:$AO$1000,ROW()-3)&amp;"")</f>
        <v>visa-photo</v>
      </c>
      <c r="J207" s="7" t="str">
        <f aca="false">IF(INDEX(MASTER_DATABASE!$A$4:$A$1000,ROW()-3)="","",INDEX(MASTER_DATABASE!$BD$4:$BD$1000,ROW()-3)&amp;"")</f>
        <v>/services/visa-photo</v>
      </c>
      <c r="K207" s="7" t="str">
        <f aca="false">IF(INDEX(MASTER_DATABASE!$A$4:$A$1000,ROW()-3)="","",INDEX(MASTER_DATABASE!$AX$4:$AX$1000,ROW()-3)&amp;"")</f>
        <v>Visa Photo Service | Devmobile Stores</v>
      </c>
      <c r="L207" s="7" t="str">
        <f aca="false">IF(INDEX(MASTER_DATABASE!$A$4:$A$1000,ROW()-3)="","",INDEX(MASTER_DATABASE!$AY$4:$AY$1000,ROW()-3)&amp;"")</f>
        <v>Visa Photo (वीज़ा फोटो) at Devmobile Stores and Common Service Center &amp; Aadhaar Centre. Check required documents, charges and process before you visit.</v>
      </c>
      <c r="M207" s="7" t="str">
        <f aca="false">IF(INDEX(MASTER_DATABASE!$A$4:$A$1000,ROW()-3)="","",INDEX(MASTER_DATABASE!$AN$4:$AN$1000,ROW()-3)&amp;"")</f>
        <v>Visa Photo, Photo / Photoshop / Design, Devmobile Stores, वीज़ा फोटो, फोटो / फोटोशॉप / डिज़ाइन, सेवा</v>
      </c>
      <c r="N207" s="7" t="str">
        <f aca="false">IF(INDEX(MASTER_DATABASE!$A$4:$A$1000,ROW()-3)="","",INDEX(MASTER_DATABASE!$AZ$4:$AZ$1000,ROW()-3)&amp;"")</f>
        <v>वीज़ा फोटो, फोटो / फोटोशॉप / डिज़ाइन, सेवा</v>
      </c>
      <c r="O207" s="7" t="str">
        <f aca="false">IF(INDEX(MASTER_DATABASE!$A$4:$A$1000,ROW()-3)="","",INDEX(MASTER_DATABASE!$BA$4:$BA$1000,ROW()-3)&amp;"")</f>
        <v>Visa Photo, Photo / Photoshop / Design, Devmobile Stores</v>
      </c>
      <c r="P207" s="11" t="str">
        <f aca="false">IF(INDEX(MASTER_DATABASE!$A$4:$A$1000,ROW()-3)="","",INDEX(MASTER_DATABASE!$AP$4:$AP$1000,ROW()-3)&amp;"")</f>
        <v>🧑</v>
      </c>
      <c r="Q207" s="7" t="str">
        <f aca="false">IF(INDEX(MASTER_DATABASE!$A$4:$A$1000,ROW()-3)="","",INDEX(MASTER_DATABASE!$BB$4:$BB$1000,ROW()-3)&amp;"")</f>
        <v/>
      </c>
      <c r="R207" s="11" t="str">
        <f aca="false">IF(INDEX(MASTER_DATABASE!$A$4:$A$1000,ROW()-3)="","",INDEX(MASTER_DATABASE!$BC$4:$BC$1000,ROW()-3)&amp;"")</f>
        <v>📷</v>
      </c>
      <c r="S207" s="11" t="n">
        <f aca="false">IF(INDEX(MASTER_DATABASE!$A$4:$A$1000,ROW()-3)="","",INDEX(MASTER_DATABASE!$AQ$4:$AQ$1000,ROW()-3))</f>
        <v>20</v>
      </c>
      <c r="T207" s="7" t="str">
        <f aca="false">IF(INDEX(MASTER_DATABASE!$A$4:$A$1000,ROW()-3)="","",INDEX(MASTER_DATABASE!$I$4:$I$1000,ROW()-3)&amp;"")</f>
        <v>Available</v>
      </c>
      <c r="U207" s="7" t="str">
        <f aca="false">IF(INDEX(MASTER_DATABASE!$A$4:$A$1000,ROW()-3)="","",INDEX(MASTER_DATABASE!$J$4:$J$1000,ROW()-3)&amp;"")</f>
        <v>Available</v>
      </c>
      <c r="V207" s="7" t="str">
        <f aca="false">IF(INDEX(MASTER_DATABASE!$A$4:$A$1000,ROW()-3)="","",INDEX(MASTER_DATABASE!$AG$4:$AG$1000,ROW()-3)&amp;"")</f>
        <v>Active</v>
      </c>
      <c r="W207" s="7" t="str">
        <f aca="false">IF(INDEX(MASTER_DATABASE!$A$4:$A$1000,ROW()-3)="","",INDEX(MASTER_DATABASE!$AH$4:$AH$1000,ROW()-3)&amp;"")</f>
        <v>Yes</v>
      </c>
      <c r="X207" s="7" t="str">
        <f aca="false">IF(INDEX(MASTER_DATABASE!$A$4:$A$1000,ROW()-3)="","",INDEX(MASTER_DATABASE!$AI$4:$AI$1000,ROW()-3)&amp;"")</f>
        <v>No</v>
      </c>
      <c r="Y207" s="7" t="str">
        <f aca="false">IF(INDEX(MASTER_DATABASE!$A$4:$A$1000,ROW()-3)="","",INDEX(MASTER_DATABASE!$AJ$4:$AJ$1000,ROW()-3)&amp;"")</f>
        <v>No</v>
      </c>
      <c r="Z207" s="7" t="str">
        <f aca="false">IF(INDEX(MASTER_DATABASE!$A$4:$A$1000,ROW()-3)="","",INDEX(MASTER_DATABASE!$AK$4:$AK$1000,ROW()-3)&amp;"")</f>
        <v>No</v>
      </c>
      <c r="AA207" s="7" t="str">
        <f aca="false">IF(INDEX(MASTER_DATABASE!$A$4:$A$1000,ROW()-3)="","",INDEX(MASTER_DATABASE!$BE$4:$BE$1000,ROW()-3)&amp;"")</f>
        <v>LIVE</v>
      </c>
    </row>
    <row r="208" customFormat="false" ht="46.25" hidden="false" customHeight="false" outlineLevel="0" collapsed="false">
      <c r="A208" s="11" t="str">
        <f aca="false">IF(INDEX(MASTER_DATABASE!$A$4:$A$1000,ROW()-3)="","",INDEX(MASTER_DATABASE!$A$4:$A$1000,ROW()-3)&amp;"")</f>
        <v>PHO-003</v>
      </c>
      <c r="B208" s="7" t="str">
        <f aca="false">IF(INDEX(MASTER_DATABASE!$A$4:$A$1000,ROW()-3)="","",INDEX(MASTER_DATABASE!$B$4:$B$1000,ROW()-3)&amp;"")</f>
        <v>Photo / Photoshop / Design</v>
      </c>
      <c r="C208" s="7" t="str">
        <f aca="false">IF(INDEX(MASTER_DATABASE!$A$4:$A$1000,ROW()-3)="","",INDEX(MASTER_DATABASE!$C$4:$C$1000,ROW()-3)&amp;"")</f>
        <v>Photo &amp; Design Services</v>
      </c>
      <c r="D208" s="7" t="str">
        <f aca="false">IF(INDEX(MASTER_DATABASE!$A$4:$A$1000,ROW()-3)="","",INDEX(MASTER_DATABASE!$D$4:$D$1000,ROW()-3)&amp;"")</f>
        <v>Passport &amp; ID Photo</v>
      </c>
      <c r="E208" s="7" t="str">
        <f aca="false">IF(INDEX(MASTER_DATABASE!$A$4:$A$1000,ROW()-3)="","",INDEX(MASTER_DATABASE!$E$4:$E$1000,ROW()-3)&amp;"")</f>
        <v>ID Card Photo</v>
      </c>
      <c r="F208" s="7" t="str">
        <f aca="false">IF(INDEX(MASTER_DATABASE!$A$4:$A$1000,ROW()-3)="","",INDEX(MASTER_DATABASE!$F$4:$F$1000,ROW()-3)&amp;"")</f>
        <v>आईडी कार्ड फोटो</v>
      </c>
      <c r="G208" s="7" t="str">
        <f aca="false">IF(INDEX(MASTER_DATABASE!$A$4:$A$1000,ROW()-3)="","",INDEX(MASTER_DATABASE!$AL$4:$AL$1000,ROW()-3)&amp;"")</f>
        <v>Photo / Photoshop / Design</v>
      </c>
      <c r="H208" s="7" t="str">
        <f aca="false">IF(INDEX(MASTER_DATABASE!$A$4:$A$1000,ROW()-3)="","",INDEX(MASTER_DATABASE!$AM$4:$AM$1000,ROW()-3)&amp;"")</f>
        <v>Passport &amp; ID Photo</v>
      </c>
      <c r="I208" s="7" t="str">
        <f aca="false">IF(INDEX(MASTER_DATABASE!$A$4:$A$1000,ROW()-3)="","",INDEX(MASTER_DATABASE!$AO$4:$AO$1000,ROW()-3)&amp;"")</f>
        <v>id-card-photo</v>
      </c>
      <c r="J208" s="7" t="str">
        <f aca="false">IF(INDEX(MASTER_DATABASE!$A$4:$A$1000,ROW()-3)="","",INDEX(MASTER_DATABASE!$BD$4:$BD$1000,ROW()-3)&amp;"")</f>
        <v>/services/id-card-photo</v>
      </c>
      <c r="K208" s="7" t="str">
        <f aca="false">IF(INDEX(MASTER_DATABASE!$A$4:$A$1000,ROW()-3)="","",INDEX(MASTER_DATABASE!$AX$4:$AX$1000,ROW()-3)&amp;"")</f>
        <v>ID Card Photo Service | Devmobile Stores</v>
      </c>
      <c r="L208" s="7" t="str">
        <f aca="false">IF(INDEX(MASTER_DATABASE!$A$4:$A$1000,ROW()-3)="","",INDEX(MASTER_DATABASE!$AY$4:$AY$1000,ROW()-3)&amp;"")</f>
        <v>ID Card Photo (आईडी कार्ड फोटो) at Devmobile Stores and Common Service Center &amp; Aadhaar Centre. Check required documents, charges and process before you visit.</v>
      </c>
      <c r="M208" s="7" t="str">
        <f aca="false">IF(INDEX(MASTER_DATABASE!$A$4:$A$1000,ROW()-3)="","",INDEX(MASTER_DATABASE!$AN$4:$AN$1000,ROW()-3)&amp;"")</f>
        <v>ID Card Photo, Photo / Photoshop / Design, Devmobile Stores, आईडी कार्ड फोटो, फोटो / फोटोशॉप / डिज़ाइन, सेवा</v>
      </c>
      <c r="N208" s="7" t="str">
        <f aca="false">IF(INDEX(MASTER_DATABASE!$A$4:$A$1000,ROW()-3)="","",INDEX(MASTER_DATABASE!$AZ$4:$AZ$1000,ROW()-3)&amp;"")</f>
        <v>आईडी कार्ड फोटो, फोटो / फोटोशॉप / डिज़ाइन, सेवा</v>
      </c>
      <c r="O208" s="7" t="str">
        <f aca="false">IF(INDEX(MASTER_DATABASE!$A$4:$A$1000,ROW()-3)="","",INDEX(MASTER_DATABASE!$BA$4:$BA$1000,ROW()-3)&amp;"")</f>
        <v>ID Card Photo, Photo / Photoshop / Design, Devmobile Stores</v>
      </c>
      <c r="P208" s="11" t="str">
        <f aca="false">IF(INDEX(MASTER_DATABASE!$A$4:$A$1000,ROW()-3)="","",INDEX(MASTER_DATABASE!$AP$4:$AP$1000,ROW()-3)&amp;"")</f>
        <v>🧑</v>
      </c>
      <c r="Q208" s="7" t="str">
        <f aca="false">IF(INDEX(MASTER_DATABASE!$A$4:$A$1000,ROW()-3)="","",INDEX(MASTER_DATABASE!$BB$4:$BB$1000,ROW()-3)&amp;"")</f>
        <v/>
      </c>
      <c r="R208" s="11" t="str">
        <f aca="false">IF(INDEX(MASTER_DATABASE!$A$4:$A$1000,ROW()-3)="","",INDEX(MASTER_DATABASE!$BC$4:$BC$1000,ROW()-3)&amp;"")</f>
        <v>📷</v>
      </c>
      <c r="S208" s="11" t="n">
        <f aca="false">IF(INDEX(MASTER_DATABASE!$A$4:$A$1000,ROW()-3)="","",INDEX(MASTER_DATABASE!$AQ$4:$AQ$1000,ROW()-3))</f>
        <v>30</v>
      </c>
      <c r="T208" s="7" t="str">
        <f aca="false">IF(INDEX(MASTER_DATABASE!$A$4:$A$1000,ROW()-3)="","",INDEX(MASTER_DATABASE!$I$4:$I$1000,ROW()-3)&amp;"")</f>
        <v>Available</v>
      </c>
      <c r="U208" s="7" t="str">
        <f aca="false">IF(INDEX(MASTER_DATABASE!$A$4:$A$1000,ROW()-3)="","",INDEX(MASTER_DATABASE!$J$4:$J$1000,ROW()-3)&amp;"")</f>
        <v>Available</v>
      </c>
      <c r="V208" s="7" t="str">
        <f aca="false">IF(INDEX(MASTER_DATABASE!$A$4:$A$1000,ROW()-3)="","",INDEX(MASTER_DATABASE!$AG$4:$AG$1000,ROW()-3)&amp;"")</f>
        <v>Active</v>
      </c>
      <c r="W208" s="7" t="str">
        <f aca="false">IF(INDEX(MASTER_DATABASE!$A$4:$A$1000,ROW()-3)="","",INDEX(MASTER_DATABASE!$AH$4:$AH$1000,ROW()-3)&amp;"")</f>
        <v>Yes</v>
      </c>
      <c r="X208" s="7" t="str">
        <f aca="false">IF(INDEX(MASTER_DATABASE!$A$4:$A$1000,ROW()-3)="","",INDEX(MASTER_DATABASE!$AI$4:$AI$1000,ROW()-3)&amp;"")</f>
        <v>No</v>
      </c>
      <c r="Y208" s="7" t="str">
        <f aca="false">IF(INDEX(MASTER_DATABASE!$A$4:$A$1000,ROW()-3)="","",INDEX(MASTER_DATABASE!$AJ$4:$AJ$1000,ROW()-3)&amp;"")</f>
        <v>No</v>
      </c>
      <c r="Z208" s="7" t="str">
        <f aca="false">IF(INDEX(MASTER_DATABASE!$A$4:$A$1000,ROW()-3)="","",INDEX(MASTER_DATABASE!$AK$4:$AK$1000,ROW()-3)&amp;"")</f>
        <v>No</v>
      </c>
      <c r="AA208" s="7" t="str">
        <f aca="false">IF(INDEX(MASTER_DATABASE!$A$4:$A$1000,ROW()-3)="","",INDEX(MASTER_DATABASE!$BE$4:$BE$1000,ROW()-3)&amp;"")</f>
        <v>LIVE</v>
      </c>
    </row>
    <row r="209" customFormat="false" ht="35.05" hidden="false" customHeight="false" outlineLevel="0" collapsed="false">
      <c r="A209" s="11" t="str">
        <f aca="false">IF(INDEX(MASTER_DATABASE!$A$4:$A$1000,ROW()-3)="","",INDEX(MASTER_DATABASE!$A$4:$A$1000,ROW()-3)&amp;"")</f>
        <v>PHO-004</v>
      </c>
      <c r="B209" s="7" t="str">
        <f aca="false">IF(INDEX(MASTER_DATABASE!$A$4:$A$1000,ROW()-3)="","",INDEX(MASTER_DATABASE!$B$4:$B$1000,ROW()-3)&amp;"")</f>
        <v>Photo / Photoshop / Design</v>
      </c>
      <c r="C209" s="7" t="str">
        <f aca="false">IF(INDEX(MASTER_DATABASE!$A$4:$A$1000,ROW()-3)="","",INDEX(MASTER_DATABASE!$C$4:$C$1000,ROW()-3)&amp;"")</f>
        <v>Photo &amp; Design Services</v>
      </c>
      <c r="D209" s="7" t="str">
        <f aca="false">IF(INDEX(MASTER_DATABASE!$A$4:$A$1000,ROW()-3)="","",INDEX(MASTER_DATABASE!$D$4:$D$1000,ROW()-3)&amp;"")</f>
        <v>Photo Editing</v>
      </c>
      <c r="E209" s="7" t="str">
        <f aca="false">IF(INDEX(MASTER_DATABASE!$A$4:$A$1000,ROW()-3)="","",INDEX(MASTER_DATABASE!$E$4:$E$1000,ROW()-3)&amp;"")</f>
        <v>Photo Crop</v>
      </c>
      <c r="F209" s="7" t="str">
        <f aca="false">IF(INDEX(MASTER_DATABASE!$A$4:$A$1000,ROW()-3)="","",INDEX(MASTER_DATABASE!$F$4:$F$1000,ROW()-3)&amp;"")</f>
        <v>फोटो क्रॉप</v>
      </c>
      <c r="G209" s="7" t="str">
        <f aca="false">IF(INDEX(MASTER_DATABASE!$A$4:$A$1000,ROW()-3)="","",INDEX(MASTER_DATABASE!$AL$4:$AL$1000,ROW()-3)&amp;"")</f>
        <v>Photo / Photoshop / Design</v>
      </c>
      <c r="H209" s="7" t="str">
        <f aca="false">IF(INDEX(MASTER_DATABASE!$A$4:$A$1000,ROW()-3)="","",INDEX(MASTER_DATABASE!$AM$4:$AM$1000,ROW()-3)&amp;"")</f>
        <v>Photo Editing</v>
      </c>
      <c r="I209" s="7" t="str">
        <f aca="false">IF(INDEX(MASTER_DATABASE!$A$4:$A$1000,ROW()-3)="","",INDEX(MASTER_DATABASE!$AO$4:$AO$1000,ROW()-3)&amp;"")</f>
        <v>photo-crop</v>
      </c>
      <c r="J209" s="7" t="str">
        <f aca="false">IF(INDEX(MASTER_DATABASE!$A$4:$A$1000,ROW()-3)="","",INDEX(MASTER_DATABASE!$BD$4:$BD$1000,ROW()-3)&amp;"")</f>
        <v>/services/photo-crop</v>
      </c>
      <c r="K209" s="7" t="str">
        <f aca="false">IF(INDEX(MASTER_DATABASE!$A$4:$A$1000,ROW()-3)="","",INDEX(MASTER_DATABASE!$AX$4:$AX$1000,ROW()-3)&amp;"")</f>
        <v>Photo Crop Service | Devmobile Stores</v>
      </c>
      <c r="L209" s="7" t="str">
        <f aca="false">IF(INDEX(MASTER_DATABASE!$A$4:$A$1000,ROW()-3)="","",INDEX(MASTER_DATABASE!$AY$4:$AY$1000,ROW()-3)&amp;"")</f>
        <v>Photo Crop (फोटो क्रॉप) at Devmobile Stores and Common Service Center &amp; Aadhaar Centre. Check required documents, charges and process before you visit.</v>
      </c>
      <c r="M209" s="7" t="str">
        <f aca="false">IF(INDEX(MASTER_DATABASE!$A$4:$A$1000,ROW()-3)="","",INDEX(MASTER_DATABASE!$AN$4:$AN$1000,ROW()-3)&amp;"")</f>
        <v>Photo Crop, Photo / Photoshop / Design, Devmobile Stores, फोटो क्रॉप, फोटो / फोटोशॉप / डिज़ाइन, सेवा</v>
      </c>
      <c r="N209" s="7" t="str">
        <f aca="false">IF(INDEX(MASTER_DATABASE!$A$4:$A$1000,ROW()-3)="","",INDEX(MASTER_DATABASE!$AZ$4:$AZ$1000,ROW()-3)&amp;"")</f>
        <v>फोटो क्रॉप, फोटो / फोटोशॉप / डिज़ाइन, सेवा</v>
      </c>
      <c r="O209" s="7" t="str">
        <f aca="false">IF(INDEX(MASTER_DATABASE!$A$4:$A$1000,ROW()-3)="","",INDEX(MASTER_DATABASE!$BA$4:$BA$1000,ROW()-3)&amp;"")</f>
        <v>Photo Crop, Photo / Photoshop / Design, Devmobile Stores</v>
      </c>
      <c r="P209" s="11" t="str">
        <f aca="false">IF(INDEX(MASTER_DATABASE!$A$4:$A$1000,ROW()-3)="","",INDEX(MASTER_DATABASE!$AP$4:$AP$1000,ROW()-3)&amp;"")</f>
        <v>📷</v>
      </c>
      <c r="Q209" s="7" t="str">
        <f aca="false">IF(INDEX(MASTER_DATABASE!$A$4:$A$1000,ROW()-3)="","",INDEX(MASTER_DATABASE!$BB$4:$BB$1000,ROW()-3)&amp;"")</f>
        <v/>
      </c>
      <c r="R209" s="11" t="str">
        <f aca="false">IF(INDEX(MASTER_DATABASE!$A$4:$A$1000,ROW()-3)="","",INDEX(MASTER_DATABASE!$BC$4:$BC$1000,ROW()-3)&amp;"")</f>
        <v>📷</v>
      </c>
      <c r="S209" s="11" t="n">
        <f aca="false">IF(INDEX(MASTER_DATABASE!$A$4:$A$1000,ROW()-3)="","",INDEX(MASTER_DATABASE!$AQ$4:$AQ$1000,ROW()-3))</f>
        <v>40</v>
      </c>
      <c r="T209" s="7" t="str">
        <f aca="false">IF(INDEX(MASTER_DATABASE!$A$4:$A$1000,ROW()-3)="","",INDEX(MASTER_DATABASE!$I$4:$I$1000,ROW()-3)&amp;"")</f>
        <v>Available</v>
      </c>
      <c r="U209" s="7" t="str">
        <f aca="false">IF(INDEX(MASTER_DATABASE!$A$4:$A$1000,ROW()-3)="","",INDEX(MASTER_DATABASE!$J$4:$J$1000,ROW()-3)&amp;"")</f>
        <v>Available</v>
      </c>
      <c r="V209" s="7" t="str">
        <f aca="false">IF(INDEX(MASTER_DATABASE!$A$4:$A$1000,ROW()-3)="","",INDEX(MASTER_DATABASE!$AG$4:$AG$1000,ROW()-3)&amp;"")</f>
        <v>Active</v>
      </c>
      <c r="W209" s="7" t="str">
        <f aca="false">IF(INDEX(MASTER_DATABASE!$A$4:$A$1000,ROW()-3)="","",INDEX(MASTER_DATABASE!$AH$4:$AH$1000,ROW()-3)&amp;"")</f>
        <v>Yes</v>
      </c>
      <c r="X209" s="7" t="str">
        <f aca="false">IF(INDEX(MASTER_DATABASE!$A$4:$A$1000,ROW()-3)="","",INDEX(MASTER_DATABASE!$AI$4:$AI$1000,ROW()-3)&amp;"")</f>
        <v>No</v>
      </c>
      <c r="Y209" s="7" t="str">
        <f aca="false">IF(INDEX(MASTER_DATABASE!$A$4:$A$1000,ROW()-3)="","",INDEX(MASTER_DATABASE!$AJ$4:$AJ$1000,ROW()-3)&amp;"")</f>
        <v>No</v>
      </c>
      <c r="Z209" s="7" t="str">
        <f aca="false">IF(INDEX(MASTER_DATABASE!$A$4:$A$1000,ROW()-3)="","",INDEX(MASTER_DATABASE!$AK$4:$AK$1000,ROW()-3)&amp;"")</f>
        <v>No</v>
      </c>
      <c r="AA209" s="7" t="str">
        <f aca="false">IF(INDEX(MASTER_DATABASE!$A$4:$A$1000,ROW()-3)="","",INDEX(MASTER_DATABASE!$BE$4:$BE$1000,ROW()-3)&amp;"")</f>
        <v>LIVE</v>
      </c>
    </row>
    <row r="210" customFormat="false" ht="46.25" hidden="false" customHeight="false" outlineLevel="0" collapsed="false">
      <c r="A210" s="11" t="str">
        <f aca="false">IF(INDEX(MASTER_DATABASE!$A$4:$A$1000,ROW()-3)="","",INDEX(MASTER_DATABASE!$A$4:$A$1000,ROW()-3)&amp;"")</f>
        <v>PHO-005</v>
      </c>
      <c r="B210" s="7" t="str">
        <f aca="false">IF(INDEX(MASTER_DATABASE!$A$4:$A$1000,ROW()-3)="","",INDEX(MASTER_DATABASE!$B$4:$B$1000,ROW()-3)&amp;"")</f>
        <v>Photo / Photoshop / Design</v>
      </c>
      <c r="C210" s="7" t="str">
        <f aca="false">IF(INDEX(MASTER_DATABASE!$A$4:$A$1000,ROW()-3)="","",INDEX(MASTER_DATABASE!$C$4:$C$1000,ROW()-3)&amp;"")</f>
        <v>Photo &amp; Design Services</v>
      </c>
      <c r="D210" s="7" t="str">
        <f aca="false">IF(INDEX(MASTER_DATABASE!$A$4:$A$1000,ROW()-3)="","",INDEX(MASTER_DATABASE!$D$4:$D$1000,ROW()-3)&amp;"")</f>
        <v>Photo Editing</v>
      </c>
      <c r="E210" s="7" t="str">
        <f aca="false">IF(INDEX(MASTER_DATABASE!$A$4:$A$1000,ROW()-3)="","",INDEX(MASTER_DATABASE!$E$4:$E$1000,ROW()-3)&amp;"")</f>
        <v>Photo Resize</v>
      </c>
      <c r="F210" s="7" t="str">
        <f aca="false">IF(INDEX(MASTER_DATABASE!$A$4:$A$1000,ROW()-3)="","",INDEX(MASTER_DATABASE!$F$4:$F$1000,ROW()-3)&amp;"")</f>
        <v>फोटो रीसाइज़</v>
      </c>
      <c r="G210" s="7" t="str">
        <f aca="false">IF(INDEX(MASTER_DATABASE!$A$4:$A$1000,ROW()-3)="","",INDEX(MASTER_DATABASE!$AL$4:$AL$1000,ROW()-3)&amp;"")</f>
        <v>Photo / Photoshop / Design</v>
      </c>
      <c r="H210" s="7" t="str">
        <f aca="false">IF(INDEX(MASTER_DATABASE!$A$4:$A$1000,ROW()-3)="","",INDEX(MASTER_DATABASE!$AM$4:$AM$1000,ROW()-3)&amp;"")</f>
        <v>Photo Editing</v>
      </c>
      <c r="I210" s="7" t="str">
        <f aca="false">IF(INDEX(MASTER_DATABASE!$A$4:$A$1000,ROW()-3)="","",INDEX(MASTER_DATABASE!$AO$4:$AO$1000,ROW()-3)&amp;"")</f>
        <v>photo-resize</v>
      </c>
      <c r="J210" s="7" t="str">
        <f aca="false">IF(INDEX(MASTER_DATABASE!$A$4:$A$1000,ROW()-3)="","",INDEX(MASTER_DATABASE!$BD$4:$BD$1000,ROW()-3)&amp;"")</f>
        <v>/services/photo-resize</v>
      </c>
      <c r="K210" s="7" t="str">
        <f aca="false">IF(INDEX(MASTER_DATABASE!$A$4:$A$1000,ROW()-3)="","",INDEX(MASTER_DATABASE!$AX$4:$AX$1000,ROW()-3)&amp;"")</f>
        <v>Photo Resize Service | Devmobile Stores</v>
      </c>
      <c r="L210" s="7" t="str">
        <f aca="false">IF(INDEX(MASTER_DATABASE!$A$4:$A$1000,ROW()-3)="","",INDEX(MASTER_DATABASE!$AY$4:$AY$1000,ROW()-3)&amp;"")</f>
        <v>Photo Resize (फोटो रीसाइज़) at Devmobile Stores and Common Service Center &amp; Aadhaar Centre. Check required documents, charges and process before you visit.</v>
      </c>
      <c r="M210" s="7" t="str">
        <f aca="false">IF(INDEX(MASTER_DATABASE!$A$4:$A$1000,ROW()-3)="","",INDEX(MASTER_DATABASE!$AN$4:$AN$1000,ROW()-3)&amp;"")</f>
        <v>Photo Resize, Photo / Photoshop / Design, Devmobile Stores, फोटो रीसाइज़, फोटो / फोटोशॉप / डिज़ाइन, सेवा</v>
      </c>
      <c r="N210" s="7" t="str">
        <f aca="false">IF(INDEX(MASTER_DATABASE!$A$4:$A$1000,ROW()-3)="","",INDEX(MASTER_DATABASE!$AZ$4:$AZ$1000,ROW()-3)&amp;"")</f>
        <v>फोटो रीसाइज़, फोटो / फोटोशॉप / डिज़ाइन, सेवा</v>
      </c>
      <c r="O210" s="7" t="str">
        <f aca="false">IF(INDEX(MASTER_DATABASE!$A$4:$A$1000,ROW()-3)="","",INDEX(MASTER_DATABASE!$BA$4:$BA$1000,ROW()-3)&amp;"")</f>
        <v>Photo Resize, Photo / Photoshop / Design, Devmobile Stores</v>
      </c>
      <c r="P210" s="11" t="str">
        <f aca="false">IF(INDEX(MASTER_DATABASE!$A$4:$A$1000,ROW()-3)="","",INDEX(MASTER_DATABASE!$AP$4:$AP$1000,ROW()-3)&amp;"")</f>
        <v>📷</v>
      </c>
      <c r="Q210" s="7" t="str">
        <f aca="false">IF(INDEX(MASTER_DATABASE!$A$4:$A$1000,ROW()-3)="","",INDEX(MASTER_DATABASE!$BB$4:$BB$1000,ROW()-3)&amp;"")</f>
        <v/>
      </c>
      <c r="R210" s="11" t="str">
        <f aca="false">IF(INDEX(MASTER_DATABASE!$A$4:$A$1000,ROW()-3)="","",INDEX(MASTER_DATABASE!$BC$4:$BC$1000,ROW()-3)&amp;"")</f>
        <v>📷</v>
      </c>
      <c r="S210" s="11" t="n">
        <f aca="false">IF(INDEX(MASTER_DATABASE!$A$4:$A$1000,ROW()-3)="","",INDEX(MASTER_DATABASE!$AQ$4:$AQ$1000,ROW()-3))</f>
        <v>50</v>
      </c>
      <c r="T210" s="7" t="str">
        <f aca="false">IF(INDEX(MASTER_DATABASE!$A$4:$A$1000,ROW()-3)="","",INDEX(MASTER_DATABASE!$I$4:$I$1000,ROW()-3)&amp;"")</f>
        <v>Available</v>
      </c>
      <c r="U210" s="7" t="str">
        <f aca="false">IF(INDEX(MASTER_DATABASE!$A$4:$A$1000,ROW()-3)="","",INDEX(MASTER_DATABASE!$J$4:$J$1000,ROW()-3)&amp;"")</f>
        <v>Available</v>
      </c>
      <c r="V210" s="7" t="str">
        <f aca="false">IF(INDEX(MASTER_DATABASE!$A$4:$A$1000,ROW()-3)="","",INDEX(MASTER_DATABASE!$AG$4:$AG$1000,ROW()-3)&amp;"")</f>
        <v>Active</v>
      </c>
      <c r="W210" s="7" t="str">
        <f aca="false">IF(INDEX(MASTER_DATABASE!$A$4:$A$1000,ROW()-3)="","",INDEX(MASTER_DATABASE!$AH$4:$AH$1000,ROW()-3)&amp;"")</f>
        <v>Yes</v>
      </c>
      <c r="X210" s="7" t="str">
        <f aca="false">IF(INDEX(MASTER_DATABASE!$A$4:$A$1000,ROW()-3)="","",INDEX(MASTER_DATABASE!$AI$4:$AI$1000,ROW()-3)&amp;"")</f>
        <v>No</v>
      </c>
      <c r="Y210" s="7" t="str">
        <f aca="false">IF(INDEX(MASTER_DATABASE!$A$4:$A$1000,ROW()-3)="","",INDEX(MASTER_DATABASE!$AJ$4:$AJ$1000,ROW()-3)&amp;"")</f>
        <v>No</v>
      </c>
      <c r="Z210" s="7" t="str">
        <f aca="false">IF(INDEX(MASTER_DATABASE!$A$4:$A$1000,ROW()-3)="","",INDEX(MASTER_DATABASE!$AK$4:$AK$1000,ROW()-3)&amp;"")</f>
        <v>No</v>
      </c>
      <c r="AA210" s="7" t="str">
        <f aca="false">IF(INDEX(MASTER_DATABASE!$A$4:$A$1000,ROW()-3)="","",INDEX(MASTER_DATABASE!$BE$4:$BE$1000,ROW()-3)&amp;"")</f>
        <v>LIVE</v>
      </c>
    </row>
    <row r="211" customFormat="false" ht="46.25" hidden="false" customHeight="false" outlineLevel="0" collapsed="false">
      <c r="A211" s="11" t="str">
        <f aca="false">IF(INDEX(MASTER_DATABASE!$A$4:$A$1000,ROW()-3)="","",INDEX(MASTER_DATABASE!$A$4:$A$1000,ROW()-3)&amp;"")</f>
        <v>PHO-006</v>
      </c>
      <c r="B211" s="7" t="str">
        <f aca="false">IF(INDEX(MASTER_DATABASE!$A$4:$A$1000,ROW()-3)="","",INDEX(MASTER_DATABASE!$B$4:$B$1000,ROW()-3)&amp;"")</f>
        <v>Photo / Photoshop / Design</v>
      </c>
      <c r="C211" s="7" t="str">
        <f aca="false">IF(INDEX(MASTER_DATABASE!$A$4:$A$1000,ROW()-3)="","",INDEX(MASTER_DATABASE!$C$4:$C$1000,ROW()-3)&amp;"")</f>
        <v>Photo &amp; Design Services</v>
      </c>
      <c r="D211" s="7" t="str">
        <f aca="false">IF(INDEX(MASTER_DATABASE!$A$4:$A$1000,ROW()-3)="","",INDEX(MASTER_DATABASE!$D$4:$D$1000,ROW()-3)&amp;"")</f>
        <v>Photo Editing</v>
      </c>
      <c r="E211" s="7" t="str">
        <f aca="false">IF(INDEX(MASTER_DATABASE!$A$4:$A$1000,ROW()-3)="","",INDEX(MASTER_DATABASE!$E$4:$E$1000,ROW()-3)&amp;"")</f>
        <v>Signature Resize</v>
      </c>
      <c r="F211" s="7" t="str">
        <f aca="false">IF(INDEX(MASTER_DATABASE!$A$4:$A$1000,ROW()-3)="","",INDEX(MASTER_DATABASE!$F$4:$F$1000,ROW()-3)&amp;"")</f>
        <v>हस्ताक्षर (सिग्नेचर) रीसाइज़</v>
      </c>
      <c r="G211" s="7" t="str">
        <f aca="false">IF(INDEX(MASTER_DATABASE!$A$4:$A$1000,ROW()-3)="","",INDEX(MASTER_DATABASE!$AL$4:$AL$1000,ROW()-3)&amp;"")</f>
        <v>Photo / Photoshop / Design</v>
      </c>
      <c r="H211" s="7" t="str">
        <f aca="false">IF(INDEX(MASTER_DATABASE!$A$4:$A$1000,ROW()-3)="","",INDEX(MASTER_DATABASE!$AM$4:$AM$1000,ROW()-3)&amp;"")</f>
        <v>Photo Editing</v>
      </c>
      <c r="I211" s="7" t="str">
        <f aca="false">IF(INDEX(MASTER_DATABASE!$A$4:$A$1000,ROW()-3)="","",INDEX(MASTER_DATABASE!$AO$4:$AO$1000,ROW()-3)&amp;"")</f>
        <v>signature-resize</v>
      </c>
      <c r="J211" s="7" t="str">
        <f aca="false">IF(INDEX(MASTER_DATABASE!$A$4:$A$1000,ROW()-3)="","",INDEX(MASTER_DATABASE!$BD$4:$BD$1000,ROW()-3)&amp;"")</f>
        <v>/services/signature-resize</v>
      </c>
      <c r="K211" s="7" t="str">
        <f aca="false">IF(INDEX(MASTER_DATABASE!$A$4:$A$1000,ROW()-3)="","",INDEX(MASTER_DATABASE!$AX$4:$AX$1000,ROW()-3)&amp;"")</f>
        <v>Signature Resize Service | Devmobile Stores</v>
      </c>
      <c r="L211" s="7" t="str">
        <f aca="false">IF(INDEX(MASTER_DATABASE!$A$4:$A$1000,ROW()-3)="","",INDEX(MASTER_DATABASE!$AY$4:$AY$1000,ROW()-3)&amp;"")</f>
        <v>Signature Resize (हस्ताक्षर (सिग्नेचर) रीसाइज़) at Devmobile Stores and Common Service Center &amp; Aadhaar Centre. Check required documents, charges and process before you visit.</v>
      </c>
      <c r="M211" s="7" t="str">
        <f aca="false">IF(INDEX(MASTER_DATABASE!$A$4:$A$1000,ROW()-3)="","",INDEX(MASTER_DATABASE!$AN$4:$AN$1000,ROW()-3)&amp;"")</f>
        <v>Signature Resize, Photo / Photoshop / Design, Devmobile Stores, हस्ताक्षर (सिग्नेचर) रीसाइज़, फोटो / फोटोशॉप / डिज़ाइन, सेवा</v>
      </c>
      <c r="N211" s="7" t="str">
        <f aca="false">IF(INDEX(MASTER_DATABASE!$A$4:$A$1000,ROW()-3)="","",INDEX(MASTER_DATABASE!$AZ$4:$AZ$1000,ROW()-3)&amp;"")</f>
        <v>हस्ताक्षर (सिग्नेचर) रीसाइज़, फोटो / फोटोशॉप / डिज़ाइन, सेवा</v>
      </c>
      <c r="O211" s="7" t="str">
        <f aca="false">IF(INDEX(MASTER_DATABASE!$A$4:$A$1000,ROW()-3)="","",INDEX(MASTER_DATABASE!$BA$4:$BA$1000,ROW()-3)&amp;"")</f>
        <v>Signature Resize, Photo / Photoshop / Design, Devmobile Stores</v>
      </c>
      <c r="P211" s="11" t="str">
        <f aca="false">IF(INDEX(MASTER_DATABASE!$A$4:$A$1000,ROW()-3)="","",INDEX(MASTER_DATABASE!$AP$4:$AP$1000,ROW()-3)&amp;"")</f>
        <v>📷</v>
      </c>
      <c r="Q211" s="7" t="str">
        <f aca="false">IF(INDEX(MASTER_DATABASE!$A$4:$A$1000,ROW()-3)="","",INDEX(MASTER_DATABASE!$BB$4:$BB$1000,ROW()-3)&amp;"")</f>
        <v/>
      </c>
      <c r="R211" s="11" t="str">
        <f aca="false">IF(INDEX(MASTER_DATABASE!$A$4:$A$1000,ROW()-3)="","",INDEX(MASTER_DATABASE!$BC$4:$BC$1000,ROW()-3)&amp;"")</f>
        <v>📷</v>
      </c>
      <c r="S211" s="11" t="n">
        <f aca="false">IF(INDEX(MASTER_DATABASE!$A$4:$A$1000,ROW()-3)="","",INDEX(MASTER_DATABASE!$AQ$4:$AQ$1000,ROW()-3))</f>
        <v>60</v>
      </c>
      <c r="T211" s="7" t="str">
        <f aca="false">IF(INDEX(MASTER_DATABASE!$A$4:$A$1000,ROW()-3)="","",INDEX(MASTER_DATABASE!$I$4:$I$1000,ROW()-3)&amp;"")</f>
        <v>Available</v>
      </c>
      <c r="U211" s="7" t="str">
        <f aca="false">IF(INDEX(MASTER_DATABASE!$A$4:$A$1000,ROW()-3)="","",INDEX(MASTER_DATABASE!$J$4:$J$1000,ROW()-3)&amp;"")</f>
        <v>Available</v>
      </c>
      <c r="V211" s="7" t="str">
        <f aca="false">IF(INDEX(MASTER_DATABASE!$A$4:$A$1000,ROW()-3)="","",INDEX(MASTER_DATABASE!$AG$4:$AG$1000,ROW()-3)&amp;"")</f>
        <v>Active</v>
      </c>
      <c r="W211" s="7" t="str">
        <f aca="false">IF(INDEX(MASTER_DATABASE!$A$4:$A$1000,ROW()-3)="","",INDEX(MASTER_DATABASE!$AH$4:$AH$1000,ROW()-3)&amp;"")</f>
        <v>Yes</v>
      </c>
      <c r="X211" s="7" t="str">
        <f aca="false">IF(INDEX(MASTER_DATABASE!$A$4:$A$1000,ROW()-3)="","",INDEX(MASTER_DATABASE!$AI$4:$AI$1000,ROW()-3)&amp;"")</f>
        <v>No</v>
      </c>
      <c r="Y211" s="7" t="str">
        <f aca="false">IF(INDEX(MASTER_DATABASE!$A$4:$A$1000,ROW()-3)="","",INDEX(MASTER_DATABASE!$AJ$4:$AJ$1000,ROW()-3)&amp;"")</f>
        <v>No</v>
      </c>
      <c r="Z211" s="7" t="str">
        <f aca="false">IF(INDEX(MASTER_DATABASE!$A$4:$A$1000,ROW()-3)="","",INDEX(MASTER_DATABASE!$AK$4:$AK$1000,ROW()-3)&amp;"")</f>
        <v>No</v>
      </c>
      <c r="AA211" s="7" t="str">
        <f aca="false">IF(INDEX(MASTER_DATABASE!$A$4:$A$1000,ROW()-3)="","",INDEX(MASTER_DATABASE!$BE$4:$BE$1000,ROW()-3)&amp;"")</f>
        <v>LIVE</v>
      </c>
    </row>
    <row r="212" customFormat="false" ht="46.25" hidden="false" customHeight="false" outlineLevel="0" collapsed="false">
      <c r="A212" s="11" t="str">
        <f aca="false">IF(INDEX(MASTER_DATABASE!$A$4:$A$1000,ROW()-3)="","",INDEX(MASTER_DATABASE!$A$4:$A$1000,ROW()-3)&amp;"")</f>
        <v>PHO-007</v>
      </c>
      <c r="B212" s="7" t="str">
        <f aca="false">IF(INDEX(MASTER_DATABASE!$A$4:$A$1000,ROW()-3)="","",INDEX(MASTER_DATABASE!$B$4:$B$1000,ROW()-3)&amp;"")</f>
        <v>Photo / Photoshop / Design</v>
      </c>
      <c r="C212" s="7" t="str">
        <f aca="false">IF(INDEX(MASTER_DATABASE!$A$4:$A$1000,ROW()-3)="","",INDEX(MASTER_DATABASE!$C$4:$C$1000,ROW()-3)&amp;"")</f>
        <v>Photo &amp; Design Services</v>
      </c>
      <c r="D212" s="7" t="str">
        <f aca="false">IF(INDEX(MASTER_DATABASE!$A$4:$A$1000,ROW()-3)="","",INDEX(MASTER_DATABASE!$D$4:$D$1000,ROW()-3)&amp;"")</f>
        <v>Photo Editing</v>
      </c>
      <c r="E212" s="7" t="str">
        <f aca="false">IF(INDEX(MASTER_DATABASE!$A$4:$A$1000,ROW()-3)="","",INDEX(MASTER_DATABASE!$E$4:$E$1000,ROW()-3)&amp;"")</f>
        <v>Background Change</v>
      </c>
      <c r="F212" s="7" t="str">
        <f aca="false">IF(INDEX(MASTER_DATABASE!$A$4:$A$1000,ROW()-3)="","",INDEX(MASTER_DATABASE!$F$4:$F$1000,ROW()-3)&amp;"")</f>
        <v>बैकग्राउंड बदलना</v>
      </c>
      <c r="G212" s="7" t="str">
        <f aca="false">IF(INDEX(MASTER_DATABASE!$A$4:$A$1000,ROW()-3)="","",INDEX(MASTER_DATABASE!$AL$4:$AL$1000,ROW()-3)&amp;"")</f>
        <v>Photo / Photoshop / Design</v>
      </c>
      <c r="H212" s="7" t="str">
        <f aca="false">IF(INDEX(MASTER_DATABASE!$A$4:$A$1000,ROW()-3)="","",INDEX(MASTER_DATABASE!$AM$4:$AM$1000,ROW()-3)&amp;"")</f>
        <v>Photo Editing</v>
      </c>
      <c r="I212" s="7" t="str">
        <f aca="false">IF(INDEX(MASTER_DATABASE!$A$4:$A$1000,ROW()-3)="","",INDEX(MASTER_DATABASE!$AO$4:$AO$1000,ROW()-3)&amp;"")</f>
        <v>background-change</v>
      </c>
      <c r="J212" s="7" t="str">
        <f aca="false">IF(INDEX(MASTER_DATABASE!$A$4:$A$1000,ROW()-3)="","",INDEX(MASTER_DATABASE!$BD$4:$BD$1000,ROW()-3)&amp;"")</f>
        <v>/services/background-change</v>
      </c>
      <c r="K212" s="7" t="str">
        <f aca="false">IF(INDEX(MASTER_DATABASE!$A$4:$A$1000,ROW()-3)="","",INDEX(MASTER_DATABASE!$AX$4:$AX$1000,ROW()-3)&amp;"")</f>
        <v>Background Change Service | Devmobile Stores</v>
      </c>
      <c r="L212" s="7" t="str">
        <f aca="false">IF(INDEX(MASTER_DATABASE!$A$4:$A$1000,ROW()-3)="","",INDEX(MASTER_DATABASE!$AY$4:$AY$1000,ROW()-3)&amp;"")</f>
        <v>Background Change (बैकग्राउंड बदलना) at Devmobile Stores and Common Service Center &amp; Aadhaar Centre. Check required documents, charges and process before you visit.</v>
      </c>
      <c r="M212" s="7" t="str">
        <f aca="false">IF(INDEX(MASTER_DATABASE!$A$4:$A$1000,ROW()-3)="","",INDEX(MASTER_DATABASE!$AN$4:$AN$1000,ROW()-3)&amp;"")</f>
        <v>Background Change, Photo / Photoshop / Design, Devmobile Stores, बैकग्राउंड बदलना, फोटो / फोटोशॉप / डिज़ाइन, सेवा</v>
      </c>
      <c r="N212" s="7" t="str">
        <f aca="false">IF(INDEX(MASTER_DATABASE!$A$4:$A$1000,ROW()-3)="","",INDEX(MASTER_DATABASE!$AZ$4:$AZ$1000,ROW()-3)&amp;"")</f>
        <v>बैकग्राउंड बदलना, फोटो / फोटोशॉप / डिज़ाइन, सेवा</v>
      </c>
      <c r="O212" s="7" t="str">
        <f aca="false">IF(INDEX(MASTER_DATABASE!$A$4:$A$1000,ROW()-3)="","",INDEX(MASTER_DATABASE!$BA$4:$BA$1000,ROW()-3)&amp;"")</f>
        <v>Background Change, Photo / Photoshop / Design, Devmobile Stores</v>
      </c>
      <c r="P212" s="11" t="str">
        <f aca="false">IF(INDEX(MASTER_DATABASE!$A$4:$A$1000,ROW()-3)="","",INDEX(MASTER_DATABASE!$AP$4:$AP$1000,ROW()-3)&amp;"")</f>
        <v>📷</v>
      </c>
      <c r="Q212" s="7" t="str">
        <f aca="false">IF(INDEX(MASTER_DATABASE!$A$4:$A$1000,ROW()-3)="","",INDEX(MASTER_DATABASE!$BB$4:$BB$1000,ROW()-3)&amp;"")</f>
        <v/>
      </c>
      <c r="R212" s="11" t="str">
        <f aca="false">IF(INDEX(MASTER_DATABASE!$A$4:$A$1000,ROW()-3)="","",INDEX(MASTER_DATABASE!$BC$4:$BC$1000,ROW()-3)&amp;"")</f>
        <v>📷</v>
      </c>
      <c r="S212" s="11" t="n">
        <f aca="false">IF(INDEX(MASTER_DATABASE!$A$4:$A$1000,ROW()-3)="","",INDEX(MASTER_DATABASE!$AQ$4:$AQ$1000,ROW()-3))</f>
        <v>70</v>
      </c>
      <c r="T212" s="7" t="str">
        <f aca="false">IF(INDEX(MASTER_DATABASE!$A$4:$A$1000,ROW()-3)="","",INDEX(MASTER_DATABASE!$I$4:$I$1000,ROW()-3)&amp;"")</f>
        <v>Available</v>
      </c>
      <c r="U212" s="7" t="str">
        <f aca="false">IF(INDEX(MASTER_DATABASE!$A$4:$A$1000,ROW()-3)="","",INDEX(MASTER_DATABASE!$J$4:$J$1000,ROW()-3)&amp;"")</f>
        <v>Available</v>
      </c>
      <c r="V212" s="7" t="str">
        <f aca="false">IF(INDEX(MASTER_DATABASE!$A$4:$A$1000,ROW()-3)="","",INDEX(MASTER_DATABASE!$AG$4:$AG$1000,ROW()-3)&amp;"")</f>
        <v>Active</v>
      </c>
      <c r="W212" s="7" t="str">
        <f aca="false">IF(INDEX(MASTER_DATABASE!$A$4:$A$1000,ROW()-3)="","",INDEX(MASTER_DATABASE!$AH$4:$AH$1000,ROW()-3)&amp;"")</f>
        <v>Yes</v>
      </c>
      <c r="X212" s="7" t="str">
        <f aca="false">IF(INDEX(MASTER_DATABASE!$A$4:$A$1000,ROW()-3)="","",INDEX(MASTER_DATABASE!$AI$4:$AI$1000,ROW()-3)&amp;"")</f>
        <v>No</v>
      </c>
      <c r="Y212" s="7" t="str">
        <f aca="false">IF(INDEX(MASTER_DATABASE!$A$4:$A$1000,ROW()-3)="","",INDEX(MASTER_DATABASE!$AJ$4:$AJ$1000,ROW()-3)&amp;"")</f>
        <v>No</v>
      </c>
      <c r="Z212" s="7" t="str">
        <f aca="false">IF(INDEX(MASTER_DATABASE!$A$4:$A$1000,ROW()-3)="","",INDEX(MASTER_DATABASE!$AK$4:$AK$1000,ROW()-3)&amp;"")</f>
        <v>No</v>
      </c>
      <c r="AA212" s="7" t="str">
        <f aca="false">IF(INDEX(MASTER_DATABASE!$A$4:$A$1000,ROW()-3)="","",INDEX(MASTER_DATABASE!$BE$4:$BE$1000,ROW()-3)&amp;"")</f>
        <v>LIVE</v>
      </c>
    </row>
    <row r="213" customFormat="false" ht="46.25" hidden="false" customHeight="false" outlineLevel="0" collapsed="false">
      <c r="A213" s="11" t="str">
        <f aca="false">IF(INDEX(MASTER_DATABASE!$A$4:$A$1000,ROW()-3)="","",INDEX(MASTER_DATABASE!$A$4:$A$1000,ROW()-3)&amp;"")</f>
        <v>PHO-008</v>
      </c>
      <c r="B213" s="7" t="str">
        <f aca="false">IF(INDEX(MASTER_DATABASE!$A$4:$A$1000,ROW()-3)="","",INDEX(MASTER_DATABASE!$B$4:$B$1000,ROW()-3)&amp;"")</f>
        <v>Photo / Photoshop / Design</v>
      </c>
      <c r="C213" s="7" t="str">
        <f aca="false">IF(INDEX(MASTER_DATABASE!$A$4:$A$1000,ROW()-3)="","",INDEX(MASTER_DATABASE!$C$4:$C$1000,ROW()-3)&amp;"")</f>
        <v>Photo &amp; Design Services</v>
      </c>
      <c r="D213" s="7" t="str">
        <f aca="false">IF(INDEX(MASTER_DATABASE!$A$4:$A$1000,ROW()-3)="","",INDEX(MASTER_DATABASE!$D$4:$D$1000,ROW()-3)&amp;"")</f>
        <v>Photo Editing</v>
      </c>
      <c r="E213" s="7" t="str">
        <f aca="false">IF(INDEX(MASTER_DATABASE!$A$4:$A$1000,ROW()-3)="","",INDEX(MASTER_DATABASE!$E$4:$E$1000,ROW()-3)&amp;"")</f>
        <v>Blue Background</v>
      </c>
      <c r="F213" s="7" t="str">
        <f aca="false">IF(INDEX(MASTER_DATABASE!$A$4:$A$1000,ROW()-3)="","",INDEX(MASTER_DATABASE!$F$4:$F$1000,ROW()-3)&amp;"")</f>
        <v>नीला बैकग्राउंड</v>
      </c>
      <c r="G213" s="7" t="str">
        <f aca="false">IF(INDEX(MASTER_DATABASE!$A$4:$A$1000,ROW()-3)="","",INDEX(MASTER_DATABASE!$AL$4:$AL$1000,ROW()-3)&amp;"")</f>
        <v>Photo / Photoshop / Design</v>
      </c>
      <c r="H213" s="7" t="str">
        <f aca="false">IF(INDEX(MASTER_DATABASE!$A$4:$A$1000,ROW()-3)="","",INDEX(MASTER_DATABASE!$AM$4:$AM$1000,ROW()-3)&amp;"")</f>
        <v>Photo Editing</v>
      </c>
      <c r="I213" s="7" t="str">
        <f aca="false">IF(INDEX(MASTER_DATABASE!$A$4:$A$1000,ROW()-3)="","",INDEX(MASTER_DATABASE!$AO$4:$AO$1000,ROW()-3)&amp;"")</f>
        <v>blue-background</v>
      </c>
      <c r="J213" s="7" t="str">
        <f aca="false">IF(INDEX(MASTER_DATABASE!$A$4:$A$1000,ROW()-3)="","",INDEX(MASTER_DATABASE!$BD$4:$BD$1000,ROW()-3)&amp;"")</f>
        <v>/services/blue-background</v>
      </c>
      <c r="K213" s="7" t="str">
        <f aca="false">IF(INDEX(MASTER_DATABASE!$A$4:$A$1000,ROW()-3)="","",INDEX(MASTER_DATABASE!$AX$4:$AX$1000,ROW()-3)&amp;"")</f>
        <v>Blue Background Service | Devmobile Stores</v>
      </c>
      <c r="L213" s="7" t="str">
        <f aca="false">IF(INDEX(MASTER_DATABASE!$A$4:$A$1000,ROW()-3)="","",INDEX(MASTER_DATABASE!$AY$4:$AY$1000,ROW()-3)&amp;"")</f>
        <v>Blue Background (नीला बैकग्राउंड) at Devmobile Stores and Common Service Center &amp; Aadhaar Centre. Check required documents, charges and process before you visit.</v>
      </c>
      <c r="M213" s="7" t="str">
        <f aca="false">IF(INDEX(MASTER_DATABASE!$A$4:$A$1000,ROW()-3)="","",INDEX(MASTER_DATABASE!$AN$4:$AN$1000,ROW()-3)&amp;"")</f>
        <v>Blue Background, Photo / Photoshop / Design, Devmobile Stores, नीला बैकग्राउंड, फोटो / फोटोशॉप / डिज़ाइन, सेवा</v>
      </c>
      <c r="N213" s="7" t="str">
        <f aca="false">IF(INDEX(MASTER_DATABASE!$A$4:$A$1000,ROW()-3)="","",INDEX(MASTER_DATABASE!$AZ$4:$AZ$1000,ROW()-3)&amp;"")</f>
        <v>नीला बैकग्राउंड, फोटो / फोटोशॉप / डिज़ाइन, सेवा</v>
      </c>
      <c r="O213" s="7" t="str">
        <f aca="false">IF(INDEX(MASTER_DATABASE!$A$4:$A$1000,ROW()-3)="","",INDEX(MASTER_DATABASE!$BA$4:$BA$1000,ROW()-3)&amp;"")</f>
        <v>Blue Background, Photo / Photoshop / Design, Devmobile Stores</v>
      </c>
      <c r="P213" s="11" t="str">
        <f aca="false">IF(INDEX(MASTER_DATABASE!$A$4:$A$1000,ROW()-3)="","",INDEX(MASTER_DATABASE!$AP$4:$AP$1000,ROW()-3)&amp;"")</f>
        <v>📷</v>
      </c>
      <c r="Q213" s="7" t="str">
        <f aca="false">IF(INDEX(MASTER_DATABASE!$A$4:$A$1000,ROW()-3)="","",INDEX(MASTER_DATABASE!$BB$4:$BB$1000,ROW()-3)&amp;"")</f>
        <v/>
      </c>
      <c r="R213" s="11" t="str">
        <f aca="false">IF(INDEX(MASTER_DATABASE!$A$4:$A$1000,ROW()-3)="","",INDEX(MASTER_DATABASE!$BC$4:$BC$1000,ROW()-3)&amp;"")</f>
        <v>📷</v>
      </c>
      <c r="S213" s="11" t="n">
        <f aca="false">IF(INDEX(MASTER_DATABASE!$A$4:$A$1000,ROW()-3)="","",INDEX(MASTER_DATABASE!$AQ$4:$AQ$1000,ROW()-3))</f>
        <v>80</v>
      </c>
      <c r="T213" s="7" t="str">
        <f aca="false">IF(INDEX(MASTER_DATABASE!$A$4:$A$1000,ROW()-3)="","",INDEX(MASTER_DATABASE!$I$4:$I$1000,ROW()-3)&amp;"")</f>
        <v>Available</v>
      </c>
      <c r="U213" s="7" t="str">
        <f aca="false">IF(INDEX(MASTER_DATABASE!$A$4:$A$1000,ROW()-3)="","",INDEX(MASTER_DATABASE!$J$4:$J$1000,ROW()-3)&amp;"")</f>
        <v>Available</v>
      </c>
      <c r="V213" s="7" t="str">
        <f aca="false">IF(INDEX(MASTER_DATABASE!$A$4:$A$1000,ROW()-3)="","",INDEX(MASTER_DATABASE!$AG$4:$AG$1000,ROW()-3)&amp;"")</f>
        <v>Active</v>
      </c>
      <c r="W213" s="7" t="str">
        <f aca="false">IF(INDEX(MASTER_DATABASE!$A$4:$A$1000,ROW()-3)="","",INDEX(MASTER_DATABASE!$AH$4:$AH$1000,ROW()-3)&amp;"")</f>
        <v>Yes</v>
      </c>
      <c r="X213" s="7" t="str">
        <f aca="false">IF(INDEX(MASTER_DATABASE!$A$4:$A$1000,ROW()-3)="","",INDEX(MASTER_DATABASE!$AI$4:$AI$1000,ROW()-3)&amp;"")</f>
        <v>No</v>
      </c>
      <c r="Y213" s="7" t="str">
        <f aca="false">IF(INDEX(MASTER_DATABASE!$A$4:$A$1000,ROW()-3)="","",INDEX(MASTER_DATABASE!$AJ$4:$AJ$1000,ROW()-3)&amp;"")</f>
        <v>No</v>
      </c>
      <c r="Z213" s="7" t="str">
        <f aca="false">IF(INDEX(MASTER_DATABASE!$A$4:$A$1000,ROW()-3)="","",INDEX(MASTER_DATABASE!$AK$4:$AK$1000,ROW()-3)&amp;"")</f>
        <v>No</v>
      </c>
      <c r="AA213" s="7" t="str">
        <f aca="false">IF(INDEX(MASTER_DATABASE!$A$4:$A$1000,ROW()-3)="","",INDEX(MASTER_DATABASE!$BE$4:$BE$1000,ROW()-3)&amp;"")</f>
        <v>LIVE</v>
      </c>
    </row>
    <row r="214" customFormat="false" ht="46.25" hidden="false" customHeight="false" outlineLevel="0" collapsed="false">
      <c r="A214" s="11" t="str">
        <f aca="false">IF(INDEX(MASTER_DATABASE!$A$4:$A$1000,ROW()-3)="","",INDEX(MASTER_DATABASE!$A$4:$A$1000,ROW()-3)&amp;"")</f>
        <v>PHO-009</v>
      </c>
      <c r="B214" s="7" t="str">
        <f aca="false">IF(INDEX(MASTER_DATABASE!$A$4:$A$1000,ROW()-3)="","",INDEX(MASTER_DATABASE!$B$4:$B$1000,ROW()-3)&amp;"")</f>
        <v>Photo / Photoshop / Design</v>
      </c>
      <c r="C214" s="7" t="str">
        <f aca="false">IF(INDEX(MASTER_DATABASE!$A$4:$A$1000,ROW()-3)="","",INDEX(MASTER_DATABASE!$C$4:$C$1000,ROW()-3)&amp;"")</f>
        <v>Photo &amp; Design Services</v>
      </c>
      <c r="D214" s="7" t="str">
        <f aca="false">IF(INDEX(MASTER_DATABASE!$A$4:$A$1000,ROW()-3)="","",INDEX(MASTER_DATABASE!$D$4:$D$1000,ROW()-3)&amp;"")</f>
        <v>Photo Editing</v>
      </c>
      <c r="E214" s="7" t="str">
        <f aca="false">IF(INDEX(MASTER_DATABASE!$A$4:$A$1000,ROW()-3)="","",INDEX(MASTER_DATABASE!$E$4:$E$1000,ROW()-3)&amp;"")</f>
        <v>White Background</v>
      </c>
      <c r="F214" s="7" t="str">
        <f aca="false">IF(INDEX(MASTER_DATABASE!$A$4:$A$1000,ROW()-3)="","",INDEX(MASTER_DATABASE!$F$4:$F$1000,ROW()-3)&amp;"")</f>
        <v>सफेद बैकग्राउंड</v>
      </c>
      <c r="G214" s="7" t="str">
        <f aca="false">IF(INDEX(MASTER_DATABASE!$A$4:$A$1000,ROW()-3)="","",INDEX(MASTER_DATABASE!$AL$4:$AL$1000,ROW()-3)&amp;"")</f>
        <v>Photo / Photoshop / Design</v>
      </c>
      <c r="H214" s="7" t="str">
        <f aca="false">IF(INDEX(MASTER_DATABASE!$A$4:$A$1000,ROW()-3)="","",INDEX(MASTER_DATABASE!$AM$4:$AM$1000,ROW()-3)&amp;"")</f>
        <v>Photo Editing</v>
      </c>
      <c r="I214" s="7" t="str">
        <f aca="false">IF(INDEX(MASTER_DATABASE!$A$4:$A$1000,ROW()-3)="","",INDEX(MASTER_DATABASE!$AO$4:$AO$1000,ROW()-3)&amp;"")</f>
        <v>white-background</v>
      </c>
      <c r="J214" s="7" t="str">
        <f aca="false">IF(INDEX(MASTER_DATABASE!$A$4:$A$1000,ROW()-3)="","",INDEX(MASTER_DATABASE!$BD$4:$BD$1000,ROW()-3)&amp;"")</f>
        <v>/services/white-background</v>
      </c>
      <c r="K214" s="7" t="str">
        <f aca="false">IF(INDEX(MASTER_DATABASE!$A$4:$A$1000,ROW()-3)="","",INDEX(MASTER_DATABASE!$AX$4:$AX$1000,ROW()-3)&amp;"")</f>
        <v>White Background Service | Devmobile Stores</v>
      </c>
      <c r="L214" s="7" t="str">
        <f aca="false">IF(INDEX(MASTER_DATABASE!$A$4:$A$1000,ROW()-3)="","",INDEX(MASTER_DATABASE!$AY$4:$AY$1000,ROW()-3)&amp;"")</f>
        <v>White Background (सफेद बैकग्राउंड) at Devmobile Stores and Common Service Center &amp; Aadhaar Centre. Check required documents, charges and process before you visit.</v>
      </c>
      <c r="M214" s="7" t="str">
        <f aca="false">IF(INDEX(MASTER_DATABASE!$A$4:$A$1000,ROW()-3)="","",INDEX(MASTER_DATABASE!$AN$4:$AN$1000,ROW()-3)&amp;"")</f>
        <v>White Background, Photo / Photoshop / Design, Devmobile Stores, सफेद बैकग्राउंड, फोटो / फोटोशॉप / डिज़ाइन, सेवा</v>
      </c>
      <c r="N214" s="7" t="str">
        <f aca="false">IF(INDEX(MASTER_DATABASE!$A$4:$A$1000,ROW()-3)="","",INDEX(MASTER_DATABASE!$AZ$4:$AZ$1000,ROW()-3)&amp;"")</f>
        <v>सफेद बैकग्राउंड, फोटो / फोटोशॉप / डिज़ाइन, सेवा</v>
      </c>
      <c r="O214" s="7" t="str">
        <f aca="false">IF(INDEX(MASTER_DATABASE!$A$4:$A$1000,ROW()-3)="","",INDEX(MASTER_DATABASE!$BA$4:$BA$1000,ROW()-3)&amp;"")</f>
        <v>White Background, Photo / Photoshop / Design, Devmobile Stores</v>
      </c>
      <c r="P214" s="11" t="str">
        <f aca="false">IF(INDEX(MASTER_DATABASE!$A$4:$A$1000,ROW()-3)="","",INDEX(MASTER_DATABASE!$AP$4:$AP$1000,ROW()-3)&amp;"")</f>
        <v>📷</v>
      </c>
      <c r="Q214" s="7" t="str">
        <f aca="false">IF(INDEX(MASTER_DATABASE!$A$4:$A$1000,ROW()-3)="","",INDEX(MASTER_DATABASE!$BB$4:$BB$1000,ROW()-3)&amp;"")</f>
        <v/>
      </c>
      <c r="R214" s="11" t="str">
        <f aca="false">IF(INDEX(MASTER_DATABASE!$A$4:$A$1000,ROW()-3)="","",INDEX(MASTER_DATABASE!$BC$4:$BC$1000,ROW()-3)&amp;"")</f>
        <v>📷</v>
      </c>
      <c r="S214" s="11" t="n">
        <f aca="false">IF(INDEX(MASTER_DATABASE!$A$4:$A$1000,ROW()-3)="","",INDEX(MASTER_DATABASE!$AQ$4:$AQ$1000,ROW()-3))</f>
        <v>90</v>
      </c>
      <c r="T214" s="7" t="str">
        <f aca="false">IF(INDEX(MASTER_DATABASE!$A$4:$A$1000,ROW()-3)="","",INDEX(MASTER_DATABASE!$I$4:$I$1000,ROW()-3)&amp;"")</f>
        <v>Available</v>
      </c>
      <c r="U214" s="7" t="str">
        <f aca="false">IF(INDEX(MASTER_DATABASE!$A$4:$A$1000,ROW()-3)="","",INDEX(MASTER_DATABASE!$J$4:$J$1000,ROW()-3)&amp;"")</f>
        <v>Available</v>
      </c>
      <c r="V214" s="7" t="str">
        <f aca="false">IF(INDEX(MASTER_DATABASE!$A$4:$A$1000,ROW()-3)="","",INDEX(MASTER_DATABASE!$AG$4:$AG$1000,ROW()-3)&amp;"")</f>
        <v>Active</v>
      </c>
      <c r="W214" s="7" t="str">
        <f aca="false">IF(INDEX(MASTER_DATABASE!$A$4:$A$1000,ROW()-3)="","",INDEX(MASTER_DATABASE!$AH$4:$AH$1000,ROW()-3)&amp;"")</f>
        <v>Yes</v>
      </c>
      <c r="X214" s="7" t="str">
        <f aca="false">IF(INDEX(MASTER_DATABASE!$A$4:$A$1000,ROW()-3)="","",INDEX(MASTER_DATABASE!$AI$4:$AI$1000,ROW()-3)&amp;"")</f>
        <v>No</v>
      </c>
      <c r="Y214" s="7" t="str">
        <f aca="false">IF(INDEX(MASTER_DATABASE!$A$4:$A$1000,ROW()-3)="","",INDEX(MASTER_DATABASE!$AJ$4:$AJ$1000,ROW()-3)&amp;"")</f>
        <v>No</v>
      </c>
      <c r="Z214" s="7" t="str">
        <f aca="false">IF(INDEX(MASTER_DATABASE!$A$4:$A$1000,ROW()-3)="","",INDEX(MASTER_DATABASE!$AK$4:$AK$1000,ROW()-3)&amp;"")</f>
        <v>No</v>
      </c>
      <c r="AA214" s="7" t="str">
        <f aca="false">IF(INDEX(MASTER_DATABASE!$A$4:$A$1000,ROW()-3)="","",INDEX(MASTER_DATABASE!$BE$4:$BE$1000,ROW()-3)&amp;"")</f>
        <v>LIVE</v>
      </c>
    </row>
    <row r="215" customFormat="false" ht="46.25" hidden="false" customHeight="false" outlineLevel="0" collapsed="false">
      <c r="A215" s="11" t="str">
        <f aca="false">IF(INDEX(MASTER_DATABASE!$A$4:$A$1000,ROW()-3)="","",INDEX(MASTER_DATABASE!$A$4:$A$1000,ROW()-3)&amp;"")</f>
        <v>PHO-010</v>
      </c>
      <c r="B215" s="7" t="str">
        <f aca="false">IF(INDEX(MASTER_DATABASE!$A$4:$A$1000,ROW()-3)="","",INDEX(MASTER_DATABASE!$B$4:$B$1000,ROW()-3)&amp;"")</f>
        <v>Photo / Photoshop / Design</v>
      </c>
      <c r="C215" s="7" t="str">
        <f aca="false">IF(INDEX(MASTER_DATABASE!$A$4:$A$1000,ROW()-3)="","",INDEX(MASTER_DATABASE!$C$4:$C$1000,ROW()-3)&amp;"")</f>
        <v>Photo &amp; Design Services</v>
      </c>
      <c r="D215" s="7" t="str">
        <f aca="false">IF(INDEX(MASTER_DATABASE!$A$4:$A$1000,ROW()-3)="","",INDEX(MASTER_DATABASE!$D$4:$D$1000,ROW()-3)&amp;"")</f>
        <v>Photo Editing</v>
      </c>
      <c r="E215" s="7" t="str">
        <f aca="false">IF(INDEX(MASTER_DATABASE!$A$4:$A$1000,ROW()-3)="","",INDEX(MASTER_DATABASE!$E$4:$E$1000,ROW()-3)&amp;"")</f>
        <v>Photo Retouching</v>
      </c>
      <c r="F215" s="7" t="str">
        <f aca="false">IF(INDEX(MASTER_DATABASE!$A$4:$A$1000,ROW()-3)="","",INDEX(MASTER_DATABASE!$F$4:$F$1000,ROW()-3)&amp;"")</f>
        <v>फोटो रीटचिंग</v>
      </c>
      <c r="G215" s="7" t="str">
        <f aca="false">IF(INDEX(MASTER_DATABASE!$A$4:$A$1000,ROW()-3)="","",INDEX(MASTER_DATABASE!$AL$4:$AL$1000,ROW()-3)&amp;"")</f>
        <v>Photo / Photoshop / Design</v>
      </c>
      <c r="H215" s="7" t="str">
        <f aca="false">IF(INDEX(MASTER_DATABASE!$A$4:$A$1000,ROW()-3)="","",INDEX(MASTER_DATABASE!$AM$4:$AM$1000,ROW()-3)&amp;"")</f>
        <v>Photo Editing</v>
      </c>
      <c r="I215" s="7" t="str">
        <f aca="false">IF(INDEX(MASTER_DATABASE!$A$4:$A$1000,ROW()-3)="","",INDEX(MASTER_DATABASE!$AO$4:$AO$1000,ROW()-3)&amp;"")</f>
        <v>photo-retouching</v>
      </c>
      <c r="J215" s="7" t="str">
        <f aca="false">IF(INDEX(MASTER_DATABASE!$A$4:$A$1000,ROW()-3)="","",INDEX(MASTER_DATABASE!$BD$4:$BD$1000,ROW()-3)&amp;"")</f>
        <v>/services/photo-retouching</v>
      </c>
      <c r="K215" s="7" t="str">
        <f aca="false">IF(INDEX(MASTER_DATABASE!$A$4:$A$1000,ROW()-3)="","",INDEX(MASTER_DATABASE!$AX$4:$AX$1000,ROW()-3)&amp;"")</f>
        <v>Photo Retouching Service | Devmobile Stores</v>
      </c>
      <c r="L215" s="7" t="str">
        <f aca="false">IF(INDEX(MASTER_DATABASE!$A$4:$A$1000,ROW()-3)="","",INDEX(MASTER_DATABASE!$AY$4:$AY$1000,ROW()-3)&amp;"")</f>
        <v>Photo Retouching (फोटो रीटचिंग) at Devmobile Stores and Common Service Center &amp; Aadhaar Centre. Check required documents, charges and process before you visit.</v>
      </c>
      <c r="M215" s="7" t="str">
        <f aca="false">IF(INDEX(MASTER_DATABASE!$A$4:$A$1000,ROW()-3)="","",INDEX(MASTER_DATABASE!$AN$4:$AN$1000,ROW()-3)&amp;"")</f>
        <v>Photo Retouching, Photo / Photoshop / Design, Devmobile Stores, फोटो रीटचिंग, फोटो / फोटोशॉप / डिज़ाइन, सेवा</v>
      </c>
      <c r="N215" s="7" t="str">
        <f aca="false">IF(INDEX(MASTER_DATABASE!$A$4:$A$1000,ROW()-3)="","",INDEX(MASTER_DATABASE!$AZ$4:$AZ$1000,ROW()-3)&amp;"")</f>
        <v>फोटो रीटचिंग, फोटो / फोटोशॉप / डिज़ाइन, सेवा</v>
      </c>
      <c r="O215" s="7" t="str">
        <f aca="false">IF(INDEX(MASTER_DATABASE!$A$4:$A$1000,ROW()-3)="","",INDEX(MASTER_DATABASE!$BA$4:$BA$1000,ROW()-3)&amp;"")</f>
        <v>Photo Retouching, Photo / Photoshop / Design, Devmobile Stores</v>
      </c>
      <c r="P215" s="11" t="str">
        <f aca="false">IF(INDEX(MASTER_DATABASE!$A$4:$A$1000,ROW()-3)="","",INDEX(MASTER_DATABASE!$AP$4:$AP$1000,ROW()-3)&amp;"")</f>
        <v>📷</v>
      </c>
      <c r="Q215" s="7" t="str">
        <f aca="false">IF(INDEX(MASTER_DATABASE!$A$4:$A$1000,ROW()-3)="","",INDEX(MASTER_DATABASE!$BB$4:$BB$1000,ROW()-3)&amp;"")</f>
        <v/>
      </c>
      <c r="R215" s="11" t="str">
        <f aca="false">IF(INDEX(MASTER_DATABASE!$A$4:$A$1000,ROW()-3)="","",INDEX(MASTER_DATABASE!$BC$4:$BC$1000,ROW()-3)&amp;"")</f>
        <v>📷</v>
      </c>
      <c r="S215" s="11" t="n">
        <f aca="false">IF(INDEX(MASTER_DATABASE!$A$4:$A$1000,ROW()-3)="","",INDEX(MASTER_DATABASE!$AQ$4:$AQ$1000,ROW()-3))</f>
        <v>100</v>
      </c>
      <c r="T215" s="7" t="str">
        <f aca="false">IF(INDEX(MASTER_DATABASE!$A$4:$A$1000,ROW()-3)="","",INDEX(MASTER_DATABASE!$I$4:$I$1000,ROW()-3)&amp;"")</f>
        <v>Available</v>
      </c>
      <c r="U215" s="7" t="str">
        <f aca="false">IF(INDEX(MASTER_DATABASE!$A$4:$A$1000,ROW()-3)="","",INDEX(MASTER_DATABASE!$J$4:$J$1000,ROW()-3)&amp;"")</f>
        <v>Available</v>
      </c>
      <c r="V215" s="7" t="str">
        <f aca="false">IF(INDEX(MASTER_DATABASE!$A$4:$A$1000,ROW()-3)="","",INDEX(MASTER_DATABASE!$AG$4:$AG$1000,ROW()-3)&amp;"")</f>
        <v>Active</v>
      </c>
      <c r="W215" s="7" t="str">
        <f aca="false">IF(INDEX(MASTER_DATABASE!$A$4:$A$1000,ROW()-3)="","",INDEX(MASTER_DATABASE!$AH$4:$AH$1000,ROW()-3)&amp;"")</f>
        <v>Yes</v>
      </c>
      <c r="X215" s="7" t="str">
        <f aca="false">IF(INDEX(MASTER_DATABASE!$A$4:$A$1000,ROW()-3)="","",INDEX(MASTER_DATABASE!$AI$4:$AI$1000,ROW()-3)&amp;"")</f>
        <v>No</v>
      </c>
      <c r="Y215" s="7" t="str">
        <f aca="false">IF(INDEX(MASTER_DATABASE!$A$4:$A$1000,ROW()-3)="","",INDEX(MASTER_DATABASE!$AJ$4:$AJ$1000,ROW()-3)&amp;"")</f>
        <v>No</v>
      </c>
      <c r="Z215" s="7" t="str">
        <f aca="false">IF(INDEX(MASTER_DATABASE!$A$4:$A$1000,ROW()-3)="","",INDEX(MASTER_DATABASE!$AK$4:$AK$1000,ROW()-3)&amp;"")</f>
        <v>No</v>
      </c>
      <c r="AA215" s="7" t="str">
        <f aca="false">IF(INDEX(MASTER_DATABASE!$A$4:$A$1000,ROW()-3)="","",INDEX(MASTER_DATABASE!$BE$4:$BE$1000,ROW()-3)&amp;"")</f>
        <v>LIVE</v>
      </c>
    </row>
    <row r="216" customFormat="false" ht="46.25" hidden="false" customHeight="false" outlineLevel="0" collapsed="false">
      <c r="A216" s="11" t="str">
        <f aca="false">IF(INDEX(MASTER_DATABASE!$A$4:$A$1000,ROW()-3)="","",INDEX(MASTER_DATABASE!$A$4:$A$1000,ROW()-3)&amp;"")</f>
        <v>PHO-011</v>
      </c>
      <c r="B216" s="7" t="str">
        <f aca="false">IF(INDEX(MASTER_DATABASE!$A$4:$A$1000,ROW()-3)="","",INDEX(MASTER_DATABASE!$B$4:$B$1000,ROW()-3)&amp;"")</f>
        <v>Photo / Photoshop / Design</v>
      </c>
      <c r="C216" s="7" t="str">
        <f aca="false">IF(INDEX(MASTER_DATABASE!$A$4:$A$1000,ROW()-3)="","",INDEX(MASTER_DATABASE!$C$4:$C$1000,ROW()-3)&amp;"")</f>
        <v>Photo &amp; Design Services</v>
      </c>
      <c r="D216" s="7" t="str">
        <f aca="false">IF(INDEX(MASTER_DATABASE!$A$4:$A$1000,ROW()-3)="","",INDEX(MASTER_DATABASE!$D$4:$D$1000,ROW()-3)&amp;"")</f>
        <v>Photo Editing</v>
      </c>
      <c r="E216" s="7" t="str">
        <f aca="false">IF(INDEX(MASTER_DATABASE!$A$4:$A$1000,ROW()-3)="","",INDEX(MASTER_DATABASE!$E$4:$E$1000,ROW()-3)&amp;"")</f>
        <v>Face Cleanup</v>
      </c>
      <c r="F216" s="7" t="str">
        <f aca="false">IF(INDEX(MASTER_DATABASE!$A$4:$A$1000,ROW()-3)="","",INDEX(MASTER_DATABASE!$F$4:$F$1000,ROW()-3)&amp;"")</f>
        <v>फेस क्लीनअप</v>
      </c>
      <c r="G216" s="7" t="str">
        <f aca="false">IF(INDEX(MASTER_DATABASE!$A$4:$A$1000,ROW()-3)="","",INDEX(MASTER_DATABASE!$AL$4:$AL$1000,ROW()-3)&amp;"")</f>
        <v>Photo / Photoshop / Design</v>
      </c>
      <c r="H216" s="7" t="str">
        <f aca="false">IF(INDEX(MASTER_DATABASE!$A$4:$A$1000,ROW()-3)="","",INDEX(MASTER_DATABASE!$AM$4:$AM$1000,ROW()-3)&amp;"")</f>
        <v>Photo Editing</v>
      </c>
      <c r="I216" s="7" t="str">
        <f aca="false">IF(INDEX(MASTER_DATABASE!$A$4:$A$1000,ROW()-3)="","",INDEX(MASTER_DATABASE!$AO$4:$AO$1000,ROW()-3)&amp;"")</f>
        <v>face-cleanup</v>
      </c>
      <c r="J216" s="7" t="str">
        <f aca="false">IF(INDEX(MASTER_DATABASE!$A$4:$A$1000,ROW()-3)="","",INDEX(MASTER_DATABASE!$BD$4:$BD$1000,ROW()-3)&amp;"")</f>
        <v>/services/face-cleanup</v>
      </c>
      <c r="K216" s="7" t="str">
        <f aca="false">IF(INDEX(MASTER_DATABASE!$A$4:$A$1000,ROW()-3)="","",INDEX(MASTER_DATABASE!$AX$4:$AX$1000,ROW()-3)&amp;"")</f>
        <v>Face Cleanup Service | Devmobile Stores</v>
      </c>
      <c r="L216" s="7" t="str">
        <f aca="false">IF(INDEX(MASTER_DATABASE!$A$4:$A$1000,ROW()-3)="","",INDEX(MASTER_DATABASE!$AY$4:$AY$1000,ROW()-3)&amp;"")</f>
        <v>Face Cleanup (फेस क्लीनअप) at Devmobile Stores and Common Service Center &amp; Aadhaar Centre. Check required documents, charges and process before you visit.</v>
      </c>
      <c r="M216" s="7" t="str">
        <f aca="false">IF(INDEX(MASTER_DATABASE!$A$4:$A$1000,ROW()-3)="","",INDEX(MASTER_DATABASE!$AN$4:$AN$1000,ROW()-3)&amp;"")</f>
        <v>Face Cleanup, Photo / Photoshop / Design, Devmobile Stores, फेस क्लीनअप, फोटो / फोटोशॉप / डिज़ाइन, सेवा</v>
      </c>
      <c r="N216" s="7" t="str">
        <f aca="false">IF(INDEX(MASTER_DATABASE!$A$4:$A$1000,ROW()-3)="","",INDEX(MASTER_DATABASE!$AZ$4:$AZ$1000,ROW()-3)&amp;"")</f>
        <v>फेस क्लीनअप, फोटो / फोटोशॉप / डिज़ाइन, सेवा</v>
      </c>
      <c r="O216" s="7" t="str">
        <f aca="false">IF(INDEX(MASTER_DATABASE!$A$4:$A$1000,ROW()-3)="","",INDEX(MASTER_DATABASE!$BA$4:$BA$1000,ROW()-3)&amp;"")</f>
        <v>Face Cleanup, Photo / Photoshop / Design, Devmobile Stores</v>
      </c>
      <c r="P216" s="11" t="str">
        <f aca="false">IF(INDEX(MASTER_DATABASE!$A$4:$A$1000,ROW()-3)="","",INDEX(MASTER_DATABASE!$AP$4:$AP$1000,ROW()-3)&amp;"")</f>
        <v>📷</v>
      </c>
      <c r="Q216" s="7" t="str">
        <f aca="false">IF(INDEX(MASTER_DATABASE!$A$4:$A$1000,ROW()-3)="","",INDEX(MASTER_DATABASE!$BB$4:$BB$1000,ROW()-3)&amp;"")</f>
        <v/>
      </c>
      <c r="R216" s="11" t="str">
        <f aca="false">IF(INDEX(MASTER_DATABASE!$A$4:$A$1000,ROW()-3)="","",INDEX(MASTER_DATABASE!$BC$4:$BC$1000,ROW()-3)&amp;"")</f>
        <v>📷</v>
      </c>
      <c r="S216" s="11" t="n">
        <f aca="false">IF(INDEX(MASTER_DATABASE!$A$4:$A$1000,ROW()-3)="","",INDEX(MASTER_DATABASE!$AQ$4:$AQ$1000,ROW()-3))</f>
        <v>110</v>
      </c>
      <c r="T216" s="7" t="str">
        <f aca="false">IF(INDEX(MASTER_DATABASE!$A$4:$A$1000,ROW()-3)="","",INDEX(MASTER_DATABASE!$I$4:$I$1000,ROW()-3)&amp;"")</f>
        <v>Available</v>
      </c>
      <c r="U216" s="7" t="str">
        <f aca="false">IF(INDEX(MASTER_DATABASE!$A$4:$A$1000,ROW()-3)="","",INDEX(MASTER_DATABASE!$J$4:$J$1000,ROW()-3)&amp;"")</f>
        <v>Available</v>
      </c>
      <c r="V216" s="7" t="str">
        <f aca="false">IF(INDEX(MASTER_DATABASE!$A$4:$A$1000,ROW()-3)="","",INDEX(MASTER_DATABASE!$AG$4:$AG$1000,ROW()-3)&amp;"")</f>
        <v>Active</v>
      </c>
      <c r="W216" s="7" t="str">
        <f aca="false">IF(INDEX(MASTER_DATABASE!$A$4:$A$1000,ROW()-3)="","",INDEX(MASTER_DATABASE!$AH$4:$AH$1000,ROW()-3)&amp;"")</f>
        <v>Yes</v>
      </c>
      <c r="X216" s="7" t="str">
        <f aca="false">IF(INDEX(MASTER_DATABASE!$A$4:$A$1000,ROW()-3)="","",INDEX(MASTER_DATABASE!$AI$4:$AI$1000,ROW()-3)&amp;"")</f>
        <v>No</v>
      </c>
      <c r="Y216" s="7" t="str">
        <f aca="false">IF(INDEX(MASTER_DATABASE!$A$4:$A$1000,ROW()-3)="","",INDEX(MASTER_DATABASE!$AJ$4:$AJ$1000,ROW()-3)&amp;"")</f>
        <v>No</v>
      </c>
      <c r="Z216" s="7" t="str">
        <f aca="false">IF(INDEX(MASTER_DATABASE!$A$4:$A$1000,ROW()-3)="","",INDEX(MASTER_DATABASE!$AK$4:$AK$1000,ROW()-3)&amp;"")</f>
        <v>No</v>
      </c>
      <c r="AA216" s="7" t="str">
        <f aca="false">IF(INDEX(MASTER_DATABASE!$A$4:$A$1000,ROW()-3)="","",INDEX(MASTER_DATABASE!$BE$4:$BE$1000,ROW()-3)&amp;"")</f>
        <v>LIVE</v>
      </c>
    </row>
    <row r="217" customFormat="false" ht="46.25" hidden="false" customHeight="false" outlineLevel="0" collapsed="false">
      <c r="A217" s="11" t="str">
        <f aca="false">IF(INDEX(MASTER_DATABASE!$A$4:$A$1000,ROW()-3)="","",INDEX(MASTER_DATABASE!$A$4:$A$1000,ROW()-3)&amp;"")</f>
        <v>PHO-012</v>
      </c>
      <c r="B217" s="7" t="str">
        <f aca="false">IF(INDEX(MASTER_DATABASE!$A$4:$A$1000,ROW()-3)="","",INDEX(MASTER_DATABASE!$B$4:$B$1000,ROW()-3)&amp;"")</f>
        <v>Photo / Photoshop / Design</v>
      </c>
      <c r="C217" s="7" t="str">
        <f aca="false">IF(INDEX(MASTER_DATABASE!$A$4:$A$1000,ROW()-3)="","",INDEX(MASTER_DATABASE!$C$4:$C$1000,ROW()-3)&amp;"")</f>
        <v>Photo &amp; Design Services</v>
      </c>
      <c r="D217" s="7" t="str">
        <f aca="false">IF(INDEX(MASTER_DATABASE!$A$4:$A$1000,ROW()-3)="","",INDEX(MASTER_DATABASE!$D$4:$D$1000,ROW()-3)&amp;"")</f>
        <v>Photo Editing</v>
      </c>
      <c r="E217" s="7" t="str">
        <f aca="false">IF(INDEX(MASTER_DATABASE!$A$4:$A$1000,ROW()-3)="","",INDEX(MASTER_DATABASE!$E$4:$E$1000,ROW()-3)&amp;"")</f>
        <v>Photo Enhancement</v>
      </c>
      <c r="F217" s="7" t="str">
        <f aca="false">IF(INDEX(MASTER_DATABASE!$A$4:$A$1000,ROW()-3)="","",INDEX(MASTER_DATABASE!$F$4:$F$1000,ROW()-3)&amp;"")</f>
        <v>फोटो एन्हांसमेंट</v>
      </c>
      <c r="G217" s="7" t="str">
        <f aca="false">IF(INDEX(MASTER_DATABASE!$A$4:$A$1000,ROW()-3)="","",INDEX(MASTER_DATABASE!$AL$4:$AL$1000,ROW()-3)&amp;"")</f>
        <v>Photo / Photoshop / Design</v>
      </c>
      <c r="H217" s="7" t="str">
        <f aca="false">IF(INDEX(MASTER_DATABASE!$A$4:$A$1000,ROW()-3)="","",INDEX(MASTER_DATABASE!$AM$4:$AM$1000,ROW()-3)&amp;"")</f>
        <v>Photo Editing</v>
      </c>
      <c r="I217" s="7" t="str">
        <f aca="false">IF(INDEX(MASTER_DATABASE!$A$4:$A$1000,ROW()-3)="","",INDEX(MASTER_DATABASE!$AO$4:$AO$1000,ROW()-3)&amp;"")</f>
        <v>photo-enhancement</v>
      </c>
      <c r="J217" s="7" t="str">
        <f aca="false">IF(INDEX(MASTER_DATABASE!$A$4:$A$1000,ROW()-3)="","",INDEX(MASTER_DATABASE!$BD$4:$BD$1000,ROW()-3)&amp;"")</f>
        <v>/services/photo-enhancement</v>
      </c>
      <c r="K217" s="7" t="str">
        <f aca="false">IF(INDEX(MASTER_DATABASE!$A$4:$A$1000,ROW()-3)="","",INDEX(MASTER_DATABASE!$AX$4:$AX$1000,ROW()-3)&amp;"")</f>
        <v>Photo Enhancement Service | Devmobile Stores</v>
      </c>
      <c r="L217" s="7" t="str">
        <f aca="false">IF(INDEX(MASTER_DATABASE!$A$4:$A$1000,ROW()-3)="","",INDEX(MASTER_DATABASE!$AY$4:$AY$1000,ROW()-3)&amp;"")</f>
        <v>Photo Enhancement (फोटो एन्हांसमेंट) at Devmobile Stores and Common Service Center &amp; Aadhaar Centre. Check required documents, charges and process before you visit.</v>
      </c>
      <c r="M217" s="7" t="str">
        <f aca="false">IF(INDEX(MASTER_DATABASE!$A$4:$A$1000,ROW()-3)="","",INDEX(MASTER_DATABASE!$AN$4:$AN$1000,ROW()-3)&amp;"")</f>
        <v>Photo Enhancement, Photo / Photoshop / Design, Devmobile Stores, फोटो एन्हांसमेंट, फोटो / फोटोशॉप / डिज़ाइन, सेवा</v>
      </c>
      <c r="N217" s="7" t="str">
        <f aca="false">IF(INDEX(MASTER_DATABASE!$A$4:$A$1000,ROW()-3)="","",INDEX(MASTER_DATABASE!$AZ$4:$AZ$1000,ROW()-3)&amp;"")</f>
        <v>फोटो एन्हांसमेंट, फोटो / फोटोशॉप / डिज़ाइन, सेवा</v>
      </c>
      <c r="O217" s="7" t="str">
        <f aca="false">IF(INDEX(MASTER_DATABASE!$A$4:$A$1000,ROW()-3)="","",INDEX(MASTER_DATABASE!$BA$4:$BA$1000,ROW()-3)&amp;"")</f>
        <v>Photo Enhancement, Photo / Photoshop / Design, Devmobile Stores</v>
      </c>
      <c r="P217" s="11" t="str">
        <f aca="false">IF(INDEX(MASTER_DATABASE!$A$4:$A$1000,ROW()-3)="","",INDEX(MASTER_DATABASE!$AP$4:$AP$1000,ROW()-3)&amp;"")</f>
        <v>📷</v>
      </c>
      <c r="Q217" s="7" t="str">
        <f aca="false">IF(INDEX(MASTER_DATABASE!$A$4:$A$1000,ROW()-3)="","",INDEX(MASTER_DATABASE!$BB$4:$BB$1000,ROW()-3)&amp;"")</f>
        <v/>
      </c>
      <c r="R217" s="11" t="str">
        <f aca="false">IF(INDEX(MASTER_DATABASE!$A$4:$A$1000,ROW()-3)="","",INDEX(MASTER_DATABASE!$BC$4:$BC$1000,ROW()-3)&amp;"")</f>
        <v>📷</v>
      </c>
      <c r="S217" s="11" t="n">
        <f aca="false">IF(INDEX(MASTER_DATABASE!$A$4:$A$1000,ROW()-3)="","",INDEX(MASTER_DATABASE!$AQ$4:$AQ$1000,ROW()-3))</f>
        <v>120</v>
      </c>
      <c r="T217" s="7" t="str">
        <f aca="false">IF(INDEX(MASTER_DATABASE!$A$4:$A$1000,ROW()-3)="","",INDEX(MASTER_DATABASE!$I$4:$I$1000,ROW()-3)&amp;"")</f>
        <v>Available</v>
      </c>
      <c r="U217" s="7" t="str">
        <f aca="false">IF(INDEX(MASTER_DATABASE!$A$4:$A$1000,ROW()-3)="","",INDEX(MASTER_DATABASE!$J$4:$J$1000,ROW()-3)&amp;"")</f>
        <v>Available</v>
      </c>
      <c r="V217" s="7" t="str">
        <f aca="false">IF(INDEX(MASTER_DATABASE!$A$4:$A$1000,ROW()-3)="","",INDEX(MASTER_DATABASE!$AG$4:$AG$1000,ROW()-3)&amp;"")</f>
        <v>Active</v>
      </c>
      <c r="W217" s="7" t="str">
        <f aca="false">IF(INDEX(MASTER_DATABASE!$A$4:$A$1000,ROW()-3)="","",INDEX(MASTER_DATABASE!$AH$4:$AH$1000,ROW()-3)&amp;"")</f>
        <v>Yes</v>
      </c>
      <c r="X217" s="7" t="str">
        <f aca="false">IF(INDEX(MASTER_DATABASE!$A$4:$A$1000,ROW()-3)="","",INDEX(MASTER_DATABASE!$AI$4:$AI$1000,ROW()-3)&amp;"")</f>
        <v>No</v>
      </c>
      <c r="Y217" s="7" t="str">
        <f aca="false">IF(INDEX(MASTER_DATABASE!$A$4:$A$1000,ROW()-3)="","",INDEX(MASTER_DATABASE!$AJ$4:$AJ$1000,ROW()-3)&amp;"")</f>
        <v>No</v>
      </c>
      <c r="Z217" s="7" t="str">
        <f aca="false">IF(INDEX(MASTER_DATABASE!$A$4:$A$1000,ROW()-3)="","",INDEX(MASTER_DATABASE!$AK$4:$AK$1000,ROW()-3)&amp;"")</f>
        <v>No</v>
      </c>
      <c r="AA217" s="7" t="str">
        <f aca="false">IF(INDEX(MASTER_DATABASE!$A$4:$A$1000,ROW()-3)="","",INDEX(MASTER_DATABASE!$BE$4:$BE$1000,ROW()-3)&amp;"")</f>
        <v>LIVE</v>
      </c>
    </row>
    <row r="218" customFormat="false" ht="46.25" hidden="false" customHeight="false" outlineLevel="0" collapsed="false">
      <c r="A218" s="11" t="str">
        <f aca="false">IF(INDEX(MASTER_DATABASE!$A$4:$A$1000,ROW()-3)="","",INDEX(MASTER_DATABASE!$A$4:$A$1000,ROW()-3)&amp;"")</f>
        <v>PHO-013</v>
      </c>
      <c r="B218" s="7" t="str">
        <f aca="false">IF(INDEX(MASTER_DATABASE!$A$4:$A$1000,ROW()-3)="","",INDEX(MASTER_DATABASE!$B$4:$B$1000,ROW()-3)&amp;"")</f>
        <v>Photo / Photoshop / Design</v>
      </c>
      <c r="C218" s="7" t="str">
        <f aca="false">IF(INDEX(MASTER_DATABASE!$A$4:$A$1000,ROW()-3)="","",INDEX(MASTER_DATABASE!$C$4:$C$1000,ROW()-3)&amp;"")</f>
        <v>Photo &amp; Design Services</v>
      </c>
      <c r="D218" s="7" t="str">
        <f aca="false">IF(INDEX(MASTER_DATABASE!$A$4:$A$1000,ROW()-3)="","",INDEX(MASTER_DATABASE!$D$4:$D$1000,ROW()-3)&amp;"")</f>
        <v>Photo Editing</v>
      </c>
      <c r="E218" s="7" t="str">
        <f aca="false">IF(INDEX(MASTER_DATABASE!$A$4:$A$1000,ROW()-3)="","",INDEX(MASTER_DATABASE!$E$4:$E$1000,ROW()-3)&amp;"")</f>
        <v>Old Photo Restoration</v>
      </c>
      <c r="F218" s="7" t="str">
        <f aca="false">IF(INDEX(MASTER_DATABASE!$A$4:$A$1000,ROW()-3)="","",INDEX(MASTER_DATABASE!$F$4:$F$1000,ROW()-3)&amp;"")</f>
        <v>पुरानी फोटो रिस्टोरेशन</v>
      </c>
      <c r="G218" s="7" t="str">
        <f aca="false">IF(INDEX(MASTER_DATABASE!$A$4:$A$1000,ROW()-3)="","",INDEX(MASTER_DATABASE!$AL$4:$AL$1000,ROW()-3)&amp;"")</f>
        <v>Photo / Photoshop / Design</v>
      </c>
      <c r="H218" s="7" t="str">
        <f aca="false">IF(INDEX(MASTER_DATABASE!$A$4:$A$1000,ROW()-3)="","",INDEX(MASTER_DATABASE!$AM$4:$AM$1000,ROW()-3)&amp;"")</f>
        <v>Photo Editing</v>
      </c>
      <c r="I218" s="7" t="str">
        <f aca="false">IF(INDEX(MASTER_DATABASE!$A$4:$A$1000,ROW()-3)="","",INDEX(MASTER_DATABASE!$AO$4:$AO$1000,ROW()-3)&amp;"")</f>
        <v>old-photo-restoration</v>
      </c>
      <c r="J218" s="7" t="str">
        <f aca="false">IF(INDEX(MASTER_DATABASE!$A$4:$A$1000,ROW()-3)="","",INDEX(MASTER_DATABASE!$BD$4:$BD$1000,ROW()-3)&amp;"")</f>
        <v>/services/old-photo-restoration</v>
      </c>
      <c r="K218" s="7" t="str">
        <f aca="false">IF(INDEX(MASTER_DATABASE!$A$4:$A$1000,ROW()-3)="","",INDEX(MASTER_DATABASE!$AX$4:$AX$1000,ROW()-3)&amp;"")</f>
        <v>Old Photo Restoration Service | Devmobile Stores</v>
      </c>
      <c r="L218" s="7" t="str">
        <f aca="false">IF(INDEX(MASTER_DATABASE!$A$4:$A$1000,ROW()-3)="","",INDEX(MASTER_DATABASE!$AY$4:$AY$1000,ROW()-3)&amp;"")</f>
        <v>Old Photo Restoration (पुरानी फोटो रिस्टोरेशन) at Devmobile Stores and Common Service Center &amp; Aadhaar Centre. Check required documents, charges and process before you visit.</v>
      </c>
      <c r="M218" s="7" t="str">
        <f aca="false">IF(INDEX(MASTER_DATABASE!$A$4:$A$1000,ROW()-3)="","",INDEX(MASTER_DATABASE!$AN$4:$AN$1000,ROW()-3)&amp;"")</f>
        <v>Old Photo Restoration, Photo / Photoshop / Design, Devmobile Stores, पुरानी फोटो रिस्टोरेशन, फोटो / फोटोशॉप / डिज़ाइन, सेवा</v>
      </c>
      <c r="N218" s="7" t="str">
        <f aca="false">IF(INDEX(MASTER_DATABASE!$A$4:$A$1000,ROW()-3)="","",INDEX(MASTER_DATABASE!$AZ$4:$AZ$1000,ROW()-3)&amp;"")</f>
        <v>पुरानी फोटो रिस्टोरेशन, फोटो / फोटोशॉप / डिज़ाइन, सेवा</v>
      </c>
      <c r="O218" s="7" t="str">
        <f aca="false">IF(INDEX(MASTER_DATABASE!$A$4:$A$1000,ROW()-3)="","",INDEX(MASTER_DATABASE!$BA$4:$BA$1000,ROW()-3)&amp;"")</f>
        <v>Old Photo Restoration, Photo / Photoshop / Design, Devmobile Stores</v>
      </c>
      <c r="P218" s="11" t="str">
        <f aca="false">IF(INDEX(MASTER_DATABASE!$A$4:$A$1000,ROW()-3)="","",INDEX(MASTER_DATABASE!$AP$4:$AP$1000,ROW()-3)&amp;"")</f>
        <v>📷</v>
      </c>
      <c r="Q218" s="7" t="str">
        <f aca="false">IF(INDEX(MASTER_DATABASE!$A$4:$A$1000,ROW()-3)="","",INDEX(MASTER_DATABASE!$BB$4:$BB$1000,ROW()-3)&amp;"")</f>
        <v/>
      </c>
      <c r="R218" s="11" t="str">
        <f aca="false">IF(INDEX(MASTER_DATABASE!$A$4:$A$1000,ROW()-3)="","",INDEX(MASTER_DATABASE!$BC$4:$BC$1000,ROW()-3)&amp;"")</f>
        <v>📷</v>
      </c>
      <c r="S218" s="11" t="n">
        <f aca="false">IF(INDEX(MASTER_DATABASE!$A$4:$A$1000,ROW()-3)="","",INDEX(MASTER_DATABASE!$AQ$4:$AQ$1000,ROW()-3))</f>
        <v>130</v>
      </c>
      <c r="T218" s="7" t="str">
        <f aca="false">IF(INDEX(MASTER_DATABASE!$A$4:$A$1000,ROW()-3)="","",INDEX(MASTER_DATABASE!$I$4:$I$1000,ROW()-3)&amp;"")</f>
        <v>Available</v>
      </c>
      <c r="U218" s="7" t="str">
        <f aca="false">IF(INDEX(MASTER_DATABASE!$A$4:$A$1000,ROW()-3)="","",INDEX(MASTER_DATABASE!$J$4:$J$1000,ROW()-3)&amp;"")</f>
        <v>Available</v>
      </c>
      <c r="V218" s="7" t="str">
        <f aca="false">IF(INDEX(MASTER_DATABASE!$A$4:$A$1000,ROW()-3)="","",INDEX(MASTER_DATABASE!$AG$4:$AG$1000,ROW()-3)&amp;"")</f>
        <v>Active</v>
      </c>
      <c r="W218" s="7" t="str">
        <f aca="false">IF(INDEX(MASTER_DATABASE!$A$4:$A$1000,ROW()-3)="","",INDEX(MASTER_DATABASE!$AH$4:$AH$1000,ROW()-3)&amp;"")</f>
        <v>Yes</v>
      </c>
      <c r="X218" s="7" t="str">
        <f aca="false">IF(INDEX(MASTER_DATABASE!$A$4:$A$1000,ROW()-3)="","",INDEX(MASTER_DATABASE!$AI$4:$AI$1000,ROW()-3)&amp;"")</f>
        <v>No</v>
      </c>
      <c r="Y218" s="7" t="str">
        <f aca="false">IF(INDEX(MASTER_DATABASE!$A$4:$A$1000,ROW()-3)="","",INDEX(MASTER_DATABASE!$AJ$4:$AJ$1000,ROW()-3)&amp;"")</f>
        <v>No</v>
      </c>
      <c r="Z218" s="7" t="str">
        <f aca="false">IF(INDEX(MASTER_DATABASE!$A$4:$A$1000,ROW()-3)="","",INDEX(MASTER_DATABASE!$AK$4:$AK$1000,ROW()-3)&amp;"")</f>
        <v>No</v>
      </c>
      <c r="AA218" s="7" t="str">
        <f aca="false">IF(INDEX(MASTER_DATABASE!$A$4:$A$1000,ROW()-3)="","",INDEX(MASTER_DATABASE!$BE$4:$BE$1000,ROW()-3)&amp;"")</f>
        <v>LIVE</v>
      </c>
    </row>
    <row r="219" customFormat="false" ht="35.05" hidden="false" customHeight="false" outlineLevel="0" collapsed="false">
      <c r="A219" s="11" t="str">
        <f aca="false">IF(INDEX(MASTER_DATABASE!$A$4:$A$1000,ROW()-3)="","",INDEX(MASTER_DATABASE!$A$4:$A$1000,ROW()-3)&amp;"")</f>
        <v>PHO-014</v>
      </c>
      <c r="B219" s="7" t="str">
        <f aca="false">IF(INDEX(MASTER_DATABASE!$A$4:$A$1000,ROW()-3)="","",INDEX(MASTER_DATABASE!$B$4:$B$1000,ROW()-3)&amp;"")</f>
        <v>Photo / Photoshop / Design</v>
      </c>
      <c r="C219" s="7" t="str">
        <f aca="false">IF(INDEX(MASTER_DATABASE!$A$4:$A$1000,ROW()-3)="","",INDEX(MASTER_DATABASE!$C$4:$C$1000,ROW()-3)&amp;"")</f>
        <v>Photo &amp; Design Services</v>
      </c>
      <c r="D219" s="7" t="str">
        <f aca="false">IF(INDEX(MASTER_DATABASE!$A$4:$A$1000,ROW()-3)="","",INDEX(MASTER_DATABASE!$D$4:$D$1000,ROW()-3)&amp;"")</f>
        <v>Photo Printing</v>
      </c>
      <c r="E219" s="7" t="str">
        <f aca="false">IF(INDEX(MASTER_DATABASE!$A$4:$A$1000,ROW()-3)="","",INDEX(MASTER_DATABASE!$E$4:$E$1000,ROW()-3)&amp;"")</f>
        <v>Photo Print</v>
      </c>
      <c r="F219" s="7" t="str">
        <f aca="false">IF(INDEX(MASTER_DATABASE!$A$4:$A$1000,ROW()-3)="","",INDEX(MASTER_DATABASE!$F$4:$F$1000,ROW()-3)&amp;"")</f>
        <v>फोटो प्रिंट</v>
      </c>
      <c r="G219" s="7" t="str">
        <f aca="false">IF(INDEX(MASTER_DATABASE!$A$4:$A$1000,ROW()-3)="","",INDEX(MASTER_DATABASE!$AL$4:$AL$1000,ROW()-3)&amp;"")</f>
        <v>Photo / Photoshop / Design</v>
      </c>
      <c r="H219" s="7" t="str">
        <f aca="false">IF(INDEX(MASTER_DATABASE!$A$4:$A$1000,ROW()-3)="","",INDEX(MASTER_DATABASE!$AM$4:$AM$1000,ROW()-3)&amp;"")</f>
        <v>Photo Printing</v>
      </c>
      <c r="I219" s="7" t="str">
        <f aca="false">IF(INDEX(MASTER_DATABASE!$A$4:$A$1000,ROW()-3)="","",INDEX(MASTER_DATABASE!$AO$4:$AO$1000,ROW()-3)&amp;"")</f>
        <v>photo-print</v>
      </c>
      <c r="J219" s="7" t="str">
        <f aca="false">IF(INDEX(MASTER_DATABASE!$A$4:$A$1000,ROW()-3)="","",INDEX(MASTER_DATABASE!$BD$4:$BD$1000,ROW()-3)&amp;"")</f>
        <v>/services/photo-print</v>
      </c>
      <c r="K219" s="7" t="str">
        <f aca="false">IF(INDEX(MASTER_DATABASE!$A$4:$A$1000,ROW()-3)="","",INDEX(MASTER_DATABASE!$AX$4:$AX$1000,ROW()-3)&amp;"")</f>
        <v>Photo Print Service | Devmobile Stores</v>
      </c>
      <c r="L219" s="7" t="str">
        <f aca="false">IF(INDEX(MASTER_DATABASE!$A$4:$A$1000,ROW()-3)="","",INDEX(MASTER_DATABASE!$AY$4:$AY$1000,ROW()-3)&amp;"")</f>
        <v>Photo Print (फोटो प्रिंट) at Devmobile Stores and Common Service Center &amp; Aadhaar Centre. Check required documents, charges and process before you visit.</v>
      </c>
      <c r="M219" s="7" t="str">
        <f aca="false">IF(INDEX(MASTER_DATABASE!$A$4:$A$1000,ROW()-3)="","",INDEX(MASTER_DATABASE!$AN$4:$AN$1000,ROW()-3)&amp;"")</f>
        <v>Photo Print, Photo / Photoshop / Design, Devmobile Stores, फोटो प्रिंट, फोटो / फोटोशॉप / डिज़ाइन, सेवा</v>
      </c>
      <c r="N219" s="7" t="str">
        <f aca="false">IF(INDEX(MASTER_DATABASE!$A$4:$A$1000,ROW()-3)="","",INDEX(MASTER_DATABASE!$AZ$4:$AZ$1000,ROW()-3)&amp;"")</f>
        <v>फोटो प्रिंट, फोटो / फोटोशॉप / डिज़ाइन, सेवा</v>
      </c>
      <c r="O219" s="7" t="str">
        <f aca="false">IF(INDEX(MASTER_DATABASE!$A$4:$A$1000,ROW()-3)="","",INDEX(MASTER_DATABASE!$BA$4:$BA$1000,ROW()-3)&amp;"")</f>
        <v>Photo Print, Photo / Photoshop / Design, Devmobile Stores</v>
      </c>
      <c r="P219" s="11" t="str">
        <f aca="false">IF(INDEX(MASTER_DATABASE!$A$4:$A$1000,ROW()-3)="","",INDEX(MASTER_DATABASE!$AP$4:$AP$1000,ROW()-3)&amp;"")</f>
        <v>📷</v>
      </c>
      <c r="Q219" s="7" t="str">
        <f aca="false">IF(INDEX(MASTER_DATABASE!$A$4:$A$1000,ROW()-3)="","",INDEX(MASTER_DATABASE!$BB$4:$BB$1000,ROW()-3)&amp;"")</f>
        <v/>
      </c>
      <c r="R219" s="11" t="str">
        <f aca="false">IF(INDEX(MASTER_DATABASE!$A$4:$A$1000,ROW()-3)="","",INDEX(MASTER_DATABASE!$BC$4:$BC$1000,ROW()-3)&amp;"")</f>
        <v>📷</v>
      </c>
      <c r="S219" s="11" t="n">
        <f aca="false">IF(INDEX(MASTER_DATABASE!$A$4:$A$1000,ROW()-3)="","",INDEX(MASTER_DATABASE!$AQ$4:$AQ$1000,ROW()-3))</f>
        <v>140</v>
      </c>
      <c r="T219" s="7" t="str">
        <f aca="false">IF(INDEX(MASTER_DATABASE!$A$4:$A$1000,ROW()-3)="","",INDEX(MASTER_DATABASE!$I$4:$I$1000,ROW()-3)&amp;"")</f>
        <v>Available</v>
      </c>
      <c r="U219" s="7" t="str">
        <f aca="false">IF(INDEX(MASTER_DATABASE!$A$4:$A$1000,ROW()-3)="","",INDEX(MASTER_DATABASE!$J$4:$J$1000,ROW()-3)&amp;"")</f>
        <v>Available</v>
      </c>
      <c r="V219" s="7" t="str">
        <f aca="false">IF(INDEX(MASTER_DATABASE!$A$4:$A$1000,ROW()-3)="","",INDEX(MASTER_DATABASE!$AG$4:$AG$1000,ROW()-3)&amp;"")</f>
        <v>Active</v>
      </c>
      <c r="W219" s="7" t="str">
        <f aca="false">IF(INDEX(MASTER_DATABASE!$A$4:$A$1000,ROW()-3)="","",INDEX(MASTER_DATABASE!$AH$4:$AH$1000,ROW()-3)&amp;"")</f>
        <v>Yes</v>
      </c>
      <c r="X219" s="7" t="str">
        <f aca="false">IF(INDEX(MASTER_DATABASE!$A$4:$A$1000,ROW()-3)="","",INDEX(MASTER_DATABASE!$AI$4:$AI$1000,ROW()-3)&amp;"")</f>
        <v>No</v>
      </c>
      <c r="Y219" s="7" t="str">
        <f aca="false">IF(INDEX(MASTER_DATABASE!$A$4:$A$1000,ROW()-3)="","",INDEX(MASTER_DATABASE!$AJ$4:$AJ$1000,ROW()-3)&amp;"")</f>
        <v>No</v>
      </c>
      <c r="Z219" s="7" t="str">
        <f aca="false">IF(INDEX(MASTER_DATABASE!$A$4:$A$1000,ROW()-3)="","",INDEX(MASTER_DATABASE!$AK$4:$AK$1000,ROW()-3)&amp;"")</f>
        <v>No</v>
      </c>
      <c r="AA219" s="7" t="str">
        <f aca="false">IF(INDEX(MASTER_DATABASE!$A$4:$A$1000,ROW()-3)="","",INDEX(MASTER_DATABASE!$BE$4:$BE$1000,ROW()-3)&amp;"")</f>
        <v>LIVE</v>
      </c>
    </row>
    <row r="220" customFormat="false" ht="46.25" hidden="false" customHeight="false" outlineLevel="0" collapsed="false">
      <c r="A220" s="11" t="str">
        <f aca="false">IF(INDEX(MASTER_DATABASE!$A$4:$A$1000,ROW()-3)="","",INDEX(MASTER_DATABASE!$A$4:$A$1000,ROW()-3)&amp;"")</f>
        <v>PHO-015</v>
      </c>
      <c r="B220" s="7" t="str">
        <f aca="false">IF(INDEX(MASTER_DATABASE!$A$4:$A$1000,ROW()-3)="","",INDEX(MASTER_DATABASE!$B$4:$B$1000,ROW()-3)&amp;"")</f>
        <v>Photo / Photoshop / Design</v>
      </c>
      <c r="C220" s="7" t="str">
        <f aca="false">IF(INDEX(MASTER_DATABASE!$A$4:$A$1000,ROW()-3)="","",INDEX(MASTER_DATABASE!$C$4:$C$1000,ROW()-3)&amp;"")</f>
        <v>Photo &amp; Design Services</v>
      </c>
      <c r="D220" s="7" t="str">
        <f aca="false">IF(INDEX(MASTER_DATABASE!$A$4:$A$1000,ROW()-3)="","",INDEX(MASTER_DATABASE!$D$4:$D$1000,ROW()-3)&amp;"")</f>
        <v>Photo Printing</v>
      </c>
      <c r="E220" s="7" t="str">
        <f aca="false">IF(INDEX(MASTER_DATABASE!$A$4:$A$1000,ROW()-3)="","",INDEX(MASTER_DATABASE!$E$4:$E$1000,ROW()-3)&amp;"")</f>
        <v>4×6 Photo Sheet</v>
      </c>
      <c r="F220" s="7" t="str">
        <f aca="false">IF(INDEX(MASTER_DATABASE!$A$4:$A$1000,ROW()-3)="","",INDEX(MASTER_DATABASE!$F$4:$F$1000,ROW()-3)&amp;"")</f>
        <v>4×6 फोटो शीट</v>
      </c>
      <c r="G220" s="7" t="str">
        <f aca="false">IF(INDEX(MASTER_DATABASE!$A$4:$A$1000,ROW()-3)="","",INDEX(MASTER_DATABASE!$AL$4:$AL$1000,ROW()-3)&amp;"")</f>
        <v>Photo / Photoshop / Design</v>
      </c>
      <c r="H220" s="7" t="str">
        <f aca="false">IF(INDEX(MASTER_DATABASE!$A$4:$A$1000,ROW()-3)="","",INDEX(MASTER_DATABASE!$AM$4:$AM$1000,ROW()-3)&amp;"")</f>
        <v>Photo Printing</v>
      </c>
      <c r="I220" s="7" t="str">
        <f aca="false">IF(INDEX(MASTER_DATABASE!$A$4:$A$1000,ROW()-3)="","",INDEX(MASTER_DATABASE!$AO$4:$AO$1000,ROW()-3)&amp;"")</f>
        <v>4-6-photo-sheet</v>
      </c>
      <c r="J220" s="7" t="str">
        <f aca="false">IF(INDEX(MASTER_DATABASE!$A$4:$A$1000,ROW()-3)="","",INDEX(MASTER_DATABASE!$BD$4:$BD$1000,ROW()-3)&amp;"")</f>
        <v>/services/4-6-photo-sheet</v>
      </c>
      <c r="K220" s="7" t="str">
        <f aca="false">IF(INDEX(MASTER_DATABASE!$A$4:$A$1000,ROW()-3)="","",INDEX(MASTER_DATABASE!$AX$4:$AX$1000,ROW()-3)&amp;"")</f>
        <v>4×6 Photo Sheet Service | Devmobile Stores</v>
      </c>
      <c r="L220" s="7" t="str">
        <f aca="false">IF(INDEX(MASTER_DATABASE!$A$4:$A$1000,ROW()-3)="","",INDEX(MASTER_DATABASE!$AY$4:$AY$1000,ROW()-3)&amp;"")</f>
        <v>4×6 Photo Sheet (4×6 फोटो शीट) at Devmobile Stores and Common Service Center &amp; Aadhaar Centre. Check required documents, charges and process before you visit.</v>
      </c>
      <c r="M220" s="7" t="str">
        <f aca="false">IF(INDEX(MASTER_DATABASE!$A$4:$A$1000,ROW()-3)="","",INDEX(MASTER_DATABASE!$AN$4:$AN$1000,ROW()-3)&amp;"")</f>
        <v>4×6 Photo Sheet, Photo / Photoshop / Design, Devmobile Stores, 4×6 फोटो शीट, फोटो / फोटोशॉप / डिज़ाइन, सेवा</v>
      </c>
      <c r="N220" s="7" t="str">
        <f aca="false">IF(INDEX(MASTER_DATABASE!$A$4:$A$1000,ROW()-3)="","",INDEX(MASTER_DATABASE!$AZ$4:$AZ$1000,ROW()-3)&amp;"")</f>
        <v>4×6 फोटो शीट, फोटो / फोटोशॉप / डिज़ाइन, सेवा</v>
      </c>
      <c r="O220" s="7" t="str">
        <f aca="false">IF(INDEX(MASTER_DATABASE!$A$4:$A$1000,ROW()-3)="","",INDEX(MASTER_DATABASE!$BA$4:$BA$1000,ROW()-3)&amp;"")</f>
        <v>4×6 Photo Sheet, Photo / Photoshop / Design, Devmobile Stores</v>
      </c>
      <c r="P220" s="11" t="str">
        <f aca="false">IF(INDEX(MASTER_DATABASE!$A$4:$A$1000,ROW()-3)="","",INDEX(MASTER_DATABASE!$AP$4:$AP$1000,ROW()-3)&amp;"")</f>
        <v>📷</v>
      </c>
      <c r="Q220" s="7" t="str">
        <f aca="false">IF(INDEX(MASTER_DATABASE!$A$4:$A$1000,ROW()-3)="","",INDEX(MASTER_DATABASE!$BB$4:$BB$1000,ROW()-3)&amp;"")</f>
        <v/>
      </c>
      <c r="R220" s="11" t="str">
        <f aca="false">IF(INDEX(MASTER_DATABASE!$A$4:$A$1000,ROW()-3)="","",INDEX(MASTER_DATABASE!$BC$4:$BC$1000,ROW()-3)&amp;"")</f>
        <v>📷</v>
      </c>
      <c r="S220" s="11" t="n">
        <f aca="false">IF(INDEX(MASTER_DATABASE!$A$4:$A$1000,ROW()-3)="","",INDEX(MASTER_DATABASE!$AQ$4:$AQ$1000,ROW()-3))</f>
        <v>150</v>
      </c>
      <c r="T220" s="7" t="str">
        <f aca="false">IF(INDEX(MASTER_DATABASE!$A$4:$A$1000,ROW()-3)="","",INDEX(MASTER_DATABASE!$I$4:$I$1000,ROW()-3)&amp;"")</f>
        <v>Available</v>
      </c>
      <c r="U220" s="7" t="str">
        <f aca="false">IF(INDEX(MASTER_DATABASE!$A$4:$A$1000,ROW()-3)="","",INDEX(MASTER_DATABASE!$J$4:$J$1000,ROW()-3)&amp;"")</f>
        <v>Available</v>
      </c>
      <c r="V220" s="7" t="str">
        <f aca="false">IF(INDEX(MASTER_DATABASE!$A$4:$A$1000,ROW()-3)="","",INDEX(MASTER_DATABASE!$AG$4:$AG$1000,ROW()-3)&amp;"")</f>
        <v>Active</v>
      </c>
      <c r="W220" s="7" t="str">
        <f aca="false">IF(INDEX(MASTER_DATABASE!$A$4:$A$1000,ROW()-3)="","",INDEX(MASTER_DATABASE!$AH$4:$AH$1000,ROW()-3)&amp;"")</f>
        <v>Yes</v>
      </c>
      <c r="X220" s="7" t="str">
        <f aca="false">IF(INDEX(MASTER_DATABASE!$A$4:$A$1000,ROW()-3)="","",INDEX(MASTER_DATABASE!$AI$4:$AI$1000,ROW()-3)&amp;"")</f>
        <v>No</v>
      </c>
      <c r="Y220" s="7" t="str">
        <f aca="false">IF(INDEX(MASTER_DATABASE!$A$4:$A$1000,ROW()-3)="","",INDEX(MASTER_DATABASE!$AJ$4:$AJ$1000,ROW()-3)&amp;"")</f>
        <v>No</v>
      </c>
      <c r="Z220" s="7" t="str">
        <f aca="false">IF(INDEX(MASTER_DATABASE!$A$4:$A$1000,ROW()-3)="","",INDEX(MASTER_DATABASE!$AK$4:$AK$1000,ROW()-3)&amp;"")</f>
        <v>No</v>
      </c>
      <c r="AA220" s="7" t="str">
        <f aca="false">IF(INDEX(MASTER_DATABASE!$A$4:$A$1000,ROW()-3)="","",INDEX(MASTER_DATABASE!$BE$4:$BE$1000,ROW()-3)&amp;"")</f>
        <v>LIVE</v>
      </c>
    </row>
    <row r="221" customFormat="false" ht="46.25" hidden="false" customHeight="false" outlineLevel="0" collapsed="false">
      <c r="A221" s="11" t="str">
        <f aca="false">IF(INDEX(MASTER_DATABASE!$A$4:$A$1000,ROW()-3)="","",INDEX(MASTER_DATABASE!$A$4:$A$1000,ROW()-3)&amp;"")</f>
        <v>PHO-016</v>
      </c>
      <c r="B221" s="7" t="str">
        <f aca="false">IF(INDEX(MASTER_DATABASE!$A$4:$A$1000,ROW()-3)="","",INDEX(MASTER_DATABASE!$B$4:$B$1000,ROW()-3)&amp;"")</f>
        <v>Photo / Photoshop / Design</v>
      </c>
      <c r="C221" s="7" t="str">
        <f aca="false">IF(INDEX(MASTER_DATABASE!$A$4:$A$1000,ROW()-3)="","",INDEX(MASTER_DATABASE!$C$4:$C$1000,ROW()-3)&amp;"")</f>
        <v>Photo &amp; Design Services</v>
      </c>
      <c r="D221" s="7" t="str">
        <f aca="false">IF(INDEX(MASTER_DATABASE!$A$4:$A$1000,ROW()-3)="","",INDEX(MASTER_DATABASE!$D$4:$D$1000,ROW()-3)&amp;"")</f>
        <v>Photo Printing</v>
      </c>
      <c r="E221" s="7" t="str">
        <f aca="false">IF(INDEX(MASTER_DATABASE!$A$4:$A$1000,ROW()-3)="","",INDEX(MASTER_DATABASE!$E$4:$E$1000,ROW()-3)&amp;"")</f>
        <v>Multiple Photo Layout</v>
      </c>
      <c r="F221" s="7" t="str">
        <f aca="false">IF(INDEX(MASTER_DATABASE!$A$4:$A$1000,ROW()-3)="","",INDEX(MASTER_DATABASE!$F$4:$F$1000,ROW()-3)&amp;"")</f>
        <v>मल्टीपल फोटो लेआउट</v>
      </c>
      <c r="G221" s="7" t="str">
        <f aca="false">IF(INDEX(MASTER_DATABASE!$A$4:$A$1000,ROW()-3)="","",INDEX(MASTER_DATABASE!$AL$4:$AL$1000,ROW()-3)&amp;"")</f>
        <v>Photo / Photoshop / Design</v>
      </c>
      <c r="H221" s="7" t="str">
        <f aca="false">IF(INDEX(MASTER_DATABASE!$A$4:$A$1000,ROW()-3)="","",INDEX(MASTER_DATABASE!$AM$4:$AM$1000,ROW()-3)&amp;"")</f>
        <v>Photo Printing</v>
      </c>
      <c r="I221" s="7" t="str">
        <f aca="false">IF(INDEX(MASTER_DATABASE!$A$4:$A$1000,ROW()-3)="","",INDEX(MASTER_DATABASE!$AO$4:$AO$1000,ROW()-3)&amp;"")</f>
        <v>multiple-photo-layout</v>
      </c>
      <c r="J221" s="7" t="str">
        <f aca="false">IF(INDEX(MASTER_DATABASE!$A$4:$A$1000,ROW()-3)="","",INDEX(MASTER_DATABASE!$BD$4:$BD$1000,ROW()-3)&amp;"")</f>
        <v>/services/multiple-photo-layout</v>
      </c>
      <c r="K221" s="7" t="str">
        <f aca="false">IF(INDEX(MASTER_DATABASE!$A$4:$A$1000,ROW()-3)="","",INDEX(MASTER_DATABASE!$AX$4:$AX$1000,ROW()-3)&amp;"")</f>
        <v>Multiple Photo Layout Service | Devmobile Stores</v>
      </c>
      <c r="L221" s="7" t="str">
        <f aca="false">IF(INDEX(MASTER_DATABASE!$A$4:$A$1000,ROW()-3)="","",INDEX(MASTER_DATABASE!$AY$4:$AY$1000,ROW()-3)&amp;"")</f>
        <v>Multiple Photo Layout (मल्टीपल फोटो लेआउट) at Devmobile Stores and Common Service Center &amp; Aadhaar Centre. Check required documents, charges and process before you visit.</v>
      </c>
      <c r="M221" s="7" t="str">
        <f aca="false">IF(INDEX(MASTER_DATABASE!$A$4:$A$1000,ROW()-3)="","",INDEX(MASTER_DATABASE!$AN$4:$AN$1000,ROW()-3)&amp;"")</f>
        <v>Multiple Photo Layout, Photo / Photoshop / Design, Devmobile Stores, मल्टीपल फोटो लेआउट, फोटो / फोटोशॉप / डिज़ाइन, सेवा</v>
      </c>
      <c r="N221" s="7" t="str">
        <f aca="false">IF(INDEX(MASTER_DATABASE!$A$4:$A$1000,ROW()-3)="","",INDEX(MASTER_DATABASE!$AZ$4:$AZ$1000,ROW()-3)&amp;"")</f>
        <v>मल्टीपल फोटो लेआउट, फोटो / फोटोशॉप / डिज़ाइन, सेवा</v>
      </c>
      <c r="O221" s="7" t="str">
        <f aca="false">IF(INDEX(MASTER_DATABASE!$A$4:$A$1000,ROW()-3)="","",INDEX(MASTER_DATABASE!$BA$4:$BA$1000,ROW()-3)&amp;"")</f>
        <v>Multiple Photo Layout, Photo / Photoshop / Design, Devmobile Stores</v>
      </c>
      <c r="P221" s="11" t="str">
        <f aca="false">IF(INDEX(MASTER_DATABASE!$A$4:$A$1000,ROW()-3)="","",INDEX(MASTER_DATABASE!$AP$4:$AP$1000,ROW()-3)&amp;"")</f>
        <v>📷</v>
      </c>
      <c r="Q221" s="7" t="str">
        <f aca="false">IF(INDEX(MASTER_DATABASE!$A$4:$A$1000,ROW()-3)="","",INDEX(MASTER_DATABASE!$BB$4:$BB$1000,ROW()-3)&amp;"")</f>
        <v/>
      </c>
      <c r="R221" s="11" t="str">
        <f aca="false">IF(INDEX(MASTER_DATABASE!$A$4:$A$1000,ROW()-3)="","",INDEX(MASTER_DATABASE!$BC$4:$BC$1000,ROW()-3)&amp;"")</f>
        <v>📷</v>
      </c>
      <c r="S221" s="11" t="n">
        <f aca="false">IF(INDEX(MASTER_DATABASE!$A$4:$A$1000,ROW()-3)="","",INDEX(MASTER_DATABASE!$AQ$4:$AQ$1000,ROW()-3))</f>
        <v>160</v>
      </c>
      <c r="T221" s="7" t="str">
        <f aca="false">IF(INDEX(MASTER_DATABASE!$A$4:$A$1000,ROW()-3)="","",INDEX(MASTER_DATABASE!$I$4:$I$1000,ROW()-3)&amp;"")</f>
        <v>Available</v>
      </c>
      <c r="U221" s="7" t="str">
        <f aca="false">IF(INDEX(MASTER_DATABASE!$A$4:$A$1000,ROW()-3)="","",INDEX(MASTER_DATABASE!$J$4:$J$1000,ROW()-3)&amp;"")</f>
        <v>Available</v>
      </c>
      <c r="V221" s="7" t="str">
        <f aca="false">IF(INDEX(MASTER_DATABASE!$A$4:$A$1000,ROW()-3)="","",INDEX(MASTER_DATABASE!$AG$4:$AG$1000,ROW()-3)&amp;"")</f>
        <v>Active</v>
      </c>
      <c r="W221" s="7" t="str">
        <f aca="false">IF(INDEX(MASTER_DATABASE!$A$4:$A$1000,ROW()-3)="","",INDEX(MASTER_DATABASE!$AH$4:$AH$1000,ROW()-3)&amp;"")</f>
        <v>Yes</v>
      </c>
      <c r="X221" s="7" t="str">
        <f aca="false">IF(INDEX(MASTER_DATABASE!$A$4:$A$1000,ROW()-3)="","",INDEX(MASTER_DATABASE!$AI$4:$AI$1000,ROW()-3)&amp;"")</f>
        <v>No</v>
      </c>
      <c r="Y221" s="7" t="str">
        <f aca="false">IF(INDEX(MASTER_DATABASE!$A$4:$A$1000,ROW()-3)="","",INDEX(MASTER_DATABASE!$AJ$4:$AJ$1000,ROW()-3)&amp;"")</f>
        <v>No</v>
      </c>
      <c r="Z221" s="7" t="str">
        <f aca="false">IF(INDEX(MASTER_DATABASE!$A$4:$A$1000,ROW()-3)="","",INDEX(MASTER_DATABASE!$AK$4:$AK$1000,ROW()-3)&amp;"")</f>
        <v>No</v>
      </c>
      <c r="AA221" s="7" t="str">
        <f aca="false">IF(INDEX(MASTER_DATABASE!$A$4:$A$1000,ROW()-3)="","",INDEX(MASTER_DATABASE!$BE$4:$BE$1000,ROW()-3)&amp;"")</f>
        <v>LIVE</v>
      </c>
    </row>
    <row r="222" customFormat="false" ht="46.25" hidden="false" customHeight="false" outlineLevel="0" collapsed="false">
      <c r="A222" s="11" t="str">
        <f aca="false">IF(INDEX(MASTER_DATABASE!$A$4:$A$1000,ROW()-3)="","",INDEX(MASTER_DATABASE!$A$4:$A$1000,ROW()-3)&amp;"")</f>
        <v>PHO-017</v>
      </c>
      <c r="B222" s="7" t="str">
        <f aca="false">IF(INDEX(MASTER_DATABASE!$A$4:$A$1000,ROW()-3)="","",INDEX(MASTER_DATABASE!$B$4:$B$1000,ROW()-3)&amp;"")</f>
        <v>Photo / Photoshop / Design</v>
      </c>
      <c r="C222" s="7" t="str">
        <f aca="false">IF(INDEX(MASTER_DATABASE!$A$4:$A$1000,ROW()-3)="","",INDEX(MASTER_DATABASE!$C$4:$C$1000,ROW()-3)&amp;"")</f>
        <v>Photo &amp; Design Services</v>
      </c>
      <c r="D222" s="7" t="str">
        <f aca="false">IF(INDEX(MASTER_DATABASE!$A$4:$A$1000,ROW()-3)="","",INDEX(MASTER_DATABASE!$D$4:$D$1000,ROW()-3)&amp;"")</f>
        <v>Design Work</v>
      </c>
      <c r="E222" s="7" t="str">
        <f aca="false">IF(INDEX(MASTER_DATABASE!$A$4:$A$1000,ROW()-3)="","",INDEX(MASTER_DATABASE!$E$4:$E$1000,ROW()-3)&amp;"")</f>
        <v>Visiting Card Design</v>
      </c>
      <c r="F222" s="7" t="str">
        <f aca="false">IF(INDEX(MASTER_DATABASE!$A$4:$A$1000,ROW()-3)="","",INDEX(MASTER_DATABASE!$F$4:$F$1000,ROW()-3)&amp;"")</f>
        <v>विजिटिंग कार्ड डिज़ाइन</v>
      </c>
      <c r="G222" s="7" t="str">
        <f aca="false">IF(INDEX(MASTER_DATABASE!$A$4:$A$1000,ROW()-3)="","",INDEX(MASTER_DATABASE!$AL$4:$AL$1000,ROW()-3)&amp;"")</f>
        <v>Photo / Photoshop / Design</v>
      </c>
      <c r="H222" s="7" t="str">
        <f aca="false">IF(INDEX(MASTER_DATABASE!$A$4:$A$1000,ROW()-3)="","",INDEX(MASTER_DATABASE!$AM$4:$AM$1000,ROW()-3)&amp;"")</f>
        <v>Design Work</v>
      </c>
      <c r="I222" s="7" t="str">
        <f aca="false">IF(INDEX(MASTER_DATABASE!$A$4:$A$1000,ROW()-3)="","",INDEX(MASTER_DATABASE!$AO$4:$AO$1000,ROW()-3)&amp;"")</f>
        <v>visiting-card-design</v>
      </c>
      <c r="J222" s="7" t="str">
        <f aca="false">IF(INDEX(MASTER_DATABASE!$A$4:$A$1000,ROW()-3)="","",INDEX(MASTER_DATABASE!$BD$4:$BD$1000,ROW()-3)&amp;"")</f>
        <v>/services/visiting-card-design</v>
      </c>
      <c r="K222" s="7" t="str">
        <f aca="false">IF(INDEX(MASTER_DATABASE!$A$4:$A$1000,ROW()-3)="","",INDEX(MASTER_DATABASE!$AX$4:$AX$1000,ROW()-3)&amp;"")</f>
        <v>Visiting Card Design Service | Devmobile Stores</v>
      </c>
      <c r="L222" s="7" t="str">
        <f aca="false">IF(INDEX(MASTER_DATABASE!$A$4:$A$1000,ROW()-3)="","",INDEX(MASTER_DATABASE!$AY$4:$AY$1000,ROW()-3)&amp;"")</f>
        <v>Visiting Card Design (विजिटिंग कार्ड डिज़ाइन) at Devmobile Stores and Common Service Center &amp; Aadhaar Centre. Check required documents, charges and process before you visit.</v>
      </c>
      <c r="M222" s="7" t="str">
        <f aca="false">IF(INDEX(MASTER_DATABASE!$A$4:$A$1000,ROW()-3)="","",INDEX(MASTER_DATABASE!$AN$4:$AN$1000,ROW()-3)&amp;"")</f>
        <v>Visiting Card Design, Photo / Photoshop / Design, Devmobile Stores, विजिटिंग कार्ड डिज़ाइन, फोटो / फोटोशॉप / डिज़ाइन, सेवा</v>
      </c>
      <c r="N222" s="7" t="str">
        <f aca="false">IF(INDEX(MASTER_DATABASE!$A$4:$A$1000,ROW()-3)="","",INDEX(MASTER_DATABASE!$AZ$4:$AZ$1000,ROW()-3)&amp;"")</f>
        <v>विजिटिंग कार्ड डिज़ाइन, फोटो / फोटोशॉप / डिज़ाइन, सेवा</v>
      </c>
      <c r="O222" s="7" t="str">
        <f aca="false">IF(INDEX(MASTER_DATABASE!$A$4:$A$1000,ROW()-3)="","",INDEX(MASTER_DATABASE!$BA$4:$BA$1000,ROW()-3)&amp;"")</f>
        <v>Visiting Card Design, Photo / Photoshop / Design, Devmobile Stores</v>
      </c>
      <c r="P222" s="11" t="str">
        <f aca="false">IF(INDEX(MASTER_DATABASE!$A$4:$A$1000,ROW()-3)="","",INDEX(MASTER_DATABASE!$AP$4:$AP$1000,ROW()-3)&amp;"")</f>
        <v>🎨</v>
      </c>
      <c r="Q222" s="7" t="str">
        <f aca="false">IF(INDEX(MASTER_DATABASE!$A$4:$A$1000,ROW()-3)="","",INDEX(MASTER_DATABASE!$BB$4:$BB$1000,ROW()-3)&amp;"")</f>
        <v/>
      </c>
      <c r="R222" s="11" t="str">
        <f aca="false">IF(INDEX(MASTER_DATABASE!$A$4:$A$1000,ROW()-3)="","",INDEX(MASTER_DATABASE!$BC$4:$BC$1000,ROW()-3)&amp;"")</f>
        <v>📷</v>
      </c>
      <c r="S222" s="11" t="n">
        <f aca="false">IF(INDEX(MASTER_DATABASE!$A$4:$A$1000,ROW()-3)="","",INDEX(MASTER_DATABASE!$AQ$4:$AQ$1000,ROW()-3))</f>
        <v>170</v>
      </c>
      <c r="T222" s="7" t="str">
        <f aca="false">IF(INDEX(MASTER_DATABASE!$A$4:$A$1000,ROW()-3)="","",INDEX(MASTER_DATABASE!$I$4:$I$1000,ROW()-3)&amp;"")</f>
        <v>Available</v>
      </c>
      <c r="U222" s="7" t="str">
        <f aca="false">IF(INDEX(MASTER_DATABASE!$A$4:$A$1000,ROW()-3)="","",INDEX(MASTER_DATABASE!$J$4:$J$1000,ROW()-3)&amp;"")</f>
        <v>Available</v>
      </c>
      <c r="V222" s="7" t="str">
        <f aca="false">IF(INDEX(MASTER_DATABASE!$A$4:$A$1000,ROW()-3)="","",INDEX(MASTER_DATABASE!$AG$4:$AG$1000,ROW()-3)&amp;"")</f>
        <v>Active</v>
      </c>
      <c r="W222" s="7" t="str">
        <f aca="false">IF(INDEX(MASTER_DATABASE!$A$4:$A$1000,ROW()-3)="","",INDEX(MASTER_DATABASE!$AH$4:$AH$1000,ROW()-3)&amp;"")</f>
        <v>Yes</v>
      </c>
      <c r="X222" s="7" t="str">
        <f aca="false">IF(INDEX(MASTER_DATABASE!$A$4:$A$1000,ROW()-3)="","",INDEX(MASTER_DATABASE!$AI$4:$AI$1000,ROW()-3)&amp;"")</f>
        <v>No</v>
      </c>
      <c r="Y222" s="7" t="str">
        <f aca="false">IF(INDEX(MASTER_DATABASE!$A$4:$A$1000,ROW()-3)="","",INDEX(MASTER_DATABASE!$AJ$4:$AJ$1000,ROW()-3)&amp;"")</f>
        <v>No</v>
      </c>
      <c r="Z222" s="7" t="str">
        <f aca="false">IF(INDEX(MASTER_DATABASE!$A$4:$A$1000,ROW()-3)="","",INDEX(MASTER_DATABASE!$AK$4:$AK$1000,ROW()-3)&amp;"")</f>
        <v>No</v>
      </c>
      <c r="AA222" s="7" t="str">
        <f aca="false">IF(INDEX(MASTER_DATABASE!$A$4:$A$1000,ROW()-3)="","",INDEX(MASTER_DATABASE!$BE$4:$BE$1000,ROW()-3)&amp;"")</f>
        <v>LIVE</v>
      </c>
    </row>
    <row r="223" customFormat="false" ht="46.25" hidden="false" customHeight="false" outlineLevel="0" collapsed="false">
      <c r="A223" s="11" t="str">
        <f aca="false">IF(INDEX(MASTER_DATABASE!$A$4:$A$1000,ROW()-3)="","",INDEX(MASTER_DATABASE!$A$4:$A$1000,ROW()-3)&amp;"")</f>
        <v>PHO-018</v>
      </c>
      <c r="B223" s="7" t="str">
        <f aca="false">IF(INDEX(MASTER_DATABASE!$A$4:$A$1000,ROW()-3)="","",INDEX(MASTER_DATABASE!$B$4:$B$1000,ROW()-3)&amp;"")</f>
        <v>Photo / Photoshop / Design</v>
      </c>
      <c r="C223" s="7" t="str">
        <f aca="false">IF(INDEX(MASTER_DATABASE!$A$4:$A$1000,ROW()-3)="","",INDEX(MASTER_DATABASE!$C$4:$C$1000,ROW()-3)&amp;"")</f>
        <v>Photo &amp; Design Services</v>
      </c>
      <c r="D223" s="7" t="str">
        <f aca="false">IF(INDEX(MASTER_DATABASE!$A$4:$A$1000,ROW()-3)="","",INDEX(MASTER_DATABASE!$D$4:$D$1000,ROW()-3)&amp;"")</f>
        <v>Design Work</v>
      </c>
      <c r="E223" s="7" t="str">
        <f aca="false">IF(INDEX(MASTER_DATABASE!$A$4:$A$1000,ROW()-3)="","",INDEX(MASTER_DATABASE!$E$4:$E$1000,ROW()-3)&amp;"")</f>
        <v>ID Card Design</v>
      </c>
      <c r="F223" s="7" t="str">
        <f aca="false">IF(INDEX(MASTER_DATABASE!$A$4:$A$1000,ROW()-3)="","",INDEX(MASTER_DATABASE!$F$4:$F$1000,ROW()-3)&amp;"")</f>
        <v>आईडी कार्ड डिज़ाइन</v>
      </c>
      <c r="G223" s="7" t="str">
        <f aca="false">IF(INDEX(MASTER_DATABASE!$A$4:$A$1000,ROW()-3)="","",INDEX(MASTER_DATABASE!$AL$4:$AL$1000,ROW()-3)&amp;"")</f>
        <v>Photo / Photoshop / Design</v>
      </c>
      <c r="H223" s="7" t="str">
        <f aca="false">IF(INDEX(MASTER_DATABASE!$A$4:$A$1000,ROW()-3)="","",INDEX(MASTER_DATABASE!$AM$4:$AM$1000,ROW()-3)&amp;"")</f>
        <v>Design Work</v>
      </c>
      <c r="I223" s="7" t="str">
        <f aca="false">IF(INDEX(MASTER_DATABASE!$A$4:$A$1000,ROW()-3)="","",INDEX(MASTER_DATABASE!$AO$4:$AO$1000,ROW()-3)&amp;"")</f>
        <v>id-card-design</v>
      </c>
      <c r="J223" s="7" t="str">
        <f aca="false">IF(INDEX(MASTER_DATABASE!$A$4:$A$1000,ROW()-3)="","",INDEX(MASTER_DATABASE!$BD$4:$BD$1000,ROW()-3)&amp;"")</f>
        <v>/services/id-card-design</v>
      </c>
      <c r="K223" s="7" t="str">
        <f aca="false">IF(INDEX(MASTER_DATABASE!$A$4:$A$1000,ROW()-3)="","",INDEX(MASTER_DATABASE!$AX$4:$AX$1000,ROW()-3)&amp;"")</f>
        <v>ID Card Design Service | Devmobile Stores</v>
      </c>
      <c r="L223" s="7" t="str">
        <f aca="false">IF(INDEX(MASTER_DATABASE!$A$4:$A$1000,ROW()-3)="","",INDEX(MASTER_DATABASE!$AY$4:$AY$1000,ROW()-3)&amp;"")</f>
        <v>ID Card Design (आईडी कार्ड डिज़ाइन) at Devmobile Stores and Common Service Center &amp; Aadhaar Centre. Check required documents, charges and process before you visit.</v>
      </c>
      <c r="M223" s="7" t="str">
        <f aca="false">IF(INDEX(MASTER_DATABASE!$A$4:$A$1000,ROW()-3)="","",INDEX(MASTER_DATABASE!$AN$4:$AN$1000,ROW()-3)&amp;"")</f>
        <v>ID Card Design, Photo / Photoshop / Design, Devmobile Stores, आईडी कार्ड डिज़ाइन, फोटो / फोटोशॉप / डिज़ाइन, सेवा</v>
      </c>
      <c r="N223" s="7" t="str">
        <f aca="false">IF(INDEX(MASTER_DATABASE!$A$4:$A$1000,ROW()-3)="","",INDEX(MASTER_DATABASE!$AZ$4:$AZ$1000,ROW()-3)&amp;"")</f>
        <v>आईडी कार्ड डिज़ाइन, फोटो / फोटोशॉप / डिज़ाइन, सेवा</v>
      </c>
      <c r="O223" s="7" t="str">
        <f aca="false">IF(INDEX(MASTER_DATABASE!$A$4:$A$1000,ROW()-3)="","",INDEX(MASTER_DATABASE!$BA$4:$BA$1000,ROW()-3)&amp;"")</f>
        <v>ID Card Design, Photo / Photoshop / Design, Devmobile Stores</v>
      </c>
      <c r="P223" s="11" t="str">
        <f aca="false">IF(INDEX(MASTER_DATABASE!$A$4:$A$1000,ROW()-3)="","",INDEX(MASTER_DATABASE!$AP$4:$AP$1000,ROW()-3)&amp;"")</f>
        <v>🎨</v>
      </c>
      <c r="Q223" s="7" t="str">
        <f aca="false">IF(INDEX(MASTER_DATABASE!$A$4:$A$1000,ROW()-3)="","",INDEX(MASTER_DATABASE!$BB$4:$BB$1000,ROW()-3)&amp;"")</f>
        <v/>
      </c>
      <c r="R223" s="11" t="str">
        <f aca="false">IF(INDEX(MASTER_DATABASE!$A$4:$A$1000,ROW()-3)="","",INDEX(MASTER_DATABASE!$BC$4:$BC$1000,ROW()-3)&amp;"")</f>
        <v>📷</v>
      </c>
      <c r="S223" s="11" t="n">
        <f aca="false">IF(INDEX(MASTER_DATABASE!$A$4:$A$1000,ROW()-3)="","",INDEX(MASTER_DATABASE!$AQ$4:$AQ$1000,ROW()-3))</f>
        <v>180</v>
      </c>
      <c r="T223" s="7" t="str">
        <f aca="false">IF(INDEX(MASTER_DATABASE!$A$4:$A$1000,ROW()-3)="","",INDEX(MASTER_DATABASE!$I$4:$I$1000,ROW()-3)&amp;"")</f>
        <v>Available</v>
      </c>
      <c r="U223" s="7" t="str">
        <f aca="false">IF(INDEX(MASTER_DATABASE!$A$4:$A$1000,ROW()-3)="","",INDEX(MASTER_DATABASE!$J$4:$J$1000,ROW()-3)&amp;"")</f>
        <v>Available</v>
      </c>
      <c r="V223" s="7" t="str">
        <f aca="false">IF(INDEX(MASTER_DATABASE!$A$4:$A$1000,ROW()-3)="","",INDEX(MASTER_DATABASE!$AG$4:$AG$1000,ROW()-3)&amp;"")</f>
        <v>Active</v>
      </c>
      <c r="W223" s="7" t="str">
        <f aca="false">IF(INDEX(MASTER_DATABASE!$A$4:$A$1000,ROW()-3)="","",INDEX(MASTER_DATABASE!$AH$4:$AH$1000,ROW()-3)&amp;"")</f>
        <v>Yes</v>
      </c>
      <c r="X223" s="7" t="str">
        <f aca="false">IF(INDEX(MASTER_DATABASE!$A$4:$A$1000,ROW()-3)="","",INDEX(MASTER_DATABASE!$AI$4:$AI$1000,ROW()-3)&amp;"")</f>
        <v>No</v>
      </c>
      <c r="Y223" s="7" t="str">
        <f aca="false">IF(INDEX(MASTER_DATABASE!$A$4:$A$1000,ROW()-3)="","",INDEX(MASTER_DATABASE!$AJ$4:$AJ$1000,ROW()-3)&amp;"")</f>
        <v>No</v>
      </c>
      <c r="Z223" s="7" t="str">
        <f aca="false">IF(INDEX(MASTER_DATABASE!$A$4:$A$1000,ROW()-3)="","",INDEX(MASTER_DATABASE!$AK$4:$AK$1000,ROW()-3)&amp;"")</f>
        <v>No</v>
      </c>
      <c r="AA223" s="7" t="str">
        <f aca="false">IF(INDEX(MASTER_DATABASE!$A$4:$A$1000,ROW()-3)="","",INDEX(MASTER_DATABASE!$BE$4:$BE$1000,ROW()-3)&amp;"")</f>
        <v>LIVE</v>
      </c>
    </row>
    <row r="224" customFormat="false" ht="46.25" hidden="false" customHeight="false" outlineLevel="0" collapsed="false">
      <c r="A224" s="11" t="str">
        <f aca="false">IF(INDEX(MASTER_DATABASE!$A$4:$A$1000,ROW()-3)="","",INDEX(MASTER_DATABASE!$A$4:$A$1000,ROW()-3)&amp;"")</f>
        <v>PHO-019</v>
      </c>
      <c r="B224" s="7" t="str">
        <f aca="false">IF(INDEX(MASTER_DATABASE!$A$4:$A$1000,ROW()-3)="","",INDEX(MASTER_DATABASE!$B$4:$B$1000,ROW()-3)&amp;"")</f>
        <v>Photo / Photoshop / Design</v>
      </c>
      <c r="C224" s="7" t="str">
        <f aca="false">IF(INDEX(MASTER_DATABASE!$A$4:$A$1000,ROW()-3)="","",INDEX(MASTER_DATABASE!$C$4:$C$1000,ROW()-3)&amp;"")</f>
        <v>Photo &amp; Design Services</v>
      </c>
      <c r="D224" s="7" t="str">
        <f aca="false">IF(INDEX(MASTER_DATABASE!$A$4:$A$1000,ROW()-3)="","",INDEX(MASTER_DATABASE!$D$4:$D$1000,ROW()-3)&amp;"")</f>
        <v>Design Work</v>
      </c>
      <c r="E224" s="7" t="str">
        <f aca="false">IF(INDEX(MASTER_DATABASE!$A$4:$A$1000,ROW()-3)="","",INDEX(MASTER_DATABASE!$E$4:$E$1000,ROW()-3)&amp;"")</f>
        <v>Certificate Design</v>
      </c>
      <c r="F224" s="7" t="str">
        <f aca="false">IF(INDEX(MASTER_DATABASE!$A$4:$A$1000,ROW()-3)="","",INDEX(MASTER_DATABASE!$F$4:$F$1000,ROW()-3)&amp;"")</f>
        <v>सर्टिफिकेट डिज़ाइन</v>
      </c>
      <c r="G224" s="7" t="str">
        <f aca="false">IF(INDEX(MASTER_DATABASE!$A$4:$A$1000,ROW()-3)="","",INDEX(MASTER_DATABASE!$AL$4:$AL$1000,ROW()-3)&amp;"")</f>
        <v>Photo / Photoshop / Design</v>
      </c>
      <c r="H224" s="7" t="str">
        <f aca="false">IF(INDEX(MASTER_DATABASE!$A$4:$A$1000,ROW()-3)="","",INDEX(MASTER_DATABASE!$AM$4:$AM$1000,ROW()-3)&amp;"")</f>
        <v>Design Work</v>
      </c>
      <c r="I224" s="7" t="str">
        <f aca="false">IF(INDEX(MASTER_DATABASE!$A$4:$A$1000,ROW()-3)="","",INDEX(MASTER_DATABASE!$AO$4:$AO$1000,ROW()-3)&amp;"")</f>
        <v>certificate-design</v>
      </c>
      <c r="J224" s="7" t="str">
        <f aca="false">IF(INDEX(MASTER_DATABASE!$A$4:$A$1000,ROW()-3)="","",INDEX(MASTER_DATABASE!$BD$4:$BD$1000,ROW()-3)&amp;"")</f>
        <v>/services/certificate-design</v>
      </c>
      <c r="K224" s="7" t="str">
        <f aca="false">IF(INDEX(MASTER_DATABASE!$A$4:$A$1000,ROW()-3)="","",INDEX(MASTER_DATABASE!$AX$4:$AX$1000,ROW()-3)&amp;"")</f>
        <v>Certificate Design Service | Devmobile Stores</v>
      </c>
      <c r="L224" s="7" t="str">
        <f aca="false">IF(INDEX(MASTER_DATABASE!$A$4:$A$1000,ROW()-3)="","",INDEX(MASTER_DATABASE!$AY$4:$AY$1000,ROW()-3)&amp;"")</f>
        <v>Certificate Design (सर्टिफिकेट डिज़ाइन) at Devmobile Stores and Common Service Center &amp; Aadhaar Centre. Check required documents, charges and process before you visit.</v>
      </c>
      <c r="M224" s="7" t="str">
        <f aca="false">IF(INDEX(MASTER_DATABASE!$A$4:$A$1000,ROW()-3)="","",INDEX(MASTER_DATABASE!$AN$4:$AN$1000,ROW()-3)&amp;"")</f>
        <v>Certificate Design, Photo / Photoshop / Design, Devmobile Stores, सर्टिफिकेट डिज़ाइन, फोटो / फोटोशॉप / डिज़ाइन, सेवा</v>
      </c>
      <c r="N224" s="7" t="str">
        <f aca="false">IF(INDEX(MASTER_DATABASE!$A$4:$A$1000,ROW()-3)="","",INDEX(MASTER_DATABASE!$AZ$4:$AZ$1000,ROW()-3)&amp;"")</f>
        <v>सर्टिफिकेट डिज़ाइन, फोटो / फोटोशॉप / डिज़ाइन, सेवा</v>
      </c>
      <c r="O224" s="7" t="str">
        <f aca="false">IF(INDEX(MASTER_DATABASE!$A$4:$A$1000,ROW()-3)="","",INDEX(MASTER_DATABASE!$BA$4:$BA$1000,ROW()-3)&amp;"")</f>
        <v>Certificate Design, Photo / Photoshop / Design, Devmobile Stores</v>
      </c>
      <c r="P224" s="11" t="str">
        <f aca="false">IF(INDEX(MASTER_DATABASE!$A$4:$A$1000,ROW()-3)="","",INDEX(MASTER_DATABASE!$AP$4:$AP$1000,ROW()-3)&amp;"")</f>
        <v>🎨</v>
      </c>
      <c r="Q224" s="7" t="str">
        <f aca="false">IF(INDEX(MASTER_DATABASE!$A$4:$A$1000,ROW()-3)="","",INDEX(MASTER_DATABASE!$BB$4:$BB$1000,ROW()-3)&amp;"")</f>
        <v/>
      </c>
      <c r="R224" s="11" t="str">
        <f aca="false">IF(INDEX(MASTER_DATABASE!$A$4:$A$1000,ROW()-3)="","",INDEX(MASTER_DATABASE!$BC$4:$BC$1000,ROW()-3)&amp;"")</f>
        <v>📷</v>
      </c>
      <c r="S224" s="11" t="n">
        <f aca="false">IF(INDEX(MASTER_DATABASE!$A$4:$A$1000,ROW()-3)="","",INDEX(MASTER_DATABASE!$AQ$4:$AQ$1000,ROW()-3))</f>
        <v>190</v>
      </c>
      <c r="T224" s="7" t="str">
        <f aca="false">IF(INDEX(MASTER_DATABASE!$A$4:$A$1000,ROW()-3)="","",INDEX(MASTER_DATABASE!$I$4:$I$1000,ROW()-3)&amp;"")</f>
        <v>Available</v>
      </c>
      <c r="U224" s="7" t="str">
        <f aca="false">IF(INDEX(MASTER_DATABASE!$A$4:$A$1000,ROW()-3)="","",INDEX(MASTER_DATABASE!$J$4:$J$1000,ROW()-3)&amp;"")</f>
        <v>Available</v>
      </c>
      <c r="V224" s="7" t="str">
        <f aca="false">IF(INDEX(MASTER_DATABASE!$A$4:$A$1000,ROW()-3)="","",INDEX(MASTER_DATABASE!$AG$4:$AG$1000,ROW()-3)&amp;"")</f>
        <v>Active</v>
      </c>
      <c r="W224" s="7" t="str">
        <f aca="false">IF(INDEX(MASTER_DATABASE!$A$4:$A$1000,ROW()-3)="","",INDEX(MASTER_DATABASE!$AH$4:$AH$1000,ROW()-3)&amp;"")</f>
        <v>Yes</v>
      </c>
      <c r="X224" s="7" t="str">
        <f aca="false">IF(INDEX(MASTER_DATABASE!$A$4:$A$1000,ROW()-3)="","",INDEX(MASTER_DATABASE!$AI$4:$AI$1000,ROW()-3)&amp;"")</f>
        <v>No</v>
      </c>
      <c r="Y224" s="7" t="str">
        <f aca="false">IF(INDEX(MASTER_DATABASE!$A$4:$A$1000,ROW()-3)="","",INDEX(MASTER_DATABASE!$AJ$4:$AJ$1000,ROW()-3)&amp;"")</f>
        <v>No</v>
      </c>
      <c r="Z224" s="7" t="str">
        <f aca="false">IF(INDEX(MASTER_DATABASE!$A$4:$A$1000,ROW()-3)="","",INDEX(MASTER_DATABASE!$AK$4:$AK$1000,ROW()-3)&amp;"")</f>
        <v>No</v>
      </c>
      <c r="AA224" s="7" t="str">
        <f aca="false">IF(INDEX(MASTER_DATABASE!$A$4:$A$1000,ROW()-3)="","",INDEX(MASTER_DATABASE!$BE$4:$BE$1000,ROW()-3)&amp;"")</f>
        <v>LIVE</v>
      </c>
    </row>
    <row r="225" customFormat="false" ht="46.25" hidden="false" customHeight="false" outlineLevel="0" collapsed="false">
      <c r="A225" s="11" t="str">
        <f aca="false">IF(INDEX(MASTER_DATABASE!$A$4:$A$1000,ROW()-3)="","",INDEX(MASTER_DATABASE!$A$4:$A$1000,ROW()-3)&amp;"")</f>
        <v>PHO-020</v>
      </c>
      <c r="B225" s="7" t="str">
        <f aca="false">IF(INDEX(MASTER_DATABASE!$A$4:$A$1000,ROW()-3)="","",INDEX(MASTER_DATABASE!$B$4:$B$1000,ROW()-3)&amp;"")</f>
        <v>Photo / Photoshop / Design</v>
      </c>
      <c r="C225" s="7" t="str">
        <f aca="false">IF(INDEX(MASTER_DATABASE!$A$4:$A$1000,ROW()-3)="","",INDEX(MASTER_DATABASE!$C$4:$C$1000,ROW()-3)&amp;"")</f>
        <v>Photo &amp; Design Services</v>
      </c>
      <c r="D225" s="7" t="str">
        <f aca="false">IF(INDEX(MASTER_DATABASE!$A$4:$A$1000,ROW()-3)="","",INDEX(MASTER_DATABASE!$D$4:$D$1000,ROW()-3)&amp;"")</f>
        <v>Design Work</v>
      </c>
      <c r="E225" s="7" t="str">
        <f aca="false">IF(INDEX(MASTER_DATABASE!$A$4:$A$1000,ROW()-3)="","",INDEX(MASTER_DATABASE!$E$4:$E$1000,ROW()-3)&amp;"")</f>
        <v>Poster Design</v>
      </c>
      <c r="F225" s="7" t="str">
        <f aca="false">IF(INDEX(MASTER_DATABASE!$A$4:$A$1000,ROW()-3)="","",INDEX(MASTER_DATABASE!$F$4:$F$1000,ROW()-3)&amp;"")</f>
        <v>पोस्टर डिज़ाइन</v>
      </c>
      <c r="G225" s="7" t="str">
        <f aca="false">IF(INDEX(MASTER_DATABASE!$A$4:$A$1000,ROW()-3)="","",INDEX(MASTER_DATABASE!$AL$4:$AL$1000,ROW()-3)&amp;"")</f>
        <v>Photo / Photoshop / Design</v>
      </c>
      <c r="H225" s="7" t="str">
        <f aca="false">IF(INDEX(MASTER_DATABASE!$A$4:$A$1000,ROW()-3)="","",INDEX(MASTER_DATABASE!$AM$4:$AM$1000,ROW()-3)&amp;"")</f>
        <v>Design Work</v>
      </c>
      <c r="I225" s="7" t="str">
        <f aca="false">IF(INDEX(MASTER_DATABASE!$A$4:$A$1000,ROW()-3)="","",INDEX(MASTER_DATABASE!$AO$4:$AO$1000,ROW()-3)&amp;"")</f>
        <v>poster-design</v>
      </c>
      <c r="J225" s="7" t="str">
        <f aca="false">IF(INDEX(MASTER_DATABASE!$A$4:$A$1000,ROW()-3)="","",INDEX(MASTER_DATABASE!$BD$4:$BD$1000,ROW()-3)&amp;"")</f>
        <v>/services/poster-design</v>
      </c>
      <c r="K225" s="7" t="str">
        <f aca="false">IF(INDEX(MASTER_DATABASE!$A$4:$A$1000,ROW()-3)="","",INDEX(MASTER_DATABASE!$AX$4:$AX$1000,ROW()-3)&amp;"")</f>
        <v>Poster Design Service | Devmobile Stores</v>
      </c>
      <c r="L225" s="7" t="str">
        <f aca="false">IF(INDEX(MASTER_DATABASE!$A$4:$A$1000,ROW()-3)="","",INDEX(MASTER_DATABASE!$AY$4:$AY$1000,ROW()-3)&amp;"")</f>
        <v>Poster Design (पोस्टर डिज़ाइन) at Devmobile Stores and Common Service Center &amp; Aadhaar Centre. Check required documents, charges and process before you visit.</v>
      </c>
      <c r="M225" s="7" t="str">
        <f aca="false">IF(INDEX(MASTER_DATABASE!$A$4:$A$1000,ROW()-3)="","",INDEX(MASTER_DATABASE!$AN$4:$AN$1000,ROW()-3)&amp;"")</f>
        <v>Poster Design, Photo / Photoshop / Design, Devmobile Stores, पोस्टर डिज़ाइन, फोटो / फोटोशॉप / डिज़ाइन, सेवा</v>
      </c>
      <c r="N225" s="7" t="str">
        <f aca="false">IF(INDEX(MASTER_DATABASE!$A$4:$A$1000,ROW()-3)="","",INDEX(MASTER_DATABASE!$AZ$4:$AZ$1000,ROW()-3)&amp;"")</f>
        <v>पोस्टर डिज़ाइन, फोटो / फोटोशॉप / डिज़ाइन, सेवा</v>
      </c>
      <c r="O225" s="7" t="str">
        <f aca="false">IF(INDEX(MASTER_DATABASE!$A$4:$A$1000,ROW()-3)="","",INDEX(MASTER_DATABASE!$BA$4:$BA$1000,ROW()-3)&amp;"")</f>
        <v>Poster Design, Photo / Photoshop / Design, Devmobile Stores</v>
      </c>
      <c r="P225" s="11" t="str">
        <f aca="false">IF(INDEX(MASTER_DATABASE!$A$4:$A$1000,ROW()-3)="","",INDEX(MASTER_DATABASE!$AP$4:$AP$1000,ROW()-3)&amp;"")</f>
        <v>🎨</v>
      </c>
      <c r="Q225" s="7" t="str">
        <f aca="false">IF(INDEX(MASTER_DATABASE!$A$4:$A$1000,ROW()-3)="","",INDEX(MASTER_DATABASE!$BB$4:$BB$1000,ROW()-3)&amp;"")</f>
        <v/>
      </c>
      <c r="R225" s="11" t="str">
        <f aca="false">IF(INDEX(MASTER_DATABASE!$A$4:$A$1000,ROW()-3)="","",INDEX(MASTER_DATABASE!$BC$4:$BC$1000,ROW()-3)&amp;"")</f>
        <v>📷</v>
      </c>
      <c r="S225" s="11" t="n">
        <f aca="false">IF(INDEX(MASTER_DATABASE!$A$4:$A$1000,ROW()-3)="","",INDEX(MASTER_DATABASE!$AQ$4:$AQ$1000,ROW()-3))</f>
        <v>200</v>
      </c>
      <c r="T225" s="7" t="str">
        <f aca="false">IF(INDEX(MASTER_DATABASE!$A$4:$A$1000,ROW()-3)="","",INDEX(MASTER_DATABASE!$I$4:$I$1000,ROW()-3)&amp;"")</f>
        <v>Available</v>
      </c>
      <c r="U225" s="7" t="str">
        <f aca="false">IF(INDEX(MASTER_DATABASE!$A$4:$A$1000,ROW()-3)="","",INDEX(MASTER_DATABASE!$J$4:$J$1000,ROW()-3)&amp;"")</f>
        <v>Available</v>
      </c>
      <c r="V225" s="7" t="str">
        <f aca="false">IF(INDEX(MASTER_DATABASE!$A$4:$A$1000,ROW()-3)="","",INDEX(MASTER_DATABASE!$AG$4:$AG$1000,ROW()-3)&amp;"")</f>
        <v>Active</v>
      </c>
      <c r="W225" s="7" t="str">
        <f aca="false">IF(INDEX(MASTER_DATABASE!$A$4:$A$1000,ROW()-3)="","",INDEX(MASTER_DATABASE!$AH$4:$AH$1000,ROW()-3)&amp;"")</f>
        <v>Yes</v>
      </c>
      <c r="X225" s="7" t="str">
        <f aca="false">IF(INDEX(MASTER_DATABASE!$A$4:$A$1000,ROW()-3)="","",INDEX(MASTER_DATABASE!$AI$4:$AI$1000,ROW()-3)&amp;"")</f>
        <v>No</v>
      </c>
      <c r="Y225" s="7" t="str">
        <f aca="false">IF(INDEX(MASTER_DATABASE!$A$4:$A$1000,ROW()-3)="","",INDEX(MASTER_DATABASE!$AJ$4:$AJ$1000,ROW()-3)&amp;"")</f>
        <v>No</v>
      </c>
      <c r="Z225" s="7" t="str">
        <f aca="false">IF(INDEX(MASTER_DATABASE!$A$4:$A$1000,ROW()-3)="","",INDEX(MASTER_DATABASE!$AK$4:$AK$1000,ROW()-3)&amp;"")</f>
        <v>No</v>
      </c>
      <c r="AA225" s="7" t="str">
        <f aca="false">IF(INDEX(MASTER_DATABASE!$A$4:$A$1000,ROW()-3)="","",INDEX(MASTER_DATABASE!$BE$4:$BE$1000,ROW()-3)&amp;"")</f>
        <v>LIVE</v>
      </c>
    </row>
    <row r="226" customFormat="false" ht="46.25" hidden="false" customHeight="false" outlineLevel="0" collapsed="false">
      <c r="A226" s="11" t="str">
        <f aca="false">IF(INDEX(MASTER_DATABASE!$A$4:$A$1000,ROW()-3)="","",INDEX(MASTER_DATABASE!$A$4:$A$1000,ROW()-3)&amp;"")</f>
        <v>PHO-021</v>
      </c>
      <c r="B226" s="7" t="str">
        <f aca="false">IF(INDEX(MASTER_DATABASE!$A$4:$A$1000,ROW()-3)="","",INDEX(MASTER_DATABASE!$B$4:$B$1000,ROW()-3)&amp;"")</f>
        <v>Photo / Photoshop / Design</v>
      </c>
      <c r="C226" s="7" t="str">
        <f aca="false">IF(INDEX(MASTER_DATABASE!$A$4:$A$1000,ROW()-3)="","",INDEX(MASTER_DATABASE!$C$4:$C$1000,ROW()-3)&amp;"")</f>
        <v>Photo &amp; Design Services</v>
      </c>
      <c r="D226" s="7" t="str">
        <f aca="false">IF(INDEX(MASTER_DATABASE!$A$4:$A$1000,ROW()-3)="","",INDEX(MASTER_DATABASE!$D$4:$D$1000,ROW()-3)&amp;"")</f>
        <v>Design Work</v>
      </c>
      <c r="E226" s="7" t="str">
        <f aca="false">IF(INDEX(MASTER_DATABASE!$A$4:$A$1000,ROW()-3)="","",INDEX(MASTER_DATABASE!$E$4:$E$1000,ROW()-3)&amp;"")</f>
        <v>Banner Design</v>
      </c>
      <c r="F226" s="7" t="str">
        <f aca="false">IF(INDEX(MASTER_DATABASE!$A$4:$A$1000,ROW()-3)="","",INDEX(MASTER_DATABASE!$F$4:$F$1000,ROW()-3)&amp;"")</f>
        <v>बैनर डिज़ाइन</v>
      </c>
      <c r="G226" s="7" t="str">
        <f aca="false">IF(INDEX(MASTER_DATABASE!$A$4:$A$1000,ROW()-3)="","",INDEX(MASTER_DATABASE!$AL$4:$AL$1000,ROW()-3)&amp;"")</f>
        <v>Photo / Photoshop / Design</v>
      </c>
      <c r="H226" s="7" t="str">
        <f aca="false">IF(INDEX(MASTER_DATABASE!$A$4:$A$1000,ROW()-3)="","",INDEX(MASTER_DATABASE!$AM$4:$AM$1000,ROW()-3)&amp;"")</f>
        <v>Design Work</v>
      </c>
      <c r="I226" s="7" t="str">
        <f aca="false">IF(INDEX(MASTER_DATABASE!$A$4:$A$1000,ROW()-3)="","",INDEX(MASTER_DATABASE!$AO$4:$AO$1000,ROW()-3)&amp;"")</f>
        <v>banner-design</v>
      </c>
      <c r="J226" s="7" t="str">
        <f aca="false">IF(INDEX(MASTER_DATABASE!$A$4:$A$1000,ROW()-3)="","",INDEX(MASTER_DATABASE!$BD$4:$BD$1000,ROW()-3)&amp;"")</f>
        <v>/services/banner-design</v>
      </c>
      <c r="K226" s="7" t="str">
        <f aca="false">IF(INDEX(MASTER_DATABASE!$A$4:$A$1000,ROW()-3)="","",INDEX(MASTER_DATABASE!$AX$4:$AX$1000,ROW()-3)&amp;"")</f>
        <v>Banner Design Service | Devmobile Stores</v>
      </c>
      <c r="L226" s="7" t="str">
        <f aca="false">IF(INDEX(MASTER_DATABASE!$A$4:$A$1000,ROW()-3)="","",INDEX(MASTER_DATABASE!$AY$4:$AY$1000,ROW()-3)&amp;"")</f>
        <v>Banner Design (बैनर डिज़ाइन) at Devmobile Stores and Common Service Center &amp; Aadhaar Centre. Check required documents, charges and process before you visit.</v>
      </c>
      <c r="M226" s="7" t="str">
        <f aca="false">IF(INDEX(MASTER_DATABASE!$A$4:$A$1000,ROW()-3)="","",INDEX(MASTER_DATABASE!$AN$4:$AN$1000,ROW()-3)&amp;"")</f>
        <v>Banner Design, Photo / Photoshop / Design, Devmobile Stores, बैनर डिज़ाइन, फोटो / फोटोशॉप / डिज़ाइन, सेवा</v>
      </c>
      <c r="N226" s="7" t="str">
        <f aca="false">IF(INDEX(MASTER_DATABASE!$A$4:$A$1000,ROW()-3)="","",INDEX(MASTER_DATABASE!$AZ$4:$AZ$1000,ROW()-3)&amp;"")</f>
        <v>बैनर डिज़ाइन, फोटो / फोटोशॉप / डिज़ाइन, सेवा</v>
      </c>
      <c r="O226" s="7" t="str">
        <f aca="false">IF(INDEX(MASTER_DATABASE!$A$4:$A$1000,ROW()-3)="","",INDEX(MASTER_DATABASE!$BA$4:$BA$1000,ROW()-3)&amp;"")</f>
        <v>Banner Design, Photo / Photoshop / Design, Devmobile Stores</v>
      </c>
      <c r="P226" s="11" t="str">
        <f aca="false">IF(INDEX(MASTER_DATABASE!$A$4:$A$1000,ROW()-3)="","",INDEX(MASTER_DATABASE!$AP$4:$AP$1000,ROW()-3)&amp;"")</f>
        <v>🎨</v>
      </c>
      <c r="Q226" s="7" t="str">
        <f aca="false">IF(INDEX(MASTER_DATABASE!$A$4:$A$1000,ROW()-3)="","",INDEX(MASTER_DATABASE!$BB$4:$BB$1000,ROW()-3)&amp;"")</f>
        <v/>
      </c>
      <c r="R226" s="11" t="str">
        <f aca="false">IF(INDEX(MASTER_DATABASE!$A$4:$A$1000,ROW()-3)="","",INDEX(MASTER_DATABASE!$BC$4:$BC$1000,ROW()-3)&amp;"")</f>
        <v>📷</v>
      </c>
      <c r="S226" s="11" t="n">
        <f aca="false">IF(INDEX(MASTER_DATABASE!$A$4:$A$1000,ROW()-3)="","",INDEX(MASTER_DATABASE!$AQ$4:$AQ$1000,ROW()-3))</f>
        <v>210</v>
      </c>
      <c r="T226" s="7" t="str">
        <f aca="false">IF(INDEX(MASTER_DATABASE!$A$4:$A$1000,ROW()-3)="","",INDEX(MASTER_DATABASE!$I$4:$I$1000,ROW()-3)&amp;"")</f>
        <v>Available</v>
      </c>
      <c r="U226" s="7" t="str">
        <f aca="false">IF(INDEX(MASTER_DATABASE!$A$4:$A$1000,ROW()-3)="","",INDEX(MASTER_DATABASE!$J$4:$J$1000,ROW()-3)&amp;"")</f>
        <v>Available</v>
      </c>
      <c r="V226" s="7" t="str">
        <f aca="false">IF(INDEX(MASTER_DATABASE!$A$4:$A$1000,ROW()-3)="","",INDEX(MASTER_DATABASE!$AG$4:$AG$1000,ROW()-3)&amp;"")</f>
        <v>Active</v>
      </c>
      <c r="W226" s="7" t="str">
        <f aca="false">IF(INDEX(MASTER_DATABASE!$A$4:$A$1000,ROW()-3)="","",INDEX(MASTER_DATABASE!$AH$4:$AH$1000,ROW()-3)&amp;"")</f>
        <v>Yes</v>
      </c>
      <c r="X226" s="7" t="str">
        <f aca="false">IF(INDEX(MASTER_DATABASE!$A$4:$A$1000,ROW()-3)="","",INDEX(MASTER_DATABASE!$AI$4:$AI$1000,ROW()-3)&amp;"")</f>
        <v>No</v>
      </c>
      <c r="Y226" s="7" t="str">
        <f aca="false">IF(INDEX(MASTER_DATABASE!$A$4:$A$1000,ROW()-3)="","",INDEX(MASTER_DATABASE!$AJ$4:$AJ$1000,ROW()-3)&amp;"")</f>
        <v>No</v>
      </c>
      <c r="Z226" s="7" t="str">
        <f aca="false">IF(INDEX(MASTER_DATABASE!$A$4:$A$1000,ROW()-3)="","",INDEX(MASTER_DATABASE!$AK$4:$AK$1000,ROW()-3)&amp;"")</f>
        <v>No</v>
      </c>
      <c r="AA226" s="7" t="str">
        <f aca="false">IF(INDEX(MASTER_DATABASE!$A$4:$A$1000,ROW()-3)="","",INDEX(MASTER_DATABASE!$BE$4:$BE$1000,ROW()-3)&amp;"")</f>
        <v>LIVE</v>
      </c>
    </row>
    <row r="227" customFormat="false" ht="46.25" hidden="false" customHeight="false" outlineLevel="0" collapsed="false">
      <c r="A227" s="11" t="str">
        <f aca="false">IF(INDEX(MASTER_DATABASE!$A$4:$A$1000,ROW()-3)="","",INDEX(MASTER_DATABASE!$A$4:$A$1000,ROW()-3)&amp;"")</f>
        <v>PHO-022</v>
      </c>
      <c r="B227" s="7" t="str">
        <f aca="false">IF(INDEX(MASTER_DATABASE!$A$4:$A$1000,ROW()-3)="","",INDEX(MASTER_DATABASE!$B$4:$B$1000,ROW()-3)&amp;"")</f>
        <v>Photo / Photoshop / Design</v>
      </c>
      <c r="C227" s="7" t="str">
        <f aca="false">IF(INDEX(MASTER_DATABASE!$A$4:$A$1000,ROW()-3)="","",INDEX(MASTER_DATABASE!$C$4:$C$1000,ROW()-3)&amp;"")</f>
        <v>Photo &amp; Design Services</v>
      </c>
      <c r="D227" s="7" t="str">
        <f aca="false">IF(INDEX(MASTER_DATABASE!$A$4:$A$1000,ROW()-3)="","",INDEX(MASTER_DATABASE!$D$4:$D$1000,ROW()-3)&amp;"")</f>
        <v>Design Work</v>
      </c>
      <c r="E227" s="7" t="str">
        <f aca="false">IF(INDEX(MASTER_DATABASE!$A$4:$A$1000,ROW()-3)="","",INDEX(MASTER_DATABASE!$E$4:$E$1000,ROW()-3)&amp;"")</f>
        <v>Pamphlet Design</v>
      </c>
      <c r="F227" s="7" t="str">
        <f aca="false">IF(INDEX(MASTER_DATABASE!$A$4:$A$1000,ROW()-3)="","",INDEX(MASTER_DATABASE!$F$4:$F$1000,ROW()-3)&amp;"")</f>
        <v>पम्फलेट डिज़ाइन</v>
      </c>
      <c r="G227" s="7" t="str">
        <f aca="false">IF(INDEX(MASTER_DATABASE!$A$4:$A$1000,ROW()-3)="","",INDEX(MASTER_DATABASE!$AL$4:$AL$1000,ROW()-3)&amp;"")</f>
        <v>Photo / Photoshop / Design</v>
      </c>
      <c r="H227" s="7" t="str">
        <f aca="false">IF(INDEX(MASTER_DATABASE!$A$4:$A$1000,ROW()-3)="","",INDEX(MASTER_DATABASE!$AM$4:$AM$1000,ROW()-3)&amp;"")</f>
        <v>Design Work</v>
      </c>
      <c r="I227" s="7" t="str">
        <f aca="false">IF(INDEX(MASTER_DATABASE!$A$4:$A$1000,ROW()-3)="","",INDEX(MASTER_DATABASE!$AO$4:$AO$1000,ROW()-3)&amp;"")</f>
        <v>pamphlet-design</v>
      </c>
      <c r="J227" s="7" t="str">
        <f aca="false">IF(INDEX(MASTER_DATABASE!$A$4:$A$1000,ROW()-3)="","",INDEX(MASTER_DATABASE!$BD$4:$BD$1000,ROW()-3)&amp;"")</f>
        <v>/services/pamphlet-design</v>
      </c>
      <c r="K227" s="7" t="str">
        <f aca="false">IF(INDEX(MASTER_DATABASE!$A$4:$A$1000,ROW()-3)="","",INDEX(MASTER_DATABASE!$AX$4:$AX$1000,ROW()-3)&amp;"")</f>
        <v>Pamphlet Design Service | Devmobile Stores</v>
      </c>
      <c r="L227" s="7" t="str">
        <f aca="false">IF(INDEX(MASTER_DATABASE!$A$4:$A$1000,ROW()-3)="","",INDEX(MASTER_DATABASE!$AY$4:$AY$1000,ROW()-3)&amp;"")</f>
        <v>Pamphlet Design (पम्फलेट डिज़ाइन) at Devmobile Stores and Common Service Center &amp; Aadhaar Centre. Check required documents, charges and process before you visit.</v>
      </c>
      <c r="M227" s="7" t="str">
        <f aca="false">IF(INDEX(MASTER_DATABASE!$A$4:$A$1000,ROW()-3)="","",INDEX(MASTER_DATABASE!$AN$4:$AN$1000,ROW()-3)&amp;"")</f>
        <v>Pamphlet Design, Photo / Photoshop / Design, Devmobile Stores, पम्फलेट डिज़ाइन, फोटो / फोटोशॉप / डिज़ाइन, सेवा</v>
      </c>
      <c r="N227" s="7" t="str">
        <f aca="false">IF(INDEX(MASTER_DATABASE!$A$4:$A$1000,ROW()-3)="","",INDEX(MASTER_DATABASE!$AZ$4:$AZ$1000,ROW()-3)&amp;"")</f>
        <v>पम्फलेट डिज़ाइन, फोटो / फोटोशॉप / डिज़ाइन, सेवा</v>
      </c>
      <c r="O227" s="7" t="str">
        <f aca="false">IF(INDEX(MASTER_DATABASE!$A$4:$A$1000,ROW()-3)="","",INDEX(MASTER_DATABASE!$BA$4:$BA$1000,ROW()-3)&amp;"")</f>
        <v>Pamphlet Design, Photo / Photoshop / Design, Devmobile Stores</v>
      </c>
      <c r="P227" s="11" t="str">
        <f aca="false">IF(INDEX(MASTER_DATABASE!$A$4:$A$1000,ROW()-3)="","",INDEX(MASTER_DATABASE!$AP$4:$AP$1000,ROW()-3)&amp;"")</f>
        <v>🎨</v>
      </c>
      <c r="Q227" s="7" t="str">
        <f aca="false">IF(INDEX(MASTER_DATABASE!$A$4:$A$1000,ROW()-3)="","",INDEX(MASTER_DATABASE!$BB$4:$BB$1000,ROW()-3)&amp;"")</f>
        <v/>
      </c>
      <c r="R227" s="11" t="str">
        <f aca="false">IF(INDEX(MASTER_DATABASE!$A$4:$A$1000,ROW()-3)="","",INDEX(MASTER_DATABASE!$BC$4:$BC$1000,ROW()-3)&amp;"")</f>
        <v>📷</v>
      </c>
      <c r="S227" s="11" t="n">
        <f aca="false">IF(INDEX(MASTER_DATABASE!$A$4:$A$1000,ROW()-3)="","",INDEX(MASTER_DATABASE!$AQ$4:$AQ$1000,ROW()-3))</f>
        <v>220</v>
      </c>
      <c r="T227" s="7" t="str">
        <f aca="false">IF(INDEX(MASTER_DATABASE!$A$4:$A$1000,ROW()-3)="","",INDEX(MASTER_DATABASE!$I$4:$I$1000,ROW()-3)&amp;"")</f>
        <v>Available</v>
      </c>
      <c r="U227" s="7" t="str">
        <f aca="false">IF(INDEX(MASTER_DATABASE!$A$4:$A$1000,ROW()-3)="","",INDEX(MASTER_DATABASE!$J$4:$J$1000,ROW()-3)&amp;"")</f>
        <v>Available</v>
      </c>
      <c r="V227" s="7" t="str">
        <f aca="false">IF(INDEX(MASTER_DATABASE!$A$4:$A$1000,ROW()-3)="","",INDEX(MASTER_DATABASE!$AG$4:$AG$1000,ROW()-3)&amp;"")</f>
        <v>Active</v>
      </c>
      <c r="W227" s="7" t="str">
        <f aca="false">IF(INDEX(MASTER_DATABASE!$A$4:$A$1000,ROW()-3)="","",INDEX(MASTER_DATABASE!$AH$4:$AH$1000,ROW()-3)&amp;"")</f>
        <v>Yes</v>
      </c>
      <c r="X227" s="7" t="str">
        <f aca="false">IF(INDEX(MASTER_DATABASE!$A$4:$A$1000,ROW()-3)="","",INDEX(MASTER_DATABASE!$AI$4:$AI$1000,ROW()-3)&amp;"")</f>
        <v>No</v>
      </c>
      <c r="Y227" s="7" t="str">
        <f aca="false">IF(INDEX(MASTER_DATABASE!$A$4:$A$1000,ROW()-3)="","",INDEX(MASTER_DATABASE!$AJ$4:$AJ$1000,ROW()-3)&amp;"")</f>
        <v>No</v>
      </c>
      <c r="Z227" s="7" t="str">
        <f aca="false">IF(INDEX(MASTER_DATABASE!$A$4:$A$1000,ROW()-3)="","",INDEX(MASTER_DATABASE!$AK$4:$AK$1000,ROW()-3)&amp;"")</f>
        <v>No</v>
      </c>
      <c r="AA227" s="7" t="str">
        <f aca="false">IF(INDEX(MASTER_DATABASE!$A$4:$A$1000,ROW()-3)="","",INDEX(MASTER_DATABASE!$BE$4:$BE$1000,ROW()-3)&amp;"")</f>
        <v>LIVE</v>
      </c>
    </row>
    <row r="228" customFormat="false" ht="46.25" hidden="false" customHeight="false" outlineLevel="0" collapsed="false">
      <c r="A228" s="11" t="str">
        <f aca="false">IF(INDEX(MASTER_DATABASE!$A$4:$A$1000,ROW()-3)="","",INDEX(MASTER_DATABASE!$A$4:$A$1000,ROW()-3)&amp;"")</f>
        <v>PHO-023</v>
      </c>
      <c r="B228" s="7" t="str">
        <f aca="false">IF(INDEX(MASTER_DATABASE!$A$4:$A$1000,ROW()-3)="","",INDEX(MASTER_DATABASE!$B$4:$B$1000,ROW()-3)&amp;"")</f>
        <v>Photo / Photoshop / Design</v>
      </c>
      <c r="C228" s="7" t="str">
        <f aca="false">IF(INDEX(MASTER_DATABASE!$A$4:$A$1000,ROW()-3)="","",INDEX(MASTER_DATABASE!$C$4:$C$1000,ROW()-3)&amp;"")</f>
        <v>Photo &amp; Design Services</v>
      </c>
      <c r="D228" s="7" t="str">
        <f aca="false">IF(INDEX(MASTER_DATABASE!$A$4:$A$1000,ROW()-3)="","",INDEX(MASTER_DATABASE!$D$4:$D$1000,ROW()-3)&amp;"")</f>
        <v>Design Work</v>
      </c>
      <c r="E228" s="7" t="str">
        <f aca="false">IF(INDEX(MASTER_DATABASE!$A$4:$A$1000,ROW()-3)="","",INDEX(MASTER_DATABASE!$E$4:$E$1000,ROW()-3)&amp;"")</f>
        <v>Invitation Card Design</v>
      </c>
      <c r="F228" s="7" t="str">
        <f aca="false">IF(INDEX(MASTER_DATABASE!$A$4:$A$1000,ROW()-3)="","",INDEX(MASTER_DATABASE!$F$4:$F$1000,ROW()-3)&amp;"")</f>
        <v>निमंत्रण कार्ड डिज़ाइन</v>
      </c>
      <c r="G228" s="7" t="str">
        <f aca="false">IF(INDEX(MASTER_DATABASE!$A$4:$A$1000,ROW()-3)="","",INDEX(MASTER_DATABASE!$AL$4:$AL$1000,ROW()-3)&amp;"")</f>
        <v>Photo / Photoshop / Design</v>
      </c>
      <c r="H228" s="7" t="str">
        <f aca="false">IF(INDEX(MASTER_DATABASE!$A$4:$A$1000,ROW()-3)="","",INDEX(MASTER_DATABASE!$AM$4:$AM$1000,ROW()-3)&amp;"")</f>
        <v>Design Work</v>
      </c>
      <c r="I228" s="7" t="str">
        <f aca="false">IF(INDEX(MASTER_DATABASE!$A$4:$A$1000,ROW()-3)="","",INDEX(MASTER_DATABASE!$AO$4:$AO$1000,ROW()-3)&amp;"")</f>
        <v>invitation-card-design</v>
      </c>
      <c r="J228" s="7" t="str">
        <f aca="false">IF(INDEX(MASTER_DATABASE!$A$4:$A$1000,ROW()-3)="","",INDEX(MASTER_DATABASE!$BD$4:$BD$1000,ROW()-3)&amp;"")</f>
        <v>/services/invitation-card-design</v>
      </c>
      <c r="K228" s="7" t="str">
        <f aca="false">IF(INDEX(MASTER_DATABASE!$A$4:$A$1000,ROW()-3)="","",INDEX(MASTER_DATABASE!$AX$4:$AX$1000,ROW()-3)&amp;"")</f>
        <v>Invitation Card Design Service | Devmobile Stores</v>
      </c>
      <c r="L228" s="7" t="str">
        <f aca="false">IF(INDEX(MASTER_DATABASE!$A$4:$A$1000,ROW()-3)="","",INDEX(MASTER_DATABASE!$AY$4:$AY$1000,ROW()-3)&amp;"")</f>
        <v>Invitation Card Design (निमंत्रण कार्ड डिज़ाइन) at Devmobile Stores and Common Service Center &amp; Aadhaar Centre. Check required documents, charges and process before you visit.</v>
      </c>
      <c r="M228" s="7" t="str">
        <f aca="false">IF(INDEX(MASTER_DATABASE!$A$4:$A$1000,ROW()-3)="","",INDEX(MASTER_DATABASE!$AN$4:$AN$1000,ROW()-3)&amp;"")</f>
        <v>Invitation Card Design, Photo / Photoshop / Design, Devmobile Stores, निमंत्रण कार्ड डिज़ाइन, फोटो / फोटोशॉप / डिज़ाइन, सेवा</v>
      </c>
      <c r="N228" s="7" t="str">
        <f aca="false">IF(INDEX(MASTER_DATABASE!$A$4:$A$1000,ROW()-3)="","",INDEX(MASTER_DATABASE!$AZ$4:$AZ$1000,ROW()-3)&amp;"")</f>
        <v>निमंत्रण कार्ड डिज़ाइन, फोटो / फोटोशॉप / डिज़ाइन, सेवा</v>
      </c>
      <c r="O228" s="7" t="str">
        <f aca="false">IF(INDEX(MASTER_DATABASE!$A$4:$A$1000,ROW()-3)="","",INDEX(MASTER_DATABASE!$BA$4:$BA$1000,ROW()-3)&amp;"")</f>
        <v>Invitation Card Design, Photo / Photoshop / Design, Devmobile Stores</v>
      </c>
      <c r="P228" s="11" t="str">
        <f aca="false">IF(INDEX(MASTER_DATABASE!$A$4:$A$1000,ROW()-3)="","",INDEX(MASTER_DATABASE!$AP$4:$AP$1000,ROW()-3)&amp;"")</f>
        <v>🎨</v>
      </c>
      <c r="Q228" s="7" t="str">
        <f aca="false">IF(INDEX(MASTER_DATABASE!$A$4:$A$1000,ROW()-3)="","",INDEX(MASTER_DATABASE!$BB$4:$BB$1000,ROW()-3)&amp;"")</f>
        <v/>
      </c>
      <c r="R228" s="11" t="str">
        <f aca="false">IF(INDEX(MASTER_DATABASE!$A$4:$A$1000,ROW()-3)="","",INDEX(MASTER_DATABASE!$BC$4:$BC$1000,ROW()-3)&amp;"")</f>
        <v>📷</v>
      </c>
      <c r="S228" s="11" t="n">
        <f aca="false">IF(INDEX(MASTER_DATABASE!$A$4:$A$1000,ROW()-3)="","",INDEX(MASTER_DATABASE!$AQ$4:$AQ$1000,ROW()-3))</f>
        <v>230</v>
      </c>
      <c r="T228" s="7" t="str">
        <f aca="false">IF(INDEX(MASTER_DATABASE!$A$4:$A$1000,ROW()-3)="","",INDEX(MASTER_DATABASE!$I$4:$I$1000,ROW()-3)&amp;"")</f>
        <v>Available</v>
      </c>
      <c r="U228" s="7" t="str">
        <f aca="false">IF(INDEX(MASTER_DATABASE!$A$4:$A$1000,ROW()-3)="","",INDEX(MASTER_DATABASE!$J$4:$J$1000,ROW()-3)&amp;"")</f>
        <v>Available</v>
      </c>
      <c r="V228" s="7" t="str">
        <f aca="false">IF(INDEX(MASTER_DATABASE!$A$4:$A$1000,ROW()-3)="","",INDEX(MASTER_DATABASE!$AG$4:$AG$1000,ROW()-3)&amp;"")</f>
        <v>Active</v>
      </c>
      <c r="W228" s="7" t="str">
        <f aca="false">IF(INDEX(MASTER_DATABASE!$A$4:$A$1000,ROW()-3)="","",INDEX(MASTER_DATABASE!$AH$4:$AH$1000,ROW()-3)&amp;"")</f>
        <v>Yes</v>
      </c>
      <c r="X228" s="7" t="str">
        <f aca="false">IF(INDEX(MASTER_DATABASE!$A$4:$A$1000,ROW()-3)="","",INDEX(MASTER_DATABASE!$AI$4:$AI$1000,ROW()-3)&amp;"")</f>
        <v>No</v>
      </c>
      <c r="Y228" s="7" t="str">
        <f aca="false">IF(INDEX(MASTER_DATABASE!$A$4:$A$1000,ROW()-3)="","",INDEX(MASTER_DATABASE!$AJ$4:$AJ$1000,ROW()-3)&amp;"")</f>
        <v>No</v>
      </c>
      <c r="Z228" s="7" t="str">
        <f aca="false">IF(INDEX(MASTER_DATABASE!$A$4:$A$1000,ROW()-3)="","",INDEX(MASTER_DATABASE!$AK$4:$AK$1000,ROW()-3)&amp;"")</f>
        <v>No</v>
      </c>
      <c r="AA228" s="7" t="str">
        <f aca="false">IF(INDEX(MASTER_DATABASE!$A$4:$A$1000,ROW()-3)="","",INDEX(MASTER_DATABASE!$BE$4:$BE$1000,ROW()-3)&amp;"")</f>
        <v>LIVE</v>
      </c>
    </row>
    <row r="229" customFormat="false" ht="46.25" hidden="false" customHeight="false" outlineLevel="0" collapsed="false">
      <c r="A229" s="11" t="str">
        <f aca="false">IF(INDEX(MASTER_DATABASE!$A$4:$A$1000,ROW()-3)="","",INDEX(MASTER_DATABASE!$A$4:$A$1000,ROW()-3)&amp;"")</f>
        <v>PHO-024</v>
      </c>
      <c r="B229" s="7" t="str">
        <f aca="false">IF(INDEX(MASTER_DATABASE!$A$4:$A$1000,ROW()-3)="","",INDEX(MASTER_DATABASE!$B$4:$B$1000,ROW()-3)&amp;"")</f>
        <v>Photo / Photoshop / Design</v>
      </c>
      <c r="C229" s="7" t="str">
        <f aca="false">IF(INDEX(MASTER_DATABASE!$A$4:$A$1000,ROW()-3)="","",INDEX(MASTER_DATABASE!$C$4:$C$1000,ROW()-3)&amp;"")</f>
        <v>Photo &amp; Design Services</v>
      </c>
      <c r="D229" s="7" t="str">
        <f aca="false">IF(INDEX(MASTER_DATABASE!$A$4:$A$1000,ROW()-3)="","",INDEX(MASTER_DATABASE!$D$4:$D$1000,ROW()-3)&amp;"")</f>
        <v>Design Work</v>
      </c>
      <c r="E229" s="7" t="str">
        <f aca="false">IF(INDEX(MASTER_DATABASE!$A$4:$A$1000,ROW()-3)="","",INDEX(MASTER_DATABASE!$E$4:$E$1000,ROW()-3)&amp;"")</f>
        <v>Letterhead Design</v>
      </c>
      <c r="F229" s="7" t="str">
        <f aca="false">IF(INDEX(MASTER_DATABASE!$A$4:$A$1000,ROW()-3)="","",INDEX(MASTER_DATABASE!$F$4:$F$1000,ROW()-3)&amp;"")</f>
        <v>लेटरहेड डिज़ाइन</v>
      </c>
      <c r="G229" s="7" t="str">
        <f aca="false">IF(INDEX(MASTER_DATABASE!$A$4:$A$1000,ROW()-3)="","",INDEX(MASTER_DATABASE!$AL$4:$AL$1000,ROW()-3)&amp;"")</f>
        <v>Photo / Photoshop / Design</v>
      </c>
      <c r="H229" s="7" t="str">
        <f aca="false">IF(INDEX(MASTER_DATABASE!$A$4:$A$1000,ROW()-3)="","",INDEX(MASTER_DATABASE!$AM$4:$AM$1000,ROW()-3)&amp;"")</f>
        <v>Design Work</v>
      </c>
      <c r="I229" s="7" t="str">
        <f aca="false">IF(INDEX(MASTER_DATABASE!$A$4:$A$1000,ROW()-3)="","",INDEX(MASTER_DATABASE!$AO$4:$AO$1000,ROW()-3)&amp;"")</f>
        <v>letterhead-design</v>
      </c>
      <c r="J229" s="7" t="str">
        <f aca="false">IF(INDEX(MASTER_DATABASE!$A$4:$A$1000,ROW()-3)="","",INDEX(MASTER_DATABASE!$BD$4:$BD$1000,ROW()-3)&amp;"")</f>
        <v>/services/letterhead-design</v>
      </c>
      <c r="K229" s="7" t="str">
        <f aca="false">IF(INDEX(MASTER_DATABASE!$A$4:$A$1000,ROW()-3)="","",INDEX(MASTER_DATABASE!$AX$4:$AX$1000,ROW()-3)&amp;"")</f>
        <v>Letterhead Design Service | Devmobile Stores</v>
      </c>
      <c r="L229" s="7" t="str">
        <f aca="false">IF(INDEX(MASTER_DATABASE!$A$4:$A$1000,ROW()-3)="","",INDEX(MASTER_DATABASE!$AY$4:$AY$1000,ROW()-3)&amp;"")</f>
        <v>Letterhead Design (लेटरहेड डिज़ाइन) at Devmobile Stores and Common Service Center &amp; Aadhaar Centre. Check required documents, charges and process before you visit.</v>
      </c>
      <c r="M229" s="7" t="str">
        <f aca="false">IF(INDEX(MASTER_DATABASE!$A$4:$A$1000,ROW()-3)="","",INDEX(MASTER_DATABASE!$AN$4:$AN$1000,ROW()-3)&amp;"")</f>
        <v>Letterhead Design, Photo / Photoshop / Design, Devmobile Stores, लेटरहेड डिज़ाइन, फोटो / फोटोशॉप / डिज़ाइन, सेवा</v>
      </c>
      <c r="N229" s="7" t="str">
        <f aca="false">IF(INDEX(MASTER_DATABASE!$A$4:$A$1000,ROW()-3)="","",INDEX(MASTER_DATABASE!$AZ$4:$AZ$1000,ROW()-3)&amp;"")</f>
        <v>लेटरहेड डिज़ाइन, फोटो / फोटोशॉप / डिज़ाइन, सेवा</v>
      </c>
      <c r="O229" s="7" t="str">
        <f aca="false">IF(INDEX(MASTER_DATABASE!$A$4:$A$1000,ROW()-3)="","",INDEX(MASTER_DATABASE!$BA$4:$BA$1000,ROW()-3)&amp;"")</f>
        <v>Letterhead Design, Photo / Photoshop / Design, Devmobile Stores</v>
      </c>
      <c r="P229" s="11" t="str">
        <f aca="false">IF(INDEX(MASTER_DATABASE!$A$4:$A$1000,ROW()-3)="","",INDEX(MASTER_DATABASE!$AP$4:$AP$1000,ROW()-3)&amp;"")</f>
        <v>🎨</v>
      </c>
      <c r="Q229" s="7" t="str">
        <f aca="false">IF(INDEX(MASTER_DATABASE!$A$4:$A$1000,ROW()-3)="","",INDEX(MASTER_DATABASE!$BB$4:$BB$1000,ROW()-3)&amp;"")</f>
        <v/>
      </c>
      <c r="R229" s="11" t="str">
        <f aca="false">IF(INDEX(MASTER_DATABASE!$A$4:$A$1000,ROW()-3)="","",INDEX(MASTER_DATABASE!$BC$4:$BC$1000,ROW()-3)&amp;"")</f>
        <v>📷</v>
      </c>
      <c r="S229" s="11" t="n">
        <f aca="false">IF(INDEX(MASTER_DATABASE!$A$4:$A$1000,ROW()-3)="","",INDEX(MASTER_DATABASE!$AQ$4:$AQ$1000,ROW()-3))</f>
        <v>240</v>
      </c>
      <c r="T229" s="7" t="str">
        <f aca="false">IF(INDEX(MASTER_DATABASE!$A$4:$A$1000,ROW()-3)="","",INDEX(MASTER_DATABASE!$I$4:$I$1000,ROW()-3)&amp;"")</f>
        <v>Available</v>
      </c>
      <c r="U229" s="7" t="str">
        <f aca="false">IF(INDEX(MASTER_DATABASE!$A$4:$A$1000,ROW()-3)="","",INDEX(MASTER_DATABASE!$J$4:$J$1000,ROW()-3)&amp;"")</f>
        <v>Available</v>
      </c>
      <c r="V229" s="7" t="str">
        <f aca="false">IF(INDEX(MASTER_DATABASE!$A$4:$A$1000,ROW()-3)="","",INDEX(MASTER_DATABASE!$AG$4:$AG$1000,ROW()-3)&amp;"")</f>
        <v>Active</v>
      </c>
      <c r="W229" s="7" t="str">
        <f aca="false">IF(INDEX(MASTER_DATABASE!$A$4:$A$1000,ROW()-3)="","",INDEX(MASTER_DATABASE!$AH$4:$AH$1000,ROW()-3)&amp;"")</f>
        <v>Yes</v>
      </c>
      <c r="X229" s="7" t="str">
        <f aca="false">IF(INDEX(MASTER_DATABASE!$A$4:$A$1000,ROW()-3)="","",INDEX(MASTER_DATABASE!$AI$4:$AI$1000,ROW()-3)&amp;"")</f>
        <v>No</v>
      </c>
      <c r="Y229" s="7" t="str">
        <f aca="false">IF(INDEX(MASTER_DATABASE!$A$4:$A$1000,ROW()-3)="","",INDEX(MASTER_DATABASE!$AJ$4:$AJ$1000,ROW()-3)&amp;"")</f>
        <v>No</v>
      </c>
      <c r="Z229" s="7" t="str">
        <f aca="false">IF(INDEX(MASTER_DATABASE!$A$4:$A$1000,ROW()-3)="","",INDEX(MASTER_DATABASE!$AK$4:$AK$1000,ROW()-3)&amp;"")</f>
        <v>No</v>
      </c>
      <c r="AA229" s="7" t="str">
        <f aca="false">IF(INDEX(MASTER_DATABASE!$A$4:$A$1000,ROW()-3)="","",INDEX(MASTER_DATABASE!$BE$4:$BE$1000,ROW()-3)&amp;"")</f>
        <v>LIVE</v>
      </c>
    </row>
    <row r="230" customFormat="false" ht="46.25" hidden="false" customHeight="false" outlineLevel="0" collapsed="false">
      <c r="A230" s="11" t="str">
        <f aca="false">IF(INDEX(MASTER_DATABASE!$A$4:$A$1000,ROW()-3)="","",INDEX(MASTER_DATABASE!$A$4:$A$1000,ROW()-3)&amp;"")</f>
        <v>PHO-025</v>
      </c>
      <c r="B230" s="7" t="str">
        <f aca="false">IF(INDEX(MASTER_DATABASE!$A$4:$A$1000,ROW()-3)="","",INDEX(MASTER_DATABASE!$B$4:$B$1000,ROW()-3)&amp;"")</f>
        <v>Photo / Photoshop / Design</v>
      </c>
      <c r="C230" s="7" t="str">
        <f aca="false">IF(INDEX(MASTER_DATABASE!$A$4:$A$1000,ROW()-3)="","",INDEX(MASTER_DATABASE!$C$4:$C$1000,ROW()-3)&amp;"")</f>
        <v>Photo &amp; Design Services</v>
      </c>
      <c r="D230" s="7" t="str">
        <f aca="false">IF(INDEX(MASTER_DATABASE!$A$4:$A$1000,ROW()-3)="","",INDEX(MASTER_DATABASE!$D$4:$D$1000,ROW()-3)&amp;"")</f>
        <v>Design Work</v>
      </c>
      <c r="E230" s="7" t="str">
        <f aca="false">IF(INDEX(MASTER_DATABASE!$A$4:$A$1000,ROW()-3)="","",INDEX(MASTER_DATABASE!$E$4:$E$1000,ROW()-3)&amp;"")</f>
        <v>Logo Design</v>
      </c>
      <c r="F230" s="7" t="str">
        <f aca="false">IF(INDEX(MASTER_DATABASE!$A$4:$A$1000,ROW()-3)="","",INDEX(MASTER_DATABASE!$F$4:$F$1000,ROW()-3)&amp;"")</f>
        <v>लोगो डिज़ाइन</v>
      </c>
      <c r="G230" s="7" t="str">
        <f aca="false">IF(INDEX(MASTER_DATABASE!$A$4:$A$1000,ROW()-3)="","",INDEX(MASTER_DATABASE!$AL$4:$AL$1000,ROW()-3)&amp;"")</f>
        <v>Photo / Photoshop / Design</v>
      </c>
      <c r="H230" s="7" t="str">
        <f aca="false">IF(INDEX(MASTER_DATABASE!$A$4:$A$1000,ROW()-3)="","",INDEX(MASTER_DATABASE!$AM$4:$AM$1000,ROW()-3)&amp;"")</f>
        <v>Design Work</v>
      </c>
      <c r="I230" s="7" t="str">
        <f aca="false">IF(INDEX(MASTER_DATABASE!$A$4:$A$1000,ROW()-3)="","",INDEX(MASTER_DATABASE!$AO$4:$AO$1000,ROW()-3)&amp;"")</f>
        <v>logo-design</v>
      </c>
      <c r="J230" s="7" t="str">
        <f aca="false">IF(INDEX(MASTER_DATABASE!$A$4:$A$1000,ROW()-3)="","",INDEX(MASTER_DATABASE!$BD$4:$BD$1000,ROW()-3)&amp;"")</f>
        <v>/services/logo-design</v>
      </c>
      <c r="K230" s="7" t="str">
        <f aca="false">IF(INDEX(MASTER_DATABASE!$A$4:$A$1000,ROW()-3)="","",INDEX(MASTER_DATABASE!$AX$4:$AX$1000,ROW()-3)&amp;"")</f>
        <v>Logo Design Service | Devmobile Stores</v>
      </c>
      <c r="L230" s="7" t="str">
        <f aca="false">IF(INDEX(MASTER_DATABASE!$A$4:$A$1000,ROW()-3)="","",INDEX(MASTER_DATABASE!$AY$4:$AY$1000,ROW()-3)&amp;"")</f>
        <v>Logo Design (लोगो डिज़ाइन) at Devmobile Stores and Common Service Center &amp; Aadhaar Centre. Check required documents, charges and process before you visit.</v>
      </c>
      <c r="M230" s="7" t="str">
        <f aca="false">IF(INDEX(MASTER_DATABASE!$A$4:$A$1000,ROW()-3)="","",INDEX(MASTER_DATABASE!$AN$4:$AN$1000,ROW()-3)&amp;"")</f>
        <v>Logo Design, Photo / Photoshop / Design, Devmobile Stores, लोगो डिज़ाइन, फोटो / फोटोशॉप / डिज़ाइन, सेवा</v>
      </c>
      <c r="N230" s="7" t="str">
        <f aca="false">IF(INDEX(MASTER_DATABASE!$A$4:$A$1000,ROW()-3)="","",INDEX(MASTER_DATABASE!$AZ$4:$AZ$1000,ROW()-3)&amp;"")</f>
        <v>लोगो डिज़ाइन, फोटो / फोटोशॉप / डिज़ाइन, सेवा</v>
      </c>
      <c r="O230" s="7" t="str">
        <f aca="false">IF(INDEX(MASTER_DATABASE!$A$4:$A$1000,ROW()-3)="","",INDEX(MASTER_DATABASE!$BA$4:$BA$1000,ROW()-3)&amp;"")</f>
        <v>Logo Design, Photo / Photoshop / Design, Devmobile Stores</v>
      </c>
      <c r="P230" s="11" t="str">
        <f aca="false">IF(INDEX(MASTER_DATABASE!$A$4:$A$1000,ROW()-3)="","",INDEX(MASTER_DATABASE!$AP$4:$AP$1000,ROW()-3)&amp;"")</f>
        <v>🎨</v>
      </c>
      <c r="Q230" s="7" t="str">
        <f aca="false">IF(INDEX(MASTER_DATABASE!$A$4:$A$1000,ROW()-3)="","",INDEX(MASTER_DATABASE!$BB$4:$BB$1000,ROW()-3)&amp;"")</f>
        <v/>
      </c>
      <c r="R230" s="11" t="str">
        <f aca="false">IF(INDEX(MASTER_DATABASE!$A$4:$A$1000,ROW()-3)="","",INDEX(MASTER_DATABASE!$BC$4:$BC$1000,ROW()-3)&amp;"")</f>
        <v>📷</v>
      </c>
      <c r="S230" s="11" t="n">
        <f aca="false">IF(INDEX(MASTER_DATABASE!$A$4:$A$1000,ROW()-3)="","",INDEX(MASTER_DATABASE!$AQ$4:$AQ$1000,ROW()-3))</f>
        <v>250</v>
      </c>
      <c r="T230" s="7" t="str">
        <f aca="false">IF(INDEX(MASTER_DATABASE!$A$4:$A$1000,ROW()-3)="","",INDEX(MASTER_DATABASE!$I$4:$I$1000,ROW()-3)&amp;"")</f>
        <v>To Verify</v>
      </c>
      <c r="U230" s="7" t="str">
        <f aca="false">IF(INDEX(MASTER_DATABASE!$A$4:$A$1000,ROW()-3)="","",INDEX(MASTER_DATABASE!$J$4:$J$1000,ROW()-3)&amp;"")</f>
        <v>To Be Confirmed</v>
      </c>
      <c r="V230" s="7" t="str">
        <f aca="false">IF(INDEX(MASTER_DATABASE!$A$4:$A$1000,ROW()-3)="","",INDEX(MASTER_DATABASE!$AG$4:$AG$1000,ROW()-3)&amp;"")</f>
        <v>To Verify</v>
      </c>
      <c r="W230" s="7" t="str">
        <f aca="false">IF(INDEX(MASTER_DATABASE!$A$4:$A$1000,ROW()-3)="","",INDEX(MASTER_DATABASE!$AH$4:$AH$1000,ROW()-3)&amp;"")</f>
        <v>No</v>
      </c>
      <c r="X230" s="7" t="str">
        <f aca="false">IF(INDEX(MASTER_DATABASE!$A$4:$A$1000,ROW()-3)="","",INDEX(MASTER_DATABASE!$AI$4:$AI$1000,ROW()-3)&amp;"")</f>
        <v>No</v>
      </c>
      <c r="Y230" s="7" t="str">
        <f aca="false">IF(INDEX(MASTER_DATABASE!$A$4:$A$1000,ROW()-3)="","",INDEX(MASTER_DATABASE!$AJ$4:$AJ$1000,ROW()-3)&amp;"")</f>
        <v>No</v>
      </c>
      <c r="Z230" s="7" t="str">
        <f aca="false">IF(INDEX(MASTER_DATABASE!$A$4:$A$1000,ROW()-3)="","",INDEX(MASTER_DATABASE!$AK$4:$AK$1000,ROW()-3)&amp;"")</f>
        <v>No</v>
      </c>
      <c r="AA230" s="7" t="str">
        <f aca="false">IF(INDEX(MASTER_DATABASE!$A$4:$A$1000,ROW()-3)="","",INDEX(MASTER_DATABASE!$BE$4:$BE$1000,ROW()-3)&amp;"")</f>
        <v>HIDDEN</v>
      </c>
    </row>
    <row r="231" customFormat="false" ht="46.25" hidden="false" customHeight="false" outlineLevel="0" collapsed="false">
      <c r="A231" s="11" t="str">
        <f aca="false">IF(INDEX(MASTER_DATABASE!$A$4:$A$1000,ROW()-3)="","",INDEX(MASTER_DATABASE!$A$4:$A$1000,ROW()-3)&amp;"")</f>
        <v>PHO-026</v>
      </c>
      <c r="B231" s="7" t="str">
        <f aca="false">IF(INDEX(MASTER_DATABASE!$A$4:$A$1000,ROW()-3)="","",INDEX(MASTER_DATABASE!$B$4:$B$1000,ROW()-3)&amp;"")</f>
        <v>Photo / Photoshop / Design</v>
      </c>
      <c r="C231" s="7" t="str">
        <f aca="false">IF(INDEX(MASTER_DATABASE!$A$4:$A$1000,ROW()-3)="","",INDEX(MASTER_DATABASE!$C$4:$C$1000,ROW()-3)&amp;"")</f>
        <v>Photo &amp; Design Services</v>
      </c>
      <c r="D231" s="7" t="str">
        <f aca="false">IF(INDEX(MASTER_DATABASE!$A$4:$A$1000,ROW()-3)="","",INDEX(MASTER_DATABASE!$D$4:$D$1000,ROW()-3)&amp;"")</f>
        <v>Design Work</v>
      </c>
      <c r="E231" s="7" t="str">
        <f aca="false">IF(INDEX(MASTER_DATABASE!$A$4:$A$1000,ROW()-3)="","",INDEX(MASTER_DATABASE!$E$4:$E$1000,ROW()-3)&amp;"")</f>
        <v>Flex / Banner Printing</v>
      </c>
      <c r="F231" s="7" t="str">
        <f aca="false">IF(INDEX(MASTER_DATABASE!$A$4:$A$1000,ROW()-3)="","",INDEX(MASTER_DATABASE!$F$4:$F$1000,ROW()-3)&amp;"")</f>
        <v>फ्लेक्स / बैनर प्रिंटिंग</v>
      </c>
      <c r="G231" s="7" t="str">
        <f aca="false">IF(INDEX(MASTER_DATABASE!$A$4:$A$1000,ROW()-3)="","",INDEX(MASTER_DATABASE!$AL$4:$AL$1000,ROW()-3)&amp;"")</f>
        <v>Photo / Photoshop / Design</v>
      </c>
      <c r="H231" s="7" t="str">
        <f aca="false">IF(INDEX(MASTER_DATABASE!$A$4:$A$1000,ROW()-3)="","",INDEX(MASTER_DATABASE!$AM$4:$AM$1000,ROW()-3)&amp;"")</f>
        <v>Design Work</v>
      </c>
      <c r="I231" s="7" t="str">
        <f aca="false">IF(INDEX(MASTER_DATABASE!$A$4:$A$1000,ROW()-3)="","",INDEX(MASTER_DATABASE!$AO$4:$AO$1000,ROW()-3)&amp;"")</f>
        <v>flex-banner-printing</v>
      </c>
      <c r="J231" s="7" t="str">
        <f aca="false">IF(INDEX(MASTER_DATABASE!$A$4:$A$1000,ROW()-3)="","",INDEX(MASTER_DATABASE!$BD$4:$BD$1000,ROW()-3)&amp;"")</f>
        <v>/services/flex-banner-printing</v>
      </c>
      <c r="K231" s="7" t="str">
        <f aca="false">IF(INDEX(MASTER_DATABASE!$A$4:$A$1000,ROW()-3)="","",INDEX(MASTER_DATABASE!$AX$4:$AX$1000,ROW()-3)&amp;"")</f>
        <v>Flex / Banner Printing Service | Devmobile Stores</v>
      </c>
      <c r="L231" s="7" t="str">
        <f aca="false">IF(INDEX(MASTER_DATABASE!$A$4:$A$1000,ROW()-3)="","",INDEX(MASTER_DATABASE!$AY$4:$AY$1000,ROW()-3)&amp;"")</f>
        <v>Flex / Banner Printing (फ्लेक्स / बैनर प्रिंटिंग) at Devmobile Stores and Common Service Center &amp; Aadhaar Centre. Check required documents, charges and process before you visit.</v>
      </c>
      <c r="M231" s="7" t="str">
        <f aca="false">IF(INDEX(MASTER_DATABASE!$A$4:$A$1000,ROW()-3)="","",INDEX(MASTER_DATABASE!$AN$4:$AN$1000,ROW()-3)&amp;"")</f>
        <v>Flex / Banner Printing, Photo / Photoshop / Design, Devmobile Stores, फ्लेक्स / बैनर प्रिंटिंग, फोटो / फोटोशॉप / डिज़ाइन, सेवा</v>
      </c>
      <c r="N231" s="7" t="str">
        <f aca="false">IF(INDEX(MASTER_DATABASE!$A$4:$A$1000,ROW()-3)="","",INDEX(MASTER_DATABASE!$AZ$4:$AZ$1000,ROW()-3)&amp;"")</f>
        <v>फ्लेक्स / बैनर प्रिंटिंग, फोटो / फोटोशॉप / डिज़ाइन, सेवा</v>
      </c>
      <c r="O231" s="7" t="str">
        <f aca="false">IF(INDEX(MASTER_DATABASE!$A$4:$A$1000,ROW()-3)="","",INDEX(MASTER_DATABASE!$BA$4:$BA$1000,ROW()-3)&amp;"")</f>
        <v>Flex / Banner Printing, Photo / Photoshop / Design, Devmobile Stores</v>
      </c>
      <c r="P231" s="11" t="str">
        <f aca="false">IF(INDEX(MASTER_DATABASE!$A$4:$A$1000,ROW()-3)="","",INDEX(MASTER_DATABASE!$AP$4:$AP$1000,ROW()-3)&amp;"")</f>
        <v>🎨</v>
      </c>
      <c r="Q231" s="7" t="str">
        <f aca="false">IF(INDEX(MASTER_DATABASE!$A$4:$A$1000,ROW()-3)="","",INDEX(MASTER_DATABASE!$BB$4:$BB$1000,ROW()-3)&amp;"")</f>
        <v/>
      </c>
      <c r="R231" s="11" t="str">
        <f aca="false">IF(INDEX(MASTER_DATABASE!$A$4:$A$1000,ROW()-3)="","",INDEX(MASTER_DATABASE!$BC$4:$BC$1000,ROW()-3)&amp;"")</f>
        <v>📷</v>
      </c>
      <c r="S231" s="11" t="n">
        <f aca="false">IF(INDEX(MASTER_DATABASE!$A$4:$A$1000,ROW()-3)="","",INDEX(MASTER_DATABASE!$AQ$4:$AQ$1000,ROW()-3))</f>
        <v>260</v>
      </c>
      <c r="T231" s="7" t="str">
        <f aca="false">IF(INDEX(MASTER_DATABASE!$A$4:$A$1000,ROW()-3)="","",INDEX(MASTER_DATABASE!$I$4:$I$1000,ROW()-3)&amp;"")</f>
        <v>To Verify</v>
      </c>
      <c r="U231" s="7" t="str">
        <f aca="false">IF(INDEX(MASTER_DATABASE!$A$4:$A$1000,ROW()-3)="","",INDEX(MASTER_DATABASE!$J$4:$J$1000,ROW()-3)&amp;"")</f>
        <v>To Be Confirmed</v>
      </c>
      <c r="V231" s="7" t="str">
        <f aca="false">IF(INDEX(MASTER_DATABASE!$A$4:$A$1000,ROW()-3)="","",INDEX(MASTER_DATABASE!$AG$4:$AG$1000,ROW()-3)&amp;"")</f>
        <v>To Verify</v>
      </c>
      <c r="W231" s="7" t="str">
        <f aca="false">IF(INDEX(MASTER_DATABASE!$A$4:$A$1000,ROW()-3)="","",INDEX(MASTER_DATABASE!$AH$4:$AH$1000,ROW()-3)&amp;"")</f>
        <v>No</v>
      </c>
      <c r="X231" s="7" t="str">
        <f aca="false">IF(INDEX(MASTER_DATABASE!$A$4:$A$1000,ROW()-3)="","",INDEX(MASTER_DATABASE!$AI$4:$AI$1000,ROW()-3)&amp;"")</f>
        <v>No</v>
      </c>
      <c r="Y231" s="7" t="str">
        <f aca="false">IF(INDEX(MASTER_DATABASE!$A$4:$A$1000,ROW()-3)="","",INDEX(MASTER_DATABASE!$AJ$4:$AJ$1000,ROW()-3)&amp;"")</f>
        <v>No</v>
      </c>
      <c r="Z231" s="7" t="str">
        <f aca="false">IF(INDEX(MASTER_DATABASE!$A$4:$A$1000,ROW()-3)="","",INDEX(MASTER_DATABASE!$AK$4:$AK$1000,ROW()-3)&amp;"")</f>
        <v>No</v>
      </c>
      <c r="AA231" s="7" t="str">
        <f aca="false">IF(INDEX(MASTER_DATABASE!$A$4:$A$1000,ROW()-3)="","",INDEX(MASTER_DATABASE!$BE$4:$BE$1000,ROW()-3)&amp;"")</f>
        <v>HIDDEN</v>
      </c>
    </row>
    <row r="232" customFormat="false" ht="46.25" hidden="false" customHeight="false" outlineLevel="0" collapsed="false">
      <c r="A232" s="11" t="str">
        <f aca="false">IF(INDEX(MASTER_DATABASE!$A$4:$A$1000,ROW()-3)="","",INDEX(MASTER_DATABASE!$A$4:$A$1000,ROW()-3)&amp;"")</f>
        <v>ONL-001</v>
      </c>
      <c r="B232" s="7" t="str">
        <f aca="false">IF(INDEX(MASTER_DATABASE!$A$4:$A$1000,ROW()-3)="","",INDEX(MASTER_DATABASE!$B$4:$B$1000,ROW()-3)&amp;"")</f>
        <v>Online Form &amp; Digital Services</v>
      </c>
      <c r="C232" s="7" t="str">
        <f aca="false">IF(INDEX(MASTER_DATABASE!$A$4:$A$1000,ROW()-3)="","",INDEX(MASTER_DATABASE!$C$4:$C$1000,ROW()-3)&amp;"")</f>
        <v>Online &amp; Digital Services</v>
      </c>
      <c r="D232" s="7" t="str">
        <f aca="false">IF(INDEX(MASTER_DATABASE!$A$4:$A$1000,ROW()-3)="","",INDEX(MASTER_DATABASE!$D$4:$D$1000,ROW()-3)&amp;"")</f>
        <v>Government Job &amp; Recruitment Forms</v>
      </c>
      <c r="E232" s="7" t="str">
        <f aca="false">IF(INDEX(MASTER_DATABASE!$A$4:$A$1000,ROW()-3)="","",INDEX(MASTER_DATABASE!$E$4:$E$1000,ROW()-3)&amp;"")</f>
        <v>Government Job Form – Central</v>
      </c>
      <c r="F232" s="7" t="str">
        <f aca="false">IF(INDEX(MASTER_DATABASE!$A$4:$A$1000,ROW()-3)="","",INDEX(MASTER_DATABASE!$F$4:$F$1000,ROW()-3)&amp;"")</f>
        <v>सरकारी नौकरी फॉर्म – केंद्र</v>
      </c>
      <c r="G232" s="7" t="str">
        <f aca="false">IF(INDEX(MASTER_DATABASE!$A$4:$A$1000,ROW()-3)="","",INDEX(MASTER_DATABASE!$AL$4:$AL$1000,ROW()-3)&amp;"")</f>
        <v>Online Form &amp; Digital Services</v>
      </c>
      <c r="H232" s="7" t="str">
        <f aca="false">IF(INDEX(MASTER_DATABASE!$A$4:$A$1000,ROW()-3)="","",INDEX(MASTER_DATABASE!$AM$4:$AM$1000,ROW()-3)&amp;"")</f>
        <v>Government Job &amp; Recruitment Forms</v>
      </c>
      <c r="I232" s="7" t="str">
        <f aca="false">IF(INDEX(MASTER_DATABASE!$A$4:$A$1000,ROW()-3)="","",INDEX(MASTER_DATABASE!$AO$4:$AO$1000,ROW()-3)&amp;"")</f>
        <v>government-job-form-central</v>
      </c>
      <c r="J232" s="7" t="str">
        <f aca="false">IF(INDEX(MASTER_DATABASE!$A$4:$A$1000,ROW()-3)="","",INDEX(MASTER_DATABASE!$BD$4:$BD$1000,ROW()-3)&amp;"")</f>
        <v>/services/government-job-form-central</v>
      </c>
      <c r="K232" s="7" t="str">
        <f aca="false">IF(INDEX(MASTER_DATABASE!$A$4:$A$1000,ROW()-3)="","",INDEX(MASTER_DATABASE!$AX$4:$AX$1000,ROW()-3)&amp;"")</f>
        <v>Government Job Form – Central Service | Devmobile Stores</v>
      </c>
      <c r="L232" s="7" t="str">
        <f aca="false">IF(INDEX(MASTER_DATABASE!$A$4:$A$1000,ROW()-3)="","",INDEX(MASTER_DATABASE!$AY$4:$AY$1000,ROW()-3)&amp;"")</f>
        <v>Government Job Form – Central (सरकारी नौकरी फॉर्म – केंद्र) at Devmobile Stores and Common Service Center &amp; Aadhaar Centre. Check required documents, charges and process before you visit.</v>
      </c>
      <c r="M232" s="7" t="str">
        <f aca="false">IF(INDEX(MASTER_DATABASE!$A$4:$A$1000,ROW()-3)="","",INDEX(MASTER_DATABASE!$AN$4:$AN$1000,ROW()-3)&amp;"")</f>
        <v>Government Job Form – Central, Online Form &amp; Digital Services, Devmobile Stores, सरकारी नौकरी फॉर्म – केंद्र, ऑनलाइन फॉर्म व डिजिटल सेवाएँ, सेवा</v>
      </c>
      <c r="N232" s="7" t="str">
        <f aca="false">IF(INDEX(MASTER_DATABASE!$A$4:$A$1000,ROW()-3)="","",INDEX(MASTER_DATABASE!$AZ$4:$AZ$1000,ROW()-3)&amp;"")</f>
        <v>सरकारी नौकरी फॉर्म – केंद्र, ऑनलाइन फॉर्म व डिजिटल सेवाएँ, सेवा</v>
      </c>
      <c r="O232" s="7" t="str">
        <f aca="false">IF(INDEX(MASTER_DATABASE!$A$4:$A$1000,ROW()-3)="","",INDEX(MASTER_DATABASE!$BA$4:$BA$1000,ROW()-3)&amp;"")</f>
        <v>Government Job Form – Central, Online Form &amp; Digital Services, Devmobile Stores</v>
      </c>
      <c r="P232" s="11" t="str">
        <f aca="false">IF(INDEX(MASTER_DATABASE!$A$4:$A$1000,ROW()-3)="","",INDEX(MASTER_DATABASE!$AP$4:$AP$1000,ROW()-3)&amp;"")</f>
        <v>💼</v>
      </c>
      <c r="Q232" s="7" t="str">
        <f aca="false">IF(INDEX(MASTER_DATABASE!$A$4:$A$1000,ROW()-3)="","",INDEX(MASTER_DATABASE!$BB$4:$BB$1000,ROW()-3)&amp;"")</f>
        <v/>
      </c>
      <c r="R232" s="11" t="str">
        <f aca="false">IF(INDEX(MASTER_DATABASE!$A$4:$A$1000,ROW()-3)="","",INDEX(MASTER_DATABASE!$BC$4:$BC$1000,ROW()-3)&amp;"")</f>
        <v>🌐</v>
      </c>
      <c r="S232" s="11" t="n">
        <f aca="false">IF(INDEX(MASTER_DATABASE!$A$4:$A$1000,ROW()-3)="","",INDEX(MASTER_DATABASE!$AQ$4:$AQ$1000,ROW()-3))</f>
        <v>10</v>
      </c>
      <c r="T232" s="7" t="str">
        <f aca="false">IF(INDEX(MASTER_DATABASE!$A$4:$A$1000,ROW()-3)="","",INDEX(MASTER_DATABASE!$I$4:$I$1000,ROW()-3)&amp;"")</f>
        <v>Available</v>
      </c>
      <c r="U232" s="7" t="str">
        <f aca="false">IF(INDEX(MASTER_DATABASE!$A$4:$A$1000,ROW()-3)="","",INDEX(MASTER_DATABASE!$J$4:$J$1000,ROW()-3)&amp;"")</f>
        <v>Available</v>
      </c>
      <c r="V232" s="7" t="str">
        <f aca="false">IF(INDEX(MASTER_DATABASE!$A$4:$A$1000,ROW()-3)="","",INDEX(MASTER_DATABASE!$AG$4:$AG$1000,ROW()-3)&amp;"")</f>
        <v>Active</v>
      </c>
      <c r="W232" s="7" t="str">
        <f aca="false">IF(INDEX(MASTER_DATABASE!$A$4:$A$1000,ROW()-3)="","",INDEX(MASTER_DATABASE!$AH$4:$AH$1000,ROW()-3)&amp;"")</f>
        <v>Yes</v>
      </c>
      <c r="X232" s="7" t="str">
        <f aca="false">IF(INDEX(MASTER_DATABASE!$A$4:$A$1000,ROW()-3)="","",INDEX(MASTER_DATABASE!$AI$4:$AI$1000,ROW()-3)&amp;"")</f>
        <v>No</v>
      </c>
      <c r="Y232" s="7" t="str">
        <f aca="false">IF(INDEX(MASTER_DATABASE!$A$4:$A$1000,ROW()-3)="","",INDEX(MASTER_DATABASE!$AJ$4:$AJ$1000,ROW()-3)&amp;"")</f>
        <v>No</v>
      </c>
      <c r="Z232" s="7" t="str">
        <f aca="false">IF(INDEX(MASTER_DATABASE!$A$4:$A$1000,ROW()-3)="","",INDEX(MASTER_DATABASE!$AK$4:$AK$1000,ROW()-3)&amp;"")</f>
        <v>No</v>
      </c>
      <c r="AA232" s="7" t="str">
        <f aca="false">IF(INDEX(MASTER_DATABASE!$A$4:$A$1000,ROW()-3)="","",INDEX(MASTER_DATABASE!$BE$4:$BE$1000,ROW()-3)&amp;"")</f>
        <v>LIVE</v>
      </c>
    </row>
    <row r="233" customFormat="false" ht="46.25" hidden="false" customHeight="false" outlineLevel="0" collapsed="false">
      <c r="A233" s="11" t="str">
        <f aca="false">IF(INDEX(MASTER_DATABASE!$A$4:$A$1000,ROW()-3)="","",INDEX(MASTER_DATABASE!$A$4:$A$1000,ROW()-3)&amp;"")</f>
        <v>ONL-002</v>
      </c>
      <c r="B233" s="7" t="str">
        <f aca="false">IF(INDEX(MASTER_DATABASE!$A$4:$A$1000,ROW()-3)="","",INDEX(MASTER_DATABASE!$B$4:$B$1000,ROW()-3)&amp;"")</f>
        <v>Online Form &amp; Digital Services</v>
      </c>
      <c r="C233" s="7" t="str">
        <f aca="false">IF(INDEX(MASTER_DATABASE!$A$4:$A$1000,ROW()-3)="","",INDEX(MASTER_DATABASE!$C$4:$C$1000,ROW()-3)&amp;"")</f>
        <v>Online &amp; Digital Services</v>
      </c>
      <c r="D233" s="7" t="str">
        <f aca="false">IF(INDEX(MASTER_DATABASE!$A$4:$A$1000,ROW()-3)="","",INDEX(MASTER_DATABASE!$D$4:$D$1000,ROW()-3)&amp;"")</f>
        <v>Government Job &amp; Recruitment Forms</v>
      </c>
      <c r="E233" s="7" t="str">
        <f aca="false">IF(INDEX(MASTER_DATABASE!$A$4:$A$1000,ROW()-3)="","",INDEX(MASTER_DATABASE!$E$4:$E$1000,ROW()-3)&amp;"")</f>
        <v>Government Job Form – State</v>
      </c>
      <c r="F233" s="7" t="str">
        <f aca="false">IF(INDEX(MASTER_DATABASE!$A$4:$A$1000,ROW()-3)="","",INDEX(MASTER_DATABASE!$F$4:$F$1000,ROW()-3)&amp;"")</f>
        <v>सरकारी नौकरी फॉर्म – राज्य</v>
      </c>
      <c r="G233" s="7" t="str">
        <f aca="false">IF(INDEX(MASTER_DATABASE!$A$4:$A$1000,ROW()-3)="","",INDEX(MASTER_DATABASE!$AL$4:$AL$1000,ROW()-3)&amp;"")</f>
        <v>Online Form &amp; Digital Services</v>
      </c>
      <c r="H233" s="7" t="str">
        <f aca="false">IF(INDEX(MASTER_DATABASE!$A$4:$A$1000,ROW()-3)="","",INDEX(MASTER_DATABASE!$AM$4:$AM$1000,ROW()-3)&amp;"")</f>
        <v>Government Job &amp; Recruitment Forms</v>
      </c>
      <c r="I233" s="7" t="str">
        <f aca="false">IF(INDEX(MASTER_DATABASE!$A$4:$A$1000,ROW()-3)="","",INDEX(MASTER_DATABASE!$AO$4:$AO$1000,ROW()-3)&amp;"")</f>
        <v>government-job-form-state</v>
      </c>
      <c r="J233" s="7" t="str">
        <f aca="false">IF(INDEX(MASTER_DATABASE!$A$4:$A$1000,ROW()-3)="","",INDEX(MASTER_DATABASE!$BD$4:$BD$1000,ROW()-3)&amp;"")</f>
        <v>/services/government-job-form-state</v>
      </c>
      <c r="K233" s="7" t="str">
        <f aca="false">IF(INDEX(MASTER_DATABASE!$A$4:$A$1000,ROW()-3)="","",INDEX(MASTER_DATABASE!$AX$4:$AX$1000,ROW()-3)&amp;"")</f>
        <v>Government Job Form – State Service | Devmobile Stores</v>
      </c>
      <c r="L233" s="7" t="str">
        <f aca="false">IF(INDEX(MASTER_DATABASE!$A$4:$A$1000,ROW()-3)="","",INDEX(MASTER_DATABASE!$AY$4:$AY$1000,ROW()-3)&amp;"")</f>
        <v>Government Job Form – State (सरकारी नौकरी फॉर्म – राज्य) at Devmobile Stores and Common Service Center &amp; Aadhaar Centre. Check required documents, charges and process before you visit.</v>
      </c>
      <c r="M233" s="7" t="str">
        <f aca="false">IF(INDEX(MASTER_DATABASE!$A$4:$A$1000,ROW()-3)="","",INDEX(MASTER_DATABASE!$AN$4:$AN$1000,ROW()-3)&amp;"")</f>
        <v>Government Job Form – State, Online Form &amp; Digital Services, Devmobile Stores, सरकारी नौकरी फॉर्म – राज्य, ऑनलाइन फॉर्म व डिजिटल सेवाएँ, सेवा</v>
      </c>
      <c r="N233" s="7" t="str">
        <f aca="false">IF(INDEX(MASTER_DATABASE!$A$4:$A$1000,ROW()-3)="","",INDEX(MASTER_DATABASE!$AZ$4:$AZ$1000,ROW()-3)&amp;"")</f>
        <v>सरकारी नौकरी फॉर्म – राज्य, ऑनलाइन फॉर्म व डिजिटल सेवाएँ, सेवा</v>
      </c>
      <c r="O233" s="7" t="str">
        <f aca="false">IF(INDEX(MASTER_DATABASE!$A$4:$A$1000,ROW()-3)="","",INDEX(MASTER_DATABASE!$BA$4:$BA$1000,ROW()-3)&amp;"")</f>
        <v>Government Job Form – State, Online Form &amp; Digital Services, Devmobile Stores</v>
      </c>
      <c r="P233" s="11" t="str">
        <f aca="false">IF(INDEX(MASTER_DATABASE!$A$4:$A$1000,ROW()-3)="","",INDEX(MASTER_DATABASE!$AP$4:$AP$1000,ROW()-3)&amp;"")</f>
        <v>💼</v>
      </c>
      <c r="Q233" s="7" t="str">
        <f aca="false">IF(INDEX(MASTER_DATABASE!$A$4:$A$1000,ROW()-3)="","",INDEX(MASTER_DATABASE!$BB$4:$BB$1000,ROW()-3)&amp;"")</f>
        <v/>
      </c>
      <c r="R233" s="11" t="str">
        <f aca="false">IF(INDEX(MASTER_DATABASE!$A$4:$A$1000,ROW()-3)="","",INDEX(MASTER_DATABASE!$BC$4:$BC$1000,ROW()-3)&amp;"")</f>
        <v>🌐</v>
      </c>
      <c r="S233" s="11" t="n">
        <f aca="false">IF(INDEX(MASTER_DATABASE!$A$4:$A$1000,ROW()-3)="","",INDEX(MASTER_DATABASE!$AQ$4:$AQ$1000,ROW()-3))</f>
        <v>20</v>
      </c>
      <c r="T233" s="7" t="str">
        <f aca="false">IF(INDEX(MASTER_DATABASE!$A$4:$A$1000,ROW()-3)="","",INDEX(MASTER_DATABASE!$I$4:$I$1000,ROW()-3)&amp;"")</f>
        <v>Available</v>
      </c>
      <c r="U233" s="7" t="str">
        <f aca="false">IF(INDEX(MASTER_DATABASE!$A$4:$A$1000,ROW()-3)="","",INDEX(MASTER_DATABASE!$J$4:$J$1000,ROW()-3)&amp;"")</f>
        <v>Available</v>
      </c>
      <c r="V233" s="7" t="str">
        <f aca="false">IF(INDEX(MASTER_DATABASE!$A$4:$A$1000,ROW()-3)="","",INDEX(MASTER_DATABASE!$AG$4:$AG$1000,ROW()-3)&amp;"")</f>
        <v>Active</v>
      </c>
      <c r="W233" s="7" t="str">
        <f aca="false">IF(INDEX(MASTER_DATABASE!$A$4:$A$1000,ROW()-3)="","",INDEX(MASTER_DATABASE!$AH$4:$AH$1000,ROW()-3)&amp;"")</f>
        <v>Yes</v>
      </c>
      <c r="X233" s="7" t="str">
        <f aca="false">IF(INDEX(MASTER_DATABASE!$A$4:$A$1000,ROW()-3)="","",INDEX(MASTER_DATABASE!$AI$4:$AI$1000,ROW()-3)&amp;"")</f>
        <v>No</v>
      </c>
      <c r="Y233" s="7" t="str">
        <f aca="false">IF(INDEX(MASTER_DATABASE!$A$4:$A$1000,ROW()-3)="","",INDEX(MASTER_DATABASE!$AJ$4:$AJ$1000,ROW()-3)&amp;"")</f>
        <v>No</v>
      </c>
      <c r="Z233" s="7" t="str">
        <f aca="false">IF(INDEX(MASTER_DATABASE!$A$4:$A$1000,ROW()-3)="","",INDEX(MASTER_DATABASE!$AK$4:$AK$1000,ROW()-3)&amp;"")</f>
        <v>No</v>
      </c>
      <c r="AA233" s="7" t="str">
        <f aca="false">IF(INDEX(MASTER_DATABASE!$A$4:$A$1000,ROW()-3)="","",INDEX(MASTER_DATABASE!$BE$4:$BE$1000,ROW()-3)&amp;"")</f>
        <v>LIVE</v>
      </c>
    </row>
    <row r="234" customFormat="false" ht="46.25" hidden="false" customHeight="false" outlineLevel="0" collapsed="false">
      <c r="A234" s="11" t="str">
        <f aca="false">IF(INDEX(MASTER_DATABASE!$A$4:$A$1000,ROW()-3)="","",INDEX(MASTER_DATABASE!$A$4:$A$1000,ROW()-3)&amp;"")</f>
        <v>ONL-003</v>
      </c>
      <c r="B234" s="7" t="str">
        <f aca="false">IF(INDEX(MASTER_DATABASE!$A$4:$A$1000,ROW()-3)="","",INDEX(MASTER_DATABASE!$B$4:$B$1000,ROW()-3)&amp;"")</f>
        <v>Online Form &amp; Digital Services</v>
      </c>
      <c r="C234" s="7" t="str">
        <f aca="false">IF(INDEX(MASTER_DATABASE!$A$4:$A$1000,ROW()-3)="","",INDEX(MASTER_DATABASE!$C$4:$C$1000,ROW()-3)&amp;"")</f>
        <v>Online &amp; Digital Services</v>
      </c>
      <c r="D234" s="7" t="str">
        <f aca="false">IF(INDEX(MASTER_DATABASE!$A$4:$A$1000,ROW()-3)="","",INDEX(MASTER_DATABASE!$D$4:$D$1000,ROW()-3)&amp;"")</f>
        <v>Government Job &amp; Recruitment Forms</v>
      </c>
      <c r="E234" s="7" t="str">
        <f aca="false">IF(INDEX(MASTER_DATABASE!$A$4:$A$1000,ROW()-3)="","",INDEX(MASTER_DATABASE!$E$4:$E$1000,ROW()-3)&amp;"")</f>
        <v>Recruitment Form – Railway (RRB)</v>
      </c>
      <c r="F234" s="7" t="str">
        <f aca="false">IF(INDEX(MASTER_DATABASE!$A$4:$A$1000,ROW()-3)="","",INDEX(MASTER_DATABASE!$F$4:$F$1000,ROW()-3)&amp;"")</f>
        <v>रेलवे भर्ती फॉर्म (RRB)</v>
      </c>
      <c r="G234" s="7" t="str">
        <f aca="false">IF(INDEX(MASTER_DATABASE!$A$4:$A$1000,ROW()-3)="","",INDEX(MASTER_DATABASE!$AL$4:$AL$1000,ROW()-3)&amp;"")</f>
        <v>Online Form &amp; Digital Services</v>
      </c>
      <c r="H234" s="7" t="str">
        <f aca="false">IF(INDEX(MASTER_DATABASE!$A$4:$A$1000,ROW()-3)="","",INDEX(MASTER_DATABASE!$AM$4:$AM$1000,ROW()-3)&amp;"")</f>
        <v>Government Job &amp; Recruitment Forms</v>
      </c>
      <c r="I234" s="7" t="str">
        <f aca="false">IF(INDEX(MASTER_DATABASE!$A$4:$A$1000,ROW()-3)="","",INDEX(MASTER_DATABASE!$AO$4:$AO$1000,ROW()-3)&amp;"")</f>
        <v>recruitment-form-railway-rrb</v>
      </c>
      <c r="J234" s="7" t="str">
        <f aca="false">IF(INDEX(MASTER_DATABASE!$A$4:$A$1000,ROW()-3)="","",INDEX(MASTER_DATABASE!$BD$4:$BD$1000,ROW()-3)&amp;"")</f>
        <v>/services/recruitment-form-railway-rrb</v>
      </c>
      <c r="K234" s="7" t="str">
        <f aca="false">IF(INDEX(MASTER_DATABASE!$A$4:$A$1000,ROW()-3)="","",INDEX(MASTER_DATABASE!$AX$4:$AX$1000,ROW()-3)&amp;"")</f>
        <v>Recruitment Form – Railway (RRB) Service | Devmobile Stores</v>
      </c>
      <c r="L234" s="7" t="str">
        <f aca="false">IF(INDEX(MASTER_DATABASE!$A$4:$A$1000,ROW()-3)="","",INDEX(MASTER_DATABASE!$AY$4:$AY$1000,ROW()-3)&amp;"")</f>
        <v>Recruitment Form – Railway (RRB) (रेलवे भर्ती फॉर्म (RRB)) at Devmobile Stores and Common Service Center &amp; Aadhaar Centre. Check required documents, charges and process before you visit.</v>
      </c>
      <c r="M234" s="7" t="str">
        <f aca="false">IF(INDEX(MASTER_DATABASE!$A$4:$A$1000,ROW()-3)="","",INDEX(MASTER_DATABASE!$AN$4:$AN$1000,ROW()-3)&amp;"")</f>
        <v>Recruitment Form – Railway (RRB), Online Form &amp; Digital Services, Devmobile Stores, रेलवे भर्ती फॉर्म (RRB), ऑनलाइन फॉर्म व डिजिटल सेवाएँ, सेवा</v>
      </c>
      <c r="N234" s="7" t="str">
        <f aca="false">IF(INDEX(MASTER_DATABASE!$A$4:$A$1000,ROW()-3)="","",INDEX(MASTER_DATABASE!$AZ$4:$AZ$1000,ROW()-3)&amp;"")</f>
        <v>रेलवे भर्ती फॉर्म (RRB), ऑनलाइन फॉर्म व डिजिटल सेवाएँ, सेवा</v>
      </c>
      <c r="O234" s="7" t="str">
        <f aca="false">IF(INDEX(MASTER_DATABASE!$A$4:$A$1000,ROW()-3)="","",INDEX(MASTER_DATABASE!$BA$4:$BA$1000,ROW()-3)&amp;"")</f>
        <v>Recruitment Form – Railway (RRB), Online Form &amp; Digital Services, Devmobile Stores</v>
      </c>
      <c r="P234" s="11" t="str">
        <f aca="false">IF(INDEX(MASTER_DATABASE!$A$4:$A$1000,ROW()-3)="","",INDEX(MASTER_DATABASE!$AP$4:$AP$1000,ROW()-3)&amp;"")</f>
        <v>💼</v>
      </c>
      <c r="Q234" s="7" t="str">
        <f aca="false">IF(INDEX(MASTER_DATABASE!$A$4:$A$1000,ROW()-3)="","",INDEX(MASTER_DATABASE!$BB$4:$BB$1000,ROW()-3)&amp;"")</f>
        <v/>
      </c>
      <c r="R234" s="11" t="str">
        <f aca="false">IF(INDEX(MASTER_DATABASE!$A$4:$A$1000,ROW()-3)="","",INDEX(MASTER_DATABASE!$BC$4:$BC$1000,ROW()-3)&amp;"")</f>
        <v>🌐</v>
      </c>
      <c r="S234" s="11" t="n">
        <f aca="false">IF(INDEX(MASTER_DATABASE!$A$4:$A$1000,ROW()-3)="","",INDEX(MASTER_DATABASE!$AQ$4:$AQ$1000,ROW()-3))</f>
        <v>30</v>
      </c>
      <c r="T234" s="7" t="str">
        <f aca="false">IF(INDEX(MASTER_DATABASE!$A$4:$A$1000,ROW()-3)="","",INDEX(MASTER_DATABASE!$I$4:$I$1000,ROW()-3)&amp;"")</f>
        <v>Available</v>
      </c>
      <c r="U234" s="7" t="str">
        <f aca="false">IF(INDEX(MASTER_DATABASE!$A$4:$A$1000,ROW()-3)="","",INDEX(MASTER_DATABASE!$J$4:$J$1000,ROW()-3)&amp;"")</f>
        <v>Available</v>
      </c>
      <c r="V234" s="7" t="str">
        <f aca="false">IF(INDEX(MASTER_DATABASE!$A$4:$A$1000,ROW()-3)="","",INDEX(MASTER_DATABASE!$AG$4:$AG$1000,ROW()-3)&amp;"")</f>
        <v>Active</v>
      </c>
      <c r="W234" s="7" t="str">
        <f aca="false">IF(INDEX(MASTER_DATABASE!$A$4:$A$1000,ROW()-3)="","",INDEX(MASTER_DATABASE!$AH$4:$AH$1000,ROW()-3)&amp;"")</f>
        <v>Yes</v>
      </c>
      <c r="X234" s="7" t="str">
        <f aca="false">IF(INDEX(MASTER_DATABASE!$A$4:$A$1000,ROW()-3)="","",INDEX(MASTER_DATABASE!$AI$4:$AI$1000,ROW()-3)&amp;"")</f>
        <v>No</v>
      </c>
      <c r="Y234" s="7" t="str">
        <f aca="false">IF(INDEX(MASTER_DATABASE!$A$4:$A$1000,ROW()-3)="","",INDEX(MASTER_DATABASE!$AJ$4:$AJ$1000,ROW()-3)&amp;"")</f>
        <v>No</v>
      </c>
      <c r="Z234" s="7" t="str">
        <f aca="false">IF(INDEX(MASTER_DATABASE!$A$4:$A$1000,ROW()-3)="","",INDEX(MASTER_DATABASE!$AK$4:$AK$1000,ROW()-3)&amp;"")</f>
        <v>No</v>
      </c>
      <c r="AA234" s="7" t="str">
        <f aca="false">IF(INDEX(MASTER_DATABASE!$A$4:$A$1000,ROW()-3)="","",INDEX(MASTER_DATABASE!$BE$4:$BE$1000,ROW()-3)&amp;"")</f>
        <v>LIVE</v>
      </c>
    </row>
    <row r="235" customFormat="false" ht="46.25" hidden="false" customHeight="false" outlineLevel="0" collapsed="false">
      <c r="A235" s="11" t="str">
        <f aca="false">IF(INDEX(MASTER_DATABASE!$A$4:$A$1000,ROW()-3)="","",INDEX(MASTER_DATABASE!$A$4:$A$1000,ROW()-3)&amp;"")</f>
        <v>ONL-004</v>
      </c>
      <c r="B235" s="7" t="str">
        <f aca="false">IF(INDEX(MASTER_DATABASE!$A$4:$A$1000,ROW()-3)="","",INDEX(MASTER_DATABASE!$B$4:$B$1000,ROW()-3)&amp;"")</f>
        <v>Online Form &amp; Digital Services</v>
      </c>
      <c r="C235" s="7" t="str">
        <f aca="false">IF(INDEX(MASTER_DATABASE!$A$4:$A$1000,ROW()-3)="","",INDEX(MASTER_DATABASE!$C$4:$C$1000,ROW()-3)&amp;"")</f>
        <v>Online &amp; Digital Services</v>
      </c>
      <c r="D235" s="7" t="str">
        <f aca="false">IF(INDEX(MASTER_DATABASE!$A$4:$A$1000,ROW()-3)="","",INDEX(MASTER_DATABASE!$D$4:$D$1000,ROW()-3)&amp;"")</f>
        <v>Government Job &amp; Recruitment Forms</v>
      </c>
      <c r="E235" s="7" t="str">
        <f aca="false">IF(INDEX(MASTER_DATABASE!$A$4:$A$1000,ROW()-3)="","",INDEX(MASTER_DATABASE!$E$4:$E$1000,ROW()-3)&amp;"")</f>
        <v>Recruitment Form – SSC</v>
      </c>
      <c r="F235" s="7" t="str">
        <f aca="false">IF(INDEX(MASTER_DATABASE!$A$4:$A$1000,ROW()-3)="","",INDEX(MASTER_DATABASE!$F$4:$F$1000,ROW()-3)&amp;"")</f>
        <v>SSC भर्ती फॉर्म</v>
      </c>
      <c r="G235" s="7" t="str">
        <f aca="false">IF(INDEX(MASTER_DATABASE!$A$4:$A$1000,ROW()-3)="","",INDEX(MASTER_DATABASE!$AL$4:$AL$1000,ROW()-3)&amp;"")</f>
        <v>Online Form &amp; Digital Services</v>
      </c>
      <c r="H235" s="7" t="str">
        <f aca="false">IF(INDEX(MASTER_DATABASE!$A$4:$A$1000,ROW()-3)="","",INDEX(MASTER_DATABASE!$AM$4:$AM$1000,ROW()-3)&amp;"")</f>
        <v>Government Job &amp; Recruitment Forms</v>
      </c>
      <c r="I235" s="7" t="str">
        <f aca="false">IF(INDEX(MASTER_DATABASE!$A$4:$A$1000,ROW()-3)="","",INDEX(MASTER_DATABASE!$AO$4:$AO$1000,ROW()-3)&amp;"")</f>
        <v>recruitment-form-ssc</v>
      </c>
      <c r="J235" s="7" t="str">
        <f aca="false">IF(INDEX(MASTER_DATABASE!$A$4:$A$1000,ROW()-3)="","",INDEX(MASTER_DATABASE!$BD$4:$BD$1000,ROW()-3)&amp;"")</f>
        <v>/services/recruitment-form-ssc</v>
      </c>
      <c r="K235" s="7" t="str">
        <f aca="false">IF(INDEX(MASTER_DATABASE!$A$4:$A$1000,ROW()-3)="","",INDEX(MASTER_DATABASE!$AX$4:$AX$1000,ROW()-3)&amp;"")</f>
        <v>Recruitment Form – SSC Service | Devmobile Stores</v>
      </c>
      <c r="L235" s="7" t="str">
        <f aca="false">IF(INDEX(MASTER_DATABASE!$A$4:$A$1000,ROW()-3)="","",INDEX(MASTER_DATABASE!$AY$4:$AY$1000,ROW()-3)&amp;"")</f>
        <v>Recruitment Form – SSC (SSC भर्ती फॉर्म) at Devmobile Stores and Common Service Center &amp; Aadhaar Centre. Check required documents, charges and process before you visit.</v>
      </c>
      <c r="M235" s="7" t="str">
        <f aca="false">IF(INDEX(MASTER_DATABASE!$A$4:$A$1000,ROW()-3)="","",INDEX(MASTER_DATABASE!$AN$4:$AN$1000,ROW()-3)&amp;"")</f>
        <v>Recruitment Form – SSC, Online Form &amp; Digital Services, Devmobile Stores, SSC भर्ती फॉर्म, ऑनलाइन फॉर्म व डिजिटल सेवाएँ, सेवा</v>
      </c>
      <c r="N235" s="7" t="str">
        <f aca="false">IF(INDEX(MASTER_DATABASE!$A$4:$A$1000,ROW()-3)="","",INDEX(MASTER_DATABASE!$AZ$4:$AZ$1000,ROW()-3)&amp;"")</f>
        <v>SSC भर्ती फॉर्म, ऑनलाइन फॉर्म व डिजिटल सेवाएँ, सेवा</v>
      </c>
      <c r="O235" s="7" t="str">
        <f aca="false">IF(INDEX(MASTER_DATABASE!$A$4:$A$1000,ROW()-3)="","",INDEX(MASTER_DATABASE!$BA$4:$BA$1000,ROW()-3)&amp;"")</f>
        <v>Recruitment Form – SSC, Online Form &amp; Digital Services, Devmobile Stores</v>
      </c>
      <c r="P235" s="11" t="str">
        <f aca="false">IF(INDEX(MASTER_DATABASE!$A$4:$A$1000,ROW()-3)="","",INDEX(MASTER_DATABASE!$AP$4:$AP$1000,ROW()-3)&amp;"")</f>
        <v>💼</v>
      </c>
      <c r="Q235" s="7" t="str">
        <f aca="false">IF(INDEX(MASTER_DATABASE!$A$4:$A$1000,ROW()-3)="","",INDEX(MASTER_DATABASE!$BB$4:$BB$1000,ROW()-3)&amp;"")</f>
        <v/>
      </c>
      <c r="R235" s="11" t="str">
        <f aca="false">IF(INDEX(MASTER_DATABASE!$A$4:$A$1000,ROW()-3)="","",INDEX(MASTER_DATABASE!$BC$4:$BC$1000,ROW()-3)&amp;"")</f>
        <v>🌐</v>
      </c>
      <c r="S235" s="11" t="n">
        <f aca="false">IF(INDEX(MASTER_DATABASE!$A$4:$A$1000,ROW()-3)="","",INDEX(MASTER_DATABASE!$AQ$4:$AQ$1000,ROW()-3))</f>
        <v>40</v>
      </c>
      <c r="T235" s="7" t="str">
        <f aca="false">IF(INDEX(MASTER_DATABASE!$A$4:$A$1000,ROW()-3)="","",INDEX(MASTER_DATABASE!$I$4:$I$1000,ROW()-3)&amp;"")</f>
        <v>Available</v>
      </c>
      <c r="U235" s="7" t="str">
        <f aca="false">IF(INDEX(MASTER_DATABASE!$A$4:$A$1000,ROW()-3)="","",INDEX(MASTER_DATABASE!$J$4:$J$1000,ROW()-3)&amp;"")</f>
        <v>Available</v>
      </c>
      <c r="V235" s="7" t="str">
        <f aca="false">IF(INDEX(MASTER_DATABASE!$A$4:$A$1000,ROW()-3)="","",INDEX(MASTER_DATABASE!$AG$4:$AG$1000,ROW()-3)&amp;"")</f>
        <v>Active</v>
      </c>
      <c r="W235" s="7" t="str">
        <f aca="false">IF(INDEX(MASTER_DATABASE!$A$4:$A$1000,ROW()-3)="","",INDEX(MASTER_DATABASE!$AH$4:$AH$1000,ROW()-3)&amp;"")</f>
        <v>Yes</v>
      </c>
      <c r="X235" s="7" t="str">
        <f aca="false">IF(INDEX(MASTER_DATABASE!$A$4:$A$1000,ROW()-3)="","",INDEX(MASTER_DATABASE!$AI$4:$AI$1000,ROW()-3)&amp;"")</f>
        <v>No</v>
      </c>
      <c r="Y235" s="7" t="str">
        <f aca="false">IF(INDEX(MASTER_DATABASE!$A$4:$A$1000,ROW()-3)="","",INDEX(MASTER_DATABASE!$AJ$4:$AJ$1000,ROW()-3)&amp;"")</f>
        <v>No</v>
      </c>
      <c r="Z235" s="7" t="str">
        <f aca="false">IF(INDEX(MASTER_DATABASE!$A$4:$A$1000,ROW()-3)="","",INDEX(MASTER_DATABASE!$AK$4:$AK$1000,ROW()-3)&amp;"")</f>
        <v>No</v>
      </c>
      <c r="AA235" s="7" t="str">
        <f aca="false">IF(INDEX(MASTER_DATABASE!$A$4:$A$1000,ROW()-3)="","",INDEX(MASTER_DATABASE!$BE$4:$BE$1000,ROW()-3)&amp;"")</f>
        <v>LIVE</v>
      </c>
    </row>
    <row r="236" customFormat="false" ht="46.25" hidden="false" customHeight="false" outlineLevel="0" collapsed="false">
      <c r="A236" s="11" t="str">
        <f aca="false">IF(INDEX(MASTER_DATABASE!$A$4:$A$1000,ROW()-3)="","",INDEX(MASTER_DATABASE!$A$4:$A$1000,ROW()-3)&amp;"")</f>
        <v>ONL-005</v>
      </c>
      <c r="B236" s="7" t="str">
        <f aca="false">IF(INDEX(MASTER_DATABASE!$A$4:$A$1000,ROW()-3)="","",INDEX(MASTER_DATABASE!$B$4:$B$1000,ROW()-3)&amp;"")</f>
        <v>Online Form &amp; Digital Services</v>
      </c>
      <c r="C236" s="7" t="str">
        <f aca="false">IF(INDEX(MASTER_DATABASE!$A$4:$A$1000,ROW()-3)="","",INDEX(MASTER_DATABASE!$C$4:$C$1000,ROW()-3)&amp;"")</f>
        <v>Online &amp; Digital Services</v>
      </c>
      <c r="D236" s="7" t="str">
        <f aca="false">IF(INDEX(MASTER_DATABASE!$A$4:$A$1000,ROW()-3)="","",INDEX(MASTER_DATABASE!$D$4:$D$1000,ROW()-3)&amp;"")</f>
        <v>Government Job &amp; Recruitment Forms</v>
      </c>
      <c r="E236" s="7" t="str">
        <f aca="false">IF(INDEX(MASTER_DATABASE!$A$4:$A$1000,ROW()-3)="","",INDEX(MASTER_DATABASE!$E$4:$E$1000,ROW()-3)&amp;"")</f>
        <v>Recruitment Form – Bank (IBPS / SBI etc.)</v>
      </c>
      <c r="F236" s="7" t="str">
        <f aca="false">IF(INDEX(MASTER_DATABASE!$A$4:$A$1000,ROW()-3)="","",INDEX(MASTER_DATABASE!$F$4:$F$1000,ROW()-3)&amp;"")</f>
        <v>बैंक भर्ती फॉर्म (IBPS / SBI आदि)</v>
      </c>
      <c r="G236" s="7" t="str">
        <f aca="false">IF(INDEX(MASTER_DATABASE!$A$4:$A$1000,ROW()-3)="","",INDEX(MASTER_DATABASE!$AL$4:$AL$1000,ROW()-3)&amp;"")</f>
        <v>Online Form &amp; Digital Services</v>
      </c>
      <c r="H236" s="7" t="str">
        <f aca="false">IF(INDEX(MASTER_DATABASE!$A$4:$A$1000,ROW()-3)="","",INDEX(MASTER_DATABASE!$AM$4:$AM$1000,ROW()-3)&amp;"")</f>
        <v>Government Job &amp; Recruitment Forms</v>
      </c>
      <c r="I236" s="7" t="str">
        <f aca="false">IF(INDEX(MASTER_DATABASE!$A$4:$A$1000,ROW()-3)="","",INDEX(MASTER_DATABASE!$AO$4:$AO$1000,ROW()-3)&amp;"")</f>
        <v>recruitment-form-bank-ibps-sbi-etc</v>
      </c>
      <c r="J236" s="7" t="str">
        <f aca="false">IF(INDEX(MASTER_DATABASE!$A$4:$A$1000,ROW()-3)="","",INDEX(MASTER_DATABASE!$BD$4:$BD$1000,ROW()-3)&amp;"")</f>
        <v>/services/recruitment-form-bank-ibps-sbi-etc</v>
      </c>
      <c r="K236" s="7" t="str">
        <f aca="false">IF(INDEX(MASTER_DATABASE!$A$4:$A$1000,ROW()-3)="","",INDEX(MASTER_DATABASE!$AX$4:$AX$1000,ROW()-3)&amp;"")</f>
        <v>Recruitment Form – Bank (IBPS / SBI etc.) Service | Devmobile Stores</v>
      </c>
      <c r="L236" s="7" t="str">
        <f aca="false">IF(INDEX(MASTER_DATABASE!$A$4:$A$1000,ROW()-3)="","",INDEX(MASTER_DATABASE!$AY$4:$AY$1000,ROW()-3)&amp;"")</f>
        <v>Recruitment Form – Bank (IBPS / SBI etc.) (बैंक भर्ती फॉर्म (IBPS / SBI आदि)) at Devmobile Stores and Common Service Center &amp; Aadhaar Centre. Check required documents, charges and process before you visit.</v>
      </c>
      <c r="M236" s="7" t="str">
        <f aca="false">IF(INDEX(MASTER_DATABASE!$A$4:$A$1000,ROW()-3)="","",INDEX(MASTER_DATABASE!$AN$4:$AN$1000,ROW()-3)&amp;"")</f>
        <v>Recruitment Form – Bank (IBPS / SBI etc.), Online Form &amp; Digital Services, Devmobile Stores, बैंक भर्ती फॉर्म (IBPS / SBI आदि), ऑनलाइन फॉर्म व डिजिटल सेवाएँ, सेवा</v>
      </c>
      <c r="N236" s="7" t="str">
        <f aca="false">IF(INDEX(MASTER_DATABASE!$A$4:$A$1000,ROW()-3)="","",INDEX(MASTER_DATABASE!$AZ$4:$AZ$1000,ROW()-3)&amp;"")</f>
        <v>बैंक भर्ती फॉर्म (IBPS / SBI आदि), ऑनलाइन फॉर्म व डिजिटल सेवाएँ, सेवा</v>
      </c>
      <c r="O236" s="7" t="str">
        <f aca="false">IF(INDEX(MASTER_DATABASE!$A$4:$A$1000,ROW()-3)="","",INDEX(MASTER_DATABASE!$BA$4:$BA$1000,ROW()-3)&amp;"")</f>
        <v>Recruitment Form – Bank (IBPS / SBI etc.), Online Form &amp; Digital Services, Devmobile Stores</v>
      </c>
      <c r="P236" s="11" t="str">
        <f aca="false">IF(INDEX(MASTER_DATABASE!$A$4:$A$1000,ROW()-3)="","",INDEX(MASTER_DATABASE!$AP$4:$AP$1000,ROW()-3)&amp;"")</f>
        <v>💼</v>
      </c>
      <c r="Q236" s="7" t="str">
        <f aca="false">IF(INDEX(MASTER_DATABASE!$A$4:$A$1000,ROW()-3)="","",INDEX(MASTER_DATABASE!$BB$4:$BB$1000,ROW()-3)&amp;"")</f>
        <v/>
      </c>
      <c r="R236" s="11" t="str">
        <f aca="false">IF(INDEX(MASTER_DATABASE!$A$4:$A$1000,ROW()-3)="","",INDEX(MASTER_DATABASE!$BC$4:$BC$1000,ROW()-3)&amp;"")</f>
        <v>🌐</v>
      </c>
      <c r="S236" s="11" t="n">
        <f aca="false">IF(INDEX(MASTER_DATABASE!$A$4:$A$1000,ROW()-3)="","",INDEX(MASTER_DATABASE!$AQ$4:$AQ$1000,ROW()-3))</f>
        <v>50</v>
      </c>
      <c r="T236" s="7" t="str">
        <f aca="false">IF(INDEX(MASTER_DATABASE!$A$4:$A$1000,ROW()-3)="","",INDEX(MASTER_DATABASE!$I$4:$I$1000,ROW()-3)&amp;"")</f>
        <v>Available</v>
      </c>
      <c r="U236" s="7" t="str">
        <f aca="false">IF(INDEX(MASTER_DATABASE!$A$4:$A$1000,ROW()-3)="","",INDEX(MASTER_DATABASE!$J$4:$J$1000,ROW()-3)&amp;"")</f>
        <v>Available</v>
      </c>
      <c r="V236" s="7" t="str">
        <f aca="false">IF(INDEX(MASTER_DATABASE!$A$4:$A$1000,ROW()-3)="","",INDEX(MASTER_DATABASE!$AG$4:$AG$1000,ROW()-3)&amp;"")</f>
        <v>Active</v>
      </c>
      <c r="W236" s="7" t="str">
        <f aca="false">IF(INDEX(MASTER_DATABASE!$A$4:$A$1000,ROW()-3)="","",INDEX(MASTER_DATABASE!$AH$4:$AH$1000,ROW()-3)&amp;"")</f>
        <v>Yes</v>
      </c>
      <c r="X236" s="7" t="str">
        <f aca="false">IF(INDEX(MASTER_DATABASE!$A$4:$A$1000,ROW()-3)="","",INDEX(MASTER_DATABASE!$AI$4:$AI$1000,ROW()-3)&amp;"")</f>
        <v>No</v>
      </c>
      <c r="Y236" s="7" t="str">
        <f aca="false">IF(INDEX(MASTER_DATABASE!$A$4:$A$1000,ROW()-3)="","",INDEX(MASTER_DATABASE!$AJ$4:$AJ$1000,ROW()-3)&amp;"")</f>
        <v>No</v>
      </c>
      <c r="Z236" s="7" t="str">
        <f aca="false">IF(INDEX(MASTER_DATABASE!$A$4:$A$1000,ROW()-3)="","",INDEX(MASTER_DATABASE!$AK$4:$AK$1000,ROW()-3)&amp;"")</f>
        <v>No</v>
      </c>
      <c r="AA236" s="7" t="str">
        <f aca="false">IF(INDEX(MASTER_DATABASE!$A$4:$A$1000,ROW()-3)="","",INDEX(MASTER_DATABASE!$BE$4:$BE$1000,ROW()-3)&amp;"")</f>
        <v>LIVE</v>
      </c>
    </row>
    <row r="237" customFormat="false" ht="46.25" hidden="false" customHeight="false" outlineLevel="0" collapsed="false">
      <c r="A237" s="11" t="str">
        <f aca="false">IF(INDEX(MASTER_DATABASE!$A$4:$A$1000,ROW()-3)="","",INDEX(MASTER_DATABASE!$A$4:$A$1000,ROW()-3)&amp;"")</f>
        <v>ONL-006</v>
      </c>
      <c r="B237" s="7" t="str">
        <f aca="false">IF(INDEX(MASTER_DATABASE!$A$4:$A$1000,ROW()-3)="","",INDEX(MASTER_DATABASE!$B$4:$B$1000,ROW()-3)&amp;"")</f>
        <v>Online Form &amp; Digital Services</v>
      </c>
      <c r="C237" s="7" t="str">
        <f aca="false">IF(INDEX(MASTER_DATABASE!$A$4:$A$1000,ROW()-3)="","",INDEX(MASTER_DATABASE!$C$4:$C$1000,ROW()-3)&amp;"")</f>
        <v>Online &amp; Digital Services</v>
      </c>
      <c r="D237" s="7" t="str">
        <f aca="false">IF(INDEX(MASTER_DATABASE!$A$4:$A$1000,ROW()-3)="","",INDEX(MASTER_DATABASE!$D$4:$D$1000,ROW()-3)&amp;"")</f>
        <v>Government Job &amp; Recruitment Forms</v>
      </c>
      <c r="E237" s="7" t="str">
        <f aca="false">IF(INDEX(MASTER_DATABASE!$A$4:$A$1000,ROW()-3)="","",INDEX(MASTER_DATABASE!$E$4:$E$1000,ROW()-3)&amp;"")</f>
        <v>Recruitment Form – Police / Defence</v>
      </c>
      <c r="F237" s="7" t="str">
        <f aca="false">IF(INDEX(MASTER_DATABASE!$A$4:$A$1000,ROW()-3)="","",INDEX(MASTER_DATABASE!$F$4:$F$1000,ROW()-3)&amp;"")</f>
        <v>पुलिस / रक्षा भर्ती फॉर्म</v>
      </c>
      <c r="G237" s="7" t="str">
        <f aca="false">IF(INDEX(MASTER_DATABASE!$A$4:$A$1000,ROW()-3)="","",INDEX(MASTER_DATABASE!$AL$4:$AL$1000,ROW()-3)&amp;"")</f>
        <v>Online Form &amp; Digital Services</v>
      </c>
      <c r="H237" s="7" t="str">
        <f aca="false">IF(INDEX(MASTER_DATABASE!$A$4:$A$1000,ROW()-3)="","",INDEX(MASTER_DATABASE!$AM$4:$AM$1000,ROW()-3)&amp;"")</f>
        <v>Government Job &amp; Recruitment Forms</v>
      </c>
      <c r="I237" s="7" t="str">
        <f aca="false">IF(INDEX(MASTER_DATABASE!$A$4:$A$1000,ROW()-3)="","",INDEX(MASTER_DATABASE!$AO$4:$AO$1000,ROW()-3)&amp;"")</f>
        <v>recruitment-form-police-defence</v>
      </c>
      <c r="J237" s="7" t="str">
        <f aca="false">IF(INDEX(MASTER_DATABASE!$A$4:$A$1000,ROW()-3)="","",INDEX(MASTER_DATABASE!$BD$4:$BD$1000,ROW()-3)&amp;"")</f>
        <v>/services/recruitment-form-police-defence</v>
      </c>
      <c r="K237" s="7" t="str">
        <f aca="false">IF(INDEX(MASTER_DATABASE!$A$4:$A$1000,ROW()-3)="","",INDEX(MASTER_DATABASE!$AX$4:$AX$1000,ROW()-3)&amp;"")</f>
        <v>Recruitment Form – Police / Defence Service | Devmobile Stores</v>
      </c>
      <c r="L237" s="7" t="str">
        <f aca="false">IF(INDEX(MASTER_DATABASE!$A$4:$A$1000,ROW()-3)="","",INDEX(MASTER_DATABASE!$AY$4:$AY$1000,ROW()-3)&amp;"")</f>
        <v>Recruitment Form – Police / Defence (पुलिस / रक्षा भर्ती फॉर्म) at Devmobile Stores and Common Service Center &amp; Aadhaar Centre. Check required documents, charges and process before you visit.</v>
      </c>
      <c r="M237" s="7" t="str">
        <f aca="false">IF(INDEX(MASTER_DATABASE!$A$4:$A$1000,ROW()-3)="","",INDEX(MASTER_DATABASE!$AN$4:$AN$1000,ROW()-3)&amp;"")</f>
        <v>Recruitment Form – Police / Defence, Online Form &amp; Digital Services, Devmobile Stores, पुलिस / रक्षा भर्ती फॉर्म, ऑनलाइन फॉर्म व डिजिटल सेवाएँ, सेवा</v>
      </c>
      <c r="N237" s="7" t="str">
        <f aca="false">IF(INDEX(MASTER_DATABASE!$A$4:$A$1000,ROW()-3)="","",INDEX(MASTER_DATABASE!$AZ$4:$AZ$1000,ROW()-3)&amp;"")</f>
        <v>पुलिस / रक्षा भर्ती फॉर्म, ऑनलाइन फॉर्म व डिजिटल सेवाएँ, सेवा</v>
      </c>
      <c r="O237" s="7" t="str">
        <f aca="false">IF(INDEX(MASTER_DATABASE!$A$4:$A$1000,ROW()-3)="","",INDEX(MASTER_DATABASE!$BA$4:$BA$1000,ROW()-3)&amp;"")</f>
        <v>Recruitment Form – Police / Defence, Online Form &amp; Digital Services, Devmobile Stores</v>
      </c>
      <c r="P237" s="11" t="str">
        <f aca="false">IF(INDEX(MASTER_DATABASE!$A$4:$A$1000,ROW()-3)="","",INDEX(MASTER_DATABASE!$AP$4:$AP$1000,ROW()-3)&amp;"")</f>
        <v>💼</v>
      </c>
      <c r="Q237" s="7" t="str">
        <f aca="false">IF(INDEX(MASTER_DATABASE!$A$4:$A$1000,ROW()-3)="","",INDEX(MASTER_DATABASE!$BB$4:$BB$1000,ROW()-3)&amp;"")</f>
        <v/>
      </c>
      <c r="R237" s="11" t="str">
        <f aca="false">IF(INDEX(MASTER_DATABASE!$A$4:$A$1000,ROW()-3)="","",INDEX(MASTER_DATABASE!$BC$4:$BC$1000,ROW()-3)&amp;"")</f>
        <v>🌐</v>
      </c>
      <c r="S237" s="11" t="n">
        <f aca="false">IF(INDEX(MASTER_DATABASE!$A$4:$A$1000,ROW()-3)="","",INDEX(MASTER_DATABASE!$AQ$4:$AQ$1000,ROW()-3))</f>
        <v>60</v>
      </c>
      <c r="T237" s="7" t="str">
        <f aca="false">IF(INDEX(MASTER_DATABASE!$A$4:$A$1000,ROW()-3)="","",INDEX(MASTER_DATABASE!$I$4:$I$1000,ROW()-3)&amp;"")</f>
        <v>Available</v>
      </c>
      <c r="U237" s="7" t="str">
        <f aca="false">IF(INDEX(MASTER_DATABASE!$A$4:$A$1000,ROW()-3)="","",INDEX(MASTER_DATABASE!$J$4:$J$1000,ROW()-3)&amp;"")</f>
        <v>Available</v>
      </c>
      <c r="V237" s="7" t="str">
        <f aca="false">IF(INDEX(MASTER_DATABASE!$A$4:$A$1000,ROW()-3)="","",INDEX(MASTER_DATABASE!$AG$4:$AG$1000,ROW()-3)&amp;"")</f>
        <v>Active</v>
      </c>
      <c r="W237" s="7" t="str">
        <f aca="false">IF(INDEX(MASTER_DATABASE!$A$4:$A$1000,ROW()-3)="","",INDEX(MASTER_DATABASE!$AH$4:$AH$1000,ROW()-3)&amp;"")</f>
        <v>Yes</v>
      </c>
      <c r="X237" s="7" t="str">
        <f aca="false">IF(INDEX(MASTER_DATABASE!$A$4:$A$1000,ROW()-3)="","",INDEX(MASTER_DATABASE!$AI$4:$AI$1000,ROW()-3)&amp;"")</f>
        <v>No</v>
      </c>
      <c r="Y237" s="7" t="str">
        <f aca="false">IF(INDEX(MASTER_DATABASE!$A$4:$A$1000,ROW()-3)="","",INDEX(MASTER_DATABASE!$AJ$4:$AJ$1000,ROW()-3)&amp;"")</f>
        <v>No</v>
      </c>
      <c r="Z237" s="7" t="str">
        <f aca="false">IF(INDEX(MASTER_DATABASE!$A$4:$A$1000,ROW()-3)="","",INDEX(MASTER_DATABASE!$AK$4:$AK$1000,ROW()-3)&amp;"")</f>
        <v>No</v>
      </c>
      <c r="AA237" s="7" t="str">
        <f aca="false">IF(INDEX(MASTER_DATABASE!$A$4:$A$1000,ROW()-3)="","",INDEX(MASTER_DATABASE!$BE$4:$BE$1000,ROW()-3)&amp;"")</f>
        <v>LIVE</v>
      </c>
    </row>
    <row r="238" customFormat="false" ht="46.25" hidden="false" customHeight="false" outlineLevel="0" collapsed="false">
      <c r="A238" s="11" t="str">
        <f aca="false">IF(INDEX(MASTER_DATABASE!$A$4:$A$1000,ROW()-3)="","",INDEX(MASTER_DATABASE!$A$4:$A$1000,ROW()-3)&amp;"")</f>
        <v>ONL-007</v>
      </c>
      <c r="B238" s="7" t="str">
        <f aca="false">IF(INDEX(MASTER_DATABASE!$A$4:$A$1000,ROW()-3)="","",INDEX(MASTER_DATABASE!$B$4:$B$1000,ROW()-3)&amp;"")</f>
        <v>Online Form &amp; Digital Services</v>
      </c>
      <c r="C238" s="7" t="str">
        <f aca="false">IF(INDEX(MASTER_DATABASE!$A$4:$A$1000,ROW()-3)="","",INDEX(MASTER_DATABASE!$C$4:$C$1000,ROW()-3)&amp;"")</f>
        <v>Online &amp; Digital Services</v>
      </c>
      <c r="D238" s="7" t="str">
        <f aca="false">IF(INDEX(MASTER_DATABASE!$A$4:$A$1000,ROW()-3)="","",INDEX(MASTER_DATABASE!$D$4:$D$1000,ROW()-3)&amp;"")</f>
        <v>Government Job &amp; Recruitment Forms</v>
      </c>
      <c r="E238" s="7" t="str">
        <f aca="false">IF(INDEX(MASTER_DATABASE!$A$4:$A$1000,ROW()-3)="","",INDEX(MASTER_DATABASE!$E$4:$E$1000,ROW()-3)&amp;"")</f>
        <v>Recruitment Form – Teacher (TET / TRE)</v>
      </c>
      <c r="F238" s="7" t="str">
        <f aca="false">IF(INDEX(MASTER_DATABASE!$A$4:$A$1000,ROW()-3)="","",INDEX(MASTER_DATABASE!$F$4:$F$1000,ROW()-3)&amp;"")</f>
        <v>शिक्षक भर्ती फॉर्म (TET / TRE)</v>
      </c>
      <c r="G238" s="7" t="str">
        <f aca="false">IF(INDEX(MASTER_DATABASE!$A$4:$A$1000,ROW()-3)="","",INDEX(MASTER_DATABASE!$AL$4:$AL$1000,ROW()-3)&amp;"")</f>
        <v>Online Form &amp; Digital Services</v>
      </c>
      <c r="H238" s="7" t="str">
        <f aca="false">IF(INDEX(MASTER_DATABASE!$A$4:$A$1000,ROW()-3)="","",INDEX(MASTER_DATABASE!$AM$4:$AM$1000,ROW()-3)&amp;"")</f>
        <v>Government Job &amp; Recruitment Forms</v>
      </c>
      <c r="I238" s="7" t="str">
        <f aca="false">IF(INDEX(MASTER_DATABASE!$A$4:$A$1000,ROW()-3)="","",INDEX(MASTER_DATABASE!$AO$4:$AO$1000,ROW()-3)&amp;"")</f>
        <v>recruitment-form-teacher-tet-tre</v>
      </c>
      <c r="J238" s="7" t="str">
        <f aca="false">IF(INDEX(MASTER_DATABASE!$A$4:$A$1000,ROW()-3)="","",INDEX(MASTER_DATABASE!$BD$4:$BD$1000,ROW()-3)&amp;"")</f>
        <v>/services/recruitment-form-teacher-tet-tre</v>
      </c>
      <c r="K238" s="7" t="str">
        <f aca="false">IF(INDEX(MASTER_DATABASE!$A$4:$A$1000,ROW()-3)="","",INDEX(MASTER_DATABASE!$AX$4:$AX$1000,ROW()-3)&amp;"")</f>
        <v>Recruitment Form – Teacher (TET / TRE) Service | Devmobile Stores</v>
      </c>
      <c r="L238" s="7" t="str">
        <f aca="false">IF(INDEX(MASTER_DATABASE!$A$4:$A$1000,ROW()-3)="","",INDEX(MASTER_DATABASE!$AY$4:$AY$1000,ROW()-3)&amp;"")</f>
        <v>Recruitment Form – Teacher (TET / TRE) (शिक्षक भर्ती फॉर्म (TET / TRE)) at Devmobile Stores and Common Service Center &amp; Aadhaar Centre. Check required documents, charges and process before you visit.</v>
      </c>
      <c r="M238" s="7" t="str">
        <f aca="false">IF(INDEX(MASTER_DATABASE!$A$4:$A$1000,ROW()-3)="","",INDEX(MASTER_DATABASE!$AN$4:$AN$1000,ROW()-3)&amp;"")</f>
        <v>Recruitment Form – Teacher (TET / TRE), Online Form &amp; Digital Services, Devmobile Stores, शिक्षक भर्ती फॉर्म (TET / TRE), ऑनलाइन फॉर्म व डिजिटल सेवाएँ, सेवा</v>
      </c>
      <c r="N238" s="7" t="str">
        <f aca="false">IF(INDEX(MASTER_DATABASE!$A$4:$A$1000,ROW()-3)="","",INDEX(MASTER_DATABASE!$AZ$4:$AZ$1000,ROW()-3)&amp;"")</f>
        <v>शिक्षक भर्ती फॉर्म (TET / TRE), ऑनलाइन फॉर्म व डिजिटल सेवाएँ, सेवा</v>
      </c>
      <c r="O238" s="7" t="str">
        <f aca="false">IF(INDEX(MASTER_DATABASE!$A$4:$A$1000,ROW()-3)="","",INDEX(MASTER_DATABASE!$BA$4:$BA$1000,ROW()-3)&amp;"")</f>
        <v>Recruitment Form – Teacher (TET / TRE), Online Form &amp; Digital Services, Devmobile Stores</v>
      </c>
      <c r="P238" s="11" t="str">
        <f aca="false">IF(INDEX(MASTER_DATABASE!$A$4:$A$1000,ROW()-3)="","",INDEX(MASTER_DATABASE!$AP$4:$AP$1000,ROW()-3)&amp;"")</f>
        <v>💼</v>
      </c>
      <c r="Q238" s="7" t="str">
        <f aca="false">IF(INDEX(MASTER_DATABASE!$A$4:$A$1000,ROW()-3)="","",INDEX(MASTER_DATABASE!$BB$4:$BB$1000,ROW()-3)&amp;"")</f>
        <v/>
      </c>
      <c r="R238" s="11" t="str">
        <f aca="false">IF(INDEX(MASTER_DATABASE!$A$4:$A$1000,ROW()-3)="","",INDEX(MASTER_DATABASE!$BC$4:$BC$1000,ROW()-3)&amp;"")</f>
        <v>🌐</v>
      </c>
      <c r="S238" s="11" t="n">
        <f aca="false">IF(INDEX(MASTER_DATABASE!$A$4:$A$1000,ROW()-3)="","",INDEX(MASTER_DATABASE!$AQ$4:$AQ$1000,ROW()-3))</f>
        <v>70</v>
      </c>
      <c r="T238" s="7" t="str">
        <f aca="false">IF(INDEX(MASTER_DATABASE!$A$4:$A$1000,ROW()-3)="","",INDEX(MASTER_DATABASE!$I$4:$I$1000,ROW()-3)&amp;"")</f>
        <v>Available</v>
      </c>
      <c r="U238" s="7" t="str">
        <f aca="false">IF(INDEX(MASTER_DATABASE!$A$4:$A$1000,ROW()-3)="","",INDEX(MASTER_DATABASE!$J$4:$J$1000,ROW()-3)&amp;"")</f>
        <v>Available</v>
      </c>
      <c r="V238" s="7" t="str">
        <f aca="false">IF(INDEX(MASTER_DATABASE!$A$4:$A$1000,ROW()-3)="","",INDEX(MASTER_DATABASE!$AG$4:$AG$1000,ROW()-3)&amp;"")</f>
        <v>Active</v>
      </c>
      <c r="W238" s="7" t="str">
        <f aca="false">IF(INDEX(MASTER_DATABASE!$A$4:$A$1000,ROW()-3)="","",INDEX(MASTER_DATABASE!$AH$4:$AH$1000,ROW()-3)&amp;"")</f>
        <v>Yes</v>
      </c>
      <c r="X238" s="7" t="str">
        <f aca="false">IF(INDEX(MASTER_DATABASE!$A$4:$A$1000,ROW()-3)="","",INDEX(MASTER_DATABASE!$AI$4:$AI$1000,ROW()-3)&amp;"")</f>
        <v>No</v>
      </c>
      <c r="Y238" s="7" t="str">
        <f aca="false">IF(INDEX(MASTER_DATABASE!$A$4:$A$1000,ROW()-3)="","",INDEX(MASTER_DATABASE!$AJ$4:$AJ$1000,ROW()-3)&amp;"")</f>
        <v>No</v>
      </c>
      <c r="Z238" s="7" t="str">
        <f aca="false">IF(INDEX(MASTER_DATABASE!$A$4:$A$1000,ROW()-3)="","",INDEX(MASTER_DATABASE!$AK$4:$AK$1000,ROW()-3)&amp;"")</f>
        <v>No</v>
      </c>
      <c r="AA238" s="7" t="str">
        <f aca="false">IF(INDEX(MASTER_DATABASE!$A$4:$A$1000,ROW()-3)="","",INDEX(MASTER_DATABASE!$BE$4:$BE$1000,ROW()-3)&amp;"")</f>
        <v>LIVE</v>
      </c>
    </row>
    <row r="239" customFormat="false" ht="57.45" hidden="false" customHeight="false" outlineLevel="0" collapsed="false">
      <c r="A239" s="11" t="str">
        <f aca="false">IF(INDEX(MASTER_DATABASE!$A$4:$A$1000,ROW()-3)="","",INDEX(MASTER_DATABASE!$A$4:$A$1000,ROW()-3)&amp;"")</f>
        <v>ONL-008</v>
      </c>
      <c r="B239" s="7" t="str">
        <f aca="false">IF(INDEX(MASTER_DATABASE!$A$4:$A$1000,ROW()-3)="","",INDEX(MASTER_DATABASE!$B$4:$B$1000,ROW()-3)&amp;"")</f>
        <v>Online Form &amp; Digital Services</v>
      </c>
      <c r="C239" s="7" t="str">
        <f aca="false">IF(INDEX(MASTER_DATABASE!$A$4:$A$1000,ROW()-3)="","",INDEX(MASTER_DATABASE!$C$4:$C$1000,ROW()-3)&amp;"")</f>
        <v>Online &amp; Digital Services</v>
      </c>
      <c r="D239" s="7" t="str">
        <f aca="false">IF(INDEX(MASTER_DATABASE!$A$4:$A$1000,ROW()-3)="","",INDEX(MASTER_DATABASE!$D$4:$D$1000,ROW()-3)&amp;"")</f>
        <v>Government Job &amp; Recruitment Forms</v>
      </c>
      <c r="E239" s="7" t="str">
        <f aca="false">IF(INDEX(MASTER_DATABASE!$A$4:$A$1000,ROW()-3)="","",INDEX(MASTER_DATABASE!$E$4:$E$1000,ROW()-3)&amp;"")</f>
        <v>Competitive Exam Form (UPSC / State PSC etc.)</v>
      </c>
      <c r="F239" s="7" t="str">
        <f aca="false">IF(INDEX(MASTER_DATABASE!$A$4:$A$1000,ROW()-3)="","",INDEX(MASTER_DATABASE!$F$4:$F$1000,ROW()-3)&amp;"")</f>
        <v>प्रतियोगी परीक्षा फॉर्म (UPSC / राज्य PSC आदि)</v>
      </c>
      <c r="G239" s="7" t="str">
        <f aca="false">IF(INDEX(MASTER_DATABASE!$A$4:$A$1000,ROW()-3)="","",INDEX(MASTER_DATABASE!$AL$4:$AL$1000,ROW()-3)&amp;"")</f>
        <v>Online Form &amp; Digital Services</v>
      </c>
      <c r="H239" s="7" t="str">
        <f aca="false">IF(INDEX(MASTER_DATABASE!$A$4:$A$1000,ROW()-3)="","",INDEX(MASTER_DATABASE!$AM$4:$AM$1000,ROW()-3)&amp;"")</f>
        <v>Government Job &amp; Recruitment Forms</v>
      </c>
      <c r="I239" s="7" t="str">
        <f aca="false">IF(INDEX(MASTER_DATABASE!$A$4:$A$1000,ROW()-3)="","",INDEX(MASTER_DATABASE!$AO$4:$AO$1000,ROW()-3)&amp;"")</f>
        <v>competitive-exam-form-upsc-state-psc-etc</v>
      </c>
      <c r="J239" s="7" t="str">
        <f aca="false">IF(INDEX(MASTER_DATABASE!$A$4:$A$1000,ROW()-3)="","",INDEX(MASTER_DATABASE!$BD$4:$BD$1000,ROW()-3)&amp;"")</f>
        <v>/services/competitive-exam-form-upsc-state-psc-etc</v>
      </c>
      <c r="K239" s="7" t="str">
        <f aca="false">IF(INDEX(MASTER_DATABASE!$A$4:$A$1000,ROW()-3)="","",INDEX(MASTER_DATABASE!$AX$4:$AX$1000,ROW()-3)&amp;"")</f>
        <v>Competitive Exam Form (UPSC / State PSC etc.) Service | Devmobile Stores</v>
      </c>
      <c r="L239" s="7" t="str">
        <f aca="false">IF(INDEX(MASTER_DATABASE!$A$4:$A$1000,ROW()-3)="","",INDEX(MASTER_DATABASE!$AY$4:$AY$1000,ROW()-3)&amp;"")</f>
        <v>Competitive Exam Form (UPSC / State PSC etc.) (प्रतियोगी परीक्षा फॉर्म (UPSC / राज्य PSC आदि)) at Devmobile Stores and Common Service Center &amp; Aadhaar Centre. Check required documents, charges and process before you visit.</v>
      </c>
      <c r="M239" s="7" t="str">
        <f aca="false">IF(INDEX(MASTER_DATABASE!$A$4:$A$1000,ROW()-3)="","",INDEX(MASTER_DATABASE!$AN$4:$AN$1000,ROW()-3)&amp;"")</f>
        <v>Competitive Exam Form (UPSC / State PSC etc.), Online Form &amp; Digital Services, Devmobile Stores, प्रतियोगी परीक्षा फॉर्म (UPSC / राज्य PSC आदि), ऑनलाइन फॉर्म व डिजिटल सेवाएँ, सेवा</v>
      </c>
      <c r="N239" s="7" t="str">
        <f aca="false">IF(INDEX(MASTER_DATABASE!$A$4:$A$1000,ROW()-3)="","",INDEX(MASTER_DATABASE!$AZ$4:$AZ$1000,ROW()-3)&amp;"")</f>
        <v>प्रतियोगी परीक्षा फॉर्म (UPSC / राज्य PSC आदि), ऑनलाइन फॉर्म व डिजिटल सेवाएँ, सेवा</v>
      </c>
      <c r="O239" s="7" t="str">
        <f aca="false">IF(INDEX(MASTER_DATABASE!$A$4:$A$1000,ROW()-3)="","",INDEX(MASTER_DATABASE!$BA$4:$BA$1000,ROW()-3)&amp;"")</f>
        <v>Competitive Exam Form (UPSC / State PSC etc.), Online Form &amp; Digital Services, Devmobile Stores</v>
      </c>
      <c r="P239" s="11" t="str">
        <f aca="false">IF(INDEX(MASTER_DATABASE!$A$4:$A$1000,ROW()-3)="","",INDEX(MASTER_DATABASE!$AP$4:$AP$1000,ROW()-3)&amp;"")</f>
        <v>💼</v>
      </c>
      <c r="Q239" s="7" t="str">
        <f aca="false">IF(INDEX(MASTER_DATABASE!$A$4:$A$1000,ROW()-3)="","",INDEX(MASTER_DATABASE!$BB$4:$BB$1000,ROW()-3)&amp;"")</f>
        <v/>
      </c>
      <c r="R239" s="11" t="str">
        <f aca="false">IF(INDEX(MASTER_DATABASE!$A$4:$A$1000,ROW()-3)="","",INDEX(MASTER_DATABASE!$BC$4:$BC$1000,ROW()-3)&amp;"")</f>
        <v>🌐</v>
      </c>
      <c r="S239" s="11" t="n">
        <f aca="false">IF(INDEX(MASTER_DATABASE!$A$4:$A$1000,ROW()-3)="","",INDEX(MASTER_DATABASE!$AQ$4:$AQ$1000,ROW()-3))</f>
        <v>80</v>
      </c>
      <c r="T239" s="7" t="str">
        <f aca="false">IF(INDEX(MASTER_DATABASE!$A$4:$A$1000,ROW()-3)="","",INDEX(MASTER_DATABASE!$I$4:$I$1000,ROW()-3)&amp;"")</f>
        <v>Available</v>
      </c>
      <c r="U239" s="7" t="str">
        <f aca="false">IF(INDEX(MASTER_DATABASE!$A$4:$A$1000,ROW()-3)="","",INDEX(MASTER_DATABASE!$J$4:$J$1000,ROW()-3)&amp;"")</f>
        <v>Available</v>
      </c>
      <c r="V239" s="7" t="str">
        <f aca="false">IF(INDEX(MASTER_DATABASE!$A$4:$A$1000,ROW()-3)="","",INDEX(MASTER_DATABASE!$AG$4:$AG$1000,ROW()-3)&amp;"")</f>
        <v>Active</v>
      </c>
      <c r="W239" s="7" t="str">
        <f aca="false">IF(INDEX(MASTER_DATABASE!$A$4:$A$1000,ROW()-3)="","",INDEX(MASTER_DATABASE!$AH$4:$AH$1000,ROW()-3)&amp;"")</f>
        <v>Yes</v>
      </c>
      <c r="X239" s="7" t="str">
        <f aca="false">IF(INDEX(MASTER_DATABASE!$A$4:$A$1000,ROW()-3)="","",INDEX(MASTER_DATABASE!$AI$4:$AI$1000,ROW()-3)&amp;"")</f>
        <v>No</v>
      </c>
      <c r="Y239" s="7" t="str">
        <f aca="false">IF(INDEX(MASTER_DATABASE!$A$4:$A$1000,ROW()-3)="","",INDEX(MASTER_DATABASE!$AJ$4:$AJ$1000,ROW()-3)&amp;"")</f>
        <v>No</v>
      </c>
      <c r="Z239" s="7" t="str">
        <f aca="false">IF(INDEX(MASTER_DATABASE!$A$4:$A$1000,ROW()-3)="","",INDEX(MASTER_DATABASE!$AK$4:$AK$1000,ROW()-3)&amp;"")</f>
        <v>No</v>
      </c>
      <c r="AA239" s="7" t="str">
        <f aca="false">IF(INDEX(MASTER_DATABASE!$A$4:$A$1000,ROW()-3)="","",INDEX(MASTER_DATABASE!$BE$4:$BE$1000,ROW()-3)&amp;"")</f>
        <v>LIVE</v>
      </c>
    </row>
    <row r="240" customFormat="false" ht="57.45" hidden="false" customHeight="false" outlineLevel="0" collapsed="false">
      <c r="A240" s="11" t="str">
        <f aca="false">IF(INDEX(MASTER_DATABASE!$A$4:$A$1000,ROW()-3)="","",INDEX(MASTER_DATABASE!$A$4:$A$1000,ROW()-3)&amp;"")</f>
        <v>ONL-009</v>
      </c>
      <c r="B240" s="7" t="str">
        <f aca="false">IF(INDEX(MASTER_DATABASE!$A$4:$A$1000,ROW()-3)="","",INDEX(MASTER_DATABASE!$B$4:$B$1000,ROW()-3)&amp;"")</f>
        <v>Online Form &amp; Digital Services</v>
      </c>
      <c r="C240" s="7" t="str">
        <f aca="false">IF(INDEX(MASTER_DATABASE!$A$4:$A$1000,ROW()-3)="","",INDEX(MASTER_DATABASE!$C$4:$C$1000,ROW()-3)&amp;"")</f>
        <v>Online &amp; Digital Services</v>
      </c>
      <c r="D240" s="7" t="str">
        <f aca="false">IF(INDEX(MASTER_DATABASE!$A$4:$A$1000,ROW()-3)="","",INDEX(MASTER_DATABASE!$D$4:$D$1000,ROW()-3)&amp;"")</f>
        <v>Government Job &amp; Recruitment Forms</v>
      </c>
      <c r="E240" s="7" t="str">
        <f aca="false">IF(INDEX(MASTER_DATABASE!$A$4:$A$1000,ROW()-3)="","",INDEX(MASTER_DATABASE!$E$4:$E$1000,ROW()-3)&amp;"")</f>
        <v>Entrance Exam Form (JEE / NEET / CUET etc.)</v>
      </c>
      <c r="F240" s="7" t="str">
        <f aca="false">IF(INDEX(MASTER_DATABASE!$A$4:$A$1000,ROW()-3)="","",INDEX(MASTER_DATABASE!$F$4:$F$1000,ROW()-3)&amp;"")</f>
        <v>प्रवेश परीक्षा फॉर्म (JEE / NEET / CUET आदि)</v>
      </c>
      <c r="G240" s="7" t="str">
        <f aca="false">IF(INDEX(MASTER_DATABASE!$A$4:$A$1000,ROW()-3)="","",INDEX(MASTER_DATABASE!$AL$4:$AL$1000,ROW()-3)&amp;"")</f>
        <v>Online Form &amp; Digital Services</v>
      </c>
      <c r="H240" s="7" t="str">
        <f aca="false">IF(INDEX(MASTER_DATABASE!$A$4:$A$1000,ROW()-3)="","",INDEX(MASTER_DATABASE!$AM$4:$AM$1000,ROW()-3)&amp;"")</f>
        <v>Government Job &amp; Recruitment Forms</v>
      </c>
      <c r="I240" s="7" t="str">
        <f aca="false">IF(INDEX(MASTER_DATABASE!$A$4:$A$1000,ROW()-3)="","",INDEX(MASTER_DATABASE!$AO$4:$AO$1000,ROW()-3)&amp;"")</f>
        <v>entrance-exam-form-jee-neet-cuet-etc</v>
      </c>
      <c r="J240" s="7" t="str">
        <f aca="false">IF(INDEX(MASTER_DATABASE!$A$4:$A$1000,ROW()-3)="","",INDEX(MASTER_DATABASE!$BD$4:$BD$1000,ROW()-3)&amp;"")</f>
        <v>/services/entrance-exam-form-jee-neet-cuet-etc</v>
      </c>
      <c r="K240" s="7" t="str">
        <f aca="false">IF(INDEX(MASTER_DATABASE!$A$4:$A$1000,ROW()-3)="","",INDEX(MASTER_DATABASE!$AX$4:$AX$1000,ROW()-3)&amp;"")</f>
        <v>Entrance Exam Form (JEE / NEET / CUET etc.) Service | Devmobile Stores</v>
      </c>
      <c r="L240" s="7" t="str">
        <f aca="false">IF(INDEX(MASTER_DATABASE!$A$4:$A$1000,ROW()-3)="","",INDEX(MASTER_DATABASE!$AY$4:$AY$1000,ROW()-3)&amp;"")</f>
        <v>Entrance Exam Form (JEE / NEET / CUET etc.) (प्रवेश परीक्षा फॉर्म (JEE / NEET / CUET आदि)) at Devmobile Stores and Common Service Center &amp; Aadhaar Centre. Check required documents, charges and process before you visit.</v>
      </c>
      <c r="M240" s="7" t="str">
        <f aca="false">IF(INDEX(MASTER_DATABASE!$A$4:$A$1000,ROW()-3)="","",INDEX(MASTER_DATABASE!$AN$4:$AN$1000,ROW()-3)&amp;"")</f>
        <v>Entrance Exam Form (JEE / NEET / CUET etc.), Online Form &amp; Digital Services, Devmobile Stores, प्रवेश परीक्षा फॉर्म (JEE / NEET / CUET आदि), ऑनलाइन फॉर्म व डिजिटल सेवाएँ, सेवा</v>
      </c>
      <c r="N240" s="7" t="str">
        <f aca="false">IF(INDEX(MASTER_DATABASE!$A$4:$A$1000,ROW()-3)="","",INDEX(MASTER_DATABASE!$AZ$4:$AZ$1000,ROW()-3)&amp;"")</f>
        <v>प्रवेश परीक्षा फॉर्म (JEE / NEET / CUET आदि), ऑनलाइन फॉर्म व डिजिटल सेवाएँ, सेवा</v>
      </c>
      <c r="O240" s="7" t="str">
        <f aca="false">IF(INDEX(MASTER_DATABASE!$A$4:$A$1000,ROW()-3)="","",INDEX(MASTER_DATABASE!$BA$4:$BA$1000,ROW()-3)&amp;"")</f>
        <v>Entrance Exam Form (JEE / NEET / CUET etc.), Online Form &amp; Digital Services, Devmobile Stores</v>
      </c>
      <c r="P240" s="11" t="str">
        <f aca="false">IF(INDEX(MASTER_DATABASE!$A$4:$A$1000,ROW()-3)="","",INDEX(MASTER_DATABASE!$AP$4:$AP$1000,ROW()-3)&amp;"")</f>
        <v>💼</v>
      </c>
      <c r="Q240" s="7" t="str">
        <f aca="false">IF(INDEX(MASTER_DATABASE!$A$4:$A$1000,ROW()-3)="","",INDEX(MASTER_DATABASE!$BB$4:$BB$1000,ROW()-3)&amp;"")</f>
        <v/>
      </c>
      <c r="R240" s="11" t="str">
        <f aca="false">IF(INDEX(MASTER_DATABASE!$A$4:$A$1000,ROW()-3)="","",INDEX(MASTER_DATABASE!$BC$4:$BC$1000,ROW()-3)&amp;"")</f>
        <v>🌐</v>
      </c>
      <c r="S240" s="11" t="n">
        <f aca="false">IF(INDEX(MASTER_DATABASE!$A$4:$A$1000,ROW()-3)="","",INDEX(MASTER_DATABASE!$AQ$4:$AQ$1000,ROW()-3))</f>
        <v>90</v>
      </c>
      <c r="T240" s="7" t="str">
        <f aca="false">IF(INDEX(MASTER_DATABASE!$A$4:$A$1000,ROW()-3)="","",INDEX(MASTER_DATABASE!$I$4:$I$1000,ROW()-3)&amp;"")</f>
        <v>Available</v>
      </c>
      <c r="U240" s="7" t="str">
        <f aca="false">IF(INDEX(MASTER_DATABASE!$A$4:$A$1000,ROW()-3)="","",INDEX(MASTER_DATABASE!$J$4:$J$1000,ROW()-3)&amp;"")</f>
        <v>Available</v>
      </c>
      <c r="V240" s="7" t="str">
        <f aca="false">IF(INDEX(MASTER_DATABASE!$A$4:$A$1000,ROW()-3)="","",INDEX(MASTER_DATABASE!$AG$4:$AG$1000,ROW()-3)&amp;"")</f>
        <v>Active</v>
      </c>
      <c r="W240" s="7" t="str">
        <f aca="false">IF(INDEX(MASTER_DATABASE!$A$4:$A$1000,ROW()-3)="","",INDEX(MASTER_DATABASE!$AH$4:$AH$1000,ROW()-3)&amp;"")</f>
        <v>Yes</v>
      </c>
      <c r="X240" s="7" t="str">
        <f aca="false">IF(INDEX(MASTER_DATABASE!$A$4:$A$1000,ROW()-3)="","",INDEX(MASTER_DATABASE!$AI$4:$AI$1000,ROW()-3)&amp;"")</f>
        <v>No</v>
      </c>
      <c r="Y240" s="7" t="str">
        <f aca="false">IF(INDEX(MASTER_DATABASE!$A$4:$A$1000,ROW()-3)="","",INDEX(MASTER_DATABASE!$AJ$4:$AJ$1000,ROW()-3)&amp;"")</f>
        <v>No</v>
      </c>
      <c r="Z240" s="7" t="str">
        <f aca="false">IF(INDEX(MASTER_DATABASE!$A$4:$A$1000,ROW()-3)="","",INDEX(MASTER_DATABASE!$AK$4:$AK$1000,ROW()-3)&amp;"")</f>
        <v>No</v>
      </c>
      <c r="AA240" s="7" t="str">
        <f aca="false">IF(INDEX(MASTER_DATABASE!$A$4:$A$1000,ROW()-3)="","",INDEX(MASTER_DATABASE!$BE$4:$BE$1000,ROW()-3)&amp;"")</f>
        <v>LIVE</v>
      </c>
    </row>
    <row r="241" customFormat="false" ht="46.25" hidden="false" customHeight="false" outlineLevel="0" collapsed="false">
      <c r="A241" s="11" t="str">
        <f aca="false">IF(INDEX(MASTER_DATABASE!$A$4:$A$1000,ROW()-3)="","",INDEX(MASTER_DATABASE!$A$4:$A$1000,ROW()-3)&amp;"")</f>
        <v>ONL-010</v>
      </c>
      <c r="B241" s="7" t="str">
        <f aca="false">IF(INDEX(MASTER_DATABASE!$A$4:$A$1000,ROW()-3)="","",INDEX(MASTER_DATABASE!$B$4:$B$1000,ROW()-3)&amp;"")</f>
        <v>Online Form &amp; Digital Services</v>
      </c>
      <c r="C241" s="7" t="str">
        <f aca="false">IF(INDEX(MASTER_DATABASE!$A$4:$A$1000,ROW()-3)="","",INDEX(MASTER_DATABASE!$C$4:$C$1000,ROW()-3)&amp;"")</f>
        <v>Online &amp; Digital Services</v>
      </c>
      <c r="D241" s="7" t="str">
        <f aca="false">IF(INDEX(MASTER_DATABASE!$A$4:$A$1000,ROW()-3)="","",INDEX(MASTER_DATABASE!$D$4:$D$1000,ROW()-3)&amp;"")</f>
        <v>Education Services</v>
      </c>
      <c r="E241" s="7" t="str">
        <f aca="false">IF(INDEX(MASTER_DATABASE!$A$4:$A$1000,ROW()-3)="","",INDEX(MASTER_DATABASE!$E$4:$E$1000,ROW()-3)&amp;"")</f>
        <v>School Admission Form</v>
      </c>
      <c r="F241" s="7" t="str">
        <f aca="false">IF(INDEX(MASTER_DATABASE!$A$4:$A$1000,ROW()-3)="","",INDEX(MASTER_DATABASE!$F$4:$F$1000,ROW()-3)&amp;"")</f>
        <v>स्कूल दाखिला फॉर्म</v>
      </c>
      <c r="G241" s="7" t="str">
        <f aca="false">IF(INDEX(MASTER_DATABASE!$A$4:$A$1000,ROW()-3)="","",INDEX(MASTER_DATABASE!$AL$4:$AL$1000,ROW()-3)&amp;"")</f>
        <v>Online Form &amp; Digital Services</v>
      </c>
      <c r="H241" s="7" t="str">
        <f aca="false">IF(INDEX(MASTER_DATABASE!$A$4:$A$1000,ROW()-3)="","",INDEX(MASTER_DATABASE!$AM$4:$AM$1000,ROW()-3)&amp;"")</f>
        <v>Education Services</v>
      </c>
      <c r="I241" s="7" t="str">
        <f aca="false">IF(INDEX(MASTER_DATABASE!$A$4:$A$1000,ROW()-3)="","",INDEX(MASTER_DATABASE!$AO$4:$AO$1000,ROW()-3)&amp;"")</f>
        <v>school-admission-form</v>
      </c>
      <c r="J241" s="7" t="str">
        <f aca="false">IF(INDEX(MASTER_DATABASE!$A$4:$A$1000,ROW()-3)="","",INDEX(MASTER_DATABASE!$BD$4:$BD$1000,ROW()-3)&amp;"")</f>
        <v>/services/school-admission-form</v>
      </c>
      <c r="K241" s="7" t="str">
        <f aca="false">IF(INDEX(MASTER_DATABASE!$A$4:$A$1000,ROW()-3)="","",INDEX(MASTER_DATABASE!$AX$4:$AX$1000,ROW()-3)&amp;"")</f>
        <v>School Admission Form Service | Devmobile Stores</v>
      </c>
      <c r="L241" s="7" t="str">
        <f aca="false">IF(INDEX(MASTER_DATABASE!$A$4:$A$1000,ROW()-3)="","",INDEX(MASTER_DATABASE!$AY$4:$AY$1000,ROW()-3)&amp;"")</f>
        <v>School Admission Form (स्कूल दाखिला फॉर्म) at Devmobile Stores and Common Service Center &amp; Aadhaar Centre. Check required documents, charges and process before you visit.</v>
      </c>
      <c r="M241" s="7" t="str">
        <f aca="false">IF(INDEX(MASTER_DATABASE!$A$4:$A$1000,ROW()-3)="","",INDEX(MASTER_DATABASE!$AN$4:$AN$1000,ROW()-3)&amp;"")</f>
        <v>School Admission Form, Online Form &amp; Digital Services, Devmobile Stores, स्कूल दाखिला फॉर्म, ऑनलाइन फॉर्म व डिजिटल सेवाएँ, सेवा</v>
      </c>
      <c r="N241" s="7" t="str">
        <f aca="false">IF(INDEX(MASTER_DATABASE!$A$4:$A$1000,ROW()-3)="","",INDEX(MASTER_DATABASE!$AZ$4:$AZ$1000,ROW()-3)&amp;"")</f>
        <v>स्कूल दाखिला फॉर्म, ऑनलाइन फॉर्म व डिजिटल सेवाएँ, सेवा</v>
      </c>
      <c r="O241" s="7" t="str">
        <f aca="false">IF(INDEX(MASTER_DATABASE!$A$4:$A$1000,ROW()-3)="","",INDEX(MASTER_DATABASE!$BA$4:$BA$1000,ROW()-3)&amp;"")</f>
        <v>School Admission Form, Online Form &amp; Digital Services, Devmobile Stores</v>
      </c>
      <c r="P241" s="11" t="str">
        <f aca="false">IF(INDEX(MASTER_DATABASE!$A$4:$A$1000,ROW()-3)="","",INDEX(MASTER_DATABASE!$AP$4:$AP$1000,ROW()-3)&amp;"")</f>
        <v>🎓</v>
      </c>
      <c r="Q241" s="7" t="str">
        <f aca="false">IF(INDEX(MASTER_DATABASE!$A$4:$A$1000,ROW()-3)="","",INDEX(MASTER_DATABASE!$BB$4:$BB$1000,ROW()-3)&amp;"")</f>
        <v/>
      </c>
      <c r="R241" s="11" t="str">
        <f aca="false">IF(INDEX(MASTER_DATABASE!$A$4:$A$1000,ROW()-3)="","",INDEX(MASTER_DATABASE!$BC$4:$BC$1000,ROW()-3)&amp;"")</f>
        <v>🌐</v>
      </c>
      <c r="S241" s="11" t="n">
        <f aca="false">IF(INDEX(MASTER_DATABASE!$A$4:$A$1000,ROW()-3)="","",INDEX(MASTER_DATABASE!$AQ$4:$AQ$1000,ROW()-3))</f>
        <v>100</v>
      </c>
      <c r="T241" s="7" t="str">
        <f aca="false">IF(INDEX(MASTER_DATABASE!$A$4:$A$1000,ROW()-3)="","",INDEX(MASTER_DATABASE!$I$4:$I$1000,ROW()-3)&amp;"")</f>
        <v>Available</v>
      </c>
      <c r="U241" s="7" t="str">
        <f aca="false">IF(INDEX(MASTER_DATABASE!$A$4:$A$1000,ROW()-3)="","",INDEX(MASTER_DATABASE!$J$4:$J$1000,ROW()-3)&amp;"")</f>
        <v>Available</v>
      </c>
      <c r="V241" s="7" t="str">
        <f aca="false">IF(INDEX(MASTER_DATABASE!$A$4:$A$1000,ROW()-3)="","",INDEX(MASTER_DATABASE!$AG$4:$AG$1000,ROW()-3)&amp;"")</f>
        <v>Active</v>
      </c>
      <c r="W241" s="7" t="str">
        <f aca="false">IF(INDEX(MASTER_DATABASE!$A$4:$A$1000,ROW()-3)="","",INDEX(MASTER_DATABASE!$AH$4:$AH$1000,ROW()-3)&amp;"")</f>
        <v>Yes</v>
      </c>
      <c r="X241" s="7" t="str">
        <f aca="false">IF(INDEX(MASTER_DATABASE!$A$4:$A$1000,ROW()-3)="","",INDEX(MASTER_DATABASE!$AI$4:$AI$1000,ROW()-3)&amp;"")</f>
        <v>No</v>
      </c>
      <c r="Y241" s="7" t="str">
        <f aca="false">IF(INDEX(MASTER_DATABASE!$A$4:$A$1000,ROW()-3)="","",INDEX(MASTER_DATABASE!$AJ$4:$AJ$1000,ROW()-3)&amp;"")</f>
        <v>No</v>
      </c>
      <c r="Z241" s="7" t="str">
        <f aca="false">IF(INDEX(MASTER_DATABASE!$A$4:$A$1000,ROW()-3)="","",INDEX(MASTER_DATABASE!$AK$4:$AK$1000,ROW()-3)&amp;"")</f>
        <v>No</v>
      </c>
      <c r="AA241" s="7" t="str">
        <f aca="false">IF(INDEX(MASTER_DATABASE!$A$4:$A$1000,ROW()-3)="","",INDEX(MASTER_DATABASE!$BE$4:$BE$1000,ROW()-3)&amp;"")</f>
        <v>LIVE</v>
      </c>
    </row>
    <row r="242" customFormat="false" ht="46.25" hidden="false" customHeight="false" outlineLevel="0" collapsed="false">
      <c r="A242" s="11" t="str">
        <f aca="false">IF(INDEX(MASTER_DATABASE!$A$4:$A$1000,ROW()-3)="","",INDEX(MASTER_DATABASE!$A$4:$A$1000,ROW()-3)&amp;"")</f>
        <v>ONL-011</v>
      </c>
      <c r="B242" s="7" t="str">
        <f aca="false">IF(INDEX(MASTER_DATABASE!$A$4:$A$1000,ROW()-3)="","",INDEX(MASTER_DATABASE!$B$4:$B$1000,ROW()-3)&amp;"")</f>
        <v>Online Form &amp; Digital Services</v>
      </c>
      <c r="C242" s="7" t="str">
        <f aca="false">IF(INDEX(MASTER_DATABASE!$A$4:$A$1000,ROW()-3)="","",INDEX(MASTER_DATABASE!$C$4:$C$1000,ROW()-3)&amp;"")</f>
        <v>Online &amp; Digital Services</v>
      </c>
      <c r="D242" s="7" t="str">
        <f aca="false">IF(INDEX(MASTER_DATABASE!$A$4:$A$1000,ROW()-3)="","",INDEX(MASTER_DATABASE!$D$4:$D$1000,ROW()-3)&amp;"")</f>
        <v>Education Services</v>
      </c>
      <c r="E242" s="7" t="str">
        <f aca="false">IF(INDEX(MASTER_DATABASE!$A$4:$A$1000,ROW()-3)="","",INDEX(MASTER_DATABASE!$E$4:$E$1000,ROW()-3)&amp;"")</f>
        <v>College Admission Form</v>
      </c>
      <c r="F242" s="7" t="str">
        <f aca="false">IF(INDEX(MASTER_DATABASE!$A$4:$A$1000,ROW()-3)="","",INDEX(MASTER_DATABASE!$F$4:$F$1000,ROW()-3)&amp;"")</f>
        <v>कॉलेज दाखिला फॉर्म</v>
      </c>
      <c r="G242" s="7" t="str">
        <f aca="false">IF(INDEX(MASTER_DATABASE!$A$4:$A$1000,ROW()-3)="","",INDEX(MASTER_DATABASE!$AL$4:$AL$1000,ROW()-3)&amp;"")</f>
        <v>Online Form &amp; Digital Services</v>
      </c>
      <c r="H242" s="7" t="str">
        <f aca="false">IF(INDEX(MASTER_DATABASE!$A$4:$A$1000,ROW()-3)="","",INDEX(MASTER_DATABASE!$AM$4:$AM$1000,ROW()-3)&amp;"")</f>
        <v>Education Services</v>
      </c>
      <c r="I242" s="7" t="str">
        <f aca="false">IF(INDEX(MASTER_DATABASE!$A$4:$A$1000,ROW()-3)="","",INDEX(MASTER_DATABASE!$AO$4:$AO$1000,ROW()-3)&amp;"")</f>
        <v>college-admission-form</v>
      </c>
      <c r="J242" s="7" t="str">
        <f aca="false">IF(INDEX(MASTER_DATABASE!$A$4:$A$1000,ROW()-3)="","",INDEX(MASTER_DATABASE!$BD$4:$BD$1000,ROW()-3)&amp;"")</f>
        <v>/services/college-admission-form</v>
      </c>
      <c r="K242" s="7" t="str">
        <f aca="false">IF(INDEX(MASTER_DATABASE!$A$4:$A$1000,ROW()-3)="","",INDEX(MASTER_DATABASE!$AX$4:$AX$1000,ROW()-3)&amp;"")</f>
        <v>College Admission Form Service | Devmobile Stores</v>
      </c>
      <c r="L242" s="7" t="str">
        <f aca="false">IF(INDEX(MASTER_DATABASE!$A$4:$A$1000,ROW()-3)="","",INDEX(MASTER_DATABASE!$AY$4:$AY$1000,ROW()-3)&amp;"")</f>
        <v>College Admission Form (कॉलेज दाखिला फॉर्म) at Devmobile Stores and Common Service Center &amp; Aadhaar Centre. Check required documents, charges and process before you visit.</v>
      </c>
      <c r="M242" s="7" t="str">
        <f aca="false">IF(INDEX(MASTER_DATABASE!$A$4:$A$1000,ROW()-3)="","",INDEX(MASTER_DATABASE!$AN$4:$AN$1000,ROW()-3)&amp;"")</f>
        <v>College Admission Form, Online Form &amp; Digital Services, Devmobile Stores, कॉलेज दाखिला फॉर्म, ऑनलाइन फॉर्म व डिजिटल सेवाएँ, सेवा</v>
      </c>
      <c r="N242" s="7" t="str">
        <f aca="false">IF(INDEX(MASTER_DATABASE!$A$4:$A$1000,ROW()-3)="","",INDEX(MASTER_DATABASE!$AZ$4:$AZ$1000,ROW()-3)&amp;"")</f>
        <v>कॉलेज दाखिला फॉर्म, ऑनलाइन फॉर्म व डिजिटल सेवाएँ, सेवा</v>
      </c>
      <c r="O242" s="7" t="str">
        <f aca="false">IF(INDEX(MASTER_DATABASE!$A$4:$A$1000,ROW()-3)="","",INDEX(MASTER_DATABASE!$BA$4:$BA$1000,ROW()-3)&amp;"")</f>
        <v>College Admission Form, Online Form &amp; Digital Services, Devmobile Stores</v>
      </c>
      <c r="P242" s="11" t="str">
        <f aca="false">IF(INDEX(MASTER_DATABASE!$A$4:$A$1000,ROW()-3)="","",INDEX(MASTER_DATABASE!$AP$4:$AP$1000,ROW()-3)&amp;"")</f>
        <v>🎓</v>
      </c>
      <c r="Q242" s="7" t="str">
        <f aca="false">IF(INDEX(MASTER_DATABASE!$A$4:$A$1000,ROW()-3)="","",INDEX(MASTER_DATABASE!$BB$4:$BB$1000,ROW()-3)&amp;"")</f>
        <v/>
      </c>
      <c r="R242" s="11" t="str">
        <f aca="false">IF(INDEX(MASTER_DATABASE!$A$4:$A$1000,ROW()-3)="","",INDEX(MASTER_DATABASE!$BC$4:$BC$1000,ROW()-3)&amp;"")</f>
        <v>🌐</v>
      </c>
      <c r="S242" s="11" t="n">
        <f aca="false">IF(INDEX(MASTER_DATABASE!$A$4:$A$1000,ROW()-3)="","",INDEX(MASTER_DATABASE!$AQ$4:$AQ$1000,ROW()-3))</f>
        <v>110</v>
      </c>
      <c r="T242" s="7" t="str">
        <f aca="false">IF(INDEX(MASTER_DATABASE!$A$4:$A$1000,ROW()-3)="","",INDEX(MASTER_DATABASE!$I$4:$I$1000,ROW()-3)&amp;"")</f>
        <v>Available</v>
      </c>
      <c r="U242" s="7" t="str">
        <f aca="false">IF(INDEX(MASTER_DATABASE!$A$4:$A$1000,ROW()-3)="","",INDEX(MASTER_DATABASE!$J$4:$J$1000,ROW()-3)&amp;"")</f>
        <v>Available</v>
      </c>
      <c r="V242" s="7" t="str">
        <f aca="false">IF(INDEX(MASTER_DATABASE!$A$4:$A$1000,ROW()-3)="","",INDEX(MASTER_DATABASE!$AG$4:$AG$1000,ROW()-3)&amp;"")</f>
        <v>Active</v>
      </c>
      <c r="W242" s="7" t="str">
        <f aca="false">IF(INDEX(MASTER_DATABASE!$A$4:$A$1000,ROW()-3)="","",INDEX(MASTER_DATABASE!$AH$4:$AH$1000,ROW()-3)&amp;"")</f>
        <v>Yes</v>
      </c>
      <c r="X242" s="7" t="str">
        <f aca="false">IF(INDEX(MASTER_DATABASE!$A$4:$A$1000,ROW()-3)="","",INDEX(MASTER_DATABASE!$AI$4:$AI$1000,ROW()-3)&amp;"")</f>
        <v>No</v>
      </c>
      <c r="Y242" s="7" t="str">
        <f aca="false">IF(INDEX(MASTER_DATABASE!$A$4:$A$1000,ROW()-3)="","",INDEX(MASTER_DATABASE!$AJ$4:$AJ$1000,ROW()-3)&amp;"")</f>
        <v>No</v>
      </c>
      <c r="Z242" s="7" t="str">
        <f aca="false">IF(INDEX(MASTER_DATABASE!$A$4:$A$1000,ROW()-3)="","",INDEX(MASTER_DATABASE!$AK$4:$AK$1000,ROW()-3)&amp;"")</f>
        <v>No</v>
      </c>
      <c r="AA242" s="7" t="str">
        <f aca="false">IF(INDEX(MASTER_DATABASE!$A$4:$A$1000,ROW()-3)="","",INDEX(MASTER_DATABASE!$BE$4:$BE$1000,ROW()-3)&amp;"")</f>
        <v>LIVE</v>
      </c>
    </row>
    <row r="243" customFormat="false" ht="46.25" hidden="false" customHeight="false" outlineLevel="0" collapsed="false">
      <c r="A243" s="11" t="str">
        <f aca="false">IF(INDEX(MASTER_DATABASE!$A$4:$A$1000,ROW()-3)="","",INDEX(MASTER_DATABASE!$A$4:$A$1000,ROW()-3)&amp;"")</f>
        <v>ONL-012</v>
      </c>
      <c r="B243" s="7" t="str">
        <f aca="false">IF(INDEX(MASTER_DATABASE!$A$4:$A$1000,ROW()-3)="","",INDEX(MASTER_DATABASE!$B$4:$B$1000,ROW()-3)&amp;"")</f>
        <v>Online Form &amp; Digital Services</v>
      </c>
      <c r="C243" s="7" t="str">
        <f aca="false">IF(INDEX(MASTER_DATABASE!$A$4:$A$1000,ROW()-3)="","",INDEX(MASTER_DATABASE!$C$4:$C$1000,ROW()-3)&amp;"")</f>
        <v>Online &amp; Digital Services</v>
      </c>
      <c r="D243" s="7" t="str">
        <f aca="false">IF(INDEX(MASTER_DATABASE!$A$4:$A$1000,ROW()-3)="","",INDEX(MASTER_DATABASE!$D$4:$D$1000,ROW()-3)&amp;"")</f>
        <v>Education Services</v>
      </c>
      <c r="E243" s="7" t="str">
        <f aca="false">IF(INDEX(MASTER_DATABASE!$A$4:$A$1000,ROW()-3)="","",INDEX(MASTER_DATABASE!$E$4:$E$1000,ROW()-3)&amp;"")</f>
        <v>University Admission Form</v>
      </c>
      <c r="F243" s="7" t="str">
        <f aca="false">IF(INDEX(MASTER_DATABASE!$A$4:$A$1000,ROW()-3)="","",INDEX(MASTER_DATABASE!$F$4:$F$1000,ROW()-3)&amp;"")</f>
        <v>विश्वविद्यालय दाखिला फॉर्म</v>
      </c>
      <c r="G243" s="7" t="str">
        <f aca="false">IF(INDEX(MASTER_DATABASE!$A$4:$A$1000,ROW()-3)="","",INDEX(MASTER_DATABASE!$AL$4:$AL$1000,ROW()-3)&amp;"")</f>
        <v>Online Form &amp; Digital Services</v>
      </c>
      <c r="H243" s="7" t="str">
        <f aca="false">IF(INDEX(MASTER_DATABASE!$A$4:$A$1000,ROW()-3)="","",INDEX(MASTER_DATABASE!$AM$4:$AM$1000,ROW()-3)&amp;"")</f>
        <v>Education Services</v>
      </c>
      <c r="I243" s="7" t="str">
        <f aca="false">IF(INDEX(MASTER_DATABASE!$A$4:$A$1000,ROW()-3)="","",INDEX(MASTER_DATABASE!$AO$4:$AO$1000,ROW()-3)&amp;"")</f>
        <v>university-admission-form</v>
      </c>
      <c r="J243" s="7" t="str">
        <f aca="false">IF(INDEX(MASTER_DATABASE!$A$4:$A$1000,ROW()-3)="","",INDEX(MASTER_DATABASE!$BD$4:$BD$1000,ROW()-3)&amp;"")</f>
        <v>/services/university-admission-form</v>
      </c>
      <c r="K243" s="7" t="str">
        <f aca="false">IF(INDEX(MASTER_DATABASE!$A$4:$A$1000,ROW()-3)="","",INDEX(MASTER_DATABASE!$AX$4:$AX$1000,ROW()-3)&amp;"")</f>
        <v>University Admission Form Service | Devmobile Stores</v>
      </c>
      <c r="L243" s="7" t="str">
        <f aca="false">IF(INDEX(MASTER_DATABASE!$A$4:$A$1000,ROW()-3)="","",INDEX(MASTER_DATABASE!$AY$4:$AY$1000,ROW()-3)&amp;"")</f>
        <v>University Admission Form (विश्वविद्यालय दाखिला फॉर्म) at Devmobile Stores and Common Service Center &amp; Aadhaar Centre. Check required documents, charges and process before you visit.</v>
      </c>
      <c r="M243" s="7" t="str">
        <f aca="false">IF(INDEX(MASTER_DATABASE!$A$4:$A$1000,ROW()-3)="","",INDEX(MASTER_DATABASE!$AN$4:$AN$1000,ROW()-3)&amp;"")</f>
        <v>University Admission Form, Online Form &amp; Digital Services, Devmobile Stores, विश्वविद्यालय दाखिला फॉर्म, ऑनलाइन फॉर्म व डिजिटल सेवाएँ, सेवा</v>
      </c>
      <c r="N243" s="7" t="str">
        <f aca="false">IF(INDEX(MASTER_DATABASE!$A$4:$A$1000,ROW()-3)="","",INDEX(MASTER_DATABASE!$AZ$4:$AZ$1000,ROW()-3)&amp;"")</f>
        <v>विश्वविद्यालय दाखिला फॉर्म, ऑनलाइन फॉर्म व डिजिटल सेवाएँ, सेवा</v>
      </c>
      <c r="O243" s="7" t="str">
        <f aca="false">IF(INDEX(MASTER_DATABASE!$A$4:$A$1000,ROW()-3)="","",INDEX(MASTER_DATABASE!$BA$4:$BA$1000,ROW()-3)&amp;"")</f>
        <v>University Admission Form, Online Form &amp; Digital Services, Devmobile Stores</v>
      </c>
      <c r="P243" s="11" t="str">
        <f aca="false">IF(INDEX(MASTER_DATABASE!$A$4:$A$1000,ROW()-3)="","",INDEX(MASTER_DATABASE!$AP$4:$AP$1000,ROW()-3)&amp;"")</f>
        <v>🎓</v>
      </c>
      <c r="Q243" s="7" t="str">
        <f aca="false">IF(INDEX(MASTER_DATABASE!$A$4:$A$1000,ROW()-3)="","",INDEX(MASTER_DATABASE!$BB$4:$BB$1000,ROW()-3)&amp;"")</f>
        <v/>
      </c>
      <c r="R243" s="11" t="str">
        <f aca="false">IF(INDEX(MASTER_DATABASE!$A$4:$A$1000,ROW()-3)="","",INDEX(MASTER_DATABASE!$BC$4:$BC$1000,ROW()-3)&amp;"")</f>
        <v>🌐</v>
      </c>
      <c r="S243" s="11" t="n">
        <f aca="false">IF(INDEX(MASTER_DATABASE!$A$4:$A$1000,ROW()-3)="","",INDEX(MASTER_DATABASE!$AQ$4:$AQ$1000,ROW()-3))</f>
        <v>120</v>
      </c>
      <c r="T243" s="7" t="str">
        <f aca="false">IF(INDEX(MASTER_DATABASE!$A$4:$A$1000,ROW()-3)="","",INDEX(MASTER_DATABASE!$I$4:$I$1000,ROW()-3)&amp;"")</f>
        <v>Available</v>
      </c>
      <c r="U243" s="7" t="str">
        <f aca="false">IF(INDEX(MASTER_DATABASE!$A$4:$A$1000,ROW()-3)="","",INDEX(MASTER_DATABASE!$J$4:$J$1000,ROW()-3)&amp;"")</f>
        <v>Available</v>
      </c>
      <c r="V243" s="7" t="str">
        <f aca="false">IF(INDEX(MASTER_DATABASE!$A$4:$A$1000,ROW()-3)="","",INDEX(MASTER_DATABASE!$AG$4:$AG$1000,ROW()-3)&amp;"")</f>
        <v>Active</v>
      </c>
      <c r="W243" s="7" t="str">
        <f aca="false">IF(INDEX(MASTER_DATABASE!$A$4:$A$1000,ROW()-3)="","",INDEX(MASTER_DATABASE!$AH$4:$AH$1000,ROW()-3)&amp;"")</f>
        <v>Yes</v>
      </c>
      <c r="X243" s="7" t="str">
        <f aca="false">IF(INDEX(MASTER_DATABASE!$A$4:$A$1000,ROW()-3)="","",INDEX(MASTER_DATABASE!$AI$4:$AI$1000,ROW()-3)&amp;"")</f>
        <v>No</v>
      </c>
      <c r="Y243" s="7" t="str">
        <f aca="false">IF(INDEX(MASTER_DATABASE!$A$4:$A$1000,ROW()-3)="","",INDEX(MASTER_DATABASE!$AJ$4:$AJ$1000,ROW()-3)&amp;"")</f>
        <v>No</v>
      </c>
      <c r="Z243" s="7" t="str">
        <f aca="false">IF(INDEX(MASTER_DATABASE!$A$4:$A$1000,ROW()-3)="","",INDEX(MASTER_DATABASE!$AK$4:$AK$1000,ROW()-3)&amp;"")</f>
        <v>No</v>
      </c>
      <c r="AA243" s="7" t="str">
        <f aca="false">IF(INDEX(MASTER_DATABASE!$A$4:$A$1000,ROW()-3)="","",INDEX(MASTER_DATABASE!$BE$4:$BE$1000,ROW()-3)&amp;"")</f>
        <v>LIVE</v>
      </c>
    </row>
    <row r="244" customFormat="false" ht="46.25" hidden="false" customHeight="false" outlineLevel="0" collapsed="false">
      <c r="A244" s="11" t="str">
        <f aca="false">IF(INDEX(MASTER_DATABASE!$A$4:$A$1000,ROW()-3)="","",INDEX(MASTER_DATABASE!$A$4:$A$1000,ROW()-3)&amp;"")</f>
        <v>ONL-013</v>
      </c>
      <c r="B244" s="7" t="str">
        <f aca="false">IF(INDEX(MASTER_DATABASE!$A$4:$A$1000,ROW()-3)="","",INDEX(MASTER_DATABASE!$B$4:$B$1000,ROW()-3)&amp;"")</f>
        <v>Online Form &amp; Digital Services</v>
      </c>
      <c r="C244" s="7" t="str">
        <f aca="false">IF(INDEX(MASTER_DATABASE!$A$4:$A$1000,ROW()-3)="","",INDEX(MASTER_DATABASE!$C$4:$C$1000,ROW()-3)&amp;"")</f>
        <v>Online &amp; Digital Services</v>
      </c>
      <c r="D244" s="7" t="str">
        <f aca="false">IF(INDEX(MASTER_DATABASE!$A$4:$A$1000,ROW()-3)="","",INDEX(MASTER_DATABASE!$D$4:$D$1000,ROW()-3)&amp;"")</f>
        <v>Education Services</v>
      </c>
      <c r="E244" s="7" t="str">
        <f aca="false">IF(INDEX(MASTER_DATABASE!$A$4:$A$1000,ROW()-3)="","",INDEX(MASTER_DATABASE!$E$4:$E$1000,ROW()-3)&amp;"")</f>
        <v>ITI Admission Form</v>
      </c>
      <c r="F244" s="7" t="str">
        <f aca="false">IF(INDEX(MASTER_DATABASE!$A$4:$A$1000,ROW()-3)="","",INDEX(MASTER_DATABASE!$F$4:$F$1000,ROW()-3)&amp;"")</f>
        <v>ITI दाखिला फॉर्म</v>
      </c>
      <c r="G244" s="7" t="str">
        <f aca="false">IF(INDEX(MASTER_DATABASE!$A$4:$A$1000,ROW()-3)="","",INDEX(MASTER_DATABASE!$AL$4:$AL$1000,ROW()-3)&amp;"")</f>
        <v>Online Form &amp; Digital Services</v>
      </c>
      <c r="H244" s="7" t="str">
        <f aca="false">IF(INDEX(MASTER_DATABASE!$A$4:$A$1000,ROW()-3)="","",INDEX(MASTER_DATABASE!$AM$4:$AM$1000,ROW()-3)&amp;"")</f>
        <v>Education Services</v>
      </c>
      <c r="I244" s="7" t="str">
        <f aca="false">IF(INDEX(MASTER_DATABASE!$A$4:$A$1000,ROW()-3)="","",INDEX(MASTER_DATABASE!$AO$4:$AO$1000,ROW()-3)&amp;"")</f>
        <v>iti-admission-form</v>
      </c>
      <c r="J244" s="7" t="str">
        <f aca="false">IF(INDEX(MASTER_DATABASE!$A$4:$A$1000,ROW()-3)="","",INDEX(MASTER_DATABASE!$BD$4:$BD$1000,ROW()-3)&amp;"")</f>
        <v>/services/iti-admission-form</v>
      </c>
      <c r="K244" s="7" t="str">
        <f aca="false">IF(INDEX(MASTER_DATABASE!$A$4:$A$1000,ROW()-3)="","",INDEX(MASTER_DATABASE!$AX$4:$AX$1000,ROW()-3)&amp;"")</f>
        <v>ITI Admission Form Service | Devmobile Stores</v>
      </c>
      <c r="L244" s="7" t="str">
        <f aca="false">IF(INDEX(MASTER_DATABASE!$A$4:$A$1000,ROW()-3)="","",INDEX(MASTER_DATABASE!$AY$4:$AY$1000,ROW()-3)&amp;"")</f>
        <v>ITI Admission Form (ITI दाखिला फॉर्म) at Devmobile Stores and Common Service Center &amp; Aadhaar Centre. Check required documents, charges and process before you visit.</v>
      </c>
      <c r="M244" s="7" t="str">
        <f aca="false">IF(INDEX(MASTER_DATABASE!$A$4:$A$1000,ROW()-3)="","",INDEX(MASTER_DATABASE!$AN$4:$AN$1000,ROW()-3)&amp;"")</f>
        <v>ITI Admission Form, Online Form &amp; Digital Services, Devmobile Stores, ITI दाखिला फॉर्म, ऑनलाइन फॉर्म व डिजिटल सेवाएँ, सेवा</v>
      </c>
      <c r="N244" s="7" t="str">
        <f aca="false">IF(INDEX(MASTER_DATABASE!$A$4:$A$1000,ROW()-3)="","",INDEX(MASTER_DATABASE!$AZ$4:$AZ$1000,ROW()-3)&amp;"")</f>
        <v>ITI दाखिला फॉर्म, ऑनलाइन फॉर्म व डिजिटल सेवाएँ, सेवा</v>
      </c>
      <c r="O244" s="7" t="str">
        <f aca="false">IF(INDEX(MASTER_DATABASE!$A$4:$A$1000,ROW()-3)="","",INDEX(MASTER_DATABASE!$BA$4:$BA$1000,ROW()-3)&amp;"")</f>
        <v>ITI Admission Form, Online Form &amp; Digital Services, Devmobile Stores</v>
      </c>
      <c r="P244" s="11" t="str">
        <f aca="false">IF(INDEX(MASTER_DATABASE!$A$4:$A$1000,ROW()-3)="","",INDEX(MASTER_DATABASE!$AP$4:$AP$1000,ROW()-3)&amp;"")</f>
        <v>🎓</v>
      </c>
      <c r="Q244" s="7" t="str">
        <f aca="false">IF(INDEX(MASTER_DATABASE!$A$4:$A$1000,ROW()-3)="","",INDEX(MASTER_DATABASE!$BB$4:$BB$1000,ROW()-3)&amp;"")</f>
        <v/>
      </c>
      <c r="R244" s="11" t="str">
        <f aca="false">IF(INDEX(MASTER_DATABASE!$A$4:$A$1000,ROW()-3)="","",INDEX(MASTER_DATABASE!$BC$4:$BC$1000,ROW()-3)&amp;"")</f>
        <v>🌐</v>
      </c>
      <c r="S244" s="11" t="n">
        <f aca="false">IF(INDEX(MASTER_DATABASE!$A$4:$A$1000,ROW()-3)="","",INDEX(MASTER_DATABASE!$AQ$4:$AQ$1000,ROW()-3))</f>
        <v>130</v>
      </c>
      <c r="T244" s="7" t="str">
        <f aca="false">IF(INDEX(MASTER_DATABASE!$A$4:$A$1000,ROW()-3)="","",INDEX(MASTER_DATABASE!$I$4:$I$1000,ROW()-3)&amp;"")</f>
        <v>Available</v>
      </c>
      <c r="U244" s="7" t="str">
        <f aca="false">IF(INDEX(MASTER_DATABASE!$A$4:$A$1000,ROW()-3)="","",INDEX(MASTER_DATABASE!$J$4:$J$1000,ROW()-3)&amp;"")</f>
        <v>Available</v>
      </c>
      <c r="V244" s="7" t="str">
        <f aca="false">IF(INDEX(MASTER_DATABASE!$A$4:$A$1000,ROW()-3)="","",INDEX(MASTER_DATABASE!$AG$4:$AG$1000,ROW()-3)&amp;"")</f>
        <v>Active</v>
      </c>
      <c r="W244" s="7" t="str">
        <f aca="false">IF(INDEX(MASTER_DATABASE!$A$4:$A$1000,ROW()-3)="","",INDEX(MASTER_DATABASE!$AH$4:$AH$1000,ROW()-3)&amp;"")</f>
        <v>Yes</v>
      </c>
      <c r="X244" s="7" t="str">
        <f aca="false">IF(INDEX(MASTER_DATABASE!$A$4:$A$1000,ROW()-3)="","",INDEX(MASTER_DATABASE!$AI$4:$AI$1000,ROW()-3)&amp;"")</f>
        <v>No</v>
      </c>
      <c r="Y244" s="7" t="str">
        <f aca="false">IF(INDEX(MASTER_DATABASE!$A$4:$A$1000,ROW()-3)="","",INDEX(MASTER_DATABASE!$AJ$4:$AJ$1000,ROW()-3)&amp;"")</f>
        <v>No</v>
      </c>
      <c r="Z244" s="7" t="str">
        <f aca="false">IF(INDEX(MASTER_DATABASE!$A$4:$A$1000,ROW()-3)="","",INDEX(MASTER_DATABASE!$AK$4:$AK$1000,ROW()-3)&amp;"")</f>
        <v>No</v>
      </c>
      <c r="AA244" s="7" t="str">
        <f aca="false">IF(INDEX(MASTER_DATABASE!$A$4:$A$1000,ROW()-3)="","",INDEX(MASTER_DATABASE!$BE$4:$BE$1000,ROW()-3)&amp;"")</f>
        <v>LIVE</v>
      </c>
    </row>
    <row r="245" customFormat="false" ht="46.25" hidden="false" customHeight="false" outlineLevel="0" collapsed="false">
      <c r="A245" s="11" t="str">
        <f aca="false">IF(INDEX(MASTER_DATABASE!$A$4:$A$1000,ROW()-3)="","",INDEX(MASTER_DATABASE!$A$4:$A$1000,ROW()-3)&amp;"")</f>
        <v>ONL-014</v>
      </c>
      <c r="B245" s="7" t="str">
        <f aca="false">IF(INDEX(MASTER_DATABASE!$A$4:$A$1000,ROW()-3)="","",INDEX(MASTER_DATABASE!$B$4:$B$1000,ROW()-3)&amp;"")</f>
        <v>Online Form &amp; Digital Services</v>
      </c>
      <c r="C245" s="7" t="str">
        <f aca="false">IF(INDEX(MASTER_DATABASE!$A$4:$A$1000,ROW()-3)="","",INDEX(MASTER_DATABASE!$C$4:$C$1000,ROW()-3)&amp;"")</f>
        <v>Online &amp; Digital Services</v>
      </c>
      <c r="D245" s="7" t="str">
        <f aca="false">IF(INDEX(MASTER_DATABASE!$A$4:$A$1000,ROW()-3)="","",INDEX(MASTER_DATABASE!$D$4:$D$1000,ROW()-3)&amp;"")</f>
        <v>Education Services</v>
      </c>
      <c r="E245" s="7" t="str">
        <f aca="false">IF(INDEX(MASTER_DATABASE!$A$4:$A$1000,ROW()-3)="","",INDEX(MASTER_DATABASE!$E$4:$E$1000,ROW()-3)&amp;"")</f>
        <v>Polytechnic Admission Form</v>
      </c>
      <c r="F245" s="7" t="str">
        <f aca="false">IF(INDEX(MASTER_DATABASE!$A$4:$A$1000,ROW()-3)="","",INDEX(MASTER_DATABASE!$F$4:$F$1000,ROW()-3)&amp;"")</f>
        <v>पॉलिटेक्निक दाखिला फॉर्म</v>
      </c>
      <c r="G245" s="7" t="str">
        <f aca="false">IF(INDEX(MASTER_DATABASE!$A$4:$A$1000,ROW()-3)="","",INDEX(MASTER_DATABASE!$AL$4:$AL$1000,ROW()-3)&amp;"")</f>
        <v>Online Form &amp; Digital Services</v>
      </c>
      <c r="H245" s="7" t="str">
        <f aca="false">IF(INDEX(MASTER_DATABASE!$A$4:$A$1000,ROW()-3)="","",INDEX(MASTER_DATABASE!$AM$4:$AM$1000,ROW()-3)&amp;"")</f>
        <v>Education Services</v>
      </c>
      <c r="I245" s="7" t="str">
        <f aca="false">IF(INDEX(MASTER_DATABASE!$A$4:$A$1000,ROW()-3)="","",INDEX(MASTER_DATABASE!$AO$4:$AO$1000,ROW()-3)&amp;"")</f>
        <v>polytechnic-admission-form</v>
      </c>
      <c r="J245" s="7" t="str">
        <f aca="false">IF(INDEX(MASTER_DATABASE!$A$4:$A$1000,ROW()-3)="","",INDEX(MASTER_DATABASE!$BD$4:$BD$1000,ROW()-3)&amp;"")</f>
        <v>/services/polytechnic-admission-form</v>
      </c>
      <c r="K245" s="7" t="str">
        <f aca="false">IF(INDEX(MASTER_DATABASE!$A$4:$A$1000,ROW()-3)="","",INDEX(MASTER_DATABASE!$AX$4:$AX$1000,ROW()-3)&amp;"")</f>
        <v>Polytechnic Admission Form Service | Devmobile Stores</v>
      </c>
      <c r="L245" s="7" t="str">
        <f aca="false">IF(INDEX(MASTER_DATABASE!$A$4:$A$1000,ROW()-3)="","",INDEX(MASTER_DATABASE!$AY$4:$AY$1000,ROW()-3)&amp;"")</f>
        <v>Polytechnic Admission Form (पॉलिटेक्निक दाखिला फॉर्म) at Devmobile Stores and Common Service Center &amp; Aadhaar Centre. Check required documents, charges and process before you visit.</v>
      </c>
      <c r="M245" s="7" t="str">
        <f aca="false">IF(INDEX(MASTER_DATABASE!$A$4:$A$1000,ROW()-3)="","",INDEX(MASTER_DATABASE!$AN$4:$AN$1000,ROW()-3)&amp;"")</f>
        <v>Polytechnic Admission Form, Online Form &amp; Digital Services, Devmobile Stores, पॉलिटेक्निक दाखिला फॉर्म, ऑनलाइन फॉर्म व डिजिटल सेवाएँ, सेवा</v>
      </c>
      <c r="N245" s="7" t="str">
        <f aca="false">IF(INDEX(MASTER_DATABASE!$A$4:$A$1000,ROW()-3)="","",INDEX(MASTER_DATABASE!$AZ$4:$AZ$1000,ROW()-3)&amp;"")</f>
        <v>पॉलिटेक्निक दाखिला फॉर्म, ऑनलाइन फॉर्म व डिजिटल सेवाएँ, सेवा</v>
      </c>
      <c r="O245" s="7" t="str">
        <f aca="false">IF(INDEX(MASTER_DATABASE!$A$4:$A$1000,ROW()-3)="","",INDEX(MASTER_DATABASE!$BA$4:$BA$1000,ROW()-3)&amp;"")</f>
        <v>Polytechnic Admission Form, Online Form &amp; Digital Services, Devmobile Stores</v>
      </c>
      <c r="P245" s="11" t="str">
        <f aca="false">IF(INDEX(MASTER_DATABASE!$A$4:$A$1000,ROW()-3)="","",INDEX(MASTER_DATABASE!$AP$4:$AP$1000,ROW()-3)&amp;"")</f>
        <v>🎓</v>
      </c>
      <c r="Q245" s="7" t="str">
        <f aca="false">IF(INDEX(MASTER_DATABASE!$A$4:$A$1000,ROW()-3)="","",INDEX(MASTER_DATABASE!$BB$4:$BB$1000,ROW()-3)&amp;"")</f>
        <v/>
      </c>
      <c r="R245" s="11" t="str">
        <f aca="false">IF(INDEX(MASTER_DATABASE!$A$4:$A$1000,ROW()-3)="","",INDEX(MASTER_DATABASE!$BC$4:$BC$1000,ROW()-3)&amp;"")</f>
        <v>🌐</v>
      </c>
      <c r="S245" s="11" t="n">
        <f aca="false">IF(INDEX(MASTER_DATABASE!$A$4:$A$1000,ROW()-3)="","",INDEX(MASTER_DATABASE!$AQ$4:$AQ$1000,ROW()-3))</f>
        <v>140</v>
      </c>
      <c r="T245" s="7" t="str">
        <f aca="false">IF(INDEX(MASTER_DATABASE!$A$4:$A$1000,ROW()-3)="","",INDEX(MASTER_DATABASE!$I$4:$I$1000,ROW()-3)&amp;"")</f>
        <v>Available</v>
      </c>
      <c r="U245" s="7" t="str">
        <f aca="false">IF(INDEX(MASTER_DATABASE!$A$4:$A$1000,ROW()-3)="","",INDEX(MASTER_DATABASE!$J$4:$J$1000,ROW()-3)&amp;"")</f>
        <v>Available</v>
      </c>
      <c r="V245" s="7" t="str">
        <f aca="false">IF(INDEX(MASTER_DATABASE!$A$4:$A$1000,ROW()-3)="","",INDEX(MASTER_DATABASE!$AG$4:$AG$1000,ROW()-3)&amp;"")</f>
        <v>Active</v>
      </c>
      <c r="W245" s="7" t="str">
        <f aca="false">IF(INDEX(MASTER_DATABASE!$A$4:$A$1000,ROW()-3)="","",INDEX(MASTER_DATABASE!$AH$4:$AH$1000,ROW()-3)&amp;"")</f>
        <v>Yes</v>
      </c>
      <c r="X245" s="7" t="str">
        <f aca="false">IF(INDEX(MASTER_DATABASE!$A$4:$A$1000,ROW()-3)="","",INDEX(MASTER_DATABASE!$AI$4:$AI$1000,ROW()-3)&amp;"")</f>
        <v>No</v>
      </c>
      <c r="Y245" s="7" t="str">
        <f aca="false">IF(INDEX(MASTER_DATABASE!$A$4:$A$1000,ROW()-3)="","",INDEX(MASTER_DATABASE!$AJ$4:$AJ$1000,ROW()-3)&amp;"")</f>
        <v>No</v>
      </c>
      <c r="Z245" s="7" t="str">
        <f aca="false">IF(INDEX(MASTER_DATABASE!$A$4:$A$1000,ROW()-3)="","",INDEX(MASTER_DATABASE!$AK$4:$AK$1000,ROW()-3)&amp;"")</f>
        <v>No</v>
      </c>
      <c r="AA245" s="7" t="str">
        <f aca="false">IF(INDEX(MASTER_DATABASE!$A$4:$A$1000,ROW()-3)="","",INDEX(MASTER_DATABASE!$BE$4:$BE$1000,ROW()-3)&amp;"")</f>
        <v>LIVE</v>
      </c>
    </row>
    <row r="246" customFormat="false" ht="46.25" hidden="false" customHeight="false" outlineLevel="0" collapsed="false">
      <c r="A246" s="11" t="str">
        <f aca="false">IF(INDEX(MASTER_DATABASE!$A$4:$A$1000,ROW()-3)="","",INDEX(MASTER_DATABASE!$A$4:$A$1000,ROW()-3)&amp;"")</f>
        <v>ONL-015</v>
      </c>
      <c r="B246" s="7" t="str">
        <f aca="false">IF(INDEX(MASTER_DATABASE!$A$4:$A$1000,ROW()-3)="","",INDEX(MASTER_DATABASE!$B$4:$B$1000,ROW()-3)&amp;"")</f>
        <v>Online Form &amp; Digital Services</v>
      </c>
      <c r="C246" s="7" t="str">
        <f aca="false">IF(INDEX(MASTER_DATABASE!$A$4:$A$1000,ROW()-3)="","",INDEX(MASTER_DATABASE!$C$4:$C$1000,ROW()-3)&amp;"")</f>
        <v>Online &amp; Digital Services</v>
      </c>
      <c r="D246" s="7" t="str">
        <f aca="false">IF(INDEX(MASTER_DATABASE!$A$4:$A$1000,ROW()-3)="","",INDEX(MASTER_DATABASE!$D$4:$D$1000,ROW()-3)&amp;"")</f>
        <v>Education Services</v>
      </c>
      <c r="E246" s="7" t="str">
        <f aca="false">IF(INDEX(MASTER_DATABASE!$A$4:$A$1000,ROW()-3)="","",INDEX(MASTER_DATABASE!$E$4:$E$1000,ROW()-3)&amp;"")</f>
        <v>Scholarship Application</v>
      </c>
      <c r="F246" s="7" t="str">
        <f aca="false">IF(INDEX(MASTER_DATABASE!$A$4:$A$1000,ROW()-3)="","",INDEX(MASTER_DATABASE!$F$4:$F$1000,ROW()-3)&amp;"")</f>
        <v>छात्रवृत्ति आवेदन</v>
      </c>
      <c r="G246" s="7" t="str">
        <f aca="false">IF(INDEX(MASTER_DATABASE!$A$4:$A$1000,ROW()-3)="","",INDEX(MASTER_DATABASE!$AL$4:$AL$1000,ROW()-3)&amp;"")</f>
        <v>Online Form &amp; Digital Services</v>
      </c>
      <c r="H246" s="7" t="str">
        <f aca="false">IF(INDEX(MASTER_DATABASE!$A$4:$A$1000,ROW()-3)="","",INDEX(MASTER_DATABASE!$AM$4:$AM$1000,ROW()-3)&amp;"")</f>
        <v>Education Services</v>
      </c>
      <c r="I246" s="7" t="str">
        <f aca="false">IF(INDEX(MASTER_DATABASE!$A$4:$A$1000,ROW()-3)="","",INDEX(MASTER_DATABASE!$AO$4:$AO$1000,ROW()-3)&amp;"")</f>
        <v>scholarship-application</v>
      </c>
      <c r="J246" s="7" t="str">
        <f aca="false">IF(INDEX(MASTER_DATABASE!$A$4:$A$1000,ROW()-3)="","",INDEX(MASTER_DATABASE!$BD$4:$BD$1000,ROW()-3)&amp;"")</f>
        <v>/services/scholarship-application</v>
      </c>
      <c r="K246" s="7" t="str">
        <f aca="false">IF(INDEX(MASTER_DATABASE!$A$4:$A$1000,ROW()-3)="","",INDEX(MASTER_DATABASE!$AX$4:$AX$1000,ROW()-3)&amp;"")</f>
        <v>Scholarship Application Service | Devmobile Stores</v>
      </c>
      <c r="L246" s="7" t="str">
        <f aca="false">IF(INDEX(MASTER_DATABASE!$A$4:$A$1000,ROW()-3)="","",INDEX(MASTER_DATABASE!$AY$4:$AY$1000,ROW()-3)&amp;"")</f>
        <v>Scholarship Application (छात्रवृत्ति आवेदन) at Devmobile Stores and Common Service Center &amp; Aadhaar Centre. Check required documents, charges and process before you visit.</v>
      </c>
      <c r="M246" s="7" t="str">
        <f aca="false">IF(INDEX(MASTER_DATABASE!$A$4:$A$1000,ROW()-3)="","",INDEX(MASTER_DATABASE!$AN$4:$AN$1000,ROW()-3)&amp;"")</f>
        <v>Scholarship Application, Online Form &amp; Digital Services, Devmobile Stores, छात्रवृत्ति आवेदन, ऑनलाइन फॉर्म व डिजिटल सेवाएँ, सेवा</v>
      </c>
      <c r="N246" s="7" t="str">
        <f aca="false">IF(INDEX(MASTER_DATABASE!$A$4:$A$1000,ROW()-3)="","",INDEX(MASTER_DATABASE!$AZ$4:$AZ$1000,ROW()-3)&amp;"")</f>
        <v>छात्रवृत्ति आवेदन, ऑनलाइन फॉर्म व डिजिटल सेवाएँ, सेवा</v>
      </c>
      <c r="O246" s="7" t="str">
        <f aca="false">IF(INDEX(MASTER_DATABASE!$A$4:$A$1000,ROW()-3)="","",INDEX(MASTER_DATABASE!$BA$4:$BA$1000,ROW()-3)&amp;"")</f>
        <v>Scholarship Application, Online Form &amp; Digital Services, Devmobile Stores</v>
      </c>
      <c r="P246" s="11" t="str">
        <f aca="false">IF(INDEX(MASTER_DATABASE!$A$4:$A$1000,ROW()-3)="","",INDEX(MASTER_DATABASE!$AP$4:$AP$1000,ROW()-3)&amp;"")</f>
        <v>🎓</v>
      </c>
      <c r="Q246" s="7" t="str">
        <f aca="false">IF(INDEX(MASTER_DATABASE!$A$4:$A$1000,ROW()-3)="","",INDEX(MASTER_DATABASE!$BB$4:$BB$1000,ROW()-3)&amp;"")</f>
        <v/>
      </c>
      <c r="R246" s="11" t="str">
        <f aca="false">IF(INDEX(MASTER_DATABASE!$A$4:$A$1000,ROW()-3)="","",INDEX(MASTER_DATABASE!$BC$4:$BC$1000,ROW()-3)&amp;"")</f>
        <v>🌐</v>
      </c>
      <c r="S246" s="11" t="n">
        <f aca="false">IF(INDEX(MASTER_DATABASE!$A$4:$A$1000,ROW()-3)="","",INDEX(MASTER_DATABASE!$AQ$4:$AQ$1000,ROW()-3))</f>
        <v>150</v>
      </c>
      <c r="T246" s="7" t="str">
        <f aca="false">IF(INDEX(MASTER_DATABASE!$A$4:$A$1000,ROW()-3)="","",INDEX(MASTER_DATABASE!$I$4:$I$1000,ROW()-3)&amp;"")</f>
        <v>Available</v>
      </c>
      <c r="U246" s="7" t="str">
        <f aca="false">IF(INDEX(MASTER_DATABASE!$A$4:$A$1000,ROW()-3)="","",INDEX(MASTER_DATABASE!$J$4:$J$1000,ROW()-3)&amp;"")</f>
        <v>Available</v>
      </c>
      <c r="V246" s="7" t="str">
        <f aca="false">IF(INDEX(MASTER_DATABASE!$A$4:$A$1000,ROW()-3)="","",INDEX(MASTER_DATABASE!$AG$4:$AG$1000,ROW()-3)&amp;"")</f>
        <v>Active</v>
      </c>
      <c r="W246" s="7" t="str">
        <f aca="false">IF(INDEX(MASTER_DATABASE!$A$4:$A$1000,ROW()-3)="","",INDEX(MASTER_DATABASE!$AH$4:$AH$1000,ROW()-3)&amp;"")</f>
        <v>Yes</v>
      </c>
      <c r="X246" s="7" t="str">
        <f aca="false">IF(INDEX(MASTER_DATABASE!$A$4:$A$1000,ROW()-3)="","",INDEX(MASTER_DATABASE!$AI$4:$AI$1000,ROW()-3)&amp;"")</f>
        <v>No</v>
      </c>
      <c r="Y246" s="7" t="str">
        <f aca="false">IF(INDEX(MASTER_DATABASE!$A$4:$A$1000,ROW()-3)="","",INDEX(MASTER_DATABASE!$AJ$4:$AJ$1000,ROW()-3)&amp;"")</f>
        <v>No</v>
      </c>
      <c r="Z246" s="7" t="str">
        <f aca="false">IF(INDEX(MASTER_DATABASE!$A$4:$A$1000,ROW()-3)="","",INDEX(MASTER_DATABASE!$AK$4:$AK$1000,ROW()-3)&amp;"")</f>
        <v>No</v>
      </c>
      <c r="AA246" s="7" t="str">
        <f aca="false">IF(INDEX(MASTER_DATABASE!$A$4:$A$1000,ROW()-3)="","",INDEX(MASTER_DATABASE!$BE$4:$BE$1000,ROW()-3)&amp;"")</f>
        <v>LIVE</v>
      </c>
    </row>
    <row r="247" customFormat="false" ht="57.45" hidden="false" customHeight="false" outlineLevel="0" collapsed="false">
      <c r="A247" s="11" t="str">
        <f aca="false">IF(INDEX(MASTER_DATABASE!$A$4:$A$1000,ROW()-3)="","",INDEX(MASTER_DATABASE!$A$4:$A$1000,ROW()-3)&amp;"")</f>
        <v>ONL-016</v>
      </c>
      <c r="B247" s="7" t="str">
        <f aca="false">IF(INDEX(MASTER_DATABASE!$A$4:$A$1000,ROW()-3)="","",INDEX(MASTER_DATABASE!$B$4:$B$1000,ROW()-3)&amp;"")</f>
        <v>Online Form &amp; Digital Services</v>
      </c>
      <c r="C247" s="7" t="str">
        <f aca="false">IF(INDEX(MASTER_DATABASE!$A$4:$A$1000,ROW()-3)="","",INDEX(MASTER_DATABASE!$C$4:$C$1000,ROW()-3)&amp;"")</f>
        <v>Online &amp; Digital Services</v>
      </c>
      <c r="D247" s="7" t="str">
        <f aca="false">IF(INDEX(MASTER_DATABASE!$A$4:$A$1000,ROW()-3)="","",INDEX(MASTER_DATABASE!$D$4:$D$1000,ROW()-3)&amp;"")</f>
        <v>Education Services</v>
      </c>
      <c r="E247" s="7" t="str">
        <f aca="false">IF(INDEX(MASTER_DATABASE!$A$4:$A$1000,ROW()-3)="","",INDEX(MASTER_DATABASE!$E$4:$E$1000,ROW()-3)&amp;"")</f>
        <v>Student Credit Card / Education Loan Scheme Application</v>
      </c>
      <c r="F247" s="7" t="str">
        <f aca="false">IF(INDEX(MASTER_DATABASE!$A$4:$A$1000,ROW()-3)="","",INDEX(MASTER_DATABASE!$F$4:$F$1000,ROW()-3)&amp;"")</f>
        <v>स्टूडेंट क्रेडिट कार्ड / शिक्षा ऋण योजना आवेदन</v>
      </c>
      <c r="G247" s="7" t="str">
        <f aca="false">IF(INDEX(MASTER_DATABASE!$A$4:$A$1000,ROW()-3)="","",INDEX(MASTER_DATABASE!$AL$4:$AL$1000,ROW()-3)&amp;"")</f>
        <v>Online Form &amp; Digital Services</v>
      </c>
      <c r="H247" s="7" t="str">
        <f aca="false">IF(INDEX(MASTER_DATABASE!$A$4:$A$1000,ROW()-3)="","",INDEX(MASTER_DATABASE!$AM$4:$AM$1000,ROW()-3)&amp;"")</f>
        <v>Education Services</v>
      </c>
      <c r="I247" s="7" t="str">
        <f aca="false">IF(INDEX(MASTER_DATABASE!$A$4:$A$1000,ROW()-3)="","",INDEX(MASTER_DATABASE!$AO$4:$AO$1000,ROW()-3)&amp;"")</f>
        <v>student-credit-card-education-loan-scheme-application</v>
      </c>
      <c r="J247" s="7" t="str">
        <f aca="false">IF(INDEX(MASTER_DATABASE!$A$4:$A$1000,ROW()-3)="","",INDEX(MASTER_DATABASE!$BD$4:$BD$1000,ROW()-3)&amp;"")</f>
        <v>/services/student-credit-card-education-loan-scheme-application</v>
      </c>
      <c r="K247" s="7" t="str">
        <f aca="false">IF(INDEX(MASTER_DATABASE!$A$4:$A$1000,ROW()-3)="","",INDEX(MASTER_DATABASE!$AX$4:$AX$1000,ROW()-3)&amp;"")</f>
        <v>Student Credit Card / Education Loan Scheme Application Service | Devmobile Stores</v>
      </c>
      <c r="L247" s="7" t="str">
        <f aca="false">IF(INDEX(MASTER_DATABASE!$A$4:$A$1000,ROW()-3)="","",INDEX(MASTER_DATABASE!$AY$4:$AY$1000,ROW()-3)&amp;"")</f>
        <v>Student Credit Card / Education Loan Scheme Application (स्टूडेंट क्रेडिट कार्ड / शिक्षा ऋण योजना आवेदन) at Devmobile Stores and Common Service Center &amp; Aadhaar Centre. Check required documents, charges and process before you visit.</v>
      </c>
      <c r="M247" s="7" t="str">
        <f aca="false">IF(INDEX(MASTER_DATABASE!$A$4:$A$1000,ROW()-3)="","",INDEX(MASTER_DATABASE!$AN$4:$AN$1000,ROW()-3)&amp;"")</f>
        <v>Student Credit Card / Education Loan Scheme Application, Online Form &amp; Digital Services, Devmobile Stores, स्टूडेंट क्रेडिट कार्ड / शिक्षा ऋण योजना आवेदन, ऑनलाइन फॉर्म व डिजिटल सेवाएँ, सेवा</v>
      </c>
      <c r="N247" s="7" t="str">
        <f aca="false">IF(INDEX(MASTER_DATABASE!$A$4:$A$1000,ROW()-3)="","",INDEX(MASTER_DATABASE!$AZ$4:$AZ$1000,ROW()-3)&amp;"")</f>
        <v>स्टूडेंट क्रेडिट कार्ड / शिक्षा ऋण योजना आवेदन, ऑनलाइन फॉर्म व डिजिटल सेवाएँ, सेवा</v>
      </c>
      <c r="O247" s="7" t="str">
        <f aca="false">IF(INDEX(MASTER_DATABASE!$A$4:$A$1000,ROW()-3)="","",INDEX(MASTER_DATABASE!$BA$4:$BA$1000,ROW()-3)&amp;"")</f>
        <v>Student Credit Card / Education Loan Scheme Application, Online Form &amp; Digital Services, Devmobile Stores</v>
      </c>
      <c r="P247" s="11" t="str">
        <f aca="false">IF(INDEX(MASTER_DATABASE!$A$4:$A$1000,ROW()-3)="","",INDEX(MASTER_DATABASE!$AP$4:$AP$1000,ROW()-3)&amp;"")</f>
        <v>🎓</v>
      </c>
      <c r="Q247" s="7" t="str">
        <f aca="false">IF(INDEX(MASTER_DATABASE!$A$4:$A$1000,ROW()-3)="","",INDEX(MASTER_DATABASE!$BB$4:$BB$1000,ROW()-3)&amp;"")</f>
        <v/>
      </c>
      <c r="R247" s="11" t="str">
        <f aca="false">IF(INDEX(MASTER_DATABASE!$A$4:$A$1000,ROW()-3)="","",INDEX(MASTER_DATABASE!$BC$4:$BC$1000,ROW()-3)&amp;"")</f>
        <v>🌐</v>
      </c>
      <c r="S247" s="11" t="n">
        <f aca="false">IF(INDEX(MASTER_DATABASE!$A$4:$A$1000,ROW()-3)="","",INDEX(MASTER_DATABASE!$AQ$4:$AQ$1000,ROW()-3))</f>
        <v>160</v>
      </c>
      <c r="T247" s="7" t="str">
        <f aca="false">IF(INDEX(MASTER_DATABASE!$A$4:$A$1000,ROW()-3)="","",INDEX(MASTER_DATABASE!$I$4:$I$1000,ROW()-3)&amp;"")</f>
        <v>To Verify</v>
      </c>
      <c r="U247" s="7" t="str">
        <f aca="false">IF(INDEX(MASTER_DATABASE!$A$4:$A$1000,ROW()-3)="","",INDEX(MASTER_DATABASE!$J$4:$J$1000,ROW()-3)&amp;"")</f>
        <v>To Be Confirmed</v>
      </c>
      <c r="V247" s="7" t="str">
        <f aca="false">IF(INDEX(MASTER_DATABASE!$A$4:$A$1000,ROW()-3)="","",INDEX(MASTER_DATABASE!$AG$4:$AG$1000,ROW()-3)&amp;"")</f>
        <v>To Verify</v>
      </c>
      <c r="W247" s="7" t="str">
        <f aca="false">IF(INDEX(MASTER_DATABASE!$A$4:$A$1000,ROW()-3)="","",INDEX(MASTER_DATABASE!$AH$4:$AH$1000,ROW()-3)&amp;"")</f>
        <v>No</v>
      </c>
      <c r="X247" s="7" t="str">
        <f aca="false">IF(INDEX(MASTER_DATABASE!$A$4:$A$1000,ROW()-3)="","",INDEX(MASTER_DATABASE!$AI$4:$AI$1000,ROW()-3)&amp;"")</f>
        <v>No</v>
      </c>
      <c r="Y247" s="7" t="str">
        <f aca="false">IF(INDEX(MASTER_DATABASE!$A$4:$A$1000,ROW()-3)="","",INDEX(MASTER_DATABASE!$AJ$4:$AJ$1000,ROW()-3)&amp;"")</f>
        <v>No</v>
      </c>
      <c r="Z247" s="7" t="str">
        <f aca="false">IF(INDEX(MASTER_DATABASE!$A$4:$A$1000,ROW()-3)="","",INDEX(MASTER_DATABASE!$AK$4:$AK$1000,ROW()-3)&amp;"")</f>
        <v>No</v>
      </c>
      <c r="AA247" s="7" t="str">
        <f aca="false">IF(INDEX(MASTER_DATABASE!$A$4:$A$1000,ROW()-3)="","",INDEX(MASTER_DATABASE!$BE$4:$BE$1000,ROW()-3)&amp;"")</f>
        <v>HIDDEN</v>
      </c>
    </row>
    <row r="248" customFormat="false" ht="46.25" hidden="false" customHeight="false" outlineLevel="0" collapsed="false">
      <c r="A248" s="11" t="str">
        <f aca="false">IF(INDEX(MASTER_DATABASE!$A$4:$A$1000,ROW()-3)="","",INDEX(MASTER_DATABASE!$A$4:$A$1000,ROW()-3)&amp;"")</f>
        <v>ONL-017</v>
      </c>
      <c r="B248" s="7" t="str">
        <f aca="false">IF(INDEX(MASTER_DATABASE!$A$4:$A$1000,ROW()-3)="","",INDEX(MASTER_DATABASE!$B$4:$B$1000,ROW()-3)&amp;"")</f>
        <v>Online Form &amp; Digital Services</v>
      </c>
      <c r="C248" s="7" t="str">
        <f aca="false">IF(INDEX(MASTER_DATABASE!$A$4:$A$1000,ROW()-3)="","",INDEX(MASTER_DATABASE!$C$4:$C$1000,ROW()-3)&amp;"")</f>
        <v>Online &amp; Digital Services</v>
      </c>
      <c r="D248" s="7" t="str">
        <f aca="false">IF(INDEX(MASTER_DATABASE!$A$4:$A$1000,ROW()-3)="","",INDEX(MASTER_DATABASE!$D$4:$D$1000,ROW()-3)&amp;"")</f>
        <v>Education Services</v>
      </c>
      <c r="E248" s="7" t="str">
        <f aca="false">IF(INDEX(MASTER_DATABASE!$A$4:$A$1000,ROW()-3)="","",INDEX(MASTER_DATABASE!$E$4:$E$1000,ROW()-3)&amp;"")</f>
        <v>Exam Registration</v>
      </c>
      <c r="F248" s="7" t="str">
        <f aca="false">IF(INDEX(MASTER_DATABASE!$A$4:$A$1000,ROW()-3)="","",INDEX(MASTER_DATABASE!$F$4:$F$1000,ROW()-3)&amp;"")</f>
        <v>परीक्षा पंजीकरण</v>
      </c>
      <c r="G248" s="7" t="str">
        <f aca="false">IF(INDEX(MASTER_DATABASE!$A$4:$A$1000,ROW()-3)="","",INDEX(MASTER_DATABASE!$AL$4:$AL$1000,ROW()-3)&amp;"")</f>
        <v>Online Form &amp; Digital Services</v>
      </c>
      <c r="H248" s="7" t="str">
        <f aca="false">IF(INDEX(MASTER_DATABASE!$A$4:$A$1000,ROW()-3)="","",INDEX(MASTER_DATABASE!$AM$4:$AM$1000,ROW()-3)&amp;"")</f>
        <v>Education Services</v>
      </c>
      <c r="I248" s="7" t="str">
        <f aca="false">IF(INDEX(MASTER_DATABASE!$A$4:$A$1000,ROW()-3)="","",INDEX(MASTER_DATABASE!$AO$4:$AO$1000,ROW()-3)&amp;"")</f>
        <v>exam-registration</v>
      </c>
      <c r="J248" s="7" t="str">
        <f aca="false">IF(INDEX(MASTER_DATABASE!$A$4:$A$1000,ROW()-3)="","",INDEX(MASTER_DATABASE!$BD$4:$BD$1000,ROW()-3)&amp;"")</f>
        <v>/services/exam-registration</v>
      </c>
      <c r="K248" s="7" t="str">
        <f aca="false">IF(INDEX(MASTER_DATABASE!$A$4:$A$1000,ROW()-3)="","",INDEX(MASTER_DATABASE!$AX$4:$AX$1000,ROW()-3)&amp;"")</f>
        <v>Exam Registration Service | Devmobile Stores</v>
      </c>
      <c r="L248" s="7" t="str">
        <f aca="false">IF(INDEX(MASTER_DATABASE!$A$4:$A$1000,ROW()-3)="","",INDEX(MASTER_DATABASE!$AY$4:$AY$1000,ROW()-3)&amp;"")</f>
        <v>Exam Registration (परीक्षा पंजीकरण) at Devmobile Stores and Common Service Center &amp; Aadhaar Centre. Check required documents, charges and process before you visit.</v>
      </c>
      <c r="M248" s="7" t="str">
        <f aca="false">IF(INDEX(MASTER_DATABASE!$A$4:$A$1000,ROW()-3)="","",INDEX(MASTER_DATABASE!$AN$4:$AN$1000,ROW()-3)&amp;"")</f>
        <v>Exam Registration, Online Form &amp; Digital Services, Devmobile Stores, परीक्षा पंजीकरण, ऑनलाइन फॉर्म व डिजिटल सेवाएँ, सेवा</v>
      </c>
      <c r="N248" s="7" t="str">
        <f aca="false">IF(INDEX(MASTER_DATABASE!$A$4:$A$1000,ROW()-3)="","",INDEX(MASTER_DATABASE!$AZ$4:$AZ$1000,ROW()-3)&amp;"")</f>
        <v>परीक्षा पंजीकरण, ऑनलाइन फॉर्म व डिजिटल सेवाएँ, सेवा</v>
      </c>
      <c r="O248" s="7" t="str">
        <f aca="false">IF(INDEX(MASTER_DATABASE!$A$4:$A$1000,ROW()-3)="","",INDEX(MASTER_DATABASE!$BA$4:$BA$1000,ROW()-3)&amp;"")</f>
        <v>Exam Registration, Online Form &amp; Digital Services, Devmobile Stores</v>
      </c>
      <c r="P248" s="11" t="str">
        <f aca="false">IF(INDEX(MASTER_DATABASE!$A$4:$A$1000,ROW()-3)="","",INDEX(MASTER_DATABASE!$AP$4:$AP$1000,ROW()-3)&amp;"")</f>
        <v>🎓</v>
      </c>
      <c r="Q248" s="7" t="str">
        <f aca="false">IF(INDEX(MASTER_DATABASE!$A$4:$A$1000,ROW()-3)="","",INDEX(MASTER_DATABASE!$BB$4:$BB$1000,ROW()-3)&amp;"")</f>
        <v/>
      </c>
      <c r="R248" s="11" t="str">
        <f aca="false">IF(INDEX(MASTER_DATABASE!$A$4:$A$1000,ROW()-3)="","",INDEX(MASTER_DATABASE!$BC$4:$BC$1000,ROW()-3)&amp;"")</f>
        <v>🌐</v>
      </c>
      <c r="S248" s="11" t="n">
        <f aca="false">IF(INDEX(MASTER_DATABASE!$A$4:$A$1000,ROW()-3)="","",INDEX(MASTER_DATABASE!$AQ$4:$AQ$1000,ROW()-3))</f>
        <v>170</v>
      </c>
      <c r="T248" s="7" t="str">
        <f aca="false">IF(INDEX(MASTER_DATABASE!$A$4:$A$1000,ROW()-3)="","",INDEX(MASTER_DATABASE!$I$4:$I$1000,ROW()-3)&amp;"")</f>
        <v>Available</v>
      </c>
      <c r="U248" s="7" t="str">
        <f aca="false">IF(INDEX(MASTER_DATABASE!$A$4:$A$1000,ROW()-3)="","",INDEX(MASTER_DATABASE!$J$4:$J$1000,ROW()-3)&amp;"")</f>
        <v>Available</v>
      </c>
      <c r="V248" s="7" t="str">
        <f aca="false">IF(INDEX(MASTER_DATABASE!$A$4:$A$1000,ROW()-3)="","",INDEX(MASTER_DATABASE!$AG$4:$AG$1000,ROW()-3)&amp;"")</f>
        <v>Active</v>
      </c>
      <c r="W248" s="7" t="str">
        <f aca="false">IF(INDEX(MASTER_DATABASE!$A$4:$A$1000,ROW()-3)="","",INDEX(MASTER_DATABASE!$AH$4:$AH$1000,ROW()-3)&amp;"")</f>
        <v>Yes</v>
      </c>
      <c r="X248" s="7" t="str">
        <f aca="false">IF(INDEX(MASTER_DATABASE!$A$4:$A$1000,ROW()-3)="","",INDEX(MASTER_DATABASE!$AI$4:$AI$1000,ROW()-3)&amp;"")</f>
        <v>No</v>
      </c>
      <c r="Y248" s="7" t="str">
        <f aca="false">IF(INDEX(MASTER_DATABASE!$A$4:$A$1000,ROW()-3)="","",INDEX(MASTER_DATABASE!$AJ$4:$AJ$1000,ROW()-3)&amp;"")</f>
        <v>No</v>
      </c>
      <c r="Z248" s="7" t="str">
        <f aca="false">IF(INDEX(MASTER_DATABASE!$A$4:$A$1000,ROW()-3)="","",INDEX(MASTER_DATABASE!$AK$4:$AK$1000,ROW()-3)&amp;"")</f>
        <v>No</v>
      </c>
      <c r="AA248" s="7" t="str">
        <f aca="false">IF(INDEX(MASTER_DATABASE!$A$4:$A$1000,ROW()-3)="","",INDEX(MASTER_DATABASE!$BE$4:$BE$1000,ROW()-3)&amp;"")</f>
        <v>LIVE</v>
      </c>
    </row>
    <row r="249" customFormat="false" ht="46.25" hidden="false" customHeight="false" outlineLevel="0" collapsed="false">
      <c r="A249" s="11" t="str">
        <f aca="false">IF(INDEX(MASTER_DATABASE!$A$4:$A$1000,ROW()-3)="","",INDEX(MASTER_DATABASE!$A$4:$A$1000,ROW()-3)&amp;"")</f>
        <v>ONL-018</v>
      </c>
      <c r="B249" s="7" t="str">
        <f aca="false">IF(INDEX(MASTER_DATABASE!$A$4:$A$1000,ROW()-3)="","",INDEX(MASTER_DATABASE!$B$4:$B$1000,ROW()-3)&amp;"")</f>
        <v>Online Form &amp; Digital Services</v>
      </c>
      <c r="C249" s="7" t="str">
        <f aca="false">IF(INDEX(MASTER_DATABASE!$A$4:$A$1000,ROW()-3)="","",INDEX(MASTER_DATABASE!$C$4:$C$1000,ROW()-3)&amp;"")</f>
        <v>Online &amp; Digital Services</v>
      </c>
      <c r="D249" s="7" t="str">
        <f aca="false">IF(INDEX(MASTER_DATABASE!$A$4:$A$1000,ROW()-3)="","",INDEX(MASTER_DATABASE!$D$4:$D$1000,ROW()-3)&amp;"")</f>
        <v>Education Services</v>
      </c>
      <c r="E249" s="7" t="str">
        <f aca="false">IF(INDEX(MASTER_DATABASE!$A$4:$A$1000,ROW()-3)="","",INDEX(MASTER_DATABASE!$E$4:$E$1000,ROW()-3)&amp;"")</f>
        <v>Admit Card Download</v>
      </c>
      <c r="F249" s="7" t="str">
        <f aca="false">IF(INDEX(MASTER_DATABASE!$A$4:$A$1000,ROW()-3)="","",INDEX(MASTER_DATABASE!$F$4:$F$1000,ROW()-3)&amp;"")</f>
        <v>एडमिट कार्ड डाउनलोड</v>
      </c>
      <c r="G249" s="7" t="str">
        <f aca="false">IF(INDEX(MASTER_DATABASE!$A$4:$A$1000,ROW()-3)="","",INDEX(MASTER_DATABASE!$AL$4:$AL$1000,ROW()-3)&amp;"")</f>
        <v>Online Form &amp; Digital Services</v>
      </c>
      <c r="H249" s="7" t="str">
        <f aca="false">IF(INDEX(MASTER_DATABASE!$A$4:$A$1000,ROW()-3)="","",INDEX(MASTER_DATABASE!$AM$4:$AM$1000,ROW()-3)&amp;"")</f>
        <v>Education Services</v>
      </c>
      <c r="I249" s="7" t="str">
        <f aca="false">IF(INDEX(MASTER_DATABASE!$A$4:$A$1000,ROW()-3)="","",INDEX(MASTER_DATABASE!$AO$4:$AO$1000,ROW()-3)&amp;"")</f>
        <v>admit-card-download</v>
      </c>
      <c r="J249" s="7" t="str">
        <f aca="false">IF(INDEX(MASTER_DATABASE!$A$4:$A$1000,ROW()-3)="","",INDEX(MASTER_DATABASE!$BD$4:$BD$1000,ROW()-3)&amp;"")</f>
        <v>/services/admit-card-download</v>
      </c>
      <c r="K249" s="7" t="str">
        <f aca="false">IF(INDEX(MASTER_DATABASE!$A$4:$A$1000,ROW()-3)="","",INDEX(MASTER_DATABASE!$AX$4:$AX$1000,ROW()-3)&amp;"")</f>
        <v>Admit Card Download Service | Devmobile Stores</v>
      </c>
      <c r="L249" s="7" t="str">
        <f aca="false">IF(INDEX(MASTER_DATABASE!$A$4:$A$1000,ROW()-3)="","",INDEX(MASTER_DATABASE!$AY$4:$AY$1000,ROW()-3)&amp;"")</f>
        <v>Admit Card Download (एडमिट कार्ड डाउनलोड) at Devmobile Stores and Common Service Center &amp; Aadhaar Centre. Check required documents, charges and process before you visit.</v>
      </c>
      <c r="M249" s="7" t="str">
        <f aca="false">IF(INDEX(MASTER_DATABASE!$A$4:$A$1000,ROW()-3)="","",INDEX(MASTER_DATABASE!$AN$4:$AN$1000,ROW()-3)&amp;"")</f>
        <v>Admit Card Download, Online Form &amp; Digital Services, Devmobile Stores, एडमिट कार्ड डाउनलोड, ऑनलाइन फॉर्म व डिजिटल सेवाएँ, सेवा</v>
      </c>
      <c r="N249" s="7" t="str">
        <f aca="false">IF(INDEX(MASTER_DATABASE!$A$4:$A$1000,ROW()-3)="","",INDEX(MASTER_DATABASE!$AZ$4:$AZ$1000,ROW()-3)&amp;"")</f>
        <v>एडमिट कार्ड डाउनलोड, ऑनलाइन फॉर्म व डिजिटल सेवाएँ, सेवा</v>
      </c>
      <c r="O249" s="7" t="str">
        <f aca="false">IF(INDEX(MASTER_DATABASE!$A$4:$A$1000,ROW()-3)="","",INDEX(MASTER_DATABASE!$BA$4:$BA$1000,ROW()-3)&amp;"")</f>
        <v>Admit Card Download, Online Form &amp; Digital Services, Devmobile Stores</v>
      </c>
      <c r="P249" s="11" t="str">
        <f aca="false">IF(INDEX(MASTER_DATABASE!$A$4:$A$1000,ROW()-3)="","",INDEX(MASTER_DATABASE!$AP$4:$AP$1000,ROW()-3)&amp;"")</f>
        <v>🎓</v>
      </c>
      <c r="Q249" s="7" t="str">
        <f aca="false">IF(INDEX(MASTER_DATABASE!$A$4:$A$1000,ROW()-3)="","",INDEX(MASTER_DATABASE!$BB$4:$BB$1000,ROW()-3)&amp;"")</f>
        <v/>
      </c>
      <c r="R249" s="11" t="str">
        <f aca="false">IF(INDEX(MASTER_DATABASE!$A$4:$A$1000,ROW()-3)="","",INDEX(MASTER_DATABASE!$BC$4:$BC$1000,ROW()-3)&amp;"")</f>
        <v>🌐</v>
      </c>
      <c r="S249" s="11" t="n">
        <f aca="false">IF(INDEX(MASTER_DATABASE!$A$4:$A$1000,ROW()-3)="","",INDEX(MASTER_DATABASE!$AQ$4:$AQ$1000,ROW()-3))</f>
        <v>180</v>
      </c>
      <c r="T249" s="7" t="str">
        <f aca="false">IF(INDEX(MASTER_DATABASE!$A$4:$A$1000,ROW()-3)="","",INDEX(MASTER_DATABASE!$I$4:$I$1000,ROW()-3)&amp;"")</f>
        <v>Available</v>
      </c>
      <c r="U249" s="7" t="str">
        <f aca="false">IF(INDEX(MASTER_DATABASE!$A$4:$A$1000,ROW()-3)="","",INDEX(MASTER_DATABASE!$J$4:$J$1000,ROW()-3)&amp;"")</f>
        <v>Available</v>
      </c>
      <c r="V249" s="7" t="str">
        <f aca="false">IF(INDEX(MASTER_DATABASE!$A$4:$A$1000,ROW()-3)="","",INDEX(MASTER_DATABASE!$AG$4:$AG$1000,ROW()-3)&amp;"")</f>
        <v>Active</v>
      </c>
      <c r="W249" s="7" t="str">
        <f aca="false">IF(INDEX(MASTER_DATABASE!$A$4:$A$1000,ROW()-3)="","",INDEX(MASTER_DATABASE!$AH$4:$AH$1000,ROW()-3)&amp;"")</f>
        <v>Yes</v>
      </c>
      <c r="X249" s="7" t="str">
        <f aca="false">IF(INDEX(MASTER_DATABASE!$A$4:$A$1000,ROW()-3)="","",INDEX(MASTER_DATABASE!$AI$4:$AI$1000,ROW()-3)&amp;"")</f>
        <v>No</v>
      </c>
      <c r="Y249" s="7" t="str">
        <f aca="false">IF(INDEX(MASTER_DATABASE!$A$4:$A$1000,ROW()-3)="","",INDEX(MASTER_DATABASE!$AJ$4:$AJ$1000,ROW()-3)&amp;"")</f>
        <v>No</v>
      </c>
      <c r="Z249" s="7" t="str">
        <f aca="false">IF(INDEX(MASTER_DATABASE!$A$4:$A$1000,ROW()-3)="","",INDEX(MASTER_DATABASE!$AK$4:$AK$1000,ROW()-3)&amp;"")</f>
        <v>No</v>
      </c>
      <c r="AA249" s="7" t="str">
        <f aca="false">IF(INDEX(MASTER_DATABASE!$A$4:$A$1000,ROW()-3)="","",INDEX(MASTER_DATABASE!$BE$4:$BE$1000,ROW()-3)&amp;"")</f>
        <v>LIVE</v>
      </c>
    </row>
    <row r="250" customFormat="false" ht="46.25" hidden="false" customHeight="false" outlineLevel="0" collapsed="false">
      <c r="A250" s="11" t="str">
        <f aca="false">IF(INDEX(MASTER_DATABASE!$A$4:$A$1000,ROW()-3)="","",INDEX(MASTER_DATABASE!$A$4:$A$1000,ROW()-3)&amp;"")</f>
        <v>ONL-019</v>
      </c>
      <c r="B250" s="7" t="str">
        <f aca="false">IF(INDEX(MASTER_DATABASE!$A$4:$A$1000,ROW()-3)="","",INDEX(MASTER_DATABASE!$B$4:$B$1000,ROW()-3)&amp;"")</f>
        <v>Online Form &amp; Digital Services</v>
      </c>
      <c r="C250" s="7" t="str">
        <f aca="false">IF(INDEX(MASTER_DATABASE!$A$4:$A$1000,ROW()-3)="","",INDEX(MASTER_DATABASE!$C$4:$C$1000,ROW()-3)&amp;"")</f>
        <v>Online &amp; Digital Services</v>
      </c>
      <c r="D250" s="7" t="str">
        <f aca="false">IF(INDEX(MASTER_DATABASE!$A$4:$A$1000,ROW()-3)="","",INDEX(MASTER_DATABASE!$D$4:$D$1000,ROW()-3)&amp;"")</f>
        <v>Education Services</v>
      </c>
      <c r="E250" s="7" t="str">
        <f aca="false">IF(INDEX(MASTER_DATABASE!$A$4:$A$1000,ROW()-3)="","",INDEX(MASTER_DATABASE!$E$4:$E$1000,ROW()-3)&amp;"")</f>
        <v>Result Check / Download</v>
      </c>
      <c r="F250" s="7" t="str">
        <f aca="false">IF(INDEX(MASTER_DATABASE!$A$4:$A$1000,ROW()-3)="","",INDEX(MASTER_DATABASE!$F$4:$F$1000,ROW()-3)&amp;"")</f>
        <v>रिज़ल्ट जाँच / डाउनलोड</v>
      </c>
      <c r="G250" s="7" t="str">
        <f aca="false">IF(INDEX(MASTER_DATABASE!$A$4:$A$1000,ROW()-3)="","",INDEX(MASTER_DATABASE!$AL$4:$AL$1000,ROW()-3)&amp;"")</f>
        <v>Online Form &amp; Digital Services</v>
      </c>
      <c r="H250" s="7" t="str">
        <f aca="false">IF(INDEX(MASTER_DATABASE!$A$4:$A$1000,ROW()-3)="","",INDEX(MASTER_DATABASE!$AM$4:$AM$1000,ROW()-3)&amp;"")</f>
        <v>Education Services</v>
      </c>
      <c r="I250" s="7" t="str">
        <f aca="false">IF(INDEX(MASTER_DATABASE!$A$4:$A$1000,ROW()-3)="","",INDEX(MASTER_DATABASE!$AO$4:$AO$1000,ROW()-3)&amp;"")</f>
        <v>result-check-download</v>
      </c>
      <c r="J250" s="7" t="str">
        <f aca="false">IF(INDEX(MASTER_DATABASE!$A$4:$A$1000,ROW()-3)="","",INDEX(MASTER_DATABASE!$BD$4:$BD$1000,ROW()-3)&amp;"")</f>
        <v>/services/result-check-download</v>
      </c>
      <c r="K250" s="7" t="str">
        <f aca="false">IF(INDEX(MASTER_DATABASE!$A$4:$A$1000,ROW()-3)="","",INDEX(MASTER_DATABASE!$AX$4:$AX$1000,ROW()-3)&amp;"")</f>
        <v>Result Check / Download Service | Devmobile Stores</v>
      </c>
      <c r="L250" s="7" t="str">
        <f aca="false">IF(INDEX(MASTER_DATABASE!$A$4:$A$1000,ROW()-3)="","",INDEX(MASTER_DATABASE!$AY$4:$AY$1000,ROW()-3)&amp;"")</f>
        <v>Result Check / Download (रिज़ल्ट जाँच / डाउनलोड) at Devmobile Stores and Common Service Center &amp; Aadhaar Centre. Check required documents, charges and process before you visit.</v>
      </c>
      <c r="M250" s="7" t="str">
        <f aca="false">IF(INDEX(MASTER_DATABASE!$A$4:$A$1000,ROW()-3)="","",INDEX(MASTER_DATABASE!$AN$4:$AN$1000,ROW()-3)&amp;"")</f>
        <v>Result Check / Download, Online Form &amp; Digital Services, Devmobile Stores, रिज़ल्ट जाँच / डाउनलोड, ऑनलाइन फॉर्म व डिजिटल सेवाएँ, सेवा</v>
      </c>
      <c r="N250" s="7" t="str">
        <f aca="false">IF(INDEX(MASTER_DATABASE!$A$4:$A$1000,ROW()-3)="","",INDEX(MASTER_DATABASE!$AZ$4:$AZ$1000,ROW()-3)&amp;"")</f>
        <v>रिज़ल्ट जाँच / डाउनलोड, ऑनलाइन फॉर्म व डिजिटल सेवाएँ, सेवा</v>
      </c>
      <c r="O250" s="7" t="str">
        <f aca="false">IF(INDEX(MASTER_DATABASE!$A$4:$A$1000,ROW()-3)="","",INDEX(MASTER_DATABASE!$BA$4:$BA$1000,ROW()-3)&amp;"")</f>
        <v>Result Check / Download, Online Form &amp; Digital Services, Devmobile Stores</v>
      </c>
      <c r="P250" s="11" t="str">
        <f aca="false">IF(INDEX(MASTER_DATABASE!$A$4:$A$1000,ROW()-3)="","",INDEX(MASTER_DATABASE!$AP$4:$AP$1000,ROW()-3)&amp;"")</f>
        <v>🎓</v>
      </c>
      <c r="Q250" s="7" t="str">
        <f aca="false">IF(INDEX(MASTER_DATABASE!$A$4:$A$1000,ROW()-3)="","",INDEX(MASTER_DATABASE!$BB$4:$BB$1000,ROW()-3)&amp;"")</f>
        <v/>
      </c>
      <c r="R250" s="11" t="str">
        <f aca="false">IF(INDEX(MASTER_DATABASE!$A$4:$A$1000,ROW()-3)="","",INDEX(MASTER_DATABASE!$BC$4:$BC$1000,ROW()-3)&amp;"")</f>
        <v>🌐</v>
      </c>
      <c r="S250" s="11" t="n">
        <f aca="false">IF(INDEX(MASTER_DATABASE!$A$4:$A$1000,ROW()-3)="","",INDEX(MASTER_DATABASE!$AQ$4:$AQ$1000,ROW()-3))</f>
        <v>190</v>
      </c>
      <c r="T250" s="7" t="str">
        <f aca="false">IF(INDEX(MASTER_DATABASE!$A$4:$A$1000,ROW()-3)="","",INDEX(MASTER_DATABASE!$I$4:$I$1000,ROW()-3)&amp;"")</f>
        <v>Available</v>
      </c>
      <c r="U250" s="7" t="str">
        <f aca="false">IF(INDEX(MASTER_DATABASE!$A$4:$A$1000,ROW()-3)="","",INDEX(MASTER_DATABASE!$J$4:$J$1000,ROW()-3)&amp;"")</f>
        <v>Available</v>
      </c>
      <c r="V250" s="7" t="str">
        <f aca="false">IF(INDEX(MASTER_DATABASE!$A$4:$A$1000,ROW()-3)="","",INDEX(MASTER_DATABASE!$AG$4:$AG$1000,ROW()-3)&amp;"")</f>
        <v>Active</v>
      </c>
      <c r="W250" s="7" t="str">
        <f aca="false">IF(INDEX(MASTER_DATABASE!$A$4:$A$1000,ROW()-3)="","",INDEX(MASTER_DATABASE!$AH$4:$AH$1000,ROW()-3)&amp;"")</f>
        <v>Yes</v>
      </c>
      <c r="X250" s="7" t="str">
        <f aca="false">IF(INDEX(MASTER_DATABASE!$A$4:$A$1000,ROW()-3)="","",INDEX(MASTER_DATABASE!$AI$4:$AI$1000,ROW()-3)&amp;"")</f>
        <v>No</v>
      </c>
      <c r="Y250" s="7" t="str">
        <f aca="false">IF(INDEX(MASTER_DATABASE!$A$4:$A$1000,ROW()-3)="","",INDEX(MASTER_DATABASE!$AJ$4:$AJ$1000,ROW()-3)&amp;"")</f>
        <v>No</v>
      </c>
      <c r="Z250" s="7" t="str">
        <f aca="false">IF(INDEX(MASTER_DATABASE!$A$4:$A$1000,ROW()-3)="","",INDEX(MASTER_DATABASE!$AK$4:$AK$1000,ROW()-3)&amp;"")</f>
        <v>No</v>
      </c>
      <c r="AA250" s="7" t="str">
        <f aca="false">IF(INDEX(MASTER_DATABASE!$A$4:$A$1000,ROW()-3)="","",INDEX(MASTER_DATABASE!$BE$4:$BE$1000,ROW()-3)&amp;"")</f>
        <v>LIVE</v>
      </c>
    </row>
    <row r="251" customFormat="false" ht="46.25" hidden="false" customHeight="false" outlineLevel="0" collapsed="false">
      <c r="A251" s="11" t="str">
        <f aca="false">IF(INDEX(MASTER_DATABASE!$A$4:$A$1000,ROW()-3)="","",INDEX(MASTER_DATABASE!$A$4:$A$1000,ROW()-3)&amp;"")</f>
        <v>ONL-020</v>
      </c>
      <c r="B251" s="7" t="str">
        <f aca="false">IF(INDEX(MASTER_DATABASE!$A$4:$A$1000,ROW()-3)="","",INDEX(MASTER_DATABASE!$B$4:$B$1000,ROW()-3)&amp;"")</f>
        <v>Online Form &amp; Digital Services</v>
      </c>
      <c r="C251" s="7" t="str">
        <f aca="false">IF(INDEX(MASTER_DATABASE!$A$4:$A$1000,ROW()-3)="","",INDEX(MASTER_DATABASE!$C$4:$C$1000,ROW()-3)&amp;"")</f>
        <v>Online &amp; Digital Services</v>
      </c>
      <c r="D251" s="7" t="str">
        <f aca="false">IF(INDEX(MASTER_DATABASE!$A$4:$A$1000,ROW()-3)="","",INDEX(MASTER_DATABASE!$D$4:$D$1000,ROW()-3)&amp;"")</f>
        <v>Education Services</v>
      </c>
      <c r="E251" s="7" t="str">
        <f aca="false">IF(INDEX(MASTER_DATABASE!$A$4:$A$1000,ROW()-3)="","",INDEX(MASTER_DATABASE!$E$4:$E$1000,ROW()-3)&amp;"")</f>
        <v>Marksheet / Certificate Download</v>
      </c>
      <c r="F251" s="7" t="str">
        <f aca="false">IF(INDEX(MASTER_DATABASE!$A$4:$A$1000,ROW()-3)="","",INDEX(MASTER_DATABASE!$F$4:$F$1000,ROW()-3)&amp;"")</f>
        <v>मार्कशीट / प्रमाण पत्र डाउनलोड</v>
      </c>
      <c r="G251" s="7" t="str">
        <f aca="false">IF(INDEX(MASTER_DATABASE!$A$4:$A$1000,ROW()-3)="","",INDEX(MASTER_DATABASE!$AL$4:$AL$1000,ROW()-3)&amp;"")</f>
        <v>Online Form &amp; Digital Services</v>
      </c>
      <c r="H251" s="7" t="str">
        <f aca="false">IF(INDEX(MASTER_DATABASE!$A$4:$A$1000,ROW()-3)="","",INDEX(MASTER_DATABASE!$AM$4:$AM$1000,ROW()-3)&amp;"")</f>
        <v>Education Services</v>
      </c>
      <c r="I251" s="7" t="str">
        <f aca="false">IF(INDEX(MASTER_DATABASE!$A$4:$A$1000,ROW()-3)="","",INDEX(MASTER_DATABASE!$AO$4:$AO$1000,ROW()-3)&amp;"")</f>
        <v>marksheet-certificate-download</v>
      </c>
      <c r="J251" s="7" t="str">
        <f aca="false">IF(INDEX(MASTER_DATABASE!$A$4:$A$1000,ROW()-3)="","",INDEX(MASTER_DATABASE!$BD$4:$BD$1000,ROW()-3)&amp;"")</f>
        <v>/services/marksheet-certificate-download</v>
      </c>
      <c r="K251" s="7" t="str">
        <f aca="false">IF(INDEX(MASTER_DATABASE!$A$4:$A$1000,ROW()-3)="","",INDEX(MASTER_DATABASE!$AX$4:$AX$1000,ROW()-3)&amp;"")</f>
        <v>Marksheet / Certificate Download Service | Devmobile Stores</v>
      </c>
      <c r="L251" s="7" t="str">
        <f aca="false">IF(INDEX(MASTER_DATABASE!$A$4:$A$1000,ROW()-3)="","",INDEX(MASTER_DATABASE!$AY$4:$AY$1000,ROW()-3)&amp;"")</f>
        <v>Marksheet / Certificate Download (मार्कशीट / प्रमाण पत्र डाउनलोड) at Devmobile Stores and Common Service Center &amp; Aadhaar Centre. Check required documents, charges and process before you visit.</v>
      </c>
      <c r="M251" s="7" t="str">
        <f aca="false">IF(INDEX(MASTER_DATABASE!$A$4:$A$1000,ROW()-3)="","",INDEX(MASTER_DATABASE!$AN$4:$AN$1000,ROW()-3)&amp;"")</f>
        <v>Marksheet / Certificate Download, Online Form &amp; Digital Services, Devmobile Stores, मार्कशीट / प्रमाण पत्र डाउनलोड, ऑनलाइन फॉर्म व डिजिटल सेवाएँ, सेवा</v>
      </c>
      <c r="N251" s="7" t="str">
        <f aca="false">IF(INDEX(MASTER_DATABASE!$A$4:$A$1000,ROW()-3)="","",INDEX(MASTER_DATABASE!$AZ$4:$AZ$1000,ROW()-3)&amp;"")</f>
        <v>मार्कशीट / प्रमाण पत्र डाउनलोड, ऑनलाइन फॉर्म व डिजिटल सेवाएँ, सेवा</v>
      </c>
      <c r="O251" s="7" t="str">
        <f aca="false">IF(INDEX(MASTER_DATABASE!$A$4:$A$1000,ROW()-3)="","",INDEX(MASTER_DATABASE!$BA$4:$BA$1000,ROW()-3)&amp;"")</f>
        <v>Marksheet / Certificate Download, Online Form &amp; Digital Services, Devmobile Stores</v>
      </c>
      <c r="P251" s="11" t="str">
        <f aca="false">IF(INDEX(MASTER_DATABASE!$A$4:$A$1000,ROW()-3)="","",INDEX(MASTER_DATABASE!$AP$4:$AP$1000,ROW()-3)&amp;"")</f>
        <v>🎓</v>
      </c>
      <c r="Q251" s="7" t="str">
        <f aca="false">IF(INDEX(MASTER_DATABASE!$A$4:$A$1000,ROW()-3)="","",INDEX(MASTER_DATABASE!$BB$4:$BB$1000,ROW()-3)&amp;"")</f>
        <v/>
      </c>
      <c r="R251" s="11" t="str">
        <f aca="false">IF(INDEX(MASTER_DATABASE!$A$4:$A$1000,ROW()-3)="","",INDEX(MASTER_DATABASE!$BC$4:$BC$1000,ROW()-3)&amp;"")</f>
        <v>🌐</v>
      </c>
      <c r="S251" s="11" t="n">
        <f aca="false">IF(INDEX(MASTER_DATABASE!$A$4:$A$1000,ROW()-3)="","",INDEX(MASTER_DATABASE!$AQ$4:$AQ$1000,ROW()-3))</f>
        <v>200</v>
      </c>
      <c r="T251" s="7" t="str">
        <f aca="false">IF(INDEX(MASTER_DATABASE!$A$4:$A$1000,ROW()-3)="","",INDEX(MASTER_DATABASE!$I$4:$I$1000,ROW()-3)&amp;"")</f>
        <v>Available</v>
      </c>
      <c r="U251" s="7" t="str">
        <f aca="false">IF(INDEX(MASTER_DATABASE!$A$4:$A$1000,ROW()-3)="","",INDEX(MASTER_DATABASE!$J$4:$J$1000,ROW()-3)&amp;"")</f>
        <v>Available</v>
      </c>
      <c r="V251" s="7" t="str">
        <f aca="false">IF(INDEX(MASTER_DATABASE!$A$4:$A$1000,ROW()-3)="","",INDEX(MASTER_DATABASE!$AG$4:$AG$1000,ROW()-3)&amp;"")</f>
        <v>Active</v>
      </c>
      <c r="W251" s="7" t="str">
        <f aca="false">IF(INDEX(MASTER_DATABASE!$A$4:$A$1000,ROW()-3)="","",INDEX(MASTER_DATABASE!$AH$4:$AH$1000,ROW()-3)&amp;"")</f>
        <v>Yes</v>
      </c>
      <c r="X251" s="7" t="str">
        <f aca="false">IF(INDEX(MASTER_DATABASE!$A$4:$A$1000,ROW()-3)="","",INDEX(MASTER_DATABASE!$AI$4:$AI$1000,ROW()-3)&amp;"")</f>
        <v>No</v>
      </c>
      <c r="Y251" s="7" t="str">
        <f aca="false">IF(INDEX(MASTER_DATABASE!$A$4:$A$1000,ROW()-3)="","",INDEX(MASTER_DATABASE!$AJ$4:$AJ$1000,ROW()-3)&amp;"")</f>
        <v>No</v>
      </c>
      <c r="Z251" s="7" t="str">
        <f aca="false">IF(INDEX(MASTER_DATABASE!$A$4:$A$1000,ROW()-3)="","",INDEX(MASTER_DATABASE!$AK$4:$AK$1000,ROW()-3)&amp;"")</f>
        <v>No</v>
      </c>
      <c r="AA251" s="7" t="str">
        <f aca="false">IF(INDEX(MASTER_DATABASE!$A$4:$A$1000,ROW()-3)="","",INDEX(MASTER_DATABASE!$BE$4:$BE$1000,ROW()-3)&amp;"")</f>
        <v>LIVE</v>
      </c>
    </row>
    <row r="252" customFormat="false" ht="46.25" hidden="false" customHeight="false" outlineLevel="0" collapsed="false">
      <c r="A252" s="11" t="str">
        <f aca="false">IF(INDEX(MASTER_DATABASE!$A$4:$A$1000,ROW()-3)="","",INDEX(MASTER_DATABASE!$A$4:$A$1000,ROW()-3)&amp;"")</f>
        <v>ONL-021</v>
      </c>
      <c r="B252" s="7" t="str">
        <f aca="false">IF(INDEX(MASTER_DATABASE!$A$4:$A$1000,ROW()-3)="","",INDEX(MASTER_DATABASE!$B$4:$B$1000,ROW()-3)&amp;"")</f>
        <v>Online Form &amp; Digital Services</v>
      </c>
      <c r="C252" s="7" t="str">
        <f aca="false">IF(INDEX(MASTER_DATABASE!$A$4:$A$1000,ROW()-3)="","",INDEX(MASTER_DATABASE!$C$4:$C$1000,ROW()-3)&amp;"")</f>
        <v>Online &amp; Digital Services</v>
      </c>
      <c r="D252" s="7" t="str">
        <f aca="false">IF(INDEX(MASTER_DATABASE!$A$4:$A$1000,ROW()-3)="","",INDEX(MASTER_DATABASE!$D$4:$D$1000,ROW()-3)&amp;"")</f>
        <v>Digital Services</v>
      </c>
      <c r="E252" s="7" t="str">
        <f aca="false">IF(INDEX(MASTER_DATABASE!$A$4:$A$1000,ROW()-3)="","",INDEX(MASTER_DATABASE!$E$4:$E$1000,ROW()-3)&amp;"")</f>
        <v>Email ID Creation</v>
      </c>
      <c r="F252" s="7" t="str">
        <f aca="false">IF(INDEX(MASTER_DATABASE!$A$4:$A$1000,ROW()-3)="","",INDEX(MASTER_DATABASE!$F$4:$F$1000,ROW()-3)&amp;"")</f>
        <v>ईमेल आईडी बनवाना</v>
      </c>
      <c r="G252" s="7" t="str">
        <f aca="false">IF(INDEX(MASTER_DATABASE!$A$4:$A$1000,ROW()-3)="","",INDEX(MASTER_DATABASE!$AL$4:$AL$1000,ROW()-3)&amp;"")</f>
        <v>Online Form &amp; Digital Services</v>
      </c>
      <c r="H252" s="7" t="str">
        <f aca="false">IF(INDEX(MASTER_DATABASE!$A$4:$A$1000,ROW()-3)="","",INDEX(MASTER_DATABASE!$AM$4:$AM$1000,ROW()-3)&amp;"")</f>
        <v>Digital Services</v>
      </c>
      <c r="I252" s="7" t="str">
        <f aca="false">IF(INDEX(MASTER_DATABASE!$A$4:$A$1000,ROW()-3)="","",INDEX(MASTER_DATABASE!$AO$4:$AO$1000,ROW()-3)&amp;"")</f>
        <v>email-id-creation</v>
      </c>
      <c r="J252" s="7" t="str">
        <f aca="false">IF(INDEX(MASTER_DATABASE!$A$4:$A$1000,ROW()-3)="","",INDEX(MASTER_DATABASE!$BD$4:$BD$1000,ROW()-3)&amp;"")</f>
        <v>/services/email-id-creation</v>
      </c>
      <c r="K252" s="7" t="str">
        <f aca="false">IF(INDEX(MASTER_DATABASE!$A$4:$A$1000,ROW()-3)="","",INDEX(MASTER_DATABASE!$AX$4:$AX$1000,ROW()-3)&amp;"")</f>
        <v>Email ID Creation Service | Devmobile Stores</v>
      </c>
      <c r="L252" s="7" t="str">
        <f aca="false">IF(INDEX(MASTER_DATABASE!$A$4:$A$1000,ROW()-3)="","",INDEX(MASTER_DATABASE!$AY$4:$AY$1000,ROW()-3)&amp;"")</f>
        <v>Email ID Creation (ईमेल आईडी बनवाना) at Devmobile Stores and Common Service Center &amp; Aadhaar Centre. Check required documents, charges and process before you visit.</v>
      </c>
      <c r="M252" s="7" t="str">
        <f aca="false">IF(INDEX(MASTER_DATABASE!$A$4:$A$1000,ROW()-3)="","",INDEX(MASTER_DATABASE!$AN$4:$AN$1000,ROW()-3)&amp;"")</f>
        <v>Email ID Creation, Online Form &amp; Digital Services, Devmobile Stores, ईमेल आईडी बनवाना, ऑनलाइन फॉर्म व डिजिटल सेवाएँ, सेवा</v>
      </c>
      <c r="N252" s="7" t="str">
        <f aca="false">IF(INDEX(MASTER_DATABASE!$A$4:$A$1000,ROW()-3)="","",INDEX(MASTER_DATABASE!$AZ$4:$AZ$1000,ROW()-3)&amp;"")</f>
        <v>ईमेल आईडी बनवाना, ऑनलाइन फॉर्म व डिजिटल सेवाएँ, सेवा</v>
      </c>
      <c r="O252" s="7" t="str">
        <f aca="false">IF(INDEX(MASTER_DATABASE!$A$4:$A$1000,ROW()-3)="","",INDEX(MASTER_DATABASE!$BA$4:$BA$1000,ROW()-3)&amp;"")</f>
        <v>Email ID Creation, Online Form &amp; Digital Services, Devmobile Stores</v>
      </c>
      <c r="P252" s="11" t="str">
        <f aca="false">IF(INDEX(MASTER_DATABASE!$A$4:$A$1000,ROW()-3)="","",INDEX(MASTER_DATABASE!$AP$4:$AP$1000,ROW()-3)&amp;"")</f>
        <v>☁️</v>
      </c>
      <c r="Q252" s="7" t="str">
        <f aca="false">IF(INDEX(MASTER_DATABASE!$A$4:$A$1000,ROW()-3)="","",INDEX(MASTER_DATABASE!$BB$4:$BB$1000,ROW()-3)&amp;"")</f>
        <v/>
      </c>
      <c r="R252" s="11" t="str">
        <f aca="false">IF(INDEX(MASTER_DATABASE!$A$4:$A$1000,ROW()-3)="","",INDEX(MASTER_DATABASE!$BC$4:$BC$1000,ROW()-3)&amp;"")</f>
        <v>🌐</v>
      </c>
      <c r="S252" s="11" t="n">
        <f aca="false">IF(INDEX(MASTER_DATABASE!$A$4:$A$1000,ROW()-3)="","",INDEX(MASTER_DATABASE!$AQ$4:$AQ$1000,ROW()-3))</f>
        <v>210</v>
      </c>
      <c r="T252" s="7" t="str">
        <f aca="false">IF(INDEX(MASTER_DATABASE!$A$4:$A$1000,ROW()-3)="","",INDEX(MASTER_DATABASE!$I$4:$I$1000,ROW()-3)&amp;"")</f>
        <v>Available</v>
      </c>
      <c r="U252" s="7" t="str">
        <f aca="false">IF(INDEX(MASTER_DATABASE!$A$4:$A$1000,ROW()-3)="","",INDEX(MASTER_DATABASE!$J$4:$J$1000,ROW()-3)&amp;"")</f>
        <v>Available</v>
      </c>
      <c r="V252" s="7" t="str">
        <f aca="false">IF(INDEX(MASTER_DATABASE!$A$4:$A$1000,ROW()-3)="","",INDEX(MASTER_DATABASE!$AG$4:$AG$1000,ROW()-3)&amp;"")</f>
        <v>Active</v>
      </c>
      <c r="W252" s="7" t="str">
        <f aca="false">IF(INDEX(MASTER_DATABASE!$A$4:$A$1000,ROW()-3)="","",INDEX(MASTER_DATABASE!$AH$4:$AH$1000,ROW()-3)&amp;"")</f>
        <v>Yes</v>
      </c>
      <c r="X252" s="7" t="str">
        <f aca="false">IF(INDEX(MASTER_DATABASE!$A$4:$A$1000,ROW()-3)="","",INDEX(MASTER_DATABASE!$AI$4:$AI$1000,ROW()-3)&amp;"")</f>
        <v>No</v>
      </c>
      <c r="Y252" s="7" t="str">
        <f aca="false">IF(INDEX(MASTER_DATABASE!$A$4:$A$1000,ROW()-3)="","",INDEX(MASTER_DATABASE!$AJ$4:$AJ$1000,ROW()-3)&amp;"")</f>
        <v>No</v>
      </c>
      <c r="Z252" s="7" t="str">
        <f aca="false">IF(INDEX(MASTER_DATABASE!$A$4:$A$1000,ROW()-3)="","",INDEX(MASTER_DATABASE!$AK$4:$AK$1000,ROW()-3)&amp;"")</f>
        <v>No</v>
      </c>
      <c r="AA252" s="7" t="str">
        <f aca="false">IF(INDEX(MASTER_DATABASE!$A$4:$A$1000,ROW()-3)="","",INDEX(MASTER_DATABASE!$BE$4:$BE$1000,ROW()-3)&amp;"")</f>
        <v>LIVE</v>
      </c>
    </row>
    <row r="253" customFormat="false" ht="46.25" hidden="false" customHeight="false" outlineLevel="0" collapsed="false">
      <c r="A253" s="11" t="str">
        <f aca="false">IF(INDEX(MASTER_DATABASE!$A$4:$A$1000,ROW()-3)="","",INDEX(MASTER_DATABASE!$A$4:$A$1000,ROW()-3)&amp;"")</f>
        <v>ONL-022</v>
      </c>
      <c r="B253" s="7" t="str">
        <f aca="false">IF(INDEX(MASTER_DATABASE!$A$4:$A$1000,ROW()-3)="","",INDEX(MASTER_DATABASE!$B$4:$B$1000,ROW()-3)&amp;"")</f>
        <v>Online Form &amp; Digital Services</v>
      </c>
      <c r="C253" s="7" t="str">
        <f aca="false">IF(INDEX(MASTER_DATABASE!$A$4:$A$1000,ROW()-3)="","",INDEX(MASTER_DATABASE!$C$4:$C$1000,ROW()-3)&amp;"")</f>
        <v>Online &amp; Digital Services</v>
      </c>
      <c r="D253" s="7" t="str">
        <f aca="false">IF(INDEX(MASTER_DATABASE!$A$4:$A$1000,ROW()-3)="","",INDEX(MASTER_DATABASE!$D$4:$D$1000,ROW()-3)&amp;"")</f>
        <v>Digital Services</v>
      </c>
      <c r="E253" s="7" t="str">
        <f aca="false">IF(INDEX(MASTER_DATABASE!$A$4:$A$1000,ROW()-3)="","",INDEX(MASTER_DATABASE!$E$4:$E$1000,ROW()-3)&amp;"")</f>
        <v>Online Registration – General</v>
      </c>
      <c r="F253" s="7" t="str">
        <f aca="false">IF(INDEX(MASTER_DATABASE!$A$4:$A$1000,ROW()-3)="","",INDEX(MASTER_DATABASE!$F$4:$F$1000,ROW()-3)&amp;"")</f>
        <v>ऑनलाइन पंजीकरण – सामान्य</v>
      </c>
      <c r="G253" s="7" t="str">
        <f aca="false">IF(INDEX(MASTER_DATABASE!$A$4:$A$1000,ROW()-3)="","",INDEX(MASTER_DATABASE!$AL$4:$AL$1000,ROW()-3)&amp;"")</f>
        <v>Online Form &amp; Digital Services</v>
      </c>
      <c r="H253" s="7" t="str">
        <f aca="false">IF(INDEX(MASTER_DATABASE!$A$4:$A$1000,ROW()-3)="","",INDEX(MASTER_DATABASE!$AM$4:$AM$1000,ROW()-3)&amp;"")</f>
        <v>Digital Services</v>
      </c>
      <c r="I253" s="7" t="str">
        <f aca="false">IF(INDEX(MASTER_DATABASE!$A$4:$A$1000,ROW()-3)="","",INDEX(MASTER_DATABASE!$AO$4:$AO$1000,ROW()-3)&amp;"")</f>
        <v>online-registration-general</v>
      </c>
      <c r="J253" s="7" t="str">
        <f aca="false">IF(INDEX(MASTER_DATABASE!$A$4:$A$1000,ROW()-3)="","",INDEX(MASTER_DATABASE!$BD$4:$BD$1000,ROW()-3)&amp;"")</f>
        <v>/services/online-registration-general</v>
      </c>
      <c r="K253" s="7" t="str">
        <f aca="false">IF(INDEX(MASTER_DATABASE!$A$4:$A$1000,ROW()-3)="","",INDEX(MASTER_DATABASE!$AX$4:$AX$1000,ROW()-3)&amp;"")</f>
        <v>Online Registration – General Service | Devmobile Stores</v>
      </c>
      <c r="L253" s="7" t="str">
        <f aca="false">IF(INDEX(MASTER_DATABASE!$A$4:$A$1000,ROW()-3)="","",INDEX(MASTER_DATABASE!$AY$4:$AY$1000,ROW()-3)&amp;"")</f>
        <v>Online Registration – General (ऑनलाइन पंजीकरण – सामान्य) at Devmobile Stores and Common Service Center &amp; Aadhaar Centre. Check required documents, charges and process before you visit.</v>
      </c>
      <c r="M253" s="7" t="str">
        <f aca="false">IF(INDEX(MASTER_DATABASE!$A$4:$A$1000,ROW()-3)="","",INDEX(MASTER_DATABASE!$AN$4:$AN$1000,ROW()-3)&amp;"")</f>
        <v>Online Registration – General, Online Form &amp; Digital Services, Devmobile Stores, ऑनलाइन पंजीकरण – सामान्य, ऑनलाइन फॉर्म व डिजिटल सेवाएँ, सेवा</v>
      </c>
      <c r="N253" s="7" t="str">
        <f aca="false">IF(INDEX(MASTER_DATABASE!$A$4:$A$1000,ROW()-3)="","",INDEX(MASTER_DATABASE!$AZ$4:$AZ$1000,ROW()-3)&amp;"")</f>
        <v>ऑनलाइन पंजीकरण – सामान्य, ऑनलाइन फॉर्म व डिजिटल सेवाएँ, सेवा</v>
      </c>
      <c r="O253" s="7" t="str">
        <f aca="false">IF(INDEX(MASTER_DATABASE!$A$4:$A$1000,ROW()-3)="","",INDEX(MASTER_DATABASE!$BA$4:$BA$1000,ROW()-3)&amp;"")</f>
        <v>Online Registration – General, Online Form &amp; Digital Services, Devmobile Stores</v>
      </c>
      <c r="P253" s="11" t="str">
        <f aca="false">IF(INDEX(MASTER_DATABASE!$A$4:$A$1000,ROW()-3)="","",INDEX(MASTER_DATABASE!$AP$4:$AP$1000,ROW()-3)&amp;"")</f>
        <v>☁️</v>
      </c>
      <c r="Q253" s="7" t="str">
        <f aca="false">IF(INDEX(MASTER_DATABASE!$A$4:$A$1000,ROW()-3)="","",INDEX(MASTER_DATABASE!$BB$4:$BB$1000,ROW()-3)&amp;"")</f>
        <v/>
      </c>
      <c r="R253" s="11" t="str">
        <f aca="false">IF(INDEX(MASTER_DATABASE!$A$4:$A$1000,ROW()-3)="","",INDEX(MASTER_DATABASE!$BC$4:$BC$1000,ROW()-3)&amp;"")</f>
        <v>🌐</v>
      </c>
      <c r="S253" s="11" t="n">
        <f aca="false">IF(INDEX(MASTER_DATABASE!$A$4:$A$1000,ROW()-3)="","",INDEX(MASTER_DATABASE!$AQ$4:$AQ$1000,ROW()-3))</f>
        <v>220</v>
      </c>
      <c r="T253" s="7" t="str">
        <f aca="false">IF(INDEX(MASTER_DATABASE!$A$4:$A$1000,ROW()-3)="","",INDEX(MASTER_DATABASE!$I$4:$I$1000,ROW()-3)&amp;"")</f>
        <v>Available</v>
      </c>
      <c r="U253" s="7" t="str">
        <f aca="false">IF(INDEX(MASTER_DATABASE!$A$4:$A$1000,ROW()-3)="","",INDEX(MASTER_DATABASE!$J$4:$J$1000,ROW()-3)&amp;"")</f>
        <v>Available</v>
      </c>
      <c r="V253" s="7" t="str">
        <f aca="false">IF(INDEX(MASTER_DATABASE!$A$4:$A$1000,ROW()-3)="","",INDEX(MASTER_DATABASE!$AG$4:$AG$1000,ROW()-3)&amp;"")</f>
        <v>Active</v>
      </c>
      <c r="W253" s="7" t="str">
        <f aca="false">IF(INDEX(MASTER_DATABASE!$A$4:$A$1000,ROW()-3)="","",INDEX(MASTER_DATABASE!$AH$4:$AH$1000,ROW()-3)&amp;"")</f>
        <v>Yes</v>
      </c>
      <c r="X253" s="7" t="str">
        <f aca="false">IF(INDEX(MASTER_DATABASE!$A$4:$A$1000,ROW()-3)="","",INDEX(MASTER_DATABASE!$AI$4:$AI$1000,ROW()-3)&amp;"")</f>
        <v>No</v>
      </c>
      <c r="Y253" s="7" t="str">
        <f aca="false">IF(INDEX(MASTER_DATABASE!$A$4:$A$1000,ROW()-3)="","",INDEX(MASTER_DATABASE!$AJ$4:$AJ$1000,ROW()-3)&amp;"")</f>
        <v>No</v>
      </c>
      <c r="Z253" s="7" t="str">
        <f aca="false">IF(INDEX(MASTER_DATABASE!$A$4:$A$1000,ROW()-3)="","",INDEX(MASTER_DATABASE!$AK$4:$AK$1000,ROW()-3)&amp;"")</f>
        <v>No</v>
      </c>
      <c r="AA253" s="7" t="str">
        <f aca="false">IF(INDEX(MASTER_DATABASE!$A$4:$A$1000,ROW()-3)="","",INDEX(MASTER_DATABASE!$BE$4:$BE$1000,ROW()-3)&amp;"")</f>
        <v>LIVE</v>
      </c>
    </row>
    <row r="254" customFormat="false" ht="46.25" hidden="false" customHeight="false" outlineLevel="0" collapsed="false">
      <c r="A254" s="11" t="str">
        <f aca="false">IF(INDEX(MASTER_DATABASE!$A$4:$A$1000,ROW()-3)="","",INDEX(MASTER_DATABASE!$A$4:$A$1000,ROW()-3)&amp;"")</f>
        <v>ONL-023</v>
      </c>
      <c r="B254" s="7" t="str">
        <f aca="false">IF(INDEX(MASTER_DATABASE!$A$4:$A$1000,ROW()-3)="","",INDEX(MASTER_DATABASE!$B$4:$B$1000,ROW()-3)&amp;"")</f>
        <v>Online Form &amp; Digital Services</v>
      </c>
      <c r="C254" s="7" t="str">
        <f aca="false">IF(INDEX(MASTER_DATABASE!$A$4:$A$1000,ROW()-3)="","",INDEX(MASTER_DATABASE!$C$4:$C$1000,ROW()-3)&amp;"")</f>
        <v>Online &amp; Digital Services</v>
      </c>
      <c r="D254" s="7" t="str">
        <f aca="false">IF(INDEX(MASTER_DATABASE!$A$4:$A$1000,ROW()-3)="","",INDEX(MASTER_DATABASE!$D$4:$D$1000,ROW()-3)&amp;"")</f>
        <v>Digital Services</v>
      </c>
      <c r="E254" s="7" t="str">
        <f aca="false">IF(INDEX(MASTER_DATABASE!$A$4:$A$1000,ROW()-3)="","",INDEX(MASTER_DATABASE!$E$4:$E$1000,ROW()-3)&amp;"")</f>
        <v>Document Upload</v>
      </c>
      <c r="F254" s="7" t="str">
        <f aca="false">IF(INDEX(MASTER_DATABASE!$A$4:$A$1000,ROW()-3)="","",INDEX(MASTER_DATABASE!$F$4:$F$1000,ROW()-3)&amp;"")</f>
        <v>दस्तावेज़ अपलोड</v>
      </c>
      <c r="G254" s="7" t="str">
        <f aca="false">IF(INDEX(MASTER_DATABASE!$A$4:$A$1000,ROW()-3)="","",INDEX(MASTER_DATABASE!$AL$4:$AL$1000,ROW()-3)&amp;"")</f>
        <v>Online Form &amp; Digital Services</v>
      </c>
      <c r="H254" s="7" t="str">
        <f aca="false">IF(INDEX(MASTER_DATABASE!$A$4:$A$1000,ROW()-3)="","",INDEX(MASTER_DATABASE!$AM$4:$AM$1000,ROW()-3)&amp;"")</f>
        <v>Digital Services</v>
      </c>
      <c r="I254" s="7" t="str">
        <f aca="false">IF(INDEX(MASTER_DATABASE!$A$4:$A$1000,ROW()-3)="","",INDEX(MASTER_DATABASE!$AO$4:$AO$1000,ROW()-3)&amp;"")</f>
        <v>document-upload</v>
      </c>
      <c r="J254" s="7" t="str">
        <f aca="false">IF(INDEX(MASTER_DATABASE!$A$4:$A$1000,ROW()-3)="","",INDEX(MASTER_DATABASE!$BD$4:$BD$1000,ROW()-3)&amp;"")</f>
        <v>/services/document-upload</v>
      </c>
      <c r="K254" s="7" t="str">
        <f aca="false">IF(INDEX(MASTER_DATABASE!$A$4:$A$1000,ROW()-3)="","",INDEX(MASTER_DATABASE!$AX$4:$AX$1000,ROW()-3)&amp;"")</f>
        <v>Document Upload Service | Devmobile Stores</v>
      </c>
      <c r="L254" s="7" t="str">
        <f aca="false">IF(INDEX(MASTER_DATABASE!$A$4:$A$1000,ROW()-3)="","",INDEX(MASTER_DATABASE!$AY$4:$AY$1000,ROW()-3)&amp;"")</f>
        <v>Document Upload (दस्तावेज़ अपलोड) at Devmobile Stores and Common Service Center &amp; Aadhaar Centre. Check required documents, charges and process before you visit.</v>
      </c>
      <c r="M254" s="7" t="str">
        <f aca="false">IF(INDEX(MASTER_DATABASE!$A$4:$A$1000,ROW()-3)="","",INDEX(MASTER_DATABASE!$AN$4:$AN$1000,ROW()-3)&amp;"")</f>
        <v>Document Upload, Online Form &amp; Digital Services, Devmobile Stores, दस्तावेज़ अपलोड, ऑनलाइन फॉर्म व डिजिटल सेवाएँ, सेवा</v>
      </c>
      <c r="N254" s="7" t="str">
        <f aca="false">IF(INDEX(MASTER_DATABASE!$A$4:$A$1000,ROW()-3)="","",INDEX(MASTER_DATABASE!$AZ$4:$AZ$1000,ROW()-3)&amp;"")</f>
        <v>दस्तावेज़ अपलोड, ऑनलाइन फॉर्म व डिजिटल सेवाएँ, सेवा</v>
      </c>
      <c r="O254" s="7" t="str">
        <f aca="false">IF(INDEX(MASTER_DATABASE!$A$4:$A$1000,ROW()-3)="","",INDEX(MASTER_DATABASE!$BA$4:$BA$1000,ROW()-3)&amp;"")</f>
        <v>Document Upload, Online Form &amp; Digital Services, Devmobile Stores</v>
      </c>
      <c r="P254" s="11" t="str">
        <f aca="false">IF(INDEX(MASTER_DATABASE!$A$4:$A$1000,ROW()-3)="","",INDEX(MASTER_DATABASE!$AP$4:$AP$1000,ROW()-3)&amp;"")</f>
        <v>☁️</v>
      </c>
      <c r="Q254" s="7" t="str">
        <f aca="false">IF(INDEX(MASTER_DATABASE!$A$4:$A$1000,ROW()-3)="","",INDEX(MASTER_DATABASE!$BB$4:$BB$1000,ROW()-3)&amp;"")</f>
        <v/>
      </c>
      <c r="R254" s="11" t="str">
        <f aca="false">IF(INDEX(MASTER_DATABASE!$A$4:$A$1000,ROW()-3)="","",INDEX(MASTER_DATABASE!$BC$4:$BC$1000,ROW()-3)&amp;"")</f>
        <v>🌐</v>
      </c>
      <c r="S254" s="11" t="n">
        <f aca="false">IF(INDEX(MASTER_DATABASE!$A$4:$A$1000,ROW()-3)="","",INDEX(MASTER_DATABASE!$AQ$4:$AQ$1000,ROW()-3))</f>
        <v>230</v>
      </c>
      <c r="T254" s="7" t="str">
        <f aca="false">IF(INDEX(MASTER_DATABASE!$A$4:$A$1000,ROW()-3)="","",INDEX(MASTER_DATABASE!$I$4:$I$1000,ROW()-3)&amp;"")</f>
        <v>Available</v>
      </c>
      <c r="U254" s="7" t="str">
        <f aca="false">IF(INDEX(MASTER_DATABASE!$A$4:$A$1000,ROW()-3)="","",INDEX(MASTER_DATABASE!$J$4:$J$1000,ROW()-3)&amp;"")</f>
        <v>Available</v>
      </c>
      <c r="V254" s="7" t="str">
        <f aca="false">IF(INDEX(MASTER_DATABASE!$A$4:$A$1000,ROW()-3)="","",INDEX(MASTER_DATABASE!$AG$4:$AG$1000,ROW()-3)&amp;"")</f>
        <v>Active</v>
      </c>
      <c r="W254" s="7" t="str">
        <f aca="false">IF(INDEX(MASTER_DATABASE!$A$4:$A$1000,ROW()-3)="","",INDEX(MASTER_DATABASE!$AH$4:$AH$1000,ROW()-3)&amp;"")</f>
        <v>Yes</v>
      </c>
      <c r="X254" s="7" t="str">
        <f aca="false">IF(INDEX(MASTER_DATABASE!$A$4:$A$1000,ROW()-3)="","",INDEX(MASTER_DATABASE!$AI$4:$AI$1000,ROW()-3)&amp;"")</f>
        <v>No</v>
      </c>
      <c r="Y254" s="7" t="str">
        <f aca="false">IF(INDEX(MASTER_DATABASE!$A$4:$A$1000,ROW()-3)="","",INDEX(MASTER_DATABASE!$AJ$4:$AJ$1000,ROW()-3)&amp;"")</f>
        <v>No</v>
      </c>
      <c r="Z254" s="7" t="str">
        <f aca="false">IF(INDEX(MASTER_DATABASE!$A$4:$A$1000,ROW()-3)="","",INDEX(MASTER_DATABASE!$AK$4:$AK$1000,ROW()-3)&amp;"")</f>
        <v>No</v>
      </c>
      <c r="AA254" s="7" t="str">
        <f aca="false">IF(INDEX(MASTER_DATABASE!$A$4:$A$1000,ROW()-3)="","",INDEX(MASTER_DATABASE!$BE$4:$BE$1000,ROW()-3)&amp;"")</f>
        <v>LIVE</v>
      </c>
    </row>
    <row r="255" customFormat="false" ht="46.25" hidden="false" customHeight="false" outlineLevel="0" collapsed="false">
      <c r="A255" s="11" t="str">
        <f aca="false">IF(INDEX(MASTER_DATABASE!$A$4:$A$1000,ROW()-3)="","",INDEX(MASTER_DATABASE!$A$4:$A$1000,ROW()-3)&amp;"")</f>
        <v>ONL-024</v>
      </c>
      <c r="B255" s="7" t="str">
        <f aca="false">IF(INDEX(MASTER_DATABASE!$A$4:$A$1000,ROW()-3)="","",INDEX(MASTER_DATABASE!$B$4:$B$1000,ROW()-3)&amp;"")</f>
        <v>Online Form &amp; Digital Services</v>
      </c>
      <c r="C255" s="7" t="str">
        <f aca="false">IF(INDEX(MASTER_DATABASE!$A$4:$A$1000,ROW()-3)="","",INDEX(MASTER_DATABASE!$C$4:$C$1000,ROW()-3)&amp;"")</f>
        <v>Online &amp; Digital Services</v>
      </c>
      <c r="D255" s="7" t="str">
        <f aca="false">IF(INDEX(MASTER_DATABASE!$A$4:$A$1000,ROW()-3)="","",INDEX(MASTER_DATABASE!$D$4:$D$1000,ROW()-3)&amp;"")</f>
        <v>Digital Services</v>
      </c>
      <c r="E255" s="7" t="str">
        <f aca="false">IF(INDEX(MASTER_DATABASE!$A$4:$A$1000,ROW()-3)="","",INDEX(MASTER_DATABASE!$E$4:$E$1000,ROW()-3)&amp;"")</f>
        <v>Document Download</v>
      </c>
      <c r="F255" s="7" t="str">
        <f aca="false">IF(INDEX(MASTER_DATABASE!$A$4:$A$1000,ROW()-3)="","",INDEX(MASTER_DATABASE!$F$4:$F$1000,ROW()-3)&amp;"")</f>
        <v>दस्तावेज़ डाउनलोड</v>
      </c>
      <c r="G255" s="7" t="str">
        <f aca="false">IF(INDEX(MASTER_DATABASE!$A$4:$A$1000,ROW()-3)="","",INDEX(MASTER_DATABASE!$AL$4:$AL$1000,ROW()-3)&amp;"")</f>
        <v>Online Form &amp; Digital Services</v>
      </c>
      <c r="H255" s="7" t="str">
        <f aca="false">IF(INDEX(MASTER_DATABASE!$A$4:$A$1000,ROW()-3)="","",INDEX(MASTER_DATABASE!$AM$4:$AM$1000,ROW()-3)&amp;"")</f>
        <v>Digital Services</v>
      </c>
      <c r="I255" s="7" t="str">
        <f aca="false">IF(INDEX(MASTER_DATABASE!$A$4:$A$1000,ROW()-3)="","",INDEX(MASTER_DATABASE!$AO$4:$AO$1000,ROW()-3)&amp;"")</f>
        <v>document-download</v>
      </c>
      <c r="J255" s="7" t="str">
        <f aca="false">IF(INDEX(MASTER_DATABASE!$A$4:$A$1000,ROW()-3)="","",INDEX(MASTER_DATABASE!$BD$4:$BD$1000,ROW()-3)&amp;"")</f>
        <v>/services/document-download</v>
      </c>
      <c r="K255" s="7" t="str">
        <f aca="false">IF(INDEX(MASTER_DATABASE!$A$4:$A$1000,ROW()-3)="","",INDEX(MASTER_DATABASE!$AX$4:$AX$1000,ROW()-3)&amp;"")</f>
        <v>Document Download Service | Devmobile Stores</v>
      </c>
      <c r="L255" s="7" t="str">
        <f aca="false">IF(INDEX(MASTER_DATABASE!$A$4:$A$1000,ROW()-3)="","",INDEX(MASTER_DATABASE!$AY$4:$AY$1000,ROW()-3)&amp;"")</f>
        <v>Document Download (दस्तावेज़ डाउनलोड) at Devmobile Stores and Common Service Center &amp; Aadhaar Centre. Check required documents, charges and process before you visit.</v>
      </c>
      <c r="M255" s="7" t="str">
        <f aca="false">IF(INDEX(MASTER_DATABASE!$A$4:$A$1000,ROW()-3)="","",INDEX(MASTER_DATABASE!$AN$4:$AN$1000,ROW()-3)&amp;"")</f>
        <v>Document Download, Online Form &amp; Digital Services, Devmobile Stores, दस्तावेज़ डाउनलोड, ऑनलाइन फॉर्म व डिजिटल सेवाएँ, सेवा</v>
      </c>
      <c r="N255" s="7" t="str">
        <f aca="false">IF(INDEX(MASTER_DATABASE!$A$4:$A$1000,ROW()-3)="","",INDEX(MASTER_DATABASE!$AZ$4:$AZ$1000,ROW()-3)&amp;"")</f>
        <v>दस्तावेज़ डाउनलोड, ऑनलाइन फॉर्म व डिजिटल सेवाएँ, सेवा</v>
      </c>
      <c r="O255" s="7" t="str">
        <f aca="false">IF(INDEX(MASTER_DATABASE!$A$4:$A$1000,ROW()-3)="","",INDEX(MASTER_DATABASE!$BA$4:$BA$1000,ROW()-3)&amp;"")</f>
        <v>Document Download, Online Form &amp; Digital Services, Devmobile Stores</v>
      </c>
      <c r="P255" s="11" t="str">
        <f aca="false">IF(INDEX(MASTER_DATABASE!$A$4:$A$1000,ROW()-3)="","",INDEX(MASTER_DATABASE!$AP$4:$AP$1000,ROW()-3)&amp;"")</f>
        <v>☁️</v>
      </c>
      <c r="Q255" s="7" t="str">
        <f aca="false">IF(INDEX(MASTER_DATABASE!$A$4:$A$1000,ROW()-3)="","",INDEX(MASTER_DATABASE!$BB$4:$BB$1000,ROW()-3)&amp;"")</f>
        <v/>
      </c>
      <c r="R255" s="11" t="str">
        <f aca="false">IF(INDEX(MASTER_DATABASE!$A$4:$A$1000,ROW()-3)="","",INDEX(MASTER_DATABASE!$BC$4:$BC$1000,ROW()-3)&amp;"")</f>
        <v>🌐</v>
      </c>
      <c r="S255" s="11" t="n">
        <f aca="false">IF(INDEX(MASTER_DATABASE!$A$4:$A$1000,ROW()-3)="","",INDEX(MASTER_DATABASE!$AQ$4:$AQ$1000,ROW()-3))</f>
        <v>240</v>
      </c>
      <c r="T255" s="7" t="str">
        <f aca="false">IF(INDEX(MASTER_DATABASE!$A$4:$A$1000,ROW()-3)="","",INDEX(MASTER_DATABASE!$I$4:$I$1000,ROW()-3)&amp;"")</f>
        <v>Available</v>
      </c>
      <c r="U255" s="7" t="str">
        <f aca="false">IF(INDEX(MASTER_DATABASE!$A$4:$A$1000,ROW()-3)="","",INDEX(MASTER_DATABASE!$J$4:$J$1000,ROW()-3)&amp;"")</f>
        <v>Available</v>
      </c>
      <c r="V255" s="7" t="str">
        <f aca="false">IF(INDEX(MASTER_DATABASE!$A$4:$A$1000,ROW()-3)="","",INDEX(MASTER_DATABASE!$AG$4:$AG$1000,ROW()-3)&amp;"")</f>
        <v>Active</v>
      </c>
      <c r="W255" s="7" t="str">
        <f aca="false">IF(INDEX(MASTER_DATABASE!$A$4:$A$1000,ROW()-3)="","",INDEX(MASTER_DATABASE!$AH$4:$AH$1000,ROW()-3)&amp;"")</f>
        <v>Yes</v>
      </c>
      <c r="X255" s="7" t="str">
        <f aca="false">IF(INDEX(MASTER_DATABASE!$A$4:$A$1000,ROW()-3)="","",INDEX(MASTER_DATABASE!$AI$4:$AI$1000,ROW()-3)&amp;"")</f>
        <v>No</v>
      </c>
      <c r="Y255" s="7" t="str">
        <f aca="false">IF(INDEX(MASTER_DATABASE!$A$4:$A$1000,ROW()-3)="","",INDEX(MASTER_DATABASE!$AJ$4:$AJ$1000,ROW()-3)&amp;"")</f>
        <v>No</v>
      </c>
      <c r="Z255" s="7" t="str">
        <f aca="false">IF(INDEX(MASTER_DATABASE!$A$4:$A$1000,ROW()-3)="","",INDEX(MASTER_DATABASE!$AK$4:$AK$1000,ROW()-3)&amp;"")</f>
        <v>No</v>
      </c>
      <c r="AA255" s="7" t="str">
        <f aca="false">IF(INDEX(MASTER_DATABASE!$A$4:$A$1000,ROW()-3)="","",INDEX(MASTER_DATABASE!$BE$4:$BE$1000,ROW()-3)&amp;"")</f>
        <v>LIVE</v>
      </c>
    </row>
    <row r="256" customFormat="false" ht="46.25" hidden="false" customHeight="false" outlineLevel="0" collapsed="false">
      <c r="A256" s="11" t="str">
        <f aca="false">IF(INDEX(MASTER_DATABASE!$A$4:$A$1000,ROW()-3)="","",INDEX(MASTER_DATABASE!$A$4:$A$1000,ROW()-3)&amp;"")</f>
        <v>ONL-025</v>
      </c>
      <c r="B256" s="7" t="str">
        <f aca="false">IF(INDEX(MASTER_DATABASE!$A$4:$A$1000,ROW()-3)="","",INDEX(MASTER_DATABASE!$B$4:$B$1000,ROW()-3)&amp;"")</f>
        <v>Online Form &amp; Digital Services</v>
      </c>
      <c r="C256" s="7" t="str">
        <f aca="false">IF(INDEX(MASTER_DATABASE!$A$4:$A$1000,ROW()-3)="","",INDEX(MASTER_DATABASE!$C$4:$C$1000,ROW()-3)&amp;"")</f>
        <v>Online &amp; Digital Services</v>
      </c>
      <c r="D256" s="7" t="str">
        <f aca="false">IF(INDEX(MASTER_DATABASE!$A$4:$A$1000,ROW()-3)="","",INDEX(MASTER_DATABASE!$D$4:$D$1000,ROW()-3)&amp;"")</f>
        <v>Digital Services</v>
      </c>
      <c r="E256" s="7" t="str">
        <f aca="false">IF(INDEX(MASTER_DATABASE!$A$4:$A$1000,ROW()-3)="","",INDEX(MASTER_DATABASE!$E$4:$E$1000,ROW()-3)&amp;"")</f>
        <v>Application Status Check – Other Portals</v>
      </c>
      <c r="F256" s="7" t="str">
        <f aca="false">IF(INDEX(MASTER_DATABASE!$A$4:$A$1000,ROW()-3)="","",INDEX(MASTER_DATABASE!$F$4:$F$1000,ROW()-3)&amp;"")</f>
        <v>आवेदन स्थिति जाँच – अन्य पोर्टल</v>
      </c>
      <c r="G256" s="7" t="str">
        <f aca="false">IF(INDEX(MASTER_DATABASE!$A$4:$A$1000,ROW()-3)="","",INDEX(MASTER_DATABASE!$AL$4:$AL$1000,ROW()-3)&amp;"")</f>
        <v>Online Form &amp; Digital Services</v>
      </c>
      <c r="H256" s="7" t="str">
        <f aca="false">IF(INDEX(MASTER_DATABASE!$A$4:$A$1000,ROW()-3)="","",INDEX(MASTER_DATABASE!$AM$4:$AM$1000,ROW()-3)&amp;"")</f>
        <v>Digital Services</v>
      </c>
      <c r="I256" s="7" t="str">
        <f aca="false">IF(INDEX(MASTER_DATABASE!$A$4:$A$1000,ROW()-3)="","",INDEX(MASTER_DATABASE!$AO$4:$AO$1000,ROW()-3)&amp;"")</f>
        <v>application-status-check-other-portals</v>
      </c>
      <c r="J256" s="7" t="str">
        <f aca="false">IF(INDEX(MASTER_DATABASE!$A$4:$A$1000,ROW()-3)="","",INDEX(MASTER_DATABASE!$BD$4:$BD$1000,ROW()-3)&amp;"")</f>
        <v>/services/application-status-check-other-portals</v>
      </c>
      <c r="K256" s="7" t="str">
        <f aca="false">IF(INDEX(MASTER_DATABASE!$A$4:$A$1000,ROW()-3)="","",INDEX(MASTER_DATABASE!$AX$4:$AX$1000,ROW()-3)&amp;"")</f>
        <v>Application Status Check – Other Portals Service | Devmobile Stores</v>
      </c>
      <c r="L256" s="7" t="str">
        <f aca="false">IF(INDEX(MASTER_DATABASE!$A$4:$A$1000,ROW()-3)="","",INDEX(MASTER_DATABASE!$AY$4:$AY$1000,ROW()-3)&amp;"")</f>
        <v>Application Status Check – Other Portals (आवेदन स्थिति जाँच – अन्य पोर्टल) at Devmobile Stores and Common Service Center &amp; Aadhaar Centre. Check required documents, charges and process before you visit.</v>
      </c>
      <c r="M256" s="7" t="str">
        <f aca="false">IF(INDEX(MASTER_DATABASE!$A$4:$A$1000,ROW()-3)="","",INDEX(MASTER_DATABASE!$AN$4:$AN$1000,ROW()-3)&amp;"")</f>
        <v>Application Status Check – Other Portals, Online Form &amp; Digital Services, Devmobile Stores, आवेदन स्थिति जाँच – अन्य पोर्टल, ऑनलाइन फॉर्म व डिजिटल सेवाएँ, सेवा</v>
      </c>
      <c r="N256" s="7" t="str">
        <f aca="false">IF(INDEX(MASTER_DATABASE!$A$4:$A$1000,ROW()-3)="","",INDEX(MASTER_DATABASE!$AZ$4:$AZ$1000,ROW()-3)&amp;"")</f>
        <v>आवेदन स्थिति जाँच – अन्य पोर्टल, ऑनलाइन फॉर्म व डिजिटल सेवाएँ, सेवा</v>
      </c>
      <c r="O256" s="7" t="str">
        <f aca="false">IF(INDEX(MASTER_DATABASE!$A$4:$A$1000,ROW()-3)="","",INDEX(MASTER_DATABASE!$BA$4:$BA$1000,ROW()-3)&amp;"")</f>
        <v>Application Status Check – Other Portals, Online Form &amp; Digital Services, Devmobile Stores</v>
      </c>
      <c r="P256" s="11" t="str">
        <f aca="false">IF(INDEX(MASTER_DATABASE!$A$4:$A$1000,ROW()-3)="","",INDEX(MASTER_DATABASE!$AP$4:$AP$1000,ROW()-3)&amp;"")</f>
        <v>☁️</v>
      </c>
      <c r="Q256" s="7" t="str">
        <f aca="false">IF(INDEX(MASTER_DATABASE!$A$4:$A$1000,ROW()-3)="","",INDEX(MASTER_DATABASE!$BB$4:$BB$1000,ROW()-3)&amp;"")</f>
        <v/>
      </c>
      <c r="R256" s="11" t="str">
        <f aca="false">IF(INDEX(MASTER_DATABASE!$A$4:$A$1000,ROW()-3)="","",INDEX(MASTER_DATABASE!$BC$4:$BC$1000,ROW()-3)&amp;"")</f>
        <v>🌐</v>
      </c>
      <c r="S256" s="11" t="n">
        <f aca="false">IF(INDEX(MASTER_DATABASE!$A$4:$A$1000,ROW()-3)="","",INDEX(MASTER_DATABASE!$AQ$4:$AQ$1000,ROW()-3))</f>
        <v>250</v>
      </c>
      <c r="T256" s="7" t="str">
        <f aca="false">IF(INDEX(MASTER_DATABASE!$A$4:$A$1000,ROW()-3)="","",INDEX(MASTER_DATABASE!$I$4:$I$1000,ROW()-3)&amp;"")</f>
        <v>Available</v>
      </c>
      <c r="U256" s="7" t="str">
        <f aca="false">IF(INDEX(MASTER_DATABASE!$A$4:$A$1000,ROW()-3)="","",INDEX(MASTER_DATABASE!$J$4:$J$1000,ROW()-3)&amp;"")</f>
        <v>Available</v>
      </c>
      <c r="V256" s="7" t="str">
        <f aca="false">IF(INDEX(MASTER_DATABASE!$A$4:$A$1000,ROW()-3)="","",INDEX(MASTER_DATABASE!$AG$4:$AG$1000,ROW()-3)&amp;"")</f>
        <v>Active</v>
      </c>
      <c r="W256" s="7" t="str">
        <f aca="false">IF(INDEX(MASTER_DATABASE!$A$4:$A$1000,ROW()-3)="","",INDEX(MASTER_DATABASE!$AH$4:$AH$1000,ROW()-3)&amp;"")</f>
        <v>Yes</v>
      </c>
      <c r="X256" s="7" t="str">
        <f aca="false">IF(INDEX(MASTER_DATABASE!$A$4:$A$1000,ROW()-3)="","",INDEX(MASTER_DATABASE!$AI$4:$AI$1000,ROW()-3)&amp;"")</f>
        <v>No</v>
      </c>
      <c r="Y256" s="7" t="str">
        <f aca="false">IF(INDEX(MASTER_DATABASE!$A$4:$A$1000,ROW()-3)="","",INDEX(MASTER_DATABASE!$AJ$4:$AJ$1000,ROW()-3)&amp;"")</f>
        <v>No</v>
      </c>
      <c r="Z256" s="7" t="str">
        <f aca="false">IF(INDEX(MASTER_DATABASE!$A$4:$A$1000,ROW()-3)="","",INDEX(MASTER_DATABASE!$AK$4:$AK$1000,ROW()-3)&amp;"")</f>
        <v>No</v>
      </c>
      <c r="AA256" s="7" t="str">
        <f aca="false">IF(INDEX(MASTER_DATABASE!$A$4:$A$1000,ROW()-3)="","",INDEX(MASTER_DATABASE!$BE$4:$BE$1000,ROW()-3)&amp;"")</f>
        <v>LIVE</v>
      </c>
    </row>
    <row r="257" customFormat="false" ht="46.25" hidden="false" customHeight="false" outlineLevel="0" collapsed="false">
      <c r="A257" s="11" t="str">
        <f aca="false">IF(INDEX(MASTER_DATABASE!$A$4:$A$1000,ROW()-3)="","",INDEX(MASTER_DATABASE!$A$4:$A$1000,ROW()-3)&amp;"")</f>
        <v>ONL-026</v>
      </c>
      <c r="B257" s="7" t="str">
        <f aca="false">IF(INDEX(MASTER_DATABASE!$A$4:$A$1000,ROW()-3)="","",INDEX(MASTER_DATABASE!$B$4:$B$1000,ROW()-3)&amp;"")</f>
        <v>Online Form &amp; Digital Services</v>
      </c>
      <c r="C257" s="7" t="str">
        <f aca="false">IF(INDEX(MASTER_DATABASE!$A$4:$A$1000,ROW()-3)="","",INDEX(MASTER_DATABASE!$C$4:$C$1000,ROW()-3)&amp;"")</f>
        <v>Online &amp; Digital Services</v>
      </c>
      <c r="D257" s="7" t="str">
        <f aca="false">IF(INDEX(MASTER_DATABASE!$A$4:$A$1000,ROW()-3)="","",INDEX(MASTER_DATABASE!$D$4:$D$1000,ROW()-3)&amp;"")</f>
        <v>Digital Services</v>
      </c>
      <c r="E257" s="7" t="str">
        <f aca="false">IF(INDEX(MASTER_DATABASE!$A$4:$A$1000,ROW()-3)="","",INDEX(MASTER_DATABASE!$E$4:$E$1000,ROW()-3)&amp;"")</f>
        <v>DigiLocker Assistance</v>
      </c>
      <c r="F257" s="7" t="str">
        <f aca="false">IF(INDEX(MASTER_DATABASE!$A$4:$A$1000,ROW()-3)="","",INDEX(MASTER_DATABASE!$F$4:$F$1000,ROW()-3)&amp;"")</f>
        <v>डिजिलॉकर सहायता</v>
      </c>
      <c r="G257" s="7" t="str">
        <f aca="false">IF(INDEX(MASTER_DATABASE!$A$4:$A$1000,ROW()-3)="","",INDEX(MASTER_DATABASE!$AL$4:$AL$1000,ROW()-3)&amp;"")</f>
        <v>Online Form &amp; Digital Services</v>
      </c>
      <c r="H257" s="7" t="str">
        <f aca="false">IF(INDEX(MASTER_DATABASE!$A$4:$A$1000,ROW()-3)="","",INDEX(MASTER_DATABASE!$AM$4:$AM$1000,ROW()-3)&amp;"")</f>
        <v>Digital Services</v>
      </c>
      <c r="I257" s="7" t="str">
        <f aca="false">IF(INDEX(MASTER_DATABASE!$A$4:$A$1000,ROW()-3)="","",INDEX(MASTER_DATABASE!$AO$4:$AO$1000,ROW()-3)&amp;"")</f>
        <v>digilocker-assistance</v>
      </c>
      <c r="J257" s="7" t="str">
        <f aca="false">IF(INDEX(MASTER_DATABASE!$A$4:$A$1000,ROW()-3)="","",INDEX(MASTER_DATABASE!$BD$4:$BD$1000,ROW()-3)&amp;"")</f>
        <v>/services/digilocker-assistance</v>
      </c>
      <c r="K257" s="7" t="str">
        <f aca="false">IF(INDEX(MASTER_DATABASE!$A$4:$A$1000,ROW()-3)="","",INDEX(MASTER_DATABASE!$AX$4:$AX$1000,ROW()-3)&amp;"")</f>
        <v>DigiLocker Assistance Service | Devmobile Stores</v>
      </c>
      <c r="L257" s="7" t="str">
        <f aca="false">IF(INDEX(MASTER_DATABASE!$A$4:$A$1000,ROW()-3)="","",INDEX(MASTER_DATABASE!$AY$4:$AY$1000,ROW()-3)&amp;"")</f>
        <v>DigiLocker Assistance (डिजिलॉकर सहायता) at Devmobile Stores and Common Service Center &amp; Aadhaar Centre. Check required documents, charges and process before you visit.</v>
      </c>
      <c r="M257" s="7" t="str">
        <f aca="false">IF(INDEX(MASTER_DATABASE!$A$4:$A$1000,ROW()-3)="","",INDEX(MASTER_DATABASE!$AN$4:$AN$1000,ROW()-3)&amp;"")</f>
        <v>DigiLocker Assistance, Online Form &amp; Digital Services, Devmobile Stores, डिजिलॉकर सहायता, ऑनलाइन फॉर्म व डिजिटल सेवाएँ, सेवा</v>
      </c>
      <c r="N257" s="7" t="str">
        <f aca="false">IF(INDEX(MASTER_DATABASE!$A$4:$A$1000,ROW()-3)="","",INDEX(MASTER_DATABASE!$AZ$4:$AZ$1000,ROW()-3)&amp;"")</f>
        <v>डिजिलॉकर सहायता, ऑनलाइन फॉर्म व डिजिटल सेवाएँ, सेवा</v>
      </c>
      <c r="O257" s="7" t="str">
        <f aca="false">IF(INDEX(MASTER_DATABASE!$A$4:$A$1000,ROW()-3)="","",INDEX(MASTER_DATABASE!$BA$4:$BA$1000,ROW()-3)&amp;"")</f>
        <v>DigiLocker Assistance, Online Form &amp; Digital Services, Devmobile Stores</v>
      </c>
      <c r="P257" s="11" t="str">
        <f aca="false">IF(INDEX(MASTER_DATABASE!$A$4:$A$1000,ROW()-3)="","",INDEX(MASTER_DATABASE!$AP$4:$AP$1000,ROW()-3)&amp;"")</f>
        <v>☁️</v>
      </c>
      <c r="Q257" s="7" t="str">
        <f aca="false">IF(INDEX(MASTER_DATABASE!$A$4:$A$1000,ROW()-3)="","",INDEX(MASTER_DATABASE!$BB$4:$BB$1000,ROW()-3)&amp;"")</f>
        <v/>
      </c>
      <c r="R257" s="11" t="str">
        <f aca="false">IF(INDEX(MASTER_DATABASE!$A$4:$A$1000,ROW()-3)="","",INDEX(MASTER_DATABASE!$BC$4:$BC$1000,ROW()-3)&amp;"")</f>
        <v>🌐</v>
      </c>
      <c r="S257" s="11" t="n">
        <f aca="false">IF(INDEX(MASTER_DATABASE!$A$4:$A$1000,ROW()-3)="","",INDEX(MASTER_DATABASE!$AQ$4:$AQ$1000,ROW()-3))</f>
        <v>260</v>
      </c>
      <c r="T257" s="7" t="str">
        <f aca="false">IF(INDEX(MASTER_DATABASE!$A$4:$A$1000,ROW()-3)="","",INDEX(MASTER_DATABASE!$I$4:$I$1000,ROW()-3)&amp;"")</f>
        <v>Portal Dependent</v>
      </c>
      <c r="U257" s="7" t="str">
        <f aca="false">IF(INDEX(MASTER_DATABASE!$A$4:$A$1000,ROW()-3)="","",INDEX(MASTER_DATABASE!$J$4:$J$1000,ROW()-3)&amp;"")</f>
        <v>Depends on Portal – Confirm at Shop</v>
      </c>
      <c r="V257" s="7" t="str">
        <f aca="false">IF(INDEX(MASTER_DATABASE!$A$4:$A$1000,ROW()-3)="","",INDEX(MASTER_DATABASE!$AG$4:$AG$1000,ROW()-3)&amp;"")</f>
        <v>To Verify</v>
      </c>
      <c r="W257" s="7" t="str">
        <f aca="false">IF(INDEX(MASTER_DATABASE!$A$4:$A$1000,ROW()-3)="","",INDEX(MASTER_DATABASE!$AH$4:$AH$1000,ROW()-3)&amp;"")</f>
        <v>No</v>
      </c>
      <c r="X257" s="7" t="str">
        <f aca="false">IF(INDEX(MASTER_DATABASE!$A$4:$A$1000,ROW()-3)="","",INDEX(MASTER_DATABASE!$AI$4:$AI$1000,ROW()-3)&amp;"")</f>
        <v>No</v>
      </c>
      <c r="Y257" s="7" t="str">
        <f aca="false">IF(INDEX(MASTER_DATABASE!$A$4:$A$1000,ROW()-3)="","",INDEX(MASTER_DATABASE!$AJ$4:$AJ$1000,ROW()-3)&amp;"")</f>
        <v>No</v>
      </c>
      <c r="Z257" s="7" t="str">
        <f aca="false">IF(INDEX(MASTER_DATABASE!$A$4:$A$1000,ROW()-3)="","",INDEX(MASTER_DATABASE!$AK$4:$AK$1000,ROW()-3)&amp;"")</f>
        <v>No</v>
      </c>
      <c r="AA257" s="7" t="str">
        <f aca="false">IF(INDEX(MASTER_DATABASE!$A$4:$A$1000,ROW()-3)="","",INDEX(MASTER_DATABASE!$BE$4:$BE$1000,ROW()-3)&amp;"")</f>
        <v>HIDDEN</v>
      </c>
    </row>
    <row r="258" customFormat="false" ht="57.45" hidden="false" customHeight="false" outlineLevel="0" collapsed="false">
      <c r="A258" s="11" t="str">
        <f aca="false">IF(INDEX(MASTER_DATABASE!$A$4:$A$1000,ROW()-3)="","",INDEX(MASTER_DATABASE!$A$4:$A$1000,ROW()-3)&amp;"")</f>
        <v>ONL-027</v>
      </c>
      <c r="B258" s="7" t="str">
        <f aca="false">IF(INDEX(MASTER_DATABASE!$A$4:$A$1000,ROW()-3)="","",INDEX(MASTER_DATABASE!$B$4:$B$1000,ROW()-3)&amp;"")</f>
        <v>Online Form &amp; Digital Services</v>
      </c>
      <c r="C258" s="7" t="str">
        <f aca="false">IF(INDEX(MASTER_DATABASE!$A$4:$A$1000,ROW()-3)="","",INDEX(MASTER_DATABASE!$C$4:$C$1000,ROW()-3)&amp;"")</f>
        <v>Online &amp; Digital Services</v>
      </c>
      <c r="D258" s="7" t="str">
        <f aca="false">IF(INDEX(MASTER_DATABASE!$A$4:$A$1000,ROW()-3)="","",INDEX(MASTER_DATABASE!$D$4:$D$1000,ROW()-3)&amp;"")</f>
        <v>Digital Services</v>
      </c>
      <c r="E258" s="7" t="str">
        <f aca="false">IF(INDEX(MASTER_DATABASE!$A$4:$A$1000,ROW()-3)="","",INDEX(MASTER_DATABASE!$E$4:$E$1000,ROW()-3)&amp;"")</f>
        <v>Digital Document Download (DigiLocker etc.)</v>
      </c>
      <c r="F258" s="7" t="str">
        <f aca="false">IF(INDEX(MASTER_DATABASE!$A$4:$A$1000,ROW()-3)="","",INDEX(MASTER_DATABASE!$F$4:$F$1000,ROW()-3)&amp;"")</f>
        <v>डिजिटल दस्तावेज़ डाउनलोड (डिजिलॉकर आदि)</v>
      </c>
      <c r="G258" s="7" t="str">
        <f aca="false">IF(INDEX(MASTER_DATABASE!$A$4:$A$1000,ROW()-3)="","",INDEX(MASTER_DATABASE!$AL$4:$AL$1000,ROW()-3)&amp;"")</f>
        <v>Online Form &amp; Digital Services</v>
      </c>
      <c r="H258" s="7" t="str">
        <f aca="false">IF(INDEX(MASTER_DATABASE!$A$4:$A$1000,ROW()-3)="","",INDEX(MASTER_DATABASE!$AM$4:$AM$1000,ROW()-3)&amp;"")</f>
        <v>Digital Services</v>
      </c>
      <c r="I258" s="7" t="str">
        <f aca="false">IF(INDEX(MASTER_DATABASE!$A$4:$A$1000,ROW()-3)="","",INDEX(MASTER_DATABASE!$AO$4:$AO$1000,ROW()-3)&amp;"")</f>
        <v>digital-document-download-digilocker-etc</v>
      </c>
      <c r="J258" s="7" t="str">
        <f aca="false">IF(INDEX(MASTER_DATABASE!$A$4:$A$1000,ROW()-3)="","",INDEX(MASTER_DATABASE!$BD$4:$BD$1000,ROW()-3)&amp;"")</f>
        <v>/services/digital-document-download-digilocker-etc</v>
      </c>
      <c r="K258" s="7" t="str">
        <f aca="false">IF(INDEX(MASTER_DATABASE!$A$4:$A$1000,ROW()-3)="","",INDEX(MASTER_DATABASE!$AX$4:$AX$1000,ROW()-3)&amp;"")</f>
        <v>Digital Document Download (DigiLocker etc.) Service | Devmobile Stores</v>
      </c>
      <c r="L258" s="7" t="str">
        <f aca="false">IF(INDEX(MASTER_DATABASE!$A$4:$A$1000,ROW()-3)="","",INDEX(MASTER_DATABASE!$AY$4:$AY$1000,ROW()-3)&amp;"")</f>
        <v>Digital Document Download (DigiLocker etc.) (डिजिटल दस्तावेज़ डाउनलोड (डिजिलॉकर आदि)) at Devmobile Stores and Common Service Center &amp; Aadhaar Centre. Check required documents, charges and process before you visit.</v>
      </c>
      <c r="M258" s="7" t="str">
        <f aca="false">IF(INDEX(MASTER_DATABASE!$A$4:$A$1000,ROW()-3)="","",INDEX(MASTER_DATABASE!$AN$4:$AN$1000,ROW()-3)&amp;"")</f>
        <v>Digital Document Download (DigiLocker etc.), Online Form &amp; Digital Services, Devmobile Stores, डिजिटल दस्तावेज़ डाउनलोड (डिजिलॉकर आदि), ऑनलाइन फॉर्म व डिजिटल सेवाएँ, सेवा</v>
      </c>
      <c r="N258" s="7" t="str">
        <f aca="false">IF(INDEX(MASTER_DATABASE!$A$4:$A$1000,ROW()-3)="","",INDEX(MASTER_DATABASE!$AZ$4:$AZ$1000,ROW()-3)&amp;"")</f>
        <v>डिजिटल दस्तावेज़ डाउनलोड (डिजिलॉकर आदि), ऑनलाइन फॉर्म व डिजिटल सेवाएँ, सेवा</v>
      </c>
      <c r="O258" s="7" t="str">
        <f aca="false">IF(INDEX(MASTER_DATABASE!$A$4:$A$1000,ROW()-3)="","",INDEX(MASTER_DATABASE!$BA$4:$BA$1000,ROW()-3)&amp;"")</f>
        <v>Digital Document Download (DigiLocker etc.), Online Form &amp; Digital Services, Devmobile Stores</v>
      </c>
      <c r="P258" s="11" t="str">
        <f aca="false">IF(INDEX(MASTER_DATABASE!$A$4:$A$1000,ROW()-3)="","",INDEX(MASTER_DATABASE!$AP$4:$AP$1000,ROW()-3)&amp;"")</f>
        <v>☁️</v>
      </c>
      <c r="Q258" s="7" t="str">
        <f aca="false">IF(INDEX(MASTER_DATABASE!$A$4:$A$1000,ROW()-3)="","",INDEX(MASTER_DATABASE!$BB$4:$BB$1000,ROW()-3)&amp;"")</f>
        <v/>
      </c>
      <c r="R258" s="11" t="str">
        <f aca="false">IF(INDEX(MASTER_DATABASE!$A$4:$A$1000,ROW()-3)="","",INDEX(MASTER_DATABASE!$BC$4:$BC$1000,ROW()-3)&amp;"")</f>
        <v>🌐</v>
      </c>
      <c r="S258" s="11" t="n">
        <f aca="false">IF(INDEX(MASTER_DATABASE!$A$4:$A$1000,ROW()-3)="","",INDEX(MASTER_DATABASE!$AQ$4:$AQ$1000,ROW()-3))</f>
        <v>270</v>
      </c>
      <c r="T258" s="7" t="str">
        <f aca="false">IF(INDEX(MASTER_DATABASE!$A$4:$A$1000,ROW()-3)="","",INDEX(MASTER_DATABASE!$I$4:$I$1000,ROW()-3)&amp;"")</f>
        <v>Portal Dependent</v>
      </c>
      <c r="U258" s="7" t="str">
        <f aca="false">IF(INDEX(MASTER_DATABASE!$A$4:$A$1000,ROW()-3)="","",INDEX(MASTER_DATABASE!$J$4:$J$1000,ROW()-3)&amp;"")</f>
        <v>Depends on Portal – Confirm at Shop</v>
      </c>
      <c r="V258" s="7" t="str">
        <f aca="false">IF(INDEX(MASTER_DATABASE!$A$4:$A$1000,ROW()-3)="","",INDEX(MASTER_DATABASE!$AG$4:$AG$1000,ROW()-3)&amp;"")</f>
        <v>To Verify</v>
      </c>
      <c r="W258" s="7" t="str">
        <f aca="false">IF(INDEX(MASTER_DATABASE!$A$4:$A$1000,ROW()-3)="","",INDEX(MASTER_DATABASE!$AH$4:$AH$1000,ROW()-3)&amp;"")</f>
        <v>No</v>
      </c>
      <c r="X258" s="7" t="str">
        <f aca="false">IF(INDEX(MASTER_DATABASE!$A$4:$A$1000,ROW()-3)="","",INDEX(MASTER_DATABASE!$AI$4:$AI$1000,ROW()-3)&amp;"")</f>
        <v>No</v>
      </c>
      <c r="Y258" s="7" t="str">
        <f aca="false">IF(INDEX(MASTER_DATABASE!$A$4:$A$1000,ROW()-3)="","",INDEX(MASTER_DATABASE!$AJ$4:$AJ$1000,ROW()-3)&amp;"")</f>
        <v>No</v>
      </c>
      <c r="Z258" s="7" t="str">
        <f aca="false">IF(INDEX(MASTER_DATABASE!$A$4:$A$1000,ROW()-3)="","",INDEX(MASTER_DATABASE!$AK$4:$AK$1000,ROW()-3)&amp;"")</f>
        <v>No</v>
      </c>
      <c r="AA258" s="7" t="str">
        <f aca="false">IF(INDEX(MASTER_DATABASE!$A$4:$A$1000,ROW()-3)="","",INDEX(MASTER_DATABASE!$BE$4:$BE$1000,ROW()-3)&amp;"")</f>
        <v>HIDDEN</v>
      </c>
    </row>
    <row r="259" customFormat="false" ht="57.45" hidden="false" customHeight="false" outlineLevel="0" collapsed="false">
      <c r="A259" s="11" t="str">
        <f aca="false">IF(INDEX(MASTER_DATABASE!$A$4:$A$1000,ROW()-3)="","",INDEX(MASTER_DATABASE!$A$4:$A$1000,ROW()-3)&amp;"")</f>
        <v>ONL-028</v>
      </c>
      <c r="B259" s="7" t="str">
        <f aca="false">IF(INDEX(MASTER_DATABASE!$A$4:$A$1000,ROW()-3)="","",INDEX(MASTER_DATABASE!$B$4:$B$1000,ROW()-3)&amp;"")</f>
        <v>Online Form &amp; Digital Services</v>
      </c>
      <c r="C259" s="7" t="str">
        <f aca="false">IF(INDEX(MASTER_DATABASE!$A$4:$A$1000,ROW()-3)="","",INDEX(MASTER_DATABASE!$C$4:$C$1000,ROW()-3)&amp;"")</f>
        <v>Online &amp; Digital Services</v>
      </c>
      <c r="D259" s="7" t="str">
        <f aca="false">IF(INDEX(MASTER_DATABASE!$A$4:$A$1000,ROW()-3)="","",INDEX(MASTER_DATABASE!$D$4:$D$1000,ROW()-3)&amp;"")</f>
        <v>Digital Services</v>
      </c>
      <c r="E259" s="7" t="str">
        <f aca="false">IF(INDEX(MASTER_DATABASE!$A$4:$A$1000,ROW()-3)="","",INDEX(MASTER_DATABASE!$E$4:$E$1000,ROW()-3)&amp;"")</f>
        <v>Online Payment Assistance (Fee / Challan)</v>
      </c>
      <c r="F259" s="7" t="str">
        <f aca="false">IF(INDEX(MASTER_DATABASE!$A$4:$A$1000,ROW()-3)="","",INDEX(MASTER_DATABASE!$F$4:$F$1000,ROW()-3)&amp;"")</f>
        <v>ऑनलाइन भुगतान सहायता (फीस / चालान)</v>
      </c>
      <c r="G259" s="7" t="str">
        <f aca="false">IF(INDEX(MASTER_DATABASE!$A$4:$A$1000,ROW()-3)="","",INDEX(MASTER_DATABASE!$AL$4:$AL$1000,ROW()-3)&amp;"")</f>
        <v>Online Form &amp; Digital Services</v>
      </c>
      <c r="H259" s="7" t="str">
        <f aca="false">IF(INDEX(MASTER_DATABASE!$A$4:$A$1000,ROW()-3)="","",INDEX(MASTER_DATABASE!$AM$4:$AM$1000,ROW()-3)&amp;"")</f>
        <v>Digital Services</v>
      </c>
      <c r="I259" s="7" t="str">
        <f aca="false">IF(INDEX(MASTER_DATABASE!$A$4:$A$1000,ROW()-3)="","",INDEX(MASTER_DATABASE!$AO$4:$AO$1000,ROW()-3)&amp;"")</f>
        <v>online-payment-assistance-fee-challan</v>
      </c>
      <c r="J259" s="7" t="str">
        <f aca="false">IF(INDEX(MASTER_DATABASE!$A$4:$A$1000,ROW()-3)="","",INDEX(MASTER_DATABASE!$BD$4:$BD$1000,ROW()-3)&amp;"")</f>
        <v>/services/online-payment-assistance-fee-challan</v>
      </c>
      <c r="K259" s="7" t="str">
        <f aca="false">IF(INDEX(MASTER_DATABASE!$A$4:$A$1000,ROW()-3)="","",INDEX(MASTER_DATABASE!$AX$4:$AX$1000,ROW()-3)&amp;"")</f>
        <v>Online Payment Assistance (Fee / Challan) Service | Devmobile Stores</v>
      </c>
      <c r="L259" s="7" t="str">
        <f aca="false">IF(INDEX(MASTER_DATABASE!$A$4:$A$1000,ROW()-3)="","",INDEX(MASTER_DATABASE!$AY$4:$AY$1000,ROW()-3)&amp;"")</f>
        <v>Online Payment Assistance (Fee / Challan) (ऑनलाइन भुगतान सहायता (फीस / चालान)) at Devmobile Stores and Common Service Center &amp; Aadhaar Centre. Check required documents, charges and process before you visit.</v>
      </c>
      <c r="M259" s="7" t="str">
        <f aca="false">IF(INDEX(MASTER_DATABASE!$A$4:$A$1000,ROW()-3)="","",INDEX(MASTER_DATABASE!$AN$4:$AN$1000,ROW()-3)&amp;"")</f>
        <v>Online Payment Assistance (Fee / Challan), Online Form &amp; Digital Services, Devmobile Stores, ऑनलाइन भुगतान सहायता (फीस / चालान), ऑनलाइन फॉर्म व डिजिटल सेवाएँ, सेवा</v>
      </c>
      <c r="N259" s="7" t="str">
        <f aca="false">IF(INDEX(MASTER_DATABASE!$A$4:$A$1000,ROW()-3)="","",INDEX(MASTER_DATABASE!$AZ$4:$AZ$1000,ROW()-3)&amp;"")</f>
        <v>ऑनलाइन भुगतान सहायता (फीस / चालान), ऑनलाइन फॉर्म व डिजिटल सेवाएँ, सेवा</v>
      </c>
      <c r="O259" s="7" t="str">
        <f aca="false">IF(INDEX(MASTER_DATABASE!$A$4:$A$1000,ROW()-3)="","",INDEX(MASTER_DATABASE!$BA$4:$BA$1000,ROW()-3)&amp;"")</f>
        <v>Online Payment Assistance (Fee / Challan), Online Form &amp; Digital Services, Devmobile Stores</v>
      </c>
      <c r="P259" s="11" t="str">
        <f aca="false">IF(INDEX(MASTER_DATABASE!$A$4:$A$1000,ROW()-3)="","",INDEX(MASTER_DATABASE!$AP$4:$AP$1000,ROW()-3)&amp;"")</f>
        <v>☁️</v>
      </c>
      <c r="Q259" s="7" t="str">
        <f aca="false">IF(INDEX(MASTER_DATABASE!$A$4:$A$1000,ROW()-3)="","",INDEX(MASTER_DATABASE!$BB$4:$BB$1000,ROW()-3)&amp;"")</f>
        <v/>
      </c>
      <c r="R259" s="11" t="str">
        <f aca="false">IF(INDEX(MASTER_DATABASE!$A$4:$A$1000,ROW()-3)="","",INDEX(MASTER_DATABASE!$BC$4:$BC$1000,ROW()-3)&amp;"")</f>
        <v>🌐</v>
      </c>
      <c r="S259" s="11" t="n">
        <f aca="false">IF(INDEX(MASTER_DATABASE!$A$4:$A$1000,ROW()-3)="","",INDEX(MASTER_DATABASE!$AQ$4:$AQ$1000,ROW()-3))</f>
        <v>280</v>
      </c>
      <c r="T259" s="7" t="str">
        <f aca="false">IF(INDEX(MASTER_DATABASE!$A$4:$A$1000,ROW()-3)="","",INDEX(MASTER_DATABASE!$I$4:$I$1000,ROW()-3)&amp;"")</f>
        <v>Available</v>
      </c>
      <c r="U259" s="7" t="str">
        <f aca="false">IF(INDEX(MASTER_DATABASE!$A$4:$A$1000,ROW()-3)="","",INDEX(MASTER_DATABASE!$J$4:$J$1000,ROW()-3)&amp;"")</f>
        <v>Available</v>
      </c>
      <c r="V259" s="7" t="str">
        <f aca="false">IF(INDEX(MASTER_DATABASE!$A$4:$A$1000,ROW()-3)="","",INDEX(MASTER_DATABASE!$AG$4:$AG$1000,ROW()-3)&amp;"")</f>
        <v>Active</v>
      </c>
      <c r="W259" s="7" t="str">
        <f aca="false">IF(INDEX(MASTER_DATABASE!$A$4:$A$1000,ROW()-3)="","",INDEX(MASTER_DATABASE!$AH$4:$AH$1000,ROW()-3)&amp;"")</f>
        <v>Yes</v>
      </c>
      <c r="X259" s="7" t="str">
        <f aca="false">IF(INDEX(MASTER_DATABASE!$A$4:$A$1000,ROW()-3)="","",INDEX(MASTER_DATABASE!$AI$4:$AI$1000,ROW()-3)&amp;"")</f>
        <v>No</v>
      </c>
      <c r="Y259" s="7" t="str">
        <f aca="false">IF(INDEX(MASTER_DATABASE!$A$4:$A$1000,ROW()-3)="","",INDEX(MASTER_DATABASE!$AJ$4:$AJ$1000,ROW()-3)&amp;"")</f>
        <v>No</v>
      </c>
      <c r="Z259" s="7" t="str">
        <f aca="false">IF(INDEX(MASTER_DATABASE!$A$4:$A$1000,ROW()-3)="","",INDEX(MASTER_DATABASE!$AK$4:$AK$1000,ROW()-3)&amp;"")</f>
        <v>No</v>
      </c>
      <c r="AA259" s="7" t="str">
        <f aca="false">IF(INDEX(MASTER_DATABASE!$A$4:$A$1000,ROW()-3)="","",INDEX(MASTER_DATABASE!$BE$4:$BE$1000,ROW()-3)&amp;"")</f>
        <v>LIVE</v>
      </c>
    </row>
    <row r="260" customFormat="false" ht="46.25" hidden="false" customHeight="false" outlineLevel="0" collapsed="false">
      <c r="A260" s="11" t="str">
        <f aca="false">IF(INDEX(MASTER_DATABASE!$A$4:$A$1000,ROW()-3)="","",INDEX(MASTER_DATABASE!$A$4:$A$1000,ROW()-3)&amp;"")</f>
        <v>ONL-029</v>
      </c>
      <c r="B260" s="7" t="str">
        <f aca="false">IF(INDEX(MASTER_DATABASE!$A$4:$A$1000,ROW()-3)="","",INDEX(MASTER_DATABASE!$B$4:$B$1000,ROW()-3)&amp;"")</f>
        <v>Online Form &amp; Digital Services</v>
      </c>
      <c r="C260" s="7" t="str">
        <f aca="false">IF(INDEX(MASTER_DATABASE!$A$4:$A$1000,ROW()-3)="","",INDEX(MASTER_DATABASE!$C$4:$C$1000,ROW()-3)&amp;"")</f>
        <v>Online &amp; Digital Services</v>
      </c>
      <c r="D260" s="7" t="str">
        <f aca="false">IF(INDEX(MASTER_DATABASE!$A$4:$A$1000,ROW()-3)="","",INDEX(MASTER_DATABASE!$D$4:$D$1000,ROW()-3)&amp;"")</f>
        <v>Digital Services</v>
      </c>
      <c r="E260" s="7" t="str">
        <f aca="false">IF(INDEX(MASTER_DATABASE!$A$4:$A$1000,ROW()-3)="","",INDEX(MASTER_DATABASE!$E$4:$E$1000,ROW()-3)&amp;"")</f>
        <v>UPI / Payment App Setup Assistance</v>
      </c>
      <c r="F260" s="7" t="str">
        <f aca="false">IF(INDEX(MASTER_DATABASE!$A$4:$A$1000,ROW()-3)="","",INDEX(MASTER_DATABASE!$F$4:$F$1000,ROW()-3)&amp;"")</f>
        <v>UPI / पेमेंट ऐप सेटअप सहायता</v>
      </c>
      <c r="G260" s="7" t="str">
        <f aca="false">IF(INDEX(MASTER_DATABASE!$A$4:$A$1000,ROW()-3)="","",INDEX(MASTER_DATABASE!$AL$4:$AL$1000,ROW()-3)&amp;"")</f>
        <v>Online Form &amp; Digital Services</v>
      </c>
      <c r="H260" s="7" t="str">
        <f aca="false">IF(INDEX(MASTER_DATABASE!$A$4:$A$1000,ROW()-3)="","",INDEX(MASTER_DATABASE!$AM$4:$AM$1000,ROW()-3)&amp;"")</f>
        <v>Digital Services</v>
      </c>
      <c r="I260" s="7" t="str">
        <f aca="false">IF(INDEX(MASTER_DATABASE!$A$4:$A$1000,ROW()-3)="","",INDEX(MASTER_DATABASE!$AO$4:$AO$1000,ROW()-3)&amp;"")</f>
        <v>upi-payment-app-setup-assistance</v>
      </c>
      <c r="J260" s="7" t="str">
        <f aca="false">IF(INDEX(MASTER_DATABASE!$A$4:$A$1000,ROW()-3)="","",INDEX(MASTER_DATABASE!$BD$4:$BD$1000,ROW()-3)&amp;"")</f>
        <v>/services/upi-payment-app-setup-assistance</v>
      </c>
      <c r="K260" s="7" t="str">
        <f aca="false">IF(INDEX(MASTER_DATABASE!$A$4:$A$1000,ROW()-3)="","",INDEX(MASTER_DATABASE!$AX$4:$AX$1000,ROW()-3)&amp;"")</f>
        <v>UPI / Payment App Setup Assistance Service | Devmobile Stores</v>
      </c>
      <c r="L260" s="7" t="str">
        <f aca="false">IF(INDEX(MASTER_DATABASE!$A$4:$A$1000,ROW()-3)="","",INDEX(MASTER_DATABASE!$AY$4:$AY$1000,ROW()-3)&amp;"")</f>
        <v>UPI / Payment App Setup Assistance (UPI / पेमेंट ऐप सेटअप सहायता) at Devmobile Stores and Common Service Center &amp; Aadhaar Centre. Check required documents, charges and process before you visit.</v>
      </c>
      <c r="M260" s="7" t="str">
        <f aca="false">IF(INDEX(MASTER_DATABASE!$A$4:$A$1000,ROW()-3)="","",INDEX(MASTER_DATABASE!$AN$4:$AN$1000,ROW()-3)&amp;"")</f>
        <v>UPI / Payment App Setup Assistance, Online Form &amp; Digital Services, Devmobile Stores, UPI / पेमेंट ऐप सेटअप सहायता, ऑनलाइन फॉर्म व डिजिटल सेवाएँ, सेवा</v>
      </c>
      <c r="N260" s="7" t="str">
        <f aca="false">IF(INDEX(MASTER_DATABASE!$A$4:$A$1000,ROW()-3)="","",INDEX(MASTER_DATABASE!$AZ$4:$AZ$1000,ROW()-3)&amp;"")</f>
        <v>UPI / पेमेंट ऐप सेटअप सहायता, ऑनलाइन फॉर्म व डिजिटल सेवाएँ, सेवा</v>
      </c>
      <c r="O260" s="7" t="str">
        <f aca="false">IF(INDEX(MASTER_DATABASE!$A$4:$A$1000,ROW()-3)="","",INDEX(MASTER_DATABASE!$BA$4:$BA$1000,ROW()-3)&amp;"")</f>
        <v>UPI / Payment App Setup Assistance, Online Form &amp; Digital Services, Devmobile Stores</v>
      </c>
      <c r="P260" s="11" t="str">
        <f aca="false">IF(INDEX(MASTER_DATABASE!$A$4:$A$1000,ROW()-3)="","",INDEX(MASTER_DATABASE!$AP$4:$AP$1000,ROW()-3)&amp;"")</f>
        <v>☁️</v>
      </c>
      <c r="Q260" s="7" t="str">
        <f aca="false">IF(INDEX(MASTER_DATABASE!$A$4:$A$1000,ROW()-3)="","",INDEX(MASTER_DATABASE!$BB$4:$BB$1000,ROW()-3)&amp;"")</f>
        <v/>
      </c>
      <c r="R260" s="11" t="str">
        <f aca="false">IF(INDEX(MASTER_DATABASE!$A$4:$A$1000,ROW()-3)="","",INDEX(MASTER_DATABASE!$BC$4:$BC$1000,ROW()-3)&amp;"")</f>
        <v>🌐</v>
      </c>
      <c r="S260" s="11" t="n">
        <f aca="false">IF(INDEX(MASTER_DATABASE!$A$4:$A$1000,ROW()-3)="","",INDEX(MASTER_DATABASE!$AQ$4:$AQ$1000,ROW()-3))</f>
        <v>290</v>
      </c>
      <c r="T260" s="7" t="str">
        <f aca="false">IF(INDEX(MASTER_DATABASE!$A$4:$A$1000,ROW()-3)="","",INDEX(MASTER_DATABASE!$I$4:$I$1000,ROW()-3)&amp;"")</f>
        <v>Available</v>
      </c>
      <c r="U260" s="7" t="str">
        <f aca="false">IF(INDEX(MASTER_DATABASE!$A$4:$A$1000,ROW()-3)="","",INDEX(MASTER_DATABASE!$J$4:$J$1000,ROW()-3)&amp;"")</f>
        <v>Available</v>
      </c>
      <c r="V260" s="7" t="str">
        <f aca="false">IF(INDEX(MASTER_DATABASE!$A$4:$A$1000,ROW()-3)="","",INDEX(MASTER_DATABASE!$AG$4:$AG$1000,ROW()-3)&amp;"")</f>
        <v>Active</v>
      </c>
      <c r="W260" s="7" t="str">
        <f aca="false">IF(INDEX(MASTER_DATABASE!$A$4:$A$1000,ROW()-3)="","",INDEX(MASTER_DATABASE!$AH$4:$AH$1000,ROW()-3)&amp;"")</f>
        <v>Yes</v>
      </c>
      <c r="X260" s="7" t="str">
        <f aca="false">IF(INDEX(MASTER_DATABASE!$A$4:$A$1000,ROW()-3)="","",INDEX(MASTER_DATABASE!$AI$4:$AI$1000,ROW()-3)&amp;"")</f>
        <v>No</v>
      </c>
      <c r="Y260" s="7" t="str">
        <f aca="false">IF(INDEX(MASTER_DATABASE!$A$4:$A$1000,ROW()-3)="","",INDEX(MASTER_DATABASE!$AJ$4:$AJ$1000,ROW()-3)&amp;"")</f>
        <v>No</v>
      </c>
      <c r="Z260" s="7" t="str">
        <f aca="false">IF(INDEX(MASTER_DATABASE!$A$4:$A$1000,ROW()-3)="","",INDEX(MASTER_DATABASE!$AK$4:$AK$1000,ROW()-3)&amp;"")</f>
        <v>No</v>
      </c>
      <c r="AA260" s="7" t="str">
        <f aca="false">IF(INDEX(MASTER_DATABASE!$A$4:$A$1000,ROW()-3)="","",INDEX(MASTER_DATABASE!$BE$4:$BE$1000,ROW()-3)&amp;"")</f>
        <v>LIVE</v>
      </c>
    </row>
    <row r="261" customFormat="false" ht="46.25" hidden="false" customHeight="false" outlineLevel="0" collapsed="false">
      <c r="A261" s="11" t="str">
        <f aca="false">IF(INDEX(MASTER_DATABASE!$A$4:$A$1000,ROW()-3)="","",INDEX(MASTER_DATABASE!$A$4:$A$1000,ROW()-3)&amp;"")</f>
        <v>ONL-030</v>
      </c>
      <c r="B261" s="7" t="str">
        <f aca="false">IF(INDEX(MASTER_DATABASE!$A$4:$A$1000,ROW()-3)="","",INDEX(MASTER_DATABASE!$B$4:$B$1000,ROW()-3)&amp;"")</f>
        <v>Online Form &amp; Digital Services</v>
      </c>
      <c r="C261" s="7" t="str">
        <f aca="false">IF(INDEX(MASTER_DATABASE!$A$4:$A$1000,ROW()-3)="","",INDEX(MASTER_DATABASE!$C$4:$C$1000,ROW()-3)&amp;"")</f>
        <v>Online &amp; Digital Services</v>
      </c>
      <c r="D261" s="7" t="str">
        <f aca="false">IF(INDEX(MASTER_DATABASE!$A$4:$A$1000,ROW()-3)="","",INDEX(MASTER_DATABASE!$D$4:$D$1000,ROW()-3)&amp;"")</f>
        <v>ID &amp; Document Services</v>
      </c>
      <c r="E261" s="7" t="str">
        <f aca="false">IF(INDEX(MASTER_DATABASE!$A$4:$A$1000,ROW()-3)="","",INDEX(MASTER_DATABASE!$E$4:$E$1000,ROW()-3)&amp;"")</f>
        <v>PAN – New Application</v>
      </c>
      <c r="F261" s="7" t="str">
        <f aca="false">IF(INDEX(MASTER_DATABASE!$A$4:$A$1000,ROW()-3)="","",INDEX(MASTER_DATABASE!$F$4:$F$1000,ROW()-3)&amp;"")</f>
        <v>पैन – नया आवेदन</v>
      </c>
      <c r="G261" s="7" t="str">
        <f aca="false">IF(INDEX(MASTER_DATABASE!$A$4:$A$1000,ROW()-3)="","",INDEX(MASTER_DATABASE!$AL$4:$AL$1000,ROW()-3)&amp;"")</f>
        <v>Online Form &amp; Digital Services</v>
      </c>
      <c r="H261" s="7" t="str">
        <f aca="false">IF(INDEX(MASTER_DATABASE!$A$4:$A$1000,ROW()-3)="","",INDEX(MASTER_DATABASE!$AM$4:$AM$1000,ROW()-3)&amp;"")</f>
        <v>ID &amp; Document Services</v>
      </c>
      <c r="I261" s="7" t="str">
        <f aca="false">IF(INDEX(MASTER_DATABASE!$A$4:$A$1000,ROW()-3)="","",INDEX(MASTER_DATABASE!$AO$4:$AO$1000,ROW()-3)&amp;"")</f>
        <v>pan-new-application</v>
      </c>
      <c r="J261" s="7" t="str">
        <f aca="false">IF(INDEX(MASTER_DATABASE!$A$4:$A$1000,ROW()-3)="","",INDEX(MASTER_DATABASE!$BD$4:$BD$1000,ROW()-3)&amp;"")</f>
        <v>/services/pan-new-application</v>
      </c>
      <c r="K261" s="7" t="str">
        <f aca="false">IF(INDEX(MASTER_DATABASE!$A$4:$A$1000,ROW()-3)="","",INDEX(MASTER_DATABASE!$AX$4:$AX$1000,ROW()-3)&amp;"")</f>
        <v>PAN – New Application Service | Devmobile Stores</v>
      </c>
      <c r="L261" s="7" t="str">
        <f aca="false">IF(INDEX(MASTER_DATABASE!$A$4:$A$1000,ROW()-3)="","",INDEX(MASTER_DATABASE!$AY$4:$AY$1000,ROW()-3)&amp;"")</f>
        <v>PAN – New Application (पैन – नया आवेदन) at Devmobile Stores and Common Service Center &amp; Aadhaar Centre. Check required documents, charges and process before you visit.</v>
      </c>
      <c r="M261" s="7" t="str">
        <f aca="false">IF(INDEX(MASTER_DATABASE!$A$4:$A$1000,ROW()-3)="","",INDEX(MASTER_DATABASE!$AN$4:$AN$1000,ROW()-3)&amp;"")</f>
        <v>PAN – New Application, Online Form &amp; Digital Services, Devmobile Stores, पैन – नया आवेदन, ऑनलाइन फॉर्म व डिजिटल सेवाएँ, सेवा</v>
      </c>
      <c r="N261" s="7" t="str">
        <f aca="false">IF(INDEX(MASTER_DATABASE!$A$4:$A$1000,ROW()-3)="","",INDEX(MASTER_DATABASE!$AZ$4:$AZ$1000,ROW()-3)&amp;"")</f>
        <v>पैन – नया आवेदन, ऑनलाइन फॉर्म व डिजिटल सेवाएँ, सेवा</v>
      </c>
      <c r="O261" s="7" t="str">
        <f aca="false">IF(INDEX(MASTER_DATABASE!$A$4:$A$1000,ROW()-3)="","",INDEX(MASTER_DATABASE!$BA$4:$BA$1000,ROW()-3)&amp;"")</f>
        <v>PAN – New Application, Online Form &amp; Digital Services, Devmobile Stores</v>
      </c>
      <c r="P261" s="11" t="str">
        <f aca="false">IF(INDEX(MASTER_DATABASE!$A$4:$A$1000,ROW()-3)="","",INDEX(MASTER_DATABASE!$AP$4:$AP$1000,ROW()-3)&amp;"")</f>
        <v>🆔</v>
      </c>
      <c r="Q261" s="7" t="str">
        <f aca="false">IF(INDEX(MASTER_DATABASE!$A$4:$A$1000,ROW()-3)="","",INDEX(MASTER_DATABASE!$BB$4:$BB$1000,ROW()-3)&amp;"")</f>
        <v/>
      </c>
      <c r="R261" s="11" t="str">
        <f aca="false">IF(INDEX(MASTER_DATABASE!$A$4:$A$1000,ROW()-3)="","",INDEX(MASTER_DATABASE!$BC$4:$BC$1000,ROW()-3)&amp;"")</f>
        <v>🌐</v>
      </c>
      <c r="S261" s="11" t="n">
        <f aca="false">IF(INDEX(MASTER_DATABASE!$A$4:$A$1000,ROW()-3)="","",INDEX(MASTER_DATABASE!$AQ$4:$AQ$1000,ROW()-3))</f>
        <v>300</v>
      </c>
      <c r="T261" s="7" t="str">
        <f aca="false">IF(INDEX(MASTER_DATABASE!$A$4:$A$1000,ROW()-3)="","",INDEX(MASTER_DATABASE!$I$4:$I$1000,ROW()-3)&amp;"")</f>
        <v>Portal Dependent</v>
      </c>
      <c r="U261" s="7" t="str">
        <f aca="false">IF(INDEX(MASTER_DATABASE!$A$4:$A$1000,ROW()-3)="","",INDEX(MASTER_DATABASE!$J$4:$J$1000,ROW()-3)&amp;"")</f>
        <v>Depends on Portal – Confirm at Shop</v>
      </c>
      <c r="V261" s="7" t="str">
        <f aca="false">IF(INDEX(MASTER_DATABASE!$A$4:$A$1000,ROW()-3)="","",INDEX(MASTER_DATABASE!$AG$4:$AG$1000,ROW()-3)&amp;"")</f>
        <v>To Verify</v>
      </c>
      <c r="W261" s="7" t="str">
        <f aca="false">IF(INDEX(MASTER_DATABASE!$A$4:$A$1000,ROW()-3)="","",INDEX(MASTER_DATABASE!$AH$4:$AH$1000,ROW()-3)&amp;"")</f>
        <v>No</v>
      </c>
      <c r="X261" s="7" t="str">
        <f aca="false">IF(INDEX(MASTER_DATABASE!$A$4:$A$1000,ROW()-3)="","",INDEX(MASTER_DATABASE!$AI$4:$AI$1000,ROW()-3)&amp;"")</f>
        <v>No</v>
      </c>
      <c r="Y261" s="7" t="str">
        <f aca="false">IF(INDEX(MASTER_DATABASE!$A$4:$A$1000,ROW()-3)="","",INDEX(MASTER_DATABASE!$AJ$4:$AJ$1000,ROW()-3)&amp;"")</f>
        <v>No</v>
      </c>
      <c r="Z261" s="7" t="str">
        <f aca="false">IF(INDEX(MASTER_DATABASE!$A$4:$A$1000,ROW()-3)="","",INDEX(MASTER_DATABASE!$AK$4:$AK$1000,ROW()-3)&amp;"")</f>
        <v>No</v>
      </c>
      <c r="AA261" s="7" t="str">
        <f aca="false">IF(INDEX(MASTER_DATABASE!$A$4:$A$1000,ROW()-3)="","",INDEX(MASTER_DATABASE!$BE$4:$BE$1000,ROW()-3)&amp;"")</f>
        <v>HIDDEN</v>
      </c>
    </row>
    <row r="262" customFormat="false" ht="46.25" hidden="false" customHeight="false" outlineLevel="0" collapsed="false">
      <c r="A262" s="11" t="str">
        <f aca="false">IF(INDEX(MASTER_DATABASE!$A$4:$A$1000,ROW()-3)="","",INDEX(MASTER_DATABASE!$A$4:$A$1000,ROW()-3)&amp;"")</f>
        <v>ONL-031</v>
      </c>
      <c r="B262" s="7" t="str">
        <f aca="false">IF(INDEX(MASTER_DATABASE!$A$4:$A$1000,ROW()-3)="","",INDEX(MASTER_DATABASE!$B$4:$B$1000,ROW()-3)&amp;"")</f>
        <v>Online Form &amp; Digital Services</v>
      </c>
      <c r="C262" s="7" t="str">
        <f aca="false">IF(INDEX(MASTER_DATABASE!$A$4:$A$1000,ROW()-3)="","",INDEX(MASTER_DATABASE!$C$4:$C$1000,ROW()-3)&amp;"")</f>
        <v>Online &amp; Digital Services</v>
      </c>
      <c r="D262" s="7" t="str">
        <f aca="false">IF(INDEX(MASTER_DATABASE!$A$4:$A$1000,ROW()-3)="","",INDEX(MASTER_DATABASE!$D$4:$D$1000,ROW()-3)&amp;"")</f>
        <v>ID &amp; Document Services</v>
      </c>
      <c r="E262" s="7" t="str">
        <f aca="false">IF(INDEX(MASTER_DATABASE!$A$4:$A$1000,ROW()-3)="","",INDEX(MASTER_DATABASE!$E$4:$E$1000,ROW()-3)&amp;"")</f>
        <v>PAN – Correction / Update</v>
      </c>
      <c r="F262" s="7" t="str">
        <f aca="false">IF(INDEX(MASTER_DATABASE!$A$4:$A$1000,ROW()-3)="","",INDEX(MASTER_DATABASE!$F$4:$F$1000,ROW()-3)&amp;"")</f>
        <v>पैन – सुधार / अपडेट</v>
      </c>
      <c r="G262" s="7" t="str">
        <f aca="false">IF(INDEX(MASTER_DATABASE!$A$4:$A$1000,ROW()-3)="","",INDEX(MASTER_DATABASE!$AL$4:$AL$1000,ROW()-3)&amp;"")</f>
        <v>Online Form &amp; Digital Services</v>
      </c>
      <c r="H262" s="7" t="str">
        <f aca="false">IF(INDEX(MASTER_DATABASE!$A$4:$A$1000,ROW()-3)="","",INDEX(MASTER_DATABASE!$AM$4:$AM$1000,ROW()-3)&amp;"")</f>
        <v>ID &amp; Document Services</v>
      </c>
      <c r="I262" s="7" t="str">
        <f aca="false">IF(INDEX(MASTER_DATABASE!$A$4:$A$1000,ROW()-3)="","",INDEX(MASTER_DATABASE!$AO$4:$AO$1000,ROW()-3)&amp;"")</f>
        <v>pan-correction-update</v>
      </c>
      <c r="J262" s="7" t="str">
        <f aca="false">IF(INDEX(MASTER_DATABASE!$A$4:$A$1000,ROW()-3)="","",INDEX(MASTER_DATABASE!$BD$4:$BD$1000,ROW()-3)&amp;"")</f>
        <v>/services/pan-correction-update</v>
      </c>
      <c r="K262" s="7" t="str">
        <f aca="false">IF(INDEX(MASTER_DATABASE!$A$4:$A$1000,ROW()-3)="","",INDEX(MASTER_DATABASE!$AX$4:$AX$1000,ROW()-3)&amp;"")</f>
        <v>PAN – Correction / Update Service | Devmobile Stores</v>
      </c>
      <c r="L262" s="7" t="str">
        <f aca="false">IF(INDEX(MASTER_DATABASE!$A$4:$A$1000,ROW()-3)="","",INDEX(MASTER_DATABASE!$AY$4:$AY$1000,ROW()-3)&amp;"")</f>
        <v>PAN – Correction / Update (पैन – सुधार / अपडेट) at Devmobile Stores and Common Service Center &amp; Aadhaar Centre. Check required documents, charges and process before you visit.</v>
      </c>
      <c r="M262" s="7" t="str">
        <f aca="false">IF(INDEX(MASTER_DATABASE!$A$4:$A$1000,ROW()-3)="","",INDEX(MASTER_DATABASE!$AN$4:$AN$1000,ROW()-3)&amp;"")</f>
        <v>PAN – Correction / Update, Online Form &amp; Digital Services, Devmobile Stores, पैन – सुधार / अपडेट, ऑनलाइन फॉर्म व डिजिटल सेवाएँ, सेवा</v>
      </c>
      <c r="N262" s="7" t="str">
        <f aca="false">IF(INDEX(MASTER_DATABASE!$A$4:$A$1000,ROW()-3)="","",INDEX(MASTER_DATABASE!$AZ$4:$AZ$1000,ROW()-3)&amp;"")</f>
        <v>पैन – सुधार / अपडेट, ऑनलाइन फॉर्म व डिजिटल सेवाएँ, सेवा</v>
      </c>
      <c r="O262" s="7" t="str">
        <f aca="false">IF(INDEX(MASTER_DATABASE!$A$4:$A$1000,ROW()-3)="","",INDEX(MASTER_DATABASE!$BA$4:$BA$1000,ROW()-3)&amp;"")</f>
        <v>PAN – Correction / Update, Online Form &amp; Digital Services, Devmobile Stores</v>
      </c>
      <c r="P262" s="11" t="str">
        <f aca="false">IF(INDEX(MASTER_DATABASE!$A$4:$A$1000,ROW()-3)="","",INDEX(MASTER_DATABASE!$AP$4:$AP$1000,ROW()-3)&amp;"")</f>
        <v>🆔</v>
      </c>
      <c r="Q262" s="7" t="str">
        <f aca="false">IF(INDEX(MASTER_DATABASE!$A$4:$A$1000,ROW()-3)="","",INDEX(MASTER_DATABASE!$BB$4:$BB$1000,ROW()-3)&amp;"")</f>
        <v/>
      </c>
      <c r="R262" s="11" t="str">
        <f aca="false">IF(INDEX(MASTER_DATABASE!$A$4:$A$1000,ROW()-3)="","",INDEX(MASTER_DATABASE!$BC$4:$BC$1000,ROW()-3)&amp;"")</f>
        <v>🌐</v>
      </c>
      <c r="S262" s="11" t="n">
        <f aca="false">IF(INDEX(MASTER_DATABASE!$A$4:$A$1000,ROW()-3)="","",INDEX(MASTER_DATABASE!$AQ$4:$AQ$1000,ROW()-3))</f>
        <v>310</v>
      </c>
      <c r="T262" s="7" t="str">
        <f aca="false">IF(INDEX(MASTER_DATABASE!$A$4:$A$1000,ROW()-3)="","",INDEX(MASTER_DATABASE!$I$4:$I$1000,ROW()-3)&amp;"")</f>
        <v>Available</v>
      </c>
      <c r="U262" s="7" t="str">
        <f aca="false">IF(INDEX(MASTER_DATABASE!$A$4:$A$1000,ROW()-3)="","",INDEX(MASTER_DATABASE!$J$4:$J$1000,ROW()-3)&amp;"")</f>
        <v>Available</v>
      </c>
      <c r="V262" s="7" t="str">
        <f aca="false">IF(INDEX(MASTER_DATABASE!$A$4:$A$1000,ROW()-3)="","",INDEX(MASTER_DATABASE!$AG$4:$AG$1000,ROW()-3)&amp;"")</f>
        <v>Active</v>
      </c>
      <c r="W262" s="7" t="str">
        <f aca="false">IF(INDEX(MASTER_DATABASE!$A$4:$A$1000,ROW()-3)="","",INDEX(MASTER_DATABASE!$AH$4:$AH$1000,ROW()-3)&amp;"")</f>
        <v>Yes</v>
      </c>
      <c r="X262" s="7" t="str">
        <f aca="false">IF(INDEX(MASTER_DATABASE!$A$4:$A$1000,ROW()-3)="","",INDEX(MASTER_DATABASE!$AI$4:$AI$1000,ROW()-3)&amp;"")</f>
        <v>No</v>
      </c>
      <c r="Y262" s="7" t="str">
        <f aca="false">IF(INDEX(MASTER_DATABASE!$A$4:$A$1000,ROW()-3)="","",INDEX(MASTER_DATABASE!$AJ$4:$AJ$1000,ROW()-3)&amp;"")</f>
        <v>No</v>
      </c>
      <c r="Z262" s="7" t="str">
        <f aca="false">IF(INDEX(MASTER_DATABASE!$A$4:$A$1000,ROW()-3)="","",INDEX(MASTER_DATABASE!$AK$4:$AK$1000,ROW()-3)&amp;"")</f>
        <v>No</v>
      </c>
      <c r="AA262" s="7" t="str">
        <f aca="false">IF(INDEX(MASTER_DATABASE!$A$4:$A$1000,ROW()-3)="","",INDEX(MASTER_DATABASE!$BE$4:$BE$1000,ROW()-3)&amp;"")</f>
        <v>LIVE</v>
      </c>
    </row>
    <row r="263" customFormat="false" ht="46.25" hidden="false" customHeight="false" outlineLevel="0" collapsed="false">
      <c r="A263" s="11" t="str">
        <f aca="false">IF(INDEX(MASTER_DATABASE!$A$4:$A$1000,ROW()-3)="","",INDEX(MASTER_DATABASE!$A$4:$A$1000,ROW()-3)&amp;"")</f>
        <v>ONL-032</v>
      </c>
      <c r="B263" s="7" t="str">
        <f aca="false">IF(INDEX(MASTER_DATABASE!$A$4:$A$1000,ROW()-3)="","",INDEX(MASTER_DATABASE!$B$4:$B$1000,ROW()-3)&amp;"")</f>
        <v>Online Form &amp; Digital Services</v>
      </c>
      <c r="C263" s="7" t="str">
        <f aca="false">IF(INDEX(MASTER_DATABASE!$A$4:$A$1000,ROW()-3)="","",INDEX(MASTER_DATABASE!$C$4:$C$1000,ROW()-3)&amp;"")</f>
        <v>Online &amp; Digital Services</v>
      </c>
      <c r="D263" s="7" t="str">
        <f aca="false">IF(INDEX(MASTER_DATABASE!$A$4:$A$1000,ROW()-3)="","",INDEX(MASTER_DATABASE!$D$4:$D$1000,ROW()-3)&amp;"")</f>
        <v>ID &amp; Document Services</v>
      </c>
      <c r="E263" s="7" t="str">
        <f aca="false">IF(INDEX(MASTER_DATABASE!$A$4:$A$1000,ROW()-3)="","",INDEX(MASTER_DATABASE!$E$4:$E$1000,ROW()-3)&amp;"")</f>
        <v>PAN – Reprint / e-PAN Download</v>
      </c>
      <c r="F263" s="7" t="str">
        <f aca="false">IF(INDEX(MASTER_DATABASE!$A$4:$A$1000,ROW()-3)="","",INDEX(MASTER_DATABASE!$F$4:$F$1000,ROW()-3)&amp;"")</f>
        <v>पैन – रीप्रिंट / e-PAN डाउनलोड</v>
      </c>
      <c r="G263" s="7" t="str">
        <f aca="false">IF(INDEX(MASTER_DATABASE!$A$4:$A$1000,ROW()-3)="","",INDEX(MASTER_DATABASE!$AL$4:$AL$1000,ROW()-3)&amp;"")</f>
        <v>Online Form &amp; Digital Services</v>
      </c>
      <c r="H263" s="7" t="str">
        <f aca="false">IF(INDEX(MASTER_DATABASE!$A$4:$A$1000,ROW()-3)="","",INDEX(MASTER_DATABASE!$AM$4:$AM$1000,ROW()-3)&amp;"")</f>
        <v>ID &amp; Document Services</v>
      </c>
      <c r="I263" s="7" t="str">
        <f aca="false">IF(INDEX(MASTER_DATABASE!$A$4:$A$1000,ROW()-3)="","",INDEX(MASTER_DATABASE!$AO$4:$AO$1000,ROW()-3)&amp;"")</f>
        <v>pan-reprint-e-pan-download</v>
      </c>
      <c r="J263" s="7" t="str">
        <f aca="false">IF(INDEX(MASTER_DATABASE!$A$4:$A$1000,ROW()-3)="","",INDEX(MASTER_DATABASE!$BD$4:$BD$1000,ROW()-3)&amp;"")</f>
        <v>/services/pan-reprint-e-pan-download</v>
      </c>
      <c r="K263" s="7" t="str">
        <f aca="false">IF(INDEX(MASTER_DATABASE!$A$4:$A$1000,ROW()-3)="","",INDEX(MASTER_DATABASE!$AX$4:$AX$1000,ROW()-3)&amp;"")</f>
        <v>PAN – Reprint / e-PAN Download Service | Devmobile Stores</v>
      </c>
      <c r="L263" s="7" t="str">
        <f aca="false">IF(INDEX(MASTER_DATABASE!$A$4:$A$1000,ROW()-3)="","",INDEX(MASTER_DATABASE!$AY$4:$AY$1000,ROW()-3)&amp;"")</f>
        <v>PAN – Reprint / e-PAN Download (पैन – रीप्रिंट / e-PAN डाउनलोड) at Devmobile Stores and Common Service Center &amp; Aadhaar Centre. Check required documents, charges and process before you visit.</v>
      </c>
      <c r="M263" s="7" t="str">
        <f aca="false">IF(INDEX(MASTER_DATABASE!$A$4:$A$1000,ROW()-3)="","",INDEX(MASTER_DATABASE!$AN$4:$AN$1000,ROW()-3)&amp;"")</f>
        <v>PAN – Reprint / e-PAN Download, Online Form &amp; Digital Services, Devmobile Stores, पैन – रीप्रिंट / e-PAN डाउनलोड, ऑनलाइन फॉर्म व डिजिटल सेवाएँ, सेवा</v>
      </c>
      <c r="N263" s="7" t="str">
        <f aca="false">IF(INDEX(MASTER_DATABASE!$A$4:$A$1000,ROW()-3)="","",INDEX(MASTER_DATABASE!$AZ$4:$AZ$1000,ROW()-3)&amp;"")</f>
        <v>पैन – रीप्रिंट / e-PAN डाउनलोड, ऑनलाइन फॉर्म व डिजिटल सेवाएँ, सेवा</v>
      </c>
      <c r="O263" s="7" t="str">
        <f aca="false">IF(INDEX(MASTER_DATABASE!$A$4:$A$1000,ROW()-3)="","",INDEX(MASTER_DATABASE!$BA$4:$BA$1000,ROW()-3)&amp;"")</f>
        <v>PAN – Reprint / e-PAN Download, Online Form &amp; Digital Services, Devmobile Stores</v>
      </c>
      <c r="P263" s="11" t="str">
        <f aca="false">IF(INDEX(MASTER_DATABASE!$A$4:$A$1000,ROW()-3)="","",INDEX(MASTER_DATABASE!$AP$4:$AP$1000,ROW()-3)&amp;"")</f>
        <v>🆔</v>
      </c>
      <c r="Q263" s="7" t="str">
        <f aca="false">IF(INDEX(MASTER_DATABASE!$A$4:$A$1000,ROW()-3)="","",INDEX(MASTER_DATABASE!$BB$4:$BB$1000,ROW()-3)&amp;"")</f>
        <v/>
      </c>
      <c r="R263" s="11" t="str">
        <f aca="false">IF(INDEX(MASTER_DATABASE!$A$4:$A$1000,ROW()-3)="","",INDEX(MASTER_DATABASE!$BC$4:$BC$1000,ROW()-3)&amp;"")</f>
        <v>🌐</v>
      </c>
      <c r="S263" s="11" t="n">
        <f aca="false">IF(INDEX(MASTER_DATABASE!$A$4:$A$1000,ROW()-3)="","",INDEX(MASTER_DATABASE!$AQ$4:$AQ$1000,ROW()-3))</f>
        <v>320</v>
      </c>
      <c r="T263" s="7" t="str">
        <f aca="false">IF(INDEX(MASTER_DATABASE!$A$4:$A$1000,ROW()-3)="","",INDEX(MASTER_DATABASE!$I$4:$I$1000,ROW()-3)&amp;"")</f>
        <v>Portal Dependent</v>
      </c>
      <c r="U263" s="7" t="str">
        <f aca="false">IF(INDEX(MASTER_DATABASE!$A$4:$A$1000,ROW()-3)="","",INDEX(MASTER_DATABASE!$J$4:$J$1000,ROW()-3)&amp;"")</f>
        <v>Depends on Portal – Confirm at Shop</v>
      </c>
      <c r="V263" s="7" t="str">
        <f aca="false">IF(INDEX(MASTER_DATABASE!$A$4:$A$1000,ROW()-3)="","",INDEX(MASTER_DATABASE!$AG$4:$AG$1000,ROW()-3)&amp;"")</f>
        <v>To Verify</v>
      </c>
      <c r="W263" s="7" t="str">
        <f aca="false">IF(INDEX(MASTER_DATABASE!$A$4:$A$1000,ROW()-3)="","",INDEX(MASTER_DATABASE!$AH$4:$AH$1000,ROW()-3)&amp;"")</f>
        <v>No</v>
      </c>
      <c r="X263" s="7" t="str">
        <f aca="false">IF(INDEX(MASTER_DATABASE!$A$4:$A$1000,ROW()-3)="","",INDEX(MASTER_DATABASE!$AI$4:$AI$1000,ROW()-3)&amp;"")</f>
        <v>No</v>
      </c>
      <c r="Y263" s="7" t="str">
        <f aca="false">IF(INDEX(MASTER_DATABASE!$A$4:$A$1000,ROW()-3)="","",INDEX(MASTER_DATABASE!$AJ$4:$AJ$1000,ROW()-3)&amp;"")</f>
        <v>No</v>
      </c>
      <c r="Z263" s="7" t="str">
        <f aca="false">IF(INDEX(MASTER_DATABASE!$A$4:$A$1000,ROW()-3)="","",INDEX(MASTER_DATABASE!$AK$4:$AK$1000,ROW()-3)&amp;"")</f>
        <v>No</v>
      </c>
      <c r="AA263" s="7" t="str">
        <f aca="false">IF(INDEX(MASTER_DATABASE!$A$4:$A$1000,ROW()-3)="","",INDEX(MASTER_DATABASE!$BE$4:$BE$1000,ROW()-3)&amp;"")</f>
        <v>HIDDEN</v>
      </c>
    </row>
    <row r="264" customFormat="false" ht="46.25" hidden="false" customHeight="false" outlineLevel="0" collapsed="false">
      <c r="A264" s="11" t="str">
        <f aca="false">IF(INDEX(MASTER_DATABASE!$A$4:$A$1000,ROW()-3)="","",INDEX(MASTER_DATABASE!$A$4:$A$1000,ROW()-3)&amp;"")</f>
        <v>ONL-033</v>
      </c>
      <c r="B264" s="7" t="str">
        <f aca="false">IF(INDEX(MASTER_DATABASE!$A$4:$A$1000,ROW()-3)="","",INDEX(MASTER_DATABASE!$B$4:$B$1000,ROW()-3)&amp;"")</f>
        <v>Online Form &amp; Digital Services</v>
      </c>
      <c r="C264" s="7" t="str">
        <f aca="false">IF(INDEX(MASTER_DATABASE!$A$4:$A$1000,ROW()-3)="","",INDEX(MASTER_DATABASE!$C$4:$C$1000,ROW()-3)&amp;"")</f>
        <v>Online &amp; Digital Services</v>
      </c>
      <c r="D264" s="7" t="str">
        <f aca="false">IF(INDEX(MASTER_DATABASE!$A$4:$A$1000,ROW()-3)="","",INDEX(MASTER_DATABASE!$D$4:$D$1000,ROW()-3)&amp;"")</f>
        <v>ID &amp; Document Services</v>
      </c>
      <c r="E264" s="7" t="str">
        <f aca="false">IF(INDEX(MASTER_DATABASE!$A$4:$A$1000,ROW()-3)="","",INDEX(MASTER_DATABASE!$E$4:$E$1000,ROW()-3)&amp;"")</f>
        <v>PAN – Status Check</v>
      </c>
      <c r="F264" s="7" t="str">
        <f aca="false">IF(INDEX(MASTER_DATABASE!$A$4:$A$1000,ROW()-3)="","",INDEX(MASTER_DATABASE!$F$4:$F$1000,ROW()-3)&amp;"")</f>
        <v>पैन – स्थिति जाँच</v>
      </c>
      <c r="G264" s="7" t="str">
        <f aca="false">IF(INDEX(MASTER_DATABASE!$A$4:$A$1000,ROW()-3)="","",INDEX(MASTER_DATABASE!$AL$4:$AL$1000,ROW()-3)&amp;"")</f>
        <v>Online Form &amp; Digital Services</v>
      </c>
      <c r="H264" s="7" t="str">
        <f aca="false">IF(INDEX(MASTER_DATABASE!$A$4:$A$1000,ROW()-3)="","",INDEX(MASTER_DATABASE!$AM$4:$AM$1000,ROW()-3)&amp;"")</f>
        <v>ID &amp; Document Services</v>
      </c>
      <c r="I264" s="7" t="str">
        <f aca="false">IF(INDEX(MASTER_DATABASE!$A$4:$A$1000,ROW()-3)="","",INDEX(MASTER_DATABASE!$AO$4:$AO$1000,ROW()-3)&amp;"")</f>
        <v>pan-status-check</v>
      </c>
      <c r="J264" s="7" t="str">
        <f aca="false">IF(INDEX(MASTER_DATABASE!$A$4:$A$1000,ROW()-3)="","",INDEX(MASTER_DATABASE!$BD$4:$BD$1000,ROW()-3)&amp;"")</f>
        <v>/services/pan-status-check</v>
      </c>
      <c r="K264" s="7" t="str">
        <f aca="false">IF(INDEX(MASTER_DATABASE!$A$4:$A$1000,ROW()-3)="","",INDEX(MASTER_DATABASE!$AX$4:$AX$1000,ROW()-3)&amp;"")</f>
        <v>PAN – Status Check Service | Devmobile Stores</v>
      </c>
      <c r="L264" s="7" t="str">
        <f aca="false">IF(INDEX(MASTER_DATABASE!$A$4:$A$1000,ROW()-3)="","",INDEX(MASTER_DATABASE!$AY$4:$AY$1000,ROW()-3)&amp;"")</f>
        <v>PAN – Status Check (पैन – स्थिति जाँच) at Devmobile Stores and Common Service Center &amp; Aadhaar Centre. Check required documents, charges and process before you visit.</v>
      </c>
      <c r="M264" s="7" t="str">
        <f aca="false">IF(INDEX(MASTER_DATABASE!$A$4:$A$1000,ROW()-3)="","",INDEX(MASTER_DATABASE!$AN$4:$AN$1000,ROW()-3)&amp;"")</f>
        <v>PAN – Status Check, Online Form &amp; Digital Services, Devmobile Stores, पैन – स्थिति जाँच, ऑनलाइन फॉर्म व डिजिटल सेवाएँ, सेवा</v>
      </c>
      <c r="N264" s="7" t="str">
        <f aca="false">IF(INDEX(MASTER_DATABASE!$A$4:$A$1000,ROW()-3)="","",INDEX(MASTER_DATABASE!$AZ$4:$AZ$1000,ROW()-3)&amp;"")</f>
        <v>पैन – स्थिति जाँच, ऑनलाइन फॉर्म व डिजिटल सेवाएँ, सेवा</v>
      </c>
      <c r="O264" s="7" t="str">
        <f aca="false">IF(INDEX(MASTER_DATABASE!$A$4:$A$1000,ROW()-3)="","",INDEX(MASTER_DATABASE!$BA$4:$BA$1000,ROW()-3)&amp;"")</f>
        <v>PAN – Status Check, Online Form &amp; Digital Services, Devmobile Stores</v>
      </c>
      <c r="P264" s="11" t="str">
        <f aca="false">IF(INDEX(MASTER_DATABASE!$A$4:$A$1000,ROW()-3)="","",INDEX(MASTER_DATABASE!$AP$4:$AP$1000,ROW()-3)&amp;"")</f>
        <v>🆔</v>
      </c>
      <c r="Q264" s="7" t="str">
        <f aca="false">IF(INDEX(MASTER_DATABASE!$A$4:$A$1000,ROW()-3)="","",INDEX(MASTER_DATABASE!$BB$4:$BB$1000,ROW()-3)&amp;"")</f>
        <v/>
      </c>
      <c r="R264" s="11" t="str">
        <f aca="false">IF(INDEX(MASTER_DATABASE!$A$4:$A$1000,ROW()-3)="","",INDEX(MASTER_DATABASE!$BC$4:$BC$1000,ROW()-3)&amp;"")</f>
        <v>🌐</v>
      </c>
      <c r="S264" s="11" t="n">
        <f aca="false">IF(INDEX(MASTER_DATABASE!$A$4:$A$1000,ROW()-3)="","",INDEX(MASTER_DATABASE!$AQ$4:$AQ$1000,ROW()-3))</f>
        <v>330</v>
      </c>
      <c r="T264" s="7" t="str">
        <f aca="false">IF(INDEX(MASTER_DATABASE!$A$4:$A$1000,ROW()-3)="","",INDEX(MASTER_DATABASE!$I$4:$I$1000,ROW()-3)&amp;"")</f>
        <v>Portal Dependent</v>
      </c>
      <c r="U264" s="7" t="str">
        <f aca="false">IF(INDEX(MASTER_DATABASE!$A$4:$A$1000,ROW()-3)="","",INDEX(MASTER_DATABASE!$J$4:$J$1000,ROW()-3)&amp;"")</f>
        <v>Depends on Portal – Confirm at Shop</v>
      </c>
      <c r="V264" s="7" t="str">
        <f aca="false">IF(INDEX(MASTER_DATABASE!$A$4:$A$1000,ROW()-3)="","",INDEX(MASTER_DATABASE!$AG$4:$AG$1000,ROW()-3)&amp;"")</f>
        <v>To Verify</v>
      </c>
      <c r="W264" s="7" t="str">
        <f aca="false">IF(INDEX(MASTER_DATABASE!$A$4:$A$1000,ROW()-3)="","",INDEX(MASTER_DATABASE!$AH$4:$AH$1000,ROW()-3)&amp;"")</f>
        <v>No</v>
      </c>
      <c r="X264" s="7" t="str">
        <f aca="false">IF(INDEX(MASTER_DATABASE!$A$4:$A$1000,ROW()-3)="","",INDEX(MASTER_DATABASE!$AI$4:$AI$1000,ROW()-3)&amp;"")</f>
        <v>No</v>
      </c>
      <c r="Y264" s="7" t="str">
        <f aca="false">IF(INDEX(MASTER_DATABASE!$A$4:$A$1000,ROW()-3)="","",INDEX(MASTER_DATABASE!$AJ$4:$AJ$1000,ROW()-3)&amp;"")</f>
        <v>No</v>
      </c>
      <c r="Z264" s="7" t="str">
        <f aca="false">IF(INDEX(MASTER_DATABASE!$A$4:$A$1000,ROW()-3)="","",INDEX(MASTER_DATABASE!$AK$4:$AK$1000,ROW()-3)&amp;"")</f>
        <v>No</v>
      </c>
      <c r="AA264" s="7" t="str">
        <f aca="false">IF(INDEX(MASTER_DATABASE!$A$4:$A$1000,ROW()-3)="","",INDEX(MASTER_DATABASE!$BE$4:$BE$1000,ROW()-3)&amp;"")</f>
        <v>HIDDEN</v>
      </c>
    </row>
    <row r="265" customFormat="false" ht="46.25" hidden="false" customHeight="false" outlineLevel="0" collapsed="false">
      <c r="A265" s="11" t="str">
        <f aca="false">IF(INDEX(MASTER_DATABASE!$A$4:$A$1000,ROW()-3)="","",INDEX(MASTER_DATABASE!$A$4:$A$1000,ROW()-3)&amp;"")</f>
        <v>ONL-034</v>
      </c>
      <c r="B265" s="7" t="str">
        <f aca="false">IF(INDEX(MASTER_DATABASE!$A$4:$A$1000,ROW()-3)="","",INDEX(MASTER_DATABASE!$B$4:$B$1000,ROW()-3)&amp;"")</f>
        <v>Online Form &amp; Digital Services</v>
      </c>
      <c r="C265" s="7" t="str">
        <f aca="false">IF(INDEX(MASTER_DATABASE!$A$4:$A$1000,ROW()-3)="","",INDEX(MASTER_DATABASE!$C$4:$C$1000,ROW()-3)&amp;"")</f>
        <v>Online &amp; Digital Services</v>
      </c>
      <c r="D265" s="7" t="str">
        <f aca="false">IF(INDEX(MASTER_DATABASE!$A$4:$A$1000,ROW()-3)="","",INDEX(MASTER_DATABASE!$D$4:$D$1000,ROW()-3)&amp;"")</f>
        <v>ID &amp; Document Services</v>
      </c>
      <c r="E265" s="7" t="str">
        <f aca="false">IF(INDEX(MASTER_DATABASE!$A$4:$A$1000,ROW()-3)="","",INDEX(MASTER_DATABASE!$E$4:$E$1000,ROW()-3)&amp;"")</f>
        <v>PAN–Aadhaar Link Assistance</v>
      </c>
      <c r="F265" s="7" t="str">
        <f aca="false">IF(INDEX(MASTER_DATABASE!$A$4:$A$1000,ROW()-3)="","",INDEX(MASTER_DATABASE!$F$4:$F$1000,ROW()-3)&amp;"")</f>
        <v>पैन–आधार लिंक सहायता</v>
      </c>
      <c r="G265" s="7" t="str">
        <f aca="false">IF(INDEX(MASTER_DATABASE!$A$4:$A$1000,ROW()-3)="","",INDEX(MASTER_DATABASE!$AL$4:$AL$1000,ROW()-3)&amp;"")</f>
        <v>Online Form &amp; Digital Services</v>
      </c>
      <c r="H265" s="7" t="str">
        <f aca="false">IF(INDEX(MASTER_DATABASE!$A$4:$A$1000,ROW()-3)="","",INDEX(MASTER_DATABASE!$AM$4:$AM$1000,ROW()-3)&amp;"")</f>
        <v>ID &amp; Document Services</v>
      </c>
      <c r="I265" s="7" t="str">
        <f aca="false">IF(INDEX(MASTER_DATABASE!$A$4:$A$1000,ROW()-3)="","",INDEX(MASTER_DATABASE!$AO$4:$AO$1000,ROW()-3)&amp;"")</f>
        <v>pan-aadhaar-link-assistance</v>
      </c>
      <c r="J265" s="7" t="str">
        <f aca="false">IF(INDEX(MASTER_DATABASE!$A$4:$A$1000,ROW()-3)="","",INDEX(MASTER_DATABASE!$BD$4:$BD$1000,ROW()-3)&amp;"")</f>
        <v>/services/pan-aadhaar-link-assistance</v>
      </c>
      <c r="K265" s="7" t="str">
        <f aca="false">IF(INDEX(MASTER_DATABASE!$A$4:$A$1000,ROW()-3)="","",INDEX(MASTER_DATABASE!$AX$4:$AX$1000,ROW()-3)&amp;"")</f>
        <v>PAN–Aadhaar Link Assistance Service | Devmobile Stores</v>
      </c>
      <c r="L265" s="7" t="str">
        <f aca="false">IF(INDEX(MASTER_DATABASE!$A$4:$A$1000,ROW()-3)="","",INDEX(MASTER_DATABASE!$AY$4:$AY$1000,ROW()-3)&amp;"")</f>
        <v>PAN–Aadhaar Link Assistance (पैन–आधार लिंक सहायता) at Devmobile Stores and Common Service Center &amp; Aadhaar Centre. Check required documents, charges and process before you visit.</v>
      </c>
      <c r="M265" s="7" t="str">
        <f aca="false">IF(INDEX(MASTER_DATABASE!$A$4:$A$1000,ROW()-3)="","",INDEX(MASTER_DATABASE!$AN$4:$AN$1000,ROW()-3)&amp;"")</f>
        <v>PAN–Aadhaar Link Assistance, Online Form &amp; Digital Services, Devmobile Stores, पैन–आधार लिंक सहायता, ऑनलाइन फॉर्म व डिजिटल सेवाएँ, सेवा</v>
      </c>
      <c r="N265" s="7" t="str">
        <f aca="false">IF(INDEX(MASTER_DATABASE!$A$4:$A$1000,ROW()-3)="","",INDEX(MASTER_DATABASE!$AZ$4:$AZ$1000,ROW()-3)&amp;"")</f>
        <v>पैन–आधार लिंक सहायता, ऑनलाइन फॉर्म व डिजिटल सेवाएँ, सेवा</v>
      </c>
      <c r="O265" s="7" t="str">
        <f aca="false">IF(INDEX(MASTER_DATABASE!$A$4:$A$1000,ROW()-3)="","",INDEX(MASTER_DATABASE!$BA$4:$BA$1000,ROW()-3)&amp;"")</f>
        <v>PAN–Aadhaar Link Assistance, Online Form &amp; Digital Services, Devmobile Stores</v>
      </c>
      <c r="P265" s="11" t="str">
        <f aca="false">IF(INDEX(MASTER_DATABASE!$A$4:$A$1000,ROW()-3)="","",INDEX(MASTER_DATABASE!$AP$4:$AP$1000,ROW()-3)&amp;"")</f>
        <v>🆔</v>
      </c>
      <c r="Q265" s="7" t="str">
        <f aca="false">IF(INDEX(MASTER_DATABASE!$A$4:$A$1000,ROW()-3)="","",INDEX(MASTER_DATABASE!$BB$4:$BB$1000,ROW()-3)&amp;"")</f>
        <v/>
      </c>
      <c r="R265" s="11" t="str">
        <f aca="false">IF(INDEX(MASTER_DATABASE!$A$4:$A$1000,ROW()-3)="","",INDEX(MASTER_DATABASE!$BC$4:$BC$1000,ROW()-3)&amp;"")</f>
        <v>🌐</v>
      </c>
      <c r="S265" s="11" t="n">
        <f aca="false">IF(INDEX(MASTER_DATABASE!$A$4:$A$1000,ROW()-3)="","",INDEX(MASTER_DATABASE!$AQ$4:$AQ$1000,ROW()-3))</f>
        <v>340</v>
      </c>
      <c r="T265" s="7" t="str">
        <f aca="false">IF(INDEX(MASTER_DATABASE!$A$4:$A$1000,ROW()-3)="","",INDEX(MASTER_DATABASE!$I$4:$I$1000,ROW()-3)&amp;"")</f>
        <v>Portal Dependent</v>
      </c>
      <c r="U265" s="7" t="str">
        <f aca="false">IF(INDEX(MASTER_DATABASE!$A$4:$A$1000,ROW()-3)="","",INDEX(MASTER_DATABASE!$J$4:$J$1000,ROW()-3)&amp;"")</f>
        <v>Depends on Portal – Confirm at Shop</v>
      </c>
      <c r="V265" s="7" t="str">
        <f aca="false">IF(INDEX(MASTER_DATABASE!$A$4:$A$1000,ROW()-3)="","",INDEX(MASTER_DATABASE!$AG$4:$AG$1000,ROW()-3)&amp;"")</f>
        <v>To Verify</v>
      </c>
      <c r="W265" s="7" t="str">
        <f aca="false">IF(INDEX(MASTER_DATABASE!$A$4:$A$1000,ROW()-3)="","",INDEX(MASTER_DATABASE!$AH$4:$AH$1000,ROW()-3)&amp;"")</f>
        <v>No</v>
      </c>
      <c r="X265" s="7" t="str">
        <f aca="false">IF(INDEX(MASTER_DATABASE!$A$4:$A$1000,ROW()-3)="","",INDEX(MASTER_DATABASE!$AI$4:$AI$1000,ROW()-3)&amp;"")</f>
        <v>No</v>
      </c>
      <c r="Y265" s="7" t="str">
        <f aca="false">IF(INDEX(MASTER_DATABASE!$A$4:$A$1000,ROW()-3)="","",INDEX(MASTER_DATABASE!$AJ$4:$AJ$1000,ROW()-3)&amp;"")</f>
        <v>No</v>
      </c>
      <c r="Z265" s="7" t="str">
        <f aca="false">IF(INDEX(MASTER_DATABASE!$A$4:$A$1000,ROW()-3)="","",INDEX(MASTER_DATABASE!$AK$4:$AK$1000,ROW()-3)&amp;"")</f>
        <v>No</v>
      </c>
      <c r="AA265" s="7" t="str">
        <f aca="false">IF(INDEX(MASTER_DATABASE!$A$4:$A$1000,ROW()-3)="","",INDEX(MASTER_DATABASE!$BE$4:$BE$1000,ROW()-3)&amp;"")</f>
        <v>HIDDEN</v>
      </c>
    </row>
    <row r="266" customFormat="false" ht="46.25" hidden="false" customHeight="false" outlineLevel="0" collapsed="false">
      <c r="A266" s="11" t="str">
        <f aca="false">IF(INDEX(MASTER_DATABASE!$A$4:$A$1000,ROW()-3)="","",INDEX(MASTER_DATABASE!$A$4:$A$1000,ROW()-3)&amp;"")</f>
        <v>ONL-035</v>
      </c>
      <c r="B266" s="7" t="str">
        <f aca="false">IF(INDEX(MASTER_DATABASE!$A$4:$A$1000,ROW()-3)="","",INDEX(MASTER_DATABASE!$B$4:$B$1000,ROW()-3)&amp;"")</f>
        <v>Online Form &amp; Digital Services</v>
      </c>
      <c r="C266" s="7" t="str">
        <f aca="false">IF(INDEX(MASTER_DATABASE!$A$4:$A$1000,ROW()-3)="","",INDEX(MASTER_DATABASE!$C$4:$C$1000,ROW()-3)&amp;"")</f>
        <v>Online &amp; Digital Services</v>
      </c>
      <c r="D266" s="7" t="str">
        <f aca="false">IF(INDEX(MASTER_DATABASE!$A$4:$A$1000,ROW()-3)="","",INDEX(MASTER_DATABASE!$D$4:$D$1000,ROW()-3)&amp;"")</f>
        <v>ID &amp; Document Services</v>
      </c>
      <c r="E266" s="7" t="str">
        <f aca="false">IF(INDEX(MASTER_DATABASE!$A$4:$A$1000,ROW()-3)="","",INDEX(MASTER_DATABASE!$E$4:$E$1000,ROW()-3)&amp;"")</f>
        <v>Voter ID – New Registration (Form 6)</v>
      </c>
      <c r="F266" s="7" t="str">
        <f aca="false">IF(INDEX(MASTER_DATABASE!$A$4:$A$1000,ROW()-3)="","",INDEX(MASTER_DATABASE!$F$4:$F$1000,ROW()-3)&amp;"")</f>
        <v>वोटर आईडी – नया पंजीकरण (फॉर्म 6)</v>
      </c>
      <c r="G266" s="7" t="str">
        <f aca="false">IF(INDEX(MASTER_DATABASE!$A$4:$A$1000,ROW()-3)="","",INDEX(MASTER_DATABASE!$AL$4:$AL$1000,ROW()-3)&amp;"")</f>
        <v>Online Form &amp; Digital Services</v>
      </c>
      <c r="H266" s="7" t="str">
        <f aca="false">IF(INDEX(MASTER_DATABASE!$A$4:$A$1000,ROW()-3)="","",INDEX(MASTER_DATABASE!$AM$4:$AM$1000,ROW()-3)&amp;"")</f>
        <v>ID &amp; Document Services</v>
      </c>
      <c r="I266" s="7" t="str">
        <f aca="false">IF(INDEX(MASTER_DATABASE!$A$4:$A$1000,ROW()-3)="","",INDEX(MASTER_DATABASE!$AO$4:$AO$1000,ROW()-3)&amp;"")</f>
        <v>voter-id-new-registration-form-6</v>
      </c>
      <c r="J266" s="7" t="str">
        <f aca="false">IF(INDEX(MASTER_DATABASE!$A$4:$A$1000,ROW()-3)="","",INDEX(MASTER_DATABASE!$BD$4:$BD$1000,ROW()-3)&amp;"")</f>
        <v>/services/voter-id-new-registration-form-6</v>
      </c>
      <c r="K266" s="7" t="str">
        <f aca="false">IF(INDEX(MASTER_DATABASE!$A$4:$A$1000,ROW()-3)="","",INDEX(MASTER_DATABASE!$AX$4:$AX$1000,ROW()-3)&amp;"")</f>
        <v>Voter ID – New Registration (Form 6) Service | Devmobile Stores</v>
      </c>
      <c r="L266" s="7" t="str">
        <f aca="false">IF(INDEX(MASTER_DATABASE!$A$4:$A$1000,ROW()-3)="","",INDEX(MASTER_DATABASE!$AY$4:$AY$1000,ROW()-3)&amp;"")</f>
        <v>Voter ID – New Registration (Form 6) (वोटर आईडी – नया पंजीकरण (फॉर्म 6)) at Devmobile Stores and Common Service Center &amp; Aadhaar Centre. Check required documents, charges and process before you visit.</v>
      </c>
      <c r="M266" s="7" t="str">
        <f aca="false">IF(INDEX(MASTER_DATABASE!$A$4:$A$1000,ROW()-3)="","",INDEX(MASTER_DATABASE!$AN$4:$AN$1000,ROW()-3)&amp;"")</f>
        <v>Voter ID – New Registration (Form 6), Online Form &amp; Digital Services, Devmobile Stores, वोटर आईडी – नया पंजीकरण (फॉर्म 6), ऑनलाइन फॉर्म व डिजिटल सेवाएँ, सेवा</v>
      </c>
      <c r="N266" s="7" t="str">
        <f aca="false">IF(INDEX(MASTER_DATABASE!$A$4:$A$1000,ROW()-3)="","",INDEX(MASTER_DATABASE!$AZ$4:$AZ$1000,ROW()-3)&amp;"")</f>
        <v>वोटर आईडी – नया पंजीकरण (फॉर्म 6), ऑनलाइन फॉर्म व डिजिटल सेवाएँ, सेवा</v>
      </c>
      <c r="O266" s="7" t="str">
        <f aca="false">IF(INDEX(MASTER_DATABASE!$A$4:$A$1000,ROW()-3)="","",INDEX(MASTER_DATABASE!$BA$4:$BA$1000,ROW()-3)&amp;"")</f>
        <v>Voter ID – New Registration (Form 6), Online Form &amp; Digital Services, Devmobile Stores</v>
      </c>
      <c r="P266" s="11" t="str">
        <f aca="false">IF(INDEX(MASTER_DATABASE!$A$4:$A$1000,ROW()-3)="","",INDEX(MASTER_DATABASE!$AP$4:$AP$1000,ROW()-3)&amp;"")</f>
        <v>🆔</v>
      </c>
      <c r="Q266" s="7" t="str">
        <f aca="false">IF(INDEX(MASTER_DATABASE!$A$4:$A$1000,ROW()-3)="","",INDEX(MASTER_DATABASE!$BB$4:$BB$1000,ROW()-3)&amp;"")</f>
        <v/>
      </c>
      <c r="R266" s="11" t="str">
        <f aca="false">IF(INDEX(MASTER_DATABASE!$A$4:$A$1000,ROW()-3)="","",INDEX(MASTER_DATABASE!$BC$4:$BC$1000,ROW()-3)&amp;"")</f>
        <v>🌐</v>
      </c>
      <c r="S266" s="11" t="n">
        <f aca="false">IF(INDEX(MASTER_DATABASE!$A$4:$A$1000,ROW()-3)="","",INDEX(MASTER_DATABASE!$AQ$4:$AQ$1000,ROW()-3))</f>
        <v>350</v>
      </c>
      <c r="T266" s="7" t="str">
        <f aca="false">IF(INDEX(MASTER_DATABASE!$A$4:$A$1000,ROW()-3)="","",INDEX(MASTER_DATABASE!$I$4:$I$1000,ROW()-3)&amp;"")</f>
        <v>Portal Dependent</v>
      </c>
      <c r="U266" s="7" t="str">
        <f aca="false">IF(INDEX(MASTER_DATABASE!$A$4:$A$1000,ROW()-3)="","",INDEX(MASTER_DATABASE!$J$4:$J$1000,ROW()-3)&amp;"")</f>
        <v>Depends on Portal – Confirm at Shop</v>
      </c>
      <c r="V266" s="7" t="str">
        <f aca="false">IF(INDEX(MASTER_DATABASE!$A$4:$A$1000,ROW()-3)="","",INDEX(MASTER_DATABASE!$AG$4:$AG$1000,ROW()-3)&amp;"")</f>
        <v>To Verify</v>
      </c>
      <c r="W266" s="7" t="str">
        <f aca="false">IF(INDEX(MASTER_DATABASE!$A$4:$A$1000,ROW()-3)="","",INDEX(MASTER_DATABASE!$AH$4:$AH$1000,ROW()-3)&amp;"")</f>
        <v>No</v>
      </c>
      <c r="X266" s="7" t="str">
        <f aca="false">IF(INDEX(MASTER_DATABASE!$A$4:$A$1000,ROW()-3)="","",INDEX(MASTER_DATABASE!$AI$4:$AI$1000,ROW()-3)&amp;"")</f>
        <v>No</v>
      </c>
      <c r="Y266" s="7" t="str">
        <f aca="false">IF(INDEX(MASTER_DATABASE!$A$4:$A$1000,ROW()-3)="","",INDEX(MASTER_DATABASE!$AJ$4:$AJ$1000,ROW()-3)&amp;"")</f>
        <v>No</v>
      </c>
      <c r="Z266" s="7" t="str">
        <f aca="false">IF(INDEX(MASTER_DATABASE!$A$4:$A$1000,ROW()-3)="","",INDEX(MASTER_DATABASE!$AK$4:$AK$1000,ROW()-3)&amp;"")</f>
        <v>No</v>
      </c>
      <c r="AA266" s="7" t="str">
        <f aca="false">IF(INDEX(MASTER_DATABASE!$A$4:$A$1000,ROW()-3)="","",INDEX(MASTER_DATABASE!$BE$4:$BE$1000,ROW()-3)&amp;"")</f>
        <v>HIDDEN</v>
      </c>
    </row>
    <row r="267" customFormat="false" ht="46.25" hidden="false" customHeight="false" outlineLevel="0" collapsed="false">
      <c r="A267" s="11" t="str">
        <f aca="false">IF(INDEX(MASTER_DATABASE!$A$4:$A$1000,ROW()-3)="","",INDEX(MASTER_DATABASE!$A$4:$A$1000,ROW()-3)&amp;"")</f>
        <v>ONL-036</v>
      </c>
      <c r="B267" s="7" t="str">
        <f aca="false">IF(INDEX(MASTER_DATABASE!$A$4:$A$1000,ROW()-3)="","",INDEX(MASTER_DATABASE!$B$4:$B$1000,ROW()-3)&amp;"")</f>
        <v>Online Form &amp; Digital Services</v>
      </c>
      <c r="C267" s="7" t="str">
        <f aca="false">IF(INDEX(MASTER_DATABASE!$A$4:$A$1000,ROW()-3)="","",INDEX(MASTER_DATABASE!$C$4:$C$1000,ROW()-3)&amp;"")</f>
        <v>Online &amp; Digital Services</v>
      </c>
      <c r="D267" s="7" t="str">
        <f aca="false">IF(INDEX(MASTER_DATABASE!$A$4:$A$1000,ROW()-3)="","",INDEX(MASTER_DATABASE!$D$4:$D$1000,ROW()-3)&amp;"")</f>
        <v>ID &amp; Document Services</v>
      </c>
      <c r="E267" s="7" t="str">
        <f aca="false">IF(INDEX(MASTER_DATABASE!$A$4:$A$1000,ROW()-3)="","",INDEX(MASTER_DATABASE!$E$4:$E$1000,ROW()-3)&amp;"")</f>
        <v>Voter ID – Correction (Form 8)</v>
      </c>
      <c r="F267" s="7" t="str">
        <f aca="false">IF(INDEX(MASTER_DATABASE!$A$4:$A$1000,ROW()-3)="","",INDEX(MASTER_DATABASE!$F$4:$F$1000,ROW()-3)&amp;"")</f>
        <v>वोटर आईडी – सुधार (फॉर्म 8)</v>
      </c>
      <c r="G267" s="7" t="str">
        <f aca="false">IF(INDEX(MASTER_DATABASE!$A$4:$A$1000,ROW()-3)="","",INDEX(MASTER_DATABASE!$AL$4:$AL$1000,ROW()-3)&amp;"")</f>
        <v>Online Form &amp; Digital Services</v>
      </c>
      <c r="H267" s="7" t="str">
        <f aca="false">IF(INDEX(MASTER_DATABASE!$A$4:$A$1000,ROW()-3)="","",INDEX(MASTER_DATABASE!$AM$4:$AM$1000,ROW()-3)&amp;"")</f>
        <v>ID &amp; Document Services</v>
      </c>
      <c r="I267" s="7" t="str">
        <f aca="false">IF(INDEX(MASTER_DATABASE!$A$4:$A$1000,ROW()-3)="","",INDEX(MASTER_DATABASE!$AO$4:$AO$1000,ROW()-3)&amp;"")</f>
        <v>voter-id-correction-form-8</v>
      </c>
      <c r="J267" s="7" t="str">
        <f aca="false">IF(INDEX(MASTER_DATABASE!$A$4:$A$1000,ROW()-3)="","",INDEX(MASTER_DATABASE!$BD$4:$BD$1000,ROW()-3)&amp;"")</f>
        <v>/services/voter-id-correction-form-8</v>
      </c>
      <c r="K267" s="7" t="str">
        <f aca="false">IF(INDEX(MASTER_DATABASE!$A$4:$A$1000,ROW()-3)="","",INDEX(MASTER_DATABASE!$AX$4:$AX$1000,ROW()-3)&amp;"")</f>
        <v>Voter ID – Correction (Form 8) Service | Devmobile Stores</v>
      </c>
      <c r="L267" s="7" t="str">
        <f aca="false">IF(INDEX(MASTER_DATABASE!$A$4:$A$1000,ROW()-3)="","",INDEX(MASTER_DATABASE!$AY$4:$AY$1000,ROW()-3)&amp;"")</f>
        <v>Voter ID – Correction (Form 8) (वोटर आईडी – सुधार (फॉर्म 8)) at Devmobile Stores and Common Service Center &amp; Aadhaar Centre. Check required documents, charges and process before you visit.</v>
      </c>
      <c r="M267" s="7" t="str">
        <f aca="false">IF(INDEX(MASTER_DATABASE!$A$4:$A$1000,ROW()-3)="","",INDEX(MASTER_DATABASE!$AN$4:$AN$1000,ROW()-3)&amp;"")</f>
        <v>Voter ID – Correction (Form 8), Online Form &amp; Digital Services, Devmobile Stores, वोटर आईडी – सुधार (फॉर्म 8), ऑनलाइन फॉर्म व डिजिटल सेवाएँ, सेवा</v>
      </c>
      <c r="N267" s="7" t="str">
        <f aca="false">IF(INDEX(MASTER_DATABASE!$A$4:$A$1000,ROW()-3)="","",INDEX(MASTER_DATABASE!$AZ$4:$AZ$1000,ROW()-3)&amp;"")</f>
        <v>वोटर आईडी – सुधार (फॉर्म 8), ऑनलाइन फॉर्म व डिजिटल सेवाएँ, सेवा</v>
      </c>
      <c r="O267" s="7" t="str">
        <f aca="false">IF(INDEX(MASTER_DATABASE!$A$4:$A$1000,ROW()-3)="","",INDEX(MASTER_DATABASE!$BA$4:$BA$1000,ROW()-3)&amp;"")</f>
        <v>Voter ID – Correction (Form 8), Online Form &amp; Digital Services, Devmobile Stores</v>
      </c>
      <c r="P267" s="11" t="str">
        <f aca="false">IF(INDEX(MASTER_DATABASE!$A$4:$A$1000,ROW()-3)="","",INDEX(MASTER_DATABASE!$AP$4:$AP$1000,ROW()-3)&amp;"")</f>
        <v>🆔</v>
      </c>
      <c r="Q267" s="7" t="str">
        <f aca="false">IF(INDEX(MASTER_DATABASE!$A$4:$A$1000,ROW()-3)="","",INDEX(MASTER_DATABASE!$BB$4:$BB$1000,ROW()-3)&amp;"")</f>
        <v/>
      </c>
      <c r="R267" s="11" t="str">
        <f aca="false">IF(INDEX(MASTER_DATABASE!$A$4:$A$1000,ROW()-3)="","",INDEX(MASTER_DATABASE!$BC$4:$BC$1000,ROW()-3)&amp;"")</f>
        <v>🌐</v>
      </c>
      <c r="S267" s="11" t="n">
        <f aca="false">IF(INDEX(MASTER_DATABASE!$A$4:$A$1000,ROW()-3)="","",INDEX(MASTER_DATABASE!$AQ$4:$AQ$1000,ROW()-3))</f>
        <v>360</v>
      </c>
      <c r="T267" s="7" t="str">
        <f aca="false">IF(INDEX(MASTER_DATABASE!$A$4:$A$1000,ROW()-3)="","",INDEX(MASTER_DATABASE!$I$4:$I$1000,ROW()-3)&amp;"")</f>
        <v>Portal Dependent</v>
      </c>
      <c r="U267" s="7" t="str">
        <f aca="false">IF(INDEX(MASTER_DATABASE!$A$4:$A$1000,ROW()-3)="","",INDEX(MASTER_DATABASE!$J$4:$J$1000,ROW()-3)&amp;"")</f>
        <v>Depends on Portal – Confirm at Shop</v>
      </c>
      <c r="V267" s="7" t="str">
        <f aca="false">IF(INDEX(MASTER_DATABASE!$A$4:$A$1000,ROW()-3)="","",INDEX(MASTER_DATABASE!$AG$4:$AG$1000,ROW()-3)&amp;"")</f>
        <v>To Verify</v>
      </c>
      <c r="W267" s="7" t="str">
        <f aca="false">IF(INDEX(MASTER_DATABASE!$A$4:$A$1000,ROW()-3)="","",INDEX(MASTER_DATABASE!$AH$4:$AH$1000,ROW()-3)&amp;"")</f>
        <v>No</v>
      </c>
      <c r="X267" s="7" t="str">
        <f aca="false">IF(INDEX(MASTER_DATABASE!$A$4:$A$1000,ROW()-3)="","",INDEX(MASTER_DATABASE!$AI$4:$AI$1000,ROW()-3)&amp;"")</f>
        <v>No</v>
      </c>
      <c r="Y267" s="7" t="str">
        <f aca="false">IF(INDEX(MASTER_DATABASE!$A$4:$A$1000,ROW()-3)="","",INDEX(MASTER_DATABASE!$AJ$4:$AJ$1000,ROW()-3)&amp;"")</f>
        <v>No</v>
      </c>
      <c r="Z267" s="7" t="str">
        <f aca="false">IF(INDEX(MASTER_DATABASE!$A$4:$A$1000,ROW()-3)="","",INDEX(MASTER_DATABASE!$AK$4:$AK$1000,ROW()-3)&amp;"")</f>
        <v>No</v>
      </c>
      <c r="AA267" s="7" t="str">
        <f aca="false">IF(INDEX(MASTER_DATABASE!$A$4:$A$1000,ROW()-3)="","",INDEX(MASTER_DATABASE!$BE$4:$BE$1000,ROW()-3)&amp;"")</f>
        <v>HIDDEN</v>
      </c>
    </row>
    <row r="268" customFormat="false" ht="46.25" hidden="false" customHeight="false" outlineLevel="0" collapsed="false">
      <c r="A268" s="11" t="str">
        <f aca="false">IF(INDEX(MASTER_DATABASE!$A$4:$A$1000,ROW()-3)="","",INDEX(MASTER_DATABASE!$A$4:$A$1000,ROW()-3)&amp;"")</f>
        <v>ONL-037</v>
      </c>
      <c r="B268" s="7" t="str">
        <f aca="false">IF(INDEX(MASTER_DATABASE!$A$4:$A$1000,ROW()-3)="","",INDEX(MASTER_DATABASE!$B$4:$B$1000,ROW()-3)&amp;"")</f>
        <v>Online Form &amp; Digital Services</v>
      </c>
      <c r="C268" s="7" t="str">
        <f aca="false">IF(INDEX(MASTER_DATABASE!$A$4:$A$1000,ROW()-3)="","",INDEX(MASTER_DATABASE!$C$4:$C$1000,ROW()-3)&amp;"")</f>
        <v>Online &amp; Digital Services</v>
      </c>
      <c r="D268" s="7" t="str">
        <f aca="false">IF(INDEX(MASTER_DATABASE!$A$4:$A$1000,ROW()-3)="","",INDEX(MASTER_DATABASE!$D$4:$D$1000,ROW()-3)&amp;"")</f>
        <v>ID &amp; Document Services</v>
      </c>
      <c r="E268" s="7" t="str">
        <f aca="false">IF(INDEX(MASTER_DATABASE!$A$4:$A$1000,ROW()-3)="","",INDEX(MASTER_DATABASE!$E$4:$E$1000,ROW()-3)&amp;"")</f>
        <v>Voter ID (e-EPIC) Download</v>
      </c>
      <c r="F268" s="7" t="str">
        <f aca="false">IF(INDEX(MASTER_DATABASE!$A$4:$A$1000,ROW()-3)="","",INDEX(MASTER_DATABASE!$F$4:$F$1000,ROW()-3)&amp;"")</f>
        <v>वोटर आईडी (e-EPIC) डाउनलोड</v>
      </c>
      <c r="G268" s="7" t="str">
        <f aca="false">IF(INDEX(MASTER_DATABASE!$A$4:$A$1000,ROW()-3)="","",INDEX(MASTER_DATABASE!$AL$4:$AL$1000,ROW()-3)&amp;"")</f>
        <v>Online Form &amp; Digital Services</v>
      </c>
      <c r="H268" s="7" t="str">
        <f aca="false">IF(INDEX(MASTER_DATABASE!$A$4:$A$1000,ROW()-3)="","",INDEX(MASTER_DATABASE!$AM$4:$AM$1000,ROW()-3)&amp;"")</f>
        <v>ID &amp; Document Services</v>
      </c>
      <c r="I268" s="7" t="str">
        <f aca="false">IF(INDEX(MASTER_DATABASE!$A$4:$A$1000,ROW()-3)="","",INDEX(MASTER_DATABASE!$AO$4:$AO$1000,ROW()-3)&amp;"")</f>
        <v>voter-id-e-epic-download</v>
      </c>
      <c r="J268" s="7" t="str">
        <f aca="false">IF(INDEX(MASTER_DATABASE!$A$4:$A$1000,ROW()-3)="","",INDEX(MASTER_DATABASE!$BD$4:$BD$1000,ROW()-3)&amp;"")</f>
        <v>/services/voter-id-e-epic-download</v>
      </c>
      <c r="K268" s="7" t="str">
        <f aca="false">IF(INDEX(MASTER_DATABASE!$A$4:$A$1000,ROW()-3)="","",INDEX(MASTER_DATABASE!$AX$4:$AX$1000,ROW()-3)&amp;"")</f>
        <v>Voter ID (e-EPIC) Download Service | Devmobile Stores</v>
      </c>
      <c r="L268" s="7" t="str">
        <f aca="false">IF(INDEX(MASTER_DATABASE!$A$4:$A$1000,ROW()-3)="","",INDEX(MASTER_DATABASE!$AY$4:$AY$1000,ROW()-3)&amp;"")</f>
        <v>Voter ID (e-EPIC) Download (वोटर आईडी (e-EPIC) डाउनलोड) at Devmobile Stores and Common Service Center &amp; Aadhaar Centre. Check required documents, charges and process before you visit.</v>
      </c>
      <c r="M268" s="7" t="str">
        <f aca="false">IF(INDEX(MASTER_DATABASE!$A$4:$A$1000,ROW()-3)="","",INDEX(MASTER_DATABASE!$AN$4:$AN$1000,ROW()-3)&amp;"")</f>
        <v>Voter ID (e-EPIC) Download, Online Form &amp; Digital Services, Devmobile Stores, वोटर आईडी (e-EPIC) डाउनलोड, ऑनलाइन फॉर्म व डिजिटल सेवाएँ, सेवा</v>
      </c>
      <c r="N268" s="7" t="str">
        <f aca="false">IF(INDEX(MASTER_DATABASE!$A$4:$A$1000,ROW()-3)="","",INDEX(MASTER_DATABASE!$AZ$4:$AZ$1000,ROW()-3)&amp;"")</f>
        <v>वोटर आईडी (e-EPIC) डाउनलोड, ऑनलाइन फॉर्म व डिजिटल सेवाएँ, सेवा</v>
      </c>
      <c r="O268" s="7" t="str">
        <f aca="false">IF(INDEX(MASTER_DATABASE!$A$4:$A$1000,ROW()-3)="","",INDEX(MASTER_DATABASE!$BA$4:$BA$1000,ROW()-3)&amp;"")</f>
        <v>Voter ID (e-EPIC) Download, Online Form &amp; Digital Services, Devmobile Stores</v>
      </c>
      <c r="P268" s="11" t="str">
        <f aca="false">IF(INDEX(MASTER_DATABASE!$A$4:$A$1000,ROW()-3)="","",INDEX(MASTER_DATABASE!$AP$4:$AP$1000,ROW()-3)&amp;"")</f>
        <v>🆔</v>
      </c>
      <c r="Q268" s="7" t="str">
        <f aca="false">IF(INDEX(MASTER_DATABASE!$A$4:$A$1000,ROW()-3)="","",INDEX(MASTER_DATABASE!$BB$4:$BB$1000,ROW()-3)&amp;"")</f>
        <v/>
      </c>
      <c r="R268" s="11" t="str">
        <f aca="false">IF(INDEX(MASTER_DATABASE!$A$4:$A$1000,ROW()-3)="","",INDEX(MASTER_DATABASE!$BC$4:$BC$1000,ROW()-3)&amp;"")</f>
        <v>🌐</v>
      </c>
      <c r="S268" s="11" t="n">
        <f aca="false">IF(INDEX(MASTER_DATABASE!$A$4:$A$1000,ROW()-3)="","",INDEX(MASTER_DATABASE!$AQ$4:$AQ$1000,ROW()-3))</f>
        <v>370</v>
      </c>
      <c r="T268" s="7" t="str">
        <f aca="false">IF(INDEX(MASTER_DATABASE!$A$4:$A$1000,ROW()-3)="","",INDEX(MASTER_DATABASE!$I$4:$I$1000,ROW()-3)&amp;"")</f>
        <v>Portal Dependent</v>
      </c>
      <c r="U268" s="7" t="str">
        <f aca="false">IF(INDEX(MASTER_DATABASE!$A$4:$A$1000,ROW()-3)="","",INDEX(MASTER_DATABASE!$J$4:$J$1000,ROW()-3)&amp;"")</f>
        <v>Depends on Portal – Confirm at Shop</v>
      </c>
      <c r="V268" s="7" t="str">
        <f aca="false">IF(INDEX(MASTER_DATABASE!$A$4:$A$1000,ROW()-3)="","",INDEX(MASTER_DATABASE!$AG$4:$AG$1000,ROW()-3)&amp;"")</f>
        <v>To Verify</v>
      </c>
      <c r="W268" s="7" t="str">
        <f aca="false">IF(INDEX(MASTER_DATABASE!$A$4:$A$1000,ROW()-3)="","",INDEX(MASTER_DATABASE!$AH$4:$AH$1000,ROW()-3)&amp;"")</f>
        <v>No</v>
      </c>
      <c r="X268" s="7" t="str">
        <f aca="false">IF(INDEX(MASTER_DATABASE!$A$4:$A$1000,ROW()-3)="","",INDEX(MASTER_DATABASE!$AI$4:$AI$1000,ROW()-3)&amp;"")</f>
        <v>No</v>
      </c>
      <c r="Y268" s="7" t="str">
        <f aca="false">IF(INDEX(MASTER_DATABASE!$A$4:$A$1000,ROW()-3)="","",INDEX(MASTER_DATABASE!$AJ$4:$AJ$1000,ROW()-3)&amp;"")</f>
        <v>No</v>
      </c>
      <c r="Z268" s="7" t="str">
        <f aca="false">IF(INDEX(MASTER_DATABASE!$A$4:$A$1000,ROW()-3)="","",INDEX(MASTER_DATABASE!$AK$4:$AK$1000,ROW()-3)&amp;"")</f>
        <v>No</v>
      </c>
      <c r="AA268" s="7" t="str">
        <f aca="false">IF(INDEX(MASTER_DATABASE!$A$4:$A$1000,ROW()-3)="","",INDEX(MASTER_DATABASE!$BE$4:$BE$1000,ROW()-3)&amp;"")</f>
        <v>HIDDEN</v>
      </c>
    </row>
    <row r="269" customFormat="false" ht="46.25" hidden="false" customHeight="false" outlineLevel="0" collapsed="false">
      <c r="A269" s="11" t="str">
        <f aca="false">IF(INDEX(MASTER_DATABASE!$A$4:$A$1000,ROW()-3)="","",INDEX(MASTER_DATABASE!$A$4:$A$1000,ROW()-3)&amp;"")</f>
        <v>ONL-038</v>
      </c>
      <c r="B269" s="7" t="str">
        <f aca="false">IF(INDEX(MASTER_DATABASE!$A$4:$A$1000,ROW()-3)="","",INDEX(MASTER_DATABASE!$B$4:$B$1000,ROW()-3)&amp;"")</f>
        <v>Online Form &amp; Digital Services</v>
      </c>
      <c r="C269" s="7" t="str">
        <f aca="false">IF(INDEX(MASTER_DATABASE!$A$4:$A$1000,ROW()-3)="","",INDEX(MASTER_DATABASE!$C$4:$C$1000,ROW()-3)&amp;"")</f>
        <v>Online &amp; Digital Services</v>
      </c>
      <c r="D269" s="7" t="str">
        <f aca="false">IF(INDEX(MASTER_DATABASE!$A$4:$A$1000,ROW()-3)="","",INDEX(MASTER_DATABASE!$D$4:$D$1000,ROW()-3)&amp;"")</f>
        <v>ID &amp; Document Services</v>
      </c>
      <c r="E269" s="7" t="str">
        <f aca="false">IF(INDEX(MASTER_DATABASE!$A$4:$A$1000,ROW()-3)="","",INDEX(MASTER_DATABASE!$E$4:$E$1000,ROW()-3)&amp;"")</f>
        <v>Voter List Name Search</v>
      </c>
      <c r="F269" s="7" t="str">
        <f aca="false">IF(INDEX(MASTER_DATABASE!$A$4:$A$1000,ROW()-3)="","",INDEX(MASTER_DATABASE!$F$4:$F$1000,ROW()-3)&amp;"")</f>
        <v>वोटर लिस्ट में नाम खोजना</v>
      </c>
      <c r="G269" s="7" t="str">
        <f aca="false">IF(INDEX(MASTER_DATABASE!$A$4:$A$1000,ROW()-3)="","",INDEX(MASTER_DATABASE!$AL$4:$AL$1000,ROW()-3)&amp;"")</f>
        <v>Online Form &amp; Digital Services</v>
      </c>
      <c r="H269" s="7" t="str">
        <f aca="false">IF(INDEX(MASTER_DATABASE!$A$4:$A$1000,ROW()-3)="","",INDEX(MASTER_DATABASE!$AM$4:$AM$1000,ROW()-3)&amp;"")</f>
        <v>ID &amp; Document Services</v>
      </c>
      <c r="I269" s="7" t="str">
        <f aca="false">IF(INDEX(MASTER_DATABASE!$A$4:$A$1000,ROW()-3)="","",INDEX(MASTER_DATABASE!$AO$4:$AO$1000,ROW()-3)&amp;"")</f>
        <v>voter-list-name-search</v>
      </c>
      <c r="J269" s="7" t="str">
        <f aca="false">IF(INDEX(MASTER_DATABASE!$A$4:$A$1000,ROW()-3)="","",INDEX(MASTER_DATABASE!$BD$4:$BD$1000,ROW()-3)&amp;"")</f>
        <v>/services/voter-list-name-search</v>
      </c>
      <c r="K269" s="7" t="str">
        <f aca="false">IF(INDEX(MASTER_DATABASE!$A$4:$A$1000,ROW()-3)="","",INDEX(MASTER_DATABASE!$AX$4:$AX$1000,ROW()-3)&amp;"")</f>
        <v>Voter List Name Search Service | Devmobile Stores</v>
      </c>
      <c r="L269" s="7" t="str">
        <f aca="false">IF(INDEX(MASTER_DATABASE!$A$4:$A$1000,ROW()-3)="","",INDEX(MASTER_DATABASE!$AY$4:$AY$1000,ROW()-3)&amp;"")</f>
        <v>Voter List Name Search (वोटर लिस्ट में नाम खोजना) at Devmobile Stores and Common Service Center &amp; Aadhaar Centre. Check required documents, charges and process before you visit.</v>
      </c>
      <c r="M269" s="7" t="str">
        <f aca="false">IF(INDEX(MASTER_DATABASE!$A$4:$A$1000,ROW()-3)="","",INDEX(MASTER_DATABASE!$AN$4:$AN$1000,ROW()-3)&amp;"")</f>
        <v>Voter List Name Search, Online Form &amp; Digital Services, Devmobile Stores, वोटर लिस्ट में नाम खोजना, ऑनलाइन फॉर्म व डिजिटल सेवाएँ, सेवा</v>
      </c>
      <c r="N269" s="7" t="str">
        <f aca="false">IF(INDEX(MASTER_DATABASE!$A$4:$A$1000,ROW()-3)="","",INDEX(MASTER_DATABASE!$AZ$4:$AZ$1000,ROW()-3)&amp;"")</f>
        <v>वोटर लिस्ट में नाम खोजना, ऑनलाइन फॉर्म व डिजिटल सेवाएँ, सेवा</v>
      </c>
      <c r="O269" s="7" t="str">
        <f aca="false">IF(INDEX(MASTER_DATABASE!$A$4:$A$1000,ROW()-3)="","",INDEX(MASTER_DATABASE!$BA$4:$BA$1000,ROW()-3)&amp;"")</f>
        <v>Voter List Name Search, Online Form &amp; Digital Services, Devmobile Stores</v>
      </c>
      <c r="P269" s="11" t="str">
        <f aca="false">IF(INDEX(MASTER_DATABASE!$A$4:$A$1000,ROW()-3)="","",INDEX(MASTER_DATABASE!$AP$4:$AP$1000,ROW()-3)&amp;"")</f>
        <v>🆔</v>
      </c>
      <c r="Q269" s="7" t="str">
        <f aca="false">IF(INDEX(MASTER_DATABASE!$A$4:$A$1000,ROW()-3)="","",INDEX(MASTER_DATABASE!$BB$4:$BB$1000,ROW()-3)&amp;"")</f>
        <v/>
      </c>
      <c r="R269" s="11" t="str">
        <f aca="false">IF(INDEX(MASTER_DATABASE!$A$4:$A$1000,ROW()-3)="","",INDEX(MASTER_DATABASE!$BC$4:$BC$1000,ROW()-3)&amp;"")</f>
        <v>🌐</v>
      </c>
      <c r="S269" s="11" t="n">
        <f aca="false">IF(INDEX(MASTER_DATABASE!$A$4:$A$1000,ROW()-3)="","",INDEX(MASTER_DATABASE!$AQ$4:$AQ$1000,ROW()-3))</f>
        <v>380</v>
      </c>
      <c r="T269" s="7" t="str">
        <f aca="false">IF(INDEX(MASTER_DATABASE!$A$4:$A$1000,ROW()-3)="","",INDEX(MASTER_DATABASE!$I$4:$I$1000,ROW()-3)&amp;"")</f>
        <v>Portal Dependent</v>
      </c>
      <c r="U269" s="7" t="str">
        <f aca="false">IF(INDEX(MASTER_DATABASE!$A$4:$A$1000,ROW()-3)="","",INDEX(MASTER_DATABASE!$J$4:$J$1000,ROW()-3)&amp;"")</f>
        <v>Depends on Portal – Confirm at Shop</v>
      </c>
      <c r="V269" s="7" t="str">
        <f aca="false">IF(INDEX(MASTER_DATABASE!$A$4:$A$1000,ROW()-3)="","",INDEX(MASTER_DATABASE!$AG$4:$AG$1000,ROW()-3)&amp;"")</f>
        <v>To Verify</v>
      </c>
      <c r="W269" s="7" t="str">
        <f aca="false">IF(INDEX(MASTER_DATABASE!$A$4:$A$1000,ROW()-3)="","",INDEX(MASTER_DATABASE!$AH$4:$AH$1000,ROW()-3)&amp;"")</f>
        <v>No</v>
      </c>
      <c r="X269" s="7" t="str">
        <f aca="false">IF(INDEX(MASTER_DATABASE!$A$4:$A$1000,ROW()-3)="","",INDEX(MASTER_DATABASE!$AI$4:$AI$1000,ROW()-3)&amp;"")</f>
        <v>No</v>
      </c>
      <c r="Y269" s="7" t="str">
        <f aca="false">IF(INDEX(MASTER_DATABASE!$A$4:$A$1000,ROW()-3)="","",INDEX(MASTER_DATABASE!$AJ$4:$AJ$1000,ROW()-3)&amp;"")</f>
        <v>No</v>
      </c>
      <c r="Z269" s="7" t="str">
        <f aca="false">IF(INDEX(MASTER_DATABASE!$A$4:$A$1000,ROW()-3)="","",INDEX(MASTER_DATABASE!$AK$4:$AK$1000,ROW()-3)&amp;"")</f>
        <v>No</v>
      </c>
      <c r="AA269" s="7" t="str">
        <f aca="false">IF(INDEX(MASTER_DATABASE!$A$4:$A$1000,ROW()-3)="","",INDEX(MASTER_DATABASE!$BE$4:$BE$1000,ROW()-3)&amp;"")</f>
        <v>HIDDEN</v>
      </c>
    </row>
    <row r="270" customFormat="false" ht="46.25" hidden="false" customHeight="false" outlineLevel="0" collapsed="false">
      <c r="A270" s="11" t="str">
        <f aca="false">IF(INDEX(MASTER_DATABASE!$A$4:$A$1000,ROW()-3)="","",INDEX(MASTER_DATABASE!$A$4:$A$1000,ROW()-3)&amp;"")</f>
        <v>ONL-039</v>
      </c>
      <c r="B270" s="7" t="str">
        <f aca="false">IF(INDEX(MASTER_DATABASE!$A$4:$A$1000,ROW()-3)="","",INDEX(MASTER_DATABASE!$B$4:$B$1000,ROW()-3)&amp;"")</f>
        <v>Online Form &amp; Digital Services</v>
      </c>
      <c r="C270" s="7" t="str">
        <f aca="false">IF(INDEX(MASTER_DATABASE!$A$4:$A$1000,ROW()-3)="","",INDEX(MASTER_DATABASE!$C$4:$C$1000,ROW()-3)&amp;"")</f>
        <v>Online &amp; Digital Services</v>
      </c>
      <c r="D270" s="7" t="str">
        <f aca="false">IF(INDEX(MASTER_DATABASE!$A$4:$A$1000,ROW()-3)="","",INDEX(MASTER_DATABASE!$D$4:$D$1000,ROW()-3)&amp;"")</f>
        <v>ID &amp; Document Services</v>
      </c>
      <c r="E270" s="7" t="str">
        <f aca="false">IF(INDEX(MASTER_DATABASE!$A$4:$A$1000,ROW()-3)="","",INDEX(MASTER_DATABASE!$E$4:$E$1000,ROW()-3)&amp;"")</f>
        <v>Voter ID–Aadhaar Link (Form 6B)</v>
      </c>
      <c r="F270" s="7" t="str">
        <f aca="false">IF(INDEX(MASTER_DATABASE!$A$4:$A$1000,ROW()-3)="","",INDEX(MASTER_DATABASE!$F$4:$F$1000,ROW()-3)&amp;"")</f>
        <v>वोटर आईडी–आधार लिंक (फॉर्म 6B)</v>
      </c>
      <c r="G270" s="7" t="str">
        <f aca="false">IF(INDEX(MASTER_DATABASE!$A$4:$A$1000,ROW()-3)="","",INDEX(MASTER_DATABASE!$AL$4:$AL$1000,ROW()-3)&amp;"")</f>
        <v>Online Form &amp; Digital Services</v>
      </c>
      <c r="H270" s="7" t="str">
        <f aca="false">IF(INDEX(MASTER_DATABASE!$A$4:$A$1000,ROW()-3)="","",INDEX(MASTER_DATABASE!$AM$4:$AM$1000,ROW()-3)&amp;"")</f>
        <v>ID &amp; Document Services</v>
      </c>
      <c r="I270" s="7" t="str">
        <f aca="false">IF(INDEX(MASTER_DATABASE!$A$4:$A$1000,ROW()-3)="","",INDEX(MASTER_DATABASE!$AO$4:$AO$1000,ROW()-3)&amp;"")</f>
        <v>voter-id-aadhaar-link-form-6b</v>
      </c>
      <c r="J270" s="7" t="str">
        <f aca="false">IF(INDEX(MASTER_DATABASE!$A$4:$A$1000,ROW()-3)="","",INDEX(MASTER_DATABASE!$BD$4:$BD$1000,ROW()-3)&amp;"")</f>
        <v>/services/voter-id-aadhaar-link-form-6b</v>
      </c>
      <c r="K270" s="7" t="str">
        <f aca="false">IF(INDEX(MASTER_DATABASE!$A$4:$A$1000,ROW()-3)="","",INDEX(MASTER_DATABASE!$AX$4:$AX$1000,ROW()-3)&amp;"")</f>
        <v>Voter ID–Aadhaar Link (Form 6B) Service | Devmobile Stores</v>
      </c>
      <c r="L270" s="7" t="str">
        <f aca="false">IF(INDEX(MASTER_DATABASE!$A$4:$A$1000,ROW()-3)="","",INDEX(MASTER_DATABASE!$AY$4:$AY$1000,ROW()-3)&amp;"")</f>
        <v>Voter ID–Aadhaar Link (Form 6B) (वोटर आईडी–आधार लिंक (फॉर्म 6B)) at Devmobile Stores and Common Service Center &amp; Aadhaar Centre. Check required documents, charges and process before you visit.</v>
      </c>
      <c r="M270" s="7" t="str">
        <f aca="false">IF(INDEX(MASTER_DATABASE!$A$4:$A$1000,ROW()-3)="","",INDEX(MASTER_DATABASE!$AN$4:$AN$1000,ROW()-3)&amp;"")</f>
        <v>Voter ID–Aadhaar Link (Form 6B), Online Form &amp; Digital Services, Devmobile Stores, वोटर आईडी–आधार लिंक (फॉर्म 6B), ऑनलाइन फॉर्म व डिजिटल सेवाएँ, सेवा</v>
      </c>
      <c r="N270" s="7" t="str">
        <f aca="false">IF(INDEX(MASTER_DATABASE!$A$4:$A$1000,ROW()-3)="","",INDEX(MASTER_DATABASE!$AZ$4:$AZ$1000,ROW()-3)&amp;"")</f>
        <v>वोटर आईडी–आधार लिंक (फॉर्म 6B), ऑनलाइन फॉर्म व डिजिटल सेवाएँ, सेवा</v>
      </c>
      <c r="O270" s="7" t="str">
        <f aca="false">IF(INDEX(MASTER_DATABASE!$A$4:$A$1000,ROW()-3)="","",INDEX(MASTER_DATABASE!$BA$4:$BA$1000,ROW()-3)&amp;"")</f>
        <v>Voter ID–Aadhaar Link (Form 6B), Online Form &amp; Digital Services, Devmobile Stores</v>
      </c>
      <c r="P270" s="11" t="str">
        <f aca="false">IF(INDEX(MASTER_DATABASE!$A$4:$A$1000,ROW()-3)="","",INDEX(MASTER_DATABASE!$AP$4:$AP$1000,ROW()-3)&amp;"")</f>
        <v>🆔</v>
      </c>
      <c r="Q270" s="7" t="str">
        <f aca="false">IF(INDEX(MASTER_DATABASE!$A$4:$A$1000,ROW()-3)="","",INDEX(MASTER_DATABASE!$BB$4:$BB$1000,ROW()-3)&amp;"")</f>
        <v/>
      </c>
      <c r="R270" s="11" t="str">
        <f aca="false">IF(INDEX(MASTER_DATABASE!$A$4:$A$1000,ROW()-3)="","",INDEX(MASTER_DATABASE!$BC$4:$BC$1000,ROW()-3)&amp;"")</f>
        <v>🌐</v>
      </c>
      <c r="S270" s="11" t="n">
        <f aca="false">IF(INDEX(MASTER_DATABASE!$A$4:$A$1000,ROW()-3)="","",INDEX(MASTER_DATABASE!$AQ$4:$AQ$1000,ROW()-3))</f>
        <v>390</v>
      </c>
      <c r="T270" s="7" t="str">
        <f aca="false">IF(INDEX(MASTER_DATABASE!$A$4:$A$1000,ROW()-3)="","",INDEX(MASTER_DATABASE!$I$4:$I$1000,ROW()-3)&amp;"")</f>
        <v>Portal Dependent</v>
      </c>
      <c r="U270" s="7" t="str">
        <f aca="false">IF(INDEX(MASTER_DATABASE!$A$4:$A$1000,ROW()-3)="","",INDEX(MASTER_DATABASE!$J$4:$J$1000,ROW()-3)&amp;"")</f>
        <v>Depends on Portal – Confirm at Shop</v>
      </c>
      <c r="V270" s="7" t="str">
        <f aca="false">IF(INDEX(MASTER_DATABASE!$A$4:$A$1000,ROW()-3)="","",INDEX(MASTER_DATABASE!$AG$4:$AG$1000,ROW()-3)&amp;"")</f>
        <v>To Verify</v>
      </c>
      <c r="W270" s="7" t="str">
        <f aca="false">IF(INDEX(MASTER_DATABASE!$A$4:$A$1000,ROW()-3)="","",INDEX(MASTER_DATABASE!$AH$4:$AH$1000,ROW()-3)&amp;"")</f>
        <v>No</v>
      </c>
      <c r="X270" s="7" t="str">
        <f aca="false">IF(INDEX(MASTER_DATABASE!$A$4:$A$1000,ROW()-3)="","",INDEX(MASTER_DATABASE!$AI$4:$AI$1000,ROW()-3)&amp;"")</f>
        <v>No</v>
      </c>
      <c r="Y270" s="7" t="str">
        <f aca="false">IF(INDEX(MASTER_DATABASE!$A$4:$A$1000,ROW()-3)="","",INDEX(MASTER_DATABASE!$AJ$4:$AJ$1000,ROW()-3)&amp;"")</f>
        <v>No</v>
      </c>
      <c r="Z270" s="7" t="str">
        <f aca="false">IF(INDEX(MASTER_DATABASE!$A$4:$A$1000,ROW()-3)="","",INDEX(MASTER_DATABASE!$AK$4:$AK$1000,ROW()-3)&amp;"")</f>
        <v>No</v>
      </c>
      <c r="AA270" s="7" t="str">
        <f aca="false">IF(INDEX(MASTER_DATABASE!$A$4:$A$1000,ROW()-3)="","",INDEX(MASTER_DATABASE!$BE$4:$BE$1000,ROW()-3)&amp;"")</f>
        <v>HIDDEN</v>
      </c>
    </row>
    <row r="271" customFormat="false" ht="46.25" hidden="false" customHeight="false" outlineLevel="0" collapsed="false">
      <c r="A271" s="11" t="str">
        <f aca="false">IF(INDEX(MASTER_DATABASE!$A$4:$A$1000,ROW()-3)="","",INDEX(MASTER_DATABASE!$A$4:$A$1000,ROW()-3)&amp;"")</f>
        <v>RCH-001</v>
      </c>
      <c r="B271" s="7" t="str">
        <f aca="false">IF(INDEX(MASTER_DATABASE!$A$4:$A$1000,ROW()-3)="","",INDEX(MASTER_DATABASE!$B$4:$B$1000,ROW()-3)&amp;"")</f>
        <v>Recharge / Bill Payment</v>
      </c>
      <c r="C271" s="7" t="str">
        <f aca="false">IF(INDEX(MASTER_DATABASE!$A$4:$A$1000,ROW()-3)="","",INDEX(MASTER_DATABASE!$C$4:$C$1000,ROW()-3)&amp;"")</f>
        <v>Recharge &amp; Bill Payment</v>
      </c>
      <c r="D271" s="7" t="str">
        <f aca="false">IF(INDEX(MASTER_DATABASE!$A$4:$A$1000,ROW()-3)="","",INDEX(MASTER_DATABASE!$D$4:$D$1000,ROW()-3)&amp;"")</f>
        <v>Recharge</v>
      </c>
      <c r="E271" s="7" t="str">
        <f aca="false">IF(INDEX(MASTER_DATABASE!$A$4:$A$1000,ROW()-3)="","",INDEX(MASTER_DATABASE!$E$4:$E$1000,ROW()-3)&amp;"")</f>
        <v>Mobile Recharge (Prepaid)</v>
      </c>
      <c r="F271" s="7" t="str">
        <f aca="false">IF(INDEX(MASTER_DATABASE!$A$4:$A$1000,ROW()-3)="","",INDEX(MASTER_DATABASE!$F$4:$F$1000,ROW()-3)&amp;"")</f>
        <v>मोबाइल रिचार्ज (प्रीपेड)</v>
      </c>
      <c r="G271" s="7" t="str">
        <f aca="false">IF(INDEX(MASTER_DATABASE!$A$4:$A$1000,ROW()-3)="","",INDEX(MASTER_DATABASE!$AL$4:$AL$1000,ROW()-3)&amp;"")</f>
        <v>Recharge / Bill Payment</v>
      </c>
      <c r="H271" s="7" t="str">
        <f aca="false">IF(INDEX(MASTER_DATABASE!$A$4:$A$1000,ROW()-3)="","",INDEX(MASTER_DATABASE!$AM$4:$AM$1000,ROW()-3)&amp;"")</f>
        <v>Recharge</v>
      </c>
      <c r="I271" s="7" t="str">
        <f aca="false">IF(INDEX(MASTER_DATABASE!$A$4:$A$1000,ROW()-3)="","",INDEX(MASTER_DATABASE!$AO$4:$AO$1000,ROW()-3)&amp;"")</f>
        <v>mobile-recharge-prepaid</v>
      </c>
      <c r="J271" s="7" t="str">
        <f aca="false">IF(INDEX(MASTER_DATABASE!$A$4:$A$1000,ROW()-3)="","",INDEX(MASTER_DATABASE!$BD$4:$BD$1000,ROW()-3)&amp;"")</f>
        <v>/services/mobile-recharge-prepaid</v>
      </c>
      <c r="K271" s="7" t="str">
        <f aca="false">IF(INDEX(MASTER_DATABASE!$A$4:$A$1000,ROW()-3)="","",INDEX(MASTER_DATABASE!$AX$4:$AX$1000,ROW()-3)&amp;"")</f>
        <v>Mobile Recharge (Prepaid) Service | Devmobile Stores</v>
      </c>
      <c r="L271" s="7" t="str">
        <f aca="false">IF(INDEX(MASTER_DATABASE!$A$4:$A$1000,ROW()-3)="","",INDEX(MASTER_DATABASE!$AY$4:$AY$1000,ROW()-3)&amp;"")</f>
        <v>Mobile Recharge (Prepaid) (मोबाइल रिचार्ज (प्रीपेड)) at Devmobile Stores and Common Service Center &amp; Aadhaar Centre. Check required documents, charges and process before you visit.</v>
      </c>
      <c r="M271" s="7" t="str">
        <f aca="false">IF(INDEX(MASTER_DATABASE!$A$4:$A$1000,ROW()-3)="","",INDEX(MASTER_DATABASE!$AN$4:$AN$1000,ROW()-3)&amp;"")</f>
        <v>Mobile Recharge (Prepaid), Recharge / Bill Payment, Devmobile Stores, मोबाइल रिचार्ज (प्रीपेड), रिचार्ज / बिल भुगतान, सेवा</v>
      </c>
      <c r="N271" s="7" t="str">
        <f aca="false">IF(INDEX(MASTER_DATABASE!$A$4:$A$1000,ROW()-3)="","",INDEX(MASTER_DATABASE!$AZ$4:$AZ$1000,ROW()-3)&amp;"")</f>
        <v>मोबाइल रिचार्ज (प्रीपेड), रिचार्ज / बिल भुगतान, सेवा</v>
      </c>
      <c r="O271" s="7" t="str">
        <f aca="false">IF(INDEX(MASTER_DATABASE!$A$4:$A$1000,ROW()-3)="","",INDEX(MASTER_DATABASE!$BA$4:$BA$1000,ROW()-3)&amp;"")</f>
        <v>Mobile Recharge (Prepaid), Recharge / Bill Payment, Devmobile Stores</v>
      </c>
      <c r="P271" s="11" t="str">
        <f aca="false">IF(INDEX(MASTER_DATABASE!$A$4:$A$1000,ROW()-3)="","",INDEX(MASTER_DATABASE!$AP$4:$AP$1000,ROW()-3)&amp;"")</f>
        <v>🔋</v>
      </c>
      <c r="Q271" s="7" t="str">
        <f aca="false">IF(INDEX(MASTER_DATABASE!$A$4:$A$1000,ROW()-3)="","",INDEX(MASTER_DATABASE!$BB$4:$BB$1000,ROW()-3)&amp;"")</f>
        <v/>
      </c>
      <c r="R271" s="11" t="str">
        <f aca="false">IF(INDEX(MASTER_DATABASE!$A$4:$A$1000,ROW()-3)="","",INDEX(MASTER_DATABASE!$BC$4:$BC$1000,ROW()-3)&amp;"")</f>
        <v>💡</v>
      </c>
      <c r="S271" s="11" t="n">
        <f aca="false">IF(INDEX(MASTER_DATABASE!$A$4:$A$1000,ROW()-3)="","",INDEX(MASTER_DATABASE!$AQ$4:$AQ$1000,ROW()-3))</f>
        <v>10</v>
      </c>
      <c r="T271" s="7" t="str">
        <f aca="false">IF(INDEX(MASTER_DATABASE!$A$4:$A$1000,ROW()-3)="","",INDEX(MASTER_DATABASE!$I$4:$I$1000,ROW()-3)&amp;"")</f>
        <v>Available</v>
      </c>
      <c r="U271" s="7" t="str">
        <f aca="false">IF(INDEX(MASTER_DATABASE!$A$4:$A$1000,ROW()-3)="","",INDEX(MASTER_DATABASE!$J$4:$J$1000,ROW()-3)&amp;"")</f>
        <v>Available</v>
      </c>
      <c r="V271" s="7" t="str">
        <f aca="false">IF(INDEX(MASTER_DATABASE!$A$4:$A$1000,ROW()-3)="","",INDEX(MASTER_DATABASE!$AG$4:$AG$1000,ROW()-3)&amp;"")</f>
        <v>Active</v>
      </c>
      <c r="W271" s="7" t="str">
        <f aca="false">IF(INDEX(MASTER_DATABASE!$A$4:$A$1000,ROW()-3)="","",INDEX(MASTER_DATABASE!$AH$4:$AH$1000,ROW()-3)&amp;"")</f>
        <v>Yes</v>
      </c>
      <c r="X271" s="7" t="str">
        <f aca="false">IF(INDEX(MASTER_DATABASE!$A$4:$A$1000,ROW()-3)="","",INDEX(MASTER_DATABASE!$AI$4:$AI$1000,ROW()-3)&amp;"")</f>
        <v>No</v>
      </c>
      <c r="Y271" s="7" t="str">
        <f aca="false">IF(INDEX(MASTER_DATABASE!$A$4:$A$1000,ROW()-3)="","",INDEX(MASTER_DATABASE!$AJ$4:$AJ$1000,ROW()-3)&amp;"")</f>
        <v>No</v>
      </c>
      <c r="Z271" s="7" t="str">
        <f aca="false">IF(INDEX(MASTER_DATABASE!$A$4:$A$1000,ROW()-3)="","",INDEX(MASTER_DATABASE!$AK$4:$AK$1000,ROW()-3)&amp;"")</f>
        <v>No</v>
      </c>
      <c r="AA271" s="7" t="str">
        <f aca="false">IF(INDEX(MASTER_DATABASE!$A$4:$A$1000,ROW()-3)="","",INDEX(MASTER_DATABASE!$BE$4:$BE$1000,ROW()-3)&amp;"")</f>
        <v>LIVE</v>
      </c>
    </row>
    <row r="272" customFormat="false" ht="46.25" hidden="false" customHeight="false" outlineLevel="0" collapsed="false">
      <c r="A272" s="11" t="str">
        <f aca="false">IF(INDEX(MASTER_DATABASE!$A$4:$A$1000,ROW()-3)="","",INDEX(MASTER_DATABASE!$A$4:$A$1000,ROW()-3)&amp;"")</f>
        <v>RCH-002</v>
      </c>
      <c r="B272" s="7" t="str">
        <f aca="false">IF(INDEX(MASTER_DATABASE!$A$4:$A$1000,ROW()-3)="","",INDEX(MASTER_DATABASE!$B$4:$B$1000,ROW()-3)&amp;"")</f>
        <v>Recharge / Bill Payment</v>
      </c>
      <c r="C272" s="7" t="str">
        <f aca="false">IF(INDEX(MASTER_DATABASE!$A$4:$A$1000,ROW()-3)="","",INDEX(MASTER_DATABASE!$C$4:$C$1000,ROW()-3)&amp;"")</f>
        <v>Recharge &amp; Bill Payment</v>
      </c>
      <c r="D272" s="7" t="str">
        <f aca="false">IF(INDEX(MASTER_DATABASE!$A$4:$A$1000,ROW()-3)="","",INDEX(MASTER_DATABASE!$D$4:$D$1000,ROW()-3)&amp;"")</f>
        <v>Recharge</v>
      </c>
      <c r="E272" s="7" t="str">
        <f aca="false">IF(INDEX(MASTER_DATABASE!$A$4:$A$1000,ROW()-3)="","",INDEX(MASTER_DATABASE!$E$4:$E$1000,ROW()-3)&amp;"")</f>
        <v>DTH Recharge</v>
      </c>
      <c r="F272" s="7" t="str">
        <f aca="false">IF(INDEX(MASTER_DATABASE!$A$4:$A$1000,ROW()-3)="","",INDEX(MASTER_DATABASE!$F$4:$F$1000,ROW()-3)&amp;"")</f>
        <v>DTH रिचार्ज</v>
      </c>
      <c r="G272" s="7" t="str">
        <f aca="false">IF(INDEX(MASTER_DATABASE!$A$4:$A$1000,ROW()-3)="","",INDEX(MASTER_DATABASE!$AL$4:$AL$1000,ROW()-3)&amp;"")</f>
        <v>Recharge / Bill Payment</v>
      </c>
      <c r="H272" s="7" t="str">
        <f aca="false">IF(INDEX(MASTER_DATABASE!$A$4:$A$1000,ROW()-3)="","",INDEX(MASTER_DATABASE!$AM$4:$AM$1000,ROW()-3)&amp;"")</f>
        <v>Recharge</v>
      </c>
      <c r="I272" s="7" t="str">
        <f aca="false">IF(INDEX(MASTER_DATABASE!$A$4:$A$1000,ROW()-3)="","",INDEX(MASTER_DATABASE!$AO$4:$AO$1000,ROW()-3)&amp;"")</f>
        <v>dth-recharge</v>
      </c>
      <c r="J272" s="7" t="str">
        <f aca="false">IF(INDEX(MASTER_DATABASE!$A$4:$A$1000,ROW()-3)="","",INDEX(MASTER_DATABASE!$BD$4:$BD$1000,ROW()-3)&amp;"")</f>
        <v>/services/dth-recharge</v>
      </c>
      <c r="K272" s="7" t="str">
        <f aca="false">IF(INDEX(MASTER_DATABASE!$A$4:$A$1000,ROW()-3)="","",INDEX(MASTER_DATABASE!$AX$4:$AX$1000,ROW()-3)&amp;"")</f>
        <v>DTH Recharge Service | Devmobile Stores</v>
      </c>
      <c r="L272" s="7" t="str">
        <f aca="false">IF(INDEX(MASTER_DATABASE!$A$4:$A$1000,ROW()-3)="","",INDEX(MASTER_DATABASE!$AY$4:$AY$1000,ROW()-3)&amp;"")</f>
        <v>DTH Recharge (DTH रिचार्ज) at Devmobile Stores and Common Service Center &amp; Aadhaar Centre. Check required documents, charges and process before you visit.</v>
      </c>
      <c r="M272" s="7" t="str">
        <f aca="false">IF(INDEX(MASTER_DATABASE!$A$4:$A$1000,ROW()-3)="","",INDEX(MASTER_DATABASE!$AN$4:$AN$1000,ROW()-3)&amp;"")</f>
        <v>DTH Recharge, Recharge / Bill Payment, Devmobile Stores, DTH रिचार्ज, रिचार्ज / बिल भुगतान, सेवा</v>
      </c>
      <c r="N272" s="7" t="str">
        <f aca="false">IF(INDEX(MASTER_DATABASE!$A$4:$A$1000,ROW()-3)="","",INDEX(MASTER_DATABASE!$AZ$4:$AZ$1000,ROW()-3)&amp;"")</f>
        <v>DTH रिचार्ज, रिचार्ज / बिल भुगतान, सेवा</v>
      </c>
      <c r="O272" s="7" t="str">
        <f aca="false">IF(INDEX(MASTER_DATABASE!$A$4:$A$1000,ROW()-3)="","",INDEX(MASTER_DATABASE!$BA$4:$BA$1000,ROW()-3)&amp;"")</f>
        <v>DTH Recharge, Recharge / Bill Payment, Devmobile Stores</v>
      </c>
      <c r="P272" s="11" t="str">
        <f aca="false">IF(INDEX(MASTER_DATABASE!$A$4:$A$1000,ROW()-3)="","",INDEX(MASTER_DATABASE!$AP$4:$AP$1000,ROW()-3)&amp;"")</f>
        <v>🔋</v>
      </c>
      <c r="Q272" s="7" t="str">
        <f aca="false">IF(INDEX(MASTER_DATABASE!$A$4:$A$1000,ROW()-3)="","",INDEX(MASTER_DATABASE!$BB$4:$BB$1000,ROW()-3)&amp;"")</f>
        <v/>
      </c>
      <c r="R272" s="11" t="str">
        <f aca="false">IF(INDEX(MASTER_DATABASE!$A$4:$A$1000,ROW()-3)="","",INDEX(MASTER_DATABASE!$BC$4:$BC$1000,ROW()-3)&amp;"")</f>
        <v>💡</v>
      </c>
      <c r="S272" s="11" t="n">
        <f aca="false">IF(INDEX(MASTER_DATABASE!$A$4:$A$1000,ROW()-3)="","",INDEX(MASTER_DATABASE!$AQ$4:$AQ$1000,ROW()-3))</f>
        <v>20</v>
      </c>
      <c r="T272" s="7" t="str">
        <f aca="false">IF(INDEX(MASTER_DATABASE!$A$4:$A$1000,ROW()-3)="","",INDEX(MASTER_DATABASE!$I$4:$I$1000,ROW()-3)&amp;"")</f>
        <v>Available</v>
      </c>
      <c r="U272" s="7" t="str">
        <f aca="false">IF(INDEX(MASTER_DATABASE!$A$4:$A$1000,ROW()-3)="","",INDEX(MASTER_DATABASE!$J$4:$J$1000,ROW()-3)&amp;"")</f>
        <v>Available</v>
      </c>
      <c r="V272" s="7" t="str">
        <f aca="false">IF(INDEX(MASTER_DATABASE!$A$4:$A$1000,ROW()-3)="","",INDEX(MASTER_DATABASE!$AG$4:$AG$1000,ROW()-3)&amp;"")</f>
        <v>Active</v>
      </c>
      <c r="W272" s="7" t="str">
        <f aca="false">IF(INDEX(MASTER_DATABASE!$A$4:$A$1000,ROW()-3)="","",INDEX(MASTER_DATABASE!$AH$4:$AH$1000,ROW()-3)&amp;"")</f>
        <v>Yes</v>
      </c>
      <c r="X272" s="7" t="str">
        <f aca="false">IF(INDEX(MASTER_DATABASE!$A$4:$A$1000,ROW()-3)="","",INDEX(MASTER_DATABASE!$AI$4:$AI$1000,ROW()-3)&amp;"")</f>
        <v>No</v>
      </c>
      <c r="Y272" s="7" t="str">
        <f aca="false">IF(INDEX(MASTER_DATABASE!$A$4:$A$1000,ROW()-3)="","",INDEX(MASTER_DATABASE!$AJ$4:$AJ$1000,ROW()-3)&amp;"")</f>
        <v>No</v>
      </c>
      <c r="Z272" s="7" t="str">
        <f aca="false">IF(INDEX(MASTER_DATABASE!$A$4:$A$1000,ROW()-3)="","",INDEX(MASTER_DATABASE!$AK$4:$AK$1000,ROW()-3)&amp;"")</f>
        <v>No</v>
      </c>
      <c r="AA272" s="7" t="str">
        <f aca="false">IF(INDEX(MASTER_DATABASE!$A$4:$A$1000,ROW()-3)="","",INDEX(MASTER_DATABASE!$BE$4:$BE$1000,ROW()-3)&amp;"")</f>
        <v>LIVE</v>
      </c>
    </row>
    <row r="273" customFormat="false" ht="46.25" hidden="false" customHeight="false" outlineLevel="0" collapsed="false">
      <c r="A273" s="11" t="str">
        <f aca="false">IF(INDEX(MASTER_DATABASE!$A$4:$A$1000,ROW()-3)="","",INDEX(MASTER_DATABASE!$A$4:$A$1000,ROW()-3)&amp;"")</f>
        <v>RCH-003</v>
      </c>
      <c r="B273" s="7" t="str">
        <f aca="false">IF(INDEX(MASTER_DATABASE!$A$4:$A$1000,ROW()-3)="","",INDEX(MASTER_DATABASE!$B$4:$B$1000,ROW()-3)&amp;"")</f>
        <v>Recharge / Bill Payment</v>
      </c>
      <c r="C273" s="7" t="str">
        <f aca="false">IF(INDEX(MASTER_DATABASE!$A$4:$A$1000,ROW()-3)="","",INDEX(MASTER_DATABASE!$C$4:$C$1000,ROW()-3)&amp;"")</f>
        <v>Recharge &amp; Bill Payment</v>
      </c>
      <c r="D273" s="7" t="str">
        <f aca="false">IF(INDEX(MASTER_DATABASE!$A$4:$A$1000,ROW()-3)="","",INDEX(MASTER_DATABASE!$D$4:$D$1000,ROW()-3)&amp;"")</f>
        <v>Recharge</v>
      </c>
      <c r="E273" s="7" t="str">
        <f aca="false">IF(INDEX(MASTER_DATABASE!$A$4:$A$1000,ROW()-3)="","",INDEX(MASTER_DATABASE!$E$4:$E$1000,ROW()-3)&amp;"")</f>
        <v>FASTag Recharge</v>
      </c>
      <c r="F273" s="7" t="str">
        <f aca="false">IF(INDEX(MASTER_DATABASE!$A$4:$A$1000,ROW()-3)="","",INDEX(MASTER_DATABASE!$F$4:$F$1000,ROW()-3)&amp;"")</f>
        <v>FASTag रिचार्ज</v>
      </c>
      <c r="G273" s="7" t="str">
        <f aca="false">IF(INDEX(MASTER_DATABASE!$A$4:$A$1000,ROW()-3)="","",INDEX(MASTER_DATABASE!$AL$4:$AL$1000,ROW()-3)&amp;"")</f>
        <v>Recharge / Bill Payment</v>
      </c>
      <c r="H273" s="7" t="str">
        <f aca="false">IF(INDEX(MASTER_DATABASE!$A$4:$A$1000,ROW()-3)="","",INDEX(MASTER_DATABASE!$AM$4:$AM$1000,ROW()-3)&amp;"")</f>
        <v>Recharge</v>
      </c>
      <c r="I273" s="7" t="str">
        <f aca="false">IF(INDEX(MASTER_DATABASE!$A$4:$A$1000,ROW()-3)="","",INDEX(MASTER_DATABASE!$AO$4:$AO$1000,ROW()-3)&amp;"")</f>
        <v>fastag-recharge</v>
      </c>
      <c r="J273" s="7" t="str">
        <f aca="false">IF(INDEX(MASTER_DATABASE!$A$4:$A$1000,ROW()-3)="","",INDEX(MASTER_DATABASE!$BD$4:$BD$1000,ROW()-3)&amp;"")</f>
        <v>/services/fastag-recharge</v>
      </c>
      <c r="K273" s="7" t="str">
        <f aca="false">IF(INDEX(MASTER_DATABASE!$A$4:$A$1000,ROW()-3)="","",INDEX(MASTER_DATABASE!$AX$4:$AX$1000,ROW()-3)&amp;"")</f>
        <v>FASTag Recharge Service | Devmobile Stores</v>
      </c>
      <c r="L273" s="7" t="str">
        <f aca="false">IF(INDEX(MASTER_DATABASE!$A$4:$A$1000,ROW()-3)="","",INDEX(MASTER_DATABASE!$AY$4:$AY$1000,ROW()-3)&amp;"")</f>
        <v>FASTag Recharge (FASTag रिचार्ज) at Devmobile Stores and Common Service Center &amp; Aadhaar Centre. Check required documents, charges and process before you visit.</v>
      </c>
      <c r="M273" s="7" t="str">
        <f aca="false">IF(INDEX(MASTER_DATABASE!$A$4:$A$1000,ROW()-3)="","",INDEX(MASTER_DATABASE!$AN$4:$AN$1000,ROW()-3)&amp;"")</f>
        <v>FASTag Recharge, Recharge / Bill Payment, Devmobile Stores, FASTag रिचार्ज, रिचार्ज / बिल भुगतान, सेवा</v>
      </c>
      <c r="N273" s="7" t="str">
        <f aca="false">IF(INDEX(MASTER_DATABASE!$A$4:$A$1000,ROW()-3)="","",INDEX(MASTER_DATABASE!$AZ$4:$AZ$1000,ROW()-3)&amp;"")</f>
        <v>FASTag रिचार्ज, रिचार्ज / बिल भुगतान, सेवा</v>
      </c>
      <c r="O273" s="7" t="str">
        <f aca="false">IF(INDEX(MASTER_DATABASE!$A$4:$A$1000,ROW()-3)="","",INDEX(MASTER_DATABASE!$BA$4:$BA$1000,ROW()-3)&amp;"")</f>
        <v>FASTag Recharge, Recharge / Bill Payment, Devmobile Stores</v>
      </c>
      <c r="P273" s="11" t="str">
        <f aca="false">IF(INDEX(MASTER_DATABASE!$A$4:$A$1000,ROW()-3)="","",INDEX(MASTER_DATABASE!$AP$4:$AP$1000,ROW()-3)&amp;"")</f>
        <v>🔋</v>
      </c>
      <c r="Q273" s="7" t="str">
        <f aca="false">IF(INDEX(MASTER_DATABASE!$A$4:$A$1000,ROW()-3)="","",INDEX(MASTER_DATABASE!$BB$4:$BB$1000,ROW()-3)&amp;"")</f>
        <v/>
      </c>
      <c r="R273" s="11" t="str">
        <f aca="false">IF(INDEX(MASTER_DATABASE!$A$4:$A$1000,ROW()-3)="","",INDEX(MASTER_DATABASE!$BC$4:$BC$1000,ROW()-3)&amp;"")</f>
        <v>💡</v>
      </c>
      <c r="S273" s="11" t="n">
        <f aca="false">IF(INDEX(MASTER_DATABASE!$A$4:$A$1000,ROW()-3)="","",INDEX(MASTER_DATABASE!$AQ$4:$AQ$1000,ROW()-3))</f>
        <v>30</v>
      </c>
      <c r="T273" s="7" t="str">
        <f aca="false">IF(INDEX(MASTER_DATABASE!$A$4:$A$1000,ROW()-3)="","",INDEX(MASTER_DATABASE!$I$4:$I$1000,ROW()-3)&amp;"")</f>
        <v>Authorization Required</v>
      </c>
      <c r="U273" s="7" t="str">
        <f aca="false">IF(INDEX(MASTER_DATABASE!$A$4:$A$1000,ROW()-3)="","",INDEX(MASTER_DATABASE!$J$4:$J$1000,ROW()-3)&amp;"")</f>
        <v>Please Confirm at Shop</v>
      </c>
      <c r="V273" s="7" t="str">
        <f aca="false">IF(INDEX(MASTER_DATABASE!$A$4:$A$1000,ROW()-3)="","",INDEX(MASTER_DATABASE!$AG$4:$AG$1000,ROW()-3)&amp;"")</f>
        <v>To Verify</v>
      </c>
      <c r="W273" s="7" t="str">
        <f aca="false">IF(INDEX(MASTER_DATABASE!$A$4:$A$1000,ROW()-3)="","",INDEX(MASTER_DATABASE!$AH$4:$AH$1000,ROW()-3)&amp;"")</f>
        <v>No</v>
      </c>
      <c r="X273" s="7" t="str">
        <f aca="false">IF(INDEX(MASTER_DATABASE!$A$4:$A$1000,ROW()-3)="","",INDEX(MASTER_DATABASE!$AI$4:$AI$1000,ROW()-3)&amp;"")</f>
        <v>No</v>
      </c>
      <c r="Y273" s="7" t="str">
        <f aca="false">IF(INDEX(MASTER_DATABASE!$A$4:$A$1000,ROW()-3)="","",INDEX(MASTER_DATABASE!$AJ$4:$AJ$1000,ROW()-3)&amp;"")</f>
        <v>No</v>
      </c>
      <c r="Z273" s="7" t="str">
        <f aca="false">IF(INDEX(MASTER_DATABASE!$A$4:$A$1000,ROW()-3)="","",INDEX(MASTER_DATABASE!$AK$4:$AK$1000,ROW()-3)&amp;"")</f>
        <v>No</v>
      </c>
      <c r="AA273" s="7" t="str">
        <f aca="false">IF(INDEX(MASTER_DATABASE!$A$4:$A$1000,ROW()-3)="","",INDEX(MASTER_DATABASE!$BE$4:$BE$1000,ROW()-3)&amp;"")</f>
        <v>HIDDEN</v>
      </c>
    </row>
    <row r="274" customFormat="false" ht="46.25" hidden="false" customHeight="false" outlineLevel="0" collapsed="false">
      <c r="A274" s="11" t="str">
        <f aca="false">IF(INDEX(MASTER_DATABASE!$A$4:$A$1000,ROW()-3)="","",INDEX(MASTER_DATABASE!$A$4:$A$1000,ROW()-3)&amp;"")</f>
        <v>RCH-004</v>
      </c>
      <c r="B274" s="7" t="str">
        <f aca="false">IF(INDEX(MASTER_DATABASE!$A$4:$A$1000,ROW()-3)="","",INDEX(MASTER_DATABASE!$B$4:$B$1000,ROW()-3)&amp;"")</f>
        <v>Recharge / Bill Payment</v>
      </c>
      <c r="C274" s="7" t="str">
        <f aca="false">IF(INDEX(MASTER_DATABASE!$A$4:$A$1000,ROW()-3)="","",INDEX(MASTER_DATABASE!$C$4:$C$1000,ROW()-3)&amp;"")</f>
        <v>Recharge &amp; Bill Payment</v>
      </c>
      <c r="D274" s="7" t="str">
        <f aca="false">IF(INDEX(MASTER_DATABASE!$A$4:$A$1000,ROW()-3)="","",INDEX(MASTER_DATABASE!$D$4:$D$1000,ROW()-3)&amp;"")</f>
        <v>Bill Payment (BBPS)</v>
      </c>
      <c r="E274" s="7" t="str">
        <f aca="false">IF(INDEX(MASTER_DATABASE!$A$4:$A$1000,ROW()-3)="","",INDEX(MASTER_DATABASE!$E$4:$E$1000,ROW()-3)&amp;"")</f>
        <v>Mobile Postpaid Bill Payment</v>
      </c>
      <c r="F274" s="7" t="str">
        <f aca="false">IF(INDEX(MASTER_DATABASE!$A$4:$A$1000,ROW()-3)="","",INDEX(MASTER_DATABASE!$F$4:$F$1000,ROW()-3)&amp;"")</f>
        <v>पोस्टपेड मोबाइल बिल भुगतान</v>
      </c>
      <c r="G274" s="7" t="str">
        <f aca="false">IF(INDEX(MASTER_DATABASE!$A$4:$A$1000,ROW()-3)="","",INDEX(MASTER_DATABASE!$AL$4:$AL$1000,ROW()-3)&amp;"")</f>
        <v>Recharge / Bill Payment</v>
      </c>
      <c r="H274" s="7" t="str">
        <f aca="false">IF(INDEX(MASTER_DATABASE!$A$4:$A$1000,ROW()-3)="","",INDEX(MASTER_DATABASE!$AM$4:$AM$1000,ROW()-3)&amp;"")</f>
        <v>Bill Payment (BBPS)</v>
      </c>
      <c r="I274" s="7" t="str">
        <f aca="false">IF(INDEX(MASTER_DATABASE!$A$4:$A$1000,ROW()-3)="","",INDEX(MASTER_DATABASE!$AO$4:$AO$1000,ROW()-3)&amp;"")</f>
        <v>mobile-postpaid-bill-payment</v>
      </c>
      <c r="J274" s="7" t="str">
        <f aca="false">IF(INDEX(MASTER_DATABASE!$A$4:$A$1000,ROW()-3)="","",INDEX(MASTER_DATABASE!$BD$4:$BD$1000,ROW()-3)&amp;"")</f>
        <v>/services/mobile-postpaid-bill-payment</v>
      </c>
      <c r="K274" s="7" t="str">
        <f aca="false">IF(INDEX(MASTER_DATABASE!$A$4:$A$1000,ROW()-3)="","",INDEX(MASTER_DATABASE!$AX$4:$AX$1000,ROW()-3)&amp;"")</f>
        <v>Mobile Postpaid Bill Payment Service | Devmobile Stores</v>
      </c>
      <c r="L274" s="7" t="str">
        <f aca="false">IF(INDEX(MASTER_DATABASE!$A$4:$A$1000,ROW()-3)="","",INDEX(MASTER_DATABASE!$AY$4:$AY$1000,ROW()-3)&amp;"")</f>
        <v>Mobile Postpaid Bill Payment (पोस्टपेड मोबाइल बिल भुगतान) at Devmobile Stores and Common Service Center &amp; Aadhaar Centre. Check required documents, charges and process before you visit.</v>
      </c>
      <c r="M274" s="7" t="str">
        <f aca="false">IF(INDEX(MASTER_DATABASE!$A$4:$A$1000,ROW()-3)="","",INDEX(MASTER_DATABASE!$AN$4:$AN$1000,ROW()-3)&amp;"")</f>
        <v>Mobile Postpaid Bill Payment, Recharge / Bill Payment, Devmobile Stores, पोस्टपेड मोबाइल बिल भुगतान, रिचार्ज / बिल भुगतान, सेवा</v>
      </c>
      <c r="N274" s="7" t="str">
        <f aca="false">IF(INDEX(MASTER_DATABASE!$A$4:$A$1000,ROW()-3)="","",INDEX(MASTER_DATABASE!$AZ$4:$AZ$1000,ROW()-3)&amp;"")</f>
        <v>पोस्टपेड मोबाइल बिल भुगतान, रिचार्ज / बिल भुगतान, सेवा</v>
      </c>
      <c r="O274" s="7" t="str">
        <f aca="false">IF(INDEX(MASTER_DATABASE!$A$4:$A$1000,ROW()-3)="","",INDEX(MASTER_DATABASE!$BA$4:$BA$1000,ROW()-3)&amp;"")</f>
        <v>Mobile Postpaid Bill Payment, Recharge / Bill Payment, Devmobile Stores</v>
      </c>
      <c r="P274" s="11" t="str">
        <f aca="false">IF(INDEX(MASTER_DATABASE!$A$4:$A$1000,ROW()-3)="","",INDEX(MASTER_DATABASE!$AP$4:$AP$1000,ROW()-3)&amp;"")</f>
        <v>🧾</v>
      </c>
      <c r="Q274" s="7" t="str">
        <f aca="false">IF(INDEX(MASTER_DATABASE!$A$4:$A$1000,ROW()-3)="","",INDEX(MASTER_DATABASE!$BB$4:$BB$1000,ROW()-3)&amp;"")</f>
        <v/>
      </c>
      <c r="R274" s="11" t="str">
        <f aca="false">IF(INDEX(MASTER_DATABASE!$A$4:$A$1000,ROW()-3)="","",INDEX(MASTER_DATABASE!$BC$4:$BC$1000,ROW()-3)&amp;"")</f>
        <v>💡</v>
      </c>
      <c r="S274" s="11" t="n">
        <f aca="false">IF(INDEX(MASTER_DATABASE!$A$4:$A$1000,ROW()-3)="","",INDEX(MASTER_DATABASE!$AQ$4:$AQ$1000,ROW()-3))</f>
        <v>40</v>
      </c>
      <c r="T274" s="7" t="str">
        <f aca="false">IF(INDEX(MASTER_DATABASE!$A$4:$A$1000,ROW()-3)="","",INDEX(MASTER_DATABASE!$I$4:$I$1000,ROW()-3)&amp;"")</f>
        <v>Authorization Required</v>
      </c>
      <c r="U274" s="7" t="str">
        <f aca="false">IF(INDEX(MASTER_DATABASE!$A$4:$A$1000,ROW()-3)="","",INDEX(MASTER_DATABASE!$J$4:$J$1000,ROW()-3)&amp;"")</f>
        <v>Please Confirm at Shop</v>
      </c>
      <c r="V274" s="7" t="str">
        <f aca="false">IF(INDEX(MASTER_DATABASE!$A$4:$A$1000,ROW()-3)="","",INDEX(MASTER_DATABASE!$AG$4:$AG$1000,ROW()-3)&amp;"")</f>
        <v>To Verify</v>
      </c>
      <c r="W274" s="7" t="str">
        <f aca="false">IF(INDEX(MASTER_DATABASE!$A$4:$A$1000,ROW()-3)="","",INDEX(MASTER_DATABASE!$AH$4:$AH$1000,ROW()-3)&amp;"")</f>
        <v>No</v>
      </c>
      <c r="X274" s="7" t="str">
        <f aca="false">IF(INDEX(MASTER_DATABASE!$A$4:$A$1000,ROW()-3)="","",INDEX(MASTER_DATABASE!$AI$4:$AI$1000,ROW()-3)&amp;"")</f>
        <v>No</v>
      </c>
      <c r="Y274" s="7" t="str">
        <f aca="false">IF(INDEX(MASTER_DATABASE!$A$4:$A$1000,ROW()-3)="","",INDEX(MASTER_DATABASE!$AJ$4:$AJ$1000,ROW()-3)&amp;"")</f>
        <v>No</v>
      </c>
      <c r="Z274" s="7" t="str">
        <f aca="false">IF(INDEX(MASTER_DATABASE!$A$4:$A$1000,ROW()-3)="","",INDEX(MASTER_DATABASE!$AK$4:$AK$1000,ROW()-3)&amp;"")</f>
        <v>No</v>
      </c>
      <c r="AA274" s="7" t="str">
        <f aca="false">IF(INDEX(MASTER_DATABASE!$A$4:$A$1000,ROW()-3)="","",INDEX(MASTER_DATABASE!$BE$4:$BE$1000,ROW()-3)&amp;"")</f>
        <v>HIDDEN</v>
      </c>
    </row>
    <row r="275" customFormat="false" ht="46.25" hidden="false" customHeight="false" outlineLevel="0" collapsed="false">
      <c r="A275" s="11" t="str">
        <f aca="false">IF(INDEX(MASTER_DATABASE!$A$4:$A$1000,ROW()-3)="","",INDEX(MASTER_DATABASE!$A$4:$A$1000,ROW()-3)&amp;"")</f>
        <v>RCH-005</v>
      </c>
      <c r="B275" s="7" t="str">
        <f aca="false">IF(INDEX(MASTER_DATABASE!$A$4:$A$1000,ROW()-3)="","",INDEX(MASTER_DATABASE!$B$4:$B$1000,ROW()-3)&amp;"")</f>
        <v>Recharge / Bill Payment</v>
      </c>
      <c r="C275" s="7" t="str">
        <f aca="false">IF(INDEX(MASTER_DATABASE!$A$4:$A$1000,ROW()-3)="","",INDEX(MASTER_DATABASE!$C$4:$C$1000,ROW()-3)&amp;"")</f>
        <v>Recharge &amp; Bill Payment</v>
      </c>
      <c r="D275" s="7" t="str">
        <f aca="false">IF(INDEX(MASTER_DATABASE!$A$4:$A$1000,ROW()-3)="","",INDEX(MASTER_DATABASE!$D$4:$D$1000,ROW()-3)&amp;"")</f>
        <v>Bill Payment (BBPS)</v>
      </c>
      <c r="E275" s="7" t="str">
        <f aca="false">IF(INDEX(MASTER_DATABASE!$A$4:$A$1000,ROW()-3)="","",INDEX(MASTER_DATABASE!$E$4:$E$1000,ROW()-3)&amp;"")</f>
        <v>Electricity Bill Payment</v>
      </c>
      <c r="F275" s="7" t="str">
        <f aca="false">IF(INDEX(MASTER_DATABASE!$A$4:$A$1000,ROW()-3)="","",INDEX(MASTER_DATABASE!$F$4:$F$1000,ROW()-3)&amp;"")</f>
        <v>बिजली बिल भुगतान</v>
      </c>
      <c r="G275" s="7" t="str">
        <f aca="false">IF(INDEX(MASTER_DATABASE!$A$4:$A$1000,ROW()-3)="","",INDEX(MASTER_DATABASE!$AL$4:$AL$1000,ROW()-3)&amp;"")</f>
        <v>Recharge / Bill Payment</v>
      </c>
      <c r="H275" s="7" t="str">
        <f aca="false">IF(INDEX(MASTER_DATABASE!$A$4:$A$1000,ROW()-3)="","",INDEX(MASTER_DATABASE!$AM$4:$AM$1000,ROW()-3)&amp;"")</f>
        <v>Bill Payment (BBPS)</v>
      </c>
      <c r="I275" s="7" t="str">
        <f aca="false">IF(INDEX(MASTER_DATABASE!$A$4:$A$1000,ROW()-3)="","",INDEX(MASTER_DATABASE!$AO$4:$AO$1000,ROW()-3)&amp;"")</f>
        <v>electricity-bill-payment</v>
      </c>
      <c r="J275" s="7" t="str">
        <f aca="false">IF(INDEX(MASTER_DATABASE!$A$4:$A$1000,ROW()-3)="","",INDEX(MASTER_DATABASE!$BD$4:$BD$1000,ROW()-3)&amp;"")</f>
        <v>/services/electricity-bill-payment</v>
      </c>
      <c r="K275" s="7" t="str">
        <f aca="false">IF(INDEX(MASTER_DATABASE!$A$4:$A$1000,ROW()-3)="","",INDEX(MASTER_DATABASE!$AX$4:$AX$1000,ROW()-3)&amp;"")</f>
        <v>Electricity Bill Payment Service | Devmobile Stores</v>
      </c>
      <c r="L275" s="7" t="str">
        <f aca="false">IF(INDEX(MASTER_DATABASE!$A$4:$A$1000,ROW()-3)="","",INDEX(MASTER_DATABASE!$AY$4:$AY$1000,ROW()-3)&amp;"")</f>
        <v>Electricity Bill Payment (बिजली बिल भुगतान) at Devmobile Stores and Common Service Center &amp; Aadhaar Centre. Check required documents, charges and process before you visit.</v>
      </c>
      <c r="M275" s="7" t="str">
        <f aca="false">IF(INDEX(MASTER_DATABASE!$A$4:$A$1000,ROW()-3)="","",INDEX(MASTER_DATABASE!$AN$4:$AN$1000,ROW()-3)&amp;"")</f>
        <v>Electricity Bill Payment, Recharge / Bill Payment, Devmobile Stores, बिजली बिल भुगतान, रिचार्ज / बिल भुगतान, सेवा</v>
      </c>
      <c r="N275" s="7" t="str">
        <f aca="false">IF(INDEX(MASTER_DATABASE!$A$4:$A$1000,ROW()-3)="","",INDEX(MASTER_DATABASE!$AZ$4:$AZ$1000,ROW()-3)&amp;"")</f>
        <v>बिजली बिल भुगतान, रिचार्ज / बिल भुगतान, सेवा</v>
      </c>
      <c r="O275" s="7" t="str">
        <f aca="false">IF(INDEX(MASTER_DATABASE!$A$4:$A$1000,ROW()-3)="","",INDEX(MASTER_DATABASE!$BA$4:$BA$1000,ROW()-3)&amp;"")</f>
        <v>Electricity Bill Payment, Recharge / Bill Payment, Devmobile Stores</v>
      </c>
      <c r="P275" s="11" t="str">
        <f aca="false">IF(INDEX(MASTER_DATABASE!$A$4:$A$1000,ROW()-3)="","",INDEX(MASTER_DATABASE!$AP$4:$AP$1000,ROW()-3)&amp;"")</f>
        <v>🧾</v>
      </c>
      <c r="Q275" s="7" t="str">
        <f aca="false">IF(INDEX(MASTER_DATABASE!$A$4:$A$1000,ROW()-3)="","",INDEX(MASTER_DATABASE!$BB$4:$BB$1000,ROW()-3)&amp;"")</f>
        <v/>
      </c>
      <c r="R275" s="11" t="str">
        <f aca="false">IF(INDEX(MASTER_DATABASE!$A$4:$A$1000,ROW()-3)="","",INDEX(MASTER_DATABASE!$BC$4:$BC$1000,ROW()-3)&amp;"")</f>
        <v>💡</v>
      </c>
      <c r="S275" s="11" t="n">
        <f aca="false">IF(INDEX(MASTER_DATABASE!$A$4:$A$1000,ROW()-3)="","",INDEX(MASTER_DATABASE!$AQ$4:$AQ$1000,ROW()-3))</f>
        <v>50</v>
      </c>
      <c r="T275" s="7" t="str">
        <f aca="false">IF(INDEX(MASTER_DATABASE!$A$4:$A$1000,ROW()-3)="","",INDEX(MASTER_DATABASE!$I$4:$I$1000,ROW()-3)&amp;"")</f>
        <v>Authorization Required</v>
      </c>
      <c r="U275" s="7" t="str">
        <f aca="false">IF(INDEX(MASTER_DATABASE!$A$4:$A$1000,ROW()-3)="","",INDEX(MASTER_DATABASE!$J$4:$J$1000,ROW()-3)&amp;"")</f>
        <v>Please Confirm at Shop</v>
      </c>
      <c r="V275" s="7" t="str">
        <f aca="false">IF(INDEX(MASTER_DATABASE!$A$4:$A$1000,ROW()-3)="","",INDEX(MASTER_DATABASE!$AG$4:$AG$1000,ROW()-3)&amp;"")</f>
        <v>To Verify</v>
      </c>
      <c r="W275" s="7" t="str">
        <f aca="false">IF(INDEX(MASTER_DATABASE!$A$4:$A$1000,ROW()-3)="","",INDEX(MASTER_DATABASE!$AH$4:$AH$1000,ROW()-3)&amp;"")</f>
        <v>No</v>
      </c>
      <c r="X275" s="7" t="str">
        <f aca="false">IF(INDEX(MASTER_DATABASE!$A$4:$A$1000,ROW()-3)="","",INDEX(MASTER_DATABASE!$AI$4:$AI$1000,ROW()-3)&amp;"")</f>
        <v>No</v>
      </c>
      <c r="Y275" s="7" t="str">
        <f aca="false">IF(INDEX(MASTER_DATABASE!$A$4:$A$1000,ROW()-3)="","",INDEX(MASTER_DATABASE!$AJ$4:$AJ$1000,ROW()-3)&amp;"")</f>
        <v>No</v>
      </c>
      <c r="Z275" s="7" t="str">
        <f aca="false">IF(INDEX(MASTER_DATABASE!$A$4:$A$1000,ROW()-3)="","",INDEX(MASTER_DATABASE!$AK$4:$AK$1000,ROW()-3)&amp;"")</f>
        <v>No</v>
      </c>
      <c r="AA275" s="7" t="str">
        <f aca="false">IF(INDEX(MASTER_DATABASE!$A$4:$A$1000,ROW()-3)="","",INDEX(MASTER_DATABASE!$BE$4:$BE$1000,ROW()-3)&amp;"")</f>
        <v>HIDDEN</v>
      </c>
    </row>
    <row r="276" customFormat="false" ht="46.25" hidden="false" customHeight="false" outlineLevel="0" collapsed="false">
      <c r="A276" s="11" t="str">
        <f aca="false">IF(INDEX(MASTER_DATABASE!$A$4:$A$1000,ROW()-3)="","",INDEX(MASTER_DATABASE!$A$4:$A$1000,ROW()-3)&amp;"")</f>
        <v>RCH-006</v>
      </c>
      <c r="B276" s="7" t="str">
        <f aca="false">IF(INDEX(MASTER_DATABASE!$A$4:$A$1000,ROW()-3)="","",INDEX(MASTER_DATABASE!$B$4:$B$1000,ROW()-3)&amp;"")</f>
        <v>Recharge / Bill Payment</v>
      </c>
      <c r="C276" s="7" t="str">
        <f aca="false">IF(INDEX(MASTER_DATABASE!$A$4:$A$1000,ROW()-3)="","",INDEX(MASTER_DATABASE!$C$4:$C$1000,ROW()-3)&amp;"")</f>
        <v>Recharge &amp; Bill Payment</v>
      </c>
      <c r="D276" s="7" t="str">
        <f aca="false">IF(INDEX(MASTER_DATABASE!$A$4:$A$1000,ROW()-3)="","",INDEX(MASTER_DATABASE!$D$4:$D$1000,ROW()-3)&amp;"")</f>
        <v>Bill Payment (BBPS)</v>
      </c>
      <c r="E276" s="7" t="str">
        <f aca="false">IF(INDEX(MASTER_DATABASE!$A$4:$A$1000,ROW()-3)="","",INDEX(MASTER_DATABASE!$E$4:$E$1000,ROW()-3)&amp;"")</f>
        <v>Water Bill Payment</v>
      </c>
      <c r="F276" s="7" t="str">
        <f aca="false">IF(INDEX(MASTER_DATABASE!$A$4:$A$1000,ROW()-3)="","",INDEX(MASTER_DATABASE!$F$4:$F$1000,ROW()-3)&amp;"")</f>
        <v>पानी बिल भुगतान</v>
      </c>
      <c r="G276" s="7" t="str">
        <f aca="false">IF(INDEX(MASTER_DATABASE!$A$4:$A$1000,ROW()-3)="","",INDEX(MASTER_DATABASE!$AL$4:$AL$1000,ROW()-3)&amp;"")</f>
        <v>Recharge / Bill Payment</v>
      </c>
      <c r="H276" s="7" t="str">
        <f aca="false">IF(INDEX(MASTER_DATABASE!$A$4:$A$1000,ROW()-3)="","",INDEX(MASTER_DATABASE!$AM$4:$AM$1000,ROW()-3)&amp;"")</f>
        <v>Bill Payment (BBPS)</v>
      </c>
      <c r="I276" s="7" t="str">
        <f aca="false">IF(INDEX(MASTER_DATABASE!$A$4:$A$1000,ROW()-3)="","",INDEX(MASTER_DATABASE!$AO$4:$AO$1000,ROW()-3)&amp;"")</f>
        <v>water-bill-payment</v>
      </c>
      <c r="J276" s="7" t="str">
        <f aca="false">IF(INDEX(MASTER_DATABASE!$A$4:$A$1000,ROW()-3)="","",INDEX(MASTER_DATABASE!$BD$4:$BD$1000,ROW()-3)&amp;"")</f>
        <v>/services/water-bill-payment</v>
      </c>
      <c r="K276" s="7" t="str">
        <f aca="false">IF(INDEX(MASTER_DATABASE!$A$4:$A$1000,ROW()-3)="","",INDEX(MASTER_DATABASE!$AX$4:$AX$1000,ROW()-3)&amp;"")</f>
        <v>Water Bill Payment Service | Devmobile Stores</v>
      </c>
      <c r="L276" s="7" t="str">
        <f aca="false">IF(INDEX(MASTER_DATABASE!$A$4:$A$1000,ROW()-3)="","",INDEX(MASTER_DATABASE!$AY$4:$AY$1000,ROW()-3)&amp;"")</f>
        <v>Water Bill Payment (पानी बिल भुगतान) at Devmobile Stores and Common Service Center &amp; Aadhaar Centre. Check required documents, charges and process before you visit.</v>
      </c>
      <c r="M276" s="7" t="str">
        <f aca="false">IF(INDEX(MASTER_DATABASE!$A$4:$A$1000,ROW()-3)="","",INDEX(MASTER_DATABASE!$AN$4:$AN$1000,ROW()-3)&amp;"")</f>
        <v>Water Bill Payment, Recharge / Bill Payment, Devmobile Stores, पानी बिल भुगतान, रिचार्ज / बिल भुगतान, सेवा</v>
      </c>
      <c r="N276" s="7" t="str">
        <f aca="false">IF(INDEX(MASTER_DATABASE!$A$4:$A$1000,ROW()-3)="","",INDEX(MASTER_DATABASE!$AZ$4:$AZ$1000,ROW()-3)&amp;"")</f>
        <v>पानी बिल भुगतान, रिचार्ज / बिल भुगतान, सेवा</v>
      </c>
      <c r="O276" s="7" t="str">
        <f aca="false">IF(INDEX(MASTER_DATABASE!$A$4:$A$1000,ROW()-3)="","",INDEX(MASTER_DATABASE!$BA$4:$BA$1000,ROW()-3)&amp;"")</f>
        <v>Water Bill Payment, Recharge / Bill Payment, Devmobile Stores</v>
      </c>
      <c r="P276" s="11" t="str">
        <f aca="false">IF(INDEX(MASTER_DATABASE!$A$4:$A$1000,ROW()-3)="","",INDEX(MASTER_DATABASE!$AP$4:$AP$1000,ROW()-3)&amp;"")</f>
        <v>🧾</v>
      </c>
      <c r="Q276" s="7" t="str">
        <f aca="false">IF(INDEX(MASTER_DATABASE!$A$4:$A$1000,ROW()-3)="","",INDEX(MASTER_DATABASE!$BB$4:$BB$1000,ROW()-3)&amp;"")</f>
        <v/>
      </c>
      <c r="R276" s="11" t="str">
        <f aca="false">IF(INDEX(MASTER_DATABASE!$A$4:$A$1000,ROW()-3)="","",INDEX(MASTER_DATABASE!$BC$4:$BC$1000,ROW()-3)&amp;"")</f>
        <v>💡</v>
      </c>
      <c r="S276" s="11" t="n">
        <f aca="false">IF(INDEX(MASTER_DATABASE!$A$4:$A$1000,ROW()-3)="","",INDEX(MASTER_DATABASE!$AQ$4:$AQ$1000,ROW()-3))</f>
        <v>60</v>
      </c>
      <c r="T276" s="7" t="str">
        <f aca="false">IF(INDEX(MASTER_DATABASE!$A$4:$A$1000,ROW()-3)="","",INDEX(MASTER_DATABASE!$I$4:$I$1000,ROW()-3)&amp;"")</f>
        <v>Authorization Required</v>
      </c>
      <c r="U276" s="7" t="str">
        <f aca="false">IF(INDEX(MASTER_DATABASE!$A$4:$A$1000,ROW()-3)="","",INDEX(MASTER_DATABASE!$J$4:$J$1000,ROW()-3)&amp;"")</f>
        <v>Please Confirm at Shop</v>
      </c>
      <c r="V276" s="7" t="str">
        <f aca="false">IF(INDEX(MASTER_DATABASE!$A$4:$A$1000,ROW()-3)="","",INDEX(MASTER_DATABASE!$AG$4:$AG$1000,ROW()-3)&amp;"")</f>
        <v>To Verify</v>
      </c>
      <c r="W276" s="7" t="str">
        <f aca="false">IF(INDEX(MASTER_DATABASE!$A$4:$A$1000,ROW()-3)="","",INDEX(MASTER_DATABASE!$AH$4:$AH$1000,ROW()-3)&amp;"")</f>
        <v>No</v>
      </c>
      <c r="X276" s="7" t="str">
        <f aca="false">IF(INDEX(MASTER_DATABASE!$A$4:$A$1000,ROW()-3)="","",INDEX(MASTER_DATABASE!$AI$4:$AI$1000,ROW()-3)&amp;"")</f>
        <v>No</v>
      </c>
      <c r="Y276" s="7" t="str">
        <f aca="false">IF(INDEX(MASTER_DATABASE!$A$4:$A$1000,ROW()-3)="","",INDEX(MASTER_DATABASE!$AJ$4:$AJ$1000,ROW()-3)&amp;"")</f>
        <v>No</v>
      </c>
      <c r="Z276" s="7" t="str">
        <f aca="false">IF(INDEX(MASTER_DATABASE!$A$4:$A$1000,ROW()-3)="","",INDEX(MASTER_DATABASE!$AK$4:$AK$1000,ROW()-3)&amp;"")</f>
        <v>No</v>
      </c>
      <c r="AA276" s="7" t="str">
        <f aca="false">IF(INDEX(MASTER_DATABASE!$A$4:$A$1000,ROW()-3)="","",INDEX(MASTER_DATABASE!$BE$4:$BE$1000,ROW()-3)&amp;"")</f>
        <v>HIDDEN</v>
      </c>
    </row>
    <row r="277" customFormat="false" ht="46.25" hidden="false" customHeight="false" outlineLevel="0" collapsed="false">
      <c r="A277" s="11" t="str">
        <f aca="false">IF(INDEX(MASTER_DATABASE!$A$4:$A$1000,ROW()-3)="","",INDEX(MASTER_DATABASE!$A$4:$A$1000,ROW()-3)&amp;"")</f>
        <v>RCH-007</v>
      </c>
      <c r="B277" s="7" t="str">
        <f aca="false">IF(INDEX(MASTER_DATABASE!$A$4:$A$1000,ROW()-3)="","",INDEX(MASTER_DATABASE!$B$4:$B$1000,ROW()-3)&amp;"")</f>
        <v>Recharge / Bill Payment</v>
      </c>
      <c r="C277" s="7" t="str">
        <f aca="false">IF(INDEX(MASTER_DATABASE!$A$4:$A$1000,ROW()-3)="","",INDEX(MASTER_DATABASE!$C$4:$C$1000,ROW()-3)&amp;"")</f>
        <v>Recharge &amp; Bill Payment</v>
      </c>
      <c r="D277" s="7" t="str">
        <f aca="false">IF(INDEX(MASTER_DATABASE!$A$4:$A$1000,ROW()-3)="","",INDEX(MASTER_DATABASE!$D$4:$D$1000,ROW()-3)&amp;"")</f>
        <v>Bill Payment (BBPS)</v>
      </c>
      <c r="E277" s="7" t="str">
        <f aca="false">IF(INDEX(MASTER_DATABASE!$A$4:$A$1000,ROW()-3)="","",INDEX(MASTER_DATABASE!$E$4:$E$1000,ROW()-3)&amp;"")</f>
        <v>Gas (Piped / PNG) Bill Payment</v>
      </c>
      <c r="F277" s="7" t="str">
        <f aca="false">IF(INDEX(MASTER_DATABASE!$A$4:$A$1000,ROW()-3)="","",INDEX(MASTER_DATABASE!$F$4:$F$1000,ROW()-3)&amp;"")</f>
        <v>गैस (PNG) बिल भुगतान</v>
      </c>
      <c r="G277" s="7" t="str">
        <f aca="false">IF(INDEX(MASTER_DATABASE!$A$4:$A$1000,ROW()-3)="","",INDEX(MASTER_DATABASE!$AL$4:$AL$1000,ROW()-3)&amp;"")</f>
        <v>Recharge / Bill Payment</v>
      </c>
      <c r="H277" s="7" t="str">
        <f aca="false">IF(INDEX(MASTER_DATABASE!$A$4:$A$1000,ROW()-3)="","",INDEX(MASTER_DATABASE!$AM$4:$AM$1000,ROW()-3)&amp;"")</f>
        <v>Bill Payment (BBPS)</v>
      </c>
      <c r="I277" s="7" t="str">
        <f aca="false">IF(INDEX(MASTER_DATABASE!$A$4:$A$1000,ROW()-3)="","",INDEX(MASTER_DATABASE!$AO$4:$AO$1000,ROW()-3)&amp;"")</f>
        <v>gas-piped-png-bill-payment</v>
      </c>
      <c r="J277" s="7" t="str">
        <f aca="false">IF(INDEX(MASTER_DATABASE!$A$4:$A$1000,ROW()-3)="","",INDEX(MASTER_DATABASE!$BD$4:$BD$1000,ROW()-3)&amp;"")</f>
        <v>/services/gas-piped-png-bill-payment</v>
      </c>
      <c r="K277" s="7" t="str">
        <f aca="false">IF(INDEX(MASTER_DATABASE!$A$4:$A$1000,ROW()-3)="","",INDEX(MASTER_DATABASE!$AX$4:$AX$1000,ROW()-3)&amp;"")</f>
        <v>Gas (Piped / PNG) Bill Payment Service | Devmobile Stores</v>
      </c>
      <c r="L277" s="7" t="str">
        <f aca="false">IF(INDEX(MASTER_DATABASE!$A$4:$A$1000,ROW()-3)="","",INDEX(MASTER_DATABASE!$AY$4:$AY$1000,ROW()-3)&amp;"")</f>
        <v>Gas (Piped / PNG) Bill Payment (गैस (PNG) बिल भुगतान) at Devmobile Stores and Common Service Center &amp; Aadhaar Centre. Check required documents, charges and process before you visit.</v>
      </c>
      <c r="M277" s="7" t="str">
        <f aca="false">IF(INDEX(MASTER_DATABASE!$A$4:$A$1000,ROW()-3)="","",INDEX(MASTER_DATABASE!$AN$4:$AN$1000,ROW()-3)&amp;"")</f>
        <v>Gas (Piped / PNG) Bill Payment, Recharge / Bill Payment, Devmobile Stores, गैस (PNG) बिल भुगतान, रिचार्ज / बिल भुगतान, सेवा</v>
      </c>
      <c r="N277" s="7" t="str">
        <f aca="false">IF(INDEX(MASTER_DATABASE!$A$4:$A$1000,ROW()-3)="","",INDEX(MASTER_DATABASE!$AZ$4:$AZ$1000,ROW()-3)&amp;"")</f>
        <v>गैस (PNG) बिल भुगतान, रिचार्ज / बिल भुगतान, सेवा</v>
      </c>
      <c r="O277" s="7" t="str">
        <f aca="false">IF(INDEX(MASTER_DATABASE!$A$4:$A$1000,ROW()-3)="","",INDEX(MASTER_DATABASE!$BA$4:$BA$1000,ROW()-3)&amp;"")</f>
        <v>Gas (Piped / PNG) Bill Payment, Recharge / Bill Payment, Devmobile Stores</v>
      </c>
      <c r="P277" s="11" t="str">
        <f aca="false">IF(INDEX(MASTER_DATABASE!$A$4:$A$1000,ROW()-3)="","",INDEX(MASTER_DATABASE!$AP$4:$AP$1000,ROW()-3)&amp;"")</f>
        <v>🧾</v>
      </c>
      <c r="Q277" s="7" t="str">
        <f aca="false">IF(INDEX(MASTER_DATABASE!$A$4:$A$1000,ROW()-3)="","",INDEX(MASTER_DATABASE!$BB$4:$BB$1000,ROW()-3)&amp;"")</f>
        <v/>
      </c>
      <c r="R277" s="11" t="str">
        <f aca="false">IF(INDEX(MASTER_DATABASE!$A$4:$A$1000,ROW()-3)="","",INDEX(MASTER_DATABASE!$BC$4:$BC$1000,ROW()-3)&amp;"")</f>
        <v>💡</v>
      </c>
      <c r="S277" s="11" t="n">
        <f aca="false">IF(INDEX(MASTER_DATABASE!$A$4:$A$1000,ROW()-3)="","",INDEX(MASTER_DATABASE!$AQ$4:$AQ$1000,ROW()-3))</f>
        <v>70</v>
      </c>
      <c r="T277" s="7" t="str">
        <f aca="false">IF(INDEX(MASTER_DATABASE!$A$4:$A$1000,ROW()-3)="","",INDEX(MASTER_DATABASE!$I$4:$I$1000,ROW()-3)&amp;"")</f>
        <v>Authorization Required</v>
      </c>
      <c r="U277" s="7" t="str">
        <f aca="false">IF(INDEX(MASTER_DATABASE!$A$4:$A$1000,ROW()-3)="","",INDEX(MASTER_DATABASE!$J$4:$J$1000,ROW()-3)&amp;"")</f>
        <v>Please Confirm at Shop</v>
      </c>
      <c r="V277" s="7" t="str">
        <f aca="false">IF(INDEX(MASTER_DATABASE!$A$4:$A$1000,ROW()-3)="","",INDEX(MASTER_DATABASE!$AG$4:$AG$1000,ROW()-3)&amp;"")</f>
        <v>To Verify</v>
      </c>
      <c r="W277" s="7" t="str">
        <f aca="false">IF(INDEX(MASTER_DATABASE!$A$4:$A$1000,ROW()-3)="","",INDEX(MASTER_DATABASE!$AH$4:$AH$1000,ROW()-3)&amp;"")</f>
        <v>No</v>
      </c>
      <c r="X277" s="7" t="str">
        <f aca="false">IF(INDEX(MASTER_DATABASE!$A$4:$A$1000,ROW()-3)="","",INDEX(MASTER_DATABASE!$AI$4:$AI$1000,ROW()-3)&amp;"")</f>
        <v>No</v>
      </c>
      <c r="Y277" s="7" t="str">
        <f aca="false">IF(INDEX(MASTER_DATABASE!$A$4:$A$1000,ROW()-3)="","",INDEX(MASTER_DATABASE!$AJ$4:$AJ$1000,ROW()-3)&amp;"")</f>
        <v>No</v>
      </c>
      <c r="Z277" s="7" t="str">
        <f aca="false">IF(INDEX(MASTER_DATABASE!$A$4:$A$1000,ROW()-3)="","",INDEX(MASTER_DATABASE!$AK$4:$AK$1000,ROW()-3)&amp;"")</f>
        <v>No</v>
      </c>
      <c r="AA277" s="7" t="str">
        <f aca="false">IF(INDEX(MASTER_DATABASE!$A$4:$A$1000,ROW()-3)="","",INDEX(MASTER_DATABASE!$BE$4:$BE$1000,ROW()-3)&amp;"")</f>
        <v>HIDDEN</v>
      </c>
    </row>
    <row r="278" customFormat="false" ht="46.25" hidden="false" customHeight="false" outlineLevel="0" collapsed="false">
      <c r="A278" s="11" t="str">
        <f aca="false">IF(INDEX(MASTER_DATABASE!$A$4:$A$1000,ROW()-3)="","",INDEX(MASTER_DATABASE!$A$4:$A$1000,ROW()-3)&amp;"")</f>
        <v>RCH-008</v>
      </c>
      <c r="B278" s="7" t="str">
        <f aca="false">IF(INDEX(MASTER_DATABASE!$A$4:$A$1000,ROW()-3)="","",INDEX(MASTER_DATABASE!$B$4:$B$1000,ROW()-3)&amp;"")</f>
        <v>Recharge / Bill Payment</v>
      </c>
      <c r="C278" s="7" t="str">
        <f aca="false">IF(INDEX(MASTER_DATABASE!$A$4:$A$1000,ROW()-3)="","",INDEX(MASTER_DATABASE!$C$4:$C$1000,ROW()-3)&amp;"")</f>
        <v>Recharge &amp; Bill Payment</v>
      </c>
      <c r="D278" s="7" t="str">
        <f aca="false">IF(INDEX(MASTER_DATABASE!$A$4:$A$1000,ROW()-3)="","",INDEX(MASTER_DATABASE!$D$4:$D$1000,ROW()-3)&amp;"")</f>
        <v>Bill Payment (BBPS)</v>
      </c>
      <c r="E278" s="7" t="str">
        <f aca="false">IF(INDEX(MASTER_DATABASE!$A$4:$A$1000,ROW()-3)="","",INDEX(MASTER_DATABASE!$E$4:$E$1000,ROW()-3)&amp;"")</f>
        <v>LPG Cylinder Booking / Payment</v>
      </c>
      <c r="F278" s="7" t="str">
        <f aca="false">IF(INDEX(MASTER_DATABASE!$A$4:$A$1000,ROW()-3)="","",INDEX(MASTER_DATABASE!$F$4:$F$1000,ROW()-3)&amp;"")</f>
        <v>LPG सिलेंडर बुकिंग / भुगतान</v>
      </c>
      <c r="G278" s="7" t="str">
        <f aca="false">IF(INDEX(MASTER_DATABASE!$A$4:$A$1000,ROW()-3)="","",INDEX(MASTER_DATABASE!$AL$4:$AL$1000,ROW()-3)&amp;"")</f>
        <v>Recharge / Bill Payment</v>
      </c>
      <c r="H278" s="7" t="str">
        <f aca="false">IF(INDEX(MASTER_DATABASE!$A$4:$A$1000,ROW()-3)="","",INDEX(MASTER_DATABASE!$AM$4:$AM$1000,ROW()-3)&amp;"")</f>
        <v>Bill Payment (BBPS)</v>
      </c>
      <c r="I278" s="7" t="str">
        <f aca="false">IF(INDEX(MASTER_DATABASE!$A$4:$A$1000,ROW()-3)="","",INDEX(MASTER_DATABASE!$AO$4:$AO$1000,ROW()-3)&amp;"")</f>
        <v>lpg-cylinder-booking-payment</v>
      </c>
      <c r="J278" s="7" t="str">
        <f aca="false">IF(INDEX(MASTER_DATABASE!$A$4:$A$1000,ROW()-3)="","",INDEX(MASTER_DATABASE!$BD$4:$BD$1000,ROW()-3)&amp;"")</f>
        <v>/services/lpg-cylinder-booking-payment</v>
      </c>
      <c r="K278" s="7" t="str">
        <f aca="false">IF(INDEX(MASTER_DATABASE!$A$4:$A$1000,ROW()-3)="","",INDEX(MASTER_DATABASE!$AX$4:$AX$1000,ROW()-3)&amp;"")</f>
        <v>LPG Cylinder Booking / Payment Service | Devmobile Stores</v>
      </c>
      <c r="L278" s="7" t="str">
        <f aca="false">IF(INDEX(MASTER_DATABASE!$A$4:$A$1000,ROW()-3)="","",INDEX(MASTER_DATABASE!$AY$4:$AY$1000,ROW()-3)&amp;"")</f>
        <v>LPG Cylinder Booking / Payment (LPG सिलेंडर बुकिंग / भुगतान) at Devmobile Stores and Common Service Center &amp; Aadhaar Centre. Check required documents, charges and process before you visit.</v>
      </c>
      <c r="M278" s="7" t="str">
        <f aca="false">IF(INDEX(MASTER_DATABASE!$A$4:$A$1000,ROW()-3)="","",INDEX(MASTER_DATABASE!$AN$4:$AN$1000,ROW()-3)&amp;"")</f>
        <v>LPG Cylinder Booking / Payment, Recharge / Bill Payment, Devmobile Stores, LPG सिलेंडर बुकिंग / भुगतान, रिचार्ज / बिल भुगतान, सेवा</v>
      </c>
      <c r="N278" s="7" t="str">
        <f aca="false">IF(INDEX(MASTER_DATABASE!$A$4:$A$1000,ROW()-3)="","",INDEX(MASTER_DATABASE!$AZ$4:$AZ$1000,ROW()-3)&amp;"")</f>
        <v>LPG सिलेंडर बुकिंग / भुगतान, रिचार्ज / बिल भुगतान, सेवा</v>
      </c>
      <c r="O278" s="7" t="str">
        <f aca="false">IF(INDEX(MASTER_DATABASE!$A$4:$A$1000,ROW()-3)="","",INDEX(MASTER_DATABASE!$BA$4:$BA$1000,ROW()-3)&amp;"")</f>
        <v>LPG Cylinder Booking / Payment, Recharge / Bill Payment, Devmobile Stores</v>
      </c>
      <c r="P278" s="11" t="str">
        <f aca="false">IF(INDEX(MASTER_DATABASE!$A$4:$A$1000,ROW()-3)="","",INDEX(MASTER_DATABASE!$AP$4:$AP$1000,ROW()-3)&amp;"")</f>
        <v>🧾</v>
      </c>
      <c r="Q278" s="7" t="str">
        <f aca="false">IF(INDEX(MASTER_DATABASE!$A$4:$A$1000,ROW()-3)="","",INDEX(MASTER_DATABASE!$BB$4:$BB$1000,ROW()-3)&amp;"")</f>
        <v/>
      </c>
      <c r="R278" s="11" t="str">
        <f aca="false">IF(INDEX(MASTER_DATABASE!$A$4:$A$1000,ROW()-3)="","",INDEX(MASTER_DATABASE!$BC$4:$BC$1000,ROW()-3)&amp;"")</f>
        <v>💡</v>
      </c>
      <c r="S278" s="11" t="n">
        <f aca="false">IF(INDEX(MASTER_DATABASE!$A$4:$A$1000,ROW()-3)="","",INDEX(MASTER_DATABASE!$AQ$4:$AQ$1000,ROW()-3))</f>
        <v>80</v>
      </c>
      <c r="T278" s="7" t="str">
        <f aca="false">IF(INDEX(MASTER_DATABASE!$A$4:$A$1000,ROW()-3)="","",INDEX(MASTER_DATABASE!$I$4:$I$1000,ROW()-3)&amp;"")</f>
        <v>Authorization Required</v>
      </c>
      <c r="U278" s="7" t="str">
        <f aca="false">IF(INDEX(MASTER_DATABASE!$A$4:$A$1000,ROW()-3)="","",INDEX(MASTER_DATABASE!$J$4:$J$1000,ROW()-3)&amp;"")</f>
        <v>Please Confirm at Shop</v>
      </c>
      <c r="V278" s="7" t="str">
        <f aca="false">IF(INDEX(MASTER_DATABASE!$A$4:$A$1000,ROW()-3)="","",INDEX(MASTER_DATABASE!$AG$4:$AG$1000,ROW()-3)&amp;"")</f>
        <v>To Verify</v>
      </c>
      <c r="W278" s="7" t="str">
        <f aca="false">IF(INDEX(MASTER_DATABASE!$A$4:$A$1000,ROW()-3)="","",INDEX(MASTER_DATABASE!$AH$4:$AH$1000,ROW()-3)&amp;"")</f>
        <v>No</v>
      </c>
      <c r="X278" s="7" t="str">
        <f aca="false">IF(INDEX(MASTER_DATABASE!$A$4:$A$1000,ROW()-3)="","",INDEX(MASTER_DATABASE!$AI$4:$AI$1000,ROW()-3)&amp;"")</f>
        <v>No</v>
      </c>
      <c r="Y278" s="7" t="str">
        <f aca="false">IF(INDEX(MASTER_DATABASE!$A$4:$A$1000,ROW()-3)="","",INDEX(MASTER_DATABASE!$AJ$4:$AJ$1000,ROW()-3)&amp;"")</f>
        <v>No</v>
      </c>
      <c r="Z278" s="7" t="str">
        <f aca="false">IF(INDEX(MASTER_DATABASE!$A$4:$A$1000,ROW()-3)="","",INDEX(MASTER_DATABASE!$AK$4:$AK$1000,ROW()-3)&amp;"")</f>
        <v>No</v>
      </c>
      <c r="AA278" s="7" t="str">
        <f aca="false">IF(INDEX(MASTER_DATABASE!$A$4:$A$1000,ROW()-3)="","",INDEX(MASTER_DATABASE!$BE$4:$BE$1000,ROW()-3)&amp;"")</f>
        <v>HIDDEN</v>
      </c>
    </row>
    <row r="279" customFormat="false" ht="46.25" hidden="false" customHeight="false" outlineLevel="0" collapsed="false">
      <c r="A279" s="11" t="str">
        <f aca="false">IF(INDEX(MASTER_DATABASE!$A$4:$A$1000,ROW()-3)="","",INDEX(MASTER_DATABASE!$A$4:$A$1000,ROW()-3)&amp;"")</f>
        <v>RCH-009</v>
      </c>
      <c r="B279" s="7" t="str">
        <f aca="false">IF(INDEX(MASTER_DATABASE!$A$4:$A$1000,ROW()-3)="","",INDEX(MASTER_DATABASE!$B$4:$B$1000,ROW()-3)&amp;"")</f>
        <v>Recharge / Bill Payment</v>
      </c>
      <c r="C279" s="7" t="str">
        <f aca="false">IF(INDEX(MASTER_DATABASE!$A$4:$A$1000,ROW()-3)="","",INDEX(MASTER_DATABASE!$C$4:$C$1000,ROW()-3)&amp;"")</f>
        <v>Recharge &amp; Bill Payment</v>
      </c>
      <c r="D279" s="7" t="str">
        <f aca="false">IF(INDEX(MASTER_DATABASE!$A$4:$A$1000,ROW()-3)="","",INDEX(MASTER_DATABASE!$D$4:$D$1000,ROW()-3)&amp;"")</f>
        <v>Bill Payment (BBPS)</v>
      </c>
      <c r="E279" s="7" t="str">
        <f aca="false">IF(INDEX(MASTER_DATABASE!$A$4:$A$1000,ROW()-3)="","",INDEX(MASTER_DATABASE!$E$4:$E$1000,ROW()-3)&amp;"")</f>
        <v>Broadband / Internet Bill Payment</v>
      </c>
      <c r="F279" s="7" t="str">
        <f aca="false">IF(INDEX(MASTER_DATABASE!$A$4:$A$1000,ROW()-3)="","",INDEX(MASTER_DATABASE!$F$4:$F$1000,ROW()-3)&amp;"")</f>
        <v>ब्रॉडबैंड / इंटरनेट बिल भुगतान</v>
      </c>
      <c r="G279" s="7" t="str">
        <f aca="false">IF(INDEX(MASTER_DATABASE!$A$4:$A$1000,ROW()-3)="","",INDEX(MASTER_DATABASE!$AL$4:$AL$1000,ROW()-3)&amp;"")</f>
        <v>Recharge / Bill Payment</v>
      </c>
      <c r="H279" s="7" t="str">
        <f aca="false">IF(INDEX(MASTER_DATABASE!$A$4:$A$1000,ROW()-3)="","",INDEX(MASTER_DATABASE!$AM$4:$AM$1000,ROW()-3)&amp;"")</f>
        <v>Bill Payment (BBPS)</v>
      </c>
      <c r="I279" s="7" t="str">
        <f aca="false">IF(INDEX(MASTER_DATABASE!$A$4:$A$1000,ROW()-3)="","",INDEX(MASTER_DATABASE!$AO$4:$AO$1000,ROW()-3)&amp;"")</f>
        <v>broadband-internet-bill-payment</v>
      </c>
      <c r="J279" s="7" t="str">
        <f aca="false">IF(INDEX(MASTER_DATABASE!$A$4:$A$1000,ROW()-3)="","",INDEX(MASTER_DATABASE!$BD$4:$BD$1000,ROW()-3)&amp;"")</f>
        <v>/services/broadband-internet-bill-payment</v>
      </c>
      <c r="K279" s="7" t="str">
        <f aca="false">IF(INDEX(MASTER_DATABASE!$A$4:$A$1000,ROW()-3)="","",INDEX(MASTER_DATABASE!$AX$4:$AX$1000,ROW()-3)&amp;"")</f>
        <v>Broadband / Internet Bill Payment Service | Devmobile Stores</v>
      </c>
      <c r="L279" s="7" t="str">
        <f aca="false">IF(INDEX(MASTER_DATABASE!$A$4:$A$1000,ROW()-3)="","",INDEX(MASTER_DATABASE!$AY$4:$AY$1000,ROW()-3)&amp;"")</f>
        <v>Broadband / Internet Bill Payment (ब्रॉडबैंड / इंटरनेट बिल भुगतान) at Devmobile Stores and Common Service Center &amp; Aadhaar Centre. Check required documents, charges and process before you visit.</v>
      </c>
      <c r="M279" s="7" t="str">
        <f aca="false">IF(INDEX(MASTER_DATABASE!$A$4:$A$1000,ROW()-3)="","",INDEX(MASTER_DATABASE!$AN$4:$AN$1000,ROW()-3)&amp;"")</f>
        <v>Broadband / Internet Bill Payment, Recharge / Bill Payment, Devmobile Stores, ब्रॉडबैंड / इंटरनेट बिल भुगतान, रिचार्ज / बिल भुगतान, सेवा</v>
      </c>
      <c r="N279" s="7" t="str">
        <f aca="false">IF(INDEX(MASTER_DATABASE!$A$4:$A$1000,ROW()-3)="","",INDEX(MASTER_DATABASE!$AZ$4:$AZ$1000,ROW()-3)&amp;"")</f>
        <v>ब्रॉडबैंड / इंटरनेट बिल भुगतान, रिचार्ज / बिल भुगतान, सेवा</v>
      </c>
      <c r="O279" s="7" t="str">
        <f aca="false">IF(INDEX(MASTER_DATABASE!$A$4:$A$1000,ROW()-3)="","",INDEX(MASTER_DATABASE!$BA$4:$BA$1000,ROW()-3)&amp;"")</f>
        <v>Broadband / Internet Bill Payment, Recharge / Bill Payment, Devmobile Stores</v>
      </c>
      <c r="P279" s="11" t="str">
        <f aca="false">IF(INDEX(MASTER_DATABASE!$A$4:$A$1000,ROW()-3)="","",INDEX(MASTER_DATABASE!$AP$4:$AP$1000,ROW()-3)&amp;"")</f>
        <v>🧾</v>
      </c>
      <c r="Q279" s="7" t="str">
        <f aca="false">IF(INDEX(MASTER_DATABASE!$A$4:$A$1000,ROW()-3)="","",INDEX(MASTER_DATABASE!$BB$4:$BB$1000,ROW()-3)&amp;"")</f>
        <v/>
      </c>
      <c r="R279" s="11" t="str">
        <f aca="false">IF(INDEX(MASTER_DATABASE!$A$4:$A$1000,ROW()-3)="","",INDEX(MASTER_DATABASE!$BC$4:$BC$1000,ROW()-3)&amp;"")</f>
        <v>💡</v>
      </c>
      <c r="S279" s="11" t="n">
        <f aca="false">IF(INDEX(MASTER_DATABASE!$A$4:$A$1000,ROW()-3)="","",INDEX(MASTER_DATABASE!$AQ$4:$AQ$1000,ROW()-3))</f>
        <v>90</v>
      </c>
      <c r="T279" s="7" t="str">
        <f aca="false">IF(INDEX(MASTER_DATABASE!$A$4:$A$1000,ROW()-3)="","",INDEX(MASTER_DATABASE!$I$4:$I$1000,ROW()-3)&amp;"")</f>
        <v>Authorization Required</v>
      </c>
      <c r="U279" s="7" t="str">
        <f aca="false">IF(INDEX(MASTER_DATABASE!$A$4:$A$1000,ROW()-3)="","",INDEX(MASTER_DATABASE!$J$4:$J$1000,ROW()-3)&amp;"")</f>
        <v>Please Confirm at Shop</v>
      </c>
      <c r="V279" s="7" t="str">
        <f aca="false">IF(INDEX(MASTER_DATABASE!$A$4:$A$1000,ROW()-3)="","",INDEX(MASTER_DATABASE!$AG$4:$AG$1000,ROW()-3)&amp;"")</f>
        <v>To Verify</v>
      </c>
      <c r="W279" s="7" t="str">
        <f aca="false">IF(INDEX(MASTER_DATABASE!$A$4:$A$1000,ROW()-3)="","",INDEX(MASTER_DATABASE!$AH$4:$AH$1000,ROW()-3)&amp;"")</f>
        <v>No</v>
      </c>
      <c r="X279" s="7" t="str">
        <f aca="false">IF(INDEX(MASTER_DATABASE!$A$4:$A$1000,ROW()-3)="","",INDEX(MASTER_DATABASE!$AI$4:$AI$1000,ROW()-3)&amp;"")</f>
        <v>No</v>
      </c>
      <c r="Y279" s="7" t="str">
        <f aca="false">IF(INDEX(MASTER_DATABASE!$A$4:$A$1000,ROW()-3)="","",INDEX(MASTER_DATABASE!$AJ$4:$AJ$1000,ROW()-3)&amp;"")</f>
        <v>No</v>
      </c>
      <c r="Z279" s="7" t="str">
        <f aca="false">IF(INDEX(MASTER_DATABASE!$A$4:$A$1000,ROW()-3)="","",INDEX(MASTER_DATABASE!$AK$4:$AK$1000,ROW()-3)&amp;"")</f>
        <v>No</v>
      </c>
      <c r="AA279" s="7" t="str">
        <f aca="false">IF(INDEX(MASTER_DATABASE!$A$4:$A$1000,ROW()-3)="","",INDEX(MASTER_DATABASE!$BE$4:$BE$1000,ROW()-3)&amp;"")</f>
        <v>HIDDEN</v>
      </c>
    </row>
    <row r="280" customFormat="false" ht="46.25" hidden="false" customHeight="false" outlineLevel="0" collapsed="false">
      <c r="A280" s="11" t="str">
        <f aca="false">IF(INDEX(MASTER_DATABASE!$A$4:$A$1000,ROW()-3)="","",INDEX(MASTER_DATABASE!$A$4:$A$1000,ROW()-3)&amp;"")</f>
        <v>RCH-010</v>
      </c>
      <c r="B280" s="7" t="str">
        <f aca="false">IF(INDEX(MASTER_DATABASE!$A$4:$A$1000,ROW()-3)="","",INDEX(MASTER_DATABASE!$B$4:$B$1000,ROW()-3)&amp;"")</f>
        <v>Recharge / Bill Payment</v>
      </c>
      <c r="C280" s="7" t="str">
        <f aca="false">IF(INDEX(MASTER_DATABASE!$A$4:$A$1000,ROW()-3)="","",INDEX(MASTER_DATABASE!$C$4:$C$1000,ROW()-3)&amp;"")</f>
        <v>Recharge &amp; Bill Payment</v>
      </c>
      <c r="D280" s="7" t="str">
        <f aca="false">IF(INDEX(MASTER_DATABASE!$A$4:$A$1000,ROW()-3)="","",INDEX(MASTER_DATABASE!$D$4:$D$1000,ROW()-3)&amp;"")</f>
        <v>Bill Payment (BBPS)</v>
      </c>
      <c r="E280" s="7" t="str">
        <f aca="false">IF(INDEX(MASTER_DATABASE!$A$4:$A$1000,ROW()-3)="","",INDEX(MASTER_DATABASE!$E$4:$E$1000,ROW()-3)&amp;"")</f>
        <v>Landline Bill Payment</v>
      </c>
      <c r="F280" s="7" t="str">
        <f aca="false">IF(INDEX(MASTER_DATABASE!$A$4:$A$1000,ROW()-3)="","",INDEX(MASTER_DATABASE!$F$4:$F$1000,ROW()-3)&amp;"")</f>
        <v>लैंडलाइन बिल भुगतान</v>
      </c>
      <c r="G280" s="7" t="str">
        <f aca="false">IF(INDEX(MASTER_DATABASE!$A$4:$A$1000,ROW()-3)="","",INDEX(MASTER_DATABASE!$AL$4:$AL$1000,ROW()-3)&amp;"")</f>
        <v>Recharge / Bill Payment</v>
      </c>
      <c r="H280" s="7" t="str">
        <f aca="false">IF(INDEX(MASTER_DATABASE!$A$4:$A$1000,ROW()-3)="","",INDEX(MASTER_DATABASE!$AM$4:$AM$1000,ROW()-3)&amp;"")</f>
        <v>Bill Payment (BBPS)</v>
      </c>
      <c r="I280" s="7" t="str">
        <f aca="false">IF(INDEX(MASTER_DATABASE!$A$4:$A$1000,ROW()-3)="","",INDEX(MASTER_DATABASE!$AO$4:$AO$1000,ROW()-3)&amp;"")</f>
        <v>landline-bill-payment</v>
      </c>
      <c r="J280" s="7" t="str">
        <f aca="false">IF(INDEX(MASTER_DATABASE!$A$4:$A$1000,ROW()-3)="","",INDEX(MASTER_DATABASE!$BD$4:$BD$1000,ROW()-3)&amp;"")</f>
        <v>/services/landline-bill-payment</v>
      </c>
      <c r="K280" s="7" t="str">
        <f aca="false">IF(INDEX(MASTER_DATABASE!$A$4:$A$1000,ROW()-3)="","",INDEX(MASTER_DATABASE!$AX$4:$AX$1000,ROW()-3)&amp;"")</f>
        <v>Landline Bill Payment Service | Devmobile Stores</v>
      </c>
      <c r="L280" s="7" t="str">
        <f aca="false">IF(INDEX(MASTER_DATABASE!$A$4:$A$1000,ROW()-3)="","",INDEX(MASTER_DATABASE!$AY$4:$AY$1000,ROW()-3)&amp;"")</f>
        <v>Landline Bill Payment (लैंडलाइन बिल भुगतान) at Devmobile Stores and Common Service Center &amp; Aadhaar Centre. Check required documents, charges and process before you visit.</v>
      </c>
      <c r="M280" s="7" t="str">
        <f aca="false">IF(INDEX(MASTER_DATABASE!$A$4:$A$1000,ROW()-3)="","",INDEX(MASTER_DATABASE!$AN$4:$AN$1000,ROW()-3)&amp;"")</f>
        <v>Landline Bill Payment, Recharge / Bill Payment, Devmobile Stores, लैंडलाइन बिल भुगतान, रिचार्ज / बिल भुगतान, सेवा</v>
      </c>
      <c r="N280" s="7" t="str">
        <f aca="false">IF(INDEX(MASTER_DATABASE!$A$4:$A$1000,ROW()-3)="","",INDEX(MASTER_DATABASE!$AZ$4:$AZ$1000,ROW()-3)&amp;"")</f>
        <v>लैंडलाइन बिल भुगतान, रिचार्ज / बिल भुगतान, सेवा</v>
      </c>
      <c r="O280" s="7" t="str">
        <f aca="false">IF(INDEX(MASTER_DATABASE!$A$4:$A$1000,ROW()-3)="","",INDEX(MASTER_DATABASE!$BA$4:$BA$1000,ROW()-3)&amp;"")</f>
        <v>Landline Bill Payment, Recharge / Bill Payment, Devmobile Stores</v>
      </c>
      <c r="P280" s="11" t="str">
        <f aca="false">IF(INDEX(MASTER_DATABASE!$A$4:$A$1000,ROW()-3)="","",INDEX(MASTER_DATABASE!$AP$4:$AP$1000,ROW()-3)&amp;"")</f>
        <v>🧾</v>
      </c>
      <c r="Q280" s="7" t="str">
        <f aca="false">IF(INDEX(MASTER_DATABASE!$A$4:$A$1000,ROW()-3)="","",INDEX(MASTER_DATABASE!$BB$4:$BB$1000,ROW()-3)&amp;"")</f>
        <v/>
      </c>
      <c r="R280" s="11" t="str">
        <f aca="false">IF(INDEX(MASTER_DATABASE!$A$4:$A$1000,ROW()-3)="","",INDEX(MASTER_DATABASE!$BC$4:$BC$1000,ROW()-3)&amp;"")</f>
        <v>💡</v>
      </c>
      <c r="S280" s="11" t="n">
        <f aca="false">IF(INDEX(MASTER_DATABASE!$A$4:$A$1000,ROW()-3)="","",INDEX(MASTER_DATABASE!$AQ$4:$AQ$1000,ROW()-3))</f>
        <v>100</v>
      </c>
      <c r="T280" s="7" t="str">
        <f aca="false">IF(INDEX(MASTER_DATABASE!$A$4:$A$1000,ROW()-3)="","",INDEX(MASTER_DATABASE!$I$4:$I$1000,ROW()-3)&amp;"")</f>
        <v>Authorization Required</v>
      </c>
      <c r="U280" s="7" t="str">
        <f aca="false">IF(INDEX(MASTER_DATABASE!$A$4:$A$1000,ROW()-3)="","",INDEX(MASTER_DATABASE!$J$4:$J$1000,ROW()-3)&amp;"")</f>
        <v>Please Confirm at Shop</v>
      </c>
      <c r="V280" s="7" t="str">
        <f aca="false">IF(INDEX(MASTER_DATABASE!$A$4:$A$1000,ROW()-3)="","",INDEX(MASTER_DATABASE!$AG$4:$AG$1000,ROW()-3)&amp;"")</f>
        <v>To Verify</v>
      </c>
      <c r="W280" s="7" t="str">
        <f aca="false">IF(INDEX(MASTER_DATABASE!$A$4:$A$1000,ROW()-3)="","",INDEX(MASTER_DATABASE!$AH$4:$AH$1000,ROW()-3)&amp;"")</f>
        <v>No</v>
      </c>
      <c r="X280" s="7" t="str">
        <f aca="false">IF(INDEX(MASTER_DATABASE!$A$4:$A$1000,ROW()-3)="","",INDEX(MASTER_DATABASE!$AI$4:$AI$1000,ROW()-3)&amp;"")</f>
        <v>No</v>
      </c>
      <c r="Y280" s="7" t="str">
        <f aca="false">IF(INDEX(MASTER_DATABASE!$A$4:$A$1000,ROW()-3)="","",INDEX(MASTER_DATABASE!$AJ$4:$AJ$1000,ROW()-3)&amp;"")</f>
        <v>No</v>
      </c>
      <c r="Z280" s="7" t="str">
        <f aca="false">IF(INDEX(MASTER_DATABASE!$A$4:$A$1000,ROW()-3)="","",INDEX(MASTER_DATABASE!$AK$4:$AK$1000,ROW()-3)&amp;"")</f>
        <v>No</v>
      </c>
      <c r="AA280" s="7" t="str">
        <f aca="false">IF(INDEX(MASTER_DATABASE!$A$4:$A$1000,ROW()-3)="","",INDEX(MASTER_DATABASE!$BE$4:$BE$1000,ROW()-3)&amp;"")</f>
        <v>HIDDEN</v>
      </c>
    </row>
    <row r="281" customFormat="false" ht="46.25" hidden="false" customHeight="false" outlineLevel="0" collapsed="false">
      <c r="A281" s="11" t="str">
        <f aca="false">IF(INDEX(MASTER_DATABASE!$A$4:$A$1000,ROW()-3)="","",INDEX(MASTER_DATABASE!$A$4:$A$1000,ROW()-3)&amp;"")</f>
        <v>RCH-011</v>
      </c>
      <c r="B281" s="7" t="str">
        <f aca="false">IF(INDEX(MASTER_DATABASE!$A$4:$A$1000,ROW()-3)="","",INDEX(MASTER_DATABASE!$B$4:$B$1000,ROW()-3)&amp;"")</f>
        <v>Recharge / Bill Payment</v>
      </c>
      <c r="C281" s="7" t="str">
        <f aca="false">IF(INDEX(MASTER_DATABASE!$A$4:$A$1000,ROW()-3)="","",INDEX(MASTER_DATABASE!$C$4:$C$1000,ROW()-3)&amp;"")</f>
        <v>Recharge &amp; Bill Payment</v>
      </c>
      <c r="D281" s="7" t="str">
        <f aca="false">IF(INDEX(MASTER_DATABASE!$A$4:$A$1000,ROW()-3)="","",INDEX(MASTER_DATABASE!$D$4:$D$1000,ROW()-3)&amp;"")</f>
        <v>Bill Payment (BBPS)</v>
      </c>
      <c r="E281" s="7" t="str">
        <f aca="false">IF(INDEX(MASTER_DATABASE!$A$4:$A$1000,ROW()-3)="","",INDEX(MASTER_DATABASE!$E$4:$E$1000,ROW()-3)&amp;"")</f>
        <v>Cable TV Bill Payment</v>
      </c>
      <c r="F281" s="7" t="str">
        <f aca="false">IF(INDEX(MASTER_DATABASE!$A$4:$A$1000,ROW()-3)="","",INDEX(MASTER_DATABASE!$F$4:$F$1000,ROW()-3)&amp;"")</f>
        <v>केबल टीवी बिल भुगतान</v>
      </c>
      <c r="G281" s="7" t="str">
        <f aca="false">IF(INDEX(MASTER_DATABASE!$A$4:$A$1000,ROW()-3)="","",INDEX(MASTER_DATABASE!$AL$4:$AL$1000,ROW()-3)&amp;"")</f>
        <v>Recharge / Bill Payment</v>
      </c>
      <c r="H281" s="7" t="str">
        <f aca="false">IF(INDEX(MASTER_DATABASE!$A$4:$A$1000,ROW()-3)="","",INDEX(MASTER_DATABASE!$AM$4:$AM$1000,ROW()-3)&amp;"")</f>
        <v>Bill Payment (BBPS)</v>
      </c>
      <c r="I281" s="7" t="str">
        <f aca="false">IF(INDEX(MASTER_DATABASE!$A$4:$A$1000,ROW()-3)="","",INDEX(MASTER_DATABASE!$AO$4:$AO$1000,ROW()-3)&amp;"")</f>
        <v>cable-tv-bill-payment</v>
      </c>
      <c r="J281" s="7" t="str">
        <f aca="false">IF(INDEX(MASTER_DATABASE!$A$4:$A$1000,ROW()-3)="","",INDEX(MASTER_DATABASE!$BD$4:$BD$1000,ROW()-3)&amp;"")</f>
        <v>/services/cable-tv-bill-payment</v>
      </c>
      <c r="K281" s="7" t="str">
        <f aca="false">IF(INDEX(MASTER_DATABASE!$A$4:$A$1000,ROW()-3)="","",INDEX(MASTER_DATABASE!$AX$4:$AX$1000,ROW()-3)&amp;"")</f>
        <v>Cable TV Bill Payment Service | Devmobile Stores</v>
      </c>
      <c r="L281" s="7" t="str">
        <f aca="false">IF(INDEX(MASTER_DATABASE!$A$4:$A$1000,ROW()-3)="","",INDEX(MASTER_DATABASE!$AY$4:$AY$1000,ROW()-3)&amp;"")</f>
        <v>Cable TV Bill Payment (केबल टीवी बिल भुगतान) at Devmobile Stores and Common Service Center &amp; Aadhaar Centre. Check required documents, charges and process before you visit.</v>
      </c>
      <c r="M281" s="7" t="str">
        <f aca="false">IF(INDEX(MASTER_DATABASE!$A$4:$A$1000,ROW()-3)="","",INDEX(MASTER_DATABASE!$AN$4:$AN$1000,ROW()-3)&amp;"")</f>
        <v>Cable TV Bill Payment, Recharge / Bill Payment, Devmobile Stores, केबल टीवी बिल भुगतान, रिचार्ज / बिल भुगतान, सेवा</v>
      </c>
      <c r="N281" s="7" t="str">
        <f aca="false">IF(INDEX(MASTER_DATABASE!$A$4:$A$1000,ROW()-3)="","",INDEX(MASTER_DATABASE!$AZ$4:$AZ$1000,ROW()-3)&amp;"")</f>
        <v>केबल टीवी बिल भुगतान, रिचार्ज / बिल भुगतान, सेवा</v>
      </c>
      <c r="O281" s="7" t="str">
        <f aca="false">IF(INDEX(MASTER_DATABASE!$A$4:$A$1000,ROW()-3)="","",INDEX(MASTER_DATABASE!$BA$4:$BA$1000,ROW()-3)&amp;"")</f>
        <v>Cable TV Bill Payment, Recharge / Bill Payment, Devmobile Stores</v>
      </c>
      <c r="P281" s="11" t="str">
        <f aca="false">IF(INDEX(MASTER_DATABASE!$A$4:$A$1000,ROW()-3)="","",INDEX(MASTER_DATABASE!$AP$4:$AP$1000,ROW()-3)&amp;"")</f>
        <v>🧾</v>
      </c>
      <c r="Q281" s="7" t="str">
        <f aca="false">IF(INDEX(MASTER_DATABASE!$A$4:$A$1000,ROW()-3)="","",INDEX(MASTER_DATABASE!$BB$4:$BB$1000,ROW()-3)&amp;"")</f>
        <v/>
      </c>
      <c r="R281" s="11" t="str">
        <f aca="false">IF(INDEX(MASTER_DATABASE!$A$4:$A$1000,ROW()-3)="","",INDEX(MASTER_DATABASE!$BC$4:$BC$1000,ROW()-3)&amp;"")</f>
        <v>💡</v>
      </c>
      <c r="S281" s="11" t="n">
        <f aca="false">IF(INDEX(MASTER_DATABASE!$A$4:$A$1000,ROW()-3)="","",INDEX(MASTER_DATABASE!$AQ$4:$AQ$1000,ROW()-3))</f>
        <v>110</v>
      </c>
      <c r="T281" s="7" t="str">
        <f aca="false">IF(INDEX(MASTER_DATABASE!$A$4:$A$1000,ROW()-3)="","",INDEX(MASTER_DATABASE!$I$4:$I$1000,ROW()-3)&amp;"")</f>
        <v>Authorization Required</v>
      </c>
      <c r="U281" s="7" t="str">
        <f aca="false">IF(INDEX(MASTER_DATABASE!$A$4:$A$1000,ROW()-3)="","",INDEX(MASTER_DATABASE!$J$4:$J$1000,ROW()-3)&amp;"")</f>
        <v>Please Confirm at Shop</v>
      </c>
      <c r="V281" s="7" t="str">
        <f aca="false">IF(INDEX(MASTER_DATABASE!$A$4:$A$1000,ROW()-3)="","",INDEX(MASTER_DATABASE!$AG$4:$AG$1000,ROW()-3)&amp;"")</f>
        <v>To Verify</v>
      </c>
      <c r="W281" s="7" t="str">
        <f aca="false">IF(INDEX(MASTER_DATABASE!$A$4:$A$1000,ROW()-3)="","",INDEX(MASTER_DATABASE!$AH$4:$AH$1000,ROW()-3)&amp;"")</f>
        <v>No</v>
      </c>
      <c r="X281" s="7" t="str">
        <f aca="false">IF(INDEX(MASTER_DATABASE!$A$4:$A$1000,ROW()-3)="","",INDEX(MASTER_DATABASE!$AI$4:$AI$1000,ROW()-3)&amp;"")</f>
        <v>No</v>
      </c>
      <c r="Y281" s="7" t="str">
        <f aca="false">IF(INDEX(MASTER_DATABASE!$A$4:$A$1000,ROW()-3)="","",INDEX(MASTER_DATABASE!$AJ$4:$AJ$1000,ROW()-3)&amp;"")</f>
        <v>No</v>
      </c>
      <c r="Z281" s="7" t="str">
        <f aca="false">IF(INDEX(MASTER_DATABASE!$A$4:$A$1000,ROW()-3)="","",INDEX(MASTER_DATABASE!$AK$4:$AK$1000,ROW()-3)&amp;"")</f>
        <v>No</v>
      </c>
      <c r="AA281" s="7" t="str">
        <f aca="false">IF(INDEX(MASTER_DATABASE!$A$4:$A$1000,ROW()-3)="","",INDEX(MASTER_DATABASE!$BE$4:$BE$1000,ROW()-3)&amp;"")</f>
        <v>HIDDEN</v>
      </c>
    </row>
    <row r="282" customFormat="false" ht="46.25" hidden="false" customHeight="false" outlineLevel="0" collapsed="false">
      <c r="A282" s="11" t="str">
        <f aca="false">IF(INDEX(MASTER_DATABASE!$A$4:$A$1000,ROW()-3)="","",INDEX(MASTER_DATABASE!$A$4:$A$1000,ROW()-3)&amp;"")</f>
        <v>RCH-012</v>
      </c>
      <c r="B282" s="7" t="str">
        <f aca="false">IF(INDEX(MASTER_DATABASE!$A$4:$A$1000,ROW()-3)="","",INDEX(MASTER_DATABASE!$B$4:$B$1000,ROW()-3)&amp;"")</f>
        <v>Recharge / Bill Payment</v>
      </c>
      <c r="C282" s="7" t="str">
        <f aca="false">IF(INDEX(MASTER_DATABASE!$A$4:$A$1000,ROW()-3)="","",INDEX(MASTER_DATABASE!$C$4:$C$1000,ROW()-3)&amp;"")</f>
        <v>Recharge &amp; Bill Payment</v>
      </c>
      <c r="D282" s="7" t="str">
        <f aca="false">IF(INDEX(MASTER_DATABASE!$A$4:$A$1000,ROW()-3)="","",INDEX(MASTER_DATABASE!$D$4:$D$1000,ROW()-3)&amp;"")</f>
        <v>Bill Payment (BBPS)</v>
      </c>
      <c r="E282" s="7" t="str">
        <f aca="false">IF(INDEX(MASTER_DATABASE!$A$4:$A$1000,ROW()-3)="","",INDEX(MASTER_DATABASE!$E$4:$E$1000,ROW()-3)&amp;"")</f>
        <v>Insurance Premium Payment (LIC / Others)</v>
      </c>
      <c r="F282" s="7" t="str">
        <f aca="false">IF(INDEX(MASTER_DATABASE!$A$4:$A$1000,ROW()-3)="","",INDEX(MASTER_DATABASE!$F$4:$F$1000,ROW()-3)&amp;"")</f>
        <v>बीमा (LIC आदि) प्रीमियम भुगतान</v>
      </c>
      <c r="G282" s="7" t="str">
        <f aca="false">IF(INDEX(MASTER_DATABASE!$A$4:$A$1000,ROW()-3)="","",INDEX(MASTER_DATABASE!$AL$4:$AL$1000,ROW()-3)&amp;"")</f>
        <v>Recharge / Bill Payment</v>
      </c>
      <c r="H282" s="7" t="str">
        <f aca="false">IF(INDEX(MASTER_DATABASE!$A$4:$A$1000,ROW()-3)="","",INDEX(MASTER_DATABASE!$AM$4:$AM$1000,ROW()-3)&amp;"")</f>
        <v>Bill Payment (BBPS)</v>
      </c>
      <c r="I282" s="7" t="str">
        <f aca="false">IF(INDEX(MASTER_DATABASE!$A$4:$A$1000,ROW()-3)="","",INDEX(MASTER_DATABASE!$AO$4:$AO$1000,ROW()-3)&amp;"")</f>
        <v>insurance-premium-payment-lic-others</v>
      </c>
      <c r="J282" s="7" t="str">
        <f aca="false">IF(INDEX(MASTER_DATABASE!$A$4:$A$1000,ROW()-3)="","",INDEX(MASTER_DATABASE!$BD$4:$BD$1000,ROW()-3)&amp;"")</f>
        <v>/services/insurance-premium-payment-lic-others</v>
      </c>
      <c r="K282" s="7" t="str">
        <f aca="false">IF(INDEX(MASTER_DATABASE!$A$4:$A$1000,ROW()-3)="","",INDEX(MASTER_DATABASE!$AX$4:$AX$1000,ROW()-3)&amp;"")</f>
        <v>Insurance Premium Payment (LIC / Others) Service | Devmobile Stores</v>
      </c>
      <c r="L282" s="7" t="str">
        <f aca="false">IF(INDEX(MASTER_DATABASE!$A$4:$A$1000,ROW()-3)="","",INDEX(MASTER_DATABASE!$AY$4:$AY$1000,ROW()-3)&amp;"")</f>
        <v>Insurance Premium Payment (LIC / Others) (बीमा (LIC आदि) प्रीमियम भुगतान) at Devmobile Stores and Common Service Center &amp; Aadhaar Centre. Check required documents, charges and process before you visit.</v>
      </c>
      <c r="M282" s="7" t="str">
        <f aca="false">IF(INDEX(MASTER_DATABASE!$A$4:$A$1000,ROW()-3)="","",INDEX(MASTER_DATABASE!$AN$4:$AN$1000,ROW()-3)&amp;"")</f>
        <v>Insurance Premium Payment (LIC / Others), Recharge / Bill Payment, Devmobile Stores, बीमा (LIC आदि) प्रीमियम भुगतान, रिचार्ज / बिल भुगतान, सेवा</v>
      </c>
      <c r="N282" s="7" t="str">
        <f aca="false">IF(INDEX(MASTER_DATABASE!$A$4:$A$1000,ROW()-3)="","",INDEX(MASTER_DATABASE!$AZ$4:$AZ$1000,ROW()-3)&amp;"")</f>
        <v>बीमा (LIC आदि) प्रीमियम भुगतान, रिचार्ज / बिल भुगतान, सेवा</v>
      </c>
      <c r="O282" s="7" t="str">
        <f aca="false">IF(INDEX(MASTER_DATABASE!$A$4:$A$1000,ROW()-3)="","",INDEX(MASTER_DATABASE!$BA$4:$BA$1000,ROW()-3)&amp;"")</f>
        <v>Insurance Premium Payment (LIC / Others), Recharge / Bill Payment, Devmobile Stores</v>
      </c>
      <c r="P282" s="11" t="str">
        <f aca="false">IF(INDEX(MASTER_DATABASE!$A$4:$A$1000,ROW()-3)="","",INDEX(MASTER_DATABASE!$AP$4:$AP$1000,ROW()-3)&amp;"")</f>
        <v>🧾</v>
      </c>
      <c r="Q282" s="7" t="str">
        <f aca="false">IF(INDEX(MASTER_DATABASE!$A$4:$A$1000,ROW()-3)="","",INDEX(MASTER_DATABASE!$BB$4:$BB$1000,ROW()-3)&amp;"")</f>
        <v/>
      </c>
      <c r="R282" s="11" t="str">
        <f aca="false">IF(INDEX(MASTER_DATABASE!$A$4:$A$1000,ROW()-3)="","",INDEX(MASTER_DATABASE!$BC$4:$BC$1000,ROW()-3)&amp;"")</f>
        <v>💡</v>
      </c>
      <c r="S282" s="11" t="n">
        <f aca="false">IF(INDEX(MASTER_DATABASE!$A$4:$A$1000,ROW()-3)="","",INDEX(MASTER_DATABASE!$AQ$4:$AQ$1000,ROW()-3))</f>
        <v>120</v>
      </c>
      <c r="T282" s="7" t="str">
        <f aca="false">IF(INDEX(MASTER_DATABASE!$A$4:$A$1000,ROW()-3)="","",INDEX(MASTER_DATABASE!$I$4:$I$1000,ROW()-3)&amp;"")</f>
        <v>Authorization Required</v>
      </c>
      <c r="U282" s="7" t="str">
        <f aca="false">IF(INDEX(MASTER_DATABASE!$A$4:$A$1000,ROW()-3)="","",INDEX(MASTER_DATABASE!$J$4:$J$1000,ROW()-3)&amp;"")</f>
        <v>Please Confirm at Shop</v>
      </c>
      <c r="V282" s="7" t="str">
        <f aca="false">IF(INDEX(MASTER_DATABASE!$A$4:$A$1000,ROW()-3)="","",INDEX(MASTER_DATABASE!$AG$4:$AG$1000,ROW()-3)&amp;"")</f>
        <v>To Verify</v>
      </c>
      <c r="W282" s="7" t="str">
        <f aca="false">IF(INDEX(MASTER_DATABASE!$A$4:$A$1000,ROW()-3)="","",INDEX(MASTER_DATABASE!$AH$4:$AH$1000,ROW()-3)&amp;"")</f>
        <v>No</v>
      </c>
      <c r="X282" s="7" t="str">
        <f aca="false">IF(INDEX(MASTER_DATABASE!$A$4:$A$1000,ROW()-3)="","",INDEX(MASTER_DATABASE!$AI$4:$AI$1000,ROW()-3)&amp;"")</f>
        <v>No</v>
      </c>
      <c r="Y282" s="7" t="str">
        <f aca="false">IF(INDEX(MASTER_DATABASE!$A$4:$A$1000,ROW()-3)="","",INDEX(MASTER_DATABASE!$AJ$4:$AJ$1000,ROW()-3)&amp;"")</f>
        <v>No</v>
      </c>
      <c r="Z282" s="7" t="str">
        <f aca="false">IF(INDEX(MASTER_DATABASE!$A$4:$A$1000,ROW()-3)="","",INDEX(MASTER_DATABASE!$AK$4:$AK$1000,ROW()-3)&amp;"")</f>
        <v>No</v>
      </c>
      <c r="AA282" s="7" t="str">
        <f aca="false">IF(INDEX(MASTER_DATABASE!$A$4:$A$1000,ROW()-3)="","",INDEX(MASTER_DATABASE!$BE$4:$BE$1000,ROW()-3)&amp;"")</f>
        <v>HIDDEN</v>
      </c>
    </row>
    <row r="283" customFormat="false" ht="46.25" hidden="false" customHeight="false" outlineLevel="0" collapsed="false">
      <c r="A283" s="11" t="str">
        <f aca="false">IF(INDEX(MASTER_DATABASE!$A$4:$A$1000,ROW()-3)="","",INDEX(MASTER_DATABASE!$A$4:$A$1000,ROW()-3)&amp;"")</f>
        <v>RCH-013</v>
      </c>
      <c r="B283" s="7" t="str">
        <f aca="false">IF(INDEX(MASTER_DATABASE!$A$4:$A$1000,ROW()-3)="","",INDEX(MASTER_DATABASE!$B$4:$B$1000,ROW()-3)&amp;"")</f>
        <v>Recharge / Bill Payment</v>
      </c>
      <c r="C283" s="7" t="str">
        <f aca="false">IF(INDEX(MASTER_DATABASE!$A$4:$A$1000,ROW()-3)="","",INDEX(MASTER_DATABASE!$C$4:$C$1000,ROW()-3)&amp;"")</f>
        <v>Recharge &amp; Bill Payment</v>
      </c>
      <c r="D283" s="7" t="str">
        <f aca="false">IF(INDEX(MASTER_DATABASE!$A$4:$A$1000,ROW()-3)="","",INDEX(MASTER_DATABASE!$D$4:$D$1000,ROW()-3)&amp;"")</f>
        <v>Bill Payment (BBPS)</v>
      </c>
      <c r="E283" s="7" t="str">
        <f aca="false">IF(INDEX(MASTER_DATABASE!$A$4:$A$1000,ROW()-3)="","",INDEX(MASTER_DATABASE!$E$4:$E$1000,ROW()-3)&amp;"")</f>
        <v>Loan EMI Payment</v>
      </c>
      <c r="F283" s="7" t="str">
        <f aca="false">IF(INDEX(MASTER_DATABASE!$A$4:$A$1000,ROW()-3)="","",INDEX(MASTER_DATABASE!$F$4:$F$1000,ROW()-3)&amp;"")</f>
        <v>लोन EMI भुगतान</v>
      </c>
      <c r="G283" s="7" t="str">
        <f aca="false">IF(INDEX(MASTER_DATABASE!$A$4:$A$1000,ROW()-3)="","",INDEX(MASTER_DATABASE!$AL$4:$AL$1000,ROW()-3)&amp;"")</f>
        <v>Recharge / Bill Payment</v>
      </c>
      <c r="H283" s="7" t="str">
        <f aca="false">IF(INDEX(MASTER_DATABASE!$A$4:$A$1000,ROW()-3)="","",INDEX(MASTER_DATABASE!$AM$4:$AM$1000,ROW()-3)&amp;"")</f>
        <v>Bill Payment (BBPS)</v>
      </c>
      <c r="I283" s="7" t="str">
        <f aca="false">IF(INDEX(MASTER_DATABASE!$A$4:$A$1000,ROW()-3)="","",INDEX(MASTER_DATABASE!$AO$4:$AO$1000,ROW()-3)&amp;"")</f>
        <v>loan-emi-payment</v>
      </c>
      <c r="J283" s="7" t="str">
        <f aca="false">IF(INDEX(MASTER_DATABASE!$A$4:$A$1000,ROW()-3)="","",INDEX(MASTER_DATABASE!$BD$4:$BD$1000,ROW()-3)&amp;"")</f>
        <v>/services/loan-emi-payment</v>
      </c>
      <c r="K283" s="7" t="str">
        <f aca="false">IF(INDEX(MASTER_DATABASE!$A$4:$A$1000,ROW()-3)="","",INDEX(MASTER_DATABASE!$AX$4:$AX$1000,ROW()-3)&amp;"")</f>
        <v>Loan EMI Payment Service | Devmobile Stores</v>
      </c>
      <c r="L283" s="7" t="str">
        <f aca="false">IF(INDEX(MASTER_DATABASE!$A$4:$A$1000,ROW()-3)="","",INDEX(MASTER_DATABASE!$AY$4:$AY$1000,ROW()-3)&amp;"")</f>
        <v>Loan EMI Payment (लोन EMI भुगतान) at Devmobile Stores and Common Service Center &amp; Aadhaar Centre. Check required documents, charges and process before you visit.</v>
      </c>
      <c r="M283" s="7" t="str">
        <f aca="false">IF(INDEX(MASTER_DATABASE!$A$4:$A$1000,ROW()-3)="","",INDEX(MASTER_DATABASE!$AN$4:$AN$1000,ROW()-3)&amp;"")</f>
        <v>Loan EMI Payment, Recharge / Bill Payment, Devmobile Stores, लोन EMI भुगतान, रिचार्ज / बिल भुगतान, सेवा</v>
      </c>
      <c r="N283" s="7" t="str">
        <f aca="false">IF(INDEX(MASTER_DATABASE!$A$4:$A$1000,ROW()-3)="","",INDEX(MASTER_DATABASE!$AZ$4:$AZ$1000,ROW()-3)&amp;"")</f>
        <v>लोन EMI भुगतान, रिचार्ज / बिल भुगतान, सेवा</v>
      </c>
      <c r="O283" s="7" t="str">
        <f aca="false">IF(INDEX(MASTER_DATABASE!$A$4:$A$1000,ROW()-3)="","",INDEX(MASTER_DATABASE!$BA$4:$BA$1000,ROW()-3)&amp;"")</f>
        <v>Loan EMI Payment, Recharge / Bill Payment, Devmobile Stores</v>
      </c>
      <c r="P283" s="11" t="str">
        <f aca="false">IF(INDEX(MASTER_DATABASE!$A$4:$A$1000,ROW()-3)="","",INDEX(MASTER_DATABASE!$AP$4:$AP$1000,ROW()-3)&amp;"")</f>
        <v>🧾</v>
      </c>
      <c r="Q283" s="7" t="str">
        <f aca="false">IF(INDEX(MASTER_DATABASE!$A$4:$A$1000,ROW()-3)="","",INDEX(MASTER_DATABASE!$BB$4:$BB$1000,ROW()-3)&amp;"")</f>
        <v/>
      </c>
      <c r="R283" s="11" t="str">
        <f aca="false">IF(INDEX(MASTER_DATABASE!$A$4:$A$1000,ROW()-3)="","",INDEX(MASTER_DATABASE!$BC$4:$BC$1000,ROW()-3)&amp;"")</f>
        <v>💡</v>
      </c>
      <c r="S283" s="11" t="n">
        <f aca="false">IF(INDEX(MASTER_DATABASE!$A$4:$A$1000,ROW()-3)="","",INDEX(MASTER_DATABASE!$AQ$4:$AQ$1000,ROW()-3))</f>
        <v>130</v>
      </c>
      <c r="T283" s="7" t="str">
        <f aca="false">IF(INDEX(MASTER_DATABASE!$A$4:$A$1000,ROW()-3)="","",INDEX(MASTER_DATABASE!$I$4:$I$1000,ROW()-3)&amp;"")</f>
        <v>Authorization Required</v>
      </c>
      <c r="U283" s="7" t="str">
        <f aca="false">IF(INDEX(MASTER_DATABASE!$A$4:$A$1000,ROW()-3)="","",INDEX(MASTER_DATABASE!$J$4:$J$1000,ROW()-3)&amp;"")</f>
        <v>Please Confirm at Shop</v>
      </c>
      <c r="V283" s="7" t="str">
        <f aca="false">IF(INDEX(MASTER_DATABASE!$A$4:$A$1000,ROW()-3)="","",INDEX(MASTER_DATABASE!$AG$4:$AG$1000,ROW()-3)&amp;"")</f>
        <v>To Verify</v>
      </c>
      <c r="W283" s="7" t="str">
        <f aca="false">IF(INDEX(MASTER_DATABASE!$A$4:$A$1000,ROW()-3)="","",INDEX(MASTER_DATABASE!$AH$4:$AH$1000,ROW()-3)&amp;"")</f>
        <v>No</v>
      </c>
      <c r="X283" s="7" t="str">
        <f aca="false">IF(INDEX(MASTER_DATABASE!$A$4:$A$1000,ROW()-3)="","",INDEX(MASTER_DATABASE!$AI$4:$AI$1000,ROW()-3)&amp;"")</f>
        <v>No</v>
      </c>
      <c r="Y283" s="7" t="str">
        <f aca="false">IF(INDEX(MASTER_DATABASE!$A$4:$A$1000,ROW()-3)="","",INDEX(MASTER_DATABASE!$AJ$4:$AJ$1000,ROW()-3)&amp;"")</f>
        <v>No</v>
      </c>
      <c r="Z283" s="7" t="str">
        <f aca="false">IF(INDEX(MASTER_DATABASE!$A$4:$A$1000,ROW()-3)="","",INDEX(MASTER_DATABASE!$AK$4:$AK$1000,ROW()-3)&amp;"")</f>
        <v>No</v>
      </c>
      <c r="AA283" s="7" t="str">
        <f aca="false">IF(INDEX(MASTER_DATABASE!$A$4:$A$1000,ROW()-3)="","",INDEX(MASTER_DATABASE!$BE$4:$BE$1000,ROW()-3)&amp;"")</f>
        <v>HIDDEN</v>
      </c>
    </row>
    <row r="284" customFormat="false" ht="46.25" hidden="false" customHeight="false" outlineLevel="0" collapsed="false">
      <c r="A284" s="11" t="str">
        <f aca="false">IF(INDEX(MASTER_DATABASE!$A$4:$A$1000,ROW()-3)="","",INDEX(MASTER_DATABASE!$A$4:$A$1000,ROW()-3)&amp;"")</f>
        <v>RCH-014</v>
      </c>
      <c r="B284" s="7" t="str">
        <f aca="false">IF(INDEX(MASTER_DATABASE!$A$4:$A$1000,ROW()-3)="","",INDEX(MASTER_DATABASE!$B$4:$B$1000,ROW()-3)&amp;"")</f>
        <v>Recharge / Bill Payment</v>
      </c>
      <c r="C284" s="7" t="str">
        <f aca="false">IF(INDEX(MASTER_DATABASE!$A$4:$A$1000,ROW()-3)="","",INDEX(MASTER_DATABASE!$C$4:$C$1000,ROW()-3)&amp;"")</f>
        <v>Recharge &amp; Bill Payment</v>
      </c>
      <c r="D284" s="7" t="str">
        <f aca="false">IF(INDEX(MASTER_DATABASE!$A$4:$A$1000,ROW()-3)="","",INDEX(MASTER_DATABASE!$D$4:$D$1000,ROW()-3)&amp;"")</f>
        <v>Bill Payment (BBPS)</v>
      </c>
      <c r="E284" s="7" t="str">
        <f aca="false">IF(INDEX(MASTER_DATABASE!$A$4:$A$1000,ROW()-3)="","",INDEX(MASTER_DATABASE!$E$4:$E$1000,ROW()-3)&amp;"")</f>
        <v>Credit Card Bill Payment</v>
      </c>
      <c r="F284" s="7" t="str">
        <f aca="false">IF(INDEX(MASTER_DATABASE!$A$4:$A$1000,ROW()-3)="","",INDEX(MASTER_DATABASE!$F$4:$F$1000,ROW()-3)&amp;"")</f>
        <v>क्रेडिट कार्ड बिल भुगतान</v>
      </c>
      <c r="G284" s="7" t="str">
        <f aca="false">IF(INDEX(MASTER_DATABASE!$A$4:$A$1000,ROW()-3)="","",INDEX(MASTER_DATABASE!$AL$4:$AL$1000,ROW()-3)&amp;"")</f>
        <v>Recharge / Bill Payment</v>
      </c>
      <c r="H284" s="7" t="str">
        <f aca="false">IF(INDEX(MASTER_DATABASE!$A$4:$A$1000,ROW()-3)="","",INDEX(MASTER_DATABASE!$AM$4:$AM$1000,ROW()-3)&amp;"")</f>
        <v>Bill Payment (BBPS)</v>
      </c>
      <c r="I284" s="7" t="str">
        <f aca="false">IF(INDEX(MASTER_DATABASE!$A$4:$A$1000,ROW()-3)="","",INDEX(MASTER_DATABASE!$AO$4:$AO$1000,ROW()-3)&amp;"")</f>
        <v>credit-card-bill-payment</v>
      </c>
      <c r="J284" s="7" t="str">
        <f aca="false">IF(INDEX(MASTER_DATABASE!$A$4:$A$1000,ROW()-3)="","",INDEX(MASTER_DATABASE!$BD$4:$BD$1000,ROW()-3)&amp;"")</f>
        <v>/services/credit-card-bill-payment</v>
      </c>
      <c r="K284" s="7" t="str">
        <f aca="false">IF(INDEX(MASTER_DATABASE!$A$4:$A$1000,ROW()-3)="","",INDEX(MASTER_DATABASE!$AX$4:$AX$1000,ROW()-3)&amp;"")</f>
        <v>Credit Card Bill Payment Service | Devmobile Stores</v>
      </c>
      <c r="L284" s="7" t="str">
        <f aca="false">IF(INDEX(MASTER_DATABASE!$A$4:$A$1000,ROW()-3)="","",INDEX(MASTER_DATABASE!$AY$4:$AY$1000,ROW()-3)&amp;"")</f>
        <v>Credit Card Bill Payment (क्रेडिट कार्ड बिल भुगतान) at Devmobile Stores and Common Service Center &amp; Aadhaar Centre. Check required documents, charges and process before you visit.</v>
      </c>
      <c r="M284" s="7" t="str">
        <f aca="false">IF(INDEX(MASTER_DATABASE!$A$4:$A$1000,ROW()-3)="","",INDEX(MASTER_DATABASE!$AN$4:$AN$1000,ROW()-3)&amp;"")</f>
        <v>Credit Card Bill Payment, Recharge / Bill Payment, Devmobile Stores, क्रेडिट कार्ड बिल भुगतान, रिचार्ज / बिल भुगतान, सेवा</v>
      </c>
      <c r="N284" s="7" t="str">
        <f aca="false">IF(INDEX(MASTER_DATABASE!$A$4:$A$1000,ROW()-3)="","",INDEX(MASTER_DATABASE!$AZ$4:$AZ$1000,ROW()-3)&amp;"")</f>
        <v>क्रेडिट कार्ड बिल भुगतान, रिचार्ज / बिल भुगतान, सेवा</v>
      </c>
      <c r="O284" s="7" t="str">
        <f aca="false">IF(INDEX(MASTER_DATABASE!$A$4:$A$1000,ROW()-3)="","",INDEX(MASTER_DATABASE!$BA$4:$BA$1000,ROW()-3)&amp;"")</f>
        <v>Credit Card Bill Payment, Recharge / Bill Payment, Devmobile Stores</v>
      </c>
      <c r="P284" s="11" t="str">
        <f aca="false">IF(INDEX(MASTER_DATABASE!$A$4:$A$1000,ROW()-3)="","",INDEX(MASTER_DATABASE!$AP$4:$AP$1000,ROW()-3)&amp;"")</f>
        <v>🧾</v>
      </c>
      <c r="Q284" s="7" t="str">
        <f aca="false">IF(INDEX(MASTER_DATABASE!$A$4:$A$1000,ROW()-3)="","",INDEX(MASTER_DATABASE!$BB$4:$BB$1000,ROW()-3)&amp;"")</f>
        <v/>
      </c>
      <c r="R284" s="11" t="str">
        <f aca="false">IF(INDEX(MASTER_DATABASE!$A$4:$A$1000,ROW()-3)="","",INDEX(MASTER_DATABASE!$BC$4:$BC$1000,ROW()-3)&amp;"")</f>
        <v>💡</v>
      </c>
      <c r="S284" s="11" t="n">
        <f aca="false">IF(INDEX(MASTER_DATABASE!$A$4:$A$1000,ROW()-3)="","",INDEX(MASTER_DATABASE!$AQ$4:$AQ$1000,ROW()-3))</f>
        <v>140</v>
      </c>
      <c r="T284" s="7" t="str">
        <f aca="false">IF(INDEX(MASTER_DATABASE!$A$4:$A$1000,ROW()-3)="","",INDEX(MASTER_DATABASE!$I$4:$I$1000,ROW()-3)&amp;"")</f>
        <v>Authorization Required</v>
      </c>
      <c r="U284" s="7" t="str">
        <f aca="false">IF(INDEX(MASTER_DATABASE!$A$4:$A$1000,ROW()-3)="","",INDEX(MASTER_DATABASE!$J$4:$J$1000,ROW()-3)&amp;"")</f>
        <v>Please Confirm at Shop</v>
      </c>
      <c r="V284" s="7" t="str">
        <f aca="false">IF(INDEX(MASTER_DATABASE!$A$4:$A$1000,ROW()-3)="","",INDEX(MASTER_DATABASE!$AG$4:$AG$1000,ROW()-3)&amp;"")</f>
        <v>To Verify</v>
      </c>
      <c r="W284" s="7" t="str">
        <f aca="false">IF(INDEX(MASTER_DATABASE!$A$4:$A$1000,ROW()-3)="","",INDEX(MASTER_DATABASE!$AH$4:$AH$1000,ROW()-3)&amp;"")</f>
        <v>No</v>
      </c>
      <c r="X284" s="7" t="str">
        <f aca="false">IF(INDEX(MASTER_DATABASE!$A$4:$A$1000,ROW()-3)="","",INDEX(MASTER_DATABASE!$AI$4:$AI$1000,ROW()-3)&amp;"")</f>
        <v>No</v>
      </c>
      <c r="Y284" s="7" t="str">
        <f aca="false">IF(INDEX(MASTER_DATABASE!$A$4:$A$1000,ROW()-3)="","",INDEX(MASTER_DATABASE!$AJ$4:$AJ$1000,ROW()-3)&amp;"")</f>
        <v>No</v>
      </c>
      <c r="Z284" s="7" t="str">
        <f aca="false">IF(INDEX(MASTER_DATABASE!$A$4:$A$1000,ROW()-3)="","",INDEX(MASTER_DATABASE!$AK$4:$AK$1000,ROW()-3)&amp;"")</f>
        <v>No</v>
      </c>
      <c r="AA284" s="7" t="str">
        <f aca="false">IF(INDEX(MASTER_DATABASE!$A$4:$A$1000,ROW()-3)="","",INDEX(MASTER_DATABASE!$BE$4:$BE$1000,ROW()-3)&amp;"")</f>
        <v>HIDDEN</v>
      </c>
    </row>
    <row r="285" customFormat="false" ht="46.25" hidden="false" customHeight="false" outlineLevel="0" collapsed="false">
      <c r="A285" s="11" t="str">
        <f aca="false">IF(INDEX(MASTER_DATABASE!$A$4:$A$1000,ROW()-3)="","",INDEX(MASTER_DATABASE!$A$4:$A$1000,ROW()-3)&amp;"")</f>
        <v>RCH-015</v>
      </c>
      <c r="B285" s="7" t="str">
        <f aca="false">IF(INDEX(MASTER_DATABASE!$A$4:$A$1000,ROW()-3)="","",INDEX(MASTER_DATABASE!$B$4:$B$1000,ROW()-3)&amp;"")</f>
        <v>Recharge / Bill Payment</v>
      </c>
      <c r="C285" s="7" t="str">
        <f aca="false">IF(INDEX(MASTER_DATABASE!$A$4:$A$1000,ROW()-3)="","",INDEX(MASTER_DATABASE!$C$4:$C$1000,ROW()-3)&amp;"")</f>
        <v>Recharge &amp; Bill Payment</v>
      </c>
      <c r="D285" s="7" t="str">
        <f aca="false">IF(INDEX(MASTER_DATABASE!$A$4:$A$1000,ROW()-3)="","",INDEX(MASTER_DATABASE!$D$4:$D$1000,ROW()-3)&amp;"")</f>
        <v>Bill Payment (BBPS)</v>
      </c>
      <c r="E285" s="7" t="str">
        <f aca="false">IF(INDEX(MASTER_DATABASE!$A$4:$A$1000,ROW()-3)="","",INDEX(MASTER_DATABASE!$E$4:$E$1000,ROW()-3)&amp;"")</f>
        <v>Education Fee Payment</v>
      </c>
      <c r="F285" s="7" t="str">
        <f aca="false">IF(INDEX(MASTER_DATABASE!$A$4:$A$1000,ROW()-3)="","",INDEX(MASTER_DATABASE!$F$4:$F$1000,ROW()-3)&amp;"")</f>
        <v>शिक्षा शुल्क भुगतान</v>
      </c>
      <c r="G285" s="7" t="str">
        <f aca="false">IF(INDEX(MASTER_DATABASE!$A$4:$A$1000,ROW()-3)="","",INDEX(MASTER_DATABASE!$AL$4:$AL$1000,ROW()-3)&amp;"")</f>
        <v>Recharge / Bill Payment</v>
      </c>
      <c r="H285" s="7" t="str">
        <f aca="false">IF(INDEX(MASTER_DATABASE!$A$4:$A$1000,ROW()-3)="","",INDEX(MASTER_DATABASE!$AM$4:$AM$1000,ROW()-3)&amp;"")</f>
        <v>Bill Payment (BBPS)</v>
      </c>
      <c r="I285" s="7" t="str">
        <f aca="false">IF(INDEX(MASTER_DATABASE!$A$4:$A$1000,ROW()-3)="","",INDEX(MASTER_DATABASE!$AO$4:$AO$1000,ROW()-3)&amp;"")</f>
        <v>education-fee-payment</v>
      </c>
      <c r="J285" s="7" t="str">
        <f aca="false">IF(INDEX(MASTER_DATABASE!$A$4:$A$1000,ROW()-3)="","",INDEX(MASTER_DATABASE!$BD$4:$BD$1000,ROW()-3)&amp;"")</f>
        <v>/services/education-fee-payment</v>
      </c>
      <c r="K285" s="7" t="str">
        <f aca="false">IF(INDEX(MASTER_DATABASE!$A$4:$A$1000,ROW()-3)="","",INDEX(MASTER_DATABASE!$AX$4:$AX$1000,ROW()-3)&amp;"")</f>
        <v>Education Fee Payment Service | Devmobile Stores</v>
      </c>
      <c r="L285" s="7" t="str">
        <f aca="false">IF(INDEX(MASTER_DATABASE!$A$4:$A$1000,ROW()-3)="","",INDEX(MASTER_DATABASE!$AY$4:$AY$1000,ROW()-3)&amp;"")</f>
        <v>Education Fee Payment (शिक्षा शुल्क भुगतान) at Devmobile Stores and Common Service Center &amp; Aadhaar Centre. Check required documents, charges and process before you visit.</v>
      </c>
      <c r="M285" s="7" t="str">
        <f aca="false">IF(INDEX(MASTER_DATABASE!$A$4:$A$1000,ROW()-3)="","",INDEX(MASTER_DATABASE!$AN$4:$AN$1000,ROW()-3)&amp;"")</f>
        <v>Education Fee Payment, Recharge / Bill Payment, Devmobile Stores, शिक्षा शुल्क भुगतान, रिचार्ज / बिल भुगतान, सेवा</v>
      </c>
      <c r="N285" s="7" t="str">
        <f aca="false">IF(INDEX(MASTER_DATABASE!$A$4:$A$1000,ROW()-3)="","",INDEX(MASTER_DATABASE!$AZ$4:$AZ$1000,ROW()-3)&amp;"")</f>
        <v>शिक्षा शुल्क भुगतान, रिचार्ज / बिल भुगतान, सेवा</v>
      </c>
      <c r="O285" s="7" t="str">
        <f aca="false">IF(INDEX(MASTER_DATABASE!$A$4:$A$1000,ROW()-3)="","",INDEX(MASTER_DATABASE!$BA$4:$BA$1000,ROW()-3)&amp;"")</f>
        <v>Education Fee Payment, Recharge / Bill Payment, Devmobile Stores</v>
      </c>
      <c r="P285" s="11" t="str">
        <f aca="false">IF(INDEX(MASTER_DATABASE!$A$4:$A$1000,ROW()-3)="","",INDEX(MASTER_DATABASE!$AP$4:$AP$1000,ROW()-3)&amp;"")</f>
        <v>🧾</v>
      </c>
      <c r="Q285" s="7" t="str">
        <f aca="false">IF(INDEX(MASTER_DATABASE!$A$4:$A$1000,ROW()-3)="","",INDEX(MASTER_DATABASE!$BB$4:$BB$1000,ROW()-3)&amp;"")</f>
        <v/>
      </c>
      <c r="R285" s="11" t="str">
        <f aca="false">IF(INDEX(MASTER_DATABASE!$A$4:$A$1000,ROW()-3)="","",INDEX(MASTER_DATABASE!$BC$4:$BC$1000,ROW()-3)&amp;"")</f>
        <v>💡</v>
      </c>
      <c r="S285" s="11" t="n">
        <f aca="false">IF(INDEX(MASTER_DATABASE!$A$4:$A$1000,ROW()-3)="","",INDEX(MASTER_DATABASE!$AQ$4:$AQ$1000,ROW()-3))</f>
        <v>150</v>
      </c>
      <c r="T285" s="7" t="str">
        <f aca="false">IF(INDEX(MASTER_DATABASE!$A$4:$A$1000,ROW()-3)="","",INDEX(MASTER_DATABASE!$I$4:$I$1000,ROW()-3)&amp;"")</f>
        <v>Authorization Required</v>
      </c>
      <c r="U285" s="7" t="str">
        <f aca="false">IF(INDEX(MASTER_DATABASE!$A$4:$A$1000,ROW()-3)="","",INDEX(MASTER_DATABASE!$J$4:$J$1000,ROW()-3)&amp;"")</f>
        <v>Please Confirm at Shop</v>
      </c>
      <c r="V285" s="7" t="str">
        <f aca="false">IF(INDEX(MASTER_DATABASE!$A$4:$A$1000,ROW()-3)="","",INDEX(MASTER_DATABASE!$AG$4:$AG$1000,ROW()-3)&amp;"")</f>
        <v>To Verify</v>
      </c>
      <c r="W285" s="7" t="str">
        <f aca="false">IF(INDEX(MASTER_DATABASE!$A$4:$A$1000,ROW()-3)="","",INDEX(MASTER_DATABASE!$AH$4:$AH$1000,ROW()-3)&amp;"")</f>
        <v>No</v>
      </c>
      <c r="X285" s="7" t="str">
        <f aca="false">IF(INDEX(MASTER_DATABASE!$A$4:$A$1000,ROW()-3)="","",INDEX(MASTER_DATABASE!$AI$4:$AI$1000,ROW()-3)&amp;"")</f>
        <v>No</v>
      </c>
      <c r="Y285" s="7" t="str">
        <f aca="false">IF(INDEX(MASTER_DATABASE!$A$4:$A$1000,ROW()-3)="","",INDEX(MASTER_DATABASE!$AJ$4:$AJ$1000,ROW()-3)&amp;"")</f>
        <v>No</v>
      </c>
      <c r="Z285" s="7" t="str">
        <f aca="false">IF(INDEX(MASTER_DATABASE!$A$4:$A$1000,ROW()-3)="","",INDEX(MASTER_DATABASE!$AK$4:$AK$1000,ROW()-3)&amp;"")</f>
        <v>No</v>
      </c>
      <c r="AA285" s="7" t="str">
        <f aca="false">IF(INDEX(MASTER_DATABASE!$A$4:$A$1000,ROW()-3)="","",INDEX(MASTER_DATABASE!$BE$4:$BE$1000,ROW()-3)&amp;"")</f>
        <v>HIDDEN</v>
      </c>
    </row>
    <row r="286" customFormat="false" ht="46.25" hidden="false" customHeight="false" outlineLevel="0" collapsed="false">
      <c r="A286" s="11" t="str">
        <f aca="false">IF(INDEX(MASTER_DATABASE!$A$4:$A$1000,ROW()-3)="","",INDEX(MASTER_DATABASE!$A$4:$A$1000,ROW()-3)&amp;"")</f>
        <v>RCH-016</v>
      </c>
      <c r="B286" s="7" t="str">
        <f aca="false">IF(INDEX(MASTER_DATABASE!$A$4:$A$1000,ROW()-3)="","",INDEX(MASTER_DATABASE!$B$4:$B$1000,ROW()-3)&amp;"")</f>
        <v>Recharge / Bill Payment</v>
      </c>
      <c r="C286" s="7" t="str">
        <f aca="false">IF(INDEX(MASTER_DATABASE!$A$4:$A$1000,ROW()-3)="","",INDEX(MASTER_DATABASE!$C$4:$C$1000,ROW()-3)&amp;"")</f>
        <v>Recharge &amp; Bill Payment</v>
      </c>
      <c r="D286" s="7" t="str">
        <f aca="false">IF(INDEX(MASTER_DATABASE!$A$4:$A$1000,ROW()-3)="","",INDEX(MASTER_DATABASE!$D$4:$D$1000,ROW()-3)&amp;"")</f>
        <v>Bill Payment (BBPS)</v>
      </c>
      <c r="E286" s="7" t="str">
        <f aca="false">IF(INDEX(MASTER_DATABASE!$A$4:$A$1000,ROW()-3)="","",INDEX(MASTER_DATABASE!$E$4:$E$1000,ROW()-3)&amp;"")</f>
        <v>BBPS – Other Billers</v>
      </c>
      <c r="F286" s="7" t="str">
        <f aca="false">IF(INDEX(MASTER_DATABASE!$A$4:$A$1000,ROW()-3)="","",INDEX(MASTER_DATABASE!$F$4:$F$1000,ROW()-3)&amp;"")</f>
        <v>BBPS – अन्य बिलर</v>
      </c>
      <c r="G286" s="7" t="str">
        <f aca="false">IF(INDEX(MASTER_DATABASE!$A$4:$A$1000,ROW()-3)="","",INDEX(MASTER_DATABASE!$AL$4:$AL$1000,ROW()-3)&amp;"")</f>
        <v>Recharge / Bill Payment</v>
      </c>
      <c r="H286" s="7" t="str">
        <f aca="false">IF(INDEX(MASTER_DATABASE!$A$4:$A$1000,ROW()-3)="","",INDEX(MASTER_DATABASE!$AM$4:$AM$1000,ROW()-3)&amp;"")</f>
        <v>Bill Payment (BBPS)</v>
      </c>
      <c r="I286" s="7" t="str">
        <f aca="false">IF(INDEX(MASTER_DATABASE!$A$4:$A$1000,ROW()-3)="","",INDEX(MASTER_DATABASE!$AO$4:$AO$1000,ROW()-3)&amp;"")</f>
        <v>bbps-other-billers</v>
      </c>
      <c r="J286" s="7" t="str">
        <f aca="false">IF(INDEX(MASTER_DATABASE!$A$4:$A$1000,ROW()-3)="","",INDEX(MASTER_DATABASE!$BD$4:$BD$1000,ROW()-3)&amp;"")</f>
        <v>/services/bbps-other-billers</v>
      </c>
      <c r="K286" s="7" t="str">
        <f aca="false">IF(INDEX(MASTER_DATABASE!$A$4:$A$1000,ROW()-3)="","",INDEX(MASTER_DATABASE!$AX$4:$AX$1000,ROW()-3)&amp;"")</f>
        <v>BBPS – Other Billers Service | Devmobile Stores</v>
      </c>
      <c r="L286" s="7" t="str">
        <f aca="false">IF(INDEX(MASTER_DATABASE!$A$4:$A$1000,ROW()-3)="","",INDEX(MASTER_DATABASE!$AY$4:$AY$1000,ROW()-3)&amp;"")</f>
        <v>BBPS – Other Billers (BBPS – अन्य बिलर) at Devmobile Stores and Common Service Center &amp; Aadhaar Centre. Check required documents, charges and process before you visit.</v>
      </c>
      <c r="M286" s="7" t="str">
        <f aca="false">IF(INDEX(MASTER_DATABASE!$A$4:$A$1000,ROW()-3)="","",INDEX(MASTER_DATABASE!$AN$4:$AN$1000,ROW()-3)&amp;"")</f>
        <v>BBPS – Other Billers, Recharge / Bill Payment, Devmobile Stores, BBPS – अन्य बिलर, रिचार्ज / बिल भुगतान, सेवा</v>
      </c>
      <c r="N286" s="7" t="str">
        <f aca="false">IF(INDEX(MASTER_DATABASE!$A$4:$A$1000,ROW()-3)="","",INDEX(MASTER_DATABASE!$AZ$4:$AZ$1000,ROW()-3)&amp;"")</f>
        <v>BBPS – अन्य बिलर, रिचार्ज / बिल भुगतान, सेवा</v>
      </c>
      <c r="O286" s="7" t="str">
        <f aca="false">IF(INDEX(MASTER_DATABASE!$A$4:$A$1000,ROW()-3)="","",INDEX(MASTER_DATABASE!$BA$4:$BA$1000,ROW()-3)&amp;"")</f>
        <v>BBPS – Other Billers, Recharge / Bill Payment, Devmobile Stores</v>
      </c>
      <c r="P286" s="11" t="str">
        <f aca="false">IF(INDEX(MASTER_DATABASE!$A$4:$A$1000,ROW()-3)="","",INDEX(MASTER_DATABASE!$AP$4:$AP$1000,ROW()-3)&amp;"")</f>
        <v>🧾</v>
      </c>
      <c r="Q286" s="7" t="str">
        <f aca="false">IF(INDEX(MASTER_DATABASE!$A$4:$A$1000,ROW()-3)="","",INDEX(MASTER_DATABASE!$BB$4:$BB$1000,ROW()-3)&amp;"")</f>
        <v/>
      </c>
      <c r="R286" s="11" t="str">
        <f aca="false">IF(INDEX(MASTER_DATABASE!$A$4:$A$1000,ROW()-3)="","",INDEX(MASTER_DATABASE!$BC$4:$BC$1000,ROW()-3)&amp;"")</f>
        <v>💡</v>
      </c>
      <c r="S286" s="11" t="n">
        <f aca="false">IF(INDEX(MASTER_DATABASE!$A$4:$A$1000,ROW()-3)="","",INDEX(MASTER_DATABASE!$AQ$4:$AQ$1000,ROW()-3))</f>
        <v>160</v>
      </c>
      <c r="T286" s="7" t="str">
        <f aca="false">IF(INDEX(MASTER_DATABASE!$A$4:$A$1000,ROW()-3)="","",INDEX(MASTER_DATABASE!$I$4:$I$1000,ROW()-3)&amp;"")</f>
        <v>Authorization Required</v>
      </c>
      <c r="U286" s="7" t="str">
        <f aca="false">IF(INDEX(MASTER_DATABASE!$A$4:$A$1000,ROW()-3)="","",INDEX(MASTER_DATABASE!$J$4:$J$1000,ROW()-3)&amp;"")</f>
        <v>Please Confirm at Shop</v>
      </c>
      <c r="V286" s="7" t="str">
        <f aca="false">IF(INDEX(MASTER_DATABASE!$A$4:$A$1000,ROW()-3)="","",INDEX(MASTER_DATABASE!$AG$4:$AG$1000,ROW()-3)&amp;"")</f>
        <v>To Verify</v>
      </c>
      <c r="W286" s="7" t="str">
        <f aca="false">IF(INDEX(MASTER_DATABASE!$A$4:$A$1000,ROW()-3)="","",INDEX(MASTER_DATABASE!$AH$4:$AH$1000,ROW()-3)&amp;"")</f>
        <v>No</v>
      </c>
      <c r="X286" s="7" t="str">
        <f aca="false">IF(INDEX(MASTER_DATABASE!$A$4:$A$1000,ROW()-3)="","",INDEX(MASTER_DATABASE!$AI$4:$AI$1000,ROW()-3)&amp;"")</f>
        <v>No</v>
      </c>
      <c r="Y286" s="7" t="str">
        <f aca="false">IF(INDEX(MASTER_DATABASE!$A$4:$A$1000,ROW()-3)="","",INDEX(MASTER_DATABASE!$AJ$4:$AJ$1000,ROW()-3)&amp;"")</f>
        <v>No</v>
      </c>
      <c r="Z286" s="7" t="str">
        <f aca="false">IF(INDEX(MASTER_DATABASE!$A$4:$A$1000,ROW()-3)="","",INDEX(MASTER_DATABASE!$AK$4:$AK$1000,ROW()-3)&amp;"")</f>
        <v>No</v>
      </c>
      <c r="AA286" s="7" t="str">
        <f aca="false">IF(INDEX(MASTER_DATABASE!$A$4:$A$1000,ROW()-3)="","",INDEX(MASTER_DATABASE!$BE$4:$BE$1000,ROW()-3)&amp;"")</f>
        <v>HIDDEN</v>
      </c>
    </row>
    <row r="287" customFormat="false" ht="46.25" hidden="false" customHeight="false" outlineLevel="0" collapsed="false">
      <c r="A287" s="11" t="str">
        <f aca="false">IF(INDEX(MASTER_DATABASE!$A$4:$A$1000,ROW()-3)="","",INDEX(MASTER_DATABASE!$A$4:$A$1000,ROW()-3)&amp;"")</f>
        <v>TKT-001</v>
      </c>
      <c r="B287" s="7" t="str">
        <f aca="false">IF(INDEX(MASTER_DATABASE!$A$4:$A$1000,ROW()-3)="","",INDEX(MASTER_DATABASE!$B$4:$B$1000,ROW()-3)&amp;"")</f>
        <v>Travel / Ticketing</v>
      </c>
      <c r="C287" s="7" t="str">
        <f aca="false">IF(INDEX(MASTER_DATABASE!$A$4:$A$1000,ROW()-3)="","",INDEX(MASTER_DATABASE!$C$4:$C$1000,ROW()-3)&amp;"")</f>
        <v>Travel Services</v>
      </c>
      <c r="D287" s="7" t="str">
        <f aca="false">IF(INDEX(MASTER_DATABASE!$A$4:$A$1000,ROW()-3)="","",INDEX(MASTER_DATABASE!$D$4:$D$1000,ROW()-3)&amp;"")</f>
        <v>Railway</v>
      </c>
      <c r="E287" s="7" t="str">
        <f aca="false">IF(INDEX(MASTER_DATABASE!$A$4:$A$1000,ROW()-3)="","",INDEX(MASTER_DATABASE!$E$4:$E$1000,ROW()-3)&amp;"")</f>
        <v>Railway Ticket Booking (General)</v>
      </c>
      <c r="F287" s="7" t="str">
        <f aca="false">IF(INDEX(MASTER_DATABASE!$A$4:$A$1000,ROW()-3)="","",INDEX(MASTER_DATABASE!$F$4:$F$1000,ROW()-3)&amp;"")</f>
        <v>रेलवे टिकट बुकिंग (सामान्य)</v>
      </c>
      <c r="G287" s="7" t="str">
        <f aca="false">IF(INDEX(MASTER_DATABASE!$A$4:$A$1000,ROW()-3)="","",INDEX(MASTER_DATABASE!$AL$4:$AL$1000,ROW()-3)&amp;"")</f>
        <v>Travel / Ticketing</v>
      </c>
      <c r="H287" s="7" t="str">
        <f aca="false">IF(INDEX(MASTER_DATABASE!$A$4:$A$1000,ROW()-3)="","",INDEX(MASTER_DATABASE!$AM$4:$AM$1000,ROW()-3)&amp;"")</f>
        <v>Railway</v>
      </c>
      <c r="I287" s="7" t="str">
        <f aca="false">IF(INDEX(MASTER_DATABASE!$A$4:$A$1000,ROW()-3)="","",INDEX(MASTER_DATABASE!$AO$4:$AO$1000,ROW()-3)&amp;"")</f>
        <v>railway-ticket-booking-general</v>
      </c>
      <c r="J287" s="7" t="str">
        <f aca="false">IF(INDEX(MASTER_DATABASE!$A$4:$A$1000,ROW()-3)="","",INDEX(MASTER_DATABASE!$BD$4:$BD$1000,ROW()-3)&amp;"")</f>
        <v>/services/railway-ticket-booking-general</v>
      </c>
      <c r="K287" s="7" t="str">
        <f aca="false">IF(INDEX(MASTER_DATABASE!$A$4:$A$1000,ROW()-3)="","",INDEX(MASTER_DATABASE!$AX$4:$AX$1000,ROW()-3)&amp;"")</f>
        <v>Railway Ticket Booking (General) Service | Devmobile Stores</v>
      </c>
      <c r="L287" s="7" t="str">
        <f aca="false">IF(INDEX(MASTER_DATABASE!$A$4:$A$1000,ROW()-3)="","",INDEX(MASTER_DATABASE!$AY$4:$AY$1000,ROW()-3)&amp;"")</f>
        <v>Railway Ticket Booking (General) (रेलवे टिकट बुकिंग (सामान्य)) at Devmobile Stores and Common Service Center &amp; Aadhaar Centre. Check required documents, charges and process before you visit.</v>
      </c>
      <c r="M287" s="7" t="str">
        <f aca="false">IF(INDEX(MASTER_DATABASE!$A$4:$A$1000,ROW()-3)="","",INDEX(MASTER_DATABASE!$AN$4:$AN$1000,ROW()-3)&amp;"")</f>
        <v>Railway Ticket Booking (General), Travel / Ticketing, Devmobile Stores, रेलवे टिकट बुकिंग (सामान्य), टिकट / बुकिंग, सेवा</v>
      </c>
      <c r="N287" s="7" t="str">
        <f aca="false">IF(INDEX(MASTER_DATABASE!$A$4:$A$1000,ROW()-3)="","",INDEX(MASTER_DATABASE!$AZ$4:$AZ$1000,ROW()-3)&amp;"")</f>
        <v>रेलवे टिकट बुकिंग (सामान्य), टिकट / बुकिंग, सेवा</v>
      </c>
      <c r="O287" s="7" t="str">
        <f aca="false">IF(INDEX(MASTER_DATABASE!$A$4:$A$1000,ROW()-3)="","",INDEX(MASTER_DATABASE!$BA$4:$BA$1000,ROW()-3)&amp;"")</f>
        <v>Railway Ticket Booking (General), Travel / Ticketing, Devmobile Stores</v>
      </c>
      <c r="P287" s="11" t="str">
        <f aca="false">IF(INDEX(MASTER_DATABASE!$A$4:$A$1000,ROW()-3)="","",INDEX(MASTER_DATABASE!$AP$4:$AP$1000,ROW()-3)&amp;"")</f>
        <v>🚆</v>
      </c>
      <c r="Q287" s="7" t="str">
        <f aca="false">IF(INDEX(MASTER_DATABASE!$A$4:$A$1000,ROW()-3)="","",INDEX(MASTER_DATABASE!$BB$4:$BB$1000,ROW()-3)&amp;"")</f>
        <v/>
      </c>
      <c r="R287" s="11" t="str">
        <f aca="false">IF(INDEX(MASTER_DATABASE!$A$4:$A$1000,ROW()-3)="","",INDEX(MASTER_DATABASE!$BC$4:$BC$1000,ROW()-3)&amp;"")</f>
        <v>🚆</v>
      </c>
      <c r="S287" s="11" t="n">
        <f aca="false">IF(INDEX(MASTER_DATABASE!$A$4:$A$1000,ROW()-3)="","",INDEX(MASTER_DATABASE!$AQ$4:$AQ$1000,ROW()-3))</f>
        <v>10</v>
      </c>
      <c r="T287" s="7" t="str">
        <f aca="false">IF(INDEX(MASTER_DATABASE!$A$4:$A$1000,ROW()-3)="","",INDEX(MASTER_DATABASE!$I$4:$I$1000,ROW()-3)&amp;"")</f>
        <v>Authorization Required</v>
      </c>
      <c r="U287" s="7" t="str">
        <f aca="false">IF(INDEX(MASTER_DATABASE!$A$4:$A$1000,ROW()-3)="","",INDEX(MASTER_DATABASE!$J$4:$J$1000,ROW()-3)&amp;"")</f>
        <v>Please Confirm at Shop</v>
      </c>
      <c r="V287" s="7" t="str">
        <f aca="false">IF(INDEX(MASTER_DATABASE!$A$4:$A$1000,ROW()-3)="","",INDEX(MASTER_DATABASE!$AG$4:$AG$1000,ROW()-3)&amp;"")</f>
        <v>To Verify</v>
      </c>
      <c r="W287" s="7" t="str">
        <f aca="false">IF(INDEX(MASTER_DATABASE!$A$4:$A$1000,ROW()-3)="","",INDEX(MASTER_DATABASE!$AH$4:$AH$1000,ROW()-3)&amp;"")</f>
        <v>No</v>
      </c>
      <c r="X287" s="7" t="str">
        <f aca="false">IF(INDEX(MASTER_DATABASE!$A$4:$A$1000,ROW()-3)="","",INDEX(MASTER_DATABASE!$AI$4:$AI$1000,ROW()-3)&amp;"")</f>
        <v>No</v>
      </c>
      <c r="Y287" s="7" t="str">
        <f aca="false">IF(INDEX(MASTER_DATABASE!$A$4:$A$1000,ROW()-3)="","",INDEX(MASTER_DATABASE!$AJ$4:$AJ$1000,ROW()-3)&amp;"")</f>
        <v>No</v>
      </c>
      <c r="Z287" s="7" t="str">
        <f aca="false">IF(INDEX(MASTER_DATABASE!$A$4:$A$1000,ROW()-3)="","",INDEX(MASTER_DATABASE!$AK$4:$AK$1000,ROW()-3)&amp;"")</f>
        <v>No</v>
      </c>
      <c r="AA287" s="7" t="str">
        <f aca="false">IF(INDEX(MASTER_DATABASE!$A$4:$A$1000,ROW()-3)="","",INDEX(MASTER_DATABASE!$BE$4:$BE$1000,ROW()-3)&amp;"")</f>
        <v>HIDDEN</v>
      </c>
    </row>
    <row r="288" customFormat="false" ht="46.25" hidden="false" customHeight="false" outlineLevel="0" collapsed="false">
      <c r="A288" s="11" t="str">
        <f aca="false">IF(INDEX(MASTER_DATABASE!$A$4:$A$1000,ROW()-3)="","",INDEX(MASTER_DATABASE!$A$4:$A$1000,ROW()-3)&amp;"")</f>
        <v>TKT-002</v>
      </c>
      <c r="B288" s="7" t="str">
        <f aca="false">IF(INDEX(MASTER_DATABASE!$A$4:$A$1000,ROW()-3)="","",INDEX(MASTER_DATABASE!$B$4:$B$1000,ROW()-3)&amp;"")</f>
        <v>Travel / Ticketing</v>
      </c>
      <c r="C288" s="7" t="str">
        <f aca="false">IF(INDEX(MASTER_DATABASE!$A$4:$A$1000,ROW()-3)="","",INDEX(MASTER_DATABASE!$C$4:$C$1000,ROW()-3)&amp;"")</f>
        <v>Travel Services</v>
      </c>
      <c r="D288" s="7" t="str">
        <f aca="false">IF(INDEX(MASTER_DATABASE!$A$4:$A$1000,ROW()-3)="","",INDEX(MASTER_DATABASE!$D$4:$D$1000,ROW()-3)&amp;"")</f>
        <v>Railway</v>
      </c>
      <c r="E288" s="7" t="str">
        <f aca="false">IF(INDEX(MASTER_DATABASE!$A$4:$A$1000,ROW()-3)="","",INDEX(MASTER_DATABASE!$E$4:$E$1000,ROW()-3)&amp;"")</f>
        <v>Railway Ticket Booking (Tatkal)</v>
      </c>
      <c r="F288" s="7" t="str">
        <f aca="false">IF(INDEX(MASTER_DATABASE!$A$4:$A$1000,ROW()-3)="","",INDEX(MASTER_DATABASE!$F$4:$F$1000,ROW()-3)&amp;"")</f>
        <v>रेलवे टिकट बुकिंग (तत्काल)</v>
      </c>
      <c r="G288" s="7" t="str">
        <f aca="false">IF(INDEX(MASTER_DATABASE!$A$4:$A$1000,ROW()-3)="","",INDEX(MASTER_DATABASE!$AL$4:$AL$1000,ROW()-3)&amp;"")</f>
        <v>Travel / Ticketing</v>
      </c>
      <c r="H288" s="7" t="str">
        <f aca="false">IF(INDEX(MASTER_DATABASE!$A$4:$A$1000,ROW()-3)="","",INDEX(MASTER_DATABASE!$AM$4:$AM$1000,ROW()-3)&amp;"")</f>
        <v>Railway</v>
      </c>
      <c r="I288" s="7" t="str">
        <f aca="false">IF(INDEX(MASTER_DATABASE!$A$4:$A$1000,ROW()-3)="","",INDEX(MASTER_DATABASE!$AO$4:$AO$1000,ROW()-3)&amp;"")</f>
        <v>railway-ticket-booking-tatkal</v>
      </c>
      <c r="J288" s="7" t="str">
        <f aca="false">IF(INDEX(MASTER_DATABASE!$A$4:$A$1000,ROW()-3)="","",INDEX(MASTER_DATABASE!$BD$4:$BD$1000,ROW()-3)&amp;"")</f>
        <v>/services/railway-ticket-booking-tatkal</v>
      </c>
      <c r="K288" s="7" t="str">
        <f aca="false">IF(INDEX(MASTER_DATABASE!$A$4:$A$1000,ROW()-3)="","",INDEX(MASTER_DATABASE!$AX$4:$AX$1000,ROW()-3)&amp;"")</f>
        <v>Railway Ticket Booking (Tatkal) Service | Devmobile Stores</v>
      </c>
      <c r="L288" s="7" t="str">
        <f aca="false">IF(INDEX(MASTER_DATABASE!$A$4:$A$1000,ROW()-3)="","",INDEX(MASTER_DATABASE!$AY$4:$AY$1000,ROW()-3)&amp;"")</f>
        <v>Railway Ticket Booking (Tatkal) (रेलवे टिकट बुकिंग (तत्काल)) at Devmobile Stores and Common Service Center &amp; Aadhaar Centre. Check required documents, charges and process before you visit.</v>
      </c>
      <c r="M288" s="7" t="str">
        <f aca="false">IF(INDEX(MASTER_DATABASE!$A$4:$A$1000,ROW()-3)="","",INDEX(MASTER_DATABASE!$AN$4:$AN$1000,ROW()-3)&amp;"")</f>
        <v>Railway Ticket Booking (Tatkal), Travel / Ticketing, Devmobile Stores, रेलवे टिकट बुकिंग (तत्काल), टिकट / बुकिंग, सेवा</v>
      </c>
      <c r="N288" s="7" t="str">
        <f aca="false">IF(INDEX(MASTER_DATABASE!$A$4:$A$1000,ROW()-3)="","",INDEX(MASTER_DATABASE!$AZ$4:$AZ$1000,ROW()-3)&amp;"")</f>
        <v>रेलवे टिकट बुकिंग (तत्काल), टिकट / बुकिंग, सेवा</v>
      </c>
      <c r="O288" s="7" t="str">
        <f aca="false">IF(INDEX(MASTER_DATABASE!$A$4:$A$1000,ROW()-3)="","",INDEX(MASTER_DATABASE!$BA$4:$BA$1000,ROW()-3)&amp;"")</f>
        <v>Railway Ticket Booking (Tatkal), Travel / Ticketing, Devmobile Stores</v>
      </c>
      <c r="P288" s="11" t="str">
        <f aca="false">IF(INDEX(MASTER_DATABASE!$A$4:$A$1000,ROW()-3)="","",INDEX(MASTER_DATABASE!$AP$4:$AP$1000,ROW()-3)&amp;"")</f>
        <v>🚆</v>
      </c>
      <c r="Q288" s="7" t="str">
        <f aca="false">IF(INDEX(MASTER_DATABASE!$A$4:$A$1000,ROW()-3)="","",INDEX(MASTER_DATABASE!$BB$4:$BB$1000,ROW()-3)&amp;"")</f>
        <v/>
      </c>
      <c r="R288" s="11" t="str">
        <f aca="false">IF(INDEX(MASTER_DATABASE!$A$4:$A$1000,ROW()-3)="","",INDEX(MASTER_DATABASE!$BC$4:$BC$1000,ROW()-3)&amp;"")</f>
        <v>🚆</v>
      </c>
      <c r="S288" s="11" t="n">
        <f aca="false">IF(INDEX(MASTER_DATABASE!$A$4:$A$1000,ROW()-3)="","",INDEX(MASTER_DATABASE!$AQ$4:$AQ$1000,ROW()-3))</f>
        <v>20</v>
      </c>
      <c r="T288" s="7" t="str">
        <f aca="false">IF(INDEX(MASTER_DATABASE!$A$4:$A$1000,ROW()-3)="","",INDEX(MASTER_DATABASE!$I$4:$I$1000,ROW()-3)&amp;"")</f>
        <v>Authorization Required</v>
      </c>
      <c r="U288" s="7" t="str">
        <f aca="false">IF(INDEX(MASTER_DATABASE!$A$4:$A$1000,ROW()-3)="","",INDEX(MASTER_DATABASE!$J$4:$J$1000,ROW()-3)&amp;"")</f>
        <v>Please Confirm at Shop</v>
      </c>
      <c r="V288" s="7" t="str">
        <f aca="false">IF(INDEX(MASTER_DATABASE!$A$4:$A$1000,ROW()-3)="","",INDEX(MASTER_DATABASE!$AG$4:$AG$1000,ROW()-3)&amp;"")</f>
        <v>To Verify</v>
      </c>
      <c r="W288" s="7" t="str">
        <f aca="false">IF(INDEX(MASTER_DATABASE!$A$4:$A$1000,ROW()-3)="","",INDEX(MASTER_DATABASE!$AH$4:$AH$1000,ROW()-3)&amp;"")</f>
        <v>No</v>
      </c>
      <c r="X288" s="7" t="str">
        <f aca="false">IF(INDEX(MASTER_DATABASE!$A$4:$A$1000,ROW()-3)="","",INDEX(MASTER_DATABASE!$AI$4:$AI$1000,ROW()-3)&amp;"")</f>
        <v>No</v>
      </c>
      <c r="Y288" s="7" t="str">
        <f aca="false">IF(INDEX(MASTER_DATABASE!$A$4:$A$1000,ROW()-3)="","",INDEX(MASTER_DATABASE!$AJ$4:$AJ$1000,ROW()-3)&amp;"")</f>
        <v>No</v>
      </c>
      <c r="Z288" s="7" t="str">
        <f aca="false">IF(INDEX(MASTER_DATABASE!$A$4:$A$1000,ROW()-3)="","",INDEX(MASTER_DATABASE!$AK$4:$AK$1000,ROW()-3)&amp;"")</f>
        <v>No</v>
      </c>
      <c r="AA288" s="7" t="str">
        <f aca="false">IF(INDEX(MASTER_DATABASE!$A$4:$A$1000,ROW()-3)="","",INDEX(MASTER_DATABASE!$BE$4:$BE$1000,ROW()-3)&amp;"")</f>
        <v>HIDDEN</v>
      </c>
    </row>
    <row r="289" customFormat="false" ht="46.25" hidden="false" customHeight="false" outlineLevel="0" collapsed="false">
      <c r="A289" s="11" t="str">
        <f aca="false">IF(INDEX(MASTER_DATABASE!$A$4:$A$1000,ROW()-3)="","",INDEX(MASTER_DATABASE!$A$4:$A$1000,ROW()-3)&amp;"")</f>
        <v>TKT-003</v>
      </c>
      <c r="B289" s="7" t="str">
        <f aca="false">IF(INDEX(MASTER_DATABASE!$A$4:$A$1000,ROW()-3)="","",INDEX(MASTER_DATABASE!$B$4:$B$1000,ROW()-3)&amp;"")</f>
        <v>Travel / Ticketing</v>
      </c>
      <c r="C289" s="7" t="str">
        <f aca="false">IF(INDEX(MASTER_DATABASE!$A$4:$A$1000,ROW()-3)="","",INDEX(MASTER_DATABASE!$C$4:$C$1000,ROW()-3)&amp;"")</f>
        <v>Travel Services</v>
      </c>
      <c r="D289" s="7" t="str">
        <f aca="false">IF(INDEX(MASTER_DATABASE!$A$4:$A$1000,ROW()-3)="","",INDEX(MASTER_DATABASE!$D$4:$D$1000,ROW()-3)&amp;"")</f>
        <v>Railway</v>
      </c>
      <c r="E289" s="7" t="str">
        <f aca="false">IF(INDEX(MASTER_DATABASE!$A$4:$A$1000,ROW()-3)="","",INDEX(MASTER_DATABASE!$E$4:$E$1000,ROW()-3)&amp;"")</f>
        <v>PNR Status Check</v>
      </c>
      <c r="F289" s="7" t="str">
        <f aca="false">IF(INDEX(MASTER_DATABASE!$A$4:$A$1000,ROW()-3)="","",INDEX(MASTER_DATABASE!$F$4:$F$1000,ROW()-3)&amp;"")</f>
        <v>PNR स्टेटस जाँच</v>
      </c>
      <c r="G289" s="7" t="str">
        <f aca="false">IF(INDEX(MASTER_DATABASE!$A$4:$A$1000,ROW()-3)="","",INDEX(MASTER_DATABASE!$AL$4:$AL$1000,ROW()-3)&amp;"")</f>
        <v>Travel / Ticketing</v>
      </c>
      <c r="H289" s="7" t="str">
        <f aca="false">IF(INDEX(MASTER_DATABASE!$A$4:$A$1000,ROW()-3)="","",INDEX(MASTER_DATABASE!$AM$4:$AM$1000,ROW()-3)&amp;"")</f>
        <v>Railway</v>
      </c>
      <c r="I289" s="7" t="str">
        <f aca="false">IF(INDEX(MASTER_DATABASE!$A$4:$A$1000,ROW()-3)="","",INDEX(MASTER_DATABASE!$AO$4:$AO$1000,ROW()-3)&amp;"")</f>
        <v>pnr-status-check</v>
      </c>
      <c r="J289" s="7" t="str">
        <f aca="false">IF(INDEX(MASTER_DATABASE!$A$4:$A$1000,ROW()-3)="","",INDEX(MASTER_DATABASE!$BD$4:$BD$1000,ROW()-3)&amp;"")</f>
        <v>/services/pnr-status-check</v>
      </c>
      <c r="K289" s="7" t="str">
        <f aca="false">IF(INDEX(MASTER_DATABASE!$A$4:$A$1000,ROW()-3)="","",INDEX(MASTER_DATABASE!$AX$4:$AX$1000,ROW()-3)&amp;"")</f>
        <v>PNR Status Check Service | Devmobile Stores</v>
      </c>
      <c r="L289" s="7" t="str">
        <f aca="false">IF(INDEX(MASTER_DATABASE!$A$4:$A$1000,ROW()-3)="","",INDEX(MASTER_DATABASE!$AY$4:$AY$1000,ROW()-3)&amp;"")</f>
        <v>PNR Status Check (PNR स्टेटस जाँच) at Devmobile Stores and Common Service Center &amp; Aadhaar Centre. Check required documents, charges and process before you visit.</v>
      </c>
      <c r="M289" s="7" t="str">
        <f aca="false">IF(INDEX(MASTER_DATABASE!$A$4:$A$1000,ROW()-3)="","",INDEX(MASTER_DATABASE!$AN$4:$AN$1000,ROW()-3)&amp;"")</f>
        <v>PNR Status Check, Travel / Ticketing, Devmobile Stores, PNR स्टेटस जाँच, टिकट / बुकिंग, सेवा</v>
      </c>
      <c r="N289" s="7" t="str">
        <f aca="false">IF(INDEX(MASTER_DATABASE!$A$4:$A$1000,ROW()-3)="","",INDEX(MASTER_DATABASE!$AZ$4:$AZ$1000,ROW()-3)&amp;"")</f>
        <v>PNR स्टेटस जाँच, टिकट / बुकिंग, सेवा</v>
      </c>
      <c r="O289" s="7" t="str">
        <f aca="false">IF(INDEX(MASTER_DATABASE!$A$4:$A$1000,ROW()-3)="","",INDEX(MASTER_DATABASE!$BA$4:$BA$1000,ROW()-3)&amp;"")</f>
        <v>PNR Status Check, Travel / Ticketing, Devmobile Stores</v>
      </c>
      <c r="P289" s="11" t="str">
        <f aca="false">IF(INDEX(MASTER_DATABASE!$A$4:$A$1000,ROW()-3)="","",INDEX(MASTER_DATABASE!$AP$4:$AP$1000,ROW()-3)&amp;"")</f>
        <v>🚆</v>
      </c>
      <c r="Q289" s="7" t="str">
        <f aca="false">IF(INDEX(MASTER_DATABASE!$A$4:$A$1000,ROW()-3)="","",INDEX(MASTER_DATABASE!$BB$4:$BB$1000,ROW()-3)&amp;"")</f>
        <v/>
      </c>
      <c r="R289" s="11" t="str">
        <f aca="false">IF(INDEX(MASTER_DATABASE!$A$4:$A$1000,ROW()-3)="","",INDEX(MASTER_DATABASE!$BC$4:$BC$1000,ROW()-3)&amp;"")</f>
        <v>🚆</v>
      </c>
      <c r="S289" s="11" t="n">
        <f aca="false">IF(INDEX(MASTER_DATABASE!$A$4:$A$1000,ROW()-3)="","",INDEX(MASTER_DATABASE!$AQ$4:$AQ$1000,ROW()-3))</f>
        <v>30</v>
      </c>
      <c r="T289" s="7" t="str">
        <f aca="false">IF(INDEX(MASTER_DATABASE!$A$4:$A$1000,ROW()-3)="","",INDEX(MASTER_DATABASE!$I$4:$I$1000,ROW()-3)&amp;"")</f>
        <v>Available</v>
      </c>
      <c r="U289" s="7" t="str">
        <f aca="false">IF(INDEX(MASTER_DATABASE!$A$4:$A$1000,ROW()-3)="","",INDEX(MASTER_DATABASE!$J$4:$J$1000,ROW()-3)&amp;"")</f>
        <v>Available</v>
      </c>
      <c r="V289" s="7" t="str">
        <f aca="false">IF(INDEX(MASTER_DATABASE!$A$4:$A$1000,ROW()-3)="","",INDEX(MASTER_DATABASE!$AG$4:$AG$1000,ROW()-3)&amp;"")</f>
        <v>Active</v>
      </c>
      <c r="W289" s="7" t="str">
        <f aca="false">IF(INDEX(MASTER_DATABASE!$A$4:$A$1000,ROW()-3)="","",INDEX(MASTER_DATABASE!$AH$4:$AH$1000,ROW()-3)&amp;"")</f>
        <v>Yes</v>
      </c>
      <c r="X289" s="7" t="str">
        <f aca="false">IF(INDEX(MASTER_DATABASE!$A$4:$A$1000,ROW()-3)="","",INDEX(MASTER_DATABASE!$AI$4:$AI$1000,ROW()-3)&amp;"")</f>
        <v>No</v>
      </c>
      <c r="Y289" s="7" t="str">
        <f aca="false">IF(INDEX(MASTER_DATABASE!$A$4:$A$1000,ROW()-3)="","",INDEX(MASTER_DATABASE!$AJ$4:$AJ$1000,ROW()-3)&amp;"")</f>
        <v>No</v>
      </c>
      <c r="Z289" s="7" t="str">
        <f aca="false">IF(INDEX(MASTER_DATABASE!$A$4:$A$1000,ROW()-3)="","",INDEX(MASTER_DATABASE!$AK$4:$AK$1000,ROW()-3)&amp;"")</f>
        <v>No</v>
      </c>
      <c r="AA289" s="7" t="str">
        <f aca="false">IF(INDEX(MASTER_DATABASE!$A$4:$A$1000,ROW()-3)="","",INDEX(MASTER_DATABASE!$BE$4:$BE$1000,ROW()-3)&amp;"")</f>
        <v>LIVE</v>
      </c>
    </row>
    <row r="290" customFormat="false" ht="46.25" hidden="false" customHeight="false" outlineLevel="0" collapsed="false">
      <c r="A290" s="11" t="str">
        <f aca="false">IF(INDEX(MASTER_DATABASE!$A$4:$A$1000,ROW()-3)="","",INDEX(MASTER_DATABASE!$A$4:$A$1000,ROW()-3)&amp;"")</f>
        <v>TKT-004</v>
      </c>
      <c r="B290" s="7" t="str">
        <f aca="false">IF(INDEX(MASTER_DATABASE!$A$4:$A$1000,ROW()-3)="","",INDEX(MASTER_DATABASE!$B$4:$B$1000,ROW()-3)&amp;"")</f>
        <v>Travel / Ticketing</v>
      </c>
      <c r="C290" s="7" t="str">
        <f aca="false">IF(INDEX(MASTER_DATABASE!$A$4:$A$1000,ROW()-3)="","",INDEX(MASTER_DATABASE!$C$4:$C$1000,ROW()-3)&amp;"")</f>
        <v>Travel Services</v>
      </c>
      <c r="D290" s="7" t="str">
        <f aca="false">IF(INDEX(MASTER_DATABASE!$A$4:$A$1000,ROW()-3)="","",INDEX(MASTER_DATABASE!$D$4:$D$1000,ROW()-3)&amp;"")</f>
        <v>Railway</v>
      </c>
      <c r="E290" s="7" t="str">
        <f aca="false">IF(INDEX(MASTER_DATABASE!$A$4:$A$1000,ROW()-3)="","",INDEX(MASTER_DATABASE!$E$4:$E$1000,ROW()-3)&amp;"")</f>
        <v>Train Running Status</v>
      </c>
      <c r="F290" s="7" t="str">
        <f aca="false">IF(INDEX(MASTER_DATABASE!$A$4:$A$1000,ROW()-3)="","",INDEX(MASTER_DATABASE!$F$4:$F$1000,ROW()-3)&amp;"")</f>
        <v>ट्रेन रनिंग स्टेटस</v>
      </c>
      <c r="G290" s="7" t="str">
        <f aca="false">IF(INDEX(MASTER_DATABASE!$A$4:$A$1000,ROW()-3)="","",INDEX(MASTER_DATABASE!$AL$4:$AL$1000,ROW()-3)&amp;"")</f>
        <v>Travel / Ticketing</v>
      </c>
      <c r="H290" s="7" t="str">
        <f aca="false">IF(INDEX(MASTER_DATABASE!$A$4:$A$1000,ROW()-3)="","",INDEX(MASTER_DATABASE!$AM$4:$AM$1000,ROW()-3)&amp;"")</f>
        <v>Railway</v>
      </c>
      <c r="I290" s="7" t="str">
        <f aca="false">IF(INDEX(MASTER_DATABASE!$A$4:$A$1000,ROW()-3)="","",INDEX(MASTER_DATABASE!$AO$4:$AO$1000,ROW()-3)&amp;"")</f>
        <v>train-running-status</v>
      </c>
      <c r="J290" s="7" t="str">
        <f aca="false">IF(INDEX(MASTER_DATABASE!$A$4:$A$1000,ROW()-3)="","",INDEX(MASTER_DATABASE!$BD$4:$BD$1000,ROW()-3)&amp;"")</f>
        <v>/services/train-running-status</v>
      </c>
      <c r="K290" s="7" t="str">
        <f aca="false">IF(INDEX(MASTER_DATABASE!$A$4:$A$1000,ROW()-3)="","",INDEX(MASTER_DATABASE!$AX$4:$AX$1000,ROW()-3)&amp;"")</f>
        <v>Train Running Status Service | Devmobile Stores</v>
      </c>
      <c r="L290" s="7" t="str">
        <f aca="false">IF(INDEX(MASTER_DATABASE!$A$4:$A$1000,ROW()-3)="","",INDEX(MASTER_DATABASE!$AY$4:$AY$1000,ROW()-3)&amp;"")</f>
        <v>Train Running Status (ट्रेन रनिंग स्टेटस) at Devmobile Stores and Common Service Center &amp; Aadhaar Centre. Check required documents, charges and process before you visit.</v>
      </c>
      <c r="M290" s="7" t="str">
        <f aca="false">IF(INDEX(MASTER_DATABASE!$A$4:$A$1000,ROW()-3)="","",INDEX(MASTER_DATABASE!$AN$4:$AN$1000,ROW()-3)&amp;"")</f>
        <v>Train Running Status, Travel / Ticketing, Devmobile Stores, ट्रेन रनिंग स्टेटस, टिकट / बुकिंग, सेवा</v>
      </c>
      <c r="N290" s="7" t="str">
        <f aca="false">IF(INDEX(MASTER_DATABASE!$A$4:$A$1000,ROW()-3)="","",INDEX(MASTER_DATABASE!$AZ$4:$AZ$1000,ROW()-3)&amp;"")</f>
        <v>ट्रेन रनिंग स्टेटस, टिकट / बुकिंग, सेवा</v>
      </c>
      <c r="O290" s="7" t="str">
        <f aca="false">IF(INDEX(MASTER_DATABASE!$A$4:$A$1000,ROW()-3)="","",INDEX(MASTER_DATABASE!$BA$4:$BA$1000,ROW()-3)&amp;"")</f>
        <v>Train Running Status, Travel / Ticketing, Devmobile Stores</v>
      </c>
      <c r="P290" s="11" t="str">
        <f aca="false">IF(INDEX(MASTER_DATABASE!$A$4:$A$1000,ROW()-3)="","",INDEX(MASTER_DATABASE!$AP$4:$AP$1000,ROW()-3)&amp;"")</f>
        <v>🚆</v>
      </c>
      <c r="Q290" s="7" t="str">
        <f aca="false">IF(INDEX(MASTER_DATABASE!$A$4:$A$1000,ROW()-3)="","",INDEX(MASTER_DATABASE!$BB$4:$BB$1000,ROW()-3)&amp;"")</f>
        <v/>
      </c>
      <c r="R290" s="11" t="str">
        <f aca="false">IF(INDEX(MASTER_DATABASE!$A$4:$A$1000,ROW()-3)="","",INDEX(MASTER_DATABASE!$BC$4:$BC$1000,ROW()-3)&amp;"")</f>
        <v>🚆</v>
      </c>
      <c r="S290" s="11" t="n">
        <f aca="false">IF(INDEX(MASTER_DATABASE!$A$4:$A$1000,ROW()-3)="","",INDEX(MASTER_DATABASE!$AQ$4:$AQ$1000,ROW()-3))</f>
        <v>40</v>
      </c>
      <c r="T290" s="7" t="str">
        <f aca="false">IF(INDEX(MASTER_DATABASE!$A$4:$A$1000,ROW()-3)="","",INDEX(MASTER_DATABASE!$I$4:$I$1000,ROW()-3)&amp;"")</f>
        <v>Available</v>
      </c>
      <c r="U290" s="7" t="str">
        <f aca="false">IF(INDEX(MASTER_DATABASE!$A$4:$A$1000,ROW()-3)="","",INDEX(MASTER_DATABASE!$J$4:$J$1000,ROW()-3)&amp;"")</f>
        <v>Available</v>
      </c>
      <c r="V290" s="7" t="str">
        <f aca="false">IF(INDEX(MASTER_DATABASE!$A$4:$A$1000,ROW()-3)="","",INDEX(MASTER_DATABASE!$AG$4:$AG$1000,ROW()-3)&amp;"")</f>
        <v>Active</v>
      </c>
      <c r="W290" s="7" t="str">
        <f aca="false">IF(INDEX(MASTER_DATABASE!$A$4:$A$1000,ROW()-3)="","",INDEX(MASTER_DATABASE!$AH$4:$AH$1000,ROW()-3)&amp;"")</f>
        <v>Yes</v>
      </c>
      <c r="X290" s="7" t="str">
        <f aca="false">IF(INDEX(MASTER_DATABASE!$A$4:$A$1000,ROW()-3)="","",INDEX(MASTER_DATABASE!$AI$4:$AI$1000,ROW()-3)&amp;"")</f>
        <v>No</v>
      </c>
      <c r="Y290" s="7" t="str">
        <f aca="false">IF(INDEX(MASTER_DATABASE!$A$4:$A$1000,ROW()-3)="","",INDEX(MASTER_DATABASE!$AJ$4:$AJ$1000,ROW()-3)&amp;"")</f>
        <v>No</v>
      </c>
      <c r="Z290" s="7" t="str">
        <f aca="false">IF(INDEX(MASTER_DATABASE!$A$4:$A$1000,ROW()-3)="","",INDEX(MASTER_DATABASE!$AK$4:$AK$1000,ROW()-3)&amp;"")</f>
        <v>No</v>
      </c>
      <c r="AA290" s="7" t="str">
        <f aca="false">IF(INDEX(MASTER_DATABASE!$A$4:$A$1000,ROW()-3)="","",INDEX(MASTER_DATABASE!$BE$4:$BE$1000,ROW()-3)&amp;"")</f>
        <v>LIVE</v>
      </c>
    </row>
    <row r="291" customFormat="false" ht="46.25" hidden="false" customHeight="false" outlineLevel="0" collapsed="false">
      <c r="A291" s="11" t="str">
        <f aca="false">IF(INDEX(MASTER_DATABASE!$A$4:$A$1000,ROW()-3)="","",INDEX(MASTER_DATABASE!$A$4:$A$1000,ROW()-3)&amp;"")</f>
        <v>TKT-005</v>
      </c>
      <c r="B291" s="7" t="str">
        <f aca="false">IF(INDEX(MASTER_DATABASE!$A$4:$A$1000,ROW()-3)="","",INDEX(MASTER_DATABASE!$B$4:$B$1000,ROW()-3)&amp;"")</f>
        <v>Travel / Ticketing</v>
      </c>
      <c r="C291" s="7" t="str">
        <f aca="false">IF(INDEX(MASTER_DATABASE!$A$4:$A$1000,ROW()-3)="","",INDEX(MASTER_DATABASE!$C$4:$C$1000,ROW()-3)&amp;"")</f>
        <v>Travel Services</v>
      </c>
      <c r="D291" s="7" t="str">
        <f aca="false">IF(INDEX(MASTER_DATABASE!$A$4:$A$1000,ROW()-3)="","",INDEX(MASTER_DATABASE!$D$4:$D$1000,ROW()-3)&amp;"")</f>
        <v>Railway</v>
      </c>
      <c r="E291" s="7" t="str">
        <f aca="false">IF(INDEX(MASTER_DATABASE!$A$4:$A$1000,ROW()-3)="","",INDEX(MASTER_DATABASE!$E$4:$E$1000,ROW()-3)&amp;"")</f>
        <v>Railway Ticket Cancellation</v>
      </c>
      <c r="F291" s="7" t="str">
        <f aca="false">IF(INDEX(MASTER_DATABASE!$A$4:$A$1000,ROW()-3)="","",INDEX(MASTER_DATABASE!$F$4:$F$1000,ROW()-3)&amp;"")</f>
        <v>रेलवे टिकट रद्द करना</v>
      </c>
      <c r="G291" s="7" t="str">
        <f aca="false">IF(INDEX(MASTER_DATABASE!$A$4:$A$1000,ROW()-3)="","",INDEX(MASTER_DATABASE!$AL$4:$AL$1000,ROW()-3)&amp;"")</f>
        <v>Travel / Ticketing</v>
      </c>
      <c r="H291" s="7" t="str">
        <f aca="false">IF(INDEX(MASTER_DATABASE!$A$4:$A$1000,ROW()-3)="","",INDEX(MASTER_DATABASE!$AM$4:$AM$1000,ROW()-3)&amp;"")</f>
        <v>Railway</v>
      </c>
      <c r="I291" s="7" t="str">
        <f aca="false">IF(INDEX(MASTER_DATABASE!$A$4:$A$1000,ROW()-3)="","",INDEX(MASTER_DATABASE!$AO$4:$AO$1000,ROW()-3)&amp;"")</f>
        <v>railway-ticket-cancellation</v>
      </c>
      <c r="J291" s="7" t="str">
        <f aca="false">IF(INDEX(MASTER_DATABASE!$A$4:$A$1000,ROW()-3)="","",INDEX(MASTER_DATABASE!$BD$4:$BD$1000,ROW()-3)&amp;"")</f>
        <v>/services/railway-ticket-cancellation</v>
      </c>
      <c r="K291" s="7" t="str">
        <f aca="false">IF(INDEX(MASTER_DATABASE!$A$4:$A$1000,ROW()-3)="","",INDEX(MASTER_DATABASE!$AX$4:$AX$1000,ROW()-3)&amp;"")</f>
        <v>Railway Ticket Cancellation Service | Devmobile Stores</v>
      </c>
      <c r="L291" s="7" t="str">
        <f aca="false">IF(INDEX(MASTER_DATABASE!$A$4:$A$1000,ROW()-3)="","",INDEX(MASTER_DATABASE!$AY$4:$AY$1000,ROW()-3)&amp;"")</f>
        <v>Railway Ticket Cancellation (रेलवे टिकट रद्द करना) at Devmobile Stores and Common Service Center &amp; Aadhaar Centre. Check required documents, charges and process before you visit.</v>
      </c>
      <c r="M291" s="7" t="str">
        <f aca="false">IF(INDEX(MASTER_DATABASE!$A$4:$A$1000,ROW()-3)="","",INDEX(MASTER_DATABASE!$AN$4:$AN$1000,ROW()-3)&amp;"")</f>
        <v>Railway Ticket Cancellation, Travel / Ticketing, Devmobile Stores, रेलवे टिकट रद्द करना, टिकट / बुकिंग, सेवा</v>
      </c>
      <c r="N291" s="7" t="str">
        <f aca="false">IF(INDEX(MASTER_DATABASE!$A$4:$A$1000,ROW()-3)="","",INDEX(MASTER_DATABASE!$AZ$4:$AZ$1000,ROW()-3)&amp;"")</f>
        <v>रेलवे टिकट रद्द करना, टिकट / बुकिंग, सेवा</v>
      </c>
      <c r="O291" s="7" t="str">
        <f aca="false">IF(INDEX(MASTER_DATABASE!$A$4:$A$1000,ROW()-3)="","",INDEX(MASTER_DATABASE!$BA$4:$BA$1000,ROW()-3)&amp;"")</f>
        <v>Railway Ticket Cancellation, Travel / Ticketing, Devmobile Stores</v>
      </c>
      <c r="P291" s="11" t="str">
        <f aca="false">IF(INDEX(MASTER_DATABASE!$A$4:$A$1000,ROW()-3)="","",INDEX(MASTER_DATABASE!$AP$4:$AP$1000,ROW()-3)&amp;"")</f>
        <v>🚆</v>
      </c>
      <c r="Q291" s="7" t="str">
        <f aca="false">IF(INDEX(MASTER_DATABASE!$A$4:$A$1000,ROW()-3)="","",INDEX(MASTER_DATABASE!$BB$4:$BB$1000,ROW()-3)&amp;"")</f>
        <v/>
      </c>
      <c r="R291" s="11" t="str">
        <f aca="false">IF(INDEX(MASTER_DATABASE!$A$4:$A$1000,ROW()-3)="","",INDEX(MASTER_DATABASE!$BC$4:$BC$1000,ROW()-3)&amp;"")</f>
        <v>🚆</v>
      </c>
      <c r="S291" s="11" t="n">
        <f aca="false">IF(INDEX(MASTER_DATABASE!$A$4:$A$1000,ROW()-3)="","",INDEX(MASTER_DATABASE!$AQ$4:$AQ$1000,ROW()-3))</f>
        <v>50</v>
      </c>
      <c r="T291" s="7" t="str">
        <f aca="false">IF(INDEX(MASTER_DATABASE!$A$4:$A$1000,ROW()-3)="","",INDEX(MASTER_DATABASE!$I$4:$I$1000,ROW()-3)&amp;"")</f>
        <v>Authorization Required</v>
      </c>
      <c r="U291" s="7" t="str">
        <f aca="false">IF(INDEX(MASTER_DATABASE!$A$4:$A$1000,ROW()-3)="","",INDEX(MASTER_DATABASE!$J$4:$J$1000,ROW()-3)&amp;"")</f>
        <v>Please Confirm at Shop</v>
      </c>
      <c r="V291" s="7" t="str">
        <f aca="false">IF(INDEX(MASTER_DATABASE!$A$4:$A$1000,ROW()-3)="","",INDEX(MASTER_DATABASE!$AG$4:$AG$1000,ROW()-3)&amp;"")</f>
        <v>To Verify</v>
      </c>
      <c r="W291" s="7" t="str">
        <f aca="false">IF(INDEX(MASTER_DATABASE!$A$4:$A$1000,ROW()-3)="","",INDEX(MASTER_DATABASE!$AH$4:$AH$1000,ROW()-3)&amp;"")</f>
        <v>No</v>
      </c>
      <c r="X291" s="7" t="str">
        <f aca="false">IF(INDEX(MASTER_DATABASE!$A$4:$A$1000,ROW()-3)="","",INDEX(MASTER_DATABASE!$AI$4:$AI$1000,ROW()-3)&amp;"")</f>
        <v>No</v>
      </c>
      <c r="Y291" s="7" t="str">
        <f aca="false">IF(INDEX(MASTER_DATABASE!$A$4:$A$1000,ROW()-3)="","",INDEX(MASTER_DATABASE!$AJ$4:$AJ$1000,ROW()-3)&amp;"")</f>
        <v>No</v>
      </c>
      <c r="Z291" s="7" t="str">
        <f aca="false">IF(INDEX(MASTER_DATABASE!$A$4:$A$1000,ROW()-3)="","",INDEX(MASTER_DATABASE!$AK$4:$AK$1000,ROW()-3)&amp;"")</f>
        <v>No</v>
      </c>
      <c r="AA291" s="7" t="str">
        <f aca="false">IF(INDEX(MASTER_DATABASE!$A$4:$A$1000,ROW()-3)="","",INDEX(MASTER_DATABASE!$BE$4:$BE$1000,ROW()-3)&amp;"")</f>
        <v>HIDDEN</v>
      </c>
    </row>
    <row r="292" customFormat="false" ht="46.25" hidden="false" customHeight="false" outlineLevel="0" collapsed="false">
      <c r="A292" s="11" t="str">
        <f aca="false">IF(INDEX(MASTER_DATABASE!$A$4:$A$1000,ROW()-3)="","",INDEX(MASTER_DATABASE!$A$4:$A$1000,ROW()-3)&amp;"")</f>
        <v>TKT-006</v>
      </c>
      <c r="B292" s="7" t="str">
        <f aca="false">IF(INDEX(MASTER_DATABASE!$A$4:$A$1000,ROW()-3)="","",INDEX(MASTER_DATABASE!$B$4:$B$1000,ROW()-3)&amp;"")</f>
        <v>Travel / Ticketing</v>
      </c>
      <c r="C292" s="7" t="str">
        <f aca="false">IF(INDEX(MASTER_DATABASE!$A$4:$A$1000,ROW()-3)="","",INDEX(MASTER_DATABASE!$C$4:$C$1000,ROW()-3)&amp;"")</f>
        <v>Travel Services</v>
      </c>
      <c r="D292" s="7" t="str">
        <f aca="false">IF(INDEX(MASTER_DATABASE!$A$4:$A$1000,ROW()-3)="","",INDEX(MASTER_DATABASE!$D$4:$D$1000,ROW()-3)&amp;"")</f>
        <v>Railway</v>
      </c>
      <c r="E292" s="7" t="str">
        <f aca="false">IF(INDEX(MASTER_DATABASE!$A$4:$A$1000,ROW()-3)="","",INDEX(MASTER_DATABASE!$E$4:$E$1000,ROW()-3)&amp;"")</f>
        <v>Railway Refund Status Check</v>
      </c>
      <c r="F292" s="7" t="str">
        <f aca="false">IF(INDEX(MASTER_DATABASE!$A$4:$A$1000,ROW()-3)="","",INDEX(MASTER_DATABASE!$F$4:$F$1000,ROW()-3)&amp;"")</f>
        <v>रेलवे रिफंड स्टेटस जाँच</v>
      </c>
      <c r="G292" s="7" t="str">
        <f aca="false">IF(INDEX(MASTER_DATABASE!$A$4:$A$1000,ROW()-3)="","",INDEX(MASTER_DATABASE!$AL$4:$AL$1000,ROW()-3)&amp;"")</f>
        <v>Travel / Ticketing</v>
      </c>
      <c r="H292" s="7" t="str">
        <f aca="false">IF(INDEX(MASTER_DATABASE!$A$4:$A$1000,ROW()-3)="","",INDEX(MASTER_DATABASE!$AM$4:$AM$1000,ROW()-3)&amp;"")</f>
        <v>Railway</v>
      </c>
      <c r="I292" s="7" t="str">
        <f aca="false">IF(INDEX(MASTER_DATABASE!$A$4:$A$1000,ROW()-3)="","",INDEX(MASTER_DATABASE!$AO$4:$AO$1000,ROW()-3)&amp;"")</f>
        <v>railway-refund-status-check</v>
      </c>
      <c r="J292" s="7" t="str">
        <f aca="false">IF(INDEX(MASTER_DATABASE!$A$4:$A$1000,ROW()-3)="","",INDEX(MASTER_DATABASE!$BD$4:$BD$1000,ROW()-3)&amp;"")</f>
        <v>/services/railway-refund-status-check</v>
      </c>
      <c r="K292" s="7" t="str">
        <f aca="false">IF(INDEX(MASTER_DATABASE!$A$4:$A$1000,ROW()-3)="","",INDEX(MASTER_DATABASE!$AX$4:$AX$1000,ROW()-3)&amp;"")</f>
        <v>Railway Refund Status Check Service | Devmobile Stores</v>
      </c>
      <c r="L292" s="7" t="str">
        <f aca="false">IF(INDEX(MASTER_DATABASE!$A$4:$A$1000,ROW()-3)="","",INDEX(MASTER_DATABASE!$AY$4:$AY$1000,ROW()-3)&amp;"")</f>
        <v>Railway Refund Status Check (रेलवे रिफंड स्टेटस जाँच) at Devmobile Stores and Common Service Center &amp; Aadhaar Centre. Check required documents, charges and process before you visit.</v>
      </c>
      <c r="M292" s="7" t="str">
        <f aca="false">IF(INDEX(MASTER_DATABASE!$A$4:$A$1000,ROW()-3)="","",INDEX(MASTER_DATABASE!$AN$4:$AN$1000,ROW()-3)&amp;"")</f>
        <v>Railway Refund Status Check, Travel / Ticketing, Devmobile Stores, रेलवे रिफंड स्टेटस जाँच, टिकट / बुकिंग, सेवा</v>
      </c>
      <c r="N292" s="7" t="str">
        <f aca="false">IF(INDEX(MASTER_DATABASE!$A$4:$A$1000,ROW()-3)="","",INDEX(MASTER_DATABASE!$AZ$4:$AZ$1000,ROW()-3)&amp;"")</f>
        <v>रेलवे रिफंड स्टेटस जाँच, टिकट / बुकिंग, सेवा</v>
      </c>
      <c r="O292" s="7" t="str">
        <f aca="false">IF(INDEX(MASTER_DATABASE!$A$4:$A$1000,ROW()-3)="","",INDEX(MASTER_DATABASE!$BA$4:$BA$1000,ROW()-3)&amp;"")</f>
        <v>Railway Refund Status Check, Travel / Ticketing, Devmobile Stores</v>
      </c>
      <c r="P292" s="11" t="str">
        <f aca="false">IF(INDEX(MASTER_DATABASE!$A$4:$A$1000,ROW()-3)="","",INDEX(MASTER_DATABASE!$AP$4:$AP$1000,ROW()-3)&amp;"")</f>
        <v>🚆</v>
      </c>
      <c r="Q292" s="7" t="str">
        <f aca="false">IF(INDEX(MASTER_DATABASE!$A$4:$A$1000,ROW()-3)="","",INDEX(MASTER_DATABASE!$BB$4:$BB$1000,ROW()-3)&amp;"")</f>
        <v/>
      </c>
      <c r="R292" s="11" t="str">
        <f aca="false">IF(INDEX(MASTER_DATABASE!$A$4:$A$1000,ROW()-3)="","",INDEX(MASTER_DATABASE!$BC$4:$BC$1000,ROW()-3)&amp;"")</f>
        <v>🚆</v>
      </c>
      <c r="S292" s="11" t="n">
        <f aca="false">IF(INDEX(MASTER_DATABASE!$A$4:$A$1000,ROW()-3)="","",INDEX(MASTER_DATABASE!$AQ$4:$AQ$1000,ROW()-3))</f>
        <v>60</v>
      </c>
      <c r="T292" s="7" t="str">
        <f aca="false">IF(INDEX(MASTER_DATABASE!$A$4:$A$1000,ROW()-3)="","",INDEX(MASTER_DATABASE!$I$4:$I$1000,ROW()-3)&amp;"")</f>
        <v>To Verify</v>
      </c>
      <c r="U292" s="7" t="str">
        <f aca="false">IF(INDEX(MASTER_DATABASE!$A$4:$A$1000,ROW()-3)="","",INDEX(MASTER_DATABASE!$J$4:$J$1000,ROW()-3)&amp;"")</f>
        <v>To Be Confirmed</v>
      </c>
      <c r="V292" s="7" t="str">
        <f aca="false">IF(INDEX(MASTER_DATABASE!$A$4:$A$1000,ROW()-3)="","",INDEX(MASTER_DATABASE!$AG$4:$AG$1000,ROW()-3)&amp;"")</f>
        <v>To Verify</v>
      </c>
      <c r="W292" s="7" t="str">
        <f aca="false">IF(INDEX(MASTER_DATABASE!$A$4:$A$1000,ROW()-3)="","",INDEX(MASTER_DATABASE!$AH$4:$AH$1000,ROW()-3)&amp;"")</f>
        <v>No</v>
      </c>
      <c r="X292" s="7" t="str">
        <f aca="false">IF(INDEX(MASTER_DATABASE!$A$4:$A$1000,ROW()-3)="","",INDEX(MASTER_DATABASE!$AI$4:$AI$1000,ROW()-3)&amp;"")</f>
        <v>No</v>
      </c>
      <c r="Y292" s="7" t="str">
        <f aca="false">IF(INDEX(MASTER_DATABASE!$A$4:$A$1000,ROW()-3)="","",INDEX(MASTER_DATABASE!$AJ$4:$AJ$1000,ROW()-3)&amp;"")</f>
        <v>No</v>
      </c>
      <c r="Z292" s="7" t="str">
        <f aca="false">IF(INDEX(MASTER_DATABASE!$A$4:$A$1000,ROW()-3)="","",INDEX(MASTER_DATABASE!$AK$4:$AK$1000,ROW()-3)&amp;"")</f>
        <v>No</v>
      </c>
      <c r="AA292" s="7" t="str">
        <f aca="false">IF(INDEX(MASTER_DATABASE!$A$4:$A$1000,ROW()-3)="","",INDEX(MASTER_DATABASE!$BE$4:$BE$1000,ROW()-3)&amp;"")</f>
        <v>HIDDEN</v>
      </c>
    </row>
    <row r="293" customFormat="false" ht="46.25" hidden="false" customHeight="false" outlineLevel="0" collapsed="false">
      <c r="A293" s="11" t="str">
        <f aca="false">IF(INDEX(MASTER_DATABASE!$A$4:$A$1000,ROW()-3)="","",INDEX(MASTER_DATABASE!$A$4:$A$1000,ROW()-3)&amp;"")</f>
        <v>TKT-007</v>
      </c>
      <c r="B293" s="7" t="str">
        <f aca="false">IF(INDEX(MASTER_DATABASE!$A$4:$A$1000,ROW()-3)="","",INDEX(MASTER_DATABASE!$B$4:$B$1000,ROW()-3)&amp;"")</f>
        <v>Travel / Ticketing</v>
      </c>
      <c r="C293" s="7" t="str">
        <f aca="false">IF(INDEX(MASTER_DATABASE!$A$4:$A$1000,ROW()-3)="","",INDEX(MASTER_DATABASE!$C$4:$C$1000,ROW()-3)&amp;"")</f>
        <v>Travel Services</v>
      </c>
      <c r="D293" s="7" t="str">
        <f aca="false">IF(INDEX(MASTER_DATABASE!$A$4:$A$1000,ROW()-3)="","",INDEX(MASTER_DATABASE!$D$4:$D$1000,ROW()-3)&amp;"")</f>
        <v>Bus &amp; Other Travel</v>
      </c>
      <c r="E293" s="7" t="str">
        <f aca="false">IF(INDEX(MASTER_DATABASE!$A$4:$A$1000,ROW()-3)="","",INDEX(MASTER_DATABASE!$E$4:$E$1000,ROW()-3)&amp;"")</f>
        <v>Bus Ticket Booking</v>
      </c>
      <c r="F293" s="7" t="str">
        <f aca="false">IF(INDEX(MASTER_DATABASE!$A$4:$A$1000,ROW()-3)="","",INDEX(MASTER_DATABASE!$F$4:$F$1000,ROW()-3)&amp;"")</f>
        <v>बस टिकट बुकिंग</v>
      </c>
      <c r="G293" s="7" t="str">
        <f aca="false">IF(INDEX(MASTER_DATABASE!$A$4:$A$1000,ROW()-3)="","",INDEX(MASTER_DATABASE!$AL$4:$AL$1000,ROW()-3)&amp;"")</f>
        <v>Travel / Ticketing</v>
      </c>
      <c r="H293" s="7" t="str">
        <f aca="false">IF(INDEX(MASTER_DATABASE!$A$4:$A$1000,ROW()-3)="","",INDEX(MASTER_DATABASE!$AM$4:$AM$1000,ROW()-3)&amp;"")</f>
        <v>Bus &amp; Other Travel</v>
      </c>
      <c r="I293" s="7" t="str">
        <f aca="false">IF(INDEX(MASTER_DATABASE!$A$4:$A$1000,ROW()-3)="","",INDEX(MASTER_DATABASE!$AO$4:$AO$1000,ROW()-3)&amp;"")</f>
        <v>bus-ticket-booking</v>
      </c>
      <c r="J293" s="7" t="str">
        <f aca="false">IF(INDEX(MASTER_DATABASE!$A$4:$A$1000,ROW()-3)="","",INDEX(MASTER_DATABASE!$BD$4:$BD$1000,ROW()-3)&amp;"")</f>
        <v>/services/bus-ticket-booking</v>
      </c>
      <c r="K293" s="7" t="str">
        <f aca="false">IF(INDEX(MASTER_DATABASE!$A$4:$A$1000,ROW()-3)="","",INDEX(MASTER_DATABASE!$AX$4:$AX$1000,ROW()-3)&amp;"")</f>
        <v>Bus Ticket Booking Service | Devmobile Stores</v>
      </c>
      <c r="L293" s="7" t="str">
        <f aca="false">IF(INDEX(MASTER_DATABASE!$A$4:$A$1000,ROW()-3)="","",INDEX(MASTER_DATABASE!$AY$4:$AY$1000,ROW()-3)&amp;"")</f>
        <v>Bus Ticket Booking (बस टिकट बुकिंग) at Devmobile Stores and Common Service Center &amp; Aadhaar Centre. Check required documents, charges and process before you visit.</v>
      </c>
      <c r="M293" s="7" t="str">
        <f aca="false">IF(INDEX(MASTER_DATABASE!$A$4:$A$1000,ROW()-3)="","",INDEX(MASTER_DATABASE!$AN$4:$AN$1000,ROW()-3)&amp;"")</f>
        <v>Bus Ticket Booking, Travel / Ticketing, Devmobile Stores, बस टिकट बुकिंग, टिकट / बुकिंग, सेवा</v>
      </c>
      <c r="N293" s="7" t="str">
        <f aca="false">IF(INDEX(MASTER_DATABASE!$A$4:$A$1000,ROW()-3)="","",INDEX(MASTER_DATABASE!$AZ$4:$AZ$1000,ROW()-3)&amp;"")</f>
        <v>बस टिकट बुकिंग, टिकट / बुकिंग, सेवा</v>
      </c>
      <c r="O293" s="7" t="str">
        <f aca="false">IF(INDEX(MASTER_DATABASE!$A$4:$A$1000,ROW()-3)="","",INDEX(MASTER_DATABASE!$BA$4:$BA$1000,ROW()-3)&amp;"")</f>
        <v>Bus Ticket Booking, Travel / Ticketing, Devmobile Stores</v>
      </c>
      <c r="P293" s="11" t="str">
        <f aca="false">IF(INDEX(MASTER_DATABASE!$A$4:$A$1000,ROW()-3)="","",INDEX(MASTER_DATABASE!$AP$4:$AP$1000,ROW()-3)&amp;"")</f>
        <v>🚆</v>
      </c>
      <c r="Q293" s="7" t="str">
        <f aca="false">IF(INDEX(MASTER_DATABASE!$A$4:$A$1000,ROW()-3)="","",INDEX(MASTER_DATABASE!$BB$4:$BB$1000,ROW()-3)&amp;"")</f>
        <v/>
      </c>
      <c r="R293" s="11" t="str">
        <f aca="false">IF(INDEX(MASTER_DATABASE!$A$4:$A$1000,ROW()-3)="","",INDEX(MASTER_DATABASE!$BC$4:$BC$1000,ROW()-3)&amp;"")</f>
        <v>🚆</v>
      </c>
      <c r="S293" s="11" t="n">
        <f aca="false">IF(INDEX(MASTER_DATABASE!$A$4:$A$1000,ROW()-3)="","",INDEX(MASTER_DATABASE!$AQ$4:$AQ$1000,ROW()-3))</f>
        <v>70</v>
      </c>
      <c r="T293" s="7" t="str">
        <f aca="false">IF(INDEX(MASTER_DATABASE!$A$4:$A$1000,ROW()-3)="","",INDEX(MASTER_DATABASE!$I$4:$I$1000,ROW()-3)&amp;"")</f>
        <v>To Verify</v>
      </c>
      <c r="U293" s="7" t="str">
        <f aca="false">IF(INDEX(MASTER_DATABASE!$A$4:$A$1000,ROW()-3)="","",INDEX(MASTER_DATABASE!$J$4:$J$1000,ROW()-3)&amp;"")</f>
        <v>To Be Confirmed</v>
      </c>
      <c r="V293" s="7" t="str">
        <f aca="false">IF(INDEX(MASTER_DATABASE!$A$4:$A$1000,ROW()-3)="","",INDEX(MASTER_DATABASE!$AG$4:$AG$1000,ROW()-3)&amp;"")</f>
        <v>To Verify</v>
      </c>
      <c r="W293" s="7" t="str">
        <f aca="false">IF(INDEX(MASTER_DATABASE!$A$4:$A$1000,ROW()-3)="","",INDEX(MASTER_DATABASE!$AH$4:$AH$1000,ROW()-3)&amp;"")</f>
        <v>No</v>
      </c>
      <c r="X293" s="7" t="str">
        <f aca="false">IF(INDEX(MASTER_DATABASE!$A$4:$A$1000,ROW()-3)="","",INDEX(MASTER_DATABASE!$AI$4:$AI$1000,ROW()-3)&amp;"")</f>
        <v>No</v>
      </c>
      <c r="Y293" s="7" t="str">
        <f aca="false">IF(INDEX(MASTER_DATABASE!$A$4:$A$1000,ROW()-3)="","",INDEX(MASTER_DATABASE!$AJ$4:$AJ$1000,ROW()-3)&amp;"")</f>
        <v>No</v>
      </c>
      <c r="Z293" s="7" t="str">
        <f aca="false">IF(INDEX(MASTER_DATABASE!$A$4:$A$1000,ROW()-3)="","",INDEX(MASTER_DATABASE!$AK$4:$AK$1000,ROW()-3)&amp;"")</f>
        <v>No</v>
      </c>
      <c r="AA293" s="7" t="str">
        <f aca="false">IF(INDEX(MASTER_DATABASE!$A$4:$A$1000,ROW()-3)="","",INDEX(MASTER_DATABASE!$BE$4:$BE$1000,ROW()-3)&amp;"")</f>
        <v>HIDDEN</v>
      </c>
    </row>
    <row r="294" customFormat="false" ht="46.25" hidden="false" customHeight="false" outlineLevel="0" collapsed="false">
      <c r="A294" s="11" t="str">
        <f aca="false">IF(INDEX(MASTER_DATABASE!$A$4:$A$1000,ROW()-3)="","",INDEX(MASTER_DATABASE!$A$4:$A$1000,ROW()-3)&amp;"")</f>
        <v>TKT-008</v>
      </c>
      <c r="B294" s="7" t="str">
        <f aca="false">IF(INDEX(MASTER_DATABASE!$A$4:$A$1000,ROW()-3)="","",INDEX(MASTER_DATABASE!$B$4:$B$1000,ROW()-3)&amp;"")</f>
        <v>Travel / Ticketing</v>
      </c>
      <c r="C294" s="7" t="str">
        <f aca="false">IF(INDEX(MASTER_DATABASE!$A$4:$A$1000,ROW()-3)="","",INDEX(MASTER_DATABASE!$C$4:$C$1000,ROW()-3)&amp;"")</f>
        <v>Travel Services</v>
      </c>
      <c r="D294" s="7" t="str">
        <f aca="false">IF(INDEX(MASTER_DATABASE!$A$4:$A$1000,ROW()-3)="","",INDEX(MASTER_DATABASE!$D$4:$D$1000,ROW()-3)&amp;"")</f>
        <v>Bus &amp; Other Travel</v>
      </c>
      <c r="E294" s="7" t="str">
        <f aca="false">IF(INDEX(MASTER_DATABASE!$A$4:$A$1000,ROW()-3)="","",INDEX(MASTER_DATABASE!$E$4:$E$1000,ROW()-3)&amp;"")</f>
        <v>Bus Ticket Cancellation</v>
      </c>
      <c r="F294" s="7" t="str">
        <f aca="false">IF(INDEX(MASTER_DATABASE!$A$4:$A$1000,ROW()-3)="","",INDEX(MASTER_DATABASE!$F$4:$F$1000,ROW()-3)&amp;"")</f>
        <v>बस टिकट रद्द करना</v>
      </c>
      <c r="G294" s="7" t="str">
        <f aca="false">IF(INDEX(MASTER_DATABASE!$A$4:$A$1000,ROW()-3)="","",INDEX(MASTER_DATABASE!$AL$4:$AL$1000,ROW()-3)&amp;"")</f>
        <v>Travel / Ticketing</v>
      </c>
      <c r="H294" s="7" t="str">
        <f aca="false">IF(INDEX(MASTER_DATABASE!$A$4:$A$1000,ROW()-3)="","",INDEX(MASTER_DATABASE!$AM$4:$AM$1000,ROW()-3)&amp;"")</f>
        <v>Bus &amp; Other Travel</v>
      </c>
      <c r="I294" s="7" t="str">
        <f aca="false">IF(INDEX(MASTER_DATABASE!$A$4:$A$1000,ROW()-3)="","",INDEX(MASTER_DATABASE!$AO$4:$AO$1000,ROW()-3)&amp;"")</f>
        <v>bus-ticket-cancellation</v>
      </c>
      <c r="J294" s="7" t="str">
        <f aca="false">IF(INDEX(MASTER_DATABASE!$A$4:$A$1000,ROW()-3)="","",INDEX(MASTER_DATABASE!$BD$4:$BD$1000,ROW()-3)&amp;"")</f>
        <v>/services/bus-ticket-cancellation</v>
      </c>
      <c r="K294" s="7" t="str">
        <f aca="false">IF(INDEX(MASTER_DATABASE!$A$4:$A$1000,ROW()-3)="","",INDEX(MASTER_DATABASE!$AX$4:$AX$1000,ROW()-3)&amp;"")</f>
        <v>Bus Ticket Cancellation Service | Devmobile Stores</v>
      </c>
      <c r="L294" s="7" t="str">
        <f aca="false">IF(INDEX(MASTER_DATABASE!$A$4:$A$1000,ROW()-3)="","",INDEX(MASTER_DATABASE!$AY$4:$AY$1000,ROW()-3)&amp;"")</f>
        <v>Bus Ticket Cancellation (बस टिकट रद्द करना) at Devmobile Stores and Common Service Center &amp; Aadhaar Centre. Check required documents, charges and process before you visit.</v>
      </c>
      <c r="M294" s="7" t="str">
        <f aca="false">IF(INDEX(MASTER_DATABASE!$A$4:$A$1000,ROW()-3)="","",INDEX(MASTER_DATABASE!$AN$4:$AN$1000,ROW()-3)&amp;"")</f>
        <v>Bus Ticket Cancellation, Travel / Ticketing, Devmobile Stores, बस टिकट रद्द करना, टिकट / बुकिंग, सेवा</v>
      </c>
      <c r="N294" s="7" t="str">
        <f aca="false">IF(INDEX(MASTER_DATABASE!$A$4:$A$1000,ROW()-3)="","",INDEX(MASTER_DATABASE!$AZ$4:$AZ$1000,ROW()-3)&amp;"")</f>
        <v>बस टिकट रद्द करना, टिकट / बुकिंग, सेवा</v>
      </c>
      <c r="O294" s="7" t="str">
        <f aca="false">IF(INDEX(MASTER_DATABASE!$A$4:$A$1000,ROW()-3)="","",INDEX(MASTER_DATABASE!$BA$4:$BA$1000,ROW()-3)&amp;"")</f>
        <v>Bus Ticket Cancellation, Travel / Ticketing, Devmobile Stores</v>
      </c>
      <c r="P294" s="11" t="str">
        <f aca="false">IF(INDEX(MASTER_DATABASE!$A$4:$A$1000,ROW()-3)="","",INDEX(MASTER_DATABASE!$AP$4:$AP$1000,ROW()-3)&amp;"")</f>
        <v>🚆</v>
      </c>
      <c r="Q294" s="7" t="str">
        <f aca="false">IF(INDEX(MASTER_DATABASE!$A$4:$A$1000,ROW()-3)="","",INDEX(MASTER_DATABASE!$BB$4:$BB$1000,ROW()-3)&amp;"")</f>
        <v/>
      </c>
      <c r="R294" s="11" t="str">
        <f aca="false">IF(INDEX(MASTER_DATABASE!$A$4:$A$1000,ROW()-3)="","",INDEX(MASTER_DATABASE!$BC$4:$BC$1000,ROW()-3)&amp;"")</f>
        <v>🚆</v>
      </c>
      <c r="S294" s="11" t="n">
        <f aca="false">IF(INDEX(MASTER_DATABASE!$A$4:$A$1000,ROW()-3)="","",INDEX(MASTER_DATABASE!$AQ$4:$AQ$1000,ROW()-3))</f>
        <v>80</v>
      </c>
      <c r="T294" s="7" t="str">
        <f aca="false">IF(INDEX(MASTER_DATABASE!$A$4:$A$1000,ROW()-3)="","",INDEX(MASTER_DATABASE!$I$4:$I$1000,ROW()-3)&amp;"")</f>
        <v>To Verify</v>
      </c>
      <c r="U294" s="7" t="str">
        <f aca="false">IF(INDEX(MASTER_DATABASE!$A$4:$A$1000,ROW()-3)="","",INDEX(MASTER_DATABASE!$J$4:$J$1000,ROW()-3)&amp;"")</f>
        <v>To Be Confirmed</v>
      </c>
      <c r="V294" s="7" t="str">
        <f aca="false">IF(INDEX(MASTER_DATABASE!$A$4:$A$1000,ROW()-3)="","",INDEX(MASTER_DATABASE!$AG$4:$AG$1000,ROW()-3)&amp;"")</f>
        <v>To Verify</v>
      </c>
      <c r="W294" s="7" t="str">
        <f aca="false">IF(INDEX(MASTER_DATABASE!$A$4:$A$1000,ROW()-3)="","",INDEX(MASTER_DATABASE!$AH$4:$AH$1000,ROW()-3)&amp;"")</f>
        <v>No</v>
      </c>
      <c r="X294" s="7" t="str">
        <f aca="false">IF(INDEX(MASTER_DATABASE!$A$4:$A$1000,ROW()-3)="","",INDEX(MASTER_DATABASE!$AI$4:$AI$1000,ROW()-3)&amp;"")</f>
        <v>No</v>
      </c>
      <c r="Y294" s="7" t="str">
        <f aca="false">IF(INDEX(MASTER_DATABASE!$A$4:$A$1000,ROW()-3)="","",INDEX(MASTER_DATABASE!$AJ$4:$AJ$1000,ROW()-3)&amp;"")</f>
        <v>No</v>
      </c>
      <c r="Z294" s="7" t="str">
        <f aca="false">IF(INDEX(MASTER_DATABASE!$A$4:$A$1000,ROW()-3)="","",INDEX(MASTER_DATABASE!$AK$4:$AK$1000,ROW()-3)&amp;"")</f>
        <v>No</v>
      </c>
      <c r="AA294" s="7" t="str">
        <f aca="false">IF(INDEX(MASTER_DATABASE!$A$4:$A$1000,ROW()-3)="","",INDEX(MASTER_DATABASE!$BE$4:$BE$1000,ROW()-3)&amp;"")</f>
        <v>HIDDEN</v>
      </c>
    </row>
    <row r="295" customFormat="false" ht="46.25" hidden="false" customHeight="false" outlineLevel="0" collapsed="false">
      <c r="A295" s="11" t="str">
        <f aca="false">IF(INDEX(MASTER_DATABASE!$A$4:$A$1000,ROW()-3)="","",INDEX(MASTER_DATABASE!$A$4:$A$1000,ROW()-3)&amp;"")</f>
        <v>TKT-009</v>
      </c>
      <c r="B295" s="7" t="str">
        <f aca="false">IF(INDEX(MASTER_DATABASE!$A$4:$A$1000,ROW()-3)="","",INDEX(MASTER_DATABASE!$B$4:$B$1000,ROW()-3)&amp;"")</f>
        <v>Travel / Ticketing</v>
      </c>
      <c r="C295" s="7" t="str">
        <f aca="false">IF(INDEX(MASTER_DATABASE!$A$4:$A$1000,ROW()-3)="","",INDEX(MASTER_DATABASE!$C$4:$C$1000,ROW()-3)&amp;"")</f>
        <v>Travel Services</v>
      </c>
      <c r="D295" s="7" t="str">
        <f aca="false">IF(INDEX(MASTER_DATABASE!$A$4:$A$1000,ROW()-3)="","",INDEX(MASTER_DATABASE!$D$4:$D$1000,ROW()-3)&amp;"")</f>
        <v>Bus &amp; Other Travel</v>
      </c>
      <c r="E295" s="7" t="str">
        <f aca="false">IF(INDEX(MASTER_DATABASE!$A$4:$A$1000,ROW()-3)="","",INDEX(MASTER_DATABASE!$E$4:$E$1000,ROW()-3)&amp;"")</f>
        <v>Flight Ticket Booking</v>
      </c>
      <c r="F295" s="7" t="str">
        <f aca="false">IF(INDEX(MASTER_DATABASE!$A$4:$A$1000,ROW()-3)="","",INDEX(MASTER_DATABASE!$F$4:$F$1000,ROW()-3)&amp;"")</f>
        <v>हवाई टिकट बुकिंग</v>
      </c>
      <c r="G295" s="7" t="str">
        <f aca="false">IF(INDEX(MASTER_DATABASE!$A$4:$A$1000,ROW()-3)="","",INDEX(MASTER_DATABASE!$AL$4:$AL$1000,ROW()-3)&amp;"")</f>
        <v>Travel / Ticketing</v>
      </c>
      <c r="H295" s="7" t="str">
        <f aca="false">IF(INDEX(MASTER_DATABASE!$A$4:$A$1000,ROW()-3)="","",INDEX(MASTER_DATABASE!$AM$4:$AM$1000,ROW()-3)&amp;"")</f>
        <v>Bus &amp; Other Travel</v>
      </c>
      <c r="I295" s="7" t="str">
        <f aca="false">IF(INDEX(MASTER_DATABASE!$A$4:$A$1000,ROW()-3)="","",INDEX(MASTER_DATABASE!$AO$4:$AO$1000,ROW()-3)&amp;"")</f>
        <v>flight-ticket-booking</v>
      </c>
      <c r="J295" s="7" t="str">
        <f aca="false">IF(INDEX(MASTER_DATABASE!$A$4:$A$1000,ROW()-3)="","",INDEX(MASTER_DATABASE!$BD$4:$BD$1000,ROW()-3)&amp;"")</f>
        <v>/services/flight-ticket-booking</v>
      </c>
      <c r="K295" s="7" t="str">
        <f aca="false">IF(INDEX(MASTER_DATABASE!$A$4:$A$1000,ROW()-3)="","",INDEX(MASTER_DATABASE!$AX$4:$AX$1000,ROW()-3)&amp;"")</f>
        <v>Flight Ticket Booking Service | Devmobile Stores</v>
      </c>
      <c r="L295" s="7" t="str">
        <f aca="false">IF(INDEX(MASTER_DATABASE!$A$4:$A$1000,ROW()-3)="","",INDEX(MASTER_DATABASE!$AY$4:$AY$1000,ROW()-3)&amp;"")</f>
        <v>Flight Ticket Booking (हवाई टिकट बुकिंग) at Devmobile Stores and Common Service Center &amp; Aadhaar Centre. Check required documents, charges and process before you visit.</v>
      </c>
      <c r="M295" s="7" t="str">
        <f aca="false">IF(INDEX(MASTER_DATABASE!$A$4:$A$1000,ROW()-3)="","",INDEX(MASTER_DATABASE!$AN$4:$AN$1000,ROW()-3)&amp;"")</f>
        <v>Flight Ticket Booking, Travel / Ticketing, Devmobile Stores, हवाई टिकट बुकिंग, टिकट / बुकिंग, सेवा</v>
      </c>
      <c r="N295" s="7" t="str">
        <f aca="false">IF(INDEX(MASTER_DATABASE!$A$4:$A$1000,ROW()-3)="","",INDEX(MASTER_DATABASE!$AZ$4:$AZ$1000,ROW()-3)&amp;"")</f>
        <v>हवाई टिकट बुकिंग, टिकट / बुकिंग, सेवा</v>
      </c>
      <c r="O295" s="7" t="str">
        <f aca="false">IF(INDEX(MASTER_DATABASE!$A$4:$A$1000,ROW()-3)="","",INDEX(MASTER_DATABASE!$BA$4:$BA$1000,ROW()-3)&amp;"")</f>
        <v>Flight Ticket Booking, Travel / Ticketing, Devmobile Stores</v>
      </c>
      <c r="P295" s="11" t="str">
        <f aca="false">IF(INDEX(MASTER_DATABASE!$A$4:$A$1000,ROW()-3)="","",INDEX(MASTER_DATABASE!$AP$4:$AP$1000,ROW()-3)&amp;"")</f>
        <v>🚆</v>
      </c>
      <c r="Q295" s="7" t="str">
        <f aca="false">IF(INDEX(MASTER_DATABASE!$A$4:$A$1000,ROW()-3)="","",INDEX(MASTER_DATABASE!$BB$4:$BB$1000,ROW()-3)&amp;"")</f>
        <v/>
      </c>
      <c r="R295" s="11" t="str">
        <f aca="false">IF(INDEX(MASTER_DATABASE!$A$4:$A$1000,ROW()-3)="","",INDEX(MASTER_DATABASE!$BC$4:$BC$1000,ROW()-3)&amp;"")</f>
        <v>🚆</v>
      </c>
      <c r="S295" s="11" t="n">
        <f aca="false">IF(INDEX(MASTER_DATABASE!$A$4:$A$1000,ROW()-3)="","",INDEX(MASTER_DATABASE!$AQ$4:$AQ$1000,ROW()-3))</f>
        <v>90</v>
      </c>
      <c r="T295" s="7" t="str">
        <f aca="false">IF(INDEX(MASTER_DATABASE!$A$4:$A$1000,ROW()-3)="","",INDEX(MASTER_DATABASE!$I$4:$I$1000,ROW()-3)&amp;"")</f>
        <v>To Verify</v>
      </c>
      <c r="U295" s="7" t="str">
        <f aca="false">IF(INDEX(MASTER_DATABASE!$A$4:$A$1000,ROW()-3)="","",INDEX(MASTER_DATABASE!$J$4:$J$1000,ROW()-3)&amp;"")</f>
        <v>To Be Confirmed</v>
      </c>
      <c r="V295" s="7" t="str">
        <f aca="false">IF(INDEX(MASTER_DATABASE!$A$4:$A$1000,ROW()-3)="","",INDEX(MASTER_DATABASE!$AG$4:$AG$1000,ROW()-3)&amp;"")</f>
        <v>To Verify</v>
      </c>
      <c r="W295" s="7" t="str">
        <f aca="false">IF(INDEX(MASTER_DATABASE!$A$4:$A$1000,ROW()-3)="","",INDEX(MASTER_DATABASE!$AH$4:$AH$1000,ROW()-3)&amp;"")</f>
        <v>No</v>
      </c>
      <c r="X295" s="7" t="str">
        <f aca="false">IF(INDEX(MASTER_DATABASE!$A$4:$A$1000,ROW()-3)="","",INDEX(MASTER_DATABASE!$AI$4:$AI$1000,ROW()-3)&amp;"")</f>
        <v>No</v>
      </c>
      <c r="Y295" s="7" t="str">
        <f aca="false">IF(INDEX(MASTER_DATABASE!$A$4:$A$1000,ROW()-3)="","",INDEX(MASTER_DATABASE!$AJ$4:$AJ$1000,ROW()-3)&amp;"")</f>
        <v>No</v>
      </c>
      <c r="Z295" s="7" t="str">
        <f aca="false">IF(INDEX(MASTER_DATABASE!$A$4:$A$1000,ROW()-3)="","",INDEX(MASTER_DATABASE!$AK$4:$AK$1000,ROW()-3)&amp;"")</f>
        <v>No</v>
      </c>
      <c r="AA295" s="7" t="str">
        <f aca="false">IF(INDEX(MASTER_DATABASE!$A$4:$A$1000,ROW()-3)="","",INDEX(MASTER_DATABASE!$BE$4:$BE$1000,ROW()-3)&amp;"")</f>
        <v>HIDDEN</v>
      </c>
    </row>
    <row r="296" customFormat="false" ht="15" hidden="false" customHeight="false" outlineLevel="0" collapsed="false">
      <c r="A296" s="11" t="str">
        <f aca="false">IF(INDEX(MASTER_DATABASE!$A$4:$A$1000,ROW()-3)="","",INDEX(MASTER_DATABASE!$A$4:$A$1000,ROW()-3)&amp;"")</f>
        <v/>
      </c>
      <c r="B296" s="7" t="str">
        <f aca="false">IF(INDEX(MASTER_DATABASE!$A$4:$A$1000,ROW()-3)="","",INDEX(MASTER_DATABASE!$B$4:$B$1000,ROW()-3)&amp;"")</f>
        <v/>
      </c>
      <c r="C296" s="7" t="str">
        <f aca="false">IF(INDEX(MASTER_DATABASE!$A$4:$A$1000,ROW()-3)="","",INDEX(MASTER_DATABASE!$C$4:$C$1000,ROW()-3)&amp;"")</f>
        <v/>
      </c>
      <c r="D296" s="7" t="str">
        <f aca="false">IF(INDEX(MASTER_DATABASE!$A$4:$A$1000,ROW()-3)="","",INDEX(MASTER_DATABASE!$D$4:$D$1000,ROW()-3)&amp;"")</f>
        <v/>
      </c>
      <c r="E296" s="7" t="str">
        <f aca="false">IF(INDEX(MASTER_DATABASE!$A$4:$A$1000,ROW()-3)="","",INDEX(MASTER_DATABASE!$E$4:$E$1000,ROW()-3)&amp;"")</f>
        <v/>
      </c>
      <c r="F296" s="7" t="str">
        <f aca="false">IF(INDEX(MASTER_DATABASE!$A$4:$A$1000,ROW()-3)="","",INDEX(MASTER_DATABASE!$F$4:$F$1000,ROW()-3)&amp;"")</f>
        <v/>
      </c>
      <c r="G296" s="7" t="str">
        <f aca="false">IF(INDEX(MASTER_DATABASE!$A$4:$A$1000,ROW()-3)="","",INDEX(MASTER_DATABASE!$AL$4:$AL$1000,ROW()-3)&amp;"")</f>
        <v/>
      </c>
      <c r="H296" s="7" t="str">
        <f aca="false">IF(INDEX(MASTER_DATABASE!$A$4:$A$1000,ROW()-3)="","",INDEX(MASTER_DATABASE!$AM$4:$AM$1000,ROW()-3)&amp;"")</f>
        <v/>
      </c>
      <c r="I296" s="7" t="str">
        <f aca="false">IF(INDEX(MASTER_DATABASE!$A$4:$A$1000,ROW()-3)="","",INDEX(MASTER_DATABASE!$AO$4:$AO$1000,ROW()-3)&amp;"")</f>
        <v/>
      </c>
      <c r="J296" s="7" t="str">
        <f aca="false">IF(INDEX(MASTER_DATABASE!$A$4:$A$1000,ROW()-3)="","",INDEX(MASTER_DATABASE!$BD$4:$BD$1000,ROW()-3)&amp;"")</f>
        <v/>
      </c>
      <c r="K296" s="7" t="str">
        <f aca="false">IF(INDEX(MASTER_DATABASE!$A$4:$A$1000,ROW()-3)="","",INDEX(MASTER_DATABASE!$AX$4:$AX$1000,ROW()-3)&amp;"")</f>
        <v/>
      </c>
      <c r="L296" s="7" t="str">
        <f aca="false">IF(INDEX(MASTER_DATABASE!$A$4:$A$1000,ROW()-3)="","",INDEX(MASTER_DATABASE!$AY$4:$AY$1000,ROW()-3)&amp;"")</f>
        <v/>
      </c>
      <c r="M296" s="7" t="str">
        <f aca="false">IF(INDEX(MASTER_DATABASE!$A$4:$A$1000,ROW()-3)="","",INDEX(MASTER_DATABASE!$AN$4:$AN$1000,ROW()-3)&amp;"")</f>
        <v/>
      </c>
      <c r="N296" s="7" t="str">
        <f aca="false">IF(INDEX(MASTER_DATABASE!$A$4:$A$1000,ROW()-3)="","",INDEX(MASTER_DATABASE!$AZ$4:$AZ$1000,ROW()-3)&amp;"")</f>
        <v/>
      </c>
      <c r="O296" s="7" t="str">
        <f aca="false">IF(INDEX(MASTER_DATABASE!$A$4:$A$1000,ROW()-3)="","",INDEX(MASTER_DATABASE!$BA$4:$BA$1000,ROW()-3)&amp;"")</f>
        <v/>
      </c>
      <c r="P296" s="11" t="str">
        <f aca="false">IF(INDEX(MASTER_DATABASE!$A$4:$A$1000,ROW()-3)="","",INDEX(MASTER_DATABASE!$AP$4:$AP$1000,ROW()-3)&amp;"")</f>
        <v/>
      </c>
      <c r="Q296" s="7" t="str">
        <f aca="false">IF(INDEX(MASTER_DATABASE!$A$4:$A$1000,ROW()-3)="","",INDEX(MASTER_DATABASE!$BB$4:$BB$1000,ROW()-3)&amp;"")</f>
        <v/>
      </c>
      <c r="R296" s="11" t="str">
        <f aca="false">IF(INDEX(MASTER_DATABASE!$A$4:$A$1000,ROW()-3)="","",INDEX(MASTER_DATABASE!$BC$4:$BC$1000,ROW()-3)&amp;"")</f>
        <v/>
      </c>
      <c r="S296" s="11" t="str">
        <f aca="false">IF(INDEX(MASTER_DATABASE!$A$4:$A$1000,ROW()-3)="","",INDEX(MASTER_DATABASE!$AQ$4:$AQ$1000,ROW()-3))</f>
        <v/>
      </c>
      <c r="T296" s="7" t="str">
        <f aca="false">IF(INDEX(MASTER_DATABASE!$A$4:$A$1000,ROW()-3)="","",INDEX(MASTER_DATABASE!$I$4:$I$1000,ROW()-3)&amp;"")</f>
        <v/>
      </c>
      <c r="U296" s="7" t="str">
        <f aca="false">IF(INDEX(MASTER_DATABASE!$A$4:$A$1000,ROW()-3)="","",INDEX(MASTER_DATABASE!$J$4:$J$1000,ROW()-3)&amp;"")</f>
        <v/>
      </c>
      <c r="V296" s="7" t="str">
        <f aca="false">IF(INDEX(MASTER_DATABASE!$A$4:$A$1000,ROW()-3)="","",INDEX(MASTER_DATABASE!$AG$4:$AG$1000,ROW()-3)&amp;"")</f>
        <v/>
      </c>
      <c r="W296" s="7" t="str">
        <f aca="false">IF(INDEX(MASTER_DATABASE!$A$4:$A$1000,ROW()-3)="","",INDEX(MASTER_DATABASE!$AH$4:$AH$1000,ROW()-3)&amp;"")</f>
        <v/>
      </c>
      <c r="X296" s="7" t="str">
        <f aca="false">IF(INDEX(MASTER_DATABASE!$A$4:$A$1000,ROW()-3)="","",INDEX(MASTER_DATABASE!$AI$4:$AI$1000,ROW()-3)&amp;"")</f>
        <v/>
      </c>
      <c r="Y296" s="7" t="str">
        <f aca="false">IF(INDEX(MASTER_DATABASE!$A$4:$A$1000,ROW()-3)="","",INDEX(MASTER_DATABASE!$AJ$4:$AJ$1000,ROW()-3)&amp;"")</f>
        <v/>
      </c>
      <c r="Z296" s="7" t="str">
        <f aca="false">IF(INDEX(MASTER_DATABASE!$A$4:$A$1000,ROW()-3)="","",INDEX(MASTER_DATABASE!$AK$4:$AK$1000,ROW()-3)&amp;"")</f>
        <v/>
      </c>
      <c r="AA296" s="7" t="str">
        <f aca="false">IF(INDEX(MASTER_DATABASE!$A$4:$A$1000,ROW()-3)="","",INDEX(MASTER_DATABASE!$BE$4:$BE$1000,ROW()-3)&amp;"")</f>
        <v/>
      </c>
    </row>
    <row r="297" customFormat="false" ht="15" hidden="false" customHeight="false" outlineLevel="0" collapsed="false">
      <c r="A297" s="11" t="str">
        <f aca="false">IF(INDEX(MASTER_DATABASE!$A$4:$A$1000,ROW()-3)="","",INDEX(MASTER_DATABASE!$A$4:$A$1000,ROW()-3)&amp;"")</f>
        <v/>
      </c>
      <c r="B297" s="7" t="str">
        <f aca="false">IF(INDEX(MASTER_DATABASE!$A$4:$A$1000,ROW()-3)="","",INDEX(MASTER_DATABASE!$B$4:$B$1000,ROW()-3)&amp;"")</f>
        <v/>
      </c>
      <c r="C297" s="7" t="str">
        <f aca="false">IF(INDEX(MASTER_DATABASE!$A$4:$A$1000,ROW()-3)="","",INDEX(MASTER_DATABASE!$C$4:$C$1000,ROW()-3)&amp;"")</f>
        <v/>
      </c>
      <c r="D297" s="7" t="str">
        <f aca="false">IF(INDEX(MASTER_DATABASE!$A$4:$A$1000,ROW()-3)="","",INDEX(MASTER_DATABASE!$D$4:$D$1000,ROW()-3)&amp;"")</f>
        <v/>
      </c>
      <c r="E297" s="7" t="str">
        <f aca="false">IF(INDEX(MASTER_DATABASE!$A$4:$A$1000,ROW()-3)="","",INDEX(MASTER_DATABASE!$E$4:$E$1000,ROW()-3)&amp;"")</f>
        <v/>
      </c>
      <c r="F297" s="7" t="str">
        <f aca="false">IF(INDEX(MASTER_DATABASE!$A$4:$A$1000,ROW()-3)="","",INDEX(MASTER_DATABASE!$F$4:$F$1000,ROW()-3)&amp;"")</f>
        <v/>
      </c>
      <c r="G297" s="7" t="str">
        <f aca="false">IF(INDEX(MASTER_DATABASE!$A$4:$A$1000,ROW()-3)="","",INDEX(MASTER_DATABASE!$AL$4:$AL$1000,ROW()-3)&amp;"")</f>
        <v/>
      </c>
      <c r="H297" s="7" t="str">
        <f aca="false">IF(INDEX(MASTER_DATABASE!$A$4:$A$1000,ROW()-3)="","",INDEX(MASTER_DATABASE!$AM$4:$AM$1000,ROW()-3)&amp;"")</f>
        <v/>
      </c>
      <c r="I297" s="7" t="str">
        <f aca="false">IF(INDEX(MASTER_DATABASE!$A$4:$A$1000,ROW()-3)="","",INDEX(MASTER_DATABASE!$AO$4:$AO$1000,ROW()-3)&amp;"")</f>
        <v/>
      </c>
      <c r="J297" s="7" t="str">
        <f aca="false">IF(INDEX(MASTER_DATABASE!$A$4:$A$1000,ROW()-3)="","",INDEX(MASTER_DATABASE!$BD$4:$BD$1000,ROW()-3)&amp;"")</f>
        <v/>
      </c>
      <c r="K297" s="7" t="str">
        <f aca="false">IF(INDEX(MASTER_DATABASE!$A$4:$A$1000,ROW()-3)="","",INDEX(MASTER_DATABASE!$AX$4:$AX$1000,ROW()-3)&amp;"")</f>
        <v/>
      </c>
      <c r="L297" s="7" t="str">
        <f aca="false">IF(INDEX(MASTER_DATABASE!$A$4:$A$1000,ROW()-3)="","",INDEX(MASTER_DATABASE!$AY$4:$AY$1000,ROW()-3)&amp;"")</f>
        <v/>
      </c>
      <c r="M297" s="7" t="str">
        <f aca="false">IF(INDEX(MASTER_DATABASE!$A$4:$A$1000,ROW()-3)="","",INDEX(MASTER_DATABASE!$AN$4:$AN$1000,ROW()-3)&amp;"")</f>
        <v/>
      </c>
      <c r="N297" s="7" t="str">
        <f aca="false">IF(INDEX(MASTER_DATABASE!$A$4:$A$1000,ROW()-3)="","",INDEX(MASTER_DATABASE!$AZ$4:$AZ$1000,ROW()-3)&amp;"")</f>
        <v/>
      </c>
      <c r="O297" s="7" t="str">
        <f aca="false">IF(INDEX(MASTER_DATABASE!$A$4:$A$1000,ROW()-3)="","",INDEX(MASTER_DATABASE!$BA$4:$BA$1000,ROW()-3)&amp;"")</f>
        <v/>
      </c>
      <c r="P297" s="11" t="str">
        <f aca="false">IF(INDEX(MASTER_DATABASE!$A$4:$A$1000,ROW()-3)="","",INDEX(MASTER_DATABASE!$AP$4:$AP$1000,ROW()-3)&amp;"")</f>
        <v/>
      </c>
      <c r="Q297" s="7" t="str">
        <f aca="false">IF(INDEX(MASTER_DATABASE!$A$4:$A$1000,ROW()-3)="","",INDEX(MASTER_DATABASE!$BB$4:$BB$1000,ROW()-3)&amp;"")</f>
        <v/>
      </c>
      <c r="R297" s="11" t="str">
        <f aca="false">IF(INDEX(MASTER_DATABASE!$A$4:$A$1000,ROW()-3)="","",INDEX(MASTER_DATABASE!$BC$4:$BC$1000,ROW()-3)&amp;"")</f>
        <v/>
      </c>
      <c r="S297" s="11" t="str">
        <f aca="false">IF(INDEX(MASTER_DATABASE!$A$4:$A$1000,ROW()-3)="","",INDEX(MASTER_DATABASE!$AQ$4:$AQ$1000,ROW()-3))</f>
        <v/>
      </c>
      <c r="T297" s="7" t="str">
        <f aca="false">IF(INDEX(MASTER_DATABASE!$A$4:$A$1000,ROW()-3)="","",INDEX(MASTER_DATABASE!$I$4:$I$1000,ROW()-3)&amp;"")</f>
        <v/>
      </c>
      <c r="U297" s="7" t="str">
        <f aca="false">IF(INDEX(MASTER_DATABASE!$A$4:$A$1000,ROW()-3)="","",INDEX(MASTER_DATABASE!$J$4:$J$1000,ROW()-3)&amp;"")</f>
        <v/>
      </c>
      <c r="V297" s="7" t="str">
        <f aca="false">IF(INDEX(MASTER_DATABASE!$A$4:$A$1000,ROW()-3)="","",INDEX(MASTER_DATABASE!$AG$4:$AG$1000,ROW()-3)&amp;"")</f>
        <v/>
      </c>
      <c r="W297" s="7" t="str">
        <f aca="false">IF(INDEX(MASTER_DATABASE!$A$4:$A$1000,ROW()-3)="","",INDEX(MASTER_DATABASE!$AH$4:$AH$1000,ROW()-3)&amp;"")</f>
        <v/>
      </c>
      <c r="X297" s="7" t="str">
        <f aca="false">IF(INDEX(MASTER_DATABASE!$A$4:$A$1000,ROW()-3)="","",INDEX(MASTER_DATABASE!$AI$4:$AI$1000,ROW()-3)&amp;"")</f>
        <v/>
      </c>
      <c r="Y297" s="7" t="str">
        <f aca="false">IF(INDEX(MASTER_DATABASE!$A$4:$A$1000,ROW()-3)="","",INDEX(MASTER_DATABASE!$AJ$4:$AJ$1000,ROW()-3)&amp;"")</f>
        <v/>
      </c>
      <c r="Z297" s="7" t="str">
        <f aca="false">IF(INDEX(MASTER_DATABASE!$A$4:$A$1000,ROW()-3)="","",INDEX(MASTER_DATABASE!$AK$4:$AK$1000,ROW()-3)&amp;"")</f>
        <v/>
      </c>
      <c r="AA297" s="7" t="str">
        <f aca="false">IF(INDEX(MASTER_DATABASE!$A$4:$A$1000,ROW()-3)="","",INDEX(MASTER_DATABASE!$BE$4:$BE$1000,ROW()-3)&amp;"")</f>
        <v/>
      </c>
    </row>
    <row r="298" customFormat="false" ht="15" hidden="false" customHeight="false" outlineLevel="0" collapsed="false">
      <c r="A298" s="11" t="str">
        <f aca="false">IF(INDEX(MASTER_DATABASE!$A$4:$A$1000,ROW()-3)="","",INDEX(MASTER_DATABASE!$A$4:$A$1000,ROW()-3)&amp;"")</f>
        <v/>
      </c>
      <c r="B298" s="7" t="str">
        <f aca="false">IF(INDEX(MASTER_DATABASE!$A$4:$A$1000,ROW()-3)="","",INDEX(MASTER_DATABASE!$B$4:$B$1000,ROW()-3)&amp;"")</f>
        <v/>
      </c>
      <c r="C298" s="7" t="str">
        <f aca="false">IF(INDEX(MASTER_DATABASE!$A$4:$A$1000,ROW()-3)="","",INDEX(MASTER_DATABASE!$C$4:$C$1000,ROW()-3)&amp;"")</f>
        <v/>
      </c>
      <c r="D298" s="7" t="str">
        <f aca="false">IF(INDEX(MASTER_DATABASE!$A$4:$A$1000,ROW()-3)="","",INDEX(MASTER_DATABASE!$D$4:$D$1000,ROW()-3)&amp;"")</f>
        <v/>
      </c>
      <c r="E298" s="7" t="str">
        <f aca="false">IF(INDEX(MASTER_DATABASE!$A$4:$A$1000,ROW()-3)="","",INDEX(MASTER_DATABASE!$E$4:$E$1000,ROW()-3)&amp;"")</f>
        <v/>
      </c>
      <c r="F298" s="7" t="str">
        <f aca="false">IF(INDEX(MASTER_DATABASE!$A$4:$A$1000,ROW()-3)="","",INDEX(MASTER_DATABASE!$F$4:$F$1000,ROW()-3)&amp;"")</f>
        <v/>
      </c>
      <c r="G298" s="7" t="str">
        <f aca="false">IF(INDEX(MASTER_DATABASE!$A$4:$A$1000,ROW()-3)="","",INDEX(MASTER_DATABASE!$AL$4:$AL$1000,ROW()-3)&amp;"")</f>
        <v/>
      </c>
      <c r="H298" s="7" t="str">
        <f aca="false">IF(INDEX(MASTER_DATABASE!$A$4:$A$1000,ROW()-3)="","",INDEX(MASTER_DATABASE!$AM$4:$AM$1000,ROW()-3)&amp;"")</f>
        <v/>
      </c>
      <c r="I298" s="7" t="str">
        <f aca="false">IF(INDEX(MASTER_DATABASE!$A$4:$A$1000,ROW()-3)="","",INDEX(MASTER_DATABASE!$AO$4:$AO$1000,ROW()-3)&amp;"")</f>
        <v/>
      </c>
      <c r="J298" s="7" t="str">
        <f aca="false">IF(INDEX(MASTER_DATABASE!$A$4:$A$1000,ROW()-3)="","",INDEX(MASTER_DATABASE!$BD$4:$BD$1000,ROW()-3)&amp;"")</f>
        <v/>
      </c>
      <c r="K298" s="7" t="str">
        <f aca="false">IF(INDEX(MASTER_DATABASE!$A$4:$A$1000,ROW()-3)="","",INDEX(MASTER_DATABASE!$AX$4:$AX$1000,ROW()-3)&amp;"")</f>
        <v/>
      </c>
      <c r="L298" s="7" t="str">
        <f aca="false">IF(INDEX(MASTER_DATABASE!$A$4:$A$1000,ROW()-3)="","",INDEX(MASTER_DATABASE!$AY$4:$AY$1000,ROW()-3)&amp;"")</f>
        <v/>
      </c>
      <c r="M298" s="7" t="str">
        <f aca="false">IF(INDEX(MASTER_DATABASE!$A$4:$A$1000,ROW()-3)="","",INDEX(MASTER_DATABASE!$AN$4:$AN$1000,ROW()-3)&amp;"")</f>
        <v/>
      </c>
      <c r="N298" s="7" t="str">
        <f aca="false">IF(INDEX(MASTER_DATABASE!$A$4:$A$1000,ROW()-3)="","",INDEX(MASTER_DATABASE!$AZ$4:$AZ$1000,ROW()-3)&amp;"")</f>
        <v/>
      </c>
      <c r="O298" s="7" t="str">
        <f aca="false">IF(INDEX(MASTER_DATABASE!$A$4:$A$1000,ROW()-3)="","",INDEX(MASTER_DATABASE!$BA$4:$BA$1000,ROW()-3)&amp;"")</f>
        <v/>
      </c>
      <c r="P298" s="11" t="str">
        <f aca="false">IF(INDEX(MASTER_DATABASE!$A$4:$A$1000,ROW()-3)="","",INDEX(MASTER_DATABASE!$AP$4:$AP$1000,ROW()-3)&amp;"")</f>
        <v/>
      </c>
      <c r="Q298" s="7" t="str">
        <f aca="false">IF(INDEX(MASTER_DATABASE!$A$4:$A$1000,ROW()-3)="","",INDEX(MASTER_DATABASE!$BB$4:$BB$1000,ROW()-3)&amp;"")</f>
        <v/>
      </c>
      <c r="R298" s="11" t="str">
        <f aca="false">IF(INDEX(MASTER_DATABASE!$A$4:$A$1000,ROW()-3)="","",INDEX(MASTER_DATABASE!$BC$4:$BC$1000,ROW()-3)&amp;"")</f>
        <v/>
      </c>
      <c r="S298" s="11" t="str">
        <f aca="false">IF(INDEX(MASTER_DATABASE!$A$4:$A$1000,ROW()-3)="","",INDEX(MASTER_DATABASE!$AQ$4:$AQ$1000,ROW()-3))</f>
        <v/>
      </c>
      <c r="T298" s="7" t="str">
        <f aca="false">IF(INDEX(MASTER_DATABASE!$A$4:$A$1000,ROW()-3)="","",INDEX(MASTER_DATABASE!$I$4:$I$1000,ROW()-3)&amp;"")</f>
        <v/>
      </c>
      <c r="U298" s="7" t="str">
        <f aca="false">IF(INDEX(MASTER_DATABASE!$A$4:$A$1000,ROW()-3)="","",INDEX(MASTER_DATABASE!$J$4:$J$1000,ROW()-3)&amp;"")</f>
        <v/>
      </c>
      <c r="V298" s="7" t="str">
        <f aca="false">IF(INDEX(MASTER_DATABASE!$A$4:$A$1000,ROW()-3)="","",INDEX(MASTER_DATABASE!$AG$4:$AG$1000,ROW()-3)&amp;"")</f>
        <v/>
      </c>
      <c r="W298" s="7" t="str">
        <f aca="false">IF(INDEX(MASTER_DATABASE!$A$4:$A$1000,ROW()-3)="","",INDEX(MASTER_DATABASE!$AH$4:$AH$1000,ROW()-3)&amp;"")</f>
        <v/>
      </c>
      <c r="X298" s="7" t="str">
        <f aca="false">IF(INDEX(MASTER_DATABASE!$A$4:$A$1000,ROW()-3)="","",INDEX(MASTER_DATABASE!$AI$4:$AI$1000,ROW()-3)&amp;"")</f>
        <v/>
      </c>
      <c r="Y298" s="7" t="str">
        <f aca="false">IF(INDEX(MASTER_DATABASE!$A$4:$A$1000,ROW()-3)="","",INDEX(MASTER_DATABASE!$AJ$4:$AJ$1000,ROW()-3)&amp;"")</f>
        <v/>
      </c>
      <c r="Z298" s="7" t="str">
        <f aca="false">IF(INDEX(MASTER_DATABASE!$A$4:$A$1000,ROW()-3)="","",INDEX(MASTER_DATABASE!$AK$4:$AK$1000,ROW()-3)&amp;"")</f>
        <v/>
      </c>
      <c r="AA298" s="7" t="str">
        <f aca="false">IF(INDEX(MASTER_DATABASE!$A$4:$A$1000,ROW()-3)="","",INDEX(MASTER_DATABASE!$BE$4:$BE$1000,ROW()-3)&amp;"")</f>
        <v/>
      </c>
    </row>
    <row r="299" customFormat="false" ht="15" hidden="false" customHeight="false" outlineLevel="0" collapsed="false">
      <c r="A299" s="11" t="str">
        <f aca="false">IF(INDEX(MASTER_DATABASE!$A$4:$A$1000,ROW()-3)="","",INDEX(MASTER_DATABASE!$A$4:$A$1000,ROW()-3)&amp;"")</f>
        <v/>
      </c>
      <c r="B299" s="7" t="str">
        <f aca="false">IF(INDEX(MASTER_DATABASE!$A$4:$A$1000,ROW()-3)="","",INDEX(MASTER_DATABASE!$B$4:$B$1000,ROW()-3)&amp;"")</f>
        <v/>
      </c>
      <c r="C299" s="7" t="str">
        <f aca="false">IF(INDEX(MASTER_DATABASE!$A$4:$A$1000,ROW()-3)="","",INDEX(MASTER_DATABASE!$C$4:$C$1000,ROW()-3)&amp;"")</f>
        <v/>
      </c>
      <c r="D299" s="7" t="str">
        <f aca="false">IF(INDEX(MASTER_DATABASE!$A$4:$A$1000,ROW()-3)="","",INDEX(MASTER_DATABASE!$D$4:$D$1000,ROW()-3)&amp;"")</f>
        <v/>
      </c>
      <c r="E299" s="7" t="str">
        <f aca="false">IF(INDEX(MASTER_DATABASE!$A$4:$A$1000,ROW()-3)="","",INDEX(MASTER_DATABASE!$E$4:$E$1000,ROW()-3)&amp;"")</f>
        <v/>
      </c>
      <c r="F299" s="7" t="str">
        <f aca="false">IF(INDEX(MASTER_DATABASE!$A$4:$A$1000,ROW()-3)="","",INDEX(MASTER_DATABASE!$F$4:$F$1000,ROW()-3)&amp;"")</f>
        <v/>
      </c>
      <c r="G299" s="7" t="str">
        <f aca="false">IF(INDEX(MASTER_DATABASE!$A$4:$A$1000,ROW()-3)="","",INDEX(MASTER_DATABASE!$AL$4:$AL$1000,ROW()-3)&amp;"")</f>
        <v/>
      </c>
      <c r="H299" s="7" t="str">
        <f aca="false">IF(INDEX(MASTER_DATABASE!$A$4:$A$1000,ROW()-3)="","",INDEX(MASTER_DATABASE!$AM$4:$AM$1000,ROW()-3)&amp;"")</f>
        <v/>
      </c>
      <c r="I299" s="7" t="str">
        <f aca="false">IF(INDEX(MASTER_DATABASE!$A$4:$A$1000,ROW()-3)="","",INDEX(MASTER_DATABASE!$AO$4:$AO$1000,ROW()-3)&amp;"")</f>
        <v/>
      </c>
      <c r="J299" s="7" t="str">
        <f aca="false">IF(INDEX(MASTER_DATABASE!$A$4:$A$1000,ROW()-3)="","",INDEX(MASTER_DATABASE!$BD$4:$BD$1000,ROW()-3)&amp;"")</f>
        <v/>
      </c>
      <c r="K299" s="7" t="str">
        <f aca="false">IF(INDEX(MASTER_DATABASE!$A$4:$A$1000,ROW()-3)="","",INDEX(MASTER_DATABASE!$AX$4:$AX$1000,ROW()-3)&amp;"")</f>
        <v/>
      </c>
      <c r="L299" s="7" t="str">
        <f aca="false">IF(INDEX(MASTER_DATABASE!$A$4:$A$1000,ROW()-3)="","",INDEX(MASTER_DATABASE!$AY$4:$AY$1000,ROW()-3)&amp;"")</f>
        <v/>
      </c>
      <c r="M299" s="7" t="str">
        <f aca="false">IF(INDEX(MASTER_DATABASE!$A$4:$A$1000,ROW()-3)="","",INDEX(MASTER_DATABASE!$AN$4:$AN$1000,ROW()-3)&amp;"")</f>
        <v/>
      </c>
      <c r="N299" s="7" t="str">
        <f aca="false">IF(INDEX(MASTER_DATABASE!$A$4:$A$1000,ROW()-3)="","",INDEX(MASTER_DATABASE!$AZ$4:$AZ$1000,ROW()-3)&amp;"")</f>
        <v/>
      </c>
      <c r="O299" s="7" t="str">
        <f aca="false">IF(INDEX(MASTER_DATABASE!$A$4:$A$1000,ROW()-3)="","",INDEX(MASTER_DATABASE!$BA$4:$BA$1000,ROW()-3)&amp;"")</f>
        <v/>
      </c>
      <c r="P299" s="11" t="str">
        <f aca="false">IF(INDEX(MASTER_DATABASE!$A$4:$A$1000,ROW()-3)="","",INDEX(MASTER_DATABASE!$AP$4:$AP$1000,ROW()-3)&amp;"")</f>
        <v/>
      </c>
      <c r="Q299" s="7" t="str">
        <f aca="false">IF(INDEX(MASTER_DATABASE!$A$4:$A$1000,ROW()-3)="","",INDEX(MASTER_DATABASE!$BB$4:$BB$1000,ROW()-3)&amp;"")</f>
        <v/>
      </c>
      <c r="R299" s="11" t="str">
        <f aca="false">IF(INDEX(MASTER_DATABASE!$A$4:$A$1000,ROW()-3)="","",INDEX(MASTER_DATABASE!$BC$4:$BC$1000,ROW()-3)&amp;"")</f>
        <v/>
      </c>
      <c r="S299" s="11" t="str">
        <f aca="false">IF(INDEX(MASTER_DATABASE!$A$4:$A$1000,ROW()-3)="","",INDEX(MASTER_DATABASE!$AQ$4:$AQ$1000,ROW()-3))</f>
        <v/>
      </c>
      <c r="T299" s="7" t="str">
        <f aca="false">IF(INDEX(MASTER_DATABASE!$A$4:$A$1000,ROW()-3)="","",INDEX(MASTER_DATABASE!$I$4:$I$1000,ROW()-3)&amp;"")</f>
        <v/>
      </c>
      <c r="U299" s="7" t="str">
        <f aca="false">IF(INDEX(MASTER_DATABASE!$A$4:$A$1000,ROW()-3)="","",INDEX(MASTER_DATABASE!$J$4:$J$1000,ROW()-3)&amp;"")</f>
        <v/>
      </c>
      <c r="V299" s="7" t="str">
        <f aca="false">IF(INDEX(MASTER_DATABASE!$A$4:$A$1000,ROW()-3)="","",INDEX(MASTER_DATABASE!$AG$4:$AG$1000,ROW()-3)&amp;"")</f>
        <v/>
      </c>
      <c r="W299" s="7" t="str">
        <f aca="false">IF(INDEX(MASTER_DATABASE!$A$4:$A$1000,ROW()-3)="","",INDEX(MASTER_DATABASE!$AH$4:$AH$1000,ROW()-3)&amp;"")</f>
        <v/>
      </c>
      <c r="X299" s="7" t="str">
        <f aca="false">IF(INDEX(MASTER_DATABASE!$A$4:$A$1000,ROW()-3)="","",INDEX(MASTER_DATABASE!$AI$4:$AI$1000,ROW()-3)&amp;"")</f>
        <v/>
      </c>
      <c r="Y299" s="7" t="str">
        <f aca="false">IF(INDEX(MASTER_DATABASE!$A$4:$A$1000,ROW()-3)="","",INDEX(MASTER_DATABASE!$AJ$4:$AJ$1000,ROW()-3)&amp;"")</f>
        <v/>
      </c>
      <c r="Z299" s="7" t="str">
        <f aca="false">IF(INDEX(MASTER_DATABASE!$A$4:$A$1000,ROW()-3)="","",INDEX(MASTER_DATABASE!$AK$4:$AK$1000,ROW()-3)&amp;"")</f>
        <v/>
      </c>
      <c r="AA299" s="7" t="str">
        <f aca="false">IF(INDEX(MASTER_DATABASE!$A$4:$A$1000,ROW()-3)="","",INDEX(MASTER_DATABASE!$BE$4:$BE$1000,ROW()-3)&amp;"")</f>
        <v/>
      </c>
    </row>
    <row r="300" customFormat="false" ht="15" hidden="false" customHeight="false" outlineLevel="0" collapsed="false">
      <c r="A300" s="11" t="str">
        <f aca="false">IF(INDEX(MASTER_DATABASE!$A$4:$A$1000,ROW()-3)="","",INDEX(MASTER_DATABASE!$A$4:$A$1000,ROW()-3)&amp;"")</f>
        <v/>
      </c>
      <c r="B300" s="7" t="str">
        <f aca="false">IF(INDEX(MASTER_DATABASE!$A$4:$A$1000,ROW()-3)="","",INDEX(MASTER_DATABASE!$B$4:$B$1000,ROW()-3)&amp;"")</f>
        <v/>
      </c>
      <c r="C300" s="7" t="str">
        <f aca="false">IF(INDEX(MASTER_DATABASE!$A$4:$A$1000,ROW()-3)="","",INDEX(MASTER_DATABASE!$C$4:$C$1000,ROW()-3)&amp;"")</f>
        <v/>
      </c>
      <c r="D300" s="7" t="str">
        <f aca="false">IF(INDEX(MASTER_DATABASE!$A$4:$A$1000,ROW()-3)="","",INDEX(MASTER_DATABASE!$D$4:$D$1000,ROW()-3)&amp;"")</f>
        <v/>
      </c>
      <c r="E300" s="7" t="str">
        <f aca="false">IF(INDEX(MASTER_DATABASE!$A$4:$A$1000,ROW()-3)="","",INDEX(MASTER_DATABASE!$E$4:$E$1000,ROW()-3)&amp;"")</f>
        <v/>
      </c>
      <c r="F300" s="7" t="str">
        <f aca="false">IF(INDEX(MASTER_DATABASE!$A$4:$A$1000,ROW()-3)="","",INDEX(MASTER_DATABASE!$F$4:$F$1000,ROW()-3)&amp;"")</f>
        <v/>
      </c>
      <c r="G300" s="7" t="str">
        <f aca="false">IF(INDEX(MASTER_DATABASE!$A$4:$A$1000,ROW()-3)="","",INDEX(MASTER_DATABASE!$AL$4:$AL$1000,ROW()-3)&amp;"")</f>
        <v/>
      </c>
      <c r="H300" s="7" t="str">
        <f aca="false">IF(INDEX(MASTER_DATABASE!$A$4:$A$1000,ROW()-3)="","",INDEX(MASTER_DATABASE!$AM$4:$AM$1000,ROW()-3)&amp;"")</f>
        <v/>
      </c>
      <c r="I300" s="7" t="str">
        <f aca="false">IF(INDEX(MASTER_DATABASE!$A$4:$A$1000,ROW()-3)="","",INDEX(MASTER_DATABASE!$AO$4:$AO$1000,ROW()-3)&amp;"")</f>
        <v/>
      </c>
      <c r="J300" s="7" t="str">
        <f aca="false">IF(INDEX(MASTER_DATABASE!$A$4:$A$1000,ROW()-3)="","",INDEX(MASTER_DATABASE!$BD$4:$BD$1000,ROW()-3)&amp;"")</f>
        <v/>
      </c>
      <c r="K300" s="7" t="str">
        <f aca="false">IF(INDEX(MASTER_DATABASE!$A$4:$A$1000,ROW()-3)="","",INDEX(MASTER_DATABASE!$AX$4:$AX$1000,ROW()-3)&amp;"")</f>
        <v/>
      </c>
      <c r="L300" s="7" t="str">
        <f aca="false">IF(INDEX(MASTER_DATABASE!$A$4:$A$1000,ROW()-3)="","",INDEX(MASTER_DATABASE!$AY$4:$AY$1000,ROW()-3)&amp;"")</f>
        <v/>
      </c>
      <c r="M300" s="7" t="str">
        <f aca="false">IF(INDEX(MASTER_DATABASE!$A$4:$A$1000,ROW()-3)="","",INDEX(MASTER_DATABASE!$AN$4:$AN$1000,ROW()-3)&amp;"")</f>
        <v/>
      </c>
      <c r="N300" s="7" t="str">
        <f aca="false">IF(INDEX(MASTER_DATABASE!$A$4:$A$1000,ROW()-3)="","",INDEX(MASTER_DATABASE!$AZ$4:$AZ$1000,ROW()-3)&amp;"")</f>
        <v/>
      </c>
      <c r="O300" s="7" t="str">
        <f aca="false">IF(INDEX(MASTER_DATABASE!$A$4:$A$1000,ROW()-3)="","",INDEX(MASTER_DATABASE!$BA$4:$BA$1000,ROW()-3)&amp;"")</f>
        <v/>
      </c>
      <c r="P300" s="11" t="str">
        <f aca="false">IF(INDEX(MASTER_DATABASE!$A$4:$A$1000,ROW()-3)="","",INDEX(MASTER_DATABASE!$AP$4:$AP$1000,ROW()-3)&amp;"")</f>
        <v/>
      </c>
      <c r="Q300" s="7" t="str">
        <f aca="false">IF(INDEX(MASTER_DATABASE!$A$4:$A$1000,ROW()-3)="","",INDEX(MASTER_DATABASE!$BB$4:$BB$1000,ROW()-3)&amp;"")</f>
        <v/>
      </c>
      <c r="R300" s="11" t="str">
        <f aca="false">IF(INDEX(MASTER_DATABASE!$A$4:$A$1000,ROW()-3)="","",INDEX(MASTER_DATABASE!$BC$4:$BC$1000,ROW()-3)&amp;"")</f>
        <v/>
      </c>
      <c r="S300" s="11" t="str">
        <f aca="false">IF(INDEX(MASTER_DATABASE!$A$4:$A$1000,ROW()-3)="","",INDEX(MASTER_DATABASE!$AQ$4:$AQ$1000,ROW()-3))</f>
        <v/>
      </c>
      <c r="T300" s="7" t="str">
        <f aca="false">IF(INDEX(MASTER_DATABASE!$A$4:$A$1000,ROW()-3)="","",INDEX(MASTER_DATABASE!$I$4:$I$1000,ROW()-3)&amp;"")</f>
        <v/>
      </c>
      <c r="U300" s="7" t="str">
        <f aca="false">IF(INDEX(MASTER_DATABASE!$A$4:$A$1000,ROW()-3)="","",INDEX(MASTER_DATABASE!$J$4:$J$1000,ROW()-3)&amp;"")</f>
        <v/>
      </c>
      <c r="V300" s="7" t="str">
        <f aca="false">IF(INDEX(MASTER_DATABASE!$A$4:$A$1000,ROW()-3)="","",INDEX(MASTER_DATABASE!$AG$4:$AG$1000,ROW()-3)&amp;"")</f>
        <v/>
      </c>
      <c r="W300" s="7" t="str">
        <f aca="false">IF(INDEX(MASTER_DATABASE!$A$4:$A$1000,ROW()-3)="","",INDEX(MASTER_DATABASE!$AH$4:$AH$1000,ROW()-3)&amp;"")</f>
        <v/>
      </c>
      <c r="X300" s="7" t="str">
        <f aca="false">IF(INDEX(MASTER_DATABASE!$A$4:$A$1000,ROW()-3)="","",INDEX(MASTER_DATABASE!$AI$4:$AI$1000,ROW()-3)&amp;"")</f>
        <v/>
      </c>
      <c r="Y300" s="7" t="str">
        <f aca="false">IF(INDEX(MASTER_DATABASE!$A$4:$A$1000,ROW()-3)="","",INDEX(MASTER_DATABASE!$AJ$4:$AJ$1000,ROW()-3)&amp;"")</f>
        <v/>
      </c>
      <c r="Z300" s="7" t="str">
        <f aca="false">IF(INDEX(MASTER_DATABASE!$A$4:$A$1000,ROW()-3)="","",INDEX(MASTER_DATABASE!$AK$4:$AK$1000,ROW()-3)&amp;"")</f>
        <v/>
      </c>
      <c r="AA300" s="7" t="str">
        <f aca="false">IF(INDEX(MASTER_DATABASE!$A$4:$A$1000,ROW()-3)="","",INDEX(MASTER_DATABASE!$BE$4:$BE$1000,ROW()-3)&amp;"")</f>
        <v/>
      </c>
    </row>
    <row r="301" customFormat="false" ht="15" hidden="false" customHeight="false" outlineLevel="0" collapsed="false">
      <c r="A301" s="11" t="str">
        <f aca="false">IF(INDEX(MASTER_DATABASE!$A$4:$A$1000,ROW()-3)="","",INDEX(MASTER_DATABASE!$A$4:$A$1000,ROW()-3)&amp;"")</f>
        <v/>
      </c>
      <c r="B301" s="7" t="str">
        <f aca="false">IF(INDEX(MASTER_DATABASE!$A$4:$A$1000,ROW()-3)="","",INDEX(MASTER_DATABASE!$B$4:$B$1000,ROW()-3)&amp;"")</f>
        <v/>
      </c>
      <c r="C301" s="7" t="str">
        <f aca="false">IF(INDEX(MASTER_DATABASE!$A$4:$A$1000,ROW()-3)="","",INDEX(MASTER_DATABASE!$C$4:$C$1000,ROW()-3)&amp;"")</f>
        <v/>
      </c>
      <c r="D301" s="7" t="str">
        <f aca="false">IF(INDEX(MASTER_DATABASE!$A$4:$A$1000,ROW()-3)="","",INDEX(MASTER_DATABASE!$D$4:$D$1000,ROW()-3)&amp;"")</f>
        <v/>
      </c>
      <c r="E301" s="7" t="str">
        <f aca="false">IF(INDEX(MASTER_DATABASE!$A$4:$A$1000,ROW()-3)="","",INDEX(MASTER_DATABASE!$E$4:$E$1000,ROW()-3)&amp;"")</f>
        <v/>
      </c>
      <c r="F301" s="7" t="str">
        <f aca="false">IF(INDEX(MASTER_DATABASE!$A$4:$A$1000,ROW()-3)="","",INDEX(MASTER_DATABASE!$F$4:$F$1000,ROW()-3)&amp;"")</f>
        <v/>
      </c>
      <c r="G301" s="7" t="str">
        <f aca="false">IF(INDEX(MASTER_DATABASE!$A$4:$A$1000,ROW()-3)="","",INDEX(MASTER_DATABASE!$AL$4:$AL$1000,ROW()-3)&amp;"")</f>
        <v/>
      </c>
      <c r="H301" s="7" t="str">
        <f aca="false">IF(INDEX(MASTER_DATABASE!$A$4:$A$1000,ROW()-3)="","",INDEX(MASTER_DATABASE!$AM$4:$AM$1000,ROW()-3)&amp;"")</f>
        <v/>
      </c>
      <c r="I301" s="7" t="str">
        <f aca="false">IF(INDEX(MASTER_DATABASE!$A$4:$A$1000,ROW()-3)="","",INDEX(MASTER_DATABASE!$AO$4:$AO$1000,ROW()-3)&amp;"")</f>
        <v/>
      </c>
      <c r="J301" s="7" t="str">
        <f aca="false">IF(INDEX(MASTER_DATABASE!$A$4:$A$1000,ROW()-3)="","",INDEX(MASTER_DATABASE!$BD$4:$BD$1000,ROW()-3)&amp;"")</f>
        <v/>
      </c>
      <c r="K301" s="7" t="str">
        <f aca="false">IF(INDEX(MASTER_DATABASE!$A$4:$A$1000,ROW()-3)="","",INDEX(MASTER_DATABASE!$AX$4:$AX$1000,ROW()-3)&amp;"")</f>
        <v/>
      </c>
      <c r="L301" s="7" t="str">
        <f aca="false">IF(INDEX(MASTER_DATABASE!$A$4:$A$1000,ROW()-3)="","",INDEX(MASTER_DATABASE!$AY$4:$AY$1000,ROW()-3)&amp;"")</f>
        <v/>
      </c>
      <c r="M301" s="7" t="str">
        <f aca="false">IF(INDEX(MASTER_DATABASE!$A$4:$A$1000,ROW()-3)="","",INDEX(MASTER_DATABASE!$AN$4:$AN$1000,ROW()-3)&amp;"")</f>
        <v/>
      </c>
      <c r="N301" s="7" t="str">
        <f aca="false">IF(INDEX(MASTER_DATABASE!$A$4:$A$1000,ROW()-3)="","",INDEX(MASTER_DATABASE!$AZ$4:$AZ$1000,ROW()-3)&amp;"")</f>
        <v/>
      </c>
      <c r="O301" s="7" t="str">
        <f aca="false">IF(INDEX(MASTER_DATABASE!$A$4:$A$1000,ROW()-3)="","",INDEX(MASTER_DATABASE!$BA$4:$BA$1000,ROW()-3)&amp;"")</f>
        <v/>
      </c>
      <c r="P301" s="11" t="str">
        <f aca="false">IF(INDEX(MASTER_DATABASE!$A$4:$A$1000,ROW()-3)="","",INDEX(MASTER_DATABASE!$AP$4:$AP$1000,ROW()-3)&amp;"")</f>
        <v/>
      </c>
      <c r="Q301" s="7" t="str">
        <f aca="false">IF(INDEX(MASTER_DATABASE!$A$4:$A$1000,ROW()-3)="","",INDEX(MASTER_DATABASE!$BB$4:$BB$1000,ROW()-3)&amp;"")</f>
        <v/>
      </c>
      <c r="R301" s="11" t="str">
        <f aca="false">IF(INDEX(MASTER_DATABASE!$A$4:$A$1000,ROW()-3)="","",INDEX(MASTER_DATABASE!$BC$4:$BC$1000,ROW()-3)&amp;"")</f>
        <v/>
      </c>
      <c r="S301" s="11" t="str">
        <f aca="false">IF(INDEX(MASTER_DATABASE!$A$4:$A$1000,ROW()-3)="","",INDEX(MASTER_DATABASE!$AQ$4:$AQ$1000,ROW()-3))</f>
        <v/>
      </c>
      <c r="T301" s="7" t="str">
        <f aca="false">IF(INDEX(MASTER_DATABASE!$A$4:$A$1000,ROW()-3)="","",INDEX(MASTER_DATABASE!$I$4:$I$1000,ROW()-3)&amp;"")</f>
        <v/>
      </c>
      <c r="U301" s="7" t="str">
        <f aca="false">IF(INDEX(MASTER_DATABASE!$A$4:$A$1000,ROW()-3)="","",INDEX(MASTER_DATABASE!$J$4:$J$1000,ROW()-3)&amp;"")</f>
        <v/>
      </c>
      <c r="V301" s="7" t="str">
        <f aca="false">IF(INDEX(MASTER_DATABASE!$A$4:$A$1000,ROW()-3)="","",INDEX(MASTER_DATABASE!$AG$4:$AG$1000,ROW()-3)&amp;"")</f>
        <v/>
      </c>
      <c r="W301" s="7" t="str">
        <f aca="false">IF(INDEX(MASTER_DATABASE!$A$4:$A$1000,ROW()-3)="","",INDEX(MASTER_DATABASE!$AH$4:$AH$1000,ROW()-3)&amp;"")</f>
        <v/>
      </c>
      <c r="X301" s="7" t="str">
        <f aca="false">IF(INDEX(MASTER_DATABASE!$A$4:$A$1000,ROW()-3)="","",INDEX(MASTER_DATABASE!$AI$4:$AI$1000,ROW()-3)&amp;"")</f>
        <v/>
      </c>
      <c r="Y301" s="7" t="str">
        <f aca="false">IF(INDEX(MASTER_DATABASE!$A$4:$A$1000,ROW()-3)="","",INDEX(MASTER_DATABASE!$AJ$4:$AJ$1000,ROW()-3)&amp;"")</f>
        <v/>
      </c>
      <c r="Z301" s="7" t="str">
        <f aca="false">IF(INDEX(MASTER_DATABASE!$A$4:$A$1000,ROW()-3)="","",INDEX(MASTER_DATABASE!$AK$4:$AK$1000,ROW()-3)&amp;"")</f>
        <v/>
      </c>
      <c r="AA301" s="7" t="str">
        <f aca="false">IF(INDEX(MASTER_DATABASE!$A$4:$A$1000,ROW()-3)="","",INDEX(MASTER_DATABASE!$BE$4:$BE$1000,ROW()-3)&amp;"")</f>
        <v/>
      </c>
    </row>
    <row r="302" customFormat="false" ht="15" hidden="false" customHeight="false" outlineLevel="0" collapsed="false">
      <c r="A302" s="11" t="str">
        <f aca="false">IF(INDEX(MASTER_DATABASE!$A$4:$A$1000,ROW()-3)="","",INDEX(MASTER_DATABASE!$A$4:$A$1000,ROW()-3)&amp;"")</f>
        <v/>
      </c>
      <c r="B302" s="7" t="str">
        <f aca="false">IF(INDEX(MASTER_DATABASE!$A$4:$A$1000,ROW()-3)="","",INDEX(MASTER_DATABASE!$B$4:$B$1000,ROW()-3)&amp;"")</f>
        <v/>
      </c>
      <c r="C302" s="7" t="str">
        <f aca="false">IF(INDEX(MASTER_DATABASE!$A$4:$A$1000,ROW()-3)="","",INDEX(MASTER_DATABASE!$C$4:$C$1000,ROW()-3)&amp;"")</f>
        <v/>
      </c>
      <c r="D302" s="7" t="str">
        <f aca="false">IF(INDEX(MASTER_DATABASE!$A$4:$A$1000,ROW()-3)="","",INDEX(MASTER_DATABASE!$D$4:$D$1000,ROW()-3)&amp;"")</f>
        <v/>
      </c>
      <c r="E302" s="7" t="str">
        <f aca="false">IF(INDEX(MASTER_DATABASE!$A$4:$A$1000,ROW()-3)="","",INDEX(MASTER_DATABASE!$E$4:$E$1000,ROW()-3)&amp;"")</f>
        <v/>
      </c>
      <c r="F302" s="7" t="str">
        <f aca="false">IF(INDEX(MASTER_DATABASE!$A$4:$A$1000,ROW()-3)="","",INDEX(MASTER_DATABASE!$F$4:$F$1000,ROW()-3)&amp;"")</f>
        <v/>
      </c>
      <c r="G302" s="7" t="str">
        <f aca="false">IF(INDEX(MASTER_DATABASE!$A$4:$A$1000,ROW()-3)="","",INDEX(MASTER_DATABASE!$AL$4:$AL$1000,ROW()-3)&amp;"")</f>
        <v/>
      </c>
      <c r="H302" s="7" t="str">
        <f aca="false">IF(INDEX(MASTER_DATABASE!$A$4:$A$1000,ROW()-3)="","",INDEX(MASTER_DATABASE!$AM$4:$AM$1000,ROW()-3)&amp;"")</f>
        <v/>
      </c>
      <c r="I302" s="7" t="str">
        <f aca="false">IF(INDEX(MASTER_DATABASE!$A$4:$A$1000,ROW()-3)="","",INDEX(MASTER_DATABASE!$AO$4:$AO$1000,ROW()-3)&amp;"")</f>
        <v/>
      </c>
      <c r="J302" s="7" t="str">
        <f aca="false">IF(INDEX(MASTER_DATABASE!$A$4:$A$1000,ROW()-3)="","",INDEX(MASTER_DATABASE!$BD$4:$BD$1000,ROW()-3)&amp;"")</f>
        <v/>
      </c>
      <c r="K302" s="7" t="str">
        <f aca="false">IF(INDEX(MASTER_DATABASE!$A$4:$A$1000,ROW()-3)="","",INDEX(MASTER_DATABASE!$AX$4:$AX$1000,ROW()-3)&amp;"")</f>
        <v/>
      </c>
      <c r="L302" s="7" t="str">
        <f aca="false">IF(INDEX(MASTER_DATABASE!$A$4:$A$1000,ROW()-3)="","",INDEX(MASTER_DATABASE!$AY$4:$AY$1000,ROW()-3)&amp;"")</f>
        <v/>
      </c>
      <c r="M302" s="7" t="str">
        <f aca="false">IF(INDEX(MASTER_DATABASE!$A$4:$A$1000,ROW()-3)="","",INDEX(MASTER_DATABASE!$AN$4:$AN$1000,ROW()-3)&amp;"")</f>
        <v/>
      </c>
      <c r="N302" s="7" t="str">
        <f aca="false">IF(INDEX(MASTER_DATABASE!$A$4:$A$1000,ROW()-3)="","",INDEX(MASTER_DATABASE!$AZ$4:$AZ$1000,ROW()-3)&amp;"")</f>
        <v/>
      </c>
      <c r="O302" s="7" t="str">
        <f aca="false">IF(INDEX(MASTER_DATABASE!$A$4:$A$1000,ROW()-3)="","",INDEX(MASTER_DATABASE!$BA$4:$BA$1000,ROW()-3)&amp;"")</f>
        <v/>
      </c>
      <c r="P302" s="11" t="str">
        <f aca="false">IF(INDEX(MASTER_DATABASE!$A$4:$A$1000,ROW()-3)="","",INDEX(MASTER_DATABASE!$AP$4:$AP$1000,ROW()-3)&amp;"")</f>
        <v/>
      </c>
      <c r="Q302" s="7" t="str">
        <f aca="false">IF(INDEX(MASTER_DATABASE!$A$4:$A$1000,ROW()-3)="","",INDEX(MASTER_DATABASE!$BB$4:$BB$1000,ROW()-3)&amp;"")</f>
        <v/>
      </c>
      <c r="R302" s="11" t="str">
        <f aca="false">IF(INDEX(MASTER_DATABASE!$A$4:$A$1000,ROW()-3)="","",INDEX(MASTER_DATABASE!$BC$4:$BC$1000,ROW()-3)&amp;"")</f>
        <v/>
      </c>
      <c r="S302" s="11" t="str">
        <f aca="false">IF(INDEX(MASTER_DATABASE!$A$4:$A$1000,ROW()-3)="","",INDEX(MASTER_DATABASE!$AQ$4:$AQ$1000,ROW()-3))</f>
        <v/>
      </c>
      <c r="T302" s="7" t="str">
        <f aca="false">IF(INDEX(MASTER_DATABASE!$A$4:$A$1000,ROW()-3)="","",INDEX(MASTER_DATABASE!$I$4:$I$1000,ROW()-3)&amp;"")</f>
        <v/>
      </c>
      <c r="U302" s="7" t="str">
        <f aca="false">IF(INDEX(MASTER_DATABASE!$A$4:$A$1000,ROW()-3)="","",INDEX(MASTER_DATABASE!$J$4:$J$1000,ROW()-3)&amp;"")</f>
        <v/>
      </c>
      <c r="V302" s="7" t="str">
        <f aca="false">IF(INDEX(MASTER_DATABASE!$A$4:$A$1000,ROW()-3)="","",INDEX(MASTER_DATABASE!$AG$4:$AG$1000,ROW()-3)&amp;"")</f>
        <v/>
      </c>
      <c r="W302" s="7" t="str">
        <f aca="false">IF(INDEX(MASTER_DATABASE!$A$4:$A$1000,ROW()-3)="","",INDEX(MASTER_DATABASE!$AH$4:$AH$1000,ROW()-3)&amp;"")</f>
        <v/>
      </c>
      <c r="X302" s="7" t="str">
        <f aca="false">IF(INDEX(MASTER_DATABASE!$A$4:$A$1000,ROW()-3)="","",INDEX(MASTER_DATABASE!$AI$4:$AI$1000,ROW()-3)&amp;"")</f>
        <v/>
      </c>
      <c r="Y302" s="7" t="str">
        <f aca="false">IF(INDEX(MASTER_DATABASE!$A$4:$A$1000,ROW()-3)="","",INDEX(MASTER_DATABASE!$AJ$4:$AJ$1000,ROW()-3)&amp;"")</f>
        <v/>
      </c>
      <c r="Z302" s="7" t="str">
        <f aca="false">IF(INDEX(MASTER_DATABASE!$A$4:$A$1000,ROW()-3)="","",INDEX(MASTER_DATABASE!$AK$4:$AK$1000,ROW()-3)&amp;"")</f>
        <v/>
      </c>
      <c r="AA302" s="7" t="str">
        <f aca="false">IF(INDEX(MASTER_DATABASE!$A$4:$A$1000,ROW()-3)="","",INDEX(MASTER_DATABASE!$BE$4:$BE$1000,ROW()-3)&amp;"")</f>
        <v/>
      </c>
    </row>
    <row r="303" customFormat="false" ht="15" hidden="false" customHeight="false" outlineLevel="0" collapsed="false">
      <c r="A303" s="11" t="str">
        <f aca="false">IF(INDEX(MASTER_DATABASE!$A$4:$A$1000,ROW()-3)="","",INDEX(MASTER_DATABASE!$A$4:$A$1000,ROW()-3)&amp;"")</f>
        <v/>
      </c>
      <c r="B303" s="7" t="str">
        <f aca="false">IF(INDEX(MASTER_DATABASE!$A$4:$A$1000,ROW()-3)="","",INDEX(MASTER_DATABASE!$B$4:$B$1000,ROW()-3)&amp;"")</f>
        <v/>
      </c>
      <c r="C303" s="7" t="str">
        <f aca="false">IF(INDEX(MASTER_DATABASE!$A$4:$A$1000,ROW()-3)="","",INDEX(MASTER_DATABASE!$C$4:$C$1000,ROW()-3)&amp;"")</f>
        <v/>
      </c>
      <c r="D303" s="7" t="str">
        <f aca="false">IF(INDEX(MASTER_DATABASE!$A$4:$A$1000,ROW()-3)="","",INDEX(MASTER_DATABASE!$D$4:$D$1000,ROW()-3)&amp;"")</f>
        <v/>
      </c>
      <c r="E303" s="7" t="str">
        <f aca="false">IF(INDEX(MASTER_DATABASE!$A$4:$A$1000,ROW()-3)="","",INDEX(MASTER_DATABASE!$E$4:$E$1000,ROW()-3)&amp;"")</f>
        <v/>
      </c>
      <c r="F303" s="7" t="str">
        <f aca="false">IF(INDEX(MASTER_DATABASE!$A$4:$A$1000,ROW()-3)="","",INDEX(MASTER_DATABASE!$F$4:$F$1000,ROW()-3)&amp;"")</f>
        <v/>
      </c>
      <c r="G303" s="7" t="str">
        <f aca="false">IF(INDEX(MASTER_DATABASE!$A$4:$A$1000,ROW()-3)="","",INDEX(MASTER_DATABASE!$AL$4:$AL$1000,ROW()-3)&amp;"")</f>
        <v/>
      </c>
      <c r="H303" s="7" t="str">
        <f aca="false">IF(INDEX(MASTER_DATABASE!$A$4:$A$1000,ROW()-3)="","",INDEX(MASTER_DATABASE!$AM$4:$AM$1000,ROW()-3)&amp;"")</f>
        <v/>
      </c>
      <c r="I303" s="7" t="str">
        <f aca="false">IF(INDEX(MASTER_DATABASE!$A$4:$A$1000,ROW()-3)="","",INDEX(MASTER_DATABASE!$AO$4:$AO$1000,ROW()-3)&amp;"")</f>
        <v/>
      </c>
      <c r="J303" s="7" t="str">
        <f aca="false">IF(INDEX(MASTER_DATABASE!$A$4:$A$1000,ROW()-3)="","",INDEX(MASTER_DATABASE!$BD$4:$BD$1000,ROW()-3)&amp;"")</f>
        <v/>
      </c>
      <c r="K303" s="7" t="str">
        <f aca="false">IF(INDEX(MASTER_DATABASE!$A$4:$A$1000,ROW()-3)="","",INDEX(MASTER_DATABASE!$AX$4:$AX$1000,ROW()-3)&amp;"")</f>
        <v/>
      </c>
      <c r="L303" s="7" t="str">
        <f aca="false">IF(INDEX(MASTER_DATABASE!$A$4:$A$1000,ROW()-3)="","",INDEX(MASTER_DATABASE!$AY$4:$AY$1000,ROW()-3)&amp;"")</f>
        <v/>
      </c>
      <c r="M303" s="7" t="str">
        <f aca="false">IF(INDEX(MASTER_DATABASE!$A$4:$A$1000,ROW()-3)="","",INDEX(MASTER_DATABASE!$AN$4:$AN$1000,ROW()-3)&amp;"")</f>
        <v/>
      </c>
      <c r="N303" s="7" t="str">
        <f aca="false">IF(INDEX(MASTER_DATABASE!$A$4:$A$1000,ROW()-3)="","",INDEX(MASTER_DATABASE!$AZ$4:$AZ$1000,ROW()-3)&amp;"")</f>
        <v/>
      </c>
      <c r="O303" s="7" t="str">
        <f aca="false">IF(INDEX(MASTER_DATABASE!$A$4:$A$1000,ROW()-3)="","",INDEX(MASTER_DATABASE!$BA$4:$BA$1000,ROW()-3)&amp;"")</f>
        <v/>
      </c>
      <c r="P303" s="11" t="str">
        <f aca="false">IF(INDEX(MASTER_DATABASE!$A$4:$A$1000,ROW()-3)="","",INDEX(MASTER_DATABASE!$AP$4:$AP$1000,ROW()-3)&amp;"")</f>
        <v/>
      </c>
      <c r="Q303" s="7" t="str">
        <f aca="false">IF(INDEX(MASTER_DATABASE!$A$4:$A$1000,ROW()-3)="","",INDEX(MASTER_DATABASE!$BB$4:$BB$1000,ROW()-3)&amp;"")</f>
        <v/>
      </c>
      <c r="R303" s="11" t="str">
        <f aca="false">IF(INDEX(MASTER_DATABASE!$A$4:$A$1000,ROW()-3)="","",INDEX(MASTER_DATABASE!$BC$4:$BC$1000,ROW()-3)&amp;"")</f>
        <v/>
      </c>
      <c r="S303" s="11" t="str">
        <f aca="false">IF(INDEX(MASTER_DATABASE!$A$4:$A$1000,ROW()-3)="","",INDEX(MASTER_DATABASE!$AQ$4:$AQ$1000,ROW()-3))</f>
        <v/>
      </c>
      <c r="T303" s="7" t="str">
        <f aca="false">IF(INDEX(MASTER_DATABASE!$A$4:$A$1000,ROW()-3)="","",INDEX(MASTER_DATABASE!$I$4:$I$1000,ROW()-3)&amp;"")</f>
        <v/>
      </c>
      <c r="U303" s="7" t="str">
        <f aca="false">IF(INDEX(MASTER_DATABASE!$A$4:$A$1000,ROW()-3)="","",INDEX(MASTER_DATABASE!$J$4:$J$1000,ROW()-3)&amp;"")</f>
        <v/>
      </c>
      <c r="V303" s="7" t="str">
        <f aca="false">IF(INDEX(MASTER_DATABASE!$A$4:$A$1000,ROW()-3)="","",INDEX(MASTER_DATABASE!$AG$4:$AG$1000,ROW()-3)&amp;"")</f>
        <v/>
      </c>
      <c r="W303" s="7" t="str">
        <f aca="false">IF(INDEX(MASTER_DATABASE!$A$4:$A$1000,ROW()-3)="","",INDEX(MASTER_DATABASE!$AH$4:$AH$1000,ROW()-3)&amp;"")</f>
        <v/>
      </c>
      <c r="X303" s="7" t="str">
        <f aca="false">IF(INDEX(MASTER_DATABASE!$A$4:$A$1000,ROW()-3)="","",INDEX(MASTER_DATABASE!$AI$4:$AI$1000,ROW()-3)&amp;"")</f>
        <v/>
      </c>
      <c r="Y303" s="7" t="str">
        <f aca="false">IF(INDEX(MASTER_DATABASE!$A$4:$A$1000,ROW()-3)="","",INDEX(MASTER_DATABASE!$AJ$4:$AJ$1000,ROW()-3)&amp;"")</f>
        <v/>
      </c>
      <c r="Z303" s="7" t="str">
        <f aca="false">IF(INDEX(MASTER_DATABASE!$A$4:$A$1000,ROW()-3)="","",INDEX(MASTER_DATABASE!$AK$4:$AK$1000,ROW()-3)&amp;"")</f>
        <v/>
      </c>
      <c r="AA303" s="7" t="str">
        <f aca="false">IF(INDEX(MASTER_DATABASE!$A$4:$A$1000,ROW()-3)="","",INDEX(MASTER_DATABASE!$BE$4:$BE$1000,ROW()-3)&amp;"")</f>
        <v/>
      </c>
    </row>
    <row r="304" customFormat="false" ht="15" hidden="false" customHeight="false" outlineLevel="0" collapsed="false">
      <c r="A304" s="11" t="str">
        <f aca="false">IF(INDEX(MASTER_DATABASE!$A$4:$A$1000,ROW()-3)="","",INDEX(MASTER_DATABASE!$A$4:$A$1000,ROW()-3)&amp;"")</f>
        <v/>
      </c>
      <c r="B304" s="7" t="str">
        <f aca="false">IF(INDEX(MASTER_DATABASE!$A$4:$A$1000,ROW()-3)="","",INDEX(MASTER_DATABASE!$B$4:$B$1000,ROW()-3)&amp;"")</f>
        <v/>
      </c>
      <c r="C304" s="7" t="str">
        <f aca="false">IF(INDEX(MASTER_DATABASE!$A$4:$A$1000,ROW()-3)="","",INDEX(MASTER_DATABASE!$C$4:$C$1000,ROW()-3)&amp;"")</f>
        <v/>
      </c>
      <c r="D304" s="7" t="str">
        <f aca="false">IF(INDEX(MASTER_DATABASE!$A$4:$A$1000,ROW()-3)="","",INDEX(MASTER_DATABASE!$D$4:$D$1000,ROW()-3)&amp;"")</f>
        <v/>
      </c>
      <c r="E304" s="7" t="str">
        <f aca="false">IF(INDEX(MASTER_DATABASE!$A$4:$A$1000,ROW()-3)="","",INDEX(MASTER_DATABASE!$E$4:$E$1000,ROW()-3)&amp;"")</f>
        <v/>
      </c>
      <c r="F304" s="7" t="str">
        <f aca="false">IF(INDEX(MASTER_DATABASE!$A$4:$A$1000,ROW()-3)="","",INDEX(MASTER_DATABASE!$F$4:$F$1000,ROW()-3)&amp;"")</f>
        <v/>
      </c>
      <c r="G304" s="7" t="str">
        <f aca="false">IF(INDEX(MASTER_DATABASE!$A$4:$A$1000,ROW()-3)="","",INDEX(MASTER_DATABASE!$AL$4:$AL$1000,ROW()-3)&amp;"")</f>
        <v/>
      </c>
      <c r="H304" s="7" t="str">
        <f aca="false">IF(INDEX(MASTER_DATABASE!$A$4:$A$1000,ROW()-3)="","",INDEX(MASTER_DATABASE!$AM$4:$AM$1000,ROW()-3)&amp;"")</f>
        <v/>
      </c>
      <c r="I304" s="7" t="str">
        <f aca="false">IF(INDEX(MASTER_DATABASE!$A$4:$A$1000,ROW()-3)="","",INDEX(MASTER_DATABASE!$AO$4:$AO$1000,ROW()-3)&amp;"")</f>
        <v/>
      </c>
      <c r="J304" s="7" t="str">
        <f aca="false">IF(INDEX(MASTER_DATABASE!$A$4:$A$1000,ROW()-3)="","",INDEX(MASTER_DATABASE!$BD$4:$BD$1000,ROW()-3)&amp;"")</f>
        <v/>
      </c>
      <c r="K304" s="7" t="str">
        <f aca="false">IF(INDEX(MASTER_DATABASE!$A$4:$A$1000,ROW()-3)="","",INDEX(MASTER_DATABASE!$AX$4:$AX$1000,ROW()-3)&amp;"")</f>
        <v/>
      </c>
      <c r="L304" s="7" t="str">
        <f aca="false">IF(INDEX(MASTER_DATABASE!$A$4:$A$1000,ROW()-3)="","",INDEX(MASTER_DATABASE!$AY$4:$AY$1000,ROW()-3)&amp;"")</f>
        <v/>
      </c>
      <c r="M304" s="7" t="str">
        <f aca="false">IF(INDEX(MASTER_DATABASE!$A$4:$A$1000,ROW()-3)="","",INDEX(MASTER_DATABASE!$AN$4:$AN$1000,ROW()-3)&amp;"")</f>
        <v/>
      </c>
      <c r="N304" s="7" t="str">
        <f aca="false">IF(INDEX(MASTER_DATABASE!$A$4:$A$1000,ROW()-3)="","",INDEX(MASTER_DATABASE!$AZ$4:$AZ$1000,ROW()-3)&amp;"")</f>
        <v/>
      </c>
      <c r="O304" s="7" t="str">
        <f aca="false">IF(INDEX(MASTER_DATABASE!$A$4:$A$1000,ROW()-3)="","",INDEX(MASTER_DATABASE!$BA$4:$BA$1000,ROW()-3)&amp;"")</f>
        <v/>
      </c>
      <c r="P304" s="11" t="str">
        <f aca="false">IF(INDEX(MASTER_DATABASE!$A$4:$A$1000,ROW()-3)="","",INDEX(MASTER_DATABASE!$AP$4:$AP$1000,ROW()-3)&amp;"")</f>
        <v/>
      </c>
      <c r="Q304" s="7" t="str">
        <f aca="false">IF(INDEX(MASTER_DATABASE!$A$4:$A$1000,ROW()-3)="","",INDEX(MASTER_DATABASE!$BB$4:$BB$1000,ROW()-3)&amp;"")</f>
        <v/>
      </c>
      <c r="R304" s="11" t="str">
        <f aca="false">IF(INDEX(MASTER_DATABASE!$A$4:$A$1000,ROW()-3)="","",INDEX(MASTER_DATABASE!$BC$4:$BC$1000,ROW()-3)&amp;"")</f>
        <v/>
      </c>
      <c r="S304" s="11" t="str">
        <f aca="false">IF(INDEX(MASTER_DATABASE!$A$4:$A$1000,ROW()-3)="","",INDEX(MASTER_DATABASE!$AQ$4:$AQ$1000,ROW()-3))</f>
        <v/>
      </c>
      <c r="T304" s="7" t="str">
        <f aca="false">IF(INDEX(MASTER_DATABASE!$A$4:$A$1000,ROW()-3)="","",INDEX(MASTER_DATABASE!$I$4:$I$1000,ROW()-3)&amp;"")</f>
        <v/>
      </c>
      <c r="U304" s="7" t="str">
        <f aca="false">IF(INDEX(MASTER_DATABASE!$A$4:$A$1000,ROW()-3)="","",INDEX(MASTER_DATABASE!$J$4:$J$1000,ROW()-3)&amp;"")</f>
        <v/>
      </c>
      <c r="V304" s="7" t="str">
        <f aca="false">IF(INDEX(MASTER_DATABASE!$A$4:$A$1000,ROW()-3)="","",INDEX(MASTER_DATABASE!$AG$4:$AG$1000,ROW()-3)&amp;"")</f>
        <v/>
      </c>
      <c r="W304" s="7" t="str">
        <f aca="false">IF(INDEX(MASTER_DATABASE!$A$4:$A$1000,ROW()-3)="","",INDEX(MASTER_DATABASE!$AH$4:$AH$1000,ROW()-3)&amp;"")</f>
        <v/>
      </c>
      <c r="X304" s="7" t="str">
        <f aca="false">IF(INDEX(MASTER_DATABASE!$A$4:$A$1000,ROW()-3)="","",INDEX(MASTER_DATABASE!$AI$4:$AI$1000,ROW()-3)&amp;"")</f>
        <v/>
      </c>
      <c r="Y304" s="7" t="str">
        <f aca="false">IF(INDEX(MASTER_DATABASE!$A$4:$A$1000,ROW()-3)="","",INDEX(MASTER_DATABASE!$AJ$4:$AJ$1000,ROW()-3)&amp;"")</f>
        <v/>
      </c>
      <c r="Z304" s="7" t="str">
        <f aca="false">IF(INDEX(MASTER_DATABASE!$A$4:$A$1000,ROW()-3)="","",INDEX(MASTER_DATABASE!$AK$4:$AK$1000,ROW()-3)&amp;"")</f>
        <v/>
      </c>
      <c r="AA304" s="7" t="str">
        <f aca="false">IF(INDEX(MASTER_DATABASE!$A$4:$A$1000,ROW()-3)="","",INDEX(MASTER_DATABASE!$BE$4:$BE$1000,ROW()-3)&amp;"")</f>
        <v/>
      </c>
    </row>
    <row r="305" customFormat="false" ht="15" hidden="false" customHeight="false" outlineLevel="0" collapsed="false">
      <c r="A305" s="11" t="str">
        <f aca="false">IF(INDEX(MASTER_DATABASE!$A$4:$A$1000,ROW()-3)="","",INDEX(MASTER_DATABASE!$A$4:$A$1000,ROW()-3)&amp;"")</f>
        <v/>
      </c>
      <c r="B305" s="7" t="str">
        <f aca="false">IF(INDEX(MASTER_DATABASE!$A$4:$A$1000,ROW()-3)="","",INDEX(MASTER_DATABASE!$B$4:$B$1000,ROW()-3)&amp;"")</f>
        <v/>
      </c>
      <c r="C305" s="7" t="str">
        <f aca="false">IF(INDEX(MASTER_DATABASE!$A$4:$A$1000,ROW()-3)="","",INDEX(MASTER_DATABASE!$C$4:$C$1000,ROW()-3)&amp;"")</f>
        <v/>
      </c>
      <c r="D305" s="7" t="str">
        <f aca="false">IF(INDEX(MASTER_DATABASE!$A$4:$A$1000,ROW()-3)="","",INDEX(MASTER_DATABASE!$D$4:$D$1000,ROW()-3)&amp;"")</f>
        <v/>
      </c>
      <c r="E305" s="7" t="str">
        <f aca="false">IF(INDEX(MASTER_DATABASE!$A$4:$A$1000,ROW()-3)="","",INDEX(MASTER_DATABASE!$E$4:$E$1000,ROW()-3)&amp;"")</f>
        <v/>
      </c>
      <c r="F305" s="7" t="str">
        <f aca="false">IF(INDEX(MASTER_DATABASE!$A$4:$A$1000,ROW()-3)="","",INDEX(MASTER_DATABASE!$F$4:$F$1000,ROW()-3)&amp;"")</f>
        <v/>
      </c>
      <c r="G305" s="7" t="str">
        <f aca="false">IF(INDEX(MASTER_DATABASE!$A$4:$A$1000,ROW()-3)="","",INDEX(MASTER_DATABASE!$AL$4:$AL$1000,ROW()-3)&amp;"")</f>
        <v/>
      </c>
      <c r="H305" s="7" t="str">
        <f aca="false">IF(INDEX(MASTER_DATABASE!$A$4:$A$1000,ROW()-3)="","",INDEX(MASTER_DATABASE!$AM$4:$AM$1000,ROW()-3)&amp;"")</f>
        <v/>
      </c>
      <c r="I305" s="7" t="str">
        <f aca="false">IF(INDEX(MASTER_DATABASE!$A$4:$A$1000,ROW()-3)="","",INDEX(MASTER_DATABASE!$AO$4:$AO$1000,ROW()-3)&amp;"")</f>
        <v/>
      </c>
      <c r="J305" s="7" t="str">
        <f aca="false">IF(INDEX(MASTER_DATABASE!$A$4:$A$1000,ROW()-3)="","",INDEX(MASTER_DATABASE!$BD$4:$BD$1000,ROW()-3)&amp;"")</f>
        <v/>
      </c>
      <c r="K305" s="7" t="str">
        <f aca="false">IF(INDEX(MASTER_DATABASE!$A$4:$A$1000,ROW()-3)="","",INDEX(MASTER_DATABASE!$AX$4:$AX$1000,ROW()-3)&amp;"")</f>
        <v/>
      </c>
      <c r="L305" s="7" t="str">
        <f aca="false">IF(INDEX(MASTER_DATABASE!$A$4:$A$1000,ROW()-3)="","",INDEX(MASTER_DATABASE!$AY$4:$AY$1000,ROW()-3)&amp;"")</f>
        <v/>
      </c>
      <c r="M305" s="7" t="str">
        <f aca="false">IF(INDEX(MASTER_DATABASE!$A$4:$A$1000,ROW()-3)="","",INDEX(MASTER_DATABASE!$AN$4:$AN$1000,ROW()-3)&amp;"")</f>
        <v/>
      </c>
      <c r="N305" s="7" t="str">
        <f aca="false">IF(INDEX(MASTER_DATABASE!$A$4:$A$1000,ROW()-3)="","",INDEX(MASTER_DATABASE!$AZ$4:$AZ$1000,ROW()-3)&amp;"")</f>
        <v/>
      </c>
      <c r="O305" s="7" t="str">
        <f aca="false">IF(INDEX(MASTER_DATABASE!$A$4:$A$1000,ROW()-3)="","",INDEX(MASTER_DATABASE!$BA$4:$BA$1000,ROW()-3)&amp;"")</f>
        <v/>
      </c>
      <c r="P305" s="11" t="str">
        <f aca="false">IF(INDEX(MASTER_DATABASE!$A$4:$A$1000,ROW()-3)="","",INDEX(MASTER_DATABASE!$AP$4:$AP$1000,ROW()-3)&amp;"")</f>
        <v/>
      </c>
      <c r="Q305" s="7" t="str">
        <f aca="false">IF(INDEX(MASTER_DATABASE!$A$4:$A$1000,ROW()-3)="","",INDEX(MASTER_DATABASE!$BB$4:$BB$1000,ROW()-3)&amp;"")</f>
        <v/>
      </c>
      <c r="R305" s="11" t="str">
        <f aca="false">IF(INDEX(MASTER_DATABASE!$A$4:$A$1000,ROW()-3)="","",INDEX(MASTER_DATABASE!$BC$4:$BC$1000,ROW()-3)&amp;"")</f>
        <v/>
      </c>
      <c r="S305" s="11" t="str">
        <f aca="false">IF(INDEX(MASTER_DATABASE!$A$4:$A$1000,ROW()-3)="","",INDEX(MASTER_DATABASE!$AQ$4:$AQ$1000,ROW()-3))</f>
        <v/>
      </c>
      <c r="T305" s="7" t="str">
        <f aca="false">IF(INDEX(MASTER_DATABASE!$A$4:$A$1000,ROW()-3)="","",INDEX(MASTER_DATABASE!$I$4:$I$1000,ROW()-3)&amp;"")</f>
        <v/>
      </c>
      <c r="U305" s="7" t="str">
        <f aca="false">IF(INDEX(MASTER_DATABASE!$A$4:$A$1000,ROW()-3)="","",INDEX(MASTER_DATABASE!$J$4:$J$1000,ROW()-3)&amp;"")</f>
        <v/>
      </c>
      <c r="V305" s="7" t="str">
        <f aca="false">IF(INDEX(MASTER_DATABASE!$A$4:$A$1000,ROW()-3)="","",INDEX(MASTER_DATABASE!$AG$4:$AG$1000,ROW()-3)&amp;"")</f>
        <v/>
      </c>
      <c r="W305" s="7" t="str">
        <f aca="false">IF(INDEX(MASTER_DATABASE!$A$4:$A$1000,ROW()-3)="","",INDEX(MASTER_DATABASE!$AH$4:$AH$1000,ROW()-3)&amp;"")</f>
        <v/>
      </c>
      <c r="X305" s="7" t="str">
        <f aca="false">IF(INDEX(MASTER_DATABASE!$A$4:$A$1000,ROW()-3)="","",INDEX(MASTER_DATABASE!$AI$4:$AI$1000,ROW()-3)&amp;"")</f>
        <v/>
      </c>
      <c r="Y305" s="7" t="str">
        <f aca="false">IF(INDEX(MASTER_DATABASE!$A$4:$A$1000,ROW()-3)="","",INDEX(MASTER_DATABASE!$AJ$4:$AJ$1000,ROW()-3)&amp;"")</f>
        <v/>
      </c>
      <c r="Z305" s="7" t="str">
        <f aca="false">IF(INDEX(MASTER_DATABASE!$A$4:$A$1000,ROW()-3)="","",INDEX(MASTER_DATABASE!$AK$4:$AK$1000,ROW()-3)&amp;"")</f>
        <v/>
      </c>
      <c r="AA305" s="7" t="str">
        <f aca="false">IF(INDEX(MASTER_DATABASE!$A$4:$A$1000,ROW()-3)="","",INDEX(MASTER_DATABASE!$BE$4:$BE$1000,ROW()-3)&amp;"")</f>
        <v/>
      </c>
    </row>
    <row r="306" customFormat="false" ht="15" hidden="false" customHeight="false" outlineLevel="0" collapsed="false">
      <c r="A306" s="11" t="str">
        <f aca="false">IF(INDEX(MASTER_DATABASE!$A$4:$A$1000,ROW()-3)="","",INDEX(MASTER_DATABASE!$A$4:$A$1000,ROW()-3)&amp;"")</f>
        <v/>
      </c>
      <c r="B306" s="7" t="str">
        <f aca="false">IF(INDEX(MASTER_DATABASE!$A$4:$A$1000,ROW()-3)="","",INDEX(MASTER_DATABASE!$B$4:$B$1000,ROW()-3)&amp;"")</f>
        <v/>
      </c>
      <c r="C306" s="7" t="str">
        <f aca="false">IF(INDEX(MASTER_DATABASE!$A$4:$A$1000,ROW()-3)="","",INDEX(MASTER_DATABASE!$C$4:$C$1000,ROW()-3)&amp;"")</f>
        <v/>
      </c>
      <c r="D306" s="7" t="str">
        <f aca="false">IF(INDEX(MASTER_DATABASE!$A$4:$A$1000,ROW()-3)="","",INDEX(MASTER_DATABASE!$D$4:$D$1000,ROW()-3)&amp;"")</f>
        <v/>
      </c>
      <c r="E306" s="7" t="str">
        <f aca="false">IF(INDEX(MASTER_DATABASE!$A$4:$A$1000,ROW()-3)="","",INDEX(MASTER_DATABASE!$E$4:$E$1000,ROW()-3)&amp;"")</f>
        <v/>
      </c>
      <c r="F306" s="7" t="str">
        <f aca="false">IF(INDEX(MASTER_DATABASE!$A$4:$A$1000,ROW()-3)="","",INDEX(MASTER_DATABASE!$F$4:$F$1000,ROW()-3)&amp;"")</f>
        <v/>
      </c>
      <c r="G306" s="7" t="str">
        <f aca="false">IF(INDEX(MASTER_DATABASE!$A$4:$A$1000,ROW()-3)="","",INDEX(MASTER_DATABASE!$AL$4:$AL$1000,ROW()-3)&amp;"")</f>
        <v/>
      </c>
      <c r="H306" s="7" t="str">
        <f aca="false">IF(INDEX(MASTER_DATABASE!$A$4:$A$1000,ROW()-3)="","",INDEX(MASTER_DATABASE!$AM$4:$AM$1000,ROW()-3)&amp;"")</f>
        <v/>
      </c>
      <c r="I306" s="7" t="str">
        <f aca="false">IF(INDEX(MASTER_DATABASE!$A$4:$A$1000,ROW()-3)="","",INDEX(MASTER_DATABASE!$AO$4:$AO$1000,ROW()-3)&amp;"")</f>
        <v/>
      </c>
      <c r="J306" s="7" t="str">
        <f aca="false">IF(INDEX(MASTER_DATABASE!$A$4:$A$1000,ROW()-3)="","",INDEX(MASTER_DATABASE!$BD$4:$BD$1000,ROW()-3)&amp;"")</f>
        <v/>
      </c>
      <c r="K306" s="7" t="str">
        <f aca="false">IF(INDEX(MASTER_DATABASE!$A$4:$A$1000,ROW()-3)="","",INDEX(MASTER_DATABASE!$AX$4:$AX$1000,ROW()-3)&amp;"")</f>
        <v/>
      </c>
      <c r="L306" s="7" t="str">
        <f aca="false">IF(INDEX(MASTER_DATABASE!$A$4:$A$1000,ROW()-3)="","",INDEX(MASTER_DATABASE!$AY$4:$AY$1000,ROW()-3)&amp;"")</f>
        <v/>
      </c>
      <c r="M306" s="7" t="str">
        <f aca="false">IF(INDEX(MASTER_DATABASE!$A$4:$A$1000,ROW()-3)="","",INDEX(MASTER_DATABASE!$AN$4:$AN$1000,ROW()-3)&amp;"")</f>
        <v/>
      </c>
      <c r="N306" s="7" t="str">
        <f aca="false">IF(INDEX(MASTER_DATABASE!$A$4:$A$1000,ROW()-3)="","",INDEX(MASTER_DATABASE!$AZ$4:$AZ$1000,ROW()-3)&amp;"")</f>
        <v/>
      </c>
      <c r="O306" s="7" t="str">
        <f aca="false">IF(INDEX(MASTER_DATABASE!$A$4:$A$1000,ROW()-3)="","",INDEX(MASTER_DATABASE!$BA$4:$BA$1000,ROW()-3)&amp;"")</f>
        <v/>
      </c>
      <c r="P306" s="11" t="str">
        <f aca="false">IF(INDEX(MASTER_DATABASE!$A$4:$A$1000,ROW()-3)="","",INDEX(MASTER_DATABASE!$AP$4:$AP$1000,ROW()-3)&amp;"")</f>
        <v/>
      </c>
      <c r="Q306" s="7" t="str">
        <f aca="false">IF(INDEX(MASTER_DATABASE!$A$4:$A$1000,ROW()-3)="","",INDEX(MASTER_DATABASE!$BB$4:$BB$1000,ROW()-3)&amp;"")</f>
        <v/>
      </c>
      <c r="R306" s="11" t="str">
        <f aca="false">IF(INDEX(MASTER_DATABASE!$A$4:$A$1000,ROW()-3)="","",INDEX(MASTER_DATABASE!$BC$4:$BC$1000,ROW()-3)&amp;"")</f>
        <v/>
      </c>
      <c r="S306" s="11" t="str">
        <f aca="false">IF(INDEX(MASTER_DATABASE!$A$4:$A$1000,ROW()-3)="","",INDEX(MASTER_DATABASE!$AQ$4:$AQ$1000,ROW()-3))</f>
        <v/>
      </c>
      <c r="T306" s="7" t="str">
        <f aca="false">IF(INDEX(MASTER_DATABASE!$A$4:$A$1000,ROW()-3)="","",INDEX(MASTER_DATABASE!$I$4:$I$1000,ROW()-3)&amp;"")</f>
        <v/>
      </c>
      <c r="U306" s="7" t="str">
        <f aca="false">IF(INDEX(MASTER_DATABASE!$A$4:$A$1000,ROW()-3)="","",INDEX(MASTER_DATABASE!$J$4:$J$1000,ROW()-3)&amp;"")</f>
        <v/>
      </c>
      <c r="V306" s="7" t="str">
        <f aca="false">IF(INDEX(MASTER_DATABASE!$A$4:$A$1000,ROW()-3)="","",INDEX(MASTER_DATABASE!$AG$4:$AG$1000,ROW()-3)&amp;"")</f>
        <v/>
      </c>
      <c r="W306" s="7" t="str">
        <f aca="false">IF(INDEX(MASTER_DATABASE!$A$4:$A$1000,ROW()-3)="","",INDEX(MASTER_DATABASE!$AH$4:$AH$1000,ROW()-3)&amp;"")</f>
        <v/>
      </c>
      <c r="X306" s="7" t="str">
        <f aca="false">IF(INDEX(MASTER_DATABASE!$A$4:$A$1000,ROW()-3)="","",INDEX(MASTER_DATABASE!$AI$4:$AI$1000,ROW()-3)&amp;"")</f>
        <v/>
      </c>
      <c r="Y306" s="7" t="str">
        <f aca="false">IF(INDEX(MASTER_DATABASE!$A$4:$A$1000,ROW()-3)="","",INDEX(MASTER_DATABASE!$AJ$4:$AJ$1000,ROW()-3)&amp;"")</f>
        <v/>
      </c>
      <c r="Z306" s="7" t="str">
        <f aca="false">IF(INDEX(MASTER_DATABASE!$A$4:$A$1000,ROW()-3)="","",INDEX(MASTER_DATABASE!$AK$4:$AK$1000,ROW()-3)&amp;"")</f>
        <v/>
      </c>
      <c r="AA306" s="7" t="str">
        <f aca="false">IF(INDEX(MASTER_DATABASE!$A$4:$A$1000,ROW()-3)="","",INDEX(MASTER_DATABASE!$BE$4:$BE$1000,ROW()-3)&amp;"")</f>
        <v/>
      </c>
    </row>
    <row r="307" customFormat="false" ht="15" hidden="false" customHeight="false" outlineLevel="0" collapsed="false">
      <c r="A307" s="11" t="str">
        <f aca="false">IF(INDEX(MASTER_DATABASE!$A$4:$A$1000,ROW()-3)="","",INDEX(MASTER_DATABASE!$A$4:$A$1000,ROW()-3)&amp;"")</f>
        <v/>
      </c>
      <c r="B307" s="7" t="str">
        <f aca="false">IF(INDEX(MASTER_DATABASE!$A$4:$A$1000,ROW()-3)="","",INDEX(MASTER_DATABASE!$B$4:$B$1000,ROW()-3)&amp;"")</f>
        <v/>
      </c>
      <c r="C307" s="7" t="str">
        <f aca="false">IF(INDEX(MASTER_DATABASE!$A$4:$A$1000,ROW()-3)="","",INDEX(MASTER_DATABASE!$C$4:$C$1000,ROW()-3)&amp;"")</f>
        <v/>
      </c>
      <c r="D307" s="7" t="str">
        <f aca="false">IF(INDEX(MASTER_DATABASE!$A$4:$A$1000,ROW()-3)="","",INDEX(MASTER_DATABASE!$D$4:$D$1000,ROW()-3)&amp;"")</f>
        <v/>
      </c>
      <c r="E307" s="7" t="str">
        <f aca="false">IF(INDEX(MASTER_DATABASE!$A$4:$A$1000,ROW()-3)="","",INDEX(MASTER_DATABASE!$E$4:$E$1000,ROW()-3)&amp;"")</f>
        <v/>
      </c>
      <c r="F307" s="7" t="str">
        <f aca="false">IF(INDEX(MASTER_DATABASE!$A$4:$A$1000,ROW()-3)="","",INDEX(MASTER_DATABASE!$F$4:$F$1000,ROW()-3)&amp;"")</f>
        <v/>
      </c>
      <c r="G307" s="7" t="str">
        <f aca="false">IF(INDEX(MASTER_DATABASE!$A$4:$A$1000,ROW()-3)="","",INDEX(MASTER_DATABASE!$AL$4:$AL$1000,ROW()-3)&amp;"")</f>
        <v/>
      </c>
      <c r="H307" s="7" t="str">
        <f aca="false">IF(INDEX(MASTER_DATABASE!$A$4:$A$1000,ROW()-3)="","",INDEX(MASTER_DATABASE!$AM$4:$AM$1000,ROW()-3)&amp;"")</f>
        <v/>
      </c>
      <c r="I307" s="7" t="str">
        <f aca="false">IF(INDEX(MASTER_DATABASE!$A$4:$A$1000,ROW()-3)="","",INDEX(MASTER_DATABASE!$AO$4:$AO$1000,ROW()-3)&amp;"")</f>
        <v/>
      </c>
      <c r="J307" s="7" t="str">
        <f aca="false">IF(INDEX(MASTER_DATABASE!$A$4:$A$1000,ROW()-3)="","",INDEX(MASTER_DATABASE!$BD$4:$BD$1000,ROW()-3)&amp;"")</f>
        <v/>
      </c>
      <c r="K307" s="7" t="str">
        <f aca="false">IF(INDEX(MASTER_DATABASE!$A$4:$A$1000,ROW()-3)="","",INDEX(MASTER_DATABASE!$AX$4:$AX$1000,ROW()-3)&amp;"")</f>
        <v/>
      </c>
      <c r="L307" s="7" t="str">
        <f aca="false">IF(INDEX(MASTER_DATABASE!$A$4:$A$1000,ROW()-3)="","",INDEX(MASTER_DATABASE!$AY$4:$AY$1000,ROW()-3)&amp;"")</f>
        <v/>
      </c>
      <c r="M307" s="7" t="str">
        <f aca="false">IF(INDEX(MASTER_DATABASE!$A$4:$A$1000,ROW()-3)="","",INDEX(MASTER_DATABASE!$AN$4:$AN$1000,ROW()-3)&amp;"")</f>
        <v/>
      </c>
      <c r="N307" s="7" t="str">
        <f aca="false">IF(INDEX(MASTER_DATABASE!$A$4:$A$1000,ROW()-3)="","",INDEX(MASTER_DATABASE!$AZ$4:$AZ$1000,ROW()-3)&amp;"")</f>
        <v/>
      </c>
      <c r="O307" s="7" t="str">
        <f aca="false">IF(INDEX(MASTER_DATABASE!$A$4:$A$1000,ROW()-3)="","",INDEX(MASTER_DATABASE!$BA$4:$BA$1000,ROW()-3)&amp;"")</f>
        <v/>
      </c>
      <c r="P307" s="11" t="str">
        <f aca="false">IF(INDEX(MASTER_DATABASE!$A$4:$A$1000,ROW()-3)="","",INDEX(MASTER_DATABASE!$AP$4:$AP$1000,ROW()-3)&amp;"")</f>
        <v/>
      </c>
      <c r="Q307" s="7" t="str">
        <f aca="false">IF(INDEX(MASTER_DATABASE!$A$4:$A$1000,ROW()-3)="","",INDEX(MASTER_DATABASE!$BB$4:$BB$1000,ROW()-3)&amp;"")</f>
        <v/>
      </c>
      <c r="R307" s="11" t="str">
        <f aca="false">IF(INDEX(MASTER_DATABASE!$A$4:$A$1000,ROW()-3)="","",INDEX(MASTER_DATABASE!$BC$4:$BC$1000,ROW()-3)&amp;"")</f>
        <v/>
      </c>
      <c r="S307" s="11" t="str">
        <f aca="false">IF(INDEX(MASTER_DATABASE!$A$4:$A$1000,ROW()-3)="","",INDEX(MASTER_DATABASE!$AQ$4:$AQ$1000,ROW()-3))</f>
        <v/>
      </c>
      <c r="T307" s="7" t="str">
        <f aca="false">IF(INDEX(MASTER_DATABASE!$A$4:$A$1000,ROW()-3)="","",INDEX(MASTER_DATABASE!$I$4:$I$1000,ROW()-3)&amp;"")</f>
        <v/>
      </c>
      <c r="U307" s="7" t="str">
        <f aca="false">IF(INDEX(MASTER_DATABASE!$A$4:$A$1000,ROW()-3)="","",INDEX(MASTER_DATABASE!$J$4:$J$1000,ROW()-3)&amp;"")</f>
        <v/>
      </c>
      <c r="V307" s="7" t="str">
        <f aca="false">IF(INDEX(MASTER_DATABASE!$A$4:$A$1000,ROW()-3)="","",INDEX(MASTER_DATABASE!$AG$4:$AG$1000,ROW()-3)&amp;"")</f>
        <v/>
      </c>
      <c r="W307" s="7" t="str">
        <f aca="false">IF(INDEX(MASTER_DATABASE!$A$4:$A$1000,ROW()-3)="","",INDEX(MASTER_DATABASE!$AH$4:$AH$1000,ROW()-3)&amp;"")</f>
        <v/>
      </c>
      <c r="X307" s="7" t="str">
        <f aca="false">IF(INDEX(MASTER_DATABASE!$A$4:$A$1000,ROW()-3)="","",INDEX(MASTER_DATABASE!$AI$4:$AI$1000,ROW()-3)&amp;"")</f>
        <v/>
      </c>
      <c r="Y307" s="7" t="str">
        <f aca="false">IF(INDEX(MASTER_DATABASE!$A$4:$A$1000,ROW()-3)="","",INDEX(MASTER_DATABASE!$AJ$4:$AJ$1000,ROW()-3)&amp;"")</f>
        <v/>
      </c>
      <c r="Z307" s="7" t="str">
        <f aca="false">IF(INDEX(MASTER_DATABASE!$A$4:$A$1000,ROW()-3)="","",INDEX(MASTER_DATABASE!$AK$4:$AK$1000,ROW()-3)&amp;"")</f>
        <v/>
      </c>
      <c r="AA307" s="7" t="str">
        <f aca="false">IF(INDEX(MASTER_DATABASE!$A$4:$A$1000,ROW()-3)="","",INDEX(MASTER_DATABASE!$BE$4:$BE$1000,ROW()-3)&amp;"")</f>
        <v/>
      </c>
    </row>
    <row r="308" customFormat="false" ht="15" hidden="false" customHeight="false" outlineLevel="0" collapsed="false">
      <c r="A308" s="11" t="str">
        <f aca="false">IF(INDEX(MASTER_DATABASE!$A$4:$A$1000,ROW()-3)="","",INDEX(MASTER_DATABASE!$A$4:$A$1000,ROW()-3)&amp;"")</f>
        <v/>
      </c>
      <c r="B308" s="7" t="str">
        <f aca="false">IF(INDEX(MASTER_DATABASE!$A$4:$A$1000,ROW()-3)="","",INDEX(MASTER_DATABASE!$B$4:$B$1000,ROW()-3)&amp;"")</f>
        <v/>
      </c>
      <c r="C308" s="7" t="str">
        <f aca="false">IF(INDEX(MASTER_DATABASE!$A$4:$A$1000,ROW()-3)="","",INDEX(MASTER_DATABASE!$C$4:$C$1000,ROW()-3)&amp;"")</f>
        <v/>
      </c>
      <c r="D308" s="7" t="str">
        <f aca="false">IF(INDEX(MASTER_DATABASE!$A$4:$A$1000,ROW()-3)="","",INDEX(MASTER_DATABASE!$D$4:$D$1000,ROW()-3)&amp;"")</f>
        <v/>
      </c>
      <c r="E308" s="7" t="str">
        <f aca="false">IF(INDEX(MASTER_DATABASE!$A$4:$A$1000,ROW()-3)="","",INDEX(MASTER_DATABASE!$E$4:$E$1000,ROW()-3)&amp;"")</f>
        <v/>
      </c>
      <c r="F308" s="7" t="str">
        <f aca="false">IF(INDEX(MASTER_DATABASE!$A$4:$A$1000,ROW()-3)="","",INDEX(MASTER_DATABASE!$F$4:$F$1000,ROW()-3)&amp;"")</f>
        <v/>
      </c>
      <c r="G308" s="7" t="str">
        <f aca="false">IF(INDEX(MASTER_DATABASE!$A$4:$A$1000,ROW()-3)="","",INDEX(MASTER_DATABASE!$AL$4:$AL$1000,ROW()-3)&amp;"")</f>
        <v/>
      </c>
      <c r="H308" s="7" t="str">
        <f aca="false">IF(INDEX(MASTER_DATABASE!$A$4:$A$1000,ROW()-3)="","",INDEX(MASTER_DATABASE!$AM$4:$AM$1000,ROW()-3)&amp;"")</f>
        <v/>
      </c>
      <c r="I308" s="7" t="str">
        <f aca="false">IF(INDEX(MASTER_DATABASE!$A$4:$A$1000,ROW()-3)="","",INDEX(MASTER_DATABASE!$AO$4:$AO$1000,ROW()-3)&amp;"")</f>
        <v/>
      </c>
      <c r="J308" s="7" t="str">
        <f aca="false">IF(INDEX(MASTER_DATABASE!$A$4:$A$1000,ROW()-3)="","",INDEX(MASTER_DATABASE!$BD$4:$BD$1000,ROW()-3)&amp;"")</f>
        <v/>
      </c>
      <c r="K308" s="7" t="str">
        <f aca="false">IF(INDEX(MASTER_DATABASE!$A$4:$A$1000,ROW()-3)="","",INDEX(MASTER_DATABASE!$AX$4:$AX$1000,ROW()-3)&amp;"")</f>
        <v/>
      </c>
      <c r="L308" s="7" t="str">
        <f aca="false">IF(INDEX(MASTER_DATABASE!$A$4:$A$1000,ROW()-3)="","",INDEX(MASTER_DATABASE!$AY$4:$AY$1000,ROW()-3)&amp;"")</f>
        <v/>
      </c>
      <c r="M308" s="7" t="str">
        <f aca="false">IF(INDEX(MASTER_DATABASE!$A$4:$A$1000,ROW()-3)="","",INDEX(MASTER_DATABASE!$AN$4:$AN$1000,ROW()-3)&amp;"")</f>
        <v/>
      </c>
      <c r="N308" s="7" t="str">
        <f aca="false">IF(INDEX(MASTER_DATABASE!$A$4:$A$1000,ROW()-3)="","",INDEX(MASTER_DATABASE!$AZ$4:$AZ$1000,ROW()-3)&amp;"")</f>
        <v/>
      </c>
      <c r="O308" s="7" t="str">
        <f aca="false">IF(INDEX(MASTER_DATABASE!$A$4:$A$1000,ROW()-3)="","",INDEX(MASTER_DATABASE!$BA$4:$BA$1000,ROW()-3)&amp;"")</f>
        <v/>
      </c>
      <c r="P308" s="11" t="str">
        <f aca="false">IF(INDEX(MASTER_DATABASE!$A$4:$A$1000,ROW()-3)="","",INDEX(MASTER_DATABASE!$AP$4:$AP$1000,ROW()-3)&amp;"")</f>
        <v/>
      </c>
      <c r="Q308" s="7" t="str">
        <f aca="false">IF(INDEX(MASTER_DATABASE!$A$4:$A$1000,ROW()-3)="","",INDEX(MASTER_DATABASE!$BB$4:$BB$1000,ROW()-3)&amp;"")</f>
        <v/>
      </c>
      <c r="R308" s="11" t="str">
        <f aca="false">IF(INDEX(MASTER_DATABASE!$A$4:$A$1000,ROW()-3)="","",INDEX(MASTER_DATABASE!$BC$4:$BC$1000,ROW()-3)&amp;"")</f>
        <v/>
      </c>
      <c r="S308" s="11" t="str">
        <f aca="false">IF(INDEX(MASTER_DATABASE!$A$4:$A$1000,ROW()-3)="","",INDEX(MASTER_DATABASE!$AQ$4:$AQ$1000,ROW()-3))</f>
        <v/>
      </c>
      <c r="T308" s="7" t="str">
        <f aca="false">IF(INDEX(MASTER_DATABASE!$A$4:$A$1000,ROW()-3)="","",INDEX(MASTER_DATABASE!$I$4:$I$1000,ROW()-3)&amp;"")</f>
        <v/>
      </c>
      <c r="U308" s="7" t="str">
        <f aca="false">IF(INDEX(MASTER_DATABASE!$A$4:$A$1000,ROW()-3)="","",INDEX(MASTER_DATABASE!$J$4:$J$1000,ROW()-3)&amp;"")</f>
        <v/>
      </c>
      <c r="V308" s="7" t="str">
        <f aca="false">IF(INDEX(MASTER_DATABASE!$A$4:$A$1000,ROW()-3)="","",INDEX(MASTER_DATABASE!$AG$4:$AG$1000,ROW()-3)&amp;"")</f>
        <v/>
      </c>
      <c r="W308" s="7" t="str">
        <f aca="false">IF(INDEX(MASTER_DATABASE!$A$4:$A$1000,ROW()-3)="","",INDEX(MASTER_DATABASE!$AH$4:$AH$1000,ROW()-3)&amp;"")</f>
        <v/>
      </c>
      <c r="X308" s="7" t="str">
        <f aca="false">IF(INDEX(MASTER_DATABASE!$A$4:$A$1000,ROW()-3)="","",INDEX(MASTER_DATABASE!$AI$4:$AI$1000,ROW()-3)&amp;"")</f>
        <v/>
      </c>
      <c r="Y308" s="7" t="str">
        <f aca="false">IF(INDEX(MASTER_DATABASE!$A$4:$A$1000,ROW()-3)="","",INDEX(MASTER_DATABASE!$AJ$4:$AJ$1000,ROW()-3)&amp;"")</f>
        <v/>
      </c>
      <c r="Z308" s="7" t="str">
        <f aca="false">IF(INDEX(MASTER_DATABASE!$A$4:$A$1000,ROW()-3)="","",INDEX(MASTER_DATABASE!$AK$4:$AK$1000,ROW()-3)&amp;"")</f>
        <v/>
      </c>
      <c r="AA308" s="7" t="str">
        <f aca="false">IF(INDEX(MASTER_DATABASE!$A$4:$A$1000,ROW()-3)="","",INDEX(MASTER_DATABASE!$BE$4:$BE$1000,ROW()-3)&amp;"")</f>
        <v/>
      </c>
    </row>
    <row r="309" customFormat="false" ht="15" hidden="false" customHeight="false" outlineLevel="0" collapsed="false">
      <c r="A309" s="11" t="str">
        <f aca="false">IF(INDEX(MASTER_DATABASE!$A$4:$A$1000,ROW()-3)="","",INDEX(MASTER_DATABASE!$A$4:$A$1000,ROW()-3)&amp;"")</f>
        <v/>
      </c>
      <c r="B309" s="7" t="str">
        <f aca="false">IF(INDEX(MASTER_DATABASE!$A$4:$A$1000,ROW()-3)="","",INDEX(MASTER_DATABASE!$B$4:$B$1000,ROW()-3)&amp;"")</f>
        <v/>
      </c>
      <c r="C309" s="7" t="str">
        <f aca="false">IF(INDEX(MASTER_DATABASE!$A$4:$A$1000,ROW()-3)="","",INDEX(MASTER_DATABASE!$C$4:$C$1000,ROW()-3)&amp;"")</f>
        <v/>
      </c>
      <c r="D309" s="7" t="str">
        <f aca="false">IF(INDEX(MASTER_DATABASE!$A$4:$A$1000,ROW()-3)="","",INDEX(MASTER_DATABASE!$D$4:$D$1000,ROW()-3)&amp;"")</f>
        <v/>
      </c>
      <c r="E309" s="7" t="str">
        <f aca="false">IF(INDEX(MASTER_DATABASE!$A$4:$A$1000,ROW()-3)="","",INDEX(MASTER_DATABASE!$E$4:$E$1000,ROW()-3)&amp;"")</f>
        <v/>
      </c>
      <c r="F309" s="7" t="str">
        <f aca="false">IF(INDEX(MASTER_DATABASE!$A$4:$A$1000,ROW()-3)="","",INDEX(MASTER_DATABASE!$F$4:$F$1000,ROW()-3)&amp;"")</f>
        <v/>
      </c>
      <c r="G309" s="7" t="str">
        <f aca="false">IF(INDEX(MASTER_DATABASE!$A$4:$A$1000,ROW()-3)="","",INDEX(MASTER_DATABASE!$AL$4:$AL$1000,ROW()-3)&amp;"")</f>
        <v/>
      </c>
      <c r="H309" s="7" t="str">
        <f aca="false">IF(INDEX(MASTER_DATABASE!$A$4:$A$1000,ROW()-3)="","",INDEX(MASTER_DATABASE!$AM$4:$AM$1000,ROW()-3)&amp;"")</f>
        <v/>
      </c>
      <c r="I309" s="7" t="str">
        <f aca="false">IF(INDEX(MASTER_DATABASE!$A$4:$A$1000,ROW()-3)="","",INDEX(MASTER_DATABASE!$AO$4:$AO$1000,ROW()-3)&amp;"")</f>
        <v/>
      </c>
      <c r="J309" s="7" t="str">
        <f aca="false">IF(INDEX(MASTER_DATABASE!$A$4:$A$1000,ROW()-3)="","",INDEX(MASTER_DATABASE!$BD$4:$BD$1000,ROW()-3)&amp;"")</f>
        <v/>
      </c>
      <c r="K309" s="7" t="str">
        <f aca="false">IF(INDEX(MASTER_DATABASE!$A$4:$A$1000,ROW()-3)="","",INDEX(MASTER_DATABASE!$AX$4:$AX$1000,ROW()-3)&amp;"")</f>
        <v/>
      </c>
      <c r="L309" s="7" t="str">
        <f aca="false">IF(INDEX(MASTER_DATABASE!$A$4:$A$1000,ROW()-3)="","",INDEX(MASTER_DATABASE!$AY$4:$AY$1000,ROW()-3)&amp;"")</f>
        <v/>
      </c>
      <c r="M309" s="7" t="str">
        <f aca="false">IF(INDEX(MASTER_DATABASE!$A$4:$A$1000,ROW()-3)="","",INDEX(MASTER_DATABASE!$AN$4:$AN$1000,ROW()-3)&amp;"")</f>
        <v/>
      </c>
      <c r="N309" s="7" t="str">
        <f aca="false">IF(INDEX(MASTER_DATABASE!$A$4:$A$1000,ROW()-3)="","",INDEX(MASTER_DATABASE!$AZ$4:$AZ$1000,ROW()-3)&amp;"")</f>
        <v/>
      </c>
      <c r="O309" s="7" t="str">
        <f aca="false">IF(INDEX(MASTER_DATABASE!$A$4:$A$1000,ROW()-3)="","",INDEX(MASTER_DATABASE!$BA$4:$BA$1000,ROW()-3)&amp;"")</f>
        <v/>
      </c>
      <c r="P309" s="11" t="str">
        <f aca="false">IF(INDEX(MASTER_DATABASE!$A$4:$A$1000,ROW()-3)="","",INDEX(MASTER_DATABASE!$AP$4:$AP$1000,ROW()-3)&amp;"")</f>
        <v/>
      </c>
      <c r="Q309" s="7" t="str">
        <f aca="false">IF(INDEX(MASTER_DATABASE!$A$4:$A$1000,ROW()-3)="","",INDEX(MASTER_DATABASE!$BB$4:$BB$1000,ROW()-3)&amp;"")</f>
        <v/>
      </c>
      <c r="R309" s="11" t="str">
        <f aca="false">IF(INDEX(MASTER_DATABASE!$A$4:$A$1000,ROW()-3)="","",INDEX(MASTER_DATABASE!$BC$4:$BC$1000,ROW()-3)&amp;"")</f>
        <v/>
      </c>
      <c r="S309" s="11" t="str">
        <f aca="false">IF(INDEX(MASTER_DATABASE!$A$4:$A$1000,ROW()-3)="","",INDEX(MASTER_DATABASE!$AQ$4:$AQ$1000,ROW()-3))</f>
        <v/>
      </c>
      <c r="T309" s="7" t="str">
        <f aca="false">IF(INDEX(MASTER_DATABASE!$A$4:$A$1000,ROW()-3)="","",INDEX(MASTER_DATABASE!$I$4:$I$1000,ROW()-3)&amp;"")</f>
        <v/>
      </c>
      <c r="U309" s="7" t="str">
        <f aca="false">IF(INDEX(MASTER_DATABASE!$A$4:$A$1000,ROW()-3)="","",INDEX(MASTER_DATABASE!$J$4:$J$1000,ROW()-3)&amp;"")</f>
        <v/>
      </c>
      <c r="V309" s="7" t="str">
        <f aca="false">IF(INDEX(MASTER_DATABASE!$A$4:$A$1000,ROW()-3)="","",INDEX(MASTER_DATABASE!$AG$4:$AG$1000,ROW()-3)&amp;"")</f>
        <v/>
      </c>
      <c r="W309" s="7" t="str">
        <f aca="false">IF(INDEX(MASTER_DATABASE!$A$4:$A$1000,ROW()-3)="","",INDEX(MASTER_DATABASE!$AH$4:$AH$1000,ROW()-3)&amp;"")</f>
        <v/>
      </c>
      <c r="X309" s="7" t="str">
        <f aca="false">IF(INDEX(MASTER_DATABASE!$A$4:$A$1000,ROW()-3)="","",INDEX(MASTER_DATABASE!$AI$4:$AI$1000,ROW()-3)&amp;"")</f>
        <v/>
      </c>
      <c r="Y309" s="7" t="str">
        <f aca="false">IF(INDEX(MASTER_DATABASE!$A$4:$A$1000,ROW()-3)="","",INDEX(MASTER_DATABASE!$AJ$4:$AJ$1000,ROW()-3)&amp;"")</f>
        <v/>
      </c>
      <c r="Z309" s="7" t="str">
        <f aca="false">IF(INDEX(MASTER_DATABASE!$A$4:$A$1000,ROW()-3)="","",INDEX(MASTER_DATABASE!$AK$4:$AK$1000,ROW()-3)&amp;"")</f>
        <v/>
      </c>
      <c r="AA309" s="7" t="str">
        <f aca="false">IF(INDEX(MASTER_DATABASE!$A$4:$A$1000,ROW()-3)="","",INDEX(MASTER_DATABASE!$BE$4:$BE$1000,ROW()-3)&amp;"")</f>
        <v/>
      </c>
    </row>
    <row r="310" customFormat="false" ht="15" hidden="false" customHeight="false" outlineLevel="0" collapsed="false">
      <c r="A310" s="11" t="str">
        <f aca="false">IF(INDEX(MASTER_DATABASE!$A$4:$A$1000,ROW()-3)="","",INDEX(MASTER_DATABASE!$A$4:$A$1000,ROW()-3)&amp;"")</f>
        <v/>
      </c>
      <c r="B310" s="7" t="str">
        <f aca="false">IF(INDEX(MASTER_DATABASE!$A$4:$A$1000,ROW()-3)="","",INDEX(MASTER_DATABASE!$B$4:$B$1000,ROW()-3)&amp;"")</f>
        <v/>
      </c>
      <c r="C310" s="7" t="str">
        <f aca="false">IF(INDEX(MASTER_DATABASE!$A$4:$A$1000,ROW()-3)="","",INDEX(MASTER_DATABASE!$C$4:$C$1000,ROW()-3)&amp;"")</f>
        <v/>
      </c>
      <c r="D310" s="7" t="str">
        <f aca="false">IF(INDEX(MASTER_DATABASE!$A$4:$A$1000,ROW()-3)="","",INDEX(MASTER_DATABASE!$D$4:$D$1000,ROW()-3)&amp;"")</f>
        <v/>
      </c>
      <c r="E310" s="7" t="str">
        <f aca="false">IF(INDEX(MASTER_DATABASE!$A$4:$A$1000,ROW()-3)="","",INDEX(MASTER_DATABASE!$E$4:$E$1000,ROW()-3)&amp;"")</f>
        <v/>
      </c>
      <c r="F310" s="7" t="str">
        <f aca="false">IF(INDEX(MASTER_DATABASE!$A$4:$A$1000,ROW()-3)="","",INDEX(MASTER_DATABASE!$F$4:$F$1000,ROW()-3)&amp;"")</f>
        <v/>
      </c>
      <c r="G310" s="7" t="str">
        <f aca="false">IF(INDEX(MASTER_DATABASE!$A$4:$A$1000,ROW()-3)="","",INDEX(MASTER_DATABASE!$AL$4:$AL$1000,ROW()-3)&amp;"")</f>
        <v/>
      </c>
      <c r="H310" s="7" t="str">
        <f aca="false">IF(INDEX(MASTER_DATABASE!$A$4:$A$1000,ROW()-3)="","",INDEX(MASTER_DATABASE!$AM$4:$AM$1000,ROW()-3)&amp;"")</f>
        <v/>
      </c>
      <c r="I310" s="7" t="str">
        <f aca="false">IF(INDEX(MASTER_DATABASE!$A$4:$A$1000,ROW()-3)="","",INDEX(MASTER_DATABASE!$AO$4:$AO$1000,ROW()-3)&amp;"")</f>
        <v/>
      </c>
      <c r="J310" s="7" t="str">
        <f aca="false">IF(INDEX(MASTER_DATABASE!$A$4:$A$1000,ROW()-3)="","",INDEX(MASTER_DATABASE!$BD$4:$BD$1000,ROW()-3)&amp;"")</f>
        <v/>
      </c>
      <c r="K310" s="7" t="str">
        <f aca="false">IF(INDEX(MASTER_DATABASE!$A$4:$A$1000,ROW()-3)="","",INDEX(MASTER_DATABASE!$AX$4:$AX$1000,ROW()-3)&amp;"")</f>
        <v/>
      </c>
      <c r="L310" s="7" t="str">
        <f aca="false">IF(INDEX(MASTER_DATABASE!$A$4:$A$1000,ROW()-3)="","",INDEX(MASTER_DATABASE!$AY$4:$AY$1000,ROW()-3)&amp;"")</f>
        <v/>
      </c>
      <c r="M310" s="7" t="str">
        <f aca="false">IF(INDEX(MASTER_DATABASE!$A$4:$A$1000,ROW()-3)="","",INDEX(MASTER_DATABASE!$AN$4:$AN$1000,ROW()-3)&amp;"")</f>
        <v/>
      </c>
      <c r="N310" s="7" t="str">
        <f aca="false">IF(INDEX(MASTER_DATABASE!$A$4:$A$1000,ROW()-3)="","",INDEX(MASTER_DATABASE!$AZ$4:$AZ$1000,ROW()-3)&amp;"")</f>
        <v/>
      </c>
      <c r="O310" s="7" t="str">
        <f aca="false">IF(INDEX(MASTER_DATABASE!$A$4:$A$1000,ROW()-3)="","",INDEX(MASTER_DATABASE!$BA$4:$BA$1000,ROW()-3)&amp;"")</f>
        <v/>
      </c>
      <c r="P310" s="11" t="str">
        <f aca="false">IF(INDEX(MASTER_DATABASE!$A$4:$A$1000,ROW()-3)="","",INDEX(MASTER_DATABASE!$AP$4:$AP$1000,ROW()-3)&amp;"")</f>
        <v/>
      </c>
      <c r="Q310" s="7" t="str">
        <f aca="false">IF(INDEX(MASTER_DATABASE!$A$4:$A$1000,ROW()-3)="","",INDEX(MASTER_DATABASE!$BB$4:$BB$1000,ROW()-3)&amp;"")</f>
        <v/>
      </c>
      <c r="R310" s="11" t="str">
        <f aca="false">IF(INDEX(MASTER_DATABASE!$A$4:$A$1000,ROW()-3)="","",INDEX(MASTER_DATABASE!$BC$4:$BC$1000,ROW()-3)&amp;"")</f>
        <v/>
      </c>
      <c r="S310" s="11" t="str">
        <f aca="false">IF(INDEX(MASTER_DATABASE!$A$4:$A$1000,ROW()-3)="","",INDEX(MASTER_DATABASE!$AQ$4:$AQ$1000,ROW()-3))</f>
        <v/>
      </c>
      <c r="T310" s="7" t="str">
        <f aca="false">IF(INDEX(MASTER_DATABASE!$A$4:$A$1000,ROW()-3)="","",INDEX(MASTER_DATABASE!$I$4:$I$1000,ROW()-3)&amp;"")</f>
        <v/>
      </c>
      <c r="U310" s="7" t="str">
        <f aca="false">IF(INDEX(MASTER_DATABASE!$A$4:$A$1000,ROW()-3)="","",INDEX(MASTER_DATABASE!$J$4:$J$1000,ROW()-3)&amp;"")</f>
        <v/>
      </c>
      <c r="V310" s="7" t="str">
        <f aca="false">IF(INDEX(MASTER_DATABASE!$A$4:$A$1000,ROW()-3)="","",INDEX(MASTER_DATABASE!$AG$4:$AG$1000,ROW()-3)&amp;"")</f>
        <v/>
      </c>
      <c r="W310" s="7" t="str">
        <f aca="false">IF(INDEX(MASTER_DATABASE!$A$4:$A$1000,ROW()-3)="","",INDEX(MASTER_DATABASE!$AH$4:$AH$1000,ROW()-3)&amp;"")</f>
        <v/>
      </c>
      <c r="X310" s="7" t="str">
        <f aca="false">IF(INDEX(MASTER_DATABASE!$A$4:$A$1000,ROW()-3)="","",INDEX(MASTER_DATABASE!$AI$4:$AI$1000,ROW()-3)&amp;"")</f>
        <v/>
      </c>
      <c r="Y310" s="7" t="str">
        <f aca="false">IF(INDEX(MASTER_DATABASE!$A$4:$A$1000,ROW()-3)="","",INDEX(MASTER_DATABASE!$AJ$4:$AJ$1000,ROW()-3)&amp;"")</f>
        <v/>
      </c>
      <c r="Z310" s="7" t="str">
        <f aca="false">IF(INDEX(MASTER_DATABASE!$A$4:$A$1000,ROW()-3)="","",INDEX(MASTER_DATABASE!$AK$4:$AK$1000,ROW()-3)&amp;"")</f>
        <v/>
      </c>
      <c r="AA310" s="7" t="str">
        <f aca="false">IF(INDEX(MASTER_DATABASE!$A$4:$A$1000,ROW()-3)="","",INDEX(MASTER_DATABASE!$BE$4:$BE$1000,ROW()-3)&amp;"")</f>
        <v/>
      </c>
    </row>
    <row r="311" customFormat="false" ht="15" hidden="false" customHeight="false" outlineLevel="0" collapsed="false">
      <c r="A311" s="11" t="str">
        <f aca="false">IF(INDEX(MASTER_DATABASE!$A$4:$A$1000,ROW()-3)="","",INDEX(MASTER_DATABASE!$A$4:$A$1000,ROW()-3)&amp;"")</f>
        <v/>
      </c>
      <c r="B311" s="7" t="str">
        <f aca="false">IF(INDEX(MASTER_DATABASE!$A$4:$A$1000,ROW()-3)="","",INDEX(MASTER_DATABASE!$B$4:$B$1000,ROW()-3)&amp;"")</f>
        <v/>
      </c>
      <c r="C311" s="7" t="str">
        <f aca="false">IF(INDEX(MASTER_DATABASE!$A$4:$A$1000,ROW()-3)="","",INDEX(MASTER_DATABASE!$C$4:$C$1000,ROW()-3)&amp;"")</f>
        <v/>
      </c>
      <c r="D311" s="7" t="str">
        <f aca="false">IF(INDEX(MASTER_DATABASE!$A$4:$A$1000,ROW()-3)="","",INDEX(MASTER_DATABASE!$D$4:$D$1000,ROW()-3)&amp;"")</f>
        <v/>
      </c>
      <c r="E311" s="7" t="str">
        <f aca="false">IF(INDEX(MASTER_DATABASE!$A$4:$A$1000,ROW()-3)="","",INDEX(MASTER_DATABASE!$E$4:$E$1000,ROW()-3)&amp;"")</f>
        <v/>
      </c>
      <c r="F311" s="7" t="str">
        <f aca="false">IF(INDEX(MASTER_DATABASE!$A$4:$A$1000,ROW()-3)="","",INDEX(MASTER_DATABASE!$F$4:$F$1000,ROW()-3)&amp;"")</f>
        <v/>
      </c>
      <c r="G311" s="7" t="str">
        <f aca="false">IF(INDEX(MASTER_DATABASE!$A$4:$A$1000,ROW()-3)="","",INDEX(MASTER_DATABASE!$AL$4:$AL$1000,ROW()-3)&amp;"")</f>
        <v/>
      </c>
      <c r="H311" s="7" t="str">
        <f aca="false">IF(INDEX(MASTER_DATABASE!$A$4:$A$1000,ROW()-3)="","",INDEX(MASTER_DATABASE!$AM$4:$AM$1000,ROW()-3)&amp;"")</f>
        <v/>
      </c>
      <c r="I311" s="7" t="str">
        <f aca="false">IF(INDEX(MASTER_DATABASE!$A$4:$A$1000,ROW()-3)="","",INDEX(MASTER_DATABASE!$AO$4:$AO$1000,ROW()-3)&amp;"")</f>
        <v/>
      </c>
      <c r="J311" s="7" t="str">
        <f aca="false">IF(INDEX(MASTER_DATABASE!$A$4:$A$1000,ROW()-3)="","",INDEX(MASTER_DATABASE!$BD$4:$BD$1000,ROW()-3)&amp;"")</f>
        <v/>
      </c>
      <c r="K311" s="7" t="str">
        <f aca="false">IF(INDEX(MASTER_DATABASE!$A$4:$A$1000,ROW()-3)="","",INDEX(MASTER_DATABASE!$AX$4:$AX$1000,ROW()-3)&amp;"")</f>
        <v/>
      </c>
      <c r="L311" s="7" t="str">
        <f aca="false">IF(INDEX(MASTER_DATABASE!$A$4:$A$1000,ROW()-3)="","",INDEX(MASTER_DATABASE!$AY$4:$AY$1000,ROW()-3)&amp;"")</f>
        <v/>
      </c>
      <c r="M311" s="7" t="str">
        <f aca="false">IF(INDEX(MASTER_DATABASE!$A$4:$A$1000,ROW()-3)="","",INDEX(MASTER_DATABASE!$AN$4:$AN$1000,ROW()-3)&amp;"")</f>
        <v/>
      </c>
      <c r="N311" s="7" t="str">
        <f aca="false">IF(INDEX(MASTER_DATABASE!$A$4:$A$1000,ROW()-3)="","",INDEX(MASTER_DATABASE!$AZ$4:$AZ$1000,ROW()-3)&amp;"")</f>
        <v/>
      </c>
      <c r="O311" s="7" t="str">
        <f aca="false">IF(INDEX(MASTER_DATABASE!$A$4:$A$1000,ROW()-3)="","",INDEX(MASTER_DATABASE!$BA$4:$BA$1000,ROW()-3)&amp;"")</f>
        <v/>
      </c>
      <c r="P311" s="11" t="str">
        <f aca="false">IF(INDEX(MASTER_DATABASE!$A$4:$A$1000,ROW()-3)="","",INDEX(MASTER_DATABASE!$AP$4:$AP$1000,ROW()-3)&amp;"")</f>
        <v/>
      </c>
      <c r="Q311" s="7" t="str">
        <f aca="false">IF(INDEX(MASTER_DATABASE!$A$4:$A$1000,ROW()-3)="","",INDEX(MASTER_DATABASE!$BB$4:$BB$1000,ROW()-3)&amp;"")</f>
        <v/>
      </c>
      <c r="R311" s="11" t="str">
        <f aca="false">IF(INDEX(MASTER_DATABASE!$A$4:$A$1000,ROW()-3)="","",INDEX(MASTER_DATABASE!$BC$4:$BC$1000,ROW()-3)&amp;"")</f>
        <v/>
      </c>
      <c r="S311" s="11" t="str">
        <f aca="false">IF(INDEX(MASTER_DATABASE!$A$4:$A$1000,ROW()-3)="","",INDEX(MASTER_DATABASE!$AQ$4:$AQ$1000,ROW()-3))</f>
        <v/>
      </c>
      <c r="T311" s="7" t="str">
        <f aca="false">IF(INDEX(MASTER_DATABASE!$A$4:$A$1000,ROW()-3)="","",INDEX(MASTER_DATABASE!$I$4:$I$1000,ROW()-3)&amp;"")</f>
        <v/>
      </c>
      <c r="U311" s="7" t="str">
        <f aca="false">IF(INDEX(MASTER_DATABASE!$A$4:$A$1000,ROW()-3)="","",INDEX(MASTER_DATABASE!$J$4:$J$1000,ROW()-3)&amp;"")</f>
        <v/>
      </c>
      <c r="V311" s="7" t="str">
        <f aca="false">IF(INDEX(MASTER_DATABASE!$A$4:$A$1000,ROW()-3)="","",INDEX(MASTER_DATABASE!$AG$4:$AG$1000,ROW()-3)&amp;"")</f>
        <v/>
      </c>
      <c r="W311" s="7" t="str">
        <f aca="false">IF(INDEX(MASTER_DATABASE!$A$4:$A$1000,ROW()-3)="","",INDEX(MASTER_DATABASE!$AH$4:$AH$1000,ROW()-3)&amp;"")</f>
        <v/>
      </c>
      <c r="X311" s="7" t="str">
        <f aca="false">IF(INDEX(MASTER_DATABASE!$A$4:$A$1000,ROW()-3)="","",INDEX(MASTER_DATABASE!$AI$4:$AI$1000,ROW()-3)&amp;"")</f>
        <v/>
      </c>
      <c r="Y311" s="7" t="str">
        <f aca="false">IF(INDEX(MASTER_DATABASE!$A$4:$A$1000,ROW()-3)="","",INDEX(MASTER_DATABASE!$AJ$4:$AJ$1000,ROW()-3)&amp;"")</f>
        <v/>
      </c>
      <c r="Z311" s="7" t="str">
        <f aca="false">IF(INDEX(MASTER_DATABASE!$A$4:$A$1000,ROW()-3)="","",INDEX(MASTER_DATABASE!$AK$4:$AK$1000,ROW()-3)&amp;"")</f>
        <v/>
      </c>
      <c r="AA311" s="7" t="str">
        <f aca="false">IF(INDEX(MASTER_DATABASE!$A$4:$A$1000,ROW()-3)="","",INDEX(MASTER_DATABASE!$BE$4:$BE$1000,ROW()-3)&amp;"")</f>
        <v/>
      </c>
    </row>
    <row r="312" customFormat="false" ht="15" hidden="false" customHeight="false" outlineLevel="0" collapsed="false">
      <c r="A312" s="11" t="str">
        <f aca="false">IF(INDEX(MASTER_DATABASE!$A$4:$A$1000,ROW()-3)="","",INDEX(MASTER_DATABASE!$A$4:$A$1000,ROW()-3)&amp;"")</f>
        <v/>
      </c>
      <c r="B312" s="7" t="str">
        <f aca="false">IF(INDEX(MASTER_DATABASE!$A$4:$A$1000,ROW()-3)="","",INDEX(MASTER_DATABASE!$B$4:$B$1000,ROW()-3)&amp;"")</f>
        <v/>
      </c>
      <c r="C312" s="7" t="str">
        <f aca="false">IF(INDEX(MASTER_DATABASE!$A$4:$A$1000,ROW()-3)="","",INDEX(MASTER_DATABASE!$C$4:$C$1000,ROW()-3)&amp;"")</f>
        <v/>
      </c>
      <c r="D312" s="7" t="str">
        <f aca="false">IF(INDEX(MASTER_DATABASE!$A$4:$A$1000,ROW()-3)="","",INDEX(MASTER_DATABASE!$D$4:$D$1000,ROW()-3)&amp;"")</f>
        <v/>
      </c>
      <c r="E312" s="7" t="str">
        <f aca="false">IF(INDEX(MASTER_DATABASE!$A$4:$A$1000,ROW()-3)="","",INDEX(MASTER_DATABASE!$E$4:$E$1000,ROW()-3)&amp;"")</f>
        <v/>
      </c>
      <c r="F312" s="7" t="str">
        <f aca="false">IF(INDEX(MASTER_DATABASE!$A$4:$A$1000,ROW()-3)="","",INDEX(MASTER_DATABASE!$F$4:$F$1000,ROW()-3)&amp;"")</f>
        <v/>
      </c>
      <c r="G312" s="7" t="str">
        <f aca="false">IF(INDEX(MASTER_DATABASE!$A$4:$A$1000,ROW()-3)="","",INDEX(MASTER_DATABASE!$AL$4:$AL$1000,ROW()-3)&amp;"")</f>
        <v/>
      </c>
      <c r="H312" s="7" t="str">
        <f aca="false">IF(INDEX(MASTER_DATABASE!$A$4:$A$1000,ROW()-3)="","",INDEX(MASTER_DATABASE!$AM$4:$AM$1000,ROW()-3)&amp;"")</f>
        <v/>
      </c>
      <c r="I312" s="7" t="str">
        <f aca="false">IF(INDEX(MASTER_DATABASE!$A$4:$A$1000,ROW()-3)="","",INDEX(MASTER_DATABASE!$AO$4:$AO$1000,ROW()-3)&amp;"")</f>
        <v/>
      </c>
      <c r="J312" s="7" t="str">
        <f aca="false">IF(INDEX(MASTER_DATABASE!$A$4:$A$1000,ROW()-3)="","",INDEX(MASTER_DATABASE!$BD$4:$BD$1000,ROW()-3)&amp;"")</f>
        <v/>
      </c>
      <c r="K312" s="7" t="str">
        <f aca="false">IF(INDEX(MASTER_DATABASE!$A$4:$A$1000,ROW()-3)="","",INDEX(MASTER_DATABASE!$AX$4:$AX$1000,ROW()-3)&amp;"")</f>
        <v/>
      </c>
      <c r="L312" s="7" t="str">
        <f aca="false">IF(INDEX(MASTER_DATABASE!$A$4:$A$1000,ROW()-3)="","",INDEX(MASTER_DATABASE!$AY$4:$AY$1000,ROW()-3)&amp;"")</f>
        <v/>
      </c>
      <c r="M312" s="7" t="str">
        <f aca="false">IF(INDEX(MASTER_DATABASE!$A$4:$A$1000,ROW()-3)="","",INDEX(MASTER_DATABASE!$AN$4:$AN$1000,ROW()-3)&amp;"")</f>
        <v/>
      </c>
      <c r="N312" s="7" t="str">
        <f aca="false">IF(INDEX(MASTER_DATABASE!$A$4:$A$1000,ROW()-3)="","",INDEX(MASTER_DATABASE!$AZ$4:$AZ$1000,ROW()-3)&amp;"")</f>
        <v/>
      </c>
      <c r="O312" s="7" t="str">
        <f aca="false">IF(INDEX(MASTER_DATABASE!$A$4:$A$1000,ROW()-3)="","",INDEX(MASTER_DATABASE!$BA$4:$BA$1000,ROW()-3)&amp;"")</f>
        <v/>
      </c>
      <c r="P312" s="11" t="str">
        <f aca="false">IF(INDEX(MASTER_DATABASE!$A$4:$A$1000,ROW()-3)="","",INDEX(MASTER_DATABASE!$AP$4:$AP$1000,ROW()-3)&amp;"")</f>
        <v/>
      </c>
      <c r="Q312" s="7" t="str">
        <f aca="false">IF(INDEX(MASTER_DATABASE!$A$4:$A$1000,ROW()-3)="","",INDEX(MASTER_DATABASE!$BB$4:$BB$1000,ROW()-3)&amp;"")</f>
        <v/>
      </c>
      <c r="R312" s="11" t="str">
        <f aca="false">IF(INDEX(MASTER_DATABASE!$A$4:$A$1000,ROW()-3)="","",INDEX(MASTER_DATABASE!$BC$4:$BC$1000,ROW()-3)&amp;"")</f>
        <v/>
      </c>
      <c r="S312" s="11" t="str">
        <f aca="false">IF(INDEX(MASTER_DATABASE!$A$4:$A$1000,ROW()-3)="","",INDEX(MASTER_DATABASE!$AQ$4:$AQ$1000,ROW()-3))</f>
        <v/>
      </c>
      <c r="T312" s="7" t="str">
        <f aca="false">IF(INDEX(MASTER_DATABASE!$A$4:$A$1000,ROW()-3)="","",INDEX(MASTER_DATABASE!$I$4:$I$1000,ROW()-3)&amp;"")</f>
        <v/>
      </c>
      <c r="U312" s="7" t="str">
        <f aca="false">IF(INDEX(MASTER_DATABASE!$A$4:$A$1000,ROW()-3)="","",INDEX(MASTER_DATABASE!$J$4:$J$1000,ROW()-3)&amp;"")</f>
        <v/>
      </c>
      <c r="V312" s="7" t="str">
        <f aca="false">IF(INDEX(MASTER_DATABASE!$A$4:$A$1000,ROW()-3)="","",INDEX(MASTER_DATABASE!$AG$4:$AG$1000,ROW()-3)&amp;"")</f>
        <v/>
      </c>
      <c r="W312" s="7" t="str">
        <f aca="false">IF(INDEX(MASTER_DATABASE!$A$4:$A$1000,ROW()-3)="","",INDEX(MASTER_DATABASE!$AH$4:$AH$1000,ROW()-3)&amp;"")</f>
        <v/>
      </c>
      <c r="X312" s="7" t="str">
        <f aca="false">IF(INDEX(MASTER_DATABASE!$A$4:$A$1000,ROW()-3)="","",INDEX(MASTER_DATABASE!$AI$4:$AI$1000,ROW()-3)&amp;"")</f>
        <v/>
      </c>
      <c r="Y312" s="7" t="str">
        <f aca="false">IF(INDEX(MASTER_DATABASE!$A$4:$A$1000,ROW()-3)="","",INDEX(MASTER_DATABASE!$AJ$4:$AJ$1000,ROW()-3)&amp;"")</f>
        <v/>
      </c>
      <c r="Z312" s="7" t="str">
        <f aca="false">IF(INDEX(MASTER_DATABASE!$A$4:$A$1000,ROW()-3)="","",INDEX(MASTER_DATABASE!$AK$4:$AK$1000,ROW()-3)&amp;"")</f>
        <v/>
      </c>
      <c r="AA312" s="7" t="str">
        <f aca="false">IF(INDEX(MASTER_DATABASE!$A$4:$A$1000,ROW()-3)="","",INDEX(MASTER_DATABASE!$BE$4:$BE$1000,ROW()-3)&amp;"")</f>
        <v/>
      </c>
    </row>
    <row r="313" customFormat="false" ht="15" hidden="false" customHeight="false" outlineLevel="0" collapsed="false">
      <c r="A313" s="11" t="str">
        <f aca="false">IF(INDEX(MASTER_DATABASE!$A$4:$A$1000,ROW()-3)="","",INDEX(MASTER_DATABASE!$A$4:$A$1000,ROW()-3)&amp;"")</f>
        <v/>
      </c>
      <c r="B313" s="7" t="str">
        <f aca="false">IF(INDEX(MASTER_DATABASE!$A$4:$A$1000,ROW()-3)="","",INDEX(MASTER_DATABASE!$B$4:$B$1000,ROW()-3)&amp;"")</f>
        <v/>
      </c>
      <c r="C313" s="7" t="str">
        <f aca="false">IF(INDEX(MASTER_DATABASE!$A$4:$A$1000,ROW()-3)="","",INDEX(MASTER_DATABASE!$C$4:$C$1000,ROW()-3)&amp;"")</f>
        <v/>
      </c>
      <c r="D313" s="7" t="str">
        <f aca="false">IF(INDEX(MASTER_DATABASE!$A$4:$A$1000,ROW()-3)="","",INDEX(MASTER_DATABASE!$D$4:$D$1000,ROW()-3)&amp;"")</f>
        <v/>
      </c>
      <c r="E313" s="7" t="str">
        <f aca="false">IF(INDEX(MASTER_DATABASE!$A$4:$A$1000,ROW()-3)="","",INDEX(MASTER_DATABASE!$E$4:$E$1000,ROW()-3)&amp;"")</f>
        <v/>
      </c>
      <c r="F313" s="7" t="str">
        <f aca="false">IF(INDEX(MASTER_DATABASE!$A$4:$A$1000,ROW()-3)="","",INDEX(MASTER_DATABASE!$F$4:$F$1000,ROW()-3)&amp;"")</f>
        <v/>
      </c>
      <c r="G313" s="7" t="str">
        <f aca="false">IF(INDEX(MASTER_DATABASE!$A$4:$A$1000,ROW()-3)="","",INDEX(MASTER_DATABASE!$AL$4:$AL$1000,ROW()-3)&amp;"")</f>
        <v/>
      </c>
      <c r="H313" s="7" t="str">
        <f aca="false">IF(INDEX(MASTER_DATABASE!$A$4:$A$1000,ROW()-3)="","",INDEX(MASTER_DATABASE!$AM$4:$AM$1000,ROW()-3)&amp;"")</f>
        <v/>
      </c>
      <c r="I313" s="7" t="str">
        <f aca="false">IF(INDEX(MASTER_DATABASE!$A$4:$A$1000,ROW()-3)="","",INDEX(MASTER_DATABASE!$AO$4:$AO$1000,ROW()-3)&amp;"")</f>
        <v/>
      </c>
      <c r="J313" s="7" t="str">
        <f aca="false">IF(INDEX(MASTER_DATABASE!$A$4:$A$1000,ROW()-3)="","",INDEX(MASTER_DATABASE!$BD$4:$BD$1000,ROW()-3)&amp;"")</f>
        <v/>
      </c>
      <c r="K313" s="7" t="str">
        <f aca="false">IF(INDEX(MASTER_DATABASE!$A$4:$A$1000,ROW()-3)="","",INDEX(MASTER_DATABASE!$AX$4:$AX$1000,ROW()-3)&amp;"")</f>
        <v/>
      </c>
      <c r="L313" s="7" t="str">
        <f aca="false">IF(INDEX(MASTER_DATABASE!$A$4:$A$1000,ROW()-3)="","",INDEX(MASTER_DATABASE!$AY$4:$AY$1000,ROW()-3)&amp;"")</f>
        <v/>
      </c>
      <c r="M313" s="7" t="str">
        <f aca="false">IF(INDEX(MASTER_DATABASE!$A$4:$A$1000,ROW()-3)="","",INDEX(MASTER_DATABASE!$AN$4:$AN$1000,ROW()-3)&amp;"")</f>
        <v/>
      </c>
      <c r="N313" s="7" t="str">
        <f aca="false">IF(INDEX(MASTER_DATABASE!$A$4:$A$1000,ROW()-3)="","",INDEX(MASTER_DATABASE!$AZ$4:$AZ$1000,ROW()-3)&amp;"")</f>
        <v/>
      </c>
      <c r="O313" s="7" t="str">
        <f aca="false">IF(INDEX(MASTER_DATABASE!$A$4:$A$1000,ROW()-3)="","",INDEX(MASTER_DATABASE!$BA$4:$BA$1000,ROW()-3)&amp;"")</f>
        <v/>
      </c>
      <c r="P313" s="11" t="str">
        <f aca="false">IF(INDEX(MASTER_DATABASE!$A$4:$A$1000,ROW()-3)="","",INDEX(MASTER_DATABASE!$AP$4:$AP$1000,ROW()-3)&amp;"")</f>
        <v/>
      </c>
      <c r="Q313" s="7" t="str">
        <f aca="false">IF(INDEX(MASTER_DATABASE!$A$4:$A$1000,ROW()-3)="","",INDEX(MASTER_DATABASE!$BB$4:$BB$1000,ROW()-3)&amp;"")</f>
        <v/>
      </c>
      <c r="R313" s="11" t="str">
        <f aca="false">IF(INDEX(MASTER_DATABASE!$A$4:$A$1000,ROW()-3)="","",INDEX(MASTER_DATABASE!$BC$4:$BC$1000,ROW()-3)&amp;"")</f>
        <v/>
      </c>
      <c r="S313" s="11" t="str">
        <f aca="false">IF(INDEX(MASTER_DATABASE!$A$4:$A$1000,ROW()-3)="","",INDEX(MASTER_DATABASE!$AQ$4:$AQ$1000,ROW()-3))</f>
        <v/>
      </c>
      <c r="T313" s="7" t="str">
        <f aca="false">IF(INDEX(MASTER_DATABASE!$A$4:$A$1000,ROW()-3)="","",INDEX(MASTER_DATABASE!$I$4:$I$1000,ROW()-3)&amp;"")</f>
        <v/>
      </c>
      <c r="U313" s="7" t="str">
        <f aca="false">IF(INDEX(MASTER_DATABASE!$A$4:$A$1000,ROW()-3)="","",INDEX(MASTER_DATABASE!$J$4:$J$1000,ROW()-3)&amp;"")</f>
        <v/>
      </c>
      <c r="V313" s="7" t="str">
        <f aca="false">IF(INDEX(MASTER_DATABASE!$A$4:$A$1000,ROW()-3)="","",INDEX(MASTER_DATABASE!$AG$4:$AG$1000,ROW()-3)&amp;"")</f>
        <v/>
      </c>
      <c r="W313" s="7" t="str">
        <f aca="false">IF(INDEX(MASTER_DATABASE!$A$4:$A$1000,ROW()-3)="","",INDEX(MASTER_DATABASE!$AH$4:$AH$1000,ROW()-3)&amp;"")</f>
        <v/>
      </c>
      <c r="X313" s="7" t="str">
        <f aca="false">IF(INDEX(MASTER_DATABASE!$A$4:$A$1000,ROW()-3)="","",INDEX(MASTER_DATABASE!$AI$4:$AI$1000,ROW()-3)&amp;"")</f>
        <v/>
      </c>
      <c r="Y313" s="7" t="str">
        <f aca="false">IF(INDEX(MASTER_DATABASE!$A$4:$A$1000,ROW()-3)="","",INDEX(MASTER_DATABASE!$AJ$4:$AJ$1000,ROW()-3)&amp;"")</f>
        <v/>
      </c>
      <c r="Z313" s="7" t="str">
        <f aca="false">IF(INDEX(MASTER_DATABASE!$A$4:$A$1000,ROW()-3)="","",INDEX(MASTER_DATABASE!$AK$4:$AK$1000,ROW()-3)&amp;"")</f>
        <v/>
      </c>
      <c r="AA313" s="7" t="str">
        <f aca="false">IF(INDEX(MASTER_DATABASE!$A$4:$A$1000,ROW()-3)="","",INDEX(MASTER_DATABASE!$BE$4:$BE$1000,ROW()-3)&amp;"")</f>
        <v/>
      </c>
    </row>
    <row r="314" customFormat="false" ht="15" hidden="false" customHeight="false" outlineLevel="0" collapsed="false">
      <c r="A314" s="11" t="str">
        <f aca="false">IF(INDEX(MASTER_DATABASE!$A$4:$A$1000,ROW()-3)="","",INDEX(MASTER_DATABASE!$A$4:$A$1000,ROW()-3)&amp;"")</f>
        <v/>
      </c>
      <c r="B314" s="7" t="str">
        <f aca="false">IF(INDEX(MASTER_DATABASE!$A$4:$A$1000,ROW()-3)="","",INDEX(MASTER_DATABASE!$B$4:$B$1000,ROW()-3)&amp;"")</f>
        <v/>
      </c>
      <c r="C314" s="7" t="str">
        <f aca="false">IF(INDEX(MASTER_DATABASE!$A$4:$A$1000,ROW()-3)="","",INDEX(MASTER_DATABASE!$C$4:$C$1000,ROW()-3)&amp;"")</f>
        <v/>
      </c>
      <c r="D314" s="7" t="str">
        <f aca="false">IF(INDEX(MASTER_DATABASE!$A$4:$A$1000,ROW()-3)="","",INDEX(MASTER_DATABASE!$D$4:$D$1000,ROW()-3)&amp;"")</f>
        <v/>
      </c>
      <c r="E314" s="7" t="str">
        <f aca="false">IF(INDEX(MASTER_DATABASE!$A$4:$A$1000,ROW()-3)="","",INDEX(MASTER_DATABASE!$E$4:$E$1000,ROW()-3)&amp;"")</f>
        <v/>
      </c>
      <c r="F314" s="7" t="str">
        <f aca="false">IF(INDEX(MASTER_DATABASE!$A$4:$A$1000,ROW()-3)="","",INDEX(MASTER_DATABASE!$F$4:$F$1000,ROW()-3)&amp;"")</f>
        <v/>
      </c>
      <c r="G314" s="7" t="str">
        <f aca="false">IF(INDEX(MASTER_DATABASE!$A$4:$A$1000,ROW()-3)="","",INDEX(MASTER_DATABASE!$AL$4:$AL$1000,ROW()-3)&amp;"")</f>
        <v/>
      </c>
      <c r="H314" s="7" t="str">
        <f aca="false">IF(INDEX(MASTER_DATABASE!$A$4:$A$1000,ROW()-3)="","",INDEX(MASTER_DATABASE!$AM$4:$AM$1000,ROW()-3)&amp;"")</f>
        <v/>
      </c>
      <c r="I314" s="7" t="str">
        <f aca="false">IF(INDEX(MASTER_DATABASE!$A$4:$A$1000,ROW()-3)="","",INDEX(MASTER_DATABASE!$AO$4:$AO$1000,ROW()-3)&amp;"")</f>
        <v/>
      </c>
      <c r="J314" s="7" t="str">
        <f aca="false">IF(INDEX(MASTER_DATABASE!$A$4:$A$1000,ROW()-3)="","",INDEX(MASTER_DATABASE!$BD$4:$BD$1000,ROW()-3)&amp;"")</f>
        <v/>
      </c>
      <c r="K314" s="7" t="str">
        <f aca="false">IF(INDEX(MASTER_DATABASE!$A$4:$A$1000,ROW()-3)="","",INDEX(MASTER_DATABASE!$AX$4:$AX$1000,ROW()-3)&amp;"")</f>
        <v/>
      </c>
      <c r="L314" s="7" t="str">
        <f aca="false">IF(INDEX(MASTER_DATABASE!$A$4:$A$1000,ROW()-3)="","",INDEX(MASTER_DATABASE!$AY$4:$AY$1000,ROW()-3)&amp;"")</f>
        <v/>
      </c>
      <c r="M314" s="7" t="str">
        <f aca="false">IF(INDEX(MASTER_DATABASE!$A$4:$A$1000,ROW()-3)="","",INDEX(MASTER_DATABASE!$AN$4:$AN$1000,ROW()-3)&amp;"")</f>
        <v/>
      </c>
      <c r="N314" s="7" t="str">
        <f aca="false">IF(INDEX(MASTER_DATABASE!$A$4:$A$1000,ROW()-3)="","",INDEX(MASTER_DATABASE!$AZ$4:$AZ$1000,ROW()-3)&amp;"")</f>
        <v/>
      </c>
      <c r="O314" s="7" t="str">
        <f aca="false">IF(INDEX(MASTER_DATABASE!$A$4:$A$1000,ROW()-3)="","",INDEX(MASTER_DATABASE!$BA$4:$BA$1000,ROW()-3)&amp;"")</f>
        <v/>
      </c>
      <c r="P314" s="11" t="str">
        <f aca="false">IF(INDEX(MASTER_DATABASE!$A$4:$A$1000,ROW()-3)="","",INDEX(MASTER_DATABASE!$AP$4:$AP$1000,ROW()-3)&amp;"")</f>
        <v/>
      </c>
      <c r="Q314" s="7" t="str">
        <f aca="false">IF(INDEX(MASTER_DATABASE!$A$4:$A$1000,ROW()-3)="","",INDEX(MASTER_DATABASE!$BB$4:$BB$1000,ROW()-3)&amp;"")</f>
        <v/>
      </c>
      <c r="R314" s="11" t="str">
        <f aca="false">IF(INDEX(MASTER_DATABASE!$A$4:$A$1000,ROW()-3)="","",INDEX(MASTER_DATABASE!$BC$4:$BC$1000,ROW()-3)&amp;"")</f>
        <v/>
      </c>
      <c r="S314" s="11" t="str">
        <f aca="false">IF(INDEX(MASTER_DATABASE!$A$4:$A$1000,ROW()-3)="","",INDEX(MASTER_DATABASE!$AQ$4:$AQ$1000,ROW()-3))</f>
        <v/>
      </c>
      <c r="T314" s="7" t="str">
        <f aca="false">IF(INDEX(MASTER_DATABASE!$A$4:$A$1000,ROW()-3)="","",INDEX(MASTER_DATABASE!$I$4:$I$1000,ROW()-3)&amp;"")</f>
        <v/>
      </c>
      <c r="U314" s="7" t="str">
        <f aca="false">IF(INDEX(MASTER_DATABASE!$A$4:$A$1000,ROW()-3)="","",INDEX(MASTER_DATABASE!$J$4:$J$1000,ROW()-3)&amp;"")</f>
        <v/>
      </c>
      <c r="V314" s="7" t="str">
        <f aca="false">IF(INDEX(MASTER_DATABASE!$A$4:$A$1000,ROW()-3)="","",INDEX(MASTER_DATABASE!$AG$4:$AG$1000,ROW()-3)&amp;"")</f>
        <v/>
      </c>
      <c r="W314" s="7" t="str">
        <f aca="false">IF(INDEX(MASTER_DATABASE!$A$4:$A$1000,ROW()-3)="","",INDEX(MASTER_DATABASE!$AH$4:$AH$1000,ROW()-3)&amp;"")</f>
        <v/>
      </c>
      <c r="X314" s="7" t="str">
        <f aca="false">IF(INDEX(MASTER_DATABASE!$A$4:$A$1000,ROW()-3)="","",INDEX(MASTER_DATABASE!$AI$4:$AI$1000,ROW()-3)&amp;"")</f>
        <v/>
      </c>
      <c r="Y314" s="7" t="str">
        <f aca="false">IF(INDEX(MASTER_DATABASE!$A$4:$A$1000,ROW()-3)="","",INDEX(MASTER_DATABASE!$AJ$4:$AJ$1000,ROW()-3)&amp;"")</f>
        <v/>
      </c>
      <c r="Z314" s="7" t="str">
        <f aca="false">IF(INDEX(MASTER_DATABASE!$A$4:$A$1000,ROW()-3)="","",INDEX(MASTER_DATABASE!$AK$4:$AK$1000,ROW()-3)&amp;"")</f>
        <v/>
      </c>
      <c r="AA314" s="7" t="str">
        <f aca="false">IF(INDEX(MASTER_DATABASE!$A$4:$A$1000,ROW()-3)="","",INDEX(MASTER_DATABASE!$BE$4:$BE$1000,ROW()-3)&amp;"")</f>
        <v/>
      </c>
    </row>
    <row r="315" customFormat="false" ht="15" hidden="false" customHeight="false" outlineLevel="0" collapsed="false">
      <c r="A315" s="11" t="str">
        <f aca="false">IF(INDEX(MASTER_DATABASE!$A$4:$A$1000,ROW()-3)="","",INDEX(MASTER_DATABASE!$A$4:$A$1000,ROW()-3)&amp;"")</f>
        <v/>
      </c>
      <c r="B315" s="7" t="str">
        <f aca="false">IF(INDEX(MASTER_DATABASE!$A$4:$A$1000,ROW()-3)="","",INDEX(MASTER_DATABASE!$B$4:$B$1000,ROW()-3)&amp;"")</f>
        <v/>
      </c>
      <c r="C315" s="7" t="str">
        <f aca="false">IF(INDEX(MASTER_DATABASE!$A$4:$A$1000,ROW()-3)="","",INDEX(MASTER_DATABASE!$C$4:$C$1000,ROW()-3)&amp;"")</f>
        <v/>
      </c>
      <c r="D315" s="7" t="str">
        <f aca="false">IF(INDEX(MASTER_DATABASE!$A$4:$A$1000,ROW()-3)="","",INDEX(MASTER_DATABASE!$D$4:$D$1000,ROW()-3)&amp;"")</f>
        <v/>
      </c>
      <c r="E315" s="7" t="str">
        <f aca="false">IF(INDEX(MASTER_DATABASE!$A$4:$A$1000,ROW()-3)="","",INDEX(MASTER_DATABASE!$E$4:$E$1000,ROW()-3)&amp;"")</f>
        <v/>
      </c>
      <c r="F315" s="7" t="str">
        <f aca="false">IF(INDEX(MASTER_DATABASE!$A$4:$A$1000,ROW()-3)="","",INDEX(MASTER_DATABASE!$F$4:$F$1000,ROW()-3)&amp;"")</f>
        <v/>
      </c>
      <c r="G315" s="7" t="str">
        <f aca="false">IF(INDEX(MASTER_DATABASE!$A$4:$A$1000,ROW()-3)="","",INDEX(MASTER_DATABASE!$AL$4:$AL$1000,ROW()-3)&amp;"")</f>
        <v/>
      </c>
      <c r="H315" s="7" t="str">
        <f aca="false">IF(INDEX(MASTER_DATABASE!$A$4:$A$1000,ROW()-3)="","",INDEX(MASTER_DATABASE!$AM$4:$AM$1000,ROW()-3)&amp;"")</f>
        <v/>
      </c>
      <c r="I315" s="7" t="str">
        <f aca="false">IF(INDEX(MASTER_DATABASE!$A$4:$A$1000,ROW()-3)="","",INDEX(MASTER_DATABASE!$AO$4:$AO$1000,ROW()-3)&amp;"")</f>
        <v/>
      </c>
      <c r="J315" s="7" t="str">
        <f aca="false">IF(INDEX(MASTER_DATABASE!$A$4:$A$1000,ROW()-3)="","",INDEX(MASTER_DATABASE!$BD$4:$BD$1000,ROW()-3)&amp;"")</f>
        <v/>
      </c>
      <c r="K315" s="7" t="str">
        <f aca="false">IF(INDEX(MASTER_DATABASE!$A$4:$A$1000,ROW()-3)="","",INDEX(MASTER_DATABASE!$AX$4:$AX$1000,ROW()-3)&amp;"")</f>
        <v/>
      </c>
      <c r="L315" s="7" t="str">
        <f aca="false">IF(INDEX(MASTER_DATABASE!$A$4:$A$1000,ROW()-3)="","",INDEX(MASTER_DATABASE!$AY$4:$AY$1000,ROW()-3)&amp;"")</f>
        <v/>
      </c>
      <c r="M315" s="7" t="str">
        <f aca="false">IF(INDEX(MASTER_DATABASE!$A$4:$A$1000,ROW()-3)="","",INDEX(MASTER_DATABASE!$AN$4:$AN$1000,ROW()-3)&amp;"")</f>
        <v/>
      </c>
      <c r="N315" s="7" t="str">
        <f aca="false">IF(INDEX(MASTER_DATABASE!$A$4:$A$1000,ROW()-3)="","",INDEX(MASTER_DATABASE!$AZ$4:$AZ$1000,ROW()-3)&amp;"")</f>
        <v/>
      </c>
      <c r="O315" s="7" t="str">
        <f aca="false">IF(INDEX(MASTER_DATABASE!$A$4:$A$1000,ROW()-3)="","",INDEX(MASTER_DATABASE!$BA$4:$BA$1000,ROW()-3)&amp;"")</f>
        <v/>
      </c>
      <c r="P315" s="11" t="str">
        <f aca="false">IF(INDEX(MASTER_DATABASE!$A$4:$A$1000,ROW()-3)="","",INDEX(MASTER_DATABASE!$AP$4:$AP$1000,ROW()-3)&amp;"")</f>
        <v/>
      </c>
      <c r="Q315" s="7" t="str">
        <f aca="false">IF(INDEX(MASTER_DATABASE!$A$4:$A$1000,ROW()-3)="","",INDEX(MASTER_DATABASE!$BB$4:$BB$1000,ROW()-3)&amp;"")</f>
        <v/>
      </c>
      <c r="R315" s="11" t="str">
        <f aca="false">IF(INDEX(MASTER_DATABASE!$A$4:$A$1000,ROW()-3)="","",INDEX(MASTER_DATABASE!$BC$4:$BC$1000,ROW()-3)&amp;"")</f>
        <v/>
      </c>
      <c r="S315" s="11" t="str">
        <f aca="false">IF(INDEX(MASTER_DATABASE!$A$4:$A$1000,ROW()-3)="","",INDEX(MASTER_DATABASE!$AQ$4:$AQ$1000,ROW()-3))</f>
        <v/>
      </c>
      <c r="T315" s="7" t="str">
        <f aca="false">IF(INDEX(MASTER_DATABASE!$A$4:$A$1000,ROW()-3)="","",INDEX(MASTER_DATABASE!$I$4:$I$1000,ROW()-3)&amp;"")</f>
        <v/>
      </c>
      <c r="U315" s="7" t="str">
        <f aca="false">IF(INDEX(MASTER_DATABASE!$A$4:$A$1000,ROW()-3)="","",INDEX(MASTER_DATABASE!$J$4:$J$1000,ROW()-3)&amp;"")</f>
        <v/>
      </c>
      <c r="V315" s="7" t="str">
        <f aca="false">IF(INDEX(MASTER_DATABASE!$A$4:$A$1000,ROW()-3)="","",INDEX(MASTER_DATABASE!$AG$4:$AG$1000,ROW()-3)&amp;"")</f>
        <v/>
      </c>
      <c r="W315" s="7" t="str">
        <f aca="false">IF(INDEX(MASTER_DATABASE!$A$4:$A$1000,ROW()-3)="","",INDEX(MASTER_DATABASE!$AH$4:$AH$1000,ROW()-3)&amp;"")</f>
        <v/>
      </c>
      <c r="X315" s="7" t="str">
        <f aca="false">IF(INDEX(MASTER_DATABASE!$A$4:$A$1000,ROW()-3)="","",INDEX(MASTER_DATABASE!$AI$4:$AI$1000,ROW()-3)&amp;"")</f>
        <v/>
      </c>
      <c r="Y315" s="7" t="str">
        <f aca="false">IF(INDEX(MASTER_DATABASE!$A$4:$A$1000,ROW()-3)="","",INDEX(MASTER_DATABASE!$AJ$4:$AJ$1000,ROW()-3)&amp;"")</f>
        <v/>
      </c>
      <c r="Z315" s="7" t="str">
        <f aca="false">IF(INDEX(MASTER_DATABASE!$A$4:$A$1000,ROW()-3)="","",INDEX(MASTER_DATABASE!$AK$4:$AK$1000,ROW()-3)&amp;"")</f>
        <v/>
      </c>
      <c r="AA315" s="7" t="str">
        <f aca="false">IF(INDEX(MASTER_DATABASE!$A$4:$A$1000,ROW()-3)="","",INDEX(MASTER_DATABASE!$BE$4:$BE$1000,ROW()-3)&amp;"")</f>
        <v/>
      </c>
    </row>
    <row r="316" customFormat="false" ht="15" hidden="false" customHeight="false" outlineLevel="0" collapsed="false">
      <c r="A316" s="11" t="str">
        <f aca="false">IF(INDEX(MASTER_DATABASE!$A$4:$A$1000,ROW()-3)="","",INDEX(MASTER_DATABASE!$A$4:$A$1000,ROW()-3)&amp;"")</f>
        <v/>
      </c>
      <c r="B316" s="7" t="str">
        <f aca="false">IF(INDEX(MASTER_DATABASE!$A$4:$A$1000,ROW()-3)="","",INDEX(MASTER_DATABASE!$B$4:$B$1000,ROW()-3)&amp;"")</f>
        <v/>
      </c>
      <c r="C316" s="7" t="str">
        <f aca="false">IF(INDEX(MASTER_DATABASE!$A$4:$A$1000,ROW()-3)="","",INDEX(MASTER_DATABASE!$C$4:$C$1000,ROW()-3)&amp;"")</f>
        <v/>
      </c>
      <c r="D316" s="7" t="str">
        <f aca="false">IF(INDEX(MASTER_DATABASE!$A$4:$A$1000,ROW()-3)="","",INDEX(MASTER_DATABASE!$D$4:$D$1000,ROW()-3)&amp;"")</f>
        <v/>
      </c>
      <c r="E316" s="7" t="str">
        <f aca="false">IF(INDEX(MASTER_DATABASE!$A$4:$A$1000,ROW()-3)="","",INDEX(MASTER_DATABASE!$E$4:$E$1000,ROW()-3)&amp;"")</f>
        <v/>
      </c>
      <c r="F316" s="7" t="str">
        <f aca="false">IF(INDEX(MASTER_DATABASE!$A$4:$A$1000,ROW()-3)="","",INDEX(MASTER_DATABASE!$F$4:$F$1000,ROW()-3)&amp;"")</f>
        <v/>
      </c>
      <c r="G316" s="7" t="str">
        <f aca="false">IF(INDEX(MASTER_DATABASE!$A$4:$A$1000,ROW()-3)="","",INDEX(MASTER_DATABASE!$AL$4:$AL$1000,ROW()-3)&amp;"")</f>
        <v/>
      </c>
      <c r="H316" s="7" t="str">
        <f aca="false">IF(INDEX(MASTER_DATABASE!$A$4:$A$1000,ROW()-3)="","",INDEX(MASTER_DATABASE!$AM$4:$AM$1000,ROW()-3)&amp;"")</f>
        <v/>
      </c>
      <c r="I316" s="7" t="str">
        <f aca="false">IF(INDEX(MASTER_DATABASE!$A$4:$A$1000,ROW()-3)="","",INDEX(MASTER_DATABASE!$AO$4:$AO$1000,ROW()-3)&amp;"")</f>
        <v/>
      </c>
      <c r="J316" s="7" t="str">
        <f aca="false">IF(INDEX(MASTER_DATABASE!$A$4:$A$1000,ROW()-3)="","",INDEX(MASTER_DATABASE!$BD$4:$BD$1000,ROW()-3)&amp;"")</f>
        <v/>
      </c>
      <c r="K316" s="7" t="str">
        <f aca="false">IF(INDEX(MASTER_DATABASE!$A$4:$A$1000,ROW()-3)="","",INDEX(MASTER_DATABASE!$AX$4:$AX$1000,ROW()-3)&amp;"")</f>
        <v/>
      </c>
      <c r="L316" s="7" t="str">
        <f aca="false">IF(INDEX(MASTER_DATABASE!$A$4:$A$1000,ROW()-3)="","",INDEX(MASTER_DATABASE!$AY$4:$AY$1000,ROW()-3)&amp;"")</f>
        <v/>
      </c>
      <c r="M316" s="7" t="str">
        <f aca="false">IF(INDEX(MASTER_DATABASE!$A$4:$A$1000,ROW()-3)="","",INDEX(MASTER_DATABASE!$AN$4:$AN$1000,ROW()-3)&amp;"")</f>
        <v/>
      </c>
      <c r="N316" s="7" t="str">
        <f aca="false">IF(INDEX(MASTER_DATABASE!$A$4:$A$1000,ROW()-3)="","",INDEX(MASTER_DATABASE!$AZ$4:$AZ$1000,ROW()-3)&amp;"")</f>
        <v/>
      </c>
      <c r="O316" s="7" t="str">
        <f aca="false">IF(INDEX(MASTER_DATABASE!$A$4:$A$1000,ROW()-3)="","",INDEX(MASTER_DATABASE!$BA$4:$BA$1000,ROW()-3)&amp;"")</f>
        <v/>
      </c>
      <c r="P316" s="11" t="str">
        <f aca="false">IF(INDEX(MASTER_DATABASE!$A$4:$A$1000,ROW()-3)="","",INDEX(MASTER_DATABASE!$AP$4:$AP$1000,ROW()-3)&amp;"")</f>
        <v/>
      </c>
      <c r="Q316" s="7" t="str">
        <f aca="false">IF(INDEX(MASTER_DATABASE!$A$4:$A$1000,ROW()-3)="","",INDEX(MASTER_DATABASE!$BB$4:$BB$1000,ROW()-3)&amp;"")</f>
        <v/>
      </c>
      <c r="R316" s="11" t="str">
        <f aca="false">IF(INDEX(MASTER_DATABASE!$A$4:$A$1000,ROW()-3)="","",INDEX(MASTER_DATABASE!$BC$4:$BC$1000,ROW()-3)&amp;"")</f>
        <v/>
      </c>
      <c r="S316" s="11" t="str">
        <f aca="false">IF(INDEX(MASTER_DATABASE!$A$4:$A$1000,ROW()-3)="","",INDEX(MASTER_DATABASE!$AQ$4:$AQ$1000,ROW()-3))</f>
        <v/>
      </c>
      <c r="T316" s="7" t="str">
        <f aca="false">IF(INDEX(MASTER_DATABASE!$A$4:$A$1000,ROW()-3)="","",INDEX(MASTER_DATABASE!$I$4:$I$1000,ROW()-3)&amp;"")</f>
        <v/>
      </c>
      <c r="U316" s="7" t="str">
        <f aca="false">IF(INDEX(MASTER_DATABASE!$A$4:$A$1000,ROW()-3)="","",INDEX(MASTER_DATABASE!$J$4:$J$1000,ROW()-3)&amp;"")</f>
        <v/>
      </c>
      <c r="V316" s="7" t="str">
        <f aca="false">IF(INDEX(MASTER_DATABASE!$A$4:$A$1000,ROW()-3)="","",INDEX(MASTER_DATABASE!$AG$4:$AG$1000,ROW()-3)&amp;"")</f>
        <v/>
      </c>
      <c r="W316" s="7" t="str">
        <f aca="false">IF(INDEX(MASTER_DATABASE!$A$4:$A$1000,ROW()-3)="","",INDEX(MASTER_DATABASE!$AH$4:$AH$1000,ROW()-3)&amp;"")</f>
        <v/>
      </c>
      <c r="X316" s="7" t="str">
        <f aca="false">IF(INDEX(MASTER_DATABASE!$A$4:$A$1000,ROW()-3)="","",INDEX(MASTER_DATABASE!$AI$4:$AI$1000,ROW()-3)&amp;"")</f>
        <v/>
      </c>
      <c r="Y316" s="7" t="str">
        <f aca="false">IF(INDEX(MASTER_DATABASE!$A$4:$A$1000,ROW()-3)="","",INDEX(MASTER_DATABASE!$AJ$4:$AJ$1000,ROW()-3)&amp;"")</f>
        <v/>
      </c>
      <c r="Z316" s="7" t="str">
        <f aca="false">IF(INDEX(MASTER_DATABASE!$A$4:$A$1000,ROW()-3)="","",INDEX(MASTER_DATABASE!$AK$4:$AK$1000,ROW()-3)&amp;"")</f>
        <v/>
      </c>
      <c r="AA316" s="7" t="str">
        <f aca="false">IF(INDEX(MASTER_DATABASE!$A$4:$A$1000,ROW()-3)="","",INDEX(MASTER_DATABASE!$BE$4:$BE$1000,ROW()-3)&amp;"")</f>
        <v/>
      </c>
    </row>
    <row r="317" customFormat="false" ht="15" hidden="false" customHeight="false" outlineLevel="0" collapsed="false">
      <c r="A317" s="11" t="str">
        <f aca="false">IF(INDEX(MASTER_DATABASE!$A$4:$A$1000,ROW()-3)="","",INDEX(MASTER_DATABASE!$A$4:$A$1000,ROW()-3)&amp;"")</f>
        <v/>
      </c>
      <c r="B317" s="7" t="str">
        <f aca="false">IF(INDEX(MASTER_DATABASE!$A$4:$A$1000,ROW()-3)="","",INDEX(MASTER_DATABASE!$B$4:$B$1000,ROW()-3)&amp;"")</f>
        <v/>
      </c>
      <c r="C317" s="7" t="str">
        <f aca="false">IF(INDEX(MASTER_DATABASE!$A$4:$A$1000,ROW()-3)="","",INDEX(MASTER_DATABASE!$C$4:$C$1000,ROW()-3)&amp;"")</f>
        <v/>
      </c>
      <c r="D317" s="7" t="str">
        <f aca="false">IF(INDEX(MASTER_DATABASE!$A$4:$A$1000,ROW()-3)="","",INDEX(MASTER_DATABASE!$D$4:$D$1000,ROW()-3)&amp;"")</f>
        <v/>
      </c>
      <c r="E317" s="7" t="str">
        <f aca="false">IF(INDEX(MASTER_DATABASE!$A$4:$A$1000,ROW()-3)="","",INDEX(MASTER_DATABASE!$E$4:$E$1000,ROW()-3)&amp;"")</f>
        <v/>
      </c>
      <c r="F317" s="7" t="str">
        <f aca="false">IF(INDEX(MASTER_DATABASE!$A$4:$A$1000,ROW()-3)="","",INDEX(MASTER_DATABASE!$F$4:$F$1000,ROW()-3)&amp;"")</f>
        <v/>
      </c>
      <c r="G317" s="7" t="str">
        <f aca="false">IF(INDEX(MASTER_DATABASE!$A$4:$A$1000,ROW()-3)="","",INDEX(MASTER_DATABASE!$AL$4:$AL$1000,ROW()-3)&amp;"")</f>
        <v/>
      </c>
      <c r="H317" s="7" t="str">
        <f aca="false">IF(INDEX(MASTER_DATABASE!$A$4:$A$1000,ROW()-3)="","",INDEX(MASTER_DATABASE!$AM$4:$AM$1000,ROW()-3)&amp;"")</f>
        <v/>
      </c>
      <c r="I317" s="7" t="str">
        <f aca="false">IF(INDEX(MASTER_DATABASE!$A$4:$A$1000,ROW()-3)="","",INDEX(MASTER_DATABASE!$AO$4:$AO$1000,ROW()-3)&amp;"")</f>
        <v/>
      </c>
      <c r="J317" s="7" t="str">
        <f aca="false">IF(INDEX(MASTER_DATABASE!$A$4:$A$1000,ROW()-3)="","",INDEX(MASTER_DATABASE!$BD$4:$BD$1000,ROW()-3)&amp;"")</f>
        <v/>
      </c>
      <c r="K317" s="7" t="str">
        <f aca="false">IF(INDEX(MASTER_DATABASE!$A$4:$A$1000,ROW()-3)="","",INDEX(MASTER_DATABASE!$AX$4:$AX$1000,ROW()-3)&amp;"")</f>
        <v/>
      </c>
      <c r="L317" s="7" t="str">
        <f aca="false">IF(INDEX(MASTER_DATABASE!$A$4:$A$1000,ROW()-3)="","",INDEX(MASTER_DATABASE!$AY$4:$AY$1000,ROW()-3)&amp;"")</f>
        <v/>
      </c>
      <c r="M317" s="7" t="str">
        <f aca="false">IF(INDEX(MASTER_DATABASE!$A$4:$A$1000,ROW()-3)="","",INDEX(MASTER_DATABASE!$AN$4:$AN$1000,ROW()-3)&amp;"")</f>
        <v/>
      </c>
      <c r="N317" s="7" t="str">
        <f aca="false">IF(INDEX(MASTER_DATABASE!$A$4:$A$1000,ROW()-3)="","",INDEX(MASTER_DATABASE!$AZ$4:$AZ$1000,ROW()-3)&amp;"")</f>
        <v/>
      </c>
      <c r="O317" s="7" t="str">
        <f aca="false">IF(INDEX(MASTER_DATABASE!$A$4:$A$1000,ROW()-3)="","",INDEX(MASTER_DATABASE!$BA$4:$BA$1000,ROW()-3)&amp;"")</f>
        <v/>
      </c>
      <c r="P317" s="11" t="str">
        <f aca="false">IF(INDEX(MASTER_DATABASE!$A$4:$A$1000,ROW()-3)="","",INDEX(MASTER_DATABASE!$AP$4:$AP$1000,ROW()-3)&amp;"")</f>
        <v/>
      </c>
      <c r="Q317" s="7" t="str">
        <f aca="false">IF(INDEX(MASTER_DATABASE!$A$4:$A$1000,ROW()-3)="","",INDEX(MASTER_DATABASE!$BB$4:$BB$1000,ROW()-3)&amp;"")</f>
        <v/>
      </c>
      <c r="R317" s="11" t="str">
        <f aca="false">IF(INDEX(MASTER_DATABASE!$A$4:$A$1000,ROW()-3)="","",INDEX(MASTER_DATABASE!$BC$4:$BC$1000,ROW()-3)&amp;"")</f>
        <v/>
      </c>
      <c r="S317" s="11" t="str">
        <f aca="false">IF(INDEX(MASTER_DATABASE!$A$4:$A$1000,ROW()-3)="","",INDEX(MASTER_DATABASE!$AQ$4:$AQ$1000,ROW()-3))</f>
        <v/>
      </c>
      <c r="T317" s="7" t="str">
        <f aca="false">IF(INDEX(MASTER_DATABASE!$A$4:$A$1000,ROW()-3)="","",INDEX(MASTER_DATABASE!$I$4:$I$1000,ROW()-3)&amp;"")</f>
        <v/>
      </c>
      <c r="U317" s="7" t="str">
        <f aca="false">IF(INDEX(MASTER_DATABASE!$A$4:$A$1000,ROW()-3)="","",INDEX(MASTER_DATABASE!$J$4:$J$1000,ROW()-3)&amp;"")</f>
        <v/>
      </c>
      <c r="V317" s="7" t="str">
        <f aca="false">IF(INDEX(MASTER_DATABASE!$A$4:$A$1000,ROW()-3)="","",INDEX(MASTER_DATABASE!$AG$4:$AG$1000,ROW()-3)&amp;"")</f>
        <v/>
      </c>
      <c r="W317" s="7" t="str">
        <f aca="false">IF(INDEX(MASTER_DATABASE!$A$4:$A$1000,ROW()-3)="","",INDEX(MASTER_DATABASE!$AH$4:$AH$1000,ROW()-3)&amp;"")</f>
        <v/>
      </c>
      <c r="X317" s="7" t="str">
        <f aca="false">IF(INDEX(MASTER_DATABASE!$A$4:$A$1000,ROW()-3)="","",INDEX(MASTER_DATABASE!$AI$4:$AI$1000,ROW()-3)&amp;"")</f>
        <v/>
      </c>
      <c r="Y317" s="7" t="str">
        <f aca="false">IF(INDEX(MASTER_DATABASE!$A$4:$A$1000,ROW()-3)="","",INDEX(MASTER_DATABASE!$AJ$4:$AJ$1000,ROW()-3)&amp;"")</f>
        <v/>
      </c>
      <c r="Z317" s="7" t="str">
        <f aca="false">IF(INDEX(MASTER_DATABASE!$A$4:$A$1000,ROW()-3)="","",INDEX(MASTER_DATABASE!$AK$4:$AK$1000,ROW()-3)&amp;"")</f>
        <v/>
      </c>
      <c r="AA317" s="7" t="str">
        <f aca="false">IF(INDEX(MASTER_DATABASE!$A$4:$A$1000,ROW()-3)="","",INDEX(MASTER_DATABASE!$BE$4:$BE$1000,ROW()-3)&amp;"")</f>
        <v/>
      </c>
    </row>
    <row r="318" customFormat="false" ht="15" hidden="false" customHeight="false" outlineLevel="0" collapsed="false">
      <c r="A318" s="11" t="str">
        <f aca="false">IF(INDEX(MASTER_DATABASE!$A$4:$A$1000,ROW()-3)="","",INDEX(MASTER_DATABASE!$A$4:$A$1000,ROW()-3)&amp;"")</f>
        <v/>
      </c>
      <c r="B318" s="7" t="str">
        <f aca="false">IF(INDEX(MASTER_DATABASE!$A$4:$A$1000,ROW()-3)="","",INDEX(MASTER_DATABASE!$B$4:$B$1000,ROW()-3)&amp;"")</f>
        <v/>
      </c>
      <c r="C318" s="7" t="str">
        <f aca="false">IF(INDEX(MASTER_DATABASE!$A$4:$A$1000,ROW()-3)="","",INDEX(MASTER_DATABASE!$C$4:$C$1000,ROW()-3)&amp;"")</f>
        <v/>
      </c>
      <c r="D318" s="7" t="str">
        <f aca="false">IF(INDEX(MASTER_DATABASE!$A$4:$A$1000,ROW()-3)="","",INDEX(MASTER_DATABASE!$D$4:$D$1000,ROW()-3)&amp;"")</f>
        <v/>
      </c>
      <c r="E318" s="7" t="str">
        <f aca="false">IF(INDEX(MASTER_DATABASE!$A$4:$A$1000,ROW()-3)="","",INDEX(MASTER_DATABASE!$E$4:$E$1000,ROW()-3)&amp;"")</f>
        <v/>
      </c>
      <c r="F318" s="7" t="str">
        <f aca="false">IF(INDEX(MASTER_DATABASE!$A$4:$A$1000,ROW()-3)="","",INDEX(MASTER_DATABASE!$F$4:$F$1000,ROW()-3)&amp;"")</f>
        <v/>
      </c>
      <c r="G318" s="7" t="str">
        <f aca="false">IF(INDEX(MASTER_DATABASE!$A$4:$A$1000,ROW()-3)="","",INDEX(MASTER_DATABASE!$AL$4:$AL$1000,ROW()-3)&amp;"")</f>
        <v/>
      </c>
      <c r="H318" s="7" t="str">
        <f aca="false">IF(INDEX(MASTER_DATABASE!$A$4:$A$1000,ROW()-3)="","",INDEX(MASTER_DATABASE!$AM$4:$AM$1000,ROW()-3)&amp;"")</f>
        <v/>
      </c>
      <c r="I318" s="7" t="str">
        <f aca="false">IF(INDEX(MASTER_DATABASE!$A$4:$A$1000,ROW()-3)="","",INDEX(MASTER_DATABASE!$AO$4:$AO$1000,ROW()-3)&amp;"")</f>
        <v/>
      </c>
      <c r="J318" s="7" t="str">
        <f aca="false">IF(INDEX(MASTER_DATABASE!$A$4:$A$1000,ROW()-3)="","",INDEX(MASTER_DATABASE!$BD$4:$BD$1000,ROW()-3)&amp;"")</f>
        <v/>
      </c>
      <c r="K318" s="7" t="str">
        <f aca="false">IF(INDEX(MASTER_DATABASE!$A$4:$A$1000,ROW()-3)="","",INDEX(MASTER_DATABASE!$AX$4:$AX$1000,ROW()-3)&amp;"")</f>
        <v/>
      </c>
      <c r="L318" s="7" t="str">
        <f aca="false">IF(INDEX(MASTER_DATABASE!$A$4:$A$1000,ROW()-3)="","",INDEX(MASTER_DATABASE!$AY$4:$AY$1000,ROW()-3)&amp;"")</f>
        <v/>
      </c>
      <c r="M318" s="7" t="str">
        <f aca="false">IF(INDEX(MASTER_DATABASE!$A$4:$A$1000,ROW()-3)="","",INDEX(MASTER_DATABASE!$AN$4:$AN$1000,ROW()-3)&amp;"")</f>
        <v/>
      </c>
      <c r="N318" s="7" t="str">
        <f aca="false">IF(INDEX(MASTER_DATABASE!$A$4:$A$1000,ROW()-3)="","",INDEX(MASTER_DATABASE!$AZ$4:$AZ$1000,ROW()-3)&amp;"")</f>
        <v/>
      </c>
      <c r="O318" s="7" t="str">
        <f aca="false">IF(INDEX(MASTER_DATABASE!$A$4:$A$1000,ROW()-3)="","",INDEX(MASTER_DATABASE!$BA$4:$BA$1000,ROW()-3)&amp;"")</f>
        <v/>
      </c>
      <c r="P318" s="11" t="str">
        <f aca="false">IF(INDEX(MASTER_DATABASE!$A$4:$A$1000,ROW()-3)="","",INDEX(MASTER_DATABASE!$AP$4:$AP$1000,ROW()-3)&amp;"")</f>
        <v/>
      </c>
      <c r="Q318" s="7" t="str">
        <f aca="false">IF(INDEX(MASTER_DATABASE!$A$4:$A$1000,ROW()-3)="","",INDEX(MASTER_DATABASE!$BB$4:$BB$1000,ROW()-3)&amp;"")</f>
        <v/>
      </c>
      <c r="R318" s="11" t="str">
        <f aca="false">IF(INDEX(MASTER_DATABASE!$A$4:$A$1000,ROW()-3)="","",INDEX(MASTER_DATABASE!$BC$4:$BC$1000,ROW()-3)&amp;"")</f>
        <v/>
      </c>
      <c r="S318" s="11" t="str">
        <f aca="false">IF(INDEX(MASTER_DATABASE!$A$4:$A$1000,ROW()-3)="","",INDEX(MASTER_DATABASE!$AQ$4:$AQ$1000,ROW()-3))</f>
        <v/>
      </c>
      <c r="T318" s="7" t="str">
        <f aca="false">IF(INDEX(MASTER_DATABASE!$A$4:$A$1000,ROW()-3)="","",INDEX(MASTER_DATABASE!$I$4:$I$1000,ROW()-3)&amp;"")</f>
        <v/>
      </c>
      <c r="U318" s="7" t="str">
        <f aca="false">IF(INDEX(MASTER_DATABASE!$A$4:$A$1000,ROW()-3)="","",INDEX(MASTER_DATABASE!$J$4:$J$1000,ROW()-3)&amp;"")</f>
        <v/>
      </c>
      <c r="V318" s="7" t="str">
        <f aca="false">IF(INDEX(MASTER_DATABASE!$A$4:$A$1000,ROW()-3)="","",INDEX(MASTER_DATABASE!$AG$4:$AG$1000,ROW()-3)&amp;"")</f>
        <v/>
      </c>
      <c r="W318" s="7" t="str">
        <f aca="false">IF(INDEX(MASTER_DATABASE!$A$4:$A$1000,ROW()-3)="","",INDEX(MASTER_DATABASE!$AH$4:$AH$1000,ROW()-3)&amp;"")</f>
        <v/>
      </c>
      <c r="X318" s="7" t="str">
        <f aca="false">IF(INDEX(MASTER_DATABASE!$A$4:$A$1000,ROW()-3)="","",INDEX(MASTER_DATABASE!$AI$4:$AI$1000,ROW()-3)&amp;"")</f>
        <v/>
      </c>
      <c r="Y318" s="7" t="str">
        <f aca="false">IF(INDEX(MASTER_DATABASE!$A$4:$A$1000,ROW()-3)="","",INDEX(MASTER_DATABASE!$AJ$4:$AJ$1000,ROW()-3)&amp;"")</f>
        <v/>
      </c>
      <c r="Z318" s="7" t="str">
        <f aca="false">IF(INDEX(MASTER_DATABASE!$A$4:$A$1000,ROW()-3)="","",INDEX(MASTER_DATABASE!$AK$4:$AK$1000,ROW()-3)&amp;"")</f>
        <v/>
      </c>
      <c r="AA318" s="7" t="str">
        <f aca="false">IF(INDEX(MASTER_DATABASE!$A$4:$A$1000,ROW()-3)="","",INDEX(MASTER_DATABASE!$BE$4:$BE$1000,ROW()-3)&amp;"")</f>
        <v/>
      </c>
    </row>
    <row r="319" customFormat="false" ht="15" hidden="false" customHeight="false" outlineLevel="0" collapsed="false">
      <c r="A319" s="11" t="str">
        <f aca="false">IF(INDEX(MASTER_DATABASE!$A$4:$A$1000,ROW()-3)="","",INDEX(MASTER_DATABASE!$A$4:$A$1000,ROW()-3)&amp;"")</f>
        <v/>
      </c>
      <c r="B319" s="7" t="str">
        <f aca="false">IF(INDEX(MASTER_DATABASE!$A$4:$A$1000,ROW()-3)="","",INDEX(MASTER_DATABASE!$B$4:$B$1000,ROW()-3)&amp;"")</f>
        <v/>
      </c>
      <c r="C319" s="7" t="str">
        <f aca="false">IF(INDEX(MASTER_DATABASE!$A$4:$A$1000,ROW()-3)="","",INDEX(MASTER_DATABASE!$C$4:$C$1000,ROW()-3)&amp;"")</f>
        <v/>
      </c>
      <c r="D319" s="7" t="str">
        <f aca="false">IF(INDEX(MASTER_DATABASE!$A$4:$A$1000,ROW()-3)="","",INDEX(MASTER_DATABASE!$D$4:$D$1000,ROW()-3)&amp;"")</f>
        <v/>
      </c>
      <c r="E319" s="7" t="str">
        <f aca="false">IF(INDEX(MASTER_DATABASE!$A$4:$A$1000,ROW()-3)="","",INDEX(MASTER_DATABASE!$E$4:$E$1000,ROW()-3)&amp;"")</f>
        <v/>
      </c>
      <c r="F319" s="7" t="str">
        <f aca="false">IF(INDEX(MASTER_DATABASE!$A$4:$A$1000,ROW()-3)="","",INDEX(MASTER_DATABASE!$F$4:$F$1000,ROW()-3)&amp;"")</f>
        <v/>
      </c>
      <c r="G319" s="7" t="str">
        <f aca="false">IF(INDEX(MASTER_DATABASE!$A$4:$A$1000,ROW()-3)="","",INDEX(MASTER_DATABASE!$AL$4:$AL$1000,ROW()-3)&amp;"")</f>
        <v/>
      </c>
      <c r="H319" s="7" t="str">
        <f aca="false">IF(INDEX(MASTER_DATABASE!$A$4:$A$1000,ROW()-3)="","",INDEX(MASTER_DATABASE!$AM$4:$AM$1000,ROW()-3)&amp;"")</f>
        <v/>
      </c>
      <c r="I319" s="7" t="str">
        <f aca="false">IF(INDEX(MASTER_DATABASE!$A$4:$A$1000,ROW()-3)="","",INDEX(MASTER_DATABASE!$AO$4:$AO$1000,ROW()-3)&amp;"")</f>
        <v/>
      </c>
      <c r="J319" s="7" t="str">
        <f aca="false">IF(INDEX(MASTER_DATABASE!$A$4:$A$1000,ROW()-3)="","",INDEX(MASTER_DATABASE!$BD$4:$BD$1000,ROW()-3)&amp;"")</f>
        <v/>
      </c>
      <c r="K319" s="7" t="str">
        <f aca="false">IF(INDEX(MASTER_DATABASE!$A$4:$A$1000,ROW()-3)="","",INDEX(MASTER_DATABASE!$AX$4:$AX$1000,ROW()-3)&amp;"")</f>
        <v/>
      </c>
      <c r="L319" s="7" t="str">
        <f aca="false">IF(INDEX(MASTER_DATABASE!$A$4:$A$1000,ROW()-3)="","",INDEX(MASTER_DATABASE!$AY$4:$AY$1000,ROW()-3)&amp;"")</f>
        <v/>
      </c>
      <c r="M319" s="7" t="str">
        <f aca="false">IF(INDEX(MASTER_DATABASE!$A$4:$A$1000,ROW()-3)="","",INDEX(MASTER_DATABASE!$AN$4:$AN$1000,ROW()-3)&amp;"")</f>
        <v/>
      </c>
      <c r="N319" s="7" t="str">
        <f aca="false">IF(INDEX(MASTER_DATABASE!$A$4:$A$1000,ROW()-3)="","",INDEX(MASTER_DATABASE!$AZ$4:$AZ$1000,ROW()-3)&amp;"")</f>
        <v/>
      </c>
      <c r="O319" s="7" t="str">
        <f aca="false">IF(INDEX(MASTER_DATABASE!$A$4:$A$1000,ROW()-3)="","",INDEX(MASTER_DATABASE!$BA$4:$BA$1000,ROW()-3)&amp;"")</f>
        <v/>
      </c>
      <c r="P319" s="11" t="str">
        <f aca="false">IF(INDEX(MASTER_DATABASE!$A$4:$A$1000,ROW()-3)="","",INDEX(MASTER_DATABASE!$AP$4:$AP$1000,ROW()-3)&amp;"")</f>
        <v/>
      </c>
      <c r="Q319" s="7" t="str">
        <f aca="false">IF(INDEX(MASTER_DATABASE!$A$4:$A$1000,ROW()-3)="","",INDEX(MASTER_DATABASE!$BB$4:$BB$1000,ROW()-3)&amp;"")</f>
        <v/>
      </c>
      <c r="R319" s="11" t="str">
        <f aca="false">IF(INDEX(MASTER_DATABASE!$A$4:$A$1000,ROW()-3)="","",INDEX(MASTER_DATABASE!$BC$4:$BC$1000,ROW()-3)&amp;"")</f>
        <v/>
      </c>
      <c r="S319" s="11" t="str">
        <f aca="false">IF(INDEX(MASTER_DATABASE!$A$4:$A$1000,ROW()-3)="","",INDEX(MASTER_DATABASE!$AQ$4:$AQ$1000,ROW()-3))</f>
        <v/>
      </c>
      <c r="T319" s="7" t="str">
        <f aca="false">IF(INDEX(MASTER_DATABASE!$A$4:$A$1000,ROW()-3)="","",INDEX(MASTER_DATABASE!$I$4:$I$1000,ROW()-3)&amp;"")</f>
        <v/>
      </c>
      <c r="U319" s="7" t="str">
        <f aca="false">IF(INDEX(MASTER_DATABASE!$A$4:$A$1000,ROW()-3)="","",INDEX(MASTER_DATABASE!$J$4:$J$1000,ROW()-3)&amp;"")</f>
        <v/>
      </c>
      <c r="V319" s="7" t="str">
        <f aca="false">IF(INDEX(MASTER_DATABASE!$A$4:$A$1000,ROW()-3)="","",INDEX(MASTER_DATABASE!$AG$4:$AG$1000,ROW()-3)&amp;"")</f>
        <v/>
      </c>
      <c r="W319" s="7" t="str">
        <f aca="false">IF(INDEX(MASTER_DATABASE!$A$4:$A$1000,ROW()-3)="","",INDEX(MASTER_DATABASE!$AH$4:$AH$1000,ROW()-3)&amp;"")</f>
        <v/>
      </c>
      <c r="X319" s="7" t="str">
        <f aca="false">IF(INDEX(MASTER_DATABASE!$A$4:$A$1000,ROW()-3)="","",INDEX(MASTER_DATABASE!$AI$4:$AI$1000,ROW()-3)&amp;"")</f>
        <v/>
      </c>
      <c r="Y319" s="7" t="str">
        <f aca="false">IF(INDEX(MASTER_DATABASE!$A$4:$A$1000,ROW()-3)="","",INDEX(MASTER_DATABASE!$AJ$4:$AJ$1000,ROW()-3)&amp;"")</f>
        <v/>
      </c>
      <c r="Z319" s="7" t="str">
        <f aca="false">IF(INDEX(MASTER_DATABASE!$A$4:$A$1000,ROW()-3)="","",INDEX(MASTER_DATABASE!$AK$4:$AK$1000,ROW()-3)&amp;"")</f>
        <v/>
      </c>
      <c r="AA319" s="7" t="str">
        <f aca="false">IF(INDEX(MASTER_DATABASE!$A$4:$A$1000,ROW()-3)="","",INDEX(MASTER_DATABASE!$BE$4:$BE$1000,ROW()-3)&amp;"")</f>
        <v/>
      </c>
    </row>
    <row r="320" customFormat="false" ht="15" hidden="false" customHeight="false" outlineLevel="0" collapsed="false">
      <c r="A320" s="11" t="str">
        <f aca="false">IF(INDEX(MASTER_DATABASE!$A$4:$A$1000,ROW()-3)="","",INDEX(MASTER_DATABASE!$A$4:$A$1000,ROW()-3)&amp;"")</f>
        <v/>
      </c>
      <c r="B320" s="7" t="str">
        <f aca="false">IF(INDEX(MASTER_DATABASE!$A$4:$A$1000,ROW()-3)="","",INDEX(MASTER_DATABASE!$B$4:$B$1000,ROW()-3)&amp;"")</f>
        <v/>
      </c>
      <c r="C320" s="7" t="str">
        <f aca="false">IF(INDEX(MASTER_DATABASE!$A$4:$A$1000,ROW()-3)="","",INDEX(MASTER_DATABASE!$C$4:$C$1000,ROW()-3)&amp;"")</f>
        <v/>
      </c>
      <c r="D320" s="7" t="str">
        <f aca="false">IF(INDEX(MASTER_DATABASE!$A$4:$A$1000,ROW()-3)="","",INDEX(MASTER_DATABASE!$D$4:$D$1000,ROW()-3)&amp;"")</f>
        <v/>
      </c>
      <c r="E320" s="7" t="str">
        <f aca="false">IF(INDEX(MASTER_DATABASE!$A$4:$A$1000,ROW()-3)="","",INDEX(MASTER_DATABASE!$E$4:$E$1000,ROW()-3)&amp;"")</f>
        <v/>
      </c>
      <c r="F320" s="7" t="str">
        <f aca="false">IF(INDEX(MASTER_DATABASE!$A$4:$A$1000,ROW()-3)="","",INDEX(MASTER_DATABASE!$F$4:$F$1000,ROW()-3)&amp;"")</f>
        <v/>
      </c>
      <c r="G320" s="7" t="str">
        <f aca="false">IF(INDEX(MASTER_DATABASE!$A$4:$A$1000,ROW()-3)="","",INDEX(MASTER_DATABASE!$AL$4:$AL$1000,ROW()-3)&amp;"")</f>
        <v/>
      </c>
      <c r="H320" s="7" t="str">
        <f aca="false">IF(INDEX(MASTER_DATABASE!$A$4:$A$1000,ROW()-3)="","",INDEX(MASTER_DATABASE!$AM$4:$AM$1000,ROW()-3)&amp;"")</f>
        <v/>
      </c>
      <c r="I320" s="7" t="str">
        <f aca="false">IF(INDEX(MASTER_DATABASE!$A$4:$A$1000,ROW()-3)="","",INDEX(MASTER_DATABASE!$AO$4:$AO$1000,ROW()-3)&amp;"")</f>
        <v/>
      </c>
      <c r="J320" s="7" t="str">
        <f aca="false">IF(INDEX(MASTER_DATABASE!$A$4:$A$1000,ROW()-3)="","",INDEX(MASTER_DATABASE!$BD$4:$BD$1000,ROW()-3)&amp;"")</f>
        <v/>
      </c>
      <c r="K320" s="7" t="str">
        <f aca="false">IF(INDEX(MASTER_DATABASE!$A$4:$A$1000,ROW()-3)="","",INDEX(MASTER_DATABASE!$AX$4:$AX$1000,ROW()-3)&amp;"")</f>
        <v/>
      </c>
      <c r="L320" s="7" t="str">
        <f aca="false">IF(INDEX(MASTER_DATABASE!$A$4:$A$1000,ROW()-3)="","",INDEX(MASTER_DATABASE!$AY$4:$AY$1000,ROW()-3)&amp;"")</f>
        <v/>
      </c>
      <c r="M320" s="7" t="str">
        <f aca="false">IF(INDEX(MASTER_DATABASE!$A$4:$A$1000,ROW()-3)="","",INDEX(MASTER_DATABASE!$AN$4:$AN$1000,ROW()-3)&amp;"")</f>
        <v/>
      </c>
      <c r="N320" s="7" t="str">
        <f aca="false">IF(INDEX(MASTER_DATABASE!$A$4:$A$1000,ROW()-3)="","",INDEX(MASTER_DATABASE!$AZ$4:$AZ$1000,ROW()-3)&amp;"")</f>
        <v/>
      </c>
      <c r="O320" s="7" t="str">
        <f aca="false">IF(INDEX(MASTER_DATABASE!$A$4:$A$1000,ROW()-3)="","",INDEX(MASTER_DATABASE!$BA$4:$BA$1000,ROW()-3)&amp;"")</f>
        <v/>
      </c>
      <c r="P320" s="11" t="str">
        <f aca="false">IF(INDEX(MASTER_DATABASE!$A$4:$A$1000,ROW()-3)="","",INDEX(MASTER_DATABASE!$AP$4:$AP$1000,ROW()-3)&amp;"")</f>
        <v/>
      </c>
      <c r="Q320" s="7" t="str">
        <f aca="false">IF(INDEX(MASTER_DATABASE!$A$4:$A$1000,ROW()-3)="","",INDEX(MASTER_DATABASE!$BB$4:$BB$1000,ROW()-3)&amp;"")</f>
        <v/>
      </c>
      <c r="R320" s="11" t="str">
        <f aca="false">IF(INDEX(MASTER_DATABASE!$A$4:$A$1000,ROW()-3)="","",INDEX(MASTER_DATABASE!$BC$4:$BC$1000,ROW()-3)&amp;"")</f>
        <v/>
      </c>
      <c r="S320" s="11" t="str">
        <f aca="false">IF(INDEX(MASTER_DATABASE!$A$4:$A$1000,ROW()-3)="","",INDEX(MASTER_DATABASE!$AQ$4:$AQ$1000,ROW()-3))</f>
        <v/>
      </c>
      <c r="T320" s="7" t="str">
        <f aca="false">IF(INDEX(MASTER_DATABASE!$A$4:$A$1000,ROW()-3)="","",INDEX(MASTER_DATABASE!$I$4:$I$1000,ROW()-3)&amp;"")</f>
        <v/>
      </c>
      <c r="U320" s="7" t="str">
        <f aca="false">IF(INDEX(MASTER_DATABASE!$A$4:$A$1000,ROW()-3)="","",INDEX(MASTER_DATABASE!$J$4:$J$1000,ROW()-3)&amp;"")</f>
        <v/>
      </c>
      <c r="V320" s="7" t="str">
        <f aca="false">IF(INDEX(MASTER_DATABASE!$A$4:$A$1000,ROW()-3)="","",INDEX(MASTER_DATABASE!$AG$4:$AG$1000,ROW()-3)&amp;"")</f>
        <v/>
      </c>
      <c r="W320" s="7" t="str">
        <f aca="false">IF(INDEX(MASTER_DATABASE!$A$4:$A$1000,ROW()-3)="","",INDEX(MASTER_DATABASE!$AH$4:$AH$1000,ROW()-3)&amp;"")</f>
        <v/>
      </c>
      <c r="X320" s="7" t="str">
        <f aca="false">IF(INDEX(MASTER_DATABASE!$A$4:$A$1000,ROW()-3)="","",INDEX(MASTER_DATABASE!$AI$4:$AI$1000,ROW()-3)&amp;"")</f>
        <v/>
      </c>
      <c r="Y320" s="7" t="str">
        <f aca="false">IF(INDEX(MASTER_DATABASE!$A$4:$A$1000,ROW()-3)="","",INDEX(MASTER_DATABASE!$AJ$4:$AJ$1000,ROW()-3)&amp;"")</f>
        <v/>
      </c>
      <c r="Z320" s="7" t="str">
        <f aca="false">IF(INDEX(MASTER_DATABASE!$A$4:$A$1000,ROW()-3)="","",INDEX(MASTER_DATABASE!$AK$4:$AK$1000,ROW()-3)&amp;"")</f>
        <v/>
      </c>
      <c r="AA320" s="7" t="str">
        <f aca="false">IF(INDEX(MASTER_DATABASE!$A$4:$A$1000,ROW()-3)="","",INDEX(MASTER_DATABASE!$BE$4:$BE$1000,ROW()-3)&amp;"")</f>
        <v/>
      </c>
    </row>
    <row r="321" customFormat="false" ht="15" hidden="false" customHeight="false" outlineLevel="0" collapsed="false">
      <c r="A321" s="11" t="str">
        <f aca="false">IF(INDEX(MASTER_DATABASE!$A$4:$A$1000,ROW()-3)="","",INDEX(MASTER_DATABASE!$A$4:$A$1000,ROW()-3)&amp;"")</f>
        <v/>
      </c>
      <c r="B321" s="7" t="str">
        <f aca="false">IF(INDEX(MASTER_DATABASE!$A$4:$A$1000,ROW()-3)="","",INDEX(MASTER_DATABASE!$B$4:$B$1000,ROW()-3)&amp;"")</f>
        <v/>
      </c>
      <c r="C321" s="7" t="str">
        <f aca="false">IF(INDEX(MASTER_DATABASE!$A$4:$A$1000,ROW()-3)="","",INDEX(MASTER_DATABASE!$C$4:$C$1000,ROW()-3)&amp;"")</f>
        <v/>
      </c>
      <c r="D321" s="7" t="str">
        <f aca="false">IF(INDEX(MASTER_DATABASE!$A$4:$A$1000,ROW()-3)="","",INDEX(MASTER_DATABASE!$D$4:$D$1000,ROW()-3)&amp;"")</f>
        <v/>
      </c>
      <c r="E321" s="7" t="str">
        <f aca="false">IF(INDEX(MASTER_DATABASE!$A$4:$A$1000,ROW()-3)="","",INDEX(MASTER_DATABASE!$E$4:$E$1000,ROW()-3)&amp;"")</f>
        <v/>
      </c>
      <c r="F321" s="7" t="str">
        <f aca="false">IF(INDEX(MASTER_DATABASE!$A$4:$A$1000,ROW()-3)="","",INDEX(MASTER_DATABASE!$F$4:$F$1000,ROW()-3)&amp;"")</f>
        <v/>
      </c>
      <c r="G321" s="7" t="str">
        <f aca="false">IF(INDEX(MASTER_DATABASE!$A$4:$A$1000,ROW()-3)="","",INDEX(MASTER_DATABASE!$AL$4:$AL$1000,ROW()-3)&amp;"")</f>
        <v/>
      </c>
      <c r="H321" s="7" t="str">
        <f aca="false">IF(INDEX(MASTER_DATABASE!$A$4:$A$1000,ROW()-3)="","",INDEX(MASTER_DATABASE!$AM$4:$AM$1000,ROW()-3)&amp;"")</f>
        <v/>
      </c>
      <c r="I321" s="7" t="str">
        <f aca="false">IF(INDEX(MASTER_DATABASE!$A$4:$A$1000,ROW()-3)="","",INDEX(MASTER_DATABASE!$AO$4:$AO$1000,ROW()-3)&amp;"")</f>
        <v/>
      </c>
      <c r="J321" s="7" t="str">
        <f aca="false">IF(INDEX(MASTER_DATABASE!$A$4:$A$1000,ROW()-3)="","",INDEX(MASTER_DATABASE!$BD$4:$BD$1000,ROW()-3)&amp;"")</f>
        <v/>
      </c>
      <c r="K321" s="7" t="str">
        <f aca="false">IF(INDEX(MASTER_DATABASE!$A$4:$A$1000,ROW()-3)="","",INDEX(MASTER_DATABASE!$AX$4:$AX$1000,ROW()-3)&amp;"")</f>
        <v/>
      </c>
      <c r="L321" s="7" t="str">
        <f aca="false">IF(INDEX(MASTER_DATABASE!$A$4:$A$1000,ROW()-3)="","",INDEX(MASTER_DATABASE!$AY$4:$AY$1000,ROW()-3)&amp;"")</f>
        <v/>
      </c>
      <c r="M321" s="7" t="str">
        <f aca="false">IF(INDEX(MASTER_DATABASE!$A$4:$A$1000,ROW()-3)="","",INDEX(MASTER_DATABASE!$AN$4:$AN$1000,ROW()-3)&amp;"")</f>
        <v/>
      </c>
      <c r="N321" s="7" t="str">
        <f aca="false">IF(INDEX(MASTER_DATABASE!$A$4:$A$1000,ROW()-3)="","",INDEX(MASTER_DATABASE!$AZ$4:$AZ$1000,ROW()-3)&amp;"")</f>
        <v/>
      </c>
      <c r="O321" s="7" t="str">
        <f aca="false">IF(INDEX(MASTER_DATABASE!$A$4:$A$1000,ROW()-3)="","",INDEX(MASTER_DATABASE!$BA$4:$BA$1000,ROW()-3)&amp;"")</f>
        <v/>
      </c>
      <c r="P321" s="11" t="str">
        <f aca="false">IF(INDEX(MASTER_DATABASE!$A$4:$A$1000,ROW()-3)="","",INDEX(MASTER_DATABASE!$AP$4:$AP$1000,ROW()-3)&amp;"")</f>
        <v/>
      </c>
      <c r="Q321" s="7" t="str">
        <f aca="false">IF(INDEX(MASTER_DATABASE!$A$4:$A$1000,ROW()-3)="","",INDEX(MASTER_DATABASE!$BB$4:$BB$1000,ROW()-3)&amp;"")</f>
        <v/>
      </c>
      <c r="R321" s="11" t="str">
        <f aca="false">IF(INDEX(MASTER_DATABASE!$A$4:$A$1000,ROW()-3)="","",INDEX(MASTER_DATABASE!$BC$4:$BC$1000,ROW()-3)&amp;"")</f>
        <v/>
      </c>
      <c r="S321" s="11" t="str">
        <f aca="false">IF(INDEX(MASTER_DATABASE!$A$4:$A$1000,ROW()-3)="","",INDEX(MASTER_DATABASE!$AQ$4:$AQ$1000,ROW()-3))</f>
        <v/>
      </c>
      <c r="T321" s="7" t="str">
        <f aca="false">IF(INDEX(MASTER_DATABASE!$A$4:$A$1000,ROW()-3)="","",INDEX(MASTER_DATABASE!$I$4:$I$1000,ROW()-3)&amp;"")</f>
        <v/>
      </c>
      <c r="U321" s="7" t="str">
        <f aca="false">IF(INDEX(MASTER_DATABASE!$A$4:$A$1000,ROW()-3)="","",INDEX(MASTER_DATABASE!$J$4:$J$1000,ROW()-3)&amp;"")</f>
        <v/>
      </c>
      <c r="V321" s="7" t="str">
        <f aca="false">IF(INDEX(MASTER_DATABASE!$A$4:$A$1000,ROW()-3)="","",INDEX(MASTER_DATABASE!$AG$4:$AG$1000,ROW()-3)&amp;"")</f>
        <v/>
      </c>
      <c r="W321" s="7" t="str">
        <f aca="false">IF(INDEX(MASTER_DATABASE!$A$4:$A$1000,ROW()-3)="","",INDEX(MASTER_DATABASE!$AH$4:$AH$1000,ROW()-3)&amp;"")</f>
        <v/>
      </c>
      <c r="X321" s="7" t="str">
        <f aca="false">IF(INDEX(MASTER_DATABASE!$A$4:$A$1000,ROW()-3)="","",INDEX(MASTER_DATABASE!$AI$4:$AI$1000,ROW()-3)&amp;"")</f>
        <v/>
      </c>
      <c r="Y321" s="7" t="str">
        <f aca="false">IF(INDEX(MASTER_DATABASE!$A$4:$A$1000,ROW()-3)="","",INDEX(MASTER_DATABASE!$AJ$4:$AJ$1000,ROW()-3)&amp;"")</f>
        <v/>
      </c>
      <c r="Z321" s="7" t="str">
        <f aca="false">IF(INDEX(MASTER_DATABASE!$A$4:$A$1000,ROW()-3)="","",INDEX(MASTER_DATABASE!$AK$4:$AK$1000,ROW()-3)&amp;"")</f>
        <v/>
      </c>
      <c r="AA321" s="7" t="str">
        <f aca="false">IF(INDEX(MASTER_DATABASE!$A$4:$A$1000,ROW()-3)="","",INDEX(MASTER_DATABASE!$BE$4:$BE$1000,ROW()-3)&amp;"")</f>
        <v/>
      </c>
    </row>
    <row r="322" customFormat="false" ht="15" hidden="false" customHeight="false" outlineLevel="0" collapsed="false">
      <c r="A322" s="11" t="str">
        <f aca="false">IF(INDEX(MASTER_DATABASE!$A$4:$A$1000,ROW()-3)="","",INDEX(MASTER_DATABASE!$A$4:$A$1000,ROW()-3)&amp;"")</f>
        <v/>
      </c>
      <c r="B322" s="7" t="str">
        <f aca="false">IF(INDEX(MASTER_DATABASE!$A$4:$A$1000,ROW()-3)="","",INDEX(MASTER_DATABASE!$B$4:$B$1000,ROW()-3)&amp;"")</f>
        <v/>
      </c>
      <c r="C322" s="7" t="str">
        <f aca="false">IF(INDEX(MASTER_DATABASE!$A$4:$A$1000,ROW()-3)="","",INDEX(MASTER_DATABASE!$C$4:$C$1000,ROW()-3)&amp;"")</f>
        <v/>
      </c>
      <c r="D322" s="7" t="str">
        <f aca="false">IF(INDEX(MASTER_DATABASE!$A$4:$A$1000,ROW()-3)="","",INDEX(MASTER_DATABASE!$D$4:$D$1000,ROW()-3)&amp;"")</f>
        <v/>
      </c>
      <c r="E322" s="7" t="str">
        <f aca="false">IF(INDEX(MASTER_DATABASE!$A$4:$A$1000,ROW()-3)="","",INDEX(MASTER_DATABASE!$E$4:$E$1000,ROW()-3)&amp;"")</f>
        <v/>
      </c>
      <c r="F322" s="7" t="str">
        <f aca="false">IF(INDEX(MASTER_DATABASE!$A$4:$A$1000,ROW()-3)="","",INDEX(MASTER_DATABASE!$F$4:$F$1000,ROW()-3)&amp;"")</f>
        <v/>
      </c>
      <c r="G322" s="7" t="str">
        <f aca="false">IF(INDEX(MASTER_DATABASE!$A$4:$A$1000,ROW()-3)="","",INDEX(MASTER_DATABASE!$AL$4:$AL$1000,ROW()-3)&amp;"")</f>
        <v/>
      </c>
      <c r="H322" s="7" t="str">
        <f aca="false">IF(INDEX(MASTER_DATABASE!$A$4:$A$1000,ROW()-3)="","",INDEX(MASTER_DATABASE!$AM$4:$AM$1000,ROW()-3)&amp;"")</f>
        <v/>
      </c>
      <c r="I322" s="7" t="str">
        <f aca="false">IF(INDEX(MASTER_DATABASE!$A$4:$A$1000,ROW()-3)="","",INDEX(MASTER_DATABASE!$AO$4:$AO$1000,ROW()-3)&amp;"")</f>
        <v/>
      </c>
      <c r="J322" s="7" t="str">
        <f aca="false">IF(INDEX(MASTER_DATABASE!$A$4:$A$1000,ROW()-3)="","",INDEX(MASTER_DATABASE!$BD$4:$BD$1000,ROW()-3)&amp;"")</f>
        <v/>
      </c>
      <c r="K322" s="7" t="str">
        <f aca="false">IF(INDEX(MASTER_DATABASE!$A$4:$A$1000,ROW()-3)="","",INDEX(MASTER_DATABASE!$AX$4:$AX$1000,ROW()-3)&amp;"")</f>
        <v/>
      </c>
      <c r="L322" s="7" t="str">
        <f aca="false">IF(INDEX(MASTER_DATABASE!$A$4:$A$1000,ROW()-3)="","",INDEX(MASTER_DATABASE!$AY$4:$AY$1000,ROW()-3)&amp;"")</f>
        <v/>
      </c>
      <c r="M322" s="7" t="str">
        <f aca="false">IF(INDEX(MASTER_DATABASE!$A$4:$A$1000,ROW()-3)="","",INDEX(MASTER_DATABASE!$AN$4:$AN$1000,ROW()-3)&amp;"")</f>
        <v/>
      </c>
      <c r="N322" s="7" t="str">
        <f aca="false">IF(INDEX(MASTER_DATABASE!$A$4:$A$1000,ROW()-3)="","",INDEX(MASTER_DATABASE!$AZ$4:$AZ$1000,ROW()-3)&amp;"")</f>
        <v/>
      </c>
      <c r="O322" s="7" t="str">
        <f aca="false">IF(INDEX(MASTER_DATABASE!$A$4:$A$1000,ROW()-3)="","",INDEX(MASTER_DATABASE!$BA$4:$BA$1000,ROW()-3)&amp;"")</f>
        <v/>
      </c>
      <c r="P322" s="11" t="str">
        <f aca="false">IF(INDEX(MASTER_DATABASE!$A$4:$A$1000,ROW()-3)="","",INDEX(MASTER_DATABASE!$AP$4:$AP$1000,ROW()-3)&amp;"")</f>
        <v/>
      </c>
      <c r="Q322" s="7" t="str">
        <f aca="false">IF(INDEX(MASTER_DATABASE!$A$4:$A$1000,ROW()-3)="","",INDEX(MASTER_DATABASE!$BB$4:$BB$1000,ROW()-3)&amp;"")</f>
        <v/>
      </c>
      <c r="R322" s="11" t="str">
        <f aca="false">IF(INDEX(MASTER_DATABASE!$A$4:$A$1000,ROW()-3)="","",INDEX(MASTER_DATABASE!$BC$4:$BC$1000,ROW()-3)&amp;"")</f>
        <v/>
      </c>
      <c r="S322" s="11" t="str">
        <f aca="false">IF(INDEX(MASTER_DATABASE!$A$4:$A$1000,ROW()-3)="","",INDEX(MASTER_DATABASE!$AQ$4:$AQ$1000,ROW()-3))</f>
        <v/>
      </c>
      <c r="T322" s="7" t="str">
        <f aca="false">IF(INDEX(MASTER_DATABASE!$A$4:$A$1000,ROW()-3)="","",INDEX(MASTER_DATABASE!$I$4:$I$1000,ROW()-3)&amp;"")</f>
        <v/>
      </c>
      <c r="U322" s="7" t="str">
        <f aca="false">IF(INDEX(MASTER_DATABASE!$A$4:$A$1000,ROW()-3)="","",INDEX(MASTER_DATABASE!$J$4:$J$1000,ROW()-3)&amp;"")</f>
        <v/>
      </c>
      <c r="V322" s="7" t="str">
        <f aca="false">IF(INDEX(MASTER_DATABASE!$A$4:$A$1000,ROW()-3)="","",INDEX(MASTER_DATABASE!$AG$4:$AG$1000,ROW()-3)&amp;"")</f>
        <v/>
      </c>
      <c r="W322" s="7" t="str">
        <f aca="false">IF(INDEX(MASTER_DATABASE!$A$4:$A$1000,ROW()-3)="","",INDEX(MASTER_DATABASE!$AH$4:$AH$1000,ROW()-3)&amp;"")</f>
        <v/>
      </c>
      <c r="X322" s="7" t="str">
        <f aca="false">IF(INDEX(MASTER_DATABASE!$A$4:$A$1000,ROW()-3)="","",INDEX(MASTER_DATABASE!$AI$4:$AI$1000,ROW()-3)&amp;"")</f>
        <v/>
      </c>
      <c r="Y322" s="7" t="str">
        <f aca="false">IF(INDEX(MASTER_DATABASE!$A$4:$A$1000,ROW()-3)="","",INDEX(MASTER_DATABASE!$AJ$4:$AJ$1000,ROW()-3)&amp;"")</f>
        <v/>
      </c>
      <c r="Z322" s="7" t="str">
        <f aca="false">IF(INDEX(MASTER_DATABASE!$A$4:$A$1000,ROW()-3)="","",INDEX(MASTER_DATABASE!$AK$4:$AK$1000,ROW()-3)&amp;"")</f>
        <v/>
      </c>
      <c r="AA322" s="7" t="str">
        <f aca="false">IF(INDEX(MASTER_DATABASE!$A$4:$A$1000,ROW()-3)="","",INDEX(MASTER_DATABASE!$BE$4:$BE$1000,ROW()-3)&amp;"")</f>
        <v/>
      </c>
    </row>
    <row r="323" customFormat="false" ht="15" hidden="false" customHeight="false" outlineLevel="0" collapsed="false">
      <c r="A323" s="11" t="str">
        <f aca="false">IF(INDEX(MASTER_DATABASE!$A$4:$A$1000,ROW()-3)="","",INDEX(MASTER_DATABASE!$A$4:$A$1000,ROW()-3)&amp;"")</f>
        <v/>
      </c>
      <c r="B323" s="7" t="str">
        <f aca="false">IF(INDEX(MASTER_DATABASE!$A$4:$A$1000,ROW()-3)="","",INDEX(MASTER_DATABASE!$B$4:$B$1000,ROW()-3)&amp;"")</f>
        <v/>
      </c>
      <c r="C323" s="7" t="str">
        <f aca="false">IF(INDEX(MASTER_DATABASE!$A$4:$A$1000,ROW()-3)="","",INDEX(MASTER_DATABASE!$C$4:$C$1000,ROW()-3)&amp;"")</f>
        <v/>
      </c>
      <c r="D323" s="7" t="str">
        <f aca="false">IF(INDEX(MASTER_DATABASE!$A$4:$A$1000,ROW()-3)="","",INDEX(MASTER_DATABASE!$D$4:$D$1000,ROW()-3)&amp;"")</f>
        <v/>
      </c>
      <c r="E323" s="7" t="str">
        <f aca="false">IF(INDEX(MASTER_DATABASE!$A$4:$A$1000,ROW()-3)="","",INDEX(MASTER_DATABASE!$E$4:$E$1000,ROW()-3)&amp;"")</f>
        <v/>
      </c>
      <c r="F323" s="7" t="str">
        <f aca="false">IF(INDEX(MASTER_DATABASE!$A$4:$A$1000,ROW()-3)="","",INDEX(MASTER_DATABASE!$F$4:$F$1000,ROW()-3)&amp;"")</f>
        <v/>
      </c>
      <c r="G323" s="7" t="str">
        <f aca="false">IF(INDEX(MASTER_DATABASE!$A$4:$A$1000,ROW()-3)="","",INDEX(MASTER_DATABASE!$AL$4:$AL$1000,ROW()-3)&amp;"")</f>
        <v/>
      </c>
      <c r="H323" s="7" t="str">
        <f aca="false">IF(INDEX(MASTER_DATABASE!$A$4:$A$1000,ROW()-3)="","",INDEX(MASTER_DATABASE!$AM$4:$AM$1000,ROW()-3)&amp;"")</f>
        <v/>
      </c>
      <c r="I323" s="7" t="str">
        <f aca="false">IF(INDEX(MASTER_DATABASE!$A$4:$A$1000,ROW()-3)="","",INDEX(MASTER_DATABASE!$AO$4:$AO$1000,ROW()-3)&amp;"")</f>
        <v/>
      </c>
      <c r="J323" s="7" t="str">
        <f aca="false">IF(INDEX(MASTER_DATABASE!$A$4:$A$1000,ROW()-3)="","",INDEX(MASTER_DATABASE!$BD$4:$BD$1000,ROW()-3)&amp;"")</f>
        <v/>
      </c>
      <c r="K323" s="7" t="str">
        <f aca="false">IF(INDEX(MASTER_DATABASE!$A$4:$A$1000,ROW()-3)="","",INDEX(MASTER_DATABASE!$AX$4:$AX$1000,ROW()-3)&amp;"")</f>
        <v/>
      </c>
      <c r="L323" s="7" t="str">
        <f aca="false">IF(INDEX(MASTER_DATABASE!$A$4:$A$1000,ROW()-3)="","",INDEX(MASTER_DATABASE!$AY$4:$AY$1000,ROW()-3)&amp;"")</f>
        <v/>
      </c>
      <c r="M323" s="7" t="str">
        <f aca="false">IF(INDEX(MASTER_DATABASE!$A$4:$A$1000,ROW()-3)="","",INDEX(MASTER_DATABASE!$AN$4:$AN$1000,ROW()-3)&amp;"")</f>
        <v/>
      </c>
      <c r="N323" s="7" t="str">
        <f aca="false">IF(INDEX(MASTER_DATABASE!$A$4:$A$1000,ROW()-3)="","",INDEX(MASTER_DATABASE!$AZ$4:$AZ$1000,ROW()-3)&amp;"")</f>
        <v/>
      </c>
      <c r="O323" s="7" t="str">
        <f aca="false">IF(INDEX(MASTER_DATABASE!$A$4:$A$1000,ROW()-3)="","",INDEX(MASTER_DATABASE!$BA$4:$BA$1000,ROW()-3)&amp;"")</f>
        <v/>
      </c>
      <c r="P323" s="11" t="str">
        <f aca="false">IF(INDEX(MASTER_DATABASE!$A$4:$A$1000,ROW()-3)="","",INDEX(MASTER_DATABASE!$AP$4:$AP$1000,ROW()-3)&amp;"")</f>
        <v/>
      </c>
      <c r="Q323" s="7" t="str">
        <f aca="false">IF(INDEX(MASTER_DATABASE!$A$4:$A$1000,ROW()-3)="","",INDEX(MASTER_DATABASE!$BB$4:$BB$1000,ROW()-3)&amp;"")</f>
        <v/>
      </c>
      <c r="R323" s="11" t="str">
        <f aca="false">IF(INDEX(MASTER_DATABASE!$A$4:$A$1000,ROW()-3)="","",INDEX(MASTER_DATABASE!$BC$4:$BC$1000,ROW()-3)&amp;"")</f>
        <v/>
      </c>
      <c r="S323" s="11" t="str">
        <f aca="false">IF(INDEX(MASTER_DATABASE!$A$4:$A$1000,ROW()-3)="","",INDEX(MASTER_DATABASE!$AQ$4:$AQ$1000,ROW()-3))</f>
        <v/>
      </c>
      <c r="T323" s="7" t="str">
        <f aca="false">IF(INDEX(MASTER_DATABASE!$A$4:$A$1000,ROW()-3)="","",INDEX(MASTER_DATABASE!$I$4:$I$1000,ROW()-3)&amp;"")</f>
        <v/>
      </c>
      <c r="U323" s="7" t="str">
        <f aca="false">IF(INDEX(MASTER_DATABASE!$A$4:$A$1000,ROW()-3)="","",INDEX(MASTER_DATABASE!$J$4:$J$1000,ROW()-3)&amp;"")</f>
        <v/>
      </c>
      <c r="V323" s="7" t="str">
        <f aca="false">IF(INDEX(MASTER_DATABASE!$A$4:$A$1000,ROW()-3)="","",INDEX(MASTER_DATABASE!$AG$4:$AG$1000,ROW()-3)&amp;"")</f>
        <v/>
      </c>
      <c r="W323" s="7" t="str">
        <f aca="false">IF(INDEX(MASTER_DATABASE!$A$4:$A$1000,ROW()-3)="","",INDEX(MASTER_DATABASE!$AH$4:$AH$1000,ROW()-3)&amp;"")</f>
        <v/>
      </c>
      <c r="X323" s="7" t="str">
        <f aca="false">IF(INDEX(MASTER_DATABASE!$A$4:$A$1000,ROW()-3)="","",INDEX(MASTER_DATABASE!$AI$4:$AI$1000,ROW()-3)&amp;"")</f>
        <v/>
      </c>
      <c r="Y323" s="7" t="str">
        <f aca="false">IF(INDEX(MASTER_DATABASE!$A$4:$A$1000,ROW()-3)="","",INDEX(MASTER_DATABASE!$AJ$4:$AJ$1000,ROW()-3)&amp;"")</f>
        <v/>
      </c>
      <c r="Z323" s="7" t="str">
        <f aca="false">IF(INDEX(MASTER_DATABASE!$A$4:$A$1000,ROW()-3)="","",INDEX(MASTER_DATABASE!$AK$4:$AK$1000,ROW()-3)&amp;"")</f>
        <v/>
      </c>
      <c r="AA323" s="7" t="str">
        <f aca="false">IF(INDEX(MASTER_DATABASE!$A$4:$A$1000,ROW()-3)="","",INDEX(MASTER_DATABASE!$BE$4:$BE$1000,ROW()-3)&amp;"")</f>
        <v/>
      </c>
    </row>
    <row r="324" customFormat="false" ht="15" hidden="false" customHeight="false" outlineLevel="0" collapsed="false">
      <c r="A324" s="11" t="str">
        <f aca="false">IF(INDEX(MASTER_DATABASE!$A$4:$A$1000,ROW()-3)="","",INDEX(MASTER_DATABASE!$A$4:$A$1000,ROW()-3)&amp;"")</f>
        <v/>
      </c>
      <c r="B324" s="7" t="str">
        <f aca="false">IF(INDEX(MASTER_DATABASE!$A$4:$A$1000,ROW()-3)="","",INDEX(MASTER_DATABASE!$B$4:$B$1000,ROW()-3)&amp;"")</f>
        <v/>
      </c>
      <c r="C324" s="7" t="str">
        <f aca="false">IF(INDEX(MASTER_DATABASE!$A$4:$A$1000,ROW()-3)="","",INDEX(MASTER_DATABASE!$C$4:$C$1000,ROW()-3)&amp;"")</f>
        <v/>
      </c>
      <c r="D324" s="7" t="str">
        <f aca="false">IF(INDEX(MASTER_DATABASE!$A$4:$A$1000,ROW()-3)="","",INDEX(MASTER_DATABASE!$D$4:$D$1000,ROW()-3)&amp;"")</f>
        <v/>
      </c>
      <c r="E324" s="7" t="str">
        <f aca="false">IF(INDEX(MASTER_DATABASE!$A$4:$A$1000,ROW()-3)="","",INDEX(MASTER_DATABASE!$E$4:$E$1000,ROW()-3)&amp;"")</f>
        <v/>
      </c>
      <c r="F324" s="7" t="str">
        <f aca="false">IF(INDEX(MASTER_DATABASE!$A$4:$A$1000,ROW()-3)="","",INDEX(MASTER_DATABASE!$F$4:$F$1000,ROW()-3)&amp;"")</f>
        <v/>
      </c>
      <c r="G324" s="7" t="str">
        <f aca="false">IF(INDEX(MASTER_DATABASE!$A$4:$A$1000,ROW()-3)="","",INDEX(MASTER_DATABASE!$AL$4:$AL$1000,ROW()-3)&amp;"")</f>
        <v/>
      </c>
      <c r="H324" s="7" t="str">
        <f aca="false">IF(INDEX(MASTER_DATABASE!$A$4:$A$1000,ROW()-3)="","",INDEX(MASTER_DATABASE!$AM$4:$AM$1000,ROW()-3)&amp;"")</f>
        <v/>
      </c>
      <c r="I324" s="7" t="str">
        <f aca="false">IF(INDEX(MASTER_DATABASE!$A$4:$A$1000,ROW()-3)="","",INDEX(MASTER_DATABASE!$AO$4:$AO$1000,ROW()-3)&amp;"")</f>
        <v/>
      </c>
      <c r="J324" s="7" t="str">
        <f aca="false">IF(INDEX(MASTER_DATABASE!$A$4:$A$1000,ROW()-3)="","",INDEX(MASTER_DATABASE!$BD$4:$BD$1000,ROW()-3)&amp;"")</f>
        <v/>
      </c>
      <c r="K324" s="7" t="str">
        <f aca="false">IF(INDEX(MASTER_DATABASE!$A$4:$A$1000,ROW()-3)="","",INDEX(MASTER_DATABASE!$AX$4:$AX$1000,ROW()-3)&amp;"")</f>
        <v/>
      </c>
      <c r="L324" s="7" t="str">
        <f aca="false">IF(INDEX(MASTER_DATABASE!$A$4:$A$1000,ROW()-3)="","",INDEX(MASTER_DATABASE!$AY$4:$AY$1000,ROW()-3)&amp;"")</f>
        <v/>
      </c>
      <c r="M324" s="7" t="str">
        <f aca="false">IF(INDEX(MASTER_DATABASE!$A$4:$A$1000,ROW()-3)="","",INDEX(MASTER_DATABASE!$AN$4:$AN$1000,ROW()-3)&amp;"")</f>
        <v/>
      </c>
      <c r="N324" s="7" t="str">
        <f aca="false">IF(INDEX(MASTER_DATABASE!$A$4:$A$1000,ROW()-3)="","",INDEX(MASTER_DATABASE!$AZ$4:$AZ$1000,ROW()-3)&amp;"")</f>
        <v/>
      </c>
      <c r="O324" s="7" t="str">
        <f aca="false">IF(INDEX(MASTER_DATABASE!$A$4:$A$1000,ROW()-3)="","",INDEX(MASTER_DATABASE!$BA$4:$BA$1000,ROW()-3)&amp;"")</f>
        <v/>
      </c>
      <c r="P324" s="11" t="str">
        <f aca="false">IF(INDEX(MASTER_DATABASE!$A$4:$A$1000,ROW()-3)="","",INDEX(MASTER_DATABASE!$AP$4:$AP$1000,ROW()-3)&amp;"")</f>
        <v/>
      </c>
      <c r="Q324" s="7" t="str">
        <f aca="false">IF(INDEX(MASTER_DATABASE!$A$4:$A$1000,ROW()-3)="","",INDEX(MASTER_DATABASE!$BB$4:$BB$1000,ROW()-3)&amp;"")</f>
        <v/>
      </c>
      <c r="R324" s="11" t="str">
        <f aca="false">IF(INDEX(MASTER_DATABASE!$A$4:$A$1000,ROW()-3)="","",INDEX(MASTER_DATABASE!$BC$4:$BC$1000,ROW()-3)&amp;"")</f>
        <v/>
      </c>
      <c r="S324" s="11" t="str">
        <f aca="false">IF(INDEX(MASTER_DATABASE!$A$4:$A$1000,ROW()-3)="","",INDEX(MASTER_DATABASE!$AQ$4:$AQ$1000,ROW()-3))</f>
        <v/>
      </c>
      <c r="T324" s="7" t="str">
        <f aca="false">IF(INDEX(MASTER_DATABASE!$A$4:$A$1000,ROW()-3)="","",INDEX(MASTER_DATABASE!$I$4:$I$1000,ROW()-3)&amp;"")</f>
        <v/>
      </c>
      <c r="U324" s="7" t="str">
        <f aca="false">IF(INDEX(MASTER_DATABASE!$A$4:$A$1000,ROW()-3)="","",INDEX(MASTER_DATABASE!$J$4:$J$1000,ROW()-3)&amp;"")</f>
        <v/>
      </c>
      <c r="V324" s="7" t="str">
        <f aca="false">IF(INDEX(MASTER_DATABASE!$A$4:$A$1000,ROW()-3)="","",INDEX(MASTER_DATABASE!$AG$4:$AG$1000,ROW()-3)&amp;"")</f>
        <v/>
      </c>
      <c r="W324" s="7" t="str">
        <f aca="false">IF(INDEX(MASTER_DATABASE!$A$4:$A$1000,ROW()-3)="","",INDEX(MASTER_DATABASE!$AH$4:$AH$1000,ROW()-3)&amp;"")</f>
        <v/>
      </c>
      <c r="X324" s="7" t="str">
        <f aca="false">IF(INDEX(MASTER_DATABASE!$A$4:$A$1000,ROW()-3)="","",INDEX(MASTER_DATABASE!$AI$4:$AI$1000,ROW()-3)&amp;"")</f>
        <v/>
      </c>
      <c r="Y324" s="7" t="str">
        <f aca="false">IF(INDEX(MASTER_DATABASE!$A$4:$A$1000,ROW()-3)="","",INDEX(MASTER_DATABASE!$AJ$4:$AJ$1000,ROW()-3)&amp;"")</f>
        <v/>
      </c>
      <c r="Z324" s="7" t="str">
        <f aca="false">IF(INDEX(MASTER_DATABASE!$A$4:$A$1000,ROW()-3)="","",INDEX(MASTER_DATABASE!$AK$4:$AK$1000,ROW()-3)&amp;"")</f>
        <v/>
      </c>
      <c r="AA324" s="7" t="str">
        <f aca="false">IF(INDEX(MASTER_DATABASE!$A$4:$A$1000,ROW()-3)="","",INDEX(MASTER_DATABASE!$BE$4:$BE$1000,ROW()-3)&amp;"")</f>
        <v/>
      </c>
    </row>
    <row r="325" customFormat="false" ht="15" hidden="false" customHeight="false" outlineLevel="0" collapsed="false">
      <c r="A325" s="11" t="str">
        <f aca="false">IF(INDEX(MASTER_DATABASE!$A$4:$A$1000,ROW()-3)="","",INDEX(MASTER_DATABASE!$A$4:$A$1000,ROW()-3)&amp;"")</f>
        <v/>
      </c>
      <c r="B325" s="7" t="str">
        <f aca="false">IF(INDEX(MASTER_DATABASE!$A$4:$A$1000,ROW()-3)="","",INDEX(MASTER_DATABASE!$B$4:$B$1000,ROW()-3)&amp;"")</f>
        <v/>
      </c>
      <c r="C325" s="7" t="str">
        <f aca="false">IF(INDEX(MASTER_DATABASE!$A$4:$A$1000,ROW()-3)="","",INDEX(MASTER_DATABASE!$C$4:$C$1000,ROW()-3)&amp;"")</f>
        <v/>
      </c>
      <c r="D325" s="7" t="str">
        <f aca="false">IF(INDEX(MASTER_DATABASE!$A$4:$A$1000,ROW()-3)="","",INDEX(MASTER_DATABASE!$D$4:$D$1000,ROW()-3)&amp;"")</f>
        <v/>
      </c>
      <c r="E325" s="7" t="str">
        <f aca="false">IF(INDEX(MASTER_DATABASE!$A$4:$A$1000,ROW()-3)="","",INDEX(MASTER_DATABASE!$E$4:$E$1000,ROW()-3)&amp;"")</f>
        <v/>
      </c>
      <c r="F325" s="7" t="str">
        <f aca="false">IF(INDEX(MASTER_DATABASE!$A$4:$A$1000,ROW()-3)="","",INDEX(MASTER_DATABASE!$F$4:$F$1000,ROW()-3)&amp;"")</f>
        <v/>
      </c>
      <c r="G325" s="7" t="str">
        <f aca="false">IF(INDEX(MASTER_DATABASE!$A$4:$A$1000,ROW()-3)="","",INDEX(MASTER_DATABASE!$AL$4:$AL$1000,ROW()-3)&amp;"")</f>
        <v/>
      </c>
      <c r="H325" s="7" t="str">
        <f aca="false">IF(INDEX(MASTER_DATABASE!$A$4:$A$1000,ROW()-3)="","",INDEX(MASTER_DATABASE!$AM$4:$AM$1000,ROW()-3)&amp;"")</f>
        <v/>
      </c>
      <c r="I325" s="7" t="str">
        <f aca="false">IF(INDEX(MASTER_DATABASE!$A$4:$A$1000,ROW()-3)="","",INDEX(MASTER_DATABASE!$AO$4:$AO$1000,ROW()-3)&amp;"")</f>
        <v/>
      </c>
      <c r="J325" s="7" t="str">
        <f aca="false">IF(INDEX(MASTER_DATABASE!$A$4:$A$1000,ROW()-3)="","",INDEX(MASTER_DATABASE!$BD$4:$BD$1000,ROW()-3)&amp;"")</f>
        <v/>
      </c>
      <c r="K325" s="7" t="str">
        <f aca="false">IF(INDEX(MASTER_DATABASE!$A$4:$A$1000,ROW()-3)="","",INDEX(MASTER_DATABASE!$AX$4:$AX$1000,ROW()-3)&amp;"")</f>
        <v/>
      </c>
      <c r="L325" s="7" t="str">
        <f aca="false">IF(INDEX(MASTER_DATABASE!$A$4:$A$1000,ROW()-3)="","",INDEX(MASTER_DATABASE!$AY$4:$AY$1000,ROW()-3)&amp;"")</f>
        <v/>
      </c>
      <c r="M325" s="7" t="str">
        <f aca="false">IF(INDEX(MASTER_DATABASE!$A$4:$A$1000,ROW()-3)="","",INDEX(MASTER_DATABASE!$AN$4:$AN$1000,ROW()-3)&amp;"")</f>
        <v/>
      </c>
      <c r="N325" s="7" t="str">
        <f aca="false">IF(INDEX(MASTER_DATABASE!$A$4:$A$1000,ROW()-3)="","",INDEX(MASTER_DATABASE!$AZ$4:$AZ$1000,ROW()-3)&amp;"")</f>
        <v/>
      </c>
      <c r="O325" s="7" t="str">
        <f aca="false">IF(INDEX(MASTER_DATABASE!$A$4:$A$1000,ROW()-3)="","",INDEX(MASTER_DATABASE!$BA$4:$BA$1000,ROW()-3)&amp;"")</f>
        <v/>
      </c>
      <c r="P325" s="11" t="str">
        <f aca="false">IF(INDEX(MASTER_DATABASE!$A$4:$A$1000,ROW()-3)="","",INDEX(MASTER_DATABASE!$AP$4:$AP$1000,ROW()-3)&amp;"")</f>
        <v/>
      </c>
      <c r="Q325" s="7" t="str">
        <f aca="false">IF(INDEX(MASTER_DATABASE!$A$4:$A$1000,ROW()-3)="","",INDEX(MASTER_DATABASE!$BB$4:$BB$1000,ROW()-3)&amp;"")</f>
        <v/>
      </c>
      <c r="R325" s="11" t="str">
        <f aca="false">IF(INDEX(MASTER_DATABASE!$A$4:$A$1000,ROW()-3)="","",INDEX(MASTER_DATABASE!$BC$4:$BC$1000,ROW()-3)&amp;"")</f>
        <v/>
      </c>
      <c r="S325" s="11" t="str">
        <f aca="false">IF(INDEX(MASTER_DATABASE!$A$4:$A$1000,ROW()-3)="","",INDEX(MASTER_DATABASE!$AQ$4:$AQ$1000,ROW()-3))</f>
        <v/>
      </c>
      <c r="T325" s="7" t="str">
        <f aca="false">IF(INDEX(MASTER_DATABASE!$A$4:$A$1000,ROW()-3)="","",INDEX(MASTER_DATABASE!$I$4:$I$1000,ROW()-3)&amp;"")</f>
        <v/>
      </c>
      <c r="U325" s="7" t="str">
        <f aca="false">IF(INDEX(MASTER_DATABASE!$A$4:$A$1000,ROW()-3)="","",INDEX(MASTER_DATABASE!$J$4:$J$1000,ROW()-3)&amp;"")</f>
        <v/>
      </c>
      <c r="V325" s="7" t="str">
        <f aca="false">IF(INDEX(MASTER_DATABASE!$A$4:$A$1000,ROW()-3)="","",INDEX(MASTER_DATABASE!$AG$4:$AG$1000,ROW()-3)&amp;"")</f>
        <v/>
      </c>
      <c r="W325" s="7" t="str">
        <f aca="false">IF(INDEX(MASTER_DATABASE!$A$4:$A$1000,ROW()-3)="","",INDEX(MASTER_DATABASE!$AH$4:$AH$1000,ROW()-3)&amp;"")</f>
        <v/>
      </c>
      <c r="X325" s="7" t="str">
        <f aca="false">IF(INDEX(MASTER_DATABASE!$A$4:$A$1000,ROW()-3)="","",INDEX(MASTER_DATABASE!$AI$4:$AI$1000,ROW()-3)&amp;"")</f>
        <v/>
      </c>
      <c r="Y325" s="7" t="str">
        <f aca="false">IF(INDEX(MASTER_DATABASE!$A$4:$A$1000,ROW()-3)="","",INDEX(MASTER_DATABASE!$AJ$4:$AJ$1000,ROW()-3)&amp;"")</f>
        <v/>
      </c>
      <c r="Z325" s="7" t="str">
        <f aca="false">IF(INDEX(MASTER_DATABASE!$A$4:$A$1000,ROW()-3)="","",INDEX(MASTER_DATABASE!$AK$4:$AK$1000,ROW()-3)&amp;"")</f>
        <v/>
      </c>
      <c r="AA325" s="7" t="str">
        <f aca="false">IF(INDEX(MASTER_DATABASE!$A$4:$A$1000,ROW()-3)="","",INDEX(MASTER_DATABASE!$BE$4:$BE$1000,ROW()-3)&amp;"")</f>
        <v/>
      </c>
    </row>
    <row r="326" customFormat="false" ht="15" hidden="false" customHeight="false" outlineLevel="0" collapsed="false">
      <c r="A326" s="11" t="str">
        <f aca="false">IF(INDEX(MASTER_DATABASE!$A$4:$A$1000,ROW()-3)="","",INDEX(MASTER_DATABASE!$A$4:$A$1000,ROW()-3)&amp;"")</f>
        <v/>
      </c>
      <c r="B326" s="7" t="str">
        <f aca="false">IF(INDEX(MASTER_DATABASE!$A$4:$A$1000,ROW()-3)="","",INDEX(MASTER_DATABASE!$B$4:$B$1000,ROW()-3)&amp;"")</f>
        <v/>
      </c>
      <c r="C326" s="7" t="str">
        <f aca="false">IF(INDEX(MASTER_DATABASE!$A$4:$A$1000,ROW()-3)="","",INDEX(MASTER_DATABASE!$C$4:$C$1000,ROW()-3)&amp;"")</f>
        <v/>
      </c>
      <c r="D326" s="7" t="str">
        <f aca="false">IF(INDEX(MASTER_DATABASE!$A$4:$A$1000,ROW()-3)="","",INDEX(MASTER_DATABASE!$D$4:$D$1000,ROW()-3)&amp;"")</f>
        <v/>
      </c>
      <c r="E326" s="7" t="str">
        <f aca="false">IF(INDEX(MASTER_DATABASE!$A$4:$A$1000,ROW()-3)="","",INDEX(MASTER_DATABASE!$E$4:$E$1000,ROW()-3)&amp;"")</f>
        <v/>
      </c>
      <c r="F326" s="7" t="str">
        <f aca="false">IF(INDEX(MASTER_DATABASE!$A$4:$A$1000,ROW()-3)="","",INDEX(MASTER_DATABASE!$F$4:$F$1000,ROW()-3)&amp;"")</f>
        <v/>
      </c>
      <c r="G326" s="7" t="str">
        <f aca="false">IF(INDEX(MASTER_DATABASE!$A$4:$A$1000,ROW()-3)="","",INDEX(MASTER_DATABASE!$AL$4:$AL$1000,ROW()-3)&amp;"")</f>
        <v/>
      </c>
      <c r="H326" s="7" t="str">
        <f aca="false">IF(INDEX(MASTER_DATABASE!$A$4:$A$1000,ROW()-3)="","",INDEX(MASTER_DATABASE!$AM$4:$AM$1000,ROW()-3)&amp;"")</f>
        <v/>
      </c>
      <c r="I326" s="7" t="str">
        <f aca="false">IF(INDEX(MASTER_DATABASE!$A$4:$A$1000,ROW()-3)="","",INDEX(MASTER_DATABASE!$AO$4:$AO$1000,ROW()-3)&amp;"")</f>
        <v/>
      </c>
      <c r="J326" s="7" t="str">
        <f aca="false">IF(INDEX(MASTER_DATABASE!$A$4:$A$1000,ROW()-3)="","",INDEX(MASTER_DATABASE!$BD$4:$BD$1000,ROW()-3)&amp;"")</f>
        <v/>
      </c>
      <c r="K326" s="7" t="str">
        <f aca="false">IF(INDEX(MASTER_DATABASE!$A$4:$A$1000,ROW()-3)="","",INDEX(MASTER_DATABASE!$AX$4:$AX$1000,ROW()-3)&amp;"")</f>
        <v/>
      </c>
      <c r="L326" s="7" t="str">
        <f aca="false">IF(INDEX(MASTER_DATABASE!$A$4:$A$1000,ROW()-3)="","",INDEX(MASTER_DATABASE!$AY$4:$AY$1000,ROW()-3)&amp;"")</f>
        <v/>
      </c>
      <c r="M326" s="7" t="str">
        <f aca="false">IF(INDEX(MASTER_DATABASE!$A$4:$A$1000,ROW()-3)="","",INDEX(MASTER_DATABASE!$AN$4:$AN$1000,ROW()-3)&amp;"")</f>
        <v/>
      </c>
      <c r="N326" s="7" t="str">
        <f aca="false">IF(INDEX(MASTER_DATABASE!$A$4:$A$1000,ROW()-3)="","",INDEX(MASTER_DATABASE!$AZ$4:$AZ$1000,ROW()-3)&amp;"")</f>
        <v/>
      </c>
      <c r="O326" s="7" t="str">
        <f aca="false">IF(INDEX(MASTER_DATABASE!$A$4:$A$1000,ROW()-3)="","",INDEX(MASTER_DATABASE!$BA$4:$BA$1000,ROW()-3)&amp;"")</f>
        <v/>
      </c>
      <c r="P326" s="11" t="str">
        <f aca="false">IF(INDEX(MASTER_DATABASE!$A$4:$A$1000,ROW()-3)="","",INDEX(MASTER_DATABASE!$AP$4:$AP$1000,ROW()-3)&amp;"")</f>
        <v/>
      </c>
      <c r="Q326" s="7" t="str">
        <f aca="false">IF(INDEX(MASTER_DATABASE!$A$4:$A$1000,ROW()-3)="","",INDEX(MASTER_DATABASE!$BB$4:$BB$1000,ROW()-3)&amp;"")</f>
        <v/>
      </c>
      <c r="R326" s="11" t="str">
        <f aca="false">IF(INDEX(MASTER_DATABASE!$A$4:$A$1000,ROW()-3)="","",INDEX(MASTER_DATABASE!$BC$4:$BC$1000,ROW()-3)&amp;"")</f>
        <v/>
      </c>
      <c r="S326" s="11" t="str">
        <f aca="false">IF(INDEX(MASTER_DATABASE!$A$4:$A$1000,ROW()-3)="","",INDEX(MASTER_DATABASE!$AQ$4:$AQ$1000,ROW()-3))</f>
        <v/>
      </c>
      <c r="T326" s="7" t="str">
        <f aca="false">IF(INDEX(MASTER_DATABASE!$A$4:$A$1000,ROW()-3)="","",INDEX(MASTER_DATABASE!$I$4:$I$1000,ROW()-3)&amp;"")</f>
        <v/>
      </c>
      <c r="U326" s="7" t="str">
        <f aca="false">IF(INDEX(MASTER_DATABASE!$A$4:$A$1000,ROW()-3)="","",INDEX(MASTER_DATABASE!$J$4:$J$1000,ROW()-3)&amp;"")</f>
        <v/>
      </c>
      <c r="V326" s="7" t="str">
        <f aca="false">IF(INDEX(MASTER_DATABASE!$A$4:$A$1000,ROW()-3)="","",INDEX(MASTER_DATABASE!$AG$4:$AG$1000,ROW()-3)&amp;"")</f>
        <v/>
      </c>
      <c r="W326" s="7" t="str">
        <f aca="false">IF(INDEX(MASTER_DATABASE!$A$4:$A$1000,ROW()-3)="","",INDEX(MASTER_DATABASE!$AH$4:$AH$1000,ROW()-3)&amp;"")</f>
        <v/>
      </c>
      <c r="X326" s="7" t="str">
        <f aca="false">IF(INDEX(MASTER_DATABASE!$A$4:$A$1000,ROW()-3)="","",INDEX(MASTER_DATABASE!$AI$4:$AI$1000,ROW()-3)&amp;"")</f>
        <v/>
      </c>
      <c r="Y326" s="7" t="str">
        <f aca="false">IF(INDEX(MASTER_DATABASE!$A$4:$A$1000,ROW()-3)="","",INDEX(MASTER_DATABASE!$AJ$4:$AJ$1000,ROW()-3)&amp;"")</f>
        <v/>
      </c>
      <c r="Z326" s="7" t="str">
        <f aca="false">IF(INDEX(MASTER_DATABASE!$A$4:$A$1000,ROW()-3)="","",INDEX(MASTER_DATABASE!$AK$4:$AK$1000,ROW()-3)&amp;"")</f>
        <v/>
      </c>
      <c r="AA326" s="7" t="str">
        <f aca="false">IF(INDEX(MASTER_DATABASE!$A$4:$A$1000,ROW()-3)="","",INDEX(MASTER_DATABASE!$BE$4:$BE$1000,ROW()-3)&amp;"")</f>
        <v/>
      </c>
    </row>
    <row r="327" customFormat="false" ht="15" hidden="false" customHeight="false" outlineLevel="0" collapsed="false">
      <c r="A327" s="11" t="str">
        <f aca="false">IF(INDEX(MASTER_DATABASE!$A$4:$A$1000,ROW()-3)="","",INDEX(MASTER_DATABASE!$A$4:$A$1000,ROW()-3)&amp;"")</f>
        <v/>
      </c>
      <c r="B327" s="7" t="str">
        <f aca="false">IF(INDEX(MASTER_DATABASE!$A$4:$A$1000,ROW()-3)="","",INDEX(MASTER_DATABASE!$B$4:$B$1000,ROW()-3)&amp;"")</f>
        <v/>
      </c>
      <c r="C327" s="7" t="str">
        <f aca="false">IF(INDEX(MASTER_DATABASE!$A$4:$A$1000,ROW()-3)="","",INDEX(MASTER_DATABASE!$C$4:$C$1000,ROW()-3)&amp;"")</f>
        <v/>
      </c>
      <c r="D327" s="7" t="str">
        <f aca="false">IF(INDEX(MASTER_DATABASE!$A$4:$A$1000,ROW()-3)="","",INDEX(MASTER_DATABASE!$D$4:$D$1000,ROW()-3)&amp;"")</f>
        <v/>
      </c>
      <c r="E327" s="7" t="str">
        <f aca="false">IF(INDEX(MASTER_DATABASE!$A$4:$A$1000,ROW()-3)="","",INDEX(MASTER_DATABASE!$E$4:$E$1000,ROW()-3)&amp;"")</f>
        <v/>
      </c>
      <c r="F327" s="7" t="str">
        <f aca="false">IF(INDEX(MASTER_DATABASE!$A$4:$A$1000,ROW()-3)="","",INDEX(MASTER_DATABASE!$F$4:$F$1000,ROW()-3)&amp;"")</f>
        <v/>
      </c>
      <c r="G327" s="7" t="str">
        <f aca="false">IF(INDEX(MASTER_DATABASE!$A$4:$A$1000,ROW()-3)="","",INDEX(MASTER_DATABASE!$AL$4:$AL$1000,ROW()-3)&amp;"")</f>
        <v/>
      </c>
      <c r="H327" s="7" t="str">
        <f aca="false">IF(INDEX(MASTER_DATABASE!$A$4:$A$1000,ROW()-3)="","",INDEX(MASTER_DATABASE!$AM$4:$AM$1000,ROW()-3)&amp;"")</f>
        <v/>
      </c>
      <c r="I327" s="7" t="str">
        <f aca="false">IF(INDEX(MASTER_DATABASE!$A$4:$A$1000,ROW()-3)="","",INDEX(MASTER_DATABASE!$AO$4:$AO$1000,ROW()-3)&amp;"")</f>
        <v/>
      </c>
      <c r="J327" s="7" t="str">
        <f aca="false">IF(INDEX(MASTER_DATABASE!$A$4:$A$1000,ROW()-3)="","",INDEX(MASTER_DATABASE!$BD$4:$BD$1000,ROW()-3)&amp;"")</f>
        <v/>
      </c>
      <c r="K327" s="7" t="str">
        <f aca="false">IF(INDEX(MASTER_DATABASE!$A$4:$A$1000,ROW()-3)="","",INDEX(MASTER_DATABASE!$AX$4:$AX$1000,ROW()-3)&amp;"")</f>
        <v/>
      </c>
      <c r="L327" s="7" t="str">
        <f aca="false">IF(INDEX(MASTER_DATABASE!$A$4:$A$1000,ROW()-3)="","",INDEX(MASTER_DATABASE!$AY$4:$AY$1000,ROW()-3)&amp;"")</f>
        <v/>
      </c>
      <c r="M327" s="7" t="str">
        <f aca="false">IF(INDEX(MASTER_DATABASE!$A$4:$A$1000,ROW()-3)="","",INDEX(MASTER_DATABASE!$AN$4:$AN$1000,ROW()-3)&amp;"")</f>
        <v/>
      </c>
      <c r="N327" s="7" t="str">
        <f aca="false">IF(INDEX(MASTER_DATABASE!$A$4:$A$1000,ROW()-3)="","",INDEX(MASTER_DATABASE!$AZ$4:$AZ$1000,ROW()-3)&amp;"")</f>
        <v/>
      </c>
      <c r="O327" s="7" t="str">
        <f aca="false">IF(INDEX(MASTER_DATABASE!$A$4:$A$1000,ROW()-3)="","",INDEX(MASTER_DATABASE!$BA$4:$BA$1000,ROW()-3)&amp;"")</f>
        <v/>
      </c>
      <c r="P327" s="11" t="str">
        <f aca="false">IF(INDEX(MASTER_DATABASE!$A$4:$A$1000,ROW()-3)="","",INDEX(MASTER_DATABASE!$AP$4:$AP$1000,ROW()-3)&amp;"")</f>
        <v/>
      </c>
      <c r="Q327" s="7" t="str">
        <f aca="false">IF(INDEX(MASTER_DATABASE!$A$4:$A$1000,ROW()-3)="","",INDEX(MASTER_DATABASE!$BB$4:$BB$1000,ROW()-3)&amp;"")</f>
        <v/>
      </c>
      <c r="R327" s="11" t="str">
        <f aca="false">IF(INDEX(MASTER_DATABASE!$A$4:$A$1000,ROW()-3)="","",INDEX(MASTER_DATABASE!$BC$4:$BC$1000,ROW()-3)&amp;"")</f>
        <v/>
      </c>
      <c r="S327" s="11" t="str">
        <f aca="false">IF(INDEX(MASTER_DATABASE!$A$4:$A$1000,ROW()-3)="","",INDEX(MASTER_DATABASE!$AQ$4:$AQ$1000,ROW()-3))</f>
        <v/>
      </c>
      <c r="T327" s="7" t="str">
        <f aca="false">IF(INDEX(MASTER_DATABASE!$A$4:$A$1000,ROW()-3)="","",INDEX(MASTER_DATABASE!$I$4:$I$1000,ROW()-3)&amp;"")</f>
        <v/>
      </c>
      <c r="U327" s="7" t="str">
        <f aca="false">IF(INDEX(MASTER_DATABASE!$A$4:$A$1000,ROW()-3)="","",INDEX(MASTER_DATABASE!$J$4:$J$1000,ROW()-3)&amp;"")</f>
        <v/>
      </c>
      <c r="V327" s="7" t="str">
        <f aca="false">IF(INDEX(MASTER_DATABASE!$A$4:$A$1000,ROW()-3)="","",INDEX(MASTER_DATABASE!$AG$4:$AG$1000,ROW()-3)&amp;"")</f>
        <v/>
      </c>
      <c r="W327" s="7" t="str">
        <f aca="false">IF(INDEX(MASTER_DATABASE!$A$4:$A$1000,ROW()-3)="","",INDEX(MASTER_DATABASE!$AH$4:$AH$1000,ROW()-3)&amp;"")</f>
        <v/>
      </c>
      <c r="X327" s="7" t="str">
        <f aca="false">IF(INDEX(MASTER_DATABASE!$A$4:$A$1000,ROW()-3)="","",INDEX(MASTER_DATABASE!$AI$4:$AI$1000,ROW()-3)&amp;"")</f>
        <v/>
      </c>
      <c r="Y327" s="7" t="str">
        <f aca="false">IF(INDEX(MASTER_DATABASE!$A$4:$A$1000,ROW()-3)="","",INDEX(MASTER_DATABASE!$AJ$4:$AJ$1000,ROW()-3)&amp;"")</f>
        <v/>
      </c>
      <c r="Z327" s="7" t="str">
        <f aca="false">IF(INDEX(MASTER_DATABASE!$A$4:$A$1000,ROW()-3)="","",INDEX(MASTER_DATABASE!$AK$4:$AK$1000,ROW()-3)&amp;"")</f>
        <v/>
      </c>
      <c r="AA327" s="7" t="str">
        <f aca="false">IF(INDEX(MASTER_DATABASE!$A$4:$A$1000,ROW()-3)="","",INDEX(MASTER_DATABASE!$BE$4:$BE$1000,ROW()-3)&amp;"")</f>
        <v/>
      </c>
    </row>
    <row r="328" customFormat="false" ht="15" hidden="false" customHeight="false" outlineLevel="0" collapsed="false">
      <c r="A328" s="11" t="str">
        <f aca="false">IF(INDEX(MASTER_DATABASE!$A$4:$A$1000,ROW()-3)="","",INDEX(MASTER_DATABASE!$A$4:$A$1000,ROW()-3)&amp;"")</f>
        <v/>
      </c>
      <c r="B328" s="7" t="str">
        <f aca="false">IF(INDEX(MASTER_DATABASE!$A$4:$A$1000,ROW()-3)="","",INDEX(MASTER_DATABASE!$B$4:$B$1000,ROW()-3)&amp;"")</f>
        <v/>
      </c>
      <c r="C328" s="7" t="str">
        <f aca="false">IF(INDEX(MASTER_DATABASE!$A$4:$A$1000,ROW()-3)="","",INDEX(MASTER_DATABASE!$C$4:$C$1000,ROW()-3)&amp;"")</f>
        <v/>
      </c>
      <c r="D328" s="7" t="str">
        <f aca="false">IF(INDEX(MASTER_DATABASE!$A$4:$A$1000,ROW()-3)="","",INDEX(MASTER_DATABASE!$D$4:$D$1000,ROW()-3)&amp;"")</f>
        <v/>
      </c>
      <c r="E328" s="7" t="str">
        <f aca="false">IF(INDEX(MASTER_DATABASE!$A$4:$A$1000,ROW()-3)="","",INDEX(MASTER_DATABASE!$E$4:$E$1000,ROW()-3)&amp;"")</f>
        <v/>
      </c>
      <c r="F328" s="7" t="str">
        <f aca="false">IF(INDEX(MASTER_DATABASE!$A$4:$A$1000,ROW()-3)="","",INDEX(MASTER_DATABASE!$F$4:$F$1000,ROW()-3)&amp;"")</f>
        <v/>
      </c>
      <c r="G328" s="7" t="str">
        <f aca="false">IF(INDEX(MASTER_DATABASE!$A$4:$A$1000,ROW()-3)="","",INDEX(MASTER_DATABASE!$AL$4:$AL$1000,ROW()-3)&amp;"")</f>
        <v/>
      </c>
      <c r="H328" s="7" t="str">
        <f aca="false">IF(INDEX(MASTER_DATABASE!$A$4:$A$1000,ROW()-3)="","",INDEX(MASTER_DATABASE!$AM$4:$AM$1000,ROW()-3)&amp;"")</f>
        <v/>
      </c>
      <c r="I328" s="7" t="str">
        <f aca="false">IF(INDEX(MASTER_DATABASE!$A$4:$A$1000,ROW()-3)="","",INDEX(MASTER_DATABASE!$AO$4:$AO$1000,ROW()-3)&amp;"")</f>
        <v/>
      </c>
      <c r="J328" s="7" t="str">
        <f aca="false">IF(INDEX(MASTER_DATABASE!$A$4:$A$1000,ROW()-3)="","",INDEX(MASTER_DATABASE!$BD$4:$BD$1000,ROW()-3)&amp;"")</f>
        <v/>
      </c>
      <c r="K328" s="7" t="str">
        <f aca="false">IF(INDEX(MASTER_DATABASE!$A$4:$A$1000,ROW()-3)="","",INDEX(MASTER_DATABASE!$AX$4:$AX$1000,ROW()-3)&amp;"")</f>
        <v/>
      </c>
      <c r="L328" s="7" t="str">
        <f aca="false">IF(INDEX(MASTER_DATABASE!$A$4:$A$1000,ROW()-3)="","",INDEX(MASTER_DATABASE!$AY$4:$AY$1000,ROW()-3)&amp;"")</f>
        <v/>
      </c>
      <c r="M328" s="7" t="str">
        <f aca="false">IF(INDEX(MASTER_DATABASE!$A$4:$A$1000,ROW()-3)="","",INDEX(MASTER_DATABASE!$AN$4:$AN$1000,ROW()-3)&amp;"")</f>
        <v/>
      </c>
      <c r="N328" s="7" t="str">
        <f aca="false">IF(INDEX(MASTER_DATABASE!$A$4:$A$1000,ROW()-3)="","",INDEX(MASTER_DATABASE!$AZ$4:$AZ$1000,ROW()-3)&amp;"")</f>
        <v/>
      </c>
      <c r="O328" s="7" t="str">
        <f aca="false">IF(INDEX(MASTER_DATABASE!$A$4:$A$1000,ROW()-3)="","",INDEX(MASTER_DATABASE!$BA$4:$BA$1000,ROW()-3)&amp;"")</f>
        <v/>
      </c>
      <c r="P328" s="11" t="str">
        <f aca="false">IF(INDEX(MASTER_DATABASE!$A$4:$A$1000,ROW()-3)="","",INDEX(MASTER_DATABASE!$AP$4:$AP$1000,ROW()-3)&amp;"")</f>
        <v/>
      </c>
      <c r="Q328" s="7" t="str">
        <f aca="false">IF(INDEX(MASTER_DATABASE!$A$4:$A$1000,ROW()-3)="","",INDEX(MASTER_DATABASE!$BB$4:$BB$1000,ROW()-3)&amp;"")</f>
        <v/>
      </c>
      <c r="R328" s="11" t="str">
        <f aca="false">IF(INDEX(MASTER_DATABASE!$A$4:$A$1000,ROW()-3)="","",INDEX(MASTER_DATABASE!$BC$4:$BC$1000,ROW()-3)&amp;"")</f>
        <v/>
      </c>
      <c r="S328" s="11" t="str">
        <f aca="false">IF(INDEX(MASTER_DATABASE!$A$4:$A$1000,ROW()-3)="","",INDEX(MASTER_DATABASE!$AQ$4:$AQ$1000,ROW()-3))</f>
        <v/>
      </c>
      <c r="T328" s="7" t="str">
        <f aca="false">IF(INDEX(MASTER_DATABASE!$A$4:$A$1000,ROW()-3)="","",INDEX(MASTER_DATABASE!$I$4:$I$1000,ROW()-3)&amp;"")</f>
        <v/>
      </c>
      <c r="U328" s="7" t="str">
        <f aca="false">IF(INDEX(MASTER_DATABASE!$A$4:$A$1000,ROW()-3)="","",INDEX(MASTER_DATABASE!$J$4:$J$1000,ROW()-3)&amp;"")</f>
        <v/>
      </c>
      <c r="V328" s="7" t="str">
        <f aca="false">IF(INDEX(MASTER_DATABASE!$A$4:$A$1000,ROW()-3)="","",INDEX(MASTER_DATABASE!$AG$4:$AG$1000,ROW()-3)&amp;"")</f>
        <v/>
      </c>
      <c r="W328" s="7" t="str">
        <f aca="false">IF(INDEX(MASTER_DATABASE!$A$4:$A$1000,ROW()-3)="","",INDEX(MASTER_DATABASE!$AH$4:$AH$1000,ROW()-3)&amp;"")</f>
        <v/>
      </c>
      <c r="X328" s="7" t="str">
        <f aca="false">IF(INDEX(MASTER_DATABASE!$A$4:$A$1000,ROW()-3)="","",INDEX(MASTER_DATABASE!$AI$4:$AI$1000,ROW()-3)&amp;"")</f>
        <v/>
      </c>
      <c r="Y328" s="7" t="str">
        <f aca="false">IF(INDEX(MASTER_DATABASE!$A$4:$A$1000,ROW()-3)="","",INDEX(MASTER_DATABASE!$AJ$4:$AJ$1000,ROW()-3)&amp;"")</f>
        <v/>
      </c>
      <c r="Z328" s="7" t="str">
        <f aca="false">IF(INDEX(MASTER_DATABASE!$A$4:$A$1000,ROW()-3)="","",INDEX(MASTER_DATABASE!$AK$4:$AK$1000,ROW()-3)&amp;"")</f>
        <v/>
      </c>
      <c r="AA328" s="7" t="str">
        <f aca="false">IF(INDEX(MASTER_DATABASE!$A$4:$A$1000,ROW()-3)="","",INDEX(MASTER_DATABASE!$BE$4:$BE$1000,ROW()-3)&amp;"")</f>
        <v/>
      </c>
    </row>
    <row r="329" customFormat="false" ht="15" hidden="false" customHeight="false" outlineLevel="0" collapsed="false">
      <c r="A329" s="11" t="str">
        <f aca="false">IF(INDEX(MASTER_DATABASE!$A$4:$A$1000,ROW()-3)="","",INDEX(MASTER_DATABASE!$A$4:$A$1000,ROW()-3)&amp;"")</f>
        <v/>
      </c>
      <c r="B329" s="7" t="str">
        <f aca="false">IF(INDEX(MASTER_DATABASE!$A$4:$A$1000,ROW()-3)="","",INDEX(MASTER_DATABASE!$B$4:$B$1000,ROW()-3)&amp;"")</f>
        <v/>
      </c>
      <c r="C329" s="7" t="str">
        <f aca="false">IF(INDEX(MASTER_DATABASE!$A$4:$A$1000,ROW()-3)="","",INDEX(MASTER_DATABASE!$C$4:$C$1000,ROW()-3)&amp;"")</f>
        <v/>
      </c>
      <c r="D329" s="7" t="str">
        <f aca="false">IF(INDEX(MASTER_DATABASE!$A$4:$A$1000,ROW()-3)="","",INDEX(MASTER_DATABASE!$D$4:$D$1000,ROW()-3)&amp;"")</f>
        <v/>
      </c>
      <c r="E329" s="7" t="str">
        <f aca="false">IF(INDEX(MASTER_DATABASE!$A$4:$A$1000,ROW()-3)="","",INDEX(MASTER_DATABASE!$E$4:$E$1000,ROW()-3)&amp;"")</f>
        <v/>
      </c>
      <c r="F329" s="7" t="str">
        <f aca="false">IF(INDEX(MASTER_DATABASE!$A$4:$A$1000,ROW()-3)="","",INDEX(MASTER_DATABASE!$F$4:$F$1000,ROW()-3)&amp;"")</f>
        <v/>
      </c>
      <c r="G329" s="7" t="str">
        <f aca="false">IF(INDEX(MASTER_DATABASE!$A$4:$A$1000,ROW()-3)="","",INDEX(MASTER_DATABASE!$AL$4:$AL$1000,ROW()-3)&amp;"")</f>
        <v/>
      </c>
      <c r="H329" s="7" t="str">
        <f aca="false">IF(INDEX(MASTER_DATABASE!$A$4:$A$1000,ROW()-3)="","",INDEX(MASTER_DATABASE!$AM$4:$AM$1000,ROW()-3)&amp;"")</f>
        <v/>
      </c>
      <c r="I329" s="7" t="str">
        <f aca="false">IF(INDEX(MASTER_DATABASE!$A$4:$A$1000,ROW()-3)="","",INDEX(MASTER_DATABASE!$AO$4:$AO$1000,ROW()-3)&amp;"")</f>
        <v/>
      </c>
      <c r="J329" s="7" t="str">
        <f aca="false">IF(INDEX(MASTER_DATABASE!$A$4:$A$1000,ROW()-3)="","",INDEX(MASTER_DATABASE!$BD$4:$BD$1000,ROW()-3)&amp;"")</f>
        <v/>
      </c>
      <c r="K329" s="7" t="str">
        <f aca="false">IF(INDEX(MASTER_DATABASE!$A$4:$A$1000,ROW()-3)="","",INDEX(MASTER_DATABASE!$AX$4:$AX$1000,ROW()-3)&amp;"")</f>
        <v/>
      </c>
      <c r="L329" s="7" t="str">
        <f aca="false">IF(INDEX(MASTER_DATABASE!$A$4:$A$1000,ROW()-3)="","",INDEX(MASTER_DATABASE!$AY$4:$AY$1000,ROW()-3)&amp;"")</f>
        <v/>
      </c>
      <c r="M329" s="7" t="str">
        <f aca="false">IF(INDEX(MASTER_DATABASE!$A$4:$A$1000,ROW()-3)="","",INDEX(MASTER_DATABASE!$AN$4:$AN$1000,ROW()-3)&amp;"")</f>
        <v/>
      </c>
      <c r="N329" s="7" t="str">
        <f aca="false">IF(INDEX(MASTER_DATABASE!$A$4:$A$1000,ROW()-3)="","",INDEX(MASTER_DATABASE!$AZ$4:$AZ$1000,ROW()-3)&amp;"")</f>
        <v/>
      </c>
      <c r="O329" s="7" t="str">
        <f aca="false">IF(INDEX(MASTER_DATABASE!$A$4:$A$1000,ROW()-3)="","",INDEX(MASTER_DATABASE!$BA$4:$BA$1000,ROW()-3)&amp;"")</f>
        <v/>
      </c>
      <c r="P329" s="11" t="str">
        <f aca="false">IF(INDEX(MASTER_DATABASE!$A$4:$A$1000,ROW()-3)="","",INDEX(MASTER_DATABASE!$AP$4:$AP$1000,ROW()-3)&amp;"")</f>
        <v/>
      </c>
      <c r="Q329" s="7" t="str">
        <f aca="false">IF(INDEX(MASTER_DATABASE!$A$4:$A$1000,ROW()-3)="","",INDEX(MASTER_DATABASE!$BB$4:$BB$1000,ROW()-3)&amp;"")</f>
        <v/>
      </c>
      <c r="R329" s="11" t="str">
        <f aca="false">IF(INDEX(MASTER_DATABASE!$A$4:$A$1000,ROW()-3)="","",INDEX(MASTER_DATABASE!$BC$4:$BC$1000,ROW()-3)&amp;"")</f>
        <v/>
      </c>
      <c r="S329" s="11" t="str">
        <f aca="false">IF(INDEX(MASTER_DATABASE!$A$4:$A$1000,ROW()-3)="","",INDEX(MASTER_DATABASE!$AQ$4:$AQ$1000,ROW()-3))</f>
        <v/>
      </c>
      <c r="T329" s="7" t="str">
        <f aca="false">IF(INDEX(MASTER_DATABASE!$A$4:$A$1000,ROW()-3)="","",INDEX(MASTER_DATABASE!$I$4:$I$1000,ROW()-3)&amp;"")</f>
        <v/>
      </c>
      <c r="U329" s="7" t="str">
        <f aca="false">IF(INDEX(MASTER_DATABASE!$A$4:$A$1000,ROW()-3)="","",INDEX(MASTER_DATABASE!$J$4:$J$1000,ROW()-3)&amp;"")</f>
        <v/>
      </c>
      <c r="V329" s="7" t="str">
        <f aca="false">IF(INDEX(MASTER_DATABASE!$A$4:$A$1000,ROW()-3)="","",INDEX(MASTER_DATABASE!$AG$4:$AG$1000,ROW()-3)&amp;"")</f>
        <v/>
      </c>
      <c r="W329" s="7" t="str">
        <f aca="false">IF(INDEX(MASTER_DATABASE!$A$4:$A$1000,ROW()-3)="","",INDEX(MASTER_DATABASE!$AH$4:$AH$1000,ROW()-3)&amp;"")</f>
        <v/>
      </c>
      <c r="X329" s="7" t="str">
        <f aca="false">IF(INDEX(MASTER_DATABASE!$A$4:$A$1000,ROW()-3)="","",INDEX(MASTER_DATABASE!$AI$4:$AI$1000,ROW()-3)&amp;"")</f>
        <v/>
      </c>
      <c r="Y329" s="7" t="str">
        <f aca="false">IF(INDEX(MASTER_DATABASE!$A$4:$A$1000,ROW()-3)="","",INDEX(MASTER_DATABASE!$AJ$4:$AJ$1000,ROW()-3)&amp;"")</f>
        <v/>
      </c>
      <c r="Z329" s="7" t="str">
        <f aca="false">IF(INDEX(MASTER_DATABASE!$A$4:$A$1000,ROW()-3)="","",INDEX(MASTER_DATABASE!$AK$4:$AK$1000,ROW()-3)&amp;"")</f>
        <v/>
      </c>
      <c r="AA329" s="7" t="str">
        <f aca="false">IF(INDEX(MASTER_DATABASE!$A$4:$A$1000,ROW()-3)="","",INDEX(MASTER_DATABASE!$BE$4:$BE$1000,ROW()-3)&amp;"")</f>
        <v/>
      </c>
    </row>
    <row r="330" customFormat="false" ht="15" hidden="false" customHeight="false" outlineLevel="0" collapsed="false">
      <c r="A330" s="11" t="str">
        <f aca="false">IF(INDEX(MASTER_DATABASE!$A$4:$A$1000,ROW()-3)="","",INDEX(MASTER_DATABASE!$A$4:$A$1000,ROW()-3)&amp;"")</f>
        <v/>
      </c>
      <c r="B330" s="7" t="str">
        <f aca="false">IF(INDEX(MASTER_DATABASE!$A$4:$A$1000,ROW()-3)="","",INDEX(MASTER_DATABASE!$B$4:$B$1000,ROW()-3)&amp;"")</f>
        <v/>
      </c>
      <c r="C330" s="7" t="str">
        <f aca="false">IF(INDEX(MASTER_DATABASE!$A$4:$A$1000,ROW()-3)="","",INDEX(MASTER_DATABASE!$C$4:$C$1000,ROW()-3)&amp;"")</f>
        <v/>
      </c>
      <c r="D330" s="7" t="str">
        <f aca="false">IF(INDEX(MASTER_DATABASE!$A$4:$A$1000,ROW()-3)="","",INDEX(MASTER_DATABASE!$D$4:$D$1000,ROW()-3)&amp;"")</f>
        <v/>
      </c>
      <c r="E330" s="7" t="str">
        <f aca="false">IF(INDEX(MASTER_DATABASE!$A$4:$A$1000,ROW()-3)="","",INDEX(MASTER_DATABASE!$E$4:$E$1000,ROW()-3)&amp;"")</f>
        <v/>
      </c>
      <c r="F330" s="7" t="str">
        <f aca="false">IF(INDEX(MASTER_DATABASE!$A$4:$A$1000,ROW()-3)="","",INDEX(MASTER_DATABASE!$F$4:$F$1000,ROW()-3)&amp;"")</f>
        <v/>
      </c>
      <c r="G330" s="7" t="str">
        <f aca="false">IF(INDEX(MASTER_DATABASE!$A$4:$A$1000,ROW()-3)="","",INDEX(MASTER_DATABASE!$AL$4:$AL$1000,ROW()-3)&amp;"")</f>
        <v/>
      </c>
      <c r="H330" s="7" t="str">
        <f aca="false">IF(INDEX(MASTER_DATABASE!$A$4:$A$1000,ROW()-3)="","",INDEX(MASTER_DATABASE!$AM$4:$AM$1000,ROW()-3)&amp;"")</f>
        <v/>
      </c>
      <c r="I330" s="7" t="str">
        <f aca="false">IF(INDEX(MASTER_DATABASE!$A$4:$A$1000,ROW()-3)="","",INDEX(MASTER_DATABASE!$AO$4:$AO$1000,ROW()-3)&amp;"")</f>
        <v/>
      </c>
      <c r="J330" s="7" t="str">
        <f aca="false">IF(INDEX(MASTER_DATABASE!$A$4:$A$1000,ROW()-3)="","",INDEX(MASTER_DATABASE!$BD$4:$BD$1000,ROW()-3)&amp;"")</f>
        <v/>
      </c>
      <c r="K330" s="7" t="str">
        <f aca="false">IF(INDEX(MASTER_DATABASE!$A$4:$A$1000,ROW()-3)="","",INDEX(MASTER_DATABASE!$AX$4:$AX$1000,ROW()-3)&amp;"")</f>
        <v/>
      </c>
      <c r="L330" s="7" t="str">
        <f aca="false">IF(INDEX(MASTER_DATABASE!$A$4:$A$1000,ROW()-3)="","",INDEX(MASTER_DATABASE!$AY$4:$AY$1000,ROW()-3)&amp;"")</f>
        <v/>
      </c>
      <c r="M330" s="7" t="str">
        <f aca="false">IF(INDEX(MASTER_DATABASE!$A$4:$A$1000,ROW()-3)="","",INDEX(MASTER_DATABASE!$AN$4:$AN$1000,ROW()-3)&amp;"")</f>
        <v/>
      </c>
      <c r="N330" s="7" t="str">
        <f aca="false">IF(INDEX(MASTER_DATABASE!$A$4:$A$1000,ROW()-3)="","",INDEX(MASTER_DATABASE!$AZ$4:$AZ$1000,ROW()-3)&amp;"")</f>
        <v/>
      </c>
      <c r="O330" s="7" t="str">
        <f aca="false">IF(INDEX(MASTER_DATABASE!$A$4:$A$1000,ROW()-3)="","",INDEX(MASTER_DATABASE!$BA$4:$BA$1000,ROW()-3)&amp;"")</f>
        <v/>
      </c>
      <c r="P330" s="11" t="str">
        <f aca="false">IF(INDEX(MASTER_DATABASE!$A$4:$A$1000,ROW()-3)="","",INDEX(MASTER_DATABASE!$AP$4:$AP$1000,ROW()-3)&amp;"")</f>
        <v/>
      </c>
      <c r="Q330" s="7" t="str">
        <f aca="false">IF(INDEX(MASTER_DATABASE!$A$4:$A$1000,ROW()-3)="","",INDEX(MASTER_DATABASE!$BB$4:$BB$1000,ROW()-3)&amp;"")</f>
        <v/>
      </c>
      <c r="R330" s="11" t="str">
        <f aca="false">IF(INDEX(MASTER_DATABASE!$A$4:$A$1000,ROW()-3)="","",INDEX(MASTER_DATABASE!$BC$4:$BC$1000,ROW()-3)&amp;"")</f>
        <v/>
      </c>
      <c r="S330" s="11" t="str">
        <f aca="false">IF(INDEX(MASTER_DATABASE!$A$4:$A$1000,ROW()-3)="","",INDEX(MASTER_DATABASE!$AQ$4:$AQ$1000,ROW()-3))</f>
        <v/>
      </c>
      <c r="T330" s="7" t="str">
        <f aca="false">IF(INDEX(MASTER_DATABASE!$A$4:$A$1000,ROW()-3)="","",INDEX(MASTER_DATABASE!$I$4:$I$1000,ROW()-3)&amp;"")</f>
        <v/>
      </c>
      <c r="U330" s="7" t="str">
        <f aca="false">IF(INDEX(MASTER_DATABASE!$A$4:$A$1000,ROW()-3)="","",INDEX(MASTER_DATABASE!$J$4:$J$1000,ROW()-3)&amp;"")</f>
        <v/>
      </c>
      <c r="V330" s="7" t="str">
        <f aca="false">IF(INDEX(MASTER_DATABASE!$A$4:$A$1000,ROW()-3)="","",INDEX(MASTER_DATABASE!$AG$4:$AG$1000,ROW()-3)&amp;"")</f>
        <v/>
      </c>
      <c r="W330" s="7" t="str">
        <f aca="false">IF(INDEX(MASTER_DATABASE!$A$4:$A$1000,ROW()-3)="","",INDEX(MASTER_DATABASE!$AH$4:$AH$1000,ROW()-3)&amp;"")</f>
        <v/>
      </c>
      <c r="X330" s="7" t="str">
        <f aca="false">IF(INDEX(MASTER_DATABASE!$A$4:$A$1000,ROW()-3)="","",INDEX(MASTER_DATABASE!$AI$4:$AI$1000,ROW()-3)&amp;"")</f>
        <v/>
      </c>
      <c r="Y330" s="7" t="str">
        <f aca="false">IF(INDEX(MASTER_DATABASE!$A$4:$A$1000,ROW()-3)="","",INDEX(MASTER_DATABASE!$AJ$4:$AJ$1000,ROW()-3)&amp;"")</f>
        <v/>
      </c>
      <c r="Z330" s="7" t="str">
        <f aca="false">IF(INDEX(MASTER_DATABASE!$A$4:$A$1000,ROW()-3)="","",INDEX(MASTER_DATABASE!$AK$4:$AK$1000,ROW()-3)&amp;"")</f>
        <v/>
      </c>
      <c r="AA330" s="7" t="str">
        <f aca="false">IF(INDEX(MASTER_DATABASE!$A$4:$A$1000,ROW()-3)="","",INDEX(MASTER_DATABASE!$BE$4:$BE$1000,ROW()-3)&amp;"")</f>
        <v/>
      </c>
    </row>
    <row r="331" customFormat="false" ht="15" hidden="false" customHeight="false" outlineLevel="0" collapsed="false">
      <c r="A331" s="11" t="str">
        <f aca="false">IF(INDEX(MASTER_DATABASE!$A$4:$A$1000,ROW()-3)="","",INDEX(MASTER_DATABASE!$A$4:$A$1000,ROW()-3)&amp;"")</f>
        <v/>
      </c>
      <c r="B331" s="7" t="str">
        <f aca="false">IF(INDEX(MASTER_DATABASE!$A$4:$A$1000,ROW()-3)="","",INDEX(MASTER_DATABASE!$B$4:$B$1000,ROW()-3)&amp;"")</f>
        <v/>
      </c>
      <c r="C331" s="7" t="str">
        <f aca="false">IF(INDEX(MASTER_DATABASE!$A$4:$A$1000,ROW()-3)="","",INDEX(MASTER_DATABASE!$C$4:$C$1000,ROW()-3)&amp;"")</f>
        <v/>
      </c>
      <c r="D331" s="7" t="str">
        <f aca="false">IF(INDEX(MASTER_DATABASE!$A$4:$A$1000,ROW()-3)="","",INDEX(MASTER_DATABASE!$D$4:$D$1000,ROW()-3)&amp;"")</f>
        <v/>
      </c>
      <c r="E331" s="7" t="str">
        <f aca="false">IF(INDEX(MASTER_DATABASE!$A$4:$A$1000,ROW()-3)="","",INDEX(MASTER_DATABASE!$E$4:$E$1000,ROW()-3)&amp;"")</f>
        <v/>
      </c>
      <c r="F331" s="7" t="str">
        <f aca="false">IF(INDEX(MASTER_DATABASE!$A$4:$A$1000,ROW()-3)="","",INDEX(MASTER_DATABASE!$F$4:$F$1000,ROW()-3)&amp;"")</f>
        <v/>
      </c>
      <c r="G331" s="7" t="str">
        <f aca="false">IF(INDEX(MASTER_DATABASE!$A$4:$A$1000,ROW()-3)="","",INDEX(MASTER_DATABASE!$AL$4:$AL$1000,ROW()-3)&amp;"")</f>
        <v/>
      </c>
      <c r="H331" s="7" t="str">
        <f aca="false">IF(INDEX(MASTER_DATABASE!$A$4:$A$1000,ROW()-3)="","",INDEX(MASTER_DATABASE!$AM$4:$AM$1000,ROW()-3)&amp;"")</f>
        <v/>
      </c>
      <c r="I331" s="7" t="str">
        <f aca="false">IF(INDEX(MASTER_DATABASE!$A$4:$A$1000,ROW()-3)="","",INDEX(MASTER_DATABASE!$AO$4:$AO$1000,ROW()-3)&amp;"")</f>
        <v/>
      </c>
      <c r="J331" s="7" t="str">
        <f aca="false">IF(INDEX(MASTER_DATABASE!$A$4:$A$1000,ROW()-3)="","",INDEX(MASTER_DATABASE!$BD$4:$BD$1000,ROW()-3)&amp;"")</f>
        <v/>
      </c>
      <c r="K331" s="7" t="str">
        <f aca="false">IF(INDEX(MASTER_DATABASE!$A$4:$A$1000,ROW()-3)="","",INDEX(MASTER_DATABASE!$AX$4:$AX$1000,ROW()-3)&amp;"")</f>
        <v/>
      </c>
      <c r="L331" s="7" t="str">
        <f aca="false">IF(INDEX(MASTER_DATABASE!$A$4:$A$1000,ROW()-3)="","",INDEX(MASTER_DATABASE!$AY$4:$AY$1000,ROW()-3)&amp;"")</f>
        <v/>
      </c>
      <c r="M331" s="7" t="str">
        <f aca="false">IF(INDEX(MASTER_DATABASE!$A$4:$A$1000,ROW()-3)="","",INDEX(MASTER_DATABASE!$AN$4:$AN$1000,ROW()-3)&amp;"")</f>
        <v/>
      </c>
      <c r="N331" s="7" t="str">
        <f aca="false">IF(INDEX(MASTER_DATABASE!$A$4:$A$1000,ROW()-3)="","",INDEX(MASTER_DATABASE!$AZ$4:$AZ$1000,ROW()-3)&amp;"")</f>
        <v/>
      </c>
      <c r="O331" s="7" t="str">
        <f aca="false">IF(INDEX(MASTER_DATABASE!$A$4:$A$1000,ROW()-3)="","",INDEX(MASTER_DATABASE!$BA$4:$BA$1000,ROW()-3)&amp;"")</f>
        <v/>
      </c>
      <c r="P331" s="11" t="str">
        <f aca="false">IF(INDEX(MASTER_DATABASE!$A$4:$A$1000,ROW()-3)="","",INDEX(MASTER_DATABASE!$AP$4:$AP$1000,ROW()-3)&amp;"")</f>
        <v/>
      </c>
      <c r="Q331" s="7" t="str">
        <f aca="false">IF(INDEX(MASTER_DATABASE!$A$4:$A$1000,ROW()-3)="","",INDEX(MASTER_DATABASE!$BB$4:$BB$1000,ROW()-3)&amp;"")</f>
        <v/>
      </c>
      <c r="R331" s="11" t="str">
        <f aca="false">IF(INDEX(MASTER_DATABASE!$A$4:$A$1000,ROW()-3)="","",INDEX(MASTER_DATABASE!$BC$4:$BC$1000,ROW()-3)&amp;"")</f>
        <v/>
      </c>
      <c r="S331" s="11" t="str">
        <f aca="false">IF(INDEX(MASTER_DATABASE!$A$4:$A$1000,ROW()-3)="","",INDEX(MASTER_DATABASE!$AQ$4:$AQ$1000,ROW()-3))</f>
        <v/>
      </c>
      <c r="T331" s="7" t="str">
        <f aca="false">IF(INDEX(MASTER_DATABASE!$A$4:$A$1000,ROW()-3)="","",INDEX(MASTER_DATABASE!$I$4:$I$1000,ROW()-3)&amp;"")</f>
        <v/>
      </c>
      <c r="U331" s="7" t="str">
        <f aca="false">IF(INDEX(MASTER_DATABASE!$A$4:$A$1000,ROW()-3)="","",INDEX(MASTER_DATABASE!$J$4:$J$1000,ROW()-3)&amp;"")</f>
        <v/>
      </c>
      <c r="V331" s="7" t="str">
        <f aca="false">IF(INDEX(MASTER_DATABASE!$A$4:$A$1000,ROW()-3)="","",INDEX(MASTER_DATABASE!$AG$4:$AG$1000,ROW()-3)&amp;"")</f>
        <v/>
      </c>
      <c r="W331" s="7" t="str">
        <f aca="false">IF(INDEX(MASTER_DATABASE!$A$4:$A$1000,ROW()-3)="","",INDEX(MASTER_DATABASE!$AH$4:$AH$1000,ROW()-3)&amp;"")</f>
        <v/>
      </c>
      <c r="X331" s="7" t="str">
        <f aca="false">IF(INDEX(MASTER_DATABASE!$A$4:$A$1000,ROW()-3)="","",INDEX(MASTER_DATABASE!$AI$4:$AI$1000,ROW()-3)&amp;"")</f>
        <v/>
      </c>
      <c r="Y331" s="7" t="str">
        <f aca="false">IF(INDEX(MASTER_DATABASE!$A$4:$A$1000,ROW()-3)="","",INDEX(MASTER_DATABASE!$AJ$4:$AJ$1000,ROW()-3)&amp;"")</f>
        <v/>
      </c>
      <c r="Z331" s="7" t="str">
        <f aca="false">IF(INDEX(MASTER_DATABASE!$A$4:$A$1000,ROW()-3)="","",INDEX(MASTER_DATABASE!$AK$4:$AK$1000,ROW()-3)&amp;"")</f>
        <v/>
      </c>
      <c r="AA331" s="7" t="str">
        <f aca="false">IF(INDEX(MASTER_DATABASE!$A$4:$A$1000,ROW()-3)="","",INDEX(MASTER_DATABASE!$BE$4:$BE$1000,ROW()-3)&amp;"")</f>
        <v/>
      </c>
    </row>
    <row r="332" customFormat="false" ht="15" hidden="false" customHeight="false" outlineLevel="0" collapsed="false">
      <c r="A332" s="11" t="str">
        <f aca="false">IF(INDEX(MASTER_DATABASE!$A$4:$A$1000,ROW()-3)="","",INDEX(MASTER_DATABASE!$A$4:$A$1000,ROW()-3)&amp;"")</f>
        <v/>
      </c>
      <c r="B332" s="7" t="str">
        <f aca="false">IF(INDEX(MASTER_DATABASE!$A$4:$A$1000,ROW()-3)="","",INDEX(MASTER_DATABASE!$B$4:$B$1000,ROW()-3)&amp;"")</f>
        <v/>
      </c>
      <c r="C332" s="7" t="str">
        <f aca="false">IF(INDEX(MASTER_DATABASE!$A$4:$A$1000,ROW()-3)="","",INDEX(MASTER_DATABASE!$C$4:$C$1000,ROW()-3)&amp;"")</f>
        <v/>
      </c>
      <c r="D332" s="7" t="str">
        <f aca="false">IF(INDEX(MASTER_DATABASE!$A$4:$A$1000,ROW()-3)="","",INDEX(MASTER_DATABASE!$D$4:$D$1000,ROW()-3)&amp;"")</f>
        <v/>
      </c>
      <c r="E332" s="7" t="str">
        <f aca="false">IF(INDEX(MASTER_DATABASE!$A$4:$A$1000,ROW()-3)="","",INDEX(MASTER_DATABASE!$E$4:$E$1000,ROW()-3)&amp;"")</f>
        <v/>
      </c>
      <c r="F332" s="7" t="str">
        <f aca="false">IF(INDEX(MASTER_DATABASE!$A$4:$A$1000,ROW()-3)="","",INDEX(MASTER_DATABASE!$F$4:$F$1000,ROW()-3)&amp;"")</f>
        <v/>
      </c>
      <c r="G332" s="7" t="str">
        <f aca="false">IF(INDEX(MASTER_DATABASE!$A$4:$A$1000,ROW()-3)="","",INDEX(MASTER_DATABASE!$AL$4:$AL$1000,ROW()-3)&amp;"")</f>
        <v/>
      </c>
      <c r="H332" s="7" t="str">
        <f aca="false">IF(INDEX(MASTER_DATABASE!$A$4:$A$1000,ROW()-3)="","",INDEX(MASTER_DATABASE!$AM$4:$AM$1000,ROW()-3)&amp;"")</f>
        <v/>
      </c>
      <c r="I332" s="7" t="str">
        <f aca="false">IF(INDEX(MASTER_DATABASE!$A$4:$A$1000,ROW()-3)="","",INDEX(MASTER_DATABASE!$AO$4:$AO$1000,ROW()-3)&amp;"")</f>
        <v/>
      </c>
      <c r="J332" s="7" t="str">
        <f aca="false">IF(INDEX(MASTER_DATABASE!$A$4:$A$1000,ROW()-3)="","",INDEX(MASTER_DATABASE!$BD$4:$BD$1000,ROW()-3)&amp;"")</f>
        <v/>
      </c>
      <c r="K332" s="7" t="str">
        <f aca="false">IF(INDEX(MASTER_DATABASE!$A$4:$A$1000,ROW()-3)="","",INDEX(MASTER_DATABASE!$AX$4:$AX$1000,ROW()-3)&amp;"")</f>
        <v/>
      </c>
      <c r="L332" s="7" t="str">
        <f aca="false">IF(INDEX(MASTER_DATABASE!$A$4:$A$1000,ROW()-3)="","",INDEX(MASTER_DATABASE!$AY$4:$AY$1000,ROW()-3)&amp;"")</f>
        <v/>
      </c>
      <c r="M332" s="7" t="str">
        <f aca="false">IF(INDEX(MASTER_DATABASE!$A$4:$A$1000,ROW()-3)="","",INDEX(MASTER_DATABASE!$AN$4:$AN$1000,ROW()-3)&amp;"")</f>
        <v/>
      </c>
      <c r="N332" s="7" t="str">
        <f aca="false">IF(INDEX(MASTER_DATABASE!$A$4:$A$1000,ROW()-3)="","",INDEX(MASTER_DATABASE!$AZ$4:$AZ$1000,ROW()-3)&amp;"")</f>
        <v/>
      </c>
      <c r="O332" s="7" t="str">
        <f aca="false">IF(INDEX(MASTER_DATABASE!$A$4:$A$1000,ROW()-3)="","",INDEX(MASTER_DATABASE!$BA$4:$BA$1000,ROW()-3)&amp;"")</f>
        <v/>
      </c>
      <c r="P332" s="11" t="str">
        <f aca="false">IF(INDEX(MASTER_DATABASE!$A$4:$A$1000,ROW()-3)="","",INDEX(MASTER_DATABASE!$AP$4:$AP$1000,ROW()-3)&amp;"")</f>
        <v/>
      </c>
      <c r="Q332" s="7" t="str">
        <f aca="false">IF(INDEX(MASTER_DATABASE!$A$4:$A$1000,ROW()-3)="","",INDEX(MASTER_DATABASE!$BB$4:$BB$1000,ROW()-3)&amp;"")</f>
        <v/>
      </c>
      <c r="R332" s="11" t="str">
        <f aca="false">IF(INDEX(MASTER_DATABASE!$A$4:$A$1000,ROW()-3)="","",INDEX(MASTER_DATABASE!$BC$4:$BC$1000,ROW()-3)&amp;"")</f>
        <v/>
      </c>
      <c r="S332" s="11" t="str">
        <f aca="false">IF(INDEX(MASTER_DATABASE!$A$4:$A$1000,ROW()-3)="","",INDEX(MASTER_DATABASE!$AQ$4:$AQ$1000,ROW()-3))</f>
        <v/>
      </c>
      <c r="T332" s="7" t="str">
        <f aca="false">IF(INDEX(MASTER_DATABASE!$A$4:$A$1000,ROW()-3)="","",INDEX(MASTER_DATABASE!$I$4:$I$1000,ROW()-3)&amp;"")</f>
        <v/>
      </c>
      <c r="U332" s="7" t="str">
        <f aca="false">IF(INDEX(MASTER_DATABASE!$A$4:$A$1000,ROW()-3)="","",INDEX(MASTER_DATABASE!$J$4:$J$1000,ROW()-3)&amp;"")</f>
        <v/>
      </c>
      <c r="V332" s="7" t="str">
        <f aca="false">IF(INDEX(MASTER_DATABASE!$A$4:$A$1000,ROW()-3)="","",INDEX(MASTER_DATABASE!$AG$4:$AG$1000,ROW()-3)&amp;"")</f>
        <v/>
      </c>
      <c r="W332" s="7" t="str">
        <f aca="false">IF(INDEX(MASTER_DATABASE!$A$4:$A$1000,ROW()-3)="","",INDEX(MASTER_DATABASE!$AH$4:$AH$1000,ROW()-3)&amp;"")</f>
        <v/>
      </c>
      <c r="X332" s="7" t="str">
        <f aca="false">IF(INDEX(MASTER_DATABASE!$A$4:$A$1000,ROW()-3)="","",INDEX(MASTER_DATABASE!$AI$4:$AI$1000,ROW()-3)&amp;"")</f>
        <v/>
      </c>
      <c r="Y332" s="7" t="str">
        <f aca="false">IF(INDEX(MASTER_DATABASE!$A$4:$A$1000,ROW()-3)="","",INDEX(MASTER_DATABASE!$AJ$4:$AJ$1000,ROW()-3)&amp;"")</f>
        <v/>
      </c>
      <c r="Z332" s="7" t="str">
        <f aca="false">IF(INDEX(MASTER_DATABASE!$A$4:$A$1000,ROW()-3)="","",INDEX(MASTER_DATABASE!$AK$4:$AK$1000,ROW()-3)&amp;"")</f>
        <v/>
      </c>
      <c r="AA332" s="7" t="str">
        <f aca="false">IF(INDEX(MASTER_DATABASE!$A$4:$A$1000,ROW()-3)="","",INDEX(MASTER_DATABASE!$BE$4:$BE$1000,ROW()-3)&amp;"")</f>
        <v/>
      </c>
    </row>
    <row r="333" customFormat="false" ht="15" hidden="false" customHeight="false" outlineLevel="0" collapsed="false">
      <c r="A333" s="11" t="str">
        <f aca="false">IF(INDEX(MASTER_DATABASE!$A$4:$A$1000,ROW()-3)="","",INDEX(MASTER_DATABASE!$A$4:$A$1000,ROW()-3)&amp;"")</f>
        <v/>
      </c>
      <c r="B333" s="7" t="str">
        <f aca="false">IF(INDEX(MASTER_DATABASE!$A$4:$A$1000,ROW()-3)="","",INDEX(MASTER_DATABASE!$B$4:$B$1000,ROW()-3)&amp;"")</f>
        <v/>
      </c>
      <c r="C333" s="7" t="str">
        <f aca="false">IF(INDEX(MASTER_DATABASE!$A$4:$A$1000,ROW()-3)="","",INDEX(MASTER_DATABASE!$C$4:$C$1000,ROW()-3)&amp;"")</f>
        <v/>
      </c>
      <c r="D333" s="7" t="str">
        <f aca="false">IF(INDEX(MASTER_DATABASE!$A$4:$A$1000,ROW()-3)="","",INDEX(MASTER_DATABASE!$D$4:$D$1000,ROW()-3)&amp;"")</f>
        <v/>
      </c>
      <c r="E333" s="7" t="str">
        <f aca="false">IF(INDEX(MASTER_DATABASE!$A$4:$A$1000,ROW()-3)="","",INDEX(MASTER_DATABASE!$E$4:$E$1000,ROW()-3)&amp;"")</f>
        <v/>
      </c>
      <c r="F333" s="7" t="str">
        <f aca="false">IF(INDEX(MASTER_DATABASE!$A$4:$A$1000,ROW()-3)="","",INDEX(MASTER_DATABASE!$F$4:$F$1000,ROW()-3)&amp;"")</f>
        <v/>
      </c>
      <c r="G333" s="7" t="str">
        <f aca="false">IF(INDEX(MASTER_DATABASE!$A$4:$A$1000,ROW()-3)="","",INDEX(MASTER_DATABASE!$AL$4:$AL$1000,ROW()-3)&amp;"")</f>
        <v/>
      </c>
      <c r="H333" s="7" t="str">
        <f aca="false">IF(INDEX(MASTER_DATABASE!$A$4:$A$1000,ROW()-3)="","",INDEX(MASTER_DATABASE!$AM$4:$AM$1000,ROW()-3)&amp;"")</f>
        <v/>
      </c>
      <c r="I333" s="7" t="str">
        <f aca="false">IF(INDEX(MASTER_DATABASE!$A$4:$A$1000,ROW()-3)="","",INDEX(MASTER_DATABASE!$AO$4:$AO$1000,ROW()-3)&amp;"")</f>
        <v/>
      </c>
      <c r="J333" s="7" t="str">
        <f aca="false">IF(INDEX(MASTER_DATABASE!$A$4:$A$1000,ROW()-3)="","",INDEX(MASTER_DATABASE!$BD$4:$BD$1000,ROW()-3)&amp;"")</f>
        <v/>
      </c>
      <c r="K333" s="7" t="str">
        <f aca="false">IF(INDEX(MASTER_DATABASE!$A$4:$A$1000,ROW()-3)="","",INDEX(MASTER_DATABASE!$AX$4:$AX$1000,ROW()-3)&amp;"")</f>
        <v/>
      </c>
      <c r="L333" s="7" t="str">
        <f aca="false">IF(INDEX(MASTER_DATABASE!$A$4:$A$1000,ROW()-3)="","",INDEX(MASTER_DATABASE!$AY$4:$AY$1000,ROW()-3)&amp;"")</f>
        <v/>
      </c>
      <c r="M333" s="7" t="str">
        <f aca="false">IF(INDEX(MASTER_DATABASE!$A$4:$A$1000,ROW()-3)="","",INDEX(MASTER_DATABASE!$AN$4:$AN$1000,ROW()-3)&amp;"")</f>
        <v/>
      </c>
      <c r="N333" s="7" t="str">
        <f aca="false">IF(INDEX(MASTER_DATABASE!$A$4:$A$1000,ROW()-3)="","",INDEX(MASTER_DATABASE!$AZ$4:$AZ$1000,ROW()-3)&amp;"")</f>
        <v/>
      </c>
      <c r="O333" s="7" t="str">
        <f aca="false">IF(INDEX(MASTER_DATABASE!$A$4:$A$1000,ROW()-3)="","",INDEX(MASTER_DATABASE!$BA$4:$BA$1000,ROW()-3)&amp;"")</f>
        <v/>
      </c>
      <c r="P333" s="11" t="str">
        <f aca="false">IF(INDEX(MASTER_DATABASE!$A$4:$A$1000,ROW()-3)="","",INDEX(MASTER_DATABASE!$AP$4:$AP$1000,ROW()-3)&amp;"")</f>
        <v/>
      </c>
      <c r="Q333" s="7" t="str">
        <f aca="false">IF(INDEX(MASTER_DATABASE!$A$4:$A$1000,ROW()-3)="","",INDEX(MASTER_DATABASE!$BB$4:$BB$1000,ROW()-3)&amp;"")</f>
        <v/>
      </c>
      <c r="R333" s="11" t="str">
        <f aca="false">IF(INDEX(MASTER_DATABASE!$A$4:$A$1000,ROW()-3)="","",INDEX(MASTER_DATABASE!$BC$4:$BC$1000,ROW()-3)&amp;"")</f>
        <v/>
      </c>
      <c r="S333" s="11" t="str">
        <f aca="false">IF(INDEX(MASTER_DATABASE!$A$4:$A$1000,ROW()-3)="","",INDEX(MASTER_DATABASE!$AQ$4:$AQ$1000,ROW()-3))</f>
        <v/>
      </c>
      <c r="T333" s="7" t="str">
        <f aca="false">IF(INDEX(MASTER_DATABASE!$A$4:$A$1000,ROW()-3)="","",INDEX(MASTER_DATABASE!$I$4:$I$1000,ROW()-3)&amp;"")</f>
        <v/>
      </c>
      <c r="U333" s="7" t="str">
        <f aca="false">IF(INDEX(MASTER_DATABASE!$A$4:$A$1000,ROW()-3)="","",INDEX(MASTER_DATABASE!$J$4:$J$1000,ROW()-3)&amp;"")</f>
        <v/>
      </c>
      <c r="V333" s="7" t="str">
        <f aca="false">IF(INDEX(MASTER_DATABASE!$A$4:$A$1000,ROW()-3)="","",INDEX(MASTER_DATABASE!$AG$4:$AG$1000,ROW()-3)&amp;"")</f>
        <v/>
      </c>
      <c r="W333" s="7" t="str">
        <f aca="false">IF(INDEX(MASTER_DATABASE!$A$4:$A$1000,ROW()-3)="","",INDEX(MASTER_DATABASE!$AH$4:$AH$1000,ROW()-3)&amp;"")</f>
        <v/>
      </c>
      <c r="X333" s="7" t="str">
        <f aca="false">IF(INDEX(MASTER_DATABASE!$A$4:$A$1000,ROW()-3)="","",INDEX(MASTER_DATABASE!$AI$4:$AI$1000,ROW()-3)&amp;"")</f>
        <v/>
      </c>
      <c r="Y333" s="7" t="str">
        <f aca="false">IF(INDEX(MASTER_DATABASE!$A$4:$A$1000,ROW()-3)="","",INDEX(MASTER_DATABASE!$AJ$4:$AJ$1000,ROW()-3)&amp;"")</f>
        <v/>
      </c>
      <c r="Z333" s="7" t="str">
        <f aca="false">IF(INDEX(MASTER_DATABASE!$A$4:$A$1000,ROW()-3)="","",INDEX(MASTER_DATABASE!$AK$4:$AK$1000,ROW()-3)&amp;"")</f>
        <v/>
      </c>
      <c r="AA333" s="7" t="str">
        <f aca="false">IF(INDEX(MASTER_DATABASE!$A$4:$A$1000,ROW()-3)="","",INDEX(MASTER_DATABASE!$BE$4:$BE$1000,ROW()-3)&amp;"")</f>
        <v/>
      </c>
    </row>
    <row r="334" customFormat="false" ht="15" hidden="false" customHeight="false" outlineLevel="0" collapsed="false">
      <c r="A334" s="11" t="str">
        <f aca="false">IF(INDEX(MASTER_DATABASE!$A$4:$A$1000,ROW()-3)="","",INDEX(MASTER_DATABASE!$A$4:$A$1000,ROW()-3)&amp;"")</f>
        <v/>
      </c>
      <c r="B334" s="7" t="str">
        <f aca="false">IF(INDEX(MASTER_DATABASE!$A$4:$A$1000,ROW()-3)="","",INDEX(MASTER_DATABASE!$B$4:$B$1000,ROW()-3)&amp;"")</f>
        <v/>
      </c>
      <c r="C334" s="7" t="str">
        <f aca="false">IF(INDEX(MASTER_DATABASE!$A$4:$A$1000,ROW()-3)="","",INDEX(MASTER_DATABASE!$C$4:$C$1000,ROW()-3)&amp;"")</f>
        <v/>
      </c>
      <c r="D334" s="7" t="str">
        <f aca="false">IF(INDEX(MASTER_DATABASE!$A$4:$A$1000,ROW()-3)="","",INDEX(MASTER_DATABASE!$D$4:$D$1000,ROW()-3)&amp;"")</f>
        <v/>
      </c>
      <c r="E334" s="7" t="str">
        <f aca="false">IF(INDEX(MASTER_DATABASE!$A$4:$A$1000,ROW()-3)="","",INDEX(MASTER_DATABASE!$E$4:$E$1000,ROW()-3)&amp;"")</f>
        <v/>
      </c>
      <c r="F334" s="7" t="str">
        <f aca="false">IF(INDEX(MASTER_DATABASE!$A$4:$A$1000,ROW()-3)="","",INDEX(MASTER_DATABASE!$F$4:$F$1000,ROW()-3)&amp;"")</f>
        <v/>
      </c>
      <c r="G334" s="7" t="str">
        <f aca="false">IF(INDEX(MASTER_DATABASE!$A$4:$A$1000,ROW()-3)="","",INDEX(MASTER_DATABASE!$AL$4:$AL$1000,ROW()-3)&amp;"")</f>
        <v/>
      </c>
      <c r="H334" s="7" t="str">
        <f aca="false">IF(INDEX(MASTER_DATABASE!$A$4:$A$1000,ROW()-3)="","",INDEX(MASTER_DATABASE!$AM$4:$AM$1000,ROW()-3)&amp;"")</f>
        <v/>
      </c>
      <c r="I334" s="7" t="str">
        <f aca="false">IF(INDEX(MASTER_DATABASE!$A$4:$A$1000,ROW()-3)="","",INDEX(MASTER_DATABASE!$AO$4:$AO$1000,ROW()-3)&amp;"")</f>
        <v/>
      </c>
      <c r="J334" s="7" t="str">
        <f aca="false">IF(INDEX(MASTER_DATABASE!$A$4:$A$1000,ROW()-3)="","",INDEX(MASTER_DATABASE!$BD$4:$BD$1000,ROW()-3)&amp;"")</f>
        <v/>
      </c>
      <c r="K334" s="7" t="str">
        <f aca="false">IF(INDEX(MASTER_DATABASE!$A$4:$A$1000,ROW()-3)="","",INDEX(MASTER_DATABASE!$AX$4:$AX$1000,ROW()-3)&amp;"")</f>
        <v/>
      </c>
      <c r="L334" s="7" t="str">
        <f aca="false">IF(INDEX(MASTER_DATABASE!$A$4:$A$1000,ROW()-3)="","",INDEX(MASTER_DATABASE!$AY$4:$AY$1000,ROW()-3)&amp;"")</f>
        <v/>
      </c>
      <c r="M334" s="7" t="str">
        <f aca="false">IF(INDEX(MASTER_DATABASE!$A$4:$A$1000,ROW()-3)="","",INDEX(MASTER_DATABASE!$AN$4:$AN$1000,ROW()-3)&amp;"")</f>
        <v/>
      </c>
      <c r="N334" s="7" t="str">
        <f aca="false">IF(INDEX(MASTER_DATABASE!$A$4:$A$1000,ROW()-3)="","",INDEX(MASTER_DATABASE!$AZ$4:$AZ$1000,ROW()-3)&amp;"")</f>
        <v/>
      </c>
      <c r="O334" s="7" t="str">
        <f aca="false">IF(INDEX(MASTER_DATABASE!$A$4:$A$1000,ROW()-3)="","",INDEX(MASTER_DATABASE!$BA$4:$BA$1000,ROW()-3)&amp;"")</f>
        <v/>
      </c>
      <c r="P334" s="11" t="str">
        <f aca="false">IF(INDEX(MASTER_DATABASE!$A$4:$A$1000,ROW()-3)="","",INDEX(MASTER_DATABASE!$AP$4:$AP$1000,ROW()-3)&amp;"")</f>
        <v/>
      </c>
      <c r="Q334" s="7" t="str">
        <f aca="false">IF(INDEX(MASTER_DATABASE!$A$4:$A$1000,ROW()-3)="","",INDEX(MASTER_DATABASE!$BB$4:$BB$1000,ROW()-3)&amp;"")</f>
        <v/>
      </c>
      <c r="R334" s="11" t="str">
        <f aca="false">IF(INDEX(MASTER_DATABASE!$A$4:$A$1000,ROW()-3)="","",INDEX(MASTER_DATABASE!$BC$4:$BC$1000,ROW()-3)&amp;"")</f>
        <v/>
      </c>
      <c r="S334" s="11" t="str">
        <f aca="false">IF(INDEX(MASTER_DATABASE!$A$4:$A$1000,ROW()-3)="","",INDEX(MASTER_DATABASE!$AQ$4:$AQ$1000,ROW()-3))</f>
        <v/>
      </c>
      <c r="T334" s="7" t="str">
        <f aca="false">IF(INDEX(MASTER_DATABASE!$A$4:$A$1000,ROW()-3)="","",INDEX(MASTER_DATABASE!$I$4:$I$1000,ROW()-3)&amp;"")</f>
        <v/>
      </c>
      <c r="U334" s="7" t="str">
        <f aca="false">IF(INDEX(MASTER_DATABASE!$A$4:$A$1000,ROW()-3)="","",INDEX(MASTER_DATABASE!$J$4:$J$1000,ROW()-3)&amp;"")</f>
        <v/>
      </c>
      <c r="V334" s="7" t="str">
        <f aca="false">IF(INDEX(MASTER_DATABASE!$A$4:$A$1000,ROW()-3)="","",INDEX(MASTER_DATABASE!$AG$4:$AG$1000,ROW()-3)&amp;"")</f>
        <v/>
      </c>
      <c r="W334" s="7" t="str">
        <f aca="false">IF(INDEX(MASTER_DATABASE!$A$4:$A$1000,ROW()-3)="","",INDEX(MASTER_DATABASE!$AH$4:$AH$1000,ROW()-3)&amp;"")</f>
        <v/>
      </c>
      <c r="X334" s="7" t="str">
        <f aca="false">IF(INDEX(MASTER_DATABASE!$A$4:$A$1000,ROW()-3)="","",INDEX(MASTER_DATABASE!$AI$4:$AI$1000,ROW()-3)&amp;"")</f>
        <v/>
      </c>
      <c r="Y334" s="7" t="str">
        <f aca="false">IF(INDEX(MASTER_DATABASE!$A$4:$A$1000,ROW()-3)="","",INDEX(MASTER_DATABASE!$AJ$4:$AJ$1000,ROW()-3)&amp;"")</f>
        <v/>
      </c>
      <c r="Z334" s="7" t="str">
        <f aca="false">IF(INDEX(MASTER_DATABASE!$A$4:$A$1000,ROW()-3)="","",INDEX(MASTER_DATABASE!$AK$4:$AK$1000,ROW()-3)&amp;"")</f>
        <v/>
      </c>
      <c r="AA334" s="7" t="str">
        <f aca="false">IF(INDEX(MASTER_DATABASE!$A$4:$A$1000,ROW()-3)="","",INDEX(MASTER_DATABASE!$BE$4:$BE$1000,ROW()-3)&amp;"")</f>
        <v/>
      </c>
    </row>
    <row r="335" customFormat="false" ht="15" hidden="false" customHeight="false" outlineLevel="0" collapsed="false">
      <c r="A335" s="11" t="str">
        <f aca="false">IF(INDEX(MASTER_DATABASE!$A$4:$A$1000,ROW()-3)="","",INDEX(MASTER_DATABASE!$A$4:$A$1000,ROW()-3)&amp;"")</f>
        <v/>
      </c>
      <c r="B335" s="7" t="str">
        <f aca="false">IF(INDEX(MASTER_DATABASE!$A$4:$A$1000,ROW()-3)="","",INDEX(MASTER_DATABASE!$B$4:$B$1000,ROW()-3)&amp;"")</f>
        <v/>
      </c>
      <c r="C335" s="7" t="str">
        <f aca="false">IF(INDEX(MASTER_DATABASE!$A$4:$A$1000,ROW()-3)="","",INDEX(MASTER_DATABASE!$C$4:$C$1000,ROW()-3)&amp;"")</f>
        <v/>
      </c>
      <c r="D335" s="7" t="str">
        <f aca="false">IF(INDEX(MASTER_DATABASE!$A$4:$A$1000,ROW()-3)="","",INDEX(MASTER_DATABASE!$D$4:$D$1000,ROW()-3)&amp;"")</f>
        <v/>
      </c>
      <c r="E335" s="7" t="str">
        <f aca="false">IF(INDEX(MASTER_DATABASE!$A$4:$A$1000,ROW()-3)="","",INDEX(MASTER_DATABASE!$E$4:$E$1000,ROW()-3)&amp;"")</f>
        <v/>
      </c>
      <c r="F335" s="7" t="str">
        <f aca="false">IF(INDEX(MASTER_DATABASE!$A$4:$A$1000,ROW()-3)="","",INDEX(MASTER_DATABASE!$F$4:$F$1000,ROW()-3)&amp;"")</f>
        <v/>
      </c>
      <c r="G335" s="7" t="str">
        <f aca="false">IF(INDEX(MASTER_DATABASE!$A$4:$A$1000,ROW()-3)="","",INDEX(MASTER_DATABASE!$AL$4:$AL$1000,ROW()-3)&amp;"")</f>
        <v/>
      </c>
      <c r="H335" s="7" t="str">
        <f aca="false">IF(INDEX(MASTER_DATABASE!$A$4:$A$1000,ROW()-3)="","",INDEX(MASTER_DATABASE!$AM$4:$AM$1000,ROW()-3)&amp;"")</f>
        <v/>
      </c>
      <c r="I335" s="7" t="str">
        <f aca="false">IF(INDEX(MASTER_DATABASE!$A$4:$A$1000,ROW()-3)="","",INDEX(MASTER_DATABASE!$AO$4:$AO$1000,ROW()-3)&amp;"")</f>
        <v/>
      </c>
      <c r="J335" s="7" t="str">
        <f aca="false">IF(INDEX(MASTER_DATABASE!$A$4:$A$1000,ROW()-3)="","",INDEX(MASTER_DATABASE!$BD$4:$BD$1000,ROW()-3)&amp;"")</f>
        <v/>
      </c>
      <c r="K335" s="7" t="str">
        <f aca="false">IF(INDEX(MASTER_DATABASE!$A$4:$A$1000,ROW()-3)="","",INDEX(MASTER_DATABASE!$AX$4:$AX$1000,ROW()-3)&amp;"")</f>
        <v/>
      </c>
      <c r="L335" s="7" t="str">
        <f aca="false">IF(INDEX(MASTER_DATABASE!$A$4:$A$1000,ROW()-3)="","",INDEX(MASTER_DATABASE!$AY$4:$AY$1000,ROW()-3)&amp;"")</f>
        <v/>
      </c>
      <c r="M335" s="7" t="str">
        <f aca="false">IF(INDEX(MASTER_DATABASE!$A$4:$A$1000,ROW()-3)="","",INDEX(MASTER_DATABASE!$AN$4:$AN$1000,ROW()-3)&amp;"")</f>
        <v/>
      </c>
      <c r="N335" s="7" t="str">
        <f aca="false">IF(INDEX(MASTER_DATABASE!$A$4:$A$1000,ROW()-3)="","",INDEX(MASTER_DATABASE!$AZ$4:$AZ$1000,ROW()-3)&amp;"")</f>
        <v/>
      </c>
      <c r="O335" s="7" t="str">
        <f aca="false">IF(INDEX(MASTER_DATABASE!$A$4:$A$1000,ROW()-3)="","",INDEX(MASTER_DATABASE!$BA$4:$BA$1000,ROW()-3)&amp;"")</f>
        <v/>
      </c>
      <c r="P335" s="11" t="str">
        <f aca="false">IF(INDEX(MASTER_DATABASE!$A$4:$A$1000,ROW()-3)="","",INDEX(MASTER_DATABASE!$AP$4:$AP$1000,ROW()-3)&amp;"")</f>
        <v/>
      </c>
      <c r="Q335" s="7" t="str">
        <f aca="false">IF(INDEX(MASTER_DATABASE!$A$4:$A$1000,ROW()-3)="","",INDEX(MASTER_DATABASE!$BB$4:$BB$1000,ROW()-3)&amp;"")</f>
        <v/>
      </c>
      <c r="R335" s="11" t="str">
        <f aca="false">IF(INDEX(MASTER_DATABASE!$A$4:$A$1000,ROW()-3)="","",INDEX(MASTER_DATABASE!$BC$4:$BC$1000,ROW()-3)&amp;"")</f>
        <v/>
      </c>
      <c r="S335" s="11" t="str">
        <f aca="false">IF(INDEX(MASTER_DATABASE!$A$4:$A$1000,ROW()-3)="","",INDEX(MASTER_DATABASE!$AQ$4:$AQ$1000,ROW()-3))</f>
        <v/>
      </c>
      <c r="T335" s="7" t="str">
        <f aca="false">IF(INDEX(MASTER_DATABASE!$A$4:$A$1000,ROW()-3)="","",INDEX(MASTER_DATABASE!$I$4:$I$1000,ROW()-3)&amp;"")</f>
        <v/>
      </c>
      <c r="U335" s="7" t="str">
        <f aca="false">IF(INDEX(MASTER_DATABASE!$A$4:$A$1000,ROW()-3)="","",INDEX(MASTER_DATABASE!$J$4:$J$1000,ROW()-3)&amp;"")</f>
        <v/>
      </c>
      <c r="V335" s="7" t="str">
        <f aca="false">IF(INDEX(MASTER_DATABASE!$A$4:$A$1000,ROW()-3)="","",INDEX(MASTER_DATABASE!$AG$4:$AG$1000,ROW()-3)&amp;"")</f>
        <v/>
      </c>
      <c r="W335" s="7" t="str">
        <f aca="false">IF(INDEX(MASTER_DATABASE!$A$4:$A$1000,ROW()-3)="","",INDEX(MASTER_DATABASE!$AH$4:$AH$1000,ROW()-3)&amp;"")</f>
        <v/>
      </c>
      <c r="X335" s="7" t="str">
        <f aca="false">IF(INDEX(MASTER_DATABASE!$A$4:$A$1000,ROW()-3)="","",INDEX(MASTER_DATABASE!$AI$4:$AI$1000,ROW()-3)&amp;"")</f>
        <v/>
      </c>
      <c r="Y335" s="7" t="str">
        <f aca="false">IF(INDEX(MASTER_DATABASE!$A$4:$A$1000,ROW()-3)="","",INDEX(MASTER_DATABASE!$AJ$4:$AJ$1000,ROW()-3)&amp;"")</f>
        <v/>
      </c>
      <c r="Z335" s="7" t="str">
        <f aca="false">IF(INDEX(MASTER_DATABASE!$A$4:$A$1000,ROW()-3)="","",INDEX(MASTER_DATABASE!$AK$4:$AK$1000,ROW()-3)&amp;"")</f>
        <v/>
      </c>
      <c r="AA335" s="7" t="str">
        <f aca="false">IF(INDEX(MASTER_DATABASE!$A$4:$A$1000,ROW()-3)="","",INDEX(MASTER_DATABASE!$BE$4:$BE$1000,ROW()-3)&amp;"")</f>
        <v/>
      </c>
    </row>
    <row r="336" customFormat="false" ht="15" hidden="false" customHeight="false" outlineLevel="0" collapsed="false">
      <c r="A336" s="11" t="str">
        <f aca="false">IF(INDEX(MASTER_DATABASE!$A$4:$A$1000,ROW()-3)="","",INDEX(MASTER_DATABASE!$A$4:$A$1000,ROW()-3)&amp;"")</f>
        <v/>
      </c>
      <c r="B336" s="7" t="str">
        <f aca="false">IF(INDEX(MASTER_DATABASE!$A$4:$A$1000,ROW()-3)="","",INDEX(MASTER_DATABASE!$B$4:$B$1000,ROW()-3)&amp;"")</f>
        <v/>
      </c>
      <c r="C336" s="7" t="str">
        <f aca="false">IF(INDEX(MASTER_DATABASE!$A$4:$A$1000,ROW()-3)="","",INDEX(MASTER_DATABASE!$C$4:$C$1000,ROW()-3)&amp;"")</f>
        <v/>
      </c>
      <c r="D336" s="7" t="str">
        <f aca="false">IF(INDEX(MASTER_DATABASE!$A$4:$A$1000,ROW()-3)="","",INDEX(MASTER_DATABASE!$D$4:$D$1000,ROW()-3)&amp;"")</f>
        <v/>
      </c>
      <c r="E336" s="7" t="str">
        <f aca="false">IF(INDEX(MASTER_DATABASE!$A$4:$A$1000,ROW()-3)="","",INDEX(MASTER_DATABASE!$E$4:$E$1000,ROW()-3)&amp;"")</f>
        <v/>
      </c>
      <c r="F336" s="7" t="str">
        <f aca="false">IF(INDEX(MASTER_DATABASE!$A$4:$A$1000,ROW()-3)="","",INDEX(MASTER_DATABASE!$F$4:$F$1000,ROW()-3)&amp;"")</f>
        <v/>
      </c>
      <c r="G336" s="7" t="str">
        <f aca="false">IF(INDEX(MASTER_DATABASE!$A$4:$A$1000,ROW()-3)="","",INDEX(MASTER_DATABASE!$AL$4:$AL$1000,ROW()-3)&amp;"")</f>
        <v/>
      </c>
      <c r="H336" s="7" t="str">
        <f aca="false">IF(INDEX(MASTER_DATABASE!$A$4:$A$1000,ROW()-3)="","",INDEX(MASTER_DATABASE!$AM$4:$AM$1000,ROW()-3)&amp;"")</f>
        <v/>
      </c>
      <c r="I336" s="7" t="str">
        <f aca="false">IF(INDEX(MASTER_DATABASE!$A$4:$A$1000,ROW()-3)="","",INDEX(MASTER_DATABASE!$AO$4:$AO$1000,ROW()-3)&amp;"")</f>
        <v/>
      </c>
      <c r="J336" s="7" t="str">
        <f aca="false">IF(INDEX(MASTER_DATABASE!$A$4:$A$1000,ROW()-3)="","",INDEX(MASTER_DATABASE!$BD$4:$BD$1000,ROW()-3)&amp;"")</f>
        <v/>
      </c>
      <c r="K336" s="7" t="str">
        <f aca="false">IF(INDEX(MASTER_DATABASE!$A$4:$A$1000,ROW()-3)="","",INDEX(MASTER_DATABASE!$AX$4:$AX$1000,ROW()-3)&amp;"")</f>
        <v/>
      </c>
      <c r="L336" s="7" t="str">
        <f aca="false">IF(INDEX(MASTER_DATABASE!$A$4:$A$1000,ROW()-3)="","",INDEX(MASTER_DATABASE!$AY$4:$AY$1000,ROW()-3)&amp;"")</f>
        <v/>
      </c>
      <c r="M336" s="7" t="str">
        <f aca="false">IF(INDEX(MASTER_DATABASE!$A$4:$A$1000,ROW()-3)="","",INDEX(MASTER_DATABASE!$AN$4:$AN$1000,ROW()-3)&amp;"")</f>
        <v/>
      </c>
      <c r="N336" s="7" t="str">
        <f aca="false">IF(INDEX(MASTER_DATABASE!$A$4:$A$1000,ROW()-3)="","",INDEX(MASTER_DATABASE!$AZ$4:$AZ$1000,ROW()-3)&amp;"")</f>
        <v/>
      </c>
      <c r="O336" s="7" t="str">
        <f aca="false">IF(INDEX(MASTER_DATABASE!$A$4:$A$1000,ROW()-3)="","",INDEX(MASTER_DATABASE!$BA$4:$BA$1000,ROW()-3)&amp;"")</f>
        <v/>
      </c>
      <c r="P336" s="11" t="str">
        <f aca="false">IF(INDEX(MASTER_DATABASE!$A$4:$A$1000,ROW()-3)="","",INDEX(MASTER_DATABASE!$AP$4:$AP$1000,ROW()-3)&amp;"")</f>
        <v/>
      </c>
      <c r="Q336" s="7" t="str">
        <f aca="false">IF(INDEX(MASTER_DATABASE!$A$4:$A$1000,ROW()-3)="","",INDEX(MASTER_DATABASE!$BB$4:$BB$1000,ROW()-3)&amp;"")</f>
        <v/>
      </c>
      <c r="R336" s="11" t="str">
        <f aca="false">IF(INDEX(MASTER_DATABASE!$A$4:$A$1000,ROW()-3)="","",INDEX(MASTER_DATABASE!$BC$4:$BC$1000,ROW()-3)&amp;"")</f>
        <v/>
      </c>
      <c r="S336" s="11" t="str">
        <f aca="false">IF(INDEX(MASTER_DATABASE!$A$4:$A$1000,ROW()-3)="","",INDEX(MASTER_DATABASE!$AQ$4:$AQ$1000,ROW()-3))</f>
        <v/>
      </c>
      <c r="T336" s="7" t="str">
        <f aca="false">IF(INDEX(MASTER_DATABASE!$A$4:$A$1000,ROW()-3)="","",INDEX(MASTER_DATABASE!$I$4:$I$1000,ROW()-3)&amp;"")</f>
        <v/>
      </c>
      <c r="U336" s="7" t="str">
        <f aca="false">IF(INDEX(MASTER_DATABASE!$A$4:$A$1000,ROW()-3)="","",INDEX(MASTER_DATABASE!$J$4:$J$1000,ROW()-3)&amp;"")</f>
        <v/>
      </c>
      <c r="V336" s="7" t="str">
        <f aca="false">IF(INDEX(MASTER_DATABASE!$A$4:$A$1000,ROW()-3)="","",INDEX(MASTER_DATABASE!$AG$4:$AG$1000,ROW()-3)&amp;"")</f>
        <v/>
      </c>
      <c r="W336" s="7" t="str">
        <f aca="false">IF(INDEX(MASTER_DATABASE!$A$4:$A$1000,ROW()-3)="","",INDEX(MASTER_DATABASE!$AH$4:$AH$1000,ROW()-3)&amp;"")</f>
        <v/>
      </c>
      <c r="X336" s="7" t="str">
        <f aca="false">IF(INDEX(MASTER_DATABASE!$A$4:$A$1000,ROW()-3)="","",INDEX(MASTER_DATABASE!$AI$4:$AI$1000,ROW()-3)&amp;"")</f>
        <v/>
      </c>
      <c r="Y336" s="7" t="str">
        <f aca="false">IF(INDEX(MASTER_DATABASE!$A$4:$A$1000,ROW()-3)="","",INDEX(MASTER_DATABASE!$AJ$4:$AJ$1000,ROW()-3)&amp;"")</f>
        <v/>
      </c>
      <c r="Z336" s="7" t="str">
        <f aca="false">IF(INDEX(MASTER_DATABASE!$A$4:$A$1000,ROW()-3)="","",INDEX(MASTER_DATABASE!$AK$4:$AK$1000,ROW()-3)&amp;"")</f>
        <v/>
      </c>
      <c r="AA336" s="7" t="str">
        <f aca="false">IF(INDEX(MASTER_DATABASE!$A$4:$A$1000,ROW()-3)="","",INDEX(MASTER_DATABASE!$BE$4:$BE$1000,ROW()-3)&amp;"")</f>
        <v/>
      </c>
    </row>
    <row r="337" customFormat="false" ht="15" hidden="false" customHeight="false" outlineLevel="0" collapsed="false">
      <c r="A337" s="11" t="str">
        <f aca="false">IF(INDEX(MASTER_DATABASE!$A$4:$A$1000,ROW()-3)="","",INDEX(MASTER_DATABASE!$A$4:$A$1000,ROW()-3)&amp;"")</f>
        <v/>
      </c>
      <c r="B337" s="7" t="str">
        <f aca="false">IF(INDEX(MASTER_DATABASE!$A$4:$A$1000,ROW()-3)="","",INDEX(MASTER_DATABASE!$B$4:$B$1000,ROW()-3)&amp;"")</f>
        <v/>
      </c>
      <c r="C337" s="7" t="str">
        <f aca="false">IF(INDEX(MASTER_DATABASE!$A$4:$A$1000,ROW()-3)="","",INDEX(MASTER_DATABASE!$C$4:$C$1000,ROW()-3)&amp;"")</f>
        <v/>
      </c>
      <c r="D337" s="7" t="str">
        <f aca="false">IF(INDEX(MASTER_DATABASE!$A$4:$A$1000,ROW()-3)="","",INDEX(MASTER_DATABASE!$D$4:$D$1000,ROW()-3)&amp;"")</f>
        <v/>
      </c>
      <c r="E337" s="7" t="str">
        <f aca="false">IF(INDEX(MASTER_DATABASE!$A$4:$A$1000,ROW()-3)="","",INDEX(MASTER_DATABASE!$E$4:$E$1000,ROW()-3)&amp;"")</f>
        <v/>
      </c>
      <c r="F337" s="7" t="str">
        <f aca="false">IF(INDEX(MASTER_DATABASE!$A$4:$A$1000,ROW()-3)="","",INDEX(MASTER_DATABASE!$F$4:$F$1000,ROW()-3)&amp;"")</f>
        <v/>
      </c>
      <c r="G337" s="7" t="str">
        <f aca="false">IF(INDEX(MASTER_DATABASE!$A$4:$A$1000,ROW()-3)="","",INDEX(MASTER_DATABASE!$AL$4:$AL$1000,ROW()-3)&amp;"")</f>
        <v/>
      </c>
      <c r="H337" s="7" t="str">
        <f aca="false">IF(INDEX(MASTER_DATABASE!$A$4:$A$1000,ROW()-3)="","",INDEX(MASTER_DATABASE!$AM$4:$AM$1000,ROW()-3)&amp;"")</f>
        <v/>
      </c>
      <c r="I337" s="7" t="str">
        <f aca="false">IF(INDEX(MASTER_DATABASE!$A$4:$A$1000,ROW()-3)="","",INDEX(MASTER_DATABASE!$AO$4:$AO$1000,ROW()-3)&amp;"")</f>
        <v/>
      </c>
      <c r="J337" s="7" t="str">
        <f aca="false">IF(INDEX(MASTER_DATABASE!$A$4:$A$1000,ROW()-3)="","",INDEX(MASTER_DATABASE!$BD$4:$BD$1000,ROW()-3)&amp;"")</f>
        <v/>
      </c>
      <c r="K337" s="7" t="str">
        <f aca="false">IF(INDEX(MASTER_DATABASE!$A$4:$A$1000,ROW()-3)="","",INDEX(MASTER_DATABASE!$AX$4:$AX$1000,ROW()-3)&amp;"")</f>
        <v/>
      </c>
      <c r="L337" s="7" t="str">
        <f aca="false">IF(INDEX(MASTER_DATABASE!$A$4:$A$1000,ROW()-3)="","",INDEX(MASTER_DATABASE!$AY$4:$AY$1000,ROW()-3)&amp;"")</f>
        <v/>
      </c>
      <c r="M337" s="7" t="str">
        <f aca="false">IF(INDEX(MASTER_DATABASE!$A$4:$A$1000,ROW()-3)="","",INDEX(MASTER_DATABASE!$AN$4:$AN$1000,ROW()-3)&amp;"")</f>
        <v/>
      </c>
      <c r="N337" s="7" t="str">
        <f aca="false">IF(INDEX(MASTER_DATABASE!$A$4:$A$1000,ROW()-3)="","",INDEX(MASTER_DATABASE!$AZ$4:$AZ$1000,ROW()-3)&amp;"")</f>
        <v/>
      </c>
      <c r="O337" s="7" t="str">
        <f aca="false">IF(INDEX(MASTER_DATABASE!$A$4:$A$1000,ROW()-3)="","",INDEX(MASTER_DATABASE!$BA$4:$BA$1000,ROW()-3)&amp;"")</f>
        <v/>
      </c>
      <c r="P337" s="11" t="str">
        <f aca="false">IF(INDEX(MASTER_DATABASE!$A$4:$A$1000,ROW()-3)="","",INDEX(MASTER_DATABASE!$AP$4:$AP$1000,ROW()-3)&amp;"")</f>
        <v/>
      </c>
      <c r="Q337" s="7" t="str">
        <f aca="false">IF(INDEX(MASTER_DATABASE!$A$4:$A$1000,ROW()-3)="","",INDEX(MASTER_DATABASE!$BB$4:$BB$1000,ROW()-3)&amp;"")</f>
        <v/>
      </c>
      <c r="R337" s="11" t="str">
        <f aca="false">IF(INDEX(MASTER_DATABASE!$A$4:$A$1000,ROW()-3)="","",INDEX(MASTER_DATABASE!$BC$4:$BC$1000,ROW()-3)&amp;"")</f>
        <v/>
      </c>
      <c r="S337" s="11" t="str">
        <f aca="false">IF(INDEX(MASTER_DATABASE!$A$4:$A$1000,ROW()-3)="","",INDEX(MASTER_DATABASE!$AQ$4:$AQ$1000,ROW()-3))</f>
        <v/>
      </c>
      <c r="T337" s="7" t="str">
        <f aca="false">IF(INDEX(MASTER_DATABASE!$A$4:$A$1000,ROW()-3)="","",INDEX(MASTER_DATABASE!$I$4:$I$1000,ROW()-3)&amp;"")</f>
        <v/>
      </c>
      <c r="U337" s="7" t="str">
        <f aca="false">IF(INDEX(MASTER_DATABASE!$A$4:$A$1000,ROW()-3)="","",INDEX(MASTER_DATABASE!$J$4:$J$1000,ROW()-3)&amp;"")</f>
        <v/>
      </c>
      <c r="V337" s="7" t="str">
        <f aca="false">IF(INDEX(MASTER_DATABASE!$A$4:$A$1000,ROW()-3)="","",INDEX(MASTER_DATABASE!$AG$4:$AG$1000,ROW()-3)&amp;"")</f>
        <v/>
      </c>
      <c r="W337" s="7" t="str">
        <f aca="false">IF(INDEX(MASTER_DATABASE!$A$4:$A$1000,ROW()-3)="","",INDEX(MASTER_DATABASE!$AH$4:$AH$1000,ROW()-3)&amp;"")</f>
        <v/>
      </c>
      <c r="X337" s="7" t="str">
        <f aca="false">IF(INDEX(MASTER_DATABASE!$A$4:$A$1000,ROW()-3)="","",INDEX(MASTER_DATABASE!$AI$4:$AI$1000,ROW()-3)&amp;"")</f>
        <v/>
      </c>
      <c r="Y337" s="7" t="str">
        <f aca="false">IF(INDEX(MASTER_DATABASE!$A$4:$A$1000,ROW()-3)="","",INDEX(MASTER_DATABASE!$AJ$4:$AJ$1000,ROW()-3)&amp;"")</f>
        <v/>
      </c>
      <c r="Z337" s="7" t="str">
        <f aca="false">IF(INDEX(MASTER_DATABASE!$A$4:$A$1000,ROW()-3)="","",INDEX(MASTER_DATABASE!$AK$4:$AK$1000,ROW()-3)&amp;"")</f>
        <v/>
      </c>
      <c r="AA337" s="7" t="str">
        <f aca="false">IF(INDEX(MASTER_DATABASE!$A$4:$A$1000,ROW()-3)="","",INDEX(MASTER_DATABASE!$BE$4:$BE$1000,ROW()-3)&amp;"")</f>
        <v/>
      </c>
    </row>
    <row r="338" customFormat="false" ht="15" hidden="false" customHeight="false" outlineLevel="0" collapsed="false">
      <c r="A338" s="11" t="str">
        <f aca="false">IF(INDEX(MASTER_DATABASE!$A$4:$A$1000,ROW()-3)="","",INDEX(MASTER_DATABASE!$A$4:$A$1000,ROW()-3)&amp;"")</f>
        <v/>
      </c>
      <c r="B338" s="7" t="str">
        <f aca="false">IF(INDEX(MASTER_DATABASE!$A$4:$A$1000,ROW()-3)="","",INDEX(MASTER_DATABASE!$B$4:$B$1000,ROW()-3)&amp;"")</f>
        <v/>
      </c>
      <c r="C338" s="7" t="str">
        <f aca="false">IF(INDEX(MASTER_DATABASE!$A$4:$A$1000,ROW()-3)="","",INDEX(MASTER_DATABASE!$C$4:$C$1000,ROW()-3)&amp;"")</f>
        <v/>
      </c>
      <c r="D338" s="7" t="str">
        <f aca="false">IF(INDEX(MASTER_DATABASE!$A$4:$A$1000,ROW()-3)="","",INDEX(MASTER_DATABASE!$D$4:$D$1000,ROW()-3)&amp;"")</f>
        <v/>
      </c>
      <c r="E338" s="7" t="str">
        <f aca="false">IF(INDEX(MASTER_DATABASE!$A$4:$A$1000,ROW()-3)="","",INDEX(MASTER_DATABASE!$E$4:$E$1000,ROW()-3)&amp;"")</f>
        <v/>
      </c>
      <c r="F338" s="7" t="str">
        <f aca="false">IF(INDEX(MASTER_DATABASE!$A$4:$A$1000,ROW()-3)="","",INDEX(MASTER_DATABASE!$F$4:$F$1000,ROW()-3)&amp;"")</f>
        <v/>
      </c>
      <c r="G338" s="7" t="str">
        <f aca="false">IF(INDEX(MASTER_DATABASE!$A$4:$A$1000,ROW()-3)="","",INDEX(MASTER_DATABASE!$AL$4:$AL$1000,ROW()-3)&amp;"")</f>
        <v/>
      </c>
      <c r="H338" s="7" t="str">
        <f aca="false">IF(INDEX(MASTER_DATABASE!$A$4:$A$1000,ROW()-3)="","",INDEX(MASTER_DATABASE!$AM$4:$AM$1000,ROW()-3)&amp;"")</f>
        <v/>
      </c>
      <c r="I338" s="7" t="str">
        <f aca="false">IF(INDEX(MASTER_DATABASE!$A$4:$A$1000,ROW()-3)="","",INDEX(MASTER_DATABASE!$AO$4:$AO$1000,ROW()-3)&amp;"")</f>
        <v/>
      </c>
      <c r="J338" s="7" t="str">
        <f aca="false">IF(INDEX(MASTER_DATABASE!$A$4:$A$1000,ROW()-3)="","",INDEX(MASTER_DATABASE!$BD$4:$BD$1000,ROW()-3)&amp;"")</f>
        <v/>
      </c>
      <c r="K338" s="7" t="str">
        <f aca="false">IF(INDEX(MASTER_DATABASE!$A$4:$A$1000,ROW()-3)="","",INDEX(MASTER_DATABASE!$AX$4:$AX$1000,ROW()-3)&amp;"")</f>
        <v/>
      </c>
      <c r="L338" s="7" t="str">
        <f aca="false">IF(INDEX(MASTER_DATABASE!$A$4:$A$1000,ROW()-3)="","",INDEX(MASTER_DATABASE!$AY$4:$AY$1000,ROW()-3)&amp;"")</f>
        <v/>
      </c>
      <c r="M338" s="7" t="str">
        <f aca="false">IF(INDEX(MASTER_DATABASE!$A$4:$A$1000,ROW()-3)="","",INDEX(MASTER_DATABASE!$AN$4:$AN$1000,ROW()-3)&amp;"")</f>
        <v/>
      </c>
      <c r="N338" s="7" t="str">
        <f aca="false">IF(INDEX(MASTER_DATABASE!$A$4:$A$1000,ROW()-3)="","",INDEX(MASTER_DATABASE!$AZ$4:$AZ$1000,ROW()-3)&amp;"")</f>
        <v/>
      </c>
      <c r="O338" s="7" t="str">
        <f aca="false">IF(INDEX(MASTER_DATABASE!$A$4:$A$1000,ROW()-3)="","",INDEX(MASTER_DATABASE!$BA$4:$BA$1000,ROW()-3)&amp;"")</f>
        <v/>
      </c>
      <c r="P338" s="11" t="str">
        <f aca="false">IF(INDEX(MASTER_DATABASE!$A$4:$A$1000,ROW()-3)="","",INDEX(MASTER_DATABASE!$AP$4:$AP$1000,ROW()-3)&amp;"")</f>
        <v/>
      </c>
      <c r="Q338" s="7" t="str">
        <f aca="false">IF(INDEX(MASTER_DATABASE!$A$4:$A$1000,ROW()-3)="","",INDEX(MASTER_DATABASE!$BB$4:$BB$1000,ROW()-3)&amp;"")</f>
        <v/>
      </c>
      <c r="R338" s="11" t="str">
        <f aca="false">IF(INDEX(MASTER_DATABASE!$A$4:$A$1000,ROW()-3)="","",INDEX(MASTER_DATABASE!$BC$4:$BC$1000,ROW()-3)&amp;"")</f>
        <v/>
      </c>
      <c r="S338" s="11" t="str">
        <f aca="false">IF(INDEX(MASTER_DATABASE!$A$4:$A$1000,ROW()-3)="","",INDEX(MASTER_DATABASE!$AQ$4:$AQ$1000,ROW()-3))</f>
        <v/>
      </c>
      <c r="T338" s="7" t="str">
        <f aca="false">IF(INDEX(MASTER_DATABASE!$A$4:$A$1000,ROW()-3)="","",INDEX(MASTER_DATABASE!$I$4:$I$1000,ROW()-3)&amp;"")</f>
        <v/>
      </c>
      <c r="U338" s="7" t="str">
        <f aca="false">IF(INDEX(MASTER_DATABASE!$A$4:$A$1000,ROW()-3)="","",INDEX(MASTER_DATABASE!$J$4:$J$1000,ROW()-3)&amp;"")</f>
        <v/>
      </c>
      <c r="V338" s="7" t="str">
        <f aca="false">IF(INDEX(MASTER_DATABASE!$A$4:$A$1000,ROW()-3)="","",INDEX(MASTER_DATABASE!$AG$4:$AG$1000,ROW()-3)&amp;"")</f>
        <v/>
      </c>
      <c r="W338" s="7" t="str">
        <f aca="false">IF(INDEX(MASTER_DATABASE!$A$4:$A$1000,ROW()-3)="","",INDEX(MASTER_DATABASE!$AH$4:$AH$1000,ROW()-3)&amp;"")</f>
        <v/>
      </c>
      <c r="X338" s="7" t="str">
        <f aca="false">IF(INDEX(MASTER_DATABASE!$A$4:$A$1000,ROW()-3)="","",INDEX(MASTER_DATABASE!$AI$4:$AI$1000,ROW()-3)&amp;"")</f>
        <v/>
      </c>
      <c r="Y338" s="7" t="str">
        <f aca="false">IF(INDEX(MASTER_DATABASE!$A$4:$A$1000,ROW()-3)="","",INDEX(MASTER_DATABASE!$AJ$4:$AJ$1000,ROW()-3)&amp;"")</f>
        <v/>
      </c>
      <c r="Z338" s="7" t="str">
        <f aca="false">IF(INDEX(MASTER_DATABASE!$A$4:$A$1000,ROW()-3)="","",INDEX(MASTER_DATABASE!$AK$4:$AK$1000,ROW()-3)&amp;"")</f>
        <v/>
      </c>
      <c r="AA338" s="7" t="str">
        <f aca="false">IF(INDEX(MASTER_DATABASE!$A$4:$A$1000,ROW()-3)="","",INDEX(MASTER_DATABASE!$BE$4:$BE$1000,ROW()-3)&amp;"")</f>
        <v/>
      </c>
    </row>
    <row r="339" customFormat="false" ht="15" hidden="false" customHeight="false" outlineLevel="0" collapsed="false">
      <c r="A339" s="11" t="str">
        <f aca="false">IF(INDEX(MASTER_DATABASE!$A$4:$A$1000,ROW()-3)="","",INDEX(MASTER_DATABASE!$A$4:$A$1000,ROW()-3)&amp;"")</f>
        <v/>
      </c>
      <c r="B339" s="7" t="str">
        <f aca="false">IF(INDEX(MASTER_DATABASE!$A$4:$A$1000,ROW()-3)="","",INDEX(MASTER_DATABASE!$B$4:$B$1000,ROW()-3)&amp;"")</f>
        <v/>
      </c>
      <c r="C339" s="7" t="str">
        <f aca="false">IF(INDEX(MASTER_DATABASE!$A$4:$A$1000,ROW()-3)="","",INDEX(MASTER_DATABASE!$C$4:$C$1000,ROW()-3)&amp;"")</f>
        <v/>
      </c>
      <c r="D339" s="7" t="str">
        <f aca="false">IF(INDEX(MASTER_DATABASE!$A$4:$A$1000,ROW()-3)="","",INDEX(MASTER_DATABASE!$D$4:$D$1000,ROW()-3)&amp;"")</f>
        <v/>
      </c>
      <c r="E339" s="7" t="str">
        <f aca="false">IF(INDEX(MASTER_DATABASE!$A$4:$A$1000,ROW()-3)="","",INDEX(MASTER_DATABASE!$E$4:$E$1000,ROW()-3)&amp;"")</f>
        <v/>
      </c>
      <c r="F339" s="7" t="str">
        <f aca="false">IF(INDEX(MASTER_DATABASE!$A$4:$A$1000,ROW()-3)="","",INDEX(MASTER_DATABASE!$F$4:$F$1000,ROW()-3)&amp;"")</f>
        <v/>
      </c>
      <c r="G339" s="7" t="str">
        <f aca="false">IF(INDEX(MASTER_DATABASE!$A$4:$A$1000,ROW()-3)="","",INDEX(MASTER_DATABASE!$AL$4:$AL$1000,ROW()-3)&amp;"")</f>
        <v/>
      </c>
      <c r="H339" s="7" t="str">
        <f aca="false">IF(INDEX(MASTER_DATABASE!$A$4:$A$1000,ROW()-3)="","",INDEX(MASTER_DATABASE!$AM$4:$AM$1000,ROW()-3)&amp;"")</f>
        <v/>
      </c>
      <c r="I339" s="7" t="str">
        <f aca="false">IF(INDEX(MASTER_DATABASE!$A$4:$A$1000,ROW()-3)="","",INDEX(MASTER_DATABASE!$AO$4:$AO$1000,ROW()-3)&amp;"")</f>
        <v/>
      </c>
      <c r="J339" s="7" t="str">
        <f aca="false">IF(INDEX(MASTER_DATABASE!$A$4:$A$1000,ROW()-3)="","",INDEX(MASTER_DATABASE!$BD$4:$BD$1000,ROW()-3)&amp;"")</f>
        <v/>
      </c>
      <c r="K339" s="7" t="str">
        <f aca="false">IF(INDEX(MASTER_DATABASE!$A$4:$A$1000,ROW()-3)="","",INDEX(MASTER_DATABASE!$AX$4:$AX$1000,ROW()-3)&amp;"")</f>
        <v/>
      </c>
      <c r="L339" s="7" t="str">
        <f aca="false">IF(INDEX(MASTER_DATABASE!$A$4:$A$1000,ROW()-3)="","",INDEX(MASTER_DATABASE!$AY$4:$AY$1000,ROW()-3)&amp;"")</f>
        <v/>
      </c>
      <c r="M339" s="7" t="str">
        <f aca="false">IF(INDEX(MASTER_DATABASE!$A$4:$A$1000,ROW()-3)="","",INDEX(MASTER_DATABASE!$AN$4:$AN$1000,ROW()-3)&amp;"")</f>
        <v/>
      </c>
      <c r="N339" s="7" t="str">
        <f aca="false">IF(INDEX(MASTER_DATABASE!$A$4:$A$1000,ROW()-3)="","",INDEX(MASTER_DATABASE!$AZ$4:$AZ$1000,ROW()-3)&amp;"")</f>
        <v/>
      </c>
      <c r="O339" s="7" t="str">
        <f aca="false">IF(INDEX(MASTER_DATABASE!$A$4:$A$1000,ROW()-3)="","",INDEX(MASTER_DATABASE!$BA$4:$BA$1000,ROW()-3)&amp;"")</f>
        <v/>
      </c>
      <c r="P339" s="11" t="str">
        <f aca="false">IF(INDEX(MASTER_DATABASE!$A$4:$A$1000,ROW()-3)="","",INDEX(MASTER_DATABASE!$AP$4:$AP$1000,ROW()-3)&amp;"")</f>
        <v/>
      </c>
      <c r="Q339" s="7" t="str">
        <f aca="false">IF(INDEX(MASTER_DATABASE!$A$4:$A$1000,ROW()-3)="","",INDEX(MASTER_DATABASE!$BB$4:$BB$1000,ROW()-3)&amp;"")</f>
        <v/>
      </c>
      <c r="R339" s="11" t="str">
        <f aca="false">IF(INDEX(MASTER_DATABASE!$A$4:$A$1000,ROW()-3)="","",INDEX(MASTER_DATABASE!$BC$4:$BC$1000,ROW()-3)&amp;"")</f>
        <v/>
      </c>
      <c r="S339" s="11" t="str">
        <f aca="false">IF(INDEX(MASTER_DATABASE!$A$4:$A$1000,ROW()-3)="","",INDEX(MASTER_DATABASE!$AQ$4:$AQ$1000,ROW()-3))</f>
        <v/>
      </c>
      <c r="T339" s="7" t="str">
        <f aca="false">IF(INDEX(MASTER_DATABASE!$A$4:$A$1000,ROW()-3)="","",INDEX(MASTER_DATABASE!$I$4:$I$1000,ROW()-3)&amp;"")</f>
        <v/>
      </c>
      <c r="U339" s="7" t="str">
        <f aca="false">IF(INDEX(MASTER_DATABASE!$A$4:$A$1000,ROW()-3)="","",INDEX(MASTER_DATABASE!$J$4:$J$1000,ROW()-3)&amp;"")</f>
        <v/>
      </c>
      <c r="V339" s="7" t="str">
        <f aca="false">IF(INDEX(MASTER_DATABASE!$A$4:$A$1000,ROW()-3)="","",INDEX(MASTER_DATABASE!$AG$4:$AG$1000,ROW()-3)&amp;"")</f>
        <v/>
      </c>
      <c r="W339" s="7" t="str">
        <f aca="false">IF(INDEX(MASTER_DATABASE!$A$4:$A$1000,ROW()-3)="","",INDEX(MASTER_DATABASE!$AH$4:$AH$1000,ROW()-3)&amp;"")</f>
        <v/>
      </c>
      <c r="X339" s="7" t="str">
        <f aca="false">IF(INDEX(MASTER_DATABASE!$A$4:$A$1000,ROW()-3)="","",INDEX(MASTER_DATABASE!$AI$4:$AI$1000,ROW()-3)&amp;"")</f>
        <v/>
      </c>
      <c r="Y339" s="7" t="str">
        <f aca="false">IF(INDEX(MASTER_DATABASE!$A$4:$A$1000,ROW()-3)="","",INDEX(MASTER_DATABASE!$AJ$4:$AJ$1000,ROW()-3)&amp;"")</f>
        <v/>
      </c>
      <c r="Z339" s="7" t="str">
        <f aca="false">IF(INDEX(MASTER_DATABASE!$A$4:$A$1000,ROW()-3)="","",INDEX(MASTER_DATABASE!$AK$4:$AK$1000,ROW()-3)&amp;"")</f>
        <v/>
      </c>
      <c r="AA339" s="7" t="str">
        <f aca="false">IF(INDEX(MASTER_DATABASE!$A$4:$A$1000,ROW()-3)="","",INDEX(MASTER_DATABASE!$BE$4:$BE$1000,ROW()-3)&amp;"")</f>
        <v/>
      </c>
    </row>
    <row r="340" customFormat="false" ht="15" hidden="false" customHeight="false" outlineLevel="0" collapsed="false">
      <c r="A340" s="11" t="str">
        <f aca="false">IF(INDEX(MASTER_DATABASE!$A$4:$A$1000,ROW()-3)="","",INDEX(MASTER_DATABASE!$A$4:$A$1000,ROW()-3)&amp;"")</f>
        <v/>
      </c>
      <c r="B340" s="7" t="str">
        <f aca="false">IF(INDEX(MASTER_DATABASE!$A$4:$A$1000,ROW()-3)="","",INDEX(MASTER_DATABASE!$B$4:$B$1000,ROW()-3)&amp;"")</f>
        <v/>
      </c>
      <c r="C340" s="7" t="str">
        <f aca="false">IF(INDEX(MASTER_DATABASE!$A$4:$A$1000,ROW()-3)="","",INDEX(MASTER_DATABASE!$C$4:$C$1000,ROW()-3)&amp;"")</f>
        <v/>
      </c>
      <c r="D340" s="7" t="str">
        <f aca="false">IF(INDEX(MASTER_DATABASE!$A$4:$A$1000,ROW()-3)="","",INDEX(MASTER_DATABASE!$D$4:$D$1000,ROW()-3)&amp;"")</f>
        <v/>
      </c>
      <c r="E340" s="7" t="str">
        <f aca="false">IF(INDEX(MASTER_DATABASE!$A$4:$A$1000,ROW()-3)="","",INDEX(MASTER_DATABASE!$E$4:$E$1000,ROW()-3)&amp;"")</f>
        <v/>
      </c>
      <c r="F340" s="7" t="str">
        <f aca="false">IF(INDEX(MASTER_DATABASE!$A$4:$A$1000,ROW()-3)="","",INDEX(MASTER_DATABASE!$F$4:$F$1000,ROW()-3)&amp;"")</f>
        <v/>
      </c>
      <c r="G340" s="7" t="str">
        <f aca="false">IF(INDEX(MASTER_DATABASE!$A$4:$A$1000,ROW()-3)="","",INDEX(MASTER_DATABASE!$AL$4:$AL$1000,ROW()-3)&amp;"")</f>
        <v/>
      </c>
      <c r="H340" s="7" t="str">
        <f aca="false">IF(INDEX(MASTER_DATABASE!$A$4:$A$1000,ROW()-3)="","",INDEX(MASTER_DATABASE!$AM$4:$AM$1000,ROW()-3)&amp;"")</f>
        <v/>
      </c>
      <c r="I340" s="7" t="str">
        <f aca="false">IF(INDEX(MASTER_DATABASE!$A$4:$A$1000,ROW()-3)="","",INDEX(MASTER_DATABASE!$AO$4:$AO$1000,ROW()-3)&amp;"")</f>
        <v/>
      </c>
      <c r="J340" s="7" t="str">
        <f aca="false">IF(INDEX(MASTER_DATABASE!$A$4:$A$1000,ROW()-3)="","",INDEX(MASTER_DATABASE!$BD$4:$BD$1000,ROW()-3)&amp;"")</f>
        <v/>
      </c>
      <c r="K340" s="7" t="str">
        <f aca="false">IF(INDEX(MASTER_DATABASE!$A$4:$A$1000,ROW()-3)="","",INDEX(MASTER_DATABASE!$AX$4:$AX$1000,ROW()-3)&amp;"")</f>
        <v/>
      </c>
      <c r="L340" s="7" t="str">
        <f aca="false">IF(INDEX(MASTER_DATABASE!$A$4:$A$1000,ROW()-3)="","",INDEX(MASTER_DATABASE!$AY$4:$AY$1000,ROW()-3)&amp;"")</f>
        <v/>
      </c>
      <c r="M340" s="7" t="str">
        <f aca="false">IF(INDEX(MASTER_DATABASE!$A$4:$A$1000,ROW()-3)="","",INDEX(MASTER_DATABASE!$AN$4:$AN$1000,ROW()-3)&amp;"")</f>
        <v/>
      </c>
      <c r="N340" s="7" t="str">
        <f aca="false">IF(INDEX(MASTER_DATABASE!$A$4:$A$1000,ROW()-3)="","",INDEX(MASTER_DATABASE!$AZ$4:$AZ$1000,ROW()-3)&amp;"")</f>
        <v/>
      </c>
      <c r="O340" s="7" t="str">
        <f aca="false">IF(INDEX(MASTER_DATABASE!$A$4:$A$1000,ROW()-3)="","",INDEX(MASTER_DATABASE!$BA$4:$BA$1000,ROW()-3)&amp;"")</f>
        <v/>
      </c>
      <c r="P340" s="11" t="str">
        <f aca="false">IF(INDEX(MASTER_DATABASE!$A$4:$A$1000,ROW()-3)="","",INDEX(MASTER_DATABASE!$AP$4:$AP$1000,ROW()-3)&amp;"")</f>
        <v/>
      </c>
      <c r="Q340" s="7" t="str">
        <f aca="false">IF(INDEX(MASTER_DATABASE!$A$4:$A$1000,ROW()-3)="","",INDEX(MASTER_DATABASE!$BB$4:$BB$1000,ROW()-3)&amp;"")</f>
        <v/>
      </c>
      <c r="R340" s="11" t="str">
        <f aca="false">IF(INDEX(MASTER_DATABASE!$A$4:$A$1000,ROW()-3)="","",INDEX(MASTER_DATABASE!$BC$4:$BC$1000,ROW()-3)&amp;"")</f>
        <v/>
      </c>
      <c r="S340" s="11" t="str">
        <f aca="false">IF(INDEX(MASTER_DATABASE!$A$4:$A$1000,ROW()-3)="","",INDEX(MASTER_DATABASE!$AQ$4:$AQ$1000,ROW()-3))</f>
        <v/>
      </c>
      <c r="T340" s="7" t="str">
        <f aca="false">IF(INDEX(MASTER_DATABASE!$A$4:$A$1000,ROW()-3)="","",INDEX(MASTER_DATABASE!$I$4:$I$1000,ROW()-3)&amp;"")</f>
        <v/>
      </c>
      <c r="U340" s="7" t="str">
        <f aca="false">IF(INDEX(MASTER_DATABASE!$A$4:$A$1000,ROW()-3)="","",INDEX(MASTER_DATABASE!$J$4:$J$1000,ROW()-3)&amp;"")</f>
        <v/>
      </c>
      <c r="V340" s="7" t="str">
        <f aca="false">IF(INDEX(MASTER_DATABASE!$A$4:$A$1000,ROW()-3)="","",INDEX(MASTER_DATABASE!$AG$4:$AG$1000,ROW()-3)&amp;"")</f>
        <v/>
      </c>
      <c r="W340" s="7" t="str">
        <f aca="false">IF(INDEX(MASTER_DATABASE!$A$4:$A$1000,ROW()-3)="","",INDEX(MASTER_DATABASE!$AH$4:$AH$1000,ROW()-3)&amp;"")</f>
        <v/>
      </c>
      <c r="X340" s="7" t="str">
        <f aca="false">IF(INDEX(MASTER_DATABASE!$A$4:$A$1000,ROW()-3)="","",INDEX(MASTER_DATABASE!$AI$4:$AI$1000,ROW()-3)&amp;"")</f>
        <v/>
      </c>
      <c r="Y340" s="7" t="str">
        <f aca="false">IF(INDEX(MASTER_DATABASE!$A$4:$A$1000,ROW()-3)="","",INDEX(MASTER_DATABASE!$AJ$4:$AJ$1000,ROW()-3)&amp;"")</f>
        <v/>
      </c>
      <c r="Z340" s="7" t="str">
        <f aca="false">IF(INDEX(MASTER_DATABASE!$A$4:$A$1000,ROW()-3)="","",INDEX(MASTER_DATABASE!$AK$4:$AK$1000,ROW()-3)&amp;"")</f>
        <v/>
      </c>
      <c r="AA340" s="7" t="str">
        <f aca="false">IF(INDEX(MASTER_DATABASE!$A$4:$A$1000,ROW()-3)="","",INDEX(MASTER_DATABASE!$BE$4:$BE$1000,ROW()-3)&amp;"")</f>
        <v/>
      </c>
    </row>
    <row r="341" customFormat="false" ht="15" hidden="false" customHeight="false" outlineLevel="0" collapsed="false">
      <c r="A341" s="11" t="str">
        <f aca="false">IF(INDEX(MASTER_DATABASE!$A$4:$A$1000,ROW()-3)="","",INDEX(MASTER_DATABASE!$A$4:$A$1000,ROW()-3)&amp;"")</f>
        <v/>
      </c>
      <c r="B341" s="7" t="str">
        <f aca="false">IF(INDEX(MASTER_DATABASE!$A$4:$A$1000,ROW()-3)="","",INDEX(MASTER_DATABASE!$B$4:$B$1000,ROW()-3)&amp;"")</f>
        <v/>
      </c>
      <c r="C341" s="7" t="str">
        <f aca="false">IF(INDEX(MASTER_DATABASE!$A$4:$A$1000,ROW()-3)="","",INDEX(MASTER_DATABASE!$C$4:$C$1000,ROW()-3)&amp;"")</f>
        <v/>
      </c>
      <c r="D341" s="7" t="str">
        <f aca="false">IF(INDEX(MASTER_DATABASE!$A$4:$A$1000,ROW()-3)="","",INDEX(MASTER_DATABASE!$D$4:$D$1000,ROW()-3)&amp;"")</f>
        <v/>
      </c>
      <c r="E341" s="7" t="str">
        <f aca="false">IF(INDEX(MASTER_DATABASE!$A$4:$A$1000,ROW()-3)="","",INDEX(MASTER_DATABASE!$E$4:$E$1000,ROW()-3)&amp;"")</f>
        <v/>
      </c>
      <c r="F341" s="7" t="str">
        <f aca="false">IF(INDEX(MASTER_DATABASE!$A$4:$A$1000,ROW()-3)="","",INDEX(MASTER_DATABASE!$F$4:$F$1000,ROW()-3)&amp;"")</f>
        <v/>
      </c>
      <c r="G341" s="7" t="str">
        <f aca="false">IF(INDEX(MASTER_DATABASE!$A$4:$A$1000,ROW()-3)="","",INDEX(MASTER_DATABASE!$AL$4:$AL$1000,ROW()-3)&amp;"")</f>
        <v/>
      </c>
      <c r="H341" s="7" t="str">
        <f aca="false">IF(INDEX(MASTER_DATABASE!$A$4:$A$1000,ROW()-3)="","",INDEX(MASTER_DATABASE!$AM$4:$AM$1000,ROW()-3)&amp;"")</f>
        <v/>
      </c>
      <c r="I341" s="7" t="str">
        <f aca="false">IF(INDEX(MASTER_DATABASE!$A$4:$A$1000,ROW()-3)="","",INDEX(MASTER_DATABASE!$AO$4:$AO$1000,ROW()-3)&amp;"")</f>
        <v/>
      </c>
      <c r="J341" s="7" t="str">
        <f aca="false">IF(INDEX(MASTER_DATABASE!$A$4:$A$1000,ROW()-3)="","",INDEX(MASTER_DATABASE!$BD$4:$BD$1000,ROW()-3)&amp;"")</f>
        <v/>
      </c>
      <c r="K341" s="7" t="str">
        <f aca="false">IF(INDEX(MASTER_DATABASE!$A$4:$A$1000,ROW()-3)="","",INDEX(MASTER_DATABASE!$AX$4:$AX$1000,ROW()-3)&amp;"")</f>
        <v/>
      </c>
      <c r="L341" s="7" t="str">
        <f aca="false">IF(INDEX(MASTER_DATABASE!$A$4:$A$1000,ROW()-3)="","",INDEX(MASTER_DATABASE!$AY$4:$AY$1000,ROW()-3)&amp;"")</f>
        <v/>
      </c>
      <c r="M341" s="7" t="str">
        <f aca="false">IF(INDEX(MASTER_DATABASE!$A$4:$A$1000,ROW()-3)="","",INDEX(MASTER_DATABASE!$AN$4:$AN$1000,ROW()-3)&amp;"")</f>
        <v/>
      </c>
      <c r="N341" s="7" t="str">
        <f aca="false">IF(INDEX(MASTER_DATABASE!$A$4:$A$1000,ROW()-3)="","",INDEX(MASTER_DATABASE!$AZ$4:$AZ$1000,ROW()-3)&amp;"")</f>
        <v/>
      </c>
      <c r="O341" s="7" t="str">
        <f aca="false">IF(INDEX(MASTER_DATABASE!$A$4:$A$1000,ROW()-3)="","",INDEX(MASTER_DATABASE!$BA$4:$BA$1000,ROW()-3)&amp;"")</f>
        <v/>
      </c>
      <c r="P341" s="11" t="str">
        <f aca="false">IF(INDEX(MASTER_DATABASE!$A$4:$A$1000,ROW()-3)="","",INDEX(MASTER_DATABASE!$AP$4:$AP$1000,ROW()-3)&amp;"")</f>
        <v/>
      </c>
      <c r="Q341" s="7" t="str">
        <f aca="false">IF(INDEX(MASTER_DATABASE!$A$4:$A$1000,ROW()-3)="","",INDEX(MASTER_DATABASE!$BB$4:$BB$1000,ROW()-3)&amp;"")</f>
        <v/>
      </c>
      <c r="R341" s="11" t="str">
        <f aca="false">IF(INDEX(MASTER_DATABASE!$A$4:$A$1000,ROW()-3)="","",INDEX(MASTER_DATABASE!$BC$4:$BC$1000,ROW()-3)&amp;"")</f>
        <v/>
      </c>
      <c r="S341" s="11" t="str">
        <f aca="false">IF(INDEX(MASTER_DATABASE!$A$4:$A$1000,ROW()-3)="","",INDEX(MASTER_DATABASE!$AQ$4:$AQ$1000,ROW()-3))</f>
        <v/>
      </c>
      <c r="T341" s="7" t="str">
        <f aca="false">IF(INDEX(MASTER_DATABASE!$A$4:$A$1000,ROW()-3)="","",INDEX(MASTER_DATABASE!$I$4:$I$1000,ROW()-3)&amp;"")</f>
        <v/>
      </c>
      <c r="U341" s="7" t="str">
        <f aca="false">IF(INDEX(MASTER_DATABASE!$A$4:$A$1000,ROW()-3)="","",INDEX(MASTER_DATABASE!$J$4:$J$1000,ROW()-3)&amp;"")</f>
        <v/>
      </c>
      <c r="V341" s="7" t="str">
        <f aca="false">IF(INDEX(MASTER_DATABASE!$A$4:$A$1000,ROW()-3)="","",INDEX(MASTER_DATABASE!$AG$4:$AG$1000,ROW()-3)&amp;"")</f>
        <v/>
      </c>
      <c r="W341" s="7" t="str">
        <f aca="false">IF(INDEX(MASTER_DATABASE!$A$4:$A$1000,ROW()-3)="","",INDEX(MASTER_DATABASE!$AH$4:$AH$1000,ROW()-3)&amp;"")</f>
        <v/>
      </c>
      <c r="X341" s="7" t="str">
        <f aca="false">IF(INDEX(MASTER_DATABASE!$A$4:$A$1000,ROW()-3)="","",INDEX(MASTER_DATABASE!$AI$4:$AI$1000,ROW()-3)&amp;"")</f>
        <v/>
      </c>
      <c r="Y341" s="7" t="str">
        <f aca="false">IF(INDEX(MASTER_DATABASE!$A$4:$A$1000,ROW()-3)="","",INDEX(MASTER_DATABASE!$AJ$4:$AJ$1000,ROW()-3)&amp;"")</f>
        <v/>
      </c>
      <c r="Z341" s="7" t="str">
        <f aca="false">IF(INDEX(MASTER_DATABASE!$A$4:$A$1000,ROW()-3)="","",INDEX(MASTER_DATABASE!$AK$4:$AK$1000,ROW()-3)&amp;"")</f>
        <v/>
      </c>
      <c r="AA341" s="7" t="str">
        <f aca="false">IF(INDEX(MASTER_DATABASE!$A$4:$A$1000,ROW()-3)="","",INDEX(MASTER_DATABASE!$BE$4:$BE$1000,ROW()-3)&amp;"")</f>
        <v/>
      </c>
    </row>
    <row r="342" customFormat="false" ht="15" hidden="false" customHeight="false" outlineLevel="0" collapsed="false">
      <c r="A342" s="11" t="str">
        <f aca="false">IF(INDEX(MASTER_DATABASE!$A$4:$A$1000,ROW()-3)="","",INDEX(MASTER_DATABASE!$A$4:$A$1000,ROW()-3)&amp;"")</f>
        <v/>
      </c>
      <c r="B342" s="7" t="str">
        <f aca="false">IF(INDEX(MASTER_DATABASE!$A$4:$A$1000,ROW()-3)="","",INDEX(MASTER_DATABASE!$B$4:$B$1000,ROW()-3)&amp;"")</f>
        <v/>
      </c>
      <c r="C342" s="7" t="str">
        <f aca="false">IF(INDEX(MASTER_DATABASE!$A$4:$A$1000,ROW()-3)="","",INDEX(MASTER_DATABASE!$C$4:$C$1000,ROW()-3)&amp;"")</f>
        <v/>
      </c>
      <c r="D342" s="7" t="str">
        <f aca="false">IF(INDEX(MASTER_DATABASE!$A$4:$A$1000,ROW()-3)="","",INDEX(MASTER_DATABASE!$D$4:$D$1000,ROW()-3)&amp;"")</f>
        <v/>
      </c>
      <c r="E342" s="7" t="str">
        <f aca="false">IF(INDEX(MASTER_DATABASE!$A$4:$A$1000,ROW()-3)="","",INDEX(MASTER_DATABASE!$E$4:$E$1000,ROW()-3)&amp;"")</f>
        <v/>
      </c>
      <c r="F342" s="7" t="str">
        <f aca="false">IF(INDEX(MASTER_DATABASE!$A$4:$A$1000,ROW()-3)="","",INDEX(MASTER_DATABASE!$F$4:$F$1000,ROW()-3)&amp;"")</f>
        <v/>
      </c>
      <c r="G342" s="7" t="str">
        <f aca="false">IF(INDEX(MASTER_DATABASE!$A$4:$A$1000,ROW()-3)="","",INDEX(MASTER_DATABASE!$AL$4:$AL$1000,ROW()-3)&amp;"")</f>
        <v/>
      </c>
      <c r="H342" s="7" t="str">
        <f aca="false">IF(INDEX(MASTER_DATABASE!$A$4:$A$1000,ROW()-3)="","",INDEX(MASTER_DATABASE!$AM$4:$AM$1000,ROW()-3)&amp;"")</f>
        <v/>
      </c>
      <c r="I342" s="7" t="str">
        <f aca="false">IF(INDEX(MASTER_DATABASE!$A$4:$A$1000,ROW()-3)="","",INDEX(MASTER_DATABASE!$AO$4:$AO$1000,ROW()-3)&amp;"")</f>
        <v/>
      </c>
      <c r="J342" s="7" t="str">
        <f aca="false">IF(INDEX(MASTER_DATABASE!$A$4:$A$1000,ROW()-3)="","",INDEX(MASTER_DATABASE!$BD$4:$BD$1000,ROW()-3)&amp;"")</f>
        <v/>
      </c>
      <c r="K342" s="7" t="str">
        <f aca="false">IF(INDEX(MASTER_DATABASE!$A$4:$A$1000,ROW()-3)="","",INDEX(MASTER_DATABASE!$AX$4:$AX$1000,ROW()-3)&amp;"")</f>
        <v/>
      </c>
      <c r="L342" s="7" t="str">
        <f aca="false">IF(INDEX(MASTER_DATABASE!$A$4:$A$1000,ROW()-3)="","",INDEX(MASTER_DATABASE!$AY$4:$AY$1000,ROW()-3)&amp;"")</f>
        <v/>
      </c>
      <c r="M342" s="7" t="str">
        <f aca="false">IF(INDEX(MASTER_DATABASE!$A$4:$A$1000,ROW()-3)="","",INDEX(MASTER_DATABASE!$AN$4:$AN$1000,ROW()-3)&amp;"")</f>
        <v/>
      </c>
      <c r="N342" s="7" t="str">
        <f aca="false">IF(INDEX(MASTER_DATABASE!$A$4:$A$1000,ROW()-3)="","",INDEX(MASTER_DATABASE!$AZ$4:$AZ$1000,ROW()-3)&amp;"")</f>
        <v/>
      </c>
      <c r="O342" s="7" t="str">
        <f aca="false">IF(INDEX(MASTER_DATABASE!$A$4:$A$1000,ROW()-3)="","",INDEX(MASTER_DATABASE!$BA$4:$BA$1000,ROW()-3)&amp;"")</f>
        <v/>
      </c>
      <c r="P342" s="11" t="str">
        <f aca="false">IF(INDEX(MASTER_DATABASE!$A$4:$A$1000,ROW()-3)="","",INDEX(MASTER_DATABASE!$AP$4:$AP$1000,ROW()-3)&amp;"")</f>
        <v/>
      </c>
      <c r="Q342" s="7" t="str">
        <f aca="false">IF(INDEX(MASTER_DATABASE!$A$4:$A$1000,ROW()-3)="","",INDEX(MASTER_DATABASE!$BB$4:$BB$1000,ROW()-3)&amp;"")</f>
        <v/>
      </c>
      <c r="R342" s="11" t="str">
        <f aca="false">IF(INDEX(MASTER_DATABASE!$A$4:$A$1000,ROW()-3)="","",INDEX(MASTER_DATABASE!$BC$4:$BC$1000,ROW()-3)&amp;"")</f>
        <v/>
      </c>
      <c r="S342" s="11" t="str">
        <f aca="false">IF(INDEX(MASTER_DATABASE!$A$4:$A$1000,ROW()-3)="","",INDEX(MASTER_DATABASE!$AQ$4:$AQ$1000,ROW()-3))</f>
        <v/>
      </c>
      <c r="T342" s="7" t="str">
        <f aca="false">IF(INDEX(MASTER_DATABASE!$A$4:$A$1000,ROW()-3)="","",INDEX(MASTER_DATABASE!$I$4:$I$1000,ROW()-3)&amp;"")</f>
        <v/>
      </c>
      <c r="U342" s="7" t="str">
        <f aca="false">IF(INDEX(MASTER_DATABASE!$A$4:$A$1000,ROW()-3)="","",INDEX(MASTER_DATABASE!$J$4:$J$1000,ROW()-3)&amp;"")</f>
        <v/>
      </c>
      <c r="V342" s="7" t="str">
        <f aca="false">IF(INDEX(MASTER_DATABASE!$A$4:$A$1000,ROW()-3)="","",INDEX(MASTER_DATABASE!$AG$4:$AG$1000,ROW()-3)&amp;"")</f>
        <v/>
      </c>
      <c r="W342" s="7" t="str">
        <f aca="false">IF(INDEX(MASTER_DATABASE!$A$4:$A$1000,ROW()-3)="","",INDEX(MASTER_DATABASE!$AH$4:$AH$1000,ROW()-3)&amp;"")</f>
        <v/>
      </c>
      <c r="X342" s="7" t="str">
        <f aca="false">IF(INDEX(MASTER_DATABASE!$A$4:$A$1000,ROW()-3)="","",INDEX(MASTER_DATABASE!$AI$4:$AI$1000,ROW()-3)&amp;"")</f>
        <v/>
      </c>
      <c r="Y342" s="7" t="str">
        <f aca="false">IF(INDEX(MASTER_DATABASE!$A$4:$A$1000,ROW()-3)="","",INDEX(MASTER_DATABASE!$AJ$4:$AJ$1000,ROW()-3)&amp;"")</f>
        <v/>
      </c>
      <c r="Z342" s="7" t="str">
        <f aca="false">IF(INDEX(MASTER_DATABASE!$A$4:$A$1000,ROW()-3)="","",INDEX(MASTER_DATABASE!$AK$4:$AK$1000,ROW()-3)&amp;"")</f>
        <v/>
      </c>
      <c r="AA342" s="7" t="str">
        <f aca="false">IF(INDEX(MASTER_DATABASE!$A$4:$A$1000,ROW()-3)="","",INDEX(MASTER_DATABASE!$BE$4:$BE$1000,ROW()-3)&amp;"")</f>
        <v/>
      </c>
    </row>
    <row r="343" customFormat="false" ht="15" hidden="false" customHeight="false" outlineLevel="0" collapsed="false">
      <c r="A343" s="11" t="str">
        <f aca="false">IF(INDEX(MASTER_DATABASE!$A$4:$A$1000,ROW()-3)="","",INDEX(MASTER_DATABASE!$A$4:$A$1000,ROW()-3)&amp;"")</f>
        <v/>
      </c>
      <c r="B343" s="7" t="str">
        <f aca="false">IF(INDEX(MASTER_DATABASE!$A$4:$A$1000,ROW()-3)="","",INDEX(MASTER_DATABASE!$B$4:$B$1000,ROW()-3)&amp;"")</f>
        <v/>
      </c>
      <c r="C343" s="7" t="str">
        <f aca="false">IF(INDEX(MASTER_DATABASE!$A$4:$A$1000,ROW()-3)="","",INDEX(MASTER_DATABASE!$C$4:$C$1000,ROW()-3)&amp;"")</f>
        <v/>
      </c>
      <c r="D343" s="7" t="str">
        <f aca="false">IF(INDEX(MASTER_DATABASE!$A$4:$A$1000,ROW()-3)="","",INDEX(MASTER_DATABASE!$D$4:$D$1000,ROW()-3)&amp;"")</f>
        <v/>
      </c>
      <c r="E343" s="7" t="str">
        <f aca="false">IF(INDEX(MASTER_DATABASE!$A$4:$A$1000,ROW()-3)="","",INDEX(MASTER_DATABASE!$E$4:$E$1000,ROW()-3)&amp;"")</f>
        <v/>
      </c>
      <c r="F343" s="7" t="str">
        <f aca="false">IF(INDEX(MASTER_DATABASE!$A$4:$A$1000,ROW()-3)="","",INDEX(MASTER_DATABASE!$F$4:$F$1000,ROW()-3)&amp;"")</f>
        <v/>
      </c>
      <c r="G343" s="7" t="str">
        <f aca="false">IF(INDEX(MASTER_DATABASE!$A$4:$A$1000,ROW()-3)="","",INDEX(MASTER_DATABASE!$AL$4:$AL$1000,ROW()-3)&amp;"")</f>
        <v/>
      </c>
      <c r="H343" s="7" t="str">
        <f aca="false">IF(INDEX(MASTER_DATABASE!$A$4:$A$1000,ROW()-3)="","",INDEX(MASTER_DATABASE!$AM$4:$AM$1000,ROW()-3)&amp;"")</f>
        <v/>
      </c>
      <c r="I343" s="7" t="str">
        <f aca="false">IF(INDEX(MASTER_DATABASE!$A$4:$A$1000,ROW()-3)="","",INDEX(MASTER_DATABASE!$AO$4:$AO$1000,ROW()-3)&amp;"")</f>
        <v/>
      </c>
      <c r="J343" s="7" t="str">
        <f aca="false">IF(INDEX(MASTER_DATABASE!$A$4:$A$1000,ROW()-3)="","",INDEX(MASTER_DATABASE!$BD$4:$BD$1000,ROW()-3)&amp;"")</f>
        <v/>
      </c>
      <c r="K343" s="7" t="str">
        <f aca="false">IF(INDEX(MASTER_DATABASE!$A$4:$A$1000,ROW()-3)="","",INDEX(MASTER_DATABASE!$AX$4:$AX$1000,ROW()-3)&amp;"")</f>
        <v/>
      </c>
      <c r="L343" s="7" t="str">
        <f aca="false">IF(INDEX(MASTER_DATABASE!$A$4:$A$1000,ROW()-3)="","",INDEX(MASTER_DATABASE!$AY$4:$AY$1000,ROW()-3)&amp;"")</f>
        <v/>
      </c>
      <c r="M343" s="7" t="str">
        <f aca="false">IF(INDEX(MASTER_DATABASE!$A$4:$A$1000,ROW()-3)="","",INDEX(MASTER_DATABASE!$AN$4:$AN$1000,ROW()-3)&amp;"")</f>
        <v/>
      </c>
      <c r="N343" s="7" t="str">
        <f aca="false">IF(INDEX(MASTER_DATABASE!$A$4:$A$1000,ROW()-3)="","",INDEX(MASTER_DATABASE!$AZ$4:$AZ$1000,ROW()-3)&amp;"")</f>
        <v/>
      </c>
      <c r="O343" s="7" t="str">
        <f aca="false">IF(INDEX(MASTER_DATABASE!$A$4:$A$1000,ROW()-3)="","",INDEX(MASTER_DATABASE!$BA$4:$BA$1000,ROW()-3)&amp;"")</f>
        <v/>
      </c>
      <c r="P343" s="11" t="str">
        <f aca="false">IF(INDEX(MASTER_DATABASE!$A$4:$A$1000,ROW()-3)="","",INDEX(MASTER_DATABASE!$AP$4:$AP$1000,ROW()-3)&amp;"")</f>
        <v/>
      </c>
      <c r="Q343" s="7" t="str">
        <f aca="false">IF(INDEX(MASTER_DATABASE!$A$4:$A$1000,ROW()-3)="","",INDEX(MASTER_DATABASE!$BB$4:$BB$1000,ROW()-3)&amp;"")</f>
        <v/>
      </c>
      <c r="R343" s="11" t="str">
        <f aca="false">IF(INDEX(MASTER_DATABASE!$A$4:$A$1000,ROW()-3)="","",INDEX(MASTER_DATABASE!$BC$4:$BC$1000,ROW()-3)&amp;"")</f>
        <v/>
      </c>
      <c r="S343" s="11" t="str">
        <f aca="false">IF(INDEX(MASTER_DATABASE!$A$4:$A$1000,ROW()-3)="","",INDEX(MASTER_DATABASE!$AQ$4:$AQ$1000,ROW()-3))</f>
        <v/>
      </c>
      <c r="T343" s="7" t="str">
        <f aca="false">IF(INDEX(MASTER_DATABASE!$A$4:$A$1000,ROW()-3)="","",INDEX(MASTER_DATABASE!$I$4:$I$1000,ROW()-3)&amp;"")</f>
        <v/>
      </c>
      <c r="U343" s="7" t="str">
        <f aca="false">IF(INDEX(MASTER_DATABASE!$A$4:$A$1000,ROW()-3)="","",INDEX(MASTER_DATABASE!$J$4:$J$1000,ROW()-3)&amp;"")</f>
        <v/>
      </c>
      <c r="V343" s="7" t="str">
        <f aca="false">IF(INDEX(MASTER_DATABASE!$A$4:$A$1000,ROW()-3)="","",INDEX(MASTER_DATABASE!$AG$4:$AG$1000,ROW()-3)&amp;"")</f>
        <v/>
      </c>
      <c r="W343" s="7" t="str">
        <f aca="false">IF(INDEX(MASTER_DATABASE!$A$4:$A$1000,ROW()-3)="","",INDEX(MASTER_DATABASE!$AH$4:$AH$1000,ROW()-3)&amp;"")</f>
        <v/>
      </c>
      <c r="X343" s="7" t="str">
        <f aca="false">IF(INDEX(MASTER_DATABASE!$A$4:$A$1000,ROW()-3)="","",INDEX(MASTER_DATABASE!$AI$4:$AI$1000,ROW()-3)&amp;"")</f>
        <v/>
      </c>
      <c r="Y343" s="7" t="str">
        <f aca="false">IF(INDEX(MASTER_DATABASE!$A$4:$A$1000,ROW()-3)="","",INDEX(MASTER_DATABASE!$AJ$4:$AJ$1000,ROW()-3)&amp;"")</f>
        <v/>
      </c>
      <c r="Z343" s="7" t="str">
        <f aca="false">IF(INDEX(MASTER_DATABASE!$A$4:$A$1000,ROW()-3)="","",INDEX(MASTER_DATABASE!$AK$4:$AK$1000,ROW()-3)&amp;"")</f>
        <v/>
      </c>
      <c r="AA343" s="7" t="str">
        <f aca="false">IF(INDEX(MASTER_DATABASE!$A$4:$A$1000,ROW()-3)="","",INDEX(MASTER_DATABASE!$BE$4:$BE$1000,ROW()-3)&amp;"")</f>
        <v/>
      </c>
    </row>
    <row r="344" customFormat="false" ht="15" hidden="false" customHeight="false" outlineLevel="0" collapsed="false">
      <c r="A344" s="11" t="str">
        <f aca="false">IF(INDEX(MASTER_DATABASE!$A$4:$A$1000,ROW()-3)="","",INDEX(MASTER_DATABASE!$A$4:$A$1000,ROW()-3)&amp;"")</f>
        <v/>
      </c>
      <c r="B344" s="7" t="str">
        <f aca="false">IF(INDEX(MASTER_DATABASE!$A$4:$A$1000,ROW()-3)="","",INDEX(MASTER_DATABASE!$B$4:$B$1000,ROW()-3)&amp;"")</f>
        <v/>
      </c>
      <c r="C344" s="7" t="str">
        <f aca="false">IF(INDEX(MASTER_DATABASE!$A$4:$A$1000,ROW()-3)="","",INDEX(MASTER_DATABASE!$C$4:$C$1000,ROW()-3)&amp;"")</f>
        <v/>
      </c>
      <c r="D344" s="7" t="str">
        <f aca="false">IF(INDEX(MASTER_DATABASE!$A$4:$A$1000,ROW()-3)="","",INDEX(MASTER_DATABASE!$D$4:$D$1000,ROW()-3)&amp;"")</f>
        <v/>
      </c>
      <c r="E344" s="7" t="str">
        <f aca="false">IF(INDEX(MASTER_DATABASE!$A$4:$A$1000,ROW()-3)="","",INDEX(MASTER_DATABASE!$E$4:$E$1000,ROW()-3)&amp;"")</f>
        <v/>
      </c>
      <c r="F344" s="7" t="str">
        <f aca="false">IF(INDEX(MASTER_DATABASE!$A$4:$A$1000,ROW()-3)="","",INDEX(MASTER_DATABASE!$F$4:$F$1000,ROW()-3)&amp;"")</f>
        <v/>
      </c>
      <c r="G344" s="7" t="str">
        <f aca="false">IF(INDEX(MASTER_DATABASE!$A$4:$A$1000,ROW()-3)="","",INDEX(MASTER_DATABASE!$AL$4:$AL$1000,ROW()-3)&amp;"")</f>
        <v/>
      </c>
      <c r="H344" s="7" t="str">
        <f aca="false">IF(INDEX(MASTER_DATABASE!$A$4:$A$1000,ROW()-3)="","",INDEX(MASTER_DATABASE!$AM$4:$AM$1000,ROW()-3)&amp;"")</f>
        <v/>
      </c>
      <c r="I344" s="7" t="str">
        <f aca="false">IF(INDEX(MASTER_DATABASE!$A$4:$A$1000,ROW()-3)="","",INDEX(MASTER_DATABASE!$AO$4:$AO$1000,ROW()-3)&amp;"")</f>
        <v/>
      </c>
      <c r="J344" s="7" t="str">
        <f aca="false">IF(INDEX(MASTER_DATABASE!$A$4:$A$1000,ROW()-3)="","",INDEX(MASTER_DATABASE!$BD$4:$BD$1000,ROW()-3)&amp;"")</f>
        <v/>
      </c>
      <c r="K344" s="7" t="str">
        <f aca="false">IF(INDEX(MASTER_DATABASE!$A$4:$A$1000,ROW()-3)="","",INDEX(MASTER_DATABASE!$AX$4:$AX$1000,ROW()-3)&amp;"")</f>
        <v/>
      </c>
      <c r="L344" s="7" t="str">
        <f aca="false">IF(INDEX(MASTER_DATABASE!$A$4:$A$1000,ROW()-3)="","",INDEX(MASTER_DATABASE!$AY$4:$AY$1000,ROW()-3)&amp;"")</f>
        <v/>
      </c>
      <c r="M344" s="7" t="str">
        <f aca="false">IF(INDEX(MASTER_DATABASE!$A$4:$A$1000,ROW()-3)="","",INDEX(MASTER_DATABASE!$AN$4:$AN$1000,ROW()-3)&amp;"")</f>
        <v/>
      </c>
      <c r="N344" s="7" t="str">
        <f aca="false">IF(INDEX(MASTER_DATABASE!$A$4:$A$1000,ROW()-3)="","",INDEX(MASTER_DATABASE!$AZ$4:$AZ$1000,ROW()-3)&amp;"")</f>
        <v/>
      </c>
      <c r="O344" s="7" t="str">
        <f aca="false">IF(INDEX(MASTER_DATABASE!$A$4:$A$1000,ROW()-3)="","",INDEX(MASTER_DATABASE!$BA$4:$BA$1000,ROW()-3)&amp;"")</f>
        <v/>
      </c>
      <c r="P344" s="11" t="str">
        <f aca="false">IF(INDEX(MASTER_DATABASE!$A$4:$A$1000,ROW()-3)="","",INDEX(MASTER_DATABASE!$AP$4:$AP$1000,ROW()-3)&amp;"")</f>
        <v/>
      </c>
      <c r="Q344" s="7" t="str">
        <f aca="false">IF(INDEX(MASTER_DATABASE!$A$4:$A$1000,ROW()-3)="","",INDEX(MASTER_DATABASE!$BB$4:$BB$1000,ROW()-3)&amp;"")</f>
        <v/>
      </c>
      <c r="R344" s="11" t="str">
        <f aca="false">IF(INDEX(MASTER_DATABASE!$A$4:$A$1000,ROW()-3)="","",INDEX(MASTER_DATABASE!$BC$4:$BC$1000,ROW()-3)&amp;"")</f>
        <v/>
      </c>
      <c r="S344" s="11" t="str">
        <f aca="false">IF(INDEX(MASTER_DATABASE!$A$4:$A$1000,ROW()-3)="","",INDEX(MASTER_DATABASE!$AQ$4:$AQ$1000,ROW()-3))</f>
        <v/>
      </c>
      <c r="T344" s="7" t="str">
        <f aca="false">IF(INDEX(MASTER_DATABASE!$A$4:$A$1000,ROW()-3)="","",INDEX(MASTER_DATABASE!$I$4:$I$1000,ROW()-3)&amp;"")</f>
        <v/>
      </c>
      <c r="U344" s="7" t="str">
        <f aca="false">IF(INDEX(MASTER_DATABASE!$A$4:$A$1000,ROW()-3)="","",INDEX(MASTER_DATABASE!$J$4:$J$1000,ROW()-3)&amp;"")</f>
        <v/>
      </c>
      <c r="V344" s="7" t="str">
        <f aca="false">IF(INDEX(MASTER_DATABASE!$A$4:$A$1000,ROW()-3)="","",INDEX(MASTER_DATABASE!$AG$4:$AG$1000,ROW()-3)&amp;"")</f>
        <v/>
      </c>
      <c r="W344" s="7" t="str">
        <f aca="false">IF(INDEX(MASTER_DATABASE!$A$4:$A$1000,ROW()-3)="","",INDEX(MASTER_DATABASE!$AH$4:$AH$1000,ROW()-3)&amp;"")</f>
        <v/>
      </c>
      <c r="X344" s="7" t="str">
        <f aca="false">IF(INDEX(MASTER_DATABASE!$A$4:$A$1000,ROW()-3)="","",INDEX(MASTER_DATABASE!$AI$4:$AI$1000,ROW()-3)&amp;"")</f>
        <v/>
      </c>
      <c r="Y344" s="7" t="str">
        <f aca="false">IF(INDEX(MASTER_DATABASE!$A$4:$A$1000,ROW()-3)="","",INDEX(MASTER_DATABASE!$AJ$4:$AJ$1000,ROW()-3)&amp;"")</f>
        <v/>
      </c>
      <c r="Z344" s="7" t="str">
        <f aca="false">IF(INDEX(MASTER_DATABASE!$A$4:$A$1000,ROW()-3)="","",INDEX(MASTER_DATABASE!$AK$4:$AK$1000,ROW()-3)&amp;"")</f>
        <v/>
      </c>
      <c r="AA344" s="7" t="str">
        <f aca="false">IF(INDEX(MASTER_DATABASE!$A$4:$A$1000,ROW()-3)="","",INDEX(MASTER_DATABASE!$BE$4:$BE$1000,ROW()-3)&amp;"")</f>
        <v/>
      </c>
    </row>
    <row r="345" customFormat="false" ht="15" hidden="false" customHeight="false" outlineLevel="0" collapsed="false">
      <c r="A345" s="11" t="str">
        <f aca="false">IF(INDEX(MASTER_DATABASE!$A$4:$A$1000,ROW()-3)="","",INDEX(MASTER_DATABASE!$A$4:$A$1000,ROW()-3)&amp;"")</f>
        <v/>
      </c>
      <c r="B345" s="7" t="str">
        <f aca="false">IF(INDEX(MASTER_DATABASE!$A$4:$A$1000,ROW()-3)="","",INDEX(MASTER_DATABASE!$B$4:$B$1000,ROW()-3)&amp;"")</f>
        <v/>
      </c>
      <c r="C345" s="7" t="str">
        <f aca="false">IF(INDEX(MASTER_DATABASE!$A$4:$A$1000,ROW()-3)="","",INDEX(MASTER_DATABASE!$C$4:$C$1000,ROW()-3)&amp;"")</f>
        <v/>
      </c>
      <c r="D345" s="7" t="str">
        <f aca="false">IF(INDEX(MASTER_DATABASE!$A$4:$A$1000,ROW()-3)="","",INDEX(MASTER_DATABASE!$D$4:$D$1000,ROW()-3)&amp;"")</f>
        <v/>
      </c>
      <c r="E345" s="7" t="str">
        <f aca="false">IF(INDEX(MASTER_DATABASE!$A$4:$A$1000,ROW()-3)="","",INDEX(MASTER_DATABASE!$E$4:$E$1000,ROW()-3)&amp;"")</f>
        <v/>
      </c>
      <c r="F345" s="7" t="str">
        <f aca="false">IF(INDEX(MASTER_DATABASE!$A$4:$A$1000,ROW()-3)="","",INDEX(MASTER_DATABASE!$F$4:$F$1000,ROW()-3)&amp;"")</f>
        <v/>
      </c>
      <c r="G345" s="7" t="str">
        <f aca="false">IF(INDEX(MASTER_DATABASE!$A$4:$A$1000,ROW()-3)="","",INDEX(MASTER_DATABASE!$AL$4:$AL$1000,ROW()-3)&amp;"")</f>
        <v/>
      </c>
      <c r="H345" s="7" t="str">
        <f aca="false">IF(INDEX(MASTER_DATABASE!$A$4:$A$1000,ROW()-3)="","",INDEX(MASTER_DATABASE!$AM$4:$AM$1000,ROW()-3)&amp;"")</f>
        <v/>
      </c>
      <c r="I345" s="7" t="str">
        <f aca="false">IF(INDEX(MASTER_DATABASE!$A$4:$A$1000,ROW()-3)="","",INDEX(MASTER_DATABASE!$AO$4:$AO$1000,ROW()-3)&amp;"")</f>
        <v/>
      </c>
      <c r="J345" s="7" t="str">
        <f aca="false">IF(INDEX(MASTER_DATABASE!$A$4:$A$1000,ROW()-3)="","",INDEX(MASTER_DATABASE!$BD$4:$BD$1000,ROW()-3)&amp;"")</f>
        <v/>
      </c>
      <c r="K345" s="7" t="str">
        <f aca="false">IF(INDEX(MASTER_DATABASE!$A$4:$A$1000,ROW()-3)="","",INDEX(MASTER_DATABASE!$AX$4:$AX$1000,ROW()-3)&amp;"")</f>
        <v/>
      </c>
      <c r="L345" s="7" t="str">
        <f aca="false">IF(INDEX(MASTER_DATABASE!$A$4:$A$1000,ROW()-3)="","",INDEX(MASTER_DATABASE!$AY$4:$AY$1000,ROW()-3)&amp;"")</f>
        <v/>
      </c>
      <c r="M345" s="7" t="str">
        <f aca="false">IF(INDEX(MASTER_DATABASE!$A$4:$A$1000,ROW()-3)="","",INDEX(MASTER_DATABASE!$AN$4:$AN$1000,ROW()-3)&amp;"")</f>
        <v/>
      </c>
      <c r="N345" s="7" t="str">
        <f aca="false">IF(INDEX(MASTER_DATABASE!$A$4:$A$1000,ROW()-3)="","",INDEX(MASTER_DATABASE!$AZ$4:$AZ$1000,ROW()-3)&amp;"")</f>
        <v/>
      </c>
      <c r="O345" s="7" t="str">
        <f aca="false">IF(INDEX(MASTER_DATABASE!$A$4:$A$1000,ROW()-3)="","",INDEX(MASTER_DATABASE!$BA$4:$BA$1000,ROW()-3)&amp;"")</f>
        <v/>
      </c>
      <c r="P345" s="11" t="str">
        <f aca="false">IF(INDEX(MASTER_DATABASE!$A$4:$A$1000,ROW()-3)="","",INDEX(MASTER_DATABASE!$AP$4:$AP$1000,ROW()-3)&amp;"")</f>
        <v/>
      </c>
      <c r="Q345" s="7" t="str">
        <f aca="false">IF(INDEX(MASTER_DATABASE!$A$4:$A$1000,ROW()-3)="","",INDEX(MASTER_DATABASE!$BB$4:$BB$1000,ROW()-3)&amp;"")</f>
        <v/>
      </c>
      <c r="R345" s="11" t="str">
        <f aca="false">IF(INDEX(MASTER_DATABASE!$A$4:$A$1000,ROW()-3)="","",INDEX(MASTER_DATABASE!$BC$4:$BC$1000,ROW()-3)&amp;"")</f>
        <v/>
      </c>
      <c r="S345" s="11" t="str">
        <f aca="false">IF(INDEX(MASTER_DATABASE!$A$4:$A$1000,ROW()-3)="","",INDEX(MASTER_DATABASE!$AQ$4:$AQ$1000,ROW()-3))</f>
        <v/>
      </c>
      <c r="T345" s="7" t="str">
        <f aca="false">IF(INDEX(MASTER_DATABASE!$A$4:$A$1000,ROW()-3)="","",INDEX(MASTER_DATABASE!$I$4:$I$1000,ROW()-3)&amp;"")</f>
        <v/>
      </c>
      <c r="U345" s="7" t="str">
        <f aca="false">IF(INDEX(MASTER_DATABASE!$A$4:$A$1000,ROW()-3)="","",INDEX(MASTER_DATABASE!$J$4:$J$1000,ROW()-3)&amp;"")</f>
        <v/>
      </c>
      <c r="V345" s="7" t="str">
        <f aca="false">IF(INDEX(MASTER_DATABASE!$A$4:$A$1000,ROW()-3)="","",INDEX(MASTER_DATABASE!$AG$4:$AG$1000,ROW()-3)&amp;"")</f>
        <v/>
      </c>
      <c r="W345" s="7" t="str">
        <f aca="false">IF(INDEX(MASTER_DATABASE!$A$4:$A$1000,ROW()-3)="","",INDEX(MASTER_DATABASE!$AH$4:$AH$1000,ROW()-3)&amp;"")</f>
        <v/>
      </c>
      <c r="X345" s="7" t="str">
        <f aca="false">IF(INDEX(MASTER_DATABASE!$A$4:$A$1000,ROW()-3)="","",INDEX(MASTER_DATABASE!$AI$4:$AI$1000,ROW()-3)&amp;"")</f>
        <v/>
      </c>
      <c r="Y345" s="7" t="str">
        <f aca="false">IF(INDEX(MASTER_DATABASE!$A$4:$A$1000,ROW()-3)="","",INDEX(MASTER_DATABASE!$AJ$4:$AJ$1000,ROW()-3)&amp;"")</f>
        <v/>
      </c>
      <c r="Z345" s="7" t="str">
        <f aca="false">IF(INDEX(MASTER_DATABASE!$A$4:$A$1000,ROW()-3)="","",INDEX(MASTER_DATABASE!$AK$4:$AK$1000,ROW()-3)&amp;"")</f>
        <v/>
      </c>
      <c r="AA345" s="7" t="str">
        <f aca="false">IF(INDEX(MASTER_DATABASE!$A$4:$A$1000,ROW()-3)="","",INDEX(MASTER_DATABASE!$BE$4:$BE$1000,ROW()-3)&amp;"")</f>
        <v/>
      </c>
    </row>
    <row r="346" customFormat="false" ht="15" hidden="false" customHeight="false" outlineLevel="0" collapsed="false">
      <c r="A346" s="11" t="str">
        <f aca="false">IF(INDEX(MASTER_DATABASE!$A$4:$A$1000,ROW()-3)="","",INDEX(MASTER_DATABASE!$A$4:$A$1000,ROW()-3)&amp;"")</f>
        <v/>
      </c>
      <c r="B346" s="7" t="str">
        <f aca="false">IF(INDEX(MASTER_DATABASE!$A$4:$A$1000,ROW()-3)="","",INDEX(MASTER_DATABASE!$B$4:$B$1000,ROW()-3)&amp;"")</f>
        <v/>
      </c>
      <c r="C346" s="7" t="str">
        <f aca="false">IF(INDEX(MASTER_DATABASE!$A$4:$A$1000,ROW()-3)="","",INDEX(MASTER_DATABASE!$C$4:$C$1000,ROW()-3)&amp;"")</f>
        <v/>
      </c>
      <c r="D346" s="7" t="str">
        <f aca="false">IF(INDEX(MASTER_DATABASE!$A$4:$A$1000,ROW()-3)="","",INDEX(MASTER_DATABASE!$D$4:$D$1000,ROW()-3)&amp;"")</f>
        <v/>
      </c>
      <c r="E346" s="7" t="str">
        <f aca="false">IF(INDEX(MASTER_DATABASE!$A$4:$A$1000,ROW()-3)="","",INDEX(MASTER_DATABASE!$E$4:$E$1000,ROW()-3)&amp;"")</f>
        <v/>
      </c>
      <c r="F346" s="7" t="str">
        <f aca="false">IF(INDEX(MASTER_DATABASE!$A$4:$A$1000,ROW()-3)="","",INDEX(MASTER_DATABASE!$F$4:$F$1000,ROW()-3)&amp;"")</f>
        <v/>
      </c>
      <c r="G346" s="7" t="str">
        <f aca="false">IF(INDEX(MASTER_DATABASE!$A$4:$A$1000,ROW()-3)="","",INDEX(MASTER_DATABASE!$AL$4:$AL$1000,ROW()-3)&amp;"")</f>
        <v/>
      </c>
      <c r="H346" s="7" t="str">
        <f aca="false">IF(INDEX(MASTER_DATABASE!$A$4:$A$1000,ROW()-3)="","",INDEX(MASTER_DATABASE!$AM$4:$AM$1000,ROW()-3)&amp;"")</f>
        <v/>
      </c>
      <c r="I346" s="7" t="str">
        <f aca="false">IF(INDEX(MASTER_DATABASE!$A$4:$A$1000,ROW()-3)="","",INDEX(MASTER_DATABASE!$AO$4:$AO$1000,ROW()-3)&amp;"")</f>
        <v/>
      </c>
      <c r="J346" s="7" t="str">
        <f aca="false">IF(INDEX(MASTER_DATABASE!$A$4:$A$1000,ROW()-3)="","",INDEX(MASTER_DATABASE!$BD$4:$BD$1000,ROW()-3)&amp;"")</f>
        <v/>
      </c>
      <c r="K346" s="7" t="str">
        <f aca="false">IF(INDEX(MASTER_DATABASE!$A$4:$A$1000,ROW()-3)="","",INDEX(MASTER_DATABASE!$AX$4:$AX$1000,ROW()-3)&amp;"")</f>
        <v/>
      </c>
      <c r="L346" s="7" t="str">
        <f aca="false">IF(INDEX(MASTER_DATABASE!$A$4:$A$1000,ROW()-3)="","",INDEX(MASTER_DATABASE!$AY$4:$AY$1000,ROW()-3)&amp;"")</f>
        <v/>
      </c>
      <c r="M346" s="7" t="str">
        <f aca="false">IF(INDEX(MASTER_DATABASE!$A$4:$A$1000,ROW()-3)="","",INDEX(MASTER_DATABASE!$AN$4:$AN$1000,ROW()-3)&amp;"")</f>
        <v/>
      </c>
      <c r="N346" s="7" t="str">
        <f aca="false">IF(INDEX(MASTER_DATABASE!$A$4:$A$1000,ROW()-3)="","",INDEX(MASTER_DATABASE!$AZ$4:$AZ$1000,ROW()-3)&amp;"")</f>
        <v/>
      </c>
      <c r="O346" s="7" t="str">
        <f aca="false">IF(INDEX(MASTER_DATABASE!$A$4:$A$1000,ROW()-3)="","",INDEX(MASTER_DATABASE!$BA$4:$BA$1000,ROW()-3)&amp;"")</f>
        <v/>
      </c>
      <c r="P346" s="11" t="str">
        <f aca="false">IF(INDEX(MASTER_DATABASE!$A$4:$A$1000,ROW()-3)="","",INDEX(MASTER_DATABASE!$AP$4:$AP$1000,ROW()-3)&amp;"")</f>
        <v/>
      </c>
      <c r="Q346" s="7" t="str">
        <f aca="false">IF(INDEX(MASTER_DATABASE!$A$4:$A$1000,ROW()-3)="","",INDEX(MASTER_DATABASE!$BB$4:$BB$1000,ROW()-3)&amp;"")</f>
        <v/>
      </c>
      <c r="R346" s="11" t="str">
        <f aca="false">IF(INDEX(MASTER_DATABASE!$A$4:$A$1000,ROW()-3)="","",INDEX(MASTER_DATABASE!$BC$4:$BC$1000,ROW()-3)&amp;"")</f>
        <v/>
      </c>
      <c r="S346" s="11" t="str">
        <f aca="false">IF(INDEX(MASTER_DATABASE!$A$4:$A$1000,ROW()-3)="","",INDEX(MASTER_DATABASE!$AQ$4:$AQ$1000,ROW()-3))</f>
        <v/>
      </c>
      <c r="T346" s="7" t="str">
        <f aca="false">IF(INDEX(MASTER_DATABASE!$A$4:$A$1000,ROW()-3)="","",INDEX(MASTER_DATABASE!$I$4:$I$1000,ROW()-3)&amp;"")</f>
        <v/>
      </c>
      <c r="U346" s="7" t="str">
        <f aca="false">IF(INDEX(MASTER_DATABASE!$A$4:$A$1000,ROW()-3)="","",INDEX(MASTER_DATABASE!$J$4:$J$1000,ROW()-3)&amp;"")</f>
        <v/>
      </c>
      <c r="V346" s="7" t="str">
        <f aca="false">IF(INDEX(MASTER_DATABASE!$A$4:$A$1000,ROW()-3)="","",INDEX(MASTER_DATABASE!$AG$4:$AG$1000,ROW()-3)&amp;"")</f>
        <v/>
      </c>
      <c r="W346" s="7" t="str">
        <f aca="false">IF(INDEX(MASTER_DATABASE!$A$4:$A$1000,ROW()-3)="","",INDEX(MASTER_DATABASE!$AH$4:$AH$1000,ROW()-3)&amp;"")</f>
        <v/>
      </c>
      <c r="X346" s="7" t="str">
        <f aca="false">IF(INDEX(MASTER_DATABASE!$A$4:$A$1000,ROW()-3)="","",INDEX(MASTER_DATABASE!$AI$4:$AI$1000,ROW()-3)&amp;"")</f>
        <v/>
      </c>
      <c r="Y346" s="7" t="str">
        <f aca="false">IF(INDEX(MASTER_DATABASE!$A$4:$A$1000,ROW()-3)="","",INDEX(MASTER_DATABASE!$AJ$4:$AJ$1000,ROW()-3)&amp;"")</f>
        <v/>
      </c>
      <c r="Z346" s="7" t="str">
        <f aca="false">IF(INDEX(MASTER_DATABASE!$A$4:$A$1000,ROW()-3)="","",INDEX(MASTER_DATABASE!$AK$4:$AK$1000,ROW()-3)&amp;"")</f>
        <v/>
      </c>
      <c r="AA346" s="7" t="str">
        <f aca="false">IF(INDEX(MASTER_DATABASE!$A$4:$A$1000,ROW()-3)="","",INDEX(MASTER_DATABASE!$BE$4:$BE$1000,ROW()-3)&amp;"")</f>
        <v/>
      </c>
    </row>
    <row r="347" customFormat="false" ht="15" hidden="false" customHeight="false" outlineLevel="0" collapsed="false">
      <c r="A347" s="11" t="str">
        <f aca="false">IF(INDEX(MASTER_DATABASE!$A$4:$A$1000,ROW()-3)="","",INDEX(MASTER_DATABASE!$A$4:$A$1000,ROW()-3)&amp;"")</f>
        <v/>
      </c>
      <c r="B347" s="7" t="str">
        <f aca="false">IF(INDEX(MASTER_DATABASE!$A$4:$A$1000,ROW()-3)="","",INDEX(MASTER_DATABASE!$B$4:$B$1000,ROW()-3)&amp;"")</f>
        <v/>
      </c>
      <c r="C347" s="7" t="str">
        <f aca="false">IF(INDEX(MASTER_DATABASE!$A$4:$A$1000,ROW()-3)="","",INDEX(MASTER_DATABASE!$C$4:$C$1000,ROW()-3)&amp;"")</f>
        <v/>
      </c>
      <c r="D347" s="7" t="str">
        <f aca="false">IF(INDEX(MASTER_DATABASE!$A$4:$A$1000,ROW()-3)="","",INDEX(MASTER_DATABASE!$D$4:$D$1000,ROW()-3)&amp;"")</f>
        <v/>
      </c>
      <c r="E347" s="7" t="str">
        <f aca="false">IF(INDEX(MASTER_DATABASE!$A$4:$A$1000,ROW()-3)="","",INDEX(MASTER_DATABASE!$E$4:$E$1000,ROW()-3)&amp;"")</f>
        <v/>
      </c>
      <c r="F347" s="7" t="str">
        <f aca="false">IF(INDEX(MASTER_DATABASE!$A$4:$A$1000,ROW()-3)="","",INDEX(MASTER_DATABASE!$F$4:$F$1000,ROW()-3)&amp;"")</f>
        <v/>
      </c>
      <c r="G347" s="7" t="str">
        <f aca="false">IF(INDEX(MASTER_DATABASE!$A$4:$A$1000,ROW()-3)="","",INDEX(MASTER_DATABASE!$AL$4:$AL$1000,ROW()-3)&amp;"")</f>
        <v/>
      </c>
      <c r="H347" s="7" t="str">
        <f aca="false">IF(INDEX(MASTER_DATABASE!$A$4:$A$1000,ROW()-3)="","",INDEX(MASTER_DATABASE!$AM$4:$AM$1000,ROW()-3)&amp;"")</f>
        <v/>
      </c>
      <c r="I347" s="7" t="str">
        <f aca="false">IF(INDEX(MASTER_DATABASE!$A$4:$A$1000,ROW()-3)="","",INDEX(MASTER_DATABASE!$AO$4:$AO$1000,ROW()-3)&amp;"")</f>
        <v/>
      </c>
      <c r="J347" s="7" t="str">
        <f aca="false">IF(INDEX(MASTER_DATABASE!$A$4:$A$1000,ROW()-3)="","",INDEX(MASTER_DATABASE!$BD$4:$BD$1000,ROW()-3)&amp;"")</f>
        <v/>
      </c>
      <c r="K347" s="7" t="str">
        <f aca="false">IF(INDEX(MASTER_DATABASE!$A$4:$A$1000,ROW()-3)="","",INDEX(MASTER_DATABASE!$AX$4:$AX$1000,ROW()-3)&amp;"")</f>
        <v/>
      </c>
      <c r="L347" s="7" t="str">
        <f aca="false">IF(INDEX(MASTER_DATABASE!$A$4:$A$1000,ROW()-3)="","",INDEX(MASTER_DATABASE!$AY$4:$AY$1000,ROW()-3)&amp;"")</f>
        <v/>
      </c>
      <c r="M347" s="7" t="str">
        <f aca="false">IF(INDEX(MASTER_DATABASE!$A$4:$A$1000,ROW()-3)="","",INDEX(MASTER_DATABASE!$AN$4:$AN$1000,ROW()-3)&amp;"")</f>
        <v/>
      </c>
      <c r="N347" s="7" t="str">
        <f aca="false">IF(INDEX(MASTER_DATABASE!$A$4:$A$1000,ROW()-3)="","",INDEX(MASTER_DATABASE!$AZ$4:$AZ$1000,ROW()-3)&amp;"")</f>
        <v/>
      </c>
      <c r="O347" s="7" t="str">
        <f aca="false">IF(INDEX(MASTER_DATABASE!$A$4:$A$1000,ROW()-3)="","",INDEX(MASTER_DATABASE!$BA$4:$BA$1000,ROW()-3)&amp;"")</f>
        <v/>
      </c>
      <c r="P347" s="11" t="str">
        <f aca="false">IF(INDEX(MASTER_DATABASE!$A$4:$A$1000,ROW()-3)="","",INDEX(MASTER_DATABASE!$AP$4:$AP$1000,ROW()-3)&amp;"")</f>
        <v/>
      </c>
      <c r="Q347" s="7" t="str">
        <f aca="false">IF(INDEX(MASTER_DATABASE!$A$4:$A$1000,ROW()-3)="","",INDEX(MASTER_DATABASE!$BB$4:$BB$1000,ROW()-3)&amp;"")</f>
        <v/>
      </c>
      <c r="R347" s="11" t="str">
        <f aca="false">IF(INDEX(MASTER_DATABASE!$A$4:$A$1000,ROW()-3)="","",INDEX(MASTER_DATABASE!$BC$4:$BC$1000,ROW()-3)&amp;"")</f>
        <v/>
      </c>
      <c r="S347" s="11" t="str">
        <f aca="false">IF(INDEX(MASTER_DATABASE!$A$4:$A$1000,ROW()-3)="","",INDEX(MASTER_DATABASE!$AQ$4:$AQ$1000,ROW()-3))</f>
        <v/>
      </c>
      <c r="T347" s="7" t="str">
        <f aca="false">IF(INDEX(MASTER_DATABASE!$A$4:$A$1000,ROW()-3)="","",INDEX(MASTER_DATABASE!$I$4:$I$1000,ROW()-3)&amp;"")</f>
        <v/>
      </c>
      <c r="U347" s="7" t="str">
        <f aca="false">IF(INDEX(MASTER_DATABASE!$A$4:$A$1000,ROW()-3)="","",INDEX(MASTER_DATABASE!$J$4:$J$1000,ROW()-3)&amp;"")</f>
        <v/>
      </c>
      <c r="V347" s="7" t="str">
        <f aca="false">IF(INDEX(MASTER_DATABASE!$A$4:$A$1000,ROW()-3)="","",INDEX(MASTER_DATABASE!$AG$4:$AG$1000,ROW()-3)&amp;"")</f>
        <v/>
      </c>
      <c r="W347" s="7" t="str">
        <f aca="false">IF(INDEX(MASTER_DATABASE!$A$4:$A$1000,ROW()-3)="","",INDEX(MASTER_DATABASE!$AH$4:$AH$1000,ROW()-3)&amp;"")</f>
        <v/>
      </c>
      <c r="X347" s="7" t="str">
        <f aca="false">IF(INDEX(MASTER_DATABASE!$A$4:$A$1000,ROW()-3)="","",INDEX(MASTER_DATABASE!$AI$4:$AI$1000,ROW()-3)&amp;"")</f>
        <v/>
      </c>
      <c r="Y347" s="7" t="str">
        <f aca="false">IF(INDEX(MASTER_DATABASE!$A$4:$A$1000,ROW()-3)="","",INDEX(MASTER_DATABASE!$AJ$4:$AJ$1000,ROW()-3)&amp;"")</f>
        <v/>
      </c>
      <c r="Z347" s="7" t="str">
        <f aca="false">IF(INDEX(MASTER_DATABASE!$A$4:$A$1000,ROW()-3)="","",INDEX(MASTER_DATABASE!$AK$4:$AK$1000,ROW()-3)&amp;"")</f>
        <v/>
      </c>
      <c r="AA347" s="7" t="str">
        <f aca="false">IF(INDEX(MASTER_DATABASE!$A$4:$A$1000,ROW()-3)="","",INDEX(MASTER_DATABASE!$BE$4:$BE$1000,ROW()-3)&amp;"")</f>
        <v/>
      </c>
    </row>
    <row r="348" customFormat="false" ht="15" hidden="false" customHeight="false" outlineLevel="0" collapsed="false">
      <c r="A348" s="11" t="str">
        <f aca="false">IF(INDEX(MASTER_DATABASE!$A$4:$A$1000,ROW()-3)="","",INDEX(MASTER_DATABASE!$A$4:$A$1000,ROW()-3)&amp;"")</f>
        <v/>
      </c>
      <c r="B348" s="7" t="str">
        <f aca="false">IF(INDEX(MASTER_DATABASE!$A$4:$A$1000,ROW()-3)="","",INDEX(MASTER_DATABASE!$B$4:$B$1000,ROW()-3)&amp;"")</f>
        <v/>
      </c>
      <c r="C348" s="7" t="str">
        <f aca="false">IF(INDEX(MASTER_DATABASE!$A$4:$A$1000,ROW()-3)="","",INDEX(MASTER_DATABASE!$C$4:$C$1000,ROW()-3)&amp;"")</f>
        <v/>
      </c>
      <c r="D348" s="7" t="str">
        <f aca="false">IF(INDEX(MASTER_DATABASE!$A$4:$A$1000,ROW()-3)="","",INDEX(MASTER_DATABASE!$D$4:$D$1000,ROW()-3)&amp;"")</f>
        <v/>
      </c>
      <c r="E348" s="7" t="str">
        <f aca="false">IF(INDEX(MASTER_DATABASE!$A$4:$A$1000,ROW()-3)="","",INDEX(MASTER_DATABASE!$E$4:$E$1000,ROW()-3)&amp;"")</f>
        <v/>
      </c>
      <c r="F348" s="7" t="str">
        <f aca="false">IF(INDEX(MASTER_DATABASE!$A$4:$A$1000,ROW()-3)="","",INDEX(MASTER_DATABASE!$F$4:$F$1000,ROW()-3)&amp;"")</f>
        <v/>
      </c>
      <c r="G348" s="7" t="str">
        <f aca="false">IF(INDEX(MASTER_DATABASE!$A$4:$A$1000,ROW()-3)="","",INDEX(MASTER_DATABASE!$AL$4:$AL$1000,ROW()-3)&amp;"")</f>
        <v/>
      </c>
      <c r="H348" s="7" t="str">
        <f aca="false">IF(INDEX(MASTER_DATABASE!$A$4:$A$1000,ROW()-3)="","",INDEX(MASTER_DATABASE!$AM$4:$AM$1000,ROW()-3)&amp;"")</f>
        <v/>
      </c>
      <c r="I348" s="7" t="str">
        <f aca="false">IF(INDEX(MASTER_DATABASE!$A$4:$A$1000,ROW()-3)="","",INDEX(MASTER_DATABASE!$AO$4:$AO$1000,ROW()-3)&amp;"")</f>
        <v/>
      </c>
      <c r="J348" s="7" t="str">
        <f aca="false">IF(INDEX(MASTER_DATABASE!$A$4:$A$1000,ROW()-3)="","",INDEX(MASTER_DATABASE!$BD$4:$BD$1000,ROW()-3)&amp;"")</f>
        <v/>
      </c>
      <c r="K348" s="7" t="str">
        <f aca="false">IF(INDEX(MASTER_DATABASE!$A$4:$A$1000,ROW()-3)="","",INDEX(MASTER_DATABASE!$AX$4:$AX$1000,ROW()-3)&amp;"")</f>
        <v/>
      </c>
      <c r="L348" s="7" t="str">
        <f aca="false">IF(INDEX(MASTER_DATABASE!$A$4:$A$1000,ROW()-3)="","",INDEX(MASTER_DATABASE!$AY$4:$AY$1000,ROW()-3)&amp;"")</f>
        <v/>
      </c>
      <c r="M348" s="7" t="str">
        <f aca="false">IF(INDEX(MASTER_DATABASE!$A$4:$A$1000,ROW()-3)="","",INDEX(MASTER_DATABASE!$AN$4:$AN$1000,ROW()-3)&amp;"")</f>
        <v/>
      </c>
      <c r="N348" s="7" t="str">
        <f aca="false">IF(INDEX(MASTER_DATABASE!$A$4:$A$1000,ROW()-3)="","",INDEX(MASTER_DATABASE!$AZ$4:$AZ$1000,ROW()-3)&amp;"")</f>
        <v/>
      </c>
      <c r="O348" s="7" t="str">
        <f aca="false">IF(INDEX(MASTER_DATABASE!$A$4:$A$1000,ROW()-3)="","",INDEX(MASTER_DATABASE!$BA$4:$BA$1000,ROW()-3)&amp;"")</f>
        <v/>
      </c>
      <c r="P348" s="11" t="str">
        <f aca="false">IF(INDEX(MASTER_DATABASE!$A$4:$A$1000,ROW()-3)="","",INDEX(MASTER_DATABASE!$AP$4:$AP$1000,ROW()-3)&amp;"")</f>
        <v/>
      </c>
      <c r="Q348" s="7" t="str">
        <f aca="false">IF(INDEX(MASTER_DATABASE!$A$4:$A$1000,ROW()-3)="","",INDEX(MASTER_DATABASE!$BB$4:$BB$1000,ROW()-3)&amp;"")</f>
        <v/>
      </c>
      <c r="R348" s="11" t="str">
        <f aca="false">IF(INDEX(MASTER_DATABASE!$A$4:$A$1000,ROW()-3)="","",INDEX(MASTER_DATABASE!$BC$4:$BC$1000,ROW()-3)&amp;"")</f>
        <v/>
      </c>
      <c r="S348" s="11" t="str">
        <f aca="false">IF(INDEX(MASTER_DATABASE!$A$4:$A$1000,ROW()-3)="","",INDEX(MASTER_DATABASE!$AQ$4:$AQ$1000,ROW()-3))</f>
        <v/>
      </c>
      <c r="T348" s="7" t="str">
        <f aca="false">IF(INDEX(MASTER_DATABASE!$A$4:$A$1000,ROW()-3)="","",INDEX(MASTER_DATABASE!$I$4:$I$1000,ROW()-3)&amp;"")</f>
        <v/>
      </c>
      <c r="U348" s="7" t="str">
        <f aca="false">IF(INDEX(MASTER_DATABASE!$A$4:$A$1000,ROW()-3)="","",INDEX(MASTER_DATABASE!$J$4:$J$1000,ROW()-3)&amp;"")</f>
        <v/>
      </c>
      <c r="V348" s="7" t="str">
        <f aca="false">IF(INDEX(MASTER_DATABASE!$A$4:$A$1000,ROW()-3)="","",INDEX(MASTER_DATABASE!$AG$4:$AG$1000,ROW()-3)&amp;"")</f>
        <v/>
      </c>
      <c r="W348" s="7" t="str">
        <f aca="false">IF(INDEX(MASTER_DATABASE!$A$4:$A$1000,ROW()-3)="","",INDEX(MASTER_DATABASE!$AH$4:$AH$1000,ROW()-3)&amp;"")</f>
        <v/>
      </c>
      <c r="X348" s="7" t="str">
        <f aca="false">IF(INDEX(MASTER_DATABASE!$A$4:$A$1000,ROW()-3)="","",INDEX(MASTER_DATABASE!$AI$4:$AI$1000,ROW()-3)&amp;"")</f>
        <v/>
      </c>
      <c r="Y348" s="7" t="str">
        <f aca="false">IF(INDEX(MASTER_DATABASE!$A$4:$A$1000,ROW()-3)="","",INDEX(MASTER_DATABASE!$AJ$4:$AJ$1000,ROW()-3)&amp;"")</f>
        <v/>
      </c>
      <c r="Z348" s="7" t="str">
        <f aca="false">IF(INDEX(MASTER_DATABASE!$A$4:$A$1000,ROW()-3)="","",INDEX(MASTER_DATABASE!$AK$4:$AK$1000,ROW()-3)&amp;"")</f>
        <v/>
      </c>
      <c r="AA348" s="7" t="str">
        <f aca="false">IF(INDEX(MASTER_DATABASE!$A$4:$A$1000,ROW()-3)="","",INDEX(MASTER_DATABASE!$BE$4:$BE$1000,ROW()-3)&amp;"")</f>
        <v/>
      </c>
    </row>
    <row r="349" customFormat="false" ht="15" hidden="false" customHeight="false" outlineLevel="0" collapsed="false">
      <c r="A349" s="11" t="str">
        <f aca="false">IF(INDEX(MASTER_DATABASE!$A$4:$A$1000,ROW()-3)="","",INDEX(MASTER_DATABASE!$A$4:$A$1000,ROW()-3)&amp;"")</f>
        <v/>
      </c>
      <c r="B349" s="7" t="str">
        <f aca="false">IF(INDEX(MASTER_DATABASE!$A$4:$A$1000,ROW()-3)="","",INDEX(MASTER_DATABASE!$B$4:$B$1000,ROW()-3)&amp;"")</f>
        <v/>
      </c>
      <c r="C349" s="7" t="str">
        <f aca="false">IF(INDEX(MASTER_DATABASE!$A$4:$A$1000,ROW()-3)="","",INDEX(MASTER_DATABASE!$C$4:$C$1000,ROW()-3)&amp;"")</f>
        <v/>
      </c>
      <c r="D349" s="7" t="str">
        <f aca="false">IF(INDEX(MASTER_DATABASE!$A$4:$A$1000,ROW()-3)="","",INDEX(MASTER_DATABASE!$D$4:$D$1000,ROW()-3)&amp;"")</f>
        <v/>
      </c>
      <c r="E349" s="7" t="str">
        <f aca="false">IF(INDEX(MASTER_DATABASE!$A$4:$A$1000,ROW()-3)="","",INDEX(MASTER_DATABASE!$E$4:$E$1000,ROW()-3)&amp;"")</f>
        <v/>
      </c>
      <c r="F349" s="7" t="str">
        <f aca="false">IF(INDEX(MASTER_DATABASE!$A$4:$A$1000,ROW()-3)="","",INDEX(MASTER_DATABASE!$F$4:$F$1000,ROW()-3)&amp;"")</f>
        <v/>
      </c>
      <c r="G349" s="7" t="str">
        <f aca="false">IF(INDEX(MASTER_DATABASE!$A$4:$A$1000,ROW()-3)="","",INDEX(MASTER_DATABASE!$AL$4:$AL$1000,ROW()-3)&amp;"")</f>
        <v/>
      </c>
      <c r="H349" s="7" t="str">
        <f aca="false">IF(INDEX(MASTER_DATABASE!$A$4:$A$1000,ROW()-3)="","",INDEX(MASTER_DATABASE!$AM$4:$AM$1000,ROW()-3)&amp;"")</f>
        <v/>
      </c>
      <c r="I349" s="7" t="str">
        <f aca="false">IF(INDEX(MASTER_DATABASE!$A$4:$A$1000,ROW()-3)="","",INDEX(MASTER_DATABASE!$AO$4:$AO$1000,ROW()-3)&amp;"")</f>
        <v/>
      </c>
      <c r="J349" s="7" t="str">
        <f aca="false">IF(INDEX(MASTER_DATABASE!$A$4:$A$1000,ROW()-3)="","",INDEX(MASTER_DATABASE!$BD$4:$BD$1000,ROW()-3)&amp;"")</f>
        <v/>
      </c>
      <c r="K349" s="7" t="str">
        <f aca="false">IF(INDEX(MASTER_DATABASE!$A$4:$A$1000,ROW()-3)="","",INDEX(MASTER_DATABASE!$AX$4:$AX$1000,ROW()-3)&amp;"")</f>
        <v/>
      </c>
      <c r="L349" s="7" t="str">
        <f aca="false">IF(INDEX(MASTER_DATABASE!$A$4:$A$1000,ROW()-3)="","",INDEX(MASTER_DATABASE!$AY$4:$AY$1000,ROW()-3)&amp;"")</f>
        <v/>
      </c>
      <c r="M349" s="7" t="str">
        <f aca="false">IF(INDEX(MASTER_DATABASE!$A$4:$A$1000,ROW()-3)="","",INDEX(MASTER_DATABASE!$AN$4:$AN$1000,ROW()-3)&amp;"")</f>
        <v/>
      </c>
      <c r="N349" s="7" t="str">
        <f aca="false">IF(INDEX(MASTER_DATABASE!$A$4:$A$1000,ROW()-3)="","",INDEX(MASTER_DATABASE!$AZ$4:$AZ$1000,ROW()-3)&amp;"")</f>
        <v/>
      </c>
      <c r="O349" s="7" t="str">
        <f aca="false">IF(INDEX(MASTER_DATABASE!$A$4:$A$1000,ROW()-3)="","",INDEX(MASTER_DATABASE!$BA$4:$BA$1000,ROW()-3)&amp;"")</f>
        <v/>
      </c>
      <c r="P349" s="11" t="str">
        <f aca="false">IF(INDEX(MASTER_DATABASE!$A$4:$A$1000,ROW()-3)="","",INDEX(MASTER_DATABASE!$AP$4:$AP$1000,ROW()-3)&amp;"")</f>
        <v/>
      </c>
      <c r="Q349" s="7" t="str">
        <f aca="false">IF(INDEX(MASTER_DATABASE!$A$4:$A$1000,ROW()-3)="","",INDEX(MASTER_DATABASE!$BB$4:$BB$1000,ROW()-3)&amp;"")</f>
        <v/>
      </c>
      <c r="R349" s="11" t="str">
        <f aca="false">IF(INDEX(MASTER_DATABASE!$A$4:$A$1000,ROW()-3)="","",INDEX(MASTER_DATABASE!$BC$4:$BC$1000,ROW()-3)&amp;"")</f>
        <v/>
      </c>
      <c r="S349" s="11" t="str">
        <f aca="false">IF(INDEX(MASTER_DATABASE!$A$4:$A$1000,ROW()-3)="","",INDEX(MASTER_DATABASE!$AQ$4:$AQ$1000,ROW()-3))</f>
        <v/>
      </c>
      <c r="T349" s="7" t="str">
        <f aca="false">IF(INDEX(MASTER_DATABASE!$A$4:$A$1000,ROW()-3)="","",INDEX(MASTER_DATABASE!$I$4:$I$1000,ROW()-3)&amp;"")</f>
        <v/>
      </c>
      <c r="U349" s="7" t="str">
        <f aca="false">IF(INDEX(MASTER_DATABASE!$A$4:$A$1000,ROW()-3)="","",INDEX(MASTER_DATABASE!$J$4:$J$1000,ROW()-3)&amp;"")</f>
        <v/>
      </c>
      <c r="V349" s="7" t="str">
        <f aca="false">IF(INDEX(MASTER_DATABASE!$A$4:$A$1000,ROW()-3)="","",INDEX(MASTER_DATABASE!$AG$4:$AG$1000,ROW()-3)&amp;"")</f>
        <v/>
      </c>
      <c r="W349" s="7" t="str">
        <f aca="false">IF(INDEX(MASTER_DATABASE!$A$4:$A$1000,ROW()-3)="","",INDEX(MASTER_DATABASE!$AH$4:$AH$1000,ROW()-3)&amp;"")</f>
        <v/>
      </c>
      <c r="X349" s="7" t="str">
        <f aca="false">IF(INDEX(MASTER_DATABASE!$A$4:$A$1000,ROW()-3)="","",INDEX(MASTER_DATABASE!$AI$4:$AI$1000,ROW()-3)&amp;"")</f>
        <v/>
      </c>
      <c r="Y349" s="7" t="str">
        <f aca="false">IF(INDEX(MASTER_DATABASE!$A$4:$A$1000,ROW()-3)="","",INDEX(MASTER_DATABASE!$AJ$4:$AJ$1000,ROW()-3)&amp;"")</f>
        <v/>
      </c>
      <c r="Z349" s="7" t="str">
        <f aca="false">IF(INDEX(MASTER_DATABASE!$A$4:$A$1000,ROW()-3)="","",INDEX(MASTER_DATABASE!$AK$4:$AK$1000,ROW()-3)&amp;"")</f>
        <v/>
      </c>
      <c r="AA349" s="7" t="str">
        <f aca="false">IF(INDEX(MASTER_DATABASE!$A$4:$A$1000,ROW()-3)="","",INDEX(MASTER_DATABASE!$BE$4:$BE$1000,ROW()-3)&amp;"")</f>
        <v/>
      </c>
    </row>
    <row r="350" customFormat="false" ht="15" hidden="false" customHeight="false" outlineLevel="0" collapsed="false">
      <c r="A350" s="11" t="str">
        <f aca="false">IF(INDEX(MASTER_DATABASE!$A$4:$A$1000,ROW()-3)="","",INDEX(MASTER_DATABASE!$A$4:$A$1000,ROW()-3)&amp;"")</f>
        <v/>
      </c>
      <c r="B350" s="7" t="str">
        <f aca="false">IF(INDEX(MASTER_DATABASE!$A$4:$A$1000,ROW()-3)="","",INDEX(MASTER_DATABASE!$B$4:$B$1000,ROW()-3)&amp;"")</f>
        <v/>
      </c>
      <c r="C350" s="7" t="str">
        <f aca="false">IF(INDEX(MASTER_DATABASE!$A$4:$A$1000,ROW()-3)="","",INDEX(MASTER_DATABASE!$C$4:$C$1000,ROW()-3)&amp;"")</f>
        <v/>
      </c>
      <c r="D350" s="7" t="str">
        <f aca="false">IF(INDEX(MASTER_DATABASE!$A$4:$A$1000,ROW()-3)="","",INDEX(MASTER_DATABASE!$D$4:$D$1000,ROW()-3)&amp;"")</f>
        <v/>
      </c>
      <c r="E350" s="7" t="str">
        <f aca="false">IF(INDEX(MASTER_DATABASE!$A$4:$A$1000,ROW()-3)="","",INDEX(MASTER_DATABASE!$E$4:$E$1000,ROW()-3)&amp;"")</f>
        <v/>
      </c>
      <c r="F350" s="7" t="str">
        <f aca="false">IF(INDEX(MASTER_DATABASE!$A$4:$A$1000,ROW()-3)="","",INDEX(MASTER_DATABASE!$F$4:$F$1000,ROW()-3)&amp;"")</f>
        <v/>
      </c>
      <c r="G350" s="7" t="str">
        <f aca="false">IF(INDEX(MASTER_DATABASE!$A$4:$A$1000,ROW()-3)="","",INDEX(MASTER_DATABASE!$AL$4:$AL$1000,ROW()-3)&amp;"")</f>
        <v/>
      </c>
      <c r="H350" s="7" t="str">
        <f aca="false">IF(INDEX(MASTER_DATABASE!$A$4:$A$1000,ROW()-3)="","",INDEX(MASTER_DATABASE!$AM$4:$AM$1000,ROW()-3)&amp;"")</f>
        <v/>
      </c>
      <c r="I350" s="7" t="str">
        <f aca="false">IF(INDEX(MASTER_DATABASE!$A$4:$A$1000,ROW()-3)="","",INDEX(MASTER_DATABASE!$AO$4:$AO$1000,ROW()-3)&amp;"")</f>
        <v/>
      </c>
      <c r="J350" s="7" t="str">
        <f aca="false">IF(INDEX(MASTER_DATABASE!$A$4:$A$1000,ROW()-3)="","",INDEX(MASTER_DATABASE!$BD$4:$BD$1000,ROW()-3)&amp;"")</f>
        <v/>
      </c>
      <c r="K350" s="7" t="str">
        <f aca="false">IF(INDEX(MASTER_DATABASE!$A$4:$A$1000,ROW()-3)="","",INDEX(MASTER_DATABASE!$AX$4:$AX$1000,ROW()-3)&amp;"")</f>
        <v/>
      </c>
      <c r="L350" s="7" t="str">
        <f aca="false">IF(INDEX(MASTER_DATABASE!$A$4:$A$1000,ROW()-3)="","",INDEX(MASTER_DATABASE!$AY$4:$AY$1000,ROW()-3)&amp;"")</f>
        <v/>
      </c>
      <c r="M350" s="7" t="str">
        <f aca="false">IF(INDEX(MASTER_DATABASE!$A$4:$A$1000,ROW()-3)="","",INDEX(MASTER_DATABASE!$AN$4:$AN$1000,ROW()-3)&amp;"")</f>
        <v/>
      </c>
      <c r="N350" s="7" t="str">
        <f aca="false">IF(INDEX(MASTER_DATABASE!$A$4:$A$1000,ROW()-3)="","",INDEX(MASTER_DATABASE!$AZ$4:$AZ$1000,ROW()-3)&amp;"")</f>
        <v/>
      </c>
      <c r="O350" s="7" t="str">
        <f aca="false">IF(INDEX(MASTER_DATABASE!$A$4:$A$1000,ROW()-3)="","",INDEX(MASTER_DATABASE!$BA$4:$BA$1000,ROW()-3)&amp;"")</f>
        <v/>
      </c>
      <c r="P350" s="11" t="str">
        <f aca="false">IF(INDEX(MASTER_DATABASE!$A$4:$A$1000,ROW()-3)="","",INDEX(MASTER_DATABASE!$AP$4:$AP$1000,ROW()-3)&amp;"")</f>
        <v/>
      </c>
      <c r="Q350" s="7" t="str">
        <f aca="false">IF(INDEX(MASTER_DATABASE!$A$4:$A$1000,ROW()-3)="","",INDEX(MASTER_DATABASE!$BB$4:$BB$1000,ROW()-3)&amp;"")</f>
        <v/>
      </c>
      <c r="R350" s="11" t="str">
        <f aca="false">IF(INDEX(MASTER_DATABASE!$A$4:$A$1000,ROW()-3)="","",INDEX(MASTER_DATABASE!$BC$4:$BC$1000,ROW()-3)&amp;"")</f>
        <v/>
      </c>
      <c r="S350" s="11" t="str">
        <f aca="false">IF(INDEX(MASTER_DATABASE!$A$4:$A$1000,ROW()-3)="","",INDEX(MASTER_DATABASE!$AQ$4:$AQ$1000,ROW()-3))</f>
        <v/>
      </c>
      <c r="T350" s="7" t="str">
        <f aca="false">IF(INDEX(MASTER_DATABASE!$A$4:$A$1000,ROW()-3)="","",INDEX(MASTER_DATABASE!$I$4:$I$1000,ROW()-3)&amp;"")</f>
        <v/>
      </c>
      <c r="U350" s="7" t="str">
        <f aca="false">IF(INDEX(MASTER_DATABASE!$A$4:$A$1000,ROW()-3)="","",INDEX(MASTER_DATABASE!$J$4:$J$1000,ROW()-3)&amp;"")</f>
        <v/>
      </c>
      <c r="V350" s="7" t="str">
        <f aca="false">IF(INDEX(MASTER_DATABASE!$A$4:$A$1000,ROW()-3)="","",INDEX(MASTER_DATABASE!$AG$4:$AG$1000,ROW()-3)&amp;"")</f>
        <v/>
      </c>
      <c r="W350" s="7" t="str">
        <f aca="false">IF(INDEX(MASTER_DATABASE!$A$4:$A$1000,ROW()-3)="","",INDEX(MASTER_DATABASE!$AH$4:$AH$1000,ROW()-3)&amp;"")</f>
        <v/>
      </c>
      <c r="X350" s="7" t="str">
        <f aca="false">IF(INDEX(MASTER_DATABASE!$A$4:$A$1000,ROW()-3)="","",INDEX(MASTER_DATABASE!$AI$4:$AI$1000,ROW()-3)&amp;"")</f>
        <v/>
      </c>
      <c r="Y350" s="7" t="str">
        <f aca="false">IF(INDEX(MASTER_DATABASE!$A$4:$A$1000,ROW()-3)="","",INDEX(MASTER_DATABASE!$AJ$4:$AJ$1000,ROW()-3)&amp;"")</f>
        <v/>
      </c>
      <c r="Z350" s="7" t="str">
        <f aca="false">IF(INDEX(MASTER_DATABASE!$A$4:$A$1000,ROW()-3)="","",INDEX(MASTER_DATABASE!$AK$4:$AK$1000,ROW()-3)&amp;"")</f>
        <v/>
      </c>
      <c r="AA350" s="7" t="str">
        <f aca="false">IF(INDEX(MASTER_DATABASE!$A$4:$A$1000,ROW()-3)="","",INDEX(MASTER_DATABASE!$BE$4:$BE$1000,ROW()-3)&amp;"")</f>
        <v/>
      </c>
    </row>
    <row r="351" customFormat="false" ht="15" hidden="false" customHeight="false" outlineLevel="0" collapsed="false">
      <c r="A351" s="11" t="str">
        <f aca="false">IF(INDEX(MASTER_DATABASE!$A$4:$A$1000,ROW()-3)="","",INDEX(MASTER_DATABASE!$A$4:$A$1000,ROW()-3)&amp;"")</f>
        <v/>
      </c>
      <c r="B351" s="7" t="str">
        <f aca="false">IF(INDEX(MASTER_DATABASE!$A$4:$A$1000,ROW()-3)="","",INDEX(MASTER_DATABASE!$B$4:$B$1000,ROW()-3)&amp;"")</f>
        <v/>
      </c>
      <c r="C351" s="7" t="str">
        <f aca="false">IF(INDEX(MASTER_DATABASE!$A$4:$A$1000,ROW()-3)="","",INDEX(MASTER_DATABASE!$C$4:$C$1000,ROW()-3)&amp;"")</f>
        <v/>
      </c>
      <c r="D351" s="7" t="str">
        <f aca="false">IF(INDEX(MASTER_DATABASE!$A$4:$A$1000,ROW()-3)="","",INDEX(MASTER_DATABASE!$D$4:$D$1000,ROW()-3)&amp;"")</f>
        <v/>
      </c>
      <c r="E351" s="7" t="str">
        <f aca="false">IF(INDEX(MASTER_DATABASE!$A$4:$A$1000,ROW()-3)="","",INDEX(MASTER_DATABASE!$E$4:$E$1000,ROW()-3)&amp;"")</f>
        <v/>
      </c>
      <c r="F351" s="7" t="str">
        <f aca="false">IF(INDEX(MASTER_DATABASE!$A$4:$A$1000,ROW()-3)="","",INDEX(MASTER_DATABASE!$F$4:$F$1000,ROW()-3)&amp;"")</f>
        <v/>
      </c>
      <c r="G351" s="7" t="str">
        <f aca="false">IF(INDEX(MASTER_DATABASE!$A$4:$A$1000,ROW()-3)="","",INDEX(MASTER_DATABASE!$AL$4:$AL$1000,ROW()-3)&amp;"")</f>
        <v/>
      </c>
      <c r="H351" s="7" t="str">
        <f aca="false">IF(INDEX(MASTER_DATABASE!$A$4:$A$1000,ROW()-3)="","",INDEX(MASTER_DATABASE!$AM$4:$AM$1000,ROW()-3)&amp;"")</f>
        <v/>
      </c>
      <c r="I351" s="7" t="str">
        <f aca="false">IF(INDEX(MASTER_DATABASE!$A$4:$A$1000,ROW()-3)="","",INDEX(MASTER_DATABASE!$AO$4:$AO$1000,ROW()-3)&amp;"")</f>
        <v/>
      </c>
      <c r="J351" s="7" t="str">
        <f aca="false">IF(INDEX(MASTER_DATABASE!$A$4:$A$1000,ROW()-3)="","",INDEX(MASTER_DATABASE!$BD$4:$BD$1000,ROW()-3)&amp;"")</f>
        <v/>
      </c>
      <c r="K351" s="7" t="str">
        <f aca="false">IF(INDEX(MASTER_DATABASE!$A$4:$A$1000,ROW()-3)="","",INDEX(MASTER_DATABASE!$AX$4:$AX$1000,ROW()-3)&amp;"")</f>
        <v/>
      </c>
      <c r="L351" s="7" t="str">
        <f aca="false">IF(INDEX(MASTER_DATABASE!$A$4:$A$1000,ROW()-3)="","",INDEX(MASTER_DATABASE!$AY$4:$AY$1000,ROW()-3)&amp;"")</f>
        <v/>
      </c>
      <c r="M351" s="7" t="str">
        <f aca="false">IF(INDEX(MASTER_DATABASE!$A$4:$A$1000,ROW()-3)="","",INDEX(MASTER_DATABASE!$AN$4:$AN$1000,ROW()-3)&amp;"")</f>
        <v/>
      </c>
      <c r="N351" s="7" t="str">
        <f aca="false">IF(INDEX(MASTER_DATABASE!$A$4:$A$1000,ROW()-3)="","",INDEX(MASTER_DATABASE!$AZ$4:$AZ$1000,ROW()-3)&amp;"")</f>
        <v/>
      </c>
      <c r="O351" s="7" t="str">
        <f aca="false">IF(INDEX(MASTER_DATABASE!$A$4:$A$1000,ROW()-3)="","",INDEX(MASTER_DATABASE!$BA$4:$BA$1000,ROW()-3)&amp;"")</f>
        <v/>
      </c>
      <c r="P351" s="11" t="str">
        <f aca="false">IF(INDEX(MASTER_DATABASE!$A$4:$A$1000,ROW()-3)="","",INDEX(MASTER_DATABASE!$AP$4:$AP$1000,ROW()-3)&amp;"")</f>
        <v/>
      </c>
      <c r="Q351" s="7" t="str">
        <f aca="false">IF(INDEX(MASTER_DATABASE!$A$4:$A$1000,ROW()-3)="","",INDEX(MASTER_DATABASE!$BB$4:$BB$1000,ROW()-3)&amp;"")</f>
        <v/>
      </c>
      <c r="R351" s="11" t="str">
        <f aca="false">IF(INDEX(MASTER_DATABASE!$A$4:$A$1000,ROW()-3)="","",INDEX(MASTER_DATABASE!$BC$4:$BC$1000,ROW()-3)&amp;"")</f>
        <v/>
      </c>
      <c r="S351" s="11" t="str">
        <f aca="false">IF(INDEX(MASTER_DATABASE!$A$4:$A$1000,ROW()-3)="","",INDEX(MASTER_DATABASE!$AQ$4:$AQ$1000,ROW()-3))</f>
        <v/>
      </c>
      <c r="T351" s="7" t="str">
        <f aca="false">IF(INDEX(MASTER_DATABASE!$A$4:$A$1000,ROW()-3)="","",INDEX(MASTER_DATABASE!$I$4:$I$1000,ROW()-3)&amp;"")</f>
        <v/>
      </c>
      <c r="U351" s="7" t="str">
        <f aca="false">IF(INDEX(MASTER_DATABASE!$A$4:$A$1000,ROW()-3)="","",INDEX(MASTER_DATABASE!$J$4:$J$1000,ROW()-3)&amp;"")</f>
        <v/>
      </c>
      <c r="V351" s="7" t="str">
        <f aca="false">IF(INDEX(MASTER_DATABASE!$A$4:$A$1000,ROW()-3)="","",INDEX(MASTER_DATABASE!$AG$4:$AG$1000,ROW()-3)&amp;"")</f>
        <v/>
      </c>
      <c r="W351" s="7" t="str">
        <f aca="false">IF(INDEX(MASTER_DATABASE!$A$4:$A$1000,ROW()-3)="","",INDEX(MASTER_DATABASE!$AH$4:$AH$1000,ROW()-3)&amp;"")</f>
        <v/>
      </c>
      <c r="X351" s="7" t="str">
        <f aca="false">IF(INDEX(MASTER_DATABASE!$A$4:$A$1000,ROW()-3)="","",INDEX(MASTER_DATABASE!$AI$4:$AI$1000,ROW()-3)&amp;"")</f>
        <v/>
      </c>
      <c r="Y351" s="7" t="str">
        <f aca="false">IF(INDEX(MASTER_DATABASE!$A$4:$A$1000,ROW()-3)="","",INDEX(MASTER_DATABASE!$AJ$4:$AJ$1000,ROW()-3)&amp;"")</f>
        <v/>
      </c>
      <c r="Z351" s="7" t="str">
        <f aca="false">IF(INDEX(MASTER_DATABASE!$A$4:$A$1000,ROW()-3)="","",INDEX(MASTER_DATABASE!$AK$4:$AK$1000,ROW()-3)&amp;"")</f>
        <v/>
      </c>
      <c r="AA351" s="7" t="str">
        <f aca="false">IF(INDEX(MASTER_DATABASE!$A$4:$A$1000,ROW()-3)="","",INDEX(MASTER_DATABASE!$BE$4:$BE$1000,ROW()-3)&amp;"")</f>
        <v/>
      </c>
    </row>
    <row r="352" customFormat="false" ht="15" hidden="false" customHeight="false" outlineLevel="0" collapsed="false">
      <c r="A352" s="11" t="str">
        <f aca="false">IF(INDEX(MASTER_DATABASE!$A$4:$A$1000,ROW()-3)="","",INDEX(MASTER_DATABASE!$A$4:$A$1000,ROW()-3)&amp;"")</f>
        <v/>
      </c>
      <c r="B352" s="7" t="str">
        <f aca="false">IF(INDEX(MASTER_DATABASE!$A$4:$A$1000,ROW()-3)="","",INDEX(MASTER_DATABASE!$B$4:$B$1000,ROW()-3)&amp;"")</f>
        <v/>
      </c>
      <c r="C352" s="7" t="str">
        <f aca="false">IF(INDEX(MASTER_DATABASE!$A$4:$A$1000,ROW()-3)="","",INDEX(MASTER_DATABASE!$C$4:$C$1000,ROW()-3)&amp;"")</f>
        <v/>
      </c>
      <c r="D352" s="7" t="str">
        <f aca="false">IF(INDEX(MASTER_DATABASE!$A$4:$A$1000,ROW()-3)="","",INDEX(MASTER_DATABASE!$D$4:$D$1000,ROW()-3)&amp;"")</f>
        <v/>
      </c>
      <c r="E352" s="7" t="str">
        <f aca="false">IF(INDEX(MASTER_DATABASE!$A$4:$A$1000,ROW()-3)="","",INDEX(MASTER_DATABASE!$E$4:$E$1000,ROW()-3)&amp;"")</f>
        <v/>
      </c>
      <c r="F352" s="7" t="str">
        <f aca="false">IF(INDEX(MASTER_DATABASE!$A$4:$A$1000,ROW()-3)="","",INDEX(MASTER_DATABASE!$F$4:$F$1000,ROW()-3)&amp;"")</f>
        <v/>
      </c>
      <c r="G352" s="7" t="str">
        <f aca="false">IF(INDEX(MASTER_DATABASE!$A$4:$A$1000,ROW()-3)="","",INDEX(MASTER_DATABASE!$AL$4:$AL$1000,ROW()-3)&amp;"")</f>
        <v/>
      </c>
      <c r="H352" s="7" t="str">
        <f aca="false">IF(INDEX(MASTER_DATABASE!$A$4:$A$1000,ROW()-3)="","",INDEX(MASTER_DATABASE!$AM$4:$AM$1000,ROW()-3)&amp;"")</f>
        <v/>
      </c>
      <c r="I352" s="7" t="str">
        <f aca="false">IF(INDEX(MASTER_DATABASE!$A$4:$A$1000,ROW()-3)="","",INDEX(MASTER_DATABASE!$AO$4:$AO$1000,ROW()-3)&amp;"")</f>
        <v/>
      </c>
      <c r="J352" s="7" t="str">
        <f aca="false">IF(INDEX(MASTER_DATABASE!$A$4:$A$1000,ROW()-3)="","",INDEX(MASTER_DATABASE!$BD$4:$BD$1000,ROW()-3)&amp;"")</f>
        <v/>
      </c>
      <c r="K352" s="7" t="str">
        <f aca="false">IF(INDEX(MASTER_DATABASE!$A$4:$A$1000,ROW()-3)="","",INDEX(MASTER_DATABASE!$AX$4:$AX$1000,ROW()-3)&amp;"")</f>
        <v/>
      </c>
      <c r="L352" s="7" t="str">
        <f aca="false">IF(INDEX(MASTER_DATABASE!$A$4:$A$1000,ROW()-3)="","",INDEX(MASTER_DATABASE!$AY$4:$AY$1000,ROW()-3)&amp;"")</f>
        <v/>
      </c>
      <c r="M352" s="7" t="str">
        <f aca="false">IF(INDEX(MASTER_DATABASE!$A$4:$A$1000,ROW()-3)="","",INDEX(MASTER_DATABASE!$AN$4:$AN$1000,ROW()-3)&amp;"")</f>
        <v/>
      </c>
      <c r="N352" s="7" t="str">
        <f aca="false">IF(INDEX(MASTER_DATABASE!$A$4:$A$1000,ROW()-3)="","",INDEX(MASTER_DATABASE!$AZ$4:$AZ$1000,ROW()-3)&amp;"")</f>
        <v/>
      </c>
      <c r="O352" s="7" t="str">
        <f aca="false">IF(INDEX(MASTER_DATABASE!$A$4:$A$1000,ROW()-3)="","",INDEX(MASTER_DATABASE!$BA$4:$BA$1000,ROW()-3)&amp;"")</f>
        <v/>
      </c>
      <c r="P352" s="11" t="str">
        <f aca="false">IF(INDEX(MASTER_DATABASE!$A$4:$A$1000,ROW()-3)="","",INDEX(MASTER_DATABASE!$AP$4:$AP$1000,ROW()-3)&amp;"")</f>
        <v/>
      </c>
      <c r="Q352" s="7" t="str">
        <f aca="false">IF(INDEX(MASTER_DATABASE!$A$4:$A$1000,ROW()-3)="","",INDEX(MASTER_DATABASE!$BB$4:$BB$1000,ROW()-3)&amp;"")</f>
        <v/>
      </c>
      <c r="R352" s="11" t="str">
        <f aca="false">IF(INDEX(MASTER_DATABASE!$A$4:$A$1000,ROW()-3)="","",INDEX(MASTER_DATABASE!$BC$4:$BC$1000,ROW()-3)&amp;"")</f>
        <v/>
      </c>
      <c r="S352" s="11" t="str">
        <f aca="false">IF(INDEX(MASTER_DATABASE!$A$4:$A$1000,ROW()-3)="","",INDEX(MASTER_DATABASE!$AQ$4:$AQ$1000,ROW()-3))</f>
        <v/>
      </c>
      <c r="T352" s="7" t="str">
        <f aca="false">IF(INDEX(MASTER_DATABASE!$A$4:$A$1000,ROW()-3)="","",INDEX(MASTER_DATABASE!$I$4:$I$1000,ROW()-3)&amp;"")</f>
        <v/>
      </c>
      <c r="U352" s="7" t="str">
        <f aca="false">IF(INDEX(MASTER_DATABASE!$A$4:$A$1000,ROW()-3)="","",INDEX(MASTER_DATABASE!$J$4:$J$1000,ROW()-3)&amp;"")</f>
        <v/>
      </c>
      <c r="V352" s="7" t="str">
        <f aca="false">IF(INDEX(MASTER_DATABASE!$A$4:$A$1000,ROW()-3)="","",INDEX(MASTER_DATABASE!$AG$4:$AG$1000,ROW()-3)&amp;"")</f>
        <v/>
      </c>
      <c r="W352" s="7" t="str">
        <f aca="false">IF(INDEX(MASTER_DATABASE!$A$4:$A$1000,ROW()-3)="","",INDEX(MASTER_DATABASE!$AH$4:$AH$1000,ROW()-3)&amp;"")</f>
        <v/>
      </c>
      <c r="X352" s="7" t="str">
        <f aca="false">IF(INDEX(MASTER_DATABASE!$A$4:$A$1000,ROW()-3)="","",INDEX(MASTER_DATABASE!$AI$4:$AI$1000,ROW()-3)&amp;"")</f>
        <v/>
      </c>
      <c r="Y352" s="7" t="str">
        <f aca="false">IF(INDEX(MASTER_DATABASE!$A$4:$A$1000,ROW()-3)="","",INDEX(MASTER_DATABASE!$AJ$4:$AJ$1000,ROW()-3)&amp;"")</f>
        <v/>
      </c>
      <c r="Z352" s="7" t="str">
        <f aca="false">IF(INDEX(MASTER_DATABASE!$A$4:$A$1000,ROW()-3)="","",INDEX(MASTER_DATABASE!$AK$4:$AK$1000,ROW()-3)&amp;"")</f>
        <v/>
      </c>
      <c r="AA352" s="7" t="str">
        <f aca="false">IF(INDEX(MASTER_DATABASE!$A$4:$A$1000,ROW()-3)="","",INDEX(MASTER_DATABASE!$BE$4:$BE$1000,ROW()-3)&amp;"")</f>
        <v/>
      </c>
    </row>
    <row r="353" customFormat="false" ht="15" hidden="false" customHeight="false" outlineLevel="0" collapsed="false">
      <c r="A353" s="11" t="str">
        <f aca="false">IF(INDEX(MASTER_DATABASE!$A$4:$A$1000,ROW()-3)="","",INDEX(MASTER_DATABASE!$A$4:$A$1000,ROW()-3)&amp;"")</f>
        <v/>
      </c>
      <c r="B353" s="7" t="str">
        <f aca="false">IF(INDEX(MASTER_DATABASE!$A$4:$A$1000,ROW()-3)="","",INDEX(MASTER_DATABASE!$B$4:$B$1000,ROW()-3)&amp;"")</f>
        <v/>
      </c>
      <c r="C353" s="7" t="str">
        <f aca="false">IF(INDEX(MASTER_DATABASE!$A$4:$A$1000,ROW()-3)="","",INDEX(MASTER_DATABASE!$C$4:$C$1000,ROW()-3)&amp;"")</f>
        <v/>
      </c>
      <c r="D353" s="7" t="str">
        <f aca="false">IF(INDEX(MASTER_DATABASE!$A$4:$A$1000,ROW()-3)="","",INDEX(MASTER_DATABASE!$D$4:$D$1000,ROW()-3)&amp;"")</f>
        <v/>
      </c>
      <c r="E353" s="7" t="str">
        <f aca="false">IF(INDEX(MASTER_DATABASE!$A$4:$A$1000,ROW()-3)="","",INDEX(MASTER_DATABASE!$E$4:$E$1000,ROW()-3)&amp;"")</f>
        <v/>
      </c>
      <c r="F353" s="7" t="str">
        <f aca="false">IF(INDEX(MASTER_DATABASE!$A$4:$A$1000,ROW()-3)="","",INDEX(MASTER_DATABASE!$F$4:$F$1000,ROW()-3)&amp;"")</f>
        <v/>
      </c>
      <c r="G353" s="7" t="str">
        <f aca="false">IF(INDEX(MASTER_DATABASE!$A$4:$A$1000,ROW()-3)="","",INDEX(MASTER_DATABASE!$AL$4:$AL$1000,ROW()-3)&amp;"")</f>
        <v/>
      </c>
      <c r="H353" s="7" t="str">
        <f aca="false">IF(INDEX(MASTER_DATABASE!$A$4:$A$1000,ROW()-3)="","",INDEX(MASTER_DATABASE!$AM$4:$AM$1000,ROW()-3)&amp;"")</f>
        <v/>
      </c>
      <c r="I353" s="7" t="str">
        <f aca="false">IF(INDEX(MASTER_DATABASE!$A$4:$A$1000,ROW()-3)="","",INDEX(MASTER_DATABASE!$AO$4:$AO$1000,ROW()-3)&amp;"")</f>
        <v/>
      </c>
      <c r="J353" s="7" t="str">
        <f aca="false">IF(INDEX(MASTER_DATABASE!$A$4:$A$1000,ROW()-3)="","",INDEX(MASTER_DATABASE!$BD$4:$BD$1000,ROW()-3)&amp;"")</f>
        <v/>
      </c>
      <c r="K353" s="7" t="str">
        <f aca="false">IF(INDEX(MASTER_DATABASE!$A$4:$A$1000,ROW()-3)="","",INDEX(MASTER_DATABASE!$AX$4:$AX$1000,ROW()-3)&amp;"")</f>
        <v/>
      </c>
      <c r="L353" s="7" t="str">
        <f aca="false">IF(INDEX(MASTER_DATABASE!$A$4:$A$1000,ROW()-3)="","",INDEX(MASTER_DATABASE!$AY$4:$AY$1000,ROW()-3)&amp;"")</f>
        <v/>
      </c>
      <c r="M353" s="7" t="str">
        <f aca="false">IF(INDEX(MASTER_DATABASE!$A$4:$A$1000,ROW()-3)="","",INDEX(MASTER_DATABASE!$AN$4:$AN$1000,ROW()-3)&amp;"")</f>
        <v/>
      </c>
      <c r="N353" s="7" t="str">
        <f aca="false">IF(INDEX(MASTER_DATABASE!$A$4:$A$1000,ROW()-3)="","",INDEX(MASTER_DATABASE!$AZ$4:$AZ$1000,ROW()-3)&amp;"")</f>
        <v/>
      </c>
      <c r="O353" s="7" t="str">
        <f aca="false">IF(INDEX(MASTER_DATABASE!$A$4:$A$1000,ROW()-3)="","",INDEX(MASTER_DATABASE!$BA$4:$BA$1000,ROW()-3)&amp;"")</f>
        <v/>
      </c>
      <c r="P353" s="11" t="str">
        <f aca="false">IF(INDEX(MASTER_DATABASE!$A$4:$A$1000,ROW()-3)="","",INDEX(MASTER_DATABASE!$AP$4:$AP$1000,ROW()-3)&amp;"")</f>
        <v/>
      </c>
      <c r="Q353" s="7" t="str">
        <f aca="false">IF(INDEX(MASTER_DATABASE!$A$4:$A$1000,ROW()-3)="","",INDEX(MASTER_DATABASE!$BB$4:$BB$1000,ROW()-3)&amp;"")</f>
        <v/>
      </c>
      <c r="R353" s="11" t="str">
        <f aca="false">IF(INDEX(MASTER_DATABASE!$A$4:$A$1000,ROW()-3)="","",INDEX(MASTER_DATABASE!$BC$4:$BC$1000,ROW()-3)&amp;"")</f>
        <v/>
      </c>
      <c r="S353" s="11" t="str">
        <f aca="false">IF(INDEX(MASTER_DATABASE!$A$4:$A$1000,ROW()-3)="","",INDEX(MASTER_DATABASE!$AQ$4:$AQ$1000,ROW()-3))</f>
        <v/>
      </c>
      <c r="T353" s="7" t="str">
        <f aca="false">IF(INDEX(MASTER_DATABASE!$A$4:$A$1000,ROW()-3)="","",INDEX(MASTER_DATABASE!$I$4:$I$1000,ROW()-3)&amp;"")</f>
        <v/>
      </c>
      <c r="U353" s="7" t="str">
        <f aca="false">IF(INDEX(MASTER_DATABASE!$A$4:$A$1000,ROW()-3)="","",INDEX(MASTER_DATABASE!$J$4:$J$1000,ROW()-3)&amp;"")</f>
        <v/>
      </c>
      <c r="V353" s="7" t="str">
        <f aca="false">IF(INDEX(MASTER_DATABASE!$A$4:$A$1000,ROW()-3)="","",INDEX(MASTER_DATABASE!$AG$4:$AG$1000,ROW()-3)&amp;"")</f>
        <v/>
      </c>
      <c r="W353" s="7" t="str">
        <f aca="false">IF(INDEX(MASTER_DATABASE!$A$4:$A$1000,ROW()-3)="","",INDEX(MASTER_DATABASE!$AH$4:$AH$1000,ROW()-3)&amp;"")</f>
        <v/>
      </c>
      <c r="X353" s="7" t="str">
        <f aca="false">IF(INDEX(MASTER_DATABASE!$A$4:$A$1000,ROW()-3)="","",INDEX(MASTER_DATABASE!$AI$4:$AI$1000,ROW()-3)&amp;"")</f>
        <v/>
      </c>
      <c r="Y353" s="7" t="str">
        <f aca="false">IF(INDEX(MASTER_DATABASE!$A$4:$A$1000,ROW()-3)="","",INDEX(MASTER_DATABASE!$AJ$4:$AJ$1000,ROW()-3)&amp;"")</f>
        <v/>
      </c>
      <c r="Z353" s="7" t="str">
        <f aca="false">IF(INDEX(MASTER_DATABASE!$A$4:$A$1000,ROW()-3)="","",INDEX(MASTER_DATABASE!$AK$4:$AK$1000,ROW()-3)&amp;"")</f>
        <v/>
      </c>
      <c r="AA353" s="7" t="str">
        <f aca="false">IF(INDEX(MASTER_DATABASE!$A$4:$A$1000,ROW()-3)="","",INDEX(MASTER_DATABASE!$BE$4:$BE$1000,ROW()-3)&amp;"")</f>
        <v/>
      </c>
    </row>
    <row r="354" customFormat="false" ht="15" hidden="false" customHeight="false" outlineLevel="0" collapsed="false">
      <c r="A354" s="11" t="str">
        <f aca="false">IF(INDEX(MASTER_DATABASE!$A$4:$A$1000,ROW()-3)="","",INDEX(MASTER_DATABASE!$A$4:$A$1000,ROW()-3)&amp;"")</f>
        <v/>
      </c>
      <c r="B354" s="7" t="str">
        <f aca="false">IF(INDEX(MASTER_DATABASE!$A$4:$A$1000,ROW()-3)="","",INDEX(MASTER_DATABASE!$B$4:$B$1000,ROW()-3)&amp;"")</f>
        <v/>
      </c>
      <c r="C354" s="7" t="str">
        <f aca="false">IF(INDEX(MASTER_DATABASE!$A$4:$A$1000,ROW()-3)="","",INDEX(MASTER_DATABASE!$C$4:$C$1000,ROW()-3)&amp;"")</f>
        <v/>
      </c>
      <c r="D354" s="7" t="str">
        <f aca="false">IF(INDEX(MASTER_DATABASE!$A$4:$A$1000,ROW()-3)="","",INDEX(MASTER_DATABASE!$D$4:$D$1000,ROW()-3)&amp;"")</f>
        <v/>
      </c>
      <c r="E354" s="7" t="str">
        <f aca="false">IF(INDEX(MASTER_DATABASE!$A$4:$A$1000,ROW()-3)="","",INDEX(MASTER_DATABASE!$E$4:$E$1000,ROW()-3)&amp;"")</f>
        <v/>
      </c>
      <c r="F354" s="7" t="str">
        <f aca="false">IF(INDEX(MASTER_DATABASE!$A$4:$A$1000,ROW()-3)="","",INDEX(MASTER_DATABASE!$F$4:$F$1000,ROW()-3)&amp;"")</f>
        <v/>
      </c>
      <c r="G354" s="7" t="str">
        <f aca="false">IF(INDEX(MASTER_DATABASE!$A$4:$A$1000,ROW()-3)="","",INDEX(MASTER_DATABASE!$AL$4:$AL$1000,ROW()-3)&amp;"")</f>
        <v/>
      </c>
      <c r="H354" s="7" t="str">
        <f aca="false">IF(INDEX(MASTER_DATABASE!$A$4:$A$1000,ROW()-3)="","",INDEX(MASTER_DATABASE!$AM$4:$AM$1000,ROW()-3)&amp;"")</f>
        <v/>
      </c>
      <c r="I354" s="7" t="str">
        <f aca="false">IF(INDEX(MASTER_DATABASE!$A$4:$A$1000,ROW()-3)="","",INDEX(MASTER_DATABASE!$AO$4:$AO$1000,ROW()-3)&amp;"")</f>
        <v/>
      </c>
      <c r="J354" s="7" t="str">
        <f aca="false">IF(INDEX(MASTER_DATABASE!$A$4:$A$1000,ROW()-3)="","",INDEX(MASTER_DATABASE!$BD$4:$BD$1000,ROW()-3)&amp;"")</f>
        <v/>
      </c>
      <c r="K354" s="7" t="str">
        <f aca="false">IF(INDEX(MASTER_DATABASE!$A$4:$A$1000,ROW()-3)="","",INDEX(MASTER_DATABASE!$AX$4:$AX$1000,ROW()-3)&amp;"")</f>
        <v/>
      </c>
      <c r="L354" s="7" t="str">
        <f aca="false">IF(INDEX(MASTER_DATABASE!$A$4:$A$1000,ROW()-3)="","",INDEX(MASTER_DATABASE!$AY$4:$AY$1000,ROW()-3)&amp;"")</f>
        <v/>
      </c>
      <c r="M354" s="7" t="str">
        <f aca="false">IF(INDEX(MASTER_DATABASE!$A$4:$A$1000,ROW()-3)="","",INDEX(MASTER_DATABASE!$AN$4:$AN$1000,ROW()-3)&amp;"")</f>
        <v/>
      </c>
      <c r="N354" s="7" t="str">
        <f aca="false">IF(INDEX(MASTER_DATABASE!$A$4:$A$1000,ROW()-3)="","",INDEX(MASTER_DATABASE!$AZ$4:$AZ$1000,ROW()-3)&amp;"")</f>
        <v/>
      </c>
      <c r="O354" s="7" t="str">
        <f aca="false">IF(INDEX(MASTER_DATABASE!$A$4:$A$1000,ROW()-3)="","",INDEX(MASTER_DATABASE!$BA$4:$BA$1000,ROW()-3)&amp;"")</f>
        <v/>
      </c>
      <c r="P354" s="11" t="str">
        <f aca="false">IF(INDEX(MASTER_DATABASE!$A$4:$A$1000,ROW()-3)="","",INDEX(MASTER_DATABASE!$AP$4:$AP$1000,ROW()-3)&amp;"")</f>
        <v/>
      </c>
      <c r="Q354" s="7" t="str">
        <f aca="false">IF(INDEX(MASTER_DATABASE!$A$4:$A$1000,ROW()-3)="","",INDEX(MASTER_DATABASE!$BB$4:$BB$1000,ROW()-3)&amp;"")</f>
        <v/>
      </c>
      <c r="R354" s="11" t="str">
        <f aca="false">IF(INDEX(MASTER_DATABASE!$A$4:$A$1000,ROW()-3)="","",INDEX(MASTER_DATABASE!$BC$4:$BC$1000,ROW()-3)&amp;"")</f>
        <v/>
      </c>
      <c r="S354" s="11" t="str">
        <f aca="false">IF(INDEX(MASTER_DATABASE!$A$4:$A$1000,ROW()-3)="","",INDEX(MASTER_DATABASE!$AQ$4:$AQ$1000,ROW()-3))</f>
        <v/>
      </c>
      <c r="T354" s="7" t="str">
        <f aca="false">IF(INDEX(MASTER_DATABASE!$A$4:$A$1000,ROW()-3)="","",INDEX(MASTER_DATABASE!$I$4:$I$1000,ROW()-3)&amp;"")</f>
        <v/>
      </c>
      <c r="U354" s="7" t="str">
        <f aca="false">IF(INDEX(MASTER_DATABASE!$A$4:$A$1000,ROW()-3)="","",INDEX(MASTER_DATABASE!$J$4:$J$1000,ROW()-3)&amp;"")</f>
        <v/>
      </c>
      <c r="V354" s="7" t="str">
        <f aca="false">IF(INDEX(MASTER_DATABASE!$A$4:$A$1000,ROW()-3)="","",INDEX(MASTER_DATABASE!$AG$4:$AG$1000,ROW()-3)&amp;"")</f>
        <v/>
      </c>
      <c r="W354" s="7" t="str">
        <f aca="false">IF(INDEX(MASTER_DATABASE!$A$4:$A$1000,ROW()-3)="","",INDEX(MASTER_DATABASE!$AH$4:$AH$1000,ROW()-3)&amp;"")</f>
        <v/>
      </c>
      <c r="X354" s="7" t="str">
        <f aca="false">IF(INDEX(MASTER_DATABASE!$A$4:$A$1000,ROW()-3)="","",INDEX(MASTER_DATABASE!$AI$4:$AI$1000,ROW()-3)&amp;"")</f>
        <v/>
      </c>
      <c r="Y354" s="7" t="str">
        <f aca="false">IF(INDEX(MASTER_DATABASE!$A$4:$A$1000,ROW()-3)="","",INDEX(MASTER_DATABASE!$AJ$4:$AJ$1000,ROW()-3)&amp;"")</f>
        <v/>
      </c>
      <c r="Z354" s="7" t="str">
        <f aca="false">IF(INDEX(MASTER_DATABASE!$A$4:$A$1000,ROW()-3)="","",INDEX(MASTER_DATABASE!$AK$4:$AK$1000,ROW()-3)&amp;"")</f>
        <v/>
      </c>
      <c r="AA354" s="7" t="str">
        <f aca="false">IF(INDEX(MASTER_DATABASE!$A$4:$A$1000,ROW()-3)="","",INDEX(MASTER_DATABASE!$BE$4:$BE$1000,ROW()-3)&amp;"")</f>
        <v/>
      </c>
    </row>
    <row r="355" customFormat="false" ht="15" hidden="false" customHeight="false" outlineLevel="0" collapsed="false">
      <c r="A355" s="11" t="str">
        <f aca="false">IF(INDEX(MASTER_DATABASE!$A$4:$A$1000,ROW()-3)="","",INDEX(MASTER_DATABASE!$A$4:$A$1000,ROW()-3)&amp;"")</f>
        <v/>
      </c>
      <c r="B355" s="7" t="str">
        <f aca="false">IF(INDEX(MASTER_DATABASE!$A$4:$A$1000,ROW()-3)="","",INDEX(MASTER_DATABASE!$B$4:$B$1000,ROW()-3)&amp;"")</f>
        <v/>
      </c>
      <c r="C355" s="7" t="str">
        <f aca="false">IF(INDEX(MASTER_DATABASE!$A$4:$A$1000,ROW()-3)="","",INDEX(MASTER_DATABASE!$C$4:$C$1000,ROW()-3)&amp;"")</f>
        <v/>
      </c>
      <c r="D355" s="7" t="str">
        <f aca="false">IF(INDEX(MASTER_DATABASE!$A$4:$A$1000,ROW()-3)="","",INDEX(MASTER_DATABASE!$D$4:$D$1000,ROW()-3)&amp;"")</f>
        <v/>
      </c>
      <c r="E355" s="7" t="str">
        <f aca="false">IF(INDEX(MASTER_DATABASE!$A$4:$A$1000,ROW()-3)="","",INDEX(MASTER_DATABASE!$E$4:$E$1000,ROW()-3)&amp;"")</f>
        <v/>
      </c>
      <c r="F355" s="7" t="str">
        <f aca="false">IF(INDEX(MASTER_DATABASE!$A$4:$A$1000,ROW()-3)="","",INDEX(MASTER_DATABASE!$F$4:$F$1000,ROW()-3)&amp;"")</f>
        <v/>
      </c>
      <c r="G355" s="7" t="str">
        <f aca="false">IF(INDEX(MASTER_DATABASE!$A$4:$A$1000,ROW()-3)="","",INDEX(MASTER_DATABASE!$AL$4:$AL$1000,ROW()-3)&amp;"")</f>
        <v/>
      </c>
      <c r="H355" s="7" t="str">
        <f aca="false">IF(INDEX(MASTER_DATABASE!$A$4:$A$1000,ROW()-3)="","",INDEX(MASTER_DATABASE!$AM$4:$AM$1000,ROW()-3)&amp;"")</f>
        <v/>
      </c>
      <c r="I355" s="7" t="str">
        <f aca="false">IF(INDEX(MASTER_DATABASE!$A$4:$A$1000,ROW()-3)="","",INDEX(MASTER_DATABASE!$AO$4:$AO$1000,ROW()-3)&amp;"")</f>
        <v/>
      </c>
      <c r="J355" s="7" t="str">
        <f aca="false">IF(INDEX(MASTER_DATABASE!$A$4:$A$1000,ROW()-3)="","",INDEX(MASTER_DATABASE!$BD$4:$BD$1000,ROW()-3)&amp;"")</f>
        <v/>
      </c>
      <c r="K355" s="7" t="str">
        <f aca="false">IF(INDEX(MASTER_DATABASE!$A$4:$A$1000,ROW()-3)="","",INDEX(MASTER_DATABASE!$AX$4:$AX$1000,ROW()-3)&amp;"")</f>
        <v/>
      </c>
      <c r="L355" s="7" t="str">
        <f aca="false">IF(INDEX(MASTER_DATABASE!$A$4:$A$1000,ROW()-3)="","",INDEX(MASTER_DATABASE!$AY$4:$AY$1000,ROW()-3)&amp;"")</f>
        <v/>
      </c>
      <c r="M355" s="7" t="str">
        <f aca="false">IF(INDEX(MASTER_DATABASE!$A$4:$A$1000,ROW()-3)="","",INDEX(MASTER_DATABASE!$AN$4:$AN$1000,ROW()-3)&amp;"")</f>
        <v/>
      </c>
      <c r="N355" s="7" t="str">
        <f aca="false">IF(INDEX(MASTER_DATABASE!$A$4:$A$1000,ROW()-3)="","",INDEX(MASTER_DATABASE!$AZ$4:$AZ$1000,ROW()-3)&amp;"")</f>
        <v/>
      </c>
      <c r="O355" s="7" t="str">
        <f aca="false">IF(INDEX(MASTER_DATABASE!$A$4:$A$1000,ROW()-3)="","",INDEX(MASTER_DATABASE!$BA$4:$BA$1000,ROW()-3)&amp;"")</f>
        <v/>
      </c>
      <c r="P355" s="11" t="str">
        <f aca="false">IF(INDEX(MASTER_DATABASE!$A$4:$A$1000,ROW()-3)="","",INDEX(MASTER_DATABASE!$AP$4:$AP$1000,ROW()-3)&amp;"")</f>
        <v/>
      </c>
      <c r="Q355" s="7" t="str">
        <f aca="false">IF(INDEX(MASTER_DATABASE!$A$4:$A$1000,ROW()-3)="","",INDEX(MASTER_DATABASE!$BB$4:$BB$1000,ROW()-3)&amp;"")</f>
        <v/>
      </c>
      <c r="R355" s="11" t="str">
        <f aca="false">IF(INDEX(MASTER_DATABASE!$A$4:$A$1000,ROW()-3)="","",INDEX(MASTER_DATABASE!$BC$4:$BC$1000,ROW()-3)&amp;"")</f>
        <v/>
      </c>
      <c r="S355" s="11" t="str">
        <f aca="false">IF(INDEX(MASTER_DATABASE!$A$4:$A$1000,ROW()-3)="","",INDEX(MASTER_DATABASE!$AQ$4:$AQ$1000,ROW()-3))</f>
        <v/>
      </c>
      <c r="T355" s="7" t="str">
        <f aca="false">IF(INDEX(MASTER_DATABASE!$A$4:$A$1000,ROW()-3)="","",INDEX(MASTER_DATABASE!$I$4:$I$1000,ROW()-3)&amp;"")</f>
        <v/>
      </c>
      <c r="U355" s="7" t="str">
        <f aca="false">IF(INDEX(MASTER_DATABASE!$A$4:$A$1000,ROW()-3)="","",INDEX(MASTER_DATABASE!$J$4:$J$1000,ROW()-3)&amp;"")</f>
        <v/>
      </c>
      <c r="V355" s="7" t="str">
        <f aca="false">IF(INDEX(MASTER_DATABASE!$A$4:$A$1000,ROW()-3)="","",INDEX(MASTER_DATABASE!$AG$4:$AG$1000,ROW()-3)&amp;"")</f>
        <v/>
      </c>
      <c r="W355" s="7" t="str">
        <f aca="false">IF(INDEX(MASTER_DATABASE!$A$4:$A$1000,ROW()-3)="","",INDEX(MASTER_DATABASE!$AH$4:$AH$1000,ROW()-3)&amp;"")</f>
        <v/>
      </c>
      <c r="X355" s="7" t="str">
        <f aca="false">IF(INDEX(MASTER_DATABASE!$A$4:$A$1000,ROW()-3)="","",INDEX(MASTER_DATABASE!$AI$4:$AI$1000,ROW()-3)&amp;"")</f>
        <v/>
      </c>
      <c r="Y355" s="7" t="str">
        <f aca="false">IF(INDEX(MASTER_DATABASE!$A$4:$A$1000,ROW()-3)="","",INDEX(MASTER_DATABASE!$AJ$4:$AJ$1000,ROW()-3)&amp;"")</f>
        <v/>
      </c>
      <c r="Z355" s="7" t="str">
        <f aca="false">IF(INDEX(MASTER_DATABASE!$A$4:$A$1000,ROW()-3)="","",INDEX(MASTER_DATABASE!$AK$4:$AK$1000,ROW()-3)&amp;"")</f>
        <v/>
      </c>
      <c r="AA355" s="7" t="str">
        <f aca="false">IF(INDEX(MASTER_DATABASE!$A$4:$A$1000,ROW()-3)="","",INDEX(MASTER_DATABASE!$BE$4:$BE$1000,ROW()-3)&amp;"")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3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6" min="5" style="0" width="30"/>
    <col collapsed="false" customWidth="true" hidden="false" outlineLevel="0" max="7" min="7" style="0" width="56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36"/>
    <col collapsed="false" customWidth="true" hidden="false" outlineLevel="0" max="12" min="12" style="0" width="44"/>
    <col collapsed="false" customWidth="true" hidden="false" outlineLevel="0" max="13" min="13" style="0" width="36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3396</v>
      </c>
    </row>
    <row r="2" customFormat="false" ht="15" hidden="false" customHeight="false" outlineLevel="0" collapsed="false">
      <c r="A2" s="2" t="s">
        <v>3397</v>
      </c>
    </row>
    <row r="3" customFormat="false" ht="33.75" hidden="false" customHeight="true" outlineLevel="0" collapsed="false">
      <c r="A3" s="4" t="s">
        <v>2</v>
      </c>
      <c r="B3" s="4" t="s">
        <v>3398</v>
      </c>
      <c r="C3" s="4" t="s">
        <v>3399</v>
      </c>
      <c r="D3" s="4" t="s">
        <v>59</v>
      </c>
      <c r="E3" s="4" t="s">
        <v>3400</v>
      </c>
      <c r="F3" s="4" t="s">
        <v>14</v>
      </c>
      <c r="G3" s="4" t="s">
        <v>3401</v>
      </c>
      <c r="H3" s="4" t="s">
        <v>3402</v>
      </c>
      <c r="I3" s="4" t="s">
        <v>3403</v>
      </c>
      <c r="J3" s="4" t="s">
        <v>3404</v>
      </c>
      <c r="K3" s="4" t="s">
        <v>3405</v>
      </c>
      <c r="L3" s="4" t="s">
        <v>45</v>
      </c>
      <c r="M3" s="4" t="s">
        <v>3406</v>
      </c>
      <c r="N3" s="4" t="s">
        <v>60</v>
      </c>
    </row>
    <row r="4" customFormat="false" ht="79.85" hidden="false" customHeight="false" outlineLevel="0" collapsed="false">
      <c r="A4" s="11" t="str">
        <f aca="false">IF(INDEX(MASTER_DATABASE!$A$4:$A$1000,ROW()-3)="","",INDEX(MASTER_DATABASE!$A$4:$A$1000,ROW()-3)&amp;"")</f>
        <v>AAD-001</v>
      </c>
      <c r="B4" s="7" t="str">
        <f aca="false">IF(INDEX(MASTER_DATABASE!$A$4:$A$1000,ROW()-3)="","",INDEX(MASTER_DATABASE!$E$4:$E$1000,ROW()-3)&amp;"")</f>
        <v>New Aadhaar Enrolment – Adult (18+ years)</v>
      </c>
      <c r="C4" s="7" t="str">
        <f aca="false">IF(INDEX(MASTER_DATABASE!$A$4:$A$1000,ROW()-3)="","",INDEX(MASTER_DATABASE!$H$4:$H$1000,ROW()-3)&amp;"")</f>
        <v>Fresh Aadhaar enrolment for adults. The operator captures demographic details, fingerprints, iris and photograph, and gives an enrolment acknowledgement.</v>
      </c>
      <c r="D4" s="7" t="str">
        <f aca="false">IF(INDEX(MASTER_DATABASE!$A$4:$A$1000,ROW()-3)="","",INDEX(MASTER_DATABASE!$BF$4:$BF$1000,ROW()-3)&amp;"")</f>
        <v>Get your first Aadhaar • Biometric capture done at the centre • Acknowledgement slip for tracking</v>
      </c>
      <c r="E4" s="7" t="str">
        <f aca="false">IF(INDEX(MASTER_DATABASE!$A$4:$A$1000,ROW()-3)="","",INDEX(MASTER_DATABASE!$O$4:$O$1000,ROW()-3)&amp;"")</f>
        <v>Residents aged 18 years or above who do not yet have an Aadhaar.</v>
      </c>
      <c r="F4" s="7" t="str">
        <f aca="false">IF(INDEX(MASTER_DATABASE!$A$4:$A$1000,ROW()-3)="","",INDEX(MASTER_DATABASE!$M$4:$M$1000,ROW()-3)&amp;"")</f>
        <v>✓ Identity Proof
✓ Address Proof
✓ Date of Birth Proof
✓ Customer Presence for Biometrics</v>
      </c>
      <c r="G4" s="7" t="str">
        <f aca="false">IF(INDEX(MASTER_DATABASE!$A$4:$A$1000,ROW()-3)="","",INDEX(MASTER_DATABASE!$P$4:$P$1000,ROW()-3)&amp;"")</f>
        <v>Step 1 → Adult applicant comes in person with original identity, address and date-of-birth documents.
Step 2 → Operator fills the enrolment form with your details.
Step 3 → Fingerprints, iris and photograph are captured.
Step 4 → You review the entered details; sign the consent.
Step 5 → Collect the enrolment slip (EID) and track the status; Aadhaar is delivered after UIDAI processing.</v>
      </c>
      <c r="H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" s="7" t="str">
        <f aca="false">IF(INDEX(MASTER_DATABASE!$A$4:$A$1000,ROW()-3)="","",INDEX(MASTER_DATABASE!$Q$4:$Q$1000,ROW()-3)&amp;"")</f>
        <v>Depends on Department</v>
      </c>
      <c r="J4" s="7" t="str">
        <f aca="false">IF(INDEX(MASTER_DATABASE!$A$4:$A$1000,ROW()-3)="","",INDEX(MASTER_DATABASE!$J$4:$J$1000,ROW()-3)&amp;"")</f>
        <v>Please Confirm at Shop</v>
      </c>
      <c r="K4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4" s="7" t="str">
        <f aca="false">IF(INDEX(MASTER_DATABASE!$A$4:$A$1000,ROW()-3)="","",INDEX(MASTER_DATABASE!$AR$4:$AR$1000,ROW()-3)&amp;"")</f>
        <v>Q1: Do I need to visit in person?
A1: Yes, biometrics are captured at the centre.
Q2: How long does Aadhaar take?
A2: Processing is done by UIDAI; the time depends on the department.</v>
      </c>
      <c r="M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" s="7" t="str">
        <f aca="false">IF(INDEX(MASTER_DATABASE!$A$4:$A$1000,ROW()-3)="","",INDEX(MASTER_DATABASE!$BG$4:$BG$1000,ROW()-3)&amp;"")</f>
        <v>Check Documents</v>
      </c>
    </row>
    <row r="5" customFormat="false" ht="68.65" hidden="false" customHeight="false" outlineLevel="0" collapsed="false">
      <c r="A5" s="11" t="str">
        <f aca="false">IF(INDEX(MASTER_DATABASE!$A$4:$A$1000,ROW()-3)="","",INDEX(MASTER_DATABASE!$A$4:$A$1000,ROW()-3)&amp;"")</f>
        <v>AAD-002</v>
      </c>
      <c r="B5" s="7" t="str">
        <f aca="false">IF(INDEX(MASTER_DATABASE!$A$4:$A$1000,ROW()-3)="","",INDEX(MASTER_DATABASE!$E$4:$E$1000,ROW()-3)&amp;"")</f>
        <v>New Aadhaar Enrolment – Child (5 to 17 years)</v>
      </c>
      <c r="C5" s="7" t="str">
        <f aca="false">IF(INDEX(MASTER_DATABASE!$A$4:$A$1000,ROW()-3)="","",INDEX(MASTER_DATABASE!$H$4:$H$1000,ROW()-3)&amp;"")</f>
        <v>New Aadhaar enrolment for a child between 5 and 17 years with biometric capture.</v>
      </c>
      <c r="D5" s="7" t="str">
        <f aca="false">IF(INDEX(MASTER_DATABASE!$A$4:$A$1000,ROW()-3)="","",INDEX(MASTER_DATABASE!$BF$4:$BF$1000,ROW()-3)&amp;"")</f>
        <v>Aadhaar for school / scholarship needs • Child biometrics captured • Acknowledgement slip</v>
      </c>
      <c r="E5" s="7" t="str">
        <f aca="false">IF(INDEX(MASTER_DATABASE!$A$4:$A$1000,ROW()-3)="","",INDEX(MASTER_DATABASE!$O$4:$O$1000,ROW()-3)&amp;"")</f>
        <v>Children aged 5 to 17 years without an Aadhaar.</v>
      </c>
      <c r="F5" s="7" t="str">
        <f aca="false">IF(INDEX(MASTER_DATABASE!$A$4:$A$1000,ROW()-3)="","",INDEX(MASTER_DATABASE!$M$4:$M$1000,ROW()-3)&amp;"")</f>
        <v>✓ Parent / Guardian Aadhaar
✓ Birth Certificate
✓ Customer Presence for Biometrics</v>
      </c>
      <c r="G5" s="7" t="str">
        <f aca="false">IF(INDEX(MASTER_DATABASE!$A$4:$A$1000,ROW()-3)="","",INDEX(MASTER_DATABASE!$P$4:$P$1000,ROW()-3)&amp;"")</f>
        <v>Step 1 → Parent / guardian brings the child with the child's birth proof and the parent's Aadhaar.
Step 2 → Operator fills the child's enrolment form.
Step 3 → Child's fingerprints, iris and photograph are captured.
Step 4 → Parent reviews and signs the consent.
Step 5 → Collect the enrolment slip (EID) and track the status.</v>
      </c>
      <c r="H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" s="7" t="str">
        <f aca="false">IF(INDEX(MASTER_DATABASE!$A$4:$A$1000,ROW()-3)="","",INDEX(MASTER_DATABASE!$Q$4:$Q$1000,ROW()-3)&amp;"")</f>
        <v>Depends on Department</v>
      </c>
      <c r="J5" s="7" t="str">
        <f aca="false">IF(INDEX(MASTER_DATABASE!$A$4:$A$1000,ROW()-3)="","",INDEX(MASTER_DATABASE!$J$4:$J$1000,ROW()-3)&amp;"")</f>
        <v>Please Confirm at Shop</v>
      </c>
      <c r="K5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5" s="7" t="str">
        <f aca="false">IF(INDEX(MASTER_DATABASE!$A$4:$A$1000,ROW()-3)="","",INDEX(MASTER_DATABASE!$AR$4:$AR$1000,ROW()-3)&amp;"")</f>
        <v>Q1: Who should accompany the child?
A1: A parent or guardian with their Aadhaar.</v>
      </c>
      <c r="M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" s="7" t="str">
        <f aca="false">IF(INDEX(MASTER_DATABASE!$A$4:$A$1000,ROW()-3)="","",INDEX(MASTER_DATABASE!$BG$4:$BG$1000,ROW()-3)&amp;"")</f>
        <v>Check Documents</v>
      </c>
    </row>
    <row r="6" customFormat="false" ht="91" hidden="false" customHeight="false" outlineLevel="0" collapsed="false">
      <c r="A6" s="11" t="str">
        <f aca="false">IF(INDEX(MASTER_DATABASE!$A$4:$A$1000,ROW()-3)="","",INDEX(MASTER_DATABASE!$A$4:$A$1000,ROW()-3)&amp;"")</f>
        <v>AAD-003</v>
      </c>
      <c r="B6" s="7" t="str">
        <f aca="false">IF(INDEX(MASTER_DATABASE!$A$4:$A$1000,ROW()-3)="","",INDEX(MASTER_DATABASE!$E$4:$E$1000,ROW()-3)&amp;"")</f>
        <v>New Aadhaar Enrolment – Child (0 to 5 years, Baal Aadhaar)</v>
      </c>
      <c r="C6" s="7" t="str">
        <f aca="false">IF(INDEX(MASTER_DATABASE!$A$4:$A$1000,ROW()-3)="","",INDEX(MASTER_DATABASE!$H$4:$H$1000,ROW()-3)&amp;"")</f>
        <v>Baal Aadhaar enrolment for newborns and children below 5 years, linked to a parent's Aadhaar.</v>
      </c>
      <c r="D6" s="7" t="str">
        <f aca="false">IF(INDEX(MASTER_DATABASE!$A$4:$A$1000,ROW()-3)="","",INDEX(MASTER_DATABASE!$BF$4:$BF$1000,ROW()-3)&amp;"")</f>
        <v>Early Aadhaar for infants • No biometrics needed for very young children • Acknowledgement slip</v>
      </c>
      <c r="E6" s="7" t="str">
        <f aca="false">IF(INDEX(MASTER_DATABASE!$A$4:$A$1000,ROW()-3)="","",INDEX(MASTER_DATABASE!$O$4:$O$1000,ROW()-3)&amp;"")</f>
        <v>Children below 5 years (Baal Aadhaar).</v>
      </c>
      <c r="F6" s="7" t="str">
        <f aca="false">IF(INDEX(MASTER_DATABASE!$A$4:$A$1000,ROW()-3)="","",INDEX(MASTER_DATABASE!$M$4:$M$1000,ROW()-3)&amp;"")</f>
        <v>✓ Parent / Guardian Aadhaar
✓ Birth Certificate
✓ Customer Presence for Biometrics</v>
      </c>
      <c r="G6" s="7" t="str">
        <f aca="false">IF(INDEX(MASTER_DATABASE!$A$4:$A$1000,ROW()-3)="","",INDEX(MASTER_DATABASE!$P$4:$P$1000,ROW()-3)&amp;"")</f>
        <v>Step 1 → Parent brings the child (under 5 years) with the child's birth proof and the parent's Aadhaar.
Step 2 → Operator fills the child's enrolment form linked to the parent's Aadhaar.
Step 3 → Child's photograph is captured (fingerprints / iris are not captured under 5 years).
Step 4 → Parent reviews and signs the consent.
Step 5 → Collect the enrolment slip (EID) and track the status.</v>
      </c>
      <c r="H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" s="7" t="str">
        <f aca="false">IF(INDEX(MASTER_DATABASE!$A$4:$A$1000,ROW()-3)="","",INDEX(MASTER_DATABASE!$Q$4:$Q$1000,ROW()-3)&amp;"")</f>
        <v>Depends on Department</v>
      </c>
      <c r="J6" s="7" t="str">
        <f aca="false">IF(INDEX(MASTER_DATABASE!$A$4:$A$1000,ROW()-3)="","",INDEX(MASTER_DATABASE!$J$4:$J$1000,ROW()-3)&amp;"")</f>
        <v>Please Confirm at Shop</v>
      </c>
      <c r="K6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6" s="7" t="str">
        <f aca="false">IF(INDEX(MASTER_DATABASE!$A$4:$A$1000,ROW()-3)="","",INDEX(MASTER_DATABASE!$AR$4:$AR$1000,ROW()-3)&amp;"")</f>
        <v>Q1: Is a biometric needed for a baby?
A1: Under 5 years, biometrics are not captured; a mandatory biometric update is done later.</v>
      </c>
      <c r="M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" s="7" t="str">
        <f aca="false">IF(INDEX(MASTER_DATABASE!$A$4:$A$1000,ROW()-3)="","",INDEX(MASTER_DATABASE!$BG$4:$BG$1000,ROW()-3)&amp;"")</f>
        <v>Check Documents</v>
      </c>
    </row>
    <row r="7" customFormat="false" ht="57.45" hidden="false" customHeight="false" outlineLevel="0" collapsed="false">
      <c r="A7" s="11" t="str">
        <f aca="false">IF(INDEX(MASTER_DATABASE!$A$4:$A$1000,ROW()-3)="","",INDEX(MASTER_DATABASE!$A$4:$A$1000,ROW()-3)&amp;"")</f>
        <v>AAD-004</v>
      </c>
      <c r="B7" s="7" t="str">
        <f aca="false">IF(INDEX(MASTER_DATABASE!$A$4:$A$1000,ROW()-3)="","",INDEX(MASTER_DATABASE!$E$4:$E$1000,ROW()-3)&amp;"")</f>
        <v>Aadhaar Enrolment – Head of Family / Introducer Based</v>
      </c>
      <c r="C7" s="7" t="str">
        <f aca="false">IF(INDEX(MASTER_DATABASE!$A$4:$A$1000,ROW()-3)="","",INDEX(MASTER_DATABASE!$H$4:$H$1000,ROW()-3)&amp;"")</f>
        <v>Special-case Aadhaar enrolment. Availability at this centre is still to be confirmed.</v>
      </c>
      <c r="D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" s="7" t="str">
        <f aca="false">IF(INDEX(MASTER_DATABASE!$A$4:$A$1000,ROW()-3)="","",INDEX(MASTER_DATABASE!$O$4:$O$1000,ROW()-3)&amp;"")</f>
        <v>Special enrolment cases as permitted by UIDAI.</v>
      </c>
      <c r="F7" s="7" t="str">
        <f aca="false">IF(INDEX(MASTER_DATABASE!$A$4:$A$1000,ROW()-3)="","",INDEX(MASTER_DATABASE!$M$4:$M$1000,ROW()-3)&amp;"")</f>
        <v>✓ Customer Presence for Biometrics</v>
      </c>
      <c r="G7" s="7" t="str">
        <f aca="false">IF(INDEX(MASTER_DATABASE!$A$4:$A$1000,ROW()-3)="","",INDEX(MASTER_DATABASE!$P$4:$P$1000,ROW()-3)&amp;"")</f>
        <v>Step 1 → Contact the shop to confirm whether this special enrolment case can be handled here.
Step 2 → If yes, bring the documents the operator asks for.
Step 3 → Operator follows the UIDAI procedure for this case.
Step 4 → Collect the acknowledgement slip and track the status.</v>
      </c>
      <c r="H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" s="7" t="str">
        <f aca="false">IF(INDEX(MASTER_DATABASE!$A$4:$A$1000,ROW()-3)="","",INDEX(MASTER_DATABASE!$Q$4:$Q$1000,ROW()-3)&amp;"")</f>
        <v>Depends on Department</v>
      </c>
      <c r="J7" s="7" t="str">
        <f aca="false">IF(INDEX(MASTER_DATABASE!$A$4:$A$1000,ROW()-3)="","",INDEX(MASTER_DATABASE!$J$4:$J$1000,ROW()-3)&amp;"")</f>
        <v>To Be Confirmed</v>
      </c>
      <c r="K7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" s="7" t="str">
        <f aca="false">IF(INDEX(MASTER_DATABASE!$A$4:$A$1000,ROW()-3)="","",INDEX(MASTER_DATABASE!$BG$4:$BG$1000,ROW()-3)&amp;"")</f>
        <v>Call Us</v>
      </c>
    </row>
    <row r="8" customFormat="false" ht="57.45" hidden="false" customHeight="false" outlineLevel="0" collapsed="false">
      <c r="A8" s="11" t="str">
        <f aca="false">IF(INDEX(MASTER_DATABASE!$A$4:$A$1000,ROW()-3)="","",INDEX(MASTER_DATABASE!$A$4:$A$1000,ROW()-3)&amp;"")</f>
        <v>AAD-005</v>
      </c>
      <c r="B8" s="7" t="str">
        <f aca="false">IF(INDEX(MASTER_DATABASE!$A$4:$A$1000,ROW()-3)="","",INDEX(MASTER_DATABASE!$E$4:$E$1000,ROW()-3)&amp;"")</f>
        <v>Aadhaar Enrolment – NRI / Foreign Resident</v>
      </c>
      <c r="C8" s="7" t="str">
        <f aca="false">IF(INDEX(MASTER_DATABASE!$A$4:$A$1000,ROW()-3)="","",INDEX(MASTER_DATABASE!$H$4:$H$1000,ROW()-3)&amp;"")</f>
        <v>Special-case Aadhaar enrolment. Availability at this centre is still to be confirmed.</v>
      </c>
      <c r="D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" s="7" t="str">
        <f aca="false">IF(INDEX(MASTER_DATABASE!$A$4:$A$1000,ROW()-3)="","",INDEX(MASTER_DATABASE!$O$4:$O$1000,ROW()-3)&amp;"")</f>
        <v>Special enrolment cases as permitted by UIDAI.</v>
      </c>
      <c r="F8" s="7" t="str">
        <f aca="false">IF(INDEX(MASTER_DATABASE!$A$4:$A$1000,ROW()-3)="","",INDEX(MASTER_DATABASE!$M$4:$M$1000,ROW()-3)&amp;"")</f>
        <v>✓ Customer Presence for Biometrics</v>
      </c>
      <c r="G8" s="7" t="str">
        <f aca="false">IF(INDEX(MASTER_DATABASE!$A$4:$A$1000,ROW()-3)="","",INDEX(MASTER_DATABASE!$P$4:$P$1000,ROW()-3)&amp;"")</f>
        <v>Step 1 → Contact the shop to confirm whether this special enrolment case can be handled here.
Step 2 → If yes, bring the documents the operator asks for.
Step 3 → Operator follows the UIDAI procedure for this case.
Step 4 → Collect the acknowledgement slip and track the status.</v>
      </c>
      <c r="H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" s="7" t="str">
        <f aca="false">IF(INDEX(MASTER_DATABASE!$A$4:$A$1000,ROW()-3)="","",INDEX(MASTER_DATABASE!$Q$4:$Q$1000,ROW()-3)&amp;"")</f>
        <v>Depends on Department</v>
      </c>
      <c r="J8" s="7" t="str">
        <f aca="false">IF(INDEX(MASTER_DATABASE!$A$4:$A$1000,ROW()-3)="","",INDEX(MASTER_DATABASE!$J$4:$J$1000,ROW()-3)&amp;"")</f>
        <v>To Be Confirmed</v>
      </c>
      <c r="K8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" s="7" t="str">
        <f aca="false">IF(INDEX(MASTER_DATABASE!$A$4:$A$1000,ROW()-3)="","",INDEX(MASTER_DATABASE!$BG$4:$BG$1000,ROW()-3)&amp;"")</f>
        <v>Call Us</v>
      </c>
    </row>
    <row r="9" customFormat="false" ht="57.45" hidden="false" customHeight="false" outlineLevel="0" collapsed="false">
      <c r="A9" s="11" t="str">
        <f aca="false">IF(INDEX(MASTER_DATABASE!$A$4:$A$1000,ROW()-3)="","",INDEX(MASTER_DATABASE!$A$4:$A$1000,ROW()-3)&amp;"")</f>
        <v>AAD-006</v>
      </c>
      <c r="B9" s="7" t="str">
        <f aca="false">IF(INDEX(MASTER_DATABASE!$A$4:$A$1000,ROW()-3)="","",INDEX(MASTER_DATABASE!$E$4:$E$1000,ROW()-3)&amp;"")</f>
        <v>Aadhaar Enrolment – Biometric Exception Case</v>
      </c>
      <c r="C9" s="7" t="str">
        <f aca="false">IF(INDEX(MASTER_DATABASE!$A$4:$A$1000,ROW()-3)="","",INDEX(MASTER_DATABASE!$H$4:$H$1000,ROW()-3)&amp;"")</f>
        <v>Special-case Aadhaar enrolment. Availability at this centre is still to be confirmed.</v>
      </c>
      <c r="D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" s="7" t="str">
        <f aca="false">IF(INDEX(MASTER_DATABASE!$A$4:$A$1000,ROW()-3)="","",INDEX(MASTER_DATABASE!$O$4:$O$1000,ROW()-3)&amp;"")</f>
        <v>Special enrolment cases as permitted by UIDAI.</v>
      </c>
      <c r="F9" s="7" t="str">
        <f aca="false">IF(INDEX(MASTER_DATABASE!$A$4:$A$1000,ROW()-3)="","",INDEX(MASTER_DATABASE!$M$4:$M$1000,ROW()-3)&amp;"")</f>
        <v>✓ Customer Presence for Biometrics</v>
      </c>
      <c r="G9" s="7" t="str">
        <f aca="false">IF(INDEX(MASTER_DATABASE!$A$4:$A$1000,ROW()-3)="","",INDEX(MASTER_DATABASE!$P$4:$P$1000,ROW()-3)&amp;"")</f>
        <v>Step 1 → Contact the shop to confirm whether this special enrolment case can be handled here.
Step 2 → If yes, bring the documents the operator asks for.
Step 3 → Operator follows the UIDAI procedure for this case.
Step 4 → Collect the acknowledgement slip and track the status.</v>
      </c>
      <c r="H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" s="7" t="str">
        <f aca="false">IF(INDEX(MASTER_DATABASE!$A$4:$A$1000,ROW()-3)="","",INDEX(MASTER_DATABASE!$Q$4:$Q$1000,ROW()-3)&amp;"")</f>
        <v>Depends on Department</v>
      </c>
      <c r="J9" s="7" t="str">
        <f aca="false">IF(INDEX(MASTER_DATABASE!$A$4:$A$1000,ROW()-3)="","",INDEX(MASTER_DATABASE!$J$4:$J$1000,ROW()-3)&amp;"")</f>
        <v>To Be Confirmed</v>
      </c>
      <c r="K9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" s="7" t="str">
        <f aca="false">IF(INDEX(MASTER_DATABASE!$A$4:$A$1000,ROW()-3)="","",INDEX(MASTER_DATABASE!$BG$4:$BG$1000,ROW()-3)&amp;"")</f>
        <v>Call Us</v>
      </c>
    </row>
    <row r="10" customFormat="false" ht="102.2" hidden="false" customHeight="false" outlineLevel="0" collapsed="false">
      <c r="A10" s="11" t="str">
        <f aca="false">IF(INDEX(MASTER_DATABASE!$A$4:$A$1000,ROW()-3)="","",INDEX(MASTER_DATABASE!$A$4:$A$1000,ROW()-3)&amp;"")</f>
        <v>AAD-007</v>
      </c>
      <c r="B10" s="7" t="str">
        <f aca="false">IF(INDEX(MASTER_DATABASE!$A$4:$A$1000,ROW()-3)="","",INDEX(MASTER_DATABASE!$E$4:$E$1000,ROW()-3)&amp;"")</f>
        <v>Aadhaar Name Update</v>
      </c>
      <c r="C10" s="7" t="str">
        <f aca="false">IF(INDEX(MASTER_DATABASE!$A$4:$A$1000,ROW()-3)="","",INDEX(MASTER_DATABASE!$H$4:$H$1000,ROW()-3)&amp;"")</f>
        <v>Update or correct the name recorded in your Aadhaar through the Aadhaar Centre.</v>
      </c>
      <c r="D10" s="7" t="str">
        <f aca="false">IF(INDEX(MASTER_DATABASE!$A$4:$A$1000,ROW()-3)="","",INDEX(MASTER_DATABASE!$BF$4:$BF$1000,ROW()-3)&amp;"")</f>
        <v>Correct Aadhaar details • Biometric-verified update • Acknowledgement slip</v>
      </c>
      <c r="E10" s="7" t="str">
        <f aca="false">IF(INDEX(MASTER_DATABASE!$A$4:$A$1000,ROW()-3)="","",INDEX(MASTER_DATABASE!$O$4:$O$1000,ROW()-3)&amp;"")</f>
        <v>Aadhaar holders whose details need correction, subject to UIDAI update limits.</v>
      </c>
      <c r="F10" s="7" t="str">
        <f aca="false">IF(INDEX(MASTER_DATABASE!$A$4:$A$1000,ROW()-3)="","",INDEX(MASTER_DATABASE!$M$4:$M$1000,ROW()-3)&amp;"")</f>
        <v>✓ Aadhaar Card
✓ Proof of Name</v>
      </c>
      <c r="G10" s="7" t="str">
        <f aca="false">IF(INDEX(MASTER_DATABASE!$A$4:$A$1000,ROW()-3)="","",INDEX(MASTER_DATABASE!$P$4:$P$1000,ROW()-3)&amp;"")</f>
        <v>Step 1 → Bring your Aadhaar card and proof of name (originals).
Step 2 → Operator checks your current Aadhaar details and the document for the name change.
Step 3 → Aadhaar holder gives fingerprint / biometric authentication at the centre.
Step 4 → New name details are entered and shown to you for checking before submission.
Step 5 → Pay the charge and collect the acknowledgement slip (URN) to track the update.</v>
      </c>
      <c r="H1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" s="7" t="str">
        <f aca="false">IF(INDEX(MASTER_DATABASE!$A$4:$A$1000,ROW()-3)="","",INDEX(MASTER_DATABASE!$Q$4:$Q$1000,ROW()-3)&amp;"")</f>
        <v>Depends on Department</v>
      </c>
      <c r="J10" s="7" t="str">
        <f aca="false">IF(INDEX(MASTER_DATABASE!$A$4:$A$1000,ROW()-3)="","",INDEX(MASTER_DATABASE!$J$4:$J$1000,ROW()-3)&amp;"")</f>
        <v>Available</v>
      </c>
      <c r="K10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0" s="7" t="str">
        <f aca="false">IF(INDEX(MASTER_DATABASE!$A$4:$A$1000,ROW()-3)="","",INDEX(MASTER_DATABASE!$AR$4:$AR$1000,ROW()-3)&amp;"")</f>
        <v>Q1: Do I need to come in person?
A1: Yes, the Aadhaar holder normally gives biometric authentication at the centre.
Q2: Is there a limit on changes?
A2: UIDAI limits some updates. Ask the operator for the current rule.</v>
      </c>
      <c r="M1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" s="7" t="str">
        <f aca="false">IF(INDEX(MASTER_DATABASE!$A$4:$A$1000,ROW()-3)="","",INDEX(MASTER_DATABASE!$BG$4:$BG$1000,ROW()-3)&amp;"")</f>
        <v>Check Documents</v>
      </c>
    </row>
    <row r="11" customFormat="false" ht="102.2" hidden="false" customHeight="false" outlineLevel="0" collapsed="false">
      <c r="A11" s="11" t="str">
        <f aca="false">IF(INDEX(MASTER_DATABASE!$A$4:$A$1000,ROW()-3)="","",INDEX(MASTER_DATABASE!$A$4:$A$1000,ROW()-3)&amp;"")</f>
        <v>AAD-008</v>
      </c>
      <c r="B11" s="7" t="str">
        <f aca="false">IF(INDEX(MASTER_DATABASE!$A$4:$A$1000,ROW()-3)="","",INDEX(MASTER_DATABASE!$E$4:$E$1000,ROW()-3)&amp;"")</f>
        <v>Aadhaar Date of Birth Update</v>
      </c>
      <c r="C11" s="7" t="str">
        <f aca="false">IF(INDEX(MASTER_DATABASE!$A$4:$A$1000,ROW()-3)="","",INDEX(MASTER_DATABASE!$H$4:$H$1000,ROW()-3)&amp;"")</f>
        <v>Update or correct the date of birth recorded in your Aadhaar through the Aadhaar Centre.</v>
      </c>
      <c r="D11" s="7" t="str">
        <f aca="false">IF(INDEX(MASTER_DATABASE!$A$4:$A$1000,ROW()-3)="","",INDEX(MASTER_DATABASE!$BF$4:$BF$1000,ROW()-3)&amp;"")</f>
        <v>Correct Aadhaar details • Biometric-verified update • Acknowledgement slip</v>
      </c>
      <c r="E11" s="7" t="str">
        <f aca="false">IF(INDEX(MASTER_DATABASE!$A$4:$A$1000,ROW()-3)="","",INDEX(MASTER_DATABASE!$O$4:$O$1000,ROW()-3)&amp;"")</f>
        <v>Aadhaar holders whose details need correction, subject to UIDAI update limits.</v>
      </c>
      <c r="F11" s="7" t="str">
        <f aca="false">IF(INDEX(MASTER_DATABASE!$A$4:$A$1000,ROW()-3)="","",INDEX(MASTER_DATABASE!$M$4:$M$1000,ROW()-3)&amp;"")</f>
        <v>✓ Aadhaar Card
✓ Date of Birth Proof</v>
      </c>
      <c r="G11" s="7" t="str">
        <f aca="false">IF(INDEX(MASTER_DATABASE!$A$4:$A$1000,ROW()-3)="","",INDEX(MASTER_DATABASE!$P$4:$P$1000,ROW()-3)&amp;"")</f>
        <v>Step 1 → Bring your Aadhaar card and date-of-birth proof (originals).
Step 2 → Operator checks your current Aadhaar details and the document for the date of birth change.
Step 3 → Aadhaar holder gives fingerprint / biometric authentication at the centre.
Step 4 → New date of birth details are entered and shown to you for checking before submission.
Step 5 → Pay the charge and collect the acknowledgement slip (URN) to track the update.</v>
      </c>
      <c r="H1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" s="7" t="str">
        <f aca="false">IF(INDEX(MASTER_DATABASE!$A$4:$A$1000,ROW()-3)="","",INDEX(MASTER_DATABASE!$Q$4:$Q$1000,ROW()-3)&amp;"")</f>
        <v>Depends on Department</v>
      </c>
      <c r="J11" s="7" t="str">
        <f aca="false">IF(INDEX(MASTER_DATABASE!$A$4:$A$1000,ROW()-3)="","",INDEX(MASTER_DATABASE!$J$4:$J$1000,ROW()-3)&amp;"")</f>
        <v>Available</v>
      </c>
      <c r="K11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1" s="7" t="str">
        <f aca="false">IF(INDEX(MASTER_DATABASE!$A$4:$A$1000,ROW()-3)="","",INDEX(MASTER_DATABASE!$AR$4:$AR$1000,ROW()-3)&amp;"")</f>
        <v>Q1: Do I need to come in person?
A1: Yes, the Aadhaar holder normally gives biometric authentication at the centre.
Q2: Is there a limit on changes?
A2: UIDAI limits some updates. Ask the operator for the current rule.</v>
      </c>
      <c r="M1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" s="7" t="str">
        <f aca="false">IF(INDEX(MASTER_DATABASE!$A$4:$A$1000,ROW()-3)="","",INDEX(MASTER_DATABASE!$BG$4:$BG$1000,ROW()-3)&amp;"")</f>
        <v>Check Documents</v>
      </c>
    </row>
    <row r="12" customFormat="false" ht="102.2" hidden="false" customHeight="false" outlineLevel="0" collapsed="false">
      <c r="A12" s="11" t="str">
        <f aca="false">IF(INDEX(MASTER_DATABASE!$A$4:$A$1000,ROW()-3)="","",INDEX(MASTER_DATABASE!$A$4:$A$1000,ROW()-3)&amp;"")</f>
        <v>AAD-009</v>
      </c>
      <c r="B12" s="7" t="str">
        <f aca="false">IF(INDEX(MASTER_DATABASE!$A$4:$A$1000,ROW()-3)="","",INDEX(MASTER_DATABASE!$E$4:$E$1000,ROW()-3)&amp;"")</f>
        <v>Aadhaar Gender Update</v>
      </c>
      <c r="C12" s="7" t="str">
        <f aca="false">IF(INDEX(MASTER_DATABASE!$A$4:$A$1000,ROW()-3)="","",INDEX(MASTER_DATABASE!$H$4:$H$1000,ROW()-3)&amp;"")</f>
        <v>Update or correct the gender recorded in your Aadhaar through the Aadhaar Centre.</v>
      </c>
      <c r="D12" s="7" t="str">
        <f aca="false">IF(INDEX(MASTER_DATABASE!$A$4:$A$1000,ROW()-3)="","",INDEX(MASTER_DATABASE!$BF$4:$BF$1000,ROW()-3)&amp;"")</f>
        <v>Correct Aadhaar details • Biometric-verified update • Acknowledgement slip</v>
      </c>
      <c r="E12" s="7" t="str">
        <f aca="false">IF(INDEX(MASTER_DATABASE!$A$4:$A$1000,ROW()-3)="","",INDEX(MASTER_DATABASE!$O$4:$O$1000,ROW()-3)&amp;"")</f>
        <v>Aadhaar holders whose details need correction, subject to UIDAI update limits.</v>
      </c>
      <c r="F12" s="7" t="str">
        <f aca="false">IF(INDEX(MASTER_DATABASE!$A$4:$A$1000,ROW()-3)="","",INDEX(MASTER_DATABASE!$M$4:$M$1000,ROW()-3)&amp;"")</f>
        <v>✓ Aadhaar Card</v>
      </c>
      <c r="G12" s="7" t="str">
        <f aca="false">IF(INDEX(MASTER_DATABASE!$A$4:$A$1000,ROW()-3)="","",INDEX(MASTER_DATABASE!$P$4:$P$1000,ROW()-3)&amp;"")</f>
        <v>Step 1 → Bring your Aadhaar card and identity proof (originals).
Step 2 → Operator checks your current Aadhaar details and the document for the gender change.
Step 3 → Aadhaar holder gives fingerprint / biometric authentication at the centre.
Step 4 → New gender details are entered and shown to you for checking before submission.
Step 5 → Pay the charge and collect the acknowledgement slip (URN) to track the update.</v>
      </c>
      <c r="H1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" s="7" t="str">
        <f aca="false">IF(INDEX(MASTER_DATABASE!$A$4:$A$1000,ROW()-3)="","",INDEX(MASTER_DATABASE!$Q$4:$Q$1000,ROW()-3)&amp;"")</f>
        <v>Depends on Department</v>
      </c>
      <c r="J12" s="7" t="str">
        <f aca="false">IF(INDEX(MASTER_DATABASE!$A$4:$A$1000,ROW()-3)="","",INDEX(MASTER_DATABASE!$J$4:$J$1000,ROW()-3)&amp;"")</f>
        <v>Available</v>
      </c>
      <c r="K12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2" s="7" t="str">
        <f aca="false">IF(INDEX(MASTER_DATABASE!$A$4:$A$1000,ROW()-3)="","",INDEX(MASTER_DATABASE!$AR$4:$AR$1000,ROW()-3)&amp;"")</f>
        <v>Q1: Do I need to come in person?
A1: Yes, the Aadhaar holder normally gives biometric authentication at the centre.
Q2: Is there a limit on changes?
A2: UIDAI limits some updates. Ask the operator for the current rule.</v>
      </c>
      <c r="M1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" s="7" t="str">
        <f aca="false">IF(INDEX(MASTER_DATABASE!$A$4:$A$1000,ROW()-3)="","",INDEX(MASTER_DATABASE!$BG$4:$BG$1000,ROW()-3)&amp;"")</f>
        <v>Check Documents</v>
      </c>
    </row>
    <row r="13" customFormat="false" ht="102.2" hidden="false" customHeight="false" outlineLevel="0" collapsed="false">
      <c r="A13" s="11" t="str">
        <f aca="false">IF(INDEX(MASTER_DATABASE!$A$4:$A$1000,ROW()-3)="","",INDEX(MASTER_DATABASE!$A$4:$A$1000,ROW()-3)&amp;"")</f>
        <v>AAD-010</v>
      </c>
      <c r="B13" s="7" t="str">
        <f aca="false">IF(INDEX(MASTER_DATABASE!$A$4:$A$1000,ROW()-3)="","",INDEX(MASTER_DATABASE!$E$4:$E$1000,ROW()-3)&amp;"")</f>
        <v>Aadhaar Address Update (with Document)</v>
      </c>
      <c r="C13" s="7" t="str">
        <f aca="false">IF(INDEX(MASTER_DATABASE!$A$4:$A$1000,ROW()-3)="","",INDEX(MASTER_DATABASE!$H$4:$H$1000,ROW()-3)&amp;"")</f>
        <v>Update or correct the address recorded in your Aadhaar through the Aadhaar Centre.</v>
      </c>
      <c r="D13" s="7" t="str">
        <f aca="false">IF(INDEX(MASTER_DATABASE!$A$4:$A$1000,ROW()-3)="","",INDEX(MASTER_DATABASE!$BF$4:$BF$1000,ROW()-3)&amp;"")</f>
        <v>Correct Aadhaar details • Biometric-verified update • Acknowledgement slip</v>
      </c>
      <c r="E13" s="7" t="str">
        <f aca="false">IF(INDEX(MASTER_DATABASE!$A$4:$A$1000,ROW()-3)="","",INDEX(MASTER_DATABASE!$O$4:$O$1000,ROW()-3)&amp;"")</f>
        <v>Aadhaar holders whose details need correction, subject to UIDAI update limits.</v>
      </c>
      <c r="F13" s="7" t="str">
        <f aca="false">IF(INDEX(MASTER_DATABASE!$A$4:$A$1000,ROW()-3)="","",INDEX(MASTER_DATABASE!$M$4:$M$1000,ROW()-3)&amp;"")</f>
        <v>✓ Aadhaar Card
✓ Address Proof</v>
      </c>
      <c r="G13" s="7" t="str">
        <f aca="false">IF(INDEX(MASTER_DATABASE!$A$4:$A$1000,ROW()-3)="","",INDEX(MASTER_DATABASE!$P$4:$P$1000,ROW()-3)&amp;"")</f>
        <v>Step 1 → Bring your Aadhaar card and address proof (originals).
Step 2 → Operator checks your current Aadhaar details and the document for the address change.
Step 3 → Aadhaar holder gives fingerprint / biometric authentication at the centre.
Step 4 → New address details are entered and shown to you for checking before submission.
Step 5 → Pay the charge and collect the acknowledgement slip (URN) to track the update.</v>
      </c>
      <c r="H1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" s="7" t="str">
        <f aca="false">IF(INDEX(MASTER_DATABASE!$A$4:$A$1000,ROW()-3)="","",INDEX(MASTER_DATABASE!$Q$4:$Q$1000,ROW()-3)&amp;"")</f>
        <v>Depends on Department</v>
      </c>
      <c r="J13" s="7" t="str">
        <f aca="false">IF(INDEX(MASTER_DATABASE!$A$4:$A$1000,ROW()-3)="","",INDEX(MASTER_DATABASE!$J$4:$J$1000,ROW()-3)&amp;"")</f>
        <v>Available</v>
      </c>
      <c r="K13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3" s="7" t="str">
        <f aca="false">IF(INDEX(MASTER_DATABASE!$A$4:$A$1000,ROW()-3)="","",INDEX(MASTER_DATABASE!$AR$4:$AR$1000,ROW()-3)&amp;"")</f>
        <v>Q1: Do I need to come in person?
A1: Yes, the Aadhaar holder normally gives biometric authentication at the centre.
Q2: Is there a limit on changes?
A2: UIDAI limits some updates. Ask the operator for the current rule.</v>
      </c>
      <c r="M1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" s="7" t="str">
        <f aca="false">IF(INDEX(MASTER_DATABASE!$A$4:$A$1000,ROW()-3)="","",INDEX(MASTER_DATABASE!$BG$4:$BG$1000,ROW()-3)&amp;"")</f>
        <v>Check Documents</v>
      </c>
    </row>
    <row r="14" customFormat="false" ht="102.2" hidden="false" customHeight="false" outlineLevel="0" collapsed="false">
      <c r="A14" s="11" t="str">
        <f aca="false">IF(INDEX(MASTER_DATABASE!$A$4:$A$1000,ROW()-3)="","",INDEX(MASTER_DATABASE!$A$4:$A$1000,ROW()-3)&amp;"")</f>
        <v>AAD-011</v>
      </c>
      <c r="B14" s="7" t="str">
        <f aca="false">IF(INDEX(MASTER_DATABASE!$A$4:$A$1000,ROW()-3)="","",INDEX(MASTER_DATABASE!$E$4:$E$1000,ROW()-3)&amp;"")</f>
        <v>Aadhaar Address Update – Online (SSUP) Assistance</v>
      </c>
      <c r="C14" s="7" t="str">
        <f aca="false">IF(INDEX(MASTER_DATABASE!$A$4:$A$1000,ROW()-3)="","",INDEX(MASTER_DATABASE!$H$4:$H$1000,ROW()-3)&amp;"")</f>
        <v>Assistance to update Aadhaar address online through the UIDAI portal.</v>
      </c>
      <c r="D1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" s="7" t="str">
        <f aca="false">IF(INDEX(MASTER_DATABASE!$A$4:$A$1000,ROW()-3)="","",INDEX(MASTER_DATABASE!$O$4:$O$1000,ROW()-3)&amp;"")</f>
        <v>Aadhaar holders with a linked mobile number.</v>
      </c>
      <c r="F14" s="7" t="str">
        <f aca="false">IF(INDEX(MASTER_DATABASE!$A$4:$A$1000,ROW()-3)="","",INDEX(MASTER_DATABASE!$M$4:$M$1000,ROW()-3)&amp;"")</f>
        <v>✓ Aadhaar Card
✓ Aadhaar-Linked Mobile Number
✓ Address Proof</v>
      </c>
      <c r="G14" s="7" t="str">
        <f aca="false">IF(INDEX(MASTER_DATABASE!$A$4:$A$1000,ROW()-3)="","",INDEX(MASTER_DATABASE!$P$4:$P$1000,ROW()-3)&amp;"")</f>
        <v>Step 1 → Bring your Aadhaar number, the phone linked to Aadhaar and your address proof.
Step 2 → Operator opens the UIDAI Self Service Update Portal and logs in with OTP.
Step 3 → New address is entered and the address-proof file is uploaded.
Step 4 → Payment is made online and an update request number (URN) is generated.
Step 5 → Track the update with the URN.</v>
      </c>
      <c r="H1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" s="7" t="str">
        <f aca="false">IF(INDEX(MASTER_DATABASE!$A$4:$A$1000,ROW()-3)="","",INDEX(MASTER_DATABASE!$Q$4:$Q$1000,ROW()-3)&amp;"")</f>
        <v>Depends on Department</v>
      </c>
      <c r="J14" s="7" t="str">
        <f aca="false">IF(INDEX(MASTER_DATABASE!$A$4:$A$1000,ROW()-3)="","",INDEX(MASTER_DATABASE!$J$4:$J$1000,ROW()-3)&amp;"")</f>
        <v>Depends on Portal – Confirm at Shop</v>
      </c>
      <c r="K14" s="7" t="str">
        <f aca="false">IF(INDEX(MASTER_DATABASE!$A$4:$A$1000,ROW()-3)="","",INDEX(MASTER_DATABASE!$AS$4:$AS$1000,ROW()-3)&amp;"")</f>
        <v>Needs a mobile number already linked to Aadhaar for OTP.</v>
      </c>
      <c r="L1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" s="7" t="str">
        <f aca="false">IF(INDEX(MASTER_DATABASE!$A$4:$A$1000,ROW()-3)="","",INDEX(MASTER_DATABASE!$BG$4:$BG$1000,ROW()-3)&amp;"")</f>
        <v>Book Service</v>
      </c>
    </row>
    <row r="15" customFormat="false" ht="113.4" hidden="false" customHeight="false" outlineLevel="0" collapsed="false">
      <c r="A15" s="11" t="str">
        <f aca="false">IF(INDEX(MASTER_DATABASE!$A$4:$A$1000,ROW()-3)="","",INDEX(MASTER_DATABASE!$A$4:$A$1000,ROW()-3)&amp;"")</f>
        <v>AAD-012</v>
      </c>
      <c r="B15" s="7" t="str">
        <f aca="false">IF(INDEX(MASTER_DATABASE!$A$4:$A$1000,ROW()-3)="","",INDEX(MASTER_DATABASE!$E$4:$E$1000,ROW()-3)&amp;"")</f>
        <v>Aadhaar Mobile Number Update</v>
      </c>
      <c r="C15" s="7" t="str">
        <f aca="false">IF(INDEX(MASTER_DATABASE!$A$4:$A$1000,ROW()-3)="","",INDEX(MASTER_DATABASE!$H$4:$H$1000,ROW()-3)&amp;"")</f>
        <v>Update or correct the mobile number recorded in your Aadhaar through the Aadhaar Centre.</v>
      </c>
      <c r="D15" s="7" t="str">
        <f aca="false">IF(INDEX(MASTER_DATABASE!$A$4:$A$1000,ROW()-3)="","",INDEX(MASTER_DATABASE!$BF$4:$BF$1000,ROW()-3)&amp;"")</f>
        <v>Correct Aadhaar details • Biometric-verified update • Acknowledgement slip</v>
      </c>
      <c r="E15" s="7" t="str">
        <f aca="false">IF(INDEX(MASTER_DATABASE!$A$4:$A$1000,ROW()-3)="","",INDEX(MASTER_DATABASE!$O$4:$O$1000,ROW()-3)&amp;"")</f>
        <v>Aadhaar holders whose details need correction, subject to UIDAI update limits.</v>
      </c>
      <c r="F15" s="7" t="str">
        <f aca="false">IF(INDEX(MASTER_DATABASE!$A$4:$A$1000,ROW()-3)="","",INDEX(MASTER_DATABASE!$M$4:$M$1000,ROW()-3)&amp;"")</f>
        <v>✓ Aadhaar Card
✓ Active Mobile Number</v>
      </c>
      <c r="G15" s="7" t="str">
        <f aca="false">IF(INDEX(MASTER_DATABASE!$A$4:$A$1000,ROW()-3)="","",INDEX(MASTER_DATABASE!$P$4:$P$1000,ROW()-3)&amp;"")</f>
        <v>Step 1 → Bring your Aadhaar card and the new mobile number (originals).
Step 2 → Operator checks your current Aadhaar details and the document for the mobile number change.
Step 3 → Aadhaar holder gives fingerprint / biometric authentication at the centre.
Step 4 → New mobile number details are entered and shown to you for checking before submission.
Step 5 → Pay the charge and collect the acknowledgement slip (URN) to track the update.</v>
      </c>
      <c r="H1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" s="7" t="str">
        <f aca="false">IF(INDEX(MASTER_DATABASE!$A$4:$A$1000,ROW()-3)="","",INDEX(MASTER_DATABASE!$Q$4:$Q$1000,ROW()-3)&amp;"")</f>
        <v>Depends on Department</v>
      </c>
      <c r="J15" s="7" t="str">
        <f aca="false">IF(INDEX(MASTER_DATABASE!$A$4:$A$1000,ROW()-3)="","",INDEX(MASTER_DATABASE!$J$4:$J$1000,ROW()-3)&amp;"")</f>
        <v>Available</v>
      </c>
      <c r="K15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5" s="7" t="str">
        <f aca="false">IF(INDEX(MASTER_DATABASE!$A$4:$A$1000,ROW()-3)="","",INDEX(MASTER_DATABASE!$AR$4:$AR$1000,ROW()-3)&amp;"")</f>
        <v>Q1: Do I need to come in person?
A1: Yes, the Aadhaar holder normally gives biometric authentication at the centre.
Q2: Is there a limit on changes?
A2: UIDAI limits some updates. Ask the operator for the current rule.</v>
      </c>
      <c r="M1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" s="7" t="str">
        <f aca="false">IF(INDEX(MASTER_DATABASE!$A$4:$A$1000,ROW()-3)="","",INDEX(MASTER_DATABASE!$BG$4:$BG$1000,ROW()-3)&amp;"")</f>
        <v>Check Documents</v>
      </c>
    </row>
    <row r="16" customFormat="false" ht="102.2" hidden="false" customHeight="false" outlineLevel="0" collapsed="false">
      <c r="A16" s="11" t="str">
        <f aca="false">IF(INDEX(MASTER_DATABASE!$A$4:$A$1000,ROW()-3)="","",INDEX(MASTER_DATABASE!$A$4:$A$1000,ROW()-3)&amp;"")</f>
        <v>AAD-013</v>
      </c>
      <c r="B16" s="7" t="str">
        <f aca="false">IF(INDEX(MASTER_DATABASE!$A$4:$A$1000,ROW()-3)="","",INDEX(MASTER_DATABASE!$E$4:$E$1000,ROW()-3)&amp;"")</f>
        <v>Aadhaar Email ID Update</v>
      </c>
      <c r="C16" s="7" t="str">
        <f aca="false">IF(INDEX(MASTER_DATABASE!$A$4:$A$1000,ROW()-3)="","",INDEX(MASTER_DATABASE!$H$4:$H$1000,ROW()-3)&amp;"")</f>
        <v>Update or correct the email id recorded in your Aadhaar through the Aadhaar Centre.</v>
      </c>
      <c r="D16" s="7" t="str">
        <f aca="false">IF(INDEX(MASTER_DATABASE!$A$4:$A$1000,ROW()-3)="","",INDEX(MASTER_DATABASE!$BF$4:$BF$1000,ROW()-3)&amp;"")</f>
        <v>Correct Aadhaar details • Biometric-verified update • Acknowledgement slip</v>
      </c>
      <c r="E16" s="7" t="str">
        <f aca="false">IF(INDEX(MASTER_DATABASE!$A$4:$A$1000,ROW()-3)="","",INDEX(MASTER_DATABASE!$O$4:$O$1000,ROW()-3)&amp;"")</f>
        <v>Aadhaar holders whose details need correction, subject to UIDAI update limits.</v>
      </c>
      <c r="F16" s="7" t="str">
        <f aca="false">IF(INDEX(MASTER_DATABASE!$A$4:$A$1000,ROW()-3)="","",INDEX(MASTER_DATABASE!$M$4:$M$1000,ROW()-3)&amp;"")</f>
        <v>✓ Aadhaar Card
✓ Email ID</v>
      </c>
      <c r="G16" s="7" t="str">
        <f aca="false">IF(INDEX(MASTER_DATABASE!$A$4:$A$1000,ROW()-3)="","",INDEX(MASTER_DATABASE!$P$4:$P$1000,ROW()-3)&amp;"")</f>
        <v>Step 1 → Bring your Aadhaar card and the email address (originals).
Step 2 → Operator checks your current Aadhaar details and the document for the email id change.
Step 3 → Aadhaar holder gives fingerprint / biometric authentication at the centre.
Step 4 → New email id details are entered and shown to you for checking before submission.
Step 5 → Pay the charge and collect the acknowledgement slip (URN) to track the update.</v>
      </c>
      <c r="H1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" s="7" t="str">
        <f aca="false">IF(INDEX(MASTER_DATABASE!$A$4:$A$1000,ROW()-3)="","",INDEX(MASTER_DATABASE!$Q$4:$Q$1000,ROW()-3)&amp;"")</f>
        <v>Depends on Department</v>
      </c>
      <c r="J16" s="7" t="str">
        <f aca="false">IF(INDEX(MASTER_DATABASE!$A$4:$A$1000,ROW()-3)="","",INDEX(MASTER_DATABASE!$J$4:$J$1000,ROW()-3)&amp;"")</f>
        <v>Available</v>
      </c>
      <c r="K16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6" s="7" t="str">
        <f aca="false">IF(INDEX(MASTER_DATABASE!$A$4:$A$1000,ROW()-3)="","",INDEX(MASTER_DATABASE!$AR$4:$AR$1000,ROW()-3)&amp;"")</f>
        <v>Q1: Do I need to come in person?
A1: Yes, the Aadhaar holder normally gives biometric authentication at the centre.
Q2: Is there a limit on changes?
A2: UIDAI limits some updates. Ask the operator for the current rule.</v>
      </c>
      <c r="M1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" s="7" t="str">
        <f aca="false">IF(INDEX(MASTER_DATABASE!$A$4:$A$1000,ROW()-3)="","",INDEX(MASTER_DATABASE!$BG$4:$BG$1000,ROW()-3)&amp;"")</f>
        <v>Check Documents</v>
      </c>
    </row>
    <row r="17" customFormat="false" ht="113.4" hidden="false" customHeight="false" outlineLevel="0" collapsed="false">
      <c r="A17" s="11" t="str">
        <f aca="false">IF(INDEX(MASTER_DATABASE!$A$4:$A$1000,ROW()-3)="","",INDEX(MASTER_DATABASE!$A$4:$A$1000,ROW()-3)&amp;"")</f>
        <v>AAD-014</v>
      </c>
      <c r="B17" s="7" t="str">
        <f aca="false">IF(INDEX(MASTER_DATABASE!$A$4:$A$1000,ROW()-3)="","",INDEX(MASTER_DATABASE!$E$4:$E$1000,ROW()-3)&amp;"")</f>
        <v>Aadhaar Relationship / Head of Family Detail Update</v>
      </c>
      <c r="C17" s="7" t="str">
        <f aca="false">IF(INDEX(MASTER_DATABASE!$A$4:$A$1000,ROW()-3)="","",INDEX(MASTER_DATABASE!$H$4:$H$1000,ROW()-3)&amp;"")</f>
        <v>Update or correct the relationship / head of family detail recorded in your Aadhaar through the Aadhaar Centre.</v>
      </c>
      <c r="D17" s="7" t="str">
        <f aca="false">IF(INDEX(MASTER_DATABASE!$A$4:$A$1000,ROW()-3)="","",INDEX(MASTER_DATABASE!$BF$4:$BF$1000,ROW()-3)&amp;"")</f>
        <v>Correct Aadhaar details • Biometric-verified update • Acknowledgement slip</v>
      </c>
      <c r="E17" s="7" t="str">
        <f aca="false">IF(INDEX(MASTER_DATABASE!$A$4:$A$1000,ROW()-3)="","",INDEX(MASTER_DATABASE!$O$4:$O$1000,ROW()-3)&amp;"")</f>
        <v>Aadhaar holders whose details need correction, subject to UIDAI update limits.</v>
      </c>
      <c r="F17" s="7" t="str">
        <f aca="false">IF(INDEX(MASTER_DATABASE!$A$4:$A$1000,ROW()-3)="","",INDEX(MASTER_DATABASE!$M$4:$M$1000,ROW()-3)&amp;"")</f>
        <v>✓ Aadhaar Card</v>
      </c>
      <c r="G17" s="7" t="str">
        <f aca="false">IF(INDEX(MASTER_DATABASE!$A$4:$A$1000,ROW()-3)="","",INDEX(MASTER_DATABASE!$P$4:$P$1000,ROW()-3)&amp;"")</f>
        <v>Step 1 → Bring your Aadhaar card and the supporting document (originals).
Step 2 → Operator checks your current Aadhaar details and the document for the relationship / head of family detail change.
Step 3 → Aadhaar holder gives fingerprint / biometric authentication at the centre.
Step 4 → New relationship / head of family detail details are entered and shown to you for checking before submission.
Step 5 → Pay the charge and collect the acknowledgement slip (URN) to track the update.</v>
      </c>
      <c r="H1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" s="7" t="str">
        <f aca="false">IF(INDEX(MASTER_DATABASE!$A$4:$A$1000,ROW()-3)="","",INDEX(MASTER_DATABASE!$Q$4:$Q$1000,ROW()-3)&amp;"")</f>
        <v>Depends on Department</v>
      </c>
      <c r="J17" s="7" t="str">
        <f aca="false">IF(INDEX(MASTER_DATABASE!$A$4:$A$1000,ROW()-3)="","",INDEX(MASTER_DATABASE!$J$4:$J$1000,ROW()-3)&amp;"")</f>
        <v>To Be Confirmed</v>
      </c>
      <c r="K17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7" s="7" t="str">
        <f aca="false">IF(INDEX(MASTER_DATABASE!$A$4:$A$1000,ROW()-3)="","",INDEX(MASTER_DATABASE!$AR$4:$AR$1000,ROW()-3)&amp;"")</f>
        <v>Q1: Do I need to come in person?
A1: Yes, the Aadhaar holder normally gives biometric authentication at the centre.
Q2: Is there a limit on changes?
A2: UIDAI limits some updates. Ask the operator for the current rule.</v>
      </c>
      <c r="M1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" s="7" t="str">
        <f aca="false">IF(INDEX(MASTER_DATABASE!$A$4:$A$1000,ROW()-3)="","",INDEX(MASTER_DATABASE!$BG$4:$BG$1000,ROW()-3)&amp;"")</f>
        <v>Check Documents</v>
      </c>
    </row>
    <row r="18" customFormat="false" ht="113.4" hidden="false" customHeight="false" outlineLevel="0" collapsed="false">
      <c r="A18" s="11" t="str">
        <f aca="false">IF(INDEX(MASTER_DATABASE!$A$4:$A$1000,ROW()-3)="","",INDEX(MASTER_DATABASE!$A$4:$A$1000,ROW()-3)&amp;"")</f>
        <v>AAD-015</v>
      </c>
      <c r="B18" s="7" t="str">
        <f aca="false">IF(INDEX(MASTER_DATABASE!$A$4:$A$1000,ROW()-3)="","",INDEX(MASTER_DATABASE!$E$4:$E$1000,ROW()-3)&amp;"")</f>
        <v>Aadhaar Combined Demographic Update (Multiple Fields)</v>
      </c>
      <c r="C18" s="7" t="str">
        <f aca="false">IF(INDEX(MASTER_DATABASE!$A$4:$A$1000,ROW()-3)="","",INDEX(MASTER_DATABASE!$H$4:$H$1000,ROW()-3)&amp;"")</f>
        <v>Update or correct the combined demographic recorded in your Aadhaar through the Aadhaar Centre.</v>
      </c>
      <c r="D18" s="7" t="str">
        <f aca="false">IF(INDEX(MASTER_DATABASE!$A$4:$A$1000,ROW()-3)="","",INDEX(MASTER_DATABASE!$BF$4:$BF$1000,ROW()-3)&amp;"")</f>
        <v>Correct Aadhaar details • Biometric-verified update • Acknowledgement slip</v>
      </c>
      <c r="E18" s="7" t="str">
        <f aca="false">IF(INDEX(MASTER_DATABASE!$A$4:$A$1000,ROW()-3)="","",INDEX(MASTER_DATABASE!$O$4:$O$1000,ROW()-3)&amp;"")</f>
        <v>Aadhaar holders whose details need correction, subject to UIDAI update limits.</v>
      </c>
      <c r="F18" s="7" t="str">
        <f aca="false">IF(INDEX(MASTER_DATABASE!$A$4:$A$1000,ROW()-3)="","",INDEX(MASTER_DATABASE!$M$4:$M$1000,ROW()-3)&amp;"")</f>
        <v>✓ Aadhaar Card</v>
      </c>
      <c r="G18" s="7" t="str">
        <f aca="false">IF(INDEX(MASTER_DATABASE!$A$4:$A$1000,ROW()-3)="","",INDEX(MASTER_DATABASE!$P$4:$P$1000,ROW()-3)&amp;"")</f>
        <v>Step 1 → Bring your Aadhaar card and the supporting document (originals).
Step 2 → Operator checks your current Aadhaar details and the document for the combined demographic change.
Step 3 → Aadhaar holder gives fingerprint / biometric authentication at the centre.
Step 4 → New combined demographic details are entered and shown to you for checking before submission.
Step 5 → Pay the charge and collect the acknowledgement slip (URN) to track the update.</v>
      </c>
      <c r="H1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" s="7" t="str">
        <f aca="false">IF(INDEX(MASTER_DATABASE!$A$4:$A$1000,ROW()-3)="","",INDEX(MASTER_DATABASE!$Q$4:$Q$1000,ROW()-3)&amp;"")</f>
        <v>Depends on Department</v>
      </c>
      <c r="J18" s="7" t="str">
        <f aca="false">IF(INDEX(MASTER_DATABASE!$A$4:$A$1000,ROW()-3)="","",INDEX(MASTER_DATABASE!$J$4:$J$1000,ROW()-3)&amp;"")</f>
        <v>Available</v>
      </c>
      <c r="K18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8" s="7" t="str">
        <f aca="false">IF(INDEX(MASTER_DATABASE!$A$4:$A$1000,ROW()-3)="","",INDEX(MASTER_DATABASE!$AR$4:$AR$1000,ROW()-3)&amp;"")</f>
        <v>Q1: Do I need to come in person?
A1: Yes, the Aadhaar holder normally gives biometric authentication at the centre.
Q2: Is there a limit on changes?
A2: UIDAI limits some updates. Ask the operator for the current rule.</v>
      </c>
      <c r="M1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" s="7" t="str">
        <f aca="false">IF(INDEX(MASTER_DATABASE!$A$4:$A$1000,ROW()-3)="","",INDEX(MASTER_DATABASE!$BG$4:$BG$1000,ROW()-3)&amp;"")</f>
        <v>Check Documents</v>
      </c>
    </row>
    <row r="19" customFormat="false" ht="68.65" hidden="false" customHeight="false" outlineLevel="0" collapsed="false">
      <c r="A19" s="11" t="str">
        <f aca="false">IF(INDEX(MASTER_DATABASE!$A$4:$A$1000,ROW()-3)="","",INDEX(MASTER_DATABASE!$A$4:$A$1000,ROW()-3)&amp;"")</f>
        <v>AAD-016</v>
      </c>
      <c r="B19" s="7" t="str">
        <f aca="false">IF(INDEX(MASTER_DATABASE!$A$4:$A$1000,ROW()-3)="","",INDEX(MASTER_DATABASE!$E$4:$E$1000,ROW()-3)&amp;"")</f>
        <v>Aadhaar Fingerprint Update</v>
      </c>
      <c r="C19" s="7" t="str">
        <f aca="false">IF(INDEX(MASTER_DATABASE!$A$4:$A$1000,ROW()-3)="","",INDEX(MASTER_DATABASE!$H$4:$H$1000,ROW()-3)&amp;"")</f>
        <v>Aadhaar Fingerprint Update done at the Aadhaar Centre with fresh biometric capture.</v>
      </c>
      <c r="D19" s="7" t="str">
        <f aca="false">IF(INDEX(MASTER_DATABASE!$A$4:$A$1000,ROW()-3)="","",INDEX(MASTER_DATABASE!$BF$4:$BF$1000,ROW()-3)&amp;"")</f>
        <v>Fix biometric problems • Keep Aadhaar working for authentication</v>
      </c>
      <c r="E19" s="7" t="str">
        <f aca="false">IF(INDEX(MASTER_DATABASE!$A$4:$A$1000,ROW()-3)="","",INDEX(MASTER_DATABASE!$O$4:$O$1000,ROW()-3)&amp;"")</f>
        <v>Aadhaar holders needing a biometric update (age-based mandatory update, poor quality or change).</v>
      </c>
      <c r="F19" s="7" t="str">
        <f aca="false">IF(INDEX(MASTER_DATABASE!$A$4:$A$1000,ROW()-3)="","",INDEX(MASTER_DATABASE!$M$4:$M$1000,ROW()-3)&amp;"")</f>
        <v>✓ Aadhaar Card
✓ Customer Presence for Biometrics</v>
      </c>
      <c r="G19" s="7" t="str">
        <f aca="false">IF(INDEX(MASTER_DATABASE!$A$4:$A$1000,ROW()-3)="","",INDEX(MASTER_DATABASE!$P$4:$P$1000,ROW()-3)&amp;"")</f>
        <v>Step 1 → Bring your Aadhaar card.
Step 2 → Operator checks the current biometric status in Aadhaar.
Step 3 → New fingerprint are captured.
Step 4 → Details are reviewed and submitted.
Step 5 → Collect the acknowledgement slip (URN) and track the update.</v>
      </c>
      <c r="H1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" s="7" t="str">
        <f aca="false">IF(INDEX(MASTER_DATABASE!$A$4:$A$1000,ROW()-3)="","",INDEX(MASTER_DATABASE!$Q$4:$Q$1000,ROW()-3)&amp;"")</f>
        <v>Depends on Department</v>
      </c>
      <c r="J19" s="7" t="str">
        <f aca="false">IF(INDEX(MASTER_DATABASE!$A$4:$A$1000,ROW()-3)="","",INDEX(MASTER_DATABASE!$J$4:$J$1000,ROW()-3)&amp;"")</f>
        <v>Available</v>
      </c>
      <c r="K19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19" s="7" t="str">
        <f aca="false">IF(INDEX(MASTER_DATABASE!$A$4:$A$1000,ROW()-3)="","",INDEX(MASTER_DATABASE!$AR$4:$AR$1000,ROW()-3)&amp;"")</f>
        <v>Q1: Is the person required at the centre?
A1: Yes, biometric capture needs the person present.</v>
      </c>
      <c r="M1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" s="7" t="str">
        <f aca="false">IF(INDEX(MASTER_DATABASE!$A$4:$A$1000,ROW()-3)="","",INDEX(MASTER_DATABASE!$BG$4:$BG$1000,ROW()-3)&amp;"")</f>
        <v>Check Documents</v>
      </c>
    </row>
    <row r="20" customFormat="false" ht="68.65" hidden="false" customHeight="false" outlineLevel="0" collapsed="false">
      <c r="A20" s="11" t="str">
        <f aca="false">IF(INDEX(MASTER_DATABASE!$A$4:$A$1000,ROW()-3)="","",INDEX(MASTER_DATABASE!$A$4:$A$1000,ROW()-3)&amp;"")</f>
        <v>AAD-017</v>
      </c>
      <c r="B20" s="7" t="str">
        <f aca="false">IF(INDEX(MASTER_DATABASE!$A$4:$A$1000,ROW()-3)="","",INDEX(MASTER_DATABASE!$E$4:$E$1000,ROW()-3)&amp;"")</f>
        <v>Aadhaar Iris Update</v>
      </c>
      <c r="C20" s="7" t="str">
        <f aca="false">IF(INDEX(MASTER_DATABASE!$A$4:$A$1000,ROW()-3)="","",INDEX(MASTER_DATABASE!$H$4:$H$1000,ROW()-3)&amp;"")</f>
        <v>Aadhaar Iris Update done at the Aadhaar Centre with fresh biometric capture.</v>
      </c>
      <c r="D20" s="7" t="str">
        <f aca="false">IF(INDEX(MASTER_DATABASE!$A$4:$A$1000,ROW()-3)="","",INDEX(MASTER_DATABASE!$BF$4:$BF$1000,ROW()-3)&amp;"")</f>
        <v>Fix biometric problems • Keep Aadhaar working for authentication</v>
      </c>
      <c r="E20" s="7" t="str">
        <f aca="false">IF(INDEX(MASTER_DATABASE!$A$4:$A$1000,ROW()-3)="","",INDEX(MASTER_DATABASE!$O$4:$O$1000,ROW()-3)&amp;"")</f>
        <v>Aadhaar holders needing a biometric update (age-based mandatory update, poor quality or change).</v>
      </c>
      <c r="F20" s="7" t="str">
        <f aca="false">IF(INDEX(MASTER_DATABASE!$A$4:$A$1000,ROW()-3)="","",INDEX(MASTER_DATABASE!$M$4:$M$1000,ROW()-3)&amp;"")</f>
        <v>✓ Aadhaar Card
✓ Customer Presence for Biometrics</v>
      </c>
      <c r="G20" s="7" t="str">
        <f aca="false">IF(INDEX(MASTER_DATABASE!$A$4:$A$1000,ROW()-3)="","",INDEX(MASTER_DATABASE!$P$4:$P$1000,ROW()-3)&amp;"")</f>
        <v>Step 1 → Bring your Aadhaar card.
Step 2 → Operator checks the current biometric status in Aadhaar.
Step 3 → New iris are captured.
Step 4 → Details are reviewed and submitted.
Step 5 → Collect the acknowledgement slip (URN) and track the update.</v>
      </c>
      <c r="H2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" s="7" t="str">
        <f aca="false">IF(INDEX(MASTER_DATABASE!$A$4:$A$1000,ROW()-3)="","",INDEX(MASTER_DATABASE!$Q$4:$Q$1000,ROW()-3)&amp;"")</f>
        <v>Depends on Department</v>
      </c>
      <c r="J20" s="7" t="str">
        <f aca="false">IF(INDEX(MASTER_DATABASE!$A$4:$A$1000,ROW()-3)="","",INDEX(MASTER_DATABASE!$J$4:$J$1000,ROW()-3)&amp;"")</f>
        <v>Available</v>
      </c>
      <c r="K20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20" s="7" t="str">
        <f aca="false">IF(INDEX(MASTER_DATABASE!$A$4:$A$1000,ROW()-3)="","",INDEX(MASTER_DATABASE!$AR$4:$AR$1000,ROW()-3)&amp;"")</f>
        <v>Q1: Is the person required at the centre?
A1: Yes, biometric capture needs the person present.</v>
      </c>
      <c r="M2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" s="7" t="str">
        <f aca="false">IF(INDEX(MASTER_DATABASE!$A$4:$A$1000,ROW()-3)="","",INDEX(MASTER_DATABASE!$BG$4:$BG$1000,ROW()-3)&amp;"")</f>
        <v>Check Documents</v>
      </c>
    </row>
    <row r="21" customFormat="false" ht="68.65" hidden="false" customHeight="false" outlineLevel="0" collapsed="false">
      <c r="A21" s="11" t="str">
        <f aca="false">IF(INDEX(MASTER_DATABASE!$A$4:$A$1000,ROW()-3)="","",INDEX(MASTER_DATABASE!$A$4:$A$1000,ROW()-3)&amp;"")</f>
        <v>AAD-018</v>
      </c>
      <c r="B21" s="7" t="str">
        <f aca="false">IF(INDEX(MASTER_DATABASE!$A$4:$A$1000,ROW()-3)="","",INDEX(MASTER_DATABASE!$E$4:$E$1000,ROW()-3)&amp;"")</f>
        <v>Aadhaar Photograph Update</v>
      </c>
      <c r="C21" s="7" t="str">
        <f aca="false">IF(INDEX(MASTER_DATABASE!$A$4:$A$1000,ROW()-3)="","",INDEX(MASTER_DATABASE!$H$4:$H$1000,ROW()-3)&amp;"")</f>
        <v>Aadhaar Photograph Update done at the Aadhaar Centre with fresh biometric capture.</v>
      </c>
      <c r="D21" s="7" t="str">
        <f aca="false">IF(INDEX(MASTER_DATABASE!$A$4:$A$1000,ROW()-3)="","",INDEX(MASTER_DATABASE!$BF$4:$BF$1000,ROW()-3)&amp;"")</f>
        <v>Fix biometric problems • Keep Aadhaar working for authentication</v>
      </c>
      <c r="E21" s="7" t="str">
        <f aca="false">IF(INDEX(MASTER_DATABASE!$A$4:$A$1000,ROW()-3)="","",INDEX(MASTER_DATABASE!$O$4:$O$1000,ROW()-3)&amp;"")</f>
        <v>Aadhaar holders needing a biometric update (age-based mandatory update, poor quality or change).</v>
      </c>
      <c r="F21" s="7" t="str">
        <f aca="false">IF(INDEX(MASTER_DATABASE!$A$4:$A$1000,ROW()-3)="","",INDEX(MASTER_DATABASE!$M$4:$M$1000,ROW()-3)&amp;"")</f>
        <v>✓ Aadhaar Card
✓ Customer Presence for Biometrics</v>
      </c>
      <c r="G21" s="7" t="str">
        <f aca="false">IF(INDEX(MASTER_DATABASE!$A$4:$A$1000,ROW()-3)="","",INDEX(MASTER_DATABASE!$P$4:$P$1000,ROW()-3)&amp;"")</f>
        <v>Step 1 → Bring your Aadhaar card.
Step 2 → Operator checks the current biometric status in Aadhaar.
Step 3 → New photograph are captured.
Step 4 → Details are reviewed and submitted.
Step 5 → Collect the acknowledgement slip (URN) and track the update.</v>
      </c>
      <c r="H2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" s="7" t="str">
        <f aca="false">IF(INDEX(MASTER_DATABASE!$A$4:$A$1000,ROW()-3)="","",INDEX(MASTER_DATABASE!$Q$4:$Q$1000,ROW()-3)&amp;"")</f>
        <v>Depends on Department</v>
      </c>
      <c r="J21" s="7" t="str">
        <f aca="false">IF(INDEX(MASTER_DATABASE!$A$4:$A$1000,ROW()-3)="","",INDEX(MASTER_DATABASE!$J$4:$J$1000,ROW()-3)&amp;"")</f>
        <v>Available</v>
      </c>
      <c r="K21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21" s="7" t="str">
        <f aca="false">IF(INDEX(MASTER_DATABASE!$A$4:$A$1000,ROW()-3)="","",INDEX(MASTER_DATABASE!$AR$4:$AR$1000,ROW()-3)&amp;"")</f>
        <v>Q1: Is the person required at the centre?
A1: Yes, biometric capture needs the person present.</v>
      </c>
      <c r="M2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" s="7" t="str">
        <f aca="false">IF(INDEX(MASTER_DATABASE!$A$4:$A$1000,ROW()-3)="","",INDEX(MASTER_DATABASE!$BG$4:$BG$1000,ROW()-3)&amp;"")</f>
        <v>Check Documents</v>
      </c>
    </row>
    <row r="22" customFormat="false" ht="68.65" hidden="false" customHeight="false" outlineLevel="0" collapsed="false">
      <c r="A22" s="11" t="str">
        <f aca="false">IF(INDEX(MASTER_DATABASE!$A$4:$A$1000,ROW()-3)="","",INDEX(MASTER_DATABASE!$A$4:$A$1000,ROW()-3)&amp;"")</f>
        <v>AAD-019</v>
      </c>
      <c r="B22" s="7" t="str">
        <f aca="false">IF(INDEX(MASTER_DATABASE!$A$4:$A$1000,ROW()-3)="","",INDEX(MASTER_DATABASE!$E$4:$E$1000,ROW()-3)&amp;"")</f>
        <v>Aadhaar Biometric Update – Combined (Finger + Iris + Photo)</v>
      </c>
      <c r="C22" s="7" t="str">
        <f aca="false">IF(INDEX(MASTER_DATABASE!$A$4:$A$1000,ROW()-3)="","",INDEX(MASTER_DATABASE!$H$4:$H$1000,ROW()-3)&amp;"")</f>
        <v>Aadhaar Biometric Update – Combined (Finger + Iris + Photo) done at the Aadhaar Centre with fresh biometric capture.</v>
      </c>
      <c r="D22" s="7" t="str">
        <f aca="false">IF(INDEX(MASTER_DATABASE!$A$4:$A$1000,ROW()-3)="","",INDEX(MASTER_DATABASE!$BF$4:$BF$1000,ROW()-3)&amp;"")</f>
        <v>Fix biometric problems • Keep Aadhaar working for authentication</v>
      </c>
      <c r="E22" s="7" t="str">
        <f aca="false">IF(INDEX(MASTER_DATABASE!$A$4:$A$1000,ROW()-3)="","",INDEX(MASTER_DATABASE!$O$4:$O$1000,ROW()-3)&amp;"")</f>
        <v>Aadhaar holders needing a biometric update (age-based mandatory update, poor quality or change).</v>
      </c>
      <c r="F22" s="7" t="str">
        <f aca="false">IF(INDEX(MASTER_DATABASE!$A$4:$A$1000,ROW()-3)="","",INDEX(MASTER_DATABASE!$M$4:$M$1000,ROW()-3)&amp;"")</f>
        <v>✓ Aadhaar Card
✓ Customer Presence for Biometrics</v>
      </c>
      <c r="G22" s="7" t="str">
        <f aca="false">IF(INDEX(MASTER_DATABASE!$A$4:$A$1000,ROW()-3)="","",INDEX(MASTER_DATABASE!$P$4:$P$1000,ROW()-3)&amp;"")</f>
        <v>Step 1 → Bring your Aadhaar card.
Step 2 → Operator checks the current biometric status in Aadhaar.
Step 3 → New fingerprints, iris and photograph are captured.
Step 4 → Details are reviewed and submitted.
Step 5 → Collect the acknowledgement slip (URN) and track the update.</v>
      </c>
      <c r="H2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" s="7" t="str">
        <f aca="false">IF(INDEX(MASTER_DATABASE!$A$4:$A$1000,ROW()-3)="","",INDEX(MASTER_DATABASE!$Q$4:$Q$1000,ROW()-3)&amp;"")</f>
        <v>Depends on Department</v>
      </c>
      <c r="J22" s="7" t="str">
        <f aca="false">IF(INDEX(MASTER_DATABASE!$A$4:$A$1000,ROW()-3)="","",INDEX(MASTER_DATABASE!$J$4:$J$1000,ROW()-3)&amp;"")</f>
        <v>Available</v>
      </c>
      <c r="K22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22" s="7" t="str">
        <f aca="false">IF(INDEX(MASTER_DATABASE!$A$4:$A$1000,ROW()-3)="","",INDEX(MASTER_DATABASE!$AR$4:$AR$1000,ROW()-3)&amp;"")</f>
        <v>Q1: Is the person required at the centre?
A1: Yes, biometric capture needs the person present.</v>
      </c>
      <c r="M2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" s="7" t="str">
        <f aca="false">IF(INDEX(MASTER_DATABASE!$A$4:$A$1000,ROW()-3)="","",INDEX(MASTER_DATABASE!$BG$4:$BG$1000,ROW()-3)&amp;"")</f>
        <v>Check Documents</v>
      </c>
    </row>
    <row r="23" customFormat="false" ht="79.85" hidden="false" customHeight="false" outlineLevel="0" collapsed="false">
      <c r="A23" s="11" t="str">
        <f aca="false">IF(INDEX(MASTER_DATABASE!$A$4:$A$1000,ROW()-3)="","",INDEX(MASTER_DATABASE!$A$4:$A$1000,ROW()-3)&amp;"")</f>
        <v>AAD-020</v>
      </c>
      <c r="B23" s="7" t="str">
        <f aca="false">IF(INDEX(MASTER_DATABASE!$A$4:$A$1000,ROW()-3)="","",INDEX(MASTER_DATABASE!$E$4:$E$1000,ROW()-3)&amp;"")</f>
        <v>Mandatory Biometric Update – Child at Age 5</v>
      </c>
      <c r="C23" s="7" t="str">
        <f aca="false">IF(INDEX(MASTER_DATABASE!$A$4:$A$1000,ROW()-3)="","",INDEX(MASTER_DATABASE!$H$4:$H$1000,ROW()-3)&amp;"")</f>
        <v>Mandatory Biometric Update – Child at Age 5 done at the Aadhaar Centre with fresh biometric capture.</v>
      </c>
      <c r="D23" s="7" t="str">
        <f aca="false">IF(INDEX(MASTER_DATABASE!$A$4:$A$1000,ROW()-3)="","",INDEX(MASTER_DATABASE!$BF$4:$BF$1000,ROW()-3)&amp;"")</f>
        <v>Fix biometric problems • Keep Aadhaar working for authentication</v>
      </c>
      <c r="E23" s="7" t="str">
        <f aca="false">IF(INDEX(MASTER_DATABASE!$A$4:$A$1000,ROW()-3)="","",INDEX(MASTER_DATABASE!$O$4:$O$1000,ROW()-3)&amp;"")</f>
        <v>Aadhaar holders needing a biometric update (age-based mandatory update, poor quality or change).</v>
      </c>
      <c r="F23" s="7" t="str">
        <f aca="false">IF(INDEX(MASTER_DATABASE!$A$4:$A$1000,ROW()-3)="","",INDEX(MASTER_DATABASE!$M$4:$M$1000,ROW()-3)&amp;"")</f>
        <v>✓ Aadhaar Card
✓ Customer Presence for Biometrics
✓ Parent / Guardian Aadhaar</v>
      </c>
      <c r="G23" s="7" t="str">
        <f aca="false">IF(INDEX(MASTER_DATABASE!$A$4:$A$1000,ROW()-3)="","",INDEX(MASTER_DATABASE!$P$4:$P$1000,ROW()-3)&amp;"")</f>
        <v>Step 1 → Bring your Aadhaar card and the child with a parent / guardian.
Step 2 → Operator checks the current biometric status in Aadhaar.
Step 3 → New mandatory biometric – child at age 5 are captured.
Step 4 → Details are reviewed and submitted.
Step 5 → Collect the acknowledgement slip (URN) and track the update.</v>
      </c>
      <c r="H2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" s="7" t="str">
        <f aca="false">IF(INDEX(MASTER_DATABASE!$A$4:$A$1000,ROW()-3)="","",INDEX(MASTER_DATABASE!$Q$4:$Q$1000,ROW()-3)&amp;"")</f>
        <v>Depends on Department</v>
      </c>
      <c r="J23" s="7" t="str">
        <f aca="false">IF(INDEX(MASTER_DATABASE!$A$4:$A$1000,ROW()-3)="","",INDEX(MASTER_DATABASE!$J$4:$J$1000,ROW()-3)&amp;"")</f>
        <v>Available</v>
      </c>
      <c r="K23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23" s="7" t="str">
        <f aca="false">IF(INDEX(MASTER_DATABASE!$A$4:$A$1000,ROW()-3)="","",INDEX(MASTER_DATABASE!$AR$4:$AR$1000,ROW()-3)&amp;"")</f>
        <v>Q1: Is the person required at the centre?
A1: Yes, biometric capture needs the person present.</v>
      </c>
      <c r="M2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" s="7" t="str">
        <f aca="false">IF(INDEX(MASTER_DATABASE!$A$4:$A$1000,ROW()-3)="","",INDEX(MASTER_DATABASE!$BG$4:$BG$1000,ROW()-3)&amp;"")</f>
        <v>Check Documents</v>
      </c>
    </row>
    <row r="24" customFormat="false" ht="79.85" hidden="false" customHeight="false" outlineLevel="0" collapsed="false">
      <c r="A24" s="11" t="str">
        <f aca="false">IF(INDEX(MASTER_DATABASE!$A$4:$A$1000,ROW()-3)="","",INDEX(MASTER_DATABASE!$A$4:$A$1000,ROW()-3)&amp;"")</f>
        <v>AAD-021</v>
      </c>
      <c r="B24" s="7" t="str">
        <f aca="false">IF(INDEX(MASTER_DATABASE!$A$4:$A$1000,ROW()-3)="","",INDEX(MASTER_DATABASE!$E$4:$E$1000,ROW()-3)&amp;"")</f>
        <v>Mandatory Biometric Update – Child at Age 15</v>
      </c>
      <c r="C24" s="7" t="str">
        <f aca="false">IF(INDEX(MASTER_DATABASE!$A$4:$A$1000,ROW()-3)="","",INDEX(MASTER_DATABASE!$H$4:$H$1000,ROW()-3)&amp;"")</f>
        <v>Mandatory Biometric Update – Child at Age 15 done at the Aadhaar Centre with fresh biometric capture.</v>
      </c>
      <c r="D24" s="7" t="str">
        <f aca="false">IF(INDEX(MASTER_DATABASE!$A$4:$A$1000,ROW()-3)="","",INDEX(MASTER_DATABASE!$BF$4:$BF$1000,ROW()-3)&amp;"")</f>
        <v>Fix biometric problems • Keep Aadhaar working for authentication</v>
      </c>
      <c r="E24" s="7" t="str">
        <f aca="false">IF(INDEX(MASTER_DATABASE!$A$4:$A$1000,ROW()-3)="","",INDEX(MASTER_DATABASE!$O$4:$O$1000,ROW()-3)&amp;"")</f>
        <v>Aadhaar holders needing a biometric update (age-based mandatory update, poor quality or change).</v>
      </c>
      <c r="F24" s="7" t="str">
        <f aca="false">IF(INDEX(MASTER_DATABASE!$A$4:$A$1000,ROW()-3)="","",INDEX(MASTER_DATABASE!$M$4:$M$1000,ROW()-3)&amp;"")</f>
        <v>✓ Aadhaar Card
✓ Customer Presence for Biometrics
✓ Parent / Guardian Aadhaar</v>
      </c>
      <c r="G24" s="7" t="str">
        <f aca="false">IF(INDEX(MASTER_DATABASE!$A$4:$A$1000,ROW()-3)="","",INDEX(MASTER_DATABASE!$P$4:$P$1000,ROW()-3)&amp;"")</f>
        <v>Step 1 → Bring your Aadhaar card and the child with a parent / guardian.
Step 2 → Operator checks the current biometric status in Aadhaar.
Step 3 → New mandatory biometric – child at age 15 are captured.
Step 4 → Details are reviewed and submitted.
Step 5 → Collect the acknowledgement slip (URN) and track the update.</v>
      </c>
      <c r="H2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" s="7" t="str">
        <f aca="false">IF(INDEX(MASTER_DATABASE!$A$4:$A$1000,ROW()-3)="","",INDEX(MASTER_DATABASE!$Q$4:$Q$1000,ROW()-3)&amp;"")</f>
        <v>Depends on Department</v>
      </c>
      <c r="J24" s="7" t="str">
        <f aca="false">IF(INDEX(MASTER_DATABASE!$A$4:$A$1000,ROW()-3)="","",INDEX(MASTER_DATABASE!$J$4:$J$1000,ROW()-3)&amp;"")</f>
        <v>Available</v>
      </c>
      <c r="K24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24" s="7" t="str">
        <f aca="false">IF(INDEX(MASTER_DATABASE!$A$4:$A$1000,ROW()-3)="","",INDEX(MASTER_DATABASE!$AR$4:$AR$1000,ROW()-3)&amp;"")</f>
        <v>Q1: Is the person required at the centre?
A1: Yes, biometric capture needs the person present.</v>
      </c>
      <c r="M2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" s="7" t="str">
        <f aca="false">IF(INDEX(MASTER_DATABASE!$A$4:$A$1000,ROW()-3)="","",INDEX(MASTER_DATABASE!$BG$4:$BG$1000,ROW()-3)&amp;"")</f>
        <v>Check Documents</v>
      </c>
    </row>
    <row r="25" customFormat="false" ht="68.65" hidden="false" customHeight="false" outlineLevel="0" collapsed="false">
      <c r="A25" s="11" t="str">
        <f aca="false">IF(INDEX(MASTER_DATABASE!$A$4:$A$1000,ROW()-3)="","",INDEX(MASTER_DATABASE!$A$4:$A$1000,ROW()-3)&amp;"")</f>
        <v>AAD-022</v>
      </c>
      <c r="B25" s="7" t="str">
        <f aca="false">IF(INDEX(MASTER_DATABASE!$A$4:$A$1000,ROW()-3)="","",INDEX(MASTER_DATABASE!$E$4:$E$1000,ROW()-3)&amp;"")</f>
        <v>Aadhaar Biometric Update – Adult (Quality / Periodic)</v>
      </c>
      <c r="C25" s="7" t="str">
        <f aca="false">IF(INDEX(MASTER_DATABASE!$A$4:$A$1000,ROW()-3)="","",INDEX(MASTER_DATABASE!$H$4:$H$1000,ROW()-3)&amp;"")</f>
        <v>Aadhaar Biometric Update – Adult (Quality / Periodic) done at the Aadhaar Centre with fresh biometric capture.</v>
      </c>
      <c r="D25" s="7" t="str">
        <f aca="false">IF(INDEX(MASTER_DATABASE!$A$4:$A$1000,ROW()-3)="","",INDEX(MASTER_DATABASE!$BF$4:$BF$1000,ROW()-3)&amp;"")</f>
        <v>Fix biometric problems • Keep Aadhaar working for authentication</v>
      </c>
      <c r="E25" s="7" t="str">
        <f aca="false">IF(INDEX(MASTER_DATABASE!$A$4:$A$1000,ROW()-3)="","",INDEX(MASTER_DATABASE!$O$4:$O$1000,ROW()-3)&amp;"")</f>
        <v>Aadhaar holders needing a biometric update (age-based mandatory update, poor quality or change).</v>
      </c>
      <c r="F25" s="7" t="str">
        <f aca="false">IF(INDEX(MASTER_DATABASE!$A$4:$A$1000,ROW()-3)="","",INDEX(MASTER_DATABASE!$M$4:$M$1000,ROW()-3)&amp;"")</f>
        <v>✓ Aadhaar Card
✓ Customer Presence for Biometrics</v>
      </c>
      <c r="G25" s="7" t="str">
        <f aca="false">IF(INDEX(MASTER_DATABASE!$A$4:$A$1000,ROW()-3)="","",INDEX(MASTER_DATABASE!$P$4:$P$1000,ROW()-3)&amp;"")</f>
        <v>Step 1 → Bring your Aadhaar card.
Step 2 → Operator checks the current biometric status in Aadhaar.
Step 3 → New biometric – adult (quality / periodic) are captured.
Step 4 → Details are reviewed and submitted.
Step 5 → Collect the acknowledgement slip (URN) and track the update.</v>
      </c>
      <c r="H2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" s="7" t="str">
        <f aca="false">IF(INDEX(MASTER_DATABASE!$A$4:$A$1000,ROW()-3)="","",INDEX(MASTER_DATABASE!$Q$4:$Q$1000,ROW()-3)&amp;"")</f>
        <v>Depends on Department</v>
      </c>
      <c r="J25" s="7" t="str">
        <f aca="false">IF(INDEX(MASTER_DATABASE!$A$4:$A$1000,ROW()-3)="","",INDEX(MASTER_DATABASE!$J$4:$J$1000,ROW()-3)&amp;"")</f>
        <v>Available</v>
      </c>
      <c r="K25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25" s="7" t="str">
        <f aca="false">IF(INDEX(MASTER_DATABASE!$A$4:$A$1000,ROW()-3)="","",INDEX(MASTER_DATABASE!$AR$4:$AR$1000,ROW()-3)&amp;"")</f>
        <v>Q1: Is the person required at the centre?
A1: Yes, biometric capture needs the person present.</v>
      </c>
      <c r="M2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" s="7" t="str">
        <f aca="false">IF(INDEX(MASTER_DATABASE!$A$4:$A$1000,ROW()-3)="","",INDEX(MASTER_DATABASE!$BG$4:$BG$1000,ROW()-3)&amp;"")</f>
        <v>Check Documents</v>
      </c>
    </row>
    <row r="26" customFormat="false" ht="91" hidden="false" customHeight="false" outlineLevel="0" collapsed="false">
      <c r="A26" s="11" t="str">
        <f aca="false">IF(INDEX(MASTER_DATABASE!$A$4:$A$1000,ROW()-3)="","",INDEX(MASTER_DATABASE!$A$4:$A$1000,ROW()-3)&amp;"")</f>
        <v>AAD-023</v>
      </c>
      <c r="B26" s="7" t="str">
        <f aca="false">IF(INDEX(MASTER_DATABASE!$A$4:$A$1000,ROW()-3)="","",INDEX(MASTER_DATABASE!$E$4:$E$1000,ROW()-3)&amp;"")</f>
        <v>Aadhaar Biometric Lock / Unlock Assistance</v>
      </c>
      <c r="C26" s="7" t="str">
        <f aca="false">IF(INDEX(MASTER_DATABASE!$A$4:$A$1000,ROW()-3)="","",INDEX(MASTER_DATABASE!$H$4:$H$1000,ROW()-3)&amp;"")</f>
        <v>Assistance with aadhaar biometric lock / unlock assistance through the UIDAI portal.</v>
      </c>
      <c r="D2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" s="7" t="str">
        <f aca="false">IF(INDEX(MASTER_DATABASE!$A$4:$A$1000,ROW()-3)="","",INDEX(MASTER_DATABASE!$O$4:$O$1000,ROW()-3)&amp;"")</f>
        <v>Aadhaar holders with a mobile number linked to Aadhaar.</v>
      </c>
      <c r="F26" s="7" t="str">
        <f aca="false">IF(INDEX(MASTER_DATABASE!$A$4:$A$1000,ROW()-3)="","",INDEX(MASTER_DATABASE!$M$4:$M$1000,ROW()-3)&amp;"")</f>
        <v>✓ Aadhaar Card
✓ Aadhaar-Linked Mobile Number</v>
      </c>
      <c r="G26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Biometric Lock / Unlock Assistance'.
Step 3 → OTP is sent to your linked mobile and entered.
Step 4 → Service is completed and the result is downloaded / shown to you.
Step 5 → Pay the assistance charge.</v>
      </c>
      <c r="H2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" s="7" t="str">
        <f aca="false">IF(INDEX(MASTER_DATABASE!$A$4:$A$1000,ROW()-3)="","",INDEX(MASTER_DATABASE!$Q$4:$Q$1000,ROW()-3)&amp;"")</f>
        <v>15–30 Minutes</v>
      </c>
      <c r="J26" s="7" t="str">
        <f aca="false">IF(INDEX(MASTER_DATABASE!$A$4:$A$1000,ROW()-3)="","",INDEX(MASTER_DATABASE!$J$4:$J$1000,ROW()-3)&amp;"")</f>
        <v>Depends on Portal – Confirm at Shop</v>
      </c>
      <c r="K26" s="7" t="str">
        <f aca="false">IF(INDEX(MASTER_DATABASE!$A$4:$A$1000,ROW()-3)="","",INDEX(MASTER_DATABASE!$AS$4:$AS$1000,ROW()-3)&amp;"")</f>
        <v>Portal availability and OTP delivery depend on UIDAI.</v>
      </c>
      <c r="L26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2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" s="7" t="str">
        <f aca="false">IF(INDEX(MASTER_DATABASE!$A$4:$A$1000,ROW()-3)="","",INDEX(MASTER_DATABASE!$BG$4:$BG$1000,ROW()-3)&amp;"")</f>
        <v>Check Documents</v>
      </c>
    </row>
    <row r="27" customFormat="false" ht="46.25" hidden="false" customHeight="false" outlineLevel="0" collapsed="false">
      <c r="A27" s="11" t="str">
        <f aca="false">IF(INDEX(MASTER_DATABASE!$A$4:$A$1000,ROW()-3)="","",INDEX(MASTER_DATABASE!$A$4:$A$1000,ROW()-3)&amp;"")</f>
        <v>AAD-024</v>
      </c>
      <c r="B27" s="7" t="str">
        <f aca="false">IF(INDEX(MASTER_DATABASE!$A$4:$A$1000,ROW()-3)="","",INDEX(MASTER_DATABASE!$E$4:$E$1000,ROW()-3)&amp;"")</f>
        <v>Aadhaar Document Update (Identity &amp; Address Proof)</v>
      </c>
      <c r="C27" s="7" t="str">
        <f aca="false">IF(INDEX(MASTER_DATABASE!$A$4:$A$1000,ROW()-3)="","",INDEX(MASTER_DATABASE!$H$4:$H$1000,ROW()-3)&amp;"")</f>
        <v>Update the supporting identity and address documents linked to your Aadhaar.</v>
      </c>
      <c r="D2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" s="7" t="str">
        <f aca="false">IF(INDEX(MASTER_DATABASE!$A$4:$A$1000,ROW()-3)="","",INDEX(MASTER_DATABASE!$O$4:$O$1000,ROW()-3)&amp;"")</f>
        <v>Aadhaar holders updating identity / address documents (e.g. older Aadhaar).</v>
      </c>
      <c r="F27" s="7" t="str">
        <f aca="false">IF(INDEX(MASTER_DATABASE!$A$4:$A$1000,ROW()-3)="","",INDEX(MASTER_DATABASE!$M$4:$M$1000,ROW()-3)&amp;"")</f>
        <v>✓ Aadhaar Card
✓ Identity Proof
✓ Address Proof</v>
      </c>
      <c r="G27" s="7" t="str">
        <f aca="false">IF(INDEX(MASTER_DATABASE!$A$4:$A$1000,ROW()-3)="","",INDEX(MASTER_DATABASE!$P$4:$P$1000,ROW()-3)&amp;"")</f>
        <v>Step 1 → Bring Aadhaar card with original identity and address proof.
Step 2 → Operator scans the documents.
Step 3 → Biometric authentication of the Aadhaar holder.
Step 4 → Submit and collect the acknowledgement (URN).</v>
      </c>
      <c r="H2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" s="7" t="str">
        <f aca="false">IF(INDEX(MASTER_DATABASE!$A$4:$A$1000,ROW()-3)="","",INDEX(MASTER_DATABASE!$Q$4:$Q$1000,ROW()-3)&amp;"")</f>
        <v>Depends on Department</v>
      </c>
      <c r="J27" s="7" t="str">
        <f aca="false">IF(INDEX(MASTER_DATABASE!$A$4:$A$1000,ROW()-3)="","",INDEX(MASTER_DATABASE!$J$4:$J$1000,ROW()-3)&amp;"")</f>
        <v>Available</v>
      </c>
      <c r="K27" s="7" t="str">
        <f aca="false">IF(INDEX(MASTER_DATABASE!$A$4:$A$1000,ROW()-3)="","",INDEX(MASTER_DATABASE!$AS$4:$AS$1000,ROW()-3)&amp;"")</f>
        <v>Aadhaar services depend on UIDAI operator authorization. Please confirm with the shop before visiting.</v>
      </c>
      <c r="L2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" s="7" t="str">
        <f aca="false">IF(INDEX(MASTER_DATABASE!$A$4:$A$1000,ROW()-3)="","",INDEX(MASTER_DATABASE!$BG$4:$BG$1000,ROW()-3)&amp;"")</f>
        <v>Check Documents</v>
      </c>
    </row>
    <row r="28" customFormat="false" ht="91" hidden="false" customHeight="false" outlineLevel="0" collapsed="false">
      <c r="A28" s="11" t="str">
        <f aca="false">IF(INDEX(MASTER_DATABASE!$A$4:$A$1000,ROW()-3)="","",INDEX(MASTER_DATABASE!$A$4:$A$1000,ROW()-3)&amp;"")</f>
        <v>AAD-025</v>
      </c>
      <c r="B28" s="7" t="str">
        <f aca="false">IF(INDEX(MASTER_DATABASE!$A$4:$A$1000,ROW()-3)="","",INDEX(MASTER_DATABASE!$E$4:$E$1000,ROW()-3)&amp;"")</f>
        <v>Aadhaar Document Update – Online Assistance</v>
      </c>
      <c r="C28" s="7" t="str">
        <f aca="false">IF(INDEX(MASTER_DATABASE!$A$4:$A$1000,ROW()-3)="","",INDEX(MASTER_DATABASE!$H$4:$H$1000,ROW()-3)&amp;"")</f>
        <v>Assistance with aadhaar document update – online assistance through the UIDAI portal.</v>
      </c>
      <c r="D2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" s="7" t="str">
        <f aca="false">IF(INDEX(MASTER_DATABASE!$A$4:$A$1000,ROW()-3)="","",INDEX(MASTER_DATABASE!$O$4:$O$1000,ROW()-3)&amp;"")</f>
        <v>Aadhaar holders with a mobile number linked to Aadhaar.</v>
      </c>
      <c r="F28" s="7" t="str">
        <f aca="false">IF(INDEX(MASTER_DATABASE!$A$4:$A$1000,ROW()-3)="","",INDEX(MASTER_DATABASE!$M$4:$M$1000,ROW()-3)&amp;"")</f>
        <v>✓ Aadhaar Card
✓ Aadhaar-Linked Mobile Number</v>
      </c>
      <c r="G28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Document Update – Online Assistance'.
Step 3 → OTP is sent to your linked mobile and entered.
Step 4 → Service is completed and the result is downloaded / shown to you.
Step 5 → Pay the assistance charge.</v>
      </c>
      <c r="H2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" s="7" t="str">
        <f aca="false">IF(INDEX(MASTER_DATABASE!$A$4:$A$1000,ROW()-3)="","",INDEX(MASTER_DATABASE!$Q$4:$Q$1000,ROW()-3)&amp;"")</f>
        <v>15–30 Minutes</v>
      </c>
      <c r="J28" s="7" t="str">
        <f aca="false">IF(INDEX(MASTER_DATABASE!$A$4:$A$1000,ROW()-3)="","",INDEX(MASTER_DATABASE!$J$4:$J$1000,ROW()-3)&amp;"")</f>
        <v>Depends on Portal – Confirm at Shop</v>
      </c>
      <c r="K28" s="7" t="str">
        <f aca="false">IF(INDEX(MASTER_DATABASE!$A$4:$A$1000,ROW()-3)="","",INDEX(MASTER_DATABASE!$AS$4:$AS$1000,ROW()-3)&amp;"")</f>
        <v>Portal availability and OTP delivery depend on UIDAI.</v>
      </c>
      <c r="L28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2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" s="7" t="str">
        <f aca="false">IF(INDEX(MASTER_DATABASE!$A$4:$A$1000,ROW()-3)="","",INDEX(MASTER_DATABASE!$BG$4:$BG$1000,ROW()-3)&amp;"")</f>
        <v>Check Documents</v>
      </c>
    </row>
    <row r="29" customFormat="false" ht="91" hidden="false" customHeight="false" outlineLevel="0" collapsed="false">
      <c r="A29" s="11" t="str">
        <f aca="false">IF(INDEX(MASTER_DATABASE!$A$4:$A$1000,ROW()-3)="","",INDEX(MASTER_DATABASE!$A$4:$A$1000,ROW()-3)&amp;"")</f>
        <v>AAD-026</v>
      </c>
      <c r="B29" s="7" t="str">
        <f aca="false">IF(INDEX(MASTER_DATABASE!$A$4:$A$1000,ROW()-3)="","",INDEX(MASTER_DATABASE!$E$4:$E$1000,ROW()-3)&amp;"")</f>
        <v>Aadhaar Download Assistance (e-Aadhaar)</v>
      </c>
      <c r="C29" s="7" t="str">
        <f aca="false">IF(INDEX(MASTER_DATABASE!$A$4:$A$1000,ROW()-3)="","",INDEX(MASTER_DATABASE!$H$4:$H$1000,ROW()-3)&amp;"")</f>
        <v>Assistance with aadhaar download assistance (e-aadhaar) through the UIDAI portal.</v>
      </c>
      <c r="D2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9" s="7" t="str">
        <f aca="false">IF(INDEX(MASTER_DATABASE!$A$4:$A$1000,ROW()-3)="","",INDEX(MASTER_DATABASE!$O$4:$O$1000,ROW()-3)&amp;"")</f>
        <v>Aadhaar holders with a mobile number linked to Aadhaar.</v>
      </c>
      <c r="F29" s="7" t="str">
        <f aca="false">IF(INDEX(MASTER_DATABASE!$A$4:$A$1000,ROW()-3)="","",INDEX(MASTER_DATABASE!$M$4:$M$1000,ROW()-3)&amp;"")</f>
        <v>✓ Aadhaar Card
✓ Aadhaar-Linked Mobile Number</v>
      </c>
      <c r="G29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Download Assistance (e-Aadhaar)'.
Step 3 → OTP is sent to your linked mobile and entered.
Step 4 → Service is completed and the result is downloaded / shown to you.
Step 5 → Pay the assistance charge.</v>
      </c>
      <c r="H2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9" s="7" t="str">
        <f aca="false">IF(INDEX(MASTER_DATABASE!$A$4:$A$1000,ROW()-3)="","",INDEX(MASTER_DATABASE!$Q$4:$Q$1000,ROW()-3)&amp;"")</f>
        <v>15–30 Minutes</v>
      </c>
      <c r="J29" s="7" t="str">
        <f aca="false">IF(INDEX(MASTER_DATABASE!$A$4:$A$1000,ROW()-3)="","",INDEX(MASTER_DATABASE!$J$4:$J$1000,ROW()-3)&amp;"")</f>
        <v>Depends on Portal – Confirm at Shop</v>
      </c>
      <c r="K29" s="7" t="str">
        <f aca="false">IF(INDEX(MASTER_DATABASE!$A$4:$A$1000,ROW()-3)="","",INDEX(MASTER_DATABASE!$AS$4:$AS$1000,ROW()-3)&amp;"")</f>
        <v>Portal availability and OTP delivery depend on UIDAI.</v>
      </c>
      <c r="L29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2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9" s="7" t="str">
        <f aca="false">IF(INDEX(MASTER_DATABASE!$A$4:$A$1000,ROW()-3)="","",INDEX(MASTER_DATABASE!$BG$4:$BG$1000,ROW()-3)&amp;"")</f>
        <v>Check Documents</v>
      </c>
    </row>
    <row r="30" customFormat="false" ht="91" hidden="false" customHeight="false" outlineLevel="0" collapsed="false">
      <c r="A30" s="11" t="str">
        <f aca="false">IF(INDEX(MASTER_DATABASE!$A$4:$A$1000,ROW()-3)="","",INDEX(MASTER_DATABASE!$A$4:$A$1000,ROW()-3)&amp;"")</f>
        <v>AAD-027</v>
      </c>
      <c r="B30" s="7" t="str">
        <f aca="false">IF(INDEX(MASTER_DATABASE!$A$4:$A$1000,ROW()-3)="","",INDEX(MASTER_DATABASE!$E$4:$E$1000,ROW()-3)&amp;"")</f>
        <v>Masked Aadhaar Download</v>
      </c>
      <c r="C30" s="7" t="str">
        <f aca="false">IF(INDEX(MASTER_DATABASE!$A$4:$A$1000,ROW()-3)="","",INDEX(MASTER_DATABASE!$H$4:$H$1000,ROW()-3)&amp;"")</f>
        <v>Assistance with masked aadhaar download through the UIDAI portal.</v>
      </c>
      <c r="D3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0" s="7" t="str">
        <f aca="false">IF(INDEX(MASTER_DATABASE!$A$4:$A$1000,ROW()-3)="","",INDEX(MASTER_DATABASE!$O$4:$O$1000,ROW()-3)&amp;"")</f>
        <v>Aadhaar holders with a mobile number linked to Aadhaar.</v>
      </c>
      <c r="F30" s="7" t="str">
        <f aca="false">IF(INDEX(MASTER_DATABASE!$A$4:$A$1000,ROW()-3)="","",INDEX(MASTER_DATABASE!$M$4:$M$1000,ROW()-3)&amp;"")</f>
        <v>✓ Aadhaar Card
✓ Aadhaar-Linked Mobile Number</v>
      </c>
      <c r="G30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'Masked Aadhaar Download'.
Step 3 → OTP is sent to your linked mobile and entered.
Step 4 → Service is completed and the result is downloaded / shown to you.
Step 5 → Pay the assistance charge.</v>
      </c>
      <c r="H3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0" s="7" t="str">
        <f aca="false">IF(INDEX(MASTER_DATABASE!$A$4:$A$1000,ROW()-3)="","",INDEX(MASTER_DATABASE!$Q$4:$Q$1000,ROW()-3)&amp;"")</f>
        <v>15–30 Minutes</v>
      </c>
      <c r="J30" s="7" t="str">
        <f aca="false">IF(INDEX(MASTER_DATABASE!$A$4:$A$1000,ROW()-3)="","",INDEX(MASTER_DATABASE!$J$4:$J$1000,ROW()-3)&amp;"")</f>
        <v>Depends on Portal – Confirm at Shop</v>
      </c>
      <c r="K30" s="7" t="str">
        <f aca="false">IF(INDEX(MASTER_DATABASE!$A$4:$A$1000,ROW()-3)="","",INDEX(MASTER_DATABASE!$AS$4:$AS$1000,ROW()-3)&amp;"")</f>
        <v>Portal availability and OTP delivery depend on UIDAI.</v>
      </c>
      <c r="L30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3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0" s="7" t="str">
        <f aca="false">IF(INDEX(MASTER_DATABASE!$A$4:$A$1000,ROW()-3)="","",INDEX(MASTER_DATABASE!$BG$4:$BG$1000,ROW()-3)&amp;"")</f>
        <v>Check Documents</v>
      </c>
    </row>
    <row r="31" customFormat="false" ht="46.25" hidden="false" customHeight="false" outlineLevel="0" collapsed="false">
      <c r="A31" s="11" t="str">
        <f aca="false">IF(INDEX(MASTER_DATABASE!$A$4:$A$1000,ROW()-3)="","",INDEX(MASTER_DATABASE!$A$4:$A$1000,ROW()-3)&amp;"")</f>
        <v>AAD-028</v>
      </c>
      <c r="B31" s="7" t="str">
        <f aca="false">IF(INDEX(MASTER_DATABASE!$A$4:$A$1000,ROW()-3)="","",INDEX(MASTER_DATABASE!$E$4:$E$1000,ROW()-3)&amp;"")</f>
        <v>Aadhaar Print (Paper – Colour / B&amp;W Printout)</v>
      </c>
      <c r="C31" s="7" t="str">
        <f aca="false">IF(INDEX(MASTER_DATABASE!$A$4:$A$1000,ROW()-3)="","",INDEX(MASTER_DATABASE!$H$4:$H$1000,ROW()-3)&amp;"")</f>
        <v>Printout of your e-Aadhaar in colour or black &amp; white.</v>
      </c>
      <c r="D31" s="7" t="str">
        <f aca="false">IF(INDEX(MASTER_DATABASE!$A$4:$A$1000,ROW()-3)="","",INDEX(MASTER_DATABASE!$BF$4:$BF$1000,ROW()-3)&amp;"")</f>
        <v>Quick printout • Colour or B&amp;W</v>
      </c>
      <c r="E31" s="7" t="str">
        <f aca="false">IF(INDEX(MASTER_DATABASE!$A$4:$A$1000,ROW()-3)="","",INDEX(MASTER_DATABASE!$O$4:$O$1000,ROW()-3)&amp;"")</f>
        <v>Any Aadhaar holder.</v>
      </c>
      <c r="F31" s="7" t="str">
        <f aca="false">IF(INDEX(MASTER_DATABASE!$A$4:$A$1000,ROW()-3)="","",INDEX(MASTER_DATABASE!$M$4:$M$1000,ROW()-3)&amp;"")</f>
        <v>✓ Aadhaar Card</v>
      </c>
      <c r="G31" s="7" t="str">
        <f aca="false">IF(INDEX(MASTER_DATABASE!$A$4:$A$1000,ROW()-3)="","",INDEX(MASTER_DATABASE!$P$4:$P$1000,ROW()-3)&amp;"")</f>
        <v>Step 1 → Share your Aadhaar number (or e-Aadhaar file).
Step 2 → If download is needed, OTP is sent to your linked mobile.
Step 3 → e-Aadhaar is opened and printed in colour or black &amp; white.
Step 4 → Pay the print charge and collect the printout.</v>
      </c>
      <c r="H3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1" s="7" t="str">
        <f aca="false">IF(INDEX(MASTER_DATABASE!$A$4:$A$1000,ROW()-3)="","",INDEX(MASTER_DATABASE!$Q$4:$Q$1000,ROW()-3)&amp;"")</f>
        <v>5–10 Minutes</v>
      </c>
      <c r="J31" s="7" t="str">
        <f aca="false">IF(INDEX(MASTER_DATABASE!$A$4:$A$1000,ROW()-3)="","",INDEX(MASTER_DATABASE!$J$4:$J$1000,ROW()-3)&amp;"")</f>
        <v>Available</v>
      </c>
      <c r="K31" s="7" t="str">
        <f aca="false">IF(INDEX(MASTER_DATABASE!$A$4:$A$1000,ROW()-3)="","",INDEX(MASTER_DATABASE!$AS$4:$AS$1000,ROW()-3)&amp;"")</f>
        <v/>
      </c>
      <c r="L31" s="7" t="str">
        <f aca="false">IF(INDEX(MASTER_DATABASE!$A$4:$A$1000,ROW()-3)="","",INDEX(MASTER_DATABASE!$AR$4:$AR$1000,ROW()-3)&amp;"")</f>
        <v>Q1: Is the printout valid?
A1: e-Aadhaar is valid as per UIDAI rules; ask if you need a masked copy.</v>
      </c>
      <c r="M3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1" s="7" t="str">
        <f aca="false">IF(INDEX(MASTER_DATABASE!$A$4:$A$1000,ROW()-3)="","",INDEX(MASTER_DATABASE!$BG$4:$BG$1000,ROW()-3)&amp;"")</f>
        <v>Visit Shop</v>
      </c>
    </row>
    <row r="32" customFormat="false" ht="91" hidden="false" customHeight="false" outlineLevel="0" collapsed="false">
      <c r="A32" s="11" t="str">
        <f aca="false">IF(INDEX(MASTER_DATABASE!$A$4:$A$1000,ROW()-3)="","",INDEX(MASTER_DATABASE!$A$4:$A$1000,ROW()-3)&amp;"")</f>
        <v>AAD-029</v>
      </c>
      <c r="B32" s="7" t="str">
        <f aca="false">IF(INDEX(MASTER_DATABASE!$A$4:$A$1000,ROW()-3)="","",INDEX(MASTER_DATABASE!$E$4:$E$1000,ROW()-3)&amp;"")</f>
        <v>Aadhaar PVC Card Order Assistance</v>
      </c>
      <c r="C32" s="7" t="str">
        <f aca="false">IF(INDEX(MASTER_DATABASE!$A$4:$A$1000,ROW()-3)="","",INDEX(MASTER_DATABASE!$H$4:$H$1000,ROW()-3)&amp;"")</f>
        <v>Assistance with aadhaar pvc card order assistance through the UIDAI portal.</v>
      </c>
      <c r="D3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2" s="7" t="str">
        <f aca="false">IF(INDEX(MASTER_DATABASE!$A$4:$A$1000,ROW()-3)="","",INDEX(MASTER_DATABASE!$O$4:$O$1000,ROW()-3)&amp;"")</f>
        <v>Aadhaar holders with a mobile number linked to Aadhaar.</v>
      </c>
      <c r="F32" s="7" t="str">
        <f aca="false">IF(INDEX(MASTER_DATABASE!$A$4:$A$1000,ROW()-3)="","",INDEX(MASTER_DATABASE!$M$4:$M$1000,ROW()-3)&amp;"")</f>
        <v>✓ Aadhaar Card
✓ Aadhaar-Linked Mobile Number</v>
      </c>
      <c r="G32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PVC Card Order Assistance'.
Step 3 → OTP is sent to your linked mobile and entered.
Step 4 → Service is completed and the result is downloaded / shown to you.
Step 5 → Pay the assistance charge.</v>
      </c>
      <c r="H3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2" s="7" t="str">
        <f aca="false">IF(INDEX(MASTER_DATABASE!$A$4:$A$1000,ROW()-3)="","",INDEX(MASTER_DATABASE!$Q$4:$Q$1000,ROW()-3)&amp;"")</f>
        <v>15–30 Minutes</v>
      </c>
      <c r="J32" s="7" t="str">
        <f aca="false">IF(INDEX(MASTER_DATABASE!$A$4:$A$1000,ROW()-3)="","",INDEX(MASTER_DATABASE!$J$4:$J$1000,ROW()-3)&amp;"")</f>
        <v>Depends on Portal – Confirm at Shop</v>
      </c>
      <c r="K32" s="7" t="str">
        <f aca="false">IF(INDEX(MASTER_DATABASE!$A$4:$A$1000,ROW()-3)="","",INDEX(MASTER_DATABASE!$AS$4:$AS$1000,ROW()-3)&amp;"")</f>
        <v>Portal availability and OTP delivery depend on UIDAI.</v>
      </c>
      <c r="L32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3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2" s="7" t="str">
        <f aca="false">IF(INDEX(MASTER_DATABASE!$A$4:$A$1000,ROW()-3)="","",INDEX(MASTER_DATABASE!$BG$4:$BG$1000,ROW()-3)&amp;"")</f>
        <v>Check Documents</v>
      </c>
    </row>
    <row r="33" customFormat="false" ht="46.25" hidden="false" customHeight="false" outlineLevel="0" collapsed="false">
      <c r="A33" s="11" t="str">
        <f aca="false">IF(INDEX(MASTER_DATABASE!$A$4:$A$1000,ROW()-3)="","",INDEX(MASTER_DATABASE!$A$4:$A$1000,ROW()-3)&amp;"")</f>
        <v>AAD-030</v>
      </c>
      <c r="B33" s="7" t="str">
        <f aca="false">IF(INDEX(MASTER_DATABASE!$A$4:$A$1000,ROW()-3)="","",INDEX(MASTER_DATABASE!$E$4:$E$1000,ROW()-3)&amp;"")</f>
        <v>Aadhaar Enrolment Status Check (EID)</v>
      </c>
      <c r="C33" s="7" t="str">
        <f aca="false">IF(INDEX(MASTER_DATABASE!$A$4:$A$1000,ROW()-3)="","",INDEX(MASTER_DATABASE!$H$4:$H$1000,ROW()-3)&amp;"")</f>
        <v>Aadhaar Enrolment Status Check (EID) using the UIDAI portal.</v>
      </c>
      <c r="D3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3" s="7" t="str">
        <f aca="false">IF(INDEX(MASTER_DATABASE!$A$4:$A$1000,ROW()-3)="","",INDEX(MASTER_DATABASE!$O$4:$O$1000,ROW()-3)&amp;"")</f>
        <v>Anyone with an EID / URN slip.</v>
      </c>
      <c r="F33" s="7" t="str">
        <f aca="false">IF(INDEX(MASTER_DATABASE!$A$4:$A$1000,ROW()-3)="","",INDEX(MASTER_DATABASE!$M$4:$M$1000,ROW()-3)&amp;"")</f>
        <v>✓ Enrolment / Acknowledgement Number</v>
      </c>
      <c r="G33" s="7" t="str">
        <f aca="false">IF(INDEX(MASTER_DATABASE!$A$4:$A$1000,ROW()-3)="","",INDEX(MASTER_DATABASE!$P$4:$P$1000,ROW()-3)&amp;"")</f>
        <v>Step 1 → Share the enrolment (EID) or update (URN) number from your slip.
Step 2 → Operator checks the status on the UIDAI portal.
Step 3 → Result is shown or printed for you.</v>
      </c>
      <c r="H3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3" s="7" t="str">
        <f aca="false">IF(INDEX(MASTER_DATABASE!$A$4:$A$1000,ROW()-3)="","",INDEX(MASTER_DATABASE!$Q$4:$Q$1000,ROW()-3)&amp;"")</f>
        <v>5–10 Minutes</v>
      </c>
      <c r="J33" s="7" t="str">
        <f aca="false">IF(INDEX(MASTER_DATABASE!$A$4:$A$1000,ROW()-3)="","",INDEX(MASTER_DATABASE!$J$4:$J$1000,ROW()-3)&amp;"")</f>
        <v>Depends on Portal – Confirm at Shop</v>
      </c>
      <c r="K33" s="7" t="str">
        <f aca="false">IF(INDEX(MASTER_DATABASE!$A$4:$A$1000,ROW()-3)="","",INDEX(MASTER_DATABASE!$AS$4:$AS$1000,ROW()-3)&amp;"")</f>
        <v>Please confirm availability with the shop before visiting.</v>
      </c>
      <c r="L3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3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3" s="7" t="str">
        <f aca="false">IF(INDEX(MASTER_DATABASE!$A$4:$A$1000,ROW()-3)="","",INDEX(MASTER_DATABASE!$BG$4:$BG$1000,ROW()-3)&amp;"")</f>
        <v>Check Documents</v>
      </c>
    </row>
    <row r="34" customFormat="false" ht="46.25" hidden="false" customHeight="false" outlineLevel="0" collapsed="false">
      <c r="A34" s="11" t="str">
        <f aca="false">IF(INDEX(MASTER_DATABASE!$A$4:$A$1000,ROW()-3)="","",INDEX(MASTER_DATABASE!$A$4:$A$1000,ROW()-3)&amp;"")</f>
        <v>AAD-031</v>
      </c>
      <c r="B34" s="7" t="str">
        <f aca="false">IF(INDEX(MASTER_DATABASE!$A$4:$A$1000,ROW()-3)="","",INDEX(MASTER_DATABASE!$E$4:$E$1000,ROW()-3)&amp;"")</f>
        <v>Aadhaar Update Request Status Check (URN)</v>
      </c>
      <c r="C34" s="7" t="str">
        <f aca="false">IF(INDEX(MASTER_DATABASE!$A$4:$A$1000,ROW()-3)="","",INDEX(MASTER_DATABASE!$H$4:$H$1000,ROW()-3)&amp;"")</f>
        <v>Aadhaar Update Request Status Check (URN) using the UIDAI portal.</v>
      </c>
      <c r="D3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4" s="7" t="str">
        <f aca="false">IF(INDEX(MASTER_DATABASE!$A$4:$A$1000,ROW()-3)="","",INDEX(MASTER_DATABASE!$O$4:$O$1000,ROW()-3)&amp;"")</f>
        <v>Anyone with an EID / URN slip.</v>
      </c>
      <c r="F34" s="7" t="str">
        <f aca="false">IF(INDEX(MASTER_DATABASE!$A$4:$A$1000,ROW()-3)="","",INDEX(MASTER_DATABASE!$M$4:$M$1000,ROW()-3)&amp;"")</f>
        <v>✓ Enrolment / Acknowledgement Number</v>
      </c>
      <c r="G34" s="7" t="str">
        <f aca="false">IF(INDEX(MASTER_DATABASE!$A$4:$A$1000,ROW()-3)="","",INDEX(MASTER_DATABASE!$P$4:$P$1000,ROW()-3)&amp;"")</f>
        <v>Step 1 → Share the enrolment (EID) or update (URN) number from your slip.
Step 2 → Operator checks the status on the UIDAI portal.
Step 3 → Result is shown or printed for you.</v>
      </c>
      <c r="H3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4" s="7" t="str">
        <f aca="false">IF(INDEX(MASTER_DATABASE!$A$4:$A$1000,ROW()-3)="","",INDEX(MASTER_DATABASE!$Q$4:$Q$1000,ROW()-3)&amp;"")</f>
        <v>5–10 Minutes</v>
      </c>
      <c r="J34" s="7" t="str">
        <f aca="false">IF(INDEX(MASTER_DATABASE!$A$4:$A$1000,ROW()-3)="","",INDEX(MASTER_DATABASE!$J$4:$J$1000,ROW()-3)&amp;"")</f>
        <v>Depends on Portal – Confirm at Shop</v>
      </c>
      <c r="K34" s="7" t="str">
        <f aca="false">IF(INDEX(MASTER_DATABASE!$A$4:$A$1000,ROW()-3)="","",INDEX(MASTER_DATABASE!$AS$4:$AS$1000,ROW()-3)&amp;"")</f>
        <v>Please confirm availability with the shop before visiting.</v>
      </c>
      <c r="L3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3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4" s="7" t="str">
        <f aca="false">IF(INDEX(MASTER_DATABASE!$A$4:$A$1000,ROW()-3)="","",INDEX(MASTER_DATABASE!$BG$4:$BG$1000,ROW()-3)&amp;"")</f>
        <v>Check Documents</v>
      </c>
    </row>
    <row r="35" customFormat="false" ht="91" hidden="false" customHeight="false" outlineLevel="0" collapsed="false">
      <c r="A35" s="11" t="str">
        <f aca="false">IF(INDEX(MASTER_DATABASE!$A$4:$A$1000,ROW()-3)="","",INDEX(MASTER_DATABASE!$A$4:$A$1000,ROW()-3)&amp;"")</f>
        <v>AAD-032</v>
      </c>
      <c r="B35" s="7" t="str">
        <f aca="false">IF(INDEX(MASTER_DATABASE!$A$4:$A$1000,ROW()-3)="","",INDEX(MASTER_DATABASE!$E$4:$E$1000,ROW()-3)&amp;"")</f>
        <v>Aadhaar Lost UID / EID Retrieval Assistance</v>
      </c>
      <c r="C35" s="7" t="str">
        <f aca="false">IF(INDEX(MASTER_DATABASE!$A$4:$A$1000,ROW()-3)="","",INDEX(MASTER_DATABASE!$H$4:$H$1000,ROW()-3)&amp;"")</f>
        <v>Assistance with aadhaar lost uid / eid retrieval assistance through the UIDAI portal.</v>
      </c>
      <c r="D3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5" s="7" t="str">
        <f aca="false">IF(INDEX(MASTER_DATABASE!$A$4:$A$1000,ROW()-3)="","",INDEX(MASTER_DATABASE!$O$4:$O$1000,ROW()-3)&amp;"")</f>
        <v>Aadhaar holders with a mobile number linked to Aadhaar.</v>
      </c>
      <c r="F35" s="7" t="str">
        <f aca="false">IF(INDEX(MASTER_DATABASE!$A$4:$A$1000,ROW()-3)="","",INDEX(MASTER_DATABASE!$M$4:$M$1000,ROW()-3)&amp;"")</f>
        <v>✓ Aadhaar Card
✓ Aadhaar-Linked Mobile Number</v>
      </c>
      <c r="G35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Lost UID / EID Retrieval Assistance'.
Step 3 → OTP is sent to your linked mobile and entered.
Step 4 → Service is completed and the result is downloaded / shown to you.
Step 5 → Pay the assistance charge.</v>
      </c>
      <c r="H3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5" s="7" t="str">
        <f aca="false">IF(INDEX(MASTER_DATABASE!$A$4:$A$1000,ROW()-3)="","",INDEX(MASTER_DATABASE!$Q$4:$Q$1000,ROW()-3)&amp;"")</f>
        <v>15–30 Minutes</v>
      </c>
      <c r="J35" s="7" t="str">
        <f aca="false">IF(INDEX(MASTER_DATABASE!$A$4:$A$1000,ROW()-3)="","",INDEX(MASTER_DATABASE!$J$4:$J$1000,ROW()-3)&amp;"")</f>
        <v>Depends on Portal – Confirm at Shop</v>
      </c>
      <c r="K35" s="7" t="str">
        <f aca="false">IF(INDEX(MASTER_DATABASE!$A$4:$A$1000,ROW()-3)="","",INDEX(MASTER_DATABASE!$AS$4:$AS$1000,ROW()-3)&amp;"")</f>
        <v>Portal availability and OTP delivery depend on UIDAI.</v>
      </c>
      <c r="L35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3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5" s="7" t="str">
        <f aca="false">IF(INDEX(MASTER_DATABASE!$A$4:$A$1000,ROW()-3)="","",INDEX(MASTER_DATABASE!$BG$4:$BG$1000,ROW()-3)&amp;"")</f>
        <v>Check Documents</v>
      </c>
    </row>
    <row r="36" customFormat="false" ht="91" hidden="false" customHeight="false" outlineLevel="0" collapsed="false">
      <c r="A36" s="11" t="str">
        <f aca="false">IF(INDEX(MASTER_DATABASE!$A$4:$A$1000,ROW()-3)="","",INDEX(MASTER_DATABASE!$A$4:$A$1000,ROW()-3)&amp;"")</f>
        <v>AAD-033</v>
      </c>
      <c r="B36" s="7" t="str">
        <f aca="false">IF(INDEX(MASTER_DATABASE!$A$4:$A$1000,ROW()-3)="","",INDEX(MASTER_DATABASE!$E$4:$E$1000,ROW()-3)&amp;"")</f>
        <v>Aadhaar Virtual ID (VID) Generation Assistance</v>
      </c>
      <c r="C36" s="7" t="str">
        <f aca="false">IF(INDEX(MASTER_DATABASE!$A$4:$A$1000,ROW()-3)="","",INDEX(MASTER_DATABASE!$H$4:$H$1000,ROW()-3)&amp;"")</f>
        <v>Assistance with aadhaar virtual id (vid) generation assistance through the UIDAI portal.</v>
      </c>
      <c r="D3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6" s="7" t="str">
        <f aca="false">IF(INDEX(MASTER_DATABASE!$A$4:$A$1000,ROW()-3)="","",INDEX(MASTER_DATABASE!$O$4:$O$1000,ROW()-3)&amp;"")</f>
        <v>Aadhaar holders with a mobile number linked to Aadhaar.</v>
      </c>
      <c r="F36" s="7" t="str">
        <f aca="false">IF(INDEX(MASTER_DATABASE!$A$4:$A$1000,ROW()-3)="","",INDEX(MASTER_DATABASE!$M$4:$M$1000,ROW()-3)&amp;"")</f>
        <v>✓ Aadhaar Card
✓ Aadhaar-Linked Mobile Number</v>
      </c>
      <c r="G36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Virtual ID (VID) Generation Assistance'.
Step 3 → OTP is sent to your linked mobile and entered.
Step 4 → Service is completed and the result is downloaded / shown to you.
Step 5 → Pay the assistance charge.</v>
      </c>
      <c r="H3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6" s="7" t="str">
        <f aca="false">IF(INDEX(MASTER_DATABASE!$A$4:$A$1000,ROW()-3)="","",INDEX(MASTER_DATABASE!$Q$4:$Q$1000,ROW()-3)&amp;"")</f>
        <v>15–30 Minutes</v>
      </c>
      <c r="J36" s="7" t="str">
        <f aca="false">IF(INDEX(MASTER_DATABASE!$A$4:$A$1000,ROW()-3)="","",INDEX(MASTER_DATABASE!$J$4:$J$1000,ROW()-3)&amp;"")</f>
        <v>Depends on Portal – Confirm at Shop</v>
      </c>
      <c r="K36" s="7" t="str">
        <f aca="false">IF(INDEX(MASTER_DATABASE!$A$4:$A$1000,ROW()-3)="","",INDEX(MASTER_DATABASE!$AS$4:$AS$1000,ROW()-3)&amp;"")</f>
        <v>Portal availability and OTP delivery depend on UIDAI.</v>
      </c>
      <c r="L36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3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6" s="7" t="str">
        <f aca="false">IF(INDEX(MASTER_DATABASE!$A$4:$A$1000,ROW()-3)="","",INDEX(MASTER_DATABASE!$BG$4:$BG$1000,ROW()-3)&amp;"")</f>
        <v>Check Documents</v>
      </c>
    </row>
    <row r="37" customFormat="false" ht="91" hidden="false" customHeight="false" outlineLevel="0" collapsed="false">
      <c r="A37" s="11" t="str">
        <f aca="false">IF(INDEX(MASTER_DATABASE!$A$4:$A$1000,ROW()-3)="","",INDEX(MASTER_DATABASE!$A$4:$A$1000,ROW()-3)&amp;"")</f>
        <v>AAD-034</v>
      </c>
      <c r="B37" s="7" t="str">
        <f aca="false">IF(INDEX(MASTER_DATABASE!$A$4:$A$1000,ROW()-3)="","",INDEX(MASTER_DATABASE!$E$4:$E$1000,ROW()-3)&amp;"")</f>
        <v>Aadhaar Lock / Unlock Assistance</v>
      </c>
      <c r="C37" s="7" t="str">
        <f aca="false">IF(INDEX(MASTER_DATABASE!$A$4:$A$1000,ROW()-3)="","",INDEX(MASTER_DATABASE!$H$4:$H$1000,ROW()-3)&amp;"")</f>
        <v>Assistance with aadhaar lock / unlock assistance through the UIDAI portal.</v>
      </c>
      <c r="D3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7" s="7" t="str">
        <f aca="false">IF(INDEX(MASTER_DATABASE!$A$4:$A$1000,ROW()-3)="","",INDEX(MASTER_DATABASE!$O$4:$O$1000,ROW()-3)&amp;"")</f>
        <v>Aadhaar holders with a mobile number linked to Aadhaar.</v>
      </c>
      <c r="F37" s="7" t="str">
        <f aca="false">IF(INDEX(MASTER_DATABASE!$A$4:$A$1000,ROW()-3)="","",INDEX(MASTER_DATABASE!$M$4:$M$1000,ROW()-3)&amp;"")</f>
        <v>✓ Aadhaar Card
✓ Aadhaar-Linked Mobile Number</v>
      </c>
      <c r="G37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Lock / Unlock Assistance'.
Step 3 → OTP is sent to your linked mobile and entered.
Step 4 → Service is completed and the result is downloaded / shown to you.
Step 5 → Pay the assistance charge.</v>
      </c>
      <c r="H3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7" s="7" t="str">
        <f aca="false">IF(INDEX(MASTER_DATABASE!$A$4:$A$1000,ROW()-3)="","",INDEX(MASTER_DATABASE!$Q$4:$Q$1000,ROW()-3)&amp;"")</f>
        <v>15–30 Minutes</v>
      </c>
      <c r="J37" s="7" t="str">
        <f aca="false">IF(INDEX(MASTER_DATABASE!$A$4:$A$1000,ROW()-3)="","",INDEX(MASTER_DATABASE!$J$4:$J$1000,ROW()-3)&amp;"")</f>
        <v>Depends on Portal – Confirm at Shop</v>
      </c>
      <c r="K37" s="7" t="str">
        <f aca="false">IF(INDEX(MASTER_DATABASE!$A$4:$A$1000,ROW()-3)="","",INDEX(MASTER_DATABASE!$AS$4:$AS$1000,ROW()-3)&amp;"")</f>
        <v>Portal availability and OTP delivery depend on UIDAI.</v>
      </c>
      <c r="L37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3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7" s="7" t="str">
        <f aca="false">IF(INDEX(MASTER_DATABASE!$A$4:$A$1000,ROW()-3)="","",INDEX(MASTER_DATABASE!$BG$4:$BG$1000,ROW()-3)&amp;"")</f>
        <v>Check Documents</v>
      </c>
    </row>
    <row r="38" customFormat="false" ht="91" hidden="false" customHeight="false" outlineLevel="0" collapsed="false">
      <c r="A38" s="11" t="str">
        <f aca="false">IF(INDEX(MASTER_DATABASE!$A$4:$A$1000,ROW()-3)="","",INDEX(MASTER_DATABASE!$A$4:$A$1000,ROW()-3)&amp;"")</f>
        <v>AAD-035</v>
      </c>
      <c r="B38" s="7" t="str">
        <f aca="false">IF(INDEX(MASTER_DATABASE!$A$4:$A$1000,ROW()-3)="","",INDEX(MASTER_DATABASE!$E$4:$E$1000,ROW()-3)&amp;"")</f>
        <v>Aadhaar Authentication History Check</v>
      </c>
      <c r="C38" s="7" t="str">
        <f aca="false">IF(INDEX(MASTER_DATABASE!$A$4:$A$1000,ROW()-3)="","",INDEX(MASTER_DATABASE!$H$4:$H$1000,ROW()-3)&amp;"")</f>
        <v>Assistance with aadhaar authentication history check through the UIDAI portal.</v>
      </c>
      <c r="D3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8" s="7" t="str">
        <f aca="false">IF(INDEX(MASTER_DATABASE!$A$4:$A$1000,ROW()-3)="","",INDEX(MASTER_DATABASE!$O$4:$O$1000,ROW()-3)&amp;"")</f>
        <v>Aadhaar holders with a mobile number linked to Aadhaar.</v>
      </c>
      <c r="F38" s="7" t="str">
        <f aca="false">IF(INDEX(MASTER_DATABASE!$A$4:$A$1000,ROW()-3)="","",INDEX(MASTER_DATABASE!$M$4:$M$1000,ROW()-3)&amp;"")</f>
        <v>✓ Aadhaar Card
✓ Aadhaar-Linked Mobile Number</v>
      </c>
      <c r="G38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Authentication History Check'.
Step 3 → OTP is sent to your linked mobile and entered.
Step 4 → Service is completed and the result is downloaded / shown to you.
Step 5 → Pay the assistance charge.</v>
      </c>
      <c r="H3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8" s="7" t="str">
        <f aca="false">IF(INDEX(MASTER_DATABASE!$A$4:$A$1000,ROW()-3)="","",INDEX(MASTER_DATABASE!$Q$4:$Q$1000,ROW()-3)&amp;"")</f>
        <v>15–30 Minutes</v>
      </c>
      <c r="J38" s="7" t="str">
        <f aca="false">IF(INDEX(MASTER_DATABASE!$A$4:$A$1000,ROW()-3)="","",INDEX(MASTER_DATABASE!$J$4:$J$1000,ROW()-3)&amp;"")</f>
        <v>Depends on Portal – Confirm at Shop</v>
      </c>
      <c r="K38" s="7" t="str">
        <f aca="false">IF(INDEX(MASTER_DATABASE!$A$4:$A$1000,ROW()-3)="","",INDEX(MASTER_DATABASE!$AS$4:$AS$1000,ROW()-3)&amp;"")</f>
        <v>Portal availability and OTP delivery depend on UIDAI.</v>
      </c>
      <c r="L38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3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8" s="7" t="str">
        <f aca="false">IF(INDEX(MASTER_DATABASE!$A$4:$A$1000,ROW()-3)="","",INDEX(MASTER_DATABASE!$BG$4:$BG$1000,ROW()-3)&amp;"")</f>
        <v>Check Documents</v>
      </c>
    </row>
    <row r="39" customFormat="false" ht="91" hidden="false" customHeight="false" outlineLevel="0" collapsed="false">
      <c r="A39" s="11" t="str">
        <f aca="false">IF(INDEX(MASTER_DATABASE!$A$4:$A$1000,ROW()-3)="","",INDEX(MASTER_DATABASE!$A$4:$A$1000,ROW()-3)&amp;"")</f>
        <v>AAD-036</v>
      </c>
      <c r="B39" s="7" t="str">
        <f aca="false">IF(INDEX(MASTER_DATABASE!$A$4:$A$1000,ROW()-3)="","",INDEX(MASTER_DATABASE!$E$4:$E$1000,ROW()-3)&amp;"")</f>
        <v>Aadhaar Mobile / Email Link Check</v>
      </c>
      <c r="C39" s="7" t="str">
        <f aca="false">IF(INDEX(MASTER_DATABASE!$A$4:$A$1000,ROW()-3)="","",INDEX(MASTER_DATABASE!$H$4:$H$1000,ROW()-3)&amp;"")</f>
        <v>Assistance with aadhaar mobile / email link check through the UIDAI portal.</v>
      </c>
      <c r="D3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39" s="7" t="str">
        <f aca="false">IF(INDEX(MASTER_DATABASE!$A$4:$A$1000,ROW()-3)="","",INDEX(MASTER_DATABASE!$O$4:$O$1000,ROW()-3)&amp;"")</f>
        <v>Aadhaar holders with a mobile number linked to Aadhaar.</v>
      </c>
      <c r="F39" s="7" t="str">
        <f aca="false">IF(INDEX(MASTER_DATABASE!$A$4:$A$1000,ROW()-3)="","",INDEX(MASTER_DATABASE!$M$4:$M$1000,ROW()-3)&amp;"")</f>
        <v>✓ Aadhaar Card
✓ Aadhaar-Linked Mobile Number</v>
      </c>
      <c r="G39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Mobile / Email Link Check'.
Step 3 → OTP is sent to your linked mobile and entered.
Step 4 → Service is completed and the result is downloaded / shown to you.
Step 5 → Pay the assistance charge.</v>
      </c>
      <c r="H3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39" s="7" t="str">
        <f aca="false">IF(INDEX(MASTER_DATABASE!$A$4:$A$1000,ROW()-3)="","",INDEX(MASTER_DATABASE!$Q$4:$Q$1000,ROW()-3)&amp;"")</f>
        <v>15–30 Minutes</v>
      </c>
      <c r="J39" s="7" t="str">
        <f aca="false">IF(INDEX(MASTER_DATABASE!$A$4:$A$1000,ROW()-3)="","",INDEX(MASTER_DATABASE!$J$4:$J$1000,ROW()-3)&amp;"")</f>
        <v>Depends on Portal – Confirm at Shop</v>
      </c>
      <c r="K39" s="7" t="str">
        <f aca="false">IF(INDEX(MASTER_DATABASE!$A$4:$A$1000,ROW()-3)="","",INDEX(MASTER_DATABASE!$AS$4:$AS$1000,ROW()-3)&amp;"")</f>
        <v>Portal availability and OTP delivery depend on UIDAI.</v>
      </c>
      <c r="L39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3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39" s="7" t="str">
        <f aca="false">IF(INDEX(MASTER_DATABASE!$A$4:$A$1000,ROW()-3)="","",INDEX(MASTER_DATABASE!$BG$4:$BG$1000,ROW()-3)&amp;"")</f>
        <v>Check Documents</v>
      </c>
    </row>
    <row r="40" customFormat="false" ht="91" hidden="false" customHeight="false" outlineLevel="0" collapsed="false">
      <c r="A40" s="11" t="str">
        <f aca="false">IF(INDEX(MASTER_DATABASE!$A$4:$A$1000,ROW()-3)="","",INDEX(MASTER_DATABASE!$A$4:$A$1000,ROW()-3)&amp;"")</f>
        <v>AAD-037</v>
      </c>
      <c r="B40" s="7" t="str">
        <f aca="false">IF(INDEX(MASTER_DATABASE!$A$4:$A$1000,ROW()-3)="","",INDEX(MASTER_DATABASE!$E$4:$E$1000,ROW()-3)&amp;"")</f>
        <v>Aadhaar Number Verification</v>
      </c>
      <c r="C40" s="7" t="str">
        <f aca="false">IF(INDEX(MASTER_DATABASE!$A$4:$A$1000,ROW()-3)="","",INDEX(MASTER_DATABASE!$H$4:$H$1000,ROW()-3)&amp;"")</f>
        <v>Assistance with aadhaar number verification through the UIDAI portal.</v>
      </c>
      <c r="D4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0" s="7" t="str">
        <f aca="false">IF(INDEX(MASTER_DATABASE!$A$4:$A$1000,ROW()-3)="","",INDEX(MASTER_DATABASE!$O$4:$O$1000,ROW()-3)&amp;"")</f>
        <v>Aadhaar holders with a mobile number linked to Aadhaar.</v>
      </c>
      <c r="F40" s="7" t="str">
        <f aca="false">IF(INDEX(MASTER_DATABASE!$A$4:$A$1000,ROW()-3)="","",INDEX(MASTER_DATABASE!$M$4:$M$1000,ROW()-3)&amp;"")</f>
        <v>✓ Aadhaar Card
✓ Aadhaar-Linked Mobile Number</v>
      </c>
      <c r="G40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Number Verification'.
Step 3 → OTP is sent to your linked mobile and entered.
Step 4 → Service is completed and the result is downloaded / shown to you.
Step 5 → Pay the assistance charge.</v>
      </c>
      <c r="H4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0" s="7" t="str">
        <f aca="false">IF(INDEX(MASTER_DATABASE!$A$4:$A$1000,ROW()-3)="","",INDEX(MASTER_DATABASE!$Q$4:$Q$1000,ROW()-3)&amp;"")</f>
        <v>15–30 Minutes</v>
      </c>
      <c r="J40" s="7" t="str">
        <f aca="false">IF(INDEX(MASTER_DATABASE!$A$4:$A$1000,ROW()-3)="","",INDEX(MASTER_DATABASE!$J$4:$J$1000,ROW()-3)&amp;"")</f>
        <v>Depends on Portal – Confirm at Shop</v>
      </c>
      <c r="K40" s="7" t="str">
        <f aca="false">IF(INDEX(MASTER_DATABASE!$A$4:$A$1000,ROW()-3)="","",INDEX(MASTER_DATABASE!$AS$4:$AS$1000,ROW()-3)&amp;"")</f>
        <v>Portal availability and OTP delivery depend on UIDAI.</v>
      </c>
      <c r="L40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4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0" s="7" t="str">
        <f aca="false">IF(INDEX(MASTER_DATABASE!$A$4:$A$1000,ROW()-3)="","",INDEX(MASTER_DATABASE!$BG$4:$BG$1000,ROW()-3)&amp;"")</f>
        <v>Check Documents</v>
      </c>
    </row>
    <row r="41" customFormat="false" ht="91" hidden="false" customHeight="false" outlineLevel="0" collapsed="false">
      <c r="A41" s="11" t="str">
        <f aca="false">IF(INDEX(MASTER_DATABASE!$A$4:$A$1000,ROW()-3)="","",INDEX(MASTER_DATABASE!$A$4:$A$1000,ROW()-3)&amp;"")</f>
        <v>AAD-038</v>
      </c>
      <c r="B41" s="7" t="str">
        <f aca="false">IF(INDEX(MASTER_DATABASE!$A$4:$A$1000,ROW()-3)="","",INDEX(MASTER_DATABASE!$E$4:$E$1000,ROW()-3)&amp;"")</f>
        <v>Aadhaar Offline eKYC (XML / QR) Download Assistance</v>
      </c>
      <c r="C41" s="7" t="str">
        <f aca="false">IF(INDEX(MASTER_DATABASE!$A$4:$A$1000,ROW()-3)="","",INDEX(MASTER_DATABASE!$H$4:$H$1000,ROW()-3)&amp;"")</f>
        <v>Assistance with aadhaar offline ekyc (xml / qr) download assistance through the UIDAI portal.</v>
      </c>
      <c r="D4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1" s="7" t="str">
        <f aca="false">IF(INDEX(MASTER_DATABASE!$A$4:$A$1000,ROW()-3)="","",INDEX(MASTER_DATABASE!$O$4:$O$1000,ROW()-3)&amp;"")</f>
        <v>Aadhaar holders with a mobile number linked to Aadhaar.</v>
      </c>
      <c r="F41" s="7" t="str">
        <f aca="false">IF(INDEX(MASTER_DATABASE!$A$4:$A$1000,ROW()-3)="","",INDEX(MASTER_DATABASE!$M$4:$M$1000,ROW()-3)&amp;"")</f>
        <v>✓ Aadhaar Card
✓ Aadhaar-Linked Mobile Number</v>
      </c>
      <c r="G41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Offline eKYC (XML / QR) Download Assistance'.
Step 3 → OTP is sent to your linked mobile and entered.
Step 4 → Service is completed and the result is downloaded / shown to you.
Step 5 → Pay the assistance charge.</v>
      </c>
      <c r="H4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1" s="7" t="str">
        <f aca="false">IF(INDEX(MASTER_DATABASE!$A$4:$A$1000,ROW()-3)="","",INDEX(MASTER_DATABASE!$Q$4:$Q$1000,ROW()-3)&amp;"")</f>
        <v>15–30 Minutes</v>
      </c>
      <c r="J41" s="7" t="str">
        <f aca="false">IF(INDEX(MASTER_DATABASE!$A$4:$A$1000,ROW()-3)="","",INDEX(MASTER_DATABASE!$J$4:$J$1000,ROW()-3)&amp;"")</f>
        <v>Depends on Portal – Confirm at Shop</v>
      </c>
      <c r="K41" s="7" t="str">
        <f aca="false">IF(INDEX(MASTER_DATABASE!$A$4:$A$1000,ROW()-3)="","",INDEX(MASTER_DATABASE!$AS$4:$AS$1000,ROW()-3)&amp;"")</f>
        <v>Portal availability and OTP delivery depend on UIDAI.</v>
      </c>
      <c r="L41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4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1" s="7" t="str">
        <f aca="false">IF(INDEX(MASTER_DATABASE!$A$4:$A$1000,ROW()-3)="","",INDEX(MASTER_DATABASE!$BG$4:$BG$1000,ROW()-3)&amp;"")</f>
        <v>Check Documents</v>
      </c>
    </row>
    <row r="42" customFormat="false" ht="46.25" hidden="false" customHeight="false" outlineLevel="0" collapsed="false">
      <c r="A42" s="11" t="str">
        <f aca="false">IF(INDEX(MASTER_DATABASE!$A$4:$A$1000,ROW()-3)="","",INDEX(MASTER_DATABASE!$A$4:$A$1000,ROW()-3)&amp;"")</f>
        <v>AAD-039</v>
      </c>
      <c r="B42" s="7" t="str">
        <f aca="false">IF(INDEX(MASTER_DATABASE!$A$4:$A$1000,ROW()-3)="","",INDEX(MASTER_DATABASE!$E$4:$E$1000,ROW()-3)&amp;"")</f>
        <v>Aadhaar–Bank Seeding Status Check (NPCI)</v>
      </c>
      <c r="C42" s="7" t="str">
        <f aca="false">IF(INDEX(MASTER_DATABASE!$A$4:$A$1000,ROW()-3)="","",INDEX(MASTER_DATABASE!$H$4:$H$1000,ROW()-3)&amp;"")</f>
        <v>Aadhaar–Bank Seeding Status Check (NPCI) using the UIDAI portal.</v>
      </c>
      <c r="D4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2" s="7" t="str">
        <f aca="false">IF(INDEX(MASTER_DATABASE!$A$4:$A$1000,ROW()-3)="","",INDEX(MASTER_DATABASE!$O$4:$O$1000,ROW()-3)&amp;"")</f>
        <v>Anyone with an EID / URN slip.</v>
      </c>
      <c r="F42" s="7" t="str">
        <f aca="false">IF(INDEX(MASTER_DATABASE!$A$4:$A$1000,ROW()-3)="","",INDEX(MASTER_DATABASE!$M$4:$M$1000,ROW()-3)&amp;"")</f>
        <v>✓ Enrolment / Acknowledgement Number</v>
      </c>
      <c r="G42" s="7" t="str">
        <f aca="false">IF(INDEX(MASTER_DATABASE!$A$4:$A$1000,ROW()-3)="","",INDEX(MASTER_DATABASE!$P$4:$P$1000,ROW()-3)&amp;"")</f>
        <v>Step 1 → Share the enrolment (EID) or update (URN) number from your slip.
Step 2 → Operator checks the status on the UIDAI portal.
Step 3 → Result is shown or printed for you.</v>
      </c>
      <c r="H4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2" s="7" t="str">
        <f aca="false">IF(INDEX(MASTER_DATABASE!$A$4:$A$1000,ROW()-3)="","",INDEX(MASTER_DATABASE!$Q$4:$Q$1000,ROW()-3)&amp;"")</f>
        <v>5–10 Minutes</v>
      </c>
      <c r="J42" s="7" t="str">
        <f aca="false">IF(INDEX(MASTER_DATABASE!$A$4:$A$1000,ROW()-3)="","",INDEX(MASTER_DATABASE!$J$4:$J$1000,ROW()-3)&amp;"")</f>
        <v>Depends on Portal – Confirm at Shop</v>
      </c>
      <c r="K42" s="7" t="str">
        <f aca="false">IF(INDEX(MASTER_DATABASE!$A$4:$A$1000,ROW()-3)="","",INDEX(MASTER_DATABASE!$AS$4:$AS$1000,ROW()-3)&amp;"")</f>
        <v>Please confirm availability with the shop before visiting.</v>
      </c>
      <c r="L4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4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2" s="7" t="str">
        <f aca="false">IF(INDEX(MASTER_DATABASE!$A$4:$A$1000,ROW()-3)="","",INDEX(MASTER_DATABASE!$BG$4:$BG$1000,ROW()-3)&amp;"")</f>
        <v>Check Documents</v>
      </c>
    </row>
    <row r="43" customFormat="false" ht="91" hidden="false" customHeight="false" outlineLevel="0" collapsed="false">
      <c r="A43" s="11" t="str">
        <f aca="false">IF(INDEX(MASTER_DATABASE!$A$4:$A$1000,ROW()-3)="","",INDEX(MASTER_DATABASE!$A$4:$A$1000,ROW()-3)&amp;"")</f>
        <v>AAD-040</v>
      </c>
      <c r="B43" s="7" t="str">
        <f aca="false">IF(INDEX(MASTER_DATABASE!$A$4:$A$1000,ROW()-3)="","",INDEX(MASTER_DATABASE!$E$4:$E$1000,ROW()-3)&amp;"")</f>
        <v>Aadhaar Update Appointment Booking Assistance</v>
      </c>
      <c r="C43" s="7" t="str">
        <f aca="false">IF(INDEX(MASTER_DATABASE!$A$4:$A$1000,ROW()-3)="","",INDEX(MASTER_DATABASE!$H$4:$H$1000,ROW()-3)&amp;"")</f>
        <v>Assistance with aadhaar update appointment booking assistance through the UIDAI portal.</v>
      </c>
      <c r="D4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3" s="7" t="str">
        <f aca="false">IF(INDEX(MASTER_DATABASE!$A$4:$A$1000,ROW()-3)="","",INDEX(MASTER_DATABASE!$O$4:$O$1000,ROW()-3)&amp;"")</f>
        <v>Aadhaar holders with a mobile number linked to Aadhaar.</v>
      </c>
      <c r="F43" s="7" t="str">
        <f aca="false">IF(INDEX(MASTER_DATABASE!$A$4:$A$1000,ROW()-3)="","",INDEX(MASTER_DATABASE!$M$4:$M$1000,ROW()-3)&amp;"")</f>
        <v>✓ Aadhaar Card
✓ Aadhaar-Linked Mobile Number</v>
      </c>
      <c r="G43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Update Appointment Booking Assistance'.
Step 3 → OTP is sent to your linked mobile and entered.
Step 4 → Service is completed and the result is downloaded / shown to you.
Step 5 → Pay the assistance charge.</v>
      </c>
      <c r="H4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3" s="7" t="str">
        <f aca="false">IF(INDEX(MASTER_DATABASE!$A$4:$A$1000,ROW()-3)="","",INDEX(MASTER_DATABASE!$Q$4:$Q$1000,ROW()-3)&amp;"")</f>
        <v>15–30 Minutes</v>
      </c>
      <c r="J43" s="7" t="str">
        <f aca="false">IF(INDEX(MASTER_DATABASE!$A$4:$A$1000,ROW()-3)="","",INDEX(MASTER_DATABASE!$J$4:$J$1000,ROW()-3)&amp;"")</f>
        <v>Depends on Portal – Confirm at Shop</v>
      </c>
      <c r="K43" s="7" t="str">
        <f aca="false">IF(INDEX(MASTER_DATABASE!$A$4:$A$1000,ROW()-3)="","",INDEX(MASTER_DATABASE!$AS$4:$AS$1000,ROW()-3)&amp;"")</f>
        <v>Portal availability and OTP delivery depend on UIDAI.</v>
      </c>
      <c r="L43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4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3" s="7" t="str">
        <f aca="false">IF(INDEX(MASTER_DATABASE!$A$4:$A$1000,ROW()-3)="","",INDEX(MASTER_DATABASE!$BG$4:$BG$1000,ROW()-3)&amp;"")</f>
        <v>Check Documents</v>
      </c>
    </row>
    <row r="44" customFormat="false" ht="91" hidden="false" customHeight="false" outlineLevel="0" collapsed="false">
      <c r="A44" s="11" t="str">
        <f aca="false">IF(INDEX(MASTER_DATABASE!$A$4:$A$1000,ROW()-3)="","",INDEX(MASTER_DATABASE!$A$4:$A$1000,ROW()-3)&amp;"")</f>
        <v>AAD-041</v>
      </c>
      <c r="B44" s="7" t="str">
        <f aca="false">IF(INDEX(MASTER_DATABASE!$A$4:$A$1000,ROW()-3)="","",INDEX(MASTER_DATABASE!$E$4:$E$1000,ROW()-3)&amp;"")</f>
        <v>mAadhaar App Setup Assistance</v>
      </c>
      <c r="C44" s="7" t="str">
        <f aca="false">IF(INDEX(MASTER_DATABASE!$A$4:$A$1000,ROW()-3)="","",INDEX(MASTER_DATABASE!$H$4:$H$1000,ROW()-3)&amp;"")</f>
        <v>Assistance with maadhaar app setup assistance through the UIDAI portal.</v>
      </c>
      <c r="D4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4" s="7" t="str">
        <f aca="false">IF(INDEX(MASTER_DATABASE!$A$4:$A$1000,ROW()-3)="","",INDEX(MASTER_DATABASE!$O$4:$O$1000,ROW()-3)&amp;"")</f>
        <v>Aadhaar holders with a mobile number linked to Aadhaar.</v>
      </c>
      <c r="F44" s="7" t="str">
        <f aca="false">IF(INDEX(MASTER_DATABASE!$A$4:$A$1000,ROW()-3)="","",INDEX(MASTER_DATABASE!$M$4:$M$1000,ROW()-3)&amp;"")</f>
        <v>✓ Aadhaar Card
✓ Aadhaar-Linked Mobile Number</v>
      </c>
      <c r="G44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'mAadhaar App Setup Assistance'.
Step 3 → OTP is sent to your linked mobile and entered.
Step 4 → Service is completed and the result is downloaded / shown to you.
Step 5 → Pay the assistance charge.</v>
      </c>
      <c r="H4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4" s="7" t="str">
        <f aca="false">IF(INDEX(MASTER_DATABASE!$A$4:$A$1000,ROW()-3)="","",INDEX(MASTER_DATABASE!$Q$4:$Q$1000,ROW()-3)&amp;"")</f>
        <v>15–30 Minutes</v>
      </c>
      <c r="J44" s="7" t="str">
        <f aca="false">IF(INDEX(MASTER_DATABASE!$A$4:$A$1000,ROW()-3)="","",INDEX(MASTER_DATABASE!$J$4:$J$1000,ROW()-3)&amp;"")</f>
        <v>Depends on Portal – Confirm at Shop</v>
      </c>
      <c r="K44" s="7" t="str">
        <f aca="false">IF(INDEX(MASTER_DATABASE!$A$4:$A$1000,ROW()-3)="","",INDEX(MASTER_DATABASE!$AS$4:$AS$1000,ROW()-3)&amp;"")</f>
        <v>Portal availability and OTP delivery depend on UIDAI.</v>
      </c>
      <c r="L44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4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4" s="7" t="str">
        <f aca="false">IF(INDEX(MASTER_DATABASE!$A$4:$A$1000,ROW()-3)="","",INDEX(MASTER_DATABASE!$BG$4:$BG$1000,ROW()-3)&amp;"")</f>
        <v>Check Documents</v>
      </c>
    </row>
    <row r="45" customFormat="false" ht="91" hidden="false" customHeight="false" outlineLevel="0" collapsed="false">
      <c r="A45" s="11" t="str">
        <f aca="false">IF(INDEX(MASTER_DATABASE!$A$4:$A$1000,ROW()-3)="","",INDEX(MASTER_DATABASE!$A$4:$A$1000,ROW()-3)&amp;"")</f>
        <v>AAD-042</v>
      </c>
      <c r="B45" s="7" t="str">
        <f aca="false">IF(INDEX(MASTER_DATABASE!$A$4:$A$1000,ROW()-3)="","",INDEX(MASTER_DATABASE!$E$4:$E$1000,ROW()-3)&amp;"")</f>
        <v>Aadhaar Complaint / Grievance Filing Assistance</v>
      </c>
      <c r="C45" s="7" t="str">
        <f aca="false">IF(INDEX(MASTER_DATABASE!$A$4:$A$1000,ROW()-3)="","",INDEX(MASTER_DATABASE!$H$4:$H$1000,ROW()-3)&amp;"")</f>
        <v>Assistance with aadhaar complaint / grievance filing assistance through the UIDAI portal.</v>
      </c>
      <c r="D4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5" s="7" t="str">
        <f aca="false">IF(INDEX(MASTER_DATABASE!$A$4:$A$1000,ROW()-3)="","",INDEX(MASTER_DATABASE!$O$4:$O$1000,ROW()-3)&amp;"")</f>
        <v>Aadhaar holders with a mobile number linked to Aadhaar.</v>
      </c>
      <c r="F45" s="7" t="str">
        <f aca="false">IF(INDEX(MASTER_DATABASE!$A$4:$A$1000,ROW()-3)="","",INDEX(MASTER_DATABASE!$M$4:$M$1000,ROW()-3)&amp;"")</f>
        <v>✓ Aadhaar Card
✓ Aadhaar-Linked Mobile Number</v>
      </c>
      <c r="G45" s="7" t="str">
        <f aca="false">IF(INDEX(MASTER_DATABASE!$A$4:$A$1000,ROW()-3)="","",INDEX(MASTER_DATABASE!$P$4:$P$1000,ROW()-3)&amp;"")</f>
        <v>Step 1 → Bring your Aadhaar number and the mobile number linked with Aadhaar.
Step 2 → Operator opens the UIDAI service for 'Aadhaar Complaint / Grievance Filing Assistance'.
Step 3 → OTP is sent to your linked mobile and entered.
Step 4 → Service is completed and the result is downloaded / shown to you.
Step 5 → Pay the assistance charge.</v>
      </c>
      <c r="H4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5" s="7" t="str">
        <f aca="false">IF(INDEX(MASTER_DATABASE!$A$4:$A$1000,ROW()-3)="","",INDEX(MASTER_DATABASE!$Q$4:$Q$1000,ROW()-3)&amp;"")</f>
        <v>15–30 Minutes</v>
      </c>
      <c r="J45" s="7" t="str">
        <f aca="false">IF(INDEX(MASTER_DATABASE!$A$4:$A$1000,ROW()-3)="","",INDEX(MASTER_DATABASE!$J$4:$J$1000,ROW()-3)&amp;"")</f>
        <v>Depends on Portal – Confirm at Shop</v>
      </c>
      <c r="K45" s="7" t="str">
        <f aca="false">IF(INDEX(MASTER_DATABASE!$A$4:$A$1000,ROW()-3)="","",INDEX(MASTER_DATABASE!$AS$4:$AS$1000,ROW()-3)&amp;"")</f>
        <v>Portal availability and OTP delivery depend on UIDAI.</v>
      </c>
      <c r="L45" s="7" t="str">
        <f aca="false">IF(INDEX(MASTER_DATABASE!$A$4:$A$1000,ROW()-3)="","",INDEX(MASTER_DATABASE!$AR$4:$AR$1000,ROW()-3)&amp;"")</f>
        <v>Q1: What if my mobile is not linked?
A1: Some online services need OTP; the mobile must first be updated at an Aadhaar Centre.</v>
      </c>
      <c r="M4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5" s="7" t="str">
        <f aca="false">IF(INDEX(MASTER_DATABASE!$A$4:$A$1000,ROW()-3)="","",INDEX(MASTER_DATABASE!$BG$4:$BG$1000,ROW()-3)&amp;"")</f>
        <v>Check Documents</v>
      </c>
    </row>
    <row r="46" customFormat="false" ht="57.45" hidden="false" customHeight="false" outlineLevel="0" collapsed="false">
      <c r="A46" s="11" t="str">
        <f aca="false">IF(INDEX(MASTER_DATABASE!$A$4:$A$1000,ROW()-3)="","",INDEX(MASTER_DATABASE!$A$4:$A$1000,ROW()-3)&amp;"")</f>
        <v>HDF-001</v>
      </c>
      <c r="B46" s="7" t="str">
        <f aca="false">IF(INDEX(MASTER_DATABASE!$A$4:$A$1000,ROW()-3)="","",INDEX(MASTER_DATABASE!$E$4:$E$1000,ROW()-3)&amp;"")</f>
        <v>HDFC BC – Cash Deposit</v>
      </c>
      <c r="C46" s="7" t="str">
        <f aca="false">IF(INDEX(MASTER_DATABASE!$A$4:$A$1000,ROW()-3)="","",INDEX(MASTER_DATABASE!$H$4:$H$1000,ROW()-3)&amp;"")</f>
        <v>Deposit cash into a HDFC Bank account through our BC Point.</v>
      </c>
      <c r="D4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6" s="7" t="str">
        <f aca="false">IF(INDEX(MASTER_DATABASE!$A$4:$A$1000,ROW()-3)="","",INDEX(MASTER_DATABASE!$O$4:$O$1000,ROW()-3)&amp;"")</f>
        <v>HDFC Bank account holders (rules as per bank).</v>
      </c>
      <c r="F46" s="7" t="str">
        <f aca="false">IF(INDEX(MASTER_DATABASE!$A$4:$A$1000,ROW()-3)="","",INDEX(MASTER_DATABASE!$M$4:$M$1000,ROW()-3)&amp;"")</f>
        <v>✓ Bank Account Number
✓ Cash Amount</v>
      </c>
      <c r="G46" s="7" t="str">
        <f aca="false">IF(INDEX(MASTER_DATABASE!$A$4:$A$1000,ROW()-3)="","",INDEX(MASTER_DATABASE!$P$4:$P$1000,ROW()-3)&amp;"")</f>
        <v>Step 1 → Give the account number / details and the cash amount.
Step 2 → Operator enters the details on the BC device.
Step 3 → Customer verifies the amount and gives authentication if asked.
Step 4 → Cash is accepted and a receipt / SMS is generated.</v>
      </c>
      <c r="H4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6" s="7" t="str">
        <f aca="false">IF(INDEX(MASTER_DATABASE!$A$4:$A$1000,ROW()-3)="","",INDEX(MASTER_DATABASE!$Q$4:$Q$1000,ROW()-3)&amp;"")</f>
        <v>5–10 Minutes</v>
      </c>
      <c r="J46" s="7" t="str">
        <f aca="false">IF(INDEX(MASTER_DATABASE!$A$4:$A$1000,ROW()-3)="","",INDEX(MASTER_DATABASE!$J$4:$J$1000,ROW()-3)&amp;"")</f>
        <v>Please Confirm at Shop</v>
      </c>
      <c r="K46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46" s="7" t="str">
        <f aca="false">IF(INDEX(MASTER_DATABASE!$A$4:$A$1000,ROW()-3)="","",INDEX(MASTER_DATABASE!$AR$4:$AR$1000,ROW()-3)&amp;"")</f>
        <v>Q1: Is there a deposit limit?
A1: Limits are set by the bank; ask at the counter.</v>
      </c>
      <c r="M4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6" s="7" t="str">
        <f aca="false">IF(INDEX(MASTER_DATABASE!$A$4:$A$1000,ROW()-3)="","",INDEX(MASTER_DATABASE!$BG$4:$BG$1000,ROW()-3)&amp;"")</f>
        <v>Check Documents</v>
      </c>
    </row>
    <row r="47" customFormat="false" ht="46.25" hidden="false" customHeight="false" outlineLevel="0" collapsed="false">
      <c r="A47" s="11" t="str">
        <f aca="false">IF(INDEX(MASTER_DATABASE!$A$4:$A$1000,ROW()-3)="","",INDEX(MASTER_DATABASE!$A$4:$A$1000,ROW()-3)&amp;"")</f>
        <v>HDF-002</v>
      </c>
      <c r="B47" s="7" t="str">
        <f aca="false">IF(INDEX(MASTER_DATABASE!$A$4:$A$1000,ROW()-3)="","",INDEX(MASTER_DATABASE!$E$4:$E$1000,ROW()-3)&amp;"")</f>
        <v>HDFC BC – Cash Withdrawal</v>
      </c>
      <c r="C47" s="7" t="str">
        <f aca="false">IF(INDEX(MASTER_DATABASE!$A$4:$A$1000,ROW()-3)="","",INDEX(MASTER_DATABASE!$H$4:$H$1000,ROW()-3)&amp;"")</f>
        <v>Withdraw cash from a HDFC Bank account at our BC Point.</v>
      </c>
      <c r="D4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7" s="7" t="str">
        <f aca="false">IF(INDEX(MASTER_DATABASE!$A$4:$A$1000,ROW()-3)="","",INDEX(MASTER_DATABASE!$O$4:$O$1000,ROW()-3)&amp;"")</f>
        <v>HDFC Bank account holders (rules as per bank).</v>
      </c>
      <c r="F47" s="7" t="str">
        <f aca="false">IF(INDEX(MASTER_DATABASE!$A$4:$A$1000,ROW()-3)="","",INDEX(MASTER_DATABASE!$M$4:$M$1000,ROW()-3)&amp;"")</f>
        <v>✓ Aadhaar Card
✓ Customer Presence for Biometrics</v>
      </c>
      <c r="G47" s="7" t="str">
        <f aca="false">IF(INDEX(MASTER_DATABASE!$A$4:$A$1000,ROW()-3)="","",INDEX(MASTER_DATABASE!$P$4:$P$1000,ROW()-3)&amp;"")</f>
        <v>Step 1 → Tell the amount and give Aadhaar / account details.
Step 2 → Operator initiates the withdrawal on the BC device.
Step 3 → Customer authenticates (fingerprint / PIN as applicable).
Step 4 → Cash is handed over with receipt / SMS.</v>
      </c>
      <c r="H4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7" s="7" t="str">
        <f aca="false">IF(INDEX(MASTER_DATABASE!$A$4:$A$1000,ROW()-3)="","",INDEX(MASTER_DATABASE!$Q$4:$Q$1000,ROW()-3)&amp;"")</f>
        <v>5–10 Minutes</v>
      </c>
      <c r="J47" s="7" t="str">
        <f aca="false">IF(INDEX(MASTER_DATABASE!$A$4:$A$1000,ROW()-3)="","",INDEX(MASTER_DATABASE!$J$4:$J$1000,ROW()-3)&amp;"")</f>
        <v>Please Confirm at Shop</v>
      </c>
      <c r="K47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47" s="7" t="str">
        <f aca="false">IF(INDEX(MASTER_DATABASE!$A$4:$A$1000,ROW()-3)="","",INDEX(MASTER_DATABASE!$AR$4:$AR$1000,ROW()-3)&amp;"")</f>
        <v>Q1: Is there a daily limit?
A1: Yes, limits are set by the bank.</v>
      </c>
      <c r="M4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7" s="7" t="str">
        <f aca="false">IF(INDEX(MASTER_DATABASE!$A$4:$A$1000,ROW()-3)="","",INDEX(MASTER_DATABASE!$BG$4:$BG$1000,ROW()-3)&amp;"")</f>
        <v>Check Documents</v>
      </c>
    </row>
    <row r="48" customFormat="false" ht="68.65" hidden="false" customHeight="false" outlineLevel="0" collapsed="false">
      <c r="A48" s="11" t="str">
        <f aca="false">IF(INDEX(MASTER_DATABASE!$A$4:$A$1000,ROW()-3)="","",INDEX(MASTER_DATABASE!$A$4:$A$1000,ROW()-3)&amp;"")</f>
        <v>HDF-003</v>
      </c>
      <c r="B48" s="7" t="str">
        <f aca="false">IF(INDEX(MASTER_DATABASE!$A$4:$A$1000,ROW()-3)="","",INDEX(MASTER_DATABASE!$E$4:$E$1000,ROW()-3)&amp;"")</f>
        <v>HDFC BC – Balance Enquiry</v>
      </c>
      <c r="C48" s="7" t="str">
        <f aca="false">IF(INDEX(MASTER_DATABASE!$A$4:$A$1000,ROW()-3)="","",INDEX(MASTER_DATABASE!$H$4:$H$1000,ROW()-3)&amp;"")</f>
        <v>Assistance with hdfc bc – balance enquiry.</v>
      </c>
      <c r="D4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8" s="7" t="str">
        <f aca="false">IF(INDEX(MASTER_DATABASE!$A$4:$A$1000,ROW()-3)="","",INDEX(MASTER_DATABASE!$O$4:$O$1000,ROW()-3)&amp;"")</f>
        <v>Any customer who can provide the listed documents.</v>
      </c>
      <c r="F48" s="7" t="str">
        <f aca="false">IF(INDEX(MASTER_DATABASE!$A$4:$A$1000,ROW()-3)="","",INDEX(MASTER_DATABASE!$M$4:$M$1000,ROW()-3)&amp;"")</f>
        <v>✓ Aadhaar Card
✓ Bank Account Number
✓ Active Mobile Number</v>
      </c>
      <c r="G48" s="7" t="str">
        <f aca="false">IF(INDEX(MASTER_DATABASE!$A$4:$A$1000,ROW()-3)="","",INDEX(MASTER_DATABASE!$P$4:$P$1000,ROW()-3)&amp;"")</f>
        <v>Step 1 → Bring your account details and Aadhaar.
Step 2 → Operator checks how 'HDFC BC – Balance Enquiry' can be handled through the BC.
Step 3 → Request is submitted through the BC channel or the bank branch is advised.
Step 4 → Collect the acknowledgement.</v>
      </c>
      <c r="H4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8" s="7" t="str">
        <f aca="false">IF(INDEX(MASTER_DATABASE!$A$4:$A$1000,ROW()-3)="","",INDEX(MASTER_DATABASE!$Q$4:$Q$1000,ROW()-3)&amp;"")</f>
        <v>Depends on Department</v>
      </c>
      <c r="J48" s="7" t="str">
        <f aca="false">IF(INDEX(MASTER_DATABASE!$A$4:$A$1000,ROW()-3)="","",INDEX(MASTER_DATABASE!$J$4:$J$1000,ROW()-3)&amp;"")</f>
        <v>Please Confirm at Shop</v>
      </c>
      <c r="K48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4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4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8" s="7" t="str">
        <f aca="false">IF(INDEX(MASTER_DATABASE!$A$4:$A$1000,ROW()-3)="","",INDEX(MASTER_DATABASE!$BG$4:$BG$1000,ROW()-3)&amp;"")</f>
        <v>Check Documents</v>
      </c>
    </row>
    <row r="49" customFormat="false" ht="68.65" hidden="false" customHeight="false" outlineLevel="0" collapsed="false">
      <c r="A49" s="11" t="str">
        <f aca="false">IF(INDEX(MASTER_DATABASE!$A$4:$A$1000,ROW()-3)="","",INDEX(MASTER_DATABASE!$A$4:$A$1000,ROW()-3)&amp;"")</f>
        <v>HDF-004</v>
      </c>
      <c r="B49" s="7" t="str">
        <f aca="false">IF(INDEX(MASTER_DATABASE!$A$4:$A$1000,ROW()-3)="","",INDEX(MASTER_DATABASE!$E$4:$E$1000,ROW()-3)&amp;"")</f>
        <v>HDFC BC – Mini Statement</v>
      </c>
      <c r="C49" s="7" t="str">
        <f aca="false">IF(INDEX(MASTER_DATABASE!$A$4:$A$1000,ROW()-3)="","",INDEX(MASTER_DATABASE!$H$4:$H$1000,ROW()-3)&amp;"")</f>
        <v>Assistance with hdfc bc – mini statement.</v>
      </c>
      <c r="D4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49" s="7" t="str">
        <f aca="false">IF(INDEX(MASTER_DATABASE!$A$4:$A$1000,ROW()-3)="","",INDEX(MASTER_DATABASE!$O$4:$O$1000,ROW()-3)&amp;"")</f>
        <v>Any customer who can provide the listed documents.</v>
      </c>
      <c r="F49" s="7" t="str">
        <f aca="false">IF(INDEX(MASTER_DATABASE!$A$4:$A$1000,ROW()-3)="","",INDEX(MASTER_DATABASE!$M$4:$M$1000,ROW()-3)&amp;"")</f>
        <v>✓ Aadhaar Card
✓ Bank Account Number
✓ Active Mobile Number</v>
      </c>
      <c r="G49" s="7" t="str">
        <f aca="false">IF(INDEX(MASTER_DATABASE!$A$4:$A$1000,ROW()-3)="","",INDEX(MASTER_DATABASE!$P$4:$P$1000,ROW()-3)&amp;"")</f>
        <v>Step 1 → Bring your account details and Aadhaar.
Step 2 → Operator checks how 'HDFC BC – Mini Statement' can be handled through the BC.
Step 3 → Request is submitted through the BC channel or the bank branch is advised.
Step 4 → Collect the acknowledgement.</v>
      </c>
      <c r="H4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49" s="7" t="str">
        <f aca="false">IF(INDEX(MASTER_DATABASE!$A$4:$A$1000,ROW()-3)="","",INDEX(MASTER_DATABASE!$Q$4:$Q$1000,ROW()-3)&amp;"")</f>
        <v>Depends on Department</v>
      </c>
      <c r="J49" s="7" t="str">
        <f aca="false">IF(INDEX(MASTER_DATABASE!$A$4:$A$1000,ROW()-3)="","",INDEX(MASTER_DATABASE!$J$4:$J$1000,ROW()-3)&amp;"")</f>
        <v>Please Confirm at Shop</v>
      </c>
      <c r="K49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4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4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49" s="7" t="str">
        <f aca="false">IF(INDEX(MASTER_DATABASE!$A$4:$A$1000,ROW()-3)="","",INDEX(MASTER_DATABASE!$BG$4:$BG$1000,ROW()-3)&amp;"")</f>
        <v>Check Documents</v>
      </c>
    </row>
    <row r="50" customFormat="false" ht="46.25" hidden="false" customHeight="false" outlineLevel="0" collapsed="false">
      <c r="A50" s="11" t="str">
        <f aca="false">IF(INDEX(MASTER_DATABASE!$A$4:$A$1000,ROW()-3)="","",INDEX(MASTER_DATABASE!$A$4:$A$1000,ROW()-3)&amp;"")</f>
        <v>HDF-005</v>
      </c>
      <c r="B50" s="7" t="str">
        <f aca="false">IF(INDEX(MASTER_DATABASE!$A$4:$A$1000,ROW()-3)="","",INDEX(MASTER_DATABASE!$E$4:$E$1000,ROW()-3)&amp;"")</f>
        <v>HDFC BC – AEPS Cash Withdrawal</v>
      </c>
      <c r="C50" s="7" t="str">
        <f aca="false">IF(INDEX(MASTER_DATABASE!$A$4:$A$1000,ROW()-3)="","",INDEX(MASTER_DATABASE!$H$4:$H$1000,ROW()-3)&amp;"")</f>
        <v>AEPS cash withdrawal using Aadhaar and fingerprint.</v>
      </c>
      <c r="D5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0" s="7" t="str">
        <f aca="false">IF(INDEX(MASTER_DATABASE!$A$4:$A$1000,ROW()-3)="","",INDEX(MASTER_DATABASE!$O$4:$O$1000,ROW()-3)&amp;"")</f>
        <v>Customers with an Aadhaar-linked bank account.</v>
      </c>
      <c r="F50" s="7" t="str">
        <f aca="false">IF(INDEX(MASTER_DATABASE!$A$4:$A$1000,ROW()-3)="","",INDEX(MASTER_DATABASE!$M$4:$M$1000,ROW()-3)&amp;"")</f>
        <v>✓ Aadhaar Card
✓ Customer Presence for Biometrics</v>
      </c>
      <c r="G50" s="7" t="str">
        <f aca="false">IF(INDEX(MASTER_DATABASE!$A$4:$A$1000,ROW()-3)="","",INDEX(MASTER_DATABASE!$P$4:$P$1000,ROW()-3)&amp;"")</f>
        <v>Step 1 → Give your Aadhaar number and select your bank.
Step 2 → Place your finger for biometric authentication.
Step 3 → Operator completes the cash withdrawal.
Step 4 → Collect cash / receipt as applicable.</v>
      </c>
      <c r="H5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0" s="7" t="str">
        <f aca="false">IF(INDEX(MASTER_DATABASE!$A$4:$A$1000,ROW()-3)="","",INDEX(MASTER_DATABASE!$Q$4:$Q$1000,ROW()-3)&amp;"")</f>
        <v>5–10 Minutes</v>
      </c>
      <c r="J50" s="7" t="str">
        <f aca="false">IF(INDEX(MASTER_DATABASE!$A$4:$A$1000,ROW()-3)="","",INDEX(MASTER_DATABASE!$J$4:$J$1000,ROW()-3)&amp;"")</f>
        <v>Please Confirm at Shop</v>
      </c>
      <c r="K50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0" s="7" t="str">
        <f aca="false">IF(INDEX(MASTER_DATABASE!$A$4:$A$1000,ROW()-3)="","",INDEX(MASTER_DATABASE!$AR$4:$AR$1000,ROW()-3)&amp;"")</f>
        <v>Q1: Does my bank account need to be Aadhaar-linked?
A1: Yes, AEPS works only when the account is linked with Aadhaar.</v>
      </c>
      <c r="M5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0" s="7" t="str">
        <f aca="false">IF(INDEX(MASTER_DATABASE!$A$4:$A$1000,ROW()-3)="","",INDEX(MASTER_DATABASE!$BG$4:$BG$1000,ROW()-3)&amp;"")</f>
        <v>Check Documents</v>
      </c>
    </row>
    <row r="51" customFormat="false" ht="46.25" hidden="false" customHeight="false" outlineLevel="0" collapsed="false">
      <c r="A51" s="11" t="str">
        <f aca="false">IF(INDEX(MASTER_DATABASE!$A$4:$A$1000,ROW()-3)="","",INDEX(MASTER_DATABASE!$A$4:$A$1000,ROW()-3)&amp;"")</f>
        <v>HDF-006</v>
      </c>
      <c r="B51" s="7" t="str">
        <f aca="false">IF(INDEX(MASTER_DATABASE!$A$4:$A$1000,ROW()-3)="","",INDEX(MASTER_DATABASE!$E$4:$E$1000,ROW()-3)&amp;"")</f>
        <v>HDFC BC – AEPS Balance Enquiry</v>
      </c>
      <c r="C51" s="7" t="str">
        <f aca="false">IF(INDEX(MASTER_DATABASE!$A$4:$A$1000,ROW()-3)="","",INDEX(MASTER_DATABASE!$H$4:$H$1000,ROW()-3)&amp;"")</f>
        <v>AEPS balance enquiry using Aadhaar and fingerprint.</v>
      </c>
      <c r="D5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1" s="7" t="str">
        <f aca="false">IF(INDEX(MASTER_DATABASE!$A$4:$A$1000,ROW()-3)="","",INDEX(MASTER_DATABASE!$O$4:$O$1000,ROW()-3)&amp;"")</f>
        <v>Customers with an Aadhaar-linked bank account.</v>
      </c>
      <c r="F51" s="7" t="str">
        <f aca="false">IF(INDEX(MASTER_DATABASE!$A$4:$A$1000,ROW()-3)="","",INDEX(MASTER_DATABASE!$M$4:$M$1000,ROW()-3)&amp;"")</f>
        <v>✓ Aadhaar Card
✓ Customer Presence for Biometrics</v>
      </c>
      <c r="G51" s="7" t="str">
        <f aca="false">IF(INDEX(MASTER_DATABASE!$A$4:$A$1000,ROW()-3)="","",INDEX(MASTER_DATABASE!$P$4:$P$1000,ROW()-3)&amp;"")</f>
        <v>Step 1 → Give your Aadhaar number and select your bank.
Step 2 → Place your finger for biometric authentication.
Step 3 → Operator completes the balance enquiry.
Step 4 → Collect cash / receipt as applicable.</v>
      </c>
      <c r="H5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1" s="7" t="str">
        <f aca="false">IF(INDEX(MASTER_DATABASE!$A$4:$A$1000,ROW()-3)="","",INDEX(MASTER_DATABASE!$Q$4:$Q$1000,ROW()-3)&amp;"")</f>
        <v>5–10 Minutes</v>
      </c>
      <c r="J51" s="7" t="str">
        <f aca="false">IF(INDEX(MASTER_DATABASE!$A$4:$A$1000,ROW()-3)="","",INDEX(MASTER_DATABASE!$J$4:$J$1000,ROW()-3)&amp;"")</f>
        <v>Please Confirm at Shop</v>
      </c>
      <c r="K51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1" s="7" t="str">
        <f aca="false">IF(INDEX(MASTER_DATABASE!$A$4:$A$1000,ROW()-3)="","",INDEX(MASTER_DATABASE!$AR$4:$AR$1000,ROW()-3)&amp;"")</f>
        <v>Q1: Does my bank account need to be Aadhaar-linked?
A1: Yes, AEPS works only when the account is linked with Aadhaar.</v>
      </c>
      <c r="M5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1" s="7" t="str">
        <f aca="false">IF(INDEX(MASTER_DATABASE!$A$4:$A$1000,ROW()-3)="","",INDEX(MASTER_DATABASE!$BG$4:$BG$1000,ROW()-3)&amp;"")</f>
        <v>Check Documents</v>
      </c>
    </row>
    <row r="52" customFormat="false" ht="46.25" hidden="false" customHeight="false" outlineLevel="0" collapsed="false">
      <c r="A52" s="11" t="str">
        <f aca="false">IF(INDEX(MASTER_DATABASE!$A$4:$A$1000,ROW()-3)="","",INDEX(MASTER_DATABASE!$A$4:$A$1000,ROW()-3)&amp;"")</f>
        <v>HDF-007</v>
      </c>
      <c r="B52" s="7" t="str">
        <f aca="false">IF(INDEX(MASTER_DATABASE!$A$4:$A$1000,ROW()-3)="","",INDEX(MASTER_DATABASE!$E$4:$E$1000,ROW()-3)&amp;"")</f>
        <v>HDFC BC – AEPS Mini Statement</v>
      </c>
      <c r="C52" s="7" t="str">
        <f aca="false">IF(INDEX(MASTER_DATABASE!$A$4:$A$1000,ROW()-3)="","",INDEX(MASTER_DATABASE!$H$4:$H$1000,ROW()-3)&amp;"")</f>
        <v>AEPS mini statement using Aadhaar and fingerprint.</v>
      </c>
      <c r="D5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2" s="7" t="str">
        <f aca="false">IF(INDEX(MASTER_DATABASE!$A$4:$A$1000,ROW()-3)="","",INDEX(MASTER_DATABASE!$O$4:$O$1000,ROW()-3)&amp;"")</f>
        <v>Customers with an Aadhaar-linked bank account.</v>
      </c>
      <c r="F52" s="7" t="str">
        <f aca="false">IF(INDEX(MASTER_DATABASE!$A$4:$A$1000,ROW()-3)="","",INDEX(MASTER_DATABASE!$M$4:$M$1000,ROW()-3)&amp;"")</f>
        <v>✓ Aadhaar Card
✓ Customer Presence for Biometrics</v>
      </c>
      <c r="G52" s="7" t="str">
        <f aca="false">IF(INDEX(MASTER_DATABASE!$A$4:$A$1000,ROW()-3)="","",INDEX(MASTER_DATABASE!$P$4:$P$1000,ROW()-3)&amp;"")</f>
        <v>Step 1 → Give your Aadhaar number and select your bank.
Step 2 → Place your finger for biometric authentication.
Step 3 → Operator completes the mini statement.
Step 4 → Collect cash / receipt as applicable.</v>
      </c>
      <c r="H5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2" s="7" t="str">
        <f aca="false">IF(INDEX(MASTER_DATABASE!$A$4:$A$1000,ROW()-3)="","",INDEX(MASTER_DATABASE!$Q$4:$Q$1000,ROW()-3)&amp;"")</f>
        <v>5–10 Minutes</v>
      </c>
      <c r="J52" s="7" t="str">
        <f aca="false">IF(INDEX(MASTER_DATABASE!$A$4:$A$1000,ROW()-3)="","",INDEX(MASTER_DATABASE!$J$4:$J$1000,ROW()-3)&amp;"")</f>
        <v>Please Confirm at Shop</v>
      </c>
      <c r="K52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2" s="7" t="str">
        <f aca="false">IF(INDEX(MASTER_DATABASE!$A$4:$A$1000,ROW()-3)="","",INDEX(MASTER_DATABASE!$AR$4:$AR$1000,ROW()-3)&amp;"")</f>
        <v>Q1: Does my bank account need to be Aadhaar-linked?
A1: Yes, AEPS works only when the account is linked with Aadhaar.</v>
      </c>
      <c r="M5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2" s="7" t="str">
        <f aca="false">IF(INDEX(MASTER_DATABASE!$A$4:$A$1000,ROW()-3)="","",INDEX(MASTER_DATABASE!$BG$4:$BG$1000,ROW()-3)&amp;"")</f>
        <v>Check Documents</v>
      </c>
    </row>
    <row r="53" customFormat="false" ht="46.25" hidden="false" customHeight="false" outlineLevel="0" collapsed="false">
      <c r="A53" s="11" t="str">
        <f aca="false">IF(INDEX(MASTER_DATABASE!$A$4:$A$1000,ROW()-3)="","",INDEX(MASTER_DATABASE!$A$4:$A$1000,ROW()-3)&amp;"")</f>
        <v>HDF-008</v>
      </c>
      <c r="B53" s="7" t="str">
        <f aca="false">IF(INDEX(MASTER_DATABASE!$A$4:$A$1000,ROW()-3)="","",INDEX(MASTER_DATABASE!$E$4:$E$1000,ROW()-3)&amp;"")</f>
        <v>HDFC BC – Biometric Banking (Fingerprint Authenticated)</v>
      </c>
      <c r="C53" s="7" t="str">
        <f aca="false">IF(INDEX(MASTER_DATABASE!$A$4:$A$1000,ROW()-3)="","",INDEX(MASTER_DATABASE!$H$4:$H$1000,ROW()-3)&amp;"")</f>
        <v>Banking transactions authenticated with fingerprint.</v>
      </c>
      <c r="D5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3" s="7" t="str">
        <f aca="false">IF(INDEX(MASTER_DATABASE!$A$4:$A$1000,ROW()-3)="","",INDEX(MASTER_DATABASE!$O$4:$O$1000,ROW()-3)&amp;"")</f>
        <v>Customers with Aadhaar-linked accounts.</v>
      </c>
      <c r="F53" s="7" t="str">
        <f aca="false">IF(INDEX(MASTER_DATABASE!$A$4:$A$1000,ROW()-3)="","",INDEX(MASTER_DATABASE!$M$4:$M$1000,ROW()-3)&amp;"")</f>
        <v>✓ Aadhaar Card
✓ Customer Presence for Biometrics</v>
      </c>
      <c r="G53" s="7" t="str">
        <f aca="false">IF(INDEX(MASTER_DATABASE!$A$4:$A$1000,ROW()-3)="","",INDEX(MASTER_DATABASE!$P$4:$P$1000,ROW()-3)&amp;"")</f>
        <v>Step 1 → Give Aadhaar number and choose the transaction.
Step 2 → Fingerprint is verified on the device.
Step 3 → Transaction is completed and receipt / SMS is generated.</v>
      </c>
      <c r="H5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3" s="7" t="str">
        <f aca="false">IF(INDEX(MASTER_DATABASE!$A$4:$A$1000,ROW()-3)="","",INDEX(MASTER_DATABASE!$Q$4:$Q$1000,ROW()-3)&amp;"")</f>
        <v>5–10 Minutes</v>
      </c>
      <c r="J53" s="7" t="str">
        <f aca="false">IF(INDEX(MASTER_DATABASE!$A$4:$A$1000,ROW()-3)="","",INDEX(MASTER_DATABASE!$J$4:$J$1000,ROW()-3)&amp;"")</f>
        <v>Please Confirm at Shop</v>
      </c>
      <c r="K53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5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3" s="7" t="str">
        <f aca="false">IF(INDEX(MASTER_DATABASE!$A$4:$A$1000,ROW()-3)="","",INDEX(MASTER_DATABASE!$BG$4:$BG$1000,ROW()-3)&amp;"")</f>
        <v>Check Documents</v>
      </c>
    </row>
    <row r="54" customFormat="false" ht="46.25" hidden="false" customHeight="false" outlineLevel="0" collapsed="false">
      <c r="A54" s="11" t="str">
        <f aca="false">IF(INDEX(MASTER_DATABASE!$A$4:$A$1000,ROW()-3)="","",INDEX(MASTER_DATABASE!$A$4:$A$1000,ROW()-3)&amp;"")</f>
        <v>HDF-009</v>
      </c>
      <c r="B54" s="7" t="str">
        <f aca="false">IF(INDEX(MASTER_DATABASE!$A$4:$A$1000,ROW()-3)="","",INDEX(MASTER_DATABASE!$E$4:$E$1000,ROW()-3)&amp;"")</f>
        <v>HDFC BC – Micro ATM Cash Withdrawal</v>
      </c>
      <c r="C54" s="7" t="str">
        <f aca="false">IF(INDEX(MASTER_DATABASE!$A$4:$A$1000,ROW()-3)="","",INDEX(MASTER_DATABASE!$H$4:$H$1000,ROW()-3)&amp;"")</f>
        <v>HDFC BC – Micro ATM Cash Withdrawal using the Micro ATM device.</v>
      </c>
      <c r="D5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4" s="7" t="str">
        <f aca="false">IF(INDEX(MASTER_DATABASE!$A$4:$A$1000,ROW()-3)="","",INDEX(MASTER_DATABASE!$O$4:$O$1000,ROW()-3)&amp;"")</f>
        <v>Debit card holders.</v>
      </c>
      <c r="F54" s="7" t="str">
        <f aca="false">IF(INDEX(MASTER_DATABASE!$A$4:$A$1000,ROW()-3)="","",INDEX(MASTER_DATABASE!$M$4:$M$1000,ROW()-3)&amp;"")</f>
        <v>✓ Debit Card</v>
      </c>
      <c r="G54" s="7" t="str">
        <f aca="false">IF(INDEX(MASTER_DATABASE!$A$4:$A$1000,ROW()-3)="","",INDEX(MASTER_DATABASE!$P$4:$P$1000,ROW()-3)&amp;"")</f>
        <v>Step 1 → Bring your debit card.
Step 2 → Operator starts the Micro ATM transaction.
Step 3 → Swipe / insert card and enter your PIN yourself.
Step 4 → Collect cash / receipt.</v>
      </c>
      <c r="H5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4" s="7" t="str">
        <f aca="false">IF(INDEX(MASTER_DATABASE!$A$4:$A$1000,ROW()-3)="","",INDEX(MASTER_DATABASE!$Q$4:$Q$1000,ROW()-3)&amp;"")</f>
        <v>5–10 Minutes</v>
      </c>
      <c r="J54" s="7" t="str">
        <f aca="false">IF(INDEX(MASTER_DATABASE!$A$4:$A$1000,ROW()-3)="","",INDEX(MASTER_DATABASE!$J$4:$J$1000,ROW()-3)&amp;"")</f>
        <v>Please Confirm at Shop</v>
      </c>
      <c r="K54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4" s="7" t="str">
        <f aca="false">IF(INDEX(MASTER_DATABASE!$A$4:$A$1000,ROW()-3)="","",INDEX(MASTER_DATABASE!$AR$4:$AR$1000,ROW()-3)&amp;"")</f>
        <v>Q1: Who enters the PIN?
A1: You should enter the PIN yourself on the device.</v>
      </c>
      <c r="M5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4" s="7" t="str">
        <f aca="false">IF(INDEX(MASTER_DATABASE!$A$4:$A$1000,ROW()-3)="","",INDEX(MASTER_DATABASE!$BG$4:$BG$1000,ROW()-3)&amp;"")</f>
        <v>Check Documents</v>
      </c>
    </row>
    <row r="55" customFormat="false" ht="46.25" hidden="false" customHeight="false" outlineLevel="0" collapsed="false">
      <c r="A55" s="11" t="str">
        <f aca="false">IF(INDEX(MASTER_DATABASE!$A$4:$A$1000,ROW()-3)="","",INDEX(MASTER_DATABASE!$A$4:$A$1000,ROW()-3)&amp;"")</f>
        <v>HDF-010</v>
      </c>
      <c r="B55" s="7" t="str">
        <f aca="false">IF(INDEX(MASTER_DATABASE!$A$4:$A$1000,ROW()-3)="","",INDEX(MASTER_DATABASE!$E$4:$E$1000,ROW()-3)&amp;"")</f>
        <v>HDFC BC – Micro ATM Balance Enquiry</v>
      </c>
      <c r="C55" s="7" t="str">
        <f aca="false">IF(INDEX(MASTER_DATABASE!$A$4:$A$1000,ROW()-3)="","",INDEX(MASTER_DATABASE!$H$4:$H$1000,ROW()-3)&amp;"")</f>
        <v>HDFC BC – Micro ATM Balance Enquiry using the Micro ATM device.</v>
      </c>
      <c r="D5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5" s="7" t="str">
        <f aca="false">IF(INDEX(MASTER_DATABASE!$A$4:$A$1000,ROW()-3)="","",INDEX(MASTER_DATABASE!$O$4:$O$1000,ROW()-3)&amp;"")</f>
        <v>Debit card holders.</v>
      </c>
      <c r="F55" s="7" t="str">
        <f aca="false">IF(INDEX(MASTER_DATABASE!$A$4:$A$1000,ROW()-3)="","",INDEX(MASTER_DATABASE!$M$4:$M$1000,ROW()-3)&amp;"")</f>
        <v>✓ Debit Card</v>
      </c>
      <c r="G55" s="7" t="str">
        <f aca="false">IF(INDEX(MASTER_DATABASE!$A$4:$A$1000,ROW()-3)="","",INDEX(MASTER_DATABASE!$P$4:$P$1000,ROW()-3)&amp;"")</f>
        <v>Step 1 → Bring your debit card.
Step 2 → Operator starts the Micro ATM transaction.
Step 3 → Swipe / insert card and enter your PIN yourself.
Step 4 → Collect cash / receipt.</v>
      </c>
      <c r="H5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5" s="7" t="str">
        <f aca="false">IF(INDEX(MASTER_DATABASE!$A$4:$A$1000,ROW()-3)="","",INDEX(MASTER_DATABASE!$Q$4:$Q$1000,ROW()-3)&amp;"")</f>
        <v>5–10 Minutes</v>
      </c>
      <c r="J55" s="7" t="str">
        <f aca="false">IF(INDEX(MASTER_DATABASE!$A$4:$A$1000,ROW()-3)="","",INDEX(MASTER_DATABASE!$J$4:$J$1000,ROW()-3)&amp;"")</f>
        <v>Please Confirm at Shop</v>
      </c>
      <c r="K55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5" s="7" t="str">
        <f aca="false">IF(INDEX(MASTER_DATABASE!$A$4:$A$1000,ROW()-3)="","",INDEX(MASTER_DATABASE!$AR$4:$AR$1000,ROW()-3)&amp;"")</f>
        <v>Q1: Who enters the PIN?
A1: You should enter the PIN yourself on the device.</v>
      </c>
      <c r="M5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5" s="7" t="str">
        <f aca="false">IF(INDEX(MASTER_DATABASE!$A$4:$A$1000,ROW()-3)="","",INDEX(MASTER_DATABASE!$BG$4:$BG$1000,ROW()-3)&amp;"")</f>
        <v>Check Documents</v>
      </c>
    </row>
    <row r="56" customFormat="false" ht="46.25" hidden="false" customHeight="false" outlineLevel="0" collapsed="false">
      <c r="A56" s="11" t="str">
        <f aca="false">IF(INDEX(MASTER_DATABASE!$A$4:$A$1000,ROW()-3)="","",INDEX(MASTER_DATABASE!$A$4:$A$1000,ROW()-3)&amp;"")</f>
        <v>HDF-011</v>
      </c>
      <c r="B56" s="7" t="str">
        <f aca="false">IF(INDEX(MASTER_DATABASE!$A$4:$A$1000,ROW()-3)="","",INDEX(MASTER_DATABASE!$E$4:$E$1000,ROW()-3)&amp;"")</f>
        <v>HDFC BC – Micro ATM Mini Statement</v>
      </c>
      <c r="C56" s="7" t="str">
        <f aca="false">IF(INDEX(MASTER_DATABASE!$A$4:$A$1000,ROW()-3)="","",INDEX(MASTER_DATABASE!$H$4:$H$1000,ROW()-3)&amp;"")</f>
        <v>HDFC BC – Micro ATM Mini Statement using the Micro ATM device.</v>
      </c>
      <c r="D5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6" s="7" t="str">
        <f aca="false">IF(INDEX(MASTER_DATABASE!$A$4:$A$1000,ROW()-3)="","",INDEX(MASTER_DATABASE!$O$4:$O$1000,ROW()-3)&amp;"")</f>
        <v>Debit card holders.</v>
      </c>
      <c r="F56" s="7" t="str">
        <f aca="false">IF(INDEX(MASTER_DATABASE!$A$4:$A$1000,ROW()-3)="","",INDEX(MASTER_DATABASE!$M$4:$M$1000,ROW()-3)&amp;"")</f>
        <v>✓ Debit Card</v>
      </c>
      <c r="G56" s="7" t="str">
        <f aca="false">IF(INDEX(MASTER_DATABASE!$A$4:$A$1000,ROW()-3)="","",INDEX(MASTER_DATABASE!$P$4:$P$1000,ROW()-3)&amp;"")</f>
        <v>Step 1 → Bring your debit card.
Step 2 → Operator starts the Micro ATM transaction.
Step 3 → Swipe / insert card and enter your PIN yourself.
Step 4 → Collect cash / receipt.</v>
      </c>
      <c r="H5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6" s="7" t="str">
        <f aca="false">IF(INDEX(MASTER_DATABASE!$A$4:$A$1000,ROW()-3)="","",INDEX(MASTER_DATABASE!$Q$4:$Q$1000,ROW()-3)&amp;"")</f>
        <v>5–10 Minutes</v>
      </c>
      <c r="J56" s="7" t="str">
        <f aca="false">IF(INDEX(MASTER_DATABASE!$A$4:$A$1000,ROW()-3)="","",INDEX(MASTER_DATABASE!$J$4:$J$1000,ROW()-3)&amp;"")</f>
        <v>Please Confirm at Shop</v>
      </c>
      <c r="K56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6" s="7" t="str">
        <f aca="false">IF(INDEX(MASTER_DATABASE!$A$4:$A$1000,ROW()-3)="","",INDEX(MASTER_DATABASE!$AR$4:$AR$1000,ROW()-3)&amp;"")</f>
        <v>Q1: Who enters the PIN?
A1: You should enter the PIN yourself on the device.</v>
      </c>
      <c r="M5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6" s="7" t="str">
        <f aca="false">IF(INDEX(MASTER_DATABASE!$A$4:$A$1000,ROW()-3)="","",INDEX(MASTER_DATABASE!$BG$4:$BG$1000,ROW()-3)&amp;"")</f>
        <v>Check Documents</v>
      </c>
    </row>
    <row r="57" customFormat="false" ht="68.65" hidden="false" customHeight="false" outlineLevel="0" collapsed="false">
      <c r="A57" s="11" t="str">
        <f aca="false">IF(INDEX(MASTER_DATABASE!$A$4:$A$1000,ROW()-3)="","",INDEX(MASTER_DATABASE!$A$4:$A$1000,ROW()-3)&amp;"")</f>
        <v>HDF-012</v>
      </c>
      <c r="B57" s="7" t="str">
        <f aca="false">IF(INDEX(MASTER_DATABASE!$A$4:$A$1000,ROW()-3)="","",INDEX(MASTER_DATABASE!$E$4:$E$1000,ROW()-3)&amp;"")</f>
        <v>HDFC BC – Money Transfer (Domestic)</v>
      </c>
      <c r="C57" s="7" t="str">
        <f aca="false">IF(INDEX(MASTER_DATABASE!$A$4:$A$1000,ROW()-3)="","",INDEX(MASTER_DATABASE!$H$4:$H$1000,ROW()-3)&amp;"")</f>
        <v>Send money to a bank account by paying cash at our BC Point.</v>
      </c>
      <c r="D5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7" s="7" t="str">
        <f aca="false">IF(INDEX(MASTER_DATABASE!$A$4:$A$1000,ROW()-3)="","",INDEX(MASTER_DATABASE!$O$4:$O$1000,ROW()-3)&amp;"")</f>
        <v>Individuals sending domestic money (limits per bank rules).</v>
      </c>
      <c r="F57" s="7" t="str">
        <f aca="false">IF(INDEX(MASTER_DATABASE!$A$4:$A$1000,ROW()-3)="","",INDEX(MASTER_DATABASE!$M$4:$M$1000,ROW()-3)&amp;"")</f>
        <v>✓ Beneficiary Account Details
✓ Cash Amount
✓ Active Mobile Number</v>
      </c>
      <c r="G57" s="7" t="str">
        <f aca="false">IF(INDEX(MASTER_DATABASE!$A$4:$A$1000,ROW()-3)="","",INDEX(MASTER_DATABASE!$P$4:$P$1000,ROW()-3)&amp;"")</f>
        <v>Step 1 → Give the receiver's account number / IFSC and the amount.
Step 2 → Operator registers / verifies the sender and receiver on the BC system.
Step 3 → Pay the cash and the transfer charge.
Step 4 → Transfer is done; collect the receipt / reference.</v>
      </c>
      <c r="H5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7" s="7" t="str">
        <f aca="false">IF(INDEX(MASTER_DATABASE!$A$4:$A$1000,ROW()-3)="","",INDEX(MASTER_DATABASE!$Q$4:$Q$1000,ROW()-3)&amp;"")</f>
        <v>Same Day</v>
      </c>
      <c r="J57" s="7" t="str">
        <f aca="false">IF(INDEX(MASTER_DATABASE!$A$4:$A$1000,ROW()-3)="","",INDEX(MASTER_DATABASE!$J$4:$J$1000,ROW()-3)&amp;"")</f>
        <v>Please Confirm at Shop</v>
      </c>
      <c r="K57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5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7" s="7" t="str">
        <f aca="false">IF(INDEX(MASTER_DATABASE!$A$4:$A$1000,ROW()-3)="","",INDEX(MASTER_DATABASE!$BG$4:$BG$1000,ROW()-3)&amp;"")</f>
        <v>Check Documents</v>
      </c>
    </row>
    <row r="58" customFormat="false" ht="57.45" hidden="false" customHeight="false" outlineLevel="0" collapsed="false">
      <c r="A58" s="11" t="str">
        <f aca="false">IF(INDEX(MASTER_DATABASE!$A$4:$A$1000,ROW()-3)="","",INDEX(MASTER_DATABASE!$A$4:$A$1000,ROW()-3)&amp;"")</f>
        <v>HDF-013</v>
      </c>
      <c r="B58" s="7" t="str">
        <f aca="false">IF(INDEX(MASTER_DATABASE!$A$4:$A$1000,ROW()-3)="","",INDEX(MASTER_DATABASE!$E$4:$E$1000,ROW()-3)&amp;"")</f>
        <v>HDFC BC – New Savings Account Opening Assistance</v>
      </c>
      <c r="C58" s="7" t="str">
        <f aca="false">IF(INDEX(MASTER_DATABASE!$A$4:$A$1000,ROW()-3)="","",INDEX(MASTER_DATABASE!$H$4:$H$1000,ROW()-3)&amp;"")</f>
        <v>Assistance to open a new HDFC Bank account.</v>
      </c>
      <c r="D5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8" s="7" t="str">
        <f aca="false">IF(INDEX(MASTER_DATABASE!$A$4:$A$1000,ROW()-3)="","",INDEX(MASTER_DATABASE!$O$4:$O$1000,ROW()-3)&amp;"")</f>
        <v>Individuals eligible for the bank's account type.</v>
      </c>
      <c r="F58" s="7" t="str">
        <f aca="false">IF(INDEX(MASTER_DATABASE!$A$4:$A$1000,ROW()-3)="","",INDEX(MASTER_DATABASE!$M$4:$M$1000,ROW()-3)&amp;"")</f>
        <v>✓ Aadhaar Card
✓ Passport Photo
✓ Active Mobile Number</v>
      </c>
      <c r="G58" s="7" t="str">
        <f aca="false">IF(INDEX(MASTER_DATABASE!$A$4:$A$1000,ROW()-3)="","",INDEX(MASTER_DATABASE!$P$4:$P$1000,ROW()-3)&amp;"")</f>
        <v>Step 1 → Bring Aadhaar, mobile number and photo.
Step 2 → Operator starts the account opening form on the BC system.
Step 3 → eKYC / biometric verification is completed.
Step 4 → Form is submitted and the account details are shared.</v>
      </c>
      <c r="H5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8" s="7" t="str">
        <f aca="false">IF(INDEX(MASTER_DATABASE!$A$4:$A$1000,ROW()-3)="","",INDEX(MASTER_DATABASE!$Q$4:$Q$1000,ROW()-3)&amp;"")</f>
        <v>Depends on Department</v>
      </c>
      <c r="J58" s="7" t="str">
        <f aca="false">IF(INDEX(MASTER_DATABASE!$A$4:$A$1000,ROW()-3)="","",INDEX(MASTER_DATABASE!$J$4:$J$1000,ROW()-3)&amp;"")</f>
        <v>To Be Confirmed</v>
      </c>
      <c r="K58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5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8" s="7" t="str">
        <f aca="false">IF(INDEX(MASTER_DATABASE!$A$4:$A$1000,ROW()-3)="","",INDEX(MASTER_DATABASE!$BG$4:$BG$1000,ROW()-3)&amp;"")</f>
        <v>Check Documents</v>
      </c>
    </row>
    <row r="59" customFormat="false" ht="68.65" hidden="false" customHeight="false" outlineLevel="0" collapsed="false">
      <c r="A59" s="11" t="str">
        <f aca="false">IF(INDEX(MASTER_DATABASE!$A$4:$A$1000,ROW()-3)="","",INDEX(MASTER_DATABASE!$A$4:$A$1000,ROW()-3)&amp;"")</f>
        <v>HDF-014</v>
      </c>
      <c r="B59" s="7" t="str">
        <f aca="false">IF(INDEX(MASTER_DATABASE!$A$4:$A$1000,ROW()-3)="","",INDEX(MASTER_DATABASE!$E$4:$E$1000,ROW()-3)&amp;"")</f>
        <v>HDFC BC – Account Mobile Number Registration / Update</v>
      </c>
      <c r="C59" s="7" t="str">
        <f aca="false">IF(INDEX(MASTER_DATABASE!$A$4:$A$1000,ROW()-3)="","",INDEX(MASTER_DATABASE!$H$4:$H$1000,ROW()-3)&amp;"")</f>
        <v>Assistance with hdfc bc – account mobile number registration / update.</v>
      </c>
      <c r="D5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59" s="7" t="str">
        <f aca="false">IF(INDEX(MASTER_DATABASE!$A$4:$A$1000,ROW()-3)="","",INDEX(MASTER_DATABASE!$O$4:$O$1000,ROW()-3)&amp;"")</f>
        <v>Any customer who can provide the listed documents.</v>
      </c>
      <c r="F59" s="7" t="str">
        <f aca="false">IF(INDEX(MASTER_DATABASE!$A$4:$A$1000,ROW()-3)="","",INDEX(MASTER_DATABASE!$M$4:$M$1000,ROW()-3)&amp;"")</f>
        <v>✓ Aadhaar Card
✓ Bank Account Number
✓ Active Mobile Number</v>
      </c>
      <c r="G59" s="7" t="str">
        <f aca="false">IF(INDEX(MASTER_DATABASE!$A$4:$A$1000,ROW()-3)="","",INDEX(MASTER_DATABASE!$P$4:$P$1000,ROW()-3)&amp;"")</f>
        <v>Step 1 → Bring your account details and Aadhaar.
Step 2 → Operator checks how 'HDFC BC – Account Mobile Number Registration / Update' can be handled through the BC.
Step 3 → Request is submitted through the BC channel or the bank branch is advised.
Step 4 → Collect the acknowledgement.</v>
      </c>
      <c r="H5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59" s="7" t="str">
        <f aca="false">IF(INDEX(MASTER_DATABASE!$A$4:$A$1000,ROW()-3)="","",INDEX(MASTER_DATABASE!$Q$4:$Q$1000,ROW()-3)&amp;"")</f>
        <v>Depends on Department</v>
      </c>
      <c r="J59" s="7" t="str">
        <f aca="false">IF(INDEX(MASTER_DATABASE!$A$4:$A$1000,ROW()-3)="","",INDEX(MASTER_DATABASE!$J$4:$J$1000,ROW()-3)&amp;"")</f>
        <v>To Be Confirmed</v>
      </c>
      <c r="K59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5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5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59" s="7" t="str">
        <f aca="false">IF(INDEX(MASTER_DATABASE!$A$4:$A$1000,ROW()-3)="","",INDEX(MASTER_DATABASE!$BG$4:$BG$1000,ROW()-3)&amp;"")</f>
        <v>Check Documents</v>
      </c>
    </row>
    <row r="60" customFormat="false" ht="68.65" hidden="false" customHeight="false" outlineLevel="0" collapsed="false">
      <c r="A60" s="11" t="str">
        <f aca="false">IF(INDEX(MASTER_DATABASE!$A$4:$A$1000,ROW()-3)="","",INDEX(MASTER_DATABASE!$A$4:$A$1000,ROW()-3)&amp;"")</f>
        <v>HDF-015</v>
      </c>
      <c r="B60" s="7" t="str">
        <f aca="false">IF(INDEX(MASTER_DATABASE!$A$4:$A$1000,ROW()-3)="","",INDEX(MASTER_DATABASE!$E$4:$E$1000,ROW()-3)&amp;"")</f>
        <v>HDFC BC – Debit Card Request / PIN Assistance</v>
      </c>
      <c r="C60" s="7" t="str">
        <f aca="false">IF(INDEX(MASTER_DATABASE!$A$4:$A$1000,ROW()-3)="","",INDEX(MASTER_DATABASE!$H$4:$H$1000,ROW()-3)&amp;"")</f>
        <v>Assistance with hdfc bc – debit card request / pin assistance.</v>
      </c>
      <c r="D6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0" s="7" t="str">
        <f aca="false">IF(INDEX(MASTER_DATABASE!$A$4:$A$1000,ROW()-3)="","",INDEX(MASTER_DATABASE!$O$4:$O$1000,ROW()-3)&amp;"")</f>
        <v>Any customer who can provide the listed documents.</v>
      </c>
      <c r="F60" s="7" t="str">
        <f aca="false">IF(INDEX(MASTER_DATABASE!$A$4:$A$1000,ROW()-3)="","",INDEX(MASTER_DATABASE!$M$4:$M$1000,ROW()-3)&amp;"")</f>
        <v>✓ Aadhaar Card
✓ Bank Account Number
✓ Active Mobile Number</v>
      </c>
      <c r="G60" s="7" t="str">
        <f aca="false">IF(INDEX(MASTER_DATABASE!$A$4:$A$1000,ROW()-3)="","",INDEX(MASTER_DATABASE!$P$4:$P$1000,ROW()-3)&amp;"")</f>
        <v>Step 1 → Bring your account details and Aadhaar.
Step 2 → Operator checks how 'HDFC BC – Debit Card Request / PIN Assistance' can be handled through the BC.
Step 3 → Request is submitted through the BC channel or the bank branch is advised.
Step 4 → Collect the acknowledgement.</v>
      </c>
      <c r="H6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0" s="7" t="str">
        <f aca="false">IF(INDEX(MASTER_DATABASE!$A$4:$A$1000,ROW()-3)="","",INDEX(MASTER_DATABASE!$Q$4:$Q$1000,ROW()-3)&amp;"")</f>
        <v>Depends on Department</v>
      </c>
      <c r="J60" s="7" t="str">
        <f aca="false">IF(INDEX(MASTER_DATABASE!$A$4:$A$1000,ROW()-3)="","",INDEX(MASTER_DATABASE!$J$4:$J$1000,ROW()-3)&amp;"")</f>
        <v>To Be Confirmed</v>
      </c>
      <c r="K60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6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6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0" s="7" t="str">
        <f aca="false">IF(INDEX(MASTER_DATABASE!$A$4:$A$1000,ROW()-3)="","",INDEX(MASTER_DATABASE!$BG$4:$BG$1000,ROW()-3)&amp;"")</f>
        <v>Check Documents</v>
      </c>
    </row>
    <row r="61" customFormat="false" ht="68.65" hidden="false" customHeight="false" outlineLevel="0" collapsed="false">
      <c r="A61" s="11" t="str">
        <f aca="false">IF(INDEX(MASTER_DATABASE!$A$4:$A$1000,ROW()-3)="","",INDEX(MASTER_DATABASE!$A$4:$A$1000,ROW()-3)&amp;"")</f>
        <v>HDF-016</v>
      </c>
      <c r="B61" s="7" t="str">
        <f aca="false">IF(INDEX(MASTER_DATABASE!$A$4:$A$1000,ROW()-3)="","",INDEX(MASTER_DATABASE!$E$4:$E$1000,ROW()-3)&amp;"")</f>
        <v>HDFC BC – Cheque Book Request Assistance</v>
      </c>
      <c r="C61" s="7" t="str">
        <f aca="false">IF(INDEX(MASTER_DATABASE!$A$4:$A$1000,ROW()-3)="","",INDEX(MASTER_DATABASE!$H$4:$H$1000,ROW()-3)&amp;"")</f>
        <v>Assistance with hdfc bc – cheque book request assistance.</v>
      </c>
      <c r="D6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1" s="7" t="str">
        <f aca="false">IF(INDEX(MASTER_DATABASE!$A$4:$A$1000,ROW()-3)="","",INDEX(MASTER_DATABASE!$O$4:$O$1000,ROW()-3)&amp;"")</f>
        <v>Any customer who can provide the listed documents.</v>
      </c>
      <c r="F61" s="7" t="str">
        <f aca="false">IF(INDEX(MASTER_DATABASE!$A$4:$A$1000,ROW()-3)="","",INDEX(MASTER_DATABASE!$M$4:$M$1000,ROW()-3)&amp;"")</f>
        <v>✓ Aadhaar Card
✓ Bank Account Number
✓ Active Mobile Number</v>
      </c>
      <c r="G61" s="7" t="str">
        <f aca="false">IF(INDEX(MASTER_DATABASE!$A$4:$A$1000,ROW()-3)="","",INDEX(MASTER_DATABASE!$P$4:$P$1000,ROW()-3)&amp;"")</f>
        <v>Step 1 → Bring your account details and Aadhaar.
Step 2 → Operator checks how 'HDFC BC – Cheque Book Request Assistance' can be handled through the BC.
Step 3 → Request is submitted through the BC channel or the bank branch is advised.
Step 4 → Collect the acknowledgement.</v>
      </c>
      <c r="H6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1" s="7" t="str">
        <f aca="false">IF(INDEX(MASTER_DATABASE!$A$4:$A$1000,ROW()-3)="","",INDEX(MASTER_DATABASE!$Q$4:$Q$1000,ROW()-3)&amp;"")</f>
        <v>Depends on Department</v>
      </c>
      <c r="J61" s="7" t="str">
        <f aca="false">IF(INDEX(MASTER_DATABASE!$A$4:$A$1000,ROW()-3)="","",INDEX(MASTER_DATABASE!$J$4:$J$1000,ROW()-3)&amp;"")</f>
        <v>To Be Confirmed</v>
      </c>
      <c r="K61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6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6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1" s="7" t="str">
        <f aca="false">IF(INDEX(MASTER_DATABASE!$A$4:$A$1000,ROW()-3)="","",INDEX(MASTER_DATABASE!$BG$4:$BG$1000,ROW()-3)&amp;"")</f>
        <v>Check Documents</v>
      </c>
    </row>
    <row r="62" customFormat="false" ht="68.65" hidden="false" customHeight="false" outlineLevel="0" collapsed="false">
      <c r="A62" s="11" t="str">
        <f aca="false">IF(INDEX(MASTER_DATABASE!$A$4:$A$1000,ROW()-3)="","",INDEX(MASTER_DATABASE!$A$4:$A$1000,ROW()-3)&amp;"")</f>
        <v>HDF-017</v>
      </c>
      <c r="B62" s="7" t="str">
        <f aca="false">IF(INDEX(MASTER_DATABASE!$A$4:$A$1000,ROW()-3)="","",INDEX(MASTER_DATABASE!$E$4:$E$1000,ROW()-3)&amp;"")</f>
        <v>HDFC BC – Passbook / Statement Request Assistance</v>
      </c>
      <c r="C62" s="7" t="str">
        <f aca="false">IF(INDEX(MASTER_DATABASE!$A$4:$A$1000,ROW()-3)="","",INDEX(MASTER_DATABASE!$H$4:$H$1000,ROW()-3)&amp;"")</f>
        <v>Assistance with hdfc bc – passbook / statement request assistance.</v>
      </c>
      <c r="D6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2" s="7" t="str">
        <f aca="false">IF(INDEX(MASTER_DATABASE!$A$4:$A$1000,ROW()-3)="","",INDEX(MASTER_DATABASE!$O$4:$O$1000,ROW()-3)&amp;"")</f>
        <v>Any customer who can provide the listed documents.</v>
      </c>
      <c r="F62" s="7" t="str">
        <f aca="false">IF(INDEX(MASTER_DATABASE!$A$4:$A$1000,ROW()-3)="","",INDEX(MASTER_DATABASE!$M$4:$M$1000,ROW()-3)&amp;"")</f>
        <v>✓ Aadhaar Card
✓ Bank Account Number
✓ Active Mobile Number</v>
      </c>
      <c r="G62" s="7" t="str">
        <f aca="false">IF(INDEX(MASTER_DATABASE!$A$4:$A$1000,ROW()-3)="","",INDEX(MASTER_DATABASE!$P$4:$P$1000,ROW()-3)&amp;"")</f>
        <v>Step 1 → Bring your account details and Aadhaar.
Step 2 → Operator checks how 'HDFC BC – Passbook / Statement Request Assistance' can be handled through the BC.
Step 3 → Request is submitted through the BC channel or the bank branch is advised.
Step 4 → Collect the acknowledgement.</v>
      </c>
      <c r="H6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2" s="7" t="str">
        <f aca="false">IF(INDEX(MASTER_DATABASE!$A$4:$A$1000,ROW()-3)="","",INDEX(MASTER_DATABASE!$Q$4:$Q$1000,ROW()-3)&amp;"")</f>
        <v>Depends on Department</v>
      </c>
      <c r="J62" s="7" t="str">
        <f aca="false">IF(INDEX(MASTER_DATABASE!$A$4:$A$1000,ROW()-3)="","",INDEX(MASTER_DATABASE!$J$4:$J$1000,ROW()-3)&amp;"")</f>
        <v>To Be Confirmed</v>
      </c>
      <c r="K62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6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6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2" s="7" t="str">
        <f aca="false">IF(INDEX(MASTER_DATABASE!$A$4:$A$1000,ROW()-3)="","",INDEX(MASTER_DATABASE!$BG$4:$BG$1000,ROW()-3)&amp;"")</f>
        <v>Check Documents</v>
      </c>
    </row>
    <row r="63" customFormat="false" ht="46.25" hidden="false" customHeight="false" outlineLevel="0" collapsed="false">
      <c r="A63" s="11" t="str">
        <f aca="false">IF(INDEX(MASTER_DATABASE!$A$4:$A$1000,ROW()-3)="","",INDEX(MASTER_DATABASE!$A$4:$A$1000,ROW()-3)&amp;"")</f>
        <v>HDF-018</v>
      </c>
      <c r="B63" s="7" t="str">
        <f aca="false">IF(INDEX(MASTER_DATABASE!$A$4:$A$1000,ROW()-3)="","",INDEX(MASTER_DATABASE!$E$4:$E$1000,ROW()-3)&amp;"")</f>
        <v>HDFC BC – KYC Document Collection / Update</v>
      </c>
      <c r="C63" s="7" t="str">
        <f aca="false">IF(INDEX(MASTER_DATABASE!$A$4:$A$1000,ROW()-3)="","",INDEX(MASTER_DATABASE!$H$4:$H$1000,ROW()-3)&amp;"")</f>
        <v>Submit or update KYC documents for your bank account.</v>
      </c>
      <c r="D6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3" s="7" t="str">
        <f aca="false">IF(INDEX(MASTER_DATABASE!$A$4:$A$1000,ROW()-3)="","",INDEX(MASTER_DATABASE!$O$4:$O$1000,ROW()-3)&amp;"")</f>
        <v>Existing account holders.</v>
      </c>
      <c r="F63" s="7" t="str">
        <f aca="false">IF(INDEX(MASTER_DATABASE!$A$4:$A$1000,ROW()-3)="","",INDEX(MASTER_DATABASE!$M$4:$M$1000,ROW()-3)&amp;"")</f>
        <v>✓ Aadhaar Card</v>
      </c>
      <c r="G63" s="7" t="str">
        <f aca="false">IF(INDEX(MASTER_DATABASE!$A$4:$A$1000,ROW()-3)="","",INDEX(MASTER_DATABASE!$P$4:$P$1000,ROW()-3)&amp;"")</f>
        <v>Step 1 → Bring account details and KYC documents.
Step 2 → Operator checks what the bank requires.
Step 3 → Documents are submitted through the BC channel.
Step 4 → Collect the acknowledgement.</v>
      </c>
      <c r="H6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3" s="7" t="str">
        <f aca="false">IF(INDEX(MASTER_DATABASE!$A$4:$A$1000,ROW()-3)="","",INDEX(MASTER_DATABASE!$Q$4:$Q$1000,ROW()-3)&amp;"")</f>
        <v>Depends on Department</v>
      </c>
      <c r="J63" s="7" t="str">
        <f aca="false">IF(INDEX(MASTER_DATABASE!$A$4:$A$1000,ROW()-3)="","",INDEX(MASTER_DATABASE!$J$4:$J$1000,ROW()-3)&amp;"")</f>
        <v>To Be Confirmed</v>
      </c>
      <c r="K63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6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6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3" s="7" t="str">
        <f aca="false">IF(INDEX(MASTER_DATABASE!$A$4:$A$1000,ROW()-3)="","",INDEX(MASTER_DATABASE!$BG$4:$BG$1000,ROW()-3)&amp;"")</f>
        <v>Check Documents</v>
      </c>
    </row>
    <row r="64" customFormat="false" ht="68.65" hidden="false" customHeight="false" outlineLevel="0" collapsed="false">
      <c r="A64" s="11" t="str">
        <f aca="false">IF(INDEX(MASTER_DATABASE!$A$4:$A$1000,ROW()-3)="","",INDEX(MASTER_DATABASE!$A$4:$A$1000,ROW()-3)&amp;"")</f>
        <v>HDF-019</v>
      </c>
      <c r="B64" s="7" t="str">
        <f aca="false">IF(INDEX(MASTER_DATABASE!$A$4:$A$1000,ROW()-3)="","",INDEX(MASTER_DATABASE!$E$4:$E$1000,ROW()-3)&amp;"")</f>
        <v>HDFC BC – Account Query / Complaint Assistance</v>
      </c>
      <c r="C64" s="7" t="str">
        <f aca="false">IF(INDEX(MASTER_DATABASE!$A$4:$A$1000,ROW()-3)="","",INDEX(MASTER_DATABASE!$H$4:$H$1000,ROW()-3)&amp;"")</f>
        <v>Assistance with hdfc bc – account query / complaint assistance.</v>
      </c>
      <c r="D6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4" s="7" t="str">
        <f aca="false">IF(INDEX(MASTER_DATABASE!$A$4:$A$1000,ROW()-3)="","",INDEX(MASTER_DATABASE!$O$4:$O$1000,ROW()-3)&amp;"")</f>
        <v>Any customer who can provide the listed documents.</v>
      </c>
      <c r="F64" s="7" t="str">
        <f aca="false">IF(INDEX(MASTER_DATABASE!$A$4:$A$1000,ROW()-3)="","",INDEX(MASTER_DATABASE!$M$4:$M$1000,ROW()-3)&amp;"")</f>
        <v>✓ Aadhaar Card
✓ Bank Account Number
✓ Active Mobile Number</v>
      </c>
      <c r="G64" s="7" t="str">
        <f aca="false">IF(INDEX(MASTER_DATABASE!$A$4:$A$1000,ROW()-3)="","",INDEX(MASTER_DATABASE!$P$4:$P$1000,ROW()-3)&amp;"")</f>
        <v>Step 1 → Bring your account details and Aadhaar.
Step 2 → Operator checks how 'HDFC BC – Account Query / Complaint Assistance' can be handled through the BC.
Step 3 → Request is submitted through the BC channel or the bank branch is advised.
Step 4 → Collect the acknowledgement.</v>
      </c>
      <c r="H6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4" s="7" t="str">
        <f aca="false">IF(INDEX(MASTER_DATABASE!$A$4:$A$1000,ROW()-3)="","",INDEX(MASTER_DATABASE!$Q$4:$Q$1000,ROW()-3)&amp;"")</f>
        <v>Depends on Department</v>
      </c>
      <c r="J64" s="7" t="str">
        <f aca="false">IF(INDEX(MASTER_DATABASE!$A$4:$A$1000,ROW()-3)="","",INDEX(MASTER_DATABASE!$J$4:$J$1000,ROW()-3)&amp;"")</f>
        <v>To Be Confirmed</v>
      </c>
      <c r="K64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6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6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4" s="7" t="str">
        <f aca="false">IF(INDEX(MASTER_DATABASE!$A$4:$A$1000,ROW()-3)="","",INDEX(MASTER_DATABASE!$BG$4:$BG$1000,ROW()-3)&amp;"")</f>
        <v>Check Documents</v>
      </c>
    </row>
    <row r="65" customFormat="false" ht="57.45" hidden="false" customHeight="false" outlineLevel="0" collapsed="false">
      <c r="A65" s="11" t="str">
        <f aca="false">IF(INDEX(MASTER_DATABASE!$A$4:$A$1000,ROW()-3)="","",INDEX(MASTER_DATABASE!$A$4:$A$1000,ROW()-3)&amp;"")</f>
        <v>HDF-020</v>
      </c>
      <c r="B65" s="7" t="str">
        <f aca="false">IF(INDEX(MASTER_DATABASE!$A$4:$A$1000,ROW()-3)="","",INDEX(MASTER_DATABASE!$E$4:$E$1000,ROW()-3)&amp;"")</f>
        <v>HDFC BC – PMJJBY / PMSBY Enrolment Assistance</v>
      </c>
      <c r="C65" s="7" t="str">
        <f aca="false">IF(INDEX(MASTER_DATABASE!$A$4:$A$1000,ROW()-3)="","",INDEX(MASTER_DATABASE!$H$4:$H$1000,ROW()-3)&amp;"")</f>
        <v>Assistance with PMJJBY / PMSBY Enrolment Assistance.</v>
      </c>
      <c r="D6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5" s="7" t="str">
        <f aca="false">IF(INDEX(MASTER_DATABASE!$A$4:$A$1000,ROW()-3)="","",INDEX(MASTER_DATABASE!$O$4:$O$1000,ROW()-3)&amp;"")</f>
        <v>Eligible account holders as per scheme rules.</v>
      </c>
      <c r="F65" s="7" t="str">
        <f aca="false">IF(INDEX(MASTER_DATABASE!$A$4:$A$1000,ROW()-3)="","",INDEX(MASTER_DATABASE!$M$4:$M$1000,ROW()-3)&amp;"")</f>
        <v>✓ Aadhaar Card
✓ Bank Account Number
✓ Active Mobile Number
✓ Nominee Details</v>
      </c>
      <c r="G65" s="7" t="str">
        <f aca="false">IF(INDEX(MASTER_DATABASE!$A$4:$A$1000,ROW()-3)="","",INDEX(MASTER_DATABASE!$P$4:$P$1000,ROW()-3)&amp;"")</f>
        <v>Step 1 → Bring Aadhaar, bank account details and nominee information.
Step 2 → Operator checks eligibility and enrolment options.
Step 3 → Form is filled and consent given.
Step 4 → Collect the enrolment acknowledgement.</v>
      </c>
      <c r="H6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5" s="7" t="str">
        <f aca="false">IF(INDEX(MASTER_DATABASE!$A$4:$A$1000,ROW()-3)="","",INDEX(MASTER_DATABASE!$Q$4:$Q$1000,ROW()-3)&amp;"")</f>
        <v>Depends on Department</v>
      </c>
      <c r="J65" s="7" t="str">
        <f aca="false">IF(INDEX(MASTER_DATABASE!$A$4:$A$1000,ROW()-3)="","",INDEX(MASTER_DATABASE!$J$4:$J$1000,ROW()-3)&amp;"")</f>
        <v>To Be Confirmed</v>
      </c>
      <c r="K65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6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6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5" s="7" t="str">
        <f aca="false">IF(INDEX(MASTER_DATABASE!$A$4:$A$1000,ROW()-3)="","",INDEX(MASTER_DATABASE!$BG$4:$BG$1000,ROW()-3)&amp;"")</f>
        <v>Check Documents</v>
      </c>
    </row>
    <row r="66" customFormat="false" ht="57.45" hidden="false" customHeight="false" outlineLevel="0" collapsed="false">
      <c r="A66" s="11" t="str">
        <f aca="false">IF(INDEX(MASTER_DATABASE!$A$4:$A$1000,ROW()-3)="","",INDEX(MASTER_DATABASE!$A$4:$A$1000,ROW()-3)&amp;"")</f>
        <v>HDF-021</v>
      </c>
      <c r="B66" s="7" t="str">
        <f aca="false">IF(INDEX(MASTER_DATABASE!$A$4:$A$1000,ROW()-3)="","",INDEX(MASTER_DATABASE!$E$4:$E$1000,ROW()-3)&amp;"")</f>
        <v>HDFC BC – Atal Pension Yojana Enrolment Assistance</v>
      </c>
      <c r="C66" s="7" t="str">
        <f aca="false">IF(INDEX(MASTER_DATABASE!$A$4:$A$1000,ROW()-3)="","",INDEX(MASTER_DATABASE!$H$4:$H$1000,ROW()-3)&amp;"")</f>
        <v>Assistance with Atal Pension Yojana Enrolment Assistance.</v>
      </c>
      <c r="D6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6" s="7" t="str">
        <f aca="false">IF(INDEX(MASTER_DATABASE!$A$4:$A$1000,ROW()-3)="","",INDEX(MASTER_DATABASE!$O$4:$O$1000,ROW()-3)&amp;"")</f>
        <v>Eligible account holders as per scheme rules.</v>
      </c>
      <c r="F66" s="7" t="str">
        <f aca="false">IF(INDEX(MASTER_DATABASE!$A$4:$A$1000,ROW()-3)="","",INDEX(MASTER_DATABASE!$M$4:$M$1000,ROW()-3)&amp;"")</f>
        <v>✓ Aadhaar Card
✓ Bank Account Number
✓ Active Mobile Number
✓ Nominee Details</v>
      </c>
      <c r="G66" s="7" t="str">
        <f aca="false">IF(INDEX(MASTER_DATABASE!$A$4:$A$1000,ROW()-3)="","",INDEX(MASTER_DATABASE!$P$4:$P$1000,ROW()-3)&amp;"")</f>
        <v>Step 1 → Bring Aadhaar, bank account details and nominee information.
Step 2 → Operator checks eligibility and enrolment options.
Step 3 → Form is filled and consent given.
Step 4 → Collect the enrolment acknowledgement.</v>
      </c>
      <c r="H6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6" s="7" t="str">
        <f aca="false">IF(INDEX(MASTER_DATABASE!$A$4:$A$1000,ROW()-3)="","",INDEX(MASTER_DATABASE!$Q$4:$Q$1000,ROW()-3)&amp;"")</f>
        <v>Depends on Department</v>
      </c>
      <c r="J66" s="7" t="str">
        <f aca="false">IF(INDEX(MASTER_DATABASE!$A$4:$A$1000,ROW()-3)="","",INDEX(MASTER_DATABASE!$J$4:$J$1000,ROW()-3)&amp;"")</f>
        <v>To Be Confirmed</v>
      </c>
      <c r="K66" s="7" t="str">
        <f aca="false">IF(INDEX(MASTER_DATABASE!$A$4:$A$1000,ROW()-3)="","",INDEX(MASTER_DATABASE!$AS$4:$AS$1000,ROW()-3)&amp;"")</f>
        <v>Depends on your HDFC Bank BC agreement and activated services. Confirm with the shop before visiting.</v>
      </c>
      <c r="L6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6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6" s="7" t="str">
        <f aca="false">IF(INDEX(MASTER_DATABASE!$A$4:$A$1000,ROW()-3)="","",INDEX(MASTER_DATABASE!$BG$4:$BG$1000,ROW()-3)&amp;"")</f>
        <v>Check Documents</v>
      </c>
    </row>
    <row r="67" customFormat="false" ht="57.45" hidden="false" customHeight="false" outlineLevel="0" collapsed="false">
      <c r="A67" s="11" t="str">
        <f aca="false">IF(INDEX(MASTER_DATABASE!$A$4:$A$1000,ROW()-3)="","",INDEX(MASTER_DATABASE!$A$4:$A$1000,ROW()-3)&amp;"")</f>
        <v>FIN-001</v>
      </c>
      <c r="B67" s="7" t="str">
        <f aca="false">IF(INDEX(MASTER_DATABASE!$A$4:$A$1000,ROW()-3)="","",INDEX(MASTER_DATABASE!$E$4:$E$1000,ROW()-3)&amp;"")</f>
        <v>FINO BC – Cash Deposit</v>
      </c>
      <c r="C67" s="7" t="str">
        <f aca="false">IF(INDEX(MASTER_DATABASE!$A$4:$A$1000,ROW()-3)="","",INDEX(MASTER_DATABASE!$H$4:$H$1000,ROW()-3)&amp;"")</f>
        <v>Deposit cash into a FINO Payments Bank account through our BC Point.</v>
      </c>
      <c r="D6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7" s="7" t="str">
        <f aca="false">IF(INDEX(MASTER_DATABASE!$A$4:$A$1000,ROW()-3)="","",INDEX(MASTER_DATABASE!$O$4:$O$1000,ROW()-3)&amp;"")</f>
        <v>FINO Payments Bank account holders (rules as per bank).</v>
      </c>
      <c r="F67" s="7" t="str">
        <f aca="false">IF(INDEX(MASTER_DATABASE!$A$4:$A$1000,ROW()-3)="","",INDEX(MASTER_DATABASE!$M$4:$M$1000,ROW()-3)&amp;"")</f>
        <v>✓ Bank Account Number
✓ Cash Amount</v>
      </c>
      <c r="G67" s="7" t="str">
        <f aca="false">IF(INDEX(MASTER_DATABASE!$A$4:$A$1000,ROW()-3)="","",INDEX(MASTER_DATABASE!$P$4:$P$1000,ROW()-3)&amp;"")</f>
        <v>Step 1 → Give the account number / details and the cash amount.
Step 2 → Operator enters the details on the BC device.
Step 3 → Customer verifies the amount and gives authentication if asked.
Step 4 → Cash is accepted and a receipt / SMS is generated.</v>
      </c>
      <c r="H6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7" s="7" t="str">
        <f aca="false">IF(INDEX(MASTER_DATABASE!$A$4:$A$1000,ROW()-3)="","",INDEX(MASTER_DATABASE!$Q$4:$Q$1000,ROW()-3)&amp;"")</f>
        <v>5–10 Minutes</v>
      </c>
      <c r="J67" s="7" t="str">
        <f aca="false">IF(INDEX(MASTER_DATABASE!$A$4:$A$1000,ROW()-3)="","",INDEX(MASTER_DATABASE!$J$4:$J$1000,ROW()-3)&amp;"")</f>
        <v>Please Confirm at Shop</v>
      </c>
      <c r="K67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67" s="7" t="str">
        <f aca="false">IF(INDEX(MASTER_DATABASE!$A$4:$A$1000,ROW()-3)="","",INDEX(MASTER_DATABASE!$AR$4:$AR$1000,ROW()-3)&amp;"")</f>
        <v>Q1: Is there a deposit limit?
A1: Limits are set by the bank; ask at the counter.</v>
      </c>
      <c r="M6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7" s="7" t="str">
        <f aca="false">IF(INDEX(MASTER_DATABASE!$A$4:$A$1000,ROW()-3)="","",INDEX(MASTER_DATABASE!$BG$4:$BG$1000,ROW()-3)&amp;"")</f>
        <v>Check Documents</v>
      </c>
    </row>
    <row r="68" customFormat="false" ht="46.25" hidden="false" customHeight="false" outlineLevel="0" collapsed="false">
      <c r="A68" s="11" t="str">
        <f aca="false">IF(INDEX(MASTER_DATABASE!$A$4:$A$1000,ROW()-3)="","",INDEX(MASTER_DATABASE!$A$4:$A$1000,ROW()-3)&amp;"")</f>
        <v>FIN-002</v>
      </c>
      <c r="B68" s="7" t="str">
        <f aca="false">IF(INDEX(MASTER_DATABASE!$A$4:$A$1000,ROW()-3)="","",INDEX(MASTER_DATABASE!$E$4:$E$1000,ROW()-3)&amp;"")</f>
        <v>FINO BC – Cash Withdrawal</v>
      </c>
      <c r="C68" s="7" t="str">
        <f aca="false">IF(INDEX(MASTER_DATABASE!$A$4:$A$1000,ROW()-3)="","",INDEX(MASTER_DATABASE!$H$4:$H$1000,ROW()-3)&amp;"")</f>
        <v>Withdraw cash from a FINO Payments Bank account at our BC Point.</v>
      </c>
      <c r="D6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8" s="7" t="str">
        <f aca="false">IF(INDEX(MASTER_DATABASE!$A$4:$A$1000,ROW()-3)="","",INDEX(MASTER_DATABASE!$O$4:$O$1000,ROW()-3)&amp;"")</f>
        <v>FINO Payments Bank account holders (rules as per bank).</v>
      </c>
      <c r="F68" s="7" t="str">
        <f aca="false">IF(INDEX(MASTER_DATABASE!$A$4:$A$1000,ROW()-3)="","",INDEX(MASTER_DATABASE!$M$4:$M$1000,ROW()-3)&amp;"")</f>
        <v>✓ Aadhaar Card
✓ Customer Presence for Biometrics</v>
      </c>
      <c r="G68" s="7" t="str">
        <f aca="false">IF(INDEX(MASTER_DATABASE!$A$4:$A$1000,ROW()-3)="","",INDEX(MASTER_DATABASE!$P$4:$P$1000,ROW()-3)&amp;"")</f>
        <v>Step 1 → Tell the amount and give Aadhaar / account details.
Step 2 → Operator initiates the withdrawal on the BC device.
Step 3 → Customer authenticates (fingerprint / PIN as applicable).
Step 4 → Cash is handed over with receipt / SMS.</v>
      </c>
      <c r="H6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8" s="7" t="str">
        <f aca="false">IF(INDEX(MASTER_DATABASE!$A$4:$A$1000,ROW()-3)="","",INDEX(MASTER_DATABASE!$Q$4:$Q$1000,ROW()-3)&amp;"")</f>
        <v>5–10 Minutes</v>
      </c>
      <c r="J68" s="7" t="str">
        <f aca="false">IF(INDEX(MASTER_DATABASE!$A$4:$A$1000,ROW()-3)="","",INDEX(MASTER_DATABASE!$J$4:$J$1000,ROW()-3)&amp;"")</f>
        <v>Please Confirm at Shop</v>
      </c>
      <c r="K68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68" s="7" t="str">
        <f aca="false">IF(INDEX(MASTER_DATABASE!$A$4:$A$1000,ROW()-3)="","",INDEX(MASTER_DATABASE!$AR$4:$AR$1000,ROW()-3)&amp;"")</f>
        <v>Q1: Is there a daily limit?
A1: Yes, limits are set by the bank.</v>
      </c>
      <c r="M6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8" s="7" t="str">
        <f aca="false">IF(INDEX(MASTER_DATABASE!$A$4:$A$1000,ROW()-3)="","",INDEX(MASTER_DATABASE!$BG$4:$BG$1000,ROW()-3)&amp;"")</f>
        <v>Check Documents</v>
      </c>
    </row>
    <row r="69" customFormat="false" ht="68.65" hidden="false" customHeight="false" outlineLevel="0" collapsed="false">
      <c r="A69" s="11" t="str">
        <f aca="false">IF(INDEX(MASTER_DATABASE!$A$4:$A$1000,ROW()-3)="","",INDEX(MASTER_DATABASE!$A$4:$A$1000,ROW()-3)&amp;"")</f>
        <v>FIN-003</v>
      </c>
      <c r="B69" s="7" t="str">
        <f aca="false">IF(INDEX(MASTER_DATABASE!$A$4:$A$1000,ROW()-3)="","",INDEX(MASTER_DATABASE!$E$4:$E$1000,ROW()-3)&amp;"")</f>
        <v>FINO BC – Balance Enquiry</v>
      </c>
      <c r="C69" s="7" t="str">
        <f aca="false">IF(INDEX(MASTER_DATABASE!$A$4:$A$1000,ROW()-3)="","",INDEX(MASTER_DATABASE!$H$4:$H$1000,ROW()-3)&amp;"")</f>
        <v>Assistance with fino bc – balance enquiry.</v>
      </c>
      <c r="D6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69" s="7" t="str">
        <f aca="false">IF(INDEX(MASTER_DATABASE!$A$4:$A$1000,ROW()-3)="","",INDEX(MASTER_DATABASE!$O$4:$O$1000,ROW()-3)&amp;"")</f>
        <v>Any customer who can provide the listed documents.</v>
      </c>
      <c r="F69" s="7" t="str">
        <f aca="false">IF(INDEX(MASTER_DATABASE!$A$4:$A$1000,ROW()-3)="","",INDEX(MASTER_DATABASE!$M$4:$M$1000,ROW()-3)&amp;"")</f>
        <v>✓ Aadhaar Card
✓ Bank Account Number
✓ Active Mobile Number</v>
      </c>
      <c r="G69" s="7" t="str">
        <f aca="false">IF(INDEX(MASTER_DATABASE!$A$4:$A$1000,ROW()-3)="","",INDEX(MASTER_DATABASE!$P$4:$P$1000,ROW()-3)&amp;"")</f>
        <v>Step 1 → Bring your account details and Aadhaar.
Step 2 → Operator checks how 'FINO BC – Balance Enquiry' can be handled through the BC.
Step 3 → Request is submitted through the BC channel or the bank branch is advised.
Step 4 → Collect the acknowledgement.</v>
      </c>
      <c r="H6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69" s="7" t="str">
        <f aca="false">IF(INDEX(MASTER_DATABASE!$A$4:$A$1000,ROW()-3)="","",INDEX(MASTER_DATABASE!$Q$4:$Q$1000,ROW()-3)&amp;"")</f>
        <v>Depends on Department</v>
      </c>
      <c r="J69" s="7" t="str">
        <f aca="false">IF(INDEX(MASTER_DATABASE!$A$4:$A$1000,ROW()-3)="","",INDEX(MASTER_DATABASE!$J$4:$J$1000,ROW()-3)&amp;"")</f>
        <v>Please Confirm at Shop</v>
      </c>
      <c r="K69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6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6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69" s="7" t="str">
        <f aca="false">IF(INDEX(MASTER_DATABASE!$A$4:$A$1000,ROW()-3)="","",INDEX(MASTER_DATABASE!$BG$4:$BG$1000,ROW()-3)&amp;"")</f>
        <v>Check Documents</v>
      </c>
    </row>
    <row r="70" customFormat="false" ht="68.65" hidden="false" customHeight="false" outlineLevel="0" collapsed="false">
      <c r="A70" s="11" t="str">
        <f aca="false">IF(INDEX(MASTER_DATABASE!$A$4:$A$1000,ROW()-3)="","",INDEX(MASTER_DATABASE!$A$4:$A$1000,ROW()-3)&amp;"")</f>
        <v>FIN-004</v>
      </c>
      <c r="B70" s="7" t="str">
        <f aca="false">IF(INDEX(MASTER_DATABASE!$A$4:$A$1000,ROW()-3)="","",INDEX(MASTER_DATABASE!$E$4:$E$1000,ROW()-3)&amp;"")</f>
        <v>FINO BC – Mini Statement</v>
      </c>
      <c r="C70" s="7" t="str">
        <f aca="false">IF(INDEX(MASTER_DATABASE!$A$4:$A$1000,ROW()-3)="","",INDEX(MASTER_DATABASE!$H$4:$H$1000,ROW()-3)&amp;"")</f>
        <v>Assistance with fino bc – mini statement.</v>
      </c>
      <c r="D7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0" s="7" t="str">
        <f aca="false">IF(INDEX(MASTER_DATABASE!$A$4:$A$1000,ROW()-3)="","",INDEX(MASTER_DATABASE!$O$4:$O$1000,ROW()-3)&amp;"")</f>
        <v>Any customer who can provide the listed documents.</v>
      </c>
      <c r="F70" s="7" t="str">
        <f aca="false">IF(INDEX(MASTER_DATABASE!$A$4:$A$1000,ROW()-3)="","",INDEX(MASTER_DATABASE!$M$4:$M$1000,ROW()-3)&amp;"")</f>
        <v>✓ Aadhaar Card
✓ Bank Account Number
✓ Active Mobile Number</v>
      </c>
      <c r="G70" s="7" t="str">
        <f aca="false">IF(INDEX(MASTER_DATABASE!$A$4:$A$1000,ROW()-3)="","",INDEX(MASTER_DATABASE!$P$4:$P$1000,ROW()-3)&amp;"")</f>
        <v>Step 1 → Bring your account details and Aadhaar.
Step 2 → Operator checks how 'FINO BC – Mini Statement' can be handled through the BC.
Step 3 → Request is submitted through the BC channel or the bank branch is advised.
Step 4 → Collect the acknowledgement.</v>
      </c>
      <c r="H7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0" s="7" t="str">
        <f aca="false">IF(INDEX(MASTER_DATABASE!$A$4:$A$1000,ROW()-3)="","",INDEX(MASTER_DATABASE!$Q$4:$Q$1000,ROW()-3)&amp;"")</f>
        <v>Depends on Department</v>
      </c>
      <c r="J70" s="7" t="str">
        <f aca="false">IF(INDEX(MASTER_DATABASE!$A$4:$A$1000,ROW()-3)="","",INDEX(MASTER_DATABASE!$J$4:$J$1000,ROW()-3)&amp;"")</f>
        <v>Please Confirm at Shop</v>
      </c>
      <c r="K70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7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0" s="7" t="str">
        <f aca="false">IF(INDEX(MASTER_DATABASE!$A$4:$A$1000,ROW()-3)="","",INDEX(MASTER_DATABASE!$BG$4:$BG$1000,ROW()-3)&amp;"")</f>
        <v>Check Documents</v>
      </c>
    </row>
    <row r="71" customFormat="false" ht="46.25" hidden="false" customHeight="false" outlineLevel="0" collapsed="false">
      <c r="A71" s="11" t="str">
        <f aca="false">IF(INDEX(MASTER_DATABASE!$A$4:$A$1000,ROW()-3)="","",INDEX(MASTER_DATABASE!$A$4:$A$1000,ROW()-3)&amp;"")</f>
        <v>FIN-005</v>
      </c>
      <c r="B71" s="7" t="str">
        <f aca="false">IF(INDEX(MASTER_DATABASE!$A$4:$A$1000,ROW()-3)="","",INDEX(MASTER_DATABASE!$E$4:$E$1000,ROW()-3)&amp;"")</f>
        <v>FINO BC – AEPS Cash Withdrawal</v>
      </c>
      <c r="C71" s="7" t="str">
        <f aca="false">IF(INDEX(MASTER_DATABASE!$A$4:$A$1000,ROW()-3)="","",INDEX(MASTER_DATABASE!$H$4:$H$1000,ROW()-3)&amp;"")</f>
        <v>AEPS cash withdrawal using Aadhaar and fingerprint.</v>
      </c>
      <c r="D7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1" s="7" t="str">
        <f aca="false">IF(INDEX(MASTER_DATABASE!$A$4:$A$1000,ROW()-3)="","",INDEX(MASTER_DATABASE!$O$4:$O$1000,ROW()-3)&amp;"")</f>
        <v>Customers with an Aadhaar-linked bank account.</v>
      </c>
      <c r="F71" s="7" t="str">
        <f aca="false">IF(INDEX(MASTER_DATABASE!$A$4:$A$1000,ROW()-3)="","",INDEX(MASTER_DATABASE!$M$4:$M$1000,ROW()-3)&amp;"")</f>
        <v>✓ Aadhaar Card
✓ Customer Presence for Biometrics</v>
      </c>
      <c r="G71" s="7" t="str">
        <f aca="false">IF(INDEX(MASTER_DATABASE!$A$4:$A$1000,ROW()-3)="","",INDEX(MASTER_DATABASE!$P$4:$P$1000,ROW()-3)&amp;"")</f>
        <v>Step 1 → Give your Aadhaar number and select your bank.
Step 2 → Place your finger for biometric authentication.
Step 3 → Operator completes the cash withdrawal.
Step 4 → Collect cash / receipt as applicable.</v>
      </c>
      <c r="H7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1" s="7" t="str">
        <f aca="false">IF(INDEX(MASTER_DATABASE!$A$4:$A$1000,ROW()-3)="","",INDEX(MASTER_DATABASE!$Q$4:$Q$1000,ROW()-3)&amp;"")</f>
        <v>5–10 Minutes</v>
      </c>
      <c r="J71" s="7" t="str">
        <f aca="false">IF(INDEX(MASTER_DATABASE!$A$4:$A$1000,ROW()-3)="","",INDEX(MASTER_DATABASE!$J$4:$J$1000,ROW()-3)&amp;"")</f>
        <v>Please Confirm at Shop</v>
      </c>
      <c r="K71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1" s="7" t="str">
        <f aca="false">IF(INDEX(MASTER_DATABASE!$A$4:$A$1000,ROW()-3)="","",INDEX(MASTER_DATABASE!$AR$4:$AR$1000,ROW()-3)&amp;"")</f>
        <v>Q1: Does my bank account need to be Aadhaar-linked?
A1: Yes, AEPS works only when the account is linked with Aadhaar.</v>
      </c>
      <c r="M7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1" s="7" t="str">
        <f aca="false">IF(INDEX(MASTER_DATABASE!$A$4:$A$1000,ROW()-3)="","",INDEX(MASTER_DATABASE!$BG$4:$BG$1000,ROW()-3)&amp;"")</f>
        <v>Check Documents</v>
      </c>
    </row>
    <row r="72" customFormat="false" ht="46.25" hidden="false" customHeight="false" outlineLevel="0" collapsed="false">
      <c r="A72" s="11" t="str">
        <f aca="false">IF(INDEX(MASTER_DATABASE!$A$4:$A$1000,ROW()-3)="","",INDEX(MASTER_DATABASE!$A$4:$A$1000,ROW()-3)&amp;"")</f>
        <v>FIN-006</v>
      </c>
      <c r="B72" s="7" t="str">
        <f aca="false">IF(INDEX(MASTER_DATABASE!$A$4:$A$1000,ROW()-3)="","",INDEX(MASTER_DATABASE!$E$4:$E$1000,ROW()-3)&amp;"")</f>
        <v>FINO BC – AEPS Balance Enquiry</v>
      </c>
      <c r="C72" s="7" t="str">
        <f aca="false">IF(INDEX(MASTER_DATABASE!$A$4:$A$1000,ROW()-3)="","",INDEX(MASTER_DATABASE!$H$4:$H$1000,ROW()-3)&amp;"")</f>
        <v>AEPS balance enquiry using Aadhaar and fingerprint.</v>
      </c>
      <c r="D7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2" s="7" t="str">
        <f aca="false">IF(INDEX(MASTER_DATABASE!$A$4:$A$1000,ROW()-3)="","",INDEX(MASTER_DATABASE!$O$4:$O$1000,ROW()-3)&amp;"")</f>
        <v>Customers with an Aadhaar-linked bank account.</v>
      </c>
      <c r="F72" s="7" t="str">
        <f aca="false">IF(INDEX(MASTER_DATABASE!$A$4:$A$1000,ROW()-3)="","",INDEX(MASTER_DATABASE!$M$4:$M$1000,ROW()-3)&amp;"")</f>
        <v>✓ Aadhaar Card
✓ Customer Presence for Biometrics</v>
      </c>
      <c r="G72" s="7" t="str">
        <f aca="false">IF(INDEX(MASTER_DATABASE!$A$4:$A$1000,ROW()-3)="","",INDEX(MASTER_DATABASE!$P$4:$P$1000,ROW()-3)&amp;"")</f>
        <v>Step 1 → Give your Aadhaar number and select your bank.
Step 2 → Place your finger for biometric authentication.
Step 3 → Operator completes the balance enquiry.
Step 4 → Collect cash / receipt as applicable.</v>
      </c>
      <c r="H7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2" s="7" t="str">
        <f aca="false">IF(INDEX(MASTER_DATABASE!$A$4:$A$1000,ROW()-3)="","",INDEX(MASTER_DATABASE!$Q$4:$Q$1000,ROW()-3)&amp;"")</f>
        <v>5–10 Minutes</v>
      </c>
      <c r="J72" s="7" t="str">
        <f aca="false">IF(INDEX(MASTER_DATABASE!$A$4:$A$1000,ROW()-3)="","",INDEX(MASTER_DATABASE!$J$4:$J$1000,ROW()-3)&amp;"")</f>
        <v>Please Confirm at Shop</v>
      </c>
      <c r="K72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2" s="7" t="str">
        <f aca="false">IF(INDEX(MASTER_DATABASE!$A$4:$A$1000,ROW()-3)="","",INDEX(MASTER_DATABASE!$AR$4:$AR$1000,ROW()-3)&amp;"")</f>
        <v>Q1: Does my bank account need to be Aadhaar-linked?
A1: Yes, AEPS works only when the account is linked with Aadhaar.</v>
      </c>
      <c r="M7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2" s="7" t="str">
        <f aca="false">IF(INDEX(MASTER_DATABASE!$A$4:$A$1000,ROW()-3)="","",INDEX(MASTER_DATABASE!$BG$4:$BG$1000,ROW()-3)&amp;"")</f>
        <v>Check Documents</v>
      </c>
    </row>
    <row r="73" customFormat="false" ht="46.25" hidden="false" customHeight="false" outlineLevel="0" collapsed="false">
      <c r="A73" s="11" t="str">
        <f aca="false">IF(INDEX(MASTER_DATABASE!$A$4:$A$1000,ROW()-3)="","",INDEX(MASTER_DATABASE!$A$4:$A$1000,ROW()-3)&amp;"")</f>
        <v>FIN-007</v>
      </c>
      <c r="B73" s="7" t="str">
        <f aca="false">IF(INDEX(MASTER_DATABASE!$A$4:$A$1000,ROW()-3)="","",INDEX(MASTER_DATABASE!$E$4:$E$1000,ROW()-3)&amp;"")</f>
        <v>FINO BC – AEPS Mini Statement</v>
      </c>
      <c r="C73" s="7" t="str">
        <f aca="false">IF(INDEX(MASTER_DATABASE!$A$4:$A$1000,ROW()-3)="","",INDEX(MASTER_DATABASE!$H$4:$H$1000,ROW()-3)&amp;"")</f>
        <v>AEPS mini statement using Aadhaar and fingerprint.</v>
      </c>
      <c r="D7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3" s="7" t="str">
        <f aca="false">IF(INDEX(MASTER_DATABASE!$A$4:$A$1000,ROW()-3)="","",INDEX(MASTER_DATABASE!$O$4:$O$1000,ROW()-3)&amp;"")</f>
        <v>Customers with an Aadhaar-linked bank account.</v>
      </c>
      <c r="F73" s="7" t="str">
        <f aca="false">IF(INDEX(MASTER_DATABASE!$A$4:$A$1000,ROW()-3)="","",INDEX(MASTER_DATABASE!$M$4:$M$1000,ROW()-3)&amp;"")</f>
        <v>✓ Aadhaar Card
✓ Customer Presence for Biometrics</v>
      </c>
      <c r="G73" s="7" t="str">
        <f aca="false">IF(INDEX(MASTER_DATABASE!$A$4:$A$1000,ROW()-3)="","",INDEX(MASTER_DATABASE!$P$4:$P$1000,ROW()-3)&amp;"")</f>
        <v>Step 1 → Give your Aadhaar number and select your bank.
Step 2 → Place your finger for biometric authentication.
Step 3 → Operator completes the mini statement.
Step 4 → Collect cash / receipt as applicable.</v>
      </c>
      <c r="H7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3" s="7" t="str">
        <f aca="false">IF(INDEX(MASTER_DATABASE!$A$4:$A$1000,ROW()-3)="","",INDEX(MASTER_DATABASE!$Q$4:$Q$1000,ROW()-3)&amp;"")</f>
        <v>5–10 Minutes</v>
      </c>
      <c r="J73" s="7" t="str">
        <f aca="false">IF(INDEX(MASTER_DATABASE!$A$4:$A$1000,ROW()-3)="","",INDEX(MASTER_DATABASE!$J$4:$J$1000,ROW()-3)&amp;"")</f>
        <v>Please Confirm at Shop</v>
      </c>
      <c r="K73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3" s="7" t="str">
        <f aca="false">IF(INDEX(MASTER_DATABASE!$A$4:$A$1000,ROW()-3)="","",INDEX(MASTER_DATABASE!$AR$4:$AR$1000,ROW()-3)&amp;"")</f>
        <v>Q1: Does my bank account need to be Aadhaar-linked?
A1: Yes, AEPS works only when the account is linked with Aadhaar.</v>
      </c>
      <c r="M7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3" s="7" t="str">
        <f aca="false">IF(INDEX(MASTER_DATABASE!$A$4:$A$1000,ROW()-3)="","",INDEX(MASTER_DATABASE!$BG$4:$BG$1000,ROW()-3)&amp;"")</f>
        <v>Check Documents</v>
      </c>
    </row>
    <row r="74" customFormat="false" ht="46.25" hidden="false" customHeight="false" outlineLevel="0" collapsed="false">
      <c r="A74" s="11" t="str">
        <f aca="false">IF(INDEX(MASTER_DATABASE!$A$4:$A$1000,ROW()-3)="","",INDEX(MASTER_DATABASE!$A$4:$A$1000,ROW()-3)&amp;"")</f>
        <v>FIN-008</v>
      </c>
      <c r="B74" s="7" t="str">
        <f aca="false">IF(INDEX(MASTER_DATABASE!$A$4:$A$1000,ROW()-3)="","",INDEX(MASTER_DATABASE!$E$4:$E$1000,ROW()-3)&amp;"")</f>
        <v>FINO BC – Biometric Banking (Fingerprint Authenticated)</v>
      </c>
      <c r="C74" s="7" t="str">
        <f aca="false">IF(INDEX(MASTER_DATABASE!$A$4:$A$1000,ROW()-3)="","",INDEX(MASTER_DATABASE!$H$4:$H$1000,ROW()-3)&amp;"")</f>
        <v>Banking transactions authenticated with fingerprint.</v>
      </c>
      <c r="D7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4" s="7" t="str">
        <f aca="false">IF(INDEX(MASTER_DATABASE!$A$4:$A$1000,ROW()-3)="","",INDEX(MASTER_DATABASE!$O$4:$O$1000,ROW()-3)&amp;"")</f>
        <v>Customers with Aadhaar-linked accounts.</v>
      </c>
      <c r="F74" s="7" t="str">
        <f aca="false">IF(INDEX(MASTER_DATABASE!$A$4:$A$1000,ROW()-3)="","",INDEX(MASTER_DATABASE!$M$4:$M$1000,ROW()-3)&amp;"")</f>
        <v>✓ Aadhaar Card
✓ Customer Presence for Biometrics</v>
      </c>
      <c r="G74" s="7" t="str">
        <f aca="false">IF(INDEX(MASTER_DATABASE!$A$4:$A$1000,ROW()-3)="","",INDEX(MASTER_DATABASE!$P$4:$P$1000,ROW()-3)&amp;"")</f>
        <v>Step 1 → Give Aadhaar number and choose the transaction.
Step 2 → Fingerprint is verified on the device.
Step 3 → Transaction is completed and receipt / SMS is generated.</v>
      </c>
      <c r="H7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4" s="7" t="str">
        <f aca="false">IF(INDEX(MASTER_DATABASE!$A$4:$A$1000,ROW()-3)="","",INDEX(MASTER_DATABASE!$Q$4:$Q$1000,ROW()-3)&amp;"")</f>
        <v>5–10 Minutes</v>
      </c>
      <c r="J74" s="7" t="str">
        <f aca="false">IF(INDEX(MASTER_DATABASE!$A$4:$A$1000,ROW()-3)="","",INDEX(MASTER_DATABASE!$J$4:$J$1000,ROW()-3)&amp;"")</f>
        <v>Please Confirm at Shop</v>
      </c>
      <c r="K74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7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4" s="7" t="str">
        <f aca="false">IF(INDEX(MASTER_DATABASE!$A$4:$A$1000,ROW()-3)="","",INDEX(MASTER_DATABASE!$BG$4:$BG$1000,ROW()-3)&amp;"")</f>
        <v>Check Documents</v>
      </c>
    </row>
    <row r="75" customFormat="false" ht="46.25" hidden="false" customHeight="false" outlineLevel="0" collapsed="false">
      <c r="A75" s="11" t="str">
        <f aca="false">IF(INDEX(MASTER_DATABASE!$A$4:$A$1000,ROW()-3)="","",INDEX(MASTER_DATABASE!$A$4:$A$1000,ROW()-3)&amp;"")</f>
        <v>FIN-009</v>
      </c>
      <c r="B75" s="7" t="str">
        <f aca="false">IF(INDEX(MASTER_DATABASE!$A$4:$A$1000,ROW()-3)="","",INDEX(MASTER_DATABASE!$E$4:$E$1000,ROW()-3)&amp;"")</f>
        <v>FINO BC – Micro ATM Cash Withdrawal</v>
      </c>
      <c r="C75" s="7" t="str">
        <f aca="false">IF(INDEX(MASTER_DATABASE!$A$4:$A$1000,ROW()-3)="","",INDEX(MASTER_DATABASE!$H$4:$H$1000,ROW()-3)&amp;"")</f>
        <v>FINO BC – Micro ATM Cash Withdrawal using the Micro ATM device.</v>
      </c>
      <c r="D7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5" s="7" t="str">
        <f aca="false">IF(INDEX(MASTER_DATABASE!$A$4:$A$1000,ROW()-3)="","",INDEX(MASTER_DATABASE!$O$4:$O$1000,ROW()-3)&amp;"")</f>
        <v>Debit card holders.</v>
      </c>
      <c r="F75" s="7" t="str">
        <f aca="false">IF(INDEX(MASTER_DATABASE!$A$4:$A$1000,ROW()-3)="","",INDEX(MASTER_DATABASE!$M$4:$M$1000,ROW()-3)&amp;"")</f>
        <v>✓ Debit Card</v>
      </c>
      <c r="G75" s="7" t="str">
        <f aca="false">IF(INDEX(MASTER_DATABASE!$A$4:$A$1000,ROW()-3)="","",INDEX(MASTER_DATABASE!$P$4:$P$1000,ROW()-3)&amp;"")</f>
        <v>Step 1 → Bring your debit card.
Step 2 → Operator starts the Micro ATM transaction.
Step 3 → Swipe / insert card and enter your PIN yourself.
Step 4 → Collect cash / receipt.</v>
      </c>
      <c r="H7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5" s="7" t="str">
        <f aca="false">IF(INDEX(MASTER_DATABASE!$A$4:$A$1000,ROW()-3)="","",INDEX(MASTER_DATABASE!$Q$4:$Q$1000,ROW()-3)&amp;"")</f>
        <v>5–10 Minutes</v>
      </c>
      <c r="J75" s="7" t="str">
        <f aca="false">IF(INDEX(MASTER_DATABASE!$A$4:$A$1000,ROW()-3)="","",INDEX(MASTER_DATABASE!$J$4:$J$1000,ROW()-3)&amp;"")</f>
        <v>To Be Confirmed</v>
      </c>
      <c r="K75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5" s="7" t="str">
        <f aca="false">IF(INDEX(MASTER_DATABASE!$A$4:$A$1000,ROW()-3)="","",INDEX(MASTER_DATABASE!$AR$4:$AR$1000,ROW()-3)&amp;"")</f>
        <v>Q1: Who enters the PIN?
A1: You should enter the PIN yourself on the device.</v>
      </c>
      <c r="M7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5" s="7" t="str">
        <f aca="false">IF(INDEX(MASTER_DATABASE!$A$4:$A$1000,ROW()-3)="","",INDEX(MASTER_DATABASE!$BG$4:$BG$1000,ROW()-3)&amp;"")</f>
        <v>Check Documents</v>
      </c>
    </row>
    <row r="76" customFormat="false" ht="68.65" hidden="false" customHeight="false" outlineLevel="0" collapsed="false">
      <c r="A76" s="11" t="str">
        <f aca="false">IF(INDEX(MASTER_DATABASE!$A$4:$A$1000,ROW()-3)="","",INDEX(MASTER_DATABASE!$A$4:$A$1000,ROW()-3)&amp;"")</f>
        <v>FIN-010</v>
      </c>
      <c r="B76" s="7" t="str">
        <f aca="false">IF(INDEX(MASTER_DATABASE!$A$4:$A$1000,ROW()-3)="","",INDEX(MASTER_DATABASE!$E$4:$E$1000,ROW()-3)&amp;"")</f>
        <v>FINO BC – Money Transfer (Domestic)</v>
      </c>
      <c r="C76" s="7" t="str">
        <f aca="false">IF(INDEX(MASTER_DATABASE!$A$4:$A$1000,ROW()-3)="","",INDEX(MASTER_DATABASE!$H$4:$H$1000,ROW()-3)&amp;"")</f>
        <v>Send money to a bank account by paying cash at our BC Point.</v>
      </c>
      <c r="D7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6" s="7" t="str">
        <f aca="false">IF(INDEX(MASTER_DATABASE!$A$4:$A$1000,ROW()-3)="","",INDEX(MASTER_DATABASE!$O$4:$O$1000,ROW()-3)&amp;"")</f>
        <v>Individuals sending domestic money (limits per bank rules).</v>
      </c>
      <c r="F76" s="7" t="str">
        <f aca="false">IF(INDEX(MASTER_DATABASE!$A$4:$A$1000,ROW()-3)="","",INDEX(MASTER_DATABASE!$M$4:$M$1000,ROW()-3)&amp;"")</f>
        <v>✓ Beneficiary Account Details
✓ Cash Amount
✓ Active Mobile Number</v>
      </c>
      <c r="G76" s="7" t="str">
        <f aca="false">IF(INDEX(MASTER_DATABASE!$A$4:$A$1000,ROW()-3)="","",INDEX(MASTER_DATABASE!$P$4:$P$1000,ROW()-3)&amp;"")</f>
        <v>Step 1 → Give the receiver's account number / IFSC and the amount.
Step 2 → Operator registers / verifies the sender and receiver on the BC system.
Step 3 → Pay the cash and the transfer charge.
Step 4 → Transfer is done; collect the receipt / reference.</v>
      </c>
      <c r="H7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6" s="7" t="str">
        <f aca="false">IF(INDEX(MASTER_DATABASE!$A$4:$A$1000,ROW()-3)="","",INDEX(MASTER_DATABASE!$Q$4:$Q$1000,ROW()-3)&amp;"")</f>
        <v>Same Day</v>
      </c>
      <c r="J76" s="7" t="str">
        <f aca="false">IF(INDEX(MASTER_DATABASE!$A$4:$A$1000,ROW()-3)="","",INDEX(MASTER_DATABASE!$J$4:$J$1000,ROW()-3)&amp;"")</f>
        <v>Please Confirm at Shop</v>
      </c>
      <c r="K76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7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6" s="7" t="str">
        <f aca="false">IF(INDEX(MASTER_DATABASE!$A$4:$A$1000,ROW()-3)="","",INDEX(MASTER_DATABASE!$BG$4:$BG$1000,ROW()-3)&amp;"")</f>
        <v>Check Documents</v>
      </c>
    </row>
    <row r="77" customFormat="false" ht="57.45" hidden="false" customHeight="false" outlineLevel="0" collapsed="false">
      <c r="A77" s="11" t="str">
        <f aca="false">IF(INDEX(MASTER_DATABASE!$A$4:$A$1000,ROW()-3)="","",INDEX(MASTER_DATABASE!$A$4:$A$1000,ROW()-3)&amp;"")</f>
        <v>FIN-011</v>
      </c>
      <c r="B77" s="7" t="str">
        <f aca="false">IF(INDEX(MASTER_DATABASE!$A$4:$A$1000,ROW()-3)="","",INDEX(MASTER_DATABASE!$E$4:$E$1000,ROW()-3)&amp;"")</f>
        <v>FINO BC – New Account Opening Assistance</v>
      </c>
      <c r="C77" s="7" t="str">
        <f aca="false">IF(INDEX(MASTER_DATABASE!$A$4:$A$1000,ROW()-3)="","",INDEX(MASTER_DATABASE!$H$4:$H$1000,ROW()-3)&amp;"")</f>
        <v>Assistance to open a new FINO Payments Bank account.</v>
      </c>
      <c r="D7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7" s="7" t="str">
        <f aca="false">IF(INDEX(MASTER_DATABASE!$A$4:$A$1000,ROW()-3)="","",INDEX(MASTER_DATABASE!$O$4:$O$1000,ROW()-3)&amp;"")</f>
        <v>Individuals eligible for the bank's account type.</v>
      </c>
      <c r="F77" s="7" t="str">
        <f aca="false">IF(INDEX(MASTER_DATABASE!$A$4:$A$1000,ROW()-3)="","",INDEX(MASTER_DATABASE!$M$4:$M$1000,ROW()-3)&amp;"")</f>
        <v>✓ Aadhaar Card
✓ Passport Photo
✓ Active Mobile Number</v>
      </c>
      <c r="G77" s="7" t="str">
        <f aca="false">IF(INDEX(MASTER_DATABASE!$A$4:$A$1000,ROW()-3)="","",INDEX(MASTER_DATABASE!$P$4:$P$1000,ROW()-3)&amp;"")</f>
        <v>Step 1 → Bring Aadhaar, mobile number and photo.
Step 2 → Operator starts the account opening form on the BC system.
Step 3 → eKYC / biometric verification is completed.
Step 4 → Form is submitted and the account details are shared.</v>
      </c>
      <c r="H7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7" s="7" t="str">
        <f aca="false">IF(INDEX(MASTER_DATABASE!$A$4:$A$1000,ROW()-3)="","",INDEX(MASTER_DATABASE!$Q$4:$Q$1000,ROW()-3)&amp;"")</f>
        <v>Depends on Department</v>
      </c>
      <c r="J77" s="7" t="str">
        <f aca="false">IF(INDEX(MASTER_DATABASE!$A$4:$A$1000,ROW()-3)="","",INDEX(MASTER_DATABASE!$J$4:$J$1000,ROW()-3)&amp;"")</f>
        <v>To Be Confirmed</v>
      </c>
      <c r="K77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7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7" s="7" t="str">
        <f aca="false">IF(INDEX(MASTER_DATABASE!$A$4:$A$1000,ROW()-3)="","",INDEX(MASTER_DATABASE!$BG$4:$BG$1000,ROW()-3)&amp;"")</f>
        <v>Check Documents</v>
      </c>
    </row>
    <row r="78" customFormat="false" ht="68.65" hidden="false" customHeight="false" outlineLevel="0" collapsed="false">
      <c r="A78" s="11" t="str">
        <f aca="false">IF(INDEX(MASTER_DATABASE!$A$4:$A$1000,ROW()-3)="","",INDEX(MASTER_DATABASE!$A$4:$A$1000,ROW()-3)&amp;"")</f>
        <v>FIN-012</v>
      </c>
      <c r="B78" s="7" t="str">
        <f aca="false">IF(INDEX(MASTER_DATABASE!$A$4:$A$1000,ROW()-3)="","",INDEX(MASTER_DATABASE!$E$4:$E$1000,ROW()-3)&amp;"")</f>
        <v>FINO BC – Account Mobile Number Update</v>
      </c>
      <c r="C78" s="7" t="str">
        <f aca="false">IF(INDEX(MASTER_DATABASE!$A$4:$A$1000,ROW()-3)="","",INDEX(MASTER_DATABASE!$H$4:$H$1000,ROW()-3)&amp;"")</f>
        <v>Assistance with fino bc – account mobile number update.</v>
      </c>
      <c r="D7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8" s="7" t="str">
        <f aca="false">IF(INDEX(MASTER_DATABASE!$A$4:$A$1000,ROW()-3)="","",INDEX(MASTER_DATABASE!$O$4:$O$1000,ROW()-3)&amp;"")</f>
        <v>Any customer who can provide the listed documents.</v>
      </c>
      <c r="F78" s="7" t="str">
        <f aca="false">IF(INDEX(MASTER_DATABASE!$A$4:$A$1000,ROW()-3)="","",INDEX(MASTER_DATABASE!$M$4:$M$1000,ROW()-3)&amp;"")</f>
        <v>✓ Aadhaar Card
✓ Bank Account Number
✓ Active Mobile Number</v>
      </c>
      <c r="G78" s="7" t="str">
        <f aca="false">IF(INDEX(MASTER_DATABASE!$A$4:$A$1000,ROW()-3)="","",INDEX(MASTER_DATABASE!$P$4:$P$1000,ROW()-3)&amp;"")</f>
        <v>Step 1 → Bring your account details and Aadhaar.
Step 2 → Operator checks how 'FINO BC – Account Mobile Number Update' can be handled through the BC.
Step 3 → Request is submitted through the BC channel or the bank branch is advised.
Step 4 → Collect the acknowledgement.</v>
      </c>
      <c r="H7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8" s="7" t="str">
        <f aca="false">IF(INDEX(MASTER_DATABASE!$A$4:$A$1000,ROW()-3)="","",INDEX(MASTER_DATABASE!$Q$4:$Q$1000,ROW()-3)&amp;"")</f>
        <v>Depends on Department</v>
      </c>
      <c r="J78" s="7" t="str">
        <f aca="false">IF(INDEX(MASTER_DATABASE!$A$4:$A$1000,ROW()-3)="","",INDEX(MASTER_DATABASE!$J$4:$J$1000,ROW()-3)&amp;"")</f>
        <v>To Be Confirmed</v>
      </c>
      <c r="K78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7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8" s="7" t="str">
        <f aca="false">IF(INDEX(MASTER_DATABASE!$A$4:$A$1000,ROW()-3)="","",INDEX(MASTER_DATABASE!$BG$4:$BG$1000,ROW()-3)&amp;"")</f>
        <v>Check Documents</v>
      </c>
    </row>
    <row r="79" customFormat="false" ht="46.25" hidden="false" customHeight="false" outlineLevel="0" collapsed="false">
      <c r="A79" s="11" t="str">
        <f aca="false">IF(INDEX(MASTER_DATABASE!$A$4:$A$1000,ROW()-3)="","",INDEX(MASTER_DATABASE!$A$4:$A$1000,ROW()-3)&amp;"")</f>
        <v>FIN-013</v>
      </c>
      <c r="B79" s="7" t="str">
        <f aca="false">IF(INDEX(MASTER_DATABASE!$A$4:$A$1000,ROW()-3)="","",INDEX(MASTER_DATABASE!$E$4:$E$1000,ROW()-3)&amp;"")</f>
        <v>FINO BC – KYC Document Collection / Update</v>
      </c>
      <c r="C79" s="7" t="str">
        <f aca="false">IF(INDEX(MASTER_DATABASE!$A$4:$A$1000,ROW()-3)="","",INDEX(MASTER_DATABASE!$H$4:$H$1000,ROW()-3)&amp;"")</f>
        <v>Submit or update KYC documents for your bank account.</v>
      </c>
      <c r="D7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79" s="7" t="str">
        <f aca="false">IF(INDEX(MASTER_DATABASE!$A$4:$A$1000,ROW()-3)="","",INDEX(MASTER_DATABASE!$O$4:$O$1000,ROW()-3)&amp;"")</f>
        <v>Existing account holders.</v>
      </c>
      <c r="F79" s="7" t="str">
        <f aca="false">IF(INDEX(MASTER_DATABASE!$A$4:$A$1000,ROW()-3)="","",INDEX(MASTER_DATABASE!$M$4:$M$1000,ROW()-3)&amp;"")</f>
        <v>✓ Aadhaar Card</v>
      </c>
      <c r="G79" s="7" t="str">
        <f aca="false">IF(INDEX(MASTER_DATABASE!$A$4:$A$1000,ROW()-3)="","",INDEX(MASTER_DATABASE!$P$4:$P$1000,ROW()-3)&amp;"")</f>
        <v>Step 1 → Bring account details and KYC documents.
Step 2 → Operator checks what the bank requires.
Step 3 → Documents are submitted through the BC channel.
Step 4 → Collect the acknowledgement.</v>
      </c>
      <c r="H7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79" s="7" t="str">
        <f aca="false">IF(INDEX(MASTER_DATABASE!$A$4:$A$1000,ROW()-3)="","",INDEX(MASTER_DATABASE!$Q$4:$Q$1000,ROW()-3)&amp;"")</f>
        <v>Depends on Department</v>
      </c>
      <c r="J79" s="7" t="str">
        <f aca="false">IF(INDEX(MASTER_DATABASE!$A$4:$A$1000,ROW()-3)="","",INDEX(MASTER_DATABASE!$J$4:$J$1000,ROW()-3)&amp;"")</f>
        <v>To Be Confirmed</v>
      </c>
      <c r="K79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7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7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79" s="7" t="str">
        <f aca="false">IF(INDEX(MASTER_DATABASE!$A$4:$A$1000,ROW()-3)="","",INDEX(MASTER_DATABASE!$BG$4:$BG$1000,ROW()-3)&amp;"")</f>
        <v>Check Documents</v>
      </c>
    </row>
    <row r="80" customFormat="false" ht="68.65" hidden="false" customHeight="false" outlineLevel="0" collapsed="false">
      <c r="A80" s="11" t="str">
        <f aca="false">IF(INDEX(MASTER_DATABASE!$A$4:$A$1000,ROW()-3)="","",INDEX(MASTER_DATABASE!$A$4:$A$1000,ROW()-3)&amp;"")</f>
        <v>FIN-014</v>
      </c>
      <c r="B80" s="7" t="str">
        <f aca="false">IF(INDEX(MASTER_DATABASE!$A$4:$A$1000,ROW()-3)="","",INDEX(MASTER_DATABASE!$E$4:$E$1000,ROW()-3)&amp;"")</f>
        <v>FINO BC – Account Query / Complaint Assistance</v>
      </c>
      <c r="C80" s="7" t="str">
        <f aca="false">IF(INDEX(MASTER_DATABASE!$A$4:$A$1000,ROW()-3)="","",INDEX(MASTER_DATABASE!$H$4:$H$1000,ROW()-3)&amp;"")</f>
        <v>Assistance with fino bc – account query / complaint assistance.</v>
      </c>
      <c r="D8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0" s="7" t="str">
        <f aca="false">IF(INDEX(MASTER_DATABASE!$A$4:$A$1000,ROW()-3)="","",INDEX(MASTER_DATABASE!$O$4:$O$1000,ROW()-3)&amp;"")</f>
        <v>Any customer who can provide the listed documents.</v>
      </c>
      <c r="F80" s="7" t="str">
        <f aca="false">IF(INDEX(MASTER_DATABASE!$A$4:$A$1000,ROW()-3)="","",INDEX(MASTER_DATABASE!$M$4:$M$1000,ROW()-3)&amp;"")</f>
        <v>✓ Aadhaar Card
✓ Bank Account Number
✓ Active Mobile Number</v>
      </c>
      <c r="G80" s="7" t="str">
        <f aca="false">IF(INDEX(MASTER_DATABASE!$A$4:$A$1000,ROW()-3)="","",INDEX(MASTER_DATABASE!$P$4:$P$1000,ROW()-3)&amp;"")</f>
        <v>Step 1 → Bring your account details and Aadhaar.
Step 2 → Operator checks how 'FINO BC – Account Query / Complaint Assistance' can be handled through the BC.
Step 3 → Request is submitted through the BC channel or the bank branch is advised.
Step 4 → Collect the acknowledgement.</v>
      </c>
      <c r="H8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0" s="7" t="str">
        <f aca="false">IF(INDEX(MASTER_DATABASE!$A$4:$A$1000,ROW()-3)="","",INDEX(MASTER_DATABASE!$Q$4:$Q$1000,ROW()-3)&amp;"")</f>
        <v>Depends on Department</v>
      </c>
      <c r="J80" s="7" t="str">
        <f aca="false">IF(INDEX(MASTER_DATABASE!$A$4:$A$1000,ROW()-3)="","",INDEX(MASTER_DATABASE!$J$4:$J$1000,ROW()-3)&amp;"")</f>
        <v>To Be Confirmed</v>
      </c>
      <c r="K80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8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8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0" s="7" t="str">
        <f aca="false">IF(INDEX(MASTER_DATABASE!$A$4:$A$1000,ROW()-3)="","",INDEX(MASTER_DATABASE!$BG$4:$BG$1000,ROW()-3)&amp;"")</f>
        <v>Check Documents</v>
      </c>
    </row>
    <row r="81" customFormat="false" ht="46.25" hidden="false" customHeight="false" outlineLevel="0" collapsed="false">
      <c r="A81" s="11" t="str">
        <f aca="false">IF(INDEX(MASTER_DATABASE!$A$4:$A$1000,ROW()-3)="","",INDEX(MASTER_DATABASE!$A$4:$A$1000,ROW()-3)&amp;"")</f>
        <v>FIN-015</v>
      </c>
      <c r="B81" s="7" t="str">
        <f aca="false">IF(INDEX(MASTER_DATABASE!$A$4:$A$1000,ROW()-3)="","",INDEX(MASTER_DATABASE!$E$4:$E$1000,ROW()-3)&amp;"")</f>
        <v>FINO BC – Payment Services (via FINO)</v>
      </c>
      <c r="C81" s="7" t="str">
        <f aca="false">IF(INDEX(MASTER_DATABASE!$A$4:$A$1000,ROW()-3)="","",INDEX(MASTER_DATABASE!$H$4:$H$1000,ROW()-3)&amp;"")</f>
        <v>Payment services through the FINO channel.</v>
      </c>
      <c r="D8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1" s="7" t="str">
        <f aca="false">IF(INDEX(MASTER_DATABASE!$A$4:$A$1000,ROW()-3)="","",INDEX(MASTER_DATABASE!$O$4:$O$1000,ROW()-3)&amp;"")</f>
        <v>Any customer who can provide the listed documents.</v>
      </c>
      <c r="F81" s="7" t="str">
        <f aca="false">IF(INDEX(MASTER_DATABASE!$A$4:$A$1000,ROW()-3)="","",INDEX(MASTER_DATABASE!$M$4:$M$1000,ROW()-3)&amp;"")</f>
        <v>✓ Consumer / Account Number</v>
      </c>
      <c r="G81" s="7" t="str">
        <f aca="false">IF(INDEX(MASTER_DATABASE!$A$4:$A$1000,ROW()-3)="","",INDEX(MASTER_DATABASE!$P$4:$P$1000,ROW()-3)&amp;"")</f>
        <v>Step 1 → Confirm which payment is required.
Step 2 → Operator processes it through the FINO channel.
Step 3 → Pay the amount and service charge.
Step 4 → Collect the receipt.</v>
      </c>
      <c r="H8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1" s="7" t="str">
        <f aca="false">IF(INDEX(MASTER_DATABASE!$A$4:$A$1000,ROW()-3)="","",INDEX(MASTER_DATABASE!$Q$4:$Q$1000,ROW()-3)&amp;"")</f>
        <v>5–10 Minutes</v>
      </c>
      <c r="J81" s="7" t="str">
        <f aca="false">IF(INDEX(MASTER_DATABASE!$A$4:$A$1000,ROW()-3)="","",INDEX(MASTER_DATABASE!$J$4:$J$1000,ROW()-3)&amp;"")</f>
        <v>To Be Confirmed</v>
      </c>
      <c r="K81" s="7" t="str">
        <f aca="false">IF(INDEX(MASTER_DATABASE!$A$4:$A$1000,ROW()-3)="","",INDEX(MASTER_DATABASE!$AS$4:$AS$1000,ROW()-3)&amp;"")</f>
        <v>Depends on your FINO Payments Bank BC agreement and activated services. Confirm with the shop before visiting.</v>
      </c>
      <c r="L8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8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1" s="7" t="str">
        <f aca="false">IF(INDEX(MASTER_DATABASE!$A$4:$A$1000,ROW()-3)="","",INDEX(MASTER_DATABASE!$BG$4:$BG$1000,ROW()-3)&amp;"")</f>
        <v>Check Documents</v>
      </c>
    </row>
    <row r="82" customFormat="false" ht="79.85" hidden="false" customHeight="false" outlineLevel="0" collapsed="false">
      <c r="A82" s="11" t="str">
        <f aca="false">IF(INDEX(MASTER_DATABASE!$A$4:$A$1000,ROW()-3)="","",INDEX(MASTER_DATABASE!$A$4:$A$1000,ROW()-3)&amp;"")</f>
        <v>BAS-001</v>
      </c>
      <c r="B82" s="7" t="str">
        <f aca="false">IF(INDEX(MASTER_DATABASE!$A$4:$A$1000,ROW()-3)="","",INDEX(MASTER_DATABASE!$E$4:$E$1000,ROW()-3)&amp;"")</f>
        <v>Income Certificate – Application</v>
      </c>
      <c r="C82" s="7" t="str">
        <f aca="false">IF(INDEX(MASTER_DATABASE!$A$4:$A$1000,ROW()-3)="","",INDEX(MASTER_DATABASE!$H$4:$H$1000,ROW()-3)&amp;"")</f>
        <v>Apply for Income Certificate through the BASUDHA Kendra.</v>
      </c>
      <c r="D8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2" s="7" t="str">
        <f aca="false">IF(INDEX(MASTER_DATABASE!$A$4:$A$1000,ROW()-3)="","",INDEX(MASTER_DATABASE!$O$4:$O$1000,ROW()-3)&amp;"")</f>
        <v>Eligible residents as per Income Certificate rules.</v>
      </c>
      <c r="F82" s="7" t="str">
        <f aca="false">IF(INDEX(MASTER_DATABASE!$A$4:$A$1000,ROW()-3)="","",INDEX(MASTER_DATABASE!$M$4:$M$1000,ROW()-3)&amp;"")</f>
        <v>✓ Aadhaar Card
✓ Passport Photo
✓ Active Mobile Number</v>
      </c>
      <c r="G82" s="7" t="str">
        <f aca="false">IF(INDEX(MASTER_DATABASE!$A$4:$A$1000,ROW()-3)="","",INDEX(MASTER_DATABASE!$P$4:$P$1000,ROW()-3)&amp;"")</f>
        <v>Step 1 → Bring Aadhaar, photo and supporting proofs.
Step 2 → Operator fills the Income Certificate application on the portal.
Step 3 → Documents are scanned and uploaded.
Step 4 → Application is submitted and the application number is given.
Step 5 → Track status; certificate is downloaded once approved.</v>
      </c>
      <c r="H8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2" s="7" t="str">
        <f aca="false">IF(INDEX(MASTER_DATABASE!$A$4:$A$1000,ROW()-3)="","",INDEX(MASTER_DATABASE!$Q$4:$Q$1000,ROW()-3)&amp;"")</f>
        <v>Depends on Department</v>
      </c>
      <c r="J82" s="7" t="str">
        <f aca="false">IF(INDEX(MASTER_DATABASE!$A$4:$A$1000,ROW()-3)="","",INDEX(MASTER_DATABASE!$J$4:$J$1000,ROW()-3)&amp;"")</f>
        <v>Depends on Portal – Confirm at Shop</v>
      </c>
      <c r="K82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82" s="7" t="str">
        <f aca="false">IF(INDEX(MASTER_DATABASE!$A$4:$A$1000,ROW()-3)="","",INDEX(MASTER_DATABASE!$AR$4:$AR$1000,ROW()-3)&amp;"")</f>
        <v>Q1: How can I track my application?
A1: Use the application number given at submission.</v>
      </c>
      <c r="M8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2" s="7" t="str">
        <f aca="false">IF(INDEX(MASTER_DATABASE!$A$4:$A$1000,ROW()-3)="","",INDEX(MASTER_DATABASE!$BG$4:$BG$1000,ROW()-3)&amp;"")</f>
        <v>Check Documents</v>
      </c>
    </row>
    <row r="83" customFormat="false" ht="68.65" hidden="false" customHeight="false" outlineLevel="0" collapsed="false">
      <c r="A83" s="11" t="str">
        <f aca="false">IF(INDEX(MASTER_DATABASE!$A$4:$A$1000,ROW()-3)="","",INDEX(MASTER_DATABASE!$A$4:$A$1000,ROW()-3)&amp;"")</f>
        <v>BAS-002</v>
      </c>
      <c r="B83" s="7" t="str">
        <f aca="false">IF(INDEX(MASTER_DATABASE!$A$4:$A$1000,ROW()-3)="","",INDEX(MASTER_DATABASE!$E$4:$E$1000,ROW()-3)&amp;"")</f>
        <v>Caste Certificate – Application</v>
      </c>
      <c r="C83" s="7" t="str">
        <f aca="false">IF(INDEX(MASTER_DATABASE!$A$4:$A$1000,ROW()-3)="","",INDEX(MASTER_DATABASE!$H$4:$H$1000,ROW()-3)&amp;"")</f>
        <v>Apply for Caste Certificate through the BASUDHA Kendra.</v>
      </c>
      <c r="D8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3" s="7" t="str">
        <f aca="false">IF(INDEX(MASTER_DATABASE!$A$4:$A$1000,ROW()-3)="","",INDEX(MASTER_DATABASE!$O$4:$O$1000,ROW()-3)&amp;"")</f>
        <v>Eligible residents as per Caste Certificate rules.</v>
      </c>
      <c r="F83" s="7" t="str">
        <f aca="false">IF(INDEX(MASTER_DATABASE!$A$4:$A$1000,ROW()-3)="","",INDEX(MASTER_DATABASE!$M$4:$M$1000,ROW()-3)&amp;"")</f>
        <v>✓ Aadhaar Card
✓ Passport Photo
✓ Active Mobile Number</v>
      </c>
      <c r="G83" s="7" t="str">
        <f aca="false">IF(INDEX(MASTER_DATABASE!$A$4:$A$1000,ROW()-3)="","",INDEX(MASTER_DATABASE!$P$4:$P$1000,ROW()-3)&amp;"")</f>
        <v>Step 1 → Bring Aadhaar, photo and supporting proofs.
Step 2 → Operator fills the Caste Certificate application on the portal.
Step 3 → Documents are scanned and uploaded.
Step 4 → Application is submitted and the application number is given.
Step 5 → Track status; certificate is downloaded once approved.</v>
      </c>
      <c r="H8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3" s="7" t="str">
        <f aca="false">IF(INDEX(MASTER_DATABASE!$A$4:$A$1000,ROW()-3)="","",INDEX(MASTER_DATABASE!$Q$4:$Q$1000,ROW()-3)&amp;"")</f>
        <v>Depends on Department</v>
      </c>
      <c r="J83" s="7" t="str">
        <f aca="false">IF(INDEX(MASTER_DATABASE!$A$4:$A$1000,ROW()-3)="","",INDEX(MASTER_DATABASE!$J$4:$J$1000,ROW()-3)&amp;"")</f>
        <v>Depends on Portal – Confirm at Shop</v>
      </c>
      <c r="K83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83" s="7" t="str">
        <f aca="false">IF(INDEX(MASTER_DATABASE!$A$4:$A$1000,ROW()-3)="","",INDEX(MASTER_DATABASE!$AR$4:$AR$1000,ROW()-3)&amp;"")</f>
        <v>Q1: How can I track my application?
A1: Use the application number given at submission.</v>
      </c>
      <c r="M8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3" s="7" t="str">
        <f aca="false">IF(INDEX(MASTER_DATABASE!$A$4:$A$1000,ROW()-3)="","",INDEX(MASTER_DATABASE!$BG$4:$BG$1000,ROW()-3)&amp;"")</f>
        <v>Check Documents</v>
      </c>
    </row>
    <row r="84" customFormat="false" ht="79.85" hidden="false" customHeight="false" outlineLevel="0" collapsed="false">
      <c r="A84" s="11" t="str">
        <f aca="false">IF(INDEX(MASTER_DATABASE!$A$4:$A$1000,ROW()-3)="","",INDEX(MASTER_DATABASE!$A$4:$A$1000,ROW()-3)&amp;"")</f>
        <v>BAS-003</v>
      </c>
      <c r="B84" s="7" t="str">
        <f aca="false">IF(INDEX(MASTER_DATABASE!$A$4:$A$1000,ROW()-3)="","",INDEX(MASTER_DATABASE!$E$4:$E$1000,ROW()-3)&amp;"")</f>
        <v>Residence Certificate – Application</v>
      </c>
      <c r="C84" s="7" t="str">
        <f aca="false">IF(INDEX(MASTER_DATABASE!$A$4:$A$1000,ROW()-3)="","",INDEX(MASTER_DATABASE!$H$4:$H$1000,ROW()-3)&amp;"")</f>
        <v>Apply for Residence Certificate through the BASUDHA Kendra.</v>
      </c>
      <c r="D8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4" s="7" t="str">
        <f aca="false">IF(INDEX(MASTER_DATABASE!$A$4:$A$1000,ROW()-3)="","",INDEX(MASTER_DATABASE!$O$4:$O$1000,ROW()-3)&amp;"")</f>
        <v>Eligible residents as per Residence Certificate rules.</v>
      </c>
      <c r="F84" s="7" t="str">
        <f aca="false">IF(INDEX(MASTER_DATABASE!$A$4:$A$1000,ROW()-3)="","",INDEX(MASTER_DATABASE!$M$4:$M$1000,ROW()-3)&amp;"")</f>
        <v>✓ Aadhaar Card
✓ Passport Photo
✓ Active Mobile Number</v>
      </c>
      <c r="G84" s="7" t="str">
        <f aca="false">IF(INDEX(MASTER_DATABASE!$A$4:$A$1000,ROW()-3)="","",INDEX(MASTER_DATABASE!$P$4:$P$1000,ROW()-3)&amp;"")</f>
        <v>Step 1 → Bring Aadhaar, photo and supporting proofs.
Step 2 → Operator fills the Residence Certificate application on the portal.
Step 3 → Documents are scanned and uploaded.
Step 4 → Application is submitted and the application number is given.
Step 5 → Track status; certificate is downloaded once approved.</v>
      </c>
      <c r="H8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4" s="7" t="str">
        <f aca="false">IF(INDEX(MASTER_DATABASE!$A$4:$A$1000,ROW()-3)="","",INDEX(MASTER_DATABASE!$Q$4:$Q$1000,ROW()-3)&amp;"")</f>
        <v>Depends on Department</v>
      </c>
      <c r="J84" s="7" t="str">
        <f aca="false">IF(INDEX(MASTER_DATABASE!$A$4:$A$1000,ROW()-3)="","",INDEX(MASTER_DATABASE!$J$4:$J$1000,ROW()-3)&amp;"")</f>
        <v>Depends on Portal – Confirm at Shop</v>
      </c>
      <c r="K84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84" s="7" t="str">
        <f aca="false">IF(INDEX(MASTER_DATABASE!$A$4:$A$1000,ROW()-3)="","",INDEX(MASTER_DATABASE!$AR$4:$AR$1000,ROW()-3)&amp;"")</f>
        <v>Q1: How can I track my application?
A1: Use the application number given at submission.</v>
      </c>
      <c r="M8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4" s="7" t="str">
        <f aca="false">IF(INDEX(MASTER_DATABASE!$A$4:$A$1000,ROW()-3)="","",INDEX(MASTER_DATABASE!$BG$4:$BG$1000,ROW()-3)&amp;"")</f>
        <v>Check Documents</v>
      </c>
    </row>
    <row r="85" customFormat="false" ht="68.65" hidden="false" customHeight="false" outlineLevel="0" collapsed="false">
      <c r="A85" s="11" t="str">
        <f aca="false">IF(INDEX(MASTER_DATABASE!$A$4:$A$1000,ROW()-3)="","",INDEX(MASTER_DATABASE!$A$4:$A$1000,ROW()-3)&amp;"")</f>
        <v>BAS-004</v>
      </c>
      <c r="B85" s="7" t="str">
        <f aca="false">IF(INDEX(MASTER_DATABASE!$A$4:$A$1000,ROW()-3)="","",INDEX(MASTER_DATABASE!$E$4:$E$1000,ROW()-3)&amp;"")</f>
        <v>EWS Certificate – Application</v>
      </c>
      <c r="C85" s="7" t="str">
        <f aca="false">IF(INDEX(MASTER_DATABASE!$A$4:$A$1000,ROW()-3)="","",INDEX(MASTER_DATABASE!$H$4:$H$1000,ROW()-3)&amp;"")</f>
        <v>Apply for EWS Certificate through the BASUDHA Kendra.</v>
      </c>
      <c r="D8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5" s="7" t="str">
        <f aca="false">IF(INDEX(MASTER_DATABASE!$A$4:$A$1000,ROW()-3)="","",INDEX(MASTER_DATABASE!$O$4:$O$1000,ROW()-3)&amp;"")</f>
        <v>Eligible residents as per EWS Certificate rules.</v>
      </c>
      <c r="F85" s="7" t="str">
        <f aca="false">IF(INDEX(MASTER_DATABASE!$A$4:$A$1000,ROW()-3)="","",INDEX(MASTER_DATABASE!$M$4:$M$1000,ROW()-3)&amp;"")</f>
        <v>✓ Aadhaar Card
✓ Passport Photo
✓ Active Mobile Number</v>
      </c>
      <c r="G85" s="7" t="str">
        <f aca="false">IF(INDEX(MASTER_DATABASE!$A$4:$A$1000,ROW()-3)="","",INDEX(MASTER_DATABASE!$P$4:$P$1000,ROW()-3)&amp;"")</f>
        <v>Step 1 → Bring Aadhaar, photo and supporting proofs.
Step 2 → Operator fills the EWS Certificate application on the portal.
Step 3 → Documents are scanned and uploaded.
Step 4 → Application is submitted and the application number is given.
Step 5 → Track status; certificate is downloaded once approved.</v>
      </c>
      <c r="H8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5" s="7" t="str">
        <f aca="false">IF(INDEX(MASTER_DATABASE!$A$4:$A$1000,ROW()-3)="","",INDEX(MASTER_DATABASE!$Q$4:$Q$1000,ROW()-3)&amp;"")</f>
        <v>Depends on Department</v>
      </c>
      <c r="J85" s="7" t="str">
        <f aca="false">IF(INDEX(MASTER_DATABASE!$A$4:$A$1000,ROW()-3)="","",INDEX(MASTER_DATABASE!$J$4:$J$1000,ROW()-3)&amp;"")</f>
        <v>Depends on Portal – Confirm at Shop</v>
      </c>
      <c r="K85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85" s="7" t="str">
        <f aca="false">IF(INDEX(MASTER_DATABASE!$A$4:$A$1000,ROW()-3)="","",INDEX(MASTER_DATABASE!$AR$4:$AR$1000,ROW()-3)&amp;"")</f>
        <v>Q1: How can I track my application?
A1: Use the application number given at submission.</v>
      </c>
      <c r="M8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5" s="7" t="str">
        <f aca="false">IF(INDEX(MASTER_DATABASE!$A$4:$A$1000,ROW()-3)="","",INDEX(MASTER_DATABASE!$BG$4:$BG$1000,ROW()-3)&amp;"")</f>
        <v>Check Documents</v>
      </c>
    </row>
    <row r="86" customFormat="false" ht="79.85" hidden="false" customHeight="false" outlineLevel="0" collapsed="false">
      <c r="A86" s="11" t="str">
        <f aca="false">IF(INDEX(MASTER_DATABASE!$A$4:$A$1000,ROW()-3)="","",INDEX(MASTER_DATABASE!$A$4:$A$1000,ROW()-3)&amp;"")</f>
        <v>BAS-005</v>
      </c>
      <c r="B86" s="7" t="str">
        <f aca="false">IF(INDEX(MASTER_DATABASE!$A$4:$A$1000,ROW()-3)="","",INDEX(MASTER_DATABASE!$E$4:$E$1000,ROW()-3)&amp;"")</f>
        <v>Non-Creamy Layer (OBC / EBC) Certificate – Application</v>
      </c>
      <c r="C86" s="7" t="str">
        <f aca="false">IF(INDEX(MASTER_DATABASE!$A$4:$A$1000,ROW()-3)="","",INDEX(MASTER_DATABASE!$H$4:$H$1000,ROW()-3)&amp;"")</f>
        <v>Apply for Non-Creamy Layer (OBC / EBC) Certificate through the BASUDHA Kendra.</v>
      </c>
      <c r="D8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6" s="7" t="str">
        <f aca="false">IF(INDEX(MASTER_DATABASE!$A$4:$A$1000,ROW()-3)="","",INDEX(MASTER_DATABASE!$O$4:$O$1000,ROW()-3)&amp;"")</f>
        <v>Eligible residents as per Non-Creamy Layer (OBC / EBC) Certificate rules.</v>
      </c>
      <c r="F86" s="7" t="str">
        <f aca="false">IF(INDEX(MASTER_DATABASE!$A$4:$A$1000,ROW()-3)="","",INDEX(MASTER_DATABASE!$M$4:$M$1000,ROW()-3)&amp;"")</f>
        <v>✓ Aadhaar Card
✓ Passport Photo
✓ Active Mobile Number</v>
      </c>
      <c r="G86" s="7" t="str">
        <f aca="false">IF(INDEX(MASTER_DATABASE!$A$4:$A$1000,ROW()-3)="","",INDEX(MASTER_DATABASE!$P$4:$P$1000,ROW()-3)&amp;"")</f>
        <v>Step 1 → Bring Aadhaar, photo and supporting proofs.
Step 2 → Operator fills the Non-Creamy Layer (OBC / EBC) Certificate application on the portal.
Step 3 → Documents are scanned and uploaded.
Step 4 → Application is submitted and the application number is given.
Step 5 → Track status; certificate is downloaded once approved.</v>
      </c>
      <c r="H8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6" s="7" t="str">
        <f aca="false">IF(INDEX(MASTER_DATABASE!$A$4:$A$1000,ROW()-3)="","",INDEX(MASTER_DATABASE!$Q$4:$Q$1000,ROW()-3)&amp;"")</f>
        <v>Depends on Department</v>
      </c>
      <c r="J86" s="7" t="str">
        <f aca="false">IF(INDEX(MASTER_DATABASE!$A$4:$A$1000,ROW()-3)="","",INDEX(MASTER_DATABASE!$J$4:$J$1000,ROW()-3)&amp;"")</f>
        <v>Depends on Portal – Confirm at Shop</v>
      </c>
      <c r="K86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86" s="7" t="str">
        <f aca="false">IF(INDEX(MASTER_DATABASE!$A$4:$A$1000,ROW()-3)="","",INDEX(MASTER_DATABASE!$AR$4:$AR$1000,ROW()-3)&amp;"")</f>
        <v>Q1: How can I track my application?
A1: Use the application number given at submission.</v>
      </c>
      <c r="M8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6" s="7" t="str">
        <f aca="false">IF(INDEX(MASTER_DATABASE!$A$4:$A$1000,ROW()-3)="","",INDEX(MASTER_DATABASE!$BG$4:$BG$1000,ROW()-3)&amp;"")</f>
        <v>Check Documents</v>
      </c>
    </row>
    <row r="87" customFormat="false" ht="68.65" hidden="false" customHeight="false" outlineLevel="0" collapsed="false">
      <c r="A87" s="11" t="str">
        <f aca="false">IF(INDEX(MASTER_DATABASE!$A$4:$A$1000,ROW()-3)="","",INDEX(MASTER_DATABASE!$A$4:$A$1000,ROW()-3)&amp;"")</f>
        <v>BAS-006</v>
      </c>
      <c r="B87" s="7" t="str">
        <f aca="false">IF(INDEX(MASTER_DATABASE!$A$4:$A$1000,ROW()-3)="","",INDEX(MASTER_DATABASE!$E$4:$E$1000,ROW()-3)&amp;"")</f>
        <v>Birth Certificate – Application</v>
      </c>
      <c r="C87" s="7" t="str">
        <f aca="false">IF(INDEX(MASTER_DATABASE!$A$4:$A$1000,ROW()-3)="","",INDEX(MASTER_DATABASE!$H$4:$H$1000,ROW()-3)&amp;"")</f>
        <v>Apply for Birth Certificate through the BASUDHA Kendra.</v>
      </c>
      <c r="D8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7" s="7" t="str">
        <f aca="false">IF(INDEX(MASTER_DATABASE!$A$4:$A$1000,ROW()-3)="","",INDEX(MASTER_DATABASE!$O$4:$O$1000,ROW()-3)&amp;"")</f>
        <v>Eligible residents as per Birth Certificate rules.</v>
      </c>
      <c r="F87" s="7" t="str">
        <f aca="false">IF(INDEX(MASTER_DATABASE!$A$4:$A$1000,ROW()-3)="","",INDEX(MASTER_DATABASE!$M$4:$M$1000,ROW()-3)&amp;"")</f>
        <v>✓ Aadhaar Card
✓ Passport Photo
✓ Active Mobile Number</v>
      </c>
      <c r="G87" s="7" t="str">
        <f aca="false">IF(INDEX(MASTER_DATABASE!$A$4:$A$1000,ROW()-3)="","",INDEX(MASTER_DATABASE!$P$4:$P$1000,ROW()-3)&amp;"")</f>
        <v>Step 1 → Bring Aadhaar, photo and supporting proofs.
Step 2 → Operator fills the Birth Certificate application on the portal.
Step 3 → Documents are scanned and uploaded.
Step 4 → Application is submitted and the application number is given.
Step 5 → Track status; certificate is downloaded once approved.</v>
      </c>
      <c r="H8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7" s="7" t="str">
        <f aca="false">IF(INDEX(MASTER_DATABASE!$A$4:$A$1000,ROW()-3)="","",INDEX(MASTER_DATABASE!$Q$4:$Q$1000,ROW()-3)&amp;"")</f>
        <v>Depends on Department</v>
      </c>
      <c r="J87" s="7" t="str">
        <f aca="false">IF(INDEX(MASTER_DATABASE!$A$4:$A$1000,ROW()-3)="","",INDEX(MASTER_DATABASE!$J$4:$J$1000,ROW()-3)&amp;"")</f>
        <v>To Be Confirmed</v>
      </c>
      <c r="K87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87" s="7" t="str">
        <f aca="false">IF(INDEX(MASTER_DATABASE!$A$4:$A$1000,ROW()-3)="","",INDEX(MASTER_DATABASE!$AR$4:$AR$1000,ROW()-3)&amp;"")</f>
        <v>Q1: How can I track my application?
A1: Use the application number given at submission.</v>
      </c>
      <c r="M8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7" s="7" t="str">
        <f aca="false">IF(INDEX(MASTER_DATABASE!$A$4:$A$1000,ROW()-3)="","",INDEX(MASTER_DATABASE!$BG$4:$BG$1000,ROW()-3)&amp;"")</f>
        <v>Check Documents</v>
      </c>
    </row>
    <row r="88" customFormat="false" ht="68.65" hidden="false" customHeight="false" outlineLevel="0" collapsed="false">
      <c r="A88" s="11" t="str">
        <f aca="false">IF(INDEX(MASTER_DATABASE!$A$4:$A$1000,ROW()-3)="","",INDEX(MASTER_DATABASE!$A$4:$A$1000,ROW()-3)&amp;"")</f>
        <v>BAS-007</v>
      </c>
      <c r="B88" s="7" t="str">
        <f aca="false">IF(INDEX(MASTER_DATABASE!$A$4:$A$1000,ROW()-3)="","",INDEX(MASTER_DATABASE!$E$4:$E$1000,ROW()-3)&amp;"")</f>
        <v>Death Certificate – Application</v>
      </c>
      <c r="C88" s="7" t="str">
        <f aca="false">IF(INDEX(MASTER_DATABASE!$A$4:$A$1000,ROW()-3)="","",INDEX(MASTER_DATABASE!$H$4:$H$1000,ROW()-3)&amp;"")</f>
        <v>Apply for Death Certificate through the BASUDHA Kendra.</v>
      </c>
      <c r="D8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8" s="7" t="str">
        <f aca="false">IF(INDEX(MASTER_DATABASE!$A$4:$A$1000,ROW()-3)="","",INDEX(MASTER_DATABASE!$O$4:$O$1000,ROW()-3)&amp;"")</f>
        <v>Eligible residents as per Death Certificate rules.</v>
      </c>
      <c r="F88" s="7" t="str">
        <f aca="false">IF(INDEX(MASTER_DATABASE!$A$4:$A$1000,ROW()-3)="","",INDEX(MASTER_DATABASE!$M$4:$M$1000,ROW()-3)&amp;"")</f>
        <v>✓ Aadhaar Card
✓ Passport Photo
✓ Active Mobile Number</v>
      </c>
      <c r="G88" s="7" t="str">
        <f aca="false">IF(INDEX(MASTER_DATABASE!$A$4:$A$1000,ROW()-3)="","",INDEX(MASTER_DATABASE!$P$4:$P$1000,ROW()-3)&amp;"")</f>
        <v>Step 1 → Bring Aadhaar, photo and supporting proofs.
Step 2 → Operator fills the Death Certificate application on the portal.
Step 3 → Documents are scanned and uploaded.
Step 4 → Application is submitted and the application number is given.
Step 5 → Track status; certificate is downloaded once approved.</v>
      </c>
      <c r="H8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8" s="7" t="str">
        <f aca="false">IF(INDEX(MASTER_DATABASE!$A$4:$A$1000,ROW()-3)="","",INDEX(MASTER_DATABASE!$Q$4:$Q$1000,ROW()-3)&amp;"")</f>
        <v>Depends on Department</v>
      </c>
      <c r="J88" s="7" t="str">
        <f aca="false">IF(INDEX(MASTER_DATABASE!$A$4:$A$1000,ROW()-3)="","",INDEX(MASTER_DATABASE!$J$4:$J$1000,ROW()-3)&amp;"")</f>
        <v>To Be Confirmed</v>
      </c>
      <c r="K88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88" s="7" t="str">
        <f aca="false">IF(INDEX(MASTER_DATABASE!$A$4:$A$1000,ROW()-3)="","",INDEX(MASTER_DATABASE!$AR$4:$AR$1000,ROW()-3)&amp;"")</f>
        <v>Q1: How can I track my application?
A1: Use the application number given at submission.</v>
      </c>
      <c r="M8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8" s="7" t="str">
        <f aca="false">IF(INDEX(MASTER_DATABASE!$A$4:$A$1000,ROW()-3)="","",INDEX(MASTER_DATABASE!$BG$4:$BG$1000,ROW()-3)&amp;"")</f>
        <v>Check Documents</v>
      </c>
    </row>
    <row r="89" customFormat="false" ht="79.85" hidden="false" customHeight="false" outlineLevel="0" collapsed="false">
      <c r="A89" s="11" t="str">
        <f aca="false">IF(INDEX(MASTER_DATABASE!$A$4:$A$1000,ROW()-3)="","",INDEX(MASTER_DATABASE!$A$4:$A$1000,ROW()-3)&amp;"")</f>
        <v>BAS-008</v>
      </c>
      <c r="B89" s="7" t="str">
        <f aca="false">IF(INDEX(MASTER_DATABASE!$A$4:$A$1000,ROW()-3)="","",INDEX(MASTER_DATABASE!$E$4:$E$1000,ROW()-3)&amp;"")</f>
        <v>Marriage Registration / Certificate – Application</v>
      </c>
      <c r="C89" s="7" t="str">
        <f aca="false">IF(INDEX(MASTER_DATABASE!$A$4:$A$1000,ROW()-3)="","",INDEX(MASTER_DATABASE!$H$4:$H$1000,ROW()-3)&amp;"")</f>
        <v>Apply for Marriage Registration / Certificate through the BASUDHA Kendra.</v>
      </c>
      <c r="D8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89" s="7" t="str">
        <f aca="false">IF(INDEX(MASTER_DATABASE!$A$4:$A$1000,ROW()-3)="","",INDEX(MASTER_DATABASE!$O$4:$O$1000,ROW()-3)&amp;"")</f>
        <v>Eligible residents as per Marriage Registration / Certificate rules.</v>
      </c>
      <c r="F89" s="7" t="str">
        <f aca="false">IF(INDEX(MASTER_DATABASE!$A$4:$A$1000,ROW()-3)="","",INDEX(MASTER_DATABASE!$M$4:$M$1000,ROW()-3)&amp;"")</f>
        <v>✓ Aadhaar Card
✓ Passport Photo
✓ Active Mobile Number</v>
      </c>
      <c r="G89" s="7" t="str">
        <f aca="false">IF(INDEX(MASTER_DATABASE!$A$4:$A$1000,ROW()-3)="","",INDEX(MASTER_DATABASE!$P$4:$P$1000,ROW()-3)&amp;"")</f>
        <v>Step 1 → Bring Aadhaar, photo and supporting proofs.
Step 2 → Operator fills the Marriage Registration / Certificate application on the portal.
Step 3 → Documents are scanned and uploaded.
Step 4 → Application is submitted and the application number is given.
Step 5 → Track status; certificate is downloaded once approved.</v>
      </c>
      <c r="H8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89" s="7" t="str">
        <f aca="false">IF(INDEX(MASTER_DATABASE!$A$4:$A$1000,ROW()-3)="","",INDEX(MASTER_DATABASE!$Q$4:$Q$1000,ROW()-3)&amp;"")</f>
        <v>Depends on Department</v>
      </c>
      <c r="J89" s="7" t="str">
        <f aca="false">IF(INDEX(MASTER_DATABASE!$A$4:$A$1000,ROW()-3)="","",INDEX(MASTER_DATABASE!$J$4:$J$1000,ROW()-3)&amp;"")</f>
        <v>To Be Confirmed</v>
      </c>
      <c r="K89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89" s="7" t="str">
        <f aca="false">IF(INDEX(MASTER_DATABASE!$A$4:$A$1000,ROW()-3)="","",INDEX(MASTER_DATABASE!$AR$4:$AR$1000,ROW()-3)&amp;"")</f>
        <v>Q1: How can I track my application?
A1: Use the application number given at submission.</v>
      </c>
      <c r="M8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89" s="7" t="str">
        <f aca="false">IF(INDEX(MASTER_DATABASE!$A$4:$A$1000,ROW()-3)="","",INDEX(MASTER_DATABASE!$BG$4:$BG$1000,ROW()-3)&amp;"")</f>
        <v>Check Documents</v>
      </c>
    </row>
    <row r="90" customFormat="false" ht="79.85" hidden="false" customHeight="false" outlineLevel="0" collapsed="false">
      <c r="A90" s="11" t="str">
        <f aca="false">IF(INDEX(MASTER_DATABASE!$A$4:$A$1000,ROW()-3)="","",INDEX(MASTER_DATABASE!$A$4:$A$1000,ROW()-3)&amp;"")</f>
        <v>BAS-009</v>
      </c>
      <c r="B90" s="7" t="str">
        <f aca="false">IF(INDEX(MASTER_DATABASE!$A$4:$A$1000,ROW()-3)="","",INDEX(MASTER_DATABASE!$E$4:$E$1000,ROW()-3)&amp;"")</f>
        <v>Character Certificate – Application</v>
      </c>
      <c r="C90" s="7" t="str">
        <f aca="false">IF(INDEX(MASTER_DATABASE!$A$4:$A$1000,ROW()-3)="","",INDEX(MASTER_DATABASE!$H$4:$H$1000,ROW()-3)&amp;"")</f>
        <v>Apply for Character Certificate through the BASUDHA Kendra.</v>
      </c>
      <c r="D9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0" s="7" t="str">
        <f aca="false">IF(INDEX(MASTER_DATABASE!$A$4:$A$1000,ROW()-3)="","",INDEX(MASTER_DATABASE!$O$4:$O$1000,ROW()-3)&amp;"")</f>
        <v>Eligible residents as per Character Certificate rules.</v>
      </c>
      <c r="F90" s="7" t="str">
        <f aca="false">IF(INDEX(MASTER_DATABASE!$A$4:$A$1000,ROW()-3)="","",INDEX(MASTER_DATABASE!$M$4:$M$1000,ROW()-3)&amp;"")</f>
        <v>✓ Aadhaar Card
✓ Passport Photo
✓ Active Mobile Number</v>
      </c>
      <c r="G90" s="7" t="str">
        <f aca="false">IF(INDEX(MASTER_DATABASE!$A$4:$A$1000,ROW()-3)="","",INDEX(MASTER_DATABASE!$P$4:$P$1000,ROW()-3)&amp;"")</f>
        <v>Step 1 → Bring Aadhaar, photo and supporting proofs.
Step 2 → Operator fills the Character Certificate application on the portal.
Step 3 → Documents are scanned and uploaded.
Step 4 → Application is submitted and the application number is given.
Step 5 → Track status; certificate is downloaded once approved.</v>
      </c>
      <c r="H9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0" s="7" t="str">
        <f aca="false">IF(INDEX(MASTER_DATABASE!$A$4:$A$1000,ROW()-3)="","",INDEX(MASTER_DATABASE!$Q$4:$Q$1000,ROW()-3)&amp;"")</f>
        <v>Depends on Department</v>
      </c>
      <c r="J90" s="7" t="str">
        <f aca="false">IF(INDEX(MASTER_DATABASE!$A$4:$A$1000,ROW()-3)="","",INDEX(MASTER_DATABASE!$J$4:$J$1000,ROW()-3)&amp;"")</f>
        <v>To Be Confirmed</v>
      </c>
      <c r="K90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0" s="7" t="str">
        <f aca="false">IF(INDEX(MASTER_DATABASE!$A$4:$A$1000,ROW()-3)="","",INDEX(MASTER_DATABASE!$AR$4:$AR$1000,ROW()-3)&amp;"")</f>
        <v>Q1: How can I track my application?
A1: Use the application number given at submission.</v>
      </c>
      <c r="M9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0" s="7" t="str">
        <f aca="false">IF(INDEX(MASTER_DATABASE!$A$4:$A$1000,ROW()-3)="","",INDEX(MASTER_DATABASE!$BG$4:$BG$1000,ROW()-3)&amp;"")</f>
        <v>Check Documents</v>
      </c>
    </row>
    <row r="91" customFormat="false" ht="79.85" hidden="false" customHeight="false" outlineLevel="0" collapsed="false">
      <c r="A91" s="11" t="str">
        <f aca="false">IF(INDEX(MASTER_DATABASE!$A$4:$A$1000,ROW()-3)="","",INDEX(MASTER_DATABASE!$A$4:$A$1000,ROW()-3)&amp;"")</f>
        <v>BAS-010</v>
      </c>
      <c r="B91" s="7" t="str">
        <f aca="false">IF(INDEX(MASTER_DATABASE!$A$4:$A$1000,ROW()-3)="","",INDEX(MASTER_DATABASE!$E$4:$E$1000,ROW()-3)&amp;"")</f>
        <v>Certificate Correction / Re-application Assistance</v>
      </c>
      <c r="C91" s="7" t="str">
        <f aca="false">IF(INDEX(MASTER_DATABASE!$A$4:$A$1000,ROW()-3)="","",INDEX(MASTER_DATABASE!$H$4:$H$1000,ROW()-3)&amp;"")</f>
        <v>Apply for Certificate Correction / Re-application Assistance through the BASUDHA Kendra.</v>
      </c>
      <c r="D9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1" s="7" t="str">
        <f aca="false">IF(INDEX(MASTER_DATABASE!$A$4:$A$1000,ROW()-3)="","",INDEX(MASTER_DATABASE!$O$4:$O$1000,ROW()-3)&amp;"")</f>
        <v>Eligible residents as per Certificate Correction / Re-application Assistance rules.</v>
      </c>
      <c r="F91" s="7" t="str">
        <f aca="false">IF(INDEX(MASTER_DATABASE!$A$4:$A$1000,ROW()-3)="","",INDEX(MASTER_DATABASE!$M$4:$M$1000,ROW()-3)&amp;"")</f>
        <v>✓ Aadhaar Card
✓ Passport Photo
✓ Active Mobile Number</v>
      </c>
      <c r="G91" s="7" t="str">
        <f aca="false">IF(INDEX(MASTER_DATABASE!$A$4:$A$1000,ROW()-3)="","",INDEX(MASTER_DATABASE!$P$4:$P$1000,ROW()-3)&amp;"")</f>
        <v>Step 1 → Bring Aadhaar, photo and supporting proofs.
Step 2 → Operator fills the Certificate Correction / Re-application Assistance application on the portal.
Step 3 → Documents are scanned and uploaded.
Step 4 → Application is submitted and the application number is given.
Step 5 → Track status; certificate is downloaded once approved.</v>
      </c>
      <c r="H9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1" s="7" t="str">
        <f aca="false">IF(INDEX(MASTER_DATABASE!$A$4:$A$1000,ROW()-3)="","",INDEX(MASTER_DATABASE!$Q$4:$Q$1000,ROW()-3)&amp;"")</f>
        <v>Depends on Department</v>
      </c>
      <c r="J91" s="7" t="str">
        <f aca="false">IF(INDEX(MASTER_DATABASE!$A$4:$A$1000,ROW()-3)="","",INDEX(MASTER_DATABASE!$J$4:$J$1000,ROW()-3)&amp;"")</f>
        <v>To Be Confirmed</v>
      </c>
      <c r="K91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1" s="7" t="str">
        <f aca="false">IF(INDEX(MASTER_DATABASE!$A$4:$A$1000,ROW()-3)="","",INDEX(MASTER_DATABASE!$AR$4:$AR$1000,ROW()-3)&amp;"")</f>
        <v>Q1: How can I track my application?
A1: Use the application number given at submission.</v>
      </c>
      <c r="M9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1" s="7" t="str">
        <f aca="false">IF(INDEX(MASTER_DATABASE!$A$4:$A$1000,ROW()-3)="","",INDEX(MASTER_DATABASE!$BG$4:$BG$1000,ROW()-3)&amp;"")</f>
        <v>Check Documents</v>
      </c>
    </row>
    <row r="92" customFormat="false" ht="46.25" hidden="false" customHeight="false" outlineLevel="0" collapsed="false">
      <c r="A92" s="11" t="str">
        <f aca="false">IF(INDEX(MASTER_DATABASE!$A$4:$A$1000,ROW()-3)="","",INDEX(MASTER_DATABASE!$A$4:$A$1000,ROW()-3)&amp;"")</f>
        <v>BAS-011</v>
      </c>
      <c r="B92" s="7" t="str">
        <f aca="false">IF(INDEX(MASTER_DATABASE!$A$4:$A$1000,ROW()-3)="","",INDEX(MASTER_DATABASE!$E$4:$E$1000,ROW()-3)&amp;"")</f>
        <v>Certificate Download</v>
      </c>
      <c r="C92" s="7" t="str">
        <f aca="false">IF(INDEX(MASTER_DATABASE!$A$4:$A$1000,ROW()-3)="","",INDEX(MASTER_DATABASE!$H$4:$H$1000,ROW()-3)&amp;"")</f>
        <v>Certificate Download once approved.</v>
      </c>
      <c r="D9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2" s="7" t="str">
        <f aca="false">IF(INDEX(MASTER_DATABASE!$A$4:$A$1000,ROW()-3)="","",INDEX(MASTER_DATABASE!$O$4:$O$1000,ROW()-3)&amp;"")</f>
        <v>Any customer who can provide the listed documents.</v>
      </c>
      <c r="F92" s="7" t="str">
        <f aca="false">IF(INDEX(MASTER_DATABASE!$A$4:$A$1000,ROW()-3)="","",INDEX(MASTER_DATABASE!$M$4:$M$1000,ROW()-3)&amp;"")</f>
        <v>✓ Reference / Application Number</v>
      </c>
      <c r="G92" s="7" t="str">
        <f aca="false">IF(INDEX(MASTER_DATABASE!$A$4:$A$1000,ROW()-3)="","",INDEX(MASTER_DATABASE!$P$4:$P$1000,ROW()-3)&amp;"")</f>
        <v>Step 1 → Give the application number.
Step 2 → Operator logs in to the portal and finds the certificate.
Step 3 → Certificate is downloaded / printed.
Step 4 → Pay charge and collect it.</v>
      </c>
      <c r="H9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2" s="7" t="str">
        <f aca="false">IF(INDEX(MASTER_DATABASE!$A$4:$A$1000,ROW()-3)="","",INDEX(MASTER_DATABASE!$Q$4:$Q$1000,ROW()-3)&amp;"")</f>
        <v>15–30 Minutes</v>
      </c>
      <c r="J92" s="7" t="str">
        <f aca="false">IF(INDEX(MASTER_DATABASE!$A$4:$A$1000,ROW()-3)="","",INDEX(MASTER_DATABASE!$J$4:$J$1000,ROW()-3)&amp;"")</f>
        <v>Depends on Portal – Confirm at Shop</v>
      </c>
      <c r="K92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2" s="7" t="str">
        <f aca="false">IF(INDEX(MASTER_DATABASE!$A$4:$A$1000,ROW()-3)="","",INDEX(MASTER_DATABASE!$BG$4:$BG$1000,ROW()-3)&amp;"")</f>
        <v>Check Documents</v>
      </c>
    </row>
    <row r="93" customFormat="false" ht="46.25" hidden="false" customHeight="false" outlineLevel="0" collapsed="false">
      <c r="A93" s="11" t="str">
        <f aca="false">IF(INDEX(MASTER_DATABASE!$A$4:$A$1000,ROW()-3)="","",INDEX(MASTER_DATABASE!$A$4:$A$1000,ROW()-3)&amp;"")</f>
        <v>BAS-012</v>
      </c>
      <c r="B93" s="7" t="str">
        <f aca="false">IF(INDEX(MASTER_DATABASE!$A$4:$A$1000,ROW()-3)="","",INDEX(MASTER_DATABASE!$E$4:$E$1000,ROW()-3)&amp;"")</f>
        <v>Certificate Print</v>
      </c>
      <c r="C93" s="7" t="str">
        <f aca="false">IF(INDEX(MASTER_DATABASE!$A$4:$A$1000,ROW()-3)="","",INDEX(MASTER_DATABASE!$H$4:$H$1000,ROW()-3)&amp;"")</f>
        <v>Certificate Print once approved.</v>
      </c>
      <c r="D9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3" s="7" t="str">
        <f aca="false">IF(INDEX(MASTER_DATABASE!$A$4:$A$1000,ROW()-3)="","",INDEX(MASTER_DATABASE!$O$4:$O$1000,ROW()-3)&amp;"")</f>
        <v>Any customer who can provide the listed documents.</v>
      </c>
      <c r="F93" s="7" t="str">
        <f aca="false">IF(INDEX(MASTER_DATABASE!$A$4:$A$1000,ROW()-3)="","",INDEX(MASTER_DATABASE!$M$4:$M$1000,ROW()-3)&amp;"")</f>
        <v>✓ Reference / Application Number</v>
      </c>
      <c r="G93" s="7" t="str">
        <f aca="false">IF(INDEX(MASTER_DATABASE!$A$4:$A$1000,ROW()-3)="","",INDEX(MASTER_DATABASE!$P$4:$P$1000,ROW()-3)&amp;"")</f>
        <v>Step 1 → Give the application number.
Step 2 → Operator logs in to the portal and finds the certificate.
Step 3 → Certificate is downloaded / printed.
Step 4 → Pay charge and collect it.</v>
      </c>
      <c r="H9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3" s="7" t="str">
        <f aca="false">IF(INDEX(MASTER_DATABASE!$A$4:$A$1000,ROW()-3)="","",INDEX(MASTER_DATABASE!$Q$4:$Q$1000,ROW()-3)&amp;"")</f>
        <v>15–30 Minutes</v>
      </c>
      <c r="J93" s="7" t="str">
        <f aca="false">IF(INDEX(MASTER_DATABASE!$A$4:$A$1000,ROW()-3)="","",INDEX(MASTER_DATABASE!$J$4:$J$1000,ROW()-3)&amp;"")</f>
        <v>Depends on Portal – Confirm at Shop</v>
      </c>
      <c r="K93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3" s="7" t="str">
        <f aca="false">IF(INDEX(MASTER_DATABASE!$A$4:$A$1000,ROW()-3)="","",INDEX(MASTER_DATABASE!$BG$4:$BG$1000,ROW()-3)&amp;"")</f>
        <v>Check Documents</v>
      </c>
    </row>
    <row r="94" customFormat="false" ht="46.25" hidden="false" customHeight="false" outlineLevel="0" collapsed="false">
      <c r="A94" s="11" t="str">
        <f aca="false">IF(INDEX(MASTER_DATABASE!$A$4:$A$1000,ROW()-3)="","",INDEX(MASTER_DATABASE!$A$4:$A$1000,ROW()-3)&amp;"")</f>
        <v>BAS-013</v>
      </c>
      <c r="B94" s="7" t="str">
        <f aca="false">IF(INDEX(MASTER_DATABASE!$A$4:$A$1000,ROW()-3)="","",INDEX(MASTER_DATABASE!$E$4:$E$1000,ROW()-3)&amp;"")</f>
        <v>Old Age Pension – Application</v>
      </c>
      <c r="C94" s="7" t="str">
        <f aca="false">IF(INDEX(MASTER_DATABASE!$A$4:$A$1000,ROW()-3)="","",INDEX(MASTER_DATABASE!$H$4:$H$1000,ROW()-3)&amp;"")</f>
        <v>Apply for Old Age Pension.</v>
      </c>
      <c r="D9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4" s="7" t="str">
        <f aca="false">IF(INDEX(MASTER_DATABASE!$A$4:$A$1000,ROW()-3)="","",INDEX(MASTER_DATABASE!$O$4:$O$1000,ROW()-3)&amp;"")</f>
        <v>As per the scheme's eligibility rules.</v>
      </c>
      <c r="F94" s="7" t="str">
        <f aca="false">IF(INDEX(MASTER_DATABASE!$A$4:$A$1000,ROW()-3)="","",INDEX(MASTER_DATABASE!$M$4:$M$1000,ROW()-3)&amp;"")</f>
        <v>✓ Aadhaar Card
✓ Bank Passbook
✓ Passport Photo</v>
      </c>
      <c r="G94" s="7" t="str">
        <f aca="false">IF(INDEX(MASTER_DATABASE!$A$4:$A$1000,ROW()-3)="","",INDEX(MASTER_DATABASE!$P$4:$P$1000,ROW()-3)&amp;"")</f>
        <v>Step 1 → Bring Aadhaar, bank passbook and photo.
Step 2 → Operator fills the pension application on the portal.
Step 3 → Documents are uploaded and submitted.
Step 4 → Note the application number.</v>
      </c>
      <c r="H9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4" s="7" t="str">
        <f aca="false">IF(INDEX(MASTER_DATABASE!$A$4:$A$1000,ROW()-3)="","",INDEX(MASTER_DATABASE!$Q$4:$Q$1000,ROW()-3)&amp;"")</f>
        <v>Depends on Department</v>
      </c>
      <c r="J94" s="7" t="str">
        <f aca="false">IF(INDEX(MASTER_DATABASE!$A$4:$A$1000,ROW()-3)="","",INDEX(MASTER_DATABASE!$J$4:$J$1000,ROW()-3)&amp;"")</f>
        <v>To Be Confirmed</v>
      </c>
      <c r="K94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4" s="7" t="str">
        <f aca="false">IF(INDEX(MASTER_DATABASE!$A$4:$A$1000,ROW()-3)="","",INDEX(MASTER_DATABASE!$BG$4:$BG$1000,ROW()-3)&amp;"")</f>
        <v>Check Documents</v>
      </c>
    </row>
    <row r="95" customFormat="false" ht="46.25" hidden="false" customHeight="false" outlineLevel="0" collapsed="false">
      <c r="A95" s="11" t="str">
        <f aca="false">IF(INDEX(MASTER_DATABASE!$A$4:$A$1000,ROW()-3)="","",INDEX(MASTER_DATABASE!$A$4:$A$1000,ROW()-3)&amp;"")</f>
        <v>BAS-014</v>
      </c>
      <c r="B95" s="7" t="str">
        <f aca="false">IF(INDEX(MASTER_DATABASE!$A$4:$A$1000,ROW()-3)="","",INDEX(MASTER_DATABASE!$E$4:$E$1000,ROW()-3)&amp;"")</f>
        <v>Widow Pension – Application</v>
      </c>
      <c r="C95" s="7" t="str">
        <f aca="false">IF(INDEX(MASTER_DATABASE!$A$4:$A$1000,ROW()-3)="","",INDEX(MASTER_DATABASE!$H$4:$H$1000,ROW()-3)&amp;"")</f>
        <v>Apply for Widow Pension.</v>
      </c>
      <c r="D9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5" s="7" t="str">
        <f aca="false">IF(INDEX(MASTER_DATABASE!$A$4:$A$1000,ROW()-3)="","",INDEX(MASTER_DATABASE!$O$4:$O$1000,ROW()-3)&amp;"")</f>
        <v>As per the scheme's eligibility rules.</v>
      </c>
      <c r="F95" s="7" t="str">
        <f aca="false">IF(INDEX(MASTER_DATABASE!$A$4:$A$1000,ROW()-3)="","",INDEX(MASTER_DATABASE!$M$4:$M$1000,ROW()-3)&amp;"")</f>
        <v>✓ Aadhaar Card
✓ Bank Passbook
✓ Passport Photo</v>
      </c>
      <c r="G95" s="7" t="str">
        <f aca="false">IF(INDEX(MASTER_DATABASE!$A$4:$A$1000,ROW()-3)="","",INDEX(MASTER_DATABASE!$P$4:$P$1000,ROW()-3)&amp;"")</f>
        <v>Step 1 → Bring Aadhaar, bank passbook and photo.
Step 2 → Operator fills the pension application on the portal.
Step 3 → Documents are uploaded and submitted.
Step 4 → Note the application number.</v>
      </c>
      <c r="H9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5" s="7" t="str">
        <f aca="false">IF(INDEX(MASTER_DATABASE!$A$4:$A$1000,ROW()-3)="","",INDEX(MASTER_DATABASE!$Q$4:$Q$1000,ROW()-3)&amp;"")</f>
        <v>Depends on Department</v>
      </c>
      <c r="J95" s="7" t="str">
        <f aca="false">IF(INDEX(MASTER_DATABASE!$A$4:$A$1000,ROW()-3)="","",INDEX(MASTER_DATABASE!$J$4:$J$1000,ROW()-3)&amp;"")</f>
        <v>To Be Confirmed</v>
      </c>
      <c r="K95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5" s="7" t="str">
        <f aca="false">IF(INDEX(MASTER_DATABASE!$A$4:$A$1000,ROW()-3)="","",INDEX(MASTER_DATABASE!$BG$4:$BG$1000,ROW()-3)&amp;"")</f>
        <v>Check Documents</v>
      </c>
    </row>
    <row r="96" customFormat="false" ht="46.25" hidden="false" customHeight="false" outlineLevel="0" collapsed="false">
      <c r="A96" s="11" t="str">
        <f aca="false">IF(INDEX(MASTER_DATABASE!$A$4:$A$1000,ROW()-3)="","",INDEX(MASTER_DATABASE!$A$4:$A$1000,ROW()-3)&amp;"")</f>
        <v>BAS-015</v>
      </c>
      <c r="B96" s="7" t="str">
        <f aca="false">IF(INDEX(MASTER_DATABASE!$A$4:$A$1000,ROW()-3)="","",INDEX(MASTER_DATABASE!$E$4:$E$1000,ROW()-3)&amp;"")</f>
        <v>Divyang (Disability) Pension – Application</v>
      </c>
      <c r="C96" s="7" t="str">
        <f aca="false">IF(INDEX(MASTER_DATABASE!$A$4:$A$1000,ROW()-3)="","",INDEX(MASTER_DATABASE!$H$4:$H$1000,ROW()-3)&amp;"")</f>
        <v>Apply for Divyang (Disability) Pension.</v>
      </c>
      <c r="D9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6" s="7" t="str">
        <f aca="false">IF(INDEX(MASTER_DATABASE!$A$4:$A$1000,ROW()-3)="","",INDEX(MASTER_DATABASE!$O$4:$O$1000,ROW()-3)&amp;"")</f>
        <v>As per the scheme's eligibility rules.</v>
      </c>
      <c r="F96" s="7" t="str">
        <f aca="false">IF(INDEX(MASTER_DATABASE!$A$4:$A$1000,ROW()-3)="","",INDEX(MASTER_DATABASE!$M$4:$M$1000,ROW()-3)&amp;"")</f>
        <v>✓ Aadhaar Card
✓ Bank Passbook
✓ Passport Photo</v>
      </c>
      <c r="G96" s="7" t="str">
        <f aca="false">IF(INDEX(MASTER_DATABASE!$A$4:$A$1000,ROW()-3)="","",INDEX(MASTER_DATABASE!$P$4:$P$1000,ROW()-3)&amp;"")</f>
        <v>Step 1 → Bring Aadhaar, bank passbook and photo.
Step 2 → Operator fills the pension application on the portal.
Step 3 → Documents are uploaded and submitted.
Step 4 → Note the application number.</v>
      </c>
      <c r="H9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6" s="7" t="str">
        <f aca="false">IF(INDEX(MASTER_DATABASE!$A$4:$A$1000,ROW()-3)="","",INDEX(MASTER_DATABASE!$Q$4:$Q$1000,ROW()-3)&amp;"")</f>
        <v>Depends on Department</v>
      </c>
      <c r="J96" s="7" t="str">
        <f aca="false">IF(INDEX(MASTER_DATABASE!$A$4:$A$1000,ROW()-3)="","",INDEX(MASTER_DATABASE!$J$4:$J$1000,ROW()-3)&amp;"")</f>
        <v>To Be Confirmed</v>
      </c>
      <c r="K96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6" s="7" t="str">
        <f aca="false">IF(INDEX(MASTER_DATABASE!$A$4:$A$1000,ROW()-3)="","",INDEX(MASTER_DATABASE!$BG$4:$BG$1000,ROW()-3)&amp;"")</f>
        <v>Check Documents</v>
      </c>
    </row>
    <row r="97" customFormat="false" ht="46.25" hidden="false" customHeight="false" outlineLevel="0" collapsed="false">
      <c r="A97" s="11" t="str">
        <f aca="false">IF(INDEX(MASTER_DATABASE!$A$4:$A$1000,ROW()-3)="","",INDEX(MASTER_DATABASE!$A$4:$A$1000,ROW()-3)&amp;"")</f>
        <v>BAS-016</v>
      </c>
      <c r="B97" s="7" t="str">
        <f aca="false">IF(INDEX(MASTER_DATABASE!$A$4:$A$1000,ROW()-3)="","",INDEX(MASTER_DATABASE!$E$4:$E$1000,ROW()-3)&amp;"")</f>
        <v>Government Scheme Application – General</v>
      </c>
      <c r="C97" s="7" t="str">
        <f aca="false">IF(INDEX(MASTER_DATABASE!$A$4:$A$1000,ROW()-3)="","",INDEX(MASTER_DATABASE!$H$4:$H$1000,ROW()-3)&amp;"")</f>
        <v>Government Scheme Application – General through the government portal.</v>
      </c>
      <c r="D9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7" s="7" t="str">
        <f aca="false">IF(INDEX(MASTER_DATABASE!$A$4:$A$1000,ROW()-3)="","",INDEX(MASTER_DATABASE!$O$4:$O$1000,ROW()-3)&amp;"")</f>
        <v>Any customer who can provide the listed documents.</v>
      </c>
      <c r="F97" s="7" t="str">
        <f aca="false">IF(INDEX(MASTER_DATABASE!$A$4:$A$1000,ROW()-3)="","",INDEX(MASTER_DATABASE!$M$4:$M$1000,ROW()-3)&amp;"")</f>
        <v>✓ Aadhaar Card
✓ Active Mobile Number</v>
      </c>
      <c r="G97" s="7" t="str">
        <f aca="false">IF(INDEX(MASTER_DATABASE!$A$4:$A$1000,ROW()-3)="","",INDEX(MASTER_DATABASE!$P$4:$P$1000,ROW()-3)&amp;"")</f>
        <v>Step 1 → Tell the shop which application or service you need.
Step 2 → Operator opens the matching portal option.
Step 3 → Details are filled and documents uploaded.
Step 4 → Submit and collect the acknowledgement / receipt.</v>
      </c>
      <c r="H9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7" s="7" t="str">
        <f aca="false">IF(INDEX(MASTER_DATABASE!$A$4:$A$1000,ROW()-3)="","",INDEX(MASTER_DATABASE!$Q$4:$Q$1000,ROW()-3)&amp;"")</f>
        <v>Depends on Department</v>
      </c>
      <c r="J97" s="7" t="str">
        <f aca="false">IF(INDEX(MASTER_DATABASE!$A$4:$A$1000,ROW()-3)="","",INDEX(MASTER_DATABASE!$J$4:$J$1000,ROW()-3)&amp;"")</f>
        <v>Depends on Portal – Confirm at Shop</v>
      </c>
      <c r="K97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7" s="7" t="str">
        <f aca="false">IF(INDEX(MASTER_DATABASE!$A$4:$A$1000,ROW()-3)="","",INDEX(MASTER_DATABASE!$BG$4:$BG$1000,ROW()-3)&amp;"")</f>
        <v>Check Documents</v>
      </c>
    </row>
    <row r="98" customFormat="false" ht="57.45" hidden="false" customHeight="false" outlineLevel="0" collapsed="false">
      <c r="A98" s="11" t="str">
        <f aca="false">IF(INDEX(MASTER_DATABASE!$A$4:$A$1000,ROW()-3)="","",INDEX(MASTER_DATABASE!$A$4:$A$1000,ROW()-3)&amp;"")</f>
        <v>BAS-017</v>
      </c>
      <c r="B98" s="7" t="str">
        <f aca="false">IF(INDEX(MASTER_DATABASE!$A$4:$A$1000,ROW()-3)="","",INDEX(MASTER_DATABASE!$E$4:$E$1000,ROW()-3)&amp;"")</f>
        <v>Ration Card – New Application</v>
      </c>
      <c r="C98" s="7" t="str">
        <f aca="false">IF(INDEX(MASTER_DATABASE!$A$4:$A$1000,ROW()-3)="","",INDEX(MASTER_DATABASE!$H$4:$H$1000,ROW()-3)&amp;"")</f>
        <v>Ration Card – New Application through the state portal.</v>
      </c>
      <c r="D9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8" s="7" t="str">
        <f aca="false">IF(INDEX(MASTER_DATABASE!$A$4:$A$1000,ROW()-3)="","",INDEX(MASTER_DATABASE!$O$4:$O$1000,ROW()-3)&amp;"")</f>
        <v>Any customer who can provide the listed documents.</v>
      </c>
      <c r="F98" s="7" t="str">
        <f aca="false">IF(INDEX(MASTER_DATABASE!$A$4:$A$1000,ROW()-3)="","",INDEX(MASTER_DATABASE!$M$4:$M$1000,ROW()-3)&amp;"")</f>
        <v>✓ Aadhaar Card
✓ Active Mobile Number</v>
      </c>
      <c r="G98" s="7" t="str">
        <f aca="false">IF(INDEX(MASTER_DATABASE!$A$4:$A$1000,ROW()-3)="","",INDEX(MASTER_DATABASE!$P$4:$P$1000,ROW()-3)&amp;"")</f>
        <v>Step 1 → Bring Aadhaar of all family members and existing ration card (if any).
Step 2 → Operator fills the ration card form on the portal.
Step 3 → Documents are uploaded.
Step 4 → Application number is given to track the status.</v>
      </c>
      <c r="H9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8" s="7" t="str">
        <f aca="false">IF(INDEX(MASTER_DATABASE!$A$4:$A$1000,ROW()-3)="","",INDEX(MASTER_DATABASE!$Q$4:$Q$1000,ROW()-3)&amp;"")</f>
        <v>Depends on Department</v>
      </c>
      <c r="J98" s="7" t="str">
        <f aca="false">IF(INDEX(MASTER_DATABASE!$A$4:$A$1000,ROW()-3)="","",INDEX(MASTER_DATABASE!$J$4:$J$1000,ROW()-3)&amp;"")</f>
        <v>To Be Confirmed</v>
      </c>
      <c r="K98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8" s="7" t="str">
        <f aca="false">IF(INDEX(MASTER_DATABASE!$A$4:$A$1000,ROW()-3)="","",INDEX(MASTER_DATABASE!$BG$4:$BG$1000,ROW()-3)&amp;"")</f>
        <v>Check Documents</v>
      </c>
    </row>
    <row r="99" customFormat="false" ht="57.45" hidden="false" customHeight="false" outlineLevel="0" collapsed="false">
      <c r="A99" s="11" t="str">
        <f aca="false">IF(INDEX(MASTER_DATABASE!$A$4:$A$1000,ROW()-3)="","",INDEX(MASTER_DATABASE!$A$4:$A$1000,ROW()-3)&amp;"")</f>
        <v>BAS-018</v>
      </c>
      <c r="B99" s="7" t="str">
        <f aca="false">IF(INDEX(MASTER_DATABASE!$A$4:$A$1000,ROW()-3)="","",INDEX(MASTER_DATABASE!$E$4:$E$1000,ROW()-3)&amp;"")</f>
        <v>Ration Card – Member Add / Delete / Correction</v>
      </c>
      <c r="C99" s="7" t="str">
        <f aca="false">IF(INDEX(MASTER_DATABASE!$A$4:$A$1000,ROW()-3)="","",INDEX(MASTER_DATABASE!$H$4:$H$1000,ROW()-3)&amp;"")</f>
        <v>Ration Card – Member Add / Delete / Correction through the state portal.</v>
      </c>
      <c r="D9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99" s="7" t="str">
        <f aca="false">IF(INDEX(MASTER_DATABASE!$A$4:$A$1000,ROW()-3)="","",INDEX(MASTER_DATABASE!$O$4:$O$1000,ROW()-3)&amp;"")</f>
        <v>Any customer who can provide the listed documents.</v>
      </c>
      <c r="F99" s="7" t="str">
        <f aca="false">IF(INDEX(MASTER_DATABASE!$A$4:$A$1000,ROW()-3)="","",INDEX(MASTER_DATABASE!$M$4:$M$1000,ROW()-3)&amp;"")</f>
        <v>✓ Aadhaar Card
✓ Active Mobile Number</v>
      </c>
      <c r="G99" s="7" t="str">
        <f aca="false">IF(INDEX(MASTER_DATABASE!$A$4:$A$1000,ROW()-3)="","",INDEX(MASTER_DATABASE!$P$4:$P$1000,ROW()-3)&amp;"")</f>
        <v>Step 1 → Bring Aadhaar of all family members and existing ration card (if any).
Step 2 → Operator fills the ration card form on the portal.
Step 3 → Documents are uploaded.
Step 4 → Application number is given to track the status.</v>
      </c>
      <c r="H9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99" s="7" t="str">
        <f aca="false">IF(INDEX(MASTER_DATABASE!$A$4:$A$1000,ROW()-3)="","",INDEX(MASTER_DATABASE!$Q$4:$Q$1000,ROW()-3)&amp;"")</f>
        <v>Depends on Department</v>
      </c>
      <c r="J99" s="7" t="str">
        <f aca="false">IF(INDEX(MASTER_DATABASE!$A$4:$A$1000,ROW()-3)="","",INDEX(MASTER_DATABASE!$J$4:$J$1000,ROW()-3)&amp;"")</f>
        <v>To Be Confirmed</v>
      </c>
      <c r="K99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9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9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99" s="7" t="str">
        <f aca="false">IF(INDEX(MASTER_DATABASE!$A$4:$A$1000,ROW()-3)="","",INDEX(MASTER_DATABASE!$BG$4:$BG$1000,ROW()-3)&amp;"")</f>
        <v>Check Documents</v>
      </c>
    </row>
    <row r="100" customFormat="false" ht="57.45" hidden="false" customHeight="false" outlineLevel="0" collapsed="false">
      <c r="A100" s="11" t="str">
        <f aca="false">IF(INDEX(MASTER_DATABASE!$A$4:$A$1000,ROW()-3)="","",INDEX(MASTER_DATABASE!$A$4:$A$1000,ROW()-3)&amp;"")</f>
        <v>BAS-019</v>
      </c>
      <c r="B100" s="7" t="str">
        <f aca="false">IF(INDEX(MASTER_DATABASE!$A$4:$A$1000,ROW()-3)="","",INDEX(MASTER_DATABASE!$E$4:$E$1000,ROW()-3)&amp;"")</f>
        <v>Ration Card – Status Check / Download</v>
      </c>
      <c r="C100" s="7" t="str">
        <f aca="false">IF(INDEX(MASTER_DATABASE!$A$4:$A$1000,ROW()-3)="","",INDEX(MASTER_DATABASE!$H$4:$H$1000,ROW()-3)&amp;"")</f>
        <v>Ration Card – Status Check / Download through the state portal.</v>
      </c>
      <c r="D10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0" s="7" t="str">
        <f aca="false">IF(INDEX(MASTER_DATABASE!$A$4:$A$1000,ROW()-3)="","",INDEX(MASTER_DATABASE!$O$4:$O$1000,ROW()-3)&amp;"")</f>
        <v>Any customer who can provide the listed documents.</v>
      </c>
      <c r="F100" s="7" t="str">
        <f aca="false">IF(INDEX(MASTER_DATABASE!$A$4:$A$1000,ROW()-3)="","",INDEX(MASTER_DATABASE!$M$4:$M$1000,ROW()-3)&amp;"")</f>
        <v>✓ Aadhaar Card
✓ Active Mobile Number</v>
      </c>
      <c r="G100" s="7" t="str">
        <f aca="false">IF(INDEX(MASTER_DATABASE!$A$4:$A$1000,ROW()-3)="","",INDEX(MASTER_DATABASE!$P$4:$P$1000,ROW()-3)&amp;"")</f>
        <v>Step 1 → Bring Aadhaar of all family members and existing ration card (if any).
Step 2 → Operator fills the ration card form on the portal.
Step 3 → Documents are uploaded.
Step 4 → Application number is given to track the status.</v>
      </c>
      <c r="H10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0" s="7" t="str">
        <f aca="false">IF(INDEX(MASTER_DATABASE!$A$4:$A$1000,ROW()-3)="","",INDEX(MASTER_DATABASE!$Q$4:$Q$1000,ROW()-3)&amp;"")</f>
        <v>Depends on Department</v>
      </c>
      <c r="J100" s="7" t="str">
        <f aca="false">IF(INDEX(MASTER_DATABASE!$A$4:$A$1000,ROW()-3)="","",INDEX(MASTER_DATABASE!$J$4:$J$1000,ROW()-3)&amp;"")</f>
        <v>Depends on Portal – Confirm at Shop</v>
      </c>
      <c r="K100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0" s="7" t="str">
        <f aca="false">IF(INDEX(MASTER_DATABASE!$A$4:$A$1000,ROW()-3)="","",INDEX(MASTER_DATABASE!$BG$4:$BG$1000,ROW()-3)&amp;"")</f>
        <v>Check Documents</v>
      </c>
    </row>
    <row r="101" customFormat="false" ht="46.25" hidden="false" customHeight="false" outlineLevel="0" collapsed="false">
      <c r="A101" s="11" t="str">
        <f aca="false">IF(INDEX(MASTER_DATABASE!$A$4:$A$1000,ROW()-3)="","",INDEX(MASTER_DATABASE!$A$4:$A$1000,ROW()-3)&amp;"")</f>
        <v>BAS-020</v>
      </c>
      <c r="B101" s="7" t="str">
        <f aca="false">IF(INDEX(MASTER_DATABASE!$A$4:$A$1000,ROW()-3)="","",INDEX(MASTER_DATABASE!$E$4:$E$1000,ROW()-3)&amp;"")</f>
        <v>Land Record (Jamabandi / Khatiyan) Copy Download</v>
      </c>
      <c r="C101" s="7" t="str">
        <f aca="false">IF(INDEX(MASTER_DATABASE!$A$4:$A$1000,ROW()-3)="","",INDEX(MASTER_DATABASE!$H$4:$H$1000,ROW()-3)&amp;"")</f>
        <v>Land Record (Jamabandi / Khatiyan) Copy Download through the land revenue portal.</v>
      </c>
      <c r="D10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1" s="7" t="str">
        <f aca="false">IF(INDEX(MASTER_DATABASE!$A$4:$A$1000,ROW()-3)="","",INDEX(MASTER_DATABASE!$O$4:$O$1000,ROW()-3)&amp;"")</f>
        <v>Any customer who can provide the listed documents.</v>
      </c>
      <c r="F101" s="7" t="str">
        <f aca="false">IF(INDEX(MASTER_DATABASE!$A$4:$A$1000,ROW()-3)="","",INDEX(MASTER_DATABASE!$M$4:$M$1000,ROW()-3)&amp;"")</f>
        <v>✓ Land Records
✓ Aadhaar Card
✓ Active Mobile Number</v>
      </c>
      <c r="G101" s="7" t="str">
        <f aca="false">IF(INDEX(MASTER_DATABASE!$A$4:$A$1000,ROW()-3)="","",INDEX(MASTER_DATABASE!$P$4:$P$1000,ROW()-3)&amp;"")</f>
        <v>Step 1 → Bring land details (khata / khesra / plot).
Step 2 → Operator opens the land revenue portal.
Step 3 → Record is searched / application filled.
Step 4 → Download, print or pay as required.</v>
      </c>
      <c r="H10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1" s="7" t="str">
        <f aca="false">IF(INDEX(MASTER_DATABASE!$A$4:$A$1000,ROW()-3)="","",INDEX(MASTER_DATABASE!$Q$4:$Q$1000,ROW()-3)&amp;"")</f>
        <v>Depends on Department</v>
      </c>
      <c r="J101" s="7" t="str">
        <f aca="false">IF(INDEX(MASTER_DATABASE!$A$4:$A$1000,ROW()-3)="","",INDEX(MASTER_DATABASE!$J$4:$J$1000,ROW()-3)&amp;"")</f>
        <v>To Be Confirmed</v>
      </c>
      <c r="K101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1" s="7" t="str">
        <f aca="false">IF(INDEX(MASTER_DATABASE!$A$4:$A$1000,ROW()-3)="","",INDEX(MASTER_DATABASE!$BG$4:$BG$1000,ROW()-3)&amp;"")</f>
        <v>Check Documents</v>
      </c>
    </row>
    <row r="102" customFormat="false" ht="46.25" hidden="false" customHeight="false" outlineLevel="0" collapsed="false">
      <c r="A102" s="11" t="str">
        <f aca="false">IF(INDEX(MASTER_DATABASE!$A$4:$A$1000,ROW()-3)="","",INDEX(MASTER_DATABASE!$A$4:$A$1000,ROW()-3)&amp;"")</f>
        <v>BAS-021</v>
      </c>
      <c r="B102" s="7" t="str">
        <f aca="false">IF(INDEX(MASTER_DATABASE!$A$4:$A$1000,ROW()-3)="","",INDEX(MASTER_DATABASE!$E$4:$E$1000,ROW()-3)&amp;"")</f>
        <v>Land Mutation (Dakhil-Kharij) Application Assistance</v>
      </c>
      <c r="C102" s="7" t="str">
        <f aca="false">IF(INDEX(MASTER_DATABASE!$A$4:$A$1000,ROW()-3)="","",INDEX(MASTER_DATABASE!$H$4:$H$1000,ROW()-3)&amp;"")</f>
        <v>Land Mutation (Dakhil-Kharij) Application Assistance through the land revenue portal.</v>
      </c>
      <c r="D10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2" s="7" t="str">
        <f aca="false">IF(INDEX(MASTER_DATABASE!$A$4:$A$1000,ROW()-3)="","",INDEX(MASTER_DATABASE!$O$4:$O$1000,ROW()-3)&amp;"")</f>
        <v>Any customer who can provide the listed documents.</v>
      </c>
      <c r="F102" s="7" t="str">
        <f aca="false">IF(INDEX(MASTER_DATABASE!$A$4:$A$1000,ROW()-3)="","",INDEX(MASTER_DATABASE!$M$4:$M$1000,ROW()-3)&amp;"")</f>
        <v>✓ Land Records
✓ Aadhaar Card
✓ Active Mobile Number</v>
      </c>
      <c r="G102" s="7" t="str">
        <f aca="false">IF(INDEX(MASTER_DATABASE!$A$4:$A$1000,ROW()-3)="","",INDEX(MASTER_DATABASE!$P$4:$P$1000,ROW()-3)&amp;"")</f>
        <v>Step 1 → Bring land details (khata / khesra / plot).
Step 2 → Operator opens the land revenue portal.
Step 3 → Record is searched / application filled.
Step 4 → Download, print or pay as required.</v>
      </c>
      <c r="H10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2" s="7" t="str">
        <f aca="false">IF(INDEX(MASTER_DATABASE!$A$4:$A$1000,ROW()-3)="","",INDEX(MASTER_DATABASE!$Q$4:$Q$1000,ROW()-3)&amp;"")</f>
        <v>Depends on Department</v>
      </c>
      <c r="J102" s="7" t="str">
        <f aca="false">IF(INDEX(MASTER_DATABASE!$A$4:$A$1000,ROW()-3)="","",INDEX(MASTER_DATABASE!$J$4:$J$1000,ROW()-3)&amp;"")</f>
        <v>To Be Confirmed</v>
      </c>
      <c r="K102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2" s="7" t="str">
        <f aca="false">IF(INDEX(MASTER_DATABASE!$A$4:$A$1000,ROW()-3)="","",INDEX(MASTER_DATABASE!$BG$4:$BG$1000,ROW()-3)&amp;"")</f>
        <v>Check Documents</v>
      </c>
    </row>
    <row r="103" customFormat="false" ht="46.25" hidden="false" customHeight="false" outlineLevel="0" collapsed="false">
      <c r="A103" s="11" t="str">
        <f aca="false">IF(INDEX(MASTER_DATABASE!$A$4:$A$1000,ROW()-3)="","",INDEX(MASTER_DATABASE!$A$4:$A$1000,ROW()-3)&amp;"")</f>
        <v>BAS-022</v>
      </c>
      <c r="B103" s="7" t="str">
        <f aca="false">IF(INDEX(MASTER_DATABASE!$A$4:$A$1000,ROW()-3)="","",INDEX(MASTER_DATABASE!$E$4:$E$1000,ROW()-3)&amp;"")</f>
        <v>Land Rent (Lagaan) Online Payment Assistance</v>
      </c>
      <c r="C103" s="7" t="str">
        <f aca="false">IF(INDEX(MASTER_DATABASE!$A$4:$A$1000,ROW()-3)="","",INDEX(MASTER_DATABASE!$H$4:$H$1000,ROW()-3)&amp;"")</f>
        <v>Land Rent (Lagaan) Online Payment Assistance through the land revenue portal.</v>
      </c>
      <c r="D10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3" s="7" t="str">
        <f aca="false">IF(INDEX(MASTER_DATABASE!$A$4:$A$1000,ROW()-3)="","",INDEX(MASTER_DATABASE!$O$4:$O$1000,ROW()-3)&amp;"")</f>
        <v>Any customer who can provide the listed documents.</v>
      </c>
      <c r="F103" s="7" t="str">
        <f aca="false">IF(INDEX(MASTER_DATABASE!$A$4:$A$1000,ROW()-3)="","",INDEX(MASTER_DATABASE!$M$4:$M$1000,ROW()-3)&amp;"")</f>
        <v>✓ Land Records
✓ Aadhaar Card
✓ Active Mobile Number</v>
      </c>
      <c r="G103" s="7" t="str">
        <f aca="false">IF(INDEX(MASTER_DATABASE!$A$4:$A$1000,ROW()-3)="","",INDEX(MASTER_DATABASE!$P$4:$P$1000,ROW()-3)&amp;"")</f>
        <v>Step 1 → Bring land details (khata / khesra / plot).
Step 2 → Operator opens the land revenue portal.
Step 3 → Record is searched / application filled.
Step 4 → Download, print or pay as required.</v>
      </c>
      <c r="H10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3" s="7" t="str">
        <f aca="false">IF(INDEX(MASTER_DATABASE!$A$4:$A$1000,ROW()-3)="","",INDEX(MASTER_DATABASE!$Q$4:$Q$1000,ROW()-3)&amp;"")</f>
        <v>Depends on Department</v>
      </c>
      <c r="J103" s="7" t="str">
        <f aca="false">IF(INDEX(MASTER_DATABASE!$A$4:$A$1000,ROW()-3)="","",INDEX(MASTER_DATABASE!$J$4:$J$1000,ROW()-3)&amp;"")</f>
        <v>To Be Confirmed</v>
      </c>
      <c r="K103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3" s="7" t="str">
        <f aca="false">IF(INDEX(MASTER_DATABASE!$A$4:$A$1000,ROW()-3)="","",INDEX(MASTER_DATABASE!$BG$4:$BG$1000,ROW()-3)&amp;"")</f>
        <v>Check Documents</v>
      </c>
    </row>
    <row r="104" customFormat="false" ht="46.25" hidden="false" customHeight="false" outlineLevel="0" collapsed="false">
      <c r="A104" s="11" t="str">
        <f aca="false">IF(INDEX(MASTER_DATABASE!$A$4:$A$1000,ROW()-3)="","",INDEX(MASTER_DATABASE!$A$4:$A$1000,ROW()-3)&amp;"")</f>
        <v>BAS-023</v>
      </c>
      <c r="B104" s="7" t="str">
        <f aca="false">IF(INDEX(MASTER_DATABASE!$A$4:$A$1000,ROW()-3)="","",INDEX(MASTER_DATABASE!$E$4:$E$1000,ROW()-3)&amp;"")</f>
        <v>Public Service Application (RTPS / e-Service) – General</v>
      </c>
      <c r="C104" s="7" t="str">
        <f aca="false">IF(INDEX(MASTER_DATABASE!$A$4:$A$1000,ROW()-3)="","",INDEX(MASTER_DATABASE!$H$4:$H$1000,ROW()-3)&amp;"")</f>
        <v>Public Service Application (RTPS / e-Service) – General through the government portal.</v>
      </c>
      <c r="D10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4" s="7" t="str">
        <f aca="false">IF(INDEX(MASTER_DATABASE!$A$4:$A$1000,ROW()-3)="","",INDEX(MASTER_DATABASE!$O$4:$O$1000,ROW()-3)&amp;"")</f>
        <v>Any customer who can provide the listed documents.</v>
      </c>
      <c r="F104" s="7" t="str">
        <f aca="false">IF(INDEX(MASTER_DATABASE!$A$4:$A$1000,ROW()-3)="","",INDEX(MASTER_DATABASE!$M$4:$M$1000,ROW()-3)&amp;"")</f>
        <v>✓ Aadhaar Card
✓ Active Mobile Number</v>
      </c>
      <c r="G104" s="7" t="str">
        <f aca="false">IF(INDEX(MASTER_DATABASE!$A$4:$A$1000,ROW()-3)="","",INDEX(MASTER_DATABASE!$P$4:$P$1000,ROW()-3)&amp;"")</f>
        <v>Step 1 → Tell the shop which application or service you need.
Step 2 → Operator opens the matching portal option.
Step 3 → Details are filled and documents uploaded.
Step 4 → Submit and collect the acknowledgement / receipt.</v>
      </c>
      <c r="H10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4" s="7" t="str">
        <f aca="false">IF(INDEX(MASTER_DATABASE!$A$4:$A$1000,ROW()-3)="","",INDEX(MASTER_DATABASE!$Q$4:$Q$1000,ROW()-3)&amp;"")</f>
        <v>Depends on Department</v>
      </c>
      <c r="J104" s="7" t="str">
        <f aca="false">IF(INDEX(MASTER_DATABASE!$A$4:$A$1000,ROW()-3)="","",INDEX(MASTER_DATABASE!$J$4:$J$1000,ROW()-3)&amp;"")</f>
        <v>Depends on Portal – Confirm at Shop</v>
      </c>
      <c r="K104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4" s="7" t="str">
        <f aca="false">IF(INDEX(MASTER_DATABASE!$A$4:$A$1000,ROW()-3)="","",INDEX(MASTER_DATABASE!$BG$4:$BG$1000,ROW()-3)&amp;"")</f>
        <v>Check Documents</v>
      </c>
    </row>
    <row r="105" customFormat="false" ht="46.25" hidden="false" customHeight="false" outlineLevel="0" collapsed="false">
      <c r="A105" s="11" t="str">
        <f aca="false">IF(INDEX(MASTER_DATABASE!$A$4:$A$1000,ROW()-3)="","",INDEX(MASTER_DATABASE!$A$4:$A$1000,ROW()-3)&amp;"")</f>
        <v>BAS-024</v>
      </c>
      <c r="B105" s="7" t="str">
        <f aca="false">IF(INDEX(MASTER_DATABASE!$A$4:$A$1000,ROW()-3)="","",INDEX(MASTER_DATABASE!$E$4:$E$1000,ROW()-3)&amp;"")</f>
        <v>Online Government Application – General</v>
      </c>
      <c r="C105" s="7" t="str">
        <f aca="false">IF(INDEX(MASTER_DATABASE!$A$4:$A$1000,ROW()-3)="","",INDEX(MASTER_DATABASE!$H$4:$H$1000,ROW()-3)&amp;"")</f>
        <v>Online Government Application – General through the government portal.</v>
      </c>
      <c r="D10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5" s="7" t="str">
        <f aca="false">IF(INDEX(MASTER_DATABASE!$A$4:$A$1000,ROW()-3)="","",INDEX(MASTER_DATABASE!$O$4:$O$1000,ROW()-3)&amp;"")</f>
        <v>Any customer who can provide the listed documents.</v>
      </c>
      <c r="F105" s="7" t="str">
        <f aca="false">IF(INDEX(MASTER_DATABASE!$A$4:$A$1000,ROW()-3)="","",INDEX(MASTER_DATABASE!$M$4:$M$1000,ROW()-3)&amp;"")</f>
        <v>✓ Aadhaar Card
✓ Active Mobile Number</v>
      </c>
      <c r="G105" s="7" t="str">
        <f aca="false">IF(INDEX(MASTER_DATABASE!$A$4:$A$1000,ROW()-3)="","",INDEX(MASTER_DATABASE!$P$4:$P$1000,ROW()-3)&amp;"")</f>
        <v>Step 1 → Tell the shop which application or service you need.
Step 2 → Operator opens the matching portal option.
Step 3 → Details are filled and documents uploaded.
Step 4 → Submit and collect the acknowledgement / receipt.</v>
      </c>
      <c r="H10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5" s="7" t="str">
        <f aca="false">IF(INDEX(MASTER_DATABASE!$A$4:$A$1000,ROW()-3)="","",INDEX(MASTER_DATABASE!$Q$4:$Q$1000,ROW()-3)&amp;"")</f>
        <v>Depends on Department</v>
      </c>
      <c r="J105" s="7" t="str">
        <f aca="false">IF(INDEX(MASTER_DATABASE!$A$4:$A$1000,ROW()-3)="","",INDEX(MASTER_DATABASE!$J$4:$J$1000,ROW()-3)&amp;"")</f>
        <v>Depends on Portal – Confirm at Shop</v>
      </c>
      <c r="K105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5" s="7" t="str">
        <f aca="false">IF(INDEX(MASTER_DATABASE!$A$4:$A$1000,ROW()-3)="","",INDEX(MASTER_DATABASE!$BG$4:$BG$1000,ROW()-3)&amp;"")</f>
        <v>Check Documents</v>
      </c>
    </row>
    <row r="106" customFormat="false" ht="46.25" hidden="false" customHeight="false" outlineLevel="0" collapsed="false">
      <c r="A106" s="11" t="str">
        <f aca="false">IF(INDEX(MASTER_DATABASE!$A$4:$A$1000,ROW()-3)="","",INDEX(MASTER_DATABASE!$A$4:$A$1000,ROW()-3)&amp;"")</f>
        <v>BAS-025</v>
      </c>
      <c r="B106" s="7" t="str">
        <f aca="false">IF(INDEX(MASTER_DATABASE!$A$4:$A$1000,ROW()-3)="","",INDEX(MASTER_DATABASE!$E$4:$E$1000,ROW()-3)&amp;"")</f>
        <v>Application Status Check</v>
      </c>
      <c r="C106" s="7" t="str">
        <f aca="false">IF(INDEX(MASTER_DATABASE!$A$4:$A$1000,ROW()-3)="","",INDEX(MASTER_DATABASE!$H$4:$H$1000,ROW()-3)&amp;"")</f>
        <v>Application Status Check through the government portal.</v>
      </c>
      <c r="D10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6" s="7" t="str">
        <f aca="false">IF(INDEX(MASTER_DATABASE!$A$4:$A$1000,ROW()-3)="","",INDEX(MASTER_DATABASE!$O$4:$O$1000,ROW()-3)&amp;"")</f>
        <v>Any customer who can provide the listed documents.</v>
      </c>
      <c r="F106" s="7" t="str">
        <f aca="false">IF(INDEX(MASTER_DATABASE!$A$4:$A$1000,ROW()-3)="","",INDEX(MASTER_DATABASE!$M$4:$M$1000,ROW()-3)&amp;"")</f>
        <v>✓ Aadhaar Card
✓ Active Mobile Number</v>
      </c>
      <c r="G106" s="7" t="str">
        <f aca="false">IF(INDEX(MASTER_DATABASE!$A$4:$A$1000,ROW()-3)="","",INDEX(MASTER_DATABASE!$P$4:$P$1000,ROW()-3)&amp;"")</f>
        <v>Step 1 → Tell the shop which application or service you need.
Step 2 → Operator opens the matching portal option.
Step 3 → Details are filled and documents uploaded.
Step 4 → Submit and collect the acknowledgement / receipt.</v>
      </c>
      <c r="H10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6" s="7" t="str">
        <f aca="false">IF(INDEX(MASTER_DATABASE!$A$4:$A$1000,ROW()-3)="","",INDEX(MASTER_DATABASE!$Q$4:$Q$1000,ROW()-3)&amp;"")</f>
        <v>Depends on Department</v>
      </c>
      <c r="J106" s="7" t="str">
        <f aca="false">IF(INDEX(MASTER_DATABASE!$A$4:$A$1000,ROW()-3)="","",INDEX(MASTER_DATABASE!$J$4:$J$1000,ROW()-3)&amp;"")</f>
        <v>Depends on Portal – Confirm at Shop</v>
      </c>
      <c r="K106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6" s="7" t="str">
        <f aca="false">IF(INDEX(MASTER_DATABASE!$A$4:$A$1000,ROW()-3)="","",INDEX(MASTER_DATABASE!$BG$4:$BG$1000,ROW()-3)&amp;"")</f>
        <v>Check Documents</v>
      </c>
    </row>
    <row r="107" customFormat="false" ht="46.25" hidden="false" customHeight="false" outlineLevel="0" collapsed="false">
      <c r="A107" s="11" t="str">
        <f aca="false">IF(INDEX(MASTER_DATABASE!$A$4:$A$1000,ROW()-3)="","",INDEX(MASTER_DATABASE!$A$4:$A$1000,ROW()-3)&amp;"")</f>
        <v>BAS-026</v>
      </c>
      <c r="B107" s="7" t="str">
        <f aca="false">IF(INDEX(MASTER_DATABASE!$A$4:$A$1000,ROW()-3)="","",INDEX(MASTER_DATABASE!$E$4:$E$1000,ROW()-3)&amp;"")</f>
        <v>Application Acknowledgement / Receipt Print</v>
      </c>
      <c r="C107" s="7" t="str">
        <f aca="false">IF(INDEX(MASTER_DATABASE!$A$4:$A$1000,ROW()-3)="","",INDEX(MASTER_DATABASE!$H$4:$H$1000,ROW()-3)&amp;"")</f>
        <v>Application Acknowledgement / Receipt Print through the government portal.</v>
      </c>
      <c r="D10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7" s="7" t="str">
        <f aca="false">IF(INDEX(MASTER_DATABASE!$A$4:$A$1000,ROW()-3)="","",INDEX(MASTER_DATABASE!$O$4:$O$1000,ROW()-3)&amp;"")</f>
        <v>Any customer who can provide the listed documents.</v>
      </c>
      <c r="F107" s="7" t="str">
        <f aca="false">IF(INDEX(MASTER_DATABASE!$A$4:$A$1000,ROW()-3)="","",INDEX(MASTER_DATABASE!$M$4:$M$1000,ROW()-3)&amp;"")</f>
        <v>✓ Aadhaar Card
✓ Active Mobile Number</v>
      </c>
      <c r="G107" s="7" t="str">
        <f aca="false">IF(INDEX(MASTER_DATABASE!$A$4:$A$1000,ROW()-3)="","",INDEX(MASTER_DATABASE!$P$4:$P$1000,ROW()-3)&amp;"")</f>
        <v>Step 1 → Tell the shop which application or service you need.
Step 2 → Operator opens the matching portal option.
Step 3 → Details are filled and documents uploaded.
Step 4 → Submit and collect the acknowledgement / receipt.</v>
      </c>
      <c r="H10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7" s="7" t="str">
        <f aca="false">IF(INDEX(MASTER_DATABASE!$A$4:$A$1000,ROW()-3)="","",INDEX(MASTER_DATABASE!$Q$4:$Q$1000,ROW()-3)&amp;"")</f>
        <v>Depends on Department</v>
      </c>
      <c r="J107" s="7" t="str">
        <f aca="false">IF(INDEX(MASTER_DATABASE!$A$4:$A$1000,ROW()-3)="","",INDEX(MASTER_DATABASE!$J$4:$J$1000,ROW()-3)&amp;"")</f>
        <v>Depends on Portal – Confirm at Shop</v>
      </c>
      <c r="K107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7" s="7" t="str">
        <f aca="false">IF(INDEX(MASTER_DATABASE!$A$4:$A$1000,ROW()-3)="","",INDEX(MASTER_DATABASE!$BG$4:$BG$1000,ROW()-3)&amp;"")</f>
        <v>Check Documents</v>
      </c>
    </row>
    <row r="108" customFormat="false" ht="46.25" hidden="false" customHeight="false" outlineLevel="0" collapsed="false">
      <c r="A108" s="11" t="str">
        <f aca="false">IF(INDEX(MASTER_DATABASE!$A$4:$A$1000,ROW()-3)="","",INDEX(MASTER_DATABASE!$A$4:$A$1000,ROW()-3)&amp;"")</f>
        <v>BAS-027</v>
      </c>
      <c r="B108" s="7" t="str">
        <f aca="false">IF(INDEX(MASTER_DATABASE!$A$4:$A$1000,ROW()-3)="","",INDEX(MASTER_DATABASE!$E$4:$E$1000,ROW()-3)&amp;"")</f>
        <v>Public Grievance / Complaint Filing Assistance</v>
      </c>
      <c r="C108" s="7" t="str">
        <f aca="false">IF(INDEX(MASTER_DATABASE!$A$4:$A$1000,ROW()-3)="","",INDEX(MASTER_DATABASE!$H$4:$H$1000,ROW()-3)&amp;"")</f>
        <v>Public Grievance / Complaint Filing Assistance through the government portal.</v>
      </c>
      <c r="D10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8" s="7" t="str">
        <f aca="false">IF(INDEX(MASTER_DATABASE!$A$4:$A$1000,ROW()-3)="","",INDEX(MASTER_DATABASE!$O$4:$O$1000,ROW()-3)&amp;"")</f>
        <v>Any customer who can provide the listed documents.</v>
      </c>
      <c r="F108" s="7" t="str">
        <f aca="false">IF(INDEX(MASTER_DATABASE!$A$4:$A$1000,ROW()-3)="","",INDEX(MASTER_DATABASE!$M$4:$M$1000,ROW()-3)&amp;"")</f>
        <v>✓ Aadhaar Card
✓ Active Mobile Number</v>
      </c>
      <c r="G108" s="7" t="str">
        <f aca="false">IF(INDEX(MASTER_DATABASE!$A$4:$A$1000,ROW()-3)="","",INDEX(MASTER_DATABASE!$P$4:$P$1000,ROW()-3)&amp;"")</f>
        <v>Step 1 → Tell the shop which application or service you need.
Step 2 → Operator opens the matching portal option.
Step 3 → Details are filled and documents uploaded.
Step 4 → Submit and collect the acknowledgement / receipt.</v>
      </c>
      <c r="H10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8" s="7" t="str">
        <f aca="false">IF(INDEX(MASTER_DATABASE!$A$4:$A$1000,ROW()-3)="","",INDEX(MASTER_DATABASE!$Q$4:$Q$1000,ROW()-3)&amp;"")</f>
        <v>Depends on Department</v>
      </c>
      <c r="J108" s="7" t="str">
        <f aca="false">IF(INDEX(MASTER_DATABASE!$A$4:$A$1000,ROW()-3)="","",INDEX(MASTER_DATABASE!$J$4:$J$1000,ROW()-3)&amp;"")</f>
        <v>To Be Confirmed</v>
      </c>
      <c r="K108" s="7" t="str">
        <f aca="false">IF(INDEX(MASTER_DATABASE!$A$4:$A$1000,ROW()-3)="","",INDEX(MASTER_DATABASE!$AS$4:$AS$1000,ROW()-3)&amp;"")</f>
        <v>Portal / district authorization decides availability. Confirm with the shop before visiting.</v>
      </c>
      <c r="L10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0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8" s="7" t="str">
        <f aca="false">IF(INDEX(MASTER_DATABASE!$A$4:$A$1000,ROW()-3)="","",INDEX(MASTER_DATABASE!$BG$4:$BG$1000,ROW()-3)&amp;"")</f>
        <v>Check Documents</v>
      </c>
    </row>
    <row r="109" customFormat="false" ht="91" hidden="false" customHeight="false" outlineLevel="0" collapsed="false">
      <c r="A109" s="11" t="str">
        <f aca="false">IF(INDEX(MASTER_DATABASE!$A$4:$A$1000,ROW()-3)="","",INDEX(MASTER_DATABASE!$A$4:$A$1000,ROW()-3)&amp;"")</f>
        <v>CSC-001</v>
      </c>
      <c r="B109" s="7" t="str">
        <f aca="false">IF(INDEX(MASTER_DATABASE!$A$4:$A$1000,ROW()-3)="","",INDEX(MASTER_DATABASE!$E$4:$E$1000,ROW()-3)&amp;"")</f>
        <v>Passport Application Assistance</v>
      </c>
      <c r="C109" s="7" t="str">
        <f aca="false">IF(INDEX(MASTER_DATABASE!$A$4:$A$1000,ROW()-3)="","",INDEX(MASTER_DATABASE!$H$4:$H$1000,ROW()-3)&amp;"")</f>
        <v>Passport Application Assistance through our Common Service Centre.</v>
      </c>
      <c r="D10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09" s="7" t="str">
        <f aca="false">IF(INDEX(MASTER_DATABASE!$A$4:$A$1000,ROW()-3)="","",INDEX(MASTER_DATABASE!$O$4:$O$1000,ROW()-3)&amp;"")</f>
        <v>As per the relevant scheme / department rules.</v>
      </c>
      <c r="F109" s="7" t="str">
        <f aca="false">IF(INDEX(MASTER_DATABASE!$A$4:$A$1000,ROW()-3)="","",INDEX(MASTER_DATABASE!$M$4:$M$1000,ROW()-3)&amp;"")</f>
        <v>✓ Aadhaar Card
✓ Active Mobile Number
✓ Address Proof
✓ Date of Birth Proof</v>
      </c>
      <c r="G109" s="7" t="str">
        <f aca="false">IF(INDEX(MASTER_DATABASE!$A$4:$A$1000,ROW()-3)="","",INDEX(MASTER_DATABASE!$P$4:$P$1000,ROW()-3)&amp;"")</f>
        <v>Step 1 → Bring Aadhaar, mobile number and the documents listed above.
Step 2 → Operator opens the 'Passport Application Assistance' service on the CSC / government portal.
Step 3 → Your details are filled and verified with you.
Step 4 → Payment / fee (if any) is made.
Step 5 → Collect the receipt or acknowledgement and track the status.</v>
      </c>
      <c r="H10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09" s="7" t="str">
        <f aca="false">IF(INDEX(MASTER_DATABASE!$A$4:$A$1000,ROW()-3)="","",INDEX(MASTER_DATABASE!$Q$4:$Q$1000,ROW()-3)&amp;"")</f>
        <v>Depends on Department</v>
      </c>
      <c r="J109" s="7" t="str">
        <f aca="false">IF(INDEX(MASTER_DATABASE!$A$4:$A$1000,ROW()-3)="","",INDEX(MASTER_DATABASE!$J$4:$J$1000,ROW()-3)&amp;"")</f>
        <v>Depends on Portal – Confirm at Shop</v>
      </c>
      <c r="K109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09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0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09" s="7" t="str">
        <f aca="false">IF(INDEX(MASTER_DATABASE!$A$4:$A$1000,ROW()-3)="","",INDEX(MASTER_DATABASE!$BG$4:$BG$1000,ROW()-3)&amp;"")</f>
        <v>Check Documents</v>
      </c>
    </row>
    <row r="110" customFormat="false" ht="91" hidden="false" customHeight="false" outlineLevel="0" collapsed="false">
      <c r="A110" s="11" t="str">
        <f aca="false">IF(INDEX(MASTER_DATABASE!$A$4:$A$1000,ROW()-3)="","",INDEX(MASTER_DATABASE!$A$4:$A$1000,ROW()-3)&amp;"")</f>
        <v>CSC-002</v>
      </c>
      <c r="B110" s="7" t="str">
        <f aca="false">IF(INDEX(MASTER_DATABASE!$A$4:$A$1000,ROW()-3)="","",INDEX(MASTER_DATABASE!$E$4:$E$1000,ROW()-3)&amp;"")</f>
        <v>Driving Licence / Learner Licence Application Assistance</v>
      </c>
      <c r="C110" s="7" t="str">
        <f aca="false">IF(INDEX(MASTER_DATABASE!$A$4:$A$1000,ROW()-3)="","",INDEX(MASTER_DATABASE!$H$4:$H$1000,ROW()-3)&amp;"")</f>
        <v>Driving Licence / Learner Licence Application Assistance through our Common Service Centre.</v>
      </c>
      <c r="D11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0" s="7" t="str">
        <f aca="false">IF(INDEX(MASTER_DATABASE!$A$4:$A$1000,ROW()-3)="","",INDEX(MASTER_DATABASE!$O$4:$O$1000,ROW()-3)&amp;"")</f>
        <v>As per the relevant scheme / department rules.</v>
      </c>
      <c r="F110" s="7" t="str">
        <f aca="false">IF(INDEX(MASTER_DATABASE!$A$4:$A$1000,ROW()-3)="","",INDEX(MASTER_DATABASE!$M$4:$M$1000,ROW()-3)&amp;"")</f>
        <v>✓ Aadhaar Card
✓ Active Mobile Number
✓ Address Proof
✓ Date of Birth Proof
✓ Passport Photo</v>
      </c>
      <c r="G110" s="7" t="str">
        <f aca="false">IF(INDEX(MASTER_DATABASE!$A$4:$A$1000,ROW()-3)="","",INDEX(MASTER_DATABASE!$P$4:$P$1000,ROW()-3)&amp;"")</f>
        <v>Step 1 → Bring Aadhaar, mobile number and the documents listed above.
Step 2 → Operator opens the 'Driving Licence / Learner Licence Application Assistance' service on the CSC / government portal.
Step 3 → Your details are filled and verified with you.
Step 4 → Payment / fee (if any) is made.
Step 5 → Collect the receipt or acknowledgement and track the status.</v>
      </c>
      <c r="H11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0" s="7" t="str">
        <f aca="false">IF(INDEX(MASTER_DATABASE!$A$4:$A$1000,ROW()-3)="","",INDEX(MASTER_DATABASE!$Q$4:$Q$1000,ROW()-3)&amp;"")</f>
        <v>Depends on Department</v>
      </c>
      <c r="J110" s="7" t="str">
        <f aca="false">IF(INDEX(MASTER_DATABASE!$A$4:$A$1000,ROW()-3)="","",INDEX(MASTER_DATABASE!$J$4:$J$1000,ROW()-3)&amp;"")</f>
        <v>Depends on Portal – Confirm at Shop</v>
      </c>
      <c r="K110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0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0" s="7" t="str">
        <f aca="false">IF(INDEX(MASTER_DATABASE!$A$4:$A$1000,ROW()-3)="","",INDEX(MASTER_DATABASE!$BG$4:$BG$1000,ROW()-3)&amp;"")</f>
        <v>Check Documents</v>
      </c>
    </row>
    <row r="111" customFormat="false" ht="91" hidden="false" customHeight="false" outlineLevel="0" collapsed="false">
      <c r="A111" s="11" t="str">
        <f aca="false">IF(INDEX(MASTER_DATABASE!$A$4:$A$1000,ROW()-3)="","",INDEX(MASTER_DATABASE!$A$4:$A$1000,ROW()-3)&amp;"")</f>
        <v>CSC-003</v>
      </c>
      <c r="B111" s="7" t="str">
        <f aca="false">IF(INDEX(MASTER_DATABASE!$A$4:$A$1000,ROW()-3)="","",INDEX(MASTER_DATABASE!$E$4:$E$1000,ROW()-3)&amp;"")</f>
        <v>Tele-Law Consultation</v>
      </c>
      <c r="C111" s="7" t="str">
        <f aca="false">IF(INDEX(MASTER_DATABASE!$A$4:$A$1000,ROW()-3)="","",INDEX(MASTER_DATABASE!$H$4:$H$1000,ROW()-3)&amp;"")</f>
        <v>Tele-Law Consultation through our Common Service Centre.</v>
      </c>
      <c r="D11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1" s="7" t="str">
        <f aca="false">IF(INDEX(MASTER_DATABASE!$A$4:$A$1000,ROW()-3)="","",INDEX(MASTER_DATABASE!$O$4:$O$1000,ROW()-3)&amp;"")</f>
        <v>As per the relevant scheme / department rules.</v>
      </c>
      <c r="F111" s="7" t="str">
        <f aca="false">IF(INDEX(MASTER_DATABASE!$A$4:$A$1000,ROW()-3)="","",INDEX(MASTER_DATABASE!$M$4:$M$1000,ROW()-3)&amp;"")</f>
        <v>✓ Aadhaar Card
✓ Active Mobile Number</v>
      </c>
      <c r="G111" s="7" t="str">
        <f aca="false">IF(INDEX(MASTER_DATABASE!$A$4:$A$1000,ROW()-3)="","",INDEX(MASTER_DATABASE!$P$4:$P$1000,ROW()-3)&amp;"")</f>
        <v>Step 1 → Bring Aadhaar, mobile number and the documents listed above.
Step 2 → Operator opens the 'Tele-Law Consultation' service on the CSC / government portal.
Step 3 → Your details are filled and verified with you.
Step 4 → Payment / fee (if any) is made.
Step 5 → Collect the receipt or acknowledgement and track the status.</v>
      </c>
      <c r="H11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1" s="7" t="str">
        <f aca="false">IF(INDEX(MASTER_DATABASE!$A$4:$A$1000,ROW()-3)="","",INDEX(MASTER_DATABASE!$Q$4:$Q$1000,ROW()-3)&amp;"")</f>
        <v>Depends on Department</v>
      </c>
      <c r="J111" s="7" t="str">
        <f aca="false">IF(INDEX(MASTER_DATABASE!$A$4:$A$1000,ROW()-3)="","",INDEX(MASTER_DATABASE!$J$4:$J$1000,ROW()-3)&amp;"")</f>
        <v>Please Confirm at Shop</v>
      </c>
      <c r="K111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1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1" s="7" t="str">
        <f aca="false">IF(INDEX(MASTER_DATABASE!$A$4:$A$1000,ROW()-3)="","",INDEX(MASTER_DATABASE!$BG$4:$BG$1000,ROW()-3)&amp;"")</f>
        <v>Check Documents</v>
      </c>
    </row>
    <row r="112" customFormat="false" ht="91" hidden="false" customHeight="false" outlineLevel="0" collapsed="false">
      <c r="A112" s="11" t="str">
        <f aca="false">IF(INDEX(MASTER_DATABASE!$A$4:$A$1000,ROW()-3)="","",INDEX(MASTER_DATABASE!$A$4:$A$1000,ROW()-3)&amp;"")</f>
        <v>CSC-004</v>
      </c>
      <c r="B112" s="7" t="str">
        <f aca="false">IF(INDEX(MASTER_DATABASE!$A$4:$A$1000,ROW()-3)="","",INDEX(MASTER_DATABASE!$E$4:$E$1000,ROW()-3)&amp;"")</f>
        <v>Telemedicine / eSanjeevani Consultation</v>
      </c>
      <c r="C112" s="7" t="str">
        <f aca="false">IF(INDEX(MASTER_DATABASE!$A$4:$A$1000,ROW()-3)="","",INDEX(MASTER_DATABASE!$H$4:$H$1000,ROW()-3)&amp;"")</f>
        <v>Telemedicine / eSanjeevani Consultation through our Common Service Centre.</v>
      </c>
      <c r="D11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2" s="7" t="str">
        <f aca="false">IF(INDEX(MASTER_DATABASE!$A$4:$A$1000,ROW()-3)="","",INDEX(MASTER_DATABASE!$O$4:$O$1000,ROW()-3)&amp;"")</f>
        <v>As per the relevant scheme / department rules.</v>
      </c>
      <c r="F112" s="7" t="str">
        <f aca="false">IF(INDEX(MASTER_DATABASE!$A$4:$A$1000,ROW()-3)="","",INDEX(MASTER_DATABASE!$M$4:$M$1000,ROW()-3)&amp;"")</f>
        <v>✓ Aadhaar Card
✓ Active Mobile Number</v>
      </c>
      <c r="G112" s="7" t="str">
        <f aca="false">IF(INDEX(MASTER_DATABASE!$A$4:$A$1000,ROW()-3)="","",INDEX(MASTER_DATABASE!$P$4:$P$1000,ROW()-3)&amp;"")</f>
        <v>Step 1 → Bring Aadhaar, mobile number and the documents listed above.
Step 2 → Operator opens the 'Telemedicine / eSanjeevani Consultation' service on the CSC / government portal.
Step 3 → Your details are filled and verified with you.
Step 4 → Payment / fee (if any) is made.
Step 5 → Collect the receipt or acknowledgement and track the status.</v>
      </c>
      <c r="H11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2" s="7" t="str">
        <f aca="false">IF(INDEX(MASTER_DATABASE!$A$4:$A$1000,ROW()-3)="","",INDEX(MASTER_DATABASE!$Q$4:$Q$1000,ROW()-3)&amp;"")</f>
        <v>Depends on Department</v>
      </c>
      <c r="J112" s="7" t="str">
        <f aca="false">IF(INDEX(MASTER_DATABASE!$A$4:$A$1000,ROW()-3)="","",INDEX(MASTER_DATABASE!$J$4:$J$1000,ROW()-3)&amp;"")</f>
        <v>Please Confirm at Shop</v>
      </c>
      <c r="K112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2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2" s="7" t="str">
        <f aca="false">IF(INDEX(MASTER_DATABASE!$A$4:$A$1000,ROW()-3)="","",INDEX(MASTER_DATABASE!$BG$4:$BG$1000,ROW()-3)&amp;"")</f>
        <v>Check Documents</v>
      </c>
    </row>
    <row r="113" customFormat="false" ht="91" hidden="false" customHeight="false" outlineLevel="0" collapsed="false">
      <c r="A113" s="11" t="str">
        <f aca="false">IF(INDEX(MASTER_DATABASE!$A$4:$A$1000,ROW()-3)="","",INDEX(MASTER_DATABASE!$A$4:$A$1000,ROW()-3)&amp;"")</f>
        <v>CSC-005</v>
      </c>
      <c r="B113" s="7" t="str">
        <f aca="false">IF(INDEX(MASTER_DATABASE!$A$4:$A$1000,ROW()-3)="","",INDEX(MASTER_DATABASE!$E$4:$E$1000,ROW()-3)&amp;"")</f>
        <v>e-District Services (State Portal)</v>
      </c>
      <c r="C113" s="7" t="str">
        <f aca="false">IF(INDEX(MASTER_DATABASE!$A$4:$A$1000,ROW()-3)="","",INDEX(MASTER_DATABASE!$H$4:$H$1000,ROW()-3)&amp;"")</f>
        <v>e-District Services (State Portal) through our Common Service Centre.</v>
      </c>
      <c r="D11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3" s="7" t="str">
        <f aca="false">IF(INDEX(MASTER_DATABASE!$A$4:$A$1000,ROW()-3)="","",INDEX(MASTER_DATABASE!$O$4:$O$1000,ROW()-3)&amp;"")</f>
        <v>As per the relevant scheme / department rules.</v>
      </c>
      <c r="F113" s="7" t="str">
        <f aca="false">IF(INDEX(MASTER_DATABASE!$A$4:$A$1000,ROW()-3)="","",INDEX(MASTER_DATABASE!$M$4:$M$1000,ROW()-3)&amp;"")</f>
        <v>✓ Aadhaar Card
✓ Active Mobile Number</v>
      </c>
      <c r="G113" s="7" t="str">
        <f aca="false">IF(INDEX(MASTER_DATABASE!$A$4:$A$1000,ROW()-3)="","",INDEX(MASTER_DATABASE!$P$4:$P$1000,ROW()-3)&amp;"")</f>
        <v>Step 1 → Bring Aadhaar, mobile number and the documents listed above.
Step 2 → Operator opens the 'e-District Services (State Portal)' service on the CSC / government portal.
Step 3 → Your details are filled and verified with you.
Step 4 → Payment / fee (if any) is made.
Step 5 → Collect the receipt or acknowledgement and track the status.</v>
      </c>
      <c r="H11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3" s="7" t="str">
        <f aca="false">IF(INDEX(MASTER_DATABASE!$A$4:$A$1000,ROW()-3)="","",INDEX(MASTER_DATABASE!$Q$4:$Q$1000,ROW()-3)&amp;"")</f>
        <v>Depends on Department</v>
      </c>
      <c r="J113" s="7" t="str">
        <f aca="false">IF(INDEX(MASTER_DATABASE!$A$4:$A$1000,ROW()-3)="","",INDEX(MASTER_DATABASE!$J$4:$J$1000,ROW()-3)&amp;"")</f>
        <v>Depends on Portal – Confirm at Shop</v>
      </c>
      <c r="K113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3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3" s="7" t="str">
        <f aca="false">IF(INDEX(MASTER_DATABASE!$A$4:$A$1000,ROW()-3)="","",INDEX(MASTER_DATABASE!$BG$4:$BG$1000,ROW()-3)&amp;"")</f>
        <v>Check Documents</v>
      </c>
    </row>
    <row r="114" customFormat="false" ht="91" hidden="false" customHeight="false" outlineLevel="0" collapsed="false">
      <c r="A114" s="11" t="str">
        <f aca="false">IF(INDEX(MASTER_DATABASE!$A$4:$A$1000,ROW()-3)="","",INDEX(MASTER_DATABASE!$A$4:$A$1000,ROW()-3)&amp;"")</f>
        <v>CSC-006</v>
      </c>
      <c r="B114" s="7" t="str">
        <f aca="false">IF(INDEX(MASTER_DATABASE!$A$4:$A$1000,ROW()-3)="","",INDEX(MASTER_DATABASE!$E$4:$E$1000,ROW()-3)&amp;"")</f>
        <v>RTI Online Filing Assistance</v>
      </c>
      <c r="C114" s="7" t="str">
        <f aca="false">IF(INDEX(MASTER_DATABASE!$A$4:$A$1000,ROW()-3)="","",INDEX(MASTER_DATABASE!$H$4:$H$1000,ROW()-3)&amp;"")</f>
        <v>RTI Online Filing Assistance through our Common Service Centre.</v>
      </c>
      <c r="D11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4" s="7" t="str">
        <f aca="false">IF(INDEX(MASTER_DATABASE!$A$4:$A$1000,ROW()-3)="","",INDEX(MASTER_DATABASE!$O$4:$O$1000,ROW()-3)&amp;"")</f>
        <v>As per the relevant scheme / department rules.</v>
      </c>
      <c r="F114" s="7" t="str">
        <f aca="false">IF(INDEX(MASTER_DATABASE!$A$4:$A$1000,ROW()-3)="","",INDEX(MASTER_DATABASE!$M$4:$M$1000,ROW()-3)&amp;"")</f>
        <v>✓ Aadhaar Card
✓ Active Mobile Number</v>
      </c>
      <c r="G114" s="7" t="str">
        <f aca="false">IF(INDEX(MASTER_DATABASE!$A$4:$A$1000,ROW()-3)="","",INDEX(MASTER_DATABASE!$P$4:$P$1000,ROW()-3)&amp;"")</f>
        <v>Step 1 → Bring Aadhaar, mobile number and the documents listed above.
Step 2 → Operator opens the 'RTI Online Filing Assistance' service on the CSC / government portal.
Step 3 → Your details are filled and verified with you.
Step 4 → Payment / fee (if any) is made.
Step 5 → Collect the receipt or acknowledgement and track the status.</v>
      </c>
      <c r="H11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4" s="7" t="str">
        <f aca="false">IF(INDEX(MASTER_DATABASE!$A$4:$A$1000,ROW()-3)="","",INDEX(MASTER_DATABASE!$Q$4:$Q$1000,ROW()-3)&amp;"")</f>
        <v>Depends on Department</v>
      </c>
      <c r="J114" s="7" t="str">
        <f aca="false">IF(INDEX(MASTER_DATABASE!$A$4:$A$1000,ROW()-3)="","",INDEX(MASTER_DATABASE!$J$4:$J$1000,ROW()-3)&amp;"")</f>
        <v>Depends on Portal – Confirm at Shop</v>
      </c>
      <c r="K114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4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4" s="7" t="str">
        <f aca="false">IF(INDEX(MASTER_DATABASE!$A$4:$A$1000,ROW()-3)="","",INDEX(MASTER_DATABASE!$BG$4:$BG$1000,ROW()-3)&amp;"")</f>
        <v>Check Documents</v>
      </c>
    </row>
    <row r="115" customFormat="false" ht="91" hidden="false" customHeight="false" outlineLevel="0" collapsed="false">
      <c r="A115" s="11" t="str">
        <f aca="false">IF(INDEX(MASTER_DATABASE!$A$4:$A$1000,ROW()-3)="","",INDEX(MASTER_DATABASE!$A$4:$A$1000,ROW()-3)&amp;"")</f>
        <v>CSC-007</v>
      </c>
      <c r="B115" s="7" t="str">
        <f aca="false">IF(INDEX(MASTER_DATABASE!$A$4:$A$1000,ROW()-3)="","",INDEX(MASTER_DATABASE!$E$4:$E$1000,ROW()-3)&amp;"")</f>
        <v>Central Public Grievance (CPGRAMS) Filing Assistance</v>
      </c>
      <c r="C115" s="7" t="str">
        <f aca="false">IF(INDEX(MASTER_DATABASE!$A$4:$A$1000,ROW()-3)="","",INDEX(MASTER_DATABASE!$H$4:$H$1000,ROW()-3)&amp;"")</f>
        <v>Central Public Grievance (CPGRAMS) Filing Assistance through our Common Service Centre.</v>
      </c>
      <c r="D11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5" s="7" t="str">
        <f aca="false">IF(INDEX(MASTER_DATABASE!$A$4:$A$1000,ROW()-3)="","",INDEX(MASTER_DATABASE!$O$4:$O$1000,ROW()-3)&amp;"")</f>
        <v>As per the relevant scheme / department rules.</v>
      </c>
      <c r="F115" s="7" t="str">
        <f aca="false">IF(INDEX(MASTER_DATABASE!$A$4:$A$1000,ROW()-3)="","",INDEX(MASTER_DATABASE!$M$4:$M$1000,ROW()-3)&amp;"")</f>
        <v>✓ Aadhaar Card
✓ Active Mobile Number</v>
      </c>
      <c r="G115" s="7" t="str">
        <f aca="false">IF(INDEX(MASTER_DATABASE!$A$4:$A$1000,ROW()-3)="","",INDEX(MASTER_DATABASE!$P$4:$P$1000,ROW()-3)&amp;"")</f>
        <v>Step 1 → Bring Aadhaar, mobile number and the documents listed above.
Step 2 → Operator opens the 'Central Public Grievance (CPGRAMS) Filing Assistance' service on the CSC / government portal.
Step 3 → Your details are filled and verified with you.
Step 4 → Payment / fee (if any) is made.
Step 5 → Collect the receipt or acknowledgement and track the status.</v>
      </c>
      <c r="H11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5" s="7" t="str">
        <f aca="false">IF(INDEX(MASTER_DATABASE!$A$4:$A$1000,ROW()-3)="","",INDEX(MASTER_DATABASE!$Q$4:$Q$1000,ROW()-3)&amp;"")</f>
        <v>Depends on Department</v>
      </c>
      <c r="J115" s="7" t="str">
        <f aca="false">IF(INDEX(MASTER_DATABASE!$A$4:$A$1000,ROW()-3)="","",INDEX(MASTER_DATABASE!$J$4:$J$1000,ROW()-3)&amp;"")</f>
        <v>Depends on Portal – Confirm at Shop</v>
      </c>
      <c r="K115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5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5" s="7" t="str">
        <f aca="false">IF(INDEX(MASTER_DATABASE!$A$4:$A$1000,ROW()-3)="","",INDEX(MASTER_DATABASE!$BG$4:$BG$1000,ROW()-3)&amp;"")</f>
        <v>Check Documents</v>
      </c>
    </row>
    <row r="116" customFormat="false" ht="91" hidden="false" customHeight="false" outlineLevel="0" collapsed="false">
      <c r="A116" s="11" t="str">
        <f aca="false">IF(INDEX(MASTER_DATABASE!$A$4:$A$1000,ROW()-3)="","",INDEX(MASTER_DATABASE!$A$4:$A$1000,ROW()-3)&amp;"")</f>
        <v>CSC-008</v>
      </c>
      <c r="B116" s="7" t="str">
        <f aca="false">IF(INDEX(MASTER_DATABASE!$A$4:$A$1000,ROW()-3)="","",INDEX(MASTER_DATABASE!$E$4:$E$1000,ROW()-3)&amp;"")</f>
        <v>Municipal / Property Tax Payment</v>
      </c>
      <c r="C116" s="7" t="str">
        <f aca="false">IF(INDEX(MASTER_DATABASE!$A$4:$A$1000,ROW()-3)="","",INDEX(MASTER_DATABASE!$H$4:$H$1000,ROW()-3)&amp;"")</f>
        <v>Municipal / Property Tax Payment through our Common Service Centre.</v>
      </c>
      <c r="D11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6" s="7" t="str">
        <f aca="false">IF(INDEX(MASTER_DATABASE!$A$4:$A$1000,ROW()-3)="","",INDEX(MASTER_DATABASE!$O$4:$O$1000,ROW()-3)&amp;"")</f>
        <v>As per the relevant scheme / department rules.</v>
      </c>
      <c r="F116" s="7" t="str">
        <f aca="false">IF(INDEX(MASTER_DATABASE!$A$4:$A$1000,ROW()-3)="","",INDEX(MASTER_DATABASE!$M$4:$M$1000,ROW()-3)&amp;"")</f>
        <v>✓ Aadhaar Card
✓ Active Mobile Number</v>
      </c>
      <c r="G116" s="7" t="str">
        <f aca="false">IF(INDEX(MASTER_DATABASE!$A$4:$A$1000,ROW()-3)="","",INDEX(MASTER_DATABASE!$P$4:$P$1000,ROW()-3)&amp;"")</f>
        <v>Step 1 → Bring Aadhaar, mobile number and the documents listed above.
Step 2 → Operator opens the 'Municipal / Property Tax Payment' service on the CSC / government portal.
Step 3 → Your details are filled and verified with you.
Step 4 → Payment / fee (if any) is made.
Step 5 → Collect the receipt or acknowledgement and track the status.</v>
      </c>
      <c r="H11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6" s="7" t="str">
        <f aca="false">IF(INDEX(MASTER_DATABASE!$A$4:$A$1000,ROW()-3)="","",INDEX(MASTER_DATABASE!$Q$4:$Q$1000,ROW()-3)&amp;"")</f>
        <v>Depends on Department</v>
      </c>
      <c r="J116" s="7" t="str">
        <f aca="false">IF(INDEX(MASTER_DATABASE!$A$4:$A$1000,ROW()-3)="","",INDEX(MASTER_DATABASE!$J$4:$J$1000,ROW()-3)&amp;"")</f>
        <v>Depends on Portal – Confirm at Shop</v>
      </c>
      <c r="K116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6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6" s="7" t="str">
        <f aca="false">IF(INDEX(MASTER_DATABASE!$A$4:$A$1000,ROW()-3)="","",INDEX(MASTER_DATABASE!$BG$4:$BG$1000,ROW()-3)&amp;"")</f>
        <v>Check Documents</v>
      </c>
    </row>
    <row r="117" customFormat="false" ht="91" hidden="false" customHeight="false" outlineLevel="0" collapsed="false">
      <c r="A117" s="11" t="str">
        <f aca="false">IF(INDEX(MASTER_DATABASE!$A$4:$A$1000,ROW()-3)="","",INDEX(MASTER_DATABASE!$A$4:$A$1000,ROW()-3)&amp;"")</f>
        <v>CSC-009</v>
      </c>
      <c r="B117" s="7" t="str">
        <f aca="false">IF(INDEX(MASTER_DATABASE!$A$4:$A$1000,ROW()-3)="","",INDEX(MASTER_DATABASE!$E$4:$E$1000,ROW()-3)&amp;"")</f>
        <v>PM-Kisan Registration &amp; eKYC</v>
      </c>
      <c r="C117" s="7" t="str">
        <f aca="false">IF(INDEX(MASTER_DATABASE!$A$4:$A$1000,ROW()-3)="","",INDEX(MASTER_DATABASE!$H$4:$H$1000,ROW()-3)&amp;"")</f>
        <v>PM-Kisan Registration &amp; eKYC through our Common Service Centre.</v>
      </c>
      <c r="D11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7" s="7" t="str">
        <f aca="false">IF(INDEX(MASTER_DATABASE!$A$4:$A$1000,ROW()-3)="","",INDEX(MASTER_DATABASE!$O$4:$O$1000,ROW()-3)&amp;"")</f>
        <v>As per the relevant scheme / department rules.</v>
      </c>
      <c r="F117" s="7" t="str">
        <f aca="false">IF(INDEX(MASTER_DATABASE!$A$4:$A$1000,ROW()-3)="","",INDEX(MASTER_DATABASE!$M$4:$M$1000,ROW()-3)&amp;"")</f>
        <v>✓ Aadhaar Card
✓ Active Mobile Number
✓ Bank Passbook
✓ Land Records</v>
      </c>
      <c r="G117" s="7" t="str">
        <f aca="false">IF(INDEX(MASTER_DATABASE!$A$4:$A$1000,ROW()-3)="","",INDEX(MASTER_DATABASE!$P$4:$P$1000,ROW()-3)&amp;"")</f>
        <v>Step 1 → Bring Aadhaar, mobile number and the documents listed above.
Step 2 → Operator opens the 'PM-Kisan Registration &amp; eKYC' service on the CSC / government portal.
Step 3 → Your details are filled and verified with you.
Step 4 → Payment / fee (if any) is made.
Step 5 → Collect the receipt or acknowledgement and track the status.</v>
      </c>
      <c r="H11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7" s="7" t="str">
        <f aca="false">IF(INDEX(MASTER_DATABASE!$A$4:$A$1000,ROW()-3)="","",INDEX(MASTER_DATABASE!$Q$4:$Q$1000,ROW()-3)&amp;"")</f>
        <v>Depends on Department</v>
      </c>
      <c r="J117" s="7" t="str">
        <f aca="false">IF(INDEX(MASTER_DATABASE!$A$4:$A$1000,ROW()-3)="","",INDEX(MASTER_DATABASE!$J$4:$J$1000,ROW()-3)&amp;"")</f>
        <v>Depends on Portal – Confirm at Shop</v>
      </c>
      <c r="K117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7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7" s="7" t="str">
        <f aca="false">IF(INDEX(MASTER_DATABASE!$A$4:$A$1000,ROW()-3)="","",INDEX(MASTER_DATABASE!$BG$4:$BG$1000,ROW()-3)&amp;"")</f>
        <v>Check Documents</v>
      </c>
    </row>
    <row r="118" customFormat="false" ht="91" hidden="false" customHeight="false" outlineLevel="0" collapsed="false">
      <c r="A118" s="11" t="str">
        <f aca="false">IF(INDEX(MASTER_DATABASE!$A$4:$A$1000,ROW()-3)="","",INDEX(MASTER_DATABASE!$A$4:$A$1000,ROW()-3)&amp;"")</f>
        <v>CSC-010</v>
      </c>
      <c r="B118" s="7" t="str">
        <f aca="false">IF(INDEX(MASTER_DATABASE!$A$4:$A$1000,ROW()-3)="","",INDEX(MASTER_DATABASE!$E$4:$E$1000,ROW()-3)&amp;"")</f>
        <v>e-Shram Card Registration</v>
      </c>
      <c r="C118" s="7" t="str">
        <f aca="false">IF(INDEX(MASTER_DATABASE!$A$4:$A$1000,ROW()-3)="","",INDEX(MASTER_DATABASE!$H$4:$H$1000,ROW()-3)&amp;"")</f>
        <v>e-Shram Card Registration through our Common Service Centre.</v>
      </c>
      <c r="D11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8" s="7" t="str">
        <f aca="false">IF(INDEX(MASTER_DATABASE!$A$4:$A$1000,ROW()-3)="","",INDEX(MASTER_DATABASE!$O$4:$O$1000,ROW()-3)&amp;"")</f>
        <v>As per the relevant scheme / department rules.</v>
      </c>
      <c r="F118" s="7" t="str">
        <f aca="false">IF(INDEX(MASTER_DATABASE!$A$4:$A$1000,ROW()-3)="","",INDEX(MASTER_DATABASE!$M$4:$M$1000,ROW()-3)&amp;"")</f>
        <v>✓ Aadhaar Card
✓ Active Mobile Number
✓ Bank Passbook</v>
      </c>
      <c r="G118" s="7" t="str">
        <f aca="false">IF(INDEX(MASTER_DATABASE!$A$4:$A$1000,ROW()-3)="","",INDEX(MASTER_DATABASE!$P$4:$P$1000,ROW()-3)&amp;"")</f>
        <v>Step 1 → Bring Aadhaar, mobile number and the documents listed above.
Step 2 → Operator opens the 'e-Shram Card Registration' service on the CSC / government portal.
Step 3 → Your details are filled and verified with you.
Step 4 → Payment / fee (if any) is made.
Step 5 → Collect the receipt or acknowledgement and track the status.</v>
      </c>
      <c r="H11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8" s="7" t="str">
        <f aca="false">IF(INDEX(MASTER_DATABASE!$A$4:$A$1000,ROW()-3)="","",INDEX(MASTER_DATABASE!$Q$4:$Q$1000,ROW()-3)&amp;"")</f>
        <v>Depends on Department</v>
      </c>
      <c r="J118" s="7" t="str">
        <f aca="false">IF(INDEX(MASTER_DATABASE!$A$4:$A$1000,ROW()-3)="","",INDEX(MASTER_DATABASE!$J$4:$J$1000,ROW()-3)&amp;"")</f>
        <v>Depends on Portal – Confirm at Shop</v>
      </c>
      <c r="K118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8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8" s="7" t="str">
        <f aca="false">IF(INDEX(MASTER_DATABASE!$A$4:$A$1000,ROW()-3)="","",INDEX(MASTER_DATABASE!$BG$4:$BG$1000,ROW()-3)&amp;"")</f>
        <v>Check Documents</v>
      </c>
    </row>
    <row r="119" customFormat="false" ht="91" hidden="false" customHeight="false" outlineLevel="0" collapsed="false">
      <c r="A119" s="11" t="str">
        <f aca="false">IF(INDEX(MASTER_DATABASE!$A$4:$A$1000,ROW()-3)="","",INDEX(MASTER_DATABASE!$A$4:$A$1000,ROW()-3)&amp;"")</f>
        <v>CSC-011</v>
      </c>
      <c r="B119" s="7" t="str">
        <f aca="false">IF(INDEX(MASTER_DATABASE!$A$4:$A$1000,ROW()-3)="","",INDEX(MASTER_DATABASE!$E$4:$E$1000,ROW()-3)&amp;"")</f>
        <v>Ayushman Bharat (PM-JAY) Card Registration</v>
      </c>
      <c r="C119" s="7" t="str">
        <f aca="false">IF(INDEX(MASTER_DATABASE!$A$4:$A$1000,ROW()-3)="","",INDEX(MASTER_DATABASE!$H$4:$H$1000,ROW()-3)&amp;"")</f>
        <v>Ayushman Bharat (PM-JAY) Card Registration through our Common Service Centre.</v>
      </c>
      <c r="D11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19" s="7" t="str">
        <f aca="false">IF(INDEX(MASTER_DATABASE!$A$4:$A$1000,ROW()-3)="","",INDEX(MASTER_DATABASE!$O$4:$O$1000,ROW()-3)&amp;"")</f>
        <v>As per the relevant scheme / department rules.</v>
      </c>
      <c r="F119" s="7" t="str">
        <f aca="false">IF(INDEX(MASTER_DATABASE!$A$4:$A$1000,ROW()-3)="","",INDEX(MASTER_DATABASE!$M$4:$M$1000,ROW()-3)&amp;"")</f>
        <v>✓ Aadhaar Card
✓ Active Mobile Number</v>
      </c>
      <c r="G119" s="7" t="str">
        <f aca="false">IF(INDEX(MASTER_DATABASE!$A$4:$A$1000,ROW()-3)="","",INDEX(MASTER_DATABASE!$P$4:$P$1000,ROW()-3)&amp;"")</f>
        <v>Step 1 → Bring Aadhaar, mobile number and the documents listed above.
Step 2 → Operator opens the 'Ayushman Bharat (PM-JAY) Card Registration' service on the CSC / government portal.
Step 3 → Your details are filled and verified with you.
Step 4 → Payment / fee (if any) is made.
Step 5 → Collect the receipt or acknowledgement and track the status.</v>
      </c>
      <c r="H11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19" s="7" t="str">
        <f aca="false">IF(INDEX(MASTER_DATABASE!$A$4:$A$1000,ROW()-3)="","",INDEX(MASTER_DATABASE!$Q$4:$Q$1000,ROW()-3)&amp;"")</f>
        <v>Depends on Department</v>
      </c>
      <c r="J119" s="7" t="str">
        <f aca="false">IF(INDEX(MASTER_DATABASE!$A$4:$A$1000,ROW()-3)="","",INDEX(MASTER_DATABASE!$J$4:$J$1000,ROW()-3)&amp;"")</f>
        <v>Depends on Portal – Confirm at Shop</v>
      </c>
      <c r="K119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19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1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19" s="7" t="str">
        <f aca="false">IF(INDEX(MASTER_DATABASE!$A$4:$A$1000,ROW()-3)="","",INDEX(MASTER_DATABASE!$BG$4:$BG$1000,ROW()-3)&amp;"")</f>
        <v>Check Documents</v>
      </c>
    </row>
    <row r="120" customFormat="false" ht="91" hidden="false" customHeight="false" outlineLevel="0" collapsed="false">
      <c r="A120" s="11" t="str">
        <f aca="false">IF(INDEX(MASTER_DATABASE!$A$4:$A$1000,ROW()-3)="","",INDEX(MASTER_DATABASE!$A$4:$A$1000,ROW()-3)&amp;"")</f>
        <v>CSC-012</v>
      </c>
      <c r="B120" s="7" t="str">
        <f aca="false">IF(INDEX(MASTER_DATABASE!$A$4:$A$1000,ROW()-3)="","",INDEX(MASTER_DATABASE!$E$4:$E$1000,ROW()-3)&amp;"")</f>
        <v>ABHA (Health ID) Creation</v>
      </c>
      <c r="C120" s="7" t="str">
        <f aca="false">IF(INDEX(MASTER_DATABASE!$A$4:$A$1000,ROW()-3)="","",INDEX(MASTER_DATABASE!$H$4:$H$1000,ROW()-3)&amp;"")</f>
        <v>ABHA (Health ID) Creation through our Common Service Centre.</v>
      </c>
      <c r="D12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0" s="7" t="str">
        <f aca="false">IF(INDEX(MASTER_DATABASE!$A$4:$A$1000,ROW()-3)="","",INDEX(MASTER_DATABASE!$O$4:$O$1000,ROW()-3)&amp;"")</f>
        <v>As per the relevant scheme / department rules.</v>
      </c>
      <c r="F120" s="7" t="str">
        <f aca="false">IF(INDEX(MASTER_DATABASE!$A$4:$A$1000,ROW()-3)="","",INDEX(MASTER_DATABASE!$M$4:$M$1000,ROW()-3)&amp;"")</f>
        <v>✓ Aadhaar Card
✓ Active Mobile Number</v>
      </c>
      <c r="G120" s="7" t="str">
        <f aca="false">IF(INDEX(MASTER_DATABASE!$A$4:$A$1000,ROW()-3)="","",INDEX(MASTER_DATABASE!$P$4:$P$1000,ROW()-3)&amp;"")</f>
        <v>Step 1 → Bring Aadhaar, mobile number and the documents listed above.
Step 2 → Operator opens the 'ABHA (Health ID) Creation' service on the CSC / government portal.
Step 3 → Your details are filled and verified with you.
Step 4 → Payment / fee (if any) is made.
Step 5 → Collect the receipt or acknowledgement and track the status.</v>
      </c>
      <c r="H12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0" s="7" t="str">
        <f aca="false">IF(INDEX(MASTER_DATABASE!$A$4:$A$1000,ROW()-3)="","",INDEX(MASTER_DATABASE!$Q$4:$Q$1000,ROW()-3)&amp;"")</f>
        <v>Depends on Department</v>
      </c>
      <c r="J120" s="7" t="str">
        <f aca="false">IF(INDEX(MASTER_DATABASE!$A$4:$A$1000,ROW()-3)="","",INDEX(MASTER_DATABASE!$J$4:$J$1000,ROW()-3)&amp;"")</f>
        <v>Depends on Portal – Confirm at Shop</v>
      </c>
      <c r="K120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0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0" s="7" t="str">
        <f aca="false">IF(INDEX(MASTER_DATABASE!$A$4:$A$1000,ROW()-3)="","",INDEX(MASTER_DATABASE!$BG$4:$BG$1000,ROW()-3)&amp;"")</f>
        <v>Check Documents</v>
      </c>
    </row>
    <row r="121" customFormat="false" ht="91" hidden="false" customHeight="false" outlineLevel="0" collapsed="false">
      <c r="A121" s="11" t="str">
        <f aca="false">IF(INDEX(MASTER_DATABASE!$A$4:$A$1000,ROW()-3)="","",INDEX(MASTER_DATABASE!$A$4:$A$1000,ROW()-3)&amp;"")</f>
        <v>CSC-013</v>
      </c>
      <c r="B121" s="7" t="str">
        <f aca="false">IF(INDEX(MASTER_DATABASE!$A$4:$A$1000,ROW()-3)="","",INDEX(MASTER_DATABASE!$E$4:$E$1000,ROW()-3)&amp;"")</f>
        <v>PM Shram Yogi Maan-Dhan (PM-SYM) Enrolment</v>
      </c>
      <c r="C121" s="7" t="str">
        <f aca="false">IF(INDEX(MASTER_DATABASE!$A$4:$A$1000,ROW()-3)="","",INDEX(MASTER_DATABASE!$H$4:$H$1000,ROW()-3)&amp;"")</f>
        <v>PM Shram Yogi Maan-Dhan (PM-SYM) Enrolment through our Common Service Centre.</v>
      </c>
      <c r="D12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1" s="7" t="str">
        <f aca="false">IF(INDEX(MASTER_DATABASE!$A$4:$A$1000,ROW()-3)="","",INDEX(MASTER_DATABASE!$O$4:$O$1000,ROW()-3)&amp;"")</f>
        <v>As per the relevant scheme / department rules.</v>
      </c>
      <c r="F121" s="7" t="str">
        <f aca="false">IF(INDEX(MASTER_DATABASE!$A$4:$A$1000,ROW()-3)="","",INDEX(MASTER_DATABASE!$M$4:$M$1000,ROW()-3)&amp;"")</f>
        <v>✓ Aadhaar Card
✓ Active Mobile Number
✓ Bank Passbook
✓ Nominee Details</v>
      </c>
      <c r="G121" s="7" t="str">
        <f aca="false">IF(INDEX(MASTER_DATABASE!$A$4:$A$1000,ROW()-3)="","",INDEX(MASTER_DATABASE!$P$4:$P$1000,ROW()-3)&amp;"")</f>
        <v>Step 1 → Bring Aadhaar, mobile number and the documents listed above.
Step 2 → Operator opens the 'PM Shram Yogi Maan-Dhan (PM-SYM) Enrolment' service on the CSC / government portal.
Step 3 → Your details are filled and verified with you.
Step 4 → Payment / fee (if any) is made.
Step 5 → Collect the receipt or acknowledgement and track the status.</v>
      </c>
      <c r="H12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1" s="7" t="str">
        <f aca="false">IF(INDEX(MASTER_DATABASE!$A$4:$A$1000,ROW()-3)="","",INDEX(MASTER_DATABASE!$Q$4:$Q$1000,ROW()-3)&amp;"")</f>
        <v>Depends on Department</v>
      </c>
      <c r="J121" s="7" t="str">
        <f aca="false">IF(INDEX(MASTER_DATABASE!$A$4:$A$1000,ROW()-3)="","",INDEX(MASTER_DATABASE!$J$4:$J$1000,ROW()-3)&amp;"")</f>
        <v>Please Confirm at Shop</v>
      </c>
      <c r="K121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1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1" s="7" t="str">
        <f aca="false">IF(INDEX(MASTER_DATABASE!$A$4:$A$1000,ROW()-3)="","",INDEX(MASTER_DATABASE!$BG$4:$BG$1000,ROW()-3)&amp;"")</f>
        <v>Check Documents</v>
      </c>
    </row>
    <row r="122" customFormat="false" ht="91" hidden="false" customHeight="false" outlineLevel="0" collapsed="false">
      <c r="A122" s="11" t="str">
        <f aca="false">IF(INDEX(MASTER_DATABASE!$A$4:$A$1000,ROW()-3)="","",INDEX(MASTER_DATABASE!$A$4:$A$1000,ROW()-3)&amp;"")</f>
        <v>CSC-014</v>
      </c>
      <c r="B122" s="7" t="str">
        <f aca="false">IF(INDEX(MASTER_DATABASE!$A$4:$A$1000,ROW()-3)="","",INDEX(MASTER_DATABASE!$E$4:$E$1000,ROW()-3)&amp;"")</f>
        <v>PM Kisan Maan-Dhan (PM-KMY) Enrolment</v>
      </c>
      <c r="C122" s="7" t="str">
        <f aca="false">IF(INDEX(MASTER_DATABASE!$A$4:$A$1000,ROW()-3)="","",INDEX(MASTER_DATABASE!$H$4:$H$1000,ROW()-3)&amp;"")</f>
        <v>PM Kisan Maan-Dhan (PM-KMY) Enrolment through our Common Service Centre.</v>
      </c>
      <c r="D12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2" s="7" t="str">
        <f aca="false">IF(INDEX(MASTER_DATABASE!$A$4:$A$1000,ROW()-3)="","",INDEX(MASTER_DATABASE!$O$4:$O$1000,ROW()-3)&amp;"")</f>
        <v>As per the relevant scheme / department rules.</v>
      </c>
      <c r="F122" s="7" t="str">
        <f aca="false">IF(INDEX(MASTER_DATABASE!$A$4:$A$1000,ROW()-3)="","",INDEX(MASTER_DATABASE!$M$4:$M$1000,ROW()-3)&amp;"")</f>
        <v>✓ Aadhaar Card
✓ Active Mobile Number
✓ Bank Passbook
✓ Nominee Details</v>
      </c>
      <c r="G122" s="7" t="str">
        <f aca="false">IF(INDEX(MASTER_DATABASE!$A$4:$A$1000,ROW()-3)="","",INDEX(MASTER_DATABASE!$P$4:$P$1000,ROW()-3)&amp;"")</f>
        <v>Step 1 → Bring Aadhaar, mobile number and the documents listed above.
Step 2 → Operator opens the 'PM Kisan Maan-Dhan (PM-KMY) Enrolment' service on the CSC / government portal.
Step 3 → Your details are filled and verified with you.
Step 4 → Payment / fee (if any) is made.
Step 5 → Collect the receipt or acknowledgement and track the status.</v>
      </c>
      <c r="H12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2" s="7" t="str">
        <f aca="false">IF(INDEX(MASTER_DATABASE!$A$4:$A$1000,ROW()-3)="","",INDEX(MASTER_DATABASE!$Q$4:$Q$1000,ROW()-3)&amp;"")</f>
        <v>Depends on Department</v>
      </c>
      <c r="J122" s="7" t="str">
        <f aca="false">IF(INDEX(MASTER_DATABASE!$A$4:$A$1000,ROW()-3)="","",INDEX(MASTER_DATABASE!$J$4:$J$1000,ROW()-3)&amp;"")</f>
        <v>Please Confirm at Shop</v>
      </c>
      <c r="K122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2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2" s="7" t="str">
        <f aca="false">IF(INDEX(MASTER_DATABASE!$A$4:$A$1000,ROW()-3)="","",INDEX(MASTER_DATABASE!$BG$4:$BG$1000,ROW()-3)&amp;"")</f>
        <v>Check Documents</v>
      </c>
    </row>
    <row r="123" customFormat="false" ht="91" hidden="false" customHeight="false" outlineLevel="0" collapsed="false">
      <c r="A123" s="11" t="str">
        <f aca="false">IF(INDEX(MASTER_DATABASE!$A$4:$A$1000,ROW()-3)="","",INDEX(MASTER_DATABASE!$A$4:$A$1000,ROW()-3)&amp;"")</f>
        <v>CSC-015</v>
      </c>
      <c r="B123" s="7" t="str">
        <f aca="false">IF(INDEX(MASTER_DATABASE!$A$4:$A$1000,ROW()-3)="","",INDEX(MASTER_DATABASE!$E$4:$E$1000,ROW()-3)&amp;"")</f>
        <v>PM Vishwakarma Registration</v>
      </c>
      <c r="C123" s="7" t="str">
        <f aca="false">IF(INDEX(MASTER_DATABASE!$A$4:$A$1000,ROW()-3)="","",INDEX(MASTER_DATABASE!$H$4:$H$1000,ROW()-3)&amp;"")</f>
        <v>PM Vishwakarma Registration through our Common Service Centre.</v>
      </c>
      <c r="D12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3" s="7" t="str">
        <f aca="false">IF(INDEX(MASTER_DATABASE!$A$4:$A$1000,ROW()-3)="","",INDEX(MASTER_DATABASE!$O$4:$O$1000,ROW()-3)&amp;"")</f>
        <v>As per the relevant scheme / department rules.</v>
      </c>
      <c r="F123" s="7" t="str">
        <f aca="false">IF(INDEX(MASTER_DATABASE!$A$4:$A$1000,ROW()-3)="","",INDEX(MASTER_DATABASE!$M$4:$M$1000,ROW()-3)&amp;"")</f>
        <v>✓ Aadhaar Card
✓ Active Mobile Number</v>
      </c>
      <c r="G123" s="7" t="str">
        <f aca="false">IF(INDEX(MASTER_DATABASE!$A$4:$A$1000,ROW()-3)="","",INDEX(MASTER_DATABASE!$P$4:$P$1000,ROW()-3)&amp;"")</f>
        <v>Step 1 → Bring Aadhaar, mobile number and the documents listed above.
Step 2 → Operator opens the 'PM Vishwakarma Registration' service on the CSC / government portal.
Step 3 → Your details are filled and verified with you.
Step 4 → Payment / fee (if any) is made.
Step 5 → Collect the receipt or acknowledgement and track the status.</v>
      </c>
      <c r="H12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3" s="7" t="str">
        <f aca="false">IF(INDEX(MASTER_DATABASE!$A$4:$A$1000,ROW()-3)="","",INDEX(MASTER_DATABASE!$Q$4:$Q$1000,ROW()-3)&amp;"")</f>
        <v>Depends on Department</v>
      </c>
      <c r="J123" s="7" t="str">
        <f aca="false">IF(INDEX(MASTER_DATABASE!$A$4:$A$1000,ROW()-3)="","",INDEX(MASTER_DATABASE!$J$4:$J$1000,ROW()-3)&amp;"")</f>
        <v>Depends on Portal – Confirm at Shop</v>
      </c>
      <c r="K123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3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3" s="7" t="str">
        <f aca="false">IF(INDEX(MASTER_DATABASE!$A$4:$A$1000,ROW()-3)="","",INDEX(MASTER_DATABASE!$BG$4:$BG$1000,ROW()-3)&amp;"")</f>
        <v>Check Documents</v>
      </c>
    </row>
    <row r="124" customFormat="false" ht="91" hidden="false" customHeight="false" outlineLevel="0" collapsed="false">
      <c r="A124" s="11" t="str">
        <f aca="false">IF(INDEX(MASTER_DATABASE!$A$4:$A$1000,ROW()-3)="","",INDEX(MASTER_DATABASE!$A$4:$A$1000,ROW()-3)&amp;"")</f>
        <v>CSC-016</v>
      </c>
      <c r="B124" s="7" t="str">
        <f aca="false">IF(INDEX(MASTER_DATABASE!$A$4:$A$1000,ROW()-3)="","",INDEX(MASTER_DATABASE!$E$4:$E$1000,ROW()-3)&amp;"")</f>
        <v>PM Surya Ghar (Rooftop Solar) Registration Assistance</v>
      </c>
      <c r="C124" s="7" t="str">
        <f aca="false">IF(INDEX(MASTER_DATABASE!$A$4:$A$1000,ROW()-3)="","",INDEX(MASTER_DATABASE!$H$4:$H$1000,ROW()-3)&amp;"")</f>
        <v>PM Surya Ghar (Rooftop Solar) Registration Assistance through our Common Service Centre.</v>
      </c>
      <c r="D12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4" s="7" t="str">
        <f aca="false">IF(INDEX(MASTER_DATABASE!$A$4:$A$1000,ROW()-3)="","",INDEX(MASTER_DATABASE!$O$4:$O$1000,ROW()-3)&amp;"")</f>
        <v>As per the relevant scheme / department rules.</v>
      </c>
      <c r="F124" s="7" t="str">
        <f aca="false">IF(INDEX(MASTER_DATABASE!$A$4:$A$1000,ROW()-3)="","",INDEX(MASTER_DATABASE!$M$4:$M$1000,ROW()-3)&amp;"")</f>
        <v>✓ Aadhaar Card
✓ Active Mobile Number</v>
      </c>
      <c r="G124" s="7" t="str">
        <f aca="false">IF(INDEX(MASTER_DATABASE!$A$4:$A$1000,ROW()-3)="","",INDEX(MASTER_DATABASE!$P$4:$P$1000,ROW()-3)&amp;"")</f>
        <v>Step 1 → Bring Aadhaar, mobile number and the documents listed above.
Step 2 → Operator opens the 'PM Surya Ghar (Rooftop Solar) Registration Assistance' service on the CSC / government portal.
Step 3 → Your details are filled and verified with you.
Step 4 → Payment / fee (if any) is made.
Step 5 → Collect the receipt or acknowledgement and track the status.</v>
      </c>
      <c r="H12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4" s="7" t="str">
        <f aca="false">IF(INDEX(MASTER_DATABASE!$A$4:$A$1000,ROW()-3)="","",INDEX(MASTER_DATABASE!$Q$4:$Q$1000,ROW()-3)&amp;"")</f>
        <v>Depends on Department</v>
      </c>
      <c r="J124" s="7" t="str">
        <f aca="false">IF(INDEX(MASTER_DATABASE!$A$4:$A$1000,ROW()-3)="","",INDEX(MASTER_DATABASE!$J$4:$J$1000,ROW()-3)&amp;"")</f>
        <v>To Be Confirmed</v>
      </c>
      <c r="K124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4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4" s="7" t="str">
        <f aca="false">IF(INDEX(MASTER_DATABASE!$A$4:$A$1000,ROW()-3)="","",INDEX(MASTER_DATABASE!$BG$4:$BG$1000,ROW()-3)&amp;"")</f>
        <v>Check Documents</v>
      </c>
    </row>
    <row r="125" customFormat="false" ht="91" hidden="false" customHeight="false" outlineLevel="0" collapsed="false">
      <c r="A125" s="11" t="str">
        <f aca="false">IF(INDEX(MASTER_DATABASE!$A$4:$A$1000,ROW()-3)="","",INDEX(MASTER_DATABASE!$A$4:$A$1000,ROW()-3)&amp;"")</f>
        <v>CSC-017</v>
      </c>
      <c r="B125" s="7" t="str">
        <f aca="false">IF(INDEX(MASTER_DATABASE!$A$4:$A$1000,ROW()-3)="","",INDEX(MASTER_DATABASE!$E$4:$E$1000,ROW()-3)&amp;"")</f>
        <v>PM SVANidhi Application Assistance</v>
      </c>
      <c r="C125" s="7" t="str">
        <f aca="false">IF(INDEX(MASTER_DATABASE!$A$4:$A$1000,ROW()-3)="","",INDEX(MASTER_DATABASE!$H$4:$H$1000,ROW()-3)&amp;"")</f>
        <v>PM SVANidhi Application Assistance through our Common Service Centre.</v>
      </c>
      <c r="D12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5" s="7" t="str">
        <f aca="false">IF(INDEX(MASTER_DATABASE!$A$4:$A$1000,ROW()-3)="","",INDEX(MASTER_DATABASE!$O$4:$O$1000,ROW()-3)&amp;"")</f>
        <v>As per the relevant scheme / department rules.</v>
      </c>
      <c r="F125" s="7" t="str">
        <f aca="false">IF(INDEX(MASTER_DATABASE!$A$4:$A$1000,ROW()-3)="","",INDEX(MASTER_DATABASE!$M$4:$M$1000,ROW()-3)&amp;"")</f>
        <v>✓ Aadhaar Card
✓ Active Mobile Number</v>
      </c>
      <c r="G125" s="7" t="str">
        <f aca="false">IF(INDEX(MASTER_DATABASE!$A$4:$A$1000,ROW()-3)="","",INDEX(MASTER_DATABASE!$P$4:$P$1000,ROW()-3)&amp;"")</f>
        <v>Step 1 → Bring Aadhaar, mobile number and the documents listed above.
Step 2 → Operator opens the 'PM SVANidhi Application Assistance' service on the CSC / government portal.
Step 3 → Your details are filled and verified with you.
Step 4 → Payment / fee (if any) is made.
Step 5 → Collect the receipt or acknowledgement and track the status.</v>
      </c>
      <c r="H12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5" s="7" t="str">
        <f aca="false">IF(INDEX(MASTER_DATABASE!$A$4:$A$1000,ROW()-3)="","",INDEX(MASTER_DATABASE!$Q$4:$Q$1000,ROW()-3)&amp;"")</f>
        <v>Depends on Department</v>
      </c>
      <c r="J125" s="7" t="str">
        <f aca="false">IF(INDEX(MASTER_DATABASE!$A$4:$A$1000,ROW()-3)="","",INDEX(MASTER_DATABASE!$J$4:$J$1000,ROW()-3)&amp;"")</f>
        <v>To Be Confirmed</v>
      </c>
      <c r="K125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5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5" s="7" t="str">
        <f aca="false">IF(INDEX(MASTER_DATABASE!$A$4:$A$1000,ROW()-3)="","",INDEX(MASTER_DATABASE!$BG$4:$BG$1000,ROW()-3)&amp;"")</f>
        <v>Check Documents</v>
      </c>
    </row>
    <row r="126" customFormat="false" ht="91" hidden="false" customHeight="false" outlineLevel="0" collapsed="false">
      <c r="A126" s="11" t="str">
        <f aca="false">IF(INDEX(MASTER_DATABASE!$A$4:$A$1000,ROW()-3)="","",INDEX(MASTER_DATABASE!$A$4:$A$1000,ROW()-3)&amp;"")</f>
        <v>CSC-018</v>
      </c>
      <c r="B126" s="7" t="str">
        <f aca="false">IF(INDEX(MASTER_DATABASE!$A$4:$A$1000,ROW()-3)="","",INDEX(MASTER_DATABASE!$E$4:$E$1000,ROW()-3)&amp;"")</f>
        <v>CSC Digipay – AEPS Cash Withdrawal</v>
      </c>
      <c r="C126" s="7" t="str">
        <f aca="false">IF(INDEX(MASTER_DATABASE!$A$4:$A$1000,ROW()-3)="","",INDEX(MASTER_DATABASE!$H$4:$H$1000,ROW()-3)&amp;"")</f>
        <v>CSC Digipay – AEPS Cash Withdrawal through our Common Service Centre.</v>
      </c>
      <c r="D12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6" s="7" t="str">
        <f aca="false">IF(INDEX(MASTER_DATABASE!$A$4:$A$1000,ROW()-3)="","",INDEX(MASTER_DATABASE!$O$4:$O$1000,ROW()-3)&amp;"")</f>
        <v>As per the relevant scheme / department rules.</v>
      </c>
      <c r="F126" s="7" t="str">
        <f aca="false">IF(INDEX(MASTER_DATABASE!$A$4:$A$1000,ROW()-3)="","",INDEX(MASTER_DATABASE!$M$4:$M$1000,ROW()-3)&amp;"")</f>
        <v>✓ Aadhaar Card
✓ Customer Presence for Biometrics</v>
      </c>
      <c r="G126" s="7" t="str">
        <f aca="false">IF(INDEX(MASTER_DATABASE!$A$4:$A$1000,ROW()-3)="","",INDEX(MASTER_DATABASE!$P$4:$P$1000,ROW()-3)&amp;"")</f>
        <v>Step 1 → Bring Aadhaar, mobile number and the documents listed above.
Step 2 → Operator opens the 'CSC Digipay – AEPS Cash Withdrawal' service on the CSC / government portal.
Step 3 → Your details are filled and verified with you.
Step 4 → Payment / fee (if any) is made.
Step 5 → Collect the receipt or acknowledgement and track the status.</v>
      </c>
      <c r="H12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6" s="7" t="str">
        <f aca="false">IF(INDEX(MASTER_DATABASE!$A$4:$A$1000,ROW()-3)="","",INDEX(MASTER_DATABASE!$Q$4:$Q$1000,ROW()-3)&amp;"")</f>
        <v>Depends on Department</v>
      </c>
      <c r="J126" s="7" t="str">
        <f aca="false">IF(INDEX(MASTER_DATABASE!$A$4:$A$1000,ROW()-3)="","",INDEX(MASTER_DATABASE!$J$4:$J$1000,ROW()-3)&amp;"")</f>
        <v>Please Confirm at Shop</v>
      </c>
      <c r="K126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6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6" s="7" t="str">
        <f aca="false">IF(INDEX(MASTER_DATABASE!$A$4:$A$1000,ROW()-3)="","",INDEX(MASTER_DATABASE!$BG$4:$BG$1000,ROW()-3)&amp;"")</f>
        <v>Check Documents</v>
      </c>
    </row>
    <row r="127" customFormat="false" ht="91" hidden="false" customHeight="false" outlineLevel="0" collapsed="false">
      <c r="A127" s="11" t="str">
        <f aca="false">IF(INDEX(MASTER_DATABASE!$A$4:$A$1000,ROW()-3)="","",INDEX(MASTER_DATABASE!$A$4:$A$1000,ROW()-3)&amp;"")</f>
        <v>CSC-019</v>
      </c>
      <c r="B127" s="7" t="str">
        <f aca="false">IF(INDEX(MASTER_DATABASE!$A$4:$A$1000,ROW()-3)="","",INDEX(MASTER_DATABASE!$E$4:$E$1000,ROW()-3)&amp;"")</f>
        <v>CSC Digipay – Money Transfer</v>
      </c>
      <c r="C127" s="7" t="str">
        <f aca="false">IF(INDEX(MASTER_DATABASE!$A$4:$A$1000,ROW()-3)="","",INDEX(MASTER_DATABASE!$H$4:$H$1000,ROW()-3)&amp;"")</f>
        <v>CSC Digipay – Money Transfer through our Common Service Centre.</v>
      </c>
      <c r="D12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7" s="7" t="str">
        <f aca="false">IF(INDEX(MASTER_DATABASE!$A$4:$A$1000,ROW()-3)="","",INDEX(MASTER_DATABASE!$O$4:$O$1000,ROW()-3)&amp;"")</f>
        <v>As per the relevant scheme / department rules.</v>
      </c>
      <c r="F127" s="7" t="str">
        <f aca="false">IF(INDEX(MASTER_DATABASE!$A$4:$A$1000,ROW()-3)="","",INDEX(MASTER_DATABASE!$M$4:$M$1000,ROW()-3)&amp;"")</f>
        <v>✓ Aadhaar Card
✓ Customer Presence for Biometrics</v>
      </c>
      <c r="G127" s="7" t="str">
        <f aca="false">IF(INDEX(MASTER_DATABASE!$A$4:$A$1000,ROW()-3)="","",INDEX(MASTER_DATABASE!$P$4:$P$1000,ROW()-3)&amp;"")</f>
        <v>Step 1 → Bring Aadhaar, mobile number and the documents listed above.
Step 2 → Operator opens the 'CSC Digipay – Money Transfer' service on the CSC / government portal.
Step 3 → Your details are filled and verified with you.
Step 4 → Payment / fee (if any) is made.
Step 5 → Collect the receipt or acknowledgement and track the status.</v>
      </c>
      <c r="H12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7" s="7" t="str">
        <f aca="false">IF(INDEX(MASTER_DATABASE!$A$4:$A$1000,ROW()-3)="","",INDEX(MASTER_DATABASE!$Q$4:$Q$1000,ROW()-3)&amp;"")</f>
        <v>Depends on Department</v>
      </c>
      <c r="J127" s="7" t="str">
        <f aca="false">IF(INDEX(MASTER_DATABASE!$A$4:$A$1000,ROW()-3)="","",INDEX(MASTER_DATABASE!$J$4:$J$1000,ROW()-3)&amp;"")</f>
        <v>Please Confirm at Shop</v>
      </c>
      <c r="K127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7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7" s="7" t="str">
        <f aca="false">IF(INDEX(MASTER_DATABASE!$A$4:$A$1000,ROW()-3)="","",INDEX(MASTER_DATABASE!$BG$4:$BG$1000,ROW()-3)&amp;"")</f>
        <v>Check Documents</v>
      </c>
    </row>
    <row r="128" customFormat="false" ht="91" hidden="false" customHeight="false" outlineLevel="0" collapsed="false">
      <c r="A128" s="11" t="str">
        <f aca="false">IF(INDEX(MASTER_DATABASE!$A$4:$A$1000,ROW()-3)="","",INDEX(MASTER_DATABASE!$A$4:$A$1000,ROW()-3)&amp;"")</f>
        <v>CSC-020</v>
      </c>
      <c r="B128" s="7" t="str">
        <f aca="false">IF(INDEX(MASTER_DATABASE!$A$4:$A$1000,ROW()-3)="","",INDEX(MASTER_DATABASE!$E$4:$E$1000,ROW()-3)&amp;"")</f>
        <v>CSC Digipay – Micro ATM</v>
      </c>
      <c r="C128" s="7" t="str">
        <f aca="false">IF(INDEX(MASTER_DATABASE!$A$4:$A$1000,ROW()-3)="","",INDEX(MASTER_DATABASE!$H$4:$H$1000,ROW()-3)&amp;"")</f>
        <v>CSC Digipay – Micro ATM through our Common Service Centre.</v>
      </c>
      <c r="D12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8" s="7" t="str">
        <f aca="false">IF(INDEX(MASTER_DATABASE!$A$4:$A$1000,ROW()-3)="","",INDEX(MASTER_DATABASE!$O$4:$O$1000,ROW()-3)&amp;"")</f>
        <v>As per the relevant scheme / department rules.</v>
      </c>
      <c r="F128" s="7" t="str">
        <f aca="false">IF(INDEX(MASTER_DATABASE!$A$4:$A$1000,ROW()-3)="","",INDEX(MASTER_DATABASE!$M$4:$M$1000,ROW()-3)&amp;"")</f>
        <v>✓ Aadhaar Card
✓ Customer Presence for Biometrics</v>
      </c>
      <c r="G128" s="7" t="str">
        <f aca="false">IF(INDEX(MASTER_DATABASE!$A$4:$A$1000,ROW()-3)="","",INDEX(MASTER_DATABASE!$P$4:$P$1000,ROW()-3)&amp;"")</f>
        <v>Step 1 → Bring Aadhaar, mobile number and the documents listed above.
Step 2 → Operator opens the 'CSC Digipay – Micro ATM' service on the CSC / government portal.
Step 3 → Your details are filled and verified with you.
Step 4 → Payment / fee (if any) is made.
Step 5 → Collect the receipt or acknowledgement and track the status.</v>
      </c>
      <c r="H12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8" s="7" t="str">
        <f aca="false">IF(INDEX(MASTER_DATABASE!$A$4:$A$1000,ROW()-3)="","",INDEX(MASTER_DATABASE!$Q$4:$Q$1000,ROW()-3)&amp;"")</f>
        <v>Depends on Department</v>
      </c>
      <c r="J128" s="7" t="str">
        <f aca="false">IF(INDEX(MASTER_DATABASE!$A$4:$A$1000,ROW()-3)="","",INDEX(MASTER_DATABASE!$J$4:$J$1000,ROW()-3)&amp;"")</f>
        <v>To Be Confirmed</v>
      </c>
      <c r="K128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8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8" s="7" t="str">
        <f aca="false">IF(INDEX(MASTER_DATABASE!$A$4:$A$1000,ROW()-3)="","",INDEX(MASTER_DATABASE!$BG$4:$BG$1000,ROW()-3)&amp;"")</f>
        <v>Check Documents</v>
      </c>
    </row>
    <row r="129" customFormat="false" ht="91" hidden="false" customHeight="false" outlineLevel="0" collapsed="false">
      <c r="A129" s="11" t="str">
        <f aca="false">IF(INDEX(MASTER_DATABASE!$A$4:$A$1000,ROW()-3)="","",INDEX(MASTER_DATABASE!$A$4:$A$1000,ROW()-3)&amp;"")</f>
        <v>CSC-021</v>
      </c>
      <c r="B129" s="7" t="str">
        <f aca="false">IF(INDEX(MASTER_DATABASE!$A$4:$A$1000,ROW()-3)="","",INDEX(MASTER_DATABASE!$E$4:$E$1000,ROW()-3)&amp;"")</f>
        <v>Loan Application Assistance (Mudra / PMEGP etc.)</v>
      </c>
      <c r="C129" s="7" t="str">
        <f aca="false">IF(INDEX(MASTER_DATABASE!$A$4:$A$1000,ROW()-3)="","",INDEX(MASTER_DATABASE!$H$4:$H$1000,ROW()-3)&amp;"")</f>
        <v>Loan Application Assistance (Mudra / PMEGP etc.) through our Common Service Centre.</v>
      </c>
      <c r="D12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29" s="7" t="str">
        <f aca="false">IF(INDEX(MASTER_DATABASE!$A$4:$A$1000,ROW()-3)="","",INDEX(MASTER_DATABASE!$O$4:$O$1000,ROW()-3)&amp;"")</f>
        <v>As per the relevant scheme / department rules.</v>
      </c>
      <c r="F129" s="7" t="str">
        <f aca="false">IF(INDEX(MASTER_DATABASE!$A$4:$A$1000,ROW()-3)="","",INDEX(MASTER_DATABASE!$M$4:$M$1000,ROW()-3)&amp;"")</f>
        <v>✓ Aadhaar Card
✓ Active Mobile Number
✓ Bank Passbook</v>
      </c>
      <c r="G129" s="7" t="str">
        <f aca="false">IF(INDEX(MASTER_DATABASE!$A$4:$A$1000,ROW()-3)="","",INDEX(MASTER_DATABASE!$P$4:$P$1000,ROW()-3)&amp;"")</f>
        <v>Step 1 → Bring Aadhaar, mobile number and the documents listed above.
Step 2 → Operator opens the 'Loan Application Assistance (Mudra / PMEGP etc.)' service on the CSC / government portal.
Step 3 → Your details are filled and verified with you.
Step 4 → Payment / fee (if any) is made.
Step 5 → Collect the receipt or acknowledgement and track the status.</v>
      </c>
      <c r="H12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29" s="7" t="str">
        <f aca="false">IF(INDEX(MASTER_DATABASE!$A$4:$A$1000,ROW()-3)="","",INDEX(MASTER_DATABASE!$Q$4:$Q$1000,ROW()-3)&amp;"")</f>
        <v>Depends on Department</v>
      </c>
      <c r="J129" s="7" t="str">
        <f aca="false">IF(INDEX(MASTER_DATABASE!$A$4:$A$1000,ROW()-3)="","",INDEX(MASTER_DATABASE!$J$4:$J$1000,ROW()-3)&amp;"")</f>
        <v>To Be Confirmed</v>
      </c>
      <c r="K129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29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2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29" s="7" t="str">
        <f aca="false">IF(INDEX(MASTER_DATABASE!$A$4:$A$1000,ROW()-3)="","",INDEX(MASTER_DATABASE!$BG$4:$BG$1000,ROW()-3)&amp;"")</f>
        <v>Check Documents</v>
      </c>
    </row>
    <row r="130" customFormat="false" ht="91" hidden="false" customHeight="false" outlineLevel="0" collapsed="false">
      <c r="A130" s="11" t="str">
        <f aca="false">IF(INDEX(MASTER_DATABASE!$A$4:$A$1000,ROW()-3)="","",INDEX(MASTER_DATABASE!$A$4:$A$1000,ROW()-3)&amp;"")</f>
        <v>CSC-022</v>
      </c>
      <c r="B130" s="7" t="str">
        <f aca="false">IF(INDEX(MASTER_DATABASE!$A$4:$A$1000,ROW()-3)="","",INDEX(MASTER_DATABASE!$E$4:$E$1000,ROW()-3)&amp;"")</f>
        <v>Life Insurance – New Policy</v>
      </c>
      <c r="C130" s="7" t="str">
        <f aca="false">IF(INDEX(MASTER_DATABASE!$A$4:$A$1000,ROW()-3)="","",INDEX(MASTER_DATABASE!$H$4:$H$1000,ROW()-3)&amp;"")</f>
        <v>Life Insurance – New Policy through our Common Service Centre.</v>
      </c>
      <c r="D13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0" s="7" t="str">
        <f aca="false">IF(INDEX(MASTER_DATABASE!$A$4:$A$1000,ROW()-3)="","",INDEX(MASTER_DATABASE!$O$4:$O$1000,ROW()-3)&amp;"")</f>
        <v>As per the relevant scheme / department rules.</v>
      </c>
      <c r="F130" s="7" t="str">
        <f aca="false">IF(INDEX(MASTER_DATABASE!$A$4:$A$1000,ROW()-3)="","",INDEX(MASTER_DATABASE!$M$4:$M$1000,ROW()-3)&amp;"")</f>
        <v>✓ Aadhaar Card
✓ Active Mobile Number
✓ Bank Passbook
✓ Nominee Details</v>
      </c>
      <c r="G130" s="7" t="str">
        <f aca="false">IF(INDEX(MASTER_DATABASE!$A$4:$A$1000,ROW()-3)="","",INDEX(MASTER_DATABASE!$P$4:$P$1000,ROW()-3)&amp;"")</f>
        <v>Step 1 → Bring Aadhaar, mobile number and the documents listed above.
Step 2 → Operator opens the 'Life Insurance – New Policy' service on the CSC / government portal.
Step 3 → Your details are filled and verified with you.
Step 4 → Payment / fee (if any) is made.
Step 5 → Collect the receipt or acknowledgement and track the status.</v>
      </c>
      <c r="H13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0" s="7" t="str">
        <f aca="false">IF(INDEX(MASTER_DATABASE!$A$4:$A$1000,ROW()-3)="","",INDEX(MASTER_DATABASE!$Q$4:$Q$1000,ROW()-3)&amp;"")</f>
        <v>Depends on Department</v>
      </c>
      <c r="J130" s="7" t="str">
        <f aca="false">IF(INDEX(MASTER_DATABASE!$A$4:$A$1000,ROW()-3)="","",INDEX(MASTER_DATABASE!$J$4:$J$1000,ROW()-3)&amp;"")</f>
        <v>Please Confirm at Shop</v>
      </c>
      <c r="K130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0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0" s="7" t="str">
        <f aca="false">IF(INDEX(MASTER_DATABASE!$A$4:$A$1000,ROW()-3)="","",INDEX(MASTER_DATABASE!$BG$4:$BG$1000,ROW()-3)&amp;"")</f>
        <v>Check Documents</v>
      </c>
    </row>
    <row r="131" customFormat="false" ht="91" hidden="false" customHeight="false" outlineLevel="0" collapsed="false">
      <c r="A131" s="11" t="str">
        <f aca="false">IF(INDEX(MASTER_DATABASE!$A$4:$A$1000,ROW()-3)="","",INDEX(MASTER_DATABASE!$A$4:$A$1000,ROW()-3)&amp;"")</f>
        <v>CSC-023</v>
      </c>
      <c r="B131" s="7" t="str">
        <f aca="false">IF(INDEX(MASTER_DATABASE!$A$4:$A$1000,ROW()-3)="","",INDEX(MASTER_DATABASE!$E$4:$E$1000,ROW()-3)&amp;"")</f>
        <v>Health Insurance – New Policy</v>
      </c>
      <c r="C131" s="7" t="str">
        <f aca="false">IF(INDEX(MASTER_DATABASE!$A$4:$A$1000,ROW()-3)="","",INDEX(MASTER_DATABASE!$H$4:$H$1000,ROW()-3)&amp;"")</f>
        <v>Health Insurance – New Policy through our Common Service Centre.</v>
      </c>
      <c r="D13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1" s="7" t="str">
        <f aca="false">IF(INDEX(MASTER_DATABASE!$A$4:$A$1000,ROW()-3)="","",INDEX(MASTER_DATABASE!$O$4:$O$1000,ROW()-3)&amp;"")</f>
        <v>As per the relevant scheme / department rules.</v>
      </c>
      <c r="F131" s="7" t="str">
        <f aca="false">IF(INDEX(MASTER_DATABASE!$A$4:$A$1000,ROW()-3)="","",INDEX(MASTER_DATABASE!$M$4:$M$1000,ROW()-3)&amp;"")</f>
        <v>✓ Aadhaar Card
✓ Active Mobile Number
✓ Bank Passbook
✓ Nominee Details</v>
      </c>
      <c r="G131" s="7" t="str">
        <f aca="false">IF(INDEX(MASTER_DATABASE!$A$4:$A$1000,ROW()-3)="","",INDEX(MASTER_DATABASE!$P$4:$P$1000,ROW()-3)&amp;"")</f>
        <v>Step 1 → Bring Aadhaar, mobile number and the documents listed above.
Step 2 → Operator opens the 'Health Insurance – New Policy' service on the CSC / government portal.
Step 3 → Your details are filled and verified with you.
Step 4 → Payment / fee (if any) is made.
Step 5 → Collect the receipt or acknowledgement and track the status.</v>
      </c>
      <c r="H13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1" s="7" t="str">
        <f aca="false">IF(INDEX(MASTER_DATABASE!$A$4:$A$1000,ROW()-3)="","",INDEX(MASTER_DATABASE!$Q$4:$Q$1000,ROW()-3)&amp;"")</f>
        <v>Depends on Department</v>
      </c>
      <c r="J131" s="7" t="str">
        <f aca="false">IF(INDEX(MASTER_DATABASE!$A$4:$A$1000,ROW()-3)="","",INDEX(MASTER_DATABASE!$J$4:$J$1000,ROW()-3)&amp;"")</f>
        <v>Please Confirm at Shop</v>
      </c>
      <c r="K131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1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1" s="7" t="str">
        <f aca="false">IF(INDEX(MASTER_DATABASE!$A$4:$A$1000,ROW()-3)="","",INDEX(MASTER_DATABASE!$BG$4:$BG$1000,ROW()-3)&amp;"")</f>
        <v>Check Documents</v>
      </c>
    </row>
    <row r="132" customFormat="false" ht="91" hidden="false" customHeight="false" outlineLevel="0" collapsed="false">
      <c r="A132" s="11" t="str">
        <f aca="false">IF(INDEX(MASTER_DATABASE!$A$4:$A$1000,ROW()-3)="","",INDEX(MASTER_DATABASE!$A$4:$A$1000,ROW()-3)&amp;"")</f>
        <v>CSC-024</v>
      </c>
      <c r="B132" s="7" t="str">
        <f aca="false">IF(INDEX(MASTER_DATABASE!$A$4:$A$1000,ROW()-3)="","",INDEX(MASTER_DATABASE!$E$4:$E$1000,ROW()-3)&amp;"")</f>
        <v>Motor Insurance – New / Renewal</v>
      </c>
      <c r="C132" s="7" t="str">
        <f aca="false">IF(INDEX(MASTER_DATABASE!$A$4:$A$1000,ROW()-3)="","",INDEX(MASTER_DATABASE!$H$4:$H$1000,ROW()-3)&amp;"")</f>
        <v>Motor Insurance – New / Renewal through our Common Service Centre.</v>
      </c>
      <c r="D13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2" s="7" t="str">
        <f aca="false">IF(INDEX(MASTER_DATABASE!$A$4:$A$1000,ROW()-3)="","",INDEX(MASTER_DATABASE!$O$4:$O$1000,ROW()-3)&amp;"")</f>
        <v>As per the relevant scheme / department rules.</v>
      </c>
      <c r="F132" s="7" t="str">
        <f aca="false">IF(INDEX(MASTER_DATABASE!$A$4:$A$1000,ROW()-3)="","",INDEX(MASTER_DATABASE!$M$4:$M$1000,ROW()-3)&amp;"")</f>
        <v>✓ Aadhaar Card
✓ Active Mobile Number
✓ Bank Passbook
✓ Nominee Details</v>
      </c>
      <c r="G132" s="7" t="str">
        <f aca="false">IF(INDEX(MASTER_DATABASE!$A$4:$A$1000,ROW()-3)="","",INDEX(MASTER_DATABASE!$P$4:$P$1000,ROW()-3)&amp;"")</f>
        <v>Step 1 → Bring Aadhaar, mobile number and the documents listed above.
Step 2 → Operator opens the 'Motor Insurance – New / Renewal' service on the CSC / government portal.
Step 3 → Your details are filled and verified with you.
Step 4 → Payment / fee (if any) is made.
Step 5 → Collect the receipt or acknowledgement and track the status.</v>
      </c>
      <c r="H13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2" s="7" t="str">
        <f aca="false">IF(INDEX(MASTER_DATABASE!$A$4:$A$1000,ROW()-3)="","",INDEX(MASTER_DATABASE!$Q$4:$Q$1000,ROW()-3)&amp;"")</f>
        <v>Depends on Department</v>
      </c>
      <c r="J132" s="7" t="str">
        <f aca="false">IF(INDEX(MASTER_DATABASE!$A$4:$A$1000,ROW()-3)="","",INDEX(MASTER_DATABASE!$J$4:$J$1000,ROW()-3)&amp;"")</f>
        <v>Please Confirm at Shop</v>
      </c>
      <c r="K132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2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2" s="7" t="str">
        <f aca="false">IF(INDEX(MASTER_DATABASE!$A$4:$A$1000,ROW()-3)="","",INDEX(MASTER_DATABASE!$BG$4:$BG$1000,ROW()-3)&amp;"")</f>
        <v>Check Documents</v>
      </c>
    </row>
    <row r="133" customFormat="false" ht="91" hidden="false" customHeight="false" outlineLevel="0" collapsed="false">
      <c r="A133" s="11" t="str">
        <f aca="false">IF(INDEX(MASTER_DATABASE!$A$4:$A$1000,ROW()-3)="","",INDEX(MASTER_DATABASE!$A$4:$A$1000,ROW()-3)&amp;"")</f>
        <v>CSC-025</v>
      </c>
      <c r="B133" s="7" t="str">
        <f aca="false">IF(INDEX(MASTER_DATABASE!$A$4:$A$1000,ROW()-3)="","",INDEX(MASTER_DATABASE!$E$4:$E$1000,ROW()-3)&amp;"")</f>
        <v>Crop Insurance (PMFBY) Enrolment</v>
      </c>
      <c r="C133" s="7" t="str">
        <f aca="false">IF(INDEX(MASTER_DATABASE!$A$4:$A$1000,ROW()-3)="","",INDEX(MASTER_DATABASE!$H$4:$H$1000,ROW()-3)&amp;"")</f>
        <v>Crop Insurance (PMFBY) Enrolment through our Common Service Centre.</v>
      </c>
      <c r="D13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3" s="7" t="str">
        <f aca="false">IF(INDEX(MASTER_DATABASE!$A$4:$A$1000,ROW()-3)="","",INDEX(MASTER_DATABASE!$O$4:$O$1000,ROW()-3)&amp;"")</f>
        <v>As per the relevant scheme / department rules.</v>
      </c>
      <c r="F133" s="7" t="str">
        <f aca="false">IF(INDEX(MASTER_DATABASE!$A$4:$A$1000,ROW()-3)="","",INDEX(MASTER_DATABASE!$M$4:$M$1000,ROW()-3)&amp;"")</f>
        <v>✓ Aadhaar Card
✓ Active Mobile Number
✓ Bank Passbook
✓ Nominee Details</v>
      </c>
      <c r="G133" s="7" t="str">
        <f aca="false">IF(INDEX(MASTER_DATABASE!$A$4:$A$1000,ROW()-3)="","",INDEX(MASTER_DATABASE!$P$4:$P$1000,ROW()-3)&amp;"")</f>
        <v>Step 1 → Bring Aadhaar, mobile number and the documents listed above.
Step 2 → Operator opens the 'Crop Insurance (PMFBY) Enrolment' service on the CSC / government portal.
Step 3 → Your details are filled and verified with you.
Step 4 → Payment / fee (if any) is made.
Step 5 → Collect the receipt or acknowledgement and track the status.</v>
      </c>
      <c r="H13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3" s="7" t="str">
        <f aca="false">IF(INDEX(MASTER_DATABASE!$A$4:$A$1000,ROW()-3)="","",INDEX(MASTER_DATABASE!$Q$4:$Q$1000,ROW()-3)&amp;"")</f>
        <v>Depends on Department</v>
      </c>
      <c r="J133" s="7" t="str">
        <f aca="false">IF(INDEX(MASTER_DATABASE!$A$4:$A$1000,ROW()-3)="","",INDEX(MASTER_DATABASE!$J$4:$J$1000,ROW()-3)&amp;"")</f>
        <v>Depends on Portal – Confirm at Shop</v>
      </c>
      <c r="K133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3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3" s="7" t="str">
        <f aca="false">IF(INDEX(MASTER_DATABASE!$A$4:$A$1000,ROW()-3)="","",INDEX(MASTER_DATABASE!$BG$4:$BG$1000,ROW()-3)&amp;"")</f>
        <v>Check Documents</v>
      </c>
    </row>
    <row r="134" customFormat="false" ht="91" hidden="false" customHeight="false" outlineLevel="0" collapsed="false">
      <c r="A134" s="11" t="str">
        <f aca="false">IF(INDEX(MASTER_DATABASE!$A$4:$A$1000,ROW()-3)="","",INDEX(MASTER_DATABASE!$A$4:$A$1000,ROW()-3)&amp;"")</f>
        <v>CSC-026</v>
      </c>
      <c r="B134" s="7" t="str">
        <f aca="false">IF(INDEX(MASTER_DATABASE!$A$4:$A$1000,ROW()-3)="","",INDEX(MASTER_DATABASE!$E$4:$E$1000,ROW()-3)&amp;"")</f>
        <v>PM Suraksha Bima Yojana (PMSBY) Enrolment</v>
      </c>
      <c r="C134" s="7" t="str">
        <f aca="false">IF(INDEX(MASTER_DATABASE!$A$4:$A$1000,ROW()-3)="","",INDEX(MASTER_DATABASE!$H$4:$H$1000,ROW()-3)&amp;"")</f>
        <v>PM Suraksha Bima Yojana (PMSBY) Enrolment through our Common Service Centre.</v>
      </c>
      <c r="D13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4" s="7" t="str">
        <f aca="false">IF(INDEX(MASTER_DATABASE!$A$4:$A$1000,ROW()-3)="","",INDEX(MASTER_DATABASE!$O$4:$O$1000,ROW()-3)&amp;"")</f>
        <v>As per the relevant scheme / department rules.</v>
      </c>
      <c r="F134" s="7" t="str">
        <f aca="false">IF(INDEX(MASTER_DATABASE!$A$4:$A$1000,ROW()-3)="","",INDEX(MASTER_DATABASE!$M$4:$M$1000,ROW()-3)&amp;"")</f>
        <v>✓ Aadhaar Card
✓ Active Mobile Number
✓ Bank Passbook
✓ Nominee Details</v>
      </c>
      <c r="G134" s="7" t="str">
        <f aca="false">IF(INDEX(MASTER_DATABASE!$A$4:$A$1000,ROW()-3)="","",INDEX(MASTER_DATABASE!$P$4:$P$1000,ROW()-3)&amp;"")</f>
        <v>Step 1 → Bring Aadhaar, mobile number and the documents listed above.
Step 2 → Operator opens the 'PM Suraksha Bima Yojana (PMSBY) Enrolment' service on the CSC / government portal.
Step 3 → Your details are filled and verified with you.
Step 4 → Payment / fee (if any) is made.
Step 5 → Collect the receipt or acknowledgement and track the status.</v>
      </c>
      <c r="H13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4" s="7" t="str">
        <f aca="false">IF(INDEX(MASTER_DATABASE!$A$4:$A$1000,ROW()-3)="","",INDEX(MASTER_DATABASE!$Q$4:$Q$1000,ROW()-3)&amp;"")</f>
        <v>Depends on Department</v>
      </c>
      <c r="J134" s="7" t="str">
        <f aca="false">IF(INDEX(MASTER_DATABASE!$A$4:$A$1000,ROW()-3)="","",INDEX(MASTER_DATABASE!$J$4:$J$1000,ROW()-3)&amp;"")</f>
        <v>To Be Confirmed</v>
      </c>
      <c r="K134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4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4" s="7" t="str">
        <f aca="false">IF(INDEX(MASTER_DATABASE!$A$4:$A$1000,ROW()-3)="","",INDEX(MASTER_DATABASE!$BG$4:$BG$1000,ROW()-3)&amp;"")</f>
        <v>Check Documents</v>
      </c>
    </row>
    <row r="135" customFormat="false" ht="91" hidden="false" customHeight="false" outlineLevel="0" collapsed="false">
      <c r="A135" s="11" t="str">
        <f aca="false">IF(INDEX(MASTER_DATABASE!$A$4:$A$1000,ROW()-3)="","",INDEX(MASTER_DATABASE!$A$4:$A$1000,ROW()-3)&amp;"")</f>
        <v>CSC-027</v>
      </c>
      <c r="B135" s="7" t="str">
        <f aca="false">IF(INDEX(MASTER_DATABASE!$A$4:$A$1000,ROW()-3)="","",INDEX(MASTER_DATABASE!$E$4:$E$1000,ROW()-3)&amp;"")</f>
        <v>PM Jeevan Jyoti Bima Yojana (PMJJBY) Enrolment</v>
      </c>
      <c r="C135" s="7" t="str">
        <f aca="false">IF(INDEX(MASTER_DATABASE!$A$4:$A$1000,ROW()-3)="","",INDEX(MASTER_DATABASE!$H$4:$H$1000,ROW()-3)&amp;"")</f>
        <v>PM Jeevan Jyoti Bima Yojana (PMJJBY) Enrolment through our Common Service Centre.</v>
      </c>
      <c r="D13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5" s="7" t="str">
        <f aca="false">IF(INDEX(MASTER_DATABASE!$A$4:$A$1000,ROW()-3)="","",INDEX(MASTER_DATABASE!$O$4:$O$1000,ROW()-3)&amp;"")</f>
        <v>As per the relevant scheme / department rules.</v>
      </c>
      <c r="F135" s="7" t="str">
        <f aca="false">IF(INDEX(MASTER_DATABASE!$A$4:$A$1000,ROW()-3)="","",INDEX(MASTER_DATABASE!$M$4:$M$1000,ROW()-3)&amp;"")</f>
        <v>✓ Aadhaar Card
✓ Active Mobile Number
✓ Bank Passbook
✓ Nominee Details</v>
      </c>
      <c r="G135" s="7" t="str">
        <f aca="false">IF(INDEX(MASTER_DATABASE!$A$4:$A$1000,ROW()-3)="","",INDEX(MASTER_DATABASE!$P$4:$P$1000,ROW()-3)&amp;"")</f>
        <v>Step 1 → Bring Aadhaar, mobile number and the documents listed above.
Step 2 → Operator opens the 'PM Jeevan Jyoti Bima Yojana (PMJJBY) Enrolment' service on the CSC / government portal.
Step 3 → Your details are filled and verified with you.
Step 4 → Payment / fee (if any) is made.
Step 5 → Collect the receipt or acknowledgement and track the status.</v>
      </c>
      <c r="H13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5" s="7" t="str">
        <f aca="false">IF(INDEX(MASTER_DATABASE!$A$4:$A$1000,ROW()-3)="","",INDEX(MASTER_DATABASE!$Q$4:$Q$1000,ROW()-3)&amp;"")</f>
        <v>Depends on Department</v>
      </c>
      <c r="J135" s="7" t="str">
        <f aca="false">IF(INDEX(MASTER_DATABASE!$A$4:$A$1000,ROW()-3)="","",INDEX(MASTER_DATABASE!$J$4:$J$1000,ROW()-3)&amp;"")</f>
        <v>To Be Confirmed</v>
      </c>
      <c r="K135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5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5" s="7" t="str">
        <f aca="false">IF(INDEX(MASTER_DATABASE!$A$4:$A$1000,ROW()-3)="","",INDEX(MASTER_DATABASE!$BG$4:$BG$1000,ROW()-3)&amp;"")</f>
        <v>Check Documents</v>
      </c>
    </row>
    <row r="136" customFormat="false" ht="91" hidden="false" customHeight="false" outlineLevel="0" collapsed="false">
      <c r="A136" s="11" t="str">
        <f aca="false">IF(INDEX(MASTER_DATABASE!$A$4:$A$1000,ROW()-3)="","",INDEX(MASTER_DATABASE!$A$4:$A$1000,ROW()-3)&amp;"")</f>
        <v>CSC-028</v>
      </c>
      <c r="B136" s="7" t="str">
        <f aca="false">IF(INDEX(MASTER_DATABASE!$A$4:$A$1000,ROW()-3)="","",INDEX(MASTER_DATABASE!$E$4:$E$1000,ROW()-3)&amp;"")</f>
        <v>Atal Pension Yojana (APY) Enrolment</v>
      </c>
      <c r="C136" s="7" t="str">
        <f aca="false">IF(INDEX(MASTER_DATABASE!$A$4:$A$1000,ROW()-3)="","",INDEX(MASTER_DATABASE!$H$4:$H$1000,ROW()-3)&amp;"")</f>
        <v>Atal Pension Yojana (APY) Enrolment through our Common Service Centre.</v>
      </c>
      <c r="D13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6" s="7" t="str">
        <f aca="false">IF(INDEX(MASTER_DATABASE!$A$4:$A$1000,ROW()-3)="","",INDEX(MASTER_DATABASE!$O$4:$O$1000,ROW()-3)&amp;"")</f>
        <v>As per the relevant scheme / department rules.</v>
      </c>
      <c r="F136" s="7" t="str">
        <f aca="false">IF(INDEX(MASTER_DATABASE!$A$4:$A$1000,ROW()-3)="","",INDEX(MASTER_DATABASE!$M$4:$M$1000,ROW()-3)&amp;"")</f>
        <v>✓ Aadhaar Card
✓ Active Mobile Number
✓ Bank Passbook
✓ Nominee Details</v>
      </c>
      <c r="G136" s="7" t="str">
        <f aca="false">IF(INDEX(MASTER_DATABASE!$A$4:$A$1000,ROW()-3)="","",INDEX(MASTER_DATABASE!$P$4:$P$1000,ROW()-3)&amp;"")</f>
        <v>Step 1 → Bring Aadhaar, mobile number and the documents listed above.
Step 2 → Operator opens the 'Atal Pension Yojana (APY) Enrolment' service on the CSC / government portal.
Step 3 → Your details are filled and verified with you.
Step 4 → Payment / fee (if any) is made.
Step 5 → Collect the receipt or acknowledgement and track the status.</v>
      </c>
      <c r="H13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6" s="7" t="str">
        <f aca="false">IF(INDEX(MASTER_DATABASE!$A$4:$A$1000,ROW()-3)="","",INDEX(MASTER_DATABASE!$Q$4:$Q$1000,ROW()-3)&amp;"")</f>
        <v>Depends on Department</v>
      </c>
      <c r="J136" s="7" t="str">
        <f aca="false">IF(INDEX(MASTER_DATABASE!$A$4:$A$1000,ROW()-3)="","",INDEX(MASTER_DATABASE!$J$4:$J$1000,ROW()-3)&amp;"")</f>
        <v>Please Confirm at Shop</v>
      </c>
      <c r="K136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6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6" s="7" t="str">
        <f aca="false">IF(INDEX(MASTER_DATABASE!$A$4:$A$1000,ROW()-3)="","",INDEX(MASTER_DATABASE!$BG$4:$BG$1000,ROW()-3)&amp;"")</f>
        <v>Check Documents</v>
      </c>
    </row>
    <row r="137" customFormat="false" ht="91" hidden="false" customHeight="false" outlineLevel="0" collapsed="false">
      <c r="A137" s="11" t="str">
        <f aca="false">IF(INDEX(MASTER_DATABASE!$A$4:$A$1000,ROW()-3)="","",INDEX(MASTER_DATABASE!$A$4:$A$1000,ROW()-3)&amp;"")</f>
        <v>CSC-029</v>
      </c>
      <c r="B137" s="7" t="str">
        <f aca="false">IF(INDEX(MASTER_DATABASE!$A$4:$A$1000,ROW()-3)="","",INDEX(MASTER_DATABASE!$E$4:$E$1000,ROW()-3)&amp;"")</f>
        <v>NPS (National Pension System) Account Opening</v>
      </c>
      <c r="C137" s="7" t="str">
        <f aca="false">IF(INDEX(MASTER_DATABASE!$A$4:$A$1000,ROW()-3)="","",INDEX(MASTER_DATABASE!$H$4:$H$1000,ROW()-3)&amp;"")</f>
        <v>NPS (National Pension System) Account Opening through our Common Service Centre.</v>
      </c>
      <c r="D13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7" s="7" t="str">
        <f aca="false">IF(INDEX(MASTER_DATABASE!$A$4:$A$1000,ROW()-3)="","",INDEX(MASTER_DATABASE!$O$4:$O$1000,ROW()-3)&amp;"")</f>
        <v>As per the relevant scheme / department rules.</v>
      </c>
      <c r="F137" s="7" t="str">
        <f aca="false">IF(INDEX(MASTER_DATABASE!$A$4:$A$1000,ROW()-3)="","",INDEX(MASTER_DATABASE!$M$4:$M$1000,ROW()-3)&amp;"")</f>
        <v>✓ Aadhaar Card
✓ Active Mobile Number
✓ Bank Passbook
✓ Nominee Details</v>
      </c>
      <c r="G137" s="7" t="str">
        <f aca="false">IF(INDEX(MASTER_DATABASE!$A$4:$A$1000,ROW()-3)="","",INDEX(MASTER_DATABASE!$P$4:$P$1000,ROW()-3)&amp;"")</f>
        <v>Step 1 → Bring Aadhaar, mobile number and the documents listed above.
Step 2 → Operator opens the 'NPS (National Pension System) Account Opening' service on the CSC / government portal.
Step 3 → Your details are filled and verified with you.
Step 4 → Payment / fee (if any) is made.
Step 5 → Collect the receipt or acknowledgement and track the status.</v>
      </c>
      <c r="H13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7" s="7" t="str">
        <f aca="false">IF(INDEX(MASTER_DATABASE!$A$4:$A$1000,ROW()-3)="","",INDEX(MASTER_DATABASE!$Q$4:$Q$1000,ROW()-3)&amp;"")</f>
        <v>Depends on Department</v>
      </c>
      <c r="J137" s="7" t="str">
        <f aca="false">IF(INDEX(MASTER_DATABASE!$A$4:$A$1000,ROW()-3)="","",INDEX(MASTER_DATABASE!$J$4:$J$1000,ROW()-3)&amp;"")</f>
        <v>Please Confirm at Shop</v>
      </c>
      <c r="K137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7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7" s="7" t="str">
        <f aca="false">IF(INDEX(MASTER_DATABASE!$A$4:$A$1000,ROW()-3)="","",INDEX(MASTER_DATABASE!$BG$4:$BG$1000,ROW()-3)&amp;"")</f>
        <v>Check Documents</v>
      </c>
    </row>
    <row r="138" customFormat="false" ht="91" hidden="false" customHeight="false" outlineLevel="0" collapsed="false">
      <c r="A138" s="11" t="str">
        <f aca="false">IF(INDEX(MASTER_DATABASE!$A$4:$A$1000,ROW()-3)="","",INDEX(MASTER_DATABASE!$A$4:$A$1000,ROW()-3)&amp;"")</f>
        <v>CSC-030</v>
      </c>
      <c r="B138" s="7" t="str">
        <f aca="false">IF(INDEX(MASTER_DATABASE!$A$4:$A$1000,ROW()-3)="","",INDEX(MASTER_DATABASE!$E$4:$E$1000,ROW()-3)&amp;"")</f>
        <v>Digital Life Certificate (Jeevan Pramaan)</v>
      </c>
      <c r="C138" s="7" t="str">
        <f aca="false">IF(INDEX(MASTER_DATABASE!$A$4:$A$1000,ROW()-3)="","",INDEX(MASTER_DATABASE!$H$4:$H$1000,ROW()-3)&amp;"")</f>
        <v>Digital Life Certificate (Jeevan Pramaan) through our Common Service Centre.</v>
      </c>
      <c r="D13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8" s="7" t="str">
        <f aca="false">IF(INDEX(MASTER_DATABASE!$A$4:$A$1000,ROW()-3)="","",INDEX(MASTER_DATABASE!$O$4:$O$1000,ROW()-3)&amp;"")</f>
        <v>As per the relevant scheme / department rules.</v>
      </c>
      <c r="F138" s="7" t="str">
        <f aca="false">IF(INDEX(MASTER_DATABASE!$A$4:$A$1000,ROW()-3)="","",INDEX(MASTER_DATABASE!$M$4:$M$1000,ROW()-3)&amp;"")</f>
        <v>✓ Aadhaar Card
✓ Active Mobile Number
✓ Bank Passbook
✓ Customer Presence for Biometrics</v>
      </c>
      <c r="G138" s="7" t="str">
        <f aca="false">IF(INDEX(MASTER_DATABASE!$A$4:$A$1000,ROW()-3)="","",INDEX(MASTER_DATABASE!$P$4:$P$1000,ROW()-3)&amp;"")</f>
        <v>Step 1 → Bring Aadhaar, mobile number and the documents listed above.
Step 2 → Operator opens the 'Digital Life Certificate (Jeevan Pramaan)' service on the CSC / government portal.
Step 3 → Your details are filled and verified with you.
Step 4 → Payment / fee (if any) is made.
Step 5 → Collect the receipt or acknowledgement and track the status.</v>
      </c>
      <c r="H13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8" s="7" t="str">
        <f aca="false">IF(INDEX(MASTER_DATABASE!$A$4:$A$1000,ROW()-3)="","",INDEX(MASTER_DATABASE!$Q$4:$Q$1000,ROW()-3)&amp;"")</f>
        <v>Depends on Department</v>
      </c>
      <c r="J138" s="7" t="str">
        <f aca="false">IF(INDEX(MASTER_DATABASE!$A$4:$A$1000,ROW()-3)="","",INDEX(MASTER_DATABASE!$J$4:$J$1000,ROW()-3)&amp;"")</f>
        <v>Depends on Portal – Confirm at Shop</v>
      </c>
      <c r="K138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8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8" s="7" t="str">
        <f aca="false">IF(INDEX(MASTER_DATABASE!$A$4:$A$1000,ROW()-3)="","",INDEX(MASTER_DATABASE!$BG$4:$BG$1000,ROW()-3)&amp;"")</f>
        <v>Check Documents</v>
      </c>
    </row>
    <row r="139" customFormat="false" ht="91" hidden="false" customHeight="false" outlineLevel="0" collapsed="false">
      <c r="A139" s="11" t="str">
        <f aca="false">IF(INDEX(MASTER_DATABASE!$A$4:$A$1000,ROW()-3)="","",INDEX(MASTER_DATABASE!$A$4:$A$1000,ROW()-3)&amp;"")</f>
        <v>CSC-031</v>
      </c>
      <c r="B139" s="7" t="str">
        <f aca="false">IF(INDEX(MASTER_DATABASE!$A$4:$A$1000,ROW()-3)="","",INDEX(MASTER_DATABASE!$E$4:$E$1000,ROW()-3)&amp;"")</f>
        <v>EPFO / UAN Service Assistance</v>
      </c>
      <c r="C139" s="7" t="str">
        <f aca="false">IF(INDEX(MASTER_DATABASE!$A$4:$A$1000,ROW()-3)="","",INDEX(MASTER_DATABASE!$H$4:$H$1000,ROW()-3)&amp;"")</f>
        <v>EPFO / UAN Service Assistance through our Common Service Centre.</v>
      </c>
      <c r="D13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39" s="7" t="str">
        <f aca="false">IF(INDEX(MASTER_DATABASE!$A$4:$A$1000,ROW()-3)="","",INDEX(MASTER_DATABASE!$O$4:$O$1000,ROW()-3)&amp;"")</f>
        <v>As per the relevant scheme / department rules.</v>
      </c>
      <c r="F139" s="7" t="str">
        <f aca="false">IF(INDEX(MASTER_DATABASE!$A$4:$A$1000,ROW()-3)="","",INDEX(MASTER_DATABASE!$M$4:$M$1000,ROW()-3)&amp;"")</f>
        <v>✓ Aadhaar Card
✓ Active Mobile Number
✓ Bank Passbook</v>
      </c>
      <c r="G139" s="7" t="str">
        <f aca="false">IF(INDEX(MASTER_DATABASE!$A$4:$A$1000,ROW()-3)="","",INDEX(MASTER_DATABASE!$P$4:$P$1000,ROW()-3)&amp;"")</f>
        <v>Step 1 → Bring Aadhaar, mobile number and the documents listed above.
Step 2 → Operator opens the 'EPFO / UAN Service Assistance' service on the CSC / government portal.
Step 3 → Your details are filled and verified with you.
Step 4 → Payment / fee (if any) is made.
Step 5 → Collect the receipt or acknowledgement and track the status.</v>
      </c>
      <c r="H13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39" s="7" t="str">
        <f aca="false">IF(INDEX(MASTER_DATABASE!$A$4:$A$1000,ROW()-3)="","",INDEX(MASTER_DATABASE!$Q$4:$Q$1000,ROW()-3)&amp;"")</f>
        <v>Depends on Department</v>
      </c>
      <c r="J139" s="7" t="str">
        <f aca="false">IF(INDEX(MASTER_DATABASE!$A$4:$A$1000,ROW()-3)="","",INDEX(MASTER_DATABASE!$J$4:$J$1000,ROW()-3)&amp;"")</f>
        <v>Depends on Portal – Confirm at Shop</v>
      </c>
      <c r="K139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39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3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39" s="7" t="str">
        <f aca="false">IF(INDEX(MASTER_DATABASE!$A$4:$A$1000,ROW()-3)="","",INDEX(MASTER_DATABASE!$BG$4:$BG$1000,ROW()-3)&amp;"")</f>
        <v>Check Documents</v>
      </c>
    </row>
    <row r="140" customFormat="false" ht="91" hidden="false" customHeight="false" outlineLevel="0" collapsed="false">
      <c r="A140" s="11" t="str">
        <f aca="false">IF(INDEX(MASTER_DATABASE!$A$4:$A$1000,ROW()-3)="","",INDEX(MASTER_DATABASE!$A$4:$A$1000,ROW()-3)&amp;"")</f>
        <v>CSC-032</v>
      </c>
      <c r="B140" s="7" t="str">
        <f aca="false">IF(INDEX(MASTER_DATABASE!$A$4:$A$1000,ROW()-3)="","",INDEX(MASTER_DATABASE!$E$4:$E$1000,ROW()-3)&amp;"")</f>
        <v>Pension Application Assistance (Central / State)</v>
      </c>
      <c r="C140" s="7" t="str">
        <f aca="false">IF(INDEX(MASTER_DATABASE!$A$4:$A$1000,ROW()-3)="","",INDEX(MASTER_DATABASE!$H$4:$H$1000,ROW()-3)&amp;"")</f>
        <v>Pension Application Assistance (Central / State) through our Common Service Centre.</v>
      </c>
      <c r="D14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0" s="7" t="str">
        <f aca="false">IF(INDEX(MASTER_DATABASE!$A$4:$A$1000,ROW()-3)="","",INDEX(MASTER_DATABASE!$O$4:$O$1000,ROW()-3)&amp;"")</f>
        <v>As per the relevant scheme / department rules.</v>
      </c>
      <c r="F140" s="7" t="str">
        <f aca="false">IF(INDEX(MASTER_DATABASE!$A$4:$A$1000,ROW()-3)="","",INDEX(MASTER_DATABASE!$M$4:$M$1000,ROW()-3)&amp;"")</f>
        <v>✓ Aadhaar Card
✓ Active Mobile Number
✓ Bank Passbook</v>
      </c>
      <c r="G140" s="7" t="str">
        <f aca="false">IF(INDEX(MASTER_DATABASE!$A$4:$A$1000,ROW()-3)="","",INDEX(MASTER_DATABASE!$P$4:$P$1000,ROW()-3)&amp;"")</f>
        <v>Step 1 → Bring Aadhaar, mobile number and the documents listed above.
Step 2 → Operator opens the 'Pension Application Assistance (Central / State)' service on the CSC / government portal.
Step 3 → Your details are filled and verified with you.
Step 4 → Payment / fee (if any) is made.
Step 5 → Collect the receipt or acknowledgement and track the status.</v>
      </c>
      <c r="H14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0" s="7" t="str">
        <f aca="false">IF(INDEX(MASTER_DATABASE!$A$4:$A$1000,ROW()-3)="","",INDEX(MASTER_DATABASE!$Q$4:$Q$1000,ROW()-3)&amp;"")</f>
        <v>Depends on Department</v>
      </c>
      <c r="J140" s="7" t="str">
        <f aca="false">IF(INDEX(MASTER_DATABASE!$A$4:$A$1000,ROW()-3)="","",INDEX(MASTER_DATABASE!$J$4:$J$1000,ROW()-3)&amp;"")</f>
        <v>To Be Confirmed</v>
      </c>
      <c r="K140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0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0" s="7" t="str">
        <f aca="false">IF(INDEX(MASTER_DATABASE!$A$4:$A$1000,ROW()-3)="","",INDEX(MASTER_DATABASE!$BG$4:$BG$1000,ROW()-3)&amp;"")</f>
        <v>Check Documents</v>
      </c>
    </row>
    <row r="141" customFormat="false" ht="91" hidden="false" customHeight="false" outlineLevel="0" collapsed="false">
      <c r="A141" s="11" t="str">
        <f aca="false">IF(INDEX(MASTER_DATABASE!$A$4:$A$1000,ROW()-3)="","",INDEX(MASTER_DATABASE!$A$4:$A$1000,ROW()-3)&amp;"")</f>
        <v>CSC-033</v>
      </c>
      <c r="B141" s="7" t="str">
        <f aca="false">IF(INDEX(MASTER_DATABASE!$A$4:$A$1000,ROW()-3)="","",INDEX(MASTER_DATABASE!$E$4:$E$1000,ROW()-3)&amp;"")</f>
        <v>Digital Literacy (PMGDISHA) Registration</v>
      </c>
      <c r="C141" s="7" t="str">
        <f aca="false">IF(INDEX(MASTER_DATABASE!$A$4:$A$1000,ROW()-3)="","",INDEX(MASTER_DATABASE!$H$4:$H$1000,ROW()-3)&amp;"")</f>
        <v>Digital Literacy (PMGDISHA) Registration through our Common Service Centre.</v>
      </c>
      <c r="D14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1" s="7" t="str">
        <f aca="false">IF(INDEX(MASTER_DATABASE!$A$4:$A$1000,ROW()-3)="","",INDEX(MASTER_DATABASE!$O$4:$O$1000,ROW()-3)&amp;"")</f>
        <v>As per the relevant scheme / department rules.</v>
      </c>
      <c r="F141" s="7" t="str">
        <f aca="false">IF(INDEX(MASTER_DATABASE!$A$4:$A$1000,ROW()-3)="","",INDEX(MASTER_DATABASE!$M$4:$M$1000,ROW()-3)&amp;"")</f>
        <v>✓ Aadhaar Card
✓ Active Mobile Number</v>
      </c>
      <c r="G141" s="7" t="str">
        <f aca="false">IF(INDEX(MASTER_DATABASE!$A$4:$A$1000,ROW()-3)="","",INDEX(MASTER_DATABASE!$P$4:$P$1000,ROW()-3)&amp;"")</f>
        <v>Step 1 → Bring Aadhaar, mobile number and the documents listed above.
Step 2 → Operator opens the 'Digital Literacy (PMGDISHA) Registration' service on the CSC / government portal.
Step 3 → Your details are filled and verified with you.
Step 4 → Payment / fee (if any) is made.
Step 5 → Collect the receipt or acknowledgement and track the status.</v>
      </c>
      <c r="H14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1" s="7" t="str">
        <f aca="false">IF(INDEX(MASTER_DATABASE!$A$4:$A$1000,ROW()-3)="","",INDEX(MASTER_DATABASE!$Q$4:$Q$1000,ROW()-3)&amp;"")</f>
        <v>Depends on Department</v>
      </c>
      <c r="J141" s="7" t="str">
        <f aca="false">IF(INDEX(MASTER_DATABASE!$A$4:$A$1000,ROW()-3)="","",INDEX(MASTER_DATABASE!$J$4:$J$1000,ROW()-3)&amp;"")</f>
        <v>Please Confirm at Shop</v>
      </c>
      <c r="K141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1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1" s="7" t="str">
        <f aca="false">IF(INDEX(MASTER_DATABASE!$A$4:$A$1000,ROW()-3)="","",INDEX(MASTER_DATABASE!$BG$4:$BG$1000,ROW()-3)&amp;"")</f>
        <v>Check Documents</v>
      </c>
    </row>
    <row r="142" customFormat="false" ht="91" hidden="false" customHeight="false" outlineLevel="0" collapsed="false">
      <c r="A142" s="11" t="str">
        <f aca="false">IF(INDEX(MASTER_DATABASE!$A$4:$A$1000,ROW()-3)="","",INDEX(MASTER_DATABASE!$A$4:$A$1000,ROW()-3)&amp;"")</f>
        <v>CSC-034</v>
      </c>
      <c r="B142" s="7" t="str">
        <f aca="false">IF(INDEX(MASTER_DATABASE!$A$4:$A$1000,ROW()-3)="","",INDEX(MASTER_DATABASE!$E$4:$E$1000,ROW()-3)&amp;"")</f>
        <v>Skill Development Course Enrolment</v>
      </c>
      <c r="C142" s="7" t="str">
        <f aca="false">IF(INDEX(MASTER_DATABASE!$A$4:$A$1000,ROW()-3)="","",INDEX(MASTER_DATABASE!$H$4:$H$1000,ROW()-3)&amp;"")</f>
        <v>Skill Development Course Enrolment through our Common Service Centre.</v>
      </c>
      <c r="D14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2" s="7" t="str">
        <f aca="false">IF(INDEX(MASTER_DATABASE!$A$4:$A$1000,ROW()-3)="","",INDEX(MASTER_DATABASE!$O$4:$O$1000,ROW()-3)&amp;"")</f>
        <v>As per the relevant scheme / department rules.</v>
      </c>
      <c r="F142" s="7" t="str">
        <f aca="false">IF(INDEX(MASTER_DATABASE!$A$4:$A$1000,ROW()-3)="","",INDEX(MASTER_DATABASE!$M$4:$M$1000,ROW()-3)&amp;"")</f>
        <v>✓ Aadhaar Card
✓ Active Mobile Number</v>
      </c>
      <c r="G142" s="7" t="str">
        <f aca="false">IF(INDEX(MASTER_DATABASE!$A$4:$A$1000,ROW()-3)="","",INDEX(MASTER_DATABASE!$P$4:$P$1000,ROW()-3)&amp;"")</f>
        <v>Step 1 → Bring Aadhaar, mobile number and the documents listed above.
Step 2 → Operator opens the 'Skill Development Course Enrolment' service on the CSC / government portal.
Step 3 → Your details are filled and verified with you.
Step 4 → Payment / fee (if any) is made.
Step 5 → Collect the receipt or acknowledgement and track the status.</v>
      </c>
      <c r="H14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2" s="7" t="str">
        <f aca="false">IF(INDEX(MASTER_DATABASE!$A$4:$A$1000,ROW()-3)="","",INDEX(MASTER_DATABASE!$Q$4:$Q$1000,ROW()-3)&amp;"")</f>
        <v>Depends on Department</v>
      </c>
      <c r="J142" s="7" t="str">
        <f aca="false">IF(INDEX(MASTER_DATABASE!$A$4:$A$1000,ROW()-3)="","",INDEX(MASTER_DATABASE!$J$4:$J$1000,ROW()-3)&amp;"")</f>
        <v>To Be Confirmed</v>
      </c>
      <c r="K142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2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2" s="7" t="str">
        <f aca="false">IF(INDEX(MASTER_DATABASE!$A$4:$A$1000,ROW()-3)="","",INDEX(MASTER_DATABASE!$BG$4:$BG$1000,ROW()-3)&amp;"")</f>
        <v>Check Documents</v>
      </c>
    </row>
    <row r="143" customFormat="false" ht="91" hidden="false" customHeight="false" outlineLevel="0" collapsed="false">
      <c r="A143" s="11" t="str">
        <f aca="false">IF(INDEX(MASTER_DATABASE!$A$4:$A$1000,ROW()-3)="","",INDEX(MASTER_DATABASE!$A$4:$A$1000,ROW()-3)&amp;"")</f>
        <v>CSC-035</v>
      </c>
      <c r="B143" s="7" t="str">
        <f aca="false">IF(INDEX(MASTER_DATABASE!$A$4:$A$1000,ROW()-3)="","",INDEX(MASTER_DATABASE!$E$4:$E$1000,ROW()-3)&amp;"")</f>
        <v>e-Learning / Tele-Education Course Enrolment</v>
      </c>
      <c r="C143" s="7" t="str">
        <f aca="false">IF(INDEX(MASTER_DATABASE!$A$4:$A$1000,ROW()-3)="","",INDEX(MASTER_DATABASE!$H$4:$H$1000,ROW()-3)&amp;"")</f>
        <v>e-Learning / Tele-Education Course Enrolment through our Common Service Centre.</v>
      </c>
      <c r="D14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3" s="7" t="str">
        <f aca="false">IF(INDEX(MASTER_DATABASE!$A$4:$A$1000,ROW()-3)="","",INDEX(MASTER_DATABASE!$O$4:$O$1000,ROW()-3)&amp;"")</f>
        <v>As per the relevant scheme / department rules.</v>
      </c>
      <c r="F143" s="7" t="str">
        <f aca="false">IF(INDEX(MASTER_DATABASE!$A$4:$A$1000,ROW()-3)="","",INDEX(MASTER_DATABASE!$M$4:$M$1000,ROW()-3)&amp;"")</f>
        <v>✓ Aadhaar Card
✓ Active Mobile Number</v>
      </c>
      <c r="G143" s="7" t="str">
        <f aca="false">IF(INDEX(MASTER_DATABASE!$A$4:$A$1000,ROW()-3)="","",INDEX(MASTER_DATABASE!$P$4:$P$1000,ROW()-3)&amp;"")</f>
        <v>Step 1 → Bring Aadhaar, mobile number and the documents listed above.
Step 2 → Operator opens the 'e-Learning / Tele-Education Course Enrolment' service on the CSC / government portal.
Step 3 → Your details are filled and verified with you.
Step 4 → Payment / fee (if any) is made.
Step 5 → Collect the receipt or acknowledgement and track the status.</v>
      </c>
      <c r="H14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3" s="7" t="str">
        <f aca="false">IF(INDEX(MASTER_DATABASE!$A$4:$A$1000,ROW()-3)="","",INDEX(MASTER_DATABASE!$Q$4:$Q$1000,ROW()-3)&amp;"")</f>
        <v>Depends on Department</v>
      </c>
      <c r="J143" s="7" t="str">
        <f aca="false">IF(INDEX(MASTER_DATABASE!$A$4:$A$1000,ROW()-3)="","",INDEX(MASTER_DATABASE!$J$4:$J$1000,ROW()-3)&amp;"")</f>
        <v>To Be Confirmed</v>
      </c>
      <c r="K143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3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3" s="7" t="str">
        <f aca="false">IF(INDEX(MASTER_DATABASE!$A$4:$A$1000,ROW()-3)="","",INDEX(MASTER_DATABASE!$BG$4:$BG$1000,ROW()-3)&amp;"")</f>
        <v>Check Documents</v>
      </c>
    </row>
    <row r="144" customFormat="false" ht="91" hidden="false" customHeight="false" outlineLevel="0" collapsed="false">
      <c r="A144" s="11" t="str">
        <f aca="false">IF(INDEX(MASTER_DATABASE!$A$4:$A$1000,ROW()-3)="","",INDEX(MASTER_DATABASE!$A$4:$A$1000,ROW()-3)&amp;"")</f>
        <v>CSC-036</v>
      </c>
      <c r="B144" s="7" t="str">
        <f aca="false">IF(INDEX(MASTER_DATABASE!$A$4:$A$1000,ROW()-3)="","",INDEX(MASTER_DATABASE!$E$4:$E$1000,ROW()-3)&amp;"")</f>
        <v>PMKVY Training Enrolment Assistance</v>
      </c>
      <c r="C144" s="7" t="str">
        <f aca="false">IF(INDEX(MASTER_DATABASE!$A$4:$A$1000,ROW()-3)="","",INDEX(MASTER_DATABASE!$H$4:$H$1000,ROW()-3)&amp;"")</f>
        <v>PMKVY Training Enrolment Assistance through our Common Service Centre.</v>
      </c>
      <c r="D14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4" s="7" t="str">
        <f aca="false">IF(INDEX(MASTER_DATABASE!$A$4:$A$1000,ROW()-3)="","",INDEX(MASTER_DATABASE!$O$4:$O$1000,ROW()-3)&amp;"")</f>
        <v>As per the relevant scheme / department rules.</v>
      </c>
      <c r="F144" s="7" t="str">
        <f aca="false">IF(INDEX(MASTER_DATABASE!$A$4:$A$1000,ROW()-3)="","",INDEX(MASTER_DATABASE!$M$4:$M$1000,ROW()-3)&amp;"")</f>
        <v>✓ Aadhaar Card
✓ Active Mobile Number</v>
      </c>
      <c r="G144" s="7" t="str">
        <f aca="false">IF(INDEX(MASTER_DATABASE!$A$4:$A$1000,ROW()-3)="","",INDEX(MASTER_DATABASE!$P$4:$P$1000,ROW()-3)&amp;"")</f>
        <v>Step 1 → Bring Aadhaar, mobile number and the documents listed above.
Step 2 → Operator opens the 'PMKVY Training Enrolment Assistance' service on the CSC / government portal.
Step 3 → Your details are filled and verified with you.
Step 4 → Payment / fee (if any) is made.
Step 5 → Collect the receipt or acknowledgement and track the status.</v>
      </c>
      <c r="H14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4" s="7" t="str">
        <f aca="false">IF(INDEX(MASTER_DATABASE!$A$4:$A$1000,ROW()-3)="","",INDEX(MASTER_DATABASE!$Q$4:$Q$1000,ROW()-3)&amp;"")</f>
        <v>Depends on Department</v>
      </c>
      <c r="J144" s="7" t="str">
        <f aca="false">IF(INDEX(MASTER_DATABASE!$A$4:$A$1000,ROW()-3)="","",INDEX(MASTER_DATABASE!$J$4:$J$1000,ROW()-3)&amp;"")</f>
        <v>To Be Confirmed</v>
      </c>
      <c r="K144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4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4" s="7" t="str">
        <f aca="false">IF(INDEX(MASTER_DATABASE!$A$4:$A$1000,ROW()-3)="","",INDEX(MASTER_DATABASE!$BG$4:$BG$1000,ROW()-3)&amp;"")</f>
        <v>Check Documents</v>
      </c>
    </row>
    <row r="145" customFormat="false" ht="91" hidden="false" customHeight="false" outlineLevel="0" collapsed="false">
      <c r="A145" s="11" t="str">
        <f aca="false">IF(INDEX(MASTER_DATABASE!$A$4:$A$1000,ROW()-3)="","",INDEX(MASTER_DATABASE!$A$4:$A$1000,ROW()-3)&amp;"")</f>
        <v>CSC-037</v>
      </c>
      <c r="B145" s="7" t="str">
        <f aca="false">IF(INDEX(MASTER_DATABASE!$A$4:$A$1000,ROW()-3)="","",INDEX(MASTER_DATABASE!$E$4:$E$1000,ROW()-3)&amp;"")</f>
        <v>e-Challan (Traffic) Payment</v>
      </c>
      <c r="C145" s="7" t="str">
        <f aca="false">IF(INDEX(MASTER_DATABASE!$A$4:$A$1000,ROW()-3)="","",INDEX(MASTER_DATABASE!$H$4:$H$1000,ROW()-3)&amp;"")</f>
        <v>e-Challan (Traffic) Payment through our Common Service Centre.</v>
      </c>
      <c r="D14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5" s="7" t="str">
        <f aca="false">IF(INDEX(MASTER_DATABASE!$A$4:$A$1000,ROW()-3)="","",INDEX(MASTER_DATABASE!$O$4:$O$1000,ROW()-3)&amp;"")</f>
        <v>As per the relevant scheme / department rules.</v>
      </c>
      <c r="F145" s="7" t="str">
        <f aca="false">IF(INDEX(MASTER_DATABASE!$A$4:$A$1000,ROW()-3)="","",INDEX(MASTER_DATABASE!$M$4:$M$1000,ROW()-3)&amp;"")</f>
        <v>✓ Vehicle / FASTag Details
✓ Active Mobile Number</v>
      </c>
      <c r="G145" s="7" t="str">
        <f aca="false">IF(INDEX(MASTER_DATABASE!$A$4:$A$1000,ROW()-3)="","",INDEX(MASTER_DATABASE!$P$4:$P$1000,ROW()-3)&amp;"")</f>
        <v>Step 1 → Bring Aadhaar, mobile number and the documents listed above.
Step 2 → Operator opens the 'e-Challan (Traffic) Payment' service on the CSC / government portal.
Step 3 → Your details are filled and verified with you.
Step 4 → Payment / fee (if any) is made.
Step 5 → Collect the receipt or acknowledgement and track the status.</v>
      </c>
      <c r="H14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5" s="7" t="str">
        <f aca="false">IF(INDEX(MASTER_DATABASE!$A$4:$A$1000,ROW()-3)="","",INDEX(MASTER_DATABASE!$Q$4:$Q$1000,ROW()-3)&amp;"")</f>
        <v>Depends on Department</v>
      </c>
      <c r="J145" s="7" t="str">
        <f aca="false">IF(INDEX(MASTER_DATABASE!$A$4:$A$1000,ROW()-3)="","",INDEX(MASTER_DATABASE!$J$4:$J$1000,ROW()-3)&amp;"")</f>
        <v>Depends on Portal – Confirm at Shop</v>
      </c>
      <c r="K145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5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5" s="7" t="str">
        <f aca="false">IF(INDEX(MASTER_DATABASE!$A$4:$A$1000,ROW()-3)="","",INDEX(MASTER_DATABASE!$BG$4:$BG$1000,ROW()-3)&amp;"")</f>
        <v>Check Documents</v>
      </c>
    </row>
    <row r="146" customFormat="false" ht="91" hidden="false" customHeight="false" outlineLevel="0" collapsed="false">
      <c r="A146" s="11" t="str">
        <f aca="false">IF(INDEX(MASTER_DATABASE!$A$4:$A$1000,ROW()-3)="","",INDEX(MASTER_DATABASE!$A$4:$A$1000,ROW()-3)&amp;"")</f>
        <v>CSC-038</v>
      </c>
      <c r="B146" s="7" t="str">
        <f aca="false">IF(INDEX(MASTER_DATABASE!$A$4:$A$1000,ROW()-3)="","",INDEX(MASTER_DATABASE!$E$4:$E$1000,ROW()-3)&amp;"")</f>
        <v>Vehicle Services (Parivahan / VAHAN) Assistance</v>
      </c>
      <c r="C146" s="7" t="str">
        <f aca="false">IF(INDEX(MASTER_DATABASE!$A$4:$A$1000,ROW()-3)="","",INDEX(MASTER_DATABASE!$H$4:$H$1000,ROW()-3)&amp;"")</f>
        <v>Vehicle Services (Parivahan / VAHAN) Assistance through our Common Service Centre.</v>
      </c>
      <c r="D14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6" s="7" t="str">
        <f aca="false">IF(INDEX(MASTER_DATABASE!$A$4:$A$1000,ROW()-3)="","",INDEX(MASTER_DATABASE!$O$4:$O$1000,ROW()-3)&amp;"")</f>
        <v>As per the relevant scheme / department rules.</v>
      </c>
      <c r="F146" s="7" t="str">
        <f aca="false">IF(INDEX(MASTER_DATABASE!$A$4:$A$1000,ROW()-3)="","",INDEX(MASTER_DATABASE!$M$4:$M$1000,ROW()-3)&amp;"")</f>
        <v>✓ Vehicle / FASTag Details
✓ Active Mobile Number</v>
      </c>
      <c r="G146" s="7" t="str">
        <f aca="false">IF(INDEX(MASTER_DATABASE!$A$4:$A$1000,ROW()-3)="","",INDEX(MASTER_DATABASE!$P$4:$P$1000,ROW()-3)&amp;"")</f>
        <v>Step 1 → Bring Aadhaar, mobile number and the documents listed above.
Step 2 → Operator opens the 'Vehicle Services (Parivahan / VAHAN) Assistance' service on the CSC / government portal.
Step 3 → Your details are filled and verified with you.
Step 4 → Payment / fee (if any) is made.
Step 5 → Collect the receipt or acknowledgement and track the status.</v>
      </c>
      <c r="H14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6" s="7" t="str">
        <f aca="false">IF(INDEX(MASTER_DATABASE!$A$4:$A$1000,ROW()-3)="","",INDEX(MASTER_DATABASE!$Q$4:$Q$1000,ROW()-3)&amp;"")</f>
        <v>Depends on Department</v>
      </c>
      <c r="J146" s="7" t="str">
        <f aca="false">IF(INDEX(MASTER_DATABASE!$A$4:$A$1000,ROW()-3)="","",INDEX(MASTER_DATABASE!$J$4:$J$1000,ROW()-3)&amp;"")</f>
        <v>Depends on Portal – Confirm at Shop</v>
      </c>
      <c r="K146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6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6" s="7" t="str">
        <f aca="false">IF(INDEX(MASTER_DATABASE!$A$4:$A$1000,ROW()-3)="","",INDEX(MASTER_DATABASE!$BG$4:$BG$1000,ROW()-3)&amp;"")</f>
        <v>Check Documents</v>
      </c>
    </row>
    <row r="147" customFormat="false" ht="91" hidden="false" customHeight="false" outlineLevel="0" collapsed="false">
      <c r="A147" s="11" t="str">
        <f aca="false">IF(INDEX(MASTER_DATABASE!$A$4:$A$1000,ROW()-3)="","",INDEX(MASTER_DATABASE!$A$4:$A$1000,ROW()-3)&amp;"")</f>
        <v>CSC-039</v>
      </c>
      <c r="B147" s="7" t="str">
        <f aca="false">IF(INDEX(MASTER_DATABASE!$A$4:$A$1000,ROW()-3)="","",INDEX(MASTER_DATABASE!$E$4:$E$1000,ROW()-3)&amp;"")</f>
        <v>Digital Signature Certificate (DSC) Issuance</v>
      </c>
      <c r="C147" s="7" t="str">
        <f aca="false">IF(INDEX(MASTER_DATABASE!$A$4:$A$1000,ROW()-3)="","",INDEX(MASTER_DATABASE!$H$4:$H$1000,ROW()-3)&amp;"")</f>
        <v>Digital Signature Certificate (DSC) Issuance through our Common Service Centre.</v>
      </c>
      <c r="D14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7" s="7" t="str">
        <f aca="false">IF(INDEX(MASTER_DATABASE!$A$4:$A$1000,ROW()-3)="","",INDEX(MASTER_DATABASE!$O$4:$O$1000,ROW()-3)&amp;"")</f>
        <v>As per the relevant scheme / department rules.</v>
      </c>
      <c r="F147" s="7" t="str">
        <f aca="false">IF(INDEX(MASTER_DATABASE!$A$4:$A$1000,ROW()-3)="","",INDEX(MASTER_DATABASE!$M$4:$M$1000,ROW()-3)&amp;"")</f>
        <v>✓ Aadhaar Card
✓ Active Mobile Number
✓ PAN Card
✓ Passport Photo
✓ Email ID</v>
      </c>
      <c r="G147" s="7" t="str">
        <f aca="false">IF(INDEX(MASTER_DATABASE!$A$4:$A$1000,ROW()-3)="","",INDEX(MASTER_DATABASE!$P$4:$P$1000,ROW()-3)&amp;"")</f>
        <v>Step 1 → Bring Aadhaar, mobile number and the documents listed above.
Step 2 → Operator opens the 'Digital Signature Certificate (DSC) Issuance' service on the CSC / government portal.
Step 3 → Your details are filled and verified with you.
Step 4 → Payment / fee (if any) is made.
Step 5 → Collect the receipt or acknowledgement and track the status.</v>
      </c>
      <c r="H14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7" s="7" t="str">
        <f aca="false">IF(INDEX(MASTER_DATABASE!$A$4:$A$1000,ROW()-3)="","",INDEX(MASTER_DATABASE!$Q$4:$Q$1000,ROW()-3)&amp;"")</f>
        <v>Depends on Department</v>
      </c>
      <c r="J147" s="7" t="str">
        <f aca="false">IF(INDEX(MASTER_DATABASE!$A$4:$A$1000,ROW()-3)="","",INDEX(MASTER_DATABASE!$J$4:$J$1000,ROW()-3)&amp;"")</f>
        <v>Please Confirm at Shop</v>
      </c>
      <c r="K147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7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7" s="7" t="str">
        <f aca="false">IF(INDEX(MASTER_DATABASE!$A$4:$A$1000,ROW()-3)="","",INDEX(MASTER_DATABASE!$BG$4:$BG$1000,ROW()-3)&amp;"")</f>
        <v>Check Documents</v>
      </c>
    </row>
    <row r="148" customFormat="false" ht="91" hidden="false" customHeight="false" outlineLevel="0" collapsed="false">
      <c r="A148" s="11" t="str">
        <f aca="false">IF(INDEX(MASTER_DATABASE!$A$4:$A$1000,ROW()-3)="","",INDEX(MASTER_DATABASE!$A$4:$A$1000,ROW()-3)&amp;"")</f>
        <v>CSC-040</v>
      </c>
      <c r="B148" s="7" t="str">
        <f aca="false">IF(INDEX(MASTER_DATABASE!$A$4:$A$1000,ROW()-3)="","",INDEX(MASTER_DATABASE!$E$4:$E$1000,ROW()-3)&amp;"")</f>
        <v>Aadhaar eSign Assistance</v>
      </c>
      <c r="C148" s="7" t="str">
        <f aca="false">IF(INDEX(MASTER_DATABASE!$A$4:$A$1000,ROW()-3)="","",INDEX(MASTER_DATABASE!$H$4:$H$1000,ROW()-3)&amp;"")</f>
        <v>Aadhaar eSign Assistance through our Common Service Centre.</v>
      </c>
      <c r="D14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8" s="7" t="str">
        <f aca="false">IF(INDEX(MASTER_DATABASE!$A$4:$A$1000,ROW()-3)="","",INDEX(MASTER_DATABASE!$O$4:$O$1000,ROW()-3)&amp;"")</f>
        <v>As per the relevant scheme / department rules.</v>
      </c>
      <c r="F148" s="7" t="str">
        <f aca="false">IF(INDEX(MASTER_DATABASE!$A$4:$A$1000,ROW()-3)="","",INDEX(MASTER_DATABASE!$M$4:$M$1000,ROW()-3)&amp;"")</f>
        <v>✓ Aadhaar Card
✓ Active Mobile Number</v>
      </c>
      <c r="G148" s="7" t="str">
        <f aca="false">IF(INDEX(MASTER_DATABASE!$A$4:$A$1000,ROW()-3)="","",INDEX(MASTER_DATABASE!$P$4:$P$1000,ROW()-3)&amp;"")</f>
        <v>Step 1 → Bring Aadhaar, mobile number and the documents listed above.
Step 2 → Operator opens the 'Aadhaar eSign Assistance' service on the CSC / government portal.
Step 3 → Your details are filled and verified with you.
Step 4 → Payment / fee (if any) is made.
Step 5 → Collect the receipt or acknowledgement and track the status.</v>
      </c>
      <c r="H14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8" s="7" t="str">
        <f aca="false">IF(INDEX(MASTER_DATABASE!$A$4:$A$1000,ROW()-3)="","",INDEX(MASTER_DATABASE!$Q$4:$Q$1000,ROW()-3)&amp;"")</f>
        <v>Depends on Department</v>
      </c>
      <c r="J148" s="7" t="str">
        <f aca="false">IF(INDEX(MASTER_DATABASE!$A$4:$A$1000,ROW()-3)="","",INDEX(MASTER_DATABASE!$J$4:$J$1000,ROW()-3)&amp;"")</f>
        <v>To Be Confirmed</v>
      </c>
      <c r="K148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8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8" s="7" t="str">
        <f aca="false">IF(INDEX(MASTER_DATABASE!$A$4:$A$1000,ROW()-3)="","",INDEX(MASTER_DATABASE!$BG$4:$BG$1000,ROW()-3)&amp;"")</f>
        <v>Check Documents</v>
      </c>
    </row>
    <row r="149" customFormat="false" ht="91" hidden="false" customHeight="false" outlineLevel="0" collapsed="false">
      <c r="A149" s="11" t="str">
        <f aca="false">IF(INDEX(MASTER_DATABASE!$A$4:$A$1000,ROW()-3)="","",INDEX(MASTER_DATABASE!$A$4:$A$1000,ROW()-3)&amp;"")</f>
        <v>CSC-041</v>
      </c>
      <c r="B149" s="7" t="str">
        <f aca="false">IF(INDEX(MASTER_DATABASE!$A$4:$A$1000,ROW()-3)="","",INDEX(MASTER_DATABASE!$E$4:$E$1000,ROW()-3)&amp;"")</f>
        <v>CSC e-Store / Grameen e-Store Orders</v>
      </c>
      <c r="C149" s="7" t="str">
        <f aca="false">IF(INDEX(MASTER_DATABASE!$A$4:$A$1000,ROW()-3)="","",INDEX(MASTER_DATABASE!$H$4:$H$1000,ROW()-3)&amp;"")</f>
        <v>CSC e-Store / Grameen e-Store Orders through our Common Service Centre.</v>
      </c>
      <c r="D14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49" s="7" t="str">
        <f aca="false">IF(INDEX(MASTER_DATABASE!$A$4:$A$1000,ROW()-3)="","",INDEX(MASTER_DATABASE!$O$4:$O$1000,ROW()-3)&amp;"")</f>
        <v>As per the relevant scheme / department rules.</v>
      </c>
      <c r="F149" s="7" t="str">
        <f aca="false">IF(INDEX(MASTER_DATABASE!$A$4:$A$1000,ROW()-3)="","",INDEX(MASTER_DATABASE!$M$4:$M$1000,ROW()-3)&amp;"")</f>
        <v>✓ Aadhaar Card
✓ Active Mobile Number</v>
      </c>
      <c r="G149" s="7" t="str">
        <f aca="false">IF(INDEX(MASTER_DATABASE!$A$4:$A$1000,ROW()-3)="","",INDEX(MASTER_DATABASE!$P$4:$P$1000,ROW()-3)&amp;"")</f>
        <v>Step 1 → Bring Aadhaar, mobile number and the documents listed above.
Step 2 → Operator opens the 'CSC e-Store / Grameen e-Store Orders' service on the CSC / government portal.
Step 3 → Your details are filled and verified with you.
Step 4 → Payment / fee (if any) is made.
Step 5 → Collect the receipt or acknowledgement and track the status.</v>
      </c>
      <c r="H14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49" s="7" t="str">
        <f aca="false">IF(INDEX(MASTER_DATABASE!$A$4:$A$1000,ROW()-3)="","",INDEX(MASTER_DATABASE!$Q$4:$Q$1000,ROW()-3)&amp;"")</f>
        <v>Depends on Department</v>
      </c>
      <c r="J149" s="7" t="str">
        <f aca="false">IF(INDEX(MASTER_DATABASE!$A$4:$A$1000,ROW()-3)="","",INDEX(MASTER_DATABASE!$J$4:$J$1000,ROW()-3)&amp;"")</f>
        <v>To Be Confirmed</v>
      </c>
      <c r="K149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49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4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49" s="7" t="str">
        <f aca="false">IF(INDEX(MASTER_DATABASE!$A$4:$A$1000,ROW()-3)="","",INDEX(MASTER_DATABASE!$BG$4:$BG$1000,ROW()-3)&amp;"")</f>
        <v>Check Documents</v>
      </c>
    </row>
    <row r="150" customFormat="false" ht="91" hidden="false" customHeight="false" outlineLevel="0" collapsed="false">
      <c r="A150" s="11" t="str">
        <f aca="false">IF(INDEX(MASTER_DATABASE!$A$4:$A$1000,ROW()-3)="","",INDEX(MASTER_DATABASE!$A$4:$A$1000,ROW()-3)&amp;"")</f>
        <v>CSC-042</v>
      </c>
      <c r="B150" s="7" t="str">
        <f aca="false">IF(INDEX(MASTER_DATABASE!$A$4:$A$1000,ROW()-3)="","",INDEX(MASTER_DATABASE!$E$4:$E$1000,ROW()-3)&amp;"")</f>
        <v>Udyam (MSME) Registration</v>
      </c>
      <c r="C150" s="7" t="str">
        <f aca="false">IF(INDEX(MASTER_DATABASE!$A$4:$A$1000,ROW()-3)="","",INDEX(MASTER_DATABASE!$H$4:$H$1000,ROW()-3)&amp;"")</f>
        <v>Udyam (MSME) Registration through our Common Service Centre.</v>
      </c>
      <c r="D15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0" s="7" t="str">
        <f aca="false">IF(INDEX(MASTER_DATABASE!$A$4:$A$1000,ROW()-3)="","",INDEX(MASTER_DATABASE!$O$4:$O$1000,ROW()-3)&amp;"")</f>
        <v>As per the relevant scheme / department rules.</v>
      </c>
      <c r="F150" s="7" t="str">
        <f aca="false">IF(INDEX(MASTER_DATABASE!$A$4:$A$1000,ROW()-3)="","",INDEX(MASTER_DATABASE!$M$4:$M$1000,ROW()-3)&amp;"")</f>
        <v>✓ Aadhaar Card
✓ Active Mobile Number
✓ PAN Card
✓ Business Details</v>
      </c>
      <c r="G150" s="7" t="str">
        <f aca="false">IF(INDEX(MASTER_DATABASE!$A$4:$A$1000,ROW()-3)="","",INDEX(MASTER_DATABASE!$P$4:$P$1000,ROW()-3)&amp;"")</f>
        <v>Step 1 → Bring Aadhaar, mobile number and the documents listed above.
Step 2 → Operator opens the 'Udyam (MSME) Registration' service on the CSC / government portal.
Step 3 → Your details are filled and verified with you.
Step 4 → Payment / fee (if any) is made.
Step 5 → Collect the receipt or acknowledgement and track the status.</v>
      </c>
      <c r="H15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0" s="7" t="str">
        <f aca="false">IF(INDEX(MASTER_DATABASE!$A$4:$A$1000,ROW()-3)="","",INDEX(MASTER_DATABASE!$Q$4:$Q$1000,ROW()-3)&amp;"")</f>
        <v>Depends on Department</v>
      </c>
      <c r="J150" s="7" t="str">
        <f aca="false">IF(INDEX(MASTER_DATABASE!$A$4:$A$1000,ROW()-3)="","",INDEX(MASTER_DATABASE!$J$4:$J$1000,ROW()-3)&amp;"")</f>
        <v>Depends on Portal – Confirm at Shop</v>
      </c>
      <c r="K150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0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0" s="7" t="str">
        <f aca="false">IF(INDEX(MASTER_DATABASE!$A$4:$A$1000,ROW()-3)="","",INDEX(MASTER_DATABASE!$BG$4:$BG$1000,ROW()-3)&amp;"")</f>
        <v>Check Documents</v>
      </c>
    </row>
    <row r="151" customFormat="false" ht="91" hidden="false" customHeight="false" outlineLevel="0" collapsed="false">
      <c r="A151" s="11" t="str">
        <f aca="false">IF(INDEX(MASTER_DATABASE!$A$4:$A$1000,ROW()-3)="","",INDEX(MASTER_DATABASE!$A$4:$A$1000,ROW()-3)&amp;"")</f>
        <v>CSC-043</v>
      </c>
      <c r="B151" s="7" t="str">
        <f aca="false">IF(INDEX(MASTER_DATABASE!$A$4:$A$1000,ROW()-3)="","",INDEX(MASTER_DATABASE!$E$4:$E$1000,ROW()-3)&amp;"")</f>
        <v>GST Registration Assistance</v>
      </c>
      <c r="C151" s="7" t="str">
        <f aca="false">IF(INDEX(MASTER_DATABASE!$A$4:$A$1000,ROW()-3)="","",INDEX(MASTER_DATABASE!$H$4:$H$1000,ROW()-3)&amp;"")</f>
        <v>GST Registration Assistance through our Common Service Centre.</v>
      </c>
      <c r="D15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1" s="7" t="str">
        <f aca="false">IF(INDEX(MASTER_DATABASE!$A$4:$A$1000,ROW()-3)="","",INDEX(MASTER_DATABASE!$O$4:$O$1000,ROW()-3)&amp;"")</f>
        <v>As per the relevant scheme / department rules.</v>
      </c>
      <c r="F151" s="7" t="str">
        <f aca="false">IF(INDEX(MASTER_DATABASE!$A$4:$A$1000,ROW()-3)="","",INDEX(MASTER_DATABASE!$M$4:$M$1000,ROW()-3)&amp;"")</f>
        <v>✓ Aadhaar Card
✓ Active Mobile Number
✓ PAN Card
✓ Business Details
✓ Address Proof
✓ Passport Photo</v>
      </c>
      <c r="G151" s="7" t="str">
        <f aca="false">IF(INDEX(MASTER_DATABASE!$A$4:$A$1000,ROW()-3)="","",INDEX(MASTER_DATABASE!$P$4:$P$1000,ROW()-3)&amp;"")</f>
        <v>Step 1 → Bring Aadhaar, mobile number and the documents listed above.
Step 2 → Operator opens the 'GST Registration Assistance' service on the CSC / government portal.
Step 3 → Your details are filled and verified with you.
Step 4 → Payment / fee (if any) is made.
Step 5 → Collect the receipt or acknowledgement and track the status.</v>
      </c>
      <c r="H15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1" s="7" t="str">
        <f aca="false">IF(INDEX(MASTER_DATABASE!$A$4:$A$1000,ROW()-3)="","",INDEX(MASTER_DATABASE!$Q$4:$Q$1000,ROW()-3)&amp;"")</f>
        <v>Depends on Department</v>
      </c>
      <c r="J151" s="7" t="str">
        <f aca="false">IF(INDEX(MASTER_DATABASE!$A$4:$A$1000,ROW()-3)="","",INDEX(MASTER_DATABASE!$J$4:$J$1000,ROW()-3)&amp;"")</f>
        <v>Depends on Portal – Confirm at Shop</v>
      </c>
      <c r="K151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1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1" s="7" t="str">
        <f aca="false">IF(INDEX(MASTER_DATABASE!$A$4:$A$1000,ROW()-3)="","",INDEX(MASTER_DATABASE!$BG$4:$BG$1000,ROW()-3)&amp;"")</f>
        <v>Check Documents</v>
      </c>
    </row>
    <row r="152" customFormat="false" ht="91" hidden="false" customHeight="false" outlineLevel="0" collapsed="false">
      <c r="A152" s="11" t="str">
        <f aca="false">IF(INDEX(MASTER_DATABASE!$A$4:$A$1000,ROW()-3)="","",INDEX(MASTER_DATABASE!$A$4:$A$1000,ROW()-3)&amp;"")</f>
        <v>CSC-044</v>
      </c>
      <c r="B152" s="7" t="str">
        <f aca="false">IF(INDEX(MASTER_DATABASE!$A$4:$A$1000,ROW()-3)="","",INDEX(MASTER_DATABASE!$E$4:$E$1000,ROW()-3)&amp;"")</f>
        <v>GST Return Filing Assistance</v>
      </c>
      <c r="C152" s="7" t="str">
        <f aca="false">IF(INDEX(MASTER_DATABASE!$A$4:$A$1000,ROW()-3)="","",INDEX(MASTER_DATABASE!$H$4:$H$1000,ROW()-3)&amp;"")</f>
        <v>GST Return Filing Assistance through our Common Service Centre.</v>
      </c>
      <c r="D15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2" s="7" t="str">
        <f aca="false">IF(INDEX(MASTER_DATABASE!$A$4:$A$1000,ROW()-3)="","",INDEX(MASTER_DATABASE!$O$4:$O$1000,ROW()-3)&amp;"")</f>
        <v>As per the relevant scheme / department rules.</v>
      </c>
      <c r="F152" s="7" t="str">
        <f aca="false">IF(INDEX(MASTER_DATABASE!$A$4:$A$1000,ROW()-3)="","",INDEX(MASTER_DATABASE!$M$4:$M$1000,ROW()-3)&amp;"")</f>
        <v>✓ Aadhaar Card
✓ Active Mobile Number
✓ PAN Card
✓ Business Details
✓ Address Proof
✓ Passport Photo</v>
      </c>
      <c r="G152" s="7" t="str">
        <f aca="false">IF(INDEX(MASTER_DATABASE!$A$4:$A$1000,ROW()-3)="","",INDEX(MASTER_DATABASE!$P$4:$P$1000,ROW()-3)&amp;"")</f>
        <v>Step 1 → Bring Aadhaar, mobile number and the documents listed above.
Step 2 → Operator opens the 'GST Return Filing Assistance' service on the CSC / government portal.
Step 3 → Your details are filled and verified with you.
Step 4 → Payment / fee (if any) is made.
Step 5 → Collect the receipt or acknowledgement and track the status.</v>
      </c>
      <c r="H15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2" s="7" t="str">
        <f aca="false">IF(INDEX(MASTER_DATABASE!$A$4:$A$1000,ROW()-3)="","",INDEX(MASTER_DATABASE!$Q$4:$Q$1000,ROW()-3)&amp;"")</f>
        <v>Depends on Department</v>
      </c>
      <c r="J152" s="7" t="str">
        <f aca="false">IF(INDEX(MASTER_DATABASE!$A$4:$A$1000,ROW()-3)="","",INDEX(MASTER_DATABASE!$J$4:$J$1000,ROW()-3)&amp;"")</f>
        <v>Depends on Portal – Confirm at Shop</v>
      </c>
      <c r="K152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2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2" s="7" t="str">
        <f aca="false">IF(INDEX(MASTER_DATABASE!$A$4:$A$1000,ROW()-3)="","",INDEX(MASTER_DATABASE!$BG$4:$BG$1000,ROW()-3)&amp;"")</f>
        <v>Check Documents</v>
      </c>
    </row>
    <row r="153" customFormat="false" ht="91" hidden="false" customHeight="false" outlineLevel="0" collapsed="false">
      <c r="A153" s="11" t="str">
        <f aca="false">IF(INDEX(MASTER_DATABASE!$A$4:$A$1000,ROW()-3)="","",INDEX(MASTER_DATABASE!$A$4:$A$1000,ROW()-3)&amp;"")</f>
        <v>CSC-045</v>
      </c>
      <c r="B153" s="7" t="str">
        <f aca="false">IF(INDEX(MASTER_DATABASE!$A$4:$A$1000,ROW()-3)="","",INDEX(MASTER_DATABASE!$E$4:$E$1000,ROW()-3)&amp;"")</f>
        <v>FSSAI Registration / Licence Assistance</v>
      </c>
      <c r="C153" s="7" t="str">
        <f aca="false">IF(INDEX(MASTER_DATABASE!$A$4:$A$1000,ROW()-3)="","",INDEX(MASTER_DATABASE!$H$4:$H$1000,ROW()-3)&amp;"")</f>
        <v>FSSAI Registration / Licence Assistance through our Common Service Centre.</v>
      </c>
      <c r="D15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3" s="7" t="str">
        <f aca="false">IF(INDEX(MASTER_DATABASE!$A$4:$A$1000,ROW()-3)="","",INDEX(MASTER_DATABASE!$O$4:$O$1000,ROW()-3)&amp;"")</f>
        <v>As per the relevant scheme / department rules.</v>
      </c>
      <c r="F153" s="7" t="str">
        <f aca="false">IF(INDEX(MASTER_DATABASE!$A$4:$A$1000,ROW()-3)="","",INDEX(MASTER_DATABASE!$M$4:$M$1000,ROW()-3)&amp;"")</f>
        <v>✓ Aadhaar Card
✓ Active Mobile Number
✓ PAN Card
✓ Business Details
✓ Address Proof
✓ Passport Photo</v>
      </c>
      <c r="G153" s="7" t="str">
        <f aca="false">IF(INDEX(MASTER_DATABASE!$A$4:$A$1000,ROW()-3)="","",INDEX(MASTER_DATABASE!$P$4:$P$1000,ROW()-3)&amp;"")</f>
        <v>Step 1 → Bring Aadhaar, mobile number and the documents listed above.
Step 2 → Operator opens the 'FSSAI Registration / Licence Assistance' service on the CSC / government portal.
Step 3 → Your details are filled and verified with you.
Step 4 → Payment / fee (if any) is made.
Step 5 → Collect the receipt or acknowledgement and track the status.</v>
      </c>
      <c r="H15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3" s="7" t="str">
        <f aca="false">IF(INDEX(MASTER_DATABASE!$A$4:$A$1000,ROW()-3)="","",INDEX(MASTER_DATABASE!$Q$4:$Q$1000,ROW()-3)&amp;"")</f>
        <v>Depends on Department</v>
      </c>
      <c r="J153" s="7" t="str">
        <f aca="false">IF(INDEX(MASTER_DATABASE!$A$4:$A$1000,ROW()-3)="","",INDEX(MASTER_DATABASE!$J$4:$J$1000,ROW()-3)&amp;"")</f>
        <v>Depends on Portal – Confirm at Shop</v>
      </c>
      <c r="K153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3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3" s="7" t="str">
        <f aca="false">IF(INDEX(MASTER_DATABASE!$A$4:$A$1000,ROW()-3)="","",INDEX(MASTER_DATABASE!$BG$4:$BG$1000,ROW()-3)&amp;"")</f>
        <v>Check Documents</v>
      </c>
    </row>
    <row r="154" customFormat="false" ht="91" hidden="false" customHeight="false" outlineLevel="0" collapsed="false">
      <c r="A154" s="11" t="str">
        <f aca="false">IF(INDEX(MASTER_DATABASE!$A$4:$A$1000,ROW()-3)="","",INDEX(MASTER_DATABASE!$A$4:$A$1000,ROW()-3)&amp;"")</f>
        <v>CSC-046</v>
      </c>
      <c r="B154" s="7" t="str">
        <f aca="false">IF(INDEX(MASTER_DATABASE!$A$4:$A$1000,ROW()-3)="","",INDEX(MASTER_DATABASE!$E$4:$E$1000,ROW()-3)&amp;"")</f>
        <v>Income Tax Return (ITR) Filing Assistance</v>
      </c>
      <c r="C154" s="7" t="str">
        <f aca="false">IF(INDEX(MASTER_DATABASE!$A$4:$A$1000,ROW()-3)="","",INDEX(MASTER_DATABASE!$H$4:$H$1000,ROW()-3)&amp;"")</f>
        <v>Income Tax Return (ITR) Filing Assistance through our Common Service Centre.</v>
      </c>
      <c r="D15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4" s="7" t="str">
        <f aca="false">IF(INDEX(MASTER_DATABASE!$A$4:$A$1000,ROW()-3)="","",INDEX(MASTER_DATABASE!$O$4:$O$1000,ROW()-3)&amp;"")</f>
        <v>As per the relevant scheme / department rules.</v>
      </c>
      <c r="F154" s="7" t="str">
        <f aca="false">IF(INDEX(MASTER_DATABASE!$A$4:$A$1000,ROW()-3)="","",INDEX(MASTER_DATABASE!$M$4:$M$1000,ROW()-3)&amp;"")</f>
        <v>✓ Aadhaar Card
✓ Active Mobile Number
✓ PAN Card
✓ Bank Passbook</v>
      </c>
      <c r="G154" s="7" t="str">
        <f aca="false">IF(INDEX(MASTER_DATABASE!$A$4:$A$1000,ROW()-3)="","",INDEX(MASTER_DATABASE!$P$4:$P$1000,ROW()-3)&amp;"")</f>
        <v>Step 1 → Bring Aadhaar, mobile number and the documents listed above.
Step 2 → Operator opens the 'Income Tax Return (ITR) Filing Assistance' service on the CSC / government portal.
Step 3 → Your details are filled and verified with you.
Step 4 → Payment / fee (if any) is made.
Step 5 → Collect the receipt or acknowledgement and track the status.</v>
      </c>
      <c r="H15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4" s="7" t="str">
        <f aca="false">IF(INDEX(MASTER_DATABASE!$A$4:$A$1000,ROW()-3)="","",INDEX(MASTER_DATABASE!$Q$4:$Q$1000,ROW()-3)&amp;"")</f>
        <v>Depends on Department</v>
      </c>
      <c r="J154" s="7" t="str">
        <f aca="false">IF(INDEX(MASTER_DATABASE!$A$4:$A$1000,ROW()-3)="","",INDEX(MASTER_DATABASE!$J$4:$J$1000,ROW()-3)&amp;"")</f>
        <v>Depends on Portal – Confirm at Shop</v>
      </c>
      <c r="K154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4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4" s="7" t="str">
        <f aca="false">IF(INDEX(MASTER_DATABASE!$A$4:$A$1000,ROW()-3)="","",INDEX(MASTER_DATABASE!$BG$4:$BG$1000,ROW()-3)&amp;"")</f>
        <v>Check Documents</v>
      </c>
    </row>
    <row r="155" customFormat="false" ht="91" hidden="false" customHeight="false" outlineLevel="0" collapsed="false">
      <c r="A155" s="11" t="str">
        <f aca="false">IF(INDEX(MASTER_DATABASE!$A$4:$A$1000,ROW()-3)="","",INDEX(MASTER_DATABASE!$A$4:$A$1000,ROW()-3)&amp;"")</f>
        <v>CSC-047</v>
      </c>
      <c r="B155" s="7" t="str">
        <f aca="false">IF(INDEX(MASTER_DATABASE!$A$4:$A$1000,ROW()-3)="","",INDEX(MASTER_DATABASE!$E$4:$E$1000,ROW()-3)&amp;"")</f>
        <v>Shop &amp; Establishment Registration Assistance</v>
      </c>
      <c r="C155" s="7" t="str">
        <f aca="false">IF(INDEX(MASTER_DATABASE!$A$4:$A$1000,ROW()-3)="","",INDEX(MASTER_DATABASE!$H$4:$H$1000,ROW()-3)&amp;"")</f>
        <v>Shop &amp; Establishment Registration Assistance through our Common Service Centre.</v>
      </c>
      <c r="D15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5" s="7" t="str">
        <f aca="false">IF(INDEX(MASTER_DATABASE!$A$4:$A$1000,ROW()-3)="","",INDEX(MASTER_DATABASE!$O$4:$O$1000,ROW()-3)&amp;"")</f>
        <v>As per the relevant scheme / department rules.</v>
      </c>
      <c r="F155" s="7" t="str">
        <f aca="false">IF(INDEX(MASTER_DATABASE!$A$4:$A$1000,ROW()-3)="","",INDEX(MASTER_DATABASE!$M$4:$M$1000,ROW()-3)&amp;"")</f>
        <v>✓ Aadhaar Card
✓ Active Mobile Number
✓ PAN Card
✓ Business Details
✓ Address Proof
✓ Passport Photo</v>
      </c>
      <c r="G155" s="7" t="str">
        <f aca="false">IF(INDEX(MASTER_DATABASE!$A$4:$A$1000,ROW()-3)="","",INDEX(MASTER_DATABASE!$P$4:$P$1000,ROW()-3)&amp;"")</f>
        <v>Step 1 → Bring Aadhaar, mobile number and the documents listed above.
Step 2 → Operator opens the 'Shop &amp; Establishment Registration Assistance' service on the CSC / government portal.
Step 3 → Your details are filled and verified with you.
Step 4 → Payment / fee (if any) is made.
Step 5 → Collect the receipt or acknowledgement and track the status.</v>
      </c>
      <c r="H15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5" s="7" t="str">
        <f aca="false">IF(INDEX(MASTER_DATABASE!$A$4:$A$1000,ROW()-3)="","",INDEX(MASTER_DATABASE!$Q$4:$Q$1000,ROW()-3)&amp;"")</f>
        <v>Depends on Department</v>
      </c>
      <c r="J155" s="7" t="str">
        <f aca="false">IF(INDEX(MASTER_DATABASE!$A$4:$A$1000,ROW()-3)="","",INDEX(MASTER_DATABASE!$J$4:$J$1000,ROW()-3)&amp;"")</f>
        <v>To Be Confirmed</v>
      </c>
      <c r="K155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5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5" s="7" t="str">
        <f aca="false">IF(INDEX(MASTER_DATABASE!$A$4:$A$1000,ROW()-3)="","",INDEX(MASTER_DATABASE!$BG$4:$BG$1000,ROW()-3)&amp;"")</f>
        <v>Check Documents</v>
      </c>
    </row>
    <row r="156" customFormat="false" ht="91" hidden="false" customHeight="false" outlineLevel="0" collapsed="false">
      <c r="A156" s="11" t="str">
        <f aca="false">IF(INDEX(MASTER_DATABASE!$A$4:$A$1000,ROW()-3)="","",INDEX(MASTER_DATABASE!$A$4:$A$1000,ROW()-3)&amp;"")</f>
        <v>CSC-048</v>
      </c>
      <c r="B156" s="7" t="str">
        <f aca="false">IF(INDEX(MASTER_DATABASE!$A$4:$A$1000,ROW()-3)="","",INDEX(MASTER_DATABASE!$E$4:$E$1000,ROW()-3)&amp;"")</f>
        <v>Labour (Construction Worker) Registration Assistance</v>
      </c>
      <c r="C156" s="7" t="str">
        <f aca="false">IF(INDEX(MASTER_DATABASE!$A$4:$A$1000,ROW()-3)="","",INDEX(MASTER_DATABASE!$H$4:$H$1000,ROW()-3)&amp;"")</f>
        <v>Labour (Construction Worker) Registration Assistance through our Common Service Centre.</v>
      </c>
      <c r="D15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6" s="7" t="str">
        <f aca="false">IF(INDEX(MASTER_DATABASE!$A$4:$A$1000,ROW()-3)="","",INDEX(MASTER_DATABASE!$O$4:$O$1000,ROW()-3)&amp;"")</f>
        <v>As per the relevant scheme / department rules.</v>
      </c>
      <c r="F156" s="7" t="str">
        <f aca="false">IF(INDEX(MASTER_DATABASE!$A$4:$A$1000,ROW()-3)="","",INDEX(MASTER_DATABASE!$M$4:$M$1000,ROW()-3)&amp;"")</f>
        <v>✓ Aadhaar Card
✓ Active Mobile Number</v>
      </c>
      <c r="G156" s="7" t="str">
        <f aca="false">IF(INDEX(MASTER_DATABASE!$A$4:$A$1000,ROW()-3)="","",INDEX(MASTER_DATABASE!$P$4:$P$1000,ROW()-3)&amp;"")</f>
        <v>Step 1 → Bring Aadhaar, mobile number and the documents listed above.
Step 2 → Operator opens the 'Labour (Construction Worker) Registration Assistance' service on the CSC / government portal.
Step 3 → Your details are filled and verified with you.
Step 4 → Payment / fee (if any) is made.
Step 5 → Collect the receipt or acknowledgement and track the status.</v>
      </c>
      <c r="H15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6" s="7" t="str">
        <f aca="false">IF(INDEX(MASTER_DATABASE!$A$4:$A$1000,ROW()-3)="","",INDEX(MASTER_DATABASE!$Q$4:$Q$1000,ROW()-3)&amp;"")</f>
        <v>Depends on Department</v>
      </c>
      <c r="J156" s="7" t="str">
        <f aca="false">IF(INDEX(MASTER_DATABASE!$A$4:$A$1000,ROW()-3)="","",INDEX(MASTER_DATABASE!$J$4:$J$1000,ROW()-3)&amp;"")</f>
        <v>To Be Confirmed</v>
      </c>
      <c r="K156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6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6" s="7" t="str">
        <f aca="false">IF(INDEX(MASTER_DATABASE!$A$4:$A$1000,ROW()-3)="","",INDEX(MASTER_DATABASE!$BG$4:$BG$1000,ROW()-3)&amp;"")</f>
        <v>Check Documents</v>
      </c>
    </row>
    <row r="157" customFormat="false" ht="91" hidden="false" customHeight="false" outlineLevel="0" collapsed="false">
      <c r="A157" s="11" t="str">
        <f aca="false">IF(INDEX(MASTER_DATABASE!$A$4:$A$1000,ROW()-3)="","",INDEX(MASTER_DATABASE!$A$4:$A$1000,ROW()-3)&amp;"")</f>
        <v>CSC-049</v>
      </c>
      <c r="B157" s="7" t="str">
        <f aca="false">IF(INDEX(MASTER_DATABASE!$A$4:$A$1000,ROW()-3)="","",INDEX(MASTER_DATABASE!$E$4:$E$1000,ROW()-3)&amp;"")</f>
        <v>Academic Bank of Credits (ABC) / APAAR ID Assistance</v>
      </c>
      <c r="C157" s="7" t="str">
        <f aca="false">IF(INDEX(MASTER_DATABASE!$A$4:$A$1000,ROW()-3)="","",INDEX(MASTER_DATABASE!$H$4:$H$1000,ROW()-3)&amp;"")</f>
        <v>Academic Bank of Credits (ABC) / APAAR ID Assistance through our Common Service Centre.</v>
      </c>
      <c r="D15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7" s="7" t="str">
        <f aca="false">IF(INDEX(MASTER_DATABASE!$A$4:$A$1000,ROW()-3)="","",INDEX(MASTER_DATABASE!$O$4:$O$1000,ROW()-3)&amp;"")</f>
        <v>As per the relevant scheme / department rules.</v>
      </c>
      <c r="F157" s="7" t="str">
        <f aca="false">IF(INDEX(MASTER_DATABASE!$A$4:$A$1000,ROW()-3)="","",INDEX(MASTER_DATABASE!$M$4:$M$1000,ROW()-3)&amp;"")</f>
        <v>✓ Aadhaar Card
✓ Active Mobile Number</v>
      </c>
      <c r="G157" s="7" t="str">
        <f aca="false">IF(INDEX(MASTER_DATABASE!$A$4:$A$1000,ROW()-3)="","",INDEX(MASTER_DATABASE!$P$4:$P$1000,ROW()-3)&amp;"")</f>
        <v>Step 1 → Bring Aadhaar, mobile number and the documents listed above.
Step 2 → Operator opens the 'Academic Bank of Credits (ABC) / APAAR ID Assistance' service on the CSC / government portal.
Step 3 → Your details are filled and verified with you.
Step 4 → Payment / fee (if any) is made.
Step 5 → Collect the receipt or acknowledgement and track the status.</v>
      </c>
      <c r="H15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7" s="7" t="str">
        <f aca="false">IF(INDEX(MASTER_DATABASE!$A$4:$A$1000,ROW()-3)="","",INDEX(MASTER_DATABASE!$Q$4:$Q$1000,ROW()-3)&amp;"")</f>
        <v>Depends on Department</v>
      </c>
      <c r="J157" s="7" t="str">
        <f aca="false">IF(INDEX(MASTER_DATABASE!$A$4:$A$1000,ROW()-3)="","",INDEX(MASTER_DATABASE!$J$4:$J$1000,ROW()-3)&amp;"")</f>
        <v>To Be Confirmed</v>
      </c>
      <c r="K157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7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7" s="7" t="str">
        <f aca="false">IF(INDEX(MASTER_DATABASE!$A$4:$A$1000,ROW()-3)="","",INDEX(MASTER_DATABASE!$BG$4:$BG$1000,ROW()-3)&amp;"")</f>
        <v>Check Documents</v>
      </c>
    </row>
    <row r="158" customFormat="false" ht="91" hidden="false" customHeight="false" outlineLevel="0" collapsed="false">
      <c r="A158" s="11" t="str">
        <f aca="false">IF(INDEX(MASTER_DATABASE!$A$4:$A$1000,ROW()-3)="","",INDEX(MASTER_DATABASE!$A$4:$A$1000,ROW()-3)&amp;"")</f>
        <v>CSC-050</v>
      </c>
      <c r="B158" s="7" t="str">
        <f aca="false">IF(INDEX(MASTER_DATABASE!$A$4:$A$1000,ROW()-3)="","",INDEX(MASTER_DATABASE!$E$4:$E$1000,ROW()-3)&amp;"")</f>
        <v>Document Attestation / Apostille Assistance</v>
      </c>
      <c r="C158" s="7" t="str">
        <f aca="false">IF(INDEX(MASTER_DATABASE!$A$4:$A$1000,ROW()-3)="","",INDEX(MASTER_DATABASE!$H$4:$H$1000,ROW()-3)&amp;"")</f>
        <v>Document Attestation / Apostille Assistance through our Common Service Centre.</v>
      </c>
      <c r="D15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8" s="7" t="str">
        <f aca="false">IF(INDEX(MASTER_DATABASE!$A$4:$A$1000,ROW()-3)="","",INDEX(MASTER_DATABASE!$O$4:$O$1000,ROW()-3)&amp;"")</f>
        <v>As per the relevant scheme / department rules.</v>
      </c>
      <c r="F158" s="7" t="str">
        <f aca="false">IF(INDEX(MASTER_DATABASE!$A$4:$A$1000,ROW()-3)="","",INDEX(MASTER_DATABASE!$M$4:$M$1000,ROW()-3)&amp;"")</f>
        <v>✓ Aadhaar Card
✓ Active Mobile Number</v>
      </c>
      <c r="G158" s="7" t="str">
        <f aca="false">IF(INDEX(MASTER_DATABASE!$A$4:$A$1000,ROW()-3)="","",INDEX(MASTER_DATABASE!$P$4:$P$1000,ROW()-3)&amp;"")</f>
        <v>Step 1 → Bring Aadhaar, mobile number and the documents listed above.
Step 2 → Operator opens the 'Document Attestation / Apostille Assistance' service on the CSC / government portal.
Step 3 → Your details are filled and verified with you.
Step 4 → Payment / fee (if any) is made.
Step 5 → Collect the receipt or acknowledgement and track the status.</v>
      </c>
      <c r="H15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8" s="7" t="str">
        <f aca="false">IF(INDEX(MASTER_DATABASE!$A$4:$A$1000,ROW()-3)="","",INDEX(MASTER_DATABASE!$Q$4:$Q$1000,ROW()-3)&amp;"")</f>
        <v>Depends on Department</v>
      </c>
      <c r="J158" s="7" t="str">
        <f aca="false">IF(INDEX(MASTER_DATABASE!$A$4:$A$1000,ROW()-3)="","",INDEX(MASTER_DATABASE!$J$4:$J$1000,ROW()-3)&amp;"")</f>
        <v>To Be Confirmed</v>
      </c>
      <c r="K158" s="7" t="str">
        <f aca="false">IF(INDEX(MASTER_DATABASE!$A$4:$A$1000,ROW()-3)="","",INDEX(MASTER_DATABASE!$AS$4:$AS$1000,ROW()-3)&amp;"")</f>
        <v>Depends on your CSC ID service activation / portal. Confirm with the shop before visiting.</v>
      </c>
      <c r="L158" s="7" t="str">
        <f aca="false">IF(INDEX(MASTER_DATABASE!$A$4:$A$1000,ROW()-3)="","",INDEX(MASTER_DATABASE!$AR$4:$AR$1000,ROW()-3)&amp;"")</f>
        <v>Q1: Is this service available at every CSC?
A1: Not always. It depends on the CSC ID activation and portal. Please confirm with the shop.</v>
      </c>
      <c r="M15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8" s="7" t="str">
        <f aca="false">IF(INDEX(MASTER_DATABASE!$A$4:$A$1000,ROW()-3)="","",INDEX(MASTER_DATABASE!$BG$4:$BG$1000,ROW()-3)&amp;"")</f>
        <v>Check Documents</v>
      </c>
    </row>
    <row r="159" customFormat="false" ht="46.25" hidden="false" customHeight="false" outlineLevel="0" collapsed="false">
      <c r="A159" s="11" t="str">
        <f aca="false">IF(INDEX(MASTER_DATABASE!$A$4:$A$1000,ROW()-3)="","",INDEX(MASTER_DATABASE!$A$4:$A$1000,ROW()-3)&amp;"")</f>
        <v>MOB-001</v>
      </c>
      <c r="B159" s="7" t="str">
        <f aca="false">IF(INDEX(MASTER_DATABASE!$A$4:$A$1000,ROW()-3)="","",INDEX(MASTER_DATABASE!$E$4:$E$1000,ROW()-3)&amp;"")</f>
        <v>New Mobile Phone Sales (Smartphone)</v>
      </c>
      <c r="C159" s="7" t="str">
        <f aca="false">IF(INDEX(MASTER_DATABASE!$A$4:$A$1000,ROW()-3)="","",INDEX(MASTER_DATABASE!$H$4:$H$1000,ROW()-3)&amp;"")</f>
        <v>New Mobile Phone Sales (Smartphone) at our mobile store.</v>
      </c>
      <c r="D15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59" s="7" t="str">
        <f aca="false">IF(INDEX(MASTER_DATABASE!$A$4:$A$1000,ROW()-3)="","",INDEX(MASTER_DATABASE!$O$4:$O$1000,ROW()-3)&amp;"")</f>
        <v>Any customer.</v>
      </c>
      <c r="F159" s="7" t="str">
        <f aca="false">IF(INDEX(MASTER_DATABASE!$A$4:$A$1000,ROW()-3)="","",INDEX(MASTER_DATABASE!$M$4:$M$1000,ROW()-3)&amp;"")</f>
        <v/>
      </c>
      <c r="G159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5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59" s="7" t="str">
        <f aca="false">IF(INDEX(MASTER_DATABASE!$A$4:$A$1000,ROW()-3)="","",INDEX(MASTER_DATABASE!$Q$4:$Q$1000,ROW()-3)&amp;"")</f>
        <v>5–10 Minutes</v>
      </c>
      <c r="J159" s="7" t="str">
        <f aca="false">IF(INDEX(MASTER_DATABASE!$A$4:$A$1000,ROW()-3)="","",INDEX(MASTER_DATABASE!$J$4:$J$1000,ROW()-3)&amp;"")</f>
        <v>Available</v>
      </c>
      <c r="K159" s="7" t="str">
        <f aca="false">IF(INDEX(MASTER_DATABASE!$A$4:$A$1000,ROW()-3)="","",INDEX(MASTER_DATABASE!$AS$4:$AS$1000,ROW()-3)&amp;"")</f>
        <v/>
      </c>
      <c r="L159" s="7" t="str">
        <f aca="false">IF(INDEX(MASTER_DATABASE!$A$4:$A$1000,ROW()-3)="","",INDEX(MASTER_DATABASE!$AR$4:$AR$1000,ROW()-3)&amp;"")</f>
        <v>Q1: Is the price fixed?
A1: Prices vary by brand and model. Please ask at the counter.</v>
      </c>
      <c r="M15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59" s="7" t="str">
        <f aca="false">IF(INDEX(MASTER_DATABASE!$A$4:$A$1000,ROW()-3)="","",INDEX(MASTER_DATABASE!$BG$4:$BG$1000,ROW()-3)&amp;"")</f>
        <v>Get Quote</v>
      </c>
    </row>
    <row r="160" customFormat="false" ht="46.25" hidden="false" customHeight="false" outlineLevel="0" collapsed="false">
      <c r="A160" s="11" t="str">
        <f aca="false">IF(INDEX(MASTER_DATABASE!$A$4:$A$1000,ROW()-3)="","",INDEX(MASTER_DATABASE!$A$4:$A$1000,ROW()-3)&amp;"")</f>
        <v>MOB-002</v>
      </c>
      <c r="B160" s="7" t="str">
        <f aca="false">IF(INDEX(MASTER_DATABASE!$A$4:$A$1000,ROW()-3)="","",INDEX(MASTER_DATABASE!$E$4:$E$1000,ROW()-3)&amp;"")</f>
        <v>Keypad / Feature Phone Sales</v>
      </c>
      <c r="C160" s="7" t="str">
        <f aca="false">IF(INDEX(MASTER_DATABASE!$A$4:$A$1000,ROW()-3)="","",INDEX(MASTER_DATABASE!$H$4:$H$1000,ROW()-3)&amp;"")</f>
        <v>Keypad / Feature Phone Sales at our mobile store.</v>
      </c>
      <c r="D16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0" s="7" t="str">
        <f aca="false">IF(INDEX(MASTER_DATABASE!$A$4:$A$1000,ROW()-3)="","",INDEX(MASTER_DATABASE!$O$4:$O$1000,ROW()-3)&amp;"")</f>
        <v>Any customer.</v>
      </c>
      <c r="F160" s="7" t="str">
        <f aca="false">IF(INDEX(MASTER_DATABASE!$A$4:$A$1000,ROW()-3)="","",INDEX(MASTER_DATABASE!$M$4:$M$1000,ROW()-3)&amp;"")</f>
        <v/>
      </c>
      <c r="G160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0" s="7" t="str">
        <f aca="false">IF(INDEX(MASTER_DATABASE!$A$4:$A$1000,ROW()-3)="","",INDEX(MASTER_DATABASE!$Q$4:$Q$1000,ROW()-3)&amp;"")</f>
        <v>5–10 Minutes</v>
      </c>
      <c r="J160" s="7" t="str">
        <f aca="false">IF(INDEX(MASTER_DATABASE!$A$4:$A$1000,ROW()-3)="","",INDEX(MASTER_DATABASE!$J$4:$J$1000,ROW()-3)&amp;"")</f>
        <v>To Be Confirmed</v>
      </c>
      <c r="K160" s="7" t="str">
        <f aca="false">IF(INDEX(MASTER_DATABASE!$A$4:$A$1000,ROW()-3)="","",INDEX(MASTER_DATABASE!$AS$4:$AS$1000,ROW()-3)&amp;"")</f>
        <v>Please confirm availability with the shop before visiting.</v>
      </c>
      <c r="L160" s="7" t="str">
        <f aca="false">IF(INDEX(MASTER_DATABASE!$A$4:$A$1000,ROW()-3)="","",INDEX(MASTER_DATABASE!$AR$4:$AR$1000,ROW()-3)&amp;"")</f>
        <v>Q1: Is the price fixed?
A1: Prices vary by brand and model. Please ask at the counter.</v>
      </c>
      <c r="M16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0" s="7" t="str">
        <f aca="false">IF(INDEX(MASTER_DATABASE!$A$4:$A$1000,ROW()-3)="","",INDEX(MASTER_DATABASE!$BG$4:$BG$1000,ROW()-3)&amp;"")</f>
        <v>Get Quote</v>
      </c>
    </row>
    <row r="161" customFormat="false" ht="46.25" hidden="false" customHeight="false" outlineLevel="0" collapsed="false">
      <c r="A161" s="11" t="str">
        <f aca="false">IF(INDEX(MASTER_DATABASE!$A$4:$A$1000,ROW()-3)="","",INDEX(MASTER_DATABASE!$A$4:$A$1000,ROW()-3)&amp;"")</f>
        <v>MOB-003</v>
      </c>
      <c r="B161" s="7" t="str">
        <f aca="false">IF(INDEX(MASTER_DATABASE!$A$4:$A$1000,ROW()-3)="","",INDEX(MASTER_DATABASE!$E$4:$E$1000,ROW()-3)&amp;"")</f>
        <v>Mobile Charger</v>
      </c>
      <c r="C161" s="7" t="str">
        <f aca="false">IF(INDEX(MASTER_DATABASE!$A$4:$A$1000,ROW()-3)="","",INDEX(MASTER_DATABASE!$H$4:$H$1000,ROW()-3)&amp;"")</f>
        <v>Mobile Charger at our mobile store.</v>
      </c>
      <c r="D16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1" s="7" t="str">
        <f aca="false">IF(INDEX(MASTER_DATABASE!$A$4:$A$1000,ROW()-3)="","",INDEX(MASTER_DATABASE!$O$4:$O$1000,ROW()-3)&amp;"")</f>
        <v>Any customer.</v>
      </c>
      <c r="F161" s="7" t="str">
        <f aca="false">IF(INDEX(MASTER_DATABASE!$A$4:$A$1000,ROW()-3)="","",INDEX(MASTER_DATABASE!$M$4:$M$1000,ROW()-3)&amp;"")</f>
        <v/>
      </c>
      <c r="G161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1" s="7" t="str">
        <f aca="false">IF(INDEX(MASTER_DATABASE!$A$4:$A$1000,ROW()-3)="","",INDEX(MASTER_DATABASE!$Q$4:$Q$1000,ROW()-3)&amp;"")</f>
        <v>5–10 Minutes</v>
      </c>
      <c r="J161" s="7" t="str">
        <f aca="false">IF(INDEX(MASTER_DATABASE!$A$4:$A$1000,ROW()-3)="","",INDEX(MASTER_DATABASE!$J$4:$J$1000,ROW()-3)&amp;"")</f>
        <v>Available</v>
      </c>
      <c r="K161" s="7" t="str">
        <f aca="false">IF(INDEX(MASTER_DATABASE!$A$4:$A$1000,ROW()-3)="","",INDEX(MASTER_DATABASE!$AS$4:$AS$1000,ROW()-3)&amp;"")</f>
        <v/>
      </c>
      <c r="L161" s="7" t="str">
        <f aca="false">IF(INDEX(MASTER_DATABASE!$A$4:$A$1000,ROW()-3)="","",INDEX(MASTER_DATABASE!$AR$4:$AR$1000,ROW()-3)&amp;"")</f>
        <v>Q1: Is the price fixed?
A1: Prices vary by brand and model. Please ask at the counter.</v>
      </c>
      <c r="M16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1" s="7" t="str">
        <f aca="false">IF(INDEX(MASTER_DATABASE!$A$4:$A$1000,ROW()-3)="","",INDEX(MASTER_DATABASE!$BG$4:$BG$1000,ROW()-3)&amp;"")</f>
        <v>Get Quote</v>
      </c>
    </row>
    <row r="162" customFormat="false" ht="46.25" hidden="false" customHeight="false" outlineLevel="0" collapsed="false">
      <c r="A162" s="11" t="str">
        <f aca="false">IF(INDEX(MASTER_DATABASE!$A$4:$A$1000,ROW()-3)="","",INDEX(MASTER_DATABASE!$A$4:$A$1000,ROW()-3)&amp;"")</f>
        <v>MOB-004</v>
      </c>
      <c r="B162" s="7" t="str">
        <f aca="false">IF(INDEX(MASTER_DATABASE!$A$4:$A$1000,ROW()-3)="","",INDEX(MASTER_DATABASE!$E$4:$E$1000,ROW()-3)&amp;"")</f>
        <v>Data Cable</v>
      </c>
      <c r="C162" s="7" t="str">
        <f aca="false">IF(INDEX(MASTER_DATABASE!$A$4:$A$1000,ROW()-3)="","",INDEX(MASTER_DATABASE!$H$4:$H$1000,ROW()-3)&amp;"")</f>
        <v>Data Cable at our mobile store.</v>
      </c>
      <c r="D16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2" s="7" t="str">
        <f aca="false">IF(INDEX(MASTER_DATABASE!$A$4:$A$1000,ROW()-3)="","",INDEX(MASTER_DATABASE!$O$4:$O$1000,ROW()-3)&amp;"")</f>
        <v>Any customer.</v>
      </c>
      <c r="F162" s="7" t="str">
        <f aca="false">IF(INDEX(MASTER_DATABASE!$A$4:$A$1000,ROW()-3)="","",INDEX(MASTER_DATABASE!$M$4:$M$1000,ROW()-3)&amp;"")</f>
        <v/>
      </c>
      <c r="G162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2" s="7" t="str">
        <f aca="false">IF(INDEX(MASTER_DATABASE!$A$4:$A$1000,ROW()-3)="","",INDEX(MASTER_DATABASE!$Q$4:$Q$1000,ROW()-3)&amp;"")</f>
        <v>5–10 Minutes</v>
      </c>
      <c r="J162" s="7" t="str">
        <f aca="false">IF(INDEX(MASTER_DATABASE!$A$4:$A$1000,ROW()-3)="","",INDEX(MASTER_DATABASE!$J$4:$J$1000,ROW()-3)&amp;"")</f>
        <v>Available</v>
      </c>
      <c r="K162" s="7" t="str">
        <f aca="false">IF(INDEX(MASTER_DATABASE!$A$4:$A$1000,ROW()-3)="","",INDEX(MASTER_DATABASE!$AS$4:$AS$1000,ROW()-3)&amp;"")</f>
        <v/>
      </c>
      <c r="L162" s="7" t="str">
        <f aca="false">IF(INDEX(MASTER_DATABASE!$A$4:$A$1000,ROW()-3)="","",INDEX(MASTER_DATABASE!$AR$4:$AR$1000,ROW()-3)&amp;"")</f>
        <v>Q1: Is the price fixed?
A1: Prices vary by brand and model. Please ask at the counter.</v>
      </c>
      <c r="M16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2" s="7" t="str">
        <f aca="false">IF(INDEX(MASTER_DATABASE!$A$4:$A$1000,ROW()-3)="","",INDEX(MASTER_DATABASE!$BG$4:$BG$1000,ROW()-3)&amp;"")</f>
        <v>Get Quote</v>
      </c>
    </row>
    <row r="163" customFormat="false" ht="46.25" hidden="false" customHeight="false" outlineLevel="0" collapsed="false">
      <c r="A163" s="11" t="str">
        <f aca="false">IF(INDEX(MASTER_DATABASE!$A$4:$A$1000,ROW()-3)="","",INDEX(MASTER_DATABASE!$A$4:$A$1000,ROW()-3)&amp;"")</f>
        <v>MOB-005</v>
      </c>
      <c r="B163" s="7" t="str">
        <f aca="false">IF(INDEX(MASTER_DATABASE!$A$4:$A$1000,ROW()-3)="","",INDEX(MASTER_DATABASE!$E$4:$E$1000,ROW()-3)&amp;"")</f>
        <v>Power Bank</v>
      </c>
      <c r="C163" s="7" t="str">
        <f aca="false">IF(INDEX(MASTER_DATABASE!$A$4:$A$1000,ROW()-3)="","",INDEX(MASTER_DATABASE!$H$4:$H$1000,ROW()-3)&amp;"")</f>
        <v>Power Bank at our mobile store.</v>
      </c>
      <c r="D16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3" s="7" t="str">
        <f aca="false">IF(INDEX(MASTER_DATABASE!$A$4:$A$1000,ROW()-3)="","",INDEX(MASTER_DATABASE!$O$4:$O$1000,ROW()-3)&amp;"")</f>
        <v>Any customer.</v>
      </c>
      <c r="F163" s="7" t="str">
        <f aca="false">IF(INDEX(MASTER_DATABASE!$A$4:$A$1000,ROW()-3)="","",INDEX(MASTER_DATABASE!$M$4:$M$1000,ROW()-3)&amp;"")</f>
        <v/>
      </c>
      <c r="G163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3" s="7" t="str">
        <f aca="false">IF(INDEX(MASTER_DATABASE!$A$4:$A$1000,ROW()-3)="","",INDEX(MASTER_DATABASE!$Q$4:$Q$1000,ROW()-3)&amp;"")</f>
        <v>5–10 Minutes</v>
      </c>
      <c r="J163" s="7" t="str">
        <f aca="false">IF(INDEX(MASTER_DATABASE!$A$4:$A$1000,ROW()-3)="","",INDEX(MASTER_DATABASE!$J$4:$J$1000,ROW()-3)&amp;"")</f>
        <v>To Be Confirmed</v>
      </c>
      <c r="K163" s="7" t="str">
        <f aca="false">IF(INDEX(MASTER_DATABASE!$A$4:$A$1000,ROW()-3)="","",INDEX(MASTER_DATABASE!$AS$4:$AS$1000,ROW()-3)&amp;"")</f>
        <v>Please confirm availability with the shop before visiting.</v>
      </c>
      <c r="L163" s="7" t="str">
        <f aca="false">IF(INDEX(MASTER_DATABASE!$A$4:$A$1000,ROW()-3)="","",INDEX(MASTER_DATABASE!$AR$4:$AR$1000,ROW()-3)&amp;"")</f>
        <v>Q1: Is the price fixed?
A1: Prices vary by brand and model. Please ask at the counter.</v>
      </c>
      <c r="M16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3" s="7" t="str">
        <f aca="false">IF(INDEX(MASTER_DATABASE!$A$4:$A$1000,ROW()-3)="","",INDEX(MASTER_DATABASE!$BG$4:$BG$1000,ROW()-3)&amp;"")</f>
        <v>Get Quote</v>
      </c>
    </row>
    <row r="164" customFormat="false" ht="46.25" hidden="false" customHeight="false" outlineLevel="0" collapsed="false">
      <c r="A164" s="11" t="str">
        <f aca="false">IF(INDEX(MASTER_DATABASE!$A$4:$A$1000,ROW()-3)="","",INDEX(MASTER_DATABASE!$A$4:$A$1000,ROW()-3)&amp;"")</f>
        <v>MOB-006</v>
      </c>
      <c r="B164" s="7" t="str">
        <f aca="false">IF(INDEX(MASTER_DATABASE!$A$4:$A$1000,ROW()-3)="","",INDEX(MASTER_DATABASE!$E$4:$E$1000,ROW()-3)&amp;"")</f>
        <v>Earphone (Wired)</v>
      </c>
      <c r="C164" s="7" t="str">
        <f aca="false">IF(INDEX(MASTER_DATABASE!$A$4:$A$1000,ROW()-3)="","",INDEX(MASTER_DATABASE!$H$4:$H$1000,ROW()-3)&amp;"")</f>
        <v>Earphone (Wired) at our mobile store.</v>
      </c>
      <c r="D16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4" s="7" t="str">
        <f aca="false">IF(INDEX(MASTER_DATABASE!$A$4:$A$1000,ROW()-3)="","",INDEX(MASTER_DATABASE!$O$4:$O$1000,ROW()-3)&amp;"")</f>
        <v>Any customer.</v>
      </c>
      <c r="F164" s="7" t="str">
        <f aca="false">IF(INDEX(MASTER_DATABASE!$A$4:$A$1000,ROW()-3)="","",INDEX(MASTER_DATABASE!$M$4:$M$1000,ROW()-3)&amp;"")</f>
        <v/>
      </c>
      <c r="G164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4" s="7" t="str">
        <f aca="false">IF(INDEX(MASTER_DATABASE!$A$4:$A$1000,ROW()-3)="","",INDEX(MASTER_DATABASE!$Q$4:$Q$1000,ROW()-3)&amp;"")</f>
        <v>5–10 Minutes</v>
      </c>
      <c r="J164" s="7" t="str">
        <f aca="false">IF(INDEX(MASTER_DATABASE!$A$4:$A$1000,ROW()-3)="","",INDEX(MASTER_DATABASE!$J$4:$J$1000,ROW()-3)&amp;"")</f>
        <v>Available</v>
      </c>
      <c r="K164" s="7" t="str">
        <f aca="false">IF(INDEX(MASTER_DATABASE!$A$4:$A$1000,ROW()-3)="","",INDEX(MASTER_DATABASE!$AS$4:$AS$1000,ROW()-3)&amp;"")</f>
        <v/>
      </c>
      <c r="L164" s="7" t="str">
        <f aca="false">IF(INDEX(MASTER_DATABASE!$A$4:$A$1000,ROW()-3)="","",INDEX(MASTER_DATABASE!$AR$4:$AR$1000,ROW()-3)&amp;"")</f>
        <v>Q1: Is the price fixed?
A1: Prices vary by brand and model. Please ask at the counter.</v>
      </c>
      <c r="M16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4" s="7" t="str">
        <f aca="false">IF(INDEX(MASTER_DATABASE!$A$4:$A$1000,ROW()-3)="","",INDEX(MASTER_DATABASE!$BG$4:$BG$1000,ROW()-3)&amp;"")</f>
        <v>Get Quote</v>
      </c>
    </row>
    <row r="165" customFormat="false" ht="46.25" hidden="false" customHeight="false" outlineLevel="0" collapsed="false">
      <c r="A165" s="11" t="str">
        <f aca="false">IF(INDEX(MASTER_DATABASE!$A$4:$A$1000,ROW()-3)="","",INDEX(MASTER_DATABASE!$A$4:$A$1000,ROW()-3)&amp;"")</f>
        <v>MOB-007</v>
      </c>
      <c r="B165" s="7" t="str">
        <f aca="false">IF(INDEX(MASTER_DATABASE!$A$4:$A$1000,ROW()-3)="","",INDEX(MASTER_DATABASE!$E$4:$E$1000,ROW()-3)&amp;"")</f>
        <v>Bluetooth Earphone</v>
      </c>
      <c r="C165" s="7" t="str">
        <f aca="false">IF(INDEX(MASTER_DATABASE!$A$4:$A$1000,ROW()-3)="","",INDEX(MASTER_DATABASE!$H$4:$H$1000,ROW()-3)&amp;"")</f>
        <v>Bluetooth Earphone at our mobile store.</v>
      </c>
      <c r="D16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5" s="7" t="str">
        <f aca="false">IF(INDEX(MASTER_DATABASE!$A$4:$A$1000,ROW()-3)="","",INDEX(MASTER_DATABASE!$O$4:$O$1000,ROW()-3)&amp;"")</f>
        <v>Any customer.</v>
      </c>
      <c r="F165" s="7" t="str">
        <f aca="false">IF(INDEX(MASTER_DATABASE!$A$4:$A$1000,ROW()-3)="","",INDEX(MASTER_DATABASE!$M$4:$M$1000,ROW()-3)&amp;"")</f>
        <v/>
      </c>
      <c r="G165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5" s="7" t="str">
        <f aca="false">IF(INDEX(MASTER_DATABASE!$A$4:$A$1000,ROW()-3)="","",INDEX(MASTER_DATABASE!$Q$4:$Q$1000,ROW()-3)&amp;"")</f>
        <v>5–10 Minutes</v>
      </c>
      <c r="J165" s="7" t="str">
        <f aca="false">IF(INDEX(MASTER_DATABASE!$A$4:$A$1000,ROW()-3)="","",INDEX(MASTER_DATABASE!$J$4:$J$1000,ROW()-3)&amp;"")</f>
        <v>Available</v>
      </c>
      <c r="K165" s="7" t="str">
        <f aca="false">IF(INDEX(MASTER_DATABASE!$A$4:$A$1000,ROW()-3)="","",INDEX(MASTER_DATABASE!$AS$4:$AS$1000,ROW()-3)&amp;"")</f>
        <v/>
      </c>
      <c r="L165" s="7" t="str">
        <f aca="false">IF(INDEX(MASTER_DATABASE!$A$4:$A$1000,ROW()-3)="","",INDEX(MASTER_DATABASE!$AR$4:$AR$1000,ROW()-3)&amp;"")</f>
        <v>Q1: Is the price fixed?
A1: Prices vary by brand and model. Please ask at the counter.</v>
      </c>
      <c r="M16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5" s="7" t="str">
        <f aca="false">IF(INDEX(MASTER_DATABASE!$A$4:$A$1000,ROW()-3)="","",INDEX(MASTER_DATABASE!$BG$4:$BG$1000,ROW()-3)&amp;"")</f>
        <v>Get Quote</v>
      </c>
    </row>
    <row r="166" customFormat="false" ht="46.25" hidden="false" customHeight="false" outlineLevel="0" collapsed="false">
      <c r="A166" s="11" t="str">
        <f aca="false">IF(INDEX(MASTER_DATABASE!$A$4:$A$1000,ROW()-3)="","",INDEX(MASTER_DATABASE!$A$4:$A$1000,ROW()-3)&amp;"")</f>
        <v>MOB-008</v>
      </c>
      <c r="B166" s="7" t="str">
        <f aca="false">IF(INDEX(MASTER_DATABASE!$A$4:$A$1000,ROW()-3)="","",INDEX(MASTER_DATABASE!$E$4:$E$1000,ROW()-3)&amp;"")</f>
        <v>Speaker</v>
      </c>
      <c r="C166" s="7" t="str">
        <f aca="false">IF(INDEX(MASTER_DATABASE!$A$4:$A$1000,ROW()-3)="","",INDEX(MASTER_DATABASE!$H$4:$H$1000,ROW()-3)&amp;"")</f>
        <v>Speaker at our mobile store.</v>
      </c>
      <c r="D16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6" s="7" t="str">
        <f aca="false">IF(INDEX(MASTER_DATABASE!$A$4:$A$1000,ROW()-3)="","",INDEX(MASTER_DATABASE!$O$4:$O$1000,ROW()-3)&amp;"")</f>
        <v>Any customer.</v>
      </c>
      <c r="F166" s="7" t="str">
        <f aca="false">IF(INDEX(MASTER_DATABASE!$A$4:$A$1000,ROW()-3)="","",INDEX(MASTER_DATABASE!$M$4:$M$1000,ROW()-3)&amp;"")</f>
        <v/>
      </c>
      <c r="G166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6" s="7" t="str">
        <f aca="false">IF(INDEX(MASTER_DATABASE!$A$4:$A$1000,ROW()-3)="","",INDEX(MASTER_DATABASE!$Q$4:$Q$1000,ROW()-3)&amp;"")</f>
        <v>5–10 Minutes</v>
      </c>
      <c r="J166" s="7" t="str">
        <f aca="false">IF(INDEX(MASTER_DATABASE!$A$4:$A$1000,ROW()-3)="","",INDEX(MASTER_DATABASE!$J$4:$J$1000,ROW()-3)&amp;"")</f>
        <v>Available</v>
      </c>
      <c r="K166" s="7" t="str">
        <f aca="false">IF(INDEX(MASTER_DATABASE!$A$4:$A$1000,ROW()-3)="","",INDEX(MASTER_DATABASE!$AS$4:$AS$1000,ROW()-3)&amp;"")</f>
        <v/>
      </c>
      <c r="L166" s="7" t="str">
        <f aca="false">IF(INDEX(MASTER_DATABASE!$A$4:$A$1000,ROW()-3)="","",INDEX(MASTER_DATABASE!$AR$4:$AR$1000,ROW()-3)&amp;"")</f>
        <v>Q1: Is the price fixed?
A1: Prices vary by brand and model. Please ask at the counter.</v>
      </c>
      <c r="M16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6" s="7" t="str">
        <f aca="false">IF(INDEX(MASTER_DATABASE!$A$4:$A$1000,ROW()-3)="","",INDEX(MASTER_DATABASE!$BG$4:$BG$1000,ROW()-3)&amp;"")</f>
        <v>Get Quote</v>
      </c>
    </row>
    <row r="167" customFormat="false" ht="46.25" hidden="false" customHeight="false" outlineLevel="0" collapsed="false">
      <c r="A167" s="11" t="str">
        <f aca="false">IF(INDEX(MASTER_DATABASE!$A$4:$A$1000,ROW()-3)="","",INDEX(MASTER_DATABASE!$A$4:$A$1000,ROW()-3)&amp;"")</f>
        <v>MOB-009</v>
      </c>
      <c r="B167" s="7" t="str">
        <f aca="false">IF(INDEX(MASTER_DATABASE!$A$4:$A$1000,ROW()-3)="","",INDEX(MASTER_DATABASE!$E$4:$E$1000,ROW()-3)&amp;"")</f>
        <v>Mobile Cover</v>
      </c>
      <c r="C167" s="7" t="str">
        <f aca="false">IF(INDEX(MASTER_DATABASE!$A$4:$A$1000,ROW()-3)="","",INDEX(MASTER_DATABASE!$H$4:$H$1000,ROW()-3)&amp;"")</f>
        <v>Mobile Cover at our mobile store.</v>
      </c>
      <c r="D16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7" s="7" t="str">
        <f aca="false">IF(INDEX(MASTER_DATABASE!$A$4:$A$1000,ROW()-3)="","",INDEX(MASTER_DATABASE!$O$4:$O$1000,ROW()-3)&amp;"")</f>
        <v>Any customer.</v>
      </c>
      <c r="F167" s="7" t="str">
        <f aca="false">IF(INDEX(MASTER_DATABASE!$A$4:$A$1000,ROW()-3)="","",INDEX(MASTER_DATABASE!$M$4:$M$1000,ROW()-3)&amp;"")</f>
        <v/>
      </c>
      <c r="G167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7" s="7" t="str">
        <f aca="false">IF(INDEX(MASTER_DATABASE!$A$4:$A$1000,ROW()-3)="","",INDEX(MASTER_DATABASE!$Q$4:$Q$1000,ROW()-3)&amp;"")</f>
        <v>5–10 Minutes</v>
      </c>
      <c r="J167" s="7" t="str">
        <f aca="false">IF(INDEX(MASTER_DATABASE!$A$4:$A$1000,ROW()-3)="","",INDEX(MASTER_DATABASE!$J$4:$J$1000,ROW()-3)&amp;"")</f>
        <v>Available</v>
      </c>
      <c r="K167" s="7" t="str">
        <f aca="false">IF(INDEX(MASTER_DATABASE!$A$4:$A$1000,ROW()-3)="","",INDEX(MASTER_DATABASE!$AS$4:$AS$1000,ROW()-3)&amp;"")</f>
        <v/>
      </c>
      <c r="L167" s="7" t="str">
        <f aca="false">IF(INDEX(MASTER_DATABASE!$A$4:$A$1000,ROW()-3)="","",INDEX(MASTER_DATABASE!$AR$4:$AR$1000,ROW()-3)&amp;"")</f>
        <v>Q1: Is the price fixed?
A1: Prices vary by brand and model. Please ask at the counter.</v>
      </c>
      <c r="M16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7" s="7" t="str">
        <f aca="false">IF(INDEX(MASTER_DATABASE!$A$4:$A$1000,ROW()-3)="","",INDEX(MASTER_DATABASE!$BG$4:$BG$1000,ROW()-3)&amp;"")</f>
        <v>Get Quote</v>
      </c>
    </row>
    <row r="168" customFormat="false" ht="46.25" hidden="false" customHeight="false" outlineLevel="0" collapsed="false">
      <c r="A168" s="11" t="str">
        <f aca="false">IF(INDEX(MASTER_DATABASE!$A$4:$A$1000,ROW()-3)="","",INDEX(MASTER_DATABASE!$A$4:$A$1000,ROW()-3)&amp;"")</f>
        <v>MOB-010</v>
      </c>
      <c r="B168" s="7" t="str">
        <f aca="false">IF(INDEX(MASTER_DATABASE!$A$4:$A$1000,ROW()-3)="","",INDEX(MASTER_DATABASE!$E$4:$E$1000,ROW()-3)&amp;"")</f>
        <v>Tempered Glass</v>
      </c>
      <c r="C168" s="7" t="str">
        <f aca="false">IF(INDEX(MASTER_DATABASE!$A$4:$A$1000,ROW()-3)="","",INDEX(MASTER_DATABASE!$H$4:$H$1000,ROW()-3)&amp;"")</f>
        <v>Tempered Glass at our mobile store.</v>
      </c>
      <c r="D16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8" s="7" t="str">
        <f aca="false">IF(INDEX(MASTER_DATABASE!$A$4:$A$1000,ROW()-3)="","",INDEX(MASTER_DATABASE!$O$4:$O$1000,ROW()-3)&amp;"")</f>
        <v>Any customer.</v>
      </c>
      <c r="F168" s="7" t="str">
        <f aca="false">IF(INDEX(MASTER_DATABASE!$A$4:$A$1000,ROW()-3)="","",INDEX(MASTER_DATABASE!$M$4:$M$1000,ROW()-3)&amp;"")</f>
        <v/>
      </c>
      <c r="G168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8" s="7" t="str">
        <f aca="false">IF(INDEX(MASTER_DATABASE!$A$4:$A$1000,ROW()-3)="","",INDEX(MASTER_DATABASE!$Q$4:$Q$1000,ROW()-3)&amp;"")</f>
        <v>5–10 Minutes</v>
      </c>
      <c r="J168" s="7" t="str">
        <f aca="false">IF(INDEX(MASTER_DATABASE!$A$4:$A$1000,ROW()-3)="","",INDEX(MASTER_DATABASE!$J$4:$J$1000,ROW()-3)&amp;"")</f>
        <v>Available</v>
      </c>
      <c r="K168" s="7" t="str">
        <f aca="false">IF(INDEX(MASTER_DATABASE!$A$4:$A$1000,ROW()-3)="","",INDEX(MASTER_DATABASE!$AS$4:$AS$1000,ROW()-3)&amp;"")</f>
        <v/>
      </c>
      <c r="L168" s="7" t="str">
        <f aca="false">IF(INDEX(MASTER_DATABASE!$A$4:$A$1000,ROW()-3)="","",INDEX(MASTER_DATABASE!$AR$4:$AR$1000,ROW()-3)&amp;"")</f>
        <v>Q1: Is the price fixed?
A1: Prices vary by brand and model. Please ask at the counter.</v>
      </c>
      <c r="M16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8" s="7" t="str">
        <f aca="false">IF(INDEX(MASTER_DATABASE!$A$4:$A$1000,ROW()-3)="","",INDEX(MASTER_DATABASE!$BG$4:$BG$1000,ROW()-3)&amp;"")</f>
        <v>Get Quote</v>
      </c>
    </row>
    <row r="169" customFormat="false" ht="46.25" hidden="false" customHeight="false" outlineLevel="0" collapsed="false">
      <c r="A169" s="11" t="str">
        <f aca="false">IF(INDEX(MASTER_DATABASE!$A$4:$A$1000,ROW()-3)="","",INDEX(MASTER_DATABASE!$A$4:$A$1000,ROW()-3)&amp;"")</f>
        <v>MOB-011</v>
      </c>
      <c r="B169" s="7" t="str">
        <f aca="false">IF(INDEX(MASTER_DATABASE!$A$4:$A$1000,ROW()-3)="","",INDEX(MASTER_DATABASE!$E$4:$E$1000,ROW()-3)&amp;"")</f>
        <v>Tempered Glass Fitting</v>
      </c>
      <c r="C169" s="7" t="str">
        <f aca="false">IF(INDEX(MASTER_DATABASE!$A$4:$A$1000,ROW()-3)="","",INDEX(MASTER_DATABASE!$H$4:$H$1000,ROW()-3)&amp;"")</f>
        <v>Tempered Glass Fitting at our mobile store.</v>
      </c>
      <c r="D16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69" s="7" t="str">
        <f aca="false">IF(INDEX(MASTER_DATABASE!$A$4:$A$1000,ROW()-3)="","",INDEX(MASTER_DATABASE!$O$4:$O$1000,ROW()-3)&amp;"")</f>
        <v>Any customer.</v>
      </c>
      <c r="F169" s="7" t="str">
        <f aca="false">IF(INDEX(MASTER_DATABASE!$A$4:$A$1000,ROW()-3)="","",INDEX(MASTER_DATABASE!$M$4:$M$1000,ROW()-3)&amp;"")</f>
        <v/>
      </c>
      <c r="G169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6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69" s="7" t="str">
        <f aca="false">IF(INDEX(MASTER_DATABASE!$A$4:$A$1000,ROW()-3)="","",INDEX(MASTER_DATABASE!$Q$4:$Q$1000,ROW()-3)&amp;"")</f>
        <v>5–10 Minutes</v>
      </c>
      <c r="J169" s="7" t="str">
        <f aca="false">IF(INDEX(MASTER_DATABASE!$A$4:$A$1000,ROW()-3)="","",INDEX(MASTER_DATABASE!$J$4:$J$1000,ROW()-3)&amp;"")</f>
        <v>Available</v>
      </c>
      <c r="K169" s="7" t="str">
        <f aca="false">IF(INDEX(MASTER_DATABASE!$A$4:$A$1000,ROW()-3)="","",INDEX(MASTER_DATABASE!$AS$4:$AS$1000,ROW()-3)&amp;"")</f>
        <v/>
      </c>
      <c r="L169" s="7" t="str">
        <f aca="false">IF(INDEX(MASTER_DATABASE!$A$4:$A$1000,ROW()-3)="","",INDEX(MASTER_DATABASE!$AR$4:$AR$1000,ROW()-3)&amp;"")</f>
        <v>Q1: Is the price fixed?
A1: Prices vary by brand and model. Please ask at the counter.</v>
      </c>
      <c r="M16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69" s="7" t="str">
        <f aca="false">IF(INDEX(MASTER_DATABASE!$A$4:$A$1000,ROW()-3)="","",INDEX(MASTER_DATABASE!$BG$4:$BG$1000,ROW()-3)&amp;"")</f>
        <v>Get Quote</v>
      </c>
    </row>
    <row r="170" customFormat="false" ht="46.25" hidden="false" customHeight="false" outlineLevel="0" collapsed="false">
      <c r="A170" s="11" t="str">
        <f aca="false">IF(INDEX(MASTER_DATABASE!$A$4:$A$1000,ROW()-3)="","",INDEX(MASTER_DATABASE!$A$4:$A$1000,ROW()-3)&amp;"")</f>
        <v>MOB-012</v>
      </c>
      <c r="B170" s="7" t="str">
        <f aca="false">IF(INDEX(MASTER_DATABASE!$A$4:$A$1000,ROW()-3)="","",INDEX(MASTER_DATABASE!$E$4:$E$1000,ROW()-3)&amp;"")</f>
        <v>Memory Card</v>
      </c>
      <c r="C170" s="7" t="str">
        <f aca="false">IF(INDEX(MASTER_DATABASE!$A$4:$A$1000,ROW()-3)="","",INDEX(MASTER_DATABASE!$H$4:$H$1000,ROW()-3)&amp;"")</f>
        <v>Memory Card at our mobile store.</v>
      </c>
      <c r="D17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0" s="7" t="str">
        <f aca="false">IF(INDEX(MASTER_DATABASE!$A$4:$A$1000,ROW()-3)="","",INDEX(MASTER_DATABASE!$O$4:$O$1000,ROW()-3)&amp;"")</f>
        <v>Any customer.</v>
      </c>
      <c r="F170" s="7" t="str">
        <f aca="false">IF(INDEX(MASTER_DATABASE!$A$4:$A$1000,ROW()-3)="","",INDEX(MASTER_DATABASE!$M$4:$M$1000,ROW()-3)&amp;"")</f>
        <v/>
      </c>
      <c r="G170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7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0" s="7" t="str">
        <f aca="false">IF(INDEX(MASTER_DATABASE!$A$4:$A$1000,ROW()-3)="","",INDEX(MASTER_DATABASE!$Q$4:$Q$1000,ROW()-3)&amp;"")</f>
        <v>5–10 Minutes</v>
      </c>
      <c r="J170" s="7" t="str">
        <f aca="false">IF(INDEX(MASTER_DATABASE!$A$4:$A$1000,ROW()-3)="","",INDEX(MASTER_DATABASE!$J$4:$J$1000,ROW()-3)&amp;"")</f>
        <v>Available</v>
      </c>
      <c r="K170" s="7" t="str">
        <f aca="false">IF(INDEX(MASTER_DATABASE!$A$4:$A$1000,ROW()-3)="","",INDEX(MASTER_DATABASE!$AS$4:$AS$1000,ROW()-3)&amp;"")</f>
        <v/>
      </c>
      <c r="L170" s="7" t="str">
        <f aca="false">IF(INDEX(MASTER_DATABASE!$A$4:$A$1000,ROW()-3)="","",INDEX(MASTER_DATABASE!$AR$4:$AR$1000,ROW()-3)&amp;"")</f>
        <v>Q1: Is the price fixed?
A1: Prices vary by brand and model. Please ask at the counter.</v>
      </c>
      <c r="M17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0" s="7" t="str">
        <f aca="false">IF(INDEX(MASTER_DATABASE!$A$4:$A$1000,ROW()-3)="","",INDEX(MASTER_DATABASE!$BG$4:$BG$1000,ROW()-3)&amp;"")</f>
        <v>Get Quote</v>
      </c>
    </row>
    <row r="171" customFormat="false" ht="46.25" hidden="false" customHeight="false" outlineLevel="0" collapsed="false">
      <c r="A171" s="11" t="str">
        <f aca="false">IF(INDEX(MASTER_DATABASE!$A$4:$A$1000,ROW()-3)="","",INDEX(MASTER_DATABASE!$A$4:$A$1000,ROW()-3)&amp;"")</f>
        <v>MOB-013</v>
      </c>
      <c r="B171" s="7" t="str">
        <f aca="false">IF(INDEX(MASTER_DATABASE!$A$4:$A$1000,ROW()-3)="","",INDEX(MASTER_DATABASE!$E$4:$E$1000,ROW()-3)&amp;"")</f>
        <v>Pendrive</v>
      </c>
      <c r="C171" s="7" t="str">
        <f aca="false">IF(INDEX(MASTER_DATABASE!$A$4:$A$1000,ROW()-3)="","",INDEX(MASTER_DATABASE!$H$4:$H$1000,ROW()-3)&amp;"")</f>
        <v>Pendrive at our mobile store.</v>
      </c>
      <c r="D17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1" s="7" t="str">
        <f aca="false">IF(INDEX(MASTER_DATABASE!$A$4:$A$1000,ROW()-3)="","",INDEX(MASTER_DATABASE!$O$4:$O$1000,ROW()-3)&amp;"")</f>
        <v>Any customer.</v>
      </c>
      <c r="F171" s="7" t="str">
        <f aca="false">IF(INDEX(MASTER_DATABASE!$A$4:$A$1000,ROW()-3)="","",INDEX(MASTER_DATABASE!$M$4:$M$1000,ROW()-3)&amp;"")</f>
        <v/>
      </c>
      <c r="G171" s="7" t="str">
        <f aca="false">IF(INDEX(MASTER_DATABASE!$A$4:$A$1000,ROW()-3)="","",INDEX(MASTER_DATABASE!$P$4:$P$1000,ROW()-3)&amp;"")</f>
        <v>Step 1 → Visit the shop and choose the product / service.
Step 2 → Check price and warranty terms at the counter.
Step 3 → Pay and collect the item with bill.</v>
      </c>
      <c r="H17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1" s="7" t="str">
        <f aca="false">IF(INDEX(MASTER_DATABASE!$A$4:$A$1000,ROW()-3)="","",INDEX(MASTER_DATABASE!$Q$4:$Q$1000,ROW()-3)&amp;"")</f>
        <v>5–10 Minutes</v>
      </c>
      <c r="J171" s="7" t="str">
        <f aca="false">IF(INDEX(MASTER_DATABASE!$A$4:$A$1000,ROW()-3)="","",INDEX(MASTER_DATABASE!$J$4:$J$1000,ROW()-3)&amp;"")</f>
        <v>Available</v>
      </c>
      <c r="K171" s="7" t="str">
        <f aca="false">IF(INDEX(MASTER_DATABASE!$A$4:$A$1000,ROW()-3)="","",INDEX(MASTER_DATABASE!$AS$4:$AS$1000,ROW()-3)&amp;"")</f>
        <v/>
      </c>
      <c r="L171" s="7" t="str">
        <f aca="false">IF(INDEX(MASTER_DATABASE!$A$4:$A$1000,ROW()-3)="","",INDEX(MASTER_DATABASE!$AR$4:$AR$1000,ROW()-3)&amp;"")</f>
        <v>Q1: Is the price fixed?
A1: Prices vary by brand and model. Please ask at the counter.</v>
      </c>
      <c r="M17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1" s="7" t="str">
        <f aca="false">IF(INDEX(MASTER_DATABASE!$A$4:$A$1000,ROW()-3)="","",INDEX(MASTER_DATABASE!$BG$4:$BG$1000,ROW()-3)&amp;"")</f>
        <v>Get Quote</v>
      </c>
    </row>
    <row r="172" customFormat="false" ht="46.25" hidden="false" customHeight="false" outlineLevel="0" collapsed="false">
      <c r="A172" s="11" t="str">
        <f aca="false">IF(INDEX(MASTER_DATABASE!$A$4:$A$1000,ROW()-3)="","",INDEX(MASTER_DATABASE!$A$4:$A$1000,ROW()-3)&amp;"")</f>
        <v>MOB-014</v>
      </c>
      <c r="B172" s="7" t="str">
        <f aca="false">IF(INDEX(MASTER_DATABASE!$A$4:$A$1000,ROW()-3)="","",INDEX(MASTER_DATABASE!$E$4:$E$1000,ROW()-3)&amp;"")</f>
        <v>New SIM Card Sale / Activation</v>
      </c>
      <c r="C172" s="7" t="str">
        <f aca="false">IF(INDEX(MASTER_DATABASE!$A$4:$A$1000,ROW()-3)="","",INDEX(MASTER_DATABASE!$H$4:$H$1000,ROW()-3)&amp;"")</f>
        <v>New SIM Card Sale / Activation through the telecom operator process.</v>
      </c>
      <c r="D17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2" s="7" t="str">
        <f aca="false">IF(INDEX(MASTER_DATABASE!$A$4:$A$1000,ROW()-3)="","",INDEX(MASTER_DATABASE!$O$4:$O$1000,ROW()-3)&amp;"")</f>
        <v>Any customer who can provide the listed documents.</v>
      </c>
      <c r="F172" s="7" t="str">
        <f aca="false">IF(INDEX(MASTER_DATABASE!$A$4:$A$1000,ROW()-3)="","",INDEX(MASTER_DATABASE!$M$4:$M$1000,ROW()-3)&amp;"")</f>
        <v>✓ Aadhaar Card
✓ Passport Photo
✓ Customer Presence for Biometrics</v>
      </c>
      <c r="G172" s="7" t="str">
        <f aca="false">IF(INDEX(MASTER_DATABASE!$A$4:$A$1000,ROW()-3)="","",INDEX(MASTER_DATABASE!$P$4:$P$1000,ROW()-3)&amp;"")</f>
        <v>Step 1 → Bring Aadhaar and be present in person.
Step 2 → Operator starts the operator's KYC process.
Step 3 → Biometric / photo verification is completed.
Step 4 → SIM is activated (activation time as per operator).</v>
      </c>
      <c r="H17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2" s="7" t="str">
        <f aca="false">IF(INDEX(MASTER_DATABASE!$A$4:$A$1000,ROW()-3)="","",INDEX(MASTER_DATABASE!$Q$4:$Q$1000,ROW()-3)&amp;"")</f>
        <v>Depends on Department</v>
      </c>
      <c r="J172" s="7" t="str">
        <f aca="false">IF(INDEX(MASTER_DATABASE!$A$4:$A$1000,ROW()-3)="","",INDEX(MASTER_DATABASE!$J$4:$J$1000,ROW()-3)&amp;"")</f>
        <v>Please Confirm at Shop</v>
      </c>
      <c r="K172" s="7" t="str">
        <f aca="false">IF(INDEX(MASTER_DATABASE!$A$4:$A$1000,ROW()-3)="","",INDEX(MASTER_DATABASE!$AS$4:$AS$1000,ROW()-3)&amp;"")</f>
        <v>Depends on telecom operator authorization. Confirm with the shop before visiting.</v>
      </c>
      <c r="L17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7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2" s="7" t="str">
        <f aca="false">IF(INDEX(MASTER_DATABASE!$A$4:$A$1000,ROW()-3)="","",INDEX(MASTER_DATABASE!$BG$4:$BG$1000,ROW()-3)&amp;"")</f>
        <v>Check Documents</v>
      </c>
    </row>
    <row r="173" customFormat="false" ht="46.25" hidden="false" customHeight="false" outlineLevel="0" collapsed="false">
      <c r="A173" s="11" t="str">
        <f aca="false">IF(INDEX(MASTER_DATABASE!$A$4:$A$1000,ROW()-3)="","",INDEX(MASTER_DATABASE!$A$4:$A$1000,ROW()-3)&amp;"")</f>
        <v>MOB-015</v>
      </c>
      <c r="B173" s="7" t="str">
        <f aca="false">IF(INDEX(MASTER_DATABASE!$A$4:$A$1000,ROW()-3)="","",INDEX(MASTER_DATABASE!$E$4:$E$1000,ROW()-3)&amp;"")</f>
        <v>SIM Replacement (Lost / Damaged SIM)</v>
      </c>
      <c r="C173" s="7" t="str">
        <f aca="false">IF(INDEX(MASTER_DATABASE!$A$4:$A$1000,ROW()-3)="","",INDEX(MASTER_DATABASE!$H$4:$H$1000,ROW()-3)&amp;"")</f>
        <v>SIM Replacement (Lost / Damaged SIM) through the telecom operator process.</v>
      </c>
      <c r="D17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3" s="7" t="str">
        <f aca="false">IF(INDEX(MASTER_DATABASE!$A$4:$A$1000,ROW()-3)="","",INDEX(MASTER_DATABASE!$O$4:$O$1000,ROW()-3)&amp;"")</f>
        <v>Any customer who can provide the listed documents.</v>
      </c>
      <c r="F173" s="7" t="str">
        <f aca="false">IF(INDEX(MASTER_DATABASE!$A$4:$A$1000,ROW()-3)="","",INDEX(MASTER_DATABASE!$M$4:$M$1000,ROW()-3)&amp;"")</f>
        <v>✓ Aadhaar Card
✓ Passport Photo
✓ Customer Presence for Biometrics</v>
      </c>
      <c r="G173" s="7" t="str">
        <f aca="false">IF(INDEX(MASTER_DATABASE!$A$4:$A$1000,ROW()-3)="","",INDEX(MASTER_DATABASE!$P$4:$P$1000,ROW()-3)&amp;"")</f>
        <v>Step 1 → Bring Aadhaar and be present in person.
Step 2 → Operator starts the operator's KYC process.
Step 3 → Biometric / photo verification is completed.
Step 4 → SIM is activated (activation time as per operator).</v>
      </c>
      <c r="H17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3" s="7" t="str">
        <f aca="false">IF(INDEX(MASTER_DATABASE!$A$4:$A$1000,ROW()-3)="","",INDEX(MASTER_DATABASE!$Q$4:$Q$1000,ROW()-3)&amp;"")</f>
        <v>Depends on Department</v>
      </c>
      <c r="J173" s="7" t="str">
        <f aca="false">IF(INDEX(MASTER_DATABASE!$A$4:$A$1000,ROW()-3)="","",INDEX(MASTER_DATABASE!$J$4:$J$1000,ROW()-3)&amp;"")</f>
        <v>Please Confirm at Shop</v>
      </c>
      <c r="K173" s="7" t="str">
        <f aca="false">IF(INDEX(MASTER_DATABASE!$A$4:$A$1000,ROW()-3)="","",INDEX(MASTER_DATABASE!$AS$4:$AS$1000,ROW()-3)&amp;"")</f>
        <v>Depends on telecom operator authorization. Confirm with the shop before visiting.</v>
      </c>
      <c r="L17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7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3" s="7" t="str">
        <f aca="false">IF(INDEX(MASTER_DATABASE!$A$4:$A$1000,ROW()-3)="","",INDEX(MASTER_DATABASE!$BG$4:$BG$1000,ROW()-3)&amp;"")</f>
        <v>Check Documents</v>
      </c>
    </row>
    <row r="174" customFormat="false" ht="46.25" hidden="false" customHeight="false" outlineLevel="0" collapsed="false">
      <c r="A174" s="11" t="str">
        <f aca="false">IF(INDEX(MASTER_DATABASE!$A$4:$A$1000,ROW()-3)="","",INDEX(MASTER_DATABASE!$A$4:$A$1000,ROW()-3)&amp;"")</f>
        <v>MOB-016</v>
      </c>
      <c r="B174" s="7" t="str">
        <f aca="false">IF(INDEX(MASTER_DATABASE!$A$4:$A$1000,ROW()-3)="","",INDEX(MASTER_DATABASE!$E$4:$E$1000,ROW()-3)&amp;"")</f>
        <v>Mobile Number Portability (MNP) Assistance</v>
      </c>
      <c r="C174" s="7" t="str">
        <f aca="false">IF(INDEX(MASTER_DATABASE!$A$4:$A$1000,ROW()-3)="","",INDEX(MASTER_DATABASE!$H$4:$H$1000,ROW()-3)&amp;"")</f>
        <v>Mobile Number Portability (MNP) Assistance through the telecom operator process.</v>
      </c>
      <c r="D17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4" s="7" t="str">
        <f aca="false">IF(INDEX(MASTER_DATABASE!$A$4:$A$1000,ROW()-3)="","",INDEX(MASTER_DATABASE!$O$4:$O$1000,ROW()-3)&amp;"")</f>
        <v>Any customer who can provide the listed documents.</v>
      </c>
      <c r="F174" s="7" t="str">
        <f aca="false">IF(INDEX(MASTER_DATABASE!$A$4:$A$1000,ROW()-3)="","",INDEX(MASTER_DATABASE!$M$4:$M$1000,ROW()-3)&amp;"")</f>
        <v>✓ Aadhaar Card
✓ Passport Photo
✓ Customer Presence for Biometrics</v>
      </c>
      <c r="G174" s="7" t="str">
        <f aca="false">IF(INDEX(MASTER_DATABASE!$A$4:$A$1000,ROW()-3)="","",INDEX(MASTER_DATABASE!$P$4:$P$1000,ROW()-3)&amp;"")</f>
        <v>Step 1 → Bring Aadhaar and be present in person.
Step 2 → Operator starts the operator's KYC process.
Step 3 → Biometric / photo verification is completed.
Step 4 → SIM is activated (activation time as per operator).</v>
      </c>
      <c r="H17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4" s="7" t="str">
        <f aca="false">IF(INDEX(MASTER_DATABASE!$A$4:$A$1000,ROW()-3)="","",INDEX(MASTER_DATABASE!$Q$4:$Q$1000,ROW()-3)&amp;"")</f>
        <v>Depends on Department</v>
      </c>
      <c r="J174" s="7" t="str">
        <f aca="false">IF(INDEX(MASTER_DATABASE!$A$4:$A$1000,ROW()-3)="","",INDEX(MASTER_DATABASE!$J$4:$J$1000,ROW()-3)&amp;"")</f>
        <v>Please Confirm at Shop</v>
      </c>
      <c r="K174" s="7" t="str">
        <f aca="false">IF(INDEX(MASTER_DATABASE!$A$4:$A$1000,ROW()-3)="","",INDEX(MASTER_DATABASE!$AS$4:$AS$1000,ROW()-3)&amp;"")</f>
        <v>Depends on telecom operator authorization. Confirm with the shop before visiting.</v>
      </c>
      <c r="L17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7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4" s="7" t="str">
        <f aca="false">IF(INDEX(MASTER_DATABASE!$A$4:$A$1000,ROW()-3)="","",INDEX(MASTER_DATABASE!$BG$4:$BG$1000,ROW()-3)&amp;"")</f>
        <v>Check Documents</v>
      </c>
    </row>
    <row r="175" customFormat="false" ht="46.25" hidden="false" customHeight="false" outlineLevel="0" collapsed="false">
      <c r="A175" s="11" t="str">
        <f aca="false">IF(INDEX(MASTER_DATABASE!$A$4:$A$1000,ROW()-3)="","",INDEX(MASTER_DATABASE!$A$4:$A$1000,ROW()-3)&amp;"")</f>
        <v>MOB-017</v>
      </c>
      <c r="B175" s="7" t="str">
        <f aca="false">IF(INDEX(MASTER_DATABASE!$A$4:$A$1000,ROW()-3)="","",INDEX(MASTER_DATABASE!$E$4:$E$1000,ROW()-3)&amp;"")</f>
        <v>SIM KYC / Re-verification Assistance</v>
      </c>
      <c r="C175" s="7" t="str">
        <f aca="false">IF(INDEX(MASTER_DATABASE!$A$4:$A$1000,ROW()-3)="","",INDEX(MASTER_DATABASE!$H$4:$H$1000,ROW()-3)&amp;"")</f>
        <v>SIM KYC / Re-verification Assistance through the telecom operator process.</v>
      </c>
      <c r="D17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5" s="7" t="str">
        <f aca="false">IF(INDEX(MASTER_DATABASE!$A$4:$A$1000,ROW()-3)="","",INDEX(MASTER_DATABASE!$O$4:$O$1000,ROW()-3)&amp;"")</f>
        <v>Any customer who can provide the listed documents.</v>
      </c>
      <c r="F175" s="7" t="str">
        <f aca="false">IF(INDEX(MASTER_DATABASE!$A$4:$A$1000,ROW()-3)="","",INDEX(MASTER_DATABASE!$M$4:$M$1000,ROW()-3)&amp;"")</f>
        <v>✓ Aadhaar Card
✓ Passport Photo
✓ Customer Presence for Biometrics</v>
      </c>
      <c r="G175" s="7" t="str">
        <f aca="false">IF(INDEX(MASTER_DATABASE!$A$4:$A$1000,ROW()-3)="","",INDEX(MASTER_DATABASE!$P$4:$P$1000,ROW()-3)&amp;"")</f>
        <v>Step 1 → Bring Aadhaar and be present in person.
Step 2 → Operator starts the operator's KYC process.
Step 3 → Biometric / photo verification is completed.
Step 4 → SIM is activated (activation time as per operator).</v>
      </c>
      <c r="H17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5" s="7" t="str">
        <f aca="false">IF(INDEX(MASTER_DATABASE!$A$4:$A$1000,ROW()-3)="","",INDEX(MASTER_DATABASE!$Q$4:$Q$1000,ROW()-3)&amp;"")</f>
        <v>Depends on Department</v>
      </c>
      <c r="J175" s="7" t="str">
        <f aca="false">IF(INDEX(MASTER_DATABASE!$A$4:$A$1000,ROW()-3)="","",INDEX(MASTER_DATABASE!$J$4:$J$1000,ROW()-3)&amp;"")</f>
        <v>Please Confirm at Shop</v>
      </c>
      <c r="K175" s="7" t="str">
        <f aca="false">IF(INDEX(MASTER_DATABASE!$A$4:$A$1000,ROW()-3)="","",INDEX(MASTER_DATABASE!$AS$4:$AS$1000,ROW()-3)&amp;"")</f>
        <v>Depends on telecom operator authorization. Confirm with the shop before visiting.</v>
      </c>
      <c r="L17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7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5" s="7" t="str">
        <f aca="false">IF(INDEX(MASTER_DATABASE!$A$4:$A$1000,ROW()-3)="","",INDEX(MASTER_DATABASE!$BG$4:$BG$1000,ROW()-3)&amp;"")</f>
        <v>Check Documents</v>
      </c>
    </row>
    <row r="176" customFormat="false" ht="46.25" hidden="false" customHeight="false" outlineLevel="0" collapsed="false">
      <c r="A176" s="11" t="str">
        <f aca="false">IF(INDEX(MASTER_DATABASE!$A$4:$A$1000,ROW()-3)="","",INDEX(MASTER_DATABASE!$A$4:$A$1000,ROW()-3)&amp;"")</f>
        <v>MOB-018</v>
      </c>
      <c r="B176" s="7" t="str">
        <f aca="false">IF(INDEX(MASTER_DATABASE!$A$4:$A$1000,ROW()-3)="","",INDEX(MASTER_DATABASE!$E$4:$E$1000,ROW()-3)&amp;"")</f>
        <v>Basic Mobile Setup (New Phone)</v>
      </c>
      <c r="C176" s="7" t="str">
        <f aca="false">IF(INDEX(MASTER_DATABASE!$A$4:$A$1000,ROW()-3)="","",INDEX(MASTER_DATABASE!$H$4:$H$1000,ROW()-3)&amp;"")</f>
        <v>Basic Mobile Setup (New Phone) at the shop.</v>
      </c>
      <c r="D17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6" s="7" t="str">
        <f aca="false">IF(INDEX(MASTER_DATABASE!$A$4:$A$1000,ROW()-3)="","",INDEX(MASTER_DATABASE!$O$4:$O$1000,ROW()-3)&amp;"")</f>
        <v>Any customer who can provide the listed documents.</v>
      </c>
      <c r="F176" s="7" t="str">
        <f aca="false">IF(INDEX(MASTER_DATABASE!$A$4:$A$1000,ROW()-3)="","",INDEX(MASTER_DATABASE!$M$4:$M$1000,ROW()-3)&amp;"")</f>
        <v>✓ Mobile Phone</v>
      </c>
      <c r="G176" s="7" t="str">
        <f aca="false">IF(INDEX(MASTER_DATABASE!$A$4:$A$1000,ROW()-3)="","",INDEX(MASTER_DATABASE!$P$4:$P$1000,ROW()-3)&amp;"")</f>
        <v>Step 1 → Bring your phone (and old phone for data transfer).
Step 2 → Tell what you want set up.
Step 3 → Work is done at the counter.
Step 4 → Pay the service charge.</v>
      </c>
      <c r="H17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6" s="7" t="str">
        <f aca="false">IF(INDEX(MASTER_DATABASE!$A$4:$A$1000,ROW()-3)="","",INDEX(MASTER_DATABASE!$Q$4:$Q$1000,ROW()-3)&amp;"")</f>
        <v>15–30 Minutes</v>
      </c>
      <c r="J176" s="7" t="str">
        <f aca="false">IF(INDEX(MASTER_DATABASE!$A$4:$A$1000,ROW()-3)="","",INDEX(MASTER_DATABASE!$J$4:$J$1000,ROW()-3)&amp;"")</f>
        <v>Available</v>
      </c>
      <c r="K176" s="7" t="str">
        <f aca="false">IF(INDEX(MASTER_DATABASE!$A$4:$A$1000,ROW()-3)="","",INDEX(MASTER_DATABASE!$AS$4:$AS$1000,ROW()-3)&amp;"")</f>
        <v/>
      </c>
      <c r="L17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7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6" s="7" t="str">
        <f aca="false">IF(INDEX(MASTER_DATABASE!$A$4:$A$1000,ROW()-3)="","",INDEX(MASTER_DATABASE!$BG$4:$BG$1000,ROW()-3)&amp;"")</f>
        <v>Visit Shop</v>
      </c>
    </row>
    <row r="177" customFormat="false" ht="46.25" hidden="false" customHeight="false" outlineLevel="0" collapsed="false">
      <c r="A177" s="11" t="str">
        <f aca="false">IF(INDEX(MASTER_DATABASE!$A$4:$A$1000,ROW()-3)="","",INDEX(MASTER_DATABASE!$A$4:$A$1000,ROW()-3)&amp;"")</f>
        <v>MOB-019</v>
      </c>
      <c r="B177" s="7" t="str">
        <f aca="false">IF(INDEX(MASTER_DATABASE!$A$4:$A$1000,ROW()-3)="","",INDEX(MASTER_DATABASE!$E$4:$E$1000,ROW()-3)&amp;"")</f>
        <v>App Installation / Setup</v>
      </c>
      <c r="C177" s="7" t="str">
        <f aca="false">IF(INDEX(MASTER_DATABASE!$A$4:$A$1000,ROW()-3)="","",INDEX(MASTER_DATABASE!$H$4:$H$1000,ROW()-3)&amp;"")</f>
        <v>App Installation / Setup at the shop.</v>
      </c>
      <c r="D17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7" s="7" t="str">
        <f aca="false">IF(INDEX(MASTER_DATABASE!$A$4:$A$1000,ROW()-3)="","",INDEX(MASTER_DATABASE!$O$4:$O$1000,ROW()-3)&amp;"")</f>
        <v>Any customer who can provide the listed documents.</v>
      </c>
      <c r="F177" s="7" t="str">
        <f aca="false">IF(INDEX(MASTER_DATABASE!$A$4:$A$1000,ROW()-3)="","",INDEX(MASTER_DATABASE!$M$4:$M$1000,ROW()-3)&amp;"")</f>
        <v>✓ Mobile Phone</v>
      </c>
      <c r="G177" s="7" t="str">
        <f aca="false">IF(INDEX(MASTER_DATABASE!$A$4:$A$1000,ROW()-3)="","",INDEX(MASTER_DATABASE!$P$4:$P$1000,ROW()-3)&amp;"")</f>
        <v>Step 1 → Bring your phone (and old phone for data transfer).
Step 2 → Tell what you want set up.
Step 3 → Work is done at the counter.
Step 4 → Pay the service charge.</v>
      </c>
      <c r="H17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7" s="7" t="str">
        <f aca="false">IF(INDEX(MASTER_DATABASE!$A$4:$A$1000,ROW()-3)="","",INDEX(MASTER_DATABASE!$Q$4:$Q$1000,ROW()-3)&amp;"")</f>
        <v>15–30 Minutes</v>
      </c>
      <c r="J177" s="7" t="str">
        <f aca="false">IF(INDEX(MASTER_DATABASE!$A$4:$A$1000,ROW()-3)="","",INDEX(MASTER_DATABASE!$J$4:$J$1000,ROW()-3)&amp;"")</f>
        <v>Available</v>
      </c>
      <c r="K177" s="7" t="str">
        <f aca="false">IF(INDEX(MASTER_DATABASE!$A$4:$A$1000,ROW()-3)="","",INDEX(MASTER_DATABASE!$AS$4:$AS$1000,ROW()-3)&amp;"")</f>
        <v/>
      </c>
      <c r="L17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7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7" s="7" t="str">
        <f aca="false">IF(INDEX(MASTER_DATABASE!$A$4:$A$1000,ROW()-3)="","",INDEX(MASTER_DATABASE!$BG$4:$BG$1000,ROW()-3)&amp;"")</f>
        <v>Visit Shop</v>
      </c>
    </row>
    <row r="178" customFormat="false" ht="46.25" hidden="false" customHeight="false" outlineLevel="0" collapsed="false">
      <c r="A178" s="11" t="str">
        <f aca="false">IF(INDEX(MASTER_DATABASE!$A$4:$A$1000,ROW()-3)="","",INDEX(MASTER_DATABASE!$A$4:$A$1000,ROW()-3)&amp;"")</f>
        <v>MOB-020</v>
      </c>
      <c r="B178" s="7" t="str">
        <f aca="false">IF(INDEX(MASTER_DATABASE!$A$4:$A$1000,ROW()-3)="","",INDEX(MASTER_DATABASE!$E$4:$E$1000,ROW()-3)&amp;"")</f>
        <v>Data Transfer Assistance</v>
      </c>
      <c r="C178" s="7" t="str">
        <f aca="false">IF(INDEX(MASTER_DATABASE!$A$4:$A$1000,ROW()-3)="","",INDEX(MASTER_DATABASE!$H$4:$H$1000,ROW()-3)&amp;"")</f>
        <v>Data Transfer Assistance at the shop.</v>
      </c>
      <c r="D17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8" s="7" t="str">
        <f aca="false">IF(INDEX(MASTER_DATABASE!$A$4:$A$1000,ROW()-3)="","",INDEX(MASTER_DATABASE!$O$4:$O$1000,ROW()-3)&amp;"")</f>
        <v>Any customer who can provide the listed documents.</v>
      </c>
      <c r="F178" s="7" t="str">
        <f aca="false">IF(INDEX(MASTER_DATABASE!$A$4:$A$1000,ROW()-3)="","",INDEX(MASTER_DATABASE!$M$4:$M$1000,ROW()-3)&amp;"")</f>
        <v>✓ Mobile Phone</v>
      </c>
      <c r="G178" s="7" t="str">
        <f aca="false">IF(INDEX(MASTER_DATABASE!$A$4:$A$1000,ROW()-3)="","",INDEX(MASTER_DATABASE!$P$4:$P$1000,ROW()-3)&amp;"")</f>
        <v>Step 1 → Bring your phone (and old phone for data transfer).
Step 2 → Tell what you want set up.
Step 3 → Work is done at the counter.
Step 4 → Pay the service charge.</v>
      </c>
      <c r="H17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8" s="7" t="str">
        <f aca="false">IF(INDEX(MASTER_DATABASE!$A$4:$A$1000,ROW()-3)="","",INDEX(MASTER_DATABASE!$Q$4:$Q$1000,ROW()-3)&amp;"")</f>
        <v>15–30 Minutes</v>
      </c>
      <c r="J178" s="7" t="str">
        <f aca="false">IF(INDEX(MASTER_DATABASE!$A$4:$A$1000,ROW()-3)="","",INDEX(MASTER_DATABASE!$J$4:$J$1000,ROW()-3)&amp;"")</f>
        <v>Available</v>
      </c>
      <c r="K178" s="7" t="str">
        <f aca="false">IF(INDEX(MASTER_DATABASE!$A$4:$A$1000,ROW()-3)="","",INDEX(MASTER_DATABASE!$AS$4:$AS$1000,ROW()-3)&amp;"")</f>
        <v/>
      </c>
      <c r="L17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7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8" s="7" t="str">
        <f aca="false">IF(INDEX(MASTER_DATABASE!$A$4:$A$1000,ROW()-3)="","",INDEX(MASTER_DATABASE!$BG$4:$BG$1000,ROW()-3)&amp;"")</f>
        <v>Visit Shop</v>
      </c>
    </row>
    <row r="179" customFormat="false" ht="46.25" hidden="false" customHeight="false" outlineLevel="0" collapsed="false">
      <c r="A179" s="11" t="str">
        <f aca="false">IF(INDEX(MASTER_DATABASE!$A$4:$A$1000,ROW()-3)="","",INDEX(MASTER_DATABASE!$A$4:$A$1000,ROW()-3)&amp;"")</f>
        <v>MOB-021</v>
      </c>
      <c r="B179" s="7" t="str">
        <f aca="false">IF(INDEX(MASTER_DATABASE!$A$4:$A$1000,ROW()-3)="","",INDEX(MASTER_DATABASE!$E$4:$E$1000,ROW()-3)&amp;"")</f>
        <v>Mobile Software Update / Reset Assistance</v>
      </c>
      <c r="C179" s="7" t="str">
        <f aca="false">IF(INDEX(MASTER_DATABASE!$A$4:$A$1000,ROW()-3)="","",INDEX(MASTER_DATABASE!$H$4:$H$1000,ROW()-3)&amp;"")</f>
        <v>Mobile Software Update / Reset Assistance at the shop.</v>
      </c>
      <c r="D17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79" s="7" t="str">
        <f aca="false">IF(INDEX(MASTER_DATABASE!$A$4:$A$1000,ROW()-3)="","",INDEX(MASTER_DATABASE!$O$4:$O$1000,ROW()-3)&amp;"")</f>
        <v>Any customer who can provide the listed documents.</v>
      </c>
      <c r="F179" s="7" t="str">
        <f aca="false">IF(INDEX(MASTER_DATABASE!$A$4:$A$1000,ROW()-3)="","",INDEX(MASTER_DATABASE!$M$4:$M$1000,ROW()-3)&amp;"")</f>
        <v>✓ Mobile Phone</v>
      </c>
      <c r="G179" s="7" t="str">
        <f aca="false">IF(INDEX(MASTER_DATABASE!$A$4:$A$1000,ROW()-3)="","",INDEX(MASTER_DATABASE!$P$4:$P$1000,ROW()-3)&amp;"")</f>
        <v>Step 1 → Bring your phone (and old phone for data transfer).
Step 2 → Tell what you want set up.
Step 3 → Work is done at the counter.
Step 4 → Pay the service charge.</v>
      </c>
      <c r="H17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79" s="7" t="str">
        <f aca="false">IF(INDEX(MASTER_DATABASE!$A$4:$A$1000,ROW()-3)="","",INDEX(MASTER_DATABASE!$Q$4:$Q$1000,ROW()-3)&amp;"")</f>
        <v>15–30 Minutes</v>
      </c>
      <c r="J179" s="7" t="str">
        <f aca="false">IF(INDEX(MASTER_DATABASE!$A$4:$A$1000,ROW()-3)="","",INDEX(MASTER_DATABASE!$J$4:$J$1000,ROW()-3)&amp;"")</f>
        <v>To Be Confirmed</v>
      </c>
      <c r="K179" s="7" t="str">
        <f aca="false">IF(INDEX(MASTER_DATABASE!$A$4:$A$1000,ROW()-3)="","",INDEX(MASTER_DATABASE!$AS$4:$AS$1000,ROW()-3)&amp;"")</f>
        <v>Please confirm availability with the shop before visiting.</v>
      </c>
      <c r="L17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7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79" s="7" t="str">
        <f aca="false">IF(INDEX(MASTER_DATABASE!$A$4:$A$1000,ROW()-3)="","",INDEX(MASTER_DATABASE!$BG$4:$BG$1000,ROW()-3)&amp;"")</f>
        <v>Visit Shop</v>
      </c>
    </row>
    <row r="180" customFormat="false" ht="46.25" hidden="false" customHeight="false" outlineLevel="0" collapsed="false">
      <c r="A180" s="11" t="str">
        <f aca="false">IF(INDEX(MASTER_DATABASE!$A$4:$A$1000,ROW()-3)="","",INDEX(MASTER_DATABASE!$A$4:$A$1000,ROW()-3)&amp;"")</f>
        <v>MOB-022</v>
      </c>
      <c r="B180" s="7" t="str">
        <f aca="false">IF(INDEX(MASTER_DATABASE!$A$4:$A$1000,ROW()-3)="","",INDEX(MASTER_DATABASE!$E$4:$E$1000,ROW()-3)&amp;"")</f>
        <v>Basic Mobile Repair (Screen / Battery)</v>
      </c>
      <c r="C180" s="7" t="str">
        <f aca="false">IF(INDEX(MASTER_DATABASE!$A$4:$A$1000,ROW()-3)="","",INDEX(MASTER_DATABASE!$H$4:$H$1000,ROW()-3)&amp;"")</f>
        <v>Basic Mobile Repair (Screen / Battery) at the shop.</v>
      </c>
      <c r="D18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0" s="7" t="str">
        <f aca="false">IF(INDEX(MASTER_DATABASE!$A$4:$A$1000,ROW()-3)="","",INDEX(MASTER_DATABASE!$O$4:$O$1000,ROW()-3)&amp;"")</f>
        <v>Any customer who can provide the listed documents.</v>
      </c>
      <c r="F180" s="7" t="str">
        <f aca="false">IF(INDEX(MASTER_DATABASE!$A$4:$A$1000,ROW()-3)="","",INDEX(MASTER_DATABASE!$M$4:$M$1000,ROW()-3)&amp;"")</f>
        <v>✓ Mobile Phone</v>
      </c>
      <c r="G180" s="7" t="str">
        <f aca="false">IF(INDEX(MASTER_DATABASE!$A$4:$A$1000,ROW()-3)="","",INDEX(MASTER_DATABASE!$P$4:$P$1000,ROW()-3)&amp;"")</f>
        <v>Step 1 → Bring your phone (and old phone for data transfer).
Step 2 → Tell what you want set up.
Step 3 → Work is done at the counter.
Step 4 → Pay the service charge.</v>
      </c>
      <c r="H18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0" s="7" t="str">
        <f aca="false">IF(INDEX(MASTER_DATABASE!$A$4:$A$1000,ROW()-3)="","",INDEX(MASTER_DATABASE!$Q$4:$Q$1000,ROW()-3)&amp;"")</f>
        <v>15–30 Minutes</v>
      </c>
      <c r="J180" s="7" t="str">
        <f aca="false">IF(INDEX(MASTER_DATABASE!$A$4:$A$1000,ROW()-3)="","",INDEX(MASTER_DATABASE!$J$4:$J$1000,ROW()-3)&amp;"")</f>
        <v>To Be Confirmed</v>
      </c>
      <c r="K180" s="7" t="str">
        <f aca="false">IF(INDEX(MASTER_DATABASE!$A$4:$A$1000,ROW()-3)="","",INDEX(MASTER_DATABASE!$AS$4:$AS$1000,ROW()-3)&amp;"")</f>
        <v>Please confirm availability with the shop before visiting.</v>
      </c>
      <c r="L18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0" s="7" t="str">
        <f aca="false">IF(INDEX(MASTER_DATABASE!$A$4:$A$1000,ROW()-3)="","",INDEX(MASTER_DATABASE!$BG$4:$BG$1000,ROW()-3)&amp;"")</f>
        <v>Visit Shop</v>
      </c>
    </row>
    <row r="181" customFormat="false" ht="57.45" hidden="false" customHeight="false" outlineLevel="0" collapsed="false">
      <c r="A181" s="11" t="str">
        <f aca="false">IF(INDEX(MASTER_DATABASE!$A$4:$A$1000,ROW()-3)="","",INDEX(MASTER_DATABASE!$A$4:$A$1000,ROW()-3)&amp;"")</f>
        <v>PRT-001</v>
      </c>
      <c r="B181" s="7" t="str">
        <f aca="false">IF(INDEX(MASTER_DATABASE!$A$4:$A$1000,ROW()-3)="","",INDEX(MASTER_DATABASE!$E$4:$E$1000,ROW()-3)&amp;"")</f>
        <v>B/W Print</v>
      </c>
      <c r="C181" s="7" t="str">
        <f aca="false">IF(INDEX(MASTER_DATABASE!$A$4:$A$1000,ROW()-3)="","",INDEX(MASTER_DATABASE!$H$4:$H$1000,ROW()-3)&amp;"")</f>
        <v>B/W Print at our printing desk.</v>
      </c>
      <c r="D18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1" s="7" t="str">
        <f aca="false">IF(INDEX(MASTER_DATABASE!$A$4:$A$1000,ROW()-3)="","",INDEX(MASTER_DATABASE!$O$4:$O$1000,ROW()-3)&amp;"")</f>
        <v>Any customer who can provide the listed documents.</v>
      </c>
      <c r="F181" s="7" t="str">
        <f aca="false">IF(INDEX(MASTER_DATABASE!$A$4:$A$1000,ROW()-3)="","",INDEX(MASTER_DATABASE!$M$4:$M$1000,ROW()-3)&amp;"")</f>
        <v>✓ Files to Print / Scan</v>
      </c>
      <c r="G181" s="7" t="str">
        <f aca="false">IF(INDEX(MASTER_DATABASE!$A$4:$A$1000,ROW()-3)="","",INDEX(MASTER_DATABASE!$P$4:$P$1000,ROW()-3)&amp;"")</f>
        <v>Step 1 → Bring the file or the original paper.
Step 2 → Operator sets up 'B/W Print' with your page size / colour choice.
Step 3 → You check the first page.
Step 4 → Pay as per pages / quantity and collect.</v>
      </c>
      <c r="H18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1" s="7" t="str">
        <f aca="false">IF(INDEX(MASTER_DATABASE!$A$4:$A$1000,ROW()-3)="","",INDEX(MASTER_DATABASE!$Q$4:$Q$1000,ROW()-3)&amp;"")</f>
        <v>5–10 Minutes</v>
      </c>
      <c r="J181" s="7" t="str">
        <f aca="false">IF(INDEX(MASTER_DATABASE!$A$4:$A$1000,ROW()-3)="","",INDEX(MASTER_DATABASE!$J$4:$J$1000,ROW()-3)&amp;"")</f>
        <v>Available</v>
      </c>
      <c r="K181" s="7" t="str">
        <f aca="false">IF(INDEX(MASTER_DATABASE!$A$4:$A$1000,ROW()-3)="","",INDEX(MASTER_DATABASE!$AS$4:$AS$1000,ROW()-3)&amp;"")</f>
        <v/>
      </c>
      <c r="L18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1" s="7" t="str">
        <f aca="false">IF(INDEX(MASTER_DATABASE!$A$4:$A$1000,ROW()-3)="","",INDEX(MASTER_DATABASE!$BG$4:$BG$1000,ROW()-3)&amp;"")</f>
        <v>Visit Shop</v>
      </c>
    </row>
    <row r="182" customFormat="false" ht="57.45" hidden="false" customHeight="false" outlineLevel="0" collapsed="false">
      <c r="A182" s="11" t="str">
        <f aca="false">IF(INDEX(MASTER_DATABASE!$A$4:$A$1000,ROW()-3)="","",INDEX(MASTER_DATABASE!$A$4:$A$1000,ROW()-3)&amp;"")</f>
        <v>PRT-002</v>
      </c>
      <c r="B182" s="7" t="str">
        <f aca="false">IF(INDEX(MASTER_DATABASE!$A$4:$A$1000,ROW()-3)="","",INDEX(MASTER_DATABASE!$E$4:$E$1000,ROW()-3)&amp;"")</f>
        <v>Colour Print</v>
      </c>
      <c r="C182" s="7" t="str">
        <f aca="false">IF(INDEX(MASTER_DATABASE!$A$4:$A$1000,ROW()-3)="","",INDEX(MASTER_DATABASE!$H$4:$H$1000,ROW()-3)&amp;"")</f>
        <v>Colour Print at our printing desk.</v>
      </c>
      <c r="D18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2" s="7" t="str">
        <f aca="false">IF(INDEX(MASTER_DATABASE!$A$4:$A$1000,ROW()-3)="","",INDEX(MASTER_DATABASE!$O$4:$O$1000,ROW()-3)&amp;"")</f>
        <v>Any customer who can provide the listed documents.</v>
      </c>
      <c r="F182" s="7" t="str">
        <f aca="false">IF(INDEX(MASTER_DATABASE!$A$4:$A$1000,ROW()-3)="","",INDEX(MASTER_DATABASE!$M$4:$M$1000,ROW()-3)&amp;"")</f>
        <v>✓ Files to Print / Scan</v>
      </c>
      <c r="G182" s="7" t="str">
        <f aca="false">IF(INDEX(MASTER_DATABASE!$A$4:$A$1000,ROW()-3)="","",INDEX(MASTER_DATABASE!$P$4:$P$1000,ROW()-3)&amp;"")</f>
        <v>Step 1 → Bring the file or the original paper.
Step 2 → Operator sets up 'Colour Print' with your page size / colour choice.
Step 3 → You check the first page.
Step 4 → Pay as per pages / quantity and collect.</v>
      </c>
      <c r="H18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2" s="7" t="str">
        <f aca="false">IF(INDEX(MASTER_DATABASE!$A$4:$A$1000,ROW()-3)="","",INDEX(MASTER_DATABASE!$Q$4:$Q$1000,ROW()-3)&amp;"")</f>
        <v>5–10 Minutes</v>
      </c>
      <c r="J182" s="7" t="str">
        <f aca="false">IF(INDEX(MASTER_DATABASE!$A$4:$A$1000,ROW()-3)="","",INDEX(MASTER_DATABASE!$J$4:$J$1000,ROW()-3)&amp;"")</f>
        <v>Available</v>
      </c>
      <c r="K182" s="7" t="str">
        <f aca="false">IF(INDEX(MASTER_DATABASE!$A$4:$A$1000,ROW()-3)="","",INDEX(MASTER_DATABASE!$AS$4:$AS$1000,ROW()-3)&amp;"")</f>
        <v/>
      </c>
      <c r="L18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2" s="7" t="str">
        <f aca="false">IF(INDEX(MASTER_DATABASE!$A$4:$A$1000,ROW()-3)="","",INDEX(MASTER_DATABASE!$BG$4:$BG$1000,ROW()-3)&amp;"")</f>
        <v>Visit Shop</v>
      </c>
    </row>
    <row r="183" customFormat="false" ht="57.45" hidden="false" customHeight="false" outlineLevel="0" collapsed="false">
      <c r="A183" s="11" t="str">
        <f aca="false">IF(INDEX(MASTER_DATABASE!$A$4:$A$1000,ROW()-3)="","",INDEX(MASTER_DATABASE!$A$4:$A$1000,ROW()-3)&amp;"")</f>
        <v>PRT-003</v>
      </c>
      <c r="B183" s="7" t="str">
        <f aca="false">IF(INDEX(MASTER_DATABASE!$A$4:$A$1000,ROW()-3)="","",INDEX(MASTER_DATABASE!$E$4:$E$1000,ROW()-3)&amp;"")</f>
        <v>Xerox (Photocopy)</v>
      </c>
      <c r="C183" s="7" t="str">
        <f aca="false">IF(INDEX(MASTER_DATABASE!$A$4:$A$1000,ROW()-3)="","",INDEX(MASTER_DATABASE!$H$4:$H$1000,ROW()-3)&amp;"")</f>
        <v>Xerox (Photocopy) at our printing desk.</v>
      </c>
      <c r="D18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3" s="7" t="str">
        <f aca="false">IF(INDEX(MASTER_DATABASE!$A$4:$A$1000,ROW()-3)="","",INDEX(MASTER_DATABASE!$O$4:$O$1000,ROW()-3)&amp;"")</f>
        <v>Any customer who can provide the listed documents.</v>
      </c>
      <c r="F183" s="7" t="str">
        <f aca="false">IF(INDEX(MASTER_DATABASE!$A$4:$A$1000,ROW()-3)="","",INDEX(MASTER_DATABASE!$M$4:$M$1000,ROW()-3)&amp;"")</f>
        <v>✓ Files to Print / Scan</v>
      </c>
      <c r="G183" s="7" t="str">
        <f aca="false">IF(INDEX(MASTER_DATABASE!$A$4:$A$1000,ROW()-3)="","",INDEX(MASTER_DATABASE!$P$4:$P$1000,ROW()-3)&amp;"")</f>
        <v>Step 1 → Bring the file or the original paper.
Step 2 → Operator sets up 'Xerox (Photocopy)' with your page size / colour choice.
Step 3 → You check the first page.
Step 4 → Pay as per pages / quantity and collect.</v>
      </c>
      <c r="H18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3" s="7" t="str">
        <f aca="false">IF(INDEX(MASTER_DATABASE!$A$4:$A$1000,ROW()-3)="","",INDEX(MASTER_DATABASE!$Q$4:$Q$1000,ROW()-3)&amp;"")</f>
        <v>5–10 Minutes</v>
      </c>
      <c r="J183" s="7" t="str">
        <f aca="false">IF(INDEX(MASTER_DATABASE!$A$4:$A$1000,ROW()-3)="","",INDEX(MASTER_DATABASE!$J$4:$J$1000,ROW()-3)&amp;"")</f>
        <v>Available</v>
      </c>
      <c r="K183" s="7" t="str">
        <f aca="false">IF(INDEX(MASTER_DATABASE!$A$4:$A$1000,ROW()-3)="","",INDEX(MASTER_DATABASE!$AS$4:$AS$1000,ROW()-3)&amp;"")</f>
        <v/>
      </c>
      <c r="L18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3" s="7" t="str">
        <f aca="false">IF(INDEX(MASTER_DATABASE!$A$4:$A$1000,ROW()-3)="","",INDEX(MASTER_DATABASE!$BG$4:$BG$1000,ROW()-3)&amp;"")</f>
        <v>Visit Shop</v>
      </c>
    </row>
    <row r="184" customFormat="false" ht="46.25" hidden="false" customHeight="false" outlineLevel="0" collapsed="false">
      <c r="A184" s="11" t="str">
        <f aca="false">IF(INDEX(MASTER_DATABASE!$A$4:$A$1000,ROW()-3)="","",INDEX(MASTER_DATABASE!$A$4:$A$1000,ROW()-3)&amp;"")</f>
        <v>PRT-004</v>
      </c>
      <c r="B184" s="7" t="str">
        <f aca="false">IF(INDEX(MASTER_DATABASE!$A$4:$A$1000,ROW()-3)="","",INDEX(MASTER_DATABASE!$E$4:$E$1000,ROW()-3)&amp;"")</f>
        <v>PDF Print</v>
      </c>
      <c r="C184" s="7" t="str">
        <f aca="false">IF(INDEX(MASTER_DATABASE!$A$4:$A$1000,ROW()-3)="","",INDEX(MASTER_DATABASE!$H$4:$H$1000,ROW()-3)&amp;"")</f>
        <v>PDF Print at our document desk.</v>
      </c>
      <c r="D18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4" s="7" t="str">
        <f aca="false">IF(INDEX(MASTER_DATABASE!$A$4:$A$1000,ROW()-3)="","",INDEX(MASTER_DATABASE!$O$4:$O$1000,ROW()-3)&amp;"")</f>
        <v>Any customer who can provide the listed documents.</v>
      </c>
      <c r="F184" s="7" t="str">
        <f aca="false">IF(INDEX(MASTER_DATABASE!$A$4:$A$1000,ROW()-3)="","",INDEX(MASTER_DATABASE!$M$4:$M$1000,ROW()-3)&amp;"")</f>
        <v>✓ Files to Print / Scan</v>
      </c>
      <c r="G184" s="7" t="str">
        <f aca="false">IF(INDEX(MASTER_DATABASE!$A$4:$A$1000,ROW()-3)="","",INDEX(MASTER_DATABASE!$P$4:$P$1000,ROW()-3)&amp;"")</f>
        <v>Step 1 → Share the file(s) by pendrive, phone or WhatsApp.
Step 2 → Operator performs 'PDF Print'.
Step 3 → You check the output file.
Step 4 → File is given back and payment is made.</v>
      </c>
      <c r="H18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4" s="7" t="str">
        <f aca="false">IF(INDEX(MASTER_DATABASE!$A$4:$A$1000,ROW()-3)="","",INDEX(MASTER_DATABASE!$Q$4:$Q$1000,ROW()-3)&amp;"")</f>
        <v>5–10 Minutes</v>
      </c>
      <c r="J184" s="7" t="str">
        <f aca="false">IF(INDEX(MASTER_DATABASE!$A$4:$A$1000,ROW()-3)="","",INDEX(MASTER_DATABASE!$J$4:$J$1000,ROW()-3)&amp;"")</f>
        <v>Available</v>
      </c>
      <c r="K184" s="7" t="str">
        <f aca="false">IF(INDEX(MASTER_DATABASE!$A$4:$A$1000,ROW()-3)="","",INDEX(MASTER_DATABASE!$AS$4:$AS$1000,ROW()-3)&amp;"")</f>
        <v/>
      </c>
      <c r="L18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4" s="7" t="str">
        <f aca="false">IF(INDEX(MASTER_DATABASE!$A$4:$A$1000,ROW()-3)="","",INDEX(MASTER_DATABASE!$BG$4:$BG$1000,ROW()-3)&amp;"")</f>
        <v>Visit Shop</v>
      </c>
    </row>
    <row r="185" customFormat="false" ht="57.45" hidden="false" customHeight="false" outlineLevel="0" collapsed="false">
      <c r="A185" s="11" t="str">
        <f aca="false">IF(INDEX(MASTER_DATABASE!$A$4:$A$1000,ROW()-3)="","",INDEX(MASTER_DATABASE!$A$4:$A$1000,ROW()-3)&amp;"")</f>
        <v>PRT-005</v>
      </c>
      <c r="B185" s="7" t="str">
        <f aca="false">IF(INDEX(MASTER_DATABASE!$A$4:$A$1000,ROW()-3)="","",INDEX(MASTER_DATABASE!$E$4:$E$1000,ROW()-3)&amp;"")</f>
        <v>A3 / Large Size Print</v>
      </c>
      <c r="C185" s="7" t="str">
        <f aca="false">IF(INDEX(MASTER_DATABASE!$A$4:$A$1000,ROW()-3)="","",INDEX(MASTER_DATABASE!$H$4:$H$1000,ROW()-3)&amp;"")</f>
        <v>A3 / Large Size Print at our printing desk.</v>
      </c>
      <c r="D18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5" s="7" t="str">
        <f aca="false">IF(INDEX(MASTER_DATABASE!$A$4:$A$1000,ROW()-3)="","",INDEX(MASTER_DATABASE!$O$4:$O$1000,ROW()-3)&amp;"")</f>
        <v>Any customer who can provide the listed documents.</v>
      </c>
      <c r="F185" s="7" t="str">
        <f aca="false">IF(INDEX(MASTER_DATABASE!$A$4:$A$1000,ROW()-3)="","",INDEX(MASTER_DATABASE!$M$4:$M$1000,ROW()-3)&amp;"")</f>
        <v>✓ Files to Print / Scan</v>
      </c>
      <c r="G185" s="7" t="str">
        <f aca="false">IF(INDEX(MASTER_DATABASE!$A$4:$A$1000,ROW()-3)="","",INDEX(MASTER_DATABASE!$P$4:$P$1000,ROW()-3)&amp;"")</f>
        <v>Step 1 → Bring the file or the original paper.
Step 2 → Operator sets up 'A3 / Large Size Print' with your page size / colour choice.
Step 3 → You check the first page.
Step 4 → Pay as per pages / quantity and collect.</v>
      </c>
      <c r="H18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5" s="7" t="str">
        <f aca="false">IF(INDEX(MASTER_DATABASE!$A$4:$A$1000,ROW()-3)="","",INDEX(MASTER_DATABASE!$Q$4:$Q$1000,ROW()-3)&amp;"")</f>
        <v>5–10 Minutes</v>
      </c>
      <c r="J185" s="7" t="str">
        <f aca="false">IF(INDEX(MASTER_DATABASE!$A$4:$A$1000,ROW()-3)="","",INDEX(MASTER_DATABASE!$J$4:$J$1000,ROW()-3)&amp;"")</f>
        <v>To Be Confirmed</v>
      </c>
      <c r="K185" s="7" t="str">
        <f aca="false">IF(INDEX(MASTER_DATABASE!$A$4:$A$1000,ROW()-3)="","",INDEX(MASTER_DATABASE!$AS$4:$AS$1000,ROW()-3)&amp;"")</f>
        <v>Please confirm availability with the shop before visiting.</v>
      </c>
      <c r="L18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5" s="7" t="str">
        <f aca="false">IF(INDEX(MASTER_DATABASE!$A$4:$A$1000,ROW()-3)="","",INDEX(MASTER_DATABASE!$BG$4:$BG$1000,ROW()-3)&amp;"")</f>
        <v>Visit Shop</v>
      </c>
    </row>
    <row r="186" customFormat="false" ht="57.45" hidden="false" customHeight="false" outlineLevel="0" collapsed="false">
      <c r="A186" s="11" t="str">
        <f aca="false">IF(INDEX(MASTER_DATABASE!$A$4:$A$1000,ROW()-3)="","",INDEX(MASTER_DATABASE!$A$4:$A$1000,ROW()-3)&amp;"")</f>
        <v>PRT-006</v>
      </c>
      <c r="B186" s="7" t="str">
        <f aca="false">IF(INDEX(MASTER_DATABASE!$A$4:$A$1000,ROW()-3)="","",INDEX(MASTER_DATABASE!$E$4:$E$1000,ROW()-3)&amp;"")</f>
        <v>Print from Mobile (WhatsApp / Email / Drive)</v>
      </c>
      <c r="C186" s="7" t="str">
        <f aca="false">IF(INDEX(MASTER_DATABASE!$A$4:$A$1000,ROW()-3)="","",INDEX(MASTER_DATABASE!$H$4:$H$1000,ROW()-3)&amp;"")</f>
        <v>Print from Mobile (WhatsApp / Email / Drive) at our printing desk.</v>
      </c>
      <c r="D18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6" s="7" t="str">
        <f aca="false">IF(INDEX(MASTER_DATABASE!$A$4:$A$1000,ROW()-3)="","",INDEX(MASTER_DATABASE!$O$4:$O$1000,ROW()-3)&amp;"")</f>
        <v>Any customer who can provide the listed documents.</v>
      </c>
      <c r="F186" s="7" t="str">
        <f aca="false">IF(INDEX(MASTER_DATABASE!$A$4:$A$1000,ROW()-3)="","",INDEX(MASTER_DATABASE!$M$4:$M$1000,ROW()-3)&amp;"")</f>
        <v>✓ Files to Print / Scan</v>
      </c>
      <c r="G186" s="7" t="str">
        <f aca="false">IF(INDEX(MASTER_DATABASE!$A$4:$A$1000,ROW()-3)="","",INDEX(MASTER_DATABASE!$P$4:$P$1000,ROW()-3)&amp;"")</f>
        <v>Step 1 → Bring the file or the original paper.
Step 2 → Operator sets up 'Print from Mobile (WhatsApp / Email / Drive)' with your page size / colour choice.
Step 3 → You check the first page.
Step 4 → Pay as per pages / quantity and collect.</v>
      </c>
      <c r="H18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6" s="7" t="str">
        <f aca="false">IF(INDEX(MASTER_DATABASE!$A$4:$A$1000,ROW()-3)="","",INDEX(MASTER_DATABASE!$Q$4:$Q$1000,ROW()-3)&amp;"")</f>
        <v>5–10 Minutes</v>
      </c>
      <c r="J186" s="7" t="str">
        <f aca="false">IF(INDEX(MASTER_DATABASE!$A$4:$A$1000,ROW()-3)="","",INDEX(MASTER_DATABASE!$J$4:$J$1000,ROW()-3)&amp;"")</f>
        <v>Available</v>
      </c>
      <c r="K186" s="7" t="str">
        <f aca="false">IF(INDEX(MASTER_DATABASE!$A$4:$A$1000,ROW()-3)="","",INDEX(MASTER_DATABASE!$AS$4:$AS$1000,ROW()-3)&amp;"")</f>
        <v/>
      </c>
      <c r="L18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6" s="7" t="str">
        <f aca="false">IF(INDEX(MASTER_DATABASE!$A$4:$A$1000,ROW()-3)="","",INDEX(MASTER_DATABASE!$BG$4:$BG$1000,ROW()-3)&amp;"")</f>
        <v>Visit Shop</v>
      </c>
    </row>
    <row r="187" customFormat="false" ht="57.45" hidden="false" customHeight="false" outlineLevel="0" collapsed="false">
      <c r="A187" s="11" t="str">
        <f aca="false">IF(INDEX(MASTER_DATABASE!$A$4:$A$1000,ROW()-3)="","",INDEX(MASTER_DATABASE!$A$4:$A$1000,ROW()-3)&amp;"")</f>
        <v>PRT-007</v>
      </c>
      <c r="B187" s="7" t="str">
        <f aca="false">IF(INDEX(MASTER_DATABASE!$A$4:$A$1000,ROW()-3)="","",INDEX(MASTER_DATABASE!$E$4:$E$1000,ROW()-3)&amp;"")</f>
        <v>Scanning</v>
      </c>
      <c r="C187" s="7" t="str">
        <f aca="false">IF(INDEX(MASTER_DATABASE!$A$4:$A$1000,ROW()-3)="","",INDEX(MASTER_DATABASE!$H$4:$H$1000,ROW()-3)&amp;"")</f>
        <v>Scanning at our printing desk.</v>
      </c>
      <c r="D18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7" s="7" t="str">
        <f aca="false">IF(INDEX(MASTER_DATABASE!$A$4:$A$1000,ROW()-3)="","",INDEX(MASTER_DATABASE!$O$4:$O$1000,ROW()-3)&amp;"")</f>
        <v>Any customer who can provide the listed documents.</v>
      </c>
      <c r="F187" s="7" t="str">
        <f aca="false">IF(INDEX(MASTER_DATABASE!$A$4:$A$1000,ROW()-3)="","",INDEX(MASTER_DATABASE!$M$4:$M$1000,ROW()-3)&amp;"")</f>
        <v>✓ Files to Print / Scan</v>
      </c>
      <c r="G187" s="7" t="str">
        <f aca="false">IF(INDEX(MASTER_DATABASE!$A$4:$A$1000,ROW()-3)="","",INDEX(MASTER_DATABASE!$P$4:$P$1000,ROW()-3)&amp;"")</f>
        <v>Step 1 → Bring the file or the original paper.
Step 2 → Operator sets up 'Scanning' with your page size / colour choice.
Step 3 → You check the first page.
Step 4 → Pay as per pages / quantity and collect.</v>
      </c>
      <c r="H18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7" s="7" t="str">
        <f aca="false">IF(INDEX(MASTER_DATABASE!$A$4:$A$1000,ROW()-3)="","",INDEX(MASTER_DATABASE!$Q$4:$Q$1000,ROW()-3)&amp;"")</f>
        <v>5–10 Minutes</v>
      </c>
      <c r="J187" s="7" t="str">
        <f aca="false">IF(INDEX(MASTER_DATABASE!$A$4:$A$1000,ROW()-3)="","",INDEX(MASTER_DATABASE!$J$4:$J$1000,ROW()-3)&amp;"")</f>
        <v>Available</v>
      </c>
      <c r="K187" s="7" t="str">
        <f aca="false">IF(INDEX(MASTER_DATABASE!$A$4:$A$1000,ROW()-3)="","",INDEX(MASTER_DATABASE!$AS$4:$AS$1000,ROW()-3)&amp;"")</f>
        <v/>
      </c>
      <c r="L18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7" s="7" t="str">
        <f aca="false">IF(INDEX(MASTER_DATABASE!$A$4:$A$1000,ROW()-3)="","",INDEX(MASTER_DATABASE!$BG$4:$BG$1000,ROW()-3)&amp;"")</f>
        <v>Visit Shop</v>
      </c>
    </row>
    <row r="188" customFormat="false" ht="57.45" hidden="false" customHeight="false" outlineLevel="0" collapsed="false">
      <c r="A188" s="11" t="str">
        <f aca="false">IF(INDEX(MASTER_DATABASE!$A$4:$A$1000,ROW()-3)="","",INDEX(MASTER_DATABASE!$A$4:$A$1000,ROW()-3)&amp;"")</f>
        <v>PRT-008</v>
      </c>
      <c r="B188" s="7" t="str">
        <f aca="false">IF(INDEX(MASTER_DATABASE!$A$4:$A$1000,ROW()-3)="","",INDEX(MASTER_DATABASE!$E$4:$E$1000,ROW()-3)&amp;"")</f>
        <v>Lamination</v>
      </c>
      <c r="C188" s="7" t="str">
        <f aca="false">IF(INDEX(MASTER_DATABASE!$A$4:$A$1000,ROW()-3)="","",INDEX(MASTER_DATABASE!$H$4:$H$1000,ROW()-3)&amp;"")</f>
        <v>Lamination at our printing desk.</v>
      </c>
      <c r="D18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8" s="7" t="str">
        <f aca="false">IF(INDEX(MASTER_DATABASE!$A$4:$A$1000,ROW()-3)="","",INDEX(MASTER_DATABASE!$O$4:$O$1000,ROW()-3)&amp;"")</f>
        <v>Any customer who can provide the listed documents.</v>
      </c>
      <c r="F188" s="7" t="str">
        <f aca="false">IF(INDEX(MASTER_DATABASE!$A$4:$A$1000,ROW()-3)="","",INDEX(MASTER_DATABASE!$M$4:$M$1000,ROW()-3)&amp;"")</f>
        <v>✓ Files to Print / Scan</v>
      </c>
      <c r="G188" s="7" t="str">
        <f aca="false">IF(INDEX(MASTER_DATABASE!$A$4:$A$1000,ROW()-3)="","",INDEX(MASTER_DATABASE!$P$4:$P$1000,ROW()-3)&amp;"")</f>
        <v>Step 1 → Bring the file or the original paper.
Step 2 → Operator sets up 'Lamination' with your page size / colour choice.
Step 3 → You check the first page.
Step 4 → Pay as per pages / quantity and collect.</v>
      </c>
      <c r="H18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8" s="7" t="str">
        <f aca="false">IF(INDEX(MASTER_DATABASE!$A$4:$A$1000,ROW()-3)="","",INDEX(MASTER_DATABASE!$Q$4:$Q$1000,ROW()-3)&amp;"")</f>
        <v>5–10 Minutes</v>
      </c>
      <c r="J188" s="7" t="str">
        <f aca="false">IF(INDEX(MASTER_DATABASE!$A$4:$A$1000,ROW()-3)="","",INDEX(MASTER_DATABASE!$J$4:$J$1000,ROW()-3)&amp;"")</f>
        <v>Available</v>
      </c>
      <c r="K188" s="7" t="str">
        <f aca="false">IF(INDEX(MASTER_DATABASE!$A$4:$A$1000,ROW()-3)="","",INDEX(MASTER_DATABASE!$AS$4:$AS$1000,ROW()-3)&amp;"")</f>
        <v/>
      </c>
      <c r="L18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8" s="7" t="str">
        <f aca="false">IF(INDEX(MASTER_DATABASE!$A$4:$A$1000,ROW()-3)="","",INDEX(MASTER_DATABASE!$BG$4:$BG$1000,ROW()-3)&amp;"")</f>
        <v>Visit Shop</v>
      </c>
    </row>
    <row r="189" customFormat="false" ht="57.45" hidden="false" customHeight="false" outlineLevel="0" collapsed="false">
      <c r="A189" s="11" t="str">
        <f aca="false">IF(INDEX(MASTER_DATABASE!$A$4:$A$1000,ROW()-3)="","",INDEX(MASTER_DATABASE!$A$4:$A$1000,ROW()-3)&amp;"")</f>
        <v>PRT-009</v>
      </c>
      <c r="B189" s="7" t="str">
        <f aca="false">IF(INDEX(MASTER_DATABASE!$A$4:$A$1000,ROW()-3)="","",INDEX(MASTER_DATABASE!$E$4:$E$1000,ROW()-3)&amp;"")</f>
        <v>Spiral Binding</v>
      </c>
      <c r="C189" s="7" t="str">
        <f aca="false">IF(INDEX(MASTER_DATABASE!$A$4:$A$1000,ROW()-3)="","",INDEX(MASTER_DATABASE!$H$4:$H$1000,ROW()-3)&amp;"")</f>
        <v>Spiral Binding at our printing desk.</v>
      </c>
      <c r="D18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89" s="7" t="str">
        <f aca="false">IF(INDEX(MASTER_DATABASE!$A$4:$A$1000,ROW()-3)="","",INDEX(MASTER_DATABASE!$O$4:$O$1000,ROW()-3)&amp;"")</f>
        <v>Any customer who can provide the listed documents.</v>
      </c>
      <c r="F189" s="7" t="str">
        <f aca="false">IF(INDEX(MASTER_DATABASE!$A$4:$A$1000,ROW()-3)="","",INDEX(MASTER_DATABASE!$M$4:$M$1000,ROW()-3)&amp;"")</f>
        <v>✓ Files to Print / Scan</v>
      </c>
      <c r="G189" s="7" t="str">
        <f aca="false">IF(INDEX(MASTER_DATABASE!$A$4:$A$1000,ROW()-3)="","",INDEX(MASTER_DATABASE!$P$4:$P$1000,ROW()-3)&amp;"")</f>
        <v>Step 1 → Bring the file or the original paper.
Step 2 → Operator sets up 'Spiral Binding' with your page size / colour choice.
Step 3 → You check the first page.
Step 4 → Pay as per pages / quantity and collect.</v>
      </c>
      <c r="H18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89" s="7" t="str">
        <f aca="false">IF(INDEX(MASTER_DATABASE!$A$4:$A$1000,ROW()-3)="","",INDEX(MASTER_DATABASE!$Q$4:$Q$1000,ROW()-3)&amp;"")</f>
        <v>5–10 Minutes</v>
      </c>
      <c r="J189" s="7" t="str">
        <f aca="false">IF(INDEX(MASTER_DATABASE!$A$4:$A$1000,ROW()-3)="","",INDEX(MASTER_DATABASE!$J$4:$J$1000,ROW()-3)&amp;"")</f>
        <v>To Be Confirmed</v>
      </c>
      <c r="K189" s="7" t="str">
        <f aca="false">IF(INDEX(MASTER_DATABASE!$A$4:$A$1000,ROW()-3)="","",INDEX(MASTER_DATABASE!$AS$4:$AS$1000,ROW()-3)&amp;"")</f>
        <v>Please confirm availability with the shop before visiting.</v>
      </c>
      <c r="L18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8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89" s="7" t="str">
        <f aca="false">IF(INDEX(MASTER_DATABASE!$A$4:$A$1000,ROW()-3)="","",INDEX(MASTER_DATABASE!$BG$4:$BG$1000,ROW()-3)&amp;"")</f>
        <v>Visit Shop</v>
      </c>
    </row>
    <row r="190" customFormat="false" ht="46.25" hidden="false" customHeight="false" outlineLevel="0" collapsed="false">
      <c r="A190" s="11" t="str">
        <f aca="false">IF(INDEX(MASTER_DATABASE!$A$4:$A$1000,ROW()-3)="","",INDEX(MASTER_DATABASE!$A$4:$A$1000,ROW()-3)&amp;"")</f>
        <v>PRT-010</v>
      </c>
      <c r="B190" s="7" t="str">
        <f aca="false">IF(INDEX(MASTER_DATABASE!$A$4:$A$1000,ROW()-3)="","",INDEX(MASTER_DATABASE!$E$4:$E$1000,ROW()-3)&amp;"")</f>
        <v>PDF Creation</v>
      </c>
      <c r="C190" s="7" t="str">
        <f aca="false">IF(INDEX(MASTER_DATABASE!$A$4:$A$1000,ROW()-3)="","",INDEX(MASTER_DATABASE!$H$4:$H$1000,ROW()-3)&amp;"")</f>
        <v>PDF Creation at our document desk.</v>
      </c>
      <c r="D19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0" s="7" t="str">
        <f aca="false">IF(INDEX(MASTER_DATABASE!$A$4:$A$1000,ROW()-3)="","",INDEX(MASTER_DATABASE!$O$4:$O$1000,ROW()-3)&amp;"")</f>
        <v>Any customer who can provide the listed documents.</v>
      </c>
      <c r="F190" s="7" t="str">
        <f aca="false">IF(INDEX(MASTER_DATABASE!$A$4:$A$1000,ROW()-3)="","",INDEX(MASTER_DATABASE!$M$4:$M$1000,ROW()-3)&amp;"")</f>
        <v>✓ Files to Print / Scan</v>
      </c>
      <c r="G190" s="7" t="str">
        <f aca="false">IF(INDEX(MASTER_DATABASE!$A$4:$A$1000,ROW()-3)="","",INDEX(MASTER_DATABASE!$P$4:$P$1000,ROW()-3)&amp;"")</f>
        <v>Step 1 → Share the file(s) by pendrive, phone or WhatsApp.
Step 2 → Operator performs 'PDF Creation'.
Step 3 → You check the output file.
Step 4 → File is given back and payment is made.</v>
      </c>
      <c r="H19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0" s="7" t="str">
        <f aca="false">IF(INDEX(MASTER_DATABASE!$A$4:$A$1000,ROW()-3)="","",INDEX(MASTER_DATABASE!$Q$4:$Q$1000,ROW()-3)&amp;"")</f>
        <v>5–10 Minutes</v>
      </c>
      <c r="J190" s="7" t="str">
        <f aca="false">IF(INDEX(MASTER_DATABASE!$A$4:$A$1000,ROW()-3)="","",INDEX(MASTER_DATABASE!$J$4:$J$1000,ROW()-3)&amp;"")</f>
        <v>Available</v>
      </c>
      <c r="K190" s="7" t="str">
        <f aca="false">IF(INDEX(MASTER_DATABASE!$A$4:$A$1000,ROW()-3)="","",INDEX(MASTER_DATABASE!$AS$4:$AS$1000,ROW()-3)&amp;"")</f>
        <v/>
      </c>
      <c r="L19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0" s="7" t="str">
        <f aca="false">IF(INDEX(MASTER_DATABASE!$A$4:$A$1000,ROW()-3)="","",INDEX(MASTER_DATABASE!$BG$4:$BG$1000,ROW()-3)&amp;"")</f>
        <v>Visit Shop</v>
      </c>
    </row>
    <row r="191" customFormat="false" ht="46.25" hidden="false" customHeight="false" outlineLevel="0" collapsed="false">
      <c r="A191" s="11" t="str">
        <f aca="false">IF(INDEX(MASTER_DATABASE!$A$4:$A$1000,ROW()-3)="","",INDEX(MASTER_DATABASE!$A$4:$A$1000,ROW()-3)&amp;"")</f>
        <v>PRT-011</v>
      </c>
      <c r="B191" s="7" t="str">
        <f aca="false">IF(INDEX(MASTER_DATABASE!$A$4:$A$1000,ROW()-3)="","",INDEX(MASTER_DATABASE!$E$4:$E$1000,ROW()-3)&amp;"")</f>
        <v>PDF Merge</v>
      </c>
      <c r="C191" s="7" t="str">
        <f aca="false">IF(INDEX(MASTER_DATABASE!$A$4:$A$1000,ROW()-3)="","",INDEX(MASTER_DATABASE!$H$4:$H$1000,ROW()-3)&amp;"")</f>
        <v>PDF Merge at our document desk.</v>
      </c>
      <c r="D19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1" s="7" t="str">
        <f aca="false">IF(INDEX(MASTER_DATABASE!$A$4:$A$1000,ROW()-3)="","",INDEX(MASTER_DATABASE!$O$4:$O$1000,ROW()-3)&amp;"")</f>
        <v>Any customer who can provide the listed documents.</v>
      </c>
      <c r="F191" s="7" t="str">
        <f aca="false">IF(INDEX(MASTER_DATABASE!$A$4:$A$1000,ROW()-3)="","",INDEX(MASTER_DATABASE!$M$4:$M$1000,ROW()-3)&amp;"")</f>
        <v>✓ Files to Print / Scan</v>
      </c>
      <c r="G191" s="7" t="str">
        <f aca="false">IF(INDEX(MASTER_DATABASE!$A$4:$A$1000,ROW()-3)="","",INDEX(MASTER_DATABASE!$P$4:$P$1000,ROW()-3)&amp;"")</f>
        <v>Step 1 → Share the file(s) by pendrive, phone or WhatsApp.
Step 2 → Operator performs 'PDF Merge'.
Step 3 → You check the output file.
Step 4 → File is given back and payment is made.</v>
      </c>
      <c r="H19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1" s="7" t="str">
        <f aca="false">IF(INDEX(MASTER_DATABASE!$A$4:$A$1000,ROW()-3)="","",INDEX(MASTER_DATABASE!$Q$4:$Q$1000,ROW()-3)&amp;"")</f>
        <v>5–10 Minutes</v>
      </c>
      <c r="J191" s="7" t="str">
        <f aca="false">IF(INDEX(MASTER_DATABASE!$A$4:$A$1000,ROW()-3)="","",INDEX(MASTER_DATABASE!$J$4:$J$1000,ROW()-3)&amp;"")</f>
        <v>Available</v>
      </c>
      <c r="K191" s="7" t="str">
        <f aca="false">IF(INDEX(MASTER_DATABASE!$A$4:$A$1000,ROW()-3)="","",INDEX(MASTER_DATABASE!$AS$4:$AS$1000,ROW()-3)&amp;"")</f>
        <v/>
      </c>
      <c r="L19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1" s="7" t="str">
        <f aca="false">IF(INDEX(MASTER_DATABASE!$A$4:$A$1000,ROW()-3)="","",INDEX(MASTER_DATABASE!$BG$4:$BG$1000,ROW()-3)&amp;"")</f>
        <v>Visit Shop</v>
      </c>
    </row>
    <row r="192" customFormat="false" ht="46.25" hidden="false" customHeight="false" outlineLevel="0" collapsed="false">
      <c r="A192" s="11" t="str">
        <f aca="false">IF(INDEX(MASTER_DATABASE!$A$4:$A$1000,ROW()-3)="","",INDEX(MASTER_DATABASE!$A$4:$A$1000,ROW()-3)&amp;"")</f>
        <v>PRT-012</v>
      </c>
      <c r="B192" s="7" t="str">
        <f aca="false">IF(INDEX(MASTER_DATABASE!$A$4:$A$1000,ROW()-3)="","",INDEX(MASTER_DATABASE!$E$4:$E$1000,ROW()-3)&amp;"")</f>
        <v>PDF Split</v>
      </c>
      <c r="C192" s="7" t="str">
        <f aca="false">IF(INDEX(MASTER_DATABASE!$A$4:$A$1000,ROW()-3)="","",INDEX(MASTER_DATABASE!$H$4:$H$1000,ROW()-3)&amp;"")</f>
        <v>PDF Split at our document desk.</v>
      </c>
      <c r="D19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2" s="7" t="str">
        <f aca="false">IF(INDEX(MASTER_DATABASE!$A$4:$A$1000,ROW()-3)="","",INDEX(MASTER_DATABASE!$O$4:$O$1000,ROW()-3)&amp;"")</f>
        <v>Any customer who can provide the listed documents.</v>
      </c>
      <c r="F192" s="7" t="str">
        <f aca="false">IF(INDEX(MASTER_DATABASE!$A$4:$A$1000,ROW()-3)="","",INDEX(MASTER_DATABASE!$M$4:$M$1000,ROW()-3)&amp;"")</f>
        <v>✓ Files to Print / Scan</v>
      </c>
      <c r="G192" s="7" t="str">
        <f aca="false">IF(INDEX(MASTER_DATABASE!$A$4:$A$1000,ROW()-3)="","",INDEX(MASTER_DATABASE!$P$4:$P$1000,ROW()-3)&amp;"")</f>
        <v>Step 1 → Share the file(s) by pendrive, phone or WhatsApp.
Step 2 → Operator performs 'PDF Split'.
Step 3 → You check the output file.
Step 4 → File is given back and payment is made.</v>
      </c>
      <c r="H19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2" s="7" t="str">
        <f aca="false">IF(INDEX(MASTER_DATABASE!$A$4:$A$1000,ROW()-3)="","",INDEX(MASTER_DATABASE!$Q$4:$Q$1000,ROW()-3)&amp;"")</f>
        <v>5–10 Minutes</v>
      </c>
      <c r="J192" s="7" t="str">
        <f aca="false">IF(INDEX(MASTER_DATABASE!$A$4:$A$1000,ROW()-3)="","",INDEX(MASTER_DATABASE!$J$4:$J$1000,ROW()-3)&amp;"")</f>
        <v>Available</v>
      </c>
      <c r="K192" s="7" t="str">
        <f aca="false">IF(INDEX(MASTER_DATABASE!$A$4:$A$1000,ROW()-3)="","",INDEX(MASTER_DATABASE!$AS$4:$AS$1000,ROW()-3)&amp;"")</f>
        <v/>
      </c>
      <c r="L19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2" s="7" t="str">
        <f aca="false">IF(INDEX(MASTER_DATABASE!$A$4:$A$1000,ROW()-3)="","",INDEX(MASTER_DATABASE!$BG$4:$BG$1000,ROW()-3)&amp;"")</f>
        <v>Visit Shop</v>
      </c>
    </row>
    <row r="193" customFormat="false" ht="46.25" hidden="false" customHeight="false" outlineLevel="0" collapsed="false">
      <c r="A193" s="11" t="str">
        <f aca="false">IF(INDEX(MASTER_DATABASE!$A$4:$A$1000,ROW()-3)="","",INDEX(MASTER_DATABASE!$A$4:$A$1000,ROW()-3)&amp;"")</f>
        <v>PRT-013</v>
      </c>
      <c r="B193" s="7" t="str">
        <f aca="false">IF(INDEX(MASTER_DATABASE!$A$4:$A$1000,ROW()-3)="","",INDEX(MASTER_DATABASE!$E$4:$E$1000,ROW()-3)&amp;"")</f>
        <v>PDF Compression</v>
      </c>
      <c r="C193" s="7" t="str">
        <f aca="false">IF(INDEX(MASTER_DATABASE!$A$4:$A$1000,ROW()-3)="","",INDEX(MASTER_DATABASE!$H$4:$H$1000,ROW()-3)&amp;"")</f>
        <v>PDF Compression at our document desk.</v>
      </c>
      <c r="D19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3" s="7" t="str">
        <f aca="false">IF(INDEX(MASTER_DATABASE!$A$4:$A$1000,ROW()-3)="","",INDEX(MASTER_DATABASE!$O$4:$O$1000,ROW()-3)&amp;"")</f>
        <v>Any customer who can provide the listed documents.</v>
      </c>
      <c r="F193" s="7" t="str">
        <f aca="false">IF(INDEX(MASTER_DATABASE!$A$4:$A$1000,ROW()-3)="","",INDEX(MASTER_DATABASE!$M$4:$M$1000,ROW()-3)&amp;"")</f>
        <v>✓ Files to Print / Scan</v>
      </c>
      <c r="G193" s="7" t="str">
        <f aca="false">IF(INDEX(MASTER_DATABASE!$A$4:$A$1000,ROW()-3)="","",INDEX(MASTER_DATABASE!$P$4:$P$1000,ROW()-3)&amp;"")</f>
        <v>Step 1 → Share the file(s) by pendrive, phone or WhatsApp.
Step 2 → Operator performs 'PDF Compression'.
Step 3 → You check the output file.
Step 4 → File is given back and payment is made.</v>
      </c>
      <c r="H19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3" s="7" t="str">
        <f aca="false">IF(INDEX(MASTER_DATABASE!$A$4:$A$1000,ROW()-3)="","",INDEX(MASTER_DATABASE!$Q$4:$Q$1000,ROW()-3)&amp;"")</f>
        <v>5–10 Minutes</v>
      </c>
      <c r="J193" s="7" t="str">
        <f aca="false">IF(INDEX(MASTER_DATABASE!$A$4:$A$1000,ROW()-3)="","",INDEX(MASTER_DATABASE!$J$4:$J$1000,ROW()-3)&amp;"")</f>
        <v>Available</v>
      </c>
      <c r="K193" s="7" t="str">
        <f aca="false">IF(INDEX(MASTER_DATABASE!$A$4:$A$1000,ROW()-3)="","",INDEX(MASTER_DATABASE!$AS$4:$AS$1000,ROW()-3)&amp;"")</f>
        <v/>
      </c>
      <c r="L19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3" s="7" t="str">
        <f aca="false">IF(INDEX(MASTER_DATABASE!$A$4:$A$1000,ROW()-3)="","",INDEX(MASTER_DATABASE!$BG$4:$BG$1000,ROW()-3)&amp;"")</f>
        <v>Visit Shop</v>
      </c>
    </row>
    <row r="194" customFormat="false" ht="57.45" hidden="false" customHeight="false" outlineLevel="0" collapsed="false">
      <c r="A194" s="11" t="str">
        <f aca="false">IF(INDEX(MASTER_DATABASE!$A$4:$A$1000,ROW()-3)="","",INDEX(MASTER_DATABASE!$A$4:$A$1000,ROW()-3)&amp;"")</f>
        <v>PRT-014</v>
      </c>
      <c r="B194" s="7" t="str">
        <f aca="false">IF(INDEX(MASTER_DATABASE!$A$4:$A$1000,ROW()-3)="","",INDEX(MASTER_DATABASE!$E$4:$E$1000,ROW()-3)&amp;"")</f>
        <v>PDF Conversion (PDF to Image / Other)</v>
      </c>
      <c r="C194" s="7" t="str">
        <f aca="false">IF(INDEX(MASTER_DATABASE!$A$4:$A$1000,ROW()-3)="","",INDEX(MASTER_DATABASE!$H$4:$H$1000,ROW()-3)&amp;"")</f>
        <v>PDF Conversion (PDF to Image / Other) at our document desk.</v>
      </c>
      <c r="D19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4" s="7" t="str">
        <f aca="false">IF(INDEX(MASTER_DATABASE!$A$4:$A$1000,ROW()-3)="","",INDEX(MASTER_DATABASE!$O$4:$O$1000,ROW()-3)&amp;"")</f>
        <v>Any customer who can provide the listed documents.</v>
      </c>
      <c r="F194" s="7" t="str">
        <f aca="false">IF(INDEX(MASTER_DATABASE!$A$4:$A$1000,ROW()-3)="","",INDEX(MASTER_DATABASE!$M$4:$M$1000,ROW()-3)&amp;"")</f>
        <v>✓ Files to Print / Scan</v>
      </c>
      <c r="G194" s="7" t="str">
        <f aca="false">IF(INDEX(MASTER_DATABASE!$A$4:$A$1000,ROW()-3)="","",INDEX(MASTER_DATABASE!$P$4:$P$1000,ROW()-3)&amp;"")</f>
        <v>Step 1 → Share the file(s) by pendrive, phone or WhatsApp.
Step 2 → Operator performs 'PDF Conversion (PDF to Image / Other)'.
Step 3 → You check the output file.
Step 4 → File is given back and payment is made.</v>
      </c>
      <c r="H19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4" s="7" t="str">
        <f aca="false">IF(INDEX(MASTER_DATABASE!$A$4:$A$1000,ROW()-3)="","",INDEX(MASTER_DATABASE!$Q$4:$Q$1000,ROW()-3)&amp;"")</f>
        <v>5–10 Minutes</v>
      </c>
      <c r="J194" s="7" t="str">
        <f aca="false">IF(INDEX(MASTER_DATABASE!$A$4:$A$1000,ROW()-3)="","",INDEX(MASTER_DATABASE!$J$4:$J$1000,ROW()-3)&amp;"")</f>
        <v>Available</v>
      </c>
      <c r="K194" s="7" t="str">
        <f aca="false">IF(INDEX(MASTER_DATABASE!$A$4:$A$1000,ROW()-3)="","",INDEX(MASTER_DATABASE!$AS$4:$AS$1000,ROW()-3)&amp;"")</f>
        <v/>
      </c>
      <c r="L19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4" s="7" t="str">
        <f aca="false">IF(INDEX(MASTER_DATABASE!$A$4:$A$1000,ROW()-3)="","",INDEX(MASTER_DATABASE!$BG$4:$BG$1000,ROW()-3)&amp;"")</f>
        <v>Visit Shop</v>
      </c>
    </row>
    <row r="195" customFormat="false" ht="46.25" hidden="false" customHeight="false" outlineLevel="0" collapsed="false">
      <c r="A195" s="11" t="str">
        <f aca="false">IF(INDEX(MASTER_DATABASE!$A$4:$A$1000,ROW()-3)="","",INDEX(MASTER_DATABASE!$A$4:$A$1000,ROW()-3)&amp;"")</f>
        <v>PRT-015</v>
      </c>
      <c r="B195" s="7" t="str">
        <f aca="false">IF(INDEX(MASTER_DATABASE!$A$4:$A$1000,ROW()-3)="","",INDEX(MASTER_DATABASE!$E$4:$E$1000,ROW()-3)&amp;"")</f>
        <v>Word to PDF</v>
      </c>
      <c r="C195" s="7" t="str">
        <f aca="false">IF(INDEX(MASTER_DATABASE!$A$4:$A$1000,ROW()-3)="","",INDEX(MASTER_DATABASE!$H$4:$H$1000,ROW()-3)&amp;"")</f>
        <v>Word to PDF at our document desk.</v>
      </c>
      <c r="D19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5" s="7" t="str">
        <f aca="false">IF(INDEX(MASTER_DATABASE!$A$4:$A$1000,ROW()-3)="","",INDEX(MASTER_DATABASE!$O$4:$O$1000,ROW()-3)&amp;"")</f>
        <v>Any customer who can provide the listed documents.</v>
      </c>
      <c r="F195" s="7" t="str">
        <f aca="false">IF(INDEX(MASTER_DATABASE!$A$4:$A$1000,ROW()-3)="","",INDEX(MASTER_DATABASE!$M$4:$M$1000,ROW()-3)&amp;"")</f>
        <v>✓ Files to Print / Scan</v>
      </c>
      <c r="G195" s="7" t="str">
        <f aca="false">IF(INDEX(MASTER_DATABASE!$A$4:$A$1000,ROW()-3)="","",INDEX(MASTER_DATABASE!$P$4:$P$1000,ROW()-3)&amp;"")</f>
        <v>Step 1 → Share the file(s) by pendrive, phone or WhatsApp.
Step 2 → Operator performs 'Word to PDF'.
Step 3 → You check the output file.
Step 4 → File is given back and payment is made.</v>
      </c>
      <c r="H19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5" s="7" t="str">
        <f aca="false">IF(INDEX(MASTER_DATABASE!$A$4:$A$1000,ROW()-3)="","",INDEX(MASTER_DATABASE!$Q$4:$Q$1000,ROW()-3)&amp;"")</f>
        <v>5–10 Minutes</v>
      </c>
      <c r="J195" s="7" t="str">
        <f aca="false">IF(INDEX(MASTER_DATABASE!$A$4:$A$1000,ROW()-3)="","",INDEX(MASTER_DATABASE!$J$4:$J$1000,ROW()-3)&amp;"")</f>
        <v>Available</v>
      </c>
      <c r="K195" s="7" t="str">
        <f aca="false">IF(INDEX(MASTER_DATABASE!$A$4:$A$1000,ROW()-3)="","",INDEX(MASTER_DATABASE!$AS$4:$AS$1000,ROW()-3)&amp;"")</f>
        <v/>
      </c>
      <c r="L19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5" s="7" t="str">
        <f aca="false">IF(INDEX(MASTER_DATABASE!$A$4:$A$1000,ROW()-3)="","",INDEX(MASTER_DATABASE!$BG$4:$BG$1000,ROW()-3)&amp;"")</f>
        <v>Visit Shop</v>
      </c>
    </row>
    <row r="196" customFormat="false" ht="46.25" hidden="false" customHeight="false" outlineLevel="0" collapsed="false">
      <c r="A196" s="11" t="str">
        <f aca="false">IF(INDEX(MASTER_DATABASE!$A$4:$A$1000,ROW()-3)="","",INDEX(MASTER_DATABASE!$A$4:$A$1000,ROW()-3)&amp;"")</f>
        <v>PRT-016</v>
      </c>
      <c r="B196" s="7" t="str">
        <f aca="false">IF(INDEX(MASTER_DATABASE!$A$4:$A$1000,ROW()-3)="","",INDEX(MASTER_DATABASE!$E$4:$E$1000,ROW()-3)&amp;"")</f>
        <v>PDF to Word</v>
      </c>
      <c r="C196" s="7" t="str">
        <f aca="false">IF(INDEX(MASTER_DATABASE!$A$4:$A$1000,ROW()-3)="","",INDEX(MASTER_DATABASE!$H$4:$H$1000,ROW()-3)&amp;"")</f>
        <v>PDF to Word at our document desk.</v>
      </c>
      <c r="D19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6" s="7" t="str">
        <f aca="false">IF(INDEX(MASTER_DATABASE!$A$4:$A$1000,ROW()-3)="","",INDEX(MASTER_DATABASE!$O$4:$O$1000,ROW()-3)&amp;"")</f>
        <v>Any customer who can provide the listed documents.</v>
      </c>
      <c r="F196" s="7" t="str">
        <f aca="false">IF(INDEX(MASTER_DATABASE!$A$4:$A$1000,ROW()-3)="","",INDEX(MASTER_DATABASE!$M$4:$M$1000,ROW()-3)&amp;"")</f>
        <v>✓ Files to Print / Scan</v>
      </c>
      <c r="G196" s="7" t="str">
        <f aca="false">IF(INDEX(MASTER_DATABASE!$A$4:$A$1000,ROW()-3)="","",INDEX(MASTER_DATABASE!$P$4:$P$1000,ROW()-3)&amp;"")</f>
        <v>Step 1 → Share the file(s) by pendrive, phone or WhatsApp.
Step 2 → Operator performs 'PDF to Word'.
Step 3 → You check the output file.
Step 4 → File is given back and payment is made.</v>
      </c>
      <c r="H19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6" s="7" t="str">
        <f aca="false">IF(INDEX(MASTER_DATABASE!$A$4:$A$1000,ROW()-3)="","",INDEX(MASTER_DATABASE!$Q$4:$Q$1000,ROW()-3)&amp;"")</f>
        <v>5–10 Minutes</v>
      </c>
      <c r="J196" s="7" t="str">
        <f aca="false">IF(INDEX(MASTER_DATABASE!$A$4:$A$1000,ROW()-3)="","",INDEX(MASTER_DATABASE!$J$4:$J$1000,ROW()-3)&amp;"")</f>
        <v>Available</v>
      </c>
      <c r="K196" s="7" t="str">
        <f aca="false">IF(INDEX(MASTER_DATABASE!$A$4:$A$1000,ROW()-3)="","",INDEX(MASTER_DATABASE!$AS$4:$AS$1000,ROW()-3)&amp;"")</f>
        <v/>
      </c>
      <c r="L19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6" s="7" t="str">
        <f aca="false">IF(INDEX(MASTER_DATABASE!$A$4:$A$1000,ROW()-3)="","",INDEX(MASTER_DATABASE!$BG$4:$BG$1000,ROW()-3)&amp;"")</f>
        <v>Visit Shop</v>
      </c>
    </row>
    <row r="197" customFormat="false" ht="57.45" hidden="false" customHeight="false" outlineLevel="0" collapsed="false">
      <c r="A197" s="11" t="str">
        <f aca="false">IF(INDEX(MASTER_DATABASE!$A$4:$A$1000,ROW()-3)="","",INDEX(MASTER_DATABASE!$A$4:$A$1000,ROW()-3)&amp;"")</f>
        <v>PRT-017</v>
      </c>
      <c r="B197" s="7" t="str">
        <f aca="false">IF(INDEX(MASTER_DATABASE!$A$4:$A$1000,ROW()-3)="","",INDEX(MASTER_DATABASE!$E$4:$E$1000,ROW()-3)&amp;"")</f>
        <v>Hindi Typing</v>
      </c>
      <c r="C197" s="7" t="str">
        <f aca="false">IF(INDEX(MASTER_DATABASE!$A$4:$A$1000,ROW()-3)="","",INDEX(MASTER_DATABASE!$H$4:$H$1000,ROW()-3)&amp;"")</f>
        <v>Hindi Typing at our document desk.</v>
      </c>
      <c r="D19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7" s="7" t="str">
        <f aca="false">IF(INDEX(MASTER_DATABASE!$A$4:$A$1000,ROW()-3)="","",INDEX(MASTER_DATABASE!$O$4:$O$1000,ROW()-3)&amp;"")</f>
        <v>Any customer who can provide the listed documents.</v>
      </c>
      <c r="F197" s="7" t="str">
        <f aca="false">IF(INDEX(MASTER_DATABASE!$A$4:$A$1000,ROW()-3)="","",INDEX(MASTER_DATABASE!$M$4:$M$1000,ROW()-3)&amp;"")</f>
        <v>✓ Details / Matter for Typing</v>
      </c>
      <c r="G197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19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7" s="7" t="str">
        <f aca="false">IF(INDEX(MASTER_DATABASE!$A$4:$A$1000,ROW()-3)="","",INDEX(MASTER_DATABASE!$Q$4:$Q$1000,ROW()-3)&amp;"")</f>
        <v>15–30 Minutes</v>
      </c>
      <c r="J197" s="7" t="str">
        <f aca="false">IF(INDEX(MASTER_DATABASE!$A$4:$A$1000,ROW()-3)="","",INDEX(MASTER_DATABASE!$J$4:$J$1000,ROW()-3)&amp;"")</f>
        <v>Available</v>
      </c>
      <c r="K197" s="7" t="str">
        <f aca="false">IF(INDEX(MASTER_DATABASE!$A$4:$A$1000,ROW()-3)="","",INDEX(MASTER_DATABASE!$AS$4:$AS$1000,ROW()-3)&amp;"")</f>
        <v/>
      </c>
      <c r="L19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7" s="7" t="str">
        <f aca="false">IF(INDEX(MASTER_DATABASE!$A$4:$A$1000,ROW()-3)="","",INDEX(MASTER_DATABASE!$BG$4:$BG$1000,ROW()-3)&amp;"")</f>
        <v>Visit Shop</v>
      </c>
    </row>
    <row r="198" customFormat="false" ht="57.45" hidden="false" customHeight="false" outlineLevel="0" collapsed="false">
      <c r="A198" s="11" t="str">
        <f aca="false">IF(INDEX(MASTER_DATABASE!$A$4:$A$1000,ROW()-3)="","",INDEX(MASTER_DATABASE!$A$4:$A$1000,ROW()-3)&amp;"")</f>
        <v>PRT-018</v>
      </c>
      <c r="B198" s="7" t="str">
        <f aca="false">IF(INDEX(MASTER_DATABASE!$A$4:$A$1000,ROW()-3)="","",INDEX(MASTER_DATABASE!$E$4:$E$1000,ROW()-3)&amp;"")</f>
        <v>English Typing</v>
      </c>
      <c r="C198" s="7" t="str">
        <f aca="false">IF(INDEX(MASTER_DATABASE!$A$4:$A$1000,ROW()-3)="","",INDEX(MASTER_DATABASE!$H$4:$H$1000,ROW()-3)&amp;"")</f>
        <v>English Typing at our document desk.</v>
      </c>
      <c r="D19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8" s="7" t="str">
        <f aca="false">IF(INDEX(MASTER_DATABASE!$A$4:$A$1000,ROW()-3)="","",INDEX(MASTER_DATABASE!$O$4:$O$1000,ROW()-3)&amp;"")</f>
        <v>Any customer who can provide the listed documents.</v>
      </c>
      <c r="F198" s="7" t="str">
        <f aca="false">IF(INDEX(MASTER_DATABASE!$A$4:$A$1000,ROW()-3)="","",INDEX(MASTER_DATABASE!$M$4:$M$1000,ROW()-3)&amp;"")</f>
        <v>✓ Details / Matter for Typing</v>
      </c>
      <c r="G198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19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8" s="7" t="str">
        <f aca="false">IF(INDEX(MASTER_DATABASE!$A$4:$A$1000,ROW()-3)="","",INDEX(MASTER_DATABASE!$Q$4:$Q$1000,ROW()-3)&amp;"")</f>
        <v>15–30 Minutes</v>
      </c>
      <c r="J198" s="7" t="str">
        <f aca="false">IF(INDEX(MASTER_DATABASE!$A$4:$A$1000,ROW()-3)="","",INDEX(MASTER_DATABASE!$J$4:$J$1000,ROW()-3)&amp;"")</f>
        <v>Available</v>
      </c>
      <c r="K198" s="7" t="str">
        <f aca="false">IF(INDEX(MASTER_DATABASE!$A$4:$A$1000,ROW()-3)="","",INDEX(MASTER_DATABASE!$AS$4:$AS$1000,ROW()-3)&amp;"")</f>
        <v/>
      </c>
      <c r="L19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8" s="7" t="str">
        <f aca="false">IF(INDEX(MASTER_DATABASE!$A$4:$A$1000,ROW()-3)="","",INDEX(MASTER_DATABASE!$BG$4:$BG$1000,ROW()-3)&amp;"")</f>
        <v>Visit Shop</v>
      </c>
    </row>
    <row r="199" customFormat="false" ht="57.45" hidden="false" customHeight="false" outlineLevel="0" collapsed="false">
      <c r="A199" s="11" t="str">
        <f aca="false">IF(INDEX(MASTER_DATABASE!$A$4:$A$1000,ROW()-3)="","",INDEX(MASTER_DATABASE!$A$4:$A$1000,ROW()-3)&amp;"")</f>
        <v>PRT-019</v>
      </c>
      <c r="B199" s="7" t="str">
        <f aca="false">IF(INDEX(MASTER_DATABASE!$A$4:$A$1000,ROW()-3)="","",INDEX(MASTER_DATABASE!$E$4:$E$1000,ROW()-3)&amp;"")</f>
        <v>Data Entry</v>
      </c>
      <c r="C199" s="7" t="str">
        <f aca="false">IF(INDEX(MASTER_DATABASE!$A$4:$A$1000,ROW()-3)="","",INDEX(MASTER_DATABASE!$H$4:$H$1000,ROW()-3)&amp;"")</f>
        <v>Data Entry at our document desk.</v>
      </c>
      <c r="D19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199" s="7" t="str">
        <f aca="false">IF(INDEX(MASTER_DATABASE!$A$4:$A$1000,ROW()-3)="","",INDEX(MASTER_DATABASE!$O$4:$O$1000,ROW()-3)&amp;"")</f>
        <v>Any customer who can provide the listed documents.</v>
      </c>
      <c r="F199" s="7" t="str">
        <f aca="false">IF(INDEX(MASTER_DATABASE!$A$4:$A$1000,ROW()-3)="","",INDEX(MASTER_DATABASE!$M$4:$M$1000,ROW()-3)&amp;"")</f>
        <v>✓ Details / Matter for Typing</v>
      </c>
      <c r="G199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19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199" s="7" t="str">
        <f aca="false">IF(INDEX(MASTER_DATABASE!$A$4:$A$1000,ROW()-3)="","",INDEX(MASTER_DATABASE!$Q$4:$Q$1000,ROW()-3)&amp;"")</f>
        <v>15–30 Minutes</v>
      </c>
      <c r="J199" s="7" t="str">
        <f aca="false">IF(INDEX(MASTER_DATABASE!$A$4:$A$1000,ROW()-3)="","",INDEX(MASTER_DATABASE!$J$4:$J$1000,ROW()-3)&amp;"")</f>
        <v>Available</v>
      </c>
      <c r="K199" s="7" t="str">
        <f aca="false">IF(INDEX(MASTER_DATABASE!$A$4:$A$1000,ROW()-3)="","",INDEX(MASTER_DATABASE!$AS$4:$AS$1000,ROW()-3)&amp;"")</f>
        <v/>
      </c>
      <c r="L19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19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199" s="7" t="str">
        <f aca="false">IF(INDEX(MASTER_DATABASE!$A$4:$A$1000,ROW()-3)="","",INDEX(MASTER_DATABASE!$BG$4:$BG$1000,ROW()-3)&amp;"")</f>
        <v>Visit Shop</v>
      </c>
    </row>
    <row r="200" customFormat="false" ht="57.45" hidden="false" customHeight="false" outlineLevel="0" collapsed="false">
      <c r="A200" s="11" t="str">
        <f aca="false">IF(INDEX(MASTER_DATABASE!$A$4:$A$1000,ROW()-3)="","",INDEX(MASTER_DATABASE!$A$4:$A$1000,ROW()-3)&amp;"")</f>
        <v>PRT-020</v>
      </c>
      <c r="B200" s="7" t="str">
        <f aca="false">IF(INDEX(MASTER_DATABASE!$A$4:$A$1000,ROW()-3)="","",INDEX(MASTER_DATABASE!$E$4:$E$1000,ROW()-3)&amp;"")</f>
        <v>Application Typing</v>
      </c>
      <c r="C200" s="7" t="str">
        <f aca="false">IF(INDEX(MASTER_DATABASE!$A$4:$A$1000,ROW()-3)="","",INDEX(MASTER_DATABASE!$H$4:$H$1000,ROW()-3)&amp;"")</f>
        <v>Application Typing at our document desk.</v>
      </c>
      <c r="D20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0" s="7" t="str">
        <f aca="false">IF(INDEX(MASTER_DATABASE!$A$4:$A$1000,ROW()-3)="","",INDEX(MASTER_DATABASE!$O$4:$O$1000,ROW()-3)&amp;"")</f>
        <v>Any customer who can provide the listed documents.</v>
      </c>
      <c r="F200" s="7" t="str">
        <f aca="false">IF(INDEX(MASTER_DATABASE!$A$4:$A$1000,ROW()-3)="","",INDEX(MASTER_DATABASE!$M$4:$M$1000,ROW()-3)&amp;"")</f>
        <v>✓ Details / Matter for Typing</v>
      </c>
      <c r="G200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20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0" s="7" t="str">
        <f aca="false">IF(INDEX(MASTER_DATABASE!$A$4:$A$1000,ROW()-3)="","",INDEX(MASTER_DATABASE!$Q$4:$Q$1000,ROW()-3)&amp;"")</f>
        <v>15–30 Minutes</v>
      </c>
      <c r="J200" s="7" t="str">
        <f aca="false">IF(INDEX(MASTER_DATABASE!$A$4:$A$1000,ROW()-3)="","",INDEX(MASTER_DATABASE!$J$4:$J$1000,ROW()-3)&amp;"")</f>
        <v>Available</v>
      </c>
      <c r="K200" s="7" t="str">
        <f aca="false">IF(INDEX(MASTER_DATABASE!$A$4:$A$1000,ROW()-3)="","",INDEX(MASTER_DATABASE!$AS$4:$AS$1000,ROW()-3)&amp;"")</f>
        <v/>
      </c>
      <c r="L20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0" s="7" t="str">
        <f aca="false">IF(INDEX(MASTER_DATABASE!$A$4:$A$1000,ROW()-3)="","",INDEX(MASTER_DATABASE!$BG$4:$BG$1000,ROW()-3)&amp;"")</f>
        <v>Visit Shop</v>
      </c>
    </row>
    <row r="201" customFormat="false" ht="57.45" hidden="false" customHeight="false" outlineLevel="0" collapsed="false">
      <c r="A201" s="11" t="str">
        <f aca="false">IF(INDEX(MASTER_DATABASE!$A$4:$A$1000,ROW()-3)="","",INDEX(MASTER_DATABASE!$A$4:$A$1000,ROW()-3)&amp;"")</f>
        <v>PRT-021</v>
      </c>
      <c r="B201" s="7" t="str">
        <f aca="false">IF(INDEX(MASTER_DATABASE!$A$4:$A$1000,ROW()-3)="","",INDEX(MASTER_DATABASE!$E$4:$E$1000,ROW()-3)&amp;"")</f>
        <v>Letter Typing</v>
      </c>
      <c r="C201" s="7" t="str">
        <f aca="false">IF(INDEX(MASTER_DATABASE!$A$4:$A$1000,ROW()-3)="","",INDEX(MASTER_DATABASE!$H$4:$H$1000,ROW()-3)&amp;"")</f>
        <v>Letter Typing at our document desk.</v>
      </c>
      <c r="D20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1" s="7" t="str">
        <f aca="false">IF(INDEX(MASTER_DATABASE!$A$4:$A$1000,ROW()-3)="","",INDEX(MASTER_DATABASE!$O$4:$O$1000,ROW()-3)&amp;"")</f>
        <v>Any customer who can provide the listed documents.</v>
      </c>
      <c r="F201" s="7" t="str">
        <f aca="false">IF(INDEX(MASTER_DATABASE!$A$4:$A$1000,ROW()-3)="","",INDEX(MASTER_DATABASE!$M$4:$M$1000,ROW()-3)&amp;"")</f>
        <v>✓ Details / Matter for Typing</v>
      </c>
      <c r="G201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20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1" s="7" t="str">
        <f aca="false">IF(INDEX(MASTER_DATABASE!$A$4:$A$1000,ROW()-3)="","",INDEX(MASTER_DATABASE!$Q$4:$Q$1000,ROW()-3)&amp;"")</f>
        <v>15–30 Minutes</v>
      </c>
      <c r="J201" s="7" t="str">
        <f aca="false">IF(INDEX(MASTER_DATABASE!$A$4:$A$1000,ROW()-3)="","",INDEX(MASTER_DATABASE!$J$4:$J$1000,ROW()-3)&amp;"")</f>
        <v>Available</v>
      </c>
      <c r="K201" s="7" t="str">
        <f aca="false">IF(INDEX(MASTER_DATABASE!$A$4:$A$1000,ROW()-3)="","",INDEX(MASTER_DATABASE!$AS$4:$AS$1000,ROW()-3)&amp;"")</f>
        <v/>
      </c>
      <c r="L20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1" s="7" t="str">
        <f aca="false">IF(INDEX(MASTER_DATABASE!$A$4:$A$1000,ROW()-3)="","",INDEX(MASTER_DATABASE!$BG$4:$BG$1000,ROW()-3)&amp;"")</f>
        <v>Visit Shop</v>
      </c>
    </row>
    <row r="202" customFormat="false" ht="57.45" hidden="false" customHeight="false" outlineLevel="0" collapsed="false">
      <c r="A202" s="11" t="str">
        <f aca="false">IF(INDEX(MASTER_DATABASE!$A$4:$A$1000,ROW()-3)="","",INDEX(MASTER_DATABASE!$A$4:$A$1000,ROW()-3)&amp;"")</f>
        <v>PRT-022</v>
      </c>
      <c r="B202" s="7" t="str">
        <f aca="false">IF(INDEX(MASTER_DATABASE!$A$4:$A$1000,ROW()-3)="","",INDEX(MASTER_DATABASE!$E$4:$E$1000,ROW()-3)&amp;"")</f>
        <v>Resume Making</v>
      </c>
      <c r="C202" s="7" t="str">
        <f aca="false">IF(INDEX(MASTER_DATABASE!$A$4:$A$1000,ROW()-3)="","",INDEX(MASTER_DATABASE!$H$4:$H$1000,ROW()-3)&amp;"")</f>
        <v>Resume Making at our document desk.</v>
      </c>
      <c r="D20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2" s="7" t="str">
        <f aca="false">IF(INDEX(MASTER_DATABASE!$A$4:$A$1000,ROW()-3)="","",INDEX(MASTER_DATABASE!$O$4:$O$1000,ROW()-3)&amp;"")</f>
        <v>Any customer who can provide the listed documents.</v>
      </c>
      <c r="F202" s="7" t="str">
        <f aca="false">IF(INDEX(MASTER_DATABASE!$A$4:$A$1000,ROW()-3)="","",INDEX(MASTER_DATABASE!$M$4:$M$1000,ROW()-3)&amp;"")</f>
        <v>✓ Details / Matter for Typing</v>
      </c>
      <c r="G202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20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2" s="7" t="str">
        <f aca="false">IF(INDEX(MASTER_DATABASE!$A$4:$A$1000,ROW()-3)="","",INDEX(MASTER_DATABASE!$Q$4:$Q$1000,ROW()-3)&amp;"")</f>
        <v>15–30 Minutes</v>
      </c>
      <c r="J202" s="7" t="str">
        <f aca="false">IF(INDEX(MASTER_DATABASE!$A$4:$A$1000,ROW()-3)="","",INDEX(MASTER_DATABASE!$J$4:$J$1000,ROW()-3)&amp;"")</f>
        <v>Available</v>
      </c>
      <c r="K202" s="7" t="str">
        <f aca="false">IF(INDEX(MASTER_DATABASE!$A$4:$A$1000,ROW()-3)="","",INDEX(MASTER_DATABASE!$AS$4:$AS$1000,ROW()-3)&amp;"")</f>
        <v/>
      </c>
      <c r="L20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2" s="7" t="str">
        <f aca="false">IF(INDEX(MASTER_DATABASE!$A$4:$A$1000,ROW()-3)="","",INDEX(MASTER_DATABASE!$BG$4:$BG$1000,ROW()-3)&amp;"")</f>
        <v>Visit Shop</v>
      </c>
    </row>
    <row r="203" customFormat="false" ht="57.45" hidden="false" customHeight="false" outlineLevel="0" collapsed="false">
      <c r="A203" s="11" t="str">
        <f aca="false">IF(INDEX(MASTER_DATABASE!$A$4:$A$1000,ROW()-3)="","",INDEX(MASTER_DATABASE!$A$4:$A$1000,ROW()-3)&amp;"")</f>
        <v>PRT-023</v>
      </c>
      <c r="B203" s="7" t="str">
        <f aca="false">IF(INDEX(MASTER_DATABASE!$A$4:$A$1000,ROW()-3)="","",INDEX(MASTER_DATABASE!$E$4:$E$1000,ROW()-3)&amp;"")</f>
        <v>Biodata Making</v>
      </c>
      <c r="C203" s="7" t="str">
        <f aca="false">IF(INDEX(MASTER_DATABASE!$A$4:$A$1000,ROW()-3)="","",INDEX(MASTER_DATABASE!$H$4:$H$1000,ROW()-3)&amp;"")</f>
        <v>Biodata Making at our document desk.</v>
      </c>
      <c r="D20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3" s="7" t="str">
        <f aca="false">IF(INDEX(MASTER_DATABASE!$A$4:$A$1000,ROW()-3)="","",INDEX(MASTER_DATABASE!$O$4:$O$1000,ROW()-3)&amp;"")</f>
        <v>Any customer who can provide the listed documents.</v>
      </c>
      <c r="F203" s="7" t="str">
        <f aca="false">IF(INDEX(MASTER_DATABASE!$A$4:$A$1000,ROW()-3)="","",INDEX(MASTER_DATABASE!$M$4:$M$1000,ROW()-3)&amp;"")</f>
        <v>✓ Details / Matter for Typing</v>
      </c>
      <c r="G203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20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3" s="7" t="str">
        <f aca="false">IF(INDEX(MASTER_DATABASE!$A$4:$A$1000,ROW()-3)="","",INDEX(MASTER_DATABASE!$Q$4:$Q$1000,ROW()-3)&amp;"")</f>
        <v>15–30 Minutes</v>
      </c>
      <c r="J203" s="7" t="str">
        <f aca="false">IF(INDEX(MASTER_DATABASE!$A$4:$A$1000,ROW()-3)="","",INDEX(MASTER_DATABASE!$J$4:$J$1000,ROW()-3)&amp;"")</f>
        <v>Available</v>
      </c>
      <c r="K203" s="7" t="str">
        <f aca="false">IF(INDEX(MASTER_DATABASE!$A$4:$A$1000,ROW()-3)="","",INDEX(MASTER_DATABASE!$AS$4:$AS$1000,ROW()-3)&amp;"")</f>
        <v/>
      </c>
      <c r="L20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3" s="7" t="str">
        <f aca="false">IF(INDEX(MASTER_DATABASE!$A$4:$A$1000,ROW()-3)="","",INDEX(MASTER_DATABASE!$BG$4:$BG$1000,ROW()-3)&amp;"")</f>
        <v>Visit Shop</v>
      </c>
    </row>
    <row r="204" customFormat="false" ht="57.45" hidden="false" customHeight="false" outlineLevel="0" collapsed="false">
      <c r="A204" s="11" t="str">
        <f aca="false">IF(INDEX(MASTER_DATABASE!$A$4:$A$1000,ROW()-3)="","",INDEX(MASTER_DATABASE!$A$4:$A$1000,ROW()-3)&amp;"")</f>
        <v>PRT-024</v>
      </c>
      <c r="B204" s="7" t="str">
        <f aca="false">IF(INDEX(MASTER_DATABASE!$A$4:$A$1000,ROW()-3)="","",INDEX(MASTER_DATABASE!$E$4:$E$1000,ROW()-3)&amp;"")</f>
        <v>Document Formatting</v>
      </c>
      <c r="C204" s="7" t="str">
        <f aca="false">IF(INDEX(MASTER_DATABASE!$A$4:$A$1000,ROW()-3)="","",INDEX(MASTER_DATABASE!$H$4:$H$1000,ROW()-3)&amp;"")</f>
        <v>Document Formatting at our document desk.</v>
      </c>
      <c r="D20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4" s="7" t="str">
        <f aca="false">IF(INDEX(MASTER_DATABASE!$A$4:$A$1000,ROW()-3)="","",INDEX(MASTER_DATABASE!$O$4:$O$1000,ROW()-3)&amp;"")</f>
        <v>Any customer who can provide the listed documents.</v>
      </c>
      <c r="F204" s="7" t="str">
        <f aca="false">IF(INDEX(MASTER_DATABASE!$A$4:$A$1000,ROW()-3)="","",INDEX(MASTER_DATABASE!$M$4:$M$1000,ROW()-3)&amp;"")</f>
        <v>✓ Details / Matter for Typing</v>
      </c>
      <c r="G204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20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4" s="7" t="str">
        <f aca="false">IF(INDEX(MASTER_DATABASE!$A$4:$A$1000,ROW()-3)="","",INDEX(MASTER_DATABASE!$Q$4:$Q$1000,ROW()-3)&amp;"")</f>
        <v>15–30 Minutes</v>
      </c>
      <c r="J204" s="7" t="str">
        <f aca="false">IF(INDEX(MASTER_DATABASE!$A$4:$A$1000,ROW()-3)="","",INDEX(MASTER_DATABASE!$J$4:$J$1000,ROW()-3)&amp;"")</f>
        <v>Available</v>
      </c>
      <c r="K204" s="7" t="str">
        <f aca="false">IF(INDEX(MASTER_DATABASE!$A$4:$A$1000,ROW()-3)="","",INDEX(MASTER_DATABASE!$AS$4:$AS$1000,ROW()-3)&amp;"")</f>
        <v/>
      </c>
      <c r="L20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4" s="7" t="str">
        <f aca="false">IF(INDEX(MASTER_DATABASE!$A$4:$A$1000,ROW()-3)="","",INDEX(MASTER_DATABASE!$BG$4:$BG$1000,ROW()-3)&amp;"")</f>
        <v>Visit Shop</v>
      </c>
    </row>
    <row r="205" customFormat="false" ht="57.45" hidden="false" customHeight="false" outlineLevel="0" collapsed="false">
      <c r="A205" s="11" t="str">
        <f aca="false">IF(INDEX(MASTER_DATABASE!$A$4:$A$1000,ROW()-3)="","",INDEX(MASTER_DATABASE!$A$4:$A$1000,ROW()-3)&amp;"")</f>
        <v>PRT-025</v>
      </c>
      <c r="B205" s="7" t="str">
        <f aca="false">IF(INDEX(MASTER_DATABASE!$A$4:$A$1000,ROW()-3)="","",INDEX(MASTER_DATABASE!$E$4:$E$1000,ROW()-3)&amp;"")</f>
        <v>Official Document Formatting</v>
      </c>
      <c r="C205" s="7" t="str">
        <f aca="false">IF(INDEX(MASTER_DATABASE!$A$4:$A$1000,ROW()-3)="","",INDEX(MASTER_DATABASE!$H$4:$H$1000,ROW()-3)&amp;"")</f>
        <v>Official Document Formatting at our document desk.</v>
      </c>
      <c r="D20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5" s="7" t="str">
        <f aca="false">IF(INDEX(MASTER_DATABASE!$A$4:$A$1000,ROW()-3)="","",INDEX(MASTER_DATABASE!$O$4:$O$1000,ROW()-3)&amp;"")</f>
        <v>Any customer who can provide the listed documents.</v>
      </c>
      <c r="F205" s="7" t="str">
        <f aca="false">IF(INDEX(MASTER_DATABASE!$A$4:$A$1000,ROW()-3)="","",INDEX(MASTER_DATABASE!$M$4:$M$1000,ROW()-3)&amp;"")</f>
        <v>✓ Details / Matter for Typing</v>
      </c>
      <c r="G205" s="7" t="str">
        <f aca="false">IF(INDEX(MASTER_DATABASE!$A$4:$A$1000,ROW()-3)="","",INDEX(MASTER_DATABASE!$P$4:$P$1000,ROW()-3)&amp;"")</f>
        <v>Step 1 → Give the matter to be typed / formatted (paper, file or message).
Step 2 → Operator prepares the document.
Step 3 → You check the draft and ask for changes.
Step 4 → Final print / file is handed over and payment is made.</v>
      </c>
      <c r="H20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5" s="7" t="str">
        <f aca="false">IF(INDEX(MASTER_DATABASE!$A$4:$A$1000,ROW()-3)="","",INDEX(MASTER_DATABASE!$Q$4:$Q$1000,ROW()-3)&amp;"")</f>
        <v>15–30 Minutes</v>
      </c>
      <c r="J205" s="7" t="str">
        <f aca="false">IF(INDEX(MASTER_DATABASE!$A$4:$A$1000,ROW()-3)="","",INDEX(MASTER_DATABASE!$J$4:$J$1000,ROW()-3)&amp;"")</f>
        <v>Available</v>
      </c>
      <c r="K205" s="7" t="str">
        <f aca="false">IF(INDEX(MASTER_DATABASE!$A$4:$A$1000,ROW()-3)="","",INDEX(MASTER_DATABASE!$AS$4:$AS$1000,ROW()-3)&amp;"")</f>
        <v/>
      </c>
      <c r="L20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5" s="7" t="str">
        <f aca="false">IF(INDEX(MASTER_DATABASE!$A$4:$A$1000,ROW()-3)="","",INDEX(MASTER_DATABASE!$BG$4:$BG$1000,ROW()-3)&amp;"")</f>
        <v>Visit Shop</v>
      </c>
    </row>
    <row r="206" customFormat="false" ht="46.25" hidden="false" customHeight="false" outlineLevel="0" collapsed="false">
      <c r="A206" s="11" t="str">
        <f aca="false">IF(INDEX(MASTER_DATABASE!$A$4:$A$1000,ROW()-3)="","",INDEX(MASTER_DATABASE!$A$4:$A$1000,ROW()-3)&amp;"")</f>
        <v>PHO-001</v>
      </c>
      <c r="B206" s="7" t="str">
        <f aca="false">IF(INDEX(MASTER_DATABASE!$A$4:$A$1000,ROW()-3)="","",INDEX(MASTER_DATABASE!$E$4:$E$1000,ROW()-3)&amp;"")</f>
        <v>Passport Photo</v>
      </c>
      <c r="C206" s="7" t="str">
        <f aca="false">IF(INDEX(MASTER_DATABASE!$A$4:$A$1000,ROW()-3)="","",INDEX(MASTER_DATABASE!$H$4:$H$1000,ROW()-3)&amp;"")</f>
        <v>Passport Photo at our photo desk.</v>
      </c>
      <c r="D20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6" s="7" t="str">
        <f aca="false">IF(INDEX(MASTER_DATABASE!$A$4:$A$1000,ROW()-3)="","",INDEX(MASTER_DATABASE!$O$4:$O$1000,ROW()-3)&amp;"")</f>
        <v>Any customer who can provide the listed documents.</v>
      </c>
      <c r="F206" s="7" t="str">
        <f aca="false">IF(INDEX(MASTER_DATABASE!$A$4:$A$1000,ROW()-3)="","",INDEX(MASTER_DATABASE!$M$4:$M$1000,ROW()-3)&amp;"")</f>
        <v/>
      </c>
      <c r="G206" s="7" t="str">
        <f aca="false">IF(INDEX(MASTER_DATABASE!$A$4:$A$1000,ROW()-3)="","",INDEX(MASTER_DATABASE!$P$4:$P$1000,ROW()-3)&amp;"")</f>
        <v>Step 1 → Come to the shop for the photo.
Step 2 → Photo is taken with the required size and background.
Step 3 → You approve the photo.
Step 4 → Prints / file are given and payment is made.</v>
      </c>
      <c r="H20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6" s="7" t="str">
        <f aca="false">IF(INDEX(MASTER_DATABASE!$A$4:$A$1000,ROW()-3)="","",INDEX(MASTER_DATABASE!$Q$4:$Q$1000,ROW()-3)&amp;"")</f>
        <v>5–10 Minutes</v>
      </c>
      <c r="J206" s="7" t="str">
        <f aca="false">IF(INDEX(MASTER_DATABASE!$A$4:$A$1000,ROW()-3)="","",INDEX(MASTER_DATABASE!$J$4:$J$1000,ROW()-3)&amp;"")</f>
        <v>Available</v>
      </c>
      <c r="K206" s="7" t="str">
        <f aca="false">IF(INDEX(MASTER_DATABASE!$A$4:$A$1000,ROW()-3)="","",INDEX(MASTER_DATABASE!$AS$4:$AS$1000,ROW()-3)&amp;"")</f>
        <v/>
      </c>
      <c r="L20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6" s="7" t="str">
        <f aca="false">IF(INDEX(MASTER_DATABASE!$A$4:$A$1000,ROW()-3)="","",INDEX(MASTER_DATABASE!$BG$4:$BG$1000,ROW()-3)&amp;"")</f>
        <v>Visit Shop</v>
      </c>
    </row>
    <row r="207" customFormat="false" ht="46.25" hidden="false" customHeight="false" outlineLevel="0" collapsed="false">
      <c r="A207" s="11" t="str">
        <f aca="false">IF(INDEX(MASTER_DATABASE!$A$4:$A$1000,ROW()-3)="","",INDEX(MASTER_DATABASE!$A$4:$A$1000,ROW()-3)&amp;"")</f>
        <v>PHO-002</v>
      </c>
      <c r="B207" s="7" t="str">
        <f aca="false">IF(INDEX(MASTER_DATABASE!$A$4:$A$1000,ROW()-3)="","",INDEX(MASTER_DATABASE!$E$4:$E$1000,ROW()-3)&amp;"")</f>
        <v>Visa Photo</v>
      </c>
      <c r="C207" s="7" t="str">
        <f aca="false">IF(INDEX(MASTER_DATABASE!$A$4:$A$1000,ROW()-3)="","",INDEX(MASTER_DATABASE!$H$4:$H$1000,ROW()-3)&amp;"")</f>
        <v>Visa Photo at our photo desk.</v>
      </c>
      <c r="D20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7" s="7" t="str">
        <f aca="false">IF(INDEX(MASTER_DATABASE!$A$4:$A$1000,ROW()-3)="","",INDEX(MASTER_DATABASE!$O$4:$O$1000,ROW()-3)&amp;"")</f>
        <v>Any customer who can provide the listed documents.</v>
      </c>
      <c r="F207" s="7" t="str">
        <f aca="false">IF(INDEX(MASTER_DATABASE!$A$4:$A$1000,ROW()-3)="","",INDEX(MASTER_DATABASE!$M$4:$M$1000,ROW()-3)&amp;"")</f>
        <v/>
      </c>
      <c r="G207" s="7" t="str">
        <f aca="false">IF(INDEX(MASTER_DATABASE!$A$4:$A$1000,ROW()-3)="","",INDEX(MASTER_DATABASE!$P$4:$P$1000,ROW()-3)&amp;"")</f>
        <v>Step 1 → Come to the shop for the photo.
Step 2 → Photo is taken with the required size and background.
Step 3 → You approve the photo.
Step 4 → Prints / file are given and payment is made.</v>
      </c>
      <c r="H20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7" s="7" t="str">
        <f aca="false">IF(INDEX(MASTER_DATABASE!$A$4:$A$1000,ROW()-3)="","",INDEX(MASTER_DATABASE!$Q$4:$Q$1000,ROW()-3)&amp;"")</f>
        <v>5–10 Minutes</v>
      </c>
      <c r="J207" s="7" t="str">
        <f aca="false">IF(INDEX(MASTER_DATABASE!$A$4:$A$1000,ROW()-3)="","",INDEX(MASTER_DATABASE!$J$4:$J$1000,ROW()-3)&amp;"")</f>
        <v>Available</v>
      </c>
      <c r="K207" s="7" t="str">
        <f aca="false">IF(INDEX(MASTER_DATABASE!$A$4:$A$1000,ROW()-3)="","",INDEX(MASTER_DATABASE!$AS$4:$AS$1000,ROW()-3)&amp;"")</f>
        <v/>
      </c>
      <c r="L20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7" s="7" t="str">
        <f aca="false">IF(INDEX(MASTER_DATABASE!$A$4:$A$1000,ROW()-3)="","",INDEX(MASTER_DATABASE!$BG$4:$BG$1000,ROW()-3)&amp;"")</f>
        <v>Visit Shop</v>
      </c>
    </row>
    <row r="208" customFormat="false" ht="46.25" hidden="false" customHeight="false" outlineLevel="0" collapsed="false">
      <c r="A208" s="11" t="str">
        <f aca="false">IF(INDEX(MASTER_DATABASE!$A$4:$A$1000,ROW()-3)="","",INDEX(MASTER_DATABASE!$A$4:$A$1000,ROW()-3)&amp;"")</f>
        <v>PHO-003</v>
      </c>
      <c r="B208" s="7" t="str">
        <f aca="false">IF(INDEX(MASTER_DATABASE!$A$4:$A$1000,ROW()-3)="","",INDEX(MASTER_DATABASE!$E$4:$E$1000,ROW()-3)&amp;"")</f>
        <v>ID Card Photo</v>
      </c>
      <c r="C208" s="7" t="str">
        <f aca="false">IF(INDEX(MASTER_DATABASE!$A$4:$A$1000,ROW()-3)="","",INDEX(MASTER_DATABASE!$H$4:$H$1000,ROW()-3)&amp;"")</f>
        <v>ID Card Photo at our photo desk.</v>
      </c>
      <c r="D20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8" s="7" t="str">
        <f aca="false">IF(INDEX(MASTER_DATABASE!$A$4:$A$1000,ROW()-3)="","",INDEX(MASTER_DATABASE!$O$4:$O$1000,ROW()-3)&amp;"")</f>
        <v>Any customer who can provide the listed documents.</v>
      </c>
      <c r="F208" s="7" t="str">
        <f aca="false">IF(INDEX(MASTER_DATABASE!$A$4:$A$1000,ROW()-3)="","",INDEX(MASTER_DATABASE!$M$4:$M$1000,ROW()-3)&amp;"")</f>
        <v/>
      </c>
      <c r="G208" s="7" t="str">
        <f aca="false">IF(INDEX(MASTER_DATABASE!$A$4:$A$1000,ROW()-3)="","",INDEX(MASTER_DATABASE!$P$4:$P$1000,ROW()-3)&amp;"")</f>
        <v>Step 1 → Come to the shop for the photo.
Step 2 → Photo is taken with the required size and background.
Step 3 → You approve the photo.
Step 4 → Prints / file are given and payment is made.</v>
      </c>
      <c r="H20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8" s="7" t="str">
        <f aca="false">IF(INDEX(MASTER_DATABASE!$A$4:$A$1000,ROW()-3)="","",INDEX(MASTER_DATABASE!$Q$4:$Q$1000,ROW()-3)&amp;"")</f>
        <v>5–10 Minutes</v>
      </c>
      <c r="J208" s="7" t="str">
        <f aca="false">IF(INDEX(MASTER_DATABASE!$A$4:$A$1000,ROW()-3)="","",INDEX(MASTER_DATABASE!$J$4:$J$1000,ROW()-3)&amp;"")</f>
        <v>Available</v>
      </c>
      <c r="K208" s="7" t="str">
        <f aca="false">IF(INDEX(MASTER_DATABASE!$A$4:$A$1000,ROW()-3)="","",INDEX(MASTER_DATABASE!$AS$4:$AS$1000,ROW()-3)&amp;"")</f>
        <v/>
      </c>
      <c r="L20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8" s="7" t="str">
        <f aca="false">IF(INDEX(MASTER_DATABASE!$A$4:$A$1000,ROW()-3)="","",INDEX(MASTER_DATABASE!$BG$4:$BG$1000,ROW()-3)&amp;"")</f>
        <v>Visit Shop</v>
      </c>
    </row>
    <row r="209" customFormat="false" ht="46.25" hidden="false" customHeight="false" outlineLevel="0" collapsed="false">
      <c r="A209" s="11" t="str">
        <f aca="false">IF(INDEX(MASTER_DATABASE!$A$4:$A$1000,ROW()-3)="","",INDEX(MASTER_DATABASE!$A$4:$A$1000,ROW()-3)&amp;"")</f>
        <v>PHO-004</v>
      </c>
      <c r="B209" s="7" t="str">
        <f aca="false">IF(INDEX(MASTER_DATABASE!$A$4:$A$1000,ROW()-3)="","",INDEX(MASTER_DATABASE!$E$4:$E$1000,ROW()-3)&amp;"")</f>
        <v>Photo Crop</v>
      </c>
      <c r="C209" s="7" t="str">
        <f aca="false">IF(INDEX(MASTER_DATABASE!$A$4:$A$1000,ROW()-3)="","",INDEX(MASTER_DATABASE!$H$4:$H$1000,ROW()-3)&amp;"")</f>
        <v>Photo Crop at our photo desk.</v>
      </c>
      <c r="D20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09" s="7" t="str">
        <f aca="false">IF(INDEX(MASTER_DATABASE!$A$4:$A$1000,ROW()-3)="","",INDEX(MASTER_DATABASE!$O$4:$O$1000,ROW()-3)&amp;"")</f>
        <v>Any customer who can provide the listed documents.</v>
      </c>
      <c r="F209" s="7" t="str">
        <f aca="false">IF(INDEX(MASTER_DATABASE!$A$4:$A$1000,ROW()-3)="","",INDEX(MASTER_DATABASE!$M$4:$M$1000,ROW()-3)&amp;"")</f>
        <v>✓ Old Photo / Photo Files</v>
      </c>
      <c r="G209" s="7" t="str">
        <f aca="false">IF(INDEX(MASTER_DATABASE!$A$4:$A$1000,ROW()-3)="","",INDEX(MASTER_DATABASE!$P$4:$P$1000,ROW()-3)&amp;"")</f>
        <v>Step 1 → Share the photo file or the old photo.
Step 2 → Operator performs 'Photo Crop'.
Step 3 → You check the result.
Step 4 → Final file / print is given and payment is made.</v>
      </c>
      <c r="H20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09" s="7" t="str">
        <f aca="false">IF(INDEX(MASTER_DATABASE!$A$4:$A$1000,ROW()-3)="","",INDEX(MASTER_DATABASE!$Q$4:$Q$1000,ROW()-3)&amp;"")</f>
        <v>15–30 Minutes</v>
      </c>
      <c r="J209" s="7" t="str">
        <f aca="false">IF(INDEX(MASTER_DATABASE!$A$4:$A$1000,ROW()-3)="","",INDEX(MASTER_DATABASE!$J$4:$J$1000,ROW()-3)&amp;"")</f>
        <v>Available</v>
      </c>
      <c r="K209" s="7" t="str">
        <f aca="false">IF(INDEX(MASTER_DATABASE!$A$4:$A$1000,ROW()-3)="","",INDEX(MASTER_DATABASE!$AS$4:$AS$1000,ROW()-3)&amp;"")</f>
        <v/>
      </c>
      <c r="L20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0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09" s="7" t="str">
        <f aca="false">IF(INDEX(MASTER_DATABASE!$A$4:$A$1000,ROW()-3)="","",INDEX(MASTER_DATABASE!$BG$4:$BG$1000,ROW()-3)&amp;"")</f>
        <v>Visit Shop</v>
      </c>
    </row>
    <row r="210" customFormat="false" ht="46.25" hidden="false" customHeight="false" outlineLevel="0" collapsed="false">
      <c r="A210" s="11" t="str">
        <f aca="false">IF(INDEX(MASTER_DATABASE!$A$4:$A$1000,ROW()-3)="","",INDEX(MASTER_DATABASE!$A$4:$A$1000,ROW()-3)&amp;"")</f>
        <v>PHO-005</v>
      </c>
      <c r="B210" s="7" t="str">
        <f aca="false">IF(INDEX(MASTER_DATABASE!$A$4:$A$1000,ROW()-3)="","",INDEX(MASTER_DATABASE!$E$4:$E$1000,ROW()-3)&amp;"")</f>
        <v>Photo Resize</v>
      </c>
      <c r="C210" s="7" t="str">
        <f aca="false">IF(INDEX(MASTER_DATABASE!$A$4:$A$1000,ROW()-3)="","",INDEX(MASTER_DATABASE!$H$4:$H$1000,ROW()-3)&amp;"")</f>
        <v>Photo Resize at our photo desk.</v>
      </c>
      <c r="D21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0" s="7" t="str">
        <f aca="false">IF(INDEX(MASTER_DATABASE!$A$4:$A$1000,ROW()-3)="","",INDEX(MASTER_DATABASE!$O$4:$O$1000,ROW()-3)&amp;"")</f>
        <v>Any customer who can provide the listed documents.</v>
      </c>
      <c r="F210" s="7" t="str">
        <f aca="false">IF(INDEX(MASTER_DATABASE!$A$4:$A$1000,ROW()-3)="","",INDEX(MASTER_DATABASE!$M$4:$M$1000,ROW()-3)&amp;"")</f>
        <v>✓ Old Photo / Photo Files</v>
      </c>
      <c r="G210" s="7" t="str">
        <f aca="false">IF(INDEX(MASTER_DATABASE!$A$4:$A$1000,ROW()-3)="","",INDEX(MASTER_DATABASE!$P$4:$P$1000,ROW()-3)&amp;"")</f>
        <v>Step 1 → Share the photo file or the old photo.
Step 2 → Operator performs 'Photo Resize'.
Step 3 → You check the result.
Step 4 → Final file / print is given and payment is made.</v>
      </c>
      <c r="H21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0" s="7" t="str">
        <f aca="false">IF(INDEX(MASTER_DATABASE!$A$4:$A$1000,ROW()-3)="","",INDEX(MASTER_DATABASE!$Q$4:$Q$1000,ROW()-3)&amp;"")</f>
        <v>15–30 Minutes</v>
      </c>
      <c r="J210" s="7" t="str">
        <f aca="false">IF(INDEX(MASTER_DATABASE!$A$4:$A$1000,ROW()-3)="","",INDEX(MASTER_DATABASE!$J$4:$J$1000,ROW()-3)&amp;"")</f>
        <v>Available</v>
      </c>
      <c r="K210" s="7" t="str">
        <f aca="false">IF(INDEX(MASTER_DATABASE!$A$4:$A$1000,ROW()-3)="","",INDEX(MASTER_DATABASE!$AS$4:$AS$1000,ROW()-3)&amp;"")</f>
        <v/>
      </c>
      <c r="L21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0" s="7" t="str">
        <f aca="false">IF(INDEX(MASTER_DATABASE!$A$4:$A$1000,ROW()-3)="","",INDEX(MASTER_DATABASE!$BG$4:$BG$1000,ROW()-3)&amp;"")</f>
        <v>Visit Shop</v>
      </c>
    </row>
    <row r="211" customFormat="false" ht="46.25" hidden="false" customHeight="false" outlineLevel="0" collapsed="false">
      <c r="A211" s="11" t="str">
        <f aca="false">IF(INDEX(MASTER_DATABASE!$A$4:$A$1000,ROW()-3)="","",INDEX(MASTER_DATABASE!$A$4:$A$1000,ROW()-3)&amp;"")</f>
        <v>PHO-006</v>
      </c>
      <c r="B211" s="7" t="str">
        <f aca="false">IF(INDEX(MASTER_DATABASE!$A$4:$A$1000,ROW()-3)="","",INDEX(MASTER_DATABASE!$E$4:$E$1000,ROW()-3)&amp;"")</f>
        <v>Signature Resize</v>
      </c>
      <c r="C211" s="7" t="str">
        <f aca="false">IF(INDEX(MASTER_DATABASE!$A$4:$A$1000,ROW()-3)="","",INDEX(MASTER_DATABASE!$H$4:$H$1000,ROW()-3)&amp;"")</f>
        <v>Signature Resize at our photo desk.</v>
      </c>
      <c r="D21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1" s="7" t="str">
        <f aca="false">IF(INDEX(MASTER_DATABASE!$A$4:$A$1000,ROW()-3)="","",INDEX(MASTER_DATABASE!$O$4:$O$1000,ROW()-3)&amp;"")</f>
        <v>Any customer who can provide the listed documents.</v>
      </c>
      <c r="F211" s="7" t="str">
        <f aca="false">IF(INDEX(MASTER_DATABASE!$A$4:$A$1000,ROW()-3)="","",INDEX(MASTER_DATABASE!$M$4:$M$1000,ROW()-3)&amp;"")</f>
        <v>✓ Old Photo / Photo Files</v>
      </c>
      <c r="G211" s="7" t="str">
        <f aca="false">IF(INDEX(MASTER_DATABASE!$A$4:$A$1000,ROW()-3)="","",INDEX(MASTER_DATABASE!$P$4:$P$1000,ROW()-3)&amp;"")</f>
        <v>Step 1 → Share the photo file or the old photo.
Step 2 → Operator performs 'Signature Resize'.
Step 3 → You check the result.
Step 4 → Final file / print is given and payment is made.</v>
      </c>
      <c r="H21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1" s="7" t="str">
        <f aca="false">IF(INDEX(MASTER_DATABASE!$A$4:$A$1000,ROW()-3)="","",INDEX(MASTER_DATABASE!$Q$4:$Q$1000,ROW()-3)&amp;"")</f>
        <v>15–30 Minutes</v>
      </c>
      <c r="J211" s="7" t="str">
        <f aca="false">IF(INDEX(MASTER_DATABASE!$A$4:$A$1000,ROW()-3)="","",INDEX(MASTER_DATABASE!$J$4:$J$1000,ROW()-3)&amp;"")</f>
        <v>Available</v>
      </c>
      <c r="K211" s="7" t="str">
        <f aca="false">IF(INDEX(MASTER_DATABASE!$A$4:$A$1000,ROW()-3)="","",INDEX(MASTER_DATABASE!$AS$4:$AS$1000,ROW()-3)&amp;"")</f>
        <v/>
      </c>
      <c r="L21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1" s="7" t="str">
        <f aca="false">IF(INDEX(MASTER_DATABASE!$A$4:$A$1000,ROW()-3)="","",INDEX(MASTER_DATABASE!$BG$4:$BG$1000,ROW()-3)&amp;"")</f>
        <v>Visit Shop</v>
      </c>
    </row>
    <row r="212" customFormat="false" ht="46.25" hidden="false" customHeight="false" outlineLevel="0" collapsed="false">
      <c r="A212" s="11" t="str">
        <f aca="false">IF(INDEX(MASTER_DATABASE!$A$4:$A$1000,ROW()-3)="","",INDEX(MASTER_DATABASE!$A$4:$A$1000,ROW()-3)&amp;"")</f>
        <v>PHO-007</v>
      </c>
      <c r="B212" s="7" t="str">
        <f aca="false">IF(INDEX(MASTER_DATABASE!$A$4:$A$1000,ROW()-3)="","",INDEX(MASTER_DATABASE!$E$4:$E$1000,ROW()-3)&amp;"")</f>
        <v>Background Change</v>
      </c>
      <c r="C212" s="7" t="str">
        <f aca="false">IF(INDEX(MASTER_DATABASE!$A$4:$A$1000,ROW()-3)="","",INDEX(MASTER_DATABASE!$H$4:$H$1000,ROW()-3)&amp;"")</f>
        <v>Background Change at our photo desk.</v>
      </c>
      <c r="D21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2" s="7" t="str">
        <f aca="false">IF(INDEX(MASTER_DATABASE!$A$4:$A$1000,ROW()-3)="","",INDEX(MASTER_DATABASE!$O$4:$O$1000,ROW()-3)&amp;"")</f>
        <v>Any customer who can provide the listed documents.</v>
      </c>
      <c r="F212" s="7" t="str">
        <f aca="false">IF(INDEX(MASTER_DATABASE!$A$4:$A$1000,ROW()-3)="","",INDEX(MASTER_DATABASE!$M$4:$M$1000,ROW()-3)&amp;"")</f>
        <v>✓ Old Photo / Photo Files</v>
      </c>
      <c r="G212" s="7" t="str">
        <f aca="false">IF(INDEX(MASTER_DATABASE!$A$4:$A$1000,ROW()-3)="","",INDEX(MASTER_DATABASE!$P$4:$P$1000,ROW()-3)&amp;"")</f>
        <v>Step 1 → Share the photo file or the old photo.
Step 2 → Operator performs 'Background Change'.
Step 3 → You check the result.
Step 4 → Final file / print is given and payment is made.</v>
      </c>
      <c r="H21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2" s="7" t="str">
        <f aca="false">IF(INDEX(MASTER_DATABASE!$A$4:$A$1000,ROW()-3)="","",INDEX(MASTER_DATABASE!$Q$4:$Q$1000,ROW()-3)&amp;"")</f>
        <v>15–30 Minutes</v>
      </c>
      <c r="J212" s="7" t="str">
        <f aca="false">IF(INDEX(MASTER_DATABASE!$A$4:$A$1000,ROW()-3)="","",INDEX(MASTER_DATABASE!$J$4:$J$1000,ROW()-3)&amp;"")</f>
        <v>Available</v>
      </c>
      <c r="K212" s="7" t="str">
        <f aca="false">IF(INDEX(MASTER_DATABASE!$A$4:$A$1000,ROW()-3)="","",INDEX(MASTER_DATABASE!$AS$4:$AS$1000,ROW()-3)&amp;"")</f>
        <v/>
      </c>
      <c r="L21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2" s="7" t="str">
        <f aca="false">IF(INDEX(MASTER_DATABASE!$A$4:$A$1000,ROW()-3)="","",INDEX(MASTER_DATABASE!$BG$4:$BG$1000,ROW()-3)&amp;"")</f>
        <v>Visit Shop</v>
      </c>
    </row>
    <row r="213" customFormat="false" ht="46.25" hidden="false" customHeight="false" outlineLevel="0" collapsed="false">
      <c r="A213" s="11" t="str">
        <f aca="false">IF(INDEX(MASTER_DATABASE!$A$4:$A$1000,ROW()-3)="","",INDEX(MASTER_DATABASE!$A$4:$A$1000,ROW()-3)&amp;"")</f>
        <v>PHO-008</v>
      </c>
      <c r="B213" s="7" t="str">
        <f aca="false">IF(INDEX(MASTER_DATABASE!$A$4:$A$1000,ROW()-3)="","",INDEX(MASTER_DATABASE!$E$4:$E$1000,ROW()-3)&amp;"")</f>
        <v>Blue Background</v>
      </c>
      <c r="C213" s="7" t="str">
        <f aca="false">IF(INDEX(MASTER_DATABASE!$A$4:$A$1000,ROW()-3)="","",INDEX(MASTER_DATABASE!$H$4:$H$1000,ROW()-3)&amp;"")</f>
        <v>Blue Background at our photo desk.</v>
      </c>
      <c r="D21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3" s="7" t="str">
        <f aca="false">IF(INDEX(MASTER_DATABASE!$A$4:$A$1000,ROW()-3)="","",INDEX(MASTER_DATABASE!$O$4:$O$1000,ROW()-3)&amp;"")</f>
        <v>Any customer who can provide the listed documents.</v>
      </c>
      <c r="F213" s="7" t="str">
        <f aca="false">IF(INDEX(MASTER_DATABASE!$A$4:$A$1000,ROW()-3)="","",INDEX(MASTER_DATABASE!$M$4:$M$1000,ROW()-3)&amp;"")</f>
        <v>✓ Old Photo / Photo Files</v>
      </c>
      <c r="G213" s="7" t="str">
        <f aca="false">IF(INDEX(MASTER_DATABASE!$A$4:$A$1000,ROW()-3)="","",INDEX(MASTER_DATABASE!$P$4:$P$1000,ROW()-3)&amp;"")</f>
        <v>Step 1 → Share the photo file or the old photo.
Step 2 → Operator performs 'Blue Background'.
Step 3 → You check the result.
Step 4 → Final file / print is given and payment is made.</v>
      </c>
      <c r="H21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3" s="7" t="str">
        <f aca="false">IF(INDEX(MASTER_DATABASE!$A$4:$A$1000,ROW()-3)="","",INDEX(MASTER_DATABASE!$Q$4:$Q$1000,ROW()-3)&amp;"")</f>
        <v>15–30 Minutes</v>
      </c>
      <c r="J213" s="7" t="str">
        <f aca="false">IF(INDEX(MASTER_DATABASE!$A$4:$A$1000,ROW()-3)="","",INDEX(MASTER_DATABASE!$J$4:$J$1000,ROW()-3)&amp;"")</f>
        <v>Available</v>
      </c>
      <c r="K213" s="7" t="str">
        <f aca="false">IF(INDEX(MASTER_DATABASE!$A$4:$A$1000,ROW()-3)="","",INDEX(MASTER_DATABASE!$AS$4:$AS$1000,ROW()-3)&amp;"")</f>
        <v/>
      </c>
      <c r="L21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3" s="7" t="str">
        <f aca="false">IF(INDEX(MASTER_DATABASE!$A$4:$A$1000,ROW()-3)="","",INDEX(MASTER_DATABASE!$BG$4:$BG$1000,ROW()-3)&amp;"")</f>
        <v>Visit Shop</v>
      </c>
    </row>
    <row r="214" customFormat="false" ht="46.25" hidden="false" customHeight="false" outlineLevel="0" collapsed="false">
      <c r="A214" s="11" t="str">
        <f aca="false">IF(INDEX(MASTER_DATABASE!$A$4:$A$1000,ROW()-3)="","",INDEX(MASTER_DATABASE!$A$4:$A$1000,ROW()-3)&amp;"")</f>
        <v>PHO-009</v>
      </c>
      <c r="B214" s="7" t="str">
        <f aca="false">IF(INDEX(MASTER_DATABASE!$A$4:$A$1000,ROW()-3)="","",INDEX(MASTER_DATABASE!$E$4:$E$1000,ROW()-3)&amp;"")</f>
        <v>White Background</v>
      </c>
      <c r="C214" s="7" t="str">
        <f aca="false">IF(INDEX(MASTER_DATABASE!$A$4:$A$1000,ROW()-3)="","",INDEX(MASTER_DATABASE!$H$4:$H$1000,ROW()-3)&amp;"")</f>
        <v>White Background at our photo desk.</v>
      </c>
      <c r="D21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4" s="7" t="str">
        <f aca="false">IF(INDEX(MASTER_DATABASE!$A$4:$A$1000,ROW()-3)="","",INDEX(MASTER_DATABASE!$O$4:$O$1000,ROW()-3)&amp;"")</f>
        <v>Any customer who can provide the listed documents.</v>
      </c>
      <c r="F214" s="7" t="str">
        <f aca="false">IF(INDEX(MASTER_DATABASE!$A$4:$A$1000,ROW()-3)="","",INDEX(MASTER_DATABASE!$M$4:$M$1000,ROW()-3)&amp;"")</f>
        <v>✓ Old Photo / Photo Files</v>
      </c>
      <c r="G214" s="7" t="str">
        <f aca="false">IF(INDEX(MASTER_DATABASE!$A$4:$A$1000,ROW()-3)="","",INDEX(MASTER_DATABASE!$P$4:$P$1000,ROW()-3)&amp;"")</f>
        <v>Step 1 → Share the photo file or the old photo.
Step 2 → Operator performs 'White Background'.
Step 3 → You check the result.
Step 4 → Final file / print is given and payment is made.</v>
      </c>
      <c r="H21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4" s="7" t="str">
        <f aca="false">IF(INDEX(MASTER_DATABASE!$A$4:$A$1000,ROW()-3)="","",INDEX(MASTER_DATABASE!$Q$4:$Q$1000,ROW()-3)&amp;"")</f>
        <v>15–30 Minutes</v>
      </c>
      <c r="J214" s="7" t="str">
        <f aca="false">IF(INDEX(MASTER_DATABASE!$A$4:$A$1000,ROW()-3)="","",INDEX(MASTER_DATABASE!$J$4:$J$1000,ROW()-3)&amp;"")</f>
        <v>Available</v>
      </c>
      <c r="K214" s="7" t="str">
        <f aca="false">IF(INDEX(MASTER_DATABASE!$A$4:$A$1000,ROW()-3)="","",INDEX(MASTER_DATABASE!$AS$4:$AS$1000,ROW()-3)&amp;"")</f>
        <v/>
      </c>
      <c r="L21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4" s="7" t="str">
        <f aca="false">IF(INDEX(MASTER_DATABASE!$A$4:$A$1000,ROW()-3)="","",INDEX(MASTER_DATABASE!$BG$4:$BG$1000,ROW()-3)&amp;"")</f>
        <v>Visit Shop</v>
      </c>
    </row>
    <row r="215" customFormat="false" ht="46.25" hidden="false" customHeight="false" outlineLevel="0" collapsed="false">
      <c r="A215" s="11" t="str">
        <f aca="false">IF(INDEX(MASTER_DATABASE!$A$4:$A$1000,ROW()-3)="","",INDEX(MASTER_DATABASE!$A$4:$A$1000,ROW()-3)&amp;"")</f>
        <v>PHO-010</v>
      </c>
      <c r="B215" s="7" t="str">
        <f aca="false">IF(INDEX(MASTER_DATABASE!$A$4:$A$1000,ROW()-3)="","",INDEX(MASTER_DATABASE!$E$4:$E$1000,ROW()-3)&amp;"")</f>
        <v>Photo Retouching</v>
      </c>
      <c r="C215" s="7" t="str">
        <f aca="false">IF(INDEX(MASTER_DATABASE!$A$4:$A$1000,ROW()-3)="","",INDEX(MASTER_DATABASE!$H$4:$H$1000,ROW()-3)&amp;"")</f>
        <v>Photo Retouching at our photo desk.</v>
      </c>
      <c r="D21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5" s="7" t="str">
        <f aca="false">IF(INDEX(MASTER_DATABASE!$A$4:$A$1000,ROW()-3)="","",INDEX(MASTER_DATABASE!$O$4:$O$1000,ROW()-3)&amp;"")</f>
        <v>Any customer who can provide the listed documents.</v>
      </c>
      <c r="F215" s="7" t="str">
        <f aca="false">IF(INDEX(MASTER_DATABASE!$A$4:$A$1000,ROW()-3)="","",INDEX(MASTER_DATABASE!$M$4:$M$1000,ROW()-3)&amp;"")</f>
        <v>✓ Old Photo / Photo Files</v>
      </c>
      <c r="G215" s="7" t="str">
        <f aca="false">IF(INDEX(MASTER_DATABASE!$A$4:$A$1000,ROW()-3)="","",INDEX(MASTER_DATABASE!$P$4:$P$1000,ROW()-3)&amp;"")</f>
        <v>Step 1 → Share the photo file or the old photo.
Step 2 → Operator performs 'Photo Retouching'.
Step 3 → You check the result.
Step 4 → Final file / print is given and payment is made.</v>
      </c>
      <c r="H21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5" s="7" t="str">
        <f aca="false">IF(INDEX(MASTER_DATABASE!$A$4:$A$1000,ROW()-3)="","",INDEX(MASTER_DATABASE!$Q$4:$Q$1000,ROW()-3)&amp;"")</f>
        <v>15–30 Minutes</v>
      </c>
      <c r="J215" s="7" t="str">
        <f aca="false">IF(INDEX(MASTER_DATABASE!$A$4:$A$1000,ROW()-3)="","",INDEX(MASTER_DATABASE!$J$4:$J$1000,ROW()-3)&amp;"")</f>
        <v>Available</v>
      </c>
      <c r="K215" s="7" t="str">
        <f aca="false">IF(INDEX(MASTER_DATABASE!$A$4:$A$1000,ROW()-3)="","",INDEX(MASTER_DATABASE!$AS$4:$AS$1000,ROW()-3)&amp;"")</f>
        <v/>
      </c>
      <c r="L21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5" s="7" t="str">
        <f aca="false">IF(INDEX(MASTER_DATABASE!$A$4:$A$1000,ROW()-3)="","",INDEX(MASTER_DATABASE!$BG$4:$BG$1000,ROW()-3)&amp;"")</f>
        <v>Visit Shop</v>
      </c>
    </row>
    <row r="216" customFormat="false" ht="46.25" hidden="false" customHeight="false" outlineLevel="0" collapsed="false">
      <c r="A216" s="11" t="str">
        <f aca="false">IF(INDEX(MASTER_DATABASE!$A$4:$A$1000,ROW()-3)="","",INDEX(MASTER_DATABASE!$A$4:$A$1000,ROW()-3)&amp;"")</f>
        <v>PHO-011</v>
      </c>
      <c r="B216" s="7" t="str">
        <f aca="false">IF(INDEX(MASTER_DATABASE!$A$4:$A$1000,ROW()-3)="","",INDEX(MASTER_DATABASE!$E$4:$E$1000,ROW()-3)&amp;"")</f>
        <v>Face Cleanup</v>
      </c>
      <c r="C216" s="7" t="str">
        <f aca="false">IF(INDEX(MASTER_DATABASE!$A$4:$A$1000,ROW()-3)="","",INDEX(MASTER_DATABASE!$H$4:$H$1000,ROW()-3)&amp;"")</f>
        <v>Face Cleanup at our photo desk.</v>
      </c>
      <c r="D21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6" s="7" t="str">
        <f aca="false">IF(INDEX(MASTER_DATABASE!$A$4:$A$1000,ROW()-3)="","",INDEX(MASTER_DATABASE!$O$4:$O$1000,ROW()-3)&amp;"")</f>
        <v>Any customer who can provide the listed documents.</v>
      </c>
      <c r="F216" s="7" t="str">
        <f aca="false">IF(INDEX(MASTER_DATABASE!$A$4:$A$1000,ROW()-3)="","",INDEX(MASTER_DATABASE!$M$4:$M$1000,ROW()-3)&amp;"")</f>
        <v>✓ Old Photo / Photo Files</v>
      </c>
      <c r="G216" s="7" t="str">
        <f aca="false">IF(INDEX(MASTER_DATABASE!$A$4:$A$1000,ROW()-3)="","",INDEX(MASTER_DATABASE!$P$4:$P$1000,ROW()-3)&amp;"")</f>
        <v>Step 1 → Share the photo file or the old photo.
Step 2 → Operator performs 'Face Cleanup'.
Step 3 → You check the result.
Step 4 → Final file / print is given and payment is made.</v>
      </c>
      <c r="H21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6" s="7" t="str">
        <f aca="false">IF(INDEX(MASTER_DATABASE!$A$4:$A$1000,ROW()-3)="","",INDEX(MASTER_DATABASE!$Q$4:$Q$1000,ROW()-3)&amp;"")</f>
        <v>15–30 Minutes</v>
      </c>
      <c r="J216" s="7" t="str">
        <f aca="false">IF(INDEX(MASTER_DATABASE!$A$4:$A$1000,ROW()-3)="","",INDEX(MASTER_DATABASE!$J$4:$J$1000,ROW()-3)&amp;"")</f>
        <v>Available</v>
      </c>
      <c r="K216" s="7" t="str">
        <f aca="false">IF(INDEX(MASTER_DATABASE!$A$4:$A$1000,ROW()-3)="","",INDEX(MASTER_DATABASE!$AS$4:$AS$1000,ROW()-3)&amp;"")</f>
        <v/>
      </c>
      <c r="L21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6" s="7" t="str">
        <f aca="false">IF(INDEX(MASTER_DATABASE!$A$4:$A$1000,ROW()-3)="","",INDEX(MASTER_DATABASE!$BG$4:$BG$1000,ROW()-3)&amp;"")</f>
        <v>Visit Shop</v>
      </c>
    </row>
    <row r="217" customFormat="false" ht="46.25" hidden="false" customHeight="false" outlineLevel="0" collapsed="false">
      <c r="A217" s="11" t="str">
        <f aca="false">IF(INDEX(MASTER_DATABASE!$A$4:$A$1000,ROW()-3)="","",INDEX(MASTER_DATABASE!$A$4:$A$1000,ROW()-3)&amp;"")</f>
        <v>PHO-012</v>
      </c>
      <c r="B217" s="7" t="str">
        <f aca="false">IF(INDEX(MASTER_DATABASE!$A$4:$A$1000,ROW()-3)="","",INDEX(MASTER_DATABASE!$E$4:$E$1000,ROW()-3)&amp;"")</f>
        <v>Photo Enhancement</v>
      </c>
      <c r="C217" s="7" t="str">
        <f aca="false">IF(INDEX(MASTER_DATABASE!$A$4:$A$1000,ROW()-3)="","",INDEX(MASTER_DATABASE!$H$4:$H$1000,ROW()-3)&amp;"")</f>
        <v>Photo Enhancement at our photo desk.</v>
      </c>
      <c r="D21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7" s="7" t="str">
        <f aca="false">IF(INDEX(MASTER_DATABASE!$A$4:$A$1000,ROW()-3)="","",INDEX(MASTER_DATABASE!$O$4:$O$1000,ROW()-3)&amp;"")</f>
        <v>Any customer who can provide the listed documents.</v>
      </c>
      <c r="F217" s="7" t="str">
        <f aca="false">IF(INDEX(MASTER_DATABASE!$A$4:$A$1000,ROW()-3)="","",INDEX(MASTER_DATABASE!$M$4:$M$1000,ROW()-3)&amp;"")</f>
        <v>✓ Old Photo / Photo Files</v>
      </c>
      <c r="G217" s="7" t="str">
        <f aca="false">IF(INDEX(MASTER_DATABASE!$A$4:$A$1000,ROW()-3)="","",INDEX(MASTER_DATABASE!$P$4:$P$1000,ROW()-3)&amp;"")</f>
        <v>Step 1 → Share the photo file or the old photo.
Step 2 → Operator performs 'Photo Enhancement'.
Step 3 → You check the result.
Step 4 → Final file / print is given and payment is made.</v>
      </c>
      <c r="H21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7" s="7" t="str">
        <f aca="false">IF(INDEX(MASTER_DATABASE!$A$4:$A$1000,ROW()-3)="","",INDEX(MASTER_DATABASE!$Q$4:$Q$1000,ROW()-3)&amp;"")</f>
        <v>15–30 Minutes</v>
      </c>
      <c r="J217" s="7" t="str">
        <f aca="false">IF(INDEX(MASTER_DATABASE!$A$4:$A$1000,ROW()-3)="","",INDEX(MASTER_DATABASE!$J$4:$J$1000,ROW()-3)&amp;"")</f>
        <v>Available</v>
      </c>
      <c r="K217" s="7" t="str">
        <f aca="false">IF(INDEX(MASTER_DATABASE!$A$4:$A$1000,ROW()-3)="","",INDEX(MASTER_DATABASE!$AS$4:$AS$1000,ROW()-3)&amp;"")</f>
        <v/>
      </c>
      <c r="L21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7" s="7" t="str">
        <f aca="false">IF(INDEX(MASTER_DATABASE!$A$4:$A$1000,ROW()-3)="","",INDEX(MASTER_DATABASE!$BG$4:$BG$1000,ROW()-3)&amp;"")</f>
        <v>Visit Shop</v>
      </c>
    </row>
    <row r="218" customFormat="false" ht="46.25" hidden="false" customHeight="false" outlineLevel="0" collapsed="false">
      <c r="A218" s="11" t="str">
        <f aca="false">IF(INDEX(MASTER_DATABASE!$A$4:$A$1000,ROW()-3)="","",INDEX(MASTER_DATABASE!$A$4:$A$1000,ROW()-3)&amp;"")</f>
        <v>PHO-013</v>
      </c>
      <c r="B218" s="7" t="str">
        <f aca="false">IF(INDEX(MASTER_DATABASE!$A$4:$A$1000,ROW()-3)="","",INDEX(MASTER_DATABASE!$E$4:$E$1000,ROW()-3)&amp;"")</f>
        <v>Old Photo Restoration</v>
      </c>
      <c r="C218" s="7" t="str">
        <f aca="false">IF(INDEX(MASTER_DATABASE!$A$4:$A$1000,ROW()-3)="","",INDEX(MASTER_DATABASE!$H$4:$H$1000,ROW()-3)&amp;"")</f>
        <v>Old Photo Restoration at our photo desk.</v>
      </c>
      <c r="D21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8" s="7" t="str">
        <f aca="false">IF(INDEX(MASTER_DATABASE!$A$4:$A$1000,ROW()-3)="","",INDEX(MASTER_DATABASE!$O$4:$O$1000,ROW()-3)&amp;"")</f>
        <v>Any customer who can provide the listed documents.</v>
      </c>
      <c r="F218" s="7" t="str">
        <f aca="false">IF(INDEX(MASTER_DATABASE!$A$4:$A$1000,ROW()-3)="","",INDEX(MASTER_DATABASE!$M$4:$M$1000,ROW()-3)&amp;"")</f>
        <v>✓ Old Photo / Photo Files</v>
      </c>
      <c r="G218" s="7" t="str">
        <f aca="false">IF(INDEX(MASTER_DATABASE!$A$4:$A$1000,ROW()-3)="","",INDEX(MASTER_DATABASE!$P$4:$P$1000,ROW()-3)&amp;"")</f>
        <v>Step 1 → Share the photo file or the old photo.
Step 2 → Operator performs 'Old Photo Restoration'.
Step 3 → You check the result.
Step 4 → Final file / print is given and payment is made.</v>
      </c>
      <c r="H21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8" s="7" t="str">
        <f aca="false">IF(INDEX(MASTER_DATABASE!$A$4:$A$1000,ROW()-3)="","",INDEX(MASTER_DATABASE!$Q$4:$Q$1000,ROW()-3)&amp;"")</f>
        <v>15–30 Minutes</v>
      </c>
      <c r="J218" s="7" t="str">
        <f aca="false">IF(INDEX(MASTER_DATABASE!$A$4:$A$1000,ROW()-3)="","",INDEX(MASTER_DATABASE!$J$4:$J$1000,ROW()-3)&amp;"")</f>
        <v>Available</v>
      </c>
      <c r="K218" s="7" t="str">
        <f aca="false">IF(INDEX(MASTER_DATABASE!$A$4:$A$1000,ROW()-3)="","",INDEX(MASTER_DATABASE!$AS$4:$AS$1000,ROW()-3)&amp;"")</f>
        <v/>
      </c>
      <c r="L21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8" s="7" t="str">
        <f aca="false">IF(INDEX(MASTER_DATABASE!$A$4:$A$1000,ROW()-3)="","",INDEX(MASTER_DATABASE!$BG$4:$BG$1000,ROW()-3)&amp;"")</f>
        <v>Visit Shop</v>
      </c>
    </row>
    <row r="219" customFormat="false" ht="46.25" hidden="false" customHeight="false" outlineLevel="0" collapsed="false">
      <c r="A219" s="11" t="str">
        <f aca="false">IF(INDEX(MASTER_DATABASE!$A$4:$A$1000,ROW()-3)="","",INDEX(MASTER_DATABASE!$A$4:$A$1000,ROW()-3)&amp;"")</f>
        <v>PHO-014</v>
      </c>
      <c r="B219" s="7" t="str">
        <f aca="false">IF(INDEX(MASTER_DATABASE!$A$4:$A$1000,ROW()-3)="","",INDEX(MASTER_DATABASE!$E$4:$E$1000,ROW()-3)&amp;"")</f>
        <v>Photo Print</v>
      </c>
      <c r="C219" s="7" t="str">
        <f aca="false">IF(INDEX(MASTER_DATABASE!$A$4:$A$1000,ROW()-3)="","",INDEX(MASTER_DATABASE!$H$4:$H$1000,ROW()-3)&amp;"")</f>
        <v>Photo Print at our photo desk.</v>
      </c>
      <c r="D21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19" s="7" t="str">
        <f aca="false">IF(INDEX(MASTER_DATABASE!$A$4:$A$1000,ROW()-3)="","",INDEX(MASTER_DATABASE!$O$4:$O$1000,ROW()-3)&amp;"")</f>
        <v>Any customer who can provide the listed documents.</v>
      </c>
      <c r="F219" s="7" t="str">
        <f aca="false">IF(INDEX(MASTER_DATABASE!$A$4:$A$1000,ROW()-3)="","",INDEX(MASTER_DATABASE!$M$4:$M$1000,ROW()-3)&amp;"")</f>
        <v>✓ Old Photo / Photo Files</v>
      </c>
      <c r="G219" s="7" t="str">
        <f aca="false">IF(INDEX(MASTER_DATABASE!$A$4:$A$1000,ROW()-3)="","",INDEX(MASTER_DATABASE!$P$4:$P$1000,ROW()-3)&amp;"")</f>
        <v>Step 1 → Share the photo file or the old photo.
Step 2 → Operator performs 'Photo Print'.
Step 3 → You check the result.
Step 4 → Final file / print is given and payment is made.</v>
      </c>
      <c r="H21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19" s="7" t="str">
        <f aca="false">IF(INDEX(MASTER_DATABASE!$A$4:$A$1000,ROW()-3)="","",INDEX(MASTER_DATABASE!$Q$4:$Q$1000,ROW()-3)&amp;"")</f>
        <v>15–30 Minutes</v>
      </c>
      <c r="J219" s="7" t="str">
        <f aca="false">IF(INDEX(MASTER_DATABASE!$A$4:$A$1000,ROW()-3)="","",INDEX(MASTER_DATABASE!$J$4:$J$1000,ROW()-3)&amp;"")</f>
        <v>Available</v>
      </c>
      <c r="K219" s="7" t="str">
        <f aca="false">IF(INDEX(MASTER_DATABASE!$A$4:$A$1000,ROW()-3)="","",INDEX(MASTER_DATABASE!$AS$4:$AS$1000,ROW()-3)&amp;"")</f>
        <v/>
      </c>
      <c r="L21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1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19" s="7" t="str">
        <f aca="false">IF(INDEX(MASTER_DATABASE!$A$4:$A$1000,ROW()-3)="","",INDEX(MASTER_DATABASE!$BG$4:$BG$1000,ROW()-3)&amp;"")</f>
        <v>Visit Shop</v>
      </c>
    </row>
    <row r="220" customFormat="false" ht="46.25" hidden="false" customHeight="false" outlineLevel="0" collapsed="false">
      <c r="A220" s="11" t="str">
        <f aca="false">IF(INDEX(MASTER_DATABASE!$A$4:$A$1000,ROW()-3)="","",INDEX(MASTER_DATABASE!$A$4:$A$1000,ROW()-3)&amp;"")</f>
        <v>PHO-015</v>
      </c>
      <c r="B220" s="7" t="str">
        <f aca="false">IF(INDEX(MASTER_DATABASE!$A$4:$A$1000,ROW()-3)="","",INDEX(MASTER_DATABASE!$E$4:$E$1000,ROW()-3)&amp;"")</f>
        <v>4×6 Photo Sheet</v>
      </c>
      <c r="C220" s="7" t="str">
        <f aca="false">IF(INDEX(MASTER_DATABASE!$A$4:$A$1000,ROW()-3)="","",INDEX(MASTER_DATABASE!$H$4:$H$1000,ROW()-3)&amp;"")</f>
        <v>4×6 Photo Sheet at our photo desk.</v>
      </c>
      <c r="D22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0" s="7" t="str">
        <f aca="false">IF(INDEX(MASTER_DATABASE!$A$4:$A$1000,ROW()-3)="","",INDEX(MASTER_DATABASE!$O$4:$O$1000,ROW()-3)&amp;"")</f>
        <v>Any customer who can provide the listed documents.</v>
      </c>
      <c r="F220" s="7" t="str">
        <f aca="false">IF(INDEX(MASTER_DATABASE!$A$4:$A$1000,ROW()-3)="","",INDEX(MASTER_DATABASE!$M$4:$M$1000,ROW()-3)&amp;"")</f>
        <v>✓ Old Photo / Photo Files</v>
      </c>
      <c r="G220" s="7" t="str">
        <f aca="false">IF(INDEX(MASTER_DATABASE!$A$4:$A$1000,ROW()-3)="","",INDEX(MASTER_DATABASE!$P$4:$P$1000,ROW()-3)&amp;"")</f>
        <v>Step 1 → Share the photo file or the old photo.
Step 2 → Operator performs '4×6 Photo Sheet'.
Step 3 → You check the result.
Step 4 → Final file / print is given and payment is made.</v>
      </c>
      <c r="H22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0" s="7" t="str">
        <f aca="false">IF(INDEX(MASTER_DATABASE!$A$4:$A$1000,ROW()-3)="","",INDEX(MASTER_DATABASE!$Q$4:$Q$1000,ROW()-3)&amp;"")</f>
        <v>15–30 Minutes</v>
      </c>
      <c r="J220" s="7" t="str">
        <f aca="false">IF(INDEX(MASTER_DATABASE!$A$4:$A$1000,ROW()-3)="","",INDEX(MASTER_DATABASE!$J$4:$J$1000,ROW()-3)&amp;"")</f>
        <v>Available</v>
      </c>
      <c r="K220" s="7" t="str">
        <f aca="false">IF(INDEX(MASTER_DATABASE!$A$4:$A$1000,ROW()-3)="","",INDEX(MASTER_DATABASE!$AS$4:$AS$1000,ROW()-3)&amp;"")</f>
        <v/>
      </c>
      <c r="L22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0" s="7" t="str">
        <f aca="false">IF(INDEX(MASTER_DATABASE!$A$4:$A$1000,ROW()-3)="","",INDEX(MASTER_DATABASE!$BG$4:$BG$1000,ROW()-3)&amp;"")</f>
        <v>Visit Shop</v>
      </c>
    </row>
    <row r="221" customFormat="false" ht="46.25" hidden="false" customHeight="false" outlineLevel="0" collapsed="false">
      <c r="A221" s="11" t="str">
        <f aca="false">IF(INDEX(MASTER_DATABASE!$A$4:$A$1000,ROW()-3)="","",INDEX(MASTER_DATABASE!$A$4:$A$1000,ROW()-3)&amp;"")</f>
        <v>PHO-016</v>
      </c>
      <c r="B221" s="7" t="str">
        <f aca="false">IF(INDEX(MASTER_DATABASE!$A$4:$A$1000,ROW()-3)="","",INDEX(MASTER_DATABASE!$E$4:$E$1000,ROW()-3)&amp;"")</f>
        <v>Multiple Photo Layout</v>
      </c>
      <c r="C221" s="7" t="str">
        <f aca="false">IF(INDEX(MASTER_DATABASE!$A$4:$A$1000,ROW()-3)="","",INDEX(MASTER_DATABASE!$H$4:$H$1000,ROW()-3)&amp;"")</f>
        <v>Multiple Photo Layout at our photo desk.</v>
      </c>
      <c r="D22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1" s="7" t="str">
        <f aca="false">IF(INDEX(MASTER_DATABASE!$A$4:$A$1000,ROW()-3)="","",INDEX(MASTER_DATABASE!$O$4:$O$1000,ROW()-3)&amp;"")</f>
        <v>Any customer who can provide the listed documents.</v>
      </c>
      <c r="F221" s="7" t="str">
        <f aca="false">IF(INDEX(MASTER_DATABASE!$A$4:$A$1000,ROW()-3)="","",INDEX(MASTER_DATABASE!$M$4:$M$1000,ROW()-3)&amp;"")</f>
        <v>✓ Old Photo / Photo Files</v>
      </c>
      <c r="G221" s="7" t="str">
        <f aca="false">IF(INDEX(MASTER_DATABASE!$A$4:$A$1000,ROW()-3)="","",INDEX(MASTER_DATABASE!$P$4:$P$1000,ROW()-3)&amp;"")</f>
        <v>Step 1 → Share the photo file or the old photo.
Step 2 → Operator performs 'Multiple Photo Layout'.
Step 3 → You check the result.
Step 4 → Final file / print is given and payment is made.</v>
      </c>
      <c r="H22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1" s="7" t="str">
        <f aca="false">IF(INDEX(MASTER_DATABASE!$A$4:$A$1000,ROW()-3)="","",INDEX(MASTER_DATABASE!$Q$4:$Q$1000,ROW()-3)&amp;"")</f>
        <v>15–30 Minutes</v>
      </c>
      <c r="J221" s="7" t="str">
        <f aca="false">IF(INDEX(MASTER_DATABASE!$A$4:$A$1000,ROW()-3)="","",INDEX(MASTER_DATABASE!$J$4:$J$1000,ROW()-3)&amp;"")</f>
        <v>Available</v>
      </c>
      <c r="K221" s="7" t="str">
        <f aca="false">IF(INDEX(MASTER_DATABASE!$A$4:$A$1000,ROW()-3)="","",INDEX(MASTER_DATABASE!$AS$4:$AS$1000,ROW()-3)&amp;"")</f>
        <v/>
      </c>
      <c r="L22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1" s="7" t="str">
        <f aca="false">IF(INDEX(MASTER_DATABASE!$A$4:$A$1000,ROW()-3)="","",INDEX(MASTER_DATABASE!$BG$4:$BG$1000,ROW()-3)&amp;"")</f>
        <v>Visit Shop</v>
      </c>
    </row>
    <row r="222" customFormat="false" ht="46.25" hidden="false" customHeight="false" outlineLevel="0" collapsed="false">
      <c r="A222" s="11" t="str">
        <f aca="false">IF(INDEX(MASTER_DATABASE!$A$4:$A$1000,ROW()-3)="","",INDEX(MASTER_DATABASE!$A$4:$A$1000,ROW()-3)&amp;"")</f>
        <v>PHO-017</v>
      </c>
      <c r="B222" s="7" t="str">
        <f aca="false">IF(INDEX(MASTER_DATABASE!$A$4:$A$1000,ROW()-3)="","",INDEX(MASTER_DATABASE!$E$4:$E$1000,ROW()-3)&amp;"")</f>
        <v>Visiting Card Design</v>
      </c>
      <c r="C222" s="7" t="str">
        <f aca="false">IF(INDEX(MASTER_DATABASE!$A$4:$A$1000,ROW()-3)="","",INDEX(MASTER_DATABASE!$H$4:$H$1000,ROW()-3)&amp;"")</f>
        <v>Visiting Card Design at our design desk.</v>
      </c>
      <c r="D22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2" s="7" t="str">
        <f aca="false">IF(INDEX(MASTER_DATABASE!$A$4:$A$1000,ROW()-3)="","",INDEX(MASTER_DATABASE!$O$4:$O$1000,ROW()-3)&amp;"")</f>
        <v>Any customer who can provide the listed documents.</v>
      </c>
      <c r="F222" s="7" t="str">
        <f aca="false">IF(INDEX(MASTER_DATABASE!$A$4:$A$1000,ROW()-3)="","",INDEX(MASTER_DATABASE!$M$4:$M$1000,ROW()-3)&amp;"")</f>
        <v>✓ Design Content / Text</v>
      </c>
      <c r="G222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2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2" s="7" t="str">
        <f aca="false">IF(INDEX(MASTER_DATABASE!$A$4:$A$1000,ROW()-3)="","",INDEX(MASTER_DATABASE!$Q$4:$Q$1000,ROW()-3)&amp;"")</f>
        <v>Same Day</v>
      </c>
      <c r="J222" s="7" t="str">
        <f aca="false">IF(INDEX(MASTER_DATABASE!$A$4:$A$1000,ROW()-3)="","",INDEX(MASTER_DATABASE!$J$4:$J$1000,ROW()-3)&amp;"")</f>
        <v>Available</v>
      </c>
      <c r="K222" s="7" t="str">
        <f aca="false">IF(INDEX(MASTER_DATABASE!$A$4:$A$1000,ROW()-3)="","",INDEX(MASTER_DATABASE!$AS$4:$AS$1000,ROW()-3)&amp;"")</f>
        <v/>
      </c>
      <c r="L22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2" s="7" t="str">
        <f aca="false">IF(INDEX(MASTER_DATABASE!$A$4:$A$1000,ROW()-3)="","",INDEX(MASTER_DATABASE!$BG$4:$BG$1000,ROW()-3)&amp;"")</f>
        <v>Get Quote</v>
      </c>
    </row>
    <row r="223" customFormat="false" ht="46.25" hidden="false" customHeight="false" outlineLevel="0" collapsed="false">
      <c r="A223" s="11" t="str">
        <f aca="false">IF(INDEX(MASTER_DATABASE!$A$4:$A$1000,ROW()-3)="","",INDEX(MASTER_DATABASE!$A$4:$A$1000,ROW()-3)&amp;"")</f>
        <v>PHO-018</v>
      </c>
      <c r="B223" s="7" t="str">
        <f aca="false">IF(INDEX(MASTER_DATABASE!$A$4:$A$1000,ROW()-3)="","",INDEX(MASTER_DATABASE!$E$4:$E$1000,ROW()-3)&amp;"")</f>
        <v>ID Card Design</v>
      </c>
      <c r="C223" s="7" t="str">
        <f aca="false">IF(INDEX(MASTER_DATABASE!$A$4:$A$1000,ROW()-3)="","",INDEX(MASTER_DATABASE!$H$4:$H$1000,ROW()-3)&amp;"")</f>
        <v>ID Card Design at our design desk.</v>
      </c>
      <c r="D22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3" s="7" t="str">
        <f aca="false">IF(INDEX(MASTER_DATABASE!$A$4:$A$1000,ROW()-3)="","",INDEX(MASTER_DATABASE!$O$4:$O$1000,ROW()-3)&amp;"")</f>
        <v>Any customer who can provide the listed documents.</v>
      </c>
      <c r="F223" s="7" t="str">
        <f aca="false">IF(INDEX(MASTER_DATABASE!$A$4:$A$1000,ROW()-3)="","",INDEX(MASTER_DATABASE!$M$4:$M$1000,ROW()-3)&amp;"")</f>
        <v>✓ Design Content / Text</v>
      </c>
      <c r="G223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2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3" s="7" t="str">
        <f aca="false">IF(INDEX(MASTER_DATABASE!$A$4:$A$1000,ROW()-3)="","",INDEX(MASTER_DATABASE!$Q$4:$Q$1000,ROW()-3)&amp;"")</f>
        <v>Same Day</v>
      </c>
      <c r="J223" s="7" t="str">
        <f aca="false">IF(INDEX(MASTER_DATABASE!$A$4:$A$1000,ROW()-3)="","",INDEX(MASTER_DATABASE!$J$4:$J$1000,ROW()-3)&amp;"")</f>
        <v>Available</v>
      </c>
      <c r="K223" s="7" t="str">
        <f aca="false">IF(INDEX(MASTER_DATABASE!$A$4:$A$1000,ROW()-3)="","",INDEX(MASTER_DATABASE!$AS$4:$AS$1000,ROW()-3)&amp;"")</f>
        <v/>
      </c>
      <c r="L22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3" s="7" t="str">
        <f aca="false">IF(INDEX(MASTER_DATABASE!$A$4:$A$1000,ROW()-3)="","",INDEX(MASTER_DATABASE!$BG$4:$BG$1000,ROW()-3)&amp;"")</f>
        <v>Get Quote</v>
      </c>
    </row>
    <row r="224" customFormat="false" ht="46.25" hidden="false" customHeight="false" outlineLevel="0" collapsed="false">
      <c r="A224" s="11" t="str">
        <f aca="false">IF(INDEX(MASTER_DATABASE!$A$4:$A$1000,ROW()-3)="","",INDEX(MASTER_DATABASE!$A$4:$A$1000,ROW()-3)&amp;"")</f>
        <v>PHO-019</v>
      </c>
      <c r="B224" s="7" t="str">
        <f aca="false">IF(INDEX(MASTER_DATABASE!$A$4:$A$1000,ROW()-3)="","",INDEX(MASTER_DATABASE!$E$4:$E$1000,ROW()-3)&amp;"")</f>
        <v>Certificate Design</v>
      </c>
      <c r="C224" s="7" t="str">
        <f aca="false">IF(INDEX(MASTER_DATABASE!$A$4:$A$1000,ROW()-3)="","",INDEX(MASTER_DATABASE!$H$4:$H$1000,ROW()-3)&amp;"")</f>
        <v>Certificate Design at our design desk.</v>
      </c>
      <c r="D22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4" s="7" t="str">
        <f aca="false">IF(INDEX(MASTER_DATABASE!$A$4:$A$1000,ROW()-3)="","",INDEX(MASTER_DATABASE!$O$4:$O$1000,ROW()-3)&amp;"")</f>
        <v>Any customer who can provide the listed documents.</v>
      </c>
      <c r="F224" s="7" t="str">
        <f aca="false">IF(INDEX(MASTER_DATABASE!$A$4:$A$1000,ROW()-3)="","",INDEX(MASTER_DATABASE!$M$4:$M$1000,ROW()-3)&amp;"")</f>
        <v>✓ Design Content / Text</v>
      </c>
      <c r="G224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2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4" s="7" t="str">
        <f aca="false">IF(INDEX(MASTER_DATABASE!$A$4:$A$1000,ROW()-3)="","",INDEX(MASTER_DATABASE!$Q$4:$Q$1000,ROW()-3)&amp;"")</f>
        <v>Same Day</v>
      </c>
      <c r="J224" s="7" t="str">
        <f aca="false">IF(INDEX(MASTER_DATABASE!$A$4:$A$1000,ROW()-3)="","",INDEX(MASTER_DATABASE!$J$4:$J$1000,ROW()-3)&amp;"")</f>
        <v>Available</v>
      </c>
      <c r="K224" s="7" t="str">
        <f aca="false">IF(INDEX(MASTER_DATABASE!$A$4:$A$1000,ROW()-3)="","",INDEX(MASTER_DATABASE!$AS$4:$AS$1000,ROW()-3)&amp;"")</f>
        <v/>
      </c>
      <c r="L22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4" s="7" t="str">
        <f aca="false">IF(INDEX(MASTER_DATABASE!$A$4:$A$1000,ROW()-3)="","",INDEX(MASTER_DATABASE!$BG$4:$BG$1000,ROW()-3)&amp;"")</f>
        <v>Get Quote</v>
      </c>
    </row>
    <row r="225" customFormat="false" ht="46.25" hidden="false" customHeight="false" outlineLevel="0" collapsed="false">
      <c r="A225" s="11" t="str">
        <f aca="false">IF(INDEX(MASTER_DATABASE!$A$4:$A$1000,ROW()-3)="","",INDEX(MASTER_DATABASE!$A$4:$A$1000,ROW()-3)&amp;"")</f>
        <v>PHO-020</v>
      </c>
      <c r="B225" s="7" t="str">
        <f aca="false">IF(INDEX(MASTER_DATABASE!$A$4:$A$1000,ROW()-3)="","",INDEX(MASTER_DATABASE!$E$4:$E$1000,ROW()-3)&amp;"")</f>
        <v>Poster Design</v>
      </c>
      <c r="C225" s="7" t="str">
        <f aca="false">IF(INDEX(MASTER_DATABASE!$A$4:$A$1000,ROW()-3)="","",INDEX(MASTER_DATABASE!$H$4:$H$1000,ROW()-3)&amp;"")</f>
        <v>Poster Design at our design desk.</v>
      </c>
      <c r="D22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5" s="7" t="str">
        <f aca="false">IF(INDEX(MASTER_DATABASE!$A$4:$A$1000,ROW()-3)="","",INDEX(MASTER_DATABASE!$O$4:$O$1000,ROW()-3)&amp;"")</f>
        <v>Any customer who can provide the listed documents.</v>
      </c>
      <c r="F225" s="7" t="str">
        <f aca="false">IF(INDEX(MASTER_DATABASE!$A$4:$A$1000,ROW()-3)="","",INDEX(MASTER_DATABASE!$M$4:$M$1000,ROW()-3)&amp;"")</f>
        <v>✓ Design Content / Text</v>
      </c>
      <c r="G225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2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5" s="7" t="str">
        <f aca="false">IF(INDEX(MASTER_DATABASE!$A$4:$A$1000,ROW()-3)="","",INDEX(MASTER_DATABASE!$Q$4:$Q$1000,ROW()-3)&amp;"")</f>
        <v>Same Day</v>
      </c>
      <c r="J225" s="7" t="str">
        <f aca="false">IF(INDEX(MASTER_DATABASE!$A$4:$A$1000,ROW()-3)="","",INDEX(MASTER_DATABASE!$J$4:$J$1000,ROW()-3)&amp;"")</f>
        <v>Available</v>
      </c>
      <c r="K225" s="7" t="str">
        <f aca="false">IF(INDEX(MASTER_DATABASE!$A$4:$A$1000,ROW()-3)="","",INDEX(MASTER_DATABASE!$AS$4:$AS$1000,ROW()-3)&amp;"")</f>
        <v/>
      </c>
      <c r="L22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5" s="7" t="str">
        <f aca="false">IF(INDEX(MASTER_DATABASE!$A$4:$A$1000,ROW()-3)="","",INDEX(MASTER_DATABASE!$BG$4:$BG$1000,ROW()-3)&amp;"")</f>
        <v>Get Quote</v>
      </c>
    </row>
    <row r="226" customFormat="false" ht="46.25" hidden="false" customHeight="false" outlineLevel="0" collapsed="false">
      <c r="A226" s="11" t="str">
        <f aca="false">IF(INDEX(MASTER_DATABASE!$A$4:$A$1000,ROW()-3)="","",INDEX(MASTER_DATABASE!$A$4:$A$1000,ROW()-3)&amp;"")</f>
        <v>PHO-021</v>
      </c>
      <c r="B226" s="7" t="str">
        <f aca="false">IF(INDEX(MASTER_DATABASE!$A$4:$A$1000,ROW()-3)="","",INDEX(MASTER_DATABASE!$E$4:$E$1000,ROW()-3)&amp;"")</f>
        <v>Banner Design</v>
      </c>
      <c r="C226" s="7" t="str">
        <f aca="false">IF(INDEX(MASTER_DATABASE!$A$4:$A$1000,ROW()-3)="","",INDEX(MASTER_DATABASE!$H$4:$H$1000,ROW()-3)&amp;"")</f>
        <v>Banner Design at our design desk.</v>
      </c>
      <c r="D22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6" s="7" t="str">
        <f aca="false">IF(INDEX(MASTER_DATABASE!$A$4:$A$1000,ROW()-3)="","",INDEX(MASTER_DATABASE!$O$4:$O$1000,ROW()-3)&amp;"")</f>
        <v>Any customer who can provide the listed documents.</v>
      </c>
      <c r="F226" s="7" t="str">
        <f aca="false">IF(INDEX(MASTER_DATABASE!$A$4:$A$1000,ROW()-3)="","",INDEX(MASTER_DATABASE!$M$4:$M$1000,ROW()-3)&amp;"")</f>
        <v>✓ Design Content / Text</v>
      </c>
      <c r="G226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2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6" s="7" t="str">
        <f aca="false">IF(INDEX(MASTER_DATABASE!$A$4:$A$1000,ROW()-3)="","",INDEX(MASTER_DATABASE!$Q$4:$Q$1000,ROW()-3)&amp;"")</f>
        <v>Same Day</v>
      </c>
      <c r="J226" s="7" t="str">
        <f aca="false">IF(INDEX(MASTER_DATABASE!$A$4:$A$1000,ROW()-3)="","",INDEX(MASTER_DATABASE!$J$4:$J$1000,ROW()-3)&amp;"")</f>
        <v>Available</v>
      </c>
      <c r="K226" s="7" t="str">
        <f aca="false">IF(INDEX(MASTER_DATABASE!$A$4:$A$1000,ROW()-3)="","",INDEX(MASTER_DATABASE!$AS$4:$AS$1000,ROW()-3)&amp;"")</f>
        <v/>
      </c>
      <c r="L22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6" s="7" t="str">
        <f aca="false">IF(INDEX(MASTER_DATABASE!$A$4:$A$1000,ROW()-3)="","",INDEX(MASTER_DATABASE!$BG$4:$BG$1000,ROW()-3)&amp;"")</f>
        <v>Get Quote</v>
      </c>
    </row>
    <row r="227" customFormat="false" ht="46.25" hidden="false" customHeight="false" outlineLevel="0" collapsed="false">
      <c r="A227" s="11" t="str">
        <f aca="false">IF(INDEX(MASTER_DATABASE!$A$4:$A$1000,ROW()-3)="","",INDEX(MASTER_DATABASE!$A$4:$A$1000,ROW()-3)&amp;"")</f>
        <v>PHO-022</v>
      </c>
      <c r="B227" s="7" t="str">
        <f aca="false">IF(INDEX(MASTER_DATABASE!$A$4:$A$1000,ROW()-3)="","",INDEX(MASTER_DATABASE!$E$4:$E$1000,ROW()-3)&amp;"")</f>
        <v>Pamphlet Design</v>
      </c>
      <c r="C227" s="7" t="str">
        <f aca="false">IF(INDEX(MASTER_DATABASE!$A$4:$A$1000,ROW()-3)="","",INDEX(MASTER_DATABASE!$H$4:$H$1000,ROW()-3)&amp;"")</f>
        <v>Pamphlet Design at our design desk.</v>
      </c>
      <c r="D22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7" s="7" t="str">
        <f aca="false">IF(INDEX(MASTER_DATABASE!$A$4:$A$1000,ROW()-3)="","",INDEX(MASTER_DATABASE!$O$4:$O$1000,ROW()-3)&amp;"")</f>
        <v>Any customer who can provide the listed documents.</v>
      </c>
      <c r="F227" s="7" t="str">
        <f aca="false">IF(INDEX(MASTER_DATABASE!$A$4:$A$1000,ROW()-3)="","",INDEX(MASTER_DATABASE!$M$4:$M$1000,ROW()-3)&amp;"")</f>
        <v>✓ Design Content / Text</v>
      </c>
      <c r="G227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2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7" s="7" t="str">
        <f aca="false">IF(INDEX(MASTER_DATABASE!$A$4:$A$1000,ROW()-3)="","",INDEX(MASTER_DATABASE!$Q$4:$Q$1000,ROW()-3)&amp;"")</f>
        <v>Same Day</v>
      </c>
      <c r="J227" s="7" t="str">
        <f aca="false">IF(INDEX(MASTER_DATABASE!$A$4:$A$1000,ROW()-3)="","",INDEX(MASTER_DATABASE!$J$4:$J$1000,ROW()-3)&amp;"")</f>
        <v>Available</v>
      </c>
      <c r="K227" s="7" t="str">
        <f aca="false">IF(INDEX(MASTER_DATABASE!$A$4:$A$1000,ROW()-3)="","",INDEX(MASTER_DATABASE!$AS$4:$AS$1000,ROW()-3)&amp;"")</f>
        <v/>
      </c>
      <c r="L22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7" s="7" t="str">
        <f aca="false">IF(INDEX(MASTER_DATABASE!$A$4:$A$1000,ROW()-3)="","",INDEX(MASTER_DATABASE!$BG$4:$BG$1000,ROW()-3)&amp;"")</f>
        <v>Get Quote</v>
      </c>
    </row>
    <row r="228" customFormat="false" ht="46.25" hidden="false" customHeight="false" outlineLevel="0" collapsed="false">
      <c r="A228" s="11" t="str">
        <f aca="false">IF(INDEX(MASTER_DATABASE!$A$4:$A$1000,ROW()-3)="","",INDEX(MASTER_DATABASE!$A$4:$A$1000,ROW()-3)&amp;"")</f>
        <v>PHO-023</v>
      </c>
      <c r="B228" s="7" t="str">
        <f aca="false">IF(INDEX(MASTER_DATABASE!$A$4:$A$1000,ROW()-3)="","",INDEX(MASTER_DATABASE!$E$4:$E$1000,ROW()-3)&amp;"")</f>
        <v>Invitation Card Design</v>
      </c>
      <c r="C228" s="7" t="str">
        <f aca="false">IF(INDEX(MASTER_DATABASE!$A$4:$A$1000,ROW()-3)="","",INDEX(MASTER_DATABASE!$H$4:$H$1000,ROW()-3)&amp;"")</f>
        <v>Invitation Card Design at our design desk.</v>
      </c>
      <c r="D22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8" s="7" t="str">
        <f aca="false">IF(INDEX(MASTER_DATABASE!$A$4:$A$1000,ROW()-3)="","",INDEX(MASTER_DATABASE!$O$4:$O$1000,ROW()-3)&amp;"")</f>
        <v>Any customer who can provide the listed documents.</v>
      </c>
      <c r="F228" s="7" t="str">
        <f aca="false">IF(INDEX(MASTER_DATABASE!$A$4:$A$1000,ROW()-3)="","",INDEX(MASTER_DATABASE!$M$4:$M$1000,ROW()-3)&amp;"")</f>
        <v>✓ Design Content / Text</v>
      </c>
      <c r="G228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2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8" s="7" t="str">
        <f aca="false">IF(INDEX(MASTER_DATABASE!$A$4:$A$1000,ROW()-3)="","",INDEX(MASTER_DATABASE!$Q$4:$Q$1000,ROW()-3)&amp;"")</f>
        <v>Same Day</v>
      </c>
      <c r="J228" s="7" t="str">
        <f aca="false">IF(INDEX(MASTER_DATABASE!$A$4:$A$1000,ROW()-3)="","",INDEX(MASTER_DATABASE!$J$4:$J$1000,ROW()-3)&amp;"")</f>
        <v>Available</v>
      </c>
      <c r="K228" s="7" t="str">
        <f aca="false">IF(INDEX(MASTER_DATABASE!$A$4:$A$1000,ROW()-3)="","",INDEX(MASTER_DATABASE!$AS$4:$AS$1000,ROW()-3)&amp;"")</f>
        <v/>
      </c>
      <c r="L22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8" s="7" t="str">
        <f aca="false">IF(INDEX(MASTER_DATABASE!$A$4:$A$1000,ROW()-3)="","",INDEX(MASTER_DATABASE!$BG$4:$BG$1000,ROW()-3)&amp;"")</f>
        <v>Get Quote</v>
      </c>
    </row>
    <row r="229" customFormat="false" ht="46.25" hidden="false" customHeight="false" outlineLevel="0" collapsed="false">
      <c r="A229" s="11" t="str">
        <f aca="false">IF(INDEX(MASTER_DATABASE!$A$4:$A$1000,ROW()-3)="","",INDEX(MASTER_DATABASE!$A$4:$A$1000,ROW()-3)&amp;"")</f>
        <v>PHO-024</v>
      </c>
      <c r="B229" s="7" t="str">
        <f aca="false">IF(INDEX(MASTER_DATABASE!$A$4:$A$1000,ROW()-3)="","",INDEX(MASTER_DATABASE!$E$4:$E$1000,ROW()-3)&amp;"")</f>
        <v>Letterhead Design</v>
      </c>
      <c r="C229" s="7" t="str">
        <f aca="false">IF(INDEX(MASTER_DATABASE!$A$4:$A$1000,ROW()-3)="","",INDEX(MASTER_DATABASE!$H$4:$H$1000,ROW()-3)&amp;"")</f>
        <v>Letterhead Design at our design desk.</v>
      </c>
      <c r="D22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29" s="7" t="str">
        <f aca="false">IF(INDEX(MASTER_DATABASE!$A$4:$A$1000,ROW()-3)="","",INDEX(MASTER_DATABASE!$O$4:$O$1000,ROW()-3)&amp;"")</f>
        <v>Any customer who can provide the listed documents.</v>
      </c>
      <c r="F229" s="7" t="str">
        <f aca="false">IF(INDEX(MASTER_DATABASE!$A$4:$A$1000,ROW()-3)="","",INDEX(MASTER_DATABASE!$M$4:$M$1000,ROW()-3)&amp;"")</f>
        <v>✓ Design Content / Text</v>
      </c>
      <c r="G229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2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29" s="7" t="str">
        <f aca="false">IF(INDEX(MASTER_DATABASE!$A$4:$A$1000,ROW()-3)="","",INDEX(MASTER_DATABASE!$Q$4:$Q$1000,ROW()-3)&amp;"")</f>
        <v>Same Day</v>
      </c>
      <c r="J229" s="7" t="str">
        <f aca="false">IF(INDEX(MASTER_DATABASE!$A$4:$A$1000,ROW()-3)="","",INDEX(MASTER_DATABASE!$J$4:$J$1000,ROW()-3)&amp;"")</f>
        <v>Available</v>
      </c>
      <c r="K229" s="7" t="str">
        <f aca="false">IF(INDEX(MASTER_DATABASE!$A$4:$A$1000,ROW()-3)="","",INDEX(MASTER_DATABASE!$AS$4:$AS$1000,ROW()-3)&amp;"")</f>
        <v/>
      </c>
      <c r="L22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2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29" s="7" t="str">
        <f aca="false">IF(INDEX(MASTER_DATABASE!$A$4:$A$1000,ROW()-3)="","",INDEX(MASTER_DATABASE!$BG$4:$BG$1000,ROW()-3)&amp;"")</f>
        <v>Get Quote</v>
      </c>
    </row>
    <row r="230" customFormat="false" ht="46.25" hidden="false" customHeight="false" outlineLevel="0" collapsed="false">
      <c r="A230" s="11" t="str">
        <f aca="false">IF(INDEX(MASTER_DATABASE!$A$4:$A$1000,ROW()-3)="","",INDEX(MASTER_DATABASE!$A$4:$A$1000,ROW()-3)&amp;"")</f>
        <v>PHO-025</v>
      </c>
      <c r="B230" s="7" t="str">
        <f aca="false">IF(INDEX(MASTER_DATABASE!$A$4:$A$1000,ROW()-3)="","",INDEX(MASTER_DATABASE!$E$4:$E$1000,ROW()-3)&amp;"")</f>
        <v>Logo Design</v>
      </c>
      <c r="C230" s="7" t="str">
        <f aca="false">IF(INDEX(MASTER_DATABASE!$A$4:$A$1000,ROW()-3)="","",INDEX(MASTER_DATABASE!$H$4:$H$1000,ROW()-3)&amp;"")</f>
        <v>Logo Design at our design desk.</v>
      </c>
      <c r="D23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0" s="7" t="str">
        <f aca="false">IF(INDEX(MASTER_DATABASE!$A$4:$A$1000,ROW()-3)="","",INDEX(MASTER_DATABASE!$O$4:$O$1000,ROW()-3)&amp;"")</f>
        <v>Any customer who can provide the listed documents.</v>
      </c>
      <c r="F230" s="7" t="str">
        <f aca="false">IF(INDEX(MASTER_DATABASE!$A$4:$A$1000,ROW()-3)="","",INDEX(MASTER_DATABASE!$M$4:$M$1000,ROW()-3)&amp;"")</f>
        <v>✓ Design Content / Text</v>
      </c>
      <c r="G230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3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0" s="7" t="str">
        <f aca="false">IF(INDEX(MASTER_DATABASE!$A$4:$A$1000,ROW()-3)="","",INDEX(MASTER_DATABASE!$Q$4:$Q$1000,ROW()-3)&amp;"")</f>
        <v>Same Day</v>
      </c>
      <c r="J230" s="7" t="str">
        <f aca="false">IF(INDEX(MASTER_DATABASE!$A$4:$A$1000,ROW()-3)="","",INDEX(MASTER_DATABASE!$J$4:$J$1000,ROW()-3)&amp;"")</f>
        <v>To Be Confirmed</v>
      </c>
      <c r="K230" s="7" t="str">
        <f aca="false">IF(INDEX(MASTER_DATABASE!$A$4:$A$1000,ROW()-3)="","",INDEX(MASTER_DATABASE!$AS$4:$AS$1000,ROW()-3)&amp;"")</f>
        <v>Please confirm availability with the shop before visiting.</v>
      </c>
      <c r="L23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3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0" s="7" t="str">
        <f aca="false">IF(INDEX(MASTER_DATABASE!$A$4:$A$1000,ROW()-3)="","",INDEX(MASTER_DATABASE!$BG$4:$BG$1000,ROW()-3)&amp;"")</f>
        <v>Get Quote</v>
      </c>
    </row>
    <row r="231" customFormat="false" ht="46.25" hidden="false" customHeight="false" outlineLevel="0" collapsed="false">
      <c r="A231" s="11" t="str">
        <f aca="false">IF(INDEX(MASTER_DATABASE!$A$4:$A$1000,ROW()-3)="","",INDEX(MASTER_DATABASE!$A$4:$A$1000,ROW()-3)&amp;"")</f>
        <v>PHO-026</v>
      </c>
      <c r="B231" s="7" t="str">
        <f aca="false">IF(INDEX(MASTER_DATABASE!$A$4:$A$1000,ROW()-3)="","",INDEX(MASTER_DATABASE!$E$4:$E$1000,ROW()-3)&amp;"")</f>
        <v>Flex / Banner Printing</v>
      </c>
      <c r="C231" s="7" t="str">
        <f aca="false">IF(INDEX(MASTER_DATABASE!$A$4:$A$1000,ROW()-3)="","",INDEX(MASTER_DATABASE!$H$4:$H$1000,ROW()-3)&amp;"")</f>
        <v>Flex / Banner Printing at our design desk.</v>
      </c>
      <c r="D23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1" s="7" t="str">
        <f aca="false">IF(INDEX(MASTER_DATABASE!$A$4:$A$1000,ROW()-3)="","",INDEX(MASTER_DATABASE!$O$4:$O$1000,ROW()-3)&amp;"")</f>
        <v>Any customer who can provide the listed documents.</v>
      </c>
      <c r="F231" s="7" t="str">
        <f aca="false">IF(INDEX(MASTER_DATABASE!$A$4:$A$1000,ROW()-3)="","",INDEX(MASTER_DATABASE!$M$4:$M$1000,ROW()-3)&amp;"")</f>
        <v>✓ Design Content / Text</v>
      </c>
      <c r="G231" s="7" t="str">
        <f aca="false">IF(INDEX(MASTER_DATABASE!$A$4:$A$1000,ROW()-3)="","",INDEX(MASTER_DATABASE!$P$4:$P$1000,ROW()-3)&amp;"")</f>
        <v>Step 1 → Tell what you need and give the text / logo / photos.
Step 2 → Design draft is prepared.
Step 3 → You review and request changes.
Step 4 → Final design is handed over / printed and payment is made.</v>
      </c>
      <c r="H23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1" s="7" t="str">
        <f aca="false">IF(INDEX(MASTER_DATABASE!$A$4:$A$1000,ROW()-3)="","",INDEX(MASTER_DATABASE!$Q$4:$Q$1000,ROW()-3)&amp;"")</f>
        <v>Same Day</v>
      </c>
      <c r="J231" s="7" t="str">
        <f aca="false">IF(INDEX(MASTER_DATABASE!$A$4:$A$1000,ROW()-3)="","",INDEX(MASTER_DATABASE!$J$4:$J$1000,ROW()-3)&amp;"")</f>
        <v>To Be Confirmed</v>
      </c>
      <c r="K231" s="7" t="str">
        <f aca="false">IF(INDEX(MASTER_DATABASE!$A$4:$A$1000,ROW()-3)="","",INDEX(MASTER_DATABASE!$AS$4:$AS$1000,ROW()-3)&amp;"")</f>
        <v>Please confirm availability with the shop before visiting.</v>
      </c>
      <c r="L23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3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1" s="7" t="str">
        <f aca="false">IF(INDEX(MASTER_DATABASE!$A$4:$A$1000,ROW()-3)="","",INDEX(MASTER_DATABASE!$BG$4:$BG$1000,ROW()-3)&amp;"")</f>
        <v>Get Quote</v>
      </c>
    </row>
    <row r="232" customFormat="false" ht="68.65" hidden="false" customHeight="false" outlineLevel="0" collapsed="false">
      <c r="A232" s="11" t="str">
        <f aca="false">IF(INDEX(MASTER_DATABASE!$A$4:$A$1000,ROW()-3)="","",INDEX(MASTER_DATABASE!$A$4:$A$1000,ROW()-3)&amp;"")</f>
        <v>ONL-001</v>
      </c>
      <c r="B232" s="7" t="str">
        <f aca="false">IF(INDEX(MASTER_DATABASE!$A$4:$A$1000,ROW()-3)="","",INDEX(MASTER_DATABASE!$E$4:$E$1000,ROW()-3)&amp;"")</f>
        <v>Government Job Form – Central</v>
      </c>
      <c r="C232" s="7" t="str">
        <f aca="false">IF(INDEX(MASTER_DATABASE!$A$4:$A$1000,ROW()-3)="","",INDEX(MASTER_DATABASE!$H$4:$H$1000,ROW()-3)&amp;"")</f>
        <v>Government Job Form – Central filled and submitted online.</v>
      </c>
      <c r="D23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2" s="7" t="str">
        <f aca="false">IF(INDEX(MASTER_DATABASE!$A$4:$A$1000,ROW()-3)="","",INDEX(MASTER_DATABASE!$O$4:$O$1000,ROW()-3)&amp;"")</f>
        <v>Candidates meeting the notification's eligibility.</v>
      </c>
      <c r="F232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32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3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2" s="7" t="str">
        <f aca="false">IF(INDEX(MASTER_DATABASE!$A$4:$A$1000,ROW()-3)="","",INDEX(MASTER_DATABASE!$Q$4:$Q$1000,ROW()-3)&amp;"")</f>
        <v>Same Day</v>
      </c>
      <c r="J232" s="7" t="str">
        <f aca="false">IF(INDEX(MASTER_DATABASE!$A$4:$A$1000,ROW()-3)="","",INDEX(MASTER_DATABASE!$J$4:$J$1000,ROW()-3)&amp;"")</f>
        <v>Available</v>
      </c>
      <c r="K232" s="7" t="str">
        <f aca="false">IF(INDEX(MASTER_DATABASE!$A$4:$A$1000,ROW()-3)="","",INDEX(MASTER_DATABASE!$AS$4:$AS$1000,ROW()-3)&amp;"")</f>
        <v/>
      </c>
      <c r="L232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3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2" s="7" t="str">
        <f aca="false">IF(INDEX(MASTER_DATABASE!$A$4:$A$1000,ROW()-3)="","",INDEX(MASTER_DATABASE!$BG$4:$BG$1000,ROW()-3)&amp;"")</f>
        <v>Check Documents</v>
      </c>
    </row>
    <row r="233" customFormat="false" ht="68.65" hidden="false" customHeight="false" outlineLevel="0" collapsed="false">
      <c r="A233" s="11" t="str">
        <f aca="false">IF(INDEX(MASTER_DATABASE!$A$4:$A$1000,ROW()-3)="","",INDEX(MASTER_DATABASE!$A$4:$A$1000,ROW()-3)&amp;"")</f>
        <v>ONL-002</v>
      </c>
      <c r="B233" s="7" t="str">
        <f aca="false">IF(INDEX(MASTER_DATABASE!$A$4:$A$1000,ROW()-3)="","",INDEX(MASTER_DATABASE!$E$4:$E$1000,ROW()-3)&amp;"")</f>
        <v>Government Job Form – State</v>
      </c>
      <c r="C233" s="7" t="str">
        <f aca="false">IF(INDEX(MASTER_DATABASE!$A$4:$A$1000,ROW()-3)="","",INDEX(MASTER_DATABASE!$H$4:$H$1000,ROW()-3)&amp;"")</f>
        <v>Government Job Form – State filled and submitted online.</v>
      </c>
      <c r="D23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3" s="7" t="str">
        <f aca="false">IF(INDEX(MASTER_DATABASE!$A$4:$A$1000,ROW()-3)="","",INDEX(MASTER_DATABASE!$O$4:$O$1000,ROW()-3)&amp;"")</f>
        <v>Candidates meeting the notification's eligibility.</v>
      </c>
      <c r="F233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33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3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3" s="7" t="str">
        <f aca="false">IF(INDEX(MASTER_DATABASE!$A$4:$A$1000,ROW()-3)="","",INDEX(MASTER_DATABASE!$Q$4:$Q$1000,ROW()-3)&amp;"")</f>
        <v>Same Day</v>
      </c>
      <c r="J233" s="7" t="str">
        <f aca="false">IF(INDEX(MASTER_DATABASE!$A$4:$A$1000,ROW()-3)="","",INDEX(MASTER_DATABASE!$J$4:$J$1000,ROW()-3)&amp;"")</f>
        <v>Available</v>
      </c>
      <c r="K233" s="7" t="str">
        <f aca="false">IF(INDEX(MASTER_DATABASE!$A$4:$A$1000,ROW()-3)="","",INDEX(MASTER_DATABASE!$AS$4:$AS$1000,ROW()-3)&amp;"")</f>
        <v/>
      </c>
      <c r="L233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3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3" s="7" t="str">
        <f aca="false">IF(INDEX(MASTER_DATABASE!$A$4:$A$1000,ROW()-3)="","",INDEX(MASTER_DATABASE!$BG$4:$BG$1000,ROW()-3)&amp;"")</f>
        <v>Check Documents</v>
      </c>
    </row>
    <row r="234" customFormat="false" ht="68.65" hidden="false" customHeight="false" outlineLevel="0" collapsed="false">
      <c r="A234" s="11" t="str">
        <f aca="false">IF(INDEX(MASTER_DATABASE!$A$4:$A$1000,ROW()-3)="","",INDEX(MASTER_DATABASE!$A$4:$A$1000,ROW()-3)&amp;"")</f>
        <v>ONL-003</v>
      </c>
      <c r="B234" s="7" t="str">
        <f aca="false">IF(INDEX(MASTER_DATABASE!$A$4:$A$1000,ROW()-3)="","",INDEX(MASTER_DATABASE!$E$4:$E$1000,ROW()-3)&amp;"")</f>
        <v>Recruitment Form – Railway (RRB)</v>
      </c>
      <c r="C234" s="7" t="str">
        <f aca="false">IF(INDEX(MASTER_DATABASE!$A$4:$A$1000,ROW()-3)="","",INDEX(MASTER_DATABASE!$H$4:$H$1000,ROW()-3)&amp;"")</f>
        <v>Recruitment Form – Railway (RRB) filled and submitted online.</v>
      </c>
      <c r="D23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4" s="7" t="str">
        <f aca="false">IF(INDEX(MASTER_DATABASE!$A$4:$A$1000,ROW()-3)="","",INDEX(MASTER_DATABASE!$O$4:$O$1000,ROW()-3)&amp;"")</f>
        <v>Candidates meeting the notification's eligibility.</v>
      </c>
      <c r="F234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34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3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4" s="7" t="str">
        <f aca="false">IF(INDEX(MASTER_DATABASE!$A$4:$A$1000,ROW()-3)="","",INDEX(MASTER_DATABASE!$Q$4:$Q$1000,ROW()-3)&amp;"")</f>
        <v>Same Day</v>
      </c>
      <c r="J234" s="7" t="str">
        <f aca="false">IF(INDEX(MASTER_DATABASE!$A$4:$A$1000,ROW()-3)="","",INDEX(MASTER_DATABASE!$J$4:$J$1000,ROW()-3)&amp;"")</f>
        <v>Available</v>
      </c>
      <c r="K234" s="7" t="str">
        <f aca="false">IF(INDEX(MASTER_DATABASE!$A$4:$A$1000,ROW()-3)="","",INDEX(MASTER_DATABASE!$AS$4:$AS$1000,ROW()-3)&amp;"")</f>
        <v/>
      </c>
      <c r="L234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3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4" s="7" t="str">
        <f aca="false">IF(INDEX(MASTER_DATABASE!$A$4:$A$1000,ROW()-3)="","",INDEX(MASTER_DATABASE!$BG$4:$BG$1000,ROW()-3)&amp;"")</f>
        <v>Check Documents</v>
      </c>
    </row>
    <row r="235" customFormat="false" ht="68.65" hidden="false" customHeight="false" outlineLevel="0" collapsed="false">
      <c r="A235" s="11" t="str">
        <f aca="false">IF(INDEX(MASTER_DATABASE!$A$4:$A$1000,ROW()-3)="","",INDEX(MASTER_DATABASE!$A$4:$A$1000,ROW()-3)&amp;"")</f>
        <v>ONL-004</v>
      </c>
      <c r="B235" s="7" t="str">
        <f aca="false">IF(INDEX(MASTER_DATABASE!$A$4:$A$1000,ROW()-3)="","",INDEX(MASTER_DATABASE!$E$4:$E$1000,ROW()-3)&amp;"")</f>
        <v>Recruitment Form – SSC</v>
      </c>
      <c r="C235" s="7" t="str">
        <f aca="false">IF(INDEX(MASTER_DATABASE!$A$4:$A$1000,ROW()-3)="","",INDEX(MASTER_DATABASE!$H$4:$H$1000,ROW()-3)&amp;"")</f>
        <v>Recruitment Form – SSC filled and submitted online.</v>
      </c>
      <c r="D23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5" s="7" t="str">
        <f aca="false">IF(INDEX(MASTER_DATABASE!$A$4:$A$1000,ROW()-3)="","",INDEX(MASTER_DATABASE!$O$4:$O$1000,ROW()-3)&amp;"")</f>
        <v>Candidates meeting the notification's eligibility.</v>
      </c>
      <c r="F235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35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3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5" s="7" t="str">
        <f aca="false">IF(INDEX(MASTER_DATABASE!$A$4:$A$1000,ROW()-3)="","",INDEX(MASTER_DATABASE!$Q$4:$Q$1000,ROW()-3)&amp;"")</f>
        <v>Same Day</v>
      </c>
      <c r="J235" s="7" t="str">
        <f aca="false">IF(INDEX(MASTER_DATABASE!$A$4:$A$1000,ROW()-3)="","",INDEX(MASTER_DATABASE!$J$4:$J$1000,ROW()-3)&amp;"")</f>
        <v>Available</v>
      </c>
      <c r="K235" s="7" t="str">
        <f aca="false">IF(INDEX(MASTER_DATABASE!$A$4:$A$1000,ROW()-3)="","",INDEX(MASTER_DATABASE!$AS$4:$AS$1000,ROW()-3)&amp;"")</f>
        <v/>
      </c>
      <c r="L235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3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5" s="7" t="str">
        <f aca="false">IF(INDEX(MASTER_DATABASE!$A$4:$A$1000,ROW()-3)="","",INDEX(MASTER_DATABASE!$BG$4:$BG$1000,ROW()-3)&amp;"")</f>
        <v>Check Documents</v>
      </c>
    </row>
    <row r="236" customFormat="false" ht="68.65" hidden="false" customHeight="false" outlineLevel="0" collapsed="false">
      <c r="A236" s="11" t="str">
        <f aca="false">IF(INDEX(MASTER_DATABASE!$A$4:$A$1000,ROW()-3)="","",INDEX(MASTER_DATABASE!$A$4:$A$1000,ROW()-3)&amp;"")</f>
        <v>ONL-005</v>
      </c>
      <c r="B236" s="7" t="str">
        <f aca="false">IF(INDEX(MASTER_DATABASE!$A$4:$A$1000,ROW()-3)="","",INDEX(MASTER_DATABASE!$E$4:$E$1000,ROW()-3)&amp;"")</f>
        <v>Recruitment Form – Bank (IBPS / SBI etc.)</v>
      </c>
      <c r="C236" s="7" t="str">
        <f aca="false">IF(INDEX(MASTER_DATABASE!$A$4:$A$1000,ROW()-3)="","",INDEX(MASTER_DATABASE!$H$4:$H$1000,ROW()-3)&amp;"")</f>
        <v>Recruitment Form – Bank (IBPS / SBI etc.) filled and submitted online.</v>
      </c>
      <c r="D23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6" s="7" t="str">
        <f aca="false">IF(INDEX(MASTER_DATABASE!$A$4:$A$1000,ROW()-3)="","",INDEX(MASTER_DATABASE!$O$4:$O$1000,ROW()-3)&amp;"")</f>
        <v>Candidates meeting the notification's eligibility.</v>
      </c>
      <c r="F236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36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3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6" s="7" t="str">
        <f aca="false">IF(INDEX(MASTER_DATABASE!$A$4:$A$1000,ROW()-3)="","",INDEX(MASTER_DATABASE!$Q$4:$Q$1000,ROW()-3)&amp;"")</f>
        <v>Same Day</v>
      </c>
      <c r="J236" s="7" t="str">
        <f aca="false">IF(INDEX(MASTER_DATABASE!$A$4:$A$1000,ROW()-3)="","",INDEX(MASTER_DATABASE!$J$4:$J$1000,ROW()-3)&amp;"")</f>
        <v>Available</v>
      </c>
      <c r="K236" s="7" t="str">
        <f aca="false">IF(INDEX(MASTER_DATABASE!$A$4:$A$1000,ROW()-3)="","",INDEX(MASTER_DATABASE!$AS$4:$AS$1000,ROW()-3)&amp;"")</f>
        <v/>
      </c>
      <c r="L236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3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6" s="7" t="str">
        <f aca="false">IF(INDEX(MASTER_DATABASE!$A$4:$A$1000,ROW()-3)="","",INDEX(MASTER_DATABASE!$BG$4:$BG$1000,ROW()-3)&amp;"")</f>
        <v>Check Documents</v>
      </c>
    </row>
    <row r="237" customFormat="false" ht="68.65" hidden="false" customHeight="false" outlineLevel="0" collapsed="false">
      <c r="A237" s="11" t="str">
        <f aca="false">IF(INDEX(MASTER_DATABASE!$A$4:$A$1000,ROW()-3)="","",INDEX(MASTER_DATABASE!$A$4:$A$1000,ROW()-3)&amp;"")</f>
        <v>ONL-006</v>
      </c>
      <c r="B237" s="7" t="str">
        <f aca="false">IF(INDEX(MASTER_DATABASE!$A$4:$A$1000,ROW()-3)="","",INDEX(MASTER_DATABASE!$E$4:$E$1000,ROW()-3)&amp;"")</f>
        <v>Recruitment Form – Police / Defence</v>
      </c>
      <c r="C237" s="7" t="str">
        <f aca="false">IF(INDEX(MASTER_DATABASE!$A$4:$A$1000,ROW()-3)="","",INDEX(MASTER_DATABASE!$H$4:$H$1000,ROW()-3)&amp;"")</f>
        <v>Recruitment Form – Police / Defence filled and submitted online.</v>
      </c>
      <c r="D23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7" s="7" t="str">
        <f aca="false">IF(INDEX(MASTER_DATABASE!$A$4:$A$1000,ROW()-3)="","",INDEX(MASTER_DATABASE!$O$4:$O$1000,ROW()-3)&amp;"")</f>
        <v>Candidates meeting the notification's eligibility.</v>
      </c>
      <c r="F237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37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3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7" s="7" t="str">
        <f aca="false">IF(INDEX(MASTER_DATABASE!$A$4:$A$1000,ROW()-3)="","",INDEX(MASTER_DATABASE!$Q$4:$Q$1000,ROW()-3)&amp;"")</f>
        <v>Same Day</v>
      </c>
      <c r="J237" s="7" t="str">
        <f aca="false">IF(INDEX(MASTER_DATABASE!$A$4:$A$1000,ROW()-3)="","",INDEX(MASTER_DATABASE!$J$4:$J$1000,ROW()-3)&amp;"")</f>
        <v>Available</v>
      </c>
      <c r="K237" s="7" t="str">
        <f aca="false">IF(INDEX(MASTER_DATABASE!$A$4:$A$1000,ROW()-3)="","",INDEX(MASTER_DATABASE!$AS$4:$AS$1000,ROW()-3)&amp;"")</f>
        <v/>
      </c>
      <c r="L237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3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7" s="7" t="str">
        <f aca="false">IF(INDEX(MASTER_DATABASE!$A$4:$A$1000,ROW()-3)="","",INDEX(MASTER_DATABASE!$BG$4:$BG$1000,ROW()-3)&amp;"")</f>
        <v>Check Documents</v>
      </c>
    </row>
    <row r="238" customFormat="false" ht="68.65" hidden="false" customHeight="false" outlineLevel="0" collapsed="false">
      <c r="A238" s="11" t="str">
        <f aca="false">IF(INDEX(MASTER_DATABASE!$A$4:$A$1000,ROW()-3)="","",INDEX(MASTER_DATABASE!$A$4:$A$1000,ROW()-3)&amp;"")</f>
        <v>ONL-007</v>
      </c>
      <c r="B238" s="7" t="str">
        <f aca="false">IF(INDEX(MASTER_DATABASE!$A$4:$A$1000,ROW()-3)="","",INDEX(MASTER_DATABASE!$E$4:$E$1000,ROW()-3)&amp;"")</f>
        <v>Recruitment Form – Teacher (TET / TRE)</v>
      </c>
      <c r="C238" s="7" t="str">
        <f aca="false">IF(INDEX(MASTER_DATABASE!$A$4:$A$1000,ROW()-3)="","",INDEX(MASTER_DATABASE!$H$4:$H$1000,ROW()-3)&amp;"")</f>
        <v>Recruitment Form – Teacher (TET / TRE) filled and submitted online.</v>
      </c>
      <c r="D23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8" s="7" t="str">
        <f aca="false">IF(INDEX(MASTER_DATABASE!$A$4:$A$1000,ROW()-3)="","",INDEX(MASTER_DATABASE!$O$4:$O$1000,ROW()-3)&amp;"")</f>
        <v>Candidates meeting the notification's eligibility.</v>
      </c>
      <c r="F238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38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3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8" s="7" t="str">
        <f aca="false">IF(INDEX(MASTER_DATABASE!$A$4:$A$1000,ROW()-3)="","",INDEX(MASTER_DATABASE!$Q$4:$Q$1000,ROW()-3)&amp;"")</f>
        <v>Same Day</v>
      </c>
      <c r="J238" s="7" t="str">
        <f aca="false">IF(INDEX(MASTER_DATABASE!$A$4:$A$1000,ROW()-3)="","",INDEX(MASTER_DATABASE!$J$4:$J$1000,ROW()-3)&amp;"")</f>
        <v>Available</v>
      </c>
      <c r="K238" s="7" t="str">
        <f aca="false">IF(INDEX(MASTER_DATABASE!$A$4:$A$1000,ROW()-3)="","",INDEX(MASTER_DATABASE!$AS$4:$AS$1000,ROW()-3)&amp;"")</f>
        <v/>
      </c>
      <c r="L238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3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8" s="7" t="str">
        <f aca="false">IF(INDEX(MASTER_DATABASE!$A$4:$A$1000,ROW()-3)="","",INDEX(MASTER_DATABASE!$BG$4:$BG$1000,ROW()-3)&amp;"")</f>
        <v>Check Documents</v>
      </c>
    </row>
    <row r="239" customFormat="false" ht="68.65" hidden="false" customHeight="false" outlineLevel="0" collapsed="false">
      <c r="A239" s="11" t="str">
        <f aca="false">IF(INDEX(MASTER_DATABASE!$A$4:$A$1000,ROW()-3)="","",INDEX(MASTER_DATABASE!$A$4:$A$1000,ROW()-3)&amp;"")</f>
        <v>ONL-008</v>
      </c>
      <c r="B239" s="7" t="str">
        <f aca="false">IF(INDEX(MASTER_DATABASE!$A$4:$A$1000,ROW()-3)="","",INDEX(MASTER_DATABASE!$E$4:$E$1000,ROW()-3)&amp;"")</f>
        <v>Competitive Exam Form (UPSC / State PSC etc.)</v>
      </c>
      <c r="C239" s="7" t="str">
        <f aca="false">IF(INDEX(MASTER_DATABASE!$A$4:$A$1000,ROW()-3)="","",INDEX(MASTER_DATABASE!$H$4:$H$1000,ROW()-3)&amp;"")</f>
        <v>Competitive Exam Form (UPSC / State PSC etc.) filled and submitted online.</v>
      </c>
      <c r="D23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39" s="7" t="str">
        <f aca="false">IF(INDEX(MASTER_DATABASE!$A$4:$A$1000,ROW()-3)="","",INDEX(MASTER_DATABASE!$O$4:$O$1000,ROW()-3)&amp;"")</f>
        <v>Candidates meeting the notification's eligibility.</v>
      </c>
      <c r="F239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39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3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39" s="7" t="str">
        <f aca="false">IF(INDEX(MASTER_DATABASE!$A$4:$A$1000,ROW()-3)="","",INDEX(MASTER_DATABASE!$Q$4:$Q$1000,ROW()-3)&amp;"")</f>
        <v>Same Day</v>
      </c>
      <c r="J239" s="7" t="str">
        <f aca="false">IF(INDEX(MASTER_DATABASE!$A$4:$A$1000,ROW()-3)="","",INDEX(MASTER_DATABASE!$J$4:$J$1000,ROW()-3)&amp;"")</f>
        <v>Available</v>
      </c>
      <c r="K239" s="7" t="str">
        <f aca="false">IF(INDEX(MASTER_DATABASE!$A$4:$A$1000,ROW()-3)="","",INDEX(MASTER_DATABASE!$AS$4:$AS$1000,ROW()-3)&amp;"")</f>
        <v/>
      </c>
      <c r="L239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3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39" s="7" t="str">
        <f aca="false">IF(INDEX(MASTER_DATABASE!$A$4:$A$1000,ROW()-3)="","",INDEX(MASTER_DATABASE!$BG$4:$BG$1000,ROW()-3)&amp;"")</f>
        <v>Check Documents</v>
      </c>
    </row>
    <row r="240" customFormat="false" ht="68.65" hidden="false" customHeight="false" outlineLevel="0" collapsed="false">
      <c r="A240" s="11" t="str">
        <f aca="false">IF(INDEX(MASTER_DATABASE!$A$4:$A$1000,ROW()-3)="","",INDEX(MASTER_DATABASE!$A$4:$A$1000,ROW()-3)&amp;"")</f>
        <v>ONL-009</v>
      </c>
      <c r="B240" s="7" t="str">
        <f aca="false">IF(INDEX(MASTER_DATABASE!$A$4:$A$1000,ROW()-3)="","",INDEX(MASTER_DATABASE!$E$4:$E$1000,ROW()-3)&amp;"")</f>
        <v>Entrance Exam Form (JEE / NEET / CUET etc.)</v>
      </c>
      <c r="C240" s="7" t="str">
        <f aca="false">IF(INDEX(MASTER_DATABASE!$A$4:$A$1000,ROW()-3)="","",INDEX(MASTER_DATABASE!$H$4:$H$1000,ROW()-3)&amp;"")</f>
        <v>Entrance Exam Form (JEE / NEET / CUET etc.) filled and submitted online.</v>
      </c>
      <c r="D24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0" s="7" t="str">
        <f aca="false">IF(INDEX(MASTER_DATABASE!$A$4:$A$1000,ROW()-3)="","",INDEX(MASTER_DATABASE!$O$4:$O$1000,ROW()-3)&amp;"")</f>
        <v>Candidates meeting the notification's eligibility.</v>
      </c>
      <c r="F240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G240" s="7" t="str">
        <f aca="false">IF(INDEX(MASTER_DATABASE!$A$4:$A$1000,ROW()-3)="","",INDEX(MASTER_DATABASE!$P$4:$P$1000,ROW()-3)&amp;"")</f>
        <v>Step 1 → Bring the notification, certificates, photo and signature.
Step 2 → Operator checks eligibility and required details.
Step 3 → Online form is filled with you and documents uploaded.
Step 4 → Fee is paid online and the form is submitted.
Step 5 → Print / PDF of the submitted form is given.</v>
      </c>
      <c r="H24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0" s="7" t="str">
        <f aca="false">IF(INDEX(MASTER_DATABASE!$A$4:$A$1000,ROW()-3)="","",INDEX(MASTER_DATABASE!$Q$4:$Q$1000,ROW()-3)&amp;"")</f>
        <v>Same Day</v>
      </c>
      <c r="J240" s="7" t="str">
        <f aca="false">IF(INDEX(MASTER_DATABASE!$A$4:$A$1000,ROW()-3)="","",INDEX(MASTER_DATABASE!$J$4:$J$1000,ROW()-3)&amp;"")</f>
        <v>Available</v>
      </c>
      <c r="K240" s="7" t="str">
        <f aca="false">IF(INDEX(MASTER_DATABASE!$A$4:$A$1000,ROW()-3)="","",INDEX(MASTER_DATABASE!$AS$4:$AS$1000,ROW()-3)&amp;"")</f>
        <v/>
      </c>
      <c r="L240" s="7" t="str">
        <f aca="false">IF(INDEX(MASTER_DATABASE!$A$4:$A$1000,ROW()-3)="","",INDEX(MASTER_DATABASE!$AR$4:$AR$1000,ROW()-3)&amp;"")</f>
        <v>Q1: Do I have to pay the exam fee separately?
A1: Yes, the department's fee is paid on the portal; the shop's service charge is extra.</v>
      </c>
      <c r="M24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0" s="7" t="str">
        <f aca="false">IF(INDEX(MASTER_DATABASE!$A$4:$A$1000,ROW()-3)="","",INDEX(MASTER_DATABASE!$BG$4:$BG$1000,ROW()-3)&amp;"")</f>
        <v>Check Documents</v>
      </c>
    </row>
    <row r="241" customFormat="false" ht="57.45" hidden="false" customHeight="false" outlineLevel="0" collapsed="false">
      <c r="A241" s="11" t="str">
        <f aca="false">IF(INDEX(MASTER_DATABASE!$A$4:$A$1000,ROW()-3)="","",INDEX(MASTER_DATABASE!$A$4:$A$1000,ROW()-3)&amp;"")</f>
        <v>ONL-010</v>
      </c>
      <c r="B241" s="7" t="str">
        <f aca="false">IF(INDEX(MASTER_DATABASE!$A$4:$A$1000,ROW()-3)="","",INDEX(MASTER_DATABASE!$E$4:$E$1000,ROW()-3)&amp;"")</f>
        <v>School Admission Form</v>
      </c>
      <c r="C241" s="7" t="str">
        <f aca="false">IF(INDEX(MASTER_DATABASE!$A$4:$A$1000,ROW()-3)="","",INDEX(MASTER_DATABASE!$H$4:$H$1000,ROW()-3)&amp;"")</f>
        <v>School Admission Form through the official education portal.</v>
      </c>
      <c r="D24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1" s="7" t="str">
        <f aca="false">IF(INDEX(MASTER_DATABASE!$A$4:$A$1000,ROW()-3)="","",INDEX(MASTER_DATABASE!$O$4:$O$1000,ROW()-3)&amp;"")</f>
        <v>Any customer who can provide the listed documents.</v>
      </c>
      <c r="F241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1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1" s="7" t="str">
        <f aca="false">IF(INDEX(MASTER_DATABASE!$A$4:$A$1000,ROW()-3)="","",INDEX(MASTER_DATABASE!$Q$4:$Q$1000,ROW()-3)&amp;"")</f>
        <v>Same Day</v>
      </c>
      <c r="J241" s="7" t="str">
        <f aca="false">IF(INDEX(MASTER_DATABASE!$A$4:$A$1000,ROW()-3)="","",INDEX(MASTER_DATABASE!$J$4:$J$1000,ROW()-3)&amp;"")</f>
        <v>Available</v>
      </c>
      <c r="K241" s="7" t="str">
        <f aca="false">IF(INDEX(MASTER_DATABASE!$A$4:$A$1000,ROW()-3)="","",INDEX(MASTER_DATABASE!$AS$4:$AS$1000,ROW()-3)&amp;"")</f>
        <v/>
      </c>
      <c r="L24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1" s="7" t="str">
        <f aca="false">IF(INDEX(MASTER_DATABASE!$A$4:$A$1000,ROW()-3)="","",INDEX(MASTER_DATABASE!$BG$4:$BG$1000,ROW()-3)&amp;"")</f>
        <v>Check Documents</v>
      </c>
    </row>
    <row r="242" customFormat="false" ht="57.45" hidden="false" customHeight="false" outlineLevel="0" collapsed="false">
      <c r="A242" s="11" t="str">
        <f aca="false">IF(INDEX(MASTER_DATABASE!$A$4:$A$1000,ROW()-3)="","",INDEX(MASTER_DATABASE!$A$4:$A$1000,ROW()-3)&amp;"")</f>
        <v>ONL-011</v>
      </c>
      <c r="B242" s="7" t="str">
        <f aca="false">IF(INDEX(MASTER_DATABASE!$A$4:$A$1000,ROW()-3)="","",INDEX(MASTER_DATABASE!$E$4:$E$1000,ROW()-3)&amp;"")</f>
        <v>College Admission Form</v>
      </c>
      <c r="C242" s="7" t="str">
        <f aca="false">IF(INDEX(MASTER_DATABASE!$A$4:$A$1000,ROW()-3)="","",INDEX(MASTER_DATABASE!$H$4:$H$1000,ROW()-3)&amp;"")</f>
        <v>College Admission Form through the official education portal.</v>
      </c>
      <c r="D24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2" s="7" t="str">
        <f aca="false">IF(INDEX(MASTER_DATABASE!$A$4:$A$1000,ROW()-3)="","",INDEX(MASTER_DATABASE!$O$4:$O$1000,ROW()-3)&amp;"")</f>
        <v>Any customer who can provide the listed documents.</v>
      </c>
      <c r="F242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2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2" s="7" t="str">
        <f aca="false">IF(INDEX(MASTER_DATABASE!$A$4:$A$1000,ROW()-3)="","",INDEX(MASTER_DATABASE!$Q$4:$Q$1000,ROW()-3)&amp;"")</f>
        <v>Same Day</v>
      </c>
      <c r="J242" s="7" t="str">
        <f aca="false">IF(INDEX(MASTER_DATABASE!$A$4:$A$1000,ROW()-3)="","",INDEX(MASTER_DATABASE!$J$4:$J$1000,ROW()-3)&amp;"")</f>
        <v>Available</v>
      </c>
      <c r="K242" s="7" t="str">
        <f aca="false">IF(INDEX(MASTER_DATABASE!$A$4:$A$1000,ROW()-3)="","",INDEX(MASTER_DATABASE!$AS$4:$AS$1000,ROW()-3)&amp;"")</f>
        <v/>
      </c>
      <c r="L24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2" s="7" t="str">
        <f aca="false">IF(INDEX(MASTER_DATABASE!$A$4:$A$1000,ROW()-3)="","",INDEX(MASTER_DATABASE!$BG$4:$BG$1000,ROW()-3)&amp;"")</f>
        <v>Check Documents</v>
      </c>
    </row>
    <row r="243" customFormat="false" ht="57.45" hidden="false" customHeight="false" outlineLevel="0" collapsed="false">
      <c r="A243" s="11" t="str">
        <f aca="false">IF(INDEX(MASTER_DATABASE!$A$4:$A$1000,ROW()-3)="","",INDEX(MASTER_DATABASE!$A$4:$A$1000,ROW()-3)&amp;"")</f>
        <v>ONL-012</v>
      </c>
      <c r="B243" s="7" t="str">
        <f aca="false">IF(INDEX(MASTER_DATABASE!$A$4:$A$1000,ROW()-3)="","",INDEX(MASTER_DATABASE!$E$4:$E$1000,ROW()-3)&amp;"")</f>
        <v>University Admission Form</v>
      </c>
      <c r="C243" s="7" t="str">
        <f aca="false">IF(INDEX(MASTER_DATABASE!$A$4:$A$1000,ROW()-3)="","",INDEX(MASTER_DATABASE!$H$4:$H$1000,ROW()-3)&amp;"")</f>
        <v>University Admission Form through the official education portal.</v>
      </c>
      <c r="D24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3" s="7" t="str">
        <f aca="false">IF(INDEX(MASTER_DATABASE!$A$4:$A$1000,ROW()-3)="","",INDEX(MASTER_DATABASE!$O$4:$O$1000,ROW()-3)&amp;"")</f>
        <v>Any customer who can provide the listed documents.</v>
      </c>
      <c r="F243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3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3" s="7" t="str">
        <f aca="false">IF(INDEX(MASTER_DATABASE!$A$4:$A$1000,ROW()-3)="","",INDEX(MASTER_DATABASE!$Q$4:$Q$1000,ROW()-3)&amp;"")</f>
        <v>Same Day</v>
      </c>
      <c r="J243" s="7" t="str">
        <f aca="false">IF(INDEX(MASTER_DATABASE!$A$4:$A$1000,ROW()-3)="","",INDEX(MASTER_DATABASE!$J$4:$J$1000,ROW()-3)&amp;"")</f>
        <v>Available</v>
      </c>
      <c r="K243" s="7" t="str">
        <f aca="false">IF(INDEX(MASTER_DATABASE!$A$4:$A$1000,ROW()-3)="","",INDEX(MASTER_DATABASE!$AS$4:$AS$1000,ROW()-3)&amp;"")</f>
        <v/>
      </c>
      <c r="L24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3" s="7" t="str">
        <f aca="false">IF(INDEX(MASTER_DATABASE!$A$4:$A$1000,ROW()-3)="","",INDEX(MASTER_DATABASE!$BG$4:$BG$1000,ROW()-3)&amp;"")</f>
        <v>Check Documents</v>
      </c>
    </row>
    <row r="244" customFormat="false" ht="57.45" hidden="false" customHeight="false" outlineLevel="0" collapsed="false">
      <c r="A244" s="11" t="str">
        <f aca="false">IF(INDEX(MASTER_DATABASE!$A$4:$A$1000,ROW()-3)="","",INDEX(MASTER_DATABASE!$A$4:$A$1000,ROW()-3)&amp;"")</f>
        <v>ONL-013</v>
      </c>
      <c r="B244" s="7" t="str">
        <f aca="false">IF(INDEX(MASTER_DATABASE!$A$4:$A$1000,ROW()-3)="","",INDEX(MASTER_DATABASE!$E$4:$E$1000,ROW()-3)&amp;"")</f>
        <v>ITI Admission Form</v>
      </c>
      <c r="C244" s="7" t="str">
        <f aca="false">IF(INDEX(MASTER_DATABASE!$A$4:$A$1000,ROW()-3)="","",INDEX(MASTER_DATABASE!$H$4:$H$1000,ROW()-3)&amp;"")</f>
        <v>ITI Admission Form through the official education portal.</v>
      </c>
      <c r="D24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4" s="7" t="str">
        <f aca="false">IF(INDEX(MASTER_DATABASE!$A$4:$A$1000,ROW()-3)="","",INDEX(MASTER_DATABASE!$O$4:$O$1000,ROW()-3)&amp;"")</f>
        <v>Any customer who can provide the listed documents.</v>
      </c>
      <c r="F244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4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4" s="7" t="str">
        <f aca="false">IF(INDEX(MASTER_DATABASE!$A$4:$A$1000,ROW()-3)="","",INDEX(MASTER_DATABASE!$Q$4:$Q$1000,ROW()-3)&amp;"")</f>
        <v>Same Day</v>
      </c>
      <c r="J244" s="7" t="str">
        <f aca="false">IF(INDEX(MASTER_DATABASE!$A$4:$A$1000,ROW()-3)="","",INDEX(MASTER_DATABASE!$J$4:$J$1000,ROW()-3)&amp;"")</f>
        <v>Available</v>
      </c>
      <c r="K244" s="7" t="str">
        <f aca="false">IF(INDEX(MASTER_DATABASE!$A$4:$A$1000,ROW()-3)="","",INDEX(MASTER_DATABASE!$AS$4:$AS$1000,ROW()-3)&amp;"")</f>
        <v/>
      </c>
      <c r="L24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4" s="7" t="str">
        <f aca="false">IF(INDEX(MASTER_DATABASE!$A$4:$A$1000,ROW()-3)="","",INDEX(MASTER_DATABASE!$BG$4:$BG$1000,ROW()-3)&amp;"")</f>
        <v>Check Documents</v>
      </c>
    </row>
    <row r="245" customFormat="false" ht="57.45" hidden="false" customHeight="false" outlineLevel="0" collapsed="false">
      <c r="A245" s="11" t="str">
        <f aca="false">IF(INDEX(MASTER_DATABASE!$A$4:$A$1000,ROW()-3)="","",INDEX(MASTER_DATABASE!$A$4:$A$1000,ROW()-3)&amp;"")</f>
        <v>ONL-014</v>
      </c>
      <c r="B245" s="7" t="str">
        <f aca="false">IF(INDEX(MASTER_DATABASE!$A$4:$A$1000,ROW()-3)="","",INDEX(MASTER_DATABASE!$E$4:$E$1000,ROW()-3)&amp;"")</f>
        <v>Polytechnic Admission Form</v>
      </c>
      <c r="C245" s="7" t="str">
        <f aca="false">IF(INDEX(MASTER_DATABASE!$A$4:$A$1000,ROW()-3)="","",INDEX(MASTER_DATABASE!$H$4:$H$1000,ROW()-3)&amp;"")</f>
        <v>Polytechnic Admission Form through the official education portal.</v>
      </c>
      <c r="D24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5" s="7" t="str">
        <f aca="false">IF(INDEX(MASTER_DATABASE!$A$4:$A$1000,ROW()-3)="","",INDEX(MASTER_DATABASE!$O$4:$O$1000,ROW()-3)&amp;"")</f>
        <v>Any customer who can provide the listed documents.</v>
      </c>
      <c r="F245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5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5" s="7" t="str">
        <f aca="false">IF(INDEX(MASTER_DATABASE!$A$4:$A$1000,ROW()-3)="","",INDEX(MASTER_DATABASE!$Q$4:$Q$1000,ROW()-3)&amp;"")</f>
        <v>Same Day</v>
      </c>
      <c r="J245" s="7" t="str">
        <f aca="false">IF(INDEX(MASTER_DATABASE!$A$4:$A$1000,ROW()-3)="","",INDEX(MASTER_DATABASE!$J$4:$J$1000,ROW()-3)&amp;"")</f>
        <v>Available</v>
      </c>
      <c r="K245" s="7" t="str">
        <f aca="false">IF(INDEX(MASTER_DATABASE!$A$4:$A$1000,ROW()-3)="","",INDEX(MASTER_DATABASE!$AS$4:$AS$1000,ROW()-3)&amp;"")</f>
        <v/>
      </c>
      <c r="L24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5" s="7" t="str">
        <f aca="false">IF(INDEX(MASTER_DATABASE!$A$4:$A$1000,ROW()-3)="","",INDEX(MASTER_DATABASE!$BG$4:$BG$1000,ROW()-3)&amp;"")</f>
        <v>Check Documents</v>
      </c>
    </row>
    <row r="246" customFormat="false" ht="57.45" hidden="false" customHeight="false" outlineLevel="0" collapsed="false">
      <c r="A246" s="11" t="str">
        <f aca="false">IF(INDEX(MASTER_DATABASE!$A$4:$A$1000,ROW()-3)="","",INDEX(MASTER_DATABASE!$A$4:$A$1000,ROW()-3)&amp;"")</f>
        <v>ONL-015</v>
      </c>
      <c r="B246" s="7" t="str">
        <f aca="false">IF(INDEX(MASTER_DATABASE!$A$4:$A$1000,ROW()-3)="","",INDEX(MASTER_DATABASE!$E$4:$E$1000,ROW()-3)&amp;"")</f>
        <v>Scholarship Application</v>
      </c>
      <c r="C246" s="7" t="str">
        <f aca="false">IF(INDEX(MASTER_DATABASE!$A$4:$A$1000,ROW()-3)="","",INDEX(MASTER_DATABASE!$H$4:$H$1000,ROW()-3)&amp;"")</f>
        <v>Scholarship Application through the official education portal.</v>
      </c>
      <c r="D24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6" s="7" t="str">
        <f aca="false">IF(INDEX(MASTER_DATABASE!$A$4:$A$1000,ROW()-3)="","",INDEX(MASTER_DATABASE!$O$4:$O$1000,ROW()-3)&amp;"")</f>
        <v>Any customer who can provide the listed documents.</v>
      </c>
      <c r="F246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6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6" s="7" t="str">
        <f aca="false">IF(INDEX(MASTER_DATABASE!$A$4:$A$1000,ROW()-3)="","",INDEX(MASTER_DATABASE!$Q$4:$Q$1000,ROW()-3)&amp;"")</f>
        <v>Same Day</v>
      </c>
      <c r="J246" s="7" t="str">
        <f aca="false">IF(INDEX(MASTER_DATABASE!$A$4:$A$1000,ROW()-3)="","",INDEX(MASTER_DATABASE!$J$4:$J$1000,ROW()-3)&amp;"")</f>
        <v>Available</v>
      </c>
      <c r="K246" s="7" t="str">
        <f aca="false">IF(INDEX(MASTER_DATABASE!$A$4:$A$1000,ROW()-3)="","",INDEX(MASTER_DATABASE!$AS$4:$AS$1000,ROW()-3)&amp;"")</f>
        <v/>
      </c>
      <c r="L24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6" s="7" t="str">
        <f aca="false">IF(INDEX(MASTER_DATABASE!$A$4:$A$1000,ROW()-3)="","",INDEX(MASTER_DATABASE!$BG$4:$BG$1000,ROW()-3)&amp;"")</f>
        <v>Check Documents</v>
      </c>
    </row>
    <row r="247" customFormat="false" ht="57.45" hidden="false" customHeight="false" outlineLevel="0" collapsed="false">
      <c r="A247" s="11" t="str">
        <f aca="false">IF(INDEX(MASTER_DATABASE!$A$4:$A$1000,ROW()-3)="","",INDEX(MASTER_DATABASE!$A$4:$A$1000,ROW()-3)&amp;"")</f>
        <v>ONL-016</v>
      </c>
      <c r="B247" s="7" t="str">
        <f aca="false">IF(INDEX(MASTER_DATABASE!$A$4:$A$1000,ROW()-3)="","",INDEX(MASTER_DATABASE!$E$4:$E$1000,ROW()-3)&amp;"")</f>
        <v>Student Credit Card / Education Loan Scheme Application</v>
      </c>
      <c r="C247" s="7" t="str">
        <f aca="false">IF(INDEX(MASTER_DATABASE!$A$4:$A$1000,ROW()-3)="","",INDEX(MASTER_DATABASE!$H$4:$H$1000,ROW()-3)&amp;"")</f>
        <v>Student Credit Card / Education Loan Scheme Application through the official education portal.</v>
      </c>
      <c r="D24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7" s="7" t="str">
        <f aca="false">IF(INDEX(MASTER_DATABASE!$A$4:$A$1000,ROW()-3)="","",INDEX(MASTER_DATABASE!$O$4:$O$1000,ROW()-3)&amp;"")</f>
        <v>Any customer who can provide the listed documents.</v>
      </c>
      <c r="F247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7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7" s="7" t="str">
        <f aca="false">IF(INDEX(MASTER_DATABASE!$A$4:$A$1000,ROW()-3)="","",INDEX(MASTER_DATABASE!$Q$4:$Q$1000,ROW()-3)&amp;"")</f>
        <v>Same Day</v>
      </c>
      <c r="J247" s="7" t="str">
        <f aca="false">IF(INDEX(MASTER_DATABASE!$A$4:$A$1000,ROW()-3)="","",INDEX(MASTER_DATABASE!$J$4:$J$1000,ROW()-3)&amp;"")</f>
        <v>To Be Confirmed</v>
      </c>
      <c r="K247" s="7" t="str">
        <f aca="false">IF(INDEX(MASTER_DATABASE!$A$4:$A$1000,ROW()-3)="","",INDEX(MASTER_DATABASE!$AS$4:$AS$1000,ROW()-3)&amp;"")</f>
        <v>Please confirm availability with the shop before visiting.</v>
      </c>
      <c r="L24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7" s="7" t="str">
        <f aca="false">IF(INDEX(MASTER_DATABASE!$A$4:$A$1000,ROW()-3)="","",INDEX(MASTER_DATABASE!$BG$4:$BG$1000,ROW()-3)&amp;"")</f>
        <v>Check Documents</v>
      </c>
    </row>
    <row r="248" customFormat="false" ht="57.45" hidden="false" customHeight="false" outlineLevel="0" collapsed="false">
      <c r="A248" s="11" t="str">
        <f aca="false">IF(INDEX(MASTER_DATABASE!$A$4:$A$1000,ROW()-3)="","",INDEX(MASTER_DATABASE!$A$4:$A$1000,ROW()-3)&amp;"")</f>
        <v>ONL-017</v>
      </c>
      <c r="B248" s="7" t="str">
        <f aca="false">IF(INDEX(MASTER_DATABASE!$A$4:$A$1000,ROW()-3)="","",INDEX(MASTER_DATABASE!$E$4:$E$1000,ROW()-3)&amp;"")</f>
        <v>Exam Registration</v>
      </c>
      <c r="C248" s="7" t="str">
        <f aca="false">IF(INDEX(MASTER_DATABASE!$A$4:$A$1000,ROW()-3)="","",INDEX(MASTER_DATABASE!$H$4:$H$1000,ROW()-3)&amp;"")</f>
        <v>Exam Registration through the official education portal.</v>
      </c>
      <c r="D24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8" s="7" t="str">
        <f aca="false">IF(INDEX(MASTER_DATABASE!$A$4:$A$1000,ROW()-3)="","",INDEX(MASTER_DATABASE!$O$4:$O$1000,ROW()-3)&amp;"")</f>
        <v>Any customer who can provide the listed documents.</v>
      </c>
      <c r="F248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8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8" s="7" t="str">
        <f aca="false">IF(INDEX(MASTER_DATABASE!$A$4:$A$1000,ROW()-3)="","",INDEX(MASTER_DATABASE!$Q$4:$Q$1000,ROW()-3)&amp;"")</f>
        <v>Same Day</v>
      </c>
      <c r="J248" s="7" t="str">
        <f aca="false">IF(INDEX(MASTER_DATABASE!$A$4:$A$1000,ROW()-3)="","",INDEX(MASTER_DATABASE!$J$4:$J$1000,ROW()-3)&amp;"")</f>
        <v>Available</v>
      </c>
      <c r="K248" s="7" t="str">
        <f aca="false">IF(INDEX(MASTER_DATABASE!$A$4:$A$1000,ROW()-3)="","",INDEX(MASTER_DATABASE!$AS$4:$AS$1000,ROW()-3)&amp;"")</f>
        <v/>
      </c>
      <c r="L24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8" s="7" t="str">
        <f aca="false">IF(INDEX(MASTER_DATABASE!$A$4:$A$1000,ROW()-3)="","",INDEX(MASTER_DATABASE!$BG$4:$BG$1000,ROW()-3)&amp;"")</f>
        <v>Check Documents</v>
      </c>
    </row>
    <row r="249" customFormat="false" ht="57.45" hidden="false" customHeight="false" outlineLevel="0" collapsed="false">
      <c r="A249" s="11" t="str">
        <f aca="false">IF(INDEX(MASTER_DATABASE!$A$4:$A$1000,ROW()-3)="","",INDEX(MASTER_DATABASE!$A$4:$A$1000,ROW()-3)&amp;"")</f>
        <v>ONL-018</v>
      </c>
      <c r="B249" s="7" t="str">
        <f aca="false">IF(INDEX(MASTER_DATABASE!$A$4:$A$1000,ROW()-3)="","",INDEX(MASTER_DATABASE!$E$4:$E$1000,ROW()-3)&amp;"")</f>
        <v>Admit Card Download</v>
      </c>
      <c r="C249" s="7" t="str">
        <f aca="false">IF(INDEX(MASTER_DATABASE!$A$4:$A$1000,ROW()-3)="","",INDEX(MASTER_DATABASE!$H$4:$H$1000,ROW()-3)&amp;"")</f>
        <v>Admit Card Download through the official education portal.</v>
      </c>
      <c r="D24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49" s="7" t="str">
        <f aca="false">IF(INDEX(MASTER_DATABASE!$A$4:$A$1000,ROW()-3)="","",INDEX(MASTER_DATABASE!$O$4:$O$1000,ROW()-3)&amp;"")</f>
        <v>Any customer who can provide the listed documents.</v>
      </c>
      <c r="F249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49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4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49" s="7" t="str">
        <f aca="false">IF(INDEX(MASTER_DATABASE!$A$4:$A$1000,ROW()-3)="","",INDEX(MASTER_DATABASE!$Q$4:$Q$1000,ROW()-3)&amp;"")</f>
        <v>Same Day</v>
      </c>
      <c r="J249" s="7" t="str">
        <f aca="false">IF(INDEX(MASTER_DATABASE!$A$4:$A$1000,ROW()-3)="","",INDEX(MASTER_DATABASE!$J$4:$J$1000,ROW()-3)&amp;"")</f>
        <v>Available</v>
      </c>
      <c r="K249" s="7" t="str">
        <f aca="false">IF(INDEX(MASTER_DATABASE!$A$4:$A$1000,ROW()-3)="","",INDEX(MASTER_DATABASE!$AS$4:$AS$1000,ROW()-3)&amp;"")</f>
        <v/>
      </c>
      <c r="L24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4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49" s="7" t="str">
        <f aca="false">IF(INDEX(MASTER_DATABASE!$A$4:$A$1000,ROW()-3)="","",INDEX(MASTER_DATABASE!$BG$4:$BG$1000,ROW()-3)&amp;"")</f>
        <v>Check Documents</v>
      </c>
    </row>
    <row r="250" customFormat="false" ht="57.45" hidden="false" customHeight="false" outlineLevel="0" collapsed="false">
      <c r="A250" s="11" t="str">
        <f aca="false">IF(INDEX(MASTER_DATABASE!$A$4:$A$1000,ROW()-3)="","",INDEX(MASTER_DATABASE!$A$4:$A$1000,ROW()-3)&amp;"")</f>
        <v>ONL-019</v>
      </c>
      <c r="B250" s="7" t="str">
        <f aca="false">IF(INDEX(MASTER_DATABASE!$A$4:$A$1000,ROW()-3)="","",INDEX(MASTER_DATABASE!$E$4:$E$1000,ROW()-3)&amp;"")</f>
        <v>Result Check / Download</v>
      </c>
      <c r="C250" s="7" t="str">
        <f aca="false">IF(INDEX(MASTER_DATABASE!$A$4:$A$1000,ROW()-3)="","",INDEX(MASTER_DATABASE!$H$4:$H$1000,ROW()-3)&amp;"")</f>
        <v>Result Check / Download through the official education portal.</v>
      </c>
      <c r="D25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0" s="7" t="str">
        <f aca="false">IF(INDEX(MASTER_DATABASE!$A$4:$A$1000,ROW()-3)="","",INDEX(MASTER_DATABASE!$O$4:$O$1000,ROW()-3)&amp;"")</f>
        <v>Any customer who can provide the listed documents.</v>
      </c>
      <c r="F250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50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5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0" s="7" t="str">
        <f aca="false">IF(INDEX(MASTER_DATABASE!$A$4:$A$1000,ROW()-3)="","",INDEX(MASTER_DATABASE!$Q$4:$Q$1000,ROW()-3)&amp;"")</f>
        <v>Same Day</v>
      </c>
      <c r="J250" s="7" t="str">
        <f aca="false">IF(INDEX(MASTER_DATABASE!$A$4:$A$1000,ROW()-3)="","",INDEX(MASTER_DATABASE!$J$4:$J$1000,ROW()-3)&amp;"")</f>
        <v>Available</v>
      </c>
      <c r="K250" s="7" t="str">
        <f aca="false">IF(INDEX(MASTER_DATABASE!$A$4:$A$1000,ROW()-3)="","",INDEX(MASTER_DATABASE!$AS$4:$AS$1000,ROW()-3)&amp;"")</f>
        <v/>
      </c>
      <c r="L25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0" s="7" t="str">
        <f aca="false">IF(INDEX(MASTER_DATABASE!$A$4:$A$1000,ROW()-3)="","",INDEX(MASTER_DATABASE!$BG$4:$BG$1000,ROW()-3)&amp;"")</f>
        <v>Check Documents</v>
      </c>
    </row>
    <row r="251" customFormat="false" ht="57.45" hidden="false" customHeight="false" outlineLevel="0" collapsed="false">
      <c r="A251" s="11" t="str">
        <f aca="false">IF(INDEX(MASTER_DATABASE!$A$4:$A$1000,ROW()-3)="","",INDEX(MASTER_DATABASE!$A$4:$A$1000,ROW()-3)&amp;"")</f>
        <v>ONL-020</v>
      </c>
      <c r="B251" s="7" t="str">
        <f aca="false">IF(INDEX(MASTER_DATABASE!$A$4:$A$1000,ROW()-3)="","",INDEX(MASTER_DATABASE!$E$4:$E$1000,ROW()-3)&amp;"")</f>
        <v>Marksheet / Certificate Download</v>
      </c>
      <c r="C251" s="7" t="str">
        <f aca="false">IF(INDEX(MASTER_DATABASE!$A$4:$A$1000,ROW()-3)="","",INDEX(MASTER_DATABASE!$H$4:$H$1000,ROW()-3)&amp;"")</f>
        <v>Marksheet / Certificate Download through the official education portal.</v>
      </c>
      <c r="D25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1" s="7" t="str">
        <f aca="false">IF(INDEX(MASTER_DATABASE!$A$4:$A$1000,ROW()-3)="","",INDEX(MASTER_DATABASE!$O$4:$O$1000,ROW()-3)&amp;"")</f>
        <v>Any customer who can provide the listed documents.</v>
      </c>
      <c r="F251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G251" s="7" t="str">
        <f aca="false">IF(INDEX(MASTER_DATABASE!$A$4:$A$1000,ROW()-3)="","",INDEX(MASTER_DATABASE!$P$4:$P$1000,ROW()-3)&amp;"")</f>
        <v>Step 1 → Bring the certificates, photo, signature and Aadhaar.
Step 2 → Operator opens the relevant admission / scholarship / result portal.
Step 3 → Details are filled and documents uploaded.
Step 4 → Submit / download and collect the print or PDF.</v>
      </c>
      <c r="H25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1" s="7" t="str">
        <f aca="false">IF(INDEX(MASTER_DATABASE!$A$4:$A$1000,ROW()-3)="","",INDEX(MASTER_DATABASE!$Q$4:$Q$1000,ROW()-3)&amp;"")</f>
        <v>Same Day</v>
      </c>
      <c r="J251" s="7" t="str">
        <f aca="false">IF(INDEX(MASTER_DATABASE!$A$4:$A$1000,ROW()-3)="","",INDEX(MASTER_DATABASE!$J$4:$J$1000,ROW()-3)&amp;"")</f>
        <v>Available</v>
      </c>
      <c r="K251" s="7" t="str">
        <f aca="false">IF(INDEX(MASTER_DATABASE!$A$4:$A$1000,ROW()-3)="","",INDEX(MASTER_DATABASE!$AS$4:$AS$1000,ROW()-3)&amp;"")</f>
        <v/>
      </c>
      <c r="L25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1" s="7" t="str">
        <f aca="false">IF(INDEX(MASTER_DATABASE!$A$4:$A$1000,ROW()-3)="","",INDEX(MASTER_DATABASE!$BG$4:$BG$1000,ROW()-3)&amp;"")</f>
        <v>Check Documents</v>
      </c>
    </row>
    <row r="252" customFormat="false" ht="46.25" hidden="false" customHeight="false" outlineLevel="0" collapsed="false">
      <c r="A252" s="11" t="str">
        <f aca="false">IF(INDEX(MASTER_DATABASE!$A$4:$A$1000,ROW()-3)="","",INDEX(MASTER_DATABASE!$A$4:$A$1000,ROW()-3)&amp;"")</f>
        <v>ONL-021</v>
      </c>
      <c r="B252" s="7" t="str">
        <f aca="false">IF(INDEX(MASTER_DATABASE!$A$4:$A$1000,ROW()-3)="","",INDEX(MASTER_DATABASE!$E$4:$E$1000,ROW()-3)&amp;"")</f>
        <v>Email ID Creation</v>
      </c>
      <c r="C252" s="7" t="str">
        <f aca="false">IF(INDEX(MASTER_DATABASE!$A$4:$A$1000,ROW()-3)="","",INDEX(MASTER_DATABASE!$H$4:$H$1000,ROW()-3)&amp;"")</f>
        <v>Email ID Creation at our online services desk.</v>
      </c>
      <c r="D25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2" s="7" t="str">
        <f aca="false">IF(INDEX(MASTER_DATABASE!$A$4:$A$1000,ROW()-3)="","",INDEX(MASTER_DATABASE!$O$4:$O$1000,ROW()-3)&amp;"")</f>
        <v>Any customer who can provide the listed documents.</v>
      </c>
      <c r="F252" s="7" t="str">
        <f aca="false">IF(INDEX(MASTER_DATABASE!$A$4:$A$1000,ROW()-3)="","",INDEX(MASTER_DATABASE!$M$4:$M$1000,ROW()-3)&amp;"")</f>
        <v>✓ Active Mobile Number</v>
      </c>
      <c r="G252" s="7" t="str">
        <f aca="false">IF(INDEX(MASTER_DATABASE!$A$4:$A$1000,ROW()-3)="","",INDEX(MASTER_DATABASE!$P$4:$P$1000,ROW()-3)&amp;"")</f>
        <v>Step 1 → Tell what online work is required.
Step 2 → Operator does 'Email ID Creation' on the required website.
Step 3 → You verify the details / OTP.
Step 4 → Result / receipt is given.</v>
      </c>
      <c r="H25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2" s="7" t="str">
        <f aca="false">IF(INDEX(MASTER_DATABASE!$A$4:$A$1000,ROW()-3)="","",INDEX(MASTER_DATABASE!$Q$4:$Q$1000,ROW()-3)&amp;"")</f>
        <v>15–30 Minutes</v>
      </c>
      <c r="J252" s="7" t="str">
        <f aca="false">IF(INDEX(MASTER_DATABASE!$A$4:$A$1000,ROW()-3)="","",INDEX(MASTER_DATABASE!$J$4:$J$1000,ROW()-3)&amp;"")</f>
        <v>Available</v>
      </c>
      <c r="K252" s="7" t="str">
        <f aca="false">IF(INDEX(MASTER_DATABASE!$A$4:$A$1000,ROW()-3)="","",INDEX(MASTER_DATABASE!$AS$4:$AS$1000,ROW()-3)&amp;"")</f>
        <v/>
      </c>
      <c r="L25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2" s="7" t="str">
        <f aca="false">IF(INDEX(MASTER_DATABASE!$A$4:$A$1000,ROW()-3)="","",INDEX(MASTER_DATABASE!$BG$4:$BG$1000,ROW()-3)&amp;"")</f>
        <v>Visit Shop</v>
      </c>
    </row>
    <row r="253" customFormat="false" ht="57.45" hidden="false" customHeight="false" outlineLevel="0" collapsed="false">
      <c r="A253" s="11" t="str">
        <f aca="false">IF(INDEX(MASTER_DATABASE!$A$4:$A$1000,ROW()-3)="","",INDEX(MASTER_DATABASE!$A$4:$A$1000,ROW()-3)&amp;"")</f>
        <v>ONL-022</v>
      </c>
      <c r="B253" s="7" t="str">
        <f aca="false">IF(INDEX(MASTER_DATABASE!$A$4:$A$1000,ROW()-3)="","",INDEX(MASTER_DATABASE!$E$4:$E$1000,ROW()-3)&amp;"")</f>
        <v>Online Registration – General</v>
      </c>
      <c r="C253" s="7" t="str">
        <f aca="false">IF(INDEX(MASTER_DATABASE!$A$4:$A$1000,ROW()-3)="","",INDEX(MASTER_DATABASE!$H$4:$H$1000,ROW()-3)&amp;"")</f>
        <v>Online Registration – General at our online services desk.</v>
      </c>
      <c r="D25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3" s="7" t="str">
        <f aca="false">IF(INDEX(MASTER_DATABASE!$A$4:$A$1000,ROW()-3)="","",INDEX(MASTER_DATABASE!$O$4:$O$1000,ROW()-3)&amp;"")</f>
        <v>Any customer who can provide the listed documents.</v>
      </c>
      <c r="F253" s="7" t="str">
        <f aca="false">IF(INDEX(MASTER_DATABASE!$A$4:$A$1000,ROW()-3)="","",INDEX(MASTER_DATABASE!$M$4:$M$1000,ROW()-3)&amp;"")</f>
        <v>✓ Active Mobile Number</v>
      </c>
      <c r="G253" s="7" t="str">
        <f aca="false">IF(INDEX(MASTER_DATABASE!$A$4:$A$1000,ROW()-3)="","",INDEX(MASTER_DATABASE!$P$4:$P$1000,ROW()-3)&amp;"")</f>
        <v>Step 1 → Tell what online work is required.
Step 2 → Operator does 'Online Registration – General' on the required website.
Step 3 → You verify the details / OTP.
Step 4 → Result / receipt is given.</v>
      </c>
      <c r="H25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3" s="7" t="str">
        <f aca="false">IF(INDEX(MASTER_DATABASE!$A$4:$A$1000,ROW()-3)="","",INDEX(MASTER_DATABASE!$Q$4:$Q$1000,ROW()-3)&amp;"")</f>
        <v>15–30 Minutes</v>
      </c>
      <c r="J253" s="7" t="str">
        <f aca="false">IF(INDEX(MASTER_DATABASE!$A$4:$A$1000,ROW()-3)="","",INDEX(MASTER_DATABASE!$J$4:$J$1000,ROW()-3)&amp;"")</f>
        <v>Available</v>
      </c>
      <c r="K253" s="7" t="str">
        <f aca="false">IF(INDEX(MASTER_DATABASE!$A$4:$A$1000,ROW()-3)="","",INDEX(MASTER_DATABASE!$AS$4:$AS$1000,ROW()-3)&amp;"")</f>
        <v/>
      </c>
      <c r="L25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3" s="7" t="str">
        <f aca="false">IF(INDEX(MASTER_DATABASE!$A$4:$A$1000,ROW()-3)="","",INDEX(MASTER_DATABASE!$BG$4:$BG$1000,ROW()-3)&amp;"")</f>
        <v>Visit Shop</v>
      </c>
    </row>
    <row r="254" customFormat="false" ht="46.25" hidden="false" customHeight="false" outlineLevel="0" collapsed="false">
      <c r="A254" s="11" t="str">
        <f aca="false">IF(INDEX(MASTER_DATABASE!$A$4:$A$1000,ROW()-3)="","",INDEX(MASTER_DATABASE!$A$4:$A$1000,ROW()-3)&amp;"")</f>
        <v>ONL-023</v>
      </c>
      <c r="B254" s="7" t="str">
        <f aca="false">IF(INDEX(MASTER_DATABASE!$A$4:$A$1000,ROW()-3)="","",INDEX(MASTER_DATABASE!$E$4:$E$1000,ROW()-3)&amp;"")</f>
        <v>Document Upload</v>
      </c>
      <c r="C254" s="7" t="str">
        <f aca="false">IF(INDEX(MASTER_DATABASE!$A$4:$A$1000,ROW()-3)="","",INDEX(MASTER_DATABASE!$H$4:$H$1000,ROW()-3)&amp;"")</f>
        <v>Document Upload at our online services desk.</v>
      </c>
      <c r="D25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4" s="7" t="str">
        <f aca="false">IF(INDEX(MASTER_DATABASE!$A$4:$A$1000,ROW()-3)="","",INDEX(MASTER_DATABASE!$O$4:$O$1000,ROW()-3)&amp;"")</f>
        <v>Any customer who can provide the listed documents.</v>
      </c>
      <c r="F254" s="7" t="str">
        <f aca="false">IF(INDEX(MASTER_DATABASE!$A$4:$A$1000,ROW()-3)="","",INDEX(MASTER_DATABASE!$M$4:$M$1000,ROW()-3)&amp;"")</f>
        <v>✓ Active Mobile Number</v>
      </c>
      <c r="G254" s="7" t="str">
        <f aca="false">IF(INDEX(MASTER_DATABASE!$A$4:$A$1000,ROW()-3)="","",INDEX(MASTER_DATABASE!$P$4:$P$1000,ROW()-3)&amp;"")</f>
        <v>Step 1 → Tell what online work is required.
Step 2 → Operator does 'Document Upload' on the required website.
Step 3 → You verify the details / OTP.
Step 4 → Result / receipt is given.</v>
      </c>
      <c r="H25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4" s="7" t="str">
        <f aca="false">IF(INDEX(MASTER_DATABASE!$A$4:$A$1000,ROW()-3)="","",INDEX(MASTER_DATABASE!$Q$4:$Q$1000,ROW()-3)&amp;"")</f>
        <v>15–30 Minutes</v>
      </c>
      <c r="J254" s="7" t="str">
        <f aca="false">IF(INDEX(MASTER_DATABASE!$A$4:$A$1000,ROW()-3)="","",INDEX(MASTER_DATABASE!$J$4:$J$1000,ROW()-3)&amp;"")</f>
        <v>Available</v>
      </c>
      <c r="K254" s="7" t="str">
        <f aca="false">IF(INDEX(MASTER_DATABASE!$A$4:$A$1000,ROW()-3)="","",INDEX(MASTER_DATABASE!$AS$4:$AS$1000,ROW()-3)&amp;"")</f>
        <v/>
      </c>
      <c r="L25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4" s="7" t="str">
        <f aca="false">IF(INDEX(MASTER_DATABASE!$A$4:$A$1000,ROW()-3)="","",INDEX(MASTER_DATABASE!$BG$4:$BG$1000,ROW()-3)&amp;"")</f>
        <v>Visit Shop</v>
      </c>
    </row>
    <row r="255" customFormat="false" ht="57.45" hidden="false" customHeight="false" outlineLevel="0" collapsed="false">
      <c r="A255" s="11" t="str">
        <f aca="false">IF(INDEX(MASTER_DATABASE!$A$4:$A$1000,ROW()-3)="","",INDEX(MASTER_DATABASE!$A$4:$A$1000,ROW()-3)&amp;"")</f>
        <v>ONL-024</v>
      </c>
      <c r="B255" s="7" t="str">
        <f aca="false">IF(INDEX(MASTER_DATABASE!$A$4:$A$1000,ROW()-3)="","",INDEX(MASTER_DATABASE!$E$4:$E$1000,ROW()-3)&amp;"")</f>
        <v>Document Download</v>
      </c>
      <c r="C255" s="7" t="str">
        <f aca="false">IF(INDEX(MASTER_DATABASE!$A$4:$A$1000,ROW()-3)="","",INDEX(MASTER_DATABASE!$H$4:$H$1000,ROW()-3)&amp;"")</f>
        <v>Document Download at our online services desk.</v>
      </c>
      <c r="D25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5" s="7" t="str">
        <f aca="false">IF(INDEX(MASTER_DATABASE!$A$4:$A$1000,ROW()-3)="","",INDEX(MASTER_DATABASE!$O$4:$O$1000,ROW()-3)&amp;"")</f>
        <v>Any customer who can provide the listed documents.</v>
      </c>
      <c r="F255" s="7" t="str">
        <f aca="false">IF(INDEX(MASTER_DATABASE!$A$4:$A$1000,ROW()-3)="","",INDEX(MASTER_DATABASE!$M$4:$M$1000,ROW()-3)&amp;"")</f>
        <v>✓ Active Mobile Number</v>
      </c>
      <c r="G255" s="7" t="str">
        <f aca="false">IF(INDEX(MASTER_DATABASE!$A$4:$A$1000,ROW()-3)="","",INDEX(MASTER_DATABASE!$P$4:$P$1000,ROW()-3)&amp;"")</f>
        <v>Step 1 → Tell what online work is required.
Step 2 → Operator does 'Document Download' on the required website.
Step 3 → You verify the details / OTP.
Step 4 → Result / receipt is given.</v>
      </c>
      <c r="H25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5" s="7" t="str">
        <f aca="false">IF(INDEX(MASTER_DATABASE!$A$4:$A$1000,ROW()-3)="","",INDEX(MASTER_DATABASE!$Q$4:$Q$1000,ROW()-3)&amp;"")</f>
        <v>15–30 Minutes</v>
      </c>
      <c r="J255" s="7" t="str">
        <f aca="false">IF(INDEX(MASTER_DATABASE!$A$4:$A$1000,ROW()-3)="","",INDEX(MASTER_DATABASE!$J$4:$J$1000,ROW()-3)&amp;"")</f>
        <v>Available</v>
      </c>
      <c r="K255" s="7" t="str">
        <f aca="false">IF(INDEX(MASTER_DATABASE!$A$4:$A$1000,ROW()-3)="","",INDEX(MASTER_DATABASE!$AS$4:$AS$1000,ROW()-3)&amp;"")</f>
        <v/>
      </c>
      <c r="L25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5" s="7" t="str">
        <f aca="false">IF(INDEX(MASTER_DATABASE!$A$4:$A$1000,ROW()-3)="","",INDEX(MASTER_DATABASE!$BG$4:$BG$1000,ROW()-3)&amp;"")</f>
        <v>Visit Shop</v>
      </c>
    </row>
    <row r="256" customFormat="false" ht="57.45" hidden="false" customHeight="false" outlineLevel="0" collapsed="false">
      <c r="A256" s="11" t="str">
        <f aca="false">IF(INDEX(MASTER_DATABASE!$A$4:$A$1000,ROW()-3)="","",INDEX(MASTER_DATABASE!$A$4:$A$1000,ROW()-3)&amp;"")</f>
        <v>ONL-025</v>
      </c>
      <c r="B256" s="7" t="str">
        <f aca="false">IF(INDEX(MASTER_DATABASE!$A$4:$A$1000,ROW()-3)="","",INDEX(MASTER_DATABASE!$E$4:$E$1000,ROW()-3)&amp;"")</f>
        <v>Application Status Check – Other Portals</v>
      </c>
      <c r="C256" s="7" t="str">
        <f aca="false">IF(INDEX(MASTER_DATABASE!$A$4:$A$1000,ROW()-3)="","",INDEX(MASTER_DATABASE!$H$4:$H$1000,ROW()-3)&amp;"")</f>
        <v>Application Status Check – Other Portals at our online services desk.</v>
      </c>
      <c r="D25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6" s="7" t="str">
        <f aca="false">IF(INDEX(MASTER_DATABASE!$A$4:$A$1000,ROW()-3)="","",INDEX(MASTER_DATABASE!$O$4:$O$1000,ROW()-3)&amp;"")</f>
        <v>Any customer who can provide the listed documents.</v>
      </c>
      <c r="F256" s="7" t="str">
        <f aca="false">IF(INDEX(MASTER_DATABASE!$A$4:$A$1000,ROW()-3)="","",INDEX(MASTER_DATABASE!$M$4:$M$1000,ROW()-3)&amp;"")</f>
        <v>✓ Active Mobile Number</v>
      </c>
      <c r="G256" s="7" t="str">
        <f aca="false">IF(INDEX(MASTER_DATABASE!$A$4:$A$1000,ROW()-3)="","",INDEX(MASTER_DATABASE!$P$4:$P$1000,ROW()-3)&amp;"")</f>
        <v>Step 1 → Tell what online work is required.
Step 2 → Operator does 'Application Status Check – Other Portals' on the required website.
Step 3 → You verify the details / OTP.
Step 4 → Result / receipt is given.</v>
      </c>
      <c r="H25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6" s="7" t="str">
        <f aca="false">IF(INDEX(MASTER_DATABASE!$A$4:$A$1000,ROW()-3)="","",INDEX(MASTER_DATABASE!$Q$4:$Q$1000,ROW()-3)&amp;"")</f>
        <v>15–30 Minutes</v>
      </c>
      <c r="J256" s="7" t="str">
        <f aca="false">IF(INDEX(MASTER_DATABASE!$A$4:$A$1000,ROW()-3)="","",INDEX(MASTER_DATABASE!$J$4:$J$1000,ROW()-3)&amp;"")</f>
        <v>Available</v>
      </c>
      <c r="K256" s="7" t="str">
        <f aca="false">IF(INDEX(MASTER_DATABASE!$A$4:$A$1000,ROW()-3)="","",INDEX(MASTER_DATABASE!$AS$4:$AS$1000,ROW()-3)&amp;"")</f>
        <v/>
      </c>
      <c r="L25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6" s="7" t="str">
        <f aca="false">IF(INDEX(MASTER_DATABASE!$A$4:$A$1000,ROW()-3)="","",INDEX(MASTER_DATABASE!$BG$4:$BG$1000,ROW()-3)&amp;"")</f>
        <v>Visit Shop</v>
      </c>
    </row>
    <row r="257" customFormat="false" ht="57.45" hidden="false" customHeight="false" outlineLevel="0" collapsed="false">
      <c r="A257" s="11" t="str">
        <f aca="false">IF(INDEX(MASTER_DATABASE!$A$4:$A$1000,ROW()-3)="","",INDEX(MASTER_DATABASE!$A$4:$A$1000,ROW()-3)&amp;"")</f>
        <v>ONL-026</v>
      </c>
      <c r="B257" s="7" t="str">
        <f aca="false">IF(INDEX(MASTER_DATABASE!$A$4:$A$1000,ROW()-3)="","",INDEX(MASTER_DATABASE!$E$4:$E$1000,ROW()-3)&amp;"")</f>
        <v>DigiLocker Assistance</v>
      </c>
      <c r="C257" s="7" t="str">
        <f aca="false">IF(INDEX(MASTER_DATABASE!$A$4:$A$1000,ROW()-3)="","",INDEX(MASTER_DATABASE!$H$4:$H$1000,ROW()-3)&amp;"")</f>
        <v>DigiLocker Assistance at our online services desk.</v>
      </c>
      <c r="D25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7" s="7" t="str">
        <f aca="false">IF(INDEX(MASTER_DATABASE!$A$4:$A$1000,ROW()-3)="","",INDEX(MASTER_DATABASE!$O$4:$O$1000,ROW()-3)&amp;"")</f>
        <v>Any customer who can provide the listed documents.</v>
      </c>
      <c r="F257" s="7" t="str">
        <f aca="false">IF(INDEX(MASTER_DATABASE!$A$4:$A$1000,ROW()-3)="","",INDEX(MASTER_DATABASE!$M$4:$M$1000,ROW()-3)&amp;"")</f>
        <v>✓ Active Mobile Number</v>
      </c>
      <c r="G257" s="7" t="str">
        <f aca="false">IF(INDEX(MASTER_DATABASE!$A$4:$A$1000,ROW()-3)="","",INDEX(MASTER_DATABASE!$P$4:$P$1000,ROW()-3)&amp;"")</f>
        <v>Step 1 → Tell what online work is required.
Step 2 → Operator does 'DigiLocker Assistance' on the required website.
Step 3 → You verify the details / OTP.
Step 4 → Result / receipt is given.</v>
      </c>
      <c r="H25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7" s="7" t="str">
        <f aca="false">IF(INDEX(MASTER_DATABASE!$A$4:$A$1000,ROW()-3)="","",INDEX(MASTER_DATABASE!$Q$4:$Q$1000,ROW()-3)&amp;"")</f>
        <v>15–30 Minutes</v>
      </c>
      <c r="J257" s="7" t="str">
        <f aca="false">IF(INDEX(MASTER_DATABASE!$A$4:$A$1000,ROW()-3)="","",INDEX(MASTER_DATABASE!$J$4:$J$1000,ROW()-3)&amp;"")</f>
        <v>Depends on Portal – Confirm at Shop</v>
      </c>
      <c r="K257" s="7" t="str">
        <f aca="false">IF(INDEX(MASTER_DATABASE!$A$4:$A$1000,ROW()-3)="","",INDEX(MASTER_DATABASE!$AS$4:$AS$1000,ROW()-3)&amp;"")</f>
        <v>Please confirm availability with the shop before visiting.</v>
      </c>
      <c r="L25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7" s="7" t="str">
        <f aca="false">IF(INDEX(MASTER_DATABASE!$A$4:$A$1000,ROW()-3)="","",INDEX(MASTER_DATABASE!$BG$4:$BG$1000,ROW()-3)&amp;"")</f>
        <v>Visit Shop</v>
      </c>
    </row>
    <row r="258" customFormat="false" ht="57.45" hidden="false" customHeight="false" outlineLevel="0" collapsed="false">
      <c r="A258" s="11" t="str">
        <f aca="false">IF(INDEX(MASTER_DATABASE!$A$4:$A$1000,ROW()-3)="","",INDEX(MASTER_DATABASE!$A$4:$A$1000,ROW()-3)&amp;"")</f>
        <v>ONL-027</v>
      </c>
      <c r="B258" s="7" t="str">
        <f aca="false">IF(INDEX(MASTER_DATABASE!$A$4:$A$1000,ROW()-3)="","",INDEX(MASTER_DATABASE!$E$4:$E$1000,ROW()-3)&amp;"")</f>
        <v>Digital Document Download (DigiLocker etc.)</v>
      </c>
      <c r="C258" s="7" t="str">
        <f aca="false">IF(INDEX(MASTER_DATABASE!$A$4:$A$1000,ROW()-3)="","",INDEX(MASTER_DATABASE!$H$4:$H$1000,ROW()-3)&amp;"")</f>
        <v>Digital Document Download (DigiLocker etc.) at our online services desk.</v>
      </c>
      <c r="D25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8" s="7" t="str">
        <f aca="false">IF(INDEX(MASTER_DATABASE!$A$4:$A$1000,ROW()-3)="","",INDEX(MASTER_DATABASE!$O$4:$O$1000,ROW()-3)&amp;"")</f>
        <v>Any customer who can provide the listed documents.</v>
      </c>
      <c r="F258" s="7" t="str">
        <f aca="false">IF(INDEX(MASTER_DATABASE!$A$4:$A$1000,ROW()-3)="","",INDEX(MASTER_DATABASE!$M$4:$M$1000,ROW()-3)&amp;"")</f>
        <v>✓ Active Mobile Number</v>
      </c>
      <c r="G258" s="7" t="str">
        <f aca="false">IF(INDEX(MASTER_DATABASE!$A$4:$A$1000,ROW()-3)="","",INDEX(MASTER_DATABASE!$P$4:$P$1000,ROW()-3)&amp;"")</f>
        <v>Step 1 → Tell what online work is required.
Step 2 → Operator does 'Digital Document Download (DigiLocker etc.)' on the required website.
Step 3 → You verify the details / OTP.
Step 4 → Result / receipt is given.</v>
      </c>
      <c r="H25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8" s="7" t="str">
        <f aca="false">IF(INDEX(MASTER_DATABASE!$A$4:$A$1000,ROW()-3)="","",INDEX(MASTER_DATABASE!$Q$4:$Q$1000,ROW()-3)&amp;"")</f>
        <v>15–30 Minutes</v>
      </c>
      <c r="J258" s="7" t="str">
        <f aca="false">IF(INDEX(MASTER_DATABASE!$A$4:$A$1000,ROW()-3)="","",INDEX(MASTER_DATABASE!$J$4:$J$1000,ROW()-3)&amp;"")</f>
        <v>Depends on Portal – Confirm at Shop</v>
      </c>
      <c r="K258" s="7" t="str">
        <f aca="false">IF(INDEX(MASTER_DATABASE!$A$4:$A$1000,ROW()-3)="","",INDEX(MASTER_DATABASE!$AS$4:$AS$1000,ROW()-3)&amp;"")</f>
        <v>Please confirm availability with the shop before visiting.</v>
      </c>
      <c r="L25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8" s="7" t="str">
        <f aca="false">IF(INDEX(MASTER_DATABASE!$A$4:$A$1000,ROW()-3)="","",INDEX(MASTER_DATABASE!$BG$4:$BG$1000,ROW()-3)&amp;"")</f>
        <v>Visit Shop</v>
      </c>
    </row>
    <row r="259" customFormat="false" ht="57.45" hidden="false" customHeight="false" outlineLevel="0" collapsed="false">
      <c r="A259" s="11" t="str">
        <f aca="false">IF(INDEX(MASTER_DATABASE!$A$4:$A$1000,ROW()-3)="","",INDEX(MASTER_DATABASE!$A$4:$A$1000,ROW()-3)&amp;"")</f>
        <v>ONL-028</v>
      </c>
      <c r="B259" s="7" t="str">
        <f aca="false">IF(INDEX(MASTER_DATABASE!$A$4:$A$1000,ROW()-3)="","",INDEX(MASTER_DATABASE!$E$4:$E$1000,ROW()-3)&amp;"")</f>
        <v>Online Payment Assistance (Fee / Challan)</v>
      </c>
      <c r="C259" s="7" t="str">
        <f aca="false">IF(INDEX(MASTER_DATABASE!$A$4:$A$1000,ROW()-3)="","",INDEX(MASTER_DATABASE!$H$4:$H$1000,ROW()-3)&amp;"")</f>
        <v>Online Payment Assistance (Fee / Challan) at our online services desk.</v>
      </c>
      <c r="D25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59" s="7" t="str">
        <f aca="false">IF(INDEX(MASTER_DATABASE!$A$4:$A$1000,ROW()-3)="","",INDEX(MASTER_DATABASE!$O$4:$O$1000,ROW()-3)&amp;"")</f>
        <v>Any customer who can provide the listed documents.</v>
      </c>
      <c r="F259" s="7" t="str">
        <f aca="false">IF(INDEX(MASTER_DATABASE!$A$4:$A$1000,ROW()-3)="","",INDEX(MASTER_DATABASE!$M$4:$M$1000,ROW()-3)&amp;"")</f>
        <v>✓ Active Mobile Number</v>
      </c>
      <c r="G259" s="7" t="str">
        <f aca="false">IF(INDEX(MASTER_DATABASE!$A$4:$A$1000,ROW()-3)="","",INDEX(MASTER_DATABASE!$P$4:$P$1000,ROW()-3)&amp;"")</f>
        <v>Step 1 → Tell what online work is required.
Step 2 → Operator does 'Online Payment Assistance (Fee / Challan)' on the required website.
Step 3 → You verify the details / OTP.
Step 4 → Result / receipt is given.</v>
      </c>
      <c r="H25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59" s="7" t="str">
        <f aca="false">IF(INDEX(MASTER_DATABASE!$A$4:$A$1000,ROW()-3)="","",INDEX(MASTER_DATABASE!$Q$4:$Q$1000,ROW()-3)&amp;"")</f>
        <v>15–30 Minutes</v>
      </c>
      <c r="J259" s="7" t="str">
        <f aca="false">IF(INDEX(MASTER_DATABASE!$A$4:$A$1000,ROW()-3)="","",INDEX(MASTER_DATABASE!$J$4:$J$1000,ROW()-3)&amp;"")</f>
        <v>Available</v>
      </c>
      <c r="K259" s="7" t="str">
        <f aca="false">IF(INDEX(MASTER_DATABASE!$A$4:$A$1000,ROW()-3)="","",INDEX(MASTER_DATABASE!$AS$4:$AS$1000,ROW()-3)&amp;"")</f>
        <v/>
      </c>
      <c r="L25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5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59" s="7" t="str">
        <f aca="false">IF(INDEX(MASTER_DATABASE!$A$4:$A$1000,ROW()-3)="","",INDEX(MASTER_DATABASE!$BG$4:$BG$1000,ROW()-3)&amp;"")</f>
        <v>Visit Shop</v>
      </c>
    </row>
    <row r="260" customFormat="false" ht="57.45" hidden="false" customHeight="false" outlineLevel="0" collapsed="false">
      <c r="A260" s="11" t="str">
        <f aca="false">IF(INDEX(MASTER_DATABASE!$A$4:$A$1000,ROW()-3)="","",INDEX(MASTER_DATABASE!$A$4:$A$1000,ROW()-3)&amp;"")</f>
        <v>ONL-029</v>
      </c>
      <c r="B260" s="7" t="str">
        <f aca="false">IF(INDEX(MASTER_DATABASE!$A$4:$A$1000,ROW()-3)="","",INDEX(MASTER_DATABASE!$E$4:$E$1000,ROW()-3)&amp;"")</f>
        <v>UPI / Payment App Setup Assistance</v>
      </c>
      <c r="C260" s="7" t="str">
        <f aca="false">IF(INDEX(MASTER_DATABASE!$A$4:$A$1000,ROW()-3)="","",INDEX(MASTER_DATABASE!$H$4:$H$1000,ROW()-3)&amp;"")</f>
        <v>UPI / Payment App Setup Assistance at our online services desk.</v>
      </c>
      <c r="D26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0" s="7" t="str">
        <f aca="false">IF(INDEX(MASTER_DATABASE!$A$4:$A$1000,ROW()-3)="","",INDEX(MASTER_DATABASE!$O$4:$O$1000,ROW()-3)&amp;"")</f>
        <v>Any customer who can provide the listed documents.</v>
      </c>
      <c r="F260" s="7" t="str">
        <f aca="false">IF(INDEX(MASTER_DATABASE!$A$4:$A$1000,ROW()-3)="","",INDEX(MASTER_DATABASE!$M$4:$M$1000,ROW()-3)&amp;"")</f>
        <v>✓ Active Mobile Number</v>
      </c>
      <c r="G260" s="7" t="str">
        <f aca="false">IF(INDEX(MASTER_DATABASE!$A$4:$A$1000,ROW()-3)="","",INDEX(MASTER_DATABASE!$P$4:$P$1000,ROW()-3)&amp;"")</f>
        <v>Step 1 → Tell what online work is required.
Step 2 → Operator does 'UPI / Payment App Setup Assistance' on the required website.
Step 3 → You verify the details / OTP.
Step 4 → Result / receipt is given.</v>
      </c>
      <c r="H26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0" s="7" t="str">
        <f aca="false">IF(INDEX(MASTER_DATABASE!$A$4:$A$1000,ROW()-3)="","",INDEX(MASTER_DATABASE!$Q$4:$Q$1000,ROW()-3)&amp;"")</f>
        <v>15–30 Minutes</v>
      </c>
      <c r="J260" s="7" t="str">
        <f aca="false">IF(INDEX(MASTER_DATABASE!$A$4:$A$1000,ROW()-3)="","",INDEX(MASTER_DATABASE!$J$4:$J$1000,ROW()-3)&amp;"")</f>
        <v>Available</v>
      </c>
      <c r="K260" s="7" t="str">
        <f aca="false">IF(INDEX(MASTER_DATABASE!$A$4:$A$1000,ROW()-3)="","",INDEX(MASTER_DATABASE!$AS$4:$AS$1000,ROW()-3)&amp;"")</f>
        <v/>
      </c>
      <c r="L26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0" s="7" t="str">
        <f aca="false">IF(INDEX(MASTER_DATABASE!$A$4:$A$1000,ROW()-3)="","",INDEX(MASTER_DATABASE!$BG$4:$BG$1000,ROW()-3)&amp;"")</f>
        <v>Visit Shop</v>
      </c>
    </row>
    <row r="261" customFormat="false" ht="79.85" hidden="false" customHeight="false" outlineLevel="0" collapsed="false">
      <c r="A261" s="11" t="str">
        <f aca="false">IF(INDEX(MASTER_DATABASE!$A$4:$A$1000,ROW()-3)="","",INDEX(MASTER_DATABASE!$A$4:$A$1000,ROW()-3)&amp;"")</f>
        <v>ONL-030</v>
      </c>
      <c r="B261" s="7" t="str">
        <f aca="false">IF(INDEX(MASTER_DATABASE!$A$4:$A$1000,ROW()-3)="","",INDEX(MASTER_DATABASE!$E$4:$E$1000,ROW()-3)&amp;"")</f>
        <v>PAN – New Application</v>
      </c>
      <c r="C261" s="7" t="str">
        <f aca="false">IF(INDEX(MASTER_DATABASE!$A$4:$A$1000,ROW()-3)="","",INDEX(MASTER_DATABASE!$H$4:$H$1000,ROW()-3)&amp;"")</f>
        <v>PAN – New Application through the official portal.</v>
      </c>
      <c r="D26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1" s="7" t="str">
        <f aca="false">IF(INDEX(MASTER_DATABASE!$A$4:$A$1000,ROW()-3)="","",INDEX(MASTER_DATABASE!$O$4:$O$1000,ROW()-3)&amp;"")</f>
        <v>Any customer who can provide the listed documents.</v>
      </c>
      <c r="F261" s="7" t="str">
        <f aca="false">IF(INDEX(MASTER_DATABASE!$A$4:$A$1000,ROW()-3)="","",INDEX(MASTER_DATABASE!$M$4:$M$1000,ROW()-3)&amp;"")</f>
        <v>✓ Aadhaar Card
✓ Active Mobile Number</v>
      </c>
      <c r="G261" s="7" t="str">
        <f aca="false">IF(INDEX(MASTER_DATABASE!$A$4:$A$1000,ROW()-3)="","",INDEX(MASTER_DATABASE!$P$4:$P$1000,ROW()-3)&amp;"")</f>
        <v>Step 1 → Bring Aadhaar and the documents listed.
Step 2 → Operator opens the portal option for 'PAN – New Application'.
Step 3 → Details are filled / verified and OTP is entered.
Step 4 → Application is submitted and the acknowledgement number is given.
Step 5 → Track status or download the result.</v>
      </c>
      <c r="H26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1" s="7" t="str">
        <f aca="false">IF(INDEX(MASTER_DATABASE!$A$4:$A$1000,ROW()-3)="","",INDEX(MASTER_DATABASE!$Q$4:$Q$1000,ROW()-3)&amp;"")</f>
        <v>Depends on Department</v>
      </c>
      <c r="J261" s="7" t="str">
        <f aca="false">IF(INDEX(MASTER_DATABASE!$A$4:$A$1000,ROW()-3)="","",INDEX(MASTER_DATABASE!$J$4:$J$1000,ROW()-3)&amp;"")</f>
        <v>Depends on Portal – Confirm at Shop</v>
      </c>
      <c r="K261" s="7" t="str">
        <f aca="false">IF(INDEX(MASTER_DATABASE!$A$4:$A$1000,ROW()-3)="","",INDEX(MASTER_DATABASE!$AS$4:$AS$1000,ROW()-3)&amp;"")</f>
        <v>Government fee and processing are as per the portal.</v>
      </c>
      <c r="L26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1" s="7" t="str">
        <f aca="false">IF(INDEX(MASTER_DATABASE!$A$4:$A$1000,ROW()-3)="","",INDEX(MASTER_DATABASE!$BG$4:$BG$1000,ROW()-3)&amp;"")</f>
        <v>Check Documents</v>
      </c>
    </row>
    <row r="262" customFormat="false" ht="79.85" hidden="false" customHeight="false" outlineLevel="0" collapsed="false">
      <c r="A262" s="11" t="str">
        <f aca="false">IF(INDEX(MASTER_DATABASE!$A$4:$A$1000,ROW()-3)="","",INDEX(MASTER_DATABASE!$A$4:$A$1000,ROW()-3)&amp;"")</f>
        <v>ONL-031</v>
      </c>
      <c r="B262" s="7" t="str">
        <f aca="false">IF(INDEX(MASTER_DATABASE!$A$4:$A$1000,ROW()-3)="","",INDEX(MASTER_DATABASE!$E$4:$E$1000,ROW()-3)&amp;"")</f>
        <v>PAN – Correction / Update</v>
      </c>
      <c r="C262" s="7" t="str">
        <f aca="false">IF(INDEX(MASTER_DATABASE!$A$4:$A$1000,ROW()-3)="","",INDEX(MASTER_DATABASE!$H$4:$H$1000,ROW()-3)&amp;"")</f>
        <v>PAN – Correction / Update through the official portal.</v>
      </c>
      <c r="D26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2" s="7" t="str">
        <f aca="false">IF(INDEX(MASTER_DATABASE!$A$4:$A$1000,ROW()-3)="","",INDEX(MASTER_DATABASE!$O$4:$O$1000,ROW()-3)&amp;"")</f>
        <v>Any customer who can provide the listed documents.</v>
      </c>
      <c r="F262" s="7" t="str">
        <f aca="false">IF(INDEX(MASTER_DATABASE!$A$4:$A$1000,ROW()-3)="","",INDEX(MASTER_DATABASE!$M$4:$M$1000,ROW()-3)&amp;"")</f>
        <v>✓ Aadhaar Card
✓ Active Mobile Number</v>
      </c>
      <c r="G262" s="7" t="str">
        <f aca="false">IF(INDEX(MASTER_DATABASE!$A$4:$A$1000,ROW()-3)="","",INDEX(MASTER_DATABASE!$P$4:$P$1000,ROW()-3)&amp;"")</f>
        <v>Step 1 → Bring Aadhaar and the documents listed.
Step 2 → Operator opens the portal option for 'PAN – Correction / Update'.
Step 3 → Details are filled / verified and OTP is entered.
Step 4 → Application is submitted and the acknowledgement number is given.
Step 5 → Track status or download the result.</v>
      </c>
      <c r="H26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2" s="7" t="str">
        <f aca="false">IF(INDEX(MASTER_DATABASE!$A$4:$A$1000,ROW()-3)="","",INDEX(MASTER_DATABASE!$Q$4:$Q$1000,ROW()-3)&amp;"")</f>
        <v>Depends on Department</v>
      </c>
      <c r="J262" s="7" t="str">
        <f aca="false">IF(INDEX(MASTER_DATABASE!$A$4:$A$1000,ROW()-3)="","",INDEX(MASTER_DATABASE!$J$4:$J$1000,ROW()-3)&amp;"")</f>
        <v>Available</v>
      </c>
      <c r="K262" s="7" t="str">
        <f aca="false">IF(INDEX(MASTER_DATABASE!$A$4:$A$1000,ROW()-3)="","",INDEX(MASTER_DATABASE!$AS$4:$AS$1000,ROW()-3)&amp;"")</f>
        <v>Government fee and processing are as per the portal.</v>
      </c>
      <c r="L26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2" s="7" t="str">
        <f aca="false">IF(INDEX(MASTER_DATABASE!$A$4:$A$1000,ROW()-3)="","",INDEX(MASTER_DATABASE!$BG$4:$BG$1000,ROW()-3)&amp;"")</f>
        <v>Check Documents</v>
      </c>
    </row>
    <row r="263" customFormat="false" ht="79.85" hidden="false" customHeight="false" outlineLevel="0" collapsed="false">
      <c r="A263" s="11" t="str">
        <f aca="false">IF(INDEX(MASTER_DATABASE!$A$4:$A$1000,ROW()-3)="","",INDEX(MASTER_DATABASE!$A$4:$A$1000,ROW()-3)&amp;"")</f>
        <v>ONL-032</v>
      </c>
      <c r="B263" s="7" t="str">
        <f aca="false">IF(INDEX(MASTER_DATABASE!$A$4:$A$1000,ROW()-3)="","",INDEX(MASTER_DATABASE!$E$4:$E$1000,ROW()-3)&amp;"")</f>
        <v>PAN – Reprint / e-PAN Download</v>
      </c>
      <c r="C263" s="7" t="str">
        <f aca="false">IF(INDEX(MASTER_DATABASE!$A$4:$A$1000,ROW()-3)="","",INDEX(MASTER_DATABASE!$H$4:$H$1000,ROW()-3)&amp;"")</f>
        <v>PAN – Reprint / e-PAN Download through the official portal.</v>
      </c>
      <c r="D26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3" s="7" t="str">
        <f aca="false">IF(INDEX(MASTER_DATABASE!$A$4:$A$1000,ROW()-3)="","",INDEX(MASTER_DATABASE!$O$4:$O$1000,ROW()-3)&amp;"")</f>
        <v>Any customer who can provide the listed documents.</v>
      </c>
      <c r="F263" s="7" t="str">
        <f aca="false">IF(INDEX(MASTER_DATABASE!$A$4:$A$1000,ROW()-3)="","",INDEX(MASTER_DATABASE!$M$4:$M$1000,ROW()-3)&amp;"")</f>
        <v>✓ Aadhaar Card
✓ Active Mobile Number</v>
      </c>
      <c r="G263" s="7" t="str">
        <f aca="false">IF(INDEX(MASTER_DATABASE!$A$4:$A$1000,ROW()-3)="","",INDEX(MASTER_DATABASE!$P$4:$P$1000,ROW()-3)&amp;"")</f>
        <v>Step 1 → Bring Aadhaar and the documents listed.
Step 2 → Operator opens the portal option for 'PAN – Reprint / e-PAN Download'.
Step 3 → Details are filled / verified and OTP is entered.
Step 4 → Application is submitted and the acknowledgement number is given.
Step 5 → Track status or download the result.</v>
      </c>
      <c r="H26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3" s="7" t="str">
        <f aca="false">IF(INDEX(MASTER_DATABASE!$A$4:$A$1000,ROW()-3)="","",INDEX(MASTER_DATABASE!$Q$4:$Q$1000,ROW()-3)&amp;"")</f>
        <v>Depends on Department</v>
      </c>
      <c r="J263" s="7" t="str">
        <f aca="false">IF(INDEX(MASTER_DATABASE!$A$4:$A$1000,ROW()-3)="","",INDEX(MASTER_DATABASE!$J$4:$J$1000,ROW()-3)&amp;"")</f>
        <v>Depends on Portal – Confirm at Shop</v>
      </c>
      <c r="K263" s="7" t="str">
        <f aca="false">IF(INDEX(MASTER_DATABASE!$A$4:$A$1000,ROW()-3)="","",INDEX(MASTER_DATABASE!$AS$4:$AS$1000,ROW()-3)&amp;"")</f>
        <v>Government fee and processing are as per the portal.</v>
      </c>
      <c r="L26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3" s="7" t="str">
        <f aca="false">IF(INDEX(MASTER_DATABASE!$A$4:$A$1000,ROW()-3)="","",INDEX(MASTER_DATABASE!$BG$4:$BG$1000,ROW()-3)&amp;"")</f>
        <v>Check Documents</v>
      </c>
    </row>
    <row r="264" customFormat="false" ht="68.65" hidden="false" customHeight="false" outlineLevel="0" collapsed="false">
      <c r="A264" s="11" t="str">
        <f aca="false">IF(INDEX(MASTER_DATABASE!$A$4:$A$1000,ROW()-3)="","",INDEX(MASTER_DATABASE!$A$4:$A$1000,ROW()-3)&amp;"")</f>
        <v>ONL-033</v>
      </c>
      <c r="B264" s="7" t="str">
        <f aca="false">IF(INDEX(MASTER_DATABASE!$A$4:$A$1000,ROW()-3)="","",INDEX(MASTER_DATABASE!$E$4:$E$1000,ROW()-3)&amp;"")</f>
        <v>PAN – Status Check</v>
      </c>
      <c r="C264" s="7" t="str">
        <f aca="false">IF(INDEX(MASTER_DATABASE!$A$4:$A$1000,ROW()-3)="","",INDEX(MASTER_DATABASE!$H$4:$H$1000,ROW()-3)&amp;"")</f>
        <v>PAN – Status Check through the official portal.</v>
      </c>
      <c r="D26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4" s="7" t="str">
        <f aca="false">IF(INDEX(MASTER_DATABASE!$A$4:$A$1000,ROW()-3)="","",INDEX(MASTER_DATABASE!$O$4:$O$1000,ROW()-3)&amp;"")</f>
        <v>Any customer who can provide the listed documents.</v>
      </c>
      <c r="F264" s="7" t="str">
        <f aca="false">IF(INDEX(MASTER_DATABASE!$A$4:$A$1000,ROW()-3)="","",INDEX(MASTER_DATABASE!$M$4:$M$1000,ROW()-3)&amp;"")</f>
        <v>✓ Aadhaar Card
✓ Active Mobile Number</v>
      </c>
      <c r="G264" s="7" t="str">
        <f aca="false">IF(INDEX(MASTER_DATABASE!$A$4:$A$1000,ROW()-3)="","",INDEX(MASTER_DATABASE!$P$4:$P$1000,ROW()-3)&amp;"")</f>
        <v>Step 1 → Bring Aadhaar and the documents listed.
Step 2 → Operator opens the portal option for 'PAN – Status Check'.
Step 3 → Details are filled / verified and OTP is entered.
Step 4 → Application is submitted and the acknowledgement number is given.
Step 5 → Track status or download the result.</v>
      </c>
      <c r="H26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4" s="7" t="str">
        <f aca="false">IF(INDEX(MASTER_DATABASE!$A$4:$A$1000,ROW()-3)="","",INDEX(MASTER_DATABASE!$Q$4:$Q$1000,ROW()-3)&amp;"")</f>
        <v>Depends on Department</v>
      </c>
      <c r="J264" s="7" t="str">
        <f aca="false">IF(INDEX(MASTER_DATABASE!$A$4:$A$1000,ROW()-3)="","",INDEX(MASTER_DATABASE!$J$4:$J$1000,ROW()-3)&amp;"")</f>
        <v>Depends on Portal – Confirm at Shop</v>
      </c>
      <c r="K264" s="7" t="str">
        <f aca="false">IF(INDEX(MASTER_DATABASE!$A$4:$A$1000,ROW()-3)="","",INDEX(MASTER_DATABASE!$AS$4:$AS$1000,ROW()-3)&amp;"")</f>
        <v>Government fee and processing are as per the portal.</v>
      </c>
      <c r="L26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4" s="7" t="str">
        <f aca="false">IF(INDEX(MASTER_DATABASE!$A$4:$A$1000,ROW()-3)="","",INDEX(MASTER_DATABASE!$BG$4:$BG$1000,ROW()-3)&amp;"")</f>
        <v>Check Documents</v>
      </c>
    </row>
    <row r="265" customFormat="false" ht="79.85" hidden="false" customHeight="false" outlineLevel="0" collapsed="false">
      <c r="A265" s="11" t="str">
        <f aca="false">IF(INDEX(MASTER_DATABASE!$A$4:$A$1000,ROW()-3)="","",INDEX(MASTER_DATABASE!$A$4:$A$1000,ROW()-3)&amp;"")</f>
        <v>ONL-034</v>
      </c>
      <c r="B265" s="7" t="str">
        <f aca="false">IF(INDEX(MASTER_DATABASE!$A$4:$A$1000,ROW()-3)="","",INDEX(MASTER_DATABASE!$E$4:$E$1000,ROW()-3)&amp;"")</f>
        <v>PAN–Aadhaar Link Assistance</v>
      </c>
      <c r="C265" s="7" t="str">
        <f aca="false">IF(INDEX(MASTER_DATABASE!$A$4:$A$1000,ROW()-3)="","",INDEX(MASTER_DATABASE!$H$4:$H$1000,ROW()-3)&amp;"")</f>
        <v>PAN–Aadhaar Link Assistance through the official portal.</v>
      </c>
      <c r="D26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5" s="7" t="str">
        <f aca="false">IF(INDEX(MASTER_DATABASE!$A$4:$A$1000,ROW()-3)="","",INDEX(MASTER_DATABASE!$O$4:$O$1000,ROW()-3)&amp;"")</f>
        <v>Any customer who can provide the listed documents.</v>
      </c>
      <c r="F265" s="7" t="str">
        <f aca="false">IF(INDEX(MASTER_DATABASE!$A$4:$A$1000,ROW()-3)="","",INDEX(MASTER_DATABASE!$M$4:$M$1000,ROW()-3)&amp;"")</f>
        <v>✓ Aadhaar Card
✓ Active Mobile Number</v>
      </c>
      <c r="G265" s="7" t="str">
        <f aca="false">IF(INDEX(MASTER_DATABASE!$A$4:$A$1000,ROW()-3)="","",INDEX(MASTER_DATABASE!$P$4:$P$1000,ROW()-3)&amp;"")</f>
        <v>Step 1 → Bring Aadhaar and the documents listed.
Step 2 → Operator opens the portal option for 'PAN–Aadhaar Link Assistance'.
Step 3 → Details are filled / verified and OTP is entered.
Step 4 → Application is submitted and the acknowledgement number is given.
Step 5 → Track status or download the result.</v>
      </c>
      <c r="H26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5" s="7" t="str">
        <f aca="false">IF(INDEX(MASTER_DATABASE!$A$4:$A$1000,ROW()-3)="","",INDEX(MASTER_DATABASE!$Q$4:$Q$1000,ROW()-3)&amp;"")</f>
        <v>Depends on Department</v>
      </c>
      <c r="J265" s="7" t="str">
        <f aca="false">IF(INDEX(MASTER_DATABASE!$A$4:$A$1000,ROW()-3)="","",INDEX(MASTER_DATABASE!$J$4:$J$1000,ROW()-3)&amp;"")</f>
        <v>Depends on Portal – Confirm at Shop</v>
      </c>
      <c r="K265" s="7" t="str">
        <f aca="false">IF(INDEX(MASTER_DATABASE!$A$4:$A$1000,ROW()-3)="","",INDEX(MASTER_DATABASE!$AS$4:$AS$1000,ROW()-3)&amp;"")</f>
        <v>Government fee and processing are as per the portal.</v>
      </c>
      <c r="L26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5" s="7" t="str">
        <f aca="false">IF(INDEX(MASTER_DATABASE!$A$4:$A$1000,ROW()-3)="","",INDEX(MASTER_DATABASE!$BG$4:$BG$1000,ROW()-3)&amp;"")</f>
        <v>Check Documents</v>
      </c>
    </row>
    <row r="266" customFormat="false" ht="79.85" hidden="false" customHeight="false" outlineLevel="0" collapsed="false">
      <c r="A266" s="11" t="str">
        <f aca="false">IF(INDEX(MASTER_DATABASE!$A$4:$A$1000,ROW()-3)="","",INDEX(MASTER_DATABASE!$A$4:$A$1000,ROW()-3)&amp;"")</f>
        <v>ONL-035</v>
      </c>
      <c r="B266" s="7" t="str">
        <f aca="false">IF(INDEX(MASTER_DATABASE!$A$4:$A$1000,ROW()-3)="","",INDEX(MASTER_DATABASE!$E$4:$E$1000,ROW()-3)&amp;"")</f>
        <v>Voter ID – New Registration (Form 6)</v>
      </c>
      <c r="C266" s="7" t="str">
        <f aca="false">IF(INDEX(MASTER_DATABASE!$A$4:$A$1000,ROW()-3)="","",INDEX(MASTER_DATABASE!$H$4:$H$1000,ROW()-3)&amp;"")</f>
        <v>Voter ID – New Registration (Form 6) through the official portal.</v>
      </c>
      <c r="D26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6" s="7" t="str">
        <f aca="false">IF(INDEX(MASTER_DATABASE!$A$4:$A$1000,ROW()-3)="","",INDEX(MASTER_DATABASE!$O$4:$O$1000,ROW()-3)&amp;"")</f>
        <v>Any customer who can provide the listed documents.</v>
      </c>
      <c r="F266" s="7" t="str">
        <f aca="false">IF(INDEX(MASTER_DATABASE!$A$4:$A$1000,ROW()-3)="","",INDEX(MASTER_DATABASE!$M$4:$M$1000,ROW()-3)&amp;"")</f>
        <v>✓ Aadhaar Card
✓ Active Mobile Number
✓ Passport Photo
✓ Address Proof
✓ Date of Birth Proof</v>
      </c>
      <c r="G266" s="7" t="str">
        <f aca="false">IF(INDEX(MASTER_DATABASE!$A$4:$A$1000,ROW()-3)="","",INDEX(MASTER_DATABASE!$P$4:$P$1000,ROW()-3)&amp;"")</f>
        <v>Step 1 → Bring Aadhaar and the documents listed.
Step 2 → Operator opens the portal option for 'Voter ID – New Registration (Form 6)'.
Step 3 → Details are filled / verified and OTP is entered.
Step 4 → Application is submitted and the acknowledgement number is given.
Step 5 → Track status or download the result.</v>
      </c>
      <c r="H26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6" s="7" t="str">
        <f aca="false">IF(INDEX(MASTER_DATABASE!$A$4:$A$1000,ROW()-3)="","",INDEX(MASTER_DATABASE!$Q$4:$Q$1000,ROW()-3)&amp;"")</f>
        <v>Depends on Department</v>
      </c>
      <c r="J266" s="7" t="str">
        <f aca="false">IF(INDEX(MASTER_DATABASE!$A$4:$A$1000,ROW()-3)="","",INDEX(MASTER_DATABASE!$J$4:$J$1000,ROW()-3)&amp;"")</f>
        <v>Depends on Portal – Confirm at Shop</v>
      </c>
      <c r="K266" s="7" t="str">
        <f aca="false">IF(INDEX(MASTER_DATABASE!$A$4:$A$1000,ROW()-3)="","",INDEX(MASTER_DATABASE!$AS$4:$AS$1000,ROW()-3)&amp;"")</f>
        <v>Government fee and processing are as per the portal.</v>
      </c>
      <c r="L266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6" s="7" t="str">
        <f aca="false">IF(INDEX(MASTER_DATABASE!$A$4:$A$1000,ROW()-3)="","",INDEX(MASTER_DATABASE!$BG$4:$BG$1000,ROW()-3)&amp;"")</f>
        <v>Check Documents</v>
      </c>
    </row>
    <row r="267" customFormat="false" ht="79.85" hidden="false" customHeight="false" outlineLevel="0" collapsed="false">
      <c r="A267" s="11" t="str">
        <f aca="false">IF(INDEX(MASTER_DATABASE!$A$4:$A$1000,ROW()-3)="","",INDEX(MASTER_DATABASE!$A$4:$A$1000,ROW()-3)&amp;"")</f>
        <v>ONL-036</v>
      </c>
      <c r="B267" s="7" t="str">
        <f aca="false">IF(INDEX(MASTER_DATABASE!$A$4:$A$1000,ROW()-3)="","",INDEX(MASTER_DATABASE!$E$4:$E$1000,ROW()-3)&amp;"")</f>
        <v>Voter ID – Correction (Form 8)</v>
      </c>
      <c r="C267" s="7" t="str">
        <f aca="false">IF(INDEX(MASTER_DATABASE!$A$4:$A$1000,ROW()-3)="","",INDEX(MASTER_DATABASE!$H$4:$H$1000,ROW()-3)&amp;"")</f>
        <v>Voter ID – Correction (Form 8) through the official portal.</v>
      </c>
      <c r="D26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7" s="7" t="str">
        <f aca="false">IF(INDEX(MASTER_DATABASE!$A$4:$A$1000,ROW()-3)="","",INDEX(MASTER_DATABASE!$O$4:$O$1000,ROW()-3)&amp;"")</f>
        <v>Any customer who can provide the listed documents.</v>
      </c>
      <c r="F267" s="7" t="str">
        <f aca="false">IF(INDEX(MASTER_DATABASE!$A$4:$A$1000,ROW()-3)="","",INDEX(MASTER_DATABASE!$M$4:$M$1000,ROW()-3)&amp;"")</f>
        <v>✓ Aadhaar Card
✓ Active Mobile Number
✓ Passport Photo
✓ Address Proof
✓ Date of Birth Proof</v>
      </c>
      <c r="G267" s="7" t="str">
        <f aca="false">IF(INDEX(MASTER_DATABASE!$A$4:$A$1000,ROW()-3)="","",INDEX(MASTER_DATABASE!$P$4:$P$1000,ROW()-3)&amp;"")</f>
        <v>Step 1 → Bring Aadhaar and the documents listed.
Step 2 → Operator opens the portal option for 'Voter ID – Correction (Form 8)'.
Step 3 → Details are filled / verified and OTP is entered.
Step 4 → Application is submitted and the acknowledgement number is given.
Step 5 → Track status or download the result.</v>
      </c>
      <c r="H26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7" s="7" t="str">
        <f aca="false">IF(INDEX(MASTER_DATABASE!$A$4:$A$1000,ROW()-3)="","",INDEX(MASTER_DATABASE!$Q$4:$Q$1000,ROW()-3)&amp;"")</f>
        <v>Depends on Department</v>
      </c>
      <c r="J267" s="7" t="str">
        <f aca="false">IF(INDEX(MASTER_DATABASE!$A$4:$A$1000,ROW()-3)="","",INDEX(MASTER_DATABASE!$J$4:$J$1000,ROW()-3)&amp;"")</f>
        <v>Depends on Portal – Confirm at Shop</v>
      </c>
      <c r="K267" s="7" t="str">
        <f aca="false">IF(INDEX(MASTER_DATABASE!$A$4:$A$1000,ROW()-3)="","",INDEX(MASTER_DATABASE!$AS$4:$AS$1000,ROW()-3)&amp;"")</f>
        <v>Government fee and processing are as per the portal.</v>
      </c>
      <c r="L26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7" s="7" t="str">
        <f aca="false">IF(INDEX(MASTER_DATABASE!$A$4:$A$1000,ROW()-3)="","",INDEX(MASTER_DATABASE!$BG$4:$BG$1000,ROW()-3)&amp;"")</f>
        <v>Check Documents</v>
      </c>
    </row>
    <row r="268" customFormat="false" ht="79.85" hidden="false" customHeight="false" outlineLevel="0" collapsed="false">
      <c r="A268" s="11" t="str">
        <f aca="false">IF(INDEX(MASTER_DATABASE!$A$4:$A$1000,ROW()-3)="","",INDEX(MASTER_DATABASE!$A$4:$A$1000,ROW()-3)&amp;"")</f>
        <v>ONL-037</v>
      </c>
      <c r="B268" s="7" t="str">
        <f aca="false">IF(INDEX(MASTER_DATABASE!$A$4:$A$1000,ROW()-3)="","",INDEX(MASTER_DATABASE!$E$4:$E$1000,ROW()-3)&amp;"")</f>
        <v>Voter ID (e-EPIC) Download</v>
      </c>
      <c r="C268" s="7" t="str">
        <f aca="false">IF(INDEX(MASTER_DATABASE!$A$4:$A$1000,ROW()-3)="","",INDEX(MASTER_DATABASE!$H$4:$H$1000,ROW()-3)&amp;"")</f>
        <v>Voter ID (e-EPIC) Download through the official portal.</v>
      </c>
      <c r="D26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8" s="7" t="str">
        <f aca="false">IF(INDEX(MASTER_DATABASE!$A$4:$A$1000,ROW()-3)="","",INDEX(MASTER_DATABASE!$O$4:$O$1000,ROW()-3)&amp;"")</f>
        <v>Any customer who can provide the listed documents.</v>
      </c>
      <c r="F268" s="7" t="str">
        <f aca="false">IF(INDEX(MASTER_DATABASE!$A$4:$A$1000,ROW()-3)="","",INDEX(MASTER_DATABASE!$M$4:$M$1000,ROW()-3)&amp;"")</f>
        <v>✓ Aadhaar Card
✓ Active Mobile Number
✓ Passport Photo
✓ Address Proof
✓ Date of Birth Proof</v>
      </c>
      <c r="G268" s="7" t="str">
        <f aca="false">IF(INDEX(MASTER_DATABASE!$A$4:$A$1000,ROW()-3)="","",INDEX(MASTER_DATABASE!$P$4:$P$1000,ROW()-3)&amp;"")</f>
        <v>Step 1 → Bring Aadhaar and the documents listed.
Step 2 → Operator opens the portal option for 'Voter ID (e-EPIC) Download'.
Step 3 → Details are filled / verified and OTP is entered.
Step 4 → Application is submitted and the acknowledgement number is given.
Step 5 → Track status or download the result.</v>
      </c>
      <c r="H26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8" s="7" t="str">
        <f aca="false">IF(INDEX(MASTER_DATABASE!$A$4:$A$1000,ROW()-3)="","",INDEX(MASTER_DATABASE!$Q$4:$Q$1000,ROW()-3)&amp;"")</f>
        <v>Depends on Department</v>
      </c>
      <c r="J268" s="7" t="str">
        <f aca="false">IF(INDEX(MASTER_DATABASE!$A$4:$A$1000,ROW()-3)="","",INDEX(MASTER_DATABASE!$J$4:$J$1000,ROW()-3)&amp;"")</f>
        <v>Depends on Portal – Confirm at Shop</v>
      </c>
      <c r="K268" s="7" t="str">
        <f aca="false">IF(INDEX(MASTER_DATABASE!$A$4:$A$1000,ROW()-3)="","",INDEX(MASTER_DATABASE!$AS$4:$AS$1000,ROW()-3)&amp;"")</f>
        <v>Government fee and processing are as per the portal.</v>
      </c>
      <c r="L26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8" s="7" t="str">
        <f aca="false">IF(INDEX(MASTER_DATABASE!$A$4:$A$1000,ROW()-3)="","",INDEX(MASTER_DATABASE!$BG$4:$BG$1000,ROW()-3)&amp;"")</f>
        <v>Check Documents</v>
      </c>
    </row>
    <row r="269" customFormat="false" ht="79.85" hidden="false" customHeight="false" outlineLevel="0" collapsed="false">
      <c r="A269" s="11" t="str">
        <f aca="false">IF(INDEX(MASTER_DATABASE!$A$4:$A$1000,ROW()-3)="","",INDEX(MASTER_DATABASE!$A$4:$A$1000,ROW()-3)&amp;"")</f>
        <v>ONL-038</v>
      </c>
      <c r="B269" s="7" t="str">
        <f aca="false">IF(INDEX(MASTER_DATABASE!$A$4:$A$1000,ROW()-3)="","",INDEX(MASTER_DATABASE!$E$4:$E$1000,ROW()-3)&amp;"")</f>
        <v>Voter List Name Search</v>
      </c>
      <c r="C269" s="7" t="str">
        <f aca="false">IF(INDEX(MASTER_DATABASE!$A$4:$A$1000,ROW()-3)="","",INDEX(MASTER_DATABASE!$H$4:$H$1000,ROW()-3)&amp;"")</f>
        <v>Voter List Name Search through the official portal.</v>
      </c>
      <c r="D26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69" s="7" t="str">
        <f aca="false">IF(INDEX(MASTER_DATABASE!$A$4:$A$1000,ROW()-3)="","",INDEX(MASTER_DATABASE!$O$4:$O$1000,ROW()-3)&amp;"")</f>
        <v>Any customer who can provide the listed documents.</v>
      </c>
      <c r="F269" s="7" t="str">
        <f aca="false">IF(INDEX(MASTER_DATABASE!$A$4:$A$1000,ROW()-3)="","",INDEX(MASTER_DATABASE!$M$4:$M$1000,ROW()-3)&amp;"")</f>
        <v>✓ Aadhaar Card
✓ Active Mobile Number</v>
      </c>
      <c r="G269" s="7" t="str">
        <f aca="false">IF(INDEX(MASTER_DATABASE!$A$4:$A$1000,ROW()-3)="","",INDEX(MASTER_DATABASE!$P$4:$P$1000,ROW()-3)&amp;"")</f>
        <v>Step 1 → Bring Aadhaar and the documents listed.
Step 2 → Operator opens the portal option for 'Voter List Name Search'.
Step 3 → Details are filled / verified and OTP is entered.
Step 4 → Application is submitted and the acknowledgement number is given.
Step 5 → Track status or download the result.</v>
      </c>
      <c r="H26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69" s="7" t="str">
        <f aca="false">IF(INDEX(MASTER_DATABASE!$A$4:$A$1000,ROW()-3)="","",INDEX(MASTER_DATABASE!$Q$4:$Q$1000,ROW()-3)&amp;"")</f>
        <v>Depends on Department</v>
      </c>
      <c r="J269" s="7" t="str">
        <f aca="false">IF(INDEX(MASTER_DATABASE!$A$4:$A$1000,ROW()-3)="","",INDEX(MASTER_DATABASE!$J$4:$J$1000,ROW()-3)&amp;"")</f>
        <v>Depends on Portal – Confirm at Shop</v>
      </c>
      <c r="K269" s="7" t="str">
        <f aca="false">IF(INDEX(MASTER_DATABASE!$A$4:$A$1000,ROW()-3)="","",INDEX(MASTER_DATABASE!$AS$4:$AS$1000,ROW()-3)&amp;"")</f>
        <v>Government fee and processing are as per the portal.</v>
      </c>
      <c r="L26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6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69" s="7" t="str">
        <f aca="false">IF(INDEX(MASTER_DATABASE!$A$4:$A$1000,ROW()-3)="","",INDEX(MASTER_DATABASE!$BG$4:$BG$1000,ROW()-3)&amp;"")</f>
        <v>Check Documents</v>
      </c>
    </row>
    <row r="270" customFormat="false" ht="79.85" hidden="false" customHeight="false" outlineLevel="0" collapsed="false">
      <c r="A270" s="11" t="str">
        <f aca="false">IF(INDEX(MASTER_DATABASE!$A$4:$A$1000,ROW()-3)="","",INDEX(MASTER_DATABASE!$A$4:$A$1000,ROW()-3)&amp;"")</f>
        <v>ONL-039</v>
      </c>
      <c r="B270" s="7" t="str">
        <f aca="false">IF(INDEX(MASTER_DATABASE!$A$4:$A$1000,ROW()-3)="","",INDEX(MASTER_DATABASE!$E$4:$E$1000,ROW()-3)&amp;"")</f>
        <v>Voter ID–Aadhaar Link (Form 6B)</v>
      </c>
      <c r="C270" s="7" t="str">
        <f aca="false">IF(INDEX(MASTER_DATABASE!$A$4:$A$1000,ROW()-3)="","",INDEX(MASTER_DATABASE!$H$4:$H$1000,ROW()-3)&amp;"")</f>
        <v>Voter ID–Aadhaar Link (Form 6B) through the official portal.</v>
      </c>
      <c r="D27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0" s="7" t="str">
        <f aca="false">IF(INDEX(MASTER_DATABASE!$A$4:$A$1000,ROW()-3)="","",INDEX(MASTER_DATABASE!$O$4:$O$1000,ROW()-3)&amp;"")</f>
        <v>Any customer who can provide the listed documents.</v>
      </c>
      <c r="F270" s="7" t="str">
        <f aca="false">IF(INDEX(MASTER_DATABASE!$A$4:$A$1000,ROW()-3)="","",INDEX(MASTER_DATABASE!$M$4:$M$1000,ROW()-3)&amp;"")</f>
        <v>✓ Aadhaar Card
✓ Active Mobile Number
✓ Passport Photo
✓ Address Proof
✓ Date of Birth Proof</v>
      </c>
      <c r="G270" s="7" t="str">
        <f aca="false">IF(INDEX(MASTER_DATABASE!$A$4:$A$1000,ROW()-3)="","",INDEX(MASTER_DATABASE!$P$4:$P$1000,ROW()-3)&amp;"")</f>
        <v>Step 1 → Bring Aadhaar and the documents listed.
Step 2 → Operator opens the portal option for 'Voter ID–Aadhaar Link (Form 6B)'.
Step 3 → Details are filled / verified and OTP is entered.
Step 4 → Application is submitted and the acknowledgement number is given.
Step 5 → Track status or download the result.</v>
      </c>
      <c r="H27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0" s="7" t="str">
        <f aca="false">IF(INDEX(MASTER_DATABASE!$A$4:$A$1000,ROW()-3)="","",INDEX(MASTER_DATABASE!$Q$4:$Q$1000,ROW()-3)&amp;"")</f>
        <v>Depends on Department</v>
      </c>
      <c r="J270" s="7" t="str">
        <f aca="false">IF(INDEX(MASTER_DATABASE!$A$4:$A$1000,ROW()-3)="","",INDEX(MASTER_DATABASE!$J$4:$J$1000,ROW()-3)&amp;"")</f>
        <v>Depends on Portal – Confirm at Shop</v>
      </c>
      <c r="K270" s="7" t="str">
        <f aca="false">IF(INDEX(MASTER_DATABASE!$A$4:$A$1000,ROW()-3)="","",INDEX(MASTER_DATABASE!$AS$4:$AS$1000,ROW()-3)&amp;"")</f>
        <v>Government fee and processing are as per the portal.</v>
      </c>
      <c r="L27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7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0" s="7" t="str">
        <f aca="false">IF(INDEX(MASTER_DATABASE!$A$4:$A$1000,ROW()-3)="","",INDEX(MASTER_DATABASE!$BG$4:$BG$1000,ROW()-3)&amp;"")</f>
        <v>Check Documents</v>
      </c>
    </row>
    <row r="271" customFormat="false" ht="57.45" hidden="false" customHeight="false" outlineLevel="0" collapsed="false">
      <c r="A271" s="11" t="str">
        <f aca="false">IF(INDEX(MASTER_DATABASE!$A$4:$A$1000,ROW()-3)="","",INDEX(MASTER_DATABASE!$A$4:$A$1000,ROW()-3)&amp;"")</f>
        <v>RCH-001</v>
      </c>
      <c r="B271" s="7" t="str">
        <f aca="false">IF(INDEX(MASTER_DATABASE!$A$4:$A$1000,ROW()-3)="","",INDEX(MASTER_DATABASE!$E$4:$E$1000,ROW()-3)&amp;"")</f>
        <v>Mobile Recharge (Prepaid)</v>
      </c>
      <c r="C271" s="7" t="str">
        <f aca="false">IF(INDEX(MASTER_DATABASE!$A$4:$A$1000,ROW()-3)="","",INDEX(MASTER_DATABASE!$H$4:$H$1000,ROW()-3)&amp;"")</f>
        <v>Mobile Recharge (Prepaid) through our recharge / BBPS desk.</v>
      </c>
      <c r="D27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1" s="7" t="str">
        <f aca="false">IF(INDEX(MASTER_DATABASE!$A$4:$A$1000,ROW()-3)="","",INDEX(MASTER_DATABASE!$O$4:$O$1000,ROW()-3)&amp;"")</f>
        <v>Any customer.</v>
      </c>
      <c r="F271" s="7" t="str">
        <f aca="false">IF(INDEX(MASTER_DATABASE!$A$4:$A$1000,ROW()-3)="","",INDEX(MASTER_DATABASE!$M$4:$M$1000,ROW()-3)&amp;"")</f>
        <v>✓ Consumer / Account Number
✓ Cash Amount</v>
      </c>
      <c r="G271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'Mobile Recharge (Prepaid)'.
Step 3 → You confirm the biller name and amount.
Step 4 → Pay and collect the receipt / SMS.</v>
      </c>
      <c r="H27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1" s="7" t="str">
        <f aca="false">IF(INDEX(MASTER_DATABASE!$A$4:$A$1000,ROW()-3)="","",INDEX(MASTER_DATABASE!$Q$4:$Q$1000,ROW()-3)&amp;"")</f>
        <v>5–10 Minutes</v>
      </c>
      <c r="J271" s="7" t="str">
        <f aca="false">IF(INDEX(MASTER_DATABASE!$A$4:$A$1000,ROW()-3)="","",INDEX(MASTER_DATABASE!$J$4:$J$1000,ROW()-3)&amp;"")</f>
        <v>Available</v>
      </c>
      <c r="K271" s="7" t="str">
        <f aca="false">IF(INDEX(MASTER_DATABASE!$A$4:$A$1000,ROW()-3)="","",INDEX(MASTER_DATABASE!$AS$4:$AS$1000,ROW()-3)&amp;"")</f>
        <v/>
      </c>
      <c r="L271" s="7" t="str">
        <f aca="false">IF(INDEX(MASTER_DATABASE!$A$4:$A$1000,ROW()-3)="","",INDEX(MASTER_DATABASE!$AR$4:$AR$1000,ROW()-3)&amp;"")</f>
        <v>Q1: Is any extra charge taken?
A1: A service charge may apply. Ask at the counter.</v>
      </c>
      <c r="M27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1" s="7" t="str">
        <f aca="false">IF(INDEX(MASTER_DATABASE!$A$4:$A$1000,ROW()-3)="","",INDEX(MASTER_DATABASE!$BG$4:$BG$1000,ROW()-3)&amp;"")</f>
        <v>Visit Shop</v>
      </c>
    </row>
    <row r="272" customFormat="false" ht="57.45" hidden="false" customHeight="false" outlineLevel="0" collapsed="false">
      <c r="A272" s="11" t="str">
        <f aca="false">IF(INDEX(MASTER_DATABASE!$A$4:$A$1000,ROW()-3)="","",INDEX(MASTER_DATABASE!$A$4:$A$1000,ROW()-3)&amp;"")</f>
        <v>RCH-002</v>
      </c>
      <c r="B272" s="7" t="str">
        <f aca="false">IF(INDEX(MASTER_DATABASE!$A$4:$A$1000,ROW()-3)="","",INDEX(MASTER_DATABASE!$E$4:$E$1000,ROW()-3)&amp;"")</f>
        <v>DTH Recharge</v>
      </c>
      <c r="C272" s="7" t="str">
        <f aca="false">IF(INDEX(MASTER_DATABASE!$A$4:$A$1000,ROW()-3)="","",INDEX(MASTER_DATABASE!$H$4:$H$1000,ROW()-3)&amp;"")</f>
        <v>DTH Recharge through our recharge / BBPS desk.</v>
      </c>
      <c r="D27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2" s="7" t="str">
        <f aca="false">IF(INDEX(MASTER_DATABASE!$A$4:$A$1000,ROW()-3)="","",INDEX(MASTER_DATABASE!$O$4:$O$1000,ROW()-3)&amp;"")</f>
        <v>Any customer.</v>
      </c>
      <c r="F272" s="7" t="str">
        <f aca="false">IF(INDEX(MASTER_DATABASE!$A$4:$A$1000,ROW()-3)="","",INDEX(MASTER_DATABASE!$M$4:$M$1000,ROW()-3)&amp;"")</f>
        <v>✓ Consumer / Account Number
✓ Cash Amount</v>
      </c>
      <c r="G272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'DTH Recharge'.
Step 3 → You confirm the biller name and amount.
Step 4 → Pay and collect the receipt / SMS.</v>
      </c>
      <c r="H27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2" s="7" t="str">
        <f aca="false">IF(INDEX(MASTER_DATABASE!$A$4:$A$1000,ROW()-3)="","",INDEX(MASTER_DATABASE!$Q$4:$Q$1000,ROW()-3)&amp;"")</f>
        <v>5–10 Minutes</v>
      </c>
      <c r="J272" s="7" t="str">
        <f aca="false">IF(INDEX(MASTER_DATABASE!$A$4:$A$1000,ROW()-3)="","",INDEX(MASTER_DATABASE!$J$4:$J$1000,ROW()-3)&amp;"")</f>
        <v>Available</v>
      </c>
      <c r="K272" s="7" t="str">
        <f aca="false">IF(INDEX(MASTER_DATABASE!$A$4:$A$1000,ROW()-3)="","",INDEX(MASTER_DATABASE!$AS$4:$AS$1000,ROW()-3)&amp;"")</f>
        <v/>
      </c>
      <c r="L272" s="7" t="str">
        <f aca="false">IF(INDEX(MASTER_DATABASE!$A$4:$A$1000,ROW()-3)="","",INDEX(MASTER_DATABASE!$AR$4:$AR$1000,ROW()-3)&amp;"")</f>
        <v>Q1: Is any extra charge taken?
A1: A service charge may apply. Ask at the counter.</v>
      </c>
      <c r="M27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2" s="7" t="str">
        <f aca="false">IF(INDEX(MASTER_DATABASE!$A$4:$A$1000,ROW()-3)="","",INDEX(MASTER_DATABASE!$BG$4:$BG$1000,ROW()-3)&amp;"")</f>
        <v>Visit Shop</v>
      </c>
    </row>
    <row r="273" customFormat="false" ht="57.45" hidden="false" customHeight="false" outlineLevel="0" collapsed="false">
      <c r="A273" s="11" t="str">
        <f aca="false">IF(INDEX(MASTER_DATABASE!$A$4:$A$1000,ROW()-3)="","",INDEX(MASTER_DATABASE!$A$4:$A$1000,ROW()-3)&amp;"")</f>
        <v>RCH-003</v>
      </c>
      <c r="B273" s="7" t="str">
        <f aca="false">IF(INDEX(MASTER_DATABASE!$A$4:$A$1000,ROW()-3)="","",INDEX(MASTER_DATABASE!$E$4:$E$1000,ROW()-3)&amp;"")</f>
        <v>FASTag Recharge</v>
      </c>
      <c r="C273" s="7" t="str">
        <f aca="false">IF(INDEX(MASTER_DATABASE!$A$4:$A$1000,ROW()-3)="","",INDEX(MASTER_DATABASE!$H$4:$H$1000,ROW()-3)&amp;"")</f>
        <v>FASTag Recharge through our recharge / BBPS desk.</v>
      </c>
      <c r="D27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3" s="7" t="str">
        <f aca="false">IF(INDEX(MASTER_DATABASE!$A$4:$A$1000,ROW()-3)="","",INDEX(MASTER_DATABASE!$O$4:$O$1000,ROW()-3)&amp;"")</f>
        <v>Any customer.</v>
      </c>
      <c r="F273" s="7" t="str">
        <f aca="false">IF(INDEX(MASTER_DATABASE!$A$4:$A$1000,ROW()-3)="","",INDEX(MASTER_DATABASE!$M$4:$M$1000,ROW()-3)&amp;"")</f>
        <v>✓ Consumer / Account Number
✓ Cash Amount</v>
      </c>
      <c r="G273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'FASTag Recharge'.
Step 3 → You confirm the biller name and amount.
Step 4 → Pay and collect the receipt / SMS.</v>
      </c>
      <c r="H27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3" s="7" t="str">
        <f aca="false">IF(INDEX(MASTER_DATABASE!$A$4:$A$1000,ROW()-3)="","",INDEX(MASTER_DATABASE!$Q$4:$Q$1000,ROW()-3)&amp;"")</f>
        <v>5–10 Minutes</v>
      </c>
      <c r="J273" s="7" t="str">
        <f aca="false">IF(INDEX(MASTER_DATABASE!$A$4:$A$1000,ROW()-3)="","",INDEX(MASTER_DATABASE!$J$4:$J$1000,ROW()-3)&amp;"")</f>
        <v>Please Confirm at Shop</v>
      </c>
      <c r="K273" s="7" t="str">
        <f aca="false">IF(INDEX(MASTER_DATABASE!$A$4:$A$1000,ROW()-3)="","",INDEX(MASTER_DATABASE!$AS$4:$AS$1000,ROW()-3)&amp;"")</f>
        <v>Please confirm availability with the shop before visiting.</v>
      </c>
      <c r="L273" s="7" t="str">
        <f aca="false">IF(INDEX(MASTER_DATABASE!$A$4:$A$1000,ROW()-3)="","",INDEX(MASTER_DATABASE!$AR$4:$AR$1000,ROW()-3)&amp;"")</f>
        <v>Q1: Is any extra charge taken?
A1: A service charge may apply. Ask at the counter.</v>
      </c>
      <c r="M27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3" s="7" t="str">
        <f aca="false">IF(INDEX(MASTER_DATABASE!$A$4:$A$1000,ROW()-3)="","",INDEX(MASTER_DATABASE!$BG$4:$BG$1000,ROW()-3)&amp;"")</f>
        <v>Visit Shop</v>
      </c>
    </row>
    <row r="274" customFormat="false" ht="57.45" hidden="false" customHeight="false" outlineLevel="0" collapsed="false">
      <c r="A274" s="11" t="str">
        <f aca="false">IF(INDEX(MASTER_DATABASE!$A$4:$A$1000,ROW()-3)="","",INDEX(MASTER_DATABASE!$A$4:$A$1000,ROW()-3)&amp;"")</f>
        <v>RCH-004</v>
      </c>
      <c r="B274" s="7" t="str">
        <f aca="false">IF(INDEX(MASTER_DATABASE!$A$4:$A$1000,ROW()-3)="","",INDEX(MASTER_DATABASE!$E$4:$E$1000,ROW()-3)&amp;"")</f>
        <v>Mobile Postpaid Bill Payment</v>
      </c>
      <c r="C274" s="7" t="str">
        <f aca="false">IF(INDEX(MASTER_DATABASE!$A$4:$A$1000,ROW()-3)="","",INDEX(MASTER_DATABASE!$H$4:$H$1000,ROW()-3)&amp;"")</f>
        <v>Mobile Postpaid Bill Payment through our recharge / BBPS desk.</v>
      </c>
      <c r="D27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4" s="7" t="str">
        <f aca="false">IF(INDEX(MASTER_DATABASE!$A$4:$A$1000,ROW()-3)="","",INDEX(MASTER_DATABASE!$O$4:$O$1000,ROW()-3)&amp;"")</f>
        <v>Any customer.</v>
      </c>
      <c r="F274" s="7" t="str">
        <f aca="false">IF(INDEX(MASTER_DATABASE!$A$4:$A$1000,ROW()-3)="","",INDEX(MASTER_DATABASE!$M$4:$M$1000,ROW()-3)&amp;"")</f>
        <v>✓ Consumer / Account Number
✓ Cash Amount</v>
      </c>
      <c r="G274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'Mobile Postpaid Bill Payment'.
Step 3 → You confirm the biller name and amount.
Step 4 → Pay and collect the receipt / SMS.</v>
      </c>
      <c r="H27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4" s="7" t="str">
        <f aca="false">IF(INDEX(MASTER_DATABASE!$A$4:$A$1000,ROW()-3)="","",INDEX(MASTER_DATABASE!$Q$4:$Q$1000,ROW()-3)&amp;"")</f>
        <v>5–10 Minutes</v>
      </c>
      <c r="J274" s="7" t="str">
        <f aca="false">IF(INDEX(MASTER_DATABASE!$A$4:$A$1000,ROW()-3)="","",INDEX(MASTER_DATABASE!$J$4:$J$1000,ROW()-3)&amp;"")</f>
        <v>Please Confirm at Shop</v>
      </c>
      <c r="K274" s="7" t="str">
        <f aca="false">IF(INDEX(MASTER_DATABASE!$A$4:$A$1000,ROW()-3)="","",INDEX(MASTER_DATABASE!$AS$4:$AS$1000,ROW()-3)&amp;"")</f>
        <v>Please confirm availability with the shop before visiting.</v>
      </c>
      <c r="L274" s="7" t="str">
        <f aca="false">IF(INDEX(MASTER_DATABASE!$A$4:$A$1000,ROW()-3)="","",INDEX(MASTER_DATABASE!$AR$4:$AR$1000,ROW()-3)&amp;"")</f>
        <v>Q1: Is any extra charge taken?
A1: A service charge may apply. Ask at the counter.</v>
      </c>
      <c r="M27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4" s="7" t="str">
        <f aca="false">IF(INDEX(MASTER_DATABASE!$A$4:$A$1000,ROW()-3)="","",INDEX(MASTER_DATABASE!$BG$4:$BG$1000,ROW()-3)&amp;"")</f>
        <v>Visit Shop</v>
      </c>
    </row>
    <row r="275" customFormat="false" ht="57.45" hidden="false" customHeight="false" outlineLevel="0" collapsed="false">
      <c r="A275" s="11" t="str">
        <f aca="false">IF(INDEX(MASTER_DATABASE!$A$4:$A$1000,ROW()-3)="","",INDEX(MASTER_DATABASE!$A$4:$A$1000,ROW()-3)&amp;"")</f>
        <v>RCH-005</v>
      </c>
      <c r="B275" s="7" t="str">
        <f aca="false">IF(INDEX(MASTER_DATABASE!$A$4:$A$1000,ROW()-3)="","",INDEX(MASTER_DATABASE!$E$4:$E$1000,ROW()-3)&amp;"")</f>
        <v>Electricity Bill Payment</v>
      </c>
      <c r="C275" s="7" t="str">
        <f aca="false">IF(INDEX(MASTER_DATABASE!$A$4:$A$1000,ROW()-3)="","",INDEX(MASTER_DATABASE!$H$4:$H$1000,ROW()-3)&amp;"")</f>
        <v>Electricity Bill Payment through our recharge / BBPS desk.</v>
      </c>
      <c r="D27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5" s="7" t="str">
        <f aca="false">IF(INDEX(MASTER_DATABASE!$A$4:$A$1000,ROW()-3)="","",INDEX(MASTER_DATABASE!$O$4:$O$1000,ROW()-3)&amp;"")</f>
        <v>Any customer.</v>
      </c>
      <c r="F275" s="7" t="str">
        <f aca="false">IF(INDEX(MASTER_DATABASE!$A$4:$A$1000,ROW()-3)="","",INDEX(MASTER_DATABASE!$M$4:$M$1000,ROW()-3)&amp;"")</f>
        <v>✓ Consumer / Account Number
✓ Cash Amount</v>
      </c>
      <c r="G275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'Electricity Bill Payment'.
Step 3 → You confirm the biller name and amount.
Step 4 → Pay and collect the receipt / SMS.</v>
      </c>
      <c r="H27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5" s="7" t="str">
        <f aca="false">IF(INDEX(MASTER_DATABASE!$A$4:$A$1000,ROW()-3)="","",INDEX(MASTER_DATABASE!$Q$4:$Q$1000,ROW()-3)&amp;"")</f>
        <v>5–10 Minutes</v>
      </c>
      <c r="J275" s="7" t="str">
        <f aca="false">IF(INDEX(MASTER_DATABASE!$A$4:$A$1000,ROW()-3)="","",INDEX(MASTER_DATABASE!$J$4:$J$1000,ROW()-3)&amp;"")</f>
        <v>Please Confirm at Shop</v>
      </c>
      <c r="K275" s="7" t="str">
        <f aca="false">IF(INDEX(MASTER_DATABASE!$A$4:$A$1000,ROW()-3)="","",INDEX(MASTER_DATABASE!$AS$4:$AS$1000,ROW()-3)&amp;"")</f>
        <v>Please confirm availability with the shop before visiting.</v>
      </c>
      <c r="L275" s="7" t="str">
        <f aca="false">IF(INDEX(MASTER_DATABASE!$A$4:$A$1000,ROW()-3)="","",INDEX(MASTER_DATABASE!$AR$4:$AR$1000,ROW()-3)&amp;"")</f>
        <v>Q1: Is any extra charge taken?
A1: A service charge may apply. Ask at the counter.</v>
      </c>
      <c r="M27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5" s="7" t="str">
        <f aca="false">IF(INDEX(MASTER_DATABASE!$A$4:$A$1000,ROW()-3)="","",INDEX(MASTER_DATABASE!$BG$4:$BG$1000,ROW()-3)&amp;"")</f>
        <v>Visit Shop</v>
      </c>
    </row>
    <row r="276" customFormat="false" ht="57.45" hidden="false" customHeight="false" outlineLevel="0" collapsed="false">
      <c r="A276" s="11" t="str">
        <f aca="false">IF(INDEX(MASTER_DATABASE!$A$4:$A$1000,ROW()-3)="","",INDEX(MASTER_DATABASE!$A$4:$A$1000,ROW()-3)&amp;"")</f>
        <v>RCH-006</v>
      </c>
      <c r="B276" s="7" t="str">
        <f aca="false">IF(INDEX(MASTER_DATABASE!$A$4:$A$1000,ROW()-3)="","",INDEX(MASTER_DATABASE!$E$4:$E$1000,ROW()-3)&amp;"")</f>
        <v>Water Bill Payment</v>
      </c>
      <c r="C276" s="7" t="str">
        <f aca="false">IF(INDEX(MASTER_DATABASE!$A$4:$A$1000,ROW()-3)="","",INDEX(MASTER_DATABASE!$H$4:$H$1000,ROW()-3)&amp;"")</f>
        <v>Water Bill Payment through our recharge / BBPS desk.</v>
      </c>
      <c r="D27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6" s="7" t="str">
        <f aca="false">IF(INDEX(MASTER_DATABASE!$A$4:$A$1000,ROW()-3)="","",INDEX(MASTER_DATABASE!$O$4:$O$1000,ROW()-3)&amp;"")</f>
        <v>Any customer.</v>
      </c>
      <c r="F276" s="7" t="str">
        <f aca="false">IF(INDEX(MASTER_DATABASE!$A$4:$A$1000,ROW()-3)="","",INDEX(MASTER_DATABASE!$M$4:$M$1000,ROW()-3)&amp;"")</f>
        <v>✓ Consumer / Account Number
✓ Cash Amount</v>
      </c>
      <c r="G276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'Water Bill Payment'.
Step 3 → You confirm the biller name and amount.
Step 4 → Pay and collect the receipt / SMS.</v>
      </c>
      <c r="H27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6" s="7" t="str">
        <f aca="false">IF(INDEX(MASTER_DATABASE!$A$4:$A$1000,ROW()-3)="","",INDEX(MASTER_DATABASE!$Q$4:$Q$1000,ROW()-3)&amp;"")</f>
        <v>5–10 Minutes</v>
      </c>
      <c r="J276" s="7" t="str">
        <f aca="false">IF(INDEX(MASTER_DATABASE!$A$4:$A$1000,ROW()-3)="","",INDEX(MASTER_DATABASE!$J$4:$J$1000,ROW()-3)&amp;"")</f>
        <v>Please Confirm at Shop</v>
      </c>
      <c r="K276" s="7" t="str">
        <f aca="false">IF(INDEX(MASTER_DATABASE!$A$4:$A$1000,ROW()-3)="","",INDEX(MASTER_DATABASE!$AS$4:$AS$1000,ROW()-3)&amp;"")</f>
        <v>Please confirm availability with the shop before visiting.</v>
      </c>
      <c r="L276" s="7" t="str">
        <f aca="false">IF(INDEX(MASTER_DATABASE!$A$4:$A$1000,ROW()-3)="","",INDEX(MASTER_DATABASE!$AR$4:$AR$1000,ROW()-3)&amp;"")</f>
        <v>Q1: Is any extra charge taken?
A1: A service charge may apply. Ask at the counter.</v>
      </c>
      <c r="M27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6" s="7" t="str">
        <f aca="false">IF(INDEX(MASTER_DATABASE!$A$4:$A$1000,ROW()-3)="","",INDEX(MASTER_DATABASE!$BG$4:$BG$1000,ROW()-3)&amp;"")</f>
        <v>Visit Shop</v>
      </c>
    </row>
    <row r="277" customFormat="false" ht="57.45" hidden="false" customHeight="false" outlineLevel="0" collapsed="false">
      <c r="A277" s="11" t="str">
        <f aca="false">IF(INDEX(MASTER_DATABASE!$A$4:$A$1000,ROW()-3)="","",INDEX(MASTER_DATABASE!$A$4:$A$1000,ROW()-3)&amp;"")</f>
        <v>RCH-007</v>
      </c>
      <c r="B277" s="7" t="str">
        <f aca="false">IF(INDEX(MASTER_DATABASE!$A$4:$A$1000,ROW()-3)="","",INDEX(MASTER_DATABASE!$E$4:$E$1000,ROW()-3)&amp;"")</f>
        <v>Gas (Piped / PNG) Bill Payment</v>
      </c>
      <c r="C277" s="7" t="str">
        <f aca="false">IF(INDEX(MASTER_DATABASE!$A$4:$A$1000,ROW()-3)="","",INDEX(MASTER_DATABASE!$H$4:$H$1000,ROW()-3)&amp;"")</f>
        <v>Gas (Piped / PNG) Bill Payment through our recharge / BBPS desk.</v>
      </c>
      <c r="D27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7" s="7" t="str">
        <f aca="false">IF(INDEX(MASTER_DATABASE!$A$4:$A$1000,ROW()-3)="","",INDEX(MASTER_DATABASE!$O$4:$O$1000,ROW()-3)&amp;"")</f>
        <v>Any customer.</v>
      </c>
      <c r="F277" s="7" t="str">
        <f aca="false">IF(INDEX(MASTER_DATABASE!$A$4:$A$1000,ROW()-3)="","",INDEX(MASTER_DATABASE!$M$4:$M$1000,ROW()-3)&amp;"")</f>
        <v>✓ Consumer / Account Number
✓ Cash Amount</v>
      </c>
      <c r="G277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'Gas (Piped / PNG) Bill Payment'.
Step 3 → You confirm the biller name and amount.
Step 4 → Pay and collect the receipt / SMS.</v>
      </c>
      <c r="H27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7" s="7" t="str">
        <f aca="false">IF(INDEX(MASTER_DATABASE!$A$4:$A$1000,ROW()-3)="","",INDEX(MASTER_DATABASE!$Q$4:$Q$1000,ROW()-3)&amp;"")</f>
        <v>5–10 Minutes</v>
      </c>
      <c r="J277" s="7" t="str">
        <f aca="false">IF(INDEX(MASTER_DATABASE!$A$4:$A$1000,ROW()-3)="","",INDEX(MASTER_DATABASE!$J$4:$J$1000,ROW()-3)&amp;"")</f>
        <v>Please Confirm at Shop</v>
      </c>
      <c r="K277" s="7" t="str">
        <f aca="false">IF(INDEX(MASTER_DATABASE!$A$4:$A$1000,ROW()-3)="","",INDEX(MASTER_DATABASE!$AS$4:$AS$1000,ROW()-3)&amp;"")</f>
        <v>Please confirm availability with the shop before visiting.</v>
      </c>
      <c r="L277" s="7" t="str">
        <f aca="false">IF(INDEX(MASTER_DATABASE!$A$4:$A$1000,ROW()-3)="","",INDEX(MASTER_DATABASE!$AR$4:$AR$1000,ROW()-3)&amp;"")</f>
        <v>Q1: Is any extra charge taken?
A1: A service charge may apply. Ask at the counter.</v>
      </c>
      <c r="M27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7" s="7" t="str">
        <f aca="false">IF(INDEX(MASTER_DATABASE!$A$4:$A$1000,ROW()-3)="","",INDEX(MASTER_DATABASE!$BG$4:$BG$1000,ROW()-3)&amp;"")</f>
        <v>Visit Shop</v>
      </c>
    </row>
    <row r="278" customFormat="false" ht="57.45" hidden="false" customHeight="false" outlineLevel="0" collapsed="false">
      <c r="A278" s="11" t="str">
        <f aca="false">IF(INDEX(MASTER_DATABASE!$A$4:$A$1000,ROW()-3)="","",INDEX(MASTER_DATABASE!$A$4:$A$1000,ROW()-3)&amp;"")</f>
        <v>RCH-008</v>
      </c>
      <c r="B278" s="7" t="str">
        <f aca="false">IF(INDEX(MASTER_DATABASE!$A$4:$A$1000,ROW()-3)="","",INDEX(MASTER_DATABASE!$E$4:$E$1000,ROW()-3)&amp;"")</f>
        <v>LPG Cylinder Booking / Payment</v>
      </c>
      <c r="C278" s="7" t="str">
        <f aca="false">IF(INDEX(MASTER_DATABASE!$A$4:$A$1000,ROW()-3)="","",INDEX(MASTER_DATABASE!$H$4:$H$1000,ROW()-3)&amp;"")</f>
        <v>LPG Cylinder Booking / Payment through our recharge / BBPS desk.</v>
      </c>
      <c r="D27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8" s="7" t="str">
        <f aca="false">IF(INDEX(MASTER_DATABASE!$A$4:$A$1000,ROW()-3)="","",INDEX(MASTER_DATABASE!$O$4:$O$1000,ROW()-3)&amp;"")</f>
        <v>Any customer.</v>
      </c>
      <c r="F278" s="7" t="str">
        <f aca="false">IF(INDEX(MASTER_DATABASE!$A$4:$A$1000,ROW()-3)="","",INDEX(MASTER_DATABASE!$M$4:$M$1000,ROW()-3)&amp;"")</f>
        <v>✓ Consumer / Account Number
✓ Cash Amount</v>
      </c>
      <c r="G278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'LPG Cylinder Booking / Payment'.
Step 3 → You confirm the biller name and amount.
Step 4 → Pay and collect the receipt / SMS.</v>
      </c>
      <c r="H27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8" s="7" t="str">
        <f aca="false">IF(INDEX(MASTER_DATABASE!$A$4:$A$1000,ROW()-3)="","",INDEX(MASTER_DATABASE!$Q$4:$Q$1000,ROW()-3)&amp;"")</f>
        <v>5–10 Minutes</v>
      </c>
      <c r="J278" s="7" t="str">
        <f aca="false">IF(INDEX(MASTER_DATABASE!$A$4:$A$1000,ROW()-3)="","",INDEX(MASTER_DATABASE!$J$4:$J$1000,ROW()-3)&amp;"")</f>
        <v>Please Confirm at Shop</v>
      </c>
      <c r="K278" s="7" t="str">
        <f aca="false">IF(INDEX(MASTER_DATABASE!$A$4:$A$1000,ROW()-3)="","",INDEX(MASTER_DATABASE!$AS$4:$AS$1000,ROW()-3)&amp;"")</f>
        <v>Please confirm availability with the shop before visiting.</v>
      </c>
      <c r="L278" s="7" t="str">
        <f aca="false">IF(INDEX(MASTER_DATABASE!$A$4:$A$1000,ROW()-3)="","",INDEX(MASTER_DATABASE!$AR$4:$AR$1000,ROW()-3)&amp;"")</f>
        <v>Q1: Is any extra charge taken?
A1: A service charge may apply. Ask at the counter.</v>
      </c>
      <c r="M27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8" s="7" t="str">
        <f aca="false">IF(INDEX(MASTER_DATABASE!$A$4:$A$1000,ROW()-3)="","",INDEX(MASTER_DATABASE!$BG$4:$BG$1000,ROW()-3)&amp;"")</f>
        <v>Visit Shop</v>
      </c>
    </row>
    <row r="279" customFormat="false" ht="57.45" hidden="false" customHeight="false" outlineLevel="0" collapsed="false">
      <c r="A279" s="11" t="str">
        <f aca="false">IF(INDEX(MASTER_DATABASE!$A$4:$A$1000,ROW()-3)="","",INDEX(MASTER_DATABASE!$A$4:$A$1000,ROW()-3)&amp;"")</f>
        <v>RCH-009</v>
      </c>
      <c r="B279" s="7" t="str">
        <f aca="false">IF(INDEX(MASTER_DATABASE!$A$4:$A$1000,ROW()-3)="","",INDEX(MASTER_DATABASE!$E$4:$E$1000,ROW()-3)&amp;"")</f>
        <v>Broadband / Internet Bill Payment</v>
      </c>
      <c r="C279" s="7" t="str">
        <f aca="false">IF(INDEX(MASTER_DATABASE!$A$4:$A$1000,ROW()-3)="","",INDEX(MASTER_DATABASE!$H$4:$H$1000,ROW()-3)&amp;"")</f>
        <v>Broadband / Internet Bill Payment through our recharge / BBPS desk.</v>
      </c>
      <c r="D27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79" s="7" t="str">
        <f aca="false">IF(INDEX(MASTER_DATABASE!$A$4:$A$1000,ROW()-3)="","",INDEX(MASTER_DATABASE!$O$4:$O$1000,ROW()-3)&amp;"")</f>
        <v>Any customer.</v>
      </c>
      <c r="F279" s="7" t="str">
        <f aca="false">IF(INDEX(MASTER_DATABASE!$A$4:$A$1000,ROW()-3)="","",INDEX(MASTER_DATABASE!$M$4:$M$1000,ROW()-3)&amp;"")</f>
        <v>✓ Consumer / Account Number
✓ Cash Amount</v>
      </c>
      <c r="G279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'Broadband / Internet Bill Payment'.
Step 3 → You confirm the biller name and amount.
Step 4 → Pay and collect the receipt / SMS.</v>
      </c>
      <c r="H27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79" s="7" t="str">
        <f aca="false">IF(INDEX(MASTER_DATABASE!$A$4:$A$1000,ROW()-3)="","",INDEX(MASTER_DATABASE!$Q$4:$Q$1000,ROW()-3)&amp;"")</f>
        <v>5–10 Minutes</v>
      </c>
      <c r="J279" s="7" t="str">
        <f aca="false">IF(INDEX(MASTER_DATABASE!$A$4:$A$1000,ROW()-3)="","",INDEX(MASTER_DATABASE!$J$4:$J$1000,ROW()-3)&amp;"")</f>
        <v>Please Confirm at Shop</v>
      </c>
      <c r="K279" s="7" t="str">
        <f aca="false">IF(INDEX(MASTER_DATABASE!$A$4:$A$1000,ROW()-3)="","",INDEX(MASTER_DATABASE!$AS$4:$AS$1000,ROW()-3)&amp;"")</f>
        <v>Please confirm availability with the shop before visiting.</v>
      </c>
      <c r="L279" s="7" t="str">
        <f aca="false">IF(INDEX(MASTER_DATABASE!$A$4:$A$1000,ROW()-3)="","",INDEX(MASTER_DATABASE!$AR$4:$AR$1000,ROW()-3)&amp;"")</f>
        <v>Q1: Is any extra charge taken?
A1: A service charge may apply. Ask at the counter.</v>
      </c>
      <c r="M27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79" s="7" t="str">
        <f aca="false">IF(INDEX(MASTER_DATABASE!$A$4:$A$1000,ROW()-3)="","",INDEX(MASTER_DATABASE!$BG$4:$BG$1000,ROW()-3)&amp;"")</f>
        <v>Visit Shop</v>
      </c>
    </row>
    <row r="280" customFormat="false" ht="57.45" hidden="false" customHeight="false" outlineLevel="0" collapsed="false">
      <c r="A280" s="11" t="str">
        <f aca="false">IF(INDEX(MASTER_DATABASE!$A$4:$A$1000,ROW()-3)="","",INDEX(MASTER_DATABASE!$A$4:$A$1000,ROW()-3)&amp;"")</f>
        <v>RCH-010</v>
      </c>
      <c r="B280" s="7" t="str">
        <f aca="false">IF(INDEX(MASTER_DATABASE!$A$4:$A$1000,ROW()-3)="","",INDEX(MASTER_DATABASE!$E$4:$E$1000,ROW()-3)&amp;"")</f>
        <v>Landline Bill Payment</v>
      </c>
      <c r="C280" s="7" t="str">
        <f aca="false">IF(INDEX(MASTER_DATABASE!$A$4:$A$1000,ROW()-3)="","",INDEX(MASTER_DATABASE!$H$4:$H$1000,ROW()-3)&amp;"")</f>
        <v>Landline Bill Payment through our recharge / BBPS desk.</v>
      </c>
      <c r="D28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0" s="7" t="str">
        <f aca="false">IF(INDEX(MASTER_DATABASE!$A$4:$A$1000,ROW()-3)="","",INDEX(MASTER_DATABASE!$O$4:$O$1000,ROW()-3)&amp;"")</f>
        <v>Any customer.</v>
      </c>
      <c r="F280" s="7" t="str">
        <f aca="false">IF(INDEX(MASTER_DATABASE!$A$4:$A$1000,ROW()-3)="","",INDEX(MASTER_DATABASE!$M$4:$M$1000,ROW()-3)&amp;"")</f>
        <v>✓ Consumer / Account Number
✓ Cash Amount</v>
      </c>
      <c r="G280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'Landline Bill Payment'.
Step 3 → You confirm the biller name and amount.
Step 4 → Pay and collect the receipt / SMS.</v>
      </c>
      <c r="H28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0" s="7" t="str">
        <f aca="false">IF(INDEX(MASTER_DATABASE!$A$4:$A$1000,ROW()-3)="","",INDEX(MASTER_DATABASE!$Q$4:$Q$1000,ROW()-3)&amp;"")</f>
        <v>5–10 Minutes</v>
      </c>
      <c r="J280" s="7" t="str">
        <f aca="false">IF(INDEX(MASTER_DATABASE!$A$4:$A$1000,ROW()-3)="","",INDEX(MASTER_DATABASE!$J$4:$J$1000,ROW()-3)&amp;"")</f>
        <v>Please Confirm at Shop</v>
      </c>
      <c r="K280" s="7" t="str">
        <f aca="false">IF(INDEX(MASTER_DATABASE!$A$4:$A$1000,ROW()-3)="","",INDEX(MASTER_DATABASE!$AS$4:$AS$1000,ROW()-3)&amp;"")</f>
        <v>Please confirm availability with the shop before visiting.</v>
      </c>
      <c r="L280" s="7" t="str">
        <f aca="false">IF(INDEX(MASTER_DATABASE!$A$4:$A$1000,ROW()-3)="","",INDEX(MASTER_DATABASE!$AR$4:$AR$1000,ROW()-3)&amp;"")</f>
        <v>Q1: Is any extra charge taken?
A1: A service charge may apply. Ask at the counter.</v>
      </c>
      <c r="M28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0" s="7" t="str">
        <f aca="false">IF(INDEX(MASTER_DATABASE!$A$4:$A$1000,ROW()-3)="","",INDEX(MASTER_DATABASE!$BG$4:$BG$1000,ROW()-3)&amp;"")</f>
        <v>Visit Shop</v>
      </c>
    </row>
    <row r="281" customFormat="false" ht="57.45" hidden="false" customHeight="false" outlineLevel="0" collapsed="false">
      <c r="A281" s="11" t="str">
        <f aca="false">IF(INDEX(MASTER_DATABASE!$A$4:$A$1000,ROW()-3)="","",INDEX(MASTER_DATABASE!$A$4:$A$1000,ROW()-3)&amp;"")</f>
        <v>RCH-011</v>
      </c>
      <c r="B281" s="7" t="str">
        <f aca="false">IF(INDEX(MASTER_DATABASE!$A$4:$A$1000,ROW()-3)="","",INDEX(MASTER_DATABASE!$E$4:$E$1000,ROW()-3)&amp;"")</f>
        <v>Cable TV Bill Payment</v>
      </c>
      <c r="C281" s="7" t="str">
        <f aca="false">IF(INDEX(MASTER_DATABASE!$A$4:$A$1000,ROW()-3)="","",INDEX(MASTER_DATABASE!$H$4:$H$1000,ROW()-3)&amp;"")</f>
        <v>Cable TV Bill Payment through our recharge / BBPS desk.</v>
      </c>
      <c r="D28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1" s="7" t="str">
        <f aca="false">IF(INDEX(MASTER_DATABASE!$A$4:$A$1000,ROW()-3)="","",INDEX(MASTER_DATABASE!$O$4:$O$1000,ROW()-3)&amp;"")</f>
        <v>Any customer.</v>
      </c>
      <c r="F281" s="7" t="str">
        <f aca="false">IF(INDEX(MASTER_DATABASE!$A$4:$A$1000,ROW()-3)="","",INDEX(MASTER_DATABASE!$M$4:$M$1000,ROW()-3)&amp;"")</f>
        <v>✓ Consumer / Account Number
✓ Cash Amount</v>
      </c>
      <c r="G281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'Cable TV Bill Payment'.
Step 3 → You confirm the biller name and amount.
Step 4 → Pay and collect the receipt / SMS.</v>
      </c>
      <c r="H28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1" s="7" t="str">
        <f aca="false">IF(INDEX(MASTER_DATABASE!$A$4:$A$1000,ROW()-3)="","",INDEX(MASTER_DATABASE!$Q$4:$Q$1000,ROW()-3)&amp;"")</f>
        <v>5–10 Minutes</v>
      </c>
      <c r="J281" s="7" t="str">
        <f aca="false">IF(INDEX(MASTER_DATABASE!$A$4:$A$1000,ROW()-3)="","",INDEX(MASTER_DATABASE!$J$4:$J$1000,ROW()-3)&amp;"")</f>
        <v>Please Confirm at Shop</v>
      </c>
      <c r="K281" s="7" t="str">
        <f aca="false">IF(INDEX(MASTER_DATABASE!$A$4:$A$1000,ROW()-3)="","",INDEX(MASTER_DATABASE!$AS$4:$AS$1000,ROW()-3)&amp;"")</f>
        <v>Please confirm availability with the shop before visiting.</v>
      </c>
      <c r="L281" s="7" t="str">
        <f aca="false">IF(INDEX(MASTER_DATABASE!$A$4:$A$1000,ROW()-3)="","",INDEX(MASTER_DATABASE!$AR$4:$AR$1000,ROW()-3)&amp;"")</f>
        <v>Q1: Is any extra charge taken?
A1: A service charge may apply. Ask at the counter.</v>
      </c>
      <c r="M28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1" s="7" t="str">
        <f aca="false">IF(INDEX(MASTER_DATABASE!$A$4:$A$1000,ROW()-3)="","",INDEX(MASTER_DATABASE!$BG$4:$BG$1000,ROW()-3)&amp;"")</f>
        <v>Visit Shop</v>
      </c>
    </row>
    <row r="282" customFormat="false" ht="57.45" hidden="false" customHeight="false" outlineLevel="0" collapsed="false">
      <c r="A282" s="11" t="str">
        <f aca="false">IF(INDEX(MASTER_DATABASE!$A$4:$A$1000,ROW()-3)="","",INDEX(MASTER_DATABASE!$A$4:$A$1000,ROW()-3)&amp;"")</f>
        <v>RCH-012</v>
      </c>
      <c r="B282" s="7" t="str">
        <f aca="false">IF(INDEX(MASTER_DATABASE!$A$4:$A$1000,ROW()-3)="","",INDEX(MASTER_DATABASE!$E$4:$E$1000,ROW()-3)&amp;"")</f>
        <v>Insurance Premium Payment (LIC / Others)</v>
      </c>
      <c r="C282" s="7" t="str">
        <f aca="false">IF(INDEX(MASTER_DATABASE!$A$4:$A$1000,ROW()-3)="","",INDEX(MASTER_DATABASE!$H$4:$H$1000,ROW()-3)&amp;"")</f>
        <v>Insurance Premium Payment (LIC / Others) through our recharge / BBPS desk.</v>
      </c>
      <c r="D28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2" s="7" t="str">
        <f aca="false">IF(INDEX(MASTER_DATABASE!$A$4:$A$1000,ROW()-3)="","",INDEX(MASTER_DATABASE!$O$4:$O$1000,ROW()-3)&amp;"")</f>
        <v>Any customer.</v>
      </c>
      <c r="F282" s="7" t="str">
        <f aca="false">IF(INDEX(MASTER_DATABASE!$A$4:$A$1000,ROW()-3)="","",INDEX(MASTER_DATABASE!$M$4:$M$1000,ROW()-3)&amp;"")</f>
        <v>✓ Consumer / Account Number
✓ Cash Amount</v>
      </c>
      <c r="G282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'Insurance Premium Payment (LIC / Others)'.
Step 3 → You confirm the biller name and amount.
Step 4 → Pay and collect the receipt / SMS.</v>
      </c>
      <c r="H28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2" s="7" t="str">
        <f aca="false">IF(INDEX(MASTER_DATABASE!$A$4:$A$1000,ROW()-3)="","",INDEX(MASTER_DATABASE!$Q$4:$Q$1000,ROW()-3)&amp;"")</f>
        <v>5–10 Minutes</v>
      </c>
      <c r="J282" s="7" t="str">
        <f aca="false">IF(INDEX(MASTER_DATABASE!$A$4:$A$1000,ROW()-3)="","",INDEX(MASTER_DATABASE!$J$4:$J$1000,ROW()-3)&amp;"")</f>
        <v>Please Confirm at Shop</v>
      </c>
      <c r="K282" s="7" t="str">
        <f aca="false">IF(INDEX(MASTER_DATABASE!$A$4:$A$1000,ROW()-3)="","",INDEX(MASTER_DATABASE!$AS$4:$AS$1000,ROW()-3)&amp;"")</f>
        <v>Please confirm availability with the shop before visiting.</v>
      </c>
      <c r="L282" s="7" t="str">
        <f aca="false">IF(INDEX(MASTER_DATABASE!$A$4:$A$1000,ROW()-3)="","",INDEX(MASTER_DATABASE!$AR$4:$AR$1000,ROW()-3)&amp;"")</f>
        <v>Q1: Is any extra charge taken?
A1: A service charge may apply. Ask at the counter.</v>
      </c>
      <c r="M28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2" s="7" t="str">
        <f aca="false">IF(INDEX(MASTER_DATABASE!$A$4:$A$1000,ROW()-3)="","",INDEX(MASTER_DATABASE!$BG$4:$BG$1000,ROW()-3)&amp;"")</f>
        <v>Visit Shop</v>
      </c>
    </row>
    <row r="283" customFormat="false" ht="57.45" hidden="false" customHeight="false" outlineLevel="0" collapsed="false">
      <c r="A283" s="11" t="str">
        <f aca="false">IF(INDEX(MASTER_DATABASE!$A$4:$A$1000,ROW()-3)="","",INDEX(MASTER_DATABASE!$A$4:$A$1000,ROW()-3)&amp;"")</f>
        <v>RCH-013</v>
      </c>
      <c r="B283" s="7" t="str">
        <f aca="false">IF(INDEX(MASTER_DATABASE!$A$4:$A$1000,ROW()-3)="","",INDEX(MASTER_DATABASE!$E$4:$E$1000,ROW()-3)&amp;"")</f>
        <v>Loan EMI Payment</v>
      </c>
      <c r="C283" s="7" t="str">
        <f aca="false">IF(INDEX(MASTER_DATABASE!$A$4:$A$1000,ROW()-3)="","",INDEX(MASTER_DATABASE!$H$4:$H$1000,ROW()-3)&amp;"")</f>
        <v>Loan EMI Payment through our recharge / BBPS desk.</v>
      </c>
      <c r="D28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3" s="7" t="str">
        <f aca="false">IF(INDEX(MASTER_DATABASE!$A$4:$A$1000,ROW()-3)="","",INDEX(MASTER_DATABASE!$O$4:$O$1000,ROW()-3)&amp;"")</f>
        <v>Any customer.</v>
      </c>
      <c r="F283" s="7" t="str">
        <f aca="false">IF(INDEX(MASTER_DATABASE!$A$4:$A$1000,ROW()-3)="","",INDEX(MASTER_DATABASE!$M$4:$M$1000,ROW()-3)&amp;"")</f>
        <v>✓ Consumer / Account Number
✓ Cash Amount</v>
      </c>
      <c r="G283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'Loan EMI Payment'.
Step 3 → You confirm the biller name and amount.
Step 4 → Pay and collect the receipt / SMS.</v>
      </c>
      <c r="H28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3" s="7" t="str">
        <f aca="false">IF(INDEX(MASTER_DATABASE!$A$4:$A$1000,ROW()-3)="","",INDEX(MASTER_DATABASE!$Q$4:$Q$1000,ROW()-3)&amp;"")</f>
        <v>5–10 Minutes</v>
      </c>
      <c r="J283" s="7" t="str">
        <f aca="false">IF(INDEX(MASTER_DATABASE!$A$4:$A$1000,ROW()-3)="","",INDEX(MASTER_DATABASE!$J$4:$J$1000,ROW()-3)&amp;"")</f>
        <v>Please Confirm at Shop</v>
      </c>
      <c r="K283" s="7" t="str">
        <f aca="false">IF(INDEX(MASTER_DATABASE!$A$4:$A$1000,ROW()-3)="","",INDEX(MASTER_DATABASE!$AS$4:$AS$1000,ROW()-3)&amp;"")</f>
        <v>Please confirm availability with the shop before visiting.</v>
      </c>
      <c r="L283" s="7" t="str">
        <f aca="false">IF(INDEX(MASTER_DATABASE!$A$4:$A$1000,ROW()-3)="","",INDEX(MASTER_DATABASE!$AR$4:$AR$1000,ROW()-3)&amp;"")</f>
        <v>Q1: Is any extra charge taken?
A1: A service charge may apply. Ask at the counter.</v>
      </c>
      <c r="M28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3" s="7" t="str">
        <f aca="false">IF(INDEX(MASTER_DATABASE!$A$4:$A$1000,ROW()-3)="","",INDEX(MASTER_DATABASE!$BG$4:$BG$1000,ROW()-3)&amp;"")</f>
        <v>Visit Shop</v>
      </c>
    </row>
    <row r="284" customFormat="false" ht="57.45" hidden="false" customHeight="false" outlineLevel="0" collapsed="false">
      <c r="A284" s="11" t="str">
        <f aca="false">IF(INDEX(MASTER_DATABASE!$A$4:$A$1000,ROW()-3)="","",INDEX(MASTER_DATABASE!$A$4:$A$1000,ROW()-3)&amp;"")</f>
        <v>RCH-014</v>
      </c>
      <c r="B284" s="7" t="str">
        <f aca="false">IF(INDEX(MASTER_DATABASE!$A$4:$A$1000,ROW()-3)="","",INDEX(MASTER_DATABASE!$E$4:$E$1000,ROW()-3)&amp;"")</f>
        <v>Credit Card Bill Payment</v>
      </c>
      <c r="C284" s="7" t="str">
        <f aca="false">IF(INDEX(MASTER_DATABASE!$A$4:$A$1000,ROW()-3)="","",INDEX(MASTER_DATABASE!$H$4:$H$1000,ROW()-3)&amp;"")</f>
        <v>Credit Card Bill Payment through our recharge / BBPS desk.</v>
      </c>
      <c r="D28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4" s="7" t="str">
        <f aca="false">IF(INDEX(MASTER_DATABASE!$A$4:$A$1000,ROW()-3)="","",INDEX(MASTER_DATABASE!$O$4:$O$1000,ROW()-3)&amp;"")</f>
        <v>Any customer.</v>
      </c>
      <c r="F284" s="7" t="str">
        <f aca="false">IF(INDEX(MASTER_DATABASE!$A$4:$A$1000,ROW()-3)="","",INDEX(MASTER_DATABASE!$M$4:$M$1000,ROW()-3)&amp;"")</f>
        <v>✓ Consumer / Account Number
✓ Cash Amount</v>
      </c>
      <c r="G284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'Credit Card Bill Payment'.
Step 3 → You confirm the biller name and amount.
Step 4 → Pay and collect the receipt / SMS.</v>
      </c>
      <c r="H28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4" s="7" t="str">
        <f aca="false">IF(INDEX(MASTER_DATABASE!$A$4:$A$1000,ROW()-3)="","",INDEX(MASTER_DATABASE!$Q$4:$Q$1000,ROW()-3)&amp;"")</f>
        <v>5–10 Minutes</v>
      </c>
      <c r="J284" s="7" t="str">
        <f aca="false">IF(INDEX(MASTER_DATABASE!$A$4:$A$1000,ROW()-3)="","",INDEX(MASTER_DATABASE!$J$4:$J$1000,ROW()-3)&amp;"")</f>
        <v>Please Confirm at Shop</v>
      </c>
      <c r="K284" s="7" t="str">
        <f aca="false">IF(INDEX(MASTER_DATABASE!$A$4:$A$1000,ROW()-3)="","",INDEX(MASTER_DATABASE!$AS$4:$AS$1000,ROW()-3)&amp;"")</f>
        <v>Please confirm availability with the shop before visiting.</v>
      </c>
      <c r="L284" s="7" t="str">
        <f aca="false">IF(INDEX(MASTER_DATABASE!$A$4:$A$1000,ROW()-3)="","",INDEX(MASTER_DATABASE!$AR$4:$AR$1000,ROW()-3)&amp;"")</f>
        <v>Q1: Is any extra charge taken?
A1: A service charge may apply. Ask at the counter.</v>
      </c>
      <c r="M28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4" s="7" t="str">
        <f aca="false">IF(INDEX(MASTER_DATABASE!$A$4:$A$1000,ROW()-3)="","",INDEX(MASTER_DATABASE!$BG$4:$BG$1000,ROW()-3)&amp;"")</f>
        <v>Visit Shop</v>
      </c>
    </row>
    <row r="285" customFormat="false" ht="57.45" hidden="false" customHeight="false" outlineLevel="0" collapsed="false">
      <c r="A285" s="11" t="str">
        <f aca="false">IF(INDEX(MASTER_DATABASE!$A$4:$A$1000,ROW()-3)="","",INDEX(MASTER_DATABASE!$A$4:$A$1000,ROW()-3)&amp;"")</f>
        <v>RCH-015</v>
      </c>
      <c r="B285" s="7" t="str">
        <f aca="false">IF(INDEX(MASTER_DATABASE!$A$4:$A$1000,ROW()-3)="","",INDEX(MASTER_DATABASE!$E$4:$E$1000,ROW()-3)&amp;"")</f>
        <v>Education Fee Payment</v>
      </c>
      <c r="C285" s="7" t="str">
        <f aca="false">IF(INDEX(MASTER_DATABASE!$A$4:$A$1000,ROW()-3)="","",INDEX(MASTER_DATABASE!$H$4:$H$1000,ROW()-3)&amp;"")</f>
        <v>Education Fee Payment through our recharge / BBPS desk.</v>
      </c>
      <c r="D28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5" s="7" t="str">
        <f aca="false">IF(INDEX(MASTER_DATABASE!$A$4:$A$1000,ROW()-3)="","",INDEX(MASTER_DATABASE!$O$4:$O$1000,ROW()-3)&amp;"")</f>
        <v>Any customer.</v>
      </c>
      <c r="F285" s="7" t="str">
        <f aca="false">IF(INDEX(MASTER_DATABASE!$A$4:$A$1000,ROW()-3)="","",INDEX(MASTER_DATABASE!$M$4:$M$1000,ROW()-3)&amp;"")</f>
        <v>✓ Consumer / Account Number
✓ Cash Amount</v>
      </c>
      <c r="G285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'Education Fee Payment'.
Step 3 → You confirm the biller name and amount.
Step 4 → Pay and collect the receipt / SMS.</v>
      </c>
      <c r="H28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5" s="7" t="str">
        <f aca="false">IF(INDEX(MASTER_DATABASE!$A$4:$A$1000,ROW()-3)="","",INDEX(MASTER_DATABASE!$Q$4:$Q$1000,ROW()-3)&amp;"")</f>
        <v>5–10 Minutes</v>
      </c>
      <c r="J285" s="7" t="str">
        <f aca="false">IF(INDEX(MASTER_DATABASE!$A$4:$A$1000,ROW()-3)="","",INDEX(MASTER_DATABASE!$J$4:$J$1000,ROW()-3)&amp;"")</f>
        <v>Please Confirm at Shop</v>
      </c>
      <c r="K285" s="7" t="str">
        <f aca="false">IF(INDEX(MASTER_DATABASE!$A$4:$A$1000,ROW()-3)="","",INDEX(MASTER_DATABASE!$AS$4:$AS$1000,ROW()-3)&amp;"")</f>
        <v>Please confirm availability with the shop before visiting.</v>
      </c>
      <c r="L285" s="7" t="str">
        <f aca="false">IF(INDEX(MASTER_DATABASE!$A$4:$A$1000,ROW()-3)="","",INDEX(MASTER_DATABASE!$AR$4:$AR$1000,ROW()-3)&amp;"")</f>
        <v>Q1: Is any extra charge taken?
A1: A service charge may apply. Ask at the counter.</v>
      </c>
      <c r="M28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5" s="7" t="str">
        <f aca="false">IF(INDEX(MASTER_DATABASE!$A$4:$A$1000,ROW()-3)="","",INDEX(MASTER_DATABASE!$BG$4:$BG$1000,ROW()-3)&amp;"")</f>
        <v>Visit Shop</v>
      </c>
    </row>
    <row r="286" customFormat="false" ht="57.45" hidden="false" customHeight="false" outlineLevel="0" collapsed="false">
      <c r="A286" s="11" t="str">
        <f aca="false">IF(INDEX(MASTER_DATABASE!$A$4:$A$1000,ROW()-3)="","",INDEX(MASTER_DATABASE!$A$4:$A$1000,ROW()-3)&amp;"")</f>
        <v>RCH-016</v>
      </c>
      <c r="B286" s="7" t="str">
        <f aca="false">IF(INDEX(MASTER_DATABASE!$A$4:$A$1000,ROW()-3)="","",INDEX(MASTER_DATABASE!$E$4:$E$1000,ROW()-3)&amp;"")</f>
        <v>BBPS – Other Billers</v>
      </c>
      <c r="C286" s="7" t="str">
        <f aca="false">IF(INDEX(MASTER_DATABASE!$A$4:$A$1000,ROW()-3)="","",INDEX(MASTER_DATABASE!$H$4:$H$1000,ROW()-3)&amp;"")</f>
        <v>BBPS – Other Billers through our recharge / BBPS desk.</v>
      </c>
      <c r="D286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6" s="7" t="str">
        <f aca="false">IF(INDEX(MASTER_DATABASE!$A$4:$A$1000,ROW()-3)="","",INDEX(MASTER_DATABASE!$O$4:$O$1000,ROW()-3)&amp;"")</f>
        <v>Any customer.</v>
      </c>
      <c r="F286" s="7" t="str">
        <f aca="false">IF(INDEX(MASTER_DATABASE!$A$4:$A$1000,ROW()-3)="","",INDEX(MASTER_DATABASE!$M$4:$M$1000,ROW()-3)&amp;"")</f>
        <v>✓ Consumer / Account Number
✓ Cash Amount</v>
      </c>
      <c r="G286" s="7" t="str">
        <f aca="false">IF(INDEX(MASTER_DATABASE!$A$4:$A$1000,ROW()-3)="","",INDEX(MASTER_DATABASE!$P$4:$P$1000,ROW()-3)&amp;"")</f>
        <v>Step 1 → Give the number / consumer ID and the amount.
Step 2 → Operator checks the details on the payment platform for 'BBPS – Other Billers'.
Step 3 → You confirm the biller name and amount.
Step 4 → Pay and collect the receipt / SMS.</v>
      </c>
      <c r="H28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6" s="7" t="str">
        <f aca="false">IF(INDEX(MASTER_DATABASE!$A$4:$A$1000,ROW()-3)="","",INDEX(MASTER_DATABASE!$Q$4:$Q$1000,ROW()-3)&amp;"")</f>
        <v>5–10 Minutes</v>
      </c>
      <c r="J286" s="7" t="str">
        <f aca="false">IF(INDEX(MASTER_DATABASE!$A$4:$A$1000,ROW()-3)="","",INDEX(MASTER_DATABASE!$J$4:$J$1000,ROW()-3)&amp;"")</f>
        <v>Please Confirm at Shop</v>
      </c>
      <c r="K286" s="7" t="str">
        <f aca="false">IF(INDEX(MASTER_DATABASE!$A$4:$A$1000,ROW()-3)="","",INDEX(MASTER_DATABASE!$AS$4:$AS$1000,ROW()-3)&amp;"")</f>
        <v>Please confirm availability with the shop before visiting.</v>
      </c>
      <c r="L286" s="7" t="str">
        <f aca="false">IF(INDEX(MASTER_DATABASE!$A$4:$A$1000,ROW()-3)="","",INDEX(MASTER_DATABASE!$AR$4:$AR$1000,ROW()-3)&amp;"")</f>
        <v>Q1: Is any extra charge taken?
A1: A service charge may apply. Ask at the counter.</v>
      </c>
      <c r="M286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6" s="7" t="str">
        <f aca="false">IF(INDEX(MASTER_DATABASE!$A$4:$A$1000,ROW()-3)="","",INDEX(MASTER_DATABASE!$BG$4:$BG$1000,ROW()-3)&amp;"")</f>
        <v>Visit Shop</v>
      </c>
    </row>
    <row r="287" customFormat="false" ht="57.45" hidden="false" customHeight="false" outlineLevel="0" collapsed="false">
      <c r="A287" s="11" t="str">
        <f aca="false">IF(INDEX(MASTER_DATABASE!$A$4:$A$1000,ROW()-3)="","",INDEX(MASTER_DATABASE!$A$4:$A$1000,ROW()-3)&amp;"")</f>
        <v>TKT-001</v>
      </c>
      <c r="B287" s="7" t="str">
        <f aca="false">IF(INDEX(MASTER_DATABASE!$A$4:$A$1000,ROW()-3)="","",INDEX(MASTER_DATABASE!$E$4:$E$1000,ROW()-3)&amp;"")</f>
        <v>Railway Ticket Booking (General)</v>
      </c>
      <c r="C287" s="7" t="str">
        <f aca="false">IF(INDEX(MASTER_DATABASE!$A$4:$A$1000,ROW()-3)="","",INDEX(MASTER_DATABASE!$H$4:$H$1000,ROW()-3)&amp;"")</f>
        <v>Railway Ticket Booking (General) assistance.</v>
      </c>
      <c r="D287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7" s="7" t="str">
        <f aca="false">IF(INDEX(MASTER_DATABASE!$A$4:$A$1000,ROW()-3)="","",INDEX(MASTER_DATABASE!$O$4:$O$1000,ROW()-3)&amp;"")</f>
        <v>Any customer who can provide the listed documents.</v>
      </c>
      <c r="F287" s="7" t="str">
        <f aca="false">IF(INDEX(MASTER_DATABASE!$A$4:$A$1000,ROW()-3)="","",INDEX(MASTER_DATABASE!$M$4:$M$1000,ROW()-3)&amp;"")</f>
        <v>✓ Passenger Details &amp; ID</v>
      </c>
      <c r="G287" s="7" t="str">
        <f aca="false">IF(INDEX(MASTER_DATABASE!$A$4:$A$1000,ROW()-3)="","",INDEX(MASTER_DATABASE!$P$4:$P$1000,ROW()-3)&amp;"")</f>
        <v>Step 1 → Share travel details.
Step 2 → Operator checks 'Railway Ticket Booking (General)' on the booking platform.
Step 3 → You confirm details and pay.
Step 4 → Ticket / status is given.</v>
      </c>
      <c r="H28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7" s="7" t="str">
        <f aca="false">IF(INDEX(MASTER_DATABASE!$A$4:$A$1000,ROW()-3)="","",INDEX(MASTER_DATABASE!$Q$4:$Q$1000,ROW()-3)&amp;"")</f>
        <v>15–30 Minutes</v>
      </c>
      <c r="J287" s="7" t="str">
        <f aca="false">IF(INDEX(MASTER_DATABASE!$A$4:$A$1000,ROW()-3)="","",INDEX(MASTER_DATABASE!$J$4:$J$1000,ROW()-3)&amp;"")</f>
        <v>Please Confirm at Shop</v>
      </c>
      <c r="K287" s="7" t="str">
        <f aca="false">IF(INDEX(MASTER_DATABASE!$A$4:$A$1000,ROW()-3)="","",INDEX(MASTER_DATABASE!$AS$4:$AS$1000,ROW()-3)&amp;"")</f>
        <v>Offered only if authorized. Confirm with the shop.</v>
      </c>
      <c r="L287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87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7" s="7" t="str">
        <f aca="false">IF(INDEX(MASTER_DATABASE!$A$4:$A$1000,ROW()-3)="","",INDEX(MASTER_DATABASE!$BG$4:$BG$1000,ROW()-3)&amp;"")</f>
        <v>Get Quote</v>
      </c>
    </row>
    <row r="288" customFormat="false" ht="57.45" hidden="false" customHeight="false" outlineLevel="0" collapsed="false">
      <c r="A288" s="11" t="str">
        <f aca="false">IF(INDEX(MASTER_DATABASE!$A$4:$A$1000,ROW()-3)="","",INDEX(MASTER_DATABASE!$A$4:$A$1000,ROW()-3)&amp;"")</f>
        <v>TKT-002</v>
      </c>
      <c r="B288" s="7" t="str">
        <f aca="false">IF(INDEX(MASTER_DATABASE!$A$4:$A$1000,ROW()-3)="","",INDEX(MASTER_DATABASE!$E$4:$E$1000,ROW()-3)&amp;"")</f>
        <v>Railway Ticket Booking (Tatkal)</v>
      </c>
      <c r="C288" s="7" t="str">
        <f aca="false">IF(INDEX(MASTER_DATABASE!$A$4:$A$1000,ROW()-3)="","",INDEX(MASTER_DATABASE!$H$4:$H$1000,ROW()-3)&amp;"")</f>
        <v>Railway Ticket Booking (Tatkal) assistance.</v>
      </c>
      <c r="D288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8" s="7" t="str">
        <f aca="false">IF(INDEX(MASTER_DATABASE!$A$4:$A$1000,ROW()-3)="","",INDEX(MASTER_DATABASE!$O$4:$O$1000,ROW()-3)&amp;"")</f>
        <v>Any customer who can provide the listed documents.</v>
      </c>
      <c r="F288" s="7" t="str">
        <f aca="false">IF(INDEX(MASTER_DATABASE!$A$4:$A$1000,ROW()-3)="","",INDEX(MASTER_DATABASE!$M$4:$M$1000,ROW()-3)&amp;"")</f>
        <v>✓ Passenger Details &amp; ID</v>
      </c>
      <c r="G288" s="7" t="str">
        <f aca="false">IF(INDEX(MASTER_DATABASE!$A$4:$A$1000,ROW()-3)="","",INDEX(MASTER_DATABASE!$P$4:$P$1000,ROW()-3)&amp;"")</f>
        <v>Step 1 → Share travel details.
Step 2 → Operator checks 'Railway Ticket Booking (Tatkal)' on the booking platform.
Step 3 → You confirm details and pay.
Step 4 → Ticket / status is given.</v>
      </c>
      <c r="H28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8" s="7" t="str">
        <f aca="false">IF(INDEX(MASTER_DATABASE!$A$4:$A$1000,ROW()-3)="","",INDEX(MASTER_DATABASE!$Q$4:$Q$1000,ROW()-3)&amp;"")</f>
        <v>15–30 Minutes</v>
      </c>
      <c r="J288" s="7" t="str">
        <f aca="false">IF(INDEX(MASTER_DATABASE!$A$4:$A$1000,ROW()-3)="","",INDEX(MASTER_DATABASE!$J$4:$J$1000,ROW()-3)&amp;"")</f>
        <v>Please Confirm at Shop</v>
      </c>
      <c r="K288" s="7" t="str">
        <f aca="false">IF(INDEX(MASTER_DATABASE!$A$4:$A$1000,ROW()-3)="","",INDEX(MASTER_DATABASE!$AS$4:$AS$1000,ROW()-3)&amp;"")</f>
        <v>Offered only if authorized. Confirm with the shop.</v>
      </c>
      <c r="L288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88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8" s="7" t="str">
        <f aca="false">IF(INDEX(MASTER_DATABASE!$A$4:$A$1000,ROW()-3)="","",INDEX(MASTER_DATABASE!$BG$4:$BG$1000,ROW()-3)&amp;"")</f>
        <v>Get Quote</v>
      </c>
    </row>
    <row r="289" customFormat="false" ht="57.45" hidden="false" customHeight="false" outlineLevel="0" collapsed="false">
      <c r="A289" s="11" t="str">
        <f aca="false">IF(INDEX(MASTER_DATABASE!$A$4:$A$1000,ROW()-3)="","",INDEX(MASTER_DATABASE!$A$4:$A$1000,ROW()-3)&amp;"")</f>
        <v>TKT-003</v>
      </c>
      <c r="B289" s="7" t="str">
        <f aca="false">IF(INDEX(MASTER_DATABASE!$A$4:$A$1000,ROW()-3)="","",INDEX(MASTER_DATABASE!$E$4:$E$1000,ROW()-3)&amp;"")</f>
        <v>PNR Status Check</v>
      </c>
      <c r="C289" s="7" t="str">
        <f aca="false">IF(INDEX(MASTER_DATABASE!$A$4:$A$1000,ROW()-3)="","",INDEX(MASTER_DATABASE!$H$4:$H$1000,ROW()-3)&amp;"")</f>
        <v>PNR Status Check assistance.</v>
      </c>
      <c r="D289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89" s="7" t="str">
        <f aca="false">IF(INDEX(MASTER_DATABASE!$A$4:$A$1000,ROW()-3)="","",INDEX(MASTER_DATABASE!$O$4:$O$1000,ROW()-3)&amp;"")</f>
        <v>Any customer who can provide the listed documents.</v>
      </c>
      <c r="F289" s="7" t="str">
        <f aca="false">IF(INDEX(MASTER_DATABASE!$A$4:$A$1000,ROW()-3)="","",INDEX(MASTER_DATABASE!$M$4:$M$1000,ROW()-3)&amp;"")</f>
        <v>✓ Passenger Details &amp; ID</v>
      </c>
      <c r="G289" s="7" t="str">
        <f aca="false">IF(INDEX(MASTER_DATABASE!$A$4:$A$1000,ROW()-3)="","",INDEX(MASTER_DATABASE!$P$4:$P$1000,ROW()-3)&amp;"")</f>
        <v>Step 1 → Share travel details.
Step 2 → Operator checks 'PNR Status Check' on the booking platform.
Step 3 → You confirm details and pay.
Step 4 → Ticket / status is given.</v>
      </c>
      <c r="H28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89" s="7" t="str">
        <f aca="false">IF(INDEX(MASTER_DATABASE!$A$4:$A$1000,ROW()-3)="","",INDEX(MASTER_DATABASE!$Q$4:$Q$1000,ROW()-3)&amp;"")</f>
        <v>15–30 Minutes</v>
      </c>
      <c r="J289" s="7" t="str">
        <f aca="false">IF(INDEX(MASTER_DATABASE!$A$4:$A$1000,ROW()-3)="","",INDEX(MASTER_DATABASE!$J$4:$J$1000,ROW()-3)&amp;"")</f>
        <v>Available</v>
      </c>
      <c r="K289" s="7" t="str">
        <f aca="false">IF(INDEX(MASTER_DATABASE!$A$4:$A$1000,ROW()-3)="","",INDEX(MASTER_DATABASE!$AS$4:$AS$1000,ROW()-3)&amp;"")</f>
        <v>Offered only if authorized. Confirm with the shop.</v>
      </c>
      <c r="L289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89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89" s="7" t="str">
        <f aca="false">IF(INDEX(MASTER_DATABASE!$A$4:$A$1000,ROW()-3)="","",INDEX(MASTER_DATABASE!$BG$4:$BG$1000,ROW()-3)&amp;"")</f>
        <v>Get Quote</v>
      </c>
    </row>
    <row r="290" customFormat="false" ht="57.45" hidden="false" customHeight="false" outlineLevel="0" collapsed="false">
      <c r="A290" s="11" t="str">
        <f aca="false">IF(INDEX(MASTER_DATABASE!$A$4:$A$1000,ROW()-3)="","",INDEX(MASTER_DATABASE!$A$4:$A$1000,ROW()-3)&amp;"")</f>
        <v>TKT-004</v>
      </c>
      <c r="B290" s="7" t="str">
        <f aca="false">IF(INDEX(MASTER_DATABASE!$A$4:$A$1000,ROW()-3)="","",INDEX(MASTER_DATABASE!$E$4:$E$1000,ROW()-3)&amp;"")</f>
        <v>Train Running Status</v>
      </c>
      <c r="C290" s="7" t="str">
        <f aca="false">IF(INDEX(MASTER_DATABASE!$A$4:$A$1000,ROW()-3)="","",INDEX(MASTER_DATABASE!$H$4:$H$1000,ROW()-3)&amp;"")</f>
        <v>Train Running Status assistance.</v>
      </c>
      <c r="D290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90" s="7" t="str">
        <f aca="false">IF(INDEX(MASTER_DATABASE!$A$4:$A$1000,ROW()-3)="","",INDEX(MASTER_DATABASE!$O$4:$O$1000,ROW()-3)&amp;"")</f>
        <v>Any customer who can provide the listed documents.</v>
      </c>
      <c r="F290" s="7" t="str">
        <f aca="false">IF(INDEX(MASTER_DATABASE!$A$4:$A$1000,ROW()-3)="","",INDEX(MASTER_DATABASE!$M$4:$M$1000,ROW()-3)&amp;"")</f>
        <v>✓ Passenger Details &amp; ID</v>
      </c>
      <c r="G290" s="7" t="str">
        <f aca="false">IF(INDEX(MASTER_DATABASE!$A$4:$A$1000,ROW()-3)="","",INDEX(MASTER_DATABASE!$P$4:$P$1000,ROW()-3)&amp;"")</f>
        <v>Step 1 → Share travel details.
Step 2 → Operator checks 'Train Running Status' on the booking platform.
Step 3 → You confirm details and pay.
Step 4 → Ticket / status is given.</v>
      </c>
      <c r="H29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90" s="7" t="str">
        <f aca="false">IF(INDEX(MASTER_DATABASE!$A$4:$A$1000,ROW()-3)="","",INDEX(MASTER_DATABASE!$Q$4:$Q$1000,ROW()-3)&amp;"")</f>
        <v>15–30 Minutes</v>
      </c>
      <c r="J290" s="7" t="str">
        <f aca="false">IF(INDEX(MASTER_DATABASE!$A$4:$A$1000,ROW()-3)="","",INDEX(MASTER_DATABASE!$J$4:$J$1000,ROW()-3)&amp;"")</f>
        <v>Available</v>
      </c>
      <c r="K290" s="7" t="str">
        <f aca="false">IF(INDEX(MASTER_DATABASE!$A$4:$A$1000,ROW()-3)="","",INDEX(MASTER_DATABASE!$AS$4:$AS$1000,ROW()-3)&amp;"")</f>
        <v>Offered only if authorized. Confirm with the shop.</v>
      </c>
      <c r="L290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90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90" s="7" t="str">
        <f aca="false">IF(INDEX(MASTER_DATABASE!$A$4:$A$1000,ROW()-3)="","",INDEX(MASTER_DATABASE!$BG$4:$BG$1000,ROW()-3)&amp;"")</f>
        <v>Get Quote</v>
      </c>
    </row>
    <row r="291" customFormat="false" ht="57.45" hidden="false" customHeight="false" outlineLevel="0" collapsed="false">
      <c r="A291" s="11" t="str">
        <f aca="false">IF(INDEX(MASTER_DATABASE!$A$4:$A$1000,ROW()-3)="","",INDEX(MASTER_DATABASE!$A$4:$A$1000,ROW()-3)&amp;"")</f>
        <v>TKT-005</v>
      </c>
      <c r="B291" s="7" t="str">
        <f aca="false">IF(INDEX(MASTER_DATABASE!$A$4:$A$1000,ROW()-3)="","",INDEX(MASTER_DATABASE!$E$4:$E$1000,ROW()-3)&amp;"")</f>
        <v>Railway Ticket Cancellation</v>
      </c>
      <c r="C291" s="7" t="str">
        <f aca="false">IF(INDEX(MASTER_DATABASE!$A$4:$A$1000,ROW()-3)="","",INDEX(MASTER_DATABASE!$H$4:$H$1000,ROW()-3)&amp;"")</f>
        <v>Railway Ticket Cancellation assistance.</v>
      </c>
      <c r="D291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91" s="7" t="str">
        <f aca="false">IF(INDEX(MASTER_DATABASE!$A$4:$A$1000,ROW()-3)="","",INDEX(MASTER_DATABASE!$O$4:$O$1000,ROW()-3)&amp;"")</f>
        <v>Any customer who can provide the listed documents.</v>
      </c>
      <c r="F291" s="7" t="str">
        <f aca="false">IF(INDEX(MASTER_DATABASE!$A$4:$A$1000,ROW()-3)="","",INDEX(MASTER_DATABASE!$M$4:$M$1000,ROW()-3)&amp;"")</f>
        <v>✓ Passenger Details &amp; ID</v>
      </c>
      <c r="G291" s="7" t="str">
        <f aca="false">IF(INDEX(MASTER_DATABASE!$A$4:$A$1000,ROW()-3)="","",INDEX(MASTER_DATABASE!$P$4:$P$1000,ROW()-3)&amp;"")</f>
        <v>Step 1 → Share travel details.
Step 2 → Operator checks 'Railway Ticket Cancellation' on the booking platform.
Step 3 → You confirm details and pay.
Step 4 → Ticket / status is given.</v>
      </c>
      <c r="H29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91" s="7" t="str">
        <f aca="false">IF(INDEX(MASTER_DATABASE!$A$4:$A$1000,ROW()-3)="","",INDEX(MASTER_DATABASE!$Q$4:$Q$1000,ROW()-3)&amp;"")</f>
        <v>15–30 Minutes</v>
      </c>
      <c r="J291" s="7" t="str">
        <f aca="false">IF(INDEX(MASTER_DATABASE!$A$4:$A$1000,ROW()-3)="","",INDEX(MASTER_DATABASE!$J$4:$J$1000,ROW()-3)&amp;"")</f>
        <v>Please Confirm at Shop</v>
      </c>
      <c r="K291" s="7" t="str">
        <f aca="false">IF(INDEX(MASTER_DATABASE!$A$4:$A$1000,ROW()-3)="","",INDEX(MASTER_DATABASE!$AS$4:$AS$1000,ROW()-3)&amp;"")</f>
        <v>Offered only if authorized. Confirm with the shop.</v>
      </c>
      <c r="L291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91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91" s="7" t="str">
        <f aca="false">IF(INDEX(MASTER_DATABASE!$A$4:$A$1000,ROW()-3)="","",INDEX(MASTER_DATABASE!$BG$4:$BG$1000,ROW()-3)&amp;"")</f>
        <v>Get Quote</v>
      </c>
    </row>
    <row r="292" customFormat="false" ht="57.45" hidden="false" customHeight="false" outlineLevel="0" collapsed="false">
      <c r="A292" s="11" t="str">
        <f aca="false">IF(INDEX(MASTER_DATABASE!$A$4:$A$1000,ROW()-3)="","",INDEX(MASTER_DATABASE!$A$4:$A$1000,ROW()-3)&amp;"")</f>
        <v>TKT-006</v>
      </c>
      <c r="B292" s="7" t="str">
        <f aca="false">IF(INDEX(MASTER_DATABASE!$A$4:$A$1000,ROW()-3)="","",INDEX(MASTER_DATABASE!$E$4:$E$1000,ROW()-3)&amp;"")</f>
        <v>Railway Refund Status Check</v>
      </c>
      <c r="C292" s="7" t="str">
        <f aca="false">IF(INDEX(MASTER_DATABASE!$A$4:$A$1000,ROW()-3)="","",INDEX(MASTER_DATABASE!$H$4:$H$1000,ROW()-3)&amp;"")</f>
        <v>Railway Refund Status Check assistance.</v>
      </c>
      <c r="D292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92" s="7" t="str">
        <f aca="false">IF(INDEX(MASTER_DATABASE!$A$4:$A$1000,ROW()-3)="","",INDEX(MASTER_DATABASE!$O$4:$O$1000,ROW()-3)&amp;"")</f>
        <v>Any customer who can provide the listed documents.</v>
      </c>
      <c r="F292" s="7" t="str">
        <f aca="false">IF(INDEX(MASTER_DATABASE!$A$4:$A$1000,ROW()-3)="","",INDEX(MASTER_DATABASE!$M$4:$M$1000,ROW()-3)&amp;"")</f>
        <v>✓ Passenger Details &amp; ID</v>
      </c>
      <c r="G292" s="7" t="str">
        <f aca="false">IF(INDEX(MASTER_DATABASE!$A$4:$A$1000,ROW()-3)="","",INDEX(MASTER_DATABASE!$P$4:$P$1000,ROW()-3)&amp;"")</f>
        <v>Step 1 → Share travel details.
Step 2 → Operator checks 'Railway Refund Status Check' on the booking platform.
Step 3 → You confirm details and pay.
Step 4 → Ticket / status is given.</v>
      </c>
      <c r="H29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92" s="7" t="str">
        <f aca="false">IF(INDEX(MASTER_DATABASE!$A$4:$A$1000,ROW()-3)="","",INDEX(MASTER_DATABASE!$Q$4:$Q$1000,ROW()-3)&amp;"")</f>
        <v>15–30 Minutes</v>
      </c>
      <c r="J292" s="7" t="str">
        <f aca="false">IF(INDEX(MASTER_DATABASE!$A$4:$A$1000,ROW()-3)="","",INDEX(MASTER_DATABASE!$J$4:$J$1000,ROW()-3)&amp;"")</f>
        <v>To Be Confirmed</v>
      </c>
      <c r="K292" s="7" t="str">
        <f aca="false">IF(INDEX(MASTER_DATABASE!$A$4:$A$1000,ROW()-3)="","",INDEX(MASTER_DATABASE!$AS$4:$AS$1000,ROW()-3)&amp;"")</f>
        <v>Offered only if authorized. Confirm with the shop.</v>
      </c>
      <c r="L292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92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92" s="7" t="str">
        <f aca="false">IF(INDEX(MASTER_DATABASE!$A$4:$A$1000,ROW()-3)="","",INDEX(MASTER_DATABASE!$BG$4:$BG$1000,ROW()-3)&amp;"")</f>
        <v>Get Quote</v>
      </c>
    </row>
    <row r="293" customFormat="false" ht="57.45" hidden="false" customHeight="false" outlineLevel="0" collapsed="false">
      <c r="A293" s="11" t="str">
        <f aca="false">IF(INDEX(MASTER_DATABASE!$A$4:$A$1000,ROW()-3)="","",INDEX(MASTER_DATABASE!$A$4:$A$1000,ROW()-3)&amp;"")</f>
        <v>TKT-007</v>
      </c>
      <c r="B293" s="7" t="str">
        <f aca="false">IF(INDEX(MASTER_DATABASE!$A$4:$A$1000,ROW()-3)="","",INDEX(MASTER_DATABASE!$E$4:$E$1000,ROW()-3)&amp;"")</f>
        <v>Bus Ticket Booking</v>
      </c>
      <c r="C293" s="7" t="str">
        <f aca="false">IF(INDEX(MASTER_DATABASE!$A$4:$A$1000,ROW()-3)="","",INDEX(MASTER_DATABASE!$H$4:$H$1000,ROW()-3)&amp;"")</f>
        <v>Bus Ticket Booking assistance.</v>
      </c>
      <c r="D293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93" s="7" t="str">
        <f aca="false">IF(INDEX(MASTER_DATABASE!$A$4:$A$1000,ROW()-3)="","",INDEX(MASTER_DATABASE!$O$4:$O$1000,ROW()-3)&amp;"")</f>
        <v>Any customer who can provide the listed documents.</v>
      </c>
      <c r="F293" s="7" t="str">
        <f aca="false">IF(INDEX(MASTER_DATABASE!$A$4:$A$1000,ROW()-3)="","",INDEX(MASTER_DATABASE!$M$4:$M$1000,ROW()-3)&amp;"")</f>
        <v>✓ Passenger Details &amp; ID</v>
      </c>
      <c r="G293" s="7" t="str">
        <f aca="false">IF(INDEX(MASTER_DATABASE!$A$4:$A$1000,ROW()-3)="","",INDEX(MASTER_DATABASE!$P$4:$P$1000,ROW()-3)&amp;"")</f>
        <v>Step 1 → Share travel details.
Step 2 → Operator checks 'Bus Ticket Booking' on the booking platform.
Step 3 → You confirm details and pay.
Step 4 → Ticket / status is given.</v>
      </c>
      <c r="H29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93" s="7" t="str">
        <f aca="false">IF(INDEX(MASTER_DATABASE!$A$4:$A$1000,ROW()-3)="","",INDEX(MASTER_DATABASE!$Q$4:$Q$1000,ROW()-3)&amp;"")</f>
        <v>15–30 Minutes</v>
      </c>
      <c r="J293" s="7" t="str">
        <f aca="false">IF(INDEX(MASTER_DATABASE!$A$4:$A$1000,ROW()-3)="","",INDEX(MASTER_DATABASE!$J$4:$J$1000,ROW()-3)&amp;"")</f>
        <v>To Be Confirmed</v>
      </c>
      <c r="K293" s="7" t="str">
        <f aca="false">IF(INDEX(MASTER_DATABASE!$A$4:$A$1000,ROW()-3)="","",INDEX(MASTER_DATABASE!$AS$4:$AS$1000,ROW()-3)&amp;"")</f>
        <v>Offered only if authorized. Confirm with the shop.</v>
      </c>
      <c r="L293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93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93" s="7" t="str">
        <f aca="false">IF(INDEX(MASTER_DATABASE!$A$4:$A$1000,ROW()-3)="","",INDEX(MASTER_DATABASE!$BG$4:$BG$1000,ROW()-3)&amp;"")</f>
        <v>Get Quote</v>
      </c>
    </row>
    <row r="294" customFormat="false" ht="57.45" hidden="false" customHeight="false" outlineLevel="0" collapsed="false">
      <c r="A294" s="11" t="str">
        <f aca="false">IF(INDEX(MASTER_DATABASE!$A$4:$A$1000,ROW()-3)="","",INDEX(MASTER_DATABASE!$A$4:$A$1000,ROW()-3)&amp;"")</f>
        <v>TKT-008</v>
      </c>
      <c r="B294" s="7" t="str">
        <f aca="false">IF(INDEX(MASTER_DATABASE!$A$4:$A$1000,ROW()-3)="","",INDEX(MASTER_DATABASE!$E$4:$E$1000,ROW()-3)&amp;"")</f>
        <v>Bus Ticket Cancellation</v>
      </c>
      <c r="C294" s="7" t="str">
        <f aca="false">IF(INDEX(MASTER_DATABASE!$A$4:$A$1000,ROW()-3)="","",INDEX(MASTER_DATABASE!$H$4:$H$1000,ROW()-3)&amp;"")</f>
        <v>Bus Ticket Cancellation assistance.</v>
      </c>
      <c r="D294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94" s="7" t="str">
        <f aca="false">IF(INDEX(MASTER_DATABASE!$A$4:$A$1000,ROW()-3)="","",INDEX(MASTER_DATABASE!$O$4:$O$1000,ROW()-3)&amp;"")</f>
        <v>Any customer who can provide the listed documents.</v>
      </c>
      <c r="F294" s="7" t="str">
        <f aca="false">IF(INDEX(MASTER_DATABASE!$A$4:$A$1000,ROW()-3)="","",INDEX(MASTER_DATABASE!$M$4:$M$1000,ROW()-3)&amp;"")</f>
        <v>✓ Passenger Details &amp; ID</v>
      </c>
      <c r="G294" s="7" t="str">
        <f aca="false">IF(INDEX(MASTER_DATABASE!$A$4:$A$1000,ROW()-3)="","",INDEX(MASTER_DATABASE!$P$4:$P$1000,ROW()-3)&amp;"")</f>
        <v>Step 1 → Share travel details.
Step 2 → Operator checks 'Bus Ticket Cancellation' on the booking platform.
Step 3 → You confirm details and pay.
Step 4 → Ticket / status is given.</v>
      </c>
      <c r="H29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94" s="7" t="str">
        <f aca="false">IF(INDEX(MASTER_DATABASE!$A$4:$A$1000,ROW()-3)="","",INDEX(MASTER_DATABASE!$Q$4:$Q$1000,ROW()-3)&amp;"")</f>
        <v>15–30 Minutes</v>
      </c>
      <c r="J294" s="7" t="str">
        <f aca="false">IF(INDEX(MASTER_DATABASE!$A$4:$A$1000,ROW()-3)="","",INDEX(MASTER_DATABASE!$J$4:$J$1000,ROW()-3)&amp;"")</f>
        <v>To Be Confirmed</v>
      </c>
      <c r="K294" s="7" t="str">
        <f aca="false">IF(INDEX(MASTER_DATABASE!$A$4:$A$1000,ROW()-3)="","",INDEX(MASTER_DATABASE!$AS$4:$AS$1000,ROW()-3)&amp;"")</f>
        <v>Offered only if authorized. Confirm with the shop.</v>
      </c>
      <c r="L294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94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94" s="7" t="str">
        <f aca="false">IF(INDEX(MASTER_DATABASE!$A$4:$A$1000,ROW()-3)="","",INDEX(MASTER_DATABASE!$BG$4:$BG$1000,ROW()-3)&amp;"")</f>
        <v>Get Quote</v>
      </c>
    </row>
    <row r="295" customFormat="false" ht="57.45" hidden="false" customHeight="false" outlineLevel="0" collapsed="false">
      <c r="A295" s="11" t="str">
        <f aca="false">IF(INDEX(MASTER_DATABASE!$A$4:$A$1000,ROW()-3)="","",INDEX(MASTER_DATABASE!$A$4:$A$1000,ROW()-3)&amp;"")</f>
        <v>TKT-009</v>
      </c>
      <c r="B295" s="7" t="str">
        <f aca="false">IF(INDEX(MASTER_DATABASE!$A$4:$A$1000,ROW()-3)="","",INDEX(MASTER_DATABASE!$E$4:$E$1000,ROW()-3)&amp;"")</f>
        <v>Flight Ticket Booking</v>
      </c>
      <c r="C295" s="7" t="str">
        <f aca="false">IF(INDEX(MASTER_DATABASE!$A$4:$A$1000,ROW()-3)="","",INDEX(MASTER_DATABASE!$H$4:$H$1000,ROW()-3)&amp;"")</f>
        <v>Flight Ticket Booking assistance.</v>
      </c>
      <c r="D295" s="7" t="str">
        <f aca="false">IF(INDEX(MASTER_DATABASE!$A$4:$A$1000,ROW()-3)="","",INDEX(MASTER_DATABASE!$BF$4:$BF$1000,ROW()-3)&amp;"")</f>
        <v>In-person assistance at the shop • Help checking your documents • Receipt / acknowledgement where applicable</v>
      </c>
      <c r="E295" s="7" t="str">
        <f aca="false">IF(INDEX(MASTER_DATABASE!$A$4:$A$1000,ROW()-3)="","",INDEX(MASTER_DATABASE!$O$4:$O$1000,ROW()-3)&amp;"")</f>
        <v>Any customer who can provide the listed documents.</v>
      </c>
      <c r="F295" s="7" t="str">
        <f aca="false">IF(INDEX(MASTER_DATABASE!$A$4:$A$1000,ROW()-3)="","",INDEX(MASTER_DATABASE!$M$4:$M$1000,ROW()-3)&amp;"")</f>
        <v>✓ Passenger Details &amp; ID</v>
      </c>
      <c r="G295" s="7" t="str">
        <f aca="false">IF(INDEX(MASTER_DATABASE!$A$4:$A$1000,ROW()-3)="","",INDEX(MASTER_DATABASE!$P$4:$P$1000,ROW()-3)&amp;"")</f>
        <v>Step 1 → Share travel details.
Step 2 → Operator checks 'Flight Ticket Booking' on the booking platform.
Step 3 → You confirm details and pay.
Step 4 → Ticket / status is given.</v>
      </c>
      <c r="H29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>Please contact the shop for current charges.</v>
      </c>
      <c r="I295" s="7" t="str">
        <f aca="false">IF(INDEX(MASTER_DATABASE!$A$4:$A$1000,ROW()-3)="","",INDEX(MASTER_DATABASE!$Q$4:$Q$1000,ROW()-3)&amp;"")</f>
        <v>15–30 Minutes</v>
      </c>
      <c r="J295" s="7" t="str">
        <f aca="false">IF(INDEX(MASTER_DATABASE!$A$4:$A$1000,ROW()-3)="","",INDEX(MASTER_DATABASE!$J$4:$J$1000,ROW()-3)&amp;"")</f>
        <v>To Be Confirmed</v>
      </c>
      <c r="K295" s="7" t="str">
        <f aca="false">IF(INDEX(MASTER_DATABASE!$A$4:$A$1000,ROW()-3)="","",INDEX(MASTER_DATABASE!$AS$4:$AS$1000,ROW()-3)&amp;"")</f>
        <v>Offered only if authorized. Confirm with the shop.</v>
      </c>
      <c r="L295" s="7" t="str">
        <f aca="false">IF(INDEX(MASTER_DATABASE!$A$4:$A$1000,ROW()-3)="","",INDEX(MASTER_DATABASE!$AR$4:$AR$1000,ROW()-3)&amp;"")</f>
        <v>Q1: Where can I check the current charges?
A1: Charges are confirmed at the shop and may change as per government / bank rules.</v>
      </c>
      <c r="M295" s="7" t="str">
        <f aca="false">IF(INDEX(MASTER_DATABASE!$A$4:$A$1000,ROW()-3)="","",INDEX(MASTER_DATABASE!$AT$4:$AT$1000,ROW()-3)&amp;"")</f>
        <v>Fees, documents and processing time are subject to change as per government / bank / portal rules. Final charges are confirmed at the shop before the service starts.</v>
      </c>
      <c r="N295" s="7" t="str">
        <f aca="false">IF(INDEX(MASTER_DATABASE!$A$4:$A$1000,ROW()-3)="","",INDEX(MASTER_DATABASE!$BG$4:$BG$1000,ROW()-3)&amp;"")</f>
        <v>Get Quote</v>
      </c>
    </row>
    <row r="296" customFormat="false" ht="15" hidden="false" customHeight="false" outlineLevel="0" collapsed="false">
      <c r="A296" s="11" t="str">
        <f aca="false">IF(INDEX(MASTER_DATABASE!$A$4:$A$1000,ROW()-3)="","",INDEX(MASTER_DATABASE!$A$4:$A$1000,ROW()-3)&amp;"")</f>
        <v/>
      </c>
      <c r="B296" s="7" t="str">
        <f aca="false">IF(INDEX(MASTER_DATABASE!$A$4:$A$1000,ROW()-3)="","",INDEX(MASTER_DATABASE!$E$4:$E$1000,ROW()-3)&amp;"")</f>
        <v/>
      </c>
      <c r="C296" s="7" t="str">
        <f aca="false">IF(INDEX(MASTER_DATABASE!$A$4:$A$1000,ROW()-3)="","",INDEX(MASTER_DATABASE!$H$4:$H$1000,ROW()-3)&amp;"")</f>
        <v/>
      </c>
      <c r="D296" s="7" t="str">
        <f aca="false">IF(INDEX(MASTER_DATABASE!$A$4:$A$1000,ROW()-3)="","",INDEX(MASTER_DATABASE!$BF$4:$BF$1000,ROW()-3)&amp;"")</f>
        <v/>
      </c>
      <c r="E296" s="7" t="str">
        <f aca="false">IF(INDEX(MASTER_DATABASE!$A$4:$A$1000,ROW()-3)="","",INDEX(MASTER_DATABASE!$O$4:$O$1000,ROW()-3)&amp;"")</f>
        <v/>
      </c>
      <c r="F296" s="7" t="str">
        <f aca="false">IF(INDEX(MASTER_DATABASE!$A$4:$A$1000,ROW()-3)="","",INDEX(MASTER_DATABASE!$M$4:$M$1000,ROW()-3)&amp;"")</f>
        <v/>
      </c>
      <c r="G296" s="7" t="str">
        <f aca="false">IF(INDEX(MASTER_DATABASE!$A$4:$A$1000,ROW()-3)="","",INDEX(MASTER_DATABASE!$P$4:$P$1000,ROW()-3)&amp;"")</f>
        <v/>
      </c>
      <c r="H29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296" s="7" t="str">
        <f aca="false">IF(INDEX(MASTER_DATABASE!$A$4:$A$1000,ROW()-3)="","",INDEX(MASTER_DATABASE!$Q$4:$Q$1000,ROW()-3)&amp;"")</f>
        <v/>
      </c>
      <c r="J296" s="7" t="str">
        <f aca="false">IF(INDEX(MASTER_DATABASE!$A$4:$A$1000,ROW()-3)="","",INDEX(MASTER_DATABASE!$J$4:$J$1000,ROW()-3)&amp;"")</f>
        <v/>
      </c>
      <c r="K296" s="7" t="str">
        <f aca="false">IF(INDEX(MASTER_DATABASE!$A$4:$A$1000,ROW()-3)="","",INDEX(MASTER_DATABASE!$AS$4:$AS$1000,ROW()-3)&amp;"")</f>
        <v/>
      </c>
      <c r="L296" s="7" t="str">
        <f aca="false">IF(INDEX(MASTER_DATABASE!$A$4:$A$1000,ROW()-3)="","",INDEX(MASTER_DATABASE!$AR$4:$AR$1000,ROW()-3)&amp;"")</f>
        <v/>
      </c>
      <c r="M296" s="7" t="str">
        <f aca="false">IF(INDEX(MASTER_DATABASE!$A$4:$A$1000,ROW()-3)="","",INDEX(MASTER_DATABASE!$AT$4:$AT$1000,ROW()-3)&amp;"")</f>
        <v/>
      </c>
      <c r="N296" s="7" t="str">
        <f aca="false">IF(INDEX(MASTER_DATABASE!$A$4:$A$1000,ROW()-3)="","",INDEX(MASTER_DATABASE!$BG$4:$BG$1000,ROW()-3)&amp;"")</f>
        <v/>
      </c>
    </row>
    <row r="297" customFormat="false" ht="15" hidden="false" customHeight="false" outlineLevel="0" collapsed="false">
      <c r="A297" s="11" t="str">
        <f aca="false">IF(INDEX(MASTER_DATABASE!$A$4:$A$1000,ROW()-3)="","",INDEX(MASTER_DATABASE!$A$4:$A$1000,ROW()-3)&amp;"")</f>
        <v/>
      </c>
      <c r="B297" s="7" t="str">
        <f aca="false">IF(INDEX(MASTER_DATABASE!$A$4:$A$1000,ROW()-3)="","",INDEX(MASTER_DATABASE!$E$4:$E$1000,ROW()-3)&amp;"")</f>
        <v/>
      </c>
      <c r="C297" s="7" t="str">
        <f aca="false">IF(INDEX(MASTER_DATABASE!$A$4:$A$1000,ROW()-3)="","",INDEX(MASTER_DATABASE!$H$4:$H$1000,ROW()-3)&amp;"")</f>
        <v/>
      </c>
      <c r="D297" s="7" t="str">
        <f aca="false">IF(INDEX(MASTER_DATABASE!$A$4:$A$1000,ROW()-3)="","",INDEX(MASTER_DATABASE!$BF$4:$BF$1000,ROW()-3)&amp;"")</f>
        <v/>
      </c>
      <c r="E297" s="7" t="str">
        <f aca="false">IF(INDEX(MASTER_DATABASE!$A$4:$A$1000,ROW()-3)="","",INDEX(MASTER_DATABASE!$O$4:$O$1000,ROW()-3)&amp;"")</f>
        <v/>
      </c>
      <c r="F297" s="7" t="str">
        <f aca="false">IF(INDEX(MASTER_DATABASE!$A$4:$A$1000,ROW()-3)="","",INDEX(MASTER_DATABASE!$M$4:$M$1000,ROW()-3)&amp;"")</f>
        <v/>
      </c>
      <c r="G297" s="7" t="str">
        <f aca="false">IF(INDEX(MASTER_DATABASE!$A$4:$A$1000,ROW()-3)="","",INDEX(MASTER_DATABASE!$P$4:$P$1000,ROW()-3)&amp;"")</f>
        <v/>
      </c>
      <c r="H29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297" s="7" t="str">
        <f aca="false">IF(INDEX(MASTER_DATABASE!$A$4:$A$1000,ROW()-3)="","",INDEX(MASTER_DATABASE!$Q$4:$Q$1000,ROW()-3)&amp;"")</f>
        <v/>
      </c>
      <c r="J297" s="7" t="str">
        <f aca="false">IF(INDEX(MASTER_DATABASE!$A$4:$A$1000,ROW()-3)="","",INDEX(MASTER_DATABASE!$J$4:$J$1000,ROW()-3)&amp;"")</f>
        <v/>
      </c>
      <c r="K297" s="7" t="str">
        <f aca="false">IF(INDEX(MASTER_DATABASE!$A$4:$A$1000,ROW()-3)="","",INDEX(MASTER_DATABASE!$AS$4:$AS$1000,ROW()-3)&amp;"")</f>
        <v/>
      </c>
      <c r="L297" s="7" t="str">
        <f aca="false">IF(INDEX(MASTER_DATABASE!$A$4:$A$1000,ROW()-3)="","",INDEX(MASTER_DATABASE!$AR$4:$AR$1000,ROW()-3)&amp;"")</f>
        <v/>
      </c>
      <c r="M297" s="7" t="str">
        <f aca="false">IF(INDEX(MASTER_DATABASE!$A$4:$A$1000,ROW()-3)="","",INDEX(MASTER_DATABASE!$AT$4:$AT$1000,ROW()-3)&amp;"")</f>
        <v/>
      </c>
      <c r="N297" s="7" t="str">
        <f aca="false">IF(INDEX(MASTER_DATABASE!$A$4:$A$1000,ROW()-3)="","",INDEX(MASTER_DATABASE!$BG$4:$BG$1000,ROW()-3)&amp;"")</f>
        <v/>
      </c>
    </row>
    <row r="298" customFormat="false" ht="15" hidden="false" customHeight="false" outlineLevel="0" collapsed="false">
      <c r="A298" s="11" t="str">
        <f aca="false">IF(INDEX(MASTER_DATABASE!$A$4:$A$1000,ROW()-3)="","",INDEX(MASTER_DATABASE!$A$4:$A$1000,ROW()-3)&amp;"")</f>
        <v/>
      </c>
      <c r="B298" s="7" t="str">
        <f aca="false">IF(INDEX(MASTER_DATABASE!$A$4:$A$1000,ROW()-3)="","",INDEX(MASTER_DATABASE!$E$4:$E$1000,ROW()-3)&amp;"")</f>
        <v/>
      </c>
      <c r="C298" s="7" t="str">
        <f aca="false">IF(INDEX(MASTER_DATABASE!$A$4:$A$1000,ROW()-3)="","",INDEX(MASTER_DATABASE!$H$4:$H$1000,ROW()-3)&amp;"")</f>
        <v/>
      </c>
      <c r="D298" s="7" t="str">
        <f aca="false">IF(INDEX(MASTER_DATABASE!$A$4:$A$1000,ROW()-3)="","",INDEX(MASTER_DATABASE!$BF$4:$BF$1000,ROW()-3)&amp;"")</f>
        <v/>
      </c>
      <c r="E298" s="7" t="str">
        <f aca="false">IF(INDEX(MASTER_DATABASE!$A$4:$A$1000,ROW()-3)="","",INDEX(MASTER_DATABASE!$O$4:$O$1000,ROW()-3)&amp;"")</f>
        <v/>
      </c>
      <c r="F298" s="7" t="str">
        <f aca="false">IF(INDEX(MASTER_DATABASE!$A$4:$A$1000,ROW()-3)="","",INDEX(MASTER_DATABASE!$M$4:$M$1000,ROW()-3)&amp;"")</f>
        <v/>
      </c>
      <c r="G298" s="7" t="str">
        <f aca="false">IF(INDEX(MASTER_DATABASE!$A$4:$A$1000,ROW()-3)="","",INDEX(MASTER_DATABASE!$P$4:$P$1000,ROW()-3)&amp;"")</f>
        <v/>
      </c>
      <c r="H29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298" s="7" t="str">
        <f aca="false">IF(INDEX(MASTER_DATABASE!$A$4:$A$1000,ROW()-3)="","",INDEX(MASTER_DATABASE!$Q$4:$Q$1000,ROW()-3)&amp;"")</f>
        <v/>
      </c>
      <c r="J298" s="7" t="str">
        <f aca="false">IF(INDEX(MASTER_DATABASE!$A$4:$A$1000,ROW()-3)="","",INDEX(MASTER_DATABASE!$J$4:$J$1000,ROW()-3)&amp;"")</f>
        <v/>
      </c>
      <c r="K298" s="7" t="str">
        <f aca="false">IF(INDEX(MASTER_DATABASE!$A$4:$A$1000,ROW()-3)="","",INDEX(MASTER_DATABASE!$AS$4:$AS$1000,ROW()-3)&amp;"")</f>
        <v/>
      </c>
      <c r="L298" s="7" t="str">
        <f aca="false">IF(INDEX(MASTER_DATABASE!$A$4:$A$1000,ROW()-3)="","",INDEX(MASTER_DATABASE!$AR$4:$AR$1000,ROW()-3)&amp;"")</f>
        <v/>
      </c>
      <c r="M298" s="7" t="str">
        <f aca="false">IF(INDEX(MASTER_DATABASE!$A$4:$A$1000,ROW()-3)="","",INDEX(MASTER_DATABASE!$AT$4:$AT$1000,ROW()-3)&amp;"")</f>
        <v/>
      </c>
      <c r="N298" s="7" t="str">
        <f aca="false">IF(INDEX(MASTER_DATABASE!$A$4:$A$1000,ROW()-3)="","",INDEX(MASTER_DATABASE!$BG$4:$BG$1000,ROW()-3)&amp;"")</f>
        <v/>
      </c>
    </row>
    <row r="299" customFormat="false" ht="15" hidden="false" customHeight="false" outlineLevel="0" collapsed="false">
      <c r="A299" s="11" t="str">
        <f aca="false">IF(INDEX(MASTER_DATABASE!$A$4:$A$1000,ROW()-3)="","",INDEX(MASTER_DATABASE!$A$4:$A$1000,ROW()-3)&amp;"")</f>
        <v/>
      </c>
      <c r="B299" s="7" t="str">
        <f aca="false">IF(INDEX(MASTER_DATABASE!$A$4:$A$1000,ROW()-3)="","",INDEX(MASTER_DATABASE!$E$4:$E$1000,ROW()-3)&amp;"")</f>
        <v/>
      </c>
      <c r="C299" s="7" t="str">
        <f aca="false">IF(INDEX(MASTER_DATABASE!$A$4:$A$1000,ROW()-3)="","",INDEX(MASTER_DATABASE!$H$4:$H$1000,ROW()-3)&amp;"")</f>
        <v/>
      </c>
      <c r="D299" s="7" t="str">
        <f aca="false">IF(INDEX(MASTER_DATABASE!$A$4:$A$1000,ROW()-3)="","",INDEX(MASTER_DATABASE!$BF$4:$BF$1000,ROW()-3)&amp;"")</f>
        <v/>
      </c>
      <c r="E299" s="7" t="str">
        <f aca="false">IF(INDEX(MASTER_DATABASE!$A$4:$A$1000,ROW()-3)="","",INDEX(MASTER_DATABASE!$O$4:$O$1000,ROW()-3)&amp;"")</f>
        <v/>
      </c>
      <c r="F299" s="7" t="str">
        <f aca="false">IF(INDEX(MASTER_DATABASE!$A$4:$A$1000,ROW()-3)="","",INDEX(MASTER_DATABASE!$M$4:$M$1000,ROW()-3)&amp;"")</f>
        <v/>
      </c>
      <c r="G299" s="7" t="str">
        <f aca="false">IF(INDEX(MASTER_DATABASE!$A$4:$A$1000,ROW()-3)="","",INDEX(MASTER_DATABASE!$P$4:$P$1000,ROW()-3)&amp;"")</f>
        <v/>
      </c>
      <c r="H29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299" s="7" t="str">
        <f aca="false">IF(INDEX(MASTER_DATABASE!$A$4:$A$1000,ROW()-3)="","",INDEX(MASTER_DATABASE!$Q$4:$Q$1000,ROW()-3)&amp;"")</f>
        <v/>
      </c>
      <c r="J299" s="7" t="str">
        <f aca="false">IF(INDEX(MASTER_DATABASE!$A$4:$A$1000,ROW()-3)="","",INDEX(MASTER_DATABASE!$J$4:$J$1000,ROW()-3)&amp;"")</f>
        <v/>
      </c>
      <c r="K299" s="7" t="str">
        <f aca="false">IF(INDEX(MASTER_DATABASE!$A$4:$A$1000,ROW()-3)="","",INDEX(MASTER_DATABASE!$AS$4:$AS$1000,ROW()-3)&amp;"")</f>
        <v/>
      </c>
      <c r="L299" s="7" t="str">
        <f aca="false">IF(INDEX(MASTER_DATABASE!$A$4:$A$1000,ROW()-3)="","",INDEX(MASTER_DATABASE!$AR$4:$AR$1000,ROW()-3)&amp;"")</f>
        <v/>
      </c>
      <c r="M299" s="7" t="str">
        <f aca="false">IF(INDEX(MASTER_DATABASE!$A$4:$A$1000,ROW()-3)="","",INDEX(MASTER_DATABASE!$AT$4:$AT$1000,ROW()-3)&amp;"")</f>
        <v/>
      </c>
      <c r="N299" s="7" t="str">
        <f aca="false">IF(INDEX(MASTER_DATABASE!$A$4:$A$1000,ROW()-3)="","",INDEX(MASTER_DATABASE!$BG$4:$BG$1000,ROW()-3)&amp;"")</f>
        <v/>
      </c>
    </row>
    <row r="300" customFormat="false" ht="15" hidden="false" customHeight="false" outlineLevel="0" collapsed="false">
      <c r="A300" s="11" t="str">
        <f aca="false">IF(INDEX(MASTER_DATABASE!$A$4:$A$1000,ROW()-3)="","",INDEX(MASTER_DATABASE!$A$4:$A$1000,ROW()-3)&amp;"")</f>
        <v/>
      </c>
      <c r="B300" s="7" t="str">
        <f aca="false">IF(INDEX(MASTER_DATABASE!$A$4:$A$1000,ROW()-3)="","",INDEX(MASTER_DATABASE!$E$4:$E$1000,ROW()-3)&amp;"")</f>
        <v/>
      </c>
      <c r="C300" s="7" t="str">
        <f aca="false">IF(INDEX(MASTER_DATABASE!$A$4:$A$1000,ROW()-3)="","",INDEX(MASTER_DATABASE!$H$4:$H$1000,ROW()-3)&amp;"")</f>
        <v/>
      </c>
      <c r="D300" s="7" t="str">
        <f aca="false">IF(INDEX(MASTER_DATABASE!$A$4:$A$1000,ROW()-3)="","",INDEX(MASTER_DATABASE!$BF$4:$BF$1000,ROW()-3)&amp;"")</f>
        <v/>
      </c>
      <c r="E300" s="7" t="str">
        <f aca="false">IF(INDEX(MASTER_DATABASE!$A$4:$A$1000,ROW()-3)="","",INDEX(MASTER_DATABASE!$O$4:$O$1000,ROW()-3)&amp;"")</f>
        <v/>
      </c>
      <c r="F300" s="7" t="str">
        <f aca="false">IF(INDEX(MASTER_DATABASE!$A$4:$A$1000,ROW()-3)="","",INDEX(MASTER_DATABASE!$M$4:$M$1000,ROW()-3)&amp;"")</f>
        <v/>
      </c>
      <c r="G300" s="7" t="str">
        <f aca="false">IF(INDEX(MASTER_DATABASE!$A$4:$A$1000,ROW()-3)="","",INDEX(MASTER_DATABASE!$P$4:$P$1000,ROW()-3)&amp;"")</f>
        <v/>
      </c>
      <c r="H30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0" s="7" t="str">
        <f aca="false">IF(INDEX(MASTER_DATABASE!$A$4:$A$1000,ROW()-3)="","",INDEX(MASTER_DATABASE!$Q$4:$Q$1000,ROW()-3)&amp;"")</f>
        <v/>
      </c>
      <c r="J300" s="7" t="str">
        <f aca="false">IF(INDEX(MASTER_DATABASE!$A$4:$A$1000,ROW()-3)="","",INDEX(MASTER_DATABASE!$J$4:$J$1000,ROW()-3)&amp;"")</f>
        <v/>
      </c>
      <c r="K300" s="7" t="str">
        <f aca="false">IF(INDEX(MASTER_DATABASE!$A$4:$A$1000,ROW()-3)="","",INDEX(MASTER_DATABASE!$AS$4:$AS$1000,ROW()-3)&amp;"")</f>
        <v/>
      </c>
      <c r="L300" s="7" t="str">
        <f aca="false">IF(INDEX(MASTER_DATABASE!$A$4:$A$1000,ROW()-3)="","",INDEX(MASTER_DATABASE!$AR$4:$AR$1000,ROW()-3)&amp;"")</f>
        <v/>
      </c>
      <c r="M300" s="7" t="str">
        <f aca="false">IF(INDEX(MASTER_DATABASE!$A$4:$A$1000,ROW()-3)="","",INDEX(MASTER_DATABASE!$AT$4:$AT$1000,ROW()-3)&amp;"")</f>
        <v/>
      </c>
      <c r="N300" s="7" t="str">
        <f aca="false">IF(INDEX(MASTER_DATABASE!$A$4:$A$1000,ROW()-3)="","",INDEX(MASTER_DATABASE!$BG$4:$BG$1000,ROW()-3)&amp;"")</f>
        <v/>
      </c>
    </row>
    <row r="301" customFormat="false" ht="15" hidden="false" customHeight="false" outlineLevel="0" collapsed="false">
      <c r="A301" s="11" t="str">
        <f aca="false">IF(INDEX(MASTER_DATABASE!$A$4:$A$1000,ROW()-3)="","",INDEX(MASTER_DATABASE!$A$4:$A$1000,ROW()-3)&amp;"")</f>
        <v/>
      </c>
      <c r="B301" s="7" t="str">
        <f aca="false">IF(INDEX(MASTER_DATABASE!$A$4:$A$1000,ROW()-3)="","",INDEX(MASTER_DATABASE!$E$4:$E$1000,ROW()-3)&amp;"")</f>
        <v/>
      </c>
      <c r="C301" s="7" t="str">
        <f aca="false">IF(INDEX(MASTER_DATABASE!$A$4:$A$1000,ROW()-3)="","",INDEX(MASTER_DATABASE!$H$4:$H$1000,ROW()-3)&amp;"")</f>
        <v/>
      </c>
      <c r="D301" s="7" t="str">
        <f aca="false">IF(INDEX(MASTER_DATABASE!$A$4:$A$1000,ROW()-3)="","",INDEX(MASTER_DATABASE!$BF$4:$BF$1000,ROW()-3)&amp;"")</f>
        <v/>
      </c>
      <c r="E301" s="7" t="str">
        <f aca="false">IF(INDEX(MASTER_DATABASE!$A$4:$A$1000,ROW()-3)="","",INDEX(MASTER_DATABASE!$O$4:$O$1000,ROW()-3)&amp;"")</f>
        <v/>
      </c>
      <c r="F301" s="7" t="str">
        <f aca="false">IF(INDEX(MASTER_DATABASE!$A$4:$A$1000,ROW()-3)="","",INDEX(MASTER_DATABASE!$M$4:$M$1000,ROW()-3)&amp;"")</f>
        <v/>
      </c>
      <c r="G301" s="7" t="str">
        <f aca="false">IF(INDEX(MASTER_DATABASE!$A$4:$A$1000,ROW()-3)="","",INDEX(MASTER_DATABASE!$P$4:$P$1000,ROW()-3)&amp;"")</f>
        <v/>
      </c>
      <c r="H30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1" s="7" t="str">
        <f aca="false">IF(INDEX(MASTER_DATABASE!$A$4:$A$1000,ROW()-3)="","",INDEX(MASTER_DATABASE!$Q$4:$Q$1000,ROW()-3)&amp;"")</f>
        <v/>
      </c>
      <c r="J301" s="7" t="str">
        <f aca="false">IF(INDEX(MASTER_DATABASE!$A$4:$A$1000,ROW()-3)="","",INDEX(MASTER_DATABASE!$J$4:$J$1000,ROW()-3)&amp;"")</f>
        <v/>
      </c>
      <c r="K301" s="7" t="str">
        <f aca="false">IF(INDEX(MASTER_DATABASE!$A$4:$A$1000,ROW()-3)="","",INDEX(MASTER_DATABASE!$AS$4:$AS$1000,ROW()-3)&amp;"")</f>
        <v/>
      </c>
      <c r="L301" s="7" t="str">
        <f aca="false">IF(INDEX(MASTER_DATABASE!$A$4:$A$1000,ROW()-3)="","",INDEX(MASTER_DATABASE!$AR$4:$AR$1000,ROW()-3)&amp;"")</f>
        <v/>
      </c>
      <c r="M301" s="7" t="str">
        <f aca="false">IF(INDEX(MASTER_DATABASE!$A$4:$A$1000,ROW()-3)="","",INDEX(MASTER_DATABASE!$AT$4:$AT$1000,ROW()-3)&amp;"")</f>
        <v/>
      </c>
      <c r="N301" s="7" t="str">
        <f aca="false">IF(INDEX(MASTER_DATABASE!$A$4:$A$1000,ROW()-3)="","",INDEX(MASTER_DATABASE!$BG$4:$BG$1000,ROW()-3)&amp;"")</f>
        <v/>
      </c>
    </row>
    <row r="302" customFormat="false" ht="15" hidden="false" customHeight="false" outlineLevel="0" collapsed="false">
      <c r="A302" s="11" t="str">
        <f aca="false">IF(INDEX(MASTER_DATABASE!$A$4:$A$1000,ROW()-3)="","",INDEX(MASTER_DATABASE!$A$4:$A$1000,ROW()-3)&amp;"")</f>
        <v/>
      </c>
      <c r="B302" s="7" t="str">
        <f aca="false">IF(INDEX(MASTER_DATABASE!$A$4:$A$1000,ROW()-3)="","",INDEX(MASTER_DATABASE!$E$4:$E$1000,ROW()-3)&amp;"")</f>
        <v/>
      </c>
      <c r="C302" s="7" t="str">
        <f aca="false">IF(INDEX(MASTER_DATABASE!$A$4:$A$1000,ROW()-3)="","",INDEX(MASTER_DATABASE!$H$4:$H$1000,ROW()-3)&amp;"")</f>
        <v/>
      </c>
      <c r="D302" s="7" t="str">
        <f aca="false">IF(INDEX(MASTER_DATABASE!$A$4:$A$1000,ROW()-3)="","",INDEX(MASTER_DATABASE!$BF$4:$BF$1000,ROW()-3)&amp;"")</f>
        <v/>
      </c>
      <c r="E302" s="7" t="str">
        <f aca="false">IF(INDEX(MASTER_DATABASE!$A$4:$A$1000,ROW()-3)="","",INDEX(MASTER_DATABASE!$O$4:$O$1000,ROW()-3)&amp;"")</f>
        <v/>
      </c>
      <c r="F302" s="7" t="str">
        <f aca="false">IF(INDEX(MASTER_DATABASE!$A$4:$A$1000,ROW()-3)="","",INDEX(MASTER_DATABASE!$M$4:$M$1000,ROW()-3)&amp;"")</f>
        <v/>
      </c>
      <c r="G302" s="7" t="str">
        <f aca="false">IF(INDEX(MASTER_DATABASE!$A$4:$A$1000,ROW()-3)="","",INDEX(MASTER_DATABASE!$P$4:$P$1000,ROW()-3)&amp;"")</f>
        <v/>
      </c>
      <c r="H30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2" s="7" t="str">
        <f aca="false">IF(INDEX(MASTER_DATABASE!$A$4:$A$1000,ROW()-3)="","",INDEX(MASTER_DATABASE!$Q$4:$Q$1000,ROW()-3)&amp;"")</f>
        <v/>
      </c>
      <c r="J302" s="7" t="str">
        <f aca="false">IF(INDEX(MASTER_DATABASE!$A$4:$A$1000,ROW()-3)="","",INDEX(MASTER_DATABASE!$J$4:$J$1000,ROW()-3)&amp;"")</f>
        <v/>
      </c>
      <c r="K302" s="7" t="str">
        <f aca="false">IF(INDEX(MASTER_DATABASE!$A$4:$A$1000,ROW()-3)="","",INDEX(MASTER_DATABASE!$AS$4:$AS$1000,ROW()-3)&amp;"")</f>
        <v/>
      </c>
      <c r="L302" s="7" t="str">
        <f aca="false">IF(INDEX(MASTER_DATABASE!$A$4:$A$1000,ROW()-3)="","",INDEX(MASTER_DATABASE!$AR$4:$AR$1000,ROW()-3)&amp;"")</f>
        <v/>
      </c>
      <c r="M302" s="7" t="str">
        <f aca="false">IF(INDEX(MASTER_DATABASE!$A$4:$A$1000,ROW()-3)="","",INDEX(MASTER_DATABASE!$AT$4:$AT$1000,ROW()-3)&amp;"")</f>
        <v/>
      </c>
      <c r="N302" s="7" t="str">
        <f aca="false">IF(INDEX(MASTER_DATABASE!$A$4:$A$1000,ROW()-3)="","",INDEX(MASTER_DATABASE!$BG$4:$BG$1000,ROW()-3)&amp;"")</f>
        <v/>
      </c>
    </row>
    <row r="303" customFormat="false" ht="15" hidden="false" customHeight="false" outlineLevel="0" collapsed="false">
      <c r="A303" s="11" t="str">
        <f aca="false">IF(INDEX(MASTER_DATABASE!$A$4:$A$1000,ROW()-3)="","",INDEX(MASTER_DATABASE!$A$4:$A$1000,ROW()-3)&amp;"")</f>
        <v/>
      </c>
      <c r="B303" s="7" t="str">
        <f aca="false">IF(INDEX(MASTER_DATABASE!$A$4:$A$1000,ROW()-3)="","",INDEX(MASTER_DATABASE!$E$4:$E$1000,ROW()-3)&amp;"")</f>
        <v/>
      </c>
      <c r="C303" s="7" t="str">
        <f aca="false">IF(INDEX(MASTER_DATABASE!$A$4:$A$1000,ROW()-3)="","",INDEX(MASTER_DATABASE!$H$4:$H$1000,ROW()-3)&amp;"")</f>
        <v/>
      </c>
      <c r="D303" s="7" t="str">
        <f aca="false">IF(INDEX(MASTER_DATABASE!$A$4:$A$1000,ROW()-3)="","",INDEX(MASTER_DATABASE!$BF$4:$BF$1000,ROW()-3)&amp;"")</f>
        <v/>
      </c>
      <c r="E303" s="7" t="str">
        <f aca="false">IF(INDEX(MASTER_DATABASE!$A$4:$A$1000,ROW()-3)="","",INDEX(MASTER_DATABASE!$O$4:$O$1000,ROW()-3)&amp;"")</f>
        <v/>
      </c>
      <c r="F303" s="7" t="str">
        <f aca="false">IF(INDEX(MASTER_DATABASE!$A$4:$A$1000,ROW()-3)="","",INDEX(MASTER_DATABASE!$M$4:$M$1000,ROW()-3)&amp;"")</f>
        <v/>
      </c>
      <c r="G303" s="7" t="str">
        <f aca="false">IF(INDEX(MASTER_DATABASE!$A$4:$A$1000,ROW()-3)="","",INDEX(MASTER_DATABASE!$P$4:$P$1000,ROW()-3)&amp;"")</f>
        <v/>
      </c>
      <c r="H30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3" s="7" t="str">
        <f aca="false">IF(INDEX(MASTER_DATABASE!$A$4:$A$1000,ROW()-3)="","",INDEX(MASTER_DATABASE!$Q$4:$Q$1000,ROW()-3)&amp;"")</f>
        <v/>
      </c>
      <c r="J303" s="7" t="str">
        <f aca="false">IF(INDEX(MASTER_DATABASE!$A$4:$A$1000,ROW()-3)="","",INDEX(MASTER_DATABASE!$J$4:$J$1000,ROW()-3)&amp;"")</f>
        <v/>
      </c>
      <c r="K303" s="7" t="str">
        <f aca="false">IF(INDEX(MASTER_DATABASE!$A$4:$A$1000,ROW()-3)="","",INDEX(MASTER_DATABASE!$AS$4:$AS$1000,ROW()-3)&amp;"")</f>
        <v/>
      </c>
      <c r="L303" s="7" t="str">
        <f aca="false">IF(INDEX(MASTER_DATABASE!$A$4:$A$1000,ROW()-3)="","",INDEX(MASTER_DATABASE!$AR$4:$AR$1000,ROW()-3)&amp;"")</f>
        <v/>
      </c>
      <c r="M303" s="7" t="str">
        <f aca="false">IF(INDEX(MASTER_DATABASE!$A$4:$A$1000,ROW()-3)="","",INDEX(MASTER_DATABASE!$AT$4:$AT$1000,ROW()-3)&amp;"")</f>
        <v/>
      </c>
      <c r="N303" s="7" t="str">
        <f aca="false">IF(INDEX(MASTER_DATABASE!$A$4:$A$1000,ROW()-3)="","",INDEX(MASTER_DATABASE!$BG$4:$BG$1000,ROW()-3)&amp;"")</f>
        <v/>
      </c>
    </row>
    <row r="304" customFormat="false" ht="15" hidden="false" customHeight="false" outlineLevel="0" collapsed="false">
      <c r="A304" s="11" t="str">
        <f aca="false">IF(INDEX(MASTER_DATABASE!$A$4:$A$1000,ROW()-3)="","",INDEX(MASTER_DATABASE!$A$4:$A$1000,ROW()-3)&amp;"")</f>
        <v/>
      </c>
      <c r="B304" s="7" t="str">
        <f aca="false">IF(INDEX(MASTER_DATABASE!$A$4:$A$1000,ROW()-3)="","",INDEX(MASTER_DATABASE!$E$4:$E$1000,ROW()-3)&amp;"")</f>
        <v/>
      </c>
      <c r="C304" s="7" t="str">
        <f aca="false">IF(INDEX(MASTER_DATABASE!$A$4:$A$1000,ROW()-3)="","",INDEX(MASTER_DATABASE!$H$4:$H$1000,ROW()-3)&amp;"")</f>
        <v/>
      </c>
      <c r="D304" s="7" t="str">
        <f aca="false">IF(INDEX(MASTER_DATABASE!$A$4:$A$1000,ROW()-3)="","",INDEX(MASTER_DATABASE!$BF$4:$BF$1000,ROW()-3)&amp;"")</f>
        <v/>
      </c>
      <c r="E304" s="7" t="str">
        <f aca="false">IF(INDEX(MASTER_DATABASE!$A$4:$A$1000,ROW()-3)="","",INDEX(MASTER_DATABASE!$O$4:$O$1000,ROW()-3)&amp;"")</f>
        <v/>
      </c>
      <c r="F304" s="7" t="str">
        <f aca="false">IF(INDEX(MASTER_DATABASE!$A$4:$A$1000,ROW()-3)="","",INDEX(MASTER_DATABASE!$M$4:$M$1000,ROW()-3)&amp;"")</f>
        <v/>
      </c>
      <c r="G304" s="7" t="str">
        <f aca="false">IF(INDEX(MASTER_DATABASE!$A$4:$A$1000,ROW()-3)="","",INDEX(MASTER_DATABASE!$P$4:$P$1000,ROW()-3)&amp;"")</f>
        <v/>
      </c>
      <c r="H30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4" s="7" t="str">
        <f aca="false">IF(INDEX(MASTER_DATABASE!$A$4:$A$1000,ROW()-3)="","",INDEX(MASTER_DATABASE!$Q$4:$Q$1000,ROW()-3)&amp;"")</f>
        <v/>
      </c>
      <c r="J304" s="7" t="str">
        <f aca="false">IF(INDEX(MASTER_DATABASE!$A$4:$A$1000,ROW()-3)="","",INDEX(MASTER_DATABASE!$J$4:$J$1000,ROW()-3)&amp;"")</f>
        <v/>
      </c>
      <c r="K304" s="7" t="str">
        <f aca="false">IF(INDEX(MASTER_DATABASE!$A$4:$A$1000,ROW()-3)="","",INDEX(MASTER_DATABASE!$AS$4:$AS$1000,ROW()-3)&amp;"")</f>
        <v/>
      </c>
      <c r="L304" s="7" t="str">
        <f aca="false">IF(INDEX(MASTER_DATABASE!$A$4:$A$1000,ROW()-3)="","",INDEX(MASTER_DATABASE!$AR$4:$AR$1000,ROW()-3)&amp;"")</f>
        <v/>
      </c>
      <c r="M304" s="7" t="str">
        <f aca="false">IF(INDEX(MASTER_DATABASE!$A$4:$A$1000,ROW()-3)="","",INDEX(MASTER_DATABASE!$AT$4:$AT$1000,ROW()-3)&amp;"")</f>
        <v/>
      </c>
      <c r="N304" s="7" t="str">
        <f aca="false">IF(INDEX(MASTER_DATABASE!$A$4:$A$1000,ROW()-3)="","",INDEX(MASTER_DATABASE!$BG$4:$BG$1000,ROW()-3)&amp;"")</f>
        <v/>
      </c>
    </row>
    <row r="305" customFormat="false" ht="15" hidden="false" customHeight="false" outlineLevel="0" collapsed="false">
      <c r="A305" s="11" t="str">
        <f aca="false">IF(INDEX(MASTER_DATABASE!$A$4:$A$1000,ROW()-3)="","",INDEX(MASTER_DATABASE!$A$4:$A$1000,ROW()-3)&amp;"")</f>
        <v/>
      </c>
      <c r="B305" s="7" t="str">
        <f aca="false">IF(INDEX(MASTER_DATABASE!$A$4:$A$1000,ROW()-3)="","",INDEX(MASTER_DATABASE!$E$4:$E$1000,ROW()-3)&amp;"")</f>
        <v/>
      </c>
      <c r="C305" s="7" t="str">
        <f aca="false">IF(INDEX(MASTER_DATABASE!$A$4:$A$1000,ROW()-3)="","",INDEX(MASTER_DATABASE!$H$4:$H$1000,ROW()-3)&amp;"")</f>
        <v/>
      </c>
      <c r="D305" s="7" t="str">
        <f aca="false">IF(INDEX(MASTER_DATABASE!$A$4:$A$1000,ROW()-3)="","",INDEX(MASTER_DATABASE!$BF$4:$BF$1000,ROW()-3)&amp;"")</f>
        <v/>
      </c>
      <c r="E305" s="7" t="str">
        <f aca="false">IF(INDEX(MASTER_DATABASE!$A$4:$A$1000,ROW()-3)="","",INDEX(MASTER_DATABASE!$O$4:$O$1000,ROW()-3)&amp;"")</f>
        <v/>
      </c>
      <c r="F305" s="7" t="str">
        <f aca="false">IF(INDEX(MASTER_DATABASE!$A$4:$A$1000,ROW()-3)="","",INDEX(MASTER_DATABASE!$M$4:$M$1000,ROW()-3)&amp;"")</f>
        <v/>
      </c>
      <c r="G305" s="7" t="str">
        <f aca="false">IF(INDEX(MASTER_DATABASE!$A$4:$A$1000,ROW()-3)="","",INDEX(MASTER_DATABASE!$P$4:$P$1000,ROW()-3)&amp;"")</f>
        <v/>
      </c>
      <c r="H30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5" s="7" t="str">
        <f aca="false">IF(INDEX(MASTER_DATABASE!$A$4:$A$1000,ROW()-3)="","",INDEX(MASTER_DATABASE!$Q$4:$Q$1000,ROW()-3)&amp;"")</f>
        <v/>
      </c>
      <c r="J305" s="7" t="str">
        <f aca="false">IF(INDEX(MASTER_DATABASE!$A$4:$A$1000,ROW()-3)="","",INDEX(MASTER_DATABASE!$J$4:$J$1000,ROW()-3)&amp;"")</f>
        <v/>
      </c>
      <c r="K305" s="7" t="str">
        <f aca="false">IF(INDEX(MASTER_DATABASE!$A$4:$A$1000,ROW()-3)="","",INDEX(MASTER_DATABASE!$AS$4:$AS$1000,ROW()-3)&amp;"")</f>
        <v/>
      </c>
      <c r="L305" s="7" t="str">
        <f aca="false">IF(INDEX(MASTER_DATABASE!$A$4:$A$1000,ROW()-3)="","",INDEX(MASTER_DATABASE!$AR$4:$AR$1000,ROW()-3)&amp;"")</f>
        <v/>
      </c>
      <c r="M305" s="7" t="str">
        <f aca="false">IF(INDEX(MASTER_DATABASE!$A$4:$A$1000,ROW()-3)="","",INDEX(MASTER_DATABASE!$AT$4:$AT$1000,ROW()-3)&amp;"")</f>
        <v/>
      </c>
      <c r="N305" s="7" t="str">
        <f aca="false">IF(INDEX(MASTER_DATABASE!$A$4:$A$1000,ROW()-3)="","",INDEX(MASTER_DATABASE!$BG$4:$BG$1000,ROW()-3)&amp;"")</f>
        <v/>
      </c>
    </row>
    <row r="306" customFormat="false" ht="15" hidden="false" customHeight="false" outlineLevel="0" collapsed="false">
      <c r="A306" s="11" t="str">
        <f aca="false">IF(INDEX(MASTER_DATABASE!$A$4:$A$1000,ROW()-3)="","",INDEX(MASTER_DATABASE!$A$4:$A$1000,ROW()-3)&amp;"")</f>
        <v/>
      </c>
      <c r="B306" s="7" t="str">
        <f aca="false">IF(INDEX(MASTER_DATABASE!$A$4:$A$1000,ROW()-3)="","",INDEX(MASTER_DATABASE!$E$4:$E$1000,ROW()-3)&amp;"")</f>
        <v/>
      </c>
      <c r="C306" s="7" t="str">
        <f aca="false">IF(INDEX(MASTER_DATABASE!$A$4:$A$1000,ROW()-3)="","",INDEX(MASTER_DATABASE!$H$4:$H$1000,ROW()-3)&amp;"")</f>
        <v/>
      </c>
      <c r="D306" s="7" t="str">
        <f aca="false">IF(INDEX(MASTER_DATABASE!$A$4:$A$1000,ROW()-3)="","",INDEX(MASTER_DATABASE!$BF$4:$BF$1000,ROW()-3)&amp;"")</f>
        <v/>
      </c>
      <c r="E306" s="7" t="str">
        <f aca="false">IF(INDEX(MASTER_DATABASE!$A$4:$A$1000,ROW()-3)="","",INDEX(MASTER_DATABASE!$O$4:$O$1000,ROW()-3)&amp;"")</f>
        <v/>
      </c>
      <c r="F306" s="7" t="str">
        <f aca="false">IF(INDEX(MASTER_DATABASE!$A$4:$A$1000,ROW()-3)="","",INDEX(MASTER_DATABASE!$M$4:$M$1000,ROW()-3)&amp;"")</f>
        <v/>
      </c>
      <c r="G306" s="7" t="str">
        <f aca="false">IF(INDEX(MASTER_DATABASE!$A$4:$A$1000,ROW()-3)="","",INDEX(MASTER_DATABASE!$P$4:$P$1000,ROW()-3)&amp;"")</f>
        <v/>
      </c>
      <c r="H30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6" s="7" t="str">
        <f aca="false">IF(INDEX(MASTER_DATABASE!$A$4:$A$1000,ROW()-3)="","",INDEX(MASTER_DATABASE!$Q$4:$Q$1000,ROW()-3)&amp;"")</f>
        <v/>
      </c>
      <c r="J306" s="7" t="str">
        <f aca="false">IF(INDEX(MASTER_DATABASE!$A$4:$A$1000,ROW()-3)="","",INDEX(MASTER_DATABASE!$J$4:$J$1000,ROW()-3)&amp;"")</f>
        <v/>
      </c>
      <c r="K306" s="7" t="str">
        <f aca="false">IF(INDEX(MASTER_DATABASE!$A$4:$A$1000,ROW()-3)="","",INDEX(MASTER_DATABASE!$AS$4:$AS$1000,ROW()-3)&amp;"")</f>
        <v/>
      </c>
      <c r="L306" s="7" t="str">
        <f aca="false">IF(INDEX(MASTER_DATABASE!$A$4:$A$1000,ROW()-3)="","",INDEX(MASTER_DATABASE!$AR$4:$AR$1000,ROW()-3)&amp;"")</f>
        <v/>
      </c>
      <c r="M306" s="7" t="str">
        <f aca="false">IF(INDEX(MASTER_DATABASE!$A$4:$A$1000,ROW()-3)="","",INDEX(MASTER_DATABASE!$AT$4:$AT$1000,ROW()-3)&amp;"")</f>
        <v/>
      </c>
      <c r="N306" s="7" t="str">
        <f aca="false">IF(INDEX(MASTER_DATABASE!$A$4:$A$1000,ROW()-3)="","",INDEX(MASTER_DATABASE!$BG$4:$BG$1000,ROW()-3)&amp;"")</f>
        <v/>
      </c>
    </row>
    <row r="307" customFormat="false" ht="15" hidden="false" customHeight="false" outlineLevel="0" collapsed="false">
      <c r="A307" s="11" t="str">
        <f aca="false">IF(INDEX(MASTER_DATABASE!$A$4:$A$1000,ROW()-3)="","",INDEX(MASTER_DATABASE!$A$4:$A$1000,ROW()-3)&amp;"")</f>
        <v/>
      </c>
      <c r="B307" s="7" t="str">
        <f aca="false">IF(INDEX(MASTER_DATABASE!$A$4:$A$1000,ROW()-3)="","",INDEX(MASTER_DATABASE!$E$4:$E$1000,ROW()-3)&amp;"")</f>
        <v/>
      </c>
      <c r="C307" s="7" t="str">
        <f aca="false">IF(INDEX(MASTER_DATABASE!$A$4:$A$1000,ROW()-3)="","",INDEX(MASTER_DATABASE!$H$4:$H$1000,ROW()-3)&amp;"")</f>
        <v/>
      </c>
      <c r="D307" s="7" t="str">
        <f aca="false">IF(INDEX(MASTER_DATABASE!$A$4:$A$1000,ROW()-3)="","",INDEX(MASTER_DATABASE!$BF$4:$BF$1000,ROW()-3)&amp;"")</f>
        <v/>
      </c>
      <c r="E307" s="7" t="str">
        <f aca="false">IF(INDEX(MASTER_DATABASE!$A$4:$A$1000,ROW()-3)="","",INDEX(MASTER_DATABASE!$O$4:$O$1000,ROW()-3)&amp;"")</f>
        <v/>
      </c>
      <c r="F307" s="7" t="str">
        <f aca="false">IF(INDEX(MASTER_DATABASE!$A$4:$A$1000,ROW()-3)="","",INDEX(MASTER_DATABASE!$M$4:$M$1000,ROW()-3)&amp;"")</f>
        <v/>
      </c>
      <c r="G307" s="7" t="str">
        <f aca="false">IF(INDEX(MASTER_DATABASE!$A$4:$A$1000,ROW()-3)="","",INDEX(MASTER_DATABASE!$P$4:$P$1000,ROW()-3)&amp;"")</f>
        <v/>
      </c>
      <c r="H30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7" s="7" t="str">
        <f aca="false">IF(INDEX(MASTER_DATABASE!$A$4:$A$1000,ROW()-3)="","",INDEX(MASTER_DATABASE!$Q$4:$Q$1000,ROW()-3)&amp;"")</f>
        <v/>
      </c>
      <c r="J307" s="7" t="str">
        <f aca="false">IF(INDEX(MASTER_DATABASE!$A$4:$A$1000,ROW()-3)="","",INDEX(MASTER_DATABASE!$J$4:$J$1000,ROW()-3)&amp;"")</f>
        <v/>
      </c>
      <c r="K307" s="7" t="str">
        <f aca="false">IF(INDEX(MASTER_DATABASE!$A$4:$A$1000,ROW()-3)="","",INDEX(MASTER_DATABASE!$AS$4:$AS$1000,ROW()-3)&amp;"")</f>
        <v/>
      </c>
      <c r="L307" s="7" t="str">
        <f aca="false">IF(INDEX(MASTER_DATABASE!$A$4:$A$1000,ROW()-3)="","",INDEX(MASTER_DATABASE!$AR$4:$AR$1000,ROW()-3)&amp;"")</f>
        <v/>
      </c>
      <c r="M307" s="7" t="str">
        <f aca="false">IF(INDEX(MASTER_DATABASE!$A$4:$A$1000,ROW()-3)="","",INDEX(MASTER_DATABASE!$AT$4:$AT$1000,ROW()-3)&amp;"")</f>
        <v/>
      </c>
      <c r="N307" s="7" t="str">
        <f aca="false">IF(INDEX(MASTER_DATABASE!$A$4:$A$1000,ROW()-3)="","",INDEX(MASTER_DATABASE!$BG$4:$BG$1000,ROW()-3)&amp;"")</f>
        <v/>
      </c>
    </row>
    <row r="308" customFormat="false" ht="15" hidden="false" customHeight="false" outlineLevel="0" collapsed="false">
      <c r="A308" s="11" t="str">
        <f aca="false">IF(INDEX(MASTER_DATABASE!$A$4:$A$1000,ROW()-3)="","",INDEX(MASTER_DATABASE!$A$4:$A$1000,ROW()-3)&amp;"")</f>
        <v/>
      </c>
      <c r="B308" s="7" t="str">
        <f aca="false">IF(INDEX(MASTER_DATABASE!$A$4:$A$1000,ROW()-3)="","",INDEX(MASTER_DATABASE!$E$4:$E$1000,ROW()-3)&amp;"")</f>
        <v/>
      </c>
      <c r="C308" s="7" t="str">
        <f aca="false">IF(INDEX(MASTER_DATABASE!$A$4:$A$1000,ROW()-3)="","",INDEX(MASTER_DATABASE!$H$4:$H$1000,ROW()-3)&amp;"")</f>
        <v/>
      </c>
      <c r="D308" s="7" t="str">
        <f aca="false">IF(INDEX(MASTER_DATABASE!$A$4:$A$1000,ROW()-3)="","",INDEX(MASTER_DATABASE!$BF$4:$BF$1000,ROW()-3)&amp;"")</f>
        <v/>
      </c>
      <c r="E308" s="7" t="str">
        <f aca="false">IF(INDEX(MASTER_DATABASE!$A$4:$A$1000,ROW()-3)="","",INDEX(MASTER_DATABASE!$O$4:$O$1000,ROW()-3)&amp;"")</f>
        <v/>
      </c>
      <c r="F308" s="7" t="str">
        <f aca="false">IF(INDEX(MASTER_DATABASE!$A$4:$A$1000,ROW()-3)="","",INDEX(MASTER_DATABASE!$M$4:$M$1000,ROW()-3)&amp;"")</f>
        <v/>
      </c>
      <c r="G308" s="7" t="str">
        <f aca="false">IF(INDEX(MASTER_DATABASE!$A$4:$A$1000,ROW()-3)="","",INDEX(MASTER_DATABASE!$P$4:$P$1000,ROW()-3)&amp;"")</f>
        <v/>
      </c>
      <c r="H30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8" s="7" t="str">
        <f aca="false">IF(INDEX(MASTER_DATABASE!$A$4:$A$1000,ROW()-3)="","",INDEX(MASTER_DATABASE!$Q$4:$Q$1000,ROW()-3)&amp;"")</f>
        <v/>
      </c>
      <c r="J308" s="7" t="str">
        <f aca="false">IF(INDEX(MASTER_DATABASE!$A$4:$A$1000,ROW()-3)="","",INDEX(MASTER_DATABASE!$J$4:$J$1000,ROW()-3)&amp;"")</f>
        <v/>
      </c>
      <c r="K308" s="7" t="str">
        <f aca="false">IF(INDEX(MASTER_DATABASE!$A$4:$A$1000,ROW()-3)="","",INDEX(MASTER_DATABASE!$AS$4:$AS$1000,ROW()-3)&amp;"")</f>
        <v/>
      </c>
      <c r="L308" s="7" t="str">
        <f aca="false">IF(INDEX(MASTER_DATABASE!$A$4:$A$1000,ROW()-3)="","",INDEX(MASTER_DATABASE!$AR$4:$AR$1000,ROW()-3)&amp;"")</f>
        <v/>
      </c>
      <c r="M308" s="7" t="str">
        <f aca="false">IF(INDEX(MASTER_DATABASE!$A$4:$A$1000,ROW()-3)="","",INDEX(MASTER_DATABASE!$AT$4:$AT$1000,ROW()-3)&amp;"")</f>
        <v/>
      </c>
      <c r="N308" s="7" t="str">
        <f aca="false">IF(INDEX(MASTER_DATABASE!$A$4:$A$1000,ROW()-3)="","",INDEX(MASTER_DATABASE!$BG$4:$BG$1000,ROW()-3)&amp;"")</f>
        <v/>
      </c>
    </row>
    <row r="309" customFormat="false" ht="15" hidden="false" customHeight="false" outlineLevel="0" collapsed="false">
      <c r="A309" s="11" t="str">
        <f aca="false">IF(INDEX(MASTER_DATABASE!$A$4:$A$1000,ROW()-3)="","",INDEX(MASTER_DATABASE!$A$4:$A$1000,ROW()-3)&amp;"")</f>
        <v/>
      </c>
      <c r="B309" s="7" t="str">
        <f aca="false">IF(INDEX(MASTER_DATABASE!$A$4:$A$1000,ROW()-3)="","",INDEX(MASTER_DATABASE!$E$4:$E$1000,ROW()-3)&amp;"")</f>
        <v/>
      </c>
      <c r="C309" s="7" t="str">
        <f aca="false">IF(INDEX(MASTER_DATABASE!$A$4:$A$1000,ROW()-3)="","",INDEX(MASTER_DATABASE!$H$4:$H$1000,ROW()-3)&amp;"")</f>
        <v/>
      </c>
      <c r="D309" s="7" t="str">
        <f aca="false">IF(INDEX(MASTER_DATABASE!$A$4:$A$1000,ROW()-3)="","",INDEX(MASTER_DATABASE!$BF$4:$BF$1000,ROW()-3)&amp;"")</f>
        <v/>
      </c>
      <c r="E309" s="7" t="str">
        <f aca="false">IF(INDEX(MASTER_DATABASE!$A$4:$A$1000,ROW()-3)="","",INDEX(MASTER_DATABASE!$O$4:$O$1000,ROW()-3)&amp;"")</f>
        <v/>
      </c>
      <c r="F309" s="7" t="str">
        <f aca="false">IF(INDEX(MASTER_DATABASE!$A$4:$A$1000,ROW()-3)="","",INDEX(MASTER_DATABASE!$M$4:$M$1000,ROW()-3)&amp;"")</f>
        <v/>
      </c>
      <c r="G309" s="7" t="str">
        <f aca="false">IF(INDEX(MASTER_DATABASE!$A$4:$A$1000,ROW()-3)="","",INDEX(MASTER_DATABASE!$P$4:$P$1000,ROW()-3)&amp;"")</f>
        <v/>
      </c>
      <c r="H30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09" s="7" t="str">
        <f aca="false">IF(INDEX(MASTER_DATABASE!$A$4:$A$1000,ROW()-3)="","",INDEX(MASTER_DATABASE!$Q$4:$Q$1000,ROW()-3)&amp;"")</f>
        <v/>
      </c>
      <c r="J309" s="7" t="str">
        <f aca="false">IF(INDEX(MASTER_DATABASE!$A$4:$A$1000,ROW()-3)="","",INDEX(MASTER_DATABASE!$J$4:$J$1000,ROW()-3)&amp;"")</f>
        <v/>
      </c>
      <c r="K309" s="7" t="str">
        <f aca="false">IF(INDEX(MASTER_DATABASE!$A$4:$A$1000,ROW()-3)="","",INDEX(MASTER_DATABASE!$AS$4:$AS$1000,ROW()-3)&amp;"")</f>
        <v/>
      </c>
      <c r="L309" s="7" t="str">
        <f aca="false">IF(INDEX(MASTER_DATABASE!$A$4:$A$1000,ROW()-3)="","",INDEX(MASTER_DATABASE!$AR$4:$AR$1000,ROW()-3)&amp;"")</f>
        <v/>
      </c>
      <c r="M309" s="7" t="str">
        <f aca="false">IF(INDEX(MASTER_DATABASE!$A$4:$A$1000,ROW()-3)="","",INDEX(MASTER_DATABASE!$AT$4:$AT$1000,ROW()-3)&amp;"")</f>
        <v/>
      </c>
      <c r="N309" s="7" t="str">
        <f aca="false">IF(INDEX(MASTER_DATABASE!$A$4:$A$1000,ROW()-3)="","",INDEX(MASTER_DATABASE!$BG$4:$BG$1000,ROW()-3)&amp;"")</f>
        <v/>
      </c>
    </row>
    <row r="310" customFormat="false" ht="15" hidden="false" customHeight="false" outlineLevel="0" collapsed="false">
      <c r="A310" s="11" t="str">
        <f aca="false">IF(INDEX(MASTER_DATABASE!$A$4:$A$1000,ROW()-3)="","",INDEX(MASTER_DATABASE!$A$4:$A$1000,ROW()-3)&amp;"")</f>
        <v/>
      </c>
      <c r="B310" s="7" t="str">
        <f aca="false">IF(INDEX(MASTER_DATABASE!$A$4:$A$1000,ROW()-3)="","",INDEX(MASTER_DATABASE!$E$4:$E$1000,ROW()-3)&amp;"")</f>
        <v/>
      </c>
      <c r="C310" s="7" t="str">
        <f aca="false">IF(INDEX(MASTER_DATABASE!$A$4:$A$1000,ROW()-3)="","",INDEX(MASTER_DATABASE!$H$4:$H$1000,ROW()-3)&amp;"")</f>
        <v/>
      </c>
      <c r="D310" s="7" t="str">
        <f aca="false">IF(INDEX(MASTER_DATABASE!$A$4:$A$1000,ROW()-3)="","",INDEX(MASTER_DATABASE!$BF$4:$BF$1000,ROW()-3)&amp;"")</f>
        <v/>
      </c>
      <c r="E310" s="7" t="str">
        <f aca="false">IF(INDEX(MASTER_DATABASE!$A$4:$A$1000,ROW()-3)="","",INDEX(MASTER_DATABASE!$O$4:$O$1000,ROW()-3)&amp;"")</f>
        <v/>
      </c>
      <c r="F310" s="7" t="str">
        <f aca="false">IF(INDEX(MASTER_DATABASE!$A$4:$A$1000,ROW()-3)="","",INDEX(MASTER_DATABASE!$M$4:$M$1000,ROW()-3)&amp;"")</f>
        <v/>
      </c>
      <c r="G310" s="7" t="str">
        <f aca="false">IF(INDEX(MASTER_DATABASE!$A$4:$A$1000,ROW()-3)="","",INDEX(MASTER_DATABASE!$P$4:$P$1000,ROW()-3)&amp;"")</f>
        <v/>
      </c>
      <c r="H31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0" s="7" t="str">
        <f aca="false">IF(INDEX(MASTER_DATABASE!$A$4:$A$1000,ROW()-3)="","",INDEX(MASTER_DATABASE!$Q$4:$Q$1000,ROW()-3)&amp;"")</f>
        <v/>
      </c>
      <c r="J310" s="7" t="str">
        <f aca="false">IF(INDEX(MASTER_DATABASE!$A$4:$A$1000,ROW()-3)="","",INDEX(MASTER_DATABASE!$J$4:$J$1000,ROW()-3)&amp;"")</f>
        <v/>
      </c>
      <c r="K310" s="7" t="str">
        <f aca="false">IF(INDEX(MASTER_DATABASE!$A$4:$A$1000,ROW()-3)="","",INDEX(MASTER_DATABASE!$AS$4:$AS$1000,ROW()-3)&amp;"")</f>
        <v/>
      </c>
      <c r="L310" s="7" t="str">
        <f aca="false">IF(INDEX(MASTER_DATABASE!$A$4:$A$1000,ROW()-3)="","",INDEX(MASTER_DATABASE!$AR$4:$AR$1000,ROW()-3)&amp;"")</f>
        <v/>
      </c>
      <c r="M310" s="7" t="str">
        <f aca="false">IF(INDEX(MASTER_DATABASE!$A$4:$A$1000,ROW()-3)="","",INDEX(MASTER_DATABASE!$AT$4:$AT$1000,ROW()-3)&amp;"")</f>
        <v/>
      </c>
      <c r="N310" s="7" t="str">
        <f aca="false">IF(INDEX(MASTER_DATABASE!$A$4:$A$1000,ROW()-3)="","",INDEX(MASTER_DATABASE!$BG$4:$BG$1000,ROW()-3)&amp;"")</f>
        <v/>
      </c>
    </row>
    <row r="311" customFormat="false" ht="15" hidden="false" customHeight="false" outlineLevel="0" collapsed="false">
      <c r="A311" s="11" t="str">
        <f aca="false">IF(INDEX(MASTER_DATABASE!$A$4:$A$1000,ROW()-3)="","",INDEX(MASTER_DATABASE!$A$4:$A$1000,ROW()-3)&amp;"")</f>
        <v/>
      </c>
      <c r="B311" s="7" t="str">
        <f aca="false">IF(INDEX(MASTER_DATABASE!$A$4:$A$1000,ROW()-3)="","",INDEX(MASTER_DATABASE!$E$4:$E$1000,ROW()-3)&amp;"")</f>
        <v/>
      </c>
      <c r="C311" s="7" t="str">
        <f aca="false">IF(INDEX(MASTER_DATABASE!$A$4:$A$1000,ROW()-3)="","",INDEX(MASTER_DATABASE!$H$4:$H$1000,ROW()-3)&amp;"")</f>
        <v/>
      </c>
      <c r="D311" s="7" t="str">
        <f aca="false">IF(INDEX(MASTER_DATABASE!$A$4:$A$1000,ROW()-3)="","",INDEX(MASTER_DATABASE!$BF$4:$BF$1000,ROW()-3)&amp;"")</f>
        <v/>
      </c>
      <c r="E311" s="7" t="str">
        <f aca="false">IF(INDEX(MASTER_DATABASE!$A$4:$A$1000,ROW()-3)="","",INDEX(MASTER_DATABASE!$O$4:$O$1000,ROW()-3)&amp;"")</f>
        <v/>
      </c>
      <c r="F311" s="7" t="str">
        <f aca="false">IF(INDEX(MASTER_DATABASE!$A$4:$A$1000,ROW()-3)="","",INDEX(MASTER_DATABASE!$M$4:$M$1000,ROW()-3)&amp;"")</f>
        <v/>
      </c>
      <c r="G311" s="7" t="str">
        <f aca="false">IF(INDEX(MASTER_DATABASE!$A$4:$A$1000,ROW()-3)="","",INDEX(MASTER_DATABASE!$P$4:$P$1000,ROW()-3)&amp;"")</f>
        <v/>
      </c>
      <c r="H31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1" s="7" t="str">
        <f aca="false">IF(INDEX(MASTER_DATABASE!$A$4:$A$1000,ROW()-3)="","",INDEX(MASTER_DATABASE!$Q$4:$Q$1000,ROW()-3)&amp;"")</f>
        <v/>
      </c>
      <c r="J311" s="7" t="str">
        <f aca="false">IF(INDEX(MASTER_DATABASE!$A$4:$A$1000,ROW()-3)="","",INDEX(MASTER_DATABASE!$J$4:$J$1000,ROW()-3)&amp;"")</f>
        <v/>
      </c>
      <c r="K311" s="7" t="str">
        <f aca="false">IF(INDEX(MASTER_DATABASE!$A$4:$A$1000,ROW()-3)="","",INDEX(MASTER_DATABASE!$AS$4:$AS$1000,ROW()-3)&amp;"")</f>
        <v/>
      </c>
      <c r="L311" s="7" t="str">
        <f aca="false">IF(INDEX(MASTER_DATABASE!$A$4:$A$1000,ROW()-3)="","",INDEX(MASTER_DATABASE!$AR$4:$AR$1000,ROW()-3)&amp;"")</f>
        <v/>
      </c>
      <c r="M311" s="7" t="str">
        <f aca="false">IF(INDEX(MASTER_DATABASE!$A$4:$A$1000,ROW()-3)="","",INDEX(MASTER_DATABASE!$AT$4:$AT$1000,ROW()-3)&amp;"")</f>
        <v/>
      </c>
      <c r="N311" s="7" t="str">
        <f aca="false">IF(INDEX(MASTER_DATABASE!$A$4:$A$1000,ROW()-3)="","",INDEX(MASTER_DATABASE!$BG$4:$BG$1000,ROW()-3)&amp;"")</f>
        <v/>
      </c>
    </row>
    <row r="312" customFormat="false" ht="15" hidden="false" customHeight="false" outlineLevel="0" collapsed="false">
      <c r="A312" s="11" t="str">
        <f aca="false">IF(INDEX(MASTER_DATABASE!$A$4:$A$1000,ROW()-3)="","",INDEX(MASTER_DATABASE!$A$4:$A$1000,ROW()-3)&amp;"")</f>
        <v/>
      </c>
      <c r="B312" s="7" t="str">
        <f aca="false">IF(INDEX(MASTER_DATABASE!$A$4:$A$1000,ROW()-3)="","",INDEX(MASTER_DATABASE!$E$4:$E$1000,ROW()-3)&amp;"")</f>
        <v/>
      </c>
      <c r="C312" s="7" t="str">
        <f aca="false">IF(INDEX(MASTER_DATABASE!$A$4:$A$1000,ROW()-3)="","",INDEX(MASTER_DATABASE!$H$4:$H$1000,ROW()-3)&amp;"")</f>
        <v/>
      </c>
      <c r="D312" s="7" t="str">
        <f aca="false">IF(INDEX(MASTER_DATABASE!$A$4:$A$1000,ROW()-3)="","",INDEX(MASTER_DATABASE!$BF$4:$BF$1000,ROW()-3)&amp;"")</f>
        <v/>
      </c>
      <c r="E312" s="7" t="str">
        <f aca="false">IF(INDEX(MASTER_DATABASE!$A$4:$A$1000,ROW()-3)="","",INDEX(MASTER_DATABASE!$O$4:$O$1000,ROW()-3)&amp;"")</f>
        <v/>
      </c>
      <c r="F312" s="7" t="str">
        <f aca="false">IF(INDEX(MASTER_DATABASE!$A$4:$A$1000,ROW()-3)="","",INDEX(MASTER_DATABASE!$M$4:$M$1000,ROW()-3)&amp;"")</f>
        <v/>
      </c>
      <c r="G312" s="7" t="str">
        <f aca="false">IF(INDEX(MASTER_DATABASE!$A$4:$A$1000,ROW()-3)="","",INDEX(MASTER_DATABASE!$P$4:$P$1000,ROW()-3)&amp;"")</f>
        <v/>
      </c>
      <c r="H31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2" s="7" t="str">
        <f aca="false">IF(INDEX(MASTER_DATABASE!$A$4:$A$1000,ROW()-3)="","",INDEX(MASTER_DATABASE!$Q$4:$Q$1000,ROW()-3)&amp;"")</f>
        <v/>
      </c>
      <c r="J312" s="7" t="str">
        <f aca="false">IF(INDEX(MASTER_DATABASE!$A$4:$A$1000,ROW()-3)="","",INDEX(MASTER_DATABASE!$J$4:$J$1000,ROW()-3)&amp;"")</f>
        <v/>
      </c>
      <c r="K312" s="7" t="str">
        <f aca="false">IF(INDEX(MASTER_DATABASE!$A$4:$A$1000,ROW()-3)="","",INDEX(MASTER_DATABASE!$AS$4:$AS$1000,ROW()-3)&amp;"")</f>
        <v/>
      </c>
      <c r="L312" s="7" t="str">
        <f aca="false">IF(INDEX(MASTER_DATABASE!$A$4:$A$1000,ROW()-3)="","",INDEX(MASTER_DATABASE!$AR$4:$AR$1000,ROW()-3)&amp;"")</f>
        <v/>
      </c>
      <c r="M312" s="7" t="str">
        <f aca="false">IF(INDEX(MASTER_DATABASE!$A$4:$A$1000,ROW()-3)="","",INDEX(MASTER_DATABASE!$AT$4:$AT$1000,ROW()-3)&amp;"")</f>
        <v/>
      </c>
      <c r="N312" s="7" t="str">
        <f aca="false">IF(INDEX(MASTER_DATABASE!$A$4:$A$1000,ROW()-3)="","",INDEX(MASTER_DATABASE!$BG$4:$BG$1000,ROW()-3)&amp;"")</f>
        <v/>
      </c>
    </row>
    <row r="313" customFormat="false" ht="15" hidden="false" customHeight="false" outlineLevel="0" collapsed="false">
      <c r="A313" s="11" t="str">
        <f aca="false">IF(INDEX(MASTER_DATABASE!$A$4:$A$1000,ROW()-3)="","",INDEX(MASTER_DATABASE!$A$4:$A$1000,ROW()-3)&amp;"")</f>
        <v/>
      </c>
      <c r="B313" s="7" t="str">
        <f aca="false">IF(INDEX(MASTER_DATABASE!$A$4:$A$1000,ROW()-3)="","",INDEX(MASTER_DATABASE!$E$4:$E$1000,ROW()-3)&amp;"")</f>
        <v/>
      </c>
      <c r="C313" s="7" t="str">
        <f aca="false">IF(INDEX(MASTER_DATABASE!$A$4:$A$1000,ROW()-3)="","",INDEX(MASTER_DATABASE!$H$4:$H$1000,ROW()-3)&amp;"")</f>
        <v/>
      </c>
      <c r="D313" s="7" t="str">
        <f aca="false">IF(INDEX(MASTER_DATABASE!$A$4:$A$1000,ROW()-3)="","",INDEX(MASTER_DATABASE!$BF$4:$BF$1000,ROW()-3)&amp;"")</f>
        <v/>
      </c>
      <c r="E313" s="7" t="str">
        <f aca="false">IF(INDEX(MASTER_DATABASE!$A$4:$A$1000,ROW()-3)="","",INDEX(MASTER_DATABASE!$O$4:$O$1000,ROW()-3)&amp;"")</f>
        <v/>
      </c>
      <c r="F313" s="7" t="str">
        <f aca="false">IF(INDEX(MASTER_DATABASE!$A$4:$A$1000,ROW()-3)="","",INDEX(MASTER_DATABASE!$M$4:$M$1000,ROW()-3)&amp;"")</f>
        <v/>
      </c>
      <c r="G313" s="7" t="str">
        <f aca="false">IF(INDEX(MASTER_DATABASE!$A$4:$A$1000,ROW()-3)="","",INDEX(MASTER_DATABASE!$P$4:$P$1000,ROW()-3)&amp;"")</f>
        <v/>
      </c>
      <c r="H31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3" s="7" t="str">
        <f aca="false">IF(INDEX(MASTER_DATABASE!$A$4:$A$1000,ROW()-3)="","",INDEX(MASTER_DATABASE!$Q$4:$Q$1000,ROW()-3)&amp;"")</f>
        <v/>
      </c>
      <c r="J313" s="7" t="str">
        <f aca="false">IF(INDEX(MASTER_DATABASE!$A$4:$A$1000,ROW()-3)="","",INDEX(MASTER_DATABASE!$J$4:$J$1000,ROW()-3)&amp;"")</f>
        <v/>
      </c>
      <c r="K313" s="7" t="str">
        <f aca="false">IF(INDEX(MASTER_DATABASE!$A$4:$A$1000,ROW()-3)="","",INDEX(MASTER_DATABASE!$AS$4:$AS$1000,ROW()-3)&amp;"")</f>
        <v/>
      </c>
      <c r="L313" s="7" t="str">
        <f aca="false">IF(INDEX(MASTER_DATABASE!$A$4:$A$1000,ROW()-3)="","",INDEX(MASTER_DATABASE!$AR$4:$AR$1000,ROW()-3)&amp;"")</f>
        <v/>
      </c>
      <c r="M313" s="7" t="str">
        <f aca="false">IF(INDEX(MASTER_DATABASE!$A$4:$A$1000,ROW()-3)="","",INDEX(MASTER_DATABASE!$AT$4:$AT$1000,ROW()-3)&amp;"")</f>
        <v/>
      </c>
      <c r="N313" s="7" t="str">
        <f aca="false">IF(INDEX(MASTER_DATABASE!$A$4:$A$1000,ROW()-3)="","",INDEX(MASTER_DATABASE!$BG$4:$BG$1000,ROW()-3)&amp;"")</f>
        <v/>
      </c>
    </row>
    <row r="314" customFormat="false" ht="15" hidden="false" customHeight="false" outlineLevel="0" collapsed="false">
      <c r="A314" s="11" t="str">
        <f aca="false">IF(INDEX(MASTER_DATABASE!$A$4:$A$1000,ROW()-3)="","",INDEX(MASTER_DATABASE!$A$4:$A$1000,ROW()-3)&amp;"")</f>
        <v/>
      </c>
      <c r="B314" s="7" t="str">
        <f aca="false">IF(INDEX(MASTER_DATABASE!$A$4:$A$1000,ROW()-3)="","",INDEX(MASTER_DATABASE!$E$4:$E$1000,ROW()-3)&amp;"")</f>
        <v/>
      </c>
      <c r="C314" s="7" t="str">
        <f aca="false">IF(INDEX(MASTER_DATABASE!$A$4:$A$1000,ROW()-3)="","",INDEX(MASTER_DATABASE!$H$4:$H$1000,ROW()-3)&amp;"")</f>
        <v/>
      </c>
      <c r="D314" s="7" t="str">
        <f aca="false">IF(INDEX(MASTER_DATABASE!$A$4:$A$1000,ROW()-3)="","",INDEX(MASTER_DATABASE!$BF$4:$BF$1000,ROW()-3)&amp;"")</f>
        <v/>
      </c>
      <c r="E314" s="7" t="str">
        <f aca="false">IF(INDEX(MASTER_DATABASE!$A$4:$A$1000,ROW()-3)="","",INDEX(MASTER_DATABASE!$O$4:$O$1000,ROW()-3)&amp;"")</f>
        <v/>
      </c>
      <c r="F314" s="7" t="str">
        <f aca="false">IF(INDEX(MASTER_DATABASE!$A$4:$A$1000,ROW()-3)="","",INDEX(MASTER_DATABASE!$M$4:$M$1000,ROW()-3)&amp;"")</f>
        <v/>
      </c>
      <c r="G314" s="7" t="str">
        <f aca="false">IF(INDEX(MASTER_DATABASE!$A$4:$A$1000,ROW()-3)="","",INDEX(MASTER_DATABASE!$P$4:$P$1000,ROW()-3)&amp;"")</f>
        <v/>
      </c>
      <c r="H31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4" s="7" t="str">
        <f aca="false">IF(INDEX(MASTER_DATABASE!$A$4:$A$1000,ROW()-3)="","",INDEX(MASTER_DATABASE!$Q$4:$Q$1000,ROW()-3)&amp;"")</f>
        <v/>
      </c>
      <c r="J314" s="7" t="str">
        <f aca="false">IF(INDEX(MASTER_DATABASE!$A$4:$A$1000,ROW()-3)="","",INDEX(MASTER_DATABASE!$J$4:$J$1000,ROW()-3)&amp;"")</f>
        <v/>
      </c>
      <c r="K314" s="7" t="str">
        <f aca="false">IF(INDEX(MASTER_DATABASE!$A$4:$A$1000,ROW()-3)="","",INDEX(MASTER_DATABASE!$AS$4:$AS$1000,ROW()-3)&amp;"")</f>
        <v/>
      </c>
      <c r="L314" s="7" t="str">
        <f aca="false">IF(INDEX(MASTER_DATABASE!$A$4:$A$1000,ROW()-3)="","",INDEX(MASTER_DATABASE!$AR$4:$AR$1000,ROW()-3)&amp;"")</f>
        <v/>
      </c>
      <c r="M314" s="7" t="str">
        <f aca="false">IF(INDEX(MASTER_DATABASE!$A$4:$A$1000,ROW()-3)="","",INDEX(MASTER_DATABASE!$AT$4:$AT$1000,ROW()-3)&amp;"")</f>
        <v/>
      </c>
      <c r="N314" s="7" t="str">
        <f aca="false">IF(INDEX(MASTER_DATABASE!$A$4:$A$1000,ROW()-3)="","",INDEX(MASTER_DATABASE!$BG$4:$BG$1000,ROW()-3)&amp;"")</f>
        <v/>
      </c>
    </row>
    <row r="315" customFormat="false" ht="15" hidden="false" customHeight="false" outlineLevel="0" collapsed="false">
      <c r="A315" s="11" t="str">
        <f aca="false">IF(INDEX(MASTER_DATABASE!$A$4:$A$1000,ROW()-3)="","",INDEX(MASTER_DATABASE!$A$4:$A$1000,ROW()-3)&amp;"")</f>
        <v/>
      </c>
      <c r="B315" s="7" t="str">
        <f aca="false">IF(INDEX(MASTER_DATABASE!$A$4:$A$1000,ROW()-3)="","",INDEX(MASTER_DATABASE!$E$4:$E$1000,ROW()-3)&amp;"")</f>
        <v/>
      </c>
      <c r="C315" s="7" t="str">
        <f aca="false">IF(INDEX(MASTER_DATABASE!$A$4:$A$1000,ROW()-3)="","",INDEX(MASTER_DATABASE!$H$4:$H$1000,ROW()-3)&amp;"")</f>
        <v/>
      </c>
      <c r="D315" s="7" t="str">
        <f aca="false">IF(INDEX(MASTER_DATABASE!$A$4:$A$1000,ROW()-3)="","",INDEX(MASTER_DATABASE!$BF$4:$BF$1000,ROW()-3)&amp;"")</f>
        <v/>
      </c>
      <c r="E315" s="7" t="str">
        <f aca="false">IF(INDEX(MASTER_DATABASE!$A$4:$A$1000,ROW()-3)="","",INDEX(MASTER_DATABASE!$O$4:$O$1000,ROW()-3)&amp;"")</f>
        <v/>
      </c>
      <c r="F315" s="7" t="str">
        <f aca="false">IF(INDEX(MASTER_DATABASE!$A$4:$A$1000,ROW()-3)="","",INDEX(MASTER_DATABASE!$M$4:$M$1000,ROW()-3)&amp;"")</f>
        <v/>
      </c>
      <c r="G315" s="7" t="str">
        <f aca="false">IF(INDEX(MASTER_DATABASE!$A$4:$A$1000,ROW()-3)="","",INDEX(MASTER_DATABASE!$P$4:$P$1000,ROW()-3)&amp;"")</f>
        <v/>
      </c>
      <c r="H31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5" s="7" t="str">
        <f aca="false">IF(INDEX(MASTER_DATABASE!$A$4:$A$1000,ROW()-3)="","",INDEX(MASTER_DATABASE!$Q$4:$Q$1000,ROW()-3)&amp;"")</f>
        <v/>
      </c>
      <c r="J315" s="7" t="str">
        <f aca="false">IF(INDEX(MASTER_DATABASE!$A$4:$A$1000,ROW()-3)="","",INDEX(MASTER_DATABASE!$J$4:$J$1000,ROW()-3)&amp;"")</f>
        <v/>
      </c>
      <c r="K315" s="7" t="str">
        <f aca="false">IF(INDEX(MASTER_DATABASE!$A$4:$A$1000,ROW()-3)="","",INDEX(MASTER_DATABASE!$AS$4:$AS$1000,ROW()-3)&amp;"")</f>
        <v/>
      </c>
      <c r="L315" s="7" t="str">
        <f aca="false">IF(INDEX(MASTER_DATABASE!$A$4:$A$1000,ROW()-3)="","",INDEX(MASTER_DATABASE!$AR$4:$AR$1000,ROW()-3)&amp;"")</f>
        <v/>
      </c>
      <c r="M315" s="7" t="str">
        <f aca="false">IF(INDEX(MASTER_DATABASE!$A$4:$A$1000,ROW()-3)="","",INDEX(MASTER_DATABASE!$AT$4:$AT$1000,ROW()-3)&amp;"")</f>
        <v/>
      </c>
      <c r="N315" s="7" t="str">
        <f aca="false">IF(INDEX(MASTER_DATABASE!$A$4:$A$1000,ROW()-3)="","",INDEX(MASTER_DATABASE!$BG$4:$BG$1000,ROW()-3)&amp;"")</f>
        <v/>
      </c>
    </row>
    <row r="316" customFormat="false" ht="15" hidden="false" customHeight="false" outlineLevel="0" collapsed="false">
      <c r="A316" s="11" t="str">
        <f aca="false">IF(INDEX(MASTER_DATABASE!$A$4:$A$1000,ROW()-3)="","",INDEX(MASTER_DATABASE!$A$4:$A$1000,ROW()-3)&amp;"")</f>
        <v/>
      </c>
      <c r="B316" s="7" t="str">
        <f aca="false">IF(INDEX(MASTER_DATABASE!$A$4:$A$1000,ROW()-3)="","",INDEX(MASTER_DATABASE!$E$4:$E$1000,ROW()-3)&amp;"")</f>
        <v/>
      </c>
      <c r="C316" s="7" t="str">
        <f aca="false">IF(INDEX(MASTER_DATABASE!$A$4:$A$1000,ROW()-3)="","",INDEX(MASTER_DATABASE!$H$4:$H$1000,ROW()-3)&amp;"")</f>
        <v/>
      </c>
      <c r="D316" s="7" t="str">
        <f aca="false">IF(INDEX(MASTER_DATABASE!$A$4:$A$1000,ROW()-3)="","",INDEX(MASTER_DATABASE!$BF$4:$BF$1000,ROW()-3)&amp;"")</f>
        <v/>
      </c>
      <c r="E316" s="7" t="str">
        <f aca="false">IF(INDEX(MASTER_DATABASE!$A$4:$A$1000,ROW()-3)="","",INDEX(MASTER_DATABASE!$O$4:$O$1000,ROW()-3)&amp;"")</f>
        <v/>
      </c>
      <c r="F316" s="7" t="str">
        <f aca="false">IF(INDEX(MASTER_DATABASE!$A$4:$A$1000,ROW()-3)="","",INDEX(MASTER_DATABASE!$M$4:$M$1000,ROW()-3)&amp;"")</f>
        <v/>
      </c>
      <c r="G316" s="7" t="str">
        <f aca="false">IF(INDEX(MASTER_DATABASE!$A$4:$A$1000,ROW()-3)="","",INDEX(MASTER_DATABASE!$P$4:$P$1000,ROW()-3)&amp;"")</f>
        <v/>
      </c>
      <c r="H31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6" s="7" t="str">
        <f aca="false">IF(INDEX(MASTER_DATABASE!$A$4:$A$1000,ROW()-3)="","",INDEX(MASTER_DATABASE!$Q$4:$Q$1000,ROW()-3)&amp;"")</f>
        <v/>
      </c>
      <c r="J316" s="7" t="str">
        <f aca="false">IF(INDEX(MASTER_DATABASE!$A$4:$A$1000,ROW()-3)="","",INDEX(MASTER_DATABASE!$J$4:$J$1000,ROW()-3)&amp;"")</f>
        <v/>
      </c>
      <c r="K316" s="7" t="str">
        <f aca="false">IF(INDEX(MASTER_DATABASE!$A$4:$A$1000,ROW()-3)="","",INDEX(MASTER_DATABASE!$AS$4:$AS$1000,ROW()-3)&amp;"")</f>
        <v/>
      </c>
      <c r="L316" s="7" t="str">
        <f aca="false">IF(INDEX(MASTER_DATABASE!$A$4:$A$1000,ROW()-3)="","",INDEX(MASTER_DATABASE!$AR$4:$AR$1000,ROW()-3)&amp;"")</f>
        <v/>
      </c>
      <c r="M316" s="7" t="str">
        <f aca="false">IF(INDEX(MASTER_DATABASE!$A$4:$A$1000,ROW()-3)="","",INDEX(MASTER_DATABASE!$AT$4:$AT$1000,ROW()-3)&amp;"")</f>
        <v/>
      </c>
      <c r="N316" s="7" t="str">
        <f aca="false">IF(INDEX(MASTER_DATABASE!$A$4:$A$1000,ROW()-3)="","",INDEX(MASTER_DATABASE!$BG$4:$BG$1000,ROW()-3)&amp;"")</f>
        <v/>
      </c>
    </row>
    <row r="317" customFormat="false" ht="15" hidden="false" customHeight="false" outlineLevel="0" collapsed="false">
      <c r="A317" s="11" t="str">
        <f aca="false">IF(INDEX(MASTER_DATABASE!$A$4:$A$1000,ROW()-3)="","",INDEX(MASTER_DATABASE!$A$4:$A$1000,ROW()-3)&amp;"")</f>
        <v/>
      </c>
      <c r="B317" s="7" t="str">
        <f aca="false">IF(INDEX(MASTER_DATABASE!$A$4:$A$1000,ROW()-3)="","",INDEX(MASTER_DATABASE!$E$4:$E$1000,ROW()-3)&amp;"")</f>
        <v/>
      </c>
      <c r="C317" s="7" t="str">
        <f aca="false">IF(INDEX(MASTER_DATABASE!$A$4:$A$1000,ROW()-3)="","",INDEX(MASTER_DATABASE!$H$4:$H$1000,ROW()-3)&amp;"")</f>
        <v/>
      </c>
      <c r="D317" s="7" t="str">
        <f aca="false">IF(INDEX(MASTER_DATABASE!$A$4:$A$1000,ROW()-3)="","",INDEX(MASTER_DATABASE!$BF$4:$BF$1000,ROW()-3)&amp;"")</f>
        <v/>
      </c>
      <c r="E317" s="7" t="str">
        <f aca="false">IF(INDEX(MASTER_DATABASE!$A$4:$A$1000,ROW()-3)="","",INDEX(MASTER_DATABASE!$O$4:$O$1000,ROW()-3)&amp;"")</f>
        <v/>
      </c>
      <c r="F317" s="7" t="str">
        <f aca="false">IF(INDEX(MASTER_DATABASE!$A$4:$A$1000,ROW()-3)="","",INDEX(MASTER_DATABASE!$M$4:$M$1000,ROW()-3)&amp;"")</f>
        <v/>
      </c>
      <c r="G317" s="7" t="str">
        <f aca="false">IF(INDEX(MASTER_DATABASE!$A$4:$A$1000,ROW()-3)="","",INDEX(MASTER_DATABASE!$P$4:$P$1000,ROW()-3)&amp;"")</f>
        <v/>
      </c>
      <c r="H31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7" s="7" t="str">
        <f aca="false">IF(INDEX(MASTER_DATABASE!$A$4:$A$1000,ROW()-3)="","",INDEX(MASTER_DATABASE!$Q$4:$Q$1000,ROW()-3)&amp;"")</f>
        <v/>
      </c>
      <c r="J317" s="7" t="str">
        <f aca="false">IF(INDEX(MASTER_DATABASE!$A$4:$A$1000,ROW()-3)="","",INDEX(MASTER_DATABASE!$J$4:$J$1000,ROW()-3)&amp;"")</f>
        <v/>
      </c>
      <c r="K317" s="7" t="str">
        <f aca="false">IF(INDEX(MASTER_DATABASE!$A$4:$A$1000,ROW()-3)="","",INDEX(MASTER_DATABASE!$AS$4:$AS$1000,ROW()-3)&amp;"")</f>
        <v/>
      </c>
      <c r="L317" s="7" t="str">
        <f aca="false">IF(INDEX(MASTER_DATABASE!$A$4:$A$1000,ROW()-3)="","",INDEX(MASTER_DATABASE!$AR$4:$AR$1000,ROW()-3)&amp;"")</f>
        <v/>
      </c>
      <c r="M317" s="7" t="str">
        <f aca="false">IF(INDEX(MASTER_DATABASE!$A$4:$A$1000,ROW()-3)="","",INDEX(MASTER_DATABASE!$AT$4:$AT$1000,ROW()-3)&amp;"")</f>
        <v/>
      </c>
      <c r="N317" s="7" t="str">
        <f aca="false">IF(INDEX(MASTER_DATABASE!$A$4:$A$1000,ROW()-3)="","",INDEX(MASTER_DATABASE!$BG$4:$BG$1000,ROW()-3)&amp;"")</f>
        <v/>
      </c>
    </row>
    <row r="318" customFormat="false" ht="15" hidden="false" customHeight="false" outlineLevel="0" collapsed="false">
      <c r="A318" s="11" t="str">
        <f aca="false">IF(INDEX(MASTER_DATABASE!$A$4:$A$1000,ROW()-3)="","",INDEX(MASTER_DATABASE!$A$4:$A$1000,ROW()-3)&amp;"")</f>
        <v/>
      </c>
      <c r="B318" s="7" t="str">
        <f aca="false">IF(INDEX(MASTER_DATABASE!$A$4:$A$1000,ROW()-3)="","",INDEX(MASTER_DATABASE!$E$4:$E$1000,ROW()-3)&amp;"")</f>
        <v/>
      </c>
      <c r="C318" s="7" t="str">
        <f aca="false">IF(INDEX(MASTER_DATABASE!$A$4:$A$1000,ROW()-3)="","",INDEX(MASTER_DATABASE!$H$4:$H$1000,ROW()-3)&amp;"")</f>
        <v/>
      </c>
      <c r="D318" s="7" t="str">
        <f aca="false">IF(INDEX(MASTER_DATABASE!$A$4:$A$1000,ROW()-3)="","",INDEX(MASTER_DATABASE!$BF$4:$BF$1000,ROW()-3)&amp;"")</f>
        <v/>
      </c>
      <c r="E318" s="7" t="str">
        <f aca="false">IF(INDEX(MASTER_DATABASE!$A$4:$A$1000,ROW()-3)="","",INDEX(MASTER_DATABASE!$O$4:$O$1000,ROW()-3)&amp;"")</f>
        <v/>
      </c>
      <c r="F318" s="7" t="str">
        <f aca="false">IF(INDEX(MASTER_DATABASE!$A$4:$A$1000,ROW()-3)="","",INDEX(MASTER_DATABASE!$M$4:$M$1000,ROW()-3)&amp;"")</f>
        <v/>
      </c>
      <c r="G318" s="7" t="str">
        <f aca="false">IF(INDEX(MASTER_DATABASE!$A$4:$A$1000,ROW()-3)="","",INDEX(MASTER_DATABASE!$P$4:$P$1000,ROW()-3)&amp;"")</f>
        <v/>
      </c>
      <c r="H31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8" s="7" t="str">
        <f aca="false">IF(INDEX(MASTER_DATABASE!$A$4:$A$1000,ROW()-3)="","",INDEX(MASTER_DATABASE!$Q$4:$Q$1000,ROW()-3)&amp;"")</f>
        <v/>
      </c>
      <c r="J318" s="7" t="str">
        <f aca="false">IF(INDEX(MASTER_DATABASE!$A$4:$A$1000,ROW()-3)="","",INDEX(MASTER_DATABASE!$J$4:$J$1000,ROW()-3)&amp;"")</f>
        <v/>
      </c>
      <c r="K318" s="7" t="str">
        <f aca="false">IF(INDEX(MASTER_DATABASE!$A$4:$A$1000,ROW()-3)="","",INDEX(MASTER_DATABASE!$AS$4:$AS$1000,ROW()-3)&amp;"")</f>
        <v/>
      </c>
      <c r="L318" s="7" t="str">
        <f aca="false">IF(INDEX(MASTER_DATABASE!$A$4:$A$1000,ROW()-3)="","",INDEX(MASTER_DATABASE!$AR$4:$AR$1000,ROW()-3)&amp;"")</f>
        <v/>
      </c>
      <c r="M318" s="7" t="str">
        <f aca="false">IF(INDEX(MASTER_DATABASE!$A$4:$A$1000,ROW()-3)="","",INDEX(MASTER_DATABASE!$AT$4:$AT$1000,ROW()-3)&amp;"")</f>
        <v/>
      </c>
      <c r="N318" s="7" t="str">
        <f aca="false">IF(INDEX(MASTER_DATABASE!$A$4:$A$1000,ROW()-3)="","",INDEX(MASTER_DATABASE!$BG$4:$BG$1000,ROW()-3)&amp;"")</f>
        <v/>
      </c>
    </row>
    <row r="319" customFormat="false" ht="15" hidden="false" customHeight="false" outlineLevel="0" collapsed="false">
      <c r="A319" s="11" t="str">
        <f aca="false">IF(INDEX(MASTER_DATABASE!$A$4:$A$1000,ROW()-3)="","",INDEX(MASTER_DATABASE!$A$4:$A$1000,ROW()-3)&amp;"")</f>
        <v/>
      </c>
      <c r="B319" s="7" t="str">
        <f aca="false">IF(INDEX(MASTER_DATABASE!$A$4:$A$1000,ROW()-3)="","",INDEX(MASTER_DATABASE!$E$4:$E$1000,ROW()-3)&amp;"")</f>
        <v/>
      </c>
      <c r="C319" s="7" t="str">
        <f aca="false">IF(INDEX(MASTER_DATABASE!$A$4:$A$1000,ROW()-3)="","",INDEX(MASTER_DATABASE!$H$4:$H$1000,ROW()-3)&amp;"")</f>
        <v/>
      </c>
      <c r="D319" s="7" t="str">
        <f aca="false">IF(INDEX(MASTER_DATABASE!$A$4:$A$1000,ROW()-3)="","",INDEX(MASTER_DATABASE!$BF$4:$BF$1000,ROW()-3)&amp;"")</f>
        <v/>
      </c>
      <c r="E319" s="7" t="str">
        <f aca="false">IF(INDEX(MASTER_DATABASE!$A$4:$A$1000,ROW()-3)="","",INDEX(MASTER_DATABASE!$O$4:$O$1000,ROW()-3)&amp;"")</f>
        <v/>
      </c>
      <c r="F319" s="7" t="str">
        <f aca="false">IF(INDEX(MASTER_DATABASE!$A$4:$A$1000,ROW()-3)="","",INDEX(MASTER_DATABASE!$M$4:$M$1000,ROW()-3)&amp;"")</f>
        <v/>
      </c>
      <c r="G319" s="7" t="str">
        <f aca="false">IF(INDEX(MASTER_DATABASE!$A$4:$A$1000,ROW()-3)="","",INDEX(MASTER_DATABASE!$P$4:$P$1000,ROW()-3)&amp;"")</f>
        <v/>
      </c>
      <c r="H31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19" s="7" t="str">
        <f aca="false">IF(INDEX(MASTER_DATABASE!$A$4:$A$1000,ROW()-3)="","",INDEX(MASTER_DATABASE!$Q$4:$Q$1000,ROW()-3)&amp;"")</f>
        <v/>
      </c>
      <c r="J319" s="7" t="str">
        <f aca="false">IF(INDEX(MASTER_DATABASE!$A$4:$A$1000,ROW()-3)="","",INDEX(MASTER_DATABASE!$J$4:$J$1000,ROW()-3)&amp;"")</f>
        <v/>
      </c>
      <c r="K319" s="7" t="str">
        <f aca="false">IF(INDEX(MASTER_DATABASE!$A$4:$A$1000,ROW()-3)="","",INDEX(MASTER_DATABASE!$AS$4:$AS$1000,ROW()-3)&amp;"")</f>
        <v/>
      </c>
      <c r="L319" s="7" t="str">
        <f aca="false">IF(INDEX(MASTER_DATABASE!$A$4:$A$1000,ROW()-3)="","",INDEX(MASTER_DATABASE!$AR$4:$AR$1000,ROW()-3)&amp;"")</f>
        <v/>
      </c>
      <c r="M319" s="7" t="str">
        <f aca="false">IF(INDEX(MASTER_DATABASE!$A$4:$A$1000,ROW()-3)="","",INDEX(MASTER_DATABASE!$AT$4:$AT$1000,ROW()-3)&amp;"")</f>
        <v/>
      </c>
      <c r="N319" s="7" t="str">
        <f aca="false">IF(INDEX(MASTER_DATABASE!$A$4:$A$1000,ROW()-3)="","",INDEX(MASTER_DATABASE!$BG$4:$BG$1000,ROW()-3)&amp;"")</f>
        <v/>
      </c>
    </row>
    <row r="320" customFormat="false" ht="15" hidden="false" customHeight="false" outlineLevel="0" collapsed="false">
      <c r="A320" s="11" t="str">
        <f aca="false">IF(INDEX(MASTER_DATABASE!$A$4:$A$1000,ROW()-3)="","",INDEX(MASTER_DATABASE!$A$4:$A$1000,ROW()-3)&amp;"")</f>
        <v/>
      </c>
      <c r="B320" s="7" t="str">
        <f aca="false">IF(INDEX(MASTER_DATABASE!$A$4:$A$1000,ROW()-3)="","",INDEX(MASTER_DATABASE!$E$4:$E$1000,ROW()-3)&amp;"")</f>
        <v/>
      </c>
      <c r="C320" s="7" t="str">
        <f aca="false">IF(INDEX(MASTER_DATABASE!$A$4:$A$1000,ROW()-3)="","",INDEX(MASTER_DATABASE!$H$4:$H$1000,ROW()-3)&amp;"")</f>
        <v/>
      </c>
      <c r="D320" s="7" t="str">
        <f aca="false">IF(INDEX(MASTER_DATABASE!$A$4:$A$1000,ROW()-3)="","",INDEX(MASTER_DATABASE!$BF$4:$BF$1000,ROW()-3)&amp;"")</f>
        <v/>
      </c>
      <c r="E320" s="7" t="str">
        <f aca="false">IF(INDEX(MASTER_DATABASE!$A$4:$A$1000,ROW()-3)="","",INDEX(MASTER_DATABASE!$O$4:$O$1000,ROW()-3)&amp;"")</f>
        <v/>
      </c>
      <c r="F320" s="7" t="str">
        <f aca="false">IF(INDEX(MASTER_DATABASE!$A$4:$A$1000,ROW()-3)="","",INDEX(MASTER_DATABASE!$M$4:$M$1000,ROW()-3)&amp;"")</f>
        <v/>
      </c>
      <c r="G320" s="7" t="str">
        <f aca="false">IF(INDEX(MASTER_DATABASE!$A$4:$A$1000,ROW()-3)="","",INDEX(MASTER_DATABASE!$P$4:$P$1000,ROW()-3)&amp;"")</f>
        <v/>
      </c>
      <c r="H32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0" s="7" t="str">
        <f aca="false">IF(INDEX(MASTER_DATABASE!$A$4:$A$1000,ROW()-3)="","",INDEX(MASTER_DATABASE!$Q$4:$Q$1000,ROW()-3)&amp;"")</f>
        <v/>
      </c>
      <c r="J320" s="7" t="str">
        <f aca="false">IF(INDEX(MASTER_DATABASE!$A$4:$A$1000,ROW()-3)="","",INDEX(MASTER_DATABASE!$J$4:$J$1000,ROW()-3)&amp;"")</f>
        <v/>
      </c>
      <c r="K320" s="7" t="str">
        <f aca="false">IF(INDEX(MASTER_DATABASE!$A$4:$A$1000,ROW()-3)="","",INDEX(MASTER_DATABASE!$AS$4:$AS$1000,ROW()-3)&amp;"")</f>
        <v/>
      </c>
      <c r="L320" s="7" t="str">
        <f aca="false">IF(INDEX(MASTER_DATABASE!$A$4:$A$1000,ROW()-3)="","",INDEX(MASTER_DATABASE!$AR$4:$AR$1000,ROW()-3)&amp;"")</f>
        <v/>
      </c>
      <c r="M320" s="7" t="str">
        <f aca="false">IF(INDEX(MASTER_DATABASE!$A$4:$A$1000,ROW()-3)="","",INDEX(MASTER_DATABASE!$AT$4:$AT$1000,ROW()-3)&amp;"")</f>
        <v/>
      </c>
      <c r="N320" s="7" t="str">
        <f aca="false">IF(INDEX(MASTER_DATABASE!$A$4:$A$1000,ROW()-3)="","",INDEX(MASTER_DATABASE!$BG$4:$BG$1000,ROW()-3)&amp;"")</f>
        <v/>
      </c>
    </row>
    <row r="321" customFormat="false" ht="15" hidden="false" customHeight="false" outlineLevel="0" collapsed="false">
      <c r="A321" s="11" t="str">
        <f aca="false">IF(INDEX(MASTER_DATABASE!$A$4:$A$1000,ROW()-3)="","",INDEX(MASTER_DATABASE!$A$4:$A$1000,ROW()-3)&amp;"")</f>
        <v/>
      </c>
      <c r="B321" s="7" t="str">
        <f aca="false">IF(INDEX(MASTER_DATABASE!$A$4:$A$1000,ROW()-3)="","",INDEX(MASTER_DATABASE!$E$4:$E$1000,ROW()-3)&amp;"")</f>
        <v/>
      </c>
      <c r="C321" s="7" t="str">
        <f aca="false">IF(INDEX(MASTER_DATABASE!$A$4:$A$1000,ROW()-3)="","",INDEX(MASTER_DATABASE!$H$4:$H$1000,ROW()-3)&amp;"")</f>
        <v/>
      </c>
      <c r="D321" s="7" t="str">
        <f aca="false">IF(INDEX(MASTER_DATABASE!$A$4:$A$1000,ROW()-3)="","",INDEX(MASTER_DATABASE!$BF$4:$BF$1000,ROW()-3)&amp;"")</f>
        <v/>
      </c>
      <c r="E321" s="7" t="str">
        <f aca="false">IF(INDEX(MASTER_DATABASE!$A$4:$A$1000,ROW()-3)="","",INDEX(MASTER_DATABASE!$O$4:$O$1000,ROW()-3)&amp;"")</f>
        <v/>
      </c>
      <c r="F321" s="7" t="str">
        <f aca="false">IF(INDEX(MASTER_DATABASE!$A$4:$A$1000,ROW()-3)="","",INDEX(MASTER_DATABASE!$M$4:$M$1000,ROW()-3)&amp;"")</f>
        <v/>
      </c>
      <c r="G321" s="7" t="str">
        <f aca="false">IF(INDEX(MASTER_DATABASE!$A$4:$A$1000,ROW()-3)="","",INDEX(MASTER_DATABASE!$P$4:$P$1000,ROW()-3)&amp;"")</f>
        <v/>
      </c>
      <c r="H32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1" s="7" t="str">
        <f aca="false">IF(INDEX(MASTER_DATABASE!$A$4:$A$1000,ROW()-3)="","",INDEX(MASTER_DATABASE!$Q$4:$Q$1000,ROW()-3)&amp;"")</f>
        <v/>
      </c>
      <c r="J321" s="7" t="str">
        <f aca="false">IF(INDEX(MASTER_DATABASE!$A$4:$A$1000,ROW()-3)="","",INDEX(MASTER_DATABASE!$J$4:$J$1000,ROW()-3)&amp;"")</f>
        <v/>
      </c>
      <c r="K321" s="7" t="str">
        <f aca="false">IF(INDEX(MASTER_DATABASE!$A$4:$A$1000,ROW()-3)="","",INDEX(MASTER_DATABASE!$AS$4:$AS$1000,ROW()-3)&amp;"")</f>
        <v/>
      </c>
      <c r="L321" s="7" t="str">
        <f aca="false">IF(INDEX(MASTER_DATABASE!$A$4:$A$1000,ROW()-3)="","",INDEX(MASTER_DATABASE!$AR$4:$AR$1000,ROW()-3)&amp;"")</f>
        <v/>
      </c>
      <c r="M321" s="7" t="str">
        <f aca="false">IF(INDEX(MASTER_DATABASE!$A$4:$A$1000,ROW()-3)="","",INDEX(MASTER_DATABASE!$AT$4:$AT$1000,ROW()-3)&amp;"")</f>
        <v/>
      </c>
      <c r="N321" s="7" t="str">
        <f aca="false">IF(INDEX(MASTER_DATABASE!$A$4:$A$1000,ROW()-3)="","",INDEX(MASTER_DATABASE!$BG$4:$BG$1000,ROW()-3)&amp;"")</f>
        <v/>
      </c>
    </row>
    <row r="322" customFormat="false" ht="15" hidden="false" customHeight="false" outlineLevel="0" collapsed="false">
      <c r="A322" s="11" t="str">
        <f aca="false">IF(INDEX(MASTER_DATABASE!$A$4:$A$1000,ROW()-3)="","",INDEX(MASTER_DATABASE!$A$4:$A$1000,ROW()-3)&amp;"")</f>
        <v/>
      </c>
      <c r="B322" s="7" t="str">
        <f aca="false">IF(INDEX(MASTER_DATABASE!$A$4:$A$1000,ROW()-3)="","",INDEX(MASTER_DATABASE!$E$4:$E$1000,ROW()-3)&amp;"")</f>
        <v/>
      </c>
      <c r="C322" s="7" t="str">
        <f aca="false">IF(INDEX(MASTER_DATABASE!$A$4:$A$1000,ROW()-3)="","",INDEX(MASTER_DATABASE!$H$4:$H$1000,ROW()-3)&amp;"")</f>
        <v/>
      </c>
      <c r="D322" s="7" t="str">
        <f aca="false">IF(INDEX(MASTER_DATABASE!$A$4:$A$1000,ROW()-3)="","",INDEX(MASTER_DATABASE!$BF$4:$BF$1000,ROW()-3)&amp;"")</f>
        <v/>
      </c>
      <c r="E322" s="7" t="str">
        <f aca="false">IF(INDEX(MASTER_DATABASE!$A$4:$A$1000,ROW()-3)="","",INDEX(MASTER_DATABASE!$O$4:$O$1000,ROW()-3)&amp;"")</f>
        <v/>
      </c>
      <c r="F322" s="7" t="str">
        <f aca="false">IF(INDEX(MASTER_DATABASE!$A$4:$A$1000,ROW()-3)="","",INDEX(MASTER_DATABASE!$M$4:$M$1000,ROW()-3)&amp;"")</f>
        <v/>
      </c>
      <c r="G322" s="7" t="str">
        <f aca="false">IF(INDEX(MASTER_DATABASE!$A$4:$A$1000,ROW()-3)="","",INDEX(MASTER_DATABASE!$P$4:$P$1000,ROW()-3)&amp;"")</f>
        <v/>
      </c>
      <c r="H32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2" s="7" t="str">
        <f aca="false">IF(INDEX(MASTER_DATABASE!$A$4:$A$1000,ROW()-3)="","",INDEX(MASTER_DATABASE!$Q$4:$Q$1000,ROW()-3)&amp;"")</f>
        <v/>
      </c>
      <c r="J322" s="7" t="str">
        <f aca="false">IF(INDEX(MASTER_DATABASE!$A$4:$A$1000,ROW()-3)="","",INDEX(MASTER_DATABASE!$J$4:$J$1000,ROW()-3)&amp;"")</f>
        <v/>
      </c>
      <c r="K322" s="7" t="str">
        <f aca="false">IF(INDEX(MASTER_DATABASE!$A$4:$A$1000,ROW()-3)="","",INDEX(MASTER_DATABASE!$AS$4:$AS$1000,ROW()-3)&amp;"")</f>
        <v/>
      </c>
      <c r="L322" s="7" t="str">
        <f aca="false">IF(INDEX(MASTER_DATABASE!$A$4:$A$1000,ROW()-3)="","",INDEX(MASTER_DATABASE!$AR$4:$AR$1000,ROW()-3)&amp;"")</f>
        <v/>
      </c>
      <c r="M322" s="7" t="str">
        <f aca="false">IF(INDEX(MASTER_DATABASE!$A$4:$A$1000,ROW()-3)="","",INDEX(MASTER_DATABASE!$AT$4:$AT$1000,ROW()-3)&amp;"")</f>
        <v/>
      </c>
      <c r="N322" s="7" t="str">
        <f aca="false">IF(INDEX(MASTER_DATABASE!$A$4:$A$1000,ROW()-3)="","",INDEX(MASTER_DATABASE!$BG$4:$BG$1000,ROW()-3)&amp;"")</f>
        <v/>
      </c>
    </row>
    <row r="323" customFormat="false" ht="15" hidden="false" customHeight="false" outlineLevel="0" collapsed="false">
      <c r="A323" s="11" t="str">
        <f aca="false">IF(INDEX(MASTER_DATABASE!$A$4:$A$1000,ROW()-3)="","",INDEX(MASTER_DATABASE!$A$4:$A$1000,ROW()-3)&amp;"")</f>
        <v/>
      </c>
      <c r="B323" s="7" t="str">
        <f aca="false">IF(INDEX(MASTER_DATABASE!$A$4:$A$1000,ROW()-3)="","",INDEX(MASTER_DATABASE!$E$4:$E$1000,ROW()-3)&amp;"")</f>
        <v/>
      </c>
      <c r="C323" s="7" t="str">
        <f aca="false">IF(INDEX(MASTER_DATABASE!$A$4:$A$1000,ROW()-3)="","",INDEX(MASTER_DATABASE!$H$4:$H$1000,ROW()-3)&amp;"")</f>
        <v/>
      </c>
      <c r="D323" s="7" t="str">
        <f aca="false">IF(INDEX(MASTER_DATABASE!$A$4:$A$1000,ROW()-3)="","",INDEX(MASTER_DATABASE!$BF$4:$BF$1000,ROW()-3)&amp;"")</f>
        <v/>
      </c>
      <c r="E323" s="7" t="str">
        <f aca="false">IF(INDEX(MASTER_DATABASE!$A$4:$A$1000,ROW()-3)="","",INDEX(MASTER_DATABASE!$O$4:$O$1000,ROW()-3)&amp;"")</f>
        <v/>
      </c>
      <c r="F323" s="7" t="str">
        <f aca="false">IF(INDEX(MASTER_DATABASE!$A$4:$A$1000,ROW()-3)="","",INDEX(MASTER_DATABASE!$M$4:$M$1000,ROW()-3)&amp;"")</f>
        <v/>
      </c>
      <c r="G323" s="7" t="str">
        <f aca="false">IF(INDEX(MASTER_DATABASE!$A$4:$A$1000,ROW()-3)="","",INDEX(MASTER_DATABASE!$P$4:$P$1000,ROW()-3)&amp;"")</f>
        <v/>
      </c>
      <c r="H32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3" s="7" t="str">
        <f aca="false">IF(INDEX(MASTER_DATABASE!$A$4:$A$1000,ROW()-3)="","",INDEX(MASTER_DATABASE!$Q$4:$Q$1000,ROW()-3)&amp;"")</f>
        <v/>
      </c>
      <c r="J323" s="7" t="str">
        <f aca="false">IF(INDEX(MASTER_DATABASE!$A$4:$A$1000,ROW()-3)="","",INDEX(MASTER_DATABASE!$J$4:$J$1000,ROW()-3)&amp;"")</f>
        <v/>
      </c>
      <c r="K323" s="7" t="str">
        <f aca="false">IF(INDEX(MASTER_DATABASE!$A$4:$A$1000,ROW()-3)="","",INDEX(MASTER_DATABASE!$AS$4:$AS$1000,ROW()-3)&amp;"")</f>
        <v/>
      </c>
      <c r="L323" s="7" t="str">
        <f aca="false">IF(INDEX(MASTER_DATABASE!$A$4:$A$1000,ROW()-3)="","",INDEX(MASTER_DATABASE!$AR$4:$AR$1000,ROW()-3)&amp;"")</f>
        <v/>
      </c>
      <c r="M323" s="7" t="str">
        <f aca="false">IF(INDEX(MASTER_DATABASE!$A$4:$A$1000,ROW()-3)="","",INDEX(MASTER_DATABASE!$AT$4:$AT$1000,ROW()-3)&amp;"")</f>
        <v/>
      </c>
      <c r="N323" s="7" t="str">
        <f aca="false">IF(INDEX(MASTER_DATABASE!$A$4:$A$1000,ROW()-3)="","",INDEX(MASTER_DATABASE!$BG$4:$BG$1000,ROW()-3)&amp;"")</f>
        <v/>
      </c>
    </row>
    <row r="324" customFormat="false" ht="15" hidden="false" customHeight="false" outlineLevel="0" collapsed="false">
      <c r="A324" s="11" t="str">
        <f aca="false">IF(INDEX(MASTER_DATABASE!$A$4:$A$1000,ROW()-3)="","",INDEX(MASTER_DATABASE!$A$4:$A$1000,ROW()-3)&amp;"")</f>
        <v/>
      </c>
      <c r="B324" s="7" t="str">
        <f aca="false">IF(INDEX(MASTER_DATABASE!$A$4:$A$1000,ROW()-3)="","",INDEX(MASTER_DATABASE!$E$4:$E$1000,ROW()-3)&amp;"")</f>
        <v/>
      </c>
      <c r="C324" s="7" t="str">
        <f aca="false">IF(INDEX(MASTER_DATABASE!$A$4:$A$1000,ROW()-3)="","",INDEX(MASTER_DATABASE!$H$4:$H$1000,ROW()-3)&amp;"")</f>
        <v/>
      </c>
      <c r="D324" s="7" t="str">
        <f aca="false">IF(INDEX(MASTER_DATABASE!$A$4:$A$1000,ROW()-3)="","",INDEX(MASTER_DATABASE!$BF$4:$BF$1000,ROW()-3)&amp;"")</f>
        <v/>
      </c>
      <c r="E324" s="7" t="str">
        <f aca="false">IF(INDEX(MASTER_DATABASE!$A$4:$A$1000,ROW()-3)="","",INDEX(MASTER_DATABASE!$O$4:$O$1000,ROW()-3)&amp;"")</f>
        <v/>
      </c>
      <c r="F324" s="7" t="str">
        <f aca="false">IF(INDEX(MASTER_DATABASE!$A$4:$A$1000,ROW()-3)="","",INDEX(MASTER_DATABASE!$M$4:$M$1000,ROW()-3)&amp;"")</f>
        <v/>
      </c>
      <c r="G324" s="7" t="str">
        <f aca="false">IF(INDEX(MASTER_DATABASE!$A$4:$A$1000,ROW()-3)="","",INDEX(MASTER_DATABASE!$P$4:$P$1000,ROW()-3)&amp;"")</f>
        <v/>
      </c>
      <c r="H32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4" s="7" t="str">
        <f aca="false">IF(INDEX(MASTER_DATABASE!$A$4:$A$1000,ROW()-3)="","",INDEX(MASTER_DATABASE!$Q$4:$Q$1000,ROW()-3)&amp;"")</f>
        <v/>
      </c>
      <c r="J324" s="7" t="str">
        <f aca="false">IF(INDEX(MASTER_DATABASE!$A$4:$A$1000,ROW()-3)="","",INDEX(MASTER_DATABASE!$J$4:$J$1000,ROW()-3)&amp;"")</f>
        <v/>
      </c>
      <c r="K324" s="7" t="str">
        <f aca="false">IF(INDEX(MASTER_DATABASE!$A$4:$A$1000,ROW()-3)="","",INDEX(MASTER_DATABASE!$AS$4:$AS$1000,ROW()-3)&amp;"")</f>
        <v/>
      </c>
      <c r="L324" s="7" t="str">
        <f aca="false">IF(INDEX(MASTER_DATABASE!$A$4:$A$1000,ROW()-3)="","",INDEX(MASTER_DATABASE!$AR$4:$AR$1000,ROW()-3)&amp;"")</f>
        <v/>
      </c>
      <c r="M324" s="7" t="str">
        <f aca="false">IF(INDEX(MASTER_DATABASE!$A$4:$A$1000,ROW()-3)="","",INDEX(MASTER_DATABASE!$AT$4:$AT$1000,ROW()-3)&amp;"")</f>
        <v/>
      </c>
      <c r="N324" s="7" t="str">
        <f aca="false">IF(INDEX(MASTER_DATABASE!$A$4:$A$1000,ROW()-3)="","",INDEX(MASTER_DATABASE!$BG$4:$BG$1000,ROW()-3)&amp;"")</f>
        <v/>
      </c>
    </row>
    <row r="325" customFormat="false" ht="15" hidden="false" customHeight="false" outlineLevel="0" collapsed="false">
      <c r="A325" s="11" t="str">
        <f aca="false">IF(INDEX(MASTER_DATABASE!$A$4:$A$1000,ROW()-3)="","",INDEX(MASTER_DATABASE!$A$4:$A$1000,ROW()-3)&amp;"")</f>
        <v/>
      </c>
      <c r="B325" s="7" t="str">
        <f aca="false">IF(INDEX(MASTER_DATABASE!$A$4:$A$1000,ROW()-3)="","",INDEX(MASTER_DATABASE!$E$4:$E$1000,ROW()-3)&amp;"")</f>
        <v/>
      </c>
      <c r="C325" s="7" t="str">
        <f aca="false">IF(INDEX(MASTER_DATABASE!$A$4:$A$1000,ROW()-3)="","",INDEX(MASTER_DATABASE!$H$4:$H$1000,ROW()-3)&amp;"")</f>
        <v/>
      </c>
      <c r="D325" s="7" t="str">
        <f aca="false">IF(INDEX(MASTER_DATABASE!$A$4:$A$1000,ROW()-3)="","",INDEX(MASTER_DATABASE!$BF$4:$BF$1000,ROW()-3)&amp;"")</f>
        <v/>
      </c>
      <c r="E325" s="7" t="str">
        <f aca="false">IF(INDEX(MASTER_DATABASE!$A$4:$A$1000,ROW()-3)="","",INDEX(MASTER_DATABASE!$O$4:$O$1000,ROW()-3)&amp;"")</f>
        <v/>
      </c>
      <c r="F325" s="7" t="str">
        <f aca="false">IF(INDEX(MASTER_DATABASE!$A$4:$A$1000,ROW()-3)="","",INDEX(MASTER_DATABASE!$M$4:$M$1000,ROW()-3)&amp;"")</f>
        <v/>
      </c>
      <c r="G325" s="7" t="str">
        <f aca="false">IF(INDEX(MASTER_DATABASE!$A$4:$A$1000,ROW()-3)="","",INDEX(MASTER_DATABASE!$P$4:$P$1000,ROW()-3)&amp;"")</f>
        <v/>
      </c>
      <c r="H32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5" s="7" t="str">
        <f aca="false">IF(INDEX(MASTER_DATABASE!$A$4:$A$1000,ROW()-3)="","",INDEX(MASTER_DATABASE!$Q$4:$Q$1000,ROW()-3)&amp;"")</f>
        <v/>
      </c>
      <c r="J325" s="7" t="str">
        <f aca="false">IF(INDEX(MASTER_DATABASE!$A$4:$A$1000,ROW()-3)="","",INDEX(MASTER_DATABASE!$J$4:$J$1000,ROW()-3)&amp;"")</f>
        <v/>
      </c>
      <c r="K325" s="7" t="str">
        <f aca="false">IF(INDEX(MASTER_DATABASE!$A$4:$A$1000,ROW()-3)="","",INDEX(MASTER_DATABASE!$AS$4:$AS$1000,ROW()-3)&amp;"")</f>
        <v/>
      </c>
      <c r="L325" s="7" t="str">
        <f aca="false">IF(INDEX(MASTER_DATABASE!$A$4:$A$1000,ROW()-3)="","",INDEX(MASTER_DATABASE!$AR$4:$AR$1000,ROW()-3)&amp;"")</f>
        <v/>
      </c>
      <c r="M325" s="7" t="str">
        <f aca="false">IF(INDEX(MASTER_DATABASE!$A$4:$A$1000,ROW()-3)="","",INDEX(MASTER_DATABASE!$AT$4:$AT$1000,ROW()-3)&amp;"")</f>
        <v/>
      </c>
      <c r="N325" s="7" t="str">
        <f aca="false">IF(INDEX(MASTER_DATABASE!$A$4:$A$1000,ROW()-3)="","",INDEX(MASTER_DATABASE!$BG$4:$BG$1000,ROW()-3)&amp;"")</f>
        <v/>
      </c>
    </row>
    <row r="326" customFormat="false" ht="15" hidden="false" customHeight="false" outlineLevel="0" collapsed="false">
      <c r="A326" s="11" t="str">
        <f aca="false">IF(INDEX(MASTER_DATABASE!$A$4:$A$1000,ROW()-3)="","",INDEX(MASTER_DATABASE!$A$4:$A$1000,ROW()-3)&amp;"")</f>
        <v/>
      </c>
      <c r="B326" s="7" t="str">
        <f aca="false">IF(INDEX(MASTER_DATABASE!$A$4:$A$1000,ROW()-3)="","",INDEX(MASTER_DATABASE!$E$4:$E$1000,ROW()-3)&amp;"")</f>
        <v/>
      </c>
      <c r="C326" s="7" t="str">
        <f aca="false">IF(INDEX(MASTER_DATABASE!$A$4:$A$1000,ROW()-3)="","",INDEX(MASTER_DATABASE!$H$4:$H$1000,ROW()-3)&amp;"")</f>
        <v/>
      </c>
      <c r="D326" s="7" t="str">
        <f aca="false">IF(INDEX(MASTER_DATABASE!$A$4:$A$1000,ROW()-3)="","",INDEX(MASTER_DATABASE!$BF$4:$BF$1000,ROW()-3)&amp;"")</f>
        <v/>
      </c>
      <c r="E326" s="7" t="str">
        <f aca="false">IF(INDEX(MASTER_DATABASE!$A$4:$A$1000,ROW()-3)="","",INDEX(MASTER_DATABASE!$O$4:$O$1000,ROW()-3)&amp;"")</f>
        <v/>
      </c>
      <c r="F326" s="7" t="str">
        <f aca="false">IF(INDEX(MASTER_DATABASE!$A$4:$A$1000,ROW()-3)="","",INDEX(MASTER_DATABASE!$M$4:$M$1000,ROW()-3)&amp;"")</f>
        <v/>
      </c>
      <c r="G326" s="7" t="str">
        <f aca="false">IF(INDEX(MASTER_DATABASE!$A$4:$A$1000,ROW()-3)="","",INDEX(MASTER_DATABASE!$P$4:$P$1000,ROW()-3)&amp;"")</f>
        <v/>
      </c>
      <c r="H32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6" s="7" t="str">
        <f aca="false">IF(INDEX(MASTER_DATABASE!$A$4:$A$1000,ROW()-3)="","",INDEX(MASTER_DATABASE!$Q$4:$Q$1000,ROW()-3)&amp;"")</f>
        <v/>
      </c>
      <c r="J326" s="7" t="str">
        <f aca="false">IF(INDEX(MASTER_DATABASE!$A$4:$A$1000,ROW()-3)="","",INDEX(MASTER_DATABASE!$J$4:$J$1000,ROW()-3)&amp;"")</f>
        <v/>
      </c>
      <c r="K326" s="7" t="str">
        <f aca="false">IF(INDEX(MASTER_DATABASE!$A$4:$A$1000,ROW()-3)="","",INDEX(MASTER_DATABASE!$AS$4:$AS$1000,ROW()-3)&amp;"")</f>
        <v/>
      </c>
      <c r="L326" s="7" t="str">
        <f aca="false">IF(INDEX(MASTER_DATABASE!$A$4:$A$1000,ROW()-3)="","",INDEX(MASTER_DATABASE!$AR$4:$AR$1000,ROW()-3)&amp;"")</f>
        <v/>
      </c>
      <c r="M326" s="7" t="str">
        <f aca="false">IF(INDEX(MASTER_DATABASE!$A$4:$A$1000,ROW()-3)="","",INDEX(MASTER_DATABASE!$AT$4:$AT$1000,ROW()-3)&amp;"")</f>
        <v/>
      </c>
      <c r="N326" s="7" t="str">
        <f aca="false">IF(INDEX(MASTER_DATABASE!$A$4:$A$1000,ROW()-3)="","",INDEX(MASTER_DATABASE!$BG$4:$BG$1000,ROW()-3)&amp;"")</f>
        <v/>
      </c>
    </row>
    <row r="327" customFormat="false" ht="15" hidden="false" customHeight="false" outlineLevel="0" collapsed="false">
      <c r="A327" s="11" t="str">
        <f aca="false">IF(INDEX(MASTER_DATABASE!$A$4:$A$1000,ROW()-3)="","",INDEX(MASTER_DATABASE!$A$4:$A$1000,ROW()-3)&amp;"")</f>
        <v/>
      </c>
      <c r="B327" s="7" t="str">
        <f aca="false">IF(INDEX(MASTER_DATABASE!$A$4:$A$1000,ROW()-3)="","",INDEX(MASTER_DATABASE!$E$4:$E$1000,ROW()-3)&amp;"")</f>
        <v/>
      </c>
      <c r="C327" s="7" t="str">
        <f aca="false">IF(INDEX(MASTER_DATABASE!$A$4:$A$1000,ROW()-3)="","",INDEX(MASTER_DATABASE!$H$4:$H$1000,ROW()-3)&amp;"")</f>
        <v/>
      </c>
      <c r="D327" s="7" t="str">
        <f aca="false">IF(INDEX(MASTER_DATABASE!$A$4:$A$1000,ROW()-3)="","",INDEX(MASTER_DATABASE!$BF$4:$BF$1000,ROW()-3)&amp;"")</f>
        <v/>
      </c>
      <c r="E327" s="7" t="str">
        <f aca="false">IF(INDEX(MASTER_DATABASE!$A$4:$A$1000,ROW()-3)="","",INDEX(MASTER_DATABASE!$O$4:$O$1000,ROW()-3)&amp;"")</f>
        <v/>
      </c>
      <c r="F327" s="7" t="str">
        <f aca="false">IF(INDEX(MASTER_DATABASE!$A$4:$A$1000,ROW()-3)="","",INDEX(MASTER_DATABASE!$M$4:$M$1000,ROW()-3)&amp;"")</f>
        <v/>
      </c>
      <c r="G327" s="7" t="str">
        <f aca="false">IF(INDEX(MASTER_DATABASE!$A$4:$A$1000,ROW()-3)="","",INDEX(MASTER_DATABASE!$P$4:$P$1000,ROW()-3)&amp;"")</f>
        <v/>
      </c>
      <c r="H32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7" s="7" t="str">
        <f aca="false">IF(INDEX(MASTER_DATABASE!$A$4:$A$1000,ROW()-3)="","",INDEX(MASTER_DATABASE!$Q$4:$Q$1000,ROW()-3)&amp;"")</f>
        <v/>
      </c>
      <c r="J327" s="7" t="str">
        <f aca="false">IF(INDEX(MASTER_DATABASE!$A$4:$A$1000,ROW()-3)="","",INDEX(MASTER_DATABASE!$J$4:$J$1000,ROW()-3)&amp;"")</f>
        <v/>
      </c>
      <c r="K327" s="7" t="str">
        <f aca="false">IF(INDEX(MASTER_DATABASE!$A$4:$A$1000,ROW()-3)="","",INDEX(MASTER_DATABASE!$AS$4:$AS$1000,ROW()-3)&amp;"")</f>
        <v/>
      </c>
      <c r="L327" s="7" t="str">
        <f aca="false">IF(INDEX(MASTER_DATABASE!$A$4:$A$1000,ROW()-3)="","",INDEX(MASTER_DATABASE!$AR$4:$AR$1000,ROW()-3)&amp;"")</f>
        <v/>
      </c>
      <c r="M327" s="7" t="str">
        <f aca="false">IF(INDEX(MASTER_DATABASE!$A$4:$A$1000,ROW()-3)="","",INDEX(MASTER_DATABASE!$AT$4:$AT$1000,ROW()-3)&amp;"")</f>
        <v/>
      </c>
      <c r="N327" s="7" t="str">
        <f aca="false">IF(INDEX(MASTER_DATABASE!$A$4:$A$1000,ROW()-3)="","",INDEX(MASTER_DATABASE!$BG$4:$BG$1000,ROW()-3)&amp;"")</f>
        <v/>
      </c>
    </row>
    <row r="328" customFormat="false" ht="15" hidden="false" customHeight="false" outlineLevel="0" collapsed="false">
      <c r="A328" s="11" t="str">
        <f aca="false">IF(INDEX(MASTER_DATABASE!$A$4:$A$1000,ROW()-3)="","",INDEX(MASTER_DATABASE!$A$4:$A$1000,ROW()-3)&amp;"")</f>
        <v/>
      </c>
      <c r="B328" s="7" t="str">
        <f aca="false">IF(INDEX(MASTER_DATABASE!$A$4:$A$1000,ROW()-3)="","",INDEX(MASTER_DATABASE!$E$4:$E$1000,ROW()-3)&amp;"")</f>
        <v/>
      </c>
      <c r="C328" s="7" t="str">
        <f aca="false">IF(INDEX(MASTER_DATABASE!$A$4:$A$1000,ROW()-3)="","",INDEX(MASTER_DATABASE!$H$4:$H$1000,ROW()-3)&amp;"")</f>
        <v/>
      </c>
      <c r="D328" s="7" t="str">
        <f aca="false">IF(INDEX(MASTER_DATABASE!$A$4:$A$1000,ROW()-3)="","",INDEX(MASTER_DATABASE!$BF$4:$BF$1000,ROW()-3)&amp;"")</f>
        <v/>
      </c>
      <c r="E328" s="7" t="str">
        <f aca="false">IF(INDEX(MASTER_DATABASE!$A$4:$A$1000,ROW()-3)="","",INDEX(MASTER_DATABASE!$O$4:$O$1000,ROW()-3)&amp;"")</f>
        <v/>
      </c>
      <c r="F328" s="7" t="str">
        <f aca="false">IF(INDEX(MASTER_DATABASE!$A$4:$A$1000,ROW()-3)="","",INDEX(MASTER_DATABASE!$M$4:$M$1000,ROW()-3)&amp;"")</f>
        <v/>
      </c>
      <c r="G328" s="7" t="str">
        <f aca="false">IF(INDEX(MASTER_DATABASE!$A$4:$A$1000,ROW()-3)="","",INDEX(MASTER_DATABASE!$P$4:$P$1000,ROW()-3)&amp;"")</f>
        <v/>
      </c>
      <c r="H32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8" s="7" t="str">
        <f aca="false">IF(INDEX(MASTER_DATABASE!$A$4:$A$1000,ROW()-3)="","",INDEX(MASTER_DATABASE!$Q$4:$Q$1000,ROW()-3)&amp;"")</f>
        <v/>
      </c>
      <c r="J328" s="7" t="str">
        <f aca="false">IF(INDEX(MASTER_DATABASE!$A$4:$A$1000,ROW()-3)="","",INDEX(MASTER_DATABASE!$J$4:$J$1000,ROW()-3)&amp;"")</f>
        <v/>
      </c>
      <c r="K328" s="7" t="str">
        <f aca="false">IF(INDEX(MASTER_DATABASE!$A$4:$A$1000,ROW()-3)="","",INDEX(MASTER_DATABASE!$AS$4:$AS$1000,ROW()-3)&amp;"")</f>
        <v/>
      </c>
      <c r="L328" s="7" t="str">
        <f aca="false">IF(INDEX(MASTER_DATABASE!$A$4:$A$1000,ROW()-3)="","",INDEX(MASTER_DATABASE!$AR$4:$AR$1000,ROW()-3)&amp;"")</f>
        <v/>
      </c>
      <c r="M328" s="7" t="str">
        <f aca="false">IF(INDEX(MASTER_DATABASE!$A$4:$A$1000,ROW()-3)="","",INDEX(MASTER_DATABASE!$AT$4:$AT$1000,ROW()-3)&amp;"")</f>
        <v/>
      </c>
      <c r="N328" s="7" t="str">
        <f aca="false">IF(INDEX(MASTER_DATABASE!$A$4:$A$1000,ROW()-3)="","",INDEX(MASTER_DATABASE!$BG$4:$BG$1000,ROW()-3)&amp;"")</f>
        <v/>
      </c>
    </row>
    <row r="329" customFormat="false" ht="15" hidden="false" customHeight="false" outlineLevel="0" collapsed="false">
      <c r="A329" s="11" t="str">
        <f aca="false">IF(INDEX(MASTER_DATABASE!$A$4:$A$1000,ROW()-3)="","",INDEX(MASTER_DATABASE!$A$4:$A$1000,ROW()-3)&amp;"")</f>
        <v/>
      </c>
      <c r="B329" s="7" t="str">
        <f aca="false">IF(INDEX(MASTER_DATABASE!$A$4:$A$1000,ROW()-3)="","",INDEX(MASTER_DATABASE!$E$4:$E$1000,ROW()-3)&amp;"")</f>
        <v/>
      </c>
      <c r="C329" s="7" t="str">
        <f aca="false">IF(INDEX(MASTER_DATABASE!$A$4:$A$1000,ROW()-3)="","",INDEX(MASTER_DATABASE!$H$4:$H$1000,ROW()-3)&amp;"")</f>
        <v/>
      </c>
      <c r="D329" s="7" t="str">
        <f aca="false">IF(INDEX(MASTER_DATABASE!$A$4:$A$1000,ROW()-3)="","",INDEX(MASTER_DATABASE!$BF$4:$BF$1000,ROW()-3)&amp;"")</f>
        <v/>
      </c>
      <c r="E329" s="7" t="str">
        <f aca="false">IF(INDEX(MASTER_DATABASE!$A$4:$A$1000,ROW()-3)="","",INDEX(MASTER_DATABASE!$O$4:$O$1000,ROW()-3)&amp;"")</f>
        <v/>
      </c>
      <c r="F329" s="7" t="str">
        <f aca="false">IF(INDEX(MASTER_DATABASE!$A$4:$A$1000,ROW()-3)="","",INDEX(MASTER_DATABASE!$M$4:$M$1000,ROW()-3)&amp;"")</f>
        <v/>
      </c>
      <c r="G329" s="7" t="str">
        <f aca="false">IF(INDEX(MASTER_DATABASE!$A$4:$A$1000,ROW()-3)="","",INDEX(MASTER_DATABASE!$P$4:$P$1000,ROW()-3)&amp;"")</f>
        <v/>
      </c>
      <c r="H32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29" s="7" t="str">
        <f aca="false">IF(INDEX(MASTER_DATABASE!$A$4:$A$1000,ROW()-3)="","",INDEX(MASTER_DATABASE!$Q$4:$Q$1000,ROW()-3)&amp;"")</f>
        <v/>
      </c>
      <c r="J329" s="7" t="str">
        <f aca="false">IF(INDEX(MASTER_DATABASE!$A$4:$A$1000,ROW()-3)="","",INDEX(MASTER_DATABASE!$J$4:$J$1000,ROW()-3)&amp;"")</f>
        <v/>
      </c>
      <c r="K329" s="7" t="str">
        <f aca="false">IF(INDEX(MASTER_DATABASE!$A$4:$A$1000,ROW()-3)="","",INDEX(MASTER_DATABASE!$AS$4:$AS$1000,ROW()-3)&amp;"")</f>
        <v/>
      </c>
      <c r="L329" s="7" t="str">
        <f aca="false">IF(INDEX(MASTER_DATABASE!$A$4:$A$1000,ROW()-3)="","",INDEX(MASTER_DATABASE!$AR$4:$AR$1000,ROW()-3)&amp;"")</f>
        <v/>
      </c>
      <c r="M329" s="7" t="str">
        <f aca="false">IF(INDEX(MASTER_DATABASE!$A$4:$A$1000,ROW()-3)="","",INDEX(MASTER_DATABASE!$AT$4:$AT$1000,ROW()-3)&amp;"")</f>
        <v/>
      </c>
      <c r="N329" s="7" t="str">
        <f aca="false">IF(INDEX(MASTER_DATABASE!$A$4:$A$1000,ROW()-3)="","",INDEX(MASTER_DATABASE!$BG$4:$BG$1000,ROW()-3)&amp;"")</f>
        <v/>
      </c>
    </row>
    <row r="330" customFormat="false" ht="15" hidden="false" customHeight="false" outlineLevel="0" collapsed="false">
      <c r="A330" s="11" t="str">
        <f aca="false">IF(INDEX(MASTER_DATABASE!$A$4:$A$1000,ROW()-3)="","",INDEX(MASTER_DATABASE!$A$4:$A$1000,ROW()-3)&amp;"")</f>
        <v/>
      </c>
      <c r="B330" s="7" t="str">
        <f aca="false">IF(INDEX(MASTER_DATABASE!$A$4:$A$1000,ROW()-3)="","",INDEX(MASTER_DATABASE!$E$4:$E$1000,ROW()-3)&amp;"")</f>
        <v/>
      </c>
      <c r="C330" s="7" t="str">
        <f aca="false">IF(INDEX(MASTER_DATABASE!$A$4:$A$1000,ROW()-3)="","",INDEX(MASTER_DATABASE!$H$4:$H$1000,ROW()-3)&amp;"")</f>
        <v/>
      </c>
      <c r="D330" s="7" t="str">
        <f aca="false">IF(INDEX(MASTER_DATABASE!$A$4:$A$1000,ROW()-3)="","",INDEX(MASTER_DATABASE!$BF$4:$BF$1000,ROW()-3)&amp;"")</f>
        <v/>
      </c>
      <c r="E330" s="7" t="str">
        <f aca="false">IF(INDEX(MASTER_DATABASE!$A$4:$A$1000,ROW()-3)="","",INDEX(MASTER_DATABASE!$O$4:$O$1000,ROW()-3)&amp;"")</f>
        <v/>
      </c>
      <c r="F330" s="7" t="str">
        <f aca="false">IF(INDEX(MASTER_DATABASE!$A$4:$A$1000,ROW()-3)="","",INDEX(MASTER_DATABASE!$M$4:$M$1000,ROW()-3)&amp;"")</f>
        <v/>
      </c>
      <c r="G330" s="7" t="str">
        <f aca="false">IF(INDEX(MASTER_DATABASE!$A$4:$A$1000,ROW()-3)="","",INDEX(MASTER_DATABASE!$P$4:$P$1000,ROW()-3)&amp;"")</f>
        <v/>
      </c>
      <c r="H33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0" s="7" t="str">
        <f aca="false">IF(INDEX(MASTER_DATABASE!$A$4:$A$1000,ROW()-3)="","",INDEX(MASTER_DATABASE!$Q$4:$Q$1000,ROW()-3)&amp;"")</f>
        <v/>
      </c>
      <c r="J330" s="7" t="str">
        <f aca="false">IF(INDEX(MASTER_DATABASE!$A$4:$A$1000,ROW()-3)="","",INDEX(MASTER_DATABASE!$J$4:$J$1000,ROW()-3)&amp;"")</f>
        <v/>
      </c>
      <c r="K330" s="7" t="str">
        <f aca="false">IF(INDEX(MASTER_DATABASE!$A$4:$A$1000,ROW()-3)="","",INDEX(MASTER_DATABASE!$AS$4:$AS$1000,ROW()-3)&amp;"")</f>
        <v/>
      </c>
      <c r="L330" s="7" t="str">
        <f aca="false">IF(INDEX(MASTER_DATABASE!$A$4:$A$1000,ROW()-3)="","",INDEX(MASTER_DATABASE!$AR$4:$AR$1000,ROW()-3)&amp;"")</f>
        <v/>
      </c>
      <c r="M330" s="7" t="str">
        <f aca="false">IF(INDEX(MASTER_DATABASE!$A$4:$A$1000,ROW()-3)="","",INDEX(MASTER_DATABASE!$AT$4:$AT$1000,ROW()-3)&amp;"")</f>
        <v/>
      </c>
      <c r="N330" s="7" t="str">
        <f aca="false">IF(INDEX(MASTER_DATABASE!$A$4:$A$1000,ROW()-3)="","",INDEX(MASTER_DATABASE!$BG$4:$BG$1000,ROW()-3)&amp;"")</f>
        <v/>
      </c>
    </row>
    <row r="331" customFormat="false" ht="15" hidden="false" customHeight="false" outlineLevel="0" collapsed="false">
      <c r="A331" s="11" t="str">
        <f aca="false">IF(INDEX(MASTER_DATABASE!$A$4:$A$1000,ROW()-3)="","",INDEX(MASTER_DATABASE!$A$4:$A$1000,ROW()-3)&amp;"")</f>
        <v/>
      </c>
      <c r="B331" s="7" t="str">
        <f aca="false">IF(INDEX(MASTER_DATABASE!$A$4:$A$1000,ROW()-3)="","",INDEX(MASTER_DATABASE!$E$4:$E$1000,ROW()-3)&amp;"")</f>
        <v/>
      </c>
      <c r="C331" s="7" t="str">
        <f aca="false">IF(INDEX(MASTER_DATABASE!$A$4:$A$1000,ROW()-3)="","",INDEX(MASTER_DATABASE!$H$4:$H$1000,ROW()-3)&amp;"")</f>
        <v/>
      </c>
      <c r="D331" s="7" t="str">
        <f aca="false">IF(INDEX(MASTER_DATABASE!$A$4:$A$1000,ROW()-3)="","",INDEX(MASTER_DATABASE!$BF$4:$BF$1000,ROW()-3)&amp;"")</f>
        <v/>
      </c>
      <c r="E331" s="7" t="str">
        <f aca="false">IF(INDEX(MASTER_DATABASE!$A$4:$A$1000,ROW()-3)="","",INDEX(MASTER_DATABASE!$O$4:$O$1000,ROW()-3)&amp;"")</f>
        <v/>
      </c>
      <c r="F331" s="7" t="str">
        <f aca="false">IF(INDEX(MASTER_DATABASE!$A$4:$A$1000,ROW()-3)="","",INDEX(MASTER_DATABASE!$M$4:$M$1000,ROW()-3)&amp;"")</f>
        <v/>
      </c>
      <c r="G331" s="7" t="str">
        <f aca="false">IF(INDEX(MASTER_DATABASE!$A$4:$A$1000,ROW()-3)="","",INDEX(MASTER_DATABASE!$P$4:$P$1000,ROW()-3)&amp;"")</f>
        <v/>
      </c>
      <c r="H33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1" s="7" t="str">
        <f aca="false">IF(INDEX(MASTER_DATABASE!$A$4:$A$1000,ROW()-3)="","",INDEX(MASTER_DATABASE!$Q$4:$Q$1000,ROW()-3)&amp;"")</f>
        <v/>
      </c>
      <c r="J331" s="7" t="str">
        <f aca="false">IF(INDEX(MASTER_DATABASE!$A$4:$A$1000,ROW()-3)="","",INDEX(MASTER_DATABASE!$J$4:$J$1000,ROW()-3)&amp;"")</f>
        <v/>
      </c>
      <c r="K331" s="7" t="str">
        <f aca="false">IF(INDEX(MASTER_DATABASE!$A$4:$A$1000,ROW()-3)="","",INDEX(MASTER_DATABASE!$AS$4:$AS$1000,ROW()-3)&amp;"")</f>
        <v/>
      </c>
      <c r="L331" s="7" t="str">
        <f aca="false">IF(INDEX(MASTER_DATABASE!$A$4:$A$1000,ROW()-3)="","",INDEX(MASTER_DATABASE!$AR$4:$AR$1000,ROW()-3)&amp;"")</f>
        <v/>
      </c>
      <c r="M331" s="7" t="str">
        <f aca="false">IF(INDEX(MASTER_DATABASE!$A$4:$A$1000,ROW()-3)="","",INDEX(MASTER_DATABASE!$AT$4:$AT$1000,ROW()-3)&amp;"")</f>
        <v/>
      </c>
      <c r="N331" s="7" t="str">
        <f aca="false">IF(INDEX(MASTER_DATABASE!$A$4:$A$1000,ROW()-3)="","",INDEX(MASTER_DATABASE!$BG$4:$BG$1000,ROW()-3)&amp;"")</f>
        <v/>
      </c>
    </row>
    <row r="332" customFormat="false" ht="15" hidden="false" customHeight="false" outlineLevel="0" collapsed="false">
      <c r="A332" s="11" t="str">
        <f aca="false">IF(INDEX(MASTER_DATABASE!$A$4:$A$1000,ROW()-3)="","",INDEX(MASTER_DATABASE!$A$4:$A$1000,ROW()-3)&amp;"")</f>
        <v/>
      </c>
      <c r="B332" s="7" t="str">
        <f aca="false">IF(INDEX(MASTER_DATABASE!$A$4:$A$1000,ROW()-3)="","",INDEX(MASTER_DATABASE!$E$4:$E$1000,ROW()-3)&amp;"")</f>
        <v/>
      </c>
      <c r="C332" s="7" t="str">
        <f aca="false">IF(INDEX(MASTER_DATABASE!$A$4:$A$1000,ROW()-3)="","",INDEX(MASTER_DATABASE!$H$4:$H$1000,ROW()-3)&amp;"")</f>
        <v/>
      </c>
      <c r="D332" s="7" t="str">
        <f aca="false">IF(INDEX(MASTER_DATABASE!$A$4:$A$1000,ROW()-3)="","",INDEX(MASTER_DATABASE!$BF$4:$BF$1000,ROW()-3)&amp;"")</f>
        <v/>
      </c>
      <c r="E332" s="7" t="str">
        <f aca="false">IF(INDEX(MASTER_DATABASE!$A$4:$A$1000,ROW()-3)="","",INDEX(MASTER_DATABASE!$O$4:$O$1000,ROW()-3)&amp;"")</f>
        <v/>
      </c>
      <c r="F332" s="7" t="str">
        <f aca="false">IF(INDEX(MASTER_DATABASE!$A$4:$A$1000,ROW()-3)="","",INDEX(MASTER_DATABASE!$M$4:$M$1000,ROW()-3)&amp;"")</f>
        <v/>
      </c>
      <c r="G332" s="7" t="str">
        <f aca="false">IF(INDEX(MASTER_DATABASE!$A$4:$A$1000,ROW()-3)="","",INDEX(MASTER_DATABASE!$P$4:$P$1000,ROW()-3)&amp;"")</f>
        <v/>
      </c>
      <c r="H33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2" s="7" t="str">
        <f aca="false">IF(INDEX(MASTER_DATABASE!$A$4:$A$1000,ROW()-3)="","",INDEX(MASTER_DATABASE!$Q$4:$Q$1000,ROW()-3)&amp;"")</f>
        <v/>
      </c>
      <c r="J332" s="7" t="str">
        <f aca="false">IF(INDEX(MASTER_DATABASE!$A$4:$A$1000,ROW()-3)="","",INDEX(MASTER_DATABASE!$J$4:$J$1000,ROW()-3)&amp;"")</f>
        <v/>
      </c>
      <c r="K332" s="7" t="str">
        <f aca="false">IF(INDEX(MASTER_DATABASE!$A$4:$A$1000,ROW()-3)="","",INDEX(MASTER_DATABASE!$AS$4:$AS$1000,ROW()-3)&amp;"")</f>
        <v/>
      </c>
      <c r="L332" s="7" t="str">
        <f aca="false">IF(INDEX(MASTER_DATABASE!$A$4:$A$1000,ROW()-3)="","",INDEX(MASTER_DATABASE!$AR$4:$AR$1000,ROW()-3)&amp;"")</f>
        <v/>
      </c>
      <c r="M332" s="7" t="str">
        <f aca="false">IF(INDEX(MASTER_DATABASE!$A$4:$A$1000,ROW()-3)="","",INDEX(MASTER_DATABASE!$AT$4:$AT$1000,ROW()-3)&amp;"")</f>
        <v/>
      </c>
      <c r="N332" s="7" t="str">
        <f aca="false">IF(INDEX(MASTER_DATABASE!$A$4:$A$1000,ROW()-3)="","",INDEX(MASTER_DATABASE!$BG$4:$BG$1000,ROW()-3)&amp;"")</f>
        <v/>
      </c>
    </row>
    <row r="333" customFormat="false" ht="15" hidden="false" customHeight="false" outlineLevel="0" collapsed="false">
      <c r="A333" s="11" t="str">
        <f aca="false">IF(INDEX(MASTER_DATABASE!$A$4:$A$1000,ROW()-3)="","",INDEX(MASTER_DATABASE!$A$4:$A$1000,ROW()-3)&amp;"")</f>
        <v/>
      </c>
      <c r="B333" s="7" t="str">
        <f aca="false">IF(INDEX(MASTER_DATABASE!$A$4:$A$1000,ROW()-3)="","",INDEX(MASTER_DATABASE!$E$4:$E$1000,ROW()-3)&amp;"")</f>
        <v/>
      </c>
      <c r="C333" s="7" t="str">
        <f aca="false">IF(INDEX(MASTER_DATABASE!$A$4:$A$1000,ROW()-3)="","",INDEX(MASTER_DATABASE!$H$4:$H$1000,ROW()-3)&amp;"")</f>
        <v/>
      </c>
      <c r="D333" s="7" t="str">
        <f aca="false">IF(INDEX(MASTER_DATABASE!$A$4:$A$1000,ROW()-3)="","",INDEX(MASTER_DATABASE!$BF$4:$BF$1000,ROW()-3)&amp;"")</f>
        <v/>
      </c>
      <c r="E333" s="7" t="str">
        <f aca="false">IF(INDEX(MASTER_DATABASE!$A$4:$A$1000,ROW()-3)="","",INDEX(MASTER_DATABASE!$O$4:$O$1000,ROW()-3)&amp;"")</f>
        <v/>
      </c>
      <c r="F333" s="7" t="str">
        <f aca="false">IF(INDEX(MASTER_DATABASE!$A$4:$A$1000,ROW()-3)="","",INDEX(MASTER_DATABASE!$M$4:$M$1000,ROW()-3)&amp;"")</f>
        <v/>
      </c>
      <c r="G333" s="7" t="str">
        <f aca="false">IF(INDEX(MASTER_DATABASE!$A$4:$A$1000,ROW()-3)="","",INDEX(MASTER_DATABASE!$P$4:$P$1000,ROW()-3)&amp;"")</f>
        <v/>
      </c>
      <c r="H33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3" s="7" t="str">
        <f aca="false">IF(INDEX(MASTER_DATABASE!$A$4:$A$1000,ROW()-3)="","",INDEX(MASTER_DATABASE!$Q$4:$Q$1000,ROW()-3)&amp;"")</f>
        <v/>
      </c>
      <c r="J333" s="7" t="str">
        <f aca="false">IF(INDEX(MASTER_DATABASE!$A$4:$A$1000,ROW()-3)="","",INDEX(MASTER_DATABASE!$J$4:$J$1000,ROW()-3)&amp;"")</f>
        <v/>
      </c>
      <c r="K333" s="7" t="str">
        <f aca="false">IF(INDEX(MASTER_DATABASE!$A$4:$A$1000,ROW()-3)="","",INDEX(MASTER_DATABASE!$AS$4:$AS$1000,ROW()-3)&amp;"")</f>
        <v/>
      </c>
      <c r="L333" s="7" t="str">
        <f aca="false">IF(INDEX(MASTER_DATABASE!$A$4:$A$1000,ROW()-3)="","",INDEX(MASTER_DATABASE!$AR$4:$AR$1000,ROW()-3)&amp;"")</f>
        <v/>
      </c>
      <c r="M333" s="7" t="str">
        <f aca="false">IF(INDEX(MASTER_DATABASE!$A$4:$A$1000,ROW()-3)="","",INDEX(MASTER_DATABASE!$AT$4:$AT$1000,ROW()-3)&amp;"")</f>
        <v/>
      </c>
      <c r="N333" s="7" t="str">
        <f aca="false">IF(INDEX(MASTER_DATABASE!$A$4:$A$1000,ROW()-3)="","",INDEX(MASTER_DATABASE!$BG$4:$BG$1000,ROW()-3)&amp;"")</f>
        <v/>
      </c>
    </row>
    <row r="334" customFormat="false" ht="15" hidden="false" customHeight="false" outlineLevel="0" collapsed="false">
      <c r="A334" s="11" t="str">
        <f aca="false">IF(INDEX(MASTER_DATABASE!$A$4:$A$1000,ROW()-3)="","",INDEX(MASTER_DATABASE!$A$4:$A$1000,ROW()-3)&amp;"")</f>
        <v/>
      </c>
      <c r="B334" s="7" t="str">
        <f aca="false">IF(INDEX(MASTER_DATABASE!$A$4:$A$1000,ROW()-3)="","",INDEX(MASTER_DATABASE!$E$4:$E$1000,ROW()-3)&amp;"")</f>
        <v/>
      </c>
      <c r="C334" s="7" t="str">
        <f aca="false">IF(INDEX(MASTER_DATABASE!$A$4:$A$1000,ROW()-3)="","",INDEX(MASTER_DATABASE!$H$4:$H$1000,ROW()-3)&amp;"")</f>
        <v/>
      </c>
      <c r="D334" s="7" t="str">
        <f aca="false">IF(INDEX(MASTER_DATABASE!$A$4:$A$1000,ROW()-3)="","",INDEX(MASTER_DATABASE!$BF$4:$BF$1000,ROW()-3)&amp;"")</f>
        <v/>
      </c>
      <c r="E334" s="7" t="str">
        <f aca="false">IF(INDEX(MASTER_DATABASE!$A$4:$A$1000,ROW()-3)="","",INDEX(MASTER_DATABASE!$O$4:$O$1000,ROW()-3)&amp;"")</f>
        <v/>
      </c>
      <c r="F334" s="7" t="str">
        <f aca="false">IF(INDEX(MASTER_DATABASE!$A$4:$A$1000,ROW()-3)="","",INDEX(MASTER_DATABASE!$M$4:$M$1000,ROW()-3)&amp;"")</f>
        <v/>
      </c>
      <c r="G334" s="7" t="str">
        <f aca="false">IF(INDEX(MASTER_DATABASE!$A$4:$A$1000,ROW()-3)="","",INDEX(MASTER_DATABASE!$P$4:$P$1000,ROW()-3)&amp;"")</f>
        <v/>
      </c>
      <c r="H33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4" s="7" t="str">
        <f aca="false">IF(INDEX(MASTER_DATABASE!$A$4:$A$1000,ROW()-3)="","",INDEX(MASTER_DATABASE!$Q$4:$Q$1000,ROW()-3)&amp;"")</f>
        <v/>
      </c>
      <c r="J334" s="7" t="str">
        <f aca="false">IF(INDEX(MASTER_DATABASE!$A$4:$A$1000,ROW()-3)="","",INDEX(MASTER_DATABASE!$J$4:$J$1000,ROW()-3)&amp;"")</f>
        <v/>
      </c>
      <c r="K334" s="7" t="str">
        <f aca="false">IF(INDEX(MASTER_DATABASE!$A$4:$A$1000,ROW()-3)="","",INDEX(MASTER_DATABASE!$AS$4:$AS$1000,ROW()-3)&amp;"")</f>
        <v/>
      </c>
      <c r="L334" s="7" t="str">
        <f aca="false">IF(INDEX(MASTER_DATABASE!$A$4:$A$1000,ROW()-3)="","",INDEX(MASTER_DATABASE!$AR$4:$AR$1000,ROW()-3)&amp;"")</f>
        <v/>
      </c>
      <c r="M334" s="7" t="str">
        <f aca="false">IF(INDEX(MASTER_DATABASE!$A$4:$A$1000,ROW()-3)="","",INDEX(MASTER_DATABASE!$AT$4:$AT$1000,ROW()-3)&amp;"")</f>
        <v/>
      </c>
      <c r="N334" s="7" t="str">
        <f aca="false">IF(INDEX(MASTER_DATABASE!$A$4:$A$1000,ROW()-3)="","",INDEX(MASTER_DATABASE!$BG$4:$BG$1000,ROW()-3)&amp;"")</f>
        <v/>
      </c>
    </row>
    <row r="335" customFormat="false" ht="15" hidden="false" customHeight="false" outlineLevel="0" collapsed="false">
      <c r="A335" s="11" t="str">
        <f aca="false">IF(INDEX(MASTER_DATABASE!$A$4:$A$1000,ROW()-3)="","",INDEX(MASTER_DATABASE!$A$4:$A$1000,ROW()-3)&amp;"")</f>
        <v/>
      </c>
      <c r="B335" s="7" t="str">
        <f aca="false">IF(INDEX(MASTER_DATABASE!$A$4:$A$1000,ROW()-3)="","",INDEX(MASTER_DATABASE!$E$4:$E$1000,ROW()-3)&amp;"")</f>
        <v/>
      </c>
      <c r="C335" s="7" t="str">
        <f aca="false">IF(INDEX(MASTER_DATABASE!$A$4:$A$1000,ROW()-3)="","",INDEX(MASTER_DATABASE!$H$4:$H$1000,ROW()-3)&amp;"")</f>
        <v/>
      </c>
      <c r="D335" s="7" t="str">
        <f aca="false">IF(INDEX(MASTER_DATABASE!$A$4:$A$1000,ROW()-3)="","",INDEX(MASTER_DATABASE!$BF$4:$BF$1000,ROW()-3)&amp;"")</f>
        <v/>
      </c>
      <c r="E335" s="7" t="str">
        <f aca="false">IF(INDEX(MASTER_DATABASE!$A$4:$A$1000,ROW()-3)="","",INDEX(MASTER_DATABASE!$O$4:$O$1000,ROW()-3)&amp;"")</f>
        <v/>
      </c>
      <c r="F335" s="7" t="str">
        <f aca="false">IF(INDEX(MASTER_DATABASE!$A$4:$A$1000,ROW()-3)="","",INDEX(MASTER_DATABASE!$M$4:$M$1000,ROW()-3)&amp;"")</f>
        <v/>
      </c>
      <c r="G335" s="7" t="str">
        <f aca="false">IF(INDEX(MASTER_DATABASE!$A$4:$A$1000,ROW()-3)="","",INDEX(MASTER_DATABASE!$P$4:$P$1000,ROW()-3)&amp;"")</f>
        <v/>
      </c>
      <c r="H33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5" s="7" t="str">
        <f aca="false">IF(INDEX(MASTER_DATABASE!$A$4:$A$1000,ROW()-3)="","",INDEX(MASTER_DATABASE!$Q$4:$Q$1000,ROW()-3)&amp;"")</f>
        <v/>
      </c>
      <c r="J335" s="7" t="str">
        <f aca="false">IF(INDEX(MASTER_DATABASE!$A$4:$A$1000,ROW()-3)="","",INDEX(MASTER_DATABASE!$J$4:$J$1000,ROW()-3)&amp;"")</f>
        <v/>
      </c>
      <c r="K335" s="7" t="str">
        <f aca="false">IF(INDEX(MASTER_DATABASE!$A$4:$A$1000,ROW()-3)="","",INDEX(MASTER_DATABASE!$AS$4:$AS$1000,ROW()-3)&amp;"")</f>
        <v/>
      </c>
      <c r="L335" s="7" t="str">
        <f aca="false">IF(INDEX(MASTER_DATABASE!$A$4:$A$1000,ROW()-3)="","",INDEX(MASTER_DATABASE!$AR$4:$AR$1000,ROW()-3)&amp;"")</f>
        <v/>
      </c>
      <c r="M335" s="7" t="str">
        <f aca="false">IF(INDEX(MASTER_DATABASE!$A$4:$A$1000,ROW()-3)="","",INDEX(MASTER_DATABASE!$AT$4:$AT$1000,ROW()-3)&amp;"")</f>
        <v/>
      </c>
      <c r="N335" s="7" t="str">
        <f aca="false">IF(INDEX(MASTER_DATABASE!$A$4:$A$1000,ROW()-3)="","",INDEX(MASTER_DATABASE!$BG$4:$BG$1000,ROW()-3)&amp;"")</f>
        <v/>
      </c>
    </row>
    <row r="336" customFormat="false" ht="15" hidden="false" customHeight="false" outlineLevel="0" collapsed="false">
      <c r="A336" s="11" t="str">
        <f aca="false">IF(INDEX(MASTER_DATABASE!$A$4:$A$1000,ROW()-3)="","",INDEX(MASTER_DATABASE!$A$4:$A$1000,ROW()-3)&amp;"")</f>
        <v/>
      </c>
      <c r="B336" s="7" t="str">
        <f aca="false">IF(INDEX(MASTER_DATABASE!$A$4:$A$1000,ROW()-3)="","",INDEX(MASTER_DATABASE!$E$4:$E$1000,ROW()-3)&amp;"")</f>
        <v/>
      </c>
      <c r="C336" s="7" t="str">
        <f aca="false">IF(INDEX(MASTER_DATABASE!$A$4:$A$1000,ROW()-3)="","",INDEX(MASTER_DATABASE!$H$4:$H$1000,ROW()-3)&amp;"")</f>
        <v/>
      </c>
      <c r="D336" s="7" t="str">
        <f aca="false">IF(INDEX(MASTER_DATABASE!$A$4:$A$1000,ROW()-3)="","",INDEX(MASTER_DATABASE!$BF$4:$BF$1000,ROW()-3)&amp;"")</f>
        <v/>
      </c>
      <c r="E336" s="7" t="str">
        <f aca="false">IF(INDEX(MASTER_DATABASE!$A$4:$A$1000,ROW()-3)="","",INDEX(MASTER_DATABASE!$O$4:$O$1000,ROW()-3)&amp;"")</f>
        <v/>
      </c>
      <c r="F336" s="7" t="str">
        <f aca="false">IF(INDEX(MASTER_DATABASE!$A$4:$A$1000,ROW()-3)="","",INDEX(MASTER_DATABASE!$M$4:$M$1000,ROW()-3)&amp;"")</f>
        <v/>
      </c>
      <c r="G336" s="7" t="str">
        <f aca="false">IF(INDEX(MASTER_DATABASE!$A$4:$A$1000,ROW()-3)="","",INDEX(MASTER_DATABASE!$P$4:$P$1000,ROW()-3)&amp;"")</f>
        <v/>
      </c>
      <c r="H33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6" s="7" t="str">
        <f aca="false">IF(INDEX(MASTER_DATABASE!$A$4:$A$1000,ROW()-3)="","",INDEX(MASTER_DATABASE!$Q$4:$Q$1000,ROW()-3)&amp;"")</f>
        <v/>
      </c>
      <c r="J336" s="7" t="str">
        <f aca="false">IF(INDEX(MASTER_DATABASE!$A$4:$A$1000,ROW()-3)="","",INDEX(MASTER_DATABASE!$J$4:$J$1000,ROW()-3)&amp;"")</f>
        <v/>
      </c>
      <c r="K336" s="7" t="str">
        <f aca="false">IF(INDEX(MASTER_DATABASE!$A$4:$A$1000,ROW()-3)="","",INDEX(MASTER_DATABASE!$AS$4:$AS$1000,ROW()-3)&amp;"")</f>
        <v/>
      </c>
      <c r="L336" s="7" t="str">
        <f aca="false">IF(INDEX(MASTER_DATABASE!$A$4:$A$1000,ROW()-3)="","",INDEX(MASTER_DATABASE!$AR$4:$AR$1000,ROW()-3)&amp;"")</f>
        <v/>
      </c>
      <c r="M336" s="7" t="str">
        <f aca="false">IF(INDEX(MASTER_DATABASE!$A$4:$A$1000,ROW()-3)="","",INDEX(MASTER_DATABASE!$AT$4:$AT$1000,ROW()-3)&amp;"")</f>
        <v/>
      </c>
      <c r="N336" s="7" t="str">
        <f aca="false">IF(INDEX(MASTER_DATABASE!$A$4:$A$1000,ROW()-3)="","",INDEX(MASTER_DATABASE!$BG$4:$BG$1000,ROW()-3)&amp;"")</f>
        <v/>
      </c>
    </row>
    <row r="337" customFormat="false" ht="15" hidden="false" customHeight="false" outlineLevel="0" collapsed="false">
      <c r="A337" s="11" t="str">
        <f aca="false">IF(INDEX(MASTER_DATABASE!$A$4:$A$1000,ROW()-3)="","",INDEX(MASTER_DATABASE!$A$4:$A$1000,ROW()-3)&amp;"")</f>
        <v/>
      </c>
      <c r="B337" s="7" t="str">
        <f aca="false">IF(INDEX(MASTER_DATABASE!$A$4:$A$1000,ROW()-3)="","",INDEX(MASTER_DATABASE!$E$4:$E$1000,ROW()-3)&amp;"")</f>
        <v/>
      </c>
      <c r="C337" s="7" t="str">
        <f aca="false">IF(INDEX(MASTER_DATABASE!$A$4:$A$1000,ROW()-3)="","",INDEX(MASTER_DATABASE!$H$4:$H$1000,ROW()-3)&amp;"")</f>
        <v/>
      </c>
      <c r="D337" s="7" t="str">
        <f aca="false">IF(INDEX(MASTER_DATABASE!$A$4:$A$1000,ROW()-3)="","",INDEX(MASTER_DATABASE!$BF$4:$BF$1000,ROW()-3)&amp;"")</f>
        <v/>
      </c>
      <c r="E337" s="7" t="str">
        <f aca="false">IF(INDEX(MASTER_DATABASE!$A$4:$A$1000,ROW()-3)="","",INDEX(MASTER_DATABASE!$O$4:$O$1000,ROW()-3)&amp;"")</f>
        <v/>
      </c>
      <c r="F337" s="7" t="str">
        <f aca="false">IF(INDEX(MASTER_DATABASE!$A$4:$A$1000,ROW()-3)="","",INDEX(MASTER_DATABASE!$M$4:$M$1000,ROW()-3)&amp;"")</f>
        <v/>
      </c>
      <c r="G337" s="7" t="str">
        <f aca="false">IF(INDEX(MASTER_DATABASE!$A$4:$A$1000,ROW()-3)="","",INDEX(MASTER_DATABASE!$P$4:$P$1000,ROW()-3)&amp;"")</f>
        <v/>
      </c>
      <c r="H33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7" s="7" t="str">
        <f aca="false">IF(INDEX(MASTER_DATABASE!$A$4:$A$1000,ROW()-3)="","",INDEX(MASTER_DATABASE!$Q$4:$Q$1000,ROW()-3)&amp;"")</f>
        <v/>
      </c>
      <c r="J337" s="7" t="str">
        <f aca="false">IF(INDEX(MASTER_DATABASE!$A$4:$A$1000,ROW()-3)="","",INDEX(MASTER_DATABASE!$J$4:$J$1000,ROW()-3)&amp;"")</f>
        <v/>
      </c>
      <c r="K337" s="7" t="str">
        <f aca="false">IF(INDEX(MASTER_DATABASE!$A$4:$A$1000,ROW()-3)="","",INDEX(MASTER_DATABASE!$AS$4:$AS$1000,ROW()-3)&amp;"")</f>
        <v/>
      </c>
      <c r="L337" s="7" t="str">
        <f aca="false">IF(INDEX(MASTER_DATABASE!$A$4:$A$1000,ROW()-3)="","",INDEX(MASTER_DATABASE!$AR$4:$AR$1000,ROW()-3)&amp;"")</f>
        <v/>
      </c>
      <c r="M337" s="7" t="str">
        <f aca="false">IF(INDEX(MASTER_DATABASE!$A$4:$A$1000,ROW()-3)="","",INDEX(MASTER_DATABASE!$AT$4:$AT$1000,ROW()-3)&amp;"")</f>
        <v/>
      </c>
      <c r="N337" s="7" t="str">
        <f aca="false">IF(INDEX(MASTER_DATABASE!$A$4:$A$1000,ROW()-3)="","",INDEX(MASTER_DATABASE!$BG$4:$BG$1000,ROW()-3)&amp;"")</f>
        <v/>
      </c>
    </row>
    <row r="338" customFormat="false" ht="15" hidden="false" customHeight="false" outlineLevel="0" collapsed="false">
      <c r="A338" s="11" t="str">
        <f aca="false">IF(INDEX(MASTER_DATABASE!$A$4:$A$1000,ROW()-3)="","",INDEX(MASTER_DATABASE!$A$4:$A$1000,ROW()-3)&amp;"")</f>
        <v/>
      </c>
      <c r="B338" s="7" t="str">
        <f aca="false">IF(INDEX(MASTER_DATABASE!$A$4:$A$1000,ROW()-3)="","",INDEX(MASTER_DATABASE!$E$4:$E$1000,ROW()-3)&amp;"")</f>
        <v/>
      </c>
      <c r="C338" s="7" t="str">
        <f aca="false">IF(INDEX(MASTER_DATABASE!$A$4:$A$1000,ROW()-3)="","",INDEX(MASTER_DATABASE!$H$4:$H$1000,ROW()-3)&amp;"")</f>
        <v/>
      </c>
      <c r="D338" s="7" t="str">
        <f aca="false">IF(INDEX(MASTER_DATABASE!$A$4:$A$1000,ROW()-3)="","",INDEX(MASTER_DATABASE!$BF$4:$BF$1000,ROW()-3)&amp;"")</f>
        <v/>
      </c>
      <c r="E338" s="7" t="str">
        <f aca="false">IF(INDEX(MASTER_DATABASE!$A$4:$A$1000,ROW()-3)="","",INDEX(MASTER_DATABASE!$O$4:$O$1000,ROW()-3)&amp;"")</f>
        <v/>
      </c>
      <c r="F338" s="7" t="str">
        <f aca="false">IF(INDEX(MASTER_DATABASE!$A$4:$A$1000,ROW()-3)="","",INDEX(MASTER_DATABASE!$M$4:$M$1000,ROW()-3)&amp;"")</f>
        <v/>
      </c>
      <c r="G338" s="7" t="str">
        <f aca="false">IF(INDEX(MASTER_DATABASE!$A$4:$A$1000,ROW()-3)="","",INDEX(MASTER_DATABASE!$P$4:$P$1000,ROW()-3)&amp;"")</f>
        <v/>
      </c>
      <c r="H33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8" s="7" t="str">
        <f aca="false">IF(INDEX(MASTER_DATABASE!$A$4:$A$1000,ROW()-3)="","",INDEX(MASTER_DATABASE!$Q$4:$Q$1000,ROW()-3)&amp;"")</f>
        <v/>
      </c>
      <c r="J338" s="7" t="str">
        <f aca="false">IF(INDEX(MASTER_DATABASE!$A$4:$A$1000,ROW()-3)="","",INDEX(MASTER_DATABASE!$J$4:$J$1000,ROW()-3)&amp;"")</f>
        <v/>
      </c>
      <c r="K338" s="7" t="str">
        <f aca="false">IF(INDEX(MASTER_DATABASE!$A$4:$A$1000,ROW()-3)="","",INDEX(MASTER_DATABASE!$AS$4:$AS$1000,ROW()-3)&amp;"")</f>
        <v/>
      </c>
      <c r="L338" s="7" t="str">
        <f aca="false">IF(INDEX(MASTER_DATABASE!$A$4:$A$1000,ROW()-3)="","",INDEX(MASTER_DATABASE!$AR$4:$AR$1000,ROW()-3)&amp;"")</f>
        <v/>
      </c>
      <c r="M338" s="7" t="str">
        <f aca="false">IF(INDEX(MASTER_DATABASE!$A$4:$A$1000,ROW()-3)="","",INDEX(MASTER_DATABASE!$AT$4:$AT$1000,ROW()-3)&amp;"")</f>
        <v/>
      </c>
      <c r="N338" s="7" t="str">
        <f aca="false">IF(INDEX(MASTER_DATABASE!$A$4:$A$1000,ROW()-3)="","",INDEX(MASTER_DATABASE!$BG$4:$BG$1000,ROW()-3)&amp;"")</f>
        <v/>
      </c>
    </row>
    <row r="339" customFormat="false" ht="15" hidden="false" customHeight="false" outlineLevel="0" collapsed="false">
      <c r="A339" s="11" t="str">
        <f aca="false">IF(INDEX(MASTER_DATABASE!$A$4:$A$1000,ROW()-3)="","",INDEX(MASTER_DATABASE!$A$4:$A$1000,ROW()-3)&amp;"")</f>
        <v/>
      </c>
      <c r="B339" s="7" t="str">
        <f aca="false">IF(INDEX(MASTER_DATABASE!$A$4:$A$1000,ROW()-3)="","",INDEX(MASTER_DATABASE!$E$4:$E$1000,ROW()-3)&amp;"")</f>
        <v/>
      </c>
      <c r="C339" s="7" t="str">
        <f aca="false">IF(INDEX(MASTER_DATABASE!$A$4:$A$1000,ROW()-3)="","",INDEX(MASTER_DATABASE!$H$4:$H$1000,ROW()-3)&amp;"")</f>
        <v/>
      </c>
      <c r="D339" s="7" t="str">
        <f aca="false">IF(INDEX(MASTER_DATABASE!$A$4:$A$1000,ROW()-3)="","",INDEX(MASTER_DATABASE!$BF$4:$BF$1000,ROW()-3)&amp;"")</f>
        <v/>
      </c>
      <c r="E339" s="7" t="str">
        <f aca="false">IF(INDEX(MASTER_DATABASE!$A$4:$A$1000,ROW()-3)="","",INDEX(MASTER_DATABASE!$O$4:$O$1000,ROW()-3)&amp;"")</f>
        <v/>
      </c>
      <c r="F339" s="7" t="str">
        <f aca="false">IF(INDEX(MASTER_DATABASE!$A$4:$A$1000,ROW()-3)="","",INDEX(MASTER_DATABASE!$M$4:$M$1000,ROW()-3)&amp;"")</f>
        <v/>
      </c>
      <c r="G339" s="7" t="str">
        <f aca="false">IF(INDEX(MASTER_DATABASE!$A$4:$A$1000,ROW()-3)="","",INDEX(MASTER_DATABASE!$P$4:$P$1000,ROW()-3)&amp;"")</f>
        <v/>
      </c>
      <c r="H33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39" s="7" t="str">
        <f aca="false">IF(INDEX(MASTER_DATABASE!$A$4:$A$1000,ROW()-3)="","",INDEX(MASTER_DATABASE!$Q$4:$Q$1000,ROW()-3)&amp;"")</f>
        <v/>
      </c>
      <c r="J339" s="7" t="str">
        <f aca="false">IF(INDEX(MASTER_DATABASE!$A$4:$A$1000,ROW()-3)="","",INDEX(MASTER_DATABASE!$J$4:$J$1000,ROW()-3)&amp;"")</f>
        <v/>
      </c>
      <c r="K339" s="7" t="str">
        <f aca="false">IF(INDEX(MASTER_DATABASE!$A$4:$A$1000,ROW()-3)="","",INDEX(MASTER_DATABASE!$AS$4:$AS$1000,ROW()-3)&amp;"")</f>
        <v/>
      </c>
      <c r="L339" s="7" t="str">
        <f aca="false">IF(INDEX(MASTER_DATABASE!$A$4:$A$1000,ROW()-3)="","",INDEX(MASTER_DATABASE!$AR$4:$AR$1000,ROW()-3)&amp;"")</f>
        <v/>
      </c>
      <c r="M339" s="7" t="str">
        <f aca="false">IF(INDEX(MASTER_DATABASE!$A$4:$A$1000,ROW()-3)="","",INDEX(MASTER_DATABASE!$AT$4:$AT$1000,ROW()-3)&amp;"")</f>
        <v/>
      </c>
      <c r="N339" s="7" t="str">
        <f aca="false">IF(INDEX(MASTER_DATABASE!$A$4:$A$1000,ROW()-3)="","",INDEX(MASTER_DATABASE!$BG$4:$BG$1000,ROW()-3)&amp;"")</f>
        <v/>
      </c>
    </row>
    <row r="340" customFormat="false" ht="15" hidden="false" customHeight="false" outlineLevel="0" collapsed="false">
      <c r="A340" s="11" t="str">
        <f aca="false">IF(INDEX(MASTER_DATABASE!$A$4:$A$1000,ROW()-3)="","",INDEX(MASTER_DATABASE!$A$4:$A$1000,ROW()-3)&amp;"")</f>
        <v/>
      </c>
      <c r="B340" s="7" t="str">
        <f aca="false">IF(INDEX(MASTER_DATABASE!$A$4:$A$1000,ROW()-3)="","",INDEX(MASTER_DATABASE!$E$4:$E$1000,ROW()-3)&amp;"")</f>
        <v/>
      </c>
      <c r="C340" s="7" t="str">
        <f aca="false">IF(INDEX(MASTER_DATABASE!$A$4:$A$1000,ROW()-3)="","",INDEX(MASTER_DATABASE!$H$4:$H$1000,ROW()-3)&amp;"")</f>
        <v/>
      </c>
      <c r="D340" s="7" t="str">
        <f aca="false">IF(INDEX(MASTER_DATABASE!$A$4:$A$1000,ROW()-3)="","",INDEX(MASTER_DATABASE!$BF$4:$BF$1000,ROW()-3)&amp;"")</f>
        <v/>
      </c>
      <c r="E340" s="7" t="str">
        <f aca="false">IF(INDEX(MASTER_DATABASE!$A$4:$A$1000,ROW()-3)="","",INDEX(MASTER_DATABASE!$O$4:$O$1000,ROW()-3)&amp;"")</f>
        <v/>
      </c>
      <c r="F340" s="7" t="str">
        <f aca="false">IF(INDEX(MASTER_DATABASE!$A$4:$A$1000,ROW()-3)="","",INDEX(MASTER_DATABASE!$M$4:$M$1000,ROW()-3)&amp;"")</f>
        <v/>
      </c>
      <c r="G340" s="7" t="str">
        <f aca="false">IF(INDEX(MASTER_DATABASE!$A$4:$A$1000,ROW()-3)="","",INDEX(MASTER_DATABASE!$P$4:$P$1000,ROW()-3)&amp;"")</f>
        <v/>
      </c>
      <c r="H34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0" s="7" t="str">
        <f aca="false">IF(INDEX(MASTER_DATABASE!$A$4:$A$1000,ROW()-3)="","",INDEX(MASTER_DATABASE!$Q$4:$Q$1000,ROW()-3)&amp;"")</f>
        <v/>
      </c>
      <c r="J340" s="7" t="str">
        <f aca="false">IF(INDEX(MASTER_DATABASE!$A$4:$A$1000,ROW()-3)="","",INDEX(MASTER_DATABASE!$J$4:$J$1000,ROW()-3)&amp;"")</f>
        <v/>
      </c>
      <c r="K340" s="7" t="str">
        <f aca="false">IF(INDEX(MASTER_DATABASE!$A$4:$A$1000,ROW()-3)="","",INDEX(MASTER_DATABASE!$AS$4:$AS$1000,ROW()-3)&amp;"")</f>
        <v/>
      </c>
      <c r="L340" s="7" t="str">
        <f aca="false">IF(INDEX(MASTER_DATABASE!$A$4:$A$1000,ROW()-3)="","",INDEX(MASTER_DATABASE!$AR$4:$AR$1000,ROW()-3)&amp;"")</f>
        <v/>
      </c>
      <c r="M340" s="7" t="str">
        <f aca="false">IF(INDEX(MASTER_DATABASE!$A$4:$A$1000,ROW()-3)="","",INDEX(MASTER_DATABASE!$AT$4:$AT$1000,ROW()-3)&amp;"")</f>
        <v/>
      </c>
      <c r="N340" s="7" t="str">
        <f aca="false">IF(INDEX(MASTER_DATABASE!$A$4:$A$1000,ROW()-3)="","",INDEX(MASTER_DATABASE!$BG$4:$BG$1000,ROW()-3)&amp;"")</f>
        <v/>
      </c>
    </row>
    <row r="341" customFormat="false" ht="15" hidden="false" customHeight="false" outlineLevel="0" collapsed="false">
      <c r="A341" s="11" t="str">
        <f aca="false">IF(INDEX(MASTER_DATABASE!$A$4:$A$1000,ROW()-3)="","",INDEX(MASTER_DATABASE!$A$4:$A$1000,ROW()-3)&amp;"")</f>
        <v/>
      </c>
      <c r="B341" s="7" t="str">
        <f aca="false">IF(INDEX(MASTER_DATABASE!$A$4:$A$1000,ROW()-3)="","",INDEX(MASTER_DATABASE!$E$4:$E$1000,ROW()-3)&amp;"")</f>
        <v/>
      </c>
      <c r="C341" s="7" t="str">
        <f aca="false">IF(INDEX(MASTER_DATABASE!$A$4:$A$1000,ROW()-3)="","",INDEX(MASTER_DATABASE!$H$4:$H$1000,ROW()-3)&amp;"")</f>
        <v/>
      </c>
      <c r="D341" s="7" t="str">
        <f aca="false">IF(INDEX(MASTER_DATABASE!$A$4:$A$1000,ROW()-3)="","",INDEX(MASTER_DATABASE!$BF$4:$BF$1000,ROW()-3)&amp;"")</f>
        <v/>
      </c>
      <c r="E341" s="7" t="str">
        <f aca="false">IF(INDEX(MASTER_DATABASE!$A$4:$A$1000,ROW()-3)="","",INDEX(MASTER_DATABASE!$O$4:$O$1000,ROW()-3)&amp;"")</f>
        <v/>
      </c>
      <c r="F341" s="7" t="str">
        <f aca="false">IF(INDEX(MASTER_DATABASE!$A$4:$A$1000,ROW()-3)="","",INDEX(MASTER_DATABASE!$M$4:$M$1000,ROW()-3)&amp;"")</f>
        <v/>
      </c>
      <c r="G341" s="7" t="str">
        <f aca="false">IF(INDEX(MASTER_DATABASE!$A$4:$A$1000,ROW()-3)="","",INDEX(MASTER_DATABASE!$P$4:$P$1000,ROW()-3)&amp;"")</f>
        <v/>
      </c>
      <c r="H34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1" s="7" t="str">
        <f aca="false">IF(INDEX(MASTER_DATABASE!$A$4:$A$1000,ROW()-3)="","",INDEX(MASTER_DATABASE!$Q$4:$Q$1000,ROW()-3)&amp;"")</f>
        <v/>
      </c>
      <c r="J341" s="7" t="str">
        <f aca="false">IF(INDEX(MASTER_DATABASE!$A$4:$A$1000,ROW()-3)="","",INDEX(MASTER_DATABASE!$J$4:$J$1000,ROW()-3)&amp;"")</f>
        <v/>
      </c>
      <c r="K341" s="7" t="str">
        <f aca="false">IF(INDEX(MASTER_DATABASE!$A$4:$A$1000,ROW()-3)="","",INDEX(MASTER_DATABASE!$AS$4:$AS$1000,ROW()-3)&amp;"")</f>
        <v/>
      </c>
      <c r="L341" s="7" t="str">
        <f aca="false">IF(INDEX(MASTER_DATABASE!$A$4:$A$1000,ROW()-3)="","",INDEX(MASTER_DATABASE!$AR$4:$AR$1000,ROW()-3)&amp;"")</f>
        <v/>
      </c>
      <c r="M341" s="7" t="str">
        <f aca="false">IF(INDEX(MASTER_DATABASE!$A$4:$A$1000,ROW()-3)="","",INDEX(MASTER_DATABASE!$AT$4:$AT$1000,ROW()-3)&amp;"")</f>
        <v/>
      </c>
      <c r="N341" s="7" t="str">
        <f aca="false">IF(INDEX(MASTER_DATABASE!$A$4:$A$1000,ROW()-3)="","",INDEX(MASTER_DATABASE!$BG$4:$BG$1000,ROW()-3)&amp;"")</f>
        <v/>
      </c>
    </row>
    <row r="342" customFormat="false" ht="15" hidden="false" customHeight="false" outlineLevel="0" collapsed="false">
      <c r="A342" s="11" t="str">
        <f aca="false">IF(INDEX(MASTER_DATABASE!$A$4:$A$1000,ROW()-3)="","",INDEX(MASTER_DATABASE!$A$4:$A$1000,ROW()-3)&amp;"")</f>
        <v/>
      </c>
      <c r="B342" s="7" t="str">
        <f aca="false">IF(INDEX(MASTER_DATABASE!$A$4:$A$1000,ROW()-3)="","",INDEX(MASTER_DATABASE!$E$4:$E$1000,ROW()-3)&amp;"")</f>
        <v/>
      </c>
      <c r="C342" s="7" t="str">
        <f aca="false">IF(INDEX(MASTER_DATABASE!$A$4:$A$1000,ROW()-3)="","",INDEX(MASTER_DATABASE!$H$4:$H$1000,ROW()-3)&amp;"")</f>
        <v/>
      </c>
      <c r="D342" s="7" t="str">
        <f aca="false">IF(INDEX(MASTER_DATABASE!$A$4:$A$1000,ROW()-3)="","",INDEX(MASTER_DATABASE!$BF$4:$BF$1000,ROW()-3)&amp;"")</f>
        <v/>
      </c>
      <c r="E342" s="7" t="str">
        <f aca="false">IF(INDEX(MASTER_DATABASE!$A$4:$A$1000,ROW()-3)="","",INDEX(MASTER_DATABASE!$O$4:$O$1000,ROW()-3)&amp;"")</f>
        <v/>
      </c>
      <c r="F342" s="7" t="str">
        <f aca="false">IF(INDEX(MASTER_DATABASE!$A$4:$A$1000,ROW()-3)="","",INDEX(MASTER_DATABASE!$M$4:$M$1000,ROW()-3)&amp;"")</f>
        <v/>
      </c>
      <c r="G342" s="7" t="str">
        <f aca="false">IF(INDEX(MASTER_DATABASE!$A$4:$A$1000,ROW()-3)="","",INDEX(MASTER_DATABASE!$P$4:$P$1000,ROW()-3)&amp;"")</f>
        <v/>
      </c>
      <c r="H34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2" s="7" t="str">
        <f aca="false">IF(INDEX(MASTER_DATABASE!$A$4:$A$1000,ROW()-3)="","",INDEX(MASTER_DATABASE!$Q$4:$Q$1000,ROW()-3)&amp;"")</f>
        <v/>
      </c>
      <c r="J342" s="7" t="str">
        <f aca="false">IF(INDEX(MASTER_DATABASE!$A$4:$A$1000,ROW()-3)="","",INDEX(MASTER_DATABASE!$J$4:$J$1000,ROW()-3)&amp;"")</f>
        <v/>
      </c>
      <c r="K342" s="7" t="str">
        <f aca="false">IF(INDEX(MASTER_DATABASE!$A$4:$A$1000,ROW()-3)="","",INDEX(MASTER_DATABASE!$AS$4:$AS$1000,ROW()-3)&amp;"")</f>
        <v/>
      </c>
      <c r="L342" s="7" t="str">
        <f aca="false">IF(INDEX(MASTER_DATABASE!$A$4:$A$1000,ROW()-3)="","",INDEX(MASTER_DATABASE!$AR$4:$AR$1000,ROW()-3)&amp;"")</f>
        <v/>
      </c>
      <c r="M342" s="7" t="str">
        <f aca="false">IF(INDEX(MASTER_DATABASE!$A$4:$A$1000,ROW()-3)="","",INDEX(MASTER_DATABASE!$AT$4:$AT$1000,ROW()-3)&amp;"")</f>
        <v/>
      </c>
      <c r="N342" s="7" t="str">
        <f aca="false">IF(INDEX(MASTER_DATABASE!$A$4:$A$1000,ROW()-3)="","",INDEX(MASTER_DATABASE!$BG$4:$BG$1000,ROW()-3)&amp;"")</f>
        <v/>
      </c>
    </row>
    <row r="343" customFormat="false" ht="15" hidden="false" customHeight="false" outlineLevel="0" collapsed="false">
      <c r="A343" s="11" t="str">
        <f aca="false">IF(INDEX(MASTER_DATABASE!$A$4:$A$1000,ROW()-3)="","",INDEX(MASTER_DATABASE!$A$4:$A$1000,ROW()-3)&amp;"")</f>
        <v/>
      </c>
      <c r="B343" s="7" t="str">
        <f aca="false">IF(INDEX(MASTER_DATABASE!$A$4:$A$1000,ROW()-3)="","",INDEX(MASTER_DATABASE!$E$4:$E$1000,ROW()-3)&amp;"")</f>
        <v/>
      </c>
      <c r="C343" s="7" t="str">
        <f aca="false">IF(INDEX(MASTER_DATABASE!$A$4:$A$1000,ROW()-3)="","",INDEX(MASTER_DATABASE!$H$4:$H$1000,ROW()-3)&amp;"")</f>
        <v/>
      </c>
      <c r="D343" s="7" t="str">
        <f aca="false">IF(INDEX(MASTER_DATABASE!$A$4:$A$1000,ROW()-3)="","",INDEX(MASTER_DATABASE!$BF$4:$BF$1000,ROW()-3)&amp;"")</f>
        <v/>
      </c>
      <c r="E343" s="7" t="str">
        <f aca="false">IF(INDEX(MASTER_DATABASE!$A$4:$A$1000,ROW()-3)="","",INDEX(MASTER_DATABASE!$O$4:$O$1000,ROW()-3)&amp;"")</f>
        <v/>
      </c>
      <c r="F343" s="7" t="str">
        <f aca="false">IF(INDEX(MASTER_DATABASE!$A$4:$A$1000,ROW()-3)="","",INDEX(MASTER_DATABASE!$M$4:$M$1000,ROW()-3)&amp;"")</f>
        <v/>
      </c>
      <c r="G343" s="7" t="str">
        <f aca="false">IF(INDEX(MASTER_DATABASE!$A$4:$A$1000,ROW()-3)="","",INDEX(MASTER_DATABASE!$P$4:$P$1000,ROW()-3)&amp;"")</f>
        <v/>
      </c>
      <c r="H34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3" s="7" t="str">
        <f aca="false">IF(INDEX(MASTER_DATABASE!$A$4:$A$1000,ROW()-3)="","",INDEX(MASTER_DATABASE!$Q$4:$Q$1000,ROW()-3)&amp;"")</f>
        <v/>
      </c>
      <c r="J343" s="7" t="str">
        <f aca="false">IF(INDEX(MASTER_DATABASE!$A$4:$A$1000,ROW()-3)="","",INDEX(MASTER_DATABASE!$J$4:$J$1000,ROW()-3)&amp;"")</f>
        <v/>
      </c>
      <c r="K343" s="7" t="str">
        <f aca="false">IF(INDEX(MASTER_DATABASE!$A$4:$A$1000,ROW()-3)="","",INDEX(MASTER_DATABASE!$AS$4:$AS$1000,ROW()-3)&amp;"")</f>
        <v/>
      </c>
      <c r="L343" s="7" t="str">
        <f aca="false">IF(INDEX(MASTER_DATABASE!$A$4:$A$1000,ROW()-3)="","",INDEX(MASTER_DATABASE!$AR$4:$AR$1000,ROW()-3)&amp;"")</f>
        <v/>
      </c>
      <c r="M343" s="7" t="str">
        <f aca="false">IF(INDEX(MASTER_DATABASE!$A$4:$A$1000,ROW()-3)="","",INDEX(MASTER_DATABASE!$AT$4:$AT$1000,ROW()-3)&amp;"")</f>
        <v/>
      </c>
      <c r="N343" s="7" t="str">
        <f aca="false">IF(INDEX(MASTER_DATABASE!$A$4:$A$1000,ROW()-3)="","",INDEX(MASTER_DATABASE!$BG$4:$BG$1000,ROW()-3)&amp;"")</f>
        <v/>
      </c>
    </row>
    <row r="344" customFormat="false" ht="15" hidden="false" customHeight="false" outlineLevel="0" collapsed="false">
      <c r="A344" s="11" t="str">
        <f aca="false">IF(INDEX(MASTER_DATABASE!$A$4:$A$1000,ROW()-3)="","",INDEX(MASTER_DATABASE!$A$4:$A$1000,ROW()-3)&amp;"")</f>
        <v/>
      </c>
      <c r="B344" s="7" t="str">
        <f aca="false">IF(INDEX(MASTER_DATABASE!$A$4:$A$1000,ROW()-3)="","",INDEX(MASTER_DATABASE!$E$4:$E$1000,ROW()-3)&amp;"")</f>
        <v/>
      </c>
      <c r="C344" s="7" t="str">
        <f aca="false">IF(INDEX(MASTER_DATABASE!$A$4:$A$1000,ROW()-3)="","",INDEX(MASTER_DATABASE!$H$4:$H$1000,ROW()-3)&amp;"")</f>
        <v/>
      </c>
      <c r="D344" s="7" t="str">
        <f aca="false">IF(INDEX(MASTER_DATABASE!$A$4:$A$1000,ROW()-3)="","",INDEX(MASTER_DATABASE!$BF$4:$BF$1000,ROW()-3)&amp;"")</f>
        <v/>
      </c>
      <c r="E344" s="7" t="str">
        <f aca="false">IF(INDEX(MASTER_DATABASE!$A$4:$A$1000,ROW()-3)="","",INDEX(MASTER_DATABASE!$O$4:$O$1000,ROW()-3)&amp;"")</f>
        <v/>
      </c>
      <c r="F344" s="7" t="str">
        <f aca="false">IF(INDEX(MASTER_DATABASE!$A$4:$A$1000,ROW()-3)="","",INDEX(MASTER_DATABASE!$M$4:$M$1000,ROW()-3)&amp;"")</f>
        <v/>
      </c>
      <c r="G344" s="7" t="str">
        <f aca="false">IF(INDEX(MASTER_DATABASE!$A$4:$A$1000,ROW()-3)="","",INDEX(MASTER_DATABASE!$P$4:$P$1000,ROW()-3)&amp;"")</f>
        <v/>
      </c>
      <c r="H34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4" s="7" t="str">
        <f aca="false">IF(INDEX(MASTER_DATABASE!$A$4:$A$1000,ROW()-3)="","",INDEX(MASTER_DATABASE!$Q$4:$Q$1000,ROW()-3)&amp;"")</f>
        <v/>
      </c>
      <c r="J344" s="7" t="str">
        <f aca="false">IF(INDEX(MASTER_DATABASE!$A$4:$A$1000,ROW()-3)="","",INDEX(MASTER_DATABASE!$J$4:$J$1000,ROW()-3)&amp;"")</f>
        <v/>
      </c>
      <c r="K344" s="7" t="str">
        <f aca="false">IF(INDEX(MASTER_DATABASE!$A$4:$A$1000,ROW()-3)="","",INDEX(MASTER_DATABASE!$AS$4:$AS$1000,ROW()-3)&amp;"")</f>
        <v/>
      </c>
      <c r="L344" s="7" t="str">
        <f aca="false">IF(INDEX(MASTER_DATABASE!$A$4:$A$1000,ROW()-3)="","",INDEX(MASTER_DATABASE!$AR$4:$AR$1000,ROW()-3)&amp;"")</f>
        <v/>
      </c>
      <c r="M344" s="7" t="str">
        <f aca="false">IF(INDEX(MASTER_DATABASE!$A$4:$A$1000,ROW()-3)="","",INDEX(MASTER_DATABASE!$AT$4:$AT$1000,ROW()-3)&amp;"")</f>
        <v/>
      </c>
      <c r="N344" s="7" t="str">
        <f aca="false">IF(INDEX(MASTER_DATABASE!$A$4:$A$1000,ROW()-3)="","",INDEX(MASTER_DATABASE!$BG$4:$BG$1000,ROW()-3)&amp;"")</f>
        <v/>
      </c>
    </row>
    <row r="345" customFormat="false" ht="15" hidden="false" customHeight="false" outlineLevel="0" collapsed="false">
      <c r="A345" s="11" t="str">
        <f aca="false">IF(INDEX(MASTER_DATABASE!$A$4:$A$1000,ROW()-3)="","",INDEX(MASTER_DATABASE!$A$4:$A$1000,ROW()-3)&amp;"")</f>
        <v/>
      </c>
      <c r="B345" s="7" t="str">
        <f aca="false">IF(INDEX(MASTER_DATABASE!$A$4:$A$1000,ROW()-3)="","",INDEX(MASTER_DATABASE!$E$4:$E$1000,ROW()-3)&amp;"")</f>
        <v/>
      </c>
      <c r="C345" s="7" t="str">
        <f aca="false">IF(INDEX(MASTER_DATABASE!$A$4:$A$1000,ROW()-3)="","",INDEX(MASTER_DATABASE!$H$4:$H$1000,ROW()-3)&amp;"")</f>
        <v/>
      </c>
      <c r="D345" s="7" t="str">
        <f aca="false">IF(INDEX(MASTER_DATABASE!$A$4:$A$1000,ROW()-3)="","",INDEX(MASTER_DATABASE!$BF$4:$BF$1000,ROW()-3)&amp;"")</f>
        <v/>
      </c>
      <c r="E345" s="7" t="str">
        <f aca="false">IF(INDEX(MASTER_DATABASE!$A$4:$A$1000,ROW()-3)="","",INDEX(MASTER_DATABASE!$O$4:$O$1000,ROW()-3)&amp;"")</f>
        <v/>
      </c>
      <c r="F345" s="7" t="str">
        <f aca="false">IF(INDEX(MASTER_DATABASE!$A$4:$A$1000,ROW()-3)="","",INDEX(MASTER_DATABASE!$M$4:$M$1000,ROW()-3)&amp;"")</f>
        <v/>
      </c>
      <c r="G345" s="7" t="str">
        <f aca="false">IF(INDEX(MASTER_DATABASE!$A$4:$A$1000,ROW()-3)="","",INDEX(MASTER_DATABASE!$P$4:$P$1000,ROW()-3)&amp;"")</f>
        <v/>
      </c>
      <c r="H34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5" s="7" t="str">
        <f aca="false">IF(INDEX(MASTER_DATABASE!$A$4:$A$1000,ROW()-3)="","",INDEX(MASTER_DATABASE!$Q$4:$Q$1000,ROW()-3)&amp;"")</f>
        <v/>
      </c>
      <c r="J345" s="7" t="str">
        <f aca="false">IF(INDEX(MASTER_DATABASE!$A$4:$A$1000,ROW()-3)="","",INDEX(MASTER_DATABASE!$J$4:$J$1000,ROW()-3)&amp;"")</f>
        <v/>
      </c>
      <c r="K345" s="7" t="str">
        <f aca="false">IF(INDEX(MASTER_DATABASE!$A$4:$A$1000,ROW()-3)="","",INDEX(MASTER_DATABASE!$AS$4:$AS$1000,ROW()-3)&amp;"")</f>
        <v/>
      </c>
      <c r="L345" s="7" t="str">
        <f aca="false">IF(INDEX(MASTER_DATABASE!$A$4:$A$1000,ROW()-3)="","",INDEX(MASTER_DATABASE!$AR$4:$AR$1000,ROW()-3)&amp;"")</f>
        <v/>
      </c>
      <c r="M345" s="7" t="str">
        <f aca="false">IF(INDEX(MASTER_DATABASE!$A$4:$A$1000,ROW()-3)="","",INDEX(MASTER_DATABASE!$AT$4:$AT$1000,ROW()-3)&amp;"")</f>
        <v/>
      </c>
      <c r="N345" s="7" t="str">
        <f aca="false">IF(INDEX(MASTER_DATABASE!$A$4:$A$1000,ROW()-3)="","",INDEX(MASTER_DATABASE!$BG$4:$BG$1000,ROW()-3)&amp;"")</f>
        <v/>
      </c>
    </row>
    <row r="346" customFormat="false" ht="15" hidden="false" customHeight="false" outlineLevel="0" collapsed="false">
      <c r="A346" s="11" t="str">
        <f aca="false">IF(INDEX(MASTER_DATABASE!$A$4:$A$1000,ROW()-3)="","",INDEX(MASTER_DATABASE!$A$4:$A$1000,ROW()-3)&amp;"")</f>
        <v/>
      </c>
      <c r="B346" s="7" t="str">
        <f aca="false">IF(INDEX(MASTER_DATABASE!$A$4:$A$1000,ROW()-3)="","",INDEX(MASTER_DATABASE!$E$4:$E$1000,ROW()-3)&amp;"")</f>
        <v/>
      </c>
      <c r="C346" s="7" t="str">
        <f aca="false">IF(INDEX(MASTER_DATABASE!$A$4:$A$1000,ROW()-3)="","",INDEX(MASTER_DATABASE!$H$4:$H$1000,ROW()-3)&amp;"")</f>
        <v/>
      </c>
      <c r="D346" s="7" t="str">
        <f aca="false">IF(INDEX(MASTER_DATABASE!$A$4:$A$1000,ROW()-3)="","",INDEX(MASTER_DATABASE!$BF$4:$BF$1000,ROW()-3)&amp;"")</f>
        <v/>
      </c>
      <c r="E346" s="7" t="str">
        <f aca="false">IF(INDEX(MASTER_DATABASE!$A$4:$A$1000,ROW()-3)="","",INDEX(MASTER_DATABASE!$O$4:$O$1000,ROW()-3)&amp;"")</f>
        <v/>
      </c>
      <c r="F346" s="7" t="str">
        <f aca="false">IF(INDEX(MASTER_DATABASE!$A$4:$A$1000,ROW()-3)="","",INDEX(MASTER_DATABASE!$M$4:$M$1000,ROW()-3)&amp;"")</f>
        <v/>
      </c>
      <c r="G346" s="7" t="str">
        <f aca="false">IF(INDEX(MASTER_DATABASE!$A$4:$A$1000,ROW()-3)="","",INDEX(MASTER_DATABASE!$P$4:$P$1000,ROW()-3)&amp;"")</f>
        <v/>
      </c>
      <c r="H346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6" s="7" t="str">
        <f aca="false">IF(INDEX(MASTER_DATABASE!$A$4:$A$1000,ROW()-3)="","",INDEX(MASTER_DATABASE!$Q$4:$Q$1000,ROW()-3)&amp;"")</f>
        <v/>
      </c>
      <c r="J346" s="7" t="str">
        <f aca="false">IF(INDEX(MASTER_DATABASE!$A$4:$A$1000,ROW()-3)="","",INDEX(MASTER_DATABASE!$J$4:$J$1000,ROW()-3)&amp;"")</f>
        <v/>
      </c>
      <c r="K346" s="7" t="str">
        <f aca="false">IF(INDEX(MASTER_DATABASE!$A$4:$A$1000,ROW()-3)="","",INDEX(MASTER_DATABASE!$AS$4:$AS$1000,ROW()-3)&amp;"")</f>
        <v/>
      </c>
      <c r="L346" s="7" t="str">
        <f aca="false">IF(INDEX(MASTER_DATABASE!$A$4:$A$1000,ROW()-3)="","",INDEX(MASTER_DATABASE!$AR$4:$AR$1000,ROW()-3)&amp;"")</f>
        <v/>
      </c>
      <c r="M346" s="7" t="str">
        <f aca="false">IF(INDEX(MASTER_DATABASE!$A$4:$A$1000,ROW()-3)="","",INDEX(MASTER_DATABASE!$AT$4:$AT$1000,ROW()-3)&amp;"")</f>
        <v/>
      </c>
      <c r="N346" s="7" t="str">
        <f aca="false">IF(INDEX(MASTER_DATABASE!$A$4:$A$1000,ROW()-3)="","",INDEX(MASTER_DATABASE!$BG$4:$BG$1000,ROW()-3)&amp;"")</f>
        <v/>
      </c>
    </row>
    <row r="347" customFormat="false" ht="15" hidden="false" customHeight="false" outlineLevel="0" collapsed="false">
      <c r="A347" s="11" t="str">
        <f aca="false">IF(INDEX(MASTER_DATABASE!$A$4:$A$1000,ROW()-3)="","",INDEX(MASTER_DATABASE!$A$4:$A$1000,ROW()-3)&amp;"")</f>
        <v/>
      </c>
      <c r="B347" s="7" t="str">
        <f aca="false">IF(INDEX(MASTER_DATABASE!$A$4:$A$1000,ROW()-3)="","",INDEX(MASTER_DATABASE!$E$4:$E$1000,ROW()-3)&amp;"")</f>
        <v/>
      </c>
      <c r="C347" s="7" t="str">
        <f aca="false">IF(INDEX(MASTER_DATABASE!$A$4:$A$1000,ROW()-3)="","",INDEX(MASTER_DATABASE!$H$4:$H$1000,ROW()-3)&amp;"")</f>
        <v/>
      </c>
      <c r="D347" s="7" t="str">
        <f aca="false">IF(INDEX(MASTER_DATABASE!$A$4:$A$1000,ROW()-3)="","",INDEX(MASTER_DATABASE!$BF$4:$BF$1000,ROW()-3)&amp;"")</f>
        <v/>
      </c>
      <c r="E347" s="7" t="str">
        <f aca="false">IF(INDEX(MASTER_DATABASE!$A$4:$A$1000,ROW()-3)="","",INDEX(MASTER_DATABASE!$O$4:$O$1000,ROW()-3)&amp;"")</f>
        <v/>
      </c>
      <c r="F347" s="7" t="str">
        <f aca="false">IF(INDEX(MASTER_DATABASE!$A$4:$A$1000,ROW()-3)="","",INDEX(MASTER_DATABASE!$M$4:$M$1000,ROW()-3)&amp;"")</f>
        <v/>
      </c>
      <c r="G347" s="7" t="str">
        <f aca="false">IF(INDEX(MASTER_DATABASE!$A$4:$A$1000,ROW()-3)="","",INDEX(MASTER_DATABASE!$P$4:$P$1000,ROW()-3)&amp;"")</f>
        <v/>
      </c>
      <c r="H347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7" s="7" t="str">
        <f aca="false">IF(INDEX(MASTER_DATABASE!$A$4:$A$1000,ROW()-3)="","",INDEX(MASTER_DATABASE!$Q$4:$Q$1000,ROW()-3)&amp;"")</f>
        <v/>
      </c>
      <c r="J347" s="7" t="str">
        <f aca="false">IF(INDEX(MASTER_DATABASE!$A$4:$A$1000,ROW()-3)="","",INDEX(MASTER_DATABASE!$J$4:$J$1000,ROW()-3)&amp;"")</f>
        <v/>
      </c>
      <c r="K347" s="7" t="str">
        <f aca="false">IF(INDEX(MASTER_DATABASE!$A$4:$A$1000,ROW()-3)="","",INDEX(MASTER_DATABASE!$AS$4:$AS$1000,ROW()-3)&amp;"")</f>
        <v/>
      </c>
      <c r="L347" s="7" t="str">
        <f aca="false">IF(INDEX(MASTER_DATABASE!$A$4:$A$1000,ROW()-3)="","",INDEX(MASTER_DATABASE!$AR$4:$AR$1000,ROW()-3)&amp;"")</f>
        <v/>
      </c>
      <c r="M347" s="7" t="str">
        <f aca="false">IF(INDEX(MASTER_DATABASE!$A$4:$A$1000,ROW()-3)="","",INDEX(MASTER_DATABASE!$AT$4:$AT$1000,ROW()-3)&amp;"")</f>
        <v/>
      </c>
      <c r="N347" s="7" t="str">
        <f aca="false">IF(INDEX(MASTER_DATABASE!$A$4:$A$1000,ROW()-3)="","",INDEX(MASTER_DATABASE!$BG$4:$BG$1000,ROW()-3)&amp;"")</f>
        <v/>
      </c>
    </row>
    <row r="348" customFormat="false" ht="15" hidden="false" customHeight="false" outlineLevel="0" collapsed="false">
      <c r="A348" s="11" t="str">
        <f aca="false">IF(INDEX(MASTER_DATABASE!$A$4:$A$1000,ROW()-3)="","",INDEX(MASTER_DATABASE!$A$4:$A$1000,ROW()-3)&amp;"")</f>
        <v/>
      </c>
      <c r="B348" s="7" t="str">
        <f aca="false">IF(INDEX(MASTER_DATABASE!$A$4:$A$1000,ROW()-3)="","",INDEX(MASTER_DATABASE!$E$4:$E$1000,ROW()-3)&amp;"")</f>
        <v/>
      </c>
      <c r="C348" s="7" t="str">
        <f aca="false">IF(INDEX(MASTER_DATABASE!$A$4:$A$1000,ROW()-3)="","",INDEX(MASTER_DATABASE!$H$4:$H$1000,ROW()-3)&amp;"")</f>
        <v/>
      </c>
      <c r="D348" s="7" t="str">
        <f aca="false">IF(INDEX(MASTER_DATABASE!$A$4:$A$1000,ROW()-3)="","",INDEX(MASTER_DATABASE!$BF$4:$BF$1000,ROW()-3)&amp;"")</f>
        <v/>
      </c>
      <c r="E348" s="7" t="str">
        <f aca="false">IF(INDEX(MASTER_DATABASE!$A$4:$A$1000,ROW()-3)="","",INDEX(MASTER_DATABASE!$O$4:$O$1000,ROW()-3)&amp;"")</f>
        <v/>
      </c>
      <c r="F348" s="7" t="str">
        <f aca="false">IF(INDEX(MASTER_DATABASE!$A$4:$A$1000,ROW()-3)="","",INDEX(MASTER_DATABASE!$M$4:$M$1000,ROW()-3)&amp;"")</f>
        <v/>
      </c>
      <c r="G348" s="7" t="str">
        <f aca="false">IF(INDEX(MASTER_DATABASE!$A$4:$A$1000,ROW()-3)="","",INDEX(MASTER_DATABASE!$P$4:$P$1000,ROW()-3)&amp;"")</f>
        <v/>
      </c>
      <c r="H348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8" s="7" t="str">
        <f aca="false">IF(INDEX(MASTER_DATABASE!$A$4:$A$1000,ROW()-3)="","",INDEX(MASTER_DATABASE!$Q$4:$Q$1000,ROW()-3)&amp;"")</f>
        <v/>
      </c>
      <c r="J348" s="7" t="str">
        <f aca="false">IF(INDEX(MASTER_DATABASE!$A$4:$A$1000,ROW()-3)="","",INDEX(MASTER_DATABASE!$J$4:$J$1000,ROW()-3)&amp;"")</f>
        <v/>
      </c>
      <c r="K348" s="7" t="str">
        <f aca="false">IF(INDEX(MASTER_DATABASE!$A$4:$A$1000,ROW()-3)="","",INDEX(MASTER_DATABASE!$AS$4:$AS$1000,ROW()-3)&amp;"")</f>
        <v/>
      </c>
      <c r="L348" s="7" t="str">
        <f aca="false">IF(INDEX(MASTER_DATABASE!$A$4:$A$1000,ROW()-3)="","",INDEX(MASTER_DATABASE!$AR$4:$AR$1000,ROW()-3)&amp;"")</f>
        <v/>
      </c>
      <c r="M348" s="7" t="str">
        <f aca="false">IF(INDEX(MASTER_DATABASE!$A$4:$A$1000,ROW()-3)="","",INDEX(MASTER_DATABASE!$AT$4:$AT$1000,ROW()-3)&amp;"")</f>
        <v/>
      </c>
      <c r="N348" s="7" t="str">
        <f aca="false">IF(INDEX(MASTER_DATABASE!$A$4:$A$1000,ROW()-3)="","",INDEX(MASTER_DATABASE!$BG$4:$BG$1000,ROW()-3)&amp;"")</f>
        <v/>
      </c>
    </row>
    <row r="349" customFormat="false" ht="15" hidden="false" customHeight="false" outlineLevel="0" collapsed="false">
      <c r="A349" s="11" t="str">
        <f aca="false">IF(INDEX(MASTER_DATABASE!$A$4:$A$1000,ROW()-3)="","",INDEX(MASTER_DATABASE!$A$4:$A$1000,ROW()-3)&amp;"")</f>
        <v/>
      </c>
      <c r="B349" s="7" t="str">
        <f aca="false">IF(INDEX(MASTER_DATABASE!$A$4:$A$1000,ROW()-3)="","",INDEX(MASTER_DATABASE!$E$4:$E$1000,ROW()-3)&amp;"")</f>
        <v/>
      </c>
      <c r="C349" s="7" t="str">
        <f aca="false">IF(INDEX(MASTER_DATABASE!$A$4:$A$1000,ROW()-3)="","",INDEX(MASTER_DATABASE!$H$4:$H$1000,ROW()-3)&amp;"")</f>
        <v/>
      </c>
      <c r="D349" s="7" t="str">
        <f aca="false">IF(INDEX(MASTER_DATABASE!$A$4:$A$1000,ROW()-3)="","",INDEX(MASTER_DATABASE!$BF$4:$BF$1000,ROW()-3)&amp;"")</f>
        <v/>
      </c>
      <c r="E349" s="7" t="str">
        <f aca="false">IF(INDEX(MASTER_DATABASE!$A$4:$A$1000,ROW()-3)="","",INDEX(MASTER_DATABASE!$O$4:$O$1000,ROW()-3)&amp;"")</f>
        <v/>
      </c>
      <c r="F349" s="7" t="str">
        <f aca="false">IF(INDEX(MASTER_DATABASE!$A$4:$A$1000,ROW()-3)="","",INDEX(MASTER_DATABASE!$M$4:$M$1000,ROW()-3)&amp;"")</f>
        <v/>
      </c>
      <c r="G349" s="7" t="str">
        <f aca="false">IF(INDEX(MASTER_DATABASE!$A$4:$A$1000,ROW()-3)="","",INDEX(MASTER_DATABASE!$P$4:$P$1000,ROW()-3)&amp;"")</f>
        <v/>
      </c>
      <c r="H349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49" s="7" t="str">
        <f aca="false">IF(INDEX(MASTER_DATABASE!$A$4:$A$1000,ROW()-3)="","",INDEX(MASTER_DATABASE!$Q$4:$Q$1000,ROW()-3)&amp;"")</f>
        <v/>
      </c>
      <c r="J349" s="7" t="str">
        <f aca="false">IF(INDEX(MASTER_DATABASE!$A$4:$A$1000,ROW()-3)="","",INDEX(MASTER_DATABASE!$J$4:$J$1000,ROW()-3)&amp;"")</f>
        <v/>
      </c>
      <c r="K349" s="7" t="str">
        <f aca="false">IF(INDEX(MASTER_DATABASE!$A$4:$A$1000,ROW()-3)="","",INDEX(MASTER_DATABASE!$AS$4:$AS$1000,ROW()-3)&amp;"")</f>
        <v/>
      </c>
      <c r="L349" s="7" t="str">
        <f aca="false">IF(INDEX(MASTER_DATABASE!$A$4:$A$1000,ROW()-3)="","",INDEX(MASTER_DATABASE!$AR$4:$AR$1000,ROW()-3)&amp;"")</f>
        <v/>
      </c>
      <c r="M349" s="7" t="str">
        <f aca="false">IF(INDEX(MASTER_DATABASE!$A$4:$A$1000,ROW()-3)="","",INDEX(MASTER_DATABASE!$AT$4:$AT$1000,ROW()-3)&amp;"")</f>
        <v/>
      </c>
      <c r="N349" s="7" t="str">
        <f aca="false">IF(INDEX(MASTER_DATABASE!$A$4:$A$1000,ROW()-3)="","",INDEX(MASTER_DATABASE!$BG$4:$BG$1000,ROW()-3)&amp;"")</f>
        <v/>
      </c>
    </row>
    <row r="350" customFormat="false" ht="15" hidden="false" customHeight="false" outlineLevel="0" collapsed="false">
      <c r="A350" s="11" t="str">
        <f aca="false">IF(INDEX(MASTER_DATABASE!$A$4:$A$1000,ROW()-3)="","",INDEX(MASTER_DATABASE!$A$4:$A$1000,ROW()-3)&amp;"")</f>
        <v/>
      </c>
      <c r="B350" s="7" t="str">
        <f aca="false">IF(INDEX(MASTER_DATABASE!$A$4:$A$1000,ROW()-3)="","",INDEX(MASTER_DATABASE!$E$4:$E$1000,ROW()-3)&amp;"")</f>
        <v/>
      </c>
      <c r="C350" s="7" t="str">
        <f aca="false">IF(INDEX(MASTER_DATABASE!$A$4:$A$1000,ROW()-3)="","",INDEX(MASTER_DATABASE!$H$4:$H$1000,ROW()-3)&amp;"")</f>
        <v/>
      </c>
      <c r="D350" s="7" t="str">
        <f aca="false">IF(INDEX(MASTER_DATABASE!$A$4:$A$1000,ROW()-3)="","",INDEX(MASTER_DATABASE!$BF$4:$BF$1000,ROW()-3)&amp;"")</f>
        <v/>
      </c>
      <c r="E350" s="7" t="str">
        <f aca="false">IF(INDEX(MASTER_DATABASE!$A$4:$A$1000,ROW()-3)="","",INDEX(MASTER_DATABASE!$O$4:$O$1000,ROW()-3)&amp;"")</f>
        <v/>
      </c>
      <c r="F350" s="7" t="str">
        <f aca="false">IF(INDEX(MASTER_DATABASE!$A$4:$A$1000,ROW()-3)="","",INDEX(MASTER_DATABASE!$M$4:$M$1000,ROW()-3)&amp;"")</f>
        <v/>
      </c>
      <c r="G350" s="7" t="str">
        <f aca="false">IF(INDEX(MASTER_DATABASE!$A$4:$A$1000,ROW()-3)="","",INDEX(MASTER_DATABASE!$P$4:$P$1000,ROW()-3)&amp;"")</f>
        <v/>
      </c>
      <c r="H350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50" s="7" t="str">
        <f aca="false">IF(INDEX(MASTER_DATABASE!$A$4:$A$1000,ROW()-3)="","",INDEX(MASTER_DATABASE!$Q$4:$Q$1000,ROW()-3)&amp;"")</f>
        <v/>
      </c>
      <c r="J350" s="7" t="str">
        <f aca="false">IF(INDEX(MASTER_DATABASE!$A$4:$A$1000,ROW()-3)="","",INDEX(MASTER_DATABASE!$J$4:$J$1000,ROW()-3)&amp;"")</f>
        <v/>
      </c>
      <c r="K350" s="7" t="str">
        <f aca="false">IF(INDEX(MASTER_DATABASE!$A$4:$A$1000,ROW()-3)="","",INDEX(MASTER_DATABASE!$AS$4:$AS$1000,ROW()-3)&amp;"")</f>
        <v/>
      </c>
      <c r="L350" s="7" t="str">
        <f aca="false">IF(INDEX(MASTER_DATABASE!$A$4:$A$1000,ROW()-3)="","",INDEX(MASTER_DATABASE!$AR$4:$AR$1000,ROW()-3)&amp;"")</f>
        <v/>
      </c>
      <c r="M350" s="7" t="str">
        <f aca="false">IF(INDEX(MASTER_DATABASE!$A$4:$A$1000,ROW()-3)="","",INDEX(MASTER_DATABASE!$AT$4:$AT$1000,ROW()-3)&amp;"")</f>
        <v/>
      </c>
      <c r="N350" s="7" t="str">
        <f aca="false">IF(INDEX(MASTER_DATABASE!$A$4:$A$1000,ROW()-3)="","",INDEX(MASTER_DATABASE!$BG$4:$BG$1000,ROW()-3)&amp;"")</f>
        <v/>
      </c>
    </row>
    <row r="351" customFormat="false" ht="15" hidden="false" customHeight="false" outlineLevel="0" collapsed="false">
      <c r="A351" s="11" t="str">
        <f aca="false">IF(INDEX(MASTER_DATABASE!$A$4:$A$1000,ROW()-3)="","",INDEX(MASTER_DATABASE!$A$4:$A$1000,ROW()-3)&amp;"")</f>
        <v/>
      </c>
      <c r="B351" s="7" t="str">
        <f aca="false">IF(INDEX(MASTER_DATABASE!$A$4:$A$1000,ROW()-3)="","",INDEX(MASTER_DATABASE!$E$4:$E$1000,ROW()-3)&amp;"")</f>
        <v/>
      </c>
      <c r="C351" s="7" t="str">
        <f aca="false">IF(INDEX(MASTER_DATABASE!$A$4:$A$1000,ROW()-3)="","",INDEX(MASTER_DATABASE!$H$4:$H$1000,ROW()-3)&amp;"")</f>
        <v/>
      </c>
      <c r="D351" s="7" t="str">
        <f aca="false">IF(INDEX(MASTER_DATABASE!$A$4:$A$1000,ROW()-3)="","",INDEX(MASTER_DATABASE!$BF$4:$BF$1000,ROW()-3)&amp;"")</f>
        <v/>
      </c>
      <c r="E351" s="7" t="str">
        <f aca="false">IF(INDEX(MASTER_DATABASE!$A$4:$A$1000,ROW()-3)="","",INDEX(MASTER_DATABASE!$O$4:$O$1000,ROW()-3)&amp;"")</f>
        <v/>
      </c>
      <c r="F351" s="7" t="str">
        <f aca="false">IF(INDEX(MASTER_DATABASE!$A$4:$A$1000,ROW()-3)="","",INDEX(MASTER_DATABASE!$M$4:$M$1000,ROW()-3)&amp;"")</f>
        <v/>
      </c>
      <c r="G351" s="7" t="str">
        <f aca="false">IF(INDEX(MASTER_DATABASE!$A$4:$A$1000,ROW()-3)="","",INDEX(MASTER_DATABASE!$P$4:$P$1000,ROW()-3)&amp;"")</f>
        <v/>
      </c>
      <c r="H351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51" s="7" t="str">
        <f aca="false">IF(INDEX(MASTER_DATABASE!$A$4:$A$1000,ROW()-3)="","",INDEX(MASTER_DATABASE!$Q$4:$Q$1000,ROW()-3)&amp;"")</f>
        <v/>
      </c>
      <c r="J351" s="7" t="str">
        <f aca="false">IF(INDEX(MASTER_DATABASE!$A$4:$A$1000,ROW()-3)="","",INDEX(MASTER_DATABASE!$J$4:$J$1000,ROW()-3)&amp;"")</f>
        <v/>
      </c>
      <c r="K351" s="7" t="str">
        <f aca="false">IF(INDEX(MASTER_DATABASE!$A$4:$A$1000,ROW()-3)="","",INDEX(MASTER_DATABASE!$AS$4:$AS$1000,ROW()-3)&amp;"")</f>
        <v/>
      </c>
      <c r="L351" s="7" t="str">
        <f aca="false">IF(INDEX(MASTER_DATABASE!$A$4:$A$1000,ROW()-3)="","",INDEX(MASTER_DATABASE!$AR$4:$AR$1000,ROW()-3)&amp;"")</f>
        <v/>
      </c>
      <c r="M351" s="7" t="str">
        <f aca="false">IF(INDEX(MASTER_DATABASE!$A$4:$A$1000,ROW()-3)="","",INDEX(MASTER_DATABASE!$AT$4:$AT$1000,ROW()-3)&amp;"")</f>
        <v/>
      </c>
      <c r="N351" s="7" t="str">
        <f aca="false">IF(INDEX(MASTER_DATABASE!$A$4:$A$1000,ROW()-3)="","",INDEX(MASTER_DATABASE!$BG$4:$BG$1000,ROW()-3)&amp;"")</f>
        <v/>
      </c>
    </row>
    <row r="352" customFormat="false" ht="15" hidden="false" customHeight="false" outlineLevel="0" collapsed="false">
      <c r="A352" s="11" t="str">
        <f aca="false">IF(INDEX(MASTER_DATABASE!$A$4:$A$1000,ROW()-3)="","",INDEX(MASTER_DATABASE!$A$4:$A$1000,ROW()-3)&amp;"")</f>
        <v/>
      </c>
      <c r="B352" s="7" t="str">
        <f aca="false">IF(INDEX(MASTER_DATABASE!$A$4:$A$1000,ROW()-3)="","",INDEX(MASTER_DATABASE!$E$4:$E$1000,ROW()-3)&amp;"")</f>
        <v/>
      </c>
      <c r="C352" s="7" t="str">
        <f aca="false">IF(INDEX(MASTER_DATABASE!$A$4:$A$1000,ROW()-3)="","",INDEX(MASTER_DATABASE!$H$4:$H$1000,ROW()-3)&amp;"")</f>
        <v/>
      </c>
      <c r="D352" s="7" t="str">
        <f aca="false">IF(INDEX(MASTER_DATABASE!$A$4:$A$1000,ROW()-3)="","",INDEX(MASTER_DATABASE!$BF$4:$BF$1000,ROW()-3)&amp;"")</f>
        <v/>
      </c>
      <c r="E352" s="7" t="str">
        <f aca="false">IF(INDEX(MASTER_DATABASE!$A$4:$A$1000,ROW()-3)="","",INDEX(MASTER_DATABASE!$O$4:$O$1000,ROW()-3)&amp;"")</f>
        <v/>
      </c>
      <c r="F352" s="7" t="str">
        <f aca="false">IF(INDEX(MASTER_DATABASE!$A$4:$A$1000,ROW()-3)="","",INDEX(MASTER_DATABASE!$M$4:$M$1000,ROW()-3)&amp;"")</f>
        <v/>
      </c>
      <c r="G352" s="7" t="str">
        <f aca="false">IF(INDEX(MASTER_DATABASE!$A$4:$A$1000,ROW()-3)="","",INDEX(MASTER_DATABASE!$P$4:$P$1000,ROW()-3)&amp;"")</f>
        <v/>
      </c>
      <c r="H352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52" s="7" t="str">
        <f aca="false">IF(INDEX(MASTER_DATABASE!$A$4:$A$1000,ROW()-3)="","",INDEX(MASTER_DATABASE!$Q$4:$Q$1000,ROW()-3)&amp;"")</f>
        <v/>
      </c>
      <c r="J352" s="7" t="str">
        <f aca="false">IF(INDEX(MASTER_DATABASE!$A$4:$A$1000,ROW()-3)="","",INDEX(MASTER_DATABASE!$J$4:$J$1000,ROW()-3)&amp;"")</f>
        <v/>
      </c>
      <c r="K352" s="7" t="str">
        <f aca="false">IF(INDEX(MASTER_DATABASE!$A$4:$A$1000,ROW()-3)="","",INDEX(MASTER_DATABASE!$AS$4:$AS$1000,ROW()-3)&amp;"")</f>
        <v/>
      </c>
      <c r="L352" s="7" t="str">
        <f aca="false">IF(INDEX(MASTER_DATABASE!$A$4:$A$1000,ROW()-3)="","",INDEX(MASTER_DATABASE!$AR$4:$AR$1000,ROW()-3)&amp;"")</f>
        <v/>
      </c>
      <c r="M352" s="7" t="str">
        <f aca="false">IF(INDEX(MASTER_DATABASE!$A$4:$A$1000,ROW()-3)="","",INDEX(MASTER_DATABASE!$AT$4:$AT$1000,ROW()-3)&amp;"")</f>
        <v/>
      </c>
      <c r="N352" s="7" t="str">
        <f aca="false">IF(INDEX(MASTER_DATABASE!$A$4:$A$1000,ROW()-3)="","",INDEX(MASTER_DATABASE!$BG$4:$BG$1000,ROW()-3)&amp;"")</f>
        <v/>
      </c>
    </row>
    <row r="353" customFormat="false" ht="15" hidden="false" customHeight="false" outlineLevel="0" collapsed="false">
      <c r="A353" s="11" t="str">
        <f aca="false">IF(INDEX(MASTER_DATABASE!$A$4:$A$1000,ROW()-3)="","",INDEX(MASTER_DATABASE!$A$4:$A$1000,ROW()-3)&amp;"")</f>
        <v/>
      </c>
      <c r="B353" s="7" t="str">
        <f aca="false">IF(INDEX(MASTER_DATABASE!$A$4:$A$1000,ROW()-3)="","",INDEX(MASTER_DATABASE!$E$4:$E$1000,ROW()-3)&amp;"")</f>
        <v/>
      </c>
      <c r="C353" s="7" t="str">
        <f aca="false">IF(INDEX(MASTER_DATABASE!$A$4:$A$1000,ROW()-3)="","",INDEX(MASTER_DATABASE!$H$4:$H$1000,ROW()-3)&amp;"")</f>
        <v/>
      </c>
      <c r="D353" s="7" t="str">
        <f aca="false">IF(INDEX(MASTER_DATABASE!$A$4:$A$1000,ROW()-3)="","",INDEX(MASTER_DATABASE!$BF$4:$BF$1000,ROW()-3)&amp;"")</f>
        <v/>
      </c>
      <c r="E353" s="7" t="str">
        <f aca="false">IF(INDEX(MASTER_DATABASE!$A$4:$A$1000,ROW()-3)="","",INDEX(MASTER_DATABASE!$O$4:$O$1000,ROW()-3)&amp;"")</f>
        <v/>
      </c>
      <c r="F353" s="7" t="str">
        <f aca="false">IF(INDEX(MASTER_DATABASE!$A$4:$A$1000,ROW()-3)="","",INDEX(MASTER_DATABASE!$M$4:$M$1000,ROW()-3)&amp;"")</f>
        <v/>
      </c>
      <c r="G353" s="7" t="str">
        <f aca="false">IF(INDEX(MASTER_DATABASE!$A$4:$A$1000,ROW()-3)="","",INDEX(MASTER_DATABASE!$P$4:$P$1000,ROW()-3)&amp;"")</f>
        <v/>
      </c>
      <c r="H353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53" s="7" t="str">
        <f aca="false">IF(INDEX(MASTER_DATABASE!$A$4:$A$1000,ROW()-3)="","",INDEX(MASTER_DATABASE!$Q$4:$Q$1000,ROW()-3)&amp;"")</f>
        <v/>
      </c>
      <c r="J353" s="7" t="str">
        <f aca="false">IF(INDEX(MASTER_DATABASE!$A$4:$A$1000,ROW()-3)="","",INDEX(MASTER_DATABASE!$J$4:$J$1000,ROW()-3)&amp;"")</f>
        <v/>
      </c>
      <c r="K353" s="7" t="str">
        <f aca="false">IF(INDEX(MASTER_DATABASE!$A$4:$A$1000,ROW()-3)="","",INDEX(MASTER_DATABASE!$AS$4:$AS$1000,ROW()-3)&amp;"")</f>
        <v/>
      </c>
      <c r="L353" s="7" t="str">
        <f aca="false">IF(INDEX(MASTER_DATABASE!$A$4:$A$1000,ROW()-3)="","",INDEX(MASTER_DATABASE!$AR$4:$AR$1000,ROW()-3)&amp;"")</f>
        <v/>
      </c>
      <c r="M353" s="7" t="str">
        <f aca="false">IF(INDEX(MASTER_DATABASE!$A$4:$A$1000,ROW()-3)="","",INDEX(MASTER_DATABASE!$AT$4:$AT$1000,ROW()-3)&amp;"")</f>
        <v/>
      </c>
      <c r="N353" s="7" t="str">
        <f aca="false">IF(INDEX(MASTER_DATABASE!$A$4:$A$1000,ROW()-3)="","",INDEX(MASTER_DATABASE!$BG$4:$BG$1000,ROW()-3)&amp;"")</f>
        <v/>
      </c>
    </row>
    <row r="354" customFormat="false" ht="15" hidden="false" customHeight="false" outlineLevel="0" collapsed="false">
      <c r="A354" s="11" t="str">
        <f aca="false">IF(INDEX(MASTER_DATABASE!$A$4:$A$1000,ROW()-3)="","",INDEX(MASTER_DATABASE!$A$4:$A$1000,ROW()-3)&amp;"")</f>
        <v/>
      </c>
      <c r="B354" s="7" t="str">
        <f aca="false">IF(INDEX(MASTER_DATABASE!$A$4:$A$1000,ROW()-3)="","",INDEX(MASTER_DATABASE!$E$4:$E$1000,ROW()-3)&amp;"")</f>
        <v/>
      </c>
      <c r="C354" s="7" t="str">
        <f aca="false">IF(INDEX(MASTER_DATABASE!$A$4:$A$1000,ROW()-3)="","",INDEX(MASTER_DATABASE!$H$4:$H$1000,ROW()-3)&amp;"")</f>
        <v/>
      </c>
      <c r="D354" s="7" t="str">
        <f aca="false">IF(INDEX(MASTER_DATABASE!$A$4:$A$1000,ROW()-3)="","",INDEX(MASTER_DATABASE!$BF$4:$BF$1000,ROW()-3)&amp;"")</f>
        <v/>
      </c>
      <c r="E354" s="7" t="str">
        <f aca="false">IF(INDEX(MASTER_DATABASE!$A$4:$A$1000,ROW()-3)="","",INDEX(MASTER_DATABASE!$O$4:$O$1000,ROW()-3)&amp;"")</f>
        <v/>
      </c>
      <c r="F354" s="7" t="str">
        <f aca="false">IF(INDEX(MASTER_DATABASE!$A$4:$A$1000,ROW()-3)="","",INDEX(MASTER_DATABASE!$M$4:$M$1000,ROW()-3)&amp;"")</f>
        <v/>
      </c>
      <c r="G354" s="7" t="str">
        <f aca="false">IF(INDEX(MASTER_DATABASE!$A$4:$A$1000,ROW()-3)="","",INDEX(MASTER_DATABASE!$P$4:$P$1000,ROW()-3)&amp;"")</f>
        <v/>
      </c>
      <c r="H354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54" s="7" t="str">
        <f aca="false">IF(INDEX(MASTER_DATABASE!$A$4:$A$1000,ROW()-3)="","",INDEX(MASTER_DATABASE!$Q$4:$Q$1000,ROW()-3)&amp;"")</f>
        <v/>
      </c>
      <c r="J354" s="7" t="str">
        <f aca="false">IF(INDEX(MASTER_DATABASE!$A$4:$A$1000,ROW()-3)="","",INDEX(MASTER_DATABASE!$J$4:$J$1000,ROW()-3)&amp;"")</f>
        <v/>
      </c>
      <c r="K354" s="7" t="str">
        <f aca="false">IF(INDEX(MASTER_DATABASE!$A$4:$A$1000,ROW()-3)="","",INDEX(MASTER_DATABASE!$AS$4:$AS$1000,ROW()-3)&amp;"")</f>
        <v/>
      </c>
      <c r="L354" s="7" t="str">
        <f aca="false">IF(INDEX(MASTER_DATABASE!$A$4:$A$1000,ROW()-3)="","",INDEX(MASTER_DATABASE!$AR$4:$AR$1000,ROW()-3)&amp;"")</f>
        <v/>
      </c>
      <c r="M354" s="7" t="str">
        <f aca="false">IF(INDEX(MASTER_DATABASE!$A$4:$A$1000,ROW()-3)="","",INDEX(MASTER_DATABASE!$AT$4:$AT$1000,ROW()-3)&amp;"")</f>
        <v/>
      </c>
      <c r="N354" s="7" t="str">
        <f aca="false">IF(INDEX(MASTER_DATABASE!$A$4:$A$1000,ROW()-3)="","",INDEX(MASTER_DATABASE!$BG$4:$BG$1000,ROW()-3)&amp;"")</f>
        <v/>
      </c>
    </row>
    <row r="355" customFormat="false" ht="15" hidden="false" customHeight="false" outlineLevel="0" collapsed="false">
      <c r="A355" s="11" t="str">
        <f aca="false">IF(INDEX(MASTER_DATABASE!$A$4:$A$1000,ROW()-3)="","",INDEX(MASTER_DATABASE!$A$4:$A$1000,ROW()-3)&amp;"")</f>
        <v/>
      </c>
      <c r="B355" s="7" t="str">
        <f aca="false">IF(INDEX(MASTER_DATABASE!$A$4:$A$1000,ROW()-3)="","",INDEX(MASTER_DATABASE!$E$4:$E$1000,ROW()-3)&amp;"")</f>
        <v/>
      </c>
      <c r="C355" s="7" t="str">
        <f aca="false">IF(INDEX(MASTER_DATABASE!$A$4:$A$1000,ROW()-3)="","",INDEX(MASTER_DATABASE!$H$4:$H$1000,ROW()-3)&amp;"")</f>
        <v/>
      </c>
      <c r="D355" s="7" t="str">
        <f aca="false">IF(INDEX(MASTER_DATABASE!$A$4:$A$1000,ROW()-3)="","",INDEX(MASTER_DATABASE!$BF$4:$BF$1000,ROW()-3)&amp;"")</f>
        <v/>
      </c>
      <c r="E355" s="7" t="str">
        <f aca="false">IF(INDEX(MASTER_DATABASE!$A$4:$A$1000,ROW()-3)="","",INDEX(MASTER_DATABASE!$O$4:$O$1000,ROW()-3)&amp;"")</f>
        <v/>
      </c>
      <c r="F355" s="7" t="str">
        <f aca="false">IF(INDEX(MASTER_DATABASE!$A$4:$A$1000,ROW()-3)="","",INDEX(MASTER_DATABASE!$M$4:$M$1000,ROW()-3)&amp;"")</f>
        <v/>
      </c>
      <c r="G355" s="7" t="str">
        <f aca="false">IF(INDEX(MASTER_DATABASE!$A$4:$A$1000,ROW()-3)="","",INDEX(MASTER_DATABASE!$P$4:$P$1000,ROW()-3)&amp;"")</f>
        <v/>
      </c>
      <c r="H355" s="7" t="str">
        <f aca="false">IF(INDEX(MASTER_DATABASE!$A$4:$A$1000,ROW()-3)="","",IF(INDEX(MASTER_DATABASE!$V$4:$V$1000,ROW()-3)&lt;&gt;"Yes","Please contact the shop for current charges.","Government Fee: "&amp;IF(ISNUMBER(INDEX(MASTER_DATABASE!$R$4:$R$1000,ROW()-3)),"₹"&amp;INDEX(MASTER_DATABASE!$R$4:$R$1000,ROW()-3),INDEX(MASTER_DATABASE!$R$4:$R$1000,ROW()-3)&amp;"")&amp;CHAR(10)&amp;"Service Charge: "&amp;IF(ISNUMBER(INDEX(MASTER_DATABASE!$S$4:$S$1000,ROW()-3)),"₹"&amp;INDEX(MASTER_DATABASE!$S$4:$S$1000,ROW()-3),INDEX(MASTER_DATABASE!$S$4:$S$1000,ROW()-3)&amp;"")&amp;CHAR(10)&amp;"Total: "&amp;IF(ISNUMBER(INDEX(MASTER_DATABASE!$T$4:$T$1000,ROW()-3)),"₹"&amp;INDEX(MASTER_DATABASE!$T$4:$T$1000,ROW()-3),INDEX(MASTER_DATABASE!$T$4:$T$1000,ROW()-3)&amp;"")))</f>
        <v/>
      </c>
      <c r="I355" s="7" t="str">
        <f aca="false">IF(INDEX(MASTER_DATABASE!$A$4:$A$1000,ROW()-3)="","",INDEX(MASTER_DATABASE!$Q$4:$Q$1000,ROW()-3)&amp;"")</f>
        <v/>
      </c>
      <c r="J355" s="7" t="str">
        <f aca="false">IF(INDEX(MASTER_DATABASE!$A$4:$A$1000,ROW()-3)="","",INDEX(MASTER_DATABASE!$J$4:$J$1000,ROW()-3)&amp;"")</f>
        <v/>
      </c>
      <c r="K355" s="7" t="str">
        <f aca="false">IF(INDEX(MASTER_DATABASE!$A$4:$A$1000,ROW()-3)="","",INDEX(MASTER_DATABASE!$AS$4:$AS$1000,ROW()-3)&amp;"")</f>
        <v/>
      </c>
      <c r="L355" s="7" t="str">
        <f aca="false">IF(INDEX(MASTER_DATABASE!$A$4:$A$1000,ROW()-3)="","",INDEX(MASTER_DATABASE!$AR$4:$AR$1000,ROW()-3)&amp;"")</f>
        <v/>
      </c>
      <c r="M355" s="7" t="str">
        <f aca="false">IF(INDEX(MASTER_DATABASE!$A$4:$A$1000,ROW()-3)="","",INDEX(MASTER_DATABASE!$AT$4:$AT$1000,ROW()-3)&amp;"")</f>
        <v/>
      </c>
      <c r="N355" s="7" t="str">
        <f aca="false">IF(INDEX(MASTER_DATABASE!$A$4:$A$1000,ROW()-3)="","",INDEX(MASTER_DATABASE!$BG$4:$BG$1000,ROW()-3)&amp;"")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3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9" min="7" style="0" width="14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8"/>
  </cols>
  <sheetData>
    <row r="1" customFormat="false" ht="17.35" hidden="false" customHeight="false" outlineLevel="0" collapsed="false">
      <c r="A1" s="1" t="s">
        <v>3407</v>
      </c>
    </row>
    <row r="2" customFormat="false" ht="15" hidden="false" customHeight="false" outlineLevel="0" collapsed="false">
      <c r="A2" s="2" t="s">
        <v>3408</v>
      </c>
    </row>
    <row r="3" customFormat="false" ht="33.75" hidden="false" customHeight="true" outlineLevel="0" collapsed="false">
      <c r="A3" s="4" t="s">
        <v>2</v>
      </c>
      <c r="B3" s="4" t="s">
        <v>3398</v>
      </c>
      <c r="C3" s="4" t="s">
        <v>3409</v>
      </c>
      <c r="D3" s="4" t="s">
        <v>3410</v>
      </c>
      <c r="E3" s="4" t="s">
        <v>8</v>
      </c>
      <c r="F3" s="4" t="s">
        <v>43</v>
      </c>
      <c r="G3" s="4" t="s">
        <v>19</v>
      </c>
      <c r="H3" s="4" t="s">
        <v>3411</v>
      </c>
      <c r="I3" s="4" t="s">
        <v>3412</v>
      </c>
      <c r="J3" s="4" t="s">
        <v>3404</v>
      </c>
      <c r="K3" s="4" t="s">
        <v>14</v>
      </c>
      <c r="L3" s="4" t="s">
        <v>3403</v>
      </c>
      <c r="M3" s="4" t="s">
        <v>3413</v>
      </c>
      <c r="N3" s="4" t="s">
        <v>3414</v>
      </c>
      <c r="O3" s="4" t="s">
        <v>35</v>
      </c>
      <c r="P3" s="4" t="s">
        <v>3415</v>
      </c>
      <c r="Q3" s="4" t="s">
        <v>44</v>
      </c>
    </row>
    <row r="4" customFormat="false" ht="46.25" hidden="false" customHeight="false" outlineLevel="0" collapsed="false">
      <c r="A4" s="11" t="str">
        <f aca="false">IF(INDEX(MASTER_DATABASE!$A$4:$A$1000,ROW()-3)="","",INDEX(MASTER_DATABASE!$A$4:$A$1000,ROW()-3)&amp;"")</f>
        <v>AAD-001</v>
      </c>
      <c r="B4" s="7" t="str">
        <f aca="false">IF(INDEX(MASTER_DATABASE!$A$4:$A$1000,ROW()-3)="","",INDEX(MASTER_DATABASE!$E$4:$E$1000,ROW()-3)&amp;"")</f>
        <v>New Aadhaar Enrolment – Adult (18+ years)</v>
      </c>
      <c r="C4" s="7" t="str">
        <f aca="false">IF(INDEX(MASTER_DATABASE!$A$4:$A$1000,ROW()-3)="","",INDEX(MASTER_DATABASE!$F$4:$F$1000,ROW()-3)&amp;"")</f>
        <v>नया आधार नामांकन – वयस्क (18+ वर्ष)</v>
      </c>
      <c r="D4" s="7" t="str">
        <f aca="false">IF(INDEX(MASTER_DATABASE!$A$4:$A$1000,ROW()-3)="","",INDEX(MASTER_DATABASE!$AL$4:$AL$1000,ROW()-3)&amp;"")</f>
        <v>Aadhaar Centre</v>
      </c>
      <c r="E4" s="7" t="str">
        <f aca="false">IF(INDEX(MASTER_DATABASE!$A$4:$A$1000,ROW()-3)="","",INDEX(MASTER_DATABASE!$G$4:$G$1000,ROW()-3)&amp;"")</f>
        <v>Get New Aadhaar Enrolment – Adult (18+ years) done at our Aadhaar Centre.</v>
      </c>
      <c r="F4" s="11" t="str">
        <f aca="false">IF(INDEX(MASTER_DATABASE!$A$4:$A$1000,ROW()-3)="","",INDEX(MASTER_DATABASE!$AP$4:$AP$1000,ROW()-3)&amp;"")</f>
        <v>🆕</v>
      </c>
      <c r="G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" s="7" t="str">
        <f aca="false">IF(INDEX(MASTER_DATABASE!$A$4:$A$1000,ROW()-3)="","",INDEX(MASTER_DATABASE!$J$4:$J$1000,ROW()-3)&amp;"")</f>
        <v>Please Confirm at Shop</v>
      </c>
      <c r="K4" s="7" t="str">
        <f aca="false">IF(INDEX(MASTER_DATABASE!$A$4:$A$1000,ROW()-3)="","",INDEX(MASTER_DATABASE!$M$4:$M$1000,ROW()-3)&amp;"")</f>
        <v>✓ Identity Proof
✓ Address Proof
✓ Date of Birth Proof
✓ Customer Presence for Biometrics</v>
      </c>
      <c r="L4" s="7" t="str">
        <f aca="false">IF(INDEX(MASTER_DATABASE!$A$4:$A$1000,ROW()-3)="","",INDEX(MASTER_DATABASE!$Q$4:$Q$1000,ROW()-3)&amp;"")</f>
        <v>Depends on Department</v>
      </c>
      <c r="M4" s="11" t="str">
        <f aca="false">IF(INDEX(MASTER_DATABASE!$A$4:$A$1000,ROW()-3)="","",INDEX(MASTER_DATABASE!$AI$4:$AI$1000,ROW()-3)&amp;"")</f>
        <v>No</v>
      </c>
      <c r="N4" s="11" t="str">
        <f aca="false">IF(INDEX(MASTER_DATABASE!$A$4:$A$1000,ROW()-3)="","",INDEX(MASTER_DATABASE!$AJ$4:$AJ$1000,ROW()-3)&amp;"")</f>
        <v>No</v>
      </c>
      <c r="O4" s="11" t="str">
        <f aca="false">IF(INDEX(MASTER_DATABASE!$A$4:$A$1000,ROW()-3)="","",IF(INDEX(MASTER_DATABASE!$BE$4:$BE$1000,ROW()-3)="LIVE","Yes","No"))</f>
        <v>No</v>
      </c>
      <c r="P4" s="7" t="str">
        <f aca="false">IF(INDEX(MASTER_DATABASE!$A$4:$A$1000,ROW()-3)="","",INDEX(MASTER_DATABASE!$BG$4:$BG$1000,ROW()-3)&amp;"")</f>
        <v>Check Documents</v>
      </c>
      <c r="Q4" s="11" t="n">
        <f aca="false">IF(INDEX(MASTER_DATABASE!$A$4:$A$1000,ROW()-3)="","",INDEX(MASTER_DATABASE!$AQ$4:$AQ$1000,ROW()-3))</f>
        <v>10</v>
      </c>
    </row>
    <row r="5" customFormat="false" ht="35.05" hidden="false" customHeight="false" outlineLevel="0" collapsed="false">
      <c r="A5" s="11" t="str">
        <f aca="false">IF(INDEX(MASTER_DATABASE!$A$4:$A$1000,ROW()-3)="","",INDEX(MASTER_DATABASE!$A$4:$A$1000,ROW()-3)&amp;"")</f>
        <v>AAD-002</v>
      </c>
      <c r="B5" s="7" t="str">
        <f aca="false">IF(INDEX(MASTER_DATABASE!$A$4:$A$1000,ROW()-3)="","",INDEX(MASTER_DATABASE!$E$4:$E$1000,ROW()-3)&amp;"")</f>
        <v>New Aadhaar Enrolment – Child (5 to 17 years)</v>
      </c>
      <c r="C5" s="7" t="str">
        <f aca="false">IF(INDEX(MASTER_DATABASE!$A$4:$A$1000,ROW()-3)="","",INDEX(MASTER_DATABASE!$F$4:$F$1000,ROW()-3)&amp;"")</f>
        <v>नया आधार नामांकन – बच्चा (5 से 17 वर्ष)</v>
      </c>
      <c r="D5" s="7" t="str">
        <f aca="false">IF(INDEX(MASTER_DATABASE!$A$4:$A$1000,ROW()-3)="","",INDEX(MASTER_DATABASE!$AL$4:$AL$1000,ROW()-3)&amp;"")</f>
        <v>Aadhaar Centre</v>
      </c>
      <c r="E5" s="7" t="str">
        <f aca="false">IF(INDEX(MASTER_DATABASE!$A$4:$A$1000,ROW()-3)="","",INDEX(MASTER_DATABASE!$G$4:$G$1000,ROW()-3)&amp;"")</f>
        <v>Get New Aadhaar Enrolment – Child (5 to 17 years) done at our Aadhaar Centre.</v>
      </c>
      <c r="F5" s="11" t="str">
        <f aca="false">IF(INDEX(MASTER_DATABASE!$A$4:$A$1000,ROW()-3)="","",INDEX(MASTER_DATABASE!$AP$4:$AP$1000,ROW()-3)&amp;"")</f>
        <v>🆕</v>
      </c>
      <c r="G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" s="7" t="str">
        <f aca="false">IF(INDEX(MASTER_DATABASE!$A$4:$A$1000,ROW()-3)="","",INDEX(MASTER_DATABASE!$J$4:$J$1000,ROW()-3)&amp;"")</f>
        <v>Please Confirm at Shop</v>
      </c>
      <c r="K5" s="7" t="str">
        <f aca="false">IF(INDEX(MASTER_DATABASE!$A$4:$A$1000,ROW()-3)="","",INDEX(MASTER_DATABASE!$M$4:$M$1000,ROW()-3)&amp;"")</f>
        <v>✓ Parent / Guardian Aadhaar
✓ Birth Certificate
✓ Customer Presence for Biometrics</v>
      </c>
      <c r="L5" s="7" t="str">
        <f aca="false">IF(INDEX(MASTER_DATABASE!$A$4:$A$1000,ROW()-3)="","",INDEX(MASTER_DATABASE!$Q$4:$Q$1000,ROW()-3)&amp;"")</f>
        <v>Depends on Department</v>
      </c>
      <c r="M5" s="11" t="str">
        <f aca="false">IF(INDEX(MASTER_DATABASE!$A$4:$A$1000,ROW()-3)="","",INDEX(MASTER_DATABASE!$AI$4:$AI$1000,ROW()-3)&amp;"")</f>
        <v>No</v>
      </c>
      <c r="N5" s="11" t="str">
        <f aca="false">IF(INDEX(MASTER_DATABASE!$A$4:$A$1000,ROW()-3)="","",INDEX(MASTER_DATABASE!$AJ$4:$AJ$1000,ROW()-3)&amp;"")</f>
        <v>No</v>
      </c>
      <c r="O5" s="11" t="str">
        <f aca="false">IF(INDEX(MASTER_DATABASE!$A$4:$A$1000,ROW()-3)="","",IF(INDEX(MASTER_DATABASE!$BE$4:$BE$1000,ROW()-3)="LIVE","Yes","No"))</f>
        <v>No</v>
      </c>
      <c r="P5" s="7" t="str">
        <f aca="false">IF(INDEX(MASTER_DATABASE!$A$4:$A$1000,ROW()-3)="","",INDEX(MASTER_DATABASE!$BG$4:$BG$1000,ROW()-3)&amp;"")</f>
        <v>Check Documents</v>
      </c>
      <c r="Q5" s="11" t="n">
        <f aca="false">IF(INDEX(MASTER_DATABASE!$A$4:$A$1000,ROW()-3)="","",INDEX(MASTER_DATABASE!$AQ$4:$AQ$1000,ROW()-3))</f>
        <v>20</v>
      </c>
    </row>
    <row r="6" customFormat="false" ht="35.05" hidden="false" customHeight="false" outlineLevel="0" collapsed="false">
      <c r="A6" s="11" t="str">
        <f aca="false">IF(INDEX(MASTER_DATABASE!$A$4:$A$1000,ROW()-3)="","",INDEX(MASTER_DATABASE!$A$4:$A$1000,ROW()-3)&amp;"")</f>
        <v>AAD-003</v>
      </c>
      <c r="B6" s="7" t="str">
        <f aca="false">IF(INDEX(MASTER_DATABASE!$A$4:$A$1000,ROW()-3)="","",INDEX(MASTER_DATABASE!$E$4:$E$1000,ROW()-3)&amp;"")</f>
        <v>New Aadhaar Enrolment – Child (0 to 5 years, Baal Aadhaar)</v>
      </c>
      <c r="C6" s="7" t="str">
        <f aca="false">IF(INDEX(MASTER_DATABASE!$A$4:$A$1000,ROW()-3)="","",INDEX(MASTER_DATABASE!$F$4:$F$1000,ROW()-3)&amp;"")</f>
        <v>नया आधार नामांकन – बच्चा (0 से 5 वर्ष, बाल आधार)</v>
      </c>
      <c r="D6" s="7" t="str">
        <f aca="false">IF(INDEX(MASTER_DATABASE!$A$4:$A$1000,ROW()-3)="","",INDEX(MASTER_DATABASE!$AL$4:$AL$1000,ROW()-3)&amp;"")</f>
        <v>Aadhaar Centre</v>
      </c>
      <c r="E6" s="7" t="str">
        <f aca="false">IF(INDEX(MASTER_DATABASE!$A$4:$A$1000,ROW()-3)="","",INDEX(MASTER_DATABASE!$G$4:$G$1000,ROW()-3)&amp;"")</f>
        <v>Get New Aadhaar Enrolment – Child (0 to 5 years, Baal Aadhaar) done at our Aadhaar Centre.</v>
      </c>
      <c r="F6" s="11" t="str">
        <f aca="false">IF(INDEX(MASTER_DATABASE!$A$4:$A$1000,ROW()-3)="","",INDEX(MASTER_DATABASE!$AP$4:$AP$1000,ROW()-3)&amp;"")</f>
        <v>🆕</v>
      </c>
      <c r="G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" s="7" t="str">
        <f aca="false">IF(INDEX(MASTER_DATABASE!$A$4:$A$1000,ROW()-3)="","",INDEX(MASTER_DATABASE!$J$4:$J$1000,ROW()-3)&amp;"")</f>
        <v>Please Confirm at Shop</v>
      </c>
      <c r="K6" s="7" t="str">
        <f aca="false">IF(INDEX(MASTER_DATABASE!$A$4:$A$1000,ROW()-3)="","",INDEX(MASTER_DATABASE!$M$4:$M$1000,ROW()-3)&amp;"")</f>
        <v>✓ Parent / Guardian Aadhaar
✓ Birth Certificate
✓ Customer Presence for Biometrics</v>
      </c>
      <c r="L6" s="7" t="str">
        <f aca="false">IF(INDEX(MASTER_DATABASE!$A$4:$A$1000,ROW()-3)="","",INDEX(MASTER_DATABASE!$Q$4:$Q$1000,ROW()-3)&amp;"")</f>
        <v>Depends on Department</v>
      </c>
      <c r="M6" s="11" t="str">
        <f aca="false">IF(INDEX(MASTER_DATABASE!$A$4:$A$1000,ROW()-3)="","",INDEX(MASTER_DATABASE!$AI$4:$AI$1000,ROW()-3)&amp;"")</f>
        <v>No</v>
      </c>
      <c r="N6" s="11" t="str">
        <f aca="false">IF(INDEX(MASTER_DATABASE!$A$4:$A$1000,ROW()-3)="","",INDEX(MASTER_DATABASE!$AJ$4:$AJ$1000,ROW()-3)&amp;"")</f>
        <v>No</v>
      </c>
      <c r="O6" s="11" t="str">
        <f aca="false">IF(INDEX(MASTER_DATABASE!$A$4:$A$1000,ROW()-3)="","",IF(INDEX(MASTER_DATABASE!$BE$4:$BE$1000,ROW()-3)="LIVE","Yes","No"))</f>
        <v>No</v>
      </c>
      <c r="P6" s="7" t="str">
        <f aca="false">IF(INDEX(MASTER_DATABASE!$A$4:$A$1000,ROW()-3)="","",INDEX(MASTER_DATABASE!$BG$4:$BG$1000,ROW()-3)&amp;"")</f>
        <v>Check Documents</v>
      </c>
      <c r="Q6" s="11" t="n">
        <f aca="false">IF(INDEX(MASTER_DATABASE!$A$4:$A$1000,ROW()-3)="","",INDEX(MASTER_DATABASE!$AQ$4:$AQ$1000,ROW()-3))</f>
        <v>30</v>
      </c>
    </row>
    <row r="7" customFormat="false" ht="35.05" hidden="false" customHeight="false" outlineLevel="0" collapsed="false">
      <c r="A7" s="11" t="str">
        <f aca="false">IF(INDEX(MASTER_DATABASE!$A$4:$A$1000,ROW()-3)="","",INDEX(MASTER_DATABASE!$A$4:$A$1000,ROW()-3)&amp;"")</f>
        <v>AAD-004</v>
      </c>
      <c r="B7" s="7" t="str">
        <f aca="false">IF(INDEX(MASTER_DATABASE!$A$4:$A$1000,ROW()-3)="","",INDEX(MASTER_DATABASE!$E$4:$E$1000,ROW()-3)&amp;"")</f>
        <v>Aadhaar Enrolment – Head of Family / Introducer Based</v>
      </c>
      <c r="C7" s="7" t="str">
        <f aca="false">IF(INDEX(MASTER_DATABASE!$A$4:$A$1000,ROW()-3)="","",INDEX(MASTER_DATABASE!$F$4:$F$1000,ROW()-3)&amp;"")</f>
        <v>आधार नामांकन – परिवार मुखिया / परिचयकर्ता आधारित</v>
      </c>
      <c r="D7" s="7" t="str">
        <f aca="false">IF(INDEX(MASTER_DATABASE!$A$4:$A$1000,ROW()-3)="","",INDEX(MASTER_DATABASE!$AL$4:$AL$1000,ROW()-3)&amp;"")</f>
        <v>Aadhaar Centre</v>
      </c>
      <c r="E7" s="7" t="str">
        <f aca="false">IF(INDEX(MASTER_DATABASE!$A$4:$A$1000,ROW()-3)="","",INDEX(MASTER_DATABASE!$G$4:$G$1000,ROW()-3)&amp;"")</f>
        <v>Get Aadhaar Enrolment – Head of Family / Introducer Based done at our Aadhaar Centre.</v>
      </c>
      <c r="F7" s="11" t="str">
        <f aca="false">IF(INDEX(MASTER_DATABASE!$A$4:$A$1000,ROW()-3)="","",INDEX(MASTER_DATABASE!$AP$4:$AP$1000,ROW()-3)&amp;"")</f>
        <v>🆕</v>
      </c>
      <c r="G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" s="7" t="str">
        <f aca="false">IF(INDEX(MASTER_DATABASE!$A$4:$A$1000,ROW()-3)="","",INDEX(MASTER_DATABASE!$J$4:$J$1000,ROW()-3)&amp;"")</f>
        <v>To Be Confirmed</v>
      </c>
      <c r="K7" s="7" t="str">
        <f aca="false">IF(INDEX(MASTER_DATABASE!$A$4:$A$1000,ROW()-3)="","",INDEX(MASTER_DATABASE!$M$4:$M$1000,ROW()-3)&amp;"")</f>
        <v>✓ Customer Presence for Biometrics</v>
      </c>
      <c r="L7" s="7" t="str">
        <f aca="false">IF(INDEX(MASTER_DATABASE!$A$4:$A$1000,ROW()-3)="","",INDEX(MASTER_DATABASE!$Q$4:$Q$1000,ROW()-3)&amp;"")</f>
        <v>Depends on Department</v>
      </c>
      <c r="M7" s="11" t="str">
        <f aca="false">IF(INDEX(MASTER_DATABASE!$A$4:$A$1000,ROW()-3)="","",INDEX(MASTER_DATABASE!$AI$4:$AI$1000,ROW()-3)&amp;"")</f>
        <v>No</v>
      </c>
      <c r="N7" s="11" t="str">
        <f aca="false">IF(INDEX(MASTER_DATABASE!$A$4:$A$1000,ROW()-3)="","",INDEX(MASTER_DATABASE!$AJ$4:$AJ$1000,ROW()-3)&amp;"")</f>
        <v>No</v>
      </c>
      <c r="O7" s="11" t="str">
        <f aca="false">IF(INDEX(MASTER_DATABASE!$A$4:$A$1000,ROW()-3)="","",IF(INDEX(MASTER_DATABASE!$BE$4:$BE$1000,ROW()-3)="LIVE","Yes","No"))</f>
        <v>No</v>
      </c>
      <c r="P7" s="7" t="str">
        <f aca="false">IF(INDEX(MASTER_DATABASE!$A$4:$A$1000,ROW()-3)="","",INDEX(MASTER_DATABASE!$BG$4:$BG$1000,ROW()-3)&amp;"")</f>
        <v>Call Us</v>
      </c>
      <c r="Q7" s="11" t="n">
        <f aca="false">IF(INDEX(MASTER_DATABASE!$A$4:$A$1000,ROW()-3)="","",INDEX(MASTER_DATABASE!$AQ$4:$AQ$1000,ROW()-3))</f>
        <v>40</v>
      </c>
    </row>
    <row r="8" customFormat="false" ht="23.85" hidden="false" customHeight="false" outlineLevel="0" collapsed="false">
      <c r="A8" s="11" t="str">
        <f aca="false">IF(INDEX(MASTER_DATABASE!$A$4:$A$1000,ROW()-3)="","",INDEX(MASTER_DATABASE!$A$4:$A$1000,ROW()-3)&amp;"")</f>
        <v>AAD-005</v>
      </c>
      <c r="B8" s="7" t="str">
        <f aca="false">IF(INDEX(MASTER_DATABASE!$A$4:$A$1000,ROW()-3)="","",INDEX(MASTER_DATABASE!$E$4:$E$1000,ROW()-3)&amp;"")</f>
        <v>Aadhaar Enrolment – NRI / Foreign Resident</v>
      </c>
      <c r="C8" s="7" t="str">
        <f aca="false">IF(INDEX(MASTER_DATABASE!$A$4:$A$1000,ROW()-3)="","",INDEX(MASTER_DATABASE!$F$4:$F$1000,ROW()-3)&amp;"")</f>
        <v>आधार नामांकन – NRI / विदेशी निवासी</v>
      </c>
      <c r="D8" s="7" t="str">
        <f aca="false">IF(INDEX(MASTER_DATABASE!$A$4:$A$1000,ROW()-3)="","",INDEX(MASTER_DATABASE!$AL$4:$AL$1000,ROW()-3)&amp;"")</f>
        <v>Aadhaar Centre</v>
      </c>
      <c r="E8" s="7" t="str">
        <f aca="false">IF(INDEX(MASTER_DATABASE!$A$4:$A$1000,ROW()-3)="","",INDEX(MASTER_DATABASE!$G$4:$G$1000,ROW()-3)&amp;"")</f>
        <v>Get Aadhaar Enrolment – NRI / Foreign Resident done at our Aadhaar Centre.</v>
      </c>
      <c r="F8" s="11" t="str">
        <f aca="false">IF(INDEX(MASTER_DATABASE!$A$4:$A$1000,ROW()-3)="","",INDEX(MASTER_DATABASE!$AP$4:$AP$1000,ROW()-3)&amp;"")</f>
        <v>🆕</v>
      </c>
      <c r="G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" s="7" t="str">
        <f aca="false">IF(INDEX(MASTER_DATABASE!$A$4:$A$1000,ROW()-3)="","",INDEX(MASTER_DATABASE!$J$4:$J$1000,ROW()-3)&amp;"")</f>
        <v>To Be Confirmed</v>
      </c>
      <c r="K8" s="7" t="str">
        <f aca="false">IF(INDEX(MASTER_DATABASE!$A$4:$A$1000,ROW()-3)="","",INDEX(MASTER_DATABASE!$M$4:$M$1000,ROW()-3)&amp;"")</f>
        <v>✓ Customer Presence for Biometrics</v>
      </c>
      <c r="L8" s="7" t="str">
        <f aca="false">IF(INDEX(MASTER_DATABASE!$A$4:$A$1000,ROW()-3)="","",INDEX(MASTER_DATABASE!$Q$4:$Q$1000,ROW()-3)&amp;"")</f>
        <v>Depends on Department</v>
      </c>
      <c r="M8" s="11" t="str">
        <f aca="false">IF(INDEX(MASTER_DATABASE!$A$4:$A$1000,ROW()-3)="","",INDEX(MASTER_DATABASE!$AI$4:$AI$1000,ROW()-3)&amp;"")</f>
        <v>No</v>
      </c>
      <c r="N8" s="11" t="str">
        <f aca="false">IF(INDEX(MASTER_DATABASE!$A$4:$A$1000,ROW()-3)="","",INDEX(MASTER_DATABASE!$AJ$4:$AJ$1000,ROW()-3)&amp;"")</f>
        <v>No</v>
      </c>
      <c r="O8" s="11" t="str">
        <f aca="false">IF(INDEX(MASTER_DATABASE!$A$4:$A$1000,ROW()-3)="","",IF(INDEX(MASTER_DATABASE!$BE$4:$BE$1000,ROW()-3)="LIVE","Yes","No"))</f>
        <v>No</v>
      </c>
      <c r="P8" s="7" t="str">
        <f aca="false">IF(INDEX(MASTER_DATABASE!$A$4:$A$1000,ROW()-3)="","",INDEX(MASTER_DATABASE!$BG$4:$BG$1000,ROW()-3)&amp;"")</f>
        <v>Call Us</v>
      </c>
      <c r="Q8" s="11" t="n">
        <f aca="false">IF(INDEX(MASTER_DATABASE!$A$4:$A$1000,ROW()-3)="","",INDEX(MASTER_DATABASE!$AQ$4:$AQ$1000,ROW()-3))</f>
        <v>50</v>
      </c>
    </row>
    <row r="9" customFormat="false" ht="35.05" hidden="false" customHeight="false" outlineLevel="0" collapsed="false">
      <c r="A9" s="11" t="str">
        <f aca="false">IF(INDEX(MASTER_DATABASE!$A$4:$A$1000,ROW()-3)="","",INDEX(MASTER_DATABASE!$A$4:$A$1000,ROW()-3)&amp;"")</f>
        <v>AAD-006</v>
      </c>
      <c r="B9" s="7" t="str">
        <f aca="false">IF(INDEX(MASTER_DATABASE!$A$4:$A$1000,ROW()-3)="","",INDEX(MASTER_DATABASE!$E$4:$E$1000,ROW()-3)&amp;"")</f>
        <v>Aadhaar Enrolment – Biometric Exception Case</v>
      </c>
      <c r="C9" s="7" t="str">
        <f aca="false">IF(INDEX(MASTER_DATABASE!$A$4:$A$1000,ROW()-3)="","",INDEX(MASTER_DATABASE!$F$4:$F$1000,ROW()-3)&amp;"")</f>
        <v>आधार नामांकन – बायोमेट्रिक अपवाद मामला</v>
      </c>
      <c r="D9" s="7" t="str">
        <f aca="false">IF(INDEX(MASTER_DATABASE!$A$4:$A$1000,ROW()-3)="","",INDEX(MASTER_DATABASE!$AL$4:$AL$1000,ROW()-3)&amp;"")</f>
        <v>Aadhaar Centre</v>
      </c>
      <c r="E9" s="7" t="str">
        <f aca="false">IF(INDEX(MASTER_DATABASE!$A$4:$A$1000,ROW()-3)="","",INDEX(MASTER_DATABASE!$G$4:$G$1000,ROW()-3)&amp;"")</f>
        <v>Get Aadhaar Enrolment – Biometric Exception Case done at our Aadhaar Centre.</v>
      </c>
      <c r="F9" s="11" t="str">
        <f aca="false">IF(INDEX(MASTER_DATABASE!$A$4:$A$1000,ROW()-3)="","",INDEX(MASTER_DATABASE!$AP$4:$AP$1000,ROW()-3)&amp;"")</f>
        <v>🆕</v>
      </c>
      <c r="G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" s="7" t="str">
        <f aca="false">IF(INDEX(MASTER_DATABASE!$A$4:$A$1000,ROW()-3)="","",INDEX(MASTER_DATABASE!$J$4:$J$1000,ROW()-3)&amp;"")</f>
        <v>To Be Confirmed</v>
      </c>
      <c r="K9" s="7" t="str">
        <f aca="false">IF(INDEX(MASTER_DATABASE!$A$4:$A$1000,ROW()-3)="","",INDEX(MASTER_DATABASE!$M$4:$M$1000,ROW()-3)&amp;"")</f>
        <v>✓ Customer Presence for Biometrics</v>
      </c>
      <c r="L9" s="7" t="str">
        <f aca="false">IF(INDEX(MASTER_DATABASE!$A$4:$A$1000,ROW()-3)="","",INDEX(MASTER_DATABASE!$Q$4:$Q$1000,ROW()-3)&amp;"")</f>
        <v>Depends on Department</v>
      </c>
      <c r="M9" s="11" t="str">
        <f aca="false">IF(INDEX(MASTER_DATABASE!$A$4:$A$1000,ROW()-3)="","",INDEX(MASTER_DATABASE!$AI$4:$AI$1000,ROW()-3)&amp;"")</f>
        <v>No</v>
      </c>
      <c r="N9" s="11" t="str">
        <f aca="false">IF(INDEX(MASTER_DATABASE!$A$4:$A$1000,ROW()-3)="","",INDEX(MASTER_DATABASE!$AJ$4:$AJ$1000,ROW()-3)&amp;"")</f>
        <v>No</v>
      </c>
      <c r="O9" s="11" t="str">
        <f aca="false">IF(INDEX(MASTER_DATABASE!$A$4:$A$1000,ROW()-3)="","",IF(INDEX(MASTER_DATABASE!$BE$4:$BE$1000,ROW()-3)="LIVE","Yes","No"))</f>
        <v>No</v>
      </c>
      <c r="P9" s="7" t="str">
        <f aca="false">IF(INDEX(MASTER_DATABASE!$A$4:$A$1000,ROW()-3)="","",INDEX(MASTER_DATABASE!$BG$4:$BG$1000,ROW()-3)&amp;"")</f>
        <v>Call Us</v>
      </c>
      <c r="Q9" s="11" t="n">
        <f aca="false">IF(INDEX(MASTER_DATABASE!$A$4:$A$1000,ROW()-3)="","",INDEX(MASTER_DATABASE!$AQ$4:$AQ$1000,ROW()-3))</f>
        <v>60</v>
      </c>
    </row>
    <row r="10" customFormat="false" ht="23.85" hidden="false" customHeight="false" outlineLevel="0" collapsed="false">
      <c r="A10" s="11" t="str">
        <f aca="false">IF(INDEX(MASTER_DATABASE!$A$4:$A$1000,ROW()-3)="","",INDEX(MASTER_DATABASE!$A$4:$A$1000,ROW()-3)&amp;"")</f>
        <v>AAD-007</v>
      </c>
      <c r="B10" s="7" t="str">
        <f aca="false">IF(INDEX(MASTER_DATABASE!$A$4:$A$1000,ROW()-3)="","",INDEX(MASTER_DATABASE!$E$4:$E$1000,ROW()-3)&amp;"")</f>
        <v>Aadhaar Name Update</v>
      </c>
      <c r="C10" s="7" t="str">
        <f aca="false">IF(INDEX(MASTER_DATABASE!$A$4:$A$1000,ROW()-3)="","",INDEX(MASTER_DATABASE!$F$4:$F$1000,ROW()-3)&amp;"")</f>
        <v>आधार नाम अपडेट</v>
      </c>
      <c r="D10" s="7" t="str">
        <f aca="false">IF(INDEX(MASTER_DATABASE!$A$4:$A$1000,ROW()-3)="","",INDEX(MASTER_DATABASE!$AL$4:$AL$1000,ROW()-3)&amp;"")</f>
        <v>Aadhaar Centre</v>
      </c>
      <c r="E10" s="7" t="str">
        <f aca="false">IF(INDEX(MASTER_DATABASE!$A$4:$A$1000,ROW()-3)="","",INDEX(MASTER_DATABASE!$G$4:$G$1000,ROW()-3)&amp;"")</f>
        <v>Get Aadhaar Name Update done at our Aadhaar Centre.</v>
      </c>
      <c r="F10" s="11" t="str">
        <f aca="false">IF(INDEX(MASTER_DATABASE!$A$4:$A$1000,ROW()-3)="","",INDEX(MASTER_DATABASE!$AP$4:$AP$1000,ROW()-3)&amp;"")</f>
        <v>✏️</v>
      </c>
      <c r="G1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" s="7" t="str">
        <f aca="false">IF(INDEX(MASTER_DATABASE!$A$4:$A$1000,ROW()-3)="","",INDEX(MASTER_DATABASE!$J$4:$J$1000,ROW()-3)&amp;"")</f>
        <v>Available</v>
      </c>
      <c r="K10" s="7" t="str">
        <f aca="false">IF(INDEX(MASTER_DATABASE!$A$4:$A$1000,ROW()-3)="","",INDEX(MASTER_DATABASE!$M$4:$M$1000,ROW()-3)&amp;"")</f>
        <v>✓ Aadhaar Card
✓ Proof of Name</v>
      </c>
      <c r="L10" s="7" t="str">
        <f aca="false">IF(INDEX(MASTER_DATABASE!$A$4:$A$1000,ROW()-3)="","",INDEX(MASTER_DATABASE!$Q$4:$Q$1000,ROW()-3)&amp;"")</f>
        <v>Depends on Department</v>
      </c>
      <c r="M10" s="11" t="str">
        <f aca="false">IF(INDEX(MASTER_DATABASE!$A$4:$A$1000,ROW()-3)="","",INDEX(MASTER_DATABASE!$AI$4:$AI$1000,ROW()-3)&amp;"")</f>
        <v>No</v>
      </c>
      <c r="N10" s="11" t="str">
        <f aca="false">IF(INDEX(MASTER_DATABASE!$A$4:$A$1000,ROW()-3)="","",INDEX(MASTER_DATABASE!$AJ$4:$AJ$1000,ROW()-3)&amp;"")</f>
        <v>No</v>
      </c>
      <c r="O10" s="11" t="str">
        <f aca="false">IF(INDEX(MASTER_DATABASE!$A$4:$A$1000,ROW()-3)="","",IF(INDEX(MASTER_DATABASE!$BE$4:$BE$1000,ROW()-3)="LIVE","Yes","No"))</f>
        <v>Yes</v>
      </c>
      <c r="P10" s="7" t="str">
        <f aca="false">IF(INDEX(MASTER_DATABASE!$A$4:$A$1000,ROW()-3)="","",INDEX(MASTER_DATABASE!$BG$4:$BG$1000,ROW()-3)&amp;"")</f>
        <v>Check Documents</v>
      </c>
      <c r="Q10" s="11" t="n">
        <f aca="false">IF(INDEX(MASTER_DATABASE!$A$4:$A$1000,ROW()-3)="","",INDEX(MASTER_DATABASE!$AQ$4:$AQ$1000,ROW()-3))</f>
        <v>70</v>
      </c>
    </row>
    <row r="11" customFormat="false" ht="23.85" hidden="false" customHeight="false" outlineLevel="0" collapsed="false">
      <c r="A11" s="11" t="str">
        <f aca="false">IF(INDEX(MASTER_DATABASE!$A$4:$A$1000,ROW()-3)="","",INDEX(MASTER_DATABASE!$A$4:$A$1000,ROW()-3)&amp;"")</f>
        <v>AAD-008</v>
      </c>
      <c r="B11" s="7" t="str">
        <f aca="false">IF(INDEX(MASTER_DATABASE!$A$4:$A$1000,ROW()-3)="","",INDEX(MASTER_DATABASE!$E$4:$E$1000,ROW()-3)&amp;"")</f>
        <v>Aadhaar Date of Birth Update</v>
      </c>
      <c r="C11" s="7" t="str">
        <f aca="false">IF(INDEX(MASTER_DATABASE!$A$4:$A$1000,ROW()-3)="","",INDEX(MASTER_DATABASE!$F$4:$F$1000,ROW()-3)&amp;"")</f>
        <v>आधार जन्म तिथि अपडेट</v>
      </c>
      <c r="D11" s="7" t="str">
        <f aca="false">IF(INDEX(MASTER_DATABASE!$A$4:$A$1000,ROW()-3)="","",INDEX(MASTER_DATABASE!$AL$4:$AL$1000,ROW()-3)&amp;"")</f>
        <v>Aadhaar Centre</v>
      </c>
      <c r="E11" s="7" t="str">
        <f aca="false">IF(INDEX(MASTER_DATABASE!$A$4:$A$1000,ROW()-3)="","",INDEX(MASTER_DATABASE!$G$4:$G$1000,ROW()-3)&amp;"")</f>
        <v>Get Aadhaar Date of Birth Update done at our Aadhaar Centre.</v>
      </c>
      <c r="F11" s="11" t="str">
        <f aca="false">IF(INDEX(MASTER_DATABASE!$A$4:$A$1000,ROW()-3)="","",INDEX(MASTER_DATABASE!$AP$4:$AP$1000,ROW()-3)&amp;"")</f>
        <v>✏️</v>
      </c>
      <c r="G1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" s="7" t="str">
        <f aca="false">IF(INDEX(MASTER_DATABASE!$A$4:$A$1000,ROW()-3)="","",INDEX(MASTER_DATABASE!$J$4:$J$1000,ROW()-3)&amp;"")</f>
        <v>Available</v>
      </c>
      <c r="K11" s="7" t="str">
        <f aca="false">IF(INDEX(MASTER_DATABASE!$A$4:$A$1000,ROW()-3)="","",INDEX(MASTER_DATABASE!$M$4:$M$1000,ROW()-3)&amp;"")</f>
        <v>✓ Aadhaar Card
✓ Date of Birth Proof</v>
      </c>
      <c r="L11" s="7" t="str">
        <f aca="false">IF(INDEX(MASTER_DATABASE!$A$4:$A$1000,ROW()-3)="","",INDEX(MASTER_DATABASE!$Q$4:$Q$1000,ROW()-3)&amp;"")</f>
        <v>Depends on Department</v>
      </c>
      <c r="M11" s="11" t="str">
        <f aca="false">IF(INDEX(MASTER_DATABASE!$A$4:$A$1000,ROW()-3)="","",INDEX(MASTER_DATABASE!$AI$4:$AI$1000,ROW()-3)&amp;"")</f>
        <v>No</v>
      </c>
      <c r="N11" s="11" t="str">
        <f aca="false">IF(INDEX(MASTER_DATABASE!$A$4:$A$1000,ROW()-3)="","",INDEX(MASTER_DATABASE!$AJ$4:$AJ$1000,ROW()-3)&amp;"")</f>
        <v>No</v>
      </c>
      <c r="O11" s="11" t="str">
        <f aca="false">IF(INDEX(MASTER_DATABASE!$A$4:$A$1000,ROW()-3)="","",IF(INDEX(MASTER_DATABASE!$BE$4:$BE$1000,ROW()-3)="LIVE","Yes","No"))</f>
        <v>Yes</v>
      </c>
      <c r="P11" s="7" t="str">
        <f aca="false">IF(INDEX(MASTER_DATABASE!$A$4:$A$1000,ROW()-3)="","",INDEX(MASTER_DATABASE!$BG$4:$BG$1000,ROW()-3)&amp;"")</f>
        <v>Check Documents</v>
      </c>
      <c r="Q11" s="11" t="n">
        <f aca="false">IF(INDEX(MASTER_DATABASE!$A$4:$A$1000,ROW()-3)="","",INDEX(MASTER_DATABASE!$AQ$4:$AQ$1000,ROW()-3))</f>
        <v>80</v>
      </c>
    </row>
    <row r="12" customFormat="false" ht="23.85" hidden="false" customHeight="false" outlineLevel="0" collapsed="false">
      <c r="A12" s="11" t="str">
        <f aca="false">IF(INDEX(MASTER_DATABASE!$A$4:$A$1000,ROW()-3)="","",INDEX(MASTER_DATABASE!$A$4:$A$1000,ROW()-3)&amp;"")</f>
        <v>AAD-009</v>
      </c>
      <c r="B12" s="7" t="str">
        <f aca="false">IF(INDEX(MASTER_DATABASE!$A$4:$A$1000,ROW()-3)="","",INDEX(MASTER_DATABASE!$E$4:$E$1000,ROW()-3)&amp;"")</f>
        <v>Aadhaar Gender Update</v>
      </c>
      <c r="C12" s="7" t="str">
        <f aca="false">IF(INDEX(MASTER_DATABASE!$A$4:$A$1000,ROW()-3)="","",INDEX(MASTER_DATABASE!$F$4:$F$1000,ROW()-3)&amp;"")</f>
        <v>आधार लिंग अपडेट</v>
      </c>
      <c r="D12" s="7" t="str">
        <f aca="false">IF(INDEX(MASTER_DATABASE!$A$4:$A$1000,ROW()-3)="","",INDEX(MASTER_DATABASE!$AL$4:$AL$1000,ROW()-3)&amp;"")</f>
        <v>Aadhaar Centre</v>
      </c>
      <c r="E12" s="7" t="str">
        <f aca="false">IF(INDEX(MASTER_DATABASE!$A$4:$A$1000,ROW()-3)="","",INDEX(MASTER_DATABASE!$G$4:$G$1000,ROW()-3)&amp;"")</f>
        <v>Get Aadhaar Gender Update done at our Aadhaar Centre.</v>
      </c>
      <c r="F12" s="11" t="str">
        <f aca="false">IF(INDEX(MASTER_DATABASE!$A$4:$A$1000,ROW()-3)="","",INDEX(MASTER_DATABASE!$AP$4:$AP$1000,ROW()-3)&amp;"")</f>
        <v>✏️</v>
      </c>
      <c r="G1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" s="7" t="str">
        <f aca="false">IF(INDEX(MASTER_DATABASE!$A$4:$A$1000,ROW()-3)="","",INDEX(MASTER_DATABASE!$J$4:$J$1000,ROW()-3)&amp;"")</f>
        <v>Available</v>
      </c>
      <c r="K12" s="7" t="str">
        <f aca="false">IF(INDEX(MASTER_DATABASE!$A$4:$A$1000,ROW()-3)="","",INDEX(MASTER_DATABASE!$M$4:$M$1000,ROW()-3)&amp;"")</f>
        <v>✓ Aadhaar Card</v>
      </c>
      <c r="L12" s="7" t="str">
        <f aca="false">IF(INDEX(MASTER_DATABASE!$A$4:$A$1000,ROW()-3)="","",INDEX(MASTER_DATABASE!$Q$4:$Q$1000,ROW()-3)&amp;"")</f>
        <v>Depends on Department</v>
      </c>
      <c r="M12" s="11" t="str">
        <f aca="false">IF(INDEX(MASTER_DATABASE!$A$4:$A$1000,ROW()-3)="","",INDEX(MASTER_DATABASE!$AI$4:$AI$1000,ROW()-3)&amp;"")</f>
        <v>No</v>
      </c>
      <c r="N12" s="11" t="str">
        <f aca="false">IF(INDEX(MASTER_DATABASE!$A$4:$A$1000,ROW()-3)="","",INDEX(MASTER_DATABASE!$AJ$4:$AJ$1000,ROW()-3)&amp;"")</f>
        <v>No</v>
      </c>
      <c r="O12" s="11" t="str">
        <f aca="false">IF(INDEX(MASTER_DATABASE!$A$4:$A$1000,ROW()-3)="","",IF(INDEX(MASTER_DATABASE!$BE$4:$BE$1000,ROW()-3)="LIVE","Yes","No"))</f>
        <v>Yes</v>
      </c>
      <c r="P12" s="7" t="str">
        <f aca="false">IF(INDEX(MASTER_DATABASE!$A$4:$A$1000,ROW()-3)="","",INDEX(MASTER_DATABASE!$BG$4:$BG$1000,ROW()-3)&amp;"")</f>
        <v>Check Documents</v>
      </c>
      <c r="Q12" s="11" t="n">
        <f aca="false">IF(INDEX(MASTER_DATABASE!$A$4:$A$1000,ROW()-3)="","",INDEX(MASTER_DATABASE!$AQ$4:$AQ$1000,ROW()-3))</f>
        <v>90</v>
      </c>
    </row>
    <row r="13" customFormat="false" ht="23.85" hidden="false" customHeight="false" outlineLevel="0" collapsed="false">
      <c r="A13" s="11" t="str">
        <f aca="false">IF(INDEX(MASTER_DATABASE!$A$4:$A$1000,ROW()-3)="","",INDEX(MASTER_DATABASE!$A$4:$A$1000,ROW()-3)&amp;"")</f>
        <v>AAD-010</v>
      </c>
      <c r="B13" s="7" t="str">
        <f aca="false">IF(INDEX(MASTER_DATABASE!$A$4:$A$1000,ROW()-3)="","",INDEX(MASTER_DATABASE!$E$4:$E$1000,ROW()-3)&amp;"")</f>
        <v>Aadhaar Address Update (with Document)</v>
      </c>
      <c r="C13" s="7" t="str">
        <f aca="false">IF(INDEX(MASTER_DATABASE!$A$4:$A$1000,ROW()-3)="","",INDEX(MASTER_DATABASE!$F$4:$F$1000,ROW()-3)&amp;"")</f>
        <v>आधार पता अपडेट (दस्तावेज़ के साथ)</v>
      </c>
      <c r="D13" s="7" t="str">
        <f aca="false">IF(INDEX(MASTER_DATABASE!$A$4:$A$1000,ROW()-3)="","",INDEX(MASTER_DATABASE!$AL$4:$AL$1000,ROW()-3)&amp;"")</f>
        <v>Aadhaar Centre</v>
      </c>
      <c r="E13" s="7" t="str">
        <f aca="false">IF(INDEX(MASTER_DATABASE!$A$4:$A$1000,ROW()-3)="","",INDEX(MASTER_DATABASE!$G$4:$G$1000,ROW()-3)&amp;"")</f>
        <v>Get Aadhaar Address Update (with Document) done at our Aadhaar Centre.</v>
      </c>
      <c r="F13" s="11" t="str">
        <f aca="false">IF(INDEX(MASTER_DATABASE!$A$4:$A$1000,ROW()-3)="","",INDEX(MASTER_DATABASE!$AP$4:$AP$1000,ROW()-3)&amp;"")</f>
        <v>✏️</v>
      </c>
      <c r="G1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" s="7" t="str">
        <f aca="false">IF(INDEX(MASTER_DATABASE!$A$4:$A$1000,ROW()-3)="","",INDEX(MASTER_DATABASE!$J$4:$J$1000,ROW()-3)&amp;"")</f>
        <v>Available</v>
      </c>
      <c r="K13" s="7" t="str">
        <f aca="false">IF(INDEX(MASTER_DATABASE!$A$4:$A$1000,ROW()-3)="","",INDEX(MASTER_DATABASE!$M$4:$M$1000,ROW()-3)&amp;"")</f>
        <v>✓ Aadhaar Card
✓ Address Proof</v>
      </c>
      <c r="L13" s="7" t="str">
        <f aca="false">IF(INDEX(MASTER_DATABASE!$A$4:$A$1000,ROW()-3)="","",INDEX(MASTER_DATABASE!$Q$4:$Q$1000,ROW()-3)&amp;"")</f>
        <v>Depends on Department</v>
      </c>
      <c r="M13" s="11" t="str">
        <f aca="false">IF(INDEX(MASTER_DATABASE!$A$4:$A$1000,ROW()-3)="","",INDEX(MASTER_DATABASE!$AI$4:$AI$1000,ROW()-3)&amp;"")</f>
        <v>No</v>
      </c>
      <c r="N13" s="11" t="str">
        <f aca="false">IF(INDEX(MASTER_DATABASE!$A$4:$A$1000,ROW()-3)="","",INDEX(MASTER_DATABASE!$AJ$4:$AJ$1000,ROW()-3)&amp;"")</f>
        <v>No</v>
      </c>
      <c r="O13" s="11" t="str">
        <f aca="false">IF(INDEX(MASTER_DATABASE!$A$4:$A$1000,ROW()-3)="","",IF(INDEX(MASTER_DATABASE!$BE$4:$BE$1000,ROW()-3)="LIVE","Yes","No"))</f>
        <v>Yes</v>
      </c>
      <c r="P13" s="7" t="str">
        <f aca="false">IF(INDEX(MASTER_DATABASE!$A$4:$A$1000,ROW()-3)="","",INDEX(MASTER_DATABASE!$BG$4:$BG$1000,ROW()-3)&amp;"")</f>
        <v>Check Documents</v>
      </c>
      <c r="Q13" s="11" t="n">
        <f aca="false">IF(INDEX(MASTER_DATABASE!$A$4:$A$1000,ROW()-3)="","",INDEX(MASTER_DATABASE!$AQ$4:$AQ$1000,ROW()-3))</f>
        <v>100</v>
      </c>
    </row>
    <row r="14" customFormat="false" ht="35.05" hidden="false" customHeight="false" outlineLevel="0" collapsed="false">
      <c r="A14" s="11" t="str">
        <f aca="false">IF(INDEX(MASTER_DATABASE!$A$4:$A$1000,ROW()-3)="","",INDEX(MASTER_DATABASE!$A$4:$A$1000,ROW()-3)&amp;"")</f>
        <v>AAD-011</v>
      </c>
      <c r="B14" s="7" t="str">
        <f aca="false">IF(INDEX(MASTER_DATABASE!$A$4:$A$1000,ROW()-3)="","",INDEX(MASTER_DATABASE!$E$4:$E$1000,ROW()-3)&amp;"")</f>
        <v>Aadhaar Address Update – Online (SSUP) Assistance</v>
      </c>
      <c r="C14" s="7" t="str">
        <f aca="false">IF(INDEX(MASTER_DATABASE!$A$4:$A$1000,ROW()-3)="","",INDEX(MASTER_DATABASE!$F$4:$F$1000,ROW()-3)&amp;"")</f>
        <v>आधार पता अपडेट – ऑनलाइन (SSUP) सहायता</v>
      </c>
      <c r="D14" s="7" t="str">
        <f aca="false">IF(INDEX(MASTER_DATABASE!$A$4:$A$1000,ROW()-3)="","",INDEX(MASTER_DATABASE!$AL$4:$AL$1000,ROW()-3)&amp;"")</f>
        <v>Aadhaar Centre</v>
      </c>
      <c r="E14" s="7" t="str">
        <f aca="false">IF(INDEX(MASTER_DATABASE!$A$4:$A$1000,ROW()-3)="","",INDEX(MASTER_DATABASE!$G$4:$G$1000,ROW()-3)&amp;"")</f>
        <v>Get Aadhaar Address Update – Online (SSUP) Assistance done at our Aadhaar Centre.</v>
      </c>
      <c r="F14" s="11" t="str">
        <f aca="false">IF(INDEX(MASTER_DATABASE!$A$4:$A$1000,ROW()-3)="","",INDEX(MASTER_DATABASE!$AP$4:$AP$1000,ROW()-3)&amp;"")</f>
        <v>✏️</v>
      </c>
      <c r="G1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" s="7" t="str">
        <f aca="false">IF(INDEX(MASTER_DATABASE!$A$4:$A$1000,ROW()-3)="","",INDEX(MASTER_DATABASE!$J$4:$J$1000,ROW()-3)&amp;"")</f>
        <v>Depends on Portal – Confirm at Shop</v>
      </c>
      <c r="K14" s="7" t="str">
        <f aca="false">IF(INDEX(MASTER_DATABASE!$A$4:$A$1000,ROW()-3)="","",INDEX(MASTER_DATABASE!$M$4:$M$1000,ROW()-3)&amp;"")</f>
        <v>✓ Aadhaar Card
✓ Aadhaar-Linked Mobile Number
✓ Address Proof</v>
      </c>
      <c r="L14" s="7" t="str">
        <f aca="false">IF(INDEX(MASTER_DATABASE!$A$4:$A$1000,ROW()-3)="","",INDEX(MASTER_DATABASE!$Q$4:$Q$1000,ROW()-3)&amp;"")</f>
        <v>Depends on Department</v>
      </c>
      <c r="M14" s="11" t="str">
        <f aca="false">IF(INDEX(MASTER_DATABASE!$A$4:$A$1000,ROW()-3)="","",INDEX(MASTER_DATABASE!$AI$4:$AI$1000,ROW()-3)&amp;"")</f>
        <v>No</v>
      </c>
      <c r="N14" s="11" t="str">
        <f aca="false">IF(INDEX(MASTER_DATABASE!$A$4:$A$1000,ROW()-3)="","",INDEX(MASTER_DATABASE!$AJ$4:$AJ$1000,ROW()-3)&amp;"")</f>
        <v>No</v>
      </c>
      <c r="O14" s="11" t="str">
        <f aca="false">IF(INDEX(MASTER_DATABASE!$A$4:$A$1000,ROW()-3)="","",IF(INDEX(MASTER_DATABASE!$BE$4:$BE$1000,ROW()-3)="LIVE","Yes","No"))</f>
        <v>No</v>
      </c>
      <c r="P14" s="7" t="str">
        <f aca="false">IF(INDEX(MASTER_DATABASE!$A$4:$A$1000,ROW()-3)="","",INDEX(MASTER_DATABASE!$BG$4:$BG$1000,ROW()-3)&amp;"")</f>
        <v>Book Service</v>
      </c>
      <c r="Q14" s="11" t="n">
        <f aca="false">IF(INDEX(MASTER_DATABASE!$A$4:$A$1000,ROW()-3)="","",INDEX(MASTER_DATABASE!$AQ$4:$AQ$1000,ROW()-3))</f>
        <v>110</v>
      </c>
    </row>
    <row r="15" customFormat="false" ht="23.85" hidden="false" customHeight="false" outlineLevel="0" collapsed="false">
      <c r="A15" s="11" t="str">
        <f aca="false">IF(INDEX(MASTER_DATABASE!$A$4:$A$1000,ROW()-3)="","",INDEX(MASTER_DATABASE!$A$4:$A$1000,ROW()-3)&amp;"")</f>
        <v>AAD-012</v>
      </c>
      <c r="B15" s="7" t="str">
        <f aca="false">IF(INDEX(MASTER_DATABASE!$A$4:$A$1000,ROW()-3)="","",INDEX(MASTER_DATABASE!$E$4:$E$1000,ROW()-3)&amp;"")</f>
        <v>Aadhaar Mobile Number Update</v>
      </c>
      <c r="C15" s="7" t="str">
        <f aca="false">IF(INDEX(MASTER_DATABASE!$A$4:$A$1000,ROW()-3)="","",INDEX(MASTER_DATABASE!$F$4:$F$1000,ROW()-3)&amp;"")</f>
        <v>आधार मोबाइल नंबर अपडेट</v>
      </c>
      <c r="D15" s="7" t="str">
        <f aca="false">IF(INDEX(MASTER_DATABASE!$A$4:$A$1000,ROW()-3)="","",INDEX(MASTER_DATABASE!$AL$4:$AL$1000,ROW()-3)&amp;"")</f>
        <v>Aadhaar Centre</v>
      </c>
      <c r="E15" s="7" t="str">
        <f aca="false">IF(INDEX(MASTER_DATABASE!$A$4:$A$1000,ROW()-3)="","",INDEX(MASTER_DATABASE!$G$4:$G$1000,ROW()-3)&amp;"")</f>
        <v>Get Aadhaar Mobile Number Update done at our Aadhaar Centre.</v>
      </c>
      <c r="F15" s="11" t="str">
        <f aca="false">IF(INDEX(MASTER_DATABASE!$A$4:$A$1000,ROW()-3)="","",INDEX(MASTER_DATABASE!$AP$4:$AP$1000,ROW()-3)&amp;"")</f>
        <v>✏️</v>
      </c>
      <c r="G1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" s="7" t="str">
        <f aca="false">IF(INDEX(MASTER_DATABASE!$A$4:$A$1000,ROW()-3)="","",INDEX(MASTER_DATABASE!$J$4:$J$1000,ROW()-3)&amp;"")</f>
        <v>Available</v>
      </c>
      <c r="K15" s="7" t="str">
        <f aca="false">IF(INDEX(MASTER_DATABASE!$A$4:$A$1000,ROW()-3)="","",INDEX(MASTER_DATABASE!$M$4:$M$1000,ROW()-3)&amp;"")</f>
        <v>✓ Aadhaar Card
✓ Active Mobile Number</v>
      </c>
      <c r="L15" s="7" t="str">
        <f aca="false">IF(INDEX(MASTER_DATABASE!$A$4:$A$1000,ROW()-3)="","",INDEX(MASTER_DATABASE!$Q$4:$Q$1000,ROW()-3)&amp;"")</f>
        <v>Depends on Department</v>
      </c>
      <c r="M15" s="11" t="str">
        <f aca="false">IF(INDEX(MASTER_DATABASE!$A$4:$A$1000,ROW()-3)="","",INDEX(MASTER_DATABASE!$AI$4:$AI$1000,ROW()-3)&amp;"")</f>
        <v>No</v>
      </c>
      <c r="N15" s="11" t="str">
        <f aca="false">IF(INDEX(MASTER_DATABASE!$A$4:$A$1000,ROW()-3)="","",INDEX(MASTER_DATABASE!$AJ$4:$AJ$1000,ROW()-3)&amp;"")</f>
        <v>No</v>
      </c>
      <c r="O15" s="11" t="str">
        <f aca="false">IF(INDEX(MASTER_DATABASE!$A$4:$A$1000,ROW()-3)="","",IF(INDEX(MASTER_DATABASE!$BE$4:$BE$1000,ROW()-3)="LIVE","Yes","No"))</f>
        <v>Yes</v>
      </c>
      <c r="P15" s="7" t="str">
        <f aca="false">IF(INDEX(MASTER_DATABASE!$A$4:$A$1000,ROW()-3)="","",INDEX(MASTER_DATABASE!$BG$4:$BG$1000,ROW()-3)&amp;"")</f>
        <v>Check Documents</v>
      </c>
      <c r="Q15" s="11" t="n">
        <f aca="false">IF(INDEX(MASTER_DATABASE!$A$4:$A$1000,ROW()-3)="","",INDEX(MASTER_DATABASE!$AQ$4:$AQ$1000,ROW()-3))</f>
        <v>120</v>
      </c>
    </row>
    <row r="16" customFormat="false" ht="23.85" hidden="false" customHeight="false" outlineLevel="0" collapsed="false">
      <c r="A16" s="11" t="str">
        <f aca="false">IF(INDEX(MASTER_DATABASE!$A$4:$A$1000,ROW()-3)="","",INDEX(MASTER_DATABASE!$A$4:$A$1000,ROW()-3)&amp;"")</f>
        <v>AAD-013</v>
      </c>
      <c r="B16" s="7" t="str">
        <f aca="false">IF(INDEX(MASTER_DATABASE!$A$4:$A$1000,ROW()-3)="","",INDEX(MASTER_DATABASE!$E$4:$E$1000,ROW()-3)&amp;"")</f>
        <v>Aadhaar Email ID Update</v>
      </c>
      <c r="C16" s="7" t="str">
        <f aca="false">IF(INDEX(MASTER_DATABASE!$A$4:$A$1000,ROW()-3)="","",INDEX(MASTER_DATABASE!$F$4:$F$1000,ROW()-3)&amp;"")</f>
        <v>आधार ईमेल आईडी अपडेट</v>
      </c>
      <c r="D16" s="7" t="str">
        <f aca="false">IF(INDEX(MASTER_DATABASE!$A$4:$A$1000,ROW()-3)="","",INDEX(MASTER_DATABASE!$AL$4:$AL$1000,ROW()-3)&amp;"")</f>
        <v>Aadhaar Centre</v>
      </c>
      <c r="E16" s="7" t="str">
        <f aca="false">IF(INDEX(MASTER_DATABASE!$A$4:$A$1000,ROW()-3)="","",INDEX(MASTER_DATABASE!$G$4:$G$1000,ROW()-3)&amp;"")</f>
        <v>Get Aadhaar Email ID Update done at our Aadhaar Centre.</v>
      </c>
      <c r="F16" s="11" t="str">
        <f aca="false">IF(INDEX(MASTER_DATABASE!$A$4:$A$1000,ROW()-3)="","",INDEX(MASTER_DATABASE!$AP$4:$AP$1000,ROW()-3)&amp;"")</f>
        <v>✏️</v>
      </c>
      <c r="G1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" s="7" t="str">
        <f aca="false">IF(INDEX(MASTER_DATABASE!$A$4:$A$1000,ROW()-3)="","",INDEX(MASTER_DATABASE!$J$4:$J$1000,ROW()-3)&amp;"")</f>
        <v>Available</v>
      </c>
      <c r="K16" s="7" t="str">
        <f aca="false">IF(INDEX(MASTER_DATABASE!$A$4:$A$1000,ROW()-3)="","",INDEX(MASTER_DATABASE!$M$4:$M$1000,ROW()-3)&amp;"")</f>
        <v>✓ Aadhaar Card
✓ Email ID</v>
      </c>
      <c r="L16" s="7" t="str">
        <f aca="false">IF(INDEX(MASTER_DATABASE!$A$4:$A$1000,ROW()-3)="","",INDEX(MASTER_DATABASE!$Q$4:$Q$1000,ROW()-3)&amp;"")</f>
        <v>Depends on Department</v>
      </c>
      <c r="M16" s="11" t="str">
        <f aca="false">IF(INDEX(MASTER_DATABASE!$A$4:$A$1000,ROW()-3)="","",INDEX(MASTER_DATABASE!$AI$4:$AI$1000,ROW()-3)&amp;"")</f>
        <v>No</v>
      </c>
      <c r="N16" s="11" t="str">
        <f aca="false">IF(INDEX(MASTER_DATABASE!$A$4:$A$1000,ROW()-3)="","",INDEX(MASTER_DATABASE!$AJ$4:$AJ$1000,ROW()-3)&amp;"")</f>
        <v>No</v>
      </c>
      <c r="O16" s="11" t="str">
        <f aca="false">IF(INDEX(MASTER_DATABASE!$A$4:$A$1000,ROW()-3)="","",IF(INDEX(MASTER_DATABASE!$BE$4:$BE$1000,ROW()-3)="LIVE","Yes","No"))</f>
        <v>Yes</v>
      </c>
      <c r="P16" s="7" t="str">
        <f aca="false">IF(INDEX(MASTER_DATABASE!$A$4:$A$1000,ROW()-3)="","",INDEX(MASTER_DATABASE!$BG$4:$BG$1000,ROW()-3)&amp;"")</f>
        <v>Check Documents</v>
      </c>
      <c r="Q16" s="11" t="n">
        <f aca="false">IF(INDEX(MASTER_DATABASE!$A$4:$A$1000,ROW()-3)="","",INDEX(MASTER_DATABASE!$AQ$4:$AQ$1000,ROW()-3))</f>
        <v>130</v>
      </c>
    </row>
    <row r="17" customFormat="false" ht="35.05" hidden="false" customHeight="false" outlineLevel="0" collapsed="false">
      <c r="A17" s="11" t="str">
        <f aca="false">IF(INDEX(MASTER_DATABASE!$A$4:$A$1000,ROW()-3)="","",INDEX(MASTER_DATABASE!$A$4:$A$1000,ROW()-3)&amp;"")</f>
        <v>AAD-014</v>
      </c>
      <c r="B17" s="7" t="str">
        <f aca="false">IF(INDEX(MASTER_DATABASE!$A$4:$A$1000,ROW()-3)="","",INDEX(MASTER_DATABASE!$E$4:$E$1000,ROW()-3)&amp;"")</f>
        <v>Aadhaar Relationship / Head of Family Detail Update</v>
      </c>
      <c r="C17" s="7" t="str">
        <f aca="false">IF(INDEX(MASTER_DATABASE!$A$4:$A$1000,ROW()-3)="","",INDEX(MASTER_DATABASE!$F$4:$F$1000,ROW()-3)&amp;"")</f>
        <v>आधार संबंध / परिवार मुखिया विवरण अपडेट</v>
      </c>
      <c r="D17" s="7" t="str">
        <f aca="false">IF(INDEX(MASTER_DATABASE!$A$4:$A$1000,ROW()-3)="","",INDEX(MASTER_DATABASE!$AL$4:$AL$1000,ROW()-3)&amp;"")</f>
        <v>Aadhaar Centre</v>
      </c>
      <c r="E17" s="7" t="str">
        <f aca="false">IF(INDEX(MASTER_DATABASE!$A$4:$A$1000,ROW()-3)="","",INDEX(MASTER_DATABASE!$G$4:$G$1000,ROW()-3)&amp;"")</f>
        <v>Get Aadhaar Relationship / Head of Family Detail Update done at our Aadhaar Centre.</v>
      </c>
      <c r="F17" s="11" t="str">
        <f aca="false">IF(INDEX(MASTER_DATABASE!$A$4:$A$1000,ROW()-3)="","",INDEX(MASTER_DATABASE!$AP$4:$AP$1000,ROW()-3)&amp;"")</f>
        <v>✏️</v>
      </c>
      <c r="G1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" s="7" t="str">
        <f aca="false">IF(INDEX(MASTER_DATABASE!$A$4:$A$1000,ROW()-3)="","",INDEX(MASTER_DATABASE!$J$4:$J$1000,ROW()-3)&amp;"")</f>
        <v>To Be Confirmed</v>
      </c>
      <c r="K17" s="7" t="str">
        <f aca="false">IF(INDEX(MASTER_DATABASE!$A$4:$A$1000,ROW()-3)="","",INDEX(MASTER_DATABASE!$M$4:$M$1000,ROW()-3)&amp;"")</f>
        <v>✓ Aadhaar Card</v>
      </c>
      <c r="L17" s="7" t="str">
        <f aca="false">IF(INDEX(MASTER_DATABASE!$A$4:$A$1000,ROW()-3)="","",INDEX(MASTER_DATABASE!$Q$4:$Q$1000,ROW()-3)&amp;"")</f>
        <v>Depends on Department</v>
      </c>
      <c r="M17" s="11" t="str">
        <f aca="false">IF(INDEX(MASTER_DATABASE!$A$4:$A$1000,ROW()-3)="","",INDEX(MASTER_DATABASE!$AI$4:$AI$1000,ROW()-3)&amp;"")</f>
        <v>No</v>
      </c>
      <c r="N17" s="11" t="str">
        <f aca="false">IF(INDEX(MASTER_DATABASE!$A$4:$A$1000,ROW()-3)="","",INDEX(MASTER_DATABASE!$AJ$4:$AJ$1000,ROW()-3)&amp;"")</f>
        <v>No</v>
      </c>
      <c r="O17" s="11" t="str">
        <f aca="false">IF(INDEX(MASTER_DATABASE!$A$4:$A$1000,ROW()-3)="","",IF(INDEX(MASTER_DATABASE!$BE$4:$BE$1000,ROW()-3)="LIVE","Yes","No"))</f>
        <v>No</v>
      </c>
      <c r="P17" s="7" t="str">
        <f aca="false">IF(INDEX(MASTER_DATABASE!$A$4:$A$1000,ROW()-3)="","",INDEX(MASTER_DATABASE!$BG$4:$BG$1000,ROW()-3)&amp;"")</f>
        <v>Check Documents</v>
      </c>
      <c r="Q17" s="11" t="n">
        <f aca="false">IF(INDEX(MASTER_DATABASE!$A$4:$A$1000,ROW()-3)="","",INDEX(MASTER_DATABASE!$AQ$4:$AQ$1000,ROW()-3))</f>
        <v>140</v>
      </c>
    </row>
    <row r="18" customFormat="false" ht="35.05" hidden="false" customHeight="false" outlineLevel="0" collapsed="false">
      <c r="A18" s="11" t="str">
        <f aca="false">IF(INDEX(MASTER_DATABASE!$A$4:$A$1000,ROW()-3)="","",INDEX(MASTER_DATABASE!$A$4:$A$1000,ROW()-3)&amp;"")</f>
        <v>AAD-015</v>
      </c>
      <c r="B18" s="7" t="str">
        <f aca="false">IF(INDEX(MASTER_DATABASE!$A$4:$A$1000,ROW()-3)="","",INDEX(MASTER_DATABASE!$E$4:$E$1000,ROW()-3)&amp;"")</f>
        <v>Aadhaar Combined Demographic Update (Multiple Fields)</v>
      </c>
      <c r="C18" s="7" t="str">
        <f aca="false">IF(INDEX(MASTER_DATABASE!$A$4:$A$1000,ROW()-3)="","",INDEX(MASTER_DATABASE!$F$4:$F$1000,ROW()-3)&amp;"")</f>
        <v>आधार संयुक्त डेमोग्राफिक अपडेट (कई जानकारियाँ)</v>
      </c>
      <c r="D18" s="7" t="str">
        <f aca="false">IF(INDEX(MASTER_DATABASE!$A$4:$A$1000,ROW()-3)="","",INDEX(MASTER_DATABASE!$AL$4:$AL$1000,ROW()-3)&amp;"")</f>
        <v>Aadhaar Centre</v>
      </c>
      <c r="E18" s="7" t="str">
        <f aca="false">IF(INDEX(MASTER_DATABASE!$A$4:$A$1000,ROW()-3)="","",INDEX(MASTER_DATABASE!$G$4:$G$1000,ROW()-3)&amp;"")</f>
        <v>Get Aadhaar Combined Demographic Update (Multiple Fields) done at our Aadhaar Centre.</v>
      </c>
      <c r="F18" s="11" t="str">
        <f aca="false">IF(INDEX(MASTER_DATABASE!$A$4:$A$1000,ROW()-3)="","",INDEX(MASTER_DATABASE!$AP$4:$AP$1000,ROW()-3)&amp;"")</f>
        <v>✏️</v>
      </c>
      <c r="G1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" s="7" t="str">
        <f aca="false">IF(INDEX(MASTER_DATABASE!$A$4:$A$1000,ROW()-3)="","",INDEX(MASTER_DATABASE!$J$4:$J$1000,ROW()-3)&amp;"")</f>
        <v>Available</v>
      </c>
      <c r="K18" s="7" t="str">
        <f aca="false">IF(INDEX(MASTER_DATABASE!$A$4:$A$1000,ROW()-3)="","",INDEX(MASTER_DATABASE!$M$4:$M$1000,ROW()-3)&amp;"")</f>
        <v>✓ Aadhaar Card</v>
      </c>
      <c r="L18" s="7" t="str">
        <f aca="false">IF(INDEX(MASTER_DATABASE!$A$4:$A$1000,ROW()-3)="","",INDEX(MASTER_DATABASE!$Q$4:$Q$1000,ROW()-3)&amp;"")</f>
        <v>Depends on Department</v>
      </c>
      <c r="M18" s="11" t="str">
        <f aca="false">IF(INDEX(MASTER_DATABASE!$A$4:$A$1000,ROW()-3)="","",INDEX(MASTER_DATABASE!$AI$4:$AI$1000,ROW()-3)&amp;"")</f>
        <v>No</v>
      </c>
      <c r="N18" s="11" t="str">
        <f aca="false">IF(INDEX(MASTER_DATABASE!$A$4:$A$1000,ROW()-3)="","",INDEX(MASTER_DATABASE!$AJ$4:$AJ$1000,ROW()-3)&amp;"")</f>
        <v>No</v>
      </c>
      <c r="O18" s="11" t="str">
        <f aca="false">IF(INDEX(MASTER_DATABASE!$A$4:$A$1000,ROW()-3)="","",IF(INDEX(MASTER_DATABASE!$BE$4:$BE$1000,ROW()-3)="LIVE","Yes","No"))</f>
        <v>Yes</v>
      </c>
      <c r="P18" s="7" t="str">
        <f aca="false">IF(INDEX(MASTER_DATABASE!$A$4:$A$1000,ROW()-3)="","",INDEX(MASTER_DATABASE!$BG$4:$BG$1000,ROW()-3)&amp;"")</f>
        <v>Check Documents</v>
      </c>
      <c r="Q18" s="11" t="n">
        <f aca="false">IF(INDEX(MASTER_DATABASE!$A$4:$A$1000,ROW()-3)="","",INDEX(MASTER_DATABASE!$AQ$4:$AQ$1000,ROW()-3))</f>
        <v>150</v>
      </c>
    </row>
    <row r="19" customFormat="false" ht="23.85" hidden="false" customHeight="false" outlineLevel="0" collapsed="false">
      <c r="A19" s="11" t="str">
        <f aca="false">IF(INDEX(MASTER_DATABASE!$A$4:$A$1000,ROW()-3)="","",INDEX(MASTER_DATABASE!$A$4:$A$1000,ROW()-3)&amp;"")</f>
        <v>AAD-016</v>
      </c>
      <c r="B19" s="7" t="str">
        <f aca="false">IF(INDEX(MASTER_DATABASE!$A$4:$A$1000,ROW()-3)="","",INDEX(MASTER_DATABASE!$E$4:$E$1000,ROW()-3)&amp;"")</f>
        <v>Aadhaar Fingerprint Update</v>
      </c>
      <c r="C19" s="7" t="str">
        <f aca="false">IF(INDEX(MASTER_DATABASE!$A$4:$A$1000,ROW()-3)="","",INDEX(MASTER_DATABASE!$F$4:$F$1000,ROW()-3)&amp;"")</f>
        <v>आधार फिंगरप्रिंट अपडेट</v>
      </c>
      <c r="D19" s="7" t="str">
        <f aca="false">IF(INDEX(MASTER_DATABASE!$A$4:$A$1000,ROW()-3)="","",INDEX(MASTER_DATABASE!$AL$4:$AL$1000,ROW()-3)&amp;"")</f>
        <v>Aadhaar Centre</v>
      </c>
      <c r="E19" s="7" t="str">
        <f aca="false">IF(INDEX(MASTER_DATABASE!$A$4:$A$1000,ROW()-3)="","",INDEX(MASTER_DATABASE!$G$4:$G$1000,ROW()-3)&amp;"")</f>
        <v>Get Aadhaar Fingerprint Update done at our Aadhaar Centre.</v>
      </c>
      <c r="F19" s="11" t="str">
        <f aca="false">IF(INDEX(MASTER_DATABASE!$A$4:$A$1000,ROW()-3)="","",INDEX(MASTER_DATABASE!$AP$4:$AP$1000,ROW()-3)&amp;"")</f>
        <v>👆</v>
      </c>
      <c r="G1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" s="7" t="str">
        <f aca="false">IF(INDEX(MASTER_DATABASE!$A$4:$A$1000,ROW()-3)="","",INDEX(MASTER_DATABASE!$J$4:$J$1000,ROW()-3)&amp;"")</f>
        <v>Available</v>
      </c>
      <c r="K19" s="7" t="str">
        <f aca="false">IF(INDEX(MASTER_DATABASE!$A$4:$A$1000,ROW()-3)="","",INDEX(MASTER_DATABASE!$M$4:$M$1000,ROW()-3)&amp;"")</f>
        <v>✓ Aadhaar Card
✓ Customer Presence for Biometrics</v>
      </c>
      <c r="L19" s="7" t="str">
        <f aca="false">IF(INDEX(MASTER_DATABASE!$A$4:$A$1000,ROW()-3)="","",INDEX(MASTER_DATABASE!$Q$4:$Q$1000,ROW()-3)&amp;"")</f>
        <v>Depends on Department</v>
      </c>
      <c r="M19" s="11" t="str">
        <f aca="false">IF(INDEX(MASTER_DATABASE!$A$4:$A$1000,ROW()-3)="","",INDEX(MASTER_DATABASE!$AI$4:$AI$1000,ROW()-3)&amp;"")</f>
        <v>No</v>
      </c>
      <c r="N19" s="11" t="str">
        <f aca="false">IF(INDEX(MASTER_DATABASE!$A$4:$A$1000,ROW()-3)="","",INDEX(MASTER_DATABASE!$AJ$4:$AJ$1000,ROW()-3)&amp;"")</f>
        <v>No</v>
      </c>
      <c r="O19" s="11" t="str">
        <f aca="false">IF(INDEX(MASTER_DATABASE!$A$4:$A$1000,ROW()-3)="","",IF(INDEX(MASTER_DATABASE!$BE$4:$BE$1000,ROW()-3)="LIVE","Yes","No"))</f>
        <v>Yes</v>
      </c>
      <c r="P19" s="7" t="str">
        <f aca="false">IF(INDEX(MASTER_DATABASE!$A$4:$A$1000,ROW()-3)="","",INDEX(MASTER_DATABASE!$BG$4:$BG$1000,ROW()-3)&amp;"")</f>
        <v>Check Documents</v>
      </c>
      <c r="Q19" s="11" t="n">
        <f aca="false">IF(INDEX(MASTER_DATABASE!$A$4:$A$1000,ROW()-3)="","",INDEX(MASTER_DATABASE!$AQ$4:$AQ$1000,ROW()-3))</f>
        <v>160</v>
      </c>
    </row>
    <row r="20" customFormat="false" ht="23.85" hidden="false" customHeight="false" outlineLevel="0" collapsed="false">
      <c r="A20" s="11" t="str">
        <f aca="false">IF(INDEX(MASTER_DATABASE!$A$4:$A$1000,ROW()-3)="","",INDEX(MASTER_DATABASE!$A$4:$A$1000,ROW()-3)&amp;"")</f>
        <v>AAD-017</v>
      </c>
      <c r="B20" s="7" t="str">
        <f aca="false">IF(INDEX(MASTER_DATABASE!$A$4:$A$1000,ROW()-3)="","",INDEX(MASTER_DATABASE!$E$4:$E$1000,ROW()-3)&amp;"")</f>
        <v>Aadhaar Iris Update</v>
      </c>
      <c r="C20" s="7" t="str">
        <f aca="false">IF(INDEX(MASTER_DATABASE!$A$4:$A$1000,ROW()-3)="","",INDEX(MASTER_DATABASE!$F$4:$F$1000,ROW()-3)&amp;"")</f>
        <v>आधार आइरिस अपडेट</v>
      </c>
      <c r="D20" s="7" t="str">
        <f aca="false">IF(INDEX(MASTER_DATABASE!$A$4:$A$1000,ROW()-3)="","",INDEX(MASTER_DATABASE!$AL$4:$AL$1000,ROW()-3)&amp;"")</f>
        <v>Aadhaar Centre</v>
      </c>
      <c r="E20" s="7" t="str">
        <f aca="false">IF(INDEX(MASTER_DATABASE!$A$4:$A$1000,ROW()-3)="","",INDEX(MASTER_DATABASE!$G$4:$G$1000,ROW()-3)&amp;"")</f>
        <v>Get Aadhaar Iris Update done at our Aadhaar Centre.</v>
      </c>
      <c r="F20" s="11" t="str">
        <f aca="false">IF(INDEX(MASTER_DATABASE!$A$4:$A$1000,ROW()-3)="","",INDEX(MASTER_DATABASE!$AP$4:$AP$1000,ROW()-3)&amp;"")</f>
        <v>👆</v>
      </c>
      <c r="G2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" s="7" t="str">
        <f aca="false">IF(INDEX(MASTER_DATABASE!$A$4:$A$1000,ROW()-3)="","",INDEX(MASTER_DATABASE!$J$4:$J$1000,ROW()-3)&amp;"")</f>
        <v>Available</v>
      </c>
      <c r="K20" s="7" t="str">
        <f aca="false">IF(INDEX(MASTER_DATABASE!$A$4:$A$1000,ROW()-3)="","",INDEX(MASTER_DATABASE!$M$4:$M$1000,ROW()-3)&amp;"")</f>
        <v>✓ Aadhaar Card
✓ Customer Presence for Biometrics</v>
      </c>
      <c r="L20" s="7" t="str">
        <f aca="false">IF(INDEX(MASTER_DATABASE!$A$4:$A$1000,ROW()-3)="","",INDEX(MASTER_DATABASE!$Q$4:$Q$1000,ROW()-3)&amp;"")</f>
        <v>Depends on Department</v>
      </c>
      <c r="M20" s="11" t="str">
        <f aca="false">IF(INDEX(MASTER_DATABASE!$A$4:$A$1000,ROW()-3)="","",INDEX(MASTER_DATABASE!$AI$4:$AI$1000,ROW()-3)&amp;"")</f>
        <v>No</v>
      </c>
      <c r="N20" s="11" t="str">
        <f aca="false">IF(INDEX(MASTER_DATABASE!$A$4:$A$1000,ROW()-3)="","",INDEX(MASTER_DATABASE!$AJ$4:$AJ$1000,ROW()-3)&amp;"")</f>
        <v>No</v>
      </c>
      <c r="O20" s="11" t="str">
        <f aca="false">IF(INDEX(MASTER_DATABASE!$A$4:$A$1000,ROW()-3)="","",IF(INDEX(MASTER_DATABASE!$BE$4:$BE$1000,ROW()-3)="LIVE","Yes","No"))</f>
        <v>Yes</v>
      </c>
      <c r="P20" s="7" t="str">
        <f aca="false">IF(INDEX(MASTER_DATABASE!$A$4:$A$1000,ROW()-3)="","",INDEX(MASTER_DATABASE!$BG$4:$BG$1000,ROW()-3)&amp;"")</f>
        <v>Check Documents</v>
      </c>
      <c r="Q20" s="11" t="n">
        <f aca="false">IF(INDEX(MASTER_DATABASE!$A$4:$A$1000,ROW()-3)="","",INDEX(MASTER_DATABASE!$AQ$4:$AQ$1000,ROW()-3))</f>
        <v>170</v>
      </c>
    </row>
    <row r="21" customFormat="false" ht="23.85" hidden="false" customHeight="false" outlineLevel="0" collapsed="false">
      <c r="A21" s="11" t="str">
        <f aca="false">IF(INDEX(MASTER_DATABASE!$A$4:$A$1000,ROW()-3)="","",INDEX(MASTER_DATABASE!$A$4:$A$1000,ROW()-3)&amp;"")</f>
        <v>AAD-018</v>
      </c>
      <c r="B21" s="7" t="str">
        <f aca="false">IF(INDEX(MASTER_DATABASE!$A$4:$A$1000,ROW()-3)="","",INDEX(MASTER_DATABASE!$E$4:$E$1000,ROW()-3)&amp;"")</f>
        <v>Aadhaar Photograph Update</v>
      </c>
      <c r="C21" s="7" t="str">
        <f aca="false">IF(INDEX(MASTER_DATABASE!$A$4:$A$1000,ROW()-3)="","",INDEX(MASTER_DATABASE!$F$4:$F$1000,ROW()-3)&amp;"")</f>
        <v>आधार फोटो अपडेट</v>
      </c>
      <c r="D21" s="7" t="str">
        <f aca="false">IF(INDEX(MASTER_DATABASE!$A$4:$A$1000,ROW()-3)="","",INDEX(MASTER_DATABASE!$AL$4:$AL$1000,ROW()-3)&amp;"")</f>
        <v>Aadhaar Centre</v>
      </c>
      <c r="E21" s="7" t="str">
        <f aca="false">IF(INDEX(MASTER_DATABASE!$A$4:$A$1000,ROW()-3)="","",INDEX(MASTER_DATABASE!$G$4:$G$1000,ROW()-3)&amp;"")</f>
        <v>Get Aadhaar Photograph Update done at our Aadhaar Centre.</v>
      </c>
      <c r="F21" s="11" t="str">
        <f aca="false">IF(INDEX(MASTER_DATABASE!$A$4:$A$1000,ROW()-3)="","",INDEX(MASTER_DATABASE!$AP$4:$AP$1000,ROW()-3)&amp;"")</f>
        <v>👆</v>
      </c>
      <c r="G2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" s="7" t="str">
        <f aca="false">IF(INDEX(MASTER_DATABASE!$A$4:$A$1000,ROW()-3)="","",INDEX(MASTER_DATABASE!$J$4:$J$1000,ROW()-3)&amp;"")</f>
        <v>Available</v>
      </c>
      <c r="K21" s="7" t="str">
        <f aca="false">IF(INDEX(MASTER_DATABASE!$A$4:$A$1000,ROW()-3)="","",INDEX(MASTER_DATABASE!$M$4:$M$1000,ROW()-3)&amp;"")</f>
        <v>✓ Aadhaar Card
✓ Customer Presence for Biometrics</v>
      </c>
      <c r="L21" s="7" t="str">
        <f aca="false">IF(INDEX(MASTER_DATABASE!$A$4:$A$1000,ROW()-3)="","",INDEX(MASTER_DATABASE!$Q$4:$Q$1000,ROW()-3)&amp;"")</f>
        <v>Depends on Department</v>
      </c>
      <c r="M21" s="11" t="str">
        <f aca="false">IF(INDEX(MASTER_DATABASE!$A$4:$A$1000,ROW()-3)="","",INDEX(MASTER_DATABASE!$AI$4:$AI$1000,ROW()-3)&amp;"")</f>
        <v>No</v>
      </c>
      <c r="N21" s="11" t="str">
        <f aca="false">IF(INDEX(MASTER_DATABASE!$A$4:$A$1000,ROW()-3)="","",INDEX(MASTER_DATABASE!$AJ$4:$AJ$1000,ROW()-3)&amp;"")</f>
        <v>No</v>
      </c>
      <c r="O21" s="11" t="str">
        <f aca="false">IF(INDEX(MASTER_DATABASE!$A$4:$A$1000,ROW()-3)="","",IF(INDEX(MASTER_DATABASE!$BE$4:$BE$1000,ROW()-3)="LIVE","Yes","No"))</f>
        <v>Yes</v>
      </c>
      <c r="P21" s="7" t="str">
        <f aca="false">IF(INDEX(MASTER_DATABASE!$A$4:$A$1000,ROW()-3)="","",INDEX(MASTER_DATABASE!$BG$4:$BG$1000,ROW()-3)&amp;"")</f>
        <v>Check Documents</v>
      </c>
      <c r="Q21" s="11" t="n">
        <f aca="false">IF(INDEX(MASTER_DATABASE!$A$4:$A$1000,ROW()-3)="","",INDEX(MASTER_DATABASE!$AQ$4:$AQ$1000,ROW()-3))</f>
        <v>180</v>
      </c>
    </row>
    <row r="22" customFormat="false" ht="35.05" hidden="false" customHeight="false" outlineLevel="0" collapsed="false">
      <c r="A22" s="11" t="str">
        <f aca="false">IF(INDEX(MASTER_DATABASE!$A$4:$A$1000,ROW()-3)="","",INDEX(MASTER_DATABASE!$A$4:$A$1000,ROW()-3)&amp;"")</f>
        <v>AAD-019</v>
      </c>
      <c r="B22" s="7" t="str">
        <f aca="false">IF(INDEX(MASTER_DATABASE!$A$4:$A$1000,ROW()-3)="","",INDEX(MASTER_DATABASE!$E$4:$E$1000,ROW()-3)&amp;"")</f>
        <v>Aadhaar Biometric Update – Combined (Finger + Iris + Photo)</v>
      </c>
      <c r="C22" s="7" t="str">
        <f aca="false">IF(INDEX(MASTER_DATABASE!$A$4:$A$1000,ROW()-3)="","",INDEX(MASTER_DATABASE!$F$4:$F$1000,ROW()-3)&amp;"")</f>
        <v>आधार बायोमेट्रिक अपडेट – संयुक्त (उँगली + आँख + फोटो)</v>
      </c>
      <c r="D22" s="7" t="str">
        <f aca="false">IF(INDEX(MASTER_DATABASE!$A$4:$A$1000,ROW()-3)="","",INDEX(MASTER_DATABASE!$AL$4:$AL$1000,ROW()-3)&amp;"")</f>
        <v>Aadhaar Centre</v>
      </c>
      <c r="E22" s="7" t="str">
        <f aca="false">IF(INDEX(MASTER_DATABASE!$A$4:$A$1000,ROW()-3)="","",INDEX(MASTER_DATABASE!$G$4:$G$1000,ROW()-3)&amp;"")</f>
        <v>Get Aadhaar Biometric Update – Combined (Finger + Iris + Photo) done at our Aadhaar Centre.</v>
      </c>
      <c r="F22" s="11" t="str">
        <f aca="false">IF(INDEX(MASTER_DATABASE!$A$4:$A$1000,ROW()-3)="","",INDEX(MASTER_DATABASE!$AP$4:$AP$1000,ROW()-3)&amp;"")</f>
        <v>👆</v>
      </c>
      <c r="G2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" s="7" t="str">
        <f aca="false">IF(INDEX(MASTER_DATABASE!$A$4:$A$1000,ROW()-3)="","",INDEX(MASTER_DATABASE!$J$4:$J$1000,ROW()-3)&amp;"")</f>
        <v>Available</v>
      </c>
      <c r="K22" s="7" t="str">
        <f aca="false">IF(INDEX(MASTER_DATABASE!$A$4:$A$1000,ROW()-3)="","",INDEX(MASTER_DATABASE!$M$4:$M$1000,ROW()-3)&amp;"")</f>
        <v>✓ Aadhaar Card
✓ Customer Presence for Biometrics</v>
      </c>
      <c r="L22" s="7" t="str">
        <f aca="false">IF(INDEX(MASTER_DATABASE!$A$4:$A$1000,ROW()-3)="","",INDEX(MASTER_DATABASE!$Q$4:$Q$1000,ROW()-3)&amp;"")</f>
        <v>Depends on Department</v>
      </c>
      <c r="M22" s="11" t="str">
        <f aca="false">IF(INDEX(MASTER_DATABASE!$A$4:$A$1000,ROW()-3)="","",INDEX(MASTER_DATABASE!$AI$4:$AI$1000,ROW()-3)&amp;"")</f>
        <v>No</v>
      </c>
      <c r="N22" s="11" t="str">
        <f aca="false">IF(INDEX(MASTER_DATABASE!$A$4:$A$1000,ROW()-3)="","",INDEX(MASTER_DATABASE!$AJ$4:$AJ$1000,ROW()-3)&amp;"")</f>
        <v>No</v>
      </c>
      <c r="O22" s="11" t="str">
        <f aca="false">IF(INDEX(MASTER_DATABASE!$A$4:$A$1000,ROW()-3)="","",IF(INDEX(MASTER_DATABASE!$BE$4:$BE$1000,ROW()-3)="LIVE","Yes","No"))</f>
        <v>Yes</v>
      </c>
      <c r="P22" s="7" t="str">
        <f aca="false">IF(INDEX(MASTER_DATABASE!$A$4:$A$1000,ROW()-3)="","",INDEX(MASTER_DATABASE!$BG$4:$BG$1000,ROW()-3)&amp;"")</f>
        <v>Check Documents</v>
      </c>
      <c r="Q22" s="11" t="n">
        <f aca="false">IF(INDEX(MASTER_DATABASE!$A$4:$A$1000,ROW()-3)="","",INDEX(MASTER_DATABASE!$AQ$4:$AQ$1000,ROW()-3))</f>
        <v>190</v>
      </c>
    </row>
    <row r="23" customFormat="false" ht="35.05" hidden="false" customHeight="false" outlineLevel="0" collapsed="false">
      <c r="A23" s="11" t="str">
        <f aca="false">IF(INDEX(MASTER_DATABASE!$A$4:$A$1000,ROW()-3)="","",INDEX(MASTER_DATABASE!$A$4:$A$1000,ROW()-3)&amp;"")</f>
        <v>AAD-020</v>
      </c>
      <c r="B23" s="7" t="str">
        <f aca="false">IF(INDEX(MASTER_DATABASE!$A$4:$A$1000,ROW()-3)="","",INDEX(MASTER_DATABASE!$E$4:$E$1000,ROW()-3)&amp;"")</f>
        <v>Mandatory Biometric Update – Child at Age 5</v>
      </c>
      <c r="C23" s="7" t="str">
        <f aca="false">IF(INDEX(MASTER_DATABASE!$A$4:$A$1000,ROW()-3)="","",INDEX(MASTER_DATABASE!$F$4:$F$1000,ROW()-3)&amp;"")</f>
        <v>अनिवार्य बायोमेट्रिक अपडेट – बच्चा (5 वर्ष)</v>
      </c>
      <c r="D23" s="7" t="str">
        <f aca="false">IF(INDEX(MASTER_DATABASE!$A$4:$A$1000,ROW()-3)="","",INDEX(MASTER_DATABASE!$AL$4:$AL$1000,ROW()-3)&amp;"")</f>
        <v>Aadhaar Centre</v>
      </c>
      <c r="E23" s="7" t="str">
        <f aca="false">IF(INDEX(MASTER_DATABASE!$A$4:$A$1000,ROW()-3)="","",INDEX(MASTER_DATABASE!$G$4:$G$1000,ROW()-3)&amp;"")</f>
        <v>Get Mandatory Biometric Update – Child at Age 5 done at our Aadhaar Centre.</v>
      </c>
      <c r="F23" s="11" t="str">
        <f aca="false">IF(INDEX(MASTER_DATABASE!$A$4:$A$1000,ROW()-3)="","",INDEX(MASTER_DATABASE!$AP$4:$AP$1000,ROW()-3)&amp;"")</f>
        <v>👆</v>
      </c>
      <c r="G2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" s="7" t="str">
        <f aca="false">IF(INDEX(MASTER_DATABASE!$A$4:$A$1000,ROW()-3)="","",INDEX(MASTER_DATABASE!$J$4:$J$1000,ROW()-3)&amp;"")</f>
        <v>Available</v>
      </c>
      <c r="K23" s="7" t="str">
        <f aca="false">IF(INDEX(MASTER_DATABASE!$A$4:$A$1000,ROW()-3)="","",INDEX(MASTER_DATABASE!$M$4:$M$1000,ROW()-3)&amp;"")</f>
        <v>✓ Aadhaar Card
✓ Customer Presence for Biometrics
✓ Parent / Guardian Aadhaar</v>
      </c>
      <c r="L23" s="7" t="str">
        <f aca="false">IF(INDEX(MASTER_DATABASE!$A$4:$A$1000,ROW()-3)="","",INDEX(MASTER_DATABASE!$Q$4:$Q$1000,ROW()-3)&amp;"")</f>
        <v>Depends on Department</v>
      </c>
      <c r="M23" s="11" t="str">
        <f aca="false">IF(INDEX(MASTER_DATABASE!$A$4:$A$1000,ROW()-3)="","",INDEX(MASTER_DATABASE!$AI$4:$AI$1000,ROW()-3)&amp;"")</f>
        <v>No</v>
      </c>
      <c r="N23" s="11" t="str">
        <f aca="false">IF(INDEX(MASTER_DATABASE!$A$4:$A$1000,ROW()-3)="","",INDEX(MASTER_DATABASE!$AJ$4:$AJ$1000,ROW()-3)&amp;"")</f>
        <v>No</v>
      </c>
      <c r="O23" s="11" t="str">
        <f aca="false">IF(INDEX(MASTER_DATABASE!$A$4:$A$1000,ROW()-3)="","",IF(INDEX(MASTER_DATABASE!$BE$4:$BE$1000,ROW()-3)="LIVE","Yes","No"))</f>
        <v>Yes</v>
      </c>
      <c r="P23" s="7" t="str">
        <f aca="false">IF(INDEX(MASTER_DATABASE!$A$4:$A$1000,ROW()-3)="","",INDEX(MASTER_DATABASE!$BG$4:$BG$1000,ROW()-3)&amp;"")</f>
        <v>Check Documents</v>
      </c>
      <c r="Q23" s="11" t="n">
        <f aca="false">IF(INDEX(MASTER_DATABASE!$A$4:$A$1000,ROW()-3)="","",INDEX(MASTER_DATABASE!$AQ$4:$AQ$1000,ROW()-3))</f>
        <v>200</v>
      </c>
    </row>
    <row r="24" customFormat="false" ht="35.05" hidden="false" customHeight="false" outlineLevel="0" collapsed="false">
      <c r="A24" s="11" t="str">
        <f aca="false">IF(INDEX(MASTER_DATABASE!$A$4:$A$1000,ROW()-3)="","",INDEX(MASTER_DATABASE!$A$4:$A$1000,ROW()-3)&amp;"")</f>
        <v>AAD-021</v>
      </c>
      <c r="B24" s="7" t="str">
        <f aca="false">IF(INDEX(MASTER_DATABASE!$A$4:$A$1000,ROW()-3)="","",INDEX(MASTER_DATABASE!$E$4:$E$1000,ROW()-3)&amp;"")</f>
        <v>Mandatory Biometric Update – Child at Age 15</v>
      </c>
      <c r="C24" s="7" t="str">
        <f aca="false">IF(INDEX(MASTER_DATABASE!$A$4:$A$1000,ROW()-3)="","",INDEX(MASTER_DATABASE!$F$4:$F$1000,ROW()-3)&amp;"")</f>
        <v>अनिवार्य बायोमेट्रिक अपडेट – बच्चा (15 वर्ष)</v>
      </c>
      <c r="D24" s="7" t="str">
        <f aca="false">IF(INDEX(MASTER_DATABASE!$A$4:$A$1000,ROW()-3)="","",INDEX(MASTER_DATABASE!$AL$4:$AL$1000,ROW()-3)&amp;"")</f>
        <v>Aadhaar Centre</v>
      </c>
      <c r="E24" s="7" t="str">
        <f aca="false">IF(INDEX(MASTER_DATABASE!$A$4:$A$1000,ROW()-3)="","",INDEX(MASTER_DATABASE!$G$4:$G$1000,ROW()-3)&amp;"")</f>
        <v>Get Mandatory Biometric Update – Child at Age 15 done at our Aadhaar Centre.</v>
      </c>
      <c r="F24" s="11" t="str">
        <f aca="false">IF(INDEX(MASTER_DATABASE!$A$4:$A$1000,ROW()-3)="","",INDEX(MASTER_DATABASE!$AP$4:$AP$1000,ROW()-3)&amp;"")</f>
        <v>👆</v>
      </c>
      <c r="G2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" s="7" t="str">
        <f aca="false">IF(INDEX(MASTER_DATABASE!$A$4:$A$1000,ROW()-3)="","",INDEX(MASTER_DATABASE!$J$4:$J$1000,ROW()-3)&amp;"")</f>
        <v>Available</v>
      </c>
      <c r="K24" s="7" t="str">
        <f aca="false">IF(INDEX(MASTER_DATABASE!$A$4:$A$1000,ROW()-3)="","",INDEX(MASTER_DATABASE!$M$4:$M$1000,ROW()-3)&amp;"")</f>
        <v>✓ Aadhaar Card
✓ Customer Presence for Biometrics
✓ Parent / Guardian Aadhaar</v>
      </c>
      <c r="L24" s="7" t="str">
        <f aca="false">IF(INDEX(MASTER_DATABASE!$A$4:$A$1000,ROW()-3)="","",INDEX(MASTER_DATABASE!$Q$4:$Q$1000,ROW()-3)&amp;"")</f>
        <v>Depends on Department</v>
      </c>
      <c r="M24" s="11" t="str">
        <f aca="false">IF(INDEX(MASTER_DATABASE!$A$4:$A$1000,ROW()-3)="","",INDEX(MASTER_DATABASE!$AI$4:$AI$1000,ROW()-3)&amp;"")</f>
        <v>No</v>
      </c>
      <c r="N24" s="11" t="str">
        <f aca="false">IF(INDEX(MASTER_DATABASE!$A$4:$A$1000,ROW()-3)="","",INDEX(MASTER_DATABASE!$AJ$4:$AJ$1000,ROW()-3)&amp;"")</f>
        <v>No</v>
      </c>
      <c r="O24" s="11" t="str">
        <f aca="false">IF(INDEX(MASTER_DATABASE!$A$4:$A$1000,ROW()-3)="","",IF(INDEX(MASTER_DATABASE!$BE$4:$BE$1000,ROW()-3)="LIVE","Yes","No"))</f>
        <v>Yes</v>
      </c>
      <c r="P24" s="7" t="str">
        <f aca="false">IF(INDEX(MASTER_DATABASE!$A$4:$A$1000,ROW()-3)="","",INDEX(MASTER_DATABASE!$BG$4:$BG$1000,ROW()-3)&amp;"")</f>
        <v>Check Documents</v>
      </c>
      <c r="Q24" s="11" t="n">
        <f aca="false">IF(INDEX(MASTER_DATABASE!$A$4:$A$1000,ROW()-3)="","",INDEX(MASTER_DATABASE!$AQ$4:$AQ$1000,ROW()-3))</f>
        <v>210</v>
      </c>
    </row>
    <row r="25" customFormat="false" ht="35.05" hidden="false" customHeight="false" outlineLevel="0" collapsed="false">
      <c r="A25" s="11" t="str">
        <f aca="false">IF(INDEX(MASTER_DATABASE!$A$4:$A$1000,ROW()-3)="","",INDEX(MASTER_DATABASE!$A$4:$A$1000,ROW()-3)&amp;"")</f>
        <v>AAD-022</v>
      </c>
      <c r="B25" s="7" t="str">
        <f aca="false">IF(INDEX(MASTER_DATABASE!$A$4:$A$1000,ROW()-3)="","",INDEX(MASTER_DATABASE!$E$4:$E$1000,ROW()-3)&amp;"")</f>
        <v>Aadhaar Biometric Update – Adult (Quality / Periodic)</v>
      </c>
      <c r="C25" s="7" t="str">
        <f aca="false">IF(INDEX(MASTER_DATABASE!$A$4:$A$1000,ROW()-3)="","",INDEX(MASTER_DATABASE!$F$4:$F$1000,ROW()-3)&amp;"")</f>
        <v>आधार बायोमेट्रिक अपडेट – वयस्क (क्वालिटी / आवधिक)</v>
      </c>
      <c r="D25" s="7" t="str">
        <f aca="false">IF(INDEX(MASTER_DATABASE!$A$4:$A$1000,ROW()-3)="","",INDEX(MASTER_DATABASE!$AL$4:$AL$1000,ROW()-3)&amp;"")</f>
        <v>Aadhaar Centre</v>
      </c>
      <c r="E25" s="7" t="str">
        <f aca="false">IF(INDEX(MASTER_DATABASE!$A$4:$A$1000,ROW()-3)="","",INDEX(MASTER_DATABASE!$G$4:$G$1000,ROW()-3)&amp;"")</f>
        <v>Get Aadhaar Biometric Update – Adult (Quality / Periodic) done at our Aadhaar Centre.</v>
      </c>
      <c r="F25" s="11" t="str">
        <f aca="false">IF(INDEX(MASTER_DATABASE!$A$4:$A$1000,ROW()-3)="","",INDEX(MASTER_DATABASE!$AP$4:$AP$1000,ROW()-3)&amp;"")</f>
        <v>👆</v>
      </c>
      <c r="G2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" s="7" t="str">
        <f aca="false">IF(INDEX(MASTER_DATABASE!$A$4:$A$1000,ROW()-3)="","",INDEX(MASTER_DATABASE!$J$4:$J$1000,ROW()-3)&amp;"")</f>
        <v>Available</v>
      </c>
      <c r="K25" s="7" t="str">
        <f aca="false">IF(INDEX(MASTER_DATABASE!$A$4:$A$1000,ROW()-3)="","",INDEX(MASTER_DATABASE!$M$4:$M$1000,ROW()-3)&amp;"")</f>
        <v>✓ Aadhaar Card
✓ Customer Presence for Biometrics</v>
      </c>
      <c r="L25" s="7" t="str">
        <f aca="false">IF(INDEX(MASTER_DATABASE!$A$4:$A$1000,ROW()-3)="","",INDEX(MASTER_DATABASE!$Q$4:$Q$1000,ROW()-3)&amp;"")</f>
        <v>Depends on Department</v>
      </c>
      <c r="M25" s="11" t="str">
        <f aca="false">IF(INDEX(MASTER_DATABASE!$A$4:$A$1000,ROW()-3)="","",INDEX(MASTER_DATABASE!$AI$4:$AI$1000,ROW()-3)&amp;"")</f>
        <v>No</v>
      </c>
      <c r="N25" s="11" t="str">
        <f aca="false">IF(INDEX(MASTER_DATABASE!$A$4:$A$1000,ROW()-3)="","",INDEX(MASTER_DATABASE!$AJ$4:$AJ$1000,ROW()-3)&amp;"")</f>
        <v>No</v>
      </c>
      <c r="O25" s="11" t="str">
        <f aca="false">IF(INDEX(MASTER_DATABASE!$A$4:$A$1000,ROW()-3)="","",IF(INDEX(MASTER_DATABASE!$BE$4:$BE$1000,ROW()-3)="LIVE","Yes","No"))</f>
        <v>Yes</v>
      </c>
      <c r="P25" s="7" t="str">
        <f aca="false">IF(INDEX(MASTER_DATABASE!$A$4:$A$1000,ROW()-3)="","",INDEX(MASTER_DATABASE!$BG$4:$BG$1000,ROW()-3)&amp;"")</f>
        <v>Check Documents</v>
      </c>
      <c r="Q25" s="11" t="n">
        <f aca="false">IF(INDEX(MASTER_DATABASE!$A$4:$A$1000,ROW()-3)="","",INDEX(MASTER_DATABASE!$AQ$4:$AQ$1000,ROW()-3))</f>
        <v>220</v>
      </c>
    </row>
    <row r="26" customFormat="false" ht="23.85" hidden="false" customHeight="false" outlineLevel="0" collapsed="false">
      <c r="A26" s="11" t="str">
        <f aca="false">IF(INDEX(MASTER_DATABASE!$A$4:$A$1000,ROW()-3)="","",INDEX(MASTER_DATABASE!$A$4:$A$1000,ROW()-3)&amp;"")</f>
        <v>AAD-023</v>
      </c>
      <c r="B26" s="7" t="str">
        <f aca="false">IF(INDEX(MASTER_DATABASE!$A$4:$A$1000,ROW()-3)="","",INDEX(MASTER_DATABASE!$E$4:$E$1000,ROW()-3)&amp;"")</f>
        <v>Aadhaar Biometric Lock / Unlock Assistance</v>
      </c>
      <c r="C26" s="7" t="str">
        <f aca="false">IF(INDEX(MASTER_DATABASE!$A$4:$A$1000,ROW()-3)="","",INDEX(MASTER_DATABASE!$F$4:$F$1000,ROW()-3)&amp;"")</f>
        <v>आधार बायोमेट्रिक लॉक / अनलॉक सहायता</v>
      </c>
      <c r="D26" s="7" t="str">
        <f aca="false">IF(INDEX(MASTER_DATABASE!$A$4:$A$1000,ROW()-3)="","",INDEX(MASTER_DATABASE!$AL$4:$AL$1000,ROW()-3)&amp;"")</f>
        <v>Aadhaar Centre</v>
      </c>
      <c r="E26" s="7" t="str">
        <f aca="false">IF(INDEX(MASTER_DATABASE!$A$4:$A$1000,ROW()-3)="","",INDEX(MASTER_DATABASE!$G$4:$G$1000,ROW()-3)&amp;"")</f>
        <v>Get Aadhaar Biometric Lock / Unlock Assistance done at our Aadhaar Centre.</v>
      </c>
      <c r="F26" s="11" t="str">
        <f aca="false">IF(INDEX(MASTER_DATABASE!$A$4:$A$1000,ROW()-3)="","",INDEX(MASTER_DATABASE!$AP$4:$AP$1000,ROW()-3)&amp;"")</f>
        <v>👆</v>
      </c>
      <c r="G2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" s="7" t="str">
        <f aca="false">IF(INDEX(MASTER_DATABASE!$A$4:$A$1000,ROW()-3)="","",INDEX(MASTER_DATABASE!$J$4:$J$1000,ROW()-3)&amp;"")</f>
        <v>Depends on Portal – Confirm at Shop</v>
      </c>
      <c r="K26" s="7" t="str">
        <f aca="false">IF(INDEX(MASTER_DATABASE!$A$4:$A$1000,ROW()-3)="","",INDEX(MASTER_DATABASE!$M$4:$M$1000,ROW()-3)&amp;"")</f>
        <v>✓ Aadhaar Card
✓ Aadhaar-Linked Mobile Number</v>
      </c>
      <c r="L26" s="7" t="str">
        <f aca="false">IF(INDEX(MASTER_DATABASE!$A$4:$A$1000,ROW()-3)="","",INDEX(MASTER_DATABASE!$Q$4:$Q$1000,ROW()-3)&amp;"")</f>
        <v>15–30 Minutes</v>
      </c>
      <c r="M26" s="11" t="str">
        <f aca="false">IF(INDEX(MASTER_DATABASE!$A$4:$A$1000,ROW()-3)="","",INDEX(MASTER_DATABASE!$AI$4:$AI$1000,ROW()-3)&amp;"")</f>
        <v>No</v>
      </c>
      <c r="N26" s="11" t="str">
        <f aca="false">IF(INDEX(MASTER_DATABASE!$A$4:$A$1000,ROW()-3)="","",INDEX(MASTER_DATABASE!$AJ$4:$AJ$1000,ROW()-3)&amp;"")</f>
        <v>No</v>
      </c>
      <c r="O26" s="11" t="str">
        <f aca="false">IF(INDEX(MASTER_DATABASE!$A$4:$A$1000,ROW()-3)="","",IF(INDEX(MASTER_DATABASE!$BE$4:$BE$1000,ROW()-3)="LIVE","Yes","No"))</f>
        <v>No</v>
      </c>
      <c r="P26" s="7" t="str">
        <f aca="false">IF(INDEX(MASTER_DATABASE!$A$4:$A$1000,ROW()-3)="","",INDEX(MASTER_DATABASE!$BG$4:$BG$1000,ROW()-3)&amp;"")</f>
        <v>Check Documents</v>
      </c>
      <c r="Q26" s="11" t="n">
        <f aca="false">IF(INDEX(MASTER_DATABASE!$A$4:$A$1000,ROW()-3)="","",INDEX(MASTER_DATABASE!$AQ$4:$AQ$1000,ROW()-3))</f>
        <v>230</v>
      </c>
    </row>
    <row r="27" customFormat="false" ht="35.05" hidden="false" customHeight="false" outlineLevel="0" collapsed="false">
      <c r="A27" s="11" t="str">
        <f aca="false">IF(INDEX(MASTER_DATABASE!$A$4:$A$1000,ROW()-3)="","",INDEX(MASTER_DATABASE!$A$4:$A$1000,ROW()-3)&amp;"")</f>
        <v>AAD-024</v>
      </c>
      <c r="B27" s="7" t="str">
        <f aca="false">IF(INDEX(MASTER_DATABASE!$A$4:$A$1000,ROW()-3)="","",INDEX(MASTER_DATABASE!$E$4:$E$1000,ROW()-3)&amp;"")</f>
        <v>Aadhaar Document Update (Identity &amp; Address Proof)</v>
      </c>
      <c r="C27" s="7" t="str">
        <f aca="false">IF(INDEX(MASTER_DATABASE!$A$4:$A$1000,ROW()-3)="","",INDEX(MASTER_DATABASE!$F$4:$F$1000,ROW()-3)&amp;"")</f>
        <v>आधार दस्तावेज़ अपडेट (पहचान व पता प्रमाण)</v>
      </c>
      <c r="D27" s="7" t="str">
        <f aca="false">IF(INDEX(MASTER_DATABASE!$A$4:$A$1000,ROW()-3)="","",INDEX(MASTER_DATABASE!$AL$4:$AL$1000,ROW()-3)&amp;"")</f>
        <v>Aadhaar Centre</v>
      </c>
      <c r="E27" s="7" t="str">
        <f aca="false">IF(INDEX(MASTER_DATABASE!$A$4:$A$1000,ROW()-3)="","",INDEX(MASTER_DATABASE!$G$4:$G$1000,ROW()-3)&amp;"")</f>
        <v>Get Aadhaar Document Update (Identity &amp; Address Proof) done at our Aadhaar Centre.</v>
      </c>
      <c r="F27" s="11" t="str">
        <f aca="false">IF(INDEX(MASTER_DATABASE!$A$4:$A$1000,ROW()-3)="","",INDEX(MASTER_DATABASE!$AP$4:$AP$1000,ROW()-3)&amp;"")</f>
        <v>📄</v>
      </c>
      <c r="G2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" s="7" t="str">
        <f aca="false">IF(INDEX(MASTER_DATABASE!$A$4:$A$1000,ROW()-3)="","",INDEX(MASTER_DATABASE!$J$4:$J$1000,ROW()-3)&amp;"")</f>
        <v>Available</v>
      </c>
      <c r="K27" s="7" t="str">
        <f aca="false">IF(INDEX(MASTER_DATABASE!$A$4:$A$1000,ROW()-3)="","",INDEX(MASTER_DATABASE!$M$4:$M$1000,ROW()-3)&amp;"")</f>
        <v>✓ Aadhaar Card
✓ Identity Proof
✓ Address Proof</v>
      </c>
      <c r="L27" s="7" t="str">
        <f aca="false">IF(INDEX(MASTER_DATABASE!$A$4:$A$1000,ROW()-3)="","",INDEX(MASTER_DATABASE!$Q$4:$Q$1000,ROW()-3)&amp;"")</f>
        <v>Depends on Department</v>
      </c>
      <c r="M27" s="11" t="str">
        <f aca="false">IF(INDEX(MASTER_DATABASE!$A$4:$A$1000,ROW()-3)="","",INDEX(MASTER_DATABASE!$AI$4:$AI$1000,ROW()-3)&amp;"")</f>
        <v>No</v>
      </c>
      <c r="N27" s="11" t="str">
        <f aca="false">IF(INDEX(MASTER_DATABASE!$A$4:$A$1000,ROW()-3)="","",INDEX(MASTER_DATABASE!$AJ$4:$AJ$1000,ROW()-3)&amp;"")</f>
        <v>No</v>
      </c>
      <c r="O27" s="11" t="str">
        <f aca="false">IF(INDEX(MASTER_DATABASE!$A$4:$A$1000,ROW()-3)="","",IF(INDEX(MASTER_DATABASE!$BE$4:$BE$1000,ROW()-3)="LIVE","Yes","No"))</f>
        <v>Yes</v>
      </c>
      <c r="P27" s="7" t="str">
        <f aca="false">IF(INDEX(MASTER_DATABASE!$A$4:$A$1000,ROW()-3)="","",INDEX(MASTER_DATABASE!$BG$4:$BG$1000,ROW()-3)&amp;"")</f>
        <v>Check Documents</v>
      </c>
      <c r="Q27" s="11" t="n">
        <f aca="false">IF(INDEX(MASTER_DATABASE!$A$4:$A$1000,ROW()-3)="","",INDEX(MASTER_DATABASE!$AQ$4:$AQ$1000,ROW()-3))</f>
        <v>240</v>
      </c>
    </row>
    <row r="28" customFormat="false" ht="23.85" hidden="false" customHeight="false" outlineLevel="0" collapsed="false">
      <c r="A28" s="11" t="str">
        <f aca="false">IF(INDEX(MASTER_DATABASE!$A$4:$A$1000,ROW()-3)="","",INDEX(MASTER_DATABASE!$A$4:$A$1000,ROW()-3)&amp;"")</f>
        <v>AAD-025</v>
      </c>
      <c r="B28" s="7" t="str">
        <f aca="false">IF(INDEX(MASTER_DATABASE!$A$4:$A$1000,ROW()-3)="","",INDEX(MASTER_DATABASE!$E$4:$E$1000,ROW()-3)&amp;"")</f>
        <v>Aadhaar Document Update – Online Assistance</v>
      </c>
      <c r="C28" s="7" t="str">
        <f aca="false">IF(INDEX(MASTER_DATABASE!$A$4:$A$1000,ROW()-3)="","",INDEX(MASTER_DATABASE!$F$4:$F$1000,ROW()-3)&amp;"")</f>
        <v>आधार दस्तावेज़ अपडेट – ऑनलाइन सहायता</v>
      </c>
      <c r="D28" s="7" t="str">
        <f aca="false">IF(INDEX(MASTER_DATABASE!$A$4:$A$1000,ROW()-3)="","",INDEX(MASTER_DATABASE!$AL$4:$AL$1000,ROW()-3)&amp;"")</f>
        <v>Aadhaar Centre</v>
      </c>
      <c r="E28" s="7" t="str">
        <f aca="false">IF(INDEX(MASTER_DATABASE!$A$4:$A$1000,ROW()-3)="","",INDEX(MASTER_DATABASE!$G$4:$G$1000,ROW()-3)&amp;"")</f>
        <v>Get Aadhaar Document Update – Online Assistance done at our Aadhaar Centre.</v>
      </c>
      <c r="F28" s="11" t="str">
        <f aca="false">IF(INDEX(MASTER_DATABASE!$A$4:$A$1000,ROW()-3)="","",INDEX(MASTER_DATABASE!$AP$4:$AP$1000,ROW()-3)&amp;"")</f>
        <v>📄</v>
      </c>
      <c r="G2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" s="7" t="str">
        <f aca="false">IF(INDEX(MASTER_DATABASE!$A$4:$A$1000,ROW()-3)="","",INDEX(MASTER_DATABASE!$J$4:$J$1000,ROW()-3)&amp;"")</f>
        <v>Depends on Portal – Confirm at Shop</v>
      </c>
      <c r="K28" s="7" t="str">
        <f aca="false">IF(INDEX(MASTER_DATABASE!$A$4:$A$1000,ROW()-3)="","",INDEX(MASTER_DATABASE!$M$4:$M$1000,ROW()-3)&amp;"")</f>
        <v>✓ Aadhaar Card
✓ Aadhaar-Linked Mobile Number</v>
      </c>
      <c r="L28" s="7" t="str">
        <f aca="false">IF(INDEX(MASTER_DATABASE!$A$4:$A$1000,ROW()-3)="","",INDEX(MASTER_DATABASE!$Q$4:$Q$1000,ROW()-3)&amp;"")</f>
        <v>15–30 Minutes</v>
      </c>
      <c r="M28" s="11" t="str">
        <f aca="false">IF(INDEX(MASTER_DATABASE!$A$4:$A$1000,ROW()-3)="","",INDEX(MASTER_DATABASE!$AI$4:$AI$1000,ROW()-3)&amp;"")</f>
        <v>No</v>
      </c>
      <c r="N28" s="11" t="str">
        <f aca="false">IF(INDEX(MASTER_DATABASE!$A$4:$A$1000,ROW()-3)="","",INDEX(MASTER_DATABASE!$AJ$4:$AJ$1000,ROW()-3)&amp;"")</f>
        <v>No</v>
      </c>
      <c r="O28" s="11" t="str">
        <f aca="false">IF(INDEX(MASTER_DATABASE!$A$4:$A$1000,ROW()-3)="","",IF(INDEX(MASTER_DATABASE!$BE$4:$BE$1000,ROW()-3)="LIVE","Yes","No"))</f>
        <v>No</v>
      </c>
      <c r="P28" s="7" t="str">
        <f aca="false">IF(INDEX(MASTER_DATABASE!$A$4:$A$1000,ROW()-3)="","",INDEX(MASTER_DATABASE!$BG$4:$BG$1000,ROW()-3)&amp;"")</f>
        <v>Check Documents</v>
      </c>
      <c r="Q28" s="11" t="n">
        <f aca="false">IF(INDEX(MASTER_DATABASE!$A$4:$A$1000,ROW()-3)="","",INDEX(MASTER_DATABASE!$AQ$4:$AQ$1000,ROW()-3))</f>
        <v>250</v>
      </c>
    </row>
    <row r="29" customFormat="false" ht="23.85" hidden="false" customHeight="false" outlineLevel="0" collapsed="false">
      <c r="A29" s="11" t="str">
        <f aca="false">IF(INDEX(MASTER_DATABASE!$A$4:$A$1000,ROW()-3)="","",INDEX(MASTER_DATABASE!$A$4:$A$1000,ROW()-3)&amp;"")</f>
        <v>AAD-026</v>
      </c>
      <c r="B29" s="7" t="str">
        <f aca="false">IF(INDEX(MASTER_DATABASE!$A$4:$A$1000,ROW()-3)="","",INDEX(MASTER_DATABASE!$E$4:$E$1000,ROW()-3)&amp;"")</f>
        <v>Aadhaar Download Assistance (e-Aadhaar)</v>
      </c>
      <c r="C29" s="7" t="str">
        <f aca="false">IF(INDEX(MASTER_DATABASE!$A$4:$A$1000,ROW()-3)="","",INDEX(MASTER_DATABASE!$F$4:$F$1000,ROW()-3)&amp;"")</f>
        <v>आधार डाउनलोड सहायता (e-Aadhaar)</v>
      </c>
      <c r="D29" s="7" t="str">
        <f aca="false">IF(INDEX(MASTER_DATABASE!$A$4:$A$1000,ROW()-3)="","",INDEX(MASTER_DATABASE!$AL$4:$AL$1000,ROW()-3)&amp;"")</f>
        <v>Aadhaar Centre</v>
      </c>
      <c r="E29" s="7" t="str">
        <f aca="false">IF(INDEX(MASTER_DATABASE!$A$4:$A$1000,ROW()-3)="","",INDEX(MASTER_DATABASE!$G$4:$G$1000,ROW()-3)&amp;"")</f>
        <v>Get Aadhaar Download Assistance (e-Aadhaar) done at our Aadhaar Centre.</v>
      </c>
      <c r="F29" s="11" t="str">
        <f aca="false">IF(INDEX(MASTER_DATABASE!$A$4:$A$1000,ROW()-3)="","",INDEX(MASTER_DATABASE!$AP$4:$AP$1000,ROW()-3)&amp;"")</f>
        <v>🖨️</v>
      </c>
      <c r="G2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9" s="7" t="str">
        <f aca="false">IF(INDEX(MASTER_DATABASE!$A$4:$A$1000,ROW()-3)="","",INDEX(MASTER_DATABASE!$J$4:$J$1000,ROW()-3)&amp;"")</f>
        <v>Depends on Portal – Confirm at Shop</v>
      </c>
      <c r="K29" s="7" t="str">
        <f aca="false">IF(INDEX(MASTER_DATABASE!$A$4:$A$1000,ROW()-3)="","",INDEX(MASTER_DATABASE!$M$4:$M$1000,ROW()-3)&amp;"")</f>
        <v>✓ Aadhaar Card
✓ Aadhaar-Linked Mobile Number</v>
      </c>
      <c r="L29" s="7" t="str">
        <f aca="false">IF(INDEX(MASTER_DATABASE!$A$4:$A$1000,ROW()-3)="","",INDEX(MASTER_DATABASE!$Q$4:$Q$1000,ROW()-3)&amp;"")</f>
        <v>15–30 Minutes</v>
      </c>
      <c r="M29" s="11" t="str">
        <f aca="false">IF(INDEX(MASTER_DATABASE!$A$4:$A$1000,ROW()-3)="","",INDEX(MASTER_DATABASE!$AI$4:$AI$1000,ROW()-3)&amp;"")</f>
        <v>No</v>
      </c>
      <c r="N29" s="11" t="str">
        <f aca="false">IF(INDEX(MASTER_DATABASE!$A$4:$A$1000,ROW()-3)="","",INDEX(MASTER_DATABASE!$AJ$4:$AJ$1000,ROW()-3)&amp;"")</f>
        <v>No</v>
      </c>
      <c r="O29" s="11" t="str">
        <f aca="false">IF(INDEX(MASTER_DATABASE!$A$4:$A$1000,ROW()-3)="","",IF(INDEX(MASTER_DATABASE!$BE$4:$BE$1000,ROW()-3)="LIVE","Yes","No"))</f>
        <v>No</v>
      </c>
      <c r="P29" s="7" t="str">
        <f aca="false">IF(INDEX(MASTER_DATABASE!$A$4:$A$1000,ROW()-3)="","",INDEX(MASTER_DATABASE!$BG$4:$BG$1000,ROW()-3)&amp;"")</f>
        <v>Check Documents</v>
      </c>
      <c r="Q29" s="11" t="n">
        <f aca="false">IF(INDEX(MASTER_DATABASE!$A$4:$A$1000,ROW()-3)="","",INDEX(MASTER_DATABASE!$AQ$4:$AQ$1000,ROW()-3))</f>
        <v>260</v>
      </c>
    </row>
    <row r="30" customFormat="false" ht="23.85" hidden="false" customHeight="false" outlineLevel="0" collapsed="false">
      <c r="A30" s="11" t="str">
        <f aca="false">IF(INDEX(MASTER_DATABASE!$A$4:$A$1000,ROW()-3)="","",INDEX(MASTER_DATABASE!$A$4:$A$1000,ROW()-3)&amp;"")</f>
        <v>AAD-027</v>
      </c>
      <c r="B30" s="7" t="str">
        <f aca="false">IF(INDEX(MASTER_DATABASE!$A$4:$A$1000,ROW()-3)="","",INDEX(MASTER_DATABASE!$E$4:$E$1000,ROW()-3)&amp;"")</f>
        <v>Masked Aadhaar Download</v>
      </c>
      <c r="C30" s="7" t="str">
        <f aca="false">IF(INDEX(MASTER_DATABASE!$A$4:$A$1000,ROW()-3)="","",INDEX(MASTER_DATABASE!$F$4:$F$1000,ROW()-3)&amp;"")</f>
        <v>मास्क्ड आधार डाउनलोड</v>
      </c>
      <c r="D30" s="7" t="str">
        <f aca="false">IF(INDEX(MASTER_DATABASE!$A$4:$A$1000,ROW()-3)="","",INDEX(MASTER_DATABASE!$AL$4:$AL$1000,ROW()-3)&amp;"")</f>
        <v>Aadhaar Centre</v>
      </c>
      <c r="E30" s="7" t="str">
        <f aca="false">IF(INDEX(MASTER_DATABASE!$A$4:$A$1000,ROW()-3)="","",INDEX(MASTER_DATABASE!$G$4:$G$1000,ROW()-3)&amp;"")</f>
        <v>Get Masked Aadhaar Download done at our Aadhaar Centre.</v>
      </c>
      <c r="F30" s="11" t="str">
        <f aca="false">IF(INDEX(MASTER_DATABASE!$A$4:$A$1000,ROW()-3)="","",INDEX(MASTER_DATABASE!$AP$4:$AP$1000,ROW()-3)&amp;"")</f>
        <v>🖨️</v>
      </c>
      <c r="G3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0" s="7" t="str">
        <f aca="false">IF(INDEX(MASTER_DATABASE!$A$4:$A$1000,ROW()-3)="","",INDEX(MASTER_DATABASE!$J$4:$J$1000,ROW()-3)&amp;"")</f>
        <v>Depends on Portal – Confirm at Shop</v>
      </c>
      <c r="K30" s="7" t="str">
        <f aca="false">IF(INDEX(MASTER_DATABASE!$A$4:$A$1000,ROW()-3)="","",INDEX(MASTER_DATABASE!$M$4:$M$1000,ROW()-3)&amp;"")</f>
        <v>✓ Aadhaar Card
✓ Aadhaar-Linked Mobile Number</v>
      </c>
      <c r="L30" s="7" t="str">
        <f aca="false">IF(INDEX(MASTER_DATABASE!$A$4:$A$1000,ROW()-3)="","",INDEX(MASTER_DATABASE!$Q$4:$Q$1000,ROW()-3)&amp;"")</f>
        <v>15–30 Minutes</v>
      </c>
      <c r="M30" s="11" t="str">
        <f aca="false">IF(INDEX(MASTER_DATABASE!$A$4:$A$1000,ROW()-3)="","",INDEX(MASTER_DATABASE!$AI$4:$AI$1000,ROW()-3)&amp;"")</f>
        <v>No</v>
      </c>
      <c r="N30" s="11" t="str">
        <f aca="false">IF(INDEX(MASTER_DATABASE!$A$4:$A$1000,ROW()-3)="","",INDEX(MASTER_DATABASE!$AJ$4:$AJ$1000,ROW()-3)&amp;"")</f>
        <v>No</v>
      </c>
      <c r="O30" s="11" t="str">
        <f aca="false">IF(INDEX(MASTER_DATABASE!$A$4:$A$1000,ROW()-3)="","",IF(INDEX(MASTER_DATABASE!$BE$4:$BE$1000,ROW()-3)="LIVE","Yes","No"))</f>
        <v>No</v>
      </c>
      <c r="P30" s="7" t="str">
        <f aca="false">IF(INDEX(MASTER_DATABASE!$A$4:$A$1000,ROW()-3)="","",INDEX(MASTER_DATABASE!$BG$4:$BG$1000,ROW()-3)&amp;"")</f>
        <v>Check Documents</v>
      </c>
      <c r="Q30" s="11" t="n">
        <f aca="false">IF(INDEX(MASTER_DATABASE!$A$4:$A$1000,ROW()-3)="","",INDEX(MASTER_DATABASE!$AQ$4:$AQ$1000,ROW()-3))</f>
        <v>270</v>
      </c>
    </row>
    <row r="31" customFormat="false" ht="23.85" hidden="false" customHeight="false" outlineLevel="0" collapsed="false">
      <c r="A31" s="11" t="str">
        <f aca="false">IF(INDEX(MASTER_DATABASE!$A$4:$A$1000,ROW()-3)="","",INDEX(MASTER_DATABASE!$A$4:$A$1000,ROW()-3)&amp;"")</f>
        <v>AAD-028</v>
      </c>
      <c r="B31" s="7" t="str">
        <f aca="false">IF(INDEX(MASTER_DATABASE!$A$4:$A$1000,ROW()-3)="","",INDEX(MASTER_DATABASE!$E$4:$E$1000,ROW()-3)&amp;"")</f>
        <v>Aadhaar Print (Paper – Colour / B&amp;W Printout)</v>
      </c>
      <c r="C31" s="7" t="str">
        <f aca="false">IF(INDEX(MASTER_DATABASE!$A$4:$A$1000,ROW()-3)="","",INDEX(MASTER_DATABASE!$F$4:$F$1000,ROW()-3)&amp;"")</f>
        <v>आधार प्रिंट (पेपर – रंगीन / सादा)</v>
      </c>
      <c r="D31" s="7" t="str">
        <f aca="false">IF(INDEX(MASTER_DATABASE!$A$4:$A$1000,ROW()-3)="","",INDEX(MASTER_DATABASE!$AL$4:$AL$1000,ROW()-3)&amp;"")</f>
        <v>Aadhaar Centre</v>
      </c>
      <c r="E31" s="7" t="str">
        <f aca="false">IF(INDEX(MASTER_DATABASE!$A$4:$A$1000,ROW()-3)="","",INDEX(MASTER_DATABASE!$G$4:$G$1000,ROW()-3)&amp;"")</f>
        <v>Get Aadhaar Print (Paper – Colour / B&amp;W Printout) done at our Aadhaar Centre.</v>
      </c>
      <c r="F31" s="11" t="str">
        <f aca="false">IF(INDEX(MASTER_DATABASE!$A$4:$A$1000,ROW()-3)="","",INDEX(MASTER_DATABASE!$AP$4:$AP$1000,ROW()-3)&amp;"")</f>
        <v>🖨️</v>
      </c>
      <c r="G3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1" s="7" t="str">
        <f aca="false">IF(INDEX(MASTER_DATABASE!$A$4:$A$1000,ROW()-3)="","",INDEX(MASTER_DATABASE!$J$4:$J$1000,ROW()-3)&amp;"")</f>
        <v>Available</v>
      </c>
      <c r="K31" s="7" t="str">
        <f aca="false">IF(INDEX(MASTER_DATABASE!$A$4:$A$1000,ROW()-3)="","",INDEX(MASTER_DATABASE!$M$4:$M$1000,ROW()-3)&amp;"")</f>
        <v>✓ Aadhaar Card</v>
      </c>
      <c r="L31" s="7" t="str">
        <f aca="false">IF(INDEX(MASTER_DATABASE!$A$4:$A$1000,ROW()-3)="","",INDEX(MASTER_DATABASE!$Q$4:$Q$1000,ROW()-3)&amp;"")</f>
        <v>5–10 Minutes</v>
      </c>
      <c r="M31" s="11" t="str">
        <f aca="false">IF(INDEX(MASTER_DATABASE!$A$4:$A$1000,ROW()-3)="","",INDEX(MASTER_DATABASE!$AI$4:$AI$1000,ROW()-3)&amp;"")</f>
        <v>No</v>
      </c>
      <c r="N31" s="11" t="str">
        <f aca="false">IF(INDEX(MASTER_DATABASE!$A$4:$A$1000,ROW()-3)="","",INDEX(MASTER_DATABASE!$AJ$4:$AJ$1000,ROW()-3)&amp;"")</f>
        <v>No</v>
      </c>
      <c r="O31" s="11" t="str">
        <f aca="false">IF(INDEX(MASTER_DATABASE!$A$4:$A$1000,ROW()-3)="","",IF(INDEX(MASTER_DATABASE!$BE$4:$BE$1000,ROW()-3)="LIVE","Yes","No"))</f>
        <v>Yes</v>
      </c>
      <c r="P31" s="7" t="str">
        <f aca="false">IF(INDEX(MASTER_DATABASE!$A$4:$A$1000,ROW()-3)="","",INDEX(MASTER_DATABASE!$BG$4:$BG$1000,ROW()-3)&amp;"")</f>
        <v>Visit Shop</v>
      </c>
      <c r="Q31" s="11" t="n">
        <f aca="false">IF(INDEX(MASTER_DATABASE!$A$4:$A$1000,ROW()-3)="","",INDEX(MASTER_DATABASE!$AQ$4:$AQ$1000,ROW()-3))</f>
        <v>280</v>
      </c>
    </row>
    <row r="32" customFormat="false" ht="23.85" hidden="false" customHeight="false" outlineLevel="0" collapsed="false">
      <c r="A32" s="11" t="str">
        <f aca="false">IF(INDEX(MASTER_DATABASE!$A$4:$A$1000,ROW()-3)="","",INDEX(MASTER_DATABASE!$A$4:$A$1000,ROW()-3)&amp;"")</f>
        <v>AAD-029</v>
      </c>
      <c r="B32" s="7" t="str">
        <f aca="false">IF(INDEX(MASTER_DATABASE!$A$4:$A$1000,ROW()-3)="","",INDEX(MASTER_DATABASE!$E$4:$E$1000,ROW()-3)&amp;"")</f>
        <v>Aadhaar PVC Card Order Assistance</v>
      </c>
      <c r="C32" s="7" t="str">
        <f aca="false">IF(INDEX(MASTER_DATABASE!$A$4:$A$1000,ROW()-3)="","",INDEX(MASTER_DATABASE!$F$4:$F$1000,ROW()-3)&amp;"")</f>
        <v>आधार PVC कार्ड ऑर्डर सहायता</v>
      </c>
      <c r="D32" s="7" t="str">
        <f aca="false">IF(INDEX(MASTER_DATABASE!$A$4:$A$1000,ROW()-3)="","",INDEX(MASTER_DATABASE!$AL$4:$AL$1000,ROW()-3)&amp;"")</f>
        <v>Aadhaar Centre</v>
      </c>
      <c r="E32" s="7" t="str">
        <f aca="false">IF(INDEX(MASTER_DATABASE!$A$4:$A$1000,ROW()-3)="","",INDEX(MASTER_DATABASE!$G$4:$G$1000,ROW()-3)&amp;"")</f>
        <v>Get Aadhaar PVC Card Order Assistance done at our Aadhaar Centre.</v>
      </c>
      <c r="F32" s="11" t="str">
        <f aca="false">IF(INDEX(MASTER_DATABASE!$A$4:$A$1000,ROW()-3)="","",INDEX(MASTER_DATABASE!$AP$4:$AP$1000,ROW()-3)&amp;"")</f>
        <v>🖨️</v>
      </c>
      <c r="G3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2" s="7" t="str">
        <f aca="false">IF(INDEX(MASTER_DATABASE!$A$4:$A$1000,ROW()-3)="","",INDEX(MASTER_DATABASE!$J$4:$J$1000,ROW()-3)&amp;"")</f>
        <v>Depends on Portal – Confirm at Shop</v>
      </c>
      <c r="K32" s="7" t="str">
        <f aca="false">IF(INDEX(MASTER_DATABASE!$A$4:$A$1000,ROW()-3)="","",INDEX(MASTER_DATABASE!$M$4:$M$1000,ROW()-3)&amp;"")</f>
        <v>✓ Aadhaar Card
✓ Aadhaar-Linked Mobile Number</v>
      </c>
      <c r="L32" s="7" t="str">
        <f aca="false">IF(INDEX(MASTER_DATABASE!$A$4:$A$1000,ROW()-3)="","",INDEX(MASTER_DATABASE!$Q$4:$Q$1000,ROW()-3)&amp;"")</f>
        <v>15–30 Minutes</v>
      </c>
      <c r="M32" s="11" t="str">
        <f aca="false">IF(INDEX(MASTER_DATABASE!$A$4:$A$1000,ROW()-3)="","",INDEX(MASTER_DATABASE!$AI$4:$AI$1000,ROW()-3)&amp;"")</f>
        <v>No</v>
      </c>
      <c r="N32" s="11" t="str">
        <f aca="false">IF(INDEX(MASTER_DATABASE!$A$4:$A$1000,ROW()-3)="","",INDEX(MASTER_DATABASE!$AJ$4:$AJ$1000,ROW()-3)&amp;"")</f>
        <v>No</v>
      </c>
      <c r="O32" s="11" t="str">
        <f aca="false">IF(INDEX(MASTER_DATABASE!$A$4:$A$1000,ROW()-3)="","",IF(INDEX(MASTER_DATABASE!$BE$4:$BE$1000,ROW()-3)="LIVE","Yes","No"))</f>
        <v>No</v>
      </c>
      <c r="P32" s="7" t="str">
        <f aca="false">IF(INDEX(MASTER_DATABASE!$A$4:$A$1000,ROW()-3)="","",INDEX(MASTER_DATABASE!$BG$4:$BG$1000,ROW()-3)&amp;"")</f>
        <v>Check Documents</v>
      </c>
      <c r="Q32" s="11" t="n">
        <f aca="false">IF(INDEX(MASTER_DATABASE!$A$4:$A$1000,ROW()-3)="","",INDEX(MASTER_DATABASE!$AQ$4:$AQ$1000,ROW()-3))</f>
        <v>290</v>
      </c>
    </row>
    <row r="33" customFormat="false" ht="23.85" hidden="false" customHeight="false" outlineLevel="0" collapsed="false">
      <c r="A33" s="11" t="str">
        <f aca="false">IF(INDEX(MASTER_DATABASE!$A$4:$A$1000,ROW()-3)="","",INDEX(MASTER_DATABASE!$A$4:$A$1000,ROW()-3)&amp;"")</f>
        <v>AAD-030</v>
      </c>
      <c r="B33" s="7" t="str">
        <f aca="false">IF(INDEX(MASTER_DATABASE!$A$4:$A$1000,ROW()-3)="","",INDEX(MASTER_DATABASE!$E$4:$E$1000,ROW()-3)&amp;"")</f>
        <v>Aadhaar Enrolment Status Check (EID)</v>
      </c>
      <c r="C33" s="7" t="str">
        <f aca="false">IF(INDEX(MASTER_DATABASE!$A$4:$A$1000,ROW()-3)="","",INDEX(MASTER_DATABASE!$F$4:$F$1000,ROW()-3)&amp;"")</f>
        <v>आधार नामांकन स्थिति जाँच (EID)</v>
      </c>
      <c r="D33" s="7" t="str">
        <f aca="false">IF(INDEX(MASTER_DATABASE!$A$4:$A$1000,ROW()-3)="","",INDEX(MASTER_DATABASE!$AL$4:$AL$1000,ROW()-3)&amp;"")</f>
        <v>Aadhaar Centre</v>
      </c>
      <c r="E33" s="7" t="str">
        <f aca="false">IF(INDEX(MASTER_DATABASE!$A$4:$A$1000,ROW()-3)="","",INDEX(MASTER_DATABASE!$G$4:$G$1000,ROW()-3)&amp;"")</f>
        <v>Get Aadhaar Enrolment Status Check (EID) done at our Aadhaar Centre.</v>
      </c>
      <c r="F33" s="11" t="str">
        <f aca="false">IF(INDEX(MASTER_DATABASE!$A$4:$A$1000,ROW()-3)="","",INDEX(MASTER_DATABASE!$AP$4:$AP$1000,ROW()-3)&amp;"")</f>
        <v>🖨️</v>
      </c>
      <c r="G3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3" s="7" t="str">
        <f aca="false">IF(INDEX(MASTER_DATABASE!$A$4:$A$1000,ROW()-3)="","",INDEX(MASTER_DATABASE!$J$4:$J$1000,ROW()-3)&amp;"")</f>
        <v>Depends on Portal – Confirm at Shop</v>
      </c>
      <c r="K33" s="7" t="str">
        <f aca="false">IF(INDEX(MASTER_DATABASE!$A$4:$A$1000,ROW()-3)="","",INDEX(MASTER_DATABASE!$M$4:$M$1000,ROW()-3)&amp;"")</f>
        <v>✓ Enrolment / Acknowledgement Number</v>
      </c>
      <c r="L33" s="7" t="str">
        <f aca="false">IF(INDEX(MASTER_DATABASE!$A$4:$A$1000,ROW()-3)="","",INDEX(MASTER_DATABASE!$Q$4:$Q$1000,ROW()-3)&amp;"")</f>
        <v>5–10 Minutes</v>
      </c>
      <c r="M33" s="11" t="str">
        <f aca="false">IF(INDEX(MASTER_DATABASE!$A$4:$A$1000,ROW()-3)="","",INDEX(MASTER_DATABASE!$AI$4:$AI$1000,ROW()-3)&amp;"")</f>
        <v>No</v>
      </c>
      <c r="N33" s="11" t="str">
        <f aca="false">IF(INDEX(MASTER_DATABASE!$A$4:$A$1000,ROW()-3)="","",INDEX(MASTER_DATABASE!$AJ$4:$AJ$1000,ROW()-3)&amp;"")</f>
        <v>No</v>
      </c>
      <c r="O33" s="11" t="str">
        <f aca="false">IF(INDEX(MASTER_DATABASE!$A$4:$A$1000,ROW()-3)="","",IF(INDEX(MASTER_DATABASE!$BE$4:$BE$1000,ROW()-3)="LIVE","Yes","No"))</f>
        <v>No</v>
      </c>
      <c r="P33" s="7" t="str">
        <f aca="false">IF(INDEX(MASTER_DATABASE!$A$4:$A$1000,ROW()-3)="","",INDEX(MASTER_DATABASE!$BG$4:$BG$1000,ROW()-3)&amp;"")</f>
        <v>Check Documents</v>
      </c>
      <c r="Q33" s="11" t="n">
        <f aca="false">IF(INDEX(MASTER_DATABASE!$A$4:$A$1000,ROW()-3)="","",INDEX(MASTER_DATABASE!$AQ$4:$AQ$1000,ROW()-3))</f>
        <v>300</v>
      </c>
    </row>
    <row r="34" customFormat="false" ht="35.05" hidden="false" customHeight="false" outlineLevel="0" collapsed="false">
      <c r="A34" s="11" t="str">
        <f aca="false">IF(INDEX(MASTER_DATABASE!$A$4:$A$1000,ROW()-3)="","",INDEX(MASTER_DATABASE!$A$4:$A$1000,ROW()-3)&amp;"")</f>
        <v>AAD-031</v>
      </c>
      <c r="B34" s="7" t="str">
        <f aca="false">IF(INDEX(MASTER_DATABASE!$A$4:$A$1000,ROW()-3)="","",INDEX(MASTER_DATABASE!$E$4:$E$1000,ROW()-3)&amp;"")</f>
        <v>Aadhaar Update Request Status Check (URN)</v>
      </c>
      <c r="C34" s="7" t="str">
        <f aca="false">IF(INDEX(MASTER_DATABASE!$A$4:$A$1000,ROW()-3)="","",INDEX(MASTER_DATABASE!$F$4:$F$1000,ROW()-3)&amp;"")</f>
        <v>आधार अपडेट रिक्वेस्ट स्थिति जाँच (URN)</v>
      </c>
      <c r="D34" s="7" t="str">
        <f aca="false">IF(INDEX(MASTER_DATABASE!$A$4:$A$1000,ROW()-3)="","",INDEX(MASTER_DATABASE!$AL$4:$AL$1000,ROW()-3)&amp;"")</f>
        <v>Aadhaar Centre</v>
      </c>
      <c r="E34" s="7" t="str">
        <f aca="false">IF(INDEX(MASTER_DATABASE!$A$4:$A$1000,ROW()-3)="","",INDEX(MASTER_DATABASE!$G$4:$G$1000,ROW()-3)&amp;"")</f>
        <v>Get Aadhaar Update Request Status Check (URN) done at our Aadhaar Centre.</v>
      </c>
      <c r="F34" s="11" t="str">
        <f aca="false">IF(INDEX(MASTER_DATABASE!$A$4:$A$1000,ROW()-3)="","",INDEX(MASTER_DATABASE!$AP$4:$AP$1000,ROW()-3)&amp;"")</f>
        <v>🖨️</v>
      </c>
      <c r="G3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4" s="7" t="str">
        <f aca="false">IF(INDEX(MASTER_DATABASE!$A$4:$A$1000,ROW()-3)="","",INDEX(MASTER_DATABASE!$J$4:$J$1000,ROW()-3)&amp;"")</f>
        <v>Depends on Portal – Confirm at Shop</v>
      </c>
      <c r="K34" s="7" t="str">
        <f aca="false">IF(INDEX(MASTER_DATABASE!$A$4:$A$1000,ROW()-3)="","",INDEX(MASTER_DATABASE!$M$4:$M$1000,ROW()-3)&amp;"")</f>
        <v>✓ Enrolment / Acknowledgement Number</v>
      </c>
      <c r="L34" s="7" t="str">
        <f aca="false">IF(INDEX(MASTER_DATABASE!$A$4:$A$1000,ROW()-3)="","",INDEX(MASTER_DATABASE!$Q$4:$Q$1000,ROW()-3)&amp;"")</f>
        <v>5–10 Minutes</v>
      </c>
      <c r="M34" s="11" t="str">
        <f aca="false">IF(INDEX(MASTER_DATABASE!$A$4:$A$1000,ROW()-3)="","",INDEX(MASTER_DATABASE!$AI$4:$AI$1000,ROW()-3)&amp;"")</f>
        <v>No</v>
      </c>
      <c r="N34" s="11" t="str">
        <f aca="false">IF(INDEX(MASTER_DATABASE!$A$4:$A$1000,ROW()-3)="","",INDEX(MASTER_DATABASE!$AJ$4:$AJ$1000,ROW()-3)&amp;"")</f>
        <v>No</v>
      </c>
      <c r="O34" s="11" t="str">
        <f aca="false">IF(INDEX(MASTER_DATABASE!$A$4:$A$1000,ROW()-3)="","",IF(INDEX(MASTER_DATABASE!$BE$4:$BE$1000,ROW()-3)="LIVE","Yes","No"))</f>
        <v>No</v>
      </c>
      <c r="P34" s="7" t="str">
        <f aca="false">IF(INDEX(MASTER_DATABASE!$A$4:$A$1000,ROW()-3)="","",INDEX(MASTER_DATABASE!$BG$4:$BG$1000,ROW()-3)&amp;"")</f>
        <v>Check Documents</v>
      </c>
      <c r="Q34" s="11" t="n">
        <f aca="false">IF(INDEX(MASTER_DATABASE!$A$4:$A$1000,ROW()-3)="","",INDEX(MASTER_DATABASE!$AQ$4:$AQ$1000,ROW()-3))</f>
        <v>310</v>
      </c>
    </row>
    <row r="35" customFormat="false" ht="23.85" hidden="false" customHeight="false" outlineLevel="0" collapsed="false">
      <c r="A35" s="11" t="str">
        <f aca="false">IF(INDEX(MASTER_DATABASE!$A$4:$A$1000,ROW()-3)="","",INDEX(MASTER_DATABASE!$A$4:$A$1000,ROW()-3)&amp;"")</f>
        <v>AAD-032</v>
      </c>
      <c r="B35" s="7" t="str">
        <f aca="false">IF(INDEX(MASTER_DATABASE!$A$4:$A$1000,ROW()-3)="","",INDEX(MASTER_DATABASE!$E$4:$E$1000,ROW()-3)&amp;"")</f>
        <v>Aadhaar Lost UID / EID Retrieval Assistance</v>
      </c>
      <c r="C35" s="7" t="str">
        <f aca="false">IF(INDEX(MASTER_DATABASE!$A$4:$A$1000,ROW()-3)="","",INDEX(MASTER_DATABASE!$F$4:$F$1000,ROW()-3)&amp;"")</f>
        <v>खोया आधार नंबर / EID पुनः प्राप्ति सहायता</v>
      </c>
      <c r="D35" s="7" t="str">
        <f aca="false">IF(INDEX(MASTER_DATABASE!$A$4:$A$1000,ROW()-3)="","",INDEX(MASTER_DATABASE!$AL$4:$AL$1000,ROW()-3)&amp;"")</f>
        <v>Aadhaar Centre</v>
      </c>
      <c r="E35" s="7" t="str">
        <f aca="false">IF(INDEX(MASTER_DATABASE!$A$4:$A$1000,ROW()-3)="","",INDEX(MASTER_DATABASE!$G$4:$G$1000,ROW()-3)&amp;"")</f>
        <v>Get Aadhaar Lost UID / EID Retrieval Assistance done at our Aadhaar Centre.</v>
      </c>
      <c r="F35" s="11" t="str">
        <f aca="false">IF(INDEX(MASTER_DATABASE!$A$4:$A$1000,ROW()-3)="","",INDEX(MASTER_DATABASE!$AP$4:$AP$1000,ROW()-3)&amp;"")</f>
        <v>🖨️</v>
      </c>
      <c r="G3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5" s="7" t="str">
        <f aca="false">IF(INDEX(MASTER_DATABASE!$A$4:$A$1000,ROW()-3)="","",INDEX(MASTER_DATABASE!$J$4:$J$1000,ROW()-3)&amp;"")</f>
        <v>Depends on Portal – Confirm at Shop</v>
      </c>
      <c r="K35" s="7" t="str">
        <f aca="false">IF(INDEX(MASTER_DATABASE!$A$4:$A$1000,ROW()-3)="","",INDEX(MASTER_DATABASE!$M$4:$M$1000,ROW()-3)&amp;"")</f>
        <v>✓ Aadhaar Card
✓ Aadhaar-Linked Mobile Number</v>
      </c>
      <c r="L35" s="7" t="str">
        <f aca="false">IF(INDEX(MASTER_DATABASE!$A$4:$A$1000,ROW()-3)="","",INDEX(MASTER_DATABASE!$Q$4:$Q$1000,ROW()-3)&amp;"")</f>
        <v>15–30 Minutes</v>
      </c>
      <c r="M35" s="11" t="str">
        <f aca="false">IF(INDEX(MASTER_DATABASE!$A$4:$A$1000,ROW()-3)="","",INDEX(MASTER_DATABASE!$AI$4:$AI$1000,ROW()-3)&amp;"")</f>
        <v>No</v>
      </c>
      <c r="N35" s="11" t="str">
        <f aca="false">IF(INDEX(MASTER_DATABASE!$A$4:$A$1000,ROW()-3)="","",INDEX(MASTER_DATABASE!$AJ$4:$AJ$1000,ROW()-3)&amp;"")</f>
        <v>No</v>
      </c>
      <c r="O35" s="11" t="str">
        <f aca="false">IF(INDEX(MASTER_DATABASE!$A$4:$A$1000,ROW()-3)="","",IF(INDEX(MASTER_DATABASE!$BE$4:$BE$1000,ROW()-3)="LIVE","Yes","No"))</f>
        <v>No</v>
      </c>
      <c r="P35" s="7" t="str">
        <f aca="false">IF(INDEX(MASTER_DATABASE!$A$4:$A$1000,ROW()-3)="","",INDEX(MASTER_DATABASE!$BG$4:$BG$1000,ROW()-3)&amp;"")</f>
        <v>Check Documents</v>
      </c>
      <c r="Q35" s="11" t="n">
        <f aca="false">IF(INDEX(MASTER_DATABASE!$A$4:$A$1000,ROW()-3)="","",INDEX(MASTER_DATABASE!$AQ$4:$AQ$1000,ROW()-3))</f>
        <v>320</v>
      </c>
    </row>
    <row r="36" customFormat="false" ht="23.85" hidden="false" customHeight="false" outlineLevel="0" collapsed="false">
      <c r="A36" s="11" t="str">
        <f aca="false">IF(INDEX(MASTER_DATABASE!$A$4:$A$1000,ROW()-3)="","",INDEX(MASTER_DATABASE!$A$4:$A$1000,ROW()-3)&amp;"")</f>
        <v>AAD-033</v>
      </c>
      <c r="B36" s="7" t="str">
        <f aca="false">IF(INDEX(MASTER_DATABASE!$A$4:$A$1000,ROW()-3)="","",INDEX(MASTER_DATABASE!$E$4:$E$1000,ROW()-3)&amp;"")</f>
        <v>Aadhaar Virtual ID (VID) Generation Assistance</v>
      </c>
      <c r="C36" s="7" t="str">
        <f aca="false">IF(INDEX(MASTER_DATABASE!$A$4:$A$1000,ROW()-3)="","",INDEX(MASTER_DATABASE!$F$4:$F$1000,ROW()-3)&amp;"")</f>
        <v>आधार वर्चुअल ID (VID) निर्माण सहायता</v>
      </c>
      <c r="D36" s="7" t="str">
        <f aca="false">IF(INDEX(MASTER_DATABASE!$A$4:$A$1000,ROW()-3)="","",INDEX(MASTER_DATABASE!$AL$4:$AL$1000,ROW()-3)&amp;"")</f>
        <v>Aadhaar Centre</v>
      </c>
      <c r="E36" s="7" t="str">
        <f aca="false">IF(INDEX(MASTER_DATABASE!$A$4:$A$1000,ROW()-3)="","",INDEX(MASTER_DATABASE!$G$4:$G$1000,ROW()-3)&amp;"")</f>
        <v>Get Aadhaar Virtual ID (VID) Generation Assistance done at our Aadhaar Centre.</v>
      </c>
      <c r="F36" s="11" t="str">
        <f aca="false">IF(INDEX(MASTER_DATABASE!$A$4:$A$1000,ROW()-3)="","",INDEX(MASTER_DATABASE!$AP$4:$AP$1000,ROW()-3)&amp;"")</f>
        <v>🖨️</v>
      </c>
      <c r="G3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6" s="7" t="str">
        <f aca="false">IF(INDEX(MASTER_DATABASE!$A$4:$A$1000,ROW()-3)="","",INDEX(MASTER_DATABASE!$J$4:$J$1000,ROW()-3)&amp;"")</f>
        <v>Depends on Portal – Confirm at Shop</v>
      </c>
      <c r="K36" s="7" t="str">
        <f aca="false">IF(INDEX(MASTER_DATABASE!$A$4:$A$1000,ROW()-3)="","",INDEX(MASTER_DATABASE!$M$4:$M$1000,ROW()-3)&amp;"")</f>
        <v>✓ Aadhaar Card
✓ Aadhaar-Linked Mobile Number</v>
      </c>
      <c r="L36" s="7" t="str">
        <f aca="false">IF(INDEX(MASTER_DATABASE!$A$4:$A$1000,ROW()-3)="","",INDEX(MASTER_DATABASE!$Q$4:$Q$1000,ROW()-3)&amp;"")</f>
        <v>15–30 Minutes</v>
      </c>
      <c r="M36" s="11" t="str">
        <f aca="false">IF(INDEX(MASTER_DATABASE!$A$4:$A$1000,ROW()-3)="","",INDEX(MASTER_DATABASE!$AI$4:$AI$1000,ROW()-3)&amp;"")</f>
        <v>No</v>
      </c>
      <c r="N36" s="11" t="str">
        <f aca="false">IF(INDEX(MASTER_DATABASE!$A$4:$A$1000,ROW()-3)="","",INDEX(MASTER_DATABASE!$AJ$4:$AJ$1000,ROW()-3)&amp;"")</f>
        <v>No</v>
      </c>
      <c r="O36" s="11" t="str">
        <f aca="false">IF(INDEX(MASTER_DATABASE!$A$4:$A$1000,ROW()-3)="","",IF(INDEX(MASTER_DATABASE!$BE$4:$BE$1000,ROW()-3)="LIVE","Yes","No"))</f>
        <v>No</v>
      </c>
      <c r="P36" s="7" t="str">
        <f aca="false">IF(INDEX(MASTER_DATABASE!$A$4:$A$1000,ROW()-3)="","",INDEX(MASTER_DATABASE!$BG$4:$BG$1000,ROW()-3)&amp;"")</f>
        <v>Check Documents</v>
      </c>
      <c r="Q36" s="11" t="n">
        <f aca="false">IF(INDEX(MASTER_DATABASE!$A$4:$A$1000,ROW()-3)="","",INDEX(MASTER_DATABASE!$AQ$4:$AQ$1000,ROW()-3))</f>
        <v>330</v>
      </c>
    </row>
    <row r="37" customFormat="false" ht="23.85" hidden="false" customHeight="false" outlineLevel="0" collapsed="false">
      <c r="A37" s="11" t="str">
        <f aca="false">IF(INDEX(MASTER_DATABASE!$A$4:$A$1000,ROW()-3)="","",INDEX(MASTER_DATABASE!$A$4:$A$1000,ROW()-3)&amp;"")</f>
        <v>AAD-034</v>
      </c>
      <c r="B37" s="7" t="str">
        <f aca="false">IF(INDEX(MASTER_DATABASE!$A$4:$A$1000,ROW()-3)="","",INDEX(MASTER_DATABASE!$E$4:$E$1000,ROW()-3)&amp;"")</f>
        <v>Aadhaar Lock / Unlock Assistance</v>
      </c>
      <c r="C37" s="7" t="str">
        <f aca="false">IF(INDEX(MASTER_DATABASE!$A$4:$A$1000,ROW()-3)="","",INDEX(MASTER_DATABASE!$F$4:$F$1000,ROW()-3)&amp;"")</f>
        <v>आधार लॉक / अनलॉक सहायता</v>
      </c>
      <c r="D37" s="7" t="str">
        <f aca="false">IF(INDEX(MASTER_DATABASE!$A$4:$A$1000,ROW()-3)="","",INDEX(MASTER_DATABASE!$AL$4:$AL$1000,ROW()-3)&amp;"")</f>
        <v>Aadhaar Centre</v>
      </c>
      <c r="E37" s="7" t="str">
        <f aca="false">IF(INDEX(MASTER_DATABASE!$A$4:$A$1000,ROW()-3)="","",INDEX(MASTER_DATABASE!$G$4:$G$1000,ROW()-3)&amp;"")</f>
        <v>Get Aadhaar Lock / Unlock Assistance done at our Aadhaar Centre.</v>
      </c>
      <c r="F37" s="11" t="str">
        <f aca="false">IF(INDEX(MASTER_DATABASE!$A$4:$A$1000,ROW()-3)="","",INDEX(MASTER_DATABASE!$AP$4:$AP$1000,ROW()-3)&amp;"")</f>
        <v>🖨️</v>
      </c>
      <c r="G3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7" s="7" t="str">
        <f aca="false">IF(INDEX(MASTER_DATABASE!$A$4:$A$1000,ROW()-3)="","",INDEX(MASTER_DATABASE!$J$4:$J$1000,ROW()-3)&amp;"")</f>
        <v>Depends on Portal – Confirm at Shop</v>
      </c>
      <c r="K37" s="7" t="str">
        <f aca="false">IF(INDEX(MASTER_DATABASE!$A$4:$A$1000,ROW()-3)="","",INDEX(MASTER_DATABASE!$M$4:$M$1000,ROW()-3)&amp;"")</f>
        <v>✓ Aadhaar Card
✓ Aadhaar-Linked Mobile Number</v>
      </c>
      <c r="L37" s="7" t="str">
        <f aca="false">IF(INDEX(MASTER_DATABASE!$A$4:$A$1000,ROW()-3)="","",INDEX(MASTER_DATABASE!$Q$4:$Q$1000,ROW()-3)&amp;"")</f>
        <v>15–30 Minutes</v>
      </c>
      <c r="M37" s="11" t="str">
        <f aca="false">IF(INDEX(MASTER_DATABASE!$A$4:$A$1000,ROW()-3)="","",INDEX(MASTER_DATABASE!$AI$4:$AI$1000,ROW()-3)&amp;"")</f>
        <v>No</v>
      </c>
      <c r="N37" s="11" t="str">
        <f aca="false">IF(INDEX(MASTER_DATABASE!$A$4:$A$1000,ROW()-3)="","",INDEX(MASTER_DATABASE!$AJ$4:$AJ$1000,ROW()-3)&amp;"")</f>
        <v>No</v>
      </c>
      <c r="O37" s="11" t="str">
        <f aca="false">IF(INDEX(MASTER_DATABASE!$A$4:$A$1000,ROW()-3)="","",IF(INDEX(MASTER_DATABASE!$BE$4:$BE$1000,ROW()-3)="LIVE","Yes","No"))</f>
        <v>No</v>
      </c>
      <c r="P37" s="7" t="str">
        <f aca="false">IF(INDEX(MASTER_DATABASE!$A$4:$A$1000,ROW()-3)="","",INDEX(MASTER_DATABASE!$BG$4:$BG$1000,ROW()-3)&amp;"")</f>
        <v>Check Documents</v>
      </c>
      <c r="Q37" s="11" t="n">
        <f aca="false">IF(INDEX(MASTER_DATABASE!$A$4:$A$1000,ROW()-3)="","",INDEX(MASTER_DATABASE!$AQ$4:$AQ$1000,ROW()-3))</f>
        <v>340</v>
      </c>
    </row>
    <row r="38" customFormat="false" ht="23.85" hidden="false" customHeight="false" outlineLevel="0" collapsed="false">
      <c r="A38" s="11" t="str">
        <f aca="false">IF(INDEX(MASTER_DATABASE!$A$4:$A$1000,ROW()-3)="","",INDEX(MASTER_DATABASE!$A$4:$A$1000,ROW()-3)&amp;"")</f>
        <v>AAD-035</v>
      </c>
      <c r="B38" s="7" t="str">
        <f aca="false">IF(INDEX(MASTER_DATABASE!$A$4:$A$1000,ROW()-3)="","",INDEX(MASTER_DATABASE!$E$4:$E$1000,ROW()-3)&amp;"")</f>
        <v>Aadhaar Authentication History Check</v>
      </c>
      <c r="C38" s="7" t="str">
        <f aca="false">IF(INDEX(MASTER_DATABASE!$A$4:$A$1000,ROW()-3)="","",INDEX(MASTER_DATABASE!$F$4:$F$1000,ROW()-3)&amp;"")</f>
        <v>आधार ऑथेंटिकेशन हिस्ट्री जाँच</v>
      </c>
      <c r="D38" s="7" t="str">
        <f aca="false">IF(INDEX(MASTER_DATABASE!$A$4:$A$1000,ROW()-3)="","",INDEX(MASTER_DATABASE!$AL$4:$AL$1000,ROW()-3)&amp;"")</f>
        <v>Aadhaar Centre</v>
      </c>
      <c r="E38" s="7" t="str">
        <f aca="false">IF(INDEX(MASTER_DATABASE!$A$4:$A$1000,ROW()-3)="","",INDEX(MASTER_DATABASE!$G$4:$G$1000,ROW()-3)&amp;"")</f>
        <v>Get Aadhaar Authentication History Check done at our Aadhaar Centre.</v>
      </c>
      <c r="F38" s="11" t="str">
        <f aca="false">IF(INDEX(MASTER_DATABASE!$A$4:$A$1000,ROW()-3)="","",INDEX(MASTER_DATABASE!$AP$4:$AP$1000,ROW()-3)&amp;"")</f>
        <v>🖨️</v>
      </c>
      <c r="G3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8" s="7" t="str">
        <f aca="false">IF(INDEX(MASTER_DATABASE!$A$4:$A$1000,ROW()-3)="","",INDEX(MASTER_DATABASE!$J$4:$J$1000,ROW()-3)&amp;"")</f>
        <v>Depends on Portal – Confirm at Shop</v>
      </c>
      <c r="K38" s="7" t="str">
        <f aca="false">IF(INDEX(MASTER_DATABASE!$A$4:$A$1000,ROW()-3)="","",INDEX(MASTER_DATABASE!$M$4:$M$1000,ROW()-3)&amp;"")</f>
        <v>✓ Aadhaar Card
✓ Aadhaar-Linked Mobile Number</v>
      </c>
      <c r="L38" s="7" t="str">
        <f aca="false">IF(INDEX(MASTER_DATABASE!$A$4:$A$1000,ROW()-3)="","",INDEX(MASTER_DATABASE!$Q$4:$Q$1000,ROW()-3)&amp;"")</f>
        <v>15–30 Minutes</v>
      </c>
      <c r="M38" s="11" t="str">
        <f aca="false">IF(INDEX(MASTER_DATABASE!$A$4:$A$1000,ROW()-3)="","",INDEX(MASTER_DATABASE!$AI$4:$AI$1000,ROW()-3)&amp;"")</f>
        <v>No</v>
      </c>
      <c r="N38" s="11" t="str">
        <f aca="false">IF(INDEX(MASTER_DATABASE!$A$4:$A$1000,ROW()-3)="","",INDEX(MASTER_DATABASE!$AJ$4:$AJ$1000,ROW()-3)&amp;"")</f>
        <v>No</v>
      </c>
      <c r="O38" s="11" t="str">
        <f aca="false">IF(INDEX(MASTER_DATABASE!$A$4:$A$1000,ROW()-3)="","",IF(INDEX(MASTER_DATABASE!$BE$4:$BE$1000,ROW()-3)="LIVE","Yes","No"))</f>
        <v>No</v>
      </c>
      <c r="P38" s="7" t="str">
        <f aca="false">IF(INDEX(MASTER_DATABASE!$A$4:$A$1000,ROW()-3)="","",INDEX(MASTER_DATABASE!$BG$4:$BG$1000,ROW()-3)&amp;"")</f>
        <v>Check Documents</v>
      </c>
      <c r="Q38" s="11" t="n">
        <f aca="false">IF(INDEX(MASTER_DATABASE!$A$4:$A$1000,ROW()-3)="","",INDEX(MASTER_DATABASE!$AQ$4:$AQ$1000,ROW()-3))</f>
        <v>350</v>
      </c>
    </row>
    <row r="39" customFormat="false" ht="23.85" hidden="false" customHeight="false" outlineLevel="0" collapsed="false">
      <c r="A39" s="11" t="str">
        <f aca="false">IF(INDEX(MASTER_DATABASE!$A$4:$A$1000,ROW()-3)="","",INDEX(MASTER_DATABASE!$A$4:$A$1000,ROW()-3)&amp;"")</f>
        <v>AAD-036</v>
      </c>
      <c r="B39" s="7" t="str">
        <f aca="false">IF(INDEX(MASTER_DATABASE!$A$4:$A$1000,ROW()-3)="","",INDEX(MASTER_DATABASE!$E$4:$E$1000,ROW()-3)&amp;"")</f>
        <v>Aadhaar Mobile / Email Link Check</v>
      </c>
      <c r="C39" s="7" t="str">
        <f aca="false">IF(INDEX(MASTER_DATABASE!$A$4:$A$1000,ROW()-3)="","",INDEX(MASTER_DATABASE!$F$4:$F$1000,ROW()-3)&amp;"")</f>
        <v>आधार मोबाइल / ईमेल लिंक जाँच</v>
      </c>
      <c r="D39" s="7" t="str">
        <f aca="false">IF(INDEX(MASTER_DATABASE!$A$4:$A$1000,ROW()-3)="","",INDEX(MASTER_DATABASE!$AL$4:$AL$1000,ROW()-3)&amp;"")</f>
        <v>Aadhaar Centre</v>
      </c>
      <c r="E39" s="7" t="str">
        <f aca="false">IF(INDEX(MASTER_DATABASE!$A$4:$A$1000,ROW()-3)="","",INDEX(MASTER_DATABASE!$G$4:$G$1000,ROW()-3)&amp;"")</f>
        <v>Get Aadhaar Mobile / Email Link Check done at our Aadhaar Centre.</v>
      </c>
      <c r="F39" s="11" t="str">
        <f aca="false">IF(INDEX(MASTER_DATABASE!$A$4:$A$1000,ROW()-3)="","",INDEX(MASTER_DATABASE!$AP$4:$AP$1000,ROW()-3)&amp;"")</f>
        <v>🖨️</v>
      </c>
      <c r="G3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3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3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39" s="7" t="str">
        <f aca="false">IF(INDEX(MASTER_DATABASE!$A$4:$A$1000,ROW()-3)="","",INDEX(MASTER_DATABASE!$J$4:$J$1000,ROW()-3)&amp;"")</f>
        <v>Depends on Portal – Confirm at Shop</v>
      </c>
      <c r="K39" s="7" t="str">
        <f aca="false">IF(INDEX(MASTER_DATABASE!$A$4:$A$1000,ROW()-3)="","",INDEX(MASTER_DATABASE!$M$4:$M$1000,ROW()-3)&amp;"")</f>
        <v>✓ Aadhaar Card
✓ Aadhaar-Linked Mobile Number</v>
      </c>
      <c r="L39" s="7" t="str">
        <f aca="false">IF(INDEX(MASTER_DATABASE!$A$4:$A$1000,ROW()-3)="","",INDEX(MASTER_DATABASE!$Q$4:$Q$1000,ROW()-3)&amp;"")</f>
        <v>15–30 Minutes</v>
      </c>
      <c r="M39" s="11" t="str">
        <f aca="false">IF(INDEX(MASTER_DATABASE!$A$4:$A$1000,ROW()-3)="","",INDEX(MASTER_DATABASE!$AI$4:$AI$1000,ROW()-3)&amp;"")</f>
        <v>No</v>
      </c>
      <c r="N39" s="11" t="str">
        <f aca="false">IF(INDEX(MASTER_DATABASE!$A$4:$A$1000,ROW()-3)="","",INDEX(MASTER_DATABASE!$AJ$4:$AJ$1000,ROW()-3)&amp;"")</f>
        <v>No</v>
      </c>
      <c r="O39" s="11" t="str">
        <f aca="false">IF(INDEX(MASTER_DATABASE!$A$4:$A$1000,ROW()-3)="","",IF(INDEX(MASTER_DATABASE!$BE$4:$BE$1000,ROW()-3)="LIVE","Yes","No"))</f>
        <v>No</v>
      </c>
      <c r="P39" s="7" t="str">
        <f aca="false">IF(INDEX(MASTER_DATABASE!$A$4:$A$1000,ROW()-3)="","",INDEX(MASTER_DATABASE!$BG$4:$BG$1000,ROW()-3)&amp;"")</f>
        <v>Check Documents</v>
      </c>
      <c r="Q39" s="11" t="n">
        <f aca="false">IF(INDEX(MASTER_DATABASE!$A$4:$A$1000,ROW()-3)="","",INDEX(MASTER_DATABASE!$AQ$4:$AQ$1000,ROW()-3))</f>
        <v>360</v>
      </c>
    </row>
    <row r="40" customFormat="false" ht="23.85" hidden="false" customHeight="false" outlineLevel="0" collapsed="false">
      <c r="A40" s="11" t="str">
        <f aca="false">IF(INDEX(MASTER_DATABASE!$A$4:$A$1000,ROW()-3)="","",INDEX(MASTER_DATABASE!$A$4:$A$1000,ROW()-3)&amp;"")</f>
        <v>AAD-037</v>
      </c>
      <c r="B40" s="7" t="str">
        <f aca="false">IF(INDEX(MASTER_DATABASE!$A$4:$A$1000,ROW()-3)="","",INDEX(MASTER_DATABASE!$E$4:$E$1000,ROW()-3)&amp;"")</f>
        <v>Aadhaar Number Verification</v>
      </c>
      <c r="C40" s="7" t="str">
        <f aca="false">IF(INDEX(MASTER_DATABASE!$A$4:$A$1000,ROW()-3)="","",INDEX(MASTER_DATABASE!$F$4:$F$1000,ROW()-3)&amp;"")</f>
        <v>आधार नंबर सत्यापन</v>
      </c>
      <c r="D40" s="7" t="str">
        <f aca="false">IF(INDEX(MASTER_DATABASE!$A$4:$A$1000,ROW()-3)="","",INDEX(MASTER_DATABASE!$AL$4:$AL$1000,ROW()-3)&amp;"")</f>
        <v>Aadhaar Centre</v>
      </c>
      <c r="E40" s="7" t="str">
        <f aca="false">IF(INDEX(MASTER_DATABASE!$A$4:$A$1000,ROW()-3)="","",INDEX(MASTER_DATABASE!$G$4:$G$1000,ROW()-3)&amp;"")</f>
        <v>Get Aadhaar Number Verification done at our Aadhaar Centre.</v>
      </c>
      <c r="F40" s="11" t="str">
        <f aca="false">IF(INDEX(MASTER_DATABASE!$A$4:$A$1000,ROW()-3)="","",INDEX(MASTER_DATABASE!$AP$4:$AP$1000,ROW()-3)&amp;"")</f>
        <v>🖨️</v>
      </c>
      <c r="G4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0" s="7" t="str">
        <f aca="false">IF(INDEX(MASTER_DATABASE!$A$4:$A$1000,ROW()-3)="","",INDEX(MASTER_DATABASE!$J$4:$J$1000,ROW()-3)&amp;"")</f>
        <v>Depends on Portal – Confirm at Shop</v>
      </c>
      <c r="K40" s="7" t="str">
        <f aca="false">IF(INDEX(MASTER_DATABASE!$A$4:$A$1000,ROW()-3)="","",INDEX(MASTER_DATABASE!$M$4:$M$1000,ROW()-3)&amp;"")</f>
        <v>✓ Aadhaar Card
✓ Aadhaar-Linked Mobile Number</v>
      </c>
      <c r="L40" s="7" t="str">
        <f aca="false">IF(INDEX(MASTER_DATABASE!$A$4:$A$1000,ROW()-3)="","",INDEX(MASTER_DATABASE!$Q$4:$Q$1000,ROW()-3)&amp;"")</f>
        <v>15–30 Minutes</v>
      </c>
      <c r="M40" s="11" t="str">
        <f aca="false">IF(INDEX(MASTER_DATABASE!$A$4:$A$1000,ROW()-3)="","",INDEX(MASTER_DATABASE!$AI$4:$AI$1000,ROW()-3)&amp;"")</f>
        <v>No</v>
      </c>
      <c r="N40" s="11" t="str">
        <f aca="false">IF(INDEX(MASTER_DATABASE!$A$4:$A$1000,ROW()-3)="","",INDEX(MASTER_DATABASE!$AJ$4:$AJ$1000,ROW()-3)&amp;"")</f>
        <v>No</v>
      </c>
      <c r="O40" s="11" t="str">
        <f aca="false">IF(INDEX(MASTER_DATABASE!$A$4:$A$1000,ROW()-3)="","",IF(INDEX(MASTER_DATABASE!$BE$4:$BE$1000,ROW()-3)="LIVE","Yes","No"))</f>
        <v>No</v>
      </c>
      <c r="P40" s="7" t="str">
        <f aca="false">IF(INDEX(MASTER_DATABASE!$A$4:$A$1000,ROW()-3)="","",INDEX(MASTER_DATABASE!$BG$4:$BG$1000,ROW()-3)&amp;"")</f>
        <v>Check Documents</v>
      </c>
      <c r="Q40" s="11" t="n">
        <f aca="false">IF(INDEX(MASTER_DATABASE!$A$4:$A$1000,ROW()-3)="","",INDEX(MASTER_DATABASE!$AQ$4:$AQ$1000,ROW()-3))</f>
        <v>370</v>
      </c>
    </row>
    <row r="41" customFormat="false" ht="35.05" hidden="false" customHeight="false" outlineLevel="0" collapsed="false">
      <c r="A41" s="11" t="str">
        <f aca="false">IF(INDEX(MASTER_DATABASE!$A$4:$A$1000,ROW()-3)="","",INDEX(MASTER_DATABASE!$A$4:$A$1000,ROW()-3)&amp;"")</f>
        <v>AAD-038</v>
      </c>
      <c r="B41" s="7" t="str">
        <f aca="false">IF(INDEX(MASTER_DATABASE!$A$4:$A$1000,ROW()-3)="","",INDEX(MASTER_DATABASE!$E$4:$E$1000,ROW()-3)&amp;"")</f>
        <v>Aadhaar Offline eKYC (XML / QR) Download Assistance</v>
      </c>
      <c r="C41" s="7" t="str">
        <f aca="false">IF(INDEX(MASTER_DATABASE!$A$4:$A$1000,ROW()-3)="","",INDEX(MASTER_DATABASE!$F$4:$F$1000,ROW()-3)&amp;"")</f>
        <v>आधार Offline eKYC (XML / QR) डाउनलोड सहायता</v>
      </c>
      <c r="D41" s="7" t="str">
        <f aca="false">IF(INDEX(MASTER_DATABASE!$A$4:$A$1000,ROW()-3)="","",INDEX(MASTER_DATABASE!$AL$4:$AL$1000,ROW()-3)&amp;"")</f>
        <v>Aadhaar Centre</v>
      </c>
      <c r="E41" s="7" t="str">
        <f aca="false">IF(INDEX(MASTER_DATABASE!$A$4:$A$1000,ROW()-3)="","",INDEX(MASTER_DATABASE!$G$4:$G$1000,ROW()-3)&amp;"")</f>
        <v>Get Aadhaar Offline eKYC (XML / QR) Download Assistance done at our Aadhaar Centre.</v>
      </c>
      <c r="F41" s="11" t="str">
        <f aca="false">IF(INDEX(MASTER_DATABASE!$A$4:$A$1000,ROW()-3)="","",INDEX(MASTER_DATABASE!$AP$4:$AP$1000,ROW()-3)&amp;"")</f>
        <v>🖨️</v>
      </c>
      <c r="G4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1" s="7" t="str">
        <f aca="false">IF(INDEX(MASTER_DATABASE!$A$4:$A$1000,ROW()-3)="","",INDEX(MASTER_DATABASE!$J$4:$J$1000,ROW()-3)&amp;"")</f>
        <v>Depends on Portal – Confirm at Shop</v>
      </c>
      <c r="K41" s="7" t="str">
        <f aca="false">IF(INDEX(MASTER_DATABASE!$A$4:$A$1000,ROW()-3)="","",INDEX(MASTER_DATABASE!$M$4:$M$1000,ROW()-3)&amp;"")</f>
        <v>✓ Aadhaar Card
✓ Aadhaar-Linked Mobile Number</v>
      </c>
      <c r="L41" s="7" t="str">
        <f aca="false">IF(INDEX(MASTER_DATABASE!$A$4:$A$1000,ROW()-3)="","",INDEX(MASTER_DATABASE!$Q$4:$Q$1000,ROW()-3)&amp;"")</f>
        <v>15–30 Minutes</v>
      </c>
      <c r="M41" s="11" t="str">
        <f aca="false">IF(INDEX(MASTER_DATABASE!$A$4:$A$1000,ROW()-3)="","",INDEX(MASTER_DATABASE!$AI$4:$AI$1000,ROW()-3)&amp;"")</f>
        <v>No</v>
      </c>
      <c r="N41" s="11" t="str">
        <f aca="false">IF(INDEX(MASTER_DATABASE!$A$4:$A$1000,ROW()-3)="","",INDEX(MASTER_DATABASE!$AJ$4:$AJ$1000,ROW()-3)&amp;"")</f>
        <v>No</v>
      </c>
      <c r="O41" s="11" t="str">
        <f aca="false">IF(INDEX(MASTER_DATABASE!$A$4:$A$1000,ROW()-3)="","",IF(INDEX(MASTER_DATABASE!$BE$4:$BE$1000,ROW()-3)="LIVE","Yes","No"))</f>
        <v>No</v>
      </c>
      <c r="P41" s="7" t="str">
        <f aca="false">IF(INDEX(MASTER_DATABASE!$A$4:$A$1000,ROW()-3)="","",INDEX(MASTER_DATABASE!$BG$4:$BG$1000,ROW()-3)&amp;"")</f>
        <v>Check Documents</v>
      </c>
      <c r="Q41" s="11" t="n">
        <f aca="false">IF(INDEX(MASTER_DATABASE!$A$4:$A$1000,ROW()-3)="","",INDEX(MASTER_DATABASE!$AQ$4:$AQ$1000,ROW()-3))</f>
        <v>380</v>
      </c>
    </row>
    <row r="42" customFormat="false" ht="35.05" hidden="false" customHeight="false" outlineLevel="0" collapsed="false">
      <c r="A42" s="11" t="str">
        <f aca="false">IF(INDEX(MASTER_DATABASE!$A$4:$A$1000,ROW()-3)="","",INDEX(MASTER_DATABASE!$A$4:$A$1000,ROW()-3)&amp;"")</f>
        <v>AAD-039</v>
      </c>
      <c r="B42" s="7" t="str">
        <f aca="false">IF(INDEX(MASTER_DATABASE!$A$4:$A$1000,ROW()-3)="","",INDEX(MASTER_DATABASE!$E$4:$E$1000,ROW()-3)&amp;"")</f>
        <v>Aadhaar–Bank Seeding Status Check (NPCI)</v>
      </c>
      <c r="C42" s="7" t="str">
        <f aca="false">IF(INDEX(MASTER_DATABASE!$A$4:$A$1000,ROW()-3)="","",INDEX(MASTER_DATABASE!$F$4:$F$1000,ROW()-3)&amp;"")</f>
        <v>आधार–बैंक सीडिंग स्थिति जाँच (NPCI)</v>
      </c>
      <c r="D42" s="7" t="str">
        <f aca="false">IF(INDEX(MASTER_DATABASE!$A$4:$A$1000,ROW()-3)="","",INDEX(MASTER_DATABASE!$AL$4:$AL$1000,ROW()-3)&amp;"")</f>
        <v>Aadhaar Centre</v>
      </c>
      <c r="E42" s="7" t="str">
        <f aca="false">IF(INDEX(MASTER_DATABASE!$A$4:$A$1000,ROW()-3)="","",INDEX(MASTER_DATABASE!$G$4:$G$1000,ROW()-3)&amp;"")</f>
        <v>Get Aadhaar–Bank Seeding Status Check (NPCI) done at our Aadhaar Centre.</v>
      </c>
      <c r="F42" s="11" t="str">
        <f aca="false">IF(INDEX(MASTER_DATABASE!$A$4:$A$1000,ROW()-3)="","",INDEX(MASTER_DATABASE!$AP$4:$AP$1000,ROW()-3)&amp;"")</f>
        <v>🖨️</v>
      </c>
      <c r="G4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2" s="7" t="str">
        <f aca="false">IF(INDEX(MASTER_DATABASE!$A$4:$A$1000,ROW()-3)="","",INDEX(MASTER_DATABASE!$J$4:$J$1000,ROW()-3)&amp;"")</f>
        <v>Depends on Portal – Confirm at Shop</v>
      </c>
      <c r="K42" s="7" t="str">
        <f aca="false">IF(INDEX(MASTER_DATABASE!$A$4:$A$1000,ROW()-3)="","",INDEX(MASTER_DATABASE!$M$4:$M$1000,ROW()-3)&amp;"")</f>
        <v>✓ Enrolment / Acknowledgement Number</v>
      </c>
      <c r="L42" s="7" t="str">
        <f aca="false">IF(INDEX(MASTER_DATABASE!$A$4:$A$1000,ROW()-3)="","",INDEX(MASTER_DATABASE!$Q$4:$Q$1000,ROW()-3)&amp;"")</f>
        <v>5–10 Minutes</v>
      </c>
      <c r="M42" s="11" t="str">
        <f aca="false">IF(INDEX(MASTER_DATABASE!$A$4:$A$1000,ROW()-3)="","",INDEX(MASTER_DATABASE!$AI$4:$AI$1000,ROW()-3)&amp;"")</f>
        <v>No</v>
      </c>
      <c r="N42" s="11" t="str">
        <f aca="false">IF(INDEX(MASTER_DATABASE!$A$4:$A$1000,ROW()-3)="","",INDEX(MASTER_DATABASE!$AJ$4:$AJ$1000,ROW()-3)&amp;"")</f>
        <v>No</v>
      </c>
      <c r="O42" s="11" t="str">
        <f aca="false">IF(INDEX(MASTER_DATABASE!$A$4:$A$1000,ROW()-3)="","",IF(INDEX(MASTER_DATABASE!$BE$4:$BE$1000,ROW()-3)="LIVE","Yes","No"))</f>
        <v>No</v>
      </c>
      <c r="P42" s="7" t="str">
        <f aca="false">IF(INDEX(MASTER_DATABASE!$A$4:$A$1000,ROW()-3)="","",INDEX(MASTER_DATABASE!$BG$4:$BG$1000,ROW()-3)&amp;"")</f>
        <v>Check Documents</v>
      </c>
      <c r="Q42" s="11" t="n">
        <f aca="false">IF(INDEX(MASTER_DATABASE!$A$4:$A$1000,ROW()-3)="","",INDEX(MASTER_DATABASE!$AQ$4:$AQ$1000,ROW()-3))</f>
        <v>390</v>
      </c>
    </row>
    <row r="43" customFormat="false" ht="35.05" hidden="false" customHeight="false" outlineLevel="0" collapsed="false">
      <c r="A43" s="11" t="str">
        <f aca="false">IF(INDEX(MASTER_DATABASE!$A$4:$A$1000,ROW()-3)="","",INDEX(MASTER_DATABASE!$A$4:$A$1000,ROW()-3)&amp;"")</f>
        <v>AAD-040</v>
      </c>
      <c r="B43" s="7" t="str">
        <f aca="false">IF(INDEX(MASTER_DATABASE!$A$4:$A$1000,ROW()-3)="","",INDEX(MASTER_DATABASE!$E$4:$E$1000,ROW()-3)&amp;"")</f>
        <v>Aadhaar Update Appointment Booking Assistance</v>
      </c>
      <c r="C43" s="7" t="str">
        <f aca="false">IF(INDEX(MASTER_DATABASE!$A$4:$A$1000,ROW()-3)="","",INDEX(MASTER_DATABASE!$F$4:$F$1000,ROW()-3)&amp;"")</f>
        <v>आधार अपडेट अपॉइंटमेंट बुकिंग सहायता</v>
      </c>
      <c r="D43" s="7" t="str">
        <f aca="false">IF(INDEX(MASTER_DATABASE!$A$4:$A$1000,ROW()-3)="","",INDEX(MASTER_DATABASE!$AL$4:$AL$1000,ROW()-3)&amp;"")</f>
        <v>Aadhaar Centre</v>
      </c>
      <c r="E43" s="7" t="str">
        <f aca="false">IF(INDEX(MASTER_DATABASE!$A$4:$A$1000,ROW()-3)="","",INDEX(MASTER_DATABASE!$G$4:$G$1000,ROW()-3)&amp;"")</f>
        <v>Get Aadhaar Update Appointment Booking Assistance done at our Aadhaar Centre.</v>
      </c>
      <c r="F43" s="11" t="str">
        <f aca="false">IF(INDEX(MASTER_DATABASE!$A$4:$A$1000,ROW()-3)="","",INDEX(MASTER_DATABASE!$AP$4:$AP$1000,ROW()-3)&amp;"")</f>
        <v>🖨️</v>
      </c>
      <c r="G4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3" s="7" t="str">
        <f aca="false">IF(INDEX(MASTER_DATABASE!$A$4:$A$1000,ROW()-3)="","",INDEX(MASTER_DATABASE!$J$4:$J$1000,ROW()-3)&amp;"")</f>
        <v>Depends on Portal – Confirm at Shop</v>
      </c>
      <c r="K43" s="7" t="str">
        <f aca="false">IF(INDEX(MASTER_DATABASE!$A$4:$A$1000,ROW()-3)="","",INDEX(MASTER_DATABASE!$M$4:$M$1000,ROW()-3)&amp;"")</f>
        <v>✓ Aadhaar Card
✓ Aadhaar-Linked Mobile Number</v>
      </c>
      <c r="L43" s="7" t="str">
        <f aca="false">IF(INDEX(MASTER_DATABASE!$A$4:$A$1000,ROW()-3)="","",INDEX(MASTER_DATABASE!$Q$4:$Q$1000,ROW()-3)&amp;"")</f>
        <v>15–30 Minutes</v>
      </c>
      <c r="M43" s="11" t="str">
        <f aca="false">IF(INDEX(MASTER_DATABASE!$A$4:$A$1000,ROW()-3)="","",INDEX(MASTER_DATABASE!$AI$4:$AI$1000,ROW()-3)&amp;"")</f>
        <v>No</v>
      </c>
      <c r="N43" s="11" t="str">
        <f aca="false">IF(INDEX(MASTER_DATABASE!$A$4:$A$1000,ROW()-3)="","",INDEX(MASTER_DATABASE!$AJ$4:$AJ$1000,ROW()-3)&amp;"")</f>
        <v>No</v>
      </c>
      <c r="O43" s="11" t="str">
        <f aca="false">IF(INDEX(MASTER_DATABASE!$A$4:$A$1000,ROW()-3)="","",IF(INDEX(MASTER_DATABASE!$BE$4:$BE$1000,ROW()-3)="LIVE","Yes","No"))</f>
        <v>No</v>
      </c>
      <c r="P43" s="7" t="str">
        <f aca="false">IF(INDEX(MASTER_DATABASE!$A$4:$A$1000,ROW()-3)="","",INDEX(MASTER_DATABASE!$BG$4:$BG$1000,ROW()-3)&amp;"")</f>
        <v>Check Documents</v>
      </c>
      <c r="Q43" s="11" t="n">
        <f aca="false">IF(INDEX(MASTER_DATABASE!$A$4:$A$1000,ROW()-3)="","",INDEX(MASTER_DATABASE!$AQ$4:$AQ$1000,ROW()-3))</f>
        <v>400</v>
      </c>
    </row>
    <row r="44" customFormat="false" ht="23.85" hidden="false" customHeight="false" outlineLevel="0" collapsed="false">
      <c r="A44" s="11" t="str">
        <f aca="false">IF(INDEX(MASTER_DATABASE!$A$4:$A$1000,ROW()-3)="","",INDEX(MASTER_DATABASE!$A$4:$A$1000,ROW()-3)&amp;"")</f>
        <v>AAD-041</v>
      </c>
      <c r="B44" s="7" t="str">
        <f aca="false">IF(INDEX(MASTER_DATABASE!$A$4:$A$1000,ROW()-3)="","",INDEX(MASTER_DATABASE!$E$4:$E$1000,ROW()-3)&amp;"")</f>
        <v>mAadhaar App Setup Assistance</v>
      </c>
      <c r="C44" s="7" t="str">
        <f aca="false">IF(INDEX(MASTER_DATABASE!$A$4:$A$1000,ROW()-3)="","",INDEX(MASTER_DATABASE!$F$4:$F$1000,ROW()-3)&amp;"")</f>
        <v>mAadhaar ऐप सेटअप सहायता</v>
      </c>
      <c r="D44" s="7" t="str">
        <f aca="false">IF(INDEX(MASTER_DATABASE!$A$4:$A$1000,ROW()-3)="","",INDEX(MASTER_DATABASE!$AL$4:$AL$1000,ROW()-3)&amp;"")</f>
        <v>Aadhaar Centre</v>
      </c>
      <c r="E44" s="7" t="str">
        <f aca="false">IF(INDEX(MASTER_DATABASE!$A$4:$A$1000,ROW()-3)="","",INDEX(MASTER_DATABASE!$G$4:$G$1000,ROW()-3)&amp;"")</f>
        <v>Get mAadhaar App Setup Assistance done at our Aadhaar Centre.</v>
      </c>
      <c r="F44" s="11" t="str">
        <f aca="false">IF(INDEX(MASTER_DATABASE!$A$4:$A$1000,ROW()-3)="","",INDEX(MASTER_DATABASE!$AP$4:$AP$1000,ROW()-3)&amp;"")</f>
        <v>🖨️</v>
      </c>
      <c r="G4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4" s="7" t="str">
        <f aca="false">IF(INDEX(MASTER_DATABASE!$A$4:$A$1000,ROW()-3)="","",INDEX(MASTER_DATABASE!$J$4:$J$1000,ROW()-3)&amp;"")</f>
        <v>Depends on Portal – Confirm at Shop</v>
      </c>
      <c r="K44" s="7" t="str">
        <f aca="false">IF(INDEX(MASTER_DATABASE!$A$4:$A$1000,ROW()-3)="","",INDEX(MASTER_DATABASE!$M$4:$M$1000,ROW()-3)&amp;"")</f>
        <v>✓ Aadhaar Card
✓ Aadhaar-Linked Mobile Number</v>
      </c>
      <c r="L44" s="7" t="str">
        <f aca="false">IF(INDEX(MASTER_DATABASE!$A$4:$A$1000,ROW()-3)="","",INDEX(MASTER_DATABASE!$Q$4:$Q$1000,ROW()-3)&amp;"")</f>
        <v>15–30 Minutes</v>
      </c>
      <c r="M44" s="11" t="str">
        <f aca="false">IF(INDEX(MASTER_DATABASE!$A$4:$A$1000,ROW()-3)="","",INDEX(MASTER_DATABASE!$AI$4:$AI$1000,ROW()-3)&amp;"")</f>
        <v>No</v>
      </c>
      <c r="N44" s="11" t="str">
        <f aca="false">IF(INDEX(MASTER_DATABASE!$A$4:$A$1000,ROW()-3)="","",INDEX(MASTER_DATABASE!$AJ$4:$AJ$1000,ROW()-3)&amp;"")</f>
        <v>No</v>
      </c>
      <c r="O44" s="11" t="str">
        <f aca="false">IF(INDEX(MASTER_DATABASE!$A$4:$A$1000,ROW()-3)="","",IF(INDEX(MASTER_DATABASE!$BE$4:$BE$1000,ROW()-3)="LIVE","Yes","No"))</f>
        <v>No</v>
      </c>
      <c r="P44" s="7" t="str">
        <f aca="false">IF(INDEX(MASTER_DATABASE!$A$4:$A$1000,ROW()-3)="","",INDEX(MASTER_DATABASE!$BG$4:$BG$1000,ROW()-3)&amp;"")</f>
        <v>Check Documents</v>
      </c>
      <c r="Q44" s="11" t="n">
        <f aca="false">IF(INDEX(MASTER_DATABASE!$A$4:$A$1000,ROW()-3)="","",INDEX(MASTER_DATABASE!$AQ$4:$AQ$1000,ROW()-3))</f>
        <v>410</v>
      </c>
    </row>
    <row r="45" customFormat="false" ht="23.85" hidden="false" customHeight="false" outlineLevel="0" collapsed="false">
      <c r="A45" s="11" t="str">
        <f aca="false">IF(INDEX(MASTER_DATABASE!$A$4:$A$1000,ROW()-3)="","",INDEX(MASTER_DATABASE!$A$4:$A$1000,ROW()-3)&amp;"")</f>
        <v>AAD-042</v>
      </c>
      <c r="B45" s="7" t="str">
        <f aca="false">IF(INDEX(MASTER_DATABASE!$A$4:$A$1000,ROW()-3)="","",INDEX(MASTER_DATABASE!$E$4:$E$1000,ROW()-3)&amp;"")</f>
        <v>Aadhaar Complaint / Grievance Filing Assistance</v>
      </c>
      <c r="C45" s="7" t="str">
        <f aca="false">IF(INDEX(MASTER_DATABASE!$A$4:$A$1000,ROW()-3)="","",INDEX(MASTER_DATABASE!$F$4:$F$1000,ROW()-3)&amp;"")</f>
        <v>आधार शिकायत दर्ज करने में सहायता</v>
      </c>
      <c r="D45" s="7" t="str">
        <f aca="false">IF(INDEX(MASTER_DATABASE!$A$4:$A$1000,ROW()-3)="","",INDEX(MASTER_DATABASE!$AL$4:$AL$1000,ROW()-3)&amp;"")</f>
        <v>Aadhaar Centre</v>
      </c>
      <c r="E45" s="7" t="str">
        <f aca="false">IF(INDEX(MASTER_DATABASE!$A$4:$A$1000,ROW()-3)="","",INDEX(MASTER_DATABASE!$G$4:$G$1000,ROW()-3)&amp;"")</f>
        <v>Get Aadhaar Complaint / Grievance Filing Assistance done at our Aadhaar Centre.</v>
      </c>
      <c r="F45" s="11" t="str">
        <f aca="false">IF(INDEX(MASTER_DATABASE!$A$4:$A$1000,ROW()-3)="","",INDEX(MASTER_DATABASE!$AP$4:$AP$1000,ROW()-3)&amp;"")</f>
        <v>🖨️</v>
      </c>
      <c r="G4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5" s="7" t="str">
        <f aca="false">IF(INDEX(MASTER_DATABASE!$A$4:$A$1000,ROW()-3)="","",INDEX(MASTER_DATABASE!$J$4:$J$1000,ROW()-3)&amp;"")</f>
        <v>Depends on Portal – Confirm at Shop</v>
      </c>
      <c r="K45" s="7" t="str">
        <f aca="false">IF(INDEX(MASTER_DATABASE!$A$4:$A$1000,ROW()-3)="","",INDEX(MASTER_DATABASE!$M$4:$M$1000,ROW()-3)&amp;"")</f>
        <v>✓ Aadhaar Card
✓ Aadhaar-Linked Mobile Number</v>
      </c>
      <c r="L45" s="7" t="str">
        <f aca="false">IF(INDEX(MASTER_DATABASE!$A$4:$A$1000,ROW()-3)="","",INDEX(MASTER_DATABASE!$Q$4:$Q$1000,ROW()-3)&amp;"")</f>
        <v>15–30 Minutes</v>
      </c>
      <c r="M45" s="11" t="str">
        <f aca="false">IF(INDEX(MASTER_DATABASE!$A$4:$A$1000,ROW()-3)="","",INDEX(MASTER_DATABASE!$AI$4:$AI$1000,ROW()-3)&amp;"")</f>
        <v>No</v>
      </c>
      <c r="N45" s="11" t="str">
        <f aca="false">IF(INDEX(MASTER_DATABASE!$A$4:$A$1000,ROW()-3)="","",INDEX(MASTER_DATABASE!$AJ$4:$AJ$1000,ROW()-3)&amp;"")</f>
        <v>No</v>
      </c>
      <c r="O45" s="11" t="str">
        <f aca="false">IF(INDEX(MASTER_DATABASE!$A$4:$A$1000,ROW()-3)="","",IF(INDEX(MASTER_DATABASE!$BE$4:$BE$1000,ROW()-3)="LIVE","Yes","No"))</f>
        <v>No</v>
      </c>
      <c r="P45" s="7" t="str">
        <f aca="false">IF(INDEX(MASTER_DATABASE!$A$4:$A$1000,ROW()-3)="","",INDEX(MASTER_DATABASE!$BG$4:$BG$1000,ROW()-3)&amp;"")</f>
        <v>Check Documents</v>
      </c>
      <c r="Q45" s="11" t="n">
        <f aca="false">IF(INDEX(MASTER_DATABASE!$A$4:$A$1000,ROW()-3)="","",INDEX(MASTER_DATABASE!$AQ$4:$AQ$1000,ROW()-3))</f>
        <v>420</v>
      </c>
    </row>
    <row r="46" customFormat="false" ht="23.85" hidden="false" customHeight="false" outlineLevel="0" collapsed="false">
      <c r="A46" s="11" t="str">
        <f aca="false">IF(INDEX(MASTER_DATABASE!$A$4:$A$1000,ROW()-3)="","",INDEX(MASTER_DATABASE!$A$4:$A$1000,ROW()-3)&amp;"")</f>
        <v>HDF-001</v>
      </c>
      <c r="B46" s="7" t="str">
        <f aca="false">IF(INDEX(MASTER_DATABASE!$A$4:$A$1000,ROW()-3)="","",INDEX(MASTER_DATABASE!$E$4:$E$1000,ROW()-3)&amp;"")</f>
        <v>HDFC BC – Cash Deposit</v>
      </c>
      <c r="C46" s="7" t="str">
        <f aca="false">IF(INDEX(MASTER_DATABASE!$A$4:$A$1000,ROW()-3)="","",INDEX(MASTER_DATABASE!$F$4:$F$1000,ROW()-3)&amp;"")</f>
        <v>HDFC BC – नकद जमा</v>
      </c>
      <c r="D46" s="7" t="str">
        <f aca="false">IF(INDEX(MASTER_DATABASE!$A$4:$A$1000,ROW()-3)="","",INDEX(MASTER_DATABASE!$AL$4:$AL$1000,ROW()-3)&amp;"")</f>
        <v>HDFC Bank BC Point</v>
      </c>
      <c r="E46" s="7" t="str">
        <f aca="false">IF(INDEX(MASTER_DATABASE!$A$4:$A$1000,ROW()-3)="","",INDEX(MASTER_DATABASE!$G$4:$G$1000,ROW()-3)&amp;"")</f>
        <v>HDFC BC – Cash Deposit at our HDFC Bank BC Point.</v>
      </c>
      <c r="F46" s="11" t="str">
        <f aca="false">IF(INDEX(MASTER_DATABASE!$A$4:$A$1000,ROW()-3)="","",INDEX(MASTER_DATABASE!$AP$4:$AP$1000,ROW()-3)&amp;"")</f>
        <v>💵</v>
      </c>
      <c r="G4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6" s="7" t="str">
        <f aca="false">IF(INDEX(MASTER_DATABASE!$A$4:$A$1000,ROW()-3)="","",INDEX(MASTER_DATABASE!$J$4:$J$1000,ROW()-3)&amp;"")</f>
        <v>Please Confirm at Shop</v>
      </c>
      <c r="K46" s="7" t="str">
        <f aca="false">IF(INDEX(MASTER_DATABASE!$A$4:$A$1000,ROW()-3)="","",INDEX(MASTER_DATABASE!$M$4:$M$1000,ROW()-3)&amp;"")</f>
        <v>✓ Bank Account Number
✓ Cash Amount</v>
      </c>
      <c r="L46" s="7" t="str">
        <f aca="false">IF(INDEX(MASTER_DATABASE!$A$4:$A$1000,ROW()-3)="","",INDEX(MASTER_DATABASE!$Q$4:$Q$1000,ROW()-3)&amp;"")</f>
        <v>5–10 Minutes</v>
      </c>
      <c r="M46" s="11" t="str">
        <f aca="false">IF(INDEX(MASTER_DATABASE!$A$4:$A$1000,ROW()-3)="","",INDEX(MASTER_DATABASE!$AI$4:$AI$1000,ROW()-3)&amp;"")</f>
        <v>No</v>
      </c>
      <c r="N46" s="11" t="str">
        <f aca="false">IF(INDEX(MASTER_DATABASE!$A$4:$A$1000,ROW()-3)="","",INDEX(MASTER_DATABASE!$AJ$4:$AJ$1000,ROW()-3)&amp;"")</f>
        <v>No</v>
      </c>
      <c r="O46" s="11" t="str">
        <f aca="false">IF(INDEX(MASTER_DATABASE!$A$4:$A$1000,ROW()-3)="","",IF(INDEX(MASTER_DATABASE!$BE$4:$BE$1000,ROW()-3)="LIVE","Yes","No"))</f>
        <v>No</v>
      </c>
      <c r="P46" s="7" t="str">
        <f aca="false">IF(INDEX(MASTER_DATABASE!$A$4:$A$1000,ROW()-3)="","",INDEX(MASTER_DATABASE!$BG$4:$BG$1000,ROW()-3)&amp;"")</f>
        <v>Check Documents</v>
      </c>
      <c r="Q46" s="11" t="n">
        <f aca="false">IF(INDEX(MASTER_DATABASE!$A$4:$A$1000,ROW()-3)="","",INDEX(MASTER_DATABASE!$AQ$4:$AQ$1000,ROW()-3))</f>
        <v>10</v>
      </c>
    </row>
    <row r="47" customFormat="false" ht="23.85" hidden="false" customHeight="false" outlineLevel="0" collapsed="false">
      <c r="A47" s="11" t="str">
        <f aca="false">IF(INDEX(MASTER_DATABASE!$A$4:$A$1000,ROW()-3)="","",INDEX(MASTER_DATABASE!$A$4:$A$1000,ROW()-3)&amp;"")</f>
        <v>HDF-002</v>
      </c>
      <c r="B47" s="7" t="str">
        <f aca="false">IF(INDEX(MASTER_DATABASE!$A$4:$A$1000,ROW()-3)="","",INDEX(MASTER_DATABASE!$E$4:$E$1000,ROW()-3)&amp;"")</f>
        <v>HDFC BC – Cash Withdrawal</v>
      </c>
      <c r="C47" s="7" t="str">
        <f aca="false">IF(INDEX(MASTER_DATABASE!$A$4:$A$1000,ROW()-3)="","",INDEX(MASTER_DATABASE!$F$4:$F$1000,ROW()-3)&amp;"")</f>
        <v>HDFC BC – नकद निकासी</v>
      </c>
      <c r="D47" s="7" t="str">
        <f aca="false">IF(INDEX(MASTER_DATABASE!$A$4:$A$1000,ROW()-3)="","",INDEX(MASTER_DATABASE!$AL$4:$AL$1000,ROW()-3)&amp;"")</f>
        <v>HDFC Bank BC Point</v>
      </c>
      <c r="E47" s="7" t="str">
        <f aca="false">IF(INDEX(MASTER_DATABASE!$A$4:$A$1000,ROW()-3)="","",INDEX(MASTER_DATABASE!$G$4:$G$1000,ROW()-3)&amp;"")</f>
        <v>HDFC BC – Cash Withdrawal at our HDFC Bank BC Point.</v>
      </c>
      <c r="F47" s="11" t="str">
        <f aca="false">IF(INDEX(MASTER_DATABASE!$A$4:$A$1000,ROW()-3)="","",INDEX(MASTER_DATABASE!$AP$4:$AP$1000,ROW()-3)&amp;"")</f>
        <v>💵</v>
      </c>
      <c r="G4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7" s="7" t="str">
        <f aca="false">IF(INDEX(MASTER_DATABASE!$A$4:$A$1000,ROW()-3)="","",INDEX(MASTER_DATABASE!$J$4:$J$1000,ROW()-3)&amp;"")</f>
        <v>Please Confirm at Shop</v>
      </c>
      <c r="K47" s="7" t="str">
        <f aca="false">IF(INDEX(MASTER_DATABASE!$A$4:$A$1000,ROW()-3)="","",INDEX(MASTER_DATABASE!$M$4:$M$1000,ROW()-3)&amp;"")</f>
        <v>✓ Aadhaar Card
✓ Customer Presence for Biometrics</v>
      </c>
      <c r="L47" s="7" t="str">
        <f aca="false">IF(INDEX(MASTER_DATABASE!$A$4:$A$1000,ROW()-3)="","",INDEX(MASTER_DATABASE!$Q$4:$Q$1000,ROW()-3)&amp;"")</f>
        <v>5–10 Minutes</v>
      </c>
      <c r="M47" s="11" t="str">
        <f aca="false">IF(INDEX(MASTER_DATABASE!$A$4:$A$1000,ROW()-3)="","",INDEX(MASTER_DATABASE!$AI$4:$AI$1000,ROW()-3)&amp;"")</f>
        <v>No</v>
      </c>
      <c r="N47" s="11" t="str">
        <f aca="false">IF(INDEX(MASTER_DATABASE!$A$4:$A$1000,ROW()-3)="","",INDEX(MASTER_DATABASE!$AJ$4:$AJ$1000,ROW()-3)&amp;"")</f>
        <v>No</v>
      </c>
      <c r="O47" s="11" t="str">
        <f aca="false">IF(INDEX(MASTER_DATABASE!$A$4:$A$1000,ROW()-3)="","",IF(INDEX(MASTER_DATABASE!$BE$4:$BE$1000,ROW()-3)="LIVE","Yes","No"))</f>
        <v>No</v>
      </c>
      <c r="P47" s="7" t="str">
        <f aca="false">IF(INDEX(MASTER_DATABASE!$A$4:$A$1000,ROW()-3)="","",INDEX(MASTER_DATABASE!$BG$4:$BG$1000,ROW()-3)&amp;"")</f>
        <v>Check Documents</v>
      </c>
      <c r="Q47" s="11" t="n">
        <f aca="false">IF(INDEX(MASTER_DATABASE!$A$4:$A$1000,ROW()-3)="","",INDEX(MASTER_DATABASE!$AQ$4:$AQ$1000,ROW()-3))</f>
        <v>20</v>
      </c>
    </row>
    <row r="48" customFormat="false" ht="35.05" hidden="false" customHeight="false" outlineLevel="0" collapsed="false">
      <c r="A48" s="11" t="str">
        <f aca="false">IF(INDEX(MASTER_DATABASE!$A$4:$A$1000,ROW()-3)="","",INDEX(MASTER_DATABASE!$A$4:$A$1000,ROW()-3)&amp;"")</f>
        <v>HDF-003</v>
      </c>
      <c r="B48" s="7" t="str">
        <f aca="false">IF(INDEX(MASTER_DATABASE!$A$4:$A$1000,ROW()-3)="","",INDEX(MASTER_DATABASE!$E$4:$E$1000,ROW()-3)&amp;"")</f>
        <v>HDFC BC – Balance Enquiry</v>
      </c>
      <c r="C48" s="7" t="str">
        <f aca="false">IF(INDEX(MASTER_DATABASE!$A$4:$A$1000,ROW()-3)="","",INDEX(MASTER_DATABASE!$F$4:$F$1000,ROW()-3)&amp;"")</f>
        <v>HDFC BC – बैलेंस पूछताछ</v>
      </c>
      <c r="D48" s="7" t="str">
        <f aca="false">IF(INDEX(MASTER_DATABASE!$A$4:$A$1000,ROW()-3)="","",INDEX(MASTER_DATABASE!$AL$4:$AL$1000,ROW()-3)&amp;"")</f>
        <v>HDFC Bank BC Point</v>
      </c>
      <c r="E48" s="7" t="str">
        <f aca="false">IF(INDEX(MASTER_DATABASE!$A$4:$A$1000,ROW()-3)="","",INDEX(MASTER_DATABASE!$G$4:$G$1000,ROW()-3)&amp;"")</f>
        <v>HDFC BC – Balance Enquiry at our HDFC Bank BC Point.</v>
      </c>
      <c r="F48" s="11" t="str">
        <f aca="false">IF(INDEX(MASTER_DATABASE!$A$4:$A$1000,ROW()-3)="","",INDEX(MASTER_DATABASE!$AP$4:$AP$1000,ROW()-3)&amp;"")</f>
        <v>💵</v>
      </c>
      <c r="G4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8" s="7" t="str">
        <f aca="false">IF(INDEX(MASTER_DATABASE!$A$4:$A$1000,ROW()-3)="","",INDEX(MASTER_DATABASE!$J$4:$J$1000,ROW()-3)&amp;"")</f>
        <v>Please Confirm at Shop</v>
      </c>
      <c r="K48" s="7" t="str">
        <f aca="false">IF(INDEX(MASTER_DATABASE!$A$4:$A$1000,ROW()-3)="","",INDEX(MASTER_DATABASE!$M$4:$M$1000,ROW()-3)&amp;"")</f>
        <v>✓ Aadhaar Card
✓ Bank Account Number
✓ Active Mobile Number</v>
      </c>
      <c r="L48" s="7" t="str">
        <f aca="false">IF(INDEX(MASTER_DATABASE!$A$4:$A$1000,ROW()-3)="","",INDEX(MASTER_DATABASE!$Q$4:$Q$1000,ROW()-3)&amp;"")</f>
        <v>Depends on Department</v>
      </c>
      <c r="M48" s="11" t="str">
        <f aca="false">IF(INDEX(MASTER_DATABASE!$A$4:$A$1000,ROW()-3)="","",INDEX(MASTER_DATABASE!$AI$4:$AI$1000,ROW()-3)&amp;"")</f>
        <v>No</v>
      </c>
      <c r="N48" s="11" t="str">
        <f aca="false">IF(INDEX(MASTER_DATABASE!$A$4:$A$1000,ROW()-3)="","",INDEX(MASTER_DATABASE!$AJ$4:$AJ$1000,ROW()-3)&amp;"")</f>
        <v>No</v>
      </c>
      <c r="O48" s="11" t="str">
        <f aca="false">IF(INDEX(MASTER_DATABASE!$A$4:$A$1000,ROW()-3)="","",IF(INDEX(MASTER_DATABASE!$BE$4:$BE$1000,ROW()-3)="LIVE","Yes","No"))</f>
        <v>No</v>
      </c>
      <c r="P48" s="7" t="str">
        <f aca="false">IF(INDEX(MASTER_DATABASE!$A$4:$A$1000,ROW()-3)="","",INDEX(MASTER_DATABASE!$BG$4:$BG$1000,ROW()-3)&amp;"")</f>
        <v>Check Documents</v>
      </c>
      <c r="Q48" s="11" t="n">
        <f aca="false">IF(INDEX(MASTER_DATABASE!$A$4:$A$1000,ROW()-3)="","",INDEX(MASTER_DATABASE!$AQ$4:$AQ$1000,ROW()-3))</f>
        <v>30</v>
      </c>
    </row>
    <row r="49" customFormat="false" ht="35.05" hidden="false" customHeight="false" outlineLevel="0" collapsed="false">
      <c r="A49" s="11" t="str">
        <f aca="false">IF(INDEX(MASTER_DATABASE!$A$4:$A$1000,ROW()-3)="","",INDEX(MASTER_DATABASE!$A$4:$A$1000,ROW()-3)&amp;"")</f>
        <v>HDF-004</v>
      </c>
      <c r="B49" s="7" t="str">
        <f aca="false">IF(INDEX(MASTER_DATABASE!$A$4:$A$1000,ROW()-3)="","",INDEX(MASTER_DATABASE!$E$4:$E$1000,ROW()-3)&amp;"")</f>
        <v>HDFC BC – Mini Statement</v>
      </c>
      <c r="C49" s="7" t="str">
        <f aca="false">IF(INDEX(MASTER_DATABASE!$A$4:$A$1000,ROW()-3)="","",INDEX(MASTER_DATABASE!$F$4:$F$1000,ROW()-3)&amp;"")</f>
        <v>HDFC BC – मिनी स्टेटमेंट</v>
      </c>
      <c r="D49" s="7" t="str">
        <f aca="false">IF(INDEX(MASTER_DATABASE!$A$4:$A$1000,ROW()-3)="","",INDEX(MASTER_DATABASE!$AL$4:$AL$1000,ROW()-3)&amp;"")</f>
        <v>HDFC Bank BC Point</v>
      </c>
      <c r="E49" s="7" t="str">
        <f aca="false">IF(INDEX(MASTER_DATABASE!$A$4:$A$1000,ROW()-3)="","",INDEX(MASTER_DATABASE!$G$4:$G$1000,ROW()-3)&amp;"")</f>
        <v>HDFC BC – Mini Statement at our HDFC Bank BC Point.</v>
      </c>
      <c r="F49" s="11" t="str">
        <f aca="false">IF(INDEX(MASTER_DATABASE!$A$4:$A$1000,ROW()-3)="","",INDEX(MASTER_DATABASE!$AP$4:$AP$1000,ROW()-3)&amp;"")</f>
        <v>💵</v>
      </c>
      <c r="G4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4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4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49" s="7" t="str">
        <f aca="false">IF(INDEX(MASTER_DATABASE!$A$4:$A$1000,ROW()-3)="","",INDEX(MASTER_DATABASE!$J$4:$J$1000,ROW()-3)&amp;"")</f>
        <v>Please Confirm at Shop</v>
      </c>
      <c r="K49" s="7" t="str">
        <f aca="false">IF(INDEX(MASTER_DATABASE!$A$4:$A$1000,ROW()-3)="","",INDEX(MASTER_DATABASE!$M$4:$M$1000,ROW()-3)&amp;"")</f>
        <v>✓ Aadhaar Card
✓ Bank Account Number
✓ Active Mobile Number</v>
      </c>
      <c r="L49" s="7" t="str">
        <f aca="false">IF(INDEX(MASTER_DATABASE!$A$4:$A$1000,ROW()-3)="","",INDEX(MASTER_DATABASE!$Q$4:$Q$1000,ROW()-3)&amp;"")</f>
        <v>Depends on Department</v>
      </c>
      <c r="M49" s="11" t="str">
        <f aca="false">IF(INDEX(MASTER_DATABASE!$A$4:$A$1000,ROW()-3)="","",INDEX(MASTER_DATABASE!$AI$4:$AI$1000,ROW()-3)&amp;"")</f>
        <v>No</v>
      </c>
      <c r="N49" s="11" t="str">
        <f aca="false">IF(INDEX(MASTER_DATABASE!$A$4:$A$1000,ROW()-3)="","",INDEX(MASTER_DATABASE!$AJ$4:$AJ$1000,ROW()-3)&amp;"")</f>
        <v>No</v>
      </c>
      <c r="O49" s="11" t="str">
        <f aca="false">IF(INDEX(MASTER_DATABASE!$A$4:$A$1000,ROW()-3)="","",IF(INDEX(MASTER_DATABASE!$BE$4:$BE$1000,ROW()-3)="LIVE","Yes","No"))</f>
        <v>No</v>
      </c>
      <c r="P49" s="7" t="str">
        <f aca="false">IF(INDEX(MASTER_DATABASE!$A$4:$A$1000,ROW()-3)="","",INDEX(MASTER_DATABASE!$BG$4:$BG$1000,ROW()-3)&amp;"")</f>
        <v>Check Documents</v>
      </c>
      <c r="Q49" s="11" t="n">
        <f aca="false">IF(INDEX(MASTER_DATABASE!$A$4:$A$1000,ROW()-3)="","",INDEX(MASTER_DATABASE!$AQ$4:$AQ$1000,ROW()-3))</f>
        <v>40</v>
      </c>
    </row>
    <row r="50" customFormat="false" ht="23.85" hidden="false" customHeight="false" outlineLevel="0" collapsed="false">
      <c r="A50" s="11" t="str">
        <f aca="false">IF(INDEX(MASTER_DATABASE!$A$4:$A$1000,ROW()-3)="","",INDEX(MASTER_DATABASE!$A$4:$A$1000,ROW()-3)&amp;"")</f>
        <v>HDF-005</v>
      </c>
      <c r="B50" s="7" t="str">
        <f aca="false">IF(INDEX(MASTER_DATABASE!$A$4:$A$1000,ROW()-3)="","",INDEX(MASTER_DATABASE!$E$4:$E$1000,ROW()-3)&amp;"")</f>
        <v>HDFC BC – AEPS Cash Withdrawal</v>
      </c>
      <c r="C50" s="7" t="str">
        <f aca="false">IF(INDEX(MASTER_DATABASE!$A$4:$A$1000,ROW()-3)="","",INDEX(MASTER_DATABASE!$F$4:$F$1000,ROW()-3)&amp;"")</f>
        <v>HDFC BC – AEPS नकद निकासी</v>
      </c>
      <c r="D50" s="7" t="str">
        <f aca="false">IF(INDEX(MASTER_DATABASE!$A$4:$A$1000,ROW()-3)="","",INDEX(MASTER_DATABASE!$AL$4:$AL$1000,ROW()-3)&amp;"")</f>
        <v>HDFC Bank BC Point</v>
      </c>
      <c r="E50" s="7" t="str">
        <f aca="false">IF(INDEX(MASTER_DATABASE!$A$4:$A$1000,ROW()-3)="","",INDEX(MASTER_DATABASE!$G$4:$G$1000,ROW()-3)&amp;"")</f>
        <v>HDFC BC – AEPS Cash Withdrawal at our HDFC Bank BC Point.</v>
      </c>
      <c r="F50" s="11" t="str">
        <f aca="false">IF(INDEX(MASTER_DATABASE!$A$4:$A$1000,ROW()-3)="","",INDEX(MASTER_DATABASE!$AP$4:$AP$1000,ROW()-3)&amp;"")</f>
        <v>👆</v>
      </c>
      <c r="G5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0" s="7" t="str">
        <f aca="false">IF(INDEX(MASTER_DATABASE!$A$4:$A$1000,ROW()-3)="","",INDEX(MASTER_DATABASE!$J$4:$J$1000,ROW()-3)&amp;"")</f>
        <v>Please Confirm at Shop</v>
      </c>
      <c r="K50" s="7" t="str">
        <f aca="false">IF(INDEX(MASTER_DATABASE!$A$4:$A$1000,ROW()-3)="","",INDEX(MASTER_DATABASE!$M$4:$M$1000,ROW()-3)&amp;"")</f>
        <v>✓ Aadhaar Card
✓ Customer Presence for Biometrics</v>
      </c>
      <c r="L50" s="7" t="str">
        <f aca="false">IF(INDEX(MASTER_DATABASE!$A$4:$A$1000,ROW()-3)="","",INDEX(MASTER_DATABASE!$Q$4:$Q$1000,ROW()-3)&amp;"")</f>
        <v>5–10 Minutes</v>
      </c>
      <c r="M50" s="11" t="str">
        <f aca="false">IF(INDEX(MASTER_DATABASE!$A$4:$A$1000,ROW()-3)="","",INDEX(MASTER_DATABASE!$AI$4:$AI$1000,ROW()-3)&amp;"")</f>
        <v>No</v>
      </c>
      <c r="N50" s="11" t="str">
        <f aca="false">IF(INDEX(MASTER_DATABASE!$A$4:$A$1000,ROW()-3)="","",INDEX(MASTER_DATABASE!$AJ$4:$AJ$1000,ROW()-3)&amp;"")</f>
        <v>No</v>
      </c>
      <c r="O50" s="11" t="str">
        <f aca="false">IF(INDEX(MASTER_DATABASE!$A$4:$A$1000,ROW()-3)="","",IF(INDEX(MASTER_DATABASE!$BE$4:$BE$1000,ROW()-3)="LIVE","Yes","No"))</f>
        <v>No</v>
      </c>
      <c r="P50" s="7" t="str">
        <f aca="false">IF(INDEX(MASTER_DATABASE!$A$4:$A$1000,ROW()-3)="","",INDEX(MASTER_DATABASE!$BG$4:$BG$1000,ROW()-3)&amp;"")</f>
        <v>Check Documents</v>
      </c>
      <c r="Q50" s="11" t="n">
        <f aca="false">IF(INDEX(MASTER_DATABASE!$A$4:$A$1000,ROW()-3)="","",INDEX(MASTER_DATABASE!$AQ$4:$AQ$1000,ROW()-3))</f>
        <v>50</v>
      </c>
    </row>
    <row r="51" customFormat="false" ht="23.85" hidden="false" customHeight="false" outlineLevel="0" collapsed="false">
      <c r="A51" s="11" t="str">
        <f aca="false">IF(INDEX(MASTER_DATABASE!$A$4:$A$1000,ROW()-3)="","",INDEX(MASTER_DATABASE!$A$4:$A$1000,ROW()-3)&amp;"")</f>
        <v>HDF-006</v>
      </c>
      <c r="B51" s="7" t="str">
        <f aca="false">IF(INDEX(MASTER_DATABASE!$A$4:$A$1000,ROW()-3)="","",INDEX(MASTER_DATABASE!$E$4:$E$1000,ROW()-3)&amp;"")</f>
        <v>HDFC BC – AEPS Balance Enquiry</v>
      </c>
      <c r="C51" s="7" t="str">
        <f aca="false">IF(INDEX(MASTER_DATABASE!$A$4:$A$1000,ROW()-3)="","",INDEX(MASTER_DATABASE!$F$4:$F$1000,ROW()-3)&amp;"")</f>
        <v>HDFC BC – AEPS बैलेंस पूछताछ</v>
      </c>
      <c r="D51" s="7" t="str">
        <f aca="false">IF(INDEX(MASTER_DATABASE!$A$4:$A$1000,ROW()-3)="","",INDEX(MASTER_DATABASE!$AL$4:$AL$1000,ROW()-3)&amp;"")</f>
        <v>HDFC Bank BC Point</v>
      </c>
      <c r="E51" s="7" t="str">
        <f aca="false">IF(INDEX(MASTER_DATABASE!$A$4:$A$1000,ROW()-3)="","",INDEX(MASTER_DATABASE!$G$4:$G$1000,ROW()-3)&amp;"")</f>
        <v>HDFC BC – AEPS Balance Enquiry at our HDFC Bank BC Point.</v>
      </c>
      <c r="F51" s="11" t="str">
        <f aca="false">IF(INDEX(MASTER_DATABASE!$A$4:$A$1000,ROW()-3)="","",INDEX(MASTER_DATABASE!$AP$4:$AP$1000,ROW()-3)&amp;"")</f>
        <v>👆</v>
      </c>
      <c r="G5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1" s="7" t="str">
        <f aca="false">IF(INDEX(MASTER_DATABASE!$A$4:$A$1000,ROW()-3)="","",INDEX(MASTER_DATABASE!$J$4:$J$1000,ROW()-3)&amp;"")</f>
        <v>Please Confirm at Shop</v>
      </c>
      <c r="K51" s="7" t="str">
        <f aca="false">IF(INDEX(MASTER_DATABASE!$A$4:$A$1000,ROW()-3)="","",INDEX(MASTER_DATABASE!$M$4:$M$1000,ROW()-3)&amp;"")</f>
        <v>✓ Aadhaar Card
✓ Customer Presence for Biometrics</v>
      </c>
      <c r="L51" s="7" t="str">
        <f aca="false">IF(INDEX(MASTER_DATABASE!$A$4:$A$1000,ROW()-3)="","",INDEX(MASTER_DATABASE!$Q$4:$Q$1000,ROW()-3)&amp;"")</f>
        <v>5–10 Minutes</v>
      </c>
      <c r="M51" s="11" t="str">
        <f aca="false">IF(INDEX(MASTER_DATABASE!$A$4:$A$1000,ROW()-3)="","",INDEX(MASTER_DATABASE!$AI$4:$AI$1000,ROW()-3)&amp;"")</f>
        <v>No</v>
      </c>
      <c r="N51" s="11" t="str">
        <f aca="false">IF(INDEX(MASTER_DATABASE!$A$4:$A$1000,ROW()-3)="","",INDEX(MASTER_DATABASE!$AJ$4:$AJ$1000,ROW()-3)&amp;"")</f>
        <v>No</v>
      </c>
      <c r="O51" s="11" t="str">
        <f aca="false">IF(INDEX(MASTER_DATABASE!$A$4:$A$1000,ROW()-3)="","",IF(INDEX(MASTER_DATABASE!$BE$4:$BE$1000,ROW()-3)="LIVE","Yes","No"))</f>
        <v>No</v>
      </c>
      <c r="P51" s="7" t="str">
        <f aca="false">IF(INDEX(MASTER_DATABASE!$A$4:$A$1000,ROW()-3)="","",INDEX(MASTER_DATABASE!$BG$4:$BG$1000,ROW()-3)&amp;"")</f>
        <v>Check Documents</v>
      </c>
      <c r="Q51" s="11" t="n">
        <f aca="false">IF(INDEX(MASTER_DATABASE!$A$4:$A$1000,ROW()-3)="","",INDEX(MASTER_DATABASE!$AQ$4:$AQ$1000,ROW()-3))</f>
        <v>60</v>
      </c>
    </row>
    <row r="52" customFormat="false" ht="23.85" hidden="false" customHeight="false" outlineLevel="0" collapsed="false">
      <c r="A52" s="11" t="str">
        <f aca="false">IF(INDEX(MASTER_DATABASE!$A$4:$A$1000,ROW()-3)="","",INDEX(MASTER_DATABASE!$A$4:$A$1000,ROW()-3)&amp;"")</f>
        <v>HDF-007</v>
      </c>
      <c r="B52" s="7" t="str">
        <f aca="false">IF(INDEX(MASTER_DATABASE!$A$4:$A$1000,ROW()-3)="","",INDEX(MASTER_DATABASE!$E$4:$E$1000,ROW()-3)&amp;"")</f>
        <v>HDFC BC – AEPS Mini Statement</v>
      </c>
      <c r="C52" s="7" t="str">
        <f aca="false">IF(INDEX(MASTER_DATABASE!$A$4:$A$1000,ROW()-3)="","",INDEX(MASTER_DATABASE!$F$4:$F$1000,ROW()-3)&amp;"")</f>
        <v>HDFC BC – AEPS मिनी स्टेटमेंट</v>
      </c>
      <c r="D52" s="7" t="str">
        <f aca="false">IF(INDEX(MASTER_DATABASE!$A$4:$A$1000,ROW()-3)="","",INDEX(MASTER_DATABASE!$AL$4:$AL$1000,ROW()-3)&amp;"")</f>
        <v>HDFC Bank BC Point</v>
      </c>
      <c r="E52" s="7" t="str">
        <f aca="false">IF(INDEX(MASTER_DATABASE!$A$4:$A$1000,ROW()-3)="","",INDEX(MASTER_DATABASE!$G$4:$G$1000,ROW()-3)&amp;"")</f>
        <v>HDFC BC – AEPS Mini Statement at our HDFC Bank BC Point.</v>
      </c>
      <c r="F52" s="11" t="str">
        <f aca="false">IF(INDEX(MASTER_DATABASE!$A$4:$A$1000,ROW()-3)="","",INDEX(MASTER_DATABASE!$AP$4:$AP$1000,ROW()-3)&amp;"")</f>
        <v>👆</v>
      </c>
      <c r="G5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2" s="7" t="str">
        <f aca="false">IF(INDEX(MASTER_DATABASE!$A$4:$A$1000,ROW()-3)="","",INDEX(MASTER_DATABASE!$J$4:$J$1000,ROW()-3)&amp;"")</f>
        <v>Please Confirm at Shop</v>
      </c>
      <c r="K52" s="7" t="str">
        <f aca="false">IF(INDEX(MASTER_DATABASE!$A$4:$A$1000,ROW()-3)="","",INDEX(MASTER_DATABASE!$M$4:$M$1000,ROW()-3)&amp;"")</f>
        <v>✓ Aadhaar Card
✓ Customer Presence for Biometrics</v>
      </c>
      <c r="L52" s="7" t="str">
        <f aca="false">IF(INDEX(MASTER_DATABASE!$A$4:$A$1000,ROW()-3)="","",INDEX(MASTER_DATABASE!$Q$4:$Q$1000,ROW()-3)&amp;"")</f>
        <v>5–10 Minutes</v>
      </c>
      <c r="M52" s="11" t="str">
        <f aca="false">IF(INDEX(MASTER_DATABASE!$A$4:$A$1000,ROW()-3)="","",INDEX(MASTER_DATABASE!$AI$4:$AI$1000,ROW()-3)&amp;"")</f>
        <v>No</v>
      </c>
      <c r="N52" s="11" t="str">
        <f aca="false">IF(INDEX(MASTER_DATABASE!$A$4:$A$1000,ROW()-3)="","",INDEX(MASTER_DATABASE!$AJ$4:$AJ$1000,ROW()-3)&amp;"")</f>
        <v>No</v>
      </c>
      <c r="O52" s="11" t="str">
        <f aca="false">IF(INDEX(MASTER_DATABASE!$A$4:$A$1000,ROW()-3)="","",IF(INDEX(MASTER_DATABASE!$BE$4:$BE$1000,ROW()-3)="LIVE","Yes","No"))</f>
        <v>No</v>
      </c>
      <c r="P52" s="7" t="str">
        <f aca="false">IF(INDEX(MASTER_DATABASE!$A$4:$A$1000,ROW()-3)="","",INDEX(MASTER_DATABASE!$BG$4:$BG$1000,ROW()-3)&amp;"")</f>
        <v>Check Documents</v>
      </c>
      <c r="Q52" s="11" t="n">
        <f aca="false">IF(INDEX(MASTER_DATABASE!$A$4:$A$1000,ROW()-3)="","",INDEX(MASTER_DATABASE!$AQ$4:$AQ$1000,ROW()-3))</f>
        <v>70</v>
      </c>
    </row>
    <row r="53" customFormat="false" ht="35.05" hidden="false" customHeight="false" outlineLevel="0" collapsed="false">
      <c r="A53" s="11" t="str">
        <f aca="false">IF(INDEX(MASTER_DATABASE!$A$4:$A$1000,ROW()-3)="","",INDEX(MASTER_DATABASE!$A$4:$A$1000,ROW()-3)&amp;"")</f>
        <v>HDF-008</v>
      </c>
      <c r="B53" s="7" t="str">
        <f aca="false">IF(INDEX(MASTER_DATABASE!$A$4:$A$1000,ROW()-3)="","",INDEX(MASTER_DATABASE!$E$4:$E$1000,ROW()-3)&amp;"")</f>
        <v>HDFC BC – Biometric Banking (Fingerprint Authenticated)</v>
      </c>
      <c r="C53" s="7" t="str">
        <f aca="false">IF(INDEX(MASTER_DATABASE!$A$4:$A$1000,ROW()-3)="","",INDEX(MASTER_DATABASE!$F$4:$F$1000,ROW()-3)&amp;"")</f>
        <v>HDFC BC – बायोमेट्रिक बैंकिंग (फिंगरप्रिंट सत्यापित)</v>
      </c>
      <c r="D53" s="7" t="str">
        <f aca="false">IF(INDEX(MASTER_DATABASE!$A$4:$A$1000,ROW()-3)="","",INDEX(MASTER_DATABASE!$AL$4:$AL$1000,ROW()-3)&amp;"")</f>
        <v>HDFC Bank BC Point</v>
      </c>
      <c r="E53" s="7" t="str">
        <f aca="false">IF(INDEX(MASTER_DATABASE!$A$4:$A$1000,ROW()-3)="","",INDEX(MASTER_DATABASE!$G$4:$G$1000,ROW()-3)&amp;"")</f>
        <v>HDFC BC – Biometric Banking (Fingerprint Authenticated) at our HDFC Bank BC Point.</v>
      </c>
      <c r="F53" s="11" t="str">
        <f aca="false">IF(INDEX(MASTER_DATABASE!$A$4:$A$1000,ROW()-3)="","",INDEX(MASTER_DATABASE!$AP$4:$AP$1000,ROW()-3)&amp;"")</f>
        <v>👆</v>
      </c>
      <c r="G5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3" s="7" t="str">
        <f aca="false">IF(INDEX(MASTER_DATABASE!$A$4:$A$1000,ROW()-3)="","",INDEX(MASTER_DATABASE!$J$4:$J$1000,ROW()-3)&amp;"")</f>
        <v>Please Confirm at Shop</v>
      </c>
      <c r="K53" s="7" t="str">
        <f aca="false">IF(INDEX(MASTER_DATABASE!$A$4:$A$1000,ROW()-3)="","",INDEX(MASTER_DATABASE!$M$4:$M$1000,ROW()-3)&amp;"")</f>
        <v>✓ Aadhaar Card
✓ Customer Presence for Biometrics</v>
      </c>
      <c r="L53" s="7" t="str">
        <f aca="false">IF(INDEX(MASTER_DATABASE!$A$4:$A$1000,ROW()-3)="","",INDEX(MASTER_DATABASE!$Q$4:$Q$1000,ROW()-3)&amp;"")</f>
        <v>5–10 Minutes</v>
      </c>
      <c r="M53" s="11" t="str">
        <f aca="false">IF(INDEX(MASTER_DATABASE!$A$4:$A$1000,ROW()-3)="","",INDEX(MASTER_DATABASE!$AI$4:$AI$1000,ROW()-3)&amp;"")</f>
        <v>No</v>
      </c>
      <c r="N53" s="11" t="str">
        <f aca="false">IF(INDEX(MASTER_DATABASE!$A$4:$A$1000,ROW()-3)="","",INDEX(MASTER_DATABASE!$AJ$4:$AJ$1000,ROW()-3)&amp;"")</f>
        <v>No</v>
      </c>
      <c r="O53" s="11" t="str">
        <f aca="false">IF(INDEX(MASTER_DATABASE!$A$4:$A$1000,ROW()-3)="","",IF(INDEX(MASTER_DATABASE!$BE$4:$BE$1000,ROW()-3)="LIVE","Yes","No"))</f>
        <v>No</v>
      </c>
      <c r="P53" s="7" t="str">
        <f aca="false">IF(INDEX(MASTER_DATABASE!$A$4:$A$1000,ROW()-3)="","",INDEX(MASTER_DATABASE!$BG$4:$BG$1000,ROW()-3)&amp;"")</f>
        <v>Check Documents</v>
      </c>
      <c r="Q53" s="11" t="n">
        <f aca="false">IF(INDEX(MASTER_DATABASE!$A$4:$A$1000,ROW()-3)="","",INDEX(MASTER_DATABASE!$AQ$4:$AQ$1000,ROW()-3))</f>
        <v>80</v>
      </c>
    </row>
    <row r="54" customFormat="false" ht="23.85" hidden="false" customHeight="false" outlineLevel="0" collapsed="false">
      <c r="A54" s="11" t="str">
        <f aca="false">IF(INDEX(MASTER_DATABASE!$A$4:$A$1000,ROW()-3)="","",INDEX(MASTER_DATABASE!$A$4:$A$1000,ROW()-3)&amp;"")</f>
        <v>HDF-009</v>
      </c>
      <c r="B54" s="7" t="str">
        <f aca="false">IF(INDEX(MASTER_DATABASE!$A$4:$A$1000,ROW()-3)="","",INDEX(MASTER_DATABASE!$E$4:$E$1000,ROW()-3)&amp;"")</f>
        <v>HDFC BC – Micro ATM Cash Withdrawal</v>
      </c>
      <c r="C54" s="7" t="str">
        <f aca="false">IF(INDEX(MASTER_DATABASE!$A$4:$A$1000,ROW()-3)="","",INDEX(MASTER_DATABASE!$F$4:$F$1000,ROW()-3)&amp;"")</f>
        <v>HDFC BC – Micro ATM नकद निकासी</v>
      </c>
      <c r="D54" s="7" t="str">
        <f aca="false">IF(INDEX(MASTER_DATABASE!$A$4:$A$1000,ROW()-3)="","",INDEX(MASTER_DATABASE!$AL$4:$AL$1000,ROW()-3)&amp;"")</f>
        <v>HDFC Bank BC Point</v>
      </c>
      <c r="E54" s="7" t="str">
        <f aca="false">IF(INDEX(MASTER_DATABASE!$A$4:$A$1000,ROW()-3)="","",INDEX(MASTER_DATABASE!$G$4:$G$1000,ROW()-3)&amp;"")</f>
        <v>HDFC BC – Micro ATM Cash Withdrawal at our HDFC Bank BC Point.</v>
      </c>
      <c r="F54" s="11" t="str">
        <f aca="false">IF(INDEX(MASTER_DATABASE!$A$4:$A$1000,ROW()-3)="","",INDEX(MASTER_DATABASE!$AP$4:$AP$1000,ROW()-3)&amp;"")</f>
        <v>🏧</v>
      </c>
      <c r="G5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4" s="7" t="str">
        <f aca="false">IF(INDEX(MASTER_DATABASE!$A$4:$A$1000,ROW()-3)="","",INDEX(MASTER_DATABASE!$J$4:$J$1000,ROW()-3)&amp;"")</f>
        <v>Please Confirm at Shop</v>
      </c>
      <c r="K54" s="7" t="str">
        <f aca="false">IF(INDEX(MASTER_DATABASE!$A$4:$A$1000,ROW()-3)="","",INDEX(MASTER_DATABASE!$M$4:$M$1000,ROW()-3)&amp;"")</f>
        <v>✓ Debit Card</v>
      </c>
      <c r="L54" s="7" t="str">
        <f aca="false">IF(INDEX(MASTER_DATABASE!$A$4:$A$1000,ROW()-3)="","",INDEX(MASTER_DATABASE!$Q$4:$Q$1000,ROW()-3)&amp;"")</f>
        <v>5–10 Minutes</v>
      </c>
      <c r="M54" s="11" t="str">
        <f aca="false">IF(INDEX(MASTER_DATABASE!$A$4:$A$1000,ROW()-3)="","",INDEX(MASTER_DATABASE!$AI$4:$AI$1000,ROW()-3)&amp;"")</f>
        <v>No</v>
      </c>
      <c r="N54" s="11" t="str">
        <f aca="false">IF(INDEX(MASTER_DATABASE!$A$4:$A$1000,ROW()-3)="","",INDEX(MASTER_DATABASE!$AJ$4:$AJ$1000,ROW()-3)&amp;"")</f>
        <v>No</v>
      </c>
      <c r="O54" s="11" t="str">
        <f aca="false">IF(INDEX(MASTER_DATABASE!$A$4:$A$1000,ROW()-3)="","",IF(INDEX(MASTER_DATABASE!$BE$4:$BE$1000,ROW()-3)="LIVE","Yes","No"))</f>
        <v>No</v>
      </c>
      <c r="P54" s="7" t="str">
        <f aca="false">IF(INDEX(MASTER_DATABASE!$A$4:$A$1000,ROW()-3)="","",INDEX(MASTER_DATABASE!$BG$4:$BG$1000,ROW()-3)&amp;"")</f>
        <v>Check Documents</v>
      </c>
      <c r="Q54" s="11" t="n">
        <f aca="false">IF(INDEX(MASTER_DATABASE!$A$4:$A$1000,ROW()-3)="","",INDEX(MASTER_DATABASE!$AQ$4:$AQ$1000,ROW()-3))</f>
        <v>90</v>
      </c>
    </row>
    <row r="55" customFormat="false" ht="23.85" hidden="false" customHeight="false" outlineLevel="0" collapsed="false">
      <c r="A55" s="11" t="str">
        <f aca="false">IF(INDEX(MASTER_DATABASE!$A$4:$A$1000,ROW()-3)="","",INDEX(MASTER_DATABASE!$A$4:$A$1000,ROW()-3)&amp;"")</f>
        <v>HDF-010</v>
      </c>
      <c r="B55" s="7" t="str">
        <f aca="false">IF(INDEX(MASTER_DATABASE!$A$4:$A$1000,ROW()-3)="","",INDEX(MASTER_DATABASE!$E$4:$E$1000,ROW()-3)&amp;"")</f>
        <v>HDFC BC – Micro ATM Balance Enquiry</v>
      </c>
      <c r="C55" s="7" t="str">
        <f aca="false">IF(INDEX(MASTER_DATABASE!$A$4:$A$1000,ROW()-3)="","",INDEX(MASTER_DATABASE!$F$4:$F$1000,ROW()-3)&amp;"")</f>
        <v>HDFC BC – Micro ATM बैलेंस पूछताछ</v>
      </c>
      <c r="D55" s="7" t="str">
        <f aca="false">IF(INDEX(MASTER_DATABASE!$A$4:$A$1000,ROW()-3)="","",INDEX(MASTER_DATABASE!$AL$4:$AL$1000,ROW()-3)&amp;"")</f>
        <v>HDFC Bank BC Point</v>
      </c>
      <c r="E55" s="7" t="str">
        <f aca="false">IF(INDEX(MASTER_DATABASE!$A$4:$A$1000,ROW()-3)="","",INDEX(MASTER_DATABASE!$G$4:$G$1000,ROW()-3)&amp;"")</f>
        <v>HDFC BC – Micro ATM Balance Enquiry at our HDFC Bank BC Point.</v>
      </c>
      <c r="F55" s="11" t="str">
        <f aca="false">IF(INDEX(MASTER_DATABASE!$A$4:$A$1000,ROW()-3)="","",INDEX(MASTER_DATABASE!$AP$4:$AP$1000,ROW()-3)&amp;"")</f>
        <v>🏧</v>
      </c>
      <c r="G5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5" s="7" t="str">
        <f aca="false">IF(INDEX(MASTER_DATABASE!$A$4:$A$1000,ROW()-3)="","",INDEX(MASTER_DATABASE!$J$4:$J$1000,ROW()-3)&amp;"")</f>
        <v>Please Confirm at Shop</v>
      </c>
      <c r="K55" s="7" t="str">
        <f aca="false">IF(INDEX(MASTER_DATABASE!$A$4:$A$1000,ROW()-3)="","",INDEX(MASTER_DATABASE!$M$4:$M$1000,ROW()-3)&amp;"")</f>
        <v>✓ Debit Card</v>
      </c>
      <c r="L55" s="7" t="str">
        <f aca="false">IF(INDEX(MASTER_DATABASE!$A$4:$A$1000,ROW()-3)="","",INDEX(MASTER_DATABASE!$Q$4:$Q$1000,ROW()-3)&amp;"")</f>
        <v>5–10 Minutes</v>
      </c>
      <c r="M55" s="11" t="str">
        <f aca="false">IF(INDEX(MASTER_DATABASE!$A$4:$A$1000,ROW()-3)="","",INDEX(MASTER_DATABASE!$AI$4:$AI$1000,ROW()-3)&amp;"")</f>
        <v>No</v>
      </c>
      <c r="N55" s="11" t="str">
        <f aca="false">IF(INDEX(MASTER_DATABASE!$A$4:$A$1000,ROW()-3)="","",INDEX(MASTER_DATABASE!$AJ$4:$AJ$1000,ROW()-3)&amp;"")</f>
        <v>No</v>
      </c>
      <c r="O55" s="11" t="str">
        <f aca="false">IF(INDEX(MASTER_DATABASE!$A$4:$A$1000,ROW()-3)="","",IF(INDEX(MASTER_DATABASE!$BE$4:$BE$1000,ROW()-3)="LIVE","Yes","No"))</f>
        <v>No</v>
      </c>
      <c r="P55" s="7" t="str">
        <f aca="false">IF(INDEX(MASTER_DATABASE!$A$4:$A$1000,ROW()-3)="","",INDEX(MASTER_DATABASE!$BG$4:$BG$1000,ROW()-3)&amp;"")</f>
        <v>Check Documents</v>
      </c>
      <c r="Q55" s="11" t="n">
        <f aca="false">IF(INDEX(MASTER_DATABASE!$A$4:$A$1000,ROW()-3)="","",INDEX(MASTER_DATABASE!$AQ$4:$AQ$1000,ROW()-3))</f>
        <v>100</v>
      </c>
    </row>
    <row r="56" customFormat="false" ht="23.85" hidden="false" customHeight="false" outlineLevel="0" collapsed="false">
      <c r="A56" s="11" t="str">
        <f aca="false">IF(INDEX(MASTER_DATABASE!$A$4:$A$1000,ROW()-3)="","",INDEX(MASTER_DATABASE!$A$4:$A$1000,ROW()-3)&amp;"")</f>
        <v>HDF-011</v>
      </c>
      <c r="B56" s="7" t="str">
        <f aca="false">IF(INDEX(MASTER_DATABASE!$A$4:$A$1000,ROW()-3)="","",INDEX(MASTER_DATABASE!$E$4:$E$1000,ROW()-3)&amp;"")</f>
        <v>HDFC BC – Micro ATM Mini Statement</v>
      </c>
      <c r="C56" s="7" t="str">
        <f aca="false">IF(INDEX(MASTER_DATABASE!$A$4:$A$1000,ROW()-3)="","",INDEX(MASTER_DATABASE!$F$4:$F$1000,ROW()-3)&amp;"")</f>
        <v>HDFC BC – Micro ATM मिनी स्टेटमेंट</v>
      </c>
      <c r="D56" s="7" t="str">
        <f aca="false">IF(INDEX(MASTER_DATABASE!$A$4:$A$1000,ROW()-3)="","",INDEX(MASTER_DATABASE!$AL$4:$AL$1000,ROW()-3)&amp;"")</f>
        <v>HDFC Bank BC Point</v>
      </c>
      <c r="E56" s="7" t="str">
        <f aca="false">IF(INDEX(MASTER_DATABASE!$A$4:$A$1000,ROW()-3)="","",INDEX(MASTER_DATABASE!$G$4:$G$1000,ROW()-3)&amp;"")</f>
        <v>HDFC BC – Micro ATM Mini Statement at our HDFC Bank BC Point.</v>
      </c>
      <c r="F56" s="11" t="str">
        <f aca="false">IF(INDEX(MASTER_DATABASE!$A$4:$A$1000,ROW()-3)="","",INDEX(MASTER_DATABASE!$AP$4:$AP$1000,ROW()-3)&amp;"")</f>
        <v>🏧</v>
      </c>
      <c r="G5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6" s="7" t="str">
        <f aca="false">IF(INDEX(MASTER_DATABASE!$A$4:$A$1000,ROW()-3)="","",INDEX(MASTER_DATABASE!$J$4:$J$1000,ROW()-3)&amp;"")</f>
        <v>Please Confirm at Shop</v>
      </c>
      <c r="K56" s="7" t="str">
        <f aca="false">IF(INDEX(MASTER_DATABASE!$A$4:$A$1000,ROW()-3)="","",INDEX(MASTER_DATABASE!$M$4:$M$1000,ROW()-3)&amp;"")</f>
        <v>✓ Debit Card</v>
      </c>
      <c r="L56" s="7" t="str">
        <f aca="false">IF(INDEX(MASTER_DATABASE!$A$4:$A$1000,ROW()-3)="","",INDEX(MASTER_DATABASE!$Q$4:$Q$1000,ROW()-3)&amp;"")</f>
        <v>5–10 Minutes</v>
      </c>
      <c r="M56" s="11" t="str">
        <f aca="false">IF(INDEX(MASTER_DATABASE!$A$4:$A$1000,ROW()-3)="","",INDEX(MASTER_DATABASE!$AI$4:$AI$1000,ROW()-3)&amp;"")</f>
        <v>No</v>
      </c>
      <c r="N56" s="11" t="str">
        <f aca="false">IF(INDEX(MASTER_DATABASE!$A$4:$A$1000,ROW()-3)="","",INDEX(MASTER_DATABASE!$AJ$4:$AJ$1000,ROW()-3)&amp;"")</f>
        <v>No</v>
      </c>
      <c r="O56" s="11" t="str">
        <f aca="false">IF(INDEX(MASTER_DATABASE!$A$4:$A$1000,ROW()-3)="","",IF(INDEX(MASTER_DATABASE!$BE$4:$BE$1000,ROW()-3)="LIVE","Yes","No"))</f>
        <v>No</v>
      </c>
      <c r="P56" s="7" t="str">
        <f aca="false">IF(INDEX(MASTER_DATABASE!$A$4:$A$1000,ROW()-3)="","",INDEX(MASTER_DATABASE!$BG$4:$BG$1000,ROW()-3)&amp;"")</f>
        <v>Check Documents</v>
      </c>
      <c r="Q56" s="11" t="n">
        <f aca="false">IF(INDEX(MASTER_DATABASE!$A$4:$A$1000,ROW()-3)="","",INDEX(MASTER_DATABASE!$AQ$4:$AQ$1000,ROW()-3))</f>
        <v>110</v>
      </c>
    </row>
    <row r="57" customFormat="false" ht="35.05" hidden="false" customHeight="false" outlineLevel="0" collapsed="false">
      <c r="A57" s="11" t="str">
        <f aca="false">IF(INDEX(MASTER_DATABASE!$A$4:$A$1000,ROW()-3)="","",INDEX(MASTER_DATABASE!$A$4:$A$1000,ROW()-3)&amp;"")</f>
        <v>HDF-012</v>
      </c>
      <c r="B57" s="7" t="str">
        <f aca="false">IF(INDEX(MASTER_DATABASE!$A$4:$A$1000,ROW()-3)="","",INDEX(MASTER_DATABASE!$E$4:$E$1000,ROW()-3)&amp;"")</f>
        <v>HDFC BC – Money Transfer (Domestic)</v>
      </c>
      <c r="C57" s="7" t="str">
        <f aca="false">IF(INDEX(MASTER_DATABASE!$A$4:$A$1000,ROW()-3)="","",INDEX(MASTER_DATABASE!$F$4:$F$1000,ROW()-3)&amp;"")</f>
        <v>HDFC BC – मनी ट्रांसफर (घरेलू)</v>
      </c>
      <c r="D57" s="7" t="str">
        <f aca="false">IF(INDEX(MASTER_DATABASE!$A$4:$A$1000,ROW()-3)="","",INDEX(MASTER_DATABASE!$AL$4:$AL$1000,ROW()-3)&amp;"")</f>
        <v>HDFC Bank BC Point</v>
      </c>
      <c r="E57" s="7" t="str">
        <f aca="false">IF(INDEX(MASTER_DATABASE!$A$4:$A$1000,ROW()-3)="","",INDEX(MASTER_DATABASE!$G$4:$G$1000,ROW()-3)&amp;"")</f>
        <v>HDFC BC – Money Transfer (Domestic) at our HDFC Bank BC Point.</v>
      </c>
      <c r="F57" s="11" t="str">
        <f aca="false">IF(INDEX(MASTER_DATABASE!$A$4:$A$1000,ROW()-3)="","",INDEX(MASTER_DATABASE!$AP$4:$AP$1000,ROW()-3)&amp;"")</f>
        <v>💸</v>
      </c>
      <c r="G5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7" s="7" t="str">
        <f aca="false">IF(INDEX(MASTER_DATABASE!$A$4:$A$1000,ROW()-3)="","",INDEX(MASTER_DATABASE!$J$4:$J$1000,ROW()-3)&amp;"")</f>
        <v>Please Confirm at Shop</v>
      </c>
      <c r="K57" s="7" t="str">
        <f aca="false">IF(INDEX(MASTER_DATABASE!$A$4:$A$1000,ROW()-3)="","",INDEX(MASTER_DATABASE!$M$4:$M$1000,ROW()-3)&amp;"")</f>
        <v>✓ Beneficiary Account Details
✓ Cash Amount
✓ Active Mobile Number</v>
      </c>
      <c r="L57" s="7" t="str">
        <f aca="false">IF(INDEX(MASTER_DATABASE!$A$4:$A$1000,ROW()-3)="","",INDEX(MASTER_DATABASE!$Q$4:$Q$1000,ROW()-3)&amp;"")</f>
        <v>Same Day</v>
      </c>
      <c r="M57" s="11" t="str">
        <f aca="false">IF(INDEX(MASTER_DATABASE!$A$4:$A$1000,ROW()-3)="","",INDEX(MASTER_DATABASE!$AI$4:$AI$1000,ROW()-3)&amp;"")</f>
        <v>No</v>
      </c>
      <c r="N57" s="11" t="str">
        <f aca="false">IF(INDEX(MASTER_DATABASE!$A$4:$A$1000,ROW()-3)="","",INDEX(MASTER_DATABASE!$AJ$4:$AJ$1000,ROW()-3)&amp;"")</f>
        <v>No</v>
      </c>
      <c r="O57" s="11" t="str">
        <f aca="false">IF(INDEX(MASTER_DATABASE!$A$4:$A$1000,ROW()-3)="","",IF(INDEX(MASTER_DATABASE!$BE$4:$BE$1000,ROW()-3)="LIVE","Yes","No"))</f>
        <v>No</v>
      </c>
      <c r="P57" s="7" t="str">
        <f aca="false">IF(INDEX(MASTER_DATABASE!$A$4:$A$1000,ROW()-3)="","",INDEX(MASTER_DATABASE!$BG$4:$BG$1000,ROW()-3)&amp;"")</f>
        <v>Check Documents</v>
      </c>
      <c r="Q57" s="11" t="n">
        <f aca="false">IF(INDEX(MASTER_DATABASE!$A$4:$A$1000,ROW()-3)="","",INDEX(MASTER_DATABASE!$AQ$4:$AQ$1000,ROW()-3))</f>
        <v>120</v>
      </c>
    </row>
    <row r="58" customFormat="false" ht="35.05" hidden="false" customHeight="false" outlineLevel="0" collapsed="false">
      <c r="A58" s="11" t="str">
        <f aca="false">IF(INDEX(MASTER_DATABASE!$A$4:$A$1000,ROW()-3)="","",INDEX(MASTER_DATABASE!$A$4:$A$1000,ROW()-3)&amp;"")</f>
        <v>HDF-013</v>
      </c>
      <c r="B58" s="7" t="str">
        <f aca="false">IF(INDEX(MASTER_DATABASE!$A$4:$A$1000,ROW()-3)="","",INDEX(MASTER_DATABASE!$E$4:$E$1000,ROW()-3)&amp;"")</f>
        <v>HDFC BC – New Savings Account Opening Assistance</v>
      </c>
      <c r="C58" s="7" t="str">
        <f aca="false">IF(INDEX(MASTER_DATABASE!$A$4:$A$1000,ROW()-3)="","",INDEX(MASTER_DATABASE!$F$4:$F$1000,ROW()-3)&amp;"")</f>
        <v>HDFC BC – नया बचत खाता खुलवाने में सहायता</v>
      </c>
      <c r="D58" s="7" t="str">
        <f aca="false">IF(INDEX(MASTER_DATABASE!$A$4:$A$1000,ROW()-3)="","",INDEX(MASTER_DATABASE!$AL$4:$AL$1000,ROW()-3)&amp;"")</f>
        <v>HDFC Bank BC Point</v>
      </c>
      <c r="E58" s="7" t="str">
        <f aca="false">IF(INDEX(MASTER_DATABASE!$A$4:$A$1000,ROW()-3)="","",INDEX(MASTER_DATABASE!$G$4:$G$1000,ROW()-3)&amp;"")</f>
        <v>HDFC BC – New Savings Account Opening Assistance at our HDFC Bank BC Point.</v>
      </c>
      <c r="F58" s="11" t="str">
        <f aca="false">IF(INDEX(MASTER_DATABASE!$A$4:$A$1000,ROW()-3)="","",INDEX(MASTER_DATABASE!$AP$4:$AP$1000,ROW()-3)&amp;"")</f>
        <v>🗂️</v>
      </c>
      <c r="G5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8" s="7" t="str">
        <f aca="false">IF(INDEX(MASTER_DATABASE!$A$4:$A$1000,ROW()-3)="","",INDEX(MASTER_DATABASE!$J$4:$J$1000,ROW()-3)&amp;"")</f>
        <v>To Be Confirmed</v>
      </c>
      <c r="K58" s="7" t="str">
        <f aca="false">IF(INDEX(MASTER_DATABASE!$A$4:$A$1000,ROW()-3)="","",INDEX(MASTER_DATABASE!$M$4:$M$1000,ROW()-3)&amp;"")</f>
        <v>✓ Aadhaar Card
✓ Passport Photo
✓ Active Mobile Number</v>
      </c>
      <c r="L58" s="7" t="str">
        <f aca="false">IF(INDEX(MASTER_DATABASE!$A$4:$A$1000,ROW()-3)="","",INDEX(MASTER_DATABASE!$Q$4:$Q$1000,ROW()-3)&amp;"")</f>
        <v>Depends on Department</v>
      </c>
      <c r="M58" s="11" t="str">
        <f aca="false">IF(INDEX(MASTER_DATABASE!$A$4:$A$1000,ROW()-3)="","",INDEX(MASTER_DATABASE!$AI$4:$AI$1000,ROW()-3)&amp;"")</f>
        <v>No</v>
      </c>
      <c r="N58" s="11" t="str">
        <f aca="false">IF(INDEX(MASTER_DATABASE!$A$4:$A$1000,ROW()-3)="","",INDEX(MASTER_DATABASE!$AJ$4:$AJ$1000,ROW()-3)&amp;"")</f>
        <v>No</v>
      </c>
      <c r="O58" s="11" t="str">
        <f aca="false">IF(INDEX(MASTER_DATABASE!$A$4:$A$1000,ROW()-3)="","",IF(INDEX(MASTER_DATABASE!$BE$4:$BE$1000,ROW()-3)="LIVE","Yes","No"))</f>
        <v>No</v>
      </c>
      <c r="P58" s="7" t="str">
        <f aca="false">IF(INDEX(MASTER_DATABASE!$A$4:$A$1000,ROW()-3)="","",INDEX(MASTER_DATABASE!$BG$4:$BG$1000,ROW()-3)&amp;"")</f>
        <v>Check Documents</v>
      </c>
      <c r="Q58" s="11" t="n">
        <f aca="false">IF(INDEX(MASTER_DATABASE!$A$4:$A$1000,ROW()-3)="","",INDEX(MASTER_DATABASE!$AQ$4:$AQ$1000,ROW()-3))</f>
        <v>130</v>
      </c>
    </row>
    <row r="59" customFormat="false" ht="35.05" hidden="false" customHeight="false" outlineLevel="0" collapsed="false">
      <c r="A59" s="11" t="str">
        <f aca="false">IF(INDEX(MASTER_DATABASE!$A$4:$A$1000,ROW()-3)="","",INDEX(MASTER_DATABASE!$A$4:$A$1000,ROW()-3)&amp;"")</f>
        <v>HDF-014</v>
      </c>
      <c r="B59" s="7" t="str">
        <f aca="false">IF(INDEX(MASTER_DATABASE!$A$4:$A$1000,ROW()-3)="","",INDEX(MASTER_DATABASE!$E$4:$E$1000,ROW()-3)&amp;"")</f>
        <v>HDFC BC – Account Mobile Number Registration / Update</v>
      </c>
      <c r="C59" s="7" t="str">
        <f aca="false">IF(INDEX(MASTER_DATABASE!$A$4:$A$1000,ROW()-3)="","",INDEX(MASTER_DATABASE!$F$4:$F$1000,ROW()-3)&amp;"")</f>
        <v>HDFC BC – खाते में मोबाइल नंबर पंजीकरण / अपडेट</v>
      </c>
      <c r="D59" s="7" t="str">
        <f aca="false">IF(INDEX(MASTER_DATABASE!$A$4:$A$1000,ROW()-3)="","",INDEX(MASTER_DATABASE!$AL$4:$AL$1000,ROW()-3)&amp;"")</f>
        <v>HDFC Bank BC Point</v>
      </c>
      <c r="E59" s="7" t="str">
        <f aca="false">IF(INDEX(MASTER_DATABASE!$A$4:$A$1000,ROW()-3)="","",INDEX(MASTER_DATABASE!$G$4:$G$1000,ROW()-3)&amp;"")</f>
        <v>HDFC BC – Account Mobile Number Registration / Update at our HDFC Bank BC Point.</v>
      </c>
      <c r="F59" s="11" t="str">
        <f aca="false">IF(INDEX(MASTER_DATABASE!$A$4:$A$1000,ROW()-3)="","",INDEX(MASTER_DATABASE!$AP$4:$AP$1000,ROW()-3)&amp;"")</f>
        <v>🗂️</v>
      </c>
      <c r="G5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5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5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59" s="7" t="str">
        <f aca="false">IF(INDEX(MASTER_DATABASE!$A$4:$A$1000,ROW()-3)="","",INDEX(MASTER_DATABASE!$J$4:$J$1000,ROW()-3)&amp;"")</f>
        <v>To Be Confirmed</v>
      </c>
      <c r="K59" s="7" t="str">
        <f aca="false">IF(INDEX(MASTER_DATABASE!$A$4:$A$1000,ROW()-3)="","",INDEX(MASTER_DATABASE!$M$4:$M$1000,ROW()-3)&amp;"")</f>
        <v>✓ Aadhaar Card
✓ Bank Account Number
✓ Active Mobile Number</v>
      </c>
      <c r="L59" s="7" t="str">
        <f aca="false">IF(INDEX(MASTER_DATABASE!$A$4:$A$1000,ROW()-3)="","",INDEX(MASTER_DATABASE!$Q$4:$Q$1000,ROW()-3)&amp;"")</f>
        <v>Depends on Department</v>
      </c>
      <c r="M59" s="11" t="str">
        <f aca="false">IF(INDEX(MASTER_DATABASE!$A$4:$A$1000,ROW()-3)="","",INDEX(MASTER_DATABASE!$AI$4:$AI$1000,ROW()-3)&amp;"")</f>
        <v>No</v>
      </c>
      <c r="N59" s="11" t="str">
        <f aca="false">IF(INDEX(MASTER_DATABASE!$A$4:$A$1000,ROW()-3)="","",INDEX(MASTER_DATABASE!$AJ$4:$AJ$1000,ROW()-3)&amp;"")</f>
        <v>No</v>
      </c>
      <c r="O59" s="11" t="str">
        <f aca="false">IF(INDEX(MASTER_DATABASE!$A$4:$A$1000,ROW()-3)="","",IF(INDEX(MASTER_DATABASE!$BE$4:$BE$1000,ROW()-3)="LIVE","Yes","No"))</f>
        <v>No</v>
      </c>
      <c r="P59" s="7" t="str">
        <f aca="false">IF(INDEX(MASTER_DATABASE!$A$4:$A$1000,ROW()-3)="","",INDEX(MASTER_DATABASE!$BG$4:$BG$1000,ROW()-3)&amp;"")</f>
        <v>Check Documents</v>
      </c>
      <c r="Q59" s="11" t="n">
        <f aca="false">IF(INDEX(MASTER_DATABASE!$A$4:$A$1000,ROW()-3)="","",INDEX(MASTER_DATABASE!$AQ$4:$AQ$1000,ROW()-3))</f>
        <v>140</v>
      </c>
    </row>
    <row r="60" customFormat="false" ht="35.05" hidden="false" customHeight="false" outlineLevel="0" collapsed="false">
      <c r="A60" s="11" t="str">
        <f aca="false">IF(INDEX(MASTER_DATABASE!$A$4:$A$1000,ROW()-3)="","",INDEX(MASTER_DATABASE!$A$4:$A$1000,ROW()-3)&amp;"")</f>
        <v>HDF-015</v>
      </c>
      <c r="B60" s="7" t="str">
        <f aca="false">IF(INDEX(MASTER_DATABASE!$A$4:$A$1000,ROW()-3)="","",INDEX(MASTER_DATABASE!$E$4:$E$1000,ROW()-3)&amp;"")</f>
        <v>HDFC BC – Debit Card Request / PIN Assistance</v>
      </c>
      <c r="C60" s="7" t="str">
        <f aca="false">IF(INDEX(MASTER_DATABASE!$A$4:$A$1000,ROW()-3)="","",INDEX(MASTER_DATABASE!$F$4:$F$1000,ROW()-3)&amp;"")</f>
        <v>HDFC BC – डेबिट कार्ड / PIN सहायता</v>
      </c>
      <c r="D60" s="7" t="str">
        <f aca="false">IF(INDEX(MASTER_DATABASE!$A$4:$A$1000,ROW()-3)="","",INDEX(MASTER_DATABASE!$AL$4:$AL$1000,ROW()-3)&amp;"")</f>
        <v>HDFC Bank BC Point</v>
      </c>
      <c r="E60" s="7" t="str">
        <f aca="false">IF(INDEX(MASTER_DATABASE!$A$4:$A$1000,ROW()-3)="","",INDEX(MASTER_DATABASE!$G$4:$G$1000,ROW()-3)&amp;"")</f>
        <v>HDFC BC – Debit Card Request / PIN Assistance at our HDFC Bank BC Point.</v>
      </c>
      <c r="F60" s="11" t="str">
        <f aca="false">IF(INDEX(MASTER_DATABASE!$A$4:$A$1000,ROW()-3)="","",INDEX(MASTER_DATABASE!$AP$4:$AP$1000,ROW()-3)&amp;"")</f>
        <v>🗂️</v>
      </c>
      <c r="G6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0" s="7" t="str">
        <f aca="false">IF(INDEX(MASTER_DATABASE!$A$4:$A$1000,ROW()-3)="","",INDEX(MASTER_DATABASE!$J$4:$J$1000,ROW()-3)&amp;"")</f>
        <v>To Be Confirmed</v>
      </c>
      <c r="K60" s="7" t="str">
        <f aca="false">IF(INDEX(MASTER_DATABASE!$A$4:$A$1000,ROW()-3)="","",INDEX(MASTER_DATABASE!$M$4:$M$1000,ROW()-3)&amp;"")</f>
        <v>✓ Aadhaar Card
✓ Bank Account Number
✓ Active Mobile Number</v>
      </c>
      <c r="L60" s="7" t="str">
        <f aca="false">IF(INDEX(MASTER_DATABASE!$A$4:$A$1000,ROW()-3)="","",INDEX(MASTER_DATABASE!$Q$4:$Q$1000,ROW()-3)&amp;"")</f>
        <v>Depends on Department</v>
      </c>
      <c r="M60" s="11" t="str">
        <f aca="false">IF(INDEX(MASTER_DATABASE!$A$4:$A$1000,ROW()-3)="","",INDEX(MASTER_DATABASE!$AI$4:$AI$1000,ROW()-3)&amp;"")</f>
        <v>No</v>
      </c>
      <c r="N60" s="11" t="str">
        <f aca="false">IF(INDEX(MASTER_DATABASE!$A$4:$A$1000,ROW()-3)="","",INDEX(MASTER_DATABASE!$AJ$4:$AJ$1000,ROW()-3)&amp;"")</f>
        <v>No</v>
      </c>
      <c r="O60" s="11" t="str">
        <f aca="false">IF(INDEX(MASTER_DATABASE!$A$4:$A$1000,ROW()-3)="","",IF(INDEX(MASTER_DATABASE!$BE$4:$BE$1000,ROW()-3)="LIVE","Yes","No"))</f>
        <v>No</v>
      </c>
      <c r="P60" s="7" t="str">
        <f aca="false">IF(INDEX(MASTER_DATABASE!$A$4:$A$1000,ROW()-3)="","",INDEX(MASTER_DATABASE!$BG$4:$BG$1000,ROW()-3)&amp;"")</f>
        <v>Check Documents</v>
      </c>
      <c r="Q60" s="11" t="n">
        <f aca="false">IF(INDEX(MASTER_DATABASE!$A$4:$A$1000,ROW()-3)="","",INDEX(MASTER_DATABASE!$AQ$4:$AQ$1000,ROW()-3))</f>
        <v>150</v>
      </c>
    </row>
    <row r="61" customFormat="false" ht="35.05" hidden="false" customHeight="false" outlineLevel="0" collapsed="false">
      <c r="A61" s="11" t="str">
        <f aca="false">IF(INDEX(MASTER_DATABASE!$A$4:$A$1000,ROW()-3)="","",INDEX(MASTER_DATABASE!$A$4:$A$1000,ROW()-3)&amp;"")</f>
        <v>HDF-016</v>
      </c>
      <c r="B61" s="7" t="str">
        <f aca="false">IF(INDEX(MASTER_DATABASE!$A$4:$A$1000,ROW()-3)="","",INDEX(MASTER_DATABASE!$E$4:$E$1000,ROW()-3)&amp;"")</f>
        <v>HDFC BC – Cheque Book Request Assistance</v>
      </c>
      <c r="C61" s="7" t="str">
        <f aca="false">IF(INDEX(MASTER_DATABASE!$A$4:$A$1000,ROW()-3)="","",INDEX(MASTER_DATABASE!$F$4:$F$1000,ROW()-3)&amp;"")</f>
        <v>HDFC BC – चेक बुक आवेदन सहायता</v>
      </c>
      <c r="D61" s="7" t="str">
        <f aca="false">IF(INDEX(MASTER_DATABASE!$A$4:$A$1000,ROW()-3)="","",INDEX(MASTER_DATABASE!$AL$4:$AL$1000,ROW()-3)&amp;"")</f>
        <v>HDFC Bank BC Point</v>
      </c>
      <c r="E61" s="7" t="str">
        <f aca="false">IF(INDEX(MASTER_DATABASE!$A$4:$A$1000,ROW()-3)="","",INDEX(MASTER_DATABASE!$G$4:$G$1000,ROW()-3)&amp;"")</f>
        <v>HDFC BC – Cheque Book Request Assistance at our HDFC Bank BC Point.</v>
      </c>
      <c r="F61" s="11" t="str">
        <f aca="false">IF(INDEX(MASTER_DATABASE!$A$4:$A$1000,ROW()-3)="","",INDEX(MASTER_DATABASE!$AP$4:$AP$1000,ROW()-3)&amp;"")</f>
        <v>🗂️</v>
      </c>
      <c r="G6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1" s="7" t="str">
        <f aca="false">IF(INDEX(MASTER_DATABASE!$A$4:$A$1000,ROW()-3)="","",INDEX(MASTER_DATABASE!$J$4:$J$1000,ROW()-3)&amp;"")</f>
        <v>To Be Confirmed</v>
      </c>
      <c r="K61" s="7" t="str">
        <f aca="false">IF(INDEX(MASTER_DATABASE!$A$4:$A$1000,ROW()-3)="","",INDEX(MASTER_DATABASE!$M$4:$M$1000,ROW()-3)&amp;"")</f>
        <v>✓ Aadhaar Card
✓ Bank Account Number
✓ Active Mobile Number</v>
      </c>
      <c r="L61" s="7" t="str">
        <f aca="false">IF(INDEX(MASTER_DATABASE!$A$4:$A$1000,ROW()-3)="","",INDEX(MASTER_DATABASE!$Q$4:$Q$1000,ROW()-3)&amp;"")</f>
        <v>Depends on Department</v>
      </c>
      <c r="M61" s="11" t="str">
        <f aca="false">IF(INDEX(MASTER_DATABASE!$A$4:$A$1000,ROW()-3)="","",INDEX(MASTER_DATABASE!$AI$4:$AI$1000,ROW()-3)&amp;"")</f>
        <v>No</v>
      </c>
      <c r="N61" s="11" t="str">
        <f aca="false">IF(INDEX(MASTER_DATABASE!$A$4:$A$1000,ROW()-3)="","",INDEX(MASTER_DATABASE!$AJ$4:$AJ$1000,ROW()-3)&amp;"")</f>
        <v>No</v>
      </c>
      <c r="O61" s="11" t="str">
        <f aca="false">IF(INDEX(MASTER_DATABASE!$A$4:$A$1000,ROW()-3)="","",IF(INDEX(MASTER_DATABASE!$BE$4:$BE$1000,ROW()-3)="LIVE","Yes","No"))</f>
        <v>No</v>
      </c>
      <c r="P61" s="7" t="str">
        <f aca="false">IF(INDEX(MASTER_DATABASE!$A$4:$A$1000,ROW()-3)="","",INDEX(MASTER_DATABASE!$BG$4:$BG$1000,ROW()-3)&amp;"")</f>
        <v>Check Documents</v>
      </c>
      <c r="Q61" s="11" t="n">
        <f aca="false">IF(INDEX(MASTER_DATABASE!$A$4:$A$1000,ROW()-3)="","",INDEX(MASTER_DATABASE!$AQ$4:$AQ$1000,ROW()-3))</f>
        <v>160</v>
      </c>
    </row>
    <row r="62" customFormat="false" ht="35.05" hidden="false" customHeight="false" outlineLevel="0" collapsed="false">
      <c r="A62" s="11" t="str">
        <f aca="false">IF(INDEX(MASTER_DATABASE!$A$4:$A$1000,ROW()-3)="","",INDEX(MASTER_DATABASE!$A$4:$A$1000,ROW()-3)&amp;"")</f>
        <v>HDF-017</v>
      </c>
      <c r="B62" s="7" t="str">
        <f aca="false">IF(INDEX(MASTER_DATABASE!$A$4:$A$1000,ROW()-3)="","",INDEX(MASTER_DATABASE!$E$4:$E$1000,ROW()-3)&amp;"")</f>
        <v>HDFC BC – Passbook / Statement Request Assistance</v>
      </c>
      <c r="C62" s="7" t="str">
        <f aca="false">IF(INDEX(MASTER_DATABASE!$A$4:$A$1000,ROW()-3)="","",INDEX(MASTER_DATABASE!$F$4:$F$1000,ROW()-3)&amp;"")</f>
        <v>HDFC BC – पासबुक / स्टेटमेंट आवेदन सहायता</v>
      </c>
      <c r="D62" s="7" t="str">
        <f aca="false">IF(INDEX(MASTER_DATABASE!$A$4:$A$1000,ROW()-3)="","",INDEX(MASTER_DATABASE!$AL$4:$AL$1000,ROW()-3)&amp;"")</f>
        <v>HDFC Bank BC Point</v>
      </c>
      <c r="E62" s="7" t="str">
        <f aca="false">IF(INDEX(MASTER_DATABASE!$A$4:$A$1000,ROW()-3)="","",INDEX(MASTER_DATABASE!$G$4:$G$1000,ROW()-3)&amp;"")</f>
        <v>HDFC BC – Passbook / Statement Request Assistance at our HDFC Bank BC Point.</v>
      </c>
      <c r="F62" s="11" t="str">
        <f aca="false">IF(INDEX(MASTER_DATABASE!$A$4:$A$1000,ROW()-3)="","",INDEX(MASTER_DATABASE!$AP$4:$AP$1000,ROW()-3)&amp;"")</f>
        <v>🗂️</v>
      </c>
      <c r="G6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2" s="7" t="str">
        <f aca="false">IF(INDEX(MASTER_DATABASE!$A$4:$A$1000,ROW()-3)="","",INDEX(MASTER_DATABASE!$J$4:$J$1000,ROW()-3)&amp;"")</f>
        <v>To Be Confirmed</v>
      </c>
      <c r="K62" s="7" t="str">
        <f aca="false">IF(INDEX(MASTER_DATABASE!$A$4:$A$1000,ROW()-3)="","",INDEX(MASTER_DATABASE!$M$4:$M$1000,ROW()-3)&amp;"")</f>
        <v>✓ Aadhaar Card
✓ Bank Account Number
✓ Active Mobile Number</v>
      </c>
      <c r="L62" s="7" t="str">
        <f aca="false">IF(INDEX(MASTER_DATABASE!$A$4:$A$1000,ROW()-3)="","",INDEX(MASTER_DATABASE!$Q$4:$Q$1000,ROW()-3)&amp;"")</f>
        <v>Depends on Department</v>
      </c>
      <c r="M62" s="11" t="str">
        <f aca="false">IF(INDEX(MASTER_DATABASE!$A$4:$A$1000,ROW()-3)="","",INDEX(MASTER_DATABASE!$AI$4:$AI$1000,ROW()-3)&amp;"")</f>
        <v>No</v>
      </c>
      <c r="N62" s="11" t="str">
        <f aca="false">IF(INDEX(MASTER_DATABASE!$A$4:$A$1000,ROW()-3)="","",INDEX(MASTER_DATABASE!$AJ$4:$AJ$1000,ROW()-3)&amp;"")</f>
        <v>No</v>
      </c>
      <c r="O62" s="11" t="str">
        <f aca="false">IF(INDEX(MASTER_DATABASE!$A$4:$A$1000,ROW()-3)="","",IF(INDEX(MASTER_DATABASE!$BE$4:$BE$1000,ROW()-3)="LIVE","Yes","No"))</f>
        <v>No</v>
      </c>
      <c r="P62" s="7" t="str">
        <f aca="false">IF(INDEX(MASTER_DATABASE!$A$4:$A$1000,ROW()-3)="","",INDEX(MASTER_DATABASE!$BG$4:$BG$1000,ROW()-3)&amp;"")</f>
        <v>Check Documents</v>
      </c>
      <c r="Q62" s="11" t="n">
        <f aca="false">IF(INDEX(MASTER_DATABASE!$A$4:$A$1000,ROW()-3)="","",INDEX(MASTER_DATABASE!$AQ$4:$AQ$1000,ROW()-3))</f>
        <v>170</v>
      </c>
    </row>
    <row r="63" customFormat="false" ht="23.85" hidden="false" customHeight="false" outlineLevel="0" collapsed="false">
      <c r="A63" s="11" t="str">
        <f aca="false">IF(INDEX(MASTER_DATABASE!$A$4:$A$1000,ROW()-3)="","",INDEX(MASTER_DATABASE!$A$4:$A$1000,ROW()-3)&amp;"")</f>
        <v>HDF-018</v>
      </c>
      <c r="B63" s="7" t="str">
        <f aca="false">IF(INDEX(MASTER_DATABASE!$A$4:$A$1000,ROW()-3)="","",INDEX(MASTER_DATABASE!$E$4:$E$1000,ROW()-3)&amp;"")</f>
        <v>HDFC BC – KYC Document Collection / Update</v>
      </c>
      <c r="C63" s="7" t="str">
        <f aca="false">IF(INDEX(MASTER_DATABASE!$A$4:$A$1000,ROW()-3)="","",INDEX(MASTER_DATABASE!$F$4:$F$1000,ROW()-3)&amp;"")</f>
        <v>HDFC BC – KYC दस्तावेज़ जमा / अपडेट</v>
      </c>
      <c r="D63" s="7" t="str">
        <f aca="false">IF(INDEX(MASTER_DATABASE!$A$4:$A$1000,ROW()-3)="","",INDEX(MASTER_DATABASE!$AL$4:$AL$1000,ROW()-3)&amp;"")</f>
        <v>HDFC Bank BC Point</v>
      </c>
      <c r="E63" s="7" t="str">
        <f aca="false">IF(INDEX(MASTER_DATABASE!$A$4:$A$1000,ROW()-3)="","",INDEX(MASTER_DATABASE!$G$4:$G$1000,ROW()-3)&amp;"")</f>
        <v>HDFC BC – KYC Document Collection / Update at our HDFC Bank BC Point.</v>
      </c>
      <c r="F63" s="11" t="str">
        <f aca="false">IF(INDEX(MASTER_DATABASE!$A$4:$A$1000,ROW()-3)="","",INDEX(MASTER_DATABASE!$AP$4:$AP$1000,ROW()-3)&amp;"")</f>
        <v>🗂️</v>
      </c>
      <c r="G6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3" s="7" t="str">
        <f aca="false">IF(INDEX(MASTER_DATABASE!$A$4:$A$1000,ROW()-3)="","",INDEX(MASTER_DATABASE!$J$4:$J$1000,ROW()-3)&amp;"")</f>
        <v>To Be Confirmed</v>
      </c>
      <c r="K63" s="7" t="str">
        <f aca="false">IF(INDEX(MASTER_DATABASE!$A$4:$A$1000,ROW()-3)="","",INDEX(MASTER_DATABASE!$M$4:$M$1000,ROW()-3)&amp;"")</f>
        <v>✓ Aadhaar Card</v>
      </c>
      <c r="L63" s="7" t="str">
        <f aca="false">IF(INDEX(MASTER_DATABASE!$A$4:$A$1000,ROW()-3)="","",INDEX(MASTER_DATABASE!$Q$4:$Q$1000,ROW()-3)&amp;"")</f>
        <v>Depends on Department</v>
      </c>
      <c r="M63" s="11" t="str">
        <f aca="false">IF(INDEX(MASTER_DATABASE!$A$4:$A$1000,ROW()-3)="","",INDEX(MASTER_DATABASE!$AI$4:$AI$1000,ROW()-3)&amp;"")</f>
        <v>No</v>
      </c>
      <c r="N63" s="11" t="str">
        <f aca="false">IF(INDEX(MASTER_DATABASE!$A$4:$A$1000,ROW()-3)="","",INDEX(MASTER_DATABASE!$AJ$4:$AJ$1000,ROW()-3)&amp;"")</f>
        <v>No</v>
      </c>
      <c r="O63" s="11" t="str">
        <f aca="false">IF(INDEX(MASTER_DATABASE!$A$4:$A$1000,ROW()-3)="","",IF(INDEX(MASTER_DATABASE!$BE$4:$BE$1000,ROW()-3)="LIVE","Yes","No"))</f>
        <v>No</v>
      </c>
      <c r="P63" s="7" t="str">
        <f aca="false">IF(INDEX(MASTER_DATABASE!$A$4:$A$1000,ROW()-3)="","",INDEX(MASTER_DATABASE!$BG$4:$BG$1000,ROW()-3)&amp;"")</f>
        <v>Check Documents</v>
      </c>
      <c r="Q63" s="11" t="n">
        <f aca="false">IF(INDEX(MASTER_DATABASE!$A$4:$A$1000,ROW()-3)="","",INDEX(MASTER_DATABASE!$AQ$4:$AQ$1000,ROW()-3))</f>
        <v>180</v>
      </c>
    </row>
    <row r="64" customFormat="false" ht="35.05" hidden="false" customHeight="false" outlineLevel="0" collapsed="false">
      <c r="A64" s="11" t="str">
        <f aca="false">IF(INDEX(MASTER_DATABASE!$A$4:$A$1000,ROW()-3)="","",INDEX(MASTER_DATABASE!$A$4:$A$1000,ROW()-3)&amp;"")</f>
        <v>HDF-019</v>
      </c>
      <c r="B64" s="7" t="str">
        <f aca="false">IF(INDEX(MASTER_DATABASE!$A$4:$A$1000,ROW()-3)="","",INDEX(MASTER_DATABASE!$E$4:$E$1000,ROW()-3)&amp;"")</f>
        <v>HDFC BC – Account Query / Complaint Assistance</v>
      </c>
      <c r="C64" s="7" t="str">
        <f aca="false">IF(INDEX(MASTER_DATABASE!$A$4:$A$1000,ROW()-3)="","",INDEX(MASTER_DATABASE!$F$4:$F$1000,ROW()-3)&amp;"")</f>
        <v>HDFC BC – खाता शिकायत / समस्या सहायता</v>
      </c>
      <c r="D64" s="7" t="str">
        <f aca="false">IF(INDEX(MASTER_DATABASE!$A$4:$A$1000,ROW()-3)="","",INDEX(MASTER_DATABASE!$AL$4:$AL$1000,ROW()-3)&amp;"")</f>
        <v>HDFC Bank BC Point</v>
      </c>
      <c r="E64" s="7" t="str">
        <f aca="false">IF(INDEX(MASTER_DATABASE!$A$4:$A$1000,ROW()-3)="","",INDEX(MASTER_DATABASE!$G$4:$G$1000,ROW()-3)&amp;"")</f>
        <v>HDFC BC – Account Query / Complaint Assistance at our HDFC Bank BC Point.</v>
      </c>
      <c r="F64" s="11" t="str">
        <f aca="false">IF(INDEX(MASTER_DATABASE!$A$4:$A$1000,ROW()-3)="","",INDEX(MASTER_DATABASE!$AP$4:$AP$1000,ROW()-3)&amp;"")</f>
        <v>🗂️</v>
      </c>
      <c r="G6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4" s="7" t="str">
        <f aca="false">IF(INDEX(MASTER_DATABASE!$A$4:$A$1000,ROW()-3)="","",INDEX(MASTER_DATABASE!$J$4:$J$1000,ROW()-3)&amp;"")</f>
        <v>To Be Confirmed</v>
      </c>
      <c r="K64" s="7" t="str">
        <f aca="false">IF(INDEX(MASTER_DATABASE!$A$4:$A$1000,ROW()-3)="","",INDEX(MASTER_DATABASE!$M$4:$M$1000,ROW()-3)&amp;"")</f>
        <v>✓ Aadhaar Card
✓ Bank Account Number
✓ Active Mobile Number</v>
      </c>
      <c r="L64" s="7" t="str">
        <f aca="false">IF(INDEX(MASTER_DATABASE!$A$4:$A$1000,ROW()-3)="","",INDEX(MASTER_DATABASE!$Q$4:$Q$1000,ROW()-3)&amp;"")</f>
        <v>Depends on Department</v>
      </c>
      <c r="M64" s="11" t="str">
        <f aca="false">IF(INDEX(MASTER_DATABASE!$A$4:$A$1000,ROW()-3)="","",INDEX(MASTER_DATABASE!$AI$4:$AI$1000,ROW()-3)&amp;"")</f>
        <v>No</v>
      </c>
      <c r="N64" s="11" t="str">
        <f aca="false">IF(INDEX(MASTER_DATABASE!$A$4:$A$1000,ROW()-3)="","",INDEX(MASTER_DATABASE!$AJ$4:$AJ$1000,ROW()-3)&amp;"")</f>
        <v>No</v>
      </c>
      <c r="O64" s="11" t="str">
        <f aca="false">IF(INDEX(MASTER_DATABASE!$A$4:$A$1000,ROW()-3)="","",IF(INDEX(MASTER_DATABASE!$BE$4:$BE$1000,ROW()-3)="LIVE","Yes","No"))</f>
        <v>No</v>
      </c>
      <c r="P64" s="7" t="str">
        <f aca="false">IF(INDEX(MASTER_DATABASE!$A$4:$A$1000,ROW()-3)="","",INDEX(MASTER_DATABASE!$BG$4:$BG$1000,ROW()-3)&amp;"")</f>
        <v>Check Documents</v>
      </c>
      <c r="Q64" s="11" t="n">
        <f aca="false">IF(INDEX(MASTER_DATABASE!$A$4:$A$1000,ROW()-3)="","",INDEX(MASTER_DATABASE!$AQ$4:$AQ$1000,ROW()-3))</f>
        <v>190</v>
      </c>
    </row>
    <row r="65" customFormat="false" ht="46.25" hidden="false" customHeight="false" outlineLevel="0" collapsed="false">
      <c r="A65" s="11" t="str">
        <f aca="false">IF(INDEX(MASTER_DATABASE!$A$4:$A$1000,ROW()-3)="","",INDEX(MASTER_DATABASE!$A$4:$A$1000,ROW()-3)&amp;"")</f>
        <v>HDF-020</v>
      </c>
      <c r="B65" s="7" t="str">
        <f aca="false">IF(INDEX(MASTER_DATABASE!$A$4:$A$1000,ROW()-3)="","",INDEX(MASTER_DATABASE!$E$4:$E$1000,ROW()-3)&amp;"")</f>
        <v>HDFC BC – PMJJBY / PMSBY Enrolment Assistance</v>
      </c>
      <c r="C65" s="7" t="str">
        <f aca="false">IF(INDEX(MASTER_DATABASE!$A$4:$A$1000,ROW()-3)="","",INDEX(MASTER_DATABASE!$F$4:$F$1000,ROW()-3)&amp;"")</f>
        <v>HDFC BC – PMJJBY / PMSBY नामांकन सहायता</v>
      </c>
      <c r="D65" s="7" t="str">
        <f aca="false">IF(INDEX(MASTER_DATABASE!$A$4:$A$1000,ROW()-3)="","",INDEX(MASTER_DATABASE!$AL$4:$AL$1000,ROW()-3)&amp;"")</f>
        <v>HDFC Bank BC Point</v>
      </c>
      <c r="E65" s="7" t="str">
        <f aca="false">IF(INDEX(MASTER_DATABASE!$A$4:$A$1000,ROW()-3)="","",INDEX(MASTER_DATABASE!$G$4:$G$1000,ROW()-3)&amp;"")</f>
        <v>HDFC BC – PMJJBY / PMSBY Enrolment Assistance at our HDFC Bank BC Point.</v>
      </c>
      <c r="F65" s="11" t="str">
        <f aca="false">IF(INDEX(MASTER_DATABASE!$A$4:$A$1000,ROW()-3)="","",INDEX(MASTER_DATABASE!$AP$4:$AP$1000,ROW()-3)&amp;"")</f>
        <v>🏦</v>
      </c>
      <c r="G6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5" s="7" t="str">
        <f aca="false">IF(INDEX(MASTER_DATABASE!$A$4:$A$1000,ROW()-3)="","",INDEX(MASTER_DATABASE!$J$4:$J$1000,ROW()-3)&amp;"")</f>
        <v>To Be Confirmed</v>
      </c>
      <c r="K65" s="7" t="str">
        <f aca="false">IF(INDEX(MASTER_DATABASE!$A$4:$A$1000,ROW()-3)="","",INDEX(MASTER_DATABASE!$M$4:$M$1000,ROW()-3)&amp;"")</f>
        <v>✓ Aadhaar Card
✓ Bank Account Number
✓ Active Mobile Number
✓ Nominee Details</v>
      </c>
      <c r="L65" s="7" t="str">
        <f aca="false">IF(INDEX(MASTER_DATABASE!$A$4:$A$1000,ROW()-3)="","",INDEX(MASTER_DATABASE!$Q$4:$Q$1000,ROW()-3)&amp;"")</f>
        <v>Depends on Department</v>
      </c>
      <c r="M65" s="11" t="str">
        <f aca="false">IF(INDEX(MASTER_DATABASE!$A$4:$A$1000,ROW()-3)="","",INDEX(MASTER_DATABASE!$AI$4:$AI$1000,ROW()-3)&amp;"")</f>
        <v>No</v>
      </c>
      <c r="N65" s="11" t="str">
        <f aca="false">IF(INDEX(MASTER_DATABASE!$A$4:$A$1000,ROW()-3)="","",INDEX(MASTER_DATABASE!$AJ$4:$AJ$1000,ROW()-3)&amp;"")</f>
        <v>No</v>
      </c>
      <c r="O65" s="11" t="str">
        <f aca="false">IF(INDEX(MASTER_DATABASE!$A$4:$A$1000,ROW()-3)="","",IF(INDEX(MASTER_DATABASE!$BE$4:$BE$1000,ROW()-3)="LIVE","Yes","No"))</f>
        <v>No</v>
      </c>
      <c r="P65" s="7" t="str">
        <f aca="false">IF(INDEX(MASTER_DATABASE!$A$4:$A$1000,ROW()-3)="","",INDEX(MASTER_DATABASE!$BG$4:$BG$1000,ROW()-3)&amp;"")</f>
        <v>Check Documents</v>
      </c>
      <c r="Q65" s="11" t="n">
        <f aca="false">IF(INDEX(MASTER_DATABASE!$A$4:$A$1000,ROW()-3)="","",INDEX(MASTER_DATABASE!$AQ$4:$AQ$1000,ROW()-3))</f>
        <v>200</v>
      </c>
    </row>
    <row r="66" customFormat="false" ht="46.25" hidden="false" customHeight="false" outlineLevel="0" collapsed="false">
      <c r="A66" s="11" t="str">
        <f aca="false">IF(INDEX(MASTER_DATABASE!$A$4:$A$1000,ROW()-3)="","",INDEX(MASTER_DATABASE!$A$4:$A$1000,ROW()-3)&amp;"")</f>
        <v>HDF-021</v>
      </c>
      <c r="B66" s="7" t="str">
        <f aca="false">IF(INDEX(MASTER_DATABASE!$A$4:$A$1000,ROW()-3)="","",INDEX(MASTER_DATABASE!$E$4:$E$1000,ROW()-3)&amp;"")</f>
        <v>HDFC BC – Atal Pension Yojana Enrolment Assistance</v>
      </c>
      <c r="C66" s="7" t="str">
        <f aca="false">IF(INDEX(MASTER_DATABASE!$A$4:$A$1000,ROW()-3)="","",INDEX(MASTER_DATABASE!$F$4:$F$1000,ROW()-3)&amp;"")</f>
        <v>HDFC BC – अटल पेंशन योजना नामांकन सहायता</v>
      </c>
      <c r="D66" s="7" t="str">
        <f aca="false">IF(INDEX(MASTER_DATABASE!$A$4:$A$1000,ROW()-3)="","",INDEX(MASTER_DATABASE!$AL$4:$AL$1000,ROW()-3)&amp;"")</f>
        <v>HDFC Bank BC Point</v>
      </c>
      <c r="E66" s="7" t="str">
        <f aca="false">IF(INDEX(MASTER_DATABASE!$A$4:$A$1000,ROW()-3)="","",INDEX(MASTER_DATABASE!$G$4:$G$1000,ROW()-3)&amp;"")</f>
        <v>HDFC BC – Atal Pension Yojana Enrolment Assistance at our HDFC Bank BC Point.</v>
      </c>
      <c r="F66" s="11" t="str">
        <f aca="false">IF(INDEX(MASTER_DATABASE!$A$4:$A$1000,ROW()-3)="","",INDEX(MASTER_DATABASE!$AP$4:$AP$1000,ROW()-3)&amp;"")</f>
        <v>🏦</v>
      </c>
      <c r="G6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6" s="7" t="str">
        <f aca="false">IF(INDEX(MASTER_DATABASE!$A$4:$A$1000,ROW()-3)="","",INDEX(MASTER_DATABASE!$J$4:$J$1000,ROW()-3)&amp;"")</f>
        <v>To Be Confirmed</v>
      </c>
      <c r="K66" s="7" t="str">
        <f aca="false">IF(INDEX(MASTER_DATABASE!$A$4:$A$1000,ROW()-3)="","",INDEX(MASTER_DATABASE!$M$4:$M$1000,ROW()-3)&amp;"")</f>
        <v>✓ Aadhaar Card
✓ Bank Account Number
✓ Active Mobile Number
✓ Nominee Details</v>
      </c>
      <c r="L66" s="7" t="str">
        <f aca="false">IF(INDEX(MASTER_DATABASE!$A$4:$A$1000,ROW()-3)="","",INDEX(MASTER_DATABASE!$Q$4:$Q$1000,ROW()-3)&amp;"")</f>
        <v>Depends on Department</v>
      </c>
      <c r="M66" s="11" t="str">
        <f aca="false">IF(INDEX(MASTER_DATABASE!$A$4:$A$1000,ROW()-3)="","",INDEX(MASTER_DATABASE!$AI$4:$AI$1000,ROW()-3)&amp;"")</f>
        <v>No</v>
      </c>
      <c r="N66" s="11" t="str">
        <f aca="false">IF(INDEX(MASTER_DATABASE!$A$4:$A$1000,ROW()-3)="","",INDEX(MASTER_DATABASE!$AJ$4:$AJ$1000,ROW()-3)&amp;"")</f>
        <v>No</v>
      </c>
      <c r="O66" s="11" t="str">
        <f aca="false">IF(INDEX(MASTER_DATABASE!$A$4:$A$1000,ROW()-3)="","",IF(INDEX(MASTER_DATABASE!$BE$4:$BE$1000,ROW()-3)="LIVE","Yes","No"))</f>
        <v>No</v>
      </c>
      <c r="P66" s="7" t="str">
        <f aca="false">IF(INDEX(MASTER_DATABASE!$A$4:$A$1000,ROW()-3)="","",INDEX(MASTER_DATABASE!$BG$4:$BG$1000,ROW()-3)&amp;"")</f>
        <v>Check Documents</v>
      </c>
      <c r="Q66" s="11" t="n">
        <f aca="false">IF(INDEX(MASTER_DATABASE!$A$4:$A$1000,ROW()-3)="","",INDEX(MASTER_DATABASE!$AQ$4:$AQ$1000,ROW()-3))</f>
        <v>210</v>
      </c>
    </row>
    <row r="67" customFormat="false" ht="23.85" hidden="false" customHeight="false" outlineLevel="0" collapsed="false">
      <c r="A67" s="11" t="str">
        <f aca="false">IF(INDEX(MASTER_DATABASE!$A$4:$A$1000,ROW()-3)="","",INDEX(MASTER_DATABASE!$A$4:$A$1000,ROW()-3)&amp;"")</f>
        <v>FIN-001</v>
      </c>
      <c r="B67" s="7" t="str">
        <f aca="false">IF(INDEX(MASTER_DATABASE!$A$4:$A$1000,ROW()-3)="","",INDEX(MASTER_DATABASE!$E$4:$E$1000,ROW()-3)&amp;"")</f>
        <v>FINO BC – Cash Deposit</v>
      </c>
      <c r="C67" s="7" t="str">
        <f aca="false">IF(INDEX(MASTER_DATABASE!$A$4:$A$1000,ROW()-3)="","",INDEX(MASTER_DATABASE!$F$4:$F$1000,ROW()-3)&amp;"")</f>
        <v>FINO BC – नकद जमा</v>
      </c>
      <c r="D67" s="7" t="str">
        <f aca="false">IF(INDEX(MASTER_DATABASE!$A$4:$A$1000,ROW()-3)="","",INDEX(MASTER_DATABASE!$AL$4:$AL$1000,ROW()-3)&amp;"")</f>
        <v>FINO Payments Bank BC Point</v>
      </c>
      <c r="E67" s="7" t="str">
        <f aca="false">IF(INDEX(MASTER_DATABASE!$A$4:$A$1000,ROW()-3)="","",INDEX(MASTER_DATABASE!$G$4:$G$1000,ROW()-3)&amp;"")</f>
        <v>FINO BC – Cash Deposit at our FINO Payments Bank BC Point.</v>
      </c>
      <c r="F67" s="11" t="str">
        <f aca="false">IF(INDEX(MASTER_DATABASE!$A$4:$A$1000,ROW()-3)="","",INDEX(MASTER_DATABASE!$AP$4:$AP$1000,ROW()-3)&amp;"")</f>
        <v>💵</v>
      </c>
      <c r="G6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7" s="7" t="str">
        <f aca="false">IF(INDEX(MASTER_DATABASE!$A$4:$A$1000,ROW()-3)="","",INDEX(MASTER_DATABASE!$J$4:$J$1000,ROW()-3)&amp;"")</f>
        <v>Please Confirm at Shop</v>
      </c>
      <c r="K67" s="7" t="str">
        <f aca="false">IF(INDEX(MASTER_DATABASE!$A$4:$A$1000,ROW()-3)="","",INDEX(MASTER_DATABASE!$M$4:$M$1000,ROW()-3)&amp;"")</f>
        <v>✓ Bank Account Number
✓ Cash Amount</v>
      </c>
      <c r="L67" s="7" t="str">
        <f aca="false">IF(INDEX(MASTER_DATABASE!$A$4:$A$1000,ROW()-3)="","",INDEX(MASTER_DATABASE!$Q$4:$Q$1000,ROW()-3)&amp;"")</f>
        <v>5–10 Minutes</v>
      </c>
      <c r="M67" s="11" t="str">
        <f aca="false">IF(INDEX(MASTER_DATABASE!$A$4:$A$1000,ROW()-3)="","",INDEX(MASTER_DATABASE!$AI$4:$AI$1000,ROW()-3)&amp;"")</f>
        <v>No</v>
      </c>
      <c r="N67" s="11" t="str">
        <f aca="false">IF(INDEX(MASTER_DATABASE!$A$4:$A$1000,ROW()-3)="","",INDEX(MASTER_DATABASE!$AJ$4:$AJ$1000,ROW()-3)&amp;"")</f>
        <v>No</v>
      </c>
      <c r="O67" s="11" t="str">
        <f aca="false">IF(INDEX(MASTER_DATABASE!$A$4:$A$1000,ROW()-3)="","",IF(INDEX(MASTER_DATABASE!$BE$4:$BE$1000,ROW()-3)="LIVE","Yes","No"))</f>
        <v>No</v>
      </c>
      <c r="P67" s="7" t="str">
        <f aca="false">IF(INDEX(MASTER_DATABASE!$A$4:$A$1000,ROW()-3)="","",INDEX(MASTER_DATABASE!$BG$4:$BG$1000,ROW()-3)&amp;"")</f>
        <v>Check Documents</v>
      </c>
      <c r="Q67" s="11" t="n">
        <f aca="false">IF(INDEX(MASTER_DATABASE!$A$4:$A$1000,ROW()-3)="","",INDEX(MASTER_DATABASE!$AQ$4:$AQ$1000,ROW()-3))</f>
        <v>10</v>
      </c>
    </row>
    <row r="68" customFormat="false" ht="23.85" hidden="false" customHeight="false" outlineLevel="0" collapsed="false">
      <c r="A68" s="11" t="str">
        <f aca="false">IF(INDEX(MASTER_DATABASE!$A$4:$A$1000,ROW()-3)="","",INDEX(MASTER_DATABASE!$A$4:$A$1000,ROW()-3)&amp;"")</f>
        <v>FIN-002</v>
      </c>
      <c r="B68" s="7" t="str">
        <f aca="false">IF(INDEX(MASTER_DATABASE!$A$4:$A$1000,ROW()-3)="","",INDEX(MASTER_DATABASE!$E$4:$E$1000,ROW()-3)&amp;"")</f>
        <v>FINO BC – Cash Withdrawal</v>
      </c>
      <c r="C68" s="7" t="str">
        <f aca="false">IF(INDEX(MASTER_DATABASE!$A$4:$A$1000,ROW()-3)="","",INDEX(MASTER_DATABASE!$F$4:$F$1000,ROW()-3)&amp;"")</f>
        <v>FINO BC – नकद निकासी</v>
      </c>
      <c r="D68" s="7" t="str">
        <f aca="false">IF(INDEX(MASTER_DATABASE!$A$4:$A$1000,ROW()-3)="","",INDEX(MASTER_DATABASE!$AL$4:$AL$1000,ROW()-3)&amp;"")</f>
        <v>FINO Payments Bank BC Point</v>
      </c>
      <c r="E68" s="7" t="str">
        <f aca="false">IF(INDEX(MASTER_DATABASE!$A$4:$A$1000,ROW()-3)="","",INDEX(MASTER_DATABASE!$G$4:$G$1000,ROW()-3)&amp;"")</f>
        <v>FINO BC – Cash Withdrawal at our FINO Payments Bank BC Point.</v>
      </c>
      <c r="F68" s="11" t="str">
        <f aca="false">IF(INDEX(MASTER_DATABASE!$A$4:$A$1000,ROW()-3)="","",INDEX(MASTER_DATABASE!$AP$4:$AP$1000,ROW()-3)&amp;"")</f>
        <v>💵</v>
      </c>
      <c r="G6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8" s="7" t="str">
        <f aca="false">IF(INDEX(MASTER_DATABASE!$A$4:$A$1000,ROW()-3)="","",INDEX(MASTER_DATABASE!$J$4:$J$1000,ROW()-3)&amp;"")</f>
        <v>Please Confirm at Shop</v>
      </c>
      <c r="K68" s="7" t="str">
        <f aca="false">IF(INDEX(MASTER_DATABASE!$A$4:$A$1000,ROW()-3)="","",INDEX(MASTER_DATABASE!$M$4:$M$1000,ROW()-3)&amp;"")</f>
        <v>✓ Aadhaar Card
✓ Customer Presence for Biometrics</v>
      </c>
      <c r="L68" s="7" t="str">
        <f aca="false">IF(INDEX(MASTER_DATABASE!$A$4:$A$1000,ROW()-3)="","",INDEX(MASTER_DATABASE!$Q$4:$Q$1000,ROW()-3)&amp;"")</f>
        <v>5–10 Minutes</v>
      </c>
      <c r="M68" s="11" t="str">
        <f aca="false">IF(INDEX(MASTER_DATABASE!$A$4:$A$1000,ROW()-3)="","",INDEX(MASTER_DATABASE!$AI$4:$AI$1000,ROW()-3)&amp;"")</f>
        <v>No</v>
      </c>
      <c r="N68" s="11" t="str">
        <f aca="false">IF(INDEX(MASTER_DATABASE!$A$4:$A$1000,ROW()-3)="","",INDEX(MASTER_DATABASE!$AJ$4:$AJ$1000,ROW()-3)&amp;"")</f>
        <v>No</v>
      </c>
      <c r="O68" s="11" t="str">
        <f aca="false">IF(INDEX(MASTER_DATABASE!$A$4:$A$1000,ROW()-3)="","",IF(INDEX(MASTER_DATABASE!$BE$4:$BE$1000,ROW()-3)="LIVE","Yes","No"))</f>
        <v>No</v>
      </c>
      <c r="P68" s="7" t="str">
        <f aca="false">IF(INDEX(MASTER_DATABASE!$A$4:$A$1000,ROW()-3)="","",INDEX(MASTER_DATABASE!$BG$4:$BG$1000,ROW()-3)&amp;"")</f>
        <v>Check Documents</v>
      </c>
      <c r="Q68" s="11" t="n">
        <f aca="false">IF(INDEX(MASTER_DATABASE!$A$4:$A$1000,ROW()-3)="","",INDEX(MASTER_DATABASE!$AQ$4:$AQ$1000,ROW()-3))</f>
        <v>20</v>
      </c>
    </row>
    <row r="69" customFormat="false" ht="35.05" hidden="false" customHeight="false" outlineLevel="0" collapsed="false">
      <c r="A69" s="11" t="str">
        <f aca="false">IF(INDEX(MASTER_DATABASE!$A$4:$A$1000,ROW()-3)="","",INDEX(MASTER_DATABASE!$A$4:$A$1000,ROW()-3)&amp;"")</f>
        <v>FIN-003</v>
      </c>
      <c r="B69" s="7" t="str">
        <f aca="false">IF(INDEX(MASTER_DATABASE!$A$4:$A$1000,ROW()-3)="","",INDEX(MASTER_DATABASE!$E$4:$E$1000,ROW()-3)&amp;"")</f>
        <v>FINO BC – Balance Enquiry</v>
      </c>
      <c r="C69" s="7" t="str">
        <f aca="false">IF(INDEX(MASTER_DATABASE!$A$4:$A$1000,ROW()-3)="","",INDEX(MASTER_DATABASE!$F$4:$F$1000,ROW()-3)&amp;"")</f>
        <v>FINO BC – बैलेंस पूछताछ</v>
      </c>
      <c r="D69" s="7" t="str">
        <f aca="false">IF(INDEX(MASTER_DATABASE!$A$4:$A$1000,ROW()-3)="","",INDEX(MASTER_DATABASE!$AL$4:$AL$1000,ROW()-3)&amp;"")</f>
        <v>FINO Payments Bank BC Point</v>
      </c>
      <c r="E69" s="7" t="str">
        <f aca="false">IF(INDEX(MASTER_DATABASE!$A$4:$A$1000,ROW()-3)="","",INDEX(MASTER_DATABASE!$G$4:$G$1000,ROW()-3)&amp;"")</f>
        <v>FINO BC – Balance Enquiry at our FINO Payments Bank BC Point.</v>
      </c>
      <c r="F69" s="11" t="str">
        <f aca="false">IF(INDEX(MASTER_DATABASE!$A$4:$A$1000,ROW()-3)="","",INDEX(MASTER_DATABASE!$AP$4:$AP$1000,ROW()-3)&amp;"")</f>
        <v>💵</v>
      </c>
      <c r="G6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6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6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69" s="7" t="str">
        <f aca="false">IF(INDEX(MASTER_DATABASE!$A$4:$A$1000,ROW()-3)="","",INDEX(MASTER_DATABASE!$J$4:$J$1000,ROW()-3)&amp;"")</f>
        <v>Please Confirm at Shop</v>
      </c>
      <c r="K69" s="7" t="str">
        <f aca="false">IF(INDEX(MASTER_DATABASE!$A$4:$A$1000,ROW()-3)="","",INDEX(MASTER_DATABASE!$M$4:$M$1000,ROW()-3)&amp;"")</f>
        <v>✓ Aadhaar Card
✓ Bank Account Number
✓ Active Mobile Number</v>
      </c>
      <c r="L69" s="7" t="str">
        <f aca="false">IF(INDEX(MASTER_DATABASE!$A$4:$A$1000,ROW()-3)="","",INDEX(MASTER_DATABASE!$Q$4:$Q$1000,ROW()-3)&amp;"")</f>
        <v>Depends on Department</v>
      </c>
      <c r="M69" s="11" t="str">
        <f aca="false">IF(INDEX(MASTER_DATABASE!$A$4:$A$1000,ROW()-3)="","",INDEX(MASTER_DATABASE!$AI$4:$AI$1000,ROW()-3)&amp;"")</f>
        <v>No</v>
      </c>
      <c r="N69" s="11" t="str">
        <f aca="false">IF(INDEX(MASTER_DATABASE!$A$4:$A$1000,ROW()-3)="","",INDEX(MASTER_DATABASE!$AJ$4:$AJ$1000,ROW()-3)&amp;"")</f>
        <v>No</v>
      </c>
      <c r="O69" s="11" t="str">
        <f aca="false">IF(INDEX(MASTER_DATABASE!$A$4:$A$1000,ROW()-3)="","",IF(INDEX(MASTER_DATABASE!$BE$4:$BE$1000,ROW()-3)="LIVE","Yes","No"))</f>
        <v>No</v>
      </c>
      <c r="P69" s="7" t="str">
        <f aca="false">IF(INDEX(MASTER_DATABASE!$A$4:$A$1000,ROW()-3)="","",INDEX(MASTER_DATABASE!$BG$4:$BG$1000,ROW()-3)&amp;"")</f>
        <v>Check Documents</v>
      </c>
      <c r="Q69" s="11" t="n">
        <f aca="false">IF(INDEX(MASTER_DATABASE!$A$4:$A$1000,ROW()-3)="","",INDEX(MASTER_DATABASE!$AQ$4:$AQ$1000,ROW()-3))</f>
        <v>30</v>
      </c>
    </row>
    <row r="70" customFormat="false" ht="35.05" hidden="false" customHeight="false" outlineLevel="0" collapsed="false">
      <c r="A70" s="11" t="str">
        <f aca="false">IF(INDEX(MASTER_DATABASE!$A$4:$A$1000,ROW()-3)="","",INDEX(MASTER_DATABASE!$A$4:$A$1000,ROW()-3)&amp;"")</f>
        <v>FIN-004</v>
      </c>
      <c r="B70" s="7" t="str">
        <f aca="false">IF(INDEX(MASTER_DATABASE!$A$4:$A$1000,ROW()-3)="","",INDEX(MASTER_DATABASE!$E$4:$E$1000,ROW()-3)&amp;"")</f>
        <v>FINO BC – Mini Statement</v>
      </c>
      <c r="C70" s="7" t="str">
        <f aca="false">IF(INDEX(MASTER_DATABASE!$A$4:$A$1000,ROW()-3)="","",INDEX(MASTER_DATABASE!$F$4:$F$1000,ROW()-3)&amp;"")</f>
        <v>FINO BC – मिनी स्टेटमेंट</v>
      </c>
      <c r="D70" s="7" t="str">
        <f aca="false">IF(INDEX(MASTER_DATABASE!$A$4:$A$1000,ROW()-3)="","",INDEX(MASTER_DATABASE!$AL$4:$AL$1000,ROW()-3)&amp;"")</f>
        <v>FINO Payments Bank BC Point</v>
      </c>
      <c r="E70" s="7" t="str">
        <f aca="false">IF(INDEX(MASTER_DATABASE!$A$4:$A$1000,ROW()-3)="","",INDEX(MASTER_DATABASE!$G$4:$G$1000,ROW()-3)&amp;"")</f>
        <v>FINO BC – Mini Statement at our FINO Payments Bank BC Point.</v>
      </c>
      <c r="F70" s="11" t="str">
        <f aca="false">IF(INDEX(MASTER_DATABASE!$A$4:$A$1000,ROW()-3)="","",INDEX(MASTER_DATABASE!$AP$4:$AP$1000,ROW()-3)&amp;"")</f>
        <v>💵</v>
      </c>
      <c r="G7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0" s="7" t="str">
        <f aca="false">IF(INDEX(MASTER_DATABASE!$A$4:$A$1000,ROW()-3)="","",INDEX(MASTER_DATABASE!$J$4:$J$1000,ROW()-3)&amp;"")</f>
        <v>Please Confirm at Shop</v>
      </c>
      <c r="K70" s="7" t="str">
        <f aca="false">IF(INDEX(MASTER_DATABASE!$A$4:$A$1000,ROW()-3)="","",INDEX(MASTER_DATABASE!$M$4:$M$1000,ROW()-3)&amp;"")</f>
        <v>✓ Aadhaar Card
✓ Bank Account Number
✓ Active Mobile Number</v>
      </c>
      <c r="L70" s="7" t="str">
        <f aca="false">IF(INDEX(MASTER_DATABASE!$A$4:$A$1000,ROW()-3)="","",INDEX(MASTER_DATABASE!$Q$4:$Q$1000,ROW()-3)&amp;"")</f>
        <v>Depends on Department</v>
      </c>
      <c r="M70" s="11" t="str">
        <f aca="false">IF(INDEX(MASTER_DATABASE!$A$4:$A$1000,ROW()-3)="","",INDEX(MASTER_DATABASE!$AI$4:$AI$1000,ROW()-3)&amp;"")</f>
        <v>No</v>
      </c>
      <c r="N70" s="11" t="str">
        <f aca="false">IF(INDEX(MASTER_DATABASE!$A$4:$A$1000,ROW()-3)="","",INDEX(MASTER_DATABASE!$AJ$4:$AJ$1000,ROW()-3)&amp;"")</f>
        <v>No</v>
      </c>
      <c r="O70" s="11" t="str">
        <f aca="false">IF(INDEX(MASTER_DATABASE!$A$4:$A$1000,ROW()-3)="","",IF(INDEX(MASTER_DATABASE!$BE$4:$BE$1000,ROW()-3)="LIVE","Yes","No"))</f>
        <v>No</v>
      </c>
      <c r="P70" s="7" t="str">
        <f aca="false">IF(INDEX(MASTER_DATABASE!$A$4:$A$1000,ROW()-3)="","",INDEX(MASTER_DATABASE!$BG$4:$BG$1000,ROW()-3)&amp;"")</f>
        <v>Check Documents</v>
      </c>
      <c r="Q70" s="11" t="n">
        <f aca="false">IF(INDEX(MASTER_DATABASE!$A$4:$A$1000,ROW()-3)="","",INDEX(MASTER_DATABASE!$AQ$4:$AQ$1000,ROW()-3))</f>
        <v>40</v>
      </c>
    </row>
    <row r="71" customFormat="false" ht="23.85" hidden="false" customHeight="false" outlineLevel="0" collapsed="false">
      <c r="A71" s="11" t="str">
        <f aca="false">IF(INDEX(MASTER_DATABASE!$A$4:$A$1000,ROW()-3)="","",INDEX(MASTER_DATABASE!$A$4:$A$1000,ROW()-3)&amp;"")</f>
        <v>FIN-005</v>
      </c>
      <c r="B71" s="7" t="str">
        <f aca="false">IF(INDEX(MASTER_DATABASE!$A$4:$A$1000,ROW()-3)="","",INDEX(MASTER_DATABASE!$E$4:$E$1000,ROW()-3)&amp;"")</f>
        <v>FINO BC – AEPS Cash Withdrawal</v>
      </c>
      <c r="C71" s="7" t="str">
        <f aca="false">IF(INDEX(MASTER_DATABASE!$A$4:$A$1000,ROW()-3)="","",INDEX(MASTER_DATABASE!$F$4:$F$1000,ROW()-3)&amp;"")</f>
        <v>FINO BC – AEPS नकद निकासी</v>
      </c>
      <c r="D71" s="7" t="str">
        <f aca="false">IF(INDEX(MASTER_DATABASE!$A$4:$A$1000,ROW()-3)="","",INDEX(MASTER_DATABASE!$AL$4:$AL$1000,ROW()-3)&amp;"")</f>
        <v>FINO Payments Bank BC Point</v>
      </c>
      <c r="E71" s="7" t="str">
        <f aca="false">IF(INDEX(MASTER_DATABASE!$A$4:$A$1000,ROW()-3)="","",INDEX(MASTER_DATABASE!$G$4:$G$1000,ROW()-3)&amp;"")</f>
        <v>FINO BC – AEPS Cash Withdrawal at our FINO Payments Bank BC Point.</v>
      </c>
      <c r="F71" s="11" t="str">
        <f aca="false">IF(INDEX(MASTER_DATABASE!$A$4:$A$1000,ROW()-3)="","",INDEX(MASTER_DATABASE!$AP$4:$AP$1000,ROW()-3)&amp;"")</f>
        <v>👆</v>
      </c>
      <c r="G7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1" s="7" t="str">
        <f aca="false">IF(INDEX(MASTER_DATABASE!$A$4:$A$1000,ROW()-3)="","",INDEX(MASTER_DATABASE!$J$4:$J$1000,ROW()-3)&amp;"")</f>
        <v>Please Confirm at Shop</v>
      </c>
      <c r="K71" s="7" t="str">
        <f aca="false">IF(INDEX(MASTER_DATABASE!$A$4:$A$1000,ROW()-3)="","",INDEX(MASTER_DATABASE!$M$4:$M$1000,ROW()-3)&amp;"")</f>
        <v>✓ Aadhaar Card
✓ Customer Presence for Biometrics</v>
      </c>
      <c r="L71" s="7" t="str">
        <f aca="false">IF(INDEX(MASTER_DATABASE!$A$4:$A$1000,ROW()-3)="","",INDEX(MASTER_DATABASE!$Q$4:$Q$1000,ROW()-3)&amp;"")</f>
        <v>5–10 Minutes</v>
      </c>
      <c r="M71" s="11" t="str">
        <f aca="false">IF(INDEX(MASTER_DATABASE!$A$4:$A$1000,ROW()-3)="","",INDEX(MASTER_DATABASE!$AI$4:$AI$1000,ROW()-3)&amp;"")</f>
        <v>No</v>
      </c>
      <c r="N71" s="11" t="str">
        <f aca="false">IF(INDEX(MASTER_DATABASE!$A$4:$A$1000,ROW()-3)="","",INDEX(MASTER_DATABASE!$AJ$4:$AJ$1000,ROW()-3)&amp;"")</f>
        <v>No</v>
      </c>
      <c r="O71" s="11" t="str">
        <f aca="false">IF(INDEX(MASTER_DATABASE!$A$4:$A$1000,ROW()-3)="","",IF(INDEX(MASTER_DATABASE!$BE$4:$BE$1000,ROW()-3)="LIVE","Yes","No"))</f>
        <v>No</v>
      </c>
      <c r="P71" s="7" t="str">
        <f aca="false">IF(INDEX(MASTER_DATABASE!$A$4:$A$1000,ROW()-3)="","",INDEX(MASTER_DATABASE!$BG$4:$BG$1000,ROW()-3)&amp;"")</f>
        <v>Check Documents</v>
      </c>
      <c r="Q71" s="11" t="n">
        <f aca="false">IF(INDEX(MASTER_DATABASE!$A$4:$A$1000,ROW()-3)="","",INDEX(MASTER_DATABASE!$AQ$4:$AQ$1000,ROW()-3))</f>
        <v>50</v>
      </c>
    </row>
    <row r="72" customFormat="false" ht="23.85" hidden="false" customHeight="false" outlineLevel="0" collapsed="false">
      <c r="A72" s="11" t="str">
        <f aca="false">IF(INDEX(MASTER_DATABASE!$A$4:$A$1000,ROW()-3)="","",INDEX(MASTER_DATABASE!$A$4:$A$1000,ROW()-3)&amp;"")</f>
        <v>FIN-006</v>
      </c>
      <c r="B72" s="7" t="str">
        <f aca="false">IF(INDEX(MASTER_DATABASE!$A$4:$A$1000,ROW()-3)="","",INDEX(MASTER_DATABASE!$E$4:$E$1000,ROW()-3)&amp;"")</f>
        <v>FINO BC – AEPS Balance Enquiry</v>
      </c>
      <c r="C72" s="7" t="str">
        <f aca="false">IF(INDEX(MASTER_DATABASE!$A$4:$A$1000,ROW()-3)="","",INDEX(MASTER_DATABASE!$F$4:$F$1000,ROW()-3)&amp;"")</f>
        <v>FINO BC – AEPS बैलेंस पूछताछ</v>
      </c>
      <c r="D72" s="7" t="str">
        <f aca="false">IF(INDEX(MASTER_DATABASE!$A$4:$A$1000,ROW()-3)="","",INDEX(MASTER_DATABASE!$AL$4:$AL$1000,ROW()-3)&amp;"")</f>
        <v>FINO Payments Bank BC Point</v>
      </c>
      <c r="E72" s="7" t="str">
        <f aca="false">IF(INDEX(MASTER_DATABASE!$A$4:$A$1000,ROW()-3)="","",INDEX(MASTER_DATABASE!$G$4:$G$1000,ROW()-3)&amp;"")</f>
        <v>FINO BC – AEPS Balance Enquiry at our FINO Payments Bank BC Point.</v>
      </c>
      <c r="F72" s="11" t="str">
        <f aca="false">IF(INDEX(MASTER_DATABASE!$A$4:$A$1000,ROW()-3)="","",INDEX(MASTER_DATABASE!$AP$4:$AP$1000,ROW()-3)&amp;"")</f>
        <v>👆</v>
      </c>
      <c r="G7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2" s="7" t="str">
        <f aca="false">IF(INDEX(MASTER_DATABASE!$A$4:$A$1000,ROW()-3)="","",INDEX(MASTER_DATABASE!$J$4:$J$1000,ROW()-3)&amp;"")</f>
        <v>Please Confirm at Shop</v>
      </c>
      <c r="K72" s="7" t="str">
        <f aca="false">IF(INDEX(MASTER_DATABASE!$A$4:$A$1000,ROW()-3)="","",INDEX(MASTER_DATABASE!$M$4:$M$1000,ROW()-3)&amp;"")</f>
        <v>✓ Aadhaar Card
✓ Customer Presence for Biometrics</v>
      </c>
      <c r="L72" s="7" t="str">
        <f aca="false">IF(INDEX(MASTER_DATABASE!$A$4:$A$1000,ROW()-3)="","",INDEX(MASTER_DATABASE!$Q$4:$Q$1000,ROW()-3)&amp;"")</f>
        <v>5–10 Minutes</v>
      </c>
      <c r="M72" s="11" t="str">
        <f aca="false">IF(INDEX(MASTER_DATABASE!$A$4:$A$1000,ROW()-3)="","",INDEX(MASTER_DATABASE!$AI$4:$AI$1000,ROW()-3)&amp;"")</f>
        <v>No</v>
      </c>
      <c r="N72" s="11" t="str">
        <f aca="false">IF(INDEX(MASTER_DATABASE!$A$4:$A$1000,ROW()-3)="","",INDEX(MASTER_DATABASE!$AJ$4:$AJ$1000,ROW()-3)&amp;"")</f>
        <v>No</v>
      </c>
      <c r="O72" s="11" t="str">
        <f aca="false">IF(INDEX(MASTER_DATABASE!$A$4:$A$1000,ROW()-3)="","",IF(INDEX(MASTER_DATABASE!$BE$4:$BE$1000,ROW()-3)="LIVE","Yes","No"))</f>
        <v>No</v>
      </c>
      <c r="P72" s="7" t="str">
        <f aca="false">IF(INDEX(MASTER_DATABASE!$A$4:$A$1000,ROW()-3)="","",INDEX(MASTER_DATABASE!$BG$4:$BG$1000,ROW()-3)&amp;"")</f>
        <v>Check Documents</v>
      </c>
      <c r="Q72" s="11" t="n">
        <f aca="false">IF(INDEX(MASTER_DATABASE!$A$4:$A$1000,ROW()-3)="","",INDEX(MASTER_DATABASE!$AQ$4:$AQ$1000,ROW()-3))</f>
        <v>60</v>
      </c>
    </row>
    <row r="73" customFormat="false" ht="23.85" hidden="false" customHeight="false" outlineLevel="0" collapsed="false">
      <c r="A73" s="11" t="str">
        <f aca="false">IF(INDEX(MASTER_DATABASE!$A$4:$A$1000,ROW()-3)="","",INDEX(MASTER_DATABASE!$A$4:$A$1000,ROW()-3)&amp;"")</f>
        <v>FIN-007</v>
      </c>
      <c r="B73" s="7" t="str">
        <f aca="false">IF(INDEX(MASTER_DATABASE!$A$4:$A$1000,ROW()-3)="","",INDEX(MASTER_DATABASE!$E$4:$E$1000,ROW()-3)&amp;"")</f>
        <v>FINO BC – AEPS Mini Statement</v>
      </c>
      <c r="C73" s="7" t="str">
        <f aca="false">IF(INDEX(MASTER_DATABASE!$A$4:$A$1000,ROW()-3)="","",INDEX(MASTER_DATABASE!$F$4:$F$1000,ROW()-3)&amp;"")</f>
        <v>FINO BC – AEPS मिनी स्टेटमेंट</v>
      </c>
      <c r="D73" s="7" t="str">
        <f aca="false">IF(INDEX(MASTER_DATABASE!$A$4:$A$1000,ROW()-3)="","",INDEX(MASTER_DATABASE!$AL$4:$AL$1000,ROW()-3)&amp;"")</f>
        <v>FINO Payments Bank BC Point</v>
      </c>
      <c r="E73" s="7" t="str">
        <f aca="false">IF(INDEX(MASTER_DATABASE!$A$4:$A$1000,ROW()-3)="","",INDEX(MASTER_DATABASE!$G$4:$G$1000,ROW()-3)&amp;"")</f>
        <v>FINO BC – AEPS Mini Statement at our FINO Payments Bank BC Point.</v>
      </c>
      <c r="F73" s="11" t="str">
        <f aca="false">IF(INDEX(MASTER_DATABASE!$A$4:$A$1000,ROW()-3)="","",INDEX(MASTER_DATABASE!$AP$4:$AP$1000,ROW()-3)&amp;"")</f>
        <v>👆</v>
      </c>
      <c r="G7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3" s="7" t="str">
        <f aca="false">IF(INDEX(MASTER_DATABASE!$A$4:$A$1000,ROW()-3)="","",INDEX(MASTER_DATABASE!$J$4:$J$1000,ROW()-3)&amp;"")</f>
        <v>Please Confirm at Shop</v>
      </c>
      <c r="K73" s="7" t="str">
        <f aca="false">IF(INDEX(MASTER_DATABASE!$A$4:$A$1000,ROW()-3)="","",INDEX(MASTER_DATABASE!$M$4:$M$1000,ROW()-3)&amp;"")</f>
        <v>✓ Aadhaar Card
✓ Customer Presence for Biometrics</v>
      </c>
      <c r="L73" s="7" t="str">
        <f aca="false">IF(INDEX(MASTER_DATABASE!$A$4:$A$1000,ROW()-3)="","",INDEX(MASTER_DATABASE!$Q$4:$Q$1000,ROW()-3)&amp;"")</f>
        <v>5–10 Minutes</v>
      </c>
      <c r="M73" s="11" t="str">
        <f aca="false">IF(INDEX(MASTER_DATABASE!$A$4:$A$1000,ROW()-3)="","",INDEX(MASTER_DATABASE!$AI$4:$AI$1000,ROW()-3)&amp;"")</f>
        <v>No</v>
      </c>
      <c r="N73" s="11" t="str">
        <f aca="false">IF(INDEX(MASTER_DATABASE!$A$4:$A$1000,ROW()-3)="","",INDEX(MASTER_DATABASE!$AJ$4:$AJ$1000,ROW()-3)&amp;"")</f>
        <v>No</v>
      </c>
      <c r="O73" s="11" t="str">
        <f aca="false">IF(INDEX(MASTER_DATABASE!$A$4:$A$1000,ROW()-3)="","",IF(INDEX(MASTER_DATABASE!$BE$4:$BE$1000,ROW()-3)="LIVE","Yes","No"))</f>
        <v>No</v>
      </c>
      <c r="P73" s="7" t="str">
        <f aca="false">IF(INDEX(MASTER_DATABASE!$A$4:$A$1000,ROW()-3)="","",INDEX(MASTER_DATABASE!$BG$4:$BG$1000,ROW()-3)&amp;"")</f>
        <v>Check Documents</v>
      </c>
      <c r="Q73" s="11" t="n">
        <f aca="false">IF(INDEX(MASTER_DATABASE!$A$4:$A$1000,ROW()-3)="","",INDEX(MASTER_DATABASE!$AQ$4:$AQ$1000,ROW()-3))</f>
        <v>70</v>
      </c>
    </row>
    <row r="74" customFormat="false" ht="35.05" hidden="false" customHeight="false" outlineLevel="0" collapsed="false">
      <c r="A74" s="11" t="str">
        <f aca="false">IF(INDEX(MASTER_DATABASE!$A$4:$A$1000,ROW()-3)="","",INDEX(MASTER_DATABASE!$A$4:$A$1000,ROW()-3)&amp;"")</f>
        <v>FIN-008</v>
      </c>
      <c r="B74" s="7" t="str">
        <f aca="false">IF(INDEX(MASTER_DATABASE!$A$4:$A$1000,ROW()-3)="","",INDEX(MASTER_DATABASE!$E$4:$E$1000,ROW()-3)&amp;"")</f>
        <v>FINO BC – Biometric Banking (Fingerprint Authenticated)</v>
      </c>
      <c r="C74" s="7" t="str">
        <f aca="false">IF(INDEX(MASTER_DATABASE!$A$4:$A$1000,ROW()-3)="","",INDEX(MASTER_DATABASE!$F$4:$F$1000,ROW()-3)&amp;"")</f>
        <v>FINO BC – बायोमेट्रिक बैंकिंग (फिंगरप्रिंट सत्यापित)</v>
      </c>
      <c r="D74" s="7" t="str">
        <f aca="false">IF(INDEX(MASTER_DATABASE!$A$4:$A$1000,ROW()-3)="","",INDEX(MASTER_DATABASE!$AL$4:$AL$1000,ROW()-3)&amp;"")</f>
        <v>FINO Payments Bank BC Point</v>
      </c>
      <c r="E74" s="7" t="str">
        <f aca="false">IF(INDEX(MASTER_DATABASE!$A$4:$A$1000,ROW()-3)="","",INDEX(MASTER_DATABASE!$G$4:$G$1000,ROW()-3)&amp;"")</f>
        <v>FINO BC – Biometric Banking (Fingerprint Authenticated) at our FINO Payments Bank BC Point.</v>
      </c>
      <c r="F74" s="11" t="str">
        <f aca="false">IF(INDEX(MASTER_DATABASE!$A$4:$A$1000,ROW()-3)="","",INDEX(MASTER_DATABASE!$AP$4:$AP$1000,ROW()-3)&amp;"")</f>
        <v>👆</v>
      </c>
      <c r="G7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4" s="7" t="str">
        <f aca="false">IF(INDEX(MASTER_DATABASE!$A$4:$A$1000,ROW()-3)="","",INDEX(MASTER_DATABASE!$J$4:$J$1000,ROW()-3)&amp;"")</f>
        <v>Please Confirm at Shop</v>
      </c>
      <c r="K74" s="7" t="str">
        <f aca="false">IF(INDEX(MASTER_DATABASE!$A$4:$A$1000,ROW()-3)="","",INDEX(MASTER_DATABASE!$M$4:$M$1000,ROW()-3)&amp;"")</f>
        <v>✓ Aadhaar Card
✓ Customer Presence for Biometrics</v>
      </c>
      <c r="L74" s="7" t="str">
        <f aca="false">IF(INDEX(MASTER_DATABASE!$A$4:$A$1000,ROW()-3)="","",INDEX(MASTER_DATABASE!$Q$4:$Q$1000,ROW()-3)&amp;"")</f>
        <v>5–10 Minutes</v>
      </c>
      <c r="M74" s="11" t="str">
        <f aca="false">IF(INDEX(MASTER_DATABASE!$A$4:$A$1000,ROW()-3)="","",INDEX(MASTER_DATABASE!$AI$4:$AI$1000,ROW()-3)&amp;"")</f>
        <v>No</v>
      </c>
      <c r="N74" s="11" t="str">
        <f aca="false">IF(INDEX(MASTER_DATABASE!$A$4:$A$1000,ROW()-3)="","",INDEX(MASTER_DATABASE!$AJ$4:$AJ$1000,ROW()-3)&amp;"")</f>
        <v>No</v>
      </c>
      <c r="O74" s="11" t="str">
        <f aca="false">IF(INDEX(MASTER_DATABASE!$A$4:$A$1000,ROW()-3)="","",IF(INDEX(MASTER_DATABASE!$BE$4:$BE$1000,ROW()-3)="LIVE","Yes","No"))</f>
        <v>No</v>
      </c>
      <c r="P74" s="7" t="str">
        <f aca="false">IF(INDEX(MASTER_DATABASE!$A$4:$A$1000,ROW()-3)="","",INDEX(MASTER_DATABASE!$BG$4:$BG$1000,ROW()-3)&amp;"")</f>
        <v>Check Documents</v>
      </c>
      <c r="Q74" s="11" t="n">
        <f aca="false">IF(INDEX(MASTER_DATABASE!$A$4:$A$1000,ROW()-3)="","",INDEX(MASTER_DATABASE!$AQ$4:$AQ$1000,ROW()-3))</f>
        <v>80</v>
      </c>
    </row>
    <row r="75" customFormat="false" ht="23.85" hidden="false" customHeight="false" outlineLevel="0" collapsed="false">
      <c r="A75" s="11" t="str">
        <f aca="false">IF(INDEX(MASTER_DATABASE!$A$4:$A$1000,ROW()-3)="","",INDEX(MASTER_DATABASE!$A$4:$A$1000,ROW()-3)&amp;"")</f>
        <v>FIN-009</v>
      </c>
      <c r="B75" s="7" t="str">
        <f aca="false">IF(INDEX(MASTER_DATABASE!$A$4:$A$1000,ROW()-3)="","",INDEX(MASTER_DATABASE!$E$4:$E$1000,ROW()-3)&amp;"")</f>
        <v>FINO BC – Micro ATM Cash Withdrawal</v>
      </c>
      <c r="C75" s="7" t="str">
        <f aca="false">IF(INDEX(MASTER_DATABASE!$A$4:$A$1000,ROW()-3)="","",INDEX(MASTER_DATABASE!$F$4:$F$1000,ROW()-3)&amp;"")</f>
        <v>FINO BC – Micro ATM नकद निकासी</v>
      </c>
      <c r="D75" s="7" t="str">
        <f aca="false">IF(INDEX(MASTER_DATABASE!$A$4:$A$1000,ROW()-3)="","",INDEX(MASTER_DATABASE!$AL$4:$AL$1000,ROW()-3)&amp;"")</f>
        <v>FINO Payments Bank BC Point</v>
      </c>
      <c r="E75" s="7" t="str">
        <f aca="false">IF(INDEX(MASTER_DATABASE!$A$4:$A$1000,ROW()-3)="","",INDEX(MASTER_DATABASE!$G$4:$G$1000,ROW()-3)&amp;"")</f>
        <v>FINO BC – Micro ATM Cash Withdrawal at our FINO Payments Bank BC Point.</v>
      </c>
      <c r="F75" s="11" t="str">
        <f aca="false">IF(INDEX(MASTER_DATABASE!$A$4:$A$1000,ROW()-3)="","",INDEX(MASTER_DATABASE!$AP$4:$AP$1000,ROW()-3)&amp;"")</f>
        <v>🏧</v>
      </c>
      <c r="G7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5" s="7" t="str">
        <f aca="false">IF(INDEX(MASTER_DATABASE!$A$4:$A$1000,ROW()-3)="","",INDEX(MASTER_DATABASE!$J$4:$J$1000,ROW()-3)&amp;"")</f>
        <v>To Be Confirmed</v>
      </c>
      <c r="K75" s="7" t="str">
        <f aca="false">IF(INDEX(MASTER_DATABASE!$A$4:$A$1000,ROW()-3)="","",INDEX(MASTER_DATABASE!$M$4:$M$1000,ROW()-3)&amp;"")</f>
        <v>✓ Debit Card</v>
      </c>
      <c r="L75" s="7" t="str">
        <f aca="false">IF(INDEX(MASTER_DATABASE!$A$4:$A$1000,ROW()-3)="","",INDEX(MASTER_DATABASE!$Q$4:$Q$1000,ROW()-3)&amp;"")</f>
        <v>5–10 Minutes</v>
      </c>
      <c r="M75" s="11" t="str">
        <f aca="false">IF(INDEX(MASTER_DATABASE!$A$4:$A$1000,ROW()-3)="","",INDEX(MASTER_DATABASE!$AI$4:$AI$1000,ROW()-3)&amp;"")</f>
        <v>No</v>
      </c>
      <c r="N75" s="11" t="str">
        <f aca="false">IF(INDEX(MASTER_DATABASE!$A$4:$A$1000,ROW()-3)="","",INDEX(MASTER_DATABASE!$AJ$4:$AJ$1000,ROW()-3)&amp;"")</f>
        <v>No</v>
      </c>
      <c r="O75" s="11" t="str">
        <f aca="false">IF(INDEX(MASTER_DATABASE!$A$4:$A$1000,ROW()-3)="","",IF(INDEX(MASTER_DATABASE!$BE$4:$BE$1000,ROW()-3)="LIVE","Yes","No"))</f>
        <v>No</v>
      </c>
      <c r="P75" s="7" t="str">
        <f aca="false">IF(INDEX(MASTER_DATABASE!$A$4:$A$1000,ROW()-3)="","",INDEX(MASTER_DATABASE!$BG$4:$BG$1000,ROW()-3)&amp;"")</f>
        <v>Check Documents</v>
      </c>
      <c r="Q75" s="11" t="n">
        <f aca="false">IF(INDEX(MASTER_DATABASE!$A$4:$A$1000,ROW()-3)="","",INDEX(MASTER_DATABASE!$AQ$4:$AQ$1000,ROW()-3))</f>
        <v>90</v>
      </c>
    </row>
    <row r="76" customFormat="false" ht="35.05" hidden="false" customHeight="false" outlineLevel="0" collapsed="false">
      <c r="A76" s="11" t="str">
        <f aca="false">IF(INDEX(MASTER_DATABASE!$A$4:$A$1000,ROW()-3)="","",INDEX(MASTER_DATABASE!$A$4:$A$1000,ROW()-3)&amp;"")</f>
        <v>FIN-010</v>
      </c>
      <c r="B76" s="7" t="str">
        <f aca="false">IF(INDEX(MASTER_DATABASE!$A$4:$A$1000,ROW()-3)="","",INDEX(MASTER_DATABASE!$E$4:$E$1000,ROW()-3)&amp;"")</f>
        <v>FINO BC – Money Transfer (Domestic)</v>
      </c>
      <c r="C76" s="7" t="str">
        <f aca="false">IF(INDEX(MASTER_DATABASE!$A$4:$A$1000,ROW()-3)="","",INDEX(MASTER_DATABASE!$F$4:$F$1000,ROW()-3)&amp;"")</f>
        <v>FINO BC – मनी ट्रांसफर (घरेलू)</v>
      </c>
      <c r="D76" s="7" t="str">
        <f aca="false">IF(INDEX(MASTER_DATABASE!$A$4:$A$1000,ROW()-3)="","",INDEX(MASTER_DATABASE!$AL$4:$AL$1000,ROW()-3)&amp;"")</f>
        <v>FINO Payments Bank BC Point</v>
      </c>
      <c r="E76" s="7" t="str">
        <f aca="false">IF(INDEX(MASTER_DATABASE!$A$4:$A$1000,ROW()-3)="","",INDEX(MASTER_DATABASE!$G$4:$G$1000,ROW()-3)&amp;"")</f>
        <v>FINO BC – Money Transfer (Domestic) at our FINO Payments Bank BC Point.</v>
      </c>
      <c r="F76" s="11" t="str">
        <f aca="false">IF(INDEX(MASTER_DATABASE!$A$4:$A$1000,ROW()-3)="","",INDEX(MASTER_DATABASE!$AP$4:$AP$1000,ROW()-3)&amp;"")</f>
        <v>💸</v>
      </c>
      <c r="G7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6" s="7" t="str">
        <f aca="false">IF(INDEX(MASTER_DATABASE!$A$4:$A$1000,ROW()-3)="","",INDEX(MASTER_DATABASE!$J$4:$J$1000,ROW()-3)&amp;"")</f>
        <v>Please Confirm at Shop</v>
      </c>
      <c r="K76" s="7" t="str">
        <f aca="false">IF(INDEX(MASTER_DATABASE!$A$4:$A$1000,ROW()-3)="","",INDEX(MASTER_DATABASE!$M$4:$M$1000,ROW()-3)&amp;"")</f>
        <v>✓ Beneficiary Account Details
✓ Cash Amount
✓ Active Mobile Number</v>
      </c>
      <c r="L76" s="7" t="str">
        <f aca="false">IF(INDEX(MASTER_DATABASE!$A$4:$A$1000,ROW()-3)="","",INDEX(MASTER_DATABASE!$Q$4:$Q$1000,ROW()-3)&amp;"")</f>
        <v>Same Day</v>
      </c>
      <c r="M76" s="11" t="str">
        <f aca="false">IF(INDEX(MASTER_DATABASE!$A$4:$A$1000,ROW()-3)="","",INDEX(MASTER_DATABASE!$AI$4:$AI$1000,ROW()-3)&amp;"")</f>
        <v>No</v>
      </c>
      <c r="N76" s="11" t="str">
        <f aca="false">IF(INDEX(MASTER_DATABASE!$A$4:$A$1000,ROW()-3)="","",INDEX(MASTER_DATABASE!$AJ$4:$AJ$1000,ROW()-3)&amp;"")</f>
        <v>No</v>
      </c>
      <c r="O76" s="11" t="str">
        <f aca="false">IF(INDEX(MASTER_DATABASE!$A$4:$A$1000,ROW()-3)="","",IF(INDEX(MASTER_DATABASE!$BE$4:$BE$1000,ROW()-3)="LIVE","Yes","No"))</f>
        <v>No</v>
      </c>
      <c r="P76" s="7" t="str">
        <f aca="false">IF(INDEX(MASTER_DATABASE!$A$4:$A$1000,ROW()-3)="","",INDEX(MASTER_DATABASE!$BG$4:$BG$1000,ROW()-3)&amp;"")</f>
        <v>Check Documents</v>
      </c>
      <c r="Q76" s="11" t="n">
        <f aca="false">IF(INDEX(MASTER_DATABASE!$A$4:$A$1000,ROW()-3)="","",INDEX(MASTER_DATABASE!$AQ$4:$AQ$1000,ROW()-3))</f>
        <v>100</v>
      </c>
    </row>
    <row r="77" customFormat="false" ht="35.05" hidden="false" customHeight="false" outlineLevel="0" collapsed="false">
      <c r="A77" s="11" t="str">
        <f aca="false">IF(INDEX(MASTER_DATABASE!$A$4:$A$1000,ROW()-3)="","",INDEX(MASTER_DATABASE!$A$4:$A$1000,ROW()-3)&amp;"")</f>
        <v>FIN-011</v>
      </c>
      <c r="B77" s="7" t="str">
        <f aca="false">IF(INDEX(MASTER_DATABASE!$A$4:$A$1000,ROW()-3)="","",INDEX(MASTER_DATABASE!$E$4:$E$1000,ROW()-3)&amp;"")</f>
        <v>FINO BC – New Account Opening Assistance</v>
      </c>
      <c r="C77" s="7" t="str">
        <f aca="false">IF(INDEX(MASTER_DATABASE!$A$4:$A$1000,ROW()-3)="","",INDEX(MASTER_DATABASE!$F$4:$F$1000,ROW()-3)&amp;"")</f>
        <v>FINO BC – नया खाता खुलवाने में सहायता</v>
      </c>
      <c r="D77" s="7" t="str">
        <f aca="false">IF(INDEX(MASTER_DATABASE!$A$4:$A$1000,ROW()-3)="","",INDEX(MASTER_DATABASE!$AL$4:$AL$1000,ROW()-3)&amp;"")</f>
        <v>FINO Payments Bank BC Point</v>
      </c>
      <c r="E77" s="7" t="str">
        <f aca="false">IF(INDEX(MASTER_DATABASE!$A$4:$A$1000,ROW()-3)="","",INDEX(MASTER_DATABASE!$G$4:$G$1000,ROW()-3)&amp;"")</f>
        <v>FINO BC – New Account Opening Assistance at our FINO Payments Bank BC Point.</v>
      </c>
      <c r="F77" s="11" t="str">
        <f aca="false">IF(INDEX(MASTER_DATABASE!$A$4:$A$1000,ROW()-3)="","",INDEX(MASTER_DATABASE!$AP$4:$AP$1000,ROW()-3)&amp;"")</f>
        <v>🗂️</v>
      </c>
      <c r="G7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7" s="7" t="str">
        <f aca="false">IF(INDEX(MASTER_DATABASE!$A$4:$A$1000,ROW()-3)="","",INDEX(MASTER_DATABASE!$J$4:$J$1000,ROW()-3)&amp;"")</f>
        <v>To Be Confirmed</v>
      </c>
      <c r="K77" s="7" t="str">
        <f aca="false">IF(INDEX(MASTER_DATABASE!$A$4:$A$1000,ROW()-3)="","",INDEX(MASTER_DATABASE!$M$4:$M$1000,ROW()-3)&amp;"")</f>
        <v>✓ Aadhaar Card
✓ Passport Photo
✓ Active Mobile Number</v>
      </c>
      <c r="L77" s="7" t="str">
        <f aca="false">IF(INDEX(MASTER_DATABASE!$A$4:$A$1000,ROW()-3)="","",INDEX(MASTER_DATABASE!$Q$4:$Q$1000,ROW()-3)&amp;"")</f>
        <v>Depends on Department</v>
      </c>
      <c r="M77" s="11" t="str">
        <f aca="false">IF(INDEX(MASTER_DATABASE!$A$4:$A$1000,ROW()-3)="","",INDEX(MASTER_DATABASE!$AI$4:$AI$1000,ROW()-3)&amp;"")</f>
        <v>No</v>
      </c>
      <c r="N77" s="11" t="str">
        <f aca="false">IF(INDEX(MASTER_DATABASE!$A$4:$A$1000,ROW()-3)="","",INDEX(MASTER_DATABASE!$AJ$4:$AJ$1000,ROW()-3)&amp;"")</f>
        <v>No</v>
      </c>
      <c r="O77" s="11" t="str">
        <f aca="false">IF(INDEX(MASTER_DATABASE!$A$4:$A$1000,ROW()-3)="","",IF(INDEX(MASTER_DATABASE!$BE$4:$BE$1000,ROW()-3)="LIVE","Yes","No"))</f>
        <v>No</v>
      </c>
      <c r="P77" s="7" t="str">
        <f aca="false">IF(INDEX(MASTER_DATABASE!$A$4:$A$1000,ROW()-3)="","",INDEX(MASTER_DATABASE!$BG$4:$BG$1000,ROW()-3)&amp;"")</f>
        <v>Check Documents</v>
      </c>
      <c r="Q77" s="11" t="n">
        <f aca="false">IF(INDEX(MASTER_DATABASE!$A$4:$A$1000,ROW()-3)="","",INDEX(MASTER_DATABASE!$AQ$4:$AQ$1000,ROW()-3))</f>
        <v>110</v>
      </c>
    </row>
    <row r="78" customFormat="false" ht="35.05" hidden="false" customHeight="false" outlineLevel="0" collapsed="false">
      <c r="A78" s="11" t="str">
        <f aca="false">IF(INDEX(MASTER_DATABASE!$A$4:$A$1000,ROW()-3)="","",INDEX(MASTER_DATABASE!$A$4:$A$1000,ROW()-3)&amp;"")</f>
        <v>FIN-012</v>
      </c>
      <c r="B78" s="7" t="str">
        <f aca="false">IF(INDEX(MASTER_DATABASE!$A$4:$A$1000,ROW()-3)="","",INDEX(MASTER_DATABASE!$E$4:$E$1000,ROW()-3)&amp;"")</f>
        <v>FINO BC – Account Mobile Number Update</v>
      </c>
      <c r="C78" s="7" t="str">
        <f aca="false">IF(INDEX(MASTER_DATABASE!$A$4:$A$1000,ROW()-3)="","",INDEX(MASTER_DATABASE!$F$4:$F$1000,ROW()-3)&amp;"")</f>
        <v>FINO BC – खाते में मोबाइल नंबर अपडेट</v>
      </c>
      <c r="D78" s="7" t="str">
        <f aca="false">IF(INDEX(MASTER_DATABASE!$A$4:$A$1000,ROW()-3)="","",INDEX(MASTER_DATABASE!$AL$4:$AL$1000,ROW()-3)&amp;"")</f>
        <v>FINO Payments Bank BC Point</v>
      </c>
      <c r="E78" s="7" t="str">
        <f aca="false">IF(INDEX(MASTER_DATABASE!$A$4:$A$1000,ROW()-3)="","",INDEX(MASTER_DATABASE!$G$4:$G$1000,ROW()-3)&amp;"")</f>
        <v>FINO BC – Account Mobile Number Update at our FINO Payments Bank BC Point.</v>
      </c>
      <c r="F78" s="11" t="str">
        <f aca="false">IF(INDEX(MASTER_DATABASE!$A$4:$A$1000,ROW()-3)="","",INDEX(MASTER_DATABASE!$AP$4:$AP$1000,ROW()-3)&amp;"")</f>
        <v>🗂️</v>
      </c>
      <c r="G7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8" s="7" t="str">
        <f aca="false">IF(INDEX(MASTER_DATABASE!$A$4:$A$1000,ROW()-3)="","",INDEX(MASTER_DATABASE!$J$4:$J$1000,ROW()-3)&amp;"")</f>
        <v>To Be Confirmed</v>
      </c>
      <c r="K78" s="7" t="str">
        <f aca="false">IF(INDEX(MASTER_DATABASE!$A$4:$A$1000,ROW()-3)="","",INDEX(MASTER_DATABASE!$M$4:$M$1000,ROW()-3)&amp;"")</f>
        <v>✓ Aadhaar Card
✓ Bank Account Number
✓ Active Mobile Number</v>
      </c>
      <c r="L78" s="7" t="str">
        <f aca="false">IF(INDEX(MASTER_DATABASE!$A$4:$A$1000,ROW()-3)="","",INDEX(MASTER_DATABASE!$Q$4:$Q$1000,ROW()-3)&amp;"")</f>
        <v>Depends on Department</v>
      </c>
      <c r="M78" s="11" t="str">
        <f aca="false">IF(INDEX(MASTER_DATABASE!$A$4:$A$1000,ROW()-3)="","",INDEX(MASTER_DATABASE!$AI$4:$AI$1000,ROW()-3)&amp;"")</f>
        <v>No</v>
      </c>
      <c r="N78" s="11" t="str">
        <f aca="false">IF(INDEX(MASTER_DATABASE!$A$4:$A$1000,ROW()-3)="","",INDEX(MASTER_DATABASE!$AJ$4:$AJ$1000,ROW()-3)&amp;"")</f>
        <v>No</v>
      </c>
      <c r="O78" s="11" t="str">
        <f aca="false">IF(INDEX(MASTER_DATABASE!$A$4:$A$1000,ROW()-3)="","",IF(INDEX(MASTER_DATABASE!$BE$4:$BE$1000,ROW()-3)="LIVE","Yes","No"))</f>
        <v>No</v>
      </c>
      <c r="P78" s="7" t="str">
        <f aca="false">IF(INDEX(MASTER_DATABASE!$A$4:$A$1000,ROW()-3)="","",INDEX(MASTER_DATABASE!$BG$4:$BG$1000,ROW()-3)&amp;"")</f>
        <v>Check Documents</v>
      </c>
      <c r="Q78" s="11" t="n">
        <f aca="false">IF(INDEX(MASTER_DATABASE!$A$4:$A$1000,ROW()-3)="","",INDEX(MASTER_DATABASE!$AQ$4:$AQ$1000,ROW()-3))</f>
        <v>120</v>
      </c>
    </row>
    <row r="79" customFormat="false" ht="35.05" hidden="false" customHeight="false" outlineLevel="0" collapsed="false">
      <c r="A79" s="11" t="str">
        <f aca="false">IF(INDEX(MASTER_DATABASE!$A$4:$A$1000,ROW()-3)="","",INDEX(MASTER_DATABASE!$A$4:$A$1000,ROW()-3)&amp;"")</f>
        <v>FIN-013</v>
      </c>
      <c r="B79" s="7" t="str">
        <f aca="false">IF(INDEX(MASTER_DATABASE!$A$4:$A$1000,ROW()-3)="","",INDEX(MASTER_DATABASE!$E$4:$E$1000,ROW()-3)&amp;"")</f>
        <v>FINO BC – KYC Document Collection / Update</v>
      </c>
      <c r="C79" s="7" t="str">
        <f aca="false">IF(INDEX(MASTER_DATABASE!$A$4:$A$1000,ROW()-3)="","",INDEX(MASTER_DATABASE!$F$4:$F$1000,ROW()-3)&amp;"")</f>
        <v>FINO BC – KYC दस्तावेज़ जमा / अपडेट</v>
      </c>
      <c r="D79" s="7" t="str">
        <f aca="false">IF(INDEX(MASTER_DATABASE!$A$4:$A$1000,ROW()-3)="","",INDEX(MASTER_DATABASE!$AL$4:$AL$1000,ROW()-3)&amp;"")</f>
        <v>FINO Payments Bank BC Point</v>
      </c>
      <c r="E79" s="7" t="str">
        <f aca="false">IF(INDEX(MASTER_DATABASE!$A$4:$A$1000,ROW()-3)="","",INDEX(MASTER_DATABASE!$G$4:$G$1000,ROW()-3)&amp;"")</f>
        <v>FINO BC – KYC Document Collection / Update at our FINO Payments Bank BC Point.</v>
      </c>
      <c r="F79" s="11" t="str">
        <f aca="false">IF(INDEX(MASTER_DATABASE!$A$4:$A$1000,ROW()-3)="","",INDEX(MASTER_DATABASE!$AP$4:$AP$1000,ROW()-3)&amp;"")</f>
        <v>🗂️</v>
      </c>
      <c r="G7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7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7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79" s="7" t="str">
        <f aca="false">IF(INDEX(MASTER_DATABASE!$A$4:$A$1000,ROW()-3)="","",INDEX(MASTER_DATABASE!$J$4:$J$1000,ROW()-3)&amp;"")</f>
        <v>To Be Confirmed</v>
      </c>
      <c r="K79" s="7" t="str">
        <f aca="false">IF(INDEX(MASTER_DATABASE!$A$4:$A$1000,ROW()-3)="","",INDEX(MASTER_DATABASE!$M$4:$M$1000,ROW()-3)&amp;"")</f>
        <v>✓ Aadhaar Card</v>
      </c>
      <c r="L79" s="7" t="str">
        <f aca="false">IF(INDEX(MASTER_DATABASE!$A$4:$A$1000,ROW()-3)="","",INDEX(MASTER_DATABASE!$Q$4:$Q$1000,ROW()-3)&amp;"")</f>
        <v>Depends on Department</v>
      </c>
      <c r="M79" s="11" t="str">
        <f aca="false">IF(INDEX(MASTER_DATABASE!$A$4:$A$1000,ROW()-3)="","",INDEX(MASTER_DATABASE!$AI$4:$AI$1000,ROW()-3)&amp;"")</f>
        <v>No</v>
      </c>
      <c r="N79" s="11" t="str">
        <f aca="false">IF(INDEX(MASTER_DATABASE!$A$4:$A$1000,ROW()-3)="","",INDEX(MASTER_DATABASE!$AJ$4:$AJ$1000,ROW()-3)&amp;"")</f>
        <v>No</v>
      </c>
      <c r="O79" s="11" t="str">
        <f aca="false">IF(INDEX(MASTER_DATABASE!$A$4:$A$1000,ROW()-3)="","",IF(INDEX(MASTER_DATABASE!$BE$4:$BE$1000,ROW()-3)="LIVE","Yes","No"))</f>
        <v>No</v>
      </c>
      <c r="P79" s="7" t="str">
        <f aca="false">IF(INDEX(MASTER_DATABASE!$A$4:$A$1000,ROW()-3)="","",INDEX(MASTER_DATABASE!$BG$4:$BG$1000,ROW()-3)&amp;"")</f>
        <v>Check Documents</v>
      </c>
      <c r="Q79" s="11" t="n">
        <f aca="false">IF(INDEX(MASTER_DATABASE!$A$4:$A$1000,ROW()-3)="","",INDEX(MASTER_DATABASE!$AQ$4:$AQ$1000,ROW()-3))</f>
        <v>130</v>
      </c>
    </row>
    <row r="80" customFormat="false" ht="35.05" hidden="false" customHeight="false" outlineLevel="0" collapsed="false">
      <c r="A80" s="11" t="str">
        <f aca="false">IF(INDEX(MASTER_DATABASE!$A$4:$A$1000,ROW()-3)="","",INDEX(MASTER_DATABASE!$A$4:$A$1000,ROW()-3)&amp;"")</f>
        <v>FIN-014</v>
      </c>
      <c r="B80" s="7" t="str">
        <f aca="false">IF(INDEX(MASTER_DATABASE!$A$4:$A$1000,ROW()-3)="","",INDEX(MASTER_DATABASE!$E$4:$E$1000,ROW()-3)&amp;"")</f>
        <v>FINO BC – Account Query / Complaint Assistance</v>
      </c>
      <c r="C80" s="7" t="str">
        <f aca="false">IF(INDEX(MASTER_DATABASE!$A$4:$A$1000,ROW()-3)="","",INDEX(MASTER_DATABASE!$F$4:$F$1000,ROW()-3)&amp;"")</f>
        <v>FINO BC – खाता शिकायत / समस्या सहायता</v>
      </c>
      <c r="D80" s="7" t="str">
        <f aca="false">IF(INDEX(MASTER_DATABASE!$A$4:$A$1000,ROW()-3)="","",INDEX(MASTER_DATABASE!$AL$4:$AL$1000,ROW()-3)&amp;"")</f>
        <v>FINO Payments Bank BC Point</v>
      </c>
      <c r="E80" s="7" t="str">
        <f aca="false">IF(INDEX(MASTER_DATABASE!$A$4:$A$1000,ROW()-3)="","",INDEX(MASTER_DATABASE!$G$4:$G$1000,ROW()-3)&amp;"")</f>
        <v>FINO BC – Account Query / Complaint Assistance at our FINO Payments Bank BC Point.</v>
      </c>
      <c r="F80" s="11" t="str">
        <f aca="false">IF(INDEX(MASTER_DATABASE!$A$4:$A$1000,ROW()-3)="","",INDEX(MASTER_DATABASE!$AP$4:$AP$1000,ROW()-3)&amp;"")</f>
        <v>🗂️</v>
      </c>
      <c r="G8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0" s="7" t="str">
        <f aca="false">IF(INDEX(MASTER_DATABASE!$A$4:$A$1000,ROW()-3)="","",INDEX(MASTER_DATABASE!$J$4:$J$1000,ROW()-3)&amp;"")</f>
        <v>To Be Confirmed</v>
      </c>
      <c r="K80" s="7" t="str">
        <f aca="false">IF(INDEX(MASTER_DATABASE!$A$4:$A$1000,ROW()-3)="","",INDEX(MASTER_DATABASE!$M$4:$M$1000,ROW()-3)&amp;"")</f>
        <v>✓ Aadhaar Card
✓ Bank Account Number
✓ Active Mobile Number</v>
      </c>
      <c r="L80" s="7" t="str">
        <f aca="false">IF(INDEX(MASTER_DATABASE!$A$4:$A$1000,ROW()-3)="","",INDEX(MASTER_DATABASE!$Q$4:$Q$1000,ROW()-3)&amp;"")</f>
        <v>Depends on Department</v>
      </c>
      <c r="M80" s="11" t="str">
        <f aca="false">IF(INDEX(MASTER_DATABASE!$A$4:$A$1000,ROW()-3)="","",INDEX(MASTER_DATABASE!$AI$4:$AI$1000,ROW()-3)&amp;"")</f>
        <v>No</v>
      </c>
      <c r="N80" s="11" t="str">
        <f aca="false">IF(INDEX(MASTER_DATABASE!$A$4:$A$1000,ROW()-3)="","",INDEX(MASTER_DATABASE!$AJ$4:$AJ$1000,ROW()-3)&amp;"")</f>
        <v>No</v>
      </c>
      <c r="O80" s="11" t="str">
        <f aca="false">IF(INDEX(MASTER_DATABASE!$A$4:$A$1000,ROW()-3)="","",IF(INDEX(MASTER_DATABASE!$BE$4:$BE$1000,ROW()-3)="LIVE","Yes","No"))</f>
        <v>No</v>
      </c>
      <c r="P80" s="7" t="str">
        <f aca="false">IF(INDEX(MASTER_DATABASE!$A$4:$A$1000,ROW()-3)="","",INDEX(MASTER_DATABASE!$BG$4:$BG$1000,ROW()-3)&amp;"")</f>
        <v>Check Documents</v>
      </c>
      <c r="Q80" s="11" t="n">
        <f aca="false">IF(INDEX(MASTER_DATABASE!$A$4:$A$1000,ROW()-3)="","",INDEX(MASTER_DATABASE!$AQ$4:$AQ$1000,ROW()-3))</f>
        <v>140</v>
      </c>
    </row>
    <row r="81" customFormat="false" ht="23.85" hidden="false" customHeight="false" outlineLevel="0" collapsed="false">
      <c r="A81" s="11" t="str">
        <f aca="false">IF(INDEX(MASTER_DATABASE!$A$4:$A$1000,ROW()-3)="","",INDEX(MASTER_DATABASE!$A$4:$A$1000,ROW()-3)&amp;"")</f>
        <v>FIN-015</v>
      </c>
      <c r="B81" s="7" t="str">
        <f aca="false">IF(INDEX(MASTER_DATABASE!$A$4:$A$1000,ROW()-3)="","",INDEX(MASTER_DATABASE!$E$4:$E$1000,ROW()-3)&amp;"")</f>
        <v>FINO BC – Payment Services (via FINO)</v>
      </c>
      <c r="C81" s="7" t="str">
        <f aca="false">IF(INDEX(MASTER_DATABASE!$A$4:$A$1000,ROW()-3)="","",INDEX(MASTER_DATABASE!$F$4:$F$1000,ROW()-3)&amp;"")</f>
        <v>FINO BC – भुगतान सेवाएँ (FINO के माध्यम से)</v>
      </c>
      <c r="D81" s="7" t="str">
        <f aca="false">IF(INDEX(MASTER_DATABASE!$A$4:$A$1000,ROW()-3)="","",INDEX(MASTER_DATABASE!$AL$4:$AL$1000,ROW()-3)&amp;"")</f>
        <v>FINO Payments Bank BC Point</v>
      </c>
      <c r="E81" s="7" t="str">
        <f aca="false">IF(INDEX(MASTER_DATABASE!$A$4:$A$1000,ROW()-3)="","",INDEX(MASTER_DATABASE!$G$4:$G$1000,ROW()-3)&amp;"")</f>
        <v>FINO BC – Payment Services (via FINO) at our FINO Payments Bank BC Point.</v>
      </c>
      <c r="F81" s="11" t="str">
        <f aca="false">IF(INDEX(MASTER_DATABASE!$A$4:$A$1000,ROW()-3)="","",INDEX(MASTER_DATABASE!$AP$4:$AP$1000,ROW()-3)&amp;"")</f>
        <v>💳</v>
      </c>
      <c r="G8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1" s="7" t="str">
        <f aca="false">IF(INDEX(MASTER_DATABASE!$A$4:$A$1000,ROW()-3)="","",INDEX(MASTER_DATABASE!$J$4:$J$1000,ROW()-3)&amp;"")</f>
        <v>To Be Confirmed</v>
      </c>
      <c r="K81" s="7" t="str">
        <f aca="false">IF(INDEX(MASTER_DATABASE!$A$4:$A$1000,ROW()-3)="","",INDEX(MASTER_DATABASE!$M$4:$M$1000,ROW()-3)&amp;"")</f>
        <v>✓ Consumer / Account Number</v>
      </c>
      <c r="L81" s="7" t="str">
        <f aca="false">IF(INDEX(MASTER_DATABASE!$A$4:$A$1000,ROW()-3)="","",INDEX(MASTER_DATABASE!$Q$4:$Q$1000,ROW()-3)&amp;"")</f>
        <v>5–10 Minutes</v>
      </c>
      <c r="M81" s="11" t="str">
        <f aca="false">IF(INDEX(MASTER_DATABASE!$A$4:$A$1000,ROW()-3)="","",INDEX(MASTER_DATABASE!$AI$4:$AI$1000,ROW()-3)&amp;"")</f>
        <v>No</v>
      </c>
      <c r="N81" s="11" t="str">
        <f aca="false">IF(INDEX(MASTER_DATABASE!$A$4:$A$1000,ROW()-3)="","",INDEX(MASTER_DATABASE!$AJ$4:$AJ$1000,ROW()-3)&amp;"")</f>
        <v>No</v>
      </c>
      <c r="O81" s="11" t="str">
        <f aca="false">IF(INDEX(MASTER_DATABASE!$A$4:$A$1000,ROW()-3)="","",IF(INDEX(MASTER_DATABASE!$BE$4:$BE$1000,ROW()-3)="LIVE","Yes","No"))</f>
        <v>No</v>
      </c>
      <c r="P81" s="7" t="str">
        <f aca="false">IF(INDEX(MASTER_DATABASE!$A$4:$A$1000,ROW()-3)="","",INDEX(MASTER_DATABASE!$BG$4:$BG$1000,ROW()-3)&amp;"")</f>
        <v>Check Documents</v>
      </c>
      <c r="Q81" s="11" t="n">
        <f aca="false">IF(INDEX(MASTER_DATABASE!$A$4:$A$1000,ROW()-3)="","",INDEX(MASTER_DATABASE!$AQ$4:$AQ$1000,ROW()-3))</f>
        <v>150</v>
      </c>
    </row>
    <row r="82" customFormat="false" ht="35.05" hidden="false" customHeight="false" outlineLevel="0" collapsed="false">
      <c r="A82" s="11" t="str">
        <f aca="false">IF(INDEX(MASTER_DATABASE!$A$4:$A$1000,ROW()-3)="","",INDEX(MASTER_DATABASE!$A$4:$A$1000,ROW()-3)&amp;"")</f>
        <v>BAS-001</v>
      </c>
      <c r="B82" s="7" t="str">
        <f aca="false">IF(INDEX(MASTER_DATABASE!$A$4:$A$1000,ROW()-3)="","",INDEX(MASTER_DATABASE!$E$4:$E$1000,ROW()-3)&amp;"")</f>
        <v>Income Certificate – Application</v>
      </c>
      <c r="C82" s="7" t="str">
        <f aca="false">IF(INDEX(MASTER_DATABASE!$A$4:$A$1000,ROW()-3)="","",INDEX(MASTER_DATABASE!$F$4:$F$1000,ROW()-3)&amp;"")</f>
        <v>आय प्रमाण पत्र – आवेदन</v>
      </c>
      <c r="D82" s="7" t="str">
        <f aca="false">IF(INDEX(MASTER_DATABASE!$A$4:$A$1000,ROW()-3)="","",INDEX(MASTER_DATABASE!$AL$4:$AL$1000,ROW()-3)&amp;"")</f>
        <v>BASUDHA Kendra</v>
      </c>
      <c r="E82" s="7" t="str">
        <f aca="false">IF(INDEX(MASTER_DATABASE!$A$4:$A$1000,ROW()-3)="","",INDEX(MASTER_DATABASE!$G$4:$G$1000,ROW()-3)&amp;"")</f>
        <v>Income Certificate – Application through our BASUDHA Kendra.</v>
      </c>
      <c r="F82" s="11" t="str">
        <f aca="false">IF(INDEX(MASTER_DATABASE!$A$4:$A$1000,ROW()-3)="","",INDEX(MASTER_DATABASE!$AP$4:$AP$1000,ROW()-3)&amp;"")</f>
        <v>📜</v>
      </c>
      <c r="G8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2" s="7" t="str">
        <f aca="false">IF(INDEX(MASTER_DATABASE!$A$4:$A$1000,ROW()-3)="","",INDEX(MASTER_DATABASE!$J$4:$J$1000,ROW()-3)&amp;"")</f>
        <v>Depends on Portal – Confirm at Shop</v>
      </c>
      <c r="K82" s="7" t="str">
        <f aca="false">IF(INDEX(MASTER_DATABASE!$A$4:$A$1000,ROW()-3)="","",INDEX(MASTER_DATABASE!$M$4:$M$1000,ROW()-3)&amp;"")</f>
        <v>✓ Aadhaar Card
✓ Passport Photo
✓ Active Mobile Number</v>
      </c>
      <c r="L82" s="7" t="str">
        <f aca="false">IF(INDEX(MASTER_DATABASE!$A$4:$A$1000,ROW()-3)="","",INDEX(MASTER_DATABASE!$Q$4:$Q$1000,ROW()-3)&amp;"")</f>
        <v>Depends on Department</v>
      </c>
      <c r="M82" s="11" t="str">
        <f aca="false">IF(INDEX(MASTER_DATABASE!$A$4:$A$1000,ROW()-3)="","",INDEX(MASTER_DATABASE!$AI$4:$AI$1000,ROW()-3)&amp;"")</f>
        <v>No</v>
      </c>
      <c r="N82" s="11" t="str">
        <f aca="false">IF(INDEX(MASTER_DATABASE!$A$4:$A$1000,ROW()-3)="","",INDEX(MASTER_DATABASE!$AJ$4:$AJ$1000,ROW()-3)&amp;"")</f>
        <v>No</v>
      </c>
      <c r="O82" s="11" t="str">
        <f aca="false">IF(INDEX(MASTER_DATABASE!$A$4:$A$1000,ROW()-3)="","",IF(INDEX(MASTER_DATABASE!$BE$4:$BE$1000,ROW()-3)="LIVE","Yes","No"))</f>
        <v>No</v>
      </c>
      <c r="P82" s="7" t="str">
        <f aca="false">IF(INDEX(MASTER_DATABASE!$A$4:$A$1000,ROW()-3)="","",INDEX(MASTER_DATABASE!$BG$4:$BG$1000,ROW()-3)&amp;"")</f>
        <v>Check Documents</v>
      </c>
      <c r="Q82" s="11" t="n">
        <f aca="false">IF(INDEX(MASTER_DATABASE!$A$4:$A$1000,ROW()-3)="","",INDEX(MASTER_DATABASE!$AQ$4:$AQ$1000,ROW()-3))</f>
        <v>10</v>
      </c>
    </row>
    <row r="83" customFormat="false" ht="35.05" hidden="false" customHeight="false" outlineLevel="0" collapsed="false">
      <c r="A83" s="11" t="str">
        <f aca="false">IF(INDEX(MASTER_DATABASE!$A$4:$A$1000,ROW()-3)="","",INDEX(MASTER_DATABASE!$A$4:$A$1000,ROW()-3)&amp;"")</f>
        <v>BAS-002</v>
      </c>
      <c r="B83" s="7" t="str">
        <f aca="false">IF(INDEX(MASTER_DATABASE!$A$4:$A$1000,ROW()-3)="","",INDEX(MASTER_DATABASE!$E$4:$E$1000,ROW()-3)&amp;"")</f>
        <v>Caste Certificate – Application</v>
      </c>
      <c r="C83" s="7" t="str">
        <f aca="false">IF(INDEX(MASTER_DATABASE!$A$4:$A$1000,ROW()-3)="","",INDEX(MASTER_DATABASE!$F$4:$F$1000,ROW()-3)&amp;"")</f>
        <v>जाति प्रमाण पत्र – आवेदन</v>
      </c>
      <c r="D83" s="7" t="str">
        <f aca="false">IF(INDEX(MASTER_DATABASE!$A$4:$A$1000,ROW()-3)="","",INDEX(MASTER_DATABASE!$AL$4:$AL$1000,ROW()-3)&amp;"")</f>
        <v>BASUDHA Kendra</v>
      </c>
      <c r="E83" s="7" t="str">
        <f aca="false">IF(INDEX(MASTER_DATABASE!$A$4:$A$1000,ROW()-3)="","",INDEX(MASTER_DATABASE!$G$4:$G$1000,ROW()-3)&amp;"")</f>
        <v>Caste Certificate – Application through our BASUDHA Kendra.</v>
      </c>
      <c r="F83" s="11" t="str">
        <f aca="false">IF(INDEX(MASTER_DATABASE!$A$4:$A$1000,ROW()-3)="","",INDEX(MASTER_DATABASE!$AP$4:$AP$1000,ROW()-3)&amp;"")</f>
        <v>📜</v>
      </c>
      <c r="G8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3" s="7" t="str">
        <f aca="false">IF(INDEX(MASTER_DATABASE!$A$4:$A$1000,ROW()-3)="","",INDEX(MASTER_DATABASE!$J$4:$J$1000,ROW()-3)&amp;"")</f>
        <v>Depends on Portal – Confirm at Shop</v>
      </c>
      <c r="K83" s="7" t="str">
        <f aca="false">IF(INDEX(MASTER_DATABASE!$A$4:$A$1000,ROW()-3)="","",INDEX(MASTER_DATABASE!$M$4:$M$1000,ROW()-3)&amp;"")</f>
        <v>✓ Aadhaar Card
✓ Passport Photo
✓ Active Mobile Number</v>
      </c>
      <c r="L83" s="7" t="str">
        <f aca="false">IF(INDEX(MASTER_DATABASE!$A$4:$A$1000,ROW()-3)="","",INDEX(MASTER_DATABASE!$Q$4:$Q$1000,ROW()-3)&amp;"")</f>
        <v>Depends on Department</v>
      </c>
      <c r="M83" s="11" t="str">
        <f aca="false">IF(INDEX(MASTER_DATABASE!$A$4:$A$1000,ROW()-3)="","",INDEX(MASTER_DATABASE!$AI$4:$AI$1000,ROW()-3)&amp;"")</f>
        <v>No</v>
      </c>
      <c r="N83" s="11" t="str">
        <f aca="false">IF(INDEX(MASTER_DATABASE!$A$4:$A$1000,ROW()-3)="","",INDEX(MASTER_DATABASE!$AJ$4:$AJ$1000,ROW()-3)&amp;"")</f>
        <v>No</v>
      </c>
      <c r="O83" s="11" t="str">
        <f aca="false">IF(INDEX(MASTER_DATABASE!$A$4:$A$1000,ROW()-3)="","",IF(INDEX(MASTER_DATABASE!$BE$4:$BE$1000,ROW()-3)="LIVE","Yes","No"))</f>
        <v>No</v>
      </c>
      <c r="P83" s="7" t="str">
        <f aca="false">IF(INDEX(MASTER_DATABASE!$A$4:$A$1000,ROW()-3)="","",INDEX(MASTER_DATABASE!$BG$4:$BG$1000,ROW()-3)&amp;"")</f>
        <v>Check Documents</v>
      </c>
      <c r="Q83" s="11" t="n">
        <f aca="false">IF(INDEX(MASTER_DATABASE!$A$4:$A$1000,ROW()-3)="","",INDEX(MASTER_DATABASE!$AQ$4:$AQ$1000,ROW()-3))</f>
        <v>20</v>
      </c>
    </row>
    <row r="84" customFormat="false" ht="35.05" hidden="false" customHeight="false" outlineLevel="0" collapsed="false">
      <c r="A84" s="11" t="str">
        <f aca="false">IF(INDEX(MASTER_DATABASE!$A$4:$A$1000,ROW()-3)="","",INDEX(MASTER_DATABASE!$A$4:$A$1000,ROW()-3)&amp;"")</f>
        <v>BAS-003</v>
      </c>
      <c r="B84" s="7" t="str">
        <f aca="false">IF(INDEX(MASTER_DATABASE!$A$4:$A$1000,ROW()-3)="","",INDEX(MASTER_DATABASE!$E$4:$E$1000,ROW()-3)&amp;"")</f>
        <v>Residence Certificate – Application</v>
      </c>
      <c r="C84" s="7" t="str">
        <f aca="false">IF(INDEX(MASTER_DATABASE!$A$4:$A$1000,ROW()-3)="","",INDEX(MASTER_DATABASE!$F$4:$F$1000,ROW()-3)&amp;"")</f>
        <v>निवास प्रमाण पत्र – आवेदन</v>
      </c>
      <c r="D84" s="7" t="str">
        <f aca="false">IF(INDEX(MASTER_DATABASE!$A$4:$A$1000,ROW()-3)="","",INDEX(MASTER_DATABASE!$AL$4:$AL$1000,ROW()-3)&amp;"")</f>
        <v>BASUDHA Kendra</v>
      </c>
      <c r="E84" s="7" t="str">
        <f aca="false">IF(INDEX(MASTER_DATABASE!$A$4:$A$1000,ROW()-3)="","",INDEX(MASTER_DATABASE!$G$4:$G$1000,ROW()-3)&amp;"")</f>
        <v>Residence Certificate – Application through our BASUDHA Kendra.</v>
      </c>
      <c r="F84" s="11" t="str">
        <f aca="false">IF(INDEX(MASTER_DATABASE!$A$4:$A$1000,ROW()-3)="","",INDEX(MASTER_DATABASE!$AP$4:$AP$1000,ROW()-3)&amp;"")</f>
        <v>📜</v>
      </c>
      <c r="G8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4" s="7" t="str">
        <f aca="false">IF(INDEX(MASTER_DATABASE!$A$4:$A$1000,ROW()-3)="","",INDEX(MASTER_DATABASE!$J$4:$J$1000,ROW()-3)&amp;"")</f>
        <v>Depends on Portal – Confirm at Shop</v>
      </c>
      <c r="K84" s="7" t="str">
        <f aca="false">IF(INDEX(MASTER_DATABASE!$A$4:$A$1000,ROW()-3)="","",INDEX(MASTER_DATABASE!$M$4:$M$1000,ROW()-3)&amp;"")</f>
        <v>✓ Aadhaar Card
✓ Passport Photo
✓ Active Mobile Number</v>
      </c>
      <c r="L84" s="7" t="str">
        <f aca="false">IF(INDEX(MASTER_DATABASE!$A$4:$A$1000,ROW()-3)="","",INDEX(MASTER_DATABASE!$Q$4:$Q$1000,ROW()-3)&amp;"")</f>
        <v>Depends on Department</v>
      </c>
      <c r="M84" s="11" t="str">
        <f aca="false">IF(INDEX(MASTER_DATABASE!$A$4:$A$1000,ROW()-3)="","",INDEX(MASTER_DATABASE!$AI$4:$AI$1000,ROW()-3)&amp;"")</f>
        <v>No</v>
      </c>
      <c r="N84" s="11" t="str">
        <f aca="false">IF(INDEX(MASTER_DATABASE!$A$4:$A$1000,ROW()-3)="","",INDEX(MASTER_DATABASE!$AJ$4:$AJ$1000,ROW()-3)&amp;"")</f>
        <v>No</v>
      </c>
      <c r="O84" s="11" t="str">
        <f aca="false">IF(INDEX(MASTER_DATABASE!$A$4:$A$1000,ROW()-3)="","",IF(INDEX(MASTER_DATABASE!$BE$4:$BE$1000,ROW()-3)="LIVE","Yes","No"))</f>
        <v>No</v>
      </c>
      <c r="P84" s="7" t="str">
        <f aca="false">IF(INDEX(MASTER_DATABASE!$A$4:$A$1000,ROW()-3)="","",INDEX(MASTER_DATABASE!$BG$4:$BG$1000,ROW()-3)&amp;"")</f>
        <v>Check Documents</v>
      </c>
      <c r="Q84" s="11" t="n">
        <f aca="false">IF(INDEX(MASTER_DATABASE!$A$4:$A$1000,ROW()-3)="","",INDEX(MASTER_DATABASE!$AQ$4:$AQ$1000,ROW()-3))</f>
        <v>30</v>
      </c>
    </row>
    <row r="85" customFormat="false" ht="35.05" hidden="false" customHeight="false" outlineLevel="0" collapsed="false">
      <c r="A85" s="11" t="str">
        <f aca="false">IF(INDEX(MASTER_DATABASE!$A$4:$A$1000,ROW()-3)="","",INDEX(MASTER_DATABASE!$A$4:$A$1000,ROW()-3)&amp;"")</f>
        <v>BAS-004</v>
      </c>
      <c r="B85" s="7" t="str">
        <f aca="false">IF(INDEX(MASTER_DATABASE!$A$4:$A$1000,ROW()-3)="","",INDEX(MASTER_DATABASE!$E$4:$E$1000,ROW()-3)&amp;"")</f>
        <v>EWS Certificate – Application</v>
      </c>
      <c r="C85" s="7" t="str">
        <f aca="false">IF(INDEX(MASTER_DATABASE!$A$4:$A$1000,ROW()-3)="","",INDEX(MASTER_DATABASE!$F$4:$F$1000,ROW()-3)&amp;"")</f>
        <v>EWS प्रमाण पत्र – आवेदन</v>
      </c>
      <c r="D85" s="7" t="str">
        <f aca="false">IF(INDEX(MASTER_DATABASE!$A$4:$A$1000,ROW()-3)="","",INDEX(MASTER_DATABASE!$AL$4:$AL$1000,ROW()-3)&amp;"")</f>
        <v>BASUDHA Kendra</v>
      </c>
      <c r="E85" s="7" t="str">
        <f aca="false">IF(INDEX(MASTER_DATABASE!$A$4:$A$1000,ROW()-3)="","",INDEX(MASTER_DATABASE!$G$4:$G$1000,ROW()-3)&amp;"")</f>
        <v>EWS Certificate – Application through our BASUDHA Kendra.</v>
      </c>
      <c r="F85" s="11" t="str">
        <f aca="false">IF(INDEX(MASTER_DATABASE!$A$4:$A$1000,ROW()-3)="","",INDEX(MASTER_DATABASE!$AP$4:$AP$1000,ROW()-3)&amp;"")</f>
        <v>📜</v>
      </c>
      <c r="G8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5" s="7" t="str">
        <f aca="false">IF(INDEX(MASTER_DATABASE!$A$4:$A$1000,ROW()-3)="","",INDEX(MASTER_DATABASE!$J$4:$J$1000,ROW()-3)&amp;"")</f>
        <v>Depends on Portal – Confirm at Shop</v>
      </c>
      <c r="K85" s="7" t="str">
        <f aca="false">IF(INDEX(MASTER_DATABASE!$A$4:$A$1000,ROW()-3)="","",INDEX(MASTER_DATABASE!$M$4:$M$1000,ROW()-3)&amp;"")</f>
        <v>✓ Aadhaar Card
✓ Passport Photo
✓ Active Mobile Number</v>
      </c>
      <c r="L85" s="7" t="str">
        <f aca="false">IF(INDEX(MASTER_DATABASE!$A$4:$A$1000,ROW()-3)="","",INDEX(MASTER_DATABASE!$Q$4:$Q$1000,ROW()-3)&amp;"")</f>
        <v>Depends on Department</v>
      </c>
      <c r="M85" s="11" t="str">
        <f aca="false">IF(INDEX(MASTER_DATABASE!$A$4:$A$1000,ROW()-3)="","",INDEX(MASTER_DATABASE!$AI$4:$AI$1000,ROW()-3)&amp;"")</f>
        <v>No</v>
      </c>
      <c r="N85" s="11" t="str">
        <f aca="false">IF(INDEX(MASTER_DATABASE!$A$4:$A$1000,ROW()-3)="","",INDEX(MASTER_DATABASE!$AJ$4:$AJ$1000,ROW()-3)&amp;"")</f>
        <v>No</v>
      </c>
      <c r="O85" s="11" t="str">
        <f aca="false">IF(INDEX(MASTER_DATABASE!$A$4:$A$1000,ROW()-3)="","",IF(INDEX(MASTER_DATABASE!$BE$4:$BE$1000,ROW()-3)="LIVE","Yes","No"))</f>
        <v>No</v>
      </c>
      <c r="P85" s="7" t="str">
        <f aca="false">IF(INDEX(MASTER_DATABASE!$A$4:$A$1000,ROW()-3)="","",INDEX(MASTER_DATABASE!$BG$4:$BG$1000,ROW()-3)&amp;"")</f>
        <v>Check Documents</v>
      </c>
      <c r="Q85" s="11" t="n">
        <f aca="false">IF(INDEX(MASTER_DATABASE!$A$4:$A$1000,ROW()-3)="","",INDEX(MASTER_DATABASE!$AQ$4:$AQ$1000,ROW()-3))</f>
        <v>40</v>
      </c>
    </row>
    <row r="86" customFormat="false" ht="35.05" hidden="false" customHeight="false" outlineLevel="0" collapsed="false">
      <c r="A86" s="11" t="str">
        <f aca="false">IF(INDEX(MASTER_DATABASE!$A$4:$A$1000,ROW()-3)="","",INDEX(MASTER_DATABASE!$A$4:$A$1000,ROW()-3)&amp;"")</f>
        <v>BAS-005</v>
      </c>
      <c r="B86" s="7" t="str">
        <f aca="false">IF(INDEX(MASTER_DATABASE!$A$4:$A$1000,ROW()-3)="","",INDEX(MASTER_DATABASE!$E$4:$E$1000,ROW()-3)&amp;"")</f>
        <v>Non-Creamy Layer (OBC / EBC) Certificate – Application</v>
      </c>
      <c r="C86" s="7" t="str">
        <f aca="false">IF(INDEX(MASTER_DATABASE!$A$4:$A$1000,ROW()-3)="","",INDEX(MASTER_DATABASE!$F$4:$F$1000,ROW()-3)&amp;"")</f>
        <v>नॉन-क्रीमी लेयर (OBC / EBC) प्रमाण पत्र – आवेदन</v>
      </c>
      <c r="D86" s="7" t="str">
        <f aca="false">IF(INDEX(MASTER_DATABASE!$A$4:$A$1000,ROW()-3)="","",INDEX(MASTER_DATABASE!$AL$4:$AL$1000,ROW()-3)&amp;"")</f>
        <v>BASUDHA Kendra</v>
      </c>
      <c r="E86" s="7" t="str">
        <f aca="false">IF(INDEX(MASTER_DATABASE!$A$4:$A$1000,ROW()-3)="","",INDEX(MASTER_DATABASE!$G$4:$G$1000,ROW()-3)&amp;"")</f>
        <v>Non-Creamy Layer (OBC / EBC) Certificate – Application through our BASUDHA Kendra.</v>
      </c>
      <c r="F86" s="11" t="str">
        <f aca="false">IF(INDEX(MASTER_DATABASE!$A$4:$A$1000,ROW()-3)="","",INDEX(MASTER_DATABASE!$AP$4:$AP$1000,ROW()-3)&amp;"")</f>
        <v>📜</v>
      </c>
      <c r="G8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6" s="7" t="str">
        <f aca="false">IF(INDEX(MASTER_DATABASE!$A$4:$A$1000,ROW()-3)="","",INDEX(MASTER_DATABASE!$J$4:$J$1000,ROW()-3)&amp;"")</f>
        <v>Depends on Portal – Confirm at Shop</v>
      </c>
      <c r="K86" s="7" t="str">
        <f aca="false">IF(INDEX(MASTER_DATABASE!$A$4:$A$1000,ROW()-3)="","",INDEX(MASTER_DATABASE!$M$4:$M$1000,ROW()-3)&amp;"")</f>
        <v>✓ Aadhaar Card
✓ Passport Photo
✓ Active Mobile Number</v>
      </c>
      <c r="L86" s="7" t="str">
        <f aca="false">IF(INDEX(MASTER_DATABASE!$A$4:$A$1000,ROW()-3)="","",INDEX(MASTER_DATABASE!$Q$4:$Q$1000,ROW()-3)&amp;"")</f>
        <v>Depends on Department</v>
      </c>
      <c r="M86" s="11" t="str">
        <f aca="false">IF(INDEX(MASTER_DATABASE!$A$4:$A$1000,ROW()-3)="","",INDEX(MASTER_DATABASE!$AI$4:$AI$1000,ROW()-3)&amp;"")</f>
        <v>No</v>
      </c>
      <c r="N86" s="11" t="str">
        <f aca="false">IF(INDEX(MASTER_DATABASE!$A$4:$A$1000,ROW()-3)="","",INDEX(MASTER_DATABASE!$AJ$4:$AJ$1000,ROW()-3)&amp;"")</f>
        <v>No</v>
      </c>
      <c r="O86" s="11" t="str">
        <f aca="false">IF(INDEX(MASTER_DATABASE!$A$4:$A$1000,ROW()-3)="","",IF(INDEX(MASTER_DATABASE!$BE$4:$BE$1000,ROW()-3)="LIVE","Yes","No"))</f>
        <v>No</v>
      </c>
      <c r="P86" s="7" t="str">
        <f aca="false">IF(INDEX(MASTER_DATABASE!$A$4:$A$1000,ROW()-3)="","",INDEX(MASTER_DATABASE!$BG$4:$BG$1000,ROW()-3)&amp;"")</f>
        <v>Check Documents</v>
      </c>
      <c r="Q86" s="11" t="n">
        <f aca="false">IF(INDEX(MASTER_DATABASE!$A$4:$A$1000,ROW()-3)="","",INDEX(MASTER_DATABASE!$AQ$4:$AQ$1000,ROW()-3))</f>
        <v>50</v>
      </c>
    </row>
    <row r="87" customFormat="false" ht="35.05" hidden="false" customHeight="false" outlineLevel="0" collapsed="false">
      <c r="A87" s="11" t="str">
        <f aca="false">IF(INDEX(MASTER_DATABASE!$A$4:$A$1000,ROW()-3)="","",INDEX(MASTER_DATABASE!$A$4:$A$1000,ROW()-3)&amp;"")</f>
        <v>BAS-006</v>
      </c>
      <c r="B87" s="7" t="str">
        <f aca="false">IF(INDEX(MASTER_DATABASE!$A$4:$A$1000,ROW()-3)="","",INDEX(MASTER_DATABASE!$E$4:$E$1000,ROW()-3)&amp;"")</f>
        <v>Birth Certificate – Application</v>
      </c>
      <c r="C87" s="7" t="str">
        <f aca="false">IF(INDEX(MASTER_DATABASE!$A$4:$A$1000,ROW()-3)="","",INDEX(MASTER_DATABASE!$F$4:$F$1000,ROW()-3)&amp;"")</f>
        <v>जन्म प्रमाण पत्र – आवेदन</v>
      </c>
      <c r="D87" s="7" t="str">
        <f aca="false">IF(INDEX(MASTER_DATABASE!$A$4:$A$1000,ROW()-3)="","",INDEX(MASTER_DATABASE!$AL$4:$AL$1000,ROW()-3)&amp;"")</f>
        <v>BASUDHA Kendra</v>
      </c>
      <c r="E87" s="7" t="str">
        <f aca="false">IF(INDEX(MASTER_DATABASE!$A$4:$A$1000,ROW()-3)="","",INDEX(MASTER_DATABASE!$G$4:$G$1000,ROW()-3)&amp;"")</f>
        <v>Birth Certificate – Application through our BASUDHA Kendra.</v>
      </c>
      <c r="F87" s="11" t="str">
        <f aca="false">IF(INDEX(MASTER_DATABASE!$A$4:$A$1000,ROW()-3)="","",INDEX(MASTER_DATABASE!$AP$4:$AP$1000,ROW()-3)&amp;"")</f>
        <v>📜</v>
      </c>
      <c r="G8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7" s="7" t="str">
        <f aca="false">IF(INDEX(MASTER_DATABASE!$A$4:$A$1000,ROW()-3)="","",INDEX(MASTER_DATABASE!$J$4:$J$1000,ROW()-3)&amp;"")</f>
        <v>To Be Confirmed</v>
      </c>
      <c r="K87" s="7" t="str">
        <f aca="false">IF(INDEX(MASTER_DATABASE!$A$4:$A$1000,ROW()-3)="","",INDEX(MASTER_DATABASE!$M$4:$M$1000,ROW()-3)&amp;"")</f>
        <v>✓ Aadhaar Card
✓ Passport Photo
✓ Active Mobile Number</v>
      </c>
      <c r="L87" s="7" t="str">
        <f aca="false">IF(INDEX(MASTER_DATABASE!$A$4:$A$1000,ROW()-3)="","",INDEX(MASTER_DATABASE!$Q$4:$Q$1000,ROW()-3)&amp;"")</f>
        <v>Depends on Department</v>
      </c>
      <c r="M87" s="11" t="str">
        <f aca="false">IF(INDEX(MASTER_DATABASE!$A$4:$A$1000,ROW()-3)="","",INDEX(MASTER_DATABASE!$AI$4:$AI$1000,ROW()-3)&amp;"")</f>
        <v>No</v>
      </c>
      <c r="N87" s="11" t="str">
        <f aca="false">IF(INDEX(MASTER_DATABASE!$A$4:$A$1000,ROW()-3)="","",INDEX(MASTER_DATABASE!$AJ$4:$AJ$1000,ROW()-3)&amp;"")</f>
        <v>No</v>
      </c>
      <c r="O87" s="11" t="str">
        <f aca="false">IF(INDEX(MASTER_DATABASE!$A$4:$A$1000,ROW()-3)="","",IF(INDEX(MASTER_DATABASE!$BE$4:$BE$1000,ROW()-3)="LIVE","Yes","No"))</f>
        <v>No</v>
      </c>
      <c r="P87" s="7" t="str">
        <f aca="false">IF(INDEX(MASTER_DATABASE!$A$4:$A$1000,ROW()-3)="","",INDEX(MASTER_DATABASE!$BG$4:$BG$1000,ROW()-3)&amp;"")</f>
        <v>Check Documents</v>
      </c>
      <c r="Q87" s="11" t="n">
        <f aca="false">IF(INDEX(MASTER_DATABASE!$A$4:$A$1000,ROW()-3)="","",INDEX(MASTER_DATABASE!$AQ$4:$AQ$1000,ROW()-3))</f>
        <v>60</v>
      </c>
    </row>
    <row r="88" customFormat="false" ht="35.05" hidden="false" customHeight="false" outlineLevel="0" collapsed="false">
      <c r="A88" s="11" t="str">
        <f aca="false">IF(INDEX(MASTER_DATABASE!$A$4:$A$1000,ROW()-3)="","",INDEX(MASTER_DATABASE!$A$4:$A$1000,ROW()-3)&amp;"")</f>
        <v>BAS-007</v>
      </c>
      <c r="B88" s="7" t="str">
        <f aca="false">IF(INDEX(MASTER_DATABASE!$A$4:$A$1000,ROW()-3)="","",INDEX(MASTER_DATABASE!$E$4:$E$1000,ROW()-3)&amp;"")</f>
        <v>Death Certificate – Application</v>
      </c>
      <c r="C88" s="7" t="str">
        <f aca="false">IF(INDEX(MASTER_DATABASE!$A$4:$A$1000,ROW()-3)="","",INDEX(MASTER_DATABASE!$F$4:$F$1000,ROW()-3)&amp;"")</f>
        <v>मृत्यु प्रमाण पत्र – आवेदन</v>
      </c>
      <c r="D88" s="7" t="str">
        <f aca="false">IF(INDEX(MASTER_DATABASE!$A$4:$A$1000,ROW()-3)="","",INDEX(MASTER_DATABASE!$AL$4:$AL$1000,ROW()-3)&amp;"")</f>
        <v>BASUDHA Kendra</v>
      </c>
      <c r="E88" s="7" t="str">
        <f aca="false">IF(INDEX(MASTER_DATABASE!$A$4:$A$1000,ROW()-3)="","",INDEX(MASTER_DATABASE!$G$4:$G$1000,ROW()-3)&amp;"")</f>
        <v>Death Certificate – Application through our BASUDHA Kendra.</v>
      </c>
      <c r="F88" s="11" t="str">
        <f aca="false">IF(INDEX(MASTER_DATABASE!$A$4:$A$1000,ROW()-3)="","",INDEX(MASTER_DATABASE!$AP$4:$AP$1000,ROW()-3)&amp;"")</f>
        <v>📜</v>
      </c>
      <c r="G8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8" s="7" t="str">
        <f aca="false">IF(INDEX(MASTER_DATABASE!$A$4:$A$1000,ROW()-3)="","",INDEX(MASTER_DATABASE!$J$4:$J$1000,ROW()-3)&amp;"")</f>
        <v>To Be Confirmed</v>
      </c>
      <c r="K88" s="7" t="str">
        <f aca="false">IF(INDEX(MASTER_DATABASE!$A$4:$A$1000,ROW()-3)="","",INDEX(MASTER_DATABASE!$M$4:$M$1000,ROW()-3)&amp;"")</f>
        <v>✓ Aadhaar Card
✓ Passport Photo
✓ Active Mobile Number</v>
      </c>
      <c r="L88" s="7" t="str">
        <f aca="false">IF(INDEX(MASTER_DATABASE!$A$4:$A$1000,ROW()-3)="","",INDEX(MASTER_DATABASE!$Q$4:$Q$1000,ROW()-3)&amp;"")</f>
        <v>Depends on Department</v>
      </c>
      <c r="M88" s="11" t="str">
        <f aca="false">IF(INDEX(MASTER_DATABASE!$A$4:$A$1000,ROW()-3)="","",INDEX(MASTER_DATABASE!$AI$4:$AI$1000,ROW()-3)&amp;"")</f>
        <v>No</v>
      </c>
      <c r="N88" s="11" t="str">
        <f aca="false">IF(INDEX(MASTER_DATABASE!$A$4:$A$1000,ROW()-3)="","",INDEX(MASTER_DATABASE!$AJ$4:$AJ$1000,ROW()-3)&amp;"")</f>
        <v>No</v>
      </c>
      <c r="O88" s="11" t="str">
        <f aca="false">IF(INDEX(MASTER_DATABASE!$A$4:$A$1000,ROW()-3)="","",IF(INDEX(MASTER_DATABASE!$BE$4:$BE$1000,ROW()-3)="LIVE","Yes","No"))</f>
        <v>No</v>
      </c>
      <c r="P88" s="7" t="str">
        <f aca="false">IF(INDEX(MASTER_DATABASE!$A$4:$A$1000,ROW()-3)="","",INDEX(MASTER_DATABASE!$BG$4:$BG$1000,ROW()-3)&amp;"")</f>
        <v>Check Documents</v>
      </c>
      <c r="Q88" s="11" t="n">
        <f aca="false">IF(INDEX(MASTER_DATABASE!$A$4:$A$1000,ROW()-3)="","",INDEX(MASTER_DATABASE!$AQ$4:$AQ$1000,ROW()-3))</f>
        <v>70</v>
      </c>
    </row>
    <row r="89" customFormat="false" ht="35.05" hidden="false" customHeight="false" outlineLevel="0" collapsed="false">
      <c r="A89" s="11" t="str">
        <f aca="false">IF(INDEX(MASTER_DATABASE!$A$4:$A$1000,ROW()-3)="","",INDEX(MASTER_DATABASE!$A$4:$A$1000,ROW()-3)&amp;"")</f>
        <v>BAS-008</v>
      </c>
      <c r="B89" s="7" t="str">
        <f aca="false">IF(INDEX(MASTER_DATABASE!$A$4:$A$1000,ROW()-3)="","",INDEX(MASTER_DATABASE!$E$4:$E$1000,ROW()-3)&amp;"")</f>
        <v>Marriage Registration / Certificate – Application</v>
      </c>
      <c r="C89" s="7" t="str">
        <f aca="false">IF(INDEX(MASTER_DATABASE!$A$4:$A$1000,ROW()-3)="","",INDEX(MASTER_DATABASE!$F$4:$F$1000,ROW()-3)&amp;"")</f>
        <v>विवाह पंजीकरण / प्रमाण पत्र – आवेदन</v>
      </c>
      <c r="D89" s="7" t="str">
        <f aca="false">IF(INDEX(MASTER_DATABASE!$A$4:$A$1000,ROW()-3)="","",INDEX(MASTER_DATABASE!$AL$4:$AL$1000,ROW()-3)&amp;"")</f>
        <v>BASUDHA Kendra</v>
      </c>
      <c r="E89" s="7" t="str">
        <f aca="false">IF(INDEX(MASTER_DATABASE!$A$4:$A$1000,ROW()-3)="","",INDEX(MASTER_DATABASE!$G$4:$G$1000,ROW()-3)&amp;"")</f>
        <v>Marriage Registration / Certificate – Application through our BASUDHA Kendra.</v>
      </c>
      <c r="F89" s="11" t="str">
        <f aca="false">IF(INDEX(MASTER_DATABASE!$A$4:$A$1000,ROW()-3)="","",INDEX(MASTER_DATABASE!$AP$4:$AP$1000,ROW()-3)&amp;"")</f>
        <v>📜</v>
      </c>
      <c r="G8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8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8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89" s="7" t="str">
        <f aca="false">IF(INDEX(MASTER_DATABASE!$A$4:$A$1000,ROW()-3)="","",INDEX(MASTER_DATABASE!$J$4:$J$1000,ROW()-3)&amp;"")</f>
        <v>To Be Confirmed</v>
      </c>
      <c r="K89" s="7" t="str">
        <f aca="false">IF(INDEX(MASTER_DATABASE!$A$4:$A$1000,ROW()-3)="","",INDEX(MASTER_DATABASE!$M$4:$M$1000,ROW()-3)&amp;"")</f>
        <v>✓ Aadhaar Card
✓ Passport Photo
✓ Active Mobile Number</v>
      </c>
      <c r="L89" s="7" t="str">
        <f aca="false">IF(INDEX(MASTER_DATABASE!$A$4:$A$1000,ROW()-3)="","",INDEX(MASTER_DATABASE!$Q$4:$Q$1000,ROW()-3)&amp;"")</f>
        <v>Depends on Department</v>
      </c>
      <c r="M89" s="11" t="str">
        <f aca="false">IF(INDEX(MASTER_DATABASE!$A$4:$A$1000,ROW()-3)="","",INDEX(MASTER_DATABASE!$AI$4:$AI$1000,ROW()-3)&amp;"")</f>
        <v>No</v>
      </c>
      <c r="N89" s="11" t="str">
        <f aca="false">IF(INDEX(MASTER_DATABASE!$A$4:$A$1000,ROW()-3)="","",INDEX(MASTER_DATABASE!$AJ$4:$AJ$1000,ROW()-3)&amp;"")</f>
        <v>No</v>
      </c>
      <c r="O89" s="11" t="str">
        <f aca="false">IF(INDEX(MASTER_DATABASE!$A$4:$A$1000,ROW()-3)="","",IF(INDEX(MASTER_DATABASE!$BE$4:$BE$1000,ROW()-3)="LIVE","Yes","No"))</f>
        <v>No</v>
      </c>
      <c r="P89" s="7" t="str">
        <f aca="false">IF(INDEX(MASTER_DATABASE!$A$4:$A$1000,ROW()-3)="","",INDEX(MASTER_DATABASE!$BG$4:$BG$1000,ROW()-3)&amp;"")</f>
        <v>Check Documents</v>
      </c>
      <c r="Q89" s="11" t="n">
        <f aca="false">IF(INDEX(MASTER_DATABASE!$A$4:$A$1000,ROW()-3)="","",INDEX(MASTER_DATABASE!$AQ$4:$AQ$1000,ROW()-3))</f>
        <v>80</v>
      </c>
    </row>
    <row r="90" customFormat="false" ht="35.05" hidden="false" customHeight="false" outlineLevel="0" collapsed="false">
      <c r="A90" s="11" t="str">
        <f aca="false">IF(INDEX(MASTER_DATABASE!$A$4:$A$1000,ROW()-3)="","",INDEX(MASTER_DATABASE!$A$4:$A$1000,ROW()-3)&amp;"")</f>
        <v>BAS-009</v>
      </c>
      <c r="B90" s="7" t="str">
        <f aca="false">IF(INDEX(MASTER_DATABASE!$A$4:$A$1000,ROW()-3)="","",INDEX(MASTER_DATABASE!$E$4:$E$1000,ROW()-3)&amp;"")</f>
        <v>Character Certificate – Application</v>
      </c>
      <c r="C90" s="7" t="str">
        <f aca="false">IF(INDEX(MASTER_DATABASE!$A$4:$A$1000,ROW()-3)="","",INDEX(MASTER_DATABASE!$F$4:$F$1000,ROW()-3)&amp;"")</f>
        <v>चरित्र प्रमाण पत्र – आवेदन</v>
      </c>
      <c r="D90" s="7" t="str">
        <f aca="false">IF(INDEX(MASTER_DATABASE!$A$4:$A$1000,ROW()-3)="","",INDEX(MASTER_DATABASE!$AL$4:$AL$1000,ROW()-3)&amp;"")</f>
        <v>BASUDHA Kendra</v>
      </c>
      <c r="E90" s="7" t="str">
        <f aca="false">IF(INDEX(MASTER_DATABASE!$A$4:$A$1000,ROW()-3)="","",INDEX(MASTER_DATABASE!$G$4:$G$1000,ROW()-3)&amp;"")</f>
        <v>Character Certificate – Application through our BASUDHA Kendra.</v>
      </c>
      <c r="F90" s="11" t="str">
        <f aca="false">IF(INDEX(MASTER_DATABASE!$A$4:$A$1000,ROW()-3)="","",INDEX(MASTER_DATABASE!$AP$4:$AP$1000,ROW()-3)&amp;"")</f>
        <v>📜</v>
      </c>
      <c r="G9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0" s="7" t="str">
        <f aca="false">IF(INDEX(MASTER_DATABASE!$A$4:$A$1000,ROW()-3)="","",INDEX(MASTER_DATABASE!$J$4:$J$1000,ROW()-3)&amp;"")</f>
        <v>To Be Confirmed</v>
      </c>
      <c r="K90" s="7" t="str">
        <f aca="false">IF(INDEX(MASTER_DATABASE!$A$4:$A$1000,ROW()-3)="","",INDEX(MASTER_DATABASE!$M$4:$M$1000,ROW()-3)&amp;"")</f>
        <v>✓ Aadhaar Card
✓ Passport Photo
✓ Active Mobile Number</v>
      </c>
      <c r="L90" s="7" t="str">
        <f aca="false">IF(INDEX(MASTER_DATABASE!$A$4:$A$1000,ROW()-3)="","",INDEX(MASTER_DATABASE!$Q$4:$Q$1000,ROW()-3)&amp;"")</f>
        <v>Depends on Department</v>
      </c>
      <c r="M90" s="11" t="str">
        <f aca="false">IF(INDEX(MASTER_DATABASE!$A$4:$A$1000,ROW()-3)="","",INDEX(MASTER_DATABASE!$AI$4:$AI$1000,ROW()-3)&amp;"")</f>
        <v>No</v>
      </c>
      <c r="N90" s="11" t="str">
        <f aca="false">IF(INDEX(MASTER_DATABASE!$A$4:$A$1000,ROW()-3)="","",INDEX(MASTER_DATABASE!$AJ$4:$AJ$1000,ROW()-3)&amp;"")</f>
        <v>No</v>
      </c>
      <c r="O90" s="11" t="str">
        <f aca="false">IF(INDEX(MASTER_DATABASE!$A$4:$A$1000,ROW()-3)="","",IF(INDEX(MASTER_DATABASE!$BE$4:$BE$1000,ROW()-3)="LIVE","Yes","No"))</f>
        <v>No</v>
      </c>
      <c r="P90" s="7" t="str">
        <f aca="false">IF(INDEX(MASTER_DATABASE!$A$4:$A$1000,ROW()-3)="","",INDEX(MASTER_DATABASE!$BG$4:$BG$1000,ROW()-3)&amp;"")</f>
        <v>Check Documents</v>
      </c>
      <c r="Q90" s="11" t="n">
        <f aca="false">IF(INDEX(MASTER_DATABASE!$A$4:$A$1000,ROW()-3)="","",INDEX(MASTER_DATABASE!$AQ$4:$AQ$1000,ROW()-3))</f>
        <v>90</v>
      </c>
    </row>
    <row r="91" customFormat="false" ht="35.05" hidden="false" customHeight="false" outlineLevel="0" collapsed="false">
      <c r="A91" s="11" t="str">
        <f aca="false">IF(INDEX(MASTER_DATABASE!$A$4:$A$1000,ROW()-3)="","",INDEX(MASTER_DATABASE!$A$4:$A$1000,ROW()-3)&amp;"")</f>
        <v>BAS-010</v>
      </c>
      <c r="B91" s="7" t="str">
        <f aca="false">IF(INDEX(MASTER_DATABASE!$A$4:$A$1000,ROW()-3)="","",INDEX(MASTER_DATABASE!$E$4:$E$1000,ROW()-3)&amp;"")</f>
        <v>Certificate Correction / Re-application Assistance</v>
      </c>
      <c r="C91" s="7" t="str">
        <f aca="false">IF(INDEX(MASTER_DATABASE!$A$4:$A$1000,ROW()-3)="","",INDEX(MASTER_DATABASE!$F$4:$F$1000,ROW()-3)&amp;"")</f>
        <v>प्रमाण पत्र सुधार / पुनः आवेदन सहायता</v>
      </c>
      <c r="D91" s="7" t="str">
        <f aca="false">IF(INDEX(MASTER_DATABASE!$A$4:$A$1000,ROW()-3)="","",INDEX(MASTER_DATABASE!$AL$4:$AL$1000,ROW()-3)&amp;"")</f>
        <v>BASUDHA Kendra</v>
      </c>
      <c r="E91" s="7" t="str">
        <f aca="false">IF(INDEX(MASTER_DATABASE!$A$4:$A$1000,ROW()-3)="","",INDEX(MASTER_DATABASE!$G$4:$G$1000,ROW()-3)&amp;"")</f>
        <v>Certificate Correction / Re-application Assistance through our BASUDHA Kendra.</v>
      </c>
      <c r="F91" s="11" t="str">
        <f aca="false">IF(INDEX(MASTER_DATABASE!$A$4:$A$1000,ROW()-3)="","",INDEX(MASTER_DATABASE!$AP$4:$AP$1000,ROW()-3)&amp;"")</f>
        <v>📜</v>
      </c>
      <c r="G9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1" s="7" t="str">
        <f aca="false">IF(INDEX(MASTER_DATABASE!$A$4:$A$1000,ROW()-3)="","",INDEX(MASTER_DATABASE!$J$4:$J$1000,ROW()-3)&amp;"")</f>
        <v>To Be Confirmed</v>
      </c>
      <c r="K91" s="7" t="str">
        <f aca="false">IF(INDEX(MASTER_DATABASE!$A$4:$A$1000,ROW()-3)="","",INDEX(MASTER_DATABASE!$M$4:$M$1000,ROW()-3)&amp;"")</f>
        <v>✓ Aadhaar Card
✓ Passport Photo
✓ Active Mobile Number</v>
      </c>
      <c r="L91" s="7" t="str">
        <f aca="false">IF(INDEX(MASTER_DATABASE!$A$4:$A$1000,ROW()-3)="","",INDEX(MASTER_DATABASE!$Q$4:$Q$1000,ROW()-3)&amp;"")</f>
        <v>Depends on Department</v>
      </c>
      <c r="M91" s="11" t="str">
        <f aca="false">IF(INDEX(MASTER_DATABASE!$A$4:$A$1000,ROW()-3)="","",INDEX(MASTER_DATABASE!$AI$4:$AI$1000,ROW()-3)&amp;"")</f>
        <v>No</v>
      </c>
      <c r="N91" s="11" t="str">
        <f aca="false">IF(INDEX(MASTER_DATABASE!$A$4:$A$1000,ROW()-3)="","",INDEX(MASTER_DATABASE!$AJ$4:$AJ$1000,ROW()-3)&amp;"")</f>
        <v>No</v>
      </c>
      <c r="O91" s="11" t="str">
        <f aca="false">IF(INDEX(MASTER_DATABASE!$A$4:$A$1000,ROW()-3)="","",IF(INDEX(MASTER_DATABASE!$BE$4:$BE$1000,ROW()-3)="LIVE","Yes","No"))</f>
        <v>No</v>
      </c>
      <c r="P91" s="7" t="str">
        <f aca="false">IF(INDEX(MASTER_DATABASE!$A$4:$A$1000,ROW()-3)="","",INDEX(MASTER_DATABASE!$BG$4:$BG$1000,ROW()-3)&amp;"")</f>
        <v>Check Documents</v>
      </c>
      <c r="Q91" s="11" t="n">
        <f aca="false">IF(INDEX(MASTER_DATABASE!$A$4:$A$1000,ROW()-3)="","",INDEX(MASTER_DATABASE!$AQ$4:$AQ$1000,ROW()-3))</f>
        <v>100</v>
      </c>
    </row>
    <row r="92" customFormat="false" ht="23.85" hidden="false" customHeight="false" outlineLevel="0" collapsed="false">
      <c r="A92" s="11" t="str">
        <f aca="false">IF(INDEX(MASTER_DATABASE!$A$4:$A$1000,ROW()-3)="","",INDEX(MASTER_DATABASE!$A$4:$A$1000,ROW()-3)&amp;"")</f>
        <v>BAS-011</v>
      </c>
      <c r="B92" s="7" t="str">
        <f aca="false">IF(INDEX(MASTER_DATABASE!$A$4:$A$1000,ROW()-3)="","",INDEX(MASTER_DATABASE!$E$4:$E$1000,ROW()-3)&amp;"")</f>
        <v>Certificate Download</v>
      </c>
      <c r="C92" s="7" t="str">
        <f aca="false">IF(INDEX(MASTER_DATABASE!$A$4:$A$1000,ROW()-3)="","",INDEX(MASTER_DATABASE!$F$4:$F$1000,ROW()-3)&amp;"")</f>
        <v>प्रमाण पत्र डाउनलोड</v>
      </c>
      <c r="D92" s="7" t="str">
        <f aca="false">IF(INDEX(MASTER_DATABASE!$A$4:$A$1000,ROW()-3)="","",INDEX(MASTER_DATABASE!$AL$4:$AL$1000,ROW()-3)&amp;"")</f>
        <v>BASUDHA Kendra</v>
      </c>
      <c r="E92" s="7" t="str">
        <f aca="false">IF(INDEX(MASTER_DATABASE!$A$4:$A$1000,ROW()-3)="","",INDEX(MASTER_DATABASE!$G$4:$G$1000,ROW()-3)&amp;"")</f>
        <v>Certificate Download through our BASUDHA Kendra.</v>
      </c>
      <c r="F92" s="11" t="str">
        <f aca="false">IF(INDEX(MASTER_DATABASE!$A$4:$A$1000,ROW()-3)="","",INDEX(MASTER_DATABASE!$AP$4:$AP$1000,ROW()-3)&amp;"")</f>
        <v>📜</v>
      </c>
      <c r="G9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2" s="7" t="str">
        <f aca="false">IF(INDEX(MASTER_DATABASE!$A$4:$A$1000,ROW()-3)="","",INDEX(MASTER_DATABASE!$J$4:$J$1000,ROW()-3)&amp;"")</f>
        <v>Depends on Portal – Confirm at Shop</v>
      </c>
      <c r="K92" s="7" t="str">
        <f aca="false">IF(INDEX(MASTER_DATABASE!$A$4:$A$1000,ROW()-3)="","",INDEX(MASTER_DATABASE!$M$4:$M$1000,ROW()-3)&amp;"")</f>
        <v>✓ Reference / Application Number</v>
      </c>
      <c r="L92" s="7" t="str">
        <f aca="false">IF(INDEX(MASTER_DATABASE!$A$4:$A$1000,ROW()-3)="","",INDEX(MASTER_DATABASE!$Q$4:$Q$1000,ROW()-3)&amp;"")</f>
        <v>15–30 Minutes</v>
      </c>
      <c r="M92" s="11" t="str">
        <f aca="false">IF(INDEX(MASTER_DATABASE!$A$4:$A$1000,ROW()-3)="","",INDEX(MASTER_DATABASE!$AI$4:$AI$1000,ROW()-3)&amp;"")</f>
        <v>No</v>
      </c>
      <c r="N92" s="11" t="str">
        <f aca="false">IF(INDEX(MASTER_DATABASE!$A$4:$A$1000,ROW()-3)="","",INDEX(MASTER_DATABASE!$AJ$4:$AJ$1000,ROW()-3)&amp;"")</f>
        <v>No</v>
      </c>
      <c r="O92" s="11" t="str">
        <f aca="false">IF(INDEX(MASTER_DATABASE!$A$4:$A$1000,ROW()-3)="","",IF(INDEX(MASTER_DATABASE!$BE$4:$BE$1000,ROW()-3)="LIVE","Yes","No"))</f>
        <v>No</v>
      </c>
      <c r="P92" s="7" t="str">
        <f aca="false">IF(INDEX(MASTER_DATABASE!$A$4:$A$1000,ROW()-3)="","",INDEX(MASTER_DATABASE!$BG$4:$BG$1000,ROW()-3)&amp;"")</f>
        <v>Check Documents</v>
      </c>
      <c r="Q92" s="11" t="n">
        <f aca="false">IF(INDEX(MASTER_DATABASE!$A$4:$A$1000,ROW()-3)="","",INDEX(MASTER_DATABASE!$AQ$4:$AQ$1000,ROW()-3))</f>
        <v>110</v>
      </c>
    </row>
    <row r="93" customFormat="false" ht="23.85" hidden="false" customHeight="false" outlineLevel="0" collapsed="false">
      <c r="A93" s="11" t="str">
        <f aca="false">IF(INDEX(MASTER_DATABASE!$A$4:$A$1000,ROW()-3)="","",INDEX(MASTER_DATABASE!$A$4:$A$1000,ROW()-3)&amp;"")</f>
        <v>BAS-012</v>
      </c>
      <c r="B93" s="7" t="str">
        <f aca="false">IF(INDEX(MASTER_DATABASE!$A$4:$A$1000,ROW()-3)="","",INDEX(MASTER_DATABASE!$E$4:$E$1000,ROW()-3)&amp;"")</f>
        <v>Certificate Print</v>
      </c>
      <c r="C93" s="7" t="str">
        <f aca="false">IF(INDEX(MASTER_DATABASE!$A$4:$A$1000,ROW()-3)="","",INDEX(MASTER_DATABASE!$F$4:$F$1000,ROW()-3)&amp;"")</f>
        <v>प्रमाण पत्र प्रिंट</v>
      </c>
      <c r="D93" s="7" t="str">
        <f aca="false">IF(INDEX(MASTER_DATABASE!$A$4:$A$1000,ROW()-3)="","",INDEX(MASTER_DATABASE!$AL$4:$AL$1000,ROW()-3)&amp;"")</f>
        <v>BASUDHA Kendra</v>
      </c>
      <c r="E93" s="7" t="str">
        <f aca="false">IF(INDEX(MASTER_DATABASE!$A$4:$A$1000,ROW()-3)="","",INDEX(MASTER_DATABASE!$G$4:$G$1000,ROW()-3)&amp;"")</f>
        <v>Certificate Print through our BASUDHA Kendra.</v>
      </c>
      <c r="F93" s="11" t="str">
        <f aca="false">IF(INDEX(MASTER_DATABASE!$A$4:$A$1000,ROW()-3)="","",INDEX(MASTER_DATABASE!$AP$4:$AP$1000,ROW()-3)&amp;"")</f>
        <v>📜</v>
      </c>
      <c r="G9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3" s="7" t="str">
        <f aca="false">IF(INDEX(MASTER_DATABASE!$A$4:$A$1000,ROW()-3)="","",INDEX(MASTER_DATABASE!$J$4:$J$1000,ROW()-3)&amp;"")</f>
        <v>Depends on Portal – Confirm at Shop</v>
      </c>
      <c r="K93" s="7" t="str">
        <f aca="false">IF(INDEX(MASTER_DATABASE!$A$4:$A$1000,ROW()-3)="","",INDEX(MASTER_DATABASE!$M$4:$M$1000,ROW()-3)&amp;"")</f>
        <v>✓ Reference / Application Number</v>
      </c>
      <c r="L93" s="7" t="str">
        <f aca="false">IF(INDEX(MASTER_DATABASE!$A$4:$A$1000,ROW()-3)="","",INDEX(MASTER_DATABASE!$Q$4:$Q$1000,ROW()-3)&amp;"")</f>
        <v>15–30 Minutes</v>
      </c>
      <c r="M93" s="11" t="str">
        <f aca="false">IF(INDEX(MASTER_DATABASE!$A$4:$A$1000,ROW()-3)="","",INDEX(MASTER_DATABASE!$AI$4:$AI$1000,ROW()-3)&amp;"")</f>
        <v>No</v>
      </c>
      <c r="N93" s="11" t="str">
        <f aca="false">IF(INDEX(MASTER_DATABASE!$A$4:$A$1000,ROW()-3)="","",INDEX(MASTER_DATABASE!$AJ$4:$AJ$1000,ROW()-3)&amp;"")</f>
        <v>No</v>
      </c>
      <c r="O93" s="11" t="str">
        <f aca="false">IF(INDEX(MASTER_DATABASE!$A$4:$A$1000,ROW()-3)="","",IF(INDEX(MASTER_DATABASE!$BE$4:$BE$1000,ROW()-3)="LIVE","Yes","No"))</f>
        <v>No</v>
      </c>
      <c r="P93" s="7" t="str">
        <f aca="false">IF(INDEX(MASTER_DATABASE!$A$4:$A$1000,ROW()-3)="","",INDEX(MASTER_DATABASE!$BG$4:$BG$1000,ROW()-3)&amp;"")</f>
        <v>Check Documents</v>
      </c>
      <c r="Q93" s="11" t="n">
        <f aca="false">IF(INDEX(MASTER_DATABASE!$A$4:$A$1000,ROW()-3)="","",INDEX(MASTER_DATABASE!$AQ$4:$AQ$1000,ROW()-3))</f>
        <v>120</v>
      </c>
    </row>
    <row r="94" customFormat="false" ht="35.05" hidden="false" customHeight="false" outlineLevel="0" collapsed="false">
      <c r="A94" s="11" t="str">
        <f aca="false">IF(INDEX(MASTER_DATABASE!$A$4:$A$1000,ROW()-3)="","",INDEX(MASTER_DATABASE!$A$4:$A$1000,ROW()-3)&amp;"")</f>
        <v>BAS-013</v>
      </c>
      <c r="B94" s="7" t="str">
        <f aca="false">IF(INDEX(MASTER_DATABASE!$A$4:$A$1000,ROW()-3)="","",INDEX(MASTER_DATABASE!$E$4:$E$1000,ROW()-3)&amp;"")</f>
        <v>Old Age Pension – Application</v>
      </c>
      <c r="C94" s="7" t="str">
        <f aca="false">IF(INDEX(MASTER_DATABASE!$A$4:$A$1000,ROW()-3)="","",INDEX(MASTER_DATABASE!$F$4:$F$1000,ROW()-3)&amp;"")</f>
        <v>वृद्धावस्था पेंशन – आवेदन</v>
      </c>
      <c r="D94" s="7" t="str">
        <f aca="false">IF(INDEX(MASTER_DATABASE!$A$4:$A$1000,ROW()-3)="","",INDEX(MASTER_DATABASE!$AL$4:$AL$1000,ROW()-3)&amp;"")</f>
        <v>BASUDHA Kendra</v>
      </c>
      <c r="E94" s="7" t="str">
        <f aca="false">IF(INDEX(MASTER_DATABASE!$A$4:$A$1000,ROW()-3)="","",INDEX(MASTER_DATABASE!$G$4:$G$1000,ROW()-3)&amp;"")</f>
        <v>Old Age Pension – Application through our BASUDHA Kendra.</v>
      </c>
      <c r="F94" s="11" t="str">
        <f aca="false">IF(INDEX(MASTER_DATABASE!$A$4:$A$1000,ROW()-3)="","",INDEX(MASTER_DATABASE!$AP$4:$AP$1000,ROW()-3)&amp;"")</f>
        <v>🏛️</v>
      </c>
      <c r="G9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4" s="7" t="str">
        <f aca="false">IF(INDEX(MASTER_DATABASE!$A$4:$A$1000,ROW()-3)="","",INDEX(MASTER_DATABASE!$J$4:$J$1000,ROW()-3)&amp;"")</f>
        <v>To Be Confirmed</v>
      </c>
      <c r="K94" s="7" t="str">
        <f aca="false">IF(INDEX(MASTER_DATABASE!$A$4:$A$1000,ROW()-3)="","",INDEX(MASTER_DATABASE!$M$4:$M$1000,ROW()-3)&amp;"")</f>
        <v>✓ Aadhaar Card
✓ Bank Passbook
✓ Passport Photo</v>
      </c>
      <c r="L94" s="7" t="str">
        <f aca="false">IF(INDEX(MASTER_DATABASE!$A$4:$A$1000,ROW()-3)="","",INDEX(MASTER_DATABASE!$Q$4:$Q$1000,ROW()-3)&amp;"")</f>
        <v>Depends on Department</v>
      </c>
      <c r="M94" s="11" t="str">
        <f aca="false">IF(INDEX(MASTER_DATABASE!$A$4:$A$1000,ROW()-3)="","",INDEX(MASTER_DATABASE!$AI$4:$AI$1000,ROW()-3)&amp;"")</f>
        <v>No</v>
      </c>
      <c r="N94" s="11" t="str">
        <f aca="false">IF(INDEX(MASTER_DATABASE!$A$4:$A$1000,ROW()-3)="","",INDEX(MASTER_DATABASE!$AJ$4:$AJ$1000,ROW()-3)&amp;"")</f>
        <v>No</v>
      </c>
      <c r="O94" s="11" t="str">
        <f aca="false">IF(INDEX(MASTER_DATABASE!$A$4:$A$1000,ROW()-3)="","",IF(INDEX(MASTER_DATABASE!$BE$4:$BE$1000,ROW()-3)="LIVE","Yes","No"))</f>
        <v>No</v>
      </c>
      <c r="P94" s="7" t="str">
        <f aca="false">IF(INDEX(MASTER_DATABASE!$A$4:$A$1000,ROW()-3)="","",INDEX(MASTER_DATABASE!$BG$4:$BG$1000,ROW()-3)&amp;"")</f>
        <v>Check Documents</v>
      </c>
      <c r="Q94" s="11" t="n">
        <f aca="false">IF(INDEX(MASTER_DATABASE!$A$4:$A$1000,ROW()-3)="","",INDEX(MASTER_DATABASE!$AQ$4:$AQ$1000,ROW()-3))</f>
        <v>130</v>
      </c>
    </row>
    <row r="95" customFormat="false" ht="35.05" hidden="false" customHeight="false" outlineLevel="0" collapsed="false">
      <c r="A95" s="11" t="str">
        <f aca="false">IF(INDEX(MASTER_DATABASE!$A$4:$A$1000,ROW()-3)="","",INDEX(MASTER_DATABASE!$A$4:$A$1000,ROW()-3)&amp;"")</f>
        <v>BAS-014</v>
      </c>
      <c r="B95" s="7" t="str">
        <f aca="false">IF(INDEX(MASTER_DATABASE!$A$4:$A$1000,ROW()-3)="","",INDEX(MASTER_DATABASE!$E$4:$E$1000,ROW()-3)&amp;"")</f>
        <v>Widow Pension – Application</v>
      </c>
      <c r="C95" s="7" t="str">
        <f aca="false">IF(INDEX(MASTER_DATABASE!$A$4:$A$1000,ROW()-3)="","",INDEX(MASTER_DATABASE!$F$4:$F$1000,ROW()-3)&amp;"")</f>
        <v>विधवा पेंशन – आवेदन</v>
      </c>
      <c r="D95" s="7" t="str">
        <f aca="false">IF(INDEX(MASTER_DATABASE!$A$4:$A$1000,ROW()-3)="","",INDEX(MASTER_DATABASE!$AL$4:$AL$1000,ROW()-3)&amp;"")</f>
        <v>BASUDHA Kendra</v>
      </c>
      <c r="E95" s="7" t="str">
        <f aca="false">IF(INDEX(MASTER_DATABASE!$A$4:$A$1000,ROW()-3)="","",INDEX(MASTER_DATABASE!$G$4:$G$1000,ROW()-3)&amp;"")</f>
        <v>Widow Pension – Application through our BASUDHA Kendra.</v>
      </c>
      <c r="F95" s="11" t="str">
        <f aca="false">IF(INDEX(MASTER_DATABASE!$A$4:$A$1000,ROW()-3)="","",INDEX(MASTER_DATABASE!$AP$4:$AP$1000,ROW()-3)&amp;"")</f>
        <v>🏛️</v>
      </c>
      <c r="G9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5" s="7" t="str">
        <f aca="false">IF(INDEX(MASTER_DATABASE!$A$4:$A$1000,ROW()-3)="","",INDEX(MASTER_DATABASE!$J$4:$J$1000,ROW()-3)&amp;"")</f>
        <v>To Be Confirmed</v>
      </c>
      <c r="K95" s="7" t="str">
        <f aca="false">IF(INDEX(MASTER_DATABASE!$A$4:$A$1000,ROW()-3)="","",INDEX(MASTER_DATABASE!$M$4:$M$1000,ROW()-3)&amp;"")</f>
        <v>✓ Aadhaar Card
✓ Bank Passbook
✓ Passport Photo</v>
      </c>
      <c r="L95" s="7" t="str">
        <f aca="false">IF(INDEX(MASTER_DATABASE!$A$4:$A$1000,ROW()-3)="","",INDEX(MASTER_DATABASE!$Q$4:$Q$1000,ROW()-3)&amp;"")</f>
        <v>Depends on Department</v>
      </c>
      <c r="M95" s="11" t="str">
        <f aca="false">IF(INDEX(MASTER_DATABASE!$A$4:$A$1000,ROW()-3)="","",INDEX(MASTER_DATABASE!$AI$4:$AI$1000,ROW()-3)&amp;"")</f>
        <v>No</v>
      </c>
      <c r="N95" s="11" t="str">
        <f aca="false">IF(INDEX(MASTER_DATABASE!$A$4:$A$1000,ROW()-3)="","",INDEX(MASTER_DATABASE!$AJ$4:$AJ$1000,ROW()-3)&amp;"")</f>
        <v>No</v>
      </c>
      <c r="O95" s="11" t="str">
        <f aca="false">IF(INDEX(MASTER_DATABASE!$A$4:$A$1000,ROW()-3)="","",IF(INDEX(MASTER_DATABASE!$BE$4:$BE$1000,ROW()-3)="LIVE","Yes","No"))</f>
        <v>No</v>
      </c>
      <c r="P95" s="7" t="str">
        <f aca="false">IF(INDEX(MASTER_DATABASE!$A$4:$A$1000,ROW()-3)="","",INDEX(MASTER_DATABASE!$BG$4:$BG$1000,ROW()-3)&amp;"")</f>
        <v>Check Documents</v>
      </c>
      <c r="Q95" s="11" t="n">
        <f aca="false">IF(INDEX(MASTER_DATABASE!$A$4:$A$1000,ROW()-3)="","",INDEX(MASTER_DATABASE!$AQ$4:$AQ$1000,ROW()-3))</f>
        <v>140</v>
      </c>
    </row>
    <row r="96" customFormat="false" ht="35.05" hidden="false" customHeight="false" outlineLevel="0" collapsed="false">
      <c r="A96" s="11" t="str">
        <f aca="false">IF(INDEX(MASTER_DATABASE!$A$4:$A$1000,ROW()-3)="","",INDEX(MASTER_DATABASE!$A$4:$A$1000,ROW()-3)&amp;"")</f>
        <v>BAS-015</v>
      </c>
      <c r="B96" s="7" t="str">
        <f aca="false">IF(INDEX(MASTER_DATABASE!$A$4:$A$1000,ROW()-3)="","",INDEX(MASTER_DATABASE!$E$4:$E$1000,ROW()-3)&amp;"")</f>
        <v>Divyang (Disability) Pension – Application</v>
      </c>
      <c r="C96" s="7" t="str">
        <f aca="false">IF(INDEX(MASTER_DATABASE!$A$4:$A$1000,ROW()-3)="","",INDEX(MASTER_DATABASE!$F$4:$F$1000,ROW()-3)&amp;"")</f>
        <v>दिव्यांग पेंशन – आवेदन</v>
      </c>
      <c r="D96" s="7" t="str">
        <f aca="false">IF(INDEX(MASTER_DATABASE!$A$4:$A$1000,ROW()-3)="","",INDEX(MASTER_DATABASE!$AL$4:$AL$1000,ROW()-3)&amp;"")</f>
        <v>BASUDHA Kendra</v>
      </c>
      <c r="E96" s="7" t="str">
        <f aca="false">IF(INDEX(MASTER_DATABASE!$A$4:$A$1000,ROW()-3)="","",INDEX(MASTER_DATABASE!$G$4:$G$1000,ROW()-3)&amp;"")</f>
        <v>Divyang (Disability) Pension – Application through our BASUDHA Kendra.</v>
      </c>
      <c r="F96" s="11" t="str">
        <f aca="false">IF(INDEX(MASTER_DATABASE!$A$4:$A$1000,ROW()-3)="","",INDEX(MASTER_DATABASE!$AP$4:$AP$1000,ROW()-3)&amp;"")</f>
        <v>🏛️</v>
      </c>
      <c r="G9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6" s="7" t="str">
        <f aca="false">IF(INDEX(MASTER_DATABASE!$A$4:$A$1000,ROW()-3)="","",INDEX(MASTER_DATABASE!$J$4:$J$1000,ROW()-3)&amp;"")</f>
        <v>To Be Confirmed</v>
      </c>
      <c r="K96" s="7" t="str">
        <f aca="false">IF(INDEX(MASTER_DATABASE!$A$4:$A$1000,ROW()-3)="","",INDEX(MASTER_DATABASE!$M$4:$M$1000,ROW()-3)&amp;"")</f>
        <v>✓ Aadhaar Card
✓ Bank Passbook
✓ Passport Photo</v>
      </c>
      <c r="L96" s="7" t="str">
        <f aca="false">IF(INDEX(MASTER_DATABASE!$A$4:$A$1000,ROW()-3)="","",INDEX(MASTER_DATABASE!$Q$4:$Q$1000,ROW()-3)&amp;"")</f>
        <v>Depends on Department</v>
      </c>
      <c r="M96" s="11" t="str">
        <f aca="false">IF(INDEX(MASTER_DATABASE!$A$4:$A$1000,ROW()-3)="","",INDEX(MASTER_DATABASE!$AI$4:$AI$1000,ROW()-3)&amp;"")</f>
        <v>No</v>
      </c>
      <c r="N96" s="11" t="str">
        <f aca="false">IF(INDEX(MASTER_DATABASE!$A$4:$A$1000,ROW()-3)="","",INDEX(MASTER_DATABASE!$AJ$4:$AJ$1000,ROW()-3)&amp;"")</f>
        <v>No</v>
      </c>
      <c r="O96" s="11" t="str">
        <f aca="false">IF(INDEX(MASTER_DATABASE!$A$4:$A$1000,ROW()-3)="","",IF(INDEX(MASTER_DATABASE!$BE$4:$BE$1000,ROW()-3)="LIVE","Yes","No"))</f>
        <v>No</v>
      </c>
      <c r="P96" s="7" t="str">
        <f aca="false">IF(INDEX(MASTER_DATABASE!$A$4:$A$1000,ROW()-3)="","",INDEX(MASTER_DATABASE!$BG$4:$BG$1000,ROW()-3)&amp;"")</f>
        <v>Check Documents</v>
      </c>
      <c r="Q96" s="11" t="n">
        <f aca="false">IF(INDEX(MASTER_DATABASE!$A$4:$A$1000,ROW()-3)="","",INDEX(MASTER_DATABASE!$AQ$4:$AQ$1000,ROW()-3))</f>
        <v>150</v>
      </c>
    </row>
    <row r="97" customFormat="false" ht="23.85" hidden="false" customHeight="false" outlineLevel="0" collapsed="false">
      <c r="A97" s="11" t="str">
        <f aca="false">IF(INDEX(MASTER_DATABASE!$A$4:$A$1000,ROW()-3)="","",INDEX(MASTER_DATABASE!$A$4:$A$1000,ROW()-3)&amp;"")</f>
        <v>BAS-016</v>
      </c>
      <c r="B97" s="7" t="str">
        <f aca="false">IF(INDEX(MASTER_DATABASE!$A$4:$A$1000,ROW()-3)="","",INDEX(MASTER_DATABASE!$E$4:$E$1000,ROW()-3)&amp;"")</f>
        <v>Government Scheme Application – General</v>
      </c>
      <c r="C97" s="7" t="str">
        <f aca="false">IF(INDEX(MASTER_DATABASE!$A$4:$A$1000,ROW()-3)="","",INDEX(MASTER_DATABASE!$F$4:$F$1000,ROW()-3)&amp;"")</f>
        <v>सरकारी योजना आवेदन – सामान्य</v>
      </c>
      <c r="D97" s="7" t="str">
        <f aca="false">IF(INDEX(MASTER_DATABASE!$A$4:$A$1000,ROW()-3)="","",INDEX(MASTER_DATABASE!$AL$4:$AL$1000,ROW()-3)&amp;"")</f>
        <v>BASUDHA Kendra</v>
      </c>
      <c r="E97" s="7" t="str">
        <f aca="false">IF(INDEX(MASTER_DATABASE!$A$4:$A$1000,ROW()-3)="","",INDEX(MASTER_DATABASE!$G$4:$G$1000,ROW()-3)&amp;"")</f>
        <v>Government Scheme Application – General through our BASUDHA Kendra.</v>
      </c>
      <c r="F97" s="11" t="str">
        <f aca="false">IF(INDEX(MASTER_DATABASE!$A$4:$A$1000,ROW()-3)="","",INDEX(MASTER_DATABASE!$AP$4:$AP$1000,ROW()-3)&amp;"")</f>
        <v>🏛️</v>
      </c>
      <c r="G9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7" s="7" t="str">
        <f aca="false">IF(INDEX(MASTER_DATABASE!$A$4:$A$1000,ROW()-3)="","",INDEX(MASTER_DATABASE!$J$4:$J$1000,ROW()-3)&amp;"")</f>
        <v>Depends on Portal – Confirm at Shop</v>
      </c>
      <c r="K97" s="7" t="str">
        <f aca="false">IF(INDEX(MASTER_DATABASE!$A$4:$A$1000,ROW()-3)="","",INDEX(MASTER_DATABASE!$M$4:$M$1000,ROW()-3)&amp;"")</f>
        <v>✓ Aadhaar Card
✓ Active Mobile Number</v>
      </c>
      <c r="L97" s="7" t="str">
        <f aca="false">IF(INDEX(MASTER_DATABASE!$A$4:$A$1000,ROW()-3)="","",INDEX(MASTER_DATABASE!$Q$4:$Q$1000,ROW()-3)&amp;"")</f>
        <v>Depends on Department</v>
      </c>
      <c r="M97" s="11" t="str">
        <f aca="false">IF(INDEX(MASTER_DATABASE!$A$4:$A$1000,ROW()-3)="","",INDEX(MASTER_DATABASE!$AI$4:$AI$1000,ROW()-3)&amp;"")</f>
        <v>No</v>
      </c>
      <c r="N97" s="11" t="str">
        <f aca="false">IF(INDEX(MASTER_DATABASE!$A$4:$A$1000,ROW()-3)="","",INDEX(MASTER_DATABASE!$AJ$4:$AJ$1000,ROW()-3)&amp;"")</f>
        <v>No</v>
      </c>
      <c r="O97" s="11" t="str">
        <f aca="false">IF(INDEX(MASTER_DATABASE!$A$4:$A$1000,ROW()-3)="","",IF(INDEX(MASTER_DATABASE!$BE$4:$BE$1000,ROW()-3)="LIVE","Yes","No"))</f>
        <v>No</v>
      </c>
      <c r="P97" s="7" t="str">
        <f aca="false">IF(INDEX(MASTER_DATABASE!$A$4:$A$1000,ROW()-3)="","",INDEX(MASTER_DATABASE!$BG$4:$BG$1000,ROW()-3)&amp;"")</f>
        <v>Check Documents</v>
      </c>
      <c r="Q97" s="11" t="n">
        <f aca="false">IF(INDEX(MASTER_DATABASE!$A$4:$A$1000,ROW()-3)="","",INDEX(MASTER_DATABASE!$AQ$4:$AQ$1000,ROW()-3))</f>
        <v>160</v>
      </c>
    </row>
    <row r="98" customFormat="false" ht="23.85" hidden="false" customHeight="false" outlineLevel="0" collapsed="false">
      <c r="A98" s="11" t="str">
        <f aca="false">IF(INDEX(MASTER_DATABASE!$A$4:$A$1000,ROW()-3)="","",INDEX(MASTER_DATABASE!$A$4:$A$1000,ROW()-3)&amp;"")</f>
        <v>BAS-017</v>
      </c>
      <c r="B98" s="7" t="str">
        <f aca="false">IF(INDEX(MASTER_DATABASE!$A$4:$A$1000,ROW()-3)="","",INDEX(MASTER_DATABASE!$E$4:$E$1000,ROW()-3)&amp;"")</f>
        <v>Ration Card – New Application</v>
      </c>
      <c r="C98" s="7" t="str">
        <f aca="false">IF(INDEX(MASTER_DATABASE!$A$4:$A$1000,ROW()-3)="","",INDEX(MASTER_DATABASE!$F$4:$F$1000,ROW()-3)&amp;"")</f>
        <v>राशन कार्ड – नया आवेदन</v>
      </c>
      <c r="D98" s="7" t="str">
        <f aca="false">IF(INDEX(MASTER_DATABASE!$A$4:$A$1000,ROW()-3)="","",INDEX(MASTER_DATABASE!$AL$4:$AL$1000,ROW()-3)&amp;"")</f>
        <v>BASUDHA Kendra</v>
      </c>
      <c r="E98" s="7" t="str">
        <f aca="false">IF(INDEX(MASTER_DATABASE!$A$4:$A$1000,ROW()-3)="","",INDEX(MASTER_DATABASE!$G$4:$G$1000,ROW()-3)&amp;"")</f>
        <v>Ration Card – New Application through our BASUDHA Kendra.</v>
      </c>
      <c r="F98" s="11" t="str">
        <f aca="false">IF(INDEX(MASTER_DATABASE!$A$4:$A$1000,ROW()-3)="","",INDEX(MASTER_DATABASE!$AP$4:$AP$1000,ROW()-3)&amp;"")</f>
        <v>🌾</v>
      </c>
      <c r="G9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8" s="7" t="str">
        <f aca="false">IF(INDEX(MASTER_DATABASE!$A$4:$A$1000,ROW()-3)="","",INDEX(MASTER_DATABASE!$J$4:$J$1000,ROW()-3)&amp;"")</f>
        <v>To Be Confirmed</v>
      </c>
      <c r="K98" s="7" t="str">
        <f aca="false">IF(INDEX(MASTER_DATABASE!$A$4:$A$1000,ROW()-3)="","",INDEX(MASTER_DATABASE!$M$4:$M$1000,ROW()-3)&amp;"")</f>
        <v>✓ Aadhaar Card
✓ Active Mobile Number</v>
      </c>
      <c r="L98" s="7" t="str">
        <f aca="false">IF(INDEX(MASTER_DATABASE!$A$4:$A$1000,ROW()-3)="","",INDEX(MASTER_DATABASE!$Q$4:$Q$1000,ROW()-3)&amp;"")</f>
        <v>Depends on Department</v>
      </c>
      <c r="M98" s="11" t="str">
        <f aca="false">IF(INDEX(MASTER_DATABASE!$A$4:$A$1000,ROW()-3)="","",INDEX(MASTER_DATABASE!$AI$4:$AI$1000,ROW()-3)&amp;"")</f>
        <v>No</v>
      </c>
      <c r="N98" s="11" t="str">
        <f aca="false">IF(INDEX(MASTER_DATABASE!$A$4:$A$1000,ROW()-3)="","",INDEX(MASTER_DATABASE!$AJ$4:$AJ$1000,ROW()-3)&amp;"")</f>
        <v>No</v>
      </c>
      <c r="O98" s="11" t="str">
        <f aca="false">IF(INDEX(MASTER_DATABASE!$A$4:$A$1000,ROW()-3)="","",IF(INDEX(MASTER_DATABASE!$BE$4:$BE$1000,ROW()-3)="LIVE","Yes","No"))</f>
        <v>No</v>
      </c>
      <c r="P98" s="7" t="str">
        <f aca="false">IF(INDEX(MASTER_DATABASE!$A$4:$A$1000,ROW()-3)="","",INDEX(MASTER_DATABASE!$BG$4:$BG$1000,ROW()-3)&amp;"")</f>
        <v>Check Documents</v>
      </c>
      <c r="Q98" s="11" t="n">
        <f aca="false">IF(INDEX(MASTER_DATABASE!$A$4:$A$1000,ROW()-3)="","",INDEX(MASTER_DATABASE!$AQ$4:$AQ$1000,ROW()-3))</f>
        <v>170</v>
      </c>
    </row>
    <row r="99" customFormat="false" ht="35.05" hidden="false" customHeight="false" outlineLevel="0" collapsed="false">
      <c r="A99" s="11" t="str">
        <f aca="false">IF(INDEX(MASTER_DATABASE!$A$4:$A$1000,ROW()-3)="","",INDEX(MASTER_DATABASE!$A$4:$A$1000,ROW()-3)&amp;"")</f>
        <v>BAS-018</v>
      </c>
      <c r="B99" s="7" t="str">
        <f aca="false">IF(INDEX(MASTER_DATABASE!$A$4:$A$1000,ROW()-3)="","",INDEX(MASTER_DATABASE!$E$4:$E$1000,ROW()-3)&amp;"")</f>
        <v>Ration Card – Member Add / Delete / Correction</v>
      </c>
      <c r="C99" s="7" t="str">
        <f aca="false">IF(INDEX(MASTER_DATABASE!$A$4:$A$1000,ROW()-3)="","",INDEX(MASTER_DATABASE!$F$4:$F$1000,ROW()-3)&amp;"")</f>
        <v>राशन कार्ड – सदस्य जोड़ना / हटाना / सुधार</v>
      </c>
      <c r="D99" s="7" t="str">
        <f aca="false">IF(INDEX(MASTER_DATABASE!$A$4:$A$1000,ROW()-3)="","",INDEX(MASTER_DATABASE!$AL$4:$AL$1000,ROW()-3)&amp;"")</f>
        <v>BASUDHA Kendra</v>
      </c>
      <c r="E99" s="7" t="str">
        <f aca="false">IF(INDEX(MASTER_DATABASE!$A$4:$A$1000,ROW()-3)="","",INDEX(MASTER_DATABASE!$G$4:$G$1000,ROW()-3)&amp;"")</f>
        <v>Ration Card – Member Add / Delete / Correction through our BASUDHA Kendra.</v>
      </c>
      <c r="F99" s="11" t="str">
        <f aca="false">IF(INDEX(MASTER_DATABASE!$A$4:$A$1000,ROW()-3)="","",INDEX(MASTER_DATABASE!$AP$4:$AP$1000,ROW()-3)&amp;"")</f>
        <v>🌾</v>
      </c>
      <c r="G9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9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9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99" s="7" t="str">
        <f aca="false">IF(INDEX(MASTER_DATABASE!$A$4:$A$1000,ROW()-3)="","",INDEX(MASTER_DATABASE!$J$4:$J$1000,ROW()-3)&amp;"")</f>
        <v>To Be Confirmed</v>
      </c>
      <c r="K99" s="7" t="str">
        <f aca="false">IF(INDEX(MASTER_DATABASE!$A$4:$A$1000,ROW()-3)="","",INDEX(MASTER_DATABASE!$M$4:$M$1000,ROW()-3)&amp;"")</f>
        <v>✓ Aadhaar Card
✓ Active Mobile Number</v>
      </c>
      <c r="L99" s="7" t="str">
        <f aca="false">IF(INDEX(MASTER_DATABASE!$A$4:$A$1000,ROW()-3)="","",INDEX(MASTER_DATABASE!$Q$4:$Q$1000,ROW()-3)&amp;"")</f>
        <v>Depends on Department</v>
      </c>
      <c r="M99" s="11" t="str">
        <f aca="false">IF(INDEX(MASTER_DATABASE!$A$4:$A$1000,ROW()-3)="","",INDEX(MASTER_DATABASE!$AI$4:$AI$1000,ROW()-3)&amp;"")</f>
        <v>No</v>
      </c>
      <c r="N99" s="11" t="str">
        <f aca="false">IF(INDEX(MASTER_DATABASE!$A$4:$A$1000,ROW()-3)="","",INDEX(MASTER_DATABASE!$AJ$4:$AJ$1000,ROW()-3)&amp;"")</f>
        <v>No</v>
      </c>
      <c r="O99" s="11" t="str">
        <f aca="false">IF(INDEX(MASTER_DATABASE!$A$4:$A$1000,ROW()-3)="","",IF(INDEX(MASTER_DATABASE!$BE$4:$BE$1000,ROW()-3)="LIVE","Yes","No"))</f>
        <v>No</v>
      </c>
      <c r="P99" s="7" t="str">
        <f aca="false">IF(INDEX(MASTER_DATABASE!$A$4:$A$1000,ROW()-3)="","",INDEX(MASTER_DATABASE!$BG$4:$BG$1000,ROW()-3)&amp;"")</f>
        <v>Check Documents</v>
      </c>
      <c r="Q99" s="11" t="n">
        <f aca="false">IF(INDEX(MASTER_DATABASE!$A$4:$A$1000,ROW()-3)="","",INDEX(MASTER_DATABASE!$AQ$4:$AQ$1000,ROW()-3))</f>
        <v>180</v>
      </c>
    </row>
    <row r="100" customFormat="false" ht="23.85" hidden="false" customHeight="false" outlineLevel="0" collapsed="false">
      <c r="A100" s="11" t="str">
        <f aca="false">IF(INDEX(MASTER_DATABASE!$A$4:$A$1000,ROW()-3)="","",INDEX(MASTER_DATABASE!$A$4:$A$1000,ROW()-3)&amp;"")</f>
        <v>BAS-019</v>
      </c>
      <c r="B100" s="7" t="str">
        <f aca="false">IF(INDEX(MASTER_DATABASE!$A$4:$A$1000,ROW()-3)="","",INDEX(MASTER_DATABASE!$E$4:$E$1000,ROW()-3)&amp;"")</f>
        <v>Ration Card – Status Check / Download</v>
      </c>
      <c r="C100" s="7" t="str">
        <f aca="false">IF(INDEX(MASTER_DATABASE!$A$4:$A$1000,ROW()-3)="","",INDEX(MASTER_DATABASE!$F$4:$F$1000,ROW()-3)&amp;"")</f>
        <v>राशन कार्ड – स्थिति जाँच / डाउनलोड</v>
      </c>
      <c r="D100" s="7" t="str">
        <f aca="false">IF(INDEX(MASTER_DATABASE!$A$4:$A$1000,ROW()-3)="","",INDEX(MASTER_DATABASE!$AL$4:$AL$1000,ROW()-3)&amp;"")</f>
        <v>BASUDHA Kendra</v>
      </c>
      <c r="E100" s="7" t="str">
        <f aca="false">IF(INDEX(MASTER_DATABASE!$A$4:$A$1000,ROW()-3)="","",INDEX(MASTER_DATABASE!$G$4:$G$1000,ROW()-3)&amp;"")</f>
        <v>Ration Card – Status Check / Download through our BASUDHA Kendra.</v>
      </c>
      <c r="F100" s="11" t="str">
        <f aca="false">IF(INDEX(MASTER_DATABASE!$A$4:$A$1000,ROW()-3)="","",INDEX(MASTER_DATABASE!$AP$4:$AP$1000,ROW()-3)&amp;"")</f>
        <v>🌾</v>
      </c>
      <c r="G10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0" s="7" t="str">
        <f aca="false">IF(INDEX(MASTER_DATABASE!$A$4:$A$1000,ROW()-3)="","",INDEX(MASTER_DATABASE!$J$4:$J$1000,ROW()-3)&amp;"")</f>
        <v>Depends on Portal – Confirm at Shop</v>
      </c>
      <c r="K100" s="7" t="str">
        <f aca="false">IF(INDEX(MASTER_DATABASE!$A$4:$A$1000,ROW()-3)="","",INDEX(MASTER_DATABASE!$M$4:$M$1000,ROW()-3)&amp;"")</f>
        <v>✓ Aadhaar Card
✓ Active Mobile Number</v>
      </c>
      <c r="L100" s="7" t="str">
        <f aca="false">IF(INDEX(MASTER_DATABASE!$A$4:$A$1000,ROW()-3)="","",INDEX(MASTER_DATABASE!$Q$4:$Q$1000,ROW()-3)&amp;"")</f>
        <v>Depends on Department</v>
      </c>
      <c r="M100" s="11" t="str">
        <f aca="false">IF(INDEX(MASTER_DATABASE!$A$4:$A$1000,ROW()-3)="","",INDEX(MASTER_DATABASE!$AI$4:$AI$1000,ROW()-3)&amp;"")</f>
        <v>No</v>
      </c>
      <c r="N100" s="11" t="str">
        <f aca="false">IF(INDEX(MASTER_DATABASE!$A$4:$A$1000,ROW()-3)="","",INDEX(MASTER_DATABASE!$AJ$4:$AJ$1000,ROW()-3)&amp;"")</f>
        <v>No</v>
      </c>
      <c r="O100" s="11" t="str">
        <f aca="false">IF(INDEX(MASTER_DATABASE!$A$4:$A$1000,ROW()-3)="","",IF(INDEX(MASTER_DATABASE!$BE$4:$BE$1000,ROW()-3)="LIVE","Yes","No"))</f>
        <v>No</v>
      </c>
      <c r="P100" s="7" t="str">
        <f aca="false">IF(INDEX(MASTER_DATABASE!$A$4:$A$1000,ROW()-3)="","",INDEX(MASTER_DATABASE!$BG$4:$BG$1000,ROW()-3)&amp;"")</f>
        <v>Check Documents</v>
      </c>
      <c r="Q100" s="11" t="n">
        <f aca="false">IF(INDEX(MASTER_DATABASE!$A$4:$A$1000,ROW()-3)="","",INDEX(MASTER_DATABASE!$AQ$4:$AQ$1000,ROW()-3))</f>
        <v>190</v>
      </c>
    </row>
    <row r="101" customFormat="false" ht="35.05" hidden="false" customHeight="false" outlineLevel="0" collapsed="false">
      <c r="A101" s="11" t="str">
        <f aca="false">IF(INDEX(MASTER_DATABASE!$A$4:$A$1000,ROW()-3)="","",INDEX(MASTER_DATABASE!$A$4:$A$1000,ROW()-3)&amp;"")</f>
        <v>BAS-020</v>
      </c>
      <c r="B101" s="7" t="str">
        <f aca="false">IF(INDEX(MASTER_DATABASE!$A$4:$A$1000,ROW()-3)="","",INDEX(MASTER_DATABASE!$E$4:$E$1000,ROW()-3)&amp;"")</f>
        <v>Land Record (Jamabandi / Khatiyan) Copy Download</v>
      </c>
      <c r="C101" s="7" t="str">
        <f aca="false">IF(INDEX(MASTER_DATABASE!$A$4:$A$1000,ROW()-3)="","",INDEX(MASTER_DATABASE!$F$4:$F$1000,ROW()-3)&amp;"")</f>
        <v>भूमि रिकॉर्ड (जमाबंदी / खतियान) नकल डाउनलोड</v>
      </c>
      <c r="D101" s="7" t="str">
        <f aca="false">IF(INDEX(MASTER_DATABASE!$A$4:$A$1000,ROW()-3)="","",INDEX(MASTER_DATABASE!$AL$4:$AL$1000,ROW()-3)&amp;"")</f>
        <v>BASUDHA Kendra</v>
      </c>
      <c r="E101" s="7" t="str">
        <f aca="false">IF(INDEX(MASTER_DATABASE!$A$4:$A$1000,ROW()-3)="","",INDEX(MASTER_DATABASE!$G$4:$G$1000,ROW()-3)&amp;"")</f>
        <v>Land Record (Jamabandi / Khatiyan) Copy Download through our BASUDHA Kendra.</v>
      </c>
      <c r="F101" s="11" t="str">
        <f aca="false">IF(INDEX(MASTER_DATABASE!$A$4:$A$1000,ROW()-3)="","",INDEX(MASTER_DATABASE!$AP$4:$AP$1000,ROW()-3)&amp;"")</f>
        <v>🗺️</v>
      </c>
      <c r="G10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1" s="7" t="str">
        <f aca="false">IF(INDEX(MASTER_DATABASE!$A$4:$A$1000,ROW()-3)="","",INDEX(MASTER_DATABASE!$J$4:$J$1000,ROW()-3)&amp;"")</f>
        <v>To Be Confirmed</v>
      </c>
      <c r="K101" s="7" t="str">
        <f aca="false">IF(INDEX(MASTER_DATABASE!$A$4:$A$1000,ROW()-3)="","",INDEX(MASTER_DATABASE!$M$4:$M$1000,ROW()-3)&amp;"")</f>
        <v>✓ Land Records
✓ Aadhaar Card
✓ Active Mobile Number</v>
      </c>
      <c r="L101" s="7" t="str">
        <f aca="false">IF(INDEX(MASTER_DATABASE!$A$4:$A$1000,ROW()-3)="","",INDEX(MASTER_DATABASE!$Q$4:$Q$1000,ROW()-3)&amp;"")</f>
        <v>Depends on Department</v>
      </c>
      <c r="M101" s="11" t="str">
        <f aca="false">IF(INDEX(MASTER_DATABASE!$A$4:$A$1000,ROW()-3)="","",INDEX(MASTER_DATABASE!$AI$4:$AI$1000,ROW()-3)&amp;"")</f>
        <v>No</v>
      </c>
      <c r="N101" s="11" t="str">
        <f aca="false">IF(INDEX(MASTER_DATABASE!$A$4:$A$1000,ROW()-3)="","",INDEX(MASTER_DATABASE!$AJ$4:$AJ$1000,ROW()-3)&amp;"")</f>
        <v>No</v>
      </c>
      <c r="O101" s="11" t="str">
        <f aca="false">IF(INDEX(MASTER_DATABASE!$A$4:$A$1000,ROW()-3)="","",IF(INDEX(MASTER_DATABASE!$BE$4:$BE$1000,ROW()-3)="LIVE","Yes","No"))</f>
        <v>No</v>
      </c>
      <c r="P101" s="7" t="str">
        <f aca="false">IF(INDEX(MASTER_DATABASE!$A$4:$A$1000,ROW()-3)="","",INDEX(MASTER_DATABASE!$BG$4:$BG$1000,ROW()-3)&amp;"")</f>
        <v>Check Documents</v>
      </c>
      <c r="Q101" s="11" t="n">
        <f aca="false">IF(INDEX(MASTER_DATABASE!$A$4:$A$1000,ROW()-3)="","",INDEX(MASTER_DATABASE!$AQ$4:$AQ$1000,ROW()-3))</f>
        <v>200</v>
      </c>
    </row>
    <row r="102" customFormat="false" ht="35.05" hidden="false" customHeight="false" outlineLevel="0" collapsed="false">
      <c r="A102" s="11" t="str">
        <f aca="false">IF(INDEX(MASTER_DATABASE!$A$4:$A$1000,ROW()-3)="","",INDEX(MASTER_DATABASE!$A$4:$A$1000,ROW()-3)&amp;"")</f>
        <v>BAS-021</v>
      </c>
      <c r="B102" s="7" t="str">
        <f aca="false">IF(INDEX(MASTER_DATABASE!$A$4:$A$1000,ROW()-3)="","",INDEX(MASTER_DATABASE!$E$4:$E$1000,ROW()-3)&amp;"")</f>
        <v>Land Mutation (Dakhil-Kharij) Application Assistance</v>
      </c>
      <c r="C102" s="7" t="str">
        <f aca="false">IF(INDEX(MASTER_DATABASE!$A$4:$A$1000,ROW()-3)="","",INDEX(MASTER_DATABASE!$F$4:$F$1000,ROW()-3)&amp;"")</f>
        <v>दाखिल-खारिज आवेदन सहायता</v>
      </c>
      <c r="D102" s="7" t="str">
        <f aca="false">IF(INDEX(MASTER_DATABASE!$A$4:$A$1000,ROW()-3)="","",INDEX(MASTER_DATABASE!$AL$4:$AL$1000,ROW()-3)&amp;"")</f>
        <v>BASUDHA Kendra</v>
      </c>
      <c r="E102" s="7" t="str">
        <f aca="false">IF(INDEX(MASTER_DATABASE!$A$4:$A$1000,ROW()-3)="","",INDEX(MASTER_DATABASE!$G$4:$G$1000,ROW()-3)&amp;"")</f>
        <v>Land Mutation (Dakhil-Kharij) Application Assistance through our BASUDHA Kendra.</v>
      </c>
      <c r="F102" s="11" t="str">
        <f aca="false">IF(INDEX(MASTER_DATABASE!$A$4:$A$1000,ROW()-3)="","",INDEX(MASTER_DATABASE!$AP$4:$AP$1000,ROW()-3)&amp;"")</f>
        <v>🗺️</v>
      </c>
      <c r="G10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2" s="7" t="str">
        <f aca="false">IF(INDEX(MASTER_DATABASE!$A$4:$A$1000,ROW()-3)="","",INDEX(MASTER_DATABASE!$J$4:$J$1000,ROW()-3)&amp;"")</f>
        <v>To Be Confirmed</v>
      </c>
      <c r="K102" s="7" t="str">
        <f aca="false">IF(INDEX(MASTER_DATABASE!$A$4:$A$1000,ROW()-3)="","",INDEX(MASTER_DATABASE!$M$4:$M$1000,ROW()-3)&amp;"")</f>
        <v>✓ Land Records
✓ Aadhaar Card
✓ Active Mobile Number</v>
      </c>
      <c r="L102" s="7" t="str">
        <f aca="false">IF(INDEX(MASTER_DATABASE!$A$4:$A$1000,ROW()-3)="","",INDEX(MASTER_DATABASE!$Q$4:$Q$1000,ROW()-3)&amp;"")</f>
        <v>Depends on Department</v>
      </c>
      <c r="M102" s="11" t="str">
        <f aca="false">IF(INDEX(MASTER_DATABASE!$A$4:$A$1000,ROW()-3)="","",INDEX(MASTER_DATABASE!$AI$4:$AI$1000,ROW()-3)&amp;"")</f>
        <v>No</v>
      </c>
      <c r="N102" s="11" t="str">
        <f aca="false">IF(INDEX(MASTER_DATABASE!$A$4:$A$1000,ROW()-3)="","",INDEX(MASTER_DATABASE!$AJ$4:$AJ$1000,ROW()-3)&amp;"")</f>
        <v>No</v>
      </c>
      <c r="O102" s="11" t="str">
        <f aca="false">IF(INDEX(MASTER_DATABASE!$A$4:$A$1000,ROW()-3)="","",IF(INDEX(MASTER_DATABASE!$BE$4:$BE$1000,ROW()-3)="LIVE","Yes","No"))</f>
        <v>No</v>
      </c>
      <c r="P102" s="7" t="str">
        <f aca="false">IF(INDEX(MASTER_DATABASE!$A$4:$A$1000,ROW()-3)="","",INDEX(MASTER_DATABASE!$BG$4:$BG$1000,ROW()-3)&amp;"")</f>
        <v>Check Documents</v>
      </c>
      <c r="Q102" s="11" t="n">
        <f aca="false">IF(INDEX(MASTER_DATABASE!$A$4:$A$1000,ROW()-3)="","",INDEX(MASTER_DATABASE!$AQ$4:$AQ$1000,ROW()-3))</f>
        <v>210</v>
      </c>
    </row>
    <row r="103" customFormat="false" ht="35.05" hidden="false" customHeight="false" outlineLevel="0" collapsed="false">
      <c r="A103" s="11" t="str">
        <f aca="false">IF(INDEX(MASTER_DATABASE!$A$4:$A$1000,ROW()-3)="","",INDEX(MASTER_DATABASE!$A$4:$A$1000,ROW()-3)&amp;"")</f>
        <v>BAS-022</v>
      </c>
      <c r="B103" s="7" t="str">
        <f aca="false">IF(INDEX(MASTER_DATABASE!$A$4:$A$1000,ROW()-3)="","",INDEX(MASTER_DATABASE!$E$4:$E$1000,ROW()-3)&amp;"")</f>
        <v>Land Rent (Lagaan) Online Payment Assistance</v>
      </c>
      <c r="C103" s="7" t="str">
        <f aca="false">IF(INDEX(MASTER_DATABASE!$A$4:$A$1000,ROW()-3)="","",INDEX(MASTER_DATABASE!$F$4:$F$1000,ROW()-3)&amp;"")</f>
        <v>ऑनलाइन लगान भुगतान सहायता</v>
      </c>
      <c r="D103" s="7" t="str">
        <f aca="false">IF(INDEX(MASTER_DATABASE!$A$4:$A$1000,ROW()-3)="","",INDEX(MASTER_DATABASE!$AL$4:$AL$1000,ROW()-3)&amp;"")</f>
        <v>BASUDHA Kendra</v>
      </c>
      <c r="E103" s="7" t="str">
        <f aca="false">IF(INDEX(MASTER_DATABASE!$A$4:$A$1000,ROW()-3)="","",INDEX(MASTER_DATABASE!$G$4:$G$1000,ROW()-3)&amp;"")</f>
        <v>Land Rent (Lagaan) Online Payment Assistance through our BASUDHA Kendra.</v>
      </c>
      <c r="F103" s="11" t="str">
        <f aca="false">IF(INDEX(MASTER_DATABASE!$A$4:$A$1000,ROW()-3)="","",INDEX(MASTER_DATABASE!$AP$4:$AP$1000,ROW()-3)&amp;"")</f>
        <v>🗺️</v>
      </c>
      <c r="G10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3" s="7" t="str">
        <f aca="false">IF(INDEX(MASTER_DATABASE!$A$4:$A$1000,ROW()-3)="","",INDEX(MASTER_DATABASE!$J$4:$J$1000,ROW()-3)&amp;"")</f>
        <v>To Be Confirmed</v>
      </c>
      <c r="K103" s="7" t="str">
        <f aca="false">IF(INDEX(MASTER_DATABASE!$A$4:$A$1000,ROW()-3)="","",INDEX(MASTER_DATABASE!$M$4:$M$1000,ROW()-3)&amp;"")</f>
        <v>✓ Land Records
✓ Aadhaar Card
✓ Active Mobile Number</v>
      </c>
      <c r="L103" s="7" t="str">
        <f aca="false">IF(INDEX(MASTER_DATABASE!$A$4:$A$1000,ROW()-3)="","",INDEX(MASTER_DATABASE!$Q$4:$Q$1000,ROW()-3)&amp;"")</f>
        <v>Depends on Department</v>
      </c>
      <c r="M103" s="11" t="str">
        <f aca="false">IF(INDEX(MASTER_DATABASE!$A$4:$A$1000,ROW()-3)="","",INDEX(MASTER_DATABASE!$AI$4:$AI$1000,ROW()-3)&amp;"")</f>
        <v>No</v>
      </c>
      <c r="N103" s="11" t="str">
        <f aca="false">IF(INDEX(MASTER_DATABASE!$A$4:$A$1000,ROW()-3)="","",INDEX(MASTER_DATABASE!$AJ$4:$AJ$1000,ROW()-3)&amp;"")</f>
        <v>No</v>
      </c>
      <c r="O103" s="11" t="str">
        <f aca="false">IF(INDEX(MASTER_DATABASE!$A$4:$A$1000,ROW()-3)="","",IF(INDEX(MASTER_DATABASE!$BE$4:$BE$1000,ROW()-3)="LIVE","Yes","No"))</f>
        <v>No</v>
      </c>
      <c r="P103" s="7" t="str">
        <f aca="false">IF(INDEX(MASTER_DATABASE!$A$4:$A$1000,ROW()-3)="","",INDEX(MASTER_DATABASE!$BG$4:$BG$1000,ROW()-3)&amp;"")</f>
        <v>Check Documents</v>
      </c>
      <c r="Q103" s="11" t="n">
        <f aca="false">IF(INDEX(MASTER_DATABASE!$A$4:$A$1000,ROW()-3)="","",INDEX(MASTER_DATABASE!$AQ$4:$AQ$1000,ROW()-3))</f>
        <v>220</v>
      </c>
    </row>
    <row r="104" customFormat="false" ht="35.05" hidden="false" customHeight="false" outlineLevel="0" collapsed="false">
      <c r="A104" s="11" t="str">
        <f aca="false">IF(INDEX(MASTER_DATABASE!$A$4:$A$1000,ROW()-3)="","",INDEX(MASTER_DATABASE!$A$4:$A$1000,ROW()-3)&amp;"")</f>
        <v>BAS-023</v>
      </c>
      <c r="B104" s="7" t="str">
        <f aca="false">IF(INDEX(MASTER_DATABASE!$A$4:$A$1000,ROW()-3)="","",INDEX(MASTER_DATABASE!$E$4:$E$1000,ROW()-3)&amp;"")</f>
        <v>Public Service Application (RTPS / e-Service) – General</v>
      </c>
      <c r="C104" s="7" t="str">
        <f aca="false">IF(INDEX(MASTER_DATABASE!$A$4:$A$1000,ROW()-3)="","",INDEX(MASTER_DATABASE!$F$4:$F$1000,ROW()-3)&amp;"")</f>
        <v>लोक सेवा आवेदन (RTPS / e-Service) – सामान्य</v>
      </c>
      <c r="D104" s="7" t="str">
        <f aca="false">IF(INDEX(MASTER_DATABASE!$A$4:$A$1000,ROW()-3)="","",INDEX(MASTER_DATABASE!$AL$4:$AL$1000,ROW()-3)&amp;"")</f>
        <v>BASUDHA Kendra</v>
      </c>
      <c r="E104" s="7" t="str">
        <f aca="false">IF(INDEX(MASTER_DATABASE!$A$4:$A$1000,ROW()-3)="","",INDEX(MASTER_DATABASE!$G$4:$G$1000,ROW()-3)&amp;"")</f>
        <v>Public Service Application (RTPS / e-Service) – General through our BASUDHA Kendra.</v>
      </c>
      <c r="F104" s="11" t="str">
        <f aca="false">IF(INDEX(MASTER_DATABASE!$A$4:$A$1000,ROW()-3)="","",INDEX(MASTER_DATABASE!$AP$4:$AP$1000,ROW()-3)&amp;"")</f>
        <v>🏛️</v>
      </c>
      <c r="G10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4" s="7" t="str">
        <f aca="false">IF(INDEX(MASTER_DATABASE!$A$4:$A$1000,ROW()-3)="","",INDEX(MASTER_DATABASE!$J$4:$J$1000,ROW()-3)&amp;"")</f>
        <v>Depends on Portal – Confirm at Shop</v>
      </c>
      <c r="K104" s="7" t="str">
        <f aca="false">IF(INDEX(MASTER_DATABASE!$A$4:$A$1000,ROW()-3)="","",INDEX(MASTER_DATABASE!$M$4:$M$1000,ROW()-3)&amp;"")</f>
        <v>✓ Aadhaar Card
✓ Active Mobile Number</v>
      </c>
      <c r="L104" s="7" t="str">
        <f aca="false">IF(INDEX(MASTER_DATABASE!$A$4:$A$1000,ROW()-3)="","",INDEX(MASTER_DATABASE!$Q$4:$Q$1000,ROW()-3)&amp;"")</f>
        <v>Depends on Department</v>
      </c>
      <c r="M104" s="11" t="str">
        <f aca="false">IF(INDEX(MASTER_DATABASE!$A$4:$A$1000,ROW()-3)="","",INDEX(MASTER_DATABASE!$AI$4:$AI$1000,ROW()-3)&amp;"")</f>
        <v>No</v>
      </c>
      <c r="N104" s="11" t="str">
        <f aca="false">IF(INDEX(MASTER_DATABASE!$A$4:$A$1000,ROW()-3)="","",INDEX(MASTER_DATABASE!$AJ$4:$AJ$1000,ROW()-3)&amp;"")</f>
        <v>No</v>
      </c>
      <c r="O104" s="11" t="str">
        <f aca="false">IF(INDEX(MASTER_DATABASE!$A$4:$A$1000,ROW()-3)="","",IF(INDEX(MASTER_DATABASE!$BE$4:$BE$1000,ROW()-3)="LIVE","Yes","No"))</f>
        <v>No</v>
      </c>
      <c r="P104" s="7" t="str">
        <f aca="false">IF(INDEX(MASTER_DATABASE!$A$4:$A$1000,ROW()-3)="","",INDEX(MASTER_DATABASE!$BG$4:$BG$1000,ROW()-3)&amp;"")</f>
        <v>Check Documents</v>
      </c>
      <c r="Q104" s="11" t="n">
        <f aca="false">IF(INDEX(MASTER_DATABASE!$A$4:$A$1000,ROW()-3)="","",INDEX(MASTER_DATABASE!$AQ$4:$AQ$1000,ROW()-3))</f>
        <v>230</v>
      </c>
    </row>
    <row r="105" customFormat="false" ht="23.85" hidden="false" customHeight="false" outlineLevel="0" collapsed="false">
      <c r="A105" s="11" t="str">
        <f aca="false">IF(INDEX(MASTER_DATABASE!$A$4:$A$1000,ROW()-3)="","",INDEX(MASTER_DATABASE!$A$4:$A$1000,ROW()-3)&amp;"")</f>
        <v>BAS-024</v>
      </c>
      <c r="B105" s="7" t="str">
        <f aca="false">IF(INDEX(MASTER_DATABASE!$A$4:$A$1000,ROW()-3)="","",INDEX(MASTER_DATABASE!$E$4:$E$1000,ROW()-3)&amp;"")</f>
        <v>Online Government Application – General</v>
      </c>
      <c r="C105" s="7" t="str">
        <f aca="false">IF(INDEX(MASTER_DATABASE!$A$4:$A$1000,ROW()-3)="","",INDEX(MASTER_DATABASE!$F$4:$F$1000,ROW()-3)&amp;"")</f>
        <v>ऑनलाइन सरकारी आवेदन – सामान्य</v>
      </c>
      <c r="D105" s="7" t="str">
        <f aca="false">IF(INDEX(MASTER_DATABASE!$A$4:$A$1000,ROW()-3)="","",INDEX(MASTER_DATABASE!$AL$4:$AL$1000,ROW()-3)&amp;"")</f>
        <v>BASUDHA Kendra</v>
      </c>
      <c r="E105" s="7" t="str">
        <f aca="false">IF(INDEX(MASTER_DATABASE!$A$4:$A$1000,ROW()-3)="","",INDEX(MASTER_DATABASE!$G$4:$G$1000,ROW()-3)&amp;"")</f>
        <v>Online Government Application – General through our BASUDHA Kendra.</v>
      </c>
      <c r="F105" s="11" t="str">
        <f aca="false">IF(INDEX(MASTER_DATABASE!$A$4:$A$1000,ROW()-3)="","",INDEX(MASTER_DATABASE!$AP$4:$AP$1000,ROW()-3)&amp;"")</f>
        <v>🏛️</v>
      </c>
      <c r="G10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5" s="7" t="str">
        <f aca="false">IF(INDEX(MASTER_DATABASE!$A$4:$A$1000,ROW()-3)="","",INDEX(MASTER_DATABASE!$J$4:$J$1000,ROW()-3)&amp;"")</f>
        <v>Depends on Portal – Confirm at Shop</v>
      </c>
      <c r="K105" s="7" t="str">
        <f aca="false">IF(INDEX(MASTER_DATABASE!$A$4:$A$1000,ROW()-3)="","",INDEX(MASTER_DATABASE!$M$4:$M$1000,ROW()-3)&amp;"")</f>
        <v>✓ Aadhaar Card
✓ Active Mobile Number</v>
      </c>
      <c r="L105" s="7" t="str">
        <f aca="false">IF(INDEX(MASTER_DATABASE!$A$4:$A$1000,ROW()-3)="","",INDEX(MASTER_DATABASE!$Q$4:$Q$1000,ROW()-3)&amp;"")</f>
        <v>Depends on Department</v>
      </c>
      <c r="M105" s="11" t="str">
        <f aca="false">IF(INDEX(MASTER_DATABASE!$A$4:$A$1000,ROW()-3)="","",INDEX(MASTER_DATABASE!$AI$4:$AI$1000,ROW()-3)&amp;"")</f>
        <v>No</v>
      </c>
      <c r="N105" s="11" t="str">
        <f aca="false">IF(INDEX(MASTER_DATABASE!$A$4:$A$1000,ROW()-3)="","",INDEX(MASTER_DATABASE!$AJ$4:$AJ$1000,ROW()-3)&amp;"")</f>
        <v>No</v>
      </c>
      <c r="O105" s="11" t="str">
        <f aca="false">IF(INDEX(MASTER_DATABASE!$A$4:$A$1000,ROW()-3)="","",IF(INDEX(MASTER_DATABASE!$BE$4:$BE$1000,ROW()-3)="LIVE","Yes","No"))</f>
        <v>No</v>
      </c>
      <c r="P105" s="7" t="str">
        <f aca="false">IF(INDEX(MASTER_DATABASE!$A$4:$A$1000,ROW()-3)="","",INDEX(MASTER_DATABASE!$BG$4:$BG$1000,ROW()-3)&amp;"")</f>
        <v>Check Documents</v>
      </c>
      <c r="Q105" s="11" t="n">
        <f aca="false">IF(INDEX(MASTER_DATABASE!$A$4:$A$1000,ROW()-3)="","",INDEX(MASTER_DATABASE!$AQ$4:$AQ$1000,ROW()-3))</f>
        <v>240</v>
      </c>
    </row>
    <row r="106" customFormat="false" ht="23.85" hidden="false" customHeight="false" outlineLevel="0" collapsed="false">
      <c r="A106" s="11" t="str">
        <f aca="false">IF(INDEX(MASTER_DATABASE!$A$4:$A$1000,ROW()-3)="","",INDEX(MASTER_DATABASE!$A$4:$A$1000,ROW()-3)&amp;"")</f>
        <v>BAS-025</v>
      </c>
      <c r="B106" s="7" t="str">
        <f aca="false">IF(INDEX(MASTER_DATABASE!$A$4:$A$1000,ROW()-3)="","",INDEX(MASTER_DATABASE!$E$4:$E$1000,ROW()-3)&amp;"")</f>
        <v>Application Status Check</v>
      </c>
      <c r="C106" s="7" t="str">
        <f aca="false">IF(INDEX(MASTER_DATABASE!$A$4:$A$1000,ROW()-3)="","",INDEX(MASTER_DATABASE!$F$4:$F$1000,ROW()-3)&amp;"")</f>
        <v>आवेदन स्थिति जाँच</v>
      </c>
      <c r="D106" s="7" t="str">
        <f aca="false">IF(INDEX(MASTER_DATABASE!$A$4:$A$1000,ROW()-3)="","",INDEX(MASTER_DATABASE!$AL$4:$AL$1000,ROW()-3)&amp;"")</f>
        <v>BASUDHA Kendra</v>
      </c>
      <c r="E106" s="7" t="str">
        <f aca="false">IF(INDEX(MASTER_DATABASE!$A$4:$A$1000,ROW()-3)="","",INDEX(MASTER_DATABASE!$G$4:$G$1000,ROW()-3)&amp;"")</f>
        <v>Application Status Check through our BASUDHA Kendra.</v>
      </c>
      <c r="F106" s="11" t="str">
        <f aca="false">IF(INDEX(MASTER_DATABASE!$A$4:$A$1000,ROW()-3)="","",INDEX(MASTER_DATABASE!$AP$4:$AP$1000,ROW()-3)&amp;"")</f>
        <v>🏛️</v>
      </c>
      <c r="G10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6" s="7" t="str">
        <f aca="false">IF(INDEX(MASTER_DATABASE!$A$4:$A$1000,ROW()-3)="","",INDEX(MASTER_DATABASE!$J$4:$J$1000,ROW()-3)&amp;"")</f>
        <v>Depends on Portal – Confirm at Shop</v>
      </c>
      <c r="K106" s="7" t="str">
        <f aca="false">IF(INDEX(MASTER_DATABASE!$A$4:$A$1000,ROW()-3)="","",INDEX(MASTER_DATABASE!$M$4:$M$1000,ROW()-3)&amp;"")</f>
        <v>✓ Aadhaar Card
✓ Active Mobile Number</v>
      </c>
      <c r="L106" s="7" t="str">
        <f aca="false">IF(INDEX(MASTER_DATABASE!$A$4:$A$1000,ROW()-3)="","",INDEX(MASTER_DATABASE!$Q$4:$Q$1000,ROW()-3)&amp;"")</f>
        <v>Depends on Department</v>
      </c>
      <c r="M106" s="11" t="str">
        <f aca="false">IF(INDEX(MASTER_DATABASE!$A$4:$A$1000,ROW()-3)="","",INDEX(MASTER_DATABASE!$AI$4:$AI$1000,ROW()-3)&amp;"")</f>
        <v>No</v>
      </c>
      <c r="N106" s="11" t="str">
        <f aca="false">IF(INDEX(MASTER_DATABASE!$A$4:$A$1000,ROW()-3)="","",INDEX(MASTER_DATABASE!$AJ$4:$AJ$1000,ROW()-3)&amp;"")</f>
        <v>No</v>
      </c>
      <c r="O106" s="11" t="str">
        <f aca="false">IF(INDEX(MASTER_DATABASE!$A$4:$A$1000,ROW()-3)="","",IF(INDEX(MASTER_DATABASE!$BE$4:$BE$1000,ROW()-3)="LIVE","Yes","No"))</f>
        <v>No</v>
      </c>
      <c r="P106" s="7" t="str">
        <f aca="false">IF(INDEX(MASTER_DATABASE!$A$4:$A$1000,ROW()-3)="","",INDEX(MASTER_DATABASE!$BG$4:$BG$1000,ROW()-3)&amp;"")</f>
        <v>Check Documents</v>
      </c>
      <c r="Q106" s="11" t="n">
        <f aca="false">IF(INDEX(MASTER_DATABASE!$A$4:$A$1000,ROW()-3)="","",INDEX(MASTER_DATABASE!$AQ$4:$AQ$1000,ROW()-3))</f>
        <v>250</v>
      </c>
    </row>
    <row r="107" customFormat="false" ht="23.85" hidden="false" customHeight="false" outlineLevel="0" collapsed="false">
      <c r="A107" s="11" t="str">
        <f aca="false">IF(INDEX(MASTER_DATABASE!$A$4:$A$1000,ROW()-3)="","",INDEX(MASTER_DATABASE!$A$4:$A$1000,ROW()-3)&amp;"")</f>
        <v>BAS-026</v>
      </c>
      <c r="B107" s="7" t="str">
        <f aca="false">IF(INDEX(MASTER_DATABASE!$A$4:$A$1000,ROW()-3)="","",INDEX(MASTER_DATABASE!$E$4:$E$1000,ROW()-3)&amp;"")</f>
        <v>Application Acknowledgement / Receipt Print</v>
      </c>
      <c r="C107" s="7" t="str">
        <f aca="false">IF(INDEX(MASTER_DATABASE!$A$4:$A$1000,ROW()-3)="","",INDEX(MASTER_DATABASE!$F$4:$F$1000,ROW()-3)&amp;"")</f>
        <v>आवेदन पावती / रसीद प्रिंट</v>
      </c>
      <c r="D107" s="7" t="str">
        <f aca="false">IF(INDEX(MASTER_DATABASE!$A$4:$A$1000,ROW()-3)="","",INDEX(MASTER_DATABASE!$AL$4:$AL$1000,ROW()-3)&amp;"")</f>
        <v>BASUDHA Kendra</v>
      </c>
      <c r="E107" s="7" t="str">
        <f aca="false">IF(INDEX(MASTER_DATABASE!$A$4:$A$1000,ROW()-3)="","",INDEX(MASTER_DATABASE!$G$4:$G$1000,ROW()-3)&amp;"")</f>
        <v>Application Acknowledgement / Receipt Print through our BASUDHA Kendra.</v>
      </c>
      <c r="F107" s="11" t="str">
        <f aca="false">IF(INDEX(MASTER_DATABASE!$A$4:$A$1000,ROW()-3)="","",INDEX(MASTER_DATABASE!$AP$4:$AP$1000,ROW()-3)&amp;"")</f>
        <v>🏛️</v>
      </c>
      <c r="G10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7" s="7" t="str">
        <f aca="false">IF(INDEX(MASTER_DATABASE!$A$4:$A$1000,ROW()-3)="","",INDEX(MASTER_DATABASE!$J$4:$J$1000,ROW()-3)&amp;"")</f>
        <v>Depends on Portal – Confirm at Shop</v>
      </c>
      <c r="K107" s="7" t="str">
        <f aca="false">IF(INDEX(MASTER_DATABASE!$A$4:$A$1000,ROW()-3)="","",INDEX(MASTER_DATABASE!$M$4:$M$1000,ROW()-3)&amp;"")</f>
        <v>✓ Aadhaar Card
✓ Active Mobile Number</v>
      </c>
      <c r="L107" s="7" t="str">
        <f aca="false">IF(INDEX(MASTER_DATABASE!$A$4:$A$1000,ROW()-3)="","",INDEX(MASTER_DATABASE!$Q$4:$Q$1000,ROW()-3)&amp;"")</f>
        <v>Depends on Department</v>
      </c>
      <c r="M107" s="11" t="str">
        <f aca="false">IF(INDEX(MASTER_DATABASE!$A$4:$A$1000,ROW()-3)="","",INDEX(MASTER_DATABASE!$AI$4:$AI$1000,ROW()-3)&amp;"")</f>
        <v>No</v>
      </c>
      <c r="N107" s="11" t="str">
        <f aca="false">IF(INDEX(MASTER_DATABASE!$A$4:$A$1000,ROW()-3)="","",INDEX(MASTER_DATABASE!$AJ$4:$AJ$1000,ROW()-3)&amp;"")</f>
        <v>No</v>
      </c>
      <c r="O107" s="11" t="str">
        <f aca="false">IF(INDEX(MASTER_DATABASE!$A$4:$A$1000,ROW()-3)="","",IF(INDEX(MASTER_DATABASE!$BE$4:$BE$1000,ROW()-3)="LIVE","Yes","No"))</f>
        <v>No</v>
      </c>
      <c r="P107" s="7" t="str">
        <f aca="false">IF(INDEX(MASTER_DATABASE!$A$4:$A$1000,ROW()-3)="","",INDEX(MASTER_DATABASE!$BG$4:$BG$1000,ROW()-3)&amp;"")</f>
        <v>Check Documents</v>
      </c>
      <c r="Q107" s="11" t="n">
        <f aca="false">IF(INDEX(MASTER_DATABASE!$A$4:$A$1000,ROW()-3)="","",INDEX(MASTER_DATABASE!$AQ$4:$AQ$1000,ROW()-3))</f>
        <v>260</v>
      </c>
    </row>
    <row r="108" customFormat="false" ht="35.05" hidden="false" customHeight="false" outlineLevel="0" collapsed="false">
      <c r="A108" s="11" t="str">
        <f aca="false">IF(INDEX(MASTER_DATABASE!$A$4:$A$1000,ROW()-3)="","",INDEX(MASTER_DATABASE!$A$4:$A$1000,ROW()-3)&amp;"")</f>
        <v>BAS-027</v>
      </c>
      <c r="B108" s="7" t="str">
        <f aca="false">IF(INDEX(MASTER_DATABASE!$A$4:$A$1000,ROW()-3)="","",INDEX(MASTER_DATABASE!$E$4:$E$1000,ROW()-3)&amp;"")</f>
        <v>Public Grievance / Complaint Filing Assistance</v>
      </c>
      <c r="C108" s="7" t="str">
        <f aca="false">IF(INDEX(MASTER_DATABASE!$A$4:$A$1000,ROW()-3)="","",INDEX(MASTER_DATABASE!$F$4:$F$1000,ROW()-3)&amp;"")</f>
        <v>सरकारी शिकायत / जनसुनवाई दर्ज करने में सहायता</v>
      </c>
      <c r="D108" s="7" t="str">
        <f aca="false">IF(INDEX(MASTER_DATABASE!$A$4:$A$1000,ROW()-3)="","",INDEX(MASTER_DATABASE!$AL$4:$AL$1000,ROW()-3)&amp;"")</f>
        <v>BASUDHA Kendra</v>
      </c>
      <c r="E108" s="7" t="str">
        <f aca="false">IF(INDEX(MASTER_DATABASE!$A$4:$A$1000,ROW()-3)="","",INDEX(MASTER_DATABASE!$G$4:$G$1000,ROW()-3)&amp;"")</f>
        <v>Public Grievance / Complaint Filing Assistance through our BASUDHA Kendra.</v>
      </c>
      <c r="F108" s="11" t="str">
        <f aca="false">IF(INDEX(MASTER_DATABASE!$A$4:$A$1000,ROW()-3)="","",INDEX(MASTER_DATABASE!$AP$4:$AP$1000,ROW()-3)&amp;"")</f>
        <v>🏛️</v>
      </c>
      <c r="G10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8" s="7" t="str">
        <f aca="false">IF(INDEX(MASTER_DATABASE!$A$4:$A$1000,ROW()-3)="","",INDEX(MASTER_DATABASE!$J$4:$J$1000,ROW()-3)&amp;"")</f>
        <v>To Be Confirmed</v>
      </c>
      <c r="K108" s="7" t="str">
        <f aca="false">IF(INDEX(MASTER_DATABASE!$A$4:$A$1000,ROW()-3)="","",INDEX(MASTER_DATABASE!$M$4:$M$1000,ROW()-3)&amp;"")</f>
        <v>✓ Aadhaar Card
✓ Active Mobile Number</v>
      </c>
      <c r="L108" s="7" t="str">
        <f aca="false">IF(INDEX(MASTER_DATABASE!$A$4:$A$1000,ROW()-3)="","",INDEX(MASTER_DATABASE!$Q$4:$Q$1000,ROW()-3)&amp;"")</f>
        <v>Depends on Department</v>
      </c>
      <c r="M108" s="11" t="str">
        <f aca="false">IF(INDEX(MASTER_DATABASE!$A$4:$A$1000,ROW()-3)="","",INDEX(MASTER_DATABASE!$AI$4:$AI$1000,ROW()-3)&amp;"")</f>
        <v>No</v>
      </c>
      <c r="N108" s="11" t="str">
        <f aca="false">IF(INDEX(MASTER_DATABASE!$A$4:$A$1000,ROW()-3)="","",INDEX(MASTER_DATABASE!$AJ$4:$AJ$1000,ROW()-3)&amp;"")</f>
        <v>No</v>
      </c>
      <c r="O108" s="11" t="str">
        <f aca="false">IF(INDEX(MASTER_DATABASE!$A$4:$A$1000,ROW()-3)="","",IF(INDEX(MASTER_DATABASE!$BE$4:$BE$1000,ROW()-3)="LIVE","Yes","No"))</f>
        <v>No</v>
      </c>
      <c r="P108" s="7" t="str">
        <f aca="false">IF(INDEX(MASTER_DATABASE!$A$4:$A$1000,ROW()-3)="","",INDEX(MASTER_DATABASE!$BG$4:$BG$1000,ROW()-3)&amp;"")</f>
        <v>Check Documents</v>
      </c>
      <c r="Q108" s="11" t="n">
        <f aca="false">IF(INDEX(MASTER_DATABASE!$A$4:$A$1000,ROW()-3)="","",INDEX(MASTER_DATABASE!$AQ$4:$AQ$1000,ROW()-3))</f>
        <v>270</v>
      </c>
    </row>
    <row r="109" customFormat="false" ht="46.25" hidden="false" customHeight="false" outlineLevel="0" collapsed="false">
      <c r="A109" s="11" t="str">
        <f aca="false">IF(INDEX(MASTER_DATABASE!$A$4:$A$1000,ROW()-3)="","",INDEX(MASTER_DATABASE!$A$4:$A$1000,ROW()-3)&amp;"")</f>
        <v>CSC-001</v>
      </c>
      <c r="B109" s="7" t="str">
        <f aca="false">IF(INDEX(MASTER_DATABASE!$A$4:$A$1000,ROW()-3)="","",INDEX(MASTER_DATABASE!$E$4:$E$1000,ROW()-3)&amp;"")</f>
        <v>Passport Application Assistance</v>
      </c>
      <c r="C109" s="7" t="str">
        <f aca="false">IF(INDEX(MASTER_DATABASE!$A$4:$A$1000,ROW()-3)="","",INDEX(MASTER_DATABASE!$F$4:$F$1000,ROW()-3)&amp;"")</f>
        <v>पासपोर्ट आवेदन सहायता</v>
      </c>
      <c r="D109" s="7" t="str">
        <f aca="false">IF(INDEX(MASTER_DATABASE!$A$4:$A$1000,ROW()-3)="","",INDEX(MASTER_DATABASE!$AL$4:$AL$1000,ROW()-3)&amp;"")</f>
        <v>Common Service Centre (CSC)</v>
      </c>
      <c r="E109" s="7" t="str">
        <f aca="false">IF(INDEX(MASTER_DATABASE!$A$4:$A$1000,ROW()-3)="","",INDEX(MASTER_DATABASE!$G$4:$G$1000,ROW()-3)&amp;"")</f>
        <v>Passport Application Assistance through our Common Service Centre.</v>
      </c>
      <c r="F109" s="11" t="str">
        <f aca="false">IF(INDEX(MASTER_DATABASE!$A$4:$A$1000,ROW()-3)="","",INDEX(MASTER_DATABASE!$AP$4:$AP$1000,ROW()-3)&amp;"")</f>
        <v>🖥️</v>
      </c>
      <c r="G10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0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0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09" s="7" t="str">
        <f aca="false">IF(INDEX(MASTER_DATABASE!$A$4:$A$1000,ROW()-3)="","",INDEX(MASTER_DATABASE!$J$4:$J$1000,ROW()-3)&amp;"")</f>
        <v>Depends on Portal – Confirm at Shop</v>
      </c>
      <c r="K109" s="7" t="str">
        <f aca="false">IF(INDEX(MASTER_DATABASE!$A$4:$A$1000,ROW()-3)="","",INDEX(MASTER_DATABASE!$M$4:$M$1000,ROW()-3)&amp;"")</f>
        <v>✓ Aadhaar Card
✓ Active Mobile Number
✓ Address Proof
✓ Date of Birth Proof</v>
      </c>
      <c r="L109" s="7" t="str">
        <f aca="false">IF(INDEX(MASTER_DATABASE!$A$4:$A$1000,ROW()-3)="","",INDEX(MASTER_DATABASE!$Q$4:$Q$1000,ROW()-3)&amp;"")</f>
        <v>Depends on Department</v>
      </c>
      <c r="M109" s="11" t="str">
        <f aca="false">IF(INDEX(MASTER_DATABASE!$A$4:$A$1000,ROW()-3)="","",INDEX(MASTER_DATABASE!$AI$4:$AI$1000,ROW()-3)&amp;"")</f>
        <v>No</v>
      </c>
      <c r="N109" s="11" t="str">
        <f aca="false">IF(INDEX(MASTER_DATABASE!$A$4:$A$1000,ROW()-3)="","",INDEX(MASTER_DATABASE!$AJ$4:$AJ$1000,ROW()-3)&amp;"")</f>
        <v>No</v>
      </c>
      <c r="O109" s="11" t="str">
        <f aca="false">IF(INDEX(MASTER_DATABASE!$A$4:$A$1000,ROW()-3)="","",IF(INDEX(MASTER_DATABASE!$BE$4:$BE$1000,ROW()-3)="LIVE","Yes","No"))</f>
        <v>No</v>
      </c>
      <c r="P109" s="7" t="str">
        <f aca="false">IF(INDEX(MASTER_DATABASE!$A$4:$A$1000,ROW()-3)="","",INDEX(MASTER_DATABASE!$BG$4:$BG$1000,ROW()-3)&amp;"")</f>
        <v>Check Documents</v>
      </c>
      <c r="Q109" s="11" t="n">
        <f aca="false">IF(INDEX(MASTER_DATABASE!$A$4:$A$1000,ROW()-3)="","",INDEX(MASTER_DATABASE!$AQ$4:$AQ$1000,ROW()-3))</f>
        <v>10</v>
      </c>
    </row>
    <row r="110" customFormat="false" ht="57.45" hidden="false" customHeight="false" outlineLevel="0" collapsed="false">
      <c r="A110" s="11" t="str">
        <f aca="false">IF(INDEX(MASTER_DATABASE!$A$4:$A$1000,ROW()-3)="","",INDEX(MASTER_DATABASE!$A$4:$A$1000,ROW()-3)&amp;"")</f>
        <v>CSC-002</v>
      </c>
      <c r="B110" s="7" t="str">
        <f aca="false">IF(INDEX(MASTER_DATABASE!$A$4:$A$1000,ROW()-3)="","",INDEX(MASTER_DATABASE!$E$4:$E$1000,ROW()-3)&amp;"")</f>
        <v>Driving Licence / Learner Licence Application Assistance</v>
      </c>
      <c r="C110" s="7" t="str">
        <f aca="false">IF(INDEX(MASTER_DATABASE!$A$4:$A$1000,ROW()-3)="","",INDEX(MASTER_DATABASE!$F$4:$F$1000,ROW()-3)&amp;"")</f>
        <v>ड्राइविंग / लर्नर लाइसेंस आवेदन सहायता</v>
      </c>
      <c r="D110" s="7" t="str">
        <f aca="false">IF(INDEX(MASTER_DATABASE!$A$4:$A$1000,ROW()-3)="","",INDEX(MASTER_DATABASE!$AL$4:$AL$1000,ROW()-3)&amp;"")</f>
        <v>Common Service Centre (CSC)</v>
      </c>
      <c r="E110" s="7" t="str">
        <f aca="false">IF(INDEX(MASTER_DATABASE!$A$4:$A$1000,ROW()-3)="","",INDEX(MASTER_DATABASE!$G$4:$G$1000,ROW()-3)&amp;"")</f>
        <v>Driving Licence / Learner Licence Application Assistance through our Common Service Centre.</v>
      </c>
      <c r="F110" s="11" t="str">
        <f aca="false">IF(INDEX(MASTER_DATABASE!$A$4:$A$1000,ROW()-3)="","",INDEX(MASTER_DATABASE!$AP$4:$AP$1000,ROW()-3)&amp;"")</f>
        <v>🖥️</v>
      </c>
      <c r="G11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0" s="7" t="str">
        <f aca="false">IF(INDEX(MASTER_DATABASE!$A$4:$A$1000,ROW()-3)="","",INDEX(MASTER_DATABASE!$J$4:$J$1000,ROW()-3)&amp;"")</f>
        <v>Depends on Portal – Confirm at Shop</v>
      </c>
      <c r="K110" s="7" t="str">
        <f aca="false">IF(INDEX(MASTER_DATABASE!$A$4:$A$1000,ROW()-3)="","",INDEX(MASTER_DATABASE!$M$4:$M$1000,ROW()-3)&amp;"")</f>
        <v>✓ Aadhaar Card
✓ Active Mobile Number
✓ Address Proof
✓ Date of Birth Proof
✓ Passport Photo</v>
      </c>
      <c r="L110" s="7" t="str">
        <f aca="false">IF(INDEX(MASTER_DATABASE!$A$4:$A$1000,ROW()-3)="","",INDEX(MASTER_DATABASE!$Q$4:$Q$1000,ROW()-3)&amp;"")</f>
        <v>Depends on Department</v>
      </c>
      <c r="M110" s="11" t="str">
        <f aca="false">IF(INDEX(MASTER_DATABASE!$A$4:$A$1000,ROW()-3)="","",INDEX(MASTER_DATABASE!$AI$4:$AI$1000,ROW()-3)&amp;"")</f>
        <v>No</v>
      </c>
      <c r="N110" s="11" t="str">
        <f aca="false">IF(INDEX(MASTER_DATABASE!$A$4:$A$1000,ROW()-3)="","",INDEX(MASTER_DATABASE!$AJ$4:$AJ$1000,ROW()-3)&amp;"")</f>
        <v>No</v>
      </c>
      <c r="O110" s="11" t="str">
        <f aca="false">IF(INDEX(MASTER_DATABASE!$A$4:$A$1000,ROW()-3)="","",IF(INDEX(MASTER_DATABASE!$BE$4:$BE$1000,ROW()-3)="LIVE","Yes","No"))</f>
        <v>No</v>
      </c>
      <c r="P110" s="7" t="str">
        <f aca="false">IF(INDEX(MASTER_DATABASE!$A$4:$A$1000,ROW()-3)="","",INDEX(MASTER_DATABASE!$BG$4:$BG$1000,ROW()-3)&amp;"")</f>
        <v>Check Documents</v>
      </c>
      <c r="Q110" s="11" t="n">
        <f aca="false">IF(INDEX(MASTER_DATABASE!$A$4:$A$1000,ROW()-3)="","",INDEX(MASTER_DATABASE!$AQ$4:$AQ$1000,ROW()-3))</f>
        <v>20</v>
      </c>
    </row>
    <row r="111" customFormat="false" ht="23.85" hidden="false" customHeight="false" outlineLevel="0" collapsed="false">
      <c r="A111" s="11" t="str">
        <f aca="false">IF(INDEX(MASTER_DATABASE!$A$4:$A$1000,ROW()-3)="","",INDEX(MASTER_DATABASE!$A$4:$A$1000,ROW()-3)&amp;"")</f>
        <v>CSC-003</v>
      </c>
      <c r="B111" s="7" t="str">
        <f aca="false">IF(INDEX(MASTER_DATABASE!$A$4:$A$1000,ROW()-3)="","",INDEX(MASTER_DATABASE!$E$4:$E$1000,ROW()-3)&amp;"")</f>
        <v>Tele-Law Consultation</v>
      </c>
      <c r="C111" s="7" t="str">
        <f aca="false">IF(INDEX(MASTER_DATABASE!$A$4:$A$1000,ROW()-3)="","",INDEX(MASTER_DATABASE!$F$4:$F$1000,ROW()-3)&amp;"")</f>
        <v>टेली-लॉ परामर्श</v>
      </c>
      <c r="D111" s="7" t="str">
        <f aca="false">IF(INDEX(MASTER_DATABASE!$A$4:$A$1000,ROW()-3)="","",INDEX(MASTER_DATABASE!$AL$4:$AL$1000,ROW()-3)&amp;"")</f>
        <v>Common Service Centre (CSC)</v>
      </c>
      <c r="E111" s="7" t="str">
        <f aca="false">IF(INDEX(MASTER_DATABASE!$A$4:$A$1000,ROW()-3)="","",INDEX(MASTER_DATABASE!$G$4:$G$1000,ROW()-3)&amp;"")</f>
        <v>Tele-Law Consultation through our Common Service Centre.</v>
      </c>
      <c r="F111" s="11" t="str">
        <f aca="false">IF(INDEX(MASTER_DATABASE!$A$4:$A$1000,ROW()-3)="","",INDEX(MASTER_DATABASE!$AP$4:$AP$1000,ROW()-3)&amp;"")</f>
        <v>🖥️</v>
      </c>
      <c r="G11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1" s="7" t="str">
        <f aca="false">IF(INDEX(MASTER_DATABASE!$A$4:$A$1000,ROW()-3)="","",INDEX(MASTER_DATABASE!$J$4:$J$1000,ROW()-3)&amp;"")</f>
        <v>Please Confirm at Shop</v>
      </c>
      <c r="K111" s="7" t="str">
        <f aca="false">IF(INDEX(MASTER_DATABASE!$A$4:$A$1000,ROW()-3)="","",INDEX(MASTER_DATABASE!$M$4:$M$1000,ROW()-3)&amp;"")</f>
        <v>✓ Aadhaar Card
✓ Active Mobile Number</v>
      </c>
      <c r="L111" s="7" t="str">
        <f aca="false">IF(INDEX(MASTER_DATABASE!$A$4:$A$1000,ROW()-3)="","",INDEX(MASTER_DATABASE!$Q$4:$Q$1000,ROW()-3)&amp;"")</f>
        <v>Depends on Department</v>
      </c>
      <c r="M111" s="11" t="str">
        <f aca="false">IF(INDEX(MASTER_DATABASE!$A$4:$A$1000,ROW()-3)="","",INDEX(MASTER_DATABASE!$AI$4:$AI$1000,ROW()-3)&amp;"")</f>
        <v>No</v>
      </c>
      <c r="N111" s="11" t="str">
        <f aca="false">IF(INDEX(MASTER_DATABASE!$A$4:$A$1000,ROW()-3)="","",INDEX(MASTER_DATABASE!$AJ$4:$AJ$1000,ROW()-3)&amp;"")</f>
        <v>No</v>
      </c>
      <c r="O111" s="11" t="str">
        <f aca="false">IF(INDEX(MASTER_DATABASE!$A$4:$A$1000,ROW()-3)="","",IF(INDEX(MASTER_DATABASE!$BE$4:$BE$1000,ROW()-3)="LIVE","Yes","No"))</f>
        <v>No</v>
      </c>
      <c r="P111" s="7" t="str">
        <f aca="false">IF(INDEX(MASTER_DATABASE!$A$4:$A$1000,ROW()-3)="","",INDEX(MASTER_DATABASE!$BG$4:$BG$1000,ROW()-3)&amp;"")</f>
        <v>Check Documents</v>
      </c>
      <c r="Q111" s="11" t="n">
        <f aca="false">IF(INDEX(MASTER_DATABASE!$A$4:$A$1000,ROW()-3)="","",INDEX(MASTER_DATABASE!$AQ$4:$AQ$1000,ROW()-3))</f>
        <v>30</v>
      </c>
    </row>
    <row r="112" customFormat="false" ht="23.85" hidden="false" customHeight="false" outlineLevel="0" collapsed="false">
      <c r="A112" s="11" t="str">
        <f aca="false">IF(INDEX(MASTER_DATABASE!$A$4:$A$1000,ROW()-3)="","",INDEX(MASTER_DATABASE!$A$4:$A$1000,ROW()-3)&amp;"")</f>
        <v>CSC-004</v>
      </c>
      <c r="B112" s="7" t="str">
        <f aca="false">IF(INDEX(MASTER_DATABASE!$A$4:$A$1000,ROW()-3)="","",INDEX(MASTER_DATABASE!$E$4:$E$1000,ROW()-3)&amp;"")</f>
        <v>Telemedicine / eSanjeevani Consultation</v>
      </c>
      <c r="C112" s="7" t="str">
        <f aca="false">IF(INDEX(MASTER_DATABASE!$A$4:$A$1000,ROW()-3)="","",INDEX(MASTER_DATABASE!$F$4:$F$1000,ROW()-3)&amp;"")</f>
        <v>टेलीमेडिसिन / eSanjeevani परामर्श</v>
      </c>
      <c r="D112" s="7" t="str">
        <f aca="false">IF(INDEX(MASTER_DATABASE!$A$4:$A$1000,ROW()-3)="","",INDEX(MASTER_DATABASE!$AL$4:$AL$1000,ROW()-3)&amp;"")</f>
        <v>Common Service Centre (CSC)</v>
      </c>
      <c r="E112" s="7" t="str">
        <f aca="false">IF(INDEX(MASTER_DATABASE!$A$4:$A$1000,ROW()-3)="","",INDEX(MASTER_DATABASE!$G$4:$G$1000,ROW()-3)&amp;"")</f>
        <v>Telemedicine / eSanjeevani Consultation through our Common Service Centre.</v>
      </c>
      <c r="F112" s="11" t="str">
        <f aca="false">IF(INDEX(MASTER_DATABASE!$A$4:$A$1000,ROW()-3)="","",INDEX(MASTER_DATABASE!$AP$4:$AP$1000,ROW()-3)&amp;"")</f>
        <v>🖥️</v>
      </c>
      <c r="G11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2" s="7" t="str">
        <f aca="false">IF(INDEX(MASTER_DATABASE!$A$4:$A$1000,ROW()-3)="","",INDEX(MASTER_DATABASE!$J$4:$J$1000,ROW()-3)&amp;"")</f>
        <v>Please Confirm at Shop</v>
      </c>
      <c r="K112" s="7" t="str">
        <f aca="false">IF(INDEX(MASTER_DATABASE!$A$4:$A$1000,ROW()-3)="","",INDEX(MASTER_DATABASE!$M$4:$M$1000,ROW()-3)&amp;"")</f>
        <v>✓ Aadhaar Card
✓ Active Mobile Number</v>
      </c>
      <c r="L112" s="7" t="str">
        <f aca="false">IF(INDEX(MASTER_DATABASE!$A$4:$A$1000,ROW()-3)="","",INDEX(MASTER_DATABASE!$Q$4:$Q$1000,ROW()-3)&amp;"")</f>
        <v>Depends on Department</v>
      </c>
      <c r="M112" s="11" t="str">
        <f aca="false">IF(INDEX(MASTER_DATABASE!$A$4:$A$1000,ROW()-3)="","",INDEX(MASTER_DATABASE!$AI$4:$AI$1000,ROW()-3)&amp;"")</f>
        <v>No</v>
      </c>
      <c r="N112" s="11" t="str">
        <f aca="false">IF(INDEX(MASTER_DATABASE!$A$4:$A$1000,ROW()-3)="","",INDEX(MASTER_DATABASE!$AJ$4:$AJ$1000,ROW()-3)&amp;"")</f>
        <v>No</v>
      </c>
      <c r="O112" s="11" t="str">
        <f aca="false">IF(INDEX(MASTER_DATABASE!$A$4:$A$1000,ROW()-3)="","",IF(INDEX(MASTER_DATABASE!$BE$4:$BE$1000,ROW()-3)="LIVE","Yes","No"))</f>
        <v>No</v>
      </c>
      <c r="P112" s="7" t="str">
        <f aca="false">IF(INDEX(MASTER_DATABASE!$A$4:$A$1000,ROW()-3)="","",INDEX(MASTER_DATABASE!$BG$4:$BG$1000,ROW()-3)&amp;"")</f>
        <v>Check Documents</v>
      </c>
      <c r="Q112" s="11" t="n">
        <f aca="false">IF(INDEX(MASTER_DATABASE!$A$4:$A$1000,ROW()-3)="","",INDEX(MASTER_DATABASE!$AQ$4:$AQ$1000,ROW()-3))</f>
        <v>40</v>
      </c>
    </row>
    <row r="113" customFormat="false" ht="23.85" hidden="false" customHeight="false" outlineLevel="0" collapsed="false">
      <c r="A113" s="11" t="str">
        <f aca="false">IF(INDEX(MASTER_DATABASE!$A$4:$A$1000,ROW()-3)="","",INDEX(MASTER_DATABASE!$A$4:$A$1000,ROW()-3)&amp;"")</f>
        <v>CSC-005</v>
      </c>
      <c r="B113" s="7" t="str">
        <f aca="false">IF(INDEX(MASTER_DATABASE!$A$4:$A$1000,ROW()-3)="","",INDEX(MASTER_DATABASE!$E$4:$E$1000,ROW()-3)&amp;"")</f>
        <v>e-District Services (State Portal)</v>
      </c>
      <c r="C113" s="7" t="str">
        <f aca="false">IF(INDEX(MASTER_DATABASE!$A$4:$A$1000,ROW()-3)="","",INDEX(MASTER_DATABASE!$F$4:$F$1000,ROW()-3)&amp;"")</f>
        <v>e-District सेवाएँ (राज्य पोर्टल)</v>
      </c>
      <c r="D113" s="7" t="str">
        <f aca="false">IF(INDEX(MASTER_DATABASE!$A$4:$A$1000,ROW()-3)="","",INDEX(MASTER_DATABASE!$AL$4:$AL$1000,ROW()-3)&amp;"")</f>
        <v>Common Service Centre (CSC)</v>
      </c>
      <c r="E113" s="7" t="str">
        <f aca="false">IF(INDEX(MASTER_DATABASE!$A$4:$A$1000,ROW()-3)="","",INDEX(MASTER_DATABASE!$G$4:$G$1000,ROW()-3)&amp;"")</f>
        <v>e-District Services (State Portal) through our Common Service Centre.</v>
      </c>
      <c r="F113" s="11" t="str">
        <f aca="false">IF(INDEX(MASTER_DATABASE!$A$4:$A$1000,ROW()-3)="","",INDEX(MASTER_DATABASE!$AP$4:$AP$1000,ROW()-3)&amp;"")</f>
        <v>🖥️</v>
      </c>
      <c r="G11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3" s="7" t="str">
        <f aca="false">IF(INDEX(MASTER_DATABASE!$A$4:$A$1000,ROW()-3)="","",INDEX(MASTER_DATABASE!$J$4:$J$1000,ROW()-3)&amp;"")</f>
        <v>Depends on Portal – Confirm at Shop</v>
      </c>
      <c r="K113" s="7" t="str">
        <f aca="false">IF(INDEX(MASTER_DATABASE!$A$4:$A$1000,ROW()-3)="","",INDEX(MASTER_DATABASE!$M$4:$M$1000,ROW()-3)&amp;"")</f>
        <v>✓ Aadhaar Card
✓ Active Mobile Number</v>
      </c>
      <c r="L113" s="7" t="str">
        <f aca="false">IF(INDEX(MASTER_DATABASE!$A$4:$A$1000,ROW()-3)="","",INDEX(MASTER_DATABASE!$Q$4:$Q$1000,ROW()-3)&amp;"")</f>
        <v>Depends on Department</v>
      </c>
      <c r="M113" s="11" t="str">
        <f aca="false">IF(INDEX(MASTER_DATABASE!$A$4:$A$1000,ROW()-3)="","",INDEX(MASTER_DATABASE!$AI$4:$AI$1000,ROW()-3)&amp;"")</f>
        <v>No</v>
      </c>
      <c r="N113" s="11" t="str">
        <f aca="false">IF(INDEX(MASTER_DATABASE!$A$4:$A$1000,ROW()-3)="","",INDEX(MASTER_DATABASE!$AJ$4:$AJ$1000,ROW()-3)&amp;"")</f>
        <v>No</v>
      </c>
      <c r="O113" s="11" t="str">
        <f aca="false">IF(INDEX(MASTER_DATABASE!$A$4:$A$1000,ROW()-3)="","",IF(INDEX(MASTER_DATABASE!$BE$4:$BE$1000,ROW()-3)="LIVE","Yes","No"))</f>
        <v>No</v>
      </c>
      <c r="P113" s="7" t="str">
        <f aca="false">IF(INDEX(MASTER_DATABASE!$A$4:$A$1000,ROW()-3)="","",INDEX(MASTER_DATABASE!$BG$4:$BG$1000,ROW()-3)&amp;"")</f>
        <v>Check Documents</v>
      </c>
      <c r="Q113" s="11" t="n">
        <f aca="false">IF(INDEX(MASTER_DATABASE!$A$4:$A$1000,ROW()-3)="","",INDEX(MASTER_DATABASE!$AQ$4:$AQ$1000,ROW()-3))</f>
        <v>50</v>
      </c>
    </row>
    <row r="114" customFormat="false" ht="23.85" hidden="false" customHeight="false" outlineLevel="0" collapsed="false">
      <c r="A114" s="11" t="str">
        <f aca="false">IF(INDEX(MASTER_DATABASE!$A$4:$A$1000,ROW()-3)="","",INDEX(MASTER_DATABASE!$A$4:$A$1000,ROW()-3)&amp;"")</f>
        <v>CSC-006</v>
      </c>
      <c r="B114" s="7" t="str">
        <f aca="false">IF(INDEX(MASTER_DATABASE!$A$4:$A$1000,ROW()-3)="","",INDEX(MASTER_DATABASE!$E$4:$E$1000,ROW()-3)&amp;"")</f>
        <v>RTI Online Filing Assistance</v>
      </c>
      <c r="C114" s="7" t="str">
        <f aca="false">IF(INDEX(MASTER_DATABASE!$A$4:$A$1000,ROW()-3)="","",INDEX(MASTER_DATABASE!$F$4:$F$1000,ROW()-3)&amp;"")</f>
        <v>RTI ऑनलाइन दाखिल करने में सहायता</v>
      </c>
      <c r="D114" s="7" t="str">
        <f aca="false">IF(INDEX(MASTER_DATABASE!$A$4:$A$1000,ROW()-3)="","",INDEX(MASTER_DATABASE!$AL$4:$AL$1000,ROW()-3)&amp;"")</f>
        <v>Common Service Centre (CSC)</v>
      </c>
      <c r="E114" s="7" t="str">
        <f aca="false">IF(INDEX(MASTER_DATABASE!$A$4:$A$1000,ROW()-3)="","",INDEX(MASTER_DATABASE!$G$4:$G$1000,ROW()-3)&amp;"")</f>
        <v>RTI Online Filing Assistance through our Common Service Centre.</v>
      </c>
      <c r="F114" s="11" t="str">
        <f aca="false">IF(INDEX(MASTER_DATABASE!$A$4:$A$1000,ROW()-3)="","",INDEX(MASTER_DATABASE!$AP$4:$AP$1000,ROW()-3)&amp;"")</f>
        <v>🖥️</v>
      </c>
      <c r="G11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4" s="7" t="str">
        <f aca="false">IF(INDEX(MASTER_DATABASE!$A$4:$A$1000,ROW()-3)="","",INDEX(MASTER_DATABASE!$J$4:$J$1000,ROW()-3)&amp;"")</f>
        <v>Depends on Portal – Confirm at Shop</v>
      </c>
      <c r="K114" s="7" t="str">
        <f aca="false">IF(INDEX(MASTER_DATABASE!$A$4:$A$1000,ROW()-3)="","",INDEX(MASTER_DATABASE!$M$4:$M$1000,ROW()-3)&amp;"")</f>
        <v>✓ Aadhaar Card
✓ Active Mobile Number</v>
      </c>
      <c r="L114" s="7" t="str">
        <f aca="false">IF(INDEX(MASTER_DATABASE!$A$4:$A$1000,ROW()-3)="","",INDEX(MASTER_DATABASE!$Q$4:$Q$1000,ROW()-3)&amp;"")</f>
        <v>Depends on Department</v>
      </c>
      <c r="M114" s="11" t="str">
        <f aca="false">IF(INDEX(MASTER_DATABASE!$A$4:$A$1000,ROW()-3)="","",INDEX(MASTER_DATABASE!$AI$4:$AI$1000,ROW()-3)&amp;"")</f>
        <v>No</v>
      </c>
      <c r="N114" s="11" t="str">
        <f aca="false">IF(INDEX(MASTER_DATABASE!$A$4:$A$1000,ROW()-3)="","",INDEX(MASTER_DATABASE!$AJ$4:$AJ$1000,ROW()-3)&amp;"")</f>
        <v>No</v>
      </c>
      <c r="O114" s="11" t="str">
        <f aca="false">IF(INDEX(MASTER_DATABASE!$A$4:$A$1000,ROW()-3)="","",IF(INDEX(MASTER_DATABASE!$BE$4:$BE$1000,ROW()-3)="LIVE","Yes","No"))</f>
        <v>No</v>
      </c>
      <c r="P114" s="7" t="str">
        <f aca="false">IF(INDEX(MASTER_DATABASE!$A$4:$A$1000,ROW()-3)="","",INDEX(MASTER_DATABASE!$BG$4:$BG$1000,ROW()-3)&amp;"")</f>
        <v>Check Documents</v>
      </c>
      <c r="Q114" s="11" t="n">
        <f aca="false">IF(INDEX(MASTER_DATABASE!$A$4:$A$1000,ROW()-3)="","",INDEX(MASTER_DATABASE!$AQ$4:$AQ$1000,ROW()-3))</f>
        <v>60</v>
      </c>
    </row>
    <row r="115" customFormat="false" ht="35.05" hidden="false" customHeight="false" outlineLevel="0" collapsed="false">
      <c r="A115" s="11" t="str">
        <f aca="false">IF(INDEX(MASTER_DATABASE!$A$4:$A$1000,ROW()-3)="","",INDEX(MASTER_DATABASE!$A$4:$A$1000,ROW()-3)&amp;"")</f>
        <v>CSC-007</v>
      </c>
      <c r="B115" s="7" t="str">
        <f aca="false">IF(INDEX(MASTER_DATABASE!$A$4:$A$1000,ROW()-3)="","",INDEX(MASTER_DATABASE!$E$4:$E$1000,ROW()-3)&amp;"")</f>
        <v>Central Public Grievance (CPGRAMS) Filing Assistance</v>
      </c>
      <c r="C115" s="7" t="str">
        <f aca="false">IF(INDEX(MASTER_DATABASE!$A$4:$A$1000,ROW()-3)="","",INDEX(MASTER_DATABASE!$F$4:$F$1000,ROW()-3)&amp;"")</f>
        <v>केंद्रीय जन शिकायत (CPGRAMS) दर्ज करने में सहायता</v>
      </c>
      <c r="D115" s="7" t="str">
        <f aca="false">IF(INDEX(MASTER_DATABASE!$A$4:$A$1000,ROW()-3)="","",INDEX(MASTER_DATABASE!$AL$4:$AL$1000,ROW()-3)&amp;"")</f>
        <v>Common Service Centre (CSC)</v>
      </c>
      <c r="E115" s="7" t="str">
        <f aca="false">IF(INDEX(MASTER_DATABASE!$A$4:$A$1000,ROW()-3)="","",INDEX(MASTER_DATABASE!$G$4:$G$1000,ROW()-3)&amp;"")</f>
        <v>Central Public Grievance (CPGRAMS) Filing Assistance through our Common Service Centre.</v>
      </c>
      <c r="F115" s="11" t="str">
        <f aca="false">IF(INDEX(MASTER_DATABASE!$A$4:$A$1000,ROW()-3)="","",INDEX(MASTER_DATABASE!$AP$4:$AP$1000,ROW()-3)&amp;"")</f>
        <v>🖥️</v>
      </c>
      <c r="G11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5" s="7" t="str">
        <f aca="false">IF(INDEX(MASTER_DATABASE!$A$4:$A$1000,ROW()-3)="","",INDEX(MASTER_DATABASE!$J$4:$J$1000,ROW()-3)&amp;"")</f>
        <v>Depends on Portal – Confirm at Shop</v>
      </c>
      <c r="K115" s="7" t="str">
        <f aca="false">IF(INDEX(MASTER_DATABASE!$A$4:$A$1000,ROW()-3)="","",INDEX(MASTER_DATABASE!$M$4:$M$1000,ROW()-3)&amp;"")</f>
        <v>✓ Aadhaar Card
✓ Active Mobile Number</v>
      </c>
      <c r="L115" s="7" t="str">
        <f aca="false">IF(INDEX(MASTER_DATABASE!$A$4:$A$1000,ROW()-3)="","",INDEX(MASTER_DATABASE!$Q$4:$Q$1000,ROW()-3)&amp;"")</f>
        <v>Depends on Department</v>
      </c>
      <c r="M115" s="11" t="str">
        <f aca="false">IF(INDEX(MASTER_DATABASE!$A$4:$A$1000,ROW()-3)="","",INDEX(MASTER_DATABASE!$AI$4:$AI$1000,ROW()-3)&amp;"")</f>
        <v>No</v>
      </c>
      <c r="N115" s="11" t="str">
        <f aca="false">IF(INDEX(MASTER_DATABASE!$A$4:$A$1000,ROW()-3)="","",INDEX(MASTER_DATABASE!$AJ$4:$AJ$1000,ROW()-3)&amp;"")</f>
        <v>No</v>
      </c>
      <c r="O115" s="11" t="str">
        <f aca="false">IF(INDEX(MASTER_DATABASE!$A$4:$A$1000,ROW()-3)="","",IF(INDEX(MASTER_DATABASE!$BE$4:$BE$1000,ROW()-3)="LIVE","Yes","No"))</f>
        <v>No</v>
      </c>
      <c r="P115" s="7" t="str">
        <f aca="false">IF(INDEX(MASTER_DATABASE!$A$4:$A$1000,ROW()-3)="","",INDEX(MASTER_DATABASE!$BG$4:$BG$1000,ROW()-3)&amp;"")</f>
        <v>Check Documents</v>
      </c>
      <c r="Q115" s="11" t="n">
        <f aca="false">IF(INDEX(MASTER_DATABASE!$A$4:$A$1000,ROW()-3)="","",INDEX(MASTER_DATABASE!$AQ$4:$AQ$1000,ROW()-3))</f>
        <v>70</v>
      </c>
    </row>
    <row r="116" customFormat="false" ht="23.85" hidden="false" customHeight="false" outlineLevel="0" collapsed="false">
      <c r="A116" s="11" t="str">
        <f aca="false">IF(INDEX(MASTER_DATABASE!$A$4:$A$1000,ROW()-3)="","",INDEX(MASTER_DATABASE!$A$4:$A$1000,ROW()-3)&amp;"")</f>
        <v>CSC-008</v>
      </c>
      <c r="B116" s="7" t="str">
        <f aca="false">IF(INDEX(MASTER_DATABASE!$A$4:$A$1000,ROW()-3)="","",INDEX(MASTER_DATABASE!$E$4:$E$1000,ROW()-3)&amp;"")</f>
        <v>Municipal / Property Tax Payment</v>
      </c>
      <c r="C116" s="7" t="str">
        <f aca="false">IF(INDEX(MASTER_DATABASE!$A$4:$A$1000,ROW()-3)="","",INDEX(MASTER_DATABASE!$F$4:$F$1000,ROW()-3)&amp;"")</f>
        <v>नगर निगम / संपत्ति कर भुगतान</v>
      </c>
      <c r="D116" s="7" t="str">
        <f aca="false">IF(INDEX(MASTER_DATABASE!$A$4:$A$1000,ROW()-3)="","",INDEX(MASTER_DATABASE!$AL$4:$AL$1000,ROW()-3)&amp;"")</f>
        <v>Common Service Centre (CSC)</v>
      </c>
      <c r="E116" s="7" t="str">
        <f aca="false">IF(INDEX(MASTER_DATABASE!$A$4:$A$1000,ROW()-3)="","",INDEX(MASTER_DATABASE!$G$4:$G$1000,ROW()-3)&amp;"")</f>
        <v>Municipal / Property Tax Payment through our Common Service Centre.</v>
      </c>
      <c r="F116" s="11" t="str">
        <f aca="false">IF(INDEX(MASTER_DATABASE!$A$4:$A$1000,ROW()-3)="","",INDEX(MASTER_DATABASE!$AP$4:$AP$1000,ROW()-3)&amp;"")</f>
        <v>🖥️</v>
      </c>
      <c r="G11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6" s="7" t="str">
        <f aca="false">IF(INDEX(MASTER_DATABASE!$A$4:$A$1000,ROW()-3)="","",INDEX(MASTER_DATABASE!$J$4:$J$1000,ROW()-3)&amp;"")</f>
        <v>Depends on Portal – Confirm at Shop</v>
      </c>
      <c r="K116" s="7" t="str">
        <f aca="false">IF(INDEX(MASTER_DATABASE!$A$4:$A$1000,ROW()-3)="","",INDEX(MASTER_DATABASE!$M$4:$M$1000,ROW()-3)&amp;"")</f>
        <v>✓ Aadhaar Card
✓ Active Mobile Number</v>
      </c>
      <c r="L116" s="7" t="str">
        <f aca="false">IF(INDEX(MASTER_DATABASE!$A$4:$A$1000,ROW()-3)="","",INDEX(MASTER_DATABASE!$Q$4:$Q$1000,ROW()-3)&amp;"")</f>
        <v>Depends on Department</v>
      </c>
      <c r="M116" s="11" t="str">
        <f aca="false">IF(INDEX(MASTER_DATABASE!$A$4:$A$1000,ROW()-3)="","",INDEX(MASTER_DATABASE!$AI$4:$AI$1000,ROW()-3)&amp;"")</f>
        <v>No</v>
      </c>
      <c r="N116" s="11" t="str">
        <f aca="false">IF(INDEX(MASTER_DATABASE!$A$4:$A$1000,ROW()-3)="","",INDEX(MASTER_DATABASE!$AJ$4:$AJ$1000,ROW()-3)&amp;"")</f>
        <v>No</v>
      </c>
      <c r="O116" s="11" t="str">
        <f aca="false">IF(INDEX(MASTER_DATABASE!$A$4:$A$1000,ROW()-3)="","",IF(INDEX(MASTER_DATABASE!$BE$4:$BE$1000,ROW()-3)="LIVE","Yes","No"))</f>
        <v>No</v>
      </c>
      <c r="P116" s="7" t="str">
        <f aca="false">IF(INDEX(MASTER_DATABASE!$A$4:$A$1000,ROW()-3)="","",INDEX(MASTER_DATABASE!$BG$4:$BG$1000,ROW()-3)&amp;"")</f>
        <v>Check Documents</v>
      </c>
      <c r="Q116" s="11" t="n">
        <f aca="false">IF(INDEX(MASTER_DATABASE!$A$4:$A$1000,ROW()-3)="","",INDEX(MASTER_DATABASE!$AQ$4:$AQ$1000,ROW()-3))</f>
        <v>80</v>
      </c>
    </row>
    <row r="117" customFormat="false" ht="46.25" hidden="false" customHeight="false" outlineLevel="0" collapsed="false">
      <c r="A117" s="11" t="str">
        <f aca="false">IF(INDEX(MASTER_DATABASE!$A$4:$A$1000,ROW()-3)="","",INDEX(MASTER_DATABASE!$A$4:$A$1000,ROW()-3)&amp;"")</f>
        <v>CSC-009</v>
      </c>
      <c r="B117" s="7" t="str">
        <f aca="false">IF(INDEX(MASTER_DATABASE!$A$4:$A$1000,ROW()-3)="","",INDEX(MASTER_DATABASE!$E$4:$E$1000,ROW()-3)&amp;"")</f>
        <v>PM-Kisan Registration &amp; eKYC</v>
      </c>
      <c r="C117" s="7" t="str">
        <f aca="false">IF(INDEX(MASTER_DATABASE!$A$4:$A$1000,ROW()-3)="","",INDEX(MASTER_DATABASE!$F$4:$F$1000,ROW()-3)&amp;"")</f>
        <v>PM-किसान पंजीकरण व eKYC</v>
      </c>
      <c r="D117" s="7" t="str">
        <f aca="false">IF(INDEX(MASTER_DATABASE!$A$4:$A$1000,ROW()-3)="","",INDEX(MASTER_DATABASE!$AL$4:$AL$1000,ROW()-3)&amp;"")</f>
        <v>Common Service Centre (CSC)</v>
      </c>
      <c r="E117" s="7" t="str">
        <f aca="false">IF(INDEX(MASTER_DATABASE!$A$4:$A$1000,ROW()-3)="","",INDEX(MASTER_DATABASE!$G$4:$G$1000,ROW()-3)&amp;"")</f>
        <v>PM-Kisan Registration &amp; eKYC through our Common Service Centre.</v>
      </c>
      <c r="F117" s="11" t="str">
        <f aca="false">IF(INDEX(MASTER_DATABASE!$A$4:$A$1000,ROW()-3)="","",INDEX(MASTER_DATABASE!$AP$4:$AP$1000,ROW()-3)&amp;"")</f>
        <v>🤝</v>
      </c>
      <c r="G11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7" s="7" t="str">
        <f aca="false">IF(INDEX(MASTER_DATABASE!$A$4:$A$1000,ROW()-3)="","",INDEX(MASTER_DATABASE!$J$4:$J$1000,ROW()-3)&amp;"")</f>
        <v>Depends on Portal – Confirm at Shop</v>
      </c>
      <c r="K117" s="7" t="str">
        <f aca="false">IF(INDEX(MASTER_DATABASE!$A$4:$A$1000,ROW()-3)="","",INDEX(MASTER_DATABASE!$M$4:$M$1000,ROW()-3)&amp;"")</f>
        <v>✓ Aadhaar Card
✓ Active Mobile Number
✓ Bank Passbook
✓ Land Records</v>
      </c>
      <c r="L117" s="7" t="str">
        <f aca="false">IF(INDEX(MASTER_DATABASE!$A$4:$A$1000,ROW()-3)="","",INDEX(MASTER_DATABASE!$Q$4:$Q$1000,ROW()-3)&amp;"")</f>
        <v>Depends on Department</v>
      </c>
      <c r="M117" s="11" t="str">
        <f aca="false">IF(INDEX(MASTER_DATABASE!$A$4:$A$1000,ROW()-3)="","",INDEX(MASTER_DATABASE!$AI$4:$AI$1000,ROW()-3)&amp;"")</f>
        <v>No</v>
      </c>
      <c r="N117" s="11" t="str">
        <f aca="false">IF(INDEX(MASTER_DATABASE!$A$4:$A$1000,ROW()-3)="","",INDEX(MASTER_DATABASE!$AJ$4:$AJ$1000,ROW()-3)&amp;"")</f>
        <v>No</v>
      </c>
      <c r="O117" s="11" t="str">
        <f aca="false">IF(INDEX(MASTER_DATABASE!$A$4:$A$1000,ROW()-3)="","",IF(INDEX(MASTER_DATABASE!$BE$4:$BE$1000,ROW()-3)="LIVE","Yes","No"))</f>
        <v>No</v>
      </c>
      <c r="P117" s="7" t="str">
        <f aca="false">IF(INDEX(MASTER_DATABASE!$A$4:$A$1000,ROW()-3)="","",INDEX(MASTER_DATABASE!$BG$4:$BG$1000,ROW()-3)&amp;"")</f>
        <v>Check Documents</v>
      </c>
      <c r="Q117" s="11" t="n">
        <f aca="false">IF(INDEX(MASTER_DATABASE!$A$4:$A$1000,ROW()-3)="","",INDEX(MASTER_DATABASE!$AQ$4:$AQ$1000,ROW()-3))</f>
        <v>90</v>
      </c>
    </row>
    <row r="118" customFormat="false" ht="35.05" hidden="false" customHeight="false" outlineLevel="0" collapsed="false">
      <c r="A118" s="11" t="str">
        <f aca="false">IF(INDEX(MASTER_DATABASE!$A$4:$A$1000,ROW()-3)="","",INDEX(MASTER_DATABASE!$A$4:$A$1000,ROW()-3)&amp;"")</f>
        <v>CSC-010</v>
      </c>
      <c r="B118" s="7" t="str">
        <f aca="false">IF(INDEX(MASTER_DATABASE!$A$4:$A$1000,ROW()-3)="","",INDEX(MASTER_DATABASE!$E$4:$E$1000,ROW()-3)&amp;"")</f>
        <v>e-Shram Card Registration</v>
      </c>
      <c r="C118" s="7" t="str">
        <f aca="false">IF(INDEX(MASTER_DATABASE!$A$4:$A$1000,ROW()-3)="","",INDEX(MASTER_DATABASE!$F$4:$F$1000,ROW()-3)&amp;"")</f>
        <v>e-श्रम कार्ड पंजीकरण</v>
      </c>
      <c r="D118" s="7" t="str">
        <f aca="false">IF(INDEX(MASTER_DATABASE!$A$4:$A$1000,ROW()-3)="","",INDEX(MASTER_DATABASE!$AL$4:$AL$1000,ROW()-3)&amp;"")</f>
        <v>Common Service Centre (CSC)</v>
      </c>
      <c r="E118" s="7" t="str">
        <f aca="false">IF(INDEX(MASTER_DATABASE!$A$4:$A$1000,ROW()-3)="","",INDEX(MASTER_DATABASE!$G$4:$G$1000,ROW()-3)&amp;"")</f>
        <v>e-Shram Card Registration through our Common Service Centre.</v>
      </c>
      <c r="F118" s="11" t="str">
        <f aca="false">IF(INDEX(MASTER_DATABASE!$A$4:$A$1000,ROW()-3)="","",INDEX(MASTER_DATABASE!$AP$4:$AP$1000,ROW()-3)&amp;"")</f>
        <v>🤝</v>
      </c>
      <c r="G11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8" s="7" t="str">
        <f aca="false">IF(INDEX(MASTER_DATABASE!$A$4:$A$1000,ROW()-3)="","",INDEX(MASTER_DATABASE!$J$4:$J$1000,ROW()-3)&amp;"")</f>
        <v>Depends on Portal – Confirm at Shop</v>
      </c>
      <c r="K118" s="7" t="str">
        <f aca="false">IF(INDEX(MASTER_DATABASE!$A$4:$A$1000,ROW()-3)="","",INDEX(MASTER_DATABASE!$M$4:$M$1000,ROW()-3)&amp;"")</f>
        <v>✓ Aadhaar Card
✓ Active Mobile Number
✓ Bank Passbook</v>
      </c>
      <c r="L118" s="7" t="str">
        <f aca="false">IF(INDEX(MASTER_DATABASE!$A$4:$A$1000,ROW()-3)="","",INDEX(MASTER_DATABASE!$Q$4:$Q$1000,ROW()-3)&amp;"")</f>
        <v>Depends on Department</v>
      </c>
      <c r="M118" s="11" t="str">
        <f aca="false">IF(INDEX(MASTER_DATABASE!$A$4:$A$1000,ROW()-3)="","",INDEX(MASTER_DATABASE!$AI$4:$AI$1000,ROW()-3)&amp;"")</f>
        <v>No</v>
      </c>
      <c r="N118" s="11" t="str">
        <f aca="false">IF(INDEX(MASTER_DATABASE!$A$4:$A$1000,ROW()-3)="","",INDEX(MASTER_DATABASE!$AJ$4:$AJ$1000,ROW()-3)&amp;"")</f>
        <v>No</v>
      </c>
      <c r="O118" s="11" t="str">
        <f aca="false">IF(INDEX(MASTER_DATABASE!$A$4:$A$1000,ROW()-3)="","",IF(INDEX(MASTER_DATABASE!$BE$4:$BE$1000,ROW()-3)="LIVE","Yes","No"))</f>
        <v>No</v>
      </c>
      <c r="P118" s="7" t="str">
        <f aca="false">IF(INDEX(MASTER_DATABASE!$A$4:$A$1000,ROW()-3)="","",INDEX(MASTER_DATABASE!$BG$4:$BG$1000,ROW()-3)&amp;"")</f>
        <v>Check Documents</v>
      </c>
      <c r="Q118" s="11" t="n">
        <f aca="false">IF(INDEX(MASTER_DATABASE!$A$4:$A$1000,ROW()-3)="","",INDEX(MASTER_DATABASE!$AQ$4:$AQ$1000,ROW()-3))</f>
        <v>100</v>
      </c>
    </row>
    <row r="119" customFormat="false" ht="35.05" hidden="false" customHeight="false" outlineLevel="0" collapsed="false">
      <c r="A119" s="11" t="str">
        <f aca="false">IF(INDEX(MASTER_DATABASE!$A$4:$A$1000,ROW()-3)="","",INDEX(MASTER_DATABASE!$A$4:$A$1000,ROW()-3)&amp;"")</f>
        <v>CSC-011</v>
      </c>
      <c r="B119" s="7" t="str">
        <f aca="false">IF(INDEX(MASTER_DATABASE!$A$4:$A$1000,ROW()-3)="","",INDEX(MASTER_DATABASE!$E$4:$E$1000,ROW()-3)&amp;"")</f>
        <v>Ayushman Bharat (PM-JAY) Card Registration</v>
      </c>
      <c r="C119" s="7" t="str">
        <f aca="false">IF(INDEX(MASTER_DATABASE!$A$4:$A$1000,ROW()-3)="","",INDEX(MASTER_DATABASE!$F$4:$F$1000,ROW()-3)&amp;"")</f>
        <v>आयुष्मान भारत (PM-JAY) कार्ड पंजीकरण</v>
      </c>
      <c r="D119" s="7" t="str">
        <f aca="false">IF(INDEX(MASTER_DATABASE!$A$4:$A$1000,ROW()-3)="","",INDEX(MASTER_DATABASE!$AL$4:$AL$1000,ROW()-3)&amp;"")</f>
        <v>Common Service Centre (CSC)</v>
      </c>
      <c r="E119" s="7" t="str">
        <f aca="false">IF(INDEX(MASTER_DATABASE!$A$4:$A$1000,ROW()-3)="","",INDEX(MASTER_DATABASE!$G$4:$G$1000,ROW()-3)&amp;"")</f>
        <v>Ayushman Bharat (PM-JAY) Card Registration through our Common Service Centre.</v>
      </c>
      <c r="F119" s="11" t="str">
        <f aca="false">IF(INDEX(MASTER_DATABASE!$A$4:$A$1000,ROW()-3)="","",INDEX(MASTER_DATABASE!$AP$4:$AP$1000,ROW()-3)&amp;"")</f>
        <v>🤝</v>
      </c>
      <c r="G11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1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1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19" s="7" t="str">
        <f aca="false">IF(INDEX(MASTER_DATABASE!$A$4:$A$1000,ROW()-3)="","",INDEX(MASTER_DATABASE!$J$4:$J$1000,ROW()-3)&amp;"")</f>
        <v>Depends on Portal – Confirm at Shop</v>
      </c>
      <c r="K119" s="7" t="str">
        <f aca="false">IF(INDEX(MASTER_DATABASE!$A$4:$A$1000,ROW()-3)="","",INDEX(MASTER_DATABASE!$M$4:$M$1000,ROW()-3)&amp;"")</f>
        <v>✓ Aadhaar Card
✓ Active Mobile Number</v>
      </c>
      <c r="L119" s="7" t="str">
        <f aca="false">IF(INDEX(MASTER_DATABASE!$A$4:$A$1000,ROW()-3)="","",INDEX(MASTER_DATABASE!$Q$4:$Q$1000,ROW()-3)&amp;"")</f>
        <v>Depends on Department</v>
      </c>
      <c r="M119" s="11" t="str">
        <f aca="false">IF(INDEX(MASTER_DATABASE!$A$4:$A$1000,ROW()-3)="","",INDEX(MASTER_DATABASE!$AI$4:$AI$1000,ROW()-3)&amp;"")</f>
        <v>No</v>
      </c>
      <c r="N119" s="11" t="str">
        <f aca="false">IF(INDEX(MASTER_DATABASE!$A$4:$A$1000,ROW()-3)="","",INDEX(MASTER_DATABASE!$AJ$4:$AJ$1000,ROW()-3)&amp;"")</f>
        <v>No</v>
      </c>
      <c r="O119" s="11" t="str">
        <f aca="false">IF(INDEX(MASTER_DATABASE!$A$4:$A$1000,ROW()-3)="","",IF(INDEX(MASTER_DATABASE!$BE$4:$BE$1000,ROW()-3)="LIVE","Yes","No"))</f>
        <v>No</v>
      </c>
      <c r="P119" s="7" t="str">
        <f aca="false">IF(INDEX(MASTER_DATABASE!$A$4:$A$1000,ROW()-3)="","",INDEX(MASTER_DATABASE!$BG$4:$BG$1000,ROW()-3)&amp;"")</f>
        <v>Check Documents</v>
      </c>
      <c r="Q119" s="11" t="n">
        <f aca="false">IF(INDEX(MASTER_DATABASE!$A$4:$A$1000,ROW()-3)="","",INDEX(MASTER_DATABASE!$AQ$4:$AQ$1000,ROW()-3))</f>
        <v>110</v>
      </c>
    </row>
    <row r="120" customFormat="false" ht="23.85" hidden="false" customHeight="false" outlineLevel="0" collapsed="false">
      <c r="A120" s="11" t="str">
        <f aca="false">IF(INDEX(MASTER_DATABASE!$A$4:$A$1000,ROW()-3)="","",INDEX(MASTER_DATABASE!$A$4:$A$1000,ROW()-3)&amp;"")</f>
        <v>CSC-012</v>
      </c>
      <c r="B120" s="7" t="str">
        <f aca="false">IF(INDEX(MASTER_DATABASE!$A$4:$A$1000,ROW()-3)="","",INDEX(MASTER_DATABASE!$E$4:$E$1000,ROW()-3)&amp;"")</f>
        <v>ABHA (Health ID) Creation</v>
      </c>
      <c r="C120" s="7" t="str">
        <f aca="false">IF(INDEX(MASTER_DATABASE!$A$4:$A$1000,ROW()-3)="","",INDEX(MASTER_DATABASE!$F$4:$F$1000,ROW()-3)&amp;"")</f>
        <v>ABHA (हेल्थ आईडी) निर्माण</v>
      </c>
      <c r="D120" s="7" t="str">
        <f aca="false">IF(INDEX(MASTER_DATABASE!$A$4:$A$1000,ROW()-3)="","",INDEX(MASTER_DATABASE!$AL$4:$AL$1000,ROW()-3)&amp;"")</f>
        <v>Common Service Centre (CSC)</v>
      </c>
      <c r="E120" s="7" t="str">
        <f aca="false">IF(INDEX(MASTER_DATABASE!$A$4:$A$1000,ROW()-3)="","",INDEX(MASTER_DATABASE!$G$4:$G$1000,ROW()-3)&amp;"")</f>
        <v>ABHA (Health ID) Creation through our Common Service Centre.</v>
      </c>
      <c r="F120" s="11" t="str">
        <f aca="false">IF(INDEX(MASTER_DATABASE!$A$4:$A$1000,ROW()-3)="","",INDEX(MASTER_DATABASE!$AP$4:$AP$1000,ROW()-3)&amp;"")</f>
        <v>🤝</v>
      </c>
      <c r="G12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0" s="7" t="str">
        <f aca="false">IF(INDEX(MASTER_DATABASE!$A$4:$A$1000,ROW()-3)="","",INDEX(MASTER_DATABASE!$J$4:$J$1000,ROW()-3)&amp;"")</f>
        <v>Depends on Portal – Confirm at Shop</v>
      </c>
      <c r="K120" s="7" t="str">
        <f aca="false">IF(INDEX(MASTER_DATABASE!$A$4:$A$1000,ROW()-3)="","",INDEX(MASTER_DATABASE!$M$4:$M$1000,ROW()-3)&amp;"")</f>
        <v>✓ Aadhaar Card
✓ Active Mobile Number</v>
      </c>
      <c r="L120" s="7" t="str">
        <f aca="false">IF(INDEX(MASTER_DATABASE!$A$4:$A$1000,ROW()-3)="","",INDEX(MASTER_DATABASE!$Q$4:$Q$1000,ROW()-3)&amp;"")</f>
        <v>Depends on Department</v>
      </c>
      <c r="M120" s="11" t="str">
        <f aca="false">IF(INDEX(MASTER_DATABASE!$A$4:$A$1000,ROW()-3)="","",INDEX(MASTER_DATABASE!$AI$4:$AI$1000,ROW()-3)&amp;"")</f>
        <v>No</v>
      </c>
      <c r="N120" s="11" t="str">
        <f aca="false">IF(INDEX(MASTER_DATABASE!$A$4:$A$1000,ROW()-3)="","",INDEX(MASTER_DATABASE!$AJ$4:$AJ$1000,ROW()-3)&amp;"")</f>
        <v>No</v>
      </c>
      <c r="O120" s="11" t="str">
        <f aca="false">IF(INDEX(MASTER_DATABASE!$A$4:$A$1000,ROW()-3)="","",IF(INDEX(MASTER_DATABASE!$BE$4:$BE$1000,ROW()-3)="LIVE","Yes","No"))</f>
        <v>No</v>
      </c>
      <c r="P120" s="7" t="str">
        <f aca="false">IF(INDEX(MASTER_DATABASE!$A$4:$A$1000,ROW()-3)="","",INDEX(MASTER_DATABASE!$BG$4:$BG$1000,ROW()-3)&amp;"")</f>
        <v>Check Documents</v>
      </c>
      <c r="Q120" s="11" t="n">
        <f aca="false">IF(INDEX(MASTER_DATABASE!$A$4:$A$1000,ROW()-3)="","",INDEX(MASTER_DATABASE!$AQ$4:$AQ$1000,ROW()-3))</f>
        <v>120</v>
      </c>
    </row>
    <row r="121" customFormat="false" ht="46.25" hidden="false" customHeight="false" outlineLevel="0" collapsed="false">
      <c r="A121" s="11" t="str">
        <f aca="false">IF(INDEX(MASTER_DATABASE!$A$4:$A$1000,ROW()-3)="","",INDEX(MASTER_DATABASE!$A$4:$A$1000,ROW()-3)&amp;"")</f>
        <v>CSC-013</v>
      </c>
      <c r="B121" s="7" t="str">
        <f aca="false">IF(INDEX(MASTER_DATABASE!$A$4:$A$1000,ROW()-3)="","",INDEX(MASTER_DATABASE!$E$4:$E$1000,ROW()-3)&amp;"")</f>
        <v>PM Shram Yogi Maan-Dhan (PM-SYM) Enrolment</v>
      </c>
      <c r="C121" s="7" t="str">
        <f aca="false">IF(INDEX(MASTER_DATABASE!$A$4:$A$1000,ROW()-3)="","",INDEX(MASTER_DATABASE!$F$4:$F$1000,ROW()-3)&amp;"")</f>
        <v>PM श्रम योगी मानधन (PM-SYM) नामांकन</v>
      </c>
      <c r="D121" s="7" t="str">
        <f aca="false">IF(INDEX(MASTER_DATABASE!$A$4:$A$1000,ROW()-3)="","",INDEX(MASTER_DATABASE!$AL$4:$AL$1000,ROW()-3)&amp;"")</f>
        <v>Common Service Centre (CSC)</v>
      </c>
      <c r="E121" s="7" t="str">
        <f aca="false">IF(INDEX(MASTER_DATABASE!$A$4:$A$1000,ROW()-3)="","",INDEX(MASTER_DATABASE!$G$4:$G$1000,ROW()-3)&amp;"")</f>
        <v>PM Shram Yogi Maan-Dhan (PM-SYM) Enrolment through our Common Service Centre.</v>
      </c>
      <c r="F121" s="11" t="str">
        <f aca="false">IF(INDEX(MASTER_DATABASE!$A$4:$A$1000,ROW()-3)="","",INDEX(MASTER_DATABASE!$AP$4:$AP$1000,ROW()-3)&amp;"")</f>
        <v>🤝</v>
      </c>
      <c r="G12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1" s="7" t="str">
        <f aca="false">IF(INDEX(MASTER_DATABASE!$A$4:$A$1000,ROW()-3)="","",INDEX(MASTER_DATABASE!$J$4:$J$1000,ROW()-3)&amp;"")</f>
        <v>Please Confirm at Shop</v>
      </c>
      <c r="K121" s="7" t="str">
        <f aca="false">IF(INDEX(MASTER_DATABASE!$A$4:$A$1000,ROW()-3)="","",INDEX(MASTER_DATABASE!$M$4:$M$1000,ROW()-3)&amp;"")</f>
        <v>✓ Aadhaar Card
✓ Active Mobile Number
✓ Bank Passbook
✓ Nominee Details</v>
      </c>
      <c r="L121" s="7" t="str">
        <f aca="false">IF(INDEX(MASTER_DATABASE!$A$4:$A$1000,ROW()-3)="","",INDEX(MASTER_DATABASE!$Q$4:$Q$1000,ROW()-3)&amp;"")</f>
        <v>Depends on Department</v>
      </c>
      <c r="M121" s="11" t="str">
        <f aca="false">IF(INDEX(MASTER_DATABASE!$A$4:$A$1000,ROW()-3)="","",INDEX(MASTER_DATABASE!$AI$4:$AI$1000,ROW()-3)&amp;"")</f>
        <v>No</v>
      </c>
      <c r="N121" s="11" t="str">
        <f aca="false">IF(INDEX(MASTER_DATABASE!$A$4:$A$1000,ROW()-3)="","",INDEX(MASTER_DATABASE!$AJ$4:$AJ$1000,ROW()-3)&amp;"")</f>
        <v>No</v>
      </c>
      <c r="O121" s="11" t="str">
        <f aca="false">IF(INDEX(MASTER_DATABASE!$A$4:$A$1000,ROW()-3)="","",IF(INDEX(MASTER_DATABASE!$BE$4:$BE$1000,ROW()-3)="LIVE","Yes","No"))</f>
        <v>No</v>
      </c>
      <c r="P121" s="7" t="str">
        <f aca="false">IF(INDEX(MASTER_DATABASE!$A$4:$A$1000,ROW()-3)="","",INDEX(MASTER_DATABASE!$BG$4:$BG$1000,ROW()-3)&amp;"")</f>
        <v>Check Documents</v>
      </c>
      <c r="Q121" s="11" t="n">
        <f aca="false">IF(INDEX(MASTER_DATABASE!$A$4:$A$1000,ROW()-3)="","",INDEX(MASTER_DATABASE!$AQ$4:$AQ$1000,ROW()-3))</f>
        <v>130</v>
      </c>
    </row>
    <row r="122" customFormat="false" ht="46.25" hidden="false" customHeight="false" outlineLevel="0" collapsed="false">
      <c r="A122" s="11" t="str">
        <f aca="false">IF(INDEX(MASTER_DATABASE!$A$4:$A$1000,ROW()-3)="","",INDEX(MASTER_DATABASE!$A$4:$A$1000,ROW()-3)&amp;"")</f>
        <v>CSC-014</v>
      </c>
      <c r="B122" s="7" t="str">
        <f aca="false">IF(INDEX(MASTER_DATABASE!$A$4:$A$1000,ROW()-3)="","",INDEX(MASTER_DATABASE!$E$4:$E$1000,ROW()-3)&amp;"")</f>
        <v>PM Kisan Maan-Dhan (PM-KMY) Enrolment</v>
      </c>
      <c r="C122" s="7" t="str">
        <f aca="false">IF(INDEX(MASTER_DATABASE!$A$4:$A$1000,ROW()-3)="","",INDEX(MASTER_DATABASE!$F$4:$F$1000,ROW()-3)&amp;"")</f>
        <v>PM किसान मानधन (PM-KMY) नामांकन</v>
      </c>
      <c r="D122" s="7" t="str">
        <f aca="false">IF(INDEX(MASTER_DATABASE!$A$4:$A$1000,ROW()-3)="","",INDEX(MASTER_DATABASE!$AL$4:$AL$1000,ROW()-3)&amp;"")</f>
        <v>Common Service Centre (CSC)</v>
      </c>
      <c r="E122" s="7" t="str">
        <f aca="false">IF(INDEX(MASTER_DATABASE!$A$4:$A$1000,ROW()-3)="","",INDEX(MASTER_DATABASE!$G$4:$G$1000,ROW()-3)&amp;"")</f>
        <v>PM Kisan Maan-Dhan (PM-KMY) Enrolment through our Common Service Centre.</v>
      </c>
      <c r="F122" s="11" t="str">
        <f aca="false">IF(INDEX(MASTER_DATABASE!$A$4:$A$1000,ROW()-3)="","",INDEX(MASTER_DATABASE!$AP$4:$AP$1000,ROW()-3)&amp;"")</f>
        <v>🤝</v>
      </c>
      <c r="G12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2" s="7" t="str">
        <f aca="false">IF(INDEX(MASTER_DATABASE!$A$4:$A$1000,ROW()-3)="","",INDEX(MASTER_DATABASE!$J$4:$J$1000,ROW()-3)&amp;"")</f>
        <v>Please Confirm at Shop</v>
      </c>
      <c r="K122" s="7" t="str">
        <f aca="false">IF(INDEX(MASTER_DATABASE!$A$4:$A$1000,ROW()-3)="","",INDEX(MASTER_DATABASE!$M$4:$M$1000,ROW()-3)&amp;"")</f>
        <v>✓ Aadhaar Card
✓ Active Mobile Number
✓ Bank Passbook
✓ Nominee Details</v>
      </c>
      <c r="L122" s="7" t="str">
        <f aca="false">IF(INDEX(MASTER_DATABASE!$A$4:$A$1000,ROW()-3)="","",INDEX(MASTER_DATABASE!$Q$4:$Q$1000,ROW()-3)&amp;"")</f>
        <v>Depends on Department</v>
      </c>
      <c r="M122" s="11" t="str">
        <f aca="false">IF(INDEX(MASTER_DATABASE!$A$4:$A$1000,ROW()-3)="","",INDEX(MASTER_DATABASE!$AI$4:$AI$1000,ROW()-3)&amp;"")</f>
        <v>No</v>
      </c>
      <c r="N122" s="11" t="str">
        <f aca="false">IF(INDEX(MASTER_DATABASE!$A$4:$A$1000,ROW()-3)="","",INDEX(MASTER_DATABASE!$AJ$4:$AJ$1000,ROW()-3)&amp;"")</f>
        <v>No</v>
      </c>
      <c r="O122" s="11" t="str">
        <f aca="false">IF(INDEX(MASTER_DATABASE!$A$4:$A$1000,ROW()-3)="","",IF(INDEX(MASTER_DATABASE!$BE$4:$BE$1000,ROW()-3)="LIVE","Yes","No"))</f>
        <v>No</v>
      </c>
      <c r="P122" s="7" t="str">
        <f aca="false">IF(INDEX(MASTER_DATABASE!$A$4:$A$1000,ROW()-3)="","",INDEX(MASTER_DATABASE!$BG$4:$BG$1000,ROW()-3)&amp;"")</f>
        <v>Check Documents</v>
      </c>
      <c r="Q122" s="11" t="n">
        <f aca="false">IF(INDEX(MASTER_DATABASE!$A$4:$A$1000,ROW()-3)="","",INDEX(MASTER_DATABASE!$AQ$4:$AQ$1000,ROW()-3))</f>
        <v>140</v>
      </c>
    </row>
    <row r="123" customFormat="false" ht="23.85" hidden="false" customHeight="false" outlineLevel="0" collapsed="false">
      <c r="A123" s="11" t="str">
        <f aca="false">IF(INDEX(MASTER_DATABASE!$A$4:$A$1000,ROW()-3)="","",INDEX(MASTER_DATABASE!$A$4:$A$1000,ROW()-3)&amp;"")</f>
        <v>CSC-015</v>
      </c>
      <c r="B123" s="7" t="str">
        <f aca="false">IF(INDEX(MASTER_DATABASE!$A$4:$A$1000,ROW()-3)="","",INDEX(MASTER_DATABASE!$E$4:$E$1000,ROW()-3)&amp;"")</f>
        <v>PM Vishwakarma Registration</v>
      </c>
      <c r="C123" s="7" t="str">
        <f aca="false">IF(INDEX(MASTER_DATABASE!$A$4:$A$1000,ROW()-3)="","",INDEX(MASTER_DATABASE!$F$4:$F$1000,ROW()-3)&amp;"")</f>
        <v>PM विश्वकर्मा पंजीकरण</v>
      </c>
      <c r="D123" s="7" t="str">
        <f aca="false">IF(INDEX(MASTER_DATABASE!$A$4:$A$1000,ROW()-3)="","",INDEX(MASTER_DATABASE!$AL$4:$AL$1000,ROW()-3)&amp;"")</f>
        <v>Common Service Centre (CSC)</v>
      </c>
      <c r="E123" s="7" t="str">
        <f aca="false">IF(INDEX(MASTER_DATABASE!$A$4:$A$1000,ROW()-3)="","",INDEX(MASTER_DATABASE!$G$4:$G$1000,ROW()-3)&amp;"")</f>
        <v>PM Vishwakarma Registration through our Common Service Centre.</v>
      </c>
      <c r="F123" s="11" t="str">
        <f aca="false">IF(INDEX(MASTER_DATABASE!$A$4:$A$1000,ROW()-3)="","",INDEX(MASTER_DATABASE!$AP$4:$AP$1000,ROW()-3)&amp;"")</f>
        <v>🤝</v>
      </c>
      <c r="G12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3" s="7" t="str">
        <f aca="false">IF(INDEX(MASTER_DATABASE!$A$4:$A$1000,ROW()-3)="","",INDEX(MASTER_DATABASE!$J$4:$J$1000,ROW()-3)&amp;"")</f>
        <v>Depends on Portal – Confirm at Shop</v>
      </c>
      <c r="K123" s="7" t="str">
        <f aca="false">IF(INDEX(MASTER_DATABASE!$A$4:$A$1000,ROW()-3)="","",INDEX(MASTER_DATABASE!$M$4:$M$1000,ROW()-3)&amp;"")</f>
        <v>✓ Aadhaar Card
✓ Active Mobile Number</v>
      </c>
      <c r="L123" s="7" t="str">
        <f aca="false">IF(INDEX(MASTER_DATABASE!$A$4:$A$1000,ROW()-3)="","",INDEX(MASTER_DATABASE!$Q$4:$Q$1000,ROW()-3)&amp;"")</f>
        <v>Depends on Department</v>
      </c>
      <c r="M123" s="11" t="str">
        <f aca="false">IF(INDEX(MASTER_DATABASE!$A$4:$A$1000,ROW()-3)="","",INDEX(MASTER_DATABASE!$AI$4:$AI$1000,ROW()-3)&amp;"")</f>
        <v>No</v>
      </c>
      <c r="N123" s="11" t="str">
        <f aca="false">IF(INDEX(MASTER_DATABASE!$A$4:$A$1000,ROW()-3)="","",INDEX(MASTER_DATABASE!$AJ$4:$AJ$1000,ROW()-3)&amp;"")</f>
        <v>No</v>
      </c>
      <c r="O123" s="11" t="str">
        <f aca="false">IF(INDEX(MASTER_DATABASE!$A$4:$A$1000,ROW()-3)="","",IF(INDEX(MASTER_DATABASE!$BE$4:$BE$1000,ROW()-3)="LIVE","Yes","No"))</f>
        <v>No</v>
      </c>
      <c r="P123" s="7" t="str">
        <f aca="false">IF(INDEX(MASTER_DATABASE!$A$4:$A$1000,ROW()-3)="","",INDEX(MASTER_DATABASE!$BG$4:$BG$1000,ROW()-3)&amp;"")</f>
        <v>Check Documents</v>
      </c>
      <c r="Q123" s="11" t="n">
        <f aca="false">IF(INDEX(MASTER_DATABASE!$A$4:$A$1000,ROW()-3)="","",INDEX(MASTER_DATABASE!$AQ$4:$AQ$1000,ROW()-3))</f>
        <v>150</v>
      </c>
    </row>
    <row r="124" customFormat="false" ht="35.05" hidden="false" customHeight="false" outlineLevel="0" collapsed="false">
      <c r="A124" s="11" t="str">
        <f aca="false">IF(INDEX(MASTER_DATABASE!$A$4:$A$1000,ROW()-3)="","",INDEX(MASTER_DATABASE!$A$4:$A$1000,ROW()-3)&amp;"")</f>
        <v>CSC-016</v>
      </c>
      <c r="B124" s="7" t="str">
        <f aca="false">IF(INDEX(MASTER_DATABASE!$A$4:$A$1000,ROW()-3)="","",INDEX(MASTER_DATABASE!$E$4:$E$1000,ROW()-3)&amp;"")</f>
        <v>PM Surya Ghar (Rooftop Solar) Registration Assistance</v>
      </c>
      <c r="C124" s="7" t="str">
        <f aca="false">IF(INDEX(MASTER_DATABASE!$A$4:$A$1000,ROW()-3)="","",INDEX(MASTER_DATABASE!$F$4:$F$1000,ROW()-3)&amp;"")</f>
        <v>PM सूर्य घर (रूफटॉप सोलर) पंजीकरण सहायता</v>
      </c>
      <c r="D124" s="7" t="str">
        <f aca="false">IF(INDEX(MASTER_DATABASE!$A$4:$A$1000,ROW()-3)="","",INDEX(MASTER_DATABASE!$AL$4:$AL$1000,ROW()-3)&amp;"")</f>
        <v>Common Service Centre (CSC)</v>
      </c>
      <c r="E124" s="7" t="str">
        <f aca="false">IF(INDEX(MASTER_DATABASE!$A$4:$A$1000,ROW()-3)="","",INDEX(MASTER_DATABASE!$G$4:$G$1000,ROW()-3)&amp;"")</f>
        <v>PM Surya Ghar (Rooftop Solar) Registration Assistance through our Common Service Centre.</v>
      </c>
      <c r="F124" s="11" t="str">
        <f aca="false">IF(INDEX(MASTER_DATABASE!$A$4:$A$1000,ROW()-3)="","",INDEX(MASTER_DATABASE!$AP$4:$AP$1000,ROW()-3)&amp;"")</f>
        <v>🤝</v>
      </c>
      <c r="G12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4" s="7" t="str">
        <f aca="false">IF(INDEX(MASTER_DATABASE!$A$4:$A$1000,ROW()-3)="","",INDEX(MASTER_DATABASE!$J$4:$J$1000,ROW()-3)&amp;"")</f>
        <v>To Be Confirmed</v>
      </c>
      <c r="K124" s="7" t="str">
        <f aca="false">IF(INDEX(MASTER_DATABASE!$A$4:$A$1000,ROW()-3)="","",INDEX(MASTER_DATABASE!$M$4:$M$1000,ROW()-3)&amp;"")</f>
        <v>✓ Aadhaar Card
✓ Active Mobile Number</v>
      </c>
      <c r="L124" s="7" t="str">
        <f aca="false">IF(INDEX(MASTER_DATABASE!$A$4:$A$1000,ROW()-3)="","",INDEX(MASTER_DATABASE!$Q$4:$Q$1000,ROW()-3)&amp;"")</f>
        <v>Depends on Department</v>
      </c>
      <c r="M124" s="11" t="str">
        <f aca="false">IF(INDEX(MASTER_DATABASE!$A$4:$A$1000,ROW()-3)="","",INDEX(MASTER_DATABASE!$AI$4:$AI$1000,ROW()-3)&amp;"")</f>
        <v>No</v>
      </c>
      <c r="N124" s="11" t="str">
        <f aca="false">IF(INDEX(MASTER_DATABASE!$A$4:$A$1000,ROW()-3)="","",INDEX(MASTER_DATABASE!$AJ$4:$AJ$1000,ROW()-3)&amp;"")</f>
        <v>No</v>
      </c>
      <c r="O124" s="11" t="str">
        <f aca="false">IF(INDEX(MASTER_DATABASE!$A$4:$A$1000,ROW()-3)="","",IF(INDEX(MASTER_DATABASE!$BE$4:$BE$1000,ROW()-3)="LIVE","Yes","No"))</f>
        <v>No</v>
      </c>
      <c r="P124" s="7" t="str">
        <f aca="false">IF(INDEX(MASTER_DATABASE!$A$4:$A$1000,ROW()-3)="","",INDEX(MASTER_DATABASE!$BG$4:$BG$1000,ROW()-3)&amp;"")</f>
        <v>Check Documents</v>
      </c>
      <c r="Q124" s="11" t="n">
        <f aca="false">IF(INDEX(MASTER_DATABASE!$A$4:$A$1000,ROW()-3)="","",INDEX(MASTER_DATABASE!$AQ$4:$AQ$1000,ROW()-3))</f>
        <v>160</v>
      </c>
    </row>
    <row r="125" customFormat="false" ht="23.85" hidden="false" customHeight="false" outlineLevel="0" collapsed="false">
      <c r="A125" s="11" t="str">
        <f aca="false">IF(INDEX(MASTER_DATABASE!$A$4:$A$1000,ROW()-3)="","",INDEX(MASTER_DATABASE!$A$4:$A$1000,ROW()-3)&amp;"")</f>
        <v>CSC-017</v>
      </c>
      <c r="B125" s="7" t="str">
        <f aca="false">IF(INDEX(MASTER_DATABASE!$A$4:$A$1000,ROW()-3)="","",INDEX(MASTER_DATABASE!$E$4:$E$1000,ROW()-3)&amp;"")</f>
        <v>PM SVANidhi Application Assistance</v>
      </c>
      <c r="C125" s="7" t="str">
        <f aca="false">IF(INDEX(MASTER_DATABASE!$A$4:$A$1000,ROW()-3)="","",INDEX(MASTER_DATABASE!$F$4:$F$1000,ROW()-3)&amp;"")</f>
        <v>PM स्वनिधि आवेदन सहायता</v>
      </c>
      <c r="D125" s="7" t="str">
        <f aca="false">IF(INDEX(MASTER_DATABASE!$A$4:$A$1000,ROW()-3)="","",INDEX(MASTER_DATABASE!$AL$4:$AL$1000,ROW()-3)&amp;"")</f>
        <v>Common Service Centre (CSC)</v>
      </c>
      <c r="E125" s="7" t="str">
        <f aca="false">IF(INDEX(MASTER_DATABASE!$A$4:$A$1000,ROW()-3)="","",INDEX(MASTER_DATABASE!$G$4:$G$1000,ROW()-3)&amp;"")</f>
        <v>PM SVANidhi Application Assistance through our Common Service Centre.</v>
      </c>
      <c r="F125" s="11" t="str">
        <f aca="false">IF(INDEX(MASTER_DATABASE!$A$4:$A$1000,ROW()-3)="","",INDEX(MASTER_DATABASE!$AP$4:$AP$1000,ROW()-3)&amp;"")</f>
        <v>🤝</v>
      </c>
      <c r="G12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5" s="7" t="str">
        <f aca="false">IF(INDEX(MASTER_DATABASE!$A$4:$A$1000,ROW()-3)="","",INDEX(MASTER_DATABASE!$J$4:$J$1000,ROW()-3)&amp;"")</f>
        <v>To Be Confirmed</v>
      </c>
      <c r="K125" s="7" t="str">
        <f aca="false">IF(INDEX(MASTER_DATABASE!$A$4:$A$1000,ROW()-3)="","",INDEX(MASTER_DATABASE!$M$4:$M$1000,ROW()-3)&amp;"")</f>
        <v>✓ Aadhaar Card
✓ Active Mobile Number</v>
      </c>
      <c r="L125" s="7" t="str">
        <f aca="false">IF(INDEX(MASTER_DATABASE!$A$4:$A$1000,ROW()-3)="","",INDEX(MASTER_DATABASE!$Q$4:$Q$1000,ROW()-3)&amp;"")</f>
        <v>Depends on Department</v>
      </c>
      <c r="M125" s="11" t="str">
        <f aca="false">IF(INDEX(MASTER_DATABASE!$A$4:$A$1000,ROW()-3)="","",INDEX(MASTER_DATABASE!$AI$4:$AI$1000,ROW()-3)&amp;"")</f>
        <v>No</v>
      </c>
      <c r="N125" s="11" t="str">
        <f aca="false">IF(INDEX(MASTER_DATABASE!$A$4:$A$1000,ROW()-3)="","",INDEX(MASTER_DATABASE!$AJ$4:$AJ$1000,ROW()-3)&amp;"")</f>
        <v>No</v>
      </c>
      <c r="O125" s="11" t="str">
        <f aca="false">IF(INDEX(MASTER_DATABASE!$A$4:$A$1000,ROW()-3)="","",IF(INDEX(MASTER_DATABASE!$BE$4:$BE$1000,ROW()-3)="LIVE","Yes","No"))</f>
        <v>No</v>
      </c>
      <c r="P125" s="7" t="str">
        <f aca="false">IF(INDEX(MASTER_DATABASE!$A$4:$A$1000,ROW()-3)="","",INDEX(MASTER_DATABASE!$BG$4:$BG$1000,ROW()-3)&amp;"")</f>
        <v>Check Documents</v>
      </c>
      <c r="Q125" s="11" t="n">
        <f aca="false">IF(INDEX(MASTER_DATABASE!$A$4:$A$1000,ROW()-3)="","",INDEX(MASTER_DATABASE!$AQ$4:$AQ$1000,ROW()-3))</f>
        <v>170</v>
      </c>
    </row>
    <row r="126" customFormat="false" ht="23.85" hidden="false" customHeight="false" outlineLevel="0" collapsed="false">
      <c r="A126" s="11" t="str">
        <f aca="false">IF(INDEX(MASTER_DATABASE!$A$4:$A$1000,ROW()-3)="","",INDEX(MASTER_DATABASE!$A$4:$A$1000,ROW()-3)&amp;"")</f>
        <v>CSC-018</v>
      </c>
      <c r="B126" s="7" t="str">
        <f aca="false">IF(INDEX(MASTER_DATABASE!$A$4:$A$1000,ROW()-3)="","",INDEX(MASTER_DATABASE!$E$4:$E$1000,ROW()-3)&amp;"")</f>
        <v>CSC Digipay – AEPS Cash Withdrawal</v>
      </c>
      <c r="C126" s="7" t="str">
        <f aca="false">IF(INDEX(MASTER_DATABASE!$A$4:$A$1000,ROW()-3)="","",INDEX(MASTER_DATABASE!$F$4:$F$1000,ROW()-3)&amp;"")</f>
        <v>CSC डिजीपे – AEPS नकद निकासी</v>
      </c>
      <c r="D126" s="7" t="str">
        <f aca="false">IF(INDEX(MASTER_DATABASE!$A$4:$A$1000,ROW()-3)="","",INDEX(MASTER_DATABASE!$AL$4:$AL$1000,ROW()-3)&amp;"")</f>
        <v>Common Service Centre (CSC)</v>
      </c>
      <c r="E126" s="7" t="str">
        <f aca="false">IF(INDEX(MASTER_DATABASE!$A$4:$A$1000,ROW()-3)="","",INDEX(MASTER_DATABASE!$G$4:$G$1000,ROW()-3)&amp;"")</f>
        <v>CSC Digipay – AEPS Cash Withdrawal through our Common Service Centre.</v>
      </c>
      <c r="F126" s="11" t="str">
        <f aca="false">IF(INDEX(MASTER_DATABASE!$A$4:$A$1000,ROW()-3)="","",INDEX(MASTER_DATABASE!$AP$4:$AP$1000,ROW()-3)&amp;"")</f>
        <v>🖥️</v>
      </c>
      <c r="G12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6" s="7" t="str">
        <f aca="false">IF(INDEX(MASTER_DATABASE!$A$4:$A$1000,ROW()-3)="","",INDEX(MASTER_DATABASE!$J$4:$J$1000,ROW()-3)&amp;"")</f>
        <v>Please Confirm at Shop</v>
      </c>
      <c r="K126" s="7" t="str">
        <f aca="false">IF(INDEX(MASTER_DATABASE!$A$4:$A$1000,ROW()-3)="","",INDEX(MASTER_DATABASE!$M$4:$M$1000,ROW()-3)&amp;"")</f>
        <v>✓ Aadhaar Card
✓ Customer Presence for Biometrics</v>
      </c>
      <c r="L126" s="7" t="str">
        <f aca="false">IF(INDEX(MASTER_DATABASE!$A$4:$A$1000,ROW()-3)="","",INDEX(MASTER_DATABASE!$Q$4:$Q$1000,ROW()-3)&amp;"")</f>
        <v>Depends on Department</v>
      </c>
      <c r="M126" s="11" t="str">
        <f aca="false">IF(INDEX(MASTER_DATABASE!$A$4:$A$1000,ROW()-3)="","",INDEX(MASTER_DATABASE!$AI$4:$AI$1000,ROW()-3)&amp;"")</f>
        <v>No</v>
      </c>
      <c r="N126" s="11" t="str">
        <f aca="false">IF(INDEX(MASTER_DATABASE!$A$4:$A$1000,ROW()-3)="","",INDEX(MASTER_DATABASE!$AJ$4:$AJ$1000,ROW()-3)&amp;"")</f>
        <v>No</v>
      </c>
      <c r="O126" s="11" t="str">
        <f aca="false">IF(INDEX(MASTER_DATABASE!$A$4:$A$1000,ROW()-3)="","",IF(INDEX(MASTER_DATABASE!$BE$4:$BE$1000,ROW()-3)="LIVE","Yes","No"))</f>
        <v>No</v>
      </c>
      <c r="P126" s="7" t="str">
        <f aca="false">IF(INDEX(MASTER_DATABASE!$A$4:$A$1000,ROW()-3)="","",INDEX(MASTER_DATABASE!$BG$4:$BG$1000,ROW()-3)&amp;"")</f>
        <v>Check Documents</v>
      </c>
      <c r="Q126" s="11" t="n">
        <f aca="false">IF(INDEX(MASTER_DATABASE!$A$4:$A$1000,ROW()-3)="","",INDEX(MASTER_DATABASE!$AQ$4:$AQ$1000,ROW()-3))</f>
        <v>180</v>
      </c>
    </row>
    <row r="127" customFormat="false" ht="23.85" hidden="false" customHeight="false" outlineLevel="0" collapsed="false">
      <c r="A127" s="11" t="str">
        <f aca="false">IF(INDEX(MASTER_DATABASE!$A$4:$A$1000,ROW()-3)="","",INDEX(MASTER_DATABASE!$A$4:$A$1000,ROW()-3)&amp;"")</f>
        <v>CSC-019</v>
      </c>
      <c r="B127" s="7" t="str">
        <f aca="false">IF(INDEX(MASTER_DATABASE!$A$4:$A$1000,ROW()-3)="","",INDEX(MASTER_DATABASE!$E$4:$E$1000,ROW()-3)&amp;"")</f>
        <v>CSC Digipay – Money Transfer</v>
      </c>
      <c r="C127" s="7" t="str">
        <f aca="false">IF(INDEX(MASTER_DATABASE!$A$4:$A$1000,ROW()-3)="","",INDEX(MASTER_DATABASE!$F$4:$F$1000,ROW()-3)&amp;"")</f>
        <v>CSC डिजीपे – मनी ट्रांसफर</v>
      </c>
      <c r="D127" s="7" t="str">
        <f aca="false">IF(INDEX(MASTER_DATABASE!$A$4:$A$1000,ROW()-3)="","",INDEX(MASTER_DATABASE!$AL$4:$AL$1000,ROW()-3)&amp;"")</f>
        <v>Common Service Centre (CSC)</v>
      </c>
      <c r="E127" s="7" t="str">
        <f aca="false">IF(INDEX(MASTER_DATABASE!$A$4:$A$1000,ROW()-3)="","",INDEX(MASTER_DATABASE!$G$4:$G$1000,ROW()-3)&amp;"")</f>
        <v>CSC Digipay – Money Transfer through our Common Service Centre.</v>
      </c>
      <c r="F127" s="11" t="str">
        <f aca="false">IF(INDEX(MASTER_DATABASE!$A$4:$A$1000,ROW()-3)="","",INDEX(MASTER_DATABASE!$AP$4:$AP$1000,ROW()-3)&amp;"")</f>
        <v>🖥️</v>
      </c>
      <c r="G12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7" s="7" t="str">
        <f aca="false">IF(INDEX(MASTER_DATABASE!$A$4:$A$1000,ROW()-3)="","",INDEX(MASTER_DATABASE!$J$4:$J$1000,ROW()-3)&amp;"")</f>
        <v>Please Confirm at Shop</v>
      </c>
      <c r="K127" s="7" t="str">
        <f aca="false">IF(INDEX(MASTER_DATABASE!$A$4:$A$1000,ROW()-3)="","",INDEX(MASTER_DATABASE!$M$4:$M$1000,ROW()-3)&amp;"")</f>
        <v>✓ Aadhaar Card
✓ Customer Presence for Biometrics</v>
      </c>
      <c r="L127" s="7" t="str">
        <f aca="false">IF(INDEX(MASTER_DATABASE!$A$4:$A$1000,ROW()-3)="","",INDEX(MASTER_DATABASE!$Q$4:$Q$1000,ROW()-3)&amp;"")</f>
        <v>Depends on Department</v>
      </c>
      <c r="M127" s="11" t="str">
        <f aca="false">IF(INDEX(MASTER_DATABASE!$A$4:$A$1000,ROW()-3)="","",INDEX(MASTER_DATABASE!$AI$4:$AI$1000,ROW()-3)&amp;"")</f>
        <v>No</v>
      </c>
      <c r="N127" s="11" t="str">
        <f aca="false">IF(INDEX(MASTER_DATABASE!$A$4:$A$1000,ROW()-3)="","",INDEX(MASTER_DATABASE!$AJ$4:$AJ$1000,ROW()-3)&amp;"")</f>
        <v>No</v>
      </c>
      <c r="O127" s="11" t="str">
        <f aca="false">IF(INDEX(MASTER_DATABASE!$A$4:$A$1000,ROW()-3)="","",IF(INDEX(MASTER_DATABASE!$BE$4:$BE$1000,ROW()-3)="LIVE","Yes","No"))</f>
        <v>No</v>
      </c>
      <c r="P127" s="7" t="str">
        <f aca="false">IF(INDEX(MASTER_DATABASE!$A$4:$A$1000,ROW()-3)="","",INDEX(MASTER_DATABASE!$BG$4:$BG$1000,ROW()-3)&amp;"")</f>
        <v>Check Documents</v>
      </c>
      <c r="Q127" s="11" t="n">
        <f aca="false">IF(INDEX(MASTER_DATABASE!$A$4:$A$1000,ROW()-3)="","",INDEX(MASTER_DATABASE!$AQ$4:$AQ$1000,ROW()-3))</f>
        <v>190</v>
      </c>
    </row>
    <row r="128" customFormat="false" ht="23.85" hidden="false" customHeight="false" outlineLevel="0" collapsed="false">
      <c r="A128" s="11" t="str">
        <f aca="false">IF(INDEX(MASTER_DATABASE!$A$4:$A$1000,ROW()-3)="","",INDEX(MASTER_DATABASE!$A$4:$A$1000,ROW()-3)&amp;"")</f>
        <v>CSC-020</v>
      </c>
      <c r="B128" s="7" t="str">
        <f aca="false">IF(INDEX(MASTER_DATABASE!$A$4:$A$1000,ROW()-3)="","",INDEX(MASTER_DATABASE!$E$4:$E$1000,ROW()-3)&amp;"")</f>
        <v>CSC Digipay – Micro ATM</v>
      </c>
      <c r="C128" s="7" t="str">
        <f aca="false">IF(INDEX(MASTER_DATABASE!$A$4:$A$1000,ROW()-3)="","",INDEX(MASTER_DATABASE!$F$4:$F$1000,ROW()-3)&amp;"")</f>
        <v>CSC डिजीपे – Micro ATM</v>
      </c>
      <c r="D128" s="7" t="str">
        <f aca="false">IF(INDEX(MASTER_DATABASE!$A$4:$A$1000,ROW()-3)="","",INDEX(MASTER_DATABASE!$AL$4:$AL$1000,ROW()-3)&amp;"")</f>
        <v>Common Service Centre (CSC)</v>
      </c>
      <c r="E128" s="7" t="str">
        <f aca="false">IF(INDEX(MASTER_DATABASE!$A$4:$A$1000,ROW()-3)="","",INDEX(MASTER_DATABASE!$G$4:$G$1000,ROW()-3)&amp;"")</f>
        <v>CSC Digipay – Micro ATM through our Common Service Centre.</v>
      </c>
      <c r="F128" s="11" t="str">
        <f aca="false">IF(INDEX(MASTER_DATABASE!$A$4:$A$1000,ROW()-3)="","",INDEX(MASTER_DATABASE!$AP$4:$AP$1000,ROW()-3)&amp;"")</f>
        <v>🖥️</v>
      </c>
      <c r="G12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8" s="7" t="str">
        <f aca="false">IF(INDEX(MASTER_DATABASE!$A$4:$A$1000,ROW()-3)="","",INDEX(MASTER_DATABASE!$J$4:$J$1000,ROW()-3)&amp;"")</f>
        <v>To Be Confirmed</v>
      </c>
      <c r="K128" s="7" t="str">
        <f aca="false">IF(INDEX(MASTER_DATABASE!$A$4:$A$1000,ROW()-3)="","",INDEX(MASTER_DATABASE!$M$4:$M$1000,ROW()-3)&amp;"")</f>
        <v>✓ Aadhaar Card
✓ Customer Presence for Biometrics</v>
      </c>
      <c r="L128" s="7" t="str">
        <f aca="false">IF(INDEX(MASTER_DATABASE!$A$4:$A$1000,ROW()-3)="","",INDEX(MASTER_DATABASE!$Q$4:$Q$1000,ROW()-3)&amp;"")</f>
        <v>Depends on Department</v>
      </c>
      <c r="M128" s="11" t="str">
        <f aca="false">IF(INDEX(MASTER_DATABASE!$A$4:$A$1000,ROW()-3)="","",INDEX(MASTER_DATABASE!$AI$4:$AI$1000,ROW()-3)&amp;"")</f>
        <v>No</v>
      </c>
      <c r="N128" s="11" t="str">
        <f aca="false">IF(INDEX(MASTER_DATABASE!$A$4:$A$1000,ROW()-3)="","",INDEX(MASTER_DATABASE!$AJ$4:$AJ$1000,ROW()-3)&amp;"")</f>
        <v>No</v>
      </c>
      <c r="O128" s="11" t="str">
        <f aca="false">IF(INDEX(MASTER_DATABASE!$A$4:$A$1000,ROW()-3)="","",IF(INDEX(MASTER_DATABASE!$BE$4:$BE$1000,ROW()-3)="LIVE","Yes","No"))</f>
        <v>No</v>
      </c>
      <c r="P128" s="7" t="str">
        <f aca="false">IF(INDEX(MASTER_DATABASE!$A$4:$A$1000,ROW()-3)="","",INDEX(MASTER_DATABASE!$BG$4:$BG$1000,ROW()-3)&amp;"")</f>
        <v>Check Documents</v>
      </c>
      <c r="Q128" s="11" t="n">
        <f aca="false">IF(INDEX(MASTER_DATABASE!$A$4:$A$1000,ROW()-3)="","",INDEX(MASTER_DATABASE!$AQ$4:$AQ$1000,ROW()-3))</f>
        <v>200</v>
      </c>
    </row>
    <row r="129" customFormat="false" ht="35.05" hidden="false" customHeight="false" outlineLevel="0" collapsed="false">
      <c r="A129" s="11" t="str">
        <f aca="false">IF(INDEX(MASTER_DATABASE!$A$4:$A$1000,ROW()-3)="","",INDEX(MASTER_DATABASE!$A$4:$A$1000,ROW()-3)&amp;"")</f>
        <v>CSC-021</v>
      </c>
      <c r="B129" s="7" t="str">
        <f aca="false">IF(INDEX(MASTER_DATABASE!$A$4:$A$1000,ROW()-3)="","",INDEX(MASTER_DATABASE!$E$4:$E$1000,ROW()-3)&amp;"")</f>
        <v>Loan Application Assistance (Mudra / PMEGP etc.)</v>
      </c>
      <c r="C129" s="7" t="str">
        <f aca="false">IF(INDEX(MASTER_DATABASE!$A$4:$A$1000,ROW()-3)="","",INDEX(MASTER_DATABASE!$F$4:$F$1000,ROW()-3)&amp;"")</f>
        <v>ऋण आवेदन सहायता (मुद्रा / PMEGP आदि)</v>
      </c>
      <c r="D129" s="7" t="str">
        <f aca="false">IF(INDEX(MASTER_DATABASE!$A$4:$A$1000,ROW()-3)="","",INDEX(MASTER_DATABASE!$AL$4:$AL$1000,ROW()-3)&amp;"")</f>
        <v>Common Service Centre (CSC)</v>
      </c>
      <c r="E129" s="7" t="str">
        <f aca="false">IF(INDEX(MASTER_DATABASE!$A$4:$A$1000,ROW()-3)="","",INDEX(MASTER_DATABASE!$G$4:$G$1000,ROW()-3)&amp;"")</f>
        <v>Loan Application Assistance (Mudra / PMEGP etc.) through our Common Service Centre.</v>
      </c>
      <c r="F129" s="11" t="str">
        <f aca="false">IF(INDEX(MASTER_DATABASE!$A$4:$A$1000,ROW()-3)="","",INDEX(MASTER_DATABASE!$AP$4:$AP$1000,ROW()-3)&amp;"")</f>
        <v>🖥️</v>
      </c>
      <c r="G12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2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2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29" s="7" t="str">
        <f aca="false">IF(INDEX(MASTER_DATABASE!$A$4:$A$1000,ROW()-3)="","",INDEX(MASTER_DATABASE!$J$4:$J$1000,ROW()-3)&amp;"")</f>
        <v>To Be Confirmed</v>
      </c>
      <c r="K129" s="7" t="str">
        <f aca="false">IF(INDEX(MASTER_DATABASE!$A$4:$A$1000,ROW()-3)="","",INDEX(MASTER_DATABASE!$M$4:$M$1000,ROW()-3)&amp;"")</f>
        <v>✓ Aadhaar Card
✓ Active Mobile Number
✓ Bank Passbook</v>
      </c>
      <c r="L129" s="7" t="str">
        <f aca="false">IF(INDEX(MASTER_DATABASE!$A$4:$A$1000,ROW()-3)="","",INDEX(MASTER_DATABASE!$Q$4:$Q$1000,ROW()-3)&amp;"")</f>
        <v>Depends on Department</v>
      </c>
      <c r="M129" s="11" t="str">
        <f aca="false">IF(INDEX(MASTER_DATABASE!$A$4:$A$1000,ROW()-3)="","",INDEX(MASTER_DATABASE!$AI$4:$AI$1000,ROW()-3)&amp;"")</f>
        <v>No</v>
      </c>
      <c r="N129" s="11" t="str">
        <f aca="false">IF(INDEX(MASTER_DATABASE!$A$4:$A$1000,ROW()-3)="","",INDEX(MASTER_DATABASE!$AJ$4:$AJ$1000,ROW()-3)&amp;"")</f>
        <v>No</v>
      </c>
      <c r="O129" s="11" t="str">
        <f aca="false">IF(INDEX(MASTER_DATABASE!$A$4:$A$1000,ROW()-3)="","",IF(INDEX(MASTER_DATABASE!$BE$4:$BE$1000,ROW()-3)="LIVE","Yes","No"))</f>
        <v>No</v>
      </c>
      <c r="P129" s="7" t="str">
        <f aca="false">IF(INDEX(MASTER_DATABASE!$A$4:$A$1000,ROW()-3)="","",INDEX(MASTER_DATABASE!$BG$4:$BG$1000,ROW()-3)&amp;"")</f>
        <v>Check Documents</v>
      </c>
      <c r="Q129" s="11" t="n">
        <f aca="false">IF(INDEX(MASTER_DATABASE!$A$4:$A$1000,ROW()-3)="","",INDEX(MASTER_DATABASE!$AQ$4:$AQ$1000,ROW()-3))</f>
        <v>210</v>
      </c>
    </row>
    <row r="130" customFormat="false" ht="46.25" hidden="false" customHeight="false" outlineLevel="0" collapsed="false">
      <c r="A130" s="11" t="str">
        <f aca="false">IF(INDEX(MASTER_DATABASE!$A$4:$A$1000,ROW()-3)="","",INDEX(MASTER_DATABASE!$A$4:$A$1000,ROW()-3)&amp;"")</f>
        <v>CSC-022</v>
      </c>
      <c r="B130" s="7" t="str">
        <f aca="false">IF(INDEX(MASTER_DATABASE!$A$4:$A$1000,ROW()-3)="","",INDEX(MASTER_DATABASE!$E$4:$E$1000,ROW()-3)&amp;"")</f>
        <v>Life Insurance – New Policy</v>
      </c>
      <c r="C130" s="7" t="str">
        <f aca="false">IF(INDEX(MASTER_DATABASE!$A$4:$A$1000,ROW()-3)="","",INDEX(MASTER_DATABASE!$F$4:$F$1000,ROW()-3)&amp;"")</f>
        <v>जीवन बीमा – नई पॉलिसी</v>
      </c>
      <c r="D130" s="7" t="str">
        <f aca="false">IF(INDEX(MASTER_DATABASE!$A$4:$A$1000,ROW()-3)="","",INDEX(MASTER_DATABASE!$AL$4:$AL$1000,ROW()-3)&amp;"")</f>
        <v>Common Service Centre (CSC)</v>
      </c>
      <c r="E130" s="7" t="str">
        <f aca="false">IF(INDEX(MASTER_DATABASE!$A$4:$A$1000,ROW()-3)="","",INDEX(MASTER_DATABASE!$G$4:$G$1000,ROW()-3)&amp;"")</f>
        <v>Life Insurance – New Policy through our Common Service Centre.</v>
      </c>
      <c r="F130" s="11" t="str">
        <f aca="false">IF(INDEX(MASTER_DATABASE!$A$4:$A$1000,ROW()-3)="","",INDEX(MASTER_DATABASE!$AP$4:$AP$1000,ROW()-3)&amp;"")</f>
        <v>🛡️</v>
      </c>
      <c r="G13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0" s="7" t="str">
        <f aca="false">IF(INDEX(MASTER_DATABASE!$A$4:$A$1000,ROW()-3)="","",INDEX(MASTER_DATABASE!$J$4:$J$1000,ROW()-3)&amp;"")</f>
        <v>Please Confirm at Shop</v>
      </c>
      <c r="K130" s="7" t="str">
        <f aca="false">IF(INDEX(MASTER_DATABASE!$A$4:$A$1000,ROW()-3)="","",INDEX(MASTER_DATABASE!$M$4:$M$1000,ROW()-3)&amp;"")</f>
        <v>✓ Aadhaar Card
✓ Active Mobile Number
✓ Bank Passbook
✓ Nominee Details</v>
      </c>
      <c r="L130" s="7" t="str">
        <f aca="false">IF(INDEX(MASTER_DATABASE!$A$4:$A$1000,ROW()-3)="","",INDEX(MASTER_DATABASE!$Q$4:$Q$1000,ROW()-3)&amp;"")</f>
        <v>Depends on Department</v>
      </c>
      <c r="M130" s="11" t="str">
        <f aca="false">IF(INDEX(MASTER_DATABASE!$A$4:$A$1000,ROW()-3)="","",INDEX(MASTER_DATABASE!$AI$4:$AI$1000,ROW()-3)&amp;"")</f>
        <v>No</v>
      </c>
      <c r="N130" s="11" t="str">
        <f aca="false">IF(INDEX(MASTER_DATABASE!$A$4:$A$1000,ROW()-3)="","",INDEX(MASTER_DATABASE!$AJ$4:$AJ$1000,ROW()-3)&amp;"")</f>
        <v>No</v>
      </c>
      <c r="O130" s="11" t="str">
        <f aca="false">IF(INDEX(MASTER_DATABASE!$A$4:$A$1000,ROW()-3)="","",IF(INDEX(MASTER_DATABASE!$BE$4:$BE$1000,ROW()-3)="LIVE","Yes","No"))</f>
        <v>No</v>
      </c>
      <c r="P130" s="7" t="str">
        <f aca="false">IF(INDEX(MASTER_DATABASE!$A$4:$A$1000,ROW()-3)="","",INDEX(MASTER_DATABASE!$BG$4:$BG$1000,ROW()-3)&amp;"")</f>
        <v>Check Documents</v>
      </c>
      <c r="Q130" s="11" t="n">
        <f aca="false">IF(INDEX(MASTER_DATABASE!$A$4:$A$1000,ROW()-3)="","",INDEX(MASTER_DATABASE!$AQ$4:$AQ$1000,ROW()-3))</f>
        <v>220</v>
      </c>
    </row>
    <row r="131" customFormat="false" ht="46.25" hidden="false" customHeight="false" outlineLevel="0" collapsed="false">
      <c r="A131" s="11" t="str">
        <f aca="false">IF(INDEX(MASTER_DATABASE!$A$4:$A$1000,ROW()-3)="","",INDEX(MASTER_DATABASE!$A$4:$A$1000,ROW()-3)&amp;"")</f>
        <v>CSC-023</v>
      </c>
      <c r="B131" s="7" t="str">
        <f aca="false">IF(INDEX(MASTER_DATABASE!$A$4:$A$1000,ROW()-3)="","",INDEX(MASTER_DATABASE!$E$4:$E$1000,ROW()-3)&amp;"")</f>
        <v>Health Insurance – New Policy</v>
      </c>
      <c r="C131" s="7" t="str">
        <f aca="false">IF(INDEX(MASTER_DATABASE!$A$4:$A$1000,ROW()-3)="","",INDEX(MASTER_DATABASE!$F$4:$F$1000,ROW()-3)&amp;"")</f>
        <v>स्वास्थ्य बीमा – नई पॉलिसी</v>
      </c>
      <c r="D131" s="7" t="str">
        <f aca="false">IF(INDEX(MASTER_DATABASE!$A$4:$A$1000,ROW()-3)="","",INDEX(MASTER_DATABASE!$AL$4:$AL$1000,ROW()-3)&amp;"")</f>
        <v>Common Service Centre (CSC)</v>
      </c>
      <c r="E131" s="7" t="str">
        <f aca="false">IF(INDEX(MASTER_DATABASE!$A$4:$A$1000,ROW()-3)="","",INDEX(MASTER_DATABASE!$G$4:$G$1000,ROW()-3)&amp;"")</f>
        <v>Health Insurance – New Policy through our Common Service Centre.</v>
      </c>
      <c r="F131" s="11" t="str">
        <f aca="false">IF(INDEX(MASTER_DATABASE!$A$4:$A$1000,ROW()-3)="","",INDEX(MASTER_DATABASE!$AP$4:$AP$1000,ROW()-3)&amp;"")</f>
        <v>🛡️</v>
      </c>
      <c r="G13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1" s="7" t="str">
        <f aca="false">IF(INDEX(MASTER_DATABASE!$A$4:$A$1000,ROW()-3)="","",INDEX(MASTER_DATABASE!$J$4:$J$1000,ROW()-3)&amp;"")</f>
        <v>Please Confirm at Shop</v>
      </c>
      <c r="K131" s="7" t="str">
        <f aca="false">IF(INDEX(MASTER_DATABASE!$A$4:$A$1000,ROW()-3)="","",INDEX(MASTER_DATABASE!$M$4:$M$1000,ROW()-3)&amp;"")</f>
        <v>✓ Aadhaar Card
✓ Active Mobile Number
✓ Bank Passbook
✓ Nominee Details</v>
      </c>
      <c r="L131" s="7" t="str">
        <f aca="false">IF(INDEX(MASTER_DATABASE!$A$4:$A$1000,ROW()-3)="","",INDEX(MASTER_DATABASE!$Q$4:$Q$1000,ROW()-3)&amp;"")</f>
        <v>Depends on Department</v>
      </c>
      <c r="M131" s="11" t="str">
        <f aca="false">IF(INDEX(MASTER_DATABASE!$A$4:$A$1000,ROW()-3)="","",INDEX(MASTER_DATABASE!$AI$4:$AI$1000,ROW()-3)&amp;"")</f>
        <v>No</v>
      </c>
      <c r="N131" s="11" t="str">
        <f aca="false">IF(INDEX(MASTER_DATABASE!$A$4:$A$1000,ROW()-3)="","",INDEX(MASTER_DATABASE!$AJ$4:$AJ$1000,ROW()-3)&amp;"")</f>
        <v>No</v>
      </c>
      <c r="O131" s="11" t="str">
        <f aca="false">IF(INDEX(MASTER_DATABASE!$A$4:$A$1000,ROW()-3)="","",IF(INDEX(MASTER_DATABASE!$BE$4:$BE$1000,ROW()-3)="LIVE","Yes","No"))</f>
        <v>No</v>
      </c>
      <c r="P131" s="7" t="str">
        <f aca="false">IF(INDEX(MASTER_DATABASE!$A$4:$A$1000,ROW()-3)="","",INDEX(MASTER_DATABASE!$BG$4:$BG$1000,ROW()-3)&amp;"")</f>
        <v>Check Documents</v>
      </c>
      <c r="Q131" s="11" t="n">
        <f aca="false">IF(INDEX(MASTER_DATABASE!$A$4:$A$1000,ROW()-3)="","",INDEX(MASTER_DATABASE!$AQ$4:$AQ$1000,ROW()-3))</f>
        <v>230</v>
      </c>
    </row>
    <row r="132" customFormat="false" ht="46.25" hidden="false" customHeight="false" outlineLevel="0" collapsed="false">
      <c r="A132" s="11" t="str">
        <f aca="false">IF(INDEX(MASTER_DATABASE!$A$4:$A$1000,ROW()-3)="","",INDEX(MASTER_DATABASE!$A$4:$A$1000,ROW()-3)&amp;"")</f>
        <v>CSC-024</v>
      </c>
      <c r="B132" s="7" t="str">
        <f aca="false">IF(INDEX(MASTER_DATABASE!$A$4:$A$1000,ROW()-3)="","",INDEX(MASTER_DATABASE!$E$4:$E$1000,ROW()-3)&amp;"")</f>
        <v>Motor Insurance – New / Renewal</v>
      </c>
      <c r="C132" s="7" t="str">
        <f aca="false">IF(INDEX(MASTER_DATABASE!$A$4:$A$1000,ROW()-3)="","",INDEX(MASTER_DATABASE!$F$4:$F$1000,ROW()-3)&amp;"")</f>
        <v>वाहन बीमा – नया / नवीनीकरण</v>
      </c>
      <c r="D132" s="7" t="str">
        <f aca="false">IF(INDEX(MASTER_DATABASE!$A$4:$A$1000,ROW()-3)="","",INDEX(MASTER_DATABASE!$AL$4:$AL$1000,ROW()-3)&amp;"")</f>
        <v>Common Service Centre (CSC)</v>
      </c>
      <c r="E132" s="7" t="str">
        <f aca="false">IF(INDEX(MASTER_DATABASE!$A$4:$A$1000,ROW()-3)="","",INDEX(MASTER_DATABASE!$G$4:$G$1000,ROW()-3)&amp;"")</f>
        <v>Motor Insurance – New / Renewal through our Common Service Centre.</v>
      </c>
      <c r="F132" s="11" t="str">
        <f aca="false">IF(INDEX(MASTER_DATABASE!$A$4:$A$1000,ROW()-3)="","",INDEX(MASTER_DATABASE!$AP$4:$AP$1000,ROW()-3)&amp;"")</f>
        <v>🛡️</v>
      </c>
      <c r="G13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2" s="7" t="str">
        <f aca="false">IF(INDEX(MASTER_DATABASE!$A$4:$A$1000,ROW()-3)="","",INDEX(MASTER_DATABASE!$J$4:$J$1000,ROW()-3)&amp;"")</f>
        <v>Please Confirm at Shop</v>
      </c>
      <c r="K132" s="7" t="str">
        <f aca="false">IF(INDEX(MASTER_DATABASE!$A$4:$A$1000,ROW()-3)="","",INDEX(MASTER_DATABASE!$M$4:$M$1000,ROW()-3)&amp;"")</f>
        <v>✓ Aadhaar Card
✓ Active Mobile Number
✓ Bank Passbook
✓ Nominee Details</v>
      </c>
      <c r="L132" s="7" t="str">
        <f aca="false">IF(INDEX(MASTER_DATABASE!$A$4:$A$1000,ROW()-3)="","",INDEX(MASTER_DATABASE!$Q$4:$Q$1000,ROW()-3)&amp;"")</f>
        <v>Depends on Department</v>
      </c>
      <c r="M132" s="11" t="str">
        <f aca="false">IF(INDEX(MASTER_DATABASE!$A$4:$A$1000,ROW()-3)="","",INDEX(MASTER_DATABASE!$AI$4:$AI$1000,ROW()-3)&amp;"")</f>
        <v>No</v>
      </c>
      <c r="N132" s="11" t="str">
        <f aca="false">IF(INDEX(MASTER_DATABASE!$A$4:$A$1000,ROW()-3)="","",INDEX(MASTER_DATABASE!$AJ$4:$AJ$1000,ROW()-3)&amp;"")</f>
        <v>No</v>
      </c>
      <c r="O132" s="11" t="str">
        <f aca="false">IF(INDEX(MASTER_DATABASE!$A$4:$A$1000,ROW()-3)="","",IF(INDEX(MASTER_DATABASE!$BE$4:$BE$1000,ROW()-3)="LIVE","Yes","No"))</f>
        <v>No</v>
      </c>
      <c r="P132" s="7" t="str">
        <f aca="false">IF(INDEX(MASTER_DATABASE!$A$4:$A$1000,ROW()-3)="","",INDEX(MASTER_DATABASE!$BG$4:$BG$1000,ROW()-3)&amp;"")</f>
        <v>Check Documents</v>
      </c>
      <c r="Q132" s="11" t="n">
        <f aca="false">IF(INDEX(MASTER_DATABASE!$A$4:$A$1000,ROW()-3)="","",INDEX(MASTER_DATABASE!$AQ$4:$AQ$1000,ROW()-3))</f>
        <v>240</v>
      </c>
    </row>
    <row r="133" customFormat="false" ht="46.25" hidden="false" customHeight="false" outlineLevel="0" collapsed="false">
      <c r="A133" s="11" t="str">
        <f aca="false">IF(INDEX(MASTER_DATABASE!$A$4:$A$1000,ROW()-3)="","",INDEX(MASTER_DATABASE!$A$4:$A$1000,ROW()-3)&amp;"")</f>
        <v>CSC-025</v>
      </c>
      <c r="B133" s="7" t="str">
        <f aca="false">IF(INDEX(MASTER_DATABASE!$A$4:$A$1000,ROW()-3)="","",INDEX(MASTER_DATABASE!$E$4:$E$1000,ROW()-3)&amp;"")</f>
        <v>Crop Insurance (PMFBY) Enrolment</v>
      </c>
      <c r="C133" s="7" t="str">
        <f aca="false">IF(INDEX(MASTER_DATABASE!$A$4:$A$1000,ROW()-3)="","",INDEX(MASTER_DATABASE!$F$4:$F$1000,ROW()-3)&amp;"")</f>
        <v>फसल बीमा (PMFBY) नामांकन</v>
      </c>
      <c r="D133" s="7" t="str">
        <f aca="false">IF(INDEX(MASTER_DATABASE!$A$4:$A$1000,ROW()-3)="","",INDEX(MASTER_DATABASE!$AL$4:$AL$1000,ROW()-3)&amp;"")</f>
        <v>Common Service Centre (CSC)</v>
      </c>
      <c r="E133" s="7" t="str">
        <f aca="false">IF(INDEX(MASTER_DATABASE!$A$4:$A$1000,ROW()-3)="","",INDEX(MASTER_DATABASE!$G$4:$G$1000,ROW()-3)&amp;"")</f>
        <v>Crop Insurance (PMFBY) Enrolment through our Common Service Centre.</v>
      </c>
      <c r="F133" s="11" t="str">
        <f aca="false">IF(INDEX(MASTER_DATABASE!$A$4:$A$1000,ROW()-3)="","",INDEX(MASTER_DATABASE!$AP$4:$AP$1000,ROW()-3)&amp;"")</f>
        <v>🛡️</v>
      </c>
      <c r="G13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3" s="7" t="str">
        <f aca="false">IF(INDEX(MASTER_DATABASE!$A$4:$A$1000,ROW()-3)="","",INDEX(MASTER_DATABASE!$J$4:$J$1000,ROW()-3)&amp;"")</f>
        <v>Depends on Portal – Confirm at Shop</v>
      </c>
      <c r="K133" s="7" t="str">
        <f aca="false">IF(INDEX(MASTER_DATABASE!$A$4:$A$1000,ROW()-3)="","",INDEX(MASTER_DATABASE!$M$4:$M$1000,ROW()-3)&amp;"")</f>
        <v>✓ Aadhaar Card
✓ Active Mobile Number
✓ Bank Passbook
✓ Nominee Details</v>
      </c>
      <c r="L133" s="7" t="str">
        <f aca="false">IF(INDEX(MASTER_DATABASE!$A$4:$A$1000,ROW()-3)="","",INDEX(MASTER_DATABASE!$Q$4:$Q$1000,ROW()-3)&amp;"")</f>
        <v>Depends on Department</v>
      </c>
      <c r="M133" s="11" t="str">
        <f aca="false">IF(INDEX(MASTER_DATABASE!$A$4:$A$1000,ROW()-3)="","",INDEX(MASTER_DATABASE!$AI$4:$AI$1000,ROW()-3)&amp;"")</f>
        <v>No</v>
      </c>
      <c r="N133" s="11" t="str">
        <f aca="false">IF(INDEX(MASTER_DATABASE!$A$4:$A$1000,ROW()-3)="","",INDEX(MASTER_DATABASE!$AJ$4:$AJ$1000,ROW()-3)&amp;"")</f>
        <v>No</v>
      </c>
      <c r="O133" s="11" t="str">
        <f aca="false">IF(INDEX(MASTER_DATABASE!$A$4:$A$1000,ROW()-3)="","",IF(INDEX(MASTER_DATABASE!$BE$4:$BE$1000,ROW()-3)="LIVE","Yes","No"))</f>
        <v>No</v>
      </c>
      <c r="P133" s="7" t="str">
        <f aca="false">IF(INDEX(MASTER_DATABASE!$A$4:$A$1000,ROW()-3)="","",INDEX(MASTER_DATABASE!$BG$4:$BG$1000,ROW()-3)&amp;"")</f>
        <v>Check Documents</v>
      </c>
      <c r="Q133" s="11" t="n">
        <f aca="false">IF(INDEX(MASTER_DATABASE!$A$4:$A$1000,ROW()-3)="","",INDEX(MASTER_DATABASE!$AQ$4:$AQ$1000,ROW()-3))</f>
        <v>250</v>
      </c>
    </row>
    <row r="134" customFormat="false" ht="46.25" hidden="false" customHeight="false" outlineLevel="0" collapsed="false">
      <c r="A134" s="11" t="str">
        <f aca="false">IF(INDEX(MASTER_DATABASE!$A$4:$A$1000,ROW()-3)="","",INDEX(MASTER_DATABASE!$A$4:$A$1000,ROW()-3)&amp;"")</f>
        <v>CSC-026</v>
      </c>
      <c r="B134" s="7" t="str">
        <f aca="false">IF(INDEX(MASTER_DATABASE!$A$4:$A$1000,ROW()-3)="","",INDEX(MASTER_DATABASE!$E$4:$E$1000,ROW()-3)&amp;"")</f>
        <v>PM Suraksha Bima Yojana (PMSBY) Enrolment</v>
      </c>
      <c r="C134" s="7" t="str">
        <f aca="false">IF(INDEX(MASTER_DATABASE!$A$4:$A$1000,ROW()-3)="","",INDEX(MASTER_DATABASE!$F$4:$F$1000,ROW()-3)&amp;"")</f>
        <v>PM सुरक्षा बीमा योजना (PMSBY) नामांकन</v>
      </c>
      <c r="D134" s="7" t="str">
        <f aca="false">IF(INDEX(MASTER_DATABASE!$A$4:$A$1000,ROW()-3)="","",INDEX(MASTER_DATABASE!$AL$4:$AL$1000,ROW()-3)&amp;"")</f>
        <v>Common Service Centre (CSC)</v>
      </c>
      <c r="E134" s="7" t="str">
        <f aca="false">IF(INDEX(MASTER_DATABASE!$A$4:$A$1000,ROW()-3)="","",INDEX(MASTER_DATABASE!$G$4:$G$1000,ROW()-3)&amp;"")</f>
        <v>PM Suraksha Bima Yojana (PMSBY) Enrolment through our Common Service Centre.</v>
      </c>
      <c r="F134" s="11" t="str">
        <f aca="false">IF(INDEX(MASTER_DATABASE!$A$4:$A$1000,ROW()-3)="","",INDEX(MASTER_DATABASE!$AP$4:$AP$1000,ROW()-3)&amp;"")</f>
        <v>🛡️</v>
      </c>
      <c r="G13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4" s="7" t="str">
        <f aca="false">IF(INDEX(MASTER_DATABASE!$A$4:$A$1000,ROW()-3)="","",INDEX(MASTER_DATABASE!$J$4:$J$1000,ROW()-3)&amp;"")</f>
        <v>To Be Confirmed</v>
      </c>
      <c r="K134" s="7" t="str">
        <f aca="false">IF(INDEX(MASTER_DATABASE!$A$4:$A$1000,ROW()-3)="","",INDEX(MASTER_DATABASE!$M$4:$M$1000,ROW()-3)&amp;"")</f>
        <v>✓ Aadhaar Card
✓ Active Mobile Number
✓ Bank Passbook
✓ Nominee Details</v>
      </c>
      <c r="L134" s="7" t="str">
        <f aca="false">IF(INDEX(MASTER_DATABASE!$A$4:$A$1000,ROW()-3)="","",INDEX(MASTER_DATABASE!$Q$4:$Q$1000,ROW()-3)&amp;"")</f>
        <v>Depends on Department</v>
      </c>
      <c r="M134" s="11" t="str">
        <f aca="false">IF(INDEX(MASTER_DATABASE!$A$4:$A$1000,ROW()-3)="","",INDEX(MASTER_DATABASE!$AI$4:$AI$1000,ROW()-3)&amp;"")</f>
        <v>No</v>
      </c>
      <c r="N134" s="11" t="str">
        <f aca="false">IF(INDEX(MASTER_DATABASE!$A$4:$A$1000,ROW()-3)="","",INDEX(MASTER_DATABASE!$AJ$4:$AJ$1000,ROW()-3)&amp;"")</f>
        <v>No</v>
      </c>
      <c r="O134" s="11" t="str">
        <f aca="false">IF(INDEX(MASTER_DATABASE!$A$4:$A$1000,ROW()-3)="","",IF(INDEX(MASTER_DATABASE!$BE$4:$BE$1000,ROW()-3)="LIVE","Yes","No"))</f>
        <v>No</v>
      </c>
      <c r="P134" s="7" t="str">
        <f aca="false">IF(INDEX(MASTER_DATABASE!$A$4:$A$1000,ROW()-3)="","",INDEX(MASTER_DATABASE!$BG$4:$BG$1000,ROW()-3)&amp;"")</f>
        <v>Check Documents</v>
      </c>
      <c r="Q134" s="11" t="n">
        <f aca="false">IF(INDEX(MASTER_DATABASE!$A$4:$A$1000,ROW()-3)="","",INDEX(MASTER_DATABASE!$AQ$4:$AQ$1000,ROW()-3))</f>
        <v>260</v>
      </c>
    </row>
    <row r="135" customFormat="false" ht="46.25" hidden="false" customHeight="false" outlineLevel="0" collapsed="false">
      <c r="A135" s="11" t="str">
        <f aca="false">IF(INDEX(MASTER_DATABASE!$A$4:$A$1000,ROW()-3)="","",INDEX(MASTER_DATABASE!$A$4:$A$1000,ROW()-3)&amp;"")</f>
        <v>CSC-027</v>
      </c>
      <c r="B135" s="7" t="str">
        <f aca="false">IF(INDEX(MASTER_DATABASE!$A$4:$A$1000,ROW()-3)="","",INDEX(MASTER_DATABASE!$E$4:$E$1000,ROW()-3)&amp;"")</f>
        <v>PM Jeevan Jyoti Bima Yojana (PMJJBY) Enrolment</v>
      </c>
      <c r="C135" s="7" t="str">
        <f aca="false">IF(INDEX(MASTER_DATABASE!$A$4:$A$1000,ROW()-3)="","",INDEX(MASTER_DATABASE!$F$4:$F$1000,ROW()-3)&amp;"")</f>
        <v>PM जीवन ज्योति बीमा योजना (PMJJBY) नामांकन</v>
      </c>
      <c r="D135" s="7" t="str">
        <f aca="false">IF(INDEX(MASTER_DATABASE!$A$4:$A$1000,ROW()-3)="","",INDEX(MASTER_DATABASE!$AL$4:$AL$1000,ROW()-3)&amp;"")</f>
        <v>Common Service Centre (CSC)</v>
      </c>
      <c r="E135" s="7" t="str">
        <f aca="false">IF(INDEX(MASTER_DATABASE!$A$4:$A$1000,ROW()-3)="","",INDEX(MASTER_DATABASE!$G$4:$G$1000,ROW()-3)&amp;"")</f>
        <v>PM Jeevan Jyoti Bima Yojana (PMJJBY) Enrolment through our Common Service Centre.</v>
      </c>
      <c r="F135" s="11" t="str">
        <f aca="false">IF(INDEX(MASTER_DATABASE!$A$4:$A$1000,ROW()-3)="","",INDEX(MASTER_DATABASE!$AP$4:$AP$1000,ROW()-3)&amp;"")</f>
        <v>🛡️</v>
      </c>
      <c r="G13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5" s="7" t="str">
        <f aca="false">IF(INDEX(MASTER_DATABASE!$A$4:$A$1000,ROW()-3)="","",INDEX(MASTER_DATABASE!$J$4:$J$1000,ROW()-3)&amp;"")</f>
        <v>To Be Confirmed</v>
      </c>
      <c r="K135" s="7" t="str">
        <f aca="false">IF(INDEX(MASTER_DATABASE!$A$4:$A$1000,ROW()-3)="","",INDEX(MASTER_DATABASE!$M$4:$M$1000,ROW()-3)&amp;"")</f>
        <v>✓ Aadhaar Card
✓ Active Mobile Number
✓ Bank Passbook
✓ Nominee Details</v>
      </c>
      <c r="L135" s="7" t="str">
        <f aca="false">IF(INDEX(MASTER_DATABASE!$A$4:$A$1000,ROW()-3)="","",INDEX(MASTER_DATABASE!$Q$4:$Q$1000,ROW()-3)&amp;"")</f>
        <v>Depends on Department</v>
      </c>
      <c r="M135" s="11" t="str">
        <f aca="false">IF(INDEX(MASTER_DATABASE!$A$4:$A$1000,ROW()-3)="","",INDEX(MASTER_DATABASE!$AI$4:$AI$1000,ROW()-3)&amp;"")</f>
        <v>No</v>
      </c>
      <c r="N135" s="11" t="str">
        <f aca="false">IF(INDEX(MASTER_DATABASE!$A$4:$A$1000,ROW()-3)="","",INDEX(MASTER_DATABASE!$AJ$4:$AJ$1000,ROW()-3)&amp;"")</f>
        <v>No</v>
      </c>
      <c r="O135" s="11" t="str">
        <f aca="false">IF(INDEX(MASTER_DATABASE!$A$4:$A$1000,ROW()-3)="","",IF(INDEX(MASTER_DATABASE!$BE$4:$BE$1000,ROW()-3)="LIVE","Yes","No"))</f>
        <v>No</v>
      </c>
      <c r="P135" s="7" t="str">
        <f aca="false">IF(INDEX(MASTER_DATABASE!$A$4:$A$1000,ROW()-3)="","",INDEX(MASTER_DATABASE!$BG$4:$BG$1000,ROW()-3)&amp;"")</f>
        <v>Check Documents</v>
      </c>
      <c r="Q135" s="11" t="n">
        <f aca="false">IF(INDEX(MASTER_DATABASE!$A$4:$A$1000,ROW()-3)="","",INDEX(MASTER_DATABASE!$AQ$4:$AQ$1000,ROW()-3))</f>
        <v>270</v>
      </c>
    </row>
    <row r="136" customFormat="false" ht="46.25" hidden="false" customHeight="false" outlineLevel="0" collapsed="false">
      <c r="A136" s="11" t="str">
        <f aca="false">IF(INDEX(MASTER_DATABASE!$A$4:$A$1000,ROW()-3)="","",INDEX(MASTER_DATABASE!$A$4:$A$1000,ROW()-3)&amp;"")</f>
        <v>CSC-028</v>
      </c>
      <c r="B136" s="7" t="str">
        <f aca="false">IF(INDEX(MASTER_DATABASE!$A$4:$A$1000,ROW()-3)="","",INDEX(MASTER_DATABASE!$E$4:$E$1000,ROW()-3)&amp;"")</f>
        <v>Atal Pension Yojana (APY) Enrolment</v>
      </c>
      <c r="C136" s="7" t="str">
        <f aca="false">IF(INDEX(MASTER_DATABASE!$A$4:$A$1000,ROW()-3)="","",INDEX(MASTER_DATABASE!$F$4:$F$1000,ROW()-3)&amp;"")</f>
        <v>अटल पेंशन योजना (APY) नामांकन</v>
      </c>
      <c r="D136" s="7" t="str">
        <f aca="false">IF(INDEX(MASTER_DATABASE!$A$4:$A$1000,ROW()-3)="","",INDEX(MASTER_DATABASE!$AL$4:$AL$1000,ROW()-3)&amp;"")</f>
        <v>Common Service Centre (CSC)</v>
      </c>
      <c r="E136" s="7" t="str">
        <f aca="false">IF(INDEX(MASTER_DATABASE!$A$4:$A$1000,ROW()-3)="","",INDEX(MASTER_DATABASE!$G$4:$G$1000,ROW()-3)&amp;"")</f>
        <v>Atal Pension Yojana (APY) Enrolment through our Common Service Centre.</v>
      </c>
      <c r="F136" s="11" t="str">
        <f aca="false">IF(INDEX(MASTER_DATABASE!$A$4:$A$1000,ROW()-3)="","",INDEX(MASTER_DATABASE!$AP$4:$AP$1000,ROW()-3)&amp;"")</f>
        <v>👴</v>
      </c>
      <c r="G13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6" s="7" t="str">
        <f aca="false">IF(INDEX(MASTER_DATABASE!$A$4:$A$1000,ROW()-3)="","",INDEX(MASTER_DATABASE!$J$4:$J$1000,ROW()-3)&amp;"")</f>
        <v>Please Confirm at Shop</v>
      </c>
      <c r="K136" s="7" t="str">
        <f aca="false">IF(INDEX(MASTER_DATABASE!$A$4:$A$1000,ROW()-3)="","",INDEX(MASTER_DATABASE!$M$4:$M$1000,ROW()-3)&amp;"")</f>
        <v>✓ Aadhaar Card
✓ Active Mobile Number
✓ Bank Passbook
✓ Nominee Details</v>
      </c>
      <c r="L136" s="7" t="str">
        <f aca="false">IF(INDEX(MASTER_DATABASE!$A$4:$A$1000,ROW()-3)="","",INDEX(MASTER_DATABASE!$Q$4:$Q$1000,ROW()-3)&amp;"")</f>
        <v>Depends on Department</v>
      </c>
      <c r="M136" s="11" t="str">
        <f aca="false">IF(INDEX(MASTER_DATABASE!$A$4:$A$1000,ROW()-3)="","",INDEX(MASTER_DATABASE!$AI$4:$AI$1000,ROW()-3)&amp;"")</f>
        <v>No</v>
      </c>
      <c r="N136" s="11" t="str">
        <f aca="false">IF(INDEX(MASTER_DATABASE!$A$4:$A$1000,ROW()-3)="","",INDEX(MASTER_DATABASE!$AJ$4:$AJ$1000,ROW()-3)&amp;"")</f>
        <v>No</v>
      </c>
      <c r="O136" s="11" t="str">
        <f aca="false">IF(INDEX(MASTER_DATABASE!$A$4:$A$1000,ROW()-3)="","",IF(INDEX(MASTER_DATABASE!$BE$4:$BE$1000,ROW()-3)="LIVE","Yes","No"))</f>
        <v>No</v>
      </c>
      <c r="P136" s="7" t="str">
        <f aca="false">IF(INDEX(MASTER_DATABASE!$A$4:$A$1000,ROW()-3)="","",INDEX(MASTER_DATABASE!$BG$4:$BG$1000,ROW()-3)&amp;"")</f>
        <v>Check Documents</v>
      </c>
      <c r="Q136" s="11" t="n">
        <f aca="false">IF(INDEX(MASTER_DATABASE!$A$4:$A$1000,ROW()-3)="","",INDEX(MASTER_DATABASE!$AQ$4:$AQ$1000,ROW()-3))</f>
        <v>280</v>
      </c>
    </row>
    <row r="137" customFormat="false" ht="46.25" hidden="false" customHeight="false" outlineLevel="0" collapsed="false">
      <c r="A137" s="11" t="str">
        <f aca="false">IF(INDEX(MASTER_DATABASE!$A$4:$A$1000,ROW()-3)="","",INDEX(MASTER_DATABASE!$A$4:$A$1000,ROW()-3)&amp;"")</f>
        <v>CSC-029</v>
      </c>
      <c r="B137" s="7" t="str">
        <f aca="false">IF(INDEX(MASTER_DATABASE!$A$4:$A$1000,ROW()-3)="","",INDEX(MASTER_DATABASE!$E$4:$E$1000,ROW()-3)&amp;"")</f>
        <v>NPS (National Pension System) Account Opening</v>
      </c>
      <c r="C137" s="7" t="str">
        <f aca="false">IF(INDEX(MASTER_DATABASE!$A$4:$A$1000,ROW()-3)="","",INDEX(MASTER_DATABASE!$F$4:$F$1000,ROW()-3)&amp;"")</f>
        <v>NPS खाता खोलना</v>
      </c>
      <c r="D137" s="7" t="str">
        <f aca="false">IF(INDEX(MASTER_DATABASE!$A$4:$A$1000,ROW()-3)="","",INDEX(MASTER_DATABASE!$AL$4:$AL$1000,ROW()-3)&amp;"")</f>
        <v>Common Service Centre (CSC)</v>
      </c>
      <c r="E137" s="7" t="str">
        <f aca="false">IF(INDEX(MASTER_DATABASE!$A$4:$A$1000,ROW()-3)="","",INDEX(MASTER_DATABASE!$G$4:$G$1000,ROW()-3)&amp;"")</f>
        <v>NPS (National Pension System) Account Opening through our Common Service Centre.</v>
      </c>
      <c r="F137" s="11" t="str">
        <f aca="false">IF(INDEX(MASTER_DATABASE!$A$4:$A$1000,ROW()-3)="","",INDEX(MASTER_DATABASE!$AP$4:$AP$1000,ROW()-3)&amp;"")</f>
        <v>👴</v>
      </c>
      <c r="G13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7" s="7" t="str">
        <f aca="false">IF(INDEX(MASTER_DATABASE!$A$4:$A$1000,ROW()-3)="","",INDEX(MASTER_DATABASE!$J$4:$J$1000,ROW()-3)&amp;"")</f>
        <v>Please Confirm at Shop</v>
      </c>
      <c r="K137" s="7" t="str">
        <f aca="false">IF(INDEX(MASTER_DATABASE!$A$4:$A$1000,ROW()-3)="","",INDEX(MASTER_DATABASE!$M$4:$M$1000,ROW()-3)&amp;"")</f>
        <v>✓ Aadhaar Card
✓ Active Mobile Number
✓ Bank Passbook
✓ Nominee Details</v>
      </c>
      <c r="L137" s="7" t="str">
        <f aca="false">IF(INDEX(MASTER_DATABASE!$A$4:$A$1000,ROW()-3)="","",INDEX(MASTER_DATABASE!$Q$4:$Q$1000,ROW()-3)&amp;"")</f>
        <v>Depends on Department</v>
      </c>
      <c r="M137" s="11" t="str">
        <f aca="false">IF(INDEX(MASTER_DATABASE!$A$4:$A$1000,ROW()-3)="","",INDEX(MASTER_DATABASE!$AI$4:$AI$1000,ROW()-3)&amp;"")</f>
        <v>No</v>
      </c>
      <c r="N137" s="11" t="str">
        <f aca="false">IF(INDEX(MASTER_DATABASE!$A$4:$A$1000,ROW()-3)="","",INDEX(MASTER_DATABASE!$AJ$4:$AJ$1000,ROW()-3)&amp;"")</f>
        <v>No</v>
      </c>
      <c r="O137" s="11" t="str">
        <f aca="false">IF(INDEX(MASTER_DATABASE!$A$4:$A$1000,ROW()-3)="","",IF(INDEX(MASTER_DATABASE!$BE$4:$BE$1000,ROW()-3)="LIVE","Yes","No"))</f>
        <v>No</v>
      </c>
      <c r="P137" s="7" t="str">
        <f aca="false">IF(INDEX(MASTER_DATABASE!$A$4:$A$1000,ROW()-3)="","",INDEX(MASTER_DATABASE!$BG$4:$BG$1000,ROW()-3)&amp;"")</f>
        <v>Check Documents</v>
      </c>
      <c r="Q137" s="11" t="n">
        <f aca="false">IF(INDEX(MASTER_DATABASE!$A$4:$A$1000,ROW()-3)="","",INDEX(MASTER_DATABASE!$AQ$4:$AQ$1000,ROW()-3))</f>
        <v>290</v>
      </c>
    </row>
    <row r="138" customFormat="false" ht="46.25" hidden="false" customHeight="false" outlineLevel="0" collapsed="false">
      <c r="A138" s="11" t="str">
        <f aca="false">IF(INDEX(MASTER_DATABASE!$A$4:$A$1000,ROW()-3)="","",INDEX(MASTER_DATABASE!$A$4:$A$1000,ROW()-3)&amp;"")</f>
        <v>CSC-030</v>
      </c>
      <c r="B138" s="7" t="str">
        <f aca="false">IF(INDEX(MASTER_DATABASE!$A$4:$A$1000,ROW()-3)="","",INDEX(MASTER_DATABASE!$E$4:$E$1000,ROW()-3)&amp;"")</f>
        <v>Digital Life Certificate (Jeevan Pramaan)</v>
      </c>
      <c r="C138" s="7" t="str">
        <f aca="false">IF(INDEX(MASTER_DATABASE!$A$4:$A$1000,ROW()-3)="","",INDEX(MASTER_DATABASE!$F$4:$F$1000,ROW()-3)&amp;"")</f>
        <v>डिजिटल जीवन प्रमाण पत्र (जीवन प्रमाण)</v>
      </c>
      <c r="D138" s="7" t="str">
        <f aca="false">IF(INDEX(MASTER_DATABASE!$A$4:$A$1000,ROW()-3)="","",INDEX(MASTER_DATABASE!$AL$4:$AL$1000,ROW()-3)&amp;"")</f>
        <v>Common Service Centre (CSC)</v>
      </c>
      <c r="E138" s="7" t="str">
        <f aca="false">IF(INDEX(MASTER_DATABASE!$A$4:$A$1000,ROW()-3)="","",INDEX(MASTER_DATABASE!$G$4:$G$1000,ROW()-3)&amp;"")</f>
        <v>Digital Life Certificate (Jeevan Pramaan) through our Common Service Centre.</v>
      </c>
      <c r="F138" s="11" t="str">
        <f aca="false">IF(INDEX(MASTER_DATABASE!$A$4:$A$1000,ROW()-3)="","",INDEX(MASTER_DATABASE!$AP$4:$AP$1000,ROW()-3)&amp;"")</f>
        <v>👴</v>
      </c>
      <c r="G13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8" s="7" t="str">
        <f aca="false">IF(INDEX(MASTER_DATABASE!$A$4:$A$1000,ROW()-3)="","",INDEX(MASTER_DATABASE!$J$4:$J$1000,ROW()-3)&amp;"")</f>
        <v>Depends on Portal – Confirm at Shop</v>
      </c>
      <c r="K138" s="7" t="str">
        <f aca="false">IF(INDEX(MASTER_DATABASE!$A$4:$A$1000,ROW()-3)="","",INDEX(MASTER_DATABASE!$M$4:$M$1000,ROW()-3)&amp;"")</f>
        <v>✓ Aadhaar Card
✓ Active Mobile Number
✓ Bank Passbook
✓ Customer Presence for Biometrics</v>
      </c>
      <c r="L138" s="7" t="str">
        <f aca="false">IF(INDEX(MASTER_DATABASE!$A$4:$A$1000,ROW()-3)="","",INDEX(MASTER_DATABASE!$Q$4:$Q$1000,ROW()-3)&amp;"")</f>
        <v>Depends on Department</v>
      </c>
      <c r="M138" s="11" t="str">
        <f aca="false">IF(INDEX(MASTER_DATABASE!$A$4:$A$1000,ROW()-3)="","",INDEX(MASTER_DATABASE!$AI$4:$AI$1000,ROW()-3)&amp;"")</f>
        <v>No</v>
      </c>
      <c r="N138" s="11" t="str">
        <f aca="false">IF(INDEX(MASTER_DATABASE!$A$4:$A$1000,ROW()-3)="","",INDEX(MASTER_DATABASE!$AJ$4:$AJ$1000,ROW()-3)&amp;"")</f>
        <v>No</v>
      </c>
      <c r="O138" s="11" t="str">
        <f aca="false">IF(INDEX(MASTER_DATABASE!$A$4:$A$1000,ROW()-3)="","",IF(INDEX(MASTER_DATABASE!$BE$4:$BE$1000,ROW()-3)="LIVE","Yes","No"))</f>
        <v>No</v>
      </c>
      <c r="P138" s="7" t="str">
        <f aca="false">IF(INDEX(MASTER_DATABASE!$A$4:$A$1000,ROW()-3)="","",INDEX(MASTER_DATABASE!$BG$4:$BG$1000,ROW()-3)&amp;"")</f>
        <v>Check Documents</v>
      </c>
      <c r="Q138" s="11" t="n">
        <f aca="false">IF(INDEX(MASTER_DATABASE!$A$4:$A$1000,ROW()-3)="","",INDEX(MASTER_DATABASE!$AQ$4:$AQ$1000,ROW()-3))</f>
        <v>300</v>
      </c>
    </row>
    <row r="139" customFormat="false" ht="35.05" hidden="false" customHeight="false" outlineLevel="0" collapsed="false">
      <c r="A139" s="11" t="str">
        <f aca="false">IF(INDEX(MASTER_DATABASE!$A$4:$A$1000,ROW()-3)="","",INDEX(MASTER_DATABASE!$A$4:$A$1000,ROW()-3)&amp;"")</f>
        <v>CSC-031</v>
      </c>
      <c r="B139" s="7" t="str">
        <f aca="false">IF(INDEX(MASTER_DATABASE!$A$4:$A$1000,ROW()-3)="","",INDEX(MASTER_DATABASE!$E$4:$E$1000,ROW()-3)&amp;"")</f>
        <v>EPFO / UAN Service Assistance</v>
      </c>
      <c r="C139" s="7" t="str">
        <f aca="false">IF(INDEX(MASTER_DATABASE!$A$4:$A$1000,ROW()-3)="","",INDEX(MASTER_DATABASE!$F$4:$F$1000,ROW()-3)&amp;"")</f>
        <v>EPFO / UAN सेवा सहायता</v>
      </c>
      <c r="D139" s="7" t="str">
        <f aca="false">IF(INDEX(MASTER_DATABASE!$A$4:$A$1000,ROW()-3)="","",INDEX(MASTER_DATABASE!$AL$4:$AL$1000,ROW()-3)&amp;"")</f>
        <v>Common Service Centre (CSC)</v>
      </c>
      <c r="E139" s="7" t="str">
        <f aca="false">IF(INDEX(MASTER_DATABASE!$A$4:$A$1000,ROW()-3)="","",INDEX(MASTER_DATABASE!$G$4:$G$1000,ROW()-3)&amp;"")</f>
        <v>EPFO / UAN Service Assistance through our Common Service Centre.</v>
      </c>
      <c r="F139" s="11" t="str">
        <f aca="false">IF(INDEX(MASTER_DATABASE!$A$4:$A$1000,ROW()-3)="","",INDEX(MASTER_DATABASE!$AP$4:$AP$1000,ROW()-3)&amp;"")</f>
        <v>👴</v>
      </c>
      <c r="G13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3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3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39" s="7" t="str">
        <f aca="false">IF(INDEX(MASTER_DATABASE!$A$4:$A$1000,ROW()-3)="","",INDEX(MASTER_DATABASE!$J$4:$J$1000,ROW()-3)&amp;"")</f>
        <v>Depends on Portal – Confirm at Shop</v>
      </c>
      <c r="K139" s="7" t="str">
        <f aca="false">IF(INDEX(MASTER_DATABASE!$A$4:$A$1000,ROW()-3)="","",INDEX(MASTER_DATABASE!$M$4:$M$1000,ROW()-3)&amp;"")</f>
        <v>✓ Aadhaar Card
✓ Active Mobile Number
✓ Bank Passbook</v>
      </c>
      <c r="L139" s="7" t="str">
        <f aca="false">IF(INDEX(MASTER_DATABASE!$A$4:$A$1000,ROW()-3)="","",INDEX(MASTER_DATABASE!$Q$4:$Q$1000,ROW()-3)&amp;"")</f>
        <v>Depends on Department</v>
      </c>
      <c r="M139" s="11" t="str">
        <f aca="false">IF(INDEX(MASTER_DATABASE!$A$4:$A$1000,ROW()-3)="","",INDEX(MASTER_DATABASE!$AI$4:$AI$1000,ROW()-3)&amp;"")</f>
        <v>No</v>
      </c>
      <c r="N139" s="11" t="str">
        <f aca="false">IF(INDEX(MASTER_DATABASE!$A$4:$A$1000,ROW()-3)="","",INDEX(MASTER_DATABASE!$AJ$4:$AJ$1000,ROW()-3)&amp;"")</f>
        <v>No</v>
      </c>
      <c r="O139" s="11" t="str">
        <f aca="false">IF(INDEX(MASTER_DATABASE!$A$4:$A$1000,ROW()-3)="","",IF(INDEX(MASTER_DATABASE!$BE$4:$BE$1000,ROW()-3)="LIVE","Yes","No"))</f>
        <v>No</v>
      </c>
      <c r="P139" s="7" t="str">
        <f aca="false">IF(INDEX(MASTER_DATABASE!$A$4:$A$1000,ROW()-3)="","",INDEX(MASTER_DATABASE!$BG$4:$BG$1000,ROW()-3)&amp;"")</f>
        <v>Check Documents</v>
      </c>
      <c r="Q139" s="11" t="n">
        <f aca="false">IF(INDEX(MASTER_DATABASE!$A$4:$A$1000,ROW()-3)="","",INDEX(MASTER_DATABASE!$AQ$4:$AQ$1000,ROW()-3))</f>
        <v>310</v>
      </c>
    </row>
    <row r="140" customFormat="false" ht="35.05" hidden="false" customHeight="false" outlineLevel="0" collapsed="false">
      <c r="A140" s="11" t="str">
        <f aca="false">IF(INDEX(MASTER_DATABASE!$A$4:$A$1000,ROW()-3)="","",INDEX(MASTER_DATABASE!$A$4:$A$1000,ROW()-3)&amp;"")</f>
        <v>CSC-032</v>
      </c>
      <c r="B140" s="7" t="str">
        <f aca="false">IF(INDEX(MASTER_DATABASE!$A$4:$A$1000,ROW()-3)="","",INDEX(MASTER_DATABASE!$E$4:$E$1000,ROW()-3)&amp;"")</f>
        <v>Pension Application Assistance (Central / State)</v>
      </c>
      <c r="C140" s="7" t="str">
        <f aca="false">IF(INDEX(MASTER_DATABASE!$A$4:$A$1000,ROW()-3)="","",INDEX(MASTER_DATABASE!$F$4:$F$1000,ROW()-3)&amp;"")</f>
        <v>पेंशन आवेदन सहायता (केंद्र / राज्य)</v>
      </c>
      <c r="D140" s="7" t="str">
        <f aca="false">IF(INDEX(MASTER_DATABASE!$A$4:$A$1000,ROW()-3)="","",INDEX(MASTER_DATABASE!$AL$4:$AL$1000,ROW()-3)&amp;"")</f>
        <v>Common Service Centre (CSC)</v>
      </c>
      <c r="E140" s="7" t="str">
        <f aca="false">IF(INDEX(MASTER_DATABASE!$A$4:$A$1000,ROW()-3)="","",INDEX(MASTER_DATABASE!$G$4:$G$1000,ROW()-3)&amp;"")</f>
        <v>Pension Application Assistance (Central / State) through our Common Service Centre.</v>
      </c>
      <c r="F140" s="11" t="str">
        <f aca="false">IF(INDEX(MASTER_DATABASE!$A$4:$A$1000,ROW()-3)="","",INDEX(MASTER_DATABASE!$AP$4:$AP$1000,ROW()-3)&amp;"")</f>
        <v>👴</v>
      </c>
      <c r="G14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0" s="7" t="str">
        <f aca="false">IF(INDEX(MASTER_DATABASE!$A$4:$A$1000,ROW()-3)="","",INDEX(MASTER_DATABASE!$J$4:$J$1000,ROW()-3)&amp;"")</f>
        <v>To Be Confirmed</v>
      </c>
      <c r="K140" s="7" t="str">
        <f aca="false">IF(INDEX(MASTER_DATABASE!$A$4:$A$1000,ROW()-3)="","",INDEX(MASTER_DATABASE!$M$4:$M$1000,ROW()-3)&amp;"")</f>
        <v>✓ Aadhaar Card
✓ Active Mobile Number
✓ Bank Passbook</v>
      </c>
      <c r="L140" s="7" t="str">
        <f aca="false">IF(INDEX(MASTER_DATABASE!$A$4:$A$1000,ROW()-3)="","",INDEX(MASTER_DATABASE!$Q$4:$Q$1000,ROW()-3)&amp;"")</f>
        <v>Depends on Department</v>
      </c>
      <c r="M140" s="11" t="str">
        <f aca="false">IF(INDEX(MASTER_DATABASE!$A$4:$A$1000,ROW()-3)="","",INDEX(MASTER_DATABASE!$AI$4:$AI$1000,ROW()-3)&amp;"")</f>
        <v>No</v>
      </c>
      <c r="N140" s="11" t="str">
        <f aca="false">IF(INDEX(MASTER_DATABASE!$A$4:$A$1000,ROW()-3)="","",INDEX(MASTER_DATABASE!$AJ$4:$AJ$1000,ROW()-3)&amp;"")</f>
        <v>No</v>
      </c>
      <c r="O140" s="11" t="str">
        <f aca="false">IF(INDEX(MASTER_DATABASE!$A$4:$A$1000,ROW()-3)="","",IF(INDEX(MASTER_DATABASE!$BE$4:$BE$1000,ROW()-3)="LIVE","Yes","No"))</f>
        <v>No</v>
      </c>
      <c r="P140" s="7" t="str">
        <f aca="false">IF(INDEX(MASTER_DATABASE!$A$4:$A$1000,ROW()-3)="","",INDEX(MASTER_DATABASE!$BG$4:$BG$1000,ROW()-3)&amp;"")</f>
        <v>Check Documents</v>
      </c>
      <c r="Q140" s="11" t="n">
        <f aca="false">IF(INDEX(MASTER_DATABASE!$A$4:$A$1000,ROW()-3)="","",INDEX(MASTER_DATABASE!$AQ$4:$AQ$1000,ROW()-3))</f>
        <v>320</v>
      </c>
    </row>
    <row r="141" customFormat="false" ht="23.85" hidden="false" customHeight="false" outlineLevel="0" collapsed="false">
      <c r="A141" s="11" t="str">
        <f aca="false">IF(INDEX(MASTER_DATABASE!$A$4:$A$1000,ROW()-3)="","",INDEX(MASTER_DATABASE!$A$4:$A$1000,ROW()-3)&amp;"")</f>
        <v>CSC-033</v>
      </c>
      <c r="B141" s="7" t="str">
        <f aca="false">IF(INDEX(MASTER_DATABASE!$A$4:$A$1000,ROW()-3)="","",INDEX(MASTER_DATABASE!$E$4:$E$1000,ROW()-3)&amp;"")</f>
        <v>Digital Literacy (PMGDISHA) Registration</v>
      </c>
      <c r="C141" s="7" t="str">
        <f aca="false">IF(INDEX(MASTER_DATABASE!$A$4:$A$1000,ROW()-3)="","",INDEX(MASTER_DATABASE!$F$4:$F$1000,ROW()-3)&amp;"")</f>
        <v>डिजिटल साक्षरता (PMGDISHA) पंजीकरण</v>
      </c>
      <c r="D141" s="7" t="str">
        <f aca="false">IF(INDEX(MASTER_DATABASE!$A$4:$A$1000,ROW()-3)="","",INDEX(MASTER_DATABASE!$AL$4:$AL$1000,ROW()-3)&amp;"")</f>
        <v>Common Service Centre (CSC)</v>
      </c>
      <c r="E141" s="7" t="str">
        <f aca="false">IF(INDEX(MASTER_DATABASE!$A$4:$A$1000,ROW()-3)="","",INDEX(MASTER_DATABASE!$G$4:$G$1000,ROW()-3)&amp;"")</f>
        <v>Digital Literacy (PMGDISHA) Registration through our Common Service Centre.</v>
      </c>
      <c r="F141" s="11" t="str">
        <f aca="false">IF(INDEX(MASTER_DATABASE!$A$4:$A$1000,ROW()-3)="","",INDEX(MASTER_DATABASE!$AP$4:$AP$1000,ROW()-3)&amp;"")</f>
        <v>🎓</v>
      </c>
      <c r="G14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1" s="7" t="str">
        <f aca="false">IF(INDEX(MASTER_DATABASE!$A$4:$A$1000,ROW()-3)="","",INDEX(MASTER_DATABASE!$J$4:$J$1000,ROW()-3)&amp;"")</f>
        <v>Please Confirm at Shop</v>
      </c>
      <c r="K141" s="7" t="str">
        <f aca="false">IF(INDEX(MASTER_DATABASE!$A$4:$A$1000,ROW()-3)="","",INDEX(MASTER_DATABASE!$M$4:$M$1000,ROW()-3)&amp;"")</f>
        <v>✓ Aadhaar Card
✓ Active Mobile Number</v>
      </c>
      <c r="L141" s="7" t="str">
        <f aca="false">IF(INDEX(MASTER_DATABASE!$A$4:$A$1000,ROW()-3)="","",INDEX(MASTER_DATABASE!$Q$4:$Q$1000,ROW()-3)&amp;"")</f>
        <v>Depends on Department</v>
      </c>
      <c r="M141" s="11" t="str">
        <f aca="false">IF(INDEX(MASTER_DATABASE!$A$4:$A$1000,ROW()-3)="","",INDEX(MASTER_DATABASE!$AI$4:$AI$1000,ROW()-3)&amp;"")</f>
        <v>No</v>
      </c>
      <c r="N141" s="11" t="str">
        <f aca="false">IF(INDEX(MASTER_DATABASE!$A$4:$A$1000,ROW()-3)="","",INDEX(MASTER_DATABASE!$AJ$4:$AJ$1000,ROW()-3)&amp;"")</f>
        <v>No</v>
      </c>
      <c r="O141" s="11" t="str">
        <f aca="false">IF(INDEX(MASTER_DATABASE!$A$4:$A$1000,ROW()-3)="","",IF(INDEX(MASTER_DATABASE!$BE$4:$BE$1000,ROW()-3)="LIVE","Yes","No"))</f>
        <v>No</v>
      </c>
      <c r="P141" s="7" t="str">
        <f aca="false">IF(INDEX(MASTER_DATABASE!$A$4:$A$1000,ROW()-3)="","",INDEX(MASTER_DATABASE!$BG$4:$BG$1000,ROW()-3)&amp;"")</f>
        <v>Check Documents</v>
      </c>
      <c r="Q141" s="11" t="n">
        <f aca="false">IF(INDEX(MASTER_DATABASE!$A$4:$A$1000,ROW()-3)="","",INDEX(MASTER_DATABASE!$AQ$4:$AQ$1000,ROW()-3))</f>
        <v>330</v>
      </c>
    </row>
    <row r="142" customFormat="false" ht="23.85" hidden="false" customHeight="false" outlineLevel="0" collapsed="false">
      <c r="A142" s="11" t="str">
        <f aca="false">IF(INDEX(MASTER_DATABASE!$A$4:$A$1000,ROW()-3)="","",INDEX(MASTER_DATABASE!$A$4:$A$1000,ROW()-3)&amp;"")</f>
        <v>CSC-034</v>
      </c>
      <c r="B142" s="7" t="str">
        <f aca="false">IF(INDEX(MASTER_DATABASE!$A$4:$A$1000,ROW()-3)="","",INDEX(MASTER_DATABASE!$E$4:$E$1000,ROW()-3)&amp;"")</f>
        <v>Skill Development Course Enrolment</v>
      </c>
      <c r="C142" s="7" t="str">
        <f aca="false">IF(INDEX(MASTER_DATABASE!$A$4:$A$1000,ROW()-3)="","",INDEX(MASTER_DATABASE!$F$4:$F$1000,ROW()-3)&amp;"")</f>
        <v>कौशल विकास कोर्स नामांकन</v>
      </c>
      <c r="D142" s="7" t="str">
        <f aca="false">IF(INDEX(MASTER_DATABASE!$A$4:$A$1000,ROW()-3)="","",INDEX(MASTER_DATABASE!$AL$4:$AL$1000,ROW()-3)&amp;"")</f>
        <v>Common Service Centre (CSC)</v>
      </c>
      <c r="E142" s="7" t="str">
        <f aca="false">IF(INDEX(MASTER_DATABASE!$A$4:$A$1000,ROW()-3)="","",INDEX(MASTER_DATABASE!$G$4:$G$1000,ROW()-3)&amp;"")</f>
        <v>Skill Development Course Enrolment through our Common Service Centre.</v>
      </c>
      <c r="F142" s="11" t="str">
        <f aca="false">IF(INDEX(MASTER_DATABASE!$A$4:$A$1000,ROW()-3)="","",INDEX(MASTER_DATABASE!$AP$4:$AP$1000,ROW()-3)&amp;"")</f>
        <v>🎓</v>
      </c>
      <c r="G14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2" s="7" t="str">
        <f aca="false">IF(INDEX(MASTER_DATABASE!$A$4:$A$1000,ROW()-3)="","",INDEX(MASTER_DATABASE!$J$4:$J$1000,ROW()-3)&amp;"")</f>
        <v>To Be Confirmed</v>
      </c>
      <c r="K142" s="7" t="str">
        <f aca="false">IF(INDEX(MASTER_DATABASE!$A$4:$A$1000,ROW()-3)="","",INDEX(MASTER_DATABASE!$M$4:$M$1000,ROW()-3)&amp;"")</f>
        <v>✓ Aadhaar Card
✓ Active Mobile Number</v>
      </c>
      <c r="L142" s="7" t="str">
        <f aca="false">IF(INDEX(MASTER_DATABASE!$A$4:$A$1000,ROW()-3)="","",INDEX(MASTER_DATABASE!$Q$4:$Q$1000,ROW()-3)&amp;"")</f>
        <v>Depends on Department</v>
      </c>
      <c r="M142" s="11" t="str">
        <f aca="false">IF(INDEX(MASTER_DATABASE!$A$4:$A$1000,ROW()-3)="","",INDEX(MASTER_DATABASE!$AI$4:$AI$1000,ROW()-3)&amp;"")</f>
        <v>No</v>
      </c>
      <c r="N142" s="11" t="str">
        <f aca="false">IF(INDEX(MASTER_DATABASE!$A$4:$A$1000,ROW()-3)="","",INDEX(MASTER_DATABASE!$AJ$4:$AJ$1000,ROW()-3)&amp;"")</f>
        <v>No</v>
      </c>
      <c r="O142" s="11" t="str">
        <f aca="false">IF(INDEX(MASTER_DATABASE!$A$4:$A$1000,ROW()-3)="","",IF(INDEX(MASTER_DATABASE!$BE$4:$BE$1000,ROW()-3)="LIVE","Yes","No"))</f>
        <v>No</v>
      </c>
      <c r="P142" s="7" t="str">
        <f aca="false">IF(INDEX(MASTER_DATABASE!$A$4:$A$1000,ROW()-3)="","",INDEX(MASTER_DATABASE!$BG$4:$BG$1000,ROW()-3)&amp;"")</f>
        <v>Check Documents</v>
      </c>
      <c r="Q142" s="11" t="n">
        <f aca="false">IF(INDEX(MASTER_DATABASE!$A$4:$A$1000,ROW()-3)="","",INDEX(MASTER_DATABASE!$AQ$4:$AQ$1000,ROW()-3))</f>
        <v>340</v>
      </c>
    </row>
    <row r="143" customFormat="false" ht="35.05" hidden="false" customHeight="false" outlineLevel="0" collapsed="false">
      <c r="A143" s="11" t="str">
        <f aca="false">IF(INDEX(MASTER_DATABASE!$A$4:$A$1000,ROW()-3)="","",INDEX(MASTER_DATABASE!$A$4:$A$1000,ROW()-3)&amp;"")</f>
        <v>CSC-035</v>
      </c>
      <c r="B143" s="7" t="str">
        <f aca="false">IF(INDEX(MASTER_DATABASE!$A$4:$A$1000,ROW()-3)="","",INDEX(MASTER_DATABASE!$E$4:$E$1000,ROW()-3)&amp;"")</f>
        <v>e-Learning / Tele-Education Course Enrolment</v>
      </c>
      <c r="C143" s="7" t="str">
        <f aca="false">IF(INDEX(MASTER_DATABASE!$A$4:$A$1000,ROW()-3)="","",INDEX(MASTER_DATABASE!$F$4:$F$1000,ROW()-3)&amp;"")</f>
        <v>ई-लर्निंग / टेली-एजुकेशन कोर्स नामांकन</v>
      </c>
      <c r="D143" s="7" t="str">
        <f aca="false">IF(INDEX(MASTER_DATABASE!$A$4:$A$1000,ROW()-3)="","",INDEX(MASTER_DATABASE!$AL$4:$AL$1000,ROW()-3)&amp;"")</f>
        <v>Common Service Centre (CSC)</v>
      </c>
      <c r="E143" s="7" t="str">
        <f aca="false">IF(INDEX(MASTER_DATABASE!$A$4:$A$1000,ROW()-3)="","",INDEX(MASTER_DATABASE!$G$4:$G$1000,ROW()-3)&amp;"")</f>
        <v>e-Learning / Tele-Education Course Enrolment through our Common Service Centre.</v>
      </c>
      <c r="F143" s="11" t="str">
        <f aca="false">IF(INDEX(MASTER_DATABASE!$A$4:$A$1000,ROW()-3)="","",INDEX(MASTER_DATABASE!$AP$4:$AP$1000,ROW()-3)&amp;"")</f>
        <v>🎓</v>
      </c>
      <c r="G14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3" s="7" t="str">
        <f aca="false">IF(INDEX(MASTER_DATABASE!$A$4:$A$1000,ROW()-3)="","",INDEX(MASTER_DATABASE!$J$4:$J$1000,ROW()-3)&amp;"")</f>
        <v>To Be Confirmed</v>
      </c>
      <c r="K143" s="7" t="str">
        <f aca="false">IF(INDEX(MASTER_DATABASE!$A$4:$A$1000,ROW()-3)="","",INDEX(MASTER_DATABASE!$M$4:$M$1000,ROW()-3)&amp;"")</f>
        <v>✓ Aadhaar Card
✓ Active Mobile Number</v>
      </c>
      <c r="L143" s="7" t="str">
        <f aca="false">IF(INDEX(MASTER_DATABASE!$A$4:$A$1000,ROW()-3)="","",INDEX(MASTER_DATABASE!$Q$4:$Q$1000,ROW()-3)&amp;"")</f>
        <v>Depends on Department</v>
      </c>
      <c r="M143" s="11" t="str">
        <f aca="false">IF(INDEX(MASTER_DATABASE!$A$4:$A$1000,ROW()-3)="","",INDEX(MASTER_DATABASE!$AI$4:$AI$1000,ROW()-3)&amp;"")</f>
        <v>No</v>
      </c>
      <c r="N143" s="11" t="str">
        <f aca="false">IF(INDEX(MASTER_DATABASE!$A$4:$A$1000,ROW()-3)="","",INDEX(MASTER_DATABASE!$AJ$4:$AJ$1000,ROW()-3)&amp;"")</f>
        <v>No</v>
      </c>
      <c r="O143" s="11" t="str">
        <f aca="false">IF(INDEX(MASTER_DATABASE!$A$4:$A$1000,ROW()-3)="","",IF(INDEX(MASTER_DATABASE!$BE$4:$BE$1000,ROW()-3)="LIVE","Yes","No"))</f>
        <v>No</v>
      </c>
      <c r="P143" s="7" t="str">
        <f aca="false">IF(INDEX(MASTER_DATABASE!$A$4:$A$1000,ROW()-3)="","",INDEX(MASTER_DATABASE!$BG$4:$BG$1000,ROW()-3)&amp;"")</f>
        <v>Check Documents</v>
      </c>
      <c r="Q143" s="11" t="n">
        <f aca="false">IF(INDEX(MASTER_DATABASE!$A$4:$A$1000,ROW()-3)="","",INDEX(MASTER_DATABASE!$AQ$4:$AQ$1000,ROW()-3))</f>
        <v>350</v>
      </c>
    </row>
    <row r="144" customFormat="false" ht="23.85" hidden="false" customHeight="false" outlineLevel="0" collapsed="false">
      <c r="A144" s="11" t="str">
        <f aca="false">IF(INDEX(MASTER_DATABASE!$A$4:$A$1000,ROW()-3)="","",INDEX(MASTER_DATABASE!$A$4:$A$1000,ROW()-3)&amp;"")</f>
        <v>CSC-036</v>
      </c>
      <c r="B144" s="7" t="str">
        <f aca="false">IF(INDEX(MASTER_DATABASE!$A$4:$A$1000,ROW()-3)="","",INDEX(MASTER_DATABASE!$E$4:$E$1000,ROW()-3)&amp;"")</f>
        <v>PMKVY Training Enrolment Assistance</v>
      </c>
      <c r="C144" s="7" t="str">
        <f aca="false">IF(INDEX(MASTER_DATABASE!$A$4:$A$1000,ROW()-3)="","",INDEX(MASTER_DATABASE!$F$4:$F$1000,ROW()-3)&amp;"")</f>
        <v>PMKVY प्रशिक्षण नामांकन सहायता</v>
      </c>
      <c r="D144" s="7" t="str">
        <f aca="false">IF(INDEX(MASTER_DATABASE!$A$4:$A$1000,ROW()-3)="","",INDEX(MASTER_DATABASE!$AL$4:$AL$1000,ROW()-3)&amp;"")</f>
        <v>Common Service Centre (CSC)</v>
      </c>
      <c r="E144" s="7" t="str">
        <f aca="false">IF(INDEX(MASTER_DATABASE!$A$4:$A$1000,ROW()-3)="","",INDEX(MASTER_DATABASE!$G$4:$G$1000,ROW()-3)&amp;"")</f>
        <v>PMKVY Training Enrolment Assistance through our Common Service Centre.</v>
      </c>
      <c r="F144" s="11" t="str">
        <f aca="false">IF(INDEX(MASTER_DATABASE!$A$4:$A$1000,ROW()-3)="","",INDEX(MASTER_DATABASE!$AP$4:$AP$1000,ROW()-3)&amp;"")</f>
        <v>🎓</v>
      </c>
      <c r="G14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4" s="7" t="str">
        <f aca="false">IF(INDEX(MASTER_DATABASE!$A$4:$A$1000,ROW()-3)="","",INDEX(MASTER_DATABASE!$J$4:$J$1000,ROW()-3)&amp;"")</f>
        <v>To Be Confirmed</v>
      </c>
      <c r="K144" s="7" t="str">
        <f aca="false">IF(INDEX(MASTER_DATABASE!$A$4:$A$1000,ROW()-3)="","",INDEX(MASTER_DATABASE!$M$4:$M$1000,ROW()-3)&amp;"")</f>
        <v>✓ Aadhaar Card
✓ Active Mobile Number</v>
      </c>
      <c r="L144" s="7" t="str">
        <f aca="false">IF(INDEX(MASTER_DATABASE!$A$4:$A$1000,ROW()-3)="","",INDEX(MASTER_DATABASE!$Q$4:$Q$1000,ROW()-3)&amp;"")</f>
        <v>Depends on Department</v>
      </c>
      <c r="M144" s="11" t="str">
        <f aca="false">IF(INDEX(MASTER_DATABASE!$A$4:$A$1000,ROW()-3)="","",INDEX(MASTER_DATABASE!$AI$4:$AI$1000,ROW()-3)&amp;"")</f>
        <v>No</v>
      </c>
      <c r="N144" s="11" t="str">
        <f aca="false">IF(INDEX(MASTER_DATABASE!$A$4:$A$1000,ROW()-3)="","",INDEX(MASTER_DATABASE!$AJ$4:$AJ$1000,ROW()-3)&amp;"")</f>
        <v>No</v>
      </c>
      <c r="O144" s="11" t="str">
        <f aca="false">IF(INDEX(MASTER_DATABASE!$A$4:$A$1000,ROW()-3)="","",IF(INDEX(MASTER_DATABASE!$BE$4:$BE$1000,ROW()-3)="LIVE","Yes","No"))</f>
        <v>No</v>
      </c>
      <c r="P144" s="7" t="str">
        <f aca="false">IF(INDEX(MASTER_DATABASE!$A$4:$A$1000,ROW()-3)="","",INDEX(MASTER_DATABASE!$BG$4:$BG$1000,ROW()-3)&amp;"")</f>
        <v>Check Documents</v>
      </c>
      <c r="Q144" s="11" t="n">
        <f aca="false">IF(INDEX(MASTER_DATABASE!$A$4:$A$1000,ROW()-3)="","",INDEX(MASTER_DATABASE!$AQ$4:$AQ$1000,ROW()-3))</f>
        <v>360</v>
      </c>
    </row>
    <row r="145" customFormat="false" ht="23.85" hidden="false" customHeight="false" outlineLevel="0" collapsed="false">
      <c r="A145" s="11" t="str">
        <f aca="false">IF(INDEX(MASTER_DATABASE!$A$4:$A$1000,ROW()-3)="","",INDEX(MASTER_DATABASE!$A$4:$A$1000,ROW()-3)&amp;"")</f>
        <v>CSC-037</v>
      </c>
      <c r="B145" s="7" t="str">
        <f aca="false">IF(INDEX(MASTER_DATABASE!$A$4:$A$1000,ROW()-3)="","",INDEX(MASTER_DATABASE!$E$4:$E$1000,ROW()-3)&amp;"")</f>
        <v>e-Challan (Traffic) Payment</v>
      </c>
      <c r="C145" s="7" t="str">
        <f aca="false">IF(INDEX(MASTER_DATABASE!$A$4:$A$1000,ROW()-3)="","",INDEX(MASTER_DATABASE!$F$4:$F$1000,ROW()-3)&amp;"")</f>
        <v>e-चालान (ट्रैफिक) भुगतान</v>
      </c>
      <c r="D145" s="7" t="str">
        <f aca="false">IF(INDEX(MASTER_DATABASE!$A$4:$A$1000,ROW()-3)="","",INDEX(MASTER_DATABASE!$AL$4:$AL$1000,ROW()-3)&amp;"")</f>
        <v>Common Service Centre (CSC)</v>
      </c>
      <c r="E145" s="7" t="str">
        <f aca="false">IF(INDEX(MASTER_DATABASE!$A$4:$A$1000,ROW()-3)="","",INDEX(MASTER_DATABASE!$G$4:$G$1000,ROW()-3)&amp;"")</f>
        <v>e-Challan (Traffic) Payment through our Common Service Centre.</v>
      </c>
      <c r="F145" s="11" t="str">
        <f aca="false">IF(INDEX(MASTER_DATABASE!$A$4:$A$1000,ROW()-3)="","",INDEX(MASTER_DATABASE!$AP$4:$AP$1000,ROW()-3)&amp;"")</f>
        <v>🖥️</v>
      </c>
      <c r="G14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5" s="7" t="str">
        <f aca="false">IF(INDEX(MASTER_DATABASE!$A$4:$A$1000,ROW()-3)="","",INDEX(MASTER_DATABASE!$J$4:$J$1000,ROW()-3)&amp;"")</f>
        <v>Depends on Portal – Confirm at Shop</v>
      </c>
      <c r="K145" s="7" t="str">
        <f aca="false">IF(INDEX(MASTER_DATABASE!$A$4:$A$1000,ROW()-3)="","",INDEX(MASTER_DATABASE!$M$4:$M$1000,ROW()-3)&amp;"")</f>
        <v>✓ Vehicle / FASTag Details
✓ Active Mobile Number</v>
      </c>
      <c r="L145" s="7" t="str">
        <f aca="false">IF(INDEX(MASTER_DATABASE!$A$4:$A$1000,ROW()-3)="","",INDEX(MASTER_DATABASE!$Q$4:$Q$1000,ROW()-3)&amp;"")</f>
        <v>Depends on Department</v>
      </c>
      <c r="M145" s="11" t="str">
        <f aca="false">IF(INDEX(MASTER_DATABASE!$A$4:$A$1000,ROW()-3)="","",INDEX(MASTER_DATABASE!$AI$4:$AI$1000,ROW()-3)&amp;"")</f>
        <v>No</v>
      </c>
      <c r="N145" s="11" t="str">
        <f aca="false">IF(INDEX(MASTER_DATABASE!$A$4:$A$1000,ROW()-3)="","",INDEX(MASTER_DATABASE!$AJ$4:$AJ$1000,ROW()-3)&amp;"")</f>
        <v>No</v>
      </c>
      <c r="O145" s="11" t="str">
        <f aca="false">IF(INDEX(MASTER_DATABASE!$A$4:$A$1000,ROW()-3)="","",IF(INDEX(MASTER_DATABASE!$BE$4:$BE$1000,ROW()-3)="LIVE","Yes","No"))</f>
        <v>No</v>
      </c>
      <c r="P145" s="7" t="str">
        <f aca="false">IF(INDEX(MASTER_DATABASE!$A$4:$A$1000,ROW()-3)="","",INDEX(MASTER_DATABASE!$BG$4:$BG$1000,ROW()-3)&amp;"")</f>
        <v>Check Documents</v>
      </c>
      <c r="Q145" s="11" t="n">
        <f aca="false">IF(INDEX(MASTER_DATABASE!$A$4:$A$1000,ROW()-3)="","",INDEX(MASTER_DATABASE!$AQ$4:$AQ$1000,ROW()-3))</f>
        <v>370</v>
      </c>
    </row>
    <row r="146" customFormat="false" ht="35.05" hidden="false" customHeight="false" outlineLevel="0" collapsed="false">
      <c r="A146" s="11" t="str">
        <f aca="false">IF(INDEX(MASTER_DATABASE!$A$4:$A$1000,ROW()-3)="","",INDEX(MASTER_DATABASE!$A$4:$A$1000,ROW()-3)&amp;"")</f>
        <v>CSC-038</v>
      </c>
      <c r="B146" s="7" t="str">
        <f aca="false">IF(INDEX(MASTER_DATABASE!$A$4:$A$1000,ROW()-3)="","",INDEX(MASTER_DATABASE!$E$4:$E$1000,ROW()-3)&amp;"")</f>
        <v>Vehicle Services (Parivahan / VAHAN) Assistance</v>
      </c>
      <c r="C146" s="7" t="str">
        <f aca="false">IF(INDEX(MASTER_DATABASE!$A$4:$A$1000,ROW()-3)="","",INDEX(MASTER_DATABASE!$F$4:$F$1000,ROW()-3)&amp;"")</f>
        <v>वाहन सेवाएँ (परिवहन / VAHAN) सहायता</v>
      </c>
      <c r="D146" s="7" t="str">
        <f aca="false">IF(INDEX(MASTER_DATABASE!$A$4:$A$1000,ROW()-3)="","",INDEX(MASTER_DATABASE!$AL$4:$AL$1000,ROW()-3)&amp;"")</f>
        <v>Common Service Centre (CSC)</v>
      </c>
      <c r="E146" s="7" t="str">
        <f aca="false">IF(INDEX(MASTER_DATABASE!$A$4:$A$1000,ROW()-3)="","",INDEX(MASTER_DATABASE!$G$4:$G$1000,ROW()-3)&amp;"")</f>
        <v>Vehicle Services (Parivahan / VAHAN) Assistance through our Common Service Centre.</v>
      </c>
      <c r="F146" s="11" t="str">
        <f aca="false">IF(INDEX(MASTER_DATABASE!$A$4:$A$1000,ROW()-3)="","",INDEX(MASTER_DATABASE!$AP$4:$AP$1000,ROW()-3)&amp;"")</f>
        <v>🖥️</v>
      </c>
      <c r="G14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6" s="7" t="str">
        <f aca="false">IF(INDEX(MASTER_DATABASE!$A$4:$A$1000,ROW()-3)="","",INDEX(MASTER_DATABASE!$J$4:$J$1000,ROW()-3)&amp;"")</f>
        <v>Depends on Portal – Confirm at Shop</v>
      </c>
      <c r="K146" s="7" t="str">
        <f aca="false">IF(INDEX(MASTER_DATABASE!$A$4:$A$1000,ROW()-3)="","",INDEX(MASTER_DATABASE!$M$4:$M$1000,ROW()-3)&amp;"")</f>
        <v>✓ Vehicle / FASTag Details
✓ Active Mobile Number</v>
      </c>
      <c r="L146" s="7" t="str">
        <f aca="false">IF(INDEX(MASTER_DATABASE!$A$4:$A$1000,ROW()-3)="","",INDEX(MASTER_DATABASE!$Q$4:$Q$1000,ROW()-3)&amp;"")</f>
        <v>Depends on Department</v>
      </c>
      <c r="M146" s="11" t="str">
        <f aca="false">IF(INDEX(MASTER_DATABASE!$A$4:$A$1000,ROW()-3)="","",INDEX(MASTER_DATABASE!$AI$4:$AI$1000,ROW()-3)&amp;"")</f>
        <v>No</v>
      </c>
      <c r="N146" s="11" t="str">
        <f aca="false">IF(INDEX(MASTER_DATABASE!$A$4:$A$1000,ROW()-3)="","",INDEX(MASTER_DATABASE!$AJ$4:$AJ$1000,ROW()-3)&amp;"")</f>
        <v>No</v>
      </c>
      <c r="O146" s="11" t="str">
        <f aca="false">IF(INDEX(MASTER_DATABASE!$A$4:$A$1000,ROW()-3)="","",IF(INDEX(MASTER_DATABASE!$BE$4:$BE$1000,ROW()-3)="LIVE","Yes","No"))</f>
        <v>No</v>
      </c>
      <c r="P146" s="7" t="str">
        <f aca="false">IF(INDEX(MASTER_DATABASE!$A$4:$A$1000,ROW()-3)="","",INDEX(MASTER_DATABASE!$BG$4:$BG$1000,ROW()-3)&amp;"")</f>
        <v>Check Documents</v>
      </c>
      <c r="Q146" s="11" t="n">
        <f aca="false">IF(INDEX(MASTER_DATABASE!$A$4:$A$1000,ROW()-3)="","",INDEX(MASTER_DATABASE!$AQ$4:$AQ$1000,ROW()-3))</f>
        <v>380</v>
      </c>
    </row>
    <row r="147" customFormat="false" ht="57.45" hidden="false" customHeight="false" outlineLevel="0" collapsed="false">
      <c r="A147" s="11" t="str">
        <f aca="false">IF(INDEX(MASTER_DATABASE!$A$4:$A$1000,ROW()-3)="","",INDEX(MASTER_DATABASE!$A$4:$A$1000,ROW()-3)&amp;"")</f>
        <v>CSC-039</v>
      </c>
      <c r="B147" s="7" t="str">
        <f aca="false">IF(INDEX(MASTER_DATABASE!$A$4:$A$1000,ROW()-3)="","",INDEX(MASTER_DATABASE!$E$4:$E$1000,ROW()-3)&amp;"")</f>
        <v>Digital Signature Certificate (DSC) Issuance</v>
      </c>
      <c r="C147" s="7" t="str">
        <f aca="false">IF(INDEX(MASTER_DATABASE!$A$4:$A$1000,ROW()-3)="","",INDEX(MASTER_DATABASE!$F$4:$F$1000,ROW()-3)&amp;"")</f>
        <v>डिजिटल सिग्नेचर सर्टिफिकेट (DSC) निर्माण</v>
      </c>
      <c r="D147" s="7" t="str">
        <f aca="false">IF(INDEX(MASTER_DATABASE!$A$4:$A$1000,ROW()-3)="","",INDEX(MASTER_DATABASE!$AL$4:$AL$1000,ROW()-3)&amp;"")</f>
        <v>Common Service Centre (CSC)</v>
      </c>
      <c r="E147" s="7" t="str">
        <f aca="false">IF(INDEX(MASTER_DATABASE!$A$4:$A$1000,ROW()-3)="","",INDEX(MASTER_DATABASE!$G$4:$G$1000,ROW()-3)&amp;"")</f>
        <v>Digital Signature Certificate (DSC) Issuance through our Common Service Centre.</v>
      </c>
      <c r="F147" s="11" t="str">
        <f aca="false">IF(INDEX(MASTER_DATABASE!$A$4:$A$1000,ROW()-3)="","",INDEX(MASTER_DATABASE!$AP$4:$AP$1000,ROW()-3)&amp;"")</f>
        <v>☁️</v>
      </c>
      <c r="G14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7" s="7" t="str">
        <f aca="false">IF(INDEX(MASTER_DATABASE!$A$4:$A$1000,ROW()-3)="","",INDEX(MASTER_DATABASE!$J$4:$J$1000,ROW()-3)&amp;"")</f>
        <v>Please Confirm at Shop</v>
      </c>
      <c r="K147" s="7" t="str">
        <f aca="false">IF(INDEX(MASTER_DATABASE!$A$4:$A$1000,ROW()-3)="","",INDEX(MASTER_DATABASE!$M$4:$M$1000,ROW()-3)&amp;"")</f>
        <v>✓ Aadhaar Card
✓ Active Mobile Number
✓ PAN Card
✓ Passport Photo
✓ Email ID</v>
      </c>
      <c r="L147" s="7" t="str">
        <f aca="false">IF(INDEX(MASTER_DATABASE!$A$4:$A$1000,ROW()-3)="","",INDEX(MASTER_DATABASE!$Q$4:$Q$1000,ROW()-3)&amp;"")</f>
        <v>Depends on Department</v>
      </c>
      <c r="M147" s="11" t="str">
        <f aca="false">IF(INDEX(MASTER_DATABASE!$A$4:$A$1000,ROW()-3)="","",INDEX(MASTER_DATABASE!$AI$4:$AI$1000,ROW()-3)&amp;"")</f>
        <v>No</v>
      </c>
      <c r="N147" s="11" t="str">
        <f aca="false">IF(INDEX(MASTER_DATABASE!$A$4:$A$1000,ROW()-3)="","",INDEX(MASTER_DATABASE!$AJ$4:$AJ$1000,ROW()-3)&amp;"")</f>
        <v>No</v>
      </c>
      <c r="O147" s="11" t="str">
        <f aca="false">IF(INDEX(MASTER_DATABASE!$A$4:$A$1000,ROW()-3)="","",IF(INDEX(MASTER_DATABASE!$BE$4:$BE$1000,ROW()-3)="LIVE","Yes","No"))</f>
        <v>No</v>
      </c>
      <c r="P147" s="7" t="str">
        <f aca="false">IF(INDEX(MASTER_DATABASE!$A$4:$A$1000,ROW()-3)="","",INDEX(MASTER_DATABASE!$BG$4:$BG$1000,ROW()-3)&amp;"")</f>
        <v>Check Documents</v>
      </c>
      <c r="Q147" s="11" t="n">
        <f aca="false">IF(INDEX(MASTER_DATABASE!$A$4:$A$1000,ROW()-3)="","",INDEX(MASTER_DATABASE!$AQ$4:$AQ$1000,ROW()-3))</f>
        <v>390</v>
      </c>
    </row>
    <row r="148" customFormat="false" ht="23.85" hidden="false" customHeight="false" outlineLevel="0" collapsed="false">
      <c r="A148" s="11" t="str">
        <f aca="false">IF(INDEX(MASTER_DATABASE!$A$4:$A$1000,ROW()-3)="","",INDEX(MASTER_DATABASE!$A$4:$A$1000,ROW()-3)&amp;"")</f>
        <v>CSC-040</v>
      </c>
      <c r="B148" s="7" t="str">
        <f aca="false">IF(INDEX(MASTER_DATABASE!$A$4:$A$1000,ROW()-3)="","",INDEX(MASTER_DATABASE!$E$4:$E$1000,ROW()-3)&amp;"")</f>
        <v>Aadhaar eSign Assistance</v>
      </c>
      <c r="C148" s="7" t="str">
        <f aca="false">IF(INDEX(MASTER_DATABASE!$A$4:$A$1000,ROW()-3)="","",INDEX(MASTER_DATABASE!$F$4:$F$1000,ROW()-3)&amp;"")</f>
        <v>आधार eSign सहायता</v>
      </c>
      <c r="D148" s="7" t="str">
        <f aca="false">IF(INDEX(MASTER_DATABASE!$A$4:$A$1000,ROW()-3)="","",INDEX(MASTER_DATABASE!$AL$4:$AL$1000,ROW()-3)&amp;"")</f>
        <v>Common Service Centre (CSC)</v>
      </c>
      <c r="E148" s="7" t="str">
        <f aca="false">IF(INDEX(MASTER_DATABASE!$A$4:$A$1000,ROW()-3)="","",INDEX(MASTER_DATABASE!$G$4:$G$1000,ROW()-3)&amp;"")</f>
        <v>Aadhaar eSign Assistance through our Common Service Centre.</v>
      </c>
      <c r="F148" s="11" t="str">
        <f aca="false">IF(INDEX(MASTER_DATABASE!$A$4:$A$1000,ROW()-3)="","",INDEX(MASTER_DATABASE!$AP$4:$AP$1000,ROW()-3)&amp;"")</f>
        <v>☁️</v>
      </c>
      <c r="G14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8" s="7" t="str">
        <f aca="false">IF(INDEX(MASTER_DATABASE!$A$4:$A$1000,ROW()-3)="","",INDEX(MASTER_DATABASE!$J$4:$J$1000,ROW()-3)&amp;"")</f>
        <v>To Be Confirmed</v>
      </c>
      <c r="K148" s="7" t="str">
        <f aca="false">IF(INDEX(MASTER_DATABASE!$A$4:$A$1000,ROW()-3)="","",INDEX(MASTER_DATABASE!$M$4:$M$1000,ROW()-3)&amp;"")</f>
        <v>✓ Aadhaar Card
✓ Active Mobile Number</v>
      </c>
      <c r="L148" s="7" t="str">
        <f aca="false">IF(INDEX(MASTER_DATABASE!$A$4:$A$1000,ROW()-3)="","",INDEX(MASTER_DATABASE!$Q$4:$Q$1000,ROW()-3)&amp;"")</f>
        <v>Depends on Department</v>
      </c>
      <c r="M148" s="11" t="str">
        <f aca="false">IF(INDEX(MASTER_DATABASE!$A$4:$A$1000,ROW()-3)="","",INDEX(MASTER_DATABASE!$AI$4:$AI$1000,ROW()-3)&amp;"")</f>
        <v>No</v>
      </c>
      <c r="N148" s="11" t="str">
        <f aca="false">IF(INDEX(MASTER_DATABASE!$A$4:$A$1000,ROW()-3)="","",INDEX(MASTER_DATABASE!$AJ$4:$AJ$1000,ROW()-3)&amp;"")</f>
        <v>No</v>
      </c>
      <c r="O148" s="11" t="str">
        <f aca="false">IF(INDEX(MASTER_DATABASE!$A$4:$A$1000,ROW()-3)="","",IF(INDEX(MASTER_DATABASE!$BE$4:$BE$1000,ROW()-3)="LIVE","Yes","No"))</f>
        <v>No</v>
      </c>
      <c r="P148" s="7" t="str">
        <f aca="false">IF(INDEX(MASTER_DATABASE!$A$4:$A$1000,ROW()-3)="","",INDEX(MASTER_DATABASE!$BG$4:$BG$1000,ROW()-3)&amp;"")</f>
        <v>Check Documents</v>
      </c>
      <c r="Q148" s="11" t="n">
        <f aca="false">IF(INDEX(MASTER_DATABASE!$A$4:$A$1000,ROW()-3)="","",INDEX(MASTER_DATABASE!$AQ$4:$AQ$1000,ROW()-3))</f>
        <v>400</v>
      </c>
    </row>
    <row r="149" customFormat="false" ht="23.85" hidden="false" customHeight="false" outlineLevel="0" collapsed="false">
      <c r="A149" s="11" t="str">
        <f aca="false">IF(INDEX(MASTER_DATABASE!$A$4:$A$1000,ROW()-3)="","",INDEX(MASTER_DATABASE!$A$4:$A$1000,ROW()-3)&amp;"")</f>
        <v>CSC-041</v>
      </c>
      <c r="B149" s="7" t="str">
        <f aca="false">IF(INDEX(MASTER_DATABASE!$A$4:$A$1000,ROW()-3)="","",INDEX(MASTER_DATABASE!$E$4:$E$1000,ROW()-3)&amp;"")</f>
        <v>CSC e-Store / Grameen e-Store Orders</v>
      </c>
      <c r="C149" s="7" t="str">
        <f aca="false">IF(INDEX(MASTER_DATABASE!$A$4:$A$1000,ROW()-3)="","",INDEX(MASTER_DATABASE!$F$4:$F$1000,ROW()-3)&amp;"")</f>
        <v>CSC e-Store / ग्रामीण e-Store ऑर्डर</v>
      </c>
      <c r="D149" s="7" t="str">
        <f aca="false">IF(INDEX(MASTER_DATABASE!$A$4:$A$1000,ROW()-3)="","",INDEX(MASTER_DATABASE!$AL$4:$AL$1000,ROW()-3)&amp;"")</f>
        <v>Common Service Centre (CSC)</v>
      </c>
      <c r="E149" s="7" t="str">
        <f aca="false">IF(INDEX(MASTER_DATABASE!$A$4:$A$1000,ROW()-3)="","",INDEX(MASTER_DATABASE!$G$4:$G$1000,ROW()-3)&amp;"")</f>
        <v>CSC e-Store / Grameen e-Store Orders through our Common Service Centre.</v>
      </c>
      <c r="F149" s="11" t="str">
        <f aca="false">IF(INDEX(MASTER_DATABASE!$A$4:$A$1000,ROW()-3)="","",INDEX(MASTER_DATABASE!$AP$4:$AP$1000,ROW()-3)&amp;"")</f>
        <v>☁️</v>
      </c>
      <c r="G14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4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4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49" s="7" t="str">
        <f aca="false">IF(INDEX(MASTER_DATABASE!$A$4:$A$1000,ROW()-3)="","",INDEX(MASTER_DATABASE!$J$4:$J$1000,ROW()-3)&amp;"")</f>
        <v>To Be Confirmed</v>
      </c>
      <c r="K149" s="7" t="str">
        <f aca="false">IF(INDEX(MASTER_DATABASE!$A$4:$A$1000,ROW()-3)="","",INDEX(MASTER_DATABASE!$M$4:$M$1000,ROW()-3)&amp;"")</f>
        <v>✓ Aadhaar Card
✓ Active Mobile Number</v>
      </c>
      <c r="L149" s="7" t="str">
        <f aca="false">IF(INDEX(MASTER_DATABASE!$A$4:$A$1000,ROW()-3)="","",INDEX(MASTER_DATABASE!$Q$4:$Q$1000,ROW()-3)&amp;"")</f>
        <v>Depends on Department</v>
      </c>
      <c r="M149" s="11" t="str">
        <f aca="false">IF(INDEX(MASTER_DATABASE!$A$4:$A$1000,ROW()-3)="","",INDEX(MASTER_DATABASE!$AI$4:$AI$1000,ROW()-3)&amp;"")</f>
        <v>No</v>
      </c>
      <c r="N149" s="11" t="str">
        <f aca="false">IF(INDEX(MASTER_DATABASE!$A$4:$A$1000,ROW()-3)="","",INDEX(MASTER_DATABASE!$AJ$4:$AJ$1000,ROW()-3)&amp;"")</f>
        <v>No</v>
      </c>
      <c r="O149" s="11" t="str">
        <f aca="false">IF(INDEX(MASTER_DATABASE!$A$4:$A$1000,ROW()-3)="","",IF(INDEX(MASTER_DATABASE!$BE$4:$BE$1000,ROW()-3)="LIVE","Yes","No"))</f>
        <v>No</v>
      </c>
      <c r="P149" s="7" t="str">
        <f aca="false">IF(INDEX(MASTER_DATABASE!$A$4:$A$1000,ROW()-3)="","",INDEX(MASTER_DATABASE!$BG$4:$BG$1000,ROW()-3)&amp;"")</f>
        <v>Check Documents</v>
      </c>
      <c r="Q149" s="11" t="n">
        <f aca="false">IF(INDEX(MASTER_DATABASE!$A$4:$A$1000,ROW()-3)="","",INDEX(MASTER_DATABASE!$AQ$4:$AQ$1000,ROW()-3))</f>
        <v>410</v>
      </c>
    </row>
    <row r="150" customFormat="false" ht="46.25" hidden="false" customHeight="false" outlineLevel="0" collapsed="false">
      <c r="A150" s="11" t="str">
        <f aca="false">IF(INDEX(MASTER_DATABASE!$A$4:$A$1000,ROW()-3)="","",INDEX(MASTER_DATABASE!$A$4:$A$1000,ROW()-3)&amp;"")</f>
        <v>CSC-042</v>
      </c>
      <c r="B150" s="7" t="str">
        <f aca="false">IF(INDEX(MASTER_DATABASE!$A$4:$A$1000,ROW()-3)="","",INDEX(MASTER_DATABASE!$E$4:$E$1000,ROW()-3)&amp;"")</f>
        <v>Udyam (MSME) Registration</v>
      </c>
      <c r="C150" s="7" t="str">
        <f aca="false">IF(INDEX(MASTER_DATABASE!$A$4:$A$1000,ROW()-3)="","",INDEX(MASTER_DATABASE!$F$4:$F$1000,ROW()-3)&amp;"")</f>
        <v>उद्यम (MSME) पंजीकरण</v>
      </c>
      <c r="D150" s="7" t="str">
        <f aca="false">IF(INDEX(MASTER_DATABASE!$A$4:$A$1000,ROW()-3)="","",INDEX(MASTER_DATABASE!$AL$4:$AL$1000,ROW()-3)&amp;"")</f>
        <v>Common Service Centre (CSC)</v>
      </c>
      <c r="E150" s="7" t="str">
        <f aca="false">IF(INDEX(MASTER_DATABASE!$A$4:$A$1000,ROW()-3)="","",INDEX(MASTER_DATABASE!$G$4:$G$1000,ROW()-3)&amp;"")</f>
        <v>Udyam (MSME) Registration through our Common Service Centre.</v>
      </c>
      <c r="F150" s="11" t="str">
        <f aca="false">IF(INDEX(MASTER_DATABASE!$A$4:$A$1000,ROW()-3)="","",INDEX(MASTER_DATABASE!$AP$4:$AP$1000,ROW()-3)&amp;"")</f>
        <v>🖥️</v>
      </c>
      <c r="G15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0" s="7" t="str">
        <f aca="false">IF(INDEX(MASTER_DATABASE!$A$4:$A$1000,ROW()-3)="","",INDEX(MASTER_DATABASE!$J$4:$J$1000,ROW()-3)&amp;"")</f>
        <v>Depends on Portal – Confirm at Shop</v>
      </c>
      <c r="K150" s="7" t="str">
        <f aca="false">IF(INDEX(MASTER_DATABASE!$A$4:$A$1000,ROW()-3)="","",INDEX(MASTER_DATABASE!$M$4:$M$1000,ROW()-3)&amp;"")</f>
        <v>✓ Aadhaar Card
✓ Active Mobile Number
✓ PAN Card
✓ Business Details</v>
      </c>
      <c r="L150" s="7" t="str">
        <f aca="false">IF(INDEX(MASTER_DATABASE!$A$4:$A$1000,ROW()-3)="","",INDEX(MASTER_DATABASE!$Q$4:$Q$1000,ROW()-3)&amp;"")</f>
        <v>Depends on Department</v>
      </c>
      <c r="M150" s="11" t="str">
        <f aca="false">IF(INDEX(MASTER_DATABASE!$A$4:$A$1000,ROW()-3)="","",INDEX(MASTER_DATABASE!$AI$4:$AI$1000,ROW()-3)&amp;"")</f>
        <v>No</v>
      </c>
      <c r="N150" s="11" t="str">
        <f aca="false">IF(INDEX(MASTER_DATABASE!$A$4:$A$1000,ROW()-3)="","",INDEX(MASTER_DATABASE!$AJ$4:$AJ$1000,ROW()-3)&amp;"")</f>
        <v>No</v>
      </c>
      <c r="O150" s="11" t="str">
        <f aca="false">IF(INDEX(MASTER_DATABASE!$A$4:$A$1000,ROW()-3)="","",IF(INDEX(MASTER_DATABASE!$BE$4:$BE$1000,ROW()-3)="LIVE","Yes","No"))</f>
        <v>No</v>
      </c>
      <c r="P150" s="7" t="str">
        <f aca="false">IF(INDEX(MASTER_DATABASE!$A$4:$A$1000,ROW()-3)="","",INDEX(MASTER_DATABASE!$BG$4:$BG$1000,ROW()-3)&amp;"")</f>
        <v>Check Documents</v>
      </c>
      <c r="Q150" s="11" t="n">
        <f aca="false">IF(INDEX(MASTER_DATABASE!$A$4:$A$1000,ROW()-3)="","",INDEX(MASTER_DATABASE!$AQ$4:$AQ$1000,ROW()-3))</f>
        <v>420</v>
      </c>
    </row>
    <row r="151" customFormat="false" ht="68.65" hidden="false" customHeight="false" outlineLevel="0" collapsed="false">
      <c r="A151" s="11" t="str">
        <f aca="false">IF(INDEX(MASTER_DATABASE!$A$4:$A$1000,ROW()-3)="","",INDEX(MASTER_DATABASE!$A$4:$A$1000,ROW()-3)&amp;"")</f>
        <v>CSC-043</v>
      </c>
      <c r="B151" s="7" t="str">
        <f aca="false">IF(INDEX(MASTER_DATABASE!$A$4:$A$1000,ROW()-3)="","",INDEX(MASTER_DATABASE!$E$4:$E$1000,ROW()-3)&amp;"")</f>
        <v>GST Registration Assistance</v>
      </c>
      <c r="C151" s="7" t="str">
        <f aca="false">IF(INDEX(MASTER_DATABASE!$A$4:$A$1000,ROW()-3)="","",INDEX(MASTER_DATABASE!$F$4:$F$1000,ROW()-3)&amp;"")</f>
        <v>GST पंजीकरण सहायता</v>
      </c>
      <c r="D151" s="7" t="str">
        <f aca="false">IF(INDEX(MASTER_DATABASE!$A$4:$A$1000,ROW()-3)="","",INDEX(MASTER_DATABASE!$AL$4:$AL$1000,ROW()-3)&amp;"")</f>
        <v>Common Service Centre (CSC)</v>
      </c>
      <c r="E151" s="7" t="str">
        <f aca="false">IF(INDEX(MASTER_DATABASE!$A$4:$A$1000,ROW()-3)="","",INDEX(MASTER_DATABASE!$G$4:$G$1000,ROW()-3)&amp;"")</f>
        <v>GST Registration Assistance through our Common Service Centre.</v>
      </c>
      <c r="F151" s="11" t="str">
        <f aca="false">IF(INDEX(MASTER_DATABASE!$A$4:$A$1000,ROW()-3)="","",INDEX(MASTER_DATABASE!$AP$4:$AP$1000,ROW()-3)&amp;"")</f>
        <v>🖥️</v>
      </c>
      <c r="G15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1" s="7" t="str">
        <f aca="false">IF(INDEX(MASTER_DATABASE!$A$4:$A$1000,ROW()-3)="","",INDEX(MASTER_DATABASE!$J$4:$J$1000,ROW()-3)&amp;"")</f>
        <v>Depends on Portal – Confirm at Shop</v>
      </c>
      <c r="K151" s="7" t="str">
        <f aca="false">IF(INDEX(MASTER_DATABASE!$A$4:$A$1000,ROW()-3)="","",INDEX(MASTER_DATABASE!$M$4:$M$1000,ROW()-3)&amp;"")</f>
        <v>✓ Aadhaar Card
✓ Active Mobile Number
✓ PAN Card
✓ Business Details
✓ Address Proof
✓ Passport Photo</v>
      </c>
      <c r="L151" s="7" t="str">
        <f aca="false">IF(INDEX(MASTER_DATABASE!$A$4:$A$1000,ROW()-3)="","",INDEX(MASTER_DATABASE!$Q$4:$Q$1000,ROW()-3)&amp;"")</f>
        <v>Depends on Department</v>
      </c>
      <c r="M151" s="11" t="str">
        <f aca="false">IF(INDEX(MASTER_DATABASE!$A$4:$A$1000,ROW()-3)="","",INDEX(MASTER_DATABASE!$AI$4:$AI$1000,ROW()-3)&amp;"")</f>
        <v>No</v>
      </c>
      <c r="N151" s="11" t="str">
        <f aca="false">IF(INDEX(MASTER_DATABASE!$A$4:$A$1000,ROW()-3)="","",INDEX(MASTER_DATABASE!$AJ$4:$AJ$1000,ROW()-3)&amp;"")</f>
        <v>No</v>
      </c>
      <c r="O151" s="11" t="str">
        <f aca="false">IF(INDEX(MASTER_DATABASE!$A$4:$A$1000,ROW()-3)="","",IF(INDEX(MASTER_DATABASE!$BE$4:$BE$1000,ROW()-3)="LIVE","Yes","No"))</f>
        <v>No</v>
      </c>
      <c r="P151" s="7" t="str">
        <f aca="false">IF(INDEX(MASTER_DATABASE!$A$4:$A$1000,ROW()-3)="","",INDEX(MASTER_DATABASE!$BG$4:$BG$1000,ROW()-3)&amp;"")</f>
        <v>Check Documents</v>
      </c>
      <c r="Q151" s="11" t="n">
        <f aca="false">IF(INDEX(MASTER_DATABASE!$A$4:$A$1000,ROW()-3)="","",INDEX(MASTER_DATABASE!$AQ$4:$AQ$1000,ROW()-3))</f>
        <v>430</v>
      </c>
    </row>
    <row r="152" customFormat="false" ht="68.65" hidden="false" customHeight="false" outlineLevel="0" collapsed="false">
      <c r="A152" s="11" t="str">
        <f aca="false">IF(INDEX(MASTER_DATABASE!$A$4:$A$1000,ROW()-3)="","",INDEX(MASTER_DATABASE!$A$4:$A$1000,ROW()-3)&amp;"")</f>
        <v>CSC-044</v>
      </c>
      <c r="B152" s="7" t="str">
        <f aca="false">IF(INDEX(MASTER_DATABASE!$A$4:$A$1000,ROW()-3)="","",INDEX(MASTER_DATABASE!$E$4:$E$1000,ROW()-3)&amp;"")</f>
        <v>GST Return Filing Assistance</v>
      </c>
      <c r="C152" s="7" t="str">
        <f aca="false">IF(INDEX(MASTER_DATABASE!$A$4:$A$1000,ROW()-3)="","",INDEX(MASTER_DATABASE!$F$4:$F$1000,ROW()-3)&amp;"")</f>
        <v>GST रिटर्न फाइलिंग सहायता</v>
      </c>
      <c r="D152" s="7" t="str">
        <f aca="false">IF(INDEX(MASTER_DATABASE!$A$4:$A$1000,ROW()-3)="","",INDEX(MASTER_DATABASE!$AL$4:$AL$1000,ROW()-3)&amp;"")</f>
        <v>Common Service Centre (CSC)</v>
      </c>
      <c r="E152" s="7" t="str">
        <f aca="false">IF(INDEX(MASTER_DATABASE!$A$4:$A$1000,ROW()-3)="","",INDEX(MASTER_DATABASE!$G$4:$G$1000,ROW()-3)&amp;"")</f>
        <v>GST Return Filing Assistance through our Common Service Centre.</v>
      </c>
      <c r="F152" s="11" t="str">
        <f aca="false">IF(INDEX(MASTER_DATABASE!$A$4:$A$1000,ROW()-3)="","",INDEX(MASTER_DATABASE!$AP$4:$AP$1000,ROW()-3)&amp;"")</f>
        <v>🖥️</v>
      </c>
      <c r="G15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2" s="7" t="str">
        <f aca="false">IF(INDEX(MASTER_DATABASE!$A$4:$A$1000,ROW()-3)="","",INDEX(MASTER_DATABASE!$J$4:$J$1000,ROW()-3)&amp;"")</f>
        <v>Depends on Portal – Confirm at Shop</v>
      </c>
      <c r="K152" s="7" t="str">
        <f aca="false">IF(INDEX(MASTER_DATABASE!$A$4:$A$1000,ROW()-3)="","",INDEX(MASTER_DATABASE!$M$4:$M$1000,ROW()-3)&amp;"")</f>
        <v>✓ Aadhaar Card
✓ Active Mobile Number
✓ PAN Card
✓ Business Details
✓ Address Proof
✓ Passport Photo</v>
      </c>
      <c r="L152" s="7" t="str">
        <f aca="false">IF(INDEX(MASTER_DATABASE!$A$4:$A$1000,ROW()-3)="","",INDEX(MASTER_DATABASE!$Q$4:$Q$1000,ROW()-3)&amp;"")</f>
        <v>Depends on Department</v>
      </c>
      <c r="M152" s="11" t="str">
        <f aca="false">IF(INDEX(MASTER_DATABASE!$A$4:$A$1000,ROW()-3)="","",INDEX(MASTER_DATABASE!$AI$4:$AI$1000,ROW()-3)&amp;"")</f>
        <v>No</v>
      </c>
      <c r="N152" s="11" t="str">
        <f aca="false">IF(INDEX(MASTER_DATABASE!$A$4:$A$1000,ROW()-3)="","",INDEX(MASTER_DATABASE!$AJ$4:$AJ$1000,ROW()-3)&amp;"")</f>
        <v>No</v>
      </c>
      <c r="O152" s="11" t="str">
        <f aca="false">IF(INDEX(MASTER_DATABASE!$A$4:$A$1000,ROW()-3)="","",IF(INDEX(MASTER_DATABASE!$BE$4:$BE$1000,ROW()-3)="LIVE","Yes","No"))</f>
        <v>No</v>
      </c>
      <c r="P152" s="7" t="str">
        <f aca="false">IF(INDEX(MASTER_DATABASE!$A$4:$A$1000,ROW()-3)="","",INDEX(MASTER_DATABASE!$BG$4:$BG$1000,ROW()-3)&amp;"")</f>
        <v>Check Documents</v>
      </c>
      <c r="Q152" s="11" t="n">
        <f aca="false">IF(INDEX(MASTER_DATABASE!$A$4:$A$1000,ROW()-3)="","",INDEX(MASTER_DATABASE!$AQ$4:$AQ$1000,ROW()-3))</f>
        <v>440</v>
      </c>
    </row>
    <row r="153" customFormat="false" ht="68.65" hidden="false" customHeight="false" outlineLevel="0" collapsed="false">
      <c r="A153" s="11" t="str">
        <f aca="false">IF(INDEX(MASTER_DATABASE!$A$4:$A$1000,ROW()-3)="","",INDEX(MASTER_DATABASE!$A$4:$A$1000,ROW()-3)&amp;"")</f>
        <v>CSC-045</v>
      </c>
      <c r="B153" s="7" t="str">
        <f aca="false">IF(INDEX(MASTER_DATABASE!$A$4:$A$1000,ROW()-3)="","",INDEX(MASTER_DATABASE!$E$4:$E$1000,ROW()-3)&amp;"")</f>
        <v>FSSAI Registration / Licence Assistance</v>
      </c>
      <c r="C153" s="7" t="str">
        <f aca="false">IF(INDEX(MASTER_DATABASE!$A$4:$A$1000,ROW()-3)="","",INDEX(MASTER_DATABASE!$F$4:$F$1000,ROW()-3)&amp;"")</f>
        <v>FSSAI पंजीकरण / लाइसेंस सहायता</v>
      </c>
      <c r="D153" s="7" t="str">
        <f aca="false">IF(INDEX(MASTER_DATABASE!$A$4:$A$1000,ROW()-3)="","",INDEX(MASTER_DATABASE!$AL$4:$AL$1000,ROW()-3)&amp;"")</f>
        <v>Common Service Centre (CSC)</v>
      </c>
      <c r="E153" s="7" t="str">
        <f aca="false">IF(INDEX(MASTER_DATABASE!$A$4:$A$1000,ROW()-3)="","",INDEX(MASTER_DATABASE!$G$4:$G$1000,ROW()-3)&amp;"")</f>
        <v>FSSAI Registration / Licence Assistance through our Common Service Centre.</v>
      </c>
      <c r="F153" s="11" t="str">
        <f aca="false">IF(INDEX(MASTER_DATABASE!$A$4:$A$1000,ROW()-3)="","",INDEX(MASTER_DATABASE!$AP$4:$AP$1000,ROW()-3)&amp;"")</f>
        <v>🖥️</v>
      </c>
      <c r="G15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3" s="7" t="str">
        <f aca="false">IF(INDEX(MASTER_DATABASE!$A$4:$A$1000,ROW()-3)="","",INDEX(MASTER_DATABASE!$J$4:$J$1000,ROW()-3)&amp;"")</f>
        <v>Depends on Portal – Confirm at Shop</v>
      </c>
      <c r="K153" s="7" t="str">
        <f aca="false">IF(INDEX(MASTER_DATABASE!$A$4:$A$1000,ROW()-3)="","",INDEX(MASTER_DATABASE!$M$4:$M$1000,ROW()-3)&amp;"")</f>
        <v>✓ Aadhaar Card
✓ Active Mobile Number
✓ PAN Card
✓ Business Details
✓ Address Proof
✓ Passport Photo</v>
      </c>
      <c r="L153" s="7" t="str">
        <f aca="false">IF(INDEX(MASTER_DATABASE!$A$4:$A$1000,ROW()-3)="","",INDEX(MASTER_DATABASE!$Q$4:$Q$1000,ROW()-3)&amp;"")</f>
        <v>Depends on Department</v>
      </c>
      <c r="M153" s="11" t="str">
        <f aca="false">IF(INDEX(MASTER_DATABASE!$A$4:$A$1000,ROW()-3)="","",INDEX(MASTER_DATABASE!$AI$4:$AI$1000,ROW()-3)&amp;"")</f>
        <v>No</v>
      </c>
      <c r="N153" s="11" t="str">
        <f aca="false">IF(INDEX(MASTER_DATABASE!$A$4:$A$1000,ROW()-3)="","",INDEX(MASTER_DATABASE!$AJ$4:$AJ$1000,ROW()-3)&amp;"")</f>
        <v>No</v>
      </c>
      <c r="O153" s="11" t="str">
        <f aca="false">IF(INDEX(MASTER_DATABASE!$A$4:$A$1000,ROW()-3)="","",IF(INDEX(MASTER_DATABASE!$BE$4:$BE$1000,ROW()-3)="LIVE","Yes","No"))</f>
        <v>No</v>
      </c>
      <c r="P153" s="7" t="str">
        <f aca="false">IF(INDEX(MASTER_DATABASE!$A$4:$A$1000,ROW()-3)="","",INDEX(MASTER_DATABASE!$BG$4:$BG$1000,ROW()-3)&amp;"")</f>
        <v>Check Documents</v>
      </c>
      <c r="Q153" s="11" t="n">
        <f aca="false">IF(INDEX(MASTER_DATABASE!$A$4:$A$1000,ROW()-3)="","",INDEX(MASTER_DATABASE!$AQ$4:$AQ$1000,ROW()-3))</f>
        <v>450</v>
      </c>
    </row>
    <row r="154" customFormat="false" ht="46.25" hidden="false" customHeight="false" outlineLevel="0" collapsed="false">
      <c r="A154" s="11" t="str">
        <f aca="false">IF(INDEX(MASTER_DATABASE!$A$4:$A$1000,ROW()-3)="","",INDEX(MASTER_DATABASE!$A$4:$A$1000,ROW()-3)&amp;"")</f>
        <v>CSC-046</v>
      </c>
      <c r="B154" s="7" t="str">
        <f aca="false">IF(INDEX(MASTER_DATABASE!$A$4:$A$1000,ROW()-3)="","",INDEX(MASTER_DATABASE!$E$4:$E$1000,ROW()-3)&amp;"")</f>
        <v>Income Tax Return (ITR) Filing Assistance</v>
      </c>
      <c r="C154" s="7" t="str">
        <f aca="false">IF(INDEX(MASTER_DATABASE!$A$4:$A$1000,ROW()-3)="","",INDEX(MASTER_DATABASE!$F$4:$F$1000,ROW()-3)&amp;"")</f>
        <v>आयकर रिटर्न (ITR) फाइलिंग सहायता</v>
      </c>
      <c r="D154" s="7" t="str">
        <f aca="false">IF(INDEX(MASTER_DATABASE!$A$4:$A$1000,ROW()-3)="","",INDEX(MASTER_DATABASE!$AL$4:$AL$1000,ROW()-3)&amp;"")</f>
        <v>Common Service Centre (CSC)</v>
      </c>
      <c r="E154" s="7" t="str">
        <f aca="false">IF(INDEX(MASTER_DATABASE!$A$4:$A$1000,ROW()-3)="","",INDEX(MASTER_DATABASE!$G$4:$G$1000,ROW()-3)&amp;"")</f>
        <v>Income Tax Return (ITR) Filing Assistance through our Common Service Centre.</v>
      </c>
      <c r="F154" s="11" t="str">
        <f aca="false">IF(INDEX(MASTER_DATABASE!$A$4:$A$1000,ROW()-3)="","",INDEX(MASTER_DATABASE!$AP$4:$AP$1000,ROW()-3)&amp;"")</f>
        <v>🖥️</v>
      </c>
      <c r="G15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4" s="7" t="str">
        <f aca="false">IF(INDEX(MASTER_DATABASE!$A$4:$A$1000,ROW()-3)="","",INDEX(MASTER_DATABASE!$J$4:$J$1000,ROW()-3)&amp;"")</f>
        <v>Depends on Portal – Confirm at Shop</v>
      </c>
      <c r="K154" s="7" t="str">
        <f aca="false">IF(INDEX(MASTER_DATABASE!$A$4:$A$1000,ROW()-3)="","",INDEX(MASTER_DATABASE!$M$4:$M$1000,ROW()-3)&amp;"")</f>
        <v>✓ Aadhaar Card
✓ Active Mobile Number
✓ PAN Card
✓ Bank Passbook</v>
      </c>
      <c r="L154" s="7" t="str">
        <f aca="false">IF(INDEX(MASTER_DATABASE!$A$4:$A$1000,ROW()-3)="","",INDEX(MASTER_DATABASE!$Q$4:$Q$1000,ROW()-3)&amp;"")</f>
        <v>Depends on Department</v>
      </c>
      <c r="M154" s="11" t="str">
        <f aca="false">IF(INDEX(MASTER_DATABASE!$A$4:$A$1000,ROW()-3)="","",INDEX(MASTER_DATABASE!$AI$4:$AI$1000,ROW()-3)&amp;"")</f>
        <v>No</v>
      </c>
      <c r="N154" s="11" t="str">
        <f aca="false">IF(INDEX(MASTER_DATABASE!$A$4:$A$1000,ROW()-3)="","",INDEX(MASTER_DATABASE!$AJ$4:$AJ$1000,ROW()-3)&amp;"")</f>
        <v>No</v>
      </c>
      <c r="O154" s="11" t="str">
        <f aca="false">IF(INDEX(MASTER_DATABASE!$A$4:$A$1000,ROW()-3)="","",IF(INDEX(MASTER_DATABASE!$BE$4:$BE$1000,ROW()-3)="LIVE","Yes","No"))</f>
        <v>No</v>
      </c>
      <c r="P154" s="7" t="str">
        <f aca="false">IF(INDEX(MASTER_DATABASE!$A$4:$A$1000,ROW()-3)="","",INDEX(MASTER_DATABASE!$BG$4:$BG$1000,ROW()-3)&amp;"")</f>
        <v>Check Documents</v>
      </c>
      <c r="Q154" s="11" t="n">
        <f aca="false">IF(INDEX(MASTER_DATABASE!$A$4:$A$1000,ROW()-3)="","",INDEX(MASTER_DATABASE!$AQ$4:$AQ$1000,ROW()-3))</f>
        <v>460</v>
      </c>
    </row>
    <row r="155" customFormat="false" ht="68.65" hidden="false" customHeight="false" outlineLevel="0" collapsed="false">
      <c r="A155" s="11" t="str">
        <f aca="false">IF(INDEX(MASTER_DATABASE!$A$4:$A$1000,ROW()-3)="","",INDEX(MASTER_DATABASE!$A$4:$A$1000,ROW()-3)&amp;"")</f>
        <v>CSC-047</v>
      </c>
      <c r="B155" s="7" t="str">
        <f aca="false">IF(INDEX(MASTER_DATABASE!$A$4:$A$1000,ROW()-3)="","",INDEX(MASTER_DATABASE!$E$4:$E$1000,ROW()-3)&amp;"")</f>
        <v>Shop &amp; Establishment Registration Assistance</v>
      </c>
      <c r="C155" s="7" t="str">
        <f aca="false">IF(INDEX(MASTER_DATABASE!$A$4:$A$1000,ROW()-3)="","",INDEX(MASTER_DATABASE!$F$4:$F$1000,ROW()-3)&amp;"")</f>
        <v>दुकान एवं प्रतिष्ठान पंजीकरण सहायता</v>
      </c>
      <c r="D155" s="7" t="str">
        <f aca="false">IF(INDEX(MASTER_DATABASE!$A$4:$A$1000,ROW()-3)="","",INDEX(MASTER_DATABASE!$AL$4:$AL$1000,ROW()-3)&amp;"")</f>
        <v>Common Service Centre (CSC)</v>
      </c>
      <c r="E155" s="7" t="str">
        <f aca="false">IF(INDEX(MASTER_DATABASE!$A$4:$A$1000,ROW()-3)="","",INDEX(MASTER_DATABASE!$G$4:$G$1000,ROW()-3)&amp;"")</f>
        <v>Shop &amp; Establishment Registration Assistance through our Common Service Centre.</v>
      </c>
      <c r="F155" s="11" t="str">
        <f aca="false">IF(INDEX(MASTER_DATABASE!$A$4:$A$1000,ROW()-3)="","",INDEX(MASTER_DATABASE!$AP$4:$AP$1000,ROW()-3)&amp;"")</f>
        <v>🖥️</v>
      </c>
      <c r="G15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5" s="7" t="str">
        <f aca="false">IF(INDEX(MASTER_DATABASE!$A$4:$A$1000,ROW()-3)="","",INDEX(MASTER_DATABASE!$J$4:$J$1000,ROW()-3)&amp;"")</f>
        <v>To Be Confirmed</v>
      </c>
      <c r="K155" s="7" t="str">
        <f aca="false">IF(INDEX(MASTER_DATABASE!$A$4:$A$1000,ROW()-3)="","",INDEX(MASTER_DATABASE!$M$4:$M$1000,ROW()-3)&amp;"")</f>
        <v>✓ Aadhaar Card
✓ Active Mobile Number
✓ PAN Card
✓ Business Details
✓ Address Proof
✓ Passport Photo</v>
      </c>
      <c r="L155" s="7" t="str">
        <f aca="false">IF(INDEX(MASTER_DATABASE!$A$4:$A$1000,ROW()-3)="","",INDEX(MASTER_DATABASE!$Q$4:$Q$1000,ROW()-3)&amp;"")</f>
        <v>Depends on Department</v>
      </c>
      <c r="M155" s="11" t="str">
        <f aca="false">IF(INDEX(MASTER_DATABASE!$A$4:$A$1000,ROW()-3)="","",INDEX(MASTER_DATABASE!$AI$4:$AI$1000,ROW()-3)&amp;"")</f>
        <v>No</v>
      </c>
      <c r="N155" s="11" t="str">
        <f aca="false">IF(INDEX(MASTER_DATABASE!$A$4:$A$1000,ROW()-3)="","",INDEX(MASTER_DATABASE!$AJ$4:$AJ$1000,ROW()-3)&amp;"")</f>
        <v>No</v>
      </c>
      <c r="O155" s="11" t="str">
        <f aca="false">IF(INDEX(MASTER_DATABASE!$A$4:$A$1000,ROW()-3)="","",IF(INDEX(MASTER_DATABASE!$BE$4:$BE$1000,ROW()-3)="LIVE","Yes","No"))</f>
        <v>No</v>
      </c>
      <c r="P155" s="7" t="str">
        <f aca="false">IF(INDEX(MASTER_DATABASE!$A$4:$A$1000,ROW()-3)="","",INDEX(MASTER_DATABASE!$BG$4:$BG$1000,ROW()-3)&amp;"")</f>
        <v>Check Documents</v>
      </c>
      <c r="Q155" s="11" t="n">
        <f aca="false">IF(INDEX(MASTER_DATABASE!$A$4:$A$1000,ROW()-3)="","",INDEX(MASTER_DATABASE!$AQ$4:$AQ$1000,ROW()-3))</f>
        <v>470</v>
      </c>
    </row>
    <row r="156" customFormat="false" ht="35.05" hidden="false" customHeight="false" outlineLevel="0" collapsed="false">
      <c r="A156" s="11" t="str">
        <f aca="false">IF(INDEX(MASTER_DATABASE!$A$4:$A$1000,ROW()-3)="","",INDEX(MASTER_DATABASE!$A$4:$A$1000,ROW()-3)&amp;"")</f>
        <v>CSC-048</v>
      </c>
      <c r="B156" s="7" t="str">
        <f aca="false">IF(INDEX(MASTER_DATABASE!$A$4:$A$1000,ROW()-3)="","",INDEX(MASTER_DATABASE!$E$4:$E$1000,ROW()-3)&amp;"")</f>
        <v>Labour (Construction Worker) Registration Assistance</v>
      </c>
      <c r="C156" s="7" t="str">
        <f aca="false">IF(INDEX(MASTER_DATABASE!$A$4:$A$1000,ROW()-3)="","",INDEX(MASTER_DATABASE!$F$4:$F$1000,ROW()-3)&amp;"")</f>
        <v>श्रमिक (निर्माण मजदूर) पंजीकरण सहायता</v>
      </c>
      <c r="D156" s="7" t="str">
        <f aca="false">IF(INDEX(MASTER_DATABASE!$A$4:$A$1000,ROW()-3)="","",INDEX(MASTER_DATABASE!$AL$4:$AL$1000,ROW()-3)&amp;"")</f>
        <v>Common Service Centre (CSC)</v>
      </c>
      <c r="E156" s="7" t="str">
        <f aca="false">IF(INDEX(MASTER_DATABASE!$A$4:$A$1000,ROW()-3)="","",INDEX(MASTER_DATABASE!$G$4:$G$1000,ROW()-3)&amp;"")</f>
        <v>Labour (Construction Worker) Registration Assistance through our Common Service Centre.</v>
      </c>
      <c r="F156" s="11" t="str">
        <f aca="false">IF(INDEX(MASTER_DATABASE!$A$4:$A$1000,ROW()-3)="","",INDEX(MASTER_DATABASE!$AP$4:$AP$1000,ROW()-3)&amp;"")</f>
        <v>🖥️</v>
      </c>
      <c r="G15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6" s="7" t="str">
        <f aca="false">IF(INDEX(MASTER_DATABASE!$A$4:$A$1000,ROW()-3)="","",INDEX(MASTER_DATABASE!$J$4:$J$1000,ROW()-3)&amp;"")</f>
        <v>To Be Confirmed</v>
      </c>
      <c r="K156" s="7" t="str">
        <f aca="false">IF(INDEX(MASTER_DATABASE!$A$4:$A$1000,ROW()-3)="","",INDEX(MASTER_DATABASE!$M$4:$M$1000,ROW()-3)&amp;"")</f>
        <v>✓ Aadhaar Card
✓ Active Mobile Number</v>
      </c>
      <c r="L156" s="7" t="str">
        <f aca="false">IF(INDEX(MASTER_DATABASE!$A$4:$A$1000,ROW()-3)="","",INDEX(MASTER_DATABASE!$Q$4:$Q$1000,ROW()-3)&amp;"")</f>
        <v>Depends on Department</v>
      </c>
      <c r="M156" s="11" t="str">
        <f aca="false">IF(INDEX(MASTER_DATABASE!$A$4:$A$1000,ROW()-3)="","",INDEX(MASTER_DATABASE!$AI$4:$AI$1000,ROW()-3)&amp;"")</f>
        <v>No</v>
      </c>
      <c r="N156" s="11" t="str">
        <f aca="false">IF(INDEX(MASTER_DATABASE!$A$4:$A$1000,ROW()-3)="","",INDEX(MASTER_DATABASE!$AJ$4:$AJ$1000,ROW()-3)&amp;"")</f>
        <v>No</v>
      </c>
      <c r="O156" s="11" t="str">
        <f aca="false">IF(INDEX(MASTER_DATABASE!$A$4:$A$1000,ROW()-3)="","",IF(INDEX(MASTER_DATABASE!$BE$4:$BE$1000,ROW()-3)="LIVE","Yes","No"))</f>
        <v>No</v>
      </c>
      <c r="P156" s="7" t="str">
        <f aca="false">IF(INDEX(MASTER_DATABASE!$A$4:$A$1000,ROW()-3)="","",INDEX(MASTER_DATABASE!$BG$4:$BG$1000,ROW()-3)&amp;"")</f>
        <v>Check Documents</v>
      </c>
      <c r="Q156" s="11" t="n">
        <f aca="false">IF(INDEX(MASTER_DATABASE!$A$4:$A$1000,ROW()-3)="","",INDEX(MASTER_DATABASE!$AQ$4:$AQ$1000,ROW()-3))</f>
        <v>480</v>
      </c>
    </row>
    <row r="157" customFormat="false" ht="35.05" hidden="false" customHeight="false" outlineLevel="0" collapsed="false">
      <c r="A157" s="11" t="str">
        <f aca="false">IF(INDEX(MASTER_DATABASE!$A$4:$A$1000,ROW()-3)="","",INDEX(MASTER_DATABASE!$A$4:$A$1000,ROW()-3)&amp;"")</f>
        <v>CSC-049</v>
      </c>
      <c r="B157" s="7" t="str">
        <f aca="false">IF(INDEX(MASTER_DATABASE!$A$4:$A$1000,ROW()-3)="","",INDEX(MASTER_DATABASE!$E$4:$E$1000,ROW()-3)&amp;"")</f>
        <v>Academic Bank of Credits (ABC) / APAAR ID Assistance</v>
      </c>
      <c r="C157" s="7" t="str">
        <f aca="false">IF(INDEX(MASTER_DATABASE!$A$4:$A$1000,ROW()-3)="","",INDEX(MASTER_DATABASE!$F$4:$F$1000,ROW()-3)&amp;"")</f>
        <v>ABC / APAAR आईडी सहायता</v>
      </c>
      <c r="D157" s="7" t="str">
        <f aca="false">IF(INDEX(MASTER_DATABASE!$A$4:$A$1000,ROW()-3)="","",INDEX(MASTER_DATABASE!$AL$4:$AL$1000,ROW()-3)&amp;"")</f>
        <v>Common Service Centre (CSC)</v>
      </c>
      <c r="E157" s="7" t="str">
        <f aca="false">IF(INDEX(MASTER_DATABASE!$A$4:$A$1000,ROW()-3)="","",INDEX(MASTER_DATABASE!$G$4:$G$1000,ROW()-3)&amp;"")</f>
        <v>Academic Bank of Credits (ABC) / APAAR ID Assistance through our Common Service Centre.</v>
      </c>
      <c r="F157" s="11" t="str">
        <f aca="false">IF(INDEX(MASTER_DATABASE!$A$4:$A$1000,ROW()-3)="","",INDEX(MASTER_DATABASE!$AP$4:$AP$1000,ROW()-3)&amp;"")</f>
        <v>🖥️</v>
      </c>
      <c r="G15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7" s="7" t="str">
        <f aca="false">IF(INDEX(MASTER_DATABASE!$A$4:$A$1000,ROW()-3)="","",INDEX(MASTER_DATABASE!$J$4:$J$1000,ROW()-3)&amp;"")</f>
        <v>To Be Confirmed</v>
      </c>
      <c r="K157" s="7" t="str">
        <f aca="false">IF(INDEX(MASTER_DATABASE!$A$4:$A$1000,ROW()-3)="","",INDEX(MASTER_DATABASE!$M$4:$M$1000,ROW()-3)&amp;"")</f>
        <v>✓ Aadhaar Card
✓ Active Mobile Number</v>
      </c>
      <c r="L157" s="7" t="str">
        <f aca="false">IF(INDEX(MASTER_DATABASE!$A$4:$A$1000,ROW()-3)="","",INDEX(MASTER_DATABASE!$Q$4:$Q$1000,ROW()-3)&amp;"")</f>
        <v>Depends on Department</v>
      </c>
      <c r="M157" s="11" t="str">
        <f aca="false">IF(INDEX(MASTER_DATABASE!$A$4:$A$1000,ROW()-3)="","",INDEX(MASTER_DATABASE!$AI$4:$AI$1000,ROW()-3)&amp;"")</f>
        <v>No</v>
      </c>
      <c r="N157" s="11" t="str">
        <f aca="false">IF(INDEX(MASTER_DATABASE!$A$4:$A$1000,ROW()-3)="","",INDEX(MASTER_DATABASE!$AJ$4:$AJ$1000,ROW()-3)&amp;"")</f>
        <v>No</v>
      </c>
      <c r="O157" s="11" t="str">
        <f aca="false">IF(INDEX(MASTER_DATABASE!$A$4:$A$1000,ROW()-3)="","",IF(INDEX(MASTER_DATABASE!$BE$4:$BE$1000,ROW()-3)="LIVE","Yes","No"))</f>
        <v>No</v>
      </c>
      <c r="P157" s="7" t="str">
        <f aca="false">IF(INDEX(MASTER_DATABASE!$A$4:$A$1000,ROW()-3)="","",INDEX(MASTER_DATABASE!$BG$4:$BG$1000,ROW()-3)&amp;"")</f>
        <v>Check Documents</v>
      </c>
      <c r="Q157" s="11" t="n">
        <f aca="false">IF(INDEX(MASTER_DATABASE!$A$4:$A$1000,ROW()-3)="","",INDEX(MASTER_DATABASE!$AQ$4:$AQ$1000,ROW()-3))</f>
        <v>490</v>
      </c>
    </row>
    <row r="158" customFormat="false" ht="35.05" hidden="false" customHeight="false" outlineLevel="0" collapsed="false">
      <c r="A158" s="11" t="str">
        <f aca="false">IF(INDEX(MASTER_DATABASE!$A$4:$A$1000,ROW()-3)="","",INDEX(MASTER_DATABASE!$A$4:$A$1000,ROW()-3)&amp;"")</f>
        <v>CSC-050</v>
      </c>
      <c r="B158" s="7" t="str">
        <f aca="false">IF(INDEX(MASTER_DATABASE!$A$4:$A$1000,ROW()-3)="","",INDEX(MASTER_DATABASE!$E$4:$E$1000,ROW()-3)&amp;"")</f>
        <v>Document Attestation / Apostille Assistance</v>
      </c>
      <c r="C158" s="7" t="str">
        <f aca="false">IF(INDEX(MASTER_DATABASE!$A$4:$A$1000,ROW()-3)="","",INDEX(MASTER_DATABASE!$F$4:$F$1000,ROW()-3)&amp;"")</f>
        <v>दस्तावेज़ सत्यापन / अपोस्टिल सहायता</v>
      </c>
      <c r="D158" s="7" t="str">
        <f aca="false">IF(INDEX(MASTER_DATABASE!$A$4:$A$1000,ROW()-3)="","",INDEX(MASTER_DATABASE!$AL$4:$AL$1000,ROW()-3)&amp;"")</f>
        <v>Common Service Centre (CSC)</v>
      </c>
      <c r="E158" s="7" t="str">
        <f aca="false">IF(INDEX(MASTER_DATABASE!$A$4:$A$1000,ROW()-3)="","",INDEX(MASTER_DATABASE!$G$4:$G$1000,ROW()-3)&amp;"")</f>
        <v>Document Attestation / Apostille Assistance through our Common Service Centre.</v>
      </c>
      <c r="F158" s="11" t="str">
        <f aca="false">IF(INDEX(MASTER_DATABASE!$A$4:$A$1000,ROW()-3)="","",INDEX(MASTER_DATABASE!$AP$4:$AP$1000,ROW()-3)&amp;"")</f>
        <v>🖥️</v>
      </c>
      <c r="G15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8" s="7" t="str">
        <f aca="false">IF(INDEX(MASTER_DATABASE!$A$4:$A$1000,ROW()-3)="","",INDEX(MASTER_DATABASE!$J$4:$J$1000,ROW()-3)&amp;"")</f>
        <v>To Be Confirmed</v>
      </c>
      <c r="K158" s="7" t="str">
        <f aca="false">IF(INDEX(MASTER_DATABASE!$A$4:$A$1000,ROW()-3)="","",INDEX(MASTER_DATABASE!$M$4:$M$1000,ROW()-3)&amp;"")</f>
        <v>✓ Aadhaar Card
✓ Active Mobile Number</v>
      </c>
      <c r="L158" s="7" t="str">
        <f aca="false">IF(INDEX(MASTER_DATABASE!$A$4:$A$1000,ROW()-3)="","",INDEX(MASTER_DATABASE!$Q$4:$Q$1000,ROW()-3)&amp;"")</f>
        <v>Depends on Department</v>
      </c>
      <c r="M158" s="11" t="str">
        <f aca="false">IF(INDEX(MASTER_DATABASE!$A$4:$A$1000,ROW()-3)="","",INDEX(MASTER_DATABASE!$AI$4:$AI$1000,ROW()-3)&amp;"")</f>
        <v>No</v>
      </c>
      <c r="N158" s="11" t="str">
        <f aca="false">IF(INDEX(MASTER_DATABASE!$A$4:$A$1000,ROW()-3)="","",INDEX(MASTER_DATABASE!$AJ$4:$AJ$1000,ROW()-3)&amp;"")</f>
        <v>No</v>
      </c>
      <c r="O158" s="11" t="str">
        <f aca="false">IF(INDEX(MASTER_DATABASE!$A$4:$A$1000,ROW()-3)="","",IF(INDEX(MASTER_DATABASE!$BE$4:$BE$1000,ROW()-3)="LIVE","Yes","No"))</f>
        <v>No</v>
      </c>
      <c r="P158" s="7" t="str">
        <f aca="false">IF(INDEX(MASTER_DATABASE!$A$4:$A$1000,ROW()-3)="","",INDEX(MASTER_DATABASE!$BG$4:$BG$1000,ROW()-3)&amp;"")</f>
        <v>Check Documents</v>
      </c>
      <c r="Q158" s="11" t="n">
        <f aca="false">IF(INDEX(MASTER_DATABASE!$A$4:$A$1000,ROW()-3)="","",INDEX(MASTER_DATABASE!$AQ$4:$AQ$1000,ROW()-3))</f>
        <v>500</v>
      </c>
    </row>
    <row r="159" customFormat="false" ht="23.85" hidden="false" customHeight="false" outlineLevel="0" collapsed="false">
      <c r="A159" s="11" t="str">
        <f aca="false">IF(INDEX(MASTER_DATABASE!$A$4:$A$1000,ROW()-3)="","",INDEX(MASTER_DATABASE!$A$4:$A$1000,ROW()-3)&amp;"")</f>
        <v>MOB-001</v>
      </c>
      <c r="B159" s="7" t="str">
        <f aca="false">IF(INDEX(MASTER_DATABASE!$A$4:$A$1000,ROW()-3)="","",INDEX(MASTER_DATABASE!$E$4:$E$1000,ROW()-3)&amp;"")</f>
        <v>New Mobile Phone Sales (Smartphone)</v>
      </c>
      <c r="C159" s="7" t="str">
        <f aca="false">IF(INDEX(MASTER_DATABASE!$A$4:$A$1000,ROW()-3)="","",INDEX(MASTER_DATABASE!$F$4:$F$1000,ROW()-3)&amp;"")</f>
        <v>नया मोबाइल फोन बिक्री (स्मार्टफोन)</v>
      </c>
      <c r="D159" s="7" t="str">
        <f aca="false">IF(INDEX(MASTER_DATABASE!$A$4:$A$1000,ROW()-3)="","",INDEX(MASTER_DATABASE!$AL$4:$AL$1000,ROW()-3)&amp;"")</f>
        <v>Mobile Store</v>
      </c>
      <c r="E159" s="7" t="str">
        <f aca="false">IF(INDEX(MASTER_DATABASE!$A$4:$A$1000,ROW()-3)="","",INDEX(MASTER_DATABASE!$G$4:$G$1000,ROW()-3)&amp;"")</f>
        <v>New Mobile Phone Sales (Smartphone) at our mobile store.</v>
      </c>
      <c r="F159" s="11" t="str">
        <f aca="false">IF(INDEX(MASTER_DATABASE!$A$4:$A$1000,ROW()-3)="","",INDEX(MASTER_DATABASE!$AP$4:$AP$1000,ROW()-3)&amp;"")</f>
        <v>📱</v>
      </c>
      <c r="G15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5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5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59" s="7" t="str">
        <f aca="false">IF(INDEX(MASTER_DATABASE!$A$4:$A$1000,ROW()-3)="","",INDEX(MASTER_DATABASE!$J$4:$J$1000,ROW()-3)&amp;"")</f>
        <v>Available</v>
      </c>
      <c r="K159" s="7" t="str">
        <f aca="false">IF(INDEX(MASTER_DATABASE!$A$4:$A$1000,ROW()-3)="","",INDEX(MASTER_DATABASE!$M$4:$M$1000,ROW()-3)&amp;"")</f>
        <v/>
      </c>
      <c r="L159" s="7" t="str">
        <f aca="false">IF(INDEX(MASTER_DATABASE!$A$4:$A$1000,ROW()-3)="","",INDEX(MASTER_DATABASE!$Q$4:$Q$1000,ROW()-3)&amp;"")</f>
        <v>5–10 Minutes</v>
      </c>
      <c r="M159" s="11" t="str">
        <f aca="false">IF(INDEX(MASTER_DATABASE!$A$4:$A$1000,ROW()-3)="","",INDEX(MASTER_DATABASE!$AI$4:$AI$1000,ROW()-3)&amp;"")</f>
        <v>No</v>
      </c>
      <c r="N159" s="11" t="str">
        <f aca="false">IF(INDEX(MASTER_DATABASE!$A$4:$A$1000,ROW()-3)="","",INDEX(MASTER_DATABASE!$AJ$4:$AJ$1000,ROW()-3)&amp;"")</f>
        <v>No</v>
      </c>
      <c r="O159" s="11" t="str">
        <f aca="false">IF(INDEX(MASTER_DATABASE!$A$4:$A$1000,ROW()-3)="","",IF(INDEX(MASTER_DATABASE!$BE$4:$BE$1000,ROW()-3)="LIVE","Yes","No"))</f>
        <v>Yes</v>
      </c>
      <c r="P159" s="7" t="str">
        <f aca="false">IF(INDEX(MASTER_DATABASE!$A$4:$A$1000,ROW()-3)="","",INDEX(MASTER_DATABASE!$BG$4:$BG$1000,ROW()-3)&amp;"")</f>
        <v>Get Quote</v>
      </c>
      <c r="Q159" s="11" t="n">
        <f aca="false">IF(INDEX(MASTER_DATABASE!$A$4:$A$1000,ROW()-3)="","",INDEX(MASTER_DATABASE!$AQ$4:$AQ$1000,ROW()-3))</f>
        <v>10</v>
      </c>
    </row>
    <row r="160" customFormat="false" ht="23.85" hidden="false" customHeight="false" outlineLevel="0" collapsed="false">
      <c r="A160" s="11" t="str">
        <f aca="false">IF(INDEX(MASTER_DATABASE!$A$4:$A$1000,ROW()-3)="","",INDEX(MASTER_DATABASE!$A$4:$A$1000,ROW()-3)&amp;"")</f>
        <v>MOB-002</v>
      </c>
      <c r="B160" s="7" t="str">
        <f aca="false">IF(INDEX(MASTER_DATABASE!$A$4:$A$1000,ROW()-3)="","",INDEX(MASTER_DATABASE!$E$4:$E$1000,ROW()-3)&amp;"")</f>
        <v>Keypad / Feature Phone Sales</v>
      </c>
      <c r="C160" s="7" t="str">
        <f aca="false">IF(INDEX(MASTER_DATABASE!$A$4:$A$1000,ROW()-3)="","",INDEX(MASTER_DATABASE!$F$4:$F$1000,ROW()-3)&amp;"")</f>
        <v>कीपैड / फीचर फोन बिक्री</v>
      </c>
      <c r="D160" s="7" t="str">
        <f aca="false">IF(INDEX(MASTER_DATABASE!$A$4:$A$1000,ROW()-3)="","",INDEX(MASTER_DATABASE!$AL$4:$AL$1000,ROW()-3)&amp;"")</f>
        <v>Mobile Store</v>
      </c>
      <c r="E160" s="7" t="str">
        <f aca="false">IF(INDEX(MASTER_DATABASE!$A$4:$A$1000,ROW()-3)="","",INDEX(MASTER_DATABASE!$G$4:$G$1000,ROW()-3)&amp;"")</f>
        <v>Keypad / Feature Phone Sales at our mobile store.</v>
      </c>
      <c r="F160" s="11" t="str">
        <f aca="false">IF(INDEX(MASTER_DATABASE!$A$4:$A$1000,ROW()-3)="","",INDEX(MASTER_DATABASE!$AP$4:$AP$1000,ROW()-3)&amp;"")</f>
        <v>📱</v>
      </c>
      <c r="G16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0" s="7" t="str">
        <f aca="false">IF(INDEX(MASTER_DATABASE!$A$4:$A$1000,ROW()-3)="","",INDEX(MASTER_DATABASE!$J$4:$J$1000,ROW()-3)&amp;"")</f>
        <v>To Be Confirmed</v>
      </c>
      <c r="K160" s="7" t="str">
        <f aca="false">IF(INDEX(MASTER_DATABASE!$A$4:$A$1000,ROW()-3)="","",INDEX(MASTER_DATABASE!$M$4:$M$1000,ROW()-3)&amp;"")</f>
        <v/>
      </c>
      <c r="L160" s="7" t="str">
        <f aca="false">IF(INDEX(MASTER_DATABASE!$A$4:$A$1000,ROW()-3)="","",INDEX(MASTER_DATABASE!$Q$4:$Q$1000,ROW()-3)&amp;"")</f>
        <v>5–10 Minutes</v>
      </c>
      <c r="M160" s="11" t="str">
        <f aca="false">IF(INDEX(MASTER_DATABASE!$A$4:$A$1000,ROW()-3)="","",INDEX(MASTER_DATABASE!$AI$4:$AI$1000,ROW()-3)&amp;"")</f>
        <v>No</v>
      </c>
      <c r="N160" s="11" t="str">
        <f aca="false">IF(INDEX(MASTER_DATABASE!$A$4:$A$1000,ROW()-3)="","",INDEX(MASTER_DATABASE!$AJ$4:$AJ$1000,ROW()-3)&amp;"")</f>
        <v>No</v>
      </c>
      <c r="O160" s="11" t="str">
        <f aca="false">IF(INDEX(MASTER_DATABASE!$A$4:$A$1000,ROW()-3)="","",IF(INDEX(MASTER_DATABASE!$BE$4:$BE$1000,ROW()-3)="LIVE","Yes","No"))</f>
        <v>No</v>
      </c>
      <c r="P160" s="7" t="str">
        <f aca="false">IF(INDEX(MASTER_DATABASE!$A$4:$A$1000,ROW()-3)="","",INDEX(MASTER_DATABASE!$BG$4:$BG$1000,ROW()-3)&amp;"")</f>
        <v>Get Quote</v>
      </c>
      <c r="Q160" s="11" t="n">
        <f aca="false">IF(INDEX(MASTER_DATABASE!$A$4:$A$1000,ROW()-3)="","",INDEX(MASTER_DATABASE!$AQ$4:$AQ$1000,ROW()-3))</f>
        <v>20</v>
      </c>
    </row>
    <row r="161" customFormat="false" ht="15" hidden="false" customHeight="false" outlineLevel="0" collapsed="false">
      <c r="A161" s="11" t="str">
        <f aca="false">IF(INDEX(MASTER_DATABASE!$A$4:$A$1000,ROW()-3)="","",INDEX(MASTER_DATABASE!$A$4:$A$1000,ROW()-3)&amp;"")</f>
        <v>MOB-003</v>
      </c>
      <c r="B161" s="7" t="str">
        <f aca="false">IF(INDEX(MASTER_DATABASE!$A$4:$A$1000,ROW()-3)="","",INDEX(MASTER_DATABASE!$E$4:$E$1000,ROW()-3)&amp;"")</f>
        <v>Mobile Charger</v>
      </c>
      <c r="C161" s="7" t="str">
        <f aca="false">IF(INDEX(MASTER_DATABASE!$A$4:$A$1000,ROW()-3)="","",INDEX(MASTER_DATABASE!$F$4:$F$1000,ROW()-3)&amp;"")</f>
        <v>मोबाइल चार्जर</v>
      </c>
      <c r="D161" s="7" t="str">
        <f aca="false">IF(INDEX(MASTER_DATABASE!$A$4:$A$1000,ROW()-3)="","",INDEX(MASTER_DATABASE!$AL$4:$AL$1000,ROW()-3)&amp;"")</f>
        <v>Mobile Store</v>
      </c>
      <c r="E161" s="7" t="str">
        <f aca="false">IF(INDEX(MASTER_DATABASE!$A$4:$A$1000,ROW()-3)="","",INDEX(MASTER_DATABASE!$G$4:$G$1000,ROW()-3)&amp;"")</f>
        <v>Mobile Charger at our mobile store.</v>
      </c>
      <c r="F161" s="11" t="str">
        <f aca="false">IF(INDEX(MASTER_DATABASE!$A$4:$A$1000,ROW()-3)="","",INDEX(MASTER_DATABASE!$AP$4:$AP$1000,ROW()-3)&amp;"")</f>
        <v>🔌</v>
      </c>
      <c r="G16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1" s="7" t="str">
        <f aca="false">IF(INDEX(MASTER_DATABASE!$A$4:$A$1000,ROW()-3)="","",INDEX(MASTER_DATABASE!$J$4:$J$1000,ROW()-3)&amp;"")</f>
        <v>Available</v>
      </c>
      <c r="K161" s="7" t="str">
        <f aca="false">IF(INDEX(MASTER_DATABASE!$A$4:$A$1000,ROW()-3)="","",INDEX(MASTER_DATABASE!$M$4:$M$1000,ROW()-3)&amp;"")</f>
        <v/>
      </c>
      <c r="L161" s="7" t="str">
        <f aca="false">IF(INDEX(MASTER_DATABASE!$A$4:$A$1000,ROW()-3)="","",INDEX(MASTER_DATABASE!$Q$4:$Q$1000,ROW()-3)&amp;"")</f>
        <v>5–10 Minutes</v>
      </c>
      <c r="M161" s="11" t="str">
        <f aca="false">IF(INDEX(MASTER_DATABASE!$A$4:$A$1000,ROW()-3)="","",INDEX(MASTER_DATABASE!$AI$4:$AI$1000,ROW()-3)&amp;"")</f>
        <v>No</v>
      </c>
      <c r="N161" s="11" t="str">
        <f aca="false">IF(INDEX(MASTER_DATABASE!$A$4:$A$1000,ROW()-3)="","",INDEX(MASTER_DATABASE!$AJ$4:$AJ$1000,ROW()-3)&amp;"")</f>
        <v>No</v>
      </c>
      <c r="O161" s="11" t="str">
        <f aca="false">IF(INDEX(MASTER_DATABASE!$A$4:$A$1000,ROW()-3)="","",IF(INDEX(MASTER_DATABASE!$BE$4:$BE$1000,ROW()-3)="LIVE","Yes","No"))</f>
        <v>Yes</v>
      </c>
      <c r="P161" s="7" t="str">
        <f aca="false">IF(INDEX(MASTER_DATABASE!$A$4:$A$1000,ROW()-3)="","",INDEX(MASTER_DATABASE!$BG$4:$BG$1000,ROW()-3)&amp;"")</f>
        <v>Get Quote</v>
      </c>
      <c r="Q161" s="11" t="n">
        <f aca="false">IF(INDEX(MASTER_DATABASE!$A$4:$A$1000,ROW()-3)="","",INDEX(MASTER_DATABASE!$AQ$4:$AQ$1000,ROW()-3))</f>
        <v>30</v>
      </c>
    </row>
    <row r="162" customFormat="false" ht="15" hidden="false" customHeight="false" outlineLevel="0" collapsed="false">
      <c r="A162" s="11" t="str">
        <f aca="false">IF(INDEX(MASTER_DATABASE!$A$4:$A$1000,ROW()-3)="","",INDEX(MASTER_DATABASE!$A$4:$A$1000,ROW()-3)&amp;"")</f>
        <v>MOB-004</v>
      </c>
      <c r="B162" s="7" t="str">
        <f aca="false">IF(INDEX(MASTER_DATABASE!$A$4:$A$1000,ROW()-3)="","",INDEX(MASTER_DATABASE!$E$4:$E$1000,ROW()-3)&amp;"")</f>
        <v>Data Cable</v>
      </c>
      <c r="C162" s="7" t="str">
        <f aca="false">IF(INDEX(MASTER_DATABASE!$A$4:$A$1000,ROW()-3)="","",INDEX(MASTER_DATABASE!$F$4:$F$1000,ROW()-3)&amp;"")</f>
        <v>डेटा केबल</v>
      </c>
      <c r="D162" s="7" t="str">
        <f aca="false">IF(INDEX(MASTER_DATABASE!$A$4:$A$1000,ROW()-3)="","",INDEX(MASTER_DATABASE!$AL$4:$AL$1000,ROW()-3)&amp;"")</f>
        <v>Mobile Store</v>
      </c>
      <c r="E162" s="7" t="str">
        <f aca="false">IF(INDEX(MASTER_DATABASE!$A$4:$A$1000,ROW()-3)="","",INDEX(MASTER_DATABASE!$G$4:$G$1000,ROW()-3)&amp;"")</f>
        <v>Data Cable at our mobile store.</v>
      </c>
      <c r="F162" s="11" t="str">
        <f aca="false">IF(INDEX(MASTER_DATABASE!$A$4:$A$1000,ROW()-3)="","",INDEX(MASTER_DATABASE!$AP$4:$AP$1000,ROW()-3)&amp;"")</f>
        <v>🔌</v>
      </c>
      <c r="G16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2" s="7" t="str">
        <f aca="false">IF(INDEX(MASTER_DATABASE!$A$4:$A$1000,ROW()-3)="","",INDEX(MASTER_DATABASE!$J$4:$J$1000,ROW()-3)&amp;"")</f>
        <v>Available</v>
      </c>
      <c r="K162" s="7" t="str">
        <f aca="false">IF(INDEX(MASTER_DATABASE!$A$4:$A$1000,ROW()-3)="","",INDEX(MASTER_DATABASE!$M$4:$M$1000,ROW()-3)&amp;"")</f>
        <v/>
      </c>
      <c r="L162" s="7" t="str">
        <f aca="false">IF(INDEX(MASTER_DATABASE!$A$4:$A$1000,ROW()-3)="","",INDEX(MASTER_DATABASE!$Q$4:$Q$1000,ROW()-3)&amp;"")</f>
        <v>5–10 Minutes</v>
      </c>
      <c r="M162" s="11" t="str">
        <f aca="false">IF(INDEX(MASTER_DATABASE!$A$4:$A$1000,ROW()-3)="","",INDEX(MASTER_DATABASE!$AI$4:$AI$1000,ROW()-3)&amp;"")</f>
        <v>No</v>
      </c>
      <c r="N162" s="11" t="str">
        <f aca="false">IF(INDEX(MASTER_DATABASE!$A$4:$A$1000,ROW()-3)="","",INDEX(MASTER_DATABASE!$AJ$4:$AJ$1000,ROW()-3)&amp;"")</f>
        <v>No</v>
      </c>
      <c r="O162" s="11" t="str">
        <f aca="false">IF(INDEX(MASTER_DATABASE!$A$4:$A$1000,ROW()-3)="","",IF(INDEX(MASTER_DATABASE!$BE$4:$BE$1000,ROW()-3)="LIVE","Yes","No"))</f>
        <v>Yes</v>
      </c>
      <c r="P162" s="7" t="str">
        <f aca="false">IF(INDEX(MASTER_DATABASE!$A$4:$A$1000,ROW()-3)="","",INDEX(MASTER_DATABASE!$BG$4:$BG$1000,ROW()-3)&amp;"")</f>
        <v>Get Quote</v>
      </c>
      <c r="Q162" s="11" t="n">
        <f aca="false">IF(INDEX(MASTER_DATABASE!$A$4:$A$1000,ROW()-3)="","",INDEX(MASTER_DATABASE!$AQ$4:$AQ$1000,ROW()-3))</f>
        <v>40</v>
      </c>
    </row>
    <row r="163" customFormat="false" ht="15" hidden="false" customHeight="false" outlineLevel="0" collapsed="false">
      <c r="A163" s="11" t="str">
        <f aca="false">IF(INDEX(MASTER_DATABASE!$A$4:$A$1000,ROW()-3)="","",INDEX(MASTER_DATABASE!$A$4:$A$1000,ROW()-3)&amp;"")</f>
        <v>MOB-005</v>
      </c>
      <c r="B163" s="7" t="str">
        <f aca="false">IF(INDEX(MASTER_DATABASE!$A$4:$A$1000,ROW()-3)="","",INDEX(MASTER_DATABASE!$E$4:$E$1000,ROW()-3)&amp;"")</f>
        <v>Power Bank</v>
      </c>
      <c r="C163" s="7" t="str">
        <f aca="false">IF(INDEX(MASTER_DATABASE!$A$4:$A$1000,ROW()-3)="","",INDEX(MASTER_DATABASE!$F$4:$F$1000,ROW()-3)&amp;"")</f>
        <v>पावर बैंक</v>
      </c>
      <c r="D163" s="7" t="str">
        <f aca="false">IF(INDEX(MASTER_DATABASE!$A$4:$A$1000,ROW()-3)="","",INDEX(MASTER_DATABASE!$AL$4:$AL$1000,ROW()-3)&amp;"")</f>
        <v>Mobile Store</v>
      </c>
      <c r="E163" s="7" t="str">
        <f aca="false">IF(INDEX(MASTER_DATABASE!$A$4:$A$1000,ROW()-3)="","",INDEX(MASTER_DATABASE!$G$4:$G$1000,ROW()-3)&amp;"")</f>
        <v>Power Bank at our mobile store.</v>
      </c>
      <c r="F163" s="11" t="str">
        <f aca="false">IF(INDEX(MASTER_DATABASE!$A$4:$A$1000,ROW()-3)="","",INDEX(MASTER_DATABASE!$AP$4:$AP$1000,ROW()-3)&amp;"")</f>
        <v>🔌</v>
      </c>
      <c r="G16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3" s="7" t="str">
        <f aca="false">IF(INDEX(MASTER_DATABASE!$A$4:$A$1000,ROW()-3)="","",INDEX(MASTER_DATABASE!$J$4:$J$1000,ROW()-3)&amp;"")</f>
        <v>To Be Confirmed</v>
      </c>
      <c r="K163" s="7" t="str">
        <f aca="false">IF(INDEX(MASTER_DATABASE!$A$4:$A$1000,ROW()-3)="","",INDEX(MASTER_DATABASE!$M$4:$M$1000,ROW()-3)&amp;"")</f>
        <v/>
      </c>
      <c r="L163" s="7" t="str">
        <f aca="false">IF(INDEX(MASTER_DATABASE!$A$4:$A$1000,ROW()-3)="","",INDEX(MASTER_DATABASE!$Q$4:$Q$1000,ROW()-3)&amp;"")</f>
        <v>5–10 Minutes</v>
      </c>
      <c r="M163" s="11" t="str">
        <f aca="false">IF(INDEX(MASTER_DATABASE!$A$4:$A$1000,ROW()-3)="","",INDEX(MASTER_DATABASE!$AI$4:$AI$1000,ROW()-3)&amp;"")</f>
        <v>No</v>
      </c>
      <c r="N163" s="11" t="str">
        <f aca="false">IF(INDEX(MASTER_DATABASE!$A$4:$A$1000,ROW()-3)="","",INDEX(MASTER_DATABASE!$AJ$4:$AJ$1000,ROW()-3)&amp;"")</f>
        <v>No</v>
      </c>
      <c r="O163" s="11" t="str">
        <f aca="false">IF(INDEX(MASTER_DATABASE!$A$4:$A$1000,ROW()-3)="","",IF(INDEX(MASTER_DATABASE!$BE$4:$BE$1000,ROW()-3)="LIVE","Yes","No"))</f>
        <v>No</v>
      </c>
      <c r="P163" s="7" t="str">
        <f aca="false">IF(INDEX(MASTER_DATABASE!$A$4:$A$1000,ROW()-3)="","",INDEX(MASTER_DATABASE!$BG$4:$BG$1000,ROW()-3)&amp;"")</f>
        <v>Get Quote</v>
      </c>
      <c r="Q163" s="11" t="n">
        <f aca="false">IF(INDEX(MASTER_DATABASE!$A$4:$A$1000,ROW()-3)="","",INDEX(MASTER_DATABASE!$AQ$4:$AQ$1000,ROW()-3))</f>
        <v>50</v>
      </c>
    </row>
    <row r="164" customFormat="false" ht="15" hidden="false" customHeight="false" outlineLevel="0" collapsed="false">
      <c r="A164" s="11" t="str">
        <f aca="false">IF(INDEX(MASTER_DATABASE!$A$4:$A$1000,ROW()-3)="","",INDEX(MASTER_DATABASE!$A$4:$A$1000,ROW()-3)&amp;"")</f>
        <v>MOB-006</v>
      </c>
      <c r="B164" s="7" t="str">
        <f aca="false">IF(INDEX(MASTER_DATABASE!$A$4:$A$1000,ROW()-3)="","",INDEX(MASTER_DATABASE!$E$4:$E$1000,ROW()-3)&amp;"")</f>
        <v>Earphone (Wired)</v>
      </c>
      <c r="C164" s="7" t="str">
        <f aca="false">IF(INDEX(MASTER_DATABASE!$A$4:$A$1000,ROW()-3)="","",INDEX(MASTER_DATABASE!$F$4:$F$1000,ROW()-3)&amp;"")</f>
        <v>ईयरफोन (वायर्ड)</v>
      </c>
      <c r="D164" s="7" t="str">
        <f aca="false">IF(INDEX(MASTER_DATABASE!$A$4:$A$1000,ROW()-3)="","",INDEX(MASTER_DATABASE!$AL$4:$AL$1000,ROW()-3)&amp;"")</f>
        <v>Mobile Store</v>
      </c>
      <c r="E164" s="7" t="str">
        <f aca="false">IF(INDEX(MASTER_DATABASE!$A$4:$A$1000,ROW()-3)="","",INDEX(MASTER_DATABASE!$G$4:$G$1000,ROW()-3)&amp;"")</f>
        <v>Earphone (Wired) at our mobile store.</v>
      </c>
      <c r="F164" s="11" t="str">
        <f aca="false">IF(INDEX(MASTER_DATABASE!$A$4:$A$1000,ROW()-3)="","",INDEX(MASTER_DATABASE!$AP$4:$AP$1000,ROW()-3)&amp;"")</f>
        <v>🎧</v>
      </c>
      <c r="G16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4" s="7" t="str">
        <f aca="false">IF(INDEX(MASTER_DATABASE!$A$4:$A$1000,ROW()-3)="","",INDEX(MASTER_DATABASE!$J$4:$J$1000,ROW()-3)&amp;"")</f>
        <v>Available</v>
      </c>
      <c r="K164" s="7" t="str">
        <f aca="false">IF(INDEX(MASTER_DATABASE!$A$4:$A$1000,ROW()-3)="","",INDEX(MASTER_DATABASE!$M$4:$M$1000,ROW()-3)&amp;"")</f>
        <v/>
      </c>
      <c r="L164" s="7" t="str">
        <f aca="false">IF(INDEX(MASTER_DATABASE!$A$4:$A$1000,ROW()-3)="","",INDEX(MASTER_DATABASE!$Q$4:$Q$1000,ROW()-3)&amp;"")</f>
        <v>5–10 Minutes</v>
      </c>
      <c r="M164" s="11" t="str">
        <f aca="false">IF(INDEX(MASTER_DATABASE!$A$4:$A$1000,ROW()-3)="","",INDEX(MASTER_DATABASE!$AI$4:$AI$1000,ROW()-3)&amp;"")</f>
        <v>No</v>
      </c>
      <c r="N164" s="11" t="str">
        <f aca="false">IF(INDEX(MASTER_DATABASE!$A$4:$A$1000,ROW()-3)="","",INDEX(MASTER_DATABASE!$AJ$4:$AJ$1000,ROW()-3)&amp;"")</f>
        <v>No</v>
      </c>
      <c r="O164" s="11" t="str">
        <f aca="false">IF(INDEX(MASTER_DATABASE!$A$4:$A$1000,ROW()-3)="","",IF(INDEX(MASTER_DATABASE!$BE$4:$BE$1000,ROW()-3)="LIVE","Yes","No"))</f>
        <v>Yes</v>
      </c>
      <c r="P164" s="7" t="str">
        <f aca="false">IF(INDEX(MASTER_DATABASE!$A$4:$A$1000,ROW()-3)="","",INDEX(MASTER_DATABASE!$BG$4:$BG$1000,ROW()-3)&amp;"")</f>
        <v>Get Quote</v>
      </c>
      <c r="Q164" s="11" t="n">
        <f aca="false">IF(INDEX(MASTER_DATABASE!$A$4:$A$1000,ROW()-3)="","",INDEX(MASTER_DATABASE!$AQ$4:$AQ$1000,ROW()-3))</f>
        <v>60</v>
      </c>
    </row>
    <row r="165" customFormat="false" ht="15" hidden="false" customHeight="false" outlineLevel="0" collapsed="false">
      <c r="A165" s="11" t="str">
        <f aca="false">IF(INDEX(MASTER_DATABASE!$A$4:$A$1000,ROW()-3)="","",INDEX(MASTER_DATABASE!$A$4:$A$1000,ROW()-3)&amp;"")</f>
        <v>MOB-007</v>
      </c>
      <c r="B165" s="7" t="str">
        <f aca="false">IF(INDEX(MASTER_DATABASE!$A$4:$A$1000,ROW()-3)="","",INDEX(MASTER_DATABASE!$E$4:$E$1000,ROW()-3)&amp;"")</f>
        <v>Bluetooth Earphone</v>
      </c>
      <c r="C165" s="7" t="str">
        <f aca="false">IF(INDEX(MASTER_DATABASE!$A$4:$A$1000,ROW()-3)="","",INDEX(MASTER_DATABASE!$F$4:$F$1000,ROW()-3)&amp;"")</f>
        <v>ब्लूटूथ ईयरफोन</v>
      </c>
      <c r="D165" s="7" t="str">
        <f aca="false">IF(INDEX(MASTER_DATABASE!$A$4:$A$1000,ROW()-3)="","",INDEX(MASTER_DATABASE!$AL$4:$AL$1000,ROW()-3)&amp;"")</f>
        <v>Mobile Store</v>
      </c>
      <c r="E165" s="7" t="str">
        <f aca="false">IF(INDEX(MASTER_DATABASE!$A$4:$A$1000,ROW()-3)="","",INDEX(MASTER_DATABASE!$G$4:$G$1000,ROW()-3)&amp;"")</f>
        <v>Bluetooth Earphone at our mobile store.</v>
      </c>
      <c r="F165" s="11" t="str">
        <f aca="false">IF(INDEX(MASTER_DATABASE!$A$4:$A$1000,ROW()-3)="","",INDEX(MASTER_DATABASE!$AP$4:$AP$1000,ROW()-3)&amp;"")</f>
        <v>🎧</v>
      </c>
      <c r="G16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5" s="7" t="str">
        <f aca="false">IF(INDEX(MASTER_DATABASE!$A$4:$A$1000,ROW()-3)="","",INDEX(MASTER_DATABASE!$J$4:$J$1000,ROW()-3)&amp;"")</f>
        <v>Available</v>
      </c>
      <c r="K165" s="7" t="str">
        <f aca="false">IF(INDEX(MASTER_DATABASE!$A$4:$A$1000,ROW()-3)="","",INDEX(MASTER_DATABASE!$M$4:$M$1000,ROW()-3)&amp;"")</f>
        <v/>
      </c>
      <c r="L165" s="7" t="str">
        <f aca="false">IF(INDEX(MASTER_DATABASE!$A$4:$A$1000,ROW()-3)="","",INDEX(MASTER_DATABASE!$Q$4:$Q$1000,ROW()-3)&amp;"")</f>
        <v>5–10 Minutes</v>
      </c>
      <c r="M165" s="11" t="str">
        <f aca="false">IF(INDEX(MASTER_DATABASE!$A$4:$A$1000,ROW()-3)="","",INDEX(MASTER_DATABASE!$AI$4:$AI$1000,ROW()-3)&amp;"")</f>
        <v>No</v>
      </c>
      <c r="N165" s="11" t="str">
        <f aca="false">IF(INDEX(MASTER_DATABASE!$A$4:$A$1000,ROW()-3)="","",INDEX(MASTER_DATABASE!$AJ$4:$AJ$1000,ROW()-3)&amp;"")</f>
        <v>No</v>
      </c>
      <c r="O165" s="11" t="str">
        <f aca="false">IF(INDEX(MASTER_DATABASE!$A$4:$A$1000,ROW()-3)="","",IF(INDEX(MASTER_DATABASE!$BE$4:$BE$1000,ROW()-3)="LIVE","Yes","No"))</f>
        <v>Yes</v>
      </c>
      <c r="P165" s="7" t="str">
        <f aca="false">IF(INDEX(MASTER_DATABASE!$A$4:$A$1000,ROW()-3)="","",INDEX(MASTER_DATABASE!$BG$4:$BG$1000,ROW()-3)&amp;"")</f>
        <v>Get Quote</v>
      </c>
      <c r="Q165" s="11" t="n">
        <f aca="false">IF(INDEX(MASTER_DATABASE!$A$4:$A$1000,ROW()-3)="","",INDEX(MASTER_DATABASE!$AQ$4:$AQ$1000,ROW()-3))</f>
        <v>70</v>
      </c>
    </row>
    <row r="166" customFormat="false" ht="15" hidden="false" customHeight="false" outlineLevel="0" collapsed="false">
      <c r="A166" s="11" t="str">
        <f aca="false">IF(INDEX(MASTER_DATABASE!$A$4:$A$1000,ROW()-3)="","",INDEX(MASTER_DATABASE!$A$4:$A$1000,ROW()-3)&amp;"")</f>
        <v>MOB-008</v>
      </c>
      <c r="B166" s="7" t="str">
        <f aca="false">IF(INDEX(MASTER_DATABASE!$A$4:$A$1000,ROW()-3)="","",INDEX(MASTER_DATABASE!$E$4:$E$1000,ROW()-3)&amp;"")</f>
        <v>Speaker</v>
      </c>
      <c r="C166" s="7" t="str">
        <f aca="false">IF(INDEX(MASTER_DATABASE!$A$4:$A$1000,ROW()-3)="","",INDEX(MASTER_DATABASE!$F$4:$F$1000,ROW()-3)&amp;"")</f>
        <v>स्पीकर</v>
      </c>
      <c r="D166" s="7" t="str">
        <f aca="false">IF(INDEX(MASTER_DATABASE!$A$4:$A$1000,ROW()-3)="","",INDEX(MASTER_DATABASE!$AL$4:$AL$1000,ROW()-3)&amp;"")</f>
        <v>Mobile Store</v>
      </c>
      <c r="E166" s="7" t="str">
        <f aca="false">IF(INDEX(MASTER_DATABASE!$A$4:$A$1000,ROW()-3)="","",INDEX(MASTER_DATABASE!$G$4:$G$1000,ROW()-3)&amp;"")</f>
        <v>Speaker at our mobile store.</v>
      </c>
      <c r="F166" s="11" t="str">
        <f aca="false">IF(INDEX(MASTER_DATABASE!$A$4:$A$1000,ROW()-3)="","",INDEX(MASTER_DATABASE!$AP$4:$AP$1000,ROW()-3)&amp;"")</f>
        <v>🎧</v>
      </c>
      <c r="G16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6" s="7" t="str">
        <f aca="false">IF(INDEX(MASTER_DATABASE!$A$4:$A$1000,ROW()-3)="","",INDEX(MASTER_DATABASE!$J$4:$J$1000,ROW()-3)&amp;"")</f>
        <v>Available</v>
      </c>
      <c r="K166" s="7" t="str">
        <f aca="false">IF(INDEX(MASTER_DATABASE!$A$4:$A$1000,ROW()-3)="","",INDEX(MASTER_DATABASE!$M$4:$M$1000,ROW()-3)&amp;"")</f>
        <v/>
      </c>
      <c r="L166" s="7" t="str">
        <f aca="false">IF(INDEX(MASTER_DATABASE!$A$4:$A$1000,ROW()-3)="","",INDEX(MASTER_DATABASE!$Q$4:$Q$1000,ROW()-3)&amp;"")</f>
        <v>5–10 Minutes</v>
      </c>
      <c r="M166" s="11" t="str">
        <f aca="false">IF(INDEX(MASTER_DATABASE!$A$4:$A$1000,ROW()-3)="","",INDEX(MASTER_DATABASE!$AI$4:$AI$1000,ROW()-3)&amp;"")</f>
        <v>No</v>
      </c>
      <c r="N166" s="11" t="str">
        <f aca="false">IF(INDEX(MASTER_DATABASE!$A$4:$A$1000,ROW()-3)="","",INDEX(MASTER_DATABASE!$AJ$4:$AJ$1000,ROW()-3)&amp;"")</f>
        <v>No</v>
      </c>
      <c r="O166" s="11" t="str">
        <f aca="false">IF(INDEX(MASTER_DATABASE!$A$4:$A$1000,ROW()-3)="","",IF(INDEX(MASTER_DATABASE!$BE$4:$BE$1000,ROW()-3)="LIVE","Yes","No"))</f>
        <v>Yes</v>
      </c>
      <c r="P166" s="7" t="str">
        <f aca="false">IF(INDEX(MASTER_DATABASE!$A$4:$A$1000,ROW()-3)="","",INDEX(MASTER_DATABASE!$BG$4:$BG$1000,ROW()-3)&amp;"")</f>
        <v>Get Quote</v>
      </c>
      <c r="Q166" s="11" t="n">
        <f aca="false">IF(INDEX(MASTER_DATABASE!$A$4:$A$1000,ROW()-3)="","",INDEX(MASTER_DATABASE!$AQ$4:$AQ$1000,ROW()-3))</f>
        <v>80</v>
      </c>
    </row>
    <row r="167" customFormat="false" ht="15" hidden="false" customHeight="false" outlineLevel="0" collapsed="false">
      <c r="A167" s="11" t="str">
        <f aca="false">IF(INDEX(MASTER_DATABASE!$A$4:$A$1000,ROW()-3)="","",INDEX(MASTER_DATABASE!$A$4:$A$1000,ROW()-3)&amp;"")</f>
        <v>MOB-009</v>
      </c>
      <c r="B167" s="7" t="str">
        <f aca="false">IF(INDEX(MASTER_DATABASE!$A$4:$A$1000,ROW()-3)="","",INDEX(MASTER_DATABASE!$E$4:$E$1000,ROW()-3)&amp;"")</f>
        <v>Mobile Cover</v>
      </c>
      <c r="C167" s="7" t="str">
        <f aca="false">IF(INDEX(MASTER_DATABASE!$A$4:$A$1000,ROW()-3)="","",INDEX(MASTER_DATABASE!$F$4:$F$1000,ROW()-3)&amp;"")</f>
        <v>मोबाइल कवर</v>
      </c>
      <c r="D167" s="7" t="str">
        <f aca="false">IF(INDEX(MASTER_DATABASE!$A$4:$A$1000,ROW()-3)="","",INDEX(MASTER_DATABASE!$AL$4:$AL$1000,ROW()-3)&amp;"")</f>
        <v>Mobile Store</v>
      </c>
      <c r="E167" s="7" t="str">
        <f aca="false">IF(INDEX(MASTER_DATABASE!$A$4:$A$1000,ROW()-3)="","",INDEX(MASTER_DATABASE!$G$4:$G$1000,ROW()-3)&amp;"")</f>
        <v>Mobile Cover at our mobile store.</v>
      </c>
      <c r="F167" s="11" t="str">
        <f aca="false">IF(INDEX(MASTER_DATABASE!$A$4:$A$1000,ROW()-3)="","",INDEX(MASTER_DATABASE!$AP$4:$AP$1000,ROW()-3)&amp;"")</f>
        <v>🛡️</v>
      </c>
      <c r="G16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7" s="7" t="str">
        <f aca="false">IF(INDEX(MASTER_DATABASE!$A$4:$A$1000,ROW()-3)="","",INDEX(MASTER_DATABASE!$J$4:$J$1000,ROW()-3)&amp;"")</f>
        <v>Available</v>
      </c>
      <c r="K167" s="7" t="str">
        <f aca="false">IF(INDEX(MASTER_DATABASE!$A$4:$A$1000,ROW()-3)="","",INDEX(MASTER_DATABASE!$M$4:$M$1000,ROW()-3)&amp;"")</f>
        <v/>
      </c>
      <c r="L167" s="7" t="str">
        <f aca="false">IF(INDEX(MASTER_DATABASE!$A$4:$A$1000,ROW()-3)="","",INDEX(MASTER_DATABASE!$Q$4:$Q$1000,ROW()-3)&amp;"")</f>
        <v>5–10 Minutes</v>
      </c>
      <c r="M167" s="11" t="str">
        <f aca="false">IF(INDEX(MASTER_DATABASE!$A$4:$A$1000,ROW()-3)="","",INDEX(MASTER_DATABASE!$AI$4:$AI$1000,ROW()-3)&amp;"")</f>
        <v>No</v>
      </c>
      <c r="N167" s="11" t="str">
        <f aca="false">IF(INDEX(MASTER_DATABASE!$A$4:$A$1000,ROW()-3)="","",INDEX(MASTER_DATABASE!$AJ$4:$AJ$1000,ROW()-3)&amp;"")</f>
        <v>No</v>
      </c>
      <c r="O167" s="11" t="str">
        <f aca="false">IF(INDEX(MASTER_DATABASE!$A$4:$A$1000,ROW()-3)="","",IF(INDEX(MASTER_DATABASE!$BE$4:$BE$1000,ROW()-3)="LIVE","Yes","No"))</f>
        <v>Yes</v>
      </c>
      <c r="P167" s="7" t="str">
        <f aca="false">IF(INDEX(MASTER_DATABASE!$A$4:$A$1000,ROW()-3)="","",INDEX(MASTER_DATABASE!$BG$4:$BG$1000,ROW()-3)&amp;"")</f>
        <v>Get Quote</v>
      </c>
      <c r="Q167" s="11" t="n">
        <f aca="false">IF(INDEX(MASTER_DATABASE!$A$4:$A$1000,ROW()-3)="","",INDEX(MASTER_DATABASE!$AQ$4:$AQ$1000,ROW()-3))</f>
        <v>90</v>
      </c>
    </row>
    <row r="168" customFormat="false" ht="15" hidden="false" customHeight="false" outlineLevel="0" collapsed="false">
      <c r="A168" s="11" t="str">
        <f aca="false">IF(INDEX(MASTER_DATABASE!$A$4:$A$1000,ROW()-3)="","",INDEX(MASTER_DATABASE!$A$4:$A$1000,ROW()-3)&amp;"")</f>
        <v>MOB-010</v>
      </c>
      <c r="B168" s="7" t="str">
        <f aca="false">IF(INDEX(MASTER_DATABASE!$A$4:$A$1000,ROW()-3)="","",INDEX(MASTER_DATABASE!$E$4:$E$1000,ROW()-3)&amp;"")</f>
        <v>Tempered Glass</v>
      </c>
      <c r="C168" s="7" t="str">
        <f aca="false">IF(INDEX(MASTER_DATABASE!$A$4:$A$1000,ROW()-3)="","",INDEX(MASTER_DATABASE!$F$4:$F$1000,ROW()-3)&amp;"")</f>
        <v>टेम्पर्ड ग्लास</v>
      </c>
      <c r="D168" s="7" t="str">
        <f aca="false">IF(INDEX(MASTER_DATABASE!$A$4:$A$1000,ROW()-3)="","",INDEX(MASTER_DATABASE!$AL$4:$AL$1000,ROW()-3)&amp;"")</f>
        <v>Mobile Store</v>
      </c>
      <c r="E168" s="7" t="str">
        <f aca="false">IF(INDEX(MASTER_DATABASE!$A$4:$A$1000,ROW()-3)="","",INDEX(MASTER_DATABASE!$G$4:$G$1000,ROW()-3)&amp;"")</f>
        <v>Tempered Glass at our mobile store.</v>
      </c>
      <c r="F168" s="11" t="str">
        <f aca="false">IF(INDEX(MASTER_DATABASE!$A$4:$A$1000,ROW()-3)="","",INDEX(MASTER_DATABASE!$AP$4:$AP$1000,ROW()-3)&amp;"")</f>
        <v>🛡️</v>
      </c>
      <c r="G16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8" s="7" t="str">
        <f aca="false">IF(INDEX(MASTER_DATABASE!$A$4:$A$1000,ROW()-3)="","",INDEX(MASTER_DATABASE!$J$4:$J$1000,ROW()-3)&amp;"")</f>
        <v>Available</v>
      </c>
      <c r="K168" s="7" t="str">
        <f aca="false">IF(INDEX(MASTER_DATABASE!$A$4:$A$1000,ROW()-3)="","",INDEX(MASTER_DATABASE!$M$4:$M$1000,ROW()-3)&amp;"")</f>
        <v/>
      </c>
      <c r="L168" s="7" t="str">
        <f aca="false">IF(INDEX(MASTER_DATABASE!$A$4:$A$1000,ROW()-3)="","",INDEX(MASTER_DATABASE!$Q$4:$Q$1000,ROW()-3)&amp;"")</f>
        <v>5–10 Minutes</v>
      </c>
      <c r="M168" s="11" t="str">
        <f aca="false">IF(INDEX(MASTER_DATABASE!$A$4:$A$1000,ROW()-3)="","",INDEX(MASTER_DATABASE!$AI$4:$AI$1000,ROW()-3)&amp;"")</f>
        <v>No</v>
      </c>
      <c r="N168" s="11" t="str">
        <f aca="false">IF(INDEX(MASTER_DATABASE!$A$4:$A$1000,ROW()-3)="","",INDEX(MASTER_DATABASE!$AJ$4:$AJ$1000,ROW()-3)&amp;"")</f>
        <v>No</v>
      </c>
      <c r="O168" s="11" t="str">
        <f aca="false">IF(INDEX(MASTER_DATABASE!$A$4:$A$1000,ROW()-3)="","",IF(INDEX(MASTER_DATABASE!$BE$4:$BE$1000,ROW()-3)="LIVE","Yes","No"))</f>
        <v>Yes</v>
      </c>
      <c r="P168" s="7" t="str">
        <f aca="false">IF(INDEX(MASTER_DATABASE!$A$4:$A$1000,ROW()-3)="","",INDEX(MASTER_DATABASE!$BG$4:$BG$1000,ROW()-3)&amp;"")</f>
        <v>Get Quote</v>
      </c>
      <c r="Q168" s="11" t="n">
        <f aca="false">IF(INDEX(MASTER_DATABASE!$A$4:$A$1000,ROW()-3)="","",INDEX(MASTER_DATABASE!$AQ$4:$AQ$1000,ROW()-3))</f>
        <v>100</v>
      </c>
    </row>
    <row r="169" customFormat="false" ht="23.85" hidden="false" customHeight="false" outlineLevel="0" collapsed="false">
      <c r="A169" s="11" t="str">
        <f aca="false">IF(INDEX(MASTER_DATABASE!$A$4:$A$1000,ROW()-3)="","",INDEX(MASTER_DATABASE!$A$4:$A$1000,ROW()-3)&amp;"")</f>
        <v>MOB-011</v>
      </c>
      <c r="B169" s="7" t="str">
        <f aca="false">IF(INDEX(MASTER_DATABASE!$A$4:$A$1000,ROW()-3)="","",INDEX(MASTER_DATABASE!$E$4:$E$1000,ROW()-3)&amp;"")</f>
        <v>Tempered Glass Fitting</v>
      </c>
      <c r="C169" s="7" t="str">
        <f aca="false">IF(INDEX(MASTER_DATABASE!$A$4:$A$1000,ROW()-3)="","",INDEX(MASTER_DATABASE!$F$4:$F$1000,ROW()-3)&amp;"")</f>
        <v>टेम्पर्ड ग्लास फिटिंग</v>
      </c>
      <c r="D169" s="7" t="str">
        <f aca="false">IF(INDEX(MASTER_DATABASE!$A$4:$A$1000,ROW()-3)="","",INDEX(MASTER_DATABASE!$AL$4:$AL$1000,ROW()-3)&amp;"")</f>
        <v>Mobile Store</v>
      </c>
      <c r="E169" s="7" t="str">
        <f aca="false">IF(INDEX(MASTER_DATABASE!$A$4:$A$1000,ROW()-3)="","",INDEX(MASTER_DATABASE!$G$4:$G$1000,ROW()-3)&amp;"")</f>
        <v>Tempered Glass Fitting at our mobile store.</v>
      </c>
      <c r="F169" s="11" t="str">
        <f aca="false">IF(INDEX(MASTER_DATABASE!$A$4:$A$1000,ROW()-3)="","",INDEX(MASTER_DATABASE!$AP$4:$AP$1000,ROW()-3)&amp;"")</f>
        <v>🛡️</v>
      </c>
      <c r="G16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6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6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69" s="7" t="str">
        <f aca="false">IF(INDEX(MASTER_DATABASE!$A$4:$A$1000,ROW()-3)="","",INDEX(MASTER_DATABASE!$J$4:$J$1000,ROW()-3)&amp;"")</f>
        <v>Available</v>
      </c>
      <c r="K169" s="7" t="str">
        <f aca="false">IF(INDEX(MASTER_DATABASE!$A$4:$A$1000,ROW()-3)="","",INDEX(MASTER_DATABASE!$M$4:$M$1000,ROW()-3)&amp;"")</f>
        <v/>
      </c>
      <c r="L169" s="7" t="str">
        <f aca="false">IF(INDEX(MASTER_DATABASE!$A$4:$A$1000,ROW()-3)="","",INDEX(MASTER_DATABASE!$Q$4:$Q$1000,ROW()-3)&amp;"")</f>
        <v>5–10 Minutes</v>
      </c>
      <c r="M169" s="11" t="str">
        <f aca="false">IF(INDEX(MASTER_DATABASE!$A$4:$A$1000,ROW()-3)="","",INDEX(MASTER_DATABASE!$AI$4:$AI$1000,ROW()-3)&amp;"")</f>
        <v>No</v>
      </c>
      <c r="N169" s="11" t="str">
        <f aca="false">IF(INDEX(MASTER_DATABASE!$A$4:$A$1000,ROW()-3)="","",INDEX(MASTER_DATABASE!$AJ$4:$AJ$1000,ROW()-3)&amp;"")</f>
        <v>No</v>
      </c>
      <c r="O169" s="11" t="str">
        <f aca="false">IF(INDEX(MASTER_DATABASE!$A$4:$A$1000,ROW()-3)="","",IF(INDEX(MASTER_DATABASE!$BE$4:$BE$1000,ROW()-3)="LIVE","Yes","No"))</f>
        <v>Yes</v>
      </c>
      <c r="P169" s="7" t="str">
        <f aca="false">IF(INDEX(MASTER_DATABASE!$A$4:$A$1000,ROW()-3)="","",INDEX(MASTER_DATABASE!$BG$4:$BG$1000,ROW()-3)&amp;"")</f>
        <v>Get Quote</v>
      </c>
      <c r="Q169" s="11" t="n">
        <f aca="false">IF(INDEX(MASTER_DATABASE!$A$4:$A$1000,ROW()-3)="","",INDEX(MASTER_DATABASE!$AQ$4:$AQ$1000,ROW()-3))</f>
        <v>110</v>
      </c>
    </row>
    <row r="170" customFormat="false" ht="15" hidden="false" customHeight="false" outlineLevel="0" collapsed="false">
      <c r="A170" s="11" t="str">
        <f aca="false">IF(INDEX(MASTER_DATABASE!$A$4:$A$1000,ROW()-3)="","",INDEX(MASTER_DATABASE!$A$4:$A$1000,ROW()-3)&amp;"")</f>
        <v>MOB-012</v>
      </c>
      <c r="B170" s="7" t="str">
        <f aca="false">IF(INDEX(MASTER_DATABASE!$A$4:$A$1000,ROW()-3)="","",INDEX(MASTER_DATABASE!$E$4:$E$1000,ROW()-3)&amp;"")</f>
        <v>Memory Card</v>
      </c>
      <c r="C170" s="7" t="str">
        <f aca="false">IF(INDEX(MASTER_DATABASE!$A$4:$A$1000,ROW()-3)="","",INDEX(MASTER_DATABASE!$F$4:$F$1000,ROW()-3)&amp;"")</f>
        <v>मेमोरी कार्ड</v>
      </c>
      <c r="D170" s="7" t="str">
        <f aca="false">IF(INDEX(MASTER_DATABASE!$A$4:$A$1000,ROW()-3)="","",INDEX(MASTER_DATABASE!$AL$4:$AL$1000,ROW()-3)&amp;"")</f>
        <v>Mobile Store</v>
      </c>
      <c r="E170" s="7" t="str">
        <f aca="false">IF(INDEX(MASTER_DATABASE!$A$4:$A$1000,ROW()-3)="","",INDEX(MASTER_DATABASE!$G$4:$G$1000,ROW()-3)&amp;"")</f>
        <v>Memory Card at our mobile store.</v>
      </c>
      <c r="F170" s="11" t="str">
        <f aca="false">IF(INDEX(MASTER_DATABASE!$A$4:$A$1000,ROW()-3)="","",INDEX(MASTER_DATABASE!$AP$4:$AP$1000,ROW()-3)&amp;"")</f>
        <v>💾</v>
      </c>
      <c r="G17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0" s="7" t="str">
        <f aca="false">IF(INDEX(MASTER_DATABASE!$A$4:$A$1000,ROW()-3)="","",INDEX(MASTER_DATABASE!$J$4:$J$1000,ROW()-3)&amp;"")</f>
        <v>Available</v>
      </c>
      <c r="K170" s="7" t="str">
        <f aca="false">IF(INDEX(MASTER_DATABASE!$A$4:$A$1000,ROW()-3)="","",INDEX(MASTER_DATABASE!$M$4:$M$1000,ROW()-3)&amp;"")</f>
        <v/>
      </c>
      <c r="L170" s="7" t="str">
        <f aca="false">IF(INDEX(MASTER_DATABASE!$A$4:$A$1000,ROW()-3)="","",INDEX(MASTER_DATABASE!$Q$4:$Q$1000,ROW()-3)&amp;"")</f>
        <v>5–10 Minutes</v>
      </c>
      <c r="M170" s="11" t="str">
        <f aca="false">IF(INDEX(MASTER_DATABASE!$A$4:$A$1000,ROW()-3)="","",INDEX(MASTER_DATABASE!$AI$4:$AI$1000,ROW()-3)&amp;"")</f>
        <v>No</v>
      </c>
      <c r="N170" s="11" t="str">
        <f aca="false">IF(INDEX(MASTER_DATABASE!$A$4:$A$1000,ROW()-3)="","",INDEX(MASTER_DATABASE!$AJ$4:$AJ$1000,ROW()-3)&amp;"")</f>
        <v>No</v>
      </c>
      <c r="O170" s="11" t="str">
        <f aca="false">IF(INDEX(MASTER_DATABASE!$A$4:$A$1000,ROW()-3)="","",IF(INDEX(MASTER_DATABASE!$BE$4:$BE$1000,ROW()-3)="LIVE","Yes","No"))</f>
        <v>Yes</v>
      </c>
      <c r="P170" s="7" t="str">
        <f aca="false">IF(INDEX(MASTER_DATABASE!$A$4:$A$1000,ROW()-3)="","",INDEX(MASTER_DATABASE!$BG$4:$BG$1000,ROW()-3)&amp;"")</f>
        <v>Get Quote</v>
      </c>
      <c r="Q170" s="11" t="n">
        <f aca="false">IF(INDEX(MASTER_DATABASE!$A$4:$A$1000,ROW()-3)="","",INDEX(MASTER_DATABASE!$AQ$4:$AQ$1000,ROW()-3))</f>
        <v>120</v>
      </c>
    </row>
    <row r="171" customFormat="false" ht="15" hidden="false" customHeight="false" outlineLevel="0" collapsed="false">
      <c r="A171" s="11" t="str">
        <f aca="false">IF(INDEX(MASTER_DATABASE!$A$4:$A$1000,ROW()-3)="","",INDEX(MASTER_DATABASE!$A$4:$A$1000,ROW()-3)&amp;"")</f>
        <v>MOB-013</v>
      </c>
      <c r="B171" s="7" t="str">
        <f aca="false">IF(INDEX(MASTER_DATABASE!$A$4:$A$1000,ROW()-3)="","",INDEX(MASTER_DATABASE!$E$4:$E$1000,ROW()-3)&amp;"")</f>
        <v>Pendrive</v>
      </c>
      <c r="C171" s="7" t="str">
        <f aca="false">IF(INDEX(MASTER_DATABASE!$A$4:$A$1000,ROW()-3)="","",INDEX(MASTER_DATABASE!$F$4:$F$1000,ROW()-3)&amp;"")</f>
        <v>पेनड्राइव</v>
      </c>
      <c r="D171" s="7" t="str">
        <f aca="false">IF(INDEX(MASTER_DATABASE!$A$4:$A$1000,ROW()-3)="","",INDEX(MASTER_DATABASE!$AL$4:$AL$1000,ROW()-3)&amp;"")</f>
        <v>Mobile Store</v>
      </c>
      <c r="E171" s="7" t="str">
        <f aca="false">IF(INDEX(MASTER_DATABASE!$A$4:$A$1000,ROW()-3)="","",INDEX(MASTER_DATABASE!$G$4:$G$1000,ROW()-3)&amp;"")</f>
        <v>Pendrive at our mobile store.</v>
      </c>
      <c r="F171" s="11" t="str">
        <f aca="false">IF(INDEX(MASTER_DATABASE!$A$4:$A$1000,ROW()-3)="","",INDEX(MASTER_DATABASE!$AP$4:$AP$1000,ROW()-3)&amp;"")</f>
        <v>💾</v>
      </c>
      <c r="G17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1" s="7" t="str">
        <f aca="false">IF(INDEX(MASTER_DATABASE!$A$4:$A$1000,ROW()-3)="","",INDEX(MASTER_DATABASE!$J$4:$J$1000,ROW()-3)&amp;"")</f>
        <v>Available</v>
      </c>
      <c r="K171" s="7" t="str">
        <f aca="false">IF(INDEX(MASTER_DATABASE!$A$4:$A$1000,ROW()-3)="","",INDEX(MASTER_DATABASE!$M$4:$M$1000,ROW()-3)&amp;"")</f>
        <v/>
      </c>
      <c r="L171" s="7" t="str">
        <f aca="false">IF(INDEX(MASTER_DATABASE!$A$4:$A$1000,ROW()-3)="","",INDEX(MASTER_DATABASE!$Q$4:$Q$1000,ROW()-3)&amp;"")</f>
        <v>5–10 Minutes</v>
      </c>
      <c r="M171" s="11" t="str">
        <f aca="false">IF(INDEX(MASTER_DATABASE!$A$4:$A$1000,ROW()-3)="","",INDEX(MASTER_DATABASE!$AI$4:$AI$1000,ROW()-3)&amp;"")</f>
        <v>No</v>
      </c>
      <c r="N171" s="11" t="str">
        <f aca="false">IF(INDEX(MASTER_DATABASE!$A$4:$A$1000,ROW()-3)="","",INDEX(MASTER_DATABASE!$AJ$4:$AJ$1000,ROW()-3)&amp;"")</f>
        <v>No</v>
      </c>
      <c r="O171" s="11" t="str">
        <f aca="false">IF(INDEX(MASTER_DATABASE!$A$4:$A$1000,ROW()-3)="","",IF(INDEX(MASTER_DATABASE!$BE$4:$BE$1000,ROW()-3)="LIVE","Yes","No"))</f>
        <v>Yes</v>
      </c>
      <c r="P171" s="7" t="str">
        <f aca="false">IF(INDEX(MASTER_DATABASE!$A$4:$A$1000,ROW()-3)="","",INDEX(MASTER_DATABASE!$BG$4:$BG$1000,ROW()-3)&amp;"")</f>
        <v>Get Quote</v>
      </c>
      <c r="Q171" s="11" t="n">
        <f aca="false">IF(INDEX(MASTER_DATABASE!$A$4:$A$1000,ROW()-3)="","",INDEX(MASTER_DATABASE!$AQ$4:$AQ$1000,ROW()-3))</f>
        <v>130</v>
      </c>
    </row>
    <row r="172" customFormat="false" ht="35.05" hidden="false" customHeight="false" outlineLevel="0" collapsed="false">
      <c r="A172" s="11" t="str">
        <f aca="false">IF(INDEX(MASTER_DATABASE!$A$4:$A$1000,ROW()-3)="","",INDEX(MASTER_DATABASE!$A$4:$A$1000,ROW()-3)&amp;"")</f>
        <v>MOB-014</v>
      </c>
      <c r="B172" s="7" t="str">
        <f aca="false">IF(INDEX(MASTER_DATABASE!$A$4:$A$1000,ROW()-3)="","",INDEX(MASTER_DATABASE!$E$4:$E$1000,ROW()-3)&amp;"")</f>
        <v>New SIM Card Sale / Activation</v>
      </c>
      <c r="C172" s="7" t="str">
        <f aca="false">IF(INDEX(MASTER_DATABASE!$A$4:$A$1000,ROW()-3)="","",INDEX(MASTER_DATABASE!$F$4:$F$1000,ROW()-3)&amp;"")</f>
        <v>नया सिम कार्ड बिक्री / एक्टिवेशन</v>
      </c>
      <c r="D172" s="7" t="str">
        <f aca="false">IF(INDEX(MASTER_DATABASE!$A$4:$A$1000,ROW()-3)="","",INDEX(MASTER_DATABASE!$AL$4:$AL$1000,ROW()-3)&amp;"")</f>
        <v>Mobile Store</v>
      </c>
      <c r="E172" s="7" t="str">
        <f aca="false">IF(INDEX(MASTER_DATABASE!$A$4:$A$1000,ROW()-3)="","",INDEX(MASTER_DATABASE!$G$4:$G$1000,ROW()-3)&amp;"")</f>
        <v>New SIM Card Sale / Activation at our mobile store.</v>
      </c>
      <c r="F172" s="11" t="str">
        <f aca="false">IF(INDEX(MASTER_DATABASE!$A$4:$A$1000,ROW()-3)="","",INDEX(MASTER_DATABASE!$AP$4:$AP$1000,ROW()-3)&amp;"")</f>
        <v>📶</v>
      </c>
      <c r="G17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2" s="7" t="str">
        <f aca="false">IF(INDEX(MASTER_DATABASE!$A$4:$A$1000,ROW()-3)="","",INDEX(MASTER_DATABASE!$J$4:$J$1000,ROW()-3)&amp;"")</f>
        <v>Please Confirm at Shop</v>
      </c>
      <c r="K172" s="7" t="str">
        <f aca="false">IF(INDEX(MASTER_DATABASE!$A$4:$A$1000,ROW()-3)="","",INDEX(MASTER_DATABASE!$M$4:$M$1000,ROW()-3)&amp;"")</f>
        <v>✓ Aadhaar Card
✓ Passport Photo
✓ Customer Presence for Biometrics</v>
      </c>
      <c r="L172" s="7" t="str">
        <f aca="false">IF(INDEX(MASTER_DATABASE!$A$4:$A$1000,ROW()-3)="","",INDEX(MASTER_DATABASE!$Q$4:$Q$1000,ROW()-3)&amp;"")</f>
        <v>Depends on Department</v>
      </c>
      <c r="M172" s="11" t="str">
        <f aca="false">IF(INDEX(MASTER_DATABASE!$A$4:$A$1000,ROW()-3)="","",INDEX(MASTER_DATABASE!$AI$4:$AI$1000,ROW()-3)&amp;"")</f>
        <v>No</v>
      </c>
      <c r="N172" s="11" t="str">
        <f aca="false">IF(INDEX(MASTER_DATABASE!$A$4:$A$1000,ROW()-3)="","",INDEX(MASTER_DATABASE!$AJ$4:$AJ$1000,ROW()-3)&amp;"")</f>
        <v>No</v>
      </c>
      <c r="O172" s="11" t="str">
        <f aca="false">IF(INDEX(MASTER_DATABASE!$A$4:$A$1000,ROW()-3)="","",IF(INDEX(MASTER_DATABASE!$BE$4:$BE$1000,ROW()-3)="LIVE","Yes","No"))</f>
        <v>No</v>
      </c>
      <c r="P172" s="7" t="str">
        <f aca="false">IF(INDEX(MASTER_DATABASE!$A$4:$A$1000,ROW()-3)="","",INDEX(MASTER_DATABASE!$BG$4:$BG$1000,ROW()-3)&amp;"")</f>
        <v>Check Documents</v>
      </c>
      <c r="Q172" s="11" t="n">
        <f aca="false">IF(INDEX(MASTER_DATABASE!$A$4:$A$1000,ROW()-3)="","",INDEX(MASTER_DATABASE!$AQ$4:$AQ$1000,ROW()-3))</f>
        <v>140</v>
      </c>
    </row>
    <row r="173" customFormat="false" ht="35.05" hidden="false" customHeight="false" outlineLevel="0" collapsed="false">
      <c r="A173" s="11" t="str">
        <f aca="false">IF(INDEX(MASTER_DATABASE!$A$4:$A$1000,ROW()-3)="","",INDEX(MASTER_DATABASE!$A$4:$A$1000,ROW()-3)&amp;"")</f>
        <v>MOB-015</v>
      </c>
      <c r="B173" s="7" t="str">
        <f aca="false">IF(INDEX(MASTER_DATABASE!$A$4:$A$1000,ROW()-3)="","",INDEX(MASTER_DATABASE!$E$4:$E$1000,ROW()-3)&amp;"")</f>
        <v>SIM Replacement (Lost / Damaged SIM)</v>
      </c>
      <c r="C173" s="7" t="str">
        <f aca="false">IF(INDEX(MASTER_DATABASE!$A$4:$A$1000,ROW()-3)="","",INDEX(MASTER_DATABASE!$F$4:$F$1000,ROW()-3)&amp;"")</f>
        <v>सिम रिप्लेसमेंट (खोया / खराब सिम)</v>
      </c>
      <c r="D173" s="7" t="str">
        <f aca="false">IF(INDEX(MASTER_DATABASE!$A$4:$A$1000,ROW()-3)="","",INDEX(MASTER_DATABASE!$AL$4:$AL$1000,ROW()-3)&amp;"")</f>
        <v>Mobile Store</v>
      </c>
      <c r="E173" s="7" t="str">
        <f aca="false">IF(INDEX(MASTER_DATABASE!$A$4:$A$1000,ROW()-3)="","",INDEX(MASTER_DATABASE!$G$4:$G$1000,ROW()-3)&amp;"")</f>
        <v>SIM Replacement (Lost / Damaged SIM) at our mobile store.</v>
      </c>
      <c r="F173" s="11" t="str">
        <f aca="false">IF(INDEX(MASTER_DATABASE!$A$4:$A$1000,ROW()-3)="","",INDEX(MASTER_DATABASE!$AP$4:$AP$1000,ROW()-3)&amp;"")</f>
        <v>📶</v>
      </c>
      <c r="G17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3" s="7" t="str">
        <f aca="false">IF(INDEX(MASTER_DATABASE!$A$4:$A$1000,ROW()-3)="","",INDEX(MASTER_DATABASE!$J$4:$J$1000,ROW()-3)&amp;"")</f>
        <v>Please Confirm at Shop</v>
      </c>
      <c r="K173" s="7" t="str">
        <f aca="false">IF(INDEX(MASTER_DATABASE!$A$4:$A$1000,ROW()-3)="","",INDEX(MASTER_DATABASE!$M$4:$M$1000,ROW()-3)&amp;"")</f>
        <v>✓ Aadhaar Card
✓ Passport Photo
✓ Customer Presence for Biometrics</v>
      </c>
      <c r="L173" s="7" t="str">
        <f aca="false">IF(INDEX(MASTER_DATABASE!$A$4:$A$1000,ROW()-3)="","",INDEX(MASTER_DATABASE!$Q$4:$Q$1000,ROW()-3)&amp;"")</f>
        <v>Depends on Department</v>
      </c>
      <c r="M173" s="11" t="str">
        <f aca="false">IF(INDEX(MASTER_DATABASE!$A$4:$A$1000,ROW()-3)="","",INDEX(MASTER_DATABASE!$AI$4:$AI$1000,ROW()-3)&amp;"")</f>
        <v>No</v>
      </c>
      <c r="N173" s="11" t="str">
        <f aca="false">IF(INDEX(MASTER_DATABASE!$A$4:$A$1000,ROW()-3)="","",INDEX(MASTER_DATABASE!$AJ$4:$AJ$1000,ROW()-3)&amp;"")</f>
        <v>No</v>
      </c>
      <c r="O173" s="11" t="str">
        <f aca="false">IF(INDEX(MASTER_DATABASE!$A$4:$A$1000,ROW()-3)="","",IF(INDEX(MASTER_DATABASE!$BE$4:$BE$1000,ROW()-3)="LIVE","Yes","No"))</f>
        <v>No</v>
      </c>
      <c r="P173" s="7" t="str">
        <f aca="false">IF(INDEX(MASTER_DATABASE!$A$4:$A$1000,ROW()-3)="","",INDEX(MASTER_DATABASE!$BG$4:$BG$1000,ROW()-3)&amp;"")</f>
        <v>Check Documents</v>
      </c>
      <c r="Q173" s="11" t="n">
        <f aca="false">IF(INDEX(MASTER_DATABASE!$A$4:$A$1000,ROW()-3)="","",INDEX(MASTER_DATABASE!$AQ$4:$AQ$1000,ROW()-3))</f>
        <v>150</v>
      </c>
    </row>
    <row r="174" customFormat="false" ht="35.05" hidden="false" customHeight="false" outlineLevel="0" collapsed="false">
      <c r="A174" s="11" t="str">
        <f aca="false">IF(INDEX(MASTER_DATABASE!$A$4:$A$1000,ROW()-3)="","",INDEX(MASTER_DATABASE!$A$4:$A$1000,ROW()-3)&amp;"")</f>
        <v>MOB-016</v>
      </c>
      <c r="B174" s="7" t="str">
        <f aca="false">IF(INDEX(MASTER_DATABASE!$A$4:$A$1000,ROW()-3)="","",INDEX(MASTER_DATABASE!$E$4:$E$1000,ROW()-3)&amp;"")</f>
        <v>Mobile Number Portability (MNP) Assistance</v>
      </c>
      <c r="C174" s="7" t="str">
        <f aca="false">IF(INDEX(MASTER_DATABASE!$A$4:$A$1000,ROW()-3)="","",INDEX(MASTER_DATABASE!$F$4:$F$1000,ROW()-3)&amp;"")</f>
        <v>मोबाइल नंबर पोर्टेबिलिटी (MNP) सहायता</v>
      </c>
      <c r="D174" s="7" t="str">
        <f aca="false">IF(INDEX(MASTER_DATABASE!$A$4:$A$1000,ROW()-3)="","",INDEX(MASTER_DATABASE!$AL$4:$AL$1000,ROW()-3)&amp;"")</f>
        <v>Mobile Store</v>
      </c>
      <c r="E174" s="7" t="str">
        <f aca="false">IF(INDEX(MASTER_DATABASE!$A$4:$A$1000,ROW()-3)="","",INDEX(MASTER_DATABASE!$G$4:$G$1000,ROW()-3)&amp;"")</f>
        <v>Mobile Number Portability (MNP) Assistance at our mobile store.</v>
      </c>
      <c r="F174" s="11" t="str">
        <f aca="false">IF(INDEX(MASTER_DATABASE!$A$4:$A$1000,ROW()-3)="","",INDEX(MASTER_DATABASE!$AP$4:$AP$1000,ROW()-3)&amp;"")</f>
        <v>📶</v>
      </c>
      <c r="G17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4" s="7" t="str">
        <f aca="false">IF(INDEX(MASTER_DATABASE!$A$4:$A$1000,ROW()-3)="","",INDEX(MASTER_DATABASE!$J$4:$J$1000,ROW()-3)&amp;"")</f>
        <v>Please Confirm at Shop</v>
      </c>
      <c r="K174" s="7" t="str">
        <f aca="false">IF(INDEX(MASTER_DATABASE!$A$4:$A$1000,ROW()-3)="","",INDEX(MASTER_DATABASE!$M$4:$M$1000,ROW()-3)&amp;"")</f>
        <v>✓ Aadhaar Card
✓ Passport Photo
✓ Customer Presence for Biometrics</v>
      </c>
      <c r="L174" s="7" t="str">
        <f aca="false">IF(INDEX(MASTER_DATABASE!$A$4:$A$1000,ROW()-3)="","",INDEX(MASTER_DATABASE!$Q$4:$Q$1000,ROW()-3)&amp;"")</f>
        <v>Depends on Department</v>
      </c>
      <c r="M174" s="11" t="str">
        <f aca="false">IF(INDEX(MASTER_DATABASE!$A$4:$A$1000,ROW()-3)="","",INDEX(MASTER_DATABASE!$AI$4:$AI$1000,ROW()-3)&amp;"")</f>
        <v>No</v>
      </c>
      <c r="N174" s="11" t="str">
        <f aca="false">IF(INDEX(MASTER_DATABASE!$A$4:$A$1000,ROW()-3)="","",INDEX(MASTER_DATABASE!$AJ$4:$AJ$1000,ROW()-3)&amp;"")</f>
        <v>No</v>
      </c>
      <c r="O174" s="11" t="str">
        <f aca="false">IF(INDEX(MASTER_DATABASE!$A$4:$A$1000,ROW()-3)="","",IF(INDEX(MASTER_DATABASE!$BE$4:$BE$1000,ROW()-3)="LIVE","Yes","No"))</f>
        <v>No</v>
      </c>
      <c r="P174" s="7" t="str">
        <f aca="false">IF(INDEX(MASTER_DATABASE!$A$4:$A$1000,ROW()-3)="","",INDEX(MASTER_DATABASE!$BG$4:$BG$1000,ROW()-3)&amp;"")</f>
        <v>Check Documents</v>
      </c>
      <c r="Q174" s="11" t="n">
        <f aca="false">IF(INDEX(MASTER_DATABASE!$A$4:$A$1000,ROW()-3)="","",INDEX(MASTER_DATABASE!$AQ$4:$AQ$1000,ROW()-3))</f>
        <v>160</v>
      </c>
    </row>
    <row r="175" customFormat="false" ht="35.05" hidden="false" customHeight="false" outlineLevel="0" collapsed="false">
      <c r="A175" s="11" t="str">
        <f aca="false">IF(INDEX(MASTER_DATABASE!$A$4:$A$1000,ROW()-3)="","",INDEX(MASTER_DATABASE!$A$4:$A$1000,ROW()-3)&amp;"")</f>
        <v>MOB-017</v>
      </c>
      <c r="B175" s="7" t="str">
        <f aca="false">IF(INDEX(MASTER_DATABASE!$A$4:$A$1000,ROW()-3)="","",INDEX(MASTER_DATABASE!$E$4:$E$1000,ROW()-3)&amp;"")</f>
        <v>SIM KYC / Re-verification Assistance</v>
      </c>
      <c r="C175" s="7" t="str">
        <f aca="false">IF(INDEX(MASTER_DATABASE!$A$4:$A$1000,ROW()-3)="","",INDEX(MASTER_DATABASE!$F$4:$F$1000,ROW()-3)&amp;"")</f>
        <v>सिम KYC / पुनः सत्यापन सहायता</v>
      </c>
      <c r="D175" s="7" t="str">
        <f aca="false">IF(INDEX(MASTER_DATABASE!$A$4:$A$1000,ROW()-3)="","",INDEX(MASTER_DATABASE!$AL$4:$AL$1000,ROW()-3)&amp;"")</f>
        <v>Mobile Store</v>
      </c>
      <c r="E175" s="7" t="str">
        <f aca="false">IF(INDEX(MASTER_DATABASE!$A$4:$A$1000,ROW()-3)="","",INDEX(MASTER_DATABASE!$G$4:$G$1000,ROW()-3)&amp;"")</f>
        <v>SIM KYC / Re-verification Assistance at our mobile store.</v>
      </c>
      <c r="F175" s="11" t="str">
        <f aca="false">IF(INDEX(MASTER_DATABASE!$A$4:$A$1000,ROW()-3)="","",INDEX(MASTER_DATABASE!$AP$4:$AP$1000,ROW()-3)&amp;"")</f>
        <v>📶</v>
      </c>
      <c r="G17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5" s="7" t="str">
        <f aca="false">IF(INDEX(MASTER_DATABASE!$A$4:$A$1000,ROW()-3)="","",INDEX(MASTER_DATABASE!$J$4:$J$1000,ROW()-3)&amp;"")</f>
        <v>Please Confirm at Shop</v>
      </c>
      <c r="K175" s="7" t="str">
        <f aca="false">IF(INDEX(MASTER_DATABASE!$A$4:$A$1000,ROW()-3)="","",INDEX(MASTER_DATABASE!$M$4:$M$1000,ROW()-3)&amp;"")</f>
        <v>✓ Aadhaar Card
✓ Passport Photo
✓ Customer Presence for Biometrics</v>
      </c>
      <c r="L175" s="7" t="str">
        <f aca="false">IF(INDEX(MASTER_DATABASE!$A$4:$A$1000,ROW()-3)="","",INDEX(MASTER_DATABASE!$Q$4:$Q$1000,ROW()-3)&amp;"")</f>
        <v>Depends on Department</v>
      </c>
      <c r="M175" s="11" t="str">
        <f aca="false">IF(INDEX(MASTER_DATABASE!$A$4:$A$1000,ROW()-3)="","",INDEX(MASTER_DATABASE!$AI$4:$AI$1000,ROW()-3)&amp;"")</f>
        <v>No</v>
      </c>
      <c r="N175" s="11" t="str">
        <f aca="false">IF(INDEX(MASTER_DATABASE!$A$4:$A$1000,ROW()-3)="","",INDEX(MASTER_DATABASE!$AJ$4:$AJ$1000,ROW()-3)&amp;"")</f>
        <v>No</v>
      </c>
      <c r="O175" s="11" t="str">
        <f aca="false">IF(INDEX(MASTER_DATABASE!$A$4:$A$1000,ROW()-3)="","",IF(INDEX(MASTER_DATABASE!$BE$4:$BE$1000,ROW()-3)="LIVE","Yes","No"))</f>
        <v>No</v>
      </c>
      <c r="P175" s="7" t="str">
        <f aca="false">IF(INDEX(MASTER_DATABASE!$A$4:$A$1000,ROW()-3)="","",INDEX(MASTER_DATABASE!$BG$4:$BG$1000,ROW()-3)&amp;"")</f>
        <v>Check Documents</v>
      </c>
      <c r="Q175" s="11" t="n">
        <f aca="false">IF(INDEX(MASTER_DATABASE!$A$4:$A$1000,ROW()-3)="","",INDEX(MASTER_DATABASE!$AQ$4:$AQ$1000,ROW()-3))</f>
        <v>170</v>
      </c>
    </row>
    <row r="176" customFormat="false" ht="23.85" hidden="false" customHeight="false" outlineLevel="0" collapsed="false">
      <c r="A176" s="11" t="str">
        <f aca="false">IF(INDEX(MASTER_DATABASE!$A$4:$A$1000,ROW()-3)="","",INDEX(MASTER_DATABASE!$A$4:$A$1000,ROW()-3)&amp;"")</f>
        <v>MOB-018</v>
      </c>
      <c r="B176" s="7" t="str">
        <f aca="false">IF(INDEX(MASTER_DATABASE!$A$4:$A$1000,ROW()-3)="","",INDEX(MASTER_DATABASE!$E$4:$E$1000,ROW()-3)&amp;"")</f>
        <v>Basic Mobile Setup (New Phone)</v>
      </c>
      <c r="C176" s="7" t="str">
        <f aca="false">IF(INDEX(MASTER_DATABASE!$A$4:$A$1000,ROW()-3)="","",INDEX(MASTER_DATABASE!$F$4:$F$1000,ROW()-3)&amp;"")</f>
        <v>बेसिक मोबाइल सेटअप (नया फोन)</v>
      </c>
      <c r="D176" s="7" t="str">
        <f aca="false">IF(INDEX(MASTER_DATABASE!$A$4:$A$1000,ROW()-3)="","",INDEX(MASTER_DATABASE!$AL$4:$AL$1000,ROW()-3)&amp;"")</f>
        <v>Mobile Store</v>
      </c>
      <c r="E176" s="7" t="str">
        <f aca="false">IF(INDEX(MASTER_DATABASE!$A$4:$A$1000,ROW()-3)="","",INDEX(MASTER_DATABASE!$G$4:$G$1000,ROW()-3)&amp;"")</f>
        <v>Basic Mobile Setup (New Phone) at our mobile store.</v>
      </c>
      <c r="F176" s="11" t="str">
        <f aca="false">IF(INDEX(MASTER_DATABASE!$A$4:$A$1000,ROW()-3)="","",INDEX(MASTER_DATABASE!$AP$4:$AP$1000,ROW()-3)&amp;"")</f>
        <v>🛠️</v>
      </c>
      <c r="G17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6" s="7" t="str">
        <f aca="false">IF(INDEX(MASTER_DATABASE!$A$4:$A$1000,ROW()-3)="","",INDEX(MASTER_DATABASE!$J$4:$J$1000,ROW()-3)&amp;"")</f>
        <v>Available</v>
      </c>
      <c r="K176" s="7" t="str">
        <f aca="false">IF(INDEX(MASTER_DATABASE!$A$4:$A$1000,ROW()-3)="","",INDEX(MASTER_DATABASE!$M$4:$M$1000,ROW()-3)&amp;"")</f>
        <v>✓ Mobile Phone</v>
      </c>
      <c r="L176" s="7" t="str">
        <f aca="false">IF(INDEX(MASTER_DATABASE!$A$4:$A$1000,ROW()-3)="","",INDEX(MASTER_DATABASE!$Q$4:$Q$1000,ROW()-3)&amp;"")</f>
        <v>15–30 Minutes</v>
      </c>
      <c r="M176" s="11" t="str">
        <f aca="false">IF(INDEX(MASTER_DATABASE!$A$4:$A$1000,ROW()-3)="","",INDEX(MASTER_DATABASE!$AI$4:$AI$1000,ROW()-3)&amp;"")</f>
        <v>No</v>
      </c>
      <c r="N176" s="11" t="str">
        <f aca="false">IF(INDEX(MASTER_DATABASE!$A$4:$A$1000,ROW()-3)="","",INDEX(MASTER_DATABASE!$AJ$4:$AJ$1000,ROW()-3)&amp;"")</f>
        <v>No</v>
      </c>
      <c r="O176" s="11" t="str">
        <f aca="false">IF(INDEX(MASTER_DATABASE!$A$4:$A$1000,ROW()-3)="","",IF(INDEX(MASTER_DATABASE!$BE$4:$BE$1000,ROW()-3)="LIVE","Yes","No"))</f>
        <v>Yes</v>
      </c>
      <c r="P176" s="7" t="str">
        <f aca="false">IF(INDEX(MASTER_DATABASE!$A$4:$A$1000,ROW()-3)="","",INDEX(MASTER_DATABASE!$BG$4:$BG$1000,ROW()-3)&amp;"")</f>
        <v>Visit Shop</v>
      </c>
      <c r="Q176" s="11" t="n">
        <f aca="false">IF(INDEX(MASTER_DATABASE!$A$4:$A$1000,ROW()-3)="","",INDEX(MASTER_DATABASE!$AQ$4:$AQ$1000,ROW()-3))</f>
        <v>180</v>
      </c>
    </row>
    <row r="177" customFormat="false" ht="23.85" hidden="false" customHeight="false" outlineLevel="0" collapsed="false">
      <c r="A177" s="11" t="str">
        <f aca="false">IF(INDEX(MASTER_DATABASE!$A$4:$A$1000,ROW()-3)="","",INDEX(MASTER_DATABASE!$A$4:$A$1000,ROW()-3)&amp;"")</f>
        <v>MOB-019</v>
      </c>
      <c r="B177" s="7" t="str">
        <f aca="false">IF(INDEX(MASTER_DATABASE!$A$4:$A$1000,ROW()-3)="","",INDEX(MASTER_DATABASE!$E$4:$E$1000,ROW()-3)&amp;"")</f>
        <v>App Installation / Setup</v>
      </c>
      <c r="C177" s="7" t="str">
        <f aca="false">IF(INDEX(MASTER_DATABASE!$A$4:$A$1000,ROW()-3)="","",INDEX(MASTER_DATABASE!$F$4:$F$1000,ROW()-3)&amp;"")</f>
        <v>ऐप इंस्टॉलेशन / सेटअप</v>
      </c>
      <c r="D177" s="7" t="str">
        <f aca="false">IF(INDEX(MASTER_DATABASE!$A$4:$A$1000,ROW()-3)="","",INDEX(MASTER_DATABASE!$AL$4:$AL$1000,ROW()-3)&amp;"")</f>
        <v>Mobile Store</v>
      </c>
      <c r="E177" s="7" t="str">
        <f aca="false">IF(INDEX(MASTER_DATABASE!$A$4:$A$1000,ROW()-3)="","",INDEX(MASTER_DATABASE!$G$4:$G$1000,ROW()-3)&amp;"")</f>
        <v>App Installation / Setup at our mobile store.</v>
      </c>
      <c r="F177" s="11" t="str">
        <f aca="false">IF(INDEX(MASTER_DATABASE!$A$4:$A$1000,ROW()-3)="","",INDEX(MASTER_DATABASE!$AP$4:$AP$1000,ROW()-3)&amp;"")</f>
        <v>🛠️</v>
      </c>
      <c r="G17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7" s="7" t="str">
        <f aca="false">IF(INDEX(MASTER_DATABASE!$A$4:$A$1000,ROW()-3)="","",INDEX(MASTER_DATABASE!$J$4:$J$1000,ROW()-3)&amp;"")</f>
        <v>Available</v>
      </c>
      <c r="K177" s="7" t="str">
        <f aca="false">IF(INDEX(MASTER_DATABASE!$A$4:$A$1000,ROW()-3)="","",INDEX(MASTER_DATABASE!$M$4:$M$1000,ROW()-3)&amp;"")</f>
        <v>✓ Mobile Phone</v>
      </c>
      <c r="L177" s="7" t="str">
        <f aca="false">IF(INDEX(MASTER_DATABASE!$A$4:$A$1000,ROW()-3)="","",INDEX(MASTER_DATABASE!$Q$4:$Q$1000,ROW()-3)&amp;"")</f>
        <v>15–30 Minutes</v>
      </c>
      <c r="M177" s="11" t="str">
        <f aca="false">IF(INDEX(MASTER_DATABASE!$A$4:$A$1000,ROW()-3)="","",INDEX(MASTER_DATABASE!$AI$4:$AI$1000,ROW()-3)&amp;"")</f>
        <v>No</v>
      </c>
      <c r="N177" s="11" t="str">
        <f aca="false">IF(INDEX(MASTER_DATABASE!$A$4:$A$1000,ROW()-3)="","",INDEX(MASTER_DATABASE!$AJ$4:$AJ$1000,ROW()-3)&amp;"")</f>
        <v>No</v>
      </c>
      <c r="O177" s="11" t="str">
        <f aca="false">IF(INDEX(MASTER_DATABASE!$A$4:$A$1000,ROW()-3)="","",IF(INDEX(MASTER_DATABASE!$BE$4:$BE$1000,ROW()-3)="LIVE","Yes","No"))</f>
        <v>Yes</v>
      </c>
      <c r="P177" s="7" t="str">
        <f aca="false">IF(INDEX(MASTER_DATABASE!$A$4:$A$1000,ROW()-3)="","",INDEX(MASTER_DATABASE!$BG$4:$BG$1000,ROW()-3)&amp;"")</f>
        <v>Visit Shop</v>
      </c>
      <c r="Q177" s="11" t="n">
        <f aca="false">IF(INDEX(MASTER_DATABASE!$A$4:$A$1000,ROW()-3)="","",INDEX(MASTER_DATABASE!$AQ$4:$AQ$1000,ROW()-3))</f>
        <v>190</v>
      </c>
    </row>
    <row r="178" customFormat="false" ht="23.85" hidden="false" customHeight="false" outlineLevel="0" collapsed="false">
      <c r="A178" s="11" t="str">
        <f aca="false">IF(INDEX(MASTER_DATABASE!$A$4:$A$1000,ROW()-3)="","",INDEX(MASTER_DATABASE!$A$4:$A$1000,ROW()-3)&amp;"")</f>
        <v>MOB-020</v>
      </c>
      <c r="B178" s="7" t="str">
        <f aca="false">IF(INDEX(MASTER_DATABASE!$A$4:$A$1000,ROW()-3)="","",INDEX(MASTER_DATABASE!$E$4:$E$1000,ROW()-3)&amp;"")</f>
        <v>Data Transfer Assistance</v>
      </c>
      <c r="C178" s="7" t="str">
        <f aca="false">IF(INDEX(MASTER_DATABASE!$A$4:$A$1000,ROW()-3)="","",INDEX(MASTER_DATABASE!$F$4:$F$1000,ROW()-3)&amp;"")</f>
        <v>डेटा ट्रांसफर सहायता</v>
      </c>
      <c r="D178" s="7" t="str">
        <f aca="false">IF(INDEX(MASTER_DATABASE!$A$4:$A$1000,ROW()-3)="","",INDEX(MASTER_DATABASE!$AL$4:$AL$1000,ROW()-3)&amp;"")</f>
        <v>Mobile Store</v>
      </c>
      <c r="E178" s="7" t="str">
        <f aca="false">IF(INDEX(MASTER_DATABASE!$A$4:$A$1000,ROW()-3)="","",INDEX(MASTER_DATABASE!$G$4:$G$1000,ROW()-3)&amp;"")</f>
        <v>Data Transfer Assistance at our mobile store.</v>
      </c>
      <c r="F178" s="11" t="str">
        <f aca="false">IF(INDEX(MASTER_DATABASE!$A$4:$A$1000,ROW()-3)="","",INDEX(MASTER_DATABASE!$AP$4:$AP$1000,ROW()-3)&amp;"")</f>
        <v>🛠️</v>
      </c>
      <c r="G17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8" s="7" t="str">
        <f aca="false">IF(INDEX(MASTER_DATABASE!$A$4:$A$1000,ROW()-3)="","",INDEX(MASTER_DATABASE!$J$4:$J$1000,ROW()-3)&amp;"")</f>
        <v>Available</v>
      </c>
      <c r="K178" s="7" t="str">
        <f aca="false">IF(INDEX(MASTER_DATABASE!$A$4:$A$1000,ROW()-3)="","",INDEX(MASTER_DATABASE!$M$4:$M$1000,ROW()-3)&amp;"")</f>
        <v>✓ Mobile Phone</v>
      </c>
      <c r="L178" s="7" t="str">
        <f aca="false">IF(INDEX(MASTER_DATABASE!$A$4:$A$1000,ROW()-3)="","",INDEX(MASTER_DATABASE!$Q$4:$Q$1000,ROW()-3)&amp;"")</f>
        <v>15–30 Minutes</v>
      </c>
      <c r="M178" s="11" t="str">
        <f aca="false">IF(INDEX(MASTER_DATABASE!$A$4:$A$1000,ROW()-3)="","",INDEX(MASTER_DATABASE!$AI$4:$AI$1000,ROW()-3)&amp;"")</f>
        <v>No</v>
      </c>
      <c r="N178" s="11" t="str">
        <f aca="false">IF(INDEX(MASTER_DATABASE!$A$4:$A$1000,ROW()-3)="","",INDEX(MASTER_DATABASE!$AJ$4:$AJ$1000,ROW()-3)&amp;"")</f>
        <v>No</v>
      </c>
      <c r="O178" s="11" t="str">
        <f aca="false">IF(INDEX(MASTER_DATABASE!$A$4:$A$1000,ROW()-3)="","",IF(INDEX(MASTER_DATABASE!$BE$4:$BE$1000,ROW()-3)="LIVE","Yes","No"))</f>
        <v>Yes</v>
      </c>
      <c r="P178" s="7" t="str">
        <f aca="false">IF(INDEX(MASTER_DATABASE!$A$4:$A$1000,ROW()-3)="","",INDEX(MASTER_DATABASE!$BG$4:$BG$1000,ROW()-3)&amp;"")</f>
        <v>Visit Shop</v>
      </c>
      <c r="Q178" s="11" t="n">
        <f aca="false">IF(INDEX(MASTER_DATABASE!$A$4:$A$1000,ROW()-3)="","",INDEX(MASTER_DATABASE!$AQ$4:$AQ$1000,ROW()-3))</f>
        <v>200</v>
      </c>
    </row>
    <row r="179" customFormat="false" ht="23.85" hidden="false" customHeight="false" outlineLevel="0" collapsed="false">
      <c r="A179" s="11" t="str">
        <f aca="false">IF(INDEX(MASTER_DATABASE!$A$4:$A$1000,ROW()-3)="","",INDEX(MASTER_DATABASE!$A$4:$A$1000,ROW()-3)&amp;"")</f>
        <v>MOB-021</v>
      </c>
      <c r="B179" s="7" t="str">
        <f aca="false">IF(INDEX(MASTER_DATABASE!$A$4:$A$1000,ROW()-3)="","",INDEX(MASTER_DATABASE!$E$4:$E$1000,ROW()-3)&amp;"")</f>
        <v>Mobile Software Update / Reset Assistance</v>
      </c>
      <c r="C179" s="7" t="str">
        <f aca="false">IF(INDEX(MASTER_DATABASE!$A$4:$A$1000,ROW()-3)="","",INDEX(MASTER_DATABASE!$F$4:$F$1000,ROW()-3)&amp;"")</f>
        <v>मोबाइल सॉफ्टवेयर अपडेट / रीसेट सहायता</v>
      </c>
      <c r="D179" s="7" t="str">
        <f aca="false">IF(INDEX(MASTER_DATABASE!$A$4:$A$1000,ROW()-3)="","",INDEX(MASTER_DATABASE!$AL$4:$AL$1000,ROW()-3)&amp;"")</f>
        <v>Mobile Store</v>
      </c>
      <c r="E179" s="7" t="str">
        <f aca="false">IF(INDEX(MASTER_DATABASE!$A$4:$A$1000,ROW()-3)="","",INDEX(MASTER_DATABASE!$G$4:$G$1000,ROW()-3)&amp;"")</f>
        <v>Mobile Software Update / Reset Assistance at our mobile store.</v>
      </c>
      <c r="F179" s="11" t="str">
        <f aca="false">IF(INDEX(MASTER_DATABASE!$A$4:$A$1000,ROW()-3)="","",INDEX(MASTER_DATABASE!$AP$4:$AP$1000,ROW()-3)&amp;"")</f>
        <v>🛠️</v>
      </c>
      <c r="G17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7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7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79" s="7" t="str">
        <f aca="false">IF(INDEX(MASTER_DATABASE!$A$4:$A$1000,ROW()-3)="","",INDEX(MASTER_DATABASE!$J$4:$J$1000,ROW()-3)&amp;"")</f>
        <v>To Be Confirmed</v>
      </c>
      <c r="K179" s="7" t="str">
        <f aca="false">IF(INDEX(MASTER_DATABASE!$A$4:$A$1000,ROW()-3)="","",INDEX(MASTER_DATABASE!$M$4:$M$1000,ROW()-3)&amp;"")</f>
        <v>✓ Mobile Phone</v>
      </c>
      <c r="L179" s="7" t="str">
        <f aca="false">IF(INDEX(MASTER_DATABASE!$A$4:$A$1000,ROW()-3)="","",INDEX(MASTER_DATABASE!$Q$4:$Q$1000,ROW()-3)&amp;"")</f>
        <v>15–30 Minutes</v>
      </c>
      <c r="M179" s="11" t="str">
        <f aca="false">IF(INDEX(MASTER_DATABASE!$A$4:$A$1000,ROW()-3)="","",INDEX(MASTER_DATABASE!$AI$4:$AI$1000,ROW()-3)&amp;"")</f>
        <v>No</v>
      </c>
      <c r="N179" s="11" t="str">
        <f aca="false">IF(INDEX(MASTER_DATABASE!$A$4:$A$1000,ROW()-3)="","",INDEX(MASTER_DATABASE!$AJ$4:$AJ$1000,ROW()-3)&amp;"")</f>
        <v>No</v>
      </c>
      <c r="O179" s="11" t="str">
        <f aca="false">IF(INDEX(MASTER_DATABASE!$A$4:$A$1000,ROW()-3)="","",IF(INDEX(MASTER_DATABASE!$BE$4:$BE$1000,ROW()-3)="LIVE","Yes","No"))</f>
        <v>No</v>
      </c>
      <c r="P179" s="7" t="str">
        <f aca="false">IF(INDEX(MASTER_DATABASE!$A$4:$A$1000,ROW()-3)="","",INDEX(MASTER_DATABASE!$BG$4:$BG$1000,ROW()-3)&amp;"")</f>
        <v>Visit Shop</v>
      </c>
      <c r="Q179" s="11" t="n">
        <f aca="false">IF(INDEX(MASTER_DATABASE!$A$4:$A$1000,ROW()-3)="","",INDEX(MASTER_DATABASE!$AQ$4:$AQ$1000,ROW()-3))</f>
        <v>210</v>
      </c>
    </row>
    <row r="180" customFormat="false" ht="23.85" hidden="false" customHeight="false" outlineLevel="0" collapsed="false">
      <c r="A180" s="11" t="str">
        <f aca="false">IF(INDEX(MASTER_DATABASE!$A$4:$A$1000,ROW()-3)="","",INDEX(MASTER_DATABASE!$A$4:$A$1000,ROW()-3)&amp;"")</f>
        <v>MOB-022</v>
      </c>
      <c r="B180" s="7" t="str">
        <f aca="false">IF(INDEX(MASTER_DATABASE!$A$4:$A$1000,ROW()-3)="","",INDEX(MASTER_DATABASE!$E$4:$E$1000,ROW()-3)&amp;"")</f>
        <v>Basic Mobile Repair (Screen / Battery)</v>
      </c>
      <c r="C180" s="7" t="str">
        <f aca="false">IF(INDEX(MASTER_DATABASE!$A$4:$A$1000,ROW()-3)="","",INDEX(MASTER_DATABASE!$F$4:$F$1000,ROW()-3)&amp;"")</f>
        <v>बेसिक मोबाइल रिपेयर (स्क्रीन / बैटरी)</v>
      </c>
      <c r="D180" s="7" t="str">
        <f aca="false">IF(INDEX(MASTER_DATABASE!$A$4:$A$1000,ROW()-3)="","",INDEX(MASTER_DATABASE!$AL$4:$AL$1000,ROW()-3)&amp;"")</f>
        <v>Mobile Store</v>
      </c>
      <c r="E180" s="7" t="str">
        <f aca="false">IF(INDEX(MASTER_DATABASE!$A$4:$A$1000,ROW()-3)="","",INDEX(MASTER_DATABASE!$G$4:$G$1000,ROW()-3)&amp;"")</f>
        <v>Basic Mobile Repair (Screen / Battery) at our mobile store.</v>
      </c>
      <c r="F180" s="11" t="str">
        <f aca="false">IF(INDEX(MASTER_DATABASE!$A$4:$A$1000,ROW()-3)="","",INDEX(MASTER_DATABASE!$AP$4:$AP$1000,ROW()-3)&amp;"")</f>
        <v>🛠️</v>
      </c>
      <c r="G18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0" s="7" t="str">
        <f aca="false">IF(INDEX(MASTER_DATABASE!$A$4:$A$1000,ROW()-3)="","",INDEX(MASTER_DATABASE!$J$4:$J$1000,ROW()-3)&amp;"")</f>
        <v>To Be Confirmed</v>
      </c>
      <c r="K180" s="7" t="str">
        <f aca="false">IF(INDEX(MASTER_DATABASE!$A$4:$A$1000,ROW()-3)="","",INDEX(MASTER_DATABASE!$M$4:$M$1000,ROW()-3)&amp;"")</f>
        <v>✓ Mobile Phone</v>
      </c>
      <c r="L180" s="7" t="str">
        <f aca="false">IF(INDEX(MASTER_DATABASE!$A$4:$A$1000,ROW()-3)="","",INDEX(MASTER_DATABASE!$Q$4:$Q$1000,ROW()-3)&amp;"")</f>
        <v>15–30 Minutes</v>
      </c>
      <c r="M180" s="11" t="str">
        <f aca="false">IF(INDEX(MASTER_DATABASE!$A$4:$A$1000,ROW()-3)="","",INDEX(MASTER_DATABASE!$AI$4:$AI$1000,ROW()-3)&amp;"")</f>
        <v>No</v>
      </c>
      <c r="N180" s="11" t="str">
        <f aca="false">IF(INDEX(MASTER_DATABASE!$A$4:$A$1000,ROW()-3)="","",INDEX(MASTER_DATABASE!$AJ$4:$AJ$1000,ROW()-3)&amp;"")</f>
        <v>No</v>
      </c>
      <c r="O180" s="11" t="str">
        <f aca="false">IF(INDEX(MASTER_DATABASE!$A$4:$A$1000,ROW()-3)="","",IF(INDEX(MASTER_DATABASE!$BE$4:$BE$1000,ROW()-3)="LIVE","Yes","No"))</f>
        <v>No</v>
      </c>
      <c r="P180" s="7" t="str">
        <f aca="false">IF(INDEX(MASTER_DATABASE!$A$4:$A$1000,ROW()-3)="","",INDEX(MASTER_DATABASE!$BG$4:$BG$1000,ROW()-3)&amp;"")</f>
        <v>Visit Shop</v>
      </c>
      <c r="Q180" s="11" t="n">
        <f aca="false">IF(INDEX(MASTER_DATABASE!$A$4:$A$1000,ROW()-3)="","",INDEX(MASTER_DATABASE!$AQ$4:$AQ$1000,ROW()-3))</f>
        <v>220</v>
      </c>
    </row>
    <row r="181" customFormat="false" ht="23.85" hidden="false" customHeight="false" outlineLevel="0" collapsed="false">
      <c r="A181" s="11" t="str">
        <f aca="false">IF(INDEX(MASTER_DATABASE!$A$4:$A$1000,ROW()-3)="","",INDEX(MASTER_DATABASE!$A$4:$A$1000,ROW()-3)&amp;"")</f>
        <v>PRT-001</v>
      </c>
      <c r="B181" s="7" t="str">
        <f aca="false">IF(INDEX(MASTER_DATABASE!$A$4:$A$1000,ROW()-3)="","",INDEX(MASTER_DATABASE!$E$4:$E$1000,ROW()-3)&amp;"")</f>
        <v>B/W Print</v>
      </c>
      <c r="C181" s="7" t="str">
        <f aca="false">IF(INDEX(MASTER_DATABASE!$A$4:$A$1000,ROW()-3)="","",INDEX(MASTER_DATABASE!$F$4:$F$1000,ROW()-3)&amp;"")</f>
        <v>सादा (B/W) प्रिंट</v>
      </c>
      <c r="D181" s="7" t="str">
        <f aca="false">IF(INDEX(MASTER_DATABASE!$A$4:$A$1000,ROW()-3)="","",INDEX(MASTER_DATABASE!$AL$4:$AL$1000,ROW()-3)&amp;"")</f>
        <v>Printing / Xerox / Scanning</v>
      </c>
      <c r="E181" s="7" t="str">
        <f aca="false">IF(INDEX(MASTER_DATABASE!$A$4:$A$1000,ROW()-3)="","",INDEX(MASTER_DATABASE!$G$4:$G$1000,ROW()-3)&amp;"")</f>
        <v>B/W Print at our printing and document desk.</v>
      </c>
      <c r="F181" s="11" t="str">
        <f aca="false">IF(INDEX(MASTER_DATABASE!$A$4:$A$1000,ROW()-3)="","",INDEX(MASTER_DATABASE!$AP$4:$AP$1000,ROW()-3)&amp;"")</f>
        <v>🖨️</v>
      </c>
      <c r="G18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1" s="7" t="str">
        <f aca="false">IF(INDEX(MASTER_DATABASE!$A$4:$A$1000,ROW()-3)="","",INDEX(MASTER_DATABASE!$J$4:$J$1000,ROW()-3)&amp;"")</f>
        <v>Available</v>
      </c>
      <c r="K181" s="7" t="str">
        <f aca="false">IF(INDEX(MASTER_DATABASE!$A$4:$A$1000,ROW()-3)="","",INDEX(MASTER_DATABASE!$M$4:$M$1000,ROW()-3)&amp;"")</f>
        <v>✓ Files to Print / Scan</v>
      </c>
      <c r="L181" s="7" t="str">
        <f aca="false">IF(INDEX(MASTER_DATABASE!$A$4:$A$1000,ROW()-3)="","",INDEX(MASTER_DATABASE!$Q$4:$Q$1000,ROW()-3)&amp;"")</f>
        <v>5–10 Minutes</v>
      </c>
      <c r="M181" s="11" t="str">
        <f aca="false">IF(INDEX(MASTER_DATABASE!$A$4:$A$1000,ROW()-3)="","",INDEX(MASTER_DATABASE!$AI$4:$AI$1000,ROW()-3)&amp;"")</f>
        <v>No</v>
      </c>
      <c r="N181" s="11" t="str">
        <f aca="false">IF(INDEX(MASTER_DATABASE!$A$4:$A$1000,ROW()-3)="","",INDEX(MASTER_DATABASE!$AJ$4:$AJ$1000,ROW()-3)&amp;"")</f>
        <v>No</v>
      </c>
      <c r="O181" s="11" t="str">
        <f aca="false">IF(INDEX(MASTER_DATABASE!$A$4:$A$1000,ROW()-3)="","",IF(INDEX(MASTER_DATABASE!$BE$4:$BE$1000,ROW()-3)="LIVE","Yes","No"))</f>
        <v>Yes</v>
      </c>
      <c r="P181" s="7" t="str">
        <f aca="false">IF(INDEX(MASTER_DATABASE!$A$4:$A$1000,ROW()-3)="","",INDEX(MASTER_DATABASE!$BG$4:$BG$1000,ROW()-3)&amp;"")</f>
        <v>Visit Shop</v>
      </c>
      <c r="Q181" s="11" t="n">
        <f aca="false">IF(INDEX(MASTER_DATABASE!$A$4:$A$1000,ROW()-3)="","",INDEX(MASTER_DATABASE!$AQ$4:$AQ$1000,ROW()-3))</f>
        <v>10</v>
      </c>
    </row>
    <row r="182" customFormat="false" ht="23.85" hidden="false" customHeight="false" outlineLevel="0" collapsed="false">
      <c r="A182" s="11" t="str">
        <f aca="false">IF(INDEX(MASTER_DATABASE!$A$4:$A$1000,ROW()-3)="","",INDEX(MASTER_DATABASE!$A$4:$A$1000,ROW()-3)&amp;"")</f>
        <v>PRT-002</v>
      </c>
      <c r="B182" s="7" t="str">
        <f aca="false">IF(INDEX(MASTER_DATABASE!$A$4:$A$1000,ROW()-3)="","",INDEX(MASTER_DATABASE!$E$4:$E$1000,ROW()-3)&amp;"")</f>
        <v>Colour Print</v>
      </c>
      <c r="C182" s="7" t="str">
        <f aca="false">IF(INDEX(MASTER_DATABASE!$A$4:$A$1000,ROW()-3)="","",INDEX(MASTER_DATABASE!$F$4:$F$1000,ROW()-3)&amp;"")</f>
        <v>रंगीन प्रिंट</v>
      </c>
      <c r="D182" s="7" t="str">
        <f aca="false">IF(INDEX(MASTER_DATABASE!$A$4:$A$1000,ROW()-3)="","",INDEX(MASTER_DATABASE!$AL$4:$AL$1000,ROW()-3)&amp;"")</f>
        <v>Printing / Xerox / Scanning</v>
      </c>
      <c r="E182" s="7" t="str">
        <f aca="false">IF(INDEX(MASTER_DATABASE!$A$4:$A$1000,ROW()-3)="","",INDEX(MASTER_DATABASE!$G$4:$G$1000,ROW()-3)&amp;"")</f>
        <v>Colour Print at our printing and document desk.</v>
      </c>
      <c r="F182" s="11" t="str">
        <f aca="false">IF(INDEX(MASTER_DATABASE!$A$4:$A$1000,ROW()-3)="","",INDEX(MASTER_DATABASE!$AP$4:$AP$1000,ROW()-3)&amp;"")</f>
        <v>🖨️</v>
      </c>
      <c r="G18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2" s="7" t="str">
        <f aca="false">IF(INDEX(MASTER_DATABASE!$A$4:$A$1000,ROW()-3)="","",INDEX(MASTER_DATABASE!$J$4:$J$1000,ROW()-3)&amp;"")</f>
        <v>Available</v>
      </c>
      <c r="K182" s="7" t="str">
        <f aca="false">IF(INDEX(MASTER_DATABASE!$A$4:$A$1000,ROW()-3)="","",INDEX(MASTER_DATABASE!$M$4:$M$1000,ROW()-3)&amp;"")</f>
        <v>✓ Files to Print / Scan</v>
      </c>
      <c r="L182" s="7" t="str">
        <f aca="false">IF(INDEX(MASTER_DATABASE!$A$4:$A$1000,ROW()-3)="","",INDEX(MASTER_DATABASE!$Q$4:$Q$1000,ROW()-3)&amp;"")</f>
        <v>5–10 Minutes</v>
      </c>
      <c r="M182" s="11" t="str">
        <f aca="false">IF(INDEX(MASTER_DATABASE!$A$4:$A$1000,ROW()-3)="","",INDEX(MASTER_DATABASE!$AI$4:$AI$1000,ROW()-3)&amp;"")</f>
        <v>No</v>
      </c>
      <c r="N182" s="11" t="str">
        <f aca="false">IF(INDEX(MASTER_DATABASE!$A$4:$A$1000,ROW()-3)="","",INDEX(MASTER_DATABASE!$AJ$4:$AJ$1000,ROW()-3)&amp;"")</f>
        <v>No</v>
      </c>
      <c r="O182" s="11" t="str">
        <f aca="false">IF(INDEX(MASTER_DATABASE!$A$4:$A$1000,ROW()-3)="","",IF(INDEX(MASTER_DATABASE!$BE$4:$BE$1000,ROW()-3)="LIVE","Yes","No"))</f>
        <v>Yes</v>
      </c>
      <c r="P182" s="7" t="str">
        <f aca="false">IF(INDEX(MASTER_DATABASE!$A$4:$A$1000,ROW()-3)="","",INDEX(MASTER_DATABASE!$BG$4:$BG$1000,ROW()-3)&amp;"")</f>
        <v>Visit Shop</v>
      </c>
      <c r="Q182" s="11" t="n">
        <f aca="false">IF(INDEX(MASTER_DATABASE!$A$4:$A$1000,ROW()-3)="","",INDEX(MASTER_DATABASE!$AQ$4:$AQ$1000,ROW()-3))</f>
        <v>20</v>
      </c>
    </row>
    <row r="183" customFormat="false" ht="23.85" hidden="false" customHeight="false" outlineLevel="0" collapsed="false">
      <c r="A183" s="11" t="str">
        <f aca="false">IF(INDEX(MASTER_DATABASE!$A$4:$A$1000,ROW()-3)="","",INDEX(MASTER_DATABASE!$A$4:$A$1000,ROW()-3)&amp;"")</f>
        <v>PRT-003</v>
      </c>
      <c r="B183" s="7" t="str">
        <f aca="false">IF(INDEX(MASTER_DATABASE!$A$4:$A$1000,ROW()-3)="","",INDEX(MASTER_DATABASE!$E$4:$E$1000,ROW()-3)&amp;"")</f>
        <v>Xerox (Photocopy)</v>
      </c>
      <c r="C183" s="7" t="str">
        <f aca="false">IF(INDEX(MASTER_DATABASE!$A$4:$A$1000,ROW()-3)="","",INDEX(MASTER_DATABASE!$F$4:$F$1000,ROW()-3)&amp;"")</f>
        <v>ज़ेरॉक्स (फोटोकॉपी)</v>
      </c>
      <c r="D183" s="7" t="str">
        <f aca="false">IF(INDEX(MASTER_DATABASE!$A$4:$A$1000,ROW()-3)="","",INDEX(MASTER_DATABASE!$AL$4:$AL$1000,ROW()-3)&amp;"")</f>
        <v>Printing / Xerox / Scanning</v>
      </c>
      <c r="E183" s="7" t="str">
        <f aca="false">IF(INDEX(MASTER_DATABASE!$A$4:$A$1000,ROW()-3)="","",INDEX(MASTER_DATABASE!$G$4:$G$1000,ROW()-3)&amp;"")</f>
        <v>Xerox (Photocopy) at our printing and document desk.</v>
      </c>
      <c r="F183" s="11" t="str">
        <f aca="false">IF(INDEX(MASTER_DATABASE!$A$4:$A$1000,ROW()-3)="","",INDEX(MASTER_DATABASE!$AP$4:$AP$1000,ROW()-3)&amp;"")</f>
        <v>🖨️</v>
      </c>
      <c r="G18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3" s="7" t="str">
        <f aca="false">IF(INDEX(MASTER_DATABASE!$A$4:$A$1000,ROW()-3)="","",INDEX(MASTER_DATABASE!$J$4:$J$1000,ROW()-3)&amp;"")</f>
        <v>Available</v>
      </c>
      <c r="K183" s="7" t="str">
        <f aca="false">IF(INDEX(MASTER_DATABASE!$A$4:$A$1000,ROW()-3)="","",INDEX(MASTER_DATABASE!$M$4:$M$1000,ROW()-3)&amp;"")</f>
        <v>✓ Files to Print / Scan</v>
      </c>
      <c r="L183" s="7" t="str">
        <f aca="false">IF(INDEX(MASTER_DATABASE!$A$4:$A$1000,ROW()-3)="","",INDEX(MASTER_DATABASE!$Q$4:$Q$1000,ROW()-3)&amp;"")</f>
        <v>5–10 Minutes</v>
      </c>
      <c r="M183" s="11" t="str">
        <f aca="false">IF(INDEX(MASTER_DATABASE!$A$4:$A$1000,ROW()-3)="","",INDEX(MASTER_DATABASE!$AI$4:$AI$1000,ROW()-3)&amp;"")</f>
        <v>No</v>
      </c>
      <c r="N183" s="11" t="str">
        <f aca="false">IF(INDEX(MASTER_DATABASE!$A$4:$A$1000,ROW()-3)="","",INDEX(MASTER_DATABASE!$AJ$4:$AJ$1000,ROW()-3)&amp;"")</f>
        <v>No</v>
      </c>
      <c r="O183" s="11" t="str">
        <f aca="false">IF(INDEX(MASTER_DATABASE!$A$4:$A$1000,ROW()-3)="","",IF(INDEX(MASTER_DATABASE!$BE$4:$BE$1000,ROW()-3)="LIVE","Yes","No"))</f>
        <v>Yes</v>
      </c>
      <c r="P183" s="7" t="str">
        <f aca="false">IF(INDEX(MASTER_DATABASE!$A$4:$A$1000,ROW()-3)="","",INDEX(MASTER_DATABASE!$BG$4:$BG$1000,ROW()-3)&amp;"")</f>
        <v>Visit Shop</v>
      </c>
      <c r="Q183" s="11" t="n">
        <f aca="false">IF(INDEX(MASTER_DATABASE!$A$4:$A$1000,ROW()-3)="","",INDEX(MASTER_DATABASE!$AQ$4:$AQ$1000,ROW()-3))</f>
        <v>30</v>
      </c>
    </row>
    <row r="184" customFormat="false" ht="23.85" hidden="false" customHeight="false" outlineLevel="0" collapsed="false">
      <c r="A184" s="11" t="str">
        <f aca="false">IF(INDEX(MASTER_DATABASE!$A$4:$A$1000,ROW()-3)="","",INDEX(MASTER_DATABASE!$A$4:$A$1000,ROW()-3)&amp;"")</f>
        <v>PRT-004</v>
      </c>
      <c r="B184" s="7" t="str">
        <f aca="false">IF(INDEX(MASTER_DATABASE!$A$4:$A$1000,ROW()-3)="","",INDEX(MASTER_DATABASE!$E$4:$E$1000,ROW()-3)&amp;"")</f>
        <v>PDF Print</v>
      </c>
      <c r="C184" s="7" t="str">
        <f aca="false">IF(INDEX(MASTER_DATABASE!$A$4:$A$1000,ROW()-3)="","",INDEX(MASTER_DATABASE!$F$4:$F$1000,ROW()-3)&amp;"")</f>
        <v>PDF प्रिंट</v>
      </c>
      <c r="D184" s="7" t="str">
        <f aca="false">IF(INDEX(MASTER_DATABASE!$A$4:$A$1000,ROW()-3)="","",INDEX(MASTER_DATABASE!$AL$4:$AL$1000,ROW()-3)&amp;"")</f>
        <v>Printing / Xerox / Scanning</v>
      </c>
      <c r="E184" s="7" t="str">
        <f aca="false">IF(INDEX(MASTER_DATABASE!$A$4:$A$1000,ROW()-3)="","",INDEX(MASTER_DATABASE!$G$4:$G$1000,ROW()-3)&amp;"")</f>
        <v>PDF Print at our printing and document desk.</v>
      </c>
      <c r="F184" s="11" t="str">
        <f aca="false">IF(INDEX(MASTER_DATABASE!$A$4:$A$1000,ROW()-3)="","",INDEX(MASTER_DATABASE!$AP$4:$AP$1000,ROW()-3)&amp;"")</f>
        <v>🖨️</v>
      </c>
      <c r="G18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4" s="7" t="str">
        <f aca="false">IF(INDEX(MASTER_DATABASE!$A$4:$A$1000,ROW()-3)="","",INDEX(MASTER_DATABASE!$J$4:$J$1000,ROW()-3)&amp;"")</f>
        <v>Available</v>
      </c>
      <c r="K184" s="7" t="str">
        <f aca="false">IF(INDEX(MASTER_DATABASE!$A$4:$A$1000,ROW()-3)="","",INDEX(MASTER_DATABASE!$M$4:$M$1000,ROW()-3)&amp;"")</f>
        <v>✓ Files to Print / Scan</v>
      </c>
      <c r="L184" s="7" t="str">
        <f aca="false">IF(INDEX(MASTER_DATABASE!$A$4:$A$1000,ROW()-3)="","",INDEX(MASTER_DATABASE!$Q$4:$Q$1000,ROW()-3)&amp;"")</f>
        <v>5–10 Minutes</v>
      </c>
      <c r="M184" s="11" t="str">
        <f aca="false">IF(INDEX(MASTER_DATABASE!$A$4:$A$1000,ROW()-3)="","",INDEX(MASTER_DATABASE!$AI$4:$AI$1000,ROW()-3)&amp;"")</f>
        <v>No</v>
      </c>
      <c r="N184" s="11" t="str">
        <f aca="false">IF(INDEX(MASTER_DATABASE!$A$4:$A$1000,ROW()-3)="","",INDEX(MASTER_DATABASE!$AJ$4:$AJ$1000,ROW()-3)&amp;"")</f>
        <v>No</v>
      </c>
      <c r="O184" s="11" t="str">
        <f aca="false">IF(INDEX(MASTER_DATABASE!$A$4:$A$1000,ROW()-3)="","",IF(INDEX(MASTER_DATABASE!$BE$4:$BE$1000,ROW()-3)="LIVE","Yes","No"))</f>
        <v>Yes</v>
      </c>
      <c r="P184" s="7" t="str">
        <f aca="false">IF(INDEX(MASTER_DATABASE!$A$4:$A$1000,ROW()-3)="","",INDEX(MASTER_DATABASE!$BG$4:$BG$1000,ROW()-3)&amp;"")</f>
        <v>Visit Shop</v>
      </c>
      <c r="Q184" s="11" t="n">
        <f aca="false">IF(INDEX(MASTER_DATABASE!$A$4:$A$1000,ROW()-3)="","",INDEX(MASTER_DATABASE!$AQ$4:$AQ$1000,ROW()-3))</f>
        <v>40</v>
      </c>
    </row>
    <row r="185" customFormat="false" ht="23.85" hidden="false" customHeight="false" outlineLevel="0" collapsed="false">
      <c r="A185" s="11" t="str">
        <f aca="false">IF(INDEX(MASTER_DATABASE!$A$4:$A$1000,ROW()-3)="","",INDEX(MASTER_DATABASE!$A$4:$A$1000,ROW()-3)&amp;"")</f>
        <v>PRT-005</v>
      </c>
      <c r="B185" s="7" t="str">
        <f aca="false">IF(INDEX(MASTER_DATABASE!$A$4:$A$1000,ROW()-3)="","",INDEX(MASTER_DATABASE!$E$4:$E$1000,ROW()-3)&amp;"")</f>
        <v>A3 / Large Size Print</v>
      </c>
      <c r="C185" s="7" t="str">
        <f aca="false">IF(INDEX(MASTER_DATABASE!$A$4:$A$1000,ROW()-3)="","",INDEX(MASTER_DATABASE!$F$4:$F$1000,ROW()-3)&amp;"")</f>
        <v>A3 / बड़े साइज़ का प्रिंट</v>
      </c>
      <c r="D185" s="7" t="str">
        <f aca="false">IF(INDEX(MASTER_DATABASE!$A$4:$A$1000,ROW()-3)="","",INDEX(MASTER_DATABASE!$AL$4:$AL$1000,ROW()-3)&amp;"")</f>
        <v>Printing / Xerox / Scanning</v>
      </c>
      <c r="E185" s="7" t="str">
        <f aca="false">IF(INDEX(MASTER_DATABASE!$A$4:$A$1000,ROW()-3)="","",INDEX(MASTER_DATABASE!$G$4:$G$1000,ROW()-3)&amp;"")</f>
        <v>A3 / Large Size Print at our printing and document desk.</v>
      </c>
      <c r="F185" s="11" t="str">
        <f aca="false">IF(INDEX(MASTER_DATABASE!$A$4:$A$1000,ROW()-3)="","",INDEX(MASTER_DATABASE!$AP$4:$AP$1000,ROW()-3)&amp;"")</f>
        <v>🖨️</v>
      </c>
      <c r="G18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5" s="7" t="str">
        <f aca="false">IF(INDEX(MASTER_DATABASE!$A$4:$A$1000,ROW()-3)="","",INDEX(MASTER_DATABASE!$J$4:$J$1000,ROW()-3)&amp;"")</f>
        <v>To Be Confirmed</v>
      </c>
      <c r="K185" s="7" t="str">
        <f aca="false">IF(INDEX(MASTER_DATABASE!$A$4:$A$1000,ROW()-3)="","",INDEX(MASTER_DATABASE!$M$4:$M$1000,ROW()-3)&amp;"")</f>
        <v>✓ Files to Print / Scan</v>
      </c>
      <c r="L185" s="7" t="str">
        <f aca="false">IF(INDEX(MASTER_DATABASE!$A$4:$A$1000,ROW()-3)="","",INDEX(MASTER_DATABASE!$Q$4:$Q$1000,ROW()-3)&amp;"")</f>
        <v>5–10 Minutes</v>
      </c>
      <c r="M185" s="11" t="str">
        <f aca="false">IF(INDEX(MASTER_DATABASE!$A$4:$A$1000,ROW()-3)="","",INDEX(MASTER_DATABASE!$AI$4:$AI$1000,ROW()-3)&amp;"")</f>
        <v>No</v>
      </c>
      <c r="N185" s="11" t="str">
        <f aca="false">IF(INDEX(MASTER_DATABASE!$A$4:$A$1000,ROW()-3)="","",INDEX(MASTER_DATABASE!$AJ$4:$AJ$1000,ROW()-3)&amp;"")</f>
        <v>No</v>
      </c>
      <c r="O185" s="11" t="str">
        <f aca="false">IF(INDEX(MASTER_DATABASE!$A$4:$A$1000,ROW()-3)="","",IF(INDEX(MASTER_DATABASE!$BE$4:$BE$1000,ROW()-3)="LIVE","Yes","No"))</f>
        <v>No</v>
      </c>
      <c r="P185" s="7" t="str">
        <f aca="false">IF(INDEX(MASTER_DATABASE!$A$4:$A$1000,ROW()-3)="","",INDEX(MASTER_DATABASE!$BG$4:$BG$1000,ROW()-3)&amp;"")</f>
        <v>Visit Shop</v>
      </c>
      <c r="Q185" s="11" t="n">
        <f aca="false">IF(INDEX(MASTER_DATABASE!$A$4:$A$1000,ROW()-3)="","",INDEX(MASTER_DATABASE!$AQ$4:$AQ$1000,ROW()-3))</f>
        <v>50</v>
      </c>
    </row>
    <row r="186" customFormat="false" ht="23.85" hidden="false" customHeight="false" outlineLevel="0" collapsed="false">
      <c r="A186" s="11" t="str">
        <f aca="false">IF(INDEX(MASTER_DATABASE!$A$4:$A$1000,ROW()-3)="","",INDEX(MASTER_DATABASE!$A$4:$A$1000,ROW()-3)&amp;"")</f>
        <v>PRT-006</v>
      </c>
      <c r="B186" s="7" t="str">
        <f aca="false">IF(INDEX(MASTER_DATABASE!$A$4:$A$1000,ROW()-3)="","",INDEX(MASTER_DATABASE!$E$4:$E$1000,ROW()-3)&amp;"")</f>
        <v>Print from Mobile (WhatsApp / Email / Drive)</v>
      </c>
      <c r="C186" s="7" t="str">
        <f aca="false">IF(INDEX(MASTER_DATABASE!$A$4:$A$1000,ROW()-3)="","",INDEX(MASTER_DATABASE!$F$4:$F$1000,ROW()-3)&amp;"")</f>
        <v>मोबाइल से प्रिंट (WhatsApp / Email / Drive)</v>
      </c>
      <c r="D186" s="7" t="str">
        <f aca="false">IF(INDEX(MASTER_DATABASE!$A$4:$A$1000,ROW()-3)="","",INDEX(MASTER_DATABASE!$AL$4:$AL$1000,ROW()-3)&amp;"")</f>
        <v>Printing / Xerox / Scanning</v>
      </c>
      <c r="E186" s="7" t="str">
        <f aca="false">IF(INDEX(MASTER_DATABASE!$A$4:$A$1000,ROW()-3)="","",INDEX(MASTER_DATABASE!$G$4:$G$1000,ROW()-3)&amp;"")</f>
        <v>Print from Mobile (WhatsApp / Email / Drive) at our printing and document desk.</v>
      </c>
      <c r="F186" s="11" t="str">
        <f aca="false">IF(INDEX(MASTER_DATABASE!$A$4:$A$1000,ROW()-3)="","",INDEX(MASTER_DATABASE!$AP$4:$AP$1000,ROW()-3)&amp;"")</f>
        <v>🖨️</v>
      </c>
      <c r="G18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6" s="7" t="str">
        <f aca="false">IF(INDEX(MASTER_DATABASE!$A$4:$A$1000,ROW()-3)="","",INDEX(MASTER_DATABASE!$J$4:$J$1000,ROW()-3)&amp;"")</f>
        <v>Available</v>
      </c>
      <c r="K186" s="7" t="str">
        <f aca="false">IF(INDEX(MASTER_DATABASE!$A$4:$A$1000,ROW()-3)="","",INDEX(MASTER_DATABASE!$M$4:$M$1000,ROW()-3)&amp;"")</f>
        <v>✓ Files to Print / Scan</v>
      </c>
      <c r="L186" s="7" t="str">
        <f aca="false">IF(INDEX(MASTER_DATABASE!$A$4:$A$1000,ROW()-3)="","",INDEX(MASTER_DATABASE!$Q$4:$Q$1000,ROW()-3)&amp;"")</f>
        <v>5–10 Minutes</v>
      </c>
      <c r="M186" s="11" t="str">
        <f aca="false">IF(INDEX(MASTER_DATABASE!$A$4:$A$1000,ROW()-3)="","",INDEX(MASTER_DATABASE!$AI$4:$AI$1000,ROW()-3)&amp;"")</f>
        <v>No</v>
      </c>
      <c r="N186" s="11" t="str">
        <f aca="false">IF(INDEX(MASTER_DATABASE!$A$4:$A$1000,ROW()-3)="","",INDEX(MASTER_DATABASE!$AJ$4:$AJ$1000,ROW()-3)&amp;"")</f>
        <v>No</v>
      </c>
      <c r="O186" s="11" t="str">
        <f aca="false">IF(INDEX(MASTER_DATABASE!$A$4:$A$1000,ROW()-3)="","",IF(INDEX(MASTER_DATABASE!$BE$4:$BE$1000,ROW()-3)="LIVE","Yes","No"))</f>
        <v>Yes</v>
      </c>
      <c r="P186" s="7" t="str">
        <f aca="false">IF(INDEX(MASTER_DATABASE!$A$4:$A$1000,ROW()-3)="","",INDEX(MASTER_DATABASE!$BG$4:$BG$1000,ROW()-3)&amp;"")</f>
        <v>Visit Shop</v>
      </c>
      <c r="Q186" s="11" t="n">
        <f aca="false">IF(INDEX(MASTER_DATABASE!$A$4:$A$1000,ROW()-3)="","",INDEX(MASTER_DATABASE!$AQ$4:$AQ$1000,ROW()-3))</f>
        <v>60</v>
      </c>
    </row>
    <row r="187" customFormat="false" ht="23.85" hidden="false" customHeight="false" outlineLevel="0" collapsed="false">
      <c r="A187" s="11" t="str">
        <f aca="false">IF(INDEX(MASTER_DATABASE!$A$4:$A$1000,ROW()-3)="","",INDEX(MASTER_DATABASE!$A$4:$A$1000,ROW()-3)&amp;"")</f>
        <v>PRT-007</v>
      </c>
      <c r="B187" s="7" t="str">
        <f aca="false">IF(INDEX(MASTER_DATABASE!$A$4:$A$1000,ROW()-3)="","",INDEX(MASTER_DATABASE!$E$4:$E$1000,ROW()-3)&amp;"")</f>
        <v>Scanning</v>
      </c>
      <c r="C187" s="7" t="str">
        <f aca="false">IF(INDEX(MASTER_DATABASE!$A$4:$A$1000,ROW()-3)="","",INDEX(MASTER_DATABASE!$F$4:$F$1000,ROW()-3)&amp;"")</f>
        <v>स्कैनिंग</v>
      </c>
      <c r="D187" s="7" t="str">
        <f aca="false">IF(INDEX(MASTER_DATABASE!$A$4:$A$1000,ROW()-3)="","",INDEX(MASTER_DATABASE!$AL$4:$AL$1000,ROW()-3)&amp;"")</f>
        <v>Printing / Xerox / Scanning</v>
      </c>
      <c r="E187" s="7" t="str">
        <f aca="false">IF(INDEX(MASTER_DATABASE!$A$4:$A$1000,ROW()-3)="","",INDEX(MASTER_DATABASE!$G$4:$G$1000,ROW()-3)&amp;"")</f>
        <v>Scanning at our printing and document desk.</v>
      </c>
      <c r="F187" s="11" t="str">
        <f aca="false">IF(INDEX(MASTER_DATABASE!$A$4:$A$1000,ROW()-3)="","",INDEX(MASTER_DATABASE!$AP$4:$AP$1000,ROW()-3)&amp;"")</f>
        <v>🖨️</v>
      </c>
      <c r="G18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7" s="7" t="str">
        <f aca="false">IF(INDEX(MASTER_DATABASE!$A$4:$A$1000,ROW()-3)="","",INDEX(MASTER_DATABASE!$J$4:$J$1000,ROW()-3)&amp;"")</f>
        <v>Available</v>
      </c>
      <c r="K187" s="7" t="str">
        <f aca="false">IF(INDEX(MASTER_DATABASE!$A$4:$A$1000,ROW()-3)="","",INDEX(MASTER_DATABASE!$M$4:$M$1000,ROW()-3)&amp;"")</f>
        <v>✓ Files to Print / Scan</v>
      </c>
      <c r="L187" s="7" t="str">
        <f aca="false">IF(INDEX(MASTER_DATABASE!$A$4:$A$1000,ROW()-3)="","",INDEX(MASTER_DATABASE!$Q$4:$Q$1000,ROW()-3)&amp;"")</f>
        <v>5–10 Minutes</v>
      </c>
      <c r="M187" s="11" t="str">
        <f aca="false">IF(INDEX(MASTER_DATABASE!$A$4:$A$1000,ROW()-3)="","",INDEX(MASTER_DATABASE!$AI$4:$AI$1000,ROW()-3)&amp;"")</f>
        <v>No</v>
      </c>
      <c r="N187" s="11" t="str">
        <f aca="false">IF(INDEX(MASTER_DATABASE!$A$4:$A$1000,ROW()-3)="","",INDEX(MASTER_DATABASE!$AJ$4:$AJ$1000,ROW()-3)&amp;"")</f>
        <v>No</v>
      </c>
      <c r="O187" s="11" t="str">
        <f aca="false">IF(INDEX(MASTER_DATABASE!$A$4:$A$1000,ROW()-3)="","",IF(INDEX(MASTER_DATABASE!$BE$4:$BE$1000,ROW()-3)="LIVE","Yes","No"))</f>
        <v>Yes</v>
      </c>
      <c r="P187" s="7" t="str">
        <f aca="false">IF(INDEX(MASTER_DATABASE!$A$4:$A$1000,ROW()-3)="","",INDEX(MASTER_DATABASE!$BG$4:$BG$1000,ROW()-3)&amp;"")</f>
        <v>Visit Shop</v>
      </c>
      <c r="Q187" s="11" t="n">
        <f aca="false">IF(INDEX(MASTER_DATABASE!$A$4:$A$1000,ROW()-3)="","",INDEX(MASTER_DATABASE!$AQ$4:$AQ$1000,ROW()-3))</f>
        <v>70</v>
      </c>
    </row>
    <row r="188" customFormat="false" ht="23.85" hidden="false" customHeight="false" outlineLevel="0" collapsed="false">
      <c r="A188" s="11" t="str">
        <f aca="false">IF(INDEX(MASTER_DATABASE!$A$4:$A$1000,ROW()-3)="","",INDEX(MASTER_DATABASE!$A$4:$A$1000,ROW()-3)&amp;"")</f>
        <v>PRT-008</v>
      </c>
      <c r="B188" s="7" t="str">
        <f aca="false">IF(INDEX(MASTER_DATABASE!$A$4:$A$1000,ROW()-3)="","",INDEX(MASTER_DATABASE!$E$4:$E$1000,ROW()-3)&amp;"")</f>
        <v>Lamination</v>
      </c>
      <c r="C188" s="7" t="str">
        <f aca="false">IF(INDEX(MASTER_DATABASE!$A$4:$A$1000,ROW()-3)="","",INDEX(MASTER_DATABASE!$F$4:$F$1000,ROW()-3)&amp;"")</f>
        <v>लेमिनेशन</v>
      </c>
      <c r="D188" s="7" t="str">
        <f aca="false">IF(INDEX(MASTER_DATABASE!$A$4:$A$1000,ROW()-3)="","",INDEX(MASTER_DATABASE!$AL$4:$AL$1000,ROW()-3)&amp;"")</f>
        <v>Printing / Xerox / Scanning</v>
      </c>
      <c r="E188" s="7" t="str">
        <f aca="false">IF(INDEX(MASTER_DATABASE!$A$4:$A$1000,ROW()-3)="","",INDEX(MASTER_DATABASE!$G$4:$G$1000,ROW()-3)&amp;"")</f>
        <v>Lamination at our printing and document desk.</v>
      </c>
      <c r="F188" s="11" t="str">
        <f aca="false">IF(INDEX(MASTER_DATABASE!$A$4:$A$1000,ROW()-3)="","",INDEX(MASTER_DATABASE!$AP$4:$AP$1000,ROW()-3)&amp;"")</f>
        <v>🖨️</v>
      </c>
      <c r="G18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8" s="7" t="str">
        <f aca="false">IF(INDEX(MASTER_DATABASE!$A$4:$A$1000,ROW()-3)="","",INDEX(MASTER_DATABASE!$J$4:$J$1000,ROW()-3)&amp;"")</f>
        <v>Available</v>
      </c>
      <c r="K188" s="7" t="str">
        <f aca="false">IF(INDEX(MASTER_DATABASE!$A$4:$A$1000,ROW()-3)="","",INDEX(MASTER_DATABASE!$M$4:$M$1000,ROW()-3)&amp;"")</f>
        <v>✓ Files to Print / Scan</v>
      </c>
      <c r="L188" s="7" t="str">
        <f aca="false">IF(INDEX(MASTER_DATABASE!$A$4:$A$1000,ROW()-3)="","",INDEX(MASTER_DATABASE!$Q$4:$Q$1000,ROW()-3)&amp;"")</f>
        <v>5–10 Minutes</v>
      </c>
      <c r="M188" s="11" t="str">
        <f aca="false">IF(INDEX(MASTER_DATABASE!$A$4:$A$1000,ROW()-3)="","",INDEX(MASTER_DATABASE!$AI$4:$AI$1000,ROW()-3)&amp;"")</f>
        <v>No</v>
      </c>
      <c r="N188" s="11" t="str">
        <f aca="false">IF(INDEX(MASTER_DATABASE!$A$4:$A$1000,ROW()-3)="","",INDEX(MASTER_DATABASE!$AJ$4:$AJ$1000,ROW()-3)&amp;"")</f>
        <v>No</v>
      </c>
      <c r="O188" s="11" t="str">
        <f aca="false">IF(INDEX(MASTER_DATABASE!$A$4:$A$1000,ROW()-3)="","",IF(INDEX(MASTER_DATABASE!$BE$4:$BE$1000,ROW()-3)="LIVE","Yes","No"))</f>
        <v>Yes</v>
      </c>
      <c r="P188" s="7" t="str">
        <f aca="false">IF(INDEX(MASTER_DATABASE!$A$4:$A$1000,ROW()-3)="","",INDEX(MASTER_DATABASE!$BG$4:$BG$1000,ROW()-3)&amp;"")</f>
        <v>Visit Shop</v>
      </c>
      <c r="Q188" s="11" t="n">
        <f aca="false">IF(INDEX(MASTER_DATABASE!$A$4:$A$1000,ROW()-3)="","",INDEX(MASTER_DATABASE!$AQ$4:$AQ$1000,ROW()-3))</f>
        <v>80</v>
      </c>
    </row>
    <row r="189" customFormat="false" ht="23.85" hidden="false" customHeight="false" outlineLevel="0" collapsed="false">
      <c r="A189" s="11" t="str">
        <f aca="false">IF(INDEX(MASTER_DATABASE!$A$4:$A$1000,ROW()-3)="","",INDEX(MASTER_DATABASE!$A$4:$A$1000,ROW()-3)&amp;"")</f>
        <v>PRT-009</v>
      </c>
      <c r="B189" s="7" t="str">
        <f aca="false">IF(INDEX(MASTER_DATABASE!$A$4:$A$1000,ROW()-3)="","",INDEX(MASTER_DATABASE!$E$4:$E$1000,ROW()-3)&amp;"")</f>
        <v>Spiral Binding</v>
      </c>
      <c r="C189" s="7" t="str">
        <f aca="false">IF(INDEX(MASTER_DATABASE!$A$4:$A$1000,ROW()-3)="","",INDEX(MASTER_DATABASE!$F$4:$F$1000,ROW()-3)&amp;"")</f>
        <v>स्पाइरल बाइंडिंग</v>
      </c>
      <c r="D189" s="7" t="str">
        <f aca="false">IF(INDEX(MASTER_DATABASE!$A$4:$A$1000,ROW()-3)="","",INDEX(MASTER_DATABASE!$AL$4:$AL$1000,ROW()-3)&amp;"")</f>
        <v>Printing / Xerox / Scanning</v>
      </c>
      <c r="E189" s="7" t="str">
        <f aca="false">IF(INDEX(MASTER_DATABASE!$A$4:$A$1000,ROW()-3)="","",INDEX(MASTER_DATABASE!$G$4:$G$1000,ROW()-3)&amp;"")</f>
        <v>Spiral Binding at our printing and document desk.</v>
      </c>
      <c r="F189" s="11" t="str">
        <f aca="false">IF(INDEX(MASTER_DATABASE!$A$4:$A$1000,ROW()-3)="","",INDEX(MASTER_DATABASE!$AP$4:$AP$1000,ROW()-3)&amp;"")</f>
        <v>🖨️</v>
      </c>
      <c r="G18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8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8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89" s="7" t="str">
        <f aca="false">IF(INDEX(MASTER_DATABASE!$A$4:$A$1000,ROW()-3)="","",INDEX(MASTER_DATABASE!$J$4:$J$1000,ROW()-3)&amp;"")</f>
        <v>To Be Confirmed</v>
      </c>
      <c r="K189" s="7" t="str">
        <f aca="false">IF(INDEX(MASTER_DATABASE!$A$4:$A$1000,ROW()-3)="","",INDEX(MASTER_DATABASE!$M$4:$M$1000,ROW()-3)&amp;"")</f>
        <v>✓ Files to Print / Scan</v>
      </c>
      <c r="L189" s="7" t="str">
        <f aca="false">IF(INDEX(MASTER_DATABASE!$A$4:$A$1000,ROW()-3)="","",INDEX(MASTER_DATABASE!$Q$4:$Q$1000,ROW()-3)&amp;"")</f>
        <v>5–10 Minutes</v>
      </c>
      <c r="M189" s="11" t="str">
        <f aca="false">IF(INDEX(MASTER_DATABASE!$A$4:$A$1000,ROW()-3)="","",INDEX(MASTER_DATABASE!$AI$4:$AI$1000,ROW()-3)&amp;"")</f>
        <v>No</v>
      </c>
      <c r="N189" s="11" t="str">
        <f aca="false">IF(INDEX(MASTER_DATABASE!$A$4:$A$1000,ROW()-3)="","",INDEX(MASTER_DATABASE!$AJ$4:$AJ$1000,ROW()-3)&amp;"")</f>
        <v>No</v>
      </c>
      <c r="O189" s="11" t="str">
        <f aca="false">IF(INDEX(MASTER_DATABASE!$A$4:$A$1000,ROW()-3)="","",IF(INDEX(MASTER_DATABASE!$BE$4:$BE$1000,ROW()-3)="LIVE","Yes","No"))</f>
        <v>No</v>
      </c>
      <c r="P189" s="7" t="str">
        <f aca="false">IF(INDEX(MASTER_DATABASE!$A$4:$A$1000,ROW()-3)="","",INDEX(MASTER_DATABASE!$BG$4:$BG$1000,ROW()-3)&amp;"")</f>
        <v>Visit Shop</v>
      </c>
      <c r="Q189" s="11" t="n">
        <f aca="false">IF(INDEX(MASTER_DATABASE!$A$4:$A$1000,ROW()-3)="","",INDEX(MASTER_DATABASE!$AQ$4:$AQ$1000,ROW()-3))</f>
        <v>90</v>
      </c>
    </row>
    <row r="190" customFormat="false" ht="23.85" hidden="false" customHeight="false" outlineLevel="0" collapsed="false">
      <c r="A190" s="11" t="str">
        <f aca="false">IF(INDEX(MASTER_DATABASE!$A$4:$A$1000,ROW()-3)="","",INDEX(MASTER_DATABASE!$A$4:$A$1000,ROW()-3)&amp;"")</f>
        <v>PRT-010</v>
      </c>
      <c r="B190" s="7" t="str">
        <f aca="false">IF(INDEX(MASTER_DATABASE!$A$4:$A$1000,ROW()-3)="","",INDEX(MASTER_DATABASE!$E$4:$E$1000,ROW()-3)&amp;"")</f>
        <v>PDF Creation</v>
      </c>
      <c r="C190" s="7" t="str">
        <f aca="false">IF(INDEX(MASTER_DATABASE!$A$4:$A$1000,ROW()-3)="","",INDEX(MASTER_DATABASE!$F$4:$F$1000,ROW()-3)&amp;"")</f>
        <v>PDF निर्माण</v>
      </c>
      <c r="D190" s="7" t="str">
        <f aca="false">IF(INDEX(MASTER_DATABASE!$A$4:$A$1000,ROW()-3)="","",INDEX(MASTER_DATABASE!$AL$4:$AL$1000,ROW()-3)&amp;"")</f>
        <v>Printing / Xerox / Scanning</v>
      </c>
      <c r="E190" s="7" t="str">
        <f aca="false">IF(INDEX(MASTER_DATABASE!$A$4:$A$1000,ROW()-3)="","",INDEX(MASTER_DATABASE!$G$4:$G$1000,ROW()-3)&amp;"")</f>
        <v>PDF Creation at our printing and document desk.</v>
      </c>
      <c r="F190" s="11" t="str">
        <f aca="false">IF(INDEX(MASTER_DATABASE!$A$4:$A$1000,ROW()-3)="","",INDEX(MASTER_DATABASE!$AP$4:$AP$1000,ROW()-3)&amp;"")</f>
        <v>📑</v>
      </c>
      <c r="G19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0" s="7" t="str">
        <f aca="false">IF(INDEX(MASTER_DATABASE!$A$4:$A$1000,ROW()-3)="","",INDEX(MASTER_DATABASE!$J$4:$J$1000,ROW()-3)&amp;"")</f>
        <v>Available</v>
      </c>
      <c r="K190" s="7" t="str">
        <f aca="false">IF(INDEX(MASTER_DATABASE!$A$4:$A$1000,ROW()-3)="","",INDEX(MASTER_DATABASE!$M$4:$M$1000,ROW()-3)&amp;"")</f>
        <v>✓ Files to Print / Scan</v>
      </c>
      <c r="L190" s="7" t="str">
        <f aca="false">IF(INDEX(MASTER_DATABASE!$A$4:$A$1000,ROW()-3)="","",INDEX(MASTER_DATABASE!$Q$4:$Q$1000,ROW()-3)&amp;"")</f>
        <v>5–10 Minutes</v>
      </c>
      <c r="M190" s="11" t="str">
        <f aca="false">IF(INDEX(MASTER_DATABASE!$A$4:$A$1000,ROW()-3)="","",INDEX(MASTER_DATABASE!$AI$4:$AI$1000,ROW()-3)&amp;"")</f>
        <v>No</v>
      </c>
      <c r="N190" s="11" t="str">
        <f aca="false">IF(INDEX(MASTER_DATABASE!$A$4:$A$1000,ROW()-3)="","",INDEX(MASTER_DATABASE!$AJ$4:$AJ$1000,ROW()-3)&amp;"")</f>
        <v>No</v>
      </c>
      <c r="O190" s="11" t="str">
        <f aca="false">IF(INDEX(MASTER_DATABASE!$A$4:$A$1000,ROW()-3)="","",IF(INDEX(MASTER_DATABASE!$BE$4:$BE$1000,ROW()-3)="LIVE","Yes","No"))</f>
        <v>Yes</v>
      </c>
      <c r="P190" s="7" t="str">
        <f aca="false">IF(INDEX(MASTER_DATABASE!$A$4:$A$1000,ROW()-3)="","",INDEX(MASTER_DATABASE!$BG$4:$BG$1000,ROW()-3)&amp;"")</f>
        <v>Visit Shop</v>
      </c>
      <c r="Q190" s="11" t="n">
        <f aca="false">IF(INDEX(MASTER_DATABASE!$A$4:$A$1000,ROW()-3)="","",INDEX(MASTER_DATABASE!$AQ$4:$AQ$1000,ROW()-3))</f>
        <v>100</v>
      </c>
    </row>
    <row r="191" customFormat="false" ht="23.85" hidden="false" customHeight="false" outlineLevel="0" collapsed="false">
      <c r="A191" s="11" t="str">
        <f aca="false">IF(INDEX(MASTER_DATABASE!$A$4:$A$1000,ROW()-3)="","",INDEX(MASTER_DATABASE!$A$4:$A$1000,ROW()-3)&amp;"")</f>
        <v>PRT-011</v>
      </c>
      <c r="B191" s="7" t="str">
        <f aca="false">IF(INDEX(MASTER_DATABASE!$A$4:$A$1000,ROW()-3)="","",INDEX(MASTER_DATABASE!$E$4:$E$1000,ROW()-3)&amp;"")</f>
        <v>PDF Merge</v>
      </c>
      <c r="C191" s="7" t="str">
        <f aca="false">IF(INDEX(MASTER_DATABASE!$A$4:$A$1000,ROW()-3)="","",INDEX(MASTER_DATABASE!$F$4:$F$1000,ROW()-3)&amp;"")</f>
        <v>PDF मर्ज</v>
      </c>
      <c r="D191" s="7" t="str">
        <f aca="false">IF(INDEX(MASTER_DATABASE!$A$4:$A$1000,ROW()-3)="","",INDEX(MASTER_DATABASE!$AL$4:$AL$1000,ROW()-3)&amp;"")</f>
        <v>Printing / Xerox / Scanning</v>
      </c>
      <c r="E191" s="7" t="str">
        <f aca="false">IF(INDEX(MASTER_DATABASE!$A$4:$A$1000,ROW()-3)="","",INDEX(MASTER_DATABASE!$G$4:$G$1000,ROW()-3)&amp;"")</f>
        <v>PDF Merge at our printing and document desk.</v>
      </c>
      <c r="F191" s="11" t="str">
        <f aca="false">IF(INDEX(MASTER_DATABASE!$A$4:$A$1000,ROW()-3)="","",INDEX(MASTER_DATABASE!$AP$4:$AP$1000,ROW()-3)&amp;"")</f>
        <v>📑</v>
      </c>
      <c r="G19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1" s="7" t="str">
        <f aca="false">IF(INDEX(MASTER_DATABASE!$A$4:$A$1000,ROW()-3)="","",INDEX(MASTER_DATABASE!$J$4:$J$1000,ROW()-3)&amp;"")</f>
        <v>Available</v>
      </c>
      <c r="K191" s="7" t="str">
        <f aca="false">IF(INDEX(MASTER_DATABASE!$A$4:$A$1000,ROW()-3)="","",INDEX(MASTER_DATABASE!$M$4:$M$1000,ROW()-3)&amp;"")</f>
        <v>✓ Files to Print / Scan</v>
      </c>
      <c r="L191" s="7" t="str">
        <f aca="false">IF(INDEX(MASTER_DATABASE!$A$4:$A$1000,ROW()-3)="","",INDEX(MASTER_DATABASE!$Q$4:$Q$1000,ROW()-3)&amp;"")</f>
        <v>5–10 Minutes</v>
      </c>
      <c r="M191" s="11" t="str">
        <f aca="false">IF(INDEX(MASTER_DATABASE!$A$4:$A$1000,ROW()-3)="","",INDEX(MASTER_DATABASE!$AI$4:$AI$1000,ROW()-3)&amp;"")</f>
        <v>No</v>
      </c>
      <c r="N191" s="11" t="str">
        <f aca="false">IF(INDEX(MASTER_DATABASE!$A$4:$A$1000,ROW()-3)="","",INDEX(MASTER_DATABASE!$AJ$4:$AJ$1000,ROW()-3)&amp;"")</f>
        <v>No</v>
      </c>
      <c r="O191" s="11" t="str">
        <f aca="false">IF(INDEX(MASTER_DATABASE!$A$4:$A$1000,ROW()-3)="","",IF(INDEX(MASTER_DATABASE!$BE$4:$BE$1000,ROW()-3)="LIVE","Yes","No"))</f>
        <v>Yes</v>
      </c>
      <c r="P191" s="7" t="str">
        <f aca="false">IF(INDEX(MASTER_DATABASE!$A$4:$A$1000,ROW()-3)="","",INDEX(MASTER_DATABASE!$BG$4:$BG$1000,ROW()-3)&amp;"")</f>
        <v>Visit Shop</v>
      </c>
      <c r="Q191" s="11" t="n">
        <f aca="false">IF(INDEX(MASTER_DATABASE!$A$4:$A$1000,ROW()-3)="","",INDEX(MASTER_DATABASE!$AQ$4:$AQ$1000,ROW()-3))</f>
        <v>110</v>
      </c>
    </row>
    <row r="192" customFormat="false" ht="23.85" hidden="false" customHeight="false" outlineLevel="0" collapsed="false">
      <c r="A192" s="11" t="str">
        <f aca="false">IF(INDEX(MASTER_DATABASE!$A$4:$A$1000,ROW()-3)="","",INDEX(MASTER_DATABASE!$A$4:$A$1000,ROW()-3)&amp;"")</f>
        <v>PRT-012</v>
      </c>
      <c r="B192" s="7" t="str">
        <f aca="false">IF(INDEX(MASTER_DATABASE!$A$4:$A$1000,ROW()-3)="","",INDEX(MASTER_DATABASE!$E$4:$E$1000,ROW()-3)&amp;"")</f>
        <v>PDF Split</v>
      </c>
      <c r="C192" s="7" t="str">
        <f aca="false">IF(INDEX(MASTER_DATABASE!$A$4:$A$1000,ROW()-3)="","",INDEX(MASTER_DATABASE!$F$4:$F$1000,ROW()-3)&amp;"")</f>
        <v>PDF स्प्लिट</v>
      </c>
      <c r="D192" s="7" t="str">
        <f aca="false">IF(INDEX(MASTER_DATABASE!$A$4:$A$1000,ROW()-3)="","",INDEX(MASTER_DATABASE!$AL$4:$AL$1000,ROW()-3)&amp;"")</f>
        <v>Printing / Xerox / Scanning</v>
      </c>
      <c r="E192" s="7" t="str">
        <f aca="false">IF(INDEX(MASTER_DATABASE!$A$4:$A$1000,ROW()-3)="","",INDEX(MASTER_DATABASE!$G$4:$G$1000,ROW()-3)&amp;"")</f>
        <v>PDF Split at our printing and document desk.</v>
      </c>
      <c r="F192" s="11" t="str">
        <f aca="false">IF(INDEX(MASTER_DATABASE!$A$4:$A$1000,ROW()-3)="","",INDEX(MASTER_DATABASE!$AP$4:$AP$1000,ROW()-3)&amp;"")</f>
        <v>📑</v>
      </c>
      <c r="G19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2" s="7" t="str">
        <f aca="false">IF(INDEX(MASTER_DATABASE!$A$4:$A$1000,ROW()-3)="","",INDEX(MASTER_DATABASE!$J$4:$J$1000,ROW()-3)&amp;"")</f>
        <v>Available</v>
      </c>
      <c r="K192" s="7" t="str">
        <f aca="false">IF(INDEX(MASTER_DATABASE!$A$4:$A$1000,ROW()-3)="","",INDEX(MASTER_DATABASE!$M$4:$M$1000,ROW()-3)&amp;"")</f>
        <v>✓ Files to Print / Scan</v>
      </c>
      <c r="L192" s="7" t="str">
        <f aca="false">IF(INDEX(MASTER_DATABASE!$A$4:$A$1000,ROW()-3)="","",INDEX(MASTER_DATABASE!$Q$4:$Q$1000,ROW()-3)&amp;"")</f>
        <v>5–10 Minutes</v>
      </c>
      <c r="M192" s="11" t="str">
        <f aca="false">IF(INDEX(MASTER_DATABASE!$A$4:$A$1000,ROW()-3)="","",INDEX(MASTER_DATABASE!$AI$4:$AI$1000,ROW()-3)&amp;"")</f>
        <v>No</v>
      </c>
      <c r="N192" s="11" t="str">
        <f aca="false">IF(INDEX(MASTER_DATABASE!$A$4:$A$1000,ROW()-3)="","",INDEX(MASTER_DATABASE!$AJ$4:$AJ$1000,ROW()-3)&amp;"")</f>
        <v>No</v>
      </c>
      <c r="O192" s="11" t="str">
        <f aca="false">IF(INDEX(MASTER_DATABASE!$A$4:$A$1000,ROW()-3)="","",IF(INDEX(MASTER_DATABASE!$BE$4:$BE$1000,ROW()-3)="LIVE","Yes","No"))</f>
        <v>Yes</v>
      </c>
      <c r="P192" s="7" t="str">
        <f aca="false">IF(INDEX(MASTER_DATABASE!$A$4:$A$1000,ROW()-3)="","",INDEX(MASTER_DATABASE!$BG$4:$BG$1000,ROW()-3)&amp;"")</f>
        <v>Visit Shop</v>
      </c>
      <c r="Q192" s="11" t="n">
        <f aca="false">IF(INDEX(MASTER_DATABASE!$A$4:$A$1000,ROW()-3)="","",INDEX(MASTER_DATABASE!$AQ$4:$AQ$1000,ROW()-3))</f>
        <v>120</v>
      </c>
    </row>
    <row r="193" customFormat="false" ht="23.85" hidden="false" customHeight="false" outlineLevel="0" collapsed="false">
      <c r="A193" s="11" t="str">
        <f aca="false">IF(INDEX(MASTER_DATABASE!$A$4:$A$1000,ROW()-3)="","",INDEX(MASTER_DATABASE!$A$4:$A$1000,ROW()-3)&amp;"")</f>
        <v>PRT-013</v>
      </c>
      <c r="B193" s="7" t="str">
        <f aca="false">IF(INDEX(MASTER_DATABASE!$A$4:$A$1000,ROW()-3)="","",INDEX(MASTER_DATABASE!$E$4:$E$1000,ROW()-3)&amp;"")</f>
        <v>PDF Compression</v>
      </c>
      <c r="C193" s="7" t="str">
        <f aca="false">IF(INDEX(MASTER_DATABASE!$A$4:$A$1000,ROW()-3)="","",INDEX(MASTER_DATABASE!$F$4:$F$1000,ROW()-3)&amp;"")</f>
        <v>PDF कंप्रेशन</v>
      </c>
      <c r="D193" s="7" t="str">
        <f aca="false">IF(INDEX(MASTER_DATABASE!$A$4:$A$1000,ROW()-3)="","",INDEX(MASTER_DATABASE!$AL$4:$AL$1000,ROW()-3)&amp;"")</f>
        <v>Printing / Xerox / Scanning</v>
      </c>
      <c r="E193" s="7" t="str">
        <f aca="false">IF(INDEX(MASTER_DATABASE!$A$4:$A$1000,ROW()-3)="","",INDEX(MASTER_DATABASE!$G$4:$G$1000,ROW()-3)&amp;"")</f>
        <v>PDF Compression at our printing and document desk.</v>
      </c>
      <c r="F193" s="11" t="str">
        <f aca="false">IF(INDEX(MASTER_DATABASE!$A$4:$A$1000,ROW()-3)="","",INDEX(MASTER_DATABASE!$AP$4:$AP$1000,ROW()-3)&amp;"")</f>
        <v>📑</v>
      </c>
      <c r="G19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3" s="7" t="str">
        <f aca="false">IF(INDEX(MASTER_DATABASE!$A$4:$A$1000,ROW()-3)="","",INDEX(MASTER_DATABASE!$J$4:$J$1000,ROW()-3)&amp;"")</f>
        <v>Available</v>
      </c>
      <c r="K193" s="7" t="str">
        <f aca="false">IF(INDEX(MASTER_DATABASE!$A$4:$A$1000,ROW()-3)="","",INDEX(MASTER_DATABASE!$M$4:$M$1000,ROW()-3)&amp;"")</f>
        <v>✓ Files to Print / Scan</v>
      </c>
      <c r="L193" s="7" t="str">
        <f aca="false">IF(INDEX(MASTER_DATABASE!$A$4:$A$1000,ROW()-3)="","",INDEX(MASTER_DATABASE!$Q$4:$Q$1000,ROW()-3)&amp;"")</f>
        <v>5–10 Minutes</v>
      </c>
      <c r="M193" s="11" t="str">
        <f aca="false">IF(INDEX(MASTER_DATABASE!$A$4:$A$1000,ROW()-3)="","",INDEX(MASTER_DATABASE!$AI$4:$AI$1000,ROW()-3)&amp;"")</f>
        <v>No</v>
      </c>
      <c r="N193" s="11" t="str">
        <f aca="false">IF(INDEX(MASTER_DATABASE!$A$4:$A$1000,ROW()-3)="","",INDEX(MASTER_DATABASE!$AJ$4:$AJ$1000,ROW()-3)&amp;"")</f>
        <v>No</v>
      </c>
      <c r="O193" s="11" t="str">
        <f aca="false">IF(INDEX(MASTER_DATABASE!$A$4:$A$1000,ROW()-3)="","",IF(INDEX(MASTER_DATABASE!$BE$4:$BE$1000,ROW()-3)="LIVE","Yes","No"))</f>
        <v>Yes</v>
      </c>
      <c r="P193" s="7" t="str">
        <f aca="false">IF(INDEX(MASTER_DATABASE!$A$4:$A$1000,ROW()-3)="","",INDEX(MASTER_DATABASE!$BG$4:$BG$1000,ROW()-3)&amp;"")</f>
        <v>Visit Shop</v>
      </c>
      <c r="Q193" s="11" t="n">
        <f aca="false">IF(INDEX(MASTER_DATABASE!$A$4:$A$1000,ROW()-3)="","",INDEX(MASTER_DATABASE!$AQ$4:$AQ$1000,ROW()-3))</f>
        <v>130</v>
      </c>
    </row>
    <row r="194" customFormat="false" ht="23.85" hidden="false" customHeight="false" outlineLevel="0" collapsed="false">
      <c r="A194" s="11" t="str">
        <f aca="false">IF(INDEX(MASTER_DATABASE!$A$4:$A$1000,ROW()-3)="","",INDEX(MASTER_DATABASE!$A$4:$A$1000,ROW()-3)&amp;"")</f>
        <v>PRT-014</v>
      </c>
      <c r="B194" s="7" t="str">
        <f aca="false">IF(INDEX(MASTER_DATABASE!$A$4:$A$1000,ROW()-3)="","",INDEX(MASTER_DATABASE!$E$4:$E$1000,ROW()-3)&amp;"")</f>
        <v>PDF Conversion (PDF to Image / Other)</v>
      </c>
      <c r="C194" s="7" t="str">
        <f aca="false">IF(INDEX(MASTER_DATABASE!$A$4:$A$1000,ROW()-3)="","",INDEX(MASTER_DATABASE!$F$4:$F$1000,ROW()-3)&amp;"")</f>
        <v>PDF कन्वर्ज़न (PDF से इमेज / अन्य)</v>
      </c>
      <c r="D194" s="7" t="str">
        <f aca="false">IF(INDEX(MASTER_DATABASE!$A$4:$A$1000,ROW()-3)="","",INDEX(MASTER_DATABASE!$AL$4:$AL$1000,ROW()-3)&amp;"")</f>
        <v>Printing / Xerox / Scanning</v>
      </c>
      <c r="E194" s="7" t="str">
        <f aca="false">IF(INDEX(MASTER_DATABASE!$A$4:$A$1000,ROW()-3)="","",INDEX(MASTER_DATABASE!$G$4:$G$1000,ROW()-3)&amp;"")</f>
        <v>PDF Conversion (PDF to Image / Other) at our printing and document desk.</v>
      </c>
      <c r="F194" s="11" t="str">
        <f aca="false">IF(INDEX(MASTER_DATABASE!$A$4:$A$1000,ROW()-3)="","",INDEX(MASTER_DATABASE!$AP$4:$AP$1000,ROW()-3)&amp;"")</f>
        <v>📑</v>
      </c>
      <c r="G19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4" s="7" t="str">
        <f aca="false">IF(INDEX(MASTER_DATABASE!$A$4:$A$1000,ROW()-3)="","",INDEX(MASTER_DATABASE!$J$4:$J$1000,ROW()-3)&amp;"")</f>
        <v>Available</v>
      </c>
      <c r="K194" s="7" t="str">
        <f aca="false">IF(INDEX(MASTER_DATABASE!$A$4:$A$1000,ROW()-3)="","",INDEX(MASTER_DATABASE!$M$4:$M$1000,ROW()-3)&amp;"")</f>
        <v>✓ Files to Print / Scan</v>
      </c>
      <c r="L194" s="7" t="str">
        <f aca="false">IF(INDEX(MASTER_DATABASE!$A$4:$A$1000,ROW()-3)="","",INDEX(MASTER_DATABASE!$Q$4:$Q$1000,ROW()-3)&amp;"")</f>
        <v>5–10 Minutes</v>
      </c>
      <c r="M194" s="11" t="str">
        <f aca="false">IF(INDEX(MASTER_DATABASE!$A$4:$A$1000,ROW()-3)="","",INDEX(MASTER_DATABASE!$AI$4:$AI$1000,ROW()-3)&amp;"")</f>
        <v>No</v>
      </c>
      <c r="N194" s="11" t="str">
        <f aca="false">IF(INDEX(MASTER_DATABASE!$A$4:$A$1000,ROW()-3)="","",INDEX(MASTER_DATABASE!$AJ$4:$AJ$1000,ROW()-3)&amp;"")</f>
        <v>No</v>
      </c>
      <c r="O194" s="11" t="str">
        <f aca="false">IF(INDEX(MASTER_DATABASE!$A$4:$A$1000,ROW()-3)="","",IF(INDEX(MASTER_DATABASE!$BE$4:$BE$1000,ROW()-3)="LIVE","Yes","No"))</f>
        <v>Yes</v>
      </c>
      <c r="P194" s="7" t="str">
        <f aca="false">IF(INDEX(MASTER_DATABASE!$A$4:$A$1000,ROW()-3)="","",INDEX(MASTER_DATABASE!$BG$4:$BG$1000,ROW()-3)&amp;"")</f>
        <v>Visit Shop</v>
      </c>
      <c r="Q194" s="11" t="n">
        <f aca="false">IF(INDEX(MASTER_DATABASE!$A$4:$A$1000,ROW()-3)="","",INDEX(MASTER_DATABASE!$AQ$4:$AQ$1000,ROW()-3))</f>
        <v>140</v>
      </c>
    </row>
    <row r="195" customFormat="false" ht="23.85" hidden="false" customHeight="false" outlineLevel="0" collapsed="false">
      <c r="A195" s="11" t="str">
        <f aca="false">IF(INDEX(MASTER_DATABASE!$A$4:$A$1000,ROW()-3)="","",INDEX(MASTER_DATABASE!$A$4:$A$1000,ROW()-3)&amp;"")</f>
        <v>PRT-015</v>
      </c>
      <c r="B195" s="7" t="str">
        <f aca="false">IF(INDEX(MASTER_DATABASE!$A$4:$A$1000,ROW()-3)="","",INDEX(MASTER_DATABASE!$E$4:$E$1000,ROW()-3)&amp;"")</f>
        <v>Word to PDF</v>
      </c>
      <c r="C195" s="7" t="str">
        <f aca="false">IF(INDEX(MASTER_DATABASE!$A$4:$A$1000,ROW()-3)="","",INDEX(MASTER_DATABASE!$F$4:$F$1000,ROW()-3)&amp;"")</f>
        <v>Word से PDF</v>
      </c>
      <c r="D195" s="7" t="str">
        <f aca="false">IF(INDEX(MASTER_DATABASE!$A$4:$A$1000,ROW()-3)="","",INDEX(MASTER_DATABASE!$AL$4:$AL$1000,ROW()-3)&amp;"")</f>
        <v>Printing / Xerox / Scanning</v>
      </c>
      <c r="E195" s="7" t="str">
        <f aca="false">IF(INDEX(MASTER_DATABASE!$A$4:$A$1000,ROW()-3)="","",INDEX(MASTER_DATABASE!$G$4:$G$1000,ROW()-3)&amp;"")</f>
        <v>Word to PDF at our printing and document desk.</v>
      </c>
      <c r="F195" s="11" t="str">
        <f aca="false">IF(INDEX(MASTER_DATABASE!$A$4:$A$1000,ROW()-3)="","",INDEX(MASTER_DATABASE!$AP$4:$AP$1000,ROW()-3)&amp;"")</f>
        <v>📑</v>
      </c>
      <c r="G19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5" s="7" t="str">
        <f aca="false">IF(INDEX(MASTER_DATABASE!$A$4:$A$1000,ROW()-3)="","",INDEX(MASTER_DATABASE!$J$4:$J$1000,ROW()-3)&amp;"")</f>
        <v>Available</v>
      </c>
      <c r="K195" s="7" t="str">
        <f aca="false">IF(INDEX(MASTER_DATABASE!$A$4:$A$1000,ROW()-3)="","",INDEX(MASTER_DATABASE!$M$4:$M$1000,ROW()-3)&amp;"")</f>
        <v>✓ Files to Print / Scan</v>
      </c>
      <c r="L195" s="7" t="str">
        <f aca="false">IF(INDEX(MASTER_DATABASE!$A$4:$A$1000,ROW()-3)="","",INDEX(MASTER_DATABASE!$Q$4:$Q$1000,ROW()-3)&amp;"")</f>
        <v>5–10 Minutes</v>
      </c>
      <c r="M195" s="11" t="str">
        <f aca="false">IF(INDEX(MASTER_DATABASE!$A$4:$A$1000,ROW()-3)="","",INDEX(MASTER_DATABASE!$AI$4:$AI$1000,ROW()-3)&amp;"")</f>
        <v>No</v>
      </c>
      <c r="N195" s="11" t="str">
        <f aca="false">IF(INDEX(MASTER_DATABASE!$A$4:$A$1000,ROW()-3)="","",INDEX(MASTER_DATABASE!$AJ$4:$AJ$1000,ROW()-3)&amp;"")</f>
        <v>No</v>
      </c>
      <c r="O195" s="11" t="str">
        <f aca="false">IF(INDEX(MASTER_DATABASE!$A$4:$A$1000,ROW()-3)="","",IF(INDEX(MASTER_DATABASE!$BE$4:$BE$1000,ROW()-3)="LIVE","Yes","No"))</f>
        <v>Yes</v>
      </c>
      <c r="P195" s="7" t="str">
        <f aca="false">IF(INDEX(MASTER_DATABASE!$A$4:$A$1000,ROW()-3)="","",INDEX(MASTER_DATABASE!$BG$4:$BG$1000,ROW()-3)&amp;"")</f>
        <v>Visit Shop</v>
      </c>
      <c r="Q195" s="11" t="n">
        <f aca="false">IF(INDEX(MASTER_DATABASE!$A$4:$A$1000,ROW()-3)="","",INDEX(MASTER_DATABASE!$AQ$4:$AQ$1000,ROW()-3))</f>
        <v>150</v>
      </c>
    </row>
    <row r="196" customFormat="false" ht="23.85" hidden="false" customHeight="false" outlineLevel="0" collapsed="false">
      <c r="A196" s="11" t="str">
        <f aca="false">IF(INDEX(MASTER_DATABASE!$A$4:$A$1000,ROW()-3)="","",INDEX(MASTER_DATABASE!$A$4:$A$1000,ROW()-3)&amp;"")</f>
        <v>PRT-016</v>
      </c>
      <c r="B196" s="7" t="str">
        <f aca="false">IF(INDEX(MASTER_DATABASE!$A$4:$A$1000,ROW()-3)="","",INDEX(MASTER_DATABASE!$E$4:$E$1000,ROW()-3)&amp;"")</f>
        <v>PDF to Word</v>
      </c>
      <c r="C196" s="7" t="str">
        <f aca="false">IF(INDEX(MASTER_DATABASE!$A$4:$A$1000,ROW()-3)="","",INDEX(MASTER_DATABASE!$F$4:$F$1000,ROW()-3)&amp;"")</f>
        <v>PDF से Word</v>
      </c>
      <c r="D196" s="7" t="str">
        <f aca="false">IF(INDEX(MASTER_DATABASE!$A$4:$A$1000,ROW()-3)="","",INDEX(MASTER_DATABASE!$AL$4:$AL$1000,ROW()-3)&amp;"")</f>
        <v>Printing / Xerox / Scanning</v>
      </c>
      <c r="E196" s="7" t="str">
        <f aca="false">IF(INDEX(MASTER_DATABASE!$A$4:$A$1000,ROW()-3)="","",INDEX(MASTER_DATABASE!$G$4:$G$1000,ROW()-3)&amp;"")</f>
        <v>PDF to Word at our printing and document desk.</v>
      </c>
      <c r="F196" s="11" t="str">
        <f aca="false">IF(INDEX(MASTER_DATABASE!$A$4:$A$1000,ROW()-3)="","",INDEX(MASTER_DATABASE!$AP$4:$AP$1000,ROW()-3)&amp;"")</f>
        <v>📑</v>
      </c>
      <c r="G19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6" s="7" t="str">
        <f aca="false">IF(INDEX(MASTER_DATABASE!$A$4:$A$1000,ROW()-3)="","",INDEX(MASTER_DATABASE!$J$4:$J$1000,ROW()-3)&amp;"")</f>
        <v>Available</v>
      </c>
      <c r="K196" s="7" t="str">
        <f aca="false">IF(INDEX(MASTER_DATABASE!$A$4:$A$1000,ROW()-3)="","",INDEX(MASTER_DATABASE!$M$4:$M$1000,ROW()-3)&amp;"")</f>
        <v>✓ Files to Print / Scan</v>
      </c>
      <c r="L196" s="7" t="str">
        <f aca="false">IF(INDEX(MASTER_DATABASE!$A$4:$A$1000,ROW()-3)="","",INDEX(MASTER_DATABASE!$Q$4:$Q$1000,ROW()-3)&amp;"")</f>
        <v>5–10 Minutes</v>
      </c>
      <c r="M196" s="11" t="str">
        <f aca="false">IF(INDEX(MASTER_DATABASE!$A$4:$A$1000,ROW()-3)="","",INDEX(MASTER_DATABASE!$AI$4:$AI$1000,ROW()-3)&amp;"")</f>
        <v>No</v>
      </c>
      <c r="N196" s="11" t="str">
        <f aca="false">IF(INDEX(MASTER_DATABASE!$A$4:$A$1000,ROW()-3)="","",INDEX(MASTER_DATABASE!$AJ$4:$AJ$1000,ROW()-3)&amp;"")</f>
        <v>No</v>
      </c>
      <c r="O196" s="11" t="str">
        <f aca="false">IF(INDEX(MASTER_DATABASE!$A$4:$A$1000,ROW()-3)="","",IF(INDEX(MASTER_DATABASE!$BE$4:$BE$1000,ROW()-3)="LIVE","Yes","No"))</f>
        <v>Yes</v>
      </c>
      <c r="P196" s="7" t="str">
        <f aca="false">IF(INDEX(MASTER_DATABASE!$A$4:$A$1000,ROW()-3)="","",INDEX(MASTER_DATABASE!$BG$4:$BG$1000,ROW()-3)&amp;"")</f>
        <v>Visit Shop</v>
      </c>
      <c r="Q196" s="11" t="n">
        <f aca="false">IF(INDEX(MASTER_DATABASE!$A$4:$A$1000,ROW()-3)="","",INDEX(MASTER_DATABASE!$AQ$4:$AQ$1000,ROW()-3))</f>
        <v>160</v>
      </c>
    </row>
    <row r="197" customFormat="false" ht="23.85" hidden="false" customHeight="false" outlineLevel="0" collapsed="false">
      <c r="A197" s="11" t="str">
        <f aca="false">IF(INDEX(MASTER_DATABASE!$A$4:$A$1000,ROW()-3)="","",INDEX(MASTER_DATABASE!$A$4:$A$1000,ROW()-3)&amp;"")</f>
        <v>PRT-017</v>
      </c>
      <c r="B197" s="7" t="str">
        <f aca="false">IF(INDEX(MASTER_DATABASE!$A$4:$A$1000,ROW()-3)="","",INDEX(MASTER_DATABASE!$E$4:$E$1000,ROW()-3)&amp;"")</f>
        <v>Hindi Typing</v>
      </c>
      <c r="C197" s="7" t="str">
        <f aca="false">IF(INDEX(MASTER_DATABASE!$A$4:$A$1000,ROW()-3)="","",INDEX(MASTER_DATABASE!$F$4:$F$1000,ROW()-3)&amp;"")</f>
        <v>हिंदी टाइपिंग</v>
      </c>
      <c r="D197" s="7" t="str">
        <f aca="false">IF(INDEX(MASTER_DATABASE!$A$4:$A$1000,ROW()-3)="","",INDEX(MASTER_DATABASE!$AL$4:$AL$1000,ROW()-3)&amp;"")</f>
        <v>Printing / Xerox / Scanning</v>
      </c>
      <c r="E197" s="7" t="str">
        <f aca="false">IF(INDEX(MASTER_DATABASE!$A$4:$A$1000,ROW()-3)="","",INDEX(MASTER_DATABASE!$G$4:$G$1000,ROW()-3)&amp;"")</f>
        <v>Hindi Typing at our printing and document desk.</v>
      </c>
      <c r="F197" s="11" t="str">
        <f aca="false">IF(INDEX(MASTER_DATABASE!$A$4:$A$1000,ROW()-3)="","",INDEX(MASTER_DATABASE!$AP$4:$AP$1000,ROW()-3)&amp;"")</f>
        <v>⌨️</v>
      </c>
      <c r="G19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7" s="7" t="str">
        <f aca="false">IF(INDEX(MASTER_DATABASE!$A$4:$A$1000,ROW()-3)="","",INDEX(MASTER_DATABASE!$J$4:$J$1000,ROW()-3)&amp;"")</f>
        <v>Available</v>
      </c>
      <c r="K197" s="7" t="str">
        <f aca="false">IF(INDEX(MASTER_DATABASE!$A$4:$A$1000,ROW()-3)="","",INDEX(MASTER_DATABASE!$M$4:$M$1000,ROW()-3)&amp;"")</f>
        <v>✓ Details / Matter for Typing</v>
      </c>
      <c r="L197" s="7" t="str">
        <f aca="false">IF(INDEX(MASTER_DATABASE!$A$4:$A$1000,ROW()-3)="","",INDEX(MASTER_DATABASE!$Q$4:$Q$1000,ROW()-3)&amp;"")</f>
        <v>15–30 Minutes</v>
      </c>
      <c r="M197" s="11" t="str">
        <f aca="false">IF(INDEX(MASTER_DATABASE!$A$4:$A$1000,ROW()-3)="","",INDEX(MASTER_DATABASE!$AI$4:$AI$1000,ROW()-3)&amp;"")</f>
        <v>No</v>
      </c>
      <c r="N197" s="11" t="str">
        <f aca="false">IF(INDEX(MASTER_DATABASE!$A$4:$A$1000,ROW()-3)="","",INDEX(MASTER_DATABASE!$AJ$4:$AJ$1000,ROW()-3)&amp;"")</f>
        <v>No</v>
      </c>
      <c r="O197" s="11" t="str">
        <f aca="false">IF(INDEX(MASTER_DATABASE!$A$4:$A$1000,ROW()-3)="","",IF(INDEX(MASTER_DATABASE!$BE$4:$BE$1000,ROW()-3)="LIVE","Yes","No"))</f>
        <v>Yes</v>
      </c>
      <c r="P197" s="7" t="str">
        <f aca="false">IF(INDEX(MASTER_DATABASE!$A$4:$A$1000,ROW()-3)="","",INDEX(MASTER_DATABASE!$BG$4:$BG$1000,ROW()-3)&amp;"")</f>
        <v>Visit Shop</v>
      </c>
      <c r="Q197" s="11" t="n">
        <f aca="false">IF(INDEX(MASTER_DATABASE!$A$4:$A$1000,ROW()-3)="","",INDEX(MASTER_DATABASE!$AQ$4:$AQ$1000,ROW()-3))</f>
        <v>170</v>
      </c>
    </row>
    <row r="198" customFormat="false" ht="23.85" hidden="false" customHeight="false" outlineLevel="0" collapsed="false">
      <c r="A198" s="11" t="str">
        <f aca="false">IF(INDEX(MASTER_DATABASE!$A$4:$A$1000,ROW()-3)="","",INDEX(MASTER_DATABASE!$A$4:$A$1000,ROW()-3)&amp;"")</f>
        <v>PRT-018</v>
      </c>
      <c r="B198" s="7" t="str">
        <f aca="false">IF(INDEX(MASTER_DATABASE!$A$4:$A$1000,ROW()-3)="","",INDEX(MASTER_DATABASE!$E$4:$E$1000,ROW()-3)&amp;"")</f>
        <v>English Typing</v>
      </c>
      <c r="C198" s="7" t="str">
        <f aca="false">IF(INDEX(MASTER_DATABASE!$A$4:$A$1000,ROW()-3)="","",INDEX(MASTER_DATABASE!$F$4:$F$1000,ROW()-3)&amp;"")</f>
        <v>अंग्रेज़ी टाइपिंग</v>
      </c>
      <c r="D198" s="7" t="str">
        <f aca="false">IF(INDEX(MASTER_DATABASE!$A$4:$A$1000,ROW()-3)="","",INDEX(MASTER_DATABASE!$AL$4:$AL$1000,ROW()-3)&amp;"")</f>
        <v>Printing / Xerox / Scanning</v>
      </c>
      <c r="E198" s="7" t="str">
        <f aca="false">IF(INDEX(MASTER_DATABASE!$A$4:$A$1000,ROW()-3)="","",INDEX(MASTER_DATABASE!$G$4:$G$1000,ROW()-3)&amp;"")</f>
        <v>English Typing at our printing and document desk.</v>
      </c>
      <c r="F198" s="11" t="str">
        <f aca="false">IF(INDEX(MASTER_DATABASE!$A$4:$A$1000,ROW()-3)="","",INDEX(MASTER_DATABASE!$AP$4:$AP$1000,ROW()-3)&amp;"")</f>
        <v>⌨️</v>
      </c>
      <c r="G19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8" s="7" t="str">
        <f aca="false">IF(INDEX(MASTER_DATABASE!$A$4:$A$1000,ROW()-3)="","",INDEX(MASTER_DATABASE!$J$4:$J$1000,ROW()-3)&amp;"")</f>
        <v>Available</v>
      </c>
      <c r="K198" s="7" t="str">
        <f aca="false">IF(INDEX(MASTER_DATABASE!$A$4:$A$1000,ROW()-3)="","",INDEX(MASTER_DATABASE!$M$4:$M$1000,ROW()-3)&amp;"")</f>
        <v>✓ Details / Matter for Typing</v>
      </c>
      <c r="L198" s="7" t="str">
        <f aca="false">IF(INDEX(MASTER_DATABASE!$A$4:$A$1000,ROW()-3)="","",INDEX(MASTER_DATABASE!$Q$4:$Q$1000,ROW()-3)&amp;"")</f>
        <v>15–30 Minutes</v>
      </c>
      <c r="M198" s="11" t="str">
        <f aca="false">IF(INDEX(MASTER_DATABASE!$A$4:$A$1000,ROW()-3)="","",INDEX(MASTER_DATABASE!$AI$4:$AI$1000,ROW()-3)&amp;"")</f>
        <v>No</v>
      </c>
      <c r="N198" s="11" t="str">
        <f aca="false">IF(INDEX(MASTER_DATABASE!$A$4:$A$1000,ROW()-3)="","",INDEX(MASTER_DATABASE!$AJ$4:$AJ$1000,ROW()-3)&amp;"")</f>
        <v>No</v>
      </c>
      <c r="O198" s="11" t="str">
        <f aca="false">IF(INDEX(MASTER_DATABASE!$A$4:$A$1000,ROW()-3)="","",IF(INDEX(MASTER_DATABASE!$BE$4:$BE$1000,ROW()-3)="LIVE","Yes","No"))</f>
        <v>Yes</v>
      </c>
      <c r="P198" s="7" t="str">
        <f aca="false">IF(INDEX(MASTER_DATABASE!$A$4:$A$1000,ROW()-3)="","",INDEX(MASTER_DATABASE!$BG$4:$BG$1000,ROW()-3)&amp;"")</f>
        <v>Visit Shop</v>
      </c>
      <c r="Q198" s="11" t="n">
        <f aca="false">IF(INDEX(MASTER_DATABASE!$A$4:$A$1000,ROW()-3)="","",INDEX(MASTER_DATABASE!$AQ$4:$AQ$1000,ROW()-3))</f>
        <v>180</v>
      </c>
    </row>
    <row r="199" customFormat="false" ht="23.85" hidden="false" customHeight="false" outlineLevel="0" collapsed="false">
      <c r="A199" s="11" t="str">
        <f aca="false">IF(INDEX(MASTER_DATABASE!$A$4:$A$1000,ROW()-3)="","",INDEX(MASTER_DATABASE!$A$4:$A$1000,ROW()-3)&amp;"")</f>
        <v>PRT-019</v>
      </c>
      <c r="B199" s="7" t="str">
        <f aca="false">IF(INDEX(MASTER_DATABASE!$A$4:$A$1000,ROW()-3)="","",INDEX(MASTER_DATABASE!$E$4:$E$1000,ROW()-3)&amp;"")</f>
        <v>Data Entry</v>
      </c>
      <c r="C199" s="7" t="str">
        <f aca="false">IF(INDEX(MASTER_DATABASE!$A$4:$A$1000,ROW()-3)="","",INDEX(MASTER_DATABASE!$F$4:$F$1000,ROW()-3)&amp;"")</f>
        <v>डेटा एंट्री</v>
      </c>
      <c r="D199" s="7" t="str">
        <f aca="false">IF(INDEX(MASTER_DATABASE!$A$4:$A$1000,ROW()-3)="","",INDEX(MASTER_DATABASE!$AL$4:$AL$1000,ROW()-3)&amp;"")</f>
        <v>Printing / Xerox / Scanning</v>
      </c>
      <c r="E199" s="7" t="str">
        <f aca="false">IF(INDEX(MASTER_DATABASE!$A$4:$A$1000,ROW()-3)="","",INDEX(MASTER_DATABASE!$G$4:$G$1000,ROW()-3)&amp;"")</f>
        <v>Data Entry at our printing and document desk.</v>
      </c>
      <c r="F199" s="11" t="str">
        <f aca="false">IF(INDEX(MASTER_DATABASE!$A$4:$A$1000,ROW()-3)="","",INDEX(MASTER_DATABASE!$AP$4:$AP$1000,ROW()-3)&amp;"")</f>
        <v>⌨️</v>
      </c>
      <c r="G19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19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19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199" s="7" t="str">
        <f aca="false">IF(INDEX(MASTER_DATABASE!$A$4:$A$1000,ROW()-3)="","",INDEX(MASTER_DATABASE!$J$4:$J$1000,ROW()-3)&amp;"")</f>
        <v>Available</v>
      </c>
      <c r="K199" s="7" t="str">
        <f aca="false">IF(INDEX(MASTER_DATABASE!$A$4:$A$1000,ROW()-3)="","",INDEX(MASTER_DATABASE!$M$4:$M$1000,ROW()-3)&amp;"")</f>
        <v>✓ Details / Matter for Typing</v>
      </c>
      <c r="L199" s="7" t="str">
        <f aca="false">IF(INDEX(MASTER_DATABASE!$A$4:$A$1000,ROW()-3)="","",INDEX(MASTER_DATABASE!$Q$4:$Q$1000,ROW()-3)&amp;"")</f>
        <v>15–30 Minutes</v>
      </c>
      <c r="M199" s="11" t="str">
        <f aca="false">IF(INDEX(MASTER_DATABASE!$A$4:$A$1000,ROW()-3)="","",INDEX(MASTER_DATABASE!$AI$4:$AI$1000,ROW()-3)&amp;"")</f>
        <v>No</v>
      </c>
      <c r="N199" s="11" t="str">
        <f aca="false">IF(INDEX(MASTER_DATABASE!$A$4:$A$1000,ROW()-3)="","",INDEX(MASTER_DATABASE!$AJ$4:$AJ$1000,ROW()-3)&amp;"")</f>
        <v>No</v>
      </c>
      <c r="O199" s="11" t="str">
        <f aca="false">IF(INDEX(MASTER_DATABASE!$A$4:$A$1000,ROW()-3)="","",IF(INDEX(MASTER_DATABASE!$BE$4:$BE$1000,ROW()-3)="LIVE","Yes","No"))</f>
        <v>Yes</v>
      </c>
      <c r="P199" s="7" t="str">
        <f aca="false">IF(INDEX(MASTER_DATABASE!$A$4:$A$1000,ROW()-3)="","",INDEX(MASTER_DATABASE!$BG$4:$BG$1000,ROW()-3)&amp;"")</f>
        <v>Visit Shop</v>
      </c>
      <c r="Q199" s="11" t="n">
        <f aca="false">IF(INDEX(MASTER_DATABASE!$A$4:$A$1000,ROW()-3)="","",INDEX(MASTER_DATABASE!$AQ$4:$AQ$1000,ROW()-3))</f>
        <v>190</v>
      </c>
    </row>
    <row r="200" customFormat="false" ht="23.85" hidden="false" customHeight="false" outlineLevel="0" collapsed="false">
      <c r="A200" s="11" t="str">
        <f aca="false">IF(INDEX(MASTER_DATABASE!$A$4:$A$1000,ROW()-3)="","",INDEX(MASTER_DATABASE!$A$4:$A$1000,ROW()-3)&amp;"")</f>
        <v>PRT-020</v>
      </c>
      <c r="B200" s="7" t="str">
        <f aca="false">IF(INDEX(MASTER_DATABASE!$A$4:$A$1000,ROW()-3)="","",INDEX(MASTER_DATABASE!$E$4:$E$1000,ROW()-3)&amp;"")</f>
        <v>Application Typing</v>
      </c>
      <c r="C200" s="7" t="str">
        <f aca="false">IF(INDEX(MASTER_DATABASE!$A$4:$A$1000,ROW()-3)="","",INDEX(MASTER_DATABASE!$F$4:$F$1000,ROW()-3)&amp;"")</f>
        <v>आवेदन टाइपिंग</v>
      </c>
      <c r="D200" s="7" t="str">
        <f aca="false">IF(INDEX(MASTER_DATABASE!$A$4:$A$1000,ROW()-3)="","",INDEX(MASTER_DATABASE!$AL$4:$AL$1000,ROW()-3)&amp;"")</f>
        <v>Printing / Xerox / Scanning</v>
      </c>
      <c r="E200" s="7" t="str">
        <f aca="false">IF(INDEX(MASTER_DATABASE!$A$4:$A$1000,ROW()-3)="","",INDEX(MASTER_DATABASE!$G$4:$G$1000,ROW()-3)&amp;"")</f>
        <v>Application Typing at our printing and document desk.</v>
      </c>
      <c r="F200" s="11" t="str">
        <f aca="false">IF(INDEX(MASTER_DATABASE!$A$4:$A$1000,ROW()-3)="","",INDEX(MASTER_DATABASE!$AP$4:$AP$1000,ROW()-3)&amp;"")</f>
        <v>⌨️</v>
      </c>
      <c r="G20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0" s="7" t="str">
        <f aca="false">IF(INDEX(MASTER_DATABASE!$A$4:$A$1000,ROW()-3)="","",INDEX(MASTER_DATABASE!$J$4:$J$1000,ROW()-3)&amp;"")</f>
        <v>Available</v>
      </c>
      <c r="K200" s="7" t="str">
        <f aca="false">IF(INDEX(MASTER_DATABASE!$A$4:$A$1000,ROW()-3)="","",INDEX(MASTER_DATABASE!$M$4:$M$1000,ROW()-3)&amp;"")</f>
        <v>✓ Details / Matter for Typing</v>
      </c>
      <c r="L200" s="7" t="str">
        <f aca="false">IF(INDEX(MASTER_DATABASE!$A$4:$A$1000,ROW()-3)="","",INDEX(MASTER_DATABASE!$Q$4:$Q$1000,ROW()-3)&amp;"")</f>
        <v>15–30 Minutes</v>
      </c>
      <c r="M200" s="11" t="str">
        <f aca="false">IF(INDEX(MASTER_DATABASE!$A$4:$A$1000,ROW()-3)="","",INDEX(MASTER_DATABASE!$AI$4:$AI$1000,ROW()-3)&amp;"")</f>
        <v>No</v>
      </c>
      <c r="N200" s="11" t="str">
        <f aca="false">IF(INDEX(MASTER_DATABASE!$A$4:$A$1000,ROW()-3)="","",INDEX(MASTER_DATABASE!$AJ$4:$AJ$1000,ROW()-3)&amp;"")</f>
        <v>No</v>
      </c>
      <c r="O200" s="11" t="str">
        <f aca="false">IF(INDEX(MASTER_DATABASE!$A$4:$A$1000,ROW()-3)="","",IF(INDEX(MASTER_DATABASE!$BE$4:$BE$1000,ROW()-3)="LIVE","Yes","No"))</f>
        <v>Yes</v>
      </c>
      <c r="P200" s="7" t="str">
        <f aca="false">IF(INDEX(MASTER_DATABASE!$A$4:$A$1000,ROW()-3)="","",INDEX(MASTER_DATABASE!$BG$4:$BG$1000,ROW()-3)&amp;"")</f>
        <v>Visit Shop</v>
      </c>
      <c r="Q200" s="11" t="n">
        <f aca="false">IF(INDEX(MASTER_DATABASE!$A$4:$A$1000,ROW()-3)="","",INDEX(MASTER_DATABASE!$AQ$4:$AQ$1000,ROW()-3))</f>
        <v>200</v>
      </c>
    </row>
    <row r="201" customFormat="false" ht="23.85" hidden="false" customHeight="false" outlineLevel="0" collapsed="false">
      <c r="A201" s="11" t="str">
        <f aca="false">IF(INDEX(MASTER_DATABASE!$A$4:$A$1000,ROW()-3)="","",INDEX(MASTER_DATABASE!$A$4:$A$1000,ROW()-3)&amp;"")</f>
        <v>PRT-021</v>
      </c>
      <c r="B201" s="7" t="str">
        <f aca="false">IF(INDEX(MASTER_DATABASE!$A$4:$A$1000,ROW()-3)="","",INDEX(MASTER_DATABASE!$E$4:$E$1000,ROW()-3)&amp;"")</f>
        <v>Letter Typing</v>
      </c>
      <c r="C201" s="7" t="str">
        <f aca="false">IF(INDEX(MASTER_DATABASE!$A$4:$A$1000,ROW()-3)="","",INDEX(MASTER_DATABASE!$F$4:$F$1000,ROW()-3)&amp;"")</f>
        <v>पत्र टाइपिंग</v>
      </c>
      <c r="D201" s="7" t="str">
        <f aca="false">IF(INDEX(MASTER_DATABASE!$A$4:$A$1000,ROW()-3)="","",INDEX(MASTER_DATABASE!$AL$4:$AL$1000,ROW()-3)&amp;"")</f>
        <v>Printing / Xerox / Scanning</v>
      </c>
      <c r="E201" s="7" t="str">
        <f aca="false">IF(INDEX(MASTER_DATABASE!$A$4:$A$1000,ROW()-3)="","",INDEX(MASTER_DATABASE!$G$4:$G$1000,ROW()-3)&amp;"")</f>
        <v>Letter Typing at our printing and document desk.</v>
      </c>
      <c r="F201" s="11" t="str">
        <f aca="false">IF(INDEX(MASTER_DATABASE!$A$4:$A$1000,ROW()-3)="","",INDEX(MASTER_DATABASE!$AP$4:$AP$1000,ROW()-3)&amp;"")</f>
        <v>⌨️</v>
      </c>
      <c r="G20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1" s="7" t="str">
        <f aca="false">IF(INDEX(MASTER_DATABASE!$A$4:$A$1000,ROW()-3)="","",INDEX(MASTER_DATABASE!$J$4:$J$1000,ROW()-3)&amp;"")</f>
        <v>Available</v>
      </c>
      <c r="K201" s="7" t="str">
        <f aca="false">IF(INDEX(MASTER_DATABASE!$A$4:$A$1000,ROW()-3)="","",INDEX(MASTER_DATABASE!$M$4:$M$1000,ROW()-3)&amp;"")</f>
        <v>✓ Details / Matter for Typing</v>
      </c>
      <c r="L201" s="7" t="str">
        <f aca="false">IF(INDEX(MASTER_DATABASE!$A$4:$A$1000,ROW()-3)="","",INDEX(MASTER_DATABASE!$Q$4:$Q$1000,ROW()-3)&amp;"")</f>
        <v>15–30 Minutes</v>
      </c>
      <c r="M201" s="11" t="str">
        <f aca="false">IF(INDEX(MASTER_DATABASE!$A$4:$A$1000,ROW()-3)="","",INDEX(MASTER_DATABASE!$AI$4:$AI$1000,ROW()-3)&amp;"")</f>
        <v>No</v>
      </c>
      <c r="N201" s="11" t="str">
        <f aca="false">IF(INDEX(MASTER_DATABASE!$A$4:$A$1000,ROW()-3)="","",INDEX(MASTER_DATABASE!$AJ$4:$AJ$1000,ROW()-3)&amp;"")</f>
        <v>No</v>
      </c>
      <c r="O201" s="11" t="str">
        <f aca="false">IF(INDEX(MASTER_DATABASE!$A$4:$A$1000,ROW()-3)="","",IF(INDEX(MASTER_DATABASE!$BE$4:$BE$1000,ROW()-3)="LIVE","Yes","No"))</f>
        <v>Yes</v>
      </c>
      <c r="P201" s="7" t="str">
        <f aca="false">IF(INDEX(MASTER_DATABASE!$A$4:$A$1000,ROW()-3)="","",INDEX(MASTER_DATABASE!$BG$4:$BG$1000,ROW()-3)&amp;"")</f>
        <v>Visit Shop</v>
      </c>
      <c r="Q201" s="11" t="n">
        <f aca="false">IF(INDEX(MASTER_DATABASE!$A$4:$A$1000,ROW()-3)="","",INDEX(MASTER_DATABASE!$AQ$4:$AQ$1000,ROW()-3))</f>
        <v>210</v>
      </c>
    </row>
    <row r="202" customFormat="false" ht="23.85" hidden="false" customHeight="false" outlineLevel="0" collapsed="false">
      <c r="A202" s="11" t="str">
        <f aca="false">IF(INDEX(MASTER_DATABASE!$A$4:$A$1000,ROW()-3)="","",INDEX(MASTER_DATABASE!$A$4:$A$1000,ROW()-3)&amp;"")</f>
        <v>PRT-022</v>
      </c>
      <c r="B202" s="7" t="str">
        <f aca="false">IF(INDEX(MASTER_DATABASE!$A$4:$A$1000,ROW()-3)="","",INDEX(MASTER_DATABASE!$E$4:$E$1000,ROW()-3)&amp;"")</f>
        <v>Resume Making</v>
      </c>
      <c r="C202" s="7" t="str">
        <f aca="false">IF(INDEX(MASTER_DATABASE!$A$4:$A$1000,ROW()-3)="","",INDEX(MASTER_DATABASE!$F$4:$F$1000,ROW()-3)&amp;"")</f>
        <v>रिज़्यूमे निर्माण</v>
      </c>
      <c r="D202" s="7" t="str">
        <f aca="false">IF(INDEX(MASTER_DATABASE!$A$4:$A$1000,ROW()-3)="","",INDEX(MASTER_DATABASE!$AL$4:$AL$1000,ROW()-3)&amp;"")</f>
        <v>Printing / Xerox / Scanning</v>
      </c>
      <c r="E202" s="7" t="str">
        <f aca="false">IF(INDEX(MASTER_DATABASE!$A$4:$A$1000,ROW()-3)="","",INDEX(MASTER_DATABASE!$G$4:$G$1000,ROW()-3)&amp;"")</f>
        <v>Resume Making at our printing and document desk.</v>
      </c>
      <c r="F202" s="11" t="str">
        <f aca="false">IF(INDEX(MASTER_DATABASE!$A$4:$A$1000,ROW()-3)="","",INDEX(MASTER_DATABASE!$AP$4:$AP$1000,ROW()-3)&amp;"")</f>
        <v>🖨️</v>
      </c>
      <c r="G20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2" s="7" t="str">
        <f aca="false">IF(INDEX(MASTER_DATABASE!$A$4:$A$1000,ROW()-3)="","",INDEX(MASTER_DATABASE!$J$4:$J$1000,ROW()-3)&amp;"")</f>
        <v>Available</v>
      </c>
      <c r="K202" s="7" t="str">
        <f aca="false">IF(INDEX(MASTER_DATABASE!$A$4:$A$1000,ROW()-3)="","",INDEX(MASTER_DATABASE!$M$4:$M$1000,ROW()-3)&amp;"")</f>
        <v>✓ Details / Matter for Typing</v>
      </c>
      <c r="L202" s="7" t="str">
        <f aca="false">IF(INDEX(MASTER_DATABASE!$A$4:$A$1000,ROW()-3)="","",INDEX(MASTER_DATABASE!$Q$4:$Q$1000,ROW()-3)&amp;"")</f>
        <v>15–30 Minutes</v>
      </c>
      <c r="M202" s="11" t="str">
        <f aca="false">IF(INDEX(MASTER_DATABASE!$A$4:$A$1000,ROW()-3)="","",INDEX(MASTER_DATABASE!$AI$4:$AI$1000,ROW()-3)&amp;"")</f>
        <v>No</v>
      </c>
      <c r="N202" s="11" t="str">
        <f aca="false">IF(INDEX(MASTER_DATABASE!$A$4:$A$1000,ROW()-3)="","",INDEX(MASTER_DATABASE!$AJ$4:$AJ$1000,ROW()-3)&amp;"")</f>
        <v>No</v>
      </c>
      <c r="O202" s="11" t="str">
        <f aca="false">IF(INDEX(MASTER_DATABASE!$A$4:$A$1000,ROW()-3)="","",IF(INDEX(MASTER_DATABASE!$BE$4:$BE$1000,ROW()-3)="LIVE","Yes","No"))</f>
        <v>Yes</v>
      </c>
      <c r="P202" s="7" t="str">
        <f aca="false">IF(INDEX(MASTER_DATABASE!$A$4:$A$1000,ROW()-3)="","",INDEX(MASTER_DATABASE!$BG$4:$BG$1000,ROW()-3)&amp;"")</f>
        <v>Visit Shop</v>
      </c>
      <c r="Q202" s="11" t="n">
        <f aca="false">IF(INDEX(MASTER_DATABASE!$A$4:$A$1000,ROW()-3)="","",INDEX(MASTER_DATABASE!$AQ$4:$AQ$1000,ROW()-3))</f>
        <v>220</v>
      </c>
    </row>
    <row r="203" customFormat="false" ht="23.85" hidden="false" customHeight="false" outlineLevel="0" collapsed="false">
      <c r="A203" s="11" t="str">
        <f aca="false">IF(INDEX(MASTER_DATABASE!$A$4:$A$1000,ROW()-3)="","",INDEX(MASTER_DATABASE!$A$4:$A$1000,ROW()-3)&amp;"")</f>
        <v>PRT-023</v>
      </c>
      <c r="B203" s="7" t="str">
        <f aca="false">IF(INDEX(MASTER_DATABASE!$A$4:$A$1000,ROW()-3)="","",INDEX(MASTER_DATABASE!$E$4:$E$1000,ROW()-3)&amp;"")</f>
        <v>Biodata Making</v>
      </c>
      <c r="C203" s="7" t="str">
        <f aca="false">IF(INDEX(MASTER_DATABASE!$A$4:$A$1000,ROW()-3)="","",INDEX(MASTER_DATABASE!$F$4:$F$1000,ROW()-3)&amp;"")</f>
        <v>बायोडाटा निर्माण</v>
      </c>
      <c r="D203" s="7" t="str">
        <f aca="false">IF(INDEX(MASTER_DATABASE!$A$4:$A$1000,ROW()-3)="","",INDEX(MASTER_DATABASE!$AL$4:$AL$1000,ROW()-3)&amp;"")</f>
        <v>Printing / Xerox / Scanning</v>
      </c>
      <c r="E203" s="7" t="str">
        <f aca="false">IF(INDEX(MASTER_DATABASE!$A$4:$A$1000,ROW()-3)="","",INDEX(MASTER_DATABASE!$G$4:$G$1000,ROW()-3)&amp;"")</f>
        <v>Biodata Making at our printing and document desk.</v>
      </c>
      <c r="F203" s="11" t="str">
        <f aca="false">IF(INDEX(MASTER_DATABASE!$A$4:$A$1000,ROW()-3)="","",INDEX(MASTER_DATABASE!$AP$4:$AP$1000,ROW()-3)&amp;"")</f>
        <v>🖨️</v>
      </c>
      <c r="G20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3" s="7" t="str">
        <f aca="false">IF(INDEX(MASTER_DATABASE!$A$4:$A$1000,ROW()-3)="","",INDEX(MASTER_DATABASE!$J$4:$J$1000,ROW()-3)&amp;"")</f>
        <v>Available</v>
      </c>
      <c r="K203" s="7" t="str">
        <f aca="false">IF(INDEX(MASTER_DATABASE!$A$4:$A$1000,ROW()-3)="","",INDEX(MASTER_DATABASE!$M$4:$M$1000,ROW()-3)&amp;"")</f>
        <v>✓ Details / Matter for Typing</v>
      </c>
      <c r="L203" s="7" t="str">
        <f aca="false">IF(INDEX(MASTER_DATABASE!$A$4:$A$1000,ROW()-3)="","",INDEX(MASTER_DATABASE!$Q$4:$Q$1000,ROW()-3)&amp;"")</f>
        <v>15–30 Minutes</v>
      </c>
      <c r="M203" s="11" t="str">
        <f aca="false">IF(INDEX(MASTER_DATABASE!$A$4:$A$1000,ROW()-3)="","",INDEX(MASTER_DATABASE!$AI$4:$AI$1000,ROW()-3)&amp;"")</f>
        <v>No</v>
      </c>
      <c r="N203" s="11" t="str">
        <f aca="false">IF(INDEX(MASTER_DATABASE!$A$4:$A$1000,ROW()-3)="","",INDEX(MASTER_DATABASE!$AJ$4:$AJ$1000,ROW()-3)&amp;"")</f>
        <v>No</v>
      </c>
      <c r="O203" s="11" t="str">
        <f aca="false">IF(INDEX(MASTER_DATABASE!$A$4:$A$1000,ROW()-3)="","",IF(INDEX(MASTER_DATABASE!$BE$4:$BE$1000,ROW()-3)="LIVE","Yes","No"))</f>
        <v>Yes</v>
      </c>
      <c r="P203" s="7" t="str">
        <f aca="false">IF(INDEX(MASTER_DATABASE!$A$4:$A$1000,ROW()-3)="","",INDEX(MASTER_DATABASE!$BG$4:$BG$1000,ROW()-3)&amp;"")</f>
        <v>Visit Shop</v>
      </c>
      <c r="Q203" s="11" t="n">
        <f aca="false">IF(INDEX(MASTER_DATABASE!$A$4:$A$1000,ROW()-3)="","",INDEX(MASTER_DATABASE!$AQ$4:$AQ$1000,ROW()-3))</f>
        <v>230</v>
      </c>
    </row>
    <row r="204" customFormat="false" ht="23.85" hidden="false" customHeight="false" outlineLevel="0" collapsed="false">
      <c r="A204" s="11" t="str">
        <f aca="false">IF(INDEX(MASTER_DATABASE!$A$4:$A$1000,ROW()-3)="","",INDEX(MASTER_DATABASE!$A$4:$A$1000,ROW()-3)&amp;"")</f>
        <v>PRT-024</v>
      </c>
      <c r="B204" s="7" t="str">
        <f aca="false">IF(INDEX(MASTER_DATABASE!$A$4:$A$1000,ROW()-3)="","",INDEX(MASTER_DATABASE!$E$4:$E$1000,ROW()-3)&amp;"")</f>
        <v>Document Formatting</v>
      </c>
      <c r="C204" s="7" t="str">
        <f aca="false">IF(INDEX(MASTER_DATABASE!$A$4:$A$1000,ROW()-3)="","",INDEX(MASTER_DATABASE!$F$4:$F$1000,ROW()-3)&amp;"")</f>
        <v>दस्तावेज़ फॉर्मेटिंग</v>
      </c>
      <c r="D204" s="7" t="str">
        <f aca="false">IF(INDEX(MASTER_DATABASE!$A$4:$A$1000,ROW()-3)="","",INDEX(MASTER_DATABASE!$AL$4:$AL$1000,ROW()-3)&amp;"")</f>
        <v>Printing / Xerox / Scanning</v>
      </c>
      <c r="E204" s="7" t="str">
        <f aca="false">IF(INDEX(MASTER_DATABASE!$A$4:$A$1000,ROW()-3)="","",INDEX(MASTER_DATABASE!$G$4:$G$1000,ROW()-3)&amp;"")</f>
        <v>Document Formatting at our printing and document desk.</v>
      </c>
      <c r="F204" s="11" t="str">
        <f aca="false">IF(INDEX(MASTER_DATABASE!$A$4:$A$1000,ROW()-3)="","",INDEX(MASTER_DATABASE!$AP$4:$AP$1000,ROW()-3)&amp;"")</f>
        <v>🖨️</v>
      </c>
      <c r="G20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4" s="7" t="str">
        <f aca="false">IF(INDEX(MASTER_DATABASE!$A$4:$A$1000,ROW()-3)="","",INDEX(MASTER_DATABASE!$J$4:$J$1000,ROW()-3)&amp;"")</f>
        <v>Available</v>
      </c>
      <c r="K204" s="7" t="str">
        <f aca="false">IF(INDEX(MASTER_DATABASE!$A$4:$A$1000,ROW()-3)="","",INDEX(MASTER_DATABASE!$M$4:$M$1000,ROW()-3)&amp;"")</f>
        <v>✓ Details / Matter for Typing</v>
      </c>
      <c r="L204" s="7" t="str">
        <f aca="false">IF(INDEX(MASTER_DATABASE!$A$4:$A$1000,ROW()-3)="","",INDEX(MASTER_DATABASE!$Q$4:$Q$1000,ROW()-3)&amp;"")</f>
        <v>15–30 Minutes</v>
      </c>
      <c r="M204" s="11" t="str">
        <f aca="false">IF(INDEX(MASTER_DATABASE!$A$4:$A$1000,ROW()-3)="","",INDEX(MASTER_DATABASE!$AI$4:$AI$1000,ROW()-3)&amp;"")</f>
        <v>No</v>
      </c>
      <c r="N204" s="11" t="str">
        <f aca="false">IF(INDEX(MASTER_DATABASE!$A$4:$A$1000,ROW()-3)="","",INDEX(MASTER_DATABASE!$AJ$4:$AJ$1000,ROW()-3)&amp;"")</f>
        <v>No</v>
      </c>
      <c r="O204" s="11" t="str">
        <f aca="false">IF(INDEX(MASTER_DATABASE!$A$4:$A$1000,ROW()-3)="","",IF(INDEX(MASTER_DATABASE!$BE$4:$BE$1000,ROW()-3)="LIVE","Yes","No"))</f>
        <v>Yes</v>
      </c>
      <c r="P204" s="7" t="str">
        <f aca="false">IF(INDEX(MASTER_DATABASE!$A$4:$A$1000,ROW()-3)="","",INDEX(MASTER_DATABASE!$BG$4:$BG$1000,ROW()-3)&amp;"")</f>
        <v>Visit Shop</v>
      </c>
      <c r="Q204" s="11" t="n">
        <f aca="false">IF(INDEX(MASTER_DATABASE!$A$4:$A$1000,ROW()-3)="","",INDEX(MASTER_DATABASE!$AQ$4:$AQ$1000,ROW()-3))</f>
        <v>240</v>
      </c>
    </row>
    <row r="205" customFormat="false" ht="23.85" hidden="false" customHeight="false" outlineLevel="0" collapsed="false">
      <c r="A205" s="11" t="str">
        <f aca="false">IF(INDEX(MASTER_DATABASE!$A$4:$A$1000,ROW()-3)="","",INDEX(MASTER_DATABASE!$A$4:$A$1000,ROW()-3)&amp;"")</f>
        <v>PRT-025</v>
      </c>
      <c r="B205" s="7" t="str">
        <f aca="false">IF(INDEX(MASTER_DATABASE!$A$4:$A$1000,ROW()-3)="","",INDEX(MASTER_DATABASE!$E$4:$E$1000,ROW()-3)&amp;"")</f>
        <v>Official Document Formatting</v>
      </c>
      <c r="C205" s="7" t="str">
        <f aca="false">IF(INDEX(MASTER_DATABASE!$A$4:$A$1000,ROW()-3)="","",INDEX(MASTER_DATABASE!$F$4:$F$1000,ROW()-3)&amp;"")</f>
        <v>ऑफिशियल दस्तावेज़ फॉर्मेटिंग</v>
      </c>
      <c r="D205" s="7" t="str">
        <f aca="false">IF(INDEX(MASTER_DATABASE!$A$4:$A$1000,ROW()-3)="","",INDEX(MASTER_DATABASE!$AL$4:$AL$1000,ROW()-3)&amp;"")</f>
        <v>Printing / Xerox / Scanning</v>
      </c>
      <c r="E205" s="7" t="str">
        <f aca="false">IF(INDEX(MASTER_DATABASE!$A$4:$A$1000,ROW()-3)="","",INDEX(MASTER_DATABASE!$G$4:$G$1000,ROW()-3)&amp;"")</f>
        <v>Official Document Formatting at our printing and document desk.</v>
      </c>
      <c r="F205" s="11" t="str">
        <f aca="false">IF(INDEX(MASTER_DATABASE!$A$4:$A$1000,ROW()-3)="","",INDEX(MASTER_DATABASE!$AP$4:$AP$1000,ROW()-3)&amp;"")</f>
        <v>🖨️</v>
      </c>
      <c r="G20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5" s="7" t="str">
        <f aca="false">IF(INDEX(MASTER_DATABASE!$A$4:$A$1000,ROW()-3)="","",INDEX(MASTER_DATABASE!$J$4:$J$1000,ROW()-3)&amp;"")</f>
        <v>Available</v>
      </c>
      <c r="K205" s="7" t="str">
        <f aca="false">IF(INDEX(MASTER_DATABASE!$A$4:$A$1000,ROW()-3)="","",INDEX(MASTER_DATABASE!$M$4:$M$1000,ROW()-3)&amp;"")</f>
        <v>✓ Details / Matter for Typing</v>
      </c>
      <c r="L205" s="7" t="str">
        <f aca="false">IF(INDEX(MASTER_DATABASE!$A$4:$A$1000,ROW()-3)="","",INDEX(MASTER_DATABASE!$Q$4:$Q$1000,ROW()-3)&amp;"")</f>
        <v>15–30 Minutes</v>
      </c>
      <c r="M205" s="11" t="str">
        <f aca="false">IF(INDEX(MASTER_DATABASE!$A$4:$A$1000,ROW()-3)="","",INDEX(MASTER_DATABASE!$AI$4:$AI$1000,ROW()-3)&amp;"")</f>
        <v>No</v>
      </c>
      <c r="N205" s="11" t="str">
        <f aca="false">IF(INDEX(MASTER_DATABASE!$A$4:$A$1000,ROW()-3)="","",INDEX(MASTER_DATABASE!$AJ$4:$AJ$1000,ROW()-3)&amp;"")</f>
        <v>No</v>
      </c>
      <c r="O205" s="11" t="str">
        <f aca="false">IF(INDEX(MASTER_DATABASE!$A$4:$A$1000,ROW()-3)="","",IF(INDEX(MASTER_DATABASE!$BE$4:$BE$1000,ROW()-3)="LIVE","Yes","No"))</f>
        <v>Yes</v>
      </c>
      <c r="P205" s="7" t="str">
        <f aca="false">IF(INDEX(MASTER_DATABASE!$A$4:$A$1000,ROW()-3)="","",INDEX(MASTER_DATABASE!$BG$4:$BG$1000,ROW()-3)&amp;"")</f>
        <v>Visit Shop</v>
      </c>
      <c r="Q205" s="11" t="n">
        <f aca="false">IF(INDEX(MASTER_DATABASE!$A$4:$A$1000,ROW()-3)="","",INDEX(MASTER_DATABASE!$AQ$4:$AQ$1000,ROW()-3))</f>
        <v>250</v>
      </c>
    </row>
    <row r="206" customFormat="false" ht="23.85" hidden="false" customHeight="false" outlineLevel="0" collapsed="false">
      <c r="A206" s="11" t="str">
        <f aca="false">IF(INDEX(MASTER_DATABASE!$A$4:$A$1000,ROW()-3)="","",INDEX(MASTER_DATABASE!$A$4:$A$1000,ROW()-3)&amp;"")</f>
        <v>PHO-001</v>
      </c>
      <c r="B206" s="7" t="str">
        <f aca="false">IF(INDEX(MASTER_DATABASE!$A$4:$A$1000,ROW()-3)="","",INDEX(MASTER_DATABASE!$E$4:$E$1000,ROW()-3)&amp;"")</f>
        <v>Passport Photo</v>
      </c>
      <c r="C206" s="7" t="str">
        <f aca="false">IF(INDEX(MASTER_DATABASE!$A$4:$A$1000,ROW()-3)="","",INDEX(MASTER_DATABASE!$F$4:$F$1000,ROW()-3)&amp;"")</f>
        <v>पासपोर्ट फोटो</v>
      </c>
      <c r="D206" s="7" t="str">
        <f aca="false">IF(INDEX(MASTER_DATABASE!$A$4:$A$1000,ROW()-3)="","",INDEX(MASTER_DATABASE!$AL$4:$AL$1000,ROW()-3)&amp;"")</f>
        <v>Photo / Photoshop / Design</v>
      </c>
      <c r="E206" s="7" t="str">
        <f aca="false">IF(INDEX(MASTER_DATABASE!$A$4:$A$1000,ROW()-3)="","",INDEX(MASTER_DATABASE!$G$4:$G$1000,ROW()-3)&amp;"")</f>
        <v>Passport Photo at our photo and design desk.</v>
      </c>
      <c r="F206" s="11" t="str">
        <f aca="false">IF(INDEX(MASTER_DATABASE!$A$4:$A$1000,ROW()-3)="","",INDEX(MASTER_DATABASE!$AP$4:$AP$1000,ROW()-3)&amp;"")</f>
        <v>🧑</v>
      </c>
      <c r="G20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6" s="7" t="str">
        <f aca="false">IF(INDEX(MASTER_DATABASE!$A$4:$A$1000,ROW()-3)="","",INDEX(MASTER_DATABASE!$J$4:$J$1000,ROW()-3)&amp;"")</f>
        <v>Available</v>
      </c>
      <c r="K206" s="7" t="str">
        <f aca="false">IF(INDEX(MASTER_DATABASE!$A$4:$A$1000,ROW()-3)="","",INDEX(MASTER_DATABASE!$M$4:$M$1000,ROW()-3)&amp;"")</f>
        <v/>
      </c>
      <c r="L206" s="7" t="str">
        <f aca="false">IF(INDEX(MASTER_DATABASE!$A$4:$A$1000,ROW()-3)="","",INDEX(MASTER_DATABASE!$Q$4:$Q$1000,ROW()-3)&amp;"")</f>
        <v>5–10 Minutes</v>
      </c>
      <c r="M206" s="11" t="str">
        <f aca="false">IF(INDEX(MASTER_DATABASE!$A$4:$A$1000,ROW()-3)="","",INDEX(MASTER_DATABASE!$AI$4:$AI$1000,ROW()-3)&amp;"")</f>
        <v>No</v>
      </c>
      <c r="N206" s="11" t="str">
        <f aca="false">IF(INDEX(MASTER_DATABASE!$A$4:$A$1000,ROW()-3)="","",INDEX(MASTER_DATABASE!$AJ$4:$AJ$1000,ROW()-3)&amp;"")</f>
        <v>No</v>
      </c>
      <c r="O206" s="11" t="str">
        <f aca="false">IF(INDEX(MASTER_DATABASE!$A$4:$A$1000,ROW()-3)="","",IF(INDEX(MASTER_DATABASE!$BE$4:$BE$1000,ROW()-3)="LIVE","Yes","No"))</f>
        <v>Yes</v>
      </c>
      <c r="P206" s="7" t="str">
        <f aca="false">IF(INDEX(MASTER_DATABASE!$A$4:$A$1000,ROW()-3)="","",INDEX(MASTER_DATABASE!$BG$4:$BG$1000,ROW()-3)&amp;"")</f>
        <v>Visit Shop</v>
      </c>
      <c r="Q206" s="11" t="n">
        <f aca="false">IF(INDEX(MASTER_DATABASE!$A$4:$A$1000,ROW()-3)="","",INDEX(MASTER_DATABASE!$AQ$4:$AQ$1000,ROW()-3))</f>
        <v>10</v>
      </c>
    </row>
    <row r="207" customFormat="false" ht="15" hidden="false" customHeight="false" outlineLevel="0" collapsed="false">
      <c r="A207" s="11" t="str">
        <f aca="false">IF(INDEX(MASTER_DATABASE!$A$4:$A$1000,ROW()-3)="","",INDEX(MASTER_DATABASE!$A$4:$A$1000,ROW()-3)&amp;"")</f>
        <v>PHO-002</v>
      </c>
      <c r="B207" s="7" t="str">
        <f aca="false">IF(INDEX(MASTER_DATABASE!$A$4:$A$1000,ROW()-3)="","",INDEX(MASTER_DATABASE!$E$4:$E$1000,ROW()-3)&amp;"")</f>
        <v>Visa Photo</v>
      </c>
      <c r="C207" s="7" t="str">
        <f aca="false">IF(INDEX(MASTER_DATABASE!$A$4:$A$1000,ROW()-3)="","",INDEX(MASTER_DATABASE!$F$4:$F$1000,ROW()-3)&amp;"")</f>
        <v>वीज़ा फोटो</v>
      </c>
      <c r="D207" s="7" t="str">
        <f aca="false">IF(INDEX(MASTER_DATABASE!$A$4:$A$1000,ROW()-3)="","",INDEX(MASTER_DATABASE!$AL$4:$AL$1000,ROW()-3)&amp;"")</f>
        <v>Photo / Photoshop / Design</v>
      </c>
      <c r="E207" s="7" t="str">
        <f aca="false">IF(INDEX(MASTER_DATABASE!$A$4:$A$1000,ROW()-3)="","",INDEX(MASTER_DATABASE!$G$4:$G$1000,ROW()-3)&amp;"")</f>
        <v>Visa Photo at our photo and design desk.</v>
      </c>
      <c r="F207" s="11" t="str">
        <f aca="false">IF(INDEX(MASTER_DATABASE!$A$4:$A$1000,ROW()-3)="","",INDEX(MASTER_DATABASE!$AP$4:$AP$1000,ROW()-3)&amp;"")</f>
        <v>🧑</v>
      </c>
      <c r="G20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7" s="7" t="str">
        <f aca="false">IF(INDEX(MASTER_DATABASE!$A$4:$A$1000,ROW()-3)="","",INDEX(MASTER_DATABASE!$J$4:$J$1000,ROW()-3)&amp;"")</f>
        <v>Available</v>
      </c>
      <c r="K207" s="7" t="str">
        <f aca="false">IF(INDEX(MASTER_DATABASE!$A$4:$A$1000,ROW()-3)="","",INDEX(MASTER_DATABASE!$M$4:$M$1000,ROW()-3)&amp;"")</f>
        <v/>
      </c>
      <c r="L207" s="7" t="str">
        <f aca="false">IF(INDEX(MASTER_DATABASE!$A$4:$A$1000,ROW()-3)="","",INDEX(MASTER_DATABASE!$Q$4:$Q$1000,ROW()-3)&amp;"")</f>
        <v>5–10 Minutes</v>
      </c>
      <c r="M207" s="11" t="str">
        <f aca="false">IF(INDEX(MASTER_DATABASE!$A$4:$A$1000,ROW()-3)="","",INDEX(MASTER_DATABASE!$AI$4:$AI$1000,ROW()-3)&amp;"")</f>
        <v>No</v>
      </c>
      <c r="N207" s="11" t="str">
        <f aca="false">IF(INDEX(MASTER_DATABASE!$A$4:$A$1000,ROW()-3)="","",INDEX(MASTER_DATABASE!$AJ$4:$AJ$1000,ROW()-3)&amp;"")</f>
        <v>No</v>
      </c>
      <c r="O207" s="11" t="str">
        <f aca="false">IF(INDEX(MASTER_DATABASE!$A$4:$A$1000,ROW()-3)="","",IF(INDEX(MASTER_DATABASE!$BE$4:$BE$1000,ROW()-3)="LIVE","Yes","No"))</f>
        <v>Yes</v>
      </c>
      <c r="P207" s="7" t="str">
        <f aca="false">IF(INDEX(MASTER_DATABASE!$A$4:$A$1000,ROW()-3)="","",INDEX(MASTER_DATABASE!$BG$4:$BG$1000,ROW()-3)&amp;"")</f>
        <v>Visit Shop</v>
      </c>
      <c r="Q207" s="11" t="n">
        <f aca="false">IF(INDEX(MASTER_DATABASE!$A$4:$A$1000,ROW()-3)="","",INDEX(MASTER_DATABASE!$AQ$4:$AQ$1000,ROW()-3))</f>
        <v>20</v>
      </c>
    </row>
    <row r="208" customFormat="false" ht="23.85" hidden="false" customHeight="false" outlineLevel="0" collapsed="false">
      <c r="A208" s="11" t="str">
        <f aca="false">IF(INDEX(MASTER_DATABASE!$A$4:$A$1000,ROW()-3)="","",INDEX(MASTER_DATABASE!$A$4:$A$1000,ROW()-3)&amp;"")</f>
        <v>PHO-003</v>
      </c>
      <c r="B208" s="7" t="str">
        <f aca="false">IF(INDEX(MASTER_DATABASE!$A$4:$A$1000,ROW()-3)="","",INDEX(MASTER_DATABASE!$E$4:$E$1000,ROW()-3)&amp;"")</f>
        <v>ID Card Photo</v>
      </c>
      <c r="C208" s="7" t="str">
        <f aca="false">IF(INDEX(MASTER_DATABASE!$A$4:$A$1000,ROW()-3)="","",INDEX(MASTER_DATABASE!$F$4:$F$1000,ROW()-3)&amp;"")</f>
        <v>आईडी कार्ड फोटो</v>
      </c>
      <c r="D208" s="7" t="str">
        <f aca="false">IF(INDEX(MASTER_DATABASE!$A$4:$A$1000,ROW()-3)="","",INDEX(MASTER_DATABASE!$AL$4:$AL$1000,ROW()-3)&amp;"")</f>
        <v>Photo / Photoshop / Design</v>
      </c>
      <c r="E208" s="7" t="str">
        <f aca="false">IF(INDEX(MASTER_DATABASE!$A$4:$A$1000,ROW()-3)="","",INDEX(MASTER_DATABASE!$G$4:$G$1000,ROW()-3)&amp;"")</f>
        <v>ID Card Photo at our photo and design desk.</v>
      </c>
      <c r="F208" s="11" t="str">
        <f aca="false">IF(INDEX(MASTER_DATABASE!$A$4:$A$1000,ROW()-3)="","",INDEX(MASTER_DATABASE!$AP$4:$AP$1000,ROW()-3)&amp;"")</f>
        <v>🧑</v>
      </c>
      <c r="G20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8" s="7" t="str">
        <f aca="false">IF(INDEX(MASTER_DATABASE!$A$4:$A$1000,ROW()-3)="","",INDEX(MASTER_DATABASE!$J$4:$J$1000,ROW()-3)&amp;"")</f>
        <v>Available</v>
      </c>
      <c r="K208" s="7" t="str">
        <f aca="false">IF(INDEX(MASTER_DATABASE!$A$4:$A$1000,ROW()-3)="","",INDEX(MASTER_DATABASE!$M$4:$M$1000,ROW()-3)&amp;"")</f>
        <v/>
      </c>
      <c r="L208" s="7" t="str">
        <f aca="false">IF(INDEX(MASTER_DATABASE!$A$4:$A$1000,ROW()-3)="","",INDEX(MASTER_DATABASE!$Q$4:$Q$1000,ROW()-3)&amp;"")</f>
        <v>5–10 Minutes</v>
      </c>
      <c r="M208" s="11" t="str">
        <f aca="false">IF(INDEX(MASTER_DATABASE!$A$4:$A$1000,ROW()-3)="","",INDEX(MASTER_DATABASE!$AI$4:$AI$1000,ROW()-3)&amp;"")</f>
        <v>No</v>
      </c>
      <c r="N208" s="11" t="str">
        <f aca="false">IF(INDEX(MASTER_DATABASE!$A$4:$A$1000,ROW()-3)="","",INDEX(MASTER_DATABASE!$AJ$4:$AJ$1000,ROW()-3)&amp;"")</f>
        <v>No</v>
      </c>
      <c r="O208" s="11" t="str">
        <f aca="false">IF(INDEX(MASTER_DATABASE!$A$4:$A$1000,ROW()-3)="","",IF(INDEX(MASTER_DATABASE!$BE$4:$BE$1000,ROW()-3)="LIVE","Yes","No"))</f>
        <v>Yes</v>
      </c>
      <c r="P208" s="7" t="str">
        <f aca="false">IF(INDEX(MASTER_DATABASE!$A$4:$A$1000,ROW()-3)="","",INDEX(MASTER_DATABASE!$BG$4:$BG$1000,ROW()-3)&amp;"")</f>
        <v>Visit Shop</v>
      </c>
      <c r="Q208" s="11" t="n">
        <f aca="false">IF(INDEX(MASTER_DATABASE!$A$4:$A$1000,ROW()-3)="","",INDEX(MASTER_DATABASE!$AQ$4:$AQ$1000,ROW()-3))</f>
        <v>30</v>
      </c>
    </row>
    <row r="209" customFormat="false" ht="15" hidden="false" customHeight="false" outlineLevel="0" collapsed="false">
      <c r="A209" s="11" t="str">
        <f aca="false">IF(INDEX(MASTER_DATABASE!$A$4:$A$1000,ROW()-3)="","",INDEX(MASTER_DATABASE!$A$4:$A$1000,ROW()-3)&amp;"")</f>
        <v>PHO-004</v>
      </c>
      <c r="B209" s="7" t="str">
        <f aca="false">IF(INDEX(MASTER_DATABASE!$A$4:$A$1000,ROW()-3)="","",INDEX(MASTER_DATABASE!$E$4:$E$1000,ROW()-3)&amp;"")</f>
        <v>Photo Crop</v>
      </c>
      <c r="C209" s="7" t="str">
        <f aca="false">IF(INDEX(MASTER_DATABASE!$A$4:$A$1000,ROW()-3)="","",INDEX(MASTER_DATABASE!$F$4:$F$1000,ROW()-3)&amp;"")</f>
        <v>फोटो क्रॉप</v>
      </c>
      <c r="D209" s="7" t="str">
        <f aca="false">IF(INDEX(MASTER_DATABASE!$A$4:$A$1000,ROW()-3)="","",INDEX(MASTER_DATABASE!$AL$4:$AL$1000,ROW()-3)&amp;"")</f>
        <v>Photo / Photoshop / Design</v>
      </c>
      <c r="E209" s="7" t="str">
        <f aca="false">IF(INDEX(MASTER_DATABASE!$A$4:$A$1000,ROW()-3)="","",INDEX(MASTER_DATABASE!$G$4:$G$1000,ROW()-3)&amp;"")</f>
        <v>Photo Crop at our photo and design desk.</v>
      </c>
      <c r="F209" s="11" t="str">
        <f aca="false">IF(INDEX(MASTER_DATABASE!$A$4:$A$1000,ROW()-3)="","",INDEX(MASTER_DATABASE!$AP$4:$AP$1000,ROW()-3)&amp;"")</f>
        <v>📷</v>
      </c>
      <c r="G20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0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0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09" s="7" t="str">
        <f aca="false">IF(INDEX(MASTER_DATABASE!$A$4:$A$1000,ROW()-3)="","",INDEX(MASTER_DATABASE!$J$4:$J$1000,ROW()-3)&amp;"")</f>
        <v>Available</v>
      </c>
      <c r="K209" s="7" t="str">
        <f aca="false">IF(INDEX(MASTER_DATABASE!$A$4:$A$1000,ROW()-3)="","",INDEX(MASTER_DATABASE!$M$4:$M$1000,ROW()-3)&amp;"")</f>
        <v>✓ Old Photo / Photo Files</v>
      </c>
      <c r="L209" s="7" t="str">
        <f aca="false">IF(INDEX(MASTER_DATABASE!$A$4:$A$1000,ROW()-3)="","",INDEX(MASTER_DATABASE!$Q$4:$Q$1000,ROW()-3)&amp;"")</f>
        <v>15–30 Minutes</v>
      </c>
      <c r="M209" s="11" t="str">
        <f aca="false">IF(INDEX(MASTER_DATABASE!$A$4:$A$1000,ROW()-3)="","",INDEX(MASTER_DATABASE!$AI$4:$AI$1000,ROW()-3)&amp;"")</f>
        <v>No</v>
      </c>
      <c r="N209" s="11" t="str">
        <f aca="false">IF(INDEX(MASTER_DATABASE!$A$4:$A$1000,ROW()-3)="","",INDEX(MASTER_DATABASE!$AJ$4:$AJ$1000,ROW()-3)&amp;"")</f>
        <v>No</v>
      </c>
      <c r="O209" s="11" t="str">
        <f aca="false">IF(INDEX(MASTER_DATABASE!$A$4:$A$1000,ROW()-3)="","",IF(INDEX(MASTER_DATABASE!$BE$4:$BE$1000,ROW()-3)="LIVE","Yes","No"))</f>
        <v>Yes</v>
      </c>
      <c r="P209" s="7" t="str">
        <f aca="false">IF(INDEX(MASTER_DATABASE!$A$4:$A$1000,ROW()-3)="","",INDEX(MASTER_DATABASE!$BG$4:$BG$1000,ROW()-3)&amp;"")</f>
        <v>Visit Shop</v>
      </c>
      <c r="Q209" s="11" t="n">
        <f aca="false">IF(INDEX(MASTER_DATABASE!$A$4:$A$1000,ROW()-3)="","",INDEX(MASTER_DATABASE!$AQ$4:$AQ$1000,ROW()-3))</f>
        <v>40</v>
      </c>
    </row>
    <row r="210" customFormat="false" ht="23.85" hidden="false" customHeight="false" outlineLevel="0" collapsed="false">
      <c r="A210" s="11" t="str">
        <f aca="false">IF(INDEX(MASTER_DATABASE!$A$4:$A$1000,ROW()-3)="","",INDEX(MASTER_DATABASE!$A$4:$A$1000,ROW()-3)&amp;"")</f>
        <v>PHO-005</v>
      </c>
      <c r="B210" s="7" t="str">
        <f aca="false">IF(INDEX(MASTER_DATABASE!$A$4:$A$1000,ROW()-3)="","",INDEX(MASTER_DATABASE!$E$4:$E$1000,ROW()-3)&amp;"")</f>
        <v>Photo Resize</v>
      </c>
      <c r="C210" s="7" t="str">
        <f aca="false">IF(INDEX(MASTER_DATABASE!$A$4:$A$1000,ROW()-3)="","",INDEX(MASTER_DATABASE!$F$4:$F$1000,ROW()-3)&amp;"")</f>
        <v>फोटो रीसाइज़</v>
      </c>
      <c r="D210" s="7" t="str">
        <f aca="false">IF(INDEX(MASTER_DATABASE!$A$4:$A$1000,ROW()-3)="","",INDEX(MASTER_DATABASE!$AL$4:$AL$1000,ROW()-3)&amp;"")</f>
        <v>Photo / Photoshop / Design</v>
      </c>
      <c r="E210" s="7" t="str">
        <f aca="false">IF(INDEX(MASTER_DATABASE!$A$4:$A$1000,ROW()-3)="","",INDEX(MASTER_DATABASE!$G$4:$G$1000,ROW()-3)&amp;"")</f>
        <v>Photo Resize at our photo and design desk.</v>
      </c>
      <c r="F210" s="11" t="str">
        <f aca="false">IF(INDEX(MASTER_DATABASE!$A$4:$A$1000,ROW()-3)="","",INDEX(MASTER_DATABASE!$AP$4:$AP$1000,ROW()-3)&amp;"")</f>
        <v>📷</v>
      </c>
      <c r="G21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0" s="7" t="str">
        <f aca="false">IF(INDEX(MASTER_DATABASE!$A$4:$A$1000,ROW()-3)="","",INDEX(MASTER_DATABASE!$J$4:$J$1000,ROW()-3)&amp;"")</f>
        <v>Available</v>
      </c>
      <c r="K210" s="7" t="str">
        <f aca="false">IF(INDEX(MASTER_DATABASE!$A$4:$A$1000,ROW()-3)="","",INDEX(MASTER_DATABASE!$M$4:$M$1000,ROW()-3)&amp;"")</f>
        <v>✓ Old Photo / Photo Files</v>
      </c>
      <c r="L210" s="7" t="str">
        <f aca="false">IF(INDEX(MASTER_DATABASE!$A$4:$A$1000,ROW()-3)="","",INDEX(MASTER_DATABASE!$Q$4:$Q$1000,ROW()-3)&amp;"")</f>
        <v>15–30 Minutes</v>
      </c>
      <c r="M210" s="11" t="str">
        <f aca="false">IF(INDEX(MASTER_DATABASE!$A$4:$A$1000,ROW()-3)="","",INDEX(MASTER_DATABASE!$AI$4:$AI$1000,ROW()-3)&amp;"")</f>
        <v>No</v>
      </c>
      <c r="N210" s="11" t="str">
        <f aca="false">IF(INDEX(MASTER_DATABASE!$A$4:$A$1000,ROW()-3)="","",INDEX(MASTER_DATABASE!$AJ$4:$AJ$1000,ROW()-3)&amp;"")</f>
        <v>No</v>
      </c>
      <c r="O210" s="11" t="str">
        <f aca="false">IF(INDEX(MASTER_DATABASE!$A$4:$A$1000,ROW()-3)="","",IF(INDEX(MASTER_DATABASE!$BE$4:$BE$1000,ROW()-3)="LIVE","Yes","No"))</f>
        <v>Yes</v>
      </c>
      <c r="P210" s="7" t="str">
        <f aca="false">IF(INDEX(MASTER_DATABASE!$A$4:$A$1000,ROW()-3)="","",INDEX(MASTER_DATABASE!$BG$4:$BG$1000,ROW()-3)&amp;"")</f>
        <v>Visit Shop</v>
      </c>
      <c r="Q210" s="11" t="n">
        <f aca="false">IF(INDEX(MASTER_DATABASE!$A$4:$A$1000,ROW()-3)="","",INDEX(MASTER_DATABASE!$AQ$4:$AQ$1000,ROW()-3))</f>
        <v>50</v>
      </c>
    </row>
    <row r="211" customFormat="false" ht="23.85" hidden="false" customHeight="false" outlineLevel="0" collapsed="false">
      <c r="A211" s="11" t="str">
        <f aca="false">IF(INDEX(MASTER_DATABASE!$A$4:$A$1000,ROW()-3)="","",INDEX(MASTER_DATABASE!$A$4:$A$1000,ROW()-3)&amp;"")</f>
        <v>PHO-006</v>
      </c>
      <c r="B211" s="7" t="str">
        <f aca="false">IF(INDEX(MASTER_DATABASE!$A$4:$A$1000,ROW()-3)="","",INDEX(MASTER_DATABASE!$E$4:$E$1000,ROW()-3)&amp;"")</f>
        <v>Signature Resize</v>
      </c>
      <c r="C211" s="7" t="str">
        <f aca="false">IF(INDEX(MASTER_DATABASE!$A$4:$A$1000,ROW()-3)="","",INDEX(MASTER_DATABASE!$F$4:$F$1000,ROW()-3)&amp;"")</f>
        <v>हस्ताक्षर (सिग्नेचर) रीसाइज़</v>
      </c>
      <c r="D211" s="7" t="str">
        <f aca="false">IF(INDEX(MASTER_DATABASE!$A$4:$A$1000,ROW()-3)="","",INDEX(MASTER_DATABASE!$AL$4:$AL$1000,ROW()-3)&amp;"")</f>
        <v>Photo / Photoshop / Design</v>
      </c>
      <c r="E211" s="7" t="str">
        <f aca="false">IF(INDEX(MASTER_DATABASE!$A$4:$A$1000,ROW()-3)="","",INDEX(MASTER_DATABASE!$G$4:$G$1000,ROW()-3)&amp;"")</f>
        <v>Signature Resize at our photo and design desk.</v>
      </c>
      <c r="F211" s="11" t="str">
        <f aca="false">IF(INDEX(MASTER_DATABASE!$A$4:$A$1000,ROW()-3)="","",INDEX(MASTER_DATABASE!$AP$4:$AP$1000,ROW()-3)&amp;"")</f>
        <v>📷</v>
      </c>
      <c r="G21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1" s="7" t="str">
        <f aca="false">IF(INDEX(MASTER_DATABASE!$A$4:$A$1000,ROW()-3)="","",INDEX(MASTER_DATABASE!$J$4:$J$1000,ROW()-3)&amp;"")</f>
        <v>Available</v>
      </c>
      <c r="K211" s="7" t="str">
        <f aca="false">IF(INDEX(MASTER_DATABASE!$A$4:$A$1000,ROW()-3)="","",INDEX(MASTER_DATABASE!$M$4:$M$1000,ROW()-3)&amp;"")</f>
        <v>✓ Old Photo / Photo Files</v>
      </c>
      <c r="L211" s="7" t="str">
        <f aca="false">IF(INDEX(MASTER_DATABASE!$A$4:$A$1000,ROW()-3)="","",INDEX(MASTER_DATABASE!$Q$4:$Q$1000,ROW()-3)&amp;"")</f>
        <v>15–30 Minutes</v>
      </c>
      <c r="M211" s="11" t="str">
        <f aca="false">IF(INDEX(MASTER_DATABASE!$A$4:$A$1000,ROW()-3)="","",INDEX(MASTER_DATABASE!$AI$4:$AI$1000,ROW()-3)&amp;"")</f>
        <v>No</v>
      </c>
      <c r="N211" s="11" t="str">
        <f aca="false">IF(INDEX(MASTER_DATABASE!$A$4:$A$1000,ROW()-3)="","",INDEX(MASTER_DATABASE!$AJ$4:$AJ$1000,ROW()-3)&amp;"")</f>
        <v>No</v>
      </c>
      <c r="O211" s="11" t="str">
        <f aca="false">IF(INDEX(MASTER_DATABASE!$A$4:$A$1000,ROW()-3)="","",IF(INDEX(MASTER_DATABASE!$BE$4:$BE$1000,ROW()-3)="LIVE","Yes","No"))</f>
        <v>Yes</v>
      </c>
      <c r="P211" s="7" t="str">
        <f aca="false">IF(INDEX(MASTER_DATABASE!$A$4:$A$1000,ROW()-3)="","",INDEX(MASTER_DATABASE!$BG$4:$BG$1000,ROW()-3)&amp;"")</f>
        <v>Visit Shop</v>
      </c>
      <c r="Q211" s="11" t="n">
        <f aca="false">IF(INDEX(MASTER_DATABASE!$A$4:$A$1000,ROW()-3)="","",INDEX(MASTER_DATABASE!$AQ$4:$AQ$1000,ROW()-3))</f>
        <v>60</v>
      </c>
    </row>
    <row r="212" customFormat="false" ht="23.85" hidden="false" customHeight="false" outlineLevel="0" collapsed="false">
      <c r="A212" s="11" t="str">
        <f aca="false">IF(INDEX(MASTER_DATABASE!$A$4:$A$1000,ROW()-3)="","",INDEX(MASTER_DATABASE!$A$4:$A$1000,ROW()-3)&amp;"")</f>
        <v>PHO-007</v>
      </c>
      <c r="B212" s="7" t="str">
        <f aca="false">IF(INDEX(MASTER_DATABASE!$A$4:$A$1000,ROW()-3)="","",INDEX(MASTER_DATABASE!$E$4:$E$1000,ROW()-3)&amp;"")</f>
        <v>Background Change</v>
      </c>
      <c r="C212" s="7" t="str">
        <f aca="false">IF(INDEX(MASTER_DATABASE!$A$4:$A$1000,ROW()-3)="","",INDEX(MASTER_DATABASE!$F$4:$F$1000,ROW()-3)&amp;"")</f>
        <v>बैकग्राउंड बदलना</v>
      </c>
      <c r="D212" s="7" t="str">
        <f aca="false">IF(INDEX(MASTER_DATABASE!$A$4:$A$1000,ROW()-3)="","",INDEX(MASTER_DATABASE!$AL$4:$AL$1000,ROW()-3)&amp;"")</f>
        <v>Photo / Photoshop / Design</v>
      </c>
      <c r="E212" s="7" t="str">
        <f aca="false">IF(INDEX(MASTER_DATABASE!$A$4:$A$1000,ROW()-3)="","",INDEX(MASTER_DATABASE!$G$4:$G$1000,ROW()-3)&amp;"")</f>
        <v>Background Change at our photo and design desk.</v>
      </c>
      <c r="F212" s="11" t="str">
        <f aca="false">IF(INDEX(MASTER_DATABASE!$A$4:$A$1000,ROW()-3)="","",INDEX(MASTER_DATABASE!$AP$4:$AP$1000,ROW()-3)&amp;"")</f>
        <v>📷</v>
      </c>
      <c r="G21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2" s="7" t="str">
        <f aca="false">IF(INDEX(MASTER_DATABASE!$A$4:$A$1000,ROW()-3)="","",INDEX(MASTER_DATABASE!$J$4:$J$1000,ROW()-3)&amp;"")</f>
        <v>Available</v>
      </c>
      <c r="K212" s="7" t="str">
        <f aca="false">IF(INDEX(MASTER_DATABASE!$A$4:$A$1000,ROW()-3)="","",INDEX(MASTER_DATABASE!$M$4:$M$1000,ROW()-3)&amp;"")</f>
        <v>✓ Old Photo / Photo Files</v>
      </c>
      <c r="L212" s="7" t="str">
        <f aca="false">IF(INDEX(MASTER_DATABASE!$A$4:$A$1000,ROW()-3)="","",INDEX(MASTER_DATABASE!$Q$4:$Q$1000,ROW()-3)&amp;"")</f>
        <v>15–30 Minutes</v>
      </c>
      <c r="M212" s="11" t="str">
        <f aca="false">IF(INDEX(MASTER_DATABASE!$A$4:$A$1000,ROW()-3)="","",INDEX(MASTER_DATABASE!$AI$4:$AI$1000,ROW()-3)&amp;"")</f>
        <v>No</v>
      </c>
      <c r="N212" s="11" t="str">
        <f aca="false">IF(INDEX(MASTER_DATABASE!$A$4:$A$1000,ROW()-3)="","",INDEX(MASTER_DATABASE!$AJ$4:$AJ$1000,ROW()-3)&amp;"")</f>
        <v>No</v>
      </c>
      <c r="O212" s="11" t="str">
        <f aca="false">IF(INDEX(MASTER_DATABASE!$A$4:$A$1000,ROW()-3)="","",IF(INDEX(MASTER_DATABASE!$BE$4:$BE$1000,ROW()-3)="LIVE","Yes","No"))</f>
        <v>Yes</v>
      </c>
      <c r="P212" s="7" t="str">
        <f aca="false">IF(INDEX(MASTER_DATABASE!$A$4:$A$1000,ROW()-3)="","",INDEX(MASTER_DATABASE!$BG$4:$BG$1000,ROW()-3)&amp;"")</f>
        <v>Visit Shop</v>
      </c>
      <c r="Q212" s="11" t="n">
        <f aca="false">IF(INDEX(MASTER_DATABASE!$A$4:$A$1000,ROW()-3)="","",INDEX(MASTER_DATABASE!$AQ$4:$AQ$1000,ROW()-3))</f>
        <v>70</v>
      </c>
    </row>
    <row r="213" customFormat="false" ht="23.85" hidden="false" customHeight="false" outlineLevel="0" collapsed="false">
      <c r="A213" s="11" t="str">
        <f aca="false">IF(INDEX(MASTER_DATABASE!$A$4:$A$1000,ROW()-3)="","",INDEX(MASTER_DATABASE!$A$4:$A$1000,ROW()-3)&amp;"")</f>
        <v>PHO-008</v>
      </c>
      <c r="B213" s="7" t="str">
        <f aca="false">IF(INDEX(MASTER_DATABASE!$A$4:$A$1000,ROW()-3)="","",INDEX(MASTER_DATABASE!$E$4:$E$1000,ROW()-3)&amp;"")</f>
        <v>Blue Background</v>
      </c>
      <c r="C213" s="7" t="str">
        <f aca="false">IF(INDEX(MASTER_DATABASE!$A$4:$A$1000,ROW()-3)="","",INDEX(MASTER_DATABASE!$F$4:$F$1000,ROW()-3)&amp;"")</f>
        <v>नीला बैकग्राउंड</v>
      </c>
      <c r="D213" s="7" t="str">
        <f aca="false">IF(INDEX(MASTER_DATABASE!$A$4:$A$1000,ROW()-3)="","",INDEX(MASTER_DATABASE!$AL$4:$AL$1000,ROW()-3)&amp;"")</f>
        <v>Photo / Photoshop / Design</v>
      </c>
      <c r="E213" s="7" t="str">
        <f aca="false">IF(INDEX(MASTER_DATABASE!$A$4:$A$1000,ROW()-3)="","",INDEX(MASTER_DATABASE!$G$4:$G$1000,ROW()-3)&amp;"")</f>
        <v>Blue Background at our photo and design desk.</v>
      </c>
      <c r="F213" s="11" t="str">
        <f aca="false">IF(INDEX(MASTER_DATABASE!$A$4:$A$1000,ROW()-3)="","",INDEX(MASTER_DATABASE!$AP$4:$AP$1000,ROW()-3)&amp;"")</f>
        <v>📷</v>
      </c>
      <c r="G21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3" s="7" t="str">
        <f aca="false">IF(INDEX(MASTER_DATABASE!$A$4:$A$1000,ROW()-3)="","",INDEX(MASTER_DATABASE!$J$4:$J$1000,ROW()-3)&amp;"")</f>
        <v>Available</v>
      </c>
      <c r="K213" s="7" t="str">
        <f aca="false">IF(INDEX(MASTER_DATABASE!$A$4:$A$1000,ROW()-3)="","",INDEX(MASTER_DATABASE!$M$4:$M$1000,ROW()-3)&amp;"")</f>
        <v>✓ Old Photo / Photo Files</v>
      </c>
      <c r="L213" s="7" t="str">
        <f aca="false">IF(INDEX(MASTER_DATABASE!$A$4:$A$1000,ROW()-3)="","",INDEX(MASTER_DATABASE!$Q$4:$Q$1000,ROW()-3)&amp;"")</f>
        <v>15–30 Minutes</v>
      </c>
      <c r="M213" s="11" t="str">
        <f aca="false">IF(INDEX(MASTER_DATABASE!$A$4:$A$1000,ROW()-3)="","",INDEX(MASTER_DATABASE!$AI$4:$AI$1000,ROW()-3)&amp;"")</f>
        <v>No</v>
      </c>
      <c r="N213" s="11" t="str">
        <f aca="false">IF(INDEX(MASTER_DATABASE!$A$4:$A$1000,ROW()-3)="","",INDEX(MASTER_DATABASE!$AJ$4:$AJ$1000,ROW()-3)&amp;"")</f>
        <v>No</v>
      </c>
      <c r="O213" s="11" t="str">
        <f aca="false">IF(INDEX(MASTER_DATABASE!$A$4:$A$1000,ROW()-3)="","",IF(INDEX(MASTER_DATABASE!$BE$4:$BE$1000,ROW()-3)="LIVE","Yes","No"))</f>
        <v>Yes</v>
      </c>
      <c r="P213" s="7" t="str">
        <f aca="false">IF(INDEX(MASTER_DATABASE!$A$4:$A$1000,ROW()-3)="","",INDEX(MASTER_DATABASE!$BG$4:$BG$1000,ROW()-3)&amp;"")</f>
        <v>Visit Shop</v>
      </c>
      <c r="Q213" s="11" t="n">
        <f aca="false">IF(INDEX(MASTER_DATABASE!$A$4:$A$1000,ROW()-3)="","",INDEX(MASTER_DATABASE!$AQ$4:$AQ$1000,ROW()-3))</f>
        <v>80</v>
      </c>
    </row>
    <row r="214" customFormat="false" ht="23.85" hidden="false" customHeight="false" outlineLevel="0" collapsed="false">
      <c r="A214" s="11" t="str">
        <f aca="false">IF(INDEX(MASTER_DATABASE!$A$4:$A$1000,ROW()-3)="","",INDEX(MASTER_DATABASE!$A$4:$A$1000,ROW()-3)&amp;"")</f>
        <v>PHO-009</v>
      </c>
      <c r="B214" s="7" t="str">
        <f aca="false">IF(INDEX(MASTER_DATABASE!$A$4:$A$1000,ROW()-3)="","",INDEX(MASTER_DATABASE!$E$4:$E$1000,ROW()-3)&amp;"")</f>
        <v>White Background</v>
      </c>
      <c r="C214" s="7" t="str">
        <f aca="false">IF(INDEX(MASTER_DATABASE!$A$4:$A$1000,ROW()-3)="","",INDEX(MASTER_DATABASE!$F$4:$F$1000,ROW()-3)&amp;"")</f>
        <v>सफेद बैकग्राउंड</v>
      </c>
      <c r="D214" s="7" t="str">
        <f aca="false">IF(INDEX(MASTER_DATABASE!$A$4:$A$1000,ROW()-3)="","",INDEX(MASTER_DATABASE!$AL$4:$AL$1000,ROW()-3)&amp;"")</f>
        <v>Photo / Photoshop / Design</v>
      </c>
      <c r="E214" s="7" t="str">
        <f aca="false">IF(INDEX(MASTER_DATABASE!$A$4:$A$1000,ROW()-3)="","",INDEX(MASTER_DATABASE!$G$4:$G$1000,ROW()-3)&amp;"")</f>
        <v>White Background at our photo and design desk.</v>
      </c>
      <c r="F214" s="11" t="str">
        <f aca="false">IF(INDEX(MASTER_DATABASE!$A$4:$A$1000,ROW()-3)="","",INDEX(MASTER_DATABASE!$AP$4:$AP$1000,ROW()-3)&amp;"")</f>
        <v>📷</v>
      </c>
      <c r="G21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4" s="7" t="str">
        <f aca="false">IF(INDEX(MASTER_DATABASE!$A$4:$A$1000,ROW()-3)="","",INDEX(MASTER_DATABASE!$J$4:$J$1000,ROW()-3)&amp;"")</f>
        <v>Available</v>
      </c>
      <c r="K214" s="7" t="str">
        <f aca="false">IF(INDEX(MASTER_DATABASE!$A$4:$A$1000,ROW()-3)="","",INDEX(MASTER_DATABASE!$M$4:$M$1000,ROW()-3)&amp;"")</f>
        <v>✓ Old Photo / Photo Files</v>
      </c>
      <c r="L214" s="7" t="str">
        <f aca="false">IF(INDEX(MASTER_DATABASE!$A$4:$A$1000,ROW()-3)="","",INDEX(MASTER_DATABASE!$Q$4:$Q$1000,ROW()-3)&amp;"")</f>
        <v>15–30 Minutes</v>
      </c>
      <c r="M214" s="11" t="str">
        <f aca="false">IF(INDEX(MASTER_DATABASE!$A$4:$A$1000,ROW()-3)="","",INDEX(MASTER_DATABASE!$AI$4:$AI$1000,ROW()-3)&amp;"")</f>
        <v>No</v>
      </c>
      <c r="N214" s="11" t="str">
        <f aca="false">IF(INDEX(MASTER_DATABASE!$A$4:$A$1000,ROW()-3)="","",INDEX(MASTER_DATABASE!$AJ$4:$AJ$1000,ROW()-3)&amp;"")</f>
        <v>No</v>
      </c>
      <c r="O214" s="11" t="str">
        <f aca="false">IF(INDEX(MASTER_DATABASE!$A$4:$A$1000,ROW()-3)="","",IF(INDEX(MASTER_DATABASE!$BE$4:$BE$1000,ROW()-3)="LIVE","Yes","No"))</f>
        <v>Yes</v>
      </c>
      <c r="P214" s="7" t="str">
        <f aca="false">IF(INDEX(MASTER_DATABASE!$A$4:$A$1000,ROW()-3)="","",INDEX(MASTER_DATABASE!$BG$4:$BG$1000,ROW()-3)&amp;"")</f>
        <v>Visit Shop</v>
      </c>
      <c r="Q214" s="11" t="n">
        <f aca="false">IF(INDEX(MASTER_DATABASE!$A$4:$A$1000,ROW()-3)="","",INDEX(MASTER_DATABASE!$AQ$4:$AQ$1000,ROW()-3))</f>
        <v>90</v>
      </c>
    </row>
    <row r="215" customFormat="false" ht="23.85" hidden="false" customHeight="false" outlineLevel="0" collapsed="false">
      <c r="A215" s="11" t="str">
        <f aca="false">IF(INDEX(MASTER_DATABASE!$A$4:$A$1000,ROW()-3)="","",INDEX(MASTER_DATABASE!$A$4:$A$1000,ROW()-3)&amp;"")</f>
        <v>PHO-010</v>
      </c>
      <c r="B215" s="7" t="str">
        <f aca="false">IF(INDEX(MASTER_DATABASE!$A$4:$A$1000,ROW()-3)="","",INDEX(MASTER_DATABASE!$E$4:$E$1000,ROW()-3)&amp;"")</f>
        <v>Photo Retouching</v>
      </c>
      <c r="C215" s="7" t="str">
        <f aca="false">IF(INDEX(MASTER_DATABASE!$A$4:$A$1000,ROW()-3)="","",INDEX(MASTER_DATABASE!$F$4:$F$1000,ROW()-3)&amp;"")</f>
        <v>फोटो रीटचिंग</v>
      </c>
      <c r="D215" s="7" t="str">
        <f aca="false">IF(INDEX(MASTER_DATABASE!$A$4:$A$1000,ROW()-3)="","",INDEX(MASTER_DATABASE!$AL$4:$AL$1000,ROW()-3)&amp;"")</f>
        <v>Photo / Photoshop / Design</v>
      </c>
      <c r="E215" s="7" t="str">
        <f aca="false">IF(INDEX(MASTER_DATABASE!$A$4:$A$1000,ROW()-3)="","",INDEX(MASTER_DATABASE!$G$4:$G$1000,ROW()-3)&amp;"")</f>
        <v>Photo Retouching at our photo and design desk.</v>
      </c>
      <c r="F215" s="11" t="str">
        <f aca="false">IF(INDEX(MASTER_DATABASE!$A$4:$A$1000,ROW()-3)="","",INDEX(MASTER_DATABASE!$AP$4:$AP$1000,ROW()-3)&amp;"")</f>
        <v>📷</v>
      </c>
      <c r="G21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5" s="7" t="str">
        <f aca="false">IF(INDEX(MASTER_DATABASE!$A$4:$A$1000,ROW()-3)="","",INDEX(MASTER_DATABASE!$J$4:$J$1000,ROW()-3)&amp;"")</f>
        <v>Available</v>
      </c>
      <c r="K215" s="7" t="str">
        <f aca="false">IF(INDEX(MASTER_DATABASE!$A$4:$A$1000,ROW()-3)="","",INDEX(MASTER_DATABASE!$M$4:$M$1000,ROW()-3)&amp;"")</f>
        <v>✓ Old Photo / Photo Files</v>
      </c>
      <c r="L215" s="7" t="str">
        <f aca="false">IF(INDEX(MASTER_DATABASE!$A$4:$A$1000,ROW()-3)="","",INDEX(MASTER_DATABASE!$Q$4:$Q$1000,ROW()-3)&amp;"")</f>
        <v>15–30 Minutes</v>
      </c>
      <c r="M215" s="11" t="str">
        <f aca="false">IF(INDEX(MASTER_DATABASE!$A$4:$A$1000,ROW()-3)="","",INDEX(MASTER_DATABASE!$AI$4:$AI$1000,ROW()-3)&amp;"")</f>
        <v>No</v>
      </c>
      <c r="N215" s="11" t="str">
        <f aca="false">IF(INDEX(MASTER_DATABASE!$A$4:$A$1000,ROW()-3)="","",INDEX(MASTER_DATABASE!$AJ$4:$AJ$1000,ROW()-3)&amp;"")</f>
        <v>No</v>
      </c>
      <c r="O215" s="11" t="str">
        <f aca="false">IF(INDEX(MASTER_DATABASE!$A$4:$A$1000,ROW()-3)="","",IF(INDEX(MASTER_DATABASE!$BE$4:$BE$1000,ROW()-3)="LIVE","Yes","No"))</f>
        <v>Yes</v>
      </c>
      <c r="P215" s="7" t="str">
        <f aca="false">IF(INDEX(MASTER_DATABASE!$A$4:$A$1000,ROW()-3)="","",INDEX(MASTER_DATABASE!$BG$4:$BG$1000,ROW()-3)&amp;"")</f>
        <v>Visit Shop</v>
      </c>
      <c r="Q215" s="11" t="n">
        <f aca="false">IF(INDEX(MASTER_DATABASE!$A$4:$A$1000,ROW()-3)="","",INDEX(MASTER_DATABASE!$AQ$4:$AQ$1000,ROW()-3))</f>
        <v>100</v>
      </c>
    </row>
    <row r="216" customFormat="false" ht="23.85" hidden="false" customHeight="false" outlineLevel="0" collapsed="false">
      <c r="A216" s="11" t="str">
        <f aca="false">IF(INDEX(MASTER_DATABASE!$A$4:$A$1000,ROW()-3)="","",INDEX(MASTER_DATABASE!$A$4:$A$1000,ROW()-3)&amp;"")</f>
        <v>PHO-011</v>
      </c>
      <c r="B216" s="7" t="str">
        <f aca="false">IF(INDEX(MASTER_DATABASE!$A$4:$A$1000,ROW()-3)="","",INDEX(MASTER_DATABASE!$E$4:$E$1000,ROW()-3)&amp;"")</f>
        <v>Face Cleanup</v>
      </c>
      <c r="C216" s="7" t="str">
        <f aca="false">IF(INDEX(MASTER_DATABASE!$A$4:$A$1000,ROW()-3)="","",INDEX(MASTER_DATABASE!$F$4:$F$1000,ROW()-3)&amp;"")</f>
        <v>फेस क्लीनअप</v>
      </c>
      <c r="D216" s="7" t="str">
        <f aca="false">IF(INDEX(MASTER_DATABASE!$A$4:$A$1000,ROW()-3)="","",INDEX(MASTER_DATABASE!$AL$4:$AL$1000,ROW()-3)&amp;"")</f>
        <v>Photo / Photoshop / Design</v>
      </c>
      <c r="E216" s="7" t="str">
        <f aca="false">IF(INDEX(MASTER_DATABASE!$A$4:$A$1000,ROW()-3)="","",INDEX(MASTER_DATABASE!$G$4:$G$1000,ROW()-3)&amp;"")</f>
        <v>Face Cleanup at our photo and design desk.</v>
      </c>
      <c r="F216" s="11" t="str">
        <f aca="false">IF(INDEX(MASTER_DATABASE!$A$4:$A$1000,ROW()-3)="","",INDEX(MASTER_DATABASE!$AP$4:$AP$1000,ROW()-3)&amp;"")</f>
        <v>📷</v>
      </c>
      <c r="G21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6" s="7" t="str">
        <f aca="false">IF(INDEX(MASTER_DATABASE!$A$4:$A$1000,ROW()-3)="","",INDEX(MASTER_DATABASE!$J$4:$J$1000,ROW()-3)&amp;"")</f>
        <v>Available</v>
      </c>
      <c r="K216" s="7" t="str">
        <f aca="false">IF(INDEX(MASTER_DATABASE!$A$4:$A$1000,ROW()-3)="","",INDEX(MASTER_DATABASE!$M$4:$M$1000,ROW()-3)&amp;"")</f>
        <v>✓ Old Photo / Photo Files</v>
      </c>
      <c r="L216" s="7" t="str">
        <f aca="false">IF(INDEX(MASTER_DATABASE!$A$4:$A$1000,ROW()-3)="","",INDEX(MASTER_DATABASE!$Q$4:$Q$1000,ROW()-3)&amp;"")</f>
        <v>15–30 Minutes</v>
      </c>
      <c r="M216" s="11" t="str">
        <f aca="false">IF(INDEX(MASTER_DATABASE!$A$4:$A$1000,ROW()-3)="","",INDEX(MASTER_DATABASE!$AI$4:$AI$1000,ROW()-3)&amp;"")</f>
        <v>No</v>
      </c>
      <c r="N216" s="11" t="str">
        <f aca="false">IF(INDEX(MASTER_DATABASE!$A$4:$A$1000,ROW()-3)="","",INDEX(MASTER_DATABASE!$AJ$4:$AJ$1000,ROW()-3)&amp;"")</f>
        <v>No</v>
      </c>
      <c r="O216" s="11" t="str">
        <f aca="false">IF(INDEX(MASTER_DATABASE!$A$4:$A$1000,ROW()-3)="","",IF(INDEX(MASTER_DATABASE!$BE$4:$BE$1000,ROW()-3)="LIVE","Yes","No"))</f>
        <v>Yes</v>
      </c>
      <c r="P216" s="7" t="str">
        <f aca="false">IF(INDEX(MASTER_DATABASE!$A$4:$A$1000,ROW()-3)="","",INDEX(MASTER_DATABASE!$BG$4:$BG$1000,ROW()-3)&amp;"")</f>
        <v>Visit Shop</v>
      </c>
      <c r="Q216" s="11" t="n">
        <f aca="false">IF(INDEX(MASTER_DATABASE!$A$4:$A$1000,ROW()-3)="","",INDEX(MASTER_DATABASE!$AQ$4:$AQ$1000,ROW()-3))</f>
        <v>110</v>
      </c>
    </row>
    <row r="217" customFormat="false" ht="23.85" hidden="false" customHeight="false" outlineLevel="0" collapsed="false">
      <c r="A217" s="11" t="str">
        <f aca="false">IF(INDEX(MASTER_DATABASE!$A$4:$A$1000,ROW()-3)="","",INDEX(MASTER_DATABASE!$A$4:$A$1000,ROW()-3)&amp;"")</f>
        <v>PHO-012</v>
      </c>
      <c r="B217" s="7" t="str">
        <f aca="false">IF(INDEX(MASTER_DATABASE!$A$4:$A$1000,ROW()-3)="","",INDEX(MASTER_DATABASE!$E$4:$E$1000,ROW()-3)&amp;"")</f>
        <v>Photo Enhancement</v>
      </c>
      <c r="C217" s="7" t="str">
        <f aca="false">IF(INDEX(MASTER_DATABASE!$A$4:$A$1000,ROW()-3)="","",INDEX(MASTER_DATABASE!$F$4:$F$1000,ROW()-3)&amp;"")</f>
        <v>फोटो एन्हांसमेंट</v>
      </c>
      <c r="D217" s="7" t="str">
        <f aca="false">IF(INDEX(MASTER_DATABASE!$A$4:$A$1000,ROW()-3)="","",INDEX(MASTER_DATABASE!$AL$4:$AL$1000,ROW()-3)&amp;"")</f>
        <v>Photo / Photoshop / Design</v>
      </c>
      <c r="E217" s="7" t="str">
        <f aca="false">IF(INDEX(MASTER_DATABASE!$A$4:$A$1000,ROW()-3)="","",INDEX(MASTER_DATABASE!$G$4:$G$1000,ROW()-3)&amp;"")</f>
        <v>Photo Enhancement at our photo and design desk.</v>
      </c>
      <c r="F217" s="11" t="str">
        <f aca="false">IF(INDEX(MASTER_DATABASE!$A$4:$A$1000,ROW()-3)="","",INDEX(MASTER_DATABASE!$AP$4:$AP$1000,ROW()-3)&amp;"")</f>
        <v>📷</v>
      </c>
      <c r="G21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7" s="7" t="str">
        <f aca="false">IF(INDEX(MASTER_DATABASE!$A$4:$A$1000,ROW()-3)="","",INDEX(MASTER_DATABASE!$J$4:$J$1000,ROW()-3)&amp;"")</f>
        <v>Available</v>
      </c>
      <c r="K217" s="7" t="str">
        <f aca="false">IF(INDEX(MASTER_DATABASE!$A$4:$A$1000,ROW()-3)="","",INDEX(MASTER_DATABASE!$M$4:$M$1000,ROW()-3)&amp;"")</f>
        <v>✓ Old Photo / Photo Files</v>
      </c>
      <c r="L217" s="7" t="str">
        <f aca="false">IF(INDEX(MASTER_DATABASE!$A$4:$A$1000,ROW()-3)="","",INDEX(MASTER_DATABASE!$Q$4:$Q$1000,ROW()-3)&amp;"")</f>
        <v>15–30 Minutes</v>
      </c>
      <c r="M217" s="11" t="str">
        <f aca="false">IF(INDEX(MASTER_DATABASE!$A$4:$A$1000,ROW()-3)="","",INDEX(MASTER_DATABASE!$AI$4:$AI$1000,ROW()-3)&amp;"")</f>
        <v>No</v>
      </c>
      <c r="N217" s="11" t="str">
        <f aca="false">IF(INDEX(MASTER_DATABASE!$A$4:$A$1000,ROW()-3)="","",INDEX(MASTER_DATABASE!$AJ$4:$AJ$1000,ROW()-3)&amp;"")</f>
        <v>No</v>
      </c>
      <c r="O217" s="11" t="str">
        <f aca="false">IF(INDEX(MASTER_DATABASE!$A$4:$A$1000,ROW()-3)="","",IF(INDEX(MASTER_DATABASE!$BE$4:$BE$1000,ROW()-3)="LIVE","Yes","No"))</f>
        <v>Yes</v>
      </c>
      <c r="P217" s="7" t="str">
        <f aca="false">IF(INDEX(MASTER_DATABASE!$A$4:$A$1000,ROW()-3)="","",INDEX(MASTER_DATABASE!$BG$4:$BG$1000,ROW()-3)&amp;"")</f>
        <v>Visit Shop</v>
      </c>
      <c r="Q217" s="11" t="n">
        <f aca="false">IF(INDEX(MASTER_DATABASE!$A$4:$A$1000,ROW()-3)="","",INDEX(MASTER_DATABASE!$AQ$4:$AQ$1000,ROW()-3))</f>
        <v>120</v>
      </c>
    </row>
    <row r="218" customFormat="false" ht="23.85" hidden="false" customHeight="false" outlineLevel="0" collapsed="false">
      <c r="A218" s="11" t="str">
        <f aca="false">IF(INDEX(MASTER_DATABASE!$A$4:$A$1000,ROW()-3)="","",INDEX(MASTER_DATABASE!$A$4:$A$1000,ROW()-3)&amp;"")</f>
        <v>PHO-013</v>
      </c>
      <c r="B218" s="7" t="str">
        <f aca="false">IF(INDEX(MASTER_DATABASE!$A$4:$A$1000,ROW()-3)="","",INDEX(MASTER_DATABASE!$E$4:$E$1000,ROW()-3)&amp;"")</f>
        <v>Old Photo Restoration</v>
      </c>
      <c r="C218" s="7" t="str">
        <f aca="false">IF(INDEX(MASTER_DATABASE!$A$4:$A$1000,ROW()-3)="","",INDEX(MASTER_DATABASE!$F$4:$F$1000,ROW()-3)&amp;"")</f>
        <v>पुरानी फोटो रिस्टोरेशन</v>
      </c>
      <c r="D218" s="7" t="str">
        <f aca="false">IF(INDEX(MASTER_DATABASE!$A$4:$A$1000,ROW()-3)="","",INDEX(MASTER_DATABASE!$AL$4:$AL$1000,ROW()-3)&amp;"")</f>
        <v>Photo / Photoshop / Design</v>
      </c>
      <c r="E218" s="7" t="str">
        <f aca="false">IF(INDEX(MASTER_DATABASE!$A$4:$A$1000,ROW()-3)="","",INDEX(MASTER_DATABASE!$G$4:$G$1000,ROW()-3)&amp;"")</f>
        <v>Old Photo Restoration at our photo and design desk.</v>
      </c>
      <c r="F218" s="11" t="str">
        <f aca="false">IF(INDEX(MASTER_DATABASE!$A$4:$A$1000,ROW()-3)="","",INDEX(MASTER_DATABASE!$AP$4:$AP$1000,ROW()-3)&amp;"")</f>
        <v>📷</v>
      </c>
      <c r="G21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8" s="7" t="str">
        <f aca="false">IF(INDEX(MASTER_DATABASE!$A$4:$A$1000,ROW()-3)="","",INDEX(MASTER_DATABASE!$J$4:$J$1000,ROW()-3)&amp;"")</f>
        <v>Available</v>
      </c>
      <c r="K218" s="7" t="str">
        <f aca="false">IF(INDEX(MASTER_DATABASE!$A$4:$A$1000,ROW()-3)="","",INDEX(MASTER_DATABASE!$M$4:$M$1000,ROW()-3)&amp;"")</f>
        <v>✓ Old Photo / Photo Files</v>
      </c>
      <c r="L218" s="7" t="str">
        <f aca="false">IF(INDEX(MASTER_DATABASE!$A$4:$A$1000,ROW()-3)="","",INDEX(MASTER_DATABASE!$Q$4:$Q$1000,ROW()-3)&amp;"")</f>
        <v>15–30 Minutes</v>
      </c>
      <c r="M218" s="11" t="str">
        <f aca="false">IF(INDEX(MASTER_DATABASE!$A$4:$A$1000,ROW()-3)="","",INDEX(MASTER_DATABASE!$AI$4:$AI$1000,ROW()-3)&amp;"")</f>
        <v>No</v>
      </c>
      <c r="N218" s="11" t="str">
        <f aca="false">IF(INDEX(MASTER_DATABASE!$A$4:$A$1000,ROW()-3)="","",INDEX(MASTER_DATABASE!$AJ$4:$AJ$1000,ROW()-3)&amp;"")</f>
        <v>No</v>
      </c>
      <c r="O218" s="11" t="str">
        <f aca="false">IF(INDEX(MASTER_DATABASE!$A$4:$A$1000,ROW()-3)="","",IF(INDEX(MASTER_DATABASE!$BE$4:$BE$1000,ROW()-3)="LIVE","Yes","No"))</f>
        <v>Yes</v>
      </c>
      <c r="P218" s="7" t="str">
        <f aca="false">IF(INDEX(MASTER_DATABASE!$A$4:$A$1000,ROW()-3)="","",INDEX(MASTER_DATABASE!$BG$4:$BG$1000,ROW()-3)&amp;"")</f>
        <v>Visit Shop</v>
      </c>
      <c r="Q218" s="11" t="n">
        <f aca="false">IF(INDEX(MASTER_DATABASE!$A$4:$A$1000,ROW()-3)="","",INDEX(MASTER_DATABASE!$AQ$4:$AQ$1000,ROW()-3))</f>
        <v>130</v>
      </c>
    </row>
    <row r="219" customFormat="false" ht="15" hidden="false" customHeight="false" outlineLevel="0" collapsed="false">
      <c r="A219" s="11" t="str">
        <f aca="false">IF(INDEX(MASTER_DATABASE!$A$4:$A$1000,ROW()-3)="","",INDEX(MASTER_DATABASE!$A$4:$A$1000,ROW()-3)&amp;"")</f>
        <v>PHO-014</v>
      </c>
      <c r="B219" s="7" t="str">
        <f aca="false">IF(INDEX(MASTER_DATABASE!$A$4:$A$1000,ROW()-3)="","",INDEX(MASTER_DATABASE!$E$4:$E$1000,ROW()-3)&amp;"")</f>
        <v>Photo Print</v>
      </c>
      <c r="C219" s="7" t="str">
        <f aca="false">IF(INDEX(MASTER_DATABASE!$A$4:$A$1000,ROW()-3)="","",INDEX(MASTER_DATABASE!$F$4:$F$1000,ROW()-3)&amp;"")</f>
        <v>फोटो प्रिंट</v>
      </c>
      <c r="D219" s="7" t="str">
        <f aca="false">IF(INDEX(MASTER_DATABASE!$A$4:$A$1000,ROW()-3)="","",INDEX(MASTER_DATABASE!$AL$4:$AL$1000,ROW()-3)&amp;"")</f>
        <v>Photo / Photoshop / Design</v>
      </c>
      <c r="E219" s="7" t="str">
        <f aca="false">IF(INDEX(MASTER_DATABASE!$A$4:$A$1000,ROW()-3)="","",INDEX(MASTER_DATABASE!$G$4:$G$1000,ROW()-3)&amp;"")</f>
        <v>Photo Print at our photo and design desk.</v>
      </c>
      <c r="F219" s="11" t="str">
        <f aca="false">IF(INDEX(MASTER_DATABASE!$A$4:$A$1000,ROW()-3)="","",INDEX(MASTER_DATABASE!$AP$4:$AP$1000,ROW()-3)&amp;"")</f>
        <v>📷</v>
      </c>
      <c r="G21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1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1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19" s="7" t="str">
        <f aca="false">IF(INDEX(MASTER_DATABASE!$A$4:$A$1000,ROW()-3)="","",INDEX(MASTER_DATABASE!$J$4:$J$1000,ROW()-3)&amp;"")</f>
        <v>Available</v>
      </c>
      <c r="K219" s="7" t="str">
        <f aca="false">IF(INDEX(MASTER_DATABASE!$A$4:$A$1000,ROW()-3)="","",INDEX(MASTER_DATABASE!$M$4:$M$1000,ROW()-3)&amp;"")</f>
        <v>✓ Old Photo / Photo Files</v>
      </c>
      <c r="L219" s="7" t="str">
        <f aca="false">IF(INDEX(MASTER_DATABASE!$A$4:$A$1000,ROW()-3)="","",INDEX(MASTER_DATABASE!$Q$4:$Q$1000,ROW()-3)&amp;"")</f>
        <v>15–30 Minutes</v>
      </c>
      <c r="M219" s="11" t="str">
        <f aca="false">IF(INDEX(MASTER_DATABASE!$A$4:$A$1000,ROW()-3)="","",INDEX(MASTER_DATABASE!$AI$4:$AI$1000,ROW()-3)&amp;"")</f>
        <v>No</v>
      </c>
      <c r="N219" s="11" t="str">
        <f aca="false">IF(INDEX(MASTER_DATABASE!$A$4:$A$1000,ROW()-3)="","",INDEX(MASTER_DATABASE!$AJ$4:$AJ$1000,ROW()-3)&amp;"")</f>
        <v>No</v>
      </c>
      <c r="O219" s="11" t="str">
        <f aca="false">IF(INDEX(MASTER_DATABASE!$A$4:$A$1000,ROW()-3)="","",IF(INDEX(MASTER_DATABASE!$BE$4:$BE$1000,ROW()-3)="LIVE","Yes","No"))</f>
        <v>Yes</v>
      </c>
      <c r="P219" s="7" t="str">
        <f aca="false">IF(INDEX(MASTER_DATABASE!$A$4:$A$1000,ROW()-3)="","",INDEX(MASTER_DATABASE!$BG$4:$BG$1000,ROW()-3)&amp;"")</f>
        <v>Visit Shop</v>
      </c>
      <c r="Q219" s="11" t="n">
        <f aca="false">IF(INDEX(MASTER_DATABASE!$A$4:$A$1000,ROW()-3)="","",INDEX(MASTER_DATABASE!$AQ$4:$AQ$1000,ROW()-3))</f>
        <v>140</v>
      </c>
    </row>
    <row r="220" customFormat="false" ht="23.85" hidden="false" customHeight="false" outlineLevel="0" collapsed="false">
      <c r="A220" s="11" t="str">
        <f aca="false">IF(INDEX(MASTER_DATABASE!$A$4:$A$1000,ROW()-3)="","",INDEX(MASTER_DATABASE!$A$4:$A$1000,ROW()-3)&amp;"")</f>
        <v>PHO-015</v>
      </c>
      <c r="B220" s="7" t="str">
        <f aca="false">IF(INDEX(MASTER_DATABASE!$A$4:$A$1000,ROW()-3)="","",INDEX(MASTER_DATABASE!$E$4:$E$1000,ROW()-3)&amp;"")</f>
        <v>4×6 Photo Sheet</v>
      </c>
      <c r="C220" s="7" t="str">
        <f aca="false">IF(INDEX(MASTER_DATABASE!$A$4:$A$1000,ROW()-3)="","",INDEX(MASTER_DATABASE!$F$4:$F$1000,ROW()-3)&amp;"")</f>
        <v>4×6 फोटो शीट</v>
      </c>
      <c r="D220" s="7" t="str">
        <f aca="false">IF(INDEX(MASTER_DATABASE!$A$4:$A$1000,ROW()-3)="","",INDEX(MASTER_DATABASE!$AL$4:$AL$1000,ROW()-3)&amp;"")</f>
        <v>Photo / Photoshop / Design</v>
      </c>
      <c r="E220" s="7" t="str">
        <f aca="false">IF(INDEX(MASTER_DATABASE!$A$4:$A$1000,ROW()-3)="","",INDEX(MASTER_DATABASE!$G$4:$G$1000,ROW()-3)&amp;"")</f>
        <v>4×6 Photo Sheet at our photo and design desk.</v>
      </c>
      <c r="F220" s="11" t="str">
        <f aca="false">IF(INDEX(MASTER_DATABASE!$A$4:$A$1000,ROW()-3)="","",INDEX(MASTER_DATABASE!$AP$4:$AP$1000,ROW()-3)&amp;"")</f>
        <v>📷</v>
      </c>
      <c r="G22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0" s="7" t="str">
        <f aca="false">IF(INDEX(MASTER_DATABASE!$A$4:$A$1000,ROW()-3)="","",INDEX(MASTER_DATABASE!$J$4:$J$1000,ROW()-3)&amp;"")</f>
        <v>Available</v>
      </c>
      <c r="K220" s="7" t="str">
        <f aca="false">IF(INDEX(MASTER_DATABASE!$A$4:$A$1000,ROW()-3)="","",INDEX(MASTER_DATABASE!$M$4:$M$1000,ROW()-3)&amp;"")</f>
        <v>✓ Old Photo / Photo Files</v>
      </c>
      <c r="L220" s="7" t="str">
        <f aca="false">IF(INDEX(MASTER_DATABASE!$A$4:$A$1000,ROW()-3)="","",INDEX(MASTER_DATABASE!$Q$4:$Q$1000,ROW()-3)&amp;"")</f>
        <v>15–30 Minutes</v>
      </c>
      <c r="M220" s="11" t="str">
        <f aca="false">IF(INDEX(MASTER_DATABASE!$A$4:$A$1000,ROW()-3)="","",INDEX(MASTER_DATABASE!$AI$4:$AI$1000,ROW()-3)&amp;"")</f>
        <v>No</v>
      </c>
      <c r="N220" s="11" t="str">
        <f aca="false">IF(INDEX(MASTER_DATABASE!$A$4:$A$1000,ROW()-3)="","",INDEX(MASTER_DATABASE!$AJ$4:$AJ$1000,ROW()-3)&amp;"")</f>
        <v>No</v>
      </c>
      <c r="O220" s="11" t="str">
        <f aca="false">IF(INDEX(MASTER_DATABASE!$A$4:$A$1000,ROW()-3)="","",IF(INDEX(MASTER_DATABASE!$BE$4:$BE$1000,ROW()-3)="LIVE","Yes","No"))</f>
        <v>Yes</v>
      </c>
      <c r="P220" s="7" t="str">
        <f aca="false">IF(INDEX(MASTER_DATABASE!$A$4:$A$1000,ROW()-3)="","",INDEX(MASTER_DATABASE!$BG$4:$BG$1000,ROW()-3)&amp;"")</f>
        <v>Visit Shop</v>
      </c>
      <c r="Q220" s="11" t="n">
        <f aca="false">IF(INDEX(MASTER_DATABASE!$A$4:$A$1000,ROW()-3)="","",INDEX(MASTER_DATABASE!$AQ$4:$AQ$1000,ROW()-3))</f>
        <v>150</v>
      </c>
    </row>
    <row r="221" customFormat="false" ht="23.85" hidden="false" customHeight="false" outlineLevel="0" collapsed="false">
      <c r="A221" s="11" t="str">
        <f aca="false">IF(INDEX(MASTER_DATABASE!$A$4:$A$1000,ROW()-3)="","",INDEX(MASTER_DATABASE!$A$4:$A$1000,ROW()-3)&amp;"")</f>
        <v>PHO-016</v>
      </c>
      <c r="B221" s="7" t="str">
        <f aca="false">IF(INDEX(MASTER_DATABASE!$A$4:$A$1000,ROW()-3)="","",INDEX(MASTER_DATABASE!$E$4:$E$1000,ROW()-3)&amp;"")</f>
        <v>Multiple Photo Layout</v>
      </c>
      <c r="C221" s="7" t="str">
        <f aca="false">IF(INDEX(MASTER_DATABASE!$A$4:$A$1000,ROW()-3)="","",INDEX(MASTER_DATABASE!$F$4:$F$1000,ROW()-3)&amp;"")</f>
        <v>मल्टीपल फोटो लेआउट</v>
      </c>
      <c r="D221" s="7" t="str">
        <f aca="false">IF(INDEX(MASTER_DATABASE!$A$4:$A$1000,ROW()-3)="","",INDEX(MASTER_DATABASE!$AL$4:$AL$1000,ROW()-3)&amp;"")</f>
        <v>Photo / Photoshop / Design</v>
      </c>
      <c r="E221" s="7" t="str">
        <f aca="false">IF(INDEX(MASTER_DATABASE!$A$4:$A$1000,ROW()-3)="","",INDEX(MASTER_DATABASE!$G$4:$G$1000,ROW()-3)&amp;"")</f>
        <v>Multiple Photo Layout at our photo and design desk.</v>
      </c>
      <c r="F221" s="11" t="str">
        <f aca="false">IF(INDEX(MASTER_DATABASE!$A$4:$A$1000,ROW()-3)="","",INDEX(MASTER_DATABASE!$AP$4:$AP$1000,ROW()-3)&amp;"")</f>
        <v>📷</v>
      </c>
      <c r="G22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1" s="7" t="str">
        <f aca="false">IF(INDEX(MASTER_DATABASE!$A$4:$A$1000,ROW()-3)="","",INDEX(MASTER_DATABASE!$J$4:$J$1000,ROW()-3)&amp;"")</f>
        <v>Available</v>
      </c>
      <c r="K221" s="7" t="str">
        <f aca="false">IF(INDEX(MASTER_DATABASE!$A$4:$A$1000,ROW()-3)="","",INDEX(MASTER_DATABASE!$M$4:$M$1000,ROW()-3)&amp;"")</f>
        <v>✓ Old Photo / Photo Files</v>
      </c>
      <c r="L221" s="7" t="str">
        <f aca="false">IF(INDEX(MASTER_DATABASE!$A$4:$A$1000,ROW()-3)="","",INDEX(MASTER_DATABASE!$Q$4:$Q$1000,ROW()-3)&amp;"")</f>
        <v>15–30 Minutes</v>
      </c>
      <c r="M221" s="11" t="str">
        <f aca="false">IF(INDEX(MASTER_DATABASE!$A$4:$A$1000,ROW()-3)="","",INDEX(MASTER_DATABASE!$AI$4:$AI$1000,ROW()-3)&amp;"")</f>
        <v>No</v>
      </c>
      <c r="N221" s="11" t="str">
        <f aca="false">IF(INDEX(MASTER_DATABASE!$A$4:$A$1000,ROW()-3)="","",INDEX(MASTER_DATABASE!$AJ$4:$AJ$1000,ROW()-3)&amp;"")</f>
        <v>No</v>
      </c>
      <c r="O221" s="11" t="str">
        <f aca="false">IF(INDEX(MASTER_DATABASE!$A$4:$A$1000,ROW()-3)="","",IF(INDEX(MASTER_DATABASE!$BE$4:$BE$1000,ROW()-3)="LIVE","Yes","No"))</f>
        <v>Yes</v>
      </c>
      <c r="P221" s="7" t="str">
        <f aca="false">IF(INDEX(MASTER_DATABASE!$A$4:$A$1000,ROW()-3)="","",INDEX(MASTER_DATABASE!$BG$4:$BG$1000,ROW()-3)&amp;"")</f>
        <v>Visit Shop</v>
      </c>
      <c r="Q221" s="11" t="n">
        <f aca="false">IF(INDEX(MASTER_DATABASE!$A$4:$A$1000,ROW()-3)="","",INDEX(MASTER_DATABASE!$AQ$4:$AQ$1000,ROW()-3))</f>
        <v>160</v>
      </c>
    </row>
    <row r="222" customFormat="false" ht="23.85" hidden="false" customHeight="false" outlineLevel="0" collapsed="false">
      <c r="A222" s="11" t="str">
        <f aca="false">IF(INDEX(MASTER_DATABASE!$A$4:$A$1000,ROW()-3)="","",INDEX(MASTER_DATABASE!$A$4:$A$1000,ROW()-3)&amp;"")</f>
        <v>PHO-017</v>
      </c>
      <c r="B222" s="7" t="str">
        <f aca="false">IF(INDEX(MASTER_DATABASE!$A$4:$A$1000,ROW()-3)="","",INDEX(MASTER_DATABASE!$E$4:$E$1000,ROW()-3)&amp;"")</f>
        <v>Visiting Card Design</v>
      </c>
      <c r="C222" s="7" t="str">
        <f aca="false">IF(INDEX(MASTER_DATABASE!$A$4:$A$1000,ROW()-3)="","",INDEX(MASTER_DATABASE!$F$4:$F$1000,ROW()-3)&amp;"")</f>
        <v>विजिटिंग कार्ड डिज़ाइन</v>
      </c>
      <c r="D222" s="7" t="str">
        <f aca="false">IF(INDEX(MASTER_DATABASE!$A$4:$A$1000,ROW()-3)="","",INDEX(MASTER_DATABASE!$AL$4:$AL$1000,ROW()-3)&amp;"")</f>
        <v>Photo / Photoshop / Design</v>
      </c>
      <c r="E222" s="7" t="str">
        <f aca="false">IF(INDEX(MASTER_DATABASE!$A$4:$A$1000,ROW()-3)="","",INDEX(MASTER_DATABASE!$G$4:$G$1000,ROW()-3)&amp;"")</f>
        <v>Visiting Card Design at our photo and design desk.</v>
      </c>
      <c r="F222" s="11" t="str">
        <f aca="false">IF(INDEX(MASTER_DATABASE!$A$4:$A$1000,ROW()-3)="","",INDEX(MASTER_DATABASE!$AP$4:$AP$1000,ROW()-3)&amp;"")</f>
        <v>🎨</v>
      </c>
      <c r="G22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2" s="7" t="str">
        <f aca="false">IF(INDEX(MASTER_DATABASE!$A$4:$A$1000,ROW()-3)="","",INDEX(MASTER_DATABASE!$J$4:$J$1000,ROW()-3)&amp;"")</f>
        <v>Available</v>
      </c>
      <c r="K222" s="7" t="str">
        <f aca="false">IF(INDEX(MASTER_DATABASE!$A$4:$A$1000,ROW()-3)="","",INDEX(MASTER_DATABASE!$M$4:$M$1000,ROW()-3)&amp;"")</f>
        <v>✓ Design Content / Text</v>
      </c>
      <c r="L222" s="7" t="str">
        <f aca="false">IF(INDEX(MASTER_DATABASE!$A$4:$A$1000,ROW()-3)="","",INDEX(MASTER_DATABASE!$Q$4:$Q$1000,ROW()-3)&amp;"")</f>
        <v>Same Day</v>
      </c>
      <c r="M222" s="11" t="str">
        <f aca="false">IF(INDEX(MASTER_DATABASE!$A$4:$A$1000,ROW()-3)="","",INDEX(MASTER_DATABASE!$AI$4:$AI$1000,ROW()-3)&amp;"")</f>
        <v>No</v>
      </c>
      <c r="N222" s="11" t="str">
        <f aca="false">IF(INDEX(MASTER_DATABASE!$A$4:$A$1000,ROW()-3)="","",INDEX(MASTER_DATABASE!$AJ$4:$AJ$1000,ROW()-3)&amp;"")</f>
        <v>No</v>
      </c>
      <c r="O222" s="11" t="str">
        <f aca="false">IF(INDEX(MASTER_DATABASE!$A$4:$A$1000,ROW()-3)="","",IF(INDEX(MASTER_DATABASE!$BE$4:$BE$1000,ROW()-3)="LIVE","Yes","No"))</f>
        <v>Yes</v>
      </c>
      <c r="P222" s="7" t="str">
        <f aca="false">IF(INDEX(MASTER_DATABASE!$A$4:$A$1000,ROW()-3)="","",INDEX(MASTER_DATABASE!$BG$4:$BG$1000,ROW()-3)&amp;"")</f>
        <v>Get Quote</v>
      </c>
      <c r="Q222" s="11" t="n">
        <f aca="false">IF(INDEX(MASTER_DATABASE!$A$4:$A$1000,ROW()-3)="","",INDEX(MASTER_DATABASE!$AQ$4:$AQ$1000,ROW()-3))</f>
        <v>170</v>
      </c>
    </row>
    <row r="223" customFormat="false" ht="23.85" hidden="false" customHeight="false" outlineLevel="0" collapsed="false">
      <c r="A223" s="11" t="str">
        <f aca="false">IF(INDEX(MASTER_DATABASE!$A$4:$A$1000,ROW()-3)="","",INDEX(MASTER_DATABASE!$A$4:$A$1000,ROW()-3)&amp;"")</f>
        <v>PHO-018</v>
      </c>
      <c r="B223" s="7" t="str">
        <f aca="false">IF(INDEX(MASTER_DATABASE!$A$4:$A$1000,ROW()-3)="","",INDEX(MASTER_DATABASE!$E$4:$E$1000,ROW()-3)&amp;"")</f>
        <v>ID Card Design</v>
      </c>
      <c r="C223" s="7" t="str">
        <f aca="false">IF(INDEX(MASTER_DATABASE!$A$4:$A$1000,ROW()-3)="","",INDEX(MASTER_DATABASE!$F$4:$F$1000,ROW()-3)&amp;"")</f>
        <v>आईडी कार्ड डिज़ाइन</v>
      </c>
      <c r="D223" s="7" t="str">
        <f aca="false">IF(INDEX(MASTER_DATABASE!$A$4:$A$1000,ROW()-3)="","",INDEX(MASTER_DATABASE!$AL$4:$AL$1000,ROW()-3)&amp;"")</f>
        <v>Photo / Photoshop / Design</v>
      </c>
      <c r="E223" s="7" t="str">
        <f aca="false">IF(INDEX(MASTER_DATABASE!$A$4:$A$1000,ROW()-3)="","",INDEX(MASTER_DATABASE!$G$4:$G$1000,ROW()-3)&amp;"")</f>
        <v>ID Card Design at our photo and design desk.</v>
      </c>
      <c r="F223" s="11" t="str">
        <f aca="false">IF(INDEX(MASTER_DATABASE!$A$4:$A$1000,ROW()-3)="","",INDEX(MASTER_DATABASE!$AP$4:$AP$1000,ROW()-3)&amp;"")</f>
        <v>🎨</v>
      </c>
      <c r="G22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3" s="7" t="str">
        <f aca="false">IF(INDEX(MASTER_DATABASE!$A$4:$A$1000,ROW()-3)="","",INDEX(MASTER_DATABASE!$J$4:$J$1000,ROW()-3)&amp;"")</f>
        <v>Available</v>
      </c>
      <c r="K223" s="7" t="str">
        <f aca="false">IF(INDEX(MASTER_DATABASE!$A$4:$A$1000,ROW()-3)="","",INDEX(MASTER_DATABASE!$M$4:$M$1000,ROW()-3)&amp;"")</f>
        <v>✓ Design Content / Text</v>
      </c>
      <c r="L223" s="7" t="str">
        <f aca="false">IF(INDEX(MASTER_DATABASE!$A$4:$A$1000,ROW()-3)="","",INDEX(MASTER_DATABASE!$Q$4:$Q$1000,ROW()-3)&amp;"")</f>
        <v>Same Day</v>
      </c>
      <c r="M223" s="11" t="str">
        <f aca="false">IF(INDEX(MASTER_DATABASE!$A$4:$A$1000,ROW()-3)="","",INDEX(MASTER_DATABASE!$AI$4:$AI$1000,ROW()-3)&amp;"")</f>
        <v>No</v>
      </c>
      <c r="N223" s="11" t="str">
        <f aca="false">IF(INDEX(MASTER_DATABASE!$A$4:$A$1000,ROW()-3)="","",INDEX(MASTER_DATABASE!$AJ$4:$AJ$1000,ROW()-3)&amp;"")</f>
        <v>No</v>
      </c>
      <c r="O223" s="11" t="str">
        <f aca="false">IF(INDEX(MASTER_DATABASE!$A$4:$A$1000,ROW()-3)="","",IF(INDEX(MASTER_DATABASE!$BE$4:$BE$1000,ROW()-3)="LIVE","Yes","No"))</f>
        <v>Yes</v>
      </c>
      <c r="P223" s="7" t="str">
        <f aca="false">IF(INDEX(MASTER_DATABASE!$A$4:$A$1000,ROW()-3)="","",INDEX(MASTER_DATABASE!$BG$4:$BG$1000,ROW()-3)&amp;"")</f>
        <v>Get Quote</v>
      </c>
      <c r="Q223" s="11" t="n">
        <f aca="false">IF(INDEX(MASTER_DATABASE!$A$4:$A$1000,ROW()-3)="","",INDEX(MASTER_DATABASE!$AQ$4:$AQ$1000,ROW()-3))</f>
        <v>180</v>
      </c>
    </row>
    <row r="224" customFormat="false" ht="23.85" hidden="false" customHeight="false" outlineLevel="0" collapsed="false">
      <c r="A224" s="11" t="str">
        <f aca="false">IF(INDEX(MASTER_DATABASE!$A$4:$A$1000,ROW()-3)="","",INDEX(MASTER_DATABASE!$A$4:$A$1000,ROW()-3)&amp;"")</f>
        <v>PHO-019</v>
      </c>
      <c r="B224" s="7" t="str">
        <f aca="false">IF(INDEX(MASTER_DATABASE!$A$4:$A$1000,ROW()-3)="","",INDEX(MASTER_DATABASE!$E$4:$E$1000,ROW()-3)&amp;"")</f>
        <v>Certificate Design</v>
      </c>
      <c r="C224" s="7" t="str">
        <f aca="false">IF(INDEX(MASTER_DATABASE!$A$4:$A$1000,ROW()-3)="","",INDEX(MASTER_DATABASE!$F$4:$F$1000,ROW()-3)&amp;"")</f>
        <v>सर्टिफिकेट डिज़ाइन</v>
      </c>
      <c r="D224" s="7" t="str">
        <f aca="false">IF(INDEX(MASTER_DATABASE!$A$4:$A$1000,ROW()-3)="","",INDEX(MASTER_DATABASE!$AL$4:$AL$1000,ROW()-3)&amp;"")</f>
        <v>Photo / Photoshop / Design</v>
      </c>
      <c r="E224" s="7" t="str">
        <f aca="false">IF(INDEX(MASTER_DATABASE!$A$4:$A$1000,ROW()-3)="","",INDEX(MASTER_DATABASE!$G$4:$G$1000,ROW()-3)&amp;"")</f>
        <v>Certificate Design at our photo and design desk.</v>
      </c>
      <c r="F224" s="11" t="str">
        <f aca="false">IF(INDEX(MASTER_DATABASE!$A$4:$A$1000,ROW()-3)="","",INDEX(MASTER_DATABASE!$AP$4:$AP$1000,ROW()-3)&amp;"")</f>
        <v>🎨</v>
      </c>
      <c r="G22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4" s="7" t="str">
        <f aca="false">IF(INDEX(MASTER_DATABASE!$A$4:$A$1000,ROW()-3)="","",INDEX(MASTER_DATABASE!$J$4:$J$1000,ROW()-3)&amp;"")</f>
        <v>Available</v>
      </c>
      <c r="K224" s="7" t="str">
        <f aca="false">IF(INDEX(MASTER_DATABASE!$A$4:$A$1000,ROW()-3)="","",INDEX(MASTER_DATABASE!$M$4:$M$1000,ROW()-3)&amp;"")</f>
        <v>✓ Design Content / Text</v>
      </c>
      <c r="L224" s="7" t="str">
        <f aca="false">IF(INDEX(MASTER_DATABASE!$A$4:$A$1000,ROW()-3)="","",INDEX(MASTER_DATABASE!$Q$4:$Q$1000,ROW()-3)&amp;"")</f>
        <v>Same Day</v>
      </c>
      <c r="M224" s="11" t="str">
        <f aca="false">IF(INDEX(MASTER_DATABASE!$A$4:$A$1000,ROW()-3)="","",INDEX(MASTER_DATABASE!$AI$4:$AI$1000,ROW()-3)&amp;"")</f>
        <v>No</v>
      </c>
      <c r="N224" s="11" t="str">
        <f aca="false">IF(INDEX(MASTER_DATABASE!$A$4:$A$1000,ROW()-3)="","",INDEX(MASTER_DATABASE!$AJ$4:$AJ$1000,ROW()-3)&amp;"")</f>
        <v>No</v>
      </c>
      <c r="O224" s="11" t="str">
        <f aca="false">IF(INDEX(MASTER_DATABASE!$A$4:$A$1000,ROW()-3)="","",IF(INDEX(MASTER_DATABASE!$BE$4:$BE$1000,ROW()-3)="LIVE","Yes","No"))</f>
        <v>Yes</v>
      </c>
      <c r="P224" s="7" t="str">
        <f aca="false">IF(INDEX(MASTER_DATABASE!$A$4:$A$1000,ROW()-3)="","",INDEX(MASTER_DATABASE!$BG$4:$BG$1000,ROW()-3)&amp;"")</f>
        <v>Get Quote</v>
      </c>
      <c r="Q224" s="11" t="n">
        <f aca="false">IF(INDEX(MASTER_DATABASE!$A$4:$A$1000,ROW()-3)="","",INDEX(MASTER_DATABASE!$AQ$4:$AQ$1000,ROW()-3))</f>
        <v>190</v>
      </c>
    </row>
    <row r="225" customFormat="false" ht="23.85" hidden="false" customHeight="false" outlineLevel="0" collapsed="false">
      <c r="A225" s="11" t="str">
        <f aca="false">IF(INDEX(MASTER_DATABASE!$A$4:$A$1000,ROW()-3)="","",INDEX(MASTER_DATABASE!$A$4:$A$1000,ROW()-3)&amp;"")</f>
        <v>PHO-020</v>
      </c>
      <c r="B225" s="7" t="str">
        <f aca="false">IF(INDEX(MASTER_DATABASE!$A$4:$A$1000,ROW()-3)="","",INDEX(MASTER_DATABASE!$E$4:$E$1000,ROW()-3)&amp;"")</f>
        <v>Poster Design</v>
      </c>
      <c r="C225" s="7" t="str">
        <f aca="false">IF(INDEX(MASTER_DATABASE!$A$4:$A$1000,ROW()-3)="","",INDEX(MASTER_DATABASE!$F$4:$F$1000,ROW()-3)&amp;"")</f>
        <v>पोस्टर डिज़ाइन</v>
      </c>
      <c r="D225" s="7" t="str">
        <f aca="false">IF(INDEX(MASTER_DATABASE!$A$4:$A$1000,ROW()-3)="","",INDEX(MASTER_DATABASE!$AL$4:$AL$1000,ROW()-3)&amp;"")</f>
        <v>Photo / Photoshop / Design</v>
      </c>
      <c r="E225" s="7" t="str">
        <f aca="false">IF(INDEX(MASTER_DATABASE!$A$4:$A$1000,ROW()-3)="","",INDEX(MASTER_DATABASE!$G$4:$G$1000,ROW()-3)&amp;"")</f>
        <v>Poster Design at our photo and design desk.</v>
      </c>
      <c r="F225" s="11" t="str">
        <f aca="false">IF(INDEX(MASTER_DATABASE!$A$4:$A$1000,ROW()-3)="","",INDEX(MASTER_DATABASE!$AP$4:$AP$1000,ROW()-3)&amp;"")</f>
        <v>🎨</v>
      </c>
      <c r="G22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5" s="7" t="str">
        <f aca="false">IF(INDEX(MASTER_DATABASE!$A$4:$A$1000,ROW()-3)="","",INDEX(MASTER_DATABASE!$J$4:$J$1000,ROW()-3)&amp;"")</f>
        <v>Available</v>
      </c>
      <c r="K225" s="7" t="str">
        <f aca="false">IF(INDEX(MASTER_DATABASE!$A$4:$A$1000,ROW()-3)="","",INDEX(MASTER_DATABASE!$M$4:$M$1000,ROW()-3)&amp;"")</f>
        <v>✓ Design Content / Text</v>
      </c>
      <c r="L225" s="7" t="str">
        <f aca="false">IF(INDEX(MASTER_DATABASE!$A$4:$A$1000,ROW()-3)="","",INDEX(MASTER_DATABASE!$Q$4:$Q$1000,ROW()-3)&amp;"")</f>
        <v>Same Day</v>
      </c>
      <c r="M225" s="11" t="str">
        <f aca="false">IF(INDEX(MASTER_DATABASE!$A$4:$A$1000,ROW()-3)="","",INDEX(MASTER_DATABASE!$AI$4:$AI$1000,ROW()-3)&amp;"")</f>
        <v>No</v>
      </c>
      <c r="N225" s="11" t="str">
        <f aca="false">IF(INDEX(MASTER_DATABASE!$A$4:$A$1000,ROW()-3)="","",INDEX(MASTER_DATABASE!$AJ$4:$AJ$1000,ROW()-3)&amp;"")</f>
        <v>No</v>
      </c>
      <c r="O225" s="11" t="str">
        <f aca="false">IF(INDEX(MASTER_DATABASE!$A$4:$A$1000,ROW()-3)="","",IF(INDEX(MASTER_DATABASE!$BE$4:$BE$1000,ROW()-3)="LIVE","Yes","No"))</f>
        <v>Yes</v>
      </c>
      <c r="P225" s="7" t="str">
        <f aca="false">IF(INDEX(MASTER_DATABASE!$A$4:$A$1000,ROW()-3)="","",INDEX(MASTER_DATABASE!$BG$4:$BG$1000,ROW()-3)&amp;"")</f>
        <v>Get Quote</v>
      </c>
      <c r="Q225" s="11" t="n">
        <f aca="false">IF(INDEX(MASTER_DATABASE!$A$4:$A$1000,ROW()-3)="","",INDEX(MASTER_DATABASE!$AQ$4:$AQ$1000,ROW()-3))</f>
        <v>200</v>
      </c>
    </row>
    <row r="226" customFormat="false" ht="23.85" hidden="false" customHeight="false" outlineLevel="0" collapsed="false">
      <c r="A226" s="11" t="str">
        <f aca="false">IF(INDEX(MASTER_DATABASE!$A$4:$A$1000,ROW()-3)="","",INDEX(MASTER_DATABASE!$A$4:$A$1000,ROW()-3)&amp;"")</f>
        <v>PHO-021</v>
      </c>
      <c r="B226" s="7" t="str">
        <f aca="false">IF(INDEX(MASTER_DATABASE!$A$4:$A$1000,ROW()-3)="","",INDEX(MASTER_DATABASE!$E$4:$E$1000,ROW()-3)&amp;"")</f>
        <v>Banner Design</v>
      </c>
      <c r="C226" s="7" t="str">
        <f aca="false">IF(INDEX(MASTER_DATABASE!$A$4:$A$1000,ROW()-3)="","",INDEX(MASTER_DATABASE!$F$4:$F$1000,ROW()-3)&amp;"")</f>
        <v>बैनर डिज़ाइन</v>
      </c>
      <c r="D226" s="7" t="str">
        <f aca="false">IF(INDEX(MASTER_DATABASE!$A$4:$A$1000,ROW()-3)="","",INDEX(MASTER_DATABASE!$AL$4:$AL$1000,ROW()-3)&amp;"")</f>
        <v>Photo / Photoshop / Design</v>
      </c>
      <c r="E226" s="7" t="str">
        <f aca="false">IF(INDEX(MASTER_DATABASE!$A$4:$A$1000,ROW()-3)="","",INDEX(MASTER_DATABASE!$G$4:$G$1000,ROW()-3)&amp;"")</f>
        <v>Banner Design at our photo and design desk.</v>
      </c>
      <c r="F226" s="11" t="str">
        <f aca="false">IF(INDEX(MASTER_DATABASE!$A$4:$A$1000,ROW()-3)="","",INDEX(MASTER_DATABASE!$AP$4:$AP$1000,ROW()-3)&amp;"")</f>
        <v>🎨</v>
      </c>
      <c r="G22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6" s="7" t="str">
        <f aca="false">IF(INDEX(MASTER_DATABASE!$A$4:$A$1000,ROW()-3)="","",INDEX(MASTER_DATABASE!$J$4:$J$1000,ROW()-3)&amp;"")</f>
        <v>Available</v>
      </c>
      <c r="K226" s="7" t="str">
        <f aca="false">IF(INDEX(MASTER_DATABASE!$A$4:$A$1000,ROW()-3)="","",INDEX(MASTER_DATABASE!$M$4:$M$1000,ROW()-3)&amp;"")</f>
        <v>✓ Design Content / Text</v>
      </c>
      <c r="L226" s="7" t="str">
        <f aca="false">IF(INDEX(MASTER_DATABASE!$A$4:$A$1000,ROW()-3)="","",INDEX(MASTER_DATABASE!$Q$4:$Q$1000,ROW()-3)&amp;"")</f>
        <v>Same Day</v>
      </c>
      <c r="M226" s="11" t="str">
        <f aca="false">IF(INDEX(MASTER_DATABASE!$A$4:$A$1000,ROW()-3)="","",INDEX(MASTER_DATABASE!$AI$4:$AI$1000,ROW()-3)&amp;"")</f>
        <v>No</v>
      </c>
      <c r="N226" s="11" t="str">
        <f aca="false">IF(INDEX(MASTER_DATABASE!$A$4:$A$1000,ROW()-3)="","",INDEX(MASTER_DATABASE!$AJ$4:$AJ$1000,ROW()-3)&amp;"")</f>
        <v>No</v>
      </c>
      <c r="O226" s="11" t="str">
        <f aca="false">IF(INDEX(MASTER_DATABASE!$A$4:$A$1000,ROW()-3)="","",IF(INDEX(MASTER_DATABASE!$BE$4:$BE$1000,ROW()-3)="LIVE","Yes","No"))</f>
        <v>Yes</v>
      </c>
      <c r="P226" s="7" t="str">
        <f aca="false">IF(INDEX(MASTER_DATABASE!$A$4:$A$1000,ROW()-3)="","",INDEX(MASTER_DATABASE!$BG$4:$BG$1000,ROW()-3)&amp;"")</f>
        <v>Get Quote</v>
      </c>
      <c r="Q226" s="11" t="n">
        <f aca="false">IF(INDEX(MASTER_DATABASE!$A$4:$A$1000,ROW()-3)="","",INDEX(MASTER_DATABASE!$AQ$4:$AQ$1000,ROW()-3))</f>
        <v>210</v>
      </c>
    </row>
    <row r="227" customFormat="false" ht="23.85" hidden="false" customHeight="false" outlineLevel="0" collapsed="false">
      <c r="A227" s="11" t="str">
        <f aca="false">IF(INDEX(MASTER_DATABASE!$A$4:$A$1000,ROW()-3)="","",INDEX(MASTER_DATABASE!$A$4:$A$1000,ROW()-3)&amp;"")</f>
        <v>PHO-022</v>
      </c>
      <c r="B227" s="7" t="str">
        <f aca="false">IF(INDEX(MASTER_DATABASE!$A$4:$A$1000,ROW()-3)="","",INDEX(MASTER_DATABASE!$E$4:$E$1000,ROW()-3)&amp;"")</f>
        <v>Pamphlet Design</v>
      </c>
      <c r="C227" s="7" t="str">
        <f aca="false">IF(INDEX(MASTER_DATABASE!$A$4:$A$1000,ROW()-3)="","",INDEX(MASTER_DATABASE!$F$4:$F$1000,ROW()-3)&amp;"")</f>
        <v>पम्फलेट डिज़ाइन</v>
      </c>
      <c r="D227" s="7" t="str">
        <f aca="false">IF(INDEX(MASTER_DATABASE!$A$4:$A$1000,ROW()-3)="","",INDEX(MASTER_DATABASE!$AL$4:$AL$1000,ROW()-3)&amp;"")</f>
        <v>Photo / Photoshop / Design</v>
      </c>
      <c r="E227" s="7" t="str">
        <f aca="false">IF(INDEX(MASTER_DATABASE!$A$4:$A$1000,ROW()-3)="","",INDEX(MASTER_DATABASE!$G$4:$G$1000,ROW()-3)&amp;"")</f>
        <v>Pamphlet Design at our photo and design desk.</v>
      </c>
      <c r="F227" s="11" t="str">
        <f aca="false">IF(INDEX(MASTER_DATABASE!$A$4:$A$1000,ROW()-3)="","",INDEX(MASTER_DATABASE!$AP$4:$AP$1000,ROW()-3)&amp;"")</f>
        <v>🎨</v>
      </c>
      <c r="G22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7" s="7" t="str">
        <f aca="false">IF(INDEX(MASTER_DATABASE!$A$4:$A$1000,ROW()-3)="","",INDEX(MASTER_DATABASE!$J$4:$J$1000,ROW()-3)&amp;"")</f>
        <v>Available</v>
      </c>
      <c r="K227" s="7" t="str">
        <f aca="false">IF(INDEX(MASTER_DATABASE!$A$4:$A$1000,ROW()-3)="","",INDEX(MASTER_DATABASE!$M$4:$M$1000,ROW()-3)&amp;"")</f>
        <v>✓ Design Content / Text</v>
      </c>
      <c r="L227" s="7" t="str">
        <f aca="false">IF(INDEX(MASTER_DATABASE!$A$4:$A$1000,ROW()-3)="","",INDEX(MASTER_DATABASE!$Q$4:$Q$1000,ROW()-3)&amp;"")</f>
        <v>Same Day</v>
      </c>
      <c r="M227" s="11" t="str">
        <f aca="false">IF(INDEX(MASTER_DATABASE!$A$4:$A$1000,ROW()-3)="","",INDEX(MASTER_DATABASE!$AI$4:$AI$1000,ROW()-3)&amp;"")</f>
        <v>No</v>
      </c>
      <c r="N227" s="11" t="str">
        <f aca="false">IF(INDEX(MASTER_DATABASE!$A$4:$A$1000,ROW()-3)="","",INDEX(MASTER_DATABASE!$AJ$4:$AJ$1000,ROW()-3)&amp;"")</f>
        <v>No</v>
      </c>
      <c r="O227" s="11" t="str">
        <f aca="false">IF(INDEX(MASTER_DATABASE!$A$4:$A$1000,ROW()-3)="","",IF(INDEX(MASTER_DATABASE!$BE$4:$BE$1000,ROW()-3)="LIVE","Yes","No"))</f>
        <v>Yes</v>
      </c>
      <c r="P227" s="7" t="str">
        <f aca="false">IF(INDEX(MASTER_DATABASE!$A$4:$A$1000,ROW()-3)="","",INDEX(MASTER_DATABASE!$BG$4:$BG$1000,ROW()-3)&amp;"")</f>
        <v>Get Quote</v>
      </c>
      <c r="Q227" s="11" t="n">
        <f aca="false">IF(INDEX(MASTER_DATABASE!$A$4:$A$1000,ROW()-3)="","",INDEX(MASTER_DATABASE!$AQ$4:$AQ$1000,ROW()-3))</f>
        <v>220</v>
      </c>
    </row>
    <row r="228" customFormat="false" ht="23.85" hidden="false" customHeight="false" outlineLevel="0" collapsed="false">
      <c r="A228" s="11" t="str">
        <f aca="false">IF(INDEX(MASTER_DATABASE!$A$4:$A$1000,ROW()-3)="","",INDEX(MASTER_DATABASE!$A$4:$A$1000,ROW()-3)&amp;"")</f>
        <v>PHO-023</v>
      </c>
      <c r="B228" s="7" t="str">
        <f aca="false">IF(INDEX(MASTER_DATABASE!$A$4:$A$1000,ROW()-3)="","",INDEX(MASTER_DATABASE!$E$4:$E$1000,ROW()-3)&amp;"")</f>
        <v>Invitation Card Design</v>
      </c>
      <c r="C228" s="7" t="str">
        <f aca="false">IF(INDEX(MASTER_DATABASE!$A$4:$A$1000,ROW()-3)="","",INDEX(MASTER_DATABASE!$F$4:$F$1000,ROW()-3)&amp;"")</f>
        <v>निमंत्रण कार्ड डिज़ाइन</v>
      </c>
      <c r="D228" s="7" t="str">
        <f aca="false">IF(INDEX(MASTER_DATABASE!$A$4:$A$1000,ROW()-3)="","",INDEX(MASTER_DATABASE!$AL$4:$AL$1000,ROW()-3)&amp;"")</f>
        <v>Photo / Photoshop / Design</v>
      </c>
      <c r="E228" s="7" t="str">
        <f aca="false">IF(INDEX(MASTER_DATABASE!$A$4:$A$1000,ROW()-3)="","",INDEX(MASTER_DATABASE!$G$4:$G$1000,ROW()-3)&amp;"")</f>
        <v>Invitation Card Design at our photo and design desk.</v>
      </c>
      <c r="F228" s="11" t="str">
        <f aca="false">IF(INDEX(MASTER_DATABASE!$A$4:$A$1000,ROW()-3)="","",INDEX(MASTER_DATABASE!$AP$4:$AP$1000,ROW()-3)&amp;"")</f>
        <v>🎨</v>
      </c>
      <c r="G22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8" s="7" t="str">
        <f aca="false">IF(INDEX(MASTER_DATABASE!$A$4:$A$1000,ROW()-3)="","",INDEX(MASTER_DATABASE!$J$4:$J$1000,ROW()-3)&amp;"")</f>
        <v>Available</v>
      </c>
      <c r="K228" s="7" t="str">
        <f aca="false">IF(INDEX(MASTER_DATABASE!$A$4:$A$1000,ROW()-3)="","",INDEX(MASTER_DATABASE!$M$4:$M$1000,ROW()-3)&amp;"")</f>
        <v>✓ Design Content / Text</v>
      </c>
      <c r="L228" s="7" t="str">
        <f aca="false">IF(INDEX(MASTER_DATABASE!$A$4:$A$1000,ROW()-3)="","",INDEX(MASTER_DATABASE!$Q$4:$Q$1000,ROW()-3)&amp;"")</f>
        <v>Same Day</v>
      </c>
      <c r="M228" s="11" t="str">
        <f aca="false">IF(INDEX(MASTER_DATABASE!$A$4:$A$1000,ROW()-3)="","",INDEX(MASTER_DATABASE!$AI$4:$AI$1000,ROW()-3)&amp;"")</f>
        <v>No</v>
      </c>
      <c r="N228" s="11" t="str">
        <f aca="false">IF(INDEX(MASTER_DATABASE!$A$4:$A$1000,ROW()-3)="","",INDEX(MASTER_DATABASE!$AJ$4:$AJ$1000,ROW()-3)&amp;"")</f>
        <v>No</v>
      </c>
      <c r="O228" s="11" t="str">
        <f aca="false">IF(INDEX(MASTER_DATABASE!$A$4:$A$1000,ROW()-3)="","",IF(INDEX(MASTER_DATABASE!$BE$4:$BE$1000,ROW()-3)="LIVE","Yes","No"))</f>
        <v>Yes</v>
      </c>
      <c r="P228" s="7" t="str">
        <f aca="false">IF(INDEX(MASTER_DATABASE!$A$4:$A$1000,ROW()-3)="","",INDEX(MASTER_DATABASE!$BG$4:$BG$1000,ROW()-3)&amp;"")</f>
        <v>Get Quote</v>
      </c>
      <c r="Q228" s="11" t="n">
        <f aca="false">IF(INDEX(MASTER_DATABASE!$A$4:$A$1000,ROW()-3)="","",INDEX(MASTER_DATABASE!$AQ$4:$AQ$1000,ROW()-3))</f>
        <v>230</v>
      </c>
    </row>
    <row r="229" customFormat="false" ht="23.85" hidden="false" customHeight="false" outlineLevel="0" collapsed="false">
      <c r="A229" s="11" t="str">
        <f aca="false">IF(INDEX(MASTER_DATABASE!$A$4:$A$1000,ROW()-3)="","",INDEX(MASTER_DATABASE!$A$4:$A$1000,ROW()-3)&amp;"")</f>
        <v>PHO-024</v>
      </c>
      <c r="B229" s="7" t="str">
        <f aca="false">IF(INDEX(MASTER_DATABASE!$A$4:$A$1000,ROW()-3)="","",INDEX(MASTER_DATABASE!$E$4:$E$1000,ROW()-3)&amp;"")</f>
        <v>Letterhead Design</v>
      </c>
      <c r="C229" s="7" t="str">
        <f aca="false">IF(INDEX(MASTER_DATABASE!$A$4:$A$1000,ROW()-3)="","",INDEX(MASTER_DATABASE!$F$4:$F$1000,ROW()-3)&amp;"")</f>
        <v>लेटरहेड डिज़ाइन</v>
      </c>
      <c r="D229" s="7" t="str">
        <f aca="false">IF(INDEX(MASTER_DATABASE!$A$4:$A$1000,ROW()-3)="","",INDEX(MASTER_DATABASE!$AL$4:$AL$1000,ROW()-3)&amp;"")</f>
        <v>Photo / Photoshop / Design</v>
      </c>
      <c r="E229" s="7" t="str">
        <f aca="false">IF(INDEX(MASTER_DATABASE!$A$4:$A$1000,ROW()-3)="","",INDEX(MASTER_DATABASE!$G$4:$G$1000,ROW()-3)&amp;"")</f>
        <v>Letterhead Design at our photo and design desk.</v>
      </c>
      <c r="F229" s="11" t="str">
        <f aca="false">IF(INDEX(MASTER_DATABASE!$A$4:$A$1000,ROW()-3)="","",INDEX(MASTER_DATABASE!$AP$4:$AP$1000,ROW()-3)&amp;"")</f>
        <v>🎨</v>
      </c>
      <c r="G22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2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2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29" s="7" t="str">
        <f aca="false">IF(INDEX(MASTER_DATABASE!$A$4:$A$1000,ROW()-3)="","",INDEX(MASTER_DATABASE!$J$4:$J$1000,ROW()-3)&amp;"")</f>
        <v>Available</v>
      </c>
      <c r="K229" s="7" t="str">
        <f aca="false">IF(INDEX(MASTER_DATABASE!$A$4:$A$1000,ROW()-3)="","",INDEX(MASTER_DATABASE!$M$4:$M$1000,ROW()-3)&amp;"")</f>
        <v>✓ Design Content / Text</v>
      </c>
      <c r="L229" s="7" t="str">
        <f aca="false">IF(INDEX(MASTER_DATABASE!$A$4:$A$1000,ROW()-3)="","",INDEX(MASTER_DATABASE!$Q$4:$Q$1000,ROW()-3)&amp;"")</f>
        <v>Same Day</v>
      </c>
      <c r="M229" s="11" t="str">
        <f aca="false">IF(INDEX(MASTER_DATABASE!$A$4:$A$1000,ROW()-3)="","",INDEX(MASTER_DATABASE!$AI$4:$AI$1000,ROW()-3)&amp;"")</f>
        <v>No</v>
      </c>
      <c r="N229" s="11" t="str">
        <f aca="false">IF(INDEX(MASTER_DATABASE!$A$4:$A$1000,ROW()-3)="","",INDEX(MASTER_DATABASE!$AJ$4:$AJ$1000,ROW()-3)&amp;"")</f>
        <v>No</v>
      </c>
      <c r="O229" s="11" t="str">
        <f aca="false">IF(INDEX(MASTER_DATABASE!$A$4:$A$1000,ROW()-3)="","",IF(INDEX(MASTER_DATABASE!$BE$4:$BE$1000,ROW()-3)="LIVE","Yes","No"))</f>
        <v>Yes</v>
      </c>
      <c r="P229" s="7" t="str">
        <f aca="false">IF(INDEX(MASTER_DATABASE!$A$4:$A$1000,ROW()-3)="","",INDEX(MASTER_DATABASE!$BG$4:$BG$1000,ROW()-3)&amp;"")</f>
        <v>Get Quote</v>
      </c>
      <c r="Q229" s="11" t="n">
        <f aca="false">IF(INDEX(MASTER_DATABASE!$A$4:$A$1000,ROW()-3)="","",INDEX(MASTER_DATABASE!$AQ$4:$AQ$1000,ROW()-3))</f>
        <v>240</v>
      </c>
    </row>
    <row r="230" customFormat="false" ht="23.85" hidden="false" customHeight="false" outlineLevel="0" collapsed="false">
      <c r="A230" s="11" t="str">
        <f aca="false">IF(INDEX(MASTER_DATABASE!$A$4:$A$1000,ROW()-3)="","",INDEX(MASTER_DATABASE!$A$4:$A$1000,ROW()-3)&amp;"")</f>
        <v>PHO-025</v>
      </c>
      <c r="B230" s="7" t="str">
        <f aca="false">IF(INDEX(MASTER_DATABASE!$A$4:$A$1000,ROW()-3)="","",INDEX(MASTER_DATABASE!$E$4:$E$1000,ROW()-3)&amp;"")</f>
        <v>Logo Design</v>
      </c>
      <c r="C230" s="7" t="str">
        <f aca="false">IF(INDEX(MASTER_DATABASE!$A$4:$A$1000,ROW()-3)="","",INDEX(MASTER_DATABASE!$F$4:$F$1000,ROW()-3)&amp;"")</f>
        <v>लोगो डिज़ाइन</v>
      </c>
      <c r="D230" s="7" t="str">
        <f aca="false">IF(INDEX(MASTER_DATABASE!$A$4:$A$1000,ROW()-3)="","",INDEX(MASTER_DATABASE!$AL$4:$AL$1000,ROW()-3)&amp;"")</f>
        <v>Photo / Photoshop / Design</v>
      </c>
      <c r="E230" s="7" t="str">
        <f aca="false">IF(INDEX(MASTER_DATABASE!$A$4:$A$1000,ROW()-3)="","",INDEX(MASTER_DATABASE!$G$4:$G$1000,ROW()-3)&amp;"")</f>
        <v>Logo Design at our photo and design desk.</v>
      </c>
      <c r="F230" s="11" t="str">
        <f aca="false">IF(INDEX(MASTER_DATABASE!$A$4:$A$1000,ROW()-3)="","",INDEX(MASTER_DATABASE!$AP$4:$AP$1000,ROW()-3)&amp;"")</f>
        <v>🎨</v>
      </c>
      <c r="G23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0" s="7" t="str">
        <f aca="false">IF(INDEX(MASTER_DATABASE!$A$4:$A$1000,ROW()-3)="","",INDEX(MASTER_DATABASE!$J$4:$J$1000,ROW()-3)&amp;"")</f>
        <v>To Be Confirmed</v>
      </c>
      <c r="K230" s="7" t="str">
        <f aca="false">IF(INDEX(MASTER_DATABASE!$A$4:$A$1000,ROW()-3)="","",INDEX(MASTER_DATABASE!$M$4:$M$1000,ROW()-3)&amp;"")</f>
        <v>✓ Design Content / Text</v>
      </c>
      <c r="L230" s="7" t="str">
        <f aca="false">IF(INDEX(MASTER_DATABASE!$A$4:$A$1000,ROW()-3)="","",INDEX(MASTER_DATABASE!$Q$4:$Q$1000,ROW()-3)&amp;"")</f>
        <v>Same Day</v>
      </c>
      <c r="M230" s="11" t="str">
        <f aca="false">IF(INDEX(MASTER_DATABASE!$A$4:$A$1000,ROW()-3)="","",INDEX(MASTER_DATABASE!$AI$4:$AI$1000,ROW()-3)&amp;"")</f>
        <v>No</v>
      </c>
      <c r="N230" s="11" t="str">
        <f aca="false">IF(INDEX(MASTER_DATABASE!$A$4:$A$1000,ROW()-3)="","",INDEX(MASTER_DATABASE!$AJ$4:$AJ$1000,ROW()-3)&amp;"")</f>
        <v>No</v>
      </c>
      <c r="O230" s="11" t="str">
        <f aca="false">IF(INDEX(MASTER_DATABASE!$A$4:$A$1000,ROW()-3)="","",IF(INDEX(MASTER_DATABASE!$BE$4:$BE$1000,ROW()-3)="LIVE","Yes","No"))</f>
        <v>No</v>
      </c>
      <c r="P230" s="7" t="str">
        <f aca="false">IF(INDEX(MASTER_DATABASE!$A$4:$A$1000,ROW()-3)="","",INDEX(MASTER_DATABASE!$BG$4:$BG$1000,ROW()-3)&amp;"")</f>
        <v>Get Quote</v>
      </c>
      <c r="Q230" s="11" t="n">
        <f aca="false">IF(INDEX(MASTER_DATABASE!$A$4:$A$1000,ROW()-3)="","",INDEX(MASTER_DATABASE!$AQ$4:$AQ$1000,ROW()-3))</f>
        <v>250</v>
      </c>
    </row>
    <row r="231" customFormat="false" ht="23.85" hidden="false" customHeight="false" outlineLevel="0" collapsed="false">
      <c r="A231" s="11" t="str">
        <f aca="false">IF(INDEX(MASTER_DATABASE!$A$4:$A$1000,ROW()-3)="","",INDEX(MASTER_DATABASE!$A$4:$A$1000,ROW()-3)&amp;"")</f>
        <v>PHO-026</v>
      </c>
      <c r="B231" s="7" t="str">
        <f aca="false">IF(INDEX(MASTER_DATABASE!$A$4:$A$1000,ROW()-3)="","",INDEX(MASTER_DATABASE!$E$4:$E$1000,ROW()-3)&amp;"")</f>
        <v>Flex / Banner Printing</v>
      </c>
      <c r="C231" s="7" t="str">
        <f aca="false">IF(INDEX(MASTER_DATABASE!$A$4:$A$1000,ROW()-3)="","",INDEX(MASTER_DATABASE!$F$4:$F$1000,ROW()-3)&amp;"")</f>
        <v>फ्लेक्स / बैनर प्रिंटिंग</v>
      </c>
      <c r="D231" s="7" t="str">
        <f aca="false">IF(INDEX(MASTER_DATABASE!$A$4:$A$1000,ROW()-3)="","",INDEX(MASTER_DATABASE!$AL$4:$AL$1000,ROW()-3)&amp;"")</f>
        <v>Photo / Photoshop / Design</v>
      </c>
      <c r="E231" s="7" t="str">
        <f aca="false">IF(INDEX(MASTER_DATABASE!$A$4:$A$1000,ROW()-3)="","",INDEX(MASTER_DATABASE!$G$4:$G$1000,ROW()-3)&amp;"")</f>
        <v>Flex / Banner Printing at our photo and design desk.</v>
      </c>
      <c r="F231" s="11" t="str">
        <f aca="false">IF(INDEX(MASTER_DATABASE!$A$4:$A$1000,ROW()-3)="","",INDEX(MASTER_DATABASE!$AP$4:$AP$1000,ROW()-3)&amp;"")</f>
        <v>🎨</v>
      </c>
      <c r="G23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1" s="7" t="str">
        <f aca="false">IF(INDEX(MASTER_DATABASE!$A$4:$A$1000,ROW()-3)="","",INDEX(MASTER_DATABASE!$J$4:$J$1000,ROW()-3)&amp;"")</f>
        <v>To Be Confirmed</v>
      </c>
      <c r="K231" s="7" t="str">
        <f aca="false">IF(INDEX(MASTER_DATABASE!$A$4:$A$1000,ROW()-3)="","",INDEX(MASTER_DATABASE!$M$4:$M$1000,ROW()-3)&amp;"")</f>
        <v>✓ Design Content / Text</v>
      </c>
      <c r="L231" s="7" t="str">
        <f aca="false">IF(INDEX(MASTER_DATABASE!$A$4:$A$1000,ROW()-3)="","",INDEX(MASTER_DATABASE!$Q$4:$Q$1000,ROW()-3)&amp;"")</f>
        <v>Same Day</v>
      </c>
      <c r="M231" s="11" t="str">
        <f aca="false">IF(INDEX(MASTER_DATABASE!$A$4:$A$1000,ROW()-3)="","",INDEX(MASTER_DATABASE!$AI$4:$AI$1000,ROW()-3)&amp;"")</f>
        <v>No</v>
      </c>
      <c r="N231" s="11" t="str">
        <f aca="false">IF(INDEX(MASTER_DATABASE!$A$4:$A$1000,ROW()-3)="","",INDEX(MASTER_DATABASE!$AJ$4:$AJ$1000,ROW()-3)&amp;"")</f>
        <v>No</v>
      </c>
      <c r="O231" s="11" t="str">
        <f aca="false">IF(INDEX(MASTER_DATABASE!$A$4:$A$1000,ROW()-3)="","",IF(INDEX(MASTER_DATABASE!$BE$4:$BE$1000,ROW()-3)="LIVE","Yes","No"))</f>
        <v>No</v>
      </c>
      <c r="P231" s="7" t="str">
        <f aca="false">IF(INDEX(MASTER_DATABASE!$A$4:$A$1000,ROW()-3)="","",INDEX(MASTER_DATABASE!$BG$4:$BG$1000,ROW()-3)&amp;"")</f>
        <v>Get Quote</v>
      </c>
      <c r="Q231" s="11" t="n">
        <f aca="false">IF(INDEX(MASTER_DATABASE!$A$4:$A$1000,ROW()-3)="","",INDEX(MASTER_DATABASE!$AQ$4:$AQ$1000,ROW()-3))</f>
        <v>260</v>
      </c>
    </row>
    <row r="232" customFormat="false" ht="68.65" hidden="false" customHeight="false" outlineLevel="0" collapsed="false">
      <c r="A232" s="11" t="str">
        <f aca="false">IF(INDEX(MASTER_DATABASE!$A$4:$A$1000,ROW()-3)="","",INDEX(MASTER_DATABASE!$A$4:$A$1000,ROW()-3)&amp;"")</f>
        <v>ONL-001</v>
      </c>
      <c r="B232" s="7" t="str">
        <f aca="false">IF(INDEX(MASTER_DATABASE!$A$4:$A$1000,ROW()-3)="","",INDEX(MASTER_DATABASE!$E$4:$E$1000,ROW()-3)&amp;"")</f>
        <v>Government Job Form – Central</v>
      </c>
      <c r="C232" s="7" t="str">
        <f aca="false">IF(INDEX(MASTER_DATABASE!$A$4:$A$1000,ROW()-3)="","",INDEX(MASTER_DATABASE!$F$4:$F$1000,ROW()-3)&amp;"")</f>
        <v>सरकारी नौकरी फॉर्म – केंद्र</v>
      </c>
      <c r="D232" s="7" t="str">
        <f aca="false">IF(INDEX(MASTER_DATABASE!$A$4:$A$1000,ROW()-3)="","",INDEX(MASTER_DATABASE!$AL$4:$AL$1000,ROW()-3)&amp;"")</f>
        <v>Online Form &amp; Digital Services</v>
      </c>
      <c r="E232" s="7" t="str">
        <f aca="false">IF(INDEX(MASTER_DATABASE!$A$4:$A$1000,ROW()-3)="","",INDEX(MASTER_DATABASE!$G$4:$G$1000,ROW()-3)&amp;"")</f>
        <v>Online help with Government Job Form – Central.</v>
      </c>
      <c r="F232" s="11" t="str">
        <f aca="false">IF(INDEX(MASTER_DATABASE!$A$4:$A$1000,ROW()-3)="","",INDEX(MASTER_DATABASE!$AP$4:$AP$1000,ROW()-3)&amp;"")</f>
        <v>💼</v>
      </c>
      <c r="G23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2" s="7" t="str">
        <f aca="false">IF(INDEX(MASTER_DATABASE!$A$4:$A$1000,ROW()-3)="","",INDEX(MASTER_DATABASE!$J$4:$J$1000,ROW()-3)&amp;"")</f>
        <v>Available</v>
      </c>
      <c r="K232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32" s="7" t="str">
        <f aca="false">IF(INDEX(MASTER_DATABASE!$A$4:$A$1000,ROW()-3)="","",INDEX(MASTER_DATABASE!$Q$4:$Q$1000,ROW()-3)&amp;"")</f>
        <v>Same Day</v>
      </c>
      <c r="M232" s="11" t="str">
        <f aca="false">IF(INDEX(MASTER_DATABASE!$A$4:$A$1000,ROW()-3)="","",INDEX(MASTER_DATABASE!$AI$4:$AI$1000,ROW()-3)&amp;"")</f>
        <v>No</v>
      </c>
      <c r="N232" s="11" t="str">
        <f aca="false">IF(INDEX(MASTER_DATABASE!$A$4:$A$1000,ROW()-3)="","",INDEX(MASTER_DATABASE!$AJ$4:$AJ$1000,ROW()-3)&amp;"")</f>
        <v>No</v>
      </c>
      <c r="O232" s="11" t="str">
        <f aca="false">IF(INDEX(MASTER_DATABASE!$A$4:$A$1000,ROW()-3)="","",IF(INDEX(MASTER_DATABASE!$BE$4:$BE$1000,ROW()-3)="LIVE","Yes","No"))</f>
        <v>Yes</v>
      </c>
      <c r="P232" s="7" t="str">
        <f aca="false">IF(INDEX(MASTER_DATABASE!$A$4:$A$1000,ROW()-3)="","",INDEX(MASTER_DATABASE!$BG$4:$BG$1000,ROW()-3)&amp;"")</f>
        <v>Check Documents</v>
      </c>
      <c r="Q232" s="11" t="n">
        <f aca="false">IF(INDEX(MASTER_DATABASE!$A$4:$A$1000,ROW()-3)="","",INDEX(MASTER_DATABASE!$AQ$4:$AQ$1000,ROW()-3))</f>
        <v>10</v>
      </c>
    </row>
    <row r="233" customFormat="false" ht="68.65" hidden="false" customHeight="false" outlineLevel="0" collapsed="false">
      <c r="A233" s="11" t="str">
        <f aca="false">IF(INDEX(MASTER_DATABASE!$A$4:$A$1000,ROW()-3)="","",INDEX(MASTER_DATABASE!$A$4:$A$1000,ROW()-3)&amp;"")</f>
        <v>ONL-002</v>
      </c>
      <c r="B233" s="7" t="str">
        <f aca="false">IF(INDEX(MASTER_DATABASE!$A$4:$A$1000,ROW()-3)="","",INDEX(MASTER_DATABASE!$E$4:$E$1000,ROW()-3)&amp;"")</f>
        <v>Government Job Form – State</v>
      </c>
      <c r="C233" s="7" t="str">
        <f aca="false">IF(INDEX(MASTER_DATABASE!$A$4:$A$1000,ROW()-3)="","",INDEX(MASTER_DATABASE!$F$4:$F$1000,ROW()-3)&amp;"")</f>
        <v>सरकारी नौकरी फॉर्म – राज्य</v>
      </c>
      <c r="D233" s="7" t="str">
        <f aca="false">IF(INDEX(MASTER_DATABASE!$A$4:$A$1000,ROW()-3)="","",INDEX(MASTER_DATABASE!$AL$4:$AL$1000,ROW()-3)&amp;"")</f>
        <v>Online Form &amp; Digital Services</v>
      </c>
      <c r="E233" s="7" t="str">
        <f aca="false">IF(INDEX(MASTER_DATABASE!$A$4:$A$1000,ROW()-3)="","",INDEX(MASTER_DATABASE!$G$4:$G$1000,ROW()-3)&amp;"")</f>
        <v>Online help with Government Job Form – State.</v>
      </c>
      <c r="F233" s="11" t="str">
        <f aca="false">IF(INDEX(MASTER_DATABASE!$A$4:$A$1000,ROW()-3)="","",INDEX(MASTER_DATABASE!$AP$4:$AP$1000,ROW()-3)&amp;"")</f>
        <v>💼</v>
      </c>
      <c r="G23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3" s="7" t="str">
        <f aca="false">IF(INDEX(MASTER_DATABASE!$A$4:$A$1000,ROW()-3)="","",INDEX(MASTER_DATABASE!$J$4:$J$1000,ROW()-3)&amp;"")</f>
        <v>Available</v>
      </c>
      <c r="K233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33" s="7" t="str">
        <f aca="false">IF(INDEX(MASTER_DATABASE!$A$4:$A$1000,ROW()-3)="","",INDEX(MASTER_DATABASE!$Q$4:$Q$1000,ROW()-3)&amp;"")</f>
        <v>Same Day</v>
      </c>
      <c r="M233" s="11" t="str">
        <f aca="false">IF(INDEX(MASTER_DATABASE!$A$4:$A$1000,ROW()-3)="","",INDEX(MASTER_DATABASE!$AI$4:$AI$1000,ROW()-3)&amp;"")</f>
        <v>No</v>
      </c>
      <c r="N233" s="11" t="str">
        <f aca="false">IF(INDEX(MASTER_DATABASE!$A$4:$A$1000,ROW()-3)="","",INDEX(MASTER_DATABASE!$AJ$4:$AJ$1000,ROW()-3)&amp;"")</f>
        <v>No</v>
      </c>
      <c r="O233" s="11" t="str">
        <f aca="false">IF(INDEX(MASTER_DATABASE!$A$4:$A$1000,ROW()-3)="","",IF(INDEX(MASTER_DATABASE!$BE$4:$BE$1000,ROW()-3)="LIVE","Yes","No"))</f>
        <v>Yes</v>
      </c>
      <c r="P233" s="7" t="str">
        <f aca="false">IF(INDEX(MASTER_DATABASE!$A$4:$A$1000,ROW()-3)="","",INDEX(MASTER_DATABASE!$BG$4:$BG$1000,ROW()-3)&amp;"")</f>
        <v>Check Documents</v>
      </c>
      <c r="Q233" s="11" t="n">
        <f aca="false">IF(INDEX(MASTER_DATABASE!$A$4:$A$1000,ROW()-3)="","",INDEX(MASTER_DATABASE!$AQ$4:$AQ$1000,ROW()-3))</f>
        <v>20</v>
      </c>
    </row>
    <row r="234" customFormat="false" ht="68.65" hidden="false" customHeight="false" outlineLevel="0" collapsed="false">
      <c r="A234" s="11" t="str">
        <f aca="false">IF(INDEX(MASTER_DATABASE!$A$4:$A$1000,ROW()-3)="","",INDEX(MASTER_DATABASE!$A$4:$A$1000,ROW()-3)&amp;"")</f>
        <v>ONL-003</v>
      </c>
      <c r="B234" s="7" t="str">
        <f aca="false">IF(INDEX(MASTER_DATABASE!$A$4:$A$1000,ROW()-3)="","",INDEX(MASTER_DATABASE!$E$4:$E$1000,ROW()-3)&amp;"")</f>
        <v>Recruitment Form – Railway (RRB)</v>
      </c>
      <c r="C234" s="7" t="str">
        <f aca="false">IF(INDEX(MASTER_DATABASE!$A$4:$A$1000,ROW()-3)="","",INDEX(MASTER_DATABASE!$F$4:$F$1000,ROW()-3)&amp;"")</f>
        <v>रेलवे भर्ती फॉर्म (RRB)</v>
      </c>
      <c r="D234" s="7" t="str">
        <f aca="false">IF(INDEX(MASTER_DATABASE!$A$4:$A$1000,ROW()-3)="","",INDEX(MASTER_DATABASE!$AL$4:$AL$1000,ROW()-3)&amp;"")</f>
        <v>Online Form &amp; Digital Services</v>
      </c>
      <c r="E234" s="7" t="str">
        <f aca="false">IF(INDEX(MASTER_DATABASE!$A$4:$A$1000,ROW()-3)="","",INDEX(MASTER_DATABASE!$G$4:$G$1000,ROW()-3)&amp;"")</f>
        <v>Online help with Recruitment Form – Railway (RRB).</v>
      </c>
      <c r="F234" s="11" t="str">
        <f aca="false">IF(INDEX(MASTER_DATABASE!$A$4:$A$1000,ROW()-3)="","",INDEX(MASTER_DATABASE!$AP$4:$AP$1000,ROW()-3)&amp;"")</f>
        <v>💼</v>
      </c>
      <c r="G23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4" s="7" t="str">
        <f aca="false">IF(INDEX(MASTER_DATABASE!$A$4:$A$1000,ROW()-3)="","",INDEX(MASTER_DATABASE!$J$4:$J$1000,ROW()-3)&amp;"")</f>
        <v>Available</v>
      </c>
      <c r="K234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34" s="7" t="str">
        <f aca="false">IF(INDEX(MASTER_DATABASE!$A$4:$A$1000,ROW()-3)="","",INDEX(MASTER_DATABASE!$Q$4:$Q$1000,ROW()-3)&amp;"")</f>
        <v>Same Day</v>
      </c>
      <c r="M234" s="11" t="str">
        <f aca="false">IF(INDEX(MASTER_DATABASE!$A$4:$A$1000,ROW()-3)="","",INDEX(MASTER_DATABASE!$AI$4:$AI$1000,ROW()-3)&amp;"")</f>
        <v>No</v>
      </c>
      <c r="N234" s="11" t="str">
        <f aca="false">IF(INDEX(MASTER_DATABASE!$A$4:$A$1000,ROW()-3)="","",INDEX(MASTER_DATABASE!$AJ$4:$AJ$1000,ROW()-3)&amp;"")</f>
        <v>No</v>
      </c>
      <c r="O234" s="11" t="str">
        <f aca="false">IF(INDEX(MASTER_DATABASE!$A$4:$A$1000,ROW()-3)="","",IF(INDEX(MASTER_DATABASE!$BE$4:$BE$1000,ROW()-3)="LIVE","Yes","No"))</f>
        <v>Yes</v>
      </c>
      <c r="P234" s="7" t="str">
        <f aca="false">IF(INDEX(MASTER_DATABASE!$A$4:$A$1000,ROW()-3)="","",INDEX(MASTER_DATABASE!$BG$4:$BG$1000,ROW()-3)&amp;"")</f>
        <v>Check Documents</v>
      </c>
      <c r="Q234" s="11" t="n">
        <f aca="false">IF(INDEX(MASTER_DATABASE!$A$4:$A$1000,ROW()-3)="","",INDEX(MASTER_DATABASE!$AQ$4:$AQ$1000,ROW()-3))</f>
        <v>30</v>
      </c>
    </row>
    <row r="235" customFormat="false" ht="68.65" hidden="false" customHeight="false" outlineLevel="0" collapsed="false">
      <c r="A235" s="11" t="str">
        <f aca="false">IF(INDEX(MASTER_DATABASE!$A$4:$A$1000,ROW()-3)="","",INDEX(MASTER_DATABASE!$A$4:$A$1000,ROW()-3)&amp;"")</f>
        <v>ONL-004</v>
      </c>
      <c r="B235" s="7" t="str">
        <f aca="false">IF(INDEX(MASTER_DATABASE!$A$4:$A$1000,ROW()-3)="","",INDEX(MASTER_DATABASE!$E$4:$E$1000,ROW()-3)&amp;"")</f>
        <v>Recruitment Form – SSC</v>
      </c>
      <c r="C235" s="7" t="str">
        <f aca="false">IF(INDEX(MASTER_DATABASE!$A$4:$A$1000,ROW()-3)="","",INDEX(MASTER_DATABASE!$F$4:$F$1000,ROW()-3)&amp;"")</f>
        <v>SSC भर्ती फॉर्म</v>
      </c>
      <c r="D235" s="7" t="str">
        <f aca="false">IF(INDEX(MASTER_DATABASE!$A$4:$A$1000,ROW()-3)="","",INDEX(MASTER_DATABASE!$AL$4:$AL$1000,ROW()-3)&amp;"")</f>
        <v>Online Form &amp; Digital Services</v>
      </c>
      <c r="E235" s="7" t="str">
        <f aca="false">IF(INDEX(MASTER_DATABASE!$A$4:$A$1000,ROW()-3)="","",INDEX(MASTER_DATABASE!$G$4:$G$1000,ROW()-3)&amp;"")</f>
        <v>Online help with Recruitment Form – SSC.</v>
      </c>
      <c r="F235" s="11" t="str">
        <f aca="false">IF(INDEX(MASTER_DATABASE!$A$4:$A$1000,ROW()-3)="","",INDEX(MASTER_DATABASE!$AP$4:$AP$1000,ROW()-3)&amp;"")</f>
        <v>💼</v>
      </c>
      <c r="G23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5" s="7" t="str">
        <f aca="false">IF(INDEX(MASTER_DATABASE!$A$4:$A$1000,ROW()-3)="","",INDEX(MASTER_DATABASE!$J$4:$J$1000,ROW()-3)&amp;"")</f>
        <v>Available</v>
      </c>
      <c r="K235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35" s="7" t="str">
        <f aca="false">IF(INDEX(MASTER_DATABASE!$A$4:$A$1000,ROW()-3)="","",INDEX(MASTER_DATABASE!$Q$4:$Q$1000,ROW()-3)&amp;"")</f>
        <v>Same Day</v>
      </c>
      <c r="M235" s="11" t="str">
        <f aca="false">IF(INDEX(MASTER_DATABASE!$A$4:$A$1000,ROW()-3)="","",INDEX(MASTER_DATABASE!$AI$4:$AI$1000,ROW()-3)&amp;"")</f>
        <v>No</v>
      </c>
      <c r="N235" s="11" t="str">
        <f aca="false">IF(INDEX(MASTER_DATABASE!$A$4:$A$1000,ROW()-3)="","",INDEX(MASTER_DATABASE!$AJ$4:$AJ$1000,ROW()-3)&amp;"")</f>
        <v>No</v>
      </c>
      <c r="O235" s="11" t="str">
        <f aca="false">IF(INDEX(MASTER_DATABASE!$A$4:$A$1000,ROW()-3)="","",IF(INDEX(MASTER_DATABASE!$BE$4:$BE$1000,ROW()-3)="LIVE","Yes","No"))</f>
        <v>Yes</v>
      </c>
      <c r="P235" s="7" t="str">
        <f aca="false">IF(INDEX(MASTER_DATABASE!$A$4:$A$1000,ROW()-3)="","",INDEX(MASTER_DATABASE!$BG$4:$BG$1000,ROW()-3)&amp;"")</f>
        <v>Check Documents</v>
      </c>
      <c r="Q235" s="11" t="n">
        <f aca="false">IF(INDEX(MASTER_DATABASE!$A$4:$A$1000,ROW()-3)="","",INDEX(MASTER_DATABASE!$AQ$4:$AQ$1000,ROW()-3))</f>
        <v>40</v>
      </c>
    </row>
    <row r="236" customFormat="false" ht="68.65" hidden="false" customHeight="false" outlineLevel="0" collapsed="false">
      <c r="A236" s="11" t="str">
        <f aca="false">IF(INDEX(MASTER_DATABASE!$A$4:$A$1000,ROW()-3)="","",INDEX(MASTER_DATABASE!$A$4:$A$1000,ROW()-3)&amp;"")</f>
        <v>ONL-005</v>
      </c>
      <c r="B236" s="7" t="str">
        <f aca="false">IF(INDEX(MASTER_DATABASE!$A$4:$A$1000,ROW()-3)="","",INDEX(MASTER_DATABASE!$E$4:$E$1000,ROW()-3)&amp;"")</f>
        <v>Recruitment Form – Bank (IBPS / SBI etc.)</v>
      </c>
      <c r="C236" s="7" t="str">
        <f aca="false">IF(INDEX(MASTER_DATABASE!$A$4:$A$1000,ROW()-3)="","",INDEX(MASTER_DATABASE!$F$4:$F$1000,ROW()-3)&amp;"")</f>
        <v>बैंक भर्ती फॉर्म (IBPS / SBI आदि)</v>
      </c>
      <c r="D236" s="7" t="str">
        <f aca="false">IF(INDEX(MASTER_DATABASE!$A$4:$A$1000,ROW()-3)="","",INDEX(MASTER_DATABASE!$AL$4:$AL$1000,ROW()-3)&amp;"")</f>
        <v>Online Form &amp; Digital Services</v>
      </c>
      <c r="E236" s="7" t="str">
        <f aca="false">IF(INDEX(MASTER_DATABASE!$A$4:$A$1000,ROW()-3)="","",INDEX(MASTER_DATABASE!$G$4:$G$1000,ROW()-3)&amp;"")</f>
        <v>Online help with Recruitment Form – Bank (IBPS / SBI etc.).</v>
      </c>
      <c r="F236" s="11" t="str">
        <f aca="false">IF(INDEX(MASTER_DATABASE!$A$4:$A$1000,ROW()-3)="","",INDEX(MASTER_DATABASE!$AP$4:$AP$1000,ROW()-3)&amp;"")</f>
        <v>💼</v>
      </c>
      <c r="G23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6" s="7" t="str">
        <f aca="false">IF(INDEX(MASTER_DATABASE!$A$4:$A$1000,ROW()-3)="","",INDEX(MASTER_DATABASE!$J$4:$J$1000,ROW()-3)&amp;"")</f>
        <v>Available</v>
      </c>
      <c r="K236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36" s="7" t="str">
        <f aca="false">IF(INDEX(MASTER_DATABASE!$A$4:$A$1000,ROW()-3)="","",INDEX(MASTER_DATABASE!$Q$4:$Q$1000,ROW()-3)&amp;"")</f>
        <v>Same Day</v>
      </c>
      <c r="M236" s="11" t="str">
        <f aca="false">IF(INDEX(MASTER_DATABASE!$A$4:$A$1000,ROW()-3)="","",INDEX(MASTER_DATABASE!$AI$4:$AI$1000,ROW()-3)&amp;"")</f>
        <v>No</v>
      </c>
      <c r="N236" s="11" t="str">
        <f aca="false">IF(INDEX(MASTER_DATABASE!$A$4:$A$1000,ROW()-3)="","",INDEX(MASTER_DATABASE!$AJ$4:$AJ$1000,ROW()-3)&amp;"")</f>
        <v>No</v>
      </c>
      <c r="O236" s="11" t="str">
        <f aca="false">IF(INDEX(MASTER_DATABASE!$A$4:$A$1000,ROW()-3)="","",IF(INDEX(MASTER_DATABASE!$BE$4:$BE$1000,ROW()-3)="LIVE","Yes","No"))</f>
        <v>Yes</v>
      </c>
      <c r="P236" s="7" t="str">
        <f aca="false">IF(INDEX(MASTER_DATABASE!$A$4:$A$1000,ROW()-3)="","",INDEX(MASTER_DATABASE!$BG$4:$BG$1000,ROW()-3)&amp;"")</f>
        <v>Check Documents</v>
      </c>
      <c r="Q236" s="11" t="n">
        <f aca="false">IF(INDEX(MASTER_DATABASE!$A$4:$A$1000,ROW()-3)="","",INDEX(MASTER_DATABASE!$AQ$4:$AQ$1000,ROW()-3))</f>
        <v>50</v>
      </c>
    </row>
    <row r="237" customFormat="false" ht="68.65" hidden="false" customHeight="false" outlineLevel="0" collapsed="false">
      <c r="A237" s="11" t="str">
        <f aca="false">IF(INDEX(MASTER_DATABASE!$A$4:$A$1000,ROW()-3)="","",INDEX(MASTER_DATABASE!$A$4:$A$1000,ROW()-3)&amp;"")</f>
        <v>ONL-006</v>
      </c>
      <c r="B237" s="7" t="str">
        <f aca="false">IF(INDEX(MASTER_DATABASE!$A$4:$A$1000,ROW()-3)="","",INDEX(MASTER_DATABASE!$E$4:$E$1000,ROW()-3)&amp;"")</f>
        <v>Recruitment Form – Police / Defence</v>
      </c>
      <c r="C237" s="7" t="str">
        <f aca="false">IF(INDEX(MASTER_DATABASE!$A$4:$A$1000,ROW()-3)="","",INDEX(MASTER_DATABASE!$F$4:$F$1000,ROW()-3)&amp;"")</f>
        <v>पुलिस / रक्षा भर्ती फॉर्म</v>
      </c>
      <c r="D237" s="7" t="str">
        <f aca="false">IF(INDEX(MASTER_DATABASE!$A$4:$A$1000,ROW()-3)="","",INDEX(MASTER_DATABASE!$AL$4:$AL$1000,ROW()-3)&amp;"")</f>
        <v>Online Form &amp; Digital Services</v>
      </c>
      <c r="E237" s="7" t="str">
        <f aca="false">IF(INDEX(MASTER_DATABASE!$A$4:$A$1000,ROW()-3)="","",INDEX(MASTER_DATABASE!$G$4:$G$1000,ROW()-3)&amp;"")</f>
        <v>Online help with Recruitment Form – Police / Defence.</v>
      </c>
      <c r="F237" s="11" t="str">
        <f aca="false">IF(INDEX(MASTER_DATABASE!$A$4:$A$1000,ROW()-3)="","",INDEX(MASTER_DATABASE!$AP$4:$AP$1000,ROW()-3)&amp;"")</f>
        <v>💼</v>
      </c>
      <c r="G23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7" s="7" t="str">
        <f aca="false">IF(INDEX(MASTER_DATABASE!$A$4:$A$1000,ROW()-3)="","",INDEX(MASTER_DATABASE!$J$4:$J$1000,ROW()-3)&amp;"")</f>
        <v>Available</v>
      </c>
      <c r="K237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37" s="7" t="str">
        <f aca="false">IF(INDEX(MASTER_DATABASE!$A$4:$A$1000,ROW()-3)="","",INDEX(MASTER_DATABASE!$Q$4:$Q$1000,ROW()-3)&amp;"")</f>
        <v>Same Day</v>
      </c>
      <c r="M237" s="11" t="str">
        <f aca="false">IF(INDEX(MASTER_DATABASE!$A$4:$A$1000,ROW()-3)="","",INDEX(MASTER_DATABASE!$AI$4:$AI$1000,ROW()-3)&amp;"")</f>
        <v>No</v>
      </c>
      <c r="N237" s="11" t="str">
        <f aca="false">IF(INDEX(MASTER_DATABASE!$A$4:$A$1000,ROW()-3)="","",INDEX(MASTER_DATABASE!$AJ$4:$AJ$1000,ROW()-3)&amp;"")</f>
        <v>No</v>
      </c>
      <c r="O237" s="11" t="str">
        <f aca="false">IF(INDEX(MASTER_DATABASE!$A$4:$A$1000,ROW()-3)="","",IF(INDEX(MASTER_DATABASE!$BE$4:$BE$1000,ROW()-3)="LIVE","Yes","No"))</f>
        <v>Yes</v>
      </c>
      <c r="P237" s="7" t="str">
        <f aca="false">IF(INDEX(MASTER_DATABASE!$A$4:$A$1000,ROW()-3)="","",INDEX(MASTER_DATABASE!$BG$4:$BG$1000,ROW()-3)&amp;"")</f>
        <v>Check Documents</v>
      </c>
      <c r="Q237" s="11" t="n">
        <f aca="false">IF(INDEX(MASTER_DATABASE!$A$4:$A$1000,ROW()-3)="","",INDEX(MASTER_DATABASE!$AQ$4:$AQ$1000,ROW()-3))</f>
        <v>60</v>
      </c>
    </row>
    <row r="238" customFormat="false" ht="68.65" hidden="false" customHeight="false" outlineLevel="0" collapsed="false">
      <c r="A238" s="11" t="str">
        <f aca="false">IF(INDEX(MASTER_DATABASE!$A$4:$A$1000,ROW()-3)="","",INDEX(MASTER_DATABASE!$A$4:$A$1000,ROW()-3)&amp;"")</f>
        <v>ONL-007</v>
      </c>
      <c r="B238" s="7" t="str">
        <f aca="false">IF(INDEX(MASTER_DATABASE!$A$4:$A$1000,ROW()-3)="","",INDEX(MASTER_DATABASE!$E$4:$E$1000,ROW()-3)&amp;"")</f>
        <v>Recruitment Form – Teacher (TET / TRE)</v>
      </c>
      <c r="C238" s="7" t="str">
        <f aca="false">IF(INDEX(MASTER_DATABASE!$A$4:$A$1000,ROW()-3)="","",INDEX(MASTER_DATABASE!$F$4:$F$1000,ROW()-3)&amp;"")</f>
        <v>शिक्षक भर्ती फॉर्म (TET / TRE)</v>
      </c>
      <c r="D238" s="7" t="str">
        <f aca="false">IF(INDEX(MASTER_DATABASE!$A$4:$A$1000,ROW()-3)="","",INDEX(MASTER_DATABASE!$AL$4:$AL$1000,ROW()-3)&amp;"")</f>
        <v>Online Form &amp; Digital Services</v>
      </c>
      <c r="E238" s="7" t="str">
        <f aca="false">IF(INDEX(MASTER_DATABASE!$A$4:$A$1000,ROW()-3)="","",INDEX(MASTER_DATABASE!$G$4:$G$1000,ROW()-3)&amp;"")</f>
        <v>Online help with Recruitment Form – Teacher (TET / TRE).</v>
      </c>
      <c r="F238" s="11" t="str">
        <f aca="false">IF(INDEX(MASTER_DATABASE!$A$4:$A$1000,ROW()-3)="","",INDEX(MASTER_DATABASE!$AP$4:$AP$1000,ROW()-3)&amp;"")</f>
        <v>💼</v>
      </c>
      <c r="G23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8" s="7" t="str">
        <f aca="false">IF(INDEX(MASTER_DATABASE!$A$4:$A$1000,ROW()-3)="","",INDEX(MASTER_DATABASE!$J$4:$J$1000,ROW()-3)&amp;"")</f>
        <v>Available</v>
      </c>
      <c r="K238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38" s="7" t="str">
        <f aca="false">IF(INDEX(MASTER_DATABASE!$A$4:$A$1000,ROW()-3)="","",INDEX(MASTER_DATABASE!$Q$4:$Q$1000,ROW()-3)&amp;"")</f>
        <v>Same Day</v>
      </c>
      <c r="M238" s="11" t="str">
        <f aca="false">IF(INDEX(MASTER_DATABASE!$A$4:$A$1000,ROW()-3)="","",INDEX(MASTER_DATABASE!$AI$4:$AI$1000,ROW()-3)&amp;"")</f>
        <v>No</v>
      </c>
      <c r="N238" s="11" t="str">
        <f aca="false">IF(INDEX(MASTER_DATABASE!$A$4:$A$1000,ROW()-3)="","",INDEX(MASTER_DATABASE!$AJ$4:$AJ$1000,ROW()-3)&amp;"")</f>
        <v>No</v>
      </c>
      <c r="O238" s="11" t="str">
        <f aca="false">IF(INDEX(MASTER_DATABASE!$A$4:$A$1000,ROW()-3)="","",IF(INDEX(MASTER_DATABASE!$BE$4:$BE$1000,ROW()-3)="LIVE","Yes","No"))</f>
        <v>Yes</v>
      </c>
      <c r="P238" s="7" t="str">
        <f aca="false">IF(INDEX(MASTER_DATABASE!$A$4:$A$1000,ROW()-3)="","",INDEX(MASTER_DATABASE!$BG$4:$BG$1000,ROW()-3)&amp;"")</f>
        <v>Check Documents</v>
      </c>
      <c r="Q238" s="11" t="n">
        <f aca="false">IF(INDEX(MASTER_DATABASE!$A$4:$A$1000,ROW()-3)="","",INDEX(MASTER_DATABASE!$AQ$4:$AQ$1000,ROW()-3))</f>
        <v>70</v>
      </c>
    </row>
    <row r="239" customFormat="false" ht="68.65" hidden="false" customHeight="false" outlineLevel="0" collapsed="false">
      <c r="A239" s="11" t="str">
        <f aca="false">IF(INDEX(MASTER_DATABASE!$A$4:$A$1000,ROW()-3)="","",INDEX(MASTER_DATABASE!$A$4:$A$1000,ROW()-3)&amp;"")</f>
        <v>ONL-008</v>
      </c>
      <c r="B239" s="7" t="str">
        <f aca="false">IF(INDEX(MASTER_DATABASE!$A$4:$A$1000,ROW()-3)="","",INDEX(MASTER_DATABASE!$E$4:$E$1000,ROW()-3)&amp;"")</f>
        <v>Competitive Exam Form (UPSC / State PSC etc.)</v>
      </c>
      <c r="C239" s="7" t="str">
        <f aca="false">IF(INDEX(MASTER_DATABASE!$A$4:$A$1000,ROW()-3)="","",INDEX(MASTER_DATABASE!$F$4:$F$1000,ROW()-3)&amp;"")</f>
        <v>प्रतियोगी परीक्षा फॉर्म (UPSC / राज्य PSC आदि)</v>
      </c>
      <c r="D239" s="7" t="str">
        <f aca="false">IF(INDEX(MASTER_DATABASE!$A$4:$A$1000,ROW()-3)="","",INDEX(MASTER_DATABASE!$AL$4:$AL$1000,ROW()-3)&amp;"")</f>
        <v>Online Form &amp; Digital Services</v>
      </c>
      <c r="E239" s="7" t="str">
        <f aca="false">IF(INDEX(MASTER_DATABASE!$A$4:$A$1000,ROW()-3)="","",INDEX(MASTER_DATABASE!$G$4:$G$1000,ROW()-3)&amp;"")</f>
        <v>Online help with Competitive Exam Form (UPSC / State PSC etc.).</v>
      </c>
      <c r="F239" s="11" t="str">
        <f aca="false">IF(INDEX(MASTER_DATABASE!$A$4:$A$1000,ROW()-3)="","",INDEX(MASTER_DATABASE!$AP$4:$AP$1000,ROW()-3)&amp;"")</f>
        <v>💼</v>
      </c>
      <c r="G23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3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3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39" s="7" t="str">
        <f aca="false">IF(INDEX(MASTER_DATABASE!$A$4:$A$1000,ROW()-3)="","",INDEX(MASTER_DATABASE!$J$4:$J$1000,ROW()-3)&amp;"")</f>
        <v>Available</v>
      </c>
      <c r="K239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39" s="7" t="str">
        <f aca="false">IF(INDEX(MASTER_DATABASE!$A$4:$A$1000,ROW()-3)="","",INDEX(MASTER_DATABASE!$Q$4:$Q$1000,ROW()-3)&amp;"")</f>
        <v>Same Day</v>
      </c>
      <c r="M239" s="11" t="str">
        <f aca="false">IF(INDEX(MASTER_DATABASE!$A$4:$A$1000,ROW()-3)="","",INDEX(MASTER_DATABASE!$AI$4:$AI$1000,ROW()-3)&amp;"")</f>
        <v>No</v>
      </c>
      <c r="N239" s="11" t="str">
        <f aca="false">IF(INDEX(MASTER_DATABASE!$A$4:$A$1000,ROW()-3)="","",INDEX(MASTER_DATABASE!$AJ$4:$AJ$1000,ROW()-3)&amp;"")</f>
        <v>No</v>
      </c>
      <c r="O239" s="11" t="str">
        <f aca="false">IF(INDEX(MASTER_DATABASE!$A$4:$A$1000,ROW()-3)="","",IF(INDEX(MASTER_DATABASE!$BE$4:$BE$1000,ROW()-3)="LIVE","Yes","No"))</f>
        <v>Yes</v>
      </c>
      <c r="P239" s="7" t="str">
        <f aca="false">IF(INDEX(MASTER_DATABASE!$A$4:$A$1000,ROW()-3)="","",INDEX(MASTER_DATABASE!$BG$4:$BG$1000,ROW()-3)&amp;"")</f>
        <v>Check Documents</v>
      </c>
      <c r="Q239" s="11" t="n">
        <f aca="false">IF(INDEX(MASTER_DATABASE!$A$4:$A$1000,ROW()-3)="","",INDEX(MASTER_DATABASE!$AQ$4:$AQ$1000,ROW()-3))</f>
        <v>80</v>
      </c>
    </row>
    <row r="240" customFormat="false" ht="68.65" hidden="false" customHeight="false" outlineLevel="0" collapsed="false">
      <c r="A240" s="11" t="str">
        <f aca="false">IF(INDEX(MASTER_DATABASE!$A$4:$A$1000,ROW()-3)="","",INDEX(MASTER_DATABASE!$A$4:$A$1000,ROW()-3)&amp;"")</f>
        <v>ONL-009</v>
      </c>
      <c r="B240" s="7" t="str">
        <f aca="false">IF(INDEX(MASTER_DATABASE!$A$4:$A$1000,ROW()-3)="","",INDEX(MASTER_DATABASE!$E$4:$E$1000,ROW()-3)&amp;"")</f>
        <v>Entrance Exam Form (JEE / NEET / CUET etc.)</v>
      </c>
      <c r="C240" s="7" t="str">
        <f aca="false">IF(INDEX(MASTER_DATABASE!$A$4:$A$1000,ROW()-3)="","",INDEX(MASTER_DATABASE!$F$4:$F$1000,ROW()-3)&amp;"")</f>
        <v>प्रवेश परीक्षा फॉर्म (JEE / NEET / CUET आदि)</v>
      </c>
      <c r="D240" s="7" t="str">
        <f aca="false">IF(INDEX(MASTER_DATABASE!$A$4:$A$1000,ROW()-3)="","",INDEX(MASTER_DATABASE!$AL$4:$AL$1000,ROW()-3)&amp;"")</f>
        <v>Online Form &amp; Digital Services</v>
      </c>
      <c r="E240" s="7" t="str">
        <f aca="false">IF(INDEX(MASTER_DATABASE!$A$4:$A$1000,ROW()-3)="","",INDEX(MASTER_DATABASE!$G$4:$G$1000,ROW()-3)&amp;"")</f>
        <v>Online help with Entrance Exam Form (JEE / NEET / CUET etc.).</v>
      </c>
      <c r="F240" s="11" t="str">
        <f aca="false">IF(INDEX(MASTER_DATABASE!$A$4:$A$1000,ROW()-3)="","",INDEX(MASTER_DATABASE!$AP$4:$AP$1000,ROW()-3)&amp;"")</f>
        <v>💼</v>
      </c>
      <c r="G24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0" s="7" t="str">
        <f aca="false">IF(INDEX(MASTER_DATABASE!$A$4:$A$1000,ROW()-3)="","",INDEX(MASTER_DATABASE!$J$4:$J$1000,ROW()-3)&amp;"")</f>
        <v>Available</v>
      </c>
      <c r="K240" s="7" t="str">
        <f aca="false">IF(INDEX(MASTER_DATABASE!$A$4:$A$1000,ROW()-3)="","",INDEX(MASTER_DATABASE!$M$4:$M$1000,ROW()-3)&amp;"")</f>
        <v>✓ Aadhaar Card
✓ Educational Certificates
✓ Photo &amp; Signature (Soft Copy)
✓ Active Mobile Number
✓ Email ID
✓ Exam / Form Notification Details</v>
      </c>
      <c r="L240" s="7" t="str">
        <f aca="false">IF(INDEX(MASTER_DATABASE!$A$4:$A$1000,ROW()-3)="","",INDEX(MASTER_DATABASE!$Q$4:$Q$1000,ROW()-3)&amp;"")</f>
        <v>Same Day</v>
      </c>
      <c r="M240" s="11" t="str">
        <f aca="false">IF(INDEX(MASTER_DATABASE!$A$4:$A$1000,ROW()-3)="","",INDEX(MASTER_DATABASE!$AI$4:$AI$1000,ROW()-3)&amp;"")</f>
        <v>No</v>
      </c>
      <c r="N240" s="11" t="str">
        <f aca="false">IF(INDEX(MASTER_DATABASE!$A$4:$A$1000,ROW()-3)="","",INDEX(MASTER_DATABASE!$AJ$4:$AJ$1000,ROW()-3)&amp;"")</f>
        <v>No</v>
      </c>
      <c r="O240" s="11" t="str">
        <f aca="false">IF(INDEX(MASTER_DATABASE!$A$4:$A$1000,ROW()-3)="","",IF(INDEX(MASTER_DATABASE!$BE$4:$BE$1000,ROW()-3)="LIVE","Yes","No"))</f>
        <v>Yes</v>
      </c>
      <c r="P240" s="7" t="str">
        <f aca="false">IF(INDEX(MASTER_DATABASE!$A$4:$A$1000,ROW()-3)="","",INDEX(MASTER_DATABASE!$BG$4:$BG$1000,ROW()-3)&amp;"")</f>
        <v>Check Documents</v>
      </c>
      <c r="Q240" s="11" t="n">
        <f aca="false">IF(INDEX(MASTER_DATABASE!$A$4:$A$1000,ROW()-3)="","",INDEX(MASTER_DATABASE!$AQ$4:$AQ$1000,ROW()-3))</f>
        <v>90</v>
      </c>
    </row>
    <row r="241" customFormat="false" ht="46.25" hidden="false" customHeight="false" outlineLevel="0" collapsed="false">
      <c r="A241" s="11" t="str">
        <f aca="false">IF(INDEX(MASTER_DATABASE!$A$4:$A$1000,ROW()-3)="","",INDEX(MASTER_DATABASE!$A$4:$A$1000,ROW()-3)&amp;"")</f>
        <v>ONL-010</v>
      </c>
      <c r="B241" s="7" t="str">
        <f aca="false">IF(INDEX(MASTER_DATABASE!$A$4:$A$1000,ROW()-3)="","",INDEX(MASTER_DATABASE!$E$4:$E$1000,ROW()-3)&amp;"")</f>
        <v>School Admission Form</v>
      </c>
      <c r="C241" s="7" t="str">
        <f aca="false">IF(INDEX(MASTER_DATABASE!$A$4:$A$1000,ROW()-3)="","",INDEX(MASTER_DATABASE!$F$4:$F$1000,ROW()-3)&amp;"")</f>
        <v>स्कूल दाखिला फॉर्म</v>
      </c>
      <c r="D241" s="7" t="str">
        <f aca="false">IF(INDEX(MASTER_DATABASE!$A$4:$A$1000,ROW()-3)="","",INDEX(MASTER_DATABASE!$AL$4:$AL$1000,ROW()-3)&amp;"")</f>
        <v>Online Form &amp; Digital Services</v>
      </c>
      <c r="E241" s="7" t="str">
        <f aca="false">IF(INDEX(MASTER_DATABASE!$A$4:$A$1000,ROW()-3)="","",INDEX(MASTER_DATABASE!$G$4:$G$1000,ROW()-3)&amp;"")</f>
        <v>Online help with School Admission Form.</v>
      </c>
      <c r="F241" s="11" t="str">
        <f aca="false">IF(INDEX(MASTER_DATABASE!$A$4:$A$1000,ROW()-3)="","",INDEX(MASTER_DATABASE!$AP$4:$AP$1000,ROW()-3)&amp;"")</f>
        <v>🎓</v>
      </c>
      <c r="G24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1" s="7" t="str">
        <f aca="false">IF(INDEX(MASTER_DATABASE!$A$4:$A$1000,ROW()-3)="","",INDEX(MASTER_DATABASE!$J$4:$J$1000,ROW()-3)&amp;"")</f>
        <v>Available</v>
      </c>
      <c r="K241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1" s="7" t="str">
        <f aca="false">IF(INDEX(MASTER_DATABASE!$A$4:$A$1000,ROW()-3)="","",INDEX(MASTER_DATABASE!$Q$4:$Q$1000,ROW()-3)&amp;"")</f>
        <v>Same Day</v>
      </c>
      <c r="M241" s="11" t="str">
        <f aca="false">IF(INDEX(MASTER_DATABASE!$A$4:$A$1000,ROW()-3)="","",INDEX(MASTER_DATABASE!$AI$4:$AI$1000,ROW()-3)&amp;"")</f>
        <v>No</v>
      </c>
      <c r="N241" s="11" t="str">
        <f aca="false">IF(INDEX(MASTER_DATABASE!$A$4:$A$1000,ROW()-3)="","",INDEX(MASTER_DATABASE!$AJ$4:$AJ$1000,ROW()-3)&amp;"")</f>
        <v>No</v>
      </c>
      <c r="O241" s="11" t="str">
        <f aca="false">IF(INDEX(MASTER_DATABASE!$A$4:$A$1000,ROW()-3)="","",IF(INDEX(MASTER_DATABASE!$BE$4:$BE$1000,ROW()-3)="LIVE","Yes","No"))</f>
        <v>Yes</v>
      </c>
      <c r="P241" s="7" t="str">
        <f aca="false">IF(INDEX(MASTER_DATABASE!$A$4:$A$1000,ROW()-3)="","",INDEX(MASTER_DATABASE!$BG$4:$BG$1000,ROW()-3)&amp;"")</f>
        <v>Check Documents</v>
      </c>
      <c r="Q241" s="11" t="n">
        <f aca="false">IF(INDEX(MASTER_DATABASE!$A$4:$A$1000,ROW()-3)="","",INDEX(MASTER_DATABASE!$AQ$4:$AQ$1000,ROW()-3))</f>
        <v>100</v>
      </c>
    </row>
    <row r="242" customFormat="false" ht="46.25" hidden="false" customHeight="false" outlineLevel="0" collapsed="false">
      <c r="A242" s="11" t="str">
        <f aca="false">IF(INDEX(MASTER_DATABASE!$A$4:$A$1000,ROW()-3)="","",INDEX(MASTER_DATABASE!$A$4:$A$1000,ROW()-3)&amp;"")</f>
        <v>ONL-011</v>
      </c>
      <c r="B242" s="7" t="str">
        <f aca="false">IF(INDEX(MASTER_DATABASE!$A$4:$A$1000,ROW()-3)="","",INDEX(MASTER_DATABASE!$E$4:$E$1000,ROW()-3)&amp;"")</f>
        <v>College Admission Form</v>
      </c>
      <c r="C242" s="7" t="str">
        <f aca="false">IF(INDEX(MASTER_DATABASE!$A$4:$A$1000,ROW()-3)="","",INDEX(MASTER_DATABASE!$F$4:$F$1000,ROW()-3)&amp;"")</f>
        <v>कॉलेज दाखिला फॉर्म</v>
      </c>
      <c r="D242" s="7" t="str">
        <f aca="false">IF(INDEX(MASTER_DATABASE!$A$4:$A$1000,ROW()-3)="","",INDEX(MASTER_DATABASE!$AL$4:$AL$1000,ROW()-3)&amp;"")</f>
        <v>Online Form &amp; Digital Services</v>
      </c>
      <c r="E242" s="7" t="str">
        <f aca="false">IF(INDEX(MASTER_DATABASE!$A$4:$A$1000,ROW()-3)="","",INDEX(MASTER_DATABASE!$G$4:$G$1000,ROW()-3)&amp;"")</f>
        <v>Online help with College Admission Form.</v>
      </c>
      <c r="F242" s="11" t="str">
        <f aca="false">IF(INDEX(MASTER_DATABASE!$A$4:$A$1000,ROW()-3)="","",INDEX(MASTER_DATABASE!$AP$4:$AP$1000,ROW()-3)&amp;"")</f>
        <v>🎓</v>
      </c>
      <c r="G24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2" s="7" t="str">
        <f aca="false">IF(INDEX(MASTER_DATABASE!$A$4:$A$1000,ROW()-3)="","",INDEX(MASTER_DATABASE!$J$4:$J$1000,ROW()-3)&amp;"")</f>
        <v>Available</v>
      </c>
      <c r="K242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2" s="7" t="str">
        <f aca="false">IF(INDEX(MASTER_DATABASE!$A$4:$A$1000,ROW()-3)="","",INDEX(MASTER_DATABASE!$Q$4:$Q$1000,ROW()-3)&amp;"")</f>
        <v>Same Day</v>
      </c>
      <c r="M242" s="11" t="str">
        <f aca="false">IF(INDEX(MASTER_DATABASE!$A$4:$A$1000,ROW()-3)="","",INDEX(MASTER_DATABASE!$AI$4:$AI$1000,ROW()-3)&amp;"")</f>
        <v>No</v>
      </c>
      <c r="N242" s="11" t="str">
        <f aca="false">IF(INDEX(MASTER_DATABASE!$A$4:$A$1000,ROW()-3)="","",INDEX(MASTER_DATABASE!$AJ$4:$AJ$1000,ROW()-3)&amp;"")</f>
        <v>No</v>
      </c>
      <c r="O242" s="11" t="str">
        <f aca="false">IF(INDEX(MASTER_DATABASE!$A$4:$A$1000,ROW()-3)="","",IF(INDEX(MASTER_DATABASE!$BE$4:$BE$1000,ROW()-3)="LIVE","Yes","No"))</f>
        <v>Yes</v>
      </c>
      <c r="P242" s="7" t="str">
        <f aca="false">IF(INDEX(MASTER_DATABASE!$A$4:$A$1000,ROW()-3)="","",INDEX(MASTER_DATABASE!$BG$4:$BG$1000,ROW()-3)&amp;"")</f>
        <v>Check Documents</v>
      </c>
      <c r="Q242" s="11" t="n">
        <f aca="false">IF(INDEX(MASTER_DATABASE!$A$4:$A$1000,ROW()-3)="","",INDEX(MASTER_DATABASE!$AQ$4:$AQ$1000,ROW()-3))</f>
        <v>110</v>
      </c>
    </row>
    <row r="243" customFormat="false" ht="46.25" hidden="false" customHeight="false" outlineLevel="0" collapsed="false">
      <c r="A243" s="11" t="str">
        <f aca="false">IF(INDEX(MASTER_DATABASE!$A$4:$A$1000,ROW()-3)="","",INDEX(MASTER_DATABASE!$A$4:$A$1000,ROW()-3)&amp;"")</f>
        <v>ONL-012</v>
      </c>
      <c r="B243" s="7" t="str">
        <f aca="false">IF(INDEX(MASTER_DATABASE!$A$4:$A$1000,ROW()-3)="","",INDEX(MASTER_DATABASE!$E$4:$E$1000,ROW()-3)&amp;"")</f>
        <v>University Admission Form</v>
      </c>
      <c r="C243" s="7" t="str">
        <f aca="false">IF(INDEX(MASTER_DATABASE!$A$4:$A$1000,ROW()-3)="","",INDEX(MASTER_DATABASE!$F$4:$F$1000,ROW()-3)&amp;"")</f>
        <v>विश्वविद्यालय दाखिला फॉर्म</v>
      </c>
      <c r="D243" s="7" t="str">
        <f aca="false">IF(INDEX(MASTER_DATABASE!$A$4:$A$1000,ROW()-3)="","",INDEX(MASTER_DATABASE!$AL$4:$AL$1000,ROW()-3)&amp;"")</f>
        <v>Online Form &amp; Digital Services</v>
      </c>
      <c r="E243" s="7" t="str">
        <f aca="false">IF(INDEX(MASTER_DATABASE!$A$4:$A$1000,ROW()-3)="","",INDEX(MASTER_DATABASE!$G$4:$G$1000,ROW()-3)&amp;"")</f>
        <v>Online help with University Admission Form.</v>
      </c>
      <c r="F243" s="11" t="str">
        <f aca="false">IF(INDEX(MASTER_DATABASE!$A$4:$A$1000,ROW()-3)="","",INDEX(MASTER_DATABASE!$AP$4:$AP$1000,ROW()-3)&amp;"")</f>
        <v>🎓</v>
      </c>
      <c r="G24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3" s="7" t="str">
        <f aca="false">IF(INDEX(MASTER_DATABASE!$A$4:$A$1000,ROW()-3)="","",INDEX(MASTER_DATABASE!$J$4:$J$1000,ROW()-3)&amp;"")</f>
        <v>Available</v>
      </c>
      <c r="K243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3" s="7" t="str">
        <f aca="false">IF(INDEX(MASTER_DATABASE!$A$4:$A$1000,ROW()-3)="","",INDEX(MASTER_DATABASE!$Q$4:$Q$1000,ROW()-3)&amp;"")</f>
        <v>Same Day</v>
      </c>
      <c r="M243" s="11" t="str">
        <f aca="false">IF(INDEX(MASTER_DATABASE!$A$4:$A$1000,ROW()-3)="","",INDEX(MASTER_DATABASE!$AI$4:$AI$1000,ROW()-3)&amp;"")</f>
        <v>No</v>
      </c>
      <c r="N243" s="11" t="str">
        <f aca="false">IF(INDEX(MASTER_DATABASE!$A$4:$A$1000,ROW()-3)="","",INDEX(MASTER_DATABASE!$AJ$4:$AJ$1000,ROW()-3)&amp;"")</f>
        <v>No</v>
      </c>
      <c r="O243" s="11" t="str">
        <f aca="false">IF(INDEX(MASTER_DATABASE!$A$4:$A$1000,ROW()-3)="","",IF(INDEX(MASTER_DATABASE!$BE$4:$BE$1000,ROW()-3)="LIVE","Yes","No"))</f>
        <v>Yes</v>
      </c>
      <c r="P243" s="7" t="str">
        <f aca="false">IF(INDEX(MASTER_DATABASE!$A$4:$A$1000,ROW()-3)="","",INDEX(MASTER_DATABASE!$BG$4:$BG$1000,ROW()-3)&amp;"")</f>
        <v>Check Documents</v>
      </c>
      <c r="Q243" s="11" t="n">
        <f aca="false">IF(INDEX(MASTER_DATABASE!$A$4:$A$1000,ROW()-3)="","",INDEX(MASTER_DATABASE!$AQ$4:$AQ$1000,ROW()-3))</f>
        <v>120</v>
      </c>
    </row>
    <row r="244" customFormat="false" ht="46.25" hidden="false" customHeight="false" outlineLevel="0" collapsed="false">
      <c r="A244" s="11" t="str">
        <f aca="false">IF(INDEX(MASTER_DATABASE!$A$4:$A$1000,ROW()-3)="","",INDEX(MASTER_DATABASE!$A$4:$A$1000,ROW()-3)&amp;"")</f>
        <v>ONL-013</v>
      </c>
      <c r="B244" s="7" t="str">
        <f aca="false">IF(INDEX(MASTER_DATABASE!$A$4:$A$1000,ROW()-3)="","",INDEX(MASTER_DATABASE!$E$4:$E$1000,ROW()-3)&amp;"")</f>
        <v>ITI Admission Form</v>
      </c>
      <c r="C244" s="7" t="str">
        <f aca="false">IF(INDEX(MASTER_DATABASE!$A$4:$A$1000,ROW()-3)="","",INDEX(MASTER_DATABASE!$F$4:$F$1000,ROW()-3)&amp;"")</f>
        <v>ITI दाखिला फॉर्म</v>
      </c>
      <c r="D244" s="7" t="str">
        <f aca="false">IF(INDEX(MASTER_DATABASE!$A$4:$A$1000,ROW()-3)="","",INDEX(MASTER_DATABASE!$AL$4:$AL$1000,ROW()-3)&amp;"")</f>
        <v>Online Form &amp; Digital Services</v>
      </c>
      <c r="E244" s="7" t="str">
        <f aca="false">IF(INDEX(MASTER_DATABASE!$A$4:$A$1000,ROW()-3)="","",INDEX(MASTER_DATABASE!$G$4:$G$1000,ROW()-3)&amp;"")</f>
        <v>Online help with ITI Admission Form.</v>
      </c>
      <c r="F244" s="11" t="str">
        <f aca="false">IF(INDEX(MASTER_DATABASE!$A$4:$A$1000,ROW()-3)="","",INDEX(MASTER_DATABASE!$AP$4:$AP$1000,ROW()-3)&amp;"")</f>
        <v>🎓</v>
      </c>
      <c r="G24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4" s="7" t="str">
        <f aca="false">IF(INDEX(MASTER_DATABASE!$A$4:$A$1000,ROW()-3)="","",INDEX(MASTER_DATABASE!$J$4:$J$1000,ROW()-3)&amp;"")</f>
        <v>Available</v>
      </c>
      <c r="K244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4" s="7" t="str">
        <f aca="false">IF(INDEX(MASTER_DATABASE!$A$4:$A$1000,ROW()-3)="","",INDEX(MASTER_DATABASE!$Q$4:$Q$1000,ROW()-3)&amp;"")</f>
        <v>Same Day</v>
      </c>
      <c r="M244" s="11" t="str">
        <f aca="false">IF(INDEX(MASTER_DATABASE!$A$4:$A$1000,ROW()-3)="","",INDEX(MASTER_DATABASE!$AI$4:$AI$1000,ROW()-3)&amp;"")</f>
        <v>No</v>
      </c>
      <c r="N244" s="11" t="str">
        <f aca="false">IF(INDEX(MASTER_DATABASE!$A$4:$A$1000,ROW()-3)="","",INDEX(MASTER_DATABASE!$AJ$4:$AJ$1000,ROW()-3)&amp;"")</f>
        <v>No</v>
      </c>
      <c r="O244" s="11" t="str">
        <f aca="false">IF(INDEX(MASTER_DATABASE!$A$4:$A$1000,ROW()-3)="","",IF(INDEX(MASTER_DATABASE!$BE$4:$BE$1000,ROW()-3)="LIVE","Yes","No"))</f>
        <v>Yes</v>
      </c>
      <c r="P244" s="7" t="str">
        <f aca="false">IF(INDEX(MASTER_DATABASE!$A$4:$A$1000,ROW()-3)="","",INDEX(MASTER_DATABASE!$BG$4:$BG$1000,ROW()-3)&amp;"")</f>
        <v>Check Documents</v>
      </c>
      <c r="Q244" s="11" t="n">
        <f aca="false">IF(INDEX(MASTER_DATABASE!$A$4:$A$1000,ROW()-3)="","",INDEX(MASTER_DATABASE!$AQ$4:$AQ$1000,ROW()-3))</f>
        <v>130</v>
      </c>
    </row>
    <row r="245" customFormat="false" ht="46.25" hidden="false" customHeight="false" outlineLevel="0" collapsed="false">
      <c r="A245" s="11" t="str">
        <f aca="false">IF(INDEX(MASTER_DATABASE!$A$4:$A$1000,ROW()-3)="","",INDEX(MASTER_DATABASE!$A$4:$A$1000,ROW()-3)&amp;"")</f>
        <v>ONL-014</v>
      </c>
      <c r="B245" s="7" t="str">
        <f aca="false">IF(INDEX(MASTER_DATABASE!$A$4:$A$1000,ROW()-3)="","",INDEX(MASTER_DATABASE!$E$4:$E$1000,ROW()-3)&amp;"")</f>
        <v>Polytechnic Admission Form</v>
      </c>
      <c r="C245" s="7" t="str">
        <f aca="false">IF(INDEX(MASTER_DATABASE!$A$4:$A$1000,ROW()-3)="","",INDEX(MASTER_DATABASE!$F$4:$F$1000,ROW()-3)&amp;"")</f>
        <v>पॉलिटेक्निक दाखिला फॉर्म</v>
      </c>
      <c r="D245" s="7" t="str">
        <f aca="false">IF(INDEX(MASTER_DATABASE!$A$4:$A$1000,ROW()-3)="","",INDEX(MASTER_DATABASE!$AL$4:$AL$1000,ROW()-3)&amp;"")</f>
        <v>Online Form &amp; Digital Services</v>
      </c>
      <c r="E245" s="7" t="str">
        <f aca="false">IF(INDEX(MASTER_DATABASE!$A$4:$A$1000,ROW()-3)="","",INDEX(MASTER_DATABASE!$G$4:$G$1000,ROW()-3)&amp;"")</f>
        <v>Online help with Polytechnic Admission Form.</v>
      </c>
      <c r="F245" s="11" t="str">
        <f aca="false">IF(INDEX(MASTER_DATABASE!$A$4:$A$1000,ROW()-3)="","",INDEX(MASTER_DATABASE!$AP$4:$AP$1000,ROW()-3)&amp;"")</f>
        <v>🎓</v>
      </c>
      <c r="G24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5" s="7" t="str">
        <f aca="false">IF(INDEX(MASTER_DATABASE!$A$4:$A$1000,ROW()-3)="","",INDEX(MASTER_DATABASE!$J$4:$J$1000,ROW()-3)&amp;"")</f>
        <v>Available</v>
      </c>
      <c r="K245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5" s="7" t="str">
        <f aca="false">IF(INDEX(MASTER_DATABASE!$A$4:$A$1000,ROW()-3)="","",INDEX(MASTER_DATABASE!$Q$4:$Q$1000,ROW()-3)&amp;"")</f>
        <v>Same Day</v>
      </c>
      <c r="M245" s="11" t="str">
        <f aca="false">IF(INDEX(MASTER_DATABASE!$A$4:$A$1000,ROW()-3)="","",INDEX(MASTER_DATABASE!$AI$4:$AI$1000,ROW()-3)&amp;"")</f>
        <v>No</v>
      </c>
      <c r="N245" s="11" t="str">
        <f aca="false">IF(INDEX(MASTER_DATABASE!$A$4:$A$1000,ROW()-3)="","",INDEX(MASTER_DATABASE!$AJ$4:$AJ$1000,ROW()-3)&amp;"")</f>
        <v>No</v>
      </c>
      <c r="O245" s="11" t="str">
        <f aca="false">IF(INDEX(MASTER_DATABASE!$A$4:$A$1000,ROW()-3)="","",IF(INDEX(MASTER_DATABASE!$BE$4:$BE$1000,ROW()-3)="LIVE","Yes","No"))</f>
        <v>Yes</v>
      </c>
      <c r="P245" s="7" t="str">
        <f aca="false">IF(INDEX(MASTER_DATABASE!$A$4:$A$1000,ROW()-3)="","",INDEX(MASTER_DATABASE!$BG$4:$BG$1000,ROW()-3)&amp;"")</f>
        <v>Check Documents</v>
      </c>
      <c r="Q245" s="11" t="n">
        <f aca="false">IF(INDEX(MASTER_DATABASE!$A$4:$A$1000,ROW()-3)="","",INDEX(MASTER_DATABASE!$AQ$4:$AQ$1000,ROW()-3))</f>
        <v>140</v>
      </c>
    </row>
    <row r="246" customFormat="false" ht="46.25" hidden="false" customHeight="false" outlineLevel="0" collapsed="false">
      <c r="A246" s="11" t="str">
        <f aca="false">IF(INDEX(MASTER_DATABASE!$A$4:$A$1000,ROW()-3)="","",INDEX(MASTER_DATABASE!$A$4:$A$1000,ROW()-3)&amp;"")</f>
        <v>ONL-015</v>
      </c>
      <c r="B246" s="7" t="str">
        <f aca="false">IF(INDEX(MASTER_DATABASE!$A$4:$A$1000,ROW()-3)="","",INDEX(MASTER_DATABASE!$E$4:$E$1000,ROW()-3)&amp;"")</f>
        <v>Scholarship Application</v>
      </c>
      <c r="C246" s="7" t="str">
        <f aca="false">IF(INDEX(MASTER_DATABASE!$A$4:$A$1000,ROW()-3)="","",INDEX(MASTER_DATABASE!$F$4:$F$1000,ROW()-3)&amp;"")</f>
        <v>छात्रवृत्ति आवेदन</v>
      </c>
      <c r="D246" s="7" t="str">
        <f aca="false">IF(INDEX(MASTER_DATABASE!$A$4:$A$1000,ROW()-3)="","",INDEX(MASTER_DATABASE!$AL$4:$AL$1000,ROW()-3)&amp;"")</f>
        <v>Online Form &amp; Digital Services</v>
      </c>
      <c r="E246" s="7" t="str">
        <f aca="false">IF(INDEX(MASTER_DATABASE!$A$4:$A$1000,ROW()-3)="","",INDEX(MASTER_DATABASE!$G$4:$G$1000,ROW()-3)&amp;"")</f>
        <v>Online help with Scholarship Application.</v>
      </c>
      <c r="F246" s="11" t="str">
        <f aca="false">IF(INDEX(MASTER_DATABASE!$A$4:$A$1000,ROW()-3)="","",INDEX(MASTER_DATABASE!$AP$4:$AP$1000,ROW()-3)&amp;"")</f>
        <v>🎓</v>
      </c>
      <c r="G24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6" s="7" t="str">
        <f aca="false">IF(INDEX(MASTER_DATABASE!$A$4:$A$1000,ROW()-3)="","",INDEX(MASTER_DATABASE!$J$4:$J$1000,ROW()-3)&amp;"")</f>
        <v>Available</v>
      </c>
      <c r="K246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6" s="7" t="str">
        <f aca="false">IF(INDEX(MASTER_DATABASE!$A$4:$A$1000,ROW()-3)="","",INDEX(MASTER_DATABASE!$Q$4:$Q$1000,ROW()-3)&amp;"")</f>
        <v>Same Day</v>
      </c>
      <c r="M246" s="11" t="str">
        <f aca="false">IF(INDEX(MASTER_DATABASE!$A$4:$A$1000,ROW()-3)="","",INDEX(MASTER_DATABASE!$AI$4:$AI$1000,ROW()-3)&amp;"")</f>
        <v>No</v>
      </c>
      <c r="N246" s="11" t="str">
        <f aca="false">IF(INDEX(MASTER_DATABASE!$A$4:$A$1000,ROW()-3)="","",INDEX(MASTER_DATABASE!$AJ$4:$AJ$1000,ROW()-3)&amp;"")</f>
        <v>No</v>
      </c>
      <c r="O246" s="11" t="str">
        <f aca="false">IF(INDEX(MASTER_DATABASE!$A$4:$A$1000,ROW()-3)="","",IF(INDEX(MASTER_DATABASE!$BE$4:$BE$1000,ROW()-3)="LIVE","Yes","No"))</f>
        <v>Yes</v>
      </c>
      <c r="P246" s="7" t="str">
        <f aca="false">IF(INDEX(MASTER_DATABASE!$A$4:$A$1000,ROW()-3)="","",INDEX(MASTER_DATABASE!$BG$4:$BG$1000,ROW()-3)&amp;"")</f>
        <v>Check Documents</v>
      </c>
      <c r="Q246" s="11" t="n">
        <f aca="false">IF(INDEX(MASTER_DATABASE!$A$4:$A$1000,ROW()-3)="","",INDEX(MASTER_DATABASE!$AQ$4:$AQ$1000,ROW()-3))</f>
        <v>150</v>
      </c>
    </row>
    <row r="247" customFormat="false" ht="46.25" hidden="false" customHeight="false" outlineLevel="0" collapsed="false">
      <c r="A247" s="11" t="str">
        <f aca="false">IF(INDEX(MASTER_DATABASE!$A$4:$A$1000,ROW()-3)="","",INDEX(MASTER_DATABASE!$A$4:$A$1000,ROW()-3)&amp;"")</f>
        <v>ONL-016</v>
      </c>
      <c r="B247" s="7" t="str">
        <f aca="false">IF(INDEX(MASTER_DATABASE!$A$4:$A$1000,ROW()-3)="","",INDEX(MASTER_DATABASE!$E$4:$E$1000,ROW()-3)&amp;"")</f>
        <v>Student Credit Card / Education Loan Scheme Application</v>
      </c>
      <c r="C247" s="7" t="str">
        <f aca="false">IF(INDEX(MASTER_DATABASE!$A$4:$A$1000,ROW()-3)="","",INDEX(MASTER_DATABASE!$F$4:$F$1000,ROW()-3)&amp;"")</f>
        <v>स्टूडेंट क्रेडिट कार्ड / शिक्षा ऋण योजना आवेदन</v>
      </c>
      <c r="D247" s="7" t="str">
        <f aca="false">IF(INDEX(MASTER_DATABASE!$A$4:$A$1000,ROW()-3)="","",INDEX(MASTER_DATABASE!$AL$4:$AL$1000,ROW()-3)&amp;"")</f>
        <v>Online Form &amp; Digital Services</v>
      </c>
      <c r="E247" s="7" t="str">
        <f aca="false">IF(INDEX(MASTER_DATABASE!$A$4:$A$1000,ROW()-3)="","",INDEX(MASTER_DATABASE!$G$4:$G$1000,ROW()-3)&amp;"")</f>
        <v>Online help with Student Credit Card / Education Loan Scheme Application.</v>
      </c>
      <c r="F247" s="11" t="str">
        <f aca="false">IF(INDEX(MASTER_DATABASE!$A$4:$A$1000,ROW()-3)="","",INDEX(MASTER_DATABASE!$AP$4:$AP$1000,ROW()-3)&amp;"")</f>
        <v>🎓</v>
      </c>
      <c r="G24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7" s="7" t="str">
        <f aca="false">IF(INDEX(MASTER_DATABASE!$A$4:$A$1000,ROW()-3)="","",INDEX(MASTER_DATABASE!$J$4:$J$1000,ROW()-3)&amp;"")</f>
        <v>To Be Confirmed</v>
      </c>
      <c r="K247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7" s="7" t="str">
        <f aca="false">IF(INDEX(MASTER_DATABASE!$A$4:$A$1000,ROW()-3)="","",INDEX(MASTER_DATABASE!$Q$4:$Q$1000,ROW()-3)&amp;"")</f>
        <v>Same Day</v>
      </c>
      <c r="M247" s="11" t="str">
        <f aca="false">IF(INDEX(MASTER_DATABASE!$A$4:$A$1000,ROW()-3)="","",INDEX(MASTER_DATABASE!$AI$4:$AI$1000,ROW()-3)&amp;"")</f>
        <v>No</v>
      </c>
      <c r="N247" s="11" t="str">
        <f aca="false">IF(INDEX(MASTER_DATABASE!$A$4:$A$1000,ROW()-3)="","",INDEX(MASTER_DATABASE!$AJ$4:$AJ$1000,ROW()-3)&amp;"")</f>
        <v>No</v>
      </c>
      <c r="O247" s="11" t="str">
        <f aca="false">IF(INDEX(MASTER_DATABASE!$A$4:$A$1000,ROW()-3)="","",IF(INDEX(MASTER_DATABASE!$BE$4:$BE$1000,ROW()-3)="LIVE","Yes","No"))</f>
        <v>No</v>
      </c>
      <c r="P247" s="7" t="str">
        <f aca="false">IF(INDEX(MASTER_DATABASE!$A$4:$A$1000,ROW()-3)="","",INDEX(MASTER_DATABASE!$BG$4:$BG$1000,ROW()-3)&amp;"")</f>
        <v>Check Documents</v>
      </c>
      <c r="Q247" s="11" t="n">
        <f aca="false">IF(INDEX(MASTER_DATABASE!$A$4:$A$1000,ROW()-3)="","",INDEX(MASTER_DATABASE!$AQ$4:$AQ$1000,ROW()-3))</f>
        <v>160</v>
      </c>
    </row>
    <row r="248" customFormat="false" ht="46.25" hidden="false" customHeight="false" outlineLevel="0" collapsed="false">
      <c r="A248" s="11" t="str">
        <f aca="false">IF(INDEX(MASTER_DATABASE!$A$4:$A$1000,ROW()-3)="","",INDEX(MASTER_DATABASE!$A$4:$A$1000,ROW()-3)&amp;"")</f>
        <v>ONL-017</v>
      </c>
      <c r="B248" s="7" t="str">
        <f aca="false">IF(INDEX(MASTER_DATABASE!$A$4:$A$1000,ROW()-3)="","",INDEX(MASTER_DATABASE!$E$4:$E$1000,ROW()-3)&amp;"")</f>
        <v>Exam Registration</v>
      </c>
      <c r="C248" s="7" t="str">
        <f aca="false">IF(INDEX(MASTER_DATABASE!$A$4:$A$1000,ROW()-3)="","",INDEX(MASTER_DATABASE!$F$4:$F$1000,ROW()-3)&amp;"")</f>
        <v>परीक्षा पंजीकरण</v>
      </c>
      <c r="D248" s="7" t="str">
        <f aca="false">IF(INDEX(MASTER_DATABASE!$A$4:$A$1000,ROW()-3)="","",INDEX(MASTER_DATABASE!$AL$4:$AL$1000,ROW()-3)&amp;"")</f>
        <v>Online Form &amp; Digital Services</v>
      </c>
      <c r="E248" s="7" t="str">
        <f aca="false">IF(INDEX(MASTER_DATABASE!$A$4:$A$1000,ROW()-3)="","",INDEX(MASTER_DATABASE!$G$4:$G$1000,ROW()-3)&amp;"")</f>
        <v>Online help with Exam Registration.</v>
      </c>
      <c r="F248" s="11" t="str">
        <f aca="false">IF(INDEX(MASTER_DATABASE!$A$4:$A$1000,ROW()-3)="","",INDEX(MASTER_DATABASE!$AP$4:$AP$1000,ROW()-3)&amp;"")</f>
        <v>🎓</v>
      </c>
      <c r="G24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8" s="7" t="str">
        <f aca="false">IF(INDEX(MASTER_DATABASE!$A$4:$A$1000,ROW()-3)="","",INDEX(MASTER_DATABASE!$J$4:$J$1000,ROW()-3)&amp;"")</f>
        <v>Available</v>
      </c>
      <c r="K248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8" s="7" t="str">
        <f aca="false">IF(INDEX(MASTER_DATABASE!$A$4:$A$1000,ROW()-3)="","",INDEX(MASTER_DATABASE!$Q$4:$Q$1000,ROW()-3)&amp;"")</f>
        <v>Same Day</v>
      </c>
      <c r="M248" s="11" t="str">
        <f aca="false">IF(INDEX(MASTER_DATABASE!$A$4:$A$1000,ROW()-3)="","",INDEX(MASTER_DATABASE!$AI$4:$AI$1000,ROW()-3)&amp;"")</f>
        <v>No</v>
      </c>
      <c r="N248" s="11" t="str">
        <f aca="false">IF(INDEX(MASTER_DATABASE!$A$4:$A$1000,ROW()-3)="","",INDEX(MASTER_DATABASE!$AJ$4:$AJ$1000,ROW()-3)&amp;"")</f>
        <v>No</v>
      </c>
      <c r="O248" s="11" t="str">
        <f aca="false">IF(INDEX(MASTER_DATABASE!$A$4:$A$1000,ROW()-3)="","",IF(INDEX(MASTER_DATABASE!$BE$4:$BE$1000,ROW()-3)="LIVE","Yes","No"))</f>
        <v>Yes</v>
      </c>
      <c r="P248" s="7" t="str">
        <f aca="false">IF(INDEX(MASTER_DATABASE!$A$4:$A$1000,ROW()-3)="","",INDEX(MASTER_DATABASE!$BG$4:$BG$1000,ROW()-3)&amp;"")</f>
        <v>Check Documents</v>
      </c>
      <c r="Q248" s="11" t="n">
        <f aca="false">IF(INDEX(MASTER_DATABASE!$A$4:$A$1000,ROW()-3)="","",INDEX(MASTER_DATABASE!$AQ$4:$AQ$1000,ROW()-3))</f>
        <v>170</v>
      </c>
    </row>
    <row r="249" customFormat="false" ht="46.25" hidden="false" customHeight="false" outlineLevel="0" collapsed="false">
      <c r="A249" s="11" t="str">
        <f aca="false">IF(INDEX(MASTER_DATABASE!$A$4:$A$1000,ROW()-3)="","",INDEX(MASTER_DATABASE!$A$4:$A$1000,ROW()-3)&amp;"")</f>
        <v>ONL-018</v>
      </c>
      <c r="B249" s="7" t="str">
        <f aca="false">IF(INDEX(MASTER_DATABASE!$A$4:$A$1000,ROW()-3)="","",INDEX(MASTER_DATABASE!$E$4:$E$1000,ROW()-3)&amp;"")</f>
        <v>Admit Card Download</v>
      </c>
      <c r="C249" s="7" t="str">
        <f aca="false">IF(INDEX(MASTER_DATABASE!$A$4:$A$1000,ROW()-3)="","",INDEX(MASTER_DATABASE!$F$4:$F$1000,ROW()-3)&amp;"")</f>
        <v>एडमिट कार्ड डाउनलोड</v>
      </c>
      <c r="D249" s="7" t="str">
        <f aca="false">IF(INDEX(MASTER_DATABASE!$A$4:$A$1000,ROW()-3)="","",INDEX(MASTER_DATABASE!$AL$4:$AL$1000,ROW()-3)&amp;"")</f>
        <v>Online Form &amp; Digital Services</v>
      </c>
      <c r="E249" s="7" t="str">
        <f aca="false">IF(INDEX(MASTER_DATABASE!$A$4:$A$1000,ROW()-3)="","",INDEX(MASTER_DATABASE!$G$4:$G$1000,ROW()-3)&amp;"")</f>
        <v>Online help with Admit Card Download.</v>
      </c>
      <c r="F249" s="11" t="str">
        <f aca="false">IF(INDEX(MASTER_DATABASE!$A$4:$A$1000,ROW()-3)="","",INDEX(MASTER_DATABASE!$AP$4:$AP$1000,ROW()-3)&amp;"")</f>
        <v>🎓</v>
      </c>
      <c r="G24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4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4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49" s="7" t="str">
        <f aca="false">IF(INDEX(MASTER_DATABASE!$A$4:$A$1000,ROW()-3)="","",INDEX(MASTER_DATABASE!$J$4:$J$1000,ROW()-3)&amp;"")</f>
        <v>Available</v>
      </c>
      <c r="K249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49" s="7" t="str">
        <f aca="false">IF(INDEX(MASTER_DATABASE!$A$4:$A$1000,ROW()-3)="","",INDEX(MASTER_DATABASE!$Q$4:$Q$1000,ROW()-3)&amp;"")</f>
        <v>Same Day</v>
      </c>
      <c r="M249" s="11" t="str">
        <f aca="false">IF(INDEX(MASTER_DATABASE!$A$4:$A$1000,ROW()-3)="","",INDEX(MASTER_DATABASE!$AI$4:$AI$1000,ROW()-3)&amp;"")</f>
        <v>No</v>
      </c>
      <c r="N249" s="11" t="str">
        <f aca="false">IF(INDEX(MASTER_DATABASE!$A$4:$A$1000,ROW()-3)="","",INDEX(MASTER_DATABASE!$AJ$4:$AJ$1000,ROW()-3)&amp;"")</f>
        <v>No</v>
      </c>
      <c r="O249" s="11" t="str">
        <f aca="false">IF(INDEX(MASTER_DATABASE!$A$4:$A$1000,ROW()-3)="","",IF(INDEX(MASTER_DATABASE!$BE$4:$BE$1000,ROW()-3)="LIVE","Yes","No"))</f>
        <v>Yes</v>
      </c>
      <c r="P249" s="7" t="str">
        <f aca="false">IF(INDEX(MASTER_DATABASE!$A$4:$A$1000,ROW()-3)="","",INDEX(MASTER_DATABASE!$BG$4:$BG$1000,ROW()-3)&amp;"")</f>
        <v>Check Documents</v>
      </c>
      <c r="Q249" s="11" t="n">
        <f aca="false">IF(INDEX(MASTER_DATABASE!$A$4:$A$1000,ROW()-3)="","",INDEX(MASTER_DATABASE!$AQ$4:$AQ$1000,ROW()-3))</f>
        <v>180</v>
      </c>
    </row>
    <row r="250" customFormat="false" ht="46.25" hidden="false" customHeight="false" outlineLevel="0" collapsed="false">
      <c r="A250" s="11" t="str">
        <f aca="false">IF(INDEX(MASTER_DATABASE!$A$4:$A$1000,ROW()-3)="","",INDEX(MASTER_DATABASE!$A$4:$A$1000,ROW()-3)&amp;"")</f>
        <v>ONL-019</v>
      </c>
      <c r="B250" s="7" t="str">
        <f aca="false">IF(INDEX(MASTER_DATABASE!$A$4:$A$1000,ROW()-3)="","",INDEX(MASTER_DATABASE!$E$4:$E$1000,ROW()-3)&amp;"")</f>
        <v>Result Check / Download</v>
      </c>
      <c r="C250" s="7" t="str">
        <f aca="false">IF(INDEX(MASTER_DATABASE!$A$4:$A$1000,ROW()-3)="","",INDEX(MASTER_DATABASE!$F$4:$F$1000,ROW()-3)&amp;"")</f>
        <v>रिज़ल्ट जाँच / डाउनलोड</v>
      </c>
      <c r="D250" s="7" t="str">
        <f aca="false">IF(INDEX(MASTER_DATABASE!$A$4:$A$1000,ROW()-3)="","",INDEX(MASTER_DATABASE!$AL$4:$AL$1000,ROW()-3)&amp;"")</f>
        <v>Online Form &amp; Digital Services</v>
      </c>
      <c r="E250" s="7" t="str">
        <f aca="false">IF(INDEX(MASTER_DATABASE!$A$4:$A$1000,ROW()-3)="","",INDEX(MASTER_DATABASE!$G$4:$G$1000,ROW()-3)&amp;"")</f>
        <v>Online help with Result Check / Download.</v>
      </c>
      <c r="F250" s="11" t="str">
        <f aca="false">IF(INDEX(MASTER_DATABASE!$A$4:$A$1000,ROW()-3)="","",INDEX(MASTER_DATABASE!$AP$4:$AP$1000,ROW()-3)&amp;"")</f>
        <v>🎓</v>
      </c>
      <c r="G25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0" s="7" t="str">
        <f aca="false">IF(INDEX(MASTER_DATABASE!$A$4:$A$1000,ROW()-3)="","",INDEX(MASTER_DATABASE!$J$4:$J$1000,ROW()-3)&amp;"")</f>
        <v>Available</v>
      </c>
      <c r="K250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50" s="7" t="str">
        <f aca="false">IF(INDEX(MASTER_DATABASE!$A$4:$A$1000,ROW()-3)="","",INDEX(MASTER_DATABASE!$Q$4:$Q$1000,ROW()-3)&amp;"")</f>
        <v>Same Day</v>
      </c>
      <c r="M250" s="11" t="str">
        <f aca="false">IF(INDEX(MASTER_DATABASE!$A$4:$A$1000,ROW()-3)="","",INDEX(MASTER_DATABASE!$AI$4:$AI$1000,ROW()-3)&amp;"")</f>
        <v>No</v>
      </c>
      <c r="N250" s="11" t="str">
        <f aca="false">IF(INDEX(MASTER_DATABASE!$A$4:$A$1000,ROW()-3)="","",INDEX(MASTER_DATABASE!$AJ$4:$AJ$1000,ROW()-3)&amp;"")</f>
        <v>No</v>
      </c>
      <c r="O250" s="11" t="str">
        <f aca="false">IF(INDEX(MASTER_DATABASE!$A$4:$A$1000,ROW()-3)="","",IF(INDEX(MASTER_DATABASE!$BE$4:$BE$1000,ROW()-3)="LIVE","Yes","No"))</f>
        <v>Yes</v>
      </c>
      <c r="P250" s="7" t="str">
        <f aca="false">IF(INDEX(MASTER_DATABASE!$A$4:$A$1000,ROW()-3)="","",INDEX(MASTER_DATABASE!$BG$4:$BG$1000,ROW()-3)&amp;"")</f>
        <v>Check Documents</v>
      </c>
      <c r="Q250" s="11" t="n">
        <f aca="false">IF(INDEX(MASTER_DATABASE!$A$4:$A$1000,ROW()-3)="","",INDEX(MASTER_DATABASE!$AQ$4:$AQ$1000,ROW()-3))</f>
        <v>190</v>
      </c>
    </row>
    <row r="251" customFormat="false" ht="46.25" hidden="false" customHeight="false" outlineLevel="0" collapsed="false">
      <c r="A251" s="11" t="str">
        <f aca="false">IF(INDEX(MASTER_DATABASE!$A$4:$A$1000,ROW()-3)="","",INDEX(MASTER_DATABASE!$A$4:$A$1000,ROW()-3)&amp;"")</f>
        <v>ONL-020</v>
      </c>
      <c r="B251" s="7" t="str">
        <f aca="false">IF(INDEX(MASTER_DATABASE!$A$4:$A$1000,ROW()-3)="","",INDEX(MASTER_DATABASE!$E$4:$E$1000,ROW()-3)&amp;"")</f>
        <v>Marksheet / Certificate Download</v>
      </c>
      <c r="C251" s="7" t="str">
        <f aca="false">IF(INDEX(MASTER_DATABASE!$A$4:$A$1000,ROW()-3)="","",INDEX(MASTER_DATABASE!$F$4:$F$1000,ROW()-3)&amp;"")</f>
        <v>मार्कशीट / प्रमाण पत्र डाउनलोड</v>
      </c>
      <c r="D251" s="7" t="str">
        <f aca="false">IF(INDEX(MASTER_DATABASE!$A$4:$A$1000,ROW()-3)="","",INDEX(MASTER_DATABASE!$AL$4:$AL$1000,ROW()-3)&amp;"")</f>
        <v>Online Form &amp; Digital Services</v>
      </c>
      <c r="E251" s="7" t="str">
        <f aca="false">IF(INDEX(MASTER_DATABASE!$A$4:$A$1000,ROW()-3)="","",INDEX(MASTER_DATABASE!$G$4:$G$1000,ROW()-3)&amp;"")</f>
        <v>Online help with Marksheet / Certificate Download.</v>
      </c>
      <c r="F251" s="11" t="str">
        <f aca="false">IF(INDEX(MASTER_DATABASE!$A$4:$A$1000,ROW()-3)="","",INDEX(MASTER_DATABASE!$AP$4:$AP$1000,ROW()-3)&amp;"")</f>
        <v>🎓</v>
      </c>
      <c r="G25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1" s="7" t="str">
        <f aca="false">IF(INDEX(MASTER_DATABASE!$A$4:$A$1000,ROW()-3)="","",INDEX(MASTER_DATABASE!$J$4:$J$1000,ROW()-3)&amp;"")</f>
        <v>Available</v>
      </c>
      <c r="K251" s="7" t="str">
        <f aca="false">IF(INDEX(MASTER_DATABASE!$A$4:$A$1000,ROW()-3)="","",INDEX(MASTER_DATABASE!$M$4:$M$1000,ROW()-3)&amp;"")</f>
        <v>✓ Aadhaar Card
✓ Educational Certificates
✓ Photo &amp; Signature (Soft Copy)
✓ Active Mobile Number</v>
      </c>
      <c r="L251" s="7" t="str">
        <f aca="false">IF(INDEX(MASTER_DATABASE!$A$4:$A$1000,ROW()-3)="","",INDEX(MASTER_DATABASE!$Q$4:$Q$1000,ROW()-3)&amp;"")</f>
        <v>Same Day</v>
      </c>
      <c r="M251" s="11" t="str">
        <f aca="false">IF(INDEX(MASTER_DATABASE!$A$4:$A$1000,ROW()-3)="","",INDEX(MASTER_DATABASE!$AI$4:$AI$1000,ROW()-3)&amp;"")</f>
        <v>No</v>
      </c>
      <c r="N251" s="11" t="str">
        <f aca="false">IF(INDEX(MASTER_DATABASE!$A$4:$A$1000,ROW()-3)="","",INDEX(MASTER_DATABASE!$AJ$4:$AJ$1000,ROW()-3)&amp;"")</f>
        <v>No</v>
      </c>
      <c r="O251" s="11" t="str">
        <f aca="false">IF(INDEX(MASTER_DATABASE!$A$4:$A$1000,ROW()-3)="","",IF(INDEX(MASTER_DATABASE!$BE$4:$BE$1000,ROW()-3)="LIVE","Yes","No"))</f>
        <v>Yes</v>
      </c>
      <c r="P251" s="7" t="str">
        <f aca="false">IF(INDEX(MASTER_DATABASE!$A$4:$A$1000,ROW()-3)="","",INDEX(MASTER_DATABASE!$BG$4:$BG$1000,ROW()-3)&amp;"")</f>
        <v>Check Documents</v>
      </c>
      <c r="Q251" s="11" t="n">
        <f aca="false">IF(INDEX(MASTER_DATABASE!$A$4:$A$1000,ROW()-3)="","",INDEX(MASTER_DATABASE!$AQ$4:$AQ$1000,ROW()-3))</f>
        <v>200</v>
      </c>
    </row>
    <row r="252" customFormat="false" ht="23.85" hidden="false" customHeight="false" outlineLevel="0" collapsed="false">
      <c r="A252" s="11" t="str">
        <f aca="false">IF(INDEX(MASTER_DATABASE!$A$4:$A$1000,ROW()-3)="","",INDEX(MASTER_DATABASE!$A$4:$A$1000,ROW()-3)&amp;"")</f>
        <v>ONL-021</v>
      </c>
      <c r="B252" s="7" t="str">
        <f aca="false">IF(INDEX(MASTER_DATABASE!$A$4:$A$1000,ROW()-3)="","",INDEX(MASTER_DATABASE!$E$4:$E$1000,ROW()-3)&amp;"")</f>
        <v>Email ID Creation</v>
      </c>
      <c r="C252" s="7" t="str">
        <f aca="false">IF(INDEX(MASTER_DATABASE!$A$4:$A$1000,ROW()-3)="","",INDEX(MASTER_DATABASE!$F$4:$F$1000,ROW()-3)&amp;"")</f>
        <v>ईमेल आईडी बनवाना</v>
      </c>
      <c r="D252" s="7" t="str">
        <f aca="false">IF(INDEX(MASTER_DATABASE!$A$4:$A$1000,ROW()-3)="","",INDEX(MASTER_DATABASE!$AL$4:$AL$1000,ROW()-3)&amp;"")</f>
        <v>Online Form &amp; Digital Services</v>
      </c>
      <c r="E252" s="7" t="str">
        <f aca="false">IF(INDEX(MASTER_DATABASE!$A$4:$A$1000,ROW()-3)="","",INDEX(MASTER_DATABASE!$G$4:$G$1000,ROW()-3)&amp;"")</f>
        <v>Online help with Email ID Creation.</v>
      </c>
      <c r="F252" s="11" t="str">
        <f aca="false">IF(INDEX(MASTER_DATABASE!$A$4:$A$1000,ROW()-3)="","",INDEX(MASTER_DATABASE!$AP$4:$AP$1000,ROW()-3)&amp;"")</f>
        <v>☁️</v>
      </c>
      <c r="G25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2" s="7" t="str">
        <f aca="false">IF(INDEX(MASTER_DATABASE!$A$4:$A$1000,ROW()-3)="","",INDEX(MASTER_DATABASE!$J$4:$J$1000,ROW()-3)&amp;"")</f>
        <v>Available</v>
      </c>
      <c r="K252" s="7" t="str">
        <f aca="false">IF(INDEX(MASTER_DATABASE!$A$4:$A$1000,ROW()-3)="","",INDEX(MASTER_DATABASE!$M$4:$M$1000,ROW()-3)&amp;"")</f>
        <v>✓ Active Mobile Number</v>
      </c>
      <c r="L252" s="7" t="str">
        <f aca="false">IF(INDEX(MASTER_DATABASE!$A$4:$A$1000,ROW()-3)="","",INDEX(MASTER_DATABASE!$Q$4:$Q$1000,ROW()-3)&amp;"")</f>
        <v>15–30 Minutes</v>
      </c>
      <c r="M252" s="11" t="str">
        <f aca="false">IF(INDEX(MASTER_DATABASE!$A$4:$A$1000,ROW()-3)="","",INDEX(MASTER_DATABASE!$AI$4:$AI$1000,ROW()-3)&amp;"")</f>
        <v>No</v>
      </c>
      <c r="N252" s="11" t="str">
        <f aca="false">IF(INDEX(MASTER_DATABASE!$A$4:$A$1000,ROW()-3)="","",INDEX(MASTER_DATABASE!$AJ$4:$AJ$1000,ROW()-3)&amp;"")</f>
        <v>No</v>
      </c>
      <c r="O252" s="11" t="str">
        <f aca="false">IF(INDEX(MASTER_DATABASE!$A$4:$A$1000,ROW()-3)="","",IF(INDEX(MASTER_DATABASE!$BE$4:$BE$1000,ROW()-3)="LIVE","Yes","No"))</f>
        <v>Yes</v>
      </c>
      <c r="P252" s="7" t="str">
        <f aca="false">IF(INDEX(MASTER_DATABASE!$A$4:$A$1000,ROW()-3)="","",INDEX(MASTER_DATABASE!$BG$4:$BG$1000,ROW()-3)&amp;"")</f>
        <v>Visit Shop</v>
      </c>
      <c r="Q252" s="11" t="n">
        <f aca="false">IF(INDEX(MASTER_DATABASE!$A$4:$A$1000,ROW()-3)="","",INDEX(MASTER_DATABASE!$AQ$4:$AQ$1000,ROW()-3))</f>
        <v>210</v>
      </c>
    </row>
    <row r="253" customFormat="false" ht="23.85" hidden="false" customHeight="false" outlineLevel="0" collapsed="false">
      <c r="A253" s="11" t="str">
        <f aca="false">IF(INDEX(MASTER_DATABASE!$A$4:$A$1000,ROW()-3)="","",INDEX(MASTER_DATABASE!$A$4:$A$1000,ROW()-3)&amp;"")</f>
        <v>ONL-022</v>
      </c>
      <c r="B253" s="7" t="str">
        <f aca="false">IF(INDEX(MASTER_DATABASE!$A$4:$A$1000,ROW()-3)="","",INDEX(MASTER_DATABASE!$E$4:$E$1000,ROW()-3)&amp;"")</f>
        <v>Online Registration – General</v>
      </c>
      <c r="C253" s="7" t="str">
        <f aca="false">IF(INDEX(MASTER_DATABASE!$A$4:$A$1000,ROW()-3)="","",INDEX(MASTER_DATABASE!$F$4:$F$1000,ROW()-3)&amp;"")</f>
        <v>ऑनलाइन पंजीकरण – सामान्य</v>
      </c>
      <c r="D253" s="7" t="str">
        <f aca="false">IF(INDEX(MASTER_DATABASE!$A$4:$A$1000,ROW()-3)="","",INDEX(MASTER_DATABASE!$AL$4:$AL$1000,ROW()-3)&amp;"")</f>
        <v>Online Form &amp; Digital Services</v>
      </c>
      <c r="E253" s="7" t="str">
        <f aca="false">IF(INDEX(MASTER_DATABASE!$A$4:$A$1000,ROW()-3)="","",INDEX(MASTER_DATABASE!$G$4:$G$1000,ROW()-3)&amp;"")</f>
        <v>Online help with Online Registration – General.</v>
      </c>
      <c r="F253" s="11" t="str">
        <f aca="false">IF(INDEX(MASTER_DATABASE!$A$4:$A$1000,ROW()-3)="","",INDEX(MASTER_DATABASE!$AP$4:$AP$1000,ROW()-3)&amp;"")</f>
        <v>☁️</v>
      </c>
      <c r="G25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3" s="7" t="str">
        <f aca="false">IF(INDEX(MASTER_DATABASE!$A$4:$A$1000,ROW()-3)="","",INDEX(MASTER_DATABASE!$J$4:$J$1000,ROW()-3)&amp;"")</f>
        <v>Available</v>
      </c>
      <c r="K253" s="7" t="str">
        <f aca="false">IF(INDEX(MASTER_DATABASE!$A$4:$A$1000,ROW()-3)="","",INDEX(MASTER_DATABASE!$M$4:$M$1000,ROW()-3)&amp;"")</f>
        <v>✓ Active Mobile Number</v>
      </c>
      <c r="L253" s="7" t="str">
        <f aca="false">IF(INDEX(MASTER_DATABASE!$A$4:$A$1000,ROW()-3)="","",INDEX(MASTER_DATABASE!$Q$4:$Q$1000,ROW()-3)&amp;"")</f>
        <v>15–30 Minutes</v>
      </c>
      <c r="M253" s="11" t="str">
        <f aca="false">IF(INDEX(MASTER_DATABASE!$A$4:$A$1000,ROW()-3)="","",INDEX(MASTER_DATABASE!$AI$4:$AI$1000,ROW()-3)&amp;"")</f>
        <v>No</v>
      </c>
      <c r="N253" s="11" t="str">
        <f aca="false">IF(INDEX(MASTER_DATABASE!$A$4:$A$1000,ROW()-3)="","",INDEX(MASTER_DATABASE!$AJ$4:$AJ$1000,ROW()-3)&amp;"")</f>
        <v>No</v>
      </c>
      <c r="O253" s="11" t="str">
        <f aca="false">IF(INDEX(MASTER_DATABASE!$A$4:$A$1000,ROW()-3)="","",IF(INDEX(MASTER_DATABASE!$BE$4:$BE$1000,ROW()-3)="LIVE","Yes","No"))</f>
        <v>Yes</v>
      </c>
      <c r="P253" s="7" t="str">
        <f aca="false">IF(INDEX(MASTER_DATABASE!$A$4:$A$1000,ROW()-3)="","",INDEX(MASTER_DATABASE!$BG$4:$BG$1000,ROW()-3)&amp;"")</f>
        <v>Visit Shop</v>
      </c>
      <c r="Q253" s="11" t="n">
        <f aca="false">IF(INDEX(MASTER_DATABASE!$A$4:$A$1000,ROW()-3)="","",INDEX(MASTER_DATABASE!$AQ$4:$AQ$1000,ROW()-3))</f>
        <v>220</v>
      </c>
    </row>
    <row r="254" customFormat="false" ht="23.85" hidden="false" customHeight="false" outlineLevel="0" collapsed="false">
      <c r="A254" s="11" t="str">
        <f aca="false">IF(INDEX(MASTER_DATABASE!$A$4:$A$1000,ROW()-3)="","",INDEX(MASTER_DATABASE!$A$4:$A$1000,ROW()-3)&amp;"")</f>
        <v>ONL-023</v>
      </c>
      <c r="B254" s="7" t="str">
        <f aca="false">IF(INDEX(MASTER_DATABASE!$A$4:$A$1000,ROW()-3)="","",INDEX(MASTER_DATABASE!$E$4:$E$1000,ROW()-3)&amp;"")</f>
        <v>Document Upload</v>
      </c>
      <c r="C254" s="7" t="str">
        <f aca="false">IF(INDEX(MASTER_DATABASE!$A$4:$A$1000,ROW()-3)="","",INDEX(MASTER_DATABASE!$F$4:$F$1000,ROW()-3)&amp;"")</f>
        <v>दस्तावेज़ अपलोड</v>
      </c>
      <c r="D254" s="7" t="str">
        <f aca="false">IF(INDEX(MASTER_DATABASE!$A$4:$A$1000,ROW()-3)="","",INDEX(MASTER_DATABASE!$AL$4:$AL$1000,ROW()-3)&amp;"")</f>
        <v>Online Form &amp; Digital Services</v>
      </c>
      <c r="E254" s="7" t="str">
        <f aca="false">IF(INDEX(MASTER_DATABASE!$A$4:$A$1000,ROW()-3)="","",INDEX(MASTER_DATABASE!$G$4:$G$1000,ROW()-3)&amp;"")</f>
        <v>Online help with Document Upload.</v>
      </c>
      <c r="F254" s="11" t="str">
        <f aca="false">IF(INDEX(MASTER_DATABASE!$A$4:$A$1000,ROW()-3)="","",INDEX(MASTER_DATABASE!$AP$4:$AP$1000,ROW()-3)&amp;"")</f>
        <v>☁️</v>
      </c>
      <c r="G25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4" s="7" t="str">
        <f aca="false">IF(INDEX(MASTER_DATABASE!$A$4:$A$1000,ROW()-3)="","",INDEX(MASTER_DATABASE!$J$4:$J$1000,ROW()-3)&amp;"")</f>
        <v>Available</v>
      </c>
      <c r="K254" s="7" t="str">
        <f aca="false">IF(INDEX(MASTER_DATABASE!$A$4:$A$1000,ROW()-3)="","",INDEX(MASTER_DATABASE!$M$4:$M$1000,ROW()-3)&amp;"")</f>
        <v>✓ Active Mobile Number</v>
      </c>
      <c r="L254" s="7" t="str">
        <f aca="false">IF(INDEX(MASTER_DATABASE!$A$4:$A$1000,ROW()-3)="","",INDEX(MASTER_DATABASE!$Q$4:$Q$1000,ROW()-3)&amp;"")</f>
        <v>15–30 Minutes</v>
      </c>
      <c r="M254" s="11" t="str">
        <f aca="false">IF(INDEX(MASTER_DATABASE!$A$4:$A$1000,ROW()-3)="","",INDEX(MASTER_DATABASE!$AI$4:$AI$1000,ROW()-3)&amp;"")</f>
        <v>No</v>
      </c>
      <c r="N254" s="11" t="str">
        <f aca="false">IF(INDEX(MASTER_DATABASE!$A$4:$A$1000,ROW()-3)="","",INDEX(MASTER_DATABASE!$AJ$4:$AJ$1000,ROW()-3)&amp;"")</f>
        <v>No</v>
      </c>
      <c r="O254" s="11" t="str">
        <f aca="false">IF(INDEX(MASTER_DATABASE!$A$4:$A$1000,ROW()-3)="","",IF(INDEX(MASTER_DATABASE!$BE$4:$BE$1000,ROW()-3)="LIVE","Yes","No"))</f>
        <v>Yes</v>
      </c>
      <c r="P254" s="7" t="str">
        <f aca="false">IF(INDEX(MASTER_DATABASE!$A$4:$A$1000,ROW()-3)="","",INDEX(MASTER_DATABASE!$BG$4:$BG$1000,ROW()-3)&amp;"")</f>
        <v>Visit Shop</v>
      </c>
      <c r="Q254" s="11" t="n">
        <f aca="false">IF(INDEX(MASTER_DATABASE!$A$4:$A$1000,ROW()-3)="","",INDEX(MASTER_DATABASE!$AQ$4:$AQ$1000,ROW()-3))</f>
        <v>230</v>
      </c>
    </row>
    <row r="255" customFormat="false" ht="23.85" hidden="false" customHeight="false" outlineLevel="0" collapsed="false">
      <c r="A255" s="11" t="str">
        <f aca="false">IF(INDEX(MASTER_DATABASE!$A$4:$A$1000,ROW()-3)="","",INDEX(MASTER_DATABASE!$A$4:$A$1000,ROW()-3)&amp;"")</f>
        <v>ONL-024</v>
      </c>
      <c r="B255" s="7" t="str">
        <f aca="false">IF(INDEX(MASTER_DATABASE!$A$4:$A$1000,ROW()-3)="","",INDEX(MASTER_DATABASE!$E$4:$E$1000,ROW()-3)&amp;"")</f>
        <v>Document Download</v>
      </c>
      <c r="C255" s="7" t="str">
        <f aca="false">IF(INDEX(MASTER_DATABASE!$A$4:$A$1000,ROW()-3)="","",INDEX(MASTER_DATABASE!$F$4:$F$1000,ROW()-3)&amp;"")</f>
        <v>दस्तावेज़ डाउनलोड</v>
      </c>
      <c r="D255" s="7" t="str">
        <f aca="false">IF(INDEX(MASTER_DATABASE!$A$4:$A$1000,ROW()-3)="","",INDEX(MASTER_DATABASE!$AL$4:$AL$1000,ROW()-3)&amp;"")</f>
        <v>Online Form &amp; Digital Services</v>
      </c>
      <c r="E255" s="7" t="str">
        <f aca="false">IF(INDEX(MASTER_DATABASE!$A$4:$A$1000,ROW()-3)="","",INDEX(MASTER_DATABASE!$G$4:$G$1000,ROW()-3)&amp;"")</f>
        <v>Online help with Document Download.</v>
      </c>
      <c r="F255" s="11" t="str">
        <f aca="false">IF(INDEX(MASTER_DATABASE!$A$4:$A$1000,ROW()-3)="","",INDEX(MASTER_DATABASE!$AP$4:$AP$1000,ROW()-3)&amp;"")</f>
        <v>☁️</v>
      </c>
      <c r="G25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5" s="7" t="str">
        <f aca="false">IF(INDEX(MASTER_DATABASE!$A$4:$A$1000,ROW()-3)="","",INDEX(MASTER_DATABASE!$J$4:$J$1000,ROW()-3)&amp;"")</f>
        <v>Available</v>
      </c>
      <c r="K255" s="7" t="str">
        <f aca="false">IF(INDEX(MASTER_DATABASE!$A$4:$A$1000,ROW()-3)="","",INDEX(MASTER_DATABASE!$M$4:$M$1000,ROW()-3)&amp;"")</f>
        <v>✓ Active Mobile Number</v>
      </c>
      <c r="L255" s="7" t="str">
        <f aca="false">IF(INDEX(MASTER_DATABASE!$A$4:$A$1000,ROW()-3)="","",INDEX(MASTER_DATABASE!$Q$4:$Q$1000,ROW()-3)&amp;"")</f>
        <v>15–30 Minutes</v>
      </c>
      <c r="M255" s="11" t="str">
        <f aca="false">IF(INDEX(MASTER_DATABASE!$A$4:$A$1000,ROW()-3)="","",INDEX(MASTER_DATABASE!$AI$4:$AI$1000,ROW()-3)&amp;"")</f>
        <v>No</v>
      </c>
      <c r="N255" s="11" t="str">
        <f aca="false">IF(INDEX(MASTER_DATABASE!$A$4:$A$1000,ROW()-3)="","",INDEX(MASTER_DATABASE!$AJ$4:$AJ$1000,ROW()-3)&amp;"")</f>
        <v>No</v>
      </c>
      <c r="O255" s="11" t="str">
        <f aca="false">IF(INDEX(MASTER_DATABASE!$A$4:$A$1000,ROW()-3)="","",IF(INDEX(MASTER_DATABASE!$BE$4:$BE$1000,ROW()-3)="LIVE","Yes","No"))</f>
        <v>Yes</v>
      </c>
      <c r="P255" s="7" t="str">
        <f aca="false">IF(INDEX(MASTER_DATABASE!$A$4:$A$1000,ROW()-3)="","",INDEX(MASTER_DATABASE!$BG$4:$BG$1000,ROW()-3)&amp;"")</f>
        <v>Visit Shop</v>
      </c>
      <c r="Q255" s="11" t="n">
        <f aca="false">IF(INDEX(MASTER_DATABASE!$A$4:$A$1000,ROW()-3)="","",INDEX(MASTER_DATABASE!$AQ$4:$AQ$1000,ROW()-3))</f>
        <v>240</v>
      </c>
    </row>
    <row r="256" customFormat="false" ht="23.85" hidden="false" customHeight="false" outlineLevel="0" collapsed="false">
      <c r="A256" s="11" t="str">
        <f aca="false">IF(INDEX(MASTER_DATABASE!$A$4:$A$1000,ROW()-3)="","",INDEX(MASTER_DATABASE!$A$4:$A$1000,ROW()-3)&amp;"")</f>
        <v>ONL-025</v>
      </c>
      <c r="B256" s="7" t="str">
        <f aca="false">IF(INDEX(MASTER_DATABASE!$A$4:$A$1000,ROW()-3)="","",INDEX(MASTER_DATABASE!$E$4:$E$1000,ROW()-3)&amp;"")</f>
        <v>Application Status Check – Other Portals</v>
      </c>
      <c r="C256" s="7" t="str">
        <f aca="false">IF(INDEX(MASTER_DATABASE!$A$4:$A$1000,ROW()-3)="","",INDEX(MASTER_DATABASE!$F$4:$F$1000,ROW()-3)&amp;"")</f>
        <v>आवेदन स्थिति जाँच – अन्य पोर्टल</v>
      </c>
      <c r="D256" s="7" t="str">
        <f aca="false">IF(INDEX(MASTER_DATABASE!$A$4:$A$1000,ROW()-3)="","",INDEX(MASTER_DATABASE!$AL$4:$AL$1000,ROW()-3)&amp;"")</f>
        <v>Online Form &amp; Digital Services</v>
      </c>
      <c r="E256" s="7" t="str">
        <f aca="false">IF(INDEX(MASTER_DATABASE!$A$4:$A$1000,ROW()-3)="","",INDEX(MASTER_DATABASE!$G$4:$G$1000,ROW()-3)&amp;"")</f>
        <v>Online help with Application Status Check – Other Portals.</v>
      </c>
      <c r="F256" s="11" t="str">
        <f aca="false">IF(INDEX(MASTER_DATABASE!$A$4:$A$1000,ROW()-3)="","",INDEX(MASTER_DATABASE!$AP$4:$AP$1000,ROW()-3)&amp;"")</f>
        <v>☁️</v>
      </c>
      <c r="G25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6" s="7" t="str">
        <f aca="false">IF(INDEX(MASTER_DATABASE!$A$4:$A$1000,ROW()-3)="","",INDEX(MASTER_DATABASE!$J$4:$J$1000,ROW()-3)&amp;"")</f>
        <v>Available</v>
      </c>
      <c r="K256" s="7" t="str">
        <f aca="false">IF(INDEX(MASTER_DATABASE!$A$4:$A$1000,ROW()-3)="","",INDEX(MASTER_DATABASE!$M$4:$M$1000,ROW()-3)&amp;"")</f>
        <v>✓ Active Mobile Number</v>
      </c>
      <c r="L256" s="7" t="str">
        <f aca="false">IF(INDEX(MASTER_DATABASE!$A$4:$A$1000,ROW()-3)="","",INDEX(MASTER_DATABASE!$Q$4:$Q$1000,ROW()-3)&amp;"")</f>
        <v>15–30 Minutes</v>
      </c>
      <c r="M256" s="11" t="str">
        <f aca="false">IF(INDEX(MASTER_DATABASE!$A$4:$A$1000,ROW()-3)="","",INDEX(MASTER_DATABASE!$AI$4:$AI$1000,ROW()-3)&amp;"")</f>
        <v>No</v>
      </c>
      <c r="N256" s="11" t="str">
        <f aca="false">IF(INDEX(MASTER_DATABASE!$A$4:$A$1000,ROW()-3)="","",INDEX(MASTER_DATABASE!$AJ$4:$AJ$1000,ROW()-3)&amp;"")</f>
        <v>No</v>
      </c>
      <c r="O256" s="11" t="str">
        <f aca="false">IF(INDEX(MASTER_DATABASE!$A$4:$A$1000,ROW()-3)="","",IF(INDEX(MASTER_DATABASE!$BE$4:$BE$1000,ROW()-3)="LIVE","Yes","No"))</f>
        <v>Yes</v>
      </c>
      <c r="P256" s="7" t="str">
        <f aca="false">IF(INDEX(MASTER_DATABASE!$A$4:$A$1000,ROW()-3)="","",INDEX(MASTER_DATABASE!$BG$4:$BG$1000,ROW()-3)&amp;"")</f>
        <v>Visit Shop</v>
      </c>
      <c r="Q256" s="11" t="n">
        <f aca="false">IF(INDEX(MASTER_DATABASE!$A$4:$A$1000,ROW()-3)="","",INDEX(MASTER_DATABASE!$AQ$4:$AQ$1000,ROW()-3))</f>
        <v>250</v>
      </c>
    </row>
    <row r="257" customFormat="false" ht="23.85" hidden="false" customHeight="false" outlineLevel="0" collapsed="false">
      <c r="A257" s="11" t="str">
        <f aca="false">IF(INDEX(MASTER_DATABASE!$A$4:$A$1000,ROW()-3)="","",INDEX(MASTER_DATABASE!$A$4:$A$1000,ROW()-3)&amp;"")</f>
        <v>ONL-026</v>
      </c>
      <c r="B257" s="7" t="str">
        <f aca="false">IF(INDEX(MASTER_DATABASE!$A$4:$A$1000,ROW()-3)="","",INDEX(MASTER_DATABASE!$E$4:$E$1000,ROW()-3)&amp;"")</f>
        <v>DigiLocker Assistance</v>
      </c>
      <c r="C257" s="7" t="str">
        <f aca="false">IF(INDEX(MASTER_DATABASE!$A$4:$A$1000,ROW()-3)="","",INDEX(MASTER_DATABASE!$F$4:$F$1000,ROW()-3)&amp;"")</f>
        <v>डिजिलॉकर सहायता</v>
      </c>
      <c r="D257" s="7" t="str">
        <f aca="false">IF(INDEX(MASTER_DATABASE!$A$4:$A$1000,ROW()-3)="","",INDEX(MASTER_DATABASE!$AL$4:$AL$1000,ROW()-3)&amp;"")</f>
        <v>Online Form &amp; Digital Services</v>
      </c>
      <c r="E257" s="7" t="str">
        <f aca="false">IF(INDEX(MASTER_DATABASE!$A$4:$A$1000,ROW()-3)="","",INDEX(MASTER_DATABASE!$G$4:$G$1000,ROW()-3)&amp;"")</f>
        <v>Online help with DigiLocker Assistance.</v>
      </c>
      <c r="F257" s="11" t="str">
        <f aca="false">IF(INDEX(MASTER_DATABASE!$A$4:$A$1000,ROW()-3)="","",INDEX(MASTER_DATABASE!$AP$4:$AP$1000,ROW()-3)&amp;"")</f>
        <v>☁️</v>
      </c>
      <c r="G25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7" s="7" t="str">
        <f aca="false">IF(INDEX(MASTER_DATABASE!$A$4:$A$1000,ROW()-3)="","",INDEX(MASTER_DATABASE!$J$4:$J$1000,ROW()-3)&amp;"")</f>
        <v>Depends on Portal – Confirm at Shop</v>
      </c>
      <c r="K257" s="7" t="str">
        <f aca="false">IF(INDEX(MASTER_DATABASE!$A$4:$A$1000,ROW()-3)="","",INDEX(MASTER_DATABASE!$M$4:$M$1000,ROW()-3)&amp;"")</f>
        <v>✓ Active Mobile Number</v>
      </c>
      <c r="L257" s="7" t="str">
        <f aca="false">IF(INDEX(MASTER_DATABASE!$A$4:$A$1000,ROW()-3)="","",INDEX(MASTER_DATABASE!$Q$4:$Q$1000,ROW()-3)&amp;"")</f>
        <v>15–30 Minutes</v>
      </c>
      <c r="M257" s="11" t="str">
        <f aca="false">IF(INDEX(MASTER_DATABASE!$A$4:$A$1000,ROW()-3)="","",INDEX(MASTER_DATABASE!$AI$4:$AI$1000,ROW()-3)&amp;"")</f>
        <v>No</v>
      </c>
      <c r="N257" s="11" t="str">
        <f aca="false">IF(INDEX(MASTER_DATABASE!$A$4:$A$1000,ROW()-3)="","",INDEX(MASTER_DATABASE!$AJ$4:$AJ$1000,ROW()-3)&amp;"")</f>
        <v>No</v>
      </c>
      <c r="O257" s="11" t="str">
        <f aca="false">IF(INDEX(MASTER_DATABASE!$A$4:$A$1000,ROW()-3)="","",IF(INDEX(MASTER_DATABASE!$BE$4:$BE$1000,ROW()-3)="LIVE","Yes","No"))</f>
        <v>No</v>
      </c>
      <c r="P257" s="7" t="str">
        <f aca="false">IF(INDEX(MASTER_DATABASE!$A$4:$A$1000,ROW()-3)="","",INDEX(MASTER_DATABASE!$BG$4:$BG$1000,ROW()-3)&amp;"")</f>
        <v>Visit Shop</v>
      </c>
      <c r="Q257" s="11" t="n">
        <f aca="false">IF(INDEX(MASTER_DATABASE!$A$4:$A$1000,ROW()-3)="","",INDEX(MASTER_DATABASE!$AQ$4:$AQ$1000,ROW()-3))</f>
        <v>260</v>
      </c>
    </row>
    <row r="258" customFormat="false" ht="23.85" hidden="false" customHeight="false" outlineLevel="0" collapsed="false">
      <c r="A258" s="11" t="str">
        <f aca="false">IF(INDEX(MASTER_DATABASE!$A$4:$A$1000,ROW()-3)="","",INDEX(MASTER_DATABASE!$A$4:$A$1000,ROW()-3)&amp;"")</f>
        <v>ONL-027</v>
      </c>
      <c r="B258" s="7" t="str">
        <f aca="false">IF(INDEX(MASTER_DATABASE!$A$4:$A$1000,ROW()-3)="","",INDEX(MASTER_DATABASE!$E$4:$E$1000,ROW()-3)&amp;"")</f>
        <v>Digital Document Download (DigiLocker etc.)</v>
      </c>
      <c r="C258" s="7" t="str">
        <f aca="false">IF(INDEX(MASTER_DATABASE!$A$4:$A$1000,ROW()-3)="","",INDEX(MASTER_DATABASE!$F$4:$F$1000,ROW()-3)&amp;"")</f>
        <v>डिजिटल दस्तावेज़ डाउनलोड (डिजिलॉकर आदि)</v>
      </c>
      <c r="D258" s="7" t="str">
        <f aca="false">IF(INDEX(MASTER_DATABASE!$A$4:$A$1000,ROW()-3)="","",INDEX(MASTER_DATABASE!$AL$4:$AL$1000,ROW()-3)&amp;"")</f>
        <v>Online Form &amp; Digital Services</v>
      </c>
      <c r="E258" s="7" t="str">
        <f aca="false">IF(INDEX(MASTER_DATABASE!$A$4:$A$1000,ROW()-3)="","",INDEX(MASTER_DATABASE!$G$4:$G$1000,ROW()-3)&amp;"")</f>
        <v>Online help with Digital Document Download (DigiLocker etc.).</v>
      </c>
      <c r="F258" s="11" t="str">
        <f aca="false">IF(INDEX(MASTER_DATABASE!$A$4:$A$1000,ROW()-3)="","",INDEX(MASTER_DATABASE!$AP$4:$AP$1000,ROW()-3)&amp;"")</f>
        <v>☁️</v>
      </c>
      <c r="G25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8" s="7" t="str">
        <f aca="false">IF(INDEX(MASTER_DATABASE!$A$4:$A$1000,ROW()-3)="","",INDEX(MASTER_DATABASE!$J$4:$J$1000,ROW()-3)&amp;"")</f>
        <v>Depends on Portal – Confirm at Shop</v>
      </c>
      <c r="K258" s="7" t="str">
        <f aca="false">IF(INDEX(MASTER_DATABASE!$A$4:$A$1000,ROW()-3)="","",INDEX(MASTER_DATABASE!$M$4:$M$1000,ROW()-3)&amp;"")</f>
        <v>✓ Active Mobile Number</v>
      </c>
      <c r="L258" s="7" t="str">
        <f aca="false">IF(INDEX(MASTER_DATABASE!$A$4:$A$1000,ROW()-3)="","",INDEX(MASTER_DATABASE!$Q$4:$Q$1000,ROW()-3)&amp;"")</f>
        <v>15–30 Minutes</v>
      </c>
      <c r="M258" s="11" t="str">
        <f aca="false">IF(INDEX(MASTER_DATABASE!$A$4:$A$1000,ROW()-3)="","",INDEX(MASTER_DATABASE!$AI$4:$AI$1000,ROW()-3)&amp;"")</f>
        <v>No</v>
      </c>
      <c r="N258" s="11" t="str">
        <f aca="false">IF(INDEX(MASTER_DATABASE!$A$4:$A$1000,ROW()-3)="","",INDEX(MASTER_DATABASE!$AJ$4:$AJ$1000,ROW()-3)&amp;"")</f>
        <v>No</v>
      </c>
      <c r="O258" s="11" t="str">
        <f aca="false">IF(INDEX(MASTER_DATABASE!$A$4:$A$1000,ROW()-3)="","",IF(INDEX(MASTER_DATABASE!$BE$4:$BE$1000,ROW()-3)="LIVE","Yes","No"))</f>
        <v>No</v>
      </c>
      <c r="P258" s="7" t="str">
        <f aca="false">IF(INDEX(MASTER_DATABASE!$A$4:$A$1000,ROW()-3)="","",INDEX(MASTER_DATABASE!$BG$4:$BG$1000,ROW()-3)&amp;"")</f>
        <v>Visit Shop</v>
      </c>
      <c r="Q258" s="11" t="n">
        <f aca="false">IF(INDEX(MASTER_DATABASE!$A$4:$A$1000,ROW()-3)="","",INDEX(MASTER_DATABASE!$AQ$4:$AQ$1000,ROW()-3))</f>
        <v>270</v>
      </c>
    </row>
    <row r="259" customFormat="false" ht="23.85" hidden="false" customHeight="false" outlineLevel="0" collapsed="false">
      <c r="A259" s="11" t="str">
        <f aca="false">IF(INDEX(MASTER_DATABASE!$A$4:$A$1000,ROW()-3)="","",INDEX(MASTER_DATABASE!$A$4:$A$1000,ROW()-3)&amp;"")</f>
        <v>ONL-028</v>
      </c>
      <c r="B259" s="7" t="str">
        <f aca="false">IF(INDEX(MASTER_DATABASE!$A$4:$A$1000,ROW()-3)="","",INDEX(MASTER_DATABASE!$E$4:$E$1000,ROW()-3)&amp;"")</f>
        <v>Online Payment Assistance (Fee / Challan)</v>
      </c>
      <c r="C259" s="7" t="str">
        <f aca="false">IF(INDEX(MASTER_DATABASE!$A$4:$A$1000,ROW()-3)="","",INDEX(MASTER_DATABASE!$F$4:$F$1000,ROW()-3)&amp;"")</f>
        <v>ऑनलाइन भुगतान सहायता (फीस / चालान)</v>
      </c>
      <c r="D259" s="7" t="str">
        <f aca="false">IF(INDEX(MASTER_DATABASE!$A$4:$A$1000,ROW()-3)="","",INDEX(MASTER_DATABASE!$AL$4:$AL$1000,ROW()-3)&amp;"")</f>
        <v>Online Form &amp; Digital Services</v>
      </c>
      <c r="E259" s="7" t="str">
        <f aca="false">IF(INDEX(MASTER_DATABASE!$A$4:$A$1000,ROW()-3)="","",INDEX(MASTER_DATABASE!$G$4:$G$1000,ROW()-3)&amp;"")</f>
        <v>Online help with Online Payment Assistance (Fee / Challan).</v>
      </c>
      <c r="F259" s="11" t="str">
        <f aca="false">IF(INDEX(MASTER_DATABASE!$A$4:$A$1000,ROW()-3)="","",INDEX(MASTER_DATABASE!$AP$4:$AP$1000,ROW()-3)&amp;"")</f>
        <v>☁️</v>
      </c>
      <c r="G25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5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5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59" s="7" t="str">
        <f aca="false">IF(INDEX(MASTER_DATABASE!$A$4:$A$1000,ROW()-3)="","",INDEX(MASTER_DATABASE!$J$4:$J$1000,ROW()-3)&amp;"")</f>
        <v>Available</v>
      </c>
      <c r="K259" s="7" t="str">
        <f aca="false">IF(INDEX(MASTER_DATABASE!$A$4:$A$1000,ROW()-3)="","",INDEX(MASTER_DATABASE!$M$4:$M$1000,ROW()-3)&amp;"")</f>
        <v>✓ Active Mobile Number</v>
      </c>
      <c r="L259" s="7" t="str">
        <f aca="false">IF(INDEX(MASTER_DATABASE!$A$4:$A$1000,ROW()-3)="","",INDEX(MASTER_DATABASE!$Q$4:$Q$1000,ROW()-3)&amp;"")</f>
        <v>15–30 Minutes</v>
      </c>
      <c r="M259" s="11" t="str">
        <f aca="false">IF(INDEX(MASTER_DATABASE!$A$4:$A$1000,ROW()-3)="","",INDEX(MASTER_DATABASE!$AI$4:$AI$1000,ROW()-3)&amp;"")</f>
        <v>No</v>
      </c>
      <c r="N259" s="11" t="str">
        <f aca="false">IF(INDEX(MASTER_DATABASE!$A$4:$A$1000,ROW()-3)="","",INDEX(MASTER_DATABASE!$AJ$4:$AJ$1000,ROW()-3)&amp;"")</f>
        <v>No</v>
      </c>
      <c r="O259" s="11" t="str">
        <f aca="false">IF(INDEX(MASTER_DATABASE!$A$4:$A$1000,ROW()-3)="","",IF(INDEX(MASTER_DATABASE!$BE$4:$BE$1000,ROW()-3)="LIVE","Yes","No"))</f>
        <v>Yes</v>
      </c>
      <c r="P259" s="7" t="str">
        <f aca="false">IF(INDEX(MASTER_DATABASE!$A$4:$A$1000,ROW()-3)="","",INDEX(MASTER_DATABASE!$BG$4:$BG$1000,ROW()-3)&amp;"")</f>
        <v>Visit Shop</v>
      </c>
      <c r="Q259" s="11" t="n">
        <f aca="false">IF(INDEX(MASTER_DATABASE!$A$4:$A$1000,ROW()-3)="","",INDEX(MASTER_DATABASE!$AQ$4:$AQ$1000,ROW()-3))</f>
        <v>280</v>
      </c>
    </row>
    <row r="260" customFormat="false" ht="23.85" hidden="false" customHeight="false" outlineLevel="0" collapsed="false">
      <c r="A260" s="11" t="str">
        <f aca="false">IF(INDEX(MASTER_DATABASE!$A$4:$A$1000,ROW()-3)="","",INDEX(MASTER_DATABASE!$A$4:$A$1000,ROW()-3)&amp;"")</f>
        <v>ONL-029</v>
      </c>
      <c r="B260" s="7" t="str">
        <f aca="false">IF(INDEX(MASTER_DATABASE!$A$4:$A$1000,ROW()-3)="","",INDEX(MASTER_DATABASE!$E$4:$E$1000,ROW()-3)&amp;"")</f>
        <v>UPI / Payment App Setup Assistance</v>
      </c>
      <c r="C260" s="7" t="str">
        <f aca="false">IF(INDEX(MASTER_DATABASE!$A$4:$A$1000,ROW()-3)="","",INDEX(MASTER_DATABASE!$F$4:$F$1000,ROW()-3)&amp;"")</f>
        <v>UPI / पेमेंट ऐप सेटअप सहायता</v>
      </c>
      <c r="D260" s="7" t="str">
        <f aca="false">IF(INDEX(MASTER_DATABASE!$A$4:$A$1000,ROW()-3)="","",INDEX(MASTER_DATABASE!$AL$4:$AL$1000,ROW()-3)&amp;"")</f>
        <v>Online Form &amp; Digital Services</v>
      </c>
      <c r="E260" s="7" t="str">
        <f aca="false">IF(INDEX(MASTER_DATABASE!$A$4:$A$1000,ROW()-3)="","",INDEX(MASTER_DATABASE!$G$4:$G$1000,ROW()-3)&amp;"")</f>
        <v>Online help with UPI / Payment App Setup Assistance.</v>
      </c>
      <c r="F260" s="11" t="str">
        <f aca="false">IF(INDEX(MASTER_DATABASE!$A$4:$A$1000,ROW()-3)="","",INDEX(MASTER_DATABASE!$AP$4:$AP$1000,ROW()-3)&amp;"")</f>
        <v>☁️</v>
      </c>
      <c r="G26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0" s="7" t="str">
        <f aca="false">IF(INDEX(MASTER_DATABASE!$A$4:$A$1000,ROW()-3)="","",INDEX(MASTER_DATABASE!$J$4:$J$1000,ROW()-3)&amp;"")</f>
        <v>Available</v>
      </c>
      <c r="K260" s="7" t="str">
        <f aca="false">IF(INDEX(MASTER_DATABASE!$A$4:$A$1000,ROW()-3)="","",INDEX(MASTER_DATABASE!$M$4:$M$1000,ROW()-3)&amp;"")</f>
        <v>✓ Active Mobile Number</v>
      </c>
      <c r="L260" s="7" t="str">
        <f aca="false">IF(INDEX(MASTER_DATABASE!$A$4:$A$1000,ROW()-3)="","",INDEX(MASTER_DATABASE!$Q$4:$Q$1000,ROW()-3)&amp;"")</f>
        <v>15–30 Minutes</v>
      </c>
      <c r="M260" s="11" t="str">
        <f aca="false">IF(INDEX(MASTER_DATABASE!$A$4:$A$1000,ROW()-3)="","",INDEX(MASTER_DATABASE!$AI$4:$AI$1000,ROW()-3)&amp;"")</f>
        <v>No</v>
      </c>
      <c r="N260" s="11" t="str">
        <f aca="false">IF(INDEX(MASTER_DATABASE!$A$4:$A$1000,ROW()-3)="","",INDEX(MASTER_DATABASE!$AJ$4:$AJ$1000,ROW()-3)&amp;"")</f>
        <v>No</v>
      </c>
      <c r="O260" s="11" t="str">
        <f aca="false">IF(INDEX(MASTER_DATABASE!$A$4:$A$1000,ROW()-3)="","",IF(INDEX(MASTER_DATABASE!$BE$4:$BE$1000,ROW()-3)="LIVE","Yes","No"))</f>
        <v>Yes</v>
      </c>
      <c r="P260" s="7" t="str">
        <f aca="false">IF(INDEX(MASTER_DATABASE!$A$4:$A$1000,ROW()-3)="","",INDEX(MASTER_DATABASE!$BG$4:$BG$1000,ROW()-3)&amp;"")</f>
        <v>Visit Shop</v>
      </c>
      <c r="Q260" s="11" t="n">
        <f aca="false">IF(INDEX(MASTER_DATABASE!$A$4:$A$1000,ROW()-3)="","",INDEX(MASTER_DATABASE!$AQ$4:$AQ$1000,ROW()-3))</f>
        <v>290</v>
      </c>
    </row>
    <row r="261" customFormat="false" ht="23.85" hidden="false" customHeight="false" outlineLevel="0" collapsed="false">
      <c r="A261" s="11" t="str">
        <f aca="false">IF(INDEX(MASTER_DATABASE!$A$4:$A$1000,ROW()-3)="","",INDEX(MASTER_DATABASE!$A$4:$A$1000,ROW()-3)&amp;"")</f>
        <v>ONL-030</v>
      </c>
      <c r="B261" s="7" t="str">
        <f aca="false">IF(INDEX(MASTER_DATABASE!$A$4:$A$1000,ROW()-3)="","",INDEX(MASTER_DATABASE!$E$4:$E$1000,ROW()-3)&amp;"")</f>
        <v>PAN – New Application</v>
      </c>
      <c r="C261" s="7" t="str">
        <f aca="false">IF(INDEX(MASTER_DATABASE!$A$4:$A$1000,ROW()-3)="","",INDEX(MASTER_DATABASE!$F$4:$F$1000,ROW()-3)&amp;"")</f>
        <v>पैन – नया आवेदन</v>
      </c>
      <c r="D261" s="7" t="str">
        <f aca="false">IF(INDEX(MASTER_DATABASE!$A$4:$A$1000,ROW()-3)="","",INDEX(MASTER_DATABASE!$AL$4:$AL$1000,ROW()-3)&amp;"")</f>
        <v>Online Form &amp; Digital Services</v>
      </c>
      <c r="E261" s="7" t="str">
        <f aca="false">IF(INDEX(MASTER_DATABASE!$A$4:$A$1000,ROW()-3)="","",INDEX(MASTER_DATABASE!$G$4:$G$1000,ROW()-3)&amp;"")</f>
        <v>Online help with PAN – New Application.</v>
      </c>
      <c r="F261" s="11" t="str">
        <f aca="false">IF(INDEX(MASTER_DATABASE!$A$4:$A$1000,ROW()-3)="","",INDEX(MASTER_DATABASE!$AP$4:$AP$1000,ROW()-3)&amp;"")</f>
        <v>🆔</v>
      </c>
      <c r="G26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1" s="7" t="str">
        <f aca="false">IF(INDEX(MASTER_DATABASE!$A$4:$A$1000,ROW()-3)="","",INDEX(MASTER_DATABASE!$J$4:$J$1000,ROW()-3)&amp;"")</f>
        <v>Depends on Portal – Confirm at Shop</v>
      </c>
      <c r="K261" s="7" t="str">
        <f aca="false">IF(INDEX(MASTER_DATABASE!$A$4:$A$1000,ROW()-3)="","",INDEX(MASTER_DATABASE!$M$4:$M$1000,ROW()-3)&amp;"")</f>
        <v>✓ Aadhaar Card
✓ Active Mobile Number</v>
      </c>
      <c r="L261" s="7" t="str">
        <f aca="false">IF(INDEX(MASTER_DATABASE!$A$4:$A$1000,ROW()-3)="","",INDEX(MASTER_DATABASE!$Q$4:$Q$1000,ROW()-3)&amp;"")</f>
        <v>Depends on Department</v>
      </c>
      <c r="M261" s="11" t="str">
        <f aca="false">IF(INDEX(MASTER_DATABASE!$A$4:$A$1000,ROW()-3)="","",INDEX(MASTER_DATABASE!$AI$4:$AI$1000,ROW()-3)&amp;"")</f>
        <v>No</v>
      </c>
      <c r="N261" s="11" t="str">
        <f aca="false">IF(INDEX(MASTER_DATABASE!$A$4:$A$1000,ROW()-3)="","",INDEX(MASTER_DATABASE!$AJ$4:$AJ$1000,ROW()-3)&amp;"")</f>
        <v>No</v>
      </c>
      <c r="O261" s="11" t="str">
        <f aca="false">IF(INDEX(MASTER_DATABASE!$A$4:$A$1000,ROW()-3)="","",IF(INDEX(MASTER_DATABASE!$BE$4:$BE$1000,ROW()-3)="LIVE","Yes","No"))</f>
        <v>No</v>
      </c>
      <c r="P261" s="7" t="str">
        <f aca="false">IF(INDEX(MASTER_DATABASE!$A$4:$A$1000,ROW()-3)="","",INDEX(MASTER_DATABASE!$BG$4:$BG$1000,ROW()-3)&amp;"")</f>
        <v>Check Documents</v>
      </c>
      <c r="Q261" s="11" t="n">
        <f aca="false">IF(INDEX(MASTER_DATABASE!$A$4:$A$1000,ROW()-3)="","",INDEX(MASTER_DATABASE!$AQ$4:$AQ$1000,ROW()-3))</f>
        <v>300</v>
      </c>
    </row>
    <row r="262" customFormat="false" ht="23.85" hidden="false" customHeight="false" outlineLevel="0" collapsed="false">
      <c r="A262" s="11" t="str">
        <f aca="false">IF(INDEX(MASTER_DATABASE!$A$4:$A$1000,ROW()-3)="","",INDEX(MASTER_DATABASE!$A$4:$A$1000,ROW()-3)&amp;"")</f>
        <v>ONL-031</v>
      </c>
      <c r="B262" s="7" t="str">
        <f aca="false">IF(INDEX(MASTER_DATABASE!$A$4:$A$1000,ROW()-3)="","",INDEX(MASTER_DATABASE!$E$4:$E$1000,ROW()-3)&amp;"")</f>
        <v>PAN – Correction / Update</v>
      </c>
      <c r="C262" s="7" t="str">
        <f aca="false">IF(INDEX(MASTER_DATABASE!$A$4:$A$1000,ROW()-3)="","",INDEX(MASTER_DATABASE!$F$4:$F$1000,ROW()-3)&amp;"")</f>
        <v>पैन – सुधार / अपडेट</v>
      </c>
      <c r="D262" s="7" t="str">
        <f aca="false">IF(INDEX(MASTER_DATABASE!$A$4:$A$1000,ROW()-3)="","",INDEX(MASTER_DATABASE!$AL$4:$AL$1000,ROW()-3)&amp;"")</f>
        <v>Online Form &amp; Digital Services</v>
      </c>
      <c r="E262" s="7" t="str">
        <f aca="false">IF(INDEX(MASTER_DATABASE!$A$4:$A$1000,ROW()-3)="","",INDEX(MASTER_DATABASE!$G$4:$G$1000,ROW()-3)&amp;"")</f>
        <v>Online help with PAN – Correction / Update.</v>
      </c>
      <c r="F262" s="11" t="str">
        <f aca="false">IF(INDEX(MASTER_DATABASE!$A$4:$A$1000,ROW()-3)="","",INDEX(MASTER_DATABASE!$AP$4:$AP$1000,ROW()-3)&amp;"")</f>
        <v>🆔</v>
      </c>
      <c r="G26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2" s="7" t="str">
        <f aca="false">IF(INDEX(MASTER_DATABASE!$A$4:$A$1000,ROW()-3)="","",INDEX(MASTER_DATABASE!$J$4:$J$1000,ROW()-3)&amp;"")</f>
        <v>Available</v>
      </c>
      <c r="K262" s="7" t="str">
        <f aca="false">IF(INDEX(MASTER_DATABASE!$A$4:$A$1000,ROW()-3)="","",INDEX(MASTER_DATABASE!$M$4:$M$1000,ROW()-3)&amp;"")</f>
        <v>✓ Aadhaar Card
✓ Active Mobile Number</v>
      </c>
      <c r="L262" s="7" t="str">
        <f aca="false">IF(INDEX(MASTER_DATABASE!$A$4:$A$1000,ROW()-3)="","",INDEX(MASTER_DATABASE!$Q$4:$Q$1000,ROW()-3)&amp;"")</f>
        <v>Depends on Department</v>
      </c>
      <c r="M262" s="11" t="str">
        <f aca="false">IF(INDEX(MASTER_DATABASE!$A$4:$A$1000,ROW()-3)="","",INDEX(MASTER_DATABASE!$AI$4:$AI$1000,ROW()-3)&amp;"")</f>
        <v>No</v>
      </c>
      <c r="N262" s="11" t="str">
        <f aca="false">IF(INDEX(MASTER_DATABASE!$A$4:$A$1000,ROW()-3)="","",INDEX(MASTER_DATABASE!$AJ$4:$AJ$1000,ROW()-3)&amp;"")</f>
        <v>No</v>
      </c>
      <c r="O262" s="11" t="str">
        <f aca="false">IF(INDEX(MASTER_DATABASE!$A$4:$A$1000,ROW()-3)="","",IF(INDEX(MASTER_DATABASE!$BE$4:$BE$1000,ROW()-3)="LIVE","Yes","No"))</f>
        <v>Yes</v>
      </c>
      <c r="P262" s="7" t="str">
        <f aca="false">IF(INDEX(MASTER_DATABASE!$A$4:$A$1000,ROW()-3)="","",INDEX(MASTER_DATABASE!$BG$4:$BG$1000,ROW()-3)&amp;"")</f>
        <v>Check Documents</v>
      </c>
      <c r="Q262" s="11" t="n">
        <f aca="false">IF(INDEX(MASTER_DATABASE!$A$4:$A$1000,ROW()-3)="","",INDEX(MASTER_DATABASE!$AQ$4:$AQ$1000,ROW()-3))</f>
        <v>310</v>
      </c>
    </row>
    <row r="263" customFormat="false" ht="23.85" hidden="false" customHeight="false" outlineLevel="0" collapsed="false">
      <c r="A263" s="11" t="str">
        <f aca="false">IF(INDEX(MASTER_DATABASE!$A$4:$A$1000,ROW()-3)="","",INDEX(MASTER_DATABASE!$A$4:$A$1000,ROW()-3)&amp;"")</f>
        <v>ONL-032</v>
      </c>
      <c r="B263" s="7" t="str">
        <f aca="false">IF(INDEX(MASTER_DATABASE!$A$4:$A$1000,ROW()-3)="","",INDEX(MASTER_DATABASE!$E$4:$E$1000,ROW()-3)&amp;"")</f>
        <v>PAN – Reprint / e-PAN Download</v>
      </c>
      <c r="C263" s="7" t="str">
        <f aca="false">IF(INDEX(MASTER_DATABASE!$A$4:$A$1000,ROW()-3)="","",INDEX(MASTER_DATABASE!$F$4:$F$1000,ROW()-3)&amp;"")</f>
        <v>पैन – रीप्रिंट / e-PAN डाउनलोड</v>
      </c>
      <c r="D263" s="7" t="str">
        <f aca="false">IF(INDEX(MASTER_DATABASE!$A$4:$A$1000,ROW()-3)="","",INDEX(MASTER_DATABASE!$AL$4:$AL$1000,ROW()-3)&amp;"")</f>
        <v>Online Form &amp; Digital Services</v>
      </c>
      <c r="E263" s="7" t="str">
        <f aca="false">IF(INDEX(MASTER_DATABASE!$A$4:$A$1000,ROW()-3)="","",INDEX(MASTER_DATABASE!$G$4:$G$1000,ROW()-3)&amp;"")</f>
        <v>Online help with PAN – Reprint / e-PAN Download.</v>
      </c>
      <c r="F263" s="11" t="str">
        <f aca="false">IF(INDEX(MASTER_DATABASE!$A$4:$A$1000,ROW()-3)="","",INDEX(MASTER_DATABASE!$AP$4:$AP$1000,ROW()-3)&amp;"")</f>
        <v>🆔</v>
      </c>
      <c r="G26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3" s="7" t="str">
        <f aca="false">IF(INDEX(MASTER_DATABASE!$A$4:$A$1000,ROW()-3)="","",INDEX(MASTER_DATABASE!$J$4:$J$1000,ROW()-3)&amp;"")</f>
        <v>Depends on Portal – Confirm at Shop</v>
      </c>
      <c r="K263" s="7" t="str">
        <f aca="false">IF(INDEX(MASTER_DATABASE!$A$4:$A$1000,ROW()-3)="","",INDEX(MASTER_DATABASE!$M$4:$M$1000,ROW()-3)&amp;"")</f>
        <v>✓ Aadhaar Card
✓ Active Mobile Number</v>
      </c>
      <c r="L263" s="7" t="str">
        <f aca="false">IF(INDEX(MASTER_DATABASE!$A$4:$A$1000,ROW()-3)="","",INDEX(MASTER_DATABASE!$Q$4:$Q$1000,ROW()-3)&amp;"")</f>
        <v>Depends on Department</v>
      </c>
      <c r="M263" s="11" t="str">
        <f aca="false">IF(INDEX(MASTER_DATABASE!$A$4:$A$1000,ROW()-3)="","",INDEX(MASTER_DATABASE!$AI$4:$AI$1000,ROW()-3)&amp;"")</f>
        <v>No</v>
      </c>
      <c r="N263" s="11" t="str">
        <f aca="false">IF(INDEX(MASTER_DATABASE!$A$4:$A$1000,ROW()-3)="","",INDEX(MASTER_DATABASE!$AJ$4:$AJ$1000,ROW()-3)&amp;"")</f>
        <v>No</v>
      </c>
      <c r="O263" s="11" t="str">
        <f aca="false">IF(INDEX(MASTER_DATABASE!$A$4:$A$1000,ROW()-3)="","",IF(INDEX(MASTER_DATABASE!$BE$4:$BE$1000,ROW()-3)="LIVE","Yes","No"))</f>
        <v>No</v>
      </c>
      <c r="P263" s="7" t="str">
        <f aca="false">IF(INDEX(MASTER_DATABASE!$A$4:$A$1000,ROW()-3)="","",INDEX(MASTER_DATABASE!$BG$4:$BG$1000,ROW()-3)&amp;"")</f>
        <v>Check Documents</v>
      </c>
      <c r="Q263" s="11" t="n">
        <f aca="false">IF(INDEX(MASTER_DATABASE!$A$4:$A$1000,ROW()-3)="","",INDEX(MASTER_DATABASE!$AQ$4:$AQ$1000,ROW()-3))</f>
        <v>320</v>
      </c>
    </row>
    <row r="264" customFormat="false" ht="23.85" hidden="false" customHeight="false" outlineLevel="0" collapsed="false">
      <c r="A264" s="11" t="str">
        <f aca="false">IF(INDEX(MASTER_DATABASE!$A$4:$A$1000,ROW()-3)="","",INDEX(MASTER_DATABASE!$A$4:$A$1000,ROW()-3)&amp;"")</f>
        <v>ONL-033</v>
      </c>
      <c r="B264" s="7" t="str">
        <f aca="false">IF(INDEX(MASTER_DATABASE!$A$4:$A$1000,ROW()-3)="","",INDEX(MASTER_DATABASE!$E$4:$E$1000,ROW()-3)&amp;"")</f>
        <v>PAN – Status Check</v>
      </c>
      <c r="C264" s="7" t="str">
        <f aca="false">IF(INDEX(MASTER_DATABASE!$A$4:$A$1000,ROW()-3)="","",INDEX(MASTER_DATABASE!$F$4:$F$1000,ROW()-3)&amp;"")</f>
        <v>पैन – स्थिति जाँच</v>
      </c>
      <c r="D264" s="7" t="str">
        <f aca="false">IF(INDEX(MASTER_DATABASE!$A$4:$A$1000,ROW()-3)="","",INDEX(MASTER_DATABASE!$AL$4:$AL$1000,ROW()-3)&amp;"")</f>
        <v>Online Form &amp; Digital Services</v>
      </c>
      <c r="E264" s="7" t="str">
        <f aca="false">IF(INDEX(MASTER_DATABASE!$A$4:$A$1000,ROW()-3)="","",INDEX(MASTER_DATABASE!$G$4:$G$1000,ROW()-3)&amp;"")</f>
        <v>Online help with PAN – Status Check.</v>
      </c>
      <c r="F264" s="11" t="str">
        <f aca="false">IF(INDEX(MASTER_DATABASE!$A$4:$A$1000,ROW()-3)="","",INDEX(MASTER_DATABASE!$AP$4:$AP$1000,ROW()-3)&amp;"")</f>
        <v>🆔</v>
      </c>
      <c r="G26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4" s="7" t="str">
        <f aca="false">IF(INDEX(MASTER_DATABASE!$A$4:$A$1000,ROW()-3)="","",INDEX(MASTER_DATABASE!$J$4:$J$1000,ROW()-3)&amp;"")</f>
        <v>Depends on Portal – Confirm at Shop</v>
      </c>
      <c r="K264" s="7" t="str">
        <f aca="false">IF(INDEX(MASTER_DATABASE!$A$4:$A$1000,ROW()-3)="","",INDEX(MASTER_DATABASE!$M$4:$M$1000,ROW()-3)&amp;"")</f>
        <v>✓ Aadhaar Card
✓ Active Mobile Number</v>
      </c>
      <c r="L264" s="7" t="str">
        <f aca="false">IF(INDEX(MASTER_DATABASE!$A$4:$A$1000,ROW()-3)="","",INDEX(MASTER_DATABASE!$Q$4:$Q$1000,ROW()-3)&amp;"")</f>
        <v>Depends on Department</v>
      </c>
      <c r="M264" s="11" t="str">
        <f aca="false">IF(INDEX(MASTER_DATABASE!$A$4:$A$1000,ROW()-3)="","",INDEX(MASTER_DATABASE!$AI$4:$AI$1000,ROW()-3)&amp;"")</f>
        <v>No</v>
      </c>
      <c r="N264" s="11" t="str">
        <f aca="false">IF(INDEX(MASTER_DATABASE!$A$4:$A$1000,ROW()-3)="","",INDEX(MASTER_DATABASE!$AJ$4:$AJ$1000,ROW()-3)&amp;"")</f>
        <v>No</v>
      </c>
      <c r="O264" s="11" t="str">
        <f aca="false">IF(INDEX(MASTER_DATABASE!$A$4:$A$1000,ROW()-3)="","",IF(INDEX(MASTER_DATABASE!$BE$4:$BE$1000,ROW()-3)="LIVE","Yes","No"))</f>
        <v>No</v>
      </c>
      <c r="P264" s="7" t="str">
        <f aca="false">IF(INDEX(MASTER_DATABASE!$A$4:$A$1000,ROW()-3)="","",INDEX(MASTER_DATABASE!$BG$4:$BG$1000,ROW()-3)&amp;"")</f>
        <v>Check Documents</v>
      </c>
      <c r="Q264" s="11" t="n">
        <f aca="false">IF(INDEX(MASTER_DATABASE!$A$4:$A$1000,ROW()-3)="","",INDEX(MASTER_DATABASE!$AQ$4:$AQ$1000,ROW()-3))</f>
        <v>330</v>
      </c>
    </row>
    <row r="265" customFormat="false" ht="23.85" hidden="false" customHeight="false" outlineLevel="0" collapsed="false">
      <c r="A265" s="11" t="str">
        <f aca="false">IF(INDEX(MASTER_DATABASE!$A$4:$A$1000,ROW()-3)="","",INDEX(MASTER_DATABASE!$A$4:$A$1000,ROW()-3)&amp;"")</f>
        <v>ONL-034</v>
      </c>
      <c r="B265" s="7" t="str">
        <f aca="false">IF(INDEX(MASTER_DATABASE!$A$4:$A$1000,ROW()-3)="","",INDEX(MASTER_DATABASE!$E$4:$E$1000,ROW()-3)&amp;"")</f>
        <v>PAN–Aadhaar Link Assistance</v>
      </c>
      <c r="C265" s="7" t="str">
        <f aca="false">IF(INDEX(MASTER_DATABASE!$A$4:$A$1000,ROW()-3)="","",INDEX(MASTER_DATABASE!$F$4:$F$1000,ROW()-3)&amp;"")</f>
        <v>पैन–आधार लिंक सहायता</v>
      </c>
      <c r="D265" s="7" t="str">
        <f aca="false">IF(INDEX(MASTER_DATABASE!$A$4:$A$1000,ROW()-3)="","",INDEX(MASTER_DATABASE!$AL$4:$AL$1000,ROW()-3)&amp;"")</f>
        <v>Online Form &amp; Digital Services</v>
      </c>
      <c r="E265" s="7" t="str">
        <f aca="false">IF(INDEX(MASTER_DATABASE!$A$4:$A$1000,ROW()-3)="","",INDEX(MASTER_DATABASE!$G$4:$G$1000,ROW()-3)&amp;"")</f>
        <v>Online help with PAN–Aadhaar Link Assistance.</v>
      </c>
      <c r="F265" s="11" t="str">
        <f aca="false">IF(INDEX(MASTER_DATABASE!$A$4:$A$1000,ROW()-3)="","",INDEX(MASTER_DATABASE!$AP$4:$AP$1000,ROW()-3)&amp;"")</f>
        <v>🆔</v>
      </c>
      <c r="G26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5" s="7" t="str">
        <f aca="false">IF(INDEX(MASTER_DATABASE!$A$4:$A$1000,ROW()-3)="","",INDEX(MASTER_DATABASE!$J$4:$J$1000,ROW()-3)&amp;"")</f>
        <v>Depends on Portal – Confirm at Shop</v>
      </c>
      <c r="K265" s="7" t="str">
        <f aca="false">IF(INDEX(MASTER_DATABASE!$A$4:$A$1000,ROW()-3)="","",INDEX(MASTER_DATABASE!$M$4:$M$1000,ROW()-3)&amp;"")</f>
        <v>✓ Aadhaar Card
✓ Active Mobile Number</v>
      </c>
      <c r="L265" s="7" t="str">
        <f aca="false">IF(INDEX(MASTER_DATABASE!$A$4:$A$1000,ROW()-3)="","",INDEX(MASTER_DATABASE!$Q$4:$Q$1000,ROW()-3)&amp;"")</f>
        <v>Depends on Department</v>
      </c>
      <c r="M265" s="11" t="str">
        <f aca="false">IF(INDEX(MASTER_DATABASE!$A$4:$A$1000,ROW()-3)="","",INDEX(MASTER_DATABASE!$AI$4:$AI$1000,ROW()-3)&amp;"")</f>
        <v>No</v>
      </c>
      <c r="N265" s="11" t="str">
        <f aca="false">IF(INDEX(MASTER_DATABASE!$A$4:$A$1000,ROW()-3)="","",INDEX(MASTER_DATABASE!$AJ$4:$AJ$1000,ROW()-3)&amp;"")</f>
        <v>No</v>
      </c>
      <c r="O265" s="11" t="str">
        <f aca="false">IF(INDEX(MASTER_DATABASE!$A$4:$A$1000,ROW()-3)="","",IF(INDEX(MASTER_DATABASE!$BE$4:$BE$1000,ROW()-3)="LIVE","Yes","No"))</f>
        <v>No</v>
      </c>
      <c r="P265" s="7" t="str">
        <f aca="false">IF(INDEX(MASTER_DATABASE!$A$4:$A$1000,ROW()-3)="","",INDEX(MASTER_DATABASE!$BG$4:$BG$1000,ROW()-3)&amp;"")</f>
        <v>Check Documents</v>
      </c>
      <c r="Q265" s="11" t="n">
        <f aca="false">IF(INDEX(MASTER_DATABASE!$A$4:$A$1000,ROW()-3)="","",INDEX(MASTER_DATABASE!$AQ$4:$AQ$1000,ROW()-3))</f>
        <v>340</v>
      </c>
    </row>
    <row r="266" customFormat="false" ht="57.45" hidden="false" customHeight="false" outlineLevel="0" collapsed="false">
      <c r="A266" s="11" t="str">
        <f aca="false">IF(INDEX(MASTER_DATABASE!$A$4:$A$1000,ROW()-3)="","",INDEX(MASTER_DATABASE!$A$4:$A$1000,ROW()-3)&amp;"")</f>
        <v>ONL-035</v>
      </c>
      <c r="B266" s="7" t="str">
        <f aca="false">IF(INDEX(MASTER_DATABASE!$A$4:$A$1000,ROW()-3)="","",INDEX(MASTER_DATABASE!$E$4:$E$1000,ROW()-3)&amp;"")</f>
        <v>Voter ID – New Registration (Form 6)</v>
      </c>
      <c r="C266" s="7" t="str">
        <f aca="false">IF(INDEX(MASTER_DATABASE!$A$4:$A$1000,ROW()-3)="","",INDEX(MASTER_DATABASE!$F$4:$F$1000,ROW()-3)&amp;"")</f>
        <v>वोटर आईडी – नया पंजीकरण (फॉर्म 6)</v>
      </c>
      <c r="D266" s="7" t="str">
        <f aca="false">IF(INDEX(MASTER_DATABASE!$A$4:$A$1000,ROW()-3)="","",INDEX(MASTER_DATABASE!$AL$4:$AL$1000,ROW()-3)&amp;"")</f>
        <v>Online Form &amp; Digital Services</v>
      </c>
      <c r="E266" s="7" t="str">
        <f aca="false">IF(INDEX(MASTER_DATABASE!$A$4:$A$1000,ROW()-3)="","",INDEX(MASTER_DATABASE!$G$4:$G$1000,ROW()-3)&amp;"")</f>
        <v>Online help with Voter ID – New Registration (Form 6).</v>
      </c>
      <c r="F266" s="11" t="str">
        <f aca="false">IF(INDEX(MASTER_DATABASE!$A$4:$A$1000,ROW()-3)="","",INDEX(MASTER_DATABASE!$AP$4:$AP$1000,ROW()-3)&amp;"")</f>
        <v>🆔</v>
      </c>
      <c r="G26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6" s="7" t="str">
        <f aca="false">IF(INDEX(MASTER_DATABASE!$A$4:$A$1000,ROW()-3)="","",INDEX(MASTER_DATABASE!$J$4:$J$1000,ROW()-3)&amp;"")</f>
        <v>Depends on Portal – Confirm at Shop</v>
      </c>
      <c r="K266" s="7" t="str">
        <f aca="false">IF(INDEX(MASTER_DATABASE!$A$4:$A$1000,ROW()-3)="","",INDEX(MASTER_DATABASE!$M$4:$M$1000,ROW()-3)&amp;"")</f>
        <v>✓ Aadhaar Card
✓ Active Mobile Number
✓ Passport Photo
✓ Address Proof
✓ Date of Birth Proof</v>
      </c>
      <c r="L266" s="7" t="str">
        <f aca="false">IF(INDEX(MASTER_DATABASE!$A$4:$A$1000,ROW()-3)="","",INDEX(MASTER_DATABASE!$Q$4:$Q$1000,ROW()-3)&amp;"")</f>
        <v>Depends on Department</v>
      </c>
      <c r="M266" s="11" t="str">
        <f aca="false">IF(INDEX(MASTER_DATABASE!$A$4:$A$1000,ROW()-3)="","",INDEX(MASTER_DATABASE!$AI$4:$AI$1000,ROW()-3)&amp;"")</f>
        <v>No</v>
      </c>
      <c r="N266" s="11" t="str">
        <f aca="false">IF(INDEX(MASTER_DATABASE!$A$4:$A$1000,ROW()-3)="","",INDEX(MASTER_DATABASE!$AJ$4:$AJ$1000,ROW()-3)&amp;"")</f>
        <v>No</v>
      </c>
      <c r="O266" s="11" t="str">
        <f aca="false">IF(INDEX(MASTER_DATABASE!$A$4:$A$1000,ROW()-3)="","",IF(INDEX(MASTER_DATABASE!$BE$4:$BE$1000,ROW()-3)="LIVE","Yes","No"))</f>
        <v>No</v>
      </c>
      <c r="P266" s="7" t="str">
        <f aca="false">IF(INDEX(MASTER_DATABASE!$A$4:$A$1000,ROW()-3)="","",INDEX(MASTER_DATABASE!$BG$4:$BG$1000,ROW()-3)&amp;"")</f>
        <v>Check Documents</v>
      </c>
      <c r="Q266" s="11" t="n">
        <f aca="false">IF(INDEX(MASTER_DATABASE!$A$4:$A$1000,ROW()-3)="","",INDEX(MASTER_DATABASE!$AQ$4:$AQ$1000,ROW()-3))</f>
        <v>350</v>
      </c>
    </row>
    <row r="267" customFormat="false" ht="57.45" hidden="false" customHeight="false" outlineLevel="0" collapsed="false">
      <c r="A267" s="11" t="str">
        <f aca="false">IF(INDEX(MASTER_DATABASE!$A$4:$A$1000,ROW()-3)="","",INDEX(MASTER_DATABASE!$A$4:$A$1000,ROW()-3)&amp;"")</f>
        <v>ONL-036</v>
      </c>
      <c r="B267" s="7" t="str">
        <f aca="false">IF(INDEX(MASTER_DATABASE!$A$4:$A$1000,ROW()-3)="","",INDEX(MASTER_DATABASE!$E$4:$E$1000,ROW()-3)&amp;"")</f>
        <v>Voter ID – Correction (Form 8)</v>
      </c>
      <c r="C267" s="7" t="str">
        <f aca="false">IF(INDEX(MASTER_DATABASE!$A$4:$A$1000,ROW()-3)="","",INDEX(MASTER_DATABASE!$F$4:$F$1000,ROW()-3)&amp;"")</f>
        <v>वोटर आईडी – सुधार (फॉर्म 8)</v>
      </c>
      <c r="D267" s="7" t="str">
        <f aca="false">IF(INDEX(MASTER_DATABASE!$A$4:$A$1000,ROW()-3)="","",INDEX(MASTER_DATABASE!$AL$4:$AL$1000,ROW()-3)&amp;"")</f>
        <v>Online Form &amp; Digital Services</v>
      </c>
      <c r="E267" s="7" t="str">
        <f aca="false">IF(INDEX(MASTER_DATABASE!$A$4:$A$1000,ROW()-3)="","",INDEX(MASTER_DATABASE!$G$4:$G$1000,ROW()-3)&amp;"")</f>
        <v>Online help with Voter ID – Correction (Form 8).</v>
      </c>
      <c r="F267" s="11" t="str">
        <f aca="false">IF(INDEX(MASTER_DATABASE!$A$4:$A$1000,ROW()-3)="","",INDEX(MASTER_DATABASE!$AP$4:$AP$1000,ROW()-3)&amp;"")</f>
        <v>🆔</v>
      </c>
      <c r="G26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7" s="7" t="str">
        <f aca="false">IF(INDEX(MASTER_DATABASE!$A$4:$A$1000,ROW()-3)="","",INDEX(MASTER_DATABASE!$J$4:$J$1000,ROW()-3)&amp;"")</f>
        <v>Depends on Portal – Confirm at Shop</v>
      </c>
      <c r="K267" s="7" t="str">
        <f aca="false">IF(INDEX(MASTER_DATABASE!$A$4:$A$1000,ROW()-3)="","",INDEX(MASTER_DATABASE!$M$4:$M$1000,ROW()-3)&amp;"")</f>
        <v>✓ Aadhaar Card
✓ Active Mobile Number
✓ Passport Photo
✓ Address Proof
✓ Date of Birth Proof</v>
      </c>
      <c r="L267" s="7" t="str">
        <f aca="false">IF(INDEX(MASTER_DATABASE!$A$4:$A$1000,ROW()-3)="","",INDEX(MASTER_DATABASE!$Q$4:$Q$1000,ROW()-3)&amp;"")</f>
        <v>Depends on Department</v>
      </c>
      <c r="M267" s="11" t="str">
        <f aca="false">IF(INDEX(MASTER_DATABASE!$A$4:$A$1000,ROW()-3)="","",INDEX(MASTER_DATABASE!$AI$4:$AI$1000,ROW()-3)&amp;"")</f>
        <v>No</v>
      </c>
      <c r="N267" s="11" t="str">
        <f aca="false">IF(INDEX(MASTER_DATABASE!$A$4:$A$1000,ROW()-3)="","",INDEX(MASTER_DATABASE!$AJ$4:$AJ$1000,ROW()-3)&amp;"")</f>
        <v>No</v>
      </c>
      <c r="O267" s="11" t="str">
        <f aca="false">IF(INDEX(MASTER_DATABASE!$A$4:$A$1000,ROW()-3)="","",IF(INDEX(MASTER_DATABASE!$BE$4:$BE$1000,ROW()-3)="LIVE","Yes","No"))</f>
        <v>No</v>
      </c>
      <c r="P267" s="7" t="str">
        <f aca="false">IF(INDEX(MASTER_DATABASE!$A$4:$A$1000,ROW()-3)="","",INDEX(MASTER_DATABASE!$BG$4:$BG$1000,ROW()-3)&amp;"")</f>
        <v>Check Documents</v>
      </c>
      <c r="Q267" s="11" t="n">
        <f aca="false">IF(INDEX(MASTER_DATABASE!$A$4:$A$1000,ROW()-3)="","",INDEX(MASTER_DATABASE!$AQ$4:$AQ$1000,ROW()-3))</f>
        <v>360</v>
      </c>
    </row>
    <row r="268" customFormat="false" ht="57.45" hidden="false" customHeight="false" outlineLevel="0" collapsed="false">
      <c r="A268" s="11" t="str">
        <f aca="false">IF(INDEX(MASTER_DATABASE!$A$4:$A$1000,ROW()-3)="","",INDEX(MASTER_DATABASE!$A$4:$A$1000,ROW()-3)&amp;"")</f>
        <v>ONL-037</v>
      </c>
      <c r="B268" s="7" t="str">
        <f aca="false">IF(INDEX(MASTER_DATABASE!$A$4:$A$1000,ROW()-3)="","",INDEX(MASTER_DATABASE!$E$4:$E$1000,ROW()-3)&amp;"")</f>
        <v>Voter ID (e-EPIC) Download</v>
      </c>
      <c r="C268" s="7" t="str">
        <f aca="false">IF(INDEX(MASTER_DATABASE!$A$4:$A$1000,ROW()-3)="","",INDEX(MASTER_DATABASE!$F$4:$F$1000,ROW()-3)&amp;"")</f>
        <v>वोटर आईडी (e-EPIC) डाउनलोड</v>
      </c>
      <c r="D268" s="7" t="str">
        <f aca="false">IF(INDEX(MASTER_DATABASE!$A$4:$A$1000,ROW()-3)="","",INDEX(MASTER_DATABASE!$AL$4:$AL$1000,ROW()-3)&amp;"")</f>
        <v>Online Form &amp; Digital Services</v>
      </c>
      <c r="E268" s="7" t="str">
        <f aca="false">IF(INDEX(MASTER_DATABASE!$A$4:$A$1000,ROW()-3)="","",INDEX(MASTER_DATABASE!$G$4:$G$1000,ROW()-3)&amp;"")</f>
        <v>Online help with Voter ID (e-EPIC) Download.</v>
      </c>
      <c r="F268" s="11" t="str">
        <f aca="false">IF(INDEX(MASTER_DATABASE!$A$4:$A$1000,ROW()-3)="","",INDEX(MASTER_DATABASE!$AP$4:$AP$1000,ROW()-3)&amp;"")</f>
        <v>🆔</v>
      </c>
      <c r="G26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8" s="7" t="str">
        <f aca="false">IF(INDEX(MASTER_DATABASE!$A$4:$A$1000,ROW()-3)="","",INDEX(MASTER_DATABASE!$J$4:$J$1000,ROW()-3)&amp;"")</f>
        <v>Depends on Portal – Confirm at Shop</v>
      </c>
      <c r="K268" s="7" t="str">
        <f aca="false">IF(INDEX(MASTER_DATABASE!$A$4:$A$1000,ROW()-3)="","",INDEX(MASTER_DATABASE!$M$4:$M$1000,ROW()-3)&amp;"")</f>
        <v>✓ Aadhaar Card
✓ Active Mobile Number
✓ Passport Photo
✓ Address Proof
✓ Date of Birth Proof</v>
      </c>
      <c r="L268" s="7" t="str">
        <f aca="false">IF(INDEX(MASTER_DATABASE!$A$4:$A$1000,ROW()-3)="","",INDEX(MASTER_DATABASE!$Q$4:$Q$1000,ROW()-3)&amp;"")</f>
        <v>Depends on Department</v>
      </c>
      <c r="M268" s="11" t="str">
        <f aca="false">IF(INDEX(MASTER_DATABASE!$A$4:$A$1000,ROW()-3)="","",INDEX(MASTER_DATABASE!$AI$4:$AI$1000,ROW()-3)&amp;"")</f>
        <v>No</v>
      </c>
      <c r="N268" s="11" t="str">
        <f aca="false">IF(INDEX(MASTER_DATABASE!$A$4:$A$1000,ROW()-3)="","",INDEX(MASTER_DATABASE!$AJ$4:$AJ$1000,ROW()-3)&amp;"")</f>
        <v>No</v>
      </c>
      <c r="O268" s="11" t="str">
        <f aca="false">IF(INDEX(MASTER_DATABASE!$A$4:$A$1000,ROW()-3)="","",IF(INDEX(MASTER_DATABASE!$BE$4:$BE$1000,ROW()-3)="LIVE","Yes","No"))</f>
        <v>No</v>
      </c>
      <c r="P268" s="7" t="str">
        <f aca="false">IF(INDEX(MASTER_DATABASE!$A$4:$A$1000,ROW()-3)="","",INDEX(MASTER_DATABASE!$BG$4:$BG$1000,ROW()-3)&amp;"")</f>
        <v>Check Documents</v>
      </c>
      <c r="Q268" s="11" t="n">
        <f aca="false">IF(INDEX(MASTER_DATABASE!$A$4:$A$1000,ROW()-3)="","",INDEX(MASTER_DATABASE!$AQ$4:$AQ$1000,ROW()-3))</f>
        <v>370</v>
      </c>
    </row>
    <row r="269" customFormat="false" ht="23.85" hidden="false" customHeight="false" outlineLevel="0" collapsed="false">
      <c r="A269" s="11" t="str">
        <f aca="false">IF(INDEX(MASTER_DATABASE!$A$4:$A$1000,ROW()-3)="","",INDEX(MASTER_DATABASE!$A$4:$A$1000,ROW()-3)&amp;"")</f>
        <v>ONL-038</v>
      </c>
      <c r="B269" s="7" t="str">
        <f aca="false">IF(INDEX(MASTER_DATABASE!$A$4:$A$1000,ROW()-3)="","",INDEX(MASTER_DATABASE!$E$4:$E$1000,ROW()-3)&amp;"")</f>
        <v>Voter List Name Search</v>
      </c>
      <c r="C269" s="7" t="str">
        <f aca="false">IF(INDEX(MASTER_DATABASE!$A$4:$A$1000,ROW()-3)="","",INDEX(MASTER_DATABASE!$F$4:$F$1000,ROW()-3)&amp;"")</f>
        <v>वोटर लिस्ट में नाम खोजना</v>
      </c>
      <c r="D269" s="7" t="str">
        <f aca="false">IF(INDEX(MASTER_DATABASE!$A$4:$A$1000,ROW()-3)="","",INDEX(MASTER_DATABASE!$AL$4:$AL$1000,ROW()-3)&amp;"")</f>
        <v>Online Form &amp; Digital Services</v>
      </c>
      <c r="E269" s="7" t="str">
        <f aca="false">IF(INDEX(MASTER_DATABASE!$A$4:$A$1000,ROW()-3)="","",INDEX(MASTER_DATABASE!$G$4:$G$1000,ROW()-3)&amp;"")</f>
        <v>Online help with Voter List Name Search.</v>
      </c>
      <c r="F269" s="11" t="str">
        <f aca="false">IF(INDEX(MASTER_DATABASE!$A$4:$A$1000,ROW()-3)="","",INDEX(MASTER_DATABASE!$AP$4:$AP$1000,ROW()-3)&amp;"")</f>
        <v>🆔</v>
      </c>
      <c r="G26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6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6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69" s="7" t="str">
        <f aca="false">IF(INDEX(MASTER_DATABASE!$A$4:$A$1000,ROW()-3)="","",INDEX(MASTER_DATABASE!$J$4:$J$1000,ROW()-3)&amp;"")</f>
        <v>Depends on Portal – Confirm at Shop</v>
      </c>
      <c r="K269" s="7" t="str">
        <f aca="false">IF(INDEX(MASTER_DATABASE!$A$4:$A$1000,ROW()-3)="","",INDEX(MASTER_DATABASE!$M$4:$M$1000,ROW()-3)&amp;"")</f>
        <v>✓ Aadhaar Card
✓ Active Mobile Number</v>
      </c>
      <c r="L269" s="7" t="str">
        <f aca="false">IF(INDEX(MASTER_DATABASE!$A$4:$A$1000,ROW()-3)="","",INDEX(MASTER_DATABASE!$Q$4:$Q$1000,ROW()-3)&amp;"")</f>
        <v>Depends on Department</v>
      </c>
      <c r="M269" s="11" t="str">
        <f aca="false">IF(INDEX(MASTER_DATABASE!$A$4:$A$1000,ROW()-3)="","",INDEX(MASTER_DATABASE!$AI$4:$AI$1000,ROW()-3)&amp;"")</f>
        <v>No</v>
      </c>
      <c r="N269" s="11" t="str">
        <f aca="false">IF(INDEX(MASTER_DATABASE!$A$4:$A$1000,ROW()-3)="","",INDEX(MASTER_DATABASE!$AJ$4:$AJ$1000,ROW()-3)&amp;"")</f>
        <v>No</v>
      </c>
      <c r="O269" s="11" t="str">
        <f aca="false">IF(INDEX(MASTER_DATABASE!$A$4:$A$1000,ROW()-3)="","",IF(INDEX(MASTER_DATABASE!$BE$4:$BE$1000,ROW()-3)="LIVE","Yes","No"))</f>
        <v>No</v>
      </c>
      <c r="P269" s="7" t="str">
        <f aca="false">IF(INDEX(MASTER_DATABASE!$A$4:$A$1000,ROW()-3)="","",INDEX(MASTER_DATABASE!$BG$4:$BG$1000,ROW()-3)&amp;"")</f>
        <v>Check Documents</v>
      </c>
      <c r="Q269" s="11" t="n">
        <f aca="false">IF(INDEX(MASTER_DATABASE!$A$4:$A$1000,ROW()-3)="","",INDEX(MASTER_DATABASE!$AQ$4:$AQ$1000,ROW()-3))</f>
        <v>380</v>
      </c>
    </row>
    <row r="270" customFormat="false" ht="57.45" hidden="false" customHeight="false" outlineLevel="0" collapsed="false">
      <c r="A270" s="11" t="str">
        <f aca="false">IF(INDEX(MASTER_DATABASE!$A$4:$A$1000,ROW()-3)="","",INDEX(MASTER_DATABASE!$A$4:$A$1000,ROW()-3)&amp;"")</f>
        <v>ONL-039</v>
      </c>
      <c r="B270" s="7" t="str">
        <f aca="false">IF(INDEX(MASTER_DATABASE!$A$4:$A$1000,ROW()-3)="","",INDEX(MASTER_DATABASE!$E$4:$E$1000,ROW()-3)&amp;"")</f>
        <v>Voter ID–Aadhaar Link (Form 6B)</v>
      </c>
      <c r="C270" s="7" t="str">
        <f aca="false">IF(INDEX(MASTER_DATABASE!$A$4:$A$1000,ROW()-3)="","",INDEX(MASTER_DATABASE!$F$4:$F$1000,ROW()-3)&amp;"")</f>
        <v>वोटर आईडी–आधार लिंक (फॉर्म 6B)</v>
      </c>
      <c r="D270" s="7" t="str">
        <f aca="false">IF(INDEX(MASTER_DATABASE!$A$4:$A$1000,ROW()-3)="","",INDEX(MASTER_DATABASE!$AL$4:$AL$1000,ROW()-3)&amp;"")</f>
        <v>Online Form &amp; Digital Services</v>
      </c>
      <c r="E270" s="7" t="str">
        <f aca="false">IF(INDEX(MASTER_DATABASE!$A$4:$A$1000,ROW()-3)="","",INDEX(MASTER_DATABASE!$G$4:$G$1000,ROW()-3)&amp;"")</f>
        <v>Online help with Voter ID–Aadhaar Link (Form 6B).</v>
      </c>
      <c r="F270" s="11" t="str">
        <f aca="false">IF(INDEX(MASTER_DATABASE!$A$4:$A$1000,ROW()-3)="","",INDEX(MASTER_DATABASE!$AP$4:$AP$1000,ROW()-3)&amp;"")</f>
        <v>🆔</v>
      </c>
      <c r="G27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0" s="7" t="str">
        <f aca="false">IF(INDEX(MASTER_DATABASE!$A$4:$A$1000,ROW()-3)="","",INDEX(MASTER_DATABASE!$J$4:$J$1000,ROW()-3)&amp;"")</f>
        <v>Depends on Portal – Confirm at Shop</v>
      </c>
      <c r="K270" s="7" t="str">
        <f aca="false">IF(INDEX(MASTER_DATABASE!$A$4:$A$1000,ROW()-3)="","",INDEX(MASTER_DATABASE!$M$4:$M$1000,ROW()-3)&amp;"")</f>
        <v>✓ Aadhaar Card
✓ Active Mobile Number
✓ Passport Photo
✓ Address Proof
✓ Date of Birth Proof</v>
      </c>
      <c r="L270" s="7" t="str">
        <f aca="false">IF(INDEX(MASTER_DATABASE!$A$4:$A$1000,ROW()-3)="","",INDEX(MASTER_DATABASE!$Q$4:$Q$1000,ROW()-3)&amp;"")</f>
        <v>Depends on Department</v>
      </c>
      <c r="M270" s="11" t="str">
        <f aca="false">IF(INDEX(MASTER_DATABASE!$A$4:$A$1000,ROW()-3)="","",INDEX(MASTER_DATABASE!$AI$4:$AI$1000,ROW()-3)&amp;"")</f>
        <v>No</v>
      </c>
      <c r="N270" s="11" t="str">
        <f aca="false">IF(INDEX(MASTER_DATABASE!$A$4:$A$1000,ROW()-3)="","",INDEX(MASTER_DATABASE!$AJ$4:$AJ$1000,ROW()-3)&amp;"")</f>
        <v>No</v>
      </c>
      <c r="O270" s="11" t="str">
        <f aca="false">IF(INDEX(MASTER_DATABASE!$A$4:$A$1000,ROW()-3)="","",IF(INDEX(MASTER_DATABASE!$BE$4:$BE$1000,ROW()-3)="LIVE","Yes","No"))</f>
        <v>No</v>
      </c>
      <c r="P270" s="7" t="str">
        <f aca="false">IF(INDEX(MASTER_DATABASE!$A$4:$A$1000,ROW()-3)="","",INDEX(MASTER_DATABASE!$BG$4:$BG$1000,ROW()-3)&amp;"")</f>
        <v>Check Documents</v>
      </c>
      <c r="Q270" s="11" t="n">
        <f aca="false">IF(INDEX(MASTER_DATABASE!$A$4:$A$1000,ROW()-3)="","",INDEX(MASTER_DATABASE!$AQ$4:$AQ$1000,ROW()-3))</f>
        <v>390</v>
      </c>
    </row>
    <row r="271" customFormat="false" ht="23.85" hidden="false" customHeight="false" outlineLevel="0" collapsed="false">
      <c r="A271" s="11" t="str">
        <f aca="false">IF(INDEX(MASTER_DATABASE!$A$4:$A$1000,ROW()-3)="","",INDEX(MASTER_DATABASE!$A$4:$A$1000,ROW()-3)&amp;"")</f>
        <v>RCH-001</v>
      </c>
      <c r="B271" s="7" t="str">
        <f aca="false">IF(INDEX(MASTER_DATABASE!$A$4:$A$1000,ROW()-3)="","",INDEX(MASTER_DATABASE!$E$4:$E$1000,ROW()-3)&amp;"")</f>
        <v>Mobile Recharge (Prepaid)</v>
      </c>
      <c r="C271" s="7" t="str">
        <f aca="false">IF(INDEX(MASTER_DATABASE!$A$4:$A$1000,ROW()-3)="","",INDEX(MASTER_DATABASE!$F$4:$F$1000,ROW()-3)&amp;"")</f>
        <v>मोबाइल रिचार्ज (प्रीपेड)</v>
      </c>
      <c r="D271" s="7" t="str">
        <f aca="false">IF(INDEX(MASTER_DATABASE!$A$4:$A$1000,ROW()-3)="","",INDEX(MASTER_DATABASE!$AL$4:$AL$1000,ROW()-3)&amp;"")</f>
        <v>Recharge / Bill Payment</v>
      </c>
      <c r="E271" s="7" t="str">
        <f aca="false">IF(INDEX(MASTER_DATABASE!$A$4:$A$1000,ROW()-3)="","",INDEX(MASTER_DATABASE!$G$4:$G$1000,ROW()-3)&amp;"")</f>
        <v>Mobile Recharge (Prepaid) quickly at the shop.</v>
      </c>
      <c r="F271" s="11" t="str">
        <f aca="false">IF(INDEX(MASTER_DATABASE!$A$4:$A$1000,ROW()-3)="","",INDEX(MASTER_DATABASE!$AP$4:$AP$1000,ROW()-3)&amp;"")</f>
        <v>🔋</v>
      </c>
      <c r="G27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1" s="7" t="str">
        <f aca="false">IF(INDEX(MASTER_DATABASE!$A$4:$A$1000,ROW()-3)="","",INDEX(MASTER_DATABASE!$J$4:$J$1000,ROW()-3)&amp;"")</f>
        <v>Available</v>
      </c>
      <c r="K271" s="7" t="str">
        <f aca="false">IF(INDEX(MASTER_DATABASE!$A$4:$A$1000,ROW()-3)="","",INDEX(MASTER_DATABASE!$M$4:$M$1000,ROW()-3)&amp;"")</f>
        <v>✓ Consumer / Account Number
✓ Cash Amount</v>
      </c>
      <c r="L271" s="7" t="str">
        <f aca="false">IF(INDEX(MASTER_DATABASE!$A$4:$A$1000,ROW()-3)="","",INDEX(MASTER_DATABASE!$Q$4:$Q$1000,ROW()-3)&amp;"")</f>
        <v>5–10 Minutes</v>
      </c>
      <c r="M271" s="11" t="str">
        <f aca="false">IF(INDEX(MASTER_DATABASE!$A$4:$A$1000,ROW()-3)="","",INDEX(MASTER_DATABASE!$AI$4:$AI$1000,ROW()-3)&amp;"")</f>
        <v>No</v>
      </c>
      <c r="N271" s="11" t="str">
        <f aca="false">IF(INDEX(MASTER_DATABASE!$A$4:$A$1000,ROW()-3)="","",INDEX(MASTER_DATABASE!$AJ$4:$AJ$1000,ROW()-3)&amp;"")</f>
        <v>No</v>
      </c>
      <c r="O271" s="11" t="str">
        <f aca="false">IF(INDEX(MASTER_DATABASE!$A$4:$A$1000,ROW()-3)="","",IF(INDEX(MASTER_DATABASE!$BE$4:$BE$1000,ROW()-3)="LIVE","Yes","No"))</f>
        <v>Yes</v>
      </c>
      <c r="P271" s="7" t="str">
        <f aca="false">IF(INDEX(MASTER_DATABASE!$A$4:$A$1000,ROW()-3)="","",INDEX(MASTER_DATABASE!$BG$4:$BG$1000,ROW()-3)&amp;"")</f>
        <v>Visit Shop</v>
      </c>
      <c r="Q271" s="11" t="n">
        <f aca="false">IF(INDEX(MASTER_DATABASE!$A$4:$A$1000,ROW()-3)="","",INDEX(MASTER_DATABASE!$AQ$4:$AQ$1000,ROW()-3))</f>
        <v>10</v>
      </c>
    </row>
    <row r="272" customFormat="false" ht="23.85" hidden="false" customHeight="false" outlineLevel="0" collapsed="false">
      <c r="A272" s="11" t="str">
        <f aca="false">IF(INDEX(MASTER_DATABASE!$A$4:$A$1000,ROW()-3)="","",INDEX(MASTER_DATABASE!$A$4:$A$1000,ROW()-3)&amp;"")</f>
        <v>RCH-002</v>
      </c>
      <c r="B272" s="7" t="str">
        <f aca="false">IF(INDEX(MASTER_DATABASE!$A$4:$A$1000,ROW()-3)="","",INDEX(MASTER_DATABASE!$E$4:$E$1000,ROW()-3)&amp;"")</f>
        <v>DTH Recharge</v>
      </c>
      <c r="C272" s="7" t="str">
        <f aca="false">IF(INDEX(MASTER_DATABASE!$A$4:$A$1000,ROW()-3)="","",INDEX(MASTER_DATABASE!$F$4:$F$1000,ROW()-3)&amp;"")</f>
        <v>DTH रिचार्ज</v>
      </c>
      <c r="D272" s="7" t="str">
        <f aca="false">IF(INDEX(MASTER_DATABASE!$A$4:$A$1000,ROW()-3)="","",INDEX(MASTER_DATABASE!$AL$4:$AL$1000,ROW()-3)&amp;"")</f>
        <v>Recharge / Bill Payment</v>
      </c>
      <c r="E272" s="7" t="str">
        <f aca="false">IF(INDEX(MASTER_DATABASE!$A$4:$A$1000,ROW()-3)="","",INDEX(MASTER_DATABASE!$G$4:$G$1000,ROW()-3)&amp;"")</f>
        <v>DTH Recharge quickly at the shop.</v>
      </c>
      <c r="F272" s="11" t="str">
        <f aca="false">IF(INDEX(MASTER_DATABASE!$A$4:$A$1000,ROW()-3)="","",INDEX(MASTER_DATABASE!$AP$4:$AP$1000,ROW()-3)&amp;"")</f>
        <v>🔋</v>
      </c>
      <c r="G27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2" s="7" t="str">
        <f aca="false">IF(INDEX(MASTER_DATABASE!$A$4:$A$1000,ROW()-3)="","",INDEX(MASTER_DATABASE!$J$4:$J$1000,ROW()-3)&amp;"")</f>
        <v>Available</v>
      </c>
      <c r="K272" s="7" t="str">
        <f aca="false">IF(INDEX(MASTER_DATABASE!$A$4:$A$1000,ROW()-3)="","",INDEX(MASTER_DATABASE!$M$4:$M$1000,ROW()-3)&amp;"")</f>
        <v>✓ Consumer / Account Number
✓ Cash Amount</v>
      </c>
      <c r="L272" s="7" t="str">
        <f aca="false">IF(INDEX(MASTER_DATABASE!$A$4:$A$1000,ROW()-3)="","",INDEX(MASTER_DATABASE!$Q$4:$Q$1000,ROW()-3)&amp;"")</f>
        <v>5–10 Minutes</v>
      </c>
      <c r="M272" s="11" t="str">
        <f aca="false">IF(INDEX(MASTER_DATABASE!$A$4:$A$1000,ROW()-3)="","",INDEX(MASTER_DATABASE!$AI$4:$AI$1000,ROW()-3)&amp;"")</f>
        <v>No</v>
      </c>
      <c r="N272" s="11" t="str">
        <f aca="false">IF(INDEX(MASTER_DATABASE!$A$4:$A$1000,ROW()-3)="","",INDEX(MASTER_DATABASE!$AJ$4:$AJ$1000,ROW()-3)&amp;"")</f>
        <v>No</v>
      </c>
      <c r="O272" s="11" t="str">
        <f aca="false">IF(INDEX(MASTER_DATABASE!$A$4:$A$1000,ROW()-3)="","",IF(INDEX(MASTER_DATABASE!$BE$4:$BE$1000,ROW()-3)="LIVE","Yes","No"))</f>
        <v>Yes</v>
      </c>
      <c r="P272" s="7" t="str">
        <f aca="false">IF(INDEX(MASTER_DATABASE!$A$4:$A$1000,ROW()-3)="","",INDEX(MASTER_DATABASE!$BG$4:$BG$1000,ROW()-3)&amp;"")</f>
        <v>Visit Shop</v>
      </c>
      <c r="Q272" s="11" t="n">
        <f aca="false">IF(INDEX(MASTER_DATABASE!$A$4:$A$1000,ROW()-3)="","",INDEX(MASTER_DATABASE!$AQ$4:$AQ$1000,ROW()-3))</f>
        <v>20</v>
      </c>
    </row>
    <row r="273" customFormat="false" ht="23.85" hidden="false" customHeight="false" outlineLevel="0" collapsed="false">
      <c r="A273" s="11" t="str">
        <f aca="false">IF(INDEX(MASTER_DATABASE!$A$4:$A$1000,ROW()-3)="","",INDEX(MASTER_DATABASE!$A$4:$A$1000,ROW()-3)&amp;"")</f>
        <v>RCH-003</v>
      </c>
      <c r="B273" s="7" t="str">
        <f aca="false">IF(INDEX(MASTER_DATABASE!$A$4:$A$1000,ROW()-3)="","",INDEX(MASTER_DATABASE!$E$4:$E$1000,ROW()-3)&amp;"")</f>
        <v>FASTag Recharge</v>
      </c>
      <c r="C273" s="7" t="str">
        <f aca="false">IF(INDEX(MASTER_DATABASE!$A$4:$A$1000,ROW()-3)="","",INDEX(MASTER_DATABASE!$F$4:$F$1000,ROW()-3)&amp;"")</f>
        <v>FASTag रिचार्ज</v>
      </c>
      <c r="D273" s="7" t="str">
        <f aca="false">IF(INDEX(MASTER_DATABASE!$A$4:$A$1000,ROW()-3)="","",INDEX(MASTER_DATABASE!$AL$4:$AL$1000,ROW()-3)&amp;"")</f>
        <v>Recharge / Bill Payment</v>
      </c>
      <c r="E273" s="7" t="str">
        <f aca="false">IF(INDEX(MASTER_DATABASE!$A$4:$A$1000,ROW()-3)="","",INDEX(MASTER_DATABASE!$G$4:$G$1000,ROW()-3)&amp;"")</f>
        <v>FASTag Recharge quickly at the shop.</v>
      </c>
      <c r="F273" s="11" t="str">
        <f aca="false">IF(INDEX(MASTER_DATABASE!$A$4:$A$1000,ROW()-3)="","",INDEX(MASTER_DATABASE!$AP$4:$AP$1000,ROW()-3)&amp;"")</f>
        <v>🔋</v>
      </c>
      <c r="G27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3" s="7" t="str">
        <f aca="false">IF(INDEX(MASTER_DATABASE!$A$4:$A$1000,ROW()-3)="","",INDEX(MASTER_DATABASE!$J$4:$J$1000,ROW()-3)&amp;"")</f>
        <v>Please Confirm at Shop</v>
      </c>
      <c r="K273" s="7" t="str">
        <f aca="false">IF(INDEX(MASTER_DATABASE!$A$4:$A$1000,ROW()-3)="","",INDEX(MASTER_DATABASE!$M$4:$M$1000,ROW()-3)&amp;"")</f>
        <v>✓ Consumer / Account Number
✓ Cash Amount</v>
      </c>
      <c r="L273" s="7" t="str">
        <f aca="false">IF(INDEX(MASTER_DATABASE!$A$4:$A$1000,ROW()-3)="","",INDEX(MASTER_DATABASE!$Q$4:$Q$1000,ROW()-3)&amp;"")</f>
        <v>5–10 Minutes</v>
      </c>
      <c r="M273" s="11" t="str">
        <f aca="false">IF(INDEX(MASTER_DATABASE!$A$4:$A$1000,ROW()-3)="","",INDEX(MASTER_DATABASE!$AI$4:$AI$1000,ROW()-3)&amp;"")</f>
        <v>No</v>
      </c>
      <c r="N273" s="11" t="str">
        <f aca="false">IF(INDEX(MASTER_DATABASE!$A$4:$A$1000,ROW()-3)="","",INDEX(MASTER_DATABASE!$AJ$4:$AJ$1000,ROW()-3)&amp;"")</f>
        <v>No</v>
      </c>
      <c r="O273" s="11" t="str">
        <f aca="false">IF(INDEX(MASTER_DATABASE!$A$4:$A$1000,ROW()-3)="","",IF(INDEX(MASTER_DATABASE!$BE$4:$BE$1000,ROW()-3)="LIVE","Yes","No"))</f>
        <v>No</v>
      </c>
      <c r="P273" s="7" t="str">
        <f aca="false">IF(INDEX(MASTER_DATABASE!$A$4:$A$1000,ROW()-3)="","",INDEX(MASTER_DATABASE!$BG$4:$BG$1000,ROW()-3)&amp;"")</f>
        <v>Visit Shop</v>
      </c>
      <c r="Q273" s="11" t="n">
        <f aca="false">IF(INDEX(MASTER_DATABASE!$A$4:$A$1000,ROW()-3)="","",INDEX(MASTER_DATABASE!$AQ$4:$AQ$1000,ROW()-3))</f>
        <v>30</v>
      </c>
    </row>
    <row r="274" customFormat="false" ht="23.85" hidden="false" customHeight="false" outlineLevel="0" collapsed="false">
      <c r="A274" s="11" t="str">
        <f aca="false">IF(INDEX(MASTER_DATABASE!$A$4:$A$1000,ROW()-3)="","",INDEX(MASTER_DATABASE!$A$4:$A$1000,ROW()-3)&amp;"")</f>
        <v>RCH-004</v>
      </c>
      <c r="B274" s="7" t="str">
        <f aca="false">IF(INDEX(MASTER_DATABASE!$A$4:$A$1000,ROW()-3)="","",INDEX(MASTER_DATABASE!$E$4:$E$1000,ROW()-3)&amp;"")</f>
        <v>Mobile Postpaid Bill Payment</v>
      </c>
      <c r="C274" s="7" t="str">
        <f aca="false">IF(INDEX(MASTER_DATABASE!$A$4:$A$1000,ROW()-3)="","",INDEX(MASTER_DATABASE!$F$4:$F$1000,ROW()-3)&amp;"")</f>
        <v>पोस्टपेड मोबाइल बिल भुगतान</v>
      </c>
      <c r="D274" s="7" t="str">
        <f aca="false">IF(INDEX(MASTER_DATABASE!$A$4:$A$1000,ROW()-3)="","",INDEX(MASTER_DATABASE!$AL$4:$AL$1000,ROW()-3)&amp;"")</f>
        <v>Recharge / Bill Payment</v>
      </c>
      <c r="E274" s="7" t="str">
        <f aca="false">IF(INDEX(MASTER_DATABASE!$A$4:$A$1000,ROW()-3)="","",INDEX(MASTER_DATABASE!$G$4:$G$1000,ROW()-3)&amp;"")</f>
        <v>Mobile Postpaid Bill Payment quickly at the shop.</v>
      </c>
      <c r="F274" s="11" t="str">
        <f aca="false">IF(INDEX(MASTER_DATABASE!$A$4:$A$1000,ROW()-3)="","",INDEX(MASTER_DATABASE!$AP$4:$AP$1000,ROW()-3)&amp;"")</f>
        <v>🧾</v>
      </c>
      <c r="G27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4" s="7" t="str">
        <f aca="false">IF(INDEX(MASTER_DATABASE!$A$4:$A$1000,ROW()-3)="","",INDEX(MASTER_DATABASE!$J$4:$J$1000,ROW()-3)&amp;"")</f>
        <v>Please Confirm at Shop</v>
      </c>
      <c r="K274" s="7" t="str">
        <f aca="false">IF(INDEX(MASTER_DATABASE!$A$4:$A$1000,ROW()-3)="","",INDEX(MASTER_DATABASE!$M$4:$M$1000,ROW()-3)&amp;"")</f>
        <v>✓ Consumer / Account Number
✓ Cash Amount</v>
      </c>
      <c r="L274" s="7" t="str">
        <f aca="false">IF(INDEX(MASTER_DATABASE!$A$4:$A$1000,ROW()-3)="","",INDEX(MASTER_DATABASE!$Q$4:$Q$1000,ROW()-3)&amp;"")</f>
        <v>5–10 Minutes</v>
      </c>
      <c r="M274" s="11" t="str">
        <f aca="false">IF(INDEX(MASTER_DATABASE!$A$4:$A$1000,ROW()-3)="","",INDEX(MASTER_DATABASE!$AI$4:$AI$1000,ROW()-3)&amp;"")</f>
        <v>No</v>
      </c>
      <c r="N274" s="11" t="str">
        <f aca="false">IF(INDEX(MASTER_DATABASE!$A$4:$A$1000,ROW()-3)="","",INDEX(MASTER_DATABASE!$AJ$4:$AJ$1000,ROW()-3)&amp;"")</f>
        <v>No</v>
      </c>
      <c r="O274" s="11" t="str">
        <f aca="false">IF(INDEX(MASTER_DATABASE!$A$4:$A$1000,ROW()-3)="","",IF(INDEX(MASTER_DATABASE!$BE$4:$BE$1000,ROW()-3)="LIVE","Yes","No"))</f>
        <v>No</v>
      </c>
      <c r="P274" s="7" t="str">
        <f aca="false">IF(INDEX(MASTER_DATABASE!$A$4:$A$1000,ROW()-3)="","",INDEX(MASTER_DATABASE!$BG$4:$BG$1000,ROW()-3)&amp;"")</f>
        <v>Visit Shop</v>
      </c>
      <c r="Q274" s="11" t="n">
        <f aca="false">IF(INDEX(MASTER_DATABASE!$A$4:$A$1000,ROW()-3)="","",INDEX(MASTER_DATABASE!$AQ$4:$AQ$1000,ROW()-3))</f>
        <v>40</v>
      </c>
    </row>
    <row r="275" customFormat="false" ht="23.85" hidden="false" customHeight="false" outlineLevel="0" collapsed="false">
      <c r="A275" s="11" t="str">
        <f aca="false">IF(INDEX(MASTER_DATABASE!$A$4:$A$1000,ROW()-3)="","",INDEX(MASTER_DATABASE!$A$4:$A$1000,ROW()-3)&amp;"")</f>
        <v>RCH-005</v>
      </c>
      <c r="B275" s="7" t="str">
        <f aca="false">IF(INDEX(MASTER_DATABASE!$A$4:$A$1000,ROW()-3)="","",INDEX(MASTER_DATABASE!$E$4:$E$1000,ROW()-3)&amp;"")</f>
        <v>Electricity Bill Payment</v>
      </c>
      <c r="C275" s="7" t="str">
        <f aca="false">IF(INDEX(MASTER_DATABASE!$A$4:$A$1000,ROW()-3)="","",INDEX(MASTER_DATABASE!$F$4:$F$1000,ROW()-3)&amp;"")</f>
        <v>बिजली बिल भुगतान</v>
      </c>
      <c r="D275" s="7" t="str">
        <f aca="false">IF(INDEX(MASTER_DATABASE!$A$4:$A$1000,ROW()-3)="","",INDEX(MASTER_DATABASE!$AL$4:$AL$1000,ROW()-3)&amp;"")</f>
        <v>Recharge / Bill Payment</v>
      </c>
      <c r="E275" s="7" t="str">
        <f aca="false">IF(INDEX(MASTER_DATABASE!$A$4:$A$1000,ROW()-3)="","",INDEX(MASTER_DATABASE!$G$4:$G$1000,ROW()-3)&amp;"")</f>
        <v>Electricity Bill Payment quickly at the shop.</v>
      </c>
      <c r="F275" s="11" t="str">
        <f aca="false">IF(INDEX(MASTER_DATABASE!$A$4:$A$1000,ROW()-3)="","",INDEX(MASTER_DATABASE!$AP$4:$AP$1000,ROW()-3)&amp;"")</f>
        <v>🧾</v>
      </c>
      <c r="G27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5" s="7" t="str">
        <f aca="false">IF(INDEX(MASTER_DATABASE!$A$4:$A$1000,ROW()-3)="","",INDEX(MASTER_DATABASE!$J$4:$J$1000,ROW()-3)&amp;"")</f>
        <v>Please Confirm at Shop</v>
      </c>
      <c r="K275" s="7" t="str">
        <f aca="false">IF(INDEX(MASTER_DATABASE!$A$4:$A$1000,ROW()-3)="","",INDEX(MASTER_DATABASE!$M$4:$M$1000,ROW()-3)&amp;"")</f>
        <v>✓ Consumer / Account Number
✓ Cash Amount</v>
      </c>
      <c r="L275" s="7" t="str">
        <f aca="false">IF(INDEX(MASTER_DATABASE!$A$4:$A$1000,ROW()-3)="","",INDEX(MASTER_DATABASE!$Q$4:$Q$1000,ROW()-3)&amp;"")</f>
        <v>5–10 Minutes</v>
      </c>
      <c r="M275" s="11" t="str">
        <f aca="false">IF(INDEX(MASTER_DATABASE!$A$4:$A$1000,ROW()-3)="","",INDEX(MASTER_DATABASE!$AI$4:$AI$1000,ROW()-3)&amp;"")</f>
        <v>No</v>
      </c>
      <c r="N275" s="11" t="str">
        <f aca="false">IF(INDEX(MASTER_DATABASE!$A$4:$A$1000,ROW()-3)="","",INDEX(MASTER_DATABASE!$AJ$4:$AJ$1000,ROW()-3)&amp;"")</f>
        <v>No</v>
      </c>
      <c r="O275" s="11" t="str">
        <f aca="false">IF(INDEX(MASTER_DATABASE!$A$4:$A$1000,ROW()-3)="","",IF(INDEX(MASTER_DATABASE!$BE$4:$BE$1000,ROW()-3)="LIVE","Yes","No"))</f>
        <v>No</v>
      </c>
      <c r="P275" s="7" t="str">
        <f aca="false">IF(INDEX(MASTER_DATABASE!$A$4:$A$1000,ROW()-3)="","",INDEX(MASTER_DATABASE!$BG$4:$BG$1000,ROW()-3)&amp;"")</f>
        <v>Visit Shop</v>
      </c>
      <c r="Q275" s="11" t="n">
        <f aca="false">IF(INDEX(MASTER_DATABASE!$A$4:$A$1000,ROW()-3)="","",INDEX(MASTER_DATABASE!$AQ$4:$AQ$1000,ROW()-3))</f>
        <v>50</v>
      </c>
    </row>
    <row r="276" customFormat="false" ht="23.85" hidden="false" customHeight="false" outlineLevel="0" collapsed="false">
      <c r="A276" s="11" t="str">
        <f aca="false">IF(INDEX(MASTER_DATABASE!$A$4:$A$1000,ROW()-3)="","",INDEX(MASTER_DATABASE!$A$4:$A$1000,ROW()-3)&amp;"")</f>
        <v>RCH-006</v>
      </c>
      <c r="B276" s="7" t="str">
        <f aca="false">IF(INDEX(MASTER_DATABASE!$A$4:$A$1000,ROW()-3)="","",INDEX(MASTER_DATABASE!$E$4:$E$1000,ROW()-3)&amp;"")</f>
        <v>Water Bill Payment</v>
      </c>
      <c r="C276" s="7" t="str">
        <f aca="false">IF(INDEX(MASTER_DATABASE!$A$4:$A$1000,ROW()-3)="","",INDEX(MASTER_DATABASE!$F$4:$F$1000,ROW()-3)&amp;"")</f>
        <v>पानी बिल भुगतान</v>
      </c>
      <c r="D276" s="7" t="str">
        <f aca="false">IF(INDEX(MASTER_DATABASE!$A$4:$A$1000,ROW()-3)="","",INDEX(MASTER_DATABASE!$AL$4:$AL$1000,ROW()-3)&amp;"")</f>
        <v>Recharge / Bill Payment</v>
      </c>
      <c r="E276" s="7" t="str">
        <f aca="false">IF(INDEX(MASTER_DATABASE!$A$4:$A$1000,ROW()-3)="","",INDEX(MASTER_DATABASE!$G$4:$G$1000,ROW()-3)&amp;"")</f>
        <v>Water Bill Payment quickly at the shop.</v>
      </c>
      <c r="F276" s="11" t="str">
        <f aca="false">IF(INDEX(MASTER_DATABASE!$A$4:$A$1000,ROW()-3)="","",INDEX(MASTER_DATABASE!$AP$4:$AP$1000,ROW()-3)&amp;"")</f>
        <v>🧾</v>
      </c>
      <c r="G27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6" s="7" t="str">
        <f aca="false">IF(INDEX(MASTER_DATABASE!$A$4:$A$1000,ROW()-3)="","",INDEX(MASTER_DATABASE!$J$4:$J$1000,ROW()-3)&amp;"")</f>
        <v>Please Confirm at Shop</v>
      </c>
      <c r="K276" s="7" t="str">
        <f aca="false">IF(INDEX(MASTER_DATABASE!$A$4:$A$1000,ROW()-3)="","",INDEX(MASTER_DATABASE!$M$4:$M$1000,ROW()-3)&amp;"")</f>
        <v>✓ Consumer / Account Number
✓ Cash Amount</v>
      </c>
      <c r="L276" s="7" t="str">
        <f aca="false">IF(INDEX(MASTER_DATABASE!$A$4:$A$1000,ROW()-3)="","",INDEX(MASTER_DATABASE!$Q$4:$Q$1000,ROW()-3)&amp;"")</f>
        <v>5–10 Minutes</v>
      </c>
      <c r="M276" s="11" t="str">
        <f aca="false">IF(INDEX(MASTER_DATABASE!$A$4:$A$1000,ROW()-3)="","",INDEX(MASTER_DATABASE!$AI$4:$AI$1000,ROW()-3)&amp;"")</f>
        <v>No</v>
      </c>
      <c r="N276" s="11" t="str">
        <f aca="false">IF(INDEX(MASTER_DATABASE!$A$4:$A$1000,ROW()-3)="","",INDEX(MASTER_DATABASE!$AJ$4:$AJ$1000,ROW()-3)&amp;"")</f>
        <v>No</v>
      </c>
      <c r="O276" s="11" t="str">
        <f aca="false">IF(INDEX(MASTER_DATABASE!$A$4:$A$1000,ROW()-3)="","",IF(INDEX(MASTER_DATABASE!$BE$4:$BE$1000,ROW()-3)="LIVE","Yes","No"))</f>
        <v>No</v>
      </c>
      <c r="P276" s="7" t="str">
        <f aca="false">IF(INDEX(MASTER_DATABASE!$A$4:$A$1000,ROW()-3)="","",INDEX(MASTER_DATABASE!$BG$4:$BG$1000,ROW()-3)&amp;"")</f>
        <v>Visit Shop</v>
      </c>
      <c r="Q276" s="11" t="n">
        <f aca="false">IF(INDEX(MASTER_DATABASE!$A$4:$A$1000,ROW()-3)="","",INDEX(MASTER_DATABASE!$AQ$4:$AQ$1000,ROW()-3))</f>
        <v>60</v>
      </c>
    </row>
    <row r="277" customFormat="false" ht="23.85" hidden="false" customHeight="false" outlineLevel="0" collapsed="false">
      <c r="A277" s="11" t="str">
        <f aca="false">IF(INDEX(MASTER_DATABASE!$A$4:$A$1000,ROW()-3)="","",INDEX(MASTER_DATABASE!$A$4:$A$1000,ROW()-3)&amp;"")</f>
        <v>RCH-007</v>
      </c>
      <c r="B277" s="7" t="str">
        <f aca="false">IF(INDEX(MASTER_DATABASE!$A$4:$A$1000,ROW()-3)="","",INDEX(MASTER_DATABASE!$E$4:$E$1000,ROW()-3)&amp;"")</f>
        <v>Gas (Piped / PNG) Bill Payment</v>
      </c>
      <c r="C277" s="7" t="str">
        <f aca="false">IF(INDEX(MASTER_DATABASE!$A$4:$A$1000,ROW()-3)="","",INDEX(MASTER_DATABASE!$F$4:$F$1000,ROW()-3)&amp;"")</f>
        <v>गैस (PNG) बिल भुगतान</v>
      </c>
      <c r="D277" s="7" t="str">
        <f aca="false">IF(INDEX(MASTER_DATABASE!$A$4:$A$1000,ROW()-3)="","",INDEX(MASTER_DATABASE!$AL$4:$AL$1000,ROW()-3)&amp;"")</f>
        <v>Recharge / Bill Payment</v>
      </c>
      <c r="E277" s="7" t="str">
        <f aca="false">IF(INDEX(MASTER_DATABASE!$A$4:$A$1000,ROW()-3)="","",INDEX(MASTER_DATABASE!$G$4:$G$1000,ROW()-3)&amp;"")</f>
        <v>Gas (Piped / PNG) Bill Payment quickly at the shop.</v>
      </c>
      <c r="F277" s="11" t="str">
        <f aca="false">IF(INDEX(MASTER_DATABASE!$A$4:$A$1000,ROW()-3)="","",INDEX(MASTER_DATABASE!$AP$4:$AP$1000,ROW()-3)&amp;"")</f>
        <v>🧾</v>
      </c>
      <c r="G27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7" s="7" t="str">
        <f aca="false">IF(INDEX(MASTER_DATABASE!$A$4:$A$1000,ROW()-3)="","",INDEX(MASTER_DATABASE!$J$4:$J$1000,ROW()-3)&amp;"")</f>
        <v>Please Confirm at Shop</v>
      </c>
      <c r="K277" s="7" t="str">
        <f aca="false">IF(INDEX(MASTER_DATABASE!$A$4:$A$1000,ROW()-3)="","",INDEX(MASTER_DATABASE!$M$4:$M$1000,ROW()-3)&amp;"")</f>
        <v>✓ Consumer / Account Number
✓ Cash Amount</v>
      </c>
      <c r="L277" s="7" t="str">
        <f aca="false">IF(INDEX(MASTER_DATABASE!$A$4:$A$1000,ROW()-3)="","",INDEX(MASTER_DATABASE!$Q$4:$Q$1000,ROW()-3)&amp;"")</f>
        <v>5–10 Minutes</v>
      </c>
      <c r="M277" s="11" t="str">
        <f aca="false">IF(INDEX(MASTER_DATABASE!$A$4:$A$1000,ROW()-3)="","",INDEX(MASTER_DATABASE!$AI$4:$AI$1000,ROW()-3)&amp;"")</f>
        <v>No</v>
      </c>
      <c r="N277" s="11" t="str">
        <f aca="false">IF(INDEX(MASTER_DATABASE!$A$4:$A$1000,ROW()-3)="","",INDEX(MASTER_DATABASE!$AJ$4:$AJ$1000,ROW()-3)&amp;"")</f>
        <v>No</v>
      </c>
      <c r="O277" s="11" t="str">
        <f aca="false">IF(INDEX(MASTER_DATABASE!$A$4:$A$1000,ROW()-3)="","",IF(INDEX(MASTER_DATABASE!$BE$4:$BE$1000,ROW()-3)="LIVE","Yes","No"))</f>
        <v>No</v>
      </c>
      <c r="P277" s="7" t="str">
        <f aca="false">IF(INDEX(MASTER_DATABASE!$A$4:$A$1000,ROW()-3)="","",INDEX(MASTER_DATABASE!$BG$4:$BG$1000,ROW()-3)&amp;"")</f>
        <v>Visit Shop</v>
      </c>
      <c r="Q277" s="11" t="n">
        <f aca="false">IF(INDEX(MASTER_DATABASE!$A$4:$A$1000,ROW()-3)="","",INDEX(MASTER_DATABASE!$AQ$4:$AQ$1000,ROW()-3))</f>
        <v>70</v>
      </c>
    </row>
    <row r="278" customFormat="false" ht="23.85" hidden="false" customHeight="false" outlineLevel="0" collapsed="false">
      <c r="A278" s="11" t="str">
        <f aca="false">IF(INDEX(MASTER_DATABASE!$A$4:$A$1000,ROW()-3)="","",INDEX(MASTER_DATABASE!$A$4:$A$1000,ROW()-3)&amp;"")</f>
        <v>RCH-008</v>
      </c>
      <c r="B278" s="7" t="str">
        <f aca="false">IF(INDEX(MASTER_DATABASE!$A$4:$A$1000,ROW()-3)="","",INDEX(MASTER_DATABASE!$E$4:$E$1000,ROW()-3)&amp;"")</f>
        <v>LPG Cylinder Booking / Payment</v>
      </c>
      <c r="C278" s="7" t="str">
        <f aca="false">IF(INDEX(MASTER_DATABASE!$A$4:$A$1000,ROW()-3)="","",INDEX(MASTER_DATABASE!$F$4:$F$1000,ROW()-3)&amp;"")</f>
        <v>LPG सिलेंडर बुकिंग / भुगतान</v>
      </c>
      <c r="D278" s="7" t="str">
        <f aca="false">IF(INDEX(MASTER_DATABASE!$A$4:$A$1000,ROW()-3)="","",INDEX(MASTER_DATABASE!$AL$4:$AL$1000,ROW()-3)&amp;"")</f>
        <v>Recharge / Bill Payment</v>
      </c>
      <c r="E278" s="7" t="str">
        <f aca="false">IF(INDEX(MASTER_DATABASE!$A$4:$A$1000,ROW()-3)="","",INDEX(MASTER_DATABASE!$G$4:$G$1000,ROW()-3)&amp;"")</f>
        <v>LPG Cylinder Booking / Payment quickly at the shop.</v>
      </c>
      <c r="F278" s="11" t="str">
        <f aca="false">IF(INDEX(MASTER_DATABASE!$A$4:$A$1000,ROW()-3)="","",INDEX(MASTER_DATABASE!$AP$4:$AP$1000,ROW()-3)&amp;"")</f>
        <v>🧾</v>
      </c>
      <c r="G27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8" s="7" t="str">
        <f aca="false">IF(INDEX(MASTER_DATABASE!$A$4:$A$1000,ROW()-3)="","",INDEX(MASTER_DATABASE!$J$4:$J$1000,ROW()-3)&amp;"")</f>
        <v>Please Confirm at Shop</v>
      </c>
      <c r="K278" s="7" t="str">
        <f aca="false">IF(INDEX(MASTER_DATABASE!$A$4:$A$1000,ROW()-3)="","",INDEX(MASTER_DATABASE!$M$4:$M$1000,ROW()-3)&amp;"")</f>
        <v>✓ Consumer / Account Number
✓ Cash Amount</v>
      </c>
      <c r="L278" s="7" t="str">
        <f aca="false">IF(INDEX(MASTER_DATABASE!$A$4:$A$1000,ROW()-3)="","",INDEX(MASTER_DATABASE!$Q$4:$Q$1000,ROW()-3)&amp;"")</f>
        <v>5–10 Minutes</v>
      </c>
      <c r="M278" s="11" t="str">
        <f aca="false">IF(INDEX(MASTER_DATABASE!$A$4:$A$1000,ROW()-3)="","",INDEX(MASTER_DATABASE!$AI$4:$AI$1000,ROW()-3)&amp;"")</f>
        <v>No</v>
      </c>
      <c r="N278" s="11" t="str">
        <f aca="false">IF(INDEX(MASTER_DATABASE!$A$4:$A$1000,ROW()-3)="","",INDEX(MASTER_DATABASE!$AJ$4:$AJ$1000,ROW()-3)&amp;"")</f>
        <v>No</v>
      </c>
      <c r="O278" s="11" t="str">
        <f aca="false">IF(INDEX(MASTER_DATABASE!$A$4:$A$1000,ROW()-3)="","",IF(INDEX(MASTER_DATABASE!$BE$4:$BE$1000,ROW()-3)="LIVE","Yes","No"))</f>
        <v>No</v>
      </c>
      <c r="P278" s="7" t="str">
        <f aca="false">IF(INDEX(MASTER_DATABASE!$A$4:$A$1000,ROW()-3)="","",INDEX(MASTER_DATABASE!$BG$4:$BG$1000,ROW()-3)&amp;"")</f>
        <v>Visit Shop</v>
      </c>
      <c r="Q278" s="11" t="n">
        <f aca="false">IF(INDEX(MASTER_DATABASE!$A$4:$A$1000,ROW()-3)="","",INDEX(MASTER_DATABASE!$AQ$4:$AQ$1000,ROW()-3))</f>
        <v>80</v>
      </c>
    </row>
    <row r="279" customFormat="false" ht="23.85" hidden="false" customHeight="false" outlineLevel="0" collapsed="false">
      <c r="A279" s="11" t="str">
        <f aca="false">IF(INDEX(MASTER_DATABASE!$A$4:$A$1000,ROW()-3)="","",INDEX(MASTER_DATABASE!$A$4:$A$1000,ROW()-3)&amp;"")</f>
        <v>RCH-009</v>
      </c>
      <c r="B279" s="7" t="str">
        <f aca="false">IF(INDEX(MASTER_DATABASE!$A$4:$A$1000,ROW()-3)="","",INDEX(MASTER_DATABASE!$E$4:$E$1000,ROW()-3)&amp;"")</f>
        <v>Broadband / Internet Bill Payment</v>
      </c>
      <c r="C279" s="7" t="str">
        <f aca="false">IF(INDEX(MASTER_DATABASE!$A$4:$A$1000,ROW()-3)="","",INDEX(MASTER_DATABASE!$F$4:$F$1000,ROW()-3)&amp;"")</f>
        <v>ब्रॉडबैंड / इंटरनेट बिल भुगतान</v>
      </c>
      <c r="D279" s="7" t="str">
        <f aca="false">IF(INDEX(MASTER_DATABASE!$A$4:$A$1000,ROW()-3)="","",INDEX(MASTER_DATABASE!$AL$4:$AL$1000,ROW()-3)&amp;"")</f>
        <v>Recharge / Bill Payment</v>
      </c>
      <c r="E279" s="7" t="str">
        <f aca="false">IF(INDEX(MASTER_DATABASE!$A$4:$A$1000,ROW()-3)="","",INDEX(MASTER_DATABASE!$G$4:$G$1000,ROW()-3)&amp;"")</f>
        <v>Broadband / Internet Bill Payment quickly at the shop.</v>
      </c>
      <c r="F279" s="11" t="str">
        <f aca="false">IF(INDEX(MASTER_DATABASE!$A$4:$A$1000,ROW()-3)="","",INDEX(MASTER_DATABASE!$AP$4:$AP$1000,ROW()-3)&amp;"")</f>
        <v>🧾</v>
      </c>
      <c r="G27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7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7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79" s="7" t="str">
        <f aca="false">IF(INDEX(MASTER_DATABASE!$A$4:$A$1000,ROW()-3)="","",INDEX(MASTER_DATABASE!$J$4:$J$1000,ROW()-3)&amp;"")</f>
        <v>Please Confirm at Shop</v>
      </c>
      <c r="K279" s="7" t="str">
        <f aca="false">IF(INDEX(MASTER_DATABASE!$A$4:$A$1000,ROW()-3)="","",INDEX(MASTER_DATABASE!$M$4:$M$1000,ROW()-3)&amp;"")</f>
        <v>✓ Consumer / Account Number
✓ Cash Amount</v>
      </c>
      <c r="L279" s="7" t="str">
        <f aca="false">IF(INDEX(MASTER_DATABASE!$A$4:$A$1000,ROW()-3)="","",INDEX(MASTER_DATABASE!$Q$4:$Q$1000,ROW()-3)&amp;"")</f>
        <v>5–10 Minutes</v>
      </c>
      <c r="M279" s="11" t="str">
        <f aca="false">IF(INDEX(MASTER_DATABASE!$A$4:$A$1000,ROW()-3)="","",INDEX(MASTER_DATABASE!$AI$4:$AI$1000,ROW()-3)&amp;"")</f>
        <v>No</v>
      </c>
      <c r="N279" s="11" t="str">
        <f aca="false">IF(INDEX(MASTER_DATABASE!$A$4:$A$1000,ROW()-3)="","",INDEX(MASTER_DATABASE!$AJ$4:$AJ$1000,ROW()-3)&amp;"")</f>
        <v>No</v>
      </c>
      <c r="O279" s="11" t="str">
        <f aca="false">IF(INDEX(MASTER_DATABASE!$A$4:$A$1000,ROW()-3)="","",IF(INDEX(MASTER_DATABASE!$BE$4:$BE$1000,ROW()-3)="LIVE","Yes","No"))</f>
        <v>No</v>
      </c>
      <c r="P279" s="7" t="str">
        <f aca="false">IF(INDEX(MASTER_DATABASE!$A$4:$A$1000,ROW()-3)="","",INDEX(MASTER_DATABASE!$BG$4:$BG$1000,ROW()-3)&amp;"")</f>
        <v>Visit Shop</v>
      </c>
      <c r="Q279" s="11" t="n">
        <f aca="false">IF(INDEX(MASTER_DATABASE!$A$4:$A$1000,ROW()-3)="","",INDEX(MASTER_DATABASE!$AQ$4:$AQ$1000,ROW()-3))</f>
        <v>90</v>
      </c>
    </row>
    <row r="280" customFormat="false" ht="23.85" hidden="false" customHeight="false" outlineLevel="0" collapsed="false">
      <c r="A280" s="11" t="str">
        <f aca="false">IF(INDEX(MASTER_DATABASE!$A$4:$A$1000,ROW()-3)="","",INDEX(MASTER_DATABASE!$A$4:$A$1000,ROW()-3)&amp;"")</f>
        <v>RCH-010</v>
      </c>
      <c r="B280" s="7" t="str">
        <f aca="false">IF(INDEX(MASTER_DATABASE!$A$4:$A$1000,ROW()-3)="","",INDEX(MASTER_DATABASE!$E$4:$E$1000,ROW()-3)&amp;"")</f>
        <v>Landline Bill Payment</v>
      </c>
      <c r="C280" s="7" t="str">
        <f aca="false">IF(INDEX(MASTER_DATABASE!$A$4:$A$1000,ROW()-3)="","",INDEX(MASTER_DATABASE!$F$4:$F$1000,ROW()-3)&amp;"")</f>
        <v>लैंडलाइन बिल भुगतान</v>
      </c>
      <c r="D280" s="7" t="str">
        <f aca="false">IF(INDEX(MASTER_DATABASE!$A$4:$A$1000,ROW()-3)="","",INDEX(MASTER_DATABASE!$AL$4:$AL$1000,ROW()-3)&amp;"")</f>
        <v>Recharge / Bill Payment</v>
      </c>
      <c r="E280" s="7" t="str">
        <f aca="false">IF(INDEX(MASTER_DATABASE!$A$4:$A$1000,ROW()-3)="","",INDEX(MASTER_DATABASE!$G$4:$G$1000,ROW()-3)&amp;"")</f>
        <v>Landline Bill Payment quickly at the shop.</v>
      </c>
      <c r="F280" s="11" t="str">
        <f aca="false">IF(INDEX(MASTER_DATABASE!$A$4:$A$1000,ROW()-3)="","",INDEX(MASTER_DATABASE!$AP$4:$AP$1000,ROW()-3)&amp;"")</f>
        <v>🧾</v>
      </c>
      <c r="G28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0" s="7" t="str">
        <f aca="false">IF(INDEX(MASTER_DATABASE!$A$4:$A$1000,ROW()-3)="","",INDEX(MASTER_DATABASE!$J$4:$J$1000,ROW()-3)&amp;"")</f>
        <v>Please Confirm at Shop</v>
      </c>
      <c r="K280" s="7" t="str">
        <f aca="false">IF(INDEX(MASTER_DATABASE!$A$4:$A$1000,ROW()-3)="","",INDEX(MASTER_DATABASE!$M$4:$M$1000,ROW()-3)&amp;"")</f>
        <v>✓ Consumer / Account Number
✓ Cash Amount</v>
      </c>
      <c r="L280" s="7" t="str">
        <f aca="false">IF(INDEX(MASTER_DATABASE!$A$4:$A$1000,ROW()-3)="","",INDEX(MASTER_DATABASE!$Q$4:$Q$1000,ROW()-3)&amp;"")</f>
        <v>5–10 Minutes</v>
      </c>
      <c r="M280" s="11" t="str">
        <f aca="false">IF(INDEX(MASTER_DATABASE!$A$4:$A$1000,ROW()-3)="","",INDEX(MASTER_DATABASE!$AI$4:$AI$1000,ROW()-3)&amp;"")</f>
        <v>No</v>
      </c>
      <c r="N280" s="11" t="str">
        <f aca="false">IF(INDEX(MASTER_DATABASE!$A$4:$A$1000,ROW()-3)="","",INDEX(MASTER_DATABASE!$AJ$4:$AJ$1000,ROW()-3)&amp;"")</f>
        <v>No</v>
      </c>
      <c r="O280" s="11" t="str">
        <f aca="false">IF(INDEX(MASTER_DATABASE!$A$4:$A$1000,ROW()-3)="","",IF(INDEX(MASTER_DATABASE!$BE$4:$BE$1000,ROW()-3)="LIVE","Yes","No"))</f>
        <v>No</v>
      </c>
      <c r="P280" s="7" t="str">
        <f aca="false">IF(INDEX(MASTER_DATABASE!$A$4:$A$1000,ROW()-3)="","",INDEX(MASTER_DATABASE!$BG$4:$BG$1000,ROW()-3)&amp;"")</f>
        <v>Visit Shop</v>
      </c>
      <c r="Q280" s="11" t="n">
        <f aca="false">IF(INDEX(MASTER_DATABASE!$A$4:$A$1000,ROW()-3)="","",INDEX(MASTER_DATABASE!$AQ$4:$AQ$1000,ROW()-3))</f>
        <v>100</v>
      </c>
    </row>
    <row r="281" customFormat="false" ht="23.85" hidden="false" customHeight="false" outlineLevel="0" collapsed="false">
      <c r="A281" s="11" t="str">
        <f aca="false">IF(INDEX(MASTER_DATABASE!$A$4:$A$1000,ROW()-3)="","",INDEX(MASTER_DATABASE!$A$4:$A$1000,ROW()-3)&amp;"")</f>
        <v>RCH-011</v>
      </c>
      <c r="B281" s="7" t="str">
        <f aca="false">IF(INDEX(MASTER_DATABASE!$A$4:$A$1000,ROW()-3)="","",INDEX(MASTER_DATABASE!$E$4:$E$1000,ROW()-3)&amp;"")</f>
        <v>Cable TV Bill Payment</v>
      </c>
      <c r="C281" s="7" t="str">
        <f aca="false">IF(INDEX(MASTER_DATABASE!$A$4:$A$1000,ROW()-3)="","",INDEX(MASTER_DATABASE!$F$4:$F$1000,ROW()-3)&amp;"")</f>
        <v>केबल टीवी बिल भुगतान</v>
      </c>
      <c r="D281" s="7" t="str">
        <f aca="false">IF(INDEX(MASTER_DATABASE!$A$4:$A$1000,ROW()-3)="","",INDEX(MASTER_DATABASE!$AL$4:$AL$1000,ROW()-3)&amp;"")</f>
        <v>Recharge / Bill Payment</v>
      </c>
      <c r="E281" s="7" t="str">
        <f aca="false">IF(INDEX(MASTER_DATABASE!$A$4:$A$1000,ROW()-3)="","",INDEX(MASTER_DATABASE!$G$4:$G$1000,ROW()-3)&amp;"")</f>
        <v>Cable TV Bill Payment quickly at the shop.</v>
      </c>
      <c r="F281" s="11" t="str">
        <f aca="false">IF(INDEX(MASTER_DATABASE!$A$4:$A$1000,ROW()-3)="","",INDEX(MASTER_DATABASE!$AP$4:$AP$1000,ROW()-3)&amp;"")</f>
        <v>🧾</v>
      </c>
      <c r="G28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1" s="7" t="str">
        <f aca="false">IF(INDEX(MASTER_DATABASE!$A$4:$A$1000,ROW()-3)="","",INDEX(MASTER_DATABASE!$J$4:$J$1000,ROW()-3)&amp;"")</f>
        <v>Please Confirm at Shop</v>
      </c>
      <c r="K281" s="7" t="str">
        <f aca="false">IF(INDEX(MASTER_DATABASE!$A$4:$A$1000,ROW()-3)="","",INDEX(MASTER_DATABASE!$M$4:$M$1000,ROW()-3)&amp;"")</f>
        <v>✓ Consumer / Account Number
✓ Cash Amount</v>
      </c>
      <c r="L281" s="7" t="str">
        <f aca="false">IF(INDEX(MASTER_DATABASE!$A$4:$A$1000,ROW()-3)="","",INDEX(MASTER_DATABASE!$Q$4:$Q$1000,ROW()-3)&amp;"")</f>
        <v>5–10 Minutes</v>
      </c>
      <c r="M281" s="11" t="str">
        <f aca="false">IF(INDEX(MASTER_DATABASE!$A$4:$A$1000,ROW()-3)="","",INDEX(MASTER_DATABASE!$AI$4:$AI$1000,ROW()-3)&amp;"")</f>
        <v>No</v>
      </c>
      <c r="N281" s="11" t="str">
        <f aca="false">IF(INDEX(MASTER_DATABASE!$A$4:$A$1000,ROW()-3)="","",INDEX(MASTER_DATABASE!$AJ$4:$AJ$1000,ROW()-3)&amp;"")</f>
        <v>No</v>
      </c>
      <c r="O281" s="11" t="str">
        <f aca="false">IF(INDEX(MASTER_DATABASE!$A$4:$A$1000,ROW()-3)="","",IF(INDEX(MASTER_DATABASE!$BE$4:$BE$1000,ROW()-3)="LIVE","Yes","No"))</f>
        <v>No</v>
      </c>
      <c r="P281" s="7" t="str">
        <f aca="false">IF(INDEX(MASTER_DATABASE!$A$4:$A$1000,ROW()-3)="","",INDEX(MASTER_DATABASE!$BG$4:$BG$1000,ROW()-3)&amp;"")</f>
        <v>Visit Shop</v>
      </c>
      <c r="Q281" s="11" t="n">
        <f aca="false">IF(INDEX(MASTER_DATABASE!$A$4:$A$1000,ROW()-3)="","",INDEX(MASTER_DATABASE!$AQ$4:$AQ$1000,ROW()-3))</f>
        <v>110</v>
      </c>
    </row>
    <row r="282" customFormat="false" ht="23.85" hidden="false" customHeight="false" outlineLevel="0" collapsed="false">
      <c r="A282" s="11" t="str">
        <f aca="false">IF(INDEX(MASTER_DATABASE!$A$4:$A$1000,ROW()-3)="","",INDEX(MASTER_DATABASE!$A$4:$A$1000,ROW()-3)&amp;"")</f>
        <v>RCH-012</v>
      </c>
      <c r="B282" s="7" t="str">
        <f aca="false">IF(INDEX(MASTER_DATABASE!$A$4:$A$1000,ROW()-3)="","",INDEX(MASTER_DATABASE!$E$4:$E$1000,ROW()-3)&amp;"")</f>
        <v>Insurance Premium Payment (LIC / Others)</v>
      </c>
      <c r="C282" s="7" t="str">
        <f aca="false">IF(INDEX(MASTER_DATABASE!$A$4:$A$1000,ROW()-3)="","",INDEX(MASTER_DATABASE!$F$4:$F$1000,ROW()-3)&amp;"")</f>
        <v>बीमा (LIC आदि) प्रीमियम भुगतान</v>
      </c>
      <c r="D282" s="7" t="str">
        <f aca="false">IF(INDEX(MASTER_DATABASE!$A$4:$A$1000,ROW()-3)="","",INDEX(MASTER_DATABASE!$AL$4:$AL$1000,ROW()-3)&amp;"")</f>
        <v>Recharge / Bill Payment</v>
      </c>
      <c r="E282" s="7" t="str">
        <f aca="false">IF(INDEX(MASTER_DATABASE!$A$4:$A$1000,ROW()-3)="","",INDEX(MASTER_DATABASE!$G$4:$G$1000,ROW()-3)&amp;"")</f>
        <v>Insurance Premium Payment (LIC / Others) quickly at the shop.</v>
      </c>
      <c r="F282" s="11" t="str">
        <f aca="false">IF(INDEX(MASTER_DATABASE!$A$4:$A$1000,ROW()-3)="","",INDEX(MASTER_DATABASE!$AP$4:$AP$1000,ROW()-3)&amp;"")</f>
        <v>🧾</v>
      </c>
      <c r="G28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2" s="7" t="str">
        <f aca="false">IF(INDEX(MASTER_DATABASE!$A$4:$A$1000,ROW()-3)="","",INDEX(MASTER_DATABASE!$J$4:$J$1000,ROW()-3)&amp;"")</f>
        <v>Please Confirm at Shop</v>
      </c>
      <c r="K282" s="7" t="str">
        <f aca="false">IF(INDEX(MASTER_DATABASE!$A$4:$A$1000,ROW()-3)="","",INDEX(MASTER_DATABASE!$M$4:$M$1000,ROW()-3)&amp;"")</f>
        <v>✓ Consumer / Account Number
✓ Cash Amount</v>
      </c>
      <c r="L282" s="7" t="str">
        <f aca="false">IF(INDEX(MASTER_DATABASE!$A$4:$A$1000,ROW()-3)="","",INDEX(MASTER_DATABASE!$Q$4:$Q$1000,ROW()-3)&amp;"")</f>
        <v>5–10 Minutes</v>
      </c>
      <c r="M282" s="11" t="str">
        <f aca="false">IF(INDEX(MASTER_DATABASE!$A$4:$A$1000,ROW()-3)="","",INDEX(MASTER_DATABASE!$AI$4:$AI$1000,ROW()-3)&amp;"")</f>
        <v>No</v>
      </c>
      <c r="N282" s="11" t="str">
        <f aca="false">IF(INDEX(MASTER_DATABASE!$A$4:$A$1000,ROW()-3)="","",INDEX(MASTER_DATABASE!$AJ$4:$AJ$1000,ROW()-3)&amp;"")</f>
        <v>No</v>
      </c>
      <c r="O282" s="11" t="str">
        <f aca="false">IF(INDEX(MASTER_DATABASE!$A$4:$A$1000,ROW()-3)="","",IF(INDEX(MASTER_DATABASE!$BE$4:$BE$1000,ROW()-3)="LIVE","Yes","No"))</f>
        <v>No</v>
      </c>
      <c r="P282" s="7" t="str">
        <f aca="false">IF(INDEX(MASTER_DATABASE!$A$4:$A$1000,ROW()-3)="","",INDEX(MASTER_DATABASE!$BG$4:$BG$1000,ROW()-3)&amp;"")</f>
        <v>Visit Shop</v>
      </c>
      <c r="Q282" s="11" t="n">
        <f aca="false">IF(INDEX(MASTER_DATABASE!$A$4:$A$1000,ROW()-3)="","",INDEX(MASTER_DATABASE!$AQ$4:$AQ$1000,ROW()-3))</f>
        <v>120</v>
      </c>
    </row>
    <row r="283" customFormat="false" ht="23.85" hidden="false" customHeight="false" outlineLevel="0" collapsed="false">
      <c r="A283" s="11" t="str">
        <f aca="false">IF(INDEX(MASTER_DATABASE!$A$4:$A$1000,ROW()-3)="","",INDEX(MASTER_DATABASE!$A$4:$A$1000,ROW()-3)&amp;"")</f>
        <v>RCH-013</v>
      </c>
      <c r="B283" s="7" t="str">
        <f aca="false">IF(INDEX(MASTER_DATABASE!$A$4:$A$1000,ROW()-3)="","",INDEX(MASTER_DATABASE!$E$4:$E$1000,ROW()-3)&amp;"")</f>
        <v>Loan EMI Payment</v>
      </c>
      <c r="C283" s="7" t="str">
        <f aca="false">IF(INDEX(MASTER_DATABASE!$A$4:$A$1000,ROW()-3)="","",INDEX(MASTER_DATABASE!$F$4:$F$1000,ROW()-3)&amp;"")</f>
        <v>लोन EMI भुगतान</v>
      </c>
      <c r="D283" s="7" t="str">
        <f aca="false">IF(INDEX(MASTER_DATABASE!$A$4:$A$1000,ROW()-3)="","",INDEX(MASTER_DATABASE!$AL$4:$AL$1000,ROW()-3)&amp;"")</f>
        <v>Recharge / Bill Payment</v>
      </c>
      <c r="E283" s="7" t="str">
        <f aca="false">IF(INDEX(MASTER_DATABASE!$A$4:$A$1000,ROW()-3)="","",INDEX(MASTER_DATABASE!$G$4:$G$1000,ROW()-3)&amp;"")</f>
        <v>Loan EMI Payment quickly at the shop.</v>
      </c>
      <c r="F283" s="11" t="str">
        <f aca="false">IF(INDEX(MASTER_DATABASE!$A$4:$A$1000,ROW()-3)="","",INDEX(MASTER_DATABASE!$AP$4:$AP$1000,ROW()-3)&amp;"")</f>
        <v>🧾</v>
      </c>
      <c r="G28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3" s="7" t="str">
        <f aca="false">IF(INDEX(MASTER_DATABASE!$A$4:$A$1000,ROW()-3)="","",INDEX(MASTER_DATABASE!$J$4:$J$1000,ROW()-3)&amp;"")</f>
        <v>Please Confirm at Shop</v>
      </c>
      <c r="K283" s="7" t="str">
        <f aca="false">IF(INDEX(MASTER_DATABASE!$A$4:$A$1000,ROW()-3)="","",INDEX(MASTER_DATABASE!$M$4:$M$1000,ROW()-3)&amp;"")</f>
        <v>✓ Consumer / Account Number
✓ Cash Amount</v>
      </c>
      <c r="L283" s="7" t="str">
        <f aca="false">IF(INDEX(MASTER_DATABASE!$A$4:$A$1000,ROW()-3)="","",INDEX(MASTER_DATABASE!$Q$4:$Q$1000,ROW()-3)&amp;"")</f>
        <v>5–10 Minutes</v>
      </c>
      <c r="M283" s="11" t="str">
        <f aca="false">IF(INDEX(MASTER_DATABASE!$A$4:$A$1000,ROW()-3)="","",INDEX(MASTER_DATABASE!$AI$4:$AI$1000,ROW()-3)&amp;"")</f>
        <v>No</v>
      </c>
      <c r="N283" s="11" t="str">
        <f aca="false">IF(INDEX(MASTER_DATABASE!$A$4:$A$1000,ROW()-3)="","",INDEX(MASTER_DATABASE!$AJ$4:$AJ$1000,ROW()-3)&amp;"")</f>
        <v>No</v>
      </c>
      <c r="O283" s="11" t="str">
        <f aca="false">IF(INDEX(MASTER_DATABASE!$A$4:$A$1000,ROW()-3)="","",IF(INDEX(MASTER_DATABASE!$BE$4:$BE$1000,ROW()-3)="LIVE","Yes","No"))</f>
        <v>No</v>
      </c>
      <c r="P283" s="7" t="str">
        <f aca="false">IF(INDEX(MASTER_DATABASE!$A$4:$A$1000,ROW()-3)="","",INDEX(MASTER_DATABASE!$BG$4:$BG$1000,ROW()-3)&amp;"")</f>
        <v>Visit Shop</v>
      </c>
      <c r="Q283" s="11" t="n">
        <f aca="false">IF(INDEX(MASTER_DATABASE!$A$4:$A$1000,ROW()-3)="","",INDEX(MASTER_DATABASE!$AQ$4:$AQ$1000,ROW()-3))</f>
        <v>130</v>
      </c>
    </row>
    <row r="284" customFormat="false" ht="23.85" hidden="false" customHeight="false" outlineLevel="0" collapsed="false">
      <c r="A284" s="11" t="str">
        <f aca="false">IF(INDEX(MASTER_DATABASE!$A$4:$A$1000,ROW()-3)="","",INDEX(MASTER_DATABASE!$A$4:$A$1000,ROW()-3)&amp;"")</f>
        <v>RCH-014</v>
      </c>
      <c r="B284" s="7" t="str">
        <f aca="false">IF(INDEX(MASTER_DATABASE!$A$4:$A$1000,ROW()-3)="","",INDEX(MASTER_DATABASE!$E$4:$E$1000,ROW()-3)&amp;"")</f>
        <v>Credit Card Bill Payment</v>
      </c>
      <c r="C284" s="7" t="str">
        <f aca="false">IF(INDEX(MASTER_DATABASE!$A$4:$A$1000,ROW()-3)="","",INDEX(MASTER_DATABASE!$F$4:$F$1000,ROW()-3)&amp;"")</f>
        <v>क्रेडिट कार्ड बिल भुगतान</v>
      </c>
      <c r="D284" s="7" t="str">
        <f aca="false">IF(INDEX(MASTER_DATABASE!$A$4:$A$1000,ROW()-3)="","",INDEX(MASTER_DATABASE!$AL$4:$AL$1000,ROW()-3)&amp;"")</f>
        <v>Recharge / Bill Payment</v>
      </c>
      <c r="E284" s="7" t="str">
        <f aca="false">IF(INDEX(MASTER_DATABASE!$A$4:$A$1000,ROW()-3)="","",INDEX(MASTER_DATABASE!$G$4:$G$1000,ROW()-3)&amp;"")</f>
        <v>Credit Card Bill Payment quickly at the shop.</v>
      </c>
      <c r="F284" s="11" t="str">
        <f aca="false">IF(INDEX(MASTER_DATABASE!$A$4:$A$1000,ROW()-3)="","",INDEX(MASTER_DATABASE!$AP$4:$AP$1000,ROW()-3)&amp;"")</f>
        <v>🧾</v>
      </c>
      <c r="G28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4" s="7" t="str">
        <f aca="false">IF(INDEX(MASTER_DATABASE!$A$4:$A$1000,ROW()-3)="","",INDEX(MASTER_DATABASE!$J$4:$J$1000,ROW()-3)&amp;"")</f>
        <v>Please Confirm at Shop</v>
      </c>
      <c r="K284" s="7" t="str">
        <f aca="false">IF(INDEX(MASTER_DATABASE!$A$4:$A$1000,ROW()-3)="","",INDEX(MASTER_DATABASE!$M$4:$M$1000,ROW()-3)&amp;"")</f>
        <v>✓ Consumer / Account Number
✓ Cash Amount</v>
      </c>
      <c r="L284" s="7" t="str">
        <f aca="false">IF(INDEX(MASTER_DATABASE!$A$4:$A$1000,ROW()-3)="","",INDEX(MASTER_DATABASE!$Q$4:$Q$1000,ROW()-3)&amp;"")</f>
        <v>5–10 Minutes</v>
      </c>
      <c r="M284" s="11" t="str">
        <f aca="false">IF(INDEX(MASTER_DATABASE!$A$4:$A$1000,ROW()-3)="","",INDEX(MASTER_DATABASE!$AI$4:$AI$1000,ROW()-3)&amp;"")</f>
        <v>No</v>
      </c>
      <c r="N284" s="11" t="str">
        <f aca="false">IF(INDEX(MASTER_DATABASE!$A$4:$A$1000,ROW()-3)="","",INDEX(MASTER_DATABASE!$AJ$4:$AJ$1000,ROW()-3)&amp;"")</f>
        <v>No</v>
      </c>
      <c r="O284" s="11" t="str">
        <f aca="false">IF(INDEX(MASTER_DATABASE!$A$4:$A$1000,ROW()-3)="","",IF(INDEX(MASTER_DATABASE!$BE$4:$BE$1000,ROW()-3)="LIVE","Yes","No"))</f>
        <v>No</v>
      </c>
      <c r="P284" s="7" t="str">
        <f aca="false">IF(INDEX(MASTER_DATABASE!$A$4:$A$1000,ROW()-3)="","",INDEX(MASTER_DATABASE!$BG$4:$BG$1000,ROW()-3)&amp;"")</f>
        <v>Visit Shop</v>
      </c>
      <c r="Q284" s="11" t="n">
        <f aca="false">IF(INDEX(MASTER_DATABASE!$A$4:$A$1000,ROW()-3)="","",INDEX(MASTER_DATABASE!$AQ$4:$AQ$1000,ROW()-3))</f>
        <v>140</v>
      </c>
    </row>
    <row r="285" customFormat="false" ht="23.85" hidden="false" customHeight="false" outlineLevel="0" collapsed="false">
      <c r="A285" s="11" t="str">
        <f aca="false">IF(INDEX(MASTER_DATABASE!$A$4:$A$1000,ROW()-3)="","",INDEX(MASTER_DATABASE!$A$4:$A$1000,ROW()-3)&amp;"")</f>
        <v>RCH-015</v>
      </c>
      <c r="B285" s="7" t="str">
        <f aca="false">IF(INDEX(MASTER_DATABASE!$A$4:$A$1000,ROW()-3)="","",INDEX(MASTER_DATABASE!$E$4:$E$1000,ROW()-3)&amp;"")</f>
        <v>Education Fee Payment</v>
      </c>
      <c r="C285" s="7" t="str">
        <f aca="false">IF(INDEX(MASTER_DATABASE!$A$4:$A$1000,ROW()-3)="","",INDEX(MASTER_DATABASE!$F$4:$F$1000,ROW()-3)&amp;"")</f>
        <v>शिक्षा शुल्क भुगतान</v>
      </c>
      <c r="D285" s="7" t="str">
        <f aca="false">IF(INDEX(MASTER_DATABASE!$A$4:$A$1000,ROW()-3)="","",INDEX(MASTER_DATABASE!$AL$4:$AL$1000,ROW()-3)&amp;"")</f>
        <v>Recharge / Bill Payment</v>
      </c>
      <c r="E285" s="7" t="str">
        <f aca="false">IF(INDEX(MASTER_DATABASE!$A$4:$A$1000,ROW()-3)="","",INDEX(MASTER_DATABASE!$G$4:$G$1000,ROW()-3)&amp;"")</f>
        <v>Education Fee Payment quickly at the shop.</v>
      </c>
      <c r="F285" s="11" t="str">
        <f aca="false">IF(INDEX(MASTER_DATABASE!$A$4:$A$1000,ROW()-3)="","",INDEX(MASTER_DATABASE!$AP$4:$AP$1000,ROW()-3)&amp;"")</f>
        <v>🧾</v>
      </c>
      <c r="G28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5" s="7" t="str">
        <f aca="false">IF(INDEX(MASTER_DATABASE!$A$4:$A$1000,ROW()-3)="","",INDEX(MASTER_DATABASE!$J$4:$J$1000,ROW()-3)&amp;"")</f>
        <v>Please Confirm at Shop</v>
      </c>
      <c r="K285" s="7" t="str">
        <f aca="false">IF(INDEX(MASTER_DATABASE!$A$4:$A$1000,ROW()-3)="","",INDEX(MASTER_DATABASE!$M$4:$M$1000,ROW()-3)&amp;"")</f>
        <v>✓ Consumer / Account Number
✓ Cash Amount</v>
      </c>
      <c r="L285" s="7" t="str">
        <f aca="false">IF(INDEX(MASTER_DATABASE!$A$4:$A$1000,ROW()-3)="","",INDEX(MASTER_DATABASE!$Q$4:$Q$1000,ROW()-3)&amp;"")</f>
        <v>5–10 Minutes</v>
      </c>
      <c r="M285" s="11" t="str">
        <f aca="false">IF(INDEX(MASTER_DATABASE!$A$4:$A$1000,ROW()-3)="","",INDEX(MASTER_DATABASE!$AI$4:$AI$1000,ROW()-3)&amp;"")</f>
        <v>No</v>
      </c>
      <c r="N285" s="11" t="str">
        <f aca="false">IF(INDEX(MASTER_DATABASE!$A$4:$A$1000,ROW()-3)="","",INDEX(MASTER_DATABASE!$AJ$4:$AJ$1000,ROW()-3)&amp;"")</f>
        <v>No</v>
      </c>
      <c r="O285" s="11" t="str">
        <f aca="false">IF(INDEX(MASTER_DATABASE!$A$4:$A$1000,ROW()-3)="","",IF(INDEX(MASTER_DATABASE!$BE$4:$BE$1000,ROW()-3)="LIVE","Yes","No"))</f>
        <v>No</v>
      </c>
      <c r="P285" s="7" t="str">
        <f aca="false">IF(INDEX(MASTER_DATABASE!$A$4:$A$1000,ROW()-3)="","",INDEX(MASTER_DATABASE!$BG$4:$BG$1000,ROW()-3)&amp;"")</f>
        <v>Visit Shop</v>
      </c>
      <c r="Q285" s="11" t="n">
        <f aca="false">IF(INDEX(MASTER_DATABASE!$A$4:$A$1000,ROW()-3)="","",INDEX(MASTER_DATABASE!$AQ$4:$AQ$1000,ROW()-3))</f>
        <v>150</v>
      </c>
    </row>
    <row r="286" customFormat="false" ht="23.85" hidden="false" customHeight="false" outlineLevel="0" collapsed="false">
      <c r="A286" s="11" t="str">
        <f aca="false">IF(INDEX(MASTER_DATABASE!$A$4:$A$1000,ROW()-3)="","",INDEX(MASTER_DATABASE!$A$4:$A$1000,ROW()-3)&amp;"")</f>
        <v>RCH-016</v>
      </c>
      <c r="B286" s="7" t="str">
        <f aca="false">IF(INDEX(MASTER_DATABASE!$A$4:$A$1000,ROW()-3)="","",INDEX(MASTER_DATABASE!$E$4:$E$1000,ROW()-3)&amp;"")</f>
        <v>BBPS – Other Billers</v>
      </c>
      <c r="C286" s="7" t="str">
        <f aca="false">IF(INDEX(MASTER_DATABASE!$A$4:$A$1000,ROW()-3)="","",INDEX(MASTER_DATABASE!$F$4:$F$1000,ROW()-3)&amp;"")</f>
        <v>BBPS – अन्य बिलर</v>
      </c>
      <c r="D286" s="7" t="str">
        <f aca="false">IF(INDEX(MASTER_DATABASE!$A$4:$A$1000,ROW()-3)="","",INDEX(MASTER_DATABASE!$AL$4:$AL$1000,ROW()-3)&amp;"")</f>
        <v>Recharge / Bill Payment</v>
      </c>
      <c r="E286" s="7" t="str">
        <f aca="false">IF(INDEX(MASTER_DATABASE!$A$4:$A$1000,ROW()-3)="","",INDEX(MASTER_DATABASE!$G$4:$G$1000,ROW()-3)&amp;"")</f>
        <v>BBPS – Other Billers quickly at the shop.</v>
      </c>
      <c r="F286" s="11" t="str">
        <f aca="false">IF(INDEX(MASTER_DATABASE!$A$4:$A$1000,ROW()-3)="","",INDEX(MASTER_DATABASE!$AP$4:$AP$1000,ROW()-3)&amp;"")</f>
        <v>🧾</v>
      </c>
      <c r="G28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6" s="7" t="str">
        <f aca="false">IF(INDEX(MASTER_DATABASE!$A$4:$A$1000,ROW()-3)="","",INDEX(MASTER_DATABASE!$J$4:$J$1000,ROW()-3)&amp;"")</f>
        <v>Please Confirm at Shop</v>
      </c>
      <c r="K286" s="7" t="str">
        <f aca="false">IF(INDEX(MASTER_DATABASE!$A$4:$A$1000,ROW()-3)="","",INDEX(MASTER_DATABASE!$M$4:$M$1000,ROW()-3)&amp;"")</f>
        <v>✓ Consumer / Account Number
✓ Cash Amount</v>
      </c>
      <c r="L286" s="7" t="str">
        <f aca="false">IF(INDEX(MASTER_DATABASE!$A$4:$A$1000,ROW()-3)="","",INDEX(MASTER_DATABASE!$Q$4:$Q$1000,ROW()-3)&amp;"")</f>
        <v>5–10 Minutes</v>
      </c>
      <c r="M286" s="11" t="str">
        <f aca="false">IF(INDEX(MASTER_DATABASE!$A$4:$A$1000,ROW()-3)="","",INDEX(MASTER_DATABASE!$AI$4:$AI$1000,ROW()-3)&amp;"")</f>
        <v>No</v>
      </c>
      <c r="N286" s="11" t="str">
        <f aca="false">IF(INDEX(MASTER_DATABASE!$A$4:$A$1000,ROW()-3)="","",INDEX(MASTER_DATABASE!$AJ$4:$AJ$1000,ROW()-3)&amp;"")</f>
        <v>No</v>
      </c>
      <c r="O286" s="11" t="str">
        <f aca="false">IF(INDEX(MASTER_DATABASE!$A$4:$A$1000,ROW()-3)="","",IF(INDEX(MASTER_DATABASE!$BE$4:$BE$1000,ROW()-3)="LIVE","Yes","No"))</f>
        <v>No</v>
      </c>
      <c r="P286" s="7" t="str">
        <f aca="false">IF(INDEX(MASTER_DATABASE!$A$4:$A$1000,ROW()-3)="","",INDEX(MASTER_DATABASE!$BG$4:$BG$1000,ROW()-3)&amp;"")</f>
        <v>Visit Shop</v>
      </c>
      <c r="Q286" s="11" t="n">
        <f aca="false">IF(INDEX(MASTER_DATABASE!$A$4:$A$1000,ROW()-3)="","",INDEX(MASTER_DATABASE!$AQ$4:$AQ$1000,ROW()-3))</f>
        <v>160</v>
      </c>
    </row>
    <row r="287" customFormat="false" ht="23.85" hidden="false" customHeight="false" outlineLevel="0" collapsed="false">
      <c r="A287" s="11" t="str">
        <f aca="false">IF(INDEX(MASTER_DATABASE!$A$4:$A$1000,ROW()-3)="","",INDEX(MASTER_DATABASE!$A$4:$A$1000,ROW()-3)&amp;"")</f>
        <v>TKT-001</v>
      </c>
      <c r="B287" s="7" t="str">
        <f aca="false">IF(INDEX(MASTER_DATABASE!$A$4:$A$1000,ROW()-3)="","",INDEX(MASTER_DATABASE!$E$4:$E$1000,ROW()-3)&amp;"")</f>
        <v>Railway Ticket Booking (General)</v>
      </c>
      <c r="C287" s="7" t="str">
        <f aca="false">IF(INDEX(MASTER_DATABASE!$A$4:$A$1000,ROW()-3)="","",INDEX(MASTER_DATABASE!$F$4:$F$1000,ROW()-3)&amp;"")</f>
        <v>रेलवे टिकट बुकिंग (सामान्य)</v>
      </c>
      <c r="D287" s="7" t="str">
        <f aca="false">IF(INDEX(MASTER_DATABASE!$A$4:$A$1000,ROW()-3)="","",INDEX(MASTER_DATABASE!$AL$4:$AL$1000,ROW()-3)&amp;"")</f>
        <v>Travel / Ticketing</v>
      </c>
      <c r="E287" s="7" t="str">
        <f aca="false">IF(INDEX(MASTER_DATABASE!$A$4:$A$1000,ROW()-3)="","",INDEX(MASTER_DATABASE!$G$4:$G$1000,ROW()-3)&amp;"")</f>
        <v>Railway Ticket Booking (General) assistance (subject to confirmation).</v>
      </c>
      <c r="F287" s="11" t="str">
        <f aca="false">IF(INDEX(MASTER_DATABASE!$A$4:$A$1000,ROW()-3)="","",INDEX(MASTER_DATABASE!$AP$4:$AP$1000,ROW()-3)&amp;"")</f>
        <v>🚆</v>
      </c>
      <c r="G28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7" s="7" t="str">
        <f aca="false">IF(INDEX(MASTER_DATABASE!$A$4:$A$1000,ROW()-3)="","",INDEX(MASTER_DATABASE!$J$4:$J$1000,ROW()-3)&amp;"")</f>
        <v>Please Confirm at Shop</v>
      </c>
      <c r="K287" s="7" t="str">
        <f aca="false">IF(INDEX(MASTER_DATABASE!$A$4:$A$1000,ROW()-3)="","",INDEX(MASTER_DATABASE!$M$4:$M$1000,ROW()-3)&amp;"")</f>
        <v>✓ Passenger Details &amp; ID</v>
      </c>
      <c r="L287" s="7" t="str">
        <f aca="false">IF(INDEX(MASTER_DATABASE!$A$4:$A$1000,ROW()-3)="","",INDEX(MASTER_DATABASE!$Q$4:$Q$1000,ROW()-3)&amp;"")</f>
        <v>15–30 Minutes</v>
      </c>
      <c r="M287" s="11" t="str">
        <f aca="false">IF(INDEX(MASTER_DATABASE!$A$4:$A$1000,ROW()-3)="","",INDEX(MASTER_DATABASE!$AI$4:$AI$1000,ROW()-3)&amp;"")</f>
        <v>No</v>
      </c>
      <c r="N287" s="11" t="str">
        <f aca="false">IF(INDEX(MASTER_DATABASE!$A$4:$A$1000,ROW()-3)="","",INDEX(MASTER_DATABASE!$AJ$4:$AJ$1000,ROW()-3)&amp;"")</f>
        <v>No</v>
      </c>
      <c r="O287" s="11" t="str">
        <f aca="false">IF(INDEX(MASTER_DATABASE!$A$4:$A$1000,ROW()-3)="","",IF(INDEX(MASTER_DATABASE!$BE$4:$BE$1000,ROW()-3)="LIVE","Yes","No"))</f>
        <v>No</v>
      </c>
      <c r="P287" s="7" t="str">
        <f aca="false">IF(INDEX(MASTER_DATABASE!$A$4:$A$1000,ROW()-3)="","",INDEX(MASTER_DATABASE!$BG$4:$BG$1000,ROW()-3)&amp;"")</f>
        <v>Get Quote</v>
      </c>
      <c r="Q287" s="11" t="n">
        <f aca="false">IF(INDEX(MASTER_DATABASE!$A$4:$A$1000,ROW()-3)="","",INDEX(MASTER_DATABASE!$AQ$4:$AQ$1000,ROW()-3))</f>
        <v>10</v>
      </c>
    </row>
    <row r="288" customFormat="false" ht="23.85" hidden="false" customHeight="false" outlineLevel="0" collapsed="false">
      <c r="A288" s="11" t="str">
        <f aca="false">IF(INDEX(MASTER_DATABASE!$A$4:$A$1000,ROW()-3)="","",INDEX(MASTER_DATABASE!$A$4:$A$1000,ROW()-3)&amp;"")</f>
        <v>TKT-002</v>
      </c>
      <c r="B288" s="7" t="str">
        <f aca="false">IF(INDEX(MASTER_DATABASE!$A$4:$A$1000,ROW()-3)="","",INDEX(MASTER_DATABASE!$E$4:$E$1000,ROW()-3)&amp;"")</f>
        <v>Railway Ticket Booking (Tatkal)</v>
      </c>
      <c r="C288" s="7" t="str">
        <f aca="false">IF(INDEX(MASTER_DATABASE!$A$4:$A$1000,ROW()-3)="","",INDEX(MASTER_DATABASE!$F$4:$F$1000,ROW()-3)&amp;"")</f>
        <v>रेलवे टिकट बुकिंग (तत्काल)</v>
      </c>
      <c r="D288" s="7" t="str">
        <f aca="false">IF(INDEX(MASTER_DATABASE!$A$4:$A$1000,ROW()-3)="","",INDEX(MASTER_DATABASE!$AL$4:$AL$1000,ROW()-3)&amp;"")</f>
        <v>Travel / Ticketing</v>
      </c>
      <c r="E288" s="7" t="str">
        <f aca="false">IF(INDEX(MASTER_DATABASE!$A$4:$A$1000,ROW()-3)="","",INDEX(MASTER_DATABASE!$G$4:$G$1000,ROW()-3)&amp;"")</f>
        <v>Railway Ticket Booking (Tatkal) assistance (subject to confirmation).</v>
      </c>
      <c r="F288" s="11" t="str">
        <f aca="false">IF(INDEX(MASTER_DATABASE!$A$4:$A$1000,ROW()-3)="","",INDEX(MASTER_DATABASE!$AP$4:$AP$1000,ROW()-3)&amp;"")</f>
        <v>🚆</v>
      </c>
      <c r="G28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8" s="7" t="str">
        <f aca="false">IF(INDEX(MASTER_DATABASE!$A$4:$A$1000,ROW()-3)="","",INDEX(MASTER_DATABASE!$J$4:$J$1000,ROW()-3)&amp;"")</f>
        <v>Please Confirm at Shop</v>
      </c>
      <c r="K288" s="7" t="str">
        <f aca="false">IF(INDEX(MASTER_DATABASE!$A$4:$A$1000,ROW()-3)="","",INDEX(MASTER_DATABASE!$M$4:$M$1000,ROW()-3)&amp;"")</f>
        <v>✓ Passenger Details &amp; ID</v>
      </c>
      <c r="L288" s="7" t="str">
        <f aca="false">IF(INDEX(MASTER_DATABASE!$A$4:$A$1000,ROW()-3)="","",INDEX(MASTER_DATABASE!$Q$4:$Q$1000,ROW()-3)&amp;"")</f>
        <v>15–30 Minutes</v>
      </c>
      <c r="M288" s="11" t="str">
        <f aca="false">IF(INDEX(MASTER_DATABASE!$A$4:$A$1000,ROW()-3)="","",INDEX(MASTER_DATABASE!$AI$4:$AI$1000,ROW()-3)&amp;"")</f>
        <v>No</v>
      </c>
      <c r="N288" s="11" t="str">
        <f aca="false">IF(INDEX(MASTER_DATABASE!$A$4:$A$1000,ROW()-3)="","",INDEX(MASTER_DATABASE!$AJ$4:$AJ$1000,ROW()-3)&amp;"")</f>
        <v>No</v>
      </c>
      <c r="O288" s="11" t="str">
        <f aca="false">IF(INDEX(MASTER_DATABASE!$A$4:$A$1000,ROW()-3)="","",IF(INDEX(MASTER_DATABASE!$BE$4:$BE$1000,ROW()-3)="LIVE","Yes","No"))</f>
        <v>No</v>
      </c>
      <c r="P288" s="7" t="str">
        <f aca="false">IF(INDEX(MASTER_DATABASE!$A$4:$A$1000,ROW()-3)="","",INDEX(MASTER_DATABASE!$BG$4:$BG$1000,ROW()-3)&amp;"")</f>
        <v>Get Quote</v>
      </c>
      <c r="Q288" s="11" t="n">
        <f aca="false">IF(INDEX(MASTER_DATABASE!$A$4:$A$1000,ROW()-3)="","",INDEX(MASTER_DATABASE!$AQ$4:$AQ$1000,ROW()-3))</f>
        <v>20</v>
      </c>
    </row>
    <row r="289" customFormat="false" ht="23.85" hidden="false" customHeight="false" outlineLevel="0" collapsed="false">
      <c r="A289" s="11" t="str">
        <f aca="false">IF(INDEX(MASTER_DATABASE!$A$4:$A$1000,ROW()-3)="","",INDEX(MASTER_DATABASE!$A$4:$A$1000,ROW()-3)&amp;"")</f>
        <v>TKT-003</v>
      </c>
      <c r="B289" s="7" t="str">
        <f aca="false">IF(INDEX(MASTER_DATABASE!$A$4:$A$1000,ROW()-3)="","",INDEX(MASTER_DATABASE!$E$4:$E$1000,ROW()-3)&amp;"")</f>
        <v>PNR Status Check</v>
      </c>
      <c r="C289" s="7" t="str">
        <f aca="false">IF(INDEX(MASTER_DATABASE!$A$4:$A$1000,ROW()-3)="","",INDEX(MASTER_DATABASE!$F$4:$F$1000,ROW()-3)&amp;"")</f>
        <v>PNR स्टेटस जाँच</v>
      </c>
      <c r="D289" s="7" t="str">
        <f aca="false">IF(INDEX(MASTER_DATABASE!$A$4:$A$1000,ROW()-3)="","",INDEX(MASTER_DATABASE!$AL$4:$AL$1000,ROW()-3)&amp;"")</f>
        <v>Travel / Ticketing</v>
      </c>
      <c r="E289" s="7" t="str">
        <f aca="false">IF(INDEX(MASTER_DATABASE!$A$4:$A$1000,ROW()-3)="","",INDEX(MASTER_DATABASE!$G$4:$G$1000,ROW()-3)&amp;"")</f>
        <v>PNR Status Check assistance (subject to confirmation).</v>
      </c>
      <c r="F289" s="11" t="str">
        <f aca="false">IF(INDEX(MASTER_DATABASE!$A$4:$A$1000,ROW()-3)="","",INDEX(MASTER_DATABASE!$AP$4:$AP$1000,ROW()-3)&amp;"")</f>
        <v>🚆</v>
      </c>
      <c r="G28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8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8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89" s="7" t="str">
        <f aca="false">IF(INDEX(MASTER_DATABASE!$A$4:$A$1000,ROW()-3)="","",INDEX(MASTER_DATABASE!$J$4:$J$1000,ROW()-3)&amp;"")</f>
        <v>Available</v>
      </c>
      <c r="K289" s="7" t="str">
        <f aca="false">IF(INDEX(MASTER_DATABASE!$A$4:$A$1000,ROW()-3)="","",INDEX(MASTER_DATABASE!$M$4:$M$1000,ROW()-3)&amp;"")</f>
        <v>✓ Passenger Details &amp; ID</v>
      </c>
      <c r="L289" s="7" t="str">
        <f aca="false">IF(INDEX(MASTER_DATABASE!$A$4:$A$1000,ROW()-3)="","",INDEX(MASTER_DATABASE!$Q$4:$Q$1000,ROW()-3)&amp;"")</f>
        <v>15–30 Minutes</v>
      </c>
      <c r="M289" s="11" t="str">
        <f aca="false">IF(INDEX(MASTER_DATABASE!$A$4:$A$1000,ROW()-3)="","",INDEX(MASTER_DATABASE!$AI$4:$AI$1000,ROW()-3)&amp;"")</f>
        <v>No</v>
      </c>
      <c r="N289" s="11" t="str">
        <f aca="false">IF(INDEX(MASTER_DATABASE!$A$4:$A$1000,ROW()-3)="","",INDEX(MASTER_DATABASE!$AJ$4:$AJ$1000,ROW()-3)&amp;"")</f>
        <v>No</v>
      </c>
      <c r="O289" s="11" t="str">
        <f aca="false">IF(INDEX(MASTER_DATABASE!$A$4:$A$1000,ROW()-3)="","",IF(INDEX(MASTER_DATABASE!$BE$4:$BE$1000,ROW()-3)="LIVE","Yes","No"))</f>
        <v>Yes</v>
      </c>
      <c r="P289" s="7" t="str">
        <f aca="false">IF(INDEX(MASTER_DATABASE!$A$4:$A$1000,ROW()-3)="","",INDEX(MASTER_DATABASE!$BG$4:$BG$1000,ROW()-3)&amp;"")</f>
        <v>Get Quote</v>
      </c>
      <c r="Q289" s="11" t="n">
        <f aca="false">IF(INDEX(MASTER_DATABASE!$A$4:$A$1000,ROW()-3)="","",INDEX(MASTER_DATABASE!$AQ$4:$AQ$1000,ROW()-3))</f>
        <v>30</v>
      </c>
    </row>
    <row r="290" customFormat="false" ht="23.85" hidden="false" customHeight="false" outlineLevel="0" collapsed="false">
      <c r="A290" s="11" t="str">
        <f aca="false">IF(INDEX(MASTER_DATABASE!$A$4:$A$1000,ROW()-3)="","",INDEX(MASTER_DATABASE!$A$4:$A$1000,ROW()-3)&amp;"")</f>
        <v>TKT-004</v>
      </c>
      <c r="B290" s="7" t="str">
        <f aca="false">IF(INDEX(MASTER_DATABASE!$A$4:$A$1000,ROW()-3)="","",INDEX(MASTER_DATABASE!$E$4:$E$1000,ROW()-3)&amp;"")</f>
        <v>Train Running Status</v>
      </c>
      <c r="C290" s="7" t="str">
        <f aca="false">IF(INDEX(MASTER_DATABASE!$A$4:$A$1000,ROW()-3)="","",INDEX(MASTER_DATABASE!$F$4:$F$1000,ROW()-3)&amp;"")</f>
        <v>ट्रेन रनिंग स्टेटस</v>
      </c>
      <c r="D290" s="7" t="str">
        <f aca="false">IF(INDEX(MASTER_DATABASE!$A$4:$A$1000,ROW()-3)="","",INDEX(MASTER_DATABASE!$AL$4:$AL$1000,ROW()-3)&amp;"")</f>
        <v>Travel / Ticketing</v>
      </c>
      <c r="E290" s="7" t="str">
        <f aca="false">IF(INDEX(MASTER_DATABASE!$A$4:$A$1000,ROW()-3)="","",INDEX(MASTER_DATABASE!$G$4:$G$1000,ROW()-3)&amp;"")</f>
        <v>Train Running Status assistance (subject to confirmation).</v>
      </c>
      <c r="F290" s="11" t="str">
        <f aca="false">IF(INDEX(MASTER_DATABASE!$A$4:$A$1000,ROW()-3)="","",INDEX(MASTER_DATABASE!$AP$4:$AP$1000,ROW()-3)&amp;"")</f>
        <v>🚆</v>
      </c>
      <c r="G29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9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9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90" s="7" t="str">
        <f aca="false">IF(INDEX(MASTER_DATABASE!$A$4:$A$1000,ROW()-3)="","",INDEX(MASTER_DATABASE!$J$4:$J$1000,ROW()-3)&amp;"")</f>
        <v>Available</v>
      </c>
      <c r="K290" s="7" t="str">
        <f aca="false">IF(INDEX(MASTER_DATABASE!$A$4:$A$1000,ROW()-3)="","",INDEX(MASTER_DATABASE!$M$4:$M$1000,ROW()-3)&amp;"")</f>
        <v>✓ Passenger Details &amp; ID</v>
      </c>
      <c r="L290" s="7" t="str">
        <f aca="false">IF(INDEX(MASTER_DATABASE!$A$4:$A$1000,ROW()-3)="","",INDEX(MASTER_DATABASE!$Q$4:$Q$1000,ROW()-3)&amp;"")</f>
        <v>15–30 Minutes</v>
      </c>
      <c r="M290" s="11" t="str">
        <f aca="false">IF(INDEX(MASTER_DATABASE!$A$4:$A$1000,ROW()-3)="","",INDEX(MASTER_DATABASE!$AI$4:$AI$1000,ROW()-3)&amp;"")</f>
        <v>No</v>
      </c>
      <c r="N290" s="11" t="str">
        <f aca="false">IF(INDEX(MASTER_DATABASE!$A$4:$A$1000,ROW()-3)="","",INDEX(MASTER_DATABASE!$AJ$4:$AJ$1000,ROW()-3)&amp;"")</f>
        <v>No</v>
      </c>
      <c r="O290" s="11" t="str">
        <f aca="false">IF(INDEX(MASTER_DATABASE!$A$4:$A$1000,ROW()-3)="","",IF(INDEX(MASTER_DATABASE!$BE$4:$BE$1000,ROW()-3)="LIVE","Yes","No"))</f>
        <v>Yes</v>
      </c>
      <c r="P290" s="7" t="str">
        <f aca="false">IF(INDEX(MASTER_DATABASE!$A$4:$A$1000,ROW()-3)="","",INDEX(MASTER_DATABASE!$BG$4:$BG$1000,ROW()-3)&amp;"")</f>
        <v>Get Quote</v>
      </c>
      <c r="Q290" s="11" t="n">
        <f aca="false">IF(INDEX(MASTER_DATABASE!$A$4:$A$1000,ROW()-3)="","",INDEX(MASTER_DATABASE!$AQ$4:$AQ$1000,ROW()-3))</f>
        <v>40</v>
      </c>
    </row>
    <row r="291" customFormat="false" ht="23.85" hidden="false" customHeight="false" outlineLevel="0" collapsed="false">
      <c r="A291" s="11" t="str">
        <f aca="false">IF(INDEX(MASTER_DATABASE!$A$4:$A$1000,ROW()-3)="","",INDEX(MASTER_DATABASE!$A$4:$A$1000,ROW()-3)&amp;"")</f>
        <v>TKT-005</v>
      </c>
      <c r="B291" s="7" t="str">
        <f aca="false">IF(INDEX(MASTER_DATABASE!$A$4:$A$1000,ROW()-3)="","",INDEX(MASTER_DATABASE!$E$4:$E$1000,ROW()-3)&amp;"")</f>
        <v>Railway Ticket Cancellation</v>
      </c>
      <c r="C291" s="7" t="str">
        <f aca="false">IF(INDEX(MASTER_DATABASE!$A$4:$A$1000,ROW()-3)="","",INDEX(MASTER_DATABASE!$F$4:$F$1000,ROW()-3)&amp;"")</f>
        <v>रेलवे टिकट रद्द करना</v>
      </c>
      <c r="D291" s="7" t="str">
        <f aca="false">IF(INDEX(MASTER_DATABASE!$A$4:$A$1000,ROW()-3)="","",INDEX(MASTER_DATABASE!$AL$4:$AL$1000,ROW()-3)&amp;"")</f>
        <v>Travel / Ticketing</v>
      </c>
      <c r="E291" s="7" t="str">
        <f aca="false">IF(INDEX(MASTER_DATABASE!$A$4:$A$1000,ROW()-3)="","",INDEX(MASTER_DATABASE!$G$4:$G$1000,ROW()-3)&amp;"")</f>
        <v>Railway Ticket Cancellation assistance (subject to confirmation).</v>
      </c>
      <c r="F291" s="11" t="str">
        <f aca="false">IF(INDEX(MASTER_DATABASE!$A$4:$A$1000,ROW()-3)="","",INDEX(MASTER_DATABASE!$AP$4:$AP$1000,ROW()-3)&amp;"")</f>
        <v>🚆</v>
      </c>
      <c r="G29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9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9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91" s="7" t="str">
        <f aca="false">IF(INDEX(MASTER_DATABASE!$A$4:$A$1000,ROW()-3)="","",INDEX(MASTER_DATABASE!$J$4:$J$1000,ROW()-3)&amp;"")</f>
        <v>Please Confirm at Shop</v>
      </c>
      <c r="K291" s="7" t="str">
        <f aca="false">IF(INDEX(MASTER_DATABASE!$A$4:$A$1000,ROW()-3)="","",INDEX(MASTER_DATABASE!$M$4:$M$1000,ROW()-3)&amp;"")</f>
        <v>✓ Passenger Details &amp; ID</v>
      </c>
      <c r="L291" s="7" t="str">
        <f aca="false">IF(INDEX(MASTER_DATABASE!$A$4:$A$1000,ROW()-3)="","",INDEX(MASTER_DATABASE!$Q$4:$Q$1000,ROW()-3)&amp;"")</f>
        <v>15–30 Minutes</v>
      </c>
      <c r="M291" s="11" t="str">
        <f aca="false">IF(INDEX(MASTER_DATABASE!$A$4:$A$1000,ROW()-3)="","",INDEX(MASTER_DATABASE!$AI$4:$AI$1000,ROW()-3)&amp;"")</f>
        <v>No</v>
      </c>
      <c r="N291" s="11" t="str">
        <f aca="false">IF(INDEX(MASTER_DATABASE!$A$4:$A$1000,ROW()-3)="","",INDEX(MASTER_DATABASE!$AJ$4:$AJ$1000,ROW()-3)&amp;"")</f>
        <v>No</v>
      </c>
      <c r="O291" s="11" t="str">
        <f aca="false">IF(INDEX(MASTER_DATABASE!$A$4:$A$1000,ROW()-3)="","",IF(INDEX(MASTER_DATABASE!$BE$4:$BE$1000,ROW()-3)="LIVE","Yes","No"))</f>
        <v>No</v>
      </c>
      <c r="P291" s="7" t="str">
        <f aca="false">IF(INDEX(MASTER_DATABASE!$A$4:$A$1000,ROW()-3)="","",INDEX(MASTER_DATABASE!$BG$4:$BG$1000,ROW()-3)&amp;"")</f>
        <v>Get Quote</v>
      </c>
      <c r="Q291" s="11" t="n">
        <f aca="false">IF(INDEX(MASTER_DATABASE!$A$4:$A$1000,ROW()-3)="","",INDEX(MASTER_DATABASE!$AQ$4:$AQ$1000,ROW()-3))</f>
        <v>50</v>
      </c>
    </row>
    <row r="292" customFormat="false" ht="23.85" hidden="false" customHeight="false" outlineLevel="0" collapsed="false">
      <c r="A292" s="11" t="str">
        <f aca="false">IF(INDEX(MASTER_DATABASE!$A$4:$A$1000,ROW()-3)="","",INDEX(MASTER_DATABASE!$A$4:$A$1000,ROW()-3)&amp;"")</f>
        <v>TKT-006</v>
      </c>
      <c r="B292" s="7" t="str">
        <f aca="false">IF(INDEX(MASTER_DATABASE!$A$4:$A$1000,ROW()-3)="","",INDEX(MASTER_DATABASE!$E$4:$E$1000,ROW()-3)&amp;"")</f>
        <v>Railway Refund Status Check</v>
      </c>
      <c r="C292" s="7" t="str">
        <f aca="false">IF(INDEX(MASTER_DATABASE!$A$4:$A$1000,ROW()-3)="","",INDEX(MASTER_DATABASE!$F$4:$F$1000,ROW()-3)&amp;"")</f>
        <v>रेलवे रिफंड स्टेटस जाँच</v>
      </c>
      <c r="D292" s="7" t="str">
        <f aca="false">IF(INDEX(MASTER_DATABASE!$A$4:$A$1000,ROW()-3)="","",INDEX(MASTER_DATABASE!$AL$4:$AL$1000,ROW()-3)&amp;"")</f>
        <v>Travel / Ticketing</v>
      </c>
      <c r="E292" s="7" t="str">
        <f aca="false">IF(INDEX(MASTER_DATABASE!$A$4:$A$1000,ROW()-3)="","",INDEX(MASTER_DATABASE!$G$4:$G$1000,ROW()-3)&amp;"")</f>
        <v>Railway Refund Status Check assistance (subject to confirmation).</v>
      </c>
      <c r="F292" s="11" t="str">
        <f aca="false">IF(INDEX(MASTER_DATABASE!$A$4:$A$1000,ROW()-3)="","",INDEX(MASTER_DATABASE!$AP$4:$AP$1000,ROW()-3)&amp;"")</f>
        <v>🚆</v>
      </c>
      <c r="G29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9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9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92" s="7" t="str">
        <f aca="false">IF(INDEX(MASTER_DATABASE!$A$4:$A$1000,ROW()-3)="","",INDEX(MASTER_DATABASE!$J$4:$J$1000,ROW()-3)&amp;"")</f>
        <v>To Be Confirmed</v>
      </c>
      <c r="K292" s="7" t="str">
        <f aca="false">IF(INDEX(MASTER_DATABASE!$A$4:$A$1000,ROW()-3)="","",INDEX(MASTER_DATABASE!$M$4:$M$1000,ROW()-3)&amp;"")</f>
        <v>✓ Passenger Details &amp; ID</v>
      </c>
      <c r="L292" s="7" t="str">
        <f aca="false">IF(INDEX(MASTER_DATABASE!$A$4:$A$1000,ROW()-3)="","",INDEX(MASTER_DATABASE!$Q$4:$Q$1000,ROW()-3)&amp;"")</f>
        <v>15–30 Minutes</v>
      </c>
      <c r="M292" s="11" t="str">
        <f aca="false">IF(INDEX(MASTER_DATABASE!$A$4:$A$1000,ROW()-3)="","",INDEX(MASTER_DATABASE!$AI$4:$AI$1000,ROW()-3)&amp;"")</f>
        <v>No</v>
      </c>
      <c r="N292" s="11" t="str">
        <f aca="false">IF(INDEX(MASTER_DATABASE!$A$4:$A$1000,ROW()-3)="","",INDEX(MASTER_DATABASE!$AJ$4:$AJ$1000,ROW()-3)&amp;"")</f>
        <v>No</v>
      </c>
      <c r="O292" s="11" t="str">
        <f aca="false">IF(INDEX(MASTER_DATABASE!$A$4:$A$1000,ROW()-3)="","",IF(INDEX(MASTER_DATABASE!$BE$4:$BE$1000,ROW()-3)="LIVE","Yes","No"))</f>
        <v>No</v>
      </c>
      <c r="P292" s="7" t="str">
        <f aca="false">IF(INDEX(MASTER_DATABASE!$A$4:$A$1000,ROW()-3)="","",INDEX(MASTER_DATABASE!$BG$4:$BG$1000,ROW()-3)&amp;"")</f>
        <v>Get Quote</v>
      </c>
      <c r="Q292" s="11" t="n">
        <f aca="false">IF(INDEX(MASTER_DATABASE!$A$4:$A$1000,ROW()-3)="","",INDEX(MASTER_DATABASE!$AQ$4:$AQ$1000,ROW()-3))</f>
        <v>60</v>
      </c>
    </row>
    <row r="293" customFormat="false" ht="23.85" hidden="false" customHeight="false" outlineLevel="0" collapsed="false">
      <c r="A293" s="11" t="str">
        <f aca="false">IF(INDEX(MASTER_DATABASE!$A$4:$A$1000,ROW()-3)="","",INDEX(MASTER_DATABASE!$A$4:$A$1000,ROW()-3)&amp;"")</f>
        <v>TKT-007</v>
      </c>
      <c r="B293" s="7" t="str">
        <f aca="false">IF(INDEX(MASTER_DATABASE!$A$4:$A$1000,ROW()-3)="","",INDEX(MASTER_DATABASE!$E$4:$E$1000,ROW()-3)&amp;"")</f>
        <v>Bus Ticket Booking</v>
      </c>
      <c r="C293" s="7" t="str">
        <f aca="false">IF(INDEX(MASTER_DATABASE!$A$4:$A$1000,ROW()-3)="","",INDEX(MASTER_DATABASE!$F$4:$F$1000,ROW()-3)&amp;"")</f>
        <v>बस टिकट बुकिंग</v>
      </c>
      <c r="D293" s="7" t="str">
        <f aca="false">IF(INDEX(MASTER_DATABASE!$A$4:$A$1000,ROW()-3)="","",INDEX(MASTER_DATABASE!$AL$4:$AL$1000,ROW()-3)&amp;"")</f>
        <v>Travel / Ticketing</v>
      </c>
      <c r="E293" s="7" t="str">
        <f aca="false">IF(INDEX(MASTER_DATABASE!$A$4:$A$1000,ROW()-3)="","",INDEX(MASTER_DATABASE!$G$4:$G$1000,ROW()-3)&amp;"")</f>
        <v>Bus Ticket Booking assistance (subject to confirmation).</v>
      </c>
      <c r="F293" s="11" t="str">
        <f aca="false">IF(INDEX(MASTER_DATABASE!$A$4:$A$1000,ROW()-3)="","",INDEX(MASTER_DATABASE!$AP$4:$AP$1000,ROW()-3)&amp;"")</f>
        <v>🚆</v>
      </c>
      <c r="G29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9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9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93" s="7" t="str">
        <f aca="false">IF(INDEX(MASTER_DATABASE!$A$4:$A$1000,ROW()-3)="","",INDEX(MASTER_DATABASE!$J$4:$J$1000,ROW()-3)&amp;"")</f>
        <v>To Be Confirmed</v>
      </c>
      <c r="K293" s="7" t="str">
        <f aca="false">IF(INDEX(MASTER_DATABASE!$A$4:$A$1000,ROW()-3)="","",INDEX(MASTER_DATABASE!$M$4:$M$1000,ROW()-3)&amp;"")</f>
        <v>✓ Passenger Details &amp; ID</v>
      </c>
      <c r="L293" s="7" t="str">
        <f aca="false">IF(INDEX(MASTER_DATABASE!$A$4:$A$1000,ROW()-3)="","",INDEX(MASTER_DATABASE!$Q$4:$Q$1000,ROW()-3)&amp;"")</f>
        <v>15–30 Minutes</v>
      </c>
      <c r="M293" s="11" t="str">
        <f aca="false">IF(INDEX(MASTER_DATABASE!$A$4:$A$1000,ROW()-3)="","",INDEX(MASTER_DATABASE!$AI$4:$AI$1000,ROW()-3)&amp;"")</f>
        <v>No</v>
      </c>
      <c r="N293" s="11" t="str">
        <f aca="false">IF(INDEX(MASTER_DATABASE!$A$4:$A$1000,ROW()-3)="","",INDEX(MASTER_DATABASE!$AJ$4:$AJ$1000,ROW()-3)&amp;"")</f>
        <v>No</v>
      </c>
      <c r="O293" s="11" t="str">
        <f aca="false">IF(INDEX(MASTER_DATABASE!$A$4:$A$1000,ROW()-3)="","",IF(INDEX(MASTER_DATABASE!$BE$4:$BE$1000,ROW()-3)="LIVE","Yes","No"))</f>
        <v>No</v>
      </c>
      <c r="P293" s="7" t="str">
        <f aca="false">IF(INDEX(MASTER_DATABASE!$A$4:$A$1000,ROW()-3)="","",INDEX(MASTER_DATABASE!$BG$4:$BG$1000,ROW()-3)&amp;"")</f>
        <v>Get Quote</v>
      </c>
      <c r="Q293" s="11" t="n">
        <f aca="false">IF(INDEX(MASTER_DATABASE!$A$4:$A$1000,ROW()-3)="","",INDEX(MASTER_DATABASE!$AQ$4:$AQ$1000,ROW()-3))</f>
        <v>70</v>
      </c>
    </row>
    <row r="294" customFormat="false" ht="23.85" hidden="false" customHeight="false" outlineLevel="0" collapsed="false">
      <c r="A294" s="11" t="str">
        <f aca="false">IF(INDEX(MASTER_DATABASE!$A$4:$A$1000,ROW()-3)="","",INDEX(MASTER_DATABASE!$A$4:$A$1000,ROW()-3)&amp;"")</f>
        <v>TKT-008</v>
      </c>
      <c r="B294" s="7" t="str">
        <f aca="false">IF(INDEX(MASTER_DATABASE!$A$4:$A$1000,ROW()-3)="","",INDEX(MASTER_DATABASE!$E$4:$E$1000,ROW()-3)&amp;"")</f>
        <v>Bus Ticket Cancellation</v>
      </c>
      <c r="C294" s="7" t="str">
        <f aca="false">IF(INDEX(MASTER_DATABASE!$A$4:$A$1000,ROW()-3)="","",INDEX(MASTER_DATABASE!$F$4:$F$1000,ROW()-3)&amp;"")</f>
        <v>बस टिकट रद्द करना</v>
      </c>
      <c r="D294" s="7" t="str">
        <f aca="false">IF(INDEX(MASTER_DATABASE!$A$4:$A$1000,ROW()-3)="","",INDEX(MASTER_DATABASE!$AL$4:$AL$1000,ROW()-3)&amp;"")</f>
        <v>Travel / Ticketing</v>
      </c>
      <c r="E294" s="7" t="str">
        <f aca="false">IF(INDEX(MASTER_DATABASE!$A$4:$A$1000,ROW()-3)="","",INDEX(MASTER_DATABASE!$G$4:$G$1000,ROW()-3)&amp;"")</f>
        <v>Bus Ticket Cancellation assistance (subject to confirmation).</v>
      </c>
      <c r="F294" s="11" t="str">
        <f aca="false">IF(INDEX(MASTER_DATABASE!$A$4:$A$1000,ROW()-3)="","",INDEX(MASTER_DATABASE!$AP$4:$AP$1000,ROW()-3)&amp;"")</f>
        <v>🚆</v>
      </c>
      <c r="G29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9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9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94" s="7" t="str">
        <f aca="false">IF(INDEX(MASTER_DATABASE!$A$4:$A$1000,ROW()-3)="","",INDEX(MASTER_DATABASE!$J$4:$J$1000,ROW()-3)&amp;"")</f>
        <v>To Be Confirmed</v>
      </c>
      <c r="K294" s="7" t="str">
        <f aca="false">IF(INDEX(MASTER_DATABASE!$A$4:$A$1000,ROW()-3)="","",INDEX(MASTER_DATABASE!$M$4:$M$1000,ROW()-3)&amp;"")</f>
        <v>✓ Passenger Details &amp; ID</v>
      </c>
      <c r="L294" s="7" t="str">
        <f aca="false">IF(INDEX(MASTER_DATABASE!$A$4:$A$1000,ROW()-3)="","",INDEX(MASTER_DATABASE!$Q$4:$Q$1000,ROW()-3)&amp;"")</f>
        <v>15–30 Minutes</v>
      </c>
      <c r="M294" s="11" t="str">
        <f aca="false">IF(INDEX(MASTER_DATABASE!$A$4:$A$1000,ROW()-3)="","",INDEX(MASTER_DATABASE!$AI$4:$AI$1000,ROW()-3)&amp;"")</f>
        <v>No</v>
      </c>
      <c r="N294" s="11" t="str">
        <f aca="false">IF(INDEX(MASTER_DATABASE!$A$4:$A$1000,ROW()-3)="","",INDEX(MASTER_DATABASE!$AJ$4:$AJ$1000,ROW()-3)&amp;"")</f>
        <v>No</v>
      </c>
      <c r="O294" s="11" t="str">
        <f aca="false">IF(INDEX(MASTER_DATABASE!$A$4:$A$1000,ROW()-3)="","",IF(INDEX(MASTER_DATABASE!$BE$4:$BE$1000,ROW()-3)="LIVE","Yes","No"))</f>
        <v>No</v>
      </c>
      <c r="P294" s="7" t="str">
        <f aca="false">IF(INDEX(MASTER_DATABASE!$A$4:$A$1000,ROW()-3)="","",INDEX(MASTER_DATABASE!$BG$4:$BG$1000,ROW()-3)&amp;"")</f>
        <v>Get Quote</v>
      </c>
      <c r="Q294" s="11" t="n">
        <f aca="false">IF(INDEX(MASTER_DATABASE!$A$4:$A$1000,ROW()-3)="","",INDEX(MASTER_DATABASE!$AQ$4:$AQ$1000,ROW()-3))</f>
        <v>80</v>
      </c>
    </row>
    <row r="295" customFormat="false" ht="23.85" hidden="false" customHeight="false" outlineLevel="0" collapsed="false">
      <c r="A295" s="11" t="str">
        <f aca="false">IF(INDEX(MASTER_DATABASE!$A$4:$A$1000,ROW()-3)="","",INDEX(MASTER_DATABASE!$A$4:$A$1000,ROW()-3)&amp;"")</f>
        <v>TKT-009</v>
      </c>
      <c r="B295" s="7" t="str">
        <f aca="false">IF(INDEX(MASTER_DATABASE!$A$4:$A$1000,ROW()-3)="","",INDEX(MASTER_DATABASE!$E$4:$E$1000,ROW()-3)&amp;"")</f>
        <v>Flight Ticket Booking</v>
      </c>
      <c r="C295" s="7" t="str">
        <f aca="false">IF(INDEX(MASTER_DATABASE!$A$4:$A$1000,ROW()-3)="","",INDEX(MASTER_DATABASE!$F$4:$F$1000,ROW()-3)&amp;"")</f>
        <v>हवाई टिकट बुकिंग</v>
      </c>
      <c r="D295" s="7" t="str">
        <f aca="false">IF(INDEX(MASTER_DATABASE!$A$4:$A$1000,ROW()-3)="","",INDEX(MASTER_DATABASE!$AL$4:$AL$1000,ROW()-3)&amp;"")</f>
        <v>Travel / Ticketing</v>
      </c>
      <c r="E295" s="7" t="str">
        <f aca="false">IF(INDEX(MASTER_DATABASE!$A$4:$A$1000,ROW()-3)="","",INDEX(MASTER_DATABASE!$G$4:$G$1000,ROW()-3)&amp;"")</f>
        <v>Flight Ticket Booking assistance (subject to confirmation).</v>
      </c>
      <c r="F295" s="11" t="str">
        <f aca="false">IF(INDEX(MASTER_DATABASE!$A$4:$A$1000,ROW()-3)="","",INDEX(MASTER_DATABASE!$AP$4:$AP$1000,ROW()-3)&amp;"")</f>
        <v>🚆</v>
      </c>
      <c r="G29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>Contact shop</v>
      </c>
      <c r="H29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>Contact shop</v>
      </c>
      <c r="I29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>Contact shop</v>
      </c>
      <c r="J295" s="7" t="str">
        <f aca="false">IF(INDEX(MASTER_DATABASE!$A$4:$A$1000,ROW()-3)="","",INDEX(MASTER_DATABASE!$J$4:$J$1000,ROW()-3)&amp;"")</f>
        <v>To Be Confirmed</v>
      </c>
      <c r="K295" s="7" t="str">
        <f aca="false">IF(INDEX(MASTER_DATABASE!$A$4:$A$1000,ROW()-3)="","",INDEX(MASTER_DATABASE!$M$4:$M$1000,ROW()-3)&amp;"")</f>
        <v>✓ Passenger Details &amp; ID</v>
      </c>
      <c r="L295" s="7" t="str">
        <f aca="false">IF(INDEX(MASTER_DATABASE!$A$4:$A$1000,ROW()-3)="","",INDEX(MASTER_DATABASE!$Q$4:$Q$1000,ROW()-3)&amp;"")</f>
        <v>15–30 Minutes</v>
      </c>
      <c r="M295" s="11" t="str">
        <f aca="false">IF(INDEX(MASTER_DATABASE!$A$4:$A$1000,ROW()-3)="","",INDEX(MASTER_DATABASE!$AI$4:$AI$1000,ROW()-3)&amp;"")</f>
        <v>No</v>
      </c>
      <c r="N295" s="11" t="str">
        <f aca="false">IF(INDEX(MASTER_DATABASE!$A$4:$A$1000,ROW()-3)="","",INDEX(MASTER_DATABASE!$AJ$4:$AJ$1000,ROW()-3)&amp;"")</f>
        <v>No</v>
      </c>
      <c r="O295" s="11" t="str">
        <f aca="false">IF(INDEX(MASTER_DATABASE!$A$4:$A$1000,ROW()-3)="","",IF(INDEX(MASTER_DATABASE!$BE$4:$BE$1000,ROW()-3)="LIVE","Yes","No"))</f>
        <v>No</v>
      </c>
      <c r="P295" s="7" t="str">
        <f aca="false">IF(INDEX(MASTER_DATABASE!$A$4:$A$1000,ROW()-3)="","",INDEX(MASTER_DATABASE!$BG$4:$BG$1000,ROW()-3)&amp;"")</f>
        <v>Get Quote</v>
      </c>
      <c r="Q295" s="11" t="n">
        <f aca="false">IF(INDEX(MASTER_DATABASE!$A$4:$A$1000,ROW()-3)="","",INDEX(MASTER_DATABASE!$AQ$4:$AQ$1000,ROW()-3))</f>
        <v>90</v>
      </c>
    </row>
    <row r="296" customFormat="false" ht="15" hidden="false" customHeight="false" outlineLevel="0" collapsed="false">
      <c r="A296" s="11" t="str">
        <f aca="false">IF(INDEX(MASTER_DATABASE!$A$4:$A$1000,ROW()-3)="","",INDEX(MASTER_DATABASE!$A$4:$A$1000,ROW()-3)&amp;"")</f>
        <v/>
      </c>
      <c r="B296" s="7" t="str">
        <f aca="false">IF(INDEX(MASTER_DATABASE!$A$4:$A$1000,ROW()-3)="","",INDEX(MASTER_DATABASE!$E$4:$E$1000,ROW()-3)&amp;"")</f>
        <v/>
      </c>
      <c r="C296" s="7" t="str">
        <f aca="false">IF(INDEX(MASTER_DATABASE!$A$4:$A$1000,ROW()-3)="","",INDEX(MASTER_DATABASE!$F$4:$F$1000,ROW()-3)&amp;"")</f>
        <v/>
      </c>
      <c r="D296" s="7" t="str">
        <f aca="false">IF(INDEX(MASTER_DATABASE!$A$4:$A$1000,ROW()-3)="","",INDEX(MASTER_DATABASE!$AL$4:$AL$1000,ROW()-3)&amp;"")</f>
        <v/>
      </c>
      <c r="E296" s="7" t="str">
        <f aca="false">IF(INDEX(MASTER_DATABASE!$A$4:$A$1000,ROW()-3)="","",INDEX(MASTER_DATABASE!$G$4:$G$1000,ROW()-3)&amp;"")</f>
        <v/>
      </c>
      <c r="F296" s="11" t="str">
        <f aca="false">IF(INDEX(MASTER_DATABASE!$A$4:$A$1000,ROW()-3)="","",INDEX(MASTER_DATABASE!$AP$4:$AP$1000,ROW()-3)&amp;"")</f>
        <v/>
      </c>
      <c r="G29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29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29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296" s="7" t="str">
        <f aca="false">IF(INDEX(MASTER_DATABASE!$A$4:$A$1000,ROW()-3)="","",INDEX(MASTER_DATABASE!$J$4:$J$1000,ROW()-3)&amp;"")</f>
        <v/>
      </c>
      <c r="K296" s="7" t="str">
        <f aca="false">IF(INDEX(MASTER_DATABASE!$A$4:$A$1000,ROW()-3)="","",INDEX(MASTER_DATABASE!$M$4:$M$1000,ROW()-3)&amp;"")</f>
        <v/>
      </c>
      <c r="L296" s="7" t="str">
        <f aca="false">IF(INDEX(MASTER_DATABASE!$A$4:$A$1000,ROW()-3)="","",INDEX(MASTER_DATABASE!$Q$4:$Q$1000,ROW()-3)&amp;"")</f>
        <v/>
      </c>
      <c r="M296" s="11" t="str">
        <f aca="false">IF(INDEX(MASTER_DATABASE!$A$4:$A$1000,ROW()-3)="","",INDEX(MASTER_DATABASE!$AI$4:$AI$1000,ROW()-3)&amp;"")</f>
        <v/>
      </c>
      <c r="N296" s="11" t="str">
        <f aca="false">IF(INDEX(MASTER_DATABASE!$A$4:$A$1000,ROW()-3)="","",INDEX(MASTER_DATABASE!$AJ$4:$AJ$1000,ROW()-3)&amp;"")</f>
        <v/>
      </c>
      <c r="O296" s="11" t="str">
        <f aca="false">IF(INDEX(MASTER_DATABASE!$A$4:$A$1000,ROW()-3)="","",IF(INDEX(MASTER_DATABASE!$BE$4:$BE$1000,ROW()-3)="LIVE","Yes","No"))</f>
        <v/>
      </c>
      <c r="P296" s="7" t="str">
        <f aca="false">IF(INDEX(MASTER_DATABASE!$A$4:$A$1000,ROW()-3)="","",INDEX(MASTER_DATABASE!$BG$4:$BG$1000,ROW()-3)&amp;"")</f>
        <v/>
      </c>
      <c r="Q296" s="11" t="str">
        <f aca="false">IF(INDEX(MASTER_DATABASE!$A$4:$A$1000,ROW()-3)="","",INDEX(MASTER_DATABASE!$AQ$4:$AQ$1000,ROW()-3))</f>
        <v/>
      </c>
    </row>
    <row r="297" customFormat="false" ht="15" hidden="false" customHeight="false" outlineLevel="0" collapsed="false">
      <c r="A297" s="11" t="str">
        <f aca="false">IF(INDEX(MASTER_DATABASE!$A$4:$A$1000,ROW()-3)="","",INDEX(MASTER_DATABASE!$A$4:$A$1000,ROW()-3)&amp;"")</f>
        <v/>
      </c>
      <c r="B297" s="7" t="str">
        <f aca="false">IF(INDEX(MASTER_DATABASE!$A$4:$A$1000,ROW()-3)="","",INDEX(MASTER_DATABASE!$E$4:$E$1000,ROW()-3)&amp;"")</f>
        <v/>
      </c>
      <c r="C297" s="7" t="str">
        <f aca="false">IF(INDEX(MASTER_DATABASE!$A$4:$A$1000,ROW()-3)="","",INDEX(MASTER_DATABASE!$F$4:$F$1000,ROW()-3)&amp;"")</f>
        <v/>
      </c>
      <c r="D297" s="7" t="str">
        <f aca="false">IF(INDEX(MASTER_DATABASE!$A$4:$A$1000,ROW()-3)="","",INDEX(MASTER_DATABASE!$AL$4:$AL$1000,ROW()-3)&amp;"")</f>
        <v/>
      </c>
      <c r="E297" s="7" t="str">
        <f aca="false">IF(INDEX(MASTER_DATABASE!$A$4:$A$1000,ROW()-3)="","",INDEX(MASTER_DATABASE!$G$4:$G$1000,ROW()-3)&amp;"")</f>
        <v/>
      </c>
      <c r="F297" s="11" t="str">
        <f aca="false">IF(INDEX(MASTER_DATABASE!$A$4:$A$1000,ROW()-3)="","",INDEX(MASTER_DATABASE!$AP$4:$AP$1000,ROW()-3)&amp;"")</f>
        <v/>
      </c>
      <c r="G29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29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29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297" s="7" t="str">
        <f aca="false">IF(INDEX(MASTER_DATABASE!$A$4:$A$1000,ROW()-3)="","",INDEX(MASTER_DATABASE!$J$4:$J$1000,ROW()-3)&amp;"")</f>
        <v/>
      </c>
      <c r="K297" s="7" t="str">
        <f aca="false">IF(INDEX(MASTER_DATABASE!$A$4:$A$1000,ROW()-3)="","",INDEX(MASTER_DATABASE!$M$4:$M$1000,ROW()-3)&amp;"")</f>
        <v/>
      </c>
      <c r="L297" s="7" t="str">
        <f aca="false">IF(INDEX(MASTER_DATABASE!$A$4:$A$1000,ROW()-3)="","",INDEX(MASTER_DATABASE!$Q$4:$Q$1000,ROW()-3)&amp;"")</f>
        <v/>
      </c>
      <c r="M297" s="11" t="str">
        <f aca="false">IF(INDEX(MASTER_DATABASE!$A$4:$A$1000,ROW()-3)="","",INDEX(MASTER_DATABASE!$AI$4:$AI$1000,ROW()-3)&amp;"")</f>
        <v/>
      </c>
      <c r="N297" s="11" t="str">
        <f aca="false">IF(INDEX(MASTER_DATABASE!$A$4:$A$1000,ROW()-3)="","",INDEX(MASTER_DATABASE!$AJ$4:$AJ$1000,ROW()-3)&amp;"")</f>
        <v/>
      </c>
      <c r="O297" s="11" t="str">
        <f aca="false">IF(INDEX(MASTER_DATABASE!$A$4:$A$1000,ROW()-3)="","",IF(INDEX(MASTER_DATABASE!$BE$4:$BE$1000,ROW()-3)="LIVE","Yes","No"))</f>
        <v/>
      </c>
      <c r="P297" s="7" t="str">
        <f aca="false">IF(INDEX(MASTER_DATABASE!$A$4:$A$1000,ROW()-3)="","",INDEX(MASTER_DATABASE!$BG$4:$BG$1000,ROW()-3)&amp;"")</f>
        <v/>
      </c>
      <c r="Q297" s="11" t="str">
        <f aca="false">IF(INDEX(MASTER_DATABASE!$A$4:$A$1000,ROW()-3)="","",INDEX(MASTER_DATABASE!$AQ$4:$AQ$1000,ROW()-3))</f>
        <v/>
      </c>
    </row>
    <row r="298" customFormat="false" ht="15" hidden="false" customHeight="false" outlineLevel="0" collapsed="false">
      <c r="A298" s="11" t="str">
        <f aca="false">IF(INDEX(MASTER_DATABASE!$A$4:$A$1000,ROW()-3)="","",INDEX(MASTER_DATABASE!$A$4:$A$1000,ROW()-3)&amp;"")</f>
        <v/>
      </c>
      <c r="B298" s="7" t="str">
        <f aca="false">IF(INDEX(MASTER_DATABASE!$A$4:$A$1000,ROW()-3)="","",INDEX(MASTER_DATABASE!$E$4:$E$1000,ROW()-3)&amp;"")</f>
        <v/>
      </c>
      <c r="C298" s="7" t="str">
        <f aca="false">IF(INDEX(MASTER_DATABASE!$A$4:$A$1000,ROW()-3)="","",INDEX(MASTER_DATABASE!$F$4:$F$1000,ROW()-3)&amp;"")</f>
        <v/>
      </c>
      <c r="D298" s="7" t="str">
        <f aca="false">IF(INDEX(MASTER_DATABASE!$A$4:$A$1000,ROW()-3)="","",INDEX(MASTER_DATABASE!$AL$4:$AL$1000,ROW()-3)&amp;"")</f>
        <v/>
      </c>
      <c r="E298" s="7" t="str">
        <f aca="false">IF(INDEX(MASTER_DATABASE!$A$4:$A$1000,ROW()-3)="","",INDEX(MASTER_DATABASE!$G$4:$G$1000,ROW()-3)&amp;"")</f>
        <v/>
      </c>
      <c r="F298" s="11" t="str">
        <f aca="false">IF(INDEX(MASTER_DATABASE!$A$4:$A$1000,ROW()-3)="","",INDEX(MASTER_DATABASE!$AP$4:$AP$1000,ROW()-3)&amp;"")</f>
        <v/>
      </c>
      <c r="G29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29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29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298" s="7" t="str">
        <f aca="false">IF(INDEX(MASTER_DATABASE!$A$4:$A$1000,ROW()-3)="","",INDEX(MASTER_DATABASE!$J$4:$J$1000,ROW()-3)&amp;"")</f>
        <v/>
      </c>
      <c r="K298" s="7" t="str">
        <f aca="false">IF(INDEX(MASTER_DATABASE!$A$4:$A$1000,ROW()-3)="","",INDEX(MASTER_DATABASE!$M$4:$M$1000,ROW()-3)&amp;"")</f>
        <v/>
      </c>
      <c r="L298" s="7" t="str">
        <f aca="false">IF(INDEX(MASTER_DATABASE!$A$4:$A$1000,ROW()-3)="","",INDEX(MASTER_DATABASE!$Q$4:$Q$1000,ROW()-3)&amp;"")</f>
        <v/>
      </c>
      <c r="M298" s="11" t="str">
        <f aca="false">IF(INDEX(MASTER_DATABASE!$A$4:$A$1000,ROW()-3)="","",INDEX(MASTER_DATABASE!$AI$4:$AI$1000,ROW()-3)&amp;"")</f>
        <v/>
      </c>
      <c r="N298" s="11" t="str">
        <f aca="false">IF(INDEX(MASTER_DATABASE!$A$4:$A$1000,ROW()-3)="","",INDEX(MASTER_DATABASE!$AJ$4:$AJ$1000,ROW()-3)&amp;"")</f>
        <v/>
      </c>
      <c r="O298" s="11" t="str">
        <f aca="false">IF(INDEX(MASTER_DATABASE!$A$4:$A$1000,ROW()-3)="","",IF(INDEX(MASTER_DATABASE!$BE$4:$BE$1000,ROW()-3)="LIVE","Yes","No"))</f>
        <v/>
      </c>
      <c r="P298" s="7" t="str">
        <f aca="false">IF(INDEX(MASTER_DATABASE!$A$4:$A$1000,ROW()-3)="","",INDEX(MASTER_DATABASE!$BG$4:$BG$1000,ROW()-3)&amp;"")</f>
        <v/>
      </c>
      <c r="Q298" s="11" t="str">
        <f aca="false">IF(INDEX(MASTER_DATABASE!$A$4:$A$1000,ROW()-3)="","",INDEX(MASTER_DATABASE!$AQ$4:$AQ$1000,ROW()-3))</f>
        <v/>
      </c>
    </row>
    <row r="299" customFormat="false" ht="15" hidden="false" customHeight="false" outlineLevel="0" collapsed="false">
      <c r="A299" s="11" t="str">
        <f aca="false">IF(INDEX(MASTER_DATABASE!$A$4:$A$1000,ROW()-3)="","",INDEX(MASTER_DATABASE!$A$4:$A$1000,ROW()-3)&amp;"")</f>
        <v/>
      </c>
      <c r="B299" s="7" t="str">
        <f aca="false">IF(INDEX(MASTER_DATABASE!$A$4:$A$1000,ROW()-3)="","",INDEX(MASTER_DATABASE!$E$4:$E$1000,ROW()-3)&amp;"")</f>
        <v/>
      </c>
      <c r="C299" s="7" t="str">
        <f aca="false">IF(INDEX(MASTER_DATABASE!$A$4:$A$1000,ROW()-3)="","",INDEX(MASTER_DATABASE!$F$4:$F$1000,ROW()-3)&amp;"")</f>
        <v/>
      </c>
      <c r="D299" s="7" t="str">
        <f aca="false">IF(INDEX(MASTER_DATABASE!$A$4:$A$1000,ROW()-3)="","",INDEX(MASTER_DATABASE!$AL$4:$AL$1000,ROW()-3)&amp;"")</f>
        <v/>
      </c>
      <c r="E299" s="7" t="str">
        <f aca="false">IF(INDEX(MASTER_DATABASE!$A$4:$A$1000,ROW()-3)="","",INDEX(MASTER_DATABASE!$G$4:$G$1000,ROW()-3)&amp;"")</f>
        <v/>
      </c>
      <c r="F299" s="11" t="str">
        <f aca="false">IF(INDEX(MASTER_DATABASE!$A$4:$A$1000,ROW()-3)="","",INDEX(MASTER_DATABASE!$AP$4:$AP$1000,ROW()-3)&amp;"")</f>
        <v/>
      </c>
      <c r="G29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29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29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299" s="7" t="str">
        <f aca="false">IF(INDEX(MASTER_DATABASE!$A$4:$A$1000,ROW()-3)="","",INDEX(MASTER_DATABASE!$J$4:$J$1000,ROW()-3)&amp;"")</f>
        <v/>
      </c>
      <c r="K299" s="7" t="str">
        <f aca="false">IF(INDEX(MASTER_DATABASE!$A$4:$A$1000,ROW()-3)="","",INDEX(MASTER_DATABASE!$M$4:$M$1000,ROW()-3)&amp;"")</f>
        <v/>
      </c>
      <c r="L299" s="7" t="str">
        <f aca="false">IF(INDEX(MASTER_DATABASE!$A$4:$A$1000,ROW()-3)="","",INDEX(MASTER_DATABASE!$Q$4:$Q$1000,ROW()-3)&amp;"")</f>
        <v/>
      </c>
      <c r="M299" s="11" t="str">
        <f aca="false">IF(INDEX(MASTER_DATABASE!$A$4:$A$1000,ROW()-3)="","",INDEX(MASTER_DATABASE!$AI$4:$AI$1000,ROW()-3)&amp;"")</f>
        <v/>
      </c>
      <c r="N299" s="11" t="str">
        <f aca="false">IF(INDEX(MASTER_DATABASE!$A$4:$A$1000,ROW()-3)="","",INDEX(MASTER_DATABASE!$AJ$4:$AJ$1000,ROW()-3)&amp;"")</f>
        <v/>
      </c>
      <c r="O299" s="11" t="str">
        <f aca="false">IF(INDEX(MASTER_DATABASE!$A$4:$A$1000,ROW()-3)="","",IF(INDEX(MASTER_DATABASE!$BE$4:$BE$1000,ROW()-3)="LIVE","Yes","No"))</f>
        <v/>
      </c>
      <c r="P299" s="7" t="str">
        <f aca="false">IF(INDEX(MASTER_DATABASE!$A$4:$A$1000,ROW()-3)="","",INDEX(MASTER_DATABASE!$BG$4:$BG$1000,ROW()-3)&amp;"")</f>
        <v/>
      </c>
      <c r="Q299" s="11" t="str">
        <f aca="false">IF(INDEX(MASTER_DATABASE!$A$4:$A$1000,ROW()-3)="","",INDEX(MASTER_DATABASE!$AQ$4:$AQ$1000,ROW()-3))</f>
        <v/>
      </c>
    </row>
    <row r="300" customFormat="false" ht="15" hidden="false" customHeight="false" outlineLevel="0" collapsed="false">
      <c r="A300" s="11" t="str">
        <f aca="false">IF(INDEX(MASTER_DATABASE!$A$4:$A$1000,ROW()-3)="","",INDEX(MASTER_DATABASE!$A$4:$A$1000,ROW()-3)&amp;"")</f>
        <v/>
      </c>
      <c r="B300" s="7" t="str">
        <f aca="false">IF(INDEX(MASTER_DATABASE!$A$4:$A$1000,ROW()-3)="","",INDEX(MASTER_DATABASE!$E$4:$E$1000,ROW()-3)&amp;"")</f>
        <v/>
      </c>
      <c r="C300" s="7" t="str">
        <f aca="false">IF(INDEX(MASTER_DATABASE!$A$4:$A$1000,ROW()-3)="","",INDEX(MASTER_DATABASE!$F$4:$F$1000,ROW()-3)&amp;"")</f>
        <v/>
      </c>
      <c r="D300" s="7" t="str">
        <f aca="false">IF(INDEX(MASTER_DATABASE!$A$4:$A$1000,ROW()-3)="","",INDEX(MASTER_DATABASE!$AL$4:$AL$1000,ROW()-3)&amp;"")</f>
        <v/>
      </c>
      <c r="E300" s="7" t="str">
        <f aca="false">IF(INDEX(MASTER_DATABASE!$A$4:$A$1000,ROW()-3)="","",INDEX(MASTER_DATABASE!$G$4:$G$1000,ROW()-3)&amp;"")</f>
        <v/>
      </c>
      <c r="F300" s="11" t="str">
        <f aca="false">IF(INDEX(MASTER_DATABASE!$A$4:$A$1000,ROW()-3)="","",INDEX(MASTER_DATABASE!$AP$4:$AP$1000,ROW()-3)&amp;"")</f>
        <v/>
      </c>
      <c r="G30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0" s="7" t="str">
        <f aca="false">IF(INDEX(MASTER_DATABASE!$A$4:$A$1000,ROW()-3)="","",INDEX(MASTER_DATABASE!$J$4:$J$1000,ROW()-3)&amp;"")</f>
        <v/>
      </c>
      <c r="K300" s="7" t="str">
        <f aca="false">IF(INDEX(MASTER_DATABASE!$A$4:$A$1000,ROW()-3)="","",INDEX(MASTER_DATABASE!$M$4:$M$1000,ROW()-3)&amp;"")</f>
        <v/>
      </c>
      <c r="L300" s="7" t="str">
        <f aca="false">IF(INDEX(MASTER_DATABASE!$A$4:$A$1000,ROW()-3)="","",INDEX(MASTER_DATABASE!$Q$4:$Q$1000,ROW()-3)&amp;"")</f>
        <v/>
      </c>
      <c r="M300" s="11" t="str">
        <f aca="false">IF(INDEX(MASTER_DATABASE!$A$4:$A$1000,ROW()-3)="","",INDEX(MASTER_DATABASE!$AI$4:$AI$1000,ROW()-3)&amp;"")</f>
        <v/>
      </c>
      <c r="N300" s="11" t="str">
        <f aca="false">IF(INDEX(MASTER_DATABASE!$A$4:$A$1000,ROW()-3)="","",INDEX(MASTER_DATABASE!$AJ$4:$AJ$1000,ROW()-3)&amp;"")</f>
        <v/>
      </c>
      <c r="O300" s="11" t="str">
        <f aca="false">IF(INDEX(MASTER_DATABASE!$A$4:$A$1000,ROW()-3)="","",IF(INDEX(MASTER_DATABASE!$BE$4:$BE$1000,ROW()-3)="LIVE","Yes","No"))</f>
        <v/>
      </c>
      <c r="P300" s="7" t="str">
        <f aca="false">IF(INDEX(MASTER_DATABASE!$A$4:$A$1000,ROW()-3)="","",INDEX(MASTER_DATABASE!$BG$4:$BG$1000,ROW()-3)&amp;"")</f>
        <v/>
      </c>
      <c r="Q300" s="11" t="str">
        <f aca="false">IF(INDEX(MASTER_DATABASE!$A$4:$A$1000,ROW()-3)="","",INDEX(MASTER_DATABASE!$AQ$4:$AQ$1000,ROW()-3))</f>
        <v/>
      </c>
    </row>
    <row r="301" customFormat="false" ht="15" hidden="false" customHeight="false" outlineLevel="0" collapsed="false">
      <c r="A301" s="11" t="str">
        <f aca="false">IF(INDEX(MASTER_DATABASE!$A$4:$A$1000,ROW()-3)="","",INDEX(MASTER_DATABASE!$A$4:$A$1000,ROW()-3)&amp;"")</f>
        <v/>
      </c>
      <c r="B301" s="7" t="str">
        <f aca="false">IF(INDEX(MASTER_DATABASE!$A$4:$A$1000,ROW()-3)="","",INDEX(MASTER_DATABASE!$E$4:$E$1000,ROW()-3)&amp;"")</f>
        <v/>
      </c>
      <c r="C301" s="7" t="str">
        <f aca="false">IF(INDEX(MASTER_DATABASE!$A$4:$A$1000,ROW()-3)="","",INDEX(MASTER_DATABASE!$F$4:$F$1000,ROW()-3)&amp;"")</f>
        <v/>
      </c>
      <c r="D301" s="7" t="str">
        <f aca="false">IF(INDEX(MASTER_DATABASE!$A$4:$A$1000,ROW()-3)="","",INDEX(MASTER_DATABASE!$AL$4:$AL$1000,ROW()-3)&amp;"")</f>
        <v/>
      </c>
      <c r="E301" s="7" t="str">
        <f aca="false">IF(INDEX(MASTER_DATABASE!$A$4:$A$1000,ROW()-3)="","",INDEX(MASTER_DATABASE!$G$4:$G$1000,ROW()-3)&amp;"")</f>
        <v/>
      </c>
      <c r="F301" s="11" t="str">
        <f aca="false">IF(INDEX(MASTER_DATABASE!$A$4:$A$1000,ROW()-3)="","",INDEX(MASTER_DATABASE!$AP$4:$AP$1000,ROW()-3)&amp;"")</f>
        <v/>
      </c>
      <c r="G30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1" s="7" t="str">
        <f aca="false">IF(INDEX(MASTER_DATABASE!$A$4:$A$1000,ROW()-3)="","",INDEX(MASTER_DATABASE!$J$4:$J$1000,ROW()-3)&amp;"")</f>
        <v/>
      </c>
      <c r="K301" s="7" t="str">
        <f aca="false">IF(INDEX(MASTER_DATABASE!$A$4:$A$1000,ROW()-3)="","",INDEX(MASTER_DATABASE!$M$4:$M$1000,ROW()-3)&amp;"")</f>
        <v/>
      </c>
      <c r="L301" s="7" t="str">
        <f aca="false">IF(INDEX(MASTER_DATABASE!$A$4:$A$1000,ROW()-3)="","",INDEX(MASTER_DATABASE!$Q$4:$Q$1000,ROW()-3)&amp;"")</f>
        <v/>
      </c>
      <c r="M301" s="11" t="str">
        <f aca="false">IF(INDEX(MASTER_DATABASE!$A$4:$A$1000,ROW()-3)="","",INDEX(MASTER_DATABASE!$AI$4:$AI$1000,ROW()-3)&amp;"")</f>
        <v/>
      </c>
      <c r="N301" s="11" t="str">
        <f aca="false">IF(INDEX(MASTER_DATABASE!$A$4:$A$1000,ROW()-3)="","",INDEX(MASTER_DATABASE!$AJ$4:$AJ$1000,ROW()-3)&amp;"")</f>
        <v/>
      </c>
      <c r="O301" s="11" t="str">
        <f aca="false">IF(INDEX(MASTER_DATABASE!$A$4:$A$1000,ROW()-3)="","",IF(INDEX(MASTER_DATABASE!$BE$4:$BE$1000,ROW()-3)="LIVE","Yes","No"))</f>
        <v/>
      </c>
      <c r="P301" s="7" t="str">
        <f aca="false">IF(INDEX(MASTER_DATABASE!$A$4:$A$1000,ROW()-3)="","",INDEX(MASTER_DATABASE!$BG$4:$BG$1000,ROW()-3)&amp;"")</f>
        <v/>
      </c>
      <c r="Q301" s="11" t="str">
        <f aca="false">IF(INDEX(MASTER_DATABASE!$A$4:$A$1000,ROW()-3)="","",INDEX(MASTER_DATABASE!$AQ$4:$AQ$1000,ROW()-3))</f>
        <v/>
      </c>
    </row>
    <row r="302" customFormat="false" ht="15" hidden="false" customHeight="false" outlineLevel="0" collapsed="false">
      <c r="A302" s="11" t="str">
        <f aca="false">IF(INDEX(MASTER_DATABASE!$A$4:$A$1000,ROW()-3)="","",INDEX(MASTER_DATABASE!$A$4:$A$1000,ROW()-3)&amp;"")</f>
        <v/>
      </c>
      <c r="B302" s="7" t="str">
        <f aca="false">IF(INDEX(MASTER_DATABASE!$A$4:$A$1000,ROW()-3)="","",INDEX(MASTER_DATABASE!$E$4:$E$1000,ROW()-3)&amp;"")</f>
        <v/>
      </c>
      <c r="C302" s="7" t="str">
        <f aca="false">IF(INDEX(MASTER_DATABASE!$A$4:$A$1000,ROW()-3)="","",INDEX(MASTER_DATABASE!$F$4:$F$1000,ROW()-3)&amp;"")</f>
        <v/>
      </c>
      <c r="D302" s="7" t="str">
        <f aca="false">IF(INDEX(MASTER_DATABASE!$A$4:$A$1000,ROW()-3)="","",INDEX(MASTER_DATABASE!$AL$4:$AL$1000,ROW()-3)&amp;"")</f>
        <v/>
      </c>
      <c r="E302" s="7" t="str">
        <f aca="false">IF(INDEX(MASTER_DATABASE!$A$4:$A$1000,ROW()-3)="","",INDEX(MASTER_DATABASE!$G$4:$G$1000,ROW()-3)&amp;"")</f>
        <v/>
      </c>
      <c r="F302" s="11" t="str">
        <f aca="false">IF(INDEX(MASTER_DATABASE!$A$4:$A$1000,ROW()-3)="","",INDEX(MASTER_DATABASE!$AP$4:$AP$1000,ROW()-3)&amp;"")</f>
        <v/>
      </c>
      <c r="G30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2" s="7" t="str">
        <f aca="false">IF(INDEX(MASTER_DATABASE!$A$4:$A$1000,ROW()-3)="","",INDEX(MASTER_DATABASE!$J$4:$J$1000,ROW()-3)&amp;"")</f>
        <v/>
      </c>
      <c r="K302" s="7" t="str">
        <f aca="false">IF(INDEX(MASTER_DATABASE!$A$4:$A$1000,ROW()-3)="","",INDEX(MASTER_DATABASE!$M$4:$M$1000,ROW()-3)&amp;"")</f>
        <v/>
      </c>
      <c r="L302" s="7" t="str">
        <f aca="false">IF(INDEX(MASTER_DATABASE!$A$4:$A$1000,ROW()-3)="","",INDEX(MASTER_DATABASE!$Q$4:$Q$1000,ROW()-3)&amp;"")</f>
        <v/>
      </c>
      <c r="M302" s="11" t="str">
        <f aca="false">IF(INDEX(MASTER_DATABASE!$A$4:$A$1000,ROW()-3)="","",INDEX(MASTER_DATABASE!$AI$4:$AI$1000,ROW()-3)&amp;"")</f>
        <v/>
      </c>
      <c r="N302" s="11" t="str">
        <f aca="false">IF(INDEX(MASTER_DATABASE!$A$4:$A$1000,ROW()-3)="","",INDEX(MASTER_DATABASE!$AJ$4:$AJ$1000,ROW()-3)&amp;"")</f>
        <v/>
      </c>
      <c r="O302" s="11" t="str">
        <f aca="false">IF(INDEX(MASTER_DATABASE!$A$4:$A$1000,ROW()-3)="","",IF(INDEX(MASTER_DATABASE!$BE$4:$BE$1000,ROW()-3)="LIVE","Yes","No"))</f>
        <v/>
      </c>
      <c r="P302" s="7" t="str">
        <f aca="false">IF(INDEX(MASTER_DATABASE!$A$4:$A$1000,ROW()-3)="","",INDEX(MASTER_DATABASE!$BG$4:$BG$1000,ROW()-3)&amp;"")</f>
        <v/>
      </c>
      <c r="Q302" s="11" t="str">
        <f aca="false">IF(INDEX(MASTER_DATABASE!$A$4:$A$1000,ROW()-3)="","",INDEX(MASTER_DATABASE!$AQ$4:$AQ$1000,ROW()-3))</f>
        <v/>
      </c>
    </row>
    <row r="303" customFormat="false" ht="15" hidden="false" customHeight="false" outlineLevel="0" collapsed="false">
      <c r="A303" s="11" t="str">
        <f aca="false">IF(INDEX(MASTER_DATABASE!$A$4:$A$1000,ROW()-3)="","",INDEX(MASTER_DATABASE!$A$4:$A$1000,ROW()-3)&amp;"")</f>
        <v/>
      </c>
      <c r="B303" s="7" t="str">
        <f aca="false">IF(INDEX(MASTER_DATABASE!$A$4:$A$1000,ROW()-3)="","",INDEX(MASTER_DATABASE!$E$4:$E$1000,ROW()-3)&amp;"")</f>
        <v/>
      </c>
      <c r="C303" s="7" t="str">
        <f aca="false">IF(INDEX(MASTER_DATABASE!$A$4:$A$1000,ROW()-3)="","",INDEX(MASTER_DATABASE!$F$4:$F$1000,ROW()-3)&amp;"")</f>
        <v/>
      </c>
      <c r="D303" s="7" t="str">
        <f aca="false">IF(INDEX(MASTER_DATABASE!$A$4:$A$1000,ROW()-3)="","",INDEX(MASTER_DATABASE!$AL$4:$AL$1000,ROW()-3)&amp;"")</f>
        <v/>
      </c>
      <c r="E303" s="7" t="str">
        <f aca="false">IF(INDEX(MASTER_DATABASE!$A$4:$A$1000,ROW()-3)="","",INDEX(MASTER_DATABASE!$G$4:$G$1000,ROW()-3)&amp;"")</f>
        <v/>
      </c>
      <c r="F303" s="11" t="str">
        <f aca="false">IF(INDEX(MASTER_DATABASE!$A$4:$A$1000,ROW()-3)="","",INDEX(MASTER_DATABASE!$AP$4:$AP$1000,ROW()-3)&amp;"")</f>
        <v/>
      </c>
      <c r="G30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3" s="7" t="str">
        <f aca="false">IF(INDEX(MASTER_DATABASE!$A$4:$A$1000,ROW()-3)="","",INDEX(MASTER_DATABASE!$J$4:$J$1000,ROW()-3)&amp;"")</f>
        <v/>
      </c>
      <c r="K303" s="7" t="str">
        <f aca="false">IF(INDEX(MASTER_DATABASE!$A$4:$A$1000,ROW()-3)="","",INDEX(MASTER_DATABASE!$M$4:$M$1000,ROW()-3)&amp;"")</f>
        <v/>
      </c>
      <c r="L303" s="7" t="str">
        <f aca="false">IF(INDEX(MASTER_DATABASE!$A$4:$A$1000,ROW()-3)="","",INDEX(MASTER_DATABASE!$Q$4:$Q$1000,ROW()-3)&amp;"")</f>
        <v/>
      </c>
      <c r="M303" s="11" t="str">
        <f aca="false">IF(INDEX(MASTER_DATABASE!$A$4:$A$1000,ROW()-3)="","",INDEX(MASTER_DATABASE!$AI$4:$AI$1000,ROW()-3)&amp;"")</f>
        <v/>
      </c>
      <c r="N303" s="11" t="str">
        <f aca="false">IF(INDEX(MASTER_DATABASE!$A$4:$A$1000,ROW()-3)="","",INDEX(MASTER_DATABASE!$AJ$4:$AJ$1000,ROW()-3)&amp;"")</f>
        <v/>
      </c>
      <c r="O303" s="11" t="str">
        <f aca="false">IF(INDEX(MASTER_DATABASE!$A$4:$A$1000,ROW()-3)="","",IF(INDEX(MASTER_DATABASE!$BE$4:$BE$1000,ROW()-3)="LIVE","Yes","No"))</f>
        <v/>
      </c>
      <c r="P303" s="7" t="str">
        <f aca="false">IF(INDEX(MASTER_DATABASE!$A$4:$A$1000,ROW()-3)="","",INDEX(MASTER_DATABASE!$BG$4:$BG$1000,ROW()-3)&amp;"")</f>
        <v/>
      </c>
      <c r="Q303" s="11" t="str">
        <f aca="false">IF(INDEX(MASTER_DATABASE!$A$4:$A$1000,ROW()-3)="","",INDEX(MASTER_DATABASE!$AQ$4:$AQ$1000,ROW()-3))</f>
        <v/>
      </c>
    </row>
    <row r="304" customFormat="false" ht="15" hidden="false" customHeight="false" outlineLevel="0" collapsed="false">
      <c r="A304" s="11" t="str">
        <f aca="false">IF(INDEX(MASTER_DATABASE!$A$4:$A$1000,ROW()-3)="","",INDEX(MASTER_DATABASE!$A$4:$A$1000,ROW()-3)&amp;"")</f>
        <v/>
      </c>
      <c r="B304" s="7" t="str">
        <f aca="false">IF(INDEX(MASTER_DATABASE!$A$4:$A$1000,ROW()-3)="","",INDEX(MASTER_DATABASE!$E$4:$E$1000,ROW()-3)&amp;"")</f>
        <v/>
      </c>
      <c r="C304" s="7" t="str">
        <f aca="false">IF(INDEX(MASTER_DATABASE!$A$4:$A$1000,ROW()-3)="","",INDEX(MASTER_DATABASE!$F$4:$F$1000,ROW()-3)&amp;"")</f>
        <v/>
      </c>
      <c r="D304" s="7" t="str">
        <f aca="false">IF(INDEX(MASTER_DATABASE!$A$4:$A$1000,ROW()-3)="","",INDEX(MASTER_DATABASE!$AL$4:$AL$1000,ROW()-3)&amp;"")</f>
        <v/>
      </c>
      <c r="E304" s="7" t="str">
        <f aca="false">IF(INDEX(MASTER_DATABASE!$A$4:$A$1000,ROW()-3)="","",INDEX(MASTER_DATABASE!$G$4:$G$1000,ROW()-3)&amp;"")</f>
        <v/>
      </c>
      <c r="F304" s="11" t="str">
        <f aca="false">IF(INDEX(MASTER_DATABASE!$A$4:$A$1000,ROW()-3)="","",INDEX(MASTER_DATABASE!$AP$4:$AP$1000,ROW()-3)&amp;"")</f>
        <v/>
      </c>
      <c r="G30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4" s="7" t="str">
        <f aca="false">IF(INDEX(MASTER_DATABASE!$A$4:$A$1000,ROW()-3)="","",INDEX(MASTER_DATABASE!$J$4:$J$1000,ROW()-3)&amp;"")</f>
        <v/>
      </c>
      <c r="K304" s="7" t="str">
        <f aca="false">IF(INDEX(MASTER_DATABASE!$A$4:$A$1000,ROW()-3)="","",INDEX(MASTER_DATABASE!$M$4:$M$1000,ROW()-3)&amp;"")</f>
        <v/>
      </c>
      <c r="L304" s="7" t="str">
        <f aca="false">IF(INDEX(MASTER_DATABASE!$A$4:$A$1000,ROW()-3)="","",INDEX(MASTER_DATABASE!$Q$4:$Q$1000,ROW()-3)&amp;"")</f>
        <v/>
      </c>
      <c r="M304" s="11" t="str">
        <f aca="false">IF(INDEX(MASTER_DATABASE!$A$4:$A$1000,ROW()-3)="","",INDEX(MASTER_DATABASE!$AI$4:$AI$1000,ROW()-3)&amp;"")</f>
        <v/>
      </c>
      <c r="N304" s="11" t="str">
        <f aca="false">IF(INDEX(MASTER_DATABASE!$A$4:$A$1000,ROW()-3)="","",INDEX(MASTER_DATABASE!$AJ$4:$AJ$1000,ROW()-3)&amp;"")</f>
        <v/>
      </c>
      <c r="O304" s="11" t="str">
        <f aca="false">IF(INDEX(MASTER_DATABASE!$A$4:$A$1000,ROW()-3)="","",IF(INDEX(MASTER_DATABASE!$BE$4:$BE$1000,ROW()-3)="LIVE","Yes","No"))</f>
        <v/>
      </c>
      <c r="P304" s="7" t="str">
        <f aca="false">IF(INDEX(MASTER_DATABASE!$A$4:$A$1000,ROW()-3)="","",INDEX(MASTER_DATABASE!$BG$4:$BG$1000,ROW()-3)&amp;"")</f>
        <v/>
      </c>
      <c r="Q304" s="11" t="str">
        <f aca="false">IF(INDEX(MASTER_DATABASE!$A$4:$A$1000,ROW()-3)="","",INDEX(MASTER_DATABASE!$AQ$4:$AQ$1000,ROW()-3))</f>
        <v/>
      </c>
    </row>
    <row r="305" customFormat="false" ht="15" hidden="false" customHeight="false" outlineLevel="0" collapsed="false">
      <c r="A305" s="11" t="str">
        <f aca="false">IF(INDEX(MASTER_DATABASE!$A$4:$A$1000,ROW()-3)="","",INDEX(MASTER_DATABASE!$A$4:$A$1000,ROW()-3)&amp;"")</f>
        <v/>
      </c>
      <c r="B305" s="7" t="str">
        <f aca="false">IF(INDEX(MASTER_DATABASE!$A$4:$A$1000,ROW()-3)="","",INDEX(MASTER_DATABASE!$E$4:$E$1000,ROW()-3)&amp;"")</f>
        <v/>
      </c>
      <c r="C305" s="7" t="str">
        <f aca="false">IF(INDEX(MASTER_DATABASE!$A$4:$A$1000,ROW()-3)="","",INDEX(MASTER_DATABASE!$F$4:$F$1000,ROW()-3)&amp;"")</f>
        <v/>
      </c>
      <c r="D305" s="7" t="str">
        <f aca="false">IF(INDEX(MASTER_DATABASE!$A$4:$A$1000,ROW()-3)="","",INDEX(MASTER_DATABASE!$AL$4:$AL$1000,ROW()-3)&amp;"")</f>
        <v/>
      </c>
      <c r="E305" s="7" t="str">
        <f aca="false">IF(INDEX(MASTER_DATABASE!$A$4:$A$1000,ROW()-3)="","",INDEX(MASTER_DATABASE!$G$4:$G$1000,ROW()-3)&amp;"")</f>
        <v/>
      </c>
      <c r="F305" s="11" t="str">
        <f aca="false">IF(INDEX(MASTER_DATABASE!$A$4:$A$1000,ROW()-3)="","",INDEX(MASTER_DATABASE!$AP$4:$AP$1000,ROW()-3)&amp;"")</f>
        <v/>
      </c>
      <c r="G30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5" s="7" t="str">
        <f aca="false">IF(INDEX(MASTER_DATABASE!$A$4:$A$1000,ROW()-3)="","",INDEX(MASTER_DATABASE!$J$4:$J$1000,ROW()-3)&amp;"")</f>
        <v/>
      </c>
      <c r="K305" s="7" t="str">
        <f aca="false">IF(INDEX(MASTER_DATABASE!$A$4:$A$1000,ROW()-3)="","",INDEX(MASTER_DATABASE!$M$4:$M$1000,ROW()-3)&amp;"")</f>
        <v/>
      </c>
      <c r="L305" s="7" t="str">
        <f aca="false">IF(INDEX(MASTER_DATABASE!$A$4:$A$1000,ROW()-3)="","",INDEX(MASTER_DATABASE!$Q$4:$Q$1000,ROW()-3)&amp;"")</f>
        <v/>
      </c>
      <c r="M305" s="11" t="str">
        <f aca="false">IF(INDEX(MASTER_DATABASE!$A$4:$A$1000,ROW()-3)="","",INDEX(MASTER_DATABASE!$AI$4:$AI$1000,ROW()-3)&amp;"")</f>
        <v/>
      </c>
      <c r="N305" s="11" t="str">
        <f aca="false">IF(INDEX(MASTER_DATABASE!$A$4:$A$1000,ROW()-3)="","",INDEX(MASTER_DATABASE!$AJ$4:$AJ$1000,ROW()-3)&amp;"")</f>
        <v/>
      </c>
      <c r="O305" s="11" t="str">
        <f aca="false">IF(INDEX(MASTER_DATABASE!$A$4:$A$1000,ROW()-3)="","",IF(INDEX(MASTER_DATABASE!$BE$4:$BE$1000,ROW()-3)="LIVE","Yes","No"))</f>
        <v/>
      </c>
      <c r="P305" s="7" t="str">
        <f aca="false">IF(INDEX(MASTER_DATABASE!$A$4:$A$1000,ROW()-3)="","",INDEX(MASTER_DATABASE!$BG$4:$BG$1000,ROW()-3)&amp;"")</f>
        <v/>
      </c>
      <c r="Q305" s="11" t="str">
        <f aca="false">IF(INDEX(MASTER_DATABASE!$A$4:$A$1000,ROW()-3)="","",INDEX(MASTER_DATABASE!$AQ$4:$AQ$1000,ROW()-3))</f>
        <v/>
      </c>
    </row>
    <row r="306" customFormat="false" ht="15" hidden="false" customHeight="false" outlineLevel="0" collapsed="false">
      <c r="A306" s="11" t="str">
        <f aca="false">IF(INDEX(MASTER_DATABASE!$A$4:$A$1000,ROW()-3)="","",INDEX(MASTER_DATABASE!$A$4:$A$1000,ROW()-3)&amp;"")</f>
        <v/>
      </c>
      <c r="B306" s="7" t="str">
        <f aca="false">IF(INDEX(MASTER_DATABASE!$A$4:$A$1000,ROW()-3)="","",INDEX(MASTER_DATABASE!$E$4:$E$1000,ROW()-3)&amp;"")</f>
        <v/>
      </c>
      <c r="C306" s="7" t="str">
        <f aca="false">IF(INDEX(MASTER_DATABASE!$A$4:$A$1000,ROW()-3)="","",INDEX(MASTER_DATABASE!$F$4:$F$1000,ROW()-3)&amp;"")</f>
        <v/>
      </c>
      <c r="D306" s="7" t="str">
        <f aca="false">IF(INDEX(MASTER_DATABASE!$A$4:$A$1000,ROW()-3)="","",INDEX(MASTER_DATABASE!$AL$4:$AL$1000,ROW()-3)&amp;"")</f>
        <v/>
      </c>
      <c r="E306" s="7" t="str">
        <f aca="false">IF(INDEX(MASTER_DATABASE!$A$4:$A$1000,ROW()-3)="","",INDEX(MASTER_DATABASE!$G$4:$G$1000,ROW()-3)&amp;"")</f>
        <v/>
      </c>
      <c r="F306" s="11" t="str">
        <f aca="false">IF(INDEX(MASTER_DATABASE!$A$4:$A$1000,ROW()-3)="","",INDEX(MASTER_DATABASE!$AP$4:$AP$1000,ROW()-3)&amp;"")</f>
        <v/>
      </c>
      <c r="G30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6" s="7" t="str">
        <f aca="false">IF(INDEX(MASTER_DATABASE!$A$4:$A$1000,ROW()-3)="","",INDEX(MASTER_DATABASE!$J$4:$J$1000,ROW()-3)&amp;"")</f>
        <v/>
      </c>
      <c r="K306" s="7" t="str">
        <f aca="false">IF(INDEX(MASTER_DATABASE!$A$4:$A$1000,ROW()-3)="","",INDEX(MASTER_DATABASE!$M$4:$M$1000,ROW()-3)&amp;"")</f>
        <v/>
      </c>
      <c r="L306" s="7" t="str">
        <f aca="false">IF(INDEX(MASTER_DATABASE!$A$4:$A$1000,ROW()-3)="","",INDEX(MASTER_DATABASE!$Q$4:$Q$1000,ROW()-3)&amp;"")</f>
        <v/>
      </c>
      <c r="M306" s="11" t="str">
        <f aca="false">IF(INDEX(MASTER_DATABASE!$A$4:$A$1000,ROW()-3)="","",INDEX(MASTER_DATABASE!$AI$4:$AI$1000,ROW()-3)&amp;"")</f>
        <v/>
      </c>
      <c r="N306" s="11" t="str">
        <f aca="false">IF(INDEX(MASTER_DATABASE!$A$4:$A$1000,ROW()-3)="","",INDEX(MASTER_DATABASE!$AJ$4:$AJ$1000,ROW()-3)&amp;"")</f>
        <v/>
      </c>
      <c r="O306" s="11" t="str">
        <f aca="false">IF(INDEX(MASTER_DATABASE!$A$4:$A$1000,ROW()-3)="","",IF(INDEX(MASTER_DATABASE!$BE$4:$BE$1000,ROW()-3)="LIVE","Yes","No"))</f>
        <v/>
      </c>
      <c r="P306" s="7" t="str">
        <f aca="false">IF(INDEX(MASTER_DATABASE!$A$4:$A$1000,ROW()-3)="","",INDEX(MASTER_DATABASE!$BG$4:$BG$1000,ROW()-3)&amp;"")</f>
        <v/>
      </c>
      <c r="Q306" s="11" t="str">
        <f aca="false">IF(INDEX(MASTER_DATABASE!$A$4:$A$1000,ROW()-3)="","",INDEX(MASTER_DATABASE!$AQ$4:$AQ$1000,ROW()-3))</f>
        <v/>
      </c>
    </row>
    <row r="307" customFormat="false" ht="15" hidden="false" customHeight="false" outlineLevel="0" collapsed="false">
      <c r="A307" s="11" t="str">
        <f aca="false">IF(INDEX(MASTER_DATABASE!$A$4:$A$1000,ROW()-3)="","",INDEX(MASTER_DATABASE!$A$4:$A$1000,ROW()-3)&amp;"")</f>
        <v/>
      </c>
      <c r="B307" s="7" t="str">
        <f aca="false">IF(INDEX(MASTER_DATABASE!$A$4:$A$1000,ROW()-3)="","",INDEX(MASTER_DATABASE!$E$4:$E$1000,ROW()-3)&amp;"")</f>
        <v/>
      </c>
      <c r="C307" s="7" t="str">
        <f aca="false">IF(INDEX(MASTER_DATABASE!$A$4:$A$1000,ROW()-3)="","",INDEX(MASTER_DATABASE!$F$4:$F$1000,ROW()-3)&amp;"")</f>
        <v/>
      </c>
      <c r="D307" s="7" t="str">
        <f aca="false">IF(INDEX(MASTER_DATABASE!$A$4:$A$1000,ROW()-3)="","",INDEX(MASTER_DATABASE!$AL$4:$AL$1000,ROW()-3)&amp;"")</f>
        <v/>
      </c>
      <c r="E307" s="7" t="str">
        <f aca="false">IF(INDEX(MASTER_DATABASE!$A$4:$A$1000,ROW()-3)="","",INDEX(MASTER_DATABASE!$G$4:$G$1000,ROW()-3)&amp;"")</f>
        <v/>
      </c>
      <c r="F307" s="11" t="str">
        <f aca="false">IF(INDEX(MASTER_DATABASE!$A$4:$A$1000,ROW()-3)="","",INDEX(MASTER_DATABASE!$AP$4:$AP$1000,ROW()-3)&amp;"")</f>
        <v/>
      </c>
      <c r="G30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7" s="7" t="str">
        <f aca="false">IF(INDEX(MASTER_DATABASE!$A$4:$A$1000,ROW()-3)="","",INDEX(MASTER_DATABASE!$J$4:$J$1000,ROW()-3)&amp;"")</f>
        <v/>
      </c>
      <c r="K307" s="7" t="str">
        <f aca="false">IF(INDEX(MASTER_DATABASE!$A$4:$A$1000,ROW()-3)="","",INDEX(MASTER_DATABASE!$M$4:$M$1000,ROW()-3)&amp;"")</f>
        <v/>
      </c>
      <c r="L307" s="7" t="str">
        <f aca="false">IF(INDEX(MASTER_DATABASE!$A$4:$A$1000,ROW()-3)="","",INDEX(MASTER_DATABASE!$Q$4:$Q$1000,ROW()-3)&amp;"")</f>
        <v/>
      </c>
      <c r="M307" s="11" t="str">
        <f aca="false">IF(INDEX(MASTER_DATABASE!$A$4:$A$1000,ROW()-3)="","",INDEX(MASTER_DATABASE!$AI$4:$AI$1000,ROW()-3)&amp;"")</f>
        <v/>
      </c>
      <c r="N307" s="11" t="str">
        <f aca="false">IF(INDEX(MASTER_DATABASE!$A$4:$A$1000,ROW()-3)="","",INDEX(MASTER_DATABASE!$AJ$4:$AJ$1000,ROW()-3)&amp;"")</f>
        <v/>
      </c>
      <c r="O307" s="11" t="str">
        <f aca="false">IF(INDEX(MASTER_DATABASE!$A$4:$A$1000,ROW()-3)="","",IF(INDEX(MASTER_DATABASE!$BE$4:$BE$1000,ROW()-3)="LIVE","Yes","No"))</f>
        <v/>
      </c>
      <c r="P307" s="7" t="str">
        <f aca="false">IF(INDEX(MASTER_DATABASE!$A$4:$A$1000,ROW()-3)="","",INDEX(MASTER_DATABASE!$BG$4:$BG$1000,ROW()-3)&amp;"")</f>
        <v/>
      </c>
      <c r="Q307" s="11" t="str">
        <f aca="false">IF(INDEX(MASTER_DATABASE!$A$4:$A$1000,ROW()-3)="","",INDEX(MASTER_DATABASE!$AQ$4:$AQ$1000,ROW()-3))</f>
        <v/>
      </c>
    </row>
    <row r="308" customFormat="false" ht="15" hidden="false" customHeight="false" outlineLevel="0" collapsed="false">
      <c r="A308" s="11" t="str">
        <f aca="false">IF(INDEX(MASTER_DATABASE!$A$4:$A$1000,ROW()-3)="","",INDEX(MASTER_DATABASE!$A$4:$A$1000,ROW()-3)&amp;"")</f>
        <v/>
      </c>
      <c r="B308" s="7" t="str">
        <f aca="false">IF(INDEX(MASTER_DATABASE!$A$4:$A$1000,ROW()-3)="","",INDEX(MASTER_DATABASE!$E$4:$E$1000,ROW()-3)&amp;"")</f>
        <v/>
      </c>
      <c r="C308" s="7" t="str">
        <f aca="false">IF(INDEX(MASTER_DATABASE!$A$4:$A$1000,ROW()-3)="","",INDEX(MASTER_DATABASE!$F$4:$F$1000,ROW()-3)&amp;"")</f>
        <v/>
      </c>
      <c r="D308" s="7" t="str">
        <f aca="false">IF(INDEX(MASTER_DATABASE!$A$4:$A$1000,ROW()-3)="","",INDEX(MASTER_DATABASE!$AL$4:$AL$1000,ROW()-3)&amp;"")</f>
        <v/>
      </c>
      <c r="E308" s="7" t="str">
        <f aca="false">IF(INDEX(MASTER_DATABASE!$A$4:$A$1000,ROW()-3)="","",INDEX(MASTER_DATABASE!$G$4:$G$1000,ROW()-3)&amp;"")</f>
        <v/>
      </c>
      <c r="F308" s="11" t="str">
        <f aca="false">IF(INDEX(MASTER_DATABASE!$A$4:$A$1000,ROW()-3)="","",INDEX(MASTER_DATABASE!$AP$4:$AP$1000,ROW()-3)&amp;"")</f>
        <v/>
      </c>
      <c r="G30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8" s="7" t="str">
        <f aca="false">IF(INDEX(MASTER_DATABASE!$A$4:$A$1000,ROW()-3)="","",INDEX(MASTER_DATABASE!$J$4:$J$1000,ROW()-3)&amp;"")</f>
        <v/>
      </c>
      <c r="K308" s="7" t="str">
        <f aca="false">IF(INDEX(MASTER_DATABASE!$A$4:$A$1000,ROW()-3)="","",INDEX(MASTER_DATABASE!$M$4:$M$1000,ROW()-3)&amp;"")</f>
        <v/>
      </c>
      <c r="L308" s="7" t="str">
        <f aca="false">IF(INDEX(MASTER_DATABASE!$A$4:$A$1000,ROW()-3)="","",INDEX(MASTER_DATABASE!$Q$4:$Q$1000,ROW()-3)&amp;"")</f>
        <v/>
      </c>
      <c r="M308" s="11" t="str">
        <f aca="false">IF(INDEX(MASTER_DATABASE!$A$4:$A$1000,ROW()-3)="","",INDEX(MASTER_DATABASE!$AI$4:$AI$1000,ROW()-3)&amp;"")</f>
        <v/>
      </c>
      <c r="N308" s="11" t="str">
        <f aca="false">IF(INDEX(MASTER_DATABASE!$A$4:$A$1000,ROW()-3)="","",INDEX(MASTER_DATABASE!$AJ$4:$AJ$1000,ROW()-3)&amp;"")</f>
        <v/>
      </c>
      <c r="O308" s="11" t="str">
        <f aca="false">IF(INDEX(MASTER_DATABASE!$A$4:$A$1000,ROW()-3)="","",IF(INDEX(MASTER_DATABASE!$BE$4:$BE$1000,ROW()-3)="LIVE","Yes","No"))</f>
        <v/>
      </c>
      <c r="P308" s="7" t="str">
        <f aca="false">IF(INDEX(MASTER_DATABASE!$A$4:$A$1000,ROW()-3)="","",INDEX(MASTER_DATABASE!$BG$4:$BG$1000,ROW()-3)&amp;"")</f>
        <v/>
      </c>
      <c r="Q308" s="11" t="str">
        <f aca="false">IF(INDEX(MASTER_DATABASE!$A$4:$A$1000,ROW()-3)="","",INDEX(MASTER_DATABASE!$AQ$4:$AQ$1000,ROW()-3))</f>
        <v/>
      </c>
    </row>
    <row r="309" customFormat="false" ht="15" hidden="false" customHeight="false" outlineLevel="0" collapsed="false">
      <c r="A309" s="11" t="str">
        <f aca="false">IF(INDEX(MASTER_DATABASE!$A$4:$A$1000,ROW()-3)="","",INDEX(MASTER_DATABASE!$A$4:$A$1000,ROW()-3)&amp;"")</f>
        <v/>
      </c>
      <c r="B309" s="7" t="str">
        <f aca="false">IF(INDEX(MASTER_DATABASE!$A$4:$A$1000,ROW()-3)="","",INDEX(MASTER_DATABASE!$E$4:$E$1000,ROW()-3)&amp;"")</f>
        <v/>
      </c>
      <c r="C309" s="7" t="str">
        <f aca="false">IF(INDEX(MASTER_DATABASE!$A$4:$A$1000,ROW()-3)="","",INDEX(MASTER_DATABASE!$F$4:$F$1000,ROW()-3)&amp;"")</f>
        <v/>
      </c>
      <c r="D309" s="7" t="str">
        <f aca="false">IF(INDEX(MASTER_DATABASE!$A$4:$A$1000,ROW()-3)="","",INDEX(MASTER_DATABASE!$AL$4:$AL$1000,ROW()-3)&amp;"")</f>
        <v/>
      </c>
      <c r="E309" s="7" t="str">
        <f aca="false">IF(INDEX(MASTER_DATABASE!$A$4:$A$1000,ROW()-3)="","",INDEX(MASTER_DATABASE!$G$4:$G$1000,ROW()-3)&amp;"")</f>
        <v/>
      </c>
      <c r="F309" s="11" t="str">
        <f aca="false">IF(INDEX(MASTER_DATABASE!$A$4:$A$1000,ROW()-3)="","",INDEX(MASTER_DATABASE!$AP$4:$AP$1000,ROW()-3)&amp;"")</f>
        <v/>
      </c>
      <c r="G30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0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0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09" s="7" t="str">
        <f aca="false">IF(INDEX(MASTER_DATABASE!$A$4:$A$1000,ROW()-3)="","",INDEX(MASTER_DATABASE!$J$4:$J$1000,ROW()-3)&amp;"")</f>
        <v/>
      </c>
      <c r="K309" s="7" t="str">
        <f aca="false">IF(INDEX(MASTER_DATABASE!$A$4:$A$1000,ROW()-3)="","",INDEX(MASTER_DATABASE!$M$4:$M$1000,ROW()-3)&amp;"")</f>
        <v/>
      </c>
      <c r="L309" s="7" t="str">
        <f aca="false">IF(INDEX(MASTER_DATABASE!$A$4:$A$1000,ROW()-3)="","",INDEX(MASTER_DATABASE!$Q$4:$Q$1000,ROW()-3)&amp;"")</f>
        <v/>
      </c>
      <c r="M309" s="11" t="str">
        <f aca="false">IF(INDEX(MASTER_DATABASE!$A$4:$A$1000,ROW()-3)="","",INDEX(MASTER_DATABASE!$AI$4:$AI$1000,ROW()-3)&amp;"")</f>
        <v/>
      </c>
      <c r="N309" s="11" t="str">
        <f aca="false">IF(INDEX(MASTER_DATABASE!$A$4:$A$1000,ROW()-3)="","",INDEX(MASTER_DATABASE!$AJ$4:$AJ$1000,ROW()-3)&amp;"")</f>
        <v/>
      </c>
      <c r="O309" s="11" t="str">
        <f aca="false">IF(INDEX(MASTER_DATABASE!$A$4:$A$1000,ROW()-3)="","",IF(INDEX(MASTER_DATABASE!$BE$4:$BE$1000,ROW()-3)="LIVE","Yes","No"))</f>
        <v/>
      </c>
      <c r="P309" s="7" t="str">
        <f aca="false">IF(INDEX(MASTER_DATABASE!$A$4:$A$1000,ROW()-3)="","",INDEX(MASTER_DATABASE!$BG$4:$BG$1000,ROW()-3)&amp;"")</f>
        <v/>
      </c>
      <c r="Q309" s="11" t="str">
        <f aca="false">IF(INDEX(MASTER_DATABASE!$A$4:$A$1000,ROW()-3)="","",INDEX(MASTER_DATABASE!$AQ$4:$AQ$1000,ROW()-3))</f>
        <v/>
      </c>
    </row>
    <row r="310" customFormat="false" ht="15" hidden="false" customHeight="false" outlineLevel="0" collapsed="false">
      <c r="A310" s="11" t="str">
        <f aca="false">IF(INDEX(MASTER_DATABASE!$A$4:$A$1000,ROW()-3)="","",INDEX(MASTER_DATABASE!$A$4:$A$1000,ROW()-3)&amp;"")</f>
        <v/>
      </c>
      <c r="B310" s="7" t="str">
        <f aca="false">IF(INDEX(MASTER_DATABASE!$A$4:$A$1000,ROW()-3)="","",INDEX(MASTER_DATABASE!$E$4:$E$1000,ROW()-3)&amp;"")</f>
        <v/>
      </c>
      <c r="C310" s="7" t="str">
        <f aca="false">IF(INDEX(MASTER_DATABASE!$A$4:$A$1000,ROW()-3)="","",INDEX(MASTER_DATABASE!$F$4:$F$1000,ROW()-3)&amp;"")</f>
        <v/>
      </c>
      <c r="D310" s="7" t="str">
        <f aca="false">IF(INDEX(MASTER_DATABASE!$A$4:$A$1000,ROW()-3)="","",INDEX(MASTER_DATABASE!$AL$4:$AL$1000,ROW()-3)&amp;"")</f>
        <v/>
      </c>
      <c r="E310" s="7" t="str">
        <f aca="false">IF(INDEX(MASTER_DATABASE!$A$4:$A$1000,ROW()-3)="","",INDEX(MASTER_DATABASE!$G$4:$G$1000,ROW()-3)&amp;"")</f>
        <v/>
      </c>
      <c r="F310" s="11" t="str">
        <f aca="false">IF(INDEX(MASTER_DATABASE!$A$4:$A$1000,ROW()-3)="","",INDEX(MASTER_DATABASE!$AP$4:$AP$1000,ROW()-3)&amp;"")</f>
        <v/>
      </c>
      <c r="G31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0" s="7" t="str">
        <f aca="false">IF(INDEX(MASTER_DATABASE!$A$4:$A$1000,ROW()-3)="","",INDEX(MASTER_DATABASE!$J$4:$J$1000,ROW()-3)&amp;"")</f>
        <v/>
      </c>
      <c r="K310" s="7" t="str">
        <f aca="false">IF(INDEX(MASTER_DATABASE!$A$4:$A$1000,ROW()-3)="","",INDEX(MASTER_DATABASE!$M$4:$M$1000,ROW()-3)&amp;"")</f>
        <v/>
      </c>
      <c r="L310" s="7" t="str">
        <f aca="false">IF(INDEX(MASTER_DATABASE!$A$4:$A$1000,ROW()-3)="","",INDEX(MASTER_DATABASE!$Q$4:$Q$1000,ROW()-3)&amp;"")</f>
        <v/>
      </c>
      <c r="M310" s="11" t="str">
        <f aca="false">IF(INDEX(MASTER_DATABASE!$A$4:$A$1000,ROW()-3)="","",INDEX(MASTER_DATABASE!$AI$4:$AI$1000,ROW()-3)&amp;"")</f>
        <v/>
      </c>
      <c r="N310" s="11" t="str">
        <f aca="false">IF(INDEX(MASTER_DATABASE!$A$4:$A$1000,ROW()-3)="","",INDEX(MASTER_DATABASE!$AJ$4:$AJ$1000,ROW()-3)&amp;"")</f>
        <v/>
      </c>
      <c r="O310" s="11" t="str">
        <f aca="false">IF(INDEX(MASTER_DATABASE!$A$4:$A$1000,ROW()-3)="","",IF(INDEX(MASTER_DATABASE!$BE$4:$BE$1000,ROW()-3)="LIVE","Yes","No"))</f>
        <v/>
      </c>
      <c r="P310" s="7" t="str">
        <f aca="false">IF(INDEX(MASTER_DATABASE!$A$4:$A$1000,ROW()-3)="","",INDEX(MASTER_DATABASE!$BG$4:$BG$1000,ROW()-3)&amp;"")</f>
        <v/>
      </c>
      <c r="Q310" s="11" t="str">
        <f aca="false">IF(INDEX(MASTER_DATABASE!$A$4:$A$1000,ROW()-3)="","",INDEX(MASTER_DATABASE!$AQ$4:$AQ$1000,ROW()-3))</f>
        <v/>
      </c>
    </row>
    <row r="311" customFormat="false" ht="15" hidden="false" customHeight="false" outlineLevel="0" collapsed="false">
      <c r="A311" s="11" t="str">
        <f aca="false">IF(INDEX(MASTER_DATABASE!$A$4:$A$1000,ROW()-3)="","",INDEX(MASTER_DATABASE!$A$4:$A$1000,ROW()-3)&amp;"")</f>
        <v/>
      </c>
      <c r="B311" s="7" t="str">
        <f aca="false">IF(INDEX(MASTER_DATABASE!$A$4:$A$1000,ROW()-3)="","",INDEX(MASTER_DATABASE!$E$4:$E$1000,ROW()-3)&amp;"")</f>
        <v/>
      </c>
      <c r="C311" s="7" t="str">
        <f aca="false">IF(INDEX(MASTER_DATABASE!$A$4:$A$1000,ROW()-3)="","",INDEX(MASTER_DATABASE!$F$4:$F$1000,ROW()-3)&amp;"")</f>
        <v/>
      </c>
      <c r="D311" s="7" t="str">
        <f aca="false">IF(INDEX(MASTER_DATABASE!$A$4:$A$1000,ROW()-3)="","",INDEX(MASTER_DATABASE!$AL$4:$AL$1000,ROW()-3)&amp;"")</f>
        <v/>
      </c>
      <c r="E311" s="7" t="str">
        <f aca="false">IF(INDEX(MASTER_DATABASE!$A$4:$A$1000,ROW()-3)="","",INDEX(MASTER_DATABASE!$G$4:$G$1000,ROW()-3)&amp;"")</f>
        <v/>
      </c>
      <c r="F311" s="11" t="str">
        <f aca="false">IF(INDEX(MASTER_DATABASE!$A$4:$A$1000,ROW()-3)="","",INDEX(MASTER_DATABASE!$AP$4:$AP$1000,ROW()-3)&amp;"")</f>
        <v/>
      </c>
      <c r="G31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1" s="7" t="str">
        <f aca="false">IF(INDEX(MASTER_DATABASE!$A$4:$A$1000,ROW()-3)="","",INDEX(MASTER_DATABASE!$J$4:$J$1000,ROW()-3)&amp;"")</f>
        <v/>
      </c>
      <c r="K311" s="7" t="str">
        <f aca="false">IF(INDEX(MASTER_DATABASE!$A$4:$A$1000,ROW()-3)="","",INDEX(MASTER_DATABASE!$M$4:$M$1000,ROW()-3)&amp;"")</f>
        <v/>
      </c>
      <c r="L311" s="7" t="str">
        <f aca="false">IF(INDEX(MASTER_DATABASE!$A$4:$A$1000,ROW()-3)="","",INDEX(MASTER_DATABASE!$Q$4:$Q$1000,ROW()-3)&amp;"")</f>
        <v/>
      </c>
      <c r="M311" s="11" t="str">
        <f aca="false">IF(INDEX(MASTER_DATABASE!$A$4:$A$1000,ROW()-3)="","",INDEX(MASTER_DATABASE!$AI$4:$AI$1000,ROW()-3)&amp;"")</f>
        <v/>
      </c>
      <c r="N311" s="11" t="str">
        <f aca="false">IF(INDEX(MASTER_DATABASE!$A$4:$A$1000,ROW()-3)="","",INDEX(MASTER_DATABASE!$AJ$4:$AJ$1000,ROW()-3)&amp;"")</f>
        <v/>
      </c>
      <c r="O311" s="11" t="str">
        <f aca="false">IF(INDEX(MASTER_DATABASE!$A$4:$A$1000,ROW()-3)="","",IF(INDEX(MASTER_DATABASE!$BE$4:$BE$1000,ROW()-3)="LIVE","Yes","No"))</f>
        <v/>
      </c>
      <c r="P311" s="7" t="str">
        <f aca="false">IF(INDEX(MASTER_DATABASE!$A$4:$A$1000,ROW()-3)="","",INDEX(MASTER_DATABASE!$BG$4:$BG$1000,ROW()-3)&amp;"")</f>
        <v/>
      </c>
      <c r="Q311" s="11" t="str">
        <f aca="false">IF(INDEX(MASTER_DATABASE!$A$4:$A$1000,ROW()-3)="","",INDEX(MASTER_DATABASE!$AQ$4:$AQ$1000,ROW()-3))</f>
        <v/>
      </c>
    </row>
    <row r="312" customFormat="false" ht="15" hidden="false" customHeight="false" outlineLevel="0" collapsed="false">
      <c r="A312" s="11" t="str">
        <f aca="false">IF(INDEX(MASTER_DATABASE!$A$4:$A$1000,ROW()-3)="","",INDEX(MASTER_DATABASE!$A$4:$A$1000,ROW()-3)&amp;"")</f>
        <v/>
      </c>
      <c r="B312" s="7" t="str">
        <f aca="false">IF(INDEX(MASTER_DATABASE!$A$4:$A$1000,ROW()-3)="","",INDEX(MASTER_DATABASE!$E$4:$E$1000,ROW()-3)&amp;"")</f>
        <v/>
      </c>
      <c r="C312" s="7" t="str">
        <f aca="false">IF(INDEX(MASTER_DATABASE!$A$4:$A$1000,ROW()-3)="","",INDEX(MASTER_DATABASE!$F$4:$F$1000,ROW()-3)&amp;"")</f>
        <v/>
      </c>
      <c r="D312" s="7" t="str">
        <f aca="false">IF(INDEX(MASTER_DATABASE!$A$4:$A$1000,ROW()-3)="","",INDEX(MASTER_DATABASE!$AL$4:$AL$1000,ROW()-3)&amp;"")</f>
        <v/>
      </c>
      <c r="E312" s="7" t="str">
        <f aca="false">IF(INDEX(MASTER_DATABASE!$A$4:$A$1000,ROW()-3)="","",INDEX(MASTER_DATABASE!$G$4:$G$1000,ROW()-3)&amp;"")</f>
        <v/>
      </c>
      <c r="F312" s="11" t="str">
        <f aca="false">IF(INDEX(MASTER_DATABASE!$A$4:$A$1000,ROW()-3)="","",INDEX(MASTER_DATABASE!$AP$4:$AP$1000,ROW()-3)&amp;"")</f>
        <v/>
      </c>
      <c r="G31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2" s="7" t="str">
        <f aca="false">IF(INDEX(MASTER_DATABASE!$A$4:$A$1000,ROW()-3)="","",INDEX(MASTER_DATABASE!$J$4:$J$1000,ROW()-3)&amp;"")</f>
        <v/>
      </c>
      <c r="K312" s="7" t="str">
        <f aca="false">IF(INDEX(MASTER_DATABASE!$A$4:$A$1000,ROW()-3)="","",INDEX(MASTER_DATABASE!$M$4:$M$1000,ROW()-3)&amp;"")</f>
        <v/>
      </c>
      <c r="L312" s="7" t="str">
        <f aca="false">IF(INDEX(MASTER_DATABASE!$A$4:$A$1000,ROW()-3)="","",INDEX(MASTER_DATABASE!$Q$4:$Q$1000,ROW()-3)&amp;"")</f>
        <v/>
      </c>
      <c r="M312" s="11" t="str">
        <f aca="false">IF(INDEX(MASTER_DATABASE!$A$4:$A$1000,ROW()-3)="","",INDEX(MASTER_DATABASE!$AI$4:$AI$1000,ROW()-3)&amp;"")</f>
        <v/>
      </c>
      <c r="N312" s="11" t="str">
        <f aca="false">IF(INDEX(MASTER_DATABASE!$A$4:$A$1000,ROW()-3)="","",INDEX(MASTER_DATABASE!$AJ$4:$AJ$1000,ROW()-3)&amp;"")</f>
        <v/>
      </c>
      <c r="O312" s="11" t="str">
        <f aca="false">IF(INDEX(MASTER_DATABASE!$A$4:$A$1000,ROW()-3)="","",IF(INDEX(MASTER_DATABASE!$BE$4:$BE$1000,ROW()-3)="LIVE","Yes","No"))</f>
        <v/>
      </c>
      <c r="P312" s="7" t="str">
        <f aca="false">IF(INDEX(MASTER_DATABASE!$A$4:$A$1000,ROW()-3)="","",INDEX(MASTER_DATABASE!$BG$4:$BG$1000,ROW()-3)&amp;"")</f>
        <v/>
      </c>
      <c r="Q312" s="11" t="str">
        <f aca="false">IF(INDEX(MASTER_DATABASE!$A$4:$A$1000,ROW()-3)="","",INDEX(MASTER_DATABASE!$AQ$4:$AQ$1000,ROW()-3))</f>
        <v/>
      </c>
    </row>
    <row r="313" customFormat="false" ht="15" hidden="false" customHeight="false" outlineLevel="0" collapsed="false">
      <c r="A313" s="11" t="str">
        <f aca="false">IF(INDEX(MASTER_DATABASE!$A$4:$A$1000,ROW()-3)="","",INDEX(MASTER_DATABASE!$A$4:$A$1000,ROW()-3)&amp;"")</f>
        <v/>
      </c>
      <c r="B313" s="7" t="str">
        <f aca="false">IF(INDEX(MASTER_DATABASE!$A$4:$A$1000,ROW()-3)="","",INDEX(MASTER_DATABASE!$E$4:$E$1000,ROW()-3)&amp;"")</f>
        <v/>
      </c>
      <c r="C313" s="7" t="str">
        <f aca="false">IF(INDEX(MASTER_DATABASE!$A$4:$A$1000,ROW()-3)="","",INDEX(MASTER_DATABASE!$F$4:$F$1000,ROW()-3)&amp;"")</f>
        <v/>
      </c>
      <c r="D313" s="7" t="str">
        <f aca="false">IF(INDEX(MASTER_DATABASE!$A$4:$A$1000,ROW()-3)="","",INDEX(MASTER_DATABASE!$AL$4:$AL$1000,ROW()-3)&amp;"")</f>
        <v/>
      </c>
      <c r="E313" s="7" t="str">
        <f aca="false">IF(INDEX(MASTER_DATABASE!$A$4:$A$1000,ROW()-3)="","",INDEX(MASTER_DATABASE!$G$4:$G$1000,ROW()-3)&amp;"")</f>
        <v/>
      </c>
      <c r="F313" s="11" t="str">
        <f aca="false">IF(INDEX(MASTER_DATABASE!$A$4:$A$1000,ROW()-3)="","",INDEX(MASTER_DATABASE!$AP$4:$AP$1000,ROW()-3)&amp;"")</f>
        <v/>
      </c>
      <c r="G31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3" s="7" t="str">
        <f aca="false">IF(INDEX(MASTER_DATABASE!$A$4:$A$1000,ROW()-3)="","",INDEX(MASTER_DATABASE!$J$4:$J$1000,ROW()-3)&amp;"")</f>
        <v/>
      </c>
      <c r="K313" s="7" t="str">
        <f aca="false">IF(INDEX(MASTER_DATABASE!$A$4:$A$1000,ROW()-3)="","",INDEX(MASTER_DATABASE!$M$4:$M$1000,ROW()-3)&amp;"")</f>
        <v/>
      </c>
      <c r="L313" s="7" t="str">
        <f aca="false">IF(INDEX(MASTER_DATABASE!$A$4:$A$1000,ROW()-3)="","",INDEX(MASTER_DATABASE!$Q$4:$Q$1000,ROW()-3)&amp;"")</f>
        <v/>
      </c>
      <c r="M313" s="11" t="str">
        <f aca="false">IF(INDEX(MASTER_DATABASE!$A$4:$A$1000,ROW()-3)="","",INDEX(MASTER_DATABASE!$AI$4:$AI$1000,ROW()-3)&amp;"")</f>
        <v/>
      </c>
      <c r="N313" s="11" t="str">
        <f aca="false">IF(INDEX(MASTER_DATABASE!$A$4:$A$1000,ROW()-3)="","",INDEX(MASTER_DATABASE!$AJ$4:$AJ$1000,ROW()-3)&amp;"")</f>
        <v/>
      </c>
      <c r="O313" s="11" t="str">
        <f aca="false">IF(INDEX(MASTER_DATABASE!$A$4:$A$1000,ROW()-3)="","",IF(INDEX(MASTER_DATABASE!$BE$4:$BE$1000,ROW()-3)="LIVE","Yes","No"))</f>
        <v/>
      </c>
      <c r="P313" s="7" t="str">
        <f aca="false">IF(INDEX(MASTER_DATABASE!$A$4:$A$1000,ROW()-3)="","",INDEX(MASTER_DATABASE!$BG$4:$BG$1000,ROW()-3)&amp;"")</f>
        <v/>
      </c>
      <c r="Q313" s="11" t="str">
        <f aca="false">IF(INDEX(MASTER_DATABASE!$A$4:$A$1000,ROW()-3)="","",INDEX(MASTER_DATABASE!$AQ$4:$AQ$1000,ROW()-3))</f>
        <v/>
      </c>
    </row>
    <row r="314" customFormat="false" ht="15" hidden="false" customHeight="false" outlineLevel="0" collapsed="false">
      <c r="A314" s="11" t="str">
        <f aca="false">IF(INDEX(MASTER_DATABASE!$A$4:$A$1000,ROW()-3)="","",INDEX(MASTER_DATABASE!$A$4:$A$1000,ROW()-3)&amp;"")</f>
        <v/>
      </c>
      <c r="B314" s="7" t="str">
        <f aca="false">IF(INDEX(MASTER_DATABASE!$A$4:$A$1000,ROW()-3)="","",INDEX(MASTER_DATABASE!$E$4:$E$1000,ROW()-3)&amp;"")</f>
        <v/>
      </c>
      <c r="C314" s="7" t="str">
        <f aca="false">IF(INDEX(MASTER_DATABASE!$A$4:$A$1000,ROW()-3)="","",INDEX(MASTER_DATABASE!$F$4:$F$1000,ROW()-3)&amp;"")</f>
        <v/>
      </c>
      <c r="D314" s="7" t="str">
        <f aca="false">IF(INDEX(MASTER_DATABASE!$A$4:$A$1000,ROW()-3)="","",INDEX(MASTER_DATABASE!$AL$4:$AL$1000,ROW()-3)&amp;"")</f>
        <v/>
      </c>
      <c r="E314" s="7" t="str">
        <f aca="false">IF(INDEX(MASTER_DATABASE!$A$4:$A$1000,ROW()-3)="","",INDEX(MASTER_DATABASE!$G$4:$G$1000,ROW()-3)&amp;"")</f>
        <v/>
      </c>
      <c r="F314" s="11" t="str">
        <f aca="false">IF(INDEX(MASTER_DATABASE!$A$4:$A$1000,ROW()-3)="","",INDEX(MASTER_DATABASE!$AP$4:$AP$1000,ROW()-3)&amp;"")</f>
        <v/>
      </c>
      <c r="G31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4" s="7" t="str">
        <f aca="false">IF(INDEX(MASTER_DATABASE!$A$4:$A$1000,ROW()-3)="","",INDEX(MASTER_DATABASE!$J$4:$J$1000,ROW()-3)&amp;"")</f>
        <v/>
      </c>
      <c r="K314" s="7" t="str">
        <f aca="false">IF(INDEX(MASTER_DATABASE!$A$4:$A$1000,ROW()-3)="","",INDEX(MASTER_DATABASE!$M$4:$M$1000,ROW()-3)&amp;"")</f>
        <v/>
      </c>
      <c r="L314" s="7" t="str">
        <f aca="false">IF(INDEX(MASTER_DATABASE!$A$4:$A$1000,ROW()-3)="","",INDEX(MASTER_DATABASE!$Q$4:$Q$1000,ROW()-3)&amp;"")</f>
        <v/>
      </c>
      <c r="M314" s="11" t="str">
        <f aca="false">IF(INDEX(MASTER_DATABASE!$A$4:$A$1000,ROW()-3)="","",INDEX(MASTER_DATABASE!$AI$4:$AI$1000,ROW()-3)&amp;"")</f>
        <v/>
      </c>
      <c r="N314" s="11" t="str">
        <f aca="false">IF(INDEX(MASTER_DATABASE!$A$4:$A$1000,ROW()-3)="","",INDEX(MASTER_DATABASE!$AJ$4:$AJ$1000,ROW()-3)&amp;"")</f>
        <v/>
      </c>
      <c r="O314" s="11" t="str">
        <f aca="false">IF(INDEX(MASTER_DATABASE!$A$4:$A$1000,ROW()-3)="","",IF(INDEX(MASTER_DATABASE!$BE$4:$BE$1000,ROW()-3)="LIVE","Yes","No"))</f>
        <v/>
      </c>
      <c r="P314" s="7" t="str">
        <f aca="false">IF(INDEX(MASTER_DATABASE!$A$4:$A$1000,ROW()-3)="","",INDEX(MASTER_DATABASE!$BG$4:$BG$1000,ROW()-3)&amp;"")</f>
        <v/>
      </c>
      <c r="Q314" s="11" t="str">
        <f aca="false">IF(INDEX(MASTER_DATABASE!$A$4:$A$1000,ROW()-3)="","",INDEX(MASTER_DATABASE!$AQ$4:$AQ$1000,ROW()-3))</f>
        <v/>
      </c>
    </row>
    <row r="315" customFormat="false" ht="15" hidden="false" customHeight="false" outlineLevel="0" collapsed="false">
      <c r="A315" s="11" t="str">
        <f aca="false">IF(INDEX(MASTER_DATABASE!$A$4:$A$1000,ROW()-3)="","",INDEX(MASTER_DATABASE!$A$4:$A$1000,ROW()-3)&amp;"")</f>
        <v/>
      </c>
      <c r="B315" s="7" t="str">
        <f aca="false">IF(INDEX(MASTER_DATABASE!$A$4:$A$1000,ROW()-3)="","",INDEX(MASTER_DATABASE!$E$4:$E$1000,ROW()-3)&amp;"")</f>
        <v/>
      </c>
      <c r="C315" s="7" t="str">
        <f aca="false">IF(INDEX(MASTER_DATABASE!$A$4:$A$1000,ROW()-3)="","",INDEX(MASTER_DATABASE!$F$4:$F$1000,ROW()-3)&amp;"")</f>
        <v/>
      </c>
      <c r="D315" s="7" t="str">
        <f aca="false">IF(INDEX(MASTER_DATABASE!$A$4:$A$1000,ROW()-3)="","",INDEX(MASTER_DATABASE!$AL$4:$AL$1000,ROW()-3)&amp;"")</f>
        <v/>
      </c>
      <c r="E315" s="7" t="str">
        <f aca="false">IF(INDEX(MASTER_DATABASE!$A$4:$A$1000,ROW()-3)="","",INDEX(MASTER_DATABASE!$G$4:$G$1000,ROW()-3)&amp;"")</f>
        <v/>
      </c>
      <c r="F315" s="11" t="str">
        <f aca="false">IF(INDEX(MASTER_DATABASE!$A$4:$A$1000,ROW()-3)="","",INDEX(MASTER_DATABASE!$AP$4:$AP$1000,ROW()-3)&amp;"")</f>
        <v/>
      </c>
      <c r="G31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5" s="7" t="str">
        <f aca="false">IF(INDEX(MASTER_DATABASE!$A$4:$A$1000,ROW()-3)="","",INDEX(MASTER_DATABASE!$J$4:$J$1000,ROW()-3)&amp;"")</f>
        <v/>
      </c>
      <c r="K315" s="7" t="str">
        <f aca="false">IF(INDEX(MASTER_DATABASE!$A$4:$A$1000,ROW()-3)="","",INDEX(MASTER_DATABASE!$M$4:$M$1000,ROW()-3)&amp;"")</f>
        <v/>
      </c>
      <c r="L315" s="7" t="str">
        <f aca="false">IF(INDEX(MASTER_DATABASE!$A$4:$A$1000,ROW()-3)="","",INDEX(MASTER_DATABASE!$Q$4:$Q$1000,ROW()-3)&amp;"")</f>
        <v/>
      </c>
      <c r="M315" s="11" t="str">
        <f aca="false">IF(INDEX(MASTER_DATABASE!$A$4:$A$1000,ROW()-3)="","",INDEX(MASTER_DATABASE!$AI$4:$AI$1000,ROW()-3)&amp;"")</f>
        <v/>
      </c>
      <c r="N315" s="11" t="str">
        <f aca="false">IF(INDEX(MASTER_DATABASE!$A$4:$A$1000,ROW()-3)="","",INDEX(MASTER_DATABASE!$AJ$4:$AJ$1000,ROW()-3)&amp;"")</f>
        <v/>
      </c>
      <c r="O315" s="11" t="str">
        <f aca="false">IF(INDEX(MASTER_DATABASE!$A$4:$A$1000,ROW()-3)="","",IF(INDEX(MASTER_DATABASE!$BE$4:$BE$1000,ROW()-3)="LIVE","Yes","No"))</f>
        <v/>
      </c>
      <c r="P315" s="7" t="str">
        <f aca="false">IF(INDEX(MASTER_DATABASE!$A$4:$A$1000,ROW()-3)="","",INDEX(MASTER_DATABASE!$BG$4:$BG$1000,ROW()-3)&amp;"")</f>
        <v/>
      </c>
      <c r="Q315" s="11" t="str">
        <f aca="false">IF(INDEX(MASTER_DATABASE!$A$4:$A$1000,ROW()-3)="","",INDEX(MASTER_DATABASE!$AQ$4:$AQ$1000,ROW()-3))</f>
        <v/>
      </c>
    </row>
    <row r="316" customFormat="false" ht="15" hidden="false" customHeight="false" outlineLevel="0" collapsed="false">
      <c r="A316" s="11" t="str">
        <f aca="false">IF(INDEX(MASTER_DATABASE!$A$4:$A$1000,ROW()-3)="","",INDEX(MASTER_DATABASE!$A$4:$A$1000,ROW()-3)&amp;"")</f>
        <v/>
      </c>
      <c r="B316" s="7" t="str">
        <f aca="false">IF(INDEX(MASTER_DATABASE!$A$4:$A$1000,ROW()-3)="","",INDEX(MASTER_DATABASE!$E$4:$E$1000,ROW()-3)&amp;"")</f>
        <v/>
      </c>
      <c r="C316" s="7" t="str">
        <f aca="false">IF(INDEX(MASTER_DATABASE!$A$4:$A$1000,ROW()-3)="","",INDEX(MASTER_DATABASE!$F$4:$F$1000,ROW()-3)&amp;"")</f>
        <v/>
      </c>
      <c r="D316" s="7" t="str">
        <f aca="false">IF(INDEX(MASTER_DATABASE!$A$4:$A$1000,ROW()-3)="","",INDEX(MASTER_DATABASE!$AL$4:$AL$1000,ROW()-3)&amp;"")</f>
        <v/>
      </c>
      <c r="E316" s="7" t="str">
        <f aca="false">IF(INDEX(MASTER_DATABASE!$A$4:$A$1000,ROW()-3)="","",INDEX(MASTER_DATABASE!$G$4:$G$1000,ROW()-3)&amp;"")</f>
        <v/>
      </c>
      <c r="F316" s="11" t="str">
        <f aca="false">IF(INDEX(MASTER_DATABASE!$A$4:$A$1000,ROW()-3)="","",INDEX(MASTER_DATABASE!$AP$4:$AP$1000,ROW()-3)&amp;"")</f>
        <v/>
      </c>
      <c r="G31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6" s="7" t="str">
        <f aca="false">IF(INDEX(MASTER_DATABASE!$A$4:$A$1000,ROW()-3)="","",INDEX(MASTER_DATABASE!$J$4:$J$1000,ROW()-3)&amp;"")</f>
        <v/>
      </c>
      <c r="K316" s="7" t="str">
        <f aca="false">IF(INDEX(MASTER_DATABASE!$A$4:$A$1000,ROW()-3)="","",INDEX(MASTER_DATABASE!$M$4:$M$1000,ROW()-3)&amp;"")</f>
        <v/>
      </c>
      <c r="L316" s="7" t="str">
        <f aca="false">IF(INDEX(MASTER_DATABASE!$A$4:$A$1000,ROW()-3)="","",INDEX(MASTER_DATABASE!$Q$4:$Q$1000,ROW()-3)&amp;"")</f>
        <v/>
      </c>
      <c r="M316" s="11" t="str">
        <f aca="false">IF(INDEX(MASTER_DATABASE!$A$4:$A$1000,ROW()-3)="","",INDEX(MASTER_DATABASE!$AI$4:$AI$1000,ROW()-3)&amp;"")</f>
        <v/>
      </c>
      <c r="N316" s="11" t="str">
        <f aca="false">IF(INDEX(MASTER_DATABASE!$A$4:$A$1000,ROW()-3)="","",INDEX(MASTER_DATABASE!$AJ$4:$AJ$1000,ROW()-3)&amp;"")</f>
        <v/>
      </c>
      <c r="O316" s="11" t="str">
        <f aca="false">IF(INDEX(MASTER_DATABASE!$A$4:$A$1000,ROW()-3)="","",IF(INDEX(MASTER_DATABASE!$BE$4:$BE$1000,ROW()-3)="LIVE","Yes","No"))</f>
        <v/>
      </c>
      <c r="P316" s="7" t="str">
        <f aca="false">IF(INDEX(MASTER_DATABASE!$A$4:$A$1000,ROW()-3)="","",INDEX(MASTER_DATABASE!$BG$4:$BG$1000,ROW()-3)&amp;"")</f>
        <v/>
      </c>
      <c r="Q316" s="11" t="str">
        <f aca="false">IF(INDEX(MASTER_DATABASE!$A$4:$A$1000,ROW()-3)="","",INDEX(MASTER_DATABASE!$AQ$4:$AQ$1000,ROW()-3))</f>
        <v/>
      </c>
    </row>
    <row r="317" customFormat="false" ht="15" hidden="false" customHeight="false" outlineLevel="0" collapsed="false">
      <c r="A317" s="11" t="str">
        <f aca="false">IF(INDEX(MASTER_DATABASE!$A$4:$A$1000,ROW()-3)="","",INDEX(MASTER_DATABASE!$A$4:$A$1000,ROW()-3)&amp;"")</f>
        <v/>
      </c>
      <c r="B317" s="7" t="str">
        <f aca="false">IF(INDEX(MASTER_DATABASE!$A$4:$A$1000,ROW()-3)="","",INDEX(MASTER_DATABASE!$E$4:$E$1000,ROW()-3)&amp;"")</f>
        <v/>
      </c>
      <c r="C317" s="7" t="str">
        <f aca="false">IF(INDEX(MASTER_DATABASE!$A$4:$A$1000,ROW()-3)="","",INDEX(MASTER_DATABASE!$F$4:$F$1000,ROW()-3)&amp;"")</f>
        <v/>
      </c>
      <c r="D317" s="7" t="str">
        <f aca="false">IF(INDEX(MASTER_DATABASE!$A$4:$A$1000,ROW()-3)="","",INDEX(MASTER_DATABASE!$AL$4:$AL$1000,ROW()-3)&amp;"")</f>
        <v/>
      </c>
      <c r="E317" s="7" t="str">
        <f aca="false">IF(INDEX(MASTER_DATABASE!$A$4:$A$1000,ROW()-3)="","",INDEX(MASTER_DATABASE!$G$4:$G$1000,ROW()-3)&amp;"")</f>
        <v/>
      </c>
      <c r="F317" s="11" t="str">
        <f aca="false">IF(INDEX(MASTER_DATABASE!$A$4:$A$1000,ROW()-3)="","",INDEX(MASTER_DATABASE!$AP$4:$AP$1000,ROW()-3)&amp;"")</f>
        <v/>
      </c>
      <c r="G31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7" s="7" t="str">
        <f aca="false">IF(INDEX(MASTER_DATABASE!$A$4:$A$1000,ROW()-3)="","",INDEX(MASTER_DATABASE!$J$4:$J$1000,ROW()-3)&amp;"")</f>
        <v/>
      </c>
      <c r="K317" s="7" t="str">
        <f aca="false">IF(INDEX(MASTER_DATABASE!$A$4:$A$1000,ROW()-3)="","",INDEX(MASTER_DATABASE!$M$4:$M$1000,ROW()-3)&amp;"")</f>
        <v/>
      </c>
      <c r="L317" s="7" t="str">
        <f aca="false">IF(INDEX(MASTER_DATABASE!$A$4:$A$1000,ROW()-3)="","",INDEX(MASTER_DATABASE!$Q$4:$Q$1000,ROW()-3)&amp;"")</f>
        <v/>
      </c>
      <c r="M317" s="11" t="str">
        <f aca="false">IF(INDEX(MASTER_DATABASE!$A$4:$A$1000,ROW()-3)="","",INDEX(MASTER_DATABASE!$AI$4:$AI$1000,ROW()-3)&amp;"")</f>
        <v/>
      </c>
      <c r="N317" s="11" t="str">
        <f aca="false">IF(INDEX(MASTER_DATABASE!$A$4:$A$1000,ROW()-3)="","",INDEX(MASTER_DATABASE!$AJ$4:$AJ$1000,ROW()-3)&amp;"")</f>
        <v/>
      </c>
      <c r="O317" s="11" t="str">
        <f aca="false">IF(INDEX(MASTER_DATABASE!$A$4:$A$1000,ROW()-3)="","",IF(INDEX(MASTER_DATABASE!$BE$4:$BE$1000,ROW()-3)="LIVE","Yes","No"))</f>
        <v/>
      </c>
      <c r="P317" s="7" t="str">
        <f aca="false">IF(INDEX(MASTER_DATABASE!$A$4:$A$1000,ROW()-3)="","",INDEX(MASTER_DATABASE!$BG$4:$BG$1000,ROW()-3)&amp;"")</f>
        <v/>
      </c>
      <c r="Q317" s="11" t="str">
        <f aca="false">IF(INDEX(MASTER_DATABASE!$A$4:$A$1000,ROW()-3)="","",INDEX(MASTER_DATABASE!$AQ$4:$AQ$1000,ROW()-3))</f>
        <v/>
      </c>
    </row>
    <row r="318" customFormat="false" ht="15" hidden="false" customHeight="false" outlineLevel="0" collapsed="false">
      <c r="A318" s="11" t="str">
        <f aca="false">IF(INDEX(MASTER_DATABASE!$A$4:$A$1000,ROW()-3)="","",INDEX(MASTER_DATABASE!$A$4:$A$1000,ROW()-3)&amp;"")</f>
        <v/>
      </c>
      <c r="B318" s="7" t="str">
        <f aca="false">IF(INDEX(MASTER_DATABASE!$A$4:$A$1000,ROW()-3)="","",INDEX(MASTER_DATABASE!$E$4:$E$1000,ROW()-3)&amp;"")</f>
        <v/>
      </c>
      <c r="C318" s="7" t="str">
        <f aca="false">IF(INDEX(MASTER_DATABASE!$A$4:$A$1000,ROW()-3)="","",INDEX(MASTER_DATABASE!$F$4:$F$1000,ROW()-3)&amp;"")</f>
        <v/>
      </c>
      <c r="D318" s="7" t="str">
        <f aca="false">IF(INDEX(MASTER_DATABASE!$A$4:$A$1000,ROW()-3)="","",INDEX(MASTER_DATABASE!$AL$4:$AL$1000,ROW()-3)&amp;"")</f>
        <v/>
      </c>
      <c r="E318" s="7" t="str">
        <f aca="false">IF(INDEX(MASTER_DATABASE!$A$4:$A$1000,ROW()-3)="","",INDEX(MASTER_DATABASE!$G$4:$G$1000,ROW()-3)&amp;"")</f>
        <v/>
      </c>
      <c r="F318" s="11" t="str">
        <f aca="false">IF(INDEX(MASTER_DATABASE!$A$4:$A$1000,ROW()-3)="","",INDEX(MASTER_DATABASE!$AP$4:$AP$1000,ROW()-3)&amp;"")</f>
        <v/>
      </c>
      <c r="G31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8" s="7" t="str">
        <f aca="false">IF(INDEX(MASTER_DATABASE!$A$4:$A$1000,ROW()-3)="","",INDEX(MASTER_DATABASE!$J$4:$J$1000,ROW()-3)&amp;"")</f>
        <v/>
      </c>
      <c r="K318" s="7" t="str">
        <f aca="false">IF(INDEX(MASTER_DATABASE!$A$4:$A$1000,ROW()-3)="","",INDEX(MASTER_DATABASE!$M$4:$M$1000,ROW()-3)&amp;"")</f>
        <v/>
      </c>
      <c r="L318" s="7" t="str">
        <f aca="false">IF(INDEX(MASTER_DATABASE!$A$4:$A$1000,ROW()-3)="","",INDEX(MASTER_DATABASE!$Q$4:$Q$1000,ROW()-3)&amp;"")</f>
        <v/>
      </c>
      <c r="M318" s="11" t="str">
        <f aca="false">IF(INDEX(MASTER_DATABASE!$A$4:$A$1000,ROW()-3)="","",INDEX(MASTER_DATABASE!$AI$4:$AI$1000,ROW()-3)&amp;"")</f>
        <v/>
      </c>
      <c r="N318" s="11" t="str">
        <f aca="false">IF(INDEX(MASTER_DATABASE!$A$4:$A$1000,ROW()-3)="","",INDEX(MASTER_DATABASE!$AJ$4:$AJ$1000,ROW()-3)&amp;"")</f>
        <v/>
      </c>
      <c r="O318" s="11" t="str">
        <f aca="false">IF(INDEX(MASTER_DATABASE!$A$4:$A$1000,ROW()-3)="","",IF(INDEX(MASTER_DATABASE!$BE$4:$BE$1000,ROW()-3)="LIVE","Yes","No"))</f>
        <v/>
      </c>
      <c r="P318" s="7" t="str">
        <f aca="false">IF(INDEX(MASTER_DATABASE!$A$4:$A$1000,ROW()-3)="","",INDEX(MASTER_DATABASE!$BG$4:$BG$1000,ROW()-3)&amp;"")</f>
        <v/>
      </c>
      <c r="Q318" s="11" t="str">
        <f aca="false">IF(INDEX(MASTER_DATABASE!$A$4:$A$1000,ROW()-3)="","",INDEX(MASTER_DATABASE!$AQ$4:$AQ$1000,ROW()-3))</f>
        <v/>
      </c>
    </row>
    <row r="319" customFormat="false" ht="15" hidden="false" customHeight="false" outlineLevel="0" collapsed="false">
      <c r="A319" s="11" t="str">
        <f aca="false">IF(INDEX(MASTER_DATABASE!$A$4:$A$1000,ROW()-3)="","",INDEX(MASTER_DATABASE!$A$4:$A$1000,ROW()-3)&amp;"")</f>
        <v/>
      </c>
      <c r="B319" s="7" t="str">
        <f aca="false">IF(INDEX(MASTER_DATABASE!$A$4:$A$1000,ROW()-3)="","",INDEX(MASTER_DATABASE!$E$4:$E$1000,ROW()-3)&amp;"")</f>
        <v/>
      </c>
      <c r="C319" s="7" t="str">
        <f aca="false">IF(INDEX(MASTER_DATABASE!$A$4:$A$1000,ROW()-3)="","",INDEX(MASTER_DATABASE!$F$4:$F$1000,ROW()-3)&amp;"")</f>
        <v/>
      </c>
      <c r="D319" s="7" t="str">
        <f aca="false">IF(INDEX(MASTER_DATABASE!$A$4:$A$1000,ROW()-3)="","",INDEX(MASTER_DATABASE!$AL$4:$AL$1000,ROW()-3)&amp;"")</f>
        <v/>
      </c>
      <c r="E319" s="7" t="str">
        <f aca="false">IF(INDEX(MASTER_DATABASE!$A$4:$A$1000,ROW()-3)="","",INDEX(MASTER_DATABASE!$G$4:$G$1000,ROW()-3)&amp;"")</f>
        <v/>
      </c>
      <c r="F319" s="11" t="str">
        <f aca="false">IF(INDEX(MASTER_DATABASE!$A$4:$A$1000,ROW()-3)="","",INDEX(MASTER_DATABASE!$AP$4:$AP$1000,ROW()-3)&amp;"")</f>
        <v/>
      </c>
      <c r="G31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1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1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19" s="7" t="str">
        <f aca="false">IF(INDEX(MASTER_DATABASE!$A$4:$A$1000,ROW()-3)="","",INDEX(MASTER_DATABASE!$J$4:$J$1000,ROW()-3)&amp;"")</f>
        <v/>
      </c>
      <c r="K319" s="7" t="str">
        <f aca="false">IF(INDEX(MASTER_DATABASE!$A$4:$A$1000,ROW()-3)="","",INDEX(MASTER_DATABASE!$M$4:$M$1000,ROW()-3)&amp;"")</f>
        <v/>
      </c>
      <c r="L319" s="7" t="str">
        <f aca="false">IF(INDEX(MASTER_DATABASE!$A$4:$A$1000,ROW()-3)="","",INDEX(MASTER_DATABASE!$Q$4:$Q$1000,ROW()-3)&amp;"")</f>
        <v/>
      </c>
      <c r="M319" s="11" t="str">
        <f aca="false">IF(INDEX(MASTER_DATABASE!$A$4:$A$1000,ROW()-3)="","",INDEX(MASTER_DATABASE!$AI$4:$AI$1000,ROW()-3)&amp;"")</f>
        <v/>
      </c>
      <c r="N319" s="11" t="str">
        <f aca="false">IF(INDEX(MASTER_DATABASE!$A$4:$A$1000,ROW()-3)="","",INDEX(MASTER_DATABASE!$AJ$4:$AJ$1000,ROW()-3)&amp;"")</f>
        <v/>
      </c>
      <c r="O319" s="11" t="str">
        <f aca="false">IF(INDEX(MASTER_DATABASE!$A$4:$A$1000,ROW()-3)="","",IF(INDEX(MASTER_DATABASE!$BE$4:$BE$1000,ROW()-3)="LIVE","Yes","No"))</f>
        <v/>
      </c>
      <c r="P319" s="7" t="str">
        <f aca="false">IF(INDEX(MASTER_DATABASE!$A$4:$A$1000,ROW()-3)="","",INDEX(MASTER_DATABASE!$BG$4:$BG$1000,ROW()-3)&amp;"")</f>
        <v/>
      </c>
      <c r="Q319" s="11" t="str">
        <f aca="false">IF(INDEX(MASTER_DATABASE!$A$4:$A$1000,ROW()-3)="","",INDEX(MASTER_DATABASE!$AQ$4:$AQ$1000,ROW()-3))</f>
        <v/>
      </c>
    </row>
    <row r="320" customFormat="false" ht="15" hidden="false" customHeight="false" outlineLevel="0" collapsed="false">
      <c r="A320" s="11" t="str">
        <f aca="false">IF(INDEX(MASTER_DATABASE!$A$4:$A$1000,ROW()-3)="","",INDEX(MASTER_DATABASE!$A$4:$A$1000,ROW()-3)&amp;"")</f>
        <v/>
      </c>
      <c r="B320" s="7" t="str">
        <f aca="false">IF(INDEX(MASTER_DATABASE!$A$4:$A$1000,ROW()-3)="","",INDEX(MASTER_DATABASE!$E$4:$E$1000,ROW()-3)&amp;"")</f>
        <v/>
      </c>
      <c r="C320" s="7" t="str">
        <f aca="false">IF(INDEX(MASTER_DATABASE!$A$4:$A$1000,ROW()-3)="","",INDEX(MASTER_DATABASE!$F$4:$F$1000,ROW()-3)&amp;"")</f>
        <v/>
      </c>
      <c r="D320" s="7" t="str">
        <f aca="false">IF(INDEX(MASTER_DATABASE!$A$4:$A$1000,ROW()-3)="","",INDEX(MASTER_DATABASE!$AL$4:$AL$1000,ROW()-3)&amp;"")</f>
        <v/>
      </c>
      <c r="E320" s="7" t="str">
        <f aca="false">IF(INDEX(MASTER_DATABASE!$A$4:$A$1000,ROW()-3)="","",INDEX(MASTER_DATABASE!$G$4:$G$1000,ROW()-3)&amp;"")</f>
        <v/>
      </c>
      <c r="F320" s="11" t="str">
        <f aca="false">IF(INDEX(MASTER_DATABASE!$A$4:$A$1000,ROW()-3)="","",INDEX(MASTER_DATABASE!$AP$4:$AP$1000,ROW()-3)&amp;"")</f>
        <v/>
      </c>
      <c r="G32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0" s="7" t="str">
        <f aca="false">IF(INDEX(MASTER_DATABASE!$A$4:$A$1000,ROW()-3)="","",INDEX(MASTER_DATABASE!$J$4:$J$1000,ROW()-3)&amp;"")</f>
        <v/>
      </c>
      <c r="K320" s="7" t="str">
        <f aca="false">IF(INDEX(MASTER_DATABASE!$A$4:$A$1000,ROW()-3)="","",INDEX(MASTER_DATABASE!$M$4:$M$1000,ROW()-3)&amp;"")</f>
        <v/>
      </c>
      <c r="L320" s="7" t="str">
        <f aca="false">IF(INDEX(MASTER_DATABASE!$A$4:$A$1000,ROW()-3)="","",INDEX(MASTER_DATABASE!$Q$4:$Q$1000,ROW()-3)&amp;"")</f>
        <v/>
      </c>
      <c r="M320" s="11" t="str">
        <f aca="false">IF(INDEX(MASTER_DATABASE!$A$4:$A$1000,ROW()-3)="","",INDEX(MASTER_DATABASE!$AI$4:$AI$1000,ROW()-3)&amp;"")</f>
        <v/>
      </c>
      <c r="N320" s="11" t="str">
        <f aca="false">IF(INDEX(MASTER_DATABASE!$A$4:$A$1000,ROW()-3)="","",INDEX(MASTER_DATABASE!$AJ$4:$AJ$1000,ROW()-3)&amp;"")</f>
        <v/>
      </c>
      <c r="O320" s="11" t="str">
        <f aca="false">IF(INDEX(MASTER_DATABASE!$A$4:$A$1000,ROW()-3)="","",IF(INDEX(MASTER_DATABASE!$BE$4:$BE$1000,ROW()-3)="LIVE","Yes","No"))</f>
        <v/>
      </c>
      <c r="P320" s="7" t="str">
        <f aca="false">IF(INDEX(MASTER_DATABASE!$A$4:$A$1000,ROW()-3)="","",INDEX(MASTER_DATABASE!$BG$4:$BG$1000,ROW()-3)&amp;"")</f>
        <v/>
      </c>
      <c r="Q320" s="11" t="str">
        <f aca="false">IF(INDEX(MASTER_DATABASE!$A$4:$A$1000,ROW()-3)="","",INDEX(MASTER_DATABASE!$AQ$4:$AQ$1000,ROW()-3))</f>
        <v/>
      </c>
    </row>
    <row r="321" customFormat="false" ht="15" hidden="false" customHeight="false" outlineLevel="0" collapsed="false">
      <c r="A321" s="11" t="str">
        <f aca="false">IF(INDEX(MASTER_DATABASE!$A$4:$A$1000,ROW()-3)="","",INDEX(MASTER_DATABASE!$A$4:$A$1000,ROW()-3)&amp;"")</f>
        <v/>
      </c>
      <c r="B321" s="7" t="str">
        <f aca="false">IF(INDEX(MASTER_DATABASE!$A$4:$A$1000,ROW()-3)="","",INDEX(MASTER_DATABASE!$E$4:$E$1000,ROW()-3)&amp;"")</f>
        <v/>
      </c>
      <c r="C321" s="7" t="str">
        <f aca="false">IF(INDEX(MASTER_DATABASE!$A$4:$A$1000,ROW()-3)="","",INDEX(MASTER_DATABASE!$F$4:$F$1000,ROW()-3)&amp;"")</f>
        <v/>
      </c>
      <c r="D321" s="7" t="str">
        <f aca="false">IF(INDEX(MASTER_DATABASE!$A$4:$A$1000,ROW()-3)="","",INDEX(MASTER_DATABASE!$AL$4:$AL$1000,ROW()-3)&amp;"")</f>
        <v/>
      </c>
      <c r="E321" s="7" t="str">
        <f aca="false">IF(INDEX(MASTER_DATABASE!$A$4:$A$1000,ROW()-3)="","",INDEX(MASTER_DATABASE!$G$4:$G$1000,ROW()-3)&amp;"")</f>
        <v/>
      </c>
      <c r="F321" s="11" t="str">
        <f aca="false">IF(INDEX(MASTER_DATABASE!$A$4:$A$1000,ROW()-3)="","",INDEX(MASTER_DATABASE!$AP$4:$AP$1000,ROW()-3)&amp;"")</f>
        <v/>
      </c>
      <c r="G32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1" s="7" t="str">
        <f aca="false">IF(INDEX(MASTER_DATABASE!$A$4:$A$1000,ROW()-3)="","",INDEX(MASTER_DATABASE!$J$4:$J$1000,ROW()-3)&amp;"")</f>
        <v/>
      </c>
      <c r="K321" s="7" t="str">
        <f aca="false">IF(INDEX(MASTER_DATABASE!$A$4:$A$1000,ROW()-3)="","",INDEX(MASTER_DATABASE!$M$4:$M$1000,ROW()-3)&amp;"")</f>
        <v/>
      </c>
      <c r="L321" s="7" t="str">
        <f aca="false">IF(INDEX(MASTER_DATABASE!$A$4:$A$1000,ROW()-3)="","",INDEX(MASTER_DATABASE!$Q$4:$Q$1000,ROW()-3)&amp;"")</f>
        <v/>
      </c>
      <c r="M321" s="11" t="str">
        <f aca="false">IF(INDEX(MASTER_DATABASE!$A$4:$A$1000,ROW()-3)="","",INDEX(MASTER_DATABASE!$AI$4:$AI$1000,ROW()-3)&amp;"")</f>
        <v/>
      </c>
      <c r="N321" s="11" t="str">
        <f aca="false">IF(INDEX(MASTER_DATABASE!$A$4:$A$1000,ROW()-3)="","",INDEX(MASTER_DATABASE!$AJ$4:$AJ$1000,ROW()-3)&amp;"")</f>
        <v/>
      </c>
      <c r="O321" s="11" t="str">
        <f aca="false">IF(INDEX(MASTER_DATABASE!$A$4:$A$1000,ROW()-3)="","",IF(INDEX(MASTER_DATABASE!$BE$4:$BE$1000,ROW()-3)="LIVE","Yes","No"))</f>
        <v/>
      </c>
      <c r="P321" s="7" t="str">
        <f aca="false">IF(INDEX(MASTER_DATABASE!$A$4:$A$1000,ROW()-3)="","",INDEX(MASTER_DATABASE!$BG$4:$BG$1000,ROW()-3)&amp;"")</f>
        <v/>
      </c>
      <c r="Q321" s="11" t="str">
        <f aca="false">IF(INDEX(MASTER_DATABASE!$A$4:$A$1000,ROW()-3)="","",INDEX(MASTER_DATABASE!$AQ$4:$AQ$1000,ROW()-3))</f>
        <v/>
      </c>
    </row>
    <row r="322" customFormat="false" ht="15" hidden="false" customHeight="false" outlineLevel="0" collapsed="false">
      <c r="A322" s="11" t="str">
        <f aca="false">IF(INDEX(MASTER_DATABASE!$A$4:$A$1000,ROW()-3)="","",INDEX(MASTER_DATABASE!$A$4:$A$1000,ROW()-3)&amp;"")</f>
        <v/>
      </c>
      <c r="B322" s="7" t="str">
        <f aca="false">IF(INDEX(MASTER_DATABASE!$A$4:$A$1000,ROW()-3)="","",INDEX(MASTER_DATABASE!$E$4:$E$1000,ROW()-3)&amp;"")</f>
        <v/>
      </c>
      <c r="C322" s="7" t="str">
        <f aca="false">IF(INDEX(MASTER_DATABASE!$A$4:$A$1000,ROW()-3)="","",INDEX(MASTER_DATABASE!$F$4:$F$1000,ROW()-3)&amp;"")</f>
        <v/>
      </c>
      <c r="D322" s="7" t="str">
        <f aca="false">IF(INDEX(MASTER_DATABASE!$A$4:$A$1000,ROW()-3)="","",INDEX(MASTER_DATABASE!$AL$4:$AL$1000,ROW()-3)&amp;"")</f>
        <v/>
      </c>
      <c r="E322" s="7" t="str">
        <f aca="false">IF(INDEX(MASTER_DATABASE!$A$4:$A$1000,ROW()-3)="","",INDEX(MASTER_DATABASE!$G$4:$G$1000,ROW()-3)&amp;"")</f>
        <v/>
      </c>
      <c r="F322" s="11" t="str">
        <f aca="false">IF(INDEX(MASTER_DATABASE!$A$4:$A$1000,ROW()-3)="","",INDEX(MASTER_DATABASE!$AP$4:$AP$1000,ROW()-3)&amp;"")</f>
        <v/>
      </c>
      <c r="G32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2" s="7" t="str">
        <f aca="false">IF(INDEX(MASTER_DATABASE!$A$4:$A$1000,ROW()-3)="","",INDEX(MASTER_DATABASE!$J$4:$J$1000,ROW()-3)&amp;"")</f>
        <v/>
      </c>
      <c r="K322" s="7" t="str">
        <f aca="false">IF(INDEX(MASTER_DATABASE!$A$4:$A$1000,ROW()-3)="","",INDEX(MASTER_DATABASE!$M$4:$M$1000,ROW()-3)&amp;"")</f>
        <v/>
      </c>
      <c r="L322" s="7" t="str">
        <f aca="false">IF(INDEX(MASTER_DATABASE!$A$4:$A$1000,ROW()-3)="","",INDEX(MASTER_DATABASE!$Q$4:$Q$1000,ROW()-3)&amp;"")</f>
        <v/>
      </c>
      <c r="M322" s="11" t="str">
        <f aca="false">IF(INDEX(MASTER_DATABASE!$A$4:$A$1000,ROW()-3)="","",INDEX(MASTER_DATABASE!$AI$4:$AI$1000,ROW()-3)&amp;"")</f>
        <v/>
      </c>
      <c r="N322" s="11" t="str">
        <f aca="false">IF(INDEX(MASTER_DATABASE!$A$4:$A$1000,ROW()-3)="","",INDEX(MASTER_DATABASE!$AJ$4:$AJ$1000,ROW()-3)&amp;"")</f>
        <v/>
      </c>
      <c r="O322" s="11" t="str">
        <f aca="false">IF(INDEX(MASTER_DATABASE!$A$4:$A$1000,ROW()-3)="","",IF(INDEX(MASTER_DATABASE!$BE$4:$BE$1000,ROW()-3)="LIVE","Yes","No"))</f>
        <v/>
      </c>
      <c r="P322" s="7" t="str">
        <f aca="false">IF(INDEX(MASTER_DATABASE!$A$4:$A$1000,ROW()-3)="","",INDEX(MASTER_DATABASE!$BG$4:$BG$1000,ROW()-3)&amp;"")</f>
        <v/>
      </c>
      <c r="Q322" s="11" t="str">
        <f aca="false">IF(INDEX(MASTER_DATABASE!$A$4:$A$1000,ROW()-3)="","",INDEX(MASTER_DATABASE!$AQ$4:$AQ$1000,ROW()-3))</f>
        <v/>
      </c>
    </row>
    <row r="323" customFormat="false" ht="15" hidden="false" customHeight="false" outlineLevel="0" collapsed="false">
      <c r="A323" s="11" t="str">
        <f aca="false">IF(INDEX(MASTER_DATABASE!$A$4:$A$1000,ROW()-3)="","",INDEX(MASTER_DATABASE!$A$4:$A$1000,ROW()-3)&amp;"")</f>
        <v/>
      </c>
      <c r="B323" s="7" t="str">
        <f aca="false">IF(INDEX(MASTER_DATABASE!$A$4:$A$1000,ROW()-3)="","",INDEX(MASTER_DATABASE!$E$4:$E$1000,ROW()-3)&amp;"")</f>
        <v/>
      </c>
      <c r="C323" s="7" t="str">
        <f aca="false">IF(INDEX(MASTER_DATABASE!$A$4:$A$1000,ROW()-3)="","",INDEX(MASTER_DATABASE!$F$4:$F$1000,ROW()-3)&amp;"")</f>
        <v/>
      </c>
      <c r="D323" s="7" t="str">
        <f aca="false">IF(INDEX(MASTER_DATABASE!$A$4:$A$1000,ROW()-3)="","",INDEX(MASTER_DATABASE!$AL$4:$AL$1000,ROW()-3)&amp;"")</f>
        <v/>
      </c>
      <c r="E323" s="7" t="str">
        <f aca="false">IF(INDEX(MASTER_DATABASE!$A$4:$A$1000,ROW()-3)="","",INDEX(MASTER_DATABASE!$G$4:$G$1000,ROW()-3)&amp;"")</f>
        <v/>
      </c>
      <c r="F323" s="11" t="str">
        <f aca="false">IF(INDEX(MASTER_DATABASE!$A$4:$A$1000,ROW()-3)="","",INDEX(MASTER_DATABASE!$AP$4:$AP$1000,ROW()-3)&amp;"")</f>
        <v/>
      </c>
      <c r="G32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3" s="7" t="str">
        <f aca="false">IF(INDEX(MASTER_DATABASE!$A$4:$A$1000,ROW()-3)="","",INDEX(MASTER_DATABASE!$J$4:$J$1000,ROW()-3)&amp;"")</f>
        <v/>
      </c>
      <c r="K323" s="7" t="str">
        <f aca="false">IF(INDEX(MASTER_DATABASE!$A$4:$A$1000,ROW()-3)="","",INDEX(MASTER_DATABASE!$M$4:$M$1000,ROW()-3)&amp;"")</f>
        <v/>
      </c>
      <c r="L323" s="7" t="str">
        <f aca="false">IF(INDEX(MASTER_DATABASE!$A$4:$A$1000,ROW()-3)="","",INDEX(MASTER_DATABASE!$Q$4:$Q$1000,ROW()-3)&amp;"")</f>
        <v/>
      </c>
      <c r="M323" s="11" t="str">
        <f aca="false">IF(INDEX(MASTER_DATABASE!$A$4:$A$1000,ROW()-3)="","",INDEX(MASTER_DATABASE!$AI$4:$AI$1000,ROW()-3)&amp;"")</f>
        <v/>
      </c>
      <c r="N323" s="11" t="str">
        <f aca="false">IF(INDEX(MASTER_DATABASE!$A$4:$A$1000,ROW()-3)="","",INDEX(MASTER_DATABASE!$AJ$4:$AJ$1000,ROW()-3)&amp;"")</f>
        <v/>
      </c>
      <c r="O323" s="11" t="str">
        <f aca="false">IF(INDEX(MASTER_DATABASE!$A$4:$A$1000,ROW()-3)="","",IF(INDEX(MASTER_DATABASE!$BE$4:$BE$1000,ROW()-3)="LIVE","Yes","No"))</f>
        <v/>
      </c>
      <c r="P323" s="7" t="str">
        <f aca="false">IF(INDEX(MASTER_DATABASE!$A$4:$A$1000,ROW()-3)="","",INDEX(MASTER_DATABASE!$BG$4:$BG$1000,ROW()-3)&amp;"")</f>
        <v/>
      </c>
      <c r="Q323" s="11" t="str">
        <f aca="false">IF(INDEX(MASTER_DATABASE!$A$4:$A$1000,ROW()-3)="","",INDEX(MASTER_DATABASE!$AQ$4:$AQ$1000,ROW()-3))</f>
        <v/>
      </c>
    </row>
    <row r="324" customFormat="false" ht="15" hidden="false" customHeight="false" outlineLevel="0" collapsed="false">
      <c r="A324" s="11" t="str">
        <f aca="false">IF(INDEX(MASTER_DATABASE!$A$4:$A$1000,ROW()-3)="","",INDEX(MASTER_DATABASE!$A$4:$A$1000,ROW()-3)&amp;"")</f>
        <v/>
      </c>
      <c r="B324" s="7" t="str">
        <f aca="false">IF(INDEX(MASTER_DATABASE!$A$4:$A$1000,ROW()-3)="","",INDEX(MASTER_DATABASE!$E$4:$E$1000,ROW()-3)&amp;"")</f>
        <v/>
      </c>
      <c r="C324" s="7" t="str">
        <f aca="false">IF(INDEX(MASTER_DATABASE!$A$4:$A$1000,ROW()-3)="","",INDEX(MASTER_DATABASE!$F$4:$F$1000,ROW()-3)&amp;"")</f>
        <v/>
      </c>
      <c r="D324" s="7" t="str">
        <f aca="false">IF(INDEX(MASTER_DATABASE!$A$4:$A$1000,ROW()-3)="","",INDEX(MASTER_DATABASE!$AL$4:$AL$1000,ROW()-3)&amp;"")</f>
        <v/>
      </c>
      <c r="E324" s="7" t="str">
        <f aca="false">IF(INDEX(MASTER_DATABASE!$A$4:$A$1000,ROW()-3)="","",INDEX(MASTER_DATABASE!$G$4:$G$1000,ROW()-3)&amp;"")</f>
        <v/>
      </c>
      <c r="F324" s="11" t="str">
        <f aca="false">IF(INDEX(MASTER_DATABASE!$A$4:$A$1000,ROW()-3)="","",INDEX(MASTER_DATABASE!$AP$4:$AP$1000,ROW()-3)&amp;"")</f>
        <v/>
      </c>
      <c r="G32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4" s="7" t="str">
        <f aca="false">IF(INDEX(MASTER_DATABASE!$A$4:$A$1000,ROW()-3)="","",INDEX(MASTER_DATABASE!$J$4:$J$1000,ROW()-3)&amp;"")</f>
        <v/>
      </c>
      <c r="K324" s="7" t="str">
        <f aca="false">IF(INDEX(MASTER_DATABASE!$A$4:$A$1000,ROW()-3)="","",INDEX(MASTER_DATABASE!$M$4:$M$1000,ROW()-3)&amp;"")</f>
        <v/>
      </c>
      <c r="L324" s="7" t="str">
        <f aca="false">IF(INDEX(MASTER_DATABASE!$A$4:$A$1000,ROW()-3)="","",INDEX(MASTER_DATABASE!$Q$4:$Q$1000,ROW()-3)&amp;"")</f>
        <v/>
      </c>
      <c r="M324" s="11" t="str">
        <f aca="false">IF(INDEX(MASTER_DATABASE!$A$4:$A$1000,ROW()-3)="","",INDEX(MASTER_DATABASE!$AI$4:$AI$1000,ROW()-3)&amp;"")</f>
        <v/>
      </c>
      <c r="N324" s="11" t="str">
        <f aca="false">IF(INDEX(MASTER_DATABASE!$A$4:$A$1000,ROW()-3)="","",INDEX(MASTER_DATABASE!$AJ$4:$AJ$1000,ROW()-3)&amp;"")</f>
        <v/>
      </c>
      <c r="O324" s="11" t="str">
        <f aca="false">IF(INDEX(MASTER_DATABASE!$A$4:$A$1000,ROW()-3)="","",IF(INDEX(MASTER_DATABASE!$BE$4:$BE$1000,ROW()-3)="LIVE","Yes","No"))</f>
        <v/>
      </c>
      <c r="P324" s="7" t="str">
        <f aca="false">IF(INDEX(MASTER_DATABASE!$A$4:$A$1000,ROW()-3)="","",INDEX(MASTER_DATABASE!$BG$4:$BG$1000,ROW()-3)&amp;"")</f>
        <v/>
      </c>
      <c r="Q324" s="11" t="str">
        <f aca="false">IF(INDEX(MASTER_DATABASE!$A$4:$A$1000,ROW()-3)="","",INDEX(MASTER_DATABASE!$AQ$4:$AQ$1000,ROW()-3))</f>
        <v/>
      </c>
    </row>
    <row r="325" customFormat="false" ht="15" hidden="false" customHeight="false" outlineLevel="0" collapsed="false">
      <c r="A325" s="11" t="str">
        <f aca="false">IF(INDEX(MASTER_DATABASE!$A$4:$A$1000,ROW()-3)="","",INDEX(MASTER_DATABASE!$A$4:$A$1000,ROW()-3)&amp;"")</f>
        <v/>
      </c>
      <c r="B325" s="7" t="str">
        <f aca="false">IF(INDEX(MASTER_DATABASE!$A$4:$A$1000,ROW()-3)="","",INDEX(MASTER_DATABASE!$E$4:$E$1000,ROW()-3)&amp;"")</f>
        <v/>
      </c>
      <c r="C325" s="7" t="str">
        <f aca="false">IF(INDEX(MASTER_DATABASE!$A$4:$A$1000,ROW()-3)="","",INDEX(MASTER_DATABASE!$F$4:$F$1000,ROW()-3)&amp;"")</f>
        <v/>
      </c>
      <c r="D325" s="7" t="str">
        <f aca="false">IF(INDEX(MASTER_DATABASE!$A$4:$A$1000,ROW()-3)="","",INDEX(MASTER_DATABASE!$AL$4:$AL$1000,ROW()-3)&amp;"")</f>
        <v/>
      </c>
      <c r="E325" s="7" t="str">
        <f aca="false">IF(INDEX(MASTER_DATABASE!$A$4:$A$1000,ROW()-3)="","",INDEX(MASTER_DATABASE!$G$4:$G$1000,ROW()-3)&amp;"")</f>
        <v/>
      </c>
      <c r="F325" s="11" t="str">
        <f aca="false">IF(INDEX(MASTER_DATABASE!$A$4:$A$1000,ROW()-3)="","",INDEX(MASTER_DATABASE!$AP$4:$AP$1000,ROW()-3)&amp;"")</f>
        <v/>
      </c>
      <c r="G32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5" s="7" t="str">
        <f aca="false">IF(INDEX(MASTER_DATABASE!$A$4:$A$1000,ROW()-3)="","",INDEX(MASTER_DATABASE!$J$4:$J$1000,ROW()-3)&amp;"")</f>
        <v/>
      </c>
      <c r="K325" s="7" t="str">
        <f aca="false">IF(INDEX(MASTER_DATABASE!$A$4:$A$1000,ROW()-3)="","",INDEX(MASTER_DATABASE!$M$4:$M$1000,ROW()-3)&amp;"")</f>
        <v/>
      </c>
      <c r="L325" s="7" t="str">
        <f aca="false">IF(INDEX(MASTER_DATABASE!$A$4:$A$1000,ROW()-3)="","",INDEX(MASTER_DATABASE!$Q$4:$Q$1000,ROW()-3)&amp;"")</f>
        <v/>
      </c>
      <c r="M325" s="11" t="str">
        <f aca="false">IF(INDEX(MASTER_DATABASE!$A$4:$A$1000,ROW()-3)="","",INDEX(MASTER_DATABASE!$AI$4:$AI$1000,ROW()-3)&amp;"")</f>
        <v/>
      </c>
      <c r="N325" s="11" t="str">
        <f aca="false">IF(INDEX(MASTER_DATABASE!$A$4:$A$1000,ROW()-3)="","",INDEX(MASTER_DATABASE!$AJ$4:$AJ$1000,ROW()-3)&amp;"")</f>
        <v/>
      </c>
      <c r="O325" s="11" t="str">
        <f aca="false">IF(INDEX(MASTER_DATABASE!$A$4:$A$1000,ROW()-3)="","",IF(INDEX(MASTER_DATABASE!$BE$4:$BE$1000,ROW()-3)="LIVE","Yes","No"))</f>
        <v/>
      </c>
      <c r="P325" s="7" t="str">
        <f aca="false">IF(INDEX(MASTER_DATABASE!$A$4:$A$1000,ROW()-3)="","",INDEX(MASTER_DATABASE!$BG$4:$BG$1000,ROW()-3)&amp;"")</f>
        <v/>
      </c>
      <c r="Q325" s="11" t="str">
        <f aca="false">IF(INDEX(MASTER_DATABASE!$A$4:$A$1000,ROW()-3)="","",INDEX(MASTER_DATABASE!$AQ$4:$AQ$1000,ROW()-3))</f>
        <v/>
      </c>
    </row>
    <row r="326" customFormat="false" ht="15" hidden="false" customHeight="false" outlineLevel="0" collapsed="false">
      <c r="A326" s="11" t="str">
        <f aca="false">IF(INDEX(MASTER_DATABASE!$A$4:$A$1000,ROW()-3)="","",INDEX(MASTER_DATABASE!$A$4:$A$1000,ROW()-3)&amp;"")</f>
        <v/>
      </c>
      <c r="B326" s="7" t="str">
        <f aca="false">IF(INDEX(MASTER_DATABASE!$A$4:$A$1000,ROW()-3)="","",INDEX(MASTER_DATABASE!$E$4:$E$1000,ROW()-3)&amp;"")</f>
        <v/>
      </c>
      <c r="C326" s="7" t="str">
        <f aca="false">IF(INDEX(MASTER_DATABASE!$A$4:$A$1000,ROW()-3)="","",INDEX(MASTER_DATABASE!$F$4:$F$1000,ROW()-3)&amp;"")</f>
        <v/>
      </c>
      <c r="D326" s="7" t="str">
        <f aca="false">IF(INDEX(MASTER_DATABASE!$A$4:$A$1000,ROW()-3)="","",INDEX(MASTER_DATABASE!$AL$4:$AL$1000,ROW()-3)&amp;"")</f>
        <v/>
      </c>
      <c r="E326" s="7" t="str">
        <f aca="false">IF(INDEX(MASTER_DATABASE!$A$4:$A$1000,ROW()-3)="","",INDEX(MASTER_DATABASE!$G$4:$G$1000,ROW()-3)&amp;"")</f>
        <v/>
      </c>
      <c r="F326" s="11" t="str">
        <f aca="false">IF(INDEX(MASTER_DATABASE!$A$4:$A$1000,ROW()-3)="","",INDEX(MASTER_DATABASE!$AP$4:$AP$1000,ROW()-3)&amp;"")</f>
        <v/>
      </c>
      <c r="G32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6" s="7" t="str">
        <f aca="false">IF(INDEX(MASTER_DATABASE!$A$4:$A$1000,ROW()-3)="","",INDEX(MASTER_DATABASE!$J$4:$J$1000,ROW()-3)&amp;"")</f>
        <v/>
      </c>
      <c r="K326" s="7" t="str">
        <f aca="false">IF(INDEX(MASTER_DATABASE!$A$4:$A$1000,ROW()-3)="","",INDEX(MASTER_DATABASE!$M$4:$M$1000,ROW()-3)&amp;"")</f>
        <v/>
      </c>
      <c r="L326" s="7" t="str">
        <f aca="false">IF(INDEX(MASTER_DATABASE!$A$4:$A$1000,ROW()-3)="","",INDEX(MASTER_DATABASE!$Q$4:$Q$1000,ROW()-3)&amp;"")</f>
        <v/>
      </c>
      <c r="M326" s="11" t="str">
        <f aca="false">IF(INDEX(MASTER_DATABASE!$A$4:$A$1000,ROW()-3)="","",INDEX(MASTER_DATABASE!$AI$4:$AI$1000,ROW()-3)&amp;"")</f>
        <v/>
      </c>
      <c r="N326" s="11" t="str">
        <f aca="false">IF(INDEX(MASTER_DATABASE!$A$4:$A$1000,ROW()-3)="","",INDEX(MASTER_DATABASE!$AJ$4:$AJ$1000,ROW()-3)&amp;"")</f>
        <v/>
      </c>
      <c r="O326" s="11" t="str">
        <f aca="false">IF(INDEX(MASTER_DATABASE!$A$4:$A$1000,ROW()-3)="","",IF(INDEX(MASTER_DATABASE!$BE$4:$BE$1000,ROW()-3)="LIVE","Yes","No"))</f>
        <v/>
      </c>
      <c r="P326" s="7" t="str">
        <f aca="false">IF(INDEX(MASTER_DATABASE!$A$4:$A$1000,ROW()-3)="","",INDEX(MASTER_DATABASE!$BG$4:$BG$1000,ROW()-3)&amp;"")</f>
        <v/>
      </c>
      <c r="Q326" s="11" t="str">
        <f aca="false">IF(INDEX(MASTER_DATABASE!$A$4:$A$1000,ROW()-3)="","",INDEX(MASTER_DATABASE!$AQ$4:$AQ$1000,ROW()-3))</f>
        <v/>
      </c>
    </row>
    <row r="327" customFormat="false" ht="15" hidden="false" customHeight="false" outlineLevel="0" collapsed="false">
      <c r="A327" s="11" t="str">
        <f aca="false">IF(INDEX(MASTER_DATABASE!$A$4:$A$1000,ROW()-3)="","",INDEX(MASTER_DATABASE!$A$4:$A$1000,ROW()-3)&amp;"")</f>
        <v/>
      </c>
      <c r="B327" s="7" t="str">
        <f aca="false">IF(INDEX(MASTER_DATABASE!$A$4:$A$1000,ROW()-3)="","",INDEX(MASTER_DATABASE!$E$4:$E$1000,ROW()-3)&amp;"")</f>
        <v/>
      </c>
      <c r="C327" s="7" t="str">
        <f aca="false">IF(INDEX(MASTER_DATABASE!$A$4:$A$1000,ROW()-3)="","",INDEX(MASTER_DATABASE!$F$4:$F$1000,ROW()-3)&amp;"")</f>
        <v/>
      </c>
      <c r="D327" s="7" t="str">
        <f aca="false">IF(INDEX(MASTER_DATABASE!$A$4:$A$1000,ROW()-3)="","",INDEX(MASTER_DATABASE!$AL$4:$AL$1000,ROW()-3)&amp;"")</f>
        <v/>
      </c>
      <c r="E327" s="7" t="str">
        <f aca="false">IF(INDEX(MASTER_DATABASE!$A$4:$A$1000,ROW()-3)="","",INDEX(MASTER_DATABASE!$G$4:$G$1000,ROW()-3)&amp;"")</f>
        <v/>
      </c>
      <c r="F327" s="11" t="str">
        <f aca="false">IF(INDEX(MASTER_DATABASE!$A$4:$A$1000,ROW()-3)="","",INDEX(MASTER_DATABASE!$AP$4:$AP$1000,ROW()-3)&amp;"")</f>
        <v/>
      </c>
      <c r="G32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7" s="7" t="str">
        <f aca="false">IF(INDEX(MASTER_DATABASE!$A$4:$A$1000,ROW()-3)="","",INDEX(MASTER_DATABASE!$J$4:$J$1000,ROW()-3)&amp;"")</f>
        <v/>
      </c>
      <c r="K327" s="7" t="str">
        <f aca="false">IF(INDEX(MASTER_DATABASE!$A$4:$A$1000,ROW()-3)="","",INDEX(MASTER_DATABASE!$M$4:$M$1000,ROW()-3)&amp;"")</f>
        <v/>
      </c>
      <c r="L327" s="7" t="str">
        <f aca="false">IF(INDEX(MASTER_DATABASE!$A$4:$A$1000,ROW()-3)="","",INDEX(MASTER_DATABASE!$Q$4:$Q$1000,ROW()-3)&amp;"")</f>
        <v/>
      </c>
      <c r="M327" s="11" t="str">
        <f aca="false">IF(INDEX(MASTER_DATABASE!$A$4:$A$1000,ROW()-3)="","",INDEX(MASTER_DATABASE!$AI$4:$AI$1000,ROW()-3)&amp;"")</f>
        <v/>
      </c>
      <c r="N327" s="11" t="str">
        <f aca="false">IF(INDEX(MASTER_DATABASE!$A$4:$A$1000,ROW()-3)="","",INDEX(MASTER_DATABASE!$AJ$4:$AJ$1000,ROW()-3)&amp;"")</f>
        <v/>
      </c>
      <c r="O327" s="11" t="str">
        <f aca="false">IF(INDEX(MASTER_DATABASE!$A$4:$A$1000,ROW()-3)="","",IF(INDEX(MASTER_DATABASE!$BE$4:$BE$1000,ROW()-3)="LIVE","Yes","No"))</f>
        <v/>
      </c>
      <c r="P327" s="7" t="str">
        <f aca="false">IF(INDEX(MASTER_DATABASE!$A$4:$A$1000,ROW()-3)="","",INDEX(MASTER_DATABASE!$BG$4:$BG$1000,ROW()-3)&amp;"")</f>
        <v/>
      </c>
      <c r="Q327" s="11" t="str">
        <f aca="false">IF(INDEX(MASTER_DATABASE!$A$4:$A$1000,ROW()-3)="","",INDEX(MASTER_DATABASE!$AQ$4:$AQ$1000,ROW()-3))</f>
        <v/>
      </c>
    </row>
    <row r="328" customFormat="false" ht="15" hidden="false" customHeight="false" outlineLevel="0" collapsed="false">
      <c r="A328" s="11" t="str">
        <f aca="false">IF(INDEX(MASTER_DATABASE!$A$4:$A$1000,ROW()-3)="","",INDEX(MASTER_DATABASE!$A$4:$A$1000,ROW()-3)&amp;"")</f>
        <v/>
      </c>
      <c r="B328" s="7" t="str">
        <f aca="false">IF(INDEX(MASTER_DATABASE!$A$4:$A$1000,ROW()-3)="","",INDEX(MASTER_DATABASE!$E$4:$E$1000,ROW()-3)&amp;"")</f>
        <v/>
      </c>
      <c r="C328" s="7" t="str">
        <f aca="false">IF(INDEX(MASTER_DATABASE!$A$4:$A$1000,ROW()-3)="","",INDEX(MASTER_DATABASE!$F$4:$F$1000,ROW()-3)&amp;"")</f>
        <v/>
      </c>
      <c r="D328" s="7" t="str">
        <f aca="false">IF(INDEX(MASTER_DATABASE!$A$4:$A$1000,ROW()-3)="","",INDEX(MASTER_DATABASE!$AL$4:$AL$1000,ROW()-3)&amp;"")</f>
        <v/>
      </c>
      <c r="E328" s="7" t="str">
        <f aca="false">IF(INDEX(MASTER_DATABASE!$A$4:$A$1000,ROW()-3)="","",INDEX(MASTER_DATABASE!$G$4:$G$1000,ROW()-3)&amp;"")</f>
        <v/>
      </c>
      <c r="F328" s="11" t="str">
        <f aca="false">IF(INDEX(MASTER_DATABASE!$A$4:$A$1000,ROW()-3)="","",INDEX(MASTER_DATABASE!$AP$4:$AP$1000,ROW()-3)&amp;"")</f>
        <v/>
      </c>
      <c r="G32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8" s="7" t="str">
        <f aca="false">IF(INDEX(MASTER_DATABASE!$A$4:$A$1000,ROW()-3)="","",INDEX(MASTER_DATABASE!$J$4:$J$1000,ROW()-3)&amp;"")</f>
        <v/>
      </c>
      <c r="K328" s="7" t="str">
        <f aca="false">IF(INDEX(MASTER_DATABASE!$A$4:$A$1000,ROW()-3)="","",INDEX(MASTER_DATABASE!$M$4:$M$1000,ROW()-3)&amp;"")</f>
        <v/>
      </c>
      <c r="L328" s="7" t="str">
        <f aca="false">IF(INDEX(MASTER_DATABASE!$A$4:$A$1000,ROW()-3)="","",INDEX(MASTER_DATABASE!$Q$4:$Q$1000,ROW()-3)&amp;"")</f>
        <v/>
      </c>
      <c r="M328" s="11" t="str">
        <f aca="false">IF(INDEX(MASTER_DATABASE!$A$4:$A$1000,ROW()-3)="","",INDEX(MASTER_DATABASE!$AI$4:$AI$1000,ROW()-3)&amp;"")</f>
        <v/>
      </c>
      <c r="N328" s="11" t="str">
        <f aca="false">IF(INDEX(MASTER_DATABASE!$A$4:$A$1000,ROW()-3)="","",INDEX(MASTER_DATABASE!$AJ$4:$AJ$1000,ROW()-3)&amp;"")</f>
        <v/>
      </c>
      <c r="O328" s="11" t="str">
        <f aca="false">IF(INDEX(MASTER_DATABASE!$A$4:$A$1000,ROW()-3)="","",IF(INDEX(MASTER_DATABASE!$BE$4:$BE$1000,ROW()-3)="LIVE","Yes","No"))</f>
        <v/>
      </c>
      <c r="P328" s="7" t="str">
        <f aca="false">IF(INDEX(MASTER_DATABASE!$A$4:$A$1000,ROW()-3)="","",INDEX(MASTER_DATABASE!$BG$4:$BG$1000,ROW()-3)&amp;"")</f>
        <v/>
      </c>
      <c r="Q328" s="11" t="str">
        <f aca="false">IF(INDEX(MASTER_DATABASE!$A$4:$A$1000,ROW()-3)="","",INDEX(MASTER_DATABASE!$AQ$4:$AQ$1000,ROW()-3))</f>
        <v/>
      </c>
    </row>
    <row r="329" customFormat="false" ht="15" hidden="false" customHeight="false" outlineLevel="0" collapsed="false">
      <c r="A329" s="11" t="str">
        <f aca="false">IF(INDEX(MASTER_DATABASE!$A$4:$A$1000,ROW()-3)="","",INDEX(MASTER_DATABASE!$A$4:$A$1000,ROW()-3)&amp;"")</f>
        <v/>
      </c>
      <c r="B329" s="7" t="str">
        <f aca="false">IF(INDEX(MASTER_DATABASE!$A$4:$A$1000,ROW()-3)="","",INDEX(MASTER_DATABASE!$E$4:$E$1000,ROW()-3)&amp;"")</f>
        <v/>
      </c>
      <c r="C329" s="7" t="str">
        <f aca="false">IF(INDEX(MASTER_DATABASE!$A$4:$A$1000,ROW()-3)="","",INDEX(MASTER_DATABASE!$F$4:$F$1000,ROW()-3)&amp;"")</f>
        <v/>
      </c>
      <c r="D329" s="7" t="str">
        <f aca="false">IF(INDEX(MASTER_DATABASE!$A$4:$A$1000,ROW()-3)="","",INDEX(MASTER_DATABASE!$AL$4:$AL$1000,ROW()-3)&amp;"")</f>
        <v/>
      </c>
      <c r="E329" s="7" t="str">
        <f aca="false">IF(INDEX(MASTER_DATABASE!$A$4:$A$1000,ROW()-3)="","",INDEX(MASTER_DATABASE!$G$4:$G$1000,ROW()-3)&amp;"")</f>
        <v/>
      </c>
      <c r="F329" s="11" t="str">
        <f aca="false">IF(INDEX(MASTER_DATABASE!$A$4:$A$1000,ROW()-3)="","",INDEX(MASTER_DATABASE!$AP$4:$AP$1000,ROW()-3)&amp;"")</f>
        <v/>
      </c>
      <c r="G32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2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2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29" s="7" t="str">
        <f aca="false">IF(INDEX(MASTER_DATABASE!$A$4:$A$1000,ROW()-3)="","",INDEX(MASTER_DATABASE!$J$4:$J$1000,ROW()-3)&amp;"")</f>
        <v/>
      </c>
      <c r="K329" s="7" t="str">
        <f aca="false">IF(INDEX(MASTER_DATABASE!$A$4:$A$1000,ROW()-3)="","",INDEX(MASTER_DATABASE!$M$4:$M$1000,ROW()-3)&amp;"")</f>
        <v/>
      </c>
      <c r="L329" s="7" t="str">
        <f aca="false">IF(INDEX(MASTER_DATABASE!$A$4:$A$1000,ROW()-3)="","",INDEX(MASTER_DATABASE!$Q$4:$Q$1000,ROW()-3)&amp;"")</f>
        <v/>
      </c>
      <c r="M329" s="11" t="str">
        <f aca="false">IF(INDEX(MASTER_DATABASE!$A$4:$A$1000,ROW()-3)="","",INDEX(MASTER_DATABASE!$AI$4:$AI$1000,ROW()-3)&amp;"")</f>
        <v/>
      </c>
      <c r="N329" s="11" t="str">
        <f aca="false">IF(INDEX(MASTER_DATABASE!$A$4:$A$1000,ROW()-3)="","",INDEX(MASTER_DATABASE!$AJ$4:$AJ$1000,ROW()-3)&amp;"")</f>
        <v/>
      </c>
      <c r="O329" s="11" t="str">
        <f aca="false">IF(INDEX(MASTER_DATABASE!$A$4:$A$1000,ROW()-3)="","",IF(INDEX(MASTER_DATABASE!$BE$4:$BE$1000,ROW()-3)="LIVE","Yes","No"))</f>
        <v/>
      </c>
      <c r="P329" s="7" t="str">
        <f aca="false">IF(INDEX(MASTER_DATABASE!$A$4:$A$1000,ROW()-3)="","",INDEX(MASTER_DATABASE!$BG$4:$BG$1000,ROW()-3)&amp;"")</f>
        <v/>
      </c>
      <c r="Q329" s="11" t="str">
        <f aca="false">IF(INDEX(MASTER_DATABASE!$A$4:$A$1000,ROW()-3)="","",INDEX(MASTER_DATABASE!$AQ$4:$AQ$1000,ROW()-3))</f>
        <v/>
      </c>
    </row>
    <row r="330" customFormat="false" ht="15" hidden="false" customHeight="false" outlineLevel="0" collapsed="false">
      <c r="A330" s="11" t="str">
        <f aca="false">IF(INDEX(MASTER_DATABASE!$A$4:$A$1000,ROW()-3)="","",INDEX(MASTER_DATABASE!$A$4:$A$1000,ROW()-3)&amp;"")</f>
        <v/>
      </c>
      <c r="B330" s="7" t="str">
        <f aca="false">IF(INDEX(MASTER_DATABASE!$A$4:$A$1000,ROW()-3)="","",INDEX(MASTER_DATABASE!$E$4:$E$1000,ROW()-3)&amp;"")</f>
        <v/>
      </c>
      <c r="C330" s="7" t="str">
        <f aca="false">IF(INDEX(MASTER_DATABASE!$A$4:$A$1000,ROW()-3)="","",INDEX(MASTER_DATABASE!$F$4:$F$1000,ROW()-3)&amp;"")</f>
        <v/>
      </c>
      <c r="D330" s="7" t="str">
        <f aca="false">IF(INDEX(MASTER_DATABASE!$A$4:$A$1000,ROW()-3)="","",INDEX(MASTER_DATABASE!$AL$4:$AL$1000,ROW()-3)&amp;"")</f>
        <v/>
      </c>
      <c r="E330" s="7" t="str">
        <f aca="false">IF(INDEX(MASTER_DATABASE!$A$4:$A$1000,ROW()-3)="","",INDEX(MASTER_DATABASE!$G$4:$G$1000,ROW()-3)&amp;"")</f>
        <v/>
      </c>
      <c r="F330" s="11" t="str">
        <f aca="false">IF(INDEX(MASTER_DATABASE!$A$4:$A$1000,ROW()-3)="","",INDEX(MASTER_DATABASE!$AP$4:$AP$1000,ROW()-3)&amp;"")</f>
        <v/>
      </c>
      <c r="G33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0" s="7" t="str">
        <f aca="false">IF(INDEX(MASTER_DATABASE!$A$4:$A$1000,ROW()-3)="","",INDEX(MASTER_DATABASE!$J$4:$J$1000,ROW()-3)&amp;"")</f>
        <v/>
      </c>
      <c r="K330" s="7" t="str">
        <f aca="false">IF(INDEX(MASTER_DATABASE!$A$4:$A$1000,ROW()-3)="","",INDEX(MASTER_DATABASE!$M$4:$M$1000,ROW()-3)&amp;"")</f>
        <v/>
      </c>
      <c r="L330" s="7" t="str">
        <f aca="false">IF(INDEX(MASTER_DATABASE!$A$4:$A$1000,ROW()-3)="","",INDEX(MASTER_DATABASE!$Q$4:$Q$1000,ROW()-3)&amp;"")</f>
        <v/>
      </c>
      <c r="M330" s="11" t="str">
        <f aca="false">IF(INDEX(MASTER_DATABASE!$A$4:$A$1000,ROW()-3)="","",INDEX(MASTER_DATABASE!$AI$4:$AI$1000,ROW()-3)&amp;"")</f>
        <v/>
      </c>
      <c r="N330" s="11" t="str">
        <f aca="false">IF(INDEX(MASTER_DATABASE!$A$4:$A$1000,ROW()-3)="","",INDEX(MASTER_DATABASE!$AJ$4:$AJ$1000,ROW()-3)&amp;"")</f>
        <v/>
      </c>
      <c r="O330" s="11" t="str">
        <f aca="false">IF(INDEX(MASTER_DATABASE!$A$4:$A$1000,ROW()-3)="","",IF(INDEX(MASTER_DATABASE!$BE$4:$BE$1000,ROW()-3)="LIVE","Yes","No"))</f>
        <v/>
      </c>
      <c r="P330" s="7" t="str">
        <f aca="false">IF(INDEX(MASTER_DATABASE!$A$4:$A$1000,ROW()-3)="","",INDEX(MASTER_DATABASE!$BG$4:$BG$1000,ROW()-3)&amp;"")</f>
        <v/>
      </c>
      <c r="Q330" s="11" t="str">
        <f aca="false">IF(INDEX(MASTER_DATABASE!$A$4:$A$1000,ROW()-3)="","",INDEX(MASTER_DATABASE!$AQ$4:$AQ$1000,ROW()-3))</f>
        <v/>
      </c>
    </row>
    <row r="331" customFormat="false" ht="15" hidden="false" customHeight="false" outlineLevel="0" collapsed="false">
      <c r="A331" s="11" t="str">
        <f aca="false">IF(INDEX(MASTER_DATABASE!$A$4:$A$1000,ROW()-3)="","",INDEX(MASTER_DATABASE!$A$4:$A$1000,ROW()-3)&amp;"")</f>
        <v/>
      </c>
      <c r="B331" s="7" t="str">
        <f aca="false">IF(INDEX(MASTER_DATABASE!$A$4:$A$1000,ROW()-3)="","",INDEX(MASTER_DATABASE!$E$4:$E$1000,ROW()-3)&amp;"")</f>
        <v/>
      </c>
      <c r="C331" s="7" t="str">
        <f aca="false">IF(INDEX(MASTER_DATABASE!$A$4:$A$1000,ROW()-3)="","",INDEX(MASTER_DATABASE!$F$4:$F$1000,ROW()-3)&amp;"")</f>
        <v/>
      </c>
      <c r="D331" s="7" t="str">
        <f aca="false">IF(INDEX(MASTER_DATABASE!$A$4:$A$1000,ROW()-3)="","",INDEX(MASTER_DATABASE!$AL$4:$AL$1000,ROW()-3)&amp;"")</f>
        <v/>
      </c>
      <c r="E331" s="7" t="str">
        <f aca="false">IF(INDEX(MASTER_DATABASE!$A$4:$A$1000,ROW()-3)="","",INDEX(MASTER_DATABASE!$G$4:$G$1000,ROW()-3)&amp;"")</f>
        <v/>
      </c>
      <c r="F331" s="11" t="str">
        <f aca="false">IF(INDEX(MASTER_DATABASE!$A$4:$A$1000,ROW()-3)="","",INDEX(MASTER_DATABASE!$AP$4:$AP$1000,ROW()-3)&amp;"")</f>
        <v/>
      </c>
      <c r="G33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1" s="7" t="str">
        <f aca="false">IF(INDEX(MASTER_DATABASE!$A$4:$A$1000,ROW()-3)="","",INDEX(MASTER_DATABASE!$J$4:$J$1000,ROW()-3)&amp;"")</f>
        <v/>
      </c>
      <c r="K331" s="7" t="str">
        <f aca="false">IF(INDEX(MASTER_DATABASE!$A$4:$A$1000,ROW()-3)="","",INDEX(MASTER_DATABASE!$M$4:$M$1000,ROW()-3)&amp;"")</f>
        <v/>
      </c>
      <c r="L331" s="7" t="str">
        <f aca="false">IF(INDEX(MASTER_DATABASE!$A$4:$A$1000,ROW()-3)="","",INDEX(MASTER_DATABASE!$Q$4:$Q$1000,ROW()-3)&amp;"")</f>
        <v/>
      </c>
      <c r="M331" s="11" t="str">
        <f aca="false">IF(INDEX(MASTER_DATABASE!$A$4:$A$1000,ROW()-3)="","",INDEX(MASTER_DATABASE!$AI$4:$AI$1000,ROW()-3)&amp;"")</f>
        <v/>
      </c>
      <c r="N331" s="11" t="str">
        <f aca="false">IF(INDEX(MASTER_DATABASE!$A$4:$A$1000,ROW()-3)="","",INDEX(MASTER_DATABASE!$AJ$4:$AJ$1000,ROW()-3)&amp;"")</f>
        <v/>
      </c>
      <c r="O331" s="11" t="str">
        <f aca="false">IF(INDEX(MASTER_DATABASE!$A$4:$A$1000,ROW()-3)="","",IF(INDEX(MASTER_DATABASE!$BE$4:$BE$1000,ROW()-3)="LIVE","Yes","No"))</f>
        <v/>
      </c>
      <c r="P331" s="7" t="str">
        <f aca="false">IF(INDEX(MASTER_DATABASE!$A$4:$A$1000,ROW()-3)="","",INDEX(MASTER_DATABASE!$BG$4:$BG$1000,ROW()-3)&amp;"")</f>
        <v/>
      </c>
      <c r="Q331" s="11" t="str">
        <f aca="false">IF(INDEX(MASTER_DATABASE!$A$4:$A$1000,ROW()-3)="","",INDEX(MASTER_DATABASE!$AQ$4:$AQ$1000,ROW()-3))</f>
        <v/>
      </c>
    </row>
    <row r="332" customFormat="false" ht="15" hidden="false" customHeight="false" outlineLevel="0" collapsed="false">
      <c r="A332" s="11" t="str">
        <f aca="false">IF(INDEX(MASTER_DATABASE!$A$4:$A$1000,ROW()-3)="","",INDEX(MASTER_DATABASE!$A$4:$A$1000,ROW()-3)&amp;"")</f>
        <v/>
      </c>
      <c r="B332" s="7" t="str">
        <f aca="false">IF(INDEX(MASTER_DATABASE!$A$4:$A$1000,ROW()-3)="","",INDEX(MASTER_DATABASE!$E$4:$E$1000,ROW()-3)&amp;"")</f>
        <v/>
      </c>
      <c r="C332" s="7" t="str">
        <f aca="false">IF(INDEX(MASTER_DATABASE!$A$4:$A$1000,ROW()-3)="","",INDEX(MASTER_DATABASE!$F$4:$F$1000,ROW()-3)&amp;"")</f>
        <v/>
      </c>
      <c r="D332" s="7" t="str">
        <f aca="false">IF(INDEX(MASTER_DATABASE!$A$4:$A$1000,ROW()-3)="","",INDEX(MASTER_DATABASE!$AL$4:$AL$1000,ROW()-3)&amp;"")</f>
        <v/>
      </c>
      <c r="E332" s="7" t="str">
        <f aca="false">IF(INDEX(MASTER_DATABASE!$A$4:$A$1000,ROW()-3)="","",INDEX(MASTER_DATABASE!$G$4:$G$1000,ROW()-3)&amp;"")</f>
        <v/>
      </c>
      <c r="F332" s="11" t="str">
        <f aca="false">IF(INDEX(MASTER_DATABASE!$A$4:$A$1000,ROW()-3)="","",INDEX(MASTER_DATABASE!$AP$4:$AP$1000,ROW()-3)&amp;"")</f>
        <v/>
      </c>
      <c r="G33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2" s="7" t="str">
        <f aca="false">IF(INDEX(MASTER_DATABASE!$A$4:$A$1000,ROW()-3)="","",INDEX(MASTER_DATABASE!$J$4:$J$1000,ROW()-3)&amp;"")</f>
        <v/>
      </c>
      <c r="K332" s="7" t="str">
        <f aca="false">IF(INDEX(MASTER_DATABASE!$A$4:$A$1000,ROW()-3)="","",INDEX(MASTER_DATABASE!$M$4:$M$1000,ROW()-3)&amp;"")</f>
        <v/>
      </c>
      <c r="L332" s="7" t="str">
        <f aca="false">IF(INDEX(MASTER_DATABASE!$A$4:$A$1000,ROW()-3)="","",INDEX(MASTER_DATABASE!$Q$4:$Q$1000,ROW()-3)&amp;"")</f>
        <v/>
      </c>
      <c r="M332" s="11" t="str">
        <f aca="false">IF(INDEX(MASTER_DATABASE!$A$4:$A$1000,ROW()-3)="","",INDEX(MASTER_DATABASE!$AI$4:$AI$1000,ROW()-3)&amp;"")</f>
        <v/>
      </c>
      <c r="N332" s="11" t="str">
        <f aca="false">IF(INDEX(MASTER_DATABASE!$A$4:$A$1000,ROW()-3)="","",INDEX(MASTER_DATABASE!$AJ$4:$AJ$1000,ROW()-3)&amp;"")</f>
        <v/>
      </c>
      <c r="O332" s="11" t="str">
        <f aca="false">IF(INDEX(MASTER_DATABASE!$A$4:$A$1000,ROW()-3)="","",IF(INDEX(MASTER_DATABASE!$BE$4:$BE$1000,ROW()-3)="LIVE","Yes","No"))</f>
        <v/>
      </c>
      <c r="P332" s="7" t="str">
        <f aca="false">IF(INDEX(MASTER_DATABASE!$A$4:$A$1000,ROW()-3)="","",INDEX(MASTER_DATABASE!$BG$4:$BG$1000,ROW()-3)&amp;"")</f>
        <v/>
      </c>
      <c r="Q332" s="11" t="str">
        <f aca="false">IF(INDEX(MASTER_DATABASE!$A$4:$A$1000,ROW()-3)="","",INDEX(MASTER_DATABASE!$AQ$4:$AQ$1000,ROW()-3))</f>
        <v/>
      </c>
    </row>
    <row r="333" customFormat="false" ht="15" hidden="false" customHeight="false" outlineLevel="0" collapsed="false">
      <c r="A333" s="11" t="str">
        <f aca="false">IF(INDEX(MASTER_DATABASE!$A$4:$A$1000,ROW()-3)="","",INDEX(MASTER_DATABASE!$A$4:$A$1000,ROW()-3)&amp;"")</f>
        <v/>
      </c>
      <c r="B333" s="7" t="str">
        <f aca="false">IF(INDEX(MASTER_DATABASE!$A$4:$A$1000,ROW()-3)="","",INDEX(MASTER_DATABASE!$E$4:$E$1000,ROW()-3)&amp;"")</f>
        <v/>
      </c>
      <c r="C333" s="7" t="str">
        <f aca="false">IF(INDEX(MASTER_DATABASE!$A$4:$A$1000,ROW()-3)="","",INDEX(MASTER_DATABASE!$F$4:$F$1000,ROW()-3)&amp;"")</f>
        <v/>
      </c>
      <c r="D333" s="7" t="str">
        <f aca="false">IF(INDEX(MASTER_DATABASE!$A$4:$A$1000,ROW()-3)="","",INDEX(MASTER_DATABASE!$AL$4:$AL$1000,ROW()-3)&amp;"")</f>
        <v/>
      </c>
      <c r="E333" s="7" t="str">
        <f aca="false">IF(INDEX(MASTER_DATABASE!$A$4:$A$1000,ROW()-3)="","",INDEX(MASTER_DATABASE!$G$4:$G$1000,ROW()-3)&amp;"")</f>
        <v/>
      </c>
      <c r="F333" s="11" t="str">
        <f aca="false">IF(INDEX(MASTER_DATABASE!$A$4:$A$1000,ROW()-3)="","",INDEX(MASTER_DATABASE!$AP$4:$AP$1000,ROW()-3)&amp;"")</f>
        <v/>
      </c>
      <c r="G33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3" s="7" t="str">
        <f aca="false">IF(INDEX(MASTER_DATABASE!$A$4:$A$1000,ROW()-3)="","",INDEX(MASTER_DATABASE!$J$4:$J$1000,ROW()-3)&amp;"")</f>
        <v/>
      </c>
      <c r="K333" s="7" t="str">
        <f aca="false">IF(INDEX(MASTER_DATABASE!$A$4:$A$1000,ROW()-3)="","",INDEX(MASTER_DATABASE!$M$4:$M$1000,ROW()-3)&amp;"")</f>
        <v/>
      </c>
      <c r="L333" s="7" t="str">
        <f aca="false">IF(INDEX(MASTER_DATABASE!$A$4:$A$1000,ROW()-3)="","",INDEX(MASTER_DATABASE!$Q$4:$Q$1000,ROW()-3)&amp;"")</f>
        <v/>
      </c>
      <c r="M333" s="11" t="str">
        <f aca="false">IF(INDEX(MASTER_DATABASE!$A$4:$A$1000,ROW()-3)="","",INDEX(MASTER_DATABASE!$AI$4:$AI$1000,ROW()-3)&amp;"")</f>
        <v/>
      </c>
      <c r="N333" s="11" t="str">
        <f aca="false">IF(INDEX(MASTER_DATABASE!$A$4:$A$1000,ROW()-3)="","",INDEX(MASTER_DATABASE!$AJ$4:$AJ$1000,ROW()-3)&amp;"")</f>
        <v/>
      </c>
      <c r="O333" s="11" t="str">
        <f aca="false">IF(INDEX(MASTER_DATABASE!$A$4:$A$1000,ROW()-3)="","",IF(INDEX(MASTER_DATABASE!$BE$4:$BE$1000,ROW()-3)="LIVE","Yes","No"))</f>
        <v/>
      </c>
      <c r="P333" s="7" t="str">
        <f aca="false">IF(INDEX(MASTER_DATABASE!$A$4:$A$1000,ROW()-3)="","",INDEX(MASTER_DATABASE!$BG$4:$BG$1000,ROW()-3)&amp;"")</f>
        <v/>
      </c>
      <c r="Q333" s="11" t="str">
        <f aca="false">IF(INDEX(MASTER_DATABASE!$A$4:$A$1000,ROW()-3)="","",INDEX(MASTER_DATABASE!$AQ$4:$AQ$1000,ROW()-3))</f>
        <v/>
      </c>
    </row>
    <row r="334" customFormat="false" ht="15" hidden="false" customHeight="false" outlineLevel="0" collapsed="false">
      <c r="A334" s="11" t="str">
        <f aca="false">IF(INDEX(MASTER_DATABASE!$A$4:$A$1000,ROW()-3)="","",INDEX(MASTER_DATABASE!$A$4:$A$1000,ROW()-3)&amp;"")</f>
        <v/>
      </c>
      <c r="B334" s="7" t="str">
        <f aca="false">IF(INDEX(MASTER_DATABASE!$A$4:$A$1000,ROW()-3)="","",INDEX(MASTER_DATABASE!$E$4:$E$1000,ROW()-3)&amp;"")</f>
        <v/>
      </c>
      <c r="C334" s="7" t="str">
        <f aca="false">IF(INDEX(MASTER_DATABASE!$A$4:$A$1000,ROW()-3)="","",INDEX(MASTER_DATABASE!$F$4:$F$1000,ROW()-3)&amp;"")</f>
        <v/>
      </c>
      <c r="D334" s="7" t="str">
        <f aca="false">IF(INDEX(MASTER_DATABASE!$A$4:$A$1000,ROW()-3)="","",INDEX(MASTER_DATABASE!$AL$4:$AL$1000,ROW()-3)&amp;"")</f>
        <v/>
      </c>
      <c r="E334" s="7" t="str">
        <f aca="false">IF(INDEX(MASTER_DATABASE!$A$4:$A$1000,ROW()-3)="","",INDEX(MASTER_DATABASE!$G$4:$G$1000,ROW()-3)&amp;"")</f>
        <v/>
      </c>
      <c r="F334" s="11" t="str">
        <f aca="false">IF(INDEX(MASTER_DATABASE!$A$4:$A$1000,ROW()-3)="","",INDEX(MASTER_DATABASE!$AP$4:$AP$1000,ROW()-3)&amp;"")</f>
        <v/>
      </c>
      <c r="G33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4" s="7" t="str">
        <f aca="false">IF(INDEX(MASTER_DATABASE!$A$4:$A$1000,ROW()-3)="","",INDEX(MASTER_DATABASE!$J$4:$J$1000,ROW()-3)&amp;"")</f>
        <v/>
      </c>
      <c r="K334" s="7" t="str">
        <f aca="false">IF(INDEX(MASTER_DATABASE!$A$4:$A$1000,ROW()-3)="","",INDEX(MASTER_DATABASE!$M$4:$M$1000,ROW()-3)&amp;"")</f>
        <v/>
      </c>
      <c r="L334" s="7" t="str">
        <f aca="false">IF(INDEX(MASTER_DATABASE!$A$4:$A$1000,ROW()-3)="","",INDEX(MASTER_DATABASE!$Q$4:$Q$1000,ROW()-3)&amp;"")</f>
        <v/>
      </c>
      <c r="M334" s="11" t="str">
        <f aca="false">IF(INDEX(MASTER_DATABASE!$A$4:$A$1000,ROW()-3)="","",INDEX(MASTER_DATABASE!$AI$4:$AI$1000,ROW()-3)&amp;"")</f>
        <v/>
      </c>
      <c r="N334" s="11" t="str">
        <f aca="false">IF(INDEX(MASTER_DATABASE!$A$4:$A$1000,ROW()-3)="","",INDEX(MASTER_DATABASE!$AJ$4:$AJ$1000,ROW()-3)&amp;"")</f>
        <v/>
      </c>
      <c r="O334" s="11" t="str">
        <f aca="false">IF(INDEX(MASTER_DATABASE!$A$4:$A$1000,ROW()-3)="","",IF(INDEX(MASTER_DATABASE!$BE$4:$BE$1000,ROW()-3)="LIVE","Yes","No"))</f>
        <v/>
      </c>
      <c r="P334" s="7" t="str">
        <f aca="false">IF(INDEX(MASTER_DATABASE!$A$4:$A$1000,ROW()-3)="","",INDEX(MASTER_DATABASE!$BG$4:$BG$1000,ROW()-3)&amp;"")</f>
        <v/>
      </c>
      <c r="Q334" s="11" t="str">
        <f aca="false">IF(INDEX(MASTER_DATABASE!$A$4:$A$1000,ROW()-3)="","",INDEX(MASTER_DATABASE!$AQ$4:$AQ$1000,ROW()-3))</f>
        <v/>
      </c>
    </row>
    <row r="335" customFormat="false" ht="15" hidden="false" customHeight="false" outlineLevel="0" collapsed="false">
      <c r="A335" s="11" t="str">
        <f aca="false">IF(INDEX(MASTER_DATABASE!$A$4:$A$1000,ROW()-3)="","",INDEX(MASTER_DATABASE!$A$4:$A$1000,ROW()-3)&amp;"")</f>
        <v/>
      </c>
      <c r="B335" s="7" t="str">
        <f aca="false">IF(INDEX(MASTER_DATABASE!$A$4:$A$1000,ROW()-3)="","",INDEX(MASTER_DATABASE!$E$4:$E$1000,ROW()-3)&amp;"")</f>
        <v/>
      </c>
      <c r="C335" s="7" t="str">
        <f aca="false">IF(INDEX(MASTER_DATABASE!$A$4:$A$1000,ROW()-3)="","",INDEX(MASTER_DATABASE!$F$4:$F$1000,ROW()-3)&amp;"")</f>
        <v/>
      </c>
      <c r="D335" s="7" t="str">
        <f aca="false">IF(INDEX(MASTER_DATABASE!$A$4:$A$1000,ROW()-3)="","",INDEX(MASTER_DATABASE!$AL$4:$AL$1000,ROW()-3)&amp;"")</f>
        <v/>
      </c>
      <c r="E335" s="7" t="str">
        <f aca="false">IF(INDEX(MASTER_DATABASE!$A$4:$A$1000,ROW()-3)="","",INDEX(MASTER_DATABASE!$G$4:$G$1000,ROW()-3)&amp;"")</f>
        <v/>
      </c>
      <c r="F335" s="11" t="str">
        <f aca="false">IF(INDEX(MASTER_DATABASE!$A$4:$A$1000,ROW()-3)="","",INDEX(MASTER_DATABASE!$AP$4:$AP$1000,ROW()-3)&amp;"")</f>
        <v/>
      </c>
      <c r="G33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5" s="7" t="str">
        <f aca="false">IF(INDEX(MASTER_DATABASE!$A$4:$A$1000,ROW()-3)="","",INDEX(MASTER_DATABASE!$J$4:$J$1000,ROW()-3)&amp;"")</f>
        <v/>
      </c>
      <c r="K335" s="7" t="str">
        <f aca="false">IF(INDEX(MASTER_DATABASE!$A$4:$A$1000,ROW()-3)="","",INDEX(MASTER_DATABASE!$M$4:$M$1000,ROW()-3)&amp;"")</f>
        <v/>
      </c>
      <c r="L335" s="7" t="str">
        <f aca="false">IF(INDEX(MASTER_DATABASE!$A$4:$A$1000,ROW()-3)="","",INDEX(MASTER_DATABASE!$Q$4:$Q$1000,ROW()-3)&amp;"")</f>
        <v/>
      </c>
      <c r="M335" s="11" t="str">
        <f aca="false">IF(INDEX(MASTER_DATABASE!$A$4:$A$1000,ROW()-3)="","",INDEX(MASTER_DATABASE!$AI$4:$AI$1000,ROW()-3)&amp;"")</f>
        <v/>
      </c>
      <c r="N335" s="11" t="str">
        <f aca="false">IF(INDEX(MASTER_DATABASE!$A$4:$A$1000,ROW()-3)="","",INDEX(MASTER_DATABASE!$AJ$4:$AJ$1000,ROW()-3)&amp;"")</f>
        <v/>
      </c>
      <c r="O335" s="11" t="str">
        <f aca="false">IF(INDEX(MASTER_DATABASE!$A$4:$A$1000,ROW()-3)="","",IF(INDEX(MASTER_DATABASE!$BE$4:$BE$1000,ROW()-3)="LIVE","Yes","No"))</f>
        <v/>
      </c>
      <c r="P335" s="7" t="str">
        <f aca="false">IF(INDEX(MASTER_DATABASE!$A$4:$A$1000,ROW()-3)="","",INDEX(MASTER_DATABASE!$BG$4:$BG$1000,ROW()-3)&amp;"")</f>
        <v/>
      </c>
      <c r="Q335" s="11" t="str">
        <f aca="false">IF(INDEX(MASTER_DATABASE!$A$4:$A$1000,ROW()-3)="","",INDEX(MASTER_DATABASE!$AQ$4:$AQ$1000,ROW()-3))</f>
        <v/>
      </c>
    </row>
    <row r="336" customFormat="false" ht="15" hidden="false" customHeight="false" outlineLevel="0" collapsed="false">
      <c r="A336" s="11" t="str">
        <f aca="false">IF(INDEX(MASTER_DATABASE!$A$4:$A$1000,ROW()-3)="","",INDEX(MASTER_DATABASE!$A$4:$A$1000,ROW()-3)&amp;"")</f>
        <v/>
      </c>
      <c r="B336" s="7" t="str">
        <f aca="false">IF(INDEX(MASTER_DATABASE!$A$4:$A$1000,ROW()-3)="","",INDEX(MASTER_DATABASE!$E$4:$E$1000,ROW()-3)&amp;"")</f>
        <v/>
      </c>
      <c r="C336" s="7" t="str">
        <f aca="false">IF(INDEX(MASTER_DATABASE!$A$4:$A$1000,ROW()-3)="","",INDEX(MASTER_DATABASE!$F$4:$F$1000,ROW()-3)&amp;"")</f>
        <v/>
      </c>
      <c r="D336" s="7" t="str">
        <f aca="false">IF(INDEX(MASTER_DATABASE!$A$4:$A$1000,ROW()-3)="","",INDEX(MASTER_DATABASE!$AL$4:$AL$1000,ROW()-3)&amp;"")</f>
        <v/>
      </c>
      <c r="E336" s="7" t="str">
        <f aca="false">IF(INDEX(MASTER_DATABASE!$A$4:$A$1000,ROW()-3)="","",INDEX(MASTER_DATABASE!$G$4:$G$1000,ROW()-3)&amp;"")</f>
        <v/>
      </c>
      <c r="F336" s="11" t="str">
        <f aca="false">IF(INDEX(MASTER_DATABASE!$A$4:$A$1000,ROW()-3)="","",INDEX(MASTER_DATABASE!$AP$4:$AP$1000,ROW()-3)&amp;"")</f>
        <v/>
      </c>
      <c r="G33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6" s="7" t="str">
        <f aca="false">IF(INDEX(MASTER_DATABASE!$A$4:$A$1000,ROW()-3)="","",INDEX(MASTER_DATABASE!$J$4:$J$1000,ROW()-3)&amp;"")</f>
        <v/>
      </c>
      <c r="K336" s="7" t="str">
        <f aca="false">IF(INDEX(MASTER_DATABASE!$A$4:$A$1000,ROW()-3)="","",INDEX(MASTER_DATABASE!$M$4:$M$1000,ROW()-3)&amp;"")</f>
        <v/>
      </c>
      <c r="L336" s="7" t="str">
        <f aca="false">IF(INDEX(MASTER_DATABASE!$A$4:$A$1000,ROW()-3)="","",INDEX(MASTER_DATABASE!$Q$4:$Q$1000,ROW()-3)&amp;"")</f>
        <v/>
      </c>
      <c r="M336" s="11" t="str">
        <f aca="false">IF(INDEX(MASTER_DATABASE!$A$4:$A$1000,ROW()-3)="","",INDEX(MASTER_DATABASE!$AI$4:$AI$1000,ROW()-3)&amp;"")</f>
        <v/>
      </c>
      <c r="N336" s="11" t="str">
        <f aca="false">IF(INDEX(MASTER_DATABASE!$A$4:$A$1000,ROW()-3)="","",INDEX(MASTER_DATABASE!$AJ$4:$AJ$1000,ROW()-3)&amp;"")</f>
        <v/>
      </c>
      <c r="O336" s="11" t="str">
        <f aca="false">IF(INDEX(MASTER_DATABASE!$A$4:$A$1000,ROW()-3)="","",IF(INDEX(MASTER_DATABASE!$BE$4:$BE$1000,ROW()-3)="LIVE","Yes","No"))</f>
        <v/>
      </c>
      <c r="P336" s="7" t="str">
        <f aca="false">IF(INDEX(MASTER_DATABASE!$A$4:$A$1000,ROW()-3)="","",INDEX(MASTER_DATABASE!$BG$4:$BG$1000,ROW()-3)&amp;"")</f>
        <v/>
      </c>
      <c r="Q336" s="11" t="str">
        <f aca="false">IF(INDEX(MASTER_DATABASE!$A$4:$A$1000,ROW()-3)="","",INDEX(MASTER_DATABASE!$AQ$4:$AQ$1000,ROW()-3))</f>
        <v/>
      </c>
    </row>
    <row r="337" customFormat="false" ht="15" hidden="false" customHeight="false" outlineLevel="0" collapsed="false">
      <c r="A337" s="11" t="str">
        <f aca="false">IF(INDEX(MASTER_DATABASE!$A$4:$A$1000,ROW()-3)="","",INDEX(MASTER_DATABASE!$A$4:$A$1000,ROW()-3)&amp;"")</f>
        <v/>
      </c>
      <c r="B337" s="7" t="str">
        <f aca="false">IF(INDEX(MASTER_DATABASE!$A$4:$A$1000,ROW()-3)="","",INDEX(MASTER_DATABASE!$E$4:$E$1000,ROW()-3)&amp;"")</f>
        <v/>
      </c>
      <c r="C337" s="7" t="str">
        <f aca="false">IF(INDEX(MASTER_DATABASE!$A$4:$A$1000,ROW()-3)="","",INDEX(MASTER_DATABASE!$F$4:$F$1000,ROW()-3)&amp;"")</f>
        <v/>
      </c>
      <c r="D337" s="7" t="str">
        <f aca="false">IF(INDEX(MASTER_DATABASE!$A$4:$A$1000,ROW()-3)="","",INDEX(MASTER_DATABASE!$AL$4:$AL$1000,ROW()-3)&amp;"")</f>
        <v/>
      </c>
      <c r="E337" s="7" t="str">
        <f aca="false">IF(INDEX(MASTER_DATABASE!$A$4:$A$1000,ROW()-3)="","",INDEX(MASTER_DATABASE!$G$4:$G$1000,ROW()-3)&amp;"")</f>
        <v/>
      </c>
      <c r="F337" s="11" t="str">
        <f aca="false">IF(INDEX(MASTER_DATABASE!$A$4:$A$1000,ROW()-3)="","",INDEX(MASTER_DATABASE!$AP$4:$AP$1000,ROW()-3)&amp;"")</f>
        <v/>
      </c>
      <c r="G33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7" s="7" t="str">
        <f aca="false">IF(INDEX(MASTER_DATABASE!$A$4:$A$1000,ROW()-3)="","",INDEX(MASTER_DATABASE!$J$4:$J$1000,ROW()-3)&amp;"")</f>
        <v/>
      </c>
      <c r="K337" s="7" t="str">
        <f aca="false">IF(INDEX(MASTER_DATABASE!$A$4:$A$1000,ROW()-3)="","",INDEX(MASTER_DATABASE!$M$4:$M$1000,ROW()-3)&amp;"")</f>
        <v/>
      </c>
      <c r="L337" s="7" t="str">
        <f aca="false">IF(INDEX(MASTER_DATABASE!$A$4:$A$1000,ROW()-3)="","",INDEX(MASTER_DATABASE!$Q$4:$Q$1000,ROW()-3)&amp;"")</f>
        <v/>
      </c>
      <c r="M337" s="11" t="str">
        <f aca="false">IF(INDEX(MASTER_DATABASE!$A$4:$A$1000,ROW()-3)="","",INDEX(MASTER_DATABASE!$AI$4:$AI$1000,ROW()-3)&amp;"")</f>
        <v/>
      </c>
      <c r="N337" s="11" t="str">
        <f aca="false">IF(INDEX(MASTER_DATABASE!$A$4:$A$1000,ROW()-3)="","",INDEX(MASTER_DATABASE!$AJ$4:$AJ$1000,ROW()-3)&amp;"")</f>
        <v/>
      </c>
      <c r="O337" s="11" t="str">
        <f aca="false">IF(INDEX(MASTER_DATABASE!$A$4:$A$1000,ROW()-3)="","",IF(INDEX(MASTER_DATABASE!$BE$4:$BE$1000,ROW()-3)="LIVE","Yes","No"))</f>
        <v/>
      </c>
      <c r="P337" s="7" t="str">
        <f aca="false">IF(INDEX(MASTER_DATABASE!$A$4:$A$1000,ROW()-3)="","",INDEX(MASTER_DATABASE!$BG$4:$BG$1000,ROW()-3)&amp;"")</f>
        <v/>
      </c>
      <c r="Q337" s="11" t="str">
        <f aca="false">IF(INDEX(MASTER_DATABASE!$A$4:$A$1000,ROW()-3)="","",INDEX(MASTER_DATABASE!$AQ$4:$AQ$1000,ROW()-3))</f>
        <v/>
      </c>
    </row>
    <row r="338" customFormat="false" ht="15" hidden="false" customHeight="false" outlineLevel="0" collapsed="false">
      <c r="A338" s="11" t="str">
        <f aca="false">IF(INDEX(MASTER_DATABASE!$A$4:$A$1000,ROW()-3)="","",INDEX(MASTER_DATABASE!$A$4:$A$1000,ROW()-3)&amp;"")</f>
        <v/>
      </c>
      <c r="B338" s="7" t="str">
        <f aca="false">IF(INDEX(MASTER_DATABASE!$A$4:$A$1000,ROW()-3)="","",INDEX(MASTER_DATABASE!$E$4:$E$1000,ROW()-3)&amp;"")</f>
        <v/>
      </c>
      <c r="C338" s="7" t="str">
        <f aca="false">IF(INDEX(MASTER_DATABASE!$A$4:$A$1000,ROW()-3)="","",INDEX(MASTER_DATABASE!$F$4:$F$1000,ROW()-3)&amp;"")</f>
        <v/>
      </c>
      <c r="D338" s="7" t="str">
        <f aca="false">IF(INDEX(MASTER_DATABASE!$A$4:$A$1000,ROW()-3)="","",INDEX(MASTER_DATABASE!$AL$4:$AL$1000,ROW()-3)&amp;"")</f>
        <v/>
      </c>
      <c r="E338" s="7" t="str">
        <f aca="false">IF(INDEX(MASTER_DATABASE!$A$4:$A$1000,ROW()-3)="","",INDEX(MASTER_DATABASE!$G$4:$G$1000,ROW()-3)&amp;"")</f>
        <v/>
      </c>
      <c r="F338" s="11" t="str">
        <f aca="false">IF(INDEX(MASTER_DATABASE!$A$4:$A$1000,ROW()-3)="","",INDEX(MASTER_DATABASE!$AP$4:$AP$1000,ROW()-3)&amp;"")</f>
        <v/>
      </c>
      <c r="G33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8" s="7" t="str">
        <f aca="false">IF(INDEX(MASTER_DATABASE!$A$4:$A$1000,ROW()-3)="","",INDEX(MASTER_DATABASE!$J$4:$J$1000,ROW()-3)&amp;"")</f>
        <v/>
      </c>
      <c r="K338" s="7" t="str">
        <f aca="false">IF(INDEX(MASTER_DATABASE!$A$4:$A$1000,ROW()-3)="","",INDEX(MASTER_DATABASE!$M$4:$M$1000,ROW()-3)&amp;"")</f>
        <v/>
      </c>
      <c r="L338" s="7" t="str">
        <f aca="false">IF(INDEX(MASTER_DATABASE!$A$4:$A$1000,ROW()-3)="","",INDEX(MASTER_DATABASE!$Q$4:$Q$1000,ROW()-3)&amp;"")</f>
        <v/>
      </c>
      <c r="M338" s="11" t="str">
        <f aca="false">IF(INDEX(MASTER_DATABASE!$A$4:$A$1000,ROW()-3)="","",INDEX(MASTER_DATABASE!$AI$4:$AI$1000,ROW()-3)&amp;"")</f>
        <v/>
      </c>
      <c r="N338" s="11" t="str">
        <f aca="false">IF(INDEX(MASTER_DATABASE!$A$4:$A$1000,ROW()-3)="","",INDEX(MASTER_DATABASE!$AJ$4:$AJ$1000,ROW()-3)&amp;"")</f>
        <v/>
      </c>
      <c r="O338" s="11" t="str">
        <f aca="false">IF(INDEX(MASTER_DATABASE!$A$4:$A$1000,ROW()-3)="","",IF(INDEX(MASTER_DATABASE!$BE$4:$BE$1000,ROW()-3)="LIVE","Yes","No"))</f>
        <v/>
      </c>
      <c r="P338" s="7" t="str">
        <f aca="false">IF(INDEX(MASTER_DATABASE!$A$4:$A$1000,ROW()-3)="","",INDEX(MASTER_DATABASE!$BG$4:$BG$1000,ROW()-3)&amp;"")</f>
        <v/>
      </c>
      <c r="Q338" s="11" t="str">
        <f aca="false">IF(INDEX(MASTER_DATABASE!$A$4:$A$1000,ROW()-3)="","",INDEX(MASTER_DATABASE!$AQ$4:$AQ$1000,ROW()-3))</f>
        <v/>
      </c>
    </row>
    <row r="339" customFormat="false" ht="15" hidden="false" customHeight="false" outlineLevel="0" collapsed="false">
      <c r="A339" s="11" t="str">
        <f aca="false">IF(INDEX(MASTER_DATABASE!$A$4:$A$1000,ROW()-3)="","",INDEX(MASTER_DATABASE!$A$4:$A$1000,ROW()-3)&amp;"")</f>
        <v/>
      </c>
      <c r="B339" s="7" t="str">
        <f aca="false">IF(INDEX(MASTER_DATABASE!$A$4:$A$1000,ROW()-3)="","",INDEX(MASTER_DATABASE!$E$4:$E$1000,ROW()-3)&amp;"")</f>
        <v/>
      </c>
      <c r="C339" s="7" t="str">
        <f aca="false">IF(INDEX(MASTER_DATABASE!$A$4:$A$1000,ROW()-3)="","",INDEX(MASTER_DATABASE!$F$4:$F$1000,ROW()-3)&amp;"")</f>
        <v/>
      </c>
      <c r="D339" s="7" t="str">
        <f aca="false">IF(INDEX(MASTER_DATABASE!$A$4:$A$1000,ROW()-3)="","",INDEX(MASTER_DATABASE!$AL$4:$AL$1000,ROW()-3)&amp;"")</f>
        <v/>
      </c>
      <c r="E339" s="7" t="str">
        <f aca="false">IF(INDEX(MASTER_DATABASE!$A$4:$A$1000,ROW()-3)="","",INDEX(MASTER_DATABASE!$G$4:$G$1000,ROW()-3)&amp;"")</f>
        <v/>
      </c>
      <c r="F339" s="11" t="str">
        <f aca="false">IF(INDEX(MASTER_DATABASE!$A$4:$A$1000,ROW()-3)="","",INDEX(MASTER_DATABASE!$AP$4:$AP$1000,ROW()-3)&amp;"")</f>
        <v/>
      </c>
      <c r="G33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3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3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39" s="7" t="str">
        <f aca="false">IF(INDEX(MASTER_DATABASE!$A$4:$A$1000,ROW()-3)="","",INDEX(MASTER_DATABASE!$J$4:$J$1000,ROW()-3)&amp;"")</f>
        <v/>
      </c>
      <c r="K339" s="7" t="str">
        <f aca="false">IF(INDEX(MASTER_DATABASE!$A$4:$A$1000,ROW()-3)="","",INDEX(MASTER_DATABASE!$M$4:$M$1000,ROW()-3)&amp;"")</f>
        <v/>
      </c>
      <c r="L339" s="7" t="str">
        <f aca="false">IF(INDEX(MASTER_DATABASE!$A$4:$A$1000,ROW()-3)="","",INDEX(MASTER_DATABASE!$Q$4:$Q$1000,ROW()-3)&amp;"")</f>
        <v/>
      </c>
      <c r="M339" s="11" t="str">
        <f aca="false">IF(INDEX(MASTER_DATABASE!$A$4:$A$1000,ROW()-3)="","",INDEX(MASTER_DATABASE!$AI$4:$AI$1000,ROW()-3)&amp;"")</f>
        <v/>
      </c>
      <c r="N339" s="11" t="str">
        <f aca="false">IF(INDEX(MASTER_DATABASE!$A$4:$A$1000,ROW()-3)="","",INDEX(MASTER_DATABASE!$AJ$4:$AJ$1000,ROW()-3)&amp;"")</f>
        <v/>
      </c>
      <c r="O339" s="11" t="str">
        <f aca="false">IF(INDEX(MASTER_DATABASE!$A$4:$A$1000,ROW()-3)="","",IF(INDEX(MASTER_DATABASE!$BE$4:$BE$1000,ROW()-3)="LIVE","Yes","No"))</f>
        <v/>
      </c>
      <c r="P339" s="7" t="str">
        <f aca="false">IF(INDEX(MASTER_DATABASE!$A$4:$A$1000,ROW()-3)="","",INDEX(MASTER_DATABASE!$BG$4:$BG$1000,ROW()-3)&amp;"")</f>
        <v/>
      </c>
      <c r="Q339" s="11" t="str">
        <f aca="false">IF(INDEX(MASTER_DATABASE!$A$4:$A$1000,ROW()-3)="","",INDEX(MASTER_DATABASE!$AQ$4:$AQ$1000,ROW()-3))</f>
        <v/>
      </c>
    </row>
    <row r="340" customFormat="false" ht="15" hidden="false" customHeight="false" outlineLevel="0" collapsed="false">
      <c r="A340" s="11" t="str">
        <f aca="false">IF(INDEX(MASTER_DATABASE!$A$4:$A$1000,ROW()-3)="","",INDEX(MASTER_DATABASE!$A$4:$A$1000,ROW()-3)&amp;"")</f>
        <v/>
      </c>
      <c r="B340" s="7" t="str">
        <f aca="false">IF(INDEX(MASTER_DATABASE!$A$4:$A$1000,ROW()-3)="","",INDEX(MASTER_DATABASE!$E$4:$E$1000,ROW()-3)&amp;"")</f>
        <v/>
      </c>
      <c r="C340" s="7" t="str">
        <f aca="false">IF(INDEX(MASTER_DATABASE!$A$4:$A$1000,ROW()-3)="","",INDEX(MASTER_DATABASE!$F$4:$F$1000,ROW()-3)&amp;"")</f>
        <v/>
      </c>
      <c r="D340" s="7" t="str">
        <f aca="false">IF(INDEX(MASTER_DATABASE!$A$4:$A$1000,ROW()-3)="","",INDEX(MASTER_DATABASE!$AL$4:$AL$1000,ROW()-3)&amp;"")</f>
        <v/>
      </c>
      <c r="E340" s="7" t="str">
        <f aca="false">IF(INDEX(MASTER_DATABASE!$A$4:$A$1000,ROW()-3)="","",INDEX(MASTER_DATABASE!$G$4:$G$1000,ROW()-3)&amp;"")</f>
        <v/>
      </c>
      <c r="F340" s="11" t="str">
        <f aca="false">IF(INDEX(MASTER_DATABASE!$A$4:$A$1000,ROW()-3)="","",INDEX(MASTER_DATABASE!$AP$4:$AP$1000,ROW()-3)&amp;"")</f>
        <v/>
      </c>
      <c r="G34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0" s="7" t="str">
        <f aca="false">IF(INDEX(MASTER_DATABASE!$A$4:$A$1000,ROW()-3)="","",INDEX(MASTER_DATABASE!$J$4:$J$1000,ROW()-3)&amp;"")</f>
        <v/>
      </c>
      <c r="K340" s="7" t="str">
        <f aca="false">IF(INDEX(MASTER_DATABASE!$A$4:$A$1000,ROW()-3)="","",INDEX(MASTER_DATABASE!$M$4:$M$1000,ROW()-3)&amp;"")</f>
        <v/>
      </c>
      <c r="L340" s="7" t="str">
        <f aca="false">IF(INDEX(MASTER_DATABASE!$A$4:$A$1000,ROW()-3)="","",INDEX(MASTER_DATABASE!$Q$4:$Q$1000,ROW()-3)&amp;"")</f>
        <v/>
      </c>
      <c r="M340" s="11" t="str">
        <f aca="false">IF(INDEX(MASTER_DATABASE!$A$4:$A$1000,ROW()-3)="","",INDEX(MASTER_DATABASE!$AI$4:$AI$1000,ROW()-3)&amp;"")</f>
        <v/>
      </c>
      <c r="N340" s="11" t="str">
        <f aca="false">IF(INDEX(MASTER_DATABASE!$A$4:$A$1000,ROW()-3)="","",INDEX(MASTER_DATABASE!$AJ$4:$AJ$1000,ROW()-3)&amp;"")</f>
        <v/>
      </c>
      <c r="O340" s="11" t="str">
        <f aca="false">IF(INDEX(MASTER_DATABASE!$A$4:$A$1000,ROW()-3)="","",IF(INDEX(MASTER_DATABASE!$BE$4:$BE$1000,ROW()-3)="LIVE","Yes","No"))</f>
        <v/>
      </c>
      <c r="P340" s="7" t="str">
        <f aca="false">IF(INDEX(MASTER_DATABASE!$A$4:$A$1000,ROW()-3)="","",INDEX(MASTER_DATABASE!$BG$4:$BG$1000,ROW()-3)&amp;"")</f>
        <v/>
      </c>
      <c r="Q340" s="11" t="str">
        <f aca="false">IF(INDEX(MASTER_DATABASE!$A$4:$A$1000,ROW()-3)="","",INDEX(MASTER_DATABASE!$AQ$4:$AQ$1000,ROW()-3))</f>
        <v/>
      </c>
    </row>
    <row r="341" customFormat="false" ht="15" hidden="false" customHeight="false" outlineLevel="0" collapsed="false">
      <c r="A341" s="11" t="str">
        <f aca="false">IF(INDEX(MASTER_DATABASE!$A$4:$A$1000,ROW()-3)="","",INDEX(MASTER_DATABASE!$A$4:$A$1000,ROW()-3)&amp;"")</f>
        <v/>
      </c>
      <c r="B341" s="7" t="str">
        <f aca="false">IF(INDEX(MASTER_DATABASE!$A$4:$A$1000,ROW()-3)="","",INDEX(MASTER_DATABASE!$E$4:$E$1000,ROW()-3)&amp;"")</f>
        <v/>
      </c>
      <c r="C341" s="7" t="str">
        <f aca="false">IF(INDEX(MASTER_DATABASE!$A$4:$A$1000,ROW()-3)="","",INDEX(MASTER_DATABASE!$F$4:$F$1000,ROW()-3)&amp;"")</f>
        <v/>
      </c>
      <c r="D341" s="7" t="str">
        <f aca="false">IF(INDEX(MASTER_DATABASE!$A$4:$A$1000,ROW()-3)="","",INDEX(MASTER_DATABASE!$AL$4:$AL$1000,ROW()-3)&amp;"")</f>
        <v/>
      </c>
      <c r="E341" s="7" t="str">
        <f aca="false">IF(INDEX(MASTER_DATABASE!$A$4:$A$1000,ROW()-3)="","",INDEX(MASTER_DATABASE!$G$4:$G$1000,ROW()-3)&amp;"")</f>
        <v/>
      </c>
      <c r="F341" s="11" t="str">
        <f aca="false">IF(INDEX(MASTER_DATABASE!$A$4:$A$1000,ROW()-3)="","",INDEX(MASTER_DATABASE!$AP$4:$AP$1000,ROW()-3)&amp;"")</f>
        <v/>
      </c>
      <c r="G34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1" s="7" t="str">
        <f aca="false">IF(INDEX(MASTER_DATABASE!$A$4:$A$1000,ROW()-3)="","",INDEX(MASTER_DATABASE!$J$4:$J$1000,ROW()-3)&amp;"")</f>
        <v/>
      </c>
      <c r="K341" s="7" t="str">
        <f aca="false">IF(INDEX(MASTER_DATABASE!$A$4:$A$1000,ROW()-3)="","",INDEX(MASTER_DATABASE!$M$4:$M$1000,ROW()-3)&amp;"")</f>
        <v/>
      </c>
      <c r="L341" s="7" t="str">
        <f aca="false">IF(INDEX(MASTER_DATABASE!$A$4:$A$1000,ROW()-3)="","",INDEX(MASTER_DATABASE!$Q$4:$Q$1000,ROW()-3)&amp;"")</f>
        <v/>
      </c>
      <c r="M341" s="11" t="str">
        <f aca="false">IF(INDEX(MASTER_DATABASE!$A$4:$A$1000,ROW()-3)="","",INDEX(MASTER_DATABASE!$AI$4:$AI$1000,ROW()-3)&amp;"")</f>
        <v/>
      </c>
      <c r="N341" s="11" t="str">
        <f aca="false">IF(INDEX(MASTER_DATABASE!$A$4:$A$1000,ROW()-3)="","",INDEX(MASTER_DATABASE!$AJ$4:$AJ$1000,ROW()-3)&amp;"")</f>
        <v/>
      </c>
      <c r="O341" s="11" t="str">
        <f aca="false">IF(INDEX(MASTER_DATABASE!$A$4:$A$1000,ROW()-3)="","",IF(INDEX(MASTER_DATABASE!$BE$4:$BE$1000,ROW()-3)="LIVE","Yes","No"))</f>
        <v/>
      </c>
      <c r="P341" s="7" t="str">
        <f aca="false">IF(INDEX(MASTER_DATABASE!$A$4:$A$1000,ROW()-3)="","",INDEX(MASTER_DATABASE!$BG$4:$BG$1000,ROW()-3)&amp;"")</f>
        <v/>
      </c>
      <c r="Q341" s="11" t="str">
        <f aca="false">IF(INDEX(MASTER_DATABASE!$A$4:$A$1000,ROW()-3)="","",INDEX(MASTER_DATABASE!$AQ$4:$AQ$1000,ROW()-3))</f>
        <v/>
      </c>
    </row>
    <row r="342" customFormat="false" ht="15" hidden="false" customHeight="false" outlineLevel="0" collapsed="false">
      <c r="A342" s="11" t="str">
        <f aca="false">IF(INDEX(MASTER_DATABASE!$A$4:$A$1000,ROW()-3)="","",INDEX(MASTER_DATABASE!$A$4:$A$1000,ROW()-3)&amp;"")</f>
        <v/>
      </c>
      <c r="B342" s="7" t="str">
        <f aca="false">IF(INDEX(MASTER_DATABASE!$A$4:$A$1000,ROW()-3)="","",INDEX(MASTER_DATABASE!$E$4:$E$1000,ROW()-3)&amp;"")</f>
        <v/>
      </c>
      <c r="C342" s="7" t="str">
        <f aca="false">IF(INDEX(MASTER_DATABASE!$A$4:$A$1000,ROW()-3)="","",INDEX(MASTER_DATABASE!$F$4:$F$1000,ROW()-3)&amp;"")</f>
        <v/>
      </c>
      <c r="D342" s="7" t="str">
        <f aca="false">IF(INDEX(MASTER_DATABASE!$A$4:$A$1000,ROW()-3)="","",INDEX(MASTER_DATABASE!$AL$4:$AL$1000,ROW()-3)&amp;"")</f>
        <v/>
      </c>
      <c r="E342" s="7" t="str">
        <f aca="false">IF(INDEX(MASTER_DATABASE!$A$4:$A$1000,ROW()-3)="","",INDEX(MASTER_DATABASE!$G$4:$G$1000,ROW()-3)&amp;"")</f>
        <v/>
      </c>
      <c r="F342" s="11" t="str">
        <f aca="false">IF(INDEX(MASTER_DATABASE!$A$4:$A$1000,ROW()-3)="","",INDEX(MASTER_DATABASE!$AP$4:$AP$1000,ROW()-3)&amp;"")</f>
        <v/>
      </c>
      <c r="G34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2" s="7" t="str">
        <f aca="false">IF(INDEX(MASTER_DATABASE!$A$4:$A$1000,ROW()-3)="","",INDEX(MASTER_DATABASE!$J$4:$J$1000,ROW()-3)&amp;"")</f>
        <v/>
      </c>
      <c r="K342" s="7" t="str">
        <f aca="false">IF(INDEX(MASTER_DATABASE!$A$4:$A$1000,ROW()-3)="","",INDEX(MASTER_DATABASE!$M$4:$M$1000,ROW()-3)&amp;"")</f>
        <v/>
      </c>
      <c r="L342" s="7" t="str">
        <f aca="false">IF(INDEX(MASTER_DATABASE!$A$4:$A$1000,ROW()-3)="","",INDEX(MASTER_DATABASE!$Q$4:$Q$1000,ROW()-3)&amp;"")</f>
        <v/>
      </c>
      <c r="M342" s="11" t="str">
        <f aca="false">IF(INDEX(MASTER_DATABASE!$A$4:$A$1000,ROW()-3)="","",INDEX(MASTER_DATABASE!$AI$4:$AI$1000,ROW()-3)&amp;"")</f>
        <v/>
      </c>
      <c r="N342" s="11" t="str">
        <f aca="false">IF(INDEX(MASTER_DATABASE!$A$4:$A$1000,ROW()-3)="","",INDEX(MASTER_DATABASE!$AJ$4:$AJ$1000,ROW()-3)&amp;"")</f>
        <v/>
      </c>
      <c r="O342" s="11" t="str">
        <f aca="false">IF(INDEX(MASTER_DATABASE!$A$4:$A$1000,ROW()-3)="","",IF(INDEX(MASTER_DATABASE!$BE$4:$BE$1000,ROW()-3)="LIVE","Yes","No"))</f>
        <v/>
      </c>
      <c r="P342" s="7" t="str">
        <f aca="false">IF(INDEX(MASTER_DATABASE!$A$4:$A$1000,ROW()-3)="","",INDEX(MASTER_DATABASE!$BG$4:$BG$1000,ROW()-3)&amp;"")</f>
        <v/>
      </c>
      <c r="Q342" s="11" t="str">
        <f aca="false">IF(INDEX(MASTER_DATABASE!$A$4:$A$1000,ROW()-3)="","",INDEX(MASTER_DATABASE!$AQ$4:$AQ$1000,ROW()-3))</f>
        <v/>
      </c>
    </row>
    <row r="343" customFormat="false" ht="15" hidden="false" customHeight="false" outlineLevel="0" collapsed="false">
      <c r="A343" s="11" t="str">
        <f aca="false">IF(INDEX(MASTER_DATABASE!$A$4:$A$1000,ROW()-3)="","",INDEX(MASTER_DATABASE!$A$4:$A$1000,ROW()-3)&amp;"")</f>
        <v/>
      </c>
      <c r="B343" s="7" t="str">
        <f aca="false">IF(INDEX(MASTER_DATABASE!$A$4:$A$1000,ROW()-3)="","",INDEX(MASTER_DATABASE!$E$4:$E$1000,ROW()-3)&amp;"")</f>
        <v/>
      </c>
      <c r="C343" s="7" t="str">
        <f aca="false">IF(INDEX(MASTER_DATABASE!$A$4:$A$1000,ROW()-3)="","",INDEX(MASTER_DATABASE!$F$4:$F$1000,ROW()-3)&amp;"")</f>
        <v/>
      </c>
      <c r="D343" s="7" t="str">
        <f aca="false">IF(INDEX(MASTER_DATABASE!$A$4:$A$1000,ROW()-3)="","",INDEX(MASTER_DATABASE!$AL$4:$AL$1000,ROW()-3)&amp;"")</f>
        <v/>
      </c>
      <c r="E343" s="7" t="str">
        <f aca="false">IF(INDEX(MASTER_DATABASE!$A$4:$A$1000,ROW()-3)="","",INDEX(MASTER_DATABASE!$G$4:$G$1000,ROW()-3)&amp;"")</f>
        <v/>
      </c>
      <c r="F343" s="11" t="str">
        <f aca="false">IF(INDEX(MASTER_DATABASE!$A$4:$A$1000,ROW()-3)="","",INDEX(MASTER_DATABASE!$AP$4:$AP$1000,ROW()-3)&amp;"")</f>
        <v/>
      </c>
      <c r="G34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3" s="7" t="str">
        <f aca="false">IF(INDEX(MASTER_DATABASE!$A$4:$A$1000,ROW()-3)="","",INDEX(MASTER_DATABASE!$J$4:$J$1000,ROW()-3)&amp;"")</f>
        <v/>
      </c>
      <c r="K343" s="7" t="str">
        <f aca="false">IF(INDEX(MASTER_DATABASE!$A$4:$A$1000,ROW()-3)="","",INDEX(MASTER_DATABASE!$M$4:$M$1000,ROW()-3)&amp;"")</f>
        <v/>
      </c>
      <c r="L343" s="7" t="str">
        <f aca="false">IF(INDEX(MASTER_DATABASE!$A$4:$A$1000,ROW()-3)="","",INDEX(MASTER_DATABASE!$Q$4:$Q$1000,ROW()-3)&amp;"")</f>
        <v/>
      </c>
      <c r="M343" s="11" t="str">
        <f aca="false">IF(INDEX(MASTER_DATABASE!$A$4:$A$1000,ROW()-3)="","",INDEX(MASTER_DATABASE!$AI$4:$AI$1000,ROW()-3)&amp;"")</f>
        <v/>
      </c>
      <c r="N343" s="11" t="str">
        <f aca="false">IF(INDEX(MASTER_DATABASE!$A$4:$A$1000,ROW()-3)="","",INDEX(MASTER_DATABASE!$AJ$4:$AJ$1000,ROW()-3)&amp;"")</f>
        <v/>
      </c>
      <c r="O343" s="11" t="str">
        <f aca="false">IF(INDEX(MASTER_DATABASE!$A$4:$A$1000,ROW()-3)="","",IF(INDEX(MASTER_DATABASE!$BE$4:$BE$1000,ROW()-3)="LIVE","Yes","No"))</f>
        <v/>
      </c>
      <c r="P343" s="7" t="str">
        <f aca="false">IF(INDEX(MASTER_DATABASE!$A$4:$A$1000,ROW()-3)="","",INDEX(MASTER_DATABASE!$BG$4:$BG$1000,ROW()-3)&amp;"")</f>
        <v/>
      </c>
      <c r="Q343" s="11" t="str">
        <f aca="false">IF(INDEX(MASTER_DATABASE!$A$4:$A$1000,ROW()-3)="","",INDEX(MASTER_DATABASE!$AQ$4:$AQ$1000,ROW()-3))</f>
        <v/>
      </c>
    </row>
    <row r="344" customFormat="false" ht="15" hidden="false" customHeight="false" outlineLevel="0" collapsed="false">
      <c r="A344" s="11" t="str">
        <f aca="false">IF(INDEX(MASTER_DATABASE!$A$4:$A$1000,ROW()-3)="","",INDEX(MASTER_DATABASE!$A$4:$A$1000,ROW()-3)&amp;"")</f>
        <v/>
      </c>
      <c r="B344" s="7" t="str">
        <f aca="false">IF(INDEX(MASTER_DATABASE!$A$4:$A$1000,ROW()-3)="","",INDEX(MASTER_DATABASE!$E$4:$E$1000,ROW()-3)&amp;"")</f>
        <v/>
      </c>
      <c r="C344" s="7" t="str">
        <f aca="false">IF(INDEX(MASTER_DATABASE!$A$4:$A$1000,ROW()-3)="","",INDEX(MASTER_DATABASE!$F$4:$F$1000,ROW()-3)&amp;"")</f>
        <v/>
      </c>
      <c r="D344" s="7" t="str">
        <f aca="false">IF(INDEX(MASTER_DATABASE!$A$4:$A$1000,ROW()-3)="","",INDEX(MASTER_DATABASE!$AL$4:$AL$1000,ROW()-3)&amp;"")</f>
        <v/>
      </c>
      <c r="E344" s="7" t="str">
        <f aca="false">IF(INDEX(MASTER_DATABASE!$A$4:$A$1000,ROW()-3)="","",INDEX(MASTER_DATABASE!$G$4:$G$1000,ROW()-3)&amp;"")</f>
        <v/>
      </c>
      <c r="F344" s="11" t="str">
        <f aca="false">IF(INDEX(MASTER_DATABASE!$A$4:$A$1000,ROW()-3)="","",INDEX(MASTER_DATABASE!$AP$4:$AP$1000,ROW()-3)&amp;"")</f>
        <v/>
      </c>
      <c r="G34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4" s="7" t="str">
        <f aca="false">IF(INDEX(MASTER_DATABASE!$A$4:$A$1000,ROW()-3)="","",INDEX(MASTER_DATABASE!$J$4:$J$1000,ROW()-3)&amp;"")</f>
        <v/>
      </c>
      <c r="K344" s="7" t="str">
        <f aca="false">IF(INDEX(MASTER_DATABASE!$A$4:$A$1000,ROW()-3)="","",INDEX(MASTER_DATABASE!$M$4:$M$1000,ROW()-3)&amp;"")</f>
        <v/>
      </c>
      <c r="L344" s="7" t="str">
        <f aca="false">IF(INDEX(MASTER_DATABASE!$A$4:$A$1000,ROW()-3)="","",INDEX(MASTER_DATABASE!$Q$4:$Q$1000,ROW()-3)&amp;"")</f>
        <v/>
      </c>
      <c r="M344" s="11" t="str">
        <f aca="false">IF(INDEX(MASTER_DATABASE!$A$4:$A$1000,ROW()-3)="","",INDEX(MASTER_DATABASE!$AI$4:$AI$1000,ROW()-3)&amp;"")</f>
        <v/>
      </c>
      <c r="N344" s="11" t="str">
        <f aca="false">IF(INDEX(MASTER_DATABASE!$A$4:$A$1000,ROW()-3)="","",INDEX(MASTER_DATABASE!$AJ$4:$AJ$1000,ROW()-3)&amp;"")</f>
        <v/>
      </c>
      <c r="O344" s="11" t="str">
        <f aca="false">IF(INDEX(MASTER_DATABASE!$A$4:$A$1000,ROW()-3)="","",IF(INDEX(MASTER_DATABASE!$BE$4:$BE$1000,ROW()-3)="LIVE","Yes","No"))</f>
        <v/>
      </c>
      <c r="P344" s="7" t="str">
        <f aca="false">IF(INDEX(MASTER_DATABASE!$A$4:$A$1000,ROW()-3)="","",INDEX(MASTER_DATABASE!$BG$4:$BG$1000,ROW()-3)&amp;"")</f>
        <v/>
      </c>
      <c r="Q344" s="11" t="str">
        <f aca="false">IF(INDEX(MASTER_DATABASE!$A$4:$A$1000,ROW()-3)="","",INDEX(MASTER_DATABASE!$AQ$4:$AQ$1000,ROW()-3))</f>
        <v/>
      </c>
    </row>
    <row r="345" customFormat="false" ht="15" hidden="false" customHeight="false" outlineLevel="0" collapsed="false">
      <c r="A345" s="11" t="str">
        <f aca="false">IF(INDEX(MASTER_DATABASE!$A$4:$A$1000,ROW()-3)="","",INDEX(MASTER_DATABASE!$A$4:$A$1000,ROW()-3)&amp;"")</f>
        <v/>
      </c>
      <c r="B345" s="7" t="str">
        <f aca="false">IF(INDEX(MASTER_DATABASE!$A$4:$A$1000,ROW()-3)="","",INDEX(MASTER_DATABASE!$E$4:$E$1000,ROW()-3)&amp;"")</f>
        <v/>
      </c>
      <c r="C345" s="7" t="str">
        <f aca="false">IF(INDEX(MASTER_DATABASE!$A$4:$A$1000,ROW()-3)="","",INDEX(MASTER_DATABASE!$F$4:$F$1000,ROW()-3)&amp;"")</f>
        <v/>
      </c>
      <c r="D345" s="7" t="str">
        <f aca="false">IF(INDEX(MASTER_DATABASE!$A$4:$A$1000,ROW()-3)="","",INDEX(MASTER_DATABASE!$AL$4:$AL$1000,ROW()-3)&amp;"")</f>
        <v/>
      </c>
      <c r="E345" s="7" t="str">
        <f aca="false">IF(INDEX(MASTER_DATABASE!$A$4:$A$1000,ROW()-3)="","",INDEX(MASTER_DATABASE!$G$4:$G$1000,ROW()-3)&amp;"")</f>
        <v/>
      </c>
      <c r="F345" s="11" t="str">
        <f aca="false">IF(INDEX(MASTER_DATABASE!$A$4:$A$1000,ROW()-3)="","",INDEX(MASTER_DATABASE!$AP$4:$AP$1000,ROW()-3)&amp;"")</f>
        <v/>
      </c>
      <c r="G34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5" s="7" t="str">
        <f aca="false">IF(INDEX(MASTER_DATABASE!$A$4:$A$1000,ROW()-3)="","",INDEX(MASTER_DATABASE!$J$4:$J$1000,ROW()-3)&amp;"")</f>
        <v/>
      </c>
      <c r="K345" s="7" t="str">
        <f aca="false">IF(INDEX(MASTER_DATABASE!$A$4:$A$1000,ROW()-3)="","",INDEX(MASTER_DATABASE!$M$4:$M$1000,ROW()-3)&amp;"")</f>
        <v/>
      </c>
      <c r="L345" s="7" t="str">
        <f aca="false">IF(INDEX(MASTER_DATABASE!$A$4:$A$1000,ROW()-3)="","",INDEX(MASTER_DATABASE!$Q$4:$Q$1000,ROW()-3)&amp;"")</f>
        <v/>
      </c>
      <c r="M345" s="11" t="str">
        <f aca="false">IF(INDEX(MASTER_DATABASE!$A$4:$A$1000,ROW()-3)="","",INDEX(MASTER_DATABASE!$AI$4:$AI$1000,ROW()-3)&amp;"")</f>
        <v/>
      </c>
      <c r="N345" s="11" t="str">
        <f aca="false">IF(INDEX(MASTER_DATABASE!$A$4:$A$1000,ROW()-3)="","",INDEX(MASTER_DATABASE!$AJ$4:$AJ$1000,ROW()-3)&amp;"")</f>
        <v/>
      </c>
      <c r="O345" s="11" t="str">
        <f aca="false">IF(INDEX(MASTER_DATABASE!$A$4:$A$1000,ROW()-3)="","",IF(INDEX(MASTER_DATABASE!$BE$4:$BE$1000,ROW()-3)="LIVE","Yes","No"))</f>
        <v/>
      </c>
      <c r="P345" s="7" t="str">
        <f aca="false">IF(INDEX(MASTER_DATABASE!$A$4:$A$1000,ROW()-3)="","",INDEX(MASTER_DATABASE!$BG$4:$BG$1000,ROW()-3)&amp;"")</f>
        <v/>
      </c>
      <c r="Q345" s="11" t="str">
        <f aca="false">IF(INDEX(MASTER_DATABASE!$A$4:$A$1000,ROW()-3)="","",INDEX(MASTER_DATABASE!$AQ$4:$AQ$1000,ROW()-3))</f>
        <v/>
      </c>
    </row>
    <row r="346" customFormat="false" ht="15" hidden="false" customHeight="false" outlineLevel="0" collapsed="false">
      <c r="A346" s="11" t="str">
        <f aca="false">IF(INDEX(MASTER_DATABASE!$A$4:$A$1000,ROW()-3)="","",INDEX(MASTER_DATABASE!$A$4:$A$1000,ROW()-3)&amp;"")</f>
        <v/>
      </c>
      <c r="B346" s="7" t="str">
        <f aca="false">IF(INDEX(MASTER_DATABASE!$A$4:$A$1000,ROW()-3)="","",INDEX(MASTER_DATABASE!$E$4:$E$1000,ROW()-3)&amp;"")</f>
        <v/>
      </c>
      <c r="C346" s="7" t="str">
        <f aca="false">IF(INDEX(MASTER_DATABASE!$A$4:$A$1000,ROW()-3)="","",INDEX(MASTER_DATABASE!$F$4:$F$1000,ROW()-3)&amp;"")</f>
        <v/>
      </c>
      <c r="D346" s="7" t="str">
        <f aca="false">IF(INDEX(MASTER_DATABASE!$A$4:$A$1000,ROW()-3)="","",INDEX(MASTER_DATABASE!$AL$4:$AL$1000,ROW()-3)&amp;"")</f>
        <v/>
      </c>
      <c r="E346" s="7" t="str">
        <f aca="false">IF(INDEX(MASTER_DATABASE!$A$4:$A$1000,ROW()-3)="","",INDEX(MASTER_DATABASE!$G$4:$G$1000,ROW()-3)&amp;"")</f>
        <v/>
      </c>
      <c r="F346" s="11" t="str">
        <f aca="false">IF(INDEX(MASTER_DATABASE!$A$4:$A$1000,ROW()-3)="","",INDEX(MASTER_DATABASE!$AP$4:$AP$1000,ROW()-3)&amp;"")</f>
        <v/>
      </c>
      <c r="G346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6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6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6" s="7" t="str">
        <f aca="false">IF(INDEX(MASTER_DATABASE!$A$4:$A$1000,ROW()-3)="","",INDEX(MASTER_DATABASE!$J$4:$J$1000,ROW()-3)&amp;"")</f>
        <v/>
      </c>
      <c r="K346" s="7" t="str">
        <f aca="false">IF(INDEX(MASTER_DATABASE!$A$4:$A$1000,ROW()-3)="","",INDEX(MASTER_DATABASE!$M$4:$M$1000,ROW()-3)&amp;"")</f>
        <v/>
      </c>
      <c r="L346" s="7" t="str">
        <f aca="false">IF(INDEX(MASTER_DATABASE!$A$4:$A$1000,ROW()-3)="","",INDEX(MASTER_DATABASE!$Q$4:$Q$1000,ROW()-3)&amp;"")</f>
        <v/>
      </c>
      <c r="M346" s="11" t="str">
        <f aca="false">IF(INDEX(MASTER_DATABASE!$A$4:$A$1000,ROW()-3)="","",INDEX(MASTER_DATABASE!$AI$4:$AI$1000,ROW()-3)&amp;"")</f>
        <v/>
      </c>
      <c r="N346" s="11" t="str">
        <f aca="false">IF(INDEX(MASTER_DATABASE!$A$4:$A$1000,ROW()-3)="","",INDEX(MASTER_DATABASE!$AJ$4:$AJ$1000,ROW()-3)&amp;"")</f>
        <v/>
      </c>
      <c r="O346" s="11" t="str">
        <f aca="false">IF(INDEX(MASTER_DATABASE!$A$4:$A$1000,ROW()-3)="","",IF(INDEX(MASTER_DATABASE!$BE$4:$BE$1000,ROW()-3)="LIVE","Yes","No"))</f>
        <v/>
      </c>
      <c r="P346" s="7" t="str">
        <f aca="false">IF(INDEX(MASTER_DATABASE!$A$4:$A$1000,ROW()-3)="","",INDEX(MASTER_DATABASE!$BG$4:$BG$1000,ROW()-3)&amp;"")</f>
        <v/>
      </c>
      <c r="Q346" s="11" t="str">
        <f aca="false">IF(INDEX(MASTER_DATABASE!$A$4:$A$1000,ROW()-3)="","",INDEX(MASTER_DATABASE!$AQ$4:$AQ$1000,ROW()-3))</f>
        <v/>
      </c>
    </row>
    <row r="347" customFormat="false" ht="15" hidden="false" customHeight="false" outlineLevel="0" collapsed="false">
      <c r="A347" s="11" t="str">
        <f aca="false">IF(INDEX(MASTER_DATABASE!$A$4:$A$1000,ROW()-3)="","",INDEX(MASTER_DATABASE!$A$4:$A$1000,ROW()-3)&amp;"")</f>
        <v/>
      </c>
      <c r="B347" s="7" t="str">
        <f aca="false">IF(INDEX(MASTER_DATABASE!$A$4:$A$1000,ROW()-3)="","",INDEX(MASTER_DATABASE!$E$4:$E$1000,ROW()-3)&amp;"")</f>
        <v/>
      </c>
      <c r="C347" s="7" t="str">
        <f aca="false">IF(INDEX(MASTER_DATABASE!$A$4:$A$1000,ROW()-3)="","",INDEX(MASTER_DATABASE!$F$4:$F$1000,ROW()-3)&amp;"")</f>
        <v/>
      </c>
      <c r="D347" s="7" t="str">
        <f aca="false">IF(INDEX(MASTER_DATABASE!$A$4:$A$1000,ROW()-3)="","",INDEX(MASTER_DATABASE!$AL$4:$AL$1000,ROW()-3)&amp;"")</f>
        <v/>
      </c>
      <c r="E347" s="7" t="str">
        <f aca="false">IF(INDEX(MASTER_DATABASE!$A$4:$A$1000,ROW()-3)="","",INDEX(MASTER_DATABASE!$G$4:$G$1000,ROW()-3)&amp;"")</f>
        <v/>
      </c>
      <c r="F347" s="11" t="str">
        <f aca="false">IF(INDEX(MASTER_DATABASE!$A$4:$A$1000,ROW()-3)="","",INDEX(MASTER_DATABASE!$AP$4:$AP$1000,ROW()-3)&amp;"")</f>
        <v/>
      </c>
      <c r="G347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7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7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7" s="7" t="str">
        <f aca="false">IF(INDEX(MASTER_DATABASE!$A$4:$A$1000,ROW()-3)="","",INDEX(MASTER_DATABASE!$J$4:$J$1000,ROW()-3)&amp;"")</f>
        <v/>
      </c>
      <c r="K347" s="7" t="str">
        <f aca="false">IF(INDEX(MASTER_DATABASE!$A$4:$A$1000,ROW()-3)="","",INDEX(MASTER_DATABASE!$M$4:$M$1000,ROW()-3)&amp;"")</f>
        <v/>
      </c>
      <c r="L347" s="7" t="str">
        <f aca="false">IF(INDEX(MASTER_DATABASE!$A$4:$A$1000,ROW()-3)="","",INDEX(MASTER_DATABASE!$Q$4:$Q$1000,ROW()-3)&amp;"")</f>
        <v/>
      </c>
      <c r="M347" s="11" t="str">
        <f aca="false">IF(INDEX(MASTER_DATABASE!$A$4:$A$1000,ROW()-3)="","",INDEX(MASTER_DATABASE!$AI$4:$AI$1000,ROW()-3)&amp;"")</f>
        <v/>
      </c>
      <c r="N347" s="11" t="str">
        <f aca="false">IF(INDEX(MASTER_DATABASE!$A$4:$A$1000,ROW()-3)="","",INDEX(MASTER_DATABASE!$AJ$4:$AJ$1000,ROW()-3)&amp;"")</f>
        <v/>
      </c>
      <c r="O347" s="11" t="str">
        <f aca="false">IF(INDEX(MASTER_DATABASE!$A$4:$A$1000,ROW()-3)="","",IF(INDEX(MASTER_DATABASE!$BE$4:$BE$1000,ROW()-3)="LIVE","Yes","No"))</f>
        <v/>
      </c>
      <c r="P347" s="7" t="str">
        <f aca="false">IF(INDEX(MASTER_DATABASE!$A$4:$A$1000,ROW()-3)="","",INDEX(MASTER_DATABASE!$BG$4:$BG$1000,ROW()-3)&amp;"")</f>
        <v/>
      </c>
      <c r="Q347" s="11" t="str">
        <f aca="false">IF(INDEX(MASTER_DATABASE!$A$4:$A$1000,ROW()-3)="","",INDEX(MASTER_DATABASE!$AQ$4:$AQ$1000,ROW()-3))</f>
        <v/>
      </c>
    </row>
    <row r="348" customFormat="false" ht="15" hidden="false" customHeight="false" outlineLevel="0" collapsed="false">
      <c r="A348" s="11" t="str">
        <f aca="false">IF(INDEX(MASTER_DATABASE!$A$4:$A$1000,ROW()-3)="","",INDEX(MASTER_DATABASE!$A$4:$A$1000,ROW()-3)&amp;"")</f>
        <v/>
      </c>
      <c r="B348" s="7" t="str">
        <f aca="false">IF(INDEX(MASTER_DATABASE!$A$4:$A$1000,ROW()-3)="","",INDEX(MASTER_DATABASE!$E$4:$E$1000,ROW()-3)&amp;"")</f>
        <v/>
      </c>
      <c r="C348" s="7" t="str">
        <f aca="false">IF(INDEX(MASTER_DATABASE!$A$4:$A$1000,ROW()-3)="","",INDEX(MASTER_DATABASE!$F$4:$F$1000,ROW()-3)&amp;"")</f>
        <v/>
      </c>
      <c r="D348" s="7" t="str">
        <f aca="false">IF(INDEX(MASTER_DATABASE!$A$4:$A$1000,ROW()-3)="","",INDEX(MASTER_DATABASE!$AL$4:$AL$1000,ROW()-3)&amp;"")</f>
        <v/>
      </c>
      <c r="E348" s="7" t="str">
        <f aca="false">IF(INDEX(MASTER_DATABASE!$A$4:$A$1000,ROW()-3)="","",INDEX(MASTER_DATABASE!$G$4:$G$1000,ROW()-3)&amp;"")</f>
        <v/>
      </c>
      <c r="F348" s="11" t="str">
        <f aca="false">IF(INDEX(MASTER_DATABASE!$A$4:$A$1000,ROW()-3)="","",INDEX(MASTER_DATABASE!$AP$4:$AP$1000,ROW()-3)&amp;"")</f>
        <v/>
      </c>
      <c r="G348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8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8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8" s="7" t="str">
        <f aca="false">IF(INDEX(MASTER_DATABASE!$A$4:$A$1000,ROW()-3)="","",INDEX(MASTER_DATABASE!$J$4:$J$1000,ROW()-3)&amp;"")</f>
        <v/>
      </c>
      <c r="K348" s="7" t="str">
        <f aca="false">IF(INDEX(MASTER_DATABASE!$A$4:$A$1000,ROW()-3)="","",INDEX(MASTER_DATABASE!$M$4:$M$1000,ROW()-3)&amp;"")</f>
        <v/>
      </c>
      <c r="L348" s="7" t="str">
        <f aca="false">IF(INDEX(MASTER_DATABASE!$A$4:$A$1000,ROW()-3)="","",INDEX(MASTER_DATABASE!$Q$4:$Q$1000,ROW()-3)&amp;"")</f>
        <v/>
      </c>
      <c r="M348" s="11" t="str">
        <f aca="false">IF(INDEX(MASTER_DATABASE!$A$4:$A$1000,ROW()-3)="","",INDEX(MASTER_DATABASE!$AI$4:$AI$1000,ROW()-3)&amp;"")</f>
        <v/>
      </c>
      <c r="N348" s="11" t="str">
        <f aca="false">IF(INDEX(MASTER_DATABASE!$A$4:$A$1000,ROW()-3)="","",INDEX(MASTER_DATABASE!$AJ$4:$AJ$1000,ROW()-3)&amp;"")</f>
        <v/>
      </c>
      <c r="O348" s="11" t="str">
        <f aca="false">IF(INDEX(MASTER_DATABASE!$A$4:$A$1000,ROW()-3)="","",IF(INDEX(MASTER_DATABASE!$BE$4:$BE$1000,ROW()-3)="LIVE","Yes","No"))</f>
        <v/>
      </c>
      <c r="P348" s="7" t="str">
        <f aca="false">IF(INDEX(MASTER_DATABASE!$A$4:$A$1000,ROW()-3)="","",INDEX(MASTER_DATABASE!$BG$4:$BG$1000,ROW()-3)&amp;"")</f>
        <v/>
      </c>
      <c r="Q348" s="11" t="str">
        <f aca="false">IF(INDEX(MASTER_DATABASE!$A$4:$A$1000,ROW()-3)="","",INDEX(MASTER_DATABASE!$AQ$4:$AQ$1000,ROW()-3))</f>
        <v/>
      </c>
    </row>
    <row r="349" customFormat="false" ht="15" hidden="false" customHeight="false" outlineLevel="0" collapsed="false">
      <c r="A349" s="11" t="str">
        <f aca="false">IF(INDEX(MASTER_DATABASE!$A$4:$A$1000,ROW()-3)="","",INDEX(MASTER_DATABASE!$A$4:$A$1000,ROW()-3)&amp;"")</f>
        <v/>
      </c>
      <c r="B349" s="7" t="str">
        <f aca="false">IF(INDEX(MASTER_DATABASE!$A$4:$A$1000,ROW()-3)="","",INDEX(MASTER_DATABASE!$E$4:$E$1000,ROW()-3)&amp;"")</f>
        <v/>
      </c>
      <c r="C349" s="7" t="str">
        <f aca="false">IF(INDEX(MASTER_DATABASE!$A$4:$A$1000,ROW()-3)="","",INDEX(MASTER_DATABASE!$F$4:$F$1000,ROW()-3)&amp;"")</f>
        <v/>
      </c>
      <c r="D349" s="7" t="str">
        <f aca="false">IF(INDEX(MASTER_DATABASE!$A$4:$A$1000,ROW()-3)="","",INDEX(MASTER_DATABASE!$AL$4:$AL$1000,ROW()-3)&amp;"")</f>
        <v/>
      </c>
      <c r="E349" s="7" t="str">
        <f aca="false">IF(INDEX(MASTER_DATABASE!$A$4:$A$1000,ROW()-3)="","",INDEX(MASTER_DATABASE!$G$4:$G$1000,ROW()-3)&amp;"")</f>
        <v/>
      </c>
      <c r="F349" s="11" t="str">
        <f aca="false">IF(INDEX(MASTER_DATABASE!$A$4:$A$1000,ROW()-3)="","",INDEX(MASTER_DATABASE!$AP$4:$AP$1000,ROW()-3)&amp;"")</f>
        <v/>
      </c>
      <c r="G349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49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49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49" s="7" t="str">
        <f aca="false">IF(INDEX(MASTER_DATABASE!$A$4:$A$1000,ROW()-3)="","",INDEX(MASTER_DATABASE!$J$4:$J$1000,ROW()-3)&amp;"")</f>
        <v/>
      </c>
      <c r="K349" s="7" t="str">
        <f aca="false">IF(INDEX(MASTER_DATABASE!$A$4:$A$1000,ROW()-3)="","",INDEX(MASTER_DATABASE!$M$4:$M$1000,ROW()-3)&amp;"")</f>
        <v/>
      </c>
      <c r="L349" s="7" t="str">
        <f aca="false">IF(INDEX(MASTER_DATABASE!$A$4:$A$1000,ROW()-3)="","",INDEX(MASTER_DATABASE!$Q$4:$Q$1000,ROW()-3)&amp;"")</f>
        <v/>
      </c>
      <c r="M349" s="11" t="str">
        <f aca="false">IF(INDEX(MASTER_DATABASE!$A$4:$A$1000,ROW()-3)="","",INDEX(MASTER_DATABASE!$AI$4:$AI$1000,ROW()-3)&amp;"")</f>
        <v/>
      </c>
      <c r="N349" s="11" t="str">
        <f aca="false">IF(INDEX(MASTER_DATABASE!$A$4:$A$1000,ROW()-3)="","",INDEX(MASTER_DATABASE!$AJ$4:$AJ$1000,ROW()-3)&amp;"")</f>
        <v/>
      </c>
      <c r="O349" s="11" t="str">
        <f aca="false">IF(INDEX(MASTER_DATABASE!$A$4:$A$1000,ROW()-3)="","",IF(INDEX(MASTER_DATABASE!$BE$4:$BE$1000,ROW()-3)="LIVE","Yes","No"))</f>
        <v/>
      </c>
      <c r="P349" s="7" t="str">
        <f aca="false">IF(INDEX(MASTER_DATABASE!$A$4:$A$1000,ROW()-3)="","",INDEX(MASTER_DATABASE!$BG$4:$BG$1000,ROW()-3)&amp;"")</f>
        <v/>
      </c>
      <c r="Q349" s="11" t="str">
        <f aca="false">IF(INDEX(MASTER_DATABASE!$A$4:$A$1000,ROW()-3)="","",INDEX(MASTER_DATABASE!$AQ$4:$AQ$1000,ROW()-3))</f>
        <v/>
      </c>
    </row>
    <row r="350" customFormat="false" ht="15" hidden="false" customHeight="false" outlineLevel="0" collapsed="false">
      <c r="A350" s="11" t="str">
        <f aca="false">IF(INDEX(MASTER_DATABASE!$A$4:$A$1000,ROW()-3)="","",INDEX(MASTER_DATABASE!$A$4:$A$1000,ROW()-3)&amp;"")</f>
        <v/>
      </c>
      <c r="B350" s="7" t="str">
        <f aca="false">IF(INDEX(MASTER_DATABASE!$A$4:$A$1000,ROW()-3)="","",INDEX(MASTER_DATABASE!$E$4:$E$1000,ROW()-3)&amp;"")</f>
        <v/>
      </c>
      <c r="C350" s="7" t="str">
        <f aca="false">IF(INDEX(MASTER_DATABASE!$A$4:$A$1000,ROW()-3)="","",INDEX(MASTER_DATABASE!$F$4:$F$1000,ROW()-3)&amp;"")</f>
        <v/>
      </c>
      <c r="D350" s="7" t="str">
        <f aca="false">IF(INDEX(MASTER_DATABASE!$A$4:$A$1000,ROW()-3)="","",INDEX(MASTER_DATABASE!$AL$4:$AL$1000,ROW()-3)&amp;"")</f>
        <v/>
      </c>
      <c r="E350" s="7" t="str">
        <f aca="false">IF(INDEX(MASTER_DATABASE!$A$4:$A$1000,ROW()-3)="","",INDEX(MASTER_DATABASE!$G$4:$G$1000,ROW()-3)&amp;"")</f>
        <v/>
      </c>
      <c r="F350" s="11" t="str">
        <f aca="false">IF(INDEX(MASTER_DATABASE!$A$4:$A$1000,ROW()-3)="","",INDEX(MASTER_DATABASE!$AP$4:$AP$1000,ROW()-3)&amp;"")</f>
        <v/>
      </c>
      <c r="G350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50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50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50" s="7" t="str">
        <f aca="false">IF(INDEX(MASTER_DATABASE!$A$4:$A$1000,ROW()-3)="","",INDEX(MASTER_DATABASE!$J$4:$J$1000,ROW()-3)&amp;"")</f>
        <v/>
      </c>
      <c r="K350" s="7" t="str">
        <f aca="false">IF(INDEX(MASTER_DATABASE!$A$4:$A$1000,ROW()-3)="","",INDEX(MASTER_DATABASE!$M$4:$M$1000,ROW()-3)&amp;"")</f>
        <v/>
      </c>
      <c r="L350" s="7" t="str">
        <f aca="false">IF(INDEX(MASTER_DATABASE!$A$4:$A$1000,ROW()-3)="","",INDEX(MASTER_DATABASE!$Q$4:$Q$1000,ROW()-3)&amp;"")</f>
        <v/>
      </c>
      <c r="M350" s="11" t="str">
        <f aca="false">IF(INDEX(MASTER_DATABASE!$A$4:$A$1000,ROW()-3)="","",INDEX(MASTER_DATABASE!$AI$4:$AI$1000,ROW()-3)&amp;"")</f>
        <v/>
      </c>
      <c r="N350" s="11" t="str">
        <f aca="false">IF(INDEX(MASTER_DATABASE!$A$4:$A$1000,ROW()-3)="","",INDEX(MASTER_DATABASE!$AJ$4:$AJ$1000,ROW()-3)&amp;"")</f>
        <v/>
      </c>
      <c r="O350" s="11" t="str">
        <f aca="false">IF(INDEX(MASTER_DATABASE!$A$4:$A$1000,ROW()-3)="","",IF(INDEX(MASTER_DATABASE!$BE$4:$BE$1000,ROW()-3)="LIVE","Yes","No"))</f>
        <v/>
      </c>
      <c r="P350" s="7" t="str">
        <f aca="false">IF(INDEX(MASTER_DATABASE!$A$4:$A$1000,ROW()-3)="","",INDEX(MASTER_DATABASE!$BG$4:$BG$1000,ROW()-3)&amp;"")</f>
        <v/>
      </c>
      <c r="Q350" s="11" t="str">
        <f aca="false">IF(INDEX(MASTER_DATABASE!$A$4:$A$1000,ROW()-3)="","",INDEX(MASTER_DATABASE!$AQ$4:$AQ$1000,ROW()-3))</f>
        <v/>
      </c>
    </row>
    <row r="351" customFormat="false" ht="15" hidden="false" customHeight="false" outlineLevel="0" collapsed="false">
      <c r="A351" s="11" t="str">
        <f aca="false">IF(INDEX(MASTER_DATABASE!$A$4:$A$1000,ROW()-3)="","",INDEX(MASTER_DATABASE!$A$4:$A$1000,ROW()-3)&amp;"")</f>
        <v/>
      </c>
      <c r="B351" s="7" t="str">
        <f aca="false">IF(INDEX(MASTER_DATABASE!$A$4:$A$1000,ROW()-3)="","",INDEX(MASTER_DATABASE!$E$4:$E$1000,ROW()-3)&amp;"")</f>
        <v/>
      </c>
      <c r="C351" s="7" t="str">
        <f aca="false">IF(INDEX(MASTER_DATABASE!$A$4:$A$1000,ROW()-3)="","",INDEX(MASTER_DATABASE!$F$4:$F$1000,ROW()-3)&amp;"")</f>
        <v/>
      </c>
      <c r="D351" s="7" t="str">
        <f aca="false">IF(INDEX(MASTER_DATABASE!$A$4:$A$1000,ROW()-3)="","",INDEX(MASTER_DATABASE!$AL$4:$AL$1000,ROW()-3)&amp;"")</f>
        <v/>
      </c>
      <c r="E351" s="7" t="str">
        <f aca="false">IF(INDEX(MASTER_DATABASE!$A$4:$A$1000,ROW()-3)="","",INDEX(MASTER_DATABASE!$G$4:$G$1000,ROW()-3)&amp;"")</f>
        <v/>
      </c>
      <c r="F351" s="11" t="str">
        <f aca="false">IF(INDEX(MASTER_DATABASE!$A$4:$A$1000,ROW()-3)="","",INDEX(MASTER_DATABASE!$AP$4:$AP$1000,ROW()-3)&amp;"")</f>
        <v/>
      </c>
      <c r="G351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51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51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51" s="7" t="str">
        <f aca="false">IF(INDEX(MASTER_DATABASE!$A$4:$A$1000,ROW()-3)="","",INDEX(MASTER_DATABASE!$J$4:$J$1000,ROW()-3)&amp;"")</f>
        <v/>
      </c>
      <c r="K351" s="7" t="str">
        <f aca="false">IF(INDEX(MASTER_DATABASE!$A$4:$A$1000,ROW()-3)="","",INDEX(MASTER_DATABASE!$M$4:$M$1000,ROW()-3)&amp;"")</f>
        <v/>
      </c>
      <c r="L351" s="7" t="str">
        <f aca="false">IF(INDEX(MASTER_DATABASE!$A$4:$A$1000,ROW()-3)="","",INDEX(MASTER_DATABASE!$Q$4:$Q$1000,ROW()-3)&amp;"")</f>
        <v/>
      </c>
      <c r="M351" s="11" t="str">
        <f aca="false">IF(INDEX(MASTER_DATABASE!$A$4:$A$1000,ROW()-3)="","",INDEX(MASTER_DATABASE!$AI$4:$AI$1000,ROW()-3)&amp;"")</f>
        <v/>
      </c>
      <c r="N351" s="11" t="str">
        <f aca="false">IF(INDEX(MASTER_DATABASE!$A$4:$A$1000,ROW()-3)="","",INDEX(MASTER_DATABASE!$AJ$4:$AJ$1000,ROW()-3)&amp;"")</f>
        <v/>
      </c>
      <c r="O351" s="11" t="str">
        <f aca="false">IF(INDEX(MASTER_DATABASE!$A$4:$A$1000,ROW()-3)="","",IF(INDEX(MASTER_DATABASE!$BE$4:$BE$1000,ROW()-3)="LIVE","Yes","No"))</f>
        <v/>
      </c>
      <c r="P351" s="7" t="str">
        <f aca="false">IF(INDEX(MASTER_DATABASE!$A$4:$A$1000,ROW()-3)="","",INDEX(MASTER_DATABASE!$BG$4:$BG$1000,ROW()-3)&amp;"")</f>
        <v/>
      </c>
      <c r="Q351" s="11" t="str">
        <f aca="false">IF(INDEX(MASTER_DATABASE!$A$4:$A$1000,ROW()-3)="","",INDEX(MASTER_DATABASE!$AQ$4:$AQ$1000,ROW()-3))</f>
        <v/>
      </c>
    </row>
    <row r="352" customFormat="false" ht="15" hidden="false" customHeight="false" outlineLevel="0" collapsed="false">
      <c r="A352" s="11" t="str">
        <f aca="false">IF(INDEX(MASTER_DATABASE!$A$4:$A$1000,ROW()-3)="","",INDEX(MASTER_DATABASE!$A$4:$A$1000,ROW()-3)&amp;"")</f>
        <v/>
      </c>
      <c r="B352" s="7" t="str">
        <f aca="false">IF(INDEX(MASTER_DATABASE!$A$4:$A$1000,ROW()-3)="","",INDEX(MASTER_DATABASE!$E$4:$E$1000,ROW()-3)&amp;"")</f>
        <v/>
      </c>
      <c r="C352" s="7" t="str">
        <f aca="false">IF(INDEX(MASTER_DATABASE!$A$4:$A$1000,ROW()-3)="","",INDEX(MASTER_DATABASE!$F$4:$F$1000,ROW()-3)&amp;"")</f>
        <v/>
      </c>
      <c r="D352" s="7" t="str">
        <f aca="false">IF(INDEX(MASTER_DATABASE!$A$4:$A$1000,ROW()-3)="","",INDEX(MASTER_DATABASE!$AL$4:$AL$1000,ROW()-3)&amp;"")</f>
        <v/>
      </c>
      <c r="E352" s="7" t="str">
        <f aca="false">IF(INDEX(MASTER_DATABASE!$A$4:$A$1000,ROW()-3)="","",INDEX(MASTER_DATABASE!$G$4:$G$1000,ROW()-3)&amp;"")</f>
        <v/>
      </c>
      <c r="F352" s="11" t="str">
        <f aca="false">IF(INDEX(MASTER_DATABASE!$A$4:$A$1000,ROW()-3)="","",INDEX(MASTER_DATABASE!$AP$4:$AP$1000,ROW()-3)&amp;"")</f>
        <v/>
      </c>
      <c r="G352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52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52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52" s="7" t="str">
        <f aca="false">IF(INDEX(MASTER_DATABASE!$A$4:$A$1000,ROW()-3)="","",INDEX(MASTER_DATABASE!$J$4:$J$1000,ROW()-3)&amp;"")</f>
        <v/>
      </c>
      <c r="K352" s="7" t="str">
        <f aca="false">IF(INDEX(MASTER_DATABASE!$A$4:$A$1000,ROW()-3)="","",INDEX(MASTER_DATABASE!$M$4:$M$1000,ROW()-3)&amp;"")</f>
        <v/>
      </c>
      <c r="L352" s="7" t="str">
        <f aca="false">IF(INDEX(MASTER_DATABASE!$A$4:$A$1000,ROW()-3)="","",INDEX(MASTER_DATABASE!$Q$4:$Q$1000,ROW()-3)&amp;"")</f>
        <v/>
      </c>
      <c r="M352" s="11" t="str">
        <f aca="false">IF(INDEX(MASTER_DATABASE!$A$4:$A$1000,ROW()-3)="","",INDEX(MASTER_DATABASE!$AI$4:$AI$1000,ROW()-3)&amp;"")</f>
        <v/>
      </c>
      <c r="N352" s="11" t="str">
        <f aca="false">IF(INDEX(MASTER_DATABASE!$A$4:$A$1000,ROW()-3)="","",INDEX(MASTER_DATABASE!$AJ$4:$AJ$1000,ROW()-3)&amp;"")</f>
        <v/>
      </c>
      <c r="O352" s="11" t="str">
        <f aca="false">IF(INDEX(MASTER_DATABASE!$A$4:$A$1000,ROW()-3)="","",IF(INDEX(MASTER_DATABASE!$BE$4:$BE$1000,ROW()-3)="LIVE","Yes","No"))</f>
        <v/>
      </c>
      <c r="P352" s="7" t="str">
        <f aca="false">IF(INDEX(MASTER_DATABASE!$A$4:$A$1000,ROW()-3)="","",INDEX(MASTER_DATABASE!$BG$4:$BG$1000,ROW()-3)&amp;"")</f>
        <v/>
      </c>
      <c r="Q352" s="11" t="str">
        <f aca="false">IF(INDEX(MASTER_DATABASE!$A$4:$A$1000,ROW()-3)="","",INDEX(MASTER_DATABASE!$AQ$4:$AQ$1000,ROW()-3))</f>
        <v/>
      </c>
    </row>
    <row r="353" customFormat="false" ht="15" hidden="false" customHeight="false" outlineLevel="0" collapsed="false">
      <c r="A353" s="11" t="str">
        <f aca="false">IF(INDEX(MASTER_DATABASE!$A$4:$A$1000,ROW()-3)="","",INDEX(MASTER_DATABASE!$A$4:$A$1000,ROW()-3)&amp;"")</f>
        <v/>
      </c>
      <c r="B353" s="7" t="str">
        <f aca="false">IF(INDEX(MASTER_DATABASE!$A$4:$A$1000,ROW()-3)="","",INDEX(MASTER_DATABASE!$E$4:$E$1000,ROW()-3)&amp;"")</f>
        <v/>
      </c>
      <c r="C353" s="7" t="str">
        <f aca="false">IF(INDEX(MASTER_DATABASE!$A$4:$A$1000,ROW()-3)="","",INDEX(MASTER_DATABASE!$F$4:$F$1000,ROW()-3)&amp;"")</f>
        <v/>
      </c>
      <c r="D353" s="7" t="str">
        <f aca="false">IF(INDEX(MASTER_DATABASE!$A$4:$A$1000,ROW()-3)="","",INDEX(MASTER_DATABASE!$AL$4:$AL$1000,ROW()-3)&amp;"")</f>
        <v/>
      </c>
      <c r="E353" s="7" t="str">
        <f aca="false">IF(INDEX(MASTER_DATABASE!$A$4:$A$1000,ROW()-3)="","",INDEX(MASTER_DATABASE!$G$4:$G$1000,ROW()-3)&amp;"")</f>
        <v/>
      </c>
      <c r="F353" s="11" t="str">
        <f aca="false">IF(INDEX(MASTER_DATABASE!$A$4:$A$1000,ROW()-3)="","",INDEX(MASTER_DATABASE!$AP$4:$AP$1000,ROW()-3)&amp;"")</f>
        <v/>
      </c>
      <c r="G353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53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53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53" s="7" t="str">
        <f aca="false">IF(INDEX(MASTER_DATABASE!$A$4:$A$1000,ROW()-3)="","",INDEX(MASTER_DATABASE!$J$4:$J$1000,ROW()-3)&amp;"")</f>
        <v/>
      </c>
      <c r="K353" s="7" t="str">
        <f aca="false">IF(INDEX(MASTER_DATABASE!$A$4:$A$1000,ROW()-3)="","",INDEX(MASTER_DATABASE!$M$4:$M$1000,ROW()-3)&amp;"")</f>
        <v/>
      </c>
      <c r="L353" s="7" t="str">
        <f aca="false">IF(INDEX(MASTER_DATABASE!$A$4:$A$1000,ROW()-3)="","",INDEX(MASTER_DATABASE!$Q$4:$Q$1000,ROW()-3)&amp;"")</f>
        <v/>
      </c>
      <c r="M353" s="11" t="str">
        <f aca="false">IF(INDEX(MASTER_DATABASE!$A$4:$A$1000,ROW()-3)="","",INDEX(MASTER_DATABASE!$AI$4:$AI$1000,ROW()-3)&amp;"")</f>
        <v/>
      </c>
      <c r="N353" s="11" t="str">
        <f aca="false">IF(INDEX(MASTER_DATABASE!$A$4:$A$1000,ROW()-3)="","",INDEX(MASTER_DATABASE!$AJ$4:$AJ$1000,ROW()-3)&amp;"")</f>
        <v/>
      </c>
      <c r="O353" s="11" t="str">
        <f aca="false">IF(INDEX(MASTER_DATABASE!$A$4:$A$1000,ROW()-3)="","",IF(INDEX(MASTER_DATABASE!$BE$4:$BE$1000,ROW()-3)="LIVE","Yes","No"))</f>
        <v/>
      </c>
      <c r="P353" s="7" t="str">
        <f aca="false">IF(INDEX(MASTER_DATABASE!$A$4:$A$1000,ROW()-3)="","",INDEX(MASTER_DATABASE!$BG$4:$BG$1000,ROW()-3)&amp;"")</f>
        <v/>
      </c>
      <c r="Q353" s="11" t="str">
        <f aca="false">IF(INDEX(MASTER_DATABASE!$A$4:$A$1000,ROW()-3)="","",INDEX(MASTER_DATABASE!$AQ$4:$AQ$1000,ROW()-3))</f>
        <v/>
      </c>
    </row>
    <row r="354" customFormat="false" ht="15" hidden="false" customHeight="false" outlineLevel="0" collapsed="false">
      <c r="A354" s="11" t="str">
        <f aca="false">IF(INDEX(MASTER_DATABASE!$A$4:$A$1000,ROW()-3)="","",INDEX(MASTER_DATABASE!$A$4:$A$1000,ROW()-3)&amp;"")</f>
        <v/>
      </c>
      <c r="B354" s="7" t="str">
        <f aca="false">IF(INDEX(MASTER_DATABASE!$A$4:$A$1000,ROW()-3)="","",INDEX(MASTER_DATABASE!$E$4:$E$1000,ROW()-3)&amp;"")</f>
        <v/>
      </c>
      <c r="C354" s="7" t="str">
        <f aca="false">IF(INDEX(MASTER_DATABASE!$A$4:$A$1000,ROW()-3)="","",INDEX(MASTER_DATABASE!$F$4:$F$1000,ROW()-3)&amp;"")</f>
        <v/>
      </c>
      <c r="D354" s="7" t="str">
        <f aca="false">IF(INDEX(MASTER_DATABASE!$A$4:$A$1000,ROW()-3)="","",INDEX(MASTER_DATABASE!$AL$4:$AL$1000,ROW()-3)&amp;"")</f>
        <v/>
      </c>
      <c r="E354" s="7" t="str">
        <f aca="false">IF(INDEX(MASTER_DATABASE!$A$4:$A$1000,ROW()-3)="","",INDEX(MASTER_DATABASE!$G$4:$G$1000,ROW()-3)&amp;"")</f>
        <v/>
      </c>
      <c r="F354" s="11" t="str">
        <f aca="false">IF(INDEX(MASTER_DATABASE!$A$4:$A$1000,ROW()-3)="","",INDEX(MASTER_DATABASE!$AP$4:$AP$1000,ROW()-3)&amp;"")</f>
        <v/>
      </c>
      <c r="G354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54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54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54" s="7" t="str">
        <f aca="false">IF(INDEX(MASTER_DATABASE!$A$4:$A$1000,ROW()-3)="","",INDEX(MASTER_DATABASE!$J$4:$J$1000,ROW()-3)&amp;"")</f>
        <v/>
      </c>
      <c r="K354" s="7" t="str">
        <f aca="false">IF(INDEX(MASTER_DATABASE!$A$4:$A$1000,ROW()-3)="","",INDEX(MASTER_DATABASE!$M$4:$M$1000,ROW()-3)&amp;"")</f>
        <v/>
      </c>
      <c r="L354" s="7" t="str">
        <f aca="false">IF(INDEX(MASTER_DATABASE!$A$4:$A$1000,ROW()-3)="","",INDEX(MASTER_DATABASE!$Q$4:$Q$1000,ROW()-3)&amp;"")</f>
        <v/>
      </c>
      <c r="M354" s="11" t="str">
        <f aca="false">IF(INDEX(MASTER_DATABASE!$A$4:$A$1000,ROW()-3)="","",INDEX(MASTER_DATABASE!$AI$4:$AI$1000,ROW()-3)&amp;"")</f>
        <v/>
      </c>
      <c r="N354" s="11" t="str">
        <f aca="false">IF(INDEX(MASTER_DATABASE!$A$4:$A$1000,ROW()-3)="","",INDEX(MASTER_DATABASE!$AJ$4:$AJ$1000,ROW()-3)&amp;"")</f>
        <v/>
      </c>
      <c r="O354" s="11" t="str">
        <f aca="false">IF(INDEX(MASTER_DATABASE!$A$4:$A$1000,ROW()-3)="","",IF(INDEX(MASTER_DATABASE!$BE$4:$BE$1000,ROW()-3)="LIVE","Yes","No"))</f>
        <v/>
      </c>
      <c r="P354" s="7" t="str">
        <f aca="false">IF(INDEX(MASTER_DATABASE!$A$4:$A$1000,ROW()-3)="","",INDEX(MASTER_DATABASE!$BG$4:$BG$1000,ROW()-3)&amp;"")</f>
        <v/>
      </c>
      <c r="Q354" s="11" t="str">
        <f aca="false">IF(INDEX(MASTER_DATABASE!$A$4:$A$1000,ROW()-3)="","",INDEX(MASTER_DATABASE!$AQ$4:$AQ$1000,ROW()-3))</f>
        <v/>
      </c>
    </row>
    <row r="355" customFormat="false" ht="15" hidden="false" customHeight="false" outlineLevel="0" collapsed="false">
      <c r="A355" s="11" t="str">
        <f aca="false">IF(INDEX(MASTER_DATABASE!$A$4:$A$1000,ROW()-3)="","",INDEX(MASTER_DATABASE!$A$4:$A$1000,ROW()-3)&amp;"")</f>
        <v/>
      </c>
      <c r="B355" s="7" t="str">
        <f aca="false">IF(INDEX(MASTER_DATABASE!$A$4:$A$1000,ROW()-3)="","",INDEX(MASTER_DATABASE!$E$4:$E$1000,ROW()-3)&amp;"")</f>
        <v/>
      </c>
      <c r="C355" s="7" t="str">
        <f aca="false">IF(INDEX(MASTER_DATABASE!$A$4:$A$1000,ROW()-3)="","",INDEX(MASTER_DATABASE!$F$4:$F$1000,ROW()-3)&amp;"")</f>
        <v/>
      </c>
      <c r="D355" s="7" t="str">
        <f aca="false">IF(INDEX(MASTER_DATABASE!$A$4:$A$1000,ROW()-3)="","",INDEX(MASTER_DATABASE!$AL$4:$AL$1000,ROW()-3)&amp;"")</f>
        <v/>
      </c>
      <c r="E355" s="7" t="str">
        <f aca="false">IF(INDEX(MASTER_DATABASE!$A$4:$A$1000,ROW()-3)="","",INDEX(MASTER_DATABASE!$G$4:$G$1000,ROW()-3)&amp;"")</f>
        <v/>
      </c>
      <c r="F355" s="11" t="str">
        <f aca="false">IF(INDEX(MASTER_DATABASE!$A$4:$A$1000,ROW()-3)="","",INDEX(MASTER_DATABASE!$AP$4:$AP$1000,ROW()-3)&amp;"")</f>
        <v/>
      </c>
      <c r="G355" s="11" t="str">
        <f aca="false">IF(INDEX(MASTER_DATABASE!$A$4:$A$1000,ROW()-3)="","",IF(INDEX(MASTER_DATABASE!$V$4:$V$1000,ROW()-3)&lt;&gt;"Yes","Contact shop",IF(ISNUMBER(INDEX(MASTER_DATABASE!$R$4:$R$1000,ROW()-3)),"₹"&amp;INDEX(MASTER_DATABASE!$R$4:$R$1000,ROW()-3),INDEX(MASTER_DATABASE!$R$4:$R$1000,ROW()-3)&amp;"")))</f>
        <v/>
      </c>
      <c r="H355" s="11" t="str">
        <f aca="false">IF(INDEX(MASTER_DATABASE!$A$4:$A$1000,ROW()-3)="","",IF(INDEX(MASTER_DATABASE!$V$4:$V$1000,ROW()-3)&lt;&gt;"Yes","Contact shop",IF(ISNUMBER(INDEX(MASTER_DATABASE!$S$4:$S$1000,ROW()-3)),"₹"&amp;INDEX(MASTER_DATABASE!$S$4:$S$1000,ROW()-3),INDEX(MASTER_DATABASE!$S$4:$S$1000,ROW()-3)&amp;"")))</f>
        <v/>
      </c>
      <c r="I355" s="11" t="str">
        <f aca="false">IF(INDEX(MASTER_DATABASE!$A$4:$A$1000,ROW()-3)="","",IF(INDEX(MASTER_DATABASE!$V$4:$V$1000,ROW()-3)&lt;&gt;"Yes","Contact shop",IF(ISNUMBER(INDEX(MASTER_DATABASE!$T$4:$T$1000,ROW()-3)),"₹"&amp;INDEX(MASTER_DATABASE!$T$4:$T$1000,ROW()-3),INDEX(MASTER_DATABASE!$T$4:$T$1000,ROW()-3)&amp;"")))</f>
        <v/>
      </c>
      <c r="J355" s="7" t="str">
        <f aca="false">IF(INDEX(MASTER_DATABASE!$A$4:$A$1000,ROW()-3)="","",INDEX(MASTER_DATABASE!$J$4:$J$1000,ROW()-3)&amp;"")</f>
        <v/>
      </c>
      <c r="K355" s="7" t="str">
        <f aca="false">IF(INDEX(MASTER_DATABASE!$A$4:$A$1000,ROW()-3)="","",INDEX(MASTER_DATABASE!$M$4:$M$1000,ROW()-3)&amp;"")</f>
        <v/>
      </c>
      <c r="L355" s="7" t="str">
        <f aca="false">IF(INDEX(MASTER_DATABASE!$A$4:$A$1000,ROW()-3)="","",INDEX(MASTER_DATABASE!$Q$4:$Q$1000,ROW()-3)&amp;"")</f>
        <v/>
      </c>
      <c r="M355" s="11" t="str">
        <f aca="false">IF(INDEX(MASTER_DATABASE!$A$4:$A$1000,ROW()-3)="","",INDEX(MASTER_DATABASE!$AI$4:$AI$1000,ROW()-3)&amp;"")</f>
        <v/>
      </c>
      <c r="N355" s="11" t="str">
        <f aca="false">IF(INDEX(MASTER_DATABASE!$A$4:$A$1000,ROW()-3)="","",INDEX(MASTER_DATABASE!$AJ$4:$AJ$1000,ROW()-3)&amp;"")</f>
        <v/>
      </c>
      <c r="O355" s="11" t="str">
        <f aca="false">IF(INDEX(MASTER_DATABASE!$A$4:$A$1000,ROW()-3)="","",IF(INDEX(MASTER_DATABASE!$BE$4:$BE$1000,ROW()-3)="LIVE","Yes","No"))</f>
        <v/>
      </c>
      <c r="P355" s="7" t="str">
        <f aca="false">IF(INDEX(MASTER_DATABASE!$A$4:$A$1000,ROW()-3)="","",INDEX(MASTER_DATABASE!$BG$4:$BG$1000,ROW()-3)&amp;"")</f>
        <v/>
      </c>
      <c r="Q355" s="11" t="str">
        <f aca="false">IF(INDEX(MASTER_DATABASE!$A$4:$A$1000,ROW()-3)="","",INDEX(MASTER_DATABASE!$AQ$4:$AQ$1000,ROW()-3))</f>
        <v/>
      </c>
    </row>
  </sheetData>
  <conditionalFormatting sqref="O4:O355">
    <cfRule type="cellIs" priority="2" operator="equal" aboveAverage="0" equalAverage="0" bottom="0" percent="0" rank="0" text="" dxfId="14">
      <formula>"Yes"</formula>
    </cfRule>
    <cfRule type="cellIs" priority="3" operator="equal" aboveAverage="0" equalAverage="0" bottom="0" percent="0" rank="0" text="" dxfId="2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3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5" min="3" style="0" width="15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3416</v>
      </c>
    </row>
    <row r="2" customFormat="false" ht="15" hidden="false" customHeight="false" outlineLevel="0" collapsed="false">
      <c r="A2" s="2" t="s">
        <v>3417</v>
      </c>
    </row>
    <row r="3" customFormat="false" ht="33.75" hidden="false" customHeight="true" outlineLevel="0" collapsed="false">
      <c r="A3" s="3" t="s">
        <v>2</v>
      </c>
      <c r="B3" s="4" t="s">
        <v>3398</v>
      </c>
      <c r="C3" s="4" t="s">
        <v>19</v>
      </c>
      <c r="D3" s="4" t="s">
        <v>3418</v>
      </c>
      <c r="E3" s="4" t="s">
        <v>3412</v>
      </c>
      <c r="F3" s="4" t="s">
        <v>22</v>
      </c>
      <c r="G3" s="3" t="s">
        <v>3419</v>
      </c>
      <c r="H3" s="3" t="s">
        <v>3420</v>
      </c>
      <c r="I3" s="4" t="s">
        <v>3421</v>
      </c>
      <c r="J3" s="3" t="s">
        <v>3422</v>
      </c>
    </row>
    <row r="4" customFormat="false" ht="15" hidden="false" customHeight="false" outlineLevel="0" collapsed="false">
      <c r="A4" s="5" t="s">
        <v>66</v>
      </c>
      <c r="B4" s="7" t="str">
        <f aca="false">IF($A4="","",IFERROR(INDEX(MASTER_DATABASE!$E$4:$E$1000,MATCH($A4,MASTER_DATABASE!$A$4:$A$1000,0)),""))</f>
        <v>New Aadhaar Enrolment – Adult (18+ years)</v>
      </c>
      <c r="C4" s="9" t="str">
        <f aca="false">IF($A4="","",IFERROR(INDEX(MASTER_DATABASE!$R$4:$R$1000,MATCH($A4,MASTER_DATABASE!$A$4:$A$1000,0)),""))</f>
        <v>To Verify</v>
      </c>
      <c r="D4" s="9" t="str">
        <f aca="false">IF($A4="","",IFERROR(INDEX(MASTER_DATABASE!$S$4:$S$1000,MATCH($A4,MASTER_DATABASE!$A$4:$A$1000,0)),""))</f>
        <v>To Verify</v>
      </c>
      <c r="E4" s="9" t="str">
        <f aca="false">IF($A4="","",IF(AND(OR(ISNUMBER(C4),C4="N/A"),OR(ISNUMBER(D4),D4="N/A"),OR(ISNUMBER(C4),ISNUMBER(D4))),N(C4)+N(D4),"To Verify"))</f>
        <v>To Verify</v>
      </c>
      <c r="F4" s="11" t="str">
        <f aca="false">IF($A4="","",IFERROR(INDEX(MASTER_DATABASE!$U$4:$U$1000,MATCH($A4,MASTER_DATABASE!$A$4:$A$1000,0)),""))</f>
        <v>To Verify</v>
      </c>
      <c r="G4" s="12"/>
      <c r="H4" s="12"/>
      <c r="I4" s="11" t="str">
        <f aca="false">IF($A4="","",IFERROR(INDEX(MASTER_DATABASE!$V$4:$V$1000,MATCH($A4,MASTER_DATABASE!$A$4:$A$1000,0)),""))</f>
        <v>No</v>
      </c>
      <c r="J4" s="6"/>
    </row>
    <row r="5" customFormat="false" ht="15" hidden="false" customHeight="false" outlineLevel="0" collapsed="false">
      <c r="A5" s="5" t="s">
        <v>94</v>
      </c>
      <c r="B5" s="7" t="str">
        <f aca="false">IF($A5="","",IFERROR(INDEX(MASTER_DATABASE!$E$4:$E$1000,MATCH($A5,MASTER_DATABASE!$A$4:$A$1000,0)),""))</f>
        <v>New Aadhaar Enrolment – Child (5 to 17 years)</v>
      </c>
      <c r="C5" s="9" t="str">
        <f aca="false">IF($A5="","",IFERROR(INDEX(MASTER_DATABASE!$R$4:$R$1000,MATCH($A5,MASTER_DATABASE!$A$4:$A$1000,0)),""))</f>
        <v>To Verify</v>
      </c>
      <c r="D5" s="9" t="str">
        <f aca="false">IF($A5="","",IFERROR(INDEX(MASTER_DATABASE!$S$4:$S$1000,MATCH($A5,MASTER_DATABASE!$A$4:$A$1000,0)),""))</f>
        <v>To Verify</v>
      </c>
      <c r="E5" s="9" t="str">
        <f aca="false">IF($A5="","",IF(AND(OR(ISNUMBER(C5),C5="N/A"),OR(ISNUMBER(D5),D5="N/A"),OR(ISNUMBER(C5),ISNUMBER(D5))),N(C5)+N(D5),"To Verify"))</f>
        <v>To Verify</v>
      </c>
      <c r="F5" s="11" t="str">
        <f aca="false">IF($A5="","",IFERROR(INDEX(MASTER_DATABASE!$U$4:$U$1000,MATCH($A5,MASTER_DATABASE!$A$4:$A$1000,0)),""))</f>
        <v>To Verify</v>
      </c>
      <c r="G5" s="12"/>
      <c r="H5" s="12"/>
      <c r="I5" s="11" t="str">
        <f aca="false">IF($A5="","",IFERROR(INDEX(MASTER_DATABASE!$V$4:$V$1000,MATCH($A5,MASTER_DATABASE!$A$4:$A$1000,0)),""))</f>
        <v>No</v>
      </c>
      <c r="J5" s="6"/>
    </row>
    <row r="6" customFormat="false" ht="23.85" hidden="false" customHeight="false" outlineLevel="0" collapsed="false">
      <c r="A6" s="5" t="s">
        <v>109</v>
      </c>
      <c r="B6" s="7" t="str">
        <f aca="false">IF($A6="","",IFERROR(INDEX(MASTER_DATABASE!$E$4:$E$1000,MATCH($A6,MASTER_DATABASE!$A$4:$A$1000,0)),""))</f>
        <v>New Aadhaar Enrolment – Child (0 to 5 years, Baal Aadhaar)</v>
      </c>
      <c r="C6" s="9" t="str">
        <f aca="false">IF($A6="","",IFERROR(INDEX(MASTER_DATABASE!$R$4:$R$1000,MATCH($A6,MASTER_DATABASE!$A$4:$A$1000,0)),""))</f>
        <v>To Verify</v>
      </c>
      <c r="D6" s="9" t="str">
        <f aca="false">IF($A6="","",IFERROR(INDEX(MASTER_DATABASE!$S$4:$S$1000,MATCH($A6,MASTER_DATABASE!$A$4:$A$1000,0)),""))</f>
        <v>To Verify</v>
      </c>
      <c r="E6" s="9" t="str">
        <f aca="false">IF($A6="","",IF(AND(OR(ISNUMBER(C6),C6="N/A"),OR(ISNUMBER(D6),D6="N/A"),OR(ISNUMBER(C6),ISNUMBER(D6))),N(C6)+N(D6),"To Verify"))</f>
        <v>To Verify</v>
      </c>
      <c r="F6" s="11" t="str">
        <f aca="false">IF($A6="","",IFERROR(INDEX(MASTER_DATABASE!$U$4:$U$1000,MATCH($A6,MASTER_DATABASE!$A$4:$A$1000,0)),""))</f>
        <v>To Verify</v>
      </c>
      <c r="G6" s="12"/>
      <c r="H6" s="12"/>
      <c r="I6" s="11" t="str">
        <f aca="false">IF($A6="","",IFERROR(INDEX(MASTER_DATABASE!$V$4:$V$1000,MATCH($A6,MASTER_DATABASE!$A$4:$A$1000,0)),""))</f>
        <v>No</v>
      </c>
      <c r="J6" s="6"/>
    </row>
    <row r="7" customFormat="false" ht="23.85" hidden="false" customHeight="false" outlineLevel="0" collapsed="false">
      <c r="A7" s="5" t="s">
        <v>124</v>
      </c>
      <c r="B7" s="7" t="str">
        <f aca="false">IF($A7="","",IFERROR(INDEX(MASTER_DATABASE!$E$4:$E$1000,MATCH($A7,MASTER_DATABASE!$A$4:$A$1000,0)),""))</f>
        <v>Aadhaar Enrolment – Head of Family / Introducer Based</v>
      </c>
      <c r="C7" s="9" t="str">
        <f aca="false">IF($A7="","",IFERROR(INDEX(MASTER_DATABASE!$R$4:$R$1000,MATCH($A7,MASTER_DATABASE!$A$4:$A$1000,0)),""))</f>
        <v>To Verify</v>
      </c>
      <c r="D7" s="9" t="str">
        <f aca="false">IF($A7="","",IFERROR(INDEX(MASTER_DATABASE!$S$4:$S$1000,MATCH($A7,MASTER_DATABASE!$A$4:$A$1000,0)),""))</f>
        <v>To Verify</v>
      </c>
      <c r="E7" s="9" t="str">
        <f aca="false">IF($A7="","",IF(AND(OR(ISNUMBER(C7),C7="N/A"),OR(ISNUMBER(D7),D7="N/A"),OR(ISNUMBER(C7),ISNUMBER(D7))),N(C7)+N(D7),"To Verify"))</f>
        <v>To Verify</v>
      </c>
      <c r="F7" s="11" t="str">
        <f aca="false">IF($A7="","",IFERROR(INDEX(MASTER_DATABASE!$U$4:$U$1000,MATCH($A7,MASTER_DATABASE!$A$4:$A$1000,0)),""))</f>
        <v>To Verify</v>
      </c>
      <c r="G7" s="12"/>
      <c r="H7" s="12"/>
      <c r="I7" s="11" t="str">
        <f aca="false">IF($A7="","",IFERROR(INDEX(MASTER_DATABASE!$V$4:$V$1000,MATCH($A7,MASTER_DATABASE!$A$4:$A$1000,0)),""))</f>
        <v>No</v>
      </c>
      <c r="J7" s="6"/>
    </row>
    <row r="8" customFormat="false" ht="15" hidden="false" customHeight="false" outlineLevel="0" collapsed="false">
      <c r="A8" s="5" t="s">
        <v>141</v>
      </c>
      <c r="B8" s="7" t="str">
        <f aca="false">IF($A8="","",IFERROR(INDEX(MASTER_DATABASE!$E$4:$E$1000,MATCH($A8,MASTER_DATABASE!$A$4:$A$1000,0)),""))</f>
        <v>Aadhaar Enrolment – NRI / Foreign Resident</v>
      </c>
      <c r="C8" s="9" t="str">
        <f aca="false">IF($A8="","",IFERROR(INDEX(MASTER_DATABASE!$R$4:$R$1000,MATCH($A8,MASTER_DATABASE!$A$4:$A$1000,0)),""))</f>
        <v>To Verify</v>
      </c>
      <c r="D8" s="9" t="str">
        <f aca="false">IF($A8="","",IFERROR(INDEX(MASTER_DATABASE!$S$4:$S$1000,MATCH($A8,MASTER_DATABASE!$A$4:$A$1000,0)),""))</f>
        <v>To Verify</v>
      </c>
      <c r="E8" s="9" t="str">
        <f aca="false">IF($A8="","",IF(AND(OR(ISNUMBER(C8),C8="N/A"),OR(ISNUMBER(D8),D8="N/A"),OR(ISNUMBER(C8),ISNUMBER(D8))),N(C8)+N(D8),"To Verify"))</f>
        <v>To Verify</v>
      </c>
      <c r="F8" s="11" t="str">
        <f aca="false">IF($A8="","",IFERROR(INDEX(MASTER_DATABASE!$U$4:$U$1000,MATCH($A8,MASTER_DATABASE!$A$4:$A$1000,0)),""))</f>
        <v>To Verify</v>
      </c>
      <c r="G8" s="12"/>
      <c r="H8" s="12"/>
      <c r="I8" s="11" t="str">
        <f aca="false">IF($A8="","",IFERROR(INDEX(MASTER_DATABASE!$V$4:$V$1000,MATCH($A8,MASTER_DATABASE!$A$4:$A$1000,0)),""))</f>
        <v>No</v>
      </c>
      <c r="J8" s="6"/>
    </row>
    <row r="9" customFormat="false" ht="15" hidden="false" customHeight="false" outlineLevel="0" collapsed="false">
      <c r="A9" s="5" t="s">
        <v>151</v>
      </c>
      <c r="B9" s="7" t="str">
        <f aca="false">IF($A9="","",IFERROR(INDEX(MASTER_DATABASE!$E$4:$E$1000,MATCH($A9,MASTER_DATABASE!$A$4:$A$1000,0)),""))</f>
        <v>Aadhaar Enrolment – Biometric Exception Case</v>
      </c>
      <c r="C9" s="9" t="str">
        <f aca="false">IF($A9="","",IFERROR(INDEX(MASTER_DATABASE!$R$4:$R$1000,MATCH($A9,MASTER_DATABASE!$A$4:$A$1000,0)),""))</f>
        <v>To Verify</v>
      </c>
      <c r="D9" s="9" t="str">
        <f aca="false">IF($A9="","",IFERROR(INDEX(MASTER_DATABASE!$S$4:$S$1000,MATCH($A9,MASTER_DATABASE!$A$4:$A$1000,0)),""))</f>
        <v>To Verify</v>
      </c>
      <c r="E9" s="9" t="str">
        <f aca="false">IF($A9="","",IF(AND(OR(ISNUMBER(C9),C9="N/A"),OR(ISNUMBER(D9),D9="N/A"),OR(ISNUMBER(C9),ISNUMBER(D9))),N(C9)+N(D9),"To Verify"))</f>
        <v>To Verify</v>
      </c>
      <c r="F9" s="11" t="str">
        <f aca="false">IF($A9="","",IFERROR(INDEX(MASTER_DATABASE!$U$4:$U$1000,MATCH($A9,MASTER_DATABASE!$A$4:$A$1000,0)),""))</f>
        <v>To Verify</v>
      </c>
      <c r="G9" s="12"/>
      <c r="H9" s="12"/>
      <c r="I9" s="11" t="str">
        <f aca="false">IF($A9="","",IFERROR(INDEX(MASTER_DATABASE!$V$4:$V$1000,MATCH($A9,MASTER_DATABASE!$A$4:$A$1000,0)),""))</f>
        <v>No</v>
      </c>
      <c r="J9" s="6"/>
    </row>
    <row r="10" customFormat="false" ht="15" hidden="false" customHeight="false" outlineLevel="0" collapsed="false">
      <c r="A10" s="5" t="s">
        <v>161</v>
      </c>
      <c r="B10" s="7" t="str">
        <f aca="false">IF($A10="","",IFERROR(INDEX(MASTER_DATABASE!$E$4:$E$1000,MATCH($A10,MASTER_DATABASE!$A$4:$A$1000,0)),""))</f>
        <v>Aadhaar Name Update</v>
      </c>
      <c r="C10" s="9" t="str">
        <f aca="false">IF($A10="","",IFERROR(INDEX(MASTER_DATABASE!$R$4:$R$1000,MATCH($A10,MASTER_DATABASE!$A$4:$A$1000,0)),""))</f>
        <v>To Verify</v>
      </c>
      <c r="D10" s="9" t="str">
        <f aca="false">IF($A10="","",IFERROR(INDEX(MASTER_DATABASE!$S$4:$S$1000,MATCH($A10,MASTER_DATABASE!$A$4:$A$1000,0)),""))</f>
        <v>To Verify</v>
      </c>
      <c r="E10" s="9" t="str">
        <f aca="false">IF($A10="","",IF(AND(OR(ISNUMBER(C10),C10="N/A"),OR(ISNUMBER(D10),D10="N/A"),OR(ISNUMBER(C10),ISNUMBER(D10))),N(C10)+N(D10),"To Verify"))</f>
        <v>To Verify</v>
      </c>
      <c r="F10" s="11" t="str">
        <f aca="false">IF($A10="","",IFERROR(INDEX(MASTER_DATABASE!$U$4:$U$1000,MATCH($A10,MASTER_DATABASE!$A$4:$A$1000,0)),""))</f>
        <v>To Verify</v>
      </c>
      <c r="G10" s="12"/>
      <c r="H10" s="12"/>
      <c r="I10" s="11" t="str">
        <f aca="false">IF($A10="","",IFERROR(INDEX(MASTER_DATABASE!$V$4:$V$1000,MATCH($A10,MASTER_DATABASE!$A$4:$A$1000,0)),""))</f>
        <v>No</v>
      </c>
      <c r="J10" s="6"/>
    </row>
    <row r="11" customFormat="false" ht="15" hidden="false" customHeight="false" outlineLevel="0" collapsed="false">
      <c r="A11" s="5" t="s">
        <v>180</v>
      </c>
      <c r="B11" s="7" t="str">
        <f aca="false">IF($A11="","",IFERROR(INDEX(MASTER_DATABASE!$E$4:$E$1000,MATCH($A11,MASTER_DATABASE!$A$4:$A$1000,0)),""))</f>
        <v>Aadhaar Date of Birth Update</v>
      </c>
      <c r="C11" s="9" t="str">
        <f aca="false">IF($A11="","",IFERROR(INDEX(MASTER_DATABASE!$R$4:$R$1000,MATCH($A11,MASTER_DATABASE!$A$4:$A$1000,0)),""))</f>
        <v>To Verify</v>
      </c>
      <c r="D11" s="9" t="str">
        <f aca="false">IF($A11="","",IFERROR(INDEX(MASTER_DATABASE!$S$4:$S$1000,MATCH($A11,MASTER_DATABASE!$A$4:$A$1000,0)),""))</f>
        <v>To Verify</v>
      </c>
      <c r="E11" s="9" t="str">
        <f aca="false">IF($A11="","",IF(AND(OR(ISNUMBER(C11),C11="N/A"),OR(ISNUMBER(D11),D11="N/A"),OR(ISNUMBER(C11),ISNUMBER(D11))),N(C11)+N(D11),"To Verify"))</f>
        <v>To Verify</v>
      </c>
      <c r="F11" s="11" t="str">
        <f aca="false">IF($A11="","",IFERROR(INDEX(MASTER_DATABASE!$U$4:$U$1000,MATCH($A11,MASTER_DATABASE!$A$4:$A$1000,0)),""))</f>
        <v>To Verify</v>
      </c>
      <c r="G11" s="12"/>
      <c r="H11" s="12"/>
      <c r="I11" s="11" t="str">
        <f aca="false">IF($A11="","",IFERROR(INDEX(MASTER_DATABASE!$V$4:$V$1000,MATCH($A11,MASTER_DATABASE!$A$4:$A$1000,0)),""))</f>
        <v>No</v>
      </c>
      <c r="J11" s="6"/>
    </row>
    <row r="12" customFormat="false" ht="15" hidden="false" customHeight="false" outlineLevel="0" collapsed="false">
      <c r="A12" s="5" t="s">
        <v>192</v>
      </c>
      <c r="B12" s="7" t="str">
        <f aca="false">IF($A12="","",IFERROR(INDEX(MASTER_DATABASE!$E$4:$E$1000,MATCH($A12,MASTER_DATABASE!$A$4:$A$1000,0)),""))</f>
        <v>Aadhaar Gender Update</v>
      </c>
      <c r="C12" s="9" t="str">
        <f aca="false">IF($A12="","",IFERROR(INDEX(MASTER_DATABASE!$R$4:$R$1000,MATCH($A12,MASTER_DATABASE!$A$4:$A$1000,0)),""))</f>
        <v>To Verify</v>
      </c>
      <c r="D12" s="9" t="str">
        <f aca="false">IF($A12="","",IFERROR(INDEX(MASTER_DATABASE!$S$4:$S$1000,MATCH($A12,MASTER_DATABASE!$A$4:$A$1000,0)),""))</f>
        <v>To Verify</v>
      </c>
      <c r="E12" s="9" t="str">
        <f aca="false">IF($A12="","",IF(AND(OR(ISNUMBER(C12),C12="N/A"),OR(ISNUMBER(D12),D12="N/A"),OR(ISNUMBER(C12),ISNUMBER(D12))),N(C12)+N(D12),"To Verify"))</f>
        <v>To Verify</v>
      </c>
      <c r="F12" s="11" t="str">
        <f aca="false">IF($A12="","",IFERROR(INDEX(MASTER_DATABASE!$U$4:$U$1000,MATCH($A12,MASTER_DATABASE!$A$4:$A$1000,0)),""))</f>
        <v>To Verify</v>
      </c>
      <c r="G12" s="12"/>
      <c r="H12" s="12"/>
      <c r="I12" s="11" t="str">
        <f aca="false">IF($A12="","",IFERROR(INDEX(MASTER_DATABASE!$V$4:$V$1000,MATCH($A12,MASTER_DATABASE!$A$4:$A$1000,0)),""))</f>
        <v>No</v>
      </c>
      <c r="J12" s="6"/>
    </row>
    <row r="13" customFormat="false" ht="15" hidden="false" customHeight="false" outlineLevel="0" collapsed="false">
      <c r="A13" s="5" t="s">
        <v>204</v>
      </c>
      <c r="B13" s="7" t="str">
        <f aca="false">IF($A13="","",IFERROR(INDEX(MASTER_DATABASE!$E$4:$E$1000,MATCH($A13,MASTER_DATABASE!$A$4:$A$1000,0)),""))</f>
        <v>Aadhaar Address Update (with Document)</v>
      </c>
      <c r="C13" s="9" t="str">
        <f aca="false">IF($A13="","",IFERROR(INDEX(MASTER_DATABASE!$R$4:$R$1000,MATCH($A13,MASTER_DATABASE!$A$4:$A$1000,0)),""))</f>
        <v>To Verify</v>
      </c>
      <c r="D13" s="9" t="str">
        <f aca="false">IF($A13="","",IFERROR(INDEX(MASTER_DATABASE!$S$4:$S$1000,MATCH($A13,MASTER_DATABASE!$A$4:$A$1000,0)),""))</f>
        <v>To Verify</v>
      </c>
      <c r="E13" s="9" t="str">
        <f aca="false">IF($A13="","",IF(AND(OR(ISNUMBER(C13),C13="N/A"),OR(ISNUMBER(D13),D13="N/A"),OR(ISNUMBER(C13),ISNUMBER(D13))),N(C13)+N(D13),"To Verify"))</f>
        <v>To Verify</v>
      </c>
      <c r="F13" s="11" t="str">
        <f aca="false">IF($A13="","",IFERROR(INDEX(MASTER_DATABASE!$U$4:$U$1000,MATCH($A13,MASTER_DATABASE!$A$4:$A$1000,0)),""))</f>
        <v>To Verify</v>
      </c>
      <c r="G13" s="12"/>
      <c r="H13" s="12"/>
      <c r="I13" s="11" t="str">
        <f aca="false">IF($A13="","",IFERROR(INDEX(MASTER_DATABASE!$V$4:$V$1000,MATCH($A13,MASTER_DATABASE!$A$4:$A$1000,0)),""))</f>
        <v>No</v>
      </c>
      <c r="J13" s="6"/>
    </row>
    <row r="14" customFormat="false" ht="15" hidden="false" customHeight="false" outlineLevel="0" collapsed="false">
      <c r="A14" s="5" t="s">
        <v>216</v>
      </c>
      <c r="B14" s="7" t="str">
        <f aca="false">IF($A14="","",IFERROR(INDEX(MASTER_DATABASE!$E$4:$E$1000,MATCH($A14,MASTER_DATABASE!$A$4:$A$1000,0)),""))</f>
        <v>Aadhaar Address Update – Online (SSUP) Assistance</v>
      </c>
      <c r="C14" s="9" t="str">
        <f aca="false">IF($A14="","",IFERROR(INDEX(MASTER_DATABASE!$R$4:$R$1000,MATCH($A14,MASTER_DATABASE!$A$4:$A$1000,0)),""))</f>
        <v>To Verify</v>
      </c>
      <c r="D14" s="9" t="str">
        <f aca="false">IF($A14="","",IFERROR(INDEX(MASTER_DATABASE!$S$4:$S$1000,MATCH($A14,MASTER_DATABASE!$A$4:$A$1000,0)),""))</f>
        <v>To Verify</v>
      </c>
      <c r="E14" s="9" t="str">
        <f aca="false">IF($A14="","",IF(AND(OR(ISNUMBER(C14),C14="N/A"),OR(ISNUMBER(D14),D14="N/A"),OR(ISNUMBER(C14),ISNUMBER(D14))),N(C14)+N(D14),"To Verify"))</f>
        <v>To Verify</v>
      </c>
      <c r="F14" s="11" t="str">
        <f aca="false">IF($A14="","",IFERROR(INDEX(MASTER_DATABASE!$U$4:$U$1000,MATCH($A14,MASTER_DATABASE!$A$4:$A$1000,0)),""))</f>
        <v>To Verify</v>
      </c>
      <c r="G14" s="12"/>
      <c r="H14" s="12"/>
      <c r="I14" s="11" t="str">
        <f aca="false">IF($A14="","",IFERROR(INDEX(MASTER_DATABASE!$V$4:$V$1000,MATCH($A14,MASTER_DATABASE!$A$4:$A$1000,0)),""))</f>
        <v>No</v>
      </c>
      <c r="J14" s="6"/>
    </row>
    <row r="15" customFormat="false" ht="15" hidden="false" customHeight="false" outlineLevel="0" collapsed="false">
      <c r="A15" s="5" t="s">
        <v>234</v>
      </c>
      <c r="B15" s="7" t="str">
        <f aca="false">IF($A15="","",IFERROR(INDEX(MASTER_DATABASE!$E$4:$E$1000,MATCH($A15,MASTER_DATABASE!$A$4:$A$1000,0)),""))</f>
        <v>Aadhaar Mobile Number Update</v>
      </c>
      <c r="C15" s="9" t="str">
        <f aca="false">IF($A15="","",IFERROR(INDEX(MASTER_DATABASE!$R$4:$R$1000,MATCH($A15,MASTER_DATABASE!$A$4:$A$1000,0)),""))</f>
        <v>To Verify</v>
      </c>
      <c r="D15" s="9" t="str">
        <f aca="false">IF($A15="","",IFERROR(INDEX(MASTER_DATABASE!$S$4:$S$1000,MATCH($A15,MASTER_DATABASE!$A$4:$A$1000,0)),""))</f>
        <v>To Verify</v>
      </c>
      <c r="E15" s="9" t="str">
        <f aca="false">IF($A15="","",IF(AND(OR(ISNUMBER(C15),C15="N/A"),OR(ISNUMBER(D15),D15="N/A"),OR(ISNUMBER(C15),ISNUMBER(D15))),N(C15)+N(D15),"To Verify"))</f>
        <v>To Verify</v>
      </c>
      <c r="F15" s="11" t="str">
        <f aca="false">IF($A15="","",IFERROR(INDEX(MASTER_DATABASE!$U$4:$U$1000,MATCH($A15,MASTER_DATABASE!$A$4:$A$1000,0)),""))</f>
        <v>To Verify</v>
      </c>
      <c r="G15" s="12"/>
      <c r="H15" s="12"/>
      <c r="I15" s="11" t="str">
        <f aca="false">IF($A15="","",IFERROR(INDEX(MASTER_DATABASE!$V$4:$V$1000,MATCH($A15,MASTER_DATABASE!$A$4:$A$1000,0)),""))</f>
        <v>No</v>
      </c>
      <c r="J15" s="6"/>
    </row>
    <row r="16" customFormat="false" ht="15" hidden="false" customHeight="false" outlineLevel="0" collapsed="false">
      <c r="A16" s="5" t="s">
        <v>246</v>
      </c>
      <c r="B16" s="7" t="str">
        <f aca="false">IF($A16="","",IFERROR(INDEX(MASTER_DATABASE!$E$4:$E$1000,MATCH($A16,MASTER_DATABASE!$A$4:$A$1000,0)),""))</f>
        <v>Aadhaar Email ID Update</v>
      </c>
      <c r="C16" s="9" t="str">
        <f aca="false">IF($A16="","",IFERROR(INDEX(MASTER_DATABASE!$R$4:$R$1000,MATCH($A16,MASTER_DATABASE!$A$4:$A$1000,0)),""))</f>
        <v>To Verify</v>
      </c>
      <c r="D16" s="9" t="str">
        <f aca="false">IF($A16="","",IFERROR(INDEX(MASTER_DATABASE!$S$4:$S$1000,MATCH($A16,MASTER_DATABASE!$A$4:$A$1000,0)),""))</f>
        <v>To Verify</v>
      </c>
      <c r="E16" s="9" t="str">
        <f aca="false">IF($A16="","",IF(AND(OR(ISNUMBER(C16),C16="N/A"),OR(ISNUMBER(D16),D16="N/A"),OR(ISNUMBER(C16),ISNUMBER(D16))),N(C16)+N(D16),"To Verify"))</f>
        <v>To Verify</v>
      </c>
      <c r="F16" s="11" t="str">
        <f aca="false">IF($A16="","",IFERROR(INDEX(MASTER_DATABASE!$U$4:$U$1000,MATCH($A16,MASTER_DATABASE!$A$4:$A$1000,0)),""))</f>
        <v>To Verify</v>
      </c>
      <c r="G16" s="12"/>
      <c r="H16" s="12"/>
      <c r="I16" s="11" t="str">
        <f aca="false">IF($A16="","",IFERROR(INDEX(MASTER_DATABASE!$V$4:$V$1000,MATCH($A16,MASTER_DATABASE!$A$4:$A$1000,0)),""))</f>
        <v>No</v>
      </c>
      <c r="J16" s="6"/>
    </row>
    <row r="17" customFormat="false" ht="15" hidden="false" customHeight="false" outlineLevel="0" collapsed="false">
      <c r="A17" s="5" t="s">
        <v>258</v>
      </c>
      <c r="B17" s="7" t="str">
        <f aca="false">IF($A17="","",IFERROR(INDEX(MASTER_DATABASE!$E$4:$E$1000,MATCH($A17,MASTER_DATABASE!$A$4:$A$1000,0)),""))</f>
        <v>Aadhaar Relationship / Head of Family Detail Update</v>
      </c>
      <c r="C17" s="9" t="str">
        <f aca="false">IF($A17="","",IFERROR(INDEX(MASTER_DATABASE!$R$4:$R$1000,MATCH($A17,MASTER_DATABASE!$A$4:$A$1000,0)),""))</f>
        <v>To Verify</v>
      </c>
      <c r="D17" s="9" t="str">
        <f aca="false">IF($A17="","",IFERROR(INDEX(MASTER_DATABASE!$S$4:$S$1000,MATCH($A17,MASTER_DATABASE!$A$4:$A$1000,0)),""))</f>
        <v>To Verify</v>
      </c>
      <c r="E17" s="9" t="str">
        <f aca="false">IF($A17="","",IF(AND(OR(ISNUMBER(C17),C17="N/A"),OR(ISNUMBER(D17),D17="N/A"),OR(ISNUMBER(C17),ISNUMBER(D17))),N(C17)+N(D17),"To Verify"))</f>
        <v>To Verify</v>
      </c>
      <c r="F17" s="11" t="str">
        <f aca="false">IF($A17="","",IFERROR(INDEX(MASTER_DATABASE!$U$4:$U$1000,MATCH($A17,MASTER_DATABASE!$A$4:$A$1000,0)),""))</f>
        <v>To Verify</v>
      </c>
      <c r="G17" s="12"/>
      <c r="H17" s="12"/>
      <c r="I17" s="11" t="str">
        <f aca="false">IF($A17="","",IFERROR(INDEX(MASTER_DATABASE!$V$4:$V$1000,MATCH($A17,MASTER_DATABASE!$A$4:$A$1000,0)),""))</f>
        <v>No</v>
      </c>
      <c r="J17" s="6"/>
    </row>
    <row r="18" customFormat="false" ht="23.85" hidden="false" customHeight="false" outlineLevel="0" collapsed="false">
      <c r="A18" s="5" t="s">
        <v>270</v>
      </c>
      <c r="B18" s="7" t="str">
        <f aca="false">IF($A18="","",IFERROR(INDEX(MASTER_DATABASE!$E$4:$E$1000,MATCH($A18,MASTER_DATABASE!$A$4:$A$1000,0)),""))</f>
        <v>Aadhaar Combined Demographic Update (Multiple Fields)</v>
      </c>
      <c r="C18" s="9" t="str">
        <f aca="false">IF($A18="","",IFERROR(INDEX(MASTER_DATABASE!$R$4:$R$1000,MATCH($A18,MASTER_DATABASE!$A$4:$A$1000,0)),""))</f>
        <v>To Verify</v>
      </c>
      <c r="D18" s="9" t="str">
        <f aca="false">IF($A18="","",IFERROR(INDEX(MASTER_DATABASE!$S$4:$S$1000,MATCH($A18,MASTER_DATABASE!$A$4:$A$1000,0)),""))</f>
        <v>To Verify</v>
      </c>
      <c r="E18" s="9" t="str">
        <f aca="false">IF($A18="","",IF(AND(OR(ISNUMBER(C18),C18="N/A"),OR(ISNUMBER(D18),D18="N/A"),OR(ISNUMBER(C18),ISNUMBER(D18))),N(C18)+N(D18),"To Verify"))</f>
        <v>To Verify</v>
      </c>
      <c r="F18" s="11" t="str">
        <f aca="false">IF($A18="","",IFERROR(INDEX(MASTER_DATABASE!$U$4:$U$1000,MATCH($A18,MASTER_DATABASE!$A$4:$A$1000,0)),""))</f>
        <v>To Verify</v>
      </c>
      <c r="G18" s="12"/>
      <c r="H18" s="12"/>
      <c r="I18" s="11" t="str">
        <f aca="false">IF($A18="","",IFERROR(INDEX(MASTER_DATABASE!$V$4:$V$1000,MATCH($A18,MASTER_DATABASE!$A$4:$A$1000,0)),""))</f>
        <v>No</v>
      </c>
      <c r="J18" s="6"/>
    </row>
    <row r="19" customFormat="false" ht="15" hidden="false" customHeight="false" outlineLevel="0" collapsed="false">
      <c r="A19" s="5" t="s">
        <v>281</v>
      </c>
      <c r="B19" s="7" t="str">
        <f aca="false">IF($A19="","",IFERROR(INDEX(MASTER_DATABASE!$E$4:$E$1000,MATCH($A19,MASTER_DATABASE!$A$4:$A$1000,0)),""))</f>
        <v>Aadhaar Fingerprint Update</v>
      </c>
      <c r="C19" s="9" t="str">
        <f aca="false">IF($A19="","",IFERROR(INDEX(MASTER_DATABASE!$R$4:$R$1000,MATCH($A19,MASTER_DATABASE!$A$4:$A$1000,0)),""))</f>
        <v>To Verify</v>
      </c>
      <c r="D19" s="9" t="str">
        <f aca="false">IF($A19="","",IFERROR(INDEX(MASTER_DATABASE!$S$4:$S$1000,MATCH($A19,MASTER_DATABASE!$A$4:$A$1000,0)),""))</f>
        <v>To Verify</v>
      </c>
      <c r="E19" s="9" t="str">
        <f aca="false">IF($A19="","",IF(AND(OR(ISNUMBER(C19),C19="N/A"),OR(ISNUMBER(D19),D19="N/A"),OR(ISNUMBER(C19),ISNUMBER(D19))),N(C19)+N(D19),"To Verify"))</f>
        <v>To Verify</v>
      </c>
      <c r="F19" s="11" t="str">
        <f aca="false">IF($A19="","",IFERROR(INDEX(MASTER_DATABASE!$U$4:$U$1000,MATCH($A19,MASTER_DATABASE!$A$4:$A$1000,0)),""))</f>
        <v>To Verify</v>
      </c>
      <c r="G19" s="12"/>
      <c r="H19" s="12"/>
      <c r="I19" s="11" t="str">
        <f aca="false">IF($A19="","",IFERROR(INDEX(MASTER_DATABASE!$V$4:$V$1000,MATCH($A19,MASTER_DATABASE!$A$4:$A$1000,0)),""))</f>
        <v>No</v>
      </c>
      <c r="J19" s="6"/>
    </row>
    <row r="20" customFormat="false" ht="15" hidden="false" customHeight="false" outlineLevel="0" collapsed="false">
      <c r="A20" s="5" t="s">
        <v>297</v>
      </c>
      <c r="B20" s="7" t="str">
        <f aca="false">IF($A20="","",IFERROR(INDEX(MASTER_DATABASE!$E$4:$E$1000,MATCH($A20,MASTER_DATABASE!$A$4:$A$1000,0)),""))</f>
        <v>Aadhaar Iris Update</v>
      </c>
      <c r="C20" s="9" t="str">
        <f aca="false">IF($A20="","",IFERROR(INDEX(MASTER_DATABASE!$R$4:$R$1000,MATCH($A20,MASTER_DATABASE!$A$4:$A$1000,0)),""))</f>
        <v>To Verify</v>
      </c>
      <c r="D20" s="9" t="str">
        <f aca="false">IF($A20="","",IFERROR(INDEX(MASTER_DATABASE!$S$4:$S$1000,MATCH($A20,MASTER_DATABASE!$A$4:$A$1000,0)),""))</f>
        <v>To Verify</v>
      </c>
      <c r="E20" s="9" t="str">
        <f aca="false">IF($A20="","",IF(AND(OR(ISNUMBER(C20),C20="N/A"),OR(ISNUMBER(D20),D20="N/A"),OR(ISNUMBER(C20),ISNUMBER(D20))),N(C20)+N(D20),"To Verify"))</f>
        <v>To Verify</v>
      </c>
      <c r="F20" s="11" t="str">
        <f aca="false">IF($A20="","",IFERROR(INDEX(MASTER_DATABASE!$U$4:$U$1000,MATCH($A20,MASTER_DATABASE!$A$4:$A$1000,0)),""))</f>
        <v>To Verify</v>
      </c>
      <c r="G20" s="12"/>
      <c r="H20" s="12"/>
      <c r="I20" s="11" t="str">
        <f aca="false">IF($A20="","",IFERROR(INDEX(MASTER_DATABASE!$V$4:$V$1000,MATCH($A20,MASTER_DATABASE!$A$4:$A$1000,0)),""))</f>
        <v>No</v>
      </c>
      <c r="J20" s="6"/>
    </row>
    <row r="21" customFormat="false" ht="15" hidden="false" customHeight="false" outlineLevel="0" collapsed="false">
      <c r="A21" s="5" t="s">
        <v>308</v>
      </c>
      <c r="B21" s="7" t="str">
        <f aca="false">IF($A21="","",IFERROR(INDEX(MASTER_DATABASE!$E$4:$E$1000,MATCH($A21,MASTER_DATABASE!$A$4:$A$1000,0)),""))</f>
        <v>Aadhaar Photograph Update</v>
      </c>
      <c r="C21" s="9" t="str">
        <f aca="false">IF($A21="","",IFERROR(INDEX(MASTER_DATABASE!$R$4:$R$1000,MATCH($A21,MASTER_DATABASE!$A$4:$A$1000,0)),""))</f>
        <v>To Verify</v>
      </c>
      <c r="D21" s="9" t="str">
        <f aca="false">IF($A21="","",IFERROR(INDEX(MASTER_DATABASE!$S$4:$S$1000,MATCH($A21,MASTER_DATABASE!$A$4:$A$1000,0)),""))</f>
        <v>To Verify</v>
      </c>
      <c r="E21" s="9" t="str">
        <f aca="false">IF($A21="","",IF(AND(OR(ISNUMBER(C21),C21="N/A"),OR(ISNUMBER(D21),D21="N/A"),OR(ISNUMBER(C21),ISNUMBER(D21))),N(C21)+N(D21),"To Verify"))</f>
        <v>To Verify</v>
      </c>
      <c r="F21" s="11" t="str">
        <f aca="false">IF($A21="","",IFERROR(INDEX(MASTER_DATABASE!$U$4:$U$1000,MATCH($A21,MASTER_DATABASE!$A$4:$A$1000,0)),""))</f>
        <v>To Verify</v>
      </c>
      <c r="G21" s="12"/>
      <c r="H21" s="12"/>
      <c r="I21" s="11" t="str">
        <f aca="false">IF($A21="","",IFERROR(INDEX(MASTER_DATABASE!$V$4:$V$1000,MATCH($A21,MASTER_DATABASE!$A$4:$A$1000,0)),""))</f>
        <v>No</v>
      </c>
      <c r="J21" s="6"/>
    </row>
    <row r="22" customFormat="false" ht="23.85" hidden="false" customHeight="false" outlineLevel="0" collapsed="false">
      <c r="A22" s="5" t="s">
        <v>319</v>
      </c>
      <c r="B22" s="7" t="str">
        <f aca="false">IF($A22="","",IFERROR(INDEX(MASTER_DATABASE!$E$4:$E$1000,MATCH($A22,MASTER_DATABASE!$A$4:$A$1000,0)),""))</f>
        <v>Aadhaar Biometric Update – Combined (Finger + Iris + Photo)</v>
      </c>
      <c r="C22" s="9" t="str">
        <f aca="false">IF($A22="","",IFERROR(INDEX(MASTER_DATABASE!$R$4:$R$1000,MATCH($A22,MASTER_DATABASE!$A$4:$A$1000,0)),""))</f>
        <v>To Verify</v>
      </c>
      <c r="D22" s="9" t="str">
        <f aca="false">IF($A22="","",IFERROR(INDEX(MASTER_DATABASE!$S$4:$S$1000,MATCH($A22,MASTER_DATABASE!$A$4:$A$1000,0)),""))</f>
        <v>To Verify</v>
      </c>
      <c r="E22" s="9" t="str">
        <f aca="false">IF($A22="","",IF(AND(OR(ISNUMBER(C22),C22="N/A"),OR(ISNUMBER(D22),D22="N/A"),OR(ISNUMBER(C22),ISNUMBER(D22))),N(C22)+N(D22),"To Verify"))</f>
        <v>To Verify</v>
      </c>
      <c r="F22" s="11" t="str">
        <f aca="false">IF($A22="","",IFERROR(INDEX(MASTER_DATABASE!$U$4:$U$1000,MATCH($A22,MASTER_DATABASE!$A$4:$A$1000,0)),""))</f>
        <v>To Verify</v>
      </c>
      <c r="G22" s="12"/>
      <c r="H22" s="12"/>
      <c r="I22" s="11" t="str">
        <f aca="false">IF($A22="","",IFERROR(INDEX(MASTER_DATABASE!$V$4:$V$1000,MATCH($A22,MASTER_DATABASE!$A$4:$A$1000,0)),""))</f>
        <v>No</v>
      </c>
      <c r="J22" s="6"/>
    </row>
    <row r="23" customFormat="false" ht="15" hidden="false" customHeight="false" outlineLevel="0" collapsed="false">
      <c r="A23" s="5" t="s">
        <v>330</v>
      </c>
      <c r="B23" s="7" t="str">
        <f aca="false">IF($A23="","",IFERROR(INDEX(MASTER_DATABASE!$E$4:$E$1000,MATCH($A23,MASTER_DATABASE!$A$4:$A$1000,0)),""))</f>
        <v>Mandatory Biometric Update – Child at Age 5</v>
      </c>
      <c r="C23" s="9" t="str">
        <f aca="false">IF($A23="","",IFERROR(INDEX(MASTER_DATABASE!$R$4:$R$1000,MATCH($A23,MASTER_DATABASE!$A$4:$A$1000,0)),""))</f>
        <v>To Verify</v>
      </c>
      <c r="D23" s="9" t="str">
        <f aca="false">IF($A23="","",IFERROR(INDEX(MASTER_DATABASE!$S$4:$S$1000,MATCH($A23,MASTER_DATABASE!$A$4:$A$1000,0)),""))</f>
        <v>To Verify</v>
      </c>
      <c r="E23" s="9" t="str">
        <f aca="false">IF($A23="","",IF(AND(OR(ISNUMBER(C23),C23="N/A"),OR(ISNUMBER(D23),D23="N/A"),OR(ISNUMBER(C23),ISNUMBER(D23))),N(C23)+N(D23),"To Verify"))</f>
        <v>To Verify</v>
      </c>
      <c r="F23" s="11" t="str">
        <f aca="false">IF($A23="","",IFERROR(INDEX(MASTER_DATABASE!$U$4:$U$1000,MATCH($A23,MASTER_DATABASE!$A$4:$A$1000,0)),""))</f>
        <v>To Verify</v>
      </c>
      <c r="G23" s="12"/>
      <c r="H23" s="12"/>
      <c r="I23" s="11" t="str">
        <f aca="false">IF($A23="","",IFERROR(INDEX(MASTER_DATABASE!$V$4:$V$1000,MATCH($A23,MASTER_DATABASE!$A$4:$A$1000,0)),""))</f>
        <v>No</v>
      </c>
      <c r="J23" s="6"/>
    </row>
    <row r="24" customFormat="false" ht="15" hidden="false" customHeight="false" outlineLevel="0" collapsed="false">
      <c r="A24" s="5" t="s">
        <v>342</v>
      </c>
      <c r="B24" s="7" t="str">
        <f aca="false">IF($A24="","",IFERROR(INDEX(MASTER_DATABASE!$E$4:$E$1000,MATCH($A24,MASTER_DATABASE!$A$4:$A$1000,0)),""))</f>
        <v>Mandatory Biometric Update – Child at Age 15</v>
      </c>
      <c r="C24" s="9" t="str">
        <f aca="false">IF($A24="","",IFERROR(INDEX(MASTER_DATABASE!$R$4:$R$1000,MATCH($A24,MASTER_DATABASE!$A$4:$A$1000,0)),""))</f>
        <v>To Verify</v>
      </c>
      <c r="D24" s="9" t="str">
        <f aca="false">IF($A24="","",IFERROR(INDEX(MASTER_DATABASE!$S$4:$S$1000,MATCH($A24,MASTER_DATABASE!$A$4:$A$1000,0)),""))</f>
        <v>To Verify</v>
      </c>
      <c r="E24" s="9" t="str">
        <f aca="false">IF($A24="","",IF(AND(OR(ISNUMBER(C24),C24="N/A"),OR(ISNUMBER(D24),D24="N/A"),OR(ISNUMBER(C24),ISNUMBER(D24))),N(C24)+N(D24),"To Verify"))</f>
        <v>To Verify</v>
      </c>
      <c r="F24" s="11" t="str">
        <f aca="false">IF($A24="","",IFERROR(INDEX(MASTER_DATABASE!$U$4:$U$1000,MATCH($A24,MASTER_DATABASE!$A$4:$A$1000,0)),""))</f>
        <v>To Verify</v>
      </c>
      <c r="G24" s="12"/>
      <c r="H24" s="12"/>
      <c r="I24" s="11" t="str">
        <f aca="false">IF($A24="","",IFERROR(INDEX(MASTER_DATABASE!$V$4:$V$1000,MATCH($A24,MASTER_DATABASE!$A$4:$A$1000,0)),""))</f>
        <v>No</v>
      </c>
      <c r="J24" s="6"/>
    </row>
    <row r="25" customFormat="false" ht="15" hidden="false" customHeight="false" outlineLevel="0" collapsed="false">
      <c r="A25" s="5" t="s">
        <v>353</v>
      </c>
      <c r="B25" s="7" t="str">
        <f aca="false">IF($A25="","",IFERROR(INDEX(MASTER_DATABASE!$E$4:$E$1000,MATCH($A25,MASTER_DATABASE!$A$4:$A$1000,0)),""))</f>
        <v>Aadhaar Biometric Update – Adult (Quality / Periodic)</v>
      </c>
      <c r="C25" s="9" t="str">
        <f aca="false">IF($A25="","",IFERROR(INDEX(MASTER_DATABASE!$R$4:$R$1000,MATCH($A25,MASTER_DATABASE!$A$4:$A$1000,0)),""))</f>
        <v>To Verify</v>
      </c>
      <c r="D25" s="9" t="str">
        <f aca="false">IF($A25="","",IFERROR(INDEX(MASTER_DATABASE!$S$4:$S$1000,MATCH($A25,MASTER_DATABASE!$A$4:$A$1000,0)),""))</f>
        <v>To Verify</v>
      </c>
      <c r="E25" s="9" t="str">
        <f aca="false">IF($A25="","",IF(AND(OR(ISNUMBER(C25),C25="N/A"),OR(ISNUMBER(D25),D25="N/A"),OR(ISNUMBER(C25),ISNUMBER(D25))),N(C25)+N(D25),"To Verify"))</f>
        <v>To Verify</v>
      </c>
      <c r="F25" s="11" t="str">
        <f aca="false">IF($A25="","",IFERROR(INDEX(MASTER_DATABASE!$U$4:$U$1000,MATCH($A25,MASTER_DATABASE!$A$4:$A$1000,0)),""))</f>
        <v>To Verify</v>
      </c>
      <c r="G25" s="12"/>
      <c r="H25" s="12"/>
      <c r="I25" s="11" t="str">
        <f aca="false">IF($A25="","",IFERROR(INDEX(MASTER_DATABASE!$V$4:$V$1000,MATCH($A25,MASTER_DATABASE!$A$4:$A$1000,0)),""))</f>
        <v>No</v>
      </c>
      <c r="J25" s="6"/>
    </row>
    <row r="26" customFormat="false" ht="15" hidden="false" customHeight="false" outlineLevel="0" collapsed="false">
      <c r="A26" s="5" t="s">
        <v>364</v>
      </c>
      <c r="B26" s="7" t="str">
        <f aca="false">IF($A26="","",IFERROR(INDEX(MASTER_DATABASE!$E$4:$E$1000,MATCH($A26,MASTER_DATABASE!$A$4:$A$1000,0)),""))</f>
        <v>Aadhaar Biometric Lock / Unlock Assistance</v>
      </c>
      <c r="C26" s="9" t="str">
        <f aca="false">IF($A26="","",IFERROR(INDEX(MASTER_DATABASE!$R$4:$R$1000,MATCH($A26,MASTER_DATABASE!$A$4:$A$1000,0)),""))</f>
        <v>To Verify</v>
      </c>
      <c r="D26" s="9" t="str">
        <f aca="false">IF($A26="","",IFERROR(INDEX(MASTER_DATABASE!$S$4:$S$1000,MATCH($A26,MASTER_DATABASE!$A$4:$A$1000,0)),""))</f>
        <v>To Verify</v>
      </c>
      <c r="E26" s="9" t="str">
        <f aca="false">IF($A26="","",IF(AND(OR(ISNUMBER(C26),C26="N/A"),OR(ISNUMBER(D26),D26="N/A"),OR(ISNUMBER(C26),ISNUMBER(D26))),N(C26)+N(D26),"To Verify"))</f>
        <v>To Verify</v>
      </c>
      <c r="F26" s="11" t="str">
        <f aca="false">IF($A26="","",IFERROR(INDEX(MASTER_DATABASE!$U$4:$U$1000,MATCH($A26,MASTER_DATABASE!$A$4:$A$1000,0)),""))</f>
        <v>To Verify</v>
      </c>
      <c r="G26" s="12"/>
      <c r="H26" s="12"/>
      <c r="I26" s="11" t="str">
        <f aca="false">IF($A26="","",IFERROR(INDEX(MASTER_DATABASE!$V$4:$V$1000,MATCH($A26,MASTER_DATABASE!$A$4:$A$1000,0)),""))</f>
        <v>No</v>
      </c>
      <c r="J26" s="6"/>
    </row>
    <row r="27" customFormat="false" ht="15" hidden="false" customHeight="false" outlineLevel="0" collapsed="false">
      <c r="A27" s="5" t="s">
        <v>381</v>
      </c>
      <c r="B27" s="7" t="str">
        <f aca="false">IF($A27="","",IFERROR(INDEX(MASTER_DATABASE!$E$4:$E$1000,MATCH($A27,MASTER_DATABASE!$A$4:$A$1000,0)),""))</f>
        <v>Aadhaar Document Update (Identity &amp; Address Proof)</v>
      </c>
      <c r="C27" s="9" t="str">
        <f aca="false">IF($A27="","",IFERROR(INDEX(MASTER_DATABASE!$R$4:$R$1000,MATCH($A27,MASTER_DATABASE!$A$4:$A$1000,0)),""))</f>
        <v>To Verify</v>
      </c>
      <c r="D27" s="9" t="str">
        <f aca="false">IF($A27="","",IFERROR(INDEX(MASTER_DATABASE!$S$4:$S$1000,MATCH($A27,MASTER_DATABASE!$A$4:$A$1000,0)),""))</f>
        <v>To Verify</v>
      </c>
      <c r="E27" s="9" t="str">
        <f aca="false">IF($A27="","",IF(AND(OR(ISNUMBER(C27),C27="N/A"),OR(ISNUMBER(D27),D27="N/A"),OR(ISNUMBER(C27),ISNUMBER(D27))),N(C27)+N(D27),"To Verify"))</f>
        <v>To Verify</v>
      </c>
      <c r="F27" s="11" t="str">
        <f aca="false">IF($A27="","",IFERROR(INDEX(MASTER_DATABASE!$U$4:$U$1000,MATCH($A27,MASTER_DATABASE!$A$4:$A$1000,0)),""))</f>
        <v>To Verify</v>
      </c>
      <c r="G27" s="12"/>
      <c r="H27" s="12"/>
      <c r="I27" s="11" t="str">
        <f aca="false">IF($A27="","",IFERROR(INDEX(MASTER_DATABASE!$V$4:$V$1000,MATCH($A27,MASTER_DATABASE!$A$4:$A$1000,0)),""))</f>
        <v>No</v>
      </c>
      <c r="J27" s="6"/>
    </row>
    <row r="28" customFormat="false" ht="15" hidden="false" customHeight="false" outlineLevel="0" collapsed="false">
      <c r="A28" s="5" t="s">
        <v>396</v>
      </c>
      <c r="B28" s="7" t="str">
        <f aca="false">IF($A28="","",IFERROR(INDEX(MASTER_DATABASE!$E$4:$E$1000,MATCH($A28,MASTER_DATABASE!$A$4:$A$1000,0)),""))</f>
        <v>Aadhaar Document Update – Online Assistance</v>
      </c>
      <c r="C28" s="9" t="str">
        <f aca="false">IF($A28="","",IFERROR(INDEX(MASTER_DATABASE!$R$4:$R$1000,MATCH($A28,MASTER_DATABASE!$A$4:$A$1000,0)),""))</f>
        <v>To Verify</v>
      </c>
      <c r="D28" s="9" t="str">
        <f aca="false">IF($A28="","",IFERROR(INDEX(MASTER_DATABASE!$S$4:$S$1000,MATCH($A28,MASTER_DATABASE!$A$4:$A$1000,0)),""))</f>
        <v>To Verify</v>
      </c>
      <c r="E28" s="9" t="str">
        <f aca="false">IF($A28="","",IF(AND(OR(ISNUMBER(C28),C28="N/A"),OR(ISNUMBER(D28),D28="N/A"),OR(ISNUMBER(C28),ISNUMBER(D28))),N(C28)+N(D28),"To Verify"))</f>
        <v>To Verify</v>
      </c>
      <c r="F28" s="11" t="str">
        <f aca="false">IF($A28="","",IFERROR(INDEX(MASTER_DATABASE!$U$4:$U$1000,MATCH($A28,MASTER_DATABASE!$A$4:$A$1000,0)),""))</f>
        <v>To Verify</v>
      </c>
      <c r="G28" s="12"/>
      <c r="H28" s="12"/>
      <c r="I28" s="11" t="str">
        <f aca="false">IF($A28="","",IFERROR(INDEX(MASTER_DATABASE!$V$4:$V$1000,MATCH($A28,MASTER_DATABASE!$A$4:$A$1000,0)),""))</f>
        <v>No</v>
      </c>
      <c r="J28" s="6"/>
    </row>
    <row r="29" customFormat="false" ht="15" hidden="false" customHeight="false" outlineLevel="0" collapsed="false">
      <c r="A29" s="5" t="s">
        <v>407</v>
      </c>
      <c r="B29" s="7" t="str">
        <f aca="false">IF($A29="","",IFERROR(INDEX(MASTER_DATABASE!$E$4:$E$1000,MATCH($A29,MASTER_DATABASE!$A$4:$A$1000,0)),""))</f>
        <v>Aadhaar Download Assistance (e-Aadhaar)</v>
      </c>
      <c r="C29" s="9" t="str">
        <f aca="false">IF($A29="","",IFERROR(INDEX(MASTER_DATABASE!$R$4:$R$1000,MATCH($A29,MASTER_DATABASE!$A$4:$A$1000,0)),""))</f>
        <v>To Verify</v>
      </c>
      <c r="D29" s="9" t="str">
        <f aca="false">IF($A29="","",IFERROR(INDEX(MASTER_DATABASE!$S$4:$S$1000,MATCH($A29,MASTER_DATABASE!$A$4:$A$1000,0)),""))</f>
        <v>To Verify</v>
      </c>
      <c r="E29" s="9" t="str">
        <f aca="false">IF($A29="","",IF(AND(OR(ISNUMBER(C29),C29="N/A"),OR(ISNUMBER(D29),D29="N/A"),OR(ISNUMBER(C29),ISNUMBER(D29))),N(C29)+N(D29),"To Verify"))</f>
        <v>To Verify</v>
      </c>
      <c r="F29" s="11" t="str">
        <f aca="false">IF($A29="","",IFERROR(INDEX(MASTER_DATABASE!$U$4:$U$1000,MATCH($A29,MASTER_DATABASE!$A$4:$A$1000,0)),""))</f>
        <v>To Verify</v>
      </c>
      <c r="G29" s="12"/>
      <c r="H29" s="12"/>
      <c r="I29" s="11" t="str">
        <f aca="false">IF($A29="","",IFERROR(INDEX(MASTER_DATABASE!$V$4:$V$1000,MATCH($A29,MASTER_DATABASE!$A$4:$A$1000,0)),""))</f>
        <v>No</v>
      </c>
      <c r="J29" s="6"/>
    </row>
    <row r="30" customFormat="false" ht="15" hidden="false" customHeight="false" outlineLevel="0" collapsed="false">
      <c r="A30" s="5" t="s">
        <v>421</v>
      </c>
      <c r="B30" s="7" t="str">
        <f aca="false">IF($A30="","",IFERROR(INDEX(MASTER_DATABASE!$E$4:$E$1000,MATCH($A30,MASTER_DATABASE!$A$4:$A$1000,0)),""))</f>
        <v>Masked Aadhaar Download</v>
      </c>
      <c r="C30" s="9" t="str">
        <f aca="false">IF($A30="","",IFERROR(INDEX(MASTER_DATABASE!$R$4:$R$1000,MATCH($A30,MASTER_DATABASE!$A$4:$A$1000,0)),""))</f>
        <v>To Verify</v>
      </c>
      <c r="D30" s="9" t="str">
        <f aca="false">IF($A30="","",IFERROR(INDEX(MASTER_DATABASE!$S$4:$S$1000,MATCH($A30,MASTER_DATABASE!$A$4:$A$1000,0)),""))</f>
        <v>To Verify</v>
      </c>
      <c r="E30" s="9" t="str">
        <f aca="false">IF($A30="","",IF(AND(OR(ISNUMBER(C30),C30="N/A"),OR(ISNUMBER(D30),D30="N/A"),OR(ISNUMBER(C30),ISNUMBER(D30))),N(C30)+N(D30),"To Verify"))</f>
        <v>To Verify</v>
      </c>
      <c r="F30" s="11" t="str">
        <f aca="false">IF($A30="","",IFERROR(INDEX(MASTER_DATABASE!$U$4:$U$1000,MATCH($A30,MASTER_DATABASE!$A$4:$A$1000,0)),""))</f>
        <v>To Verify</v>
      </c>
      <c r="G30" s="12"/>
      <c r="H30" s="12"/>
      <c r="I30" s="11" t="str">
        <f aca="false">IF($A30="","",IFERROR(INDEX(MASTER_DATABASE!$V$4:$V$1000,MATCH($A30,MASTER_DATABASE!$A$4:$A$1000,0)),""))</f>
        <v>No</v>
      </c>
      <c r="J30" s="6"/>
    </row>
    <row r="31" customFormat="false" ht="15" hidden="false" customHeight="false" outlineLevel="0" collapsed="false">
      <c r="A31" s="5" t="s">
        <v>432</v>
      </c>
      <c r="B31" s="7" t="str">
        <f aca="false">IF($A31="","",IFERROR(INDEX(MASTER_DATABASE!$E$4:$E$1000,MATCH($A31,MASTER_DATABASE!$A$4:$A$1000,0)),""))</f>
        <v>Aadhaar Print (Paper – Colour / B&amp;W Printout)</v>
      </c>
      <c r="C31" s="9" t="str">
        <f aca="false">IF($A31="","",IFERROR(INDEX(MASTER_DATABASE!$R$4:$R$1000,MATCH($A31,MASTER_DATABASE!$A$4:$A$1000,0)),""))</f>
        <v>N/A</v>
      </c>
      <c r="D31" s="9" t="str">
        <f aca="false">IF($A31="","",IFERROR(INDEX(MASTER_DATABASE!$S$4:$S$1000,MATCH($A31,MASTER_DATABASE!$A$4:$A$1000,0)),""))</f>
        <v>To Verify</v>
      </c>
      <c r="E31" s="9" t="str">
        <f aca="false">IF($A31="","",IF(AND(OR(ISNUMBER(C31),C31="N/A"),OR(ISNUMBER(D31),D31="N/A"),OR(ISNUMBER(C31),ISNUMBER(D31))),N(C31)+N(D31),"To Verify"))</f>
        <v>To Verify</v>
      </c>
      <c r="F31" s="11" t="str">
        <f aca="false">IF($A31="","",IFERROR(INDEX(MASTER_DATABASE!$U$4:$U$1000,MATCH($A31,MASTER_DATABASE!$A$4:$A$1000,0)),""))</f>
        <v>Shop Charge Only</v>
      </c>
      <c r="G31" s="12"/>
      <c r="H31" s="12"/>
      <c r="I31" s="11" t="str">
        <f aca="false">IF($A31="","",IFERROR(INDEX(MASTER_DATABASE!$V$4:$V$1000,MATCH($A31,MASTER_DATABASE!$A$4:$A$1000,0)),""))</f>
        <v>No</v>
      </c>
      <c r="J31" s="6"/>
    </row>
    <row r="32" customFormat="false" ht="15" hidden="false" customHeight="false" outlineLevel="0" collapsed="false">
      <c r="A32" s="5" t="s">
        <v>453</v>
      </c>
      <c r="B32" s="7" t="str">
        <f aca="false">IF($A32="","",IFERROR(INDEX(MASTER_DATABASE!$E$4:$E$1000,MATCH($A32,MASTER_DATABASE!$A$4:$A$1000,0)),""))</f>
        <v>Aadhaar PVC Card Order Assistance</v>
      </c>
      <c r="C32" s="9" t="str">
        <f aca="false">IF($A32="","",IFERROR(INDEX(MASTER_DATABASE!$R$4:$R$1000,MATCH($A32,MASTER_DATABASE!$A$4:$A$1000,0)),""))</f>
        <v>To Verify</v>
      </c>
      <c r="D32" s="9" t="str">
        <f aca="false">IF($A32="","",IFERROR(INDEX(MASTER_DATABASE!$S$4:$S$1000,MATCH($A32,MASTER_DATABASE!$A$4:$A$1000,0)),""))</f>
        <v>To Verify</v>
      </c>
      <c r="E32" s="9" t="str">
        <f aca="false">IF($A32="","",IF(AND(OR(ISNUMBER(C32),C32="N/A"),OR(ISNUMBER(D32),D32="N/A"),OR(ISNUMBER(C32),ISNUMBER(D32))),N(C32)+N(D32),"To Verify"))</f>
        <v>To Verify</v>
      </c>
      <c r="F32" s="11" t="str">
        <f aca="false">IF($A32="","",IFERROR(INDEX(MASTER_DATABASE!$U$4:$U$1000,MATCH($A32,MASTER_DATABASE!$A$4:$A$1000,0)),""))</f>
        <v>To Verify</v>
      </c>
      <c r="G32" s="12"/>
      <c r="H32" s="12"/>
      <c r="I32" s="11" t="str">
        <f aca="false">IF($A32="","",IFERROR(INDEX(MASTER_DATABASE!$V$4:$V$1000,MATCH($A32,MASTER_DATABASE!$A$4:$A$1000,0)),""))</f>
        <v>No</v>
      </c>
      <c r="J32" s="6"/>
    </row>
    <row r="33" customFormat="false" ht="15" hidden="false" customHeight="false" outlineLevel="0" collapsed="false">
      <c r="A33" s="5" t="s">
        <v>465</v>
      </c>
      <c r="B33" s="7" t="str">
        <f aca="false">IF($A33="","",IFERROR(INDEX(MASTER_DATABASE!$E$4:$E$1000,MATCH($A33,MASTER_DATABASE!$A$4:$A$1000,0)),""))</f>
        <v>Aadhaar Enrolment Status Check (EID)</v>
      </c>
      <c r="C33" s="9" t="str">
        <f aca="false">IF($A33="","",IFERROR(INDEX(MASTER_DATABASE!$R$4:$R$1000,MATCH($A33,MASTER_DATABASE!$A$4:$A$1000,0)),""))</f>
        <v>To Verify</v>
      </c>
      <c r="D33" s="9" t="str">
        <f aca="false">IF($A33="","",IFERROR(INDEX(MASTER_DATABASE!$S$4:$S$1000,MATCH($A33,MASTER_DATABASE!$A$4:$A$1000,0)),""))</f>
        <v>To Verify</v>
      </c>
      <c r="E33" s="9" t="str">
        <f aca="false">IF($A33="","",IF(AND(OR(ISNUMBER(C33),C33="N/A"),OR(ISNUMBER(D33),D33="N/A"),OR(ISNUMBER(C33),ISNUMBER(D33))),N(C33)+N(D33),"To Verify"))</f>
        <v>To Verify</v>
      </c>
      <c r="F33" s="11" t="str">
        <f aca="false">IF($A33="","",IFERROR(INDEX(MASTER_DATABASE!$U$4:$U$1000,MATCH($A33,MASTER_DATABASE!$A$4:$A$1000,0)),""))</f>
        <v>To Verify</v>
      </c>
      <c r="G33" s="12"/>
      <c r="H33" s="12"/>
      <c r="I33" s="11" t="str">
        <f aca="false">IF($A33="","",IFERROR(INDEX(MASTER_DATABASE!$V$4:$V$1000,MATCH($A33,MASTER_DATABASE!$A$4:$A$1000,0)),""))</f>
        <v>No</v>
      </c>
      <c r="J33" s="6"/>
    </row>
    <row r="34" customFormat="false" ht="15" hidden="false" customHeight="false" outlineLevel="0" collapsed="false">
      <c r="A34" s="5" t="s">
        <v>479</v>
      </c>
      <c r="B34" s="7" t="str">
        <f aca="false">IF($A34="","",IFERROR(INDEX(MASTER_DATABASE!$E$4:$E$1000,MATCH($A34,MASTER_DATABASE!$A$4:$A$1000,0)),""))</f>
        <v>Aadhaar Update Request Status Check (URN)</v>
      </c>
      <c r="C34" s="9" t="str">
        <f aca="false">IF($A34="","",IFERROR(INDEX(MASTER_DATABASE!$R$4:$R$1000,MATCH($A34,MASTER_DATABASE!$A$4:$A$1000,0)),""))</f>
        <v>To Verify</v>
      </c>
      <c r="D34" s="9" t="str">
        <f aca="false">IF($A34="","",IFERROR(INDEX(MASTER_DATABASE!$S$4:$S$1000,MATCH($A34,MASTER_DATABASE!$A$4:$A$1000,0)),""))</f>
        <v>To Verify</v>
      </c>
      <c r="E34" s="9" t="str">
        <f aca="false">IF($A34="","",IF(AND(OR(ISNUMBER(C34),C34="N/A"),OR(ISNUMBER(D34),D34="N/A"),OR(ISNUMBER(C34),ISNUMBER(D34))),N(C34)+N(D34),"To Verify"))</f>
        <v>To Verify</v>
      </c>
      <c r="F34" s="11" t="str">
        <f aca="false">IF($A34="","",IFERROR(INDEX(MASTER_DATABASE!$U$4:$U$1000,MATCH($A34,MASTER_DATABASE!$A$4:$A$1000,0)),""))</f>
        <v>To Verify</v>
      </c>
      <c r="G34" s="12"/>
      <c r="H34" s="12"/>
      <c r="I34" s="11" t="str">
        <f aca="false">IF($A34="","",IFERROR(INDEX(MASTER_DATABASE!$V$4:$V$1000,MATCH($A34,MASTER_DATABASE!$A$4:$A$1000,0)),""))</f>
        <v>No</v>
      </c>
      <c r="J34" s="6"/>
    </row>
    <row r="35" customFormat="false" ht="15" hidden="false" customHeight="false" outlineLevel="0" collapsed="false">
      <c r="A35" s="5" t="s">
        <v>489</v>
      </c>
      <c r="B35" s="7" t="str">
        <f aca="false">IF($A35="","",IFERROR(INDEX(MASTER_DATABASE!$E$4:$E$1000,MATCH($A35,MASTER_DATABASE!$A$4:$A$1000,0)),""))</f>
        <v>Aadhaar Lost UID / EID Retrieval Assistance</v>
      </c>
      <c r="C35" s="9" t="str">
        <f aca="false">IF($A35="","",IFERROR(INDEX(MASTER_DATABASE!$R$4:$R$1000,MATCH($A35,MASTER_DATABASE!$A$4:$A$1000,0)),""))</f>
        <v>To Verify</v>
      </c>
      <c r="D35" s="9" t="str">
        <f aca="false">IF($A35="","",IFERROR(INDEX(MASTER_DATABASE!$S$4:$S$1000,MATCH($A35,MASTER_DATABASE!$A$4:$A$1000,0)),""))</f>
        <v>To Verify</v>
      </c>
      <c r="E35" s="9" t="str">
        <f aca="false">IF($A35="","",IF(AND(OR(ISNUMBER(C35),C35="N/A"),OR(ISNUMBER(D35),D35="N/A"),OR(ISNUMBER(C35),ISNUMBER(D35))),N(C35)+N(D35),"To Verify"))</f>
        <v>To Verify</v>
      </c>
      <c r="F35" s="11" t="str">
        <f aca="false">IF($A35="","",IFERROR(INDEX(MASTER_DATABASE!$U$4:$U$1000,MATCH($A35,MASTER_DATABASE!$A$4:$A$1000,0)),""))</f>
        <v>To Verify</v>
      </c>
      <c r="G35" s="12"/>
      <c r="H35" s="12"/>
      <c r="I35" s="11" t="str">
        <f aca="false">IF($A35="","",IFERROR(INDEX(MASTER_DATABASE!$V$4:$V$1000,MATCH($A35,MASTER_DATABASE!$A$4:$A$1000,0)),""))</f>
        <v>No</v>
      </c>
      <c r="J35" s="6"/>
    </row>
    <row r="36" customFormat="false" ht="15" hidden="false" customHeight="false" outlineLevel="0" collapsed="false">
      <c r="A36" s="5" t="s">
        <v>501</v>
      </c>
      <c r="B36" s="7" t="str">
        <f aca="false">IF($A36="","",IFERROR(INDEX(MASTER_DATABASE!$E$4:$E$1000,MATCH($A36,MASTER_DATABASE!$A$4:$A$1000,0)),""))</f>
        <v>Aadhaar Virtual ID (VID) Generation Assistance</v>
      </c>
      <c r="C36" s="9" t="str">
        <f aca="false">IF($A36="","",IFERROR(INDEX(MASTER_DATABASE!$R$4:$R$1000,MATCH($A36,MASTER_DATABASE!$A$4:$A$1000,0)),""))</f>
        <v>To Verify</v>
      </c>
      <c r="D36" s="9" t="str">
        <f aca="false">IF($A36="","",IFERROR(INDEX(MASTER_DATABASE!$S$4:$S$1000,MATCH($A36,MASTER_DATABASE!$A$4:$A$1000,0)),""))</f>
        <v>To Verify</v>
      </c>
      <c r="E36" s="9" t="str">
        <f aca="false">IF($A36="","",IF(AND(OR(ISNUMBER(C36),C36="N/A"),OR(ISNUMBER(D36),D36="N/A"),OR(ISNUMBER(C36),ISNUMBER(D36))),N(C36)+N(D36),"To Verify"))</f>
        <v>To Verify</v>
      </c>
      <c r="F36" s="11" t="str">
        <f aca="false">IF($A36="","",IFERROR(INDEX(MASTER_DATABASE!$U$4:$U$1000,MATCH($A36,MASTER_DATABASE!$A$4:$A$1000,0)),""))</f>
        <v>To Verify</v>
      </c>
      <c r="G36" s="12"/>
      <c r="H36" s="12"/>
      <c r="I36" s="11" t="str">
        <f aca="false">IF($A36="","",IFERROR(INDEX(MASTER_DATABASE!$V$4:$V$1000,MATCH($A36,MASTER_DATABASE!$A$4:$A$1000,0)),""))</f>
        <v>No</v>
      </c>
      <c r="J36" s="6"/>
    </row>
    <row r="37" customFormat="false" ht="15" hidden="false" customHeight="false" outlineLevel="0" collapsed="false">
      <c r="A37" s="5" t="s">
        <v>512</v>
      </c>
      <c r="B37" s="7" t="str">
        <f aca="false">IF($A37="","",IFERROR(INDEX(MASTER_DATABASE!$E$4:$E$1000,MATCH($A37,MASTER_DATABASE!$A$4:$A$1000,0)),""))</f>
        <v>Aadhaar Lock / Unlock Assistance</v>
      </c>
      <c r="C37" s="9" t="str">
        <f aca="false">IF($A37="","",IFERROR(INDEX(MASTER_DATABASE!$R$4:$R$1000,MATCH($A37,MASTER_DATABASE!$A$4:$A$1000,0)),""))</f>
        <v>To Verify</v>
      </c>
      <c r="D37" s="9" t="str">
        <f aca="false">IF($A37="","",IFERROR(INDEX(MASTER_DATABASE!$S$4:$S$1000,MATCH($A37,MASTER_DATABASE!$A$4:$A$1000,0)),""))</f>
        <v>To Verify</v>
      </c>
      <c r="E37" s="9" t="str">
        <f aca="false">IF($A37="","",IF(AND(OR(ISNUMBER(C37),C37="N/A"),OR(ISNUMBER(D37),D37="N/A"),OR(ISNUMBER(C37),ISNUMBER(D37))),N(C37)+N(D37),"To Verify"))</f>
        <v>To Verify</v>
      </c>
      <c r="F37" s="11" t="str">
        <f aca="false">IF($A37="","",IFERROR(INDEX(MASTER_DATABASE!$U$4:$U$1000,MATCH($A37,MASTER_DATABASE!$A$4:$A$1000,0)),""))</f>
        <v>To Verify</v>
      </c>
      <c r="G37" s="12"/>
      <c r="H37" s="12"/>
      <c r="I37" s="11" t="str">
        <f aca="false">IF($A37="","",IFERROR(INDEX(MASTER_DATABASE!$V$4:$V$1000,MATCH($A37,MASTER_DATABASE!$A$4:$A$1000,0)),""))</f>
        <v>No</v>
      </c>
      <c r="J37" s="6"/>
    </row>
    <row r="38" customFormat="false" ht="15" hidden="false" customHeight="false" outlineLevel="0" collapsed="false">
      <c r="A38" s="5" t="s">
        <v>523</v>
      </c>
      <c r="B38" s="7" t="str">
        <f aca="false">IF($A38="","",IFERROR(INDEX(MASTER_DATABASE!$E$4:$E$1000,MATCH($A38,MASTER_DATABASE!$A$4:$A$1000,0)),""))</f>
        <v>Aadhaar Authentication History Check</v>
      </c>
      <c r="C38" s="9" t="str">
        <f aca="false">IF($A38="","",IFERROR(INDEX(MASTER_DATABASE!$R$4:$R$1000,MATCH($A38,MASTER_DATABASE!$A$4:$A$1000,0)),""))</f>
        <v>To Verify</v>
      </c>
      <c r="D38" s="9" t="str">
        <f aca="false">IF($A38="","",IFERROR(INDEX(MASTER_DATABASE!$S$4:$S$1000,MATCH($A38,MASTER_DATABASE!$A$4:$A$1000,0)),""))</f>
        <v>To Verify</v>
      </c>
      <c r="E38" s="9" t="str">
        <f aca="false">IF($A38="","",IF(AND(OR(ISNUMBER(C38),C38="N/A"),OR(ISNUMBER(D38),D38="N/A"),OR(ISNUMBER(C38),ISNUMBER(D38))),N(C38)+N(D38),"To Verify"))</f>
        <v>To Verify</v>
      </c>
      <c r="F38" s="11" t="str">
        <f aca="false">IF($A38="","",IFERROR(INDEX(MASTER_DATABASE!$U$4:$U$1000,MATCH($A38,MASTER_DATABASE!$A$4:$A$1000,0)),""))</f>
        <v>To Verify</v>
      </c>
      <c r="G38" s="12"/>
      <c r="H38" s="12"/>
      <c r="I38" s="11" t="str">
        <f aca="false">IF($A38="","",IFERROR(INDEX(MASTER_DATABASE!$V$4:$V$1000,MATCH($A38,MASTER_DATABASE!$A$4:$A$1000,0)),""))</f>
        <v>No</v>
      </c>
      <c r="J38" s="6"/>
    </row>
    <row r="39" customFormat="false" ht="15" hidden="false" customHeight="false" outlineLevel="0" collapsed="false">
      <c r="A39" s="5" t="s">
        <v>534</v>
      </c>
      <c r="B39" s="7" t="str">
        <f aca="false">IF($A39="","",IFERROR(INDEX(MASTER_DATABASE!$E$4:$E$1000,MATCH($A39,MASTER_DATABASE!$A$4:$A$1000,0)),""))</f>
        <v>Aadhaar Mobile / Email Link Check</v>
      </c>
      <c r="C39" s="9" t="str">
        <f aca="false">IF($A39="","",IFERROR(INDEX(MASTER_DATABASE!$R$4:$R$1000,MATCH($A39,MASTER_DATABASE!$A$4:$A$1000,0)),""))</f>
        <v>To Verify</v>
      </c>
      <c r="D39" s="9" t="str">
        <f aca="false">IF($A39="","",IFERROR(INDEX(MASTER_DATABASE!$S$4:$S$1000,MATCH($A39,MASTER_DATABASE!$A$4:$A$1000,0)),""))</f>
        <v>To Verify</v>
      </c>
      <c r="E39" s="9" t="str">
        <f aca="false">IF($A39="","",IF(AND(OR(ISNUMBER(C39),C39="N/A"),OR(ISNUMBER(D39),D39="N/A"),OR(ISNUMBER(C39),ISNUMBER(D39))),N(C39)+N(D39),"To Verify"))</f>
        <v>To Verify</v>
      </c>
      <c r="F39" s="11" t="str">
        <f aca="false">IF($A39="","",IFERROR(INDEX(MASTER_DATABASE!$U$4:$U$1000,MATCH($A39,MASTER_DATABASE!$A$4:$A$1000,0)),""))</f>
        <v>To Verify</v>
      </c>
      <c r="G39" s="12"/>
      <c r="H39" s="12"/>
      <c r="I39" s="11" t="str">
        <f aca="false">IF($A39="","",IFERROR(INDEX(MASTER_DATABASE!$V$4:$V$1000,MATCH($A39,MASTER_DATABASE!$A$4:$A$1000,0)),""))</f>
        <v>No</v>
      </c>
      <c r="J39" s="6"/>
    </row>
    <row r="40" customFormat="false" ht="15" hidden="false" customHeight="false" outlineLevel="0" collapsed="false">
      <c r="A40" s="5" t="s">
        <v>545</v>
      </c>
      <c r="B40" s="7" t="str">
        <f aca="false">IF($A40="","",IFERROR(INDEX(MASTER_DATABASE!$E$4:$E$1000,MATCH($A40,MASTER_DATABASE!$A$4:$A$1000,0)),""))</f>
        <v>Aadhaar Number Verification</v>
      </c>
      <c r="C40" s="9" t="str">
        <f aca="false">IF($A40="","",IFERROR(INDEX(MASTER_DATABASE!$R$4:$R$1000,MATCH($A40,MASTER_DATABASE!$A$4:$A$1000,0)),""))</f>
        <v>To Verify</v>
      </c>
      <c r="D40" s="9" t="str">
        <f aca="false">IF($A40="","",IFERROR(INDEX(MASTER_DATABASE!$S$4:$S$1000,MATCH($A40,MASTER_DATABASE!$A$4:$A$1000,0)),""))</f>
        <v>To Verify</v>
      </c>
      <c r="E40" s="9" t="str">
        <f aca="false">IF($A40="","",IF(AND(OR(ISNUMBER(C40),C40="N/A"),OR(ISNUMBER(D40),D40="N/A"),OR(ISNUMBER(C40),ISNUMBER(D40))),N(C40)+N(D40),"To Verify"))</f>
        <v>To Verify</v>
      </c>
      <c r="F40" s="11" t="str">
        <f aca="false">IF($A40="","",IFERROR(INDEX(MASTER_DATABASE!$U$4:$U$1000,MATCH($A40,MASTER_DATABASE!$A$4:$A$1000,0)),""))</f>
        <v>To Verify</v>
      </c>
      <c r="G40" s="12"/>
      <c r="H40" s="12"/>
      <c r="I40" s="11" t="str">
        <f aca="false">IF($A40="","",IFERROR(INDEX(MASTER_DATABASE!$V$4:$V$1000,MATCH($A40,MASTER_DATABASE!$A$4:$A$1000,0)),""))</f>
        <v>No</v>
      </c>
      <c r="J40" s="6"/>
    </row>
    <row r="41" customFormat="false" ht="23.85" hidden="false" customHeight="false" outlineLevel="0" collapsed="false">
      <c r="A41" s="5" t="s">
        <v>556</v>
      </c>
      <c r="B41" s="7" t="str">
        <f aca="false">IF($A41="","",IFERROR(INDEX(MASTER_DATABASE!$E$4:$E$1000,MATCH($A41,MASTER_DATABASE!$A$4:$A$1000,0)),""))</f>
        <v>Aadhaar Offline eKYC (XML / QR) Download Assistance</v>
      </c>
      <c r="C41" s="9" t="str">
        <f aca="false">IF($A41="","",IFERROR(INDEX(MASTER_DATABASE!$R$4:$R$1000,MATCH($A41,MASTER_DATABASE!$A$4:$A$1000,0)),""))</f>
        <v>To Verify</v>
      </c>
      <c r="D41" s="9" t="str">
        <f aca="false">IF($A41="","",IFERROR(INDEX(MASTER_DATABASE!$S$4:$S$1000,MATCH($A41,MASTER_DATABASE!$A$4:$A$1000,0)),""))</f>
        <v>To Verify</v>
      </c>
      <c r="E41" s="9" t="str">
        <f aca="false">IF($A41="","",IF(AND(OR(ISNUMBER(C41),C41="N/A"),OR(ISNUMBER(D41),D41="N/A"),OR(ISNUMBER(C41),ISNUMBER(D41))),N(C41)+N(D41),"To Verify"))</f>
        <v>To Verify</v>
      </c>
      <c r="F41" s="11" t="str">
        <f aca="false">IF($A41="","",IFERROR(INDEX(MASTER_DATABASE!$U$4:$U$1000,MATCH($A41,MASTER_DATABASE!$A$4:$A$1000,0)),""))</f>
        <v>To Verify</v>
      </c>
      <c r="G41" s="12"/>
      <c r="H41" s="12"/>
      <c r="I41" s="11" t="str">
        <f aca="false">IF($A41="","",IFERROR(INDEX(MASTER_DATABASE!$V$4:$V$1000,MATCH($A41,MASTER_DATABASE!$A$4:$A$1000,0)),""))</f>
        <v>No</v>
      </c>
      <c r="J41" s="6"/>
    </row>
    <row r="42" customFormat="false" ht="15" hidden="false" customHeight="false" outlineLevel="0" collapsed="false">
      <c r="A42" s="5" t="s">
        <v>567</v>
      </c>
      <c r="B42" s="7" t="str">
        <f aca="false">IF($A42="","",IFERROR(INDEX(MASTER_DATABASE!$E$4:$E$1000,MATCH($A42,MASTER_DATABASE!$A$4:$A$1000,0)),""))</f>
        <v>Aadhaar–Bank Seeding Status Check (NPCI)</v>
      </c>
      <c r="C42" s="9" t="str">
        <f aca="false">IF($A42="","",IFERROR(INDEX(MASTER_DATABASE!$R$4:$R$1000,MATCH($A42,MASTER_DATABASE!$A$4:$A$1000,0)),""))</f>
        <v>To Verify</v>
      </c>
      <c r="D42" s="9" t="str">
        <f aca="false">IF($A42="","",IFERROR(INDEX(MASTER_DATABASE!$S$4:$S$1000,MATCH($A42,MASTER_DATABASE!$A$4:$A$1000,0)),""))</f>
        <v>To Verify</v>
      </c>
      <c r="E42" s="9" t="str">
        <f aca="false">IF($A42="","",IF(AND(OR(ISNUMBER(C42),C42="N/A"),OR(ISNUMBER(D42),D42="N/A"),OR(ISNUMBER(C42),ISNUMBER(D42))),N(C42)+N(D42),"To Verify"))</f>
        <v>To Verify</v>
      </c>
      <c r="F42" s="11" t="str">
        <f aca="false">IF($A42="","",IFERROR(INDEX(MASTER_DATABASE!$U$4:$U$1000,MATCH($A42,MASTER_DATABASE!$A$4:$A$1000,0)),""))</f>
        <v>To Verify</v>
      </c>
      <c r="G42" s="12"/>
      <c r="H42" s="12"/>
      <c r="I42" s="11" t="str">
        <f aca="false">IF($A42="","",IFERROR(INDEX(MASTER_DATABASE!$V$4:$V$1000,MATCH($A42,MASTER_DATABASE!$A$4:$A$1000,0)),""))</f>
        <v>No</v>
      </c>
      <c r="J42" s="6"/>
    </row>
    <row r="43" customFormat="false" ht="15" hidden="false" customHeight="false" outlineLevel="0" collapsed="false">
      <c r="A43" s="5" t="s">
        <v>577</v>
      </c>
      <c r="B43" s="7" t="str">
        <f aca="false">IF($A43="","",IFERROR(INDEX(MASTER_DATABASE!$E$4:$E$1000,MATCH($A43,MASTER_DATABASE!$A$4:$A$1000,0)),""))</f>
        <v>Aadhaar Update Appointment Booking Assistance</v>
      </c>
      <c r="C43" s="9" t="str">
        <f aca="false">IF($A43="","",IFERROR(INDEX(MASTER_DATABASE!$R$4:$R$1000,MATCH($A43,MASTER_DATABASE!$A$4:$A$1000,0)),""))</f>
        <v>To Verify</v>
      </c>
      <c r="D43" s="9" t="str">
        <f aca="false">IF($A43="","",IFERROR(INDEX(MASTER_DATABASE!$S$4:$S$1000,MATCH($A43,MASTER_DATABASE!$A$4:$A$1000,0)),""))</f>
        <v>To Verify</v>
      </c>
      <c r="E43" s="9" t="str">
        <f aca="false">IF($A43="","",IF(AND(OR(ISNUMBER(C43),C43="N/A"),OR(ISNUMBER(D43),D43="N/A"),OR(ISNUMBER(C43),ISNUMBER(D43))),N(C43)+N(D43),"To Verify"))</f>
        <v>To Verify</v>
      </c>
      <c r="F43" s="11" t="str">
        <f aca="false">IF($A43="","",IFERROR(INDEX(MASTER_DATABASE!$U$4:$U$1000,MATCH($A43,MASTER_DATABASE!$A$4:$A$1000,0)),""))</f>
        <v>To Verify</v>
      </c>
      <c r="G43" s="12"/>
      <c r="H43" s="12"/>
      <c r="I43" s="11" t="str">
        <f aca="false">IF($A43="","",IFERROR(INDEX(MASTER_DATABASE!$V$4:$V$1000,MATCH($A43,MASTER_DATABASE!$A$4:$A$1000,0)),""))</f>
        <v>No</v>
      </c>
      <c r="J43" s="6"/>
    </row>
    <row r="44" customFormat="false" ht="15" hidden="false" customHeight="false" outlineLevel="0" collapsed="false">
      <c r="A44" s="5" t="s">
        <v>588</v>
      </c>
      <c r="B44" s="7" t="str">
        <f aca="false">IF($A44="","",IFERROR(INDEX(MASTER_DATABASE!$E$4:$E$1000,MATCH($A44,MASTER_DATABASE!$A$4:$A$1000,0)),""))</f>
        <v>mAadhaar App Setup Assistance</v>
      </c>
      <c r="C44" s="9" t="str">
        <f aca="false">IF($A44="","",IFERROR(INDEX(MASTER_DATABASE!$R$4:$R$1000,MATCH($A44,MASTER_DATABASE!$A$4:$A$1000,0)),""))</f>
        <v>To Verify</v>
      </c>
      <c r="D44" s="9" t="str">
        <f aca="false">IF($A44="","",IFERROR(INDEX(MASTER_DATABASE!$S$4:$S$1000,MATCH($A44,MASTER_DATABASE!$A$4:$A$1000,0)),""))</f>
        <v>To Verify</v>
      </c>
      <c r="E44" s="9" t="str">
        <f aca="false">IF($A44="","",IF(AND(OR(ISNUMBER(C44),C44="N/A"),OR(ISNUMBER(D44),D44="N/A"),OR(ISNUMBER(C44),ISNUMBER(D44))),N(C44)+N(D44),"To Verify"))</f>
        <v>To Verify</v>
      </c>
      <c r="F44" s="11" t="str">
        <f aca="false">IF($A44="","",IFERROR(INDEX(MASTER_DATABASE!$U$4:$U$1000,MATCH($A44,MASTER_DATABASE!$A$4:$A$1000,0)),""))</f>
        <v>To Verify</v>
      </c>
      <c r="G44" s="12"/>
      <c r="H44" s="12"/>
      <c r="I44" s="11" t="str">
        <f aca="false">IF($A44="","",IFERROR(INDEX(MASTER_DATABASE!$V$4:$V$1000,MATCH($A44,MASTER_DATABASE!$A$4:$A$1000,0)),""))</f>
        <v>No</v>
      </c>
      <c r="J44" s="6"/>
    </row>
    <row r="45" customFormat="false" ht="15" hidden="false" customHeight="false" outlineLevel="0" collapsed="false">
      <c r="A45" s="5" t="s">
        <v>599</v>
      </c>
      <c r="B45" s="7" t="str">
        <f aca="false">IF($A45="","",IFERROR(INDEX(MASTER_DATABASE!$E$4:$E$1000,MATCH($A45,MASTER_DATABASE!$A$4:$A$1000,0)),""))</f>
        <v>Aadhaar Complaint / Grievance Filing Assistance</v>
      </c>
      <c r="C45" s="9" t="str">
        <f aca="false">IF($A45="","",IFERROR(INDEX(MASTER_DATABASE!$R$4:$R$1000,MATCH($A45,MASTER_DATABASE!$A$4:$A$1000,0)),""))</f>
        <v>To Verify</v>
      </c>
      <c r="D45" s="9" t="str">
        <f aca="false">IF($A45="","",IFERROR(INDEX(MASTER_DATABASE!$S$4:$S$1000,MATCH($A45,MASTER_DATABASE!$A$4:$A$1000,0)),""))</f>
        <v>To Verify</v>
      </c>
      <c r="E45" s="9" t="str">
        <f aca="false">IF($A45="","",IF(AND(OR(ISNUMBER(C45),C45="N/A"),OR(ISNUMBER(D45),D45="N/A"),OR(ISNUMBER(C45),ISNUMBER(D45))),N(C45)+N(D45),"To Verify"))</f>
        <v>To Verify</v>
      </c>
      <c r="F45" s="11" t="str">
        <f aca="false">IF($A45="","",IFERROR(INDEX(MASTER_DATABASE!$U$4:$U$1000,MATCH($A45,MASTER_DATABASE!$A$4:$A$1000,0)),""))</f>
        <v>To Verify</v>
      </c>
      <c r="G45" s="12"/>
      <c r="H45" s="12"/>
      <c r="I45" s="11" t="str">
        <f aca="false">IF($A45="","",IFERROR(INDEX(MASTER_DATABASE!$V$4:$V$1000,MATCH($A45,MASTER_DATABASE!$A$4:$A$1000,0)),""))</f>
        <v>No</v>
      </c>
      <c r="J45" s="6"/>
    </row>
    <row r="46" customFormat="false" ht="15" hidden="false" customHeight="false" outlineLevel="0" collapsed="false">
      <c r="A46" s="5" t="s">
        <v>610</v>
      </c>
      <c r="B46" s="7" t="str">
        <f aca="false">IF($A46="","",IFERROR(INDEX(MASTER_DATABASE!$E$4:$E$1000,MATCH($A46,MASTER_DATABASE!$A$4:$A$1000,0)),""))</f>
        <v>HDFC BC – Cash Deposit</v>
      </c>
      <c r="C46" s="9" t="str">
        <f aca="false">IF($A46="","",IFERROR(INDEX(MASTER_DATABASE!$R$4:$R$1000,MATCH($A46,MASTER_DATABASE!$A$4:$A$1000,0)),""))</f>
        <v>To Verify</v>
      </c>
      <c r="D46" s="9" t="str">
        <f aca="false">IF($A46="","",IFERROR(INDEX(MASTER_DATABASE!$S$4:$S$1000,MATCH($A46,MASTER_DATABASE!$A$4:$A$1000,0)),""))</f>
        <v>To Verify</v>
      </c>
      <c r="E46" s="9" t="str">
        <f aca="false">IF($A46="","",IF(AND(OR(ISNUMBER(C46),C46="N/A"),OR(ISNUMBER(D46),D46="N/A"),OR(ISNUMBER(C46),ISNUMBER(D46))),N(C46)+N(D46),"To Verify"))</f>
        <v>To Verify</v>
      </c>
      <c r="F46" s="11" t="str">
        <f aca="false">IF($A46="","",IFERROR(INDEX(MASTER_DATABASE!$U$4:$U$1000,MATCH($A46,MASTER_DATABASE!$A$4:$A$1000,0)),""))</f>
        <v>To Verify</v>
      </c>
      <c r="G46" s="12"/>
      <c r="H46" s="12"/>
      <c r="I46" s="11" t="str">
        <f aca="false">IF($A46="","",IFERROR(INDEX(MASTER_DATABASE!$V$4:$V$1000,MATCH($A46,MASTER_DATABASE!$A$4:$A$1000,0)),""))</f>
        <v>No</v>
      </c>
      <c r="J46" s="6"/>
    </row>
    <row r="47" customFormat="false" ht="15" hidden="false" customHeight="false" outlineLevel="0" collapsed="false">
      <c r="A47" s="5" t="s">
        <v>628</v>
      </c>
      <c r="B47" s="7" t="str">
        <f aca="false">IF($A47="","",IFERROR(INDEX(MASTER_DATABASE!$E$4:$E$1000,MATCH($A47,MASTER_DATABASE!$A$4:$A$1000,0)),""))</f>
        <v>HDFC BC – Cash Withdrawal</v>
      </c>
      <c r="C47" s="9" t="str">
        <f aca="false">IF($A47="","",IFERROR(INDEX(MASTER_DATABASE!$R$4:$R$1000,MATCH($A47,MASTER_DATABASE!$A$4:$A$1000,0)),""))</f>
        <v>To Verify</v>
      </c>
      <c r="D47" s="9" t="str">
        <f aca="false">IF($A47="","",IFERROR(INDEX(MASTER_DATABASE!$S$4:$S$1000,MATCH($A47,MASTER_DATABASE!$A$4:$A$1000,0)),""))</f>
        <v>To Verify</v>
      </c>
      <c r="E47" s="9" t="str">
        <f aca="false">IF($A47="","",IF(AND(OR(ISNUMBER(C47),C47="N/A"),OR(ISNUMBER(D47),D47="N/A"),OR(ISNUMBER(C47),ISNUMBER(D47))),N(C47)+N(D47),"To Verify"))</f>
        <v>To Verify</v>
      </c>
      <c r="F47" s="11" t="str">
        <f aca="false">IF($A47="","",IFERROR(INDEX(MASTER_DATABASE!$U$4:$U$1000,MATCH($A47,MASTER_DATABASE!$A$4:$A$1000,0)),""))</f>
        <v>To Verify</v>
      </c>
      <c r="G47" s="12"/>
      <c r="H47" s="12"/>
      <c r="I47" s="11" t="str">
        <f aca="false">IF($A47="","",IFERROR(INDEX(MASTER_DATABASE!$V$4:$V$1000,MATCH($A47,MASTER_DATABASE!$A$4:$A$1000,0)),""))</f>
        <v>No</v>
      </c>
      <c r="J47" s="6"/>
    </row>
    <row r="48" customFormat="false" ht="15" hidden="false" customHeight="false" outlineLevel="0" collapsed="false">
      <c r="A48" s="5" t="s">
        <v>640</v>
      </c>
      <c r="B48" s="7" t="str">
        <f aca="false">IF($A48="","",IFERROR(INDEX(MASTER_DATABASE!$E$4:$E$1000,MATCH($A48,MASTER_DATABASE!$A$4:$A$1000,0)),""))</f>
        <v>HDFC BC – Balance Enquiry</v>
      </c>
      <c r="C48" s="9" t="str">
        <f aca="false">IF($A48="","",IFERROR(INDEX(MASTER_DATABASE!$R$4:$R$1000,MATCH($A48,MASTER_DATABASE!$A$4:$A$1000,0)),""))</f>
        <v>To Verify</v>
      </c>
      <c r="D48" s="9" t="str">
        <f aca="false">IF($A48="","",IFERROR(INDEX(MASTER_DATABASE!$S$4:$S$1000,MATCH($A48,MASTER_DATABASE!$A$4:$A$1000,0)),""))</f>
        <v>To Verify</v>
      </c>
      <c r="E48" s="9" t="str">
        <f aca="false">IF($A48="","",IF(AND(OR(ISNUMBER(C48),C48="N/A"),OR(ISNUMBER(D48),D48="N/A"),OR(ISNUMBER(C48),ISNUMBER(D48))),N(C48)+N(D48),"To Verify"))</f>
        <v>To Verify</v>
      </c>
      <c r="F48" s="11" t="str">
        <f aca="false">IF($A48="","",IFERROR(INDEX(MASTER_DATABASE!$U$4:$U$1000,MATCH($A48,MASTER_DATABASE!$A$4:$A$1000,0)),""))</f>
        <v>To Verify</v>
      </c>
      <c r="G48" s="12"/>
      <c r="H48" s="12"/>
      <c r="I48" s="11" t="str">
        <f aca="false">IF($A48="","",IFERROR(INDEX(MASTER_DATABASE!$V$4:$V$1000,MATCH($A48,MASTER_DATABASE!$A$4:$A$1000,0)),""))</f>
        <v>No</v>
      </c>
      <c r="J48" s="6"/>
    </row>
    <row r="49" customFormat="false" ht="15" hidden="false" customHeight="false" outlineLevel="0" collapsed="false">
      <c r="A49" s="5" t="s">
        <v>652</v>
      </c>
      <c r="B49" s="7" t="str">
        <f aca="false">IF($A49="","",IFERROR(INDEX(MASTER_DATABASE!$E$4:$E$1000,MATCH($A49,MASTER_DATABASE!$A$4:$A$1000,0)),""))</f>
        <v>HDFC BC – Mini Statement</v>
      </c>
      <c r="C49" s="9" t="str">
        <f aca="false">IF($A49="","",IFERROR(INDEX(MASTER_DATABASE!$R$4:$R$1000,MATCH($A49,MASTER_DATABASE!$A$4:$A$1000,0)),""))</f>
        <v>To Verify</v>
      </c>
      <c r="D49" s="9" t="str">
        <f aca="false">IF($A49="","",IFERROR(INDEX(MASTER_DATABASE!$S$4:$S$1000,MATCH($A49,MASTER_DATABASE!$A$4:$A$1000,0)),""))</f>
        <v>To Verify</v>
      </c>
      <c r="E49" s="9" t="str">
        <f aca="false">IF($A49="","",IF(AND(OR(ISNUMBER(C49),C49="N/A"),OR(ISNUMBER(D49),D49="N/A"),OR(ISNUMBER(C49),ISNUMBER(D49))),N(C49)+N(D49),"To Verify"))</f>
        <v>To Verify</v>
      </c>
      <c r="F49" s="11" t="str">
        <f aca="false">IF($A49="","",IFERROR(INDEX(MASTER_DATABASE!$U$4:$U$1000,MATCH($A49,MASTER_DATABASE!$A$4:$A$1000,0)),""))</f>
        <v>To Verify</v>
      </c>
      <c r="G49" s="12"/>
      <c r="H49" s="12"/>
      <c r="I49" s="11" t="str">
        <f aca="false">IF($A49="","",IFERROR(INDEX(MASTER_DATABASE!$V$4:$V$1000,MATCH($A49,MASTER_DATABASE!$A$4:$A$1000,0)),""))</f>
        <v>No</v>
      </c>
      <c r="J49" s="6"/>
    </row>
    <row r="50" customFormat="false" ht="15" hidden="false" customHeight="false" outlineLevel="0" collapsed="false">
      <c r="A50" s="5" t="s">
        <v>663</v>
      </c>
      <c r="B50" s="7" t="str">
        <f aca="false">IF($A50="","",IFERROR(INDEX(MASTER_DATABASE!$E$4:$E$1000,MATCH($A50,MASTER_DATABASE!$A$4:$A$1000,0)),""))</f>
        <v>HDFC BC – AEPS Cash Withdrawal</v>
      </c>
      <c r="C50" s="9" t="str">
        <f aca="false">IF($A50="","",IFERROR(INDEX(MASTER_DATABASE!$R$4:$R$1000,MATCH($A50,MASTER_DATABASE!$A$4:$A$1000,0)),""))</f>
        <v>To Verify</v>
      </c>
      <c r="D50" s="9" t="str">
        <f aca="false">IF($A50="","",IFERROR(INDEX(MASTER_DATABASE!$S$4:$S$1000,MATCH($A50,MASTER_DATABASE!$A$4:$A$1000,0)),""))</f>
        <v>To Verify</v>
      </c>
      <c r="E50" s="9" t="str">
        <f aca="false">IF($A50="","",IF(AND(OR(ISNUMBER(C50),C50="N/A"),OR(ISNUMBER(D50),D50="N/A"),OR(ISNUMBER(C50),ISNUMBER(D50))),N(C50)+N(D50),"To Verify"))</f>
        <v>To Verify</v>
      </c>
      <c r="F50" s="11" t="str">
        <f aca="false">IF($A50="","",IFERROR(INDEX(MASTER_DATABASE!$U$4:$U$1000,MATCH($A50,MASTER_DATABASE!$A$4:$A$1000,0)),""))</f>
        <v>To Verify</v>
      </c>
      <c r="G50" s="12"/>
      <c r="H50" s="12"/>
      <c r="I50" s="11" t="str">
        <f aca="false">IF($A50="","",IFERROR(INDEX(MASTER_DATABASE!$V$4:$V$1000,MATCH($A50,MASTER_DATABASE!$A$4:$A$1000,0)),""))</f>
        <v>No</v>
      </c>
      <c r="J50" s="6"/>
    </row>
    <row r="51" customFormat="false" ht="15" hidden="false" customHeight="false" outlineLevel="0" collapsed="false">
      <c r="A51" s="5" t="s">
        <v>678</v>
      </c>
      <c r="B51" s="7" t="str">
        <f aca="false">IF($A51="","",IFERROR(INDEX(MASTER_DATABASE!$E$4:$E$1000,MATCH($A51,MASTER_DATABASE!$A$4:$A$1000,0)),""))</f>
        <v>HDFC BC – AEPS Balance Enquiry</v>
      </c>
      <c r="C51" s="9" t="str">
        <f aca="false">IF($A51="","",IFERROR(INDEX(MASTER_DATABASE!$R$4:$R$1000,MATCH($A51,MASTER_DATABASE!$A$4:$A$1000,0)),""))</f>
        <v>To Verify</v>
      </c>
      <c r="D51" s="9" t="str">
        <f aca="false">IF($A51="","",IFERROR(INDEX(MASTER_DATABASE!$S$4:$S$1000,MATCH($A51,MASTER_DATABASE!$A$4:$A$1000,0)),""))</f>
        <v>To Verify</v>
      </c>
      <c r="E51" s="9" t="str">
        <f aca="false">IF($A51="","",IF(AND(OR(ISNUMBER(C51),C51="N/A"),OR(ISNUMBER(D51),D51="N/A"),OR(ISNUMBER(C51),ISNUMBER(D51))),N(C51)+N(D51),"To Verify"))</f>
        <v>To Verify</v>
      </c>
      <c r="F51" s="11" t="str">
        <f aca="false">IF($A51="","",IFERROR(INDEX(MASTER_DATABASE!$U$4:$U$1000,MATCH($A51,MASTER_DATABASE!$A$4:$A$1000,0)),""))</f>
        <v>To Verify</v>
      </c>
      <c r="G51" s="12"/>
      <c r="H51" s="12"/>
      <c r="I51" s="11" t="str">
        <f aca="false">IF($A51="","",IFERROR(INDEX(MASTER_DATABASE!$V$4:$V$1000,MATCH($A51,MASTER_DATABASE!$A$4:$A$1000,0)),""))</f>
        <v>No</v>
      </c>
      <c r="J51" s="6"/>
    </row>
    <row r="52" customFormat="false" ht="15" hidden="false" customHeight="false" outlineLevel="0" collapsed="false">
      <c r="A52" s="5" t="s">
        <v>689</v>
      </c>
      <c r="B52" s="7" t="str">
        <f aca="false">IF($A52="","",IFERROR(INDEX(MASTER_DATABASE!$E$4:$E$1000,MATCH($A52,MASTER_DATABASE!$A$4:$A$1000,0)),""))</f>
        <v>HDFC BC – AEPS Mini Statement</v>
      </c>
      <c r="C52" s="9" t="str">
        <f aca="false">IF($A52="","",IFERROR(INDEX(MASTER_DATABASE!$R$4:$R$1000,MATCH($A52,MASTER_DATABASE!$A$4:$A$1000,0)),""))</f>
        <v>To Verify</v>
      </c>
      <c r="D52" s="9" t="str">
        <f aca="false">IF($A52="","",IFERROR(INDEX(MASTER_DATABASE!$S$4:$S$1000,MATCH($A52,MASTER_DATABASE!$A$4:$A$1000,0)),""))</f>
        <v>To Verify</v>
      </c>
      <c r="E52" s="9" t="str">
        <f aca="false">IF($A52="","",IF(AND(OR(ISNUMBER(C52),C52="N/A"),OR(ISNUMBER(D52),D52="N/A"),OR(ISNUMBER(C52),ISNUMBER(D52))),N(C52)+N(D52),"To Verify"))</f>
        <v>To Verify</v>
      </c>
      <c r="F52" s="11" t="str">
        <f aca="false">IF($A52="","",IFERROR(INDEX(MASTER_DATABASE!$U$4:$U$1000,MATCH($A52,MASTER_DATABASE!$A$4:$A$1000,0)),""))</f>
        <v>To Verify</v>
      </c>
      <c r="G52" s="12"/>
      <c r="H52" s="12"/>
      <c r="I52" s="11" t="str">
        <f aca="false">IF($A52="","",IFERROR(INDEX(MASTER_DATABASE!$V$4:$V$1000,MATCH($A52,MASTER_DATABASE!$A$4:$A$1000,0)),""))</f>
        <v>No</v>
      </c>
      <c r="J52" s="6"/>
    </row>
    <row r="53" customFormat="false" ht="23.85" hidden="false" customHeight="false" outlineLevel="0" collapsed="false">
      <c r="A53" s="5" t="s">
        <v>700</v>
      </c>
      <c r="B53" s="7" t="str">
        <f aca="false">IF($A53="","",IFERROR(INDEX(MASTER_DATABASE!$E$4:$E$1000,MATCH($A53,MASTER_DATABASE!$A$4:$A$1000,0)),""))</f>
        <v>HDFC BC – Biometric Banking (Fingerprint Authenticated)</v>
      </c>
      <c r="C53" s="9" t="str">
        <f aca="false">IF($A53="","",IFERROR(INDEX(MASTER_DATABASE!$R$4:$R$1000,MATCH($A53,MASTER_DATABASE!$A$4:$A$1000,0)),""))</f>
        <v>To Verify</v>
      </c>
      <c r="D53" s="9" t="str">
        <f aca="false">IF($A53="","",IFERROR(INDEX(MASTER_DATABASE!$S$4:$S$1000,MATCH($A53,MASTER_DATABASE!$A$4:$A$1000,0)),""))</f>
        <v>To Verify</v>
      </c>
      <c r="E53" s="9" t="str">
        <f aca="false">IF($A53="","",IF(AND(OR(ISNUMBER(C53),C53="N/A"),OR(ISNUMBER(D53),D53="N/A"),OR(ISNUMBER(C53),ISNUMBER(D53))),N(C53)+N(D53),"To Verify"))</f>
        <v>To Verify</v>
      </c>
      <c r="F53" s="11" t="str">
        <f aca="false">IF($A53="","",IFERROR(INDEX(MASTER_DATABASE!$U$4:$U$1000,MATCH($A53,MASTER_DATABASE!$A$4:$A$1000,0)),""))</f>
        <v>To Verify</v>
      </c>
      <c r="G53" s="12"/>
      <c r="H53" s="12"/>
      <c r="I53" s="11" t="str">
        <f aca="false">IF($A53="","",IFERROR(INDEX(MASTER_DATABASE!$V$4:$V$1000,MATCH($A53,MASTER_DATABASE!$A$4:$A$1000,0)),""))</f>
        <v>No</v>
      </c>
      <c r="J53" s="6"/>
    </row>
    <row r="54" customFormat="false" ht="15" hidden="false" customHeight="false" outlineLevel="0" collapsed="false">
      <c r="A54" s="5" t="s">
        <v>712</v>
      </c>
      <c r="B54" s="7" t="str">
        <f aca="false">IF($A54="","",IFERROR(INDEX(MASTER_DATABASE!$E$4:$E$1000,MATCH($A54,MASTER_DATABASE!$A$4:$A$1000,0)),""))</f>
        <v>HDFC BC – Micro ATM Cash Withdrawal</v>
      </c>
      <c r="C54" s="9" t="str">
        <f aca="false">IF($A54="","",IFERROR(INDEX(MASTER_DATABASE!$R$4:$R$1000,MATCH($A54,MASTER_DATABASE!$A$4:$A$1000,0)),""))</f>
        <v>To Verify</v>
      </c>
      <c r="D54" s="9" t="str">
        <f aca="false">IF($A54="","",IFERROR(INDEX(MASTER_DATABASE!$S$4:$S$1000,MATCH($A54,MASTER_DATABASE!$A$4:$A$1000,0)),""))</f>
        <v>To Verify</v>
      </c>
      <c r="E54" s="9" t="str">
        <f aca="false">IF($A54="","",IF(AND(OR(ISNUMBER(C54),C54="N/A"),OR(ISNUMBER(D54),D54="N/A"),OR(ISNUMBER(C54),ISNUMBER(D54))),N(C54)+N(D54),"To Verify"))</f>
        <v>To Verify</v>
      </c>
      <c r="F54" s="11" t="str">
        <f aca="false">IF($A54="","",IFERROR(INDEX(MASTER_DATABASE!$U$4:$U$1000,MATCH($A54,MASTER_DATABASE!$A$4:$A$1000,0)),""))</f>
        <v>To Verify</v>
      </c>
      <c r="G54" s="12"/>
      <c r="H54" s="12"/>
      <c r="I54" s="11" t="str">
        <f aca="false">IF($A54="","",IFERROR(INDEX(MASTER_DATABASE!$V$4:$V$1000,MATCH($A54,MASTER_DATABASE!$A$4:$A$1000,0)),""))</f>
        <v>No</v>
      </c>
      <c r="J54" s="6"/>
    </row>
    <row r="55" customFormat="false" ht="15" hidden="false" customHeight="false" outlineLevel="0" collapsed="false">
      <c r="A55" s="5" t="s">
        <v>728</v>
      </c>
      <c r="B55" s="7" t="str">
        <f aca="false">IF($A55="","",IFERROR(INDEX(MASTER_DATABASE!$E$4:$E$1000,MATCH($A55,MASTER_DATABASE!$A$4:$A$1000,0)),""))</f>
        <v>HDFC BC – Micro ATM Balance Enquiry</v>
      </c>
      <c r="C55" s="9" t="str">
        <f aca="false">IF($A55="","",IFERROR(INDEX(MASTER_DATABASE!$R$4:$R$1000,MATCH($A55,MASTER_DATABASE!$A$4:$A$1000,0)),""))</f>
        <v>To Verify</v>
      </c>
      <c r="D55" s="9" t="str">
        <f aca="false">IF($A55="","",IFERROR(INDEX(MASTER_DATABASE!$S$4:$S$1000,MATCH($A55,MASTER_DATABASE!$A$4:$A$1000,0)),""))</f>
        <v>To Verify</v>
      </c>
      <c r="E55" s="9" t="str">
        <f aca="false">IF($A55="","",IF(AND(OR(ISNUMBER(C55),C55="N/A"),OR(ISNUMBER(D55),D55="N/A"),OR(ISNUMBER(C55),ISNUMBER(D55))),N(C55)+N(D55),"To Verify"))</f>
        <v>To Verify</v>
      </c>
      <c r="F55" s="11" t="str">
        <f aca="false">IF($A55="","",IFERROR(INDEX(MASTER_DATABASE!$U$4:$U$1000,MATCH($A55,MASTER_DATABASE!$A$4:$A$1000,0)),""))</f>
        <v>To Verify</v>
      </c>
      <c r="G55" s="12"/>
      <c r="H55" s="12"/>
      <c r="I55" s="11" t="str">
        <f aca="false">IF($A55="","",IFERROR(INDEX(MASTER_DATABASE!$V$4:$V$1000,MATCH($A55,MASTER_DATABASE!$A$4:$A$1000,0)),""))</f>
        <v>No</v>
      </c>
      <c r="J55" s="6"/>
    </row>
    <row r="56" customFormat="false" ht="15" hidden="false" customHeight="false" outlineLevel="0" collapsed="false">
      <c r="A56" s="5" t="s">
        <v>738</v>
      </c>
      <c r="B56" s="7" t="str">
        <f aca="false">IF($A56="","",IFERROR(INDEX(MASTER_DATABASE!$E$4:$E$1000,MATCH($A56,MASTER_DATABASE!$A$4:$A$1000,0)),""))</f>
        <v>HDFC BC – Micro ATM Mini Statement</v>
      </c>
      <c r="C56" s="9" t="str">
        <f aca="false">IF($A56="","",IFERROR(INDEX(MASTER_DATABASE!$R$4:$R$1000,MATCH($A56,MASTER_DATABASE!$A$4:$A$1000,0)),""))</f>
        <v>To Verify</v>
      </c>
      <c r="D56" s="9" t="str">
        <f aca="false">IF($A56="","",IFERROR(INDEX(MASTER_DATABASE!$S$4:$S$1000,MATCH($A56,MASTER_DATABASE!$A$4:$A$1000,0)),""))</f>
        <v>To Verify</v>
      </c>
      <c r="E56" s="9" t="str">
        <f aca="false">IF($A56="","",IF(AND(OR(ISNUMBER(C56),C56="N/A"),OR(ISNUMBER(D56),D56="N/A"),OR(ISNUMBER(C56),ISNUMBER(D56))),N(C56)+N(D56),"To Verify"))</f>
        <v>To Verify</v>
      </c>
      <c r="F56" s="11" t="str">
        <f aca="false">IF($A56="","",IFERROR(INDEX(MASTER_DATABASE!$U$4:$U$1000,MATCH($A56,MASTER_DATABASE!$A$4:$A$1000,0)),""))</f>
        <v>To Verify</v>
      </c>
      <c r="G56" s="12"/>
      <c r="H56" s="12"/>
      <c r="I56" s="11" t="str">
        <f aca="false">IF($A56="","",IFERROR(INDEX(MASTER_DATABASE!$V$4:$V$1000,MATCH($A56,MASTER_DATABASE!$A$4:$A$1000,0)),""))</f>
        <v>No</v>
      </c>
      <c r="J56" s="6"/>
    </row>
    <row r="57" customFormat="false" ht="15" hidden="false" customHeight="false" outlineLevel="0" collapsed="false">
      <c r="A57" s="5" t="s">
        <v>748</v>
      </c>
      <c r="B57" s="7" t="str">
        <f aca="false">IF($A57="","",IFERROR(INDEX(MASTER_DATABASE!$E$4:$E$1000,MATCH($A57,MASTER_DATABASE!$A$4:$A$1000,0)),""))</f>
        <v>HDFC BC – Money Transfer (Domestic)</v>
      </c>
      <c r="C57" s="9" t="str">
        <f aca="false">IF($A57="","",IFERROR(INDEX(MASTER_DATABASE!$R$4:$R$1000,MATCH($A57,MASTER_DATABASE!$A$4:$A$1000,0)),""))</f>
        <v>To Verify</v>
      </c>
      <c r="D57" s="9" t="str">
        <f aca="false">IF($A57="","",IFERROR(INDEX(MASTER_DATABASE!$S$4:$S$1000,MATCH($A57,MASTER_DATABASE!$A$4:$A$1000,0)),""))</f>
        <v>To Verify</v>
      </c>
      <c r="E57" s="9" t="str">
        <f aca="false">IF($A57="","",IF(AND(OR(ISNUMBER(C57),C57="N/A"),OR(ISNUMBER(D57),D57="N/A"),OR(ISNUMBER(C57),ISNUMBER(D57))),N(C57)+N(D57),"To Verify"))</f>
        <v>To Verify</v>
      </c>
      <c r="F57" s="11" t="str">
        <f aca="false">IF($A57="","",IFERROR(INDEX(MASTER_DATABASE!$U$4:$U$1000,MATCH($A57,MASTER_DATABASE!$A$4:$A$1000,0)),""))</f>
        <v>To Verify</v>
      </c>
      <c r="G57" s="12"/>
      <c r="H57" s="12"/>
      <c r="I57" s="11" t="str">
        <f aca="false">IF($A57="","",IFERROR(INDEX(MASTER_DATABASE!$V$4:$V$1000,MATCH($A57,MASTER_DATABASE!$A$4:$A$1000,0)),""))</f>
        <v>No</v>
      </c>
      <c r="J57" s="6"/>
    </row>
    <row r="58" customFormat="false" ht="23.85" hidden="false" customHeight="false" outlineLevel="0" collapsed="false">
      <c r="A58" s="5" t="s">
        <v>764</v>
      </c>
      <c r="B58" s="7" t="str">
        <f aca="false">IF($A58="","",IFERROR(INDEX(MASTER_DATABASE!$E$4:$E$1000,MATCH($A58,MASTER_DATABASE!$A$4:$A$1000,0)),""))</f>
        <v>HDFC BC – New Savings Account Opening Assistance</v>
      </c>
      <c r="C58" s="9" t="str">
        <f aca="false">IF($A58="","",IFERROR(INDEX(MASTER_DATABASE!$R$4:$R$1000,MATCH($A58,MASTER_DATABASE!$A$4:$A$1000,0)),""))</f>
        <v>To Verify</v>
      </c>
      <c r="D58" s="9" t="str">
        <f aca="false">IF($A58="","",IFERROR(INDEX(MASTER_DATABASE!$S$4:$S$1000,MATCH($A58,MASTER_DATABASE!$A$4:$A$1000,0)),""))</f>
        <v>To Verify</v>
      </c>
      <c r="E58" s="9" t="str">
        <f aca="false">IF($A58="","",IF(AND(OR(ISNUMBER(C58),C58="N/A"),OR(ISNUMBER(D58),D58="N/A"),OR(ISNUMBER(C58),ISNUMBER(D58))),N(C58)+N(D58),"To Verify"))</f>
        <v>To Verify</v>
      </c>
      <c r="F58" s="11" t="str">
        <f aca="false">IF($A58="","",IFERROR(INDEX(MASTER_DATABASE!$U$4:$U$1000,MATCH($A58,MASTER_DATABASE!$A$4:$A$1000,0)),""))</f>
        <v>To Verify</v>
      </c>
      <c r="G58" s="12"/>
      <c r="H58" s="12"/>
      <c r="I58" s="11" t="str">
        <f aca="false">IF($A58="","",IFERROR(INDEX(MASTER_DATABASE!$V$4:$V$1000,MATCH($A58,MASTER_DATABASE!$A$4:$A$1000,0)),""))</f>
        <v>No</v>
      </c>
      <c r="J58" s="6"/>
    </row>
    <row r="59" customFormat="false" ht="23.85" hidden="false" customHeight="false" outlineLevel="0" collapsed="false">
      <c r="A59" s="5" t="s">
        <v>778</v>
      </c>
      <c r="B59" s="7" t="str">
        <f aca="false">IF($A59="","",IFERROR(INDEX(MASTER_DATABASE!$E$4:$E$1000,MATCH($A59,MASTER_DATABASE!$A$4:$A$1000,0)),""))</f>
        <v>HDFC BC – Account Mobile Number Registration / Update</v>
      </c>
      <c r="C59" s="9" t="str">
        <f aca="false">IF($A59="","",IFERROR(INDEX(MASTER_DATABASE!$R$4:$R$1000,MATCH($A59,MASTER_DATABASE!$A$4:$A$1000,0)),""))</f>
        <v>To Verify</v>
      </c>
      <c r="D59" s="9" t="str">
        <f aca="false">IF($A59="","",IFERROR(INDEX(MASTER_DATABASE!$S$4:$S$1000,MATCH($A59,MASTER_DATABASE!$A$4:$A$1000,0)),""))</f>
        <v>To Verify</v>
      </c>
      <c r="E59" s="9" t="str">
        <f aca="false">IF($A59="","",IF(AND(OR(ISNUMBER(C59),C59="N/A"),OR(ISNUMBER(D59),D59="N/A"),OR(ISNUMBER(C59),ISNUMBER(D59))),N(C59)+N(D59),"To Verify"))</f>
        <v>To Verify</v>
      </c>
      <c r="F59" s="11" t="str">
        <f aca="false">IF($A59="","",IFERROR(INDEX(MASTER_DATABASE!$U$4:$U$1000,MATCH($A59,MASTER_DATABASE!$A$4:$A$1000,0)),""))</f>
        <v>To Verify</v>
      </c>
      <c r="G59" s="12"/>
      <c r="H59" s="12"/>
      <c r="I59" s="11" t="str">
        <f aca="false">IF($A59="","",IFERROR(INDEX(MASTER_DATABASE!$V$4:$V$1000,MATCH($A59,MASTER_DATABASE!$A$4:$A$1000,0)),""))</f>
        <v>No</v>
      </c>
      <c r="J59" s="6"/>
    </row>
    <row r="60" customFormat="false" ht="15" hidden="false" customHeight="false" outlineLevel="0" collapsed="false">
      <c r="A60" s="5" t="s">
        <v>789</v>
      </c>
      <c r="B60" s="7" t="str">
        <f aca="false">IF($A60="","",IFERROR(INDEX(MASTER_DATABASE!$E$4:$E$1000,MATCH($A60,MASTER_DATABASE!$A$4:$A$1000,0)),""))</f>
        <v>HDFC BC – Debit Card Request / PIN Assistance</v>
      </c>
      <c r="C60" s="9" t="str">
        <f aca="false">IF($A60="","",IFERROR(INDEX(MASTER_DATABASE!$R$4:$R$1000,MATCH($A60,MASTER_DATABASE!$A$4:$A$1000,0)),""))</f>
        <v>To Verify</v>
      </c>
      <c r="D60" s="9" t="str">
        <f aca="false">IF($A60="","",IFERROR(INDEX(MASTER_DATABASE!$S$4:$S$1000,MATCH($A60,MASTER_DATABASE!$A$4:$A$1000,0)),""))</f>
        <v>To Verify</v>
      </c>
      <c r="E60" s="9" t="str">
        <f aca="false">IF($A60="","",IF(AND(OR(ISNUMBER(C60),C60="N/A"),OR(ISNUMBER(D60),D60="N/A"),OR(ISNUMBER(C60),ISNUMBER(D60))),N(C60)+N(D60),"To Verify"))</f>
        <v>To Verify</v>
      </c>
      <c r="F60" s="11" t="str">
        <f aca="false">IF($A60="","",IFERROR(INDEX(MASTER_DATABASE!$U$4:$U$1000,MATCH($A60,MASTER_DATABASE!$A$4:$A$1000,0)),""))</f>
        <v>To Verify</v>
      </c>
      <c r="G60" s="12"/>
      <c r="H60" s="12"/>
      <c r="I60" s="11" t="str">
        <f aca="false">IF($A60="","",IFERROR(INDEX(MASTER_DATABASE!$V$4:$V$1000,MATCH($A60,MASTER_DATABASE!$A$4:$A$1000,0)),""))</f>
        <v>No</v>
      </c>
      <c r="J60" s="6"/>
    </row>
    <row r="61" customFormat="false" ht="15" hidden="false" customHeight="false" outlineLevel="0" collapsed="false">
      <c r="A61" s="5" t="s">
        <v>800</v>
      </c>
      <c r="B61" s="7" t="str">
        <f aca="false">IF($A61="","",IFERROR(INDEX(MASTER_DATABASE!$E$4:$E$1000,MATCH($A61,MASTER_DATABASE!$A$4:$A$1000,0)),""))</f>
        <v>HDFC BC – Cheque Book Request Assistance</v>
      </c>
      <c r="C61" s="9" t="str">
        <f aca="false">IF($A61="","",IFERROR(INDEX(MASTER_DATABASE!$R$4:$R$1000,MATCH($A61,MASTER_DATABASE!$A$4:$A$1000,0)),""))</f>
        <v>To Verify</v>
      </c>
      <c r="D61" s="9" t="str">
        <f aca="false">IF($A61="","",IFERROR(INDEX(MASTER_DATABASE!$S$4:$S$1000,MATCH($A61,MASTER_DATABASE!$A$4:$A$1000,0)),""))</f>
        <v>To Verify</v>
      </c>
      <c r="E61" s="9" t="str">
        <f aca="false">IF($A61="","",IF(AND(OR(ISNUMBER(C61),C61="N/A"),OR(ISNUMBER(D61),D61="N/A"),OR(ISNUMBER(C61),ISNUMBER(D61))),N(C61)+N(D61),"To Verify"))</f>
        <v>To Verify</v>
      </c>
      <c r="F61" s="11" t="str">
        <f aca="false">IF($A61="","",IFERROR(INDEX(MASTER_DATABASE!$U$4:$U$1000,MATCH($A61,MASTER_DATABASE!$A$4:$A$1000,0)),""))</f>
        <v>To Verify</v>
      </c>
      <c r="G61" s="12"/>
      <c r="H61" s="12"/>
      <c r="I61" s="11" t="str">
        <f aca="false">IF($A61="","",IFERROR(INDEX(MASTER_DATABASE!$V$4:$V$1000,MATCH($A61,MASTER_DATABASE!$A$4:$A$1000,0)),""))</f>
        <v>No</v>
      </c>
      <c r="J61" s="6"/>
    </row>
    <row r="62" customFormat="false" ht="23.85" hidden="false" customHeight="false" outlineLevel="0" collapsed="false">
      <c r="A62" s="5" t="s">
        <v>811</v>
      </c>
      <c r="B62" s="7" t="str">
        <f aca="false">IF($A62="","",IFERROR(INDEX(MASTER_DATABASE!$E$4:$E$1000,MATCH($A62,MASTER_DATABASE!$A$4:$A$1000,0)),""))</f>
        <v>HDFC BC – Passbook / Statement Request Assistance</v>
      </c>
      <c r="C62" s="9" t="str">
        <f aca="false">IF($A62="","",IFERROR(INDEX(MASTER_DATABASE!$R$4:$R$1000,MATCH($A62,MASTER_DATABASE!$A$4:$A$1000,0)),""))</f>
        <v>To Verify</v>
      </c>
      <c r="D62" s="9" t="str">
        <f aca="false">IF($A62="","",IFERROR(INDEX(MASTER_DATABASE!$S$4:$S$1000,MATCH($A62,MASTER_DATABASE!$A$4:$A$1000,0)),""))</f>
        <v>To Verify</v>
      </c>
      <c r="E62" s="9" t="str">
        <f aca="false">IF($A62="","",IF(AND(OR(ISNUMBER(C62),C62="N/A"),OR(ISNUMBER(D62),D62="N/A"),OR(ISNUMBER(C62),ISNUMBER(D62))),N(C62)+N(D62),"To Verify"))</f>
        <v>To Verify</v>
      </c>
      <c r="F62" s="11" t="str">
        <f aca="false">IF($A62="","",IFERROR(INDEX(MASTER_DATABASE!$U$4:$U$1000,MATCH($A62,MASTER_DATABASE!$A$4:$A$1000,0)),""))</f>
        <v>To Verify</v>
      </c>
      <c r="G62" s="12"/>
      <c r="H62" s="12"/>
      <c r="I62" s="11" t="str">
        <f aca="false">IF($A62="","",IFERROR(INDEX(MASTER_DATABASE!$V$4:$V$1000,MATCH($A62,MASTER_DATABASE!$A$4:$A$1000,0)),""))</f>
        <v>No</v>
      </c>
      <c r="J62" s="6"/>
    </row>
    <row r="63" customFormat="false" ht="15" hidden="false" customHeight="false" outlineLevel="0" collapsed="false">
      <c r="A63" s="5" t="s">
        <v>822</v>
      </c>
      <c r="B63" s="7" t="str">
        <f aca="false">IF($A63="","",IFERROR(INDEX(MASTER_DATABASE!$E$4:$E$1000,MATCH($A63,MASTER_DATABASE!$A$4:$A$1000,0)),""))</f>
        <v>HDFC BC – KYC Document Collection / Update</v>
      </c>
      <c r="C63" s="9" t="str">
        <f aca="false">IF($A63="","",IFERROR(INDEX(MASTER_DATABASE!$R$4:$R$1000,MATCH($A63,MASTER_DATABASE!$A$4:$A$1000,0)),""))</f>
        <v>To Verify</v>
      </c>
      <c r="D63" s="9" t="str">
        <f aca="false">IF($A63="","",IFERROR(INDEX(MASTER_DATABASE!$S$4:$S$1000,MATCH($A63,MASTER_DATABASE!$A$4:$A$1000,0)),""))</f>
        <v>To Verify</v>
      </c>
      <c r="E63" s="9" t="str">
        <f aca="false">IF($A63="","",IF(AND(OR(ISNUMBER(C63),C63="N/A"),OR(ISNUMBER(D63),D63="N/A"),OR(ISNUMBER(C63),ISNUMBER(D63))),N(C63)+N(D63),"To Verify"))</f>
        <v>To Verify</v>
      </c>
      <c r="F63" s="11" t="str">
        <f aca="false">IF($A63="","",IFERROR(INDEX(MASTER_DATABASE!$U$4:$U$1000,MATCH($A63,MASTER_DATABASE!$A$4:$A$1000,0)),""))</f>
        <v>To Verify</v>
      </c>
      <c r="G63" s="12"/>
      <c r="H63" s="12"/>
      <c r="I63" s="11" t="str">
        <f aca="false">IF($A63="","",IFERROR(INDEX(MASTER_DATABASE!$V$4:$V$1000,MATCH($A63,MASTER_DATABASE!$A$4:$A$1000,0)),""))</f>
        <v>No</v>
      </c>
      <c r="J63" s="6"/>
    </row>
    <row r="64" customFormat="false" ht="15" hidden="false" customHeight="false" outlineLevel="0" collapsed="false">
      <c r="A64" s="5" t="s">
        <v>834</v>
      </c>
      <c r="B64" s="7" t="str">
        <f aca="false">IF($A64="","",IFERROR(INDEX(MASTER_DATABASE!$E$4:$E$1000,MATCH($A64,MASTER_DATABASE!$A$4:$A$1000,0)),""))</f>
        <v>HDFC BC – Account Query / Complaint Assistance</v>
      </c>
      <c r="C64" s="9" t="str">
        <f aca="false">IF($A64="","",IFERROR(INDEX(MASTER_DATABASE!$R$4:$R$1000,MATCH($A64,MASTER_DATABASE!$A$4:$A$1000,0)),""))</f>
        <v>To Verify</v>
      </c>
      <c r="D64" s="9" t="str">
        <f aca="false">IF($A64="","",IFERROR(INDEX(MASTER_DATABASE!$S$4:$S$1000,MATCH($A64,MASTER_DATABASE!$A$4:$A$1000,0)),""))</f>
        <v>To Verify</v>
      </c>
      <c r="E64" s="9" t="str">
        <f aca="false">IF($A64="","",IF(AND(OR(ISNUMBER(C64),C64="N/A"),OR(ISNUMBER(D64),D64="N/A"),OR(ISNUMBER(C64),ISNUMBER(D64))),N(C64)+N(D64),"To Verify"))</f>
        <v>To Verify</v>
      </c>
      <c r="F64" s="11" t="str">
        <f aca="false">IF($A64="","",IFERROR(INDEX(MASTER_DATABASE!$U$4:$U$1000,MATCH($A64,MASTER_DATABASE!$A$4:$A$1000,0)),""))</f>
        <v>To Verify</v>
      </c>
      <c r="G64" s="12"/>
      <c r="H64" s="12"/>
      <c r="I64" s="11" t="str">
        <f aca="false">IF($A64="","",IFERROR(INDEX(MASTER_DATABASE!$V$4:$V$1000,MATCH($A64,MASTER_DATABASE!$A$4:$A$1000,0)),""))</f>
        <v>No</v>
      </c>
      <c r="J64" s="6"/>
    </row>
    <row r="65" customFormat="false" ht="15" hidden="false" customHeight="false" outlineLevel="0" collapsed="false">
      <c r="A65" s="5" t="s">
        <v>845</v>
      </c>
      <c r="B65" s="7" t="str">
        <f aca="false">IF($A65="","",IFERROR(INDEX(MASTER_DATABASE!$E$4:$E$1000,MATCH($A65,MASTER_DATABASE!$A$4:$A$1000,0)),""))</f>
        <v>HDFC BC – PMJJBY / PMSBY Enrolment Assistance</v>
      </c>
      <c r="C65" s="9" t="str">
        <f aca="false">IF($A65="","",IFERROR(INDEX(MASTER_DATABASE!$R$4:$R$1000,MATCH($A65,MASTER_DATABASE!$A$4:$A$1000,0)),""))</f>
        <v>To Verify</v>
      </c>
      <c r="D65" s="9" t="str">
        <f aca="false">IF($A65="","",IFERROR(INDEX(MASTER_DATABASE!$S$4:$S$1000,MATCH($A65,MASTER_DATABASE!$A$4:$A$1000,0)),""))</f>
        <v>To Verify</v>
      </c>
      <c r="E65" s="9" t="str">
        <f aca="false">IF($A65="","",IF(AND(OR(ISNUMBER(C65),C65="N/A"),OR(ISNUMBER(D65),D65="N/A"),OR(ISNUMBER(C65),ISNUMBER(D65))),N(C65)+N(D65),"To Verify"))</f>
        <v>To Verify</v>
      </c>
      <c r="F65" s="11" t="str">
        <f aca="false">IF($A65="","",IFERROR(INDEX(MASTER_DATABASE!$U$4:$U$1000,MATCH($A65,MASTER_DATABASE!$A$4:$A$1000,0)),""))</f>
        <v>To Verify</v>
      </c>
      <c r="G65" s="12"/>
      <c r="H65" s="12"/>
      <c r="I65" s="11" t="str">
        <f aca="false">IF($A65="","",IFERROR(INDEX(MASTER_DATABASE!$V$4:$V$1000,MATCH($A65,MASTER_DATABASE!$A$4:$A$1000,0)),""))</f>
        <v>No</v>
      </c>
      <c r="J65" s="6"/>
    </row>
    <row r="66" customFormat="false" ht="23.85" hidden="false" customHeight="false" outlineLevel="0" collapsed="false">
      <c r="A66" s="5" t="s">
        <v>860</v>
      </c>
      <c r="B66" s="7" t="str">
        <f aca="false">IF($A66="","",IFERROR(INDEX(MASTER_DATABASE!$E$4:$E$1000,MATCH($A66,MASTER_DATABASE!$A$4:$A$1000,0)),""))</f>
        <v>HDFC BC – Atal Pension Yojana Enrolment Assistance</v>
      </c>
      <c r="C66" s="9" t="str">
        <f aca="false">IF($A66="","",IFERROR(INDEX(MASTER_DATABASE!$R$4:$R$1000,MATCH($A66,MASTER_DATABASE!$A$4:$A$1000,0)),""))</f>
        <v>To Verify</v>
      </c>
      <c r="D66" s="9" t="str">
        <f aca="false">IF($A66="","",IFERROR(INDEX(MASTER_DATABASE!$S$4:$S$1000,MATCH($A66,MASTER_DATABASE!$A$4:$A$1000,0)),""))</f>
        <v>To Verify</v>
      </c>
      <c r="E66" s="9" t="str">
        <f aca="false">IF($A66="","",IF(AND(OR(ISNUMBER(C66),C66="N/A"),OR(ISNUMBER(D66),D66="N/A"),OR(ISNUMBER(C66),ISNUMBER(D66))),N(C66)+N(D66),"To Verify"))</f>
        <v>To Verify</v>
      </c>
      <c r="F66" s="11" t="str">
        <f aca="false">IF($A66="","",IFERROR(INDEX(MASTER_DATABASE!$U$4:$U$1000,MATCH($A66,MASTER_DATABASE!$A$4:$A$1000,0)),""))</f>
        <v>To Verify</v>
      </c>
      <c r="G66" s="12"/>
      <c r="H66" s="12"/>
      <c r="I66" s="11" t="str">
        <f aca="false">IF($A66="","",IFERROR(INDEX(MASTER_DATABASE!$V$4:$V$1000,MATCH($A66,MASTER_DATABASE!$A$4:$A$1000,0)),""))</f>
        <v>No</v>
      </c>
      <c r="J66" s="6"/>
    </row>
    <row r="67" customFormat="false" ht="15" hidden="false" customHeight="false" outlineLevel="0" collapsed="false">
      <c r="A67" s="5" t="s">
        <v>870</v>
      </c>
      <c r="B67" s="7" t="str">
        <f aca="false">IF($A67="","",IFERROR(INDEX(MASTER_DATABASE!$E$4:$E$1000,MATCH($A67,MASTER_DATABASE!$A$4:$A$1000,0)),""))</f>
        <v>FINO BC – Cash Deposit</v>
      </c>
      <c r="C67" s="9" t="str">
        <f aca="false">IF($A67="","",IFERROR(INDEX(MASTER_DATABASE!$R$4:$R$1000,MATCH($A67,MASTER_DATABASE!$A$4:$A$1000,0)),""))</f>
        <v>To Verify</v>
      </c>
      <c r="D67" s="9" t="str">
        <f aca="false">IF($A67="","",IFERROR(INDEX(MASTER_DATABASE!$S$4:$S$1000,MATCH($A67,MASTER_DATABASE!$A$4:$A$1000,0)),""))</f>
        <v>To Verify</v>
      </c>
      <c r="E67" s="9" t="str">
        <f aca="false">IF($A67="","",IF(AND(OR(ISNUMBER(C67),C67="N/A"),OR(ISNUMBER(D67),D67="N/A"),OR(ISNUMBER(C67),ISNUMBER(D67))),N(C67)+N(D67),"To Verify"))</f>
        <v>To Verify</v>
      </c>
      <c r="F67" s="11" t="str">
        <f aca="false">IF($A67="","",IFERROR(INDEX(MASTER_DATABASE!$U$4:$U$1000,MATCH($A67,MASTER_DATABASE!$A$4:$A$1000,0)),""))</f>
        <v>To Verify</v>
      </c>
      <c r="G67" s="12"/>
      <c r="H67" s="12"/>
      <c r="I67" s="11" t="str">
        <f aca="false">IF($A67="","",IFERROR(INDEX(MASTER_DATABASE!$V$4:$V$1000,MATCH($A67,MASTER_DATABASE!$A$4:$A$1000,0)),""))</f>
        <v>No</v>
      </c>
      <c r="J67" s="6"/>
    </row>
    <row r="68" customFormat="false" ht="15" hidden="false" customHeight="false" outlineLevel="0" collapsed="false">
      <c r="A68" s="5" t="s">
        <v>883</v>
      </c>
      <c r="B68" s="7" t="str">
        <f aca="false">IF($A68="","",IFERROR(INDEX(MASTER_DATABASE!$E$4:$E$1000,MATCH($A68,MASTER_DATABASE!$A$4:$A$1000,0)),""))</f>
        <v>FINO BC – Cash Withdrawal</v>
      </c>
      <c r="C68" s="9" t="str">
        <f aca="false">IF($A68="","",IFERROR(INDEX(MASTER_DATABASE!$R$4:$R$1000,MATCH($A68,MASTER_DATABASE!$A$4:$A$1000,0)),""))</f>
        <v>To Verify</v>
      </c>
      <c r="D68" s="9" t="str">
        <f aca="false">IF($A68="","",IFERROR(INDEX(MASTER_DATABASE!$S$4:$S$1000,MATCH($A68,MASTER_DATABASE!$A$4:$A$1000,0)),""))</f>
        <v>To Verify</v>
      </c>
      <c r="E68" s="9" t="str">
        <f aca="false">IF($A68="","",IF(AND(OR(ISNUMBER(C68),C68="N/A"),OR(ISNUMBER(D68),D68="N/A"),OR(ISNUMBER(C68),ISNUMBER(D68))),N(C68)+N(D68),"To Verify"))</f>
        <v>To Verify</v>
      </c>
      <c r="F68" s="11" t="str">
        <f aca="false">IF($A68="","",IFERROR(INDEX(MASTER_DATABASE!$U$4:$U$1000,MATCH($A68,MASTER_DATABASE!$A$4:$A$1000,0)),""))</f>
        <v>To Verify</v>
      </c>
      <c r="G68" s="12"/>
      <c r="H68" s="12"/>
      <c r="I68" s="11" t="str">
        <f aca="false">IF($A68="","",IFERROR(INDEX(MASTER_DATABASE!$V$4:$V$1000,MATCH($A68,MASTER_DATABASE!$A$4:$A$1000,0)),""))</f>
        <v>No</v>
      </c>
      <c r="J68" s="6"/>
    </row>
    <row r="69" customFormat="false" ht="15" hidden="false" customHeight="false" outlineLevel="0" collapsed="false">
      <c r="A69" s="5" t="s">
        <v>893</v>
      </c>
      <c r="B69" s="7" t="str">
        <f aca="false">IF($A69="","",IFERROR(INDEX(MASTER_DATABASE!$E$4:$E$1000,MATCH($A69,MASTER_DATABASE!$A$4:$A$1000,0)),""))</f>
        <v>FINO BC – Balance Enquiry</v>
      </c>
      <c r="C69" s="9" t="str">
        <f aca="false">IF($A69="","",IFERROR(INDEX(MASTER_DATABASE!$R$4:$R$1000,MATCH($A69,MASTER_DATABASE!$A$4:$A$1000,0)),""))</f>
        <v>To Verify</v>
      </c>
      <c r="D69" s="9" t="str">
        <f aca="false">IF($A69="","",IFERROR(INDEX(MASTER_DATABASE!$S$4:$S$1000,MATCH($A69,MASTER_DATABASE!$A$4:$A$1000,0)),""))</f>
        <v>To Verify</v>
      </c>
      <c r="E69" s="9" t="str">
        <f aca="false">IF($A69="","",IF(AND(OR(ISNUMBER(C69),C69="N/A"),OR(ISNUMBER(D69),D69="N/A"),OR(ISNUMBER(C69),ISNUMBER(D69))),N(C69)+N(D69),"To Verify"))</f>
        <v>To Verify</v>
      </c>
      <c r="F69" s="11" t="str">
        <f aca="false">IF($A69="","",IFERROR(INDEX(MASTER_DATABASE!$U$4:$U$1000,MATCH($A69,MASTER_DATABASE!$A$4:$A$1000,0)),""))</f>
        <v>To Verify</v>
      </c>
      <c r="G69" s="12"/>
      <c r="H69" s="12"/>
      <c r="I69" s="11" t="str">
        <f aca="false">IF($A69="","",IFERROR(INDEX(MASTER_DATABASE!$V$4:$V$1000,MATCH($A69,MASTER_DATABASE!$A$4:$A$1000,0)),""))</f>
        <v>No</v>
      </c>
      <c r="J69" s="6"/>
    </row>
    <row r="70" customFormat="false" ht="15" hidden="false" customHeight="false" outlineLevel="0" collapsed="false">
      <c r="A70" s="5" t="s">
        <v>904</v>
      </c>
      <c r="B70" s="7" t="str">
        <f aca="false">IF($A70="","",IFERROR(INDEX(MASTER_DATABASE!$E$4:$E$1000,MATCH($A70,MASTER_DATABASE!$A$4:$A$1000,0)),""))</f>
        <v>FINO BC – Mini Statement</v>
      </c>
      <c r="C70" s="9" t="str">
        <f aca="false">IF($A70="","",IFERROR(INDEX(MASTER_DATABASE!$R$4:$R$1000,MATCH($A70,MASTER_DATABASE!$A$4:$A$1000,0)),""))</f>
        <v>To Verify</v>
      </c>
      <c r="D70" s="9" t="str">
        <f aca="false">IF($A70="","",IFERROR(INDEX(MASTER_DATABASE!$S$4:$S$1000,MATCH($A70,MASTER_DATABASE!$A$4:$A$1000,0)),""))</f>
        <v>To Verify</v>
      </c>
      <c r="E70" s="9" t="str">
        <f aca="false">IF($A70="","",IF(AND(OR(ISNUMBER(C70),C70="N/A"),OR(ISNUMBER(D70),D70="N/A"),OR(ISNUMBER(C70),ISNUMBER(D70))),N(C70)+N(D70),"To Verify"))</f>
        <v>To Verify</v>
      </c>
      <c r="F70" s="11" t="str">
        <f aca="false">IF($A70="","",IFERROR(INDEX(MASTER_DATABASE!$U$4:$U$1000,MATCH($A70,MASTER_DATABASE!$A$4:$A$1000,0)),""))</f>
        <v>To Verify</v>
      </c>
      <c r="G70" s="12"/>
      <c r="H70" s="12"/>
      <c r="I70" s="11" t="str">
        <f aca="false">IF($A70="","",IFERROR(INDEX(MASTER_DATABASE!$V$4:$V$1000,MATCH($A70,MASTER_DATABASE!$A$4:$A$1000,0)),""))</f>
        <v>No</v>
      </c>
      <c r="J70" s="6"/>
    </row>
    <row r="71" customFormat="false" ht="15" hidden="false" customHeight="false" outlineLevel="0" collapsed="false">
      <c r="A71" s="5" t="s">
        <v>915</v>
      </c>
      <c r="B71" s="7" t="str">
        <f aca="false">IF($A71="","",IFERROR(INDEX(MASTER_DATABASE!$E$4:$E$1000,MATCH($A71,MASTER_DATABASE!$A$4:$A$1000,0)),""))</f>
        <v>FINO BC – AEPS Cash Withdrawal</v>
      </c>
      <c r="C71" s="9" t="str">
        <f aca="false">IF($A71="","",IFERROR(INDEX(MASTER_DATABASE!$R$4:$R$1000,MATCH($A71,MASTER_DATABASE!$A$4:$A$1000,0)),""))</f>
        <v>To Verify</v>
      </c>
      <c r="D71" s="9" t="str">
        <f aca="false">IF($A71="","",IFERROR(INDEX(MASTER_DATABASE!$S$4:$S$1000,MATCH($A71,MASTER_DATABASE!$A$4:$A$1000,0)),""))</f>
        <v>To Verify</v>
      </c>
      <c r="E71" s="9" t="str">
        <f aca="false">IF($A71="","",IF(AND(OR(ISNUMBER(C71),C71="N/A"),OR(ISNUMBER(D71),D71="N/A"),OR(ISNUMBER(C71),ISNUMBER(D71))),N(C71)+N(D71),"To Verify"))</f>
        <v>To Verify</v>
      </c>
      <c r="F71" s="11" t="str">
        <f aca="false">IF($A71="","",IFERROR(INDEX(MASTER_DATABASE!$U$4:$U$1000,MATCH($A71,MASTER_DATABASE!$A$4:$A$1000,0)),""))</f>
        <v>To Verify</v>
      </c>
      <c r="G71" s="12"/>
      <c r="H71" s="12"/>
      <c r="I71" s="11" t="str">
        <f aca="false">IF($A71="","",IFERROR(INDEX(MASTER_DATABASE!$V$4:$V$1000,MATCH($A71,MASTER_DATABASE!$A$4:$A$1000,0)),""))</f>
        <v>No</v>
      </c>
      <c r="J71" s="6"/>
    </row>
    <row r="72" customFormat="false" ht="15" hidden="false" customHeight="false" outlineLevel="0" collapsed="false">
      <c r="A72" s="5" t="s">
        <v>925</v>
      </c>
      <c r="B72" s="7" t="str">
        <f aca="false">IF($A72="","",IFERROR(INDEX(MASTER_DATABASE!$E$4:$E$1000,MATCH($A72,MASTER_DATABASE!$A$4:$A$1000,0)),""))</f>
        <v>FINO BC – AEPS Balance Enquiry</v>
      </c>
      <c r="C72" s="9" t="str">
        <f aca="false">IF($A72="","",IFERROR(INDEX(MASTER_DATABASE!$R$4:$R$1000,MATCH($A72,MASTER_DATABASE!$A$4:$A$1000,0)),""))</f>
        <v>To Verify</v>
      </c>
      <c r="D72" s="9" t="str">
        <f aca="false">IF($A72="","",IFERROR(INDEX(MASTER_DATABASE!$S$4:$S$1000,MATCH($A72,MASTER_DATABASE!$A$4:$A$1000,0)),""))</f>
        <v>To Verify</v>
      </c>
      <c r="E72" s="9" t="str">
        <f aca="false">IF($A72="","",IF(AND(OR(ISNUMBER(C72),C72="N/A"),OR(ISNUMBER(D72),D72="N/A"),OR(ISNUMBER(C72),ISNUMBER(D72))),N(C72)+N(D72),"To Verify"))</f>
        <v>To Verify</v>
      </c>
      <c r="F72" s="11" t="str">
        <f aca="false">IF($A72="","",IFERROR(INDEX(MASTER_DATABASE!$U$4:$U$1000,MATCH($A72,MASTER_DATABASE!$A$4:$A$1000,0)),""))</f>
        <v>To Verify</v>
      </c>
      <c r="G72" s="12"/>
      <c r="H72" s="12"/>
      <c r="I72" s="11" t="str">
        <f aca="false">IF($A72="","",IFERROR(INDEX(MASTER_DATABASE!$V$4:$V$1000,MATCH($A72,MASTER_DATABASE!$A$4:$A$1000,0)),""))</f>
        <v>No</v>
      </c>
      <c r="J72" s="6"/>
    </row>
    <row r="73" customFormat="false" ht="15" hidden="false" customHeight="false" outlineLevel="0" collapsed="false">
      <c r="A73" s="5" t="s">
        <v>934</v>
      </c>
      <c r="B73" s="7" t="str">
        <f aca="false">IF($A73="","",IFERROR(INDEX(MASTER_DATABASE!$E$4:$E$1000,MATCH($A73,MASTER_DATABASE!$A$4:$A$1000,0)),""))</f>
        <v>FINO BC – AEPS Mini Statement</v>
      </c>
      <c r="C73" s="9" t="str">
        <f aca="false">IF($A73="","",IFERROR(INDEX(MASTER_DATABASE!$R$4:$R$1000,MATCH($A73,MASTER_DATABASE!$A$4:$A$1000,0)),""))</f>
        <v>To Verify</v>
      </c>
      <c r="D73" s="9" t="str">
        <f aca="false">IF($A73="","",IFERROR(INDEX(MASTER_DATABASE!$S$4:$S$1000,MATCH($A73,MASTER_DATABASE!$A$4:$A$1000,0)),""))</f>
        <v>To Verify</v>
      </c>
      <c r="E73" s="9" t="str">
        <f aca="false">IF($A73="","",IF(AND(OR(ISNUMBER(C73),C73="N/A"),OR(ISNUMBER(D73),D73="N/A"),OR(ISNUMBER(C73),ISNUMBER(D73))),N(C73)+N(D73),"To Verify"))</f>
        <v>To Verify</v>
      </c>
      <c r="F73" s="11" t="str">
        <f aca="false">IF($A73="","",IFERROR(INDEX(MASTER_DATABASE!$U$4:$U$1000,MATCH($A73,MASTER_DATABASE!$A$4:$A$1000,0)),""))</f>
        <v>To Verify</v>
      </c>
      <c r="G73" s="12"/>
      <c r="H73" s="12"/>
      <c r="I73" s="11" t="str">
        <f aca="false">IF($A73="","",IFERROR(INDEX(MASTER_DATABASE!$V$4:$V$1000,MATCH($A73,MASTER_DATABASE!$A$4:$A$1000,0)),""))</f>
        <v>No</v>
      </c>
      <c r="J73" s="6"/>
    </row>
    <row r="74" customFormat="false" ht="23.85" hidden="false" customHeight="false" outlineLevel="0" collapsed="false">
      <c r="A74" s="5" t="s">
        <v>943</v>
      </c>
      <c r="B74" s="7" t="str">
        <f aca="false">IF($A74="","",IFERROR(INDEX(MASTER_DATABASE!$E$4:$E$1000,MATCH($A74,MASTER_DATABASE!$A$4:$A$1000,0)),""))</f>
        <v>FINO BC – Biometric Banking (Fingerprint Authenticated)</v>
      </c>
      <c r="C74" s="9" t="str">
        <f aca="false">IF($A74="","",IFERROR(INDEX(MASTER_DATABASE!$R$4:$R$1000,MATCH($A74,MASTER_DATABASE!$A$4:$A$1000,0)),""))</f>
        <v>To Verify</v>
      </c>
      <c r="D74" s="9" t="str">
        <f aca="false">IF($A74="","",IFERROR(INDEX(MASTER_DATABASE!$S$4:$S$1000,MATCH($A74,MASTER_DATABASE!$A$4:$A$1000,0)),""))</f>
        <v>To Verify</v>
      </c>
      <c r="E74" s="9" t="str">
        <f aca="false">IF($A74="","",IF(AND(OR(ISNUMBER(C74),C74="N/A"),OR(ISNUMBER(D74),D74="N/A"),OR(ISNUMBER(C74),ISNUMBER(D74))),N(C74)+N(D74),"To Verify"))</f>
        <v>To Verify</v>
      </c>
      <c r="F74" s="11" t="str">
        <f aca="false">IF($A74="","",IFERROR(INDEX(MASTER_DATABASE!$U$4:$U$1000,MATCH($A74,MASTER_DATABASE!$A$4:$A$1000,0)),""))</f>
        <v>To Verify</v>
      </c>
      <c r="G74" s="12"/>
      <c r="H74" s="12"/>
      <c r="I74" s="11" t="str">
        <f aca="false">IF($A74="","",IFERROR(INDEX(MASTER_DATABASE!$V$4:$V$1000,MATCH($A74,MASTER_DATABASE!$A$4:$A$1000,0)),""))</f>
        <v>No</v>
      </c>
      <c r="J74" s="6"/>
    </row>
    <row r="75" customFormat="false" ht="15" hidden="false" customHeight="false" outlineLevel="0" collapsed="false">
      <c r="A75" s="5" t="s">
        <v>952</v>
      </c>
      <c r="B75" s="7" t="str">
        <f aca="false">IF($A75="","",IFERROR(INDEX(MASTER_DATABASE!$E$4:$E$1000,MATCH($A75,MASTER_DATABASE!$A$4:$A$1000,0)),""))</f>
        <v>FINO BC – Micro ATM Cash Withdrawal</v>
      </c>
      <c r="C75" s="9" t="str">
        <f aca="false">IF($A75="","",IFERROR(INDEX(MASTER_DATABASE!$R$4:$R$1000,MATCH($A75,MASTER_DATABASE!$A$4:$A$1000,0)),""))</f>
        <v>To Verify</v>
      </c>
      <c r="D75" s="9" t="str">
        <f aca="false">IF($A75="","",IFERROR(INDEX(MASTER_DATABASE!$S$4:$S$1000,MATCH($A75,MASTER_DATABASE!$A$4:$A$1000,0)),""))</f>
        <v>To Verify</v>
      </c>
      <c r="E75" s="9" t="str">
        <f aca="false">IF($A75="","",IF(AND(OR(ISNUMBER(C75),C75="N/A"),OR(ISNUMBER(D75),D75="N/A"),OR(ISNUMBER(C75),ISNUMBER(D75))),N(C75)+N(D75),"To Verify"))</f>
        <v>To Verify</v>
      </c>
      <c r="F75" s="11" t="str">
        <f aca="false">IF($A75="","",IFERROR(INDEX(MASTER_DATABASE!$U$4:$U$1000,MATCH($A75,MASTER_DATABASE!$A$4:$A$1000,0)),""))</f>
        <v>To Verify</v>
      </c>
      <c r="G75" s="12"/>
      <c r="H75" s="12"/>
      <c r="I75" s="11" t="str">
        <f aca="false">IF($A75="","",IFERROR(INDEX(MASTER_DATABASE!$V$4:$V$1000,MATCH($A75,MASTER_DATABASE!$A$4:$A$1000,0)),""))</f>
        <v>No</v>
      </c>
      <c r="J75" s="6"/>
    </row>
    <row r="76" customFormat="false" ht="15" hidden="false" customHeight="false" outlineLevel="0" collapsed="false">
      <c r="A76" s="5" t="s">
        <v>963</v>
      </c>
      <c r="B76" s="7" t="str">
        <f aca="false">IF($A76="","",IFERROR(INDEX(MASTER_DATABASE!$E$4:$E$1000,MATCH($A76,MASTER_DATABASE!$A$4:$A$1000,0)),""))</f>
        <v>FINO BC – Money Transfer (Domestic)</v>
      </c>
      <c r="C76" s="9" t="str">
        <f aca="false">IF($A76="","",IFERROR(INDEX(MASTER_DATABASE!$R$4:$R$1000,MATCH($A76,MASTER_DATABASE!$A$4:$A$1000,0)),""))</f>
        <v>To Verify</v>
      </c>
      <c r="D76" s="9" t="str">
        <f aca="false">IF($A76="","",IFERROR(INDEX(MASTER_DATABASE!$S$4:$S$1000,MATCH($A76,MASTER_DATABASE!$A$4:$A$1000,0)),""))</f>
        <v>To Verify</v>
      </c>
      <c r="E76" s="9" t="str">
        <f aca="false">IF($A76="","",IF(AND(OR(ISNUMBER(C76),C76="N/A"),OR(ISNUMBER(D76),D76="N/A"),OR(ISNUMBER(C76),ISNUMBER(D76))),N(C76)+N(D76),"To Verify"))</f>
        <v>To Verify</v>
      </c>
      <c r="F76" s="11" t="str">
        <f aca="false">IF($A76="","",IFERROR(INDEX(MASTER_DATABASE!$U$4:$U$1000,MATCH($A76,MASTER_DATABASE!$A$4:$A$1000,0)),""))</f>
        <v>To Verify</v>
      </c>
      <c r="G76" s="12"/>
      <c r="H76" s="12"/>
      <c r="I76" s="11" t="str">
        <f aca="false">IF($A76="","",IFERROR(INDEX(MASTER_DATABASE!$V$4:$V$1000,MATCH($A76,MASTER_DATABASE!$A$4:$A$1000,0)),""))</f>
        <v>No</v>
      </c>
      <c r="J76" s="6"/>
    </row>
    <row r="77" customFormat="false" ht="15" hidden="false" customHeight="false" outlineLevel="0" collapsed="false">
      <c r="A77" s="5" t="s">
        <v>973</v>
      </c>
      <c r="B77" s="7" t="str">
        <f aca="false">IF($A77="","",IFERROR(INDEX(MASTER_DATABASE!$E$4:$E$1000,MATCH($A77,MASTER_DATABASE!$A$4:$A$1000,0)),""))</f>
        <v>FINO BC – New Account Opening Assistance</v>
      </c>
      <c r="C77" s="9" t="str">
        <f aca="false">IF($A77="","",IFERROR(INDEX(MASTER_DATABASE!$R$4:$R$1000,MATCH($A77,MASTER_DATABASE!$A$4:$A$1000,0)),""))</f>
        <v>To Verify</v>
      </c>
      <c r="D77" s="9" t="str">
        <f aca="false">IF($A77="","",IFERROR(INDEX(MASTER_DATABASE!$S$4:$S$1000,MATCH($A77,MASTER_DATABASE!$A$4:$A$1000,0)),""))</f>
        <v>To Verify</v>
      </c>
      <c r="E77" s="9" t="str">
        <f aca="false">IF($A77="","",IF(AND(OR(ISNUMBER(C77),C77="N/A"),OR(ISNUMBER(D77),D77="N/A"),OR(ISNUMBER(C77),ISNUMBER(D77))),N(C77)+N(D77),"To Verify"))</f>
        <v>To Verify</v>
      </c>
      <c r="F77" s="11" t="str">
        <f aca="false">IF($A77="","",IFERROR(INDEX(MASTER_DATABASE!$U$4:$U$1000,MATCH($A77,MASTER_DATABASE!$A$4:$A$1000,0)),""))</f>
        <v>To Verify</v>
      </c>
      <c r="G77" s="12"/>
      <c r="H77" s="12"/>
      <c r="I77" s="11" t="str">
        <f aca="false">IF($A77="","",IFERROR(INDEX(MASTER_DATABASE!$V$4:$V$1000,MATCH($A77,MASTER_DATABASE!$A$4:$A$1000,0)),""))</f>
        <v>No</v>
      </c>
      <c r="J77" s="6"/>
    </row>
    <row r="78" customFormat="false" ht="15" hidden="false" customHeight="false" outlineLevel="0" collapsed="false">
      <c r="A78" s="5" t="s">
        <v>983</v>
      </c>
      <c r="B78" s="7" t="str">
        <f aca="false">IF($A78="","",IFERROR(INDEX(MASTER_DATABASE!$E$4:$E$1000,MATCH($A78,MASTER_DATABASE!$A$4:$A$1000,0)),""))</f>
        <v>FINO BC – Account Mobile Number Update</v>
      </c>
      <c r="C78" s="9" t="str">
        <f aca="false">IF($A78="","",IFERROR(INDEX(MASTER_DATABASE!$R$4:$R$1000,MATCH($A78,MASTER_DATABASE!$A$4:$A$1000,0)),""))</f>
        <v>To Verify</v>
      </c>
      <c r="D78" s="9" t="str">
        <f aca="false">IF($A78="","",IFERROR(INDEX(MASTER_DATABASE!$S$4:$S$1000,MATCH($A78,MASTER_DATABASE!$A$4:$A$1000,0)),""))</f>
        <v>To Verify</v>
      </c>
      <c r="E78" s="9" t="str">
        <f aca="false">IF($A78="","",IF(AND(OR(ISNUMBER(C78),C78="N/A"),OR(ISNUMBER(D78),D78="N/A"),OR(ISNUMBER(C78),ISNUMBER(D78))),N(C78)+N(D78),"To Verify"))</f>
        <v>To Verify</v>
      </c>
      <c r="F78" s="11" t="str">
        <f aca="false">IF($A78="","",IFERROR(INDEX(MASTER_DATABASE!$U$4:$U$1000,MATCH($A78,MASTER_DATABASE!$A$4:$A$1000,0)),""))</f>
        <v>To Verify</v>
      </c>
      <c r="G78" s="12"/>
      <c r="H78" s="12"/>
      <c r="I78" s="11" t="str">
        <f aca="false">IF($A78="","",IFERROR(INDEX(MASTER_DATABASE!$V$4:$V$1000,MATCH($A78,MASTER_DATABASE!$A$4:$A$1000,0)),""))</f>
        <v>No</v>
      </c>
      <c r="J78" s="6"/>
    </row>
    <row r="79" customFormat="false" ht="15" hidden="false" customHeight="false" outlineLevel="0" collapsed="false">
      <c r="A79" s="5" t="s">
        <v>994</v>
      </c>
      <c r="B79" s="7" t="str">
        <f aca="false">IF($A79="","",IFERROR(INDEX(MASTER_DATABASE!$E$4:$E$1000,MATCH($A79,MASTER_DATABASE!$A$4:$A$1000,0)),""))</f>
        <v>FINO BC – KYC Document Collection / Update</v>
      </c>
      <c r="C79" s="9" t="str">
        <f aca="false">IF($A79="","",IFERROR(INDEX(MASTER_DATABASE!$R$4:$R$1000,MATCH($A79,MASTER_DATABASE!$A$4:$A$1000,0)),""))</f>
        <v>To Verify</v>
      </c>
      <c r="D79" s="9" t="str">
        <f aca="false">IF($A79="","",IFERROR(INDEX(MASTER_DATABASE!$S$4:$S$1000,MATCH($A79,MASTER_DATABASE!$A$4:$A$1000,0)),""))</f>
        <v>To Verify</v>
      </c>
      <c r="E79" s="9" t="str">
        <f aca="false">IF($A79="","",IF(AND(OR(ISNUMBER(C79),C79="N/A"),OR(ISNUMBER(D79),D79="N/A"),OR(ISNUMBER(C79),ISNUMBER(D79))),N(C79)+N(D79),"To Verify"))</f>
        <v>To Verify</v>
      </c>
      <c r="F79" s="11" t="str">
        <f aca="false">IF($A79="","",IFERROR(INDEX(MASTER_DATABASE!$U$4:$U$1000,MATCH($A79,MASTER_DATABASE!$A$4:$A$1000,0)),""))</f>
        <v>To Verify</v>
      </c>
      <c r="G79" s="12"/>
      <c r="H79" s="12"/>
      <c r="I79" s="11" t="str">
        <f aca="false">IF($A79="","",IFERROR(INDEX(MASTER_DATABASE!$V$4:$V$1000,MATCH($A79,MASTER_DATABASE!$A$4:$A$1000,0)),""))</f>
        <v>No</v>
      </c>
      <c r="J79" s="6"/>
    </row>
    <row r="80" customFormat="false" ht="15" hidden="false" customHeight="false" outlineLevel="0" collapsed="false">
      <c r="A80" s="5" t="s">
        <v>1003</v>
      </c>
      <c r="B80" s="7" t="str">
        <f aca="false">IF($A80="","",IFERROR(INDEX(MASTER_DATABASE!$E$4:$E$1000,MATCH($A80,MASTER_DATABASE!$A$4:$A$1000,0)),""))</f>
        <v>FINO BC – Account Query / Complaint Assistance</v>
      </c>
      <c r="C80" s="9" t="str">
        <f aca="false">IF($A80="","",IFERROR(INDEX(MASTER_DATABASE!$R$4:$R$1000,MATCH($A80,MASTER_DATABASE!$A$4:$A$1000,0)),""))</f>
        <v>To Verify</v>
      </c>
      <c r="D80" s="9" t="str">
        <f aca="false">IF($A80="","",IFERROR(INDEX(MASTER_DATABASE!$S$4:$S$1000,MATCH($A80,MASTER_DATABASE!$A$4:$A$1000,0)),""))</f>
        <v>To Verify</v>
      </c>
      <c r="E80" s="9" t="str">
        <f aca="false">IF($A80="","",IF(AND(OR(ISNUMBER(C80),C80="N/A"),OR(ISNUMBER(D80),D80="N/A"),OR(ISNUMBER(C80),ISNUMBER(D80))),N(C80)+N(D80),"To Verify"))</f>
        <v>To Verify</v>
      </c>
      <c r="F80" s="11" t="str">
        <f aca="false">IF($A80="","",IFERROR(INDEX(MASTER_DATABASE!$U$4:$U$1000,MATCH($A80,MASTER_DATABASE!$A$4:$A$1000,0)),""))</f>
        <v>To Verify</v>
      </c>
      <c r="G80" s="12"/>
      <c r="H80" s="12"/>
      <c r="I80" s="11" t="str">
        <f aca="false">IF($A80="","",IFERROR(INDEX(MASTER_DATABASE!$V$4:$V$1000,MATCH($A80,MASTER_DATABASE!$A$4:$A$1000,0)),""))</f>
        <v>No</v>
      </c>
      <c r="J80" s="6"/>
    </row>
    <row r="81" customFormat="false" ht="15" hidden="false" customHeight="false" outlineLevel="0" collapsed="false">
      <c r="A81" s="5" t="s">
        <v>1014</v>
      </c>
      <c r="B81" s="7" t="str">
        <f aca="false">IF($A81="","",IFERROR(INDEX(MASTER_DATABASE!$E$4:$E$1000,MATCH($A81,MASTER_DATABASE!$A$4:$A$1000,0)),""))</f>
        <v>FINO BC – Payment Services (via FINO)</v>
      </c>
      <c r="C81" s="9" t="str">
        <f aca="false">IF($A81="","",IFERROR(INDEX(MASTER_DATABASE!$R$4:$R$1000,MATCH($A81,MASTER_DATABASE!$A$4:$A$1000,0)),""))</f>
        <v>To Verify</v>
      </c>
      <c r="D81" s="9" t="str">
        <f aca="false">IF($A81="","",IFERROR(INDEX(MASTER_DATABASE!$S$4:$S$1000,MATCH($A81,MASTER_DATABASE!$A$4:$A$1000,0)),""))</f>
        <v>To Verify</v>
      </c>
      <c r="E81" s="9" t="str">
        <f aca="false">IF($A81="","",IF(AND(OR(ISNUMBER(C81),C81="N/A"),OR(ISNUMBER(D81),D81="N/A"),OR(ISNUMBER(C81),ISNUMBER(D81))),N(C81)+N(D81),"To Verify"))</f>
        <v>To Verify</v>
      </c>
      <c r="F81" s="11" t="str">
        <f aca="false">IF($A81="","",IFERROR(INDEX(MASTER_DATABASE!$U$4:$U$1000,MATCH($A81,MASTER_DATABASE!$A$4:$A$1000,0)),""))</f>
        <v>To Verify</v>
      </c>
      <c r="G81" s="12"/>
      <c r="H81" s="12"/>
      <c r="I81" s="11" t="str">
        <f aca="false">IF($A81="","",IFERROR(INDEX(MASTER_DATABASE!$V$4:$V$1000,MATCH($A81,MASTER_DATABASE!$A$4:$A$1000,0)),""))</f>
        <v>No</v>
      </c>
      <c r="J81" s="6"/>
    </row>
    <row r="82" customFormat="false" ht="15" hidden="false" customHeight="false" outlineLevel="0" collapsed="false">
      <c r="A82" s="5" t="s">
        <v>1028</v>
      </c>
      <c r="B82" s="7" t="str">
        <f aca="false">IF($A82="","",IFERROR(INDEX(MASTER_DATABASE!$E$4:$E$1000,MATCH($A82,MASTER_DATABASE!$A$4:$A$1000,0)),""))</f>
        <v>Income Certificate – Application</v>
      </c>
      <c r="C82" s="9" t="str">
        <f aca="false">IF($A82="","",IFERROR(INDEX(MASTER_DATABASE!$R$4:$R$1000,MATCH($A82,MASTER_DATABASE!$A$4:$A$1000,0)),""))</f>
        <v>To Verify</v>
      </c>
      <c r="D82" s="9" t="str">
        <f aca="false">IF($A82="","",IFERROR(INDEX(MASTER_DATABASE!$S$4:$S$1000,MATCH($A82,MASTER_DATABASE!$A$4:$A$1000,0)),""))</f>
        <v>To Verify</v>
      </c>
      <c r="E82" s="9" t="str">
        <f aca="false">IF($A82="","",IF(AND(OR(ISNUMBER(C82),C82="N/A"),OR(ISNUMBER(D82),D82="N/A"),OR(ISNUMBER(C82),ISNUMBER(D82))),N(C82)+N(D82),"To Verify"))</f>
        <v>To Verify</v>
      </c>
      <c r="F82" s="11" t="str">
        <f aca="false">IF($A82="","",IFERROR(INDEX(MASTER_DATABASE!$U$4:$U$1000,MATCH($A82,MASTER_DATABASE!$A$4:$A$1000,0)),""))</f>
        <v>To Verify</v>
      </c>
      <c r="G82" s="12"/>
      <c r="H82" s="12"/>
      <c r="I82" s="11" t="str">
        <f aca="false">IF($A82="","",IFERROR(INDEX(MASTER_DATABASE!$V$4:$V$1000,MATCH($A82,MASTER_DATABASE!$A$4:$A$1000,0)),""))</f>
        <v>No</v>
      </c>
      <c r="J82" s="6"/>
    </row>
    <row r="83" customFormat="false" ht="15" hidden="false" customHeight="false" outlineLevel="0" collapsed="false">
      <c r="A83" s="5" t="s">
        <v>1047</v>
      </c>
      <c r="B83" s="7" t="str">
        <f aca="false">IF($A83="","",IFERROR(INDEX(MASTER_DATABASE!$E$4:$E$1000,MATCH($A83,MASTER_DATABASE!$A$4:$A$1000,0)),""))</f>
        <v>Caste Certificate – Application</v>
      </c>
      <c r="C83" s="9" t="str">
        <f aca="false">IF($A83="","",IFERROR(INDEX(MASTER_DATABASE!$R$4:$R$1000,MATCH($A83,MASTER_DATABASE!$A$4:$A$1000,0)),""))</f>
        <v>To Verify</v>
      </c>
      <c r="D83" s="9" t="str">
        <f aca="false">IF($A83="","",IFERROR(INDEX(MASTER_DATABASE!$S$4:$S$1000,MATCH($A83,MASTER_DATABASE!$A$4:$A$1000,0)),""))</f>
        <v>To Verify</v>
      </c>
      <c r="E83" s="9" t="str">
        <f aca="false">IF($A83="","",IF(AND(OR(ISNUMBER(C83),C83="N/A"),OR(ISNUMBER(D83),D83="N/A"),OR(ISNUMBER(C83),ISNUMBER(D83))),N(C83)+N(D83),"To Verify"))</f>
        <v>To Verify</v>
      </c>
      <c r="F83" s="11" t="str">
        <f aca="false">IF($A83="","",IFERROR(INDEX(MASTER_DATABASE!$U$4:$U$1000,MATCH($A83,MASTER_DATABASE!$A$4:$A$1000,0)),""))</f>
        <v>To Verify</v>
      </c>
      <c r="G83" s="12"/>
      <c r="H83" s="12"/>
      <c r="I83" s="11" t="str">
        <f aca="false">IF($A83="","",IFERROR(INDEX(MASTER_DATABASE!$V$4:$V$1000,MATCH($A83,MASTER_DATABASE!$A$4:$A$1000,0)),""))</f>
        <v>No</v>
      </c>
      <c r="J83" s="6"/>
    </row>
    <row r="84" customFormat="false" ht="15" hidden="false" customHeight="false" outlineLevel="0" collapsed="false">
      <c r="A84" s="5" t="s">
        <v>1059</v>
      </c>
      <c r="B84" s="7" t="str">
        <f aca="false">IF($A84="","",IFERROR(INDEX(MASTER_DATABASE!$E$4:$E$1000,MATCH($A84,MASTER_DATABASE!$A$4:$A$1000,0)),""))</f>
        <v>Residence Certificate – Application</v>
      </c>
      <c r="C84" s="9" t="str">
        <f aca="false">IF($A84="","",IFERROR(INDEX(MASTER_DATABASE!$R$4:$R$1000,MATCH($A84,MASTER_DATABASE!$A$4:$A$1000,0)),""))</f>
        <v>To Verify</v>
      </c>
      <c r="D84" s="9" t="str">
        <f aca="false">IF($A84="","",IFERROR(INDEX(MASTER_DATABASE!$S$4:$S$1000,MATCH($A84,MASTER_DATABASE!$A$4:$A$1000,0)),""))</f>
        <v>To Verify</v>
      </c>
      <c r="E84" s="9" t="str">
        <f aca="false">IF($A84="","",IF(AND(OR(ISNUMBER(C84),C84="N/A"),OR(ISNUMBER(D84),D84="N/A"),OR(ISNUMBER(C84),ISNUMBER(D84))),N(C84)+N(D84),"To Verify"))</f>
        <v>To Verify</v>
      </c>
      <c r="F84" s="11" t="str">
        <f aca="false">IF($A84="","",IFERROR(INDEX(MASTER_DATABASE!$U$4:$U$1000,MATCH($A84,MASTER_DATABASE!$A$4:$A$1000,0)),""))</f>
        <v>To Verify</v>
      </c>
      <c r="G84" s="12"/>
      <c r="H84" s="12"/>
      <c r="I84" s="11" t="str">
        <f aca="false">IF($A84="","",IFERROR(INDEX(MASTER_DATABASE!$V$4:$V$1000,MATCH($A84,MASTER_DATABASE!$A$4:$A$1000,0)),""))</f>
        <v>No</v>
      </c>
      <c r="J84" s="6"/>
    </row>
    <row r="85" customFormat="false" ht="15" hidden="false" customHeight="false" outlineLevel="0" collapsed="false">
      <c r="A85" s="5" t="s">
        <v>1071</v>
      </c>
      <c r="B85" s="7" t="str">
        <f aca="false">IF($A85="","",IFERROR(INDEX(MASTER_DATABASE!$E$4:$E$1000,MATCH($A85,MASTER_DATABASE!$A$4:$A$1000,0)),""))</f>
        <v>EWS Certificate – Application</v>
      </c>
      <c r="C85" s="9" t="str">
        <f aca="false">IF($A85="","",IFERROR(INDEX(MASTER_DATABASE!$R$4:$R$1000,MATCH($A85,MASTER_DATABASE!$A$4:$A$1000,0)),""))</f>
        <v>To Verify</v>
      </c>
      <c r="D85" s="9" t="str">
        <f aca="false">IF($A85="","",IFERROR(INDEX(MASTER_DATABASE!$S$4:$S$1000,MATCH($A85,MASTER_DATABASE!$A$4:$A$1000,0)),""))</f>
        <v>To Verify</v>
      </c>
      <c r="E85" s="9" t="str">
        <f aca="false">IF($A85="","",IF(AND(OR(ISNUMBER(C85),C85="N/A"),OR(ISNUMBER(D85),D85="N/A"),OR(ISNUMBER(C85),ISNUMBER(D85))),N(C85)+N(D85),"To Verify"))</f>
        <v>To Verify</v>
      </c>
      <c r="F85" s="11" t="str">
        <f aca="false">IF($A85="","",IFERROR(INDEX(MASTER_DATABASE!$U$4:$U$1000,MATCH($A85,MASTER_DATABASE!$A$4:$A$1000,0)),""))</f>
        <v>To Verify</v>
      </c>
      <c r="G85" s="12"/>
      <c r="H85" s="12"/>
      <c r="I85" s="11" t="str">
        <f aca="false">IF($A85="","",IFERROR(INDEX(MASTER_DATABASE!$V$4:$V$1000,MATCH($A85,MASTER_DATABASE!$A$4:$A$1000,0)),""))</f>
        <v>No</v>
      </c>
      <c r="J85" s="6"/>
    </row>
    <row r="86" customFormat="false" ht="23.85" hidden="false" customHeight="false" outlineLevel="0" collapsed="false">
      <c r="A86" s="5" t="s">
        <v>1083</v>
      </c>
      <c r="B86" s="7" t="str">
        <f aca="false">IF($A86="","",IFERROR(INDEX(MASTER_DATABASE!$E$4:$E$1000,MATCH($A86,MASTER_DATABASE!$A$4:$A$1000,0)),""))</f>
        <v>Non-Creamy Layer (OBC / EBC) Certificate – Application</v>
      </c>
      <c r="C86" s="9" t="str">
        <f aca="false">IF($A86="","",IFERROR(INDEX(MASTER_DATABASE!$R$4:$R$1000,MATCH($A86,MASTER_DATABASE!$A$4:$A$1000,0)),""))</f>
        <v>To Verify</v>
      </c>
      <c r="D86" s="9" t="str">
        <f aca="false">IF($A86="","",IFERROR(INDEX(MASTER_DATABASE!$S$4:$S$1000,MATCH($A86,MASTER_DATABASE!$A$4:$A$1000,0)),""))</f>
        <v>To Verify</v>
      </c>
      <c r="E86" s="9" t="str">
        <f aca="false">IF($A86="","",IF(AND(OR(ISNUMBER(C86),C86="N/A"),OR(ISNUMBER(D86),D86="N/A"),OR(ISNUMBER(C86),ISNUMBER(D86))),N(C86)+N(D86),"To Verify"))</f>
        <v>To Verify</v>
      </c>
      <c r="F86" s="11" t="str">
        <f aca="false">IF($A86="","",IFERROR(INDEX(MASTER_DATABASE!$U$4:$U$1000,MATCH($A86,MASTER_DATABASE!$A$4:$A$1000,0)),""))</f>
        <v>To Verify</v>
      </c>
      <c r="G86" s="12"/>
      <c r="H86" s="12"/>
      <c r="I86" s="11" t="str">
        <f aca="false">IF($A86="","",IFERROR(INDEX(MASTER_DATABASE!$V$4:$V$1000,MATCH($A86,MASTER_DATABASE!$A$4:$A$1000,0)),""))</f>
        <v>No</v>
      </c>
      <c r="J86" s="6"/>
    </row>
    <row r="87" customFormat="false" ht="15" hidden="false" customHeight="false" outlineLevel="0" collapsed="false">
      <c r="A87" s="5" t="s">
        <v>1095</v>
      </c>
      <c r="B87" s="7" t="str">
        <f aca="false">IF($A87="","",IFERROR(INDEX(MASTER_DATABASE!$E$4:$E$1000,MATCH($A87,MASTER_DATABASE!$A$4:$A$1000,0)),""))</f>
        <v>Birth Certificate – Application</v>
      </c>
      <c r="C87" s="9" t="str">
        <f aca="false">IF($A87="","",IFERROR(INDEX(MASTER_DATABASE!$R$4:$R$1000,MATCH($A87,MASTER_DATABASE!$A$4:$A$1000,0)),""))</f>
        <v>To Verify</v>
      </c>
      <c r="D87" s="9" t="str">
        <f aca="false">IF($A87="","",IFERROR(INDEX(MASTER_DATABASE!$S$4:$S$1000,MATCH($A87,MASTER_DATABASE!$A$4:$A$1000,0)),""))</f>
        <v>To Verify</v>
      </c>
      <c r="E87" s="9" t="str">
        <f aca="false">IF($A87="","",IF(AND(OR(ISNUMBER(C87),C87="N/A"),OR(ISNUMBER(D87),D87="N/A"),OR(ISNUMBER(C87),ISNUMBER(D87))),N(C87)+N(D87),"To Verify"))</f>
        <v>To Verify</v>
      </c>
      <c r="F87" s="11" t="str">
        <f aca="false">IF($A87="","",IFERROR(INDEX(MASTER_DATABASE!$U$4:$U$1000,MATCH($A87,MASTER_DATABASE!$A$4:$A$1000,0)),""))</f>
        <v>To Verify</v>
      </c>
      <c r="G87" s="12"/>
      <c r="H87" s="12"/>
      <c r="I87" s="11" t="str">
        <f aca="false">IF($A87="","",IFERROR(INDEX(MASTER_DATABASE!$V$4:$V$1000,MATCH($A87,MASTER_DATABASE!$A$4:$A$1000,0)),""))</f>
        <v>No</v>
      </c>
      <c r="J87" s="6"/>
    </row>
    <row r="88" customFormat="false" ht="15" hidden="false" customHeight="false" outlineLevel="0" collapsed="false">
      <c r="A88" s="5" t="s">
        <v>1107</v>
      </c>
      <c r="B88" s="7" t="str">
        <f aca="false">IF($A88="","",IFERROR(INDEX(MASTER_DATABASE!$E$4:$E$1000,MATCH($A88,MASTER_DATABASE!$A$4:$A$1000,0)),""))</f>
        <v>Death Certificate – Application</v>
      </c>
      <c r="C88" s="9" t="str">
        <f aca="false">IF($A88="","",IFERROR(INDEX(MASTER_DATABASE!$R$4:$R$1000,MATCH($A88,MASTER_DATABASE!$A$4:$A$1000,0)),""))</f>
        <v>To Verify</v>
      </c>
      <c r="D88" s="9" t="str">
        <f aca="false">IF($A88="","",IFERROR(INDEX(MASTER_DATABASE!$S$4:$S$1000,MATCH($A88,MASTER_DATABASE!$A$4:$A$1000,0)),""))</f>
        <v>To Verify</v>
      </c>
      <c r="E88" s="9" t="str">
        <f aca="false">IF($A88="","",IF(AND(OR(ISNUMBER(C88),C88="N/A"),OR(ISNUMBER(D88),D88="N/A"),OR(ISNUMBER(C88),ISNUMBER(D88))),N(C88)+N(D88),"To Verify"))</f>
        <v>To Verify</v>
      </c>
      <c r="F88" s="11" t="str">
        <f aca="false">IF($A88="","",IFERROR(INDEX(MASTER_DATABASE!$U$4:$U$1000,MATCH($A88,MASTER_DATABASE!$A$4:$A$1000,0)),""))</f>
        <v>To Verify</v>
      </c>
      <c r="G88" s="12"/>
      <c r="H88" s="12"/>
      <c r="I88" s="11" t="str">
        <f aca="false">IF($A88="","",IFERROR(INDEX(MASTER_DATABASE!$V$4:$V$1000,MATCH($A88,MASTER_DATABASE!$A$4:$A$1000,0)),""))</f>
        <v>No</v>
      </c>
      <c r="J88" s="6"/>
    </row>
    <row r="89" customFormat="false" ht="15" hidden="false" customHeight="false" outlineLevel="0" collapsed="false">
      <c r="A89" s="5" t="s">
        <v>1119</v>
      </c>
      <c r="B89" s="7" t="str">
        <f aca="false">IF($A89="","",IFERROR(INDEX(MASTER_DATABASE!$E$4:$E$1000,MATCH($A89,MASTER_DATABASE!$A$4:$A$1000,0)),""))</f>
        <v>Marriage Registration / Certificate – Application</v>
      </c>
      <c r="C89" s="9" t="str">
        <f aca="false">IF($A89="","",IFERROR(INDEX(MASTER_DATABASE!$R$4:$R$1000,MATCH($A89,MASTER_DATABASE!$A$4:$A$1000,0)),""))</f>
        <v>To Verify</v>
      </c>
      <c r="D89" s="9" t="str">
        <f aca="false">IF($A89="","",IFERROR(INDEX(MASTER_DATABASE!$S$4:$S$1000,MATCH($A89,MASTER_DATABASE!$A$4:$A$1000,0)),""))</f>
        <v>To Verify</v>
      </c>
      <c r="E89" s="9" t="str">
        <f aca="false">IF($A89="","",IF(AND(OR(ISNUMBER(C89),C89="N/A"),OR(ISNUMBER(D89),D89="N/A"),OR(ISNUMBER(C89),ISNUMBER(D89))),N(C89)+N(D89),"To Verify"))</f>
        <v>To Verify</v>
      </c>
      <c r="F89" s="11" t="str">
        <f aca="false">IF($A89="","",IFERROR(INDEX(MASTER_DATABASE!$U$4:$U$1000,MATCH($A89,MASTER_DATABASE!$A$4:$A$1000,0)),""))</f>
        <v>To Verify</v>
      </c>
      <c r="G89" s="12"/>
      <c r="H89" s="12"/>
      <c r="I89" s="11" t="str">
        <f aca="false">IF($A89="","",IFERROR(INDEX(MASTER_DATABASE!$V$4:$V$1000,MATCH($A89,MASTER_DATABASE!$A$4:$A$1000,0)),""))</f>
        <v>No</v>
      </c>
      <c r="J89" s="6"/>
    </row>
    <row r="90" customFormat="false" ht="15" hidden="false" customHeight="false" outlineLevel="0" collapsed="false">
      <c r="A90" s="5" t="s">
        <v>1131</v>
      </c>
      <c r="B90" s="7" t="str">
        <f aca="false">IF($A90="","",IFERROR(INDEX(MASTER_DATABASE!$E$4:$E$1000,MATCH($A90,MASTER_DATABASE!$A$4:$A$1000,0)),""))</f>
        <v>Character Certificate – Application</v>
      </c>
      <c r="C90" s="9" t="str">
        <f aca="false">IF($A90="","",IFERROR(INDEX(MASTER_DATABASE!$R$4:$R$1000,MATCH($A90,MASTER_DATABASE!$A$4:$A$1000,0)),""))</f>
        <v>To Verify</v>
      </c>
      <c r="D90" s="9" t="str">
        <f aca="false">IF($A90="","",IFERROR(INDEX(MASTER_DATABASE!$S$4:$S$1000,MATCH($A90,MASTER_DATABASE!$A$4:$A$1000,0)),""))</f>
        <v>To Verify</v>
      </c>
      <c r="E90" s="9" t="str">
        <f aca="false">IF($A90="","",IF(AND(OR(ISNUMBER(C90),C90="N/A"),OR(ISNUMBER(D90),D90="N/A"),OR(ISNUMBER(C90),ISNUMBER(D90))),N(C90)+N(D90),"To Verify"))</f>
        <v>To Verify</v>
      </c>
      <c r="F90" s="11" t="str">
        <f aca="false">IF($A90="","",IFERROR(INDEX(MASTER_DATABASE!$U$4:$U$1000,MATCH($A90,MASTER_DATABASE!$A$4:$A$1000,0)),""))</f>
        <v>To Verify</v>
      </c>
      <c r="G90" s="12"/>
      <c r="H90" s="12"/>
      <c r="I90" s="11" t="str">
        <f aca="false">IF($A90="","",IFERROR(INDEX(MASTER_DATABASE!$V$4:$V$1000,MATCH($A90,MASTER_DATABASE!$A$4:$A$1000,0)),""))</f>
        <v>No</v>
      </c>
      <c r="J90" s="6"/>
    </row>
    <row r="91" customFormat="false" ht="15" hidden="false" customHeight="false" outlineLevel="0" collapsed="false">
      <c r="A91" s="5" t="s">
        <v>1143</v>
      </c>
      <c r="B91" s="7" t="str">
        <f aca="false">IF($A91="","",IFERROR(INDEX(MASTER_DATABASE!$E$4:$E$1000,MATCH($A91,MASTER_DATABASE!$A$4:$A$1000,0)),""))</f>
        <v>Certificate Correction / Re-application Assistance</v>
      </c>
      <c r="C91" s="9" t="str">
        <f aca="false">IF($A91="","",IFERROR(INDEX(MASTER_DATABASE!$R$4:$R$1000,MATCH($A91,MASTER_DATABASE!$A$4:$A$1000,0)),""))</f>
        <v>To Verify</v>
      </c>
      <c r="D91" s="9" t="str">
        <f aca="false">IF($A91="","",IFERROR(INDEX(MASTER_DATABASE!$S$4:$S$1000,MATCH($A91,MASTER_DATABASE!$A$4:$A$1000,0)),""))</f>
        <v>To Verify</v>
      </c>
      <c r="E91" s="9" t="str">
        <f aca="false">IF($A91="","",IF(AND(OR(ISNUMBER(C91),C91="N/A"),OR(ISNUMBER(D91),D91="N/A"),OR(ISNUMBER(C91),ISNUMBER(D91))),N(C91)+N(D91),"To Verify"))</f>
        <v>To Verify</v>
      </c>
      <c r="F91" s="11" t="str">
        <f aca="false">IF($A91="","",IFERROR(INDEX(MASTER_DATABASE!$U$4:$U$1000,MATCH($A91,MASTER_DATABASE!$A$4:$A$1000,0)),""))</f>
        <v>To Verify</v>
      </c>
      <c r="G91" s="12"/>
      <c r="H91" s="12"/>
      <c r="I91" s="11" t="str">
        <f aca="false">IF($A91="","",IFERROR(INDEX(MASTER_DATABASE!$V$4:$V$1000,MATCH($A91,MASTER_DATABASE!$A$4:$A$1000,0)),""))</f>
        <v>No</v>
      </c>
      <c r="J91" s="6"/>
    </row>
    <row r="92" customFormat="false" ht="15" hidden="false" customHeight="false" outlineLevel="0" collapsed="false">
      <c r="A92" s="5" t="s">
        <v>1155</v>
      </c>
      <c r="B92" s="7" t="str">
        <f aca="false">IF($A92="","",IFERROR(INDEX(MASTER_DATABASE!$E$4:$E$1000,MATCH($A92,MASTER_DATABASE!$A$4:$A$1000,0)),""))</f>
        <v>Certificate Download</v>
      </c>
      <c r="C92" s="9" t="str">
        <f aca="false">IF($A92="","",IFERROR(INDEX(MASTER_DATABASE!$R$4:$R$1000,MATCH($A92,MASTER_DATABASE!$A$4:$A$1000,0)),""))</f>
        <v>To Verify</v>
      </c>
      <c r="D92" s="9" t="str">
        <f aca="false">IF($A92="","",IFERROR(INDEX(MASTER_DATABASE!$S$4:$S$1000,MATCH($A92,MASTER_DATABASE!$A$4:$A$1000,0)),""))</f>
        <v>To Verify</v>
      </c>
      <c r="E92" s="9" t="str">
        <f aca="false">IF($A92="","",IF(AND(OR(ISNUMBER(C92),C92="N/A"),OR(ISNUMBER(D92),D92="N/A"),OR(ISNUMBER(C92),ISNUMBER(D92))),N(C92)+N(D92),"To Verify"))</f>
        <v>To Verify</v>
      </c>
      <c r="F92" s="11" t="str">
        <f aca="false">IF($A92="","",IFERROR(INDEX(MASTER_DATABASE!$U$4:$U$1000,MATCH($A92,MASTER_DATABASE!$A$4:$A$1000,0)),""))</f>
        <v>To Verify</v>
      </c>
      <c r="G92" s="12"/>
      <c r="H92" s="12"/>
      <c r="I92" s="11" t="str">
        <f aca="false">IF($A92="","",IFERROR(INDEX(MASTER_DATABASE!$V$4:$V$1000,MATCH($A92,MASTER_DATABASE!$A$4:$A$1000,0)),""))</f>
        <v>No</v>
      </c>
      <c r="J92" s="6"/>
    </row>
    <row r="93" customFormat="false" ht="15" hidden="false" customHeight="false" outlineLevel="0" collapsed="false">
      <c r="A93" s="5" t="s">
        <v>1166</v>
      </c>
      <c r="B93" s="7" t="str">
        <f aca="false">IF($A93="","",IFERROR(INDEX(MASTER_DATABASE!$E$4:$E$1000,MATCH($A93,MASTER_DATABASE!$A$4:$A$1000,0)),""))</f>
        <v>Certificate Print</v>
      </c>
      <c r="C93" s="9" t="str">
        <f aca="false">IF($A93="","",IFERROR(INDEX(MASTER_DATABASE!$R$4:$R$1000,MATCH($A93,MASTER_DATABASE!$A$4:$A$1000,0)),""))</f>
        <v>To Verify</v>
      </c>
      <c r="D93" s="9" t="str">
        <f aca="false">IF($A93="","",IFERROR(INDEX(MASTER_DATABASE!$S$4:$S$1000,MATCH($A93,MASTER_DATABASE!$A$4:$A$1000,0)),""))</f>
        <v>To Verify</v>
      </c>
      <c r="E93" s="9" t="str">
        <f aca="false">IF($A93="","",IF(AND(OR(ISNUMBER(C93),C93="N/A"),OR(ISNUMBER(D93),D93="N/A"),OR(ISNUMBER(C93),ISNUMBER(D93))),N(C93)+N(D93),"To Verify"))</f>
        <v>To Verify</v>
      </c>
      <c r="F93" s="11" t="str">
        <f aca="false">IF($A93="","",IFERROR(INDEX(MASTER_DATABASE!$U$4:$U$1000,MATCH($A93,MASTER_DATABASE!$A$4:$A$1000,0)),""))</f>
        <v>To Verify</v>
      </c>
      <c r="G93" s="12"/>
      <c r="H93" s="12"/>
      <c r="I93" s="11" t="str">
        <f aca="false">IF($A93="","",IFERROR(INDEX(MASTER_DATABASE!$V$4:$V$1000,MATCH($A93,MASTER_DATABASE!$A$4:$A$1000,0)),""))</f>
        <v>No</v>
      </c>
      <c r="J93" s="6"/>
    </row>
    <row r="94" customFormat="false" ht="15" hidden="false" customHeight="false" outlineLevel="0" collapsed="false">
      <c r="A94" s="5" t="s">
        <v>1176</v>
      </c>
      <c r="B94" s="7" t="str">
        <f aca="false">IF($A94="","",IFERROR(INDEX(MASTER_DATABASE!$E$4:$E$1000,MATCH($A94,MASTER_DATABASE!$A$4:$A$1000,0)),""))</f>
        <v>Old Age Pension – Application</v>
      </c>
      <c r="C94" s="9" t="str">
        <f aca="false">IF($A94="","",IFERROR(INDEX(MASTER_DATABASE!$R$4:$R$1000,MATCH($A94,MASTER_DATABASE!$A$4:$A$1000,0)),""))</f>
        <v>To Verify</v>
      </c>
      <c r="D94" s="9" t="str">
        <f aca="false">IF($A94="","",IFERROR(INDEX(MASTER_DATABASE!$S$4:$S$1000,MATCH($A94,MASTER_DATABASE!$A$4:$A$1000,0)),""))</f>
        <v>To Verify</v>
      </c>
      <c r="E94" s="9" t="str">
        <f aca="false">IF($A94="","",IF(AND(OR(ISNUMBER(C94),C94="N/A"),OR(ISNUMBER(D94),D94="N/A"),OR(ISNUMBER(C94),ISNUMBER(D94))),N(C94)+N(D94),"To Verify"))</f>
        <v>To Verify</v>
      </c>
      <c r="F94" s="11" t="str">
        <f aca="false">IF($A94="","",IFERROR(INDEX(MASTER_DATABASE!$U$4:$U$1000,MATCH($A94,MASTER_DATABASE!$A$4:$A$1000,0)),""))</f>
        <v>To Verify</v>
      </c>
      <c r="G94" s="12"/>
      <c r="H94" s="12"/>
      <c r="I94" s="11" t="str">
        <f aca="false">IF($A94="","",IFERROR(INDEX(MASTER_DATABASE!$V$4:$V$1000,MATCH($A94,MASTER_DATABASE!$A$4:$A$1000,0)),""))</f>
        <v>No</v>
      </c>
      <c r="J94" s="6"/>
    </row>
    <row r="95" customFormat="false" ht="15" hidden="false" customHeight="false" outlineLevel="0" collapsed="false">
      <c r="A95" s="5" t="s">
        <v>1191</v>
      </c>
      <c r="B95" s="7" t="str">
        <f aca="false">IF($A95="","",IFERROR(INDEX(MASTER_DATABASE!$E$4:$E$1000,MATCH($A95,MASTER_DATABASE!$A$4:$A$1000,0)),""))</f>
        <v>Widow Pension – Application</v>
      </c>
      <c r="C95" s="9" t="str">
        <f aca="false">IF($A95="","",IFERROR(INDEX(MASTER_DATABASE!$R$4:$R$1000,MATCH($A95,MASTER_DATABASE!$A$4:$A$1000,0)),""))</f>
        <v>To Verify</v>
      </c>
      <c r="D95" s="9" t="str">
        <f aca="false">IF($A95="","",IFERROR(INDEX(MASTER_DATABASE!$S$4:$S$1000,MATCH($A95,MASTER_DATABASE!$A$4:$A$1000,0)),""))</f>
        <v>To Verify</v>
      </c>
      <c r="E95" s="9" t="str">
        <f aca="false">IF($A95="","",IF(AND(OR(ISNUMBER(C95),C95="N/A"),OR(ISNUMBER(D95),D95="N/A"),OR(ISNUMBER(C95),ISNUMBER(D95))),N(C95)+N(D95),"To Verify"))</f>
        <v>To Verify</v>
      </c>
      <c r="F95" s="11" t="str">
        <f aca="false">IF($A95="","",IFERROR(INDEX(MASTER_DATABASE!$U$4:$U$1000,MATCH($A95,MASTER_DATABASE!$A$4:$A$1000,0)),""))</f>
        <v>To Verify</v>
      </c>
      <c r="G95" s="12"/>
      <c r="H95" s="12"/>
      <c r="I95" s="11" t="str">
        <f aca="false">IF($A95="","",IFERROR(INDEX(MASTER_DATABASE!$V$4:$V$1000,MATCH($A95,MASTER_DATABASE!$A$4:$A$1000,0)),""))</f>
        <v>No</v>
      </c>
      <c r="J95" s="6"/>
    </row>
    <row r="96" customFormat="false" ht="15" hidden="false" customHeight="false" outlineLevel="0" collapsed="false">
      <c r="A96" s="5" t="s">
        <v>1201</v>
      </c>
      <c r="B96" s="7" t="str">
        <f aca="false">IF($A96="","",IFERROR(INDEX(MASTER_DATABASE!$E$4:$E$1000,MATCH($A96,MASTER_DATABASE!$A$4:$A$1000,0)),""))</f>
        <v>Divyang (Disability) Pension – Application</v>
      </c>
      <c r="C96" s="9" t="str">
        <f aca="false">IF($A96="","",IFERROR(INDEX(MASTER_DATABASE!$R$4:$R$1000,MATCH($A96,MASTER_DATABASE!$A$4:$A$1000,0)),""))</f>
        <v>To Verify</v>
      </c>
      <c r="D96" s="9" t="str">
        <f aca="false">IF($A96="","",IFERROR(INDEX(MASTER_DATABASE!$S$4:$S$1000,MATCH($A96,MASTER_DATABASE!$A$4:$A$1000,0)),""))</f>
        <v>To Verify</v>
      </c>
      <c r="E96" s="9" t="str">
        <f aca="false">IF($A96="","",IF(AND(OR(ISNUMBER(C96),C96="N/A"),OR(ISNUMBER(D96),D96="N/A"),OR(ISNUMBER(C96),ISNUMBER(D96))),N(C96)+N(D96),"To Verify"))</f>
        <v>To Verify</v>
      </c>
      <c r="F96" s="11" t="str">
        <f aca="false">IF($A96="","",IFERROR(INDEX(MASTER_DATABASE!$U$4:$U$1000,MATCH($A96,MASTER_DATABASE!$A$4:$A$1000,0)),""))</f>
        <v>To Verify</v>
      </c>
      <c r="G96" s="12"/>
      <c r="H96" s="12"/>
      <c r="I96" s="11" t="str">
        <f aca="false">IF($A96="","",IFERROR(INDEX(MASTER_DATABASE!$V$4:$V$1000,MATCH($A96,MASTER_DATABASE!$A$4:$A$1000,0)),""))</f>
        <v>No</v>
      </c>
      <c r="J96" s="6"/>
    </row>
    <row r="97" customFormat="false" ht="15" hidden="false" customHeight="false" outlineLevel="0" collapsed="false">
      <c r="A97" s="5" t="s">
        <v>1211</v>
      </c>
      <c r="B97" s="7" t="str">
        <f aca="false">IF($A97="","",IFERROR(INDEX(MASTER_DATABASE!$E$4:$E$1000,MATCH($A97,MASTER_DATABASE!$A$4:$A$1000,0)),""))</f>
        <v>Government Scheme Application – General</v>
      </c>
      <c r="C97" s="9" t="str">
        <f aca="false">IF($A97="","",IFERROR(INDEX(MASTER_DATABASE!$R$4:$R$1000,MATCH($A97,MASTER_DATABASE!$A$4:$A$1000,0)),""))</f>
        <v>To Verify</v>
      </c>
      <c r="D97" s="9" t="str">
        <f aca="false">IF($A97="","",IFERROR(INDEX(MASTER_DATABASE!$S$4:$S$1000,MATCH($A97,MASTER_DATABASE!$A$4:$A$1000,0)),""))</f>
        <v>To Verify</v>
      </c>
      <c r="E97" s="9" t="str">
        <f aca="false">IF($A97="","",IF(AND(OR(ISNUMBER(C97),C97="N/A"),OR(ISNUMBER(D97),D97="N/A"),OR(ISNUMBER(C97),ISNUMBER(D97))),N(C97)+N(D97),"To Verify"))</f>
        <v>To Verify</v>
      </c>
      <c r="F97" s="11" t="str">
        <f aca="false">IF($A97="","",IFERROR(INDEX(MASTER_DATABASE!$U$4:$U$1000,MATCH($A97,MASTER_DATABASE!$A$4:$A$1000,0)),""))</f>
        <v>To Verify</v>
      </c>
      <c r="G97" s="12"/>
      <c r="H97" s="12"/>
      <c r="I97" s="11" t="str">
        <f aca="false">IF($A97="","",IFERROR(INDEX(MASTER_DATABASE!$V$4:$V$1000,MATCH($A97,MASTER_DATABASE!$A$4:$A$1000,0)),""))</f>
        <v>No</v>
      </c>
      <c r="J97" s="6"/>
    </row>
    <row r="98" customFormat="false" ht="15" hidden="false" customHeight="false" outlineLevel="0" collapsed="false">
      <c r="A98" s="5" t="s">
        <v>1223</v>
      </c>
      <c r="B98" s="7" t="str">
        <f aca="false">IF($A98="","",IFERROR(INDEX(MASTER_DATABASE!$E$4:$E$1000,MATCH($A98,MASTER_DATABASE!$A$4:$A$1000,0)),""))</f>
        <v>Ration Card – New Application</v>
      </c>
      <c r="C98" s="9" t="str">
        <f aca="false">IF($A98="","",IFERROR(INDEX(MASTER_DATABASE!$R$4:$R$1000,MATCH($A98,MASTER_DATABASE!$A$4:$A$1000,0)),""))</f>
        <v>To Verify</v>
      </c>
      <c r="D98" s="9" t="str">
        <f aca="false">IF($A98="","",IFERROR(INDEX(MASTER_DATABASE!$S$4:$S$1000,MATCH($A98,MASTER_DATABASE!$A$4:$A$1000,0)),""))</f>
        <v>To Verify</v>
      </c>
      <c r="E98" s="9" t="str">
        <f aca="false">IF($A98="","",IF(AND(OR(ISNUMBER(C98),C98="N/A"),OR(ISNUMBER(D98),D98="N/A"),OR(ISNUMBER(C98),ISNUMBER(D98))),N(C98)+N(D98),"To Verify"))</f>
        <v>To Verify</v>
      </c>
      <c r="F98" s="11" t="str">
        <f aca="false">IF($A98="","",IFERROR(INDEX(MASTER_DATABASE!$U$4:$U$1000,MATCH($A98,MASTER_DATABASE!$A$4:$A$1000,0)),""))</f>
        <v>To Verify</v>
      </c>
      <c r="G98" s="12"/>
      <c r="H98" s="12"/>
      <c r="I98" s="11" t="str">
        <f aca="false">IF($A98="","",IFERROR(INDEX(MASTER_DATABASE!$V$4:$V$1000,MATCH($A98,MASTER_DATABASE!$A$4:$A$1000,0)),""))</f>
        <v>No</v>
      </c>
      <c r="J98" s="6"/>
    </row>
    <row r="99" customFormat="false" ht="15" hidden="false" customHeight="false" outlineLevel="0" collapsed="false">
      <c r="A99" s="5" t="s">
        <v>1236</v>
      </c>
      <c r="B99" s="7" t="str">
        <f aca="false">IF($A99="","",IFERROR(INDEX(MASTER_DATABASE!$E$4:$E$1000,MATCH($A99,MASTER_DATABASE!$A$4:$A$1000,0)),""))</f>
        <v>Ration Card – Member Add / Delete / Correction</v>
      </c>
      <c r="C99" s="9" t="str">
        <f aca="false">IF($A99="","",IFERROR(INDEX(MASTER_DATABASE!$R$4:$R$1000,MATCH($A99,MASTER_DATABASE!$A$4:$A$1000,0)),""))</f>
        <v>To Verify</v>
      </c>
      <c r="D99" s="9" t="str">
        <f aca="false">IF($A99="","",IFERROR(INDEX(MASTER_DATABASE!$S$4:$S$1000,MATCH($A99,MASTER_DATABASE!$A$4:$A$1000,0)),""))</f>
        <v>To Verify</v>
      </c>
      <c r="E99" s="9" t="str">
        <f aca="false">IF($A99="","",IF(AND(OR(ISNUMBER(C99),C99="N/A"),OR(ISNUMBER(D99),D99="N/A"),OR(ISNUMBER(C99),ISNUMBER(D99))),N(C99)+N(D99),"To Verify"))</f>
        <v>To Verify</v>
      </c>
      <c r="F99" s="11" t="str">
        <f aca="false">IF($A99="","",IFERROR(INDEX(MASTER_DATABASE!$U$4:$U$1000,MATCH($A99,MASTER_DATABASE!$A$4:$A$1000,0)),""))</f>
        <v>To Verify</v>
      </c>
      <c r="G99" s="12"/>
      <c r="H99" s="12"/>
      <c r="I99" s="11" t="str">
        <f aca="false">IF($A99="","",IFERROR(INDEX(MASTER_DATABASE!$V$4:$V$1000,MATCH($A99,MASTER_DATABASE!$A$4:$A$1000,0)),""))</f>
        <v>No</v>
      </c>
      <c r="J99" s="6"/>
    </row>
    <row r="100" customFormat="false" ht="15" hidden="false" customHeight="false" outlineLevel="0" collapsed="false">
      <c r="A100" s="5" t="s">
        <v>1246</v>
      </c>
      <c r="B100" s="7" t="str">
        <f aca="false">IF($A100="","",IFERROR(INDEX(MASTER_DATABASE!$E$4:$E$1000,MATCH($A100,MASTER_DATABASE!$A$4:$A$1000,0)),""))</f>
        <v>Ration Card – Status Check / Download</v>
      </c>
      <c r="C100" s="9" t="str">
        <f aca="false">IF($A100="","",IFERROR(INDEX(MASTER_DATABASE!$R$4:$R$1000,MATCH($A100,MASTER_DATABASE!$A$4:$A$1000,0)),""))</f>
        <v>To Verify</v>
      </c>
      <c r="D100" s="9" t="str">
        <f aca="false">IF($A100="","",IFERROR(INDEX(MASTER_DATABASE!$S$4:$S$1000,MATCH($A100,MASTER_DATABASE!$A$4:$A$1000,0)),""))</f>
        <v>To Verify</v>
      </c>
      <c r="E100" s="9" t="str">
        <f aca="false">IF($A100="","",IF(AND(OR(ISNUMBER(C100),C100="N/A"),OR(ISNUMBER(D100),D100="N/A"),OR(ISNUMBER(C100),ISNUMBER(D100))),N(C100)+N(D100),"To Verify"))</f>
        <v>To Verify</v>
      </c>
      <c r="F100" s="11" t="str">
        <f aca="false">IF($A100="","",IFERROR(INDEX(MASTER_DATABASE!$U$4:$U$1000,MATCH($A100,MASTER_DATABASE!$A$4:$A$1000,0)),""))</f>
        <v>To Verify</v>
      </c>
      <c r="G100" s="12"/>
      <c r="H100" s="12"/>
      <c r="I100" s="11" t="str">
        <f aca="false">IF($A100="","",IFERROR(INDEX(MASTER_DATABASE!$V$4:$V$1000,MATCH($A100,MASTER_DATABASE!$A$4:$A$1000,0)),""))</f>
        <v>No</v>
      </c>
      <c r="J100" s="6"/>
    </row>
    <row r="101" customFormat="false" ht="15" hidden="false" customHeight="false" outlineLevel="0" collapsed="false">
      <c r="A101" s="5" t="s">
        <v>1256</v>
      </c>
      <c r="B101" s="7" t="str">
        <f aca="false">IF($A101="","",IFERROR(INDEX(MASTER_DATABASE!$E$4:$E$1000,MATCH($A101,MASTER_DATABASE!$A$4:$A$1000,0)),""))</f>
        <v>Land Record (Jamabandi / Khatiyan) Copy Download</v>
      </c>
      <c r="C101" s="9" t="str">
        <f aca="false">IF($A101="","",IFERROR(INDEX(MASTER_DATABASE!$R$4:$R$1000,MATCH($A101,MASTER_DATABASE!$A$4:$A$1000,0)),""))</f>
        <v>To Verify</v>
      </c>
      <c r="D101" s="9" t="str">
        <f aca="false">IF($A101="","",IFERROR(INDEX(MASTER_DATABASE!$S$4:$S$1000,MATCH($A101,MASTER_DATABASE!$A$4:$A$1000,0)),""))</f>
        <v>To Verify</v>
      </c>
      <c r="E101" s="9" t="str">
        <f aca="false">IF($A101="","",IF(AND(OR(ISNUMBER(C101),C101="N/A"),OR(ISNUMBER(D101),D101="N/A"),OR(ISNUMBER(C101),ISNUMBER(D101))),N(C101)+N(D101),"To Verify"))</f>
        <v>To Verify</v>
      </c>
      <c r="F101" s="11" t="str">
        <f aca="false">IF($A101="","",IFERROR(INDEX(MASTER_DATABASE!$U$4:$U$1000,MATCH($A101,MASTER_DATABASE!$A$4:$A$1000,0)),""))</f>
        <v>To Verify</v>
      </c>
      <c r="G101" s="12"/>
      <c r="H101" s="12"/>
      <c r="I101" s="11" t="str">
        <f aca="false">IF($A101="","",IFERROR(INDEX(MASTER_DATABASE!$V$4:$V$1000,MATCH($A101,MASTER_DATABASE!$A$4:$A$1000,0)),""))</f>
        <v>No</v>
      </c>
      <c r="J101" s="6"/>
    </row>
    <row r="102" customFormat="false" ht="15" hidden="false" customHeight="false" outlineLevel="0" collapsed="false">
      <c r="A102" s="5" t="s">
        <v>1269</v>
      </c>
      <c r="B102" s="7" t="str">
        <f aca="false">IF($A102="","",IFERROR(INDEX(MASTER_DATABASE!$E$4:$E$1000,MATCH($A102,MASTER_DATABASE!$A$4:$A$1000,0)),""))</f>
        <v>Land Mutation (Dakhil-Kharij) Application Assistance</v>
      </c>
      <c r="C102" s="9" t="str">
        <f aca="false">IF($A102="","",IFERROR(INDEX(MASTER_DATABASE!$R$4:$R$1000,MATCH($A102,MASTER_DATABASE!$A$4:$A$1000,0)),""))</f>
        <v>To Verify</v>
      </c>
      <c r="D102" s="9" t="str">
        <f aca="false">IF($A102="","",IFERROR(INDEX(MASTER_DATABASE!$S$4:$S$1000,MATCH($A102,MASTER_DATABASE!$A$4:$A$1000,0)),""))</f>
        <v>To Verify</v>
      </c>
      <c r="E102" s="9" t="str">
        <f aca="false">IF($A102="","",IF(AND(OR(ISNUMBER(C102),C102="N/A"),OR(ISNUMBER(D102),D102="N/A"),OR(ISNUMBER(C102),ISNUMBER(D102))),N(C102)+N(D102),"To Verify"))</f>
        <v>To Verify</v>
      </c>
      <c r="F102" s="11" t="str">
        <f aca="false">IF($A102="","",IFERROR(INDEX(MASTER_DATABASE!$U$4:$U$1000,MATCH($A102,MASTER_DATABASE!$A$4:$A$1000,0)),""))</f>
        <v>To Verify</v>
      </c>
      <c r="G102" s="12"/>
      <c r="H102" s="12"/>
      <c r="I102" s="11" t="str">
        <f aca="false">IF($A102="","",IFERROR(INDEX(MASTER_DATABASE!$V$4:$V$1000,MATCH($A102,MASTER_DATABASE!$A$4:$A$1000,0)),""))</f>
        <v>No</v>
      </c>
      <c r="J102" s="6"/>
    </row>
    <row r="103" customFormat="false" ht="15" hidden="false" customHeight="false" outlineLevel="0" collapsed="false">
      <c r="A103" s="5" t="s">
        <v>1279</v>
      </c>
      <c r="B103" s="7" t="str">
        <f aca="false">IF($A103="","",IFERROR(INDEX(MASTER_DATABASE!$E$4:$E$1000,MATCH($A103,MASTER_DATABASE!$A$4:$A$1000,0)),""))</f>
        <v>Land Rent (Lagaan) Online Payment Assistance</v>
      </c>
      <c r="C103" s="9" t="str">
        <f aca="false">IF($A103="","",IFERROR(INDEX(MASTER_DATABASE!$R$4:$R$1000,MATCH($A103,MASTER_DATABASE!$A$4:$A$1000,0)),""))</f>
        <v>To Verify</v>
      </c>
      <c r="D103" s="9" t="str">
        <f aca="false">IF($A103="","",IFERROR(INDEX(MASTER_DATABASE!$S$4:$S$1000,MATCH($A103,MASTER_DATABASE!$A$4:$A$1000,0)),""))</f>
        <v>To Verify</v>
      </c>
      <c r="E103" s="9" t="str">
        <f aca="false">IF($A103="","",IF(AND(OR(ISNUMBER(C103),C103="N/A"),OR(ISNUMBER(D103),D103="N/A"),OR(ISNUMBER(C103),ISNUMBER(D103))),N(C103)+N(D103),"To Verify"))</f>
        <v>To Verify</v>
      </c>
      <c r="F103" s="11" t="str">
        <f aca="false">IF($A103="","",IFERROR(INDEX(MASTER_DATABASE!$U$4:$U$1000,MATCH($A103,MASTER_DATABASE!$A$4:$A$1000,0)),""))</f>
        <v>To Verify</v>
      </c>
      <c r="G103" s="12"/>
      <c r="H103" s="12"/>
      <c r="I103" s="11" t="str">
        <f aca="false">IF($A103="","",IFERROR(INDEX(MASTER_DATABASE!$V$4:$V$1000,MATCH($A103,MASTER_DATABASE!$A$4:$A$1000,0)),""))</f>
        <v>No</v>
      </c>
      <c r="J103" s="6"/>
    </row>
    <row r="104" customFormat="false" ht="23.85" hidden="false" customHeight="false" outlineLevel="0" collapsed="false">
      <c r="A104" s="5" t="s">
        <v>1289</v>
      </c>
      <c r="B104" s="7" t="str">
        <f aca="false">IF($A104="","",IFERROR(INDEX(MASTER_DATABASE!$E$4:$E$1000,MATCH($A104,MASTER_DATABASE!$A$4:$A$1000,0)),""))</f>
        <v>Public Service Application (RTPS / e-Service) – General</v>
      </c>
      <c r="C104" s="9" t="str">
        <f aca="false">IF($A104="","",IFERROR(INDEX(MASTER_DATABASE!$R$4:$R$1000,MATCH($A104,MASTER_DATABASE!$A$4:$A$1000,0)),""))</f>
        <v>To Verify</v>
      </c>
      <c r="D104" s="9" t="str">
        <f aca="false">IF($A104="","",IFERROR(INDEX(MASTER_DATABASE!$S$4:$S$1000,MATCH($A104,MASTER_DATABASE!$A$4:$A$1000,0)),""))</f>
        <v>To Verify</v>
      </c>
      <c r="E104" s="9" t="str">
        <f aca="false">IF($A104="","",IF(AND(OR(ISNUMBER(C104),C104="N/A"),OR(ISNUMBER(D104),D104="N/A"),OR(ISNUMBER(C104),ISNUMBER(D104))),N(C104)+N(D104),"To Verify"))</f>
        <v>To Verify</v>
      </c>
      <c r="F104" s="11" t="str">
        <f aca="false">IF($A104="","",IFERROR(INDEX(MASTER_DATABASE!$U$4:$U$1000,MATCH($A104,MASTER_DATABASE!$A$4:$A$1000,0)),""))</f>
        <v>To Verify</v>
      </c>
      <c r="G104" s="12"/>
      <c r="H104" s="12"/>
      <c r="I104" s="11" t="str">
        <f aca="false">IF($A104="","",IFERROR(INDEX(MASTER_DATABASE!$V$4:$V$1000,MATCH($A104,MASTER_DATABASE!$A$4:$A$1000,0)),""))</f>
        <v>No</v>
      </c>
      <c r="J104" s="6"/>
    </row>
    <row r="105" customFormat="false" ht="15" hidden="false" customHeight="false" outlineLevel="0" collapsed="false">
      <c r="A105" s="5" t="s">
        <v>1300</v>
      </c>
      <c r="B105" s="7" t="str">
        <f aca="false">IF($A105="","",IFERROR(INDEX(MASTER_DATABASE!$E$4:$E$1000,MATCH($A105,MASTER_DATABASE!$A$4:$A$1000,0)),""))</f>
        <v>Online Government Application – General</v>
      </c>
      <c r="C105" s="9" t="str">
        <f aca="false">IF($A105="","",IFERROR(INDEX(MASTER_DATABASE!$R$4:$R$1000,MATCH($A105,MASTER_DATABASE!$A$4:$A$1000,0)),""))</f>
        <v>To Verify</v>
      </c>
      <c r="D105" s="9" t="str">
        <f aca="false">IF($A105="","",IFERROR(INDEX(MASTER_DATABASE!$S$4:$S$1000,MATCH($A105,MASTER_DATABASE!$A$4:$A$1000,0)),""))</f>
        <v>To Verify</v>
      </c>
      <c r="E105" s="9" t="str">
        <f aca="false">IF($A105="","",IF(AND(OR(ISNUMBER(C105),C105="N/A"),OR(ISNUMBER(D105),D105="N/A"),OR(ISNUMBER(C105),ISNUMBER(D105))),N(C105)+N(D105),"To Verify"))</f>
        <v>To Verify</v>
      </c>
      <c r="F105" s="11" t="str">
        <f aca="false">IF($A105="","",IFERROR(INDEX(MASTER_DATABASE!$U$4:$U$1000,MATCH($A105,MASTER_DATABASE!$A$4:$A$1000,0)),""))</f>
        <v>To Verify</v>
      </c>
      <c r="G105" s="12"/>
      <c r="H105" s="12"/>
      <c r="I105" s="11" t="str">
        <f aca="false">IF($A105="","",IFERROR(INDEX(MASTER_DATABASE!$V$4:$V$1000,MATCH($A105,MASTER_DATABASE!$A$4:$A$1000,0)),""))</f>
        <v>No</v>
      </c>
      <c r="J105" s="6"/>
    </row>
    <row r="106" customFormat="false" ht="15" hidden="false" customHeight="false" outlineLevel="0" collapsed="false">
      <c r="A106" s="5" t="s">
        <v>1310</v>
      </c>
      <c r="B106" s="7" t="str">
        <f aca="false">IF($A106="","",IFERROR(INDEX(MASTER_DATABASE!$E$4:$E$1000,MATCH($A106,MASTER_DATABASE!$A$4:$A$1000,0)),""))</f>
        <v>Application Status Check</v>
      </c>
      <c r="C106" s="9" t="str">
        <f aca="false">IF($A106="","",IFERROR(INDEX(MASTER_DATABASE!$R$4:$R$1000,MATCH($A106,MASTER_DATABASE!$A$4:$A$1000,0)),""))</f>
        <v>To Verify</v>
      </c>
      <c r="D106" s="9" t="str">
        <f aca="false">IF($A106="","",IFERROR(INDEX(MASTER_DATABASE!$S$4:$S$1000,MATCH($A106,MASTER_DATABASE!$A$4:$A$1000,0)),""))</f>
        <v>To Verify</v>
      </c>
      <c r="E106" s="9" t="str">
        <f aca="false">IF($A106="","",IF(AND(OR(ISNUMBER(C106),C106="N/A"),OR(ISNUMBER(D106),D106="N/A"),OR(ISNUMBER(C106),ISNUMBER(D106))),N(C106)+N(D106),"To Verify"))</f>
        <v>To Verify</v>
      </c>
      <c r="F106" s="11" t="str">
        <f aca="false">IF($A106="","",IFERROR(INDEX(MASTER_DATABASE!$U$4:$U$1000,MATCH($A106,MASTER_DATABASE!$A$4:$A$1000,0)),""))</f>
        <v>To Verify</v>
      </c>
      <c r="G106" s="12"/>
      <c r="H106" s="12"/>
      <c r="I106" s="11" t="str">
        <f aca="false">IF($A106="","",IFERROR(INDEX(MASTER_DATABASE!$V$4:$V$1000,MATCH($A106,MASTER_DATABASE!$A$4:$A$1000,0)),""))</f>
        <v>No</v>
      </c>
      <c r="J106" s="6"/>
    </row>
    <row r="107" customFormat="false" ht="15" hidden="false" customHeight="false" outlineLevel="0" collapsed="false">
      <c r="A107" s="5" t="s">
        <v>1320</v>
      </c>
      <c r="B107" s="7" t="str">
        <f aca="false">IF($A107="","",IFERROR(INDEX(MASTER_DATABASE!$E$4:$E$1000,MATCH($A107,MASTER_DATABASE!$A$4:$A$1000,0)),""))</f>
        <v>Application Acknowledgement / Receipt Print</v>
      </c>
      <c r="C107" s="9" t="str">
        <f aca="false">IF($A107="","",IFERROR(INDEX(MASTER_DATABASE!$R$4:$R$1000,MATCH($A107,MASTER_DATABASE!$A$4:$A$1000,0)),""))</f>
        <v>To Verify</v>
      </c>
      <c r="D107" s="9" t="str">
        <f aca="false">IF($A107="","",IFERROR(INDEX(MASTER_DATABASE!$S$4:$S$1000,MATCH($A107,MASTER_DATABASE!$A$4:$A$1000,0)),""))</f>
        <v>To Verify</v>
      </c>
      <c r="E107" s="9" t="str">
        <f aca="false">IF($A107="","",IF(AND(OR(ISNUMBER(C107),C107="N/A"),OR(ISNUMBER(D107),D107="N/A"),OR(ISNUMBER(C107),ISNUMBER(D107))),N(C107)+N(D107),"To Verify"))</f>
        <v>To Verify</v>
      </c>
      <c r="F107" s="11" t="str">
        <f aca="false">IF($A107="","",IFERROR(INDEX(MASTER_DATABASE!$U$4:$U$1000,MATCH($A107,MASTER_DATABASE!$A$4:$A$1000,0)),""))</f>
        <v>To Verify</v>
      </c>
      <c r="G107" s="12"/>
      <c r="H107" s="12"/>
      <c r="I107" s="11" t="str">
        <f aca="false">IF($A107="","",IFERROR(INDEX(MASTER_DATABASE!$V$4:$V$1000,MATCH($A107,MASTER_DATABASE!$A$4:$A$1000,0)),""))</f>
        <v>No</v>
      </c>
      <c r="J107" s="6"/>
    </row>
    <row r="108" customFormat="false" ht="15" hidden="false" customHeight="false" outlineLevel="0" collapsed="false">
      <c r="A108" s="5" t="s">
        <v>1330</v>
      </c>
      <c r="B108" s="7" t="str">
        <f aca="false">IF($A108="","",IFERROR(INDEX(MASTER_DATABASE!$E$4:$E$1000,MATCH($A108,MASTER_DATABASE!$A$4:$A$1000,0)),""))</f>
        <v>Public Grievance / Complaint Filing Assistance</v>
      </c>
      <c r="C108" s="9" t="str">
        <f aca="false">IF($A108="","",IFERROR(INDEX(MASTER_DATABASE!$R$4:$R$1000,MATCH($A108,MASTER_DATABASE!$A$4:$A$1000,0)),""))</f>
        <v>To Verify</v>
      </c>
      <c r="D108" s="9" t="str">
        <f aca="false">IF($A108="","",IFERROR(INDEX(MASTER_DATABASE!$S$4:$S$1000,MATCH($A108,MASTER_DATABASE!$A$4:$A$1000,0)),""))</f>
        <v>To Verify</v>
      </c>
      <c r="E108" s="9" t="str">
        <f aca="false">IF($A108="","",IF(AND(OR(ISNUMBER(C108),C108="N/A"),OR(ISNUMBER(D108),D108="N/A"),OR(ISNUMBER(C108),ISNUMBER(D108))),N(C108)+N(D108),"To Verify"))</f>
        <v>To Verify</v>
      </c>
      <c r="F108" s="11" t="str">
        <f aca="false">IF($A108="","",IFERROR(INDEX(MASTER_DATABASE!$U$4:$U$1000,MATCH($A108,MASTER_DATABASE!$A$4:$A$1000,0)),""))</f>
        <v>To Verify</v>
      </c>
      <c r="G108" s="12"/>
      <c r="H108" s="12"/>
      <c r="I108" s="11" t="str">
        <f aca="false">IF($A108="","",IFERROR(INDEX(MASTER_DATABASE!$V$4:$V$1000,MATCH($A108,MASTER_DATABASE!$A$4:$A$1000,0)),""))</f>
        <v>No</v>
      </c>
      <c r="J108" s="6"/>
    </row>
    <row r="109" customFormat="false" ht="15" hidden="false" customHeight="false" outlineLevel="0" collapsed="false">
      <c r="A109" s="5" t="s">
        <v>1340</v>
      </c>
      <c r="B109" s="7" t="str">
        <f aca="false">IF($A109="","",IFERROR(INDEX(MASTER_DATABASE!$E$4:$E$1000,MATCH($A109,MASTER_DATABASE!$A$4:$A$1000,0)),""))</f>
        <v>Passport Application Assistance</v>
      </c>
      <c r="C109" s="9" t="str">
        <f aca="false">IF($A109="","",IFERROR(INDEX(MASTER_DATABASE!$R$4:$R$1000,MATCH($A109,MASTER_DATABASE!$A$4:$A$1000,0)),""))</f>
        <v>To Verify</v>
      </c>
      <c r="D109" s="9" t="str">
        <f aca="false">IF($A109="","",IFERROR(INDEX(MASTER_DATABASE!$S$4:$S$1000,MATCH($A109,MASTER_DATABASE!$A$4:$A$1000,0)),""))</f>
        <v>To Verify</v>
      </c>
      <c r="E109" s="9" t="str">
        <f aca="false">IF($A109="","",IF(AND(OR(ISNUMBER(C109),C109="N/A"),OR(ISNUMBER(D109),D109="N/A"),OR(ISNUMBER(C109),ISNUMBER(D109))),N(C109)+N(D109),"To Verify"))</f>
        <v>To Verify</v>
      </c>
      <c r="F109" s="11" t="str">
        <f aca="false">IF($A109="","",IFERROR(INDEX(MASTER_DATABASE!$U$4:$U$1000,MATCH($A109,MASTER_DATABASE!$A$4:$A$1000,0)),""))</f>
        <v>To Verify</v>
      </c>
      <c r="G109" s="12"/>
      <c r="H109" s="12"/>
      <c r="I109" s="11" t="str">
        <f aca="false">IF($A109="","",IFERROR(INDEX(MASTER_DATABASE!$V$4:$V$1000,MATCH($A109,MASTER_DATABASE!$A$4:$A$1000,0)),""))</f>
        <v>No</v>
      </c>
      <c r="J109" s="6"/>
    </row>
    <row r="110" customFormat="false" ht="23.85" hidden="false" customHeight="false" outlineLevel="0" collapsed="false">
      <c r="A110" s="5" t="s">
        <v>1357</v>
      </c>
      <c r="B110" s="7" t="str">
        <f aca="false">IF($A110="","",IFERROR(INDEX(MASTER_DATABASE!$E$4:$E$1000,MATCH($A110,MASTER_DATABASE!$A$4:$A$1000,0)),""))</f>
        <v>Driving Licence / Learner Licence Application Assistance</v>
      </c>
      <c r="C110" s="9" t="str">
        <f aca="false">IF($A110="","",IFERROR(INDEX(MASTER_DATABASE!$R$4:$R$1000,MATCH($A110,MASTER_DATABASE!$A$4:$A$1000,0)),""))</f>
        <v>To Verify</v>
      </c>
      <c r="D110" s="9" t="str">
        <f aca="false">IF($A110="","",IFERROR(INDEX(MASTER_DATABASE!$S$4:$S$1000,MATCH($A110,MASTER_DATABASE!$A$4:$A$1000,0)),""))</f>
        <v>To Verify</v>
      </c>
      <c r="E110" s="9" t="str">
        <f aca="false">IF($A110="","",IF(AND(OR(ISNUMBER(C110),C110="N/A"),OR(ISNUMBER(D110),D110="N/A"),OR(ISNUMBER(C110),ISNUMBER(D110))),N(C110)+N(D110),"To Verify"))</f>
        <v>To Verify</v>
      </c>
      <c r="F110" s="11" t="str">
        <f aca="false">IF($A110="","",IFERROR(INDEX(MASTER_DATABASE!$U$4:$U$1000,MATCH($A110,MASTER_DATABASE!$A$4:$A$1000,0)),""))</f>
        <v>To Verify</v>
      </c>
      <c r="G110" s="12"/>
      <c r="H110" s="12"/>
      <c r="I110" s="11" t="str">
        <f aca="false">IF($A110="","",IFERROR(INDEX(MASTER_DATABASE!$V$4:$V$1000,MATCH($A110,MASTER_DATABASE!$A$4:$A$1000,0)),""))</f>
        <v>No</v>
      </c>
      <c r="J110" s="6"/>
    </row>
    <row r="111" customFormat="false" ht="15" hidden="false" customHeight="false" outlineLevel="0" collapsed="false">
      <c r="A111" s="5" t="s">
        <v>1368</v>
      </c>
      <c r="B111" s="7" t="str">
        <f aca="false">IF($A111="","",IFERROR(INDEX(MASTER_DATABASE!$E$4:$E$1000,MATCH($A111,MASTER_DATABASE!$A$4:$A$1000,0)),""))</f>
        <v>Tele-Law Consultation</v>
      </c>
      <c r="C111" s="9" t="str">
        <f aca="false">IF($A111="","",IFERROR(INDEX(MASTER_DATABASE!$R$4:$R$1000,MATCH($A111,MASTER_DATABASE!$A$4:$A$1000,0)),""))</f>
        <v>To Verify</v>
      </c>
      <c r="D111" s="9" t="str">
        <f aca="false">IF($A111="","",IFERROR(INDEX(MASTER_DATABASE!$S$4:$S$1000,MATCH($A111,MASTER_DATABASE!$A$4:$A$1000,0)),""))</f>
        <v>To Verify</v>
      </c>
      <c r="E111" s="9" t="str">
        <f aca="false">IF($A111="","",IF(AND(OR(ISNUMBER(C111),C111="N/A"),OR(ISNUMBER(D111),D111="N/A"),OR(ISNUMBER(C111),ISNUMBER(D111))),N(C111)+N(D111),"To Verify"))</f>
        <v>To Verify</v>
      </c>
      <c r="F111" s="11" t="str">
        <f aca="false">IF($A111="","",IFERROR(INDEX(MASTER_DATABASE!$U$4:$U$1000,MATCH($A111,MASTER_DATABASE!$A$4:$A$1000,0)),""))</f>
        <v>To Verify</v>
      </c>
      <c r="G111" s="12"/>
      <c r="H111" s="12"/>
      <c r="I111" s="11" t="str">
        <f aca="false">IF($A111="","",IFERROR(INDEX(MASTER_DATABASE!$V$4:$V$1000,MATCH($A111,MASTER_DATABASE!$A$4:$A$1000,0)),""))</f>
        <v>No</v>
      </c>
      <c r="J111" s="6"/>
    </row>
    <row r="112" customFormat="false" ht="15" hidden="false" customHeight="false" outlineLevel="0" collapsed="false">
      <c r="A112" s="5" t="s">
        <v>1379</v>
      </c>
      <c r="B112" s="7" t="str">
        <f aca="false">IF($A112="","",IFERROR(INDEX(MASTER_DATABASE!$E$4:$E$1000,MATCH($A112,MASTER_DATABASE!$A$4:$A$1000,0)),""))</f>
        <v>Telemedicine / eSanjeevani Consultation</v>
      </c>
      <c r="C112" s="9" t="str">
        <f aca="false">IF($A112="","",IFERROR(INDEX(MASTER_DATABASE!$R$4:$R$1000,MATCH($A112,MASTER_DATABASE!$A$4:$A$1000,0)),""))</f>
        <v>To Verify</v>
      </c>
      <c r="D112" s="9" t="str">
        <f aca="false">IF($A112="","",IFERROR(INDEX(MASTER_DATABASE!$S$4:$S$1000,MATCH($A112,MASTER_DATABASE!$A$4:$A$1000,0)),""))</f>
        <v>To Verify</v>
      </c>
      <c r="E112" s="9" t="str">
        <f aca="false">IF($A112="","",IF(AND(OR(ISNUMBER(C112),C112="N/A"),OR(ISNUMBER(D112),D112="N/A"),OR(ISNUMBER(C112),ISNUMBER(D112))),N(C112)+N(D112),"To Verify"))</f>
        <v>To Verify</v>
      </c>
      <c r="F112" s="11" t="str">
        <f aca="false">IF($A112="","",IFERROR(INDEX(MASTER_DATABASE!$U$4:$U$1000,MATCH($A112,MASTER_DATABASE!$A$4:$A$1000,0)),""))</f>
        <v>To Verify</v>
      </c>
      <c r="G112" s="12"/>
      <c r="H112" s="12"/>
      <c r="I112" s="11" t="str">
        <f aca="false">IF($A112="","",IFERROR(INDEX(MASTER_DATABASE!$V$4:$V$1000,MATCH($A112,MASTER_DATABASE!$A$4:$A$1000,0)),""))</f>
        <v>No</v>
      </c>
      <c r="J112" s="6"/>
    </row>
    <row r="113" customFormat="false" ht="15" hidden="false" customHeight="false" outlineLevel="0" collapsed="false">
      <c r="A113" s="5" t="s">
        <v>1389</v>
      </c>
      <c r="B113" s="7" t="str">
        <f aca="false">IF($A113="","",IFERROR(INDEX(MASTER_DATABASE!$E$4:$E$1000,MATCH($A113,MASTER_DATABASE!$A$4:$A$1000,0)),""))</f>
        <v>e-District Services (State Portal)</v>
      </c>
      <c r="C113" s="9" t="str">
        <f aca="false">IF($A113="","",IFERROR(INDEX(MASTER_DATABASE!$R$4:$R$1000,MATCH($A113,MASTER_DATABASE!$A$4:$A$1000,0)),""))</f>
        <v>To Verify</v>
      </c>
      <c r="D113" s="9" t="str">
        <f aca="false">IF($A113="","",IFERROR(INDEX(MASTER_DATABASE!$S$4:$S$1000,MATCH($A113,MASTER_DATABASE!$A$4:$A$1000,0)),""))</f>
        <v>To Verify</v>
      </c>
      <c r="E113" s="9" t="str">
        <f aca="false">IF($A113="","",IF(AND(OR(ISNUMBER(C113),C113="N/A"),OR(ISNUMBER(D113),D113="N/A"),OR(ISNUMBER(C113),ISNUMBER(D113))),N(C113)+N(D113),"To Verify"))</f>
        <v>To Verify</v>
      </c>
      <c r="F113" s="11" t="str">
        <f aca="false">IF($A113="","",IFERROR(INDEX(MASTER_DATABASE!$U$4:$U$1000,MATCH($A113,MASTER_DATABASE!$A$4:$A$1000,0)),""))</f>
        <v>To Verify</v>
      </c>
      <c r="G113" s="12"/>
      <c r="H113" s="12"/>
      <c r="I113" s="11" t="str">
        <f aca="false">IF($A113="","",IFERROR(INDEX(MASTER_DATABASE!$V$4:$V$1000,MATCH($A113,MASTER_DATABASE!$A$4:$A$1000,0)),""))</f>
        <v>No</v>
      </c>
      <c r="J113" s="6"/>
    </row>
    <row r="114" customFormat="false" ht="15" hidden="false" customHeight="false" outlineLevel="0" collapsed="false">
      <c r="A114" s="5" t="s">
        <v>1401</v>
      </c>
      <c r="B114" s="7" t="str">
        <f aca="false">IF($A114="","",IFERROR(INDEX(MASTER_DATABASE!$E$4:$E$1000,MATCH($A114,MASTER_DATABASE!$A$4:$A$1000,0)),""))</f>
        <v>RTI Online Filing Assistance</v>
      </c>
      <c r="C114" s="9" t="str">
        <f aca="false">IF($A114="","",IFERROR(INDEX(MASTER_DATABASE!$R$4:$R$1000,MATCH($A114,MASTER_DATABASE!$A$4:$A$1000,0)),""))</f>
        <v>To Verify</v>
      </c>
      <c r="D114" s="9" t="str">
        <f aca="false">IF($A114="","",IFERROR(INDEX(MASTER_DATABASE!$S$4:$S$1000,MATCH($A114,MASTER_DATABASE!$A$4:$A$1000,0)),""))</f>
        <v>To Verify</v>
      </c>
      <c r="E114" s="9" t="str">
        <f aca="false">IF($A114="","",IF(AND(OR(ISNUMBER(C114),C114="N/A"),OR(ISNUMBER(D114),D114="N/A"),OR(ISNUMBER(C114),ISNUMBER(D114))),N(C114)+N(D114),"To Verify"))</f>
        <v>To Verify</v>
      </c>
      <c r="F114" s="11" t="str">
        <f aca="false">IF($A114="","",IFERROR(INDEX(MASTER_DATABASE!$U$4:$U$1000,MATCH($A114,MASTER_DATABASE!$A$4:$A$1000,0)),""))</f>
        <v>To Verify</v>
      </c>
      <c r="G114" s="12"/>
      <c r="H114" s="12"/>
      <c r="I114" s="11" t="str">
        <f aca="false">IF($A114="","",IFERROR(INDEX(MASTER_DATABASE!$V$4:$V$1000,MATCH($A114,MASTER_DATABASE!$A$4:$A$1000,0)),""))</f>
        <v>No</v>
      </c>
      <c r="J114" s="6"/>
    </row>
    <row r="115" customFormat="false" ht="23.85" hidden="false" customHeight="false" outlineLevel="0" collapsed="false">
      <c r="A115" s="5" t="s">
        <v>1411</v>
      </c>
      <c r="B115" s="7" t="str">
        <f aca="false">IF($A115="","",IFERROR(INDEX(MASTER_DATABASE!$E$4:$E$1000,MATCH($A115,MASTER_DATABASE!$A$4:$A$1000,0)),""))</f>
        <v>Central Public Grievance (CPGRAMS) Filing Assistance</v>
      </c>
      <c r="C115" s="9" t="str">
        <f aca="false">IF($A115="","",IFERROR(INDEX(MASTER_DATABASE!$R$4:$R$1000,MATCH($A115,MASTER_DATABASE!$A$4:$A$1000,0)),""))</f>
        <v>To Verify</v>
      </c>
      <c r="D115" s="9" t="str">
        <f aca="false">IF($A115="","",IFERROR(INDEX(MASTER_DATABASE!$S$4:$S$1000,MATCH($A115,MASTER_DATABASE!$A$4:$A$1000,0)),""))</f>
        <v>To Verify</v>
      </c>
      <c r="E115" s="9" t="str">
        <f aca="false">IF($A115="","",IF(AND(OR(ISNUMBER(C115),C115="N/A"),OR(ISNUMBER(D115),D115="N/A"),OR(ISNUMBER(C115),ISNUMBER(D115))),N(C115)+N(D115),"To Verify"))</f>
        <v>To Verify</v>
      </c>
      <c r="F115" s="11" t="str">
        <f aca="false">IF($A115="","",IFERROR(INDEX(MASTER_DATABASE!$U$4:$U$1000,MATCH($A115,MASTER_DATABASE!$A$4:$A$1000,0)),""))</f>
        <v>To Verify</v>
      </c>
      <c r="G115" s="12"/>
      <c r="H115" s="12"/>
      <c r="I115" s="11" t="str">
        <f aca="false">IF($A115="","",IFERROR(INDEX(MASTER_DATABASE!$V$4:$V$1000,MATCH($A115,MASTER_DATABASE!$A$4:$A$1000,0)),""))</f>
        <v>No</v>
      </c>
      <c r="J115" s="6"/>
    </row>
    <row r="116" customFormat="false" ht="15" hidden="false" customHeight="false" outlineLevel="0" collapsed="false">
      <c r="A116" s="5" t="s">
        <v>1421</v>
      </c>
      <c r="B116" s="7" t="str">
        <f aca="false">IF($A116="","",IFERROR(INDEX(MASTER_DATABASE!$E$4:$E$1000,MATCH($A116,MASTER_DATABASE!$A$4:$A$1000,0)),""))</f>
        <v>Municipal / Property Tax Payment</v>
      </c>
      <c r="C116" s="9" t="str">
        <f aca="false">IF($A116="","",IFERROR(INDEX(MASTER_DATABASE!$R$4:$R$1000,MATCH($A116,MASTER_DATABASE!$A$4:$A$1000,0)),""))</f>
        <v>To Verify</v>
      </c>
      <c r="D116" s="9" t="str">
        <f aca="false">IF($A116="","",IFERROR(INDEX(MASTER_DATABASE!$S$4:$S$1000,MATCH($A116,MASTER_DATABASE!$A$4:$A$1000,0)),""))</f>
        <v>To Verify</v>
      </c>
      <c r="E116" s="9" t="str">
        <f aca="false">IF($A116="","",IF(AND(OR(ISNUMBER(C116),C116="N/A"),OR(ISNUMBER(D116),D116="N/A"),OR(ISNUMBER(C116),ISNUMBER(D116))),N(C116)+N(D116),"To Verify"))</f>
        <v>To Verify</v>
      </c>
      <c r="F116" s="11" t="str">
        <f aca="false">IF($A116="","",IFERROR(INDEX(MASTER_DATABASE!$U$4:$U$1000,MATCH($A116,MASTER_DATABASE!$A$4:$A$1000,0)),""))</f>
        <v>To Verify</v>
      </c>
      <c r="G116" s="12"/>
      <c r="H116" s="12"/>
      <c r="I116" s="11" t="str">
        <f aca="false">IF($A116="","",IFERROR(INDEX(MASTER_DATABASE!$V$4:$V$1000,MATCH($A116,MASTER_DATABASE!$A$4:$A$1000,0)),""))</f>
        <v>No</v>
      </c>
      <c r="J116" s="6"/>
    </row>
    <row r="117" customFormat="false" ht="15" hidden="false" customHeight="false" outlineLevel="0" collapsed="false">
      <c r="A117" s="5" t="s">
        <v>1431</v>
      </c>
      <c r="B117" s="7" t="str">
        <f aca="false">IF($A117="","",IFERROR(INDEX(MASTER_DATABASE!$E$4:$E$1000,MATCH($A117,MASTER_DATABASE!$A$4:$A$1000,0)),""))</f>
        <v>PM-Kisan Registration &amp; eKYC</v>
      </c>
      <c r="C117" s="9" t="str">
        <f aca="false">IF($A117="","",IFERROR(INDEX(MASTER_DATABASE!$R$4:$R$1000,MATCH($A117,MASTER_DATABASE!$A$4:$A$1000,0)),""))</f>
        <v>To Verify</v>
      </c>
      <c r="D117" s="9" t="str">
        <f aca="false">IF($A117="","",IFERROR(INDEX(MASTER_DATABASE!$S$4:$S$1000,MATCH($A117,MASTER_DATABASE!$A$4:$A$1000,0)),""))</f>
        <v>To Verify</v>
      </c>
      <c r="E117" s="9" t="str">
        <f aca="false">IF($A117="","",IF(AND(OR(ISNUMBER(C117),C117="N/A"),OR(ISNUMBER(D117),D117="N/A"),OR(ISNUMBER(C117),ISNUMBER(D117))),N(C117)+N(D117),"To Verify"))</f>
        <v>To Verify</v>
      </c>
      <c r="F117" s="11" t="str">
        <f aca="false">IF($A117="","",IFERROR(INDEX(MASTER_DATABASE!$U$4:$U$1000,MATCH($A117,MASTER_DATABASE!$A$4:$A$1000,0)),""))</f>
        <v>To Verify</v>
      </c>
      <c r="G117" s="12"/>
      <c r="H117" s="12"/>
      <c r="I117" s="11" t="str">
        <f aca="false">IF($A117="","",IFERROR(INDEX(MASTER_DATABASE!$V$4:$V$1000,MATCH($A117,MASTER_DATABASE!$A$4:$A$1000,0)),""))</f>
        <v>No</v>
      </c>
      <c r="J117" s="6"/>
    </row>
    <row r="118" customFormat="false" ht="15" hidden="false" customHeight="false" outlineLevel="0" collapsed="false">
      <c r="A118" s="5" t="s">
        <v>1444</v>
      </c>
      <c r="B118" s="7" t="str">
        <f aca="false">IF($A118="","",IFERROR(INDEX(MASTER_DATABASE!$E$4:$E$1000,MATCH($A118,MASTER_DATABASE!$A$4:$A$1000,0)),""))</f>
        <v>e-Shram Card Registration</v>
      </c>
      <c r="C118" s="9" t="str">
        <f aca="false">IF($A118="","",IFERROR(INDEX(MASTER_DATABASE!$R$4:$R$1000,MATCH($A118,MASTER_DATABASE!$A$4:$A$1000,0)),""))</f>
        <v>To Verify</v>
      </c>
      <c r="D118" s="9" t="str">
        <f aca="false">IF($A118="","",IFERROR(INDEX(MASTER_DATABASE!$S$4:$S$1000,MATCH($A118,MASTER_DATABASE!$A$4:$A$1000,0)),""))</f>
        <v>To Verify</v>
      </c>
      <c r="E118" s="9" t="str">
        <f aca="false">IF($A118="","",IF(AND(OR(ISNUMBER(C118),C118="N/A"),OR(ISNUMBER(D118),D118="N/A"),OR(ISNUMBER(C118),ISNUMBER(D118))),N(C118)+N(D118),"To Verify"))</f>
        <v>To Verify</v>
      </c>
      <c r="F118" s="11" t="str">
        <f aca="false">IF($A118="","",IFERROR(INDEX(MASTER_DATABASE!$U$4:$U$1000,MATCH($A118,MASTER_DATABASE!$A$4:$A$1000,0)),""))</f>
        <v>To Verify</v>
      </c>
      <c r="G118" s="12"/>
      <c r="H118" s="12"/>
      <c r="I118" s="11" t="str">
        <f aca="false">IF($A118="","",IFERROR(INDEX(MASTER_DATABASE!$V$4:$V$1000,MATCH($A118,MASTER_DATABASE!$A$4:$A$1000,0)),""))</f>
        <v>No</v>
      </c>
      <c r="J118" s="6"/>
    </row>
    <row r="119" customFormat="false" ht="15" hidden="false" customHeight="false" outlineLevel="0" collapsed="false">
      <c r="A119" s="5" t="s">
        <v>1455</v>
      </c>
      <c r="B119" s="7" t="str">
        <f aca="false">IF($A119="","",IFERROR(INDEX(MASTER_DATABASE!$E$4:$E$1000,MATCH($A119,MASTER_DATABASE!$A$4:$A$1000,0)),""))</f>
        <v>Ayushman Bharat (PM-JAY) Card Registration</v>
      </c>
      <c r="C119" s="9" t="str">
        <f aca="false">IF($A119="","",IFERROR(INDEX(MASTER_DATABASE!$R$4:$R$1000,MATCH($A119,MASTER_DATABASE!$A$4:$A$1000,0)),""))</f>
        <v>To Verify</v>
      </c>
      <c r="D119" s="9" t="str">
        <f aca="false">IF($A119="","",IFERROR(INDEX(MASTER_DATABASE!$S$4:$S$1000,MATCH($A119,MASTER_DATABASE!$A$4:$A$1000,0)),""))</f>
        <v>To Verify</v>
      </c>
      <c r="E119" s="9" t="str">
        <f aca="false">IF($A119="","",IF(AND(OR(ISNUMBER(C119),C119="N/A"),OR(ISNUMBER(D119),D119="N/A"),OR(ISNUMBER(C119),ISNUMBER(D119))),N(C119)+N(D119),"To Verify"))</f>
        <v>To Verify</v>
      </c>
      <c r="F119" s="11" t="str">
        <f aca="false">IF($A119="","",IFERROR(INDEX(MASTER_DATABASE!$U$4:$U$1000,MATCH($A119,MASTER_DATABASE!$A$4:$A$1000,0)),""))</f>
        <v>To Verify</v>
      </c>
      <c r="G119" s="12"/>
      <c r="H119" s="12"/>
      <c r="I119" s="11" t="str">
        <f aca="false">IF($A119="","",IFERROR(INDEX(MASTER_DATABASE!$V$4:$V$1000,MATCH($A119,MASTER_DATABASE!$A$4:$A$1000,0)),""))</f>
        <v>No</v>
      </c>
      <c r="J119" s="6"/>
    </row>
    <row r="120" customFormat="false" ht="15" hidden="false" customHeight="false" outlineLevel="0" collapsed="false">
      <c r="A120" s="5" t="s">
        <v>1466</v>
      </c>
      <c r="B120" s="7" t="str">
        <f aca="false">IF($A120="","",IFERROR(INDEX(MASTER_DATABASE!$E$4:$E$1000,MATCH($A120,MASTER_DATABASE!$A$4:$A$1000,0)),""))</f>
        <v>ABHA (Health ID) Creation</v>
      </c>
      <c r="C120" s="9" t="str">
        <f aca="false">IF($A120="","",IFERROR(INDEX(MASTER_DATABASE!$R$4:$R$1000,MATCH($A120,MASTER_DATABASE!$A$4:$A$1000,0)),""))</f>
        <v>To Verify</v>
      </c>
      <c r="D120" s="9" t="str">
        <f aca="false">IF($A120="","",IFERROR(INDEX(MASTER_DATABASE!$S$4:$S$1000,MATCH($A120,MASTER_DATABASE!$A$4:$A$1000,0)),""))</f>
        <v>To Verify</v>
      </c>
      <c r="E120" s="9" t="str">
        <f aca="false">IF($A120="","",IF(AND(OR(ISNUMBER(C120),C120="N/A"),OR(ISNUMBER(D120),D120="N/A"),OR(ISNUMBER(C120),ISNUMBER(D120))),N(C120)+N(D120),"To Verify"))</f>
        <v>To Verify</v>
      </c>
      <c r="F120" s="11" t="str">
        <f aca="false">IF($A120="","",IFERROR(INDEX(MASTER_DATABASE!$U$4:$U$1000,MATCH($A120,MASTER_DATABASE!$A$4:$A$1000,0)),""))</f>
        <v>To Verify</v>
      </c>
      <c r="G120" s="12"/>
      <c r="H120" s="12"/>
      <c r="I120" s="11" t="str">
        <f aca="false">IF($A120="","",IFERROR(INDEX(MASTER_DATABASE!$V$4:$V$1000,MATCH($A120,MASTER_DATABASE!$A$4:$A$1000,0)),""))</f>
        <v>No</v>
      </c>
      <c r="J120" s="6"/>
    </row>
    <row r="121" customFormat="false" ht="15" hidden="false" customHeight="false" outlineLevel="0" collapsed="false">
      <c r="A121" s="5" t="s">
        <v>1477</v>
      </c>
      <c r="B121" s="7" t="str">
        <f aca="false">IF($A121="","",IFERROR(INDEX(MASTER_DATABASE!$E$4:$E$1000,MATCH($A121,MASTER_DATABASE!$A$4:$A$1000,0)),""))</f>
        <v>PM Shram Yogi Maan-Dhan (PM-SYM) Enrolment</v>
      </c>
      <c r="C121" s="9" t="str">
        <f aca="false">IF($A121="","",IFERROR(INDEX(MASTER_DATABASE!$R$4:$R$1000,MATCH($A121,MASTER_DATABASE!$A$4:$A$1000,0)),""))</f>
        <v>To Verify</v>
      </c>
      <c r="D121" s="9" t="str">
        <f aca="false">IF($A121="","",IFERROR(INDEX(MASTER_DATABASE!$S$4:$S$1000,MATCH($A121,MASTER_DATABASE!$A$4:$A$1000,0)),""))</f>
        <v>To Verify</v>
      </c>
      <c r="E121" s="9" t="str">
        <f aca="false">IF($A121="","",IF(AND(OR(ISNUMBER(C121),C121="N/A"),OR(ISNUMBER(D121),D121="N/A"),OR(ISNUMBER(C121),ISNUMBER(D121))),N(C121)+N(D121),"To Verify"))</f>
        <v>To Verify</v>
      </c>
      <c r="F121" s="11" t="str">
        <f aca="false">IF($A121="","",IFERROR(INDEX(MASTER_DATABASE!$U$4:$U$1000,MATCH($A121,MASTER_DATABASE!$A$4:$A$1000,0)),""))</f>
        <v>To Verify</v>
      </c>
      <c r="G121" s="12"/>
      <c r="H121" s="12"/>
      <c r="I121" s="11" t="str">
        <f aca="false">IF($A121="","",IFERROR(INDEX(MASTER_DATABASE!$V$4:$V$1000,MATCH($A121,MASTER_DATABASE!$A$4:$A$1000,0)),""))</f>
        <v>No</v>
      </c>
      <c r="J121" s="6"/>
    </row>
    <row r="122" customFormat="false" ht="15" hidden="false" customHeight="false" outlineLevel="0" collapsed="false">
      <c r="A122" s="5" t="s">
        <v>1487</v>
      </c>
      <c r="B122" s="7" t="str">
        <f aca="false">IF($A122="","",IFERROR(INDEX(MASTER_DATABASE!$E$4:$E$1000,MATCH($A122,MASTER_DATABASE!$A$4:$A$1000,0)),""))</f>
        <v>PM Kisan Maan-Dhan (PM-KMY) Enrolment</v>
      </c>
      <c r="C122" s="9" t="str">
        <f aca="false">IF($A122="","",IFERROR(INDEX(MASTER_DATABASE!$R$4:$R$1000,MATCH($A122,MASTER_DATABASE!$A$4:$A$1000,0)),""))</f>
        <v>To Verify</v>
      </c>
      <c r="D122" s="9" t="str">
        <f aca="false">IF($A122="","",IFERROR(INDEX(MASTER_DATABASE!$S$4:$S$1000,MATCH($A122,MASTER_DATABASE!$A$4:$A$1000,0)),""))</f>
        <v>To Verify</v>
      </c>
      <c r="E122" s="9" t="str">
        <f aca="false">IF($A122="","",IF(AND(OR(ISNUMBER(C122),C122="N/A"),OR(ISNUMBER(D122),D122="N/A"),OR(ISNUMBER(C122),ISNUMBER(D122))),N(C122)+N(D122),"To Verify"))</f>
        <v>To Verify</v>
      </c>
      <c r="F122" s="11" t="str">
        <f aca="false">IF($A122="","",IFERROR(INDEX(MASTER_DATABASE!$U$4:$U$1000,MATCH($A122,MASTER_DATABASE!$A$4:$A$1000,0)),""))</f>
        <v>To Verify</v>
      </c>
      <c r="G122" s="12"/>
      <c r="H122" s="12"/>
      <c r="I122" s="11" t="str">
        <f aca="false">IF($A122="","",IFERROR(INDEX(MASTER_DATABASE!$V$4:$V$1000,MATCH($A122,MASTER_DATABASE!$A$4:$A$1000,0)),""))</f>
        <v>No</v>
      </c>
      <c r="J122" s="6"/>
    </row>
    <row r="123" customFormat="false" ht="15" hidden="false" customHeight="false" outlineLevel="0" collapsed="false">
      <c r="A123" s="5" t="s">
        <v>1497</v>
      </c>
      <c r="B123" s="7" t="str">
        <f aca="false">IF($A123="","",IFERROR(INDEX(MASTER_DATABASE!$E$4:$E$1000,MATCH($A123,MASTER_DATABASE!$A$4:$A$1000,0)),""))</f>
        <v>PM Vishwakarma Registration</v>
      </c>
      <c r="C123" s="9" t="str">
        <f aca="false">IF($A123="","",IFERROR(INDEX(MASTER_DATABASE!$R$4:$R$1000,MATCH($A123,MASTER_DATABASE!$A$4:$A$1000,0)),""))</f>
        <v>To Verify</v>
      </c>
      <c r="D123" s="9" t="str">
        <f aca="false">IF($A123="","",IFERROR(INDEX(MASTER_DATABASE!$S$4:$S$1000,MATCH($A123,MASTER_DATABASE!$A$4:$A$1000,0)),""))</f>
        <v>To Verify</v>
      </c>
      <c r="E123" s="9" t="str">
        <f aca="false">IF($A123="","",IF(AND(OR(ISNUMBER(C123),C123="N/A"),OR(ISNUMBER(D123),D123="N/A"),OR(ISNUMBER(C123),ISNUMBER(D123))),N(C123)+N(D123),"To Verify"))</f>
        <v>To Verify</v>
      </c>
      <c r="F123" s="11" t="str">
        <f aca="false">IF($A123="","",IFERROR(INDEX(MASTER_DATABASE!$U$4:$U$1000,MATCH($A123,MASTER_DATABASE!$A$4:$A$1000,0)),""))</f>
        <v>To Verify</v>
      </c>
      <c r="G123" s="12"/>
      <c r="H123" s="12"/>
      <c r="I123" s="11" t="str">
        <f aca="false">IF($A123="","",IFERROR(INDEX(MASTER_DATABASE!$V$4:$V$1000,MATCH($A123,MASTER_DATABASE!$A$4:$A$1000,0)),""))</f>
        <v>No</v>
      </c>
      <c r="J123" s="6"/>
    </row>
    <row r="124" customFormat="false" ht="23.85" hidden="false" customHeight="false" outlineLevel="0" collapsed="false">
      <c r="A124" s="5" t="s">
        <v>1507</v>
      </c>
      <c r="B124" s="7" t="str">
        <f aca="false">IF($A124="","",IFERROR(INDEX(MASTER_DATABASE!$E$4:$E$1000,MATCH($A124,MASTER_DATABASE!$A$4:$A$1000,0)),""))</f>
        <v>PM Surya Ghar (Rooftop Solar) Registration Assistance</v>
      </c>
      <c r="C124" s="9" t="str">
        <f aca="false">IF($A124="","",IFERROR(INDEX(MASTER_DATABASE!$R$4:$R$1000,MATCH($A124,MASTER_DATABASE!$A$4:$A$1000,0)),""))</f>
        <v>To Verify</v>
      </c>
      <c r="D124" s="9" t="str">
        <f aca="false">IF($A124="","",IFERROR(INDEX(MASTER_DATABASE!$S$4:$S$1000,MATCH($A124,MASTER_DATABASE!$A$4:$A$1000,0)),""))</f>
        <v>To Verify</v>
      </c>
      <c r="E124" s="9" t="str">
        <f aca="false">IF($A124="","",IF(AND(OR(ISNUMBER(C124),C124="N/A"),OR(ISNUMBER(D124),D124="N/A"),OR(ISNUMBER(C124),ISNUMBER(D124))),N(C124)+N(D124),"To Verify"))</f>
        <v>To Verify</v>
      </c>
      <c r="F124" s="11" t="str">
        <f aca="false">IF($A124="","",IFERROR(INDEX(MASTER_DATABASE!$U$4:$U$1000,MATCH($A124,MASTER_DATABASE!$A$4:$A$1000,0)),""))</f>
        <v>To Verify</v>
      </c>
      <c r="G124" s="12"/>
      <c r="H124" s="12"/>
      <c r="I124" s="11" t="str">
        <f aca="false">IF($A124="","",IFERROR(INDEX(MASTER_DATABASE!$V$4:$V$1000,MATCH($A124,MASTER_DATABASE!$A$4:$A$1000,0)),""))</f>
        <v>No</v>
      </c>
      <c r="J124" s="6"/>
    </row>
    <row r="125" customFormat="false" ht="15" hidden="false" customHeight="false" outlineLevel="0" collapsed="false">
      <c r="A125" s="5" t="s">
        <v>1517</v>
      </c>
      <c r="B125" s="7" t="str">
        <f aca="false">IF($A125="","",IFERROR(INDEX(MASTER_DATABASE!$E$4:$E$1000,MATCH($A125,MASTER_DATABASE!$A$4:$A$1000,0)),""))</f>
        <v>PM SVANidhi Application Assistance</v>
      </c>
      <c r="C125" s="9" t="str">
        <f aca="false">IF($A125="","",IFERROR(INDEX(MASTER_DATABASE!$R$4:$R$1000,MATCH($A125,MASTER_DATABASE!$A$4:$A$1000,0)),""))</f>
        <v>To Verify</v>
      </c>
      <c r="D125" s="9" t="str">
        <f aca="false">IF($A125="","",IFERROR(INDEX(MASTER_DATABASE!$S$4:$S$1000,MATCH($A125,MASTER_DATABASE!$A$4:$A$1000,0)),""))</f>
        <v>To Verify</v>
      </c>
      <c r="E125" s="9" t="str">
        <f aca="false">IF($A125="","",IF(AND(OR(ISNUMBER(C125),C125="N/A"),OR(ISNUMBER(D125),D125="N/A"),OR(ISNUMBER(C125),ISNUMBER(D125))),N(C125)+N(D125),"To Verify"))</f>
        <v>To Verify</v>
      </c>
      <c r="F125" s="11" t="str">
        <f aca="false">IF($A125="","",IFERROR(INDEX(MASTER_DATABASE!$U$4:$U$1000,MATCH($A125,MASTER_DATABASE!$A$4:$A$1000,0)),""))</f>
        <v>To Verify</v>
      </c>
      <c r="G125" s="12"/>
      <c r="H125" s="12"/>
      <c r="I125" s="11" t="str">
        <f aca="false">IF($A125="","",IFERROR(INDEX(MASTER_DATABASE!$V$4:$V$1000,MATCH($A125,MASTER_DATABASE!$A$4:$A$1000,0)),""))</f>
        <v>No</v>
      </c>
      <c r="J125" s="6"/>
    </row>
    <row r="126" customFormat="false" ht="15" hidden="false" customHeight="false" outlineLevel="0" collapsed="false">
      <c r="A126" s="5" t="s">
        <v>1527</v>
      </c>
      <c r="B126" s="7" t="str">
        <f aca="false">IF($A126="","",IFERROR(INDEX(MASTER_DATABASE!$E$4:$E$1000,MATCH($A126,MASTER_DATABASE!$A$4:$A$1000,0)),""))</f>
        <v>CSC Digipay – AEPS Cash Withdrawal</v>
      </c>
      <c r="C126" s="9" t="str">
        <f aca="false">IF($A126="","",IFERROR(INDEX(MASTER_DATABASE!$R$4:$R$1000,MATCH($A126,MASTER_DATABASE!$A$4:$A$1000,0)),""))</f>
        <v>To Verify</v>
      </c>
      <c r="D126" s="9" t="str">
        <f aca="false">IF($A126="","",IFERROR(INDEX(MASTER_DATABASE!$S$4:$S$1000,MATCH($A126,MASTER_DATABASE!$A$4:$A$1000,0)),""))</f>
        <v>To Verify</v>
      </c>
      <c r="E126" s="9" t="str">
        <f aca="false">IF($A126="","",IF(AND(OR(ISNUMBER(C126),C126="N/A"),OR(ISNUMBER(D126),D126="N/A"),OR(ISNUMBER(C126),ISNUMBER(D126))),N(C126)+N(D126),"To Verify"))</f>
        <v>To Verify</v>
      </c>
      <c r="F126" s="11" t="str">
        <f aca="false">IF($A126="","",IFERROR(INDEX(MASTER_DATABASE!$U$4:$U$1000,MATCH($A126,MASTER_DATABASE!$A$4:$A$1000,0)),""))</f>
        <v>To Verify</v>
      </c>
      <c r="G126" s="12"/>
      <c r="H126" s="12"/>
      <c r="I126" s="11" t="str">
        <f aca="false">IF($A126="","",IFERROR(INDEX(MASTER_DATABASE!$V$4:$V$1000,MATCH($A126,MASTER_DATABASE!$A$4:$A$1000,0)),""))</f>
        <v>No</v>
      </c>
      <c r="J126" s="6"/>
    </row>
    <row r="127" customFormat="false" ht="15" hidden="false" customHeight="false" outlineLevel="0" collapsed="false">
      <c r="A127" s="5" t="s">
        <v>1539</v>
      </c>
      <c r="B127" s="7" t="str">
        <f aca="false">IF($A127="","",IFERROR(INDEX(MASTER_DATABASE!$E$4:$E$1000,MATCH($A127,MASTER_DATABASE!$A$4:$A$1000,0)),""))</f>
        <v>CSC Digipay – Money Transfer</v>
      </c>
      <c r="C127" s="9" t="str">
        <f aca="false">IF($A127="","",IFERROR(INDEX(MASTER_DATABASE!$R$4:$R$1000,MATCH($A127,MASTER_DATABASE!$A$4:$A$1000,0)),""))</f>
        <v>To Verify</v>
      </c>
      <c r="D127" s="9" t="str">
        <f aca="false">IF($A127="","",IFERROR(INDEX(MASTER_DATABASE!$S$4:$S$1000,MATCH($A127,MASTER_DATABASE!$A$4:$A$1000,0)),""))</f>
        <v>To Verify</v>
      </c>
      <c r="E127" s="9" t="str">
        <f aca="false">IF($A127="","",IF(AND(OR(ISNUMBER(C127),C127="N/A"),OR(ISNUMBER(D127),D127="N/A"),OR(ISNUMBER(C127),ISNUMBER(D127))),N(C127)+N(D127),"To Verify"))</f>
        <v>To Verify</v>
      </c>
      <c r="F127" s="11" t="str">
        <f aca="false">IF($A127="","",IFERROR(INDEX(MASTER_DATABASE!$U$4:$U$1000,MATCH($A127,MASTER_DATABASE!$A$4:$A$1000,0)),""))</f>
        <v>To Verify</v>
      </c>
      <c r="G127" s="12"/>
      <c r="H127" s="12"/>
      <c r="I127" s="11" t="str">
        <f aca="false">IF($A127="","",IFERROR(INDEX(MASTER_DATABASE!$V$4:$V$1000,MATCH($A127,MASTER_DATABASE!$A$4:$A$1000,0)),""))</f>
        <v>No</v>
      </c>
      <c r="J127" s="6"/>
    </row>
    <row r="128" customFormat="false" ht="15" hidden="false" customHeight="false" outlineLevel="0" collapsed="false">
      <c r="A128" s="5" t="s">
        <v>1549</v>
      </c>
      <c r="B128" s="7" t="str">
        <f aca="false">IF($A128="","",IFERROR(INDEX(MASTER_DATABASE!$E$4:$E$1000,MATCH($A128,MASTER_DATABASE!$A$4:$A$1000,0)),""))</f>
        <v>CSC Digipay – Micro ATM</v>
      </c>
      <c r="C128" s="9" t="str">
        <f aca="false">IF($A128="","",IFERROR(INDEX(MASTER_DATABASE!$R$4:$R$1000,MATCH($A128,MASTER_DATABASE!$A$4:$A$1000,0)),""))</f>
        <v>To Verify</v>
      </c>
      <c r="D128" s="9" t="str">
        <f aca="false">IF($A128="","",IFERROR(INDEX(MASTER_DATABASE!$S$4:$S$1000,MATCH($A128,MASTER_DATABASE!$A$4:$A$1000,0)),""))</f>
        <v>To Verify</v>
      </c>
      <c r="E128" s="9" t="str">
        <f aca="false">IF($A128="","",IF(AND(OR(ISNUMBER(C128),C128="N/A"),OR(ISNUMBER(D128),D128="N/A"),OR(ISNUMBER(C128),ISNUMBER(D128))),N(C128)+N(D128),"To Verify"))</f>
        <v>To Verify</v>
      </c>
      <c r="F128" s="11" t="str">
        <f aca="false">IF($A128="","",IFERROR(INDEX(MASTER_DATABASE!$U$4:$U$1000,MATCH($A128,MASTER_DATABASE!$A$4:$A$1000,0)),""))</f>
        <v>To Verify</v>
      </c>
      <c r="G128" s="12"/>
      <c r="H128" s="12"/>
      <c r="I128" s="11" t="str">
        <f aca="false">IF($A128="","",IFERROR(INDEX(MASTER_DATABASE!$V$4:$V$1000,MATCH($A128,MASTER_DATABASE!$A$4:$A$1000,0)),""))</f>
        <v>No</v>
      </c>
      <c r="J128" s="6"/>
    </row>
    <row r="129" customFormat="false" ht="15" hidden="false" customHeight="false" outlineLevel="0" collapsed="false">
      <c r="A129" s="5" t="s">
        <v>1559</v>
      </c>
      <c r="B129" s="7" t="str">
        <f aca="false">IF($A129="","",IFERROR(INDEX(MASTER_DATABASE!$E$4:$E$1000,MATCH($A129,MASTER_DATABASE!$A$4:$A$1000,0)),""))</f>
        <v>Loan Application Assistance (Mudra / PMEGP etc.)</v>
      </c>
      <c r="C129" s="9" t="str">
        <f aca="false">IF($A129="","",IFERROR(INDEX(MASTER_DATABASE!$R$4:$R$1000,MATCH($A129,MASTER_DATABASE!$A$4:$A$1000,0)),""))</f>
        <v>To Verify</v>
      </c>
      <c r="D129" s="9" t="str">
        <f aca="false">IF($A129="","",IFERROR(INDEX(MASTER_DATABASE!$S$4:$S$1000,MATCH($A129,MASTER_DATABASE!$A$4:$A$1000,0)),""))</f>
        <v>To Verify</v>
      </c>
      <c r="E129" s="9" t="str">
        <f aca="false">IF($A129="","",IF(AND(OR(ISNUMBER(C129),C129="N/A"),OR(ISNUMBER(D129),D129="N/A"),OR(ISNUMBER(C129),ISNUMBER(D129))),N(C129)+N(D129),"To Verify"))</f>
        <v>To Verify</v>
      </c>
      <c r="F129" s="11" t="str">
        <f aca="false">IF($A129="","",IFERROR(INDEX(MASTER_DATABASE!$U$4:$U$1000,MATCH($A129,MASTER_DATABASE!$A$4:$A$1000,0)),""))</f>
        <v>To Verify</v>
      </c>
      <c r="G129" s="12"/>
      <c r="H129" s="12"/>
      <c r="I129" s="11" t="str">
        <f aca="false">IF($A129="","",IFERROR(INDEX(MASTER_DATABASE!$V$4:$V$1000,MATCH($A129,MASTER_DATABASE!$A$4:$A$1000,0)),""))</f>
        <v>No</v>
      </c>
      <c r="J129" s="6"/>
    </row>
    <row r="130" customFormat="false" ht="15" hidden="false" customHeight="false" outlineLevel="0" collapsed="false">
      <c r="A130" s="5" t="s">
        <v>1569</v>
      </c>
      <c r="B130" s="7" t="str">
        <f aca="false">IF($A130="","",IFERROR(INDEX(MASTER_DATABASE!$E$4:$E$1000,MATCH($A130,MASTER_DATABASE!$A$4:$A$1000,0)),""))</f>
        <v>Life Insurance – New Policy</v>
      </c>
      <c r="C130" s="9" t="str">
        <f aca="false">IF($A130="","",IFERROR(INDEX(MASTER_DATABASE!$R$4:$R$1000,MATCH($A130,MASTER_DATABASE!$A$4:$A$1000,0)),""))</f>
        <v>To Verify</v>
      </c>
      <c r="D130" s="9" t="str">
        <f aca="false">IF($A130="","",IFERROR(INDEX(MASTER_DATABASE!$S$4:$S$1000,MATCH($A130,MASTER_DATABASE!$A$4:$A$1000,0)),""))</f>
        <v>To Verify</v>
      </c>
      <c r="E130" s="9" t="str">
        <f aca="false">IF($A130="","",IF(AND(OR(ISNUMBER(C130),C130="N/A"),OR(ISNUMBER(D130),D130="N/A"),OR(ISNUMBER(C130),ISNUMBER(D130))),N(C130)+N(D130),"To Verify"))</f>
        <v>To Verify</v>
      </c>
      <c r="F130" s="11" t="str">
        <f aca="false">IF($A130="","",IFERROR(INDEX(MASTER_DATABASE!$U$4:$U$1000,MATCH($A130,MASTER_DATABASE!$A$4:$A$1000,0)),""))</f>
        <v>To Verify</v>
      </c>
      <c r="G130" s="12"/>
      <c r="H130" s="12"/>
      <c r="I130" s="11" t="str">
        <f aca="false">IF($A130="","",IFERROR(INDEX(MASTER_DATABASE!$V$4:$V$1000,MATCH($A130,MASTER_DATABASE!$A$4:$A$1000,0)),""))</f>
        <v>No</v>
      </c>
      <c r="J130" s="6"/>
    </row>
    <row r="131" customFormat="false" ht="15" hidden="false" customHeight="false" outlineLevel="0" collapsed="false">
      <c r="A131" s="5" t="s">
        <v>1581</v>
      </c>
      <c r="B131" s="7" t="str">
        <f aca="false">IF($A131="","",IFERROR(INDEX(MASTER_DATABASE!$E$4:$E$1000,MATCH($A131,MASTER_DATABASE!$A$4:$A$1000,0)),""))</f>
        <v>Health Insurance – New Policy</v>
      </c>
      <c r="C131" s="9" t="str">
        <f aca="false">IF($A131="","",IFERROR(INDEX(MASTER_DATABASE!$R$4:$R$1000,MATCH($A131,MASTER_DATABASE!$A$4:$A$1000,0)),""))</f>
        <v>To Verify</v>
      </c>
      <c r="D131" s="9" t="str">
        <f aca="false">IF($A131="","",IFERROR(INDEX(MASTER_DATABASE!$S$4:$S$1000,MATCH($A131,MASTER_DATABASE!$A$4:$A$1000,0)),""))</f>
        <v>To Verify</v>
      </c>
      <c r="E131" s="9" t="str">
        <f aca="false">IF($A131="","",IF(AND(OR(ISNUMBER(C131),C131="N/A"),OR(ISNUMBER(D131),D131="N/A"),OR(ISNUMBER(C131),ISNUMBER(D131))),N(C131)+N(D131),"To Verify"))</f>
        <v>To Verify</v>
      </c>
      <c r="F131" s="11" t="str">
        <f aca="false">IF($A131="","",IFERROR(INDEX(MASTER_DATABASE!$U$4:$U$1000,MATCH($A131,MASTER_DATABASE!$A$4:$A$1000,0)),""))</f>
        <v>To Verify</v>
      </c>
      <c r="G131" s="12"/>
      <c r="H131" s="12"/>
      <c r="I131" s="11" t="str">
        <f aca="false">IF($A131="","",IFERROR(INDEX(MASTER_DATABASE!$V$4:$V$1000,MATCH($A131,MASTER_DATABASE!$A$4:$A$1000,0)),""))</f>
        <v>No</v>
      </c>
      <c r="J131" s="6"/>
    </row>
    <row r="132" customFormat="false" ht="15" hidden="false" customHeight="false" outlineLevel="0" collapsed="false">
      <c r="A132" s="5" t="s">
        <v>1591</v>
      </c>
      <c r="B132" s="7" t="str">
        <f aca="false">IF($A132="","",IFERROR(INDEX(MASTER_DATABASE!$E$4:$E$1000,MATCH($A132,MASTER_DATABASE!$A$4:$A$1000,0)),""))</f>
        <v>Motor Insurance – New / Renewal</v>
      </c>
      <c r="C132" s="9" t="str">
        <f aca="false">IF($A132="","",IFERROR(INDEX(MASTER_DATABASE!$R$4:$R$1000,MATCH($A132,MASTER_DATABASE!$A$4:$A$1000,0)),""))</f>
        <v>To Verify</v>
      </c>
      <c r="D132" s="9" t="str">
        <f aca="false">IF($A132="","",IFERROR(INDEX(MASTER_DATABASE!$S$4:$S$1000,MATCH($A132,MASTER_DATABASE!$A$4:$A$1000,0)),""))</f>
        <v>To Verify</v>
      </c>
      <c r="E132" s="9" t="str">
        <f aca="false">IF($A132="","",IF(AND(OR(ISNUMBER(C132),C132="N/A"),OR(ISNUMBER(D132),D132="N/A"),OR(ISNUMBER(C132),ISNUMBER(D132))),N(C132)+N(D132),"To Verify"))</f>
        <v>To Verify</v>
      </c>
      <c r="F132" s="11" t="str">
        <f aca="false">IF($A132="","",IFERROR(INDEX(MASTER_DATABASE!$U$4:$U$1000,MATCH($A132,MASTER_DATABASE!$A$4:$A$1000,0)),""))</f>
        <v>To Verify</v>
      </c>
      <c r="G132" s="12"/>
      <c r="H132" s="12"/>
      <c r="I132" s="11" t="str">
        <f aca="false">IF($A132="","",IFERROR(INDEX(MASTER_DATABASE!$V$4:$V$1000,MATCH($A132,MASTER_DATABASE!$A$4:$A$1000,0)),""))</f>
        <v>No</v>
      </c>
      <c r="J132" s="6"/>
    </row>
    <row r="133" customFormat="false" ht="15" hidden="false" customHeight="false" outlineLevel="0" collapsed="false">
      <c r="A133" s="5" t="s">
        <v>1601</v>
      </c>
      <c r="B133" s="7" t="str">
        <f aca="false">IF($A133="","",IFERROR(INDEX(MASTER_DATABASE!$E$4:$E$1000,MATCH($A133,MASTER_DATABASE!$A$4:$A$1000,0)),""))</f>
        <v>Crop Insurance (PMFBY) Enrolment</v>
      </c>
      <c r="C133" s="9" t="str">
        <f aca="false">IF($A133="","",IFERROR(INDEX(MASTER_DATABASE!$R$4:$R$1000,MATCH($A133,MASTER_DATABASE!$A$4:$A$1000,0)),""))</f>
        <v>To Verify</v>
      </c>
      <c r="D133" s="9" t="str">
        <f aca="false">IF($A133="","",IFERROR(INDEX(MASTER_DATABASE!$S$4:$S$1000,MATCH($A133,MASTER_DATABASE!$A$4:$A$1000,0)),""))</f>
        <v>To Verify</v>
      </c>
      <c r="E133" s="9" t="str">
        <f aca="false">IF($A133="","",IF(AND(OR(ISNUMBER(C133),C133="N/A"),OR(ISNUMBER(D133),D133="N/A"),OR(ISNUMBER(C133),ISNUMBER(D133))),N(C133)+N(D133),"To Verify"))</f>
        <v>To Verify</v>
      </c>
      <c r="F133" s="11" t="str">
        <f aca="false">IF($A133="","",IFERROR(INDEX(MASTER_DATABASE!$U$4:$U$1000,MATCH($A133,MASTER_DATABASE!$A$4:$A$1000,0)),""))</f>
        <v>To Verify</v>
      </c>
      <c r="G133" s="12"/>
      <c r="H133" s="12"/>
      <c r="I133" s="11" t="str">
        <f aca="false">IF($A133="","",IFERROR(INDEX(MASTER_DATABASE!$V$4:$V$1000,MATCH($A133,MASTER_DATABASE!$A$4:$A$1000,0)),""))</f>
        <v>No</v>
      </c>
      <c r="J133" s="6"/>
    </row>
    <row r="134" customFormat="false" ht="15" hidden="false" customHeight="false" outlineLevel="0" collapsed="false">
      <c r="A134" s="5" t="s">
        <v>1611</v>
      </c>
      <c r="B134" s="7" t="str">
        <f aca="false">IF($A134="","",IFERROR(INDEX(MASTER_DATABASE!$E$4:$E$1000,MATCH($A134,MASTER_DATABASE!$A$4:$A$1000,0)),""))</f>
        <v>PM Suraksha Bima Yojana (PMSBY) Enrolment</v>
      </c>
      <c r="C134" s="9" t="str">
        <f aca="false">IF($A134="","",IFERROR(INDEX(MASTER_DATABASE!$R$4:$R$1000,MATCH($A134,MASTER_DATABASE!$A$4:$A$1000,0)),""))</f>
        <v>To Verify</v>
      </c>
      <c r="D134" s="9" t="str">
        <f aca="false">IF($A134="","",IFERROR(INDEX(MASTER_DATABASE!$S$4:$S$1000,MATCH($A134,MASTER_DATABASE!$A$4:$A$1000,0)),""))</f>
        <v>To Verify</v>
      </c>
      <c r="E134" s="9" t="str">
        <f aca="false">IF($A134="","",IF(AND(OR(ISNUMBER(C134),C134="N/A"),OR(ISNUMBER(D134),D134="N/A"),OR(ISNUMBER(C134),ISNUMBER(D134))),N(C134)+N(D134),"To Verify"))</f>
        <v>To Verify</v>
      </c>
      <c r="F134" s="11" t="str">
        <f aca="false">IF($A134="","",IFERROR(INDEX(MASTER_DATABASE!$U$4:$U$1000,MATCH($A134,MASTER_DATABASE!$A$4:$A$1000,0)),""))</f>
        <v>To Verify</v>
      </c>
      <c r="G134" s="12"/>
      <c r="H134" s="12"/>
      <c r="I134" s="11" t="str">
        <f aca="false">IF($A134="","",IFERROR(INDEX(MASTER_DATABASE!$V$4:$V$1000,MATCH($A134,MASTER_DATABASE!$A$4:$A$1000,0)),""))</f>
        <v>No</v>
      </c>
      <c r="J134" s="6"/>
    </row>
    <row r="135" customFormat="false" ht="15" hidden="false" customHeight="false" outlineLevel="0" collapsed="false">
      <c r="A135" s="5" t="s">
        <v>1621</v>
      </c>
      <c r="B135" s="7" t="str">
        <f aca="false">IF($A135="","",IFERROR(INDEX(MASTER_DATABASE!$E$4:$E$1000,MATCH($A135,MASTER_DATABASE!$A$4:$A$1000,0)),""))</f>
        <v>PM Jeevan Jyoti Bima Yojana (PMJJBY) Enrolment</v>
      </c>
      <c r="C135" s="9" t="str">
        <f aca="false">IF($A135="","",IFERROR(INDEX(MASTER_DATABASE!$R$4:$R$1000,MATCH($A135,MASTER_DATABASE!$A$4:$A$1000,0)),""))</f>
        <v>To Verify</v>
      </c>
      <c r="D135" s="9" t="str">
        <f aca="false">IF($A135="","",IFERROR(INDEX(MASTER_DATABASE!$S$4:$S$1000,MATCH($A135,MASTER_DATABASE!$A$4:$A$1000,0)),""))</f>
        <v>To Verify</v>
      </c>
      <c r="E135" s="9" t="str">
        <f aca="false">IF($A135="","",IF(AND(OR(ISNUMBER(C135),C135="N/A"),OR(ISNUMBER(D135),D135="N/A"),OR(ISNUMBER(C135),ISNUMBER(D135))),N(C135)+N(D135),"To Verify"))</f>
        <v>To Verify</v>
      </c>
      <c r="F135" s="11" t="str">
        <f aca="false">IF($A135="","",IFERROR(INDEX(MASTER_DATABASE!$U$4:$U$1000,MATCH($A135,MASTER_DATABASE!$A$4:$A$1000,0)),""))</f>
        <v>To Verify</v>
      </c>
      <c r="G135" s="12"/>
      <c r="H135" s="12"/>
      <c r="I135" s="11" t="str">
        <f aca="false">IF($A135="","",IFERROR(INDEX(MASTER_DATABASE!$V$4:$V$1000,MATCH($A135,MASTER_DATABASE!$A$4:$A$1000,0)),""))</f>
        <v>No</v>
      </c>
      <c r="J135" s="6"/>
    </row>
    <row r="136" customFormat="false" ht="15" hidden="false" customHeight="false" outlineLevel="0" collapsed="false">
      <c r="A136" s="5" t="s">
        <v>1631</v>
      </c>
      <c r="B136" s="7" t="str">
        <f aca="false">IF($A136="","",IFERROR(INDEX(MASTER_DATABASE!$E$4:$E$1000,MATCH($A136,MASTER_DATABASE!$A$4:$A$1000,0)),""))</f>
        <v>Atal Pension Yojana (APY) Enrolment</v>
      </c>
      <c r="C136" s="9" t="str">
        <f aca="false">IF($A136="","",IFERROR(INDEX(MASTER_DATABASE!$R$4:$R$1000,MATCH($A136,MASTER_DATABASE!$A$4:$A$1000,0)),""))</f>
        <v>To Verify</v>
      </c>
      <c r="D136" s="9" t="str">
        <f aca="false">IF($A136="","",IFERROR(INDEX(MASTER_DATABASE!$S$4:$S$1000,MATCH($A136,MASTER_DATABASE!$A$4:$A$1000,0)),""))</f>
        <v>To Verify</v>
      </c>
      <c r="E136" s="9" t="str">
        <f aca="false">IF($A136="","",IF(AND(OR(ISNUMBER(C136),C136="N/A"),OR(ISNUMBER(D136),D136="N/A"),OR(ISNUMBER(C136),ISNUMBER(D136))),N(C136)+N(D136),"To Verify"))</f>
        <v>To Verify</v>
      </c>
      <c r="F136" s="11" t="str">
        <f aca="false">IF($A136="","",IFERROR(INDEX(MASTER_DATABASE!$U$4:$U$1000,MATCH($A136,MASTER_DATABASE!$A$4:$A$1000,0)),""))</f>
        <v>To Verify</v>
      </c>
      <c r="G136" s="12"/>
      <c r="H136" s="12"/>
      <c r="I136" s="11" t="str">
        <f aca="false">IF($A136="","",IFERROR(INDEX(MASTER_DATABASE!$V$4:$V$1000,MATCH($A136,MASTER_DATABASE!$A$4:$A$1000,0)),""))</f>
        <v>No</v>
      </c>
      <c r="J136" s="6"/>
    </row>
    <row r="137" customFormat="false" ht="15" hidden="false" customHeight="false" outlineLevel="0" collapsed="false">
      <c r="A137" s="5" t="s">
        <v>1643</v>
      </c>
      <c r="B137" s="7" t="str">
        <f aca="false">IF($A137="","",IFERROR(INDEX(MASTER_DATABASE!$E$4:$E$1000,MATCH($A137,MASTER_DATABASE!$A$4:$A$1000,0)),""))</f>
        <v>NPS (National Pension System) Account Opening</v>
      </c>
      <c r="C137" s="9" t="str">
        <f aca="false">IF($A137="","",IFERROR(INDEX(MASTER_DATABASE!$R$4:$R$1000,MATCH($A137,MASTER_DATABASE!$A$4:$A$1000,0)),""))</f>
        <v>To Verify</v>
      </c>
      <c r="D137" s="9" t="str">
        <f aca="false">IF($A137="","",IFERROR(INDEX(MASTER_DATABASE!$S$4:$S$1000,MATCH($A137,MASTER_DATABASE!$A$4:$A$1000,0)),""))</f>
        <v>To Verify</v>
      </c>
      <c r="E137" s="9" t="str">
        <f aca="false">IF($A137="","",IF(AND(OR(ISNUMBER(C137),C137="N/A"),OR(ISNUMBER(D137),D137="N/A"),OR(ISNUMBER(C137),ISNUMBER(D137))),N(C137)+N(D137),"To Verify"))</f>
        <v>To Verify</v>
      </c>
      <c r="F137" s="11" t="str">
        <f aca="false">IF($A137="","",IFERROR(INDEX(MASTER_DATABASE!$U$4:$U$1000,MATCH($A137,MASTER_DATABASE!$A$4:$A$1000,0)),""))</f>
        <v>To Verify</v>
      </c>
      <c r="G137" s="12"/>
      <c r="H137" s="12"/>
      <c r="I137" s="11" t="str">
        <f aca="false">IF($A137="","",IFERROR(INDEX(MASTER_DATABASE!$V$4:$V$1000,MATCH($A137,MASTER_DATABASE!$A$4:$A$1000,0)),""))</f>
        <v>No</v>
      </c>
      <c r="J137" s="6"/>
    </row>
    <row r="138" customFormat="false" ht="15" hidden="false" customHeight="false" outlineLevel="0" collapsed="false">
      <c r="A138" s="5" t="s">
        <v>1653</v>
      </c>
      <c r="B138" s="7" t="str">
        <f aca="false">IF($A138="","",IFERROR(INDEX(MASTER_DATABASE!$E$4:$E$1000,MATCH($A138,MASTER_DATABASE!$A$4:$A$1000,0)),""))</f>
        <v>Digital Life Certificate (Jeevan Pramaan)</v>
      </c>
      <c r="C138" s="9" t="str">
        <f aca="false">IF($A138="","",IFERROR(INDEX(MASTER_DATABASE!$R$4:$R$1000,MATCH($A138,MASTER_DATABASE!$A$4:$A$1000,0)),""))</f>
        <v>To Verify</v>
      </c>
      <c r="D138" s="9" t="str">
        <f aca="false">IF($A138="","",IFERROR(INDEX(MASTER_DATABASE!$S$4:$S$1000,MATCH($A138,MASTER_DATABASE!$A$4:$A$1000,0)),""))</f>
        <v>To Verify</v>
      </c>
      <c r="E138" s="9" t="str">
        <f aca="false">IF($A138="","",IF(AND(OR(ISNUMBER(C138),C138="N/A"),OR(ISNUMBER(D138),D138="N/A"),OR(ISNUMBER(C138),ISNUMBER(D138))),N(C138)+N(D138),"To Verify"))</f>
        <v>To Verify</v>
      </c>
      <c r="F138" s="11" t="str">
        <f aca="false">IF($A138="","",IFERROR(INDEX(MASTER_DATABASE!$U$4:$U$1000,MATCH($A138,MASTER_DATABASE!$A$4:$A$1000,0)),""))</f>
        <v>To Verify</v>
      </c>
      <c r="G138" s="12"/>
      <c r="H138" s="12"/>
      <c r="I138" s="11" t="str">
        <f aca="false">IF($A138="","",IFERROR(INDEX(MASTER_DATABASE!$V$4:$V$1000,MATCH($A138,MASTER_DATABASE!$A$4:$A$1000,0)),""))</f>
        <v>No</v>
      </c>
      <c r="J138" s="6"/>
    </row>
    <row r="139" customFormat="false" ht="15" hidden="false" customHeight="false" outlineLevel="0" collapsed="false">
      <c r="A139" s="5" t="s">
        <v>1664</v>
      </c>
      <c r="B139" s="7" t="str">
        <f aca="false">IF($A139="","",IFERROR(INDEX(MASTER_DATABASE!$E$4:$E$1000,MATCH($A139,MASTER_DATABASE!$A$4:$A$1000,0)),""))</f>
        <v>EPFO / UAN Service Assistance</v>
      </c>
      <c r="C139" s="9" t="str">
        <f aca="false">IF($A139="","",IFERROR(INDEX(MASTER_DATABASE!$R$4:$R$1000,MATCH($A139,MASTER_DATABASE!$A$4:$A$1000,0)),""))</f>
        <v>To Verify</v>
      </c>
      <c r="D139" s="9" t="str">
        <f aca="false">IF($A139="","",IFERROR(INDEX(MASTER_DATABASE!$S$4:$S$1000,MATCH($A139,MASTER_DATABASE!$A$4:$A$1000,0)),""))</f>
        <v>To Verify</v>
      </c>
      <c r="E139" s="9" t="str">
        <f aca="false">IF($A139="","",IF(AND(OR(ISNUMBER(C139),C139="N/A"),OR(ISNUMBER(D139),D139="N/A"),OR(ISNUMBER(C139),ISNUMBER(D139))),N(C139)+N(D139),"To Verify"))</f>
        <v>To Verify</v>
      </c>
      <c r="F139" s="11" t="str">
        <f aca="false">IF($A139="","",IFERROR(INDEX(MASTER_DATABASE!$U$4:$U$1000,MATCH($A139,MASTER_DATABASE!$A$4:$A$1000,0)),""))</f>
        <v>To Verify</v>
      </c>
      <c r="G139" s="12"/>
      <c r="H139" s="12"/>
      <c r="I139" s="11" t="str">
        <f aca="false">IF($A139="","",IFERROR(INDEX(MASTER_DATABASE!$V$4:$V$1000,MATCH($A139,MASTER_DATABASE!$A$4:$A$1000,0)),""))</f>
        <v>No</v>
      </c>
      <c r="J139" s="6"/>
    </row>
    <row r="140" customFormat="false" ht="15" hidden="false" customHeight="false" outlineLevel="0" collapsed="false">
      <c r="A140" s="5" t="s">
        <v>1674</v>
      </c>
      <c r="B140" s="7" t="str">
        <f aca="false">IF($A140="","",IFERROR(INDEX(MASTER_DATABASE!$E$4:$E$1000,MATCH($A140,MASTER_DATABASE!$A$4:$A$1000,0)),""))</f>
        <v>Pension Application Assistance (Central / State)</v>
      </c>
      <c r="C140" s="9" t="str">
        <f aca="false">IF($A140="","",IFERROR(INDEX(MASTER_DATABASE!$R$4:$R$1000,MATCH($A140,MASTER_DATABASE!$A$4:$A$1000,0)),""))</f>
        <v>To Verify</v>
      </c>
      <c r="D140" s="9" t="str">
        <f aca="false">IF($A140="","",IFERROR(INDEX(MASTER_DATABASE!$S$4:$S$1000,MATCH($A140,MASTER_DATABASE!$A$4:$A$1000,0)),""))</f>
        <v>To Verify</v>
      </c>
      <c r="E140" s="9" t="str">
        <f aca="false">IF($A140="","",IF(AND(OR(ISNUMBER(C140),C140="N/A"),OR(ISNUMBER(D140),D140="N/A"),OR(ISNUMBER(C140),ISNUMBER(D140))),N(C140)+N(D140),"To Verify"))</f>
        <v>To Verify</v>
      </c>
      <c r="F140" s="11" t="str">
        <f aca="false">IF($A140="","",IFERROR(INDEX(MASTER_DATABASE!$U$4:$U$1000,MATCH($A140,MASTER_DATABASE!$A$4:$A$1000,0)),""))</f>
        <v>To Verify</v>
      </c>
      <c r="G140" s="12"/>
      <c r="H140" s="12"/>
      <c r="I140" s="11" t="str">
        <f aca="false">IF($A140="","",IFERROR(INDEX(MASTER_DATABASE!$V$4:$V$1000,MATCH($A140,MASTER_DATABASE!$A$4:$A$1000,0)),""))</f>
        <v>No</v>
      </c>
      <c r="J140" s="6"/>
    </row>
    <row r="141" customFormat="false" ht="15" hidden="false" customHeight="false" outlineLevel="0" collapsed="false">
      <c r="A141" s="5" t="s">
        <v>1684</v>
      </c>
      <c r="B141" s="7" t="str">
        <f aca="false">IF($A141="","",IFERROR(INDEX(MASTER_DATABASE!$E$4:$E$1000,MATCH($A141,MASTER_DATABASE!$A$4:$A$1000,0)),""))</f>
        <v>Digital Literacy (PMGDISHA) Registration</v>
      </c>
      <c r="C141" s="9" t="str">
        <f aca="false">IF($A141="","",IFERROR(INDEX(MASTER_DATABASE!$R$4:$R$1000,MATCH($A141,MASTER_DATABASE!$A$4:$A$1000,0)),""))</f>
        <v>To Verify</v>
      </c>
      <c r="D141" s="9" t="str">
        <f aca="false">IF($A141="","",IFERROR(INDEX(MASTER_DATABASE!$S$4:$S$1000,MATCH($A141,MASTER_DATABASE!$A$4:$A$1000,0)),""))</f>
        <v>To Verify</v>
      </c>
      <c r="E141" s="9" t="str">
        <f aca="false">IF($A141="","",IF(AND(OR(ISNUMBER(C141),C141="N/A"),OR(ISNUMBER(D141),D141="N/A"),OR(ISNUMBER(C141),ISNUMBER(D141))),N(C141)+N(D141),"To Verify"))</f>
        <v>To Verify</v>
      </c>
      <c r="F141" s="11" t="str">
        <f aca="false">IF($A141="","",IFERROR(INDEX(MASTER_DATABASE!$U$4:$U$1000,MATCH($A141,MASTER_DATABASE!$A$4:$A$1000,0)),""))</f>
        <v>To Verify</v>
      </c>
      <c r="G141" s="12"/>
      <c r="H141" s="12"/>
      <c r="I141" s="11" t="str">
        <f aca="false">IF($A141="","",IFERROR(INDEX(MASTER_DATABASE!$V$4:$V$1000,MATCH($A141,MASTER_DATABASE!$A$4:$A$1000,0)),""))</f>
        <v>No</v>
      </c>
      <c r="J141" s="6"/>
    </row>
    <row r="142" customFormat="false" ht="15" hidden="false" customHeight="false" outlineLevel="0" collapsed="false">
      <c r="A142" s="5" t="s">
        <v>1696</v>
      </c>
      <c r="B142" s="7" t="str">
        <f aca="false">IF($A142="","",IFERROR(INDEX(MASTER_DATABASE!$E$4:$E$1000,MATCH($A142,MASTER_DATABASE!$A$4:$A$1000,0)),""))</f>
        <v>Skill Development Course Enrolment</v>
      </c>
      <c r="C142" s="9" t="str">
        <f aca="false">IF($A142="","",IFERROR(INDEX(MASTER_DATABASE!$R$4:$R$1000,MATCH($A142,MASTER_DATABASE!$A$4:$A$1000,0)),""))</f>
        <v>To Verify</v>
      </c>
      <c r="D142" s="9" t="str">
        <f aca="false">IF($A142="","",IFERROR(INDEX(MASTER_DATABASE!$S$4:$S$1000,MATCH($A142,MASTER_DATABASE!$A$4:$A$1000,0)),""))</f>
        <v>To Verify</v>
      </c>
      <c r="E142" s="9" t="str">
        <f aca="false">IF($A142="","",IF(AND(OR(ISNUMBER(C142),C142="N/A"),OR(ISNUMBER(D142),D142="N/A"),OR(ISNUMBER(C142),ISNUMBER(D142))),N(C142)+N(D142),"To Verify"))</f>
        <v>To Verify</v>
      </c>
      <c r="F142" s="11" t="str">
        <f aca="false">IF($A142="","",IFERROR(INDEX(MASTER_DATABASE!$U$4:$U$1000,MATCH($A142,MASTER_DATABASE!$A$4:$A$1000,0)),""))</f>
        <v>To Verify</v>
      </c>
      <c r="G142" s="12"/>
      <c r="H142" s="12"/>
      <c r="I142" s="11" t="str">
        <f aca="false">IF($A142="","",IFERROR(INDEX(MASTER_DATABASE!$V$4:$V$1000,MATCH($A142,MASTER_DATABASE!$A$4:$A$1000,0)),""))</f>
        <v>No</v>
      </c>
      <c r="J142" s="6"/>
    </row>
    <row r="143" customFormat="false" ht="15" hidden="false" customHeight="false" outlineLevel="0" collapsed="false">
      <c r="A143" s="5" t="s">
        <v>1706</v>
      </c>
      <c r="B143" s="7" t="str">
        <f aca="false">IF($A143="","",IFERROR(INDEX(MASTER_DATABASE!$E$4:$E$1000,MATCH($A143,MASTER_DATABASE!$A$4:$A$1000,0)),""))</f>
        <v>e-Learning / Tele-Education Course Enrolment</v>
      </c>
      <c r="C143" s="9" t="str">
        <f aca="false">IF($A143="","",IFERROR(INDEX(MASTER_DATABASE!$R$4:$R$1000,MATCH($A143,MASTER_DATABASE!$A$4:$A$1000,0)),""))</f>
        <v>To Verify</v>
      </c>
      <c r="D143" s="9" t="str">
        <f aca="false">IF($A143="","",IFERROR(INDEX(MASTER_DATABASE!$S$4:$S$1000,MATCH($A143,MASTER_DATABASE!$A$4:$A$1000,0)),""))</f>
        <v>To Verify</v>
      </c>
      <c r="E143" s="9" t="str">
        <f aca="false">IF($A143="","",IF(AND(OR(ISNUMBER(C143),C143="N/A"),OR(ISNUMBER(D143),D143="N/A"),OR(ISNUMBER(C143),ISNUMBER(D143))),N(C143)+N(D143),"To Verify"))</f>
        <v>To Verify</v>
      </c>
      <c r="F143" s="11" t="str">
        <f aca="false">IF($A143="","",IFERROR(INDEX(MASTER_DATABASE!$U$4:$U$1000,MATCH($A143,MASTER_DATABASE!$A$4:$A$1000,0)),""))</f>
        <v>To Verify</v>
      </c>
      <c r="G143" s="12"/>
      <c r="H143" s="12"/>
      <c r="I143" s="11" t="str">
        <f aca="false">IF($A143="","",IFERROR(INDEX(MASTER_DATABASE!$V$4:$V$1000,MATCH($A143,MASTER_DATABASE!$A$4:$A$1000,0)),""))</f>
        <v>No</v>
      </c>
      <c r="J143" s="6"/>
    </row>
    <row r="144" customFormat="false" ht="15" hidden="false" customHeight="false" outlineLevel="0" collapsed="false">
      <c r="A144" s="5" t="s">
        <v>1716</v>
      </c>
      <c r="B144" s="7" t="str">
        <f aca="false">IF($A144="","",IFERROR(INDEX(MASTER_DATABASE!$E$4:$E$1000,MATCH($A144,MASTER_DATABASE!$A$4:$A$1000,0)),""))</f>
        <v>PMKVY Training Enrolment Assistance</v>
      </c>
      <c r="C144" s="9" t="str">
        <f aca="false">IF($A144="","",IFERROR(INDEX(MASTER_DATABASE!$R$4:$R$1000,MATCH($A144,MASTER_DATABASE!$A$4:$A$1000,0)),""))</f>
        <v>To Verify</v>
      </c>
      <c r="D144" s="9" t="str">
        <f aca="false">IF($A144="","",IFERROR(INDEX(MASTER_DATABASE!$S$4:$S$1000,MATCH($A144,MASTER_DATABASE!$A$4:$A$1000,0)),""))</f>
        <v>To Verify</v>
      </c>
      <c r="E144" s="9" t="str">
        <f aca="false">IF($A144="","",IF(AND(OR(ISNUMBER(C144),C144="N/A"),OR(ISNUMBER(D144),D144="N/A"),OR(ISNUMBER(C144),ISNUMBER(D144))),N(C144)+N(D144),"To Verify"))</f>
        <v>To Verify</v>
      </c>
      <c r="F144" s="11" t="str">
        <f aca="false">IF($A144="","",IFERROR(INDEX(MASTER_DATABASE!$U$4:$U$1000,MATCH($A144,MASTER_DATABASE!$A$4:$A$1000,0)),""))</f>
        <v>To Verify</v>
      </c>
      <c r="G144" s="12"/>
      <c r="H144" s="12"/>
      <c r="I144" s="11" t="str">
        <f aca="false">IF($A144="","",IFERROR(INDEX(MASTER_DATABASE!$V$4:$V$1000,MATCH($A144,MASTER_DATABASE!$A$4:$A$1000,0)),""))</f>
        <v>No</v>
      </c>
      <c r="J144" s="6"/>
    </row>
    <row r="145" customFormat="false" ht="15" hidden="false" customHeight="false" outlineLevel="0" collapsed="false">
      <c r="A145" s="5" t="s">
        <v>1726</v>
      </c>
      <c r="B145" s="7" t="str">
        <f aca="false">IF($A145="","",IFERROR(INDEX(MASTER_DATABASE!$E$4:$E$1000,MATCH($A145,MASTER_DATABASE!$A$4:$A$1000,0)),""))</f>
        <v>e-Challan (Traffic) Payment</v>
      </c>
      <c r="C145" s="9" t="str">
        <f aca="false">IF($A145="","",IFERROR(INDEX(MASTER_DATABASE!$R$4:$R$1000,MATCH($A145,MASTER_DATABASE!$A$4:$A$1000,0)),""))</f>
        <v>To Verify</v>
      </c>
      <c r="D145" s="9" t="str">
        <f aca="false">IF($A145="","",IFERROR(INDEX(MASTER_DATABASE!$S$4:$S$1000,MATCH($A145,MASTER_DATABASE!$A$4:$A$1000,0)),""))</f>
        <v>To Verify</v>
      </c>
      <c r="E145" s="9" t="str">
        <f aca="false">IF($A145="","",IF(AND(OR(ISNUMBER(C145),C145="N/A"),OR(ISNUMBER(D145),D145="N/A"),OR(ISNUMBER(C145),ISNUMBER(D145))),N(C145)+N(D145),"To Verify"))</f>
        <v>To Verify</v>
      </c>
      <c r="F145" s="11" t="str">
        <f aca="false">IF($A145="","",IFERROR(INDEX(MASTER_DATABASE!$U$4:$U$1000,MATCH($A145,MASTER_DATABASE!$A$4:$A$1000,0)),""))</f>
        <v>To Verify</v>
      </c>
      <c r="G145" s="12"/>
      <c r="H145" s="12"/>
      <c r="I145" s="11" t="str">
        <f aca="false">IF($A145="","",IFERROR(INDEX(MASTER_DATABASE!$V$4:$V$1000,MATCH($A145,MASTER_DATABASE!$A$4:$A$1000,0)),""))</f>
        <v>No</v>
      </c>
      <c r="J145" s="6"/>
    </row>
    <row r="146" customFormat="false" ht="15" hidden="false" customHeight="false" outlineLevel="0" collapsed="false">
      <c r="A146" s="5" t="s">
        <v>1738</v>
      </c>
      <c r="B146" s="7" t="str">
        <f aca="false">IF($A146="","",IFERROR(INDEX(MASTER_DATABASE!$E$4:$E$1000,MATCH($A146,MASTER_DATABASE!$A$4:$A$1000,0)),""))</f>
        <v>Vehicle Services (Parivahan / VAHAN) Assistance</v>
      </c>
      <c r="C146" s="9" t="str">
        <f aca="false">IF($A146="","",IFERROR(INDEX(MASTER_DATABASE!$R$4:$R$1000,MATCH($A146,MASTER_DATABASE!$A$4:$A$1000,0)),""))</f>
        <v>To Verify</v>
      </c>
      <c r="D146" s="9" t="str">
        <f aca="false">IF($A146="","",IFERROR(INDEX(MASTER_DATABASE!$S$4:$S$1000,MATCH($A146,MASTER_DATABASE!$A$4:$A$1000,0)),""))</f>
        <v>To Verify</v>
      </c>
      <c r="E146" s="9" t="str">
        <f aca="false">IF($A146="","",IF(AND(OR(ISNUMBER(C146),C146="N/A"),OR(ISNUMBER(D146),D146="N/A"),OR(ISNUMBER(C146),ISNUMBER(D146))),N(C146)+N(D146),"To Verify"))</f>
        <v>To Verify</v>
      </c>
      <c r="F146" s="11" t="str">
        <f aca="false">IF($A146="","",IFERROR(INDEX(MASTER_DATABASE!$U$4:$U$1000,MATCH($A146,MASTER_DATABASE!$A$4:$A$1000,0)),""))</f>
        <v>To Verify</v>
      </c>
      <c r="G146" s="12"/>
      <c r="H146" s="12"/>
      <c r="I146" s="11" t="str">
        <f aca="false">IF($A146="","",IFERROR(INDEX(MASTER_DATABASE!$V$4:$V$1000,MATCH($A146,MASTER_DATABASE!$A$4:$A$1000,0)),""))</f>
        <v>No</v>
      </c>
      <c r="J146" s="6"/>
    </row>
    <row r="147" customFormat="false" ht="15" hidden="false" customHeight="false" outlineLevel="0" collapsed="false">
      <c r="A147" s="5" t="s">
        <v>1748</v>
      </c>
      <c r="B147" s="7" t="str">
        <f aca="false">IF($A147="","",IFERROR(INDEX(MASTER_DATABASE!$E$4:$E$1000,MATCH($A147,MASTER_DATABASE!$A$4:$A$1000,0)),""))</f>
        <v>Digital Signature Certificate (DSC) Issuance</v>
      </c>
      <c r="C147" s="9" t="str">
        <f aca="false">IF($A147="","",IFERROR(INDEX(MASTER_DATABASE!$R$4:$R$1000,MATCH($A147,MASTER_DATABASE!$A$4:$A$1000,0)),""))</f>
        <v>To Verify</v>
      </c>
      <c r="D147" s="9" t="str">
        <f aca="false">IF($A147="","",IFERROR(INDEX(MASTER_DATABASE!$S$4:$S$1000,MATCH($A147,MASTER_DATABASE!$A$4:$A$1000,0)),""))</f>
        <v>To Verify</v>
      </c>
      <c r="E147" s="9" t="str">
        <f aca="false">IF($A147="","",IF(AND(OR(ISNUMBER(C147),C147="N/A"),OR(ISNUMBER(D147),D147="N/A"),OR(ISNUMBER(C147),ISNUMBER(D147))),N(C147)+N(D147),"To Verify"))</f>
        <v>To Verify</v>
      </c>
      <c r="F147" s="11" t="str">
        <f aca="false">IF($A147="","",IFERROR(INDEX(MASTER_DATABASE!$U$4:$U$1000,MATCH($A147,MASTER_DATABASE!$A$4:$A$1000,0)),""))</f>
        <v>To Verify</v>
      </c>
      <c r="G147" s="12"/>
      <c r="H147" s="12"/>
      <c r="I147" s="11" t="str">
        <f aca="false">IF($A147="","",IFERROR(INDEX(MASTER_DATABASE!$V$4:$V$1000,MATCH($A147,MASTER_DATABASE!$A$4:$A$1000,0)),""))</f>
        <v>No</v>
      </c>
      <c r="J147" s="6"/>
    </row>
    <row r="148" customFormat="false" ht="15" hidden="false" customHeight="false" outlineLevel="0" collapsed="false">
      <c r="A148" s="5" t="s">
        <v>1760</v>
      </c>
      <c r="B148" s="7" t="str">
        <f aca="false">IF($A148="","",IFERROR(INDEX(MASTER_DATABASE!$E$4:$E$1000,MATCH($A148,MASTER_DATABASE!$A$4:$A$1000,0)),""))</f>
        <v>Aadhaar eSign Assistance</v>
      </c>
      <c r="C148" s="9" t="str">
        <f aca="false">IF($A148="","",IFERROR(INDEX(MASTER_DATABASE!$R$4:$R$1000,MATCH($A148,MASTER_DATABASE!$A$4:$A$1000,0)),""))</f>
        <v>To Verify</v>
      </c>
      <c r="D148" s="9" t="str">
        <f aca="false">IF($A148="","",IFERROR(INDEX(MASTER_DATABASE!$S$4:$S$1000,MATCH($A148,MASTER_DATABASE!$A$4:$A$1000,0)),""))</f>
        <v>To Verify</v>
      </c>
      <c r="E148" s="9" t="str">
        <f aca="false">IF($A148="","",IF(AND(OR(ISNUMBER(C148),C148="N/A"),OR(ISNUMBER(D148),D148="N/A"),OR(ISNUMBER(C148),ISNUMBER(D148))),N(C148)+N(D148),"To Verify"))</f>
        <v>To Verify</v>
      </c>
      <c r="F148" s="11" t="str">
        <f aca="false">IF($A148="","",IFERROR(INDEX(MASTER_DATABASE!$U$4:$U$1000,MATCH($A148,MASTER_DATABASE!$A$4:$A$1000,0)),""))</f>
        <v>To Verify</v>
      </c>
      <c r="G148" s="12"/>
      <c r="H148" s="12"/>
      <c r="I148" s="11" t="str">
        <f aca="false">IF($A148="","",IFERROR(INDEX(MASTER_DATABASE!$V$4:$V$1000,MATCH($A148,MASTER_DATABASE!$A$4:$A$1000,0)),""))</f>
        <v>No</v>
      </c>
      <c r="J148" s="6"/>
    </row>
    <row r="149" customFormat="false" ht="15" hidden="false" customHeight="false" outlineLevel="0" collapsed="false">
      <c r="A149" s="5" t="s">
        <v>1770</v>
      </c>
      <c r="B149" s="7" t="str">
        <f aca="false">IF($A149="","",IFERROR(INDEX(MASTER_DATABASE!$E$4:$E$1000,MATCH($A149,MASTER_DATABASE!$A$4:$A$1000,0)),""))</f>
        <v>CSC e-Store / Grameen e-Store Orders</v>
      </c>
      <c r="C149" s="9" t="str">
        <f aca="false">IF($A149="","",IFERROR(INDEX(MASTER_DATABASE!$R$4:$R$1000,MATCH($A149,MASTER_DATABASE!$A$4:$A$1000,0)),""))</f>
        <v>To Verify</v>
      </c>
      <c r="D149" s="9" t="str">
        <f aca="false">IF($A149="","",IFERROR(INDEX(MASTER_DATABASE!$S$4:$S$1000,MATCH($A149,MASTER_DATABASE!$A$4:$A$1000,0)),""))</f>
        <v>To Verify</v>
      </c>
      <c r="E149" s="9" t="str">
        <f aca="false">IF($A149="","",IF(AND(OR(ISNUMBER(C149),C149="N/A"),OR(ISNUMBER(D149),D149="N/A"),OR(ISNUMBER(C149),ISNUMBER(D149))),N(C149)+N(D149),"To Verify"))</f>
        <v>To Verify</v>
      </c>
      <c r="F149" s="11" t="str">
        <f aca="false">IF($A149="","",IFERROR(INDEX(MASTER_DATABASE!$U$4:$U$1000,MATCH($A149,MASTER_DATABASE!$A$4:$A$1000,0)),""))</f>
        <v>To Verify</v>
      </c>
      <c r="G149" s="12"/>
      <c r="H149" s="12"/>
      <c r="I149" s="11" t="str">
        <f aca="false">IF($A149="","",IFERROR(INDEX(MASTER_DATABASE!$V$4:$V$1000,MATCH($A149,MASTER_DATABASE!$A$4:$A$1000,0)),""))</f>
        <v>No</v>
      </c>
      <c r="J149" s="6"/>
    </row>
    <row r="150" customFormat="false" ht="15" hidden="false" customHeight="false" outlineLevel="0" collapsed="false">
      <c r="A150" s="5" t="s">
        <v>1780</v>
      </c>
      <c r="B150" s="7" t="str">
        <f aca="false">IF($A150="","",IFERROR(INDEX(MASTER_DATABASE!$E$4:$E$1000,MATCH($A150,MASTER_DATABASE!$A$4:$A$1000,0)),""))</f>
        <v>Udyam (MSME) Registration</v>
      </c>
      <c r="C150" s="9" t="str">
        <f aca="false">IF($A150="","",IFERROR(INDEX(MASTER_DATABASE!$R$4:$R$1000,MATCH($A150,MASTER_DATABASE!$A$4:$A$1000,0)),""))</f>
        <v>To Verify</v>
      </c>
      <c r="D150" s="9" t="str">
        <f aca="false">IF($A150="","",IFERROR(INDEX(MASTER_DATABASE!$S$4:$S$1000,MATCH($A150,MASTER_DATABASE!$A$4:$A$1000,0)),""))</f>
        <v>To Verify</v>
      </c>
      <c r="E150" s="9" t="str">
        <f aca="false">IF($A150="","",IF(AND(OR(ISNUMBER(C150),C150="N/A"),OR(ISNUMBER(D150),D150="N/A"),OR(ISNUMBER(C150),ISNUMBER(D150))),N(C150)+N(D150),"To Verify"))</f>
        <v>To Verify</v>
      </c>
      <c r="F150" s="11" t="str">
        <f aca="false">IF($A150="","",IFERROR(INDEX(MASTER_DATABASE!$U$4:$U$1000,MATCH($A150,MASTER_DATABASE!$A$4:$A$1000,0)),""))</f>
        <v>To Verify</v>
      </c>
      <c r="G150" s="12"/>
      <c r="H150" s="12"/>
      <c r="I150" s="11" t="str">
        <f aca="false">IF($A150="","",IFERROR(INDEX(MASTER_DATABASE!$V$4:$V$1000,MATCH($A150,MASTER_DATABASE!$A$4:$A$1000,0)),""))</f>
        <v>No</v>
      </c>
      <c r="J150" s="6"/>
    </row>
    <row r="151" customFormat="false" ht="15" hidden="false" customHeight="false" outlineLevel="0" collapsed="false">
      <c r="A151" s="5" t="s">
        <v>1792</v>
      </c>
      <c r="B151" s="7" t="str">
        <f aca="false">IF($A151="","",IFERROR(INDEX(MASTER_DATABASE!$E$4:$E$1000,MATCH($A151,MASTER_DATABASE!$A$4:$A$1000,0)),""))</f>
        <v>GST Registration Assistance</v>
      </c>
      <c r="C151" s="9" t="str">
        <f aca="false">IF($A151="","",IFERROR(INDEX(MASTER_DATABASE!$R$4:$R$1000,MATCH($A151,MASTER_DATABASE!$A$4:$A$1000,0)),""))</f>
        <v>To Verify</v>
      </c>
      <c r="D151" s="9" t="str">
        <f aca="false">IF($A151="","",IFERROR(INDEX(MASTER_DATABASE!$S$4:$S$1000,MATCH($A151,MASTER_DATABASE!$A$4:$A$1000,0)),""))</f>
        <v>To Verify</v>
      </c>
      <c r="E151" s="9" t="str">
        <f aca="false">IF($A151="","",IF(AND(OR(ISNUMBER(C151),C151="N/A"),OR(ISNUMBER(D151),D151="N/A"),OR(ISNUMBER(C151),ISNUMBER(D151))),N(C151)+N(D151),"To Verify"))</f>
        <v>To Verify</v>
      </c>
      <c r="F151" s="11" t="str">
        <f aca="false">IF($A151="","",IFERROR(INDEX(MASTER_DATABASE!$U$4:$U$1000,MATCH($A151,MASTER_DATABASE!$A$4:$A$1000,0)),""))</f>
        <v>To Verify</v>
      </c>
      <c r="G151" s="12"/>
      <c r="H151" s="12"/>
      <c r="I151" s="11" t="str">
        <f aca="false">IF($A151="","",IFERROR(INDEX(MASTER_DATABASE!$V$4:$V$1000,MATCH($A151,MASTER_DATABASE!$A$4:$A$1000,0)),""))</f>
        <v>No</v>
      </c>
      <c r="J151" s="6"/>
    </row>
    <row r="152" customFormat="false" ht="15" hidden="false" customHeight="false" outlineLevel="0" collapsed="false">
      <c r="A152" s="5" t="s">
        <v>1803</v>
      </c>
      <c r="B152" s="7" t="str">
        <f aca="false">IF($A152="","",IFERROR(INDEX(MASTER_DATABASE!$E$4:$E$1000,MATCH($A152,MASTER_DATABASE!$A$4:$A$1000,0)),""))</f>
        <v>GST Return Filing Assistance</v>
      </c>
      <c r="C152" s="9" t="str">
        <f aca="false">IF($A152="","",IFERROR(INDEX(MASTER_DATABASE!$R$4:$R$1000,MATCH($A152,MASTER_DATABASE!$A$4:$A$1000,0)),""))</f>
        <v>To Verify</v>
      </c>
      <c r="D152" s="9" t="str">
        <f aca="false">IF($A152="","",IFERROR(INDEX(MASTER_DATABASE!$S$4:$S$1000,MATCH($A152,MASTER_DATABASE!$A$4:$A$1000,0)),""))</f>
        <v>To Verify</v>
      </c>
      <c r="E152" s="9" t="str">
        <f aca="false">IF($A152="","",IF(AND(OR(ISNUMBER(C152),C152="N/A"),OR(ISNUMBER(D152),D152="N/A"),OR(ISNUMBER(C152),ISNUMBER(D152))),N(C152)+N(D152),"To Verify"))</f>
        <v>To Verify</v>
      </c>
      <c r="F152" s="11" t="str">
        <f aca="false">IF($A152="","",IFERROR(INDEX(MASTER_DATABASE!$U$4:$U$1000,MATCH($A152,MASTER_DATABASE!$A$4:$A$1000,0)),""))</f>
        <v>To Verify</v>
      </c>
      <c r="G152" s="12"/>
      <c r="H152" s="12"/>
      <c r="I152" s="11" t="str">
        <f aca="false">IF($A152="","",IFERROR(INDEX(MASTER_DATABASE!$V$4:$V$1000,MATCH($A152,MASTER_DATABASE!$A$4:$A$1000,0)),""))</f>
        <v>No</v>
      </c>
      <c r="J152" s="6"/>
    </row>
    <row r="153" customFormat="false" ht="15" hidden="false" customHeight="false" outlineLevel="0" collapsed="false">
      <c r="A153" s="5" t="s">
        <v>1813</v>
      </c>
      <c r="B153" s="7" t="str">
        <f aca="false">IF($A153="","",IFERROR(INDEX(MASTER_DATABASE!$E$4:$E$1000,MATCH($A153,MASTER_DATABASE!$A$4:$A$1000,0)),""))</f>
        <v>FSSAI Registration / Licence Assistance</v>
      </c>
      <c r="C153" s="9" t="str">
        <f aca="false">IF($A153="","",IFERROR(INDEX(MASTER_DATABASE!$R$4:$R$1000,MATCH($A153,MASTER_DATABASE!$A$4:$A$1000,0)),""))</f>
        <v>To Verify</v>
      </c>
      <c r="D153" s="9" t="str">
        <f aca="false">IF($A153="","",IFERROR(INDEX(MASTER_DATABASE!$S$4:$S$1000,MATCH($A153,MASTER_DATABASE!$A$4:$A$1000,0)),""))</f>
        <v>To Verify</v>
      </c>
      <c r="E153" s="9" t="str">
        <f aca="false">IF($A153="","",IF(AND(OR(ISNUMBER(C153),C153="N/A"),OR(ISNUMBER(D153),D153="N/A"),OR(ISNUMBER(C153),ISNUMBER(D153))),N(C153)+N(D153),"To Verify"))</f>
        <v>To Verify</v>
      </c>
      <c r="F153" s="11" t="str">
        <f aca="false">IF($A153="","",IFERROR(INDEX(MASTER_DATABASE!$U$4:$U$1000,MATCH($A153,MASTER_DATABASE!$A$4:$A$1000,0)),""))</f>
        <v>To Verify</v>
      </c>
      <c r="G153" s="12"/>
      <c r="H153" s="12"/>
      <c r="I153" s="11" t="str">
        <f aca="false">IF($A153="","",IFERROR(INDEX(MASTER_DATABASE!$V$4:$V$1000,MATCH($A153,MASTER_DATABASE!$A$4:$A$1000,0)),""))</f>
        <v>No</v>
      </c>
      <c r="J153" s="6"/>
    </row>
    <row r="154" customFormat="false" ht="15" hidden="false" customHeight="false" outlineLevel="0" collapsed="false">
      <c r="A154" s="5" t="s">
        <v>1823</v>
      </c>
      <c r="B154" s="7" t="str">
        <f aca="false">IF($A154="","",IFERROR(INDEX(MASTER_DATABASE!$E$4:$E$1000,MATCH($A154,MASTER_DATABASE!$A$4:$A$1000,0)),""))</f>
        <v>Income Tax Return (ITR) Filing Assistance</v>
      </c>
      <c r="C154" s="9" t="str">
        <f aca="false">IF($A154="","",IFERROR(INDEX(MASTER_DATABASE!$R$4:$R$1000,MATCH($A154,MASTER_DATABASE!$A$4:$A$1000,0)),""))</f>
        <v>To Verify</v>
      </c>
      <c r="D154" s="9" t="str">
        <f aca="false">IF($A154="","",IFERROR(INDEX(MASTER_DATABASE!$S$4:$S$1000,MATCH($A154,MASTER_DATABASE!$A$4:$A$1000,0)),""))</f>
        <v>To Verify</v>
      </c>
      <c r="E154" s="9" t="str">
        <f aca="false">IF($A154="","",IF(AND(OR(ISNUMBER(C154),C154="N/A"),OR(ISNUMBER(D154),D154="N/A"),OR(ISNUMBER(C154),ISNUMBER(D154))),N(C154)+N(D154),"To Verify"))</f>
        <v>To Verify</v>
      </c>
      <c r="F154" s="11" t="str">
        <f aca="false">IF($A154="","",IFERROR(INDEX(MASTER_DATABASE!$U$4:$U$1000,MATCH($A154,MASTER_DATABASE!$A$4:$A$1000,0)),""))</f>
        <v>To Verify</v>
      </c>
      <c r="G154" s="12"/>
      <c r="H154" s="12"/>
      <c r="I154" s="11" t="str">
        <f aca="false">IF($A154="","",IFERROR(INDEX(MASTER_DATABASE!$V$4:$V$1000,MATCH($A154,MASTER_DATABASE!$A$4:$A$1000,0)),""))</f>
        <v>No</v>
      </c>
      <c r="J154" s="6"/>
    </row>
    <row r="155" customFormat="false" ht="15" hidden="false" customHeight="false" outlineLevel="0" collapsed="false">
      <c r="A155" s="5" t="s">
        <v>1834</v>
      </c>
      <c r="B155" s="7" t="str">
        <f aca="false">IF($A155="","",IFERROR(INDEX(MASTER_DATABASE!$E$4:$E$1000,MATCH($A155,MASTER_DATABASE!$A$4:$A$1000,0)),""))</f>
        <v>Shop &amp; Establishment Registration Assistance</v>
      </c>
      <c r="C155" s="9" t="str">
        <f aca="false">IF($A155="","",IFERROR(INDEX(MASTER_DATABASE!$R$4:$R$1000,MATCH($A155,MASTER_DATABASE!$A$4:$A$1000,0)),""))</f>
        <v>To Verify</v>
      </c>
      <c r="D155" s="9" t="str">
        <f aca="false">IF($A155="","",IFERROR(INDEX(MASTER_DATABASE!$S$4:$S$1000,MATCH($A155,MASTER_DATABASE!$A$4:$A$1000,0)),""))</f>
        <v>To Verify</v>
      </c>
      <c r="E155" s="9" t="str">
        <f aca="false">IF($A155="","",IF(AND(OR(ISNUMBER(C155),C155="N/A"),OR(ISNUMBER(D155),D155="N/A"),OR(ISNUMBER(C155),ISNUMBER(D155))),N(C155)+N(D155),"To Verify"))</f>
        <v>To Verify</v>
      </c>
      <c r="F155" s="11" t="str">
        <f aca="false">IF($A155="","",IFERROR(INDEX(MASTER_DATABASE!$U$4:$U$1000,MATCH($A155,MASTER_DATABASE!$A$4:$A$1000,0)),""))</f>
        <v>To Verify</v>
      </c>
      <c r="G155" s="12"/>
      <c r="H155" s="12"/>
      <c r="I155" s="11" t="str">
        <f aca="false">IF($A155="","",IFERROR(INDEX(MASTER_DATABASE!$V$4:$V$1000,MATCH($A155,MASTER_DATABASE!$A$4:$A$1000,0)),""))</f>
        <v>No</v>
      </c>
      <c r="J155" s="6"/>
    </row>
    <row r="156" customFormat="false" ht="15" hidden="false" customHeight="false" outlineLevel="0" collapsed="false">
      <c r="A156" s="5" t="s">
        <v>1844</v>
      </c>
      <c r="B156" s="7" t="str">
        <f aca="false">IF($A156="","",IFERROR(INDEX(MASTER_DATABASE!$E$4:$E$1000,MATCH($A156,MASTER_DATABASE!$A$4:$A$1000,0)),""))</f>
        <v>Labour (Construction Worker) Registration Assistance</v>
      </c>
      <c r="C156" s="9" t="str">
        <f aca="false">IF($A156="","",IFERROR(INDEX(MASTER_DATABASE!$R$4:$R$1000,MATCH($A156,MASTER_DATABASE!$A$4:$A$1000,0)),""))</f>
        <v>To Verify</v>
      </c>
      <c r="D156" s="9" t="str">
        <f aca="false">IF($A156="","",IFERROR(INDEX(MASTER_DATABASE!$S$4:$S$1000,MATCH($A156,MASTER_DATABASE!$A$4:$A$1000,0)),""))</f>
        <v>To Verify</v>
      </c>
      <c r="E156" s="9" t="str">
        <f aca="false">IF($A156="","",IF(AND(OR(ISNUMBER(C156),C156="N/A"),OR(ISNUMBER(D156),D156="N/A"),OR(ISNUMBER(C156),ISNUMBER(D156))),N(C156)+N(D156),"To Verify"))</f>
        <v>To Verify</v>
      </c>
      <c r="F156" s="11" t="str">
        <f aca="false">IF($A156="","",IFERROR(INDEX(MASTER_DATABASE!$U$4:$U$1000,MATCH($A156,MASTER_DATABASE!$A$4:$A$1000,0)),""))</f>
        <v>To Verify</v>
      </c>
      <c r="G156" s="12"/>
      <c r="H156" s="12"/>
      <c r="I156" s="11" t="str">
        <f aca="false">IF($A156="","",IFERROR(INDEX(MASTER_DATABASE!$V$4:$V$1000,MATCH($A156,MASTER_DATABASE!$A$4:$A$1000,0)),""))</f>
        <v>No</v>
      </c>
      <c r="J156" s="6"/>
    </row>
    <row r="157" customFormat="false" ht="23.85" hidden="false" customHeight="false" outlineLevel="0" collapsed="false">
      <c r="A157" s="5" t="s">
        <v>1854</v>
      </c>
      <c r="B157" s="7" t="str">
        <f aca="false">IF($A157="","",IFERROR(INDEX(MASTER_DATABASE!$E$4:$E$1000,MATCH($A157,MASTER_DATABASE!$A$4:$A$1000,0)),""))</f>
        <v>Academic Bank of Credits (ABC) / APAAR ID Assistance</v>
      </c>
      <c r="C157" s="9" t="str">
        <f aca="false">IF($A157="","",IFERROR(INDEX(MASTER_DATABASE!$R$4:$R$1000,MATCH($A157,MASTER_DATABASE!$A$4:$A$1000,0)),""))</f>
        <v>To Verify</v>
      </c>
      <c r="D157" s="9" t="str">
        <f aca="false">IF($A157="","",IFERROR(INDEX(MASTER_DATABASE!$S$4:$S$1000,MATCH($A157,MASTER_DATABASE!$A$4:$A$1000,0)),""))</f>
        <v>To Verify</v>
      </c>
      <c r="E157" s="9" t="str">
        <f aca="false">IF($A157="","",IF(AND(OR(ISNUMBER(C157),C157="N/A"),OR(ISNUMBER(D157),D157="N/A"),OR(ISNUMBER(C157),ISNUMBER(D157))),N(C157)+N(D157),"To Verify"))</f>
        <v>To Verify</v>
      </c>
      <c r="F157" s="11" t="str">
        <f aca="false">IF($A157="","",IFERROR(INDEX(MASTER_DATABASE!$U$4:$U$1000,MATCH($A157,MASTER_DATABASE!$A$4:$A$1000,0)),""))</f>
        <v>To Verify</v>
      </c>
      <c r="G157" s="12"/>
      <c r="H157" s="12"/>
      <c r="I157" s="11" t="str">
        <f aca="false">IF($A157="","",IFERROR(INDEX(MASTER_DATABASE!$V$4:$V$1000,MATCH($A157,MASTER_DATABASE!$A$4:$A$1000,0)),""))</f>
        <v>No</v>
      </c>
      <c r="J157" s="6"/>
    </row>
    <row r="158" customFormat="false" ht="15" hidden="false" customHeight="false" outlineLevel="0" collapsed="false">
      <c r="A158" s="5" t="s">
        <v>1865</v>
      </c>
      <c r="B158" s="7" t="str">
        <f aca="false">IF($A158="","",IFERROR(INDEX(MASTER_DATABASE!$E$4:$E$1000,MATCH($A158,MASTER_DATABASE!$A$4:$A$1000,0)),""))</f>
        <v>Document Attestation / Apostille Assistance</v>
      </c>
      <c r="C158" s="9" t="str">
        <f aca="false">IF($A158="","",IFERROR(INDEX(MASTER_DATABASE!$R$4:$R$1000,MATCH($A158,MASTER_DATABASE!$A$4:$A$1000,0)),""))</f>
        <v>To Verify</v>
      </c>
      <c r="D158" s="9" t="str">
        <f aca="false">IF($A158="","",IFERROR(INDEX(MASTER_DATABASE!$S$4:$S$1000,MATCH($A158,MASTER_DATABASE!$A$4:$A$1000,0)),""))</f>
        <v>To Verify</v>
      </c>
      <c r="E158" s="9" t="str">
        <f aca="false">IF($A158="","",IF(AND(OR(ISNUMBER(C158),C158="N/A"),OR(ISNUMBER(D158),D158="N/A"),OR(ISNUMBER(C158),ISNUMBER(D158))),N(C158)+N(D158),"To Verify"))</f>
        <v>To Verify</v>
      </c>
      <c r="F158" s="11" t="str">
        <f aca="false">IF($A158="","",IFERROR(INDEX(MASTER_DATABASE!$U$4:$U$1000,MATCH($A158,MASTER_DATABASE!$A$4:$A$1000,0)),""))</f>
        <v>To Verify</v>
      </c>
      <c r="G158" s="12"/>
      <c r="H158" s="12"/>
      <c r="I158" s="11" t="str">
        <f aca="false">IF($A158="","",IFERROR(INDEX(MASTER_DATABASE!$V$4:$V$1000,MATCH($A158,MASTER_DATABASE!$A$4:$A$1000,0)),""))</f>
        <v>No</v>
      </c>
      <c r="J158" s="6"/>
    </row>
    <row r="159" customFormat="false" ht="15" hidden="false" customHeight="false" outlineLevel="0" collapsed="false">
      <c r="A159" s="5" t="s">
        <v>1875</v>
      </c>
      <c r="B159" s="7" t="str">
        <f aca="false">IF($A159="","",IFERROR(INDEX(MASTER_DATABASE!$E$4:$E$1000,MATCH($A159,MASTER_DATABASE!$A$4:$A$1000,0)),""))</f>
        <v>New Mobile Phone Sales (Smartphone)</v>
      </c>
      <c r="C159" s="9" t="str">
        <f aca="false">IF($A159="","",IFERROR(INDEX(MASTER_DATABASE!$R$4:$R$1000,MATCH($A159,MASTER_DATABASE!$A$4:$A$1000,0)),""))</f>
        <v>N/A</v>
      </c>
      <c r="D159" s="9" t="str">
        <f aca="false">IF($A159="","",IFERROR(INDEX(MASTER_DATABASE!$S$4:$S$1000,MATCH($A159,MASTER_DATABASE!$A$4:$A$1000,0)),""))</f>
        <v>To Verify</v>
      </c>
      <c r="E159" s="9" t="str">
        <f aca="false">IF($A159="","",IF(AND(OR(ISNUMBER(C159),C159="N/A"),OR(ISNUMBER(D159),D159="N/A"),OR(ISNUMBER(C159),ISNUMBER(D159))),N(C159)+N(D159),"To Verify"))</f>
        <v>To Verify</v>
      </c>
      <c r="F159" s="11" t="str">
        <f aca="false">IF($A159="","",IFERROR(INDEX(MASTER_DATABASE!$U$4:$U$1000,MATCH($A159,MASTER_DATABASE!$A$4:$A$1000,0)),""))</f>
        <v>Variable</v>
      </c>
      <c r="G159" s="12"/>
      <c r="H159" s="12"/>
      <c r="I159" s="11" t="str">
        <f aca="false">IF($A159="","",IFERROR(INDEX(MASTER_DATABASE!$V$4:$V$1000,MATCH($A159,MASTER_DATABASE!$A$4:$A$1000,0)),""))</f>
        <v>No</v>
      </c>
      <c r="J159" s="6"/>
    </row>
    <row r="160" customFormat="false" ht="15" hidden="false" customHeight="false" outlineLevel="0" collapsed="false">
      <c r="A160" s="5" t="s">
        <v>1893</v>
      </c>
      <c r="B160" s="7" t="str">
        <f aca="false">IF($A160="","",IFERROR(INDEX(MASTER_DATABASE!$E$4:$E$1000,MATCH($A160,MASTER_DATABASE!$A$4:$A$1000,0)),""))</f>
        <v>Keypad / Feature Phone Sales</v>
      </c>
      <c r="C160" s="9" t="str">
        <f aca="false">IF($A160="","",IFERROR(INDEX(MASTER_DATABASE!$R$4:$R$1000,MATCH($A160,MASTER_DATABASE!$A$4:$A$1000,0)),""))</f>
        <v>N/A</v>
      </c>
      <c r="D160" s="9" t="str">
        <f aca="false">IF($A160="","",IFERROR(INDEX(MASTER_DATABASE!$S$4:$S$1000,MATCH($A160,MASTER_DATABASE!$A$4:$A$1000,0)),""))</f>
        <v>To Verify</v>
      </c>
      <c r="E160" s="9" t="str">
        <f aca="false">IF($A160="","",IF(AND(OR(ISNUMBER(C160),C160="N/A"),OR(ISNUMBER(D160),D160="N/A"),OR(ISNUMBER(C160),ISNUMBER(D160))),N(C160)+N(D160),"To Verify"))</f>
        <v>To Verify</v>
      </c>
      <c r="F160" s="11" t="str">
        <f aca="false">IF($A160="","",IFERROR(INDEX(MASTER_DATABASE!$U$4:$U$1000,MATCH($A160,MASTER_DATABASE!$A$4:$A$1000,0)),""))</f>
        <v>Variable</v>
      </c>
      <c r="G160" s="12"/>
      <c r="H160" s="12"/>
      <c r="I160" s="11" t="str">
        <f aca="false">IF($A160="","",IFERROR(INDEX(MASTER_DATABASE!$V$4:$V$1000,MATCH($A160,MASTER_DATABASE!$A$4:$A$1000,0)),""))</f>
        <v>No</v>
      </c>
      <c r="J160" s="6"/>
    </row>
    <row r="161" customFormat="false" ht="15" hidden="false" customHeight="false" outlineLevel="0" collapsed="false">
      <c r="A161" s="5" t="s">
        <v>1903</v>
      </c>
      <c r="B161" s="7" t="str">
        <f aca="false">IF($A161="","",IFERROR(INDEX(MASTER_DATABASE!$E$4:$E$1000,MATCH($A161,MASTER_DATABASE!$A$4:$A$1000,0)),""))</f>
        <v>Mobile Charger</v>
      </c>
      <c r="C161" s="9" t="str">
        <f aca="false">IF($A161="","",IFERROR(INDEX(MASTER_DATABASE!$R$4:$R$1000,MATCH($A161,MASTER_DATABASE!$A$4:$A$1000,0)),""))</f>
        <v>N/A</v>
      </c>
      <c r="D161" s="9" t="str">
        <f aca="false">IF($A161="","",IFERROR(INDEX(MASTER_DATABASE!$S$4:$S$1000,MATCH($A161,MASTER_DATABASE!$A$4:$A$1000,0)),""))</f>
        <v>To Verify</v>
      </c>
      <c r="E161" s="9" t="str">
        <f aca="false">IF($A161="","",IF(AND(OR(ISNUMBER(C161),C161="N/A"),OR(ISNUMBER(D161),D161="N/A"),OR(ISNUMBER(C161),ISNUMBER(D161))),N(C161)+N(D161),"To Verify"))</f>
        <v>To Verify</v>
      </c>
      <c r="F161" s="11" t="str">
        <f aca="false">IF($A161="","",IFERROR(INDEX(MASTER_DATABASE!$U$4:$U$1000,MATCH($A161,MASTER_DATABASE!$A$4:$A$1000,0)),""))</f>
        <v>Variable</v>
      </c>
      <c r="G161" s="12"/>
      <c r="H161" s="12"/>
      <c r="I161" s="11" t="str">
        <f aca="false">IF($A161="","",IFERROR(INDEX(MASTER_DATABASE!$V$4:$V$1000,MATCH($A161,MASTER_DATABASE!$A$4:$A$1000,0)),""))</f>
        <v>No</v>
      </c>
      <c r="J161" s="6"/>
    </row>
    <row r="162" customFormat="false" ht="15" hidden="false" customHeight="false" outlineLevel="0" collapsed="false">
      <c r="A162" s="5" t="s">
        <v>1914</v>
      </c>
      <c r="B162" s="7" t="str">
        <f aca="false">IF($A162="","",IFERROR(INDEX(MASTER_DATABASE!$E$4:$E$1000,MATCH($A162,MASTER_DATABASE!$A$4:$A$1000,0)),""))</f>
        <v>Data Cable</v>
      </c>
      <c r="C162" s="9" t="str">
        <f aca="false">IF($A162="","",IFERROR(INDEX(MASTER_DATABASE!$R$4:$R$1000,MATCH($A162,MASTER_DATABASE!$A$4:$A$1000,0)),""))</f>
        <v>N/A</v>
      </c>
      <c r="D162" s="9" t="str">
        <f aca="false">IF($A162="","",IFERROR(INDEX(MASTER_DATABASE!$S$4:$S$1000,MATCH($A162,MASTER_DATABASE!$A$4:$A$1000,0)),""))</f>
        <v>To Verify</v>
      </c>
      <c r="E162" s="9" t="str">
        <f aca="false">IF($A162="","",IF(AND(OR(ISNUMBER(C162),C162="N/A"),OR(ISNUMBER(D162),D162="N/A"),OR(ISNUMBER(C162),ISNUMBER(D162))),N(C162)+N(D162),"To Verify"))</f>
        <v>To Verify</v>
      </c>
      <c r="F162" s="11" t="str">
        <f aca="false">IF($A162="","",IFERROR(INDEX(MASTER_DATABASE!$U$4:$U$1000,MATCH($A162,MASTER_DATABASE!$A$4:$A$1000,0)),""))</f>
        <v>Variable</v>
      </c>
      <c r="G162" s="12"/>
      <c r="H162" s="12"/>
      <c r="I162" s="11" t="str">
        <f aca="false">IF($A162="","",IFERROR(INDEX(MASTER_DATABASE!$V$4:$V$1000,MATCH($A162,MASTER_DATABASE!$A$4:$A$1000,0)),""))</f>
        <v>No</v>
      </c>
      <c r="J162" s="6"/>
    </row>
    <row r="163" customFormat="false" ht="15" hidden="false" customHeight="false" outlineLevel="0" collapsed="false">
      <c r="A163" s="5" t="s">
        <v>1923</v>
      </c>
      <c r="B163" s="7" t="str">
        <f aca="false">IF($A163="","",IFERROR(INDEX(MASTER_DATABASE!$E$4:$E$1000,MATCH($A163,MASTER_DATABASE!$A$4:$A$1000,0)),""))</f>
        <v>Power Bank</v>
      </c>
      <c r="C163" s="9" t="str">
        <f aca="false">IF($A163="","",IFERROR(INDEX(MASTER_DATABASE!$R$4:$R$1000,MATCH($A163,MASTER_DATABASE!$A$4:$A$1000,0)),""))</f>
        <v>N/A</v>
      </c>
      <c r="D163" s="9" t="str">
        <f aca="false">IF($A163="","",IFERROR(INDEX(MASTER_DATABASE!$S$4:$S$1000,MATCH($A163,MASTER_DATABASE!$A$4:$A$1000,0)),""))</f>
        <v>To Verify</v>
      </c>
      <c r="E163" s="9" t="str">
        <f aca="false">IF($A163="","",IF(AND(OR(ISNUMBER(C163),C163="N/A"),OR(ISNUMBER(D163),D163="N/A"),OR(ISNUMBER(C163),ISNUMBER(D163))),N(C163)+N(D163),"To Verify"))</f>
        <v>To Verify</v>
      </c>
      <c r="F163" s="11" t="str">
        <f aca="false">IF($A163="","",IFERROR(INDEX(MASTER_DATABASE!$U$4:$U$1000,MATCH($A163,MASTER_DATABASE!$A$4:$A$1000,0)),""))</f>
        <v>Variable</v>
      </c>
      <c r="G163" s="12"/>
      <c r="H163" s="12"/>
      <c r="I163" s="11" t="str">
        <f aca="false">IF($A163="","",IFERROR(INDEX(MASTER_DATABASE!$V$4:$V$1000,MATCH($A163,MASTER_DATABASE!$A$4:$A$1000,0)),""))</f>
        <v>No</v>
      </c>
      <c r="J163" s="6"/>
    </row>
    <row r="164" customFormat="false" ht="15" hidden="false" customHeight="false" outlineLevel="0" collapsed="false">
      <c r="A164" s="5" t="s">
        <v>1932</v>
      </c>
      <c r="B164" s="7" t="str">
        <f aca="false">IF($A164="","",IFERROR(INDEX(MASTER_DATABASE!$E$4:$E$1000,MATCH($A164,MASTER_DATABASE!$A$4:$A$1000,0)),""))</f>
        <v>Earphone (Wired)</v>
      </c>
      <c r="C164" s="9" t="str">
        <f aca="false">IF($A164="","",IFERROR(INDEX(MASTER_DATABASE!$R$4:$R$1000,MATCH($A164,MASTER_DATABASE!$A$4:$A$1000,0)),""))</f>
        <v>N/A</v>
      </c>
      <c r="D164" s="9" t="str">
        <f aca="false">IF($A164="","",IFERROR(INDEX(MASTER_DATABASE!$S$4:$S$1000,MATCH($A164,MASTER_DATABASE!$A$4:$A$1000,0)),""))</f>
        <v>To Verify</v>
      </c>
      <c r="E164" s="9" t="str">
        <f aca="false">IF($A164="","",IF(AND(OR(ISNUMBER(C164),C164="N/A"),OR(ISNUMBER(D164),D164="N/A"),OR(ISNUMBER(C164),ISNUMBER(D164))),N(C164)+N(D164),"To Verify"))</f>
        <v>To Verify</v>
      </c>
      <c r="F164" s="11" t="str">
        <f aca="false">IF($A164="","",IFERROR(INDEX(MASTER_DATABASE!$U$4:$U$1000,MATCH($A164,MASTER_DATABASE!$A$4:$A$1000,0)),""))</f>
        <v>Variable</v>
      </c>
      <c r="G164" s="12"/>
      <c r="H164" s="12"/>
      <c r="I164" s="11" t="str">
        <f aca="false">IF($A164="","",IFERROR(INDEX(MASTER_DATABASE!$V$4:$V$1000,MATCH($A164,MASTER_DATABASE!$A$4:$A$1000,0)),""))</f>
        <v>No</v>
      </c>
      <c r="J164" s="6"/>
    </row>
    <row r="165" customFormat="false" ht="15" hidden="false" customHeight="false" outlineLevel="0" collapsed="false">
      <c r="A165" s="5" t="s">
        <v>1943</v>
      </c>
      <c r="B165" s="7" t="str">
        <f aca="false">IF($A165="","",IFERROR(INDEX(MASTER_DATABASE!$E$4:$E$1000,MATCH($A165,MASTER_DATABASE!$A$4:$A$1000,0)),""))</f>
        <v>Bluetooth Earphone</v>
      </c>
      <c r="C165" s="9" t="str">
        <f aca="false">IF($A165="","",IFERROR(INDEX(MASTER_DATABASE!$R$4:$R$1000,MATCH($A165,MASTER_DATABASE!$A$4:$A$1000,0)),""))</f>
        <v>N/A</v>
      </c>
      <c r="D165" s="9" t="str">
        <f aca="false">IF($A165="","",IFERROR(INDEX(MASTER_DATABASE!$S$4:$S$1000,MATCH($A165,MASTER_DATABASE!$A$4:$A$1000,0)),""))</f>
        <v>To Verify</v>
      </c>
      <c r="E165" s="9" t="str">
        <f aca="false">IF($A165="","",IF(AND(OR(ISNUMBER(C165),C165="N/A"),OR(ISNUMBER(D165),D165="N/A"),OR(ISNUMBER(C165),ISNUMBER(D165))),N(C165)+N(D165),"To Verify"))</f>
        <v>To Verify</v>
      </c>
      <c r="F165" s="11" t="str">
        <f aca="false">IF($A165="","",IFERROR(INDEX(MASTER_DATABASE!$U$4:$U$1000,MATCH($A165,MASTER_DATABASE!$A$4:$A$1000,0)),""))</f>
        <v>Variable</v>
      </c>
      <c r="G165" s="12"/>
      <c r="H165" s="12"/>
      <c r="I165" s="11" t="str">
        <f aca="false">IF($A165="","",IFERROR(INDEX(MASTER_DATABASE!$V$4:$V$1000,MATCH($A165,MASTER_DATABASE!$A$4:$A$1000,0)),""))</f>
        <v>No</v>
      </c>
      <c r="J165" s="6"/>
    </row>
    <row r="166" customFormat="false" ht="15" hidden="false" customHeight="false" outlineLevel="0" collapsed="false">
      <c r="A166" s="5" t="s">
        <v>1952</v>
      </c>
      <c r="B166" s="7" t="str">
        <f aca="false">IF($A166="","",IFERROR(INDEX(MASTER_DATABASE!$E$4:$E$1000,MATCH($A166,MASTER_DATABASE!$A$4:$A$1000,0)),""))</f>
        <v>Speaker</v>
      </c>
      <c r="C166" s="9" t="str">
        <f aca="false">IF($A166="","",IFERROR(INDEX(MASTER_DATABASE!$R$4:$R$1000,MATCH($A166,MASTER_DATABASE!$A$4:$A$1000,0)),""))</f>
        <v>N/A</v>
      </c>
      <c r="D166" s="9" t="str">
        <f aca="false">IF($A166="","",IFERROR(INDEX(MASTER_DATABASE!$S$4:$S$1000,MATCH($A166,MASTER_DATABASE!$A$4:$A$1000,0)),""))</f>
        <v>To Verify</v>
      </c>
      <c r="E166" s="9" t="str">
        <f aca="false">IF($A166="","",IF(AND(OR(ISNUMBER(C166),C166="N/A"),OR(ISNUMBER(D166),D166="N/A"),OR(ISNUMBER(C166),ISNUMBER(D166))),N(C166)+N(D166),"To Verify"))</f>
        <v>To Verify</v>
      </c>
      <c r="F166" s="11" t="str">
        <f aca="false">IF($A166="","",IFERROR(INDEX(MASTER_DATABASE!$U$4:$U$1000,MATCH($A166,MASTER_DATABASE!$A$4:$A$1000,0)),""))</f>
        <v>Variable</v>
      </c>
      <c r="G166" s="12"/>
      <c r="H166" s="12"/>
      <c r="I166" s="11" t="str">
        <f aca="false">IF($A166="","",IFERROR(INDEX(MASTER_DATABASE!$V$4:$V$1000,MATCH($A166,MASTER_DATABASE!$A$4:$A$1000,0)),""))</f>
        <v>No</v>
      </c>
      <c r="J166" s="6"/>
    </row>
    <row r="167" customFormat="false" ht="15" hidden="false" customHeight="false" outlineLevel="0" collapsed="false">
      <c r="A167" s="5" t="s">
        <v>1961</v>
      </c>
      <c r="B167" s="7" t="str">
        <f aca="false">IF($A167="","",IFERROR(INDEX(MASTER_DATABASE!$E$4:$E$1000,MATCH($A167,MASTER_DATABASE!$A$4:$A$1000,0)),""))</f>
        <v>Mobile Cover</v>
      </c>
      <c r="C167" s="9" t="str">
        <f aca="false">IF($A167="","",IFERROR(INDEX(MASTER_DATABASE!$R$4:$R$1000,MATCH($A167,MASTER_DATABASE!$A$4:$A$1000,0)),""))</f>
        <v>N/A</v>
      </c>
      <c r="D167" s="9" t="str">
        <f aca="false">IF($A167="","",IFERROR(INDEX(MASTER_DATABASE!$S$4:$S$1000,MATCH($A167,MASTER_DATABASE!$A$4:$A$1000,0)),""))</f>
        <v>To Verify</v>
      </c>
      <c r="E167" s="9" t="str">
        <f aca="false">IF($A167="","",IF(AND(OR(ISNUMBER(C167),C167="N/A"),OR(ISNUMBER(D167),D167="N/A"),OR(ISNUMBER(C167),ISNUMBER(D167))),N(C167)+N(D167),"To Verify"))</f>
        <v>To Verify</v>
      </c>
      <c r="F167" s="11" t="str">
        <f aca="false">IF($A167="","",IFERROR(INDEX(MASTER_DATABASE!$U$4:$U$1000,MATCH($A167,MASTER_DATABASE!$A$4:$A$1000,0)),""))</f>
        <v>Variable</v>
      </c>
      <c r="G167" s="12"/>
      <c r="H167" s="12"/>
      <c r="I167" s="11" t="str">
        <f aca="false">IF($A167="","",IFERROR(INDEX(MASTER_DATABASE!$V$4:$V$1000,MATCH($A167,MASTER_DATABASE!$A$4:$A$1000,0)),""))</f>
        <v>No</v>
      </c>
      <c r="J167" s="6"/>
    </row>
    <row r="168" customFormat="false" ht="15" hidden="false" customHeight="false" outlineLevel="0" collapsed="false">
      <c r="A168" s="5" t="s">
        <v>1971</v>
      </c>
      <c r="B168" s="7" t="str">
        <f aca="false">IF($A168="","",IFERROR(INDEX(MASTER_DATABASE!$E$4:$E$1000,MATCH($A168,MASTER_DATABASE!$A$4:$A$1000,0)),""))</f>
        <v>Tempered Glass</v>
      </c>
      <c r="C168" s="9" t="str">
        <f aca="false">IF($A168="","",IFERROR(INDEX(MASTER_DATABASE!$R$4:$R$1000,MATCH($A168,MASTER_DATABASE!$A$4:$A$1000,0)),""))</f>
        <v>N/A</v>
      </c>
      <c r="D168" s="9" t="str">
        <f aca="false">IF($A168="","",IFERROR(INDEX(MASTER_DATABASE!$S$4:$S$1000,MATCH($A168,MASTER_DATABASE!$A$4:$A$1000,0)),""))</f>
        <v>To Verify</v>
      </c>
      <c r="E168" s="9" t="str">
        <f aca="false">IF($A168="","",IF(AND(OR(ISNUMBER(C168),C168="N/A"),OR(ISNUMBER(D168),D168="N/A"),OR(ISNUMBER(C168),ISNUMBER(D168))),N(C168)+N(D168),"To Verify"))</f>
        <v>To Verify</v>
      </c>
      <c r="F168" s="11" t="str">
        <f aca="false">IF($A168="","",IFERROR(INDEX(MASTER_DATABASE!$U$4:$U$1000,MATCH($A168,MASTER_DATABASE!$A$4:$A$1000,0)),""))</f>
        <v>Variable</v>
      </c>
      <c r="G168" s="12"/>
      <c r="H168" s="12"/>
      <c r="I168" s="11" t="str">
        <f aca="false">IF($A168="","",IFERROR(INDEX(MASTER_DATABASE!$V$4:$V$1000,MATCH($A168,MASTER_DATABASE!$A$4:$A$1000,0)),""))</f>
        <v>No</v>
      </c>
      <c r="J168" s="6"/>
    </row>
    <row r="169" customFormat="false" ht="15" hidden="false" customHeight="false" outlineLevel="0" collapsed="false">
      <c r="A169" s="5" t="s">
        <v>1980</v>
      </c>
      <c r="B169" s="7" t="str">
        <f aca="false">IF($A169="","",IFERROR(INDEX(MASTER_DATABASE!$E$4:$E$1000,MATCH($A169,MASTER_DATABASE!$A$4:$A$1000,0)),""))</f>
        <v>Tempered Glass Fitting</v>
      </c>
      <c r="C169" s="9" t="str">
        <f aca="false">IF($A169="","",IFERROR(INDEX(MASTER_DATABASE!$R$4:$R$1000,MATCH($A169,MASTER_DATABASE!$A$4:$A$1000,0)),""))</f>
        <v>N/A</v>
      </c>
      <c r="D169" s="9" t="str">
        <f aca="false">IF($A169="","",IFERROR(INDEX(MASTER_DATABASE!$S$4:$S$1000,MATCH($A169,MASTER_DATABASE!$A$4:$A$1000,0)),""))</f>
        <v>To Verify</v>
      </c>
      <c r="E169" s="9" t="str">
        <f aca="false">IF($A169="","",IF(AND(OR(ISNUMBER(C169),C169="N/A"),OR(ISNUMBER(D169),D169="N/A"),OR(ISNUMBER(C169),ISNUMBER(D169))),N(C169)+N(D169),"To Verify"))</f>
        <v>To Verify</v>
      </c>
      <c r="F169" s="11" t="str">
        <f aca="false">IF($A169="","",IFERROR(INDEX(MASTER_DATABASE!$U$4:$U$1000,MATCH($A169,MASTER_DATABASE!$A$4:$A$1000,0)),""))</f>
        <v>Variable</v>
      </c>
      <c r="G169" s="12"/>
      <c r="H169" s="12"/>
      <c r="I169" s="11" t="str">
        <f aca="false">IF($A169="","",IFERROR(INDEX(MASTER_DATABASE!$V$4:$V$1000,MATCH($A169,MASTER_DATABASE!$A$4:$A$1000,0)),""))</f>
        <v>No</v>
      </c>
      <c r="J169" s="6"/>
    </row>
    <row r="170" customFormat="false" ht="15" hidden="false" customHeight="false" outlineLevel="0" collapsed="false">
      <c r="A170" s="5" t="s">
        <v>1989</v>
      </c>
      <c r="B170" s="7" t="str">
        <f aca="false">IF($A170="","",IFERROR(INDEX(MASTER_DATABASE!$E$4:$E$1000,MATCH($A170,MASTER_DATABASE!$A$4:$A$1000,0)),""))</f>
        <v>Memory Card</v>
      </c>
      <c r="C170" s="9" t="str">
        <f aca="false">IF($A170="","",IFERROR(INDEX(MASTER_DATABASE!$R$4:$R$1000,MATCH($A170,MASTER_DATABASE!$A$4:$A$1000,0)),""))</f>
        <v>N/A</v>
      </c>
      <c r="D170" s="9" t="str">
        <f aca="false">IF($A170="","",IFERROR(INDEX(MASTER_DATABASE!$S$4:$S$1000,MATCH($A170,MASTER_DATABASE!$A$4:$A$1000,0)),""))</f>
        <v>To Verify</v>
      </c>
      <c r="E170" s="9" t="str">
        <f aca="false">IF($A170="","",IF(AND(OR(ISNUMBER(C170),C170="N/A"),OR(ISNUMBER(D170),D170="N/A"),OR(ISNUMBER(C170),ISNUMBER(D170))),N(C170)+N(D170),"To Verify"))</f>
        <v>To Verify</v>
      </c>
      <c r="F170" s="11" t="str">
        <f aca="false">IF($A170="","",IFERROR(INDEX(MASTER_DATABASE!$U$4:$U$1000,MATCH($A170,MASTER_DATABASE!$A$4:$A$1000,0)),""))</f>
        <v>Variable</v>
      </c>
      <c r="G170" s="12"/>
      <c r="H170" s="12"/>
      <c r="I170" s="11" t="str">
        <f aca="false">IF($A170="","",IFERROR(INDEX(MASTER_DATABASE!$V$4:$V$1000,MATCH($A170,MASTER_DATABASE!$A$4:$A$1000,0)),""))</f>
        <v>No</v>
      </c>
      <c r="J170" s="6"/>
    </row>
    <row r="171" customFormat="false" ht="15" hidden="false" customHeight="false" outlineLevel="0" collapsed="false">
      <c r="A171" s="5" t="s">
        <v>2000</v>
      </c>
      <c r="B171" s="7" t="str">
        <f aca="false">IF($A171="","",IFERROR(INDEX(MASTER_DATABASE!$E$4:$E$1000,MATCH($A171,MASTER_DATABASE!$A$4:$A$1000,0)),""))</f>
        <v>Pendrive</v>
      </c>
      <c r="C171" s="9" t="str">
        <f aca="false">IF($A171="","",IFERROR(INDEX(MASTER_DATABASE!$R$4:$R$1000,MATCH($A171,MASTER_DATABASE!$A$4:$A$1000,0)),""))</f>
        <v>N/A</v>
      </c>
      <c r="D171" s="9" t="str">
        <f aca="false">IF($A171="","",IFERROR(INDEX(MASTER_DATABASE!$S$4:$S$1000,MATCH($A171,MASTER_DATABASE!$A$4:$A$1000,0)),""))</f>
        <v>To Verify</v>
      </c>
      <c r="E171" s="9" t="str">
        <f aca="false">IF($A171="","",IF(AND(OR(ISNUMBER(C171),C171="N/A"),OR(ISNUMBER(D171),D171="N/A"),OR(ISNUMBER(C171),ISNUMBER(D171))),N(C171)+N(D171),"To Verify"))</f>
        <v>To Verify</v>
      </c>
      <c r="F171" s="11" t="str">
        <f aca="false">IF($A171="","",IFERROR(INDEX(MASTER_DATABASE!$U$4:$U$1000,MATCH($A171,MASTER_DATABASE!$A$4:$A$1000,0)),""))</f>
        <v>Variable</v>
      </c>
      <c r="G171" s="12"/>
      <c r="H171" s="12"/>
      <c r="I171" s="11" t="str">
        <f aca="false">IF($A171="","",IFERROR(INDEX(MASTER_DATABASE!$V$4:$V$1000,MATCH($A171,MASTER_DATABASE!$A$4:$A$1000,0)),""))</f>
        <v>No</v>
      </c>
      <c r="J171" s="6"/>
    </row>
    <row r="172" customFormat="false" ht="15" hidden="false" customHeight="false" outlineLevel="0" collapsed="false">
      <c r="A172" s="5" t="s">
        <v>2009</v>
      </c>
      <c r="B172" s="7" t="str">
        <f aca="false">IF($A172="","",IFERROR(INDEX(MASTER_DATABASE!$E$4:$E$1000,MATCH($A172,MASTER_DATABASE!$A$4:$A$1000,0)),""))</f>
        <v>New SIM Card Sale / Activation</v>
      </c>
      <c r="C172" s="9" t="str">
        <f aca="false">IF($A172="","",IFERROR(INDEX(MASTER_DATABASE!$R$4:$R$1000,MATCH($A172,MASTER_DATABASE!$A$4:$A$1000,0)),""))</f>
        <v>To Verify</v>
      </c>
      <c r="D172" s="9" t="str">
        <f aca="false">IF($A172="","",IFERROR(INDEX(MASTER_DATABASE!$S$4:$S$1000,MATCH($A172,MASTER_DATABASE!$A$4:$A$1000,0)),""))</f>
        <v>To Verify</v>
      </c>
      <c r="E172" s="9" t="str">
        <f aca="false">IF($A172="","",IF(AND(OR(ISNUMBER(C172),C172="N/A"),OR(ISNUMBER(D172),D172="N/A"),OR(ISNUMBER(C172),ISNUMBER(D172))),N(C172)+N(D172),"To Verify"))</f>
        <v>To Verify</v>
      </c>
      <c r="F172" s="11" t="str">
        <f aca="false">IF($A172="","",IFERROR(INDEX(MASTER_DATABASE!$U$4:$U$1000,MATCH($A172,MASTER_DATABASE!$A$4:$A$1000,0)),""))</f>
        <v>To Verify</v>
      </c>
      <c r="G172" s="12"/>
      <c r="H172" s="12"/>
      <c r="I172" s="11" t="str">
        <f aca="false">IF($A172="","",IFERROR(INDEX(MASTER_DATABASE!$V$4:$V$1000,MATCH($A172,MASTER_DATABASE!$A$4:$A$1000,0)),""))</f>
        <v>No</v>
      </c>
      <c r="J172" s="6"/>
    </row>
    <row r="173" customFormat="false" ht="15" hidden="false" customHeight="false" outlineLevel="0" collapsed="false">
      <c r="A173" s="5" t="s">
        <v>2024</v>
      </c>
      <c r="B173" s="7" t="str">
        <f aca="false">IF($A173="","",IFERROR(INDEX(MASTER_DATABASE!$E$4:$E$1000,MATCH($A173,MASTER_DATABASE!$A$4:$A$1000,0)),""))</f>
        <v>SIM Replacement (Lost / Damaged SIM)</v>
      </c>
      <c r="C173" s="9" t="str">
        <f aca="false">IF($A173="","",IFERROR(INDEX(MASTER_DATABASE!$R$4:$R$1000,MATCH($A173,MASTER_DATABASE!$A$4:$A$1000,0)),""))</f>
        <v>To Verify</v>
      </c>
      <c r="D173" s="9" t="str">
        <f aca="false">IF($A173="","",IFERROR(INDEX(MASTER_DATABASE!$S$4:$S$1000,MATCH($A173,MASTER_DATABASE!$A$4:$A$1000,0)),""))</f>
        <v>To Verify</v>
      </c>
      <c r="E173" s="9" t="str">
        <f aca="false">IF($A173="","",IF(AND(OR(ISNUMBER(C173),C173="N/A"),OR(ISNUMBER(D173),D173="N/A"),OR(ISNUMBER(C173),ISNUMBER(D173))),N(C173)+N(D173),"To Verify"))</f>
        <v>To Verify</v>
      </c>
      <c r="F173" s="11" t="str">
        <f aca="false">IF($A173="","",IFERROR(INDEX(MASTER_DATABASE!$U$4:$U$1000,MATCH($A173,MASTER_DATABASE!$A$4:$A$1000,0)),""))</f>
        <v>To Verify</v>
      </c>
      <c r="G173" s="12"/>
      <c r="H173" s="12"/>
      <c r="I173" s="11" t="str">
        <f aca="false">IF($A173="","",IFERROR(INDEX(MASTER_DATABASE!$V$4:$V$1000,MATCH($A173,MASTER_DATABASE!$A$4:$A$1000,0)),""))</f>
        <v>No</v>
      </c>
      <c r="J173" s="6"/>
    </row>
    <row r="174" customFormat="false" ht="15" hidden="false" customHeight="false" outlineLevel="0" collapsed="false">
      <c r="A174" s="5" t="s">
        <v>2035</v>
      </c>
      <c r="B174" s="7" t="str">
        <f aca="false">IF($A174="","",IFERROR(INDEX(MASTER_DATABASE!$E$4:$E$1000,MATCH($A174,MASTER_DATABASE!$A$4:$A$1000,0)),""))</f>
        <v>Mobile Number Portability (MNP) Assistance</v>
      </c>
      <c r="C174" s="9" t="str">
        <f aca="false">IF($A174="","",IFERROR(INDEX(MASTER_DATABASE!$R$4:$R$1000,MATCH($A174,MASTER_DATABASE!$A$4:$A$1000,0)),""))</f>
        <v>To Verify</v>
      </c>
      <c r="D174" s="9" t="str">
        <f aca="false">IF($A174="","",IFERROR(INDEX(MASTER_DATABASE!$S$4:$S$1000,MATCH($A174,MASTER_DATABASE!$A$4:$A$1000,0)),""))</f>
        <v>To Verify</v>
      </c>
      <c r="E174" s="9" t="str">
        <f aca="false">IF($A174="","",IF(AND(OR(ISNUMBER(C174),C174="N/A"),OR(ISNUMBER(D174),D174="N/A"),OR(ISNUMBER(C174),ISNUMBER(D174))),N(C174)+N(D174),"To Verify"))</f>
        <v>To Verify</v>
      </c>
      <c r="F174" s="11" t="str">
        <f aca="false">IF($A174="","",IFERROR(INDEX(MASTER_DATABASE!$U$4:$U$1000,MATCH($A174,MASTER_DATABASE!$A$4:$A$1000,0)),""))</f>
        <v>To Verify</v>
      </c>
      <c r="G174" s="12"/>
      <c r="H174" s="12"/>
      <c r="I174" s="11" t="str">
        <f aca="false">IF($A174="","",IFERROR(INDEX(MASTER_DATABASE!$V$4:$V$1000,MATCH($A174,MASTER_DATABASE!$A$4:$A$1000,0)),""))</f>
        <v>No</v>
      </c>
      <c r="J174" s="6"/>
    </row>
    <row r="175" customFormat="false" ht="15" hidden="false" customHeight="false" outlineLevel="0" collapsed="false">
      <c r="A175" s="5" t="s">
        <v>2045</v>
      </c>
      <c r="B175" s="7" t="str">
        <f aca="false">IF($A175="","",IFERROR(INDEX(MASTER_DATABASE!$E$4:$E$1000,MATCH($A175,MASTER_DATABASE!$A$4:$A$1000,0)),""))</f>
        <v>SIM KYC / Re-verification Assistance</v>
      </c>
      <c r="C175" s="9" t="str">
        <f aca="false">IF($A175="","",IFERROR(INDEX(MASTER_DATABASE!$R$4:$R$1000,MATCH($A175,MASTER_DATABASE!$A$4:$A$1000,0)),""))</f>
        <v>To Verify</v>
      </c>
      <c r="D175" s="9" t="str">
        <f aca="false">IF($A175="","",IFERROR(INDEX(MASTER_DATABASE!$S$4:$S$1000,MATCH($A175,MASTER_DATABASE!$A$4:$A$1000,0)),""))</f>
        <v>To Verify</v>
      </c>
      <c r="E175" s="9" t="str">
        <f aca="false">IF($A175="","",IF(AND(OR(ISNUMBER(C175),C175="N/A"),OR(ISNUMBER(D175),D175="N/A"),OR(ISNUMBER(C175),ISNUMBER(D175))),N(C175)+N(D175),"To Verify"))</f>
        <v>To Verify</v>
      </c>
      <c r="F175" s="11" t="str">
        <f aca="false">IF($A175="","",IFERROR(INDEX(MASTER_DATABASE!$U$4:$U$1000,MATCH($A175,MASTER_DATABASE!$A$4:$A$1000,0)),""))</f>
        <v>To Verify</v>
      </c>
      <c r="G175" s="12"/>
      <c r="H175" s="12"/>
      <c r="I175" s="11" t="str">
        <f aca="false">IF($A175="","",IFERROR(INDEX(MASTER_DATABASE!$V$4:$V$1000,MATCH($A175,MASTER_DATABASE!$A$4:$A$1000,0)),""))</f>
        <v>No</v>
      </c>
      <c r="J175" s="6"/>
    </row>
    <row r="176" customFormat="false" ht="15" hidden="false" customHeight="false" outlineLevel="0" collapsed="false">
      <c r="A176" s="5" t="s">
        <v>2055</v>
      </c>
      <c r="B176" s="7" t="str">
        <f aca="false">IF($A176="","",IFERROR(INDEX(MASTER_DATABASE!$E$4:$E$1000,MATCH($A176,MASTER_DATABASE!$A$4:$A$1000,0)),""))</f>
        <v>Basic Mobile Setup (New Phone)</v>
      </c>
      <c r="C176" s="9" t="str">
        <f aca="false">IF($A176="","",IFERROR(INDEX(MASTER_DATABASE!$R$4:$R$1000,MATCH($A176,MASTER_DATABASE!$A$4:$A$1000,0)),""))</f>
        <v>N/A</v>
      </c>
      <c r="D176" s="9" t="str">
        <f aca="false">IF($A176="","",IFERROR(INDEX(MASTER_DATABASE!$S$4:$S$1000,MATCH($A176,MASTER_DATABASE!$A$4:$A$1000,0)),""))</f>
        <v>To Verify</v>
      </c>
      <c r="E176" s="9" t="str">
        <f aca="false">IF($A176="","",IF(AND(OR(ISNUMBER(C176),C176="N/A"),OR(ISNUMBER(D176),D176="N/A"),OR(ISNUMBER(C176),ISNUMBER(D176))),N(C176)+N(D176),"To Verify"))</f>
        <v>To Verify</v>
      </c>
      <c r="F176" s="11" t="str">
        <f aca="false">IF($A176="","",IFERROR(INDEX(MASTER_DATABASE!$U$4:$U$1000,MATCH($A176,MASTER_DATABASE!$A$4:$A$1000,0)),""))</f>
        <v>Shop Charge Only</v>
      </c>
      <c r="G176" s="12"/>
      <c r="H176" s="12"/>
      <c r="I176" s="11" t="str">
        <f aca="false">IF($A176="","",IFERROR(INDEX(MASTER_DATABASE!$V$4:$V$1000,MATCH($A176,MASTER_DATABASE!$A$4:$A$1000,0)),""))</f>
        <v>No</v>
      </c>
      <c r="J176" s="6"/>
    </row>
    <row r="177" customFormat="false" ht="15" hidden="false" customHeight="false" outlineLevel="0" collapsed="false">
      <c r="A177" s="5" t="s">
        <v>2068</v>
      </c>
      <c r="B177" s="7" t="str">
        <f aca="false">IF($A177="","",IFERROR(INDEX(MASTER_DATABASE!$E$4:$E$1000,MATCH($A177,MASTER_DATABASE!$A$4:$A$1000,0)),""))</f>
        <v>App Installation / Setup</v>
      </c>
      <c r="C177" s="9" t="str">
        <f aca="false">IF($A177="","",IFERROR(INDEX(MASTER_DATABASE!$R$4:$R$1000,MATCH($A177,MASTER_DATABASE!$A$4:$A$1000,0)),""))</f>
        <v>N/A</v>
      </c>
      <c r="D177" s="9" t="str">
        <f aca="false">IF($A177="","",IFERROR(INDEX(MASTER_DATABASE!$S$4:$S$1000,MATCH($A177,MASTER_DATABASE!$A$4:$A$1000,0)),""))</f>
        <v>To Verify</v>
      </c>
      <c r="E177" s="9" t="str">
        <f aca="false">IF($A177="","",IF(AND(OR(ISNUMBER(C177),C177="N/A"),OR(ISNUMBER(D177),D177="N/A"),OR(ISNUMBER(C177),ISNUMBER(D177))),N(C177)+N(D177),"To Verify"))</f>
        <v>To Verify</v>
      </c>
      <c r="F177" s="11" t="str">
        <f aca="false">IF($A177="","",IFERROR(INDEX(MASTER_DATABASE!$U$4:$U$1000,MATCH($A177,MASTER_DATABASE!$A$4:$A$1000,0)),""))</f>
        <v>Shop Charge Only</v>
      </c>
      <c r="G177" s="12"/>
      <c r="H177" s="12"/>
      <c r="I177" s="11" t="str">
        <f aca="false">IF($A177="","",IFERROR(INDEX(MASTER_DATABASE!$V$4:$V$1000,MATCH($A177,MASTER_DATABASE!$A$4:$A$1000,0)),""))</f>
        <v>No</v>
      </c>
      <c r="J177" s="6"/>
    </row>
    <row r="178" customFormat="false" ht="15" hidden="false" customHeight="false" outlineLevel="0" collapsed="false">
      <c r="A178" s="5" t="s">
        <v>2078</v>
      </c>
      <c r="B178" s="7" t="str">
        <f aca="false">IF($A178="","",IFERROR(INDEX(MASTER_DATABASE!$E$4:$E$1000,MATCH($A178,MASTER_DATABASE!$A$4:$A$1000,0)),""))</f>
        <v>Data Transfer Assistance</v>
      </c>
      <c r="C178" s="9" t="str">
        <f aca="false">IF($A178="","",IFERROR(INDEX(MASTER_DATABASE!$R$4:$R$1000,MATCH($A178,MASTER_DATABASE!$A$4:$A$1000,0)),""))</f>
        <v>N/A</v>
      </c>
      <c r="D178" s="9" t="str">
        <f aca="false">IF($A178="","",IFERROR(INDEX(MASTER_DATABASE!$S$4:$S$1000,MATCH($A178,MASTER_DATABASE!$A$4:$A$1000,0)),""))</f>
        <v>To Verify</v>
      </c>
      <c r="E178" s="9" t="str">
        <f aca="false">IF($A178="","",IF(AND(OR(ISNUMBER(C178),C178="N/A"),OR(ISNUMBER(D178),D178="N/A"),OR(ISNUMBER(C178),ISNUMBER(D178))),N(C178)+N(D178),"To Verify"))</f>
        <v>To Verify</v>
      </c>
      <c r="F178" s="11" t="str">
        <f aca="false">IF($A178="","",IFERROR(INDEX(MASTER_DATABASE!$U$4:$U$1000,MATCH($A178,MASTER_DATABASE!$A$4:$A$1000,0)),""))</f>
        <v>Shop Charge Only</v>
      </c>
      <c r="G178" s="12"/>
      <c r="H178" s="12"/>
      <c r="I178" s="11" t="str">
        <f aca="false">IF($A178="","",IFERROR(INDEX(MASTER_DATABASE!$V$4:$V$1000,MATCH($A178,MASTER_DATABASE!$A$4:$A$1000,0)),""))</f>
        <v>No</v>
      </c>
      <c r="J178" s="6"/>
    </row>
    <row r="179" customFormat="false" ht="15" hidden="false" customHeight="false" outlineLevel="0" collapsed="false">
      <c r="A179" s="5" t="s">
        <v>2088</v>
      </c>
      <c r="B179" s="7" t="str">
        <f aca="false">IF($A179="","",IFERROR(INDEX(MASTER_DATABASE!$E$4:$E$1000,MATCH($A179,MASTER_DATABASE!$A$4:$A$1000,0)),""))</f>
        <v>Mobile Software Update / Reset Assistance</v>
      </c>
      <c r="C179" s="9" t="str">
        <f aca="false">IF($A179="","",IFERROR(INDEX(MASTER_DATABASE!$R$4:$R$1000,MATCH($A179,MASTER_DATABASE!$A$4:$A$1000,0)),""))</f>
        <v>N/A</v>
      </c>
      <c r="D179" s="9" t="str">
        <f aca="false">IF($A179="","",IFERROR(INDEX(MASTER_DATABASE!$S$4:$S$1000,MATCH($A179,MASTER_DATABASE!$A$4:$A$1000,0)),""))</f>
        <v>To Verify</v>
      </c>
      <c r="E179" s="9" t="str">
        <f aca="false">IF($A179="","",IF(AND(OR(ISNUMBER(C179),C179="N/A"),OR(ISNUMBER(D179),D179="N/A"),OR(ISNUMBER(C179),ISNUMBER(D179))),N(C179)+N(D179),"To Verify"))</f>
        <v>To Verify</v>
      </c>
      <c r="F179" s="11" t="str">
        <f aca="false">IF($A179="","",IFERROR(INDEX(MASTER_DATABASE!$U$4:$U$1000,MATCH($A179,MASTER_DATABASE!$A$4:$A$1000,0)),""))</f>
        <v>Shop Charge Only</v>
      </c>
      <c r="G179" s="12"/>
      <c r="H179" s="12"/>
      <c r="I179" s="11" t="str">
        <f aca="false">IF($A179="","",IFERROR(INDEX(MASTER_DATABASE!$V$4:$V$1000,MATCH($A179,MASTER_DATABASE!$A$4:$A$1000,0)),""))</f>
        <v>No</v>
      </c>
      <c r="J179" s="6"/>
    </row>
    <row r="180" customFormat="false" ht="15" hidden="false" customHeight="false" outlineLevel="0" collapsed="false">
      <c r="A180" s="5" t="s">
        <v>2099</v>
      </c>
      <c r="B180" s="7" t="str">
        <f aca="false">IF($A180="","",IFERROR(INDEX(MASTER_DATABASE!$E$4:$E$1000,MATCH($A180,MASTER_DATABASE!$A$4:$A$1000,0)),""))</f>
        <v>Basic Mobile Repair (Screen / Battery)</v>
      </c>
      <c r="C180" s="9" t="str">
        <f aca="false">IF($A180="","",IFERROR(INDEX(MASTER_DATABASE!$R$4:$R$1000,MATCH($A180,MASTER_DATABASE!$A$4:$A$1000,0)),""))</f>
        <v>N/A</v>
      </c>
      <c r="D180" s="9" t="str">
        <f aca="false">IF($A180="","",IFERROR(INDEX(MASTER_DATABASE!$S$4:$S$1000,MATCH($A180,MASTER_DATABASE!$A$4:$A$1000,0)),""))</f>
        <v>To Verify</v>
      </c>
      <c r="E180" s="9" t="str">
        <f aca="false">IF($A180="","",IF(AND(OR(ISNUMBER(C180),C180="N/A"),OR(ISNUMBER(D180),D180="N/A"),OR(ISNUMBER(C180),ISNUMBER(D180))),N(C180)+N(D180),"To Verify"))</f>
        <v>To Verify</v>
      </c>
      <c r="F180" s="11" t="str">
        <f aca="false">IF($A180="","",IFERROR(INDEX(MASTER_DATABASE!$U$4:$U$1000,MATCH($A180,MASTER_DATABASE!$A$4:$A$1000,0)),""))</f>
        <v>Shop Charge Only</v>
      </c>
      <c r="G180" s="12"/>
      <c r="H180" s="12"/>
      <c r="I180" s="11" t="str">
        <f aca="false">IF($A180="","",IFERROR(INDEX(MASTER_DATABASE!$V$4:$V$1000,MATCH($A180,MASTER_DATABASE!$A$4:$A$1000,0)),""))</f>
        <v>No</v>
      </c>
      <c r="J180" s="6"/>
    </row>
    <row r="181" customFormat="false" ht="15" hidden="false" customHeight="false" outlineLevel="0" collapsed="false">
      <c r="A181" s="5" t="s">
        <v>2109</v>
      </c>
      <c r="B181" s="7" t="str">
        <f aca="false">IF($A181="","",IFERROR(INDEX(MASTER_DATABASE!$E$4:$E$1000,MATCH($A181,MASTER_DATABASE!$A$4:$A$1000,0)),""))</f>
        <v>B/W Print</v>
      </c>
      <c r="C181" s="9" t="str">
        <f aca="false">IF($A181="","",IFERROR(INDEX(MASTER_DATABASE!$R$4:$R$1000,MATCH($A181,MASTER_DATABASE!$A$4:$A$1000,0)),""))</f>
        <v>N/A</v>
      </c>
      <c r="D181" s="9" t="str">
        <f aca="false">IF($A181="","",IFERROR(INDEX(MASTER_DATABASE!$S$4:$S$1000,MATCH($A181,MASTER_DATABASE!$A$4:$A$1000,0)),""))</f>
        <v>To Verify</v>
      </c>
      <c r="E181" s="9" t="str">
        <f aca="false">IF($A181="","",IF(AND(OR(ISNUMBER(C181),C181="N/A"),OR(ISNUMBER(D181),D181="N/A"),OR(ISNUMBER(C181),ISNUMBER(D181))),N(C181)+N(D181),"To Verify"))</f>
        <v>To Verify</v>
      </c>
      <c r="F181" s="11" t="str">
        <f aca="false">IF($A181="","",IFERROR(INDEX(MASTER_DATABASE!$U$4:$U$1000,MATCH($A181,MASTER_DATABASE!$A$4:$A$1000,0)),""))</f>
        <v>Shop Charge Only</v>
      </c>
      <c r="G181" s="12"/>
      <c r="H181" s="12"/>
      <c r="I181" s="11" t="str">
        <f aca="false">IF($A181="","",IFERROR(INDEX(MASTER_DATABASE!$V$4:$V$1000,MATCH($A181,MASTER_DATABASE!$A$4:$A$1000,0)),""))</f>
        <v>No</v>
      </c>
      <c r="J181" s="6"/>
    </row>
    <row r="182" customFormat="false" ht="15" hidden="false" customHeight="false" outlineLevel="0" collapsed="false">
      <c r="A182" s="5" t="s">
        <v>2122</v>
      </c>
      <c r="B182" s="7" t="str">
        <f aca="false">IF($A182="","",IFERROR(INDEX(MASTER_DATABASE!$E$4:$E$1000,MATCH($A182,MASTER_DATABASE!$A$4:$A$1000,0)),""))</f>
        <v>Colour Print</v>
      </c>
      <c r="C182" s="9" t="str">
        <f aca="false">IF($A182="","",IFERROR(INDEX(MASTER_DATABASE!$R$4:$R$1000,MATCH($A182,MASTER_DATABASE!$A$4:$A$1000,0)),""))</f>
        <v>N/A</v>
      </c>
      <c r="D182" s="9" t="str">
        <f aca="false">IF($A182="","",IFERROR(INDEX(MASTER_DATABASE!$S$4:$S$1000,MATCH($A182,MASTER_DATABASE!$A$4:$A$1000,0)),""))</f>
        <v>To Verify</v>
      </c>
      <c r="E182" s="9" t="str">
        <f aca="false">IF($A182="","",IF(AND(OR(ISNUMBER(C182),C182="N/A"),OR(ISNUMBER(D182),D182="N/A"),OR(ISNUMBER(C182),ISNUMBER(D182))),N(C182)+N(D182),"To Verify"))</f>
        <v>To Verify</v>
      </c>
      <c r="F182" s="11" t="str">
        <f aca="false">IF($A182="","",IFERROR(INDEX(MASTER_DATABASE!$U$4:$U$1000,MATCH($A182,MASTER_DATABASE!$A$4:$A$1000,0)),""))</f>
        <v>Shop Charge Only</v>
      </c>
      <c r="G182" s="12"/>
      <c r="H182" s="12"/>
      <c r="I182" s="11" t="str">
        <f aca="false">IF($A182="","",IFERROR(INDEX(MASTER_DATABASE!$V$4:$V$1000,MATCH($A182,MASTER_DATABASE!$A$4:$A$1000,0)),""))</f>
        <v>No</v>
      </c>
      <c r="J182" s="6"/>
    </row>
    <row r="183" customFormat="false" ht="15" hidden="false" customHeight="false" outlineLevel="0" collapsed="false">
      <c r="A183" s="5" t="s">
        <v>2133</v>
      </c>
      <c r="B183" s="7" t="str">
        <f aca="false">IF($A183="","",IFERROR(INDEX(MASTER_DATABASE!$E$4:$E$1000,MATCH($A183,MASTER_DATABASE!$A$4:$A$1000,0)),""))</f>
        <v>Xerox (Photocopy)</v>
      </c>
      <c r="C183" s="9" t="str">
        <f aca="false">IF($A183="","",IFERROR(INDEX(MASTER_DATABASE!$R$4:$R$1000,MATCH($A183,MASTER_DATABASE!$A$4:$A$1000,0)),""))</f>
        <v>N/A</v>
      </c>
      <c r="D183" s="9" t="str">
        <f aca="false">IF($A183="","",IFERROR(INDEX(MASTER_DATABASE!$S$4:$S$1000,MATCH($A183,MASTER_DATABASE!$A$4:$A$1000,0)),""))</f>
        <v>To Verify</v>
      </c>
      <c r="E183" s="9" t="str">
        <f aca="false">IF($A183="","",IF(AND(OR(ISNUMBER(C183),C183="N/A"),OR(ISNUMBER(D183),D183="N/A"),OR(ISNUMBER(C183),ISNUMBER(D183))),N(C183)+N(D183),"To Verify"))</f>
        <v>To Verify</v>
      </c>
      <c r="F183" s="11" t="str">
        <f aca="false">IF($A183="","",IFERROR(INDEX(MASTER_DATABASE!$U$4:$U$1000,MATCH($A183,MASTER_DATABASE!$A$4:$A$1000,0)),""))</f>
        <v>Shop Charge Only</v>
      </c>
      <c r="G183" s="12"/>
      <c r="H183" s="12"/>
      <c r="I183" s="11" t="str">
        <f aca="false">IF($A183="","",IFERROR(INDEX(MASTER_DATABASE!$V$4:$V$1000,MATCH($A183,MASTER_DATABASE!$A$4:$A$1000,0)),""))</f>
        <v>No</v>
      </c>
      <c r="J183" s="6"/>
    </row>
    <row r="184" customFormat="false" ht="15" hidden="false" customHeight="false" outlineLevel="0" collapsed="false">
      <c r="A184" s="5" t="s">
        <v>2144</v>
      </c>
      <c r="B184" s="7" t="str">
        <f aca="false">IF($A184="","",IFERROR(INDEX(MASTER_DATABASE!$E$4:$E$1000,MATCH($A184,MASTER_DATABASE!$A$4:$A$1000,0)),""))</f>
        <v>PDF Print</v>
      </c>
      <c r="C184" s="9" t="str">
        <f aca="false">IF($A184="","",IFERROR(INDEX(MASTER_DATABASE!$R$4:$R$1000,MATCH($A184,MASTER_DATABASE!$A$4:$A$1000,0)),""))</f>
        <v>N/A</v>
      </c>
      <c r="D184" s="9" t="str">
        <f aca="false">IF($A184="","",IFERROR(INDEX(MASTER_DATABASE!$S$4:$S$1000,MATCH($A184,MASTER_DATABASE!$A$4:$A$1000,0)),""))</f>
        <v>To Verify</v>
      </c>
      <c r="E184" s="9" t="str">
        <f aca="false">IF($A184="","",IF(AND(OR(ISNUMBER(C184),C184="N/A"),OR(ISNUMBER(D184),D184="N/A"),OR(ISNUMBER(C184),ISNUMBER(D184))),N(C184)+N(D184),"To Verify"))</f>
        <v>To Verify</v>
      </c>
      <c r="F184" s="11" t="str">
        <f aca="false">IF($A184="","",IFERROR(INDEX(MASTER_DATABASE!$U$4:$U$1000,MATCH($A184,MASTER_DATABASE!$A$4:$A$1000,0)),""))</f>
        <v>Shop Charge Only</v>
      </c>
      <c r="G184" s="12"/>
      <c r="H184" s="12"/>
      <c r="I184" s="11" t="str">
        <f aca="false">IF($A184="","",IFERROR(INDEX(MASTER_DATABASE!$V$4:$V$1000,MATCH($A184,MASTER_DATABASE!$A$4:$A$1000,0)),""))</f>
        <v>No</v>
      </c>
      <c r="J184" s="6"/>
    </row>
    <row r="185" customFormat="false" ht="15" hidden="false" customHeight="false" outlineLevel="0" collapsed="false">
      <c r="A185" s="5" t="s">
        <v>2155</v>
      </c>
      <c r="B185" s="7" t="str">
        <f aca="false">IF($A185="","",IFERROR(INDEX(MASTER_DATABASE!$E$4:$E$1000,MATCH($A185,MASTER_DATABASE!$A$4:$A$1000,0)),""))</f>
        <v>A3 / Large Size Print</v>
      </c>
      <c r="C185" s="9" t="str">
        <f aca="false">IF($A185="","",IFERROR(INDEX(MASTER_DATABASE!$R$4:$R$1000,MATCH($A185,MASTER_DATABASE!$A$4:$A$1000,0)),""))</f>
        <v>N/A</v>
      </c>
      <c r="D185" s="9" t="str">
        <f aca="false">IF($A185="","",IFERROR(INDEX(MASTER_DATABASE!$S$4:$S$1000,MATCH($A185,MASTER_DATABASE!$A$4:$A$1000,0)),""))</f>
        <v>To Verify</v>
      </c>
      <c r="E185" s="9" t="str">
        <f aca="false">IF($A185="","",IF(AND(OR(ISNUMBER(C185),C185="N/A"),OR(ISNUMBER(D185),D185="N/A"),OR(ISNUMBER(C185),ISNUMBER(D185))),N(C185)+N(D185),"To Verify"))</f>
        <v>To Verify</v>
      </c>
      <c r="F185" s="11" t="str">
        <f aca="false">IF($A185="","",IFERROR(INDEX(MASTER_DATABASE!$U$4:$U$1000,MATCH($A185,MASTER_DATABASE!$A$4:$A$1000,0)),""))</f>
        <v>Shop Charge Only</v>
      </c>
      <c r="G185" s="12"/>
      <c r="H185" s="12"/>
      <c r="I185" s="11" t="str">
        <f aca="false">IF($A185="","",IFERROR(INDEX(MASTER_DATABASE!$V$4:$V$1000,MATCH($A185,MASTER_DATABASE!$A$4:$A$1000,0)),""))</f>
        <v>No</v>
      </c>
      <c r="J185" s="6"/>
    </row>
    <row r="186" customFormat="false" ht="15" hidden="false" customHeight="false" outlineLevel="0" collapsed="false">
      <c r="A186" s="5" t="s">
        <v>2167</v>
      </c>
      <c r="B186" s="7" t="str">
        <f aca="false">IF($A186="","",IFERROR(INDEX(MASTER_DATABASE!$E$4:$E$1000,MATCH($A186,MASTER_DATABASE!$A$4:$A$1000,0)),""))</f>
        <v>Print from Mobile (WhatsApp / Email / Drive)</v>
      </c>
      <c r="C186" s="9" t="str">
        <f aca="false">IF($A186="","",IFERROR(INDEX(MASTER_DATABASE!$R$4:$R$1000,MATCH($A186,MASTER_DATABASE!$A$4:$A$1000,0)),""))</f>
        <v>N/A</v>
      </c>
      <c r="D186" s="9" t="str">
        <f aca="false">IF($A186="","",IFERROR(INDEX(MASTER_DATABASE!$S$4:$S$1000,MATCH($A186,MASTER_DATABASE!$A$4:$A$1000,0)),""))</f>
        <v>To Verify</v>
      </c>
      <c r="E186" s="9" t="str">
        <f aca="false">IF($A186="","",IF(AND(OR(ISNUMBER(C186),C186="N/A"),OR(ISNUMBER(D186),D186="N/A"),OR(ISNUMBER(C186),ISNUMBER(D186))),N(C186)+N(D186),"To Verify"))</f>
        <v>To Verify</v>
      </c>
      <c r="F186" s="11" t="str">
        <f aca="false">IF($A186="","",IFERROR(INDEX(MASTER_DATABASE!$U$4:$U$1000,MATCH($A186,MASTER_DATABASE!$A$4:$A$1000,0)),""))</f>
        <v>Shop Charge Only</v>
      </c>
      <c r="G186" s="12"/>
      <c r="H186" s="12"/>
      <c r="I186" s="11" t="str">
        <f aca="false">IF($A186="","",IFERROR(INDEX(MASTER_DATABASE!$V$4:$V$1000,MATCH($A186,MASTER_DATABASE!$A$4:$A$1000,0)),""))</f>
        <v>No</v>
      </c>
      <c r="J186" s="6"/>
    </row>
    <row r="187" customFormat="false" ht="15" hidden="false" customHeight="false" outlineLevel="0" collapsed="false">
      <c r="A187" s="5" t="s">
        <v>2178</v>
      </c>
      <c r="B187" s="7" t="str">
        <f aca="false">IF($A187="","",IFERROR(INDEX(MASTER_DATABASE!$E$4:$E$1000,MATCH($A187,MASTER_DATABASE!$A$4:$A$1000,0)),""))</f>
        <v>Scanning</v>
      </c>
      <c r="C187" s="9" t="str">
        <f aca="false">IF($A187="","",IFERROR(INDEX(MASTER_DATABASE!$R$4:$R$1000,MATCH($A187,MASTER_DATABASE!$A$4:$A$1000,0)),""))</f>
        <v>N/A</v>
      </c>
      <c r="D187" s="9" t="str">
        <f aca="false">IF($A187="","",IFERROR(INDEX(MASTER_DATABASE!$S$4:$S$1000,MATCH($A187,MASTER_DATABASE!$A$4:$A$1000,0)),""))</f>
        <v>To Verify</v>
      </c>
      <c r="E187" s="9" t="str">
        <f aca="false">IF($A187="","",IF(AND(OR(ISNUMBER(C187),C187="N/A"),OR(ISNUMBER(D187),D187="N/A"),OR(ISNUMBER(C187),ISNUMBER(D187))),N(C187)+N(D187),"To Verify"))</f>
        <v>To Verify</v>
      </c>
      <c r="F187" s="11" t="str">
        <f aca="false">IF($A187="","",IFERROR(INDEX(MASTER_DATABASE!$U$4:$U$1000,MATCH($A187,MASTER_DATABASE!$A$4:$A$1000,0)),""))</f>
        <v>Shop Charge Only</v>
      </c>
      <c r="G187" s="12"/>
      <c r="H187" s="12"/>
      <c r="I187" s="11" t="str">
        <f aca="false">IF($A187="","",IFERROR(INDEX(MASTER_DATABASE!$V$4:$V$1000,MATCH($A187,MASTER_DATABASE!$A$4:$A$1000,0)),""))</f>
        <v>No</v>
      </c>
      <c r="J187" s="6"/>
    </row>
    <row r="188" customFormat="false" ht="15" hidden="false" customHeight="false" outlineLevel="0" collapsed="false">
      <c r="A188" s="5" t="s">
        <v>2190</v>
      </c>
      <c r="B188" s="7" t="str">
        <f aca="false">IF($A188="","",IFERROR(INDEX(MASTER_DATABASE!$E$4:$E$1000,MATCH($A188,MASTER_DATABASE!$A$4:$A$1000,0)),""))</f>
        <v>Lamination</v>
      </c>
      <c r="C188" s="9" t="str">
        <f aca="false">IF($A188="","",IFERROR(INDEX(MASTER_DATABASE!$R$4:$R$1000,MATCH($A188,MASTER_DATABASE!$A$4:$A$1000,0)),""))</f>
        <v>N/A</v>
      </c>
      <c r="D188" s="9" t="str">
        <f aca="false">IF($A188="","",IFERROR(INDEX(MASTER_DATABASE!$S$4:$S$1000,MATCH($A188,MASTER_DATABASE!$A$4:$A$1000,0)),""))</f>
        <v>To Verify</v>
      </c>
      <c r="E188" s="9" t="str">
        <f aca="false">IF($A188="","",IF(AND(OR(ISNUMBER(C188),C188="N/A"),OR(ISNUMBER(D188),D188="N/A"),OR(ISNUMBER(C188),ISNUMBER(D188))),N(C188)+N(D188),"To Verify"))</f>
        <v>To Verify</v>
      </c>
      <c r="F188" s="11" t="str">
        <f aca="false">IF($A188="","",IFERROR(INDEX(MASTER_DATABASE!$U$4:$U$1000,MATCH($A188,MASTER_DATABASE!$A$4:$A$1000,0)),""))</f>
        <v>Shop Charge Only</v>
      </c>
      <c r="G188" s="12"/>
      <c r="H188" s="12"/>
      <c r="I188" s="11" t="str">
        <f aca="false">IF($A188="","",IFERROR(INDEX(MASTER_DATABASE!$V$4:$V$1000,MATCH($A188,MASTER_DATABASE!$A$4:$A$1000,0)),""))</f>
        <v>No</v>
      </c>
      <c r="J188" s="6"/>
    </row>
    <row r="189" customFormat="false" ht="15" hidden="false" customHeight="false" outlineLevel="0" collapsed="false">
      <c r="A189" s="5" t="s">
        <v>2201</v>
      </c>
      <c r="B189" s="7" t="str">
        <f aca="false">IF($A189="","",IFERROR(INDEX(MASTER_DATABASE!$E$4:$E$1000,MATCH($A189,MASTER_DATABASE!$A$4:$A$1000,0)),""))</f>
        <v>Spiral Binding</v>
      </c>
      <c r="C189" s="9" t="str">
        <f aca="false">IF($A189="","",IFERROR(INDEX(MASTER_DATABASE!$R$4:$R$1000,MATCH($A189,MASTER_DATABASE!$A$4:$A$1000,0)),""))</f>
        <v>N/A</v>
      </c>
      <c r="D189" s="9" t="str">
        <f aca="false">IF($A189="","",IFERROR(INDEX(MASTER_DATABASE!$S$4:$S$1000,MATCH($A189,MASTER_DATABASE!$A$4:$A$1000,0)),""))</f>
        <v>To Verify</v>
      </c>
      <c r="E189" s="9" t="str">
        <f aca="false">IF($A189="","",IF(AND(OR(ISNUMBER(C189),C189="N/A"),OR(ISNUMBER(D189),D189="N/A"),OR(ISNUMBER(C189),ISNUMBER(D189))),N(C189)+N(D189),"To Verify"))</f>
        <v>To Verify</v>
      </c>
      <c r="F189" s="11" t="str">
        <f aca="false">IF($A189="","",IFERROR(INDEX(MASTER_DATABASE!$U$4:$U$1000,MATCH($A189,MASTER_DATABASE!$A$4:$A$1000,0)),""))</f>
        <v>Shop Charge Only</v>
      </c>
      <c r="G189" s="12"/>
      <c r="H189" s="12"/>
      <c r="I189" s="11" t="str">
        <f aca="false">IF($A189="","",IFERROR(INDEX(MASTER_DATABASE!$V$4:$V$1000,MATCH($A189,MASTER_DATABASE!$A$4:$A$1000,0)),""))</f>
        <v>No</v>
      </c>
      <c r="J189" s="6"/>
    </row>
    <row r="190" customFormat="false" ht="15" hidden="false" customHeight="false" outlineLevel="0" collapsed="false">
      <c r="A190" s="5" t="s">
        <v>2213</v>
      </c>
      <c r="B190" s="7" t="str">
        <f aca="false">IF($A190="","",IFERROR(INDEX(MASTER_DATABASE!$E$4:$E$1000,MATCH($A190,MASTER_DATABASE!$A$4:$A$1000,0)),""))</f>
        <v>PDF Creation</v>
      </c>
      <c r="C190" s="9" t="str">
        <f aca="false">IF($A190="","",IFERROR(INDEX(MASTER_DATABASE!$R$4:$R$1000,MATCH($A190,MASTER_DATABASE!$A$4:$A$1000,0)),""))</f>
        <v>N/A</v>
      </c>
      <c r="D190" s="9" t="str">
        <f aca="false">IF($A190="","",IFERROR(INDEX(MASTER_DATABASE!$S$4:$S$1000,MATCH($A190,MASTER_DATABASE!$A$4:$A$1000,0)),""))</f>
        <v>To Verify</v>
      </c>
      <c r="E190" s="9" t="str">
        <f aca="false">IF($A190="","",IF(AND(OR(ISNUMBER(C190),C190="N/A"),OR(ISNUMBER(D190),D190="N/A"),OR(ISNUMBER(C190),ISNUMBER(D190))),N(C190)+N(D190),"To Verify"))</f>
        <v>To Verify</v>
      </c>
      <c r="F190" s="11" t="str">
        <f aca="false">IF($A190="","",IFERROR(INDEX(MASTER_DATABASE!$U$4:$U$1000,MATCH($A190,MASTER_DATABASE!$A$4:$A$1000,0)),""))</f>
        <v>Shop Charge Only</v>
      </c>
      <c r="G190" s="12"/>
      <c r="H190" s="12"/>
      <c r="I190" s="11" t="str">
        <f aca="false">IF($A190="","",IFERROR(INDEX(MASTER_DATABASE!$V$4:$V$1000,MATCH($A190,MASTER_DATABASE!$A$4:$A$1000,0)),""))</f>
        <v>No</v>
      </c>
      <c r="J190" s="6"/>
    </row>
    <row r="191" customFormat="false" ht="15" hidden="false" customHeight="false" outlineLevel="0" collapsed="false">
      <c r="A191" s="5" t="s">
        <v>2226</v>
      </c>
      <c r="B191" s="7" t="str">
        <f aca="false">IF($A191="","",IFERROR(INDEX(MASTER_DATABASE!$E$4:$E$1000,MATCH($A191,MASTER_DATABASE!$A$4:$A$1000,0)),""))</f>
        <v>PDF Merge</v>
      </c>
      <c r="C191" s="9" t="str">
        <f aca="false">IF($A191="","",IFERROR(INDEX(MASTER_DATABASE!$R$4:$R$1000,MATCH($A191,MASTER_DATABASE!$A$4:$A$1000,0)),""))</f>
        <v>N/A</v>
      </c>
      <c r="D191" s="9" t="str">
        <f aca="false">IF($A191="","",IFERROR(INDEX(MASTER_DATABASE!$S$4:$S$1000,MATCH($A191,MASTER_DATABASE!$A$4:$A$1000,0)),""))</f>
        <v>To Verify</v>
      </c>
      <c r="E191" s="9" t="str">
        <f aca="false">IF($A191="","",IF(AND(OR(ISNUMBER(C191),C191="N/A"),OR(ISNUMBER(D191),D191="N/A"),OR(ISNUMBER(C191),ISNUMBER(D191))),N(C191)+N(D191),"To Verify"))</f>
        <v>To Verify</v>
      </c>
      <c r="F191" s="11" t="str">
        <f aca="false">IF($A191="","",IFERROR(INDEX(MASTER_DATABASE!$U$4:$U$1000,MATCH($A191,MASTER_DATABASE!$A$4:$A$1000,0)),""))</f>
        <v>Shop Charge Only</v>
      </c>
      <c r="G191" s="12"/>
      <c r="H191" s="12"/>
      <c r="I191" s="11" t="str">
        <f aca="false">IF($A191="","",IFERROR(INDEX(MASTER_DATABASE!$V$4:$V$1000,MATCH($A191,MASTER_DATABASE!$A$4:$A$1000,0)),""))</f>
        <v>No</v>
      </c>
      <c r="J191" s="6"/>
    </row>
    <row r="192" customFormat="false" ht="15" hidden="false" customHeight="false" outlineLevel="0" collapsed="false">
      <c r="A192" s="5" t="s">
        <v>2237</v>
      </c>
      <c r="B192" s="7" t="str">
        <f aca="false">IF($A192="","",IFERROR(INDEX(MASTER_DATABASE!$E$4:$E$1000,MATCH($A192,MASTER_DATABASE!$A$4:$A$1000,0)),""))</f>
        <v>PDF Split</v>
      </c>
      <c r="C192" s="9" t="str">
        <f aca="false">IF($A192="","",IFERROR(INDEX(MASTER_DATABASE!$R$4:$R$1000,MATCH($A192,MASTER_DATABASE!$A$4:$A$1000,0)),""))</f>
        <v>N/A</v>
      </c>
      <c r="D192" s="9" t="str">
        <f aca="false">IF($A192="","",IFERROR(INDEX(MASTER_DATABASE!$S$4:$S$1000,MATCH($A192,MASTER_DATABASE!$A$4:$A$1000,0)),""))</f>
        <v>To Verify</v>
      </c>
      <c r="E192" s="9" t="str">
        <f aca="false">IF($A192="","",IF(AND(OR(ISNUMBER(C192),C192="N/A"),OR(ISNUMBER(D192),D192="N/A"),OR(ISNUMBER(C192),ISNUMBER(D192))),N(C192)+N(D192),"To Verify"))</f>
        <v>To Verify</v>
      </c>
      <c r="F192" s="11" t="str">
        <f aca="false">IF($A192="","",IFERROR(INDEX(MASTER_DATABASE!$U$4:$U$1000,MATCH($A192,MASTER_DATABASE!$A$4:$A$1000,0)),""))</f>
        <v>Shop Charge Only</v>
      </c>
      <c r="G192" s="12"/>
      <c r="H192" s="12"/>
      <c r="I192" s="11" t="str">
        <f aca="false">IF($A192="","",IFERROR(INDEX(MASTER_DATABASE!$V$4:$V$1000,MATCH($A192,MASTER_DATABASE!$A$4:$A$1000,0)),""))</f>
        <v>No</v>
      </c>
      <c r="J192" s="6"/>
    </row>
    <row r="193" customFormat="false" ht="15" hidden="false" customHeight="false" outlineLevel="0" collapsed="false">
      <c r="A193" s="5" t="s">
        <v>2248</v>
      </c>
      <c r="B193" s="7" t="str">
        <f aca="false">IF($A193="","",IFERROR(INDEX(MASTER_DATABASE!$E$4:$E$1000,MATCH($A193,MASTER_DATABASE!$A$4:$A$1000,0)),""))</f>
        <v>PDF Compression</v>
      </c>
      <c r="C193" s="9" t="str">
        <f aca="false">IF($A193="","",IFERROR(INDEX(MASTER_DATABASE!$R$4:$R$1000,MATCH($A193,MASTER_DATABASE!$A$4:$A$1000,0)),""))</f>
        <v>N/A</v>
      </c>
      <c r="D193" s="9" t="str">
        <f aca="false">IF($A193="","",IFERROR(INDEX(MASTER_DATABASE!$S$4:$S$1000,MATCH($A193,MASTER_DATABASE!$A$4:$A$1000,0)),""))</f>
        <v>To Verify</v>
      </c>
      <c r="E193" s="9" t="str">
        <f aca="false">IF($A193="","",IF(AND(OR(ISNUMBER(C193),C193="N/A"),OR(ISNUMBER(D193),D193="N/A"),OR(ISNUMBER(C193),ISNUMBER(D193))),N(C193)+N(D193),"To Verify"))</f>
        <v>To Verify</v>
      </c>
      <c r="F193" s="11" t="str">
        <f aca="false">IF($A193="","",IFERROR(INDEX(MASTER_DATABASE!$U$4:$U$1000,MATCH($A193,MASTER_DATABASE!$A$4:$A$1000,0)),""))</f>
        <v>Shop Charge Only</v>
      </c>
      <c r="G193" s="12"/>
      <c r="H193" s="12"/>
      <c r="I193" s="11" t="str">
        <f aca="false">IF($A193="","",IFERROR(INDEX(MASTER_DATABASE!$V$4:$V$1000,MATCH($A193,MASTER_DATABASE!$A$4:$A$1000,0)),""))</f>
        <v>No</v>
      </c>
      <c r="J193" s="6"/>
    </row>
    <row r="194" customFormat="false" ht="15" hidden="false" customHeight="false" outlineLevel="0" collapsed="false">
      <c r="A194" s="5" t="s">
        <v>2259</v>
      </c>
      <c r="B194" s="7" t="str">
        <f aca="false">IF($A194="","",IFERROR(INDEX(MASTER_DATABASE!$E$4:$E$1000,MATCH($A194,MASTER_DATABASE!$A$4:$A$1000,0)),""))</f>
        <v>PDF Conversion (PDF to Image / Other)</v>
      </c>
      <c r="C194" s="9" t="str">
        <f aca="false">IF($A194="","",IFERROR(INDEX(MASTER_DATABASE!$R$4:$R$1000,MATCH($A194,MASTER_DATABASE!$A$4:$A$1000,0)),""))</f>
        <v>N/A</v>
      </c>
      <c r="D194" s="9" t="str">
        <f aca="false">IF($A194="","",IFERROR(INDEX(MASTER_DATABASE!$S$4:$S$1000,MATCH($A194,MASTER_DATABASE!$A$4:$A$1000,0)),""))</f>
        <v>To Verify</v>
      </c>
      <c r="E194" s="9" t="str">
        <f aca="false">IF($A194="","",IF(AND(OR(ISNUMBER(C194),C194="N/A"),OR(ISNUMBER(D194),D194="N/A"),OR(ISNUMBER(C194),ISNUMBER(D194))),N(C194)+N(D194),"To Verify"))</f>
        <v>To Verify</v>
      </c>
      <c r="F194" s="11" t="str">
        <f aca="false">IF($A194="","",IFERROR(INDEX(MASTER_DATABASE!$U$4:$U$1000,MATCH($A194,MASTER_DATABASE!$A$4:$A$1000,0)),""))</f>
        <v>Shop Charge Only</v>
      </c>
      <c r="G194" s="12"/>
      <c r="H194" s="12"/>
      <c r="I194" s="11" t="str">
        <f aca="false">IF($A194="","",IFERROR(INDEX(MASTER_DATABASE!$V$4:$V$1000,MATCH($A194,MASTER_DATABASE!$A$4:$A$1000,0)),""))</f>
        <v>No</v>
      </c>
      <c r="J194" s="6"/>
    </row>
    <row r="195" customFormat="false" ht="15" hidden="false" customHeight="false" outlineLevel="0" collapsed="false">
      <c r="A195" s="5" t="s">
        <v>2270</v>
      </c>
      <c r="B195" s="7" t="str">
        <f aca="false">IF($A195="","",IFERROR(INDEX(MASTER_DATABASE!$E$4:$E$1000,MATCH($A195,MASTER_DATABASE!$A$4:$A$1000,0)),""))</f>
        <v>Word to PDF</v>
      </c>
      <c r="C195" s="9" t="str">
        <f aca="false">IF($A195="","",IFERROR(INDEX(MASTER_DATABASE!$R$4:$R$1000,MATCH($A195,MASTER_DATABASE!$A$4:$A$1000,0)),""))</f>
        <v>N/A</v>
      </c>
      <c r="D195" s="9" t="str">
        <f aca="false">IF($A195="","",IFERROR(INDEX(MASTER_DATABASE!$S$4:$S$1000,MATCH($A195,MASTER_DATABASE!$A$4:$A$1000,0)),""))</f>
        <v>To Verify</v>
      </c>
      <c r="E195" s="9" t="str">
        <f aca="false">IF($A195="","",IF(AND(OR(ISNUMBER(C195),C195="N/A"),OR(ISNUMBER(D195),D195="N/A"),OR(ISNUMBER(C195),ISNUMBER(D195))),N(C195)+N(D195),"To Verify"))</f>
        <v>To Verify</v>
      </c>
      <c r="F195" s="11" t="str">
        <f aca="false">IF($A195="","",IFERROR(INDEX(MASTER_DATABASE!$U$4:$U$1000,MATCH($A195,MASTER_DATABASE!$A$4:$A$1000,0)),""))</f>
        <v>Shop Charge Only</v>
      </c>
      <c r="G195" s="12"/>
      <c r="H195" s="12"/>
      <c r="I195" s="11" t="str">
        <f aca="false">IF($A195="","",IFERROR(INDEX(MASTER_DATABASE!$V$4:$V$1000,MATCH($A195,MASTER_DATABASE!$A$4:$A$1000,0)),""))</f>
        <v>No</v>
      </c>
      <c r="J195" s="6"/>
    </row>
    <row r="196" customFormat="false" ht="15" hidden="false" customHeight="false" outlineLevel="0" collapsed="false">
      <c r="A196" s="5" t="s">
        <v>2281</v>
      </c>
      <c r="B196" s="7" t="str">
        <f aca="false">IF($A196="","",IFERROR(INDEX(MASTER_DATABASE!$E$4:$E$1000,MATCH($A196,MASTER_DATABASE!$A$4:$A$1000,0)),""))</f>
        <v>PDF to Word</v>
      </c>
      <c r="C196" s="9" t="str">
        <f aca="false">IF($A196="","",IFERROR(INDEX(MASTER_DATABASE!$R$4:$R$1000,MATCH($A196,MASTER_DATABASE!$A$4:$A$1000,0)),""))</f>
        <v>N/A</v>
      </c>
      <c r="D196" s="9" t="str">
        <f aca="false">IF($A196="","",IFERROR(INDEX(MASTER_DATABASE!$S$4:$S$1000,MATCH($A196,MASTER_DATABASE!$A$4:$A$1000,0)),""))</f>
        <v>To Verify</v>
      </c>
      <c r="E196" s="9" t="str">
        <f aca="false">IF($A196="","",IF(AND(OR(ISNUMBER(C196),C196="N/A"),OR(ISNUMBER(D196),D196="N/A"),OR(ISNUMBER(C196),ISNUMBER(D196))),N(C196)+N(D196),"To Verify"))</f>
        <v>To Verify</v>
      </c>
      <c r="F196" s="11" t="str">
        <f aca="false">IF($A196="","",IFERROR(INDEX(MASTER_DATABASE!$U$4:$U$1000,MATCH($A196,MASTER_DATABASE!$A$4:$A$1000,0)),""))</f>
        <v>Shop Charge Only</v>
      </c>
      <c r="G196" s="12"/>
      <c r="H196" s="12"/>
      <c r="I196" s="11" t="str">
        <f aca="false">IF($A196="","",IFERROR(INDEX(MASTER_DATABASE!$V$4:$V$1000,MATCH($A196,MASTER_DATABASE!$A$4:$A$1000,0)),""))</f>
        <v>No</v>
      </c>
      <c r="J196" s="6"/>
    </row>
    <row r="197" customFormat="false" ht="15" hidden="false" customHeight="false" outlineLevel="0" collapsed="false">
      <c r="A197" s="5" t="s">
        <v>2292</v>
      </c>
      <c r="B197" s="7" t="str">
        <f aca="false">IF($A197="","",IFERROR(INDEX(MASTER_DATABASE!$E$4:$E$1000,MATCH($A197,MASTER_DATABASE!$A$4:$A$1000,0)),""))</f>
        <v>Hindi Typing</v>
      </c>
      <c r="C197" s="9" t="str">
        <f aca="false">IF($A197="","",IFERROR(INDEX(MASTER_DATABASE!$R$4:$R$1000,MATCH($A197,MASTER_DATABASE!$A$4:$A$1000,0)),""))</f>
        <v>N/A</v>
      </c>
      <c r="D197" s="9" t="str">
        <f aca="false">IF($A197="","",IFERROR(INDEX(MASTER_DATABASE!$S$4:$S$1000,MATCH($A197,MASTER_DATABASE!$A$4:$A$1000,0)),""))</f>
        <v>To Verify</v>
      </c>
      <c r="E197" s="9" t="str">
        <f aca="false">IF($A197="","",IF(AND(OR(ISNUMBER(C197),C197="N/A"),OR(ISNUMBER(D197),D197="N/A"),OR(ISNUMBER(C197),ISNUMBER(D197))),N(C197)+N(D197),"To Verify"))</f>
        <v>To Verify</v>
      </c>
      <c r="F197" s="11" t="str">
        <f aca="false">IF($A197="","",IFERROR(INDEX(MASTER_DATABASE!$U$4:$U$1000,MATCH($A197,MASTER_DATABASE!$A$4:$A$1000,0)),""))</f>
        <v>Shop Charge Only</v>
      </c>
      <c r="G197" s="12"/>
      <c r="H197" s="12"/>
      <c r="I197" s="11" t="str">
        <f aca="false">IF($A197="","",IFERROR(INDEX(MASTER_DATABASE!$V$4:$V$1000,MATCH($A197,MASTER_DATABASE!$A$4:$A$1000,0)),""))</f>
        <v>No</v>
      </c>
      <c r="J197" s="6"/>
    </row>
    <row r="198" customFormat="false" ht="15" hidden="false" customHeight="false" outlineLevel="0" collapsed="false">
      <c r="A198" s="5" t="s">
        <v>2305</v>
      </c>
      <c r="B198" s="7" t="str">
        <f aca="false">IF($A198="","",IFERROR(INDEX(MASTER_DATABASE!$E$4:$E$1000,MATCH($A198,MASTER_DATABASE!$A$4:$A$1000,0)),""))</f>
        <v>English Typing</v>
      </c>
      <c r="C198" s="9" t="str">
        <f aca="false">IF($A198="","",IFERROR(INDEX(MASTER_DATABASE!$R$4:$R$1000,MATCH($A198,MASTER_DATABASE!$A$4:$A$1000,0)),""))</f>
        <v>N/A</v>
      </c>
      <c r="D198" s="9" t="str">
        <f aca="false">IF($A198="","",IFERROR(INDEX(MASTER_DATABASE!$S$4:$S$1000,MATCH($A198,MASTER_DATABASE!$A$4:$A$1000,0)),""))</f>
        <v>To Verify</v>
      </c>
      <c r="E198" s="9" t="str">
        <f aca="false">IF($A198="","",IF(AND(OR(ISNUMBER(C198),C198="N/A"),OR(ISNUMBER(D198),D198="N/A"),OR(ISNUMBER(C198),ISNUMBER(D198))),N(C198)+N(D198),"To Verify"))</f>
        <v>To Verify</v>
      </c>
      <c r="F198" s="11" t="str">
        <f aca="false">IF($A198="","",IFERROR(INDEX(MASTER_DATABASE!$U$4:$U$1000,MATCH($A198,MASTER_DATABASE!$A$4:$A$1000,0)),""))</f>
        <v>Shop Charge Only</v>
      </c>
      <c r="G198" s="12"/>
      <c r="H198" s="12"/>
      <c r="I198" s="11" t="str">
        <f aca="false">IF($A198="","",IFERROR(INDEX(MASTER_DATABASE!$V$4:$V$1000,MATCH($A198,MASTER_DATABASE!$A$4:$A$1000,0)),""))</f>
        <v>No</v>
      </c>
      <c r="J198" s="6"/>
    </row>
    <row r="199" customFormat="false" ht="15" hidden="false" customHeight="false" outlineLevel="0" collapsed="false">
      <c r="A199" s="5" t="s">
        <v>2315</v>
      </c>
      <c r="B199" s="7" t="str">
        <f aca="false">IF($A199="","",IFERROR(INDEX(MASTER_DATABASE!$E$4:$E$1000,MATCH($A199,MASTER_DATABASE!$A$4:$A$1000,0)),""))</f>
        <v>Data Entry</v>
      </c>
      <c r="C199" s="9" t="str">
        <f aca="false">IF($A199="","",IFERROR(INDEX(MASTER_DATABASE!$R$4:$R$1000,MATCH($A199,MASTER_DATABASE!$A$4:$A$1000,0)),""))</f>
        <v>N/A</v>
      </c>
      <c r="D199" s="9" t="str">
        <f aca="false">IF($A199="","",IFERROR(INDEX(MASTER_DATABASE!$S$4:$S$1000,MATCH($A199,MASTER_DATABASE!$A$4:$A$1000,0)),""))</f>
        <v>To Verify</v>
      </c>
      <c r="E199" s="9" t="str">
        <f aca="false">IF($A199="","",IF(AND(OR(ISNUMBER(C199),C199="N/A"),OR(ISNUMBER(D199),D199="N/A"),OR(ISNUMBER(C199),ISNUMBER(D199))),N(C199)+N(D199),"To Verify"))</f>
        <v>To Verify</v>
      </c>
      <c r="F199" s="11" t="str">
        <f aca="false">IF($A199="","",IFERROR(INDEX(MASTER_DATABASE!$U$4:$U$1000,MATCH($A199,MASTER_DATABASE!$A$4:$A$1000,0)),""))</f>
        <v>Shop Charge Only</v>
      </c>
      <c r="G199" s="12"/>
      <c r="H199" s="12"/>
      <c r="I199" s="11" t="str">
        <f aca="false">IF($A199="","",IFERROR(INDEX(MASTER_DATABASE!$V$4:$V$1000,MATCH($A199,MASTER_DATABASE!$A$4:$A$1000,0)),""))</f>
        <v>No</v>
      </c>
      <c r="J199" s="6"/>
    </row>
    <row r="200" customFormat="false" ht="15" hidden="false" customHeight="false" outlineLevel="0" collapsed="false">
      <c r="A200" s="5" t="s">
        <v>2325</v>
      </c>
      <c r="B200" s="7" t="str">
        <f aca="false">IF($A200="","",IFERROR(INDEX(MASTER_DATABASE!$E$4:$E$1000,MATCH($A200,MASTER_DATABASE!$A$4:$A$1000,0)),""))</f>
        <v>Application Typing</v>
      </c>
      <c r="C200" s="9" t="str">
        <f aca="false">IF($A200="","",IFERROR(INDEX(MASTER_DATABASE!$R$4:$R$1000,MATCH($A200,MASTER_DATABASE!$A$4:$A$1000,0)),""))</f>
        <v>N/A</v>
      </c>
      <c r="D200" s="9" t="str">
        <f aca="false">IF($A200="","",IFERROR(INDEX(MASTER_DATABASE!$S$4:$S$1000,MATCH($A200,MASTER_DATABASE!$A$4:$A$1000,0)),""))</f>
        <v>To Verify</v>
      </c>
      <c r="E200" s="9" t="str">
        <f aca="false">IF($A200="","",IF(AND(OR(ISNUMBER(C200),C200="N/A"),OR(ISNUMBER(D200),D200="N/A"),OR(ISNUMBER(C200),ISNUMBER(D200))),N(C200)+N(D200),"To Verify"))</f>
        <v>To Verify</v>
      </c>
      <c r="F200" s="11" t="str">
        <f aca="false">IF($A200="","",IFERROR(INDEX(MASTER_DATABASE!$U$4:$U$1000,MATCH($A200,MASTER_DATABASE!$A$4:$A$1000,0)),""))</f>
        <v>Shop Charge Only</v>
      </c>
      <c r="G200" s="12"/>
      <c r="H200" s="12"/>
      <c r="I200" s="11" t="str">
        <f aca="false">IF($A200="","",IFERROR(INDEX(MASTER_DATABASE!$V$4:$V$1000,MATCH($A200,MASTER_DATABASE!$A$4:$A$1000,0)),""))</f>
        <v>No</v>
      </c>
      <c r="J200" s="6"/>
    </row>
    <row r="201" customFormat="false" ht="15" hidden="false" customHeight="false" outlineLevel="0" collapsed="false">
      <c r="A201" s="5" t="s">
        <v>2335</v>
      </c>
      <c r="B201" s="7" t="str">
        <f aca="false">IF($A201="","",IFERROR(INDEX(MASTER_DATABASE!$E$4:$E$1000,MATCH($A201,MASTER_DATABASE!$A$4:$A$1000,0)),""))</f>
        <v>Letter Typing</v>
      </c>
      <c r="C201" s="9" t="str">
        <f aca="false">IF($A201="","",IFERROR(INDEX(MASTER_DATABASE!$R$4:$R$1000,MATCH($A201,MASTER_DATABASE!$A$4:$A$1000,0)),""))</f>
        <v>N/A</v>
      </c>
      <c r="D201" s="9" t="str">
        <f aca="false">IF($A201="","",IFERROR(INDEX(MASTER_DATABASE!$S$4:$S$1000,MATCH($A201,MASTER_DATABASE!$A$4:$A$1000,0)),""))</f>
        <v>To Verify</v>
      </c>
      <c r="E201" s="9" t="str">
        <f aca="false">IF($A201="","",IF(AND(OR(ISNUMBER(C201),C201="N/A"),OR(ISNUMBER(D201),D201="N/A"),OR(ISNUMBER(C201),ISNUMBER(D201))),N(C201)+N(D201),"To Verify"))</f>
        <v>To Verify</v>
      </c>
      <c r="F201" s="11" t="str">
        <f aca="false">IF($A201="","",IFERROR(INDEX(MASTER_DATABASE!$U$4:$U$1000,MATCH($A201,MASTER_DATABASE!$A$4:$A$1000,0)),""))</f>
        <v>Shop Charge Only</v>
      </c>
      <c r="G201" s="12"/>
      <c r="H201" s="12"/>
      <c r="I201" s="11" t="str">
        <f aca="false">IF($A201="","",IFERROR(INDEX(MASTER_DATABASE!$V$4:$V$1000,MATCH($A201,MASTER_DATABASE!$A$4:$A$1000,0)),""))</f>
        <v>No</v>
      </c>
      <c r="J201" s="6"/>
    </row>
    <row r="202" customFormat="false" ht="15" hidden="false" customHeight="false" outlineLevel="0" collapsed="false">
      <c r="A202" s="5" t="s">
        <v>2345</v>
      </c>
      <c r="B202" s="7" t="str">
        <f aca="false">IF($A202="","",IFERROR(INDEX(MASTER_DATABASE!$E$4:$E$1000,MATCH($A202,MASTER_DATABASE!$A$4:$A$1000,0)),""))</f>
        <v>Resume Making</v>
      </c>
      <c r="C202" s="9" t="str">
        <f aca="false">IF($A202="","",IFERROR(INDEX(MASTER_DATABASE!$R$4:$R$1000,MATCH($A202,MASTER_DATABASE!$A$4:$A$1000,0)),""))</f>
        <v>N/A</v>
      </c>
      <c r="D202" s="9" t="str">
        <f aca="false">IF($A202="","",IFERROR(INDEX(MASTER_DATABASE!$S$4:$S$1000,MATCH($A202,MASTER_DATABASE!$A$4:$A$1000,0)),""))</f>
        <v>To Verify</v>
      </c>
      <c r="E202" s="9" t="str">
        <f aca="false">IF($A202="","",IF(AND(OR(ISNUMBER(C202),C202="N/A"),OR(ISNUMBER(D202),D202="N/A"),OR(ISNUMBER(C202),ISNUMBER(D202))),N(C202)+N(D202),"To Verify"))</f>
        <v>To Verify</v>
      </c>
      <c r="F202" s="11" t="str">
        <f aca="false">IF($A202="","",IFERROR(INDEX(MASTER_DATABASE!$U$4:$U$1000,MATCH($A202,MASTER_DATABASE!$A$4:$A$1000,0)),""))</f>
        <v>Shop Charge Only</v>
      </c>
      <c r="G202" s="12"/>
      <c r="H202" s="12"/>
      <c r="I202" s="11" t="str">
        <f aca="false">IF($A202="","",IFERROR(INDEX(MASTER_DATABASE!$V$4:$V$1000,MATCH($A202,MASTER_DATABASE!$A$4:$A$1000,0)),""))</f>
        <v>No</v>
      </c>
      <c r="J202" s="6"/>
    </row>
    <row r="203" customFormat="false" ht="15" hidden="false" customHeight="false" outlineLevel="0" collapsed="false">
      <c r="A203" s="5" t="s">
        <v>2356</v>
      </c>
      <c r="B203" s="7" t="str">
        <f aca="false">IF($A203="","",IFERROR(INDEX(MASTER_DATABASE!$E$4:$E$1000,MATCH($A203,MASTER_DATABASE!$A$4:$A$1000,0)),""))</f>
        <v>Biodata Making</v>
      </c>
      <c r="C203" s="9" t="str">
        <f aca="false">IF($A203="","",IFERROR(INDEX(MASTER_DATABASE!$R$4:$R$1000,MATCH($A203,MASTER_DATABASE!$A$4:$A$1000,0)),""))</f>
        <v>N/A</v>
      </c>
      <c r="D203" s="9" t="str">
        <f aca="false">IF($A203="","",IFERROR(INDEX(MASTER_DATABASE!$S$4:$S$1000,MATCH($A203,MASTER_DATABASE!$A$4:$A$1000,0)),""))</f>
        <v>To Verify</v>
      </c>
      <c r="E203" s="9" t="str">
        <f aca="false">IF($A203="","",IF(AND(OR(ISNUMBER(C203),C203="N/A"),OR(ISNUMBER(D203),D203="N/A"),OR(ISNUMBER(C203),ISNUMBER(D203))),N(C203)+N(D203),"To Verify"))</f>
        <v>To Verify</v>
      </c>
      <c r="F203" s="11" t="str">
        <f aca="false">IF($A203="","",IFERROR(INDEX(MASTER_DATABASE!$U$4:$U$1000,MATCH($A203,MASTER_DATABASE!$A$4:$A$1000,0)),""))</f>
        <v>Shop Charge Only</v>
      </c>
      <c r="G203" s="12"/>
      <c r="H203" s="12"/>
      <c r="I203" s="11" t="str">
        <f aca="false">IF($A203="","",IFERROR(INDEX(MASTER_DATABASE!$V$4:$V$1000,MATCH($A203,MASTER_DATABASE!$A$4:$A$1000,0)),""))</f>
        <v>No</v>
      </c>
      <c r="J203" s="6"/>
    </row>
    <row r="204" customFormat="false" ht="15" hidden="false" customHeight="false" outlineLevel="0" collapsed="false">
      <c r="A204" s="5" t="s">
        <v>2366</v>
      </c>
      <c r="B204" s="7" t="str">
        <f aca="false">IF($A204="","",IFERROR(INDEX(MASTER_DATABASE!$E$4:$E$1000,MATCH($A204,MASTER_DATABASE!$A$4:$A$1000,0)),""))</f>
        <v>Document Formatting</v>
      </c>
      <c r="C204" s="9" t="str">
        <f aca="false">IF($A204="","",IFERROR(INDEX(MASTER_DATABASE!$R$4:$R$1000,MATCH($A204,MASTER_DATABASE!$A$4:$A$1000,0)),""))</f>
        <v>N/A</v>
      </c>
      <c r="D204" s="9" t="str">
        <f aca="false">IF($A204="","",IFERROR(INDEX(MASTER_DATABASE!$S$4:$S$1000,MATCH($A204,MASTER_DATABASE!$A$4:$A$1000,0)),""))</f>
        <v>To Verify</v>
      </c>
      <c r="E204" s="9" t="str">
        <f aca="false">IF($A204="","",IF(AND(OR(ISNUMBER(C204),C204="N/A"),OR(ISNUMBER(D204),D204="N/A"),OR(ISNUMBER(C204),ISNUMBER(D204))),N(C204)+N(D204),"To Verify"))</f>
        <v>To Verify</v>
      </c>
      <c r="F204" s="11" t="str">
        <f aca="false">IF($A204="","",IFERROR(INDEX(MASTER_DATABASE!$U$4:$U$1000,MATCH($A204,MASTER_DATABASE!$A$4:$A$1000,0)),""))</f>
        <v>Shop Charge Only</v>
      </c>
      <c r="G204" s="12"/>
      <c r="H204" s="12"/>
      <c r="I204" s="11" t="str">
        <f aca="false">IF($A204="","",IFERROR(INDEX(MASTER_DATABASE!$V$4:$V$1000,MATCH($A204,MASTER_DATABASE!$A$4:$A$1000,0)),""))</f>
        <v>No</v>
      </c>
      <c r="J204" s="6"/>
    </row>
    <row r="205" customFormat="false" ht="15" hidden="false" customHeight="false" outlineLevel="0" collapsed="false">
      <c r="A205" s="5" t="s">
        <v>2376</v>
      </c>
      <c r="B205" s="7" t="str">
        <f aca="false">IF($A205="","",IFERROR(INDEX(MASTER_DATABASE!$E$4:$E$1000,MATCH($A205,MASTER_DATABASE!$A$4:$A$1000,0)),""))</f>
        <v>Official Document Formatting</v>
      </c>
      <c r="C205" s="9" t="str">
        <f aca="false">IF($A205="","",IFERROR(INDEX(MASTER_DATABASE!$R$4:$R$1000,MATCH($A205,MASTER_DATABASE!$A$4:$A$1000,0)),""))</f>
        <v>N/A</v>
      </c>
      <c r="D205" s="9" t="str">
        <f aca="false">IF($A205="","",IFERROR(INDEX(MASTER_DATABASE!$S$4:$S$1000,MATCH($A205,MASTER_DATABASE!$A$4:$A$1000,0)),""))</f>
        <v>To Verify</v>
      </c>
      <c r="E205" s="9" t="str">
        <f aca="false">IF($A205="","",IF(AND(OR(ISNUMBER(C205),C205="N/A"),OR(ISNUMBER(D205),D205="N/A"),OR(ISNUMBER(C205),ISNUMBER(D205))),N(C205)+N(D205),"To Verify"))</f>
        <v>To Verify</v>
      </c>
      <c r="F205" s="11" t="str">
        <f aca="false">IF($A205="","",IFERROR(INDEX(MASTER_DATABASE!$U$4:$U$1000,MATCH($A205,MASTER_DATABASE!$A$4:$A$1000,0)),""))</f>
        <v>Shop Charge Only</v>
      </c>
      <c r="G205" s="12"/>
      <c r="H205" s="12"/>
      <c r="I205" s="11" t="str">
        <f aca="false">IF($A205="","",IFERROR(INDEX(MASTER_DATABASE!$V$4:$V$1000,MATCH($A205,MASTER_DATABASE!$A$4:$A$1000,0)),""))</f>
        <v>No</v>
      </c>
      <c r="J205" s="6"/>
    </row>
    <row r="206" customFormat="false" ht="15" hidden="false" customHeight="false" outlineLevel="0" collapsed="false">
      <c r="A206" s="5" t="s">
        <v>2386</v>
      </c>
      <c r="B206" s="7" t="str">
        <f aca="false">IF($A206="","",IFERROR(INDEX(MASTER_DATABASE!$E$4:$E$1000,MATCH($A206,MASTER_DATABASE!$A$4:$A$1000,0)),""))</f>
        <v>Passport Photo</v>
      </c>
      <c r="C206" s="9" t="str">
        <f aca="false">IF($A206="","",IFERROR(INDEX(MASTER_DATABASE!$R$4:$R$1000,MATCH($A206,MASTER_DATABASE!$A$4:$A$1000,0)),""))</f>
        <v>N/A</v>
      </c>
      <c r="D206" s="9" t="str">
        <f aca="false">IF($A206="","",IFERROR(INDEX(MASTER_DATABASE!$S$4:$S$1000,MATCH($A206,MASTER_DATABASE!$A$4:$A$1000,0)),""))</f>
        <v>To Verify</v>
      </c>
      <c r="E206" s="9" t="str">
        <f aca="false">IF($A206="","",IF(AND(OR(ISNUMBER(C206),C206="N/A"),OR(ISNUMBER(D206),D206="N/A"),OR(ISNUMBER(C206),ISNUMBER(D206))),N(C206)+N(D206),"To Verify"))</f>
        <v>To Verify</v>
      </c>
      <c r="F206" s="11" t="str">
        <f aca="false">IF($A206="","",IFERROR(INDEX(MASTER_DATABASE!$U$4:$U$1000,MATCH($A206,MASTER_DATABASE!$A$4:$A$1000,0)),""))</f>
        <v>Shop Charge Only</v>
      </c>
      <c r="G206" s="12"/>
      <c r="H206" s="12"/>
      <c r="I206" s="11" t="str">
        <f aca="false">IF($A206="","",IFERROR(INDEX(MASTER_DATABASE!$V$4:$V$1000,MATCH($A206,MASTER_DATABASE!$A$4:$A$1000,0)),""))</f>
        <v>No</v>
      </c>
      <c r="J206" s="6"/>
    </row>
    <row r="207" customFormat="false" ht="15" hidden="false" customHeight="false" outlineLevel="0" collapsed="false">
      <c r="A207" s="5" t="s">
        <v>2401</v>
      </c>
      <c r="B207" s="7" t="str">
        <f aca="false">IF($A207="","",IFERROR(INDEX(MASTER_DATABASE!$E$4:$E$1000,MATCH($A207,MASTER_DATABASE!$A$4:$A$1000,0)),""))</f>
        <v>Visa Photo</v>
      </c>
      <c r="C207" s="9" t="str">
        <f aca="false">IF($A207="","",IFERROR(INDEX(MASTER_DATABASE!$R$4:$R$1000,MATCH($A207,MASTER_DATABASE!$A$4:$A$1000,0)),""))</f>
        <v>N/A</v>
      </c>
      <c r="D207" s="9" t="str">
        <f aca="false">IF($A207="","",IFERROR(INDEX(MASTER_DATABASE!$S$4:$S$1000,MATCH($A207,MASTER_DATABASE!$A$4:$A$1000,0)),""))</f>
        <v>To Verify</v>
      </c>
      <c r="E207" s="9" t="str">
        <f aca="false">IF($A207="","",IF(AND(OR(ISNUMBER(C207),C207="N/A"),OR(ISNUMBER(D207),D207="N/A"),OR(ISNUMBER(C207),ISNUMBER(D207))),N(C207)+N(D207),"To Verify"))</f>
        <v>To Verify</v>
      </c>
      <c r="F207" s="11" t="str">
        <f aca="false">IF($A207="","",IFERROR(INDEX(MASTER_DATABASE!$U$4:$U$1000,MATCH($A207,MASTER_DATABASE!$A$4:$A$1000,0)),""))</f>
        <v>Shop Charge Only</v>
      </c>
      <c r="G207" s="12"/>
      <c r="H207" s="12"/>
      <c r="I207" s="11" t="str">
        <f aca="false">IF($A207="","",IFERROR(INDEX(MASTER_DATABASE!$V$4:$V$1000,MATCH($A207,MASTER_DATABASE!$A$4:$A$1000,0)),""))</f>
        <v>No</v>
      </c>
      <c r="J207" s="6"/>
    </row>
    <row r="208" customFormat="false" ht="15" hidden="false" customHeight="false" outlineLevel="0" collapsed="false">
      <c r="A208" s="5" t="s">
        <v>2412</v>
      </c>
      <c r="B208" s="7" t="str">
        <f aca="false">IF($A208="","",IFERROR(INDEX(MASTER_DATABASE!$E$4:$E$1000,MATCH($A208,MASTER_DATABASE!$A$4:$A$1000,0)),""))</f>
        <v>ID Card Photo</v>
      </c>
      <c r="C208" s="9" t="str">
        <f aca="false">IF($A208="","",IFERROR(INDEX(MASTER_DATABASE!$R$4:$R$1000,MATCH($A208,MASTER_DATABASE!$A$4:$A$1000,0)),""))</f>
        <v>N/A</v>
      </c>
      <c r="D208" s="9" t="str">
        <f aca="false">IF($A208="","",IFERROR(INDEX(MASTER_DATABASE!$S$4:$S$1000,MATCH($A208,MASTER_DATABASE!$A$4:$A$1000,0)),""))</f>
        <v>To Verify</v>
      </c>
      <c r="E208" s="9" t="str">
        <f aca="false">IF($A208="","",IF(AND(OR(ISNUMBER(C208),C208="N/A"),OR(ISNUMBER(D208),D208="N/A"),OR(ISNUMBER(C208),ISNUMBER(D208))),N(C208)+N(D208),"To Verify"))</f>
        <v>To Verify</v>
      </c>
      <c r="F208" s="11" t="str">
        <f aca="false">IF($A208="","",IFERROR(INDEX(MASTER_DATABASE!$U$4:$U$1000,MATCH($A208,MASTER_DATABASE!$A$4:$A$1000,0)),""))</f>
        <v>Shop Charge Only</v>
      </c>
      <c r="G208" s="12"/>
      <c r="H208" s="12"/>
      <c r="I208" s="11" t="str">
        <f aca="false">IF($A208="","",IFERROR(INDEX(MASTER_DATABASE!$V$4:$V$1000,MATCH($A208,MASTER_DATABASE!$A$4:$A$1000,0)),""))</f>
        <v>No</v>
      </c>
      <c r="J208" s="6"/>
    </row>
    <row r="209" customFormat="false" ht="15" hidden="false" customHeight="false" outlineLevel="0" collapsed="false">
      <c r="A209" s="5" t="s">
        <v>2422</v>
      </c>
      <c r="B209" s="7" t="str">
        <f aca="false">IF($A209="","",IFERROR(INDEX(MASTER_DATABASE!$E$4:$E$1000,MATCH($A209,MASTER_DATABASE!$A$4:$A$1000,0)),""))</f>
        <v>Photo Crop</v>
      </c>
      <c r="C209" s="9" t="str">
        <f aca="false">IF($A209="","",IFERROR(INDEX(MASTER_DATABASE!$R$4:$R$1000,MATCH($A209,MASTER_DATABASE!$A$4:$A$1000,0)),""))</f>
        <v>N/A</v>
      </c>
      <c r="D209" s="9" t="str">
        <f aca="false">IF($A209="","",IFERROR(INDEX(MASTER_DATABASE!$S$4:$S$1000,MATCH($A209,MASTER_DATABASE!$A$4:$A$1000,0)),""))</f>
        <v>To Verify</v>
      </c>
      <c r="E209" s="9" t="str">
        <f aca="false">IF($A209="","",IF(AND(OR(ISNUMBER(C209),C209="N/A"),OR(ISNUMBER(D209),D209="N/A"),OR(ISNUMBER(C209),ISNUMBER(D209))),N(C209)+N(D209),"To Verify"))</f>
        <v>To Verify</v>
      </c>
      <c r="F209" s="11" t="str">
        <f aca="false">IF($A209="","",IFERROR(INDEX(MASTER_DATABASE!$U$4:$U$1000,MATCH($A209,MASTER_DATABASE!$A$4:$A$1000,0)),""))</f>
        <v>Shop Charge Only</v>
      </c>
      <c r="G209" s="12"/>
      <c r="H209" s="12"/>
      <c r="I209" s="11" t="str">
        <f aca="false">IF($A209="","",IFERROR(INDEX(MASTER_DATABASE!$V$4:$V$1000,MATCH($A209,MASTER_DATABASE!$A$4:$A$1000,0)),""))</f>
        <v>No</v>
      </c>
      <c r="J209" s="6"/>
    </row>
    <row r="210" customFormat="false" ht="15" hidden="false" customHeight="false" outlineLevel="0" collapsed="false">
      <c r="A210" s="5" t="s">
        <v>2435</v>
      </c>
      <c r="B210" s="7" t="str">
        <f aca="false">IF($A210="","",IFERROR(INDEX(MASTER_DATABASE!$E$4:$E$1000,MATCH($A210,MASTER_DATABASE!$A$4:$A$1000,0)),""))</f>
        <v>Photo Resize</v>
      </c>
      <c r="C210" s="9" t="str">
        <f aca="false">IF($A210="","",IFERROR(INDEX(MASTER_DATABASE!$R$4:$R$1000,MATCH($A210,MASTER_DATABASE!$A$4:$A$1000,0)),""))</f>
        <v>N/A</v>
      </c>
      <c r="D210" s="9" t="str">
        <f aca="false">IF($A210="","",IFERROR(INDEX(MASTER_DATABASE!$S$4:$S$1000,MATCH($A210,MASTER_DATABASE!$A$4:$A$1000,0)),""))</f>
        <v>To Verify</v>
      </c>
      <c r="E210" s="9" t="str">
        <f aca="false">IF($A210="","",IF(AND(OR(ISNUMBER(C210),C210="N/A"),OR(ISNUMBER(D210),D210="N/A"),OR(ISNUMBER(C210),ISNUMBER(D210))),N(C210)+N(D210),"To Verify"))</f>
        <v>To Verify</v>
      </c>
      <c r="F210" s="11" t="str">
        <f aca="false">IF($A210="","",IFERROR(INDEX(MASTER_DATABASE!$U$4:$U$1000,MATCH($A210,MASTER_DATABASE!$A$4:$A$1000,0)),""))</f>
        <v>Shop Charge Only</v>
      </c>
      <c r="G210" s="12"/>
      <c r="H210" s="12"/>
      <c r="I210" s="11" t="str">
        <f aca="false">IF($A210="","",IFERROR(INDEX(MASTER_DATABASE!$V$4:$V$1000,MATCH($A210,MASTER_DATABASE!$A$4:$A$1000,0)),""))</f>
        <v>No</v>
      </c>
      <c r="J210" s="6"/>
    </row>
    <row r="211" customFormat="false" ht="15" hidden="false" customHeight="false" outlineLevel="0" collapsed="false">
      <c r="A211" s="5" t="s">
        <v>2446</v>
      </c>
      <c r="B211" s="7" t="str">
        <f aca="false">IF($A211="","",IFERROR(INDEX(MASTER_DATABASE!$E$4:$E$1000,MATCH($A211,MASTER_DATABASE!$A$4:$A$1000,0)),""))</f>
        <v>Signature Resize</v>
      </c>
      <c r="C211" s="9" t="str">
        <f aca="false">IF($A211="","",IFERROR(INDEX(MASTER_DATABASE!$R$4:$R$1000,MATCH($A211,MASTER_DATABASE!$A$4:$A$1000,0)),""))</f>
        <v>N/A</v>
      </c>
      <c r="D211" s="9" t="str">
        <f aca="false">IF($A211="","",IFERROR(INDEX(MASTER_DATABASE!$S$4:$S$1000,MATCH($A211,MASTER_DATABASE!$A$4:$A$1000,0)),""))</f>
        <v>To Verify</v>
      </c>
      <c r="E211" s="9" t="str">
        <f aca="false">IF($A211="","",IF(AND(OR(ISNUMBER(C211),C211="N/A"),OR(ISNUMBER(D211),D211="N/A"),OR(ISNUMBER(C211),ISNUMBER(D211))),N(C211)+N(D211),"To Verify"))</f>
        <v>To Verify</v>
      </c>
      <c r="F211" s="11" t="str">
        <f aca="false">IF($A211="","",IFERROR(INDEX(MASTER_DATABASE!$U$4:$U$1000,MATCH($A211,MASTER_DATABASE!$A$4:$A$1000,0)),""))</f>
        <v>Shop Charge Only</v>
      </c>
      <c r="G211" s="12"/>
      <c r="H211" s="12"/>
      <c r="I211" s="11" t="str">
        <f aca="false">IF($A211="","",IFERROR(INDEX(MASTER_DATABASE!$V$4:$V$1000,MATCH($A211,MASTER_DATABASE!$A$4:$A$1000,0)),""))</f>
        <v>No</v>
      </c>
      <c r="J211" s="6"/>
    </row>
    <row r="212" customFormat="false" ht="15" hidden="false" customHeight="false" outlineLevel="0" collapsed="false">
      <c r="A212" s="5" t="s">
        <v>2457</v>
      </c>
      <c r="B212" s="7" t="str">
        <f aca="false">IF($A212="","",IFERROR(INDEX(MASTER_DATABASE!$E$4:$E$1000,MATCH($A212,MASTER_DATABASE!$A$4:$A$1000,0)),""))</f>
        <v>Background Change</v>
      </c>
      <c r="C212" s="9" t="str">
        <f aca="false">IF($A212="","",IFERROR(INDEX(MASTER_DATABASE!$R$4:$R$1000,MATCH($A212,MASTER_DATABASE!$A$4:$A$1000,0)),""))</f>
        <v>N/A</v>
      </c>
      <c r="D212" s="9" t="str">
        <f aca="false">IF($A212="","",IFERROR(INDEX(MASTER_DATABASE!$S$4:$S$1000,MATCH($A212,MASTER_DATABASE!$A$4:$A$1000,0)),""))</f>
        <v>To Verify</v>
      </c>
      <c r="E212" s="9" t="str">
        <f aca="false">IF($A212="","",IF(AND(OR(ISNUMBER(C212),C212="N/A"),OR(ISNUMBER(D212),D212="N/A"),OR(ISNUMBER(C212),ISNUMBER(D212))),N(C212)+N(D212),"To Verify"))</f>
        <v>To Verify</v>
      </c>
      <c r="F212" s="11" t="str">
        <f aca="false">IF($A212="","",IFERROR(INDEX(MASTER_DATABASE!$U$4:$U$1000,MATCH($A212,MASTER_DATABASE!$A$4:$A$1000,0)),""))</f>
        <v>Shop Charge Only</v>
      </c>
      <c r="G212" s="12"/>
      <c r="H212" s="12"/>
      <c r="I212" s="11" t="str">
        <f aca="false">IF($A212="","",IFERROR(INDEX(MASTER_DATABASE!$V$4:$V$1000,MATCH($A212,MASTER_DATABASE!$A$4:$A$1000,0)),""))</f>
        <v>No</v>
      </c>
      <c r="J212" s="6"/>
    </row>
    <row r="213" customFormat="false" ht="15" hidden="false" customHeight="false" outlineLevel="0" collapsed="false">
      <c r="A213" s="5" t="s">
        <v>2468</v>
      </c>
      <c r="B213" s="7" t="str">
        <f aca="false">IF($A213="","",IFERROR(INDEX(MASTER_DATABASE!$E$4:$E$1000,MATCH($A213,MASTER_DATABASE!$A$4:$A$1000,0)),""))</f>
        <v>Blue Background</v>
      </c>
      <c r="C213" s="9" t="str">
        <f aca="false">IF($A213="","",IFERROR(INDEX(MASTER_DATABASE!$R$4:$R$1000,MATCH($A213,MASTER_DATABASE!$A$4:$A$1000,0)),""))</f>
        <v>N/A</v>
      </c>
      <c r="D213" s="9" t="str">
        <f aca="false">IF($A213="","",IFERROR(INDEX(MASTER_DATABASE!$S$4:$S$1000,MATCH($A213,MASTER_DATABASE!$A$4:$A$1000,0)),""))</f>
        <v>To Verify</v>
      </c>
      <c r="E213" s="9" t="str">
        <f aca="false">IF($A213="","",IF(AND(OR(ISNUMBER(C213),C213="N/A"),OR(ISNUMBER(D213),D213="N/A"),OR(ISNUMBER(C213),ISNUMBER(D213))),N(C213)+N(D213),"To Verify"))</f>
        <v>To Verify</v>
      </c>
      <c r="F213" s="11" t="str">
        <f aca="false">IF($A213="","",IFERROR(INDEX(MASTER_DATABASE!$U$4:$U$1000,MATCH($A213,MASTER_DATABASE!$A$4:$A$1000,0)),""))</f>
        <v>Shop Charge Only</v>
      </c>
      <c r="G213" s="12"/>
      <c r="H213" s="12"/>
      <c r="I213" s="11" t="str">
        <f aca="false">IF($A213="","",IFERROR(INDEX(MASTER_DATABASE!$V$4:$V$1000,MATCH($A213,MASTER_DATABASE!$A$4:$A$1000,0)),""))</f>
        <v>No</v>
      </c>
      <c r="J213" s="6"/>
    </row>
    <row r="214" customFormat="false" ht="15" hidden="false" customHeight="false" outlineLevel="0" collapsed="false">
      <c r="A214" s="5" t="s">
        <v>2479</v>
      </c>
      <c r="B214" s="7" t="str">
        <f aca="false">IF($A214="","",IFERROR(INDEX(MASTER_DATABASE!$E$4:$E$1000,MATCH($A214,MASTER_DATABASE!$A$4:$A$1000,0)),""))</f>
        <v>White Background</v>
      </c>
      <c r="C214" s="9" t="str">
        <f aca="false">IF($A214="","",IFERROR(INDEX(MASTER_DATABASE!$R$4:$R$1000,MATCH($A214,MASTER_DATABASE!$A$4:$A$1000,0)),""))</f>
        <v>N/A</v>
      </c>
      <c r="D214" s="9" t="str">
        <f aca="false">IF($A214="","",IFERROR(INDEX(MASTER_DATABASE!$S$4:$S$1000,MATCH($A214,MASTER_DATABASE!$A$4:$A$1000,0)),""))</f>
        <v>To Verify</v>
      </c>
      <c r="E214" s="9" t="str">
        <f aca="false">IF($A214="","",IF(AND(OR(ISNUMBER(C214),C214="N/A"),OR(ISNUMBER(D214),D214="N/A"),OR(ISNUMBER(C214),ISNUMBER(D214))),N(C214)+N(D214),"To Verify"))</f>
        <v>To Verify</v>
      </c>
      <c r="F214" s="11" t="str">
        <f aca="false">IF($A214="","",IFERROR(INDEX(MASTER_DATABASE!$U$4:$U$1000,MATCH($A214,MASTER_DATABASE!$A$4:$A$1000,0)),""))</f>
        <v>Shop Charge Only</v>
      </c>
      <c r="G214" s="12"/>
      <c r="H214" s="12"/>
      <c r="I214" s="11" t="str">
        <f aca="false">IF($A214="","",IFERROR(INDEX(MASTER_DATABASE!$V$4:$V$1000,MATCH($A214,MASTER_DATABASE!$A$4:$A$1000,0)),""))</f>
        <v>No</v>
      </c>
      <c r="J214" s="6"/>
    </row>
    <row r="215" customFormat="false" ht="15" hidden="false" customHeight="false" outlineLevel="0" collapsed="false">
      <c r="A215" s="5" t="s">
        <v>2490</v>
      </c>
      <c r="B215" s="7" t="str">
        <f aca="false">IF($A215="","",IFERROR(INDEX(MASTER_DATABASE!$E$4:$E$1000,MATCH($A215,MASTER_DATABASE!$A$4:$A$1000,0)),""))</f>
        <v>Photo Retouching</v>
      </c>
      <c r="C215" s="9" t="str">
        <f aca="false">IF($A215="","",IFERROR(INDEX(MASTER_DATABASE!$R$4:$R$1000,MATCH($A215,MASTER_DATABASE!$A$4:$A$1000,0)),""))</f>
        <v>N/A</v>
      </c>
      <c r="D215" s="9" t="str">
        <f aca="false">IF($A215="","",IFERROR(INDEX(MASTER_DATABASE!$S$4:$S$1000,MATCH($A215,MASTER_DATABASE!$A$4:$A$1000,0)),""))</f>
        <v>To Verify</v>
      </c>
      <c r="E215" s="9" t="str">
        <f aca="false">IF($A215="","",IF(AND(OR(ISNUMBER(C215),C215="N/A"),OR(ISNUMBER(D215),D215="N/A"),OR(ISNUMBER(C215),ISNUMBER(D215))),N(C215)+N(D215),"To Verify"))</f>
        <v>To Verify</v>
      </c>
      <c r="F215" s="11" t="str">
        <f aca="false">IF($A215="","",IFERROR(INDEX(MASTER_DATABASE!$U$4:$U$1000,MATCH($A215,MASTER_DATABASE!$A$4:$A$1000,0)),""))</f>
        <v>Shop Charge Only</v>
      </c>
      <c r="G215" s="12"/>
      <c r="H215" s="12"/>
      <c r="I215" s="11" t="str">
        <f aca="false">IF($A215="","",IFERROR(INDEX(MASTER_DATABASE!$V$4:$V$1000,MATCH($A215,MASTER_DATABASE!$A$4:$A$1000,0)),""))</f>
        <v>No</v>
      </c>
      <c r="J215" s="6"/>
    </row>
    <row r="216" customFormat="false" ht="15" hidden="false" customHeight="false" outlineLevel="0" collapsed="false">
      <c r="A216" s="5" t="s">
        <v>2501</v>
      </c>
      <c r="B216" s="7" t="str">
        <f aca="false">IF($A216="","",IFERROR(INDEX(MASTER_DATABASE!$E$4:$E$1000,MATCH($A216,MASTER_DATABASE!$A$4:$A$1000,0)),""))</f>
        <v>Face Cleanup</v>
      </c>
      <c r="C216" s="9" t="str">
        <f aca="false">IF($A216="","",IFERROR(INDEX(MASTER_DATABASE!$R$4:$R$1000,MATCH($A216,MASTER_DATABASE!$A$4:$A$1000,0)),""))</f>
        <v>N/A</v>
      </c>
      <c r="D216" s="9" t="str">
        <f aca="false">IF($A216="","",IFERROR(INDEX(MASTER_DATABASE!$S$4:$S$1000,MATCH($A216,MASTER_DATABASE!$A$4:$A$1000,0)),""))</f>
        <v>To Verify</v>
      </c>
      <c r="E216" s="9" t="str">
        <f aca="false">IF($A216="","",IF(AND(OR(ISNUMBER(C216),C216="N/A"),OR(ISNUMBER(D216),D216="N/A"),OR(ISNUMBER(C216),ISNUMBER(D216))),N(C216)+N(D216),"To Verify"))</f>
        <v>To Verify</v>
      </c>
      <c r="F216" s="11" t="str">
        <f aca="false">IF($A216="","",IFERROR(INDEX(MASTER_DATABASE!$U$4:$U$1000,MATCH($A216,MASTER_DATABASE!$A$4:$A$1000,0)),""))</f>
        <v>Shop Charge Only</v>
      </c>
      <c r="G216" s="12"/>
      <c r="H216" s="12"/>
      <c r="I216" s="11" t="str">
        <f aca="false">IF($A216="","",IFERROR(INDEX(MASTER_DATABASE!$V$4:$V$1000,MATCH($A216,MASTER_DATABASE!$A$4:$A$1000,0)),""))</f>
        <v>No</v>
      </c>
      <c r="J216" s="6"/>
    </row>
    <row r="217" customFormat="false" ht="15" hidden="false" customHeight="false" outlineLevel="0" collapsed="false">
      <c r="A217" s="5" t="s">
        <v>2512</v>
      </c>
      <c r="B217" s="7" t="str">
        <f aca="false">IF($A217="","",IFERROR(INDEX(MASTER_DATABASE!$E$4:$E$1000,MATCH($A217,MASTER_DATABASE!$A$4:$A$1000,0)),""))</f>
        <v>Photo Enhancement</v>
      </c>
      <c r="C217" s="9" t="str">
        <f aca="false">IF($A217="","",IFERROR(INDEX(MASTER_DATABASE!$R$4:$R$1000,MATCH($A217,MASTER_DATABASE!$A$4:$A$1000,0)),""))</f>
        <v>N/A</v>
      </c>
      <c r="D217" s="9" t="str">
        <f aca="false">IF($A217="","",IFERROR(INDEX(MASTER_DATABASE!$S$4:$S$1000,MATCH($A217,MASTER_DATABASE!$A$4:$A$1000,0)),""))</f>
        <v>To Verify</v>
      </c>
      <c r="E217" s="9" t="str">
        <f aca="false">IF($A217="","",IF(AND(OR(ISNUMBER(C217),C217="N/A"),OR(ISNUMBER(D217),D217="N/A"),OR(ISNUMBER(C217),ISNUMBER(D217))),N(C217)+N(D217),"To Verify"))</f>
        <v>To Verify</v>
      </c>
      <c r="F217" s="11" t="str">
        <f aca="false">IF($A217="","",IFERROR(INDEX(MASTER_DATABASE!$U$4:$U$1000,MATCH($A217,MASTER_DATABASE!$A$4:$A$1000,0)),""))</f>
        <v>Shop Charge Only</v>
      </c>
      <c r="G217" s="12"/>
      <c r="H217" s="12"/>
      <c r="I217" s="11" t="str">
        <f aca="false">IF($A217="","",IFERROR(INDEX(MASTER_DATABASE!$V$4:$V$1000,MATCH($A217,MASTER_DATABASE!$A$4:$A$1000,0)),""))</f>
        <v>No</v>
      </c>
      <c r="J217" s="6"/>
    </row>
    <row r="218" customFormat="false" ht="15" hidden="false" customHeight="false" outlineLevel="0" collapsed="false">
      <c r="A218" s="5" t="s">
        <v>2523</v>
      </c>
      <c r="B218" s="7" t="str">
        <f aca="false">IF($A218="","",IFERROR(INDEX(MASTER_DATABASE!$E$4:$E$1000,MATCH($A218,MASTER_DATABASE!$A$4:$A$1000,0)),""))</f>
        <v>Old Photo Restoration</v>
      </c>
      <c r="C218" s="9" t="str">
        <f aca="false">IF($A218="","",IFERROR(INDEX(MASTER_DATABASE!$R$4:$R$1000,MATCH($A218,MASTER_DATABASE!$A$4:$A$1000,0)),""))</f>
        <v>N/A</v>
      </c>
      <c r="D218" s="9" t="str">
        <f aca="false">IF($A218="","",IFERROR(INDEX(MASTER_DATABASE!$S$4:$S$1000,MATCH($A218,MASTER_DATABASE!$A$4:$A$1000,0)),""))</f>
        <v>To Verify</v>
      </c>
      <c r="E218" s="9" t="str">
        <f aca="false">IF($A218="","",IF(AND(OR(ISNUMBER(C218),C218="N/A"),OR(ISNUMBER(D218),D218="N/A"),OR(ISNUMBER(C218),ISNUMBER(D218))),N(C218)+N(D218),"To Verify"))</f>
        <v>To Verify</v>
      </c>
      <c r="F218" s="11" t="str">
        <f aca="false">IF($A218="","",IFERROR(INDEX(MASTER_DATABASE!$U$4:$U$1000,MATCH($A218,MASTER_DATABASE!$A$4:$A$1000,0)),""))</f>
        <v>Shop Charge Only</v>
      </c>
      <c r="G218" s="12"/>
      <c r="H218" s="12"/>
      <c r="I218" s="11" t="str">
        <f aca="false">IF($A218="","",IFERROR(INDEX(MASTER_DATABASE!$V$4:$V$1000,MATCH($A218,MASTER_DATABASE!$A$4:$A$1000,0)),""))</f>
        <v>No</v>
      </c>
      <c r="J218" s="6"/>
    </row>
    <row r="219" customFormat="false" ht="15" hidden="false" customHeight="false" outlineLevel="0" collapsed="false">
      <c r="A219" s="5" t="s">
        <v>2534</v>
      </c>
      <c r="B219" s="7" t="str">
        <f aca="false">IF($A219="","",IFERROR(INDEX(MASTER_DATABASE!$E$4:$E$1000,MATCH($A219,MASTER_DATABASE!$A$4:$A$1000,0)),""))</f>
        <v>Photo Print</v>
      </c>
      <c r="C219" s="9" t="str">
        <f aca="false">IF($A219="","",IFERROR(INDEX(MASTER_DATABASE!$R$4:$R$1000,MATCH($A219,MASTER_DATABASE!$A$4:$A$1000,0)),""))</f>
        <v>N/A</v>
      </c>
      <c r="D219" s="9" t="str">
        <f aca="false">IF($A219="","",IFERROR(INDEX(MASTER_DATABASE!$S$4:$S$1000,MATCH($A219,MASTER_DATABASE!$A$4:$A$1000,0)),""))</f>
        <v>To Verify</v>
      </c>
      <c r="E219" s="9" t="str">
        <f aca="false">IF($A219="","",IF(AND(OR(ISNUMBER(C219),C219="N/A"),OR(ISNUMBER(D219),D219="N/A"),OR(ISNUMBER(C219),ISNUMBER(D219))),N(C219)+N(D219),"To Verify"))</f>
        <v>To Verify</v>
      </c>
      <c r="F219" s="11" t="str">
        <f aca="false">IF($A219="","",IFERROR(INDEX(MASTER_DATABASE!$U$4:$U$1000,MATCH($A219,MASTER_DATABASE!$A$4:$A$1000,0)),""))</f>
        <v>Shop Charge Only</v>
      </c>
      <c r="G219" s="12"/>
      <c r="H219" s="12"/>
      <c r="I219" s="11" t="str">
        <f aca="false">IF($A219="","",IFERROR(INDEX(MASTER_DATABASE!$V$4:$V$1000,MATCH($A219,MASTER_DATABASE!$A$4:$A$1000,0)),""))</f>
        <v>No</v>
      </c>
      <c r="J219" s="6"/>
    </row>
    <row r="220" customFormat="false" ht="15" hidden="false" customHeight="false" outlineLevel="0" collapsed="false">
      <c r="A220" s="5" t="s">
        <v>2546</v>
      </c>
      <c r="B220" s="7" t="str">
        <f aca="false">IF($A220="","",IFERROR(INDEX(MASTER_DATABASE!$E$4:$E$1000,MATCH($A220,MASTER_DATABASE!$A$4:$A$1000,0)),""))</f>
        <v>4×6 Photo Sheet</v>
      </c>
      <c r="C220" s="9" t="str">
        <f aca="false">IF($A220="","",IFERROR(INDEX(MASTER_DATABASE!$R$4:$R$1000,MATCH($A220,MASTER_DATABASE!$A$4:$A$1000,0)),""))</f>
        <v>N/A</v>
      </c>
      <c r="D220" s="9" t="str">
        <f aca="false">IF($A220="","",IFERROR(INDEX(MASTER_DATABASE!$S$4:$S$1000,MATCH($A220,MASTER_DATABASE!$A$4:$A$1000,0)),""))</f>
        <v>To Verify</v>
      </c>
      <c r="E220" s="9" t="str">
        <f aca="false">IF($A220="","",IF(AND(OR(ISNUMBER(C220),C220="N/A"),OR(ISNUMBER(D220),D220="N/A"),OR(ISNUMBER(C220),ISNUMBER(D220))),N(C220)+N(D220),"To Verify"))</f>
        <v>To Verify</v>
      </c>
      <c r="F220" s="11" t="str">
        <f aca="false">IF($A220="","",IFERROR(INDEX(MASTER_DATABASE!$U$4:$U$1000,MATCH($A220,MASTER_DATABASE!$A$4:$A$1000,0)),""))</f>
        <v>Shop Charge Only</v>
      </c>
      <c r="G220" s="12"/>
      <c r="H220" s="12"/>
      <c r="I220" s="11" t="str">
        <f aca="false">IF($A220="","",IFERROR(INDEX(MASTER_DATABASE!$V$4:$V$1000,MATCH($A220,MASTER_DATABASE!$A$4:$A$1000,0)),""))</f>
        <v>No</v>
      </c>
      <c r="J220" s="6"/>
    </row>
    <row r="221" customFormat="false" ht="15" hidden="false" customHeight="false" outlineLevel="0" collapsed="false">
      <c r="A221" s="5" t="s">
        <v>2557</v>
      </c>
      <c r="B221" s="7" t="str">
        <f aca="false">IF($A221="","",IFERROR(INDEX(MASTER_DATABASE!$E$4:$E$1000,MATCH($A221,MASTER_DATABASE!$A$4:$A$1000,0)),""))</f>
        <v>Multiple Photo Layout</v>
      </c>
      <c r="C221" s="9" t="str">
        <f aca="false">IF($A221="","",IFERROR(INDEX(MASTER_DATABASE!$R$4:$R$1000,MATCH($A221,MASTER_DATABASE!$A$4:$A$1000,0)),""))</f>
        <v>N/A</v>
      </c>
      <c r="D221" s="9" t="str">
        <f aca="false">IF($A221="","",IFERROR(INDEX(MASTER_DATABASE!$S$4:$S$1000,MATCH($A221,MASTER_DATABASE!$A$4:$A$1000,0)),""))</f>
        <v>To Verify</v>
      </c>
      <c r="E221" s="9" t="str">
        <f aca="false">IF($A221="","",IF(AND(OR(ISNUMBER(C221),C221="N/A"),OR(ISNUMBER(D221),D221="N/A"),OR(ISNUMBER(C221),ISNUMBER(D221))),N(C221)+N(D221),"To Verify"))</f>
        <v>To Verify</v>
      </c>
      <c r="F221" s="11" t="str">
        <f aca="false">IF($A221="","",IFERROR(INDEX(MASTER_DATABASE!$U$4:$U$1000,MATCH($A221,MASTER_DATABASE!$A$4:$A$1000,0)),""))</f>
        <v>Shop Charge Only</v>
      </c>
      <c r="G221" s="12"/>
      <c r="H221" s="12"/>
      <c r="I221" s="11" t="str">
        <f aca="false">IF($A221="","",IFERROR(INDEX(MASTER_DATABASE!$V$4:$V$1000,MATCH($A221,MASTER_DATABASE!$A$4:$A$1000,0)),""))</f>
        <v>No</v>
      </c>
      <c r="J221" s="6"/>
    </row>
    <row r="222" customFormat="false" ht="15" hidden="false" customHeight="false" outlineLevel="0" collapsed="false">
      <c r="A222" s="5" t="s">
        <v>2568</v>
      </c>
      <c r="B222" s="7" t="str">
        <f aca="false">IF($A222="","",IFERROR(INDEX(MASTER_DATABASE!$E$4:$E$1000,MATCH($A222,MASTER_DATABASE!$A$4:$A$1000,0)),""))</f>
        <v>Visiting Card Design</v>
      </c>
      <c r="C222" s="9" t="str">
        <f aca="false">IF($A222="","",IFERROR(INDEX(MASTER_DATABASE!$R$4:$R$1000,MATCH($A222,MASTER_DATABASE!$A$4:$A$1000,0)),""))</f>
        <v>N/A</v>
      </c>
      <c r="D222" s="9" t="str">
        <f aca="false">IF($A222="","",IFERROR(INDEX(MASTER_DATABASE!$S$4:$S$1000,MATCH($A222,MASTER_DATABASE!$A$4:$A$1000,0)),""))</f>
        <v>To Verify</v>
      </c>
      <c r="E222" s="9" t="str">
        <f aca="false">IF($A222="","",IF(AND(OR(ISNUMBER(C222),C222="N/A"),OR(ISNUMBER(D222),D222="N/A"),OR(ISNUMBER(C222),ISNUMBER(D222))),N(C222)+N(D222),"To Verify"))</f>
        <v>To Verify</v>
      </c>
      <c r="F222" s="11" t="str">
        <f aca="false">IF($A222="","",IFERROR(INDEX(MASTER_DATABASE!$U$4:$U$1000,MATCH($A222,MASTER_DATABASE!$A$4:$A$1000,0)),""))</f>
        <v>Shop Charge Only</v>
      </c>
      <c r="G222" s="12"/>
      <c r="H222" s="12"/>
      <c r="I222" s="11" t="str">
        <f aca="false">IF($A222="","",IFERROR(INDEX(MASTER_DATABASE!$V$4:$V$1000,MATCH($A222,MASTER_DATABASE!$A$4:$A$1000,0)),""))</f>
        <v>No</v>
      </c>
      <c r="J222" s="6"/>
    </row>
    <row r="223" customFormat="false" ht="15" hidden="false" customHeight="false" outlineLevel="0" collapsed="false">
      <c r="A223" s="5" t="s">
        <v>2581</v>
      </c>
      <c r="B223" s="7" t="str">
        <f aca="false">IF($A223="","",IFERROR(INDEX(MASTER_DATABASE!$E$4:$E$1000,MATCH($A223,MASTER_DATABASE!$A$4:$A$1000,0)),""))</f>
        <v>ID Card Design</v>
      </c>
      <c r="C223" s="9" t="str">
        <f aca="false">IF($A223="","",IFERROR(INDEX(MASTER_DATABASE!$R$4:$R$1000,MATCH($A223,MASTER_DATABASE!$A$4:$A$1000,0)),""))</f>
        <v>N/A</v>
      </c>
      <c r="D223" s="9" t="str">
        <f aca="false">IF($A223="","",IFERROR(INDEX(MASTER_DATABASE!$S$4:$S$1000,MATCH($A223,MASTER_DATABASE!$A$4:$A$1000,0)),""))</f>
        <v>To Verify</v>
      </c>
      <c r="E223" s="9" t="str">
        <f aca="false">IF($A223="","",IF(AND(OR(ISNUMBER(C223),C223="N/A"),OR(ISNUMBER(D223),D223="N/A"),OR(ISNUMBER(C223),ISNUMBER(D223))),N(C223)+N(D223),"To Verify"))</f>
        <v>To Verify</v>
      </c>
      <c r="F223" s="11" t="str">
        <f aca="false">IF($A223="","",IFERROR(INDEX(MASTER_DATABASE!$U$4:$U$1000,MATCH($A223,MASTER_DATABASE!$A$4:$A$1000,0)),""))</f>
        <v>Shop Charge Only</v>
      </c>
      <c r="G223" s="12"/>
      <c r="H223" s="12"/>
      <c r="I223" s="11" t="str">
        <f aca="false">IF($A223="","",IFERROR(INDEX(MASTER_DATABASE!$V$4:$V$1000,MATCH($A223,MASTER_DATABASE!$A$4:$A$1000,0)),""))</f>
        <v>No</v>
      </c>
      <c r="J223" s="6"/>
    </row>
    <row r="224" customFormat="false" ht="15" hidden="false" customHeight="false" outlineLevel="0" collapsed="false">
      <c r="A224" s="5" t="s">
        <v>2591</v>
      </c>
      <c r="B224" s="7" t="str">
        <f aca="false">IF($A224="","",IFERROR(INDEX(MASTER_DATABASE!$E$4:$E$1000,MATCH($A224,MASTER_DATABASE!$A$4:$A$1000,0)),""))</f>
        <v>Certificate Design</v>
      </c>
      <c r="C224" s="9" t="str">
        <f aca="false">IF($A224="","",IFERROR(INDEX(MASTER_DATABASE!$R$4:$R$1000,MATCH($A224,MASTER_DATABASE!$A$4:$A$1000,0)),""))</f>
        <v>N/A</v>
      </c>
      <c r="D224" s="9" t="str">
        <f aca="false">IF($A224="","",IFERROR(INDEX(MASTER_DATABASE!$S$4:$S$1000,MATCH($A224,MASTER_DATABASE!$A$4:$A$1000,0)),""))</f>
        <v>To Verify</v>
      </c>
      <c r="E224" s="9" t="str">
        <f aca="false">IF($A224="","",IF(AND(OR(ISNUMBER(C224),C224="N/A"),OR(ISNUMBER(D224),D224="N/A"),OR(ISNUMBER(C224),ISNUMBER(D224))),N(C224)+N(D224),"To Verify"))</f>
        <v>To Verify</v>
      </c>
      <c r="F224" s="11" t="str">
        <f aca="false">IF($A224="","",IFERROR(INDEX(MASTER_DATABASE!$U$4:$U$1000,MATCH($A224,MASTER_DATABASE!$A$4:$A$1000,0)),""))</f>
        <v>Shop Charge Only</v>
      </c>
      <c r="G224" s="12"/>
      <c r="H224" s="12"/>
      <c r="I224" s="11" t="str">
        <f aca="false">IF($A224="","",IFERROR(INDEX(MASTER_DATABASE!$V$4:$V$1000,MATCH($A224,MASTER_DATABASE!$A$4:$A$1000,0)),""))</f>
        <v>No</v>
      </c>
      <c r="J224" s="6"/>
    </row>
    <row r="225" customFormat="false" ht="15" hidden="false" customHeight="false" outlineLevel="0" collapsed="false">
      <c r="A225" s="5" t="s">
        <v>2601</v>
      </c>
      <c r="B225" s="7" t="str">
        <f aca="false">IF($A225="","",IFERROR(INDEX(MASTER_DATABASE!$E$4:$E$1000,MATCH($A225,MASTER_DATABASE!$A$4:$A$1000,0)),""))</f>
        <v>Poster Design</v>
      </c>
      <c r="C225" s="9" t="str">
        <f aca="false">IF($A225="","",IFERROR(INDEX(MASTER_DATABASE!$R$4:$R$1000,MATCH($A225,MASTER_DATABASE!$A$4:$A$1000,0)),""))</f>
        <v>N/A</v>
      </c>
      <c r="D225" s="9" t="str">
        <f aca="false">IF($A225="","",IFERROR(INDEX(MASTER_DATABASE!$S$4:$S$1000,MATCH($A225,MASTER_DATABASE!$A$4:$A$1000,0)),""))</f>
        <v>To Verify</v>
      </c>
      <c r="E225" s="9" t="str">
        <f aca="false">IF($A225="","",IF(AND(OR(ISNUMBER(C225),C225="N/A"),OR(ISNUMBER(D225),D225="N/A"),OR(ISNUMBER(C225),ISNUMBER(D225))),N(C225)+N(D225),"To Verify"))</f>
        <v>To Verify</v>
      </c>
      <c r="F225" s="11" t="str">
        <f aca="false">IF($A225="","",IFERROR(INDEX(MASTER_DATABASE!$U$4:$U$1000,MATCH($A225,MASTER_DATABASE!$A$4:$A$1000,0)),""))</f>
        <v>Shop Charge Only</v>
      </c>
      <c r="G225" s="12"/>
      <c r="H225" s="12"/>
      <c r="I225" s="11" t="str">
        <f aca="false">IF($A225="","",IFERROR(INDEX(MASTER_DATABASE!$V$4:$V$1000,MATCH($A225,MASTER_DATABASE!$A$4:$A$1000,0)),""))</f>
        <v>No</v>
      </c>
      <c r="J225" s="6"/>
    </row>
    <row r="226" customFormat="false" ht="15" hidden="false" customHeight="false" outlineLevel="0" collapsed="false">
      <c r="A226" s="5" t="s">
        <v>2611</v>
      </c>
      <c r="B226" s="7" t="str">
        <f aca="false">IF($A226="","",IFERROR(INDEX(MASTER_DATABASE!$E$4:$E$1000,MATCH($A226,MASTER_DATABASE!$A$4:$A$1000,0)),""))</f>
        <v>Banner Design</v>
      </c>
      <c r="C226" s="9" t="str">
        <f aca="false">IF($A226="","",IFERROR(INDEX(MASTER_DATABASE!$R$4:$R$1000,MATCH($A226,MASTER_DATABASE!$A$4:$A$1000,0)),""))</f>
        <v>N/A</v>
      </c>
      <c r="D226" s="9" t="str">
        <f aca="false">IF($A226="","",IFERROR(INDEX(MASTER_DATABASE!$S$4:$S$1000,MATCH($A226,MASTER_DATABASE!$A$4:$A$1000,0)),""))</f>
        <v>To Verify</v>
      </c>
      <c r="E226" s="9" t="str">
        <f aca="false">IF($A226="","",IF(AND(OR(ISNUMBER(C226),C226="N/A"),OR(ISNUMBER(D226),D226="N/A"),OR(ISNUMBER(C226),ISNUMBER(D226))),N(C226)+N(D226),"To Verify"))</f>
        <v>To Verify</v>
      </c>
      <c r="F226" s="11" t="str">
        <f aca="false">IF($A226="","",IFERROR(INDEX(MASTER_DATABASE!$U$4:$U$1000,MATCH($A226,MASTER_DATABASE!$A$4:$A$1000,0)),""))</f>
        <v>Shop Charge Only</v>
      </c>
      <c r="G226" s="12"/>
      <c r="H226" s="12"/>
      <c r="I226" s="11" t="str">
        <f aca="false">IF($A226="","",IFERROR(INDEX(MASTER_DATABASE!$V$4:$V$1000,MATCH($A226,MASTER_DATABASE!$A$4:$A$1000,0)),""))</f>
        <v>No</v>
      </c>
      <c r="J226" s="6"/>
    </row>
    <row r="227" customFormat="false" ht="15" hidden="false" customHeight="false" outlineLevel="0" collapsed="false">
      <c r="A227" s="5" t="s">
        <v>2621</v>
      </c>
      <c r="B227" s="7" t="str">
        <f aca="false">IF($A227="","",IFERROR(INDEX(MASTER_DATABASE!$E$4:$E$1000,MATCH($A227,MASTER_DATABASE!$A$4:$A$1000,0)),""))</f>
        <v>Pamphlet Design</v>
      </c>
      <c r="C227" s="9" t="str">
        <f aca="false">IF($A227="","",IFERROR(INDEX(MASTER_DATABASE!$R$4:$R$1000,MATCH($A227,MASTER_DATABASE!$A$4:$A$1000,0)),""))</f>
        <v>N/A</v>
      </c>
      <c r="D227" s="9" t="str">
        <f aca="false">IF($A227="","",IFERROR(INDEX(MASTER_DATABASE!$S$4:$S$1000,MATCH($A227,MASTER_DATABASE!$A$4:$A$1000,0)),""))</f>
        <v>To Verify</v>
      </c>
      <c r="E227" s="9" t="str">
        <f aca="false">IF($A227="","",IF(AND(OR(ISNUMBER(C227),C227="N/A"),OR(ISNUMBER(D227),D227="N/A"),OR(ISNUMBER(C227),ISNUMBER(D227))),N(C227)+N(D227),"To Verify"))</f>
        <v>To Verify</v>
      </c>
      <c r="F227" s="11" t="str">
        <f aca="false">IF($A227="","",IFERROR(INDEX(MASTER_DATABASE!$U$4:$U$1000,MATCH($A227,MASTER_DATABASE!$A$4:$A$1000,0)),""))</f>
        <v>Shop Charge Only</v>
      </c>
      <c r="G227" s="12"/>
      <c r="H227" s="12"/>
      <c r="I227" s="11" t="str">
        <f aca="false">IF($A227="","",IFERROR(INDEX(MASTER_DATABASE!$V$4:$V$1000,MATCH($A227,MASTER_DATABASE!$A$4:$A$1000,0)),""))</f>
        <v>No</v>
      </c>
      <c r="J227" s="6"/>
    </row>
    <row r="228" customFormat="false" ht="15" hidden="false" customHeight="false" outlineLevel="0" collapsed="false">
      <c r="A228" s="5" t="s">
        <v>2631</v>
      </c>
      <c r="B228" s="7" t="str">
        <f aca="false">IF($A228="","",IFERROR(INDEX(MASTER_DATABASE!$E$4:$E$1000,MATCH($A228,MASTER_DATABASE!$A$4:$A$1000,0)),""))</f>
        <v>Invitation Card Design</v>
      </c>
      <c r="C228" s="9" t="str">
        <f aca="false">IF($A228="","",IFERROR(INDEX(MASTER_DATABASE!$R$4:$R$1000,MATCH($A228,MASTER_DATABASE!$A$4:$A$1000,0)),""))</f>
        <v>N/A</v>
      </c>
      <c r="D228" s="9" t="str">
        <f aca="false">IF($A228="","",IFERROR(INDEX(MASTER_DATABASE!$S$4:$S$1000,MATCH($A228,MASTER_DATABASE!$A$4:$A$1000,0)),""))</f>
        <v>To Verify</v>
      </c>
      <c r="E228" s="9" t="str">
        <f aca="false">IF($A228="","",IF(AND(OR(ISNUMBER(C228),C228="N/A"),OR(ISNUMBER(D228),D228="N/A"),OR(ISNUMBER(C228),ISNUMBER(D228))),N(C228)+N(D228),"To Verify"))</f>
        <v>To Verify</v>
      </c>
      <c r="F228" s="11" t="str">
        <f aca="false">IF($A228="","",IFERROR(INDEX(MASTER_DATABASE!$U$4:$U$1000,MATCH($A228,MASTER_DATABASE!$A$4:$A$1000,0)),""))</f>
        <v>Shop Charge Only</v>
      </c>
      <c r="G228" s="12"/>
      <c r="H228" s="12"/>
      <c r="I228" s="11" t="str">
        <f aca="false">IF($A228="","",IFERROR(INDEX(MASTER_DATABASE!$V$4:$V$1000,MATCH($A228,MASTER_DATABASE!$A$4:$A$1000,0)),""))</f>
        <v>No</v>
      </c>
      <c r="J228" s="6"/>
    </row>
    <row r="229" customFormat="false" ht="15" hidden="false" customHeight="false" outlineLevel="0" collapsed="false">
      <c r="A229" s="5" t="s">
        <v>2641</v>
      </c>
      <c r="B229" s="7" t="str">
        <f aca="false">IF($A229="","",IFERROR(INDEX(MASTER_DATABASE!$E$4:$E$1000,MATCH($A229,MASTER_DATABASE!$A$4:$A$1000,0)),""))</f>
        <v>Letterhead Design</v>
      </c>
      <c r="C229" s="9" t="str">
        <f aca="false">IF($A229="","",IFERROR(INDEX(MASTER_DATABASE!$R$4:$R$1000,MATCH($A229,MASTER_DATABASE!$A$4:$A$1000,0)),""))</f>
        <v>N/A</v>
      </c>
      <c r="D229" s="9" t="str">
        <f aca="false">IF($A229="","",IFERROR(INDEX(MASTER_DATABASE!$S$4:$S$1000,MATCH($A229,MASTER_DATABASE!$A$4:$A$1000,0)),""))</f>
        <v>To Verify</v>
      </c>
      <c r="E229" s="9" t="str">
        <f aca="false">IF($A229="","",IF(AND(OR(ISNUMBER(C229),C229="N/A"),OR(ISNUMBER(D229),D229="N/A"),OR(ISNUMBER(C229),ISNUMBER(D229))),N(C229)+N(D229),"To Verify"))</f>
        <v>To Verify</v>
      </c>
      <c r="F229" s="11" t="str">
        <f aca="false">IF($A229="","",IFERROR(INDEX(MASTER_DATABASE!$U$4:$U$1000,MATCH($A229,MASTER_DATABASE!$A$4:$A$1000,0)),""))</f>
        <v>Shop Charge Only</v>
      </c>
      <c r="G229" s="12"/>
      <c r="H229" s="12"/>
      <c r="I229" s="11" t="str">
        <f aca="false">IF($A229="","",IFERROR(INDEX(MASTER_DATABASE!$V$4:$V$1000,MATCH($A229,MASTER_DATABASE!$A$4:$A$1000,0)),""))</f>
        <v>No</v>
      </c>
      <c r="J229" s="6"/>
    </row>
    <row r="230" customFormat="false" ht="15" hidden="false" customHeight="false" outlineLevel="0" collapsed="false">
      <c r="A230" s="5" t="s">
        <v>2651</v>
      </c>
      <c r="B230" s="7" t="str">
        <f aca="false">IF($A230="","",IFERROR(INDEX(MASTER_DATABASE!$E$4:$E$1000,MATCH($A230,MASTER_DATABASE!$A$4:$A$1000,0)),""))</f>
        <v>Logo Design</v>
      </c>
      <c r="C230" s="9" t="str">
        <f aca="false">IF($A230="","",IFERROR(INDEX(MASTER_DATABASE!$R$4:$R$1000,MATCH($A230,MASTER_DATABASE!$A$4:$A$1000,0)),""))</f>
        <v>N/A</v>
      </c>
      <c r="D230" s="9" t="str">
        <f aca="false">IF($A230="","",IFERROR(INDEX(MASTER_DATABASE!$S$4:$S$1000,MATCH($A230,MASTER_DATABASE!$A$4:$A$1000,0)),""))</f>
        <v>To Verify</v>
      </c>
      <c r="E230" s="9" t="str">
        <f aca="false">IF($A230="","",IF(AND(OR(ISNUMBER(C230),C230="N/A"),OR(ISNUMBER(D230),D230="N/A"),OR(ISNUMBER(C230),ISNUMBER(D230))),N(C230)+N(D230),"To Verify"))</f>
        <v>To Verify</v>
      </c>
      <c r="F230" s="11" t="str">
        <f aca="false">IF($A230="","",IFERROR(INDEX(MASTER_DATABASE!$U$4:$U$1000,MATCH($A230,MASTER_DATABASE!$A$4:$A$1000,0)),""))</f>
        <v>Shop Charge Only</v>
      </c>
      <c r="G230" s="12"/>
      <c r="H230" s="12"/>
      <c r="I230" s="11" t="str">
        <f aca="false">IF($A230="","",IFERROR(INDEX(MASTER_DATABASE!$V$4:$V$1000,MATCH($A230,MASTER_DATABASE!$A$4:$A$1000,0)),""))</f>
        <v>No</v>
      </c>
      <c r="J230" s="6"/>
    </row>
    <row r="231" customFormat="false" ht="15" hidden="false" customHeight="false" outlineLevel="0" collapsed="false">
      <c r="A231" s="5" t="s">
        <v>2662</v>
      </c>
      <c r="B231" s="7" t="str">
        <f aca="false">IF($A231="","",IFERROR(INDEX(MASTER_DATABASE!$E$4:$E$1000,MATCH($A231,MASTER_DATABASE!$A$4:$A$1000,0)),""))</f>
        <v>Flex / Banner Printing</v>
      </c>
      <c r="C231" s="9" t="str">
        <f aca="false">IF($A231="","",IFERROR(INDEX(MASTER_DATABASE!$R$4:$R$1000,MATCH($A231,MASTER_DATABASE!$A$4:$A$1000,0)),""))</f>
        <v>N/A</v>
      </c>
      <c r="D231" s="9" t="str">
        <f aca="false">IF($A231="","",IFERROR(INDEX(MASTER_DATABASE!$S$4:$S$1000,MATCH($A231,MASTER_DATABASE!$A$4:$A$1000,0)),""))</f>
        <v>To Verify</v>
      </c>
      <c r="E231" s="9" t="str">
        <f aca="false">IF($A231="","",IF(AND(OR(ISNUMBER(C231),C231="N/A"),OR(ISNUMBER(D231),D231="N/A"),OR(ISNUMBER(C231),ISNUMBER(D231))),N(C231)+N(D231),"To Verify"))</f>
        <v>To Verify</v>
      </c>
      <c r="F231" s="11" t="str">
        <f aca="false">IF($A231="","",IFERROR(INDEX(MASTER_DATABASE!$U$4:$U$1000,MATCH($A231,MASTER_DATABASE!$A$4:$A$1000,0)),""))</f>
        <v>Shop Charge Only</v>
      </c>
      <c r="G231" s="12"/>
      <c r="H231" s="12"/>
      <c r="I231" s="11" t="str">
        <f aca="false">IF($A231="","",IFERROR(INDEX(MASTER_DATABASE!$V$4:$V$1000,MATCH($A231,MASTER_DATABASE!$A$4:$A$1000,0)),""))</f>
        <v>No</v>
      </c>
      <c r="J231" s="6"/>
    </row>
    <row r="232" customFormat="false" ht="15" hidden="false" customHeight="false" outlineLevel="0" collapsed="false">
      <c r="A232" s="5" t="s">
        <v>2673</v>
      </c>
      <c r="B232" s="7" t="str">
        <f aca="false">IF($A232="","",IFERROR(INDEX(MASTER_DATABASE!$E$4:$E$1000,MATCH($A232,MASTER_DATABASE!$A$4:$A$1000,0)),""))</f>
        <v>Government Job Form – Central</v>
      </c>
      <c r="C232" s="9" t="str">
        <f aca="false">IF($A232="","",IFERROR(INDEX(MASTER_DATABASE!$R$4:$R$1000,MATCH($A232,MASTER_DATABASE!$A$4:$A$1000,0)),""))</f>
        <v>To Verify</v>
      </c>
      <c r="D232" s="9" t="str">
        <f aca="false">IF($A232="","",IFERROR(INDEX(MASTER_DATABASE!$S$4:$S$1000,MATCH($A232,MASTER_DATABASE!$A$4:$A$1000,0)),""))</f>
        <v>To Verify</v>
      </c>
      <c r="E232" s="9" t="str">
        <f aca="false">IF($A232="","",IF(AND(OR(ISNUMBER(C232),C232="N/A"),OR(ISNUMBER(D232),D232="N/A"),OR(ISNUMBER(C232),ISNUMBER(D232))),N(C232)+N(D232),"To Verify"))</f>
        <v>To Verify</v>
      </c>
      <c r="F232" s="11" t="str">
        <f aca="false">IF($A232="","",IFERROR(INDEX(MASTER_DATABASE!$U$4:$U$1000,MATCH($A232,MASTER_DATABASE!$A$4:$A$1000,0)),""))</f>
        <v>To Verify</v>
      </c>
      <c r="G232" s="12"/>
      <c r="H232" s="12"/>
      <c r="I232" s="11" t="str">
        <f aca="false">IF($A232="","",IFERROR(INDEX(MASTER_DATABASE!$V$4:$V$1000,MATCH($A232,MASTER_DATABASE!$A$4:$A$1000,0)),""))</f>
        <v>No</v>
      </c>
      <c r="J232" s="6"/>
    </row>
    <row r="233" customFormat="false" ht="15" hidden="false" customHeight="false" outlineLevel="0" collapsed="false">
      <c r="A233" s="5" t="s">
        <v>2691</v>
      </c>
      <c r="B233" s="7" t="str">
        <f aca="false">IF($A233="","",IFERROR(INDEX(MASTER_DATABASE!$E$4:$E$1000,MATCH($A233,MASTER_DATABASE!$A$4:$A$1000,0)),""))</f>
        <v>Government Job Form – State</v>
      </c>
      <c r="C233" s="9" t="str">
        <f aca="false">IF($A233="","",IFERROR(INDEX(MASTER_DATABASE!$R$4:$R$1000,MATCH($A233,MASTER_DATABASE!$A$4:$A$1000,0)),""))</f>
        <v>To Verify</v>
      </c>
      <c r="D233" s="9" t="str">
        <f aca="false">IF($A233="","",IFERROR(INDEX(MASTER_DATABASE!$S$4:$S$1000,MATCH($A233,MASTER_DATABASE!$A$4:$A$1000,0)),""))</f>
        <v>To Verify</v>
      </c>
      <c r="E233" s="9" t="str">
        <f aca="false">IF($A233="","",IF(AND(OR(ISNUMBER(C233),C233="N/A"),OR(ISNUMBER(D233),D233="N/A"),OR(ISNUMBER(C233),ISNUMBER(D233))),N(C233)+N(D233),"To Verify"))</f>
        <v>To Verify</v>
      </c>
      <c r="F233" s="11" t="str">
        <f aca="false">IF($A233="","",IFERROR(INDEX(MASTER_DATABASE!$U$4:$U$1000,MATCH($A233,MASTER_DATABASE!$A$4:$A$1000,0)),""))</f>
        <v>To Verify</v>
      </c>
      <c r="G233" s="12"/>
      <c r="H233" s="12"/>
      <c r="I233" s="11" t="str">
        <f aca="false">IF($A233="","",IFERROR(INDEX(MASTER_DATABASE!$V$4:$V$1000,MATCH($A233,MASTER_DATABASE!$A$4:$A$1000,0)),""))</f>
        <v>No</v>
      </c>
      <c r="J233" s="6"/>
    </row>
    <row r="234" customFormat="false" ht="15" hidden="false" customHeight="false" outlineLevel="0" collapsed="false">
      <c r="A234" s="5" t="s">
        <v>2701</v>
      </c>
      <c r="B234" s="7" t="str">
        <f aca="false">IF($A234="","",IFERROR(INDEX(MASTER_DATABASE!$E$4:$E$1000,MATCH($A234,MASTER_DATABASE!$A$4:$A$1000,0)),""))</f>
        <v>Recruitment Form – Railway (RRB)</v>
      </c>
      <c r="C234" s="9" t="str">
        <f aca="false">IF($A234="","",IFERROR(INDEX(MASTER_DATABASE!$R$4:$R$1000,MATCH($A234,MASTER_DATABASE!$A$4:$A$1000,0)),""))</f>
        <v>To Verify</v>
      </c>
      <c r="D234" s="9" t="str">
        <f aca="false">IF($A234="","",IFERROR(INDEX(MASTER_DATABASE!$S$4:$S$1000,MATCH($A234,MASTER_DATABASE!$A$4:$A$1000,0)),""))</f>
        <v>To Verify</v>
      </c>
      <c r="E234" s="9" t="str">
        <f aca="false">IF($A234="","",IF(AND(OR(ISNUMBER(C234),C234="N/A"),OR(ISNUMBER(D234),D234="N/A"),OR(ISNUMBER(C234),ISNUMBER(D234))),N(C234)+N(D234),"To Verify"))</f>
        <v>To Verify</v>
      </c>
      <c r="F234" s="11" t="str">
        <f aca="false">IF($A234="","",IFERROR(INDEX(MASTER_DATABASE!$U$4:$U$1000,MATCH($A234,MASTER_DATABASE!$A$4:$A$1000,0)),""))</f>
        <v>To Verify</v>
      </c>
      <c r="G234" s="12"/>
      <c r="H234" s="12"/>
      <c r="I234" s="11" t="str">
        <f aca="false">IF($A234="","",IFERROR(INDEX(MASTER_DATABASE!$V$4:$V$1000,MATCH($A234,MASTER_DATABASE!$A$4:$A$1000,0)),""))</f>
        <v>No</v>
      </c>
      <c r="J234" s="6"/>
    </row>
    <row r="235" customFormat="false" ht="15" hidden="false" customHeight="false" outlineLevel="0" collapsed="false">
      <c r="A235" s="5" t="s">
        <v>2711</v>
      </c>
      <c r="B235" s="7" t="str">
        <f aca="false">IF($A235="","",IFERROR(INDEX(MASTER_DATABASE!$E$4:$E$1000,MATCH($A235,MASTER_DATABASE!$A$4:$A$1000,0)),""))</f>
        <v>Recruitment Form – SSC</v>
      </c>
      <c r="C235" s="9" t="str">
        <f aca="false">IF($A235="","",IFERROR(INDEX(MASTER_DATABASE!$R$4:$R$1000,MATCH($A235,MASTER_DATABASE!$A$4:$A$1000,0)),""))</f>
        <v>To Verify</v>
      </c>
      <c r="D235" s="9" t="str">
        <f aca="false">IF($A235="","",IFERROR(INDEX(MASTER_DATABASE!$S$4:$S$1000,MATCH($A235,MASTER_DATABASE!$A$4:$A$1000,0)),""))</f>
        <v>To Verify</v>
      </c>
      <c r="E235" s="9" t="str">
        <f aca="false">IF($A235="","",IF(AND(OR(ISNUMBER(C235),C235="N/A"),OR(ISNUMBER(D235),D235="N/A"),OR(ISNUMBER(C235),ISNUMBER(D235))),N(C235)+N(D235),"To Verify"))</f>
        <v>To Verify</v>
      </c>
      <c r="F235" s="11" t="str">
        <f aca="false">IF($A235="","",IFERROR(INDEX(MASTER_DATABASE!$U$4:$U$1000,MATCH($A235,MASTER_DATABASE!$A$4:$A$1000,0)),""))</f>
        <v>To Verify</v>
      </c>
      <c r="G235" s="12"/>
      <c r="H235" s="12"/>
      <c r="I235" s="11" t="str">
        <f aca="false">IF($A235="","",IFERROR(INDEX(MASTER_DATABASE!$V$4:$V$1000,MATCH($A235,MASTER_DATABASE!$A$4:$A$1000,0)),""))</f>
        <v>No</v>
      </c>
      <c r="J235" s="6"/>
    </row>
    <row r="236" customFormat="false" ht="15" hidden="false" customHeight="false" outlineLevel="0" collapsed="false">
      <c r="A236" s="5" t="s">
        <v>2721</v>
      </c>
      <c r="B236" s="7" t="str">
        <f aca="false">IF($A236="","",IFERROR(INDEX(MASTER_DATABASE!$E$4:$E$1000,MATCH($A236,MASTER_DATABASE!$A$4:$A$1000,0)),""))</f>
        <v>Recruitment Form – Bank (IBPS / SBI etc.)</v>
      </c>
      <c r="C236" s="9" t="str">
        <f aca="false">IF($A236="","",IFERROR(INDEX(MASTER_DATABASE!$R$4:$R$1000,MATCH($A236,MASTER_DATABASE!$A$4:$A$1000,0)),""))</f>
        <v>To Verify</v>
      </c>
      <c r="D236" s="9" t="str">
        <f aca="false">IF($A236="","",IFERROR(INDEX(MASTER_DATABASE!$S$4:$S$1000,MATCH($A236,MASTER_DATABASE!$A$4:$A$1000,0)),""))</f>
        <v>To Verify</v>
      </c>
      <c r="E236" s="9" t="str">
        <f aca="false">IF($A236="","",IF(AND(OR(ISNUMBER(C236),C236="N/A"),OR(ISNUMBER(D236),D236="N/A"),OR(ISNUMBER(C236),ISNUMBER(D236))),N(C236)+N(D236),"To Verify"))</f>
        <v>To Verify</v>
      </c>
      <c r="F236" s="11" t="str">
        <f aca="false">IF($A236="","",IFERROR(INDEX(MASTER_DATABASE!$U$4:$U$1000,MATCH($A236,MASTER_DATABASE!$A$4:$A$1000,0)),""))</f>
        <v>To Verify</v>
      </c>
      <c r="G236" s="12"/>
      <c r="H236" s="12"/>
      <c r="I236" s="11" t="str">
        <f aca="false">IF($A236="","",IFERROR(INDEX(MASTER_DATABASE!$V$4:$V$1000,MATCH($A236,MASTER_DATABASE!$A$4:$A$1000,0)),""))</f>
        <v>No</v>
      </c>
      <c r="J236" s="6"/>
    </row>
    <row r="237" customFormat="false" ht="15" hidden="false" customHeight="false" outlineLevel="0" collapsed="false">
      <c r="A237" s="5" t="s">
        <v>2731</v>
      </c>
      <c r="B237" s="7" t="str">
        <f aca="false">IF($A237="","",IFERROR(INDEX(MASTER_DATABASE!$E$4:$E$1000,MATCH($A237,MASTER_DATABASE!$A$4:$A$1000,0)),""))</f>
        <v>Recruitment Form – Police / Defence</v>
      </c>
      <c r="C237" s="9" t="str">
        <f aca="false">IF($A237="","",IFERROR(INDEX(MASTER_DATABASE!$R$4:$R$1000,MATCH($A237,MASTER_DATABASE!$A$4:$A$1000,0)),""))</f>
        <v>To Verify</v>
      </c>
      <c r="D237" s="9" t="str">
        <f aca="false">IF($A237="","",IFERROR(INDEX(MASTER_DATABASE!$S$4:$S$1000,MATCH($A237,MASTER_DATABASE!$A$4:$A$1000,0)),""))</f>
        <v>To Verify</v>
      </c>
      <c r="E237" s="9" t="str">
        <f aca="false">IF($A237="","",IF(AND(OR(ISNUMBER(C237),C237="N/A"),OR(ISNUMBER(D237),D237="N/A"),OR(ISNUMBER(C237),ISNUMBER(D237))),N(C237)+N(D237),"To Verify"))</f>
        <v>To Verify</v>
      </c>
      <c r="F237" s="11" t="str">
        <f aca="false">IF($A237="","",IFERROR(INDEX(MASTER_DATABASE!$U$4:$U$1000,MATCH($A237,MASTER_DATABASE!$A$4:$A$1000,0)),""))</f>
        <v>To Verify</v>
      </c>
      <c r="G237" s="12"/>
      <c r="H237" s="12"/>
      <c r="I237" s="11" t="str">
        <f aca="false">IF($A237="","",IFERROR(INDEX(MASTER_DATABASE!$V$4:$V$1000,MATCH($A237,MASTER_DATABASE!$A$4:$A$1000,0)),""))</f>
        <v>No</v>
      </c>
      <c r="J237" s="6"/>
    </row>
    <row r="238" customFormat="false" ht="15" hidden="false" customHeight="false" outlineLevel="0" collapsed="false">
      <c r="A238" s="5" t="s">
        <v>2741</v>
      </c>
      <c r="B238" s="7" t="str">
        <f aca="false">IF($A238="","",IFERROR(INDEX(MASTER_DATABASE!$E$4:$E$1000,MATCH($A238,MASTER_DATABASE!$A$4:$A$1000,0)),""))</f>
        <v>Recruitment Form – Teacher (TET / TRE)</v>
      </c>
      <c r="C238" s="9" t="str">
        <f aca="false">IF($A238="","",IFERROR(INDEX(MASTER_DATABASE!$R$4:$R$1000,MATCH($A238,MASTER_DATABASE!$A$4:$A$1000,0)),""))</f>
        <v>To Verify</v>
      </c>
      <c r="D238" s="9" t="str">
        <f aca="false">IF($A238="","",IFERROR(INDEX(MASTER_DATABASE!$S$4:$S$1000,MATCH($A238,MASTER_DATABASE!$A$4:$A$1000,0)),""))</f>
        <v>To Verify</v>
      </c>
      <c r="E238" s="9" t="str">
        <f aca="false">IF($A238="","",IF(AND(OR(ISNUMBER(C238),C238="N/A"),OR(ISNUMBER(D238),D238="N/A"),OR(ISNUMBER(C238),ISNUMBER(D238))),N(C238)+N(D238),"To Verify"))</f>
        <v>To Verify</v>
      </c>
      <c r="F238" s="11" t="str">
        <f aca="false">IF($A238="","",IFERROR(INDEX(MASTER_DATABASE!$U$4:$U$1000,MATCH($A238,MASTER_DATABASE!$A$4:$A$1000,0)),""))</f>
        <v>To Verify</v>
      </c>
      <c r="G238" s="12"/>
      <c r="H238" s="12"/>
      <c r="I238" s="11" t="str">
        <f aca="false">IF($A238="","",IFERROR(INDEX(MASTER_DATABASE!$V$4:$V$1000,MATCH($A238,MASTER_DATABASE!$A$4:$A$1000,0)),""))</f>
        <v>No</v>
      </c>
      <c r="J238" s="6"/>
    </row>
    <row r="239" customFormat="false" ht="15" hidden="false" customHeight="false" outlineLevel="0" collapsed="false">
      <c r="A239" s="5" t="s">
        <v>2751</v>
      </c>
      <c r="B239" s="7" t="str">
        <f aca="false">IF($A239="","",IFERROR(INDEX(MASTER_DATABASE!$E$4:$E$1000,MATCH($A239,MASTER_DATABASE!$A$4:$A$1000,0)),""))</f>
        <v>Competitive Exam Form (UPSC / State PSC etc.)</v>
      </c>
      <c r="C239" s="9" t="str">
        <f aca="false">IF($A239="","",IFERROR(INDEX(MASTER_DATABASE!$R$4:$R$1000,MATCH($A239,MASTER_DATABASE!$A$4:$A$1000,0)),""))</f>
        <v>To Verify</v>
      </c>
      <c r="D239" s="9" t="str">
        <f aca="false">IF($A239="","",IFERROR(INDEX(MASTER_DATABASE!$S$4:$S$1000,MATCH($A239,MASTER_DATABASE!$A$4:$A$1000,0)),""))</f>
        <v>To Verify</v>
      </c>
      <c r="E239" s="9" t="str">
        <f aca="false">IF($A239="","",IF(AND(OR(ISNUMBER(C239),C239="N/A"),OR(ISNUMBER(D239),D239="N/A"),OR(ISNUMBER(C239),ISNUMBER(D239))),N(C239)+N(D239),"To Verify"))</f>
        <v>To Verify</v>
      </c>
      <c r="F239" s="11" t="str">
        <f aca="false">IF($A239="","",IFERROR(INDEX(MASTER_DATABASE!$U$4:$U$1000,MATCH($A239,MASTER_DATABASE!$A$4:$A$1000,0)),""))</f>
        <v>To Verify</v>
      </c>
      <c r="G239" s="12"/>
      <c r="H239" s="12"/>
      <c r="I239" s="11" t="str">
        <f aca="false">IF($A239="","",IFERROR(INDEX(MASTER_DATABASE!$V$4:$V$1000,MATCH($A239,MASTER_DATABASE!$A$4:$A$1000,0)),""))</f>
        <v>No</v>
      </c>
      <c r="J239" s="6"/>
    </row>
    <row r="240" customFormat="false" ht="15" hidden="false" customHeight="false" outlineLevel="0" collapsed="false">
      <c r="A240" s="5" t="s">
        <v>2761</v>
      </c>
      <c r="B240" s="7" t="str">
        <f aca="false">IF($A240="","",IFERROR(INDEX(MASTER_DATABASE!$E$4:$E$1000,MATCH($A240,MASTER_DATABASE!$A$4:$A$1000,0)),""))</f>
        <v>Entrance Exam Form (JEE / NEET / CUET etc.)</v>
      </c>
      <c r="C240" s="9" t="str">
        <f aca="false">IF($A240="","",IFERROR(INDEX(MASTER_DATABASE!$R$4:$R$1000,MATCH($A240,MASTER_DATABASE!$A$4:$A$1000,0)),""))</f>
        <v>To Verify</v>
      </c>
      <c r="D240" s="9" t="str">
        <f aca="false">IF($A240="","",IFERROR(INDEX(MASTER_DATABASE!$S$4:$S$1000,MATCH($A240,MASTER_DATABASE!$A$4:$A$1000,0)),""))</f>
        <v>To Verify</v>
      </c>
      <c r="E240" s="9" t="str">
        <f aca="false">IF($A240="","",IF(AND(OR(ISNUMBER(C240),C240="N/A"),OR(ISNUMBER(D240),D240="N/A"),OR(ISNUMBER(C240),ISNUMBER(D240))),N(C240)+N(D240),"To Verify"))</f>
        <v>To Verify</v>
      </c>
      <c r="F240" s="11" t="str">
        <f aca="false">IF($A240="","",IFERROR(INDEX(MASTER_DATABASE!$U$4:$U$1000,MATCH($A240,MASTER_DATABASE!$A$4:$A$1000,0)),""))</f>
        <v>To Verify</v>
      </c>
      <c r="G240" s="12"/>
      <c r="H240" s="12"/>
      <c r="I240" s="11" t="str">
        <f aca="false">IF($A240="","",IFERROR(INDEX(MASTER_DATABASE!$V$4:$V$1000,MATCH($A240,MASTER_DATABASE!$A$4:$A$1000,0)),""))</f>
        <v>No</v>
      </c>
      <c r="J240" s="6"/>
    </row>
    <row r="241" customFormat="false" ht="15" hidden="false" customHeight="false" outlineLevel="0" collapsed="false">
      <c r="A241" s="5" t="s">
        <v>2771</v>
      </c>
      <c r="B241" s="7" t="str">
        <f aca="false">IF($A241="","",IFERROR(INDEX(MASTER_DATABASE!$E$4:$E$1000,MATCH($A241,MASTER_DATABASE!$A$4:$A$1000,0)),""))</f>
        <v>School Admission Form</v>
      </c>
      <c r="C241" s="9" t="str">
        <f aca="false">IF($A241="","",IFERROR(INDEX(MASTER_DATABASE!$R$4:$R$1000,MATCH($A241,MASTER_DATABASE!$A$4:$A$1000,0)),""))</f>
        <v>To Verify</v>
      </c>
      <c r="D241" s="9" t="str">
        <f aca="false">IF($A241="","",IFERROR(INDEX(MASTER_DATABASE!$S$4:$S$1000,MATCH($A241,MASTER_DATABASE!$A$4:$A$1000,0)),""))</f>
        <v>To Verify</v>
      </c>
      <c r="E241" s="9" t="str">
        <f aca="false">IF($A241="","",IF(AND(OR(ISNUMBER(C241),C241="N/A"),OR(ISNUMBER(D241),D241="N/A"),OR(ISNUMBER(C241),ISNUMBER(D241))),N(C241)+N(D241),"To Verify"))</f>
        <v>To Verify</v>
      </c>
      <c r="F241" s="11" t="str">
        <f aca="false">IF($A241="","",IFERROR(INDEX(MASTER_DATABASE!$U$4:$U$1000,MATCH($A241,MASTER_DATABASE!$A$4:$A$1000,0)),""))</f>
        <v>To Verify</v>
      </c>
      <c r="G241" s="12"/>
      <c r="H241" s="12"/>
      <c r="I241" s="11" t="str">
        <f aca="false">IF($A241="","",IFERROR(INDEX(MASTER_DATABASE!$V$4:$V$1000,MATCH($A241,MASTER_DATABASE!$A$4:$A$1000,0)),""))</f>
        <v>No</v>
      </c>
      <c r="J241" s="6"/>
    </row>
    <row r="242" customFormat="false" ht="15" hidden="false" customHeight="false" outlineLevel="0" collapsed="false">
      <c r="A242" s="5" t="s">
        <v>2783</v>
      </c>
      <c r="B242" s="7" t="str">
        <f aca="false">IF($A242="","",IFERROR(INDEX(MASTER_DATABASE!$E$4:$E$1000,MATCH($A242,MASTER_DATABASE!$A$4:$A$1000,0)),""))</f>
        <v>College Admission Form</v>
      </c>
      <c r="C242" s="9" t="str">
        <f aca="false">IF($A242="","",IFERROR(INDEX(MASTER_DATABASE!$R$4:$R$1000,MATCH($A242,MASTER_DATABASE!$A$4:$A$1000,0)),""))</f>
        <v>To Verify</v>
      </c>
      <c r="D242" s="9" t="str">
        <f aca="false">IF($A242="","",IFERROR(INDEX(MASTER_DATABASE!$S$4:$S$1000,MATCH($A242,MASTER_DATABASE!$A$4:$A$1000,0)),""))</f>
        <v>To Verify</v>
      </c>
      <c r="E242" s="9" t="str">
        <f aca="false">IF($A242="","",IF(AND(OR(ISNUMBER(C242),C242="N/A"),OR(ISNUMBER(D242),D242="N/A"),OR(ISNUMBER(C242),ISNUMBER(D242))),N(C242)+N(D242),"To Verify"))</f>
        <v>To Verify</v>
      </c>
      <c r="F242" s="11" t="str">
        <f aca="false">IF($A242="","",IFERROR(INDEX(MASTER_DATABASE!$U$4:$U$1000,MATCH($A242,MASTER_DATABASE!$A$4:$A$1000,0)),""))</f>
        <v>To Verify</v>
      </c>
      <c r="G242" s="12"/>
      <c r="H242" s="12"/>
      <c r="I242" s="11" t="str">
        <f aca="false">IF($A242="","",IFERROR(INDEX(MASTER_DATABASE!$V$4:$V$1000,MATCH($A242,MASTER_DATABASE!$A$4:$A$1000,0)),""))</f>
        <v>No</v>
      </c>
      <c r="J242" s="6"/>
    </row>
    <row r="243" customFormat="false" ht="15" hidden="false" customHeight="false" outlineLevel="0" collapsed="false">
      <c r="A243" s="5" t="s">
        <v>2793</v>
      </c>
      <c r="B243" s="7" t="str">
        <f aca="false">IF($A243="","",IFERROR(INDEX(MASTER_DATABASE!$E$4:$E$1000,MATCH($A243,MASTER_DATABASE!$A$4:$A$1000,0)),""))</f>
        <v>University Admission Form</v>
      </c>
      <c r="C243" s="9" t="str">
        <f aca="false">IF($A243="","",IFERROR(INDEX(MASTER_DATABASE!$R$4:$R$1000,MATCH($A243,MASTER_DATABASE!$A$4:$A$1000,0)),""))</f>
        <v>To Verify</v>
      </c>
      <c r="D243" s="9" t="str">
        <f aca="false">IF($A243="","",IFERROR(INDEX(MASTER_DATABASE!$S$4:$S$1000,MATCH($A243,MASTER_DATABASE!$A$4:$A$1000,0)),""))</f>
        <v>To Verify</v>
      </c>
      <c r="E243" s="9" t="str">
        <f aca="false">IF($A243="","",IF(AND(OR(ISNUMBER(C243),C243="N/A"),OR(ISNUMBER(D243),D243="N/A"),OR(ISNUMBER(C243),ISNUMBER(D243))),N(C243)+N(D243),"To Verify"))</f>
        <v>To Verify</v>
      </c>
      <c r="F243" s="11" t="str">
        <f aca="false">IF($A243="","",IFERROR(INDEX(MASTER_DATABASE!$U$4:$U$1000,MATCH($A243,MASTER_DATABASE!$A$4:$A$1000,0)),""))</f>
        <v>To Verify</v>
      </c>
      <c r="G243" s="12"/>
      <c r="H243" s="12"/>
      <c r="I243" s="11" t="str">
        <f aca="false">IF($A243="","",IFERROR(INDEX(MASTER_DATABASE!$V$4:$V$1000,MATCH($A243,MASTER_DATABASE!$A$4:$A$1000,0)),""))</f>
        <v>No</v>
      </c>
      <c r="J243" s="6"/>
    </row>
    <row r="244" customFormat="false" ht="15" hidden="false" customHeight="false" outlineLevel="0" collapsed="false">
      <c r="A244" s="5" t="s">
        <v>2803</v>
      </c>
      <c r="B244" s="7" t="str">
        <f aca="false">IF($A244="","",IFERROR(INDEX(MASTER_DATABASE!$E$4:$E$1000,MATCH($A244,MASTER_DATABASE!$A$4:$A$1000,0)),""))</f>
        <v>ITI Admission Form</v>
      </c>
      <c r="C244" s="9" t="str">
        <f aca="false">IF($A244="","",IFERROR(INDEX(MASTER_DATABASE!$R$4:$R$1000,MATCH($A244,MASTER_DATABASE!$A$4:$A$1000,0)),""))</f>
        <v>To Verify</v>
      </c>
      <c r="D244" s="9" t="str">
        <f aca="false">IF($A244="","",IFERROR(INDEX(MASTER_DATABASE!$S$4:$S$1000,MATCH($A244,MASTER_DATABASE!$A$4:$A$1000,0)),""))</f>
        <v>To Verify</v>
      </c>
      <c r="E244" s="9" t="str">
        <f aca="false">IF($A244="","",IF(AND(OR(ISNUMBER(C244),C244="N/A"),OR(ISNUMBER(D244),D244="N/A"),OR(ISNUMBER(C244),ISNUMBER(D244))),N(C244)+N(D244),"To Verify"))</f>
        <v>To Verify</v>
      </c>
      <c r="F244" s="11" t="str">
        <f aca="false">IF($A244="","",IFERROR(INDEX(MASTER_DATABASE!$U$4:$U$1000,MATCH($A244,MASTER_DATABASE!$A$4:$A$1000,0)),""))</f>
        <v>To Verify</v>
      </c>
      <c r="G244" s="12"/>
      <c r="H244" s="12"/>
      <c r="I244" s="11" t="str">
        <f aca="false">IF($A244="","",IFERROR(INDEX(MASTER_DATABASE!$V$4:$V$1000,MATCH($A244,MASTER_DATABASE!$A$4:$A$1000,0)),""))</f>
        <v>No</v>
      </c>
      <c r="J244" s="6"/>
    </row>
    <row r="245" customFormat="false" ht="15" hidden="false" customHeight="false" outlineLevel="0" collapsed="false">
      <c r="A245" s="5" t="s">
        <v>2813</v>
      </c>
      <c r="B245" s="7" t="str">
        <f aca="false">IF($A245="","",IFERROR(INDEX(MASTER_DATABASE!$E$4:$E$1000,MATCH($A245,MASTER_DATABASE!$A$4:$A$1000,0)),""))</f>
        <v>Polytechnic Admission Form</v>
      </c>
      <c r="C245" s="9" t="str">
        <f aca="false">IF($A245="","",IFERROR(INDEX(MASTER_DATABASE!$R$4:$R$1000,MATCH($A245,MASTER_DATABASE!$A$4:$A$1000,0)),""))</f>
        <v>To Verify</v>
      </c>
      <c r="D245" s="9" t="str">
        <f aca="false">IF($A245="","",IFERROR(INDEX(MASTER_DATABASE!$S$4:$S$1000,MATCH($A245,MASTER_DATABASE!$A$4:$A$1000,0)),""))</f>
        <v>To Verify</v>
      </c>
      <c r="E245" s="9" t="str">
        <f aca="false">IF($A245="","",IF(AND(OR(ISNUMBER(C245),C245="N/A"),OR(ISNUMBER(D245),D245="N/A"),OR(ISNUMBER(C245),ISNUMBER(D245))),N(C245)+N(D245),"To Verify"))</f>
        <v>To Verify</v>
      </c>
      <c r="F245" s="11" t="str">
        <f aca="false">IF($A245="","",IFERROR(INDEX(MASTER_DATABASE!$U$4:$U$1000,MATCH($A245,MASTER_DATABASE!$A$4:$A$1000,0)),""))</f>
        <v>To Verify</v>
      </c>
      <c r="G245" s="12"/>
      <c r="H245" s="12"/>
      <c r="I245" s="11" t="str">
        <f aca="false">IF($A245="","",IFERROR(INDEX(MASTER_DATABASE!$V$4:$V$1000,MATCH($A245,MASTER_DATABASE!$A$4:$A$1000,0)),""))</f>
        <v>No</v>
      </c>
      <c r="J245" s="6"/>
    </row>
    <row r="246" customFormat="false" ht="15" hidden="false" customHeight="false" outlineLevel="0" collapsed="false">
      <c r="A246" s="5" t="s">
        <v>2823</v>
      </c>
      <c r="B246" s="7" t="str">
        <f aca="false">IF($A246="","",IFERROR(INDEX(MASTER_DATABASE!$E$4:$E$1000,MATCH($A246,MASTER_DATABASE!$A$4:$A$1000,0)),""))</f>
        <v>Scholarship Application</v>
      </c>
      <c r="C246" s="9" t="str">
        <f aca="false">IF($A246="","",IFERROR(INDEX(MASTER_DATABASE!$R$4:$R$1000,MATCH($A246,MASTER_DATABASE!$A$4:$A$1000,0)),""))</f>
        <v>To Verify</v>
      </c>
      <c r="D246" s="9" t="str">
        <f aca="false">IF($A246="","",IFERROR(INDEX(MASTER_DATABASE!$S$4:$S$1000,MATCH($A246,MASTER_DATABASE!$A$4:$A$1000,0)),""))</f>
        <v>To Verify</v>
      </c>
      <c r="E246" s="9" t="str">
        <f aca="false">IF($A246="","",IF(AND(OR(ISNUMBER(C246),C246="N/A"),OR(ISNUMBER(D246),D246="N/A"),OR(ISNUMBER(C246),ISNUMBER(D246))),N(C246)+N(D246),"To Verify"))</f>
        <v>To Verify</v>
      </c>
      <c r="F246" s="11" t="str">
        <f aca="false">IF($A246="","",IFERROR(INDEX(MASTER_DATABASE!$U$4:$U$1000,MATCH($A246,MASTER_DATABASE!$A$4:$A$1000,0)),""))</f>
        <v>To Verify</v>
      </c>
      <c r="G246" s="12"/>
      <c r="H246" s="12"/>
      <c r="I246" s="11" t="str">
        <f aca="false">IF($A246="","",IFERROR(INDEX(MASTER_DATABASE!$V$4:$V$1000,MATCH($A246,MASTER_DATABASE!$A$4:$A$1000,0)),""))</f>
        <v>No</v>
      </c>
      <c r="J246" s="6"/>
    </row>
    <row r="247" customFormat="false" ht="23.85" hidden="false" customHeight="false" outlineLevel="0" collapsed="false">
      <c r="A247" s="5" t="s">
        <v>2833</v>
      </c>
      <c r="B247" s="7" t="str">
        <f aca="false">IF($A247="","",IFERROR(INDEX(MASTER_DATABASE!$E$4:$E$1000,MATCH($A247,MASTER_DATABASE!$A$4:$A$1000,0)),""))</f>
        <v>Student Credit Card / Education Loan Scheme Application</v>
      </c>
      <c r="C247" s="9" t="str">
        <f aca="false">IF($A247="","",IFERROR(INDEX(MASTER_DATABASE!$R$4:$R$1000,MATCH($A247,MASTER_DATABASE!$A$4:$A$1000,0)),""))</f>
        <v>To Verify</v>
      </c>
      <c r="D247" s="9" t="str">
        <f aca="false">IF($A247="","",IFERROR(INDEX(MASTER_DATABASE!$S$4:$S$1000,MATCH($A247,MASTER_DATABASE!$A$4:$A$1000,0)),""))</f>
        <v>To Verify</v>
      </c>
      <c r="E247" s="9" t="str">
        <f aca="false">IF($A247="","",IF(AND(OR(ISNUMBER(C247),C247="N/A"),OR(ISNUMBER(D247),D247="N/A"),OR(ISNUMBER(C247),ISNUMBER(D247))),N(C247)+N(D247),"To Verify"))</f>
        <v>To Verify</v>
      </c>
      <c r="F247" s="11" t="str">
        <f aca="false">IF($A247="","",IFERROR(INDEX(MASTER_DATABASE!$U$4:$U$1000,MATCH($A247,MASTER_DATABASE!$A$4:$A$1000,0)),""))</f>
        <v>To Verify</v>
      </c>
      <c r="G247" s="12"/>
      <c r="H247" s="12"/>
      <c r="I247" s="11" t="str">
        <f aca="false">IF($A247="","",IFERROR(INDEX(MASTER_DATABASE!$V$4:$V$1000,MATCH($A247,MASTER_DATABASE!$A$4:$A$1000,0)),""))</f>
        <v>No</v>
      </c>
      <c r="J247" s="6"/>
    </row>
    <row r="248" customFormat="false" ht="15" hidden="false" customHeight="false" outlineLevel="0" collapsed="false">
      <c r="A248" s="5" t="s">
        <v>2844</v>
      </c>
      <c r="B248" s="7" t="str">
        <f aca="false">IF($A248="","",IFERROR(INDEX(MASTER_DATABASE!$E$4:$E$1000,MATCH($A248,MASTER_DATABASE!$A$4:$A$1000,0)),""))</f>
        <v>Exam Registration</v>
      </c>
      <c r="C248" s="9" t="str">
        <f aca="false">IF($A248="","",IFERROR(INDEX(MASTER_DATABASE!$R$4:$R$1000,MATCH($A248,MASTER_DATABASE!$A$4:$A$1000,0)),""))</f>
        <v>To Verify</v>
      </c>
      <c r="D248" s="9" t="str">
        <f aca="false">IF($A248="","",IFERROR(INDEX(MASTER_DATABASE!$S$4:$S$1000,MATCH($A248,MASTER_DATABASE!$A$4:$A$1000,0)),""))</f>
        <v>To Verify</v>
      </c>
      <c r="E248" s="9" t="str">
        <f aca="false">IF($A248="","",IF(AND(OR(ISNUMBER(C248),C248="N/A"),OR(ISNUMBER(D248),D248="N/A"),OR(ISNUMBER(C248),ISNUMBER(D248))),N(C248)+N(D248),"To Verify"))</f>
        <v>To Verify</v>
      </c>
      <c r="F248" s="11" t="str">
        <f aca="false">IF($A248="","",IFERROR(INDEX(MASTER_DATABASE!$U$4:$U$1000,MATCH($A248,MASTER_DATABASE!$A$4:$A$1000,0)),""))</f>
        <v>To Verify</v>
      </c>
      <c r="G248" s="12"/>
      <c r="H248" s="12"/>
      <c r="I248" s="11" t="str">
        <f aca="false">IF($A248="","",IFERROR(INDEX(MASTER_DATABASE!$V$4:$V$1000,MATCH($A248,MASTER_DATABASE!$A$4:$A$1000,0)),""))</f>
        <v>No</v>
      </c>
      <c r="J248" s="6"/>
    </row>
    <row r="249" customFormat="false" ht="15" hidden="false" customHeight="false" outlineLevel="0" collapsed="false">
      <c r="A249" s="5" t="s">
        <v>2854</v>
      </c>
      <c r="B249" s="7" t="str">
        <f aca="false">IF($A249="","",IFERROR(INDEX(MASTER_DATABASE!$E$4:$E$1000,MATCH($A249,MASTER_DATABASE!$A$4:$A$1000,0)),""))</f>
        <v>Admit Card Download</v>
      </c>
      <c r="C249" s="9" t="str">
        <f aca="false">IF($A249="","",IFERROR(INDEX(MASTER_DATABASE!$R$4:$R$1000,MATCH($A249,MASTER_DATABASE!$A$4:$A$1000,0)),""))</f>
        <v>To Verify</v>
      </c>
      <c r="D249" s="9" t="str">
        <f aca="false">IF($A249="","",IFERROR(INDEX(MASTER_DATABASE!$S$4:$S$1000,MATCH($A249,MASTER_DATABASE!$A$4:$A$1000,0)),""))</f>
        <v>To Verify</v>
      </c>
      <c r="E249" s="9" t="str">
        <f aca="false">IF($A249="","",IF(AND(OR(ISNUMBER(C249),C249="N/A"),OR(ISNUMBER(D249),D249="N/A"),OR(ISNUMBER(C249),ISNUMBER(D249))),N(C249)+N(D249),"To Verify"))</f>
        <v>To Verify</v>
      </c>
      <c r="F249" s="11" t="str">
        <f aca="false">IF($A249="","",IFERROR(INDEX(MASTER_DATABASE!$U$4:$U$1000,MATCH($A249,MASTER_DATABASE!$A$4:$A$1000,0)),""))</f>
        <v>To Verify</v>
      </c>
      <c r="G249" s="12"/>
      <c r="H249" s="12"/>
      <c r="I249" s="11" t="str">
        <f aca="false">IF($A249="","",IFERROR(INDEX(MASTER_DATABASE!$V$4:$V$1000,MATCH($A249,MASTER_DATABASE!$A$4:$A$1000,0)),""))</f>
        <v>No</v>
      </c>
      <c r="J249" s="6"/>
    </row>
    <row r="250" customFormat="false" ht="15" hidden="false" customHeight="false" outlineLevel="0" collapsed="false">
      <c r="A250" s="5" t="s">
        <v>2864</v>
      </c>
      <c r="B250" s="7" t="str">
        <f aca="false">IF($A250="","",IFERROR(INDEX(MASTER_DATABASE!$E$4:$E$1000,MATCH($A250,MASTER_DATABASE!$A$4:$A$1000,0)),""))</f>
        <v>Result Check / Download</v>
      </c>
      <c r="C250" s="9" t="str">
        <f aca="false">IF($A250="","",IFERROR(INDEX(MASTER_DATABASE!$R$4:$R$1000,MATCH($A250,MASTER_DATABASE!$A$4:$A$1000,0)),""))</f>
        <v>To Verify</v>
      </c>
      <c r="D250" s="9" t="str">
        <f aca="false">IF($A250="","",IFERROR(INDEX(MASTER_DATABASE!$S$4:$S$1000,MATCH($A250,MASTER_DATABASE!$A$4:$A$1000,0)),""))</f>
        <v>To Verify</v>
      </c>
      <c r="E250" s="9" t="str">
        <f aca="false">IF($A250="","",IF(AND(OR(ISNUMBER(C250),C250="N/A"),OR(ISNUMBER(D250),D250="N/A"),OR(ISNUMBER(C250),ISNUMBER(D250))),N(C250)+N(D250),"To Verify"))</f>
        <v>To Verify</v>
      </c>
      <c r="F250" s="11" t="str">
        <f aca="false">IF($A250="","",IFERROR(INDEX(MASTER_DATABASE!$U$4:$U$1000,MATCH($A250,MASTER_DATABASE!$A$4:$A$1000,0)),""))</f>
        <v>To Verify</v>
      </c>
      <c r="G250" s="12"/>
      <c r="H250" s="12"/>
      <c r="I250" s="11" t="str">
        <f aca="false">IF($A250="","",IFERROR(INDEX(MASTER_DATABASE!$V$4:$V$1000,MATCH($A250,MASTER_DATABASE!$A$4:$A$1000,0)),""))</f>
        <v>No</v>
      </c>
      <c r="J250" s="6"/>
    </row>
    <row r="251" customFormat="false" ht="15" hidden="false" customHeight="false" outlineLevel="0" collapsed="false">
      <c r="A251" s="5" t="s">
        <v>2874</v>
      </c>
      <c r="B251" s="7" t="str">
        <f aca="false">IF($A251="","",IFERROR(INDEX(MASTER_DATABASE!$E$4:$E$1000,MATCH($A251,MASTER_DATABASE!$A$4:$A$1000,0)),""))</f>
        <v>Marksheet / Certificate Download</v>
      </c>
      <c r="C251" s="9" t="str">
        <f aca="false">IF($A251="","",IFERROR(INDEX(MASTER_DATABASE!$R$4:$R$1000,MATCH($A251,MASTER_DATABASE!$A$4:$A$1000,0)),""))</f>
        <v>To Verify</v>
      </c>
      <c r="D251" s="9" t="str">
        <f aca="false">IF($A251="","",IFERROR(INDEX(MASTER_DATABASE!$S$4:$S$1000,MATCH($A251,MASTER_DATABASE!$A$4:$A$1000,0)),""))</f>
        <v>To Verify</v>
      </c>
      <c r="E251" s="9" t="str">
        <f aca="false">IF($A251="","",IF(AND(OR(ISNUMBER(C251),C251="N/A"),OR(ISNUMBER(D251),D251="N/A"),OR(ISNUMBER(C251),ISNUMBER(D251))),N(C251)+N(D251),"To Verify"))</f>
        <v>To Verify</v>
      </c>
      <c r="F251" s="11" t="str">
        <f aca="false">IF($A251="","",IFERROR(INDEX(MASTER_DATABASE!$U$4:$U$1000,MATCH($A251,MASTER_DATABASE!$A$4:$A$1000,0)),""))</f>
        <v>To Verify</v>
      </c>
      <c r="G251" s="12"/>
      <c r="H251" s="12"/>
      <c r="I251" s="11" t="str">
        <f aca="false">IF($A251="","",IFERROR(INDEX(MASTER_DATABASE!$V$4:$V$1000,MATCH($A251,MASTER_DATABASE!$A$4:$A$1000,0)),""))</f>
        <v>No</v>
      </c>
      <c r="J251" s="6"/>
    </row>
    <row r="252" customFormat="false" ht="15" hidden="false" customHeight="false" outlineLevel="0" collapsed="false">
      <c r="A252" s="5" t="s">
        <v>2884</v>
      </c>
      <c r="B252" s="7" t="str">
        <f aca="false">IF($A252="","",IFERROR(INDEX(MASTER_DATABASE!$E$4:$E$1000,MATCH($A252,MASTER_DATABASE!$A$4:$A$1000,0)),""))</f>
        <v>Email ID Creation</v>
      </c>
      <c r="C252" s="9" t="str">
        <f aca="false">IF($A252="","",IFERROR(INDEX(MASTER_DATABASE!$R$4:$R$1000,MATCH($A252,MASTER_DATABASE!$A$4:$A$1000,0)),""))</f>
        <v>N/A</v>
      </c>
      <c r="D252" s="9" t="str">
        <f aca="false">IF($A252="","",IFERROR(INDEX(MASTER_DATABASE!$S$4:$S$1000,MATCH($A252,MASTER_DATABASE!$A$4:$A$1000,0)),""))</f>
        <v>To Verify</v>
      </c>
      <c r="E252" s="9" t="str">
        <f aca="false">IF($A252="","",IF(AND(OR(ISNUMBER(C252),C252="N/A"),OR(ISNUMBER(D252),D252="N/A"),OR(ISNUMBER(C252),ISNUMBER(D252))),N(C252)+N(D252),"To Verify"))</f>
        <v>To Verify</v>
      </c>
      <c r="F252" s="11" t="str">
        <f aca="false">IF($A252="","",IFERROR(INDEX(MASTER_DATABASE!$U$4:$U$1000,MATCH($A252,MASTER_DATABASE!$A$4:$A$1000,0)),""))</f>
        <v>Shop Charge Only</v>
      </c>
      <c r="G252" s="12"/>
      <c r="H252" s="12"/>
      <c r="I252" s="11" t="str">
        <f aca="false">IF($A252="","",IFERROR(INDEX(MASTER_DATABASE!$V$4:$V$1000,MATCH($A252,MASTER_DATABASE!$A$4:$A$1000,0)),""))</f>
        <v>No</v>
      </c>
      <c r="J252" s="6"/>
    </row>
    <row r="253" customFormat="false" ht="15" hidden="false" customHeight="false" outlineLevel="0" collapsed="false">
      <c r="A253" s="5" t="s">
        <v>2895</v>
      </c>
      <c r="B253" s="7" t="str">
        <f aca="false">IF($A253="","",IFERROR(INDEX(MASTER_DATABASE!$E$4:$E$1000,MATCH($A253,MASTER_DATABASE!$A$4:$A$1000,0)),""))</f>
        <v>Online Registration – General</v>
      </c>
      <c r="C253" s="9" t="str">
        <f aca="false">IF($A253="","",IFERROR(INDEX(MASTER_DATABASE!$R$4:$R$1000,MATCH($A253,MASTER_DATABASE!$A$4:$A$1000,0)),""))</f>
        <v>N/A</v>
      </c>
      <c r="D253" s="9" t="str">
        <f aca="false">IF($A253="","",IFERROR(INDEX(MASTER_DATABASE!$S$4:$S$1000,MATCH($A253,MASTER_DATABASE!$A$4:$A$1000,0)),""))</f>
        <v>To Verify</v>
      </c>
      <c r="E253" s="9" t="str">
        <f aca="false">IF($A253="","",IF(AND(OR(ISNUMBER(C253),C253="N/A"),OR(ISNUMBER(D253),D253="N/A"),OR(ISNUMBER(C253),ISNUMBER(D253))),N(C253)+N(D253),"To Verify"))</f>
        <v>To Verify</v>
      </c>
      <c r="F253" s="11" t="str">
        <f aca="false">IF($A253="","",IFERROR(INDEX(MASTER_DATABASE!$U$4:$U$1000,MATCH($A253,MASTER_DATABASE!$A$4:$A$1000,0)),""))</f>
        <v>Shop Charge Only</v>
      </c>
      <c r="G253" s="12"/>
      <c r="H253" s="12"/>
      <c r="I253" s="11" t="str">
        <f aca="false">IF($A253="","",IFERROR(INDEX(MASTER_DATABASE!$V$4:$V$1000,MATCH($A253,MASTER_DATABASE!$A$4:$A$1000,0)),""))</f>
        <v>No</v>
      </c>
      <c r="J253" s="6"/>
    </row>
    <row r="254" customFormat="false" ht="15" hidden="false" customHeight="false" outlineLevel="0" collapsed="false">
      <c r="A254" s="5" t="s">
        <v>2906</v>
      </c>
      <c r="B254" s="7" t="str">
        <f aca="false">IF($A254="","",IFERROR(INDEX(MASTER_DATABASE!$E$4:$E$1000,MATCH($A254,MASTER_DATABASE!$A$4:$A$1000,0)),""))</f>
        <v>Document Upload</v>
      </c>
      <c r="C254" s="9" t="str">
        <f aca="false">IF($A254="","",IFERROR(INDEX(MASTER_DATABASE!$R$4:$R$1000,MATCH($A254,MASTER_DATABASE!$A$4:$A$1000,0)),""))</f>
        <v>N/A</v>
      </c>
      <c r="D254" s="9" t="str">
        <f aca="false">IF($A254="","",IFERROR(INDEX(MASTER_DATABASE!$S$4:$S$1000,MATCH($A254,MASTER_DATABASE!$A$4:$A$1000,0)),""))</f>
        <v>To Verify</v>
      </c>
      <c r="E254" s="9" t="str">
        <f aca="false">IF($A254="","",IF(AND(OR(ISNUMBER(C254),C254="N/A"),OR(ISNUMBER(D254),D254="N/A"),OR(ISNUMBER(C254),ISNUMBER(D254))),N(C254)+N(D254),"To Verify"))</f>
        <v>To Verify</v>
      </c>
      <c r="F254" s="11" t="str">
        <f aca="false">IF($A254="","",IFERROR(INDEX(MASTER_DATABASE!$U$4:$U$1000,MATCH($A254,MASTER_DATABASE!$A$4:$A$1000,0)),""))</f>
        <v>Shop Charge Only</v>
      </c>
      <c r="G254" s="12"/>
      <c r="H254" s="12"/>
      <c r="I254" s="11" t="str">
        <f aca="false">IF($A254="","",IFERROR(INDEX(MASTER_DATABASE!$V$4:$V$1000,MATCH($A254,MASTER_DATABASE!$A$4:$A$1000,0)),""))</f>
        <v>No</v>
      </c>
      <c r="J254" s="6"/>
    </row>
    <row r="255" customFormat="false" ht="15" hidden="false" customHeight="false" outlineLevel="0" collapsed="false">
      <c r="A255" s="5" t="s">
        <v>2917</v>
      </c>
      <c r="B255" s="7" t="str">
        <f aca="false">IF($A255="","",IFERROR(INDEX(MASTER_DATABASE!$E$4:$E$1000,MATCH($A255,MASTER_DATABASE!$A$4:$A$1000,0)),""))</f>
        <v>Document Download</v>
      </c>
      <c r="C255" s="9" t="str">
        <f aca="false">IF($A255="","",IFERROR(INDEX(MASTER_DATABASE!$R$4:$R$1000,MATCH($A255,MASTER_DATABASE!$A$4:$A$1000,0)),""))</f>
        <v>N/A</v>
      </c>
      <c r="D255" s="9" t="str">
        <f aca="false">IF($A255="","",IFERROR(INDEX(MASTER_DATABASE!$S$4:$S$1000,MATCH($A255,MASTER_DATABASE!$A$4:$A$1000,0)),""))</f>
        <v>To Verify</v>
      </c>
      <c r="E255" s="9" t="str">
        <f aca="false">IF($A255="","",IF(AND(OR(ISNUMBER(C255),C255="N/A"),OR(ISNUMBER(D255),D255="N/A"),OR(ISNUMBER(C255),ISNUMBER(D255))),N(C255)+N(D255),"To Verify"))</f>
        <v>To Verify</v>
      </c>
      <c r="F255" s="11" t="str">
        <f aca="false">IF($A255="","",IFERROR(INDEX(MASTER_DATABASE!$U$4:$U$1000,MATCH($A255,MASTER_DATABASE!$A$4:$A$1000,0)),""))</f>
        <v>Shop Charge Only</v>
      </c>
      <c r="G255" s="12"/>
      <c r="H255" s="12"/>
      <c r="I255" s="11" t="str">
        <f aca="false">IF($A255="","",IFERROR(INDEX(MASTER_DATABASE!$V$4:$V$1000,MATCH($A255,MASTER_DATABASE!$A$4:$A$1000,0)),""))</f>
        <v>No</v>
      </c>
      <c r="J255" s="6"/>
    </row>
    <row r="256" customFormat="false" ht="15" hidden="false" customHeight="false" outlineLevel="0" collapsed="false">
      <c r="A256" s="5" t="s">
        <v>2928</v>
      </c>
      <c r="B256" s="7" t="str">
        <f aca="false">IF($A256="","",IFERROR(INDEX(MASTER_DATABASE!$E$4:$E$1000,MATCH($A256,MASTER_DATABASE!$A$4:$A$1000,0)),""))</f>
        <v>Application Status Check – Other Portals</v>
      </c>
      <c r="C256" s="9" t="str">
        <f aca="false">IF($A256="","",IFERROR(INDEX(MASTER_DATABASE!$R$4:$R$1000,MATCH($A256,MASTER_DATABASE!$A$4:$A$1000,0)),""))</f>
        <v>N/A</v>
      </c>
      <c r="D256" s="9" t="str">
        <f aca="false">IF($A256="","",IFERROR(INDEX(MASTER_DATABASE!$S$4:$S$1000,MATCH($A256,MASTER_DATABASE!$A$4:$A$1000,0)),""))</f>
        <v>To Verify</v>
      </c>
      <c r="E256" s="9" t="str">
        <f aca="false">IF($A256="","",IF(AND(OR(ISNUMBER(C256),C256="N/A"),OR(ISNUMBER(D256),D256="N/A"),OR(ISNUMBER(C256),ISNUMBER(D256))),N(C256)+N(D256),"To Verify"))</f>
        <v>To Verify</v>
      </c>
      <c r="F256" s="11" t="str">
        <f aca="false">IF($A256="","",IFERROR(INDEX(MASTER_DATABASE!$U$4:$U$1000,MATCH($A256,MASTER_DATABASE!$A$4:$A$1000,0)),""))</f>
        <v>Shop Charge Only</v>
      </c>
      <c r="G256" s="12"/>
      <c r="H256" s="12"/>
      <c r="I256" s="11" t="str">
        <f aca="false">IF($A256="","",IFERROR(INDEX(MASTER_DATABASE!$V$4:$V$1000,MATCH($A256,MASTER_DATABASE!$A$4:$A$1000,0)),""))</f>
        <v>No</v>
      </c>
      <c r="J256" s="6"/>
    </row>
    <row r="257" customFormat="false" ht="15" hidden="false" customHeight="false" outlineLevel="0" collapsed="false">
      <c r="A257" s="5" t="s">
        <v>2939</v>
      </c>
      <c r="B257" s="7" t="str">
        <f aca="false">IF($A257="","",IFERROR(INDEX(MASTER_DATABASE!$E$4:$E$1000,MATCH($A257,MASTER_DATABASE!$A$4:$A$1000,0)),""))</f>
        <v>DigiLocker Assistance</v>
      </c>
      <c r="C257" s="9" t="str">
        <f aca="false">IF($A257="","",IFERROR(INDEX(MASTER_DATABASE!$R$4:$R$1000,MATCH($A257,MASTER_DATABASE!$A$4:$A$1000,0)),""))</f>
        <v>N/A</v>
      </c>
      <c r="D257" s="9" t="str">
        <f aca="false">IF($A257="","",IFERROR(INDEX(MASTER_DATABASE!$S$4:$S$1000,MATCH($A257,MASTER_DATABASE!$A$4:$A$1000,0)),""))</f>
        <v>To Verify</v>
      </c>
      <c r="E257" s="9" t="str">
        <f aca="false">IF($A257="","",IF(AND(OR(ISNUMBER(C257),C257="N/A"),OR(ISNUMBER(D257),D257="N/A"),OR(ISNUMBER(C257),ISNUMBER(D257))),N(C257)+N(D257),"To Verify"))</f>
        <v>To Verify</v>
      </c>
      <c r="F257" s="11" t="str">
        <f aca="false">IF($A257="","",IFERROR(INDEX(MASTER_DATABASE!$U$4:$U$1000,MATCH($A257,MASTER_DATABASE!$A$4:$A$1000,0)),""))</f>
        <v>Shop Charge Only</v>
      </c>
      <c r="G257" s="12"/>
      <c r="H257" s="12"/>
      <c r="I257" s="11" t="str">
        <f aca="false">IF($A257="","",IFERROR(INDEX(MASTER_DATABASE!$V$4:$V$1000,MATCH($A257,MASTER_DATABASE!$A$4:$A$1000,0)),""))</f>
        <v>No</v>
      </c>
      <c r="J257" s="6"/>
    </row>
    <row r="258" customFormat="false" ht="15" hidden="false" customHeight="false" outlineLevel="0" collapsed="false">
      <c r="A258" s="5" t="s">
        <v>2951</v>
      </c>
      <c r="B258" s="7" t="str">
        <f aca="false">IF($A258="","",IFERROR(INDEX(MASTER_DATABASE!$E$4:$E$1000,MATCH($A258,MASTER_DATABASE!$A$4:$A$1000,0)),""))</f>
        <v>Digital Document Download (DigiLocker etc.)</v>
      </c>
      <c r="C258" s="9" t="str">
        <f aca="false">IF($A258="","",IFERROR(INDEX(MASTER_DATABASE!$R$4:$R$1000,MATCH($A258,MASTER_DATABASE!$A$4:$A$1000,0)),""))</f>
        <v>N/A</v>
      </c>
      <c r="D258" s="9" t="str">
        <f aca="false">IF($A258="","",IFERROR(INDEX(MASTER_DATABASE!$S$4:$S$1000,MATCH($A258,MASTER_DATABASE!$A$4:$A$1000,0)),""))</f>
        <v>To Verify</v>
      </c>
      <c r="E258" s="9" t="str">
        <f aca="false">IF($A258="","",IF(AND(OR(ISNUMBER(C258),C258="N/A"),OR(ISNUMBER(D258),D258="N/A"),OR(ISNUMBER(C258),ISNUMBER(D258))),N(C258)+N(D258),"To Verify"))</f>
        <v>To Verify</v>
      </c>
      <c r="F258" s="11" t="str">
        <f aca="false">IF($A258="","",IFERROR(INDEX(MASTER_DATABASE!$U$4:$U$1000,MATCH($A258,MASTER_DATABASE!$A$4:$A$1000,0)),""))</f>
        <v>Shop Charge Only</v>
      </c>
      <c r="G258" s="12"/>
      <c r="H258" s="12"/>
      <c r="I258" s="11" t="str">
        <f aca="false">IF($A258="","",IFERROR(INDEX(MASTER_DATABASE!$V$4:$V$1000,MATCH($A258,MASTER_DATABASE!$A$4:$A$1000,0)),""))</f>
        <v>No</v>
      </c>
      <c r="J258" s="6"/>
    </row>
    <row r="259" customFormat="false" ht="15" hidden="false" customHeight="false" outlineLevel="0" collapsed="false">
      <c r="A259" s="5" t="s">
        <v>2962</v>
      </c>
      <c r="B259" s="7" t="str">
        <f aca="false">IF($A259="","",IFERROR(INDEX(MASTER_DATABASE!$E$4:$E$1000,MATCH($A259,MASTER_DATABASE!$A$4:$A$1000,0)),""))</f>
        <v>Online Payment Assistance (Fee / Challan)</v>
      </c>
      <c r="C259" s="9" t="str">
        <f aca="false">IF($A259="","",IFERROR(INDEX(MASTER_DATABASE!$R$4:$R$1000,MATCH($A259,MASTER_DATABASE!$A$4:$A$1000,0)),""))</f>
        <v>N/A</v>
      </c>
      <c r="D259" s="9" t="str">
        <f aca="false">IF($A259="","",IFERROR(INDEX(MASTER_DATABASE!$S$4:$S$1000,MATCH($A259,MASTER_DATABASE!$A$4:$A$1000,0)),""))</f>
        <v>To Verify</v>
      </c>
      <c r="E259" s="9" t="str">
        <f aca="false">IF($A259="","",IF(AND(OR(ISNUMBER(C259),C259="N/A"),OR(ISNUMBER(D259),D259="N/A"),OR(ISNUMBER(C259),ISNUMBER(D259))),N(C259)+N(D259),"To Verify"))</f>
        <v>To Verify</v>
      </c>
      <c r="F259" s="11" t="str">
        <f aca="false">IF($A259="","",IFERROR(INDEX(MASTER_DATABASE!$U$4:$U$1000,MATCH($A259,MASTER_DATABASE!$A$4:$A$1000,0)),""))</f>
        <v>Shop Charge Only</v>
      </c>
      <c r="G259" s="12"/>
      <c r="H259" s="12"/>
      <c r="I259" s="11" t="str">
        <f aca="false">IF($A259="","",IFERROR(INDEX(MASTER_DATABASE!$V$4:$V$1000,MATCH($A259,MASTER_DATABASE!$A$4:$A$1000,0)),""))</f>
        <v>No</v>
      </c>
      <c r="J259" s="6"/>
    </row>
    <row r="260" customFormat="false" ht="15" hidden="false" customHeight="false" outlineLevel="0" collapsed="false">
      <c r="A260" s="5" t="s">
        <v>2973</v>
      </c>
      <c r="B260" s="7" t="str">
        <f aca="false">IF($A260="","",IFERROR(INDEX(MASTER_DATABASE!$E$4:$E$1000,MATCH($A260,MASTER_DATABASE!$A$4:$A$1000,0)),""))</f>
        <v>UPI / Payment App Setup Assistance</v>
      </c>
      <c r="C260" s="9" t="str">
        <f aca="false">IF($A260="","",IFERROR(INDEX(MASTER_DATABASE!$R$4:$R$1000,MATCH($A260,MASTER_DATABASE!$A$4:$A$1000,0)),""))</f>
        <v>N/A</v>
      </c>
      <c r="D260" s="9" t="str">
        <f aca="false">IF($A260="","",IFERROR(INDEX(MASTER_DATABASE!$S$4:$S$1000,MATCH($A260,MASTER_DATABASE!$A$4:$A$1000,0)),""))</f>
        <v>To Verify</v>
      </c>
      <c r="E260" s="9" t="str">
        <f aca="false">IF($A260="","",IF(AND(OR(ISNUMBER(C260),C260="N/A"),OR(ISNUMBER(D260),D260="N/A"),OR(ISNUMBER(C260),ISNUMBER(D260))),N(C260)+N(D260),"To Verify"))</f>
        <v>To Verify</v>
      </c>
      <c r="F260" s="11" t="str">
        <f aca="false">IF($A260="","",IFERROR(INDEX(MASTER_DATABASE!$U$4:$U$1000,MATCH($A260,MASTER_DATABASE!$A$4:$A$1000,0)),""))</f>
        <v>Shop Charge Only</v>
      </c>
      <c r="G260" s="12"/>
      <c r="H260" s="12"/>
      <c r="I260" s="11" t="str">
        <f aca="false">IF($A260="","",IFERROR(INDEX(MASTER_DATABASE!$V$4:$V$1000,MATCH($A260,MASTER_DATABASE!$A$4:$A$1000,0)),""))</f>
        <v>No</v>
      </c>
      <c r="J260" s="6"/>
    </row>
    <row r="261" customFormat="false" ht="15" hidden="false" customHeight="false" outlineLevel="0" collapsed="false">
      <c r="A261" s="5" t="s">
        <v>2984</v>
      </c>
      <c r="B261" s="7" t="str">
        <f aca="false">IF($A261="","",IFERROR(INDEX(MASTER_DATABASE!$E$4:$E$1000,MATCH($A261,MASTER_DATABASE!$A$4:$A$1000,0)),""))</f>
        <v>PAN – New Application</v>
      </c>
      <c r="C261" s="9" t="str">
        <f aca="false">IF($A261="","",IFERROR(INDEX(MASTER_DATABASE!$R$4:$R$1000,MATCH($A261,MASTER_DATABASE!$A$4:$A$1000,0)),""))</f>
        <v>To Verify</v>
      </c>
      <c r="D261" s="9" t="str">
        <f aca="false">IF($A261="","",IFERROR(INDEX(MASTER_DATABASE!$S$4:$S$1000,MATCH($A261,MASTER_DATABASE!$A$4:$A$1000,0)),""))</f>
        <v>To Verify</v>
      </c>
      <c r="E261" s="9" t="str">
        <f aca="false">IF($A261="","",IF(AND(OR(ISNUMBER(C261),C261="N/A"),OR(ISNUMBER(D261),D261="N/A"),OR(ISNUMBER(C261),ISNUMBER(D261))),N(C261)+N(D261),"To Verify"))</f>
        <v>To Verify</v>
      </c>
      <c r="F261" s="11" t="str">
        <f aca="false">IF($A261="","",IFERROR(INDEX(MASTER_DATABASE!$U$4:$U$1000,MATCH($A261,MASTER_DATABASE!$A$4:$A$1000,0)),""))</f>
        <v>To Verify</v>
      </c>
      <c r="G261" s="12"/>
      <c r="H261" s="12"/>
      <c r="I261" s="11" t="str">
        <f aca="false">IF($A261="","",IFERROR(INDEX(MASTER_DATABASE!$V$4:$V$1000,MATCH($A261,MASTER_DATABASE!$A$4:$A$1000,0)),""))</f>
        <v>No</v>
      </c>
      <c r="J261" s="6"/>
    </row>
    <row r="262" customFormat="false" ht="15" hidden="false" customHeight="false" outlineLevel="0" collapsed="false">
      <c r="A262" s="5" t="s">
        <v>3000</v>
      </c>
      <c r="B262" s="7" t="str">
        <f aca="false">IF($A262="","",IFERROR(INDEX(MASTER_DATABASE!$E$4:$E$1000,MATCH($A262,MASTER_DATABASE!$A$4:$A$1000,0)),""))</f>
        <v>PAN – Correction / Update</v>
      </c>
      <c r="C262" s="9" t="str">
        <f aca="false">IF($A262="","",IFERROR(INDEX(MASTER_DATABASE!$R$4:$R$1000,MATCH($A262,MASTER_DATABASE!$A$4:$A$1000,0)),""))</f>
        <v>To Verify</v>
      </c>
      <c r="D262" s="9" t="str">
        <f aca="false">IF($A262="","",IFERROR(INDEX(MASTER_DATABASE!$S$4:$S$1000,MATCH($A262,MASTER_DATABASE!$A$4:$A$1000,0)),""))</f>
        <v>To Verify</v>
      </c>
      <c r="E262" s="9" t="str">
        <f aca="false">IF($A262="","",IF(AND(OR(ISNUMBER(C262),C262="N/A"),OR(ISNUMBER(D262),D262="N/A"),OR(ISNUMBER(C262),ISNUMBER(D262))),N(C262)+N(D262),"To Verify"))</f>
        <v>To Verify</v>
      </c>
      <c r="F262" s="11" t="str">
        <f aca="false">IF($A262="","",IFERROR(INDEX(MASTER_DATABASE!$U$4:$U$1000,MATCH($A262,MASTER_DATABASE!$A$4:$A$1000,0)),""))</f>
        <v>To Verify</v>
      </c>
      <c r="G262" s="12"/>
      <c r="H262" s="12"/>
      <c r="I262" s="11" t="str">
        <f aca="false">IF($A262="","",IFERROR(INDEX(MASTER_DATABASE!$V$4:$V$1000,MATCH($A262,MASTER_DATABASE!$A$4:$A$1000,0)),""))</f>
        <v>No</v>
      </c>
      <c r="J262" s="6"/>
    </row>
    <row r="263" customFormat="false" ht="15" hidden="false" customHeight="false" outlineLevel="0" collapsed="false">
      <c r="A263" s="5" t="s">
        <v>3011</v>
      </c>
      <c r="B263" s="7" t="str">
        <f aca="false">IF($A263="","",IFERROR(INDEX(MASTER_DATABASE!$E$4:$E$1000,MATCH($A263,MASTER_DATABASE!$A$4:$A$1000,0)),""))</f>
        <v>PAN – Reprint / e-PAN Download</v>
      </c>
      <c r="C263" s="9" t="str">
        <f aca="false">IF($A263="","",IFERROR(INDEX(MASTER_DATABASE!$R$4:$R$1000,MATCH($A263,MASTER_DATABASE!$A$4:$A$1000,0)),""))</f>
        <v>To Verify</v>
      </c>
      <c r="D263" s="9" t="str">
        <f aca="false">IF($A263="","",IFERROR(INDEX(MASTER_DATABASE!$S$4:$S$1000,MATCH($A263,MASTER_DATABASE!$A$4:$A$1000,0)),""))</f>
        <v>To Verify</v>
      </c>
      <c r="E263" s="9" t="str">
        <f aca="false">IF($A263="","",IF(AND(OR(ISNUMBER(C263),C263="N/A"),OR(ISNUMBER(D263),D263="N/A"),OR(ISNUMBER(C263),ISNUMBER(D263))),N(C263)+N(D263),"To Verify"))</f>
        <v>To Verify</v>
      </c>
      <c r="F263" s="11" t="str">
        <f aca="false">IF($A263="","",IFERROR(INDEX(MASTER_DATABASE!$U$4:$U$1000,MATCH($A263,MASTER_DATABASE!$A$4:$A$1000,0)),""))</f>
        <v>To Verify</v>
      </c>
      <c r="G263" s="12"/>
      <c r="H263" s="12"/>
      <c r="I263" s="11" t="str">
        <f aca="false">IF($A263="","",IFERROR(INDEX(MASTER_DATABASE!$V$4:$V$1000,MATCH($A263,MASTER_DATABASE!$A$4:$A$1000,0)),""))</f>
        <v>No</v>
      </c>
      <c r="J263" s="6"/>
    </row>
    <row r="264" customFormat="false" ht="15" hidden="false" customHeight="false" outlineLevel="0" collapsed="false">
      <c r="A264" s="5" t="s">
        <v>3022</v>
      </c>
      <c r="B264" s="7" t="str">
        <f aca="false">IF($A264="","",IFERROR(INDEX(MASTER_DATABASE!$E$4:$E$1000,MATCH($A264,MASTER_DATABASE!$A$4:$A$1000,0)),""))</f>
        <v>PAN – Status Check</v>
      </c>
      <c r="C264" s="9" t="str">
        <f aca="false">IF($A264="","",IFERROR(INDEX(MASTER_DATABASE!$R$4:$R$1000,MATCH($A264,MASTER_DATABASE!$A$4:$A$1000,0)),""))</f>
        <v>To Verify</v>
      </c>
      <c r="D264" s="9" t="str">
        <f aca="false">IF($A264="","",IFERROR(INDEX(MASTER_DATABASE!$S$4:$S$1000,MATCH($A264,MASTER_DATABASE!$A$4:$A$1000,0)),""))</f>
        <v>To Verify</v>
      </c>
      <c r="E264" s="9" t="str">
        <f aca="false">IF($A264="","",IF(AND(OR(ISNUMBER(C264),C264="N/A"),OR(ISNUMBER(D264),D264="N/A"),OR(ISNUMBER(C264),ISNUMBER(D264))),N(C264)+N(D264),"To Verify"))</f>
        <v>To Verify</v>
      </c>
      <c r="F264" s="11" t="str">
        <f aca="false">IF($A264="","",IFERROR(INDEX(MASTER_DATABASE!$U$4:$U$1000,MATCH($A264,MASTER_DATABASE!$A$4:$A$1000,0)),""))</f>
        <v>To Verify</v>
      </c>
      <c r="G264" s="12"/>
      <c r="H264" s="12"/>
      <c r="I264" s="11" t="str">
        <f aca="false">IF($A264="","",IFERROR(INDEX(MASTER_DATABASE!$V$4:$V$1000,MATCH($A264,MASTER_DATABASE!$A$4:$A$1000,0)),""))</f>
        <v>No</v>
      </c>
      <c r="J264" s="6"/>
    </row>
    <row r="265" customFormat="false" ht="15" hidden="false" customHeight="false" outlineLevel="0" collapsed="false">
      <c r="A265" s="5" t="s">
        <v>3033</v>
      </c>
      <c r="B265" s="7" t="str">
        <f aca="false">IF($A265="","",IFERROR(INDEX(MASTER_DATABASE!$E$4:$E$1000,MATCH($A265,MASTER_DATABASE!$A$4:$A$1000,0)),""))</f>
        <v>PAN–Aadhaar Link Assistance</v>
      </c>
      <c r="C265" s="9" t="str">
        <f aca="false">IF($A265="","",IFERROR(INDEX(MASTER_DATABASE!$R$4:$R$1000,MATCH($A265,MASTER_DATABASE!$A$4:$A$1000,0)),""))</f>
        <v>To Verify</v>
      </c>
      <c r="D265" s="9" t="str">
        <f aca="false">IF($A265="","",IFERROR(INDEX(MASTER_DATABASE!$S$4:$S$1000,MATCH($A265,MASTER_DATABASE!$A$4:$A$1000,0)),""))</f>
        <v>To Verify</v>
      </c>
      <c r="E265" s="9" t="str">
        <f aca="false">IF($A265="","",IF(AND(OR(ISNUMBER(C265),C265="N/A"),OR(ISNUMBER(D265),D265="N/A"),OR(ISNUMBER(C265),ISNUMBER(D265))),N(C265)+N(D265),"To Verify"))</f>
        <v>To Verify</v>
      </c>
      <c r="F265" s="11" t="str">
        <f aca="false">IF($A265="","",IFERROR(INDEX(MASTER_DATABASE!$U$4:$U$1000,MATCH($A265,MASTER_DATABASE!$A$4:$A$1000,0)),""))</f>
        <v>To Verify</v>
      </c>
      <c r="G265" s="12"/>
      <c r="H265" s="12"/>
      <c r="I265" s="11" t="str">
        <f aca="false">IF($A265="","",IFERROR(INDEX(MASTER_DATABASE!$V$4:$V$1000,MATCH($A265,MASTER_DATABASE!$A$4:$A$1000,0)),""))</f>
        <v>No</v>
      </c>
      <c r="J265" s="6"/>
    </row>
    <row r="266" customFormat="false" ht="15" hidden="false" customHeight="false" outlineLevel="0" collapsed="false">
      <c r="A266" s="5" t="s">
        <v>3044</v>
      </c>
      <c r="B266" s="7" t="str">
        <f aca="false">IF($A266="","",IFERROR(INDEX(MASTER_DATABASE!$E$4:$E$1000,MATCH($A266,MASTER_DATABASE!$A$4:$A$1000,0)),""))</f>
        <v>Voter ID – New Registration (Form 6)</v>
      </c>
      <c r="C266" s="9" t="str">
        <f aca="false">IF($A266="","",IFERROR(INDEX(MASTER_DATABASE!$R$4:$R$1000,MATCH($A266,MASTER_DATABASE!$A$4:$A$1000,0)),""))</f>
        <v>To Verify</v>
      </c>
      <c r="D266" s="9" t="str">
        <f aca="false">IF($A266="","",IFERROR(INDEX(MASTER_DATABASE!$S$4:$S$1000,MATCH($A266,MASTER_DATABASE!$A$4:$A$1000,0)),""))</f>
        <v>To Verify</v>
      </c>
      <c r="E266" s="9" t="str">
        <f aca="false">IF($A266="","",IF(AND(OR(ISNUMBER(C266),C266="N/A"),OR(ISNUMBER(D266),D266="N/A"),OR(ISNUMBER(C266),ISNUMBER(D266))),N(C266)+N(D266),"To Verify"))</f>
        <v>To Verify</v>
      </c>
      <c r="F266" s="11" t="str">
        <f aca="false">IF($A266="","",IFERROR(INDEX(MASTER_DATABASE!$U$4:$U$1000,MATCH($A266,MASTER_DATABASE!$A$4:$A$1000,0)),""))</f>
        <v>To Verify</v>
      </c>
      <c r="G266" s="12"/>
      <c r="H266" s="12"/>
      <c r="I266" s="11" t="str">
        <f aca="false">IF($A266="","",IFERROR(INDEX(MASTER_DATABASE!$V$4:$V$1000,MATCH($A266,MASTER_DATABASE!$A$4:$A$1000,0)),""))</f>
        <v>No</v>
      </c>
      <c r="J266" s="6"/>
    </row>
    <row r="267" customFormat="false" ht="15" hidden="false" customHeight="false" outlineLevel="0" collapsed="false">
      <c r="A267" s="5" t="s">
        <v>3056</v>
      </c>
      <c r="B267" s="7" t="str">
        <f aca="false">IF($A267="","",IFERROR(INDEX(MASTER_DATABASE!$E$4:$E$1000,MATCH($A267,MASTER_DATABASE!$A$4:$A$1000,0)),""))</f>
        <v>Voter ID – Correction (Form 8)</v>
      </c>
      <c r="C267" s="9" t="str">
        <f aca="false">IF($A267="","",IFERROR(INDEX(MASTER_DATABASE!$R$4:$R$1000,MATCH($A267,MASTER_DATABASE!$A$4:$A$1000,0)),""))</f>
        <v>To Verify</v>
      </c>
      <c r="D267" s="9" t="str">
        <f aca="false">IF($A267="","",IFERROR(INDEX(MASTER_DATABASE!$S$4:$S$1000,MATCH($A267,MASTER_DATABASE!$A$4:$A$1000,0)),""))</f>
        <v>To Verify</v>
      </c>
      <c r="E267" s="9" t="str">
        <f aca="false">IF($A267="","",IF(AND(OR(ISNUMBER(C267),C267="N/A"),OR(ISNUMBER(D267),D267="N/A"),OR(ISNUMBER(C267),ISNUMBER(D267))),N(C267)+N(D267),"To Verify"))</f>
        <v>To Verify</v>
      </c>
      <c r="F267" s="11" t="str">
        <f aca="false">IF($A267="","",IFERROR(INDEX(MASTER_DATABASE!$U$4:$U$1000,MATCH($A267,MASTER_DATABASE!$A$4:$A$1000,0)),""))</f>
        <v>To Verify</v>
      </c>
      <c r="G267" s="12"/>
      <c r="H267" s="12"/>
      <c r="I267" s="11" t="str">
        <f aca="false">IF($A267="","",IFERROR(INDEX(MASTER_DATABASE!$V$4:$V$1000,MATCH($A267,MASTER_DATABASE!$A$4:$A$1000,0)),""))</f>
        <v>No</v>
      </c>
      <c r="J267" s="6"/>
    </row>
    <row r="268" customFormat="false" ht="15" hidden="false" customHeight="false" outlineLevel="0" collapsed="false">
      <c r="A268" s="5" t="s">
        <v>3067</v>
      </c>
      <c r="B268" s="7" t="str">
        <f aca="false">IF($A268="","",IFERROR(INDEX(MASTER_DATABASE!$E$4:$E$1000,MATCH($A268,MASTER_DATABASE!$A$4:$A$1000,0)),""))</f>
        <v>Voter ID (e-EPIC) Download</v>
      </c>
      <c r="C268" s="9" t="str">
        <f aca="false">IF($A268="","",IFERROR(INDEX(MASTER_DATABASE!$R$4:$R$1000,MATCH($A268,MASTER_DATABASE!$A$4:$A$1000,0)),""))</f>
        <v>To Verify</v>
      </c>
      <c r="D268" s="9" t="str">
        <f aca="false">IF($A268="","",IFERROR(INDEX(MASTER_DATABASE!$S$4:$S$1000,MATCH($A268,MASTER_DATABASE!$A$4:$A$1000,0)),""))</f>
        <v>To Verify</v>
      </c>
      <c r="E268" s="9" t="str">
        <f aca="false">IF($A268="","",IF(AND(OR(ISNUMBER(C268),C268="N/A"),OR(ISNUMBER(D268),D268="N/A"),OR(ISNUMBER(C268),ISNUMBER(D268))),N(C268)+N(D268),"To Verify"))</f>
        <v>To Verify</v>
      </c>
      <c r="F268" s="11" t="str">
        <f aca="false">IF($A268="","",IFERROR(INDEX(MASTER_DATABASE!$U$4:$U$1000,MATCH($A268,MASTER_DATABASE!$A$4:$A$1000,0)),""))</f>
        <v>To Verify</v>
      </c>
      <c r="G268" s="12"/>
      <c r="H268" s="12"/>
      <c r="I268" s="11" t="str">
        <f aca="false">IF($A268="","",IFERROR(INDEX(MASTER_DATABASE!$V$4:$V$1000,MATCH($A268,MASTER_DATABASE!$A$4:$A$1000,0)),""))</f>
        <v>No</v>
      </c>
      <c r="J268" s="6"/>
    </row>
    <row r="269" customFormat="false" ht="15" hidden="false" customHeight="false" outlineLevel="0" collapsed="false">
      <c r="A269" s="5" t="s">
        <v>3078</v>
      </c>
      <c r="B269" s="7" t="str">
        <f aca="false">IF($A269="","",IFERROR(INDEX(MASTER_DATABASE!$E$4:$E$1000,MATCH($A269,MASTER_DATABASE!$A$4:$A$1000,0)),""))</f>
        <v>Voter List Name Search</v>
      </c>
      <c r="C269" s="9" t="str">
        <f aca="false">IF($A269="","",IFERROR(INDEX(MASTER_DATABASE!$R$4:$R$1000,MATCH($A269,MASTER_DATABASE!$A$4:$A$1000,0)),""))</f>
        <v>To Verify</v>
      </c>
      <c r="D269" s="9" t="str">
        <f aca="false">IF($A269="","",IFERROR(INDEX(MASTER_DATABASE!$S$4:$S$1000,MATCH($A269,MASTER_DATABASE!$A$4:$A$1000,0)),""))</f>
        <v>To Verify</v>
      </c>
      <c r="E269" s="9" t="str">
        <f aca="false">IF($A269="","",IF(AND(OR(ISNUMBER(C269),C269="N/A"),OR(ISNUMBER(D269),D269="N/A"),OR(ISNUMBER(C269),ISNUMBER(D269))),N(C269)+N(D269),"To Verify"))</f>
        <v>To Verify</v>
      </c>
      <c r="F269" s="11" t="str">
        <f aca="false">IF($A269="","",IFERROR(INDEX(MASTER_DATABASE!$U$4:$U$1000,MATCH($A269,MASTER_DATABASE!$A$4:$A$1000,0)),""))</f>
        <v>To Verify</v>
      </c>
      <c r="G269" s="12"/>
      <c r="H269" s="12"/>
      <c r="I269" s="11" t="str">
        <f aca="false">IF($A269="","",IFERROR(INDEX(MASTER_DATABASE!$V$4:$V$1000,MATCH($A269,MASTER_DATABASE!$A$4:$A$1000,0)),""))</f>
        <v>No</v>
      </c>
      <c r="J269" s="6"/>
    </row>
    <row r="270" customFormat="false" ht="15" hidden="false" customHeight="false" outlineLevel="0" collapsed="false">
      <c r="A270" s="5" t="s">
        <v>3089</v>
      </c>
      <c r="B270" s="7" t="str">
        <f aca="false">IF($A270="","",IFERROR(INDEX(MASTER_DATABASE!$E$4:$E$1000,MATCH($A270,MASTER_DATABASE!$A$4:$A$1000,0)),""))</f>
        <v>Voter ID–Aadhaar Link (Form 6B)</v>
      </c>
      <c r="C270" s="9" t="str">
        <f aca="false">IF($A270="","",IFERROR(INDEX(MASTER_DATABASE!$R$4:$R$1000,MATCH($A270,MASTER_DATABASE!$A$4:$A$1000,0)),""))</f>
        <v>To Verify</v>
      </c>
      <c r="D270" s="9" t="str">
        <f aca="false">IF($A270="","",IFERROR(INDEX(MASTER_DATABASE!$S$4:$S$1000,MATCH($A270,MASTER_DATABASE!$A$4:$A$1000,0)),""))</f>
        <v>To Verify</v>
      </c>
      <c r="E270" s="9" t="str">
        <f aca="false">IF($A270="","",IF(AND(OR(ISNUMBER(C270),C270="N/A"),OR(ISNUMBER(D270),D270="N/A"),OR(ISNUMBER(C270),ISNUMBER(D270))),N(C270)+N(D270),"To Verify"))</f>
        <v>To Verify</v>
      </c>
      <c r="F270" s="11" t="str">
        <f aca="false">IF($A270="","",IFERROR(INDEX(MASTER_DATABASE!$U$4:$U$1000,MATCH($A270,MASTER_DATABASE!$A$4:$A$1000,0)),""))</f>
        <v>To Verify</v>
      </c>
      <c r="G270" s="12"/>
      <c r="H270" s="12"/>
      <c r="I270" s="11" t="str">
        <f aca="false">IF($A270="","",IFERROR(INDEX(MASTER_DATABASE!$V$4:$V$1000,MATCH($A270,MASTER_DATABASE!$A$4:$A$1000,0)),""))</f>
        <v>No</v>
      </c>
      <c r="J270" s="6"/>
    </row>
    <row r="271" customFormat="false" ht="15" hidden="false" customHeight="false" outlineLevel="0" collapsed="false">
      <c r="A271" s="5" t="s">
        <v>3100</v>
      </c>
      <c r="B271" s="7" t="str">
        <f aca="false">IF($A271="","",IFERROR(INDEX(MASTER_DATABASE!$E$4:$E$1000,MATCH($A271,MASTER_DATABASE!$A$4:$A$1000,0)),""))</f>
        <v>Mobile Recharge (Prepaid)</v>
      </c>
      <c r="C271" s="9" t="str">
        <f aca="false">IF($A271="","",IFERROR(INDEX(MASTER_DATABASE!$R$4:$R$1000,MATCH($A271,MASTER_DATABASE!$A$4:$A$1000,0)),""))</f>
        <v>N/A</v>
      </c>
      <c r="D271" s="9" t="str">
        <f aca="false">IF($A271="","",IFERROR(INDEX(MASTER_DATABASE!$S$4:$S$1000,MATCH($A271,MASTER_DATABASE!$A$4:$A$1000,0)),""))</f>
        <v>To Verify</v>
      </c>
      <c r="E271" s="9" t="str">
        <f aca="false">IF($A271="","",IF(AND(OR(ISNUMBER(C271),C271="N/A"),OR(ISNUMBER(D271),D271="N/A"),OR(ISNUMBER(C271),ISNUMBER(D271))),N(C271)+N(D271),"To Verify"))</f>
        <v>To Verify</v>
      </c>
      <c r="F271" s="11" t="str">
        <f aca="false">IF($A271="","",IFERROR(INDEX(MASTER_DATABASE!$U$4:$U$1000,MATCH($A271,MASTER_DATABASE!$A$4:$A$1000,0)),""))</f>
        <v>Variable</v>
      </c>
      <c r="G271" s="12"/>
      <c r="H271" s="12"/>
      <c r="I271" s="11" t="str">
        <f aca="false">IF($A271="","",IFERROR(INDEX(MASTER_DATABASE!$V$4:$V$1000,MATCH($A271,MASTER_DATABASE!$A$4:$A$1000,0)),""))</f>
        <v>No</v>
      </c>
      <c r="J271" s="6"/>
    </row>
    <row r="272" customFormat="false" ht="15" hidden="false" customHeight="false" outlineLevel="0" collapsed="false">
      <c r="A272" s="5" t="s">
        <v>3117</v>
      </c>
      <c r="B272" s="7" t="str">
        <f aca="false">IF($A272="","",IFERROR(INDEX(MASTER_DATABASE!$E$4:$E$1000,MATCH($A272,MASTER_DATABASE!$A$4:$A$1000,0)),""))</f>
        <v>DTH Recharge</v>
      </c>
      <c r="C272" s="9" t="str">
        <f aca="false">IF($A272="","",IFERROR(INDEX(MASTER_DATABASE!$R$4:$R$1000,MATCH($A272,MASTER_DATABASE!$A$4:$A$1000,0)),""))</f>
        <v>N/A</v>
      </c>
      <c r="D272" s="9" t="str">
        <f aca="false">IF($A272="","",IFERROR(INDEX(MASTER_DATABASE!$S$4:$S$1000,MATCH($A272,MASTER_DATABASE!$A$4:$A$1000,0)),""))</f>
        <v>To Verify</v>
      </c>
      <c r="E272" s="9" t="str">
        <f aca="false">IF($A272="","",IF(AND(OR(ISNUMBER(C272),C272="N/A"),OR(ISNUMBER(D272),D272="N/A"),OR(ISNUMBER(C272),ISNUMBER(D272))),N(C272)+N(D272),"To Verify"))</f>
        <v>To Verify</v>
      </c>
      <c r="F272" s="11" t="str">
        <f aca="false">IF($A272="","",IFERROR(INDEX(MASTER_DATABASE!$U$4:$U$1000,MATCH($A272,MASTER_DATABASE!$A$4:$A$1000,0)),""))</f>
        <v>Variable</v>
      </c>
      <c r="G272" s="12"/>
      <c r="H272" s="12"/>
      <c r="I272" s="11" t="str">
        <f aca="false">IF($A272="","",IFERROR(INDEX(MASTER_DATABASE!$V$4:$V$1000,MATCH($A272,MASTER_DATABASE!$A$4:$A$1000,0)),""))</f>
        <v>No</v>
      </c>
      <c r="J272" s="6"/>
    </row>
    <row r="273" customFormat="false" ht="15" hidden="false" customHeight="false" outlineLevel="0" collapsed="false">
      <c r="A273" s="5" t="s">
        <v>3129</v>
      </c>
      <c r="B273" s="7" t="str">
        <f aca="false">IF($A273="","",IFERROR(INDEX(MASTER_DATABASE!$E$4:$E$1000,MATCH($A273,MASTER_DATABASE!$A$4:$A$1000,0)),""))</f>
        <v>FASTag Recharge</v>
      </c>
      <c r="C273" s="9" t="str">
        <f aca="false">IF($A273="","",IFERROR(INDEX(MASTER_DATABASE!$R$4:$R$1000,MATCH($A273,MASTER_DATABASE!$A$4:$A$1000,0)),""))</f>
        <v>N/A</v>
      </c>
      <c r="D273" s="9" t="str">
        <f aca="false">IF($A273="","",IFERROR(INDEX(MASTER_DATABASE!$S$4:$S$1000,MATCH($A273,MASTER_DATABASE!$A$4:$A$1000,0)),""))</f>
        <v>To Verify</v>
      </c>
      <c r="E273" s="9" t="str">
        <f aca="false">IF($A273="","",IF(AND(OR(ISNUMBER(C273),C273="N/A"),OR(ISNUMBER(D273),D273="N/A"),OR(ISNUMBER(C273),ISNUMBER(D273))),N(C273)+N(D273),"To Verify"))</f>
        <v>To Verify</v>
      </c>
      <c r="F273" s="11" t="str">
        <f aca="false">IF($A273="","",IFERROR(INDEX(MASTER_DATABASE!$U$4:$U$1000,MATCH($A273,MASTER_DATABASE!$A$4:$A$1000,0)),""))</f>
        <v>Variable</v>
      </c>
      <c r="G273" s="12"/>
      <c r="H273" s="12"/>
      <c r="I273" s="11" t="str">
        <f aca="false">IF($A273="","",IFERROR(INDEX(MASTER_DATABASE!$V$4:$V$1000,MATCH($A273,MASTER_DATABASE!$A$4:$A$1000,0)),""))</f>
        <v>No</v>
      </c>
      <c r="J273" s="6"/>
    </row>
    <row r="274" customFormat="false" ht="15" hidden="false" customHeight="false" outlineLevel="0" collapsed="false">
      <c r="A274" s="5" t="s">
        <v>3140</v>
      </c>
      <c r="B274" s="7" t="str">
        <f aca="false">IF($A274="","",IFERROR(INDEX(MASTER_DATABASE!$E$4:$E$1000,MATCH($A274,MASTER_DATABASE!$A$4:$A$1000,0)),""))</f>
        <v>Mobile Postpaid Bill Payment</v>
      </c>
      <c r="C274" s="9" t="str">
        <f aca="false">IF($A274="","",IFERROR(INDEX(MASTER_DATABASE!$R$4:$R$1000,MATCH($A274,MASTER_DATABASE!$A$4:$A$1000,0)),""))</f>
        <v>N/A</v>
      </c>
      <c r="D274" s="9" t="str">
        <f aca="false">IF($A274="","",IFERROR(INDEX(MASTER_DATABASE!$S$4:$S$1000,MATCH($A274,MASTER_DATABASE!$A$4:$A$1000,0)),""))</f>
        <v>To Verify</v>
      </c>
      <c r="E274" s="9" t="str">
        <f aca="false">IF($A274="","",IF(AND(OR(ISNUMBER(C274),C274="N/A"),OR(ISNUMBER(D274),D274="N/A"),OR(ISNUMBER(C274),ISNUMBER(D274))),N(C274)+N(D274),"To Verify"))</f>
        <v>To Verify</v>
      </c>
      <c r="F274" s="11" t="str">
        <f aca="false">IF($A274="","",IFERROR(INDEX(MASTER_DATABASE!$U$4:$U$1000,MATCH($A274,MASTER_DATABASE!$A$4:$A$1000,0)),""))</f>
        <v>Variable</v>
      </c>
      <c r="G274" s="12"/>
      <c r="H274" s="12"/>
      <c r="I274" s="11" t="str">
        <f aca="false">IF($A274="","",IFERROR(INDEX(MASTER_DATABASE!$V$4:$V$1000,MATCH($A274,MASTER_DATABASE!$A$4:$A$1000,0)),""))</f>
        <v>No</v>
      </c>
      <c r="J274" s="6"/>
    </row>
    <row r="275" customFormat="false" ht="15" hidden="false" customHeight="false" outlineLevel="0" collapsed="false">
      <c r="A275" s="5" t="s">
        <v>3153</v>
      </c>
      <c r="B275" s="7" t="str">
        <f aca="false">IF($A275="","",IFERROR(INDEX(MASTER_DATABASE!$E$4:$E$1000,MATCH($A275,MASTER_DATABASE!$A$4:$A$1000,0)),""))</f>
        <v>Electricity Bill Payment</v>
      </c>
      <c r="C275" s="9" t="str">
        <f aca="false">IF($A275="","",IFERROR(INDEX(MASTER_DATABASE!$R$4:$R$1000,MATCH($A275,MASTER_DATABASE!$A$4:$A$1000,0)),""))</f>
        <v>N/A</v>
      </c>
      <c r="D275" s="9" t="str">
        <f aca="false">IF($A275="","",IFERROR(INDEX(MASTER_DATABASE!$S$4:$S$1000,MATCH($A275,MASTER_DATABASE!$A$4:$A$1000,0)),""))</f>
        <v>To Verify</v>
      </c>
      <c r="E275" s="9" t="str">
        <f aca="false">IF($A275="","",IF(AND(OR(ISNUMBER(C275),C275="N/A"),OR(ISNUMBER(D275),D275="N/A"),OR(ISNUMBER(C275),ISNUMBER(D275))),N(C275)+N(D275),"To Verify"))</f>
        <v>To Verify</v>
      </c>
      <c r="F275" s="11" t="str">
        <f aca="false">IF($A275="","",IFERROR(INDEX(MASTER_DATABASE!$U$4:$U$1000,MATCH($A275,MASTER_DATABASE!$A$4:$A$1000,0)),""))</f>
        <v>Variable</v>
      </c>
      <c r="G275" s="12"/>
      <c r="H275" s="12"/>
      <c r="I275" s="11" t="str">
        <f aca="false">IF($A275="","",IFERROR(INDEX(MASTER_DATABASE!$V$4:$V$1000,MATCH($A275,MASTER_DATABASE!$A$4:$A$1000,0)),""))</f>
        <v>No</v>
      </c>
      <c r="J275" s="6"/>
    </row>
    <row r="276" customFormat="false" ht="15" hidden="false" customHeight="false" outlineLevel="0" collapsed="false">
      <c r="A276" s="5" t="s">
        <v>3164</v>
      </c>
      <c r="B276" s="7" t="str">
        <f aca="false">IF($A276="","",IFERROR(INDEX(MASTER_DATABASE!$E$4:$E$1000,MATCH($A276,MASTER_DATABASE!$A$4:$A$1000,0)),""))</f>
        <v>Water Bill Payment</v>
      </c>
      <c r="C276" s="9" t="str">
        <f aca="false">IF($A276="","",IFERROR(INDEX(MASTER_DATABASE!$R$4:$R$1000,MATCH($A276,MASTER_DATABASE!$A$4:$A$1000,0)),""))</f>
        <v>N/A</v>
      </c>
      <c r="D276" s="9" t="str">
        <f aca="false">IF($A276="","",IFERROR(INDEX(MASTER_DATABASE!$S$4:$S$1000,MATCH($A276,MASTER_DATABASE!$A$4:$A$1000,0)),""))</f>
        <v>To Verify</v>
      </c>
      <c r="E276" s="9" t="str">
        <f aca="false">IF($A276="","",IF(AND(OR(ISNUMBER(C276),C276="N/A"),OR(ISNUMBER(D276),D276="N/A"),OR(ISNUMBER(C276),ISNUMBER(D276))),N(C276)+N(D276),"To Verify"))</f>
        <v>To Verify</v>
      </c>
      <c r="F276" s="11" t="str">
        <f aca="false">IF($A276="","",IFERROR(INDEX(MASTER_DATABASE!$U$4:$U$1000,MATCH($A276,MASTER_DATABASE!$A$4:$A$1000,0)),""))</f>
        <v>Variable</v>
      </c>
      <c r="G276" s="12"/>
      <c r="H276" s="12"/>
      <c r="I276" s="11" t="str">
        <f aca="false">IF($A276="","",IFERROR(INDEX(MASTER_DATABASE!$V$4:$V$1000,MATCH($A276,MASTER_DATABASE!$A$4:$A$1000,0)),""))</f>
        <v>No</v>
      </c>
      <c r="J276" s="6"/>
    </row>
    <row r="277" customFormat="false" ht="15" hidden="false" customHeight="false" outlineLevel="0" collapsed="false">
      <c r="A277" s="5" t="s">
        <v>3175</v>
      </c>
      <c r="B277" s="7" t="str">
        <f aca="false">IF($A277="","",IFERROR(INDEX(MASTER_DATABASE!$E$4:$E$1000,MATCH($A277,MASTER_DATABASE!$A$4:$A$1000,0)),""))</f>
        <v>Gas (Piped / PNG) Bill Payment</v>
      </c>
      <c r="C277" s="9" t="str">
        <f aca="false">IF($A277="","",IFERROR(INDEX(MASTER_DATABASE!$R$4:$R$1000,MATCH($A277,MASTER_DATABASE!$A$4:$A$1000,0)),""))</f>
        <v>N/A</v>
      </c>
      <c r="D277" s="9" t="str">
        <f aca="false">IF($A277="","",IFERROR(INDEX(MASTER_DATABASE!$S$4:$S$1000,MATCH($A277,MASTER_DATABASE!$A$4:$A$1000,0)),""))</f>
        <v>To Verify</v>
      </c>
      <c r="E277" s="9" t="str">
        <f aca="false">IF($A277="","",IF(AND(OR(ISNUMBER(C277),C277="N/A"),OR(ISNUMBER(D277),D277="N/A"),OR(ISNUMBER(C277),ISNUMBER(D277))),N(C277)+N(D277),"To Verify"))</f>
        <v>To Verify</v>
      </c>
      <c r="F277" s="11" t="str">
        <f aca="false">IF($A277="","",IFERROR(INDEX(MASTER_DATABASE!$U$4:$U$1000,MATCH($A277,MASTER_DATABASE!$A$4:$A$1000,0)),""))</f>
        <v>Variable</v>
      </c>
      <c r="G277" s="12"/>
      <c r="H277" s="12"/>
      <c r="I277" s="11" t="str">
        <f aca="false">IF($A277="","",IFERROR(INDEX(MASTER_DATABASE!$V$4:$V$1000,MATCH($A277,MASTER_DATABASE!$A$4:$A$1000,0)),""))</f>
        <v>No</v>
      </c>
      <c r="J277" s="6"/>
    </row>
    <row r="278" customFormat="false" ht="15" hidden="false" customHeight="false" outlineLevel="0" collapsed="false">
      <c r="A278" s="5" t="s">
        <v>3186</v>
      </c>
      <c r="B278" s="7" t="str">
        <f aca="false">IF($A278="","",IFERROR(INDEX(MASTER_DATABASE!$E$4:$E$1000,MATCH($A278,MASTER_DATABASE!$A$4:$A$1000,0)),""))</f>
        <v>LPG Cylinder Booking / Payment</v>
      </c>
      <c r="C278" s="9" t="str">
        <f aca="false">IF($A278="","",IFERROR(INDEX(MASTER_DATABASE!$R$4:$R$1000,MATCH($A278,MASTER_DATABASE!$A$4:$A$1000,0)),""))</f>
        <v>N/A</v>
      </c>
      <c r="D278" s="9" t="str">
        <f aca="false">IF($A278="","",IFERROR(INDEX(MASTER_DATABASE!$S$4:$S$1000,MATCH($A278,MASTER_DATABASE!$A$4:$A$1000,0)),""))</f>
        <v>To Verify</v>
      </c>
      <c r="E278" s="9" t="str">
        <f aca="false">IF($A278="","",IF(AND(OR(ISNUMBER(C278),C278="N/A"),OR(ISNUMBER(D278),D278="N/A"),OR(ISNUMBER(C278),ISNUMBER(D278))),N(C278)+N(D278),"To Verify"))</f>
        <v>To Verify</v>
      </c>
      <c r="F278" s="11" t="str">
        <f aca="false">IF($A278="","",IFERROR(INDEX(MASTER_DATABASE!$U$4:$U$1000,MATCH($A278,MASTER_DATABASE!$A$4:$A$1000,0)),""))</f>
        <v>Variable</v>
      </c>
      <c r="G278" s="12"/>
      <c r="H278" s="12"/>
      <c r="I278" s="11" t="str">
        <f aca="false">IF($A278="","",IFERROR(INDEX(MASTER_DATABASE!$V$4:$V$1000,MATCH($A278,MASTER_DATABASE!$A$4:$A$1000,0)),""))</f>
        <v>No</v>
      </c>
      <c r="J278" s="6"/>
    </row>
    <row r="279" customFormat="false" ht="15" hidden="false" customHeight="false" outlineLevel="0" collapsed="false">
      <c r="A279" s="5" t="s">
        <v>3197</v>
      </c>
      <c r="B279" s="7" t="str">
        <f aca="false">IF($A279="","",IFERROR(INDEX(MASTER_DATABASE!$E$4:$E$1000,MATCH($A279,MASTER_DATABASE!$A$4:$A$1000,0)),""))</f>
        <v>Broadband / Internet Bill Payment</v>
      </c>
      <c r="C279" s="9" t="str">
        <f aca="false">IF($A279="","",IFERROR(INDEX(MASTER_DATABASE!$R$4:$R$1000,MATCH($A279,MASTER_DATABASE!$A$4:$A$1000,0)),""))</f>
        <v>N/A</v>
      </c>
      <c r="D279" s="9" t="str">
        <f aca="false">IF($A279="","",IFERROR(INDEX(MASTER_DATABASE!$S$4:$S$1000,MATCH($A279,MASTER_DATABASE!$A$4:$A$1000,0)),""))</f>
        <v>To Verify</v>
      </c>
      <c r="E279" s="9" t="str">
        <f aca="false">IF($A279="","",IF(AND(OR(ISNUMBER(C279),C279="N/A"),OR(ISNUMBER(D279),D279="N/A"),OR(ISNUMBER(C279),ISNUMBER(D279))),N(C279)+N(D279),"To Verify"))</f>
        <v>To Verify</v>
      </c>
      <c r="F279" s="11" t="str">
        <f aca="false">IF($A279="","",IFERROR(INDEX(MASTER_DATABASE!$U$4:$U$1000,MATCH($A279,MASTER_DATABASE!$A$4:$A$1000,0)),""))</f>
        <v>Variable</v>
      </c>
      <c r="G279" s="12"/>
      <c r="H279" s="12"/>
      <c r="I279" s="11" t="str">
        <f aca="false">IF($A279="","",IFERROR(INDEX(MASTER_DATABASE!$V$4:$V$1000,MATCH($A279,MASTER_DATABASE!$A$4:$A$1000,0)),""))</f>
        <v>No</v>
      </c>
      <c r="J279" s="6"/>
    </row>
    <row r="280" customFormat="false" ht="15" hidden="false" customHeight="false" outlineLevel="0" collapsed="false">
      <c r="A280" s="5" t="s">
        <v>3208</v>
      </c>
      <c r="B280" s="7" t="str">
        <f aca="false">IF($A280="","",IFERROR(INDEX(MASTER_DATABASE!$E$4:$E$1000,MATCH($A280,MASTER_DATABASE!$A$4:$A$1000,0)),""))</f>
        <v>Landline Bill Payment</v>
      </c>
      <c r="C280" s="9" t="str">
        <f aca="false">IF($A280="","",IFERROR(INDEX(MASTER_DATABASE!$R$4:$R$1000,MATCH($A280,MASTER_DATABASE!$A$4:$A$1000,0)),""))</f>
        <v>N/A</v>
      </c>
      <c r="D280" s="9" t="str">
        <f aca="false">IF($A280="","",IFERROR(INDEX(MASTER_DATABASE!$S$4:$S$1000,MATCH($A280,MASTER_DATABASE!$A$4:$A$1000,0)),""))</f>
        <v>To Verify</v>
      </c>
      <c r="E280" s="9" t="str">
        <f aca="false">IF($A280="","",IF(AND(OR(ISNUMBER(C280),C280="N/A"),OR(ISNUMBER(D280),D280="N/A"),OR(ISNUMBER(C280),ISNUMBER(D280))),N(C280)+N(D280),"To Verify"))</f>
        <v>To Verify</v>
      </c>
      <c r="F280" s="11" t="str">
        <f aca="false">IF($A280="","",IFERROR(INDEX(MASTER_DATABASE!$U$4:$U$1000,MATCH($A280,MASTER_DATABASE!$A$4:$A$1000,0)),""))</f>
        <v>Variable</v>
      </c>
      <c r="G280" s="12"/>
      <c r="H280" s="12"/>
      <c r="I280" s="11" t="str">
        <f aca="false">IF($A280="","",IFERROR(INDEX(MASTER_DATABASE!$V$4:$V$1000,MATCH($A280,MASTER_DATABASE!$A$4:$A$1000,0)),""))</f>
        <v>No</v>
      </c>
      <c r="J280" s="6"/>
    </row>
    <row r="281" customFormat="false" ht="15" hidden="false" customHeight="false" outlineLevel="0" collapsed="false">
      <c r="A281" s="5" t="s">
        <v>3219</v>
      </c>
      <c r="B281" s="7" t="str">
        <f aca="false">IF($A281="","",IFERROR(INDEX(MASTER_DATABASE!$E$4:$E$1000,MATCH($A281,MASTER_DATABASE!$A$4:$A$1000,0)),""))</f>
        <v>Cable TV Bill Payment</v>
      </c>
      <c r="C281" s="9" t="str">
        <f aca="false">IF($A281="","",IFERROR(INDEX(MASTER_DATABASE!$R$4:$R$1000,MATCH($A281,MASTER_DATABASE!$A$4:$A$1000,0)),""))</f>
        <v>N/A</v>
      </c>
      <c r="D281" s="9" t="str">
        <f aca="false">IF($A281="","",IFERROR(INDEX(MASTER_DATABASE!$S$4:$S$1000,MATCH($A281,MASTER_DATABASE!$A$4:$A$1000,0)),""))</f>
        <v>To Verify</v>
      </c>
      <c r="E281" s="9" t="str">
        <f aca="false">IF($A281="","",IF(AND(OR(ISNUMBER(C281),C281="N/A"),OR(ISNUMBER(D281),D281="N/A"),OR(ISNUMBER(C281),ISNUMBER(D281))),N(C281)+N(D281),"To Verify"))</f>
        <v>To Verify</v>
      </c>
      <c r="F281" s="11" t="str">
        <f aca="false">IF($A281="","",IFERROR(INDEX(MASTER_DATABASE!$U$4:$U$1000,MATCH($A281,MASTER_DATABASE!$A$4:$A$1000,0)),""))</f>
        <v>Variable</v>
      </c>
      <c r="G281" s="12"/>
      <c r="H281" s="12"/>
      <c r="I281" s="11" t="str">
        <f aca="false">IF($A281="","",IFERROR(INDEX(MASTER_DATABASE!$V$4:$V$1000,MATCH($A281,MASTER_DATABASE!$A$4:$A$1000,0)),""))</f>
        <v>No</v>
      </c>
      <c r="J281" s="6"/>
    </row>
    <row r="282" customFormat="false" ht="15" hidden="false" customHeight="false" outlineLevel="0" collapsed="false">
      <c r="A282" s="5" t="s">
        <v>3230</v>
      </c>
      <c r="B282" s="7" t="str">
        <f aca="false">IF($A282="","",IFERROR(INDEX(MASTER_DATABASE!$E$4:$E$1000,MATCH($A282,MASTER_DATABASE!$A$4:$A$1000,0)),""))</f>
        <v>Insurance Premium Payment (LIC / Others)</v>
      </c>
      <c r="C282" s="9" t="str">
        <f aca="false">IF($A282="","",IFERROR(INDEX(MASTER_DATABASE!$R$4:$R$1000,MATCH($A282,MASTER_DATABASE!$A$4:$A$1000,0)),""))</f>
        <v>N/A</v>
      </c>
      <c r="D282" s="9" t="str">
        <f aca="false">IF($A282="","",IFERROR(INDEX(MASTER_DATABASE!$S$4:$S$1000,MATCH($A282,MASTER_DATABASE!$A$4:$A$1000,0)),""))</f>
        <v>To Verify</v>
      </c>
      <c r="E282" s="9" t="str">
        <f aca="false">IF($A282="","",IF(AND(OR(ISNUMBER(C282),C282="N/A"),OR(ISNUMBER(D282),D282="N/A"),OR(ISNUMBER(C282),ISNUMBER(D282))),N(C282)+N(D282),"To Verify"))</f>
        <v>To Verify</v>
      </c>
      <c r="F282" s="11" t="str">
        <f aca="false">IF($A282="","",IFERROR(INDEX(MASTER_DATABASE!$U$4:$U$1000,MATCH($A282,MASTER_DATABASE!$A$4:$A$1000,0)),""))</f>
        <v>Variable</v>
      </c>
      <c r="G282" s="12"/>
      <c r="H282" s="12"/>
      <c r="I282" s="11" t="str">
        <f aca="false">IF($A282="","",IFERROR(INDEX(MASTER_DATABASE!$V$4:$V$1000,MATCH($A282,MASTER_DATABASE!$A$4:$A$1000,0)),""))</f>
        <v>No</v>
      </c>
      <c r="J282" s="6"/>
    </row>
    <row r="283" customFormat="false" ht="15" hidden="false" customHeight="false" outlineLevel="0" collapsed="false">
      <c r="A283" s="5" t="s">
        <v>3241</v>
      </c>
      <c r="B283" s="7" t="str">
        <f aca="false">IF($A283="","",IFERROR(INDEX(MASTER_DATABASE!$E$4:$E$1000,MATCH($A283,MASTER_DATABASE!$A$4:$A$1000,0)),""))</f>
        <v>Loan EMI Payment</v>
      </c>
      <c r="C283" s="9" t="str">
        <f aca="false">IF($A283="","",IFERROR(INDEX(MASTER_DATABASE!$R$4:$R$1000,MATCH($A283,MASTER_DATABASE!$A$4:$A$1000,0)),""))</f>
        <v>N/A</v>
      </c>
      <c r="D283" s="9" t="str">
        <f aca="false">IF($A283="","",IFERROR(INDEX(MASTER_DATABASE!$S$4:$S$1000,MATCH($A283,MASTER_DATABASE!$A$4:$A$1000,0)),""))</f>
        <v>To Verify</v>
      </c>
      <c r="E283" s="9" t="str">
        <f aca="false">IF($A283="","",IF(AND(OR(ISNUMBER(C283),C283="N/A"),OR(ISNUMBER(D283),D283="N/A"),OR(ISNUMBER(C283),ISNUMBER(D283))),N(C283)+N(D283),"To Verify"))</f>
        <v>To Verify</v>
      </c>
      <c r="F283" s="11" t="str">
        <f aca="false">IF($A283="","",IFERROR(INDEX(MASTER_DATABASE!$U$4:$U$1000,MATCH($A283,MASTER_DATABASE!$A$4:$A$1000,0)),""))</f>
        <v>Variable</v>
      </c>
      <c r="G283" s="12"/>
      <c r="H283" s="12"/>
      <c r="I283" s="11" t="str">
        <f aca="false">IF($A283="","",IFERROR(INDEX(MASTER_DATABASE!$V$4:$V$1000,MATCH($A283,MASTER_DATABASE!$A$4:$A$1000,0)),""))</f>
        <v>No</v>
      </c>
      <c r="J283" s="6"/>
    </row>
    <row r="284" customFormat="false" ht="15" hidden="false" customHeight="false" outlineLevel="0" collapsed="false">
      <c r="A284" s="5" t="s">
        <v>3252</v>
      </c>
      <c r="B284" s="7" t="str">
        <f aca="false">IF($A284="","",IFERROR(INDEX(MASTER_DATABASE!$E$4:$E$1000,MATCH($A284,MASTER_DATABASE!$A$4:$A$1000,0)),""))</f>
        <v>Credit Card Bill Payment</v>
      </c>
      <c r="C284" s="9" t="str">
        <f aca="false">IF($A284="","",IFERROR(INDEX(MASTER_DATABASE!$R$4:$R$1000,MATCH($A284,MASTER_DATABASE!$A$4:$A$1000,0)),""))</f>
        <v>N/A</v>
      </c>
      <c r="D284" s="9" t="str">
        <f aca="false">IF($A284="","",IFERROR(INDEX(MASTER_DATABASE!$S$4:$S$1000,MATCH($A284,MASTER_DATABASE!$A$4:$A$1000,0)),""))</f>
        <v>To Verify</v>
      </c>
      <c r="E284" s="9" t="str">
        <f aca="false">IF($A284="","",IF(AND(OR(ISNUMBER(C284),C284="N/A"),OR(ISNUMBER(D284),D284="N/A"),OR(ISNUMBER(C284),ISNUMBER(D284))),N(C284)+N(D284),"To Verify"))</f>
        <v>To Verify</v>
      </c>
      <c r="F284" s="11" t="str">
        <f aca="false">IF($A284="","",IFERROR(INDEX(MASTER_DATABASE!$U$4:$U$1000,MATCH($A284,MASTER_DATABASE!$A$4:$A$1000,0)),""))</f>
        <v>Variable</v>
      </c>
      <c r="G284" s="12"/>
      <c r="H284" s="12"/>
      <c r="I284" s="11" t="str">
        <f aca="false">IF($A284="","",IFERROR(INDEX(MASTER_DATABASE!$V$4:$V$1000,MATCH($A284,MASTER_DATABASE!$A$4:$A$1000,0)),""))</f>
        <v>No</v>
      </c>
      <c r="J284" s="6"/>
    </row>
    <row r="285" customFormat="false" ht="15" hidden="false" customHeight="false" outlineLevel="0" collapsed="false">
      <c r="A285" s="5" t="s">
        <v>3263</v>
      </c>
      <c r="B285" s="7" t="str">
        <f aca="false">IF($A285="","",IFERROR(INDEX(MASTER_DATABASE!$E$4:$E$1000,MATCH($A285,MASTER_DATABASE!$A$4:$A$1000,0)),""))</f>
        <v>Education Fee Payment</v>
      </c>
      <c r="C285" s="9" t="str">
        <f aca="false">IF($A285="","",IFERROR(INDEX(MASTER_DATABASE!$R$4:$R$1000,MATCH($A285,MASTER_DATABASE!$A$4:$A$1000,0)),""))</f>
        <v>N/A</v>
      </c>
      <c r="D285" s="9" t="str">
        <f aca="false">IF($A285="","",IFERROR(INDEX(MASTER_DATABASE!$S$4:$S$1000,MATCH($A285,MASTER_DATABASE!$A$4:$A$1000,0)),""))</f>
        <v>To Verify</v>
      </c>
      <c r="E285" s="9" t="str">
        <f aca="false">IF($A285="","",IF(AND(OR(ISNUMBER(C285),C285="N/A"),OR(ISNUMBER(D285),D285="N/A"),OR(ISNUMBER(C285),ISNUMBER(D285))),N(C285)+N(D285),"To Verify"))</f>
        <v>To Verify</v>
      </c>
      <c r="F285" s="11" t="str">
        <f aca="false">IF($A285="","",IFERROR(INDEX(MASTER_DATABASE!$U$4:$U$1000,MATCH($A285,MASTER_DATABASE!$A$4:$A$1000,0)),""))</f>
        <v>Variable</v>
      </c>
      <c r="G285" s="12"/>
      <c r="H285" s="12"/>
      <c r="I285" s="11" t="str">
        <f aca="false">IF($A285="","",IFERROR(INDEX(MASTER_DATABASE!$V$4:$V$1000,MATCH($A285,MASTER_DATABASE!$A$4:$A$1000,0)),""))</f>
        <v>No</v>
      </c>
      <c r="J285" s="6"/>
    </row>
    <row r="286" customFormat="false" ht="15" hidden="false" customHeight="false" outlineLevel="0" collapsed="false">
      <c r="A286" s="5" t="s">
        <v>3274</v>
      </c>
      <c r="B286" s="7" t="str">
        <f aca="false">IF($A286="","",IFERROR(INDEX(MASTER_DATABASE!$E$4:$E$1000,MATCH($A286,MASTER_DATABASE!$A$4:$A$1000,0)),""))</f>
        <v>BBPS – Other Billers</v>
      </c>
      <c r="C286" s="9" t="str">
        <f aca="false">IF($A286="","",IFERROR(INDEX(MASTER_DATABASE!$R$4:$R$1000,MATCH($A286,MASTER_DATABASE!$A$4:$A$1000,0)),""))</f>
        <v>N/A</v>
      </c>
      <c r="D286" s="9" t="str">
        <f aca="false">IF($A286="","",IFERROR(INDEX(MASTER_DATABASE!$S$4:$S$1000,MATCH($A286,MASTER_DATABASE!$A$4:$A$1000,0)),""))</f>
        <v>To Verify</v>
      </c>
      <c r="E286" s="9" t="str">
        <f aca="false">IF($A286="","",IF(AND(OR(ISNUMBER(C286),C286="N/A"),OR(ISNUMBER(D286),D286="N/A"),OR(ISNUMBER(C286),ISNUMBER(D286))),N(C286)+N(D286),"To Verify"))</f>
        <v>To Verify</v>
      </c>
      <c r="F286" s="11" t="str">
        <f aca="false">IF($A286="","",IFERROR(INDEX(MASTER_DATABASE!$U$4:$U$1000,MATCH($A286,MASTER_DATABASE!$A$4:$A$1000,0)),""))</f>
        <v>Variable</v>
      </c>
      <c r="G286" s="12"/>
      <c r="H286" s="12"/>
      <c r="I286" s="11" t="str">
        <f aca="false">IF($A286="","",IFERROR(INDEX(MASTER_DATABASE!$V$4:$V$1000,MATCH($A286,MASTER_DATABASE!$A$4:$A$1000,0)),""))</f>
        <v>No</v>
      </c>
      <c r="J286" s="6"/>
    </row>
    <row r="287" customFormat="false" ht="15" hidden="false" customHeight="false" outlineLevel="0" collapsed="false">
      <c r="A287" s="5" t="s">
        <v>3285</v>
      </c>
      <c r="B287" s="7" t="str">
        <f aca="false">IF($A287="","",IFERROR(INDEX(MASTER_DATABASE!$E$4:$E$1000,MATCH($A287,MASTER_DATABASE!$A$4:$A$1000,0)),""))</f>
        <v>Railway Ticket Booking (General)</v>
      </c>
      <c r="C287" s="9" t="str">
        <f aca="false">IF($A287="","",IFERROR(INDEX(MASTER_DATABASE!$R$4:$R$1000,MATCH($A287,MASTER_DATABASE!$A$4:$A$1000,0)),""))</f>
        <v>To Verify</v>
      </c>
      <c r="D287" s="9" t="str">
        <f aca="false">IF($A287="","",IFERROR(INDEX(MASTER_DATABASE!$S$4:$S$1000,MATCH($A287,MASTER_DATABASE!$A$4:$A$1000,0)),""))</f>
        <v>To Verify</v>
      </c>
      <c r="E287" s="9" t="str">
        <f aca="false">IF($A287="","",IF(AND(OR(ISNUMBER(C287),C287="N/A"),OR(ISNUMBER(D287),D287="N/A"),OR(ISNUMBER(C287),ISNUMBER(D287))),N(C287)+N(D287),"To Verify"))</f>
        <v>To Verify</v>
      </c>
      <c r="F287" s="11" t="str">
        <f aca="false">IF($A287="","",IFERROR(INDEX(MASTER_DATABASE!$U$4:$U$1000,MATCH($A287,MASTER_DATABASE!$A$4:$A$1000,0)),""))</f>
        <v>To Verify</v>
      </c>
      <c r="G287" s="12"/>
      <c r="H287" s="12"/>
      <c r="I287" s="11" t="str">
        <f aca="false">IF($A287="","",IFERROR(INDEX(MASTER_DATABASE!$V$4:$V$1000,MATCH($A287,MASTER_DATABASE!$A$4:$A$1000,0)),""))</f>
        <v>No</v>
      </c>
      <c r="J287" s="6"/>
    </row>
    <row r="288" customFormat="false" ht="15" hidden="false" customHeight="false" outlineLevel="0" collapsed="false">
      <c r="A288" s="5" t="s">
        <v>3303</v>
      </c>
      <c r="B288" s="7" t="str">
        <f aca="false">IF($A288="","",IFERROR(INDEX(MASTER_DATABASE!$E$4:$E$1000,MATCH($A288,MASTER_DATABASE!$A$4:$A$1000,0)),""))</f>
        <v>Railway Ticket Booking (Tatkal)</v>
      </c>
      <c r="C288" s="9" t="str">
        <f aca="false">IF($A288="","",IFERROR(INDEX(MASTER_DATABASE!$R$4:$R$1000,MATCH($A288,MASTER_DATABASE!$A$4:$A$1000,0)),""))</f>
        <v>To Verify</v>
      </c>
      <c r="D288" s="9" t="str">
        <f aca="false">IF($A288="","",IFERROR(INDEX(MASTER_DATABASE!$S$4:$S$1000,MATCH($A288,MASTER_DATABASE!$A$4:$A$1000,0)),""))</f>
        <v>To Verify</v>
      </c>
      <c r="E288" s="9" t="str">
        <f aca="false">IF($A288="","",IF(AND(OR(ISNUMBER(C288),C288="N/A"),OR(ISNUMBER(D288),D288="N/A"),OR(ISNUMBER(C288),ISNUMBER(D288))),N(C288)+N(D288),"To Verify"))</f>
        <v>To Verify</v>
      </c>
      <c r="F288" s="11" t="str">
        <f aca="false">IF($A288="","",IFERROR(INDEX(MASTER_DATABASE!$U$4:$U$1000,MATCH($A288,MASTER_DATABASE!$A$4:$A$1000,0)),""))</f>
        <v>To Verify</v>
      </c>
      <c r="G288" s="12"/>
      <c r="H288" s="12"/>
      <c r="I288" s="11" t="str">
        <f aca="false">IF($A288="","",IFERROR(INDEX(MASTER_DATABASE!$V$4:$V$1000,MATCH($A288,MASTER_DATABASE!$A$4:$A$1000,0)),""))</f>
        <v>No</v>
      </c>
      <c r="J288" s="6"/>
    </row>
    <row r="289" customFormat="false" ht="15" hidden="false" customHeight="false" outlineLevel="0" collapsed="false">
      <c r="A289" s="5" t="s">
        <v>3314</v>
      </c>
      <c r="B289" s="7" t="str">
        <f aca="false">IF($A289="","",IFERROR(INDEX(MASTER_DATABASE!$E$4:$E$1000,MATCH($A289,MASTER_DATABASE!$A$4:$A$1000,0)),""))</f>
        <v>PNR Status Check</v>
      </c>
      <c r="C289" s="9" t="str">
        <f aca="false">IF($A289="","",IFERROR(INDEX(MASTER_DATABASE!$R$4:$R$1000,MATCH($A289,MASTER_DATABASE!$A$4:$A$1000,0)),""))</f>
        <v>To Verify</v>
      </c>
      <c r="D289" s="9" t="str">
        <f aca="false">IF($A289="","",IFERROR(INDEX(MASTER_DATABASE!$S$4:$S$1000,MATCH($A289,MASTER_DATABASE!$A$4:$A$1000,0)),""))</f>
        <v>To Verify</v>
      </c>
      <c r="E289" s="9" t="str">
        <f aca="false">IF($A289="","",IF(AND(OR(ISNUMBER(C289),C289="N/A"),OR(ISNUMBER(D289),D289="N/A"),OR(ISNUMBER(C289),ISNUMBER(D289))),N(C289)+N(D289),"To Verify"))</f>
        <v>To Verify</v>
      </c>
      <c r="F289" s="11" t="str">
        <f aca="false">IF($A289="","",IFERROR(INDEX(MASTER_DATABASE!$U$4:$U$1000,MATCH($A289,MASTER_DATABASE!$A$4:$A$1000,0)),""))</f>
        <v>To Verify</v>
      </c>
      <c r="G289" s="12"/>
      <c r="H289" s="12"/>
      <c r="I289" s="11" t="str">
        <f aca="false">IF($A289="","",IFERROR(INDEX(MASTER_DATABASE!$V$4:$V$1000,MATCH($A289,MASTER_DATABASE!$A$4:$A$1000,0)),""))</f>
        <v>No</v>
      </c>
      <c r="J289" s="6"/>
    </row>
    <row r="290" customFormat="false" ht="15" hidden="false" customHeight="false" outlineLevel="0" collapsed="false">
      <c r="A290" s="5" t="s">
        <v>3325</v>
      </c>
      <c r="B290" s="7" t="str">
        <f aca="false">IF($A290="","",IFERROR(INDEX(MASTER_DATABASE!$E$4:$E$1000,MATCH($A290,MASTER_DATABASE!$A$4:$A$1000,0)),""))</f>
        <v>Train Running Status</v>
      </c>
      <c r="C290" s="9" t="str">
        <f aca="false">IF($A290="","",IFERROR(INDEX(MASTER_DATABASE!$R$4:$R$1000,MATCH($A290,MASTER_DATABASE!$A$4:$A$1000,0)),""))</f>
        <v>To Verify</v>
      </c>
      <c r="D290" s="9" t="str">
        <f aca="false">IF($A290="","",IFERROR(INDEX(MASTER_DATABASE!$S$4:$S$1000,MATCH($A290,MASTER_DATABASE!$A$4:$A$1000,0)),""))</f>
        <v>To Verify</v>
      </c>
      <c r="E290" s="9" t="str">
        <f aca="false">IF($A290="","",IF(AND(OR(ISNUMBER(C290),C290="N/A"),OR(ISNUMBER(D290),D290="N/A"),OR(ISNUMBER(C290),ISNUMBER(D290))),N(C290)+N(D290),"To Verify"))</f>
        <v>To Verify</v>
      </c>
      <c r="F290" s="11" t="str">
        <f aca="false">IF($A290="","",IFERROR(INDEX(MASTER_DATABASE!$U$4:$U$1000,MATCH($A290,MASTER_DATABASE!$A$4:$A$1000,0)),""))</f>
        <v>To Verify</v>
      </c>
      <c r="G290" s="12"/>
      <c r="H290" s="12"/>
      <c r="I290" s="11" t="str">
        <f aca="false">IF($A290="","",IFERROR(INDEX(MASTER_DATABASE!$V$4:$V$1000,MATCH($A290,MASTER_DATABASE!$A$4:$A$1000,0)),""))</f>
        <v>No</v>
      </c>
      <c r="J290" s="6"/>
    </row>
    <row r="291" customFormat="false" ht="15" hidden="false" customHeight="false" outlineLevel="0" collapsed="false">
      <c r="A291" s="5" t="s">
        <v>3336</v>
      </c>
      <c r="B291" s="7" t="str">
        <f aca="false">IF($A291="","",IFERROR(INDEX(MASTER_DATABASE!$E$4:$E$1000,MATCH($A291,MASTER_DATABASE!$A$4:$A$1000,0)),""))</f>
        <v>Railway Ticket Cancellation</v>
      </c>
      <c r="C291" s="9" t="str">
        <f aca="false">IF($A291="","",IFERROR(INDEX(MASTER_DATABASE!$R$4:$R$1000,MATCH($A291,MASTER_DATABASE!$A$4:$A$1000,0)),""))</f>
        <v>To Verify</v>
      </c>
      <c r="D291" s="9" t="str">
        <f aca="false">IF($A291="","",IFERROR(INDEX(MASTER_DATABASE!$S$4:$S$1000,MATCH($A291,MASTER_DATABASE!$A$4:$A$1000,0)),""))</f>
        <v>To Verify</v>
      </c>
      <c r="E291" s="9" t="str">
        <f aca="false">IF($A291="","",IF(AND(OR(ISNUMBER(C291),C291="N/A"),OR(ISNUMBER(D291),D291="N/A"),OR(ISNUMBER(C291),ISNUMBER(D291))),N(C291)+N(D291),"To Verify"))</f>
        <v>To Verify</v>
      </c>
      <c r="F291" s="11" t="str">
        <f aca="false">IF($A291="","",IFERROR(INDEX(MASTER_DATABASE!$U$4:$U$1000,MATCH($A291,MASTER_DATABASE!$A$4:$A$1000,0)),""))</f>
        <v>To Verify</v>
      </c>
      <c r="G291" s="12"/>
      <c r="H291" s="12"/>
      <c r="I291" s="11" t="str">
        <f aca="false">IF($A291="","",IFERROR(INDEX(MASTER_DATABASE!$V$4:$V$1000,MATCH($A291,MASTER_DATABASE!$A$4:$A$1000,0)),""))</f>
        <v>No</v>
      </c>
      <c r="J291" s="6"/>
    </row>
    <row r="292" customFormat="false" ht="15" hidden="false" customHeight="false" outlineLevel="0" collapsed="false">
      <c r="A292" s="5" t="s">
        <v>3347</v>
      </c>
      <c r="B292" s="7" t="str">
        <f aca="false">IF($A292="","",IFERROR(INDEX(MASTER_DATABASE!$E$4:$E$1000,MATCH($A292,MASTER_DATABASE!$A$4:$A$1000,0)),""))</f>
        <v>Railway Refund Status Check</v>
      </c>
      <c r="C292" s="9" t="str">
        <f aca="false">IF($A292="","",IFERROR(INDEX(MASTER_DATABASE!$R$4:$R$1000,MATCH($A292,MASTER_DATABASE!$A$4:$A$1000,0)),""))</f>
        <v>To Verify</v>
      </c>
      <c r="D292" s="9" t="str">
        <f aca="false">IF($A292="","",IFERROR(INDEX(MASTER_DATABASE!$S$4:$S$1000,MATCH($A292,MASTER_DATABASE!$A$4:$A$1000,0)),""))</f>
        <v>To Verify</v>
      </c>
      <c r="E292" s="9" t="str">
        <f aca="false">IF($A292="","",IF(AND(OR(ISNUMBER(C292),C292="N/A"),OR(ISNUMBER(D292),D292="N/A"),OR(ISNUMBER(C292),ISNUMBER(D292))),N(C292)+N(D292),"To Verify"))</f>
        <v>To Verify</v>
      </c>
      <c r="F292" s="11" t="str">
        <f aca="false">IF($A292="","",IFERROR(INDEX(MASTER_DATABASE!$U$4:$U$1000,MATCH($A292,MASTER_DATABASE!$A$4:$A$1000,0)),""))</f>
        <v>To Verify</v>
      </c>
      <c r="G292" s="12"/>
      <c r="H292" s="12"/>
      <c r="I292" s="11" t="str">
        <f aca="false">IF($A292="","",IFERROR(INDEX(MASTER_DATABASE!$V$4:$V$1000,MATCH($A292,MASTER_DATABASE!$A$4:$A$1000,0)),""))</f>
        <v>No</v>
      </c>
      <c r="J292" s="6"/>
    </row>
    <row r="293" customFormat="false" ht="15" hidden="false" customHeight="false" outlineLevel="0" collapsed="false">
      <c r="A293" s="5" t="s">
        <v>3358</v>
      </c>
      <c r="B293" s="7" t="str">
        <f aca="false">IF($A293="","",IFERROR(INDEX(MASTER_DATABASE!$E$4:$E$1000,MATCH($A293,MASTER_DATABASE!$A$4:$A$1000,0)),""))</f>
        <v>Bus Ticket Booking</v>
      </c>
      <c r="C293" s="9" t="str">
        <f aca="false">IF($A293="","",IFERROR(INDEX(MASTER_DATABASE!$R$4:$R$1000,MATCH($A293,MASTER_DATABASE!$A$4:$A$1000,0)),""))</f>
        <v>To Verify</v>
      </c>
      <c r="D293" s="9" t="str">
        <f aca="false">IF($A293="","",IFERROR(INDEX(MASTER_DATABASE!$S$4:$S$1000,MATCH($A293,MASTER_DATABASE!$A$4:$A$1000,0)),""))</f>
        <v>To Verify</v>
      </c>
      <c r="E293" s="9" t="str">
        <f aca="false">IF($A293="","",IF(AND(OR(ISNUMBER(C293),C293="N/A"),OR(ISNUMBER(D293),D293="N/A"),OR(ISNUMBER(C293),ISNUMBER(D293))),N(C293)+N(D293),"To Verify"))</f>
        <v>To Verify</v>
      </c>
      <c r="F293" s="11" t="str">
        <f aca="false">IF($A293="","",IFERROR(INDEX(MASTER_DATABASE!$U$4:$U$1000,MATCH($A293,MASTER_DATABASE!$A$4:$A$1000,0)),""))</f>
        <v>To Verify</v>
      </c>
      <c r="G293" s="12"/>
      <c r="H293" s="12"/>
      <c r="I293" s="11" t="str">
        <f aca="false">IF($A293="","",IFERROR(INDEX(MASTER_DATABASE!$V$4:$V$1000,MATCH($A293,MASTER_DATABASE!$A$4:$A$1000,0)),""))</f>
        <v>No</v>
      </c>
      <c r="J293" s="6"/>
    </row>
    <row r="294" customFormat="false" ht="15" hidden="false" customHeight="false" outlineLevel="0" collapsed="false">
      <c r="A294" s="5" t="s">
        <v>3371</v>
      </c>
      <c r="B294" s="7" t="str">
        <f aca="false">IF($A294="","",IFERROR(INDEX(MASTER_DATABASE!$E$4:$E$1000,MATCH($A294,MASTER_DATABASE!$A$4:$A$1000,0)),""))</f>
        <v>Bus Ticket Cancellation</v>
      </c>
      <c r="C294" s="9" t="str">
        <f aca="false">IF($A294="","",IFERROR(INDEX(MASTER_DATABASE!$R$4:$R$1000,MATCH($A294,MASTER_DATABASE!$A$4:$A$1000,0)),""))</f>
        <v>To Verify</v>
      </c>
      <c r="D294" s="9" t="str">
        <f aca="false">IF($A294="","",IFERROR(INDEX(MASTER_DATABASE!$S$4:$S$1000,MATCH($A294,MASTER_DATABASE!$A$4:$A$1000,0)),""))</f>
        <v>To Verify</v>
      </c>
      <c r="E294" s="9" t="str">
        <f aca="false">IF($A294="","",IF(AND(OR(ISNUMBER(C294),C294="N/A"),OR(ISNUMBER(D294),D294="N/A"),OR(ISNUMBER(C294),ISNUMBER(D294))),N(C294)+N(D294),"To Verify"))</f>
        <v>To Verify</v>
      </c>
      <c r="F294" s="11" t="str">
        <f aca="false">IF($A294="","",IFERROR(INDEX(MASTER_DATABASE!$U$4:$U$1000,MATCH($A294,MASTER_DATABASE!$A$4:$A$1000,0)),""))</f>
        <v>To Verify</v>
      </c>
      <c r="G294" s="12"/>
      <c r="H294" s="12"/>
      <c r="I294" s="11" t="str">
        <f aca="false">IF($A294="","",IFERROR(INDEX(MASTER_DATABASE!$V$4:$V$1000,MATCH($A294,MASTER_DATABASE!$A$4:$A$1000,0)),""))</f>
        <v>No</v>
      </c>
      <c r="J294" s="6"/>
    </row>
    <row r="295" customFormat="false" ht="15" hidden="false" customHeight="false" outlineLevel="0" collapsed="false">
      <c r="A295" s="5" t="s">
        <v>3382</v>
      </c>
      <c r="B295" s="7" t="str">
        <f aca="false">IF($A295="","",IFERROR(INDEX(MASTER_DATABASE!$E$4:$E$1000,MATCH($A295,MASTER_DATABASE!$A$4:$A$1000,0)),""))</f>
        <v>Flight Ticket Booking</v>
      </c>
      <c r="C295" s="9" t="str">
        <f aca="false">IF($A295="","",IFERROR(INDEX(MASTER_DATABASE!$R$4:$R$1000,MATCH($A295,MASTER_DATABASE!$A$4:$A$1000,0)),""))</f>
        <v>To Verify</v>
      </c>
      <c r="D295" s="9" t="str">
        <f aca="false">IF($A295="","",IFERROR(INDEX(MASTER_DATABASE!$S$4:$S$1000,MATCH($A295,MASTER_DATABASE!$A$4:$A$1000,0)),""))</f>
        <v>To Verify</v>
      </c>
      <c r="E295" s="9" t="str">
        <f aca="false">IF($A295="","",IF(AND(OR(ISNUMBER(C295),C295="N/A"),OR(ISNUMBER(D295),D295="N/A"),OR(ISNUMBER(C295),ISNUMBER(D295))),N(C295)+N(D295),"To Verify"))</f>
        <v>To Verify</v>
      </c>
      <c r="F295" s="11" t="str">
        <f aca="false">IF($A295="","",IFERROR(INDEX(MASTER_DATABASE!$U$4:$U$1000,MATCH($A295,MASTER_DATABASE!$A$4:$A$1000,0)),""))</f>
        <v>To Verify</v>
      </c>
      <c r="G295" s="12"/>
      <c r="H295" s="12"/>
      <c r="I295" s="11" t="str">
        <f aca="false">IF($A295="","",IFERROR(INDEX(MASTER_DATABASE!$V$4:$V$1000,MATCH($A295,MASTER_DATABASE!$A$4:$A$1000,0)),""))</f>
        <v>No</v>
      </c>
      <c r="J295" s="6"/>
    </row>
    <row r="296" customFormat="false" ht="15" hidden="false" customHeight="false" outlineLevel="0" collapsed="false">
      <c r="A296" s="5"/>
      <c r="B296" s="7" t="str">
        <f aca="false">IF($A296="","",IFERROR(INDEX(MASTER_DATABASE!$E$4:$E$1000,MATCH($A296,MASTER_DATABASE!$A$4:$A$1000,0)),""))</f>
        <v/>
      </c>
      <c r="C296" s="9" t="str">
        <f aca="false">IF($A296="","",IFERROR(INDEX(MASTER_DATABASE!$R$4:$R$1000,MATCH($A296,MASTER_DATABASE!$A$4:$A$1000,0)),""))</f>
        <v/>
      </c>
      <c r="D296" s="9" t="str">
        <f aca="false">IF($A296="","",IFERROR(INDEX(MASTER_DATABASE!$S$4:$S$1000,MATCH($A296,MASTER_DATABASE!$A$4:$A$1000,0)),""))</f>
        <v/>
      </c>
      <c r="E296" s="9" t="str">
        <f aca="false">IF($A296="","",IF(AND(OR(ISNUMBER(C296),C296="N/A"),OR(ISNUMBER(D296),D296="N/A"),OR(ISNUMBER(C296),ISNUMBER(D296))),N(C296)+N(D296),"To Verify"))</f>
        <v/>
      </c>
      <c r="F296" s="11" t="str">
        <f aca="false">IF($A296="","",IFERROR(INDEX(MASTER_DATABASE!$U$4:$U$1000,MATCH($A296,MASTER_DATABASE!$A$4:$A$1000,0)),""))</f>
        <v/>
      </c>
      <c r="G296" s="12"/>
      <c r="H296" s="12"/>
      <c r="I296" s="11" t="str">
        <f aca="false">IF($A296="","",IFERROR(INDEX(MASTER_DATABASE!$V$4:$V$1000,MATCH($A296,MASTER_DATABASE!$A$4:$A$1000,0)),""))</f>
        <v/>
      </c>
      <c r="J296" s="6"/>
    </row>
    <row r="297" customFormat="false" ht="15" hidden="false" customHeight="false" outlineLevel="0" collapsed="false">
      <c r="A297" s="5"/>
      <c r="B297" s="7" t="str">
        <f aca="false">IF($A297="","",IFERROR(INDEX(MASTER_DATABASE!$E$4:$E$1000,MATCH($A297,MASTER_DATABASE!$A$4:$A$1000,0)),""))</f>
        <v/>
      </c>
      <c r="C297" s="9" t="str">
        <f aca="false">IF($A297="","",IFERROR(INDEX(MASTER_DATABASE!$R$4:$R$1000,MATCH($A297,MASTER_DATABASE!$A$4:$A$1000,0)),""))</f>
        <v/>
      </c>
      <c r="D297" s="9" t="str">
        <f aca="false">IF($A297="","",IFERROR(INDEX(MASTER_DATABASE!$S$4:$S$1000,MATCH($A297,MASTER_DATABASE!$A$4:$A$1000,0)),""))</f>
        <v/>
      </c>
      <c r="E297" s="9" t="str">
        <f aca="false">IF($A297="","",IF(AND(OR(ISNUMBER(C297),C297="N/A"),OR(ISNUMBER(D297),D297="N/A"),OR(ISNUMBER(C297),ISNUMBER(D297))),N(C297)+N(D297),"To Verify"))</f>
        <v/>
      </c>
      <c r="F297" s="11" t="str">
        <f aca="false">IF($A297="","",IFERROR(INDEX(MASTER_DATABASE!$U$4:$U$1000,MATCH($A297,MASTER_DATABASE!$A$4:$A$1000,0)),""))</f>
        <v/>
      </c>
      <c r="G297" s="12"/>
      <c r="H297" s="12"/>
      <c r="I297" s="11" t="str">
        <f aca="false">IF($A297="","",IFERROR(INDEX(MASTER_DATABASE!$V$4:$V$1000,MATCH($A297,MASTER_DATABASE!$A$4:$A$1000,0)),""))</f>
        <v/>
      </c>
      <c r="J297" s="6"/>
    </row>
    <row r="298" customFormat="false" ht="15" hidden="false" customHeight="false" outlineLevel="0" collapsed="false">
      <c r="A298" s="5"/>
      <c r="B298" s="7" t="str">
        <f aca="false">IF($A298="","",IFERROR(INDEX(MASTER_DATABASE!$E$4:$E$1000,MATCH($A298,MASTER_DATABASE!$A$4:$A$1000,0)),""))</f>
        <v/>
      </c>
      <c r="C298" s="9" t="str">
        <f aca="false">IF($A298="","",IFERROR(INDEX(MASTER_DATABASE!$R$4:$R$1000,MATCH($A298,MASTER_DATABASE!$A$4:$A$1000,0)),""))</f>
        <v/>
      </c>
      <c r="D298" s="9" t="str">
        <f aca="false">IF($A298="","",IFERROR(INDEX(MASTER_DATABASE!$S$4:$S$1000,MATCH($A298,MASTER_DATABASE!$A$4:$A$1000,0)),""))</f>
        <v/>
      </c>
      <c r="E298" s="9" t="str">
        <f aca="false">IF($A298="","",IF(AND(OR(ISNUMBER(C298),C298="N/A"),OR(ISNUMBER(D298),D298="N/A"),OR(ISNUMBER(C298),ISNUMBER(D298))),N(C298)+N(D298),"To Verify"))</f>
        <v/>
      </c>
      <c r="F298" s="11" t="str">
        <f aca="false">IF($A298="","",IFERROR(INDEX(MASTER_DATABASE!$U$4:$U$1000,MATCH($A298,MASTER_DATABASE!$A$4:$A$1000,0)),""))</f>
        <v/>
      </c>
      <c r="G298" s="12"/>
      <c r="H298" s="12"/>
      <c r="I298" s="11" t="str">
        <f aca="false">IF($A298="","",IFERROR(INDEX(MASTER_DATABASE!$V$4:$V$1000,MATCH($A298,MASTER_DATABASE!$A$4:$A$1000,0)),""))</f>
        <v/>
      </c>
      <c r="J298" s="6"/>
    </row>
    <row r="299" customFormat="false" ht="15" hidden="false" customHeight="false" outlineLevel="0" collapsed="false">
      <c r="A299" s="5"/>
      <c r="B299" s="7" t="str">
        <f aca="false">IF($A299="","",IFERROR(INDEX(MASTER_DATABASE!$E$4:$E$1000,MATCH($A299,MASTER_DATABASE!$A$4:$A$1000,0)),""))</f>
        <v/>
      </c>
      <c r="C299" s="9" t="str">
        <f aca="false">IF($A299="","",IFERROR(INDEX(MASTER_DATABASE!$R$4:$R$1000,MATCH($A299,MASTER_DATABASE!$A$4:$A$1000,0)),""))</f>
        <v/>
      </c>
      <c r="D299" s="9" t="str">
        <f aca="false">IF($A299="","",IFERROR(INDEX(MASTER_DATABASE!$S$4:$S$1000,MATCH($A299,MASTER_DATABASE!$A$4:$A$1000,0)),""))</f>
        <v/>
      </c>
      <c r="E299" s="9" t="str">
        <f aca="false">IF($A299="","",IF(AND(OR(ISNUMBER(C299),C299="N/A"),OR(ISNUMBER(D299),D299="N/A"),OR(ISNUMBER(C299),ISNUMBER(D299))),N(C299)+N(D299),"To Verify"))</f>
        <v/>
      </c>
      <c r="F299" s="11" t="str">
        <f aca="false">IF($A299="","",IFERROR(INDEX(MASTER_DATABASE!$U$4:$U$1000,MATCH($A299,MASTER_DATABASE!$A$4:$A$1000,0)),""))</f>
        <v/>
      </c>
      <c r="G299" s="12"/>
      <c r="H299" s="12"/>
      <c r="I299" s="11" t="str">
        <f aca="false">IF($A299="","",IFERROR(INDEX(MASTER_DATABASE!$V$4:$V$1000,MATCH($A299,MASTER_DATABASE!$A$4:$A$1000,0)),""))</f>
        <v/>
      </c>
      <c r="J299" s="6"/>
    </row>
    <row r="300" customFormat="false" ht="15" hidden="false" customHeight="false" outlineLevel="0" collapsed="false">
      <c r="A300" s="5"/>
      <c r="B300" s="7" t="str">
        <f aca="false">IF($A300="","",IFERROR(INDEX(MASTER_DATABASE!$E$4:$E$1000,MATCH($A300,MASTER_DATABASE!$A$4:$A$1000,0)),""))</f>
        <v/>
      </c>
      <c r="C300" s="9" t="str">
        <f aca="false">IF($A300="","",IFERROR(INDEX(MASTER_DATABASE!$R$4:$R$1000,MATCH($A300,MASTER_DATABASE!$A$4:$A$1000,0)),""))</f>
        <v/>
      </c>
      <c r="D300" s="9" t="str">
        <f aca="false">IF($A300="","",IFERROR(INDEX(MASTER_DATABASE!$S$4:$S$1000,MATCH($A300,MASTER_DATABASE!$A$4:$A$1000,0)),""))</f>
        <v/>
      </c>
      <c r="E300" s="9" t="str">
        <f aca="false">IF($A300="","",IF(AND(OR(ISNUMBER(C300),C300="N/A"),OR(ISNUMBER(D300),D300="N/A"),OR(ISNUMBER(C300),ISNUMBER(D300))),N(C300)+N(D300),"To Verify"))</f>
        <v/>
      </c>
      <c r="F300" s="11" t="str">
        <f aca="false">IF($A300="","",IFERROR(INDEX(MASTER_DATABASE!$U$4:$U$1000,MATCH($A300,MASTER_DATABASE!$A$4:$A$1000,0)),""))</f>
        <v/>
      </c>
      <c r="G300" s="12"/>
      <c r="H300" s="12"/>
      <c r="I300" s="11" t="str">
        <f aca="false">IF($A300="","",IFERROR(INDEX(MASTER_DATABASE!$V$4:$V$1000,MATCH($A300,MASTER_DATABASE!$A$4:$A$1000,0)),""))</f>
        <v/>
      </c>
      <c r="J300" s="6"/>
    </row>
    <row r="301" customFormat="false" ht="15" hidden="false" customHeight="false" outlineLevel="0" collapsed="false">
      <c r="A301" s="5"/>
      <c r="B301" s="7" t="str">
        <f aca="false">IF($A301="","",IFERROR(INDEX(MASTER_DATABASE!$E$4:$E$1000,MATCH($A301,MASTER_DATABASE!$A$4:$A$1000,0)),""))</f>
        <v/>
      </c>
      <c r="C301" s="9" t="str">
        <f aca="false">IF($A301="","",IFERROR(INDEX(MASTER_DATABASE!$R$4:$R$1000,MATCH($A301,MASTER_DATABASE!$A$4:$A$1000,0)),""))</f>
        <v/>
      </c>
      <c r="D301" s="9" t="str">
        <f aca="false">IF($A301="","",IFERROR(INDEX(MASTER_DATABASE!$S$4:$S$1000,MATCH($A301,MASTER_DATABASE!$A$4:$A$1000,0)),""))</f>
        <v/>
      </c>
      <c r="E301" s="9" t="str">
        <f aca="false">IF($A301="","",IF(AND(OR(ISNUMBER(C301),C301="N/A"),OR(ISNUMBER(D301),D301="N/A"),OR(ISNUMBER(C301),ISNUMBER(D301))),N(C301)+N(D301),"To Verify"))</f>
        <v/>
      </c>
      <c r="F301" s="11" t="str">
        <f aca="false">IF($A301="","",IFERROR(INDEX(MASTER_DATABASE!$U$4:$U$1000,MATCH($A301,MASTER_DATABASE!$A$4:$A$1000,0)),""))</f>
        <v/>
      </c>
      <c r="G301" s="12"/>
      <c r="H301" s="12"/>
      <c r="I301" s="11" t="str">
        <f aca="false">IF($A301="","",IFERROR(INDEX(MASTER_DATABASE!$V$4:$V$1000,MATCH($A301,MASTER_DATABASE!$A$4:$A$1000,0)),""))</f>
        <v/>
      </c>
      <c r="J301" s="6"/>
    </row>
    <row r="302" customFormat="false" ht="15" hidden="false" customHeight="false" outlineLevel="0" collapsed="false">
      <c r="A302" s="5"/>
      <c r="B302" s="7" t="str">
        <f aca="false">IF($A302="","",IFERROR(INDEX(MASTER_DATABASE!$E$4:$E$1000,MATCH($A302,MASTER_DATABASE!$A$4:$A$1000,0)),""))</f>
        <v/>
      </c>
      <c r="C302" s="9" t="str">
        <f aca="false">IF($A302="","",IFERROR(INDEX(MASTER_DATABASE!$R$4:$R$1000,MATCH($A302,MASTER_DATABASE!$A$4:$A$1000,0)),""))</f>
        <v/>
      </c>
      <c r="D302" s="9" t="str">
        <f aca="false">IF($A302="","",IFERROR(INDEX(MASTER_DATABASE!$S$4:$S$1000,MATCH($A302,MASTER_DATABASE!$A$4:$A$1000,0)),""))</f>
        <v/>
      </c>
      <c r="E302" s="9" t="str">
        <f aca="false">IF($A302="","",IF(AND(OR(ISNUMBER(C302),C302="N/A"),OR(ISNUMBER(D302),D302="N/A"),OR(ISNUMBER(C302),ISNUMBER(D302))),N(C302)+N(D302),"To Verify"))</f>
        <v/>
      </c>
      <c r="F302" s="11" t="str">
        <f aca="false">IF($A302="","",IFERROR(INDEX(MASTER_DATABASE!$U$4:$U$1000,MATCH($A302,MASTER_DATABASE!$A$4:$A$1000,0)),""))</f>
        <v/>
      </c>
      <c r="G302" s="12"/>
      <c r="H302" s="12"/>
      <c r="I302" s="11" t="str">
        <f aca="false">IF($A302="","",IFERROR(INDEX(MASTER_DATABASE!$V$4:$V$1000,MATCH($A302,MASTER_DATABASE!$A$4:$A$1000,0)),""))</f>
        <v/>
      </c>
      <c r="J302" s="6"/>
    </row>
    <row r="303" customFormat="false" ht="15" hidden="false" customHeight="false" outlineLevel="0" collapsed="false">
      <c r="A303" s="5"/>
      <c r="B303" s="7" t="str">
        <f aca="false">IF($A303="","",IFERROR(INDEX(MASTER_DATABASE!$E$4:$E$1000,MATCH($A303,MASTER_DATABASE!$A$4:$A$1000,0)),""))</f>
        <v/>
      </c>
      <c r="C303" s="9" t="str">
        <f aca="false">IF($A303="","",IFERROR(INDEX(MASTER_DATABASE!$R$4:$R$1000,MATCH($A303,MASTER_DATABASE!$A$4:$A$1000,0)),""))</f>
        <v/>
      </c>
      <c r="D303" s="9" t="str">
        <f aca="false">IF($A303="","",IFERROR(INDEX(MASTER_DATABASE!$S$4:$S$1000,MATCH($A303,MASTER_DATABASE!$A$4:$A$1000,0)),""))</f>
        <v/>
      </c>
      <c r="E303" s="9" t="str">
        <f aca="false">IF($A303="","",IF(AND(OR(ISNUMBER(C303),C303="N/A"),OR(ISNUMBER(D303),D303="N/A"),OR(ISNUMBER(C303),ISNUMBER(D303))),N(C303)+N(D303),"To Verify"))</f>
        <v/>
      </c>
      <c r="F303" s="11" t="str">
        <f aca="false">IF($A303="","",IFERROR(INDEX(MASTER_DATABASE!$U$4:$U$1000,MATCH($A303,MASTER_DATABASE!$A$4:$A$1000,0)),""))</f>
        <v/>
      </c>
      <c r="G303" s="12"/>
      <c r="H303" s="12"/>
      <c r="I303" s="11" t="str">
        <f aca="false">IF($A303="","",IFERROR(INDEX(MASTER_DATABASE!$V$4:$V$1000,MATCH($A303,MASTER_DATABASE!$A$4:$A$1000,0)),""))</f>
        <v/>
      </c>
      <c r="J303" s="6"/>
    </row>
    <row r="304" customFormat="false" ht="15" hidden="false" customHeight="false" outlineLevel="0" collapsed="false">
      <c r="A304" s="5"/>
      <c r="B304" s="7" t="str">
        <f aca="false">IF($A304="","",IFERROR(INDEX(MASTER_DATABASE!$E$4:$E$1000,MATCH($A304,MASTER_DATABASE!$A$4:$A$1000,0)),""))</f>
        <v/>
      </c>
      <c r="C304" s="9" t="str">
        <f aca="false">IF($A304="","",IFERROR(INDEX(MASTER_DATABASE!$R$4:$R$1000,MATCH($A304,MASTER_DATABASE!$A$4:$A$1000,0)),""))</f>
        <v/>
      </c>
      <c r="D304" s="9" t="str">
        <f aca="false">IF($A304="","",IFERROR(INDEX(MASTER_DATABASE!$S$4:$S$1000,MATCH($A304,MASTER_DATABASE!$A$4:$A$1000,0)),""))</f>
        <v/>
      </c>
      <c r="E304" s="9" t="str">
        <f aca="false">IF($A304="","",IF(AND(OR(ISNUMBER(C304),C304="N/A"),OR(ISNUMBER(D304),D304="N/A"),OR(ISNUMBER(C304),ISNUMBER(D304))),N(C304)+N(D304),"To Verify"))</f>
        <v/>
      </c>
      <c r="F304" s="11" t="str">
        <f aca="false">IF($A304="","",IFERROR(INDEX(MASTER_DATABASE!$U$4:$U$1000,MATCH($A304,MASTER_DATABASE!$A$4:$A$1000,0)),""))</f>
        <v/>
      </c>
      <c r="G304" s="12"/>
      <c r="H304" s="12"/>
      <c r="I304" s="11" t="str">
        <f aca="false">IF($A304="","",IFERROR(INDEX(MASTER_DATABASE!$V$4:$V$1000,MATCH($A304,MASTER_DATABASE!$A$4:$A$1000,0)),""))</f>
        <v/>
      </c>
      <c r="J304" s="6"/>
    </row>
    <row r="305" customFormat="false" ht="15" hidden="false" customHeight="false" outlineLevel="0" collapsed="false">
      <c r="A305" s="5"/>
      <c r="B305" s="7" t="str">
        <f aca="false">IF($A305="","",IFERROR(INDEX(MASTER_DATABASE!$E$4:$E$1000,MATCH($A305,MASTER_DATABASE!$A$4:$A$1000,0)),""))</f>
        <v/>
      </c>
      <c r="C305" s="9" t="str">
        <f aca="false">IF($A305="","",IFERROR(INDEX(MASTER_DATABASE!$R$4:$R$1000,MATCH($A305,MASTER_DATABASE!$A$4:$A$1000,0)),""))</f>
        <v/>
      </c>
      <c r="D305" s="9" t="str">
        <f aca="false">IF($A305="","",IFERROR(INDEX(MASTER_DATABASE!$S$4:$S$1000,MATCH($A305,MASTER_DATABASE!$A$4:$A$1000,0)),""))</f>
        <v/>
      </c>
      <c r="E305" s="9" t="str">
        <f aca="false">IF($A305="","",IF(AND(OR(ISNUMBER(C305),C305="N/A"),OR(ISNUMBER(D305),D305="N/A"),OR(ISNUMBER(C305),ISNUMBER(D305))),N(C305)+N(D305),"To Verify"))</f>
        <v/>
      </c>
      <c r="F305" s="11" t="str">
        <f aca="false">IF($A305="","",IFERROR(INDEX(MASTER_DATABASE!$U$4:$U$1000,MATCH($A305,MASTER_DATABASE!$A$4:$A$1000,0)),""))</f>
        <v/>
      </c>
      <c r="G305" s="12"/>
      <c r="H305" s="12"/>
      <c r="I305" s="11" t="str">
        <f aca="false">IF($A305="","",IFERROR(INDEX(MASTER_DATABASE!$V$4:$V$1000,MATCH($A305,MASTER_DATABASE!$A$4:$A$1000,0)),""))</f>
        <v/>
      </c>
      <c r="J305" s="6"/>
    </row>
    <row r="306" customFormat="false" ht="15" hidden="false" customHeight="false" outlineLevel="0" collapsed="false">
      <c r="A306" s="5"/>
      <c r="B306" s="7" t="str">
        <f aca="false">IF($A306="","",IFERROR(INDEX(MASTER_DATABASE!$E$4:$E$1000,MATCH($A306,MASTER_DATABASE!$A$4:$A$1000,0)),""))</f>
        <v/>
      </c>
      <c r="C306" s="9" t="str">
        <f aca="false">IF($A306="","",IFERROR(INDEX(MASTER_DATABASE!$R$4:$R$1000,MATCH($A306,MASTER_DATABASE!$A$4:$A$1000,0)),""))</f>
        <v/>
      </c>
      <c r="D306" s="9" t="str">
        <f aca="false">IF($A306="","",IFERROR(INDEX(MASTER_DATABASE!$S$4:$S$1000,MATCH($A306,MASTER_DATABASE!$A$4:$A$1000,0)),""))</f>
        <v/>
      </c>
      <c r="E306" s="9" t="str">
        <f aca="false">IF($A306="","",IF(AND(OR(ISNUMBER(C306),C306="N/A"),OR(ISNUMBER(D306),D306="N/A"),OR(ISNUMBER(C306),ISNUMBER(D306))),N(C306)+N(D306),"To Verify"))</f>
        <v/>
      </c>
      <c r="F306" s="11" t="str">
        <f aca="false">IF($A306="","",IFERROR(INDEX(MASTER_DATABASE!$U$4:$U$1000,MATCH($A306,MASTER_DATABASE!$A$4:$A$1000,0)),""))</f>
        <v/>
      </c>
      <c r="G306" s="12"/>
      <c r="H306" s="12"/>
      <c r="I306" s="11" t="str">
        <f aca="false">IF($A306="","",IFERROR(INDEX(MASTER_DATABASE!$V$4:$V$1000,MATCH($A306,MASTER_DATABASE!$A$4:$A$1000,0)),""))</f>
        <v/>
      </c>
      <c r="J306" s="6"/>
    </row>
    <row r="307" customFormat="false" ht="15" hidden="false" customHeight="false" outlineLevel="0" collapsed="false">
      <c r="A307" s="5"/>
      <c r="B307" s="7" t="str">
        <f aca="false">IF($A307="","",IFERROR(INDEX(MASTER_DATABASE!$E$4:$E$1000,MATCH($A307,MASTER_DATABASE!$A$4:$A$1000,0)),""))</f>
        <v/>
      </c>
      <c r="C307" s="9" t="str">
        <f aca="false">IF($A307="","",IFERROR(INDEX(MASTER_DATABASE!$R$4:$R$1000,MATCH($A307,MASTER_DATABASE!$A$4:$A$1000,0)),""))</f>
        <v/>
      </c>
      <c r="D307" s="9" t="str">
        <f aca="false">IF($A307="","",IFERROR(INDEX(MASTER_DATABASE!$S$4:$S$1000,MATCH($A307,MASTER_DATABASE!$A$4:$A$1000,0)),""))</f>
        <v/>
      </c>
      <c r="E307" s="9" t="str">
        <f aca="false">IF($A307="","",IF(AND(OR(ISNUMBER(C307),C307="N/A"),OR(ISNUMBER(D307),D307="N/A"),OR(ISNUMBER(C307),ISNUMBER(D307))),N(C307)+N(D307),"To Verify"))</f>
        <v/>
      </c>
      <c r="F307" s="11" t="str">
        <f aca="false">IF($A307="","",IFERROR(INDEX(MASTER_DATABASE!$U$4:$U$1000,MATCH($A307,MASTER_DATABASE!$A$4:$A$1000,0)),""))</f>
        <v/>
      </c>
      <c r="G307" s="12"/>
      <c r="H307" s="12"/>
      <c r="I307" s="11" t="str">
        <f aca="false">IF($A307="","",IFERROR(INDEX(MASTER_DATABASE!$V$4:$V$1000,MATCH($A307,MASTER_DATABASE!$A$4:$A$1000,0)),""))</f>
        <v/>
      </c>
      <c r="J307" s="6"/>
    </row>
    <row r="308" customFormat="false" ht="15" hidden="false" customHeight="false" outlineLevel="0" collapsed="false">
      <c r="A308" s="5"/>
      <c r="B308" s="7" t="str">
        <f aca="false">IF($A308="","",IFERROR(INDEX(MASTER_DATABASE!$E$4:$E$1000,MATCH($A308,MASTER_DATABASE!$A$4:$A$1000,0)),""))</f>
        <v/>
      </c>
      <c r="C308" s="9" t="str">
        <f aca="false">IF($A308="","",IFERROR(INDEX(MASTER_DATABASE!$R$4:$R$1000,MATCH($A308,MASTER_DATABASE!$A$4:$A$1000,0)),""))</f>
        <v/>
      </c>
      <c r="D308" s="9" t="str">
        <f aca="false">IF($A308="","",IFERROR(INDEX(MASTER_DATABASE!$S$4:$S$1000,MATCH($A308,MASTER_DATABASE!$A$4:$A$1000,0)),""))</f>
        <v/>
      </c>
      <c r="E308" s="9" t="str">
        <f aca="false">IF($A308="","",IF(AND(OR(ISNUMBER(C308),C308="N/A"),OR(ISNUMBER(D308),D308="N/A"),OR(ISNUMBER(C308),ISNUMBER(D308))),N(C308)+N(D308),"To Verify"))</f>
        <v/>
      </c>
      <c r="F308" s="11" t="str">
        <f aca="false">IF($A308="","",IFERROR(INDEX(MASTER_DATABASE!$U$4:$U$1000,MATCH($A308,MASTER_DATABASE!$A$4:$A$1000,0)),""))</f>
        <v/>
      </c>
      <c r="G308" s="12"/>
      <c r="H308" s="12"/>
      <c r="I308" s="11" t="str">
        <f aca="false">IF($A308="","",IFERROR(INDEX(MASTER_DATABASE!$V$4:$V$1000,MATCH($A308,MASTER_DATABASE!$A$4:$A$1000,0)),""))</f>
        <v/>
      </c>
      <c r="J308" s="6"/>
    </row>
    <row r="309" customFormat="false" ht="15" hidden="false" customHeight="false" outlineLevel="0" collapsed="false">
      <c r="A309" s="5"/>
      <c r="B309" s="7" t="str">
        <f aca="false">IF($A309="","",IFERROR(INDEX(MASTER_DATABASE!$E$4:$E$1000,MATCH($A309,MASTER_DATABASE!$A$4:$A$1000,0)),""))</f>
        <v/>
      </c>
      <c r="C309" s="9" t="str">
        <f aca="false">IF($A309="","",IFERROR(INDEX(MASTER_DATABASE!$R$4:$R$1000,MATCH($A309,MASTER_DATABASE!$A$4:$A$1000,0)),""))</f>
        <v/>
      </c>
      <c r="D309" s="9" t="str">
        <f aca="false">IF($A309="","",IFERROR(INDEX(MASTER_DATABASE!$S$4:$S$1000,MATCH($A309,MASTER_DATABASE!$A$4:$A$1000,0)),""))</f>
        <v/>
      </c>
      <c r="E309" s="9" t="str">
        <f aca="false">IF($A309="","",IF(AND(OR(ISNUMBER(C309),C309="N/A"),OR(ISNUMBER(D309),D309="N/A"),OR(ISNUMBER(C309),ISNUMBER(D309))),N(C309)+N(D309),"To Verify"))</f>
        <v/>
      </c>
      <c r="F309" s="11" t="str">
        <f aca="false">IF($A309="","",IFERROR(INDEX(MASTER_DATABASE!$U$4:$U$1000,MATCH($A309,MASTER_DATABASE!$A$4:$A$1000,0)),""))</f>
        <v/>
      </c>
      <c r="G309" s="12"/>
      <c r="H309" s="12"/>
      <c r="I309" s="11" t="str">
        <f aca="false">IF($A309="","",IFERROR(INDEX(MASTER_DATABASE!$V$4:$V$1000,MATCH($A309,MASTER_DATABASE!$A$4:$A$1000,0)),""))</f>
        <v/>
      </c>
      <c r="J309" s="6"/>
    </row>
    <row r="310" customFormat="false" ht="15" hidden="false" customHeight="false" outlineLevel="0" collapsed="false">
      <c r="A310" s="5"/>
      <c r="B310" s="7" t="str">
        <f aca="false">IF($A310="","",IFERROR(INDEX(MASTER_DATABASE!$E$4:$E$1000,MATCH($A310,MASTER_DATABASE!$A$4:$A$1000,0)),""))</f>
        <v/>
      </c>
      <c r="C310" s="9" t="str">
        <f aca="false">IF($A310="","",IFERROR(INDEX(MASTER_DATABASE!$R$4:$R$1000,MATCH($A310,MASTER_DATABASE!$A$4:$A$1000,0)),""))</f>
        <v/>
      </c>
      <c r="D310" s="9" t="str">
        <f aca="false">IF($A310="","",IFERROR(INDEX(MASTER_DATABASE!$S$4:$S$1000,MATCH($A310,MASTER_DATABASE!$A$4:$A$1000,0)),""))</f>
        <v/>
      </c>
      <c r="E310" s="9" t="str">
        <f aca="false">IF($A310="","",IF(AND(OR(ISNUMBER(C310),C310="N/A"),OR(ISNUMBER(D310),D310="N/A"),OR(ISNUMBER(C310),ISNUMBER(D310))),N(C310)+N(D310),"To Verify"))</f>
        <v/>
      </c>
      <c r="F310" s="11" t="str">
        <f aca="false">IF($A310="","",IFERROR(INDEX(MASTER_DATABASE!$U$4:$U$1000,MATCH($A310,MASTER_DATABASE!$A$4:$A$1000,0)),""))</f>
        <v/>
      </c>
      <c r="G310" s="12"/>
      <c r="H310" s="12"/>
      <c r="I310" s="11" t="str">
        <f aca="false">IF($A310="","",IFERROR(INDEX(MASTER_DATABASE!$V$4:$V$1000,MATCH($A310,MASTER_DATABASE!$A$4:$A$1000,0)),""))</f>
        <v/>
      </c>
      <c r="J310" s="6"/>
    </row>
    <row r="311" customFormat="false" ht="15" hidden="false" customHeight="false" outlineLevel="0" collapsed="false">
      <c r="A311" s="5"/>
      <c r="B311" s="7" t="str">
        <f aca="false">IF($A311="","",IFERROR(INDEX(MASTER_DATABASE!$E$4:$E$1000,MATCH($A311,MASTER_DATABASE!$A$4:$A$1000,0)),""))</f>
        <v/>
      </c>
      <c r="C311" s="9" t="str">
        <f aca="false">IF($A311="","",IFERROR(INDEX(MASTER_DATABASE!$R$4:$R$1000,MATCH($A311,MASTER_DATABASE!$A$4:$A$1000,0)),""))</f>
        <v/>
      </c>
      <c r="D311" s="9" t="str">
        <f aca="false">IF($A311="","",IFERROR(INDEX(MASTER_DATABASE!$S$4:$S$1000,MATCH($A311,MASTER_DATABASE!$A$4:$A$1000,0)),""))</f>
        <v/>
      </c>
      <c r="E311" s="9" t="str">
        <f aca="false">IF($A311="","",IF(AND(OR(ISNUMBER(C311),C311="N/A"),OR(ISNUMBER(D311),D311="N/A"),OR(ISNUMBER(C311),ISNUMBER(D311))),N(C311)+N(D311),"To Verify"))</f>
        <v/>
      </c>
      <c r="F311" s="11" t="str">
        <f aca="false">IF($A311="","",IFERROR(INDEX(MASTER_DATABASE!$U$4:$U$1000,MATCH($A311,MASTER_DATABASE!$A$4:$A$1000,0)),""))</f>
        <v/>
      </c>
      <c r="G311" s="12"/>
      <c r="H311" s="12"/>
      <c r="I311" s="11" t="str">
        <f aca="false">IF($A311="","",IFERROR(INDEX(MASTER_DATABASE!$V$4:$V$1000,MATCH($A311,MASTER_DATABASE!$A$4:$A$1000,0)),""))</f>
        <v/>
      </c>
      <c r="J311" s="6"/>
    </row>
    <row r="312" customFormat="false" ht="15" hidden="false" customHeight="false" outlineLevel="0" collapsed="false">
      <c r="A312" s="5"/>
      <c r="B312" s="7" t="str">
        <f aca="false">IF($A312="","",IFERROR(INDEX(MASTER_DATABASE!$E$4:$E$1000,MATCH($A312,MASTER_DATABASE!$A$4:$A$1000,0)),""))</f>
        <v/>
      </c>
      <c r="C312" s="9" t="str">
        <f aca="false">IF($A312="","",IFERROR(INDEX(MASTER_DATABASE!$R$4:$R$1000,MATCH($A312,MASTER_DATABASE!$A$4:$A$1000,0)),""))</f>
        <v/>
      </c>
      <c r="D312" s="9" t="str">
        <f aca="false">IF($A312="","",IFERROR(INDEX(MASTER_DATABASE!$S$4:$S$1000,MATCH($A312,MASTER_DATABASE!$A$4:$A$1000,0)),""))</f>
        <v/>
      </c>
      <c r="E312" s="9" t="str">
        <f aca="false">IF($A312="","",IF(AND(OR(ISNUMBER(C312),C312="N/A"),OR(ISNUMBER(D312),D312="N/A"),OR(ISNUMBER(C312),ISNUMBER(D312))),N(C312)+N(D312),"To Verify"))</f>
        <v/>
      </c>
      <c r="F312" s="11" t="str">
        <f aca="false">IF($A312="","",IFERROR(INDEX(MASTER_DATABASE!$U$4:$U$1000,MATCH($A312,MASTER_DATABASE!$A$4:$A$1000,0)),""))</f>
        <v/>
      </c>
      <c r="G312" s="12"/>
      <c r="H312" s="12"/>
      <c r="I312" s="11" t="str">
        <f aca="false">IF($A312="","",IFERROR(INDEX(MASTER_DATABASE!$V$4:$V$1000,MATCH($A312,MASTER_DATABASE!$A$4:$A$1000,0)),""))</f>
        <v/>
      </c>
      <c r="J312" s="6"/>
    </row>
    <row r="313" customFormat="false" ht="15" hidden="false" customHeight="false" outlineLevel="0" collapsed="false">
      <c r="A313" s="5"/>
      <c r="B313" s="7" t="str">
        <f aca="false">IF($A313="","",IFERROR(INDEX(MASTER_DATABASE!$E$4:$E$1000,MATCH($A313,MASTER_DATABASE!$A$4:$A$1000,0)),""))</f>
        <v/>
      </c>
      <c r="C313" s="9" t="str">
        <f aca="false">IF($A313="","",IFERROR(INDEX(MASTER_DATABASE!$R$4:$R$1000,MATCH($A313,MASTER_DATABASE!$A$4:$A$1000,0)),""))</f>
        <v/>
      </c>
      <c r="D313" s="9" t="str">
        <f aca="false">IF($A313="","",IFERROR(INDEX(MASTER_DATABASE!$S$4:$S$1000,MATCH($A313,MASTER_DATABASE!$A$4:$A$1000,0)),""))</f>
        <v/>
      </c>
      <c r="E313" s="9" t="str">
        <f aca="false">IF($A313="","",IF(AND(OR(ISNUMBER(C313),C313="N/A"),OR(ISNUMBER(D313),D313="N/A"),OR(ISNUMBER(C313),ISNUMBER(D313))),N(C313)+N(D313),"To Verify"))</f>
        <v/>
      </c>
      <c r="F313" s="11" t="str">
        <f aca="false">IF($A313="","",IFERROR(INDEX(MASTER_DATABASE!$U$4:$U$1000,MATCH($A313,MASTER_DATABASE!$A$4:$A$1000,0)),""))</f>
        <v/>
      </c>
      <c r="G313" s="12"/>
      <c r="H313" s="12"/>
      <c r="I313" s="11" t="str">
        <f aca="false">IF($A313="","",IFERROR(INDEX(MASTER_DATABASE!$V$4:$V$1000,MATCH($A313,MASTER_DATABASE!$A$4:$A$1000,0)),""))</f>
        <v/>
      </c>
      <c r="J313" s="6"/>
    </row>
    <row r="314" customFormat="false" ht="15" hidden="false" customHeight="false" outlineLevel="0" collapsed="false">
      <c r="A314" s="5"/>
      <c r="B314" s="7" t="str">
        <f aca="false">IF($A314="","",IFERROR(INDEX(MASTER_DATABASE!$E$4:$E$1000,MATCH($A314,MASTER_DATABASE!$A$4:$A$1000,0)),""))</f>
        <v/>
      </c>
      <c r="C314" s="9" t="str">
        <f aca="false">IF($A314="","",IFERROR(INDEX(MASTER_DATABASE!$R$4:$R$1000,MATCH($A314,MASTER_DATABASE!$A$4:$A$1000,0)),""))</f>
        <v/>
      </c>
      <c r="D314" s="9" t="str">
        <f aca="false">IF($A314="","",IFERROR(INDEX(MASTER_DATABASE!$S$4:$S$1000,MATCH($A314,MASTER_DATABASE!$A$4:$A$1000,0)),""))</f>
        <v/>
      </c>
      <c r="E314" s="9" t="str">
        <f aca="false">IF($A314="","",IF(AND(OR(ISNUMBER(C314),C314="N/A"),OR(ISNUMBER(D314),D314="N/A"),OR(ISNUMBER(C314),ISNUMBER(D314))),N(C314)+N(D314),"To Verify"))</f>
        <v/>
      </c>
      <c r="F314" s="11" t="str">
        <f aca="false">IF($A314="","",IFERROR(INDEX(MASTER_DATABASE!$U$4:$U$1000,MATCH($A314,MASTER_DATABASE!$A$4:$A$1000,0)),""))</f>
        <v/>
      </c>
      <c r="G314" s="12"/>
      <c r="H314" s="12"/>
      <c r="I314" s="11" t="str">
        <f aca="false">IF($A314="","",IFERROR(INDEX(MASTER_DATABASE!$V$4:$V$1000,MATCH($A314,MASTER_DATABASE!$A$4:$A$1000,0)),""))</f>
        <v/>
      </c>
      <c r="J314" s="6"/>
    </row>
    <row r="315" customFormat="false" ht="15" hidden="false" customHeight="false" outlineLevel="0" collapsed="false">
      <c r="A315" s="5"/>
      <c r="B315" s="7" t="str">
        <f aca="false">IF($A315="","",IFERROR(INDEX(MASTER_DATABASE!$E$4:$E$1000,MATCH($A315,MASTER_DATABASE!$A$4:$A$1000,0)),""))</f>
        <v/>
      </c>
      <c r="C315" s="9" t="str">
        <f aca="false">IF($A315="","",IFERROR(INDEX(MASTER_DATABASE!$R$4:$R$1000,MATCH($A315,MASTER_DATABASE!$A$4:$A$1000,0)),""))</f>
        <v/>
      </c>
      <c r="D315" s="9" t="str">
        <f aca="false">IF($A315="","",IFERROR(INDEX(MASTER_DATABASE!$S$4:$S$1000,MATCH($A315,MASTER_DATABASE!$A$4:$A$1000,0)),""))</f>
        <v/>
      </c>
      <c r="E315" s="9" t="str">
        <f aca="false">IF($A315="","",IF(AND(OR(ISNUMBER(C315),C315="N/A"),OR(ISNUMBER(D315),D315="N/A"),OR(ISNUMBER(C315),ISNUMBER(D315))),N(C315)+N(D315),"To Verify"))</f>
        <v/>
      </c>
      <c r="F315" s="11" t="str">
        <f aca="false">IF($A315="","",IFERROR(INDEX(MASTER_DATABASE!$U$4:$U$1000,MATCH($A315,MASTER_DATABASE!$A$4:$A$1000,0)),""))</f>
        <v/>
      </c>
      <c r="G315" s="12"/>
      <c r="H315" s="12"/>
      <c r="I315" s="11" t="str">
        <f aca="false">IF($A315="","",IFERROR(INDEX(MASTER_DATABASE!$V$4:$V$1000,MATCH($A315,MASTER_DATABASE!$A$4:$A$1000,0)),""))</f>
        <v/>
      </c>
      <c r="J315" s="6"/>
    </row>
    <row r="316" customFormat="false" ht="15" hidden="false" customHeight="false" outlineLevel="0" collapsed="false">
      <c r="A316" s="5"/>
      <c r="B316" s="7" t="str">
        <f aca="false">IF($A316="","",IFERROR(INDEX(MASTER_DATABASE!$E$4:$E$1000,MATCH($A316,MASTER_DATABASE!$A$4:$A$1000,0)),""))</f>
        <v/>
      </c>
      <c r="C316" s="9" t="str">
        <f aca="false">IF($A316="","",IFERROR(INDEX(MASTER_DATABASE!$R$4:$R$1000,MATCH($A316,MASTER_DATABASE!$A$4:$A$1000,0)),""))</f>
        <v/>
      </c>
      <c r="D316" s="9" t="str">
        <f aca="false">IF($A316="","",IFERROR(INDEX(MASTER_DATABASE!$S$4:$S$1000,MATCH($A316,MASTER_DATABASE!$A$4:$A$1000,0)),""))</f>
        <v/>
      </c>
      <c r="E316" s="9" t="str">
        <f aca="false">IF($A316="","",IF(AND(OR(ISNUMBER(C316),C316="N/A"),OR(ISNUMBER(D316),D316="N/A"),OR(ISNUMBER(C316),ISNUMBER(D316))),N(C316)+N(D316),"To Verify"))</f>
        <v/>
      </c>
      <c r="F316" s="11" t="str">
        <f aca="false">IF($A316="","",IFERROR(INDEX(MASTER_DATABASE!$U$4:$U$1000,MATCH($A316,MASTER_DATABASE!$A$4:$A$1000,0)),""))</f>
        <v/>
      </c>
      <c r="G316" s="12"/>
      <c r="H316" s="12"/>
      <c r="I316" s="11" t="str">
        <f aca="false">IF($A316="","",IFERROR(INDEX(MASTER_DATABASE!$V$4:$V$1000,MATCH($A316,MASTER_DATABASE!$A$4:$A$1000,0)),""))</f>
        <v/>
      </c>
      <c r="J316" s="6"/>
    </row>
    <row r="317" customFormat="false" ht="15" hidden="false" customHeight="false" outlineLevel="0" collapsed="false">
      <c r="A317" s="5"/>
      <c r="B317" s="7" t="str">
        <f aca="false">IF($A317="","",IFERROR(INDEX(MASTER_DATABASE!$E$4:$E$1000,MATCH($A317,MASTER_DATABASE!$A$4:$A$1000,0)),""))</f>
        <v/>
      </c>
      <c r="C317" s="9" t="str">
        <f aca="false">IF($A317="","",IFERROR(INDEX(MASTER_DATABASE!$R$4:$R$1000,MATCH($A317,MASTER_DATABASE!$A$4:$A$1000,0)),""))</f>
        <v/>
      </c>
      <c r="D317" s="9" t="str">
        <f aca="false">IF($A317="","",IFERROR(INDEX(MASTER_DATABASE!$S$4:$S$1000,MATCH($A317,MASTER_DATABASE!$A$4:$A$1000,0)),""))</f>
        <v/>
      </c>
      <c r="E317" s="9" t="str">
        <f aca="false">IF($A317="","",IF(AND(OR(ISNUMBER(C317),C317="N/A"),OR(ISNUMBER(D317),D317="N/A"),OR(ISNUMBER(C317),ISNUMBER(D317))),N(C317)+N(D317),"To Verify"))</f>
        <v/>
      </c>
      <c r="F317" s="11" t="str">
        <f aca="false">IF($A317="","",IFERROR(INDEX(MASTER_DATABASE!$U$4:$U$1000,MATCH($A317,MASTER_DATABASE!$A$4:$A$1000,0)),""))</f>
        <v/>
      </c>
      <c r="G317" s="12"/>
      <c r="H317" s="12"/>
      <c r="I317" s="11" t="str">
        <f aca="false">IF($A317="","",IFERROR(INDEX(MASTER_DATABASE!$V$4:$V$1000,MATCH($A317,MASTER_DATABASE!$A$4:$A$1000,0)),""))</f>
        <v/>
      </c>
      <c r="J317" s="6"/>
    </row>
    <row r="318" customFormat="false" ht="15" hidden="false" customHeight="false" outlineLevel="0" collapsed="false">
      <c r="A318" s="5"/>
      <c r="B318" s="7" t="str">
        <f aca="false">IF($A318="","",IFERROR(INDEX(MASTER_DATABASE!$E$4:$E$1000,MATCH($A318,MASTER_DATABASE!$A$4:$A$1000,0)),""))</f>
        <v/>
      </c>
      <c r="C318" s="9" t="str">
        <f aca="false">IF($A318="","",IFERROR(INDEX(MASTER_DATABASE!$R$4:$R$1000,MATCH($A318,MASTER_DATABASE!$A$4:$A$1000,0)),""))</f>
        <v/>
      </c>
      <c r="D318" s="9" t="str">
        <f aca="false">IF($A318="","",IFERROR(INDEX(MASTER_DATABASE!$S$4:$S$1000,MATCH($A318,MASTER_DATABASE!$A$4:$A$1000,0)),""))</f>
        <v/>
      </c>
      <c r="E318" s="9" t="str">
        <f aca="false">IF($A318="","",IF(AND(OR(ISNUMBER(C318),C318="N/A"),OR(ISNUMBER(D318),D318="N/A"),OR(ISNUMBER(C318),ISNUMBER(D318))),N(C318)+N(D318),"To Verify"))</f>
        <v/>
      </c>
      <c r="F318" s="11" t="str">
        <f aca="false">IF($A318="","",IFERROR(INDEX(MASTER_DATABASE!$U$4:$U$1000,MATCH($A318,MASTER_DATABASE!$A$4:$A$1000,0)),""))</f>
        <v/>
      </c>
      <c r="G318" s="12"/>
      <c r="H318" s="12"/>
      <c r="I318" s="11" t="str">
        <f aca="false">IF($A318="","",IFERROR(INDEX(MASTER_DATABASE!$V$4:$V$1000,MATCH($A318,MASTER_DATABASE!$A$4:$A$1000,0)),""))</f>
        <v/>
      </c>
      <c r="J318" s="6"/>
    </row>
    <row r="319" customFormat="false" ht="15" hidden="false" customHeight="false" outlineLevel="0" collapsed="false">
      <c r="A319" s="5"/>
      <c r="B319" s="7" t="str">
        <f aca="false">IF($A319="","",IFERROR(INDEX(MASTER_DATABASE!$E$4:$E$1000,MATCH($A319,MASTER_DATABASE!$A$4:$A$1000,0)),""))</f>
        <v/>
      </c>
      <c r="C319" s="9" t="str">
        <f aca="false">IF($A319="","",IFERROR(INDEX(MASTER_DATABASE!$R$4:$R$1000,MATCH($A319,MASTER_DATABASE!$A$4:$A$1000,0)),""))</f>
        <v/>
      </c>
      <c r="D319" s="9" t="str">
        <f aca="false">IF($A319="","",IFERROR(INDEX(MASTER_DATABASE!$S$4:$S$1000,MATCH($A319,MASTER_DATABASE!$A$4:$A$1000,0)),""))</f>
        <v/>
      </c>
      <c r="E319" s="9" t="str">
        <f aca="false">IF($A319="","",IF(AND(OR(ISNUMBER(C319),C319="N/A"),OR(ISNUMBER(D319),D319="N/A"),OR(ISNUMBER(C319),ISNUMBER(D319))),N(C319)+N(D319),"To Verify"))</f>
        <v/>
      </c>
      <c r="F319" s="11" t="str">
        <f aca="false">IF($A319="","",IFERROR(INDEX(MASTER_DATABASE!$U$4:$U$1000,MATCH($A319,MASTER_DATABASE!$A$4:$A$1000,0)),""))</f>
        <v/>
      </c>
      <c r="G319" s="12"/>
      <c r="H319" s="12"/>
      <c r="I319" s="11" t="str">
        <f aca="false">IF($A319="","",IFERROR(INDEX(MASTER_DATABASE!$V$4:$V$1000,MATCH($A319,MASTER_DATABASE!$A$4:$A$1000,0)),""))</f>
        <v/>
      </c>
      <c r="J319" s="6"/>
    </row>
    <row r="320" customFormat="false" ht="15" hidden="false" customHeight="false" outlineLevel="0" collapsed="false">
      <c r="A320" s="5"/>
      <c r="B320" s="7" t="str">
        <f aca="false">IF($A320="","",IFERROR(INDEX(MASTER_DATABASE!$E$4:$E$1000,MATCH($A320,MASTER_DATABASE!$A$4:$A$1000,0)),""))</f>
        <v/>
      </c>
      <c r="C320" s="9" t="str">
        <f aca="false">IF($A320="","",IFERROR(INDEX(MASTER_DATABASE!$R$4:$R$1000,MATCH($A320,MASTER_DATABASE!$A$4:$A$1000,0)),""))</f>
        <v/>
      </c>
      <c r="D320" s="9" t="str">
        <f aca="false">IF($A320="","",IFERROR(INDEX(MASTER_DATABASE!$S$4:$S$1000,MATCH($A320,MASTER_DATABASE!$A$4:$A$1000,0)),""))</f>
        <v/>
      </c>
      <c r="E320" s="9" t="str">
        <f aca="false">IF($A320="","",IF(AND(OR(ISNUMBER(C320),C320="N/A"),OR(ISNUMBER(D320),D320="N/A"),OR(ISNUMBER(C320),ISNUMBER(D320))),N(C320)+N(D320),"To Verify"))</f>
        <v/>
      </c>
      <c r="F320" s="11" t="str">
        <f aca="false">IF($A320="","",IFERROR(INDEX(MASTER_DATABASE!$U$4:$U$1000,MATCH($A320,MASTER_DATABASE!$A$4:$A$1000,0)),""))</f>
        <v/>
      </c>
      <c r="G320" s="12"/>
      <c r="H320" s="12"/>
      <c r="I320" s="11" t="str">
        <f aca="false">IF($A320="","",IFERROR(INDEX(MASTER_DATABASE!$V$4:$V$1000,MATCH($A320,MASTER_DATABASE!$A$4:$A$1000,0)),""))</f>
        <v/>
      </c>
      <c r="J320" s="6"/>
    </row>
    <row r="321" customFormat="false" ht="15" hidden="false" customHeight="false" outlineLevel="0" collapsed="false">
      <c r="A321" s="5"/>
      <c r="B321" s="7" t="str">
        <f aca="false">IF($A321="","",IFERROR(INDEX(MASTER_DATABASE!$E$4:$E$1000,MATCH($A321,MASTER_DATABASE!$A$4:$A$1000,0)),""))</f>
        <v/>
      </c>
      <c r="C321" s="9" t="str">
        <f aca="false">IF($A321="","",IFERROR(INDEX(MASTER_DATABASE!$R$4:$R$1000,MATCH($A321,MASTER_DATABASE!$A$4:$A$1000,0)),""))</f>
        <v/>
      </c>
      <c r="D321" s="9" t="str">
        <f aca="false">IF($A321="","",IFERROR(INDEX(MASTER_DATABASE!$S$4:$S$1000,MATCH($A321,MASTER_DATABASE!$A$4:$A$1000,0)),""))</f>
        <v/>
      </c>
      <c r="E321" s="9" t="str">
        <f aca="false">IF($A321="","",IF(AND(OR(ISNUMBER(C321),C321="N/A"),OR(ISNUMBER(D321),D321="N/A"),OR(ISNUMBER(C321),ISNUMBER(D321))),N(C321)+N(D321),"To Verify"))</f>
        <v/>
      </c>
      <c r="F321" s="11" t="str">
        <f aca="false">IF($A321="","",IFERROR(INDEX(MASTER_DATABASE!$U$4:$U$1000,MATCH($A321,MASTER_DATABASE!$A$4:$A$1000,0)),""))</f>
        <v/>
      </c>
      <c r="G321" s="12"/>
      <c r="H321" s="12"/>
      <c r="I321" s="11" t="str">
        <f aca="false">IF($A321="","",IFERROR(INDEX(MASTER_DATABASE!$V$4:$V$1000,MATCH($A321,MASTER_DATABASE!$A$4:$A$1000,0)),""))</f>
        <v/>
      </c>
      <c r="J321" s="6"/>
    </row>
    <row r="322" customFormat="false" ht="15" hidden="false" customHeight="false" outlineLevel="0" collapsed="false">
      <c r="A322" s="5"/>
      <c r="B322" s="7" t="str">
        <f aca="false">IF($A322="","",IFERROR(INDEX(MASTER_DATABASE!$E$4:$E$1000,MATCH($A322,MASTER_DATABASE!$A$4:$A$1000,0)),""))</f>
        <v/>
      </c>
      <c r="C322" s="9" t="str">
        <f aca="false">IF($A322="","",IFERROR(INDEX(MASTER_DATABASE!$R$4:$R$1000,MATCH($A322,MASTER_DATABASE!$A$4:$A$1000,0)),""))</f>
        <v/>
      </c>
      <c r="D322" s="9" t="str">
        <f aca="false">IF($A322="","",IFERROR(INDEX(MASTER_DATABASE!$S$4:$S$1000,MATCH($A322,MASTER_DATABASE!$A$4:$A$1000,0)),""))</f>
        <v/>
      </c>
      <c r="E322" s="9" t="str">
        <f aca="false">IF($A322="","",IF(AND(OR(ISNUMBER(C322),C322="N/A"),OR(ISNUMBER(D322),D322="N/A"),OR(ISNUMBER(C322),ISNUMBER(D322))),N(C322)+N(D322),"To Verify"))</f>
        <v/>
      </c>
      <c r="F322" s="11" t="str">
        <f aca="false">IF($A322="","",IFERROR(INDEX(MASTER_DATABASE!$U$4:$U$1000,MATCH($A322,MASTER_DATABASE!$A$4:$A$1000,0)),""))</f>
        <v/>
      </c>
      <c r="G322" s="12"/>
      <c r="H322" s="12"/>
      <c r="I322" s="11" t="str">
        <f aca="false">IF($A322="","",IFERROR(INDEX(MASTER_DATABASE!$V$4:$V$1000,MATCH($A322,MASTER_DATABASE!$A$4:$A$1000,0)),""))</f>
        <v/>
      </c>
      <c r="J322" s="6"/>
    </row>
    <row r="323" customFormat="false" ht="15" hidden="false" customHeight="false" outlineLevel="0" collapsed="false">
      <c r="A323" s="5"/>
      <c r="B323" s="7" t="str">
        <f aca="false">IF($A323="","",IFERROR(INDEX(MASTER_DATABASE!$E$4:$E$1000,MATCH($A323,MASTER_DATABASE!$A$4:$A$1000,0)),""))</f>
        <v/>
      </c>
      <c r="C323" s="9" t="str">
        <f aca="false">IF($A323="","",IFERROR(INDEX(MASTER_DATABASE!$R$4:$R$1000,MATCH($A323,MASTER_DATABASE!$A$4:$A$1000,0)),""))</f>
        <v/>
      </c>
      <c r="D323" s="9" t="str">
        <f aca="false">IF($A323="","",IFERROR(INDEX(MASTER_DATABASE!$S$4:$S$1000,MATCH($A323,MASTER_DATABASE!$A$4:$A$1000,0)),""))</f>
        <v/>
      </c>
      <c r="E323" s="9" t="str">
        <f aca="false">IF($A323="","",IF(AND(OR(ISNUMBER(C323),C323="N/A"),OR(ISNUMBER(D323),D323="N/A"),OR(ISNUMBER(C323),ISNUMBER(D323))),N(C323)+N(D323),"To Verify"))</f>
        <v/>
      </c>
      <c r="F323" s="11" t="str">
        <f aca="false">IF($A323="","",IFERROR(INDEX(MASTER_DATABASE!$U$4:$U$1000,MATCH($A323,MASTER_DATABASE!$A$4:$A$1000,0)),""))</f>
        <v/>
      </c>
      <c r="G323" s="12"/>
      <c r="H323" s="12"/>
      <c r="I323" s="11" t="str">
        <f aca="false">IF($A323="","",IFERROR(INDEX(MASTER_DATABASE!$V$4:$V$1000,MATCH($A323,MASTER_DATABASE!$A$4:$A$1000,0)),""))</f>
        <v/>
      </c>
      <c r="J323" s="6"/>
    </row>
    <row r="324" customFormat="false" ht="15" hidden="false" customHeight="false" outlineLevel="0" collapsed="false">
      <c r="A324" s="5"/>
      <c r="B324" s="7" t="str">
        <f aca="false">IF($A324="","",IFERROR(INDEX(MASTER_DATABASE!$E$4:$E$1000,MATCH($A324,MASTER_DATABASE!$A$4:$A$1000,0)),""))</f>
        <v/>
      </c>
      <c r="C324" s="9" t="str">
        <f aca="false">IF($A324="","",IFERROR(INDEX(MASTER_DATABASE!$R$4:$R$1000,MATCH($A324,MASTER_DATABASE!$A$4:$A$1000,0)),""))</f>
        <v/>
      </c>
      <c r="D324" s="9" t="str">
        <f aca="false">IF($A324="","",IFERROR(INDEX(MASTER_DATABASE!$S$4:$S$1000,MATCH($A324,MASTER_DATABASE!$A$4:$A$1000,0)),""))</f>
        <v/>
      </c>
      <c r="E324" s="9" t="str">
        <f aca="false">IF($A324="","",IF(AND(OR(ISNUMBER(C324),C324="N/A"),OR(ISNUMBER(D324),D324="N/A"),OR(ISNUMBER(C324),ISNUMBER(D324))),N(C324)+N(D324),"To Verify"))</f>
        <v/>
      </c>
      <c r="F324" s="11" t="str">
        <f aca="false">IF($A324="","",IFERROR(INDEX(MASTER_DATABASE!$U$4:$U$1000,MATCH($A324,MASTER_DATABASE!$A$4:$A$1000,0)),""))</f>
        <v/>
      </c>
      <c r="G324" s="12"/>
      <c r="H324" s="12"/>
      <c r="I324" s="11" t="str">
        <f aca="false">IF($A324="","",IFERROR(INDEX(MASTER_DATABASE!$V$4:$V$1000,MATCH($A324,MASTER_DATABASE!$A$4:$A$1000,0)),""))</f>
        <v/>
      </c>
      <c r="J324" s="6"/>
    </row>
    <row r="325" customFormat="false" ht="15" hidden="false" customHeight="false" outlineLevel="0" collapsed="false">
      <c r="A325" s="5"/>
      <c r="B325" s="7" t="str">
        <f aca="false">IF($A325="","",IFERROR(INDEX(MASTER_DATABASE!$E$4:$E$1000,MATCH($A325,MASTER_DATABASE!$A$4:$A$1000,0)),""))</f>
        <v/>
      </c>
      <c r="C325" s="9" t="str">
        <f aca="false">IF($A325="","",IFERROR(INDEX(MASTER_DATABASE!$R$4:$R$1000,MATCH($A325,MASTER_DATABASE!$A$4:$A$1000,0)),""))</f>
        <v/>
      </c>
      <c r="D325" s="9" t="str">
        <f aca="false">IF($A325="","",IFERROR(INDEX(MASTER_DATABASE!$S$4:$S$1000,MATCH($A325,MASTER_DATABASE!$A$4:$A$1000,0)),""))</f>
        <v/>
      </c>
      <c r="E325" s="9" t="str">
        <f aca="false">IF($A325="","",IF(AND(OR(ISNUMBER(C325),C325="N/A"),OR(ISNUMBER(D325),D325="N/A"),OR(ISNUMBER(C325),ISNUMBER(D325))),N(C325)+N(D325),"To Verify"))</f>
        <v/>
      </c>
      <c r="F325" s="11" t="str">
        <f aca="false">IF($A325="","",IFERROR(INDEX(MASTER_DATABASE!$U$4:$U$1000,MATCH($A325,MASTER_DATABASE!$A$4:$A$1000,0)),""))</f>
        <v/>
      </c>
      <c r="G325" s="12"/>
      <c r="H325" s="12"/>
      <c r="I325" s="11" t="str">
        <f aca="false">IF($A325="","",IFERROR(INDEX(MASTER_DATABASE!$V$4:$V$1000,MATCH($A325,MASTER_DATABASE!$A$4:$A$1000,0)),""))</f>
        <v/>
      </c>
      <c r="J325" s="6"/>
    </row>
    <row r="326" customFormat="false" ht="15" hidden="false" customHeight="false" outlineLevel="0" collapsed="false">
      <c r="A326" s="5"/>
      <c r="B326" s="7" t="str">
        <f aca="false">IF($A326="","",IFERROR(INDEX(MASTER_DATABASE!$E$4:$E$1000,MATCH($A326,MASTER_DATABASE!$A$4:$A$1000,0)),""))</f>
        <v/>
      </c>
      <c r="C326" s="9" t="str">
        <f aca="false">IF($A326="","",IFERROR(INDEX(MASTER_DATABASE!$R$4:$R$1000,MATCH($A326,MASTER_DATABASE!$A$4:$A$1000,0)),""))</f>
        <v/>
      </c>
      <c r="D326" s="9" t="str">
        <f aca="false">IF($A326="","",IFERROR(INDEX(MASTER_DATABASE!$S$4:$S$1000,MATCH($A326,MASTER_DATABASE!$A$4:$A$1000,0)),""))</f>
        <v/>
      </c>
      <c r="E326" s="9" t="str">
        <f aca="false">IF($A326="","",IF(AND(OR(ISNUMBER(C326),C326="N/A"),OR(ISNUMBER(D326),D326="N/A"),OR(ISNUMBER(C326),ISNUMBER(D326))),N(C326)+N(D326),"To Verify"))</f>
        <v/>
      </c>
      <c r="F326" s="11" t="str">
        <f aca="false">IF($A326="","",IFERROR(INDEX(MASTER_DATABASE!$U$4:$U$1000,MATCH($A326,MASTER_DATABASE!$A$4:$A$1000,0)),""))</f>
        <v/>
      </c>
      <c r="G326" s="12"/>
      <c r="H326" s="12"/>
      <c r="I326" s="11" t="str">
        <f aca="false">IF($A326="","",IFERROR(INDEX(MASTER_DATABASE!$V$4:$V$1000,MATCH($A326,MASTER_DATABASE!$A$4:$A$1000,0)),""))</f>
        <v/>
      </c>
      <c r="J326" s="6"/>
    </row>
    <row r="327" customFormat="false" ht="15" hidden="false" customHeight="false" outlineLevel="0" collapsed="false">
      <c r="A327" s="5"/>
      <c r="B327" s="7" t="str">
        <f aca="false">IF($A327="","",IFERROR(INDEX(MASTER_DATABASE!$E$4:$E$1000,MATCH($A327,MASTER_DATABASE!$A$4:$A$1000,0)),""))</f>
        <v/>
      </c>
      <c r="C327" s="9" t="str">
        <f aca="false">IF($A327="","",IFERROR(INDEX(MASTER_DATABASE!$R$4:$R$1000,MATCH($A327,MASTER_DATABASE!$A$4:$A$1000,0)),""))</f>
        <v/>
      </c>
      <c r="D327" s="9" t="str">
        <f aca="false">IF($A327="","",IFERROR(INDEX(MASTER_DATABASE!$S$4:$S$1000,MATCH($A327,MASTER_DATABASE!$A$4:$A$1000,0)),""))</f>
        <v/>
      </c>
      <c r="E327" s="9" t="str">
        <f aca="false">IF($A327="","",IF(AND(OR(ISNUMBER(C327),C327="N/A"),OR(ISNUMBER(D327),D327="N/A"),OR(ISNUMBER(C327),ISNUMBER(D327))),N(C327)+N(D327),"To Verify"))</f>
        <v/>
      </c>
      <c r="F327" s="11" t="str">
        <f aca="false">IF($A327="","",IFERROR(INDEX(MASTER_DATABASE!$U$4:$U$1000,MATCH($A327,MASTER_DATABASE!$A$4:$A$1000,0)),""))</f>
        <v/>
      </c>
      <c r="G327" s="12"/>
      <c r="H327" s="12"/>
      <c r="I327" s="11" t="str">
        <f aca="false">IF($A327="","",IFERROR(INDEX(MASTER_DATABASE!$V$4:$V$1000,MATCH($A327,MASTER_DATABASE!$A$4:$A$1000,0)),""))</f>
        <v/>
      </c>
      <c r="J327" s="6"/>
    </row>
    <row r="328" customFormat="false" ht="15" hidden="false" customHeight="false" outlineLevel="0" collapsed="false">
      <c r="A328" s="5"/>
      <c r="B328" s="7" t="str">
        <f aca="false">IF($A328="","",IFERROR(INDEX(MASTER_DATABASE!$E$4:$E$1000,MATCH($A328,MASTER_DATABASE!$A$4:$A$1000,0)),""))</f>
        <v/>
      </c>
      <c r="C328" s="9" t="str">
        <f aca="false">IF($A328="","",IFERROR(INDEX(MASTER_DATABASE!$R$4:$R$1000,MATCH($A328,MASTER_DATABASE!$A$4:$A$1000,0)),""))</f>
        <v/>
      </c>
      <c r="D328" s="9" t="str">
        <f aca="false">IF($A328="","",IFERROR(INDEX(MASTER_DATABASE!$S$4:$S$1000,MATCH($A328,MASTER_DATABASE!$A$4:$A$1000,0)),""))</f>
        <v/>
      </c>
      <c r="E328" s="9" t="str">
        <f aca="false">IF($A328="","",IF(AND(OR(ISNUMBER(C328),C328="N/A"),OR(ISNUMBER(D328),D328="N/A"),OR(ISNUMBER(C328),ISNUMBER(D328))),N(C328)+N(D328),"To Verify"))</f>
        <v/>
      </c>
      <c r="F328" s="11" t="str">
        <f aca="false">IF($A328="","",IFERROR(INDEX(MASTER_DATABASE!$U$4:$U$1000,MATCH($A328,MASTER_DATABASE!$A$4:$A$1000,0)),""))</f>
        <v/>
      </c>
      <c r="G328" s="12"/>
      <c r="H328" s="12"/>
      <c r="I328" s="11" t="str">
        <f aca="false">IF($A328="","",IFERROR(INDEX(MASTER_DATABASE!$V$4:$V$1000,MATCH($A328,MASTER_DATABASE!$A$4:$A$1000,0)),""))</f>
        <v/>
      </c>
      <c r="J328" s="6"/>
    </row>
    <row r="329" customFormat="false" ht="15" hidden="false" customHeight="false" outlineLevel="0" collapsed="false">
      <c r="A329" s="5"/>
      <c r="B329" s="7" t="str">
        <f aca="false">IF($A329="","",IFERROR(INDEX(MASTER_DATABASE!$E$4:$E$1000,MATCH($A329,MASTER_DATABASE!$A$4:$A$1000,0)),""))</f>
        <v/>
      </c>
      <c r="C329" s="9" t="str">
        <f aca="false">IF($A329="","",IFERROR(INDEX(MASTER_DATABASE!$R$4:$R$1000,MATCH($A329,MASTER_DATABASE!$A$4:$A$1000,0)),""))</f>
        <v/>
      </c>
      <c r="D329" s="9" t="str">
        <f aca="false">IF($A329="","",IFERROR(INDEX(MASTER_DATABASE!$S$4:$S$1000,MATCH($A329,MASTER_DATABASE!$A$4:$A$1000,0)),""))</f>
        <v/>
      </c>
      <c r="E329" s="9" t="str">
        <f aca="false">IF($A329="","",IF(AND(OR(ISNUMBER(C329),C329="N/A"),OR(ISNUMBER(D329),D329="N/A"),OR(ISNUMBER(C329),ISNUMBER(D329))),N(C329)+N(D329),"To Verify"))</f>
        <v/>
      </c>
      <c r="F329" s="11" t="str">
        <f aca="false">IF($A329="","",IFERROR(INDEX(MASTER_DATABASE!$U$4:$U$1000,MATCH($A329,MASTER_DATABASE!$A$4:$A$1000,0)),""))</f>
        <v/>
      </c>
      <c r="G329" s="12"/>
      <c r="H329" s="12"/>
      <c r="I329" s="11" t="str">
        <f aca="false">IF($A329="","",IFERROR(INDEX(MASTER_DATABASE!$V$4:$V$1000,MATCH($A329,MASTER_DATABASE!$A$4:$A$1000,0)),""))</f>
        <v/>
      </c>
      <c r="J329" s="6"/>
    </row>
    <row r="330" customFormat="false" ht="15" hidden="false" customHeight="false" outlineLevel="0" collapsed="false">
      <c r="A330" s="5"/>
      <c r="B330" s="7" t="str">
        <f aca="false">IF($A330="","",IFERROR(INDEX(MASTER_DATABASE!$E$4:$E$1000,MATCH($A330,MASTER_DATABASE!$A$4:$A$1000,0)),""))</f>
        <v/>
      </c>
      <c r="C330" s="9" t="str">
        <f aca="false">IF($A330="","",IFERROR(INDEX(MASTER_DATABASE!$R$4:$R$1000,MATCH($A330,MASTER_DATABASE!$A$4:$A$1000,0)),""))</f>
        <v/>
      </c>
      <c r="D330" s="9" t="str">
        <f aca="false">IF($A330="","",IFERROR(INDEX(MASTER_DATABASE!$S$4:$S$1000,MATCH($A330,MASTER_DATABASE!$A$4:$A$1000,0)),""))</f>
        <v/>
      </c>
      <c r="E330" s="9" t="str">
        <f aca="false">IF($A330="","",IF(AND(OR(ISNUMBER(C330),C330="N/A"),OR(ISNUMBER(D330),D330="N/A"),OR(ISNUMBER(C330),ISNUMBER(D330))),N(C330)+N(D330),"To Verify"))</f>
        <v/>
      </c>
      <c r="F330" s="11" t="str">
        <f aca="false">IF($A330="","",IFERROR(INDEX(MASTER_DATABASE!$U$4:$U$1000,MATCH($A330,MASTER_DATABASE!$A$4:$A$1000,0)),""))</f>
        <v/>
      </c>
      <c r="G330" s="12"/>
      <c r="H330" s="12"/>
      <c r="I330" s="11" t="str">
        <f aca="false">IF($A330="","",IFERROR(INDEX(MASTER_DATABASE!$V$4:$V$1000,MATCH($A330,MASTER_DATABASE!$A$4:$A$1000,0)),""))</f>
        <v/>
      </c>
      <c r="J330" s="6"/>
    </row>
    <row r="331" customFormat="false" ht="15" hidden="false" customHeight="false" outlineLevel="0" collapsed="false">
      <c r="A331" s="5"/>
      <c r="B331" s="7" t="str">
        <f aca="false">IF($A331="","",IFERROR(INDEX(MASTER_DATABASE!$E$4:$E$1000,MATCH($A331,MASTER_DATABASE!$A$4:$A$1000,0)),""))</f>
        <v/>
      </c>
      <c r="C331" s="9" t="str">
        <f aca="false">IF($A331="","",IFERROR(INDEX(MASTER_DATABASE!$R$4:$R$1000,MATCH($A331,MASTER_DATABASE!$A$4:$A$1000,0)),""))</f>
        <v/>
      </c>
      <c r="D331" s="9" t="str">
        <f aca="false">IF($A331="","",IFERROR(INDEX(MASTER_DATABASE!$S$4:$S$1000,MATCH($A331,MASTER_DATABASE!$A$4:$A$1000,0)),""))</f>
        <v/>
      </c>
      <c r="E331" s="9" t="str">
        <f aca="false">IF($A331="","",IF(AND(OR(ISNUMBER(C331),C331="N/A"),OR(ISNUMBER(D331),D331="N/A"),OR(ISNUMBER(C331),ISNUMBER(D331))),N(C331)+N(D331),"To Verify"))</f>
        <v/>
      </c>
      <c r="F331" s="11" t="str">
        <f aca="false">IF($A331="","",IFERROR(INDEX(MASTER_DATABASE!$U$4:$U$1000,MATCH($A331,MASTER_DATABASE!$A$4:$A$1000,0)),""))</f>
        <v/>
      </c>
      <c r="G331" s="12"/>
      <c r="H331" s="12"/>
      <c r="I331" s="11" t="str">
        <f aca="false">IF($A331="","",IFERROR(INDEX(MASTER_DATABASE!$V$4:$V$1000,MATCH($A331,MASTER_DATABASE!$A$4:$A$1000,0)),""))</f>
        <v/>
      </c>
      <c r="J331" s="6"/>
    </row>
    <row r="332" customFormat="false" ht="15" hidden="false" customHeight="false" outlineLevel="0" collapsed="false">
      <c r="A332" s="5"/>
      <c r="B332" s="7" t="str">
        <f aca="false">IF($A332="","",IFERROR(INDEX(MASTER_DATABASE!$E$4:$E$1000,MATCH($A332,MASTER_DATABASE!$A$4:$A$1000,0)),""))</f>
        <v/>
      </c>
      <c r="C332" s="9" t="str">
        <f aca="false">IF($A332="","",IFERROR(INDEX(MASTER_DATABASE!$R$4:$R$1000,MATCH($A332,MASTER_DATABASE!$A$4:$A$1000,0)),""))</f>
        <v/>
      </c>
      <c r="D332" s="9" t="str">
        <f aca="false">IF($A332="","",IFERROR(INDEX(MASTER_DATABASE!$S$4:$S$1000,MATCH($A332,MASTER_DATABASE!$A$4:$A$1000,0)),""))</f>
        <v/>
      </c>
      <c r="E332" s="9" t="str">
        <f aca="false">IF($A332="","",IF(AND(OR(ISNUMBER(C332),C332="N/A"),OR(ISNUMBER(D332),D332="N/A"),OR(ISNUMBER(C332),ISNUMBER(D332))),N(C332)+N(D332),"To Verify"))</f>
        <v/>
      </c>
      <c r="F332" s="11" t="str">
        <f aca="false">IF($A332="","",IFERROR(INDEX(MASTER_DATABASE!$U$4:$U$1000,MATCH($A332,MASTER_DATABASE!$A$4:$A$1000,0)),""))</f>
        <v/>
      </c>
      <c r="G332" s="12"/>
      <c r="H332" s="12"/>
      <c r="I332" s="11" t="str">
        <f aca="false">IF($A332="","",IFERROR(INDEX(MASTER_DATABASE!$V$4:$V$1000,MATCH($A332,MASTER_DATABASE!$A$4:$A$1000,0)),""))</f>
        <v/>
      </c>
      <c r="J332" s="6"/>
    </row>
    <row r="333" customFormat="false" ht="15" hidden="false" customHeight="false" outlineLevel="0" collapsed="false">
      <c r="A333" s="5"/>
      <c r="B333" s="7" t="str">
        <f aca="false">IF($A333="","",IFERROR(INDEX(MASTER_DATABASE!$E$4:$E$1000,MATCH($A333,MASTER_DATABASE!$A$4:$A$1000,0)),""))</f>
        <v/>
      </c>
      <c r="C333" s="9" t="str">
        <f aca="false">IF($A333="","",IFERROR(INDEX(MASTER_DATABASE!$R$4:$R$1000,MATCH($A333,MASTER_DATABASE!$A$4:$A$1000,0)),""))</f>
        <v/>
      </c>
      <c r="D333" s="9" t="str">
        <f aca="false">IF($A333="","",IFERROR(INDEX(MASTER_DATABASE!$S$4:$S$1000,MATCH($A333,MASTER_DATABASE!$A$4:$A$1000,0)),""))</f>
        <v/>
      </c>
      <c r="E333" s="9" t="str">
        <f aca="false">IF($A333="","",IF(AND(OR(ISNUMBER(C333),C333="N/A"),OR(ISNUMBER(D333),D333="N/A"),OR(ISNUMBER(C333),ISNUMBER(D333))),N(C333)+N(D333),"To Verify"))</f>
        <v/>
      </c>
      <c r="F333" s="11" t="str">
        <f aca="false">IF($A333="","",IFERROR(INDEX(MASTER_DATABASE!$U$4:$U$1000,MATCH($A333,MASTER_DATABASE!$A$4:$A$1000,0)),""))</f>
        <v/>
      </c>
      <c r="G333" s="12"/>
      <c r="H333" s="12"/>
      <c r="I333" s="11" t="str">
        <f aca="false">IF($A333="","",IFERROR(INDEX(MASTER_DATABASE!$V$4:$V$1000,MATCH($A333,MASTER_DATABASE!$A$4:$A$1000,0)),""))</f>
        <v/>
      </c>
      <c r="J333" s="6"/>
    </row>
    <row r="334" customFormat="false" ht="15" hidden="false" customHeight="false" outlineLevel="0" collapsed="false">
      <c r="A334" s="5"/>
      <c r="B334" s="7" t="str">
        <f aca="false">IF($A334="","",IFERROR(INDEX(MASTER_DATABASE!$E$4:$E$1000,MATCH($A334,MASTER_DATABASE!$A$4:$A$1000,0)),""))</f>
        <v/>
      </c>
      <c r="C334" s="9" t="str">
        <f aca="false">IF($A334="","",IFERROR(INDEX(MASTER_DATABASE!$R$4:$R$1000,MATCH($A334,MASTER_DATABASE!$A$4:$A$1000,0)),""))</f>
        <v/>
      </c>
      <c r="D334" s="9" t="str">
        <f aca="false">IF($A334="","",IFERROR(INDEX(MASTER_DATABASE!$S$4:$S$1000,MATCH($A334,MASTER_DATABASE!$A$4:$A$1000,0)),""))</f>
        <v/>
      </c>
      <c r="E334" s="9" t="str">
        <f aca="false">IF($A334="","",IF(AND(OR(ISNUMBER(C334),C334="N/A"),OR(ISNUMBER(D334),D334="N/A"),OR(ISNUMBER(C334),ISNUMBER(D334))),N(C334)+N(D334),"To Verify"))</f>
        <v/>
      </c>
      <c r="F334" s="11" t="str">
        <f aca="false">IF($A334="","",IFERROR(INDEX(MASTER_DATABASE!$U$4:$U$1000,MATCH($A334,MASTER_DATABASE!$A$4:$A$1000,0)),""))</f>
        <v/>
      </c>
      <c r="G334" s="12"/>
      <c r="H334" s="12"/>
      <c r="I334" s="11" t="str">
        <f aca="false">IF($A334="","",IFERROR(INDEX(MASTER_DATABASE!$V$4:$V$1000,MATCH($A334,MASTER_DATABASE!$A$4:$A$1000,0)),""))</f>
        <v/>
      </c>
      <c r="J334" s="6"/>
    </row>
    <row r="335" customFormat="false" ht="15" hidden="false" customHeight="false" outlineLevel="0" collapsed="false">
      <c r="A335" s="5"/>
      <c r="B335" s="7" t="str">
        <f aca="false">IF($A335="","",IFERROR(INDEX(MASTER_DATABASE!$E$4:$E$1000,MATCH($A335,MASTER_DATABASE!$A$4:$A$1000,0)),""))</f>
        <v/>
      </c>
      <c r="C335" s="9" t="str">
        <f aca="false">IF($A335="","",IFERROR(INDEX(MASTER_DATABASE!$R$4:$R$1000,MATCH($A335,MASTER_DATABASE!$A$4:$A$1000,0)),""))</f>
        <v/>
      </c>
      <c r="D335" s="9" t="str">
        <f aca="false">IF($A335="","",IFERROR(INDEX(MASTER_DATABASE!$S$4:$S$1000,MATCH($A335,MASTER_DATABASE!$A$4:$A$1000,0)),""))</f>
        <v/>
      </c>
      <c r="E335" s="9" t="str">
        <f aca="false">IF($A335="","",IF(AND(OR(ISNUMBER(C335),C335="N/A"),OR(ISNUMBER(D335),D335="N/A"),OR(ISNUMBER(C335),ISNUMBER(D335))),N(C335)+N(D335),"To Verify"))</f>
        <v/>
      </c>
      <c r="F335" s="11" t="str">
        <f aca="false">IF($A335="","",IFERROR(INDEX(MASTER_DATABASE!$U$4:$U$1000,MATCH($A335,MASTER_DATABASE!$A$4:$A$1000,0)),""))</f>
        <v/>
      </c>
      <c r="G335" s="12"/>
      <c r="H335" s="12"/>
      <c r="I335" s="11" t="str">
        <f aca="false">IF($A335="","",IFERROR(INDEX(MASTER_DATABASE!$V$4:$V$1000,MATCH($A335,MASTER_DATABASE!$A$4:$A$1000,0)),""))</f>
        <v/>
      </c>
      <c r="J335" s="6"/>
    </row>
  </sheetData>
  <conditionalFormatting sqref="F4:F335">
    <cfRule type="cellIs" priority="2" operator="equal" aboveAverage="0" equalAverage="0" bottom="0" percent="0" rank="0" text="" dxfId="22">
      <formula>"To Verify"</formula>
    </cfRule>
  </conditionalFormatting>
  <dataValidations count="1">
    <dataValidation allowBlank="true" errorStyle="stop" operator="greaterThan" showDropDown="false" showErrorMessage="true" showInputMessage="false" sqref="G4:H43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3423</v>
      </c>
    </row>
    <row r="2" customFormat="false" ht="15" hidden="false" customHeight="false" outlineLevel="0" collapsed="false">
      <c r="A2" s="2" t="s">
        <v>3424</v>
      </c>
    </row>
    <row r="3" customFormat="false" ht="33.75" hidden="false" customHeight="true" outlineLevel="0" collapsed="false">
      <c r="A3" s="3" t="s">
        <v>3425</v>
      </c>
      <c r="B3" s="3" t="s">
        <v>3426</v>
      </c>
      <c r="C3" s="3" t="s">
        <v>3427</v>
      </c>
      <c r="D3" s="3" t="s">
        <v>3428</v>
      </c>
      <c r="E3" s="3" t="s">
        <v>3429</v>
      </c>
      <c r="F3" s="4" t="s">
        <v>3430</v>
      </c>
      <c r="G3" s="3" t="s">
        <v>3431</v>
      </c>
      <c r="H3" s="3" t="s">
        <v>3421</v>
      </c>
      <c r="I3" s="3" t="s">
        <v>3422</v>
      </c>
    </row>
    <row r="4" customFormat="false" ht="15" hidden="false" customHeight="false" outlineLevel="0" collapsed="false">
      <c r="A4" s="5" t="s">
        <v>3432</v>
      </c>
      <c r="B4" s="6" t="s">
        <v>3433</v>
      </c>
      <c r="C4" s="6" t="s">
        <v>3434</v>
      </c>
      <c r="D4" s="6" t="s">
        <v>3435</v>
      </c>
      <c r="E4" s="6" t="s">
        <v>3436</v>
      </c>
      <c r="F4" s="11" t="n">
        <f aca="false">COUNTIF(SERVICE_DOCUMENTS!$C$4:$C$1000,$B4)+COUNTIF(SERVICE_DOCUMENTS!$E$4:$E$1000,$B4)+COUNTIF(SERVICE_DOCUMENTS!$G$4:$G$1000,$B4)+COUNTIF(SERVICE_DOCUMENTS!$I$4:$I$1000,$B4)+COUNTIF(SERVICE_DOCUMENTS!$K$4:$K$1000,$B4)+COUNTIF(SERVICE_DOCUMENTS!$M$4:$M$1000,$B4)+COUNTIF(SERVICE_DOCUMENTS!$O$4:$O$1000,$B4)+COUNTIF(SERVICE_DOCUMENTS!$Q$4:$Q$1000,$B4)</f>
        <v>169</v>
      </c>
      <c r="G4" s="6" t="s">
        <v>3437</v>
      </c>
      <c r="H4" s="5" t="s">
        <v>74</v>
      </c>
      <c r="I4" s="6"/>
    </row>
    <row r="5" customFormat="false" ht="15" hidden="false" customHeight="false" outlineLevel="0" collapsed="false">
      <c r="A5" s="5" t="s">
        <v>3438</v>
      </c>
      <c r="B5" s="6" t="s">
        <v>3439</v>
      </c>
      <c r="C5" s="6" t="s">
        <v>3440</v>
      </c>
      <c r="D5" s="6" t="s">
        <v>3435</v>
      </c>
      <c r="E5" s="6" t="s">
        <v>3436</v>
      </c>
      <c r="F5" s="11" t="n">
        <f aca="false">COUNTIF(SERVICE_DOCUMENTS!$C$4:$C$1000,$B5)+COUNTIF(SERVICE_DOCUMENTS!$E$4:$E$1000,$B5)+COUNTIF(SERVICE_DOCUMENTS!$G$4:$G$1000,$B5)+COUNTIF(SERVICE_DOCUMENTS!$I$4:$I$1000,$B5)+COUNTIF(SERVICE_DOCUMENTS!$K$4:$K$1000,$B5)+COUNTIF(SERVICE_DOCUMENTS!$M$4:$M$1000,$B5)+COUNTIF(SERVICE_DOCUMENTS!$O$4:$O$1000,$B5)+COUNTIF(SERVICE_DOCUMENTS!$Q$4:$Q$1000,$B5)</f>
        <v>20</v>
      </c>
      <c r="G5" s="6" t="s">
        <v>3441</v>
      </c>
      <c r="H5" s="5" t="s">
        <v>74</v>
      </c>
      <c r="I5" s="6"/>
    </row>
    <row r="6" customFormat="false" ht="15" hidden="false" customHeight="false" outlineLevel="0" collapsed="false">
      <c r="A6" s="5" t="s">
        <v>3442</v>
      </c>
      <c r="B6" s="6" t="s">
        <v>2390</v>
      </c>
      <c r="C6" s="6" t="s">
        <v>2391</v>
      </c>
      <c r="D6" s="6" t="s">
        <v>3443</v>
      </c>
      <c r="E6" s="6" t="s">
        <v>3436</v>
      </c>
      <c r="F6" s="11" t="n">
        <f aca="false">COUNTIF(SERVICE_DOCUMENTS!$C$4:$C$1000,$B6)+COUNTIF(SERVICE_DOCUMENTS!$E$4:$E$1000,$B6)+COUNTIF(SERVICE_DOCUMENTS!$G$4:$G$1000,$B6)+COUNTIF(SERVICE_DOCUMENTS!$I$4:$I$1000,$B6)+COUNTIF(SERVICE_DOCUMENTS!$K$4:$K$1000,$B6)+COUNTIF(SERVICE_DOCUMENTS!$M$4:$M$1000,$B6)+COUNTIF(SERVICE_DOCUMENTS!$O$4:$O$1000,$B6)+COUNTIF(SERVICE_DOCUMENTS!$Q$4:$Q$1000,$B6)</f>
        <v>31</v>
      </c>
      <c r="G6" s="6" t="s">
        <v>3444</v>
      </c>
      <c r="H6" s="5" t="s">
        <v>74</v>
      </c>
      <c r="I6" s="6"/>
    </row>
    <row r="7" customFormat="false" ht="15" hidden="false" customHeight="false" outlineLevel="0" collapsed="false">
      <c r="A7" s="5" t="s">
        <v>3445</v>
      </c>
      <c r="B7" s="6" t="s">
        <v>3446</v>
      </c>
      <c r="C7" s="6" t="s">
        <v>3447</v>
      </c>
      <c r="D7" s="6" t="s">
        <v>3448</v>
      </c>
      <c r="E7" s="6" t="s">
        <v>3436</v>
      </c>
      <c r="F7" s="11" t="n">
        <f aca="false">COUNTIF(SERVICE_DOCUMENTS!$C$4:$C$1000,$B7)+COUNTIF(SERVICE_DOCUMENTS!$E$4:$E$1000,$B7)+COUNTIF(SERVICE_DOCUMENTS!$G$4:$G$1000,$B7)+COUNTIF(SERVICE_DOCUMENTS!$I$4:$I$1000,$B7)+COUNTIF(SERVICE_DOCUMENTS!$K$4:$K$1000,$B7)+COUNTIF(SERVICE_DOCUMENTS!$M$4:$M$1000,$B7)+COUNTIF(SERVICE_DOCUMENTS!$O$4:$O$1000,$B7)+COUNTIF(SERVICE_DOCUMENTS!$Q$4:$Q$1000,$B7)</f>
        <v>32</v>
      </c>
      <c r="G7" s="6" t="s">
        <v>3449</v>
      </c>
      <c r="H7" s="5" t="s">
        <v>74</v>
      </c>
      <c r="I7" s="6"/>
    </row>
    <row r="8" customFormat="false" ht="15" hidden="false" customHeight="false" outlineLevel="0" collapsed="false">
      <c r="A8" s="5" t="s">
        <v>3450</v>
      </c>
      <c r="B8" s="6" t="s">
        <v>3451</v>
      </c>
      <c r="C8" s="6" t="s">
        <v>3452</v>
      </c>
      <c r="D8" s="6" t="s">
        <v>3435</v>
      </c>
      <c r="E8" s="6" t="s">
        <v>3453</v>
      </c>
      <c r="F8" s="11" t="n">
        <f aca="false">COUNTIF(SERVICE_DOCUMENTS!$C$4:$C$1000,$B8)+COUNTIF(SERVICE_DOCUMENTS!$E$4:$E$1000,$B8)+COUNTIF(SERVICE_DOCUMENTS!$G$4:$G$1000,$B8)+COUNTIF(SERVICE_DOCUMENTS!$I$4:$I$1000,$B8)+COUNTIF(SERVICE_DOCUMENTS!$K$4:$K$1000,$B8)+COUNTIF(SERVICE_DOCUMENTS!$M$4:$M$1000,$B8)+COUNTIF(SERVICE_DOCUMENTS!$O$4:$O$1000,$B8)+COUNTIF(SERVICE_DOCUMENTS!$Q$4:$Q$1000,$B8)</f>
        <v>15</v>
      </c>
      <c r="G8" s="6" t="s">
        <v>3454</v>
      </c>
      <c r="H8" s="5" t="s">
        <v>74</v>
      </c>
      <c r="I8" s="6"/>
    </row>
    <row r="9" customFormat="false" ht="15" hidden="false" customHeight="false" outlineLevel="0" collapsed="false">
      <c r="A9" s="5" t="s">
        <v>3455</v>
      </c>
      <c r="B9" s="6" t="s">
        <v>3456</v>
      </c>
      <c r="C9" s="6" t="s">
        <v>3457</v>
      </c>
      <c r="D9" s="6" t="s">
        <v>3458</v>
      </c>
      <c r="E9" s="6" t="s">
        <v>3436</v>
      </c>
      <c r="F9" s="11" t="n">
        <f aca="false">COUNTIF(SERVICE_DOCUMENTS!$C$4:$C$1000,$B9)+COUNTIF(SERVICE_DOCUMENTS!$E$4:$E$1000,$B9)+COUNTIF(SERVICE_DOCUMENTS!$G$4:$G$1000,$B9)+COUNTIF(SERVICE_DOCUMENTS!$I$4:$I$1000,$B9)+COUNTIF(SERVICE_DOCUMENTS!$K$4:$K$1000,$B9)+COUNTIF(SERVICE_DOCUMENTS!$M$4:$M$1000,$B9)+COUNTIF(SERVICE_DOCUMENTS!$O$4:$O$1000,$B9)+COUNTIF(SERVICE_DOCUMENTS!$Q$4:$Q$1000,$B9)</f>
        <v>36</v>
      </c>
      <c r="G9" s="6" t="s">
        <v>3459</v>
      </c>
      <c r="H9" s="5" t="s">
        <v>74</v>
      </c>
      <c r="I9" s="6"/>
    </row>
    <row r="10" customFormat="false" ht="15" hidden="false" customHeight="false" outlineLevel="0" collapsed="false">
      <c r="A10" s="5" t="s">
        <v>3460</v>
      </c>
      <c r="B10" s="6" t="s">
        <v>3461</v>
      </c>
      <c r="C10" s="6" t="s">
        <v>3462</v>
      </c>
      <c r="D10" s="6" t="s">
        <v>3435</v>
      </c>
      <c r="E10" s="6" t="s">
        <v>3436</v>
      </c>
      <c r="F10" s="11" t="n">
        <f aca="false">COUNTIF(SERVICE_DOCUMENTS!$C$4:$C$1000,$B10)+COUNTIF(SERVICE_DOCUMENTS!$E$4:$E$1000,$B10)+COUNTIF(SERVICE_DOCUMENTS!$G$4:$G$1000,$B10)+COUNTIF(SERVICE_DOCUMENTS!$I$4:$I$1000,$B10)+COUNTIF(SERVICE_DOCUMENTS!$K$4:$K$1000,$B10)+COUNTIF(SERVICE_DOCUMENTS!$M$4:$M$1000,$B10)+COUNTIF(SERVICE_DOCUMENTS!$O$4:$O$1000,$B10)+COUNTIF(SERVICE_DOCUMENTS!$Q$4:$Q$1000,$B10)</f>
        <v>9</v>
      </c>
      <c r="G10" s="6" t="s">
        <v>3463</v>
      </c>
      <c r="H10" s="5" t="s">
        <v>74</v>
      </c>
      <c r="I10" s="6"/>
    </row>
    <row r="11" customFormat="false" ht="15" hidden="false" customHeight="false" outlineLevel="0" collapsed="false">
      <c r="A11" s="5" t="s">
        <v>3464</v>
      </c>
      <c r="B11" s="6" t="s">
        <v>3465</v>
      </c>
      <c r="C11" s="6" t="s">
        <v>3466</v>
      </c>
      <c r="D11" s="6" t="s">
        <v>3467</v>
      </c>
      <c r="E11" s="6" t="s">
        <v>3436</v>
      </c>
      <c r="F11" s="11" t="n">
        <f aca="false">COUNTIF(SERVICE_DOCUMENTS!$C$4:$C$1000,$B11)+COUNTIF(SERVICE_DOCUMENTS!$E$4:$E$1000,$B11)+COUNTIF(SERVICE_DOCUMENTS!$G$4:$G$1000,$B11)+COUNTIF(SERVICE_DOCUMENTS!$I$4:$I$1000,$B11)+COUNTIF(SERVICE_DOCUMENTS!$K$4:$K$1000,$B11)+COUNTIF(SERVICE_DOCUMENTS!$M$4:$M$1000,$B11)+COUNTIF(SERVICE_DOCUMENTS!$O$4:$O$1000,$B11)+COUNTIF(SERVICE_DOCUMENTS!$Q$4:$Q$1000,$B11)</f>
        <v>11</v>
      </c>
      <c r="G11" s="6" t="s">
        <v>3468</v>
      </c>
      <c r="H11" s="5" t="s">
        <v>74</v>
      </c>
      <c r="I11" s="6"/>
    </row>
    <row r="12" customFormat="false" ht="15" hidden="false" customHeight="false" outlineLevel="0" collapsed="false">
      <c r="A12" s="5" t="s">
        <v>3469</v>
      </c>
      <c r="B12" s="6" t="s">
        <v>3470</v>
      </c>
      <c r="C12" s="6" t="s">
        <v>3471</v>
      </c>
      <c r="D12" s="6" t="s">
        <v>3435</v>
      </c>
      <c r="E12" s="6" t="s">
        <v>3436</v>
      </c>
      <c r="F12" s="11" t="n">
        <f aca="false">COUNTIF(SERVICE_DOCUMENTS!$C$4:$C$1000,$B12)+COUNTIF(SERVICE_DOCUMENTS!$E$4:$E$1000,$B12)+COUNTIF(SERVICE_DOCUMENTS!$G$4:$G$1000,$B12)+COUNTIF(SERVICE_DOCUMENTS!$I$4:$I$1000,$B12)+COUNTIF(SERVICE_DOCUMENTS!$K$4:$K$1000,$B12)+COUNTIF(SERVICE_DOCUMENTS!$M$4:$M$1000,$B12)+COUNTIF(SERVICE_DOCUMENTS!$O$4:$O$1000,$B12)+COUNTIF(SERVICE_DOCUMENTS!$Q$4:$Q$1000,$B12)</f>
        <v>4</v>
      </c>
      <c r="G12" s="6" t="s">
        <v>3472</v>
      </c>
      <c r="H12" s="5" t="s">
        <v>74</v>
      </c>
      <c r="I12" s="6"/>
    </row>
    <row r="13" customFormat="false" ht="15" hidden="false" customHeight="false" outlineLevel="0" collapsed="false">
      <c r="A13" s="5" t="s">
        <v>3473</v>
      </c>
      <c r="B13" s="6" t="s">
        <v>3474</v>
      </c>
      <c r="C13" s="6" t="s">
        <v>3475</v>
      </c>
      <c r="D13" s="6" t="s">
        <v>3467</v>
      </c>
      <c r="E13" s="6" t="s">
        <v>3453</v>
      </c>
      <c r="F13" s="11" t="n">
        <f aca="false">COUNTIF(SERVICE_DOCUMENTS!$C$4:$C$1000,$B13)+COUNTIF(SERVICE_DOCUMENTS!$E$4:$E$1000,$B13)+COUNTIF(SERVICE_DOCUMENTS!$G$4:$G$1000,$B13)+COUNTIF(SERVICE_DOCUMENTS!$I$4:$I$1000,$B13)+COUNTIF(SERVICE_DOCUMENTS!$K$4:$K$1000,$B13)+COUNTIF(SERVICE_DOCUMENTS!$M$4:$M$1000,$B13)+COUNTIF(SERVICE_DOCUMENTS!$O$4:$O$1000,$B13)+COUNTIF(SERVICE_DOCUMENTS!$Q$4:$Q$1000,$B13)</f>
        <v>2</v>
      </c>
      <c r="G13" s="6" t="s">
        <v>3476</v>
      </c>
      <c r="H13" s="5" t="s">
        <v>74</v>
      </c>
      <c r="I13" s="6"/>
    </row>
    <row r="14" customFormat="false" ht="15" hidden="false" customHeight="false" outlineLevel="0" collapsed="false">
      <c r="A14" s="5" t="s">
        <v>3477</v>
      </c>
      <c r="B14" s="6" t="s">
        <v>3478</v>
      </c>
      <c r="C14" s="6" t="s">
        <v>3479</v>
      </c>
      <c r="D14" s="6" t="s">
        <v>3480</v>
      </c>
      <c r="E14" s="6" t="s">
        <v>3436</v>
      </c>
      <c r="F14" s="11" t="n">
        <f aca="false">COUNTIF(SERVICE_DOCUMENTS!$C$4:$C$1000,$B14)+COUNTIF(SERVICE_DOCUMENTS!$E$4:$E$1000,$B14)+COUNTIF(SERVICE_DOCUMENTS!$G$4:$G$1000,$B14)+COUNTIF(SERVICE_DOCUMENTS!$I$4:$I$1000,$B14)+COUNTIF(SERVICE_DOCUMENTS!$K$4:$K$1000,$B14)+COUNTIF(SERVICE_DOCUMENTS!$M$4:$M$1000,$B14)+COUNTIF(SERVICE_DOCUMENTS!$O$4:$O$1000,$B14)+COUNTIF(SERVICE_DOCUMENTS!$Q$4:$Q$1000,$B14)</f>
        <v>129</v>
      </c>
      <c r="G14" s="6" t="s">
        <v>3481</v>
      </c>
      <c r="H14" s="5" t="s">
        <v>74</v>
      </c>
      <c r="I14" s="6"/>
    </row>
    <row r="15" customFormat="false" ht="15" hidden="false" customHeight="false" outlineLevel="0" collapsed="false">
      <c r="A15" s="5" t="s">
        <v>3482</v>
      </c>
      <c r="B15" s="6" t="s">
        <v>3483</v>
      </c>
      <c r="C15" s="6" t="s">
        <v>3484</v>
      </c>
      <c r="D15" s="6" t="s">
        <v>3485</v>
      </c>
      <c r="E15" s="6" t="s">
        <v>3436</v>
      </c>
      <c r="F15" s="11" t="n">
        <f aca="false">COUNTIF(SERVICE_DOCUMENTS!$C$4:$C$1000,$B15)+COUNTIF(SERVICE_DOCUMENTS!$E$4:$E$1000,$B15)+COUNTIF(SERVICE_DOCUMENTS!$G$4:$G$1000,$B15)+COUNTIF(SERVICE_DOCUMENTS!$I$4:$I$1000,$B15)+COUNTIF(SERVICE_DOCUMENTS!$K$4:$K$1000,$B15)+COUNTIF(SERVICE_DOCUMENTS!$M$4:$M$1000,$B15)+COUNTIF(SERVICE_DOCUMENTS!$O$4:$O$1000,$B15)+COUNTIF(SERVICE_DOCUMENTS!$Q$4:$Q$1000,$B15)</f>
        <v>11</v>
      </c>
      <c r="G15" s="6" t="s">
        <v>3486</v>
      </c>
      <c r="H15" s="5" t="s">
        <v>74</v>
      </c>
      <c r="I15" s="6"/>
    </row>
    <row r="16" customFormat="false" ht="23.85" hidden="false" customHeight="false" outlineLevel="0" collapsed="false">
      <c r="A16" s="5" t="s">
        <v>3487</v>
      </c>
      <c r="B16" s="6" t="s">
        <v>3488</v>
      </c>
      <c r="C16" s="6" t="s">
        <v>3489</v>
      </c>
      <c r="D16" s="6" t="s">
        <v>3480</v>
      </c>
      <c r="E16" s="6" t="s">
        <v>3436</v>
      </c>
      <c r="F16" s="11" t="n">
        <f aca="false">COUNTIF(SERVICE_DOCUMENTS!$C$4:$C$1000,$B16)+COUNTIF(SERVICE_DOCUMENTS!$E$4:$E$1000,$B16)+COUNTIF(SERVICE_DOCUMENTS!$G$4:$G$1000,$B16)+COUNTIF(SERVICE_DOCUMENTS!$I$4:$I$1000,$B16)+COUNTIF(SERVICE_DOCUMENTS!$K$4:$K$1000,$B16)+COUNTIF(SERVICE_DOCUMENTS!$M$4:$M$1000,$B16)+COUNTIF(SERVICE_DOCUMENTS!$O$4:$O$1000,$B16)+COUNTIF(SERVICE_DOCUMENTS!$Q$4:$Q$1000,$B16)</f>
        <v>31</v>
      </c>
      <c r="G16" s="6" t="s">
        <v>3490</v>
      </c>
      <c r="H16" s="5" t="s">
        <v>74</v>
      </c>
      <c r="I16" s="6"/>
    </row>
    <row r="17" customFormat="false" ht="15" hidden="false" customHeight="false" outlineLevel="0" collapsed="false">
      <c r="A17" s="5" t="s">
        <v>3491</v>
      </c>
      <c r="B17" s="6" t="s">
        <v>3492</v>
      </c>
      <c r="C17" s="6" t="s">
        <v>3493</v>
      </c>
      <c r="D17" s="6" t="s">
        <v>3448</v>
      </c>
      <c r="E17" s="6" t="s">
        <v>3436</v>
      </c>
      <c r="F17" s="11" t="n">
        <f aca="false">COUNTIF(SERVICE_DOCUMENTS!$C$4:$C$1000,$B17)+COUNTIF(SERVICE_DOCUMENTS!$E$4:$E$1000,$B17)+COUNTIF(SERVICE_DOCUMENTS!$G$4:$G$1000,$B17)+COUNTIF(SERVICE_DOCUMENTS!$I$4:$I$1000,$B17)+COUNTIF(SERVICE_DOCUMENTS!$K$4:$K$1000,$B17)+COUNTIF(SERVICE_DOCUMENTS!$M$4:$M$1000,$B17)+COUNTIF(SERVICE_DOCUMENTS!$O$4:$O$1000,$B17)+COUNTIF(SERVICE_DOCUMENTS!$Q$4:$Q$1000,$B17)</f>
        <v>4</v>
      </c>
      <c r="G17" s="6" t="s">
        <v>3494</v>
      </c>
      <c r="H17" s="5" t="s">
        <v>74</v>
      </c>
      <c r="I17" s="6"/>
    </row>
    <row r="18" customFormat="false" ht="15" hidden="false" customHeight="false" outlineLevel="0" collapsed="false">
      <c r="A18" s="5" t="s">
        <v>3495</v>
      </c>
      <c r="B18" s="6" t="s">
        <v>3496</v>
      </c>
      <c r="C18" s="6" t="s">
        <v>3497</v>
      </c>
      <c r="D18" s="6" t="s">
        <v>3467</v>
      </c>
      <c r="E18" s="6" t="s">
        <v>3453</v>
      </c>
      <c r="F18" s="11" t="n">
        <f aca="false">COUNTIF(SERVICE_DOCUMENTS!$C$4:$C$1000,$B18)+COUNTIF(SERVICE_DOCUMENTS!$E$4:$E$1000,$B18)+COUNTIF(SERVICE_DOCUMENTS!$G$4:$G$1000,$B18)+COUNTIF(SERVICE_DOCUMENTS!$I$4:$I$1000,$B18)+COUNTIF(SERVICE_DOCUMENTS!$K$4:$K$1000,$B18)+COUNTIF(SERVICE_DOCUMENTS!$M$4:$M$1000,$B18)+COUNTIF(SERVICE_DOCUMENTS!$O$4:$O$1000,$B18)+COUNTIF(SERVICE_DOCUMENTS!$Q$4:$Q$1000,$B18)</f>
        <v>3</v>
      </c>
      <c r="G18" s="6" t="s">
        <v>3498</v>
      </c>
      <c r="H18" s="5" t="s">
        <v>74</v>
      </c>
      <c r="I18" s="6"/>
    </row>
    <row r="19" customFormat="false" ht="15" hidden="false" customHeight="false" outlineLevel="0" collapsed="false">
      <c r="A19" s="5" t="s">
        <v>3499</v>
      </c>
      <c r="B19" s="6" t="s">
        <v>1224</v>
      </c>
      <c r="C19" s="6" t="s">
        <v>3500</v>
      </c>
      <c r="D19" s="6" t="s">
        <v>3467</v>
      </c>
      <c r="E19" s="6" t="s">
        <v>3453</v>
      </c>
      <c r="F19" s="11" t="n">
        <f aca="false">COUNTIF(SERVICE_DOCUMENTS!$C$4:$C$1000,$B19)+COUNTIF(SERVICE_DOCUMENTS!$E$4:$E$1000,$B19)+COUNTIF(SERVICE_DOCUMENTS!$G$4:$G$1000,$B19)+COUNTIF(SERVICE_DOCUMENTS!$I$4:$I$1000,$B19)+COUNTIF(SERVICE_DOCUMENTS!$K$4:$K$1000,$B19)+COUNTIF(SERVICE_DOCUMENTS!$M$4:$M$1000,$B19)+COUNTIF(SERVICE_DOCUMENTS!$O$4:$O$1000,$B19)+COUNTIF(SERVICE_DOCUMENTS!$Q$4:$Q$1000,$B19)</f>
        <v>4</v>
      </c>
      <c r="G19" s="6" t="s">
        <v>3501</v>
      </c>
      <c r="H19" s="5" t="s">
        <v>74</v>
      </c>
      <c r="I19" s="6"/>
    </row>
    <row r="20" customFormat="false" ht="15" hidden="false" customHeight="false" outlineLevel="0" collapsed="false">
      <c r="A20" s="5" t="s">
        <v>3502</v>
      </c>
      <c r="B20" s="6" t="s">
        <v>3503</v>
      </c>
      <c r="C20" s="6" t="s">
        <v>3504</v>
      </c>
      <c r="D20" s="6" t="s">
        <v>3467</v>
      </c>
      <c r="E20" s="6" t="s">
        <v>75</v>
      </c>
      <c r="F20" s="11" t="n">
        <f aca="false">COUNTIF(SERVICE_DOCUMENTS!$C$4:$C$1000,$B20)+COUNTIF(SERVICE_DOCUMENTS!$E$4:$E$1000,$B20)+COUNTIF(SERVICE_DOCUMENTS!$G$4:$G$1000,$B20)+COUNTIF(SERVICE_DOCUMENTS!$I$4:$I$1000,$B20)+COUNTIF(SERVICE_DOCUMENTS!$K$4:$K$1000,$B20)+COUNTIF(SERVICE_DOCUMENTS!$M$4:$M$1000,$B20)+COUNTIF(SERVICE_DOCUMENTS!$O$4:$O$1000,$B20)+COUNTIF(SERVICE_DOCUMENTS!$Q$4:$Q$1000,$B20)</f>
        <v>2</v>
      </c>
      <c r="G20" s="6" t="s">
        <v>3505</v>
      </c>
      <c r="H20" s="5" t="s">
        <v>74</v>
      </c>
      <c r="I20" s="6"/>
    </row>
    <row r="21" customFormat="false" ht="15" hidden="false" customHeight="false" outlineLevel="0" collapsed="false">
      <c r="A21" s="5" t="s">
        <v>3506</v>
      </c>
      <c r="B21" s="6" t="s">
        <v>3507</v>
      </c>
      <c r="C21" s="6" t="s">
        <v>3508</v>
      </c>
      <c r="D21" s="6" t="s">
        <v>3467</v>
      </c>
      <c r="E21" s="6" t="s">
        <v>75</v>
      </c>
      <c r="F21" s="11" t="n">
        <f aca="false">COUNTIF(SERVICE_DOCUMENTS!$C$4:$C$1000,$B21)+COUNTIF(SERVICE_DOCUMENTS!$E$4:$E$1000,$B21)+COUNTIF(SERVICE_DOCUMENTS!$G$4:$G$1000,$B21)+COUNTIF(SERVICE_DOCUMENTS!$I$4:$I$1000,$B21)+COUNTIF(SERVICE_DOCUMENTS!$K$4:$K$1000,$B21)+COUNTIF(SERVICE_DOCUMENTS!$M$4:$M$1000,$B21)+COUNTIF(SERVICE_DOCUMENTS!$O$4:$O$1000,$B21)+COUNTIF(SERVICE_DOCUMENTS!$Q$4:$Q$1000,$B21)</f>
        <v>2</v>
      </c>
      <c r="G21" s="6" t="s">
        <v>3509</v>
      </c>
      <c r="H21" s="5" t="s">
        <v>74</v>
      </c>
      <c r="I21" s="6"/>
    </row>
    <row r="22" customFormat="false" ht="15" hidden="false" customHeight="false" outlineLevel="0" collapsed="false">
      <c r="A22" s="5" t="s">
        <v>3510</v>
      </c>
      <c r="B22" s="6" t="s">
        <v>3511</v>
      </c>
      <c r="C22" s="6" t="s">
        <v>3512</v>
      </c>
      <c r="D22" s="6" t="s">
        <v>3467</v>
      </c>
      <c r="E22" s="6" t="s">
        <v>75</v>
      </c>
      <c r="F22" s="11" t="n">
        <f aca="false">COUNTIF(SERVICE_DOCUMENTS!$C$4:$C$1000,$B22)+COUNTIF(SERVICE_DOCUMENTS!$E$4:$E$1000,$B22)+COUNTIF(SERVICE_DOCUMENTS!$G$4:$G$1000,$B22)+COUNTIF(SERVICE_DOCUMENTS!$I$4:$I$1000,$B22)+COUNTIF(SERVICE_DOCUMENTS!$K$4:$K$1000,$B22)+COUNTIF(SERVICE_DOCUMENTS!$M$4:$M$1000,$B22)+COUNTIF(SERVICE_DOCUMENTS!$O$4:$O$1000,$B22)+COUNTIF(SERVICE_DOCUMENTS!$Q$4:$Q$1000,$B22)</f>
        <v>4</v>
      </c>
      <c r="G22" s="6" t="s">
        <v>3513</v>
      </c>
      <c r="H22" s="5" t="s">
        <v>74</v>
      </c>
      <c r="I22" s="6"/>
    </row>
    <row r="23" customFormat="false" ht="15" hidden="false" customHeight="false" outlineLevel="0" collapsed="false">
      <c r="A23" s="5" t="s">
        <v>3514</v>
      </c>
      <c r="B23" s="6" t="s">
        <v>3515</v>
      </c>
      <c r="C23" s="6" t="s">
        <v>3516</v>
      </c>
      <c r="D23" s="6" t="s">
        <v>3467</v>
      </c>
      <c r="E23" s="6" t="s">
        <v>3436</v>
      </c>
      <c r="F23" s="11" t="n">
        <f aca="false">COUNTIF(SERVICE_DOCUMENTS!$C$4:$C$1000,$B23)+COUNTIF(SERVICE_DOCUMENTS!$E$4:$E$1000,$B23)+COUNTIF(SERVICE_DOCUMENTS!$G$4:$G$1000,$B23)+COUNTIF(SERVICE_DOCUMENTS!$I$4:$I$1000,$B23)+COUNTIF(SERVICE_DOCUMENTS!$K$4:$K$1000,$B23)+COUNTIF(SERVICE_DOCUMENTS!$M$4:$M$1000,$B23)+COUNTIF(SERVICE_DOCUMENTS!$O$4:$O$1000,$B23)+COUNTIF(SERVICE_DOCUMENTS!$Q$4:$Q$1000,$B23)</f>
        <v>20</v>
      </c>
      <c r="G23" s="6" t="s">
        <v>3517</v>
      </c>
      <c r="H23" s="5" t="s">
        <v>74</v>
      </c>
      <c r="I23" s="6"/>
    </row>
    <row r="24" customFormat="false" ht="15" hidden="false" customHeight="false" outlineLevel="0" collapsed="false">
      <c r="A24" s="5" t="s">
        <v>3518</v>
      </c>
      <c r="B24" s="6" t="s">
        <v>3519</v>
      </c>
      <c r="C24" s="6" t="s">
        <v>3520</v>
      </c>
      <c r="D24" s="6" t="s">
        <v>3443</v>
      </c>
      <c r="E24" s="6" t="s">
        <v>3436</v>
      </c>
      <c r="F24" s="11" t="n">
        <f aca="false">COUNTIF(SERVICE_DOCUMENTS!$C$4:$C$1000,$B24)+COUNTIF(SERVICE_DOCUMENTS!$E$4:$E$1000,$B24)+COUNTIF(SERVICE_DOCUMENTS!$G$4:$G$1000,$B24)+COUNTIF(SERVICE_DOCUMENTS!$I$4:$I$1000,$B24)+COUNTIF(SERVICE_DOCUMENTS!$K$4:$K$1000,$B24)+COUNTIF(SERVICE_DOCUMENTS!$M$4:$M$1000,$B24)+COUNTIF(SERVICE_DOCUMENTS!$O$4:$O$1000,$B24)+COUNTIF(SERVICE_DOCUMENTS!$Q$4:$Q$1000,$B24)</f>
        <v>0</v>
      </c>
      <c r="G24" s="6" t="s">
        <v>3521</v>
      </c>
      <c r="H24" s="5" t="s">
        <v>74</v>
      </c>
      <c r="I24" s="6"/>
    </row>
    <row r="25" customFormat="false" ht="15" hidden="false" customHeight="false" outlineLevel="0" collapsed="false">
      <c r="A25" s="5" t="s">
        <v>3522</v>
      </c>
      <c r="B25" s="6" t="s">
        <v>3523</v>
      </c>
      <c r="C25" s="6" t="s">
        <v>3524</v>
      </c>
      <c r="D25" s="6" t="s">
        <v>3435</v>
      </c>
      <c r="E25" s="6" t="s">
        <v>3453</v>
      </c>
      <c r="F25" s="11" t="n">
        <f aca="false">COUNTIF(SERVICE_DOCUMENTS!$C$4:$C$1000,$B25)+COUNTIF(SERVICE_DOCUMENTS!$E$4:$E$1000,$B25)+COUNTIF(SERVICE_DOCUMENTS!$G$4:$G$1000,$B25)+COUNTIF(SERVICE_DOCUMENTS!$I$4:$I$1000,$B25)+COUNTIF(SERVICE_DOCUMENTS!$K$4:$K$1000,$B25)+COUNTIF(SERVICE_DOCUMENTS!$M$4:$M$1000,$B25)+COUNTIF(SERVICE_DOCUMENTS!$O$4:$O$1000,$B25)+COUNTIF(SERVICE_DOCUMENTS!$Q$4:$Q$1000,$B25)</f>
        <v>0</v>
      </c>
      <c r="G25" s="6" t="s">
        <v>3525</v>
      </c>
      <c r="H25" s="5" t="s">
        <v>74</v>
      </c>
      <c r="I25" s="6"/>
    </row>
    <row r="26" customFormat="false" ht="23.85" hidden="false" customHeight="false" outlineLevel="0" collapsed="false">
      <c r="A26" s="5" t="s">
        <v>3526</v>
      </c>
      <c r="B26" s="6" t="s">
        <v>3527</v>
      </c>
      <c r="C26" s="6" t="s">
        <v>3528</v>
      </c>
      <c r="D26" s="6" t="s">
        <v>3480</v>
      </c>
      <c r="E26" s="6" t="s">
        <v>3436</v>
      </c>
      <c r="F26" s="11" t="n">
        <f aca="false">COUNTIF(SERVICE_DOCUMENTS!$C$4:$C$1000,$B26)+COUNTIF(SERVICE_DOCUMENTS!$E$4:$E$1000,$B26)+COUNTIF(SERVICE_DOCUMENTS!$G$4:$G$1000,$B26)+COUNTIF(SERVICE_DOCUMENTS!$I$4:$I$1000,$B26)+COUNTIF(SERVICE_DOCUMENTS!$K$4:$K$1000,$B26)+COUNTIF(SERVICE_DOCUMENTS!$M$4:$M$1000,$B26)+COUNTIF(SERVICE_DOCUMENTS!$O$4:$O$1000,$B26)+COUNTIF(SERVICE_DOCUMENTS!$Q$4:$Q$1000,$B26)</f>
        <v>17</v>
      </c>
      <c r="G26" s="6" t="s">
        <v>3529</v>
      </c>
      <c r="H26" s="5" t="s">
        <v>74</v>
      </c>
      <c r="I26" s="6"/>
    </row>
    <row r="27" customFormat="false" ht="15" hidden="false" customHeight="false" outlineLevel="0" collapsed="false">
      <c r="A27" s="5" t="s">
        <v>3530</v>
      </c>
      <c r="B27" s="6" t="s">
        <v>3531</v>
      </c>
      <c r="C27" s="6" t="s">
        <v>3532</v>
      </c>
      <c r="D27" s="6" t="s">
        <v>3480</v>
      </c>
      <c r="E27" s="6" t="s">
        <v>3436</v>
      </c>
      <c r="F27" s="11" t="n">
        <f aca="false">COUNTIF(SERVICE_DOCUMENTS!$C$4:$C$1000,$B27)+COUNTIF(SERVICE_DOCUMENTS!$E$4:$E$1000,$B27)+COUNTIF(SERVICE_DOCUMENTS!$G$4:$G$1000,$B27)+COUNTIF(SERVICE_DOCUMENTS!$I$4:$I$1000,$B27)+COUNTIF(SERVICE_DOCUMENTS!$K$4:$K$1000,$B27)+COUNTIF(SERVICE_DOCUMENTS!$M$4:$M$1000,$B27)+COUNTIF(SERVICE_DOCUMENTS!$O$4:$O$1000,$B27)+COUNTIF(SERVICE_DOCUMENTS!$Q$4:$Q$1000,$B27)</f>
        <v>3</v>
      </c>
      <c r="G27" s="6" t="s">
        <v>3533</v>
      </c>
      <c r="H27" s="5" t="s">
        <v>74</v>
      </c>
      <c r="I27" s="6"/>
    </row>
    <row r="28" customFormat="false" ht="15" hidden="false" customHeight="false" outlineLevel="0" collapsed="false">
      <c r="A28" s="5" t="s">
        <v>3534</v>
      </c>
      <c r="B28" s="6" t="s">
        <v>3535</v>
      </c>
      <c r="C28" s="6" t="s">
        <v>3536</v>
      </c>
      <c r="D28" s="6" t="s">
        <v>3485</v>
      </c>
      <c r="E28" s="6" t="s">
        <v>3436</v>
      </c>
      <c r="F28" s="11" t="n">
        <f aca="false">COUNTIF(SERVICE_DOCUMENTS!$C$4:$C$1000,$B28)+COUNTIF(SERVICE_DOCUMENTS!$E$4:$E$1000,$B28)+COUNTIF(SERVICE_DOCUMENTS!$G$4:$G$1000,$B28)+COUNTIF(SERVICE_DOCUMENTS!$I$4:$I$1000,$B28)+COUNTIF(SERVICE_DOCUMENTS!$K$4:$K$1000,$B28)+COUNTIF(SERVICE_DOCUMENTS!$M$4:$M$1000,$B28)+COUNTIF(SERVICE_DOCUMENTS!$O$4:$O$1000,$B28)+COUNTIF(SERVICE_DOCUMENTS!$Q$4:$Q$1000,$B28)</f>
        <v>16</v>
      </c>
      <c r="G28" s="6" t="s">
        <v>3537</v>
      </c>
      <c r="H28" s="5" t="s">
        <v>74</v>
      </c>
      <c r="I28" s="6"/>
    </row>
    <row r="29" customFormat="false" ht="15" hidden="false" customHeight="false" outlineLevel="0" collapsed="false">
      <c r="A29" s="5" t="s">
        <v>3538</v>
      </c>
      <c r="B29" s="6" t="s">
        <v>3539</v>
      </c>
      <c r="C29" s="6" t="s">
        <v>3540</v>
      </c>
      <c r="D29" s="6" t="s">
        <v>3480</v>
      </c>
      <c r="E29" s="6" t="s">
        <v>3436</v>
      </c>
      <c r="F29" s="11" t="n">
        <f aca="false">COUNTIF(SERVICE_DOCUMENTS!$C$4:$C$1000,$B29)+COUNTIF(SERVICE_DOCUMENTS!$E$4:$E$1000,$B29)+COUNTIF(SERVICE_DOCUMENTS!$G$4:$G$1000,$B29)+COUNTIF(SERVICE_DOCUMENTS!$I$4:$I$1000,$B29)+COUNTIF(SERVICE_DOCUMENTS!$K$4:$K$1000,$B29)+COUNTIF(SERVICE_DOCUMENTS!$M$4:$M$1000,$B29)+COUNTIF(SERVICE_DOCUMENTS!$O$4:$O$1000,$B29)+COUNTIF(SERVICE_DOCUMENTS!$Q$4:$Q$1000,$B29)</f>
        <v>3</v>
      </c>
      <c r="G29" s="6" t="s">
        <v>3541</v>
      </c>
      <c r="H29" s="5" t="s">
        <v>74</v>
      </c>
      <c r="I29" s="6"/>
    </row>
    <row r="30" customFormat="false" ht="15" hidden="false" customHeight="false" outlineLevel="0" collapsed="false">
      <c r="A30" s="5" t="s">
        <v>3542</v>
      </c>
      <c r="B30" s="6" t="s">
        <v>3543</v>
      </c>
      <c r="C30" s="6" t="s">
        <v>3544</v>
      </c>
      <c r="D30" s="6" t="s">
        <v>3480</v>
      </c>
      <c r="E30" s="6" t="s">
        <v>3436</v>
      </c>
      <c r="F30" s="11" t="n">
        <f aca="false">COUNTIF(SERVICE_DOCUMENTS!$C$4:$C$1000,$B30)+COUNTIF(SERVICE_DOCUMENTS!$E$4:$E$1000,$B30)+COUNTIF(SERVICE_DOCUMENTS!$G$4:$G$1000,$B30)+COUNTIF(SERVICE_DOCUMENTS!$I$4:$I$1000,$B30)+COUNTIF(SERVICE_DOCUMENTS!$K$4:$K$1000,$B30)+COUNTIF(SERVICE_DOCUMENTS!$M$4:$M$1000,$B30)+COUNTIF(SERVICE_DOCUMENTS!$O$4:$O$1000,$B30)+COUNTIF(SERVICE_DOCUMENTS!$Q$4:$Q$1000,$B30)</f>
        <v>9</v>
      </c>
      <c r="G30" s="6" t="s">
        <v>3545</v>
      </c>
      <c r="H30" s="5" t="s">
        <v>74</v>
      </c>
      <c r="I30" s="6"/>
    </row>
    <row r="31" customFormat="false" ht="15" hidden="false" customHeight="false" outlineLevel="0" collapsed="false">
      <c r="A31" s="5" t="s">
        <v>3546</v>
      </c>
      <c r="B31" s="6" t="s">
        <v>3547</v>
      </c>
      <c r="C31" s="6" t="s">
        <v>3548</v>
      </c>
      <c r="D31" s="6" t="s">
        <v>3480</v>
      </c>
      <c r="E31" s="6" t="s">
        <v>3436</v>
      </c>
      <c r="F31" s="11" t="n">
        <f aca="false">COUNTIF(SERVICE_DOCUMENTS!$C$4:$C$1000,$B31)+COUNTIF(SERVICE_DOCUMENTS!$E$4:$E$1000,$B31)+COUNTIF(SERVICE_DOCUMENTS!$G$4:$G$1000,$B31)+COUNTIF(SERVICE_DOCUMENTS!$I$4:$I$1000,$B31)+COUNTIF(SERVICE_DOCUMENTS!$K$4:$K$1000,$B31)+COUNTIF(SERVICE_DOCUMENTS!$M$4:$M$1000,$B31)+COUNTIF(SERVICE_DOCUMENTS!$O$4:$O$1000,$B31)+COUNTIF(SERVICE_DOCUMENTS!$Q$4:$Q$1000,$B31)</f>
        <v>9</v>
      </c>
      <c r="G31" s="6" t="s">
        <v>3549</v>
      </c>
      <c r="H31" s="5" t="s">
        <v>74</v>
      </c>
      <c r="I31" s="6"/>
    </row>
    <row r="32" customFormat="false" ht="15" hidden="false" customHeight="false" outlineLevel="0" collapsed="false">
      <c r="A32" s="5" t="s">
        <v>3550</v>
      </c>
      <c r="B32" s="6" t="s">
        <v>3551</v>
      </c>
      <c r="C32" s="6" t="s">
        <v>3552</v>
      </c>
      <c r="D32" s="6" t="s">
        <v>3443</v>
      </c>
      <c r="E32" s="6" t="s">
        <v>3436</v>
      </c>
      <c r="F32" s="11" t="n">
        <f aca="false">COUNTIF(SERVICE_DOCUMENTS!$C$4:$C$1000,$B32)+COUNTIF(SERVICE_DOCUMENTS!$E$4:$E$1000,$B32)+COUNTIF(SERVICE_DOCUMENTS!$G$4:$G$1000,$B32)+COUNTIF(SERVICE_DOCUMENTS!$I$4:$I$1000,$B32)+COUNTIF(SERVICE_DOCUMENTS!$K$4:$K$1000,$B32)+COUNTIF(SERVICE_DOCUMENTS!$M$4:$M$1000,$B32)+COUNTIF(SERVICE_DOCUMENTS!$O$4:$O$1000,$B32)+COUNTIF(SERVICE_DOCUMENTS!$Q$4:$Q$1000,$B32)</f>
        <v>20</v>
      </c>
      <c r="G32" s="6" t="s">
        <v>3553</v>
      </c>
      <c r="H32" s="5" t="s">
        <v>74</v>
      </c>
      <c r="I32" s="6"/>
    </row>
    <row r="33" customFormat="false" ht="15" hidden="false" customHeight="false" outlineLevel="0" collapsed="false">
      <c r="A33" s="5" t="s">
        <v>3554</v>
      </c>
      <c r="B33" s="6" t="s">
        <v>3555</v>
      </c>
      <c r="C33" s="6" t="s">
        <v>3556</v>
      </c>
      <c r="D33" s="6" t="s">
        <v>3480</v>
      </c>
      <c r="E33" s="6" t="s">
        <v>3436</v>
      </c>
      <c r="F33" s="11" t="n">
        <f aca="false">COUNTIF(SERVICE_DOCUMENTS!$C$4:$C$1000,$B33)+COUNTIF(SERVICE_DOCUMENTS!$E$4:$E$1000,$B33)+COUNTIF(SERVICE_DOCUMENTS!$G$4:$G$1000,$B33)+COUNTIF(SERVICE_DOCUMENTS!$I$4:$I$1000,$B33)+COUNTIF(SERVICE_DOCUMENTS!$K$4:$K$1000,$B33)+COUNTIF(SERVICE_DOCUMENTS!$M$4:$M$1000,$B33)+COUNTIF(SERVICE_DOCUMENTS!$O$4:$O$1000,$B33)+COUNTIF(SERVICE_DOCUMENTS!$Q$4:$Q$1000,$B33)</f>
        <v>2</v>
      </c>
      <c r="G33" s="6" t="s">
        <v>3557</v>
      </c>
      <c r="H33" s="5" t="s">
        <v>74</v>
      </c>
      <c r="I33" s="6"/>
    </row>
    <row r="34" customFormat="false" ht="15" hidden="false" customHeight="false" outlineLevel="0" collapsed="false">
      <c r="A34" s="5" t="s">
        <v>3558</v>
      </c>
      <c r="B34" s="6" t="s">
        <v>3559</v>
      </c>
      <c r="C34" s="6" t="s">
        <v>3560</v>
      </c>
      <c r="D34" s="6" t="s">
        <v>3435</v>
      </c>
      <c r="E34" s="6" t="s">
        <v>3436</v>
      </c>
      <c r="F34" s="11" t="n">
        <f aca="false">COUNTIF(SERVICE_DOCUMENTS!$C$4:$C$1000,$B34)+COUNTIF(SERVICE_DOCUMENTS!$E$4:$E$1000,$B34)+COUNTIF(SERVICE_DOCUMENTS!$G$4:$G$1000,$B34)+COUNTIF(SERVICE_DOCUMENTS!$I$4:$I$1000,$B34)+COUNTIF(SERVICE_DOCUMENTS!$K$4:$K$1000,$B34)+COUNTIF(SERVICE_DOCUMENTS!$M$4:$M$1000,$B34)+COUNTIF(SERVICE_DOCUMENTS!$O$4:$O$1000,$B34)+COUNTIF(SERVICE_DOCUMENTS!$Q$4:$Q$1000,$B34)</f>
        <v>9</v>
      </c>
      <c r="G34" s="6" t="s">
        <v>3561</v>
      </c>
      <c r="H34" s="5" t="s">
        <v>74</v>
      </c>
      <c r="I34" s="6"/>
    </row>
    <row r="35" customFormat="false" ht="15" hidden="false" customHeight="false" outlineLevel="0" collapsed="false">
      <c r="A35" s="5" t="s">
        <v>3562</v>
      </c>
      <c r="B35" s="6" t="s">
        <v>3563</v>
      </c>
      <c r="C35" s="6" t="s">
        <v>3564</v>
      </c>
      <c r="D35" s="6" t="s">
        <v>3448</v>
      </c>
      <c r="E35" s="6" t="s">
        <v>3436</v>
      </c>
      <c r="F35" s="11" t="n">
        <f aca="false">COUNTIF(SERVICE_DOCUMENTS!$C$4:$C$1000,$B35)+COUNTIF(SERVICE_DOCUMENTS!$E$4:$E$1000,$B35)+COUNTIF(SERVICE_DOCUMENTS!$G$4:$G$1000,$B35)+COUNTIF(SERVICE_DOCUMENTS!$I$4:$I$1000,$B35)+COUNTIF(SERVICE_DOCUMENTS!$K$4:$K$1000,$B35)+COUNTIF(SERVICE_DOCUMENTS!$M$4:$M$1000,$B35)+COUNTIF(SERVICE_DOCUMENTS!$O$4:$O$1000,$B35)+COUNTIF(SERVICE_DOCUMENTS!$Q$4:$Q$1000,$B35)</f>
        <v>2</v>
      </c>
      <c r="G35" s="6" t="s">
        <v>3565</v>
      </c>
      <c r="H35" s="5" t="s">
        <v>74</v>
      </c>
      <c r="I35" s="6"/>
    </row>
    <row r="36" customFormat="false" ht="15" hidden="false" customHeight="false" outlineLevel="0" collapsed="false">
      <c r="A36" s="5" t="s">
        <v>3566</v>
      </c>
      <c r="B36" s="6" t="s">
        <v>3567</v>
      </c>
      <c r="C36" s="6" t="s">
        <v>3568</v>
      </c>
      <c r="D36" s="6" t="s">
        <v>3480</v>
      </c>
      <c r="E36" s="6" t="s">
        <v>3436</v>
      </c>
      <c r="F36" s="11" t="n">
        <f aca="false">COUNTIF(SERVICE_DOCUMENTS!$C$4:$C$1000,$B36)+COUNTIF(SERVICE_DOCUMENTS!$E$4:$E$1000,$B36)+COUNTIF(SERVICE_DOCUMENTS!$G$4:$G$1000,$B36)+COUNTIF(SERVICE_DOCUMENTS!$I$4:$I$1000,$B36)+COUNTIF(SERVICE_DOCUMENTS!$K$4:$K$1000,$B36)+COUNTIF(SERVICE_DOCUMENTS!$M$4:$M$1000,$B36)+COUNTIF(SERVICE_DOCUMENTS!$O$4:$O$1000,$B36)+COUNTIF(SERVICE_DOCUMENTS!$Q$4:$Q$1000,$B36)</f>
        <v>0</v>
      </c>
      <c r="G36" s="6" t="s">
        <v>3569</v>
      </c>
      <c r="H36" s="5" t="s">
        <v>74</v>
      </c>
      <c r="I36" s="6"/>
    </row>
    <row r="37" customFormat="false" ht="15" hidden="false" customHeight="false" outlineLevel="0" collapsed="false">
      <c r="A37" s="5" t="s">
        <v>3570</v>
      </c>
      <c r="B37" s="6" t="s">
        <v>3571</v>
      </c>
      <c r="C37" s="6" t="s">
        <v>3572</v>
      </c>
      <c r="D37" s="6" t="s">
        <v>3448</v>
      </c>
      <c r="E37" s="6" t="s">
        <v>3436</v>
      </c>
      <c r="F37" s="11" t="n">
        <f aca="false">COUNTIF(SERVICE_DOCUMENTS!$C$4:$C$1000,$B37)+COUNTIF(SERVICE_DOCUMENTS!$E$4:$E$1000,$B37)+COUNTIF(SERVICE_DOCUMENTS!$G$4:$G$1000,$B37)+COUNTIF(SERVICE_DOCUMENTS!$I$4:$I$1000,$B37)+COUNTIF(SERVICE_DOCUMENTS!$K$4:$K$1000,$B37)+COUNTIF(SERVICE_DOCUMENTS!$M$4:$M$1000,$B37)+COUNTIF(SERVICE_DOCUMENTS!$O$4:$O$1000,$B37)+COUNTIF(SERVICE_DOCUMENTS!$Q$4:$Q$1000,$B37)</f>
        <v>20</v>
      </c>
      <c r="G37" s="6" t="s">
        <v>3573</v>
      </c>
      <c r="H37" s="5" t="s">
        <v>74</v>
      </c>
      <c r="I37" s="6"/>
    </row>
    <row r="38" customFormat="false" ht="15" hidden="false" customHeight="false" outlineLevel="0" collapsed="false">
      <c r="A38" s="5" t="s">
        <v>3574</v>
      </c>
      <c r="B38" s="6" t="s">
        <v>3575</v>
      </c>
      <c r="C38" s="6" t="s">
        <v>3576</v>
      </c>
      <c r="D38" s="6" t="s">
        <v>3443</v>
      </c>
      <c r="E38" s="6" t="s">
        <v>3436</v>
      </c>
      <c r="F38" s="11" t="n">
        <f aca="false">COUNTIF(SERVICE_DOCUMENTS!$C$4:$C$1000,$B38)+COUNTIF(SERVICE_DOCUMENTS!$E$4:$E$1000,$B38)+COUNTIF(SERVICE_DOCUMENTS!$G$4:$G$1000,$B38)+COUNTIF(SERVICE_DOCUMENTS!$I$4:$I$1000,$B38)+COUNTIF(SERVICE_DOCUMENTS!$K$4:$K$1000,$B38)+COUNTIF(SERVICE_DOCUMENTS!$M$4:$M$1000,$B38)+COUNTIF(SERVICE_DOCUMENTS!$O$4:$O$1000,$B38)+COUNTIF(SERVICE_DOCUMENTS!$Q$4:$Q$1000,$B38)</f>
        <v>13</v>
      </c>
      <c r="G38" s="6" t="s">
        <v>3577</v>
      </c>
      <c r="H38" s="5" t="s">
        <v>74</v>
      </c>
      <c r="I38" s="6"/>
    </row>
    <row r="39" customFormat="false" ht="15" hidden="false" customHeight="false" outlineLevel="0" collapsed="false">
      <c r="A39" s="5" t="s">
        <v>3578</v>
      </c>
      <c r="B39" s="6" t="s">
        <v>3579</v>
      </c>
      <c r="C39" s="6" t="s">
        <v>3580</v>
      </c>
      <c r="D39" s="6" t="s">
        <v>3480</v>
      </c>
      <c r="E39" s="6" t="s">
        <v>3436</v>
      </c>
      <c r="F39" s="11" t="n">
        <f aca="false">COUNTIF(SERVICE_DOCUMENTS!$C$4:$C$1000,$B39)+COUNTIF(SERVICE_DOCUMENTS!$E$4:$E$1000,$B39)+COUNTIF(SERVICE_DOCUMENTS!$G$4:$G$1000,$B39)+COUNTIF(SERVICE_DOCUMENTS!$I$4:$I$1000,$B39)+COUNTIF(SERVICE_DOCUMENTS!$K$4:$K$1000,$B39)+COUNTIF(SERVICE_DOCUMENTS!$M$4:$M$1000,$B39)+COUNTIF(SERVICE_DOCUMENTS!$O$4:$O$1000,$B39)+COUNTIF(SERVICE_DOCUMENTS!$Q$4:$Q$1000,$B39)</f>
        <v>10</v>
      </c>
      <c r="G39" s="6" t="s">
        <v>3581</v>
      </c>
      <c r="H39" s="5" t="s">
        <v>74</v>
      </c>
      <c r="I39" s="6"/>
    </row>
    <row r="40" customFormat="false" ht="15" hidden="false" customHeight="false" outlineLevel="0" collapsed="false">
      <c r="A40" s="5" t="s">
        <v>3582</v>
      </c>
      <c r="B40" s="6" t="s">
        <v>3583</v>
      </c>
      <c r="C40" s="6" t="s">
        <v>3584</v>
      </c>
      <c r="D40" s="6" t="s">
        <v>3467</v>
      </c>
      <c r="E40" s="6" t="s">
        <v>3436</v>
      </c>
      <c r="F40" s="11" t="n">
        <f aca="false">COUNTIF(SERVICE_DOCUMENTS!$C$4:$C$1000,$B40)+COUNTIF(SERVICE_DOCUMENTS!$E$4:$E$1000,$B40)+COUNTIF(SERVICE_DOCUMENTS!$G$4:$G$1000,$B40)+COUNTIF(SERVICE_DOCUMENTS!$I$4:$I$1000,$B40)+COUNTIF(SERVICE_DOCUMENTS!$K$4:$K$1000,$B40)+COUNTIF(SERVICE_DOCUMENTS!$M$4:$M$1000,$B40)+COUNTIF(SERVICE_DOCUMENTS!$O$4:$O$1000,$B40)+COUNTIF(SERVICE_DOCUMENTS!$Q$4:$Q$1000,$B40)</f>
        <v>0</v>
      </c>
      <c r="G40" s="6" t="s">
        <v>3585</v>
      </c>
      <c r="H40" s="5" t="s">
        <v>74</v>
      </c>
      <c r="I40" s="6"/>
    </row>
    <row r="41" customFormat="false" ht="15" hidden="false" customHeight="false" outlineLevel="0" collapsed="false">
      <c r="A41" s="5" t="s">
        <v>3586</v>
      </c>
      <c r="B41" s="6" t="s">
        <v>3587</v>
      </c>
      <c r="C41" s="6" t="s">
        <v>3588</v>
      </c>
      <c r="D41" s="6" t="s">
        <v>3467</v>
      </c>
      <c r="E41" s="6" t="s">
        <v>3453</v>
      </c>
      <c r="F41" s="11" t="n">
        <f aca="false">COUNTIF(SERVICE_DOCUMENTS!$C$4:$C$1000,$B41)+COUNTIF(SERVICE_DOCUMENTS!$E$4:$E$1000,$B41)+COUNTIF(SERVICE_DOCUMENTS!$G$4:$G$1000,$B41)+COUNTIF(SERVICE_DOCUMENTS!$I$4:$I$1000,$B41)+COUNTIF(SERVICE_DOCUMENTS!$K$4:$K$1000,$B41)+COUNTIF(SERVICE_DOCUMENTS!$M$4:$M$1000,$B41)+COUNTIF(SERVICE_DOCUMENTS!$O$4:$O$1000,$B41)+COUNTIF(SERVICE_DOCUMENTS!$Q$4:$Q$1000,$B41)</f>
        <v>20</v>
      </c>
      <c r="G41" s="6" t="s">
        <v>3589</v>
      </c>
      <c r="H41" s="5" t="s">
        <v>74</v>
      </c>
      <c r="I41" s="6"/>
    </row>
    <row r="42" customFormat="false" ht="15" hidden="false" customHeight="false" outlineLevel="0" collapsed="false">
      <c r="A42" s="5" t="s">
        <v>3590</v>
      </c>
      <c r="B42" s="6" t="s">
        <v>3591</v>
      </c>
      <c r="C42" s="6" t="s">
        <v>3592</v>
      </c>
      <c r="D42" s="6" t="s">
        <v>3480</v>
      </c>
      <c r="E42" s="6" t="s">
        <v>3436</v>
      </c>
      <c r="F42" s="11" t="n">
        <f aca="false">COUNTIF(SERVICE_DOCUMENTS!$C$4:$C$1000,$B42)+COUNTIF(SERVICE_DOCUMENTS!$E$4:$E$1000,$B42)+COUNTIF(SERVICE_DOCUMENTS!$G$4:$G$1000,$B42)+COUNTIF(SERVICE_DOCUMENTS!$I$4:$I$1000,$B42)+COUNTIF(SERVICE_DOCUMENTS!$K$4:$K$1000,$B42)+COUNTIF(SERVICE_DOCUMENTS!$M$4:$M$1000,$B42)+COUNTIF(SERVICE_DOCUMENTS!$O$4:$O$1000,$B42)+COUNTIF(SERVICE_DOCUMENTS!$Q$4:$Q$1000,$B42)</f>
        <v>5</v>
      </c>
      <c r="G42" s="6" t="s">
        <v>3593</v>
      </c>
      <c r="H42" s="5" t="s">
        <v>74</v>
      </c>
      <c r="I42" s="6"/>
    </row>
    <row r="43" customFormat="false" ht="15" hidden="false" customHeight="false" outlineLevel="0" collapsed="false">
      <c r="A43" s="5" t="s">
        <v>3594</v>
      </c>
      <c r="B43" s="6" t="s">
        <v>3595</v>
      </c>
      <c r="C43" s="6" t="s">
        <v>3596</v>
      </c>
      <c r="D43" s="6" t="s">
        <v>3480</v>
      </c>
      <c r="E43" s="6" t="s">
        <v>3436</v>
      </c>
      <c r="F43" s="11" t="n">
        <f aca="false">COUNTIF(SERVICE_DOCUMENTS!$C$4:$C$1000,$B43)+COUNTIF(SERVICE_DOCUMENTS!$E$4:$E$1000,$B43)+COUNTIF(SERVICE_DOCUMENTS!$G$4:$G$1000,$B43)+COUNTIF(SERVICE_DOCUMENTS!$I$4:$I$1000,$B43)+COUNTIF(SERVICE_DOCUMENTS!$K$4:$K$1000,$B43)+COUNTIF(SERVICE_DOCUMENTS!$M$4:$M$1000,$B43)+COUNTIF(SERVICE_DOCUMENTS!$O$4:$O$1000,$B43)+COUNTIF(SERVICE_DOCUMENTS!$Q$4:$Q$1000,$B43)</f>
        <v>8</v>
      </c>
      <c r="G43" s="6" t="s">
        <v>3597</v>
      </c>
      <c r="H43" s="5" t="s">
        <v>74</v>
      </c>
      <c r="I43" s="6"/>
    </row>
    <row r="44" customFormat="false" ht="15" hidden="false" customHeight="false" outlineLevel="0" collapsed="false">
      <c r="A44" s="5" t="s">
        <v>3598</v>
      </c>
      <c r="B44" s="6" t="s">
        <v>3599</v>
      </c>
      <c r="C44" s="6" t="s">
        <v>3600</v>
      </c>
      <c r="D44" s="6" t="s">
        <v>3480</v>
      </c>
      <c r="E44" s="6" t="s">
        <v>3436</v>
      </c>
      <c r="F44" s="11" t="n">
        <f aca="false">COUNTIF(SERVICE_DOCUMENTS!$C$4:$C$1000,$B44)+COUNTIF(SERVICE_DOCUMENTS!$E$4:$E$1000,$B44)+COUNTIF(SERVICE_DOCUMENTS!$G$4:$G$1000,$B44)+COUNTIF(SERVICE_DOCUMENTS!$I$4:$I$1000,$B44)+COUNTIF(SERVICE_DOCUMENTS!$K$4:$K$1000,$B44)+COUNTIF(SERVICE_DOCUMENTS!$M$4:$M$1000,$B44)+COUNTIF(SERVICE_DOCUMENTS!$O$4:$O$1000,$B44)+COUNTIF(SERVICE_DOCUMENTS!$Q$4:$Q$1000,$B44)</f>
        <v>5</v>
      </c>
      <c r="G44" s="6" t="s">
        <v>3601</v>
      </c>
      <c r="H44" s="5" t="s">
        <v>74</v>
      </c>
      <c r="I44" s="6"/>
    </row>
    <row r="45" customFormat="false" ht="15" hidden="false" customHeight="false" outlineLevel="0" collapsed="false">
      <c r="A45" s="5" t="s">
        <v>3602</v>
      </c>
      <c r="B45" s="6" t="s">
        <v>3603</v>
      </c>
      <c r="C45" s="6" t="s">
        <v>3604</v>
      </c>
      <c r="D45" s="6" t="s">
        <v>3480</v>
      </c>
      <c r="E45" s="6" t="s">
        <v>3436</v>
      </c>
      <c r="F45" s="11" t="n">
        <f aca="false">COUNTIF(SERVICE_DOCUMENTS!$C$4:$C$1000,$B45)+COUNTIF(SERVICE_DOCUMENTS!$E$4:$E$1000,$B45)+COUNTIF(SERVICE_DOCUMENTS!$G$4:$G$1000,$B45)+COUNTIF(SERVICE_DOCUMENTS!$I$4:$I$1000,$B45)+COUNTIF(SERVICE_DOCUMENTS!$K$4:$K$1000,$B45)+COUNTIF(SERVICE_DOCUMENTS!$M$4:$M$1000,$B45)+COUNTIF(SERVICE_DOCUMENTS!$O$4:$O$1000,$B45)+COUNTIF(SERVICE_DOCUMENTS!$Q$4:$Q$1000,$B45)</f>
        <v>14</v>
      </c>
      <c r="G45" s="6" t="s">
        <v>3605</v>
      </c>
      <c r="H45" s="5" t="s">
        <v>74</v>
      </c>
      <c r="I45" s="6"/>
    </row>
    <row r="46" customFormat="false" ht="15" hidden="false" customHeight="false" outlineLevel="0" collapsed="false">
      <c r="A46" s="5" t="s">
        <v>3606</v>
      </c>
      <c r="B46" s="6" t="s">
        <v>3607</v>
      </c>
      <c r="C46" s="6" t="s">
        <v>3608</v>
      </c>
      <c r="D46" s="6" t="s">
        <v>3485</v>
      </c>
      <c r="E46" s="6" t="s">
        <v>3453</v>
      </c>
      <c r="F46" s="11" t="n">
        <f aca="false">COUNTIF(SERVICE_DOCUMENTS!$C$4:$C$1000,$B46)+COUNTIF(SERVICE_DOCUMENTS!$E$4:$E$1000,$B46)+COUNTIF(SERVICE_DOCUMENTS!$G$4:$G$1000,$B46)+COUNTIF(SERVICE_DOCUMENTS!$I$4:$I$1000,$B46)+COUNTIF(SERVICE_DOCUMENTS!$K$4:$K$1000,$B46)+COUNTIF(SERVICE_DOCUMENTS!$M$4:$M$1000,$B46)+COUNTIF(SERVICE_DOCUMENTS!$O$4:$O$1000,$B46)+COUNTIF(SERVICE_DOCUMENTS!$Q$4:$Q$1000,$B46)</f>
        <v>0</v>
      </c>
      <c r="G46" s="6" t="s">
        <v>3609</v>
      </c>
      <c r="H46" s="5" t="s">
        <v>74</v>
      </c>
      <c r="I46" s="6"/>
    </row>
    <row r="47" customFormat="false" ht="15" hidden="false" customHeight="false" outlineLevel="0" collapsed="false">
      <c r="A47" s="5" t="s">
        <v>3610</v>
      </c>
      <c r="B47" s="6" t="s">
        <v>3611</v>
      </c>
      <c r="C47" s="6" t="s">
        <v>3612</v>
      </c>
      <c r="D47" s="6" t="s">
        <v>3448</v>
      </c>
      <c r="E47" s="6" t="s">
        <v>3436</v>
      </c>
      <c r="F47" s="11" t="n">
        <f aca="false">COUNTIF(SERVICE_DOCUMENTS!$C$4:$C$1000,$B47)+COUNTIF(SERVICE_DOCUMENTS!$E$4:$E$1000,$B47)+COUNTIF(SERVICE_DOCUMENTS!$G$4:$G$1000,$B47)+COUNTIF(SERVICE_DOCUMENTS!$I$4:$I$1000,$B47)+COUNTIF(SERVICE_DOCUMENTS!$K$4:$K$1000,$B47)+COUNTIF(SERVICE_DOCUMENTS!$M$4:$M$1000,$B47)+COUNTIF(SERVICE_DOCUMENTS!$O$4:$O$1000,$B47)+COUNTIF(SERVICE_DOCUMENTS!$Q$4:$Q$1000,$B47)</f>
        <v>17</v>
      </c>
      <c r="G47" s="6" t="s">
        <v>3613</v>
      </c>
      <c r="H47" s="5" t="s">
        <v>74</v>
      </c>
      <c r="I47" s="6"/>
    </row>
    <row r="48" customFormat="false" ht="15" hidden="false" customHeight="false" outlineLevel="0" collapsed="false">
      <c r="A48" s="5" t="s">
        <v>3614</v>
      </c>
      <c r="B48" s="6" t="s">
        <v>3615</v>
      </c>
      <c r="C48" s="6" t="s">
        <v>3616</v>
      </c>
      <c r="D48" s="6" t="s">
        <v>3435</v>
      </c>
      <c r="E48" s="6" t="s">
        <v>3436</v>
      </c>
      <c r="F48" s="11" t="n">
        <f aca="false">COUNTIF(SERVICE_DOCUMENTS!$C$4:$C$1000,$B48)+COUNTIF(SERVICE_DOCUMENTS!$E$4:$E$1000,$B48)+COUNTIF(SERVICE_DOCUMENTS!$G$4:$G$1000,$B48)+COUNTIF(SERVICE_DOCUMENTS!$I$4:$I$1000,$B48)+COUNTIF(SERVICE_DOCUMENTS!$K$4:$K$1000,$B48)+COUNTIF(SERVICE_DOCUMENTS!$M$4:$M$1000,$B48)+COUNTIF(SERVICE_DOCUMENTS!$O$4:$O$1000,$B48)+COUNTIF(SERVICE_DOCUMENTS!$Q$4:$Q$1000,$B48)</f>
        <v>1</v>
      </c>
      <c r="G48" s="6" t="s">
        <v>3617</v>
      </c>
      <c r="H48" s="5" t="s">
        <v>74</v>
      </c>
      <c r="I48" s="6"/>
    </row>
  </sheetData>
  <dataValidations count="3">
    <dataValidation allowBlank="true" error="Please choose a value from the dropdown list." errorStyle="stop" errorTitle="Invalid value" operator="between" showDropDown="false" showErrorMessage="true" showInputMessage="false" sqref="D4:D200" type="list">
      <formula1>LISTS!$K$4:$K$10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E4:E200" type="list">
      <formula1>LISTS!$L$4:$L$8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H4:H200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3618</v>
      </c>
    </row>
    <row r="2" customFormat="false" ht="15" hidden="false" customHeight="false" outlineLevel="0" collapsed="false">
      <c r="A2" s="2" t="s">
        <v>3619</v>
      </c>
    </row>
    <row r="3" customFormat="false" ht="33.75" hidden="false" customHeight="true" outlineLevel="0" collapsed="false">
      <c r="A3" s="3" t="s">
        <v>3620</v>
      </c>
      <c r="B3" s="3" t="s">
        <v>3621</v>
      </c>
      <c r="C3" s="3" t="s">
        <v>3622</v>
      </c>
      <c r="D3" s="3" t="s">
        <v>3623</v>
      </c>
      <c r="E3" s="3" t="s">
        <v>3422</v>
      </c>
    </row>
    <row r="4" customFormat="false" ht="15" hidden="false" customHeight="false" outlineLevel="0" collapsed="false">
      <c r="A4" s="6" t="s">
        <v>167</v>
      </c>
      <c r="B4" s="6" t="s">
        <v>3624</v>
      </c>
      <c r="C4" s="6" t="s">
        <v>167</v>
      </c>
      <c r="D4" s="5" t="s">
        <v>74</v>
      </c>
      <c r="E4" s="6"/>
    </row>
    <row r="5" customFormat="false" ht="23.85" hidden="false" customHeight="false" outlineLevel="0" collapsed="false">
      <c r="A5" s="6" t="s">
        <v>3625</v>
      </c>
      <c r="B5" s="6" t="s">
        <v>3626</v>
      </c>
      <c r="C5" s="6" t="s">
        <v>3625</v>
      </c>
      <c r="D5" s="5" t="s">
        <v>74</v>
      </c>
      <c r="E5" s="6"/>
    </row>
    <row r="6" customFormat="false" ht="15" hidden="false" customHeight="false" outlineLevel="0" collapsed="false">
      <c r="A6" s="6" t="s">
        <v>3627</v>
      </c>
      <c r="B6" s="6" t="s">
        <v>3628</v>
      </c>
      <c r="C6" s="6" t="s">
        <v>3627</v>
      </c>
      <c r="D6" s="5" t="s">
        <v>79</v>
      </c>
      <c r="E6" s="6"/>
    </row>
    <row r="7" customFormat="false" ht="23.85" hidden="false" customHeight="false" outlineLevel="0" collapsed="false">
      <c r="A7" s="6" t="s">
        <v>12</v>
      </c>
      <c r="B7" s="6" t="s">
        <v>3629</v>
      </c>
      <c r="C7" s="6" t="s">
        <v>3630</v>
      </c>
      <c r="D7" s="5" t="s">
        <v>79</v>
      </c>
      <c r="E7" s="6"/>
    </row>
    <row r="8" customFormat="false" ht="23.85" hidden="false" customHeight="false" outlineLevel="0" collapsed="false">
      <c r="A8" s="6" t="s">
        <v>221</v>
      </c>
      <c r="B8" s="6" t="s">
        <v>3631</v>
      </c>
      <c r="C8" s="6" t="s">
        <v>3632</v>
      </c>
      <c r="D8" s="5" t="s">
        <v>79</v>
      </c>
      <c r="E8" s="6"/>
    </row>
    <row r="9" customFormat="false" ht="15" hidden="false" customHeight="false" outlineLevel="0" collapsed="false">
      <c r="A9" s="6" t="s">
        <v>33</v>
      </c>
      <c r="B9" s="6" t="s">
        <v>3633</v>
      </c>
      <c r="C9" s="6" t="s">
        <v>33</v>
      </c>
      <c r="D9" s="5" t="s">
        <v>74</v>
      </c>
      <c r="E9" s="6"/>
    </row>
    <row r="10" customFormat="false" ht="15" hidden="false" customHeight="false" outlineLevel="0" collapsed="false">
      <c r="A10" s="6" t="s">
        <v>75</v>
      </c>
      <c r="B10" s="6" t="s">
        <v>3634</v>
      </c>
      <c r="C10" s="6" t="s">
        <v>3635</v>
      </c>
      <c r="D10" s="5" t="s">
        <v>79</v>
      </c>
      <c r="E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3636</v>
      </c>
    </row>
    <row r="2" customFormat="false" ht="15" hidden="false" customHeight="false" outlineLevel="0" collapsed="false">
      <c r="A2" s="2" t="s">
        <v>3637</v>
      </c>
    </row>
    <row r="3" customFormat="false" ht="33.75" hidden="false" customHeight="true" outlineLevel="0" collapsed="false">
      <c r="A3" s="3" t="s">
        <v>3638</v>
      </c>
      <c r="B3" s="3" t="s">
        <v>3621</v>
      </c>
      <c r="C3" s="3" t="s">
        <v>3639</v>
      </c>
      <c r="D3" s="3" t="s">
        <v>3422</v>
      </c>
    </row>
    <row r="4" customFormat="false" ht="15" hidden="false" customHeight="false" outlineLevel="0" collapsed="false">
      <c r="A4" s="6" t="s">
        <v>3640</v>
      </c>
      <c r="B4" s="6" t="s">
        <v>3641</v>
      </c>
      <c r="C4" s="6" t="s">
        <v>3642</v>
      </c>
      <c r="D4" s="6"/>
    </row>
    <row r="5" customFormat="false" ht="15" hidden="false" customHeight="false" outlineLevel="0" collapsed="false">
      <c r="A5" s="6" t="s">
        <v>1884</v>
      </c>
      <c r="B5" s="6" t="s">
        <v>3643</v>
      </c>
      <c r="C5" s="6" t="s">
        <v>3644</v>
      </c>
      <c r="D5" s="6"/>
    </row>
    <row r="6" customFormat="false" ht="15" hidden="false" customHeight="false" outlineLevel="0" collapsed="false">
      <c r="A6" s="6" t="s">
        <v>3645</v>
      </c>
      <c r="B6" s="6" t="s">
        <v>3646</v>
      </c>
      <c r="C6" s="6" t="s">
        <v>3647</v>
      </c>
      <c r="D6" s="6"/>
    </row>
    <row r="7" customFormat="false" ht="15" hidden="false" customHeight="false" outlineLevel="0" collapsed="false">
      <c r="A7" s="6" t="s">
        <v>442</v>
      </c>
      <c r="B7" s="6" t="s">
        <v>3648</v>
      </c>
      <c r="C7" s="6" t="s">
        <v>3649</v>
      </c>
      <c r="D7" s="6"/>
    </row>
    <row r="8" customFormat="false" ht="15" hidden="false" customHeight="false" outlineLevel="0" collapsed="false">
      <c r="A8" s="6" t="s">
        <v>3650</v>
      </c>
      <c r="B8" s="6" t="s">
        <v>3651</v>
      </c>
      <c r="C8" s="6" t="s">
        <v>3652</v>
      </c>
      <c r="D8" s="6"/>
    </row>
    <row r="9" customFormat="false" ht="15" hidden="false" customHeight="false" outlineLevel="0" collapsed="false">
      <c r="A9" s="6" t="s">
        <v>80</v>
      </c>
      <c r="B9" s="6" t="s">
        <v>3653</v>
      </c>
      <c r="C9" s="6" t="s">
        <v>3654</v>
      </c>
      <c r="D9" s="6"/>
    </row>
    <row r="10" customFormat="false" ht="15" hidden="false" customHeight="false" outlineLevel="0" collapsed="false">
      <c r="A10" s="6" t="s">
        <v>75</v>
      </c>
      <c r="B10" s="6" t="s">
        <v>3655</v>
      </c>
      <c r="C10" s="6" t="s">
        <v>3656</v>
      </c>
      <c r="D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3657</v>
      </c>
    </row>
    <row r="2" customFormat="false" ht="15" hidden="false" customHeight="false" outlineLevel="0" collapsed="false">
      <c r="A2" s="2" t="s">
        <v>3658</v>
      </c>
    </row>
    <row r="4" customFormat="false" ht="15" hidden="false" customHeight="false" outlineLevel="0" collapsed="false">
      <c r="A4" s="13" t="s">
        <v>3659</v>
      </c>
    </row>
    <row r="5" customFormat="false" ht="15" hidden="false" customHeight="false" outlineLevel="0" collapsed="false">
      <c r="A5" s="14"/>
      <c r="B5" s="14" t="s">
        <v>3660</v>
      </c>
      <c r="C5" s="14" t="s">
        <v>3661</v>
      </c>
      <c r="D5" s="14" t="s">
        <v>3662</v>
      </c>
    </row>
    <row r="6" customFormat="false" ht="23.85" hidden="false" customHeight="false" outlineLevel="0" collapsed="false">
      <c r="B6" s="15" t="s">
        <v>3663</v>
      </c>
      <c r="C6" s="7" t="str">
        <f aca="false">IFERROR(INDEX(WEBSITE_CONTENT!$B$4:$B$60,MATCH($B6,WEBSITE_CONTENT!$A$4:$A$60,0)),"")</f>
        <v>Devmobile Stores and Common Service Center &amp; Aadhaar Centre</v>
      </c>
      <c r="D6" s="7" t="str">
        <f aca="false">IFERROR(INDEX(WEBSITE_CONTENT!$C$4:$C$60,MATCH($B6,WEBSITE_CONTENT!$A$4:$A$60,0)),"")</f>
        <v>डेवमोबाइल स्टोर्स एंड कॉमन सर्विस सेंटर &amp; आधार सेंटर</v>
      </c>
    </row>
    <row r="7" customFormat="false" ht="15" hidden="false" customHeight="false" outlineLevel="0" collapsed="false">
      <c r="B7" s="15" t="s">
        <v>3664</v>
      </c>
      <c r="C7" s="7" t="str">
        <f aca="false">IFERROR(INDEX(WEBSITE_CONTENT!$B$4:$B$60,MATCH($B7,WEBSITE_CONTENT!$A$4:$A$60,0)),"")</f>
        <v>To Add</v>
      </c>
      <c r="D7" s="7" t="str">
        <f aca="false">IFERROR(INDEX(WEBSITE_CONTENT!$C$4:$C$60,MATCH($B7,WEBSITE_CONTENT!$A$4:$A$60,0)),"")</f>
        <v>To Add</v>
      </c>
    </row>
    <row r="8" customFormat="false" ht="15" hidden="false" customHeight="false" outlineLevel="0" collapsed="false">
      <c r="B8" s="15" t="s">
        <v>3665</v>
      </c>
      <c r="C8" s="7" t="str">
        <f aca="false">IFERROR(INDEX(WEBSITE_CONTENT!$B$4:$B$60,MATCH($B8,WEBSITE_CONTENT!$A$4:$A$60,0)),"")</f>
        <v>To Verify</v>
      </c>
      <c r="D8" s="7" t="str">
        <f aca="false">IFERROR(INDEX(WEBSITE_CONTENT!$C$4:$C$60,MATCH($B8,WEBSITE_CONTENT!$A$4:$A$60,0)),"")</f>
        <v>To Verify</v>
      </c>
    </row>
    <row r="9" customFormat="false" ht="15" hidden="false" customHeight="false" outlineLevel="0" collapsed="false">
      <c r="B9" s="15" t="s">
        <v>3666</v>
      </c>
      <c r="C9" s="7" t="str">
        <f aca="false">IFERROR(INDEX(WEBSITE_CONTENT!$B$4:$B$60,MATCH($B9,WEBSITE_CONTENT!$A$4:$A$60,0)),"")</f>
        <v>To Verify</v>
      </c>
      <c r="D9" s="7" t="str">
        <f aca="false">IFERROR(INDEX(WEBSITE_CONTENT!$C$4:$C$60,MATCH($B9,WEBSITE_CONTENT!$A$4:$A$60,0)),"")</f>
        <v>To Verify</v>
      </c>
    </row>
    <row r="10" customFormat="false" ht="15" hidden="false" customHeight="false" outlineLevel="0" collapsed="false">
      <c r="B10" s="15" t="s">
        <v>3667</v>
      </c>
      <c r="C10" s="7" t="str">
        <f aca="false">IFERROR(INDEX(WEBSITE_CONTENT!$B$4:$B$60,MATCH($B10,WEBSITE_CONTENT!$A$4:$A$60,0)),"")</f>
        <v>To Verify</v>
      </c>
      <c r="D10" s="7" t="str">
        <f aca="false">IFERROR(INDEX(WEBSITE_CONTENT!$C$4:$C$60,MATCH($B10,WEBSITE_CONTENT!$A$4:$A$60,0)),"")</f>
        <v>To Verify</v>
      </c>
    </row>
    <row r="11" customFormat="false" ht="15" hidden="false" customHeight="false" outlineLevel="0" collapsed="false">
      <c r="B11" s="15" t="s">
        <v>3668</v>
      </c>
      <c r="C11" s="7" t="str">
        <f aca="false">IFERROR(INDEX(WEBSITE_CONTENT!$B$4:$B$60,MATCH($B11,WEBSITE_CONTENT!$A$4:$A$60,0)),"")</f>
        <v>To Verify</v>
      </c>
      <c r="D11" s="7" t="str">
        <f aca="false">IFERROR(INDEX(WEBSITE_CONTENT!$C$4:$C$60,MATCH($B11,WEBSITE_CONTENT!$A$4:$A$60,0)),"")</f>
        <v>To Verify</v>
      </c>
    </row>
    <row r="13" customFormat="false" ht="15" hidden="false" customHeight="false" outlineLevel="0" collapsed="false">
      <c r="A13" s="13" t="s">
        <v>3669</v>
      </c>
    </row>
    <row r="14" customFormat="false" ht="15" hidden="false" customHeight="false" outlineLevel="0" collapsed="false">
      <c r="A14" s="14" t="s">
        <v>3670</v>
      </c>
      <c r="B14" s="14" t="s">
        <v>43</v>
      </c>
      <c r="C14" s="14" t="s">
        <v>3410</v>
      </c>
      <c r="D14" s="14" t="s">
        <v>3662</v>
      </c>
      <c r="E14" s="14" t="s">
        <v>3671</v>
      </c>
      <c r="F14" s="14"/>
      <c r="G14" s="14" t="s">
        <v>3672</v>
      </c>
    </row>
    <row r="15" customFormat="false" ht="15" hidden="false" customHeight="false" outlineLevel="0" collapsed="false">
      <c r="A15" s="16" t="n">
        <f aca="false">CATEGORY_MASTER!E4</f>
        <v>10</v>
      </c>
      <c r="B15" s="16" t="str">
        <f aca="false">CATEGORY_MASTER!C4</f>
        <v>🪪</v>
      </c>
      <c r="C15" s="16" t="str">
        <f aca="false">CATEGORY_MASTER!A4</f>
        <v>Aadhaar Centre</v>
      </c>
      <c r="D15" s="16" t="str">
        <f aca="false">CATEGORY_MASTER!B4</f>
        <v>आधार सेंटर</v>
      </c>
      <c r="E15" s="16" t="n">
        <f aca="false">COUNTIFS(MASTER_DATABASE!$B$4:$B$1000,C15,MASTER_DATABASE!$BE$4:$BE$1000,"LIVE")</f>
        <v>16</v>
      </c>
      <c r="F15" s="15"/>
      <c r="G15" s="16" t="str">
        <f aca="false">CATEGORY_MASTER!F4</f>
        <v>Yes</v>
      </c>
    </row>
    <row r="16" customFormat="false" ht="15" hidden="false" customHeight="false" outlineLevel="0" collapsed="false">
      <c r="A16" s="16" t="n">
        <f aca="false">CATEGORY_MASTER!E5</f>
        <v>20</v>
      </c>
      <c r="B16" s="16" t="str">
        <f aca="false">CATEGORY_MASTER!C5</f>
        <v>🏦</v>
      </c>
      <c r="C16" s="16" t="str">
        <f aca="false">CATEGORY_MASTER!A5</f>
        <v>HDFC Bank BC Point</v>
      </c>
      <c r="D16" s="16" t="str">
        <f aca="false">CATEGORY_MASTER!B5</f>
        <v>HDFC बैंक BC पॉइंट</v>
      </c>
      <c r="E16" s="16" t="n">
        <f aca="false">COUNTIFS(MASTER_DATABASE!$B$4:$B$1000,C16,MASTER_DATABASE!$BE$4:$BE$1000,"LIVE")</f>
        <v>0</v>
      </c>
      <c r="F16" s="15"/>
      <c r="G16" s="16" t="str">
        <f aca="false">CATEGORY_MASTER!F5</f>
        <v>Yes</v>
      </c>
    </row>
    <row r="17" customFormat="false" ht="15" hidden="false" customHeight="false" outlineLevel="0" collapsed="false">
      <c r="A17" s="16" t="n">
        <f aca="false">CATEGORY_MASTER!E6</f>
        <v>30</v>
      </c>
      <c r="B17" s="16" t="str">
        <f aca="false">CATEGORY_MASTER!C6</f>
        <v>💳</v>
      </c>
      <c r="C17" s="16" t="str">
        <f aca="false">CATEGORY_MASTER!A6</f>
        <v>FINO Payments Bank BC Point</v>
      </c>
      <c r="D17" s="16" t="str">
        <f aca="false">CATEGORY_MASTER!B6</f>
        <v>FINO पेमेंट्स बैंक BC पॉइंट</v>
      </c>
      <c r="E17" s="16" t="n">
        <f aca="false">COUNTIFS(MASTER_DATABASE!$B$4:$B$1000,C17,MASTER_DATABASE!$BE$4:$BE$1000,"LIVE")</f>
        <v>0</v>
      </c>
      <c r="F17" s="15"/>
      <c r="G17" s="16" t="str">
        <f aca="false">CATEGORY_MASTER!F6</f>
        <v>Yes</v>
      </c>
    </row>
    <row r="18" customFormat="false" ht="15" hidden="false" customHeight="false" outlineLevel="0" collapsed="false">
      <c r="A18" s="16" t="n">
        <f aca="false">CATEGORY_MASTER!E7</f>
        <v>40</v>
      </c>
      <c r="B18" s="16" t="str">
        <f aca="false">CATEGORY_MASTER!C7</f>
        <v>🏛️</v>
      </c>
      <c r="C18" s="16" t="str">
        <f aca="false">CATEGORY_MASTER!A7</f>
        <v>BASUDHA Kendra</v>
      </c>
      <c r="D18" s="16" t="str">
        <f aca="false">CATEGORY_MASTER!B7</f>
        <v>बसुधा केंद्र</v>
      </c>
      <c r="E18" s="16" t="n">
        <f aca="false">COUNTIFS(MASTER_DATABASE!$B$4:$B$1000,C18,MASTER_DATABASE!$BE$4:$BE$1000,"LIVE")</f>
        <v>0</v>
      </c>
      <c r="F18" s="15"/>
      <c r="G18" s="16" t="str">
        <f aca="false">CATEGORY_MASTER!F7</f>
        <v>Yes</v>
      </c>
    </row>
    <row r="19" customFormat="false" ht="15" hidden="false" customHeight="false" outlineLevel="0" collapsed="false">
      <c r="A19" s="16" t="n">
        <f aca="false">CATEGORY_MASTER!E8</f>
        <v>50</v>
      </c>
      <c r="B19" s="16" t="str">
        <f aca="false">CATEGORY_MASTER!C8</f>
        <v>🖥️</v>
      </c>
      <c r="C19" s="16" t="str">
        <f aca="false">CATEGORY_MASTER!A8</f>
        <v>Common Service Centre (CSC)</v>
      </c>
      <c r="D19" s="16" t="str">
        <f aca="false">CATEGORY_MASTER!B8</f>
        <v>कॉमन सर्विस सेंटर (CSC)</v>
      </c>
      <c r="E19" s="16" t="n">
        <f aca="false">COUNTIFS(MASTER_DATABASE!$B$4:$B$1000,C19,MASTER_DATABASE!$BE$4:$BE$1000,"LIVE")</f>
        <v>0</v>
      </c>
      <c r="F19" s="15"/>
      <c r="G19" s="16" t="str">
        <f aca="false">CATEGORY_MASTER!F8</f>
        <v>Yes</v>
      </c>
    </row>
    <row r="20" customFormat="false" ht="15" hidden="false" customHeight="false" outlineLevel="0" collapsed="false">
      <c r="A20" s="16" t="n">
        <f aca="false">CATEGORY_MASTER!E9</f>
        <v>60</v>
      </c>
      <c r="B20" s="16" t="str">
        <f aca="false">CATEGORY_MASTER!C9</f>
        <v>📱</v>
      </c>
      <c r="C20" s="16" t="str">
        <f aca="false">CATEGORY_MASTER!A9</f>
        <v>Mobile Store</v>
      </c>
      <c r="D20" s="16" t="str">
        <f aca="false">CATEGORY_MASTER!B9</f>
        <v>मोबाइल स्टोर</v>
      </c>
      <c r="E20" s="16" t="n">
        <f aca="false">COUNTIFS(MASTER_DATABASE!$B$4:$B$1000,C20,MASTER_DATABASE!$BE$4:$BE$1000,"LIVE")</f>
        <v>14</v>
      </c>
      <c r="F20" s="15"/>
      <c r="G20" s="16" t="str">
        <f aca="false">CATEGORY_MASTER!F9</f>
        <v>Yes</v>
      </c>
    </row>
    <row r="21" customFormat="false" ht="15" hidden="false" customHeight="false" outlineLevel="0" collapsed="false">
      <c r="A21" s="16" t="n">
        <f aca="false">CATEGORY_MASTER!E10</f>
        <v>70</v>
      </c>
      <c r="B21" s="16" t="str">
        <f aca="false">CATEGORY_MASTER!C10</f>
        <v>🖨️</v>
      </c>
      <c r="C21" s="16" t="str">
        <f aca="false">CATEGORY_MASTER!A10</f>
        <v>Printing / Xerox / Scanning</v>
      </c>
      <c r="D21" s="16" t="str">
        <f aca="false">CATEGORY_MASTER!B10</f>
        <v>प्रिंटिंग / ज़ेरॉक्स / स्कैनिंग</v>
      </c>
      <c r="E21" s="16" t="n">
        <f aca="false">COUNTIFS(MASTER_DATABASE!$B$4:$B$1000,C21,MASTER_DATABASE!$BE$4:$BE$1000,"LIVE")</f>
        <v>23</v>
      </c>
      <c r="F21" s="15"/>
      <c r="G21" s="16" t="str">
        <f aca="false">CATEGORY_MASTER!F10</f>
        <v>Yes</v>
      </c>
    </row>
    <row r="22" customFormat="false" ht="15" hidden="false" customHeight="false" outlineLevel="0" collapsed="false">
      <c r="A22" s="16" t="n">
        <f aca="false">CATEGORY_MASTER!E11</f>
        <v>80</v>
      </c>
      <c r="B22" s="16" t="str">
        <f aca="false">CATEGORY_MASTER!C11</f>
        <v>📷</v>
      </c>
      <c r="C22" s="16" t="str">
        <f aca="false">CATEGORY_MASTER!A11</f>
        <v>Photo / Photoshop / Design</v>
      </c>
      <c r="D22" s="16" t="str">
        <f aca="false">CATEGORY_MASTER!B11</f>
        <v>फोटो / फोटोशॉप / डिज़ाइन</v>
      </c>
      <c r="E22" s="16" t="n">
        <f aca="false">COUNTIFS(MASTER_DATABASE!$B$4:$B$1000,C22,MASTER_DATABASE!$BE$4:$BE$1000,"LIVE")</f>
        <v>24</v>
      </c>
      <c r="F22" s="15"/>
      <c r="G22" s="16" t="str">
        <f aca="false">CATEGORY_MASTER!F11</f>
        <v>Yes</v>
      </c>
    </row>
    <row r="23" customFormat="false" ht="15" hidden="false" customHeight="false" outlineLevel="0" collapsed="false">
      <c r="A23" s="16" t="n">
        <f aca="false">CATEGORY_MASTER!E12</f>
        <v>90</v>
      </c>
      <c r="B23" s="16" t="str">
        <f aca="false">CATEGORY_MASTER!C12</f>
        <v>🌐</v>
      </c>
      <c r="C23" s="16" t="str">
        <f aca="false">CATEGORY_MASTER!A12</f>
        <v>Online Form &amp; Digital Services</v>
      </c>
      <c r="D23" s="16" t="str">
        <f aca="false">CATEGORY_MASTER!B12</f>
        <v>ऑनलाइन फॉर्म व डिजिटल सेवाएँ</v>
      </c>
      <c r="E23" s="16" t="n">
        <f aca="false">COUNTIFS(MASTER_DATABASE!$B$4:$B$1000,C23,MASTER_DATABASE!$BE$4:$BE$1000,"LIVE")</f>
        <v>27</v>
      </c>
      <c r="F23" s="15"/>
      <c r="G23" s="16" t="str">
        <f aca="false">CATEGORY_MASTER!F12</f>
        <v>Yes</v>
      </c>
    </row>
    <row r="24" customFormat="false" ht="15" hidden="false" customHeight="false" outlineLevel="0" collapsed="false">
      <c r="A24" s="16" t="n">
        <f aca="false">CATEGORY_MASTER!E13</f>
        <v>100</v>
      </c>
      <c r="B24" s="16" t="str">
        <f aca="false">CATEGORY_MASTER!C13</f>
        <v>💡</v>
      </c>
      <c r="C24" s="16" t="str">
        <f aca="false">CATEGORY_MASTER!A13</f>
        <v>Recharge / Bill Payment</v>
      </c>
      <c r="D24" s="16" t="str">
        <f aca="false">CATEGORY_MASTER!B13</f>
        <v>रिचार्ज / बिल भुगतान</v>
      </c>
      <c r="E24" s="16" t="n">
        <f aca="false">COUNTIFS(MASTER_DATABASE!$B$4:$B$1000,C24,MASTER_DATABASE!$BE$4:$BE$1000,"LIVE")</f>
        <v>2</v>
      </c>
      <c r="F24" s="15"/>
      <c r="G24" s="16" t="str">
        <f aca="false">CATEGORY_MASTER!F13</f>
        <v>Yes</v>
      </c>
    </row>
    <row r="25" customFormat="false" ht="15" hidden="false" customHeight="false" outlineLevel="0" collapsed="false">
      <c r="A25" s="16" t="n">
        <f aca="false">CATEGORY_MASTER!E14</f>
        <v>110</v>
      </c>
      <c r="B25" s="16" t="str">
        <f aca="false">CATEGORY_MASTER!C14</f>
        <v>🚆</v>
      </c>
      <c r="C25" s="16" t="str">
        <f aca="false">CATEGORY_MASTER!A14</f>
        <v>Travel / Ticketing</v>
      </c>
      <c r="D25" s="16" t="str">
        <f aca="false">CATEGORY_MASTER!B14</f>
        <v>टिकट / बुकिंग</v>
      </c>
      <c r="E25" s="16" t="n">
        <f aca="false">COUNTIFS(MASTER_DATABASE!$B$4:$B$1000,C25,MASTER_DATABASE!$BE$4:$BE$1000,"LIVE")</f>
        <v>2</v>
      </c>
      <c r="F25" s="15"/>
      <c r="G25" s="16" t="str">
        <f aca="false">CATEGORY_MASTER!F14</f>
        <v>No</v>
      </c>
    </row>
    <row r="26" customFormat="false" ht="15" hidden="false" customHeight="false" outlineLevel="0" collapsed="false">
      <c r="A26" s="16" t="n">
        <f aca="false">CATEGORY_MASTER!E15</f>
        <v>120</v>
      </c>
      <c r="B26" s="16" t="str">
        <f aca="false">CATEGORY_MASTER!C15</f>
        <v>🏪</v>
      </c>
      <c r="C26" s="16" t="str">
        <f aca="false">CATEGORY_MASTER!A15</f>
        <v>Other Actual Shop Services</v>
      </c>
      <c r="D26" s="16" t="str">
        <f aca="false">CATEGORY_MASTER!B15</f>
        <v>अन्य दुकान सेवाएँ</v>
      </c>
      <c r="E26" s="16" t="n">
        <f aca="false">COUNTIFS(MASTER_DATABASE!$B$4:$B$1000,C26,MASTER_DATABASE!$BE$4:$BE$1000,"LIVE")</f>
        <v>0</v>
      </c>
      <c r="F26" s="15"/>
      <c r="G26" s="16" t="str">
        <f aca="false">CATEGORY_MASTER!F15</f>
        <v>No</v>
      </c>
    </row>
    <row r="28" customFormat="false" ht="15" hidden="false" customHeight="false" outlineLevel="0" collapsed="false">
      <c r="A28" s="13" t="s">
        <v>3673</v>
      </c>
    </row>
    <row r="29" customFormat="false" ht="15" hidden="false" customHeight="false" outlineLevel="0" collapsed="false">
      <c r="A29" s="14" t="s">
        <v>3674</v>
      </c>
      <c r="B29" s="14" t="s">
        <v>2</v>
      </c>
      <c r="C29" s="14" t="s">
        <v>3398</v>
      </c>
      <c r="D29" s="14" t="s">
        <v>3409</v>
      </c>
      <c r="E29" s="14" t="s">
        <v>3410</v>
      </c>
      <c r="F29" s="14" t="s">
        <v>43</v>
      </c>
      <c r="G29" s="14" t="s">
        <v>3412</v>
      </c>
      <c r="H29" s="14" t="s">
        <v>3675</v>
      </c>
    </row>
    <row r="30" customFormat="false" ht="15" hidden="false" customHeight="false" outlineLevel="0" collapsed="false">
      <c r="A30" s="15" t="n">
        <v>1</v>
      </c>
      <c r="B30" s="7" t="str">
        <f aca="false">IFERROR(INDEX(MASTER_DATABASE!$A$4:$A$1000,MATCH($A30,MASTER_DATABASE!$BK$4:$BK$1000,0))&amp;"","")</f>
        <v/>
      </c>
      <c r="C30" s="7" t="str">
        <f aca="false">IFERROR(INDEX(MASTER_DATABASE!$E$4:$E$1000,MATCH($A30,MASTER_DATABASE!$BK$4:$BK$1000,0))&amp;"","")</f>
        <v/>
      </c>
      <c r="D30" s="7" t="str">
        <f aca="false">IFERROR(INDEX(MASTER_DATABASE!$F$4:$F$1000,MATCH($A30,MASTER_DATABASE!$BK$4:$BK$1000,0))&amp;"","")</f>
        <v/>
      </c>
      <c r="E30" s="7" t="str">
        <f aca="false">IFERROR(INDEX(MASTER_DATABASE!$AL$4:$AL$1000,MATCH($A30,MASTER_DATABASE!$BK$4:$BK$1000,0))&amp;"","")</f>
        <v/>
      </c>
      <c r="F30" s="7" t="str">
        <f aca="false">IFERROR(INDEX(MASTER_DATABASE!$AP$4:$AP$1000,MATCH($A30,MASTER_DATABASE!$BK$4:$BK$1000,0))&amp;"","")</f>
        <v/>
      </c>
      <c r="G30" s="7" t="str">
        <f aca="false">IFERROR(IF(INDEX(MASTER_DATABASE!$V$4:$V$1000,MATCH($A30,MASTER_DATABASE!$BK$4:$BK$1000,0))&lt;&gt;"Yes","Contact shop",IF(ISNUMBER(INDEX(MASTER_DATABASE!$T$4:$T$1000,MATCH($A30,MASTER_DATABASE!$BK$4:$BK$1000,0))),"₹"&amp;INDEX(MASTER_DATABASE!$T$4:$T$1000,MATCH($A30,MASTER_DATABASE!$BK$4:$BK$1000,0)),"Contact shop")),"")</f>
        <v/>
      </c>
      <c r="H30" s="7" t="str">
        <f aca="false">IFERROR(INDEX(MASTER_DATABASE!$BG$4:$BG$1000,MATCH($A30,MASTER_DATABASE!$BK$4:$BK$1000,0))&amp;"","")</f>
        <v/>
      </c>
    </row>
    <row r="31" customFormat="false" ht="15" hidden="false" customHeight="false" outlineLevel="0" collapsed="false">
      <c r="A31" s="15" t="n">
        <v>2</v>
      </c>
      <c r="B31" s="7" t="str">
        <f aca="false">IFERROR(INDEX(MASTER_DATABASE!$A$4:$A$1000,MATCH($A31,MASTER_DATABASE!$BK$4:$BK$1000,0))&amp;"","")</f>
        <v/>
      </c>
      <c r="C31" s="7" t="str">
        <f aca="false">IFERROR(INDEX(MASTER_DATABASE!$E$4:$E$1000,MATCH($A31,MASTER_DATABASE!$BK$4:$BK$1000,0))&amp;"","")</f>
        <v/>
      </c>
      <c r="D31" s="7" t="str">
        <f aca="false">IFERROR(INDEX(MASTER_DATABASE!$F$4:$F$1000,MATCH($A31,MASTER_DATABASE!$BK$4:$BK$1000,0))&amp;"","")</f>
        <v/>
      </c>
      <c r="E31" s="7" t="str">
        <f aca="false">IFERROR(INDEX(MASTER_DATABASE!$AL$4:$AL$1000,MATCH($A31,MASTER_DATABASE!$BK$4:$BK$1000,0))&amp;"","")</f>
        <v/>
      </c>
      <c r="F31" s="7" t="str">
        <f aca="false">IFERROR(INDEX(MASTER_DATABASE!$AP$4:$AP$1000,MATCH($A31,MASTER_DATABASE!$BK$4:$BK$1000,0))&amp;"","")</f>
        <v/>
      </c>
      <c r="G31" s="7" t="str">
        <f aca="false">IFERROR(IF(INDEX(MASTER_DATABASE!$V$4:$V$1000,MATCH($A31,MASTER_DATABASE!$BK$4:$BK$1000,0))&lt;&gt;"Yes","Contact shop",IF(ISNUMBER(INDEX(MASTER_DATABASE!$T$4:$T$1000,MATCH($A31,MASTER_DATABASE!$BK$4:$BK$1000,0))),"₹"&amp;INDEX(MASTER_DATABASE!$T$4:$T$1000,MATCH($A31,MASTER_DATABASE!$BK$4:$BK$1000,0)),"Contact shop")),"")</f>
        <v/>
      </c>
      <c r="H31" s="7" t="str">
        <f aca="false">IFERROR(INDEX(MASTER_DATABASE!$BG$4:$BG$1000,MATCH($A31,MASTER_DATABASE!$BK$4:$BK$1000,0))&amp;"","")</f>
        <v/>
      </c>
    </row>
    <row r="32" customFormat="false" ht="15" hidden="false" customHeight="false" outlineLevel="0" collapsed="false">
      <c r="A32" s="15" t="n">
        <v>3</v>
      </c>
      <c r="B32" s="7" t="str">
        <f aca="false">IFERROR(INDEX(MASTER_DATABASE!$A$4:$A$1000,MATCH($A32,MASTER_DATABASE!$BK$4:$BK$1000,0))&amp;"","")</f>
        <v/>
      </c>
      <c r="C32" s="7" t="str">
        <f aca="false">IFERROR(INDEX(MASTER_DATABASE!$E$4:$E$1000,MATCH($A32,MASTER_DATABASE!$BK$4:$BK$1000,0))&amp;"","")</f>
        <v/>
      </c>
      <c r="D32" s="7" t="str">
        <f aca="false">IFERROR(INDEX(MASTER_DATABASE!$F$4:$F$1000,MATCH($A32,MASTER_DATABASE!$BK$4:$BK$1000,0))&amp;"","")</f>
        <v/>
      </c>
      <c r="E32" s="7" t="str">
        <f aca="false">IFERROR(INDEX(MASTER_DATABASE!$AL$4:$AL$1000,MATCH($A32,MASTER_DATABASE!$BK$4:$BK$1000,0))&amp;"","")</f>
        <v/>
      </c>
      <c r="F32" s="7" t="str">
        <f aca="false">IFERROR(INDEX(MASTER_DATABASE!$AP$4:$AP$1000,MATCH($A32,MASTER_DATABASE!$BK$4:$BK$1000,0))&amp;"","")</f>
        <v/>
      </c>
      <c r="G32" s="7" t="str">
        <f aca="false">IFERROR(IF(INDEX(MASTER_DATABASE!$V$4:$V$1000,MATCH($A32,MASTER_DATABASE!$BK$4:$BK$1000,0))&lt;&gt;"Yes","Contact shop",IF(ISNUMBER(INDEX(MASTER_DATABASE!$T$4:$T$1000,MATCH($A32,MASTER_DATABASE!$BK$4:$BK$1000,0))),"₹"&amp;INDEX(MASTER_DATABASE!$T$4:$T$1000,MATCH($A32,MASTER_DATABASE!$BK$4:$BK$1000,0)),"Contact shop")),"")</f>
        <v/>
      </c>
      <c r="H32" s="7" t="str">
        <f aca="false">IFERROR(INDEX(MASTER_DATABASE!$BG$4:$BG$1000,MATCH($A32,MASTER_DATABASE!$BK$4:$BK$1000,0))&amp;"","")</f>
        <v/>
      </c>
    </row>
    <row r="33" customFormat="false" ht="15" hidden="false" customHeight="false" outlineLevel="0" collapsed="false">
      <c r="A33" s="15" t="n">
        <v>4</v>
      </c>
      <c r="B33" s="7" t="str">
        <f aca="false">IFERROR(INDEX(MASTER_DATABASE!$A$4:$A$1000,MATCH($A33,MASTER_DATABASE!$BK$4:$BK$1000,0))&amp;"","")</f>
        <v/>
      </c>
      <c r="C33" s="7" t="str">
        <f aca="false">IFERROR(INDEX(MASTER_DATABASE!$E$4:$E$1000,MATCH($A33,MASTER_DATABASE!$BK$4:$BK$1000,0))&amp;"","")</f>
        <v/>
      </c>
      <c r="D33" s="7" t="str">
        <f aca="false">IFERROR(INDEX(MASTER_DATABASE!$F$4:$F$1000,MATCH($A33,MASTER_DATABASE!$BK$4:$BK$1000,0))&amp;"","")</f>
        <v/>
      </c>
      <c r="E33" s="7" t="str">
        <f aca="false">IFERROR(INDEX(MASTER_DATABASE!$AL$4:$AL$1000,MATCH($A33,MASTER_DATABASE!$BK$4:$BK$1000,0))&amp;"","")</f>
        <v/>
      </c>
      <c r="F33" s="7" t="str">
        <f aca="false">IFERROR(INDEX(MASTER_DATABASE!$AP$4:$AP$1000,MATCH($A33,MASTER_DATABASE!$BK$4:$BK$1000,0))&amp;"","")</f>
        <v/>
      </c>
      <c r="G33" s="7" t="str">
        <f aca="false">IFERROR(IF(INDEX(MASTER_DATABASE!$V$4:$V$1000,MATCH($A33,MASTER_DATABASE!$BK$4:$BK$1000,0))&lt;&gt;"Yes","Contact shop",IF(ISNUMBER(INDEX(MASTER_DATABASE!$T$4:$T$1000,MATCH($A33,MASTER_DATABASE!$BK$4:$BK$1000,0))),"₹"&amp;INDEX(MASTER_DATABASE!$T$4:$T$1000,MATCH($A33,MASTER_DATABASE!$BK$4:$BK$1000,0)),"Contact shop")),"")</f>
        <v/>
      </c>
      <c r="H33" s="7" t="str">
        <f aca="false">IFERROR(INDEX(MASTER_DATABASE!$BG$4:$BG$1000,MATCH($A33,MASTER_DATABASE!$BK$4:$BK$1000,0))&amp;"","")</f>
        <v/>
      </c>
    </row>
    <row r="34" customFormat="false" ht="15" hidden="false" customHeight="false" outlineLevel="0" collapsed="false">
      <c r="A34" s="15" t="n">
        <v>5</v>
      </c>
      <c r="B34" s="7" t="str">
        <f aca="false">IFERROR(INDEX(MASTER_DATABASE!$A$4:$A$1000,MATCH($A34,MASTER_DATABASE!$BK$4:$BK$1000,0))&amp;"","")</f>
        <v/>
      </c>
      <c r="C34" s="7" t="str">
        <f aca="false">IFERROR(INDEX(MASTER_DATABASE!$E$4:$E$1000,MATCH($A34,MASTER_DATABASE!$BK$4:$BK$1000,0))&amp;"","")</f>
        <v/>
      </c>
      <c r="D34" s="7" t="str">
        <f aca="false">IFERROR(INDEX(MASTER_DATABASE!$F$4:$F$1000,MATCH($A34,MASTER_DATABASE!$BK$4:$BK$1000,0))&amp;"","")</f>
        <v/>
      </c>
      <c r="E34" s="7" t="str">
        <f aca="false">IFERROR(INDEX(MASTER_DATABASE!$AL$4:$AL$1000,MATCH($A34,MASTER_DATABASE!$BK$4:$BK$1000,0))&amp;"","")</f>
        <v/>
      </c>
      <c r="F34" s="7" t="str">
        <f aca="false">IFERROR(INDEX(MASTER_DATABASE!$AP$4:$AP$1000,MATCH($A34,MASTER_DATABASE!$BK$4:$BK$1000,0))&amp;"","")</f>
        <v/>
      </c>
      <c r="G34" s="7" t="str">
        <f aca="false">IFERROR(IF(INDEX(MASTER_DATABASE!$V$4:$V$1000,MATCH($A34,MASTER_DATABASE!$BK$4:$BK$1000,0))&lt;&gt;"Yes","Contact shop",IF(ISNUMBER(INDEX(MASTER_DATABASE!$T$4:$T$1000,MATCH($A34,MASTER_DATABASE!$BK$4:$BK$1000,0))),"₹"&amp;INDEX(MASTER_DATABASE!$T$4:$T$1000,MATCH($A34,MASTER_DATABASE!$BK$4:$BK$1000,0)),"Contact shop")),"")</f>
        <v/>
      </c>
      <c r="H34" s="7" t="str">
        <f aca="false">IFERROR(INDEX(MASTER_DATABASE!$BG$4:$BG$1000,MATCH($A34,MASTER_DATABASE!$BK$4:$BK$1000,0))&amp;"","")</f>
        <v/>
      </c>
    </row>
    <row r="35" customFormat="false" ht="15" hidden="false" customHeight="false" outlineLevel="0" collapsed="false">
      <c r="A35" s="15" t="n">
        <v>6</v>
      </c>
      <c r="B35" s="7" t="str">
        <f aca="false">IFERROR(INDEX(MASTER_DATABASE!$A$4:$A$1000,MATCH($A35,MASTER_DATABASE!$BK$4:$BK$1000,0))&amp;"","")</f>
        <v/>
      </c>
      <c r="C35" s="7" t="str">
        <f aca="false">IFERROR(INDEX(MASTER_DATABASE!$E$4:$E$1000,MATCH($A35,MASTER_DATABASE!$BK$4:$BK$1000,0))&amp;"","")</f>
        <v/>
      </c>
      <c r="D35" s="7" t="str">
        <f aca="false">IFERROR(INDEX(MASTER_DATABASE!$F$4:$F$1000,MATCH($A35,MASTER_DATABASE!$BK$4:$BK$1000,0))&amp;"","")</f>
        <v/>
      </c>
      <c r="E35" s="7" t="str">
        <f aca="false">IFERROR(INDEX(MASTER_DATABASE!$AL$4:$AL$1000,MATCH($A35,MASTER_DATABASE!$BK$4:$BK$1000,0))&amp;"","")</f>
        <v/>
      </c>
      <c r="F35" s="7" t="str">
        <f aca="false">IFERROR(INDEX(MASTER_DATABASE!$AP$4:$AP$1000,MATCH($A35,MASTER_DATABASE!$BK$4:$BK$1000,0))&amp;"","")</f>
        <v/>
      </c>
      <c r="G35" s="7" t="str">
        <f aca="false">IFERROR(IF(INDEX(MASTER_DATABASE!$V$4:$V$1000,MATCH($A35,MASTER_DATABASE!$BK$4:$BK$1000,0))&lt;&gt;"Yes","Contact shop",IF(ISNUMBER(INDEX(MASTER_DATABASE!$T$4:$T$1000,MATCH($A35,MASTER_DATABASE!$BK$4:$BK$1000,0))),"₹"&amp;INDEX(MASTER_DATABASE!$T$4:$T$1000,MATCH($A35,MASTER_DATABASE!$BK$4:$BK$1000,0)),"Contact shop")),"")</f>
        <v/>
      </c>
      <c r="H35" s="7" t="str">
        <f aca="false">IFERROR(INDEX(MASTER_DATABASE!$BG$4:$BG$1000,MATCH($A35,MASTER_DATABASE!$BK$4:$BK$1000,0))&amp;"","")</f>
        <v/>
      </c>
    </row>
    <row r="36" customFormat="false" ht="15" hidden="false" customHeight="false" outlineLevel="0" collapsed="false">
      <c r="A36" s="15" t="n">
        <v>7</v>
      </c>
      <c r="B36" s="7" t="str">
        <f aca="false">IFERROR(INDEX(MASTER_DATABASE!$A$4:$A$1000,MATCH($A36,MASTER_DATABASE!$BK$4:$BK$1000,0))&amp;"","")</f>
        <v/>
      </c>
      <c r="C36" s="7" t="str">
        <f aca="false">IFERROR(INDEX(MASTER_DATABASE!$E$4:$E$1000,MATCH($A36,MASTER_DATABASE!$BK$4:$BK$1000,0))&amp;"","")</f>
        <v/>
      </c>
      <c r="D36" s="7" t="str">
        <f aca="false">IFERROR(INDEX(MASTER_DATABASE!$F$4:$F$1000,MATCH($A36,MASTER_DATABASE!$BK$4:$BK$1000,0))&amp;"","")</f>
        <v/>
      </c>
      <c r="E36" s="7" t="str">
        <f aca="false">IFERROR(INDEX(MASTER_DATABASE!$AL$4:$AL$1000,MATCH($A36,MASTER_DATABASE!$BK$4:$BK$1000,0))&amp;"","")</f>
        <v/>
      </c>
      <c r="F36" s="7" t="str">
        <f aca="false">IFERROR(INDEX(MASTER_DATABASE!$AP$4:$AP$1000,MATCH($A36,MASTER_DATABASE!$BK$4:$BK$1000,0))&amp;"","")</f>
        <v/>
      </c>
      <c r="G36" s="7" t="str">
        <f aca="false">IFERROR(IF(INDEX(MASTER_DATABASE!$V$4:$V$1000,MATCH($A36,MASTER_DATABASE!$BK$4:$BK$1000,0))&lt;&gt;"Yes","Contact shop",IF(ISNUMBER(INDEX(MASTER_DATABASE!$T$4:$T$1000,MATCH($A36,MASTER_DATABASE!$BK$4:$BK$1000,0))),"₹"&amp;INDEX(MASTER_DATABASE!$T$4:$T$1000,MATCH($A36,MASTER_DATABASE!$BK$4:$BK$1000,0)),"Contact shop")),"")</f>
        <v/>
      </c>
      <c r="H36" s="7" t="str">
        <f aca="false">IFERROR(INDEX(MASTER_DATABASE!$BG$4:$BG$1000,MATCH($A36,MASTER_DATABASE!$BK$4:$BK$1000,0))&amp;"","")</f>
        <v/>
      </c>
    </row>
    <row r="37" customFormat="false" ht="15" hidden="false" customHeight="false" outlineLevel="0" collapsed="false">
      <c r="A37" s="15" t="n">
        <v>8</v>
      </c>
      <c r="B37" s="7" t="str">
        <f aca="false">IFERROR(INDEX(MASTER_DATABASE!$A$4:$A$1000,MATCH($A37,MASTER_DATABASE!$BK$4:$BK$1000,0))&amp;"","")</f>
        <v/>
      </c>
      <c r="C37" s="7" t="str">
        <f aca="false">IFERROR(INDEX(MASTER_DATABASE!$E$4:$E$1000,MATCH($A37,MASTER_DATABASE!$BK$4:$BK$1000,0))&amp;"","")</f>
        <v/>
      </c>
      <c r="D37" s="7" t="str">
        <f aca="false">IFERROR(INDEX(MASTER_DATABASE!$F$4:$F$1000,MATCH($A37,MASTER_DATABASE!$BK$4:$BK$1000,0))&amp;"","")</f>
        <v/>
      </c>
      <c r="E37" s="7" t="str">
        <f aca="false">IFERROR(INDEX(MASTER_DATABASE!$AL$4:$AL$1000,MATCH($A37,MASTER_DATABASE!$BK$4:$BK$1000,0))&amp;"","")</f>
        <v/>
      </c>
      <c r="F37" s="7" t="str">
        <f aca="false">IFERROR(INDEX(MASTER_DATABASE!$AP$4:$AP$1000,MATCH($A37,MASTER_DATABASE!$BK$4:$BK$1000,0))&amp;"","")</f>
        <v/>
      </c>
      <c r="G37" s="7" t="str">
        <f aca="false">IFERROR(IF(INDEX(MASTER_DATABASE!$V$4:$V$1000,MATCH($A37,MASTER_DATABASE!$BK$4:$BK$1000,0))&lt;&gt;"Yes","Contact shop",IF(ISNUMBER(INDEX(MASTER_DATABASE!$T$4:$T$1000,MATCH($A37,MASTER_DATABASE!$BK$4:$BK$1000,0))),"₹"&amp;INDEX(MASTER_DATABASE!$T$4:$T$1000,MATCH($A37,MASTER_DATABASE!$BK$4:$BK$1000,0)),"Contact shop")),"")</f>
        <v/>
      </c>
      <c r="H37" s="7" t="str">
        <f aca="false">IFERROR(INDEX(MASTER_DATABASE!$BG$4:$BG$1000,MATCH($A37,MASTER_DATABASE!$BK$4:$BK$1000,0))&amp;"","")</f>
        <v/>
      </c>
    </row>
    <row r="38" customFormat="false" ht="15" hidden="false" customHeight="false" outlineLevel="0" collapsed="false">
      <c r="A38" s="15" t="n">
        <v>9</v>
      </c>
      <c r="B38" s="7" t="str">
        <f aca="false">IFERROR(INDEX(MASTER_DATABASE!$A$4:$A$1000,MATCH($A38,MASTER_DATABASE!$BK$4:$BK$1000,0))&amp;"","")</f>
        <v/>
      </c>
      <c r="C38" s="7" t="str">
        <f aca="false">IFERROR(INDEX(MASTER_DATABASE!$E$4:$E$1000,MATCH($A38,MASTER_DATABASE!$BK$4:$BK$1000,0))&amp;"","")</f>
        <v/>
      </c>
      <c r="D38" s="7" t="str">
        <f aca="false">IFERROR(INDEX(MASTER_DATABASE!$F$4:$F$1000,MATCH($A38,MASTER_DATABASE!$BK$4:$BK$1000,0))&amp;"","")</f>
        <v/>
      </c>
      <c r="E38" s="7" t="str">
        <f aca="false">IFERROR(INDEX(MASTER_DATABASE!$AL$4:$AL$1000,MATCH($A38,MASTER_DATABASE!$BK$4:$BK$1000,0))&amp;"","")</f>
        <v/>
      </c>
      <c r="F38" s="7" t="str">
        <f aca="false">IFERROR(INDEX(MASTER_DATABASE!$AP$4:$AP$1000,MATCH($A38,MASTER_DATABASE!$BK$4:$BK$1000,0))&amp;"","")</f>
        <v/>
      </c>
      <c r="G38" s="7" t="str">
        <f aca="false">IFERROR(IF(INDEX(MASTER_DATABASE!$V$4:$V$1000,MATCH($A38,MASTER_DATABASE!$BK$4:$BK$1000,0))&lt;&gt;"Yes","Contact shop",IF(ISNUMBER(INDEX(MASTER_DATABASE!$T$4:$T$1000,MATCH($A38,MASTER_DATABASE!$BK$4:$BK$1000,0))),"₹"&amp;INDEX(MASTER_DATABASE!$T$4:$T$1000,MATCH($A38,MASTER_DATABASE!$BK$4:$BK$1000,0)),"Contact shop")),"")</f>
        <v/>
      </c>
      <c r="H38" s="7" t="str">
        <f aca="false">IFERROR(INDEX(MASTER_DATABASE!$BG$4:$BG$1000,MATCH($A38,MASTER_DATABASE!$BK$4:$BK$1000,0))&amp;"","")</f>
        <v/>
      </c>
    </row>
    <row r="39" customFormat="false" ht="15" hidden="false" customHeight="false" outlineLevel="0" collapsed="false">
      <c r="A39" s="15" t="n">
        <v>10</v>
      </c>
      <c r="B39" s="7" t="str">
        <f aca="false">IFERROR(INDEX(MASTER_DATABASE!$A$4:$A$1000,MATCH($A39,MASTER_DATABASE!$BK$4:$BK$1000,0))&amp;"","")</f>
        <v/>
      </c>
      <c r="C39" s="7" t="str">
        <f aca="false">IFERROR(INDEX(MASTER_DATABASE!$E$4:$E$1000,MATCH($A39,MASTER_DATABASE!$BK$4:$BK$1000,0))&amp;"","")</f>
        <v/>
      </c>
      <c r="D39" s="7" t="str">
        <f aca="false">IFERROR(INDEX(MASTER_DATABASE!$F$4:$F$1000,MATCH($A39,MASTER_DATABASE!$BK$4:$BK$1000,0))&amp;"","")</f>
        <v/>
      </c>
      <c r="E39" s="7" t="str">
        <f aca="false">IFERROR(INDEX(MASTER_DATABASE!$AL$4:$AL$1000,MATCH($A39,MASTER_DATABASE!$BK$4:$BK$1000,0))&amp;"","")</f>
        <v/>
      </c>
      <c r="F39" s="7" t="str">
        <f aca="false">IFERROR(INDEX(MASTER_DATABASE!$AP$4:$AP$1000,MATCH($A39,MASTER_DATABASE!$BK$4:$BK$1000,0))&amp;"","")</f>
        <v/>
      </c>
      <c r="G39" s="7" t="str">
        <f aca="false">IFERROR(IF(INDEX(MASTER_DATABASE!$V$4:$V$1000,MATCH($A39,MASTER_DATABASE!$BK$4:$BK$1000,0))&lt;&gt;"Yes","Contact shop",IF(ISNUMBER(INDEX(MASTER_DATABASE!$T$4:$T$1000,MATCH($A39,MASTER_DATABASE!$BK$4:$BK$1000,0))),"₹"&amp;INDEX(MASTER_DATABASE!$T$4:$T$1000,MATCH($A39,MASTER_DATABASE!$BK$4:$BK$1000,0)),"Contact shop")),"")</f>
        <v/>
      </c>
      <c r="H39" s="7" t="str">
        <f aca="false">IFERROR(INDEX(MASTER_DATABASE!$BG$4:$BG$1000,MATCH($A39,MASTER_DATABASE!$BK$4:$BK$1000,0))&amp;"","")</f>
        <v/>
      </c>
    </row>
    <row r="40" customFormat="false" ht="15" hidden="false" customHeight="false" outlineLevel="0" collapsed="false">
      <c r="A40" s="15" t="n">
        <v>11</v>
      </c>
      <c r="B40" s="7" t="str">
        <f aca="false">IFERROR(INDEX(MASTER_DATABASE!$A$4:$A$1000,MATCH($A40,MASTER_DATABASE!$BK$4:$BK$1000,0))&amp;"","")</f>
        <v/>
      </c>
      <c r="C40" s="7" t="str">
        <f aca="false">IFERROR(INDEX(MASTER_DATABASE!$E$4:$E$1000,MATCH($A40,MASTER_DATABASE!$BK$4:$BK$1000,0))&amp;"","")</f>
        <v/>
      </c>
      <c r="D40" s="7" t="str">
        <f aca="false">IFERROR(INDEX(MASTER_DATABASE!$F$4:$F$1000,MATCH($A40,MASTER_DATABASE!$BK$4:$BK$1000,0))&amp;"","")</f>
        <v/>
      </c>
      <c r="E40" s="7" t="str">
        <f aca="false">IFERROR(INDEX(MASTER_DATABASE!$AL$4:$AL$1000,MATCH($A40,MASTER_DATABASE!$BK$4:$BK$1000,0))&amp;"","")</f>
        <v/>
      </c>
      <c r="F40" s="7" t="str">
        <f aca="false">IFERROR(INDEX(MASTER_DATABASE!$AP$4:$AP$1000,MATCH($A40,MASTER_DATABASE!$BK$4:$BK$1000,0))&amp;"","")</f>
        <v/>
      </c>
      <c r="G40" s="7" t="str">
        <f aca="false">IFERROR(IF(INDEX(MASTER_DATABASE!$V$4:$V$1000,MATCH($A40,MASTER_DATABASE!$BK$4:$BK$1000,0))&lt;&gt;"Yes","Contact shop",IF(ISNUMBER(INDEX(MASTER_DATABASE!$T$4:$T$1000,MATCH($A40,MASTER_DATABASE!$BK$4:$BK$1000,0))),"₹"&amp;INDEX(MASTER_DATABASE!$T$4:$T$1000,MATCH($A40,MASTER_DATABASE!$BK$4:$BK$1000,0)),"Contact shop")),"")</f>
        <v/>
      </c>
      <c r="H40" s="7" t="str">
        <f aca="false">IFERROR(INDEX(MASTER_DATABASE!$BG$4:$BG$1000,MATCH($A40,MASTER_DATABASE!$BK$4:$BK$1000,0))&amp;"","")</f>
        <v/>
      </c>
    </row>
    <row r="41" customFormat="false" ht="15" hidden="false" customHeight="false" outlineLevel="0" collapsed="false">
      <c r="A41" s="15" t="n">
        <v>12</v>
      </c>
      <c r="B41" s="7" t="str">
        <f aca="false">IFERROR(INDEX(MASTER_DATABASE!$A$4:$A$1000,MATCH($A41,MASTER_DATABASE!$BK$4:$BK$1000,0))&amp;"","")</f>
        <v/>
      </c>
      <c r="C41" s="7" t="str">
        <f aca="false">IFERROR(INDEX(MASTER_DATABASE!$E$4:$E$1000,MATCH($A41,MASTER_DATABASE!$BK$4:$BK$1000,0))&amp;"","")</f>
        <v/>
      </c>
      <c r="D41" s="7" t="str">
        <f aca="false">IFERROR(INDEX(MASTER_DATABASE!$F$4:$F$1000,MATCH($A41,MASTER_DATABASE!$BK$4:$BK$1000,0))&amp;"","")</f>
        <v/>
      </c>
      <c r="E41" s="7" t="str">
        <f aca="false">IFERROR(INDEX(MASTER_DATABASE!$AL$4:$AL$1000,MATCH($A41,MASTER_DATABASE!$BK$4:$BK$1000,0))&amp;"","")</f>
        <v/>
      </c>
      <c r="F41" s="7" t="str">
        <f aca="false">IFERROR(INDEX(MASTER_DATABASE!$AP$4:$AP$1000,MATCH($A41,MASTER_DATABASE!$BK$4:$BK$1000,0))&amp;"","")</f>
        <v/>
      </c>
      <c r="G41" s="7" t="str">
        <f aca="false">IFERROR(IF(INDEX(MASTER_DATABASE!$V$4:$V$1000,MATCH($A41,MASTER_DATABASE!$BK$4:$BK$1000,0))&lt;&gt;"Yes","Contact shop",IF(ISNUMBER(INDEX(MASTER_DATABASE!$T$4:$T$1000,MATCH($A41,MASTER_DATABASE!$BK$4:$BK$1000,0))),"₹"&amp;INDEX(MASTER_DATABASE!$T$4:$T$1000,MATCH($A41,MASTER_DATABASE!$BK$4:$BK$1000,0)),"Contact shop")),"")</f>
        <v/>
      </c>
      <c r="H41" s="7" t="str">
        <f aca="false">IFERROR(INDEX(MASTER_DATABASE!$BG$4:$BG$1000,MATCH($A41,MASTER_DATABASE!$BK$4:$BK$1000,0))&amp;"","")</f>
        <v/>
      </c>
    </row>
    <row r="43" customFormat="false" ht="15" hidden="false" customHeight="false" outlineLevel="0" collapsed="false">
      <c r="A43" s="13" t="s">
        <v>3676</v>
      </c>
    </row>
    <row r="44" customFormat="false" ht="15" hidden="false" customHeight="false" outlineLevel="0" collapsed="false">
      <c r="A44" s="14" t="s">
        <v>3674</v>
      </c>
      <c r="B44" s="14" t="s">
        <v>2</v>
      </c>
      <c r="C44" s="14" t="s">
        <v>3398</v>
      </c>
      <c r="D44" s="14" t="s">
        <v>3409</v>
      </c>
      <c r="E44" s="14" t="s">
        <v>3410</v>
      </c>
      <c r="F44" s="14" t="s">
        <v>43</v>
      </c>
      <c r="G44" s="14" t="s">
        <v>3412</v>
      </c>
      <c r="H44" s="14" t="s">
        <v>3675</v>
      </c>
    </row>
    <row r="45" customFormat="false" ht="15" hidden="false" customHeight="false" outlineLevel="0" collapsed="false">
      <c r="A45" s="15" t="n">
        <v>1</v>
      </c>
      <c r="B45" s="7" t="str">
        <f aca="false">IFERROR(INDEX(MASTER_DATABASE!$A$4:$A$1000,MATCH($A45,MASTER_DATABASE!$BI$4:$BI$1000,0))&amp;"","")</f>
        <v/>
      </c>
      <c r="C45" s="7" t="str">
        <f aca="false">IFERROR(INDEX(MASTER_DATABASE!$E$4:$E$1000,MATCH($A45,MASTER_DATABASE!$BI$4:$BI$1000,0))&amp;"","")</f>
        <v/>
      </c>
      <c r="D45" s="7" t="str">
        <f aca="false">IFERROR(INDEX(MASTER_DATABASE!$F$4:$F$1000,MATCH($A45,MASTER_DATABASE!$BI$4:$BI$1000,0))&amp;"","")</f>
        <v/>
      </c>
      <c r="E45" s="7" t="str">
        <f aca="false">IFERROR(INDEX(MASTER_DATABASE!$AL$4:$AL$1000,MATCH($A45,MASTER_DATABASE!$BI$4:$BI$1000,0))&amp;"","")</f>
        <v/>
      </c>
      <c r="F45" s="7" t="str">
        <f aca="false">IFERROR(INDEX(MASTER_DATABASE!$AP$4:$AP$1000,MATCH($A45,MASTER_DATABASE!$BI$4:$BI$1000,0))&amp;"","")</f>
        <v/>
      </c>
      <c r="G45" s="7" t="str">
        <f aca="false">IFERROR(IF(INDEX(MASTER_DATABASE!$V$4:$V$1000,MATCH($A45,MASTER_DATABASE!$BI$4:$BI$1000,0))&lt;&gt;"Yes","Contact shop",IF(ISNUMBER(INDEX(MASTER_DATABASE!$T$4:$T$1000,MATCH($A45,MASTER_DATABASE!$BI$4:$BI$1000,0))),"₹"&amp;INDEX(MASTER_DATABASE!$T$4:$T$1000,MATCH($A45,MASTER_DATABASE!$BI$4:$BI$1000,0)),"Contact shop")),"")</f>
        <v/>
      </c>
      <c r="H45" s="7" t="str">
        <f aca="false">IFERROR(INDEX(MASTER_DATABASE!$BG$4:$BG$1000,MATCH($A45,MASTER_DATABASE!$BI$4:$BI$1000,0))&amp;"","")</f>
        <v/>
      </c>
    </row>
    <row r="46" customFormat="false" ht="15" hidden="false" customHeight="false" outlineLevel="0" collapsed="false">
      <c r="A46" s="15" t="n">
        <v>2</v>
      </c>
      <c r="B46" s="7" t="str">
        <f aca="false">IFERROR(INDEX(MASTER_DATABASE!$A$4:$A$1000,MATCH($A46,MASTER_DATABASE!$BI$4:$BI$1000,0))&amp;"","")</f>
        <v/>
      </c>
      <c r="C46" s="7" t="str">
        <f aca="false">IFERROR(INDEX(MASTER_DATABASE!$E$4:$E$1000,MATCH($A46,MASTER_DATABASE!$BI$4:$BI$1000,0))&amp;"","")</f>
        <v/>
      </c>
      <c r="D46" s="7" t="str">
        <f aca="false">IFERROR(INDEX(MASTER_DATABASE!$F$4:$F$1000,MATCH($A46,MASTER_DATABASE!$BI$4:$BI$1000,0))&amp;"","")</f>
        <v/>
      </c>
      <c r="E46" s="7" t="str">
        <f aca="false">IFERROR(INDEX(MASTER_DATABASE!$AL$4:$AL$1000,MATCH($A46,MASTER_DATABASE!$BI$4:$BI$1000,0))&amp;"","")</f>
        <v/>
      </c>
      <c r="F46" s="7" t="str">
        <f aca="false">IFERROR(INDEX(MASTER_DATABASE!$AP$4:$AP$1000,MATCH($A46,MASTER_DATABASE!$BI$4:$BI$1000,0))&amp;"","")</f>
        <v/>
      </c>
      <c r="G46" s="7" t="str">
        <f aca="false">IFERROR(IF(INDEX(MASTER_DATABASE!$V$4:$V$1000,MATCH($A46,MASTER_DATABASE!$BI$4:$BI$1000,0))&lt;&gt;"Yes","Contact shop",IF(ISNUMBER(INDEX(MASTER_DATABASE!$T$4:$T$1000,MATCH($A46,MASTER_DATABASE!$BI$4:$BI$1000,0))),"₹"&amp;INDEX(MASTER_DATABASE!$T$4:$T$1000,MATCH($A46,MASTER_DATABASE!$BI$4:$BI$1000,0)),"Contact shop")),"")</f>
        <v/>
      </c>
      <c r="H46" s="7" t="str">
        <f aca="false">IFERROR(INDEX(MASTER_DATABASE!$BG$4:$BG$1000,MATCH($A46,MASTER_DATABASE!$BI$4:$BI$1000,0))&amp;"","")</f>
        <v/>
      </c>
    </row>
    <row r="47" customFormat="false" ht="15" hidden="false" customHeight="false" outlineLevel="0" collapsed="false">
      <c r="A47" s="15" t="n">
        <v>3</v>
      </c>
      <c r="B47" s="7" t="str">
        <f aca="false">IFERROR(INDEX(MASTER_DATABASE!$A$4:$A$1000,MATCH($A47,MASTER_DATABASE!$BI$4:$BI$1000,0))&amp;"","")</f>
        <v/>
      </c>
      <c r="C47" s="7" t="str">
        <f aca="false">IFERROR(INDEX(MASTER_DATABASE!$E$4:$E$1000,MATCH($A47,MASTER_DATABASE!$BI$4:$BI$1000,0))&amp;"","")</f>
        <v/>
      </c>
      <c r="D47" s="7" t="str">
        <f aca="false">IFERROR(INDEX(MASTER_DATABASE!$F$4:$F$1000,MATCH($A47,MASTER_DATABASE!$BI$4:$BI$1000,0))&amp;"","")</f>
        <v/>
      </c>
      <c r="E47" s="7" t="str">
        <f aca="false">IFERROR(INDEX(MASTER_DATABASE!$AL$4:$AL$1000,MATCH($A47,MASTER_DATABASE!$BI$4:$BI$1000,0))&amp;"","")</f>
        <v/>
      </c>
      <c r="F47" s="7" t="str">
        <f aca="false">IFERROR(INDEX(MASTER_DATABASE!$AP$4:$AP$1000,MATCH($A47,MASTER_DATABASE!$BI$4:$BI$1000,0))&amp;"","")</f>
        <v/>
      </c>
      <c r="G47" s="7" t="str">
        <f aca="false">IFERROR(IF(INDEX(MASTER_DATABASE!$V$4:$V$1000,MATCH($A47,MASTER_DATABASE!$BI$4:$BI$1000,0))&lt;&gt;"Yes","Contact shop",IF(ISNUMBER(INDEX(MASTER_DATABASE!$T$4:$T$1000,MATCH($A47,MASTER_DATABASE!$BI$4:$BI$1000,0))),"₹"&amp;INDEX(MASTER_DATABASE!$T$4:$T$1000,MATCH($A47,MASTER_DATABASE!$BI$4:$BI$1000,0)),"Contact shop")),"")</f>
        <v/>
      </c>
      <c r="H47" s="7" t="str">
        <f aca="false">IFERROR(INDEX(MASTER_DATABASE!$BG$4:$BG$1000,MATCH($A47,MASTER_DATABASE!$BI$4:$BI$1000,0))&amp;"","")</f>
        <v/>
      </c>
    </row>
    <row r="48" customFormat="false" ht="15" hidden="false" customHeight="false" outlineLevel="0" collapsed="false">
      <c r="A48" s="15" t="n">
        <v>4</v>
      </c>
      <c r="B48" s="7" t="str">
        <f aca="false">IFERROR(INDEX(MASTER_DATABASE!$A$4:$A$1000,MATCH($A48,MASTER_DATABASE!$BI$4:$BI$1000,0))&amp;"","")</f>
        <v/>
      </c>
      <c r="C48" s="7" t="str">
        <f aca="false">IFERROR(INDEX(MASTER_DATABASE!$E$4:$E$1000,MATCH($A48,MASTER_DATABASE!$BI$4:$BI$1000,0))&amp;"","")</f>
        <v/>
      </c>
      <c r="D48" s="7" t="str">
        <f aca="false">IFERROR(INDEX(MASTER_DATABASE!$F$4:$F$1000,MATCH($A48,MASTER_DATABASE!$BI$4:$BI$1000,0))&amp;"","")</f>
        <v/>
      </c>
      <c r="E48" s="7" t="str">
        <f aca="false">IFERROR(INDEX(MASTER_DATABASE!$AL$4:$AL$1000,MATCH($A48,MASTER_DATABASE!$BI$4:$BI$1000,0))&amp;"","")</f>
        <v/>
      </c>
      <c r="F48" s="7" t="str">
        <f aca="false">IFERROR(INDEX(MASTER_DATABASE!$AP$4:$AP$1000,MATCH($A48,MASTER_DATABASE!$BI$4:$BI$1000,0))&amp;"","")</f>
        <v/>
      </c>
      <c r="G48" s="7" t="str">
        <f aca="false">IFERROR(IF(INDEX(MASTER_DATABASE!$V$4:$V$1000,MATCH($A48,MASTER_DATABASE!$BI$4:$BI$1000,0))&lt;&gt;"Yes","Contact shop",IF(ISNUMBER(INDEX(MASTER_DATABASE!$T$4:$T$1000,MATCH($A48,MASTER_DATABASE!$BI$4:$BI$1000,0))),"₹"&amp;INDEX(MASTER_DATABASE!$T$4:$T$1000,MATCH($A48,MASTER_DATABASE!$BI$4:$BI$1000,0)),"Contact shop")),"")</f>
        <v/>
      </c>
      <c r="H48" s="7" t="str">
        <f aca="false">IFERROR(INDEX(MASTER_DATABASE!$BG$4:$BG$1000,MATCH($A48,MASTER_DATABASE!$BI$4:$BI$1000,0))&amp;"","")</f>
        <v/>
      </c>
    </row>
    <row r="49" customFormat="false" ht="15" hidden="false" customHeight="false" outlineLevel="0" collapsed="false">
      <c r="A49" s="15" t="n">
        <v>5</v>
      </c>
      <c r="B49" s="7" t="str">
        <f aca="false">IFERROR(INDEX(MASTER_DATABASE!$A$4:$A$1000,MATCH($A49,MASTER_DATABASE!$BI$4:$BI$1000,0))&amp;"","")</f>
        <v/>
      </c>
      <c r="C49" s="7" t="str">
        <f aca="false">IFERROR(INDEX(MASTER_DATABASE!$E$4:$E$1000,MATCH($A49,MASTER_DATABASE!$BI$4:$BI$1000,0))&amp;"","")</f>
        <v/>
      </c>
      <c r="D49" s="7" t="str">
        <f aca="false">IFERROR(INDEX(MASTER_DATABASE!$F$4:$F$1000,MATCH($A49,MASTER_DATABASE!$BI$4:$BI$1000,0))&amp;"","")</f>
        <v/>
      </c>
      <c r="E49" s="7" t="str">
        <f aca="false">IFERROR(INDEX(MASTER_DATABASE!$AL$4:$AL$1000,MATCH($A49,MASTER_DATABASE!$BI$4:$BI$1000,0))&amp;"","")</f>
        <v/>
      </c>
      <c r="F49" s="7" t="str">
        <f aca="false">IFERROR(INDEX(MASTER_DATABASE!$AP$4:$AP$1000,MATCH($A49,MASTER_DATABASE!$BI$4:$BI$1000,0))&amp;"","")</f>
        <v/>
      </c>
      <c r="G49" s="7" t="str">
        <f aca="false">IFERROR(IF(INDEX(MASTER_DATABASE!$V$4:$V$1000,MATCH($A49,MASTER_DATABASE!$BI$4:$BI$1000,0))&lt;&gt;"Yes","Contact shop",IF(ISNUMBER(INDEX(MASTER_DATABASE!$T$4:$T$1000,MATCH($A49,MASTER_DATABASE!$BI$4:$BI$1000,0))),"₹"&amp;INDEX(MASTER_DATABASE!$T$4:$T$1000,MATCH($A49,MASTER_DATABASE!$BI$4:$BI$1000,0)),"Contact shop")),"")</f>
        <v/>
      </c>
      <c r="H49" s="7" t="str">
        <f aca="false">IFERROR(INDEX(MASTER_DATABASE!$BG$4:$BG$1000,MATCH($A49,MASTER_DATABASE!$BI$4:$BI$1000,0))&amp;"","")</f>
        <v/>
      </c>
    </row>
    <row r="50" customFormat="false" ht="15" hidden="false" customHeight="false" outlineLevel="0" collapsed="false">
      <c r="A50" s="15" t="n">
        <v>6</v>
      </c>
      <c r="B50" s="7" t="str">
        <f aca="false">IFERROR(INDEX(MASTER_DATABASE!$A$4:$A$1000,MATCH($A50,MASTER_DATABASE!$BI$4:$BI$1000,0))&amp;"","")</f>
        <v/>
      </c>
      <c r="C50" s="7" t="str">
        <f aca="false">IFERROR(INDEX(MASTER_DATABASE!$E$4:$E$1000,MATCH($A50,MASTER_DATABASE!$BI$4:$BI$1000,0))&amp;"","")</f>
        <v/>
      </c>
      <c r="D50" s="7" t="str">
        <f aca="false">IFERROR(INDEX(MASTER_DATABASE!$F$4:$F$1000,MATCH($A50,MASTER_DATABASE!$BI$4:$BI$1000,0))&amp;"","")</f>
        <v/>
      </c>
      <c r="E50" s="7" t="str">
        <f aca="false">IFERROR(INDEX(MASTER_DATABASE!$AL$4:$AL$1000,MATCH($A50,MASTER_DATABASE!$BI$4:$BI$1000,0))&amp;"","")</f>
        <v/>
      </c>
      <c r="F50" s="7" t="str">
        <f aca="false">IFERROR(INDEX(MASTER_DATABASE!$AP$4:$AP$1000,MATCH($A50,MASTER_DATABASE!$BI$4:$BI$1000,0))&amp;"","")</f>
        <v/>
      </c>
      <c r="G50" s="7" t="str">
        <f aca="false">IFERROR(IF(INDEX(MASTER_DATABASE!$V$4:$V$1000,MATCH($A50,MASTER_DATABASE!$BI$4:$BI$1000,0))&lt;&gt;"Yes","Contact shop",IF(ISNUMBER(INDEX(MASTER_DATABASE!$T$4:$T$1000,MATCH($A50,MASTER_DATABASE!$BI$4:$BI$1000,0))),"₹"&amp;INDEX(MASTER_DATABASE!$T$4:$T$1000,MATCH($A50,MASTER_DATABASE!$BI$4:$BI$1000,0)),"Contact shop")),"")</f>
        <v/>
      </c>
      <c r="H50" s="7" t="str">
        <f aca="false">IFERROR(INDEX(MASTER_DATABASE!$BG$4:$BG$1000,MATCH($A50,MASTER_DATABASE!$BI$4:$BI$1000,0))&amp;"","")</f>
        <v/>
      </c>
    </row>
    <row r="51" customFormat="false" ht="15" hidden="false" customHeight="false" outlineLevel="0" collapsed="false">
      <c r="A51" s="15" t="n">
        <v>7</v>
      </c>
      <c r="B51" s="7" t="str">
        <f aca="false">IFERROR(INDEX(MASTER_DATABASE!$A$4:$A$1000,MATCH($A51,MASTER_DATABASE!$BI$4:$BI$1000,0))&amp;"","")</f>
        <v/>
      </c>
      <c r="C51" s="7" t="str">
        <f aca="false">IFERROR(INDEX(MASTER_DATABASE!$E$4:$E$1000,MATCH($A51,MASTER_DATABASE!$BI$4:$BI$1000,0))&amp;"","")</f>
        <v/>
      </c>
      <c r="D51" s="7" t="str">
        <f aca="false">IFERROR(INDEX(MASTER_DATABASE!$F$4:$F$1000,MATCH($A51,MASTER_DATABASE!$BI$4:$BI$1000,0))&amp;"","")</f>
        <v/>
      </c>
      <c r="E51" s="7" t="str">
        <f aca="false">IFERROR(INDEX(MASTER_DATABASE!$AL$4:$AL$1000,MATCH($A51,MASTER_DATABASE!$BI$4:$BI$1000,0))&amp;"","")</f>
        <v/>
      </c>
      <c r="F51" s="7" t="str">
        <f aca="false">IFERROR(INDEX(MASTER_DATABASE!$AP$4:$AP$1000,MATCH($A51,MASTER_DATABASE!$BI$4:$BI$1000,0))&amp;"","")</f>
        <v/>
      </c>
      <c r="G51" s="7" t="str">
        <f aca="false">IFERROR(IF(INDEX(MASTER_DATABASE!$V$4:$V$1000,MATCH($A51,MASTER_DATABASE!$BI$4:$BI$1000,0))&lt;&gt;"Yes","Contact shop",IF(ISNUMBER(INDEX(MASTER_DATABASE!$T$4:$T$1000,MATCH($A51,MASTER_DATABASE!$BI$4:$BI$1000,0))),"₹"&amp;INDEX(MASTER_DATABASE!$T$4:$T$1000,MATCH($A51,MASTER_DATABASE!$BI$4:$BI$1000,0)),"Contact shop")),"")</f>
        <v/>
      </c>
      <c r="H51" s="7" t="str">
        <f aca="false">IFERROR(INDEX(MASTER_DATABASE!$BG$4:$BG$1000,MATCH($A51,MASTER_DATABASE!$BI$4:$BI$1000,0))&amp;"","")</f>
        <v/>
      </c>
    </row>
    <row r="52" customFormat="false" ht="15" hidden="false" customHeight="false" outlineLevel="0" collapsed="false">
      <c r="A52" s="15" t="n">
        <v>8</v>
      </c>
      <c r="B52" s="7" t="str">
        <f aca="false">IFERROR(INDEX(MASTER_DATABASE!$A$4:$A$1000,MATCH($A52,MASTER_DATABASE!$BI$4:$BI$1000,0))&amp;"","")</f>
        <v/>
      </c>
      <c r="C52" s="7" t="str">
        <f aca="false">IFERROR(INDEX(MASTER_DATABASE!$E$4:$E$1000,MATCH($A52,MASTER_DATABASE!$BI$4:$BI$1000,0))&amp;"","")</f>
        <v/>
      </c>
      <c r="D52" s="7" t="str">
        <f aca="false">IFERROR(INDEX(MASTER_DATABASE!$F$4:$F$1000,MATCH($A52,MASTER_DATABASE!$BI$4:$BI$1000,0))&amp;"","")</f>
        <v/>
      </c>
      <c r="E52" s="7" t="str">
        <f aca="false">IFERROR(INDEX(MASTER_DATABASE!$AL$4:$AL$1000,MATCH($A52,MASTER_DATABASE!$BI$4:$BI$1000,0))&amp;"","")</f>
        <v/>
      </c>
      <c r="F52" s="7" t="str">
        <f aca="false">IFERROR(INDEX(MASTER_DATABASE!$AP$4:$AP$1000,MATCH($A52,MASTER_DATABASE!$BI$4:$BI$1000,0))&amp;"","")</f>
        <v/>
      </c>
      <c r="G52" s="7" t="str">
        <f aca="false">IFERROR(IF(INDEX(MASTER_DATABASE!$V$4:$V$1000,MATCH($A52,MASTER_DATABASE!$BI$4:$BI$1000,0))&lt;&gt;"Yes","Contact shop",IF(ISNUMBER(INDEX(MASTER_DATABASE!$T$4:$T$1000,MATCH($A52,MASTER_DATABASE!$BI$4:$BI$1000,0))),"₹"&amp;INDEX(MASTER_DATABASE!$T$4:$T$1000,MATCH($A52,MASTER_DATABASE!$BI$4:$BI$1000,0)),"Contact shop")),"")</f>
        <v/>
      </c>
      <c r="H52" s="7" t="str">
        <f aca="false">IFERROR(INDEX(MASTER_DATABASE!$BG$4:$BG$1000,MATCH($A52,MASTER_DATABASE!$BI$4:$BI$1000,0))&amp;"","")</f>
        <v/>
      </c>
    </row>
    <row r="53" customFormat="false" ht="15" hidden="false" customHeight="false" outlineLevel="0" collapsed="false">
      <c r="A53" s="15" t="n">
        <v>9</v>
      </c>
      <c r="B53" s="7" t="str">
        <f aca="false">IFERROR(INDEX(MASTER_DATABASE!$A$4:$A$1000,MATCH($A53,MASTER_DATABASE!$BI$4:$BI$1000,0))&amp;"","")</f>
        <v/>
      </c>
      <c r="C53" s="7" t="str">
        <f aca="false">IFERROR(INDEX(MASTER_DATABASE!$E$4:$E$1000,MATCH($A53,MASTER_DATABASE!$BI$4:$BI$1000,0))&amp;"","")</f>
        <v/>
      </c>
      <c r="D53" s="7" t="str">
        <f aca="false">IFERROR(INDEX(MASTER_DATABASE!$F$4:$F$1000,MATCH($A53,MASTER_DATABASE!$BI$4:$BI$1000,0))&amp;"","")</f>
        <v/>
      </c>
      <c r="E53" s="7" t="str">
        <f aca="false">IFERROR(INDEX(MASTER_DATABASE!$AL$4:$AL$1000,MATCH($A53,MASTER_DATABASE!$BI$4:$BI$1000,0))&amp;"","")</f>
        <v/>
      </c>
      <c r="F53" s="7" t="str">
        <f aca="false">IFERROR(INDEX(MASTER_DATABASE!$AP$4:$AP$1000,MATCH($A53,MASTER_DATABASE!$BI$4:$BI$1000,0))&amp;"","")</f>
        <v/>
      </c>
      <c r="G53" s="7" t="str">
        <f aca="false">IFERROR(IF(INDEX(MASTER_DATABASE!$V$4:$V$1000,MATCH($A53,MASTER_DATABASE!$BI$4:$BI$1000,0))&lt;&gt;"Yes","Contact shop",IF(ISNUMBER(INDEX(MASTER_DATABASE!$T$4:$T$1000,MATCH($A53,MASTER_DATABASE!$BI$4:$BI$1000,0))),"₹"&amp;INDEX(MASTER_DATABASE!$T$4:$T$1000,MATCH($A53,MASTER_DATABASE!$BI$4:$BI$1000,0)),"Contact shop")),"")</f>
        <v/>
      </c>
      <c r="H53" s="7" t="str">
        <f aca="false">IFERROR(INDEX(MASTER_DATABASE!$BG$4:$BG$1000,MATCH($A53,MASTER_DATABASE!$BI$4:$BI$1000,0))&amp;"","")</f>
        <v/>
      </c>
    </row>
    <row r="54" customFormat="false" ht="15" hidden="false" customHeight="false" outlineLevel="0" collapsed="false">
      <c r="A54" s="15" t="n">
        <v>10</v>
      </c>
      <c r="B54" s="7" t="str">
        <f aca="false">IFERROR(INDEX(MASTER_DATABASE!$A$4:$A$1000,MATCH($A54,MASTER_DATABASE!$BI$4:$BI$1000,0))&amp;"","")</f>
        <v/>
      </c>
      <c r="C54" s="7" t="str">
        <f aca="false">IFERROR(INDEX(MASTER_DATABASE!$E$4:$E$1000,MATCH($A54,MASTER_DATABASE!$BI$4:$BI$1000,0))&amp;"","")</f>
        <v/>
      </c>
      <c r="D54" s="7" t="str">
        <f aca="false">IFERROR(INDEX(MASTER_DATABASE!$F$4:$F$1000,MATCH($A54,MASTER_DATABASE!$BI$4:$BI$1000,0))&amp;"","")</f>
        <v/>
      </c>
      <c r="E54" s="7" t="str">
        <f aca="false">IFERROR(INDEX(MASTER_DATABASE!$AL$4:$AL$1000,MATCH($A54,MASTER_DATABASE!$BI$4:$BI$1000,0))&amp;"","")</f>
        <v/>
      </c>
      <c r="F54" s="7" t="str">
        <f aca="false">IFERROR(INDEX(MASTER_DATABASE!$AP$4:$AP$1000,MATCH($A54,MASTER_DATABASE!$BI$4:$BI$1000,0))&amp;"","")</f>
        <v/>
      </c>
      <c r="G54" s="7" t="str">
        <f aca="false">IFERROR(IF(INDEX(MASTER_DATABASE!$V$4:$V$1000,MATCH($A54,MASTER_DATABASE!$BI$4:$BI$1000,0))&lt;&gt;"Yes","Contact shop",IF(ISNUMBER(INDEX(MASTER_DATABASE!$T$4:$T$1000,MATCH($A54,MASTER_DATABASE!$BI$4:$BI$1000,0))),"₹"&amp;INDEX(MASTER_DATABASE!$T$4:$T$1000,MATCH($A54,MASTER_DATABASE!$BI$4:$BI$1000,0)),"Contact shop")),"")</f>
        <v/>
      </c>
      <c r="H54" s="7" t="str">
        <f aca="false">IFERROR(INDEX(MASTER_DATABASE!$BG$4:$BG$1000,MATCH($A54,MASTER_DATABASE!$BI$4:$BI$1000,0))&amp;"","")</f>
        <v/>
      </c>
    </row>
    <row r="55" customFormat="false" ht="15" hidden="false" customHeight="false" outlineLevel="0" collapsed="false">
      <c r="A55" s="15" t="n">
        <v>11</v>
      </c>
      <c r="B55" s="7" t="str">
        <f aca="false">IFERROR(INDEX(MASTER_DATABASE!$A$4:$A$1000,MATCH($A55,MASTER_DATABASE!$BI$4:$BI$1000,0))&amp;"","")</f>
        <v/>
      </c>
      <c r="C55" s="7" t="str">
        <f aca="false">IFERROR(INDEX(MASTER_DATABASE!$E$4:$E$1000,MATCH($A55,MASTER_DATABASE!$BI$4:$BI$1000,0))&amp;"","")</f>
        <v/>
      </c>
      <c r="D55" s="7" t="str">
        <f aca="false">IFERROR(INDEX(MASTER_DATABASE!$F$4:$F$1000,MATCH($A55,MASTER_DATABASE!$BI$4:$BI$1000,0))&amp;"","")</f>
        <v/>
      </c>
      <c r="E55" s="7" t="str">
        <f aca="false">IFERROR(INDEX(MASTER_DATABASE!$AL$4:$AL$1000,MATCH($A55,MASTER_DATABASE!$BI$4:$BI$1000,0))&amp;"","")</f>
        <v/>
      </c>
      <c r="F55" s="7" t="str">
        <f aca="false">IFERROR(INDEX(MASTER_DATABASE!$AP$4:$AP$1000,MATCH($A55,MASTER_DATABASE!$BI$4:$BI$1000,0))&amp;"","")</f>
        <v/>
      </c>
      <c r="G55" s="7" t="str">
        <f aca="false">IFERROR(IF(INDEX(MASTER_DATABASE!$V$4:$V$1000,MATCH($A55,MASTER_DATABASE!$BI$4:$BI$1000,0))&lt;&gt;"Yes","Contact shop",IF(ISNUMBER(INDEX(MASTER_DATABASE!$T$4:$T$1000,MATCH($A55,MASTER_DATABASE!$BI$4:$BI$1000,0))),"₹"&amp;INDEX(MASTER_DATABASE!$T$4:$T$1000,MATCH($A55,MASTER_DATABASE!$BI$4:$BI$1000,0)),"Contact shop")),"")</f>
        <v/>
      </c>
      <c r="H55" s="7" t="str">
        <f aca="false">IFERROR(INDEX(MASTER_DATABASE!$BG$4:$BG$1000,MATCH($A55,MASTER_DATABASE!$BI$4:$BI$1000,0))&amp;"","")</f>
        <v/>
      </c>
    </row>
    <row r="56" customFormat="false" ht="15" hidden="false" customHeight="false" outlineLevel="0" collapsed="false">
      <c r="A56" s="15" t="n">
        <v>12</v>
      </c>
      <c r="B56" s="7" t="str">
        <f aca="false">IFERROR(INDEX(MASTER_DATABASE!$A$4:$A$1000,MATCH($A56,MASTER_DATABASE!$BI$4:$BI$1000,0))&amp;"","")</f>
        <v/>
      </c>
      <c r="C56" s="7" t="str">
        <f aca="false">IFERROR(INDEX(MASTER_DATABASE!$E$4:$E$1000,MATCH($A56,MASTER_DATABASE!$BI$4:$BI$1000,0))&amp;"","")</f>
        <v/>
      </c>
      <c r="D56" s="7" t="str">
        <f aca="false">IFERROR(INDEX(MASTER_DATABASE!$F$4:$F$1000,MATCH($A56,MASTER_DATABASE!$BI$4:$BI$1000,0))&amp;"","")</f>
        <v/>
      </c>
      <c r="E56" s="7" t="str">
        <f aca="false">IFERROR(INDEX(MASTER_DATABASE!$AL$4:$AL$1000,MATCH($A56,MASTER_DATABASE!$BI$4:$BI$1000,0))&amp;"","")</f>
        <v/>
      </c>
      <c r="F56" s="7" t="str">
        <f aca="false">IFERROR(INDEX(MASTER_DATABASE!$AP$4:$AP$1000,MATCH($A56,MASTER_DATABASE!$BI$4:$BI$1000,0))&amp;"","")</f>
        <v/>
      </c>
      <c r="G56" s="7" t="str">
        <f aca="false">IFERROR(IF(INDEX(MASTER_DATABASE!$V$4:$V$1000,MATCH($A56,MASTER_DATABASE!$BI$4:$BI$1000,0))&lt;&gt;"Yes","Contact shop",IF(ISNUMBER(INDEX(MASTER_DATABASE!$T$4:$T$1000,MATCH($A56,MASTER_DATABASE!$BI$4:$BI$1000,0))),"₹"&amp;INDEX(MASTER_DATABASE!$T$4:$T$1000,MATCH($A56,MASTER_DATABASE!$BI$4:$BI$1000,0)),"Contact shop")),"")</f>
        <v/>
      </c>
      <c r="H56" s="7" t="str">
        <f aca="false">IFERROR(INDEX(MASTER_DATABASE!$BG$4:$BG$1000,MATCH($A56,MASTER_DATABASE!$BI$4:$BI$1000,0))&amp;"","")</f>
        <v/>
      </c>
    </row>
    <row r="58" customFormat="false" ht="15" hidden="false" customHeight="false" outlineLevel="0" collapsed="false">
      <c r="A58" s="13" t="s">
        <v>3677</v>
      </c>
    </row>
    <row r="59" customFormat="false" ht="15" hidden="false" customHeight="false" outlineLevel="0" collapsed="false">
      <c r="A59" s="14" t="s">
        <v>3674</v>
      </c>
      <c r="B59" s="14" t="s">
        <v>2</v>
      </c>
      <c r="C59" s="14" t="s">
        <v>3398</v>
      </c>
      <c r="D59" s="14" t="s">
        <v>3409</v>
      </c>
      <c r="E59" s="14" t="s">
        <v>3410</v>
      </c>
      <c r="F59" s="14" t="s">
        <v>43</v>
      </c>
      <c r="G59" s="14" t="s">
        <v>3412</v>
      </c>
      <c r="H59" s="14" t="s">
        <v>3675</v>
      </c>
    </row>
    <row r="60" customFormat="false" ht="15" hidden="false" customHeight="false" outlineLevel="0" collapsed="false">
      <c r="A60" s="15" t="n">
        <v>1</v>
      </c>
      <c r="B60" s="7" t="str">
        <f aca="false">IFERROR(INDEX(MASTER_DATABASE!$A$4:$A$1000,MATCH($A60,MASTER_DATABASE!$BJ$4:$BJ$1000,0))&amp;"","")</f>
        <v/>
      </c>
      <c r="C60" s="7" t="str">
        <f aca="false">IFERROR(INDEX(MASTER_DATABASE!$E$4:$E$1000,MATCH($A60,MASTER_DATABASE!$BJ$4:$BJ$1000,0))&amp;"","")</f>
        <v/>
      </c>
      <c r="D60" s="7" t="str">
        <f aca="false">IFERROR(INDEX(MASTER_DATABASE!$F$4:$F$1000,MATCH($A60,MASTER_DATABASE!$BJ$4:$BJ$1000,0))&amp;"","")</f>
        <v/>
      </c>
      <c r="E60" s="7" t="str">
        <f aca="false">IFERROR(INDEX(MASTER_DATABASE!$AL$4:$AL$1000,MATCH($A60,MASTER_DATABASE!$BJ$4:$BJ$1000,0))&amp;"","")</f>
        <v/>
      </c>
      <c r="F60" s="7" t="str">
        <f aca="false">IFERROR(INDEX(MASTER_DATABASE!$AP$4:$AP$1000,MATCH($A60,MASTER_DATABASE!$BJ$4:$BJ$1000,0))&amp;"","")</f>
        <v/>
      </c>
      <c r="G60" s="7" t="str">
        <f aca="false">IFERROR(IF(INDEX(MASTER_DATABASE!$V$4:$V$1000,MATCH($A60,MASTER_DATABASE!$BJ$4:$BJ$1000,0))&lt;&gt;"Yes","Contact shop",IF(ISNUMBER(INDEX(MASTER_DATABASE!$T$4:$T$1000,MATCH($A60,MASTER_DATABASE!$BJ$4:$BJ$1000,0))),"₹"&amp;INDEX(MASTER_DATABASE!$T$4:$T$1000,MATCH($A60,MASTER_DATABASE!$BJ$4:$BJ$1000,0)),"Contact shop")),"")</f>
        <v/>
      </c>
      <c r="H60" s="7" t="str">
        <f aca="false">IFERROR(INDEX(MASTER_DATABASE!$BG$4:$BG$1000,MATCH($A60,MASTER_DATABASE!$BJ$4:$BJ$1000,0))&amp;"","")</f>
        <v/>
      </c>
    </row>
    <row r="61" customFormat="false" ht="15" hidden="false" customHeight="false" outlineLevel="0" collapsed="false">
      <c r="A61" s="15" t="n">
        <v>2</v>
      </c>
      <c r="B61" s="7" t="str">
        <f aca="false">IFERROR(INDEX(MASTER_DATABASE!$A$4:$A$1000,MATCH($A61,MASTER_DATABASE!$BJ$4:$BJ$1000,0))&amp;"","")</f>
        <v/>
      </c>
      <c r="C61" s="7" t="str">
        <f aca="false">IFERROR(INDEX(MASTER_DATABASE!$E$4:$E$1000,MATCH($A61,MASTER_DATABASE!$BJ$4:$BJ$1000,0))&amp;"","")</f>
        <v/>
      </c>
      <c r="D61" s="7" t="str">
        <f aca="false">IFERROR(INDEX(MASTER_DATABASE!$F$4:$F$1000,MATCH($A61,MASTER_DATABASE!$BJ$4:$BJ$1000,0))&amp;"","")</f>
        <v/>
      </c>
      <c r="E61" s="7" t="str">
        <f aca="false">IFERROR(INDEX(MASTER_DATABASE!$AL$4:$AL$1000,MATCH($A61,MASTER_DATABASE!$BJ$4:$BJ$1000,0))&amp;"","")</f>
        <v/>
      </c>
      <c r="F61" s="7" t="str">
        <f aca="false">IFERROR(INDEX(MASTER_DATABASE!$AP$4:$AP$1000,MATCH($A61,MASTER_DATABASE!$BJ$4:$BJ$1000,0))&amp;"","")</f>
        <v/>
      </c>
      <c r="G61" s="7" t="str">
        <f aca="false">IFERROR(IF(INDEX(MASTER_DATABASE!$V$4:$V$1000,MATCH($A61,MASTER_DATABASE!$BJ$4:$BJ$1000,0))&lt;&gt;"Yes","Contact shop",IF(ISNUMBER(INDEX(MASTER_DATABASE!$T$4:$T$1000,MATCH($A61,MASTER_DATABASE!$BJ$4:$BJ$1000,0))),"₹"&amp;INDEX(MASTER_DATABASE!$T$4:$T$1000,MATCH($A61,MASTER_DATABASE!$BJ$4:$BJ$1000,0)),"Contact shop")),"")</f>
        <v/>
      </c>
      <c r="H61" s="7" t="str">
        <f aca="false">IFERROR(INDEX(MASTER_DATABASE!$BG$4:$BG$1000,MATCH($A61,MASTER_DATABASE!$BJ$4:$BJ$1000,0))&amp;"","")</f>
        <v/>
      </c>
    </row>
    <row r="62" customFormat="false" ht="15" hidden="false" customHeight="false" outlineLevel="0" collapsed="false">
      <c r="A62" s="15" t="n">
        <v>3</v>
      </c>
      <c r="B62" s="7" t="str">
        <f aca="false">IFERROR(INDEX(MASTER_DATABASE!$A$4:$A$1000,MATCH($A62,MASTER_DATABASE!$BJ$4:$BJ$1000,0))&amp;"","")</f>
        <v/>
      </c>
      <c r="C62" s="7" t="str">
        <f aca="false">IFERROR(INDEX(MASTER_DATABASE!$E$4:$E$1000,MATCH($A62,MASTER_DATABASE!$BJ$4:$BJ$1000,0))&amp;"","")</f>
        <v/>
      </c>
      <c r="D62" s="7" t="str">
        <f aca="false">IFERROR(INDEX(MASTER_DATABASE!$F$4:$F$1000,MATCH($A62,MASTER_DATABASE!$BJ$4:$BJ$1000,0))&amp;"","")</f>
        <v/>
      </c>
      <c r="E62" s="7" t="str">
        <f aca="false">IFERROR(INDEX(MASTER_DATABASE!$AL$4:$AL$1000,MATCH($A62,MASTER_DATABASE!$BJ$4:$BJ$1000,0))&amp;"","")</f>
        <v/>
      </c>
      <c r="F62" s="7" t="str">
        <f aca="false">IFERROR(INDEX(MASTER_DATABASE!$AP$4:$AP$1000,MATCH($A62,MASTER_DATABASE!$BJ$4:$BJ$1000,0))&amp;"","")</f>
        <v/>
      </c>
      <c r="G62" s="7" t="str">
        <f aca="false">IFERROR(IF(INDEX(MASTER_DATABASE!$V$4:$V$1000,MATCH($A62,MASTER_DATABASE!$BJ$4:$BJ$1000,0))&lt;&gt;"Yes","Contact shop",IF(ISNUMBER(INDEX(MASTER_DATABASE!$T$4:$T$1000,MATCH($A62,MASTER_DATABASE!$BJ$4:$BJ$1000,0))),"₹"&amp;INDEX(MASTER_DATABASE!$T$4:$T$1000,MATCH($A62,MASTER_DATABASE!$BJ$4:$BJ$1000,0)),"Contact shop")),"")</f>
        <v/>
      </c>
      <c r="H62" s="7" t="str">
        <f aca="false">IFERROR(INDEX(MASTER_DATABASE!$BG$4:$BG$1000,MATCH($A62,MASTER_DATABASE!$BJ$4:$BJ$1000,0))&amp;"","")</f>
        <v/>
      </c>
    </row>
    <row r="63" customFormat="false" ht="15" hidden="false" customHeight="false" outlineLevel="0" collapsed="false">
      <c r="A63" s="15" t="n">
        <v>4</v>
      </c>
      <c r="B63" s="7" t="str">
        <f aca="false">IFERROR(INDEX(MASTER_DATABASE!$A$4:$A$1000,MATCH($A63,MASTER_DATABASE!$BJ$4:$BJ$1000,0))&amp;"","")</f>
        <v/>
      </c>
      <c r="C63" s="7" t="str">
        <f aca="false">IFERROR(INDEX(MASTER_DATABASE!$E$4:$E$1000,MATCH($A63,MASTER_DATABASE!$BJ$4:$BJ$1000,0))&amp;"","")</f>
        <v/>
      </c>
      <c r="D63" s="7" t="str">
        <f aca="false">IFERROR(INDEX(MASTER_DATABASE!$F$4:$F$1000,MATCH($A63,MASTER_DATABASE!$BJ$4:$BJ$1000,0))&amp;"","")</f>
        <v/>
      </c>
      <c r="E63" s="7" t="str">
        <f aca="false">IFERROR(INDEX(MASTER_DATABASE!$AL$4:$AL$1000,MATCH($A63,MASTER_DATABASE!$BJ$4:$BJ$1000,0))&amp;"","")</f>
        <v/>
      </c>
      <c r="F63" s="7" t="str">
        <f aca="false">IFERROR(INDEX(MASTER_DATABASE!$AP$4:$AP$1000,MATCH($A63,MASTER_DATABASE!$BJ$4:$BJ$1000,0))&amp;"","")</f>
        <v/>
      </c>
      <c r="G63" s="7" t="str">
        <f aca="false">IFERROR(IF(INDEX(MASTER_DATABASE!$V$4:$V$1000,MATCH($A63,MASTER_DATABASE!$BJ$4:$BJ$1000,0))&lt;&gt;"Yes","Contact shop",IF(ISNUMBER(INDEX(MASTER_DATABASE!$T$4:$T$1000,MATCH($A63,MASTER_DATABASE!$BJ$4:$BJ$1000,0))),"₹"&amp;INDEX(MASTER_DATABASE!$T$4:$T$1000,MATCH($A63,MASTER_DATABASE!$BJ$4:$BJ$1000,0)),"Contact shop")),"")</f>
        <v/>
      </c>
      <c r="H63" s="7" t="str">
        <f aca="false">IFERROR(INDEX(MASTER_DATABASE!$BG$4:$BG$1000,MATCH($A63,MASTER_DATABASE!$BJ$4:$BJ$1000,0))&amp;"","")</f>
        <v/>
      </c>
    </row>
    <row r="64" customFormat="false" ht="15" hidden="false" customHeight="false" outlineLevel="0" collapsed="false">
      <c r="A64" s="15" t="n">
        <v>5</v>
      </c>
      <c r="B64" s="7" t="str">
        <f aca="false">IFERROR(INDEX(MASTER_DATABASE!$A$4:$A$1000,MATCH($A64,MASTER_DATABASE!$BJ$4:$BJ$1000,0))&amp;"","")</f>
        <v/>
      </c>
      <c r="C64" s="7" t="str">
        <f aca="false">IFERROR(INDEX(MASTER_DATABASE!$E$4:$E$1000,MATCH($A64,MASTER_DATABASE!$BJ$4:$BJ$1000,0))&amp;"","")</f>
        <v/>
      </c>
      <c r="D64" s="7" t="str">
        <f aca="false">IFERROR(INDEX(MASTER_DATABASE!$F$4:$F$1000,MATCH($A64,MASTER_DATABASE!$BJ$4:$BJ$1000,0))&amp;"","")</f>
        <v/>
      </c>
      <c r="E64" s="7" t="str">
        <f aca="false">IFERROR(INDEX(MASTER_DATABASE!$AL$4:$AL$1000,MATCH($A64,MASTER_DATABASE!$BJ$4:$BJ$1000,0))&amp;"","")</f>
        <v/>
      </c>
      <c r="F64" s="7" t="str">
        <f aca="false">IFERROR(INDEX(MASTER_DATABASE!$AP$4:$AP$1000,MATCH($A64,MASTER_DATABASE!$BJ$4:$BJ$1000,0))&amp;"","")</f>
        <v/>
      </c>
      <c r="G64" s="7" t="str">
        <f aca="false">IFERROR(IF(INDEX(MASTER_DATABASE!$V$4:$V$1000,MATCH($A64,MASTER_DATABASE!$BJ$4:$BJ$1000,0))&lt;&gt;"Yes","Contact shop",IF(ISNUMBER(INDEX(MASTER_DATABASE!$T$4:$T$1000,MATCH($A64,MASTER_DATABASE!$BJ$4:$BJ$1000,0))),"₹"&amp;INDEX(MASTER_DATABASE!$T$4:$T$1000,MATCH($A64,MASTER_DATABASE!$BJ$4:$BJ$1000,0)),"Contact shop")),"")</f>
        <v/>
      </c>
      <c r="H64" s="7" t="str">
        <f aca="false">IFERROR(INDEX(MASTER_DATABASE!$BG$4:$BG$1000,MATCH($A64,MASTER_DATABASE!$BJ$4:$BJ$1000,0))&amp;"","")</f>
        <v/>
      </c>
    </row>
    <row r="65" customFormat="false" ht="15" hidden="false" customHeight="false" outlineLevel="0" collapsed="false">
      <c r="A65" s="15" t="n">
        <v>6</v>
      </c>
      <c r="B65" s="7" t="str">
        <f aca="false">IFERROR(INDEX(MASTER_DATABASE!$A$4:$A$1000,MATCH($A65,MASTER_DATABASE!$BJ$4:$BJ$1000,0))&amp;"","")</f>
        <v/>
      </c>
      <c r="C65" s="7" t="str">
        <f aca="false">IFERROR(INDEX(MASTER_DATABASE!$E$4:$E$1000,MATCH($A65,MASTER_DATABASE!$BJ$4:$BJ$1000,0))&amp;"","")</f>
        <v/>
      </c>
      <c r="D65" s="7" t="str">
        <f aca="false">IFERROR(INDEX(MASTER_DATABASE!$F$4:$F$1000,MATCH($A65,MASTER_DATABASE!$BJ$4:$BJ$1000,0))&amp;"","")</f>
        <v/>
      </c>
      <c r="E65" s="7" t="str">
        <f aca="false">IFERROR(INDEX(MASTER_DATABASE!$AL$4:$AL$1000,MATCH($A65,MASTER_DATABASE!$BJ$4:$BJ$1000,0))&amp;"","")</f>
        <v/>
      </c>
      <c r="F65" s="7" t="str">
        <f aca="false">IFERROR(INDEX(MASTER_DATABASE!$AP$4:$AP$1000,MATCH($A65,MASTER_DATABASE!$BJ$4:$BJ$1000,0))&amp;"","")</f>
        <v/>
      </c>
      <c r="G65" s="7" t="str">
        <f aca="false">IFERROR(IF(INDEX(MASTER_DATABASE!$V$4:$V$1000,MATCH($A65,MASTER_DATABASE!$BJ$4:$BJ$1000,0))&lt;&gt;"Yes","Contact shop",IF(ISNUMBER(INDEX(MASTER_DATABASE!$T$4:$T$1000,MATCH($A65,MASTER_DATABASE!$BJ$4:$BJ$1000,0))),"₹"&amp;INDEX(MASTER_DATABASE!$T$4:$T$1000,MATCH($A65,MASTER_DATABASE!$BJ$4:$BJ$1000,0)),"Contact shop")),"")</f>
        <v/>
      </c>
      <c r="H65" s="7" t="str">
        <f aca="false">IFERROR(INDEX(MASTER_DATABASE!$BG$4:$BG$1000,MATCH($A65,MASTER_DATABASE!$BJ$4:$BJ$1000,0))&amp;"","")</f>
        <v/>
      </c>
    </row>
    <row r="66" customFormat="false" ht="15" hidden="false" customHeight="false" outlineLevel="0" collapsed="false">
      <c r="A66" s="15" t="n">
        <v>7</v>
      </c>
      <c r="B66" s="7" t="str">
        <f aca="false">IFERROR(INDEX(MASTER_DATABASE!$A$4:$A$1000,MATCH($A66,MASTER_DATABASE!$BJ$4:$BJ$1000,0))&amp;"","")</f>
        <v/>
      </c>
      <c r="C66" s="7" t="str">
        <f aca="false">IFERROR(INDEX(MASTER_DATABASE!$E$4:$E$1000,MATCH($A66,MASTER_DATABASE!$BJ$4:$BJ$1000,0))&amp;"","")</f>
        <v/>
      </c>
      <c r="D66" s="7" t="str">
        <f aca="false">IFERROR(INDEX(MASTER_DATABASE!$F$4:$F$1000,MATCH($A66,MASTER_DATABASE!$BJ$4:$BJ$1000,0))&amp;"","")</f>
        <v/>
      </c>
      <c r="E66" s="7" t="str">
        <f aca="false">IFERROR(INDEX(MASTER_DATABASE!$AL$4:$AL$1000,MATCH($A66,MASTER_DATABASE!$BJ$4:$BJ$1000,0))&amp;"","")</f>
        <v/>
      </c>
      <c r="F66" s="7" t="str">
        <f aca="false">IFERROR(INDEX(MASTER_DATABASE!$AP$4:$AP$1000,MATCH($A66,MASTER_DATABASE!$BJ$4:$BJ$1000,0))&amp;"","")</f>
        <v/>
      </c>
      <c r="G66" s="7" t="str">
        <f aca="false">IFERROR(IF(INDEX(MASTER_DATABASE!$V$4:$V$1000,MATCH($A66,MASTER_DATABASE!$BJ$4:$BJ$1000,0))&lt;&gt;"Yes","Contact shop",IF(ISNUMBER(INDEX(MASTER_DATABASE!$T$4:$T$1000,MATCH($A66,MASTER_DATABASE!$BJ$4:$BJ$1000,0))),"₹"&amp;INDEX(MASTER_DATABASE!$T$4:$T$1000,MATCH($A66,MASTER_DATABASE!$BJ$4:$BJ$1000,0)),"Contact shop")),"")</f>
        <v/>
      </c>
      <c r="H66" s="7" t="str">
        <f aca="false">IFERROR(INDEX(MASTER_DATABASE!$BG$4:$BG$1000,MATCH($A66,MASTER_DATABASE!$BJ$4:$BJ$1000,0))&amp;"","")</f>
        <v/>
      </c>
    </row>
    <row r="67" customFormat="false" ht="15" hidden="false" customHeight="false" outlineLevel="0" collapsed="false">
      <c r="A67" s="15" t="n">
        <v>8</v>
      </c>
      <c r="B67" s="7" t="str">
        <f aca="false">IFERROR(INDEX(MASTER_DATABASE!$A$4:$A$1000,MATCH($A67,MASTER_DATABASE!$BJ$4:$BJ$1000,0))&amp;"","")</f>
        <v/>
      </c>
      <c r="C67" s="7" t="str">
        <f aca="false">IFERROR(INDEX(MASTER_DATABASE!$E$4:$E$1000,MATCH($A67,MASTER_DATABASE!$BJ$4:$BJ$1000,0))&amp;"","")</f>
        <v/>
      </c>
      <c r="D67" s="7" t="str">
        <f aca="false">IFERROR(INDEX(MASTER_DATABASE!$F$4:$F$1000,MATCH($A67,MASTER_DATABASE!$BJ$4:$BJ$1000,0))&amp;"","")</f>
        <v/>
      </c>
      <c r="E67" s="7" t="str">
        <f aca="false">IFERROR(INDEX(MASTER_DATABASE!$AL$4:$AL$1000,MATCH($A67,MASTER_DATABASE!$BJ$4:$BJ$1000,0))&amp;"","")</f>
        <v/>
      </c>
      <c r="F67" s="7" t="str">
        <f aca="false">IFERROR(INDEX(MASTER_DATABASE!$AP$4:$AP$1000,MATCH($A67,MASTER_DATABASE!$BJ$4:$BJ$1000,0))&amp;"","")</f>
        <v/>
      </c>
      <c r="G67" s="7" t="str">
        <f aca="false">IFERROR(IF(INDEX(MASTER_DATABASE!$V$4:$V$1000,MATCH($A67,MASTER_DATABASE!$BJ$4:$BJ$1000,0))&lt;&gt;"Yes","Contact shop",IF(ISNUMBER(INDEX(MASTER_DATABASE!$T$4:$T$1000,MATCH($A67,MASTER_DATABASE!$BJ$4:$BJ$1000,0))),"₹"&amp;INDEX(MASTER_DATABASE!$T$4:$T$1000,MATCH($A67,MASTER_DATABASE!$BJ$4:$BJ$1000,0)),"Contact shop")),"")</f>
        <v/>
      </c>
      <c r="H67" s="7" t="str">
        <f aca="false">IFERROR(INDEX(MASTER_DATABASE!$BG$4:$BG$1000,MATCH($A67,MASTER_DATABASE!$BJ$4:$BJ$1000,0))&amp;"","")</f>
        <v/>
      </c>
    </row>
    <row r="68" customFormat="false" ht="15" hidden="false" customHeight="false" outlineLevel="0" collapsed="false">
      <c r="A68" s="15" t="n">
        <v>9</v>
      </c>
      <c r="B68" s="7" t="str">
        <f aca="false">IFERROR(INDEX(MASTER_DATABASE!$A$4:$A$1000,MATCH($A68,MASTER_DATABASE!$BJ$4:$BJ$1000,0))&amp;"","")</f>
        <v/>
      </c>
      <c r="C68" s="7" t="str">
        <f aca="false">IFERROR(INDEX(MASTER_DATABASE!$E$4:$E$1000,MATCH($A68,MASTER_DATABASE!$BJ$4:$BJ$1000,0))&amp;"","")</f>
        <v/>
      </c>
      <c r="D68" s="7" t="str">
        <f aca="false">IFERROR(INDEX(MASTER_DATABASE!$F$4:$F$1000,MATCH($A68,MASTER_DATABASE!$BJ$4:$BJ$1000,0))&amp;"","")</f>
        <v/>
      </c>
      <c r="E68" s="7" t="str">
        <f aca="false">IFERROR(INDEX(MASTER_DATABASE!$AL$4:$AL$1000,MATCH($A68,MASTER_DATABASE!$BJ$4:$BJ$1000,0))&amp;"","")</f>
        <v/>
      </c>
      <c r="F68" s="7" t="str">
        <f aca="false">IFERROR(INDEX(MASTER_DATABASE!$AP$4:$AP$1000,MATCH($A68,MASTER_DATABASE!$BJ$4:$BJ$1000,0))&amp;"","")</f>
        <v/>
      </c>
      <c r="G68" s="7" t="str">
        <f aca="false">IFERROR(IF(INDEX(MASTER_DATABASE!$V$4:$V$1000,MATCH($A68,MASTER_DATABASE!$BJ$4:$BJ$1000,0))&lt;&gt;"Yes","Contact shop",IF(ISNUMBER(INDEX(MASTER_DATABASE!$T$4:$T$1000,MATCH($A68,MASTER_DATABASE!$BJ$4:$BJ$1000,0))),"₹"&amp;INDEX(MASTER_DATABASE!$T$4:$T$1000,MATCH($A68,MASTER_DATABASE!$BJ$4:$BJ$1000,0)),"Contact shop")),"")</f>
        <v/>
      </c>
      <c r="H68" s="7" t="str">
        <f aca="false">IFERROR(INDEX(MASTER_DATABASE!$BG$4:$BG$1000,MATCH($A68,MASTER_DATABASE!$BJ$4:$BJ$1000,0))&amp;"","")</f>
        <v/>
      </c>
    </row>
    <row r="69" customFormat="false" ht="15" hidden="false" customHeight="false" outlineLevel="0" collapsed="false">
      <c r="A69" s="15" t="n">
        <v>10</v>
      </c>
      <c r="B69" s="7" t="str">
        <f aca="false">IFERROR(INDEX(MASTER_DATABASE!$A$4:$A$1000,MATCH($A69,MASTER_DATABASE!$BJ$4:$BJ$1000,0))&amp;"","")</f>
        <v/>
      </c>
      <c r="C69" s="7" t="str">
        <f aca="false">IFERROR(INDEX(MASTER_DATABASE!$E$4:$E$1000,MATCH($A69,MASTER_DATABASE!$BJ$4:$BJ$1000,0))&amp;"","")</f>
        <v/>
      </c>
      <c r="D69" s="7" t="str">
        <f aca="false">IFERROR(INDEX(MASTER_DATABASE!$F$4:$F$1000,MATCH($A69,MASTER_DATABASE!$BJ$4:$BJ$1000,0))&amp;"","")</f>
        <v/>
      </c>
      <c r="E69" s="7" t="str">
        <f aca="false">IFERROR(INDEX(MASTER_DATABASE!$AL$4:$AL$1000,MATCH($A69,MASTER_DATABASE!$BJ$4:$BJ$1000,0))&amp;"","")</f>
        <v/>
      </c>
      <c r="F69" s="7" t="str">
        <f aca="false">IFERROR(INDEX(MASTER_DATABASE!$AP$4:$AP$1000,MATCH($A69,MASTER_DATABASE!$BJ$4:$BJ$1000,0))&amp;"","")</f>
        <v/>
      </c>
      <c r="G69" s="7" t="str">
        <f aca="false">IFERROR(IF(INDEX(MASTER_DATABASE!$V$4:$V$1000,MATCH($A69,MASTER_DATABASE!$BJ$4:$BJ$1000,0))&lt;&gt;"Yes","Contact shop",IF(ISNUMBER(INDEX(MASTER_DATABASE!$T$4:$T$1000,MATCH($A69,MASTER_DATABASE!$BJ$4:$BJ$1000,0))),"₹"&amp;INDEX(MASTER_DATABASE!$T$4:$T$1000,MATCH($A69,MASTER_DATABASE!$BJ$4:$BJ$1000,0)),"Contact shop")),"")</f>
        <v/>
      </c>
      <c r="H69" s="7" t="str">
        <f aca="false">IFERROR(INDEX(MASTER_DATABASE!$BG$4:$BG$1000,MATCH($A69,MASTER_DATABASE!$BJ$4:$BJ$1000,0))&amp;"","")</f>
        <v/>
      </c>
    </row>
    <row r="70" customFormat="false" ht="15" hidden="false" customHeight="false" outlineLevel="0" collapsed="false">
      <c r="A70" s="15" t="n">
        <v>11</v>
      </c>
      <c r="B70" s="7" t="str">
        <f aca="false">IFERROR(INDEX(MASTER_DATABASE!$A$4:$A$1000,MATCH($A70,MASTER_DATABASE!$BJ$4:$BJ$1000,0))&amp;"","")</f>
        <v/>
      </c>
      <c r="C70" s="7" t="str">
        <f aca="false">IFERROR(INDEX(MASTER_DATABASE!$E$4:$E$1000,MATCH($A70,MASTER_DATABASE!$BJ$4:$BJ$1000,0))&amp;"","")</f>
        <v/>
      </c>
      <c r="D70" s="7" t="str">
        <f aca="false">IFERROR(INDEX(MASTER_DATABASE!$F$4:$F$1000,MATCH($A70,MASTER_DATABASE!$BJ$4:$BJ$1000,0))&amp;"","")</f>
        <v/>
      </c>
      <c r="E70" s="7" t="str">
        <f aca="false">IFERROR(INDEX(MASTER_DATABASE!$AL$4:$AL$1000,MATCH($A70,MASTER_DATABASE!$BJ$4:$BJ$1000,0))&amp;"","")</f>
        <v/>
      </c>
      <c r="F70" s="7" t="str">
        <f aca="false">IFERROR(INDEX(MASTER_DATABASE!$AP$4:$AP$1000,MATCH($A70,MASTER_DATABASE!$BJ$4:$BJ$1000,0))&amp;"","")</f>
        <v/>
      </c>
      <c r="G70" s="7" t="str">
        <f aca="false">IFERROR(IF(INDEX(MASTER_DATABASE!$V$4:$V$1000,MATCH($A70,MASTER_DATABASE!$BJ$4:$BJ$1000,0))&lt;&gt;"Yes","Contact shop",IF(ISNUMBER(INDEX(MASTER_DATABASE!$T$4:$T$1000,MATCH($A70,MASTER_DATABASE!$BJ$4:$BJ$1000,0))),"₹"&amp;INDEX(MASTER_DATABASE!$T$4:$T$1000,MATCH($A70,MASTER_DATABASE!$BJ$4:$BJ$1000,0)),"Contact shop")),"")</f>
        <v/>
      </c>
      <c r="H70" s="7" t="str">
        <f aca="false">IFERROR(INDEX(MASTER_DATABASE!$BG$4:$BG$1000,MATCH($A70,MASTER_DATABASE!$BJ$4:$BJ$1000,0))&amp;"","")</f>
        <v/>
      </c>
    </row>
    <row r="71" customFormat="false" ht="15" hidden="false" customHeight="false" outlineLevel="0" collapsed="false">
      <c r="A71" s="15" t="n">
        <v>12</v>
      </c>
      <c r="B71" s="7" t="str">
        <f aca="false">IFERROR(INDEX(MASTER_DATABASE!$A$4:$A$1000,MATCH($A71,MASTER_DATABASE!$BJ$4:$BJ$1000,0))&amp;"","")</f>
        <v/>
      </c>
      <c r="C71" s="7" t="str">
        <f aca="false">IFERROR(INDEX(MASTER_DATABASE!$E$4:$E$1000,MATCH($A71,MASTER_DATABASE!$BJ$4:$BJ$1000,0))&amp;"","")</f>
        <v/>
      </c>
      <c r="D71" s="7" t="str">
        <f aca="false">IFERROR(INDEX(MASTER_DATABASE!$F$4:$F$1000,MATCH($A71,MASTER_DATABASE!$BJ$4:$BJ$1000,0))&amp;"","")</f>
        <v/>
      </c>
      <c r="E71" s="7" t="str">
        <f aca="false">IFERROR(INDEX(MASTER_DATABASE!$AL$4:$AL$1000,MATCH($A71,MASTER_DATABASE!$BJ$4:$BJ$1000,0))&amp;"","")</f>
        <v/>
      </c>
      <c r="F71" s="7" t="str">
        <f aca="false">IFERROR(INDEX(MASTER_DATABASE!$AP$4:$AP$1000,MATCH($A71,MASTER_DATABASE!$BJ$4:$BJ$1000,0))&amp;"","")</f>
        <v/>
      </c>
      <c r="G71" s="7" t="str">
        <f aca="false">IFERROR(IF(INDEX(MASTER_DATABASE!$V$4:$V$1000,MATCH($A71,MASTER_DATABASE!$BJ$4:$BJ$1000,0))&lt;&gt;"Yes","Contact shop",IF(ISNUMBER(INDEX(MASTER_DATABASE!$T$4:$T$1000,MATCH($A71,MASTER_DATABASE!$BJ$4:$BJ$1000,0))),"₹"&amp;INDEX(MASTER_DATABASE!$T$4:$T$1000,MATCH($A71,MASTER_DATABASE!$BJ$4:$BJ$1000,0)),"Contact shop")),"")</f>
        <v/>
      </c>
      <c r="H71" s="7" t="str">
        <f aca="false">IFERROR(INDEX(MASTER_DATABASE!$BG$4:$BG$1000,MATCH($A71,MASTER_DATABASE!$BJ$4:$BJ$1000,0))&amp;"","")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3678</v>
      </c>
    </row>
    <row r="2" customFormat="false" ht="15" hidden="false" customHeight="false" outlineLevel="0" collapsed="false">
      <c r="A2" s="2" t="s">
        <v>3679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23.85" hidden="false" customHeight="false" outlineLevel="0" collapsed="false">
      <c r="A4" s="11" t="n">
        <v>1</v>
      </c>
      <c r="B4" s="11" t="n">
        <f aca="false">IFERROR(MATCH("Aadhaar Centre|"&amp;$A4,MASTER_DATABASE!$BH$4:$BH$1000,0),"")</f>
        <v>1</v>
      </c>
      <c r="C4" s="11" t="str">
        <f aca="false">IF($B4="","",INDEX(MASTER_DATABASE!$A$4:$A$1000,$B4)&amp;"")</f>
        <v>AAD-001</v>
      </c>
      <c r="D4" s="7" t="str">
        <f aca="false">IF($B4="","",INDEX(MASTER_DATABASE!$D$4:$D$1000,$B4)&amp;"")</f>
        <v>Enrolment</v>
      </c>
      <c r="E4" s="7" t="str">
        <f aca="false">IF($B4="","",INDEX(MASTER_DATABASE!$E$4:$E$1000,$B4)&amp;"")</f>
        <v>New Aadhaar Enrolment – Adult (18+ years)</v>
      </c>
      <c r="F4" s="7" t="str">
        <f aca="false">IF($B4="","",INDEX(MASTER_DATABASE!$F$4:$F$1000,$B4)&amp;"")</f>
        <v>नया आधार नामांकन – वयस्क (18+ वर्ष)</v>
      </c>
      <c r="G4" s="11" t="str">
        <f aca="false">IF($B4="","",INDEX(MASTER_DATABASE!$I$4:$I$1000,$B4)&amp;"")</f>
        <v>Authorization Required</v>
      </c>
      <c r="H4" s="7" t="str">
        <f aca="false">IF($B4="","",INDEX(MASTER_DATABASE!$L$4:$L$1000,$B4)&amp;"")</f>
        <v>To Verify</v>
      </c>
      <c r="I4" s="9" t="str">
        <f aca="false">IF($B4="","",INDEX(MASTER_DATABASE!$R$4:$R$1000,$B4))</f>
        <v>To Verify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To Verify</v>
      </c>
      <c r="M4" s="7" t="str">
        <f aca="false">IF($B4="","",INDEX(MASTER_DATABASE!$Q$4:$Q$1000,$B4)&amp;"")</f>
        <v>Depends on Department</v>
      </c>
      <c r="N4" s="7" t="str">
        <f aca="false">IF($B4="","",INDEX(MASTER_DATABASE!$AG$4:$AG$1000,$B4)&amp;"")</f>
        <v>To Verify</v>
      </c>
      <c r="O4" s="11" t="str">
        <f aca="false">IF($B4="","",INDEX(MASTER_DATABASE!$AH$4:$AH$1000,$B4)&amp;"")</f>
        <v>No</v>
      </c>
      <c r="P4" s="11" t="str">
        <f aca="false">IF($B4="","",INDEX(MASTER_DATABASE!$BE$4:$BE$1000,$B4)&amp;"")</f>
        <v>HIDDEN</v>
      </c>
      <c r="Q4" s="7" t="str">
        <f aca="false">IF($B4="","",INDEX(MASTER_DATABASE!$AV$4:$AV$1000,$B4)&amp;"")</f>
        <v>To Verify</v>
      </c>
    </row>
    <row r="5" customFormat="false" ht="23.85" hidden="false" customHeight="false" outlineLevel="0" collapsed="false">
      <c r="A5" s="11" t="n">
        <v>2</v>
      </c>
      <c r="B5" s="11" t="n">
        <f aca="false">IFERROR(MATCH("Aadhaar Centre|"&amp;$A5,MASTER_DATABASE!$BH$4:$BH$1000,0),"")</f>
        <v>2</v>
      </c>
      <c r="C5" s="11" t="str">
        <f aca="false">IF($B5="","",INDEX(MASTER_DATABASE!$A$4:$A$1000,$B5)&amp;"")</f>
        <v>AAD-002</v>
      </c>
      <c r="D5" s="7" t="str">
        <f aca="false">IF($B5="","",INDEX(MASTER_DATABASE!$D$4:$D$1000,$B5)&amp;"")</f>
        <v>Enrolment</v>
      </c>
      <c r="E5" s="7" t="str">
        <f aca="false">IF($B5="","",INDEX(MASTER_DATABASE!$E$4:$E$1000,$B5)&amp;"")</f>
        <v>New Aadhaar Enrolment – Child (5 to 17 years)</v>
      </c>
      <c r="F5" s="7" t="str">
        <f aca="false">IF($B5="","",INDEX(MASTER_DATABASE!$F$4:$F$1000,$B5)&amp;"")</f>
        <v>नया आधार नामांकन – बच्चा (5 से 17 वर्ष)</v>
      </c>
      <c r="G5" s="11" t="str">
        <f aca="false">IF($B5="","",INDEX(MASTER_DATABASE!$I$4:$I$1000,$B5)&amp;"")</f>
        <v>Authorization Required</v>
      </c>
      <c r="H5" s="7" t="str">
        <f aca="false">IF($B5="","",INDEX(MASTER_DATABASE!$L$4:$L$1000,$B5)&amp;"")</f>
        <v>To Verify</v>
      </c>
      <c r="I5" s="9" t="str">
        <f aca="false">IF($B5="","",INDEX(MASTER_DATABASE!$R$4:$R$1000,$B5))</f>
        <v>To Verify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To Verify</v>
      </c>
      <c r="M5" s="7" t="str">
        <f aca="false">IF($B5="","",INDEX(MASTER_DATABASE!$Q$4:$Q$1000,$B5)&amp;"")</f>
        <v>Depends on Department</v>
      </c>
      <c r="N5" s="7" t="str">
        <f aca="false">IF($B5="","",INDEX(MASTER_DATABASE!$AG$4:$AG$1000,$B5)&amp;"")</f>
        <v>To Verify</v>
      </c>
      <c r="O5" s="11" t="str">
        <f aca="false">IF($B5="","",INDEX(MASTER_DATABASE!$AH$4:$AH$1000,$B5)&amp;"")</f>
        <v>No</v>
      </c>
      <c r="P5" s="11" t="str">
        <f aca="false">IF($B5="","",INDEX(MASTER_DATABASE!$BE$4:$BE$1000,$B5)&amp;"")</f>
        <v>HIDDEN</v>
      </c>
      <c r="Q5" s="7" t="str">
        <f aca="false">IF($B5="","",INDEX(MASTER_DATABASE!$AV$4:$AV$1000,$B5)&amp;"")</f>
        <v>To Verify</v>
      </c>
    </row>
    <row r="6" customFormat="false" ht="23.85" hidden="false" customHeight="false" outlineLevel="0" collapsed="false">
      <c r="A6" s="11" t="n">
        <v>3</v>
      </c>
      <c r="B6" s="11" t="n">
        <f aca="false">IFERROR(MATCH("Aadhaar Centre|"&amp;$A6,MASTER_DATABASE!$BH$4:$BH$1000,0),"")</f>
        <v>3</v>
      </c>
      <c r="C6" s="11" t="str">
        <f aca="false">IF($B6="","",INDEX(MASTER_DATABASE!$A$4:$A$1000,$B6)&amp;"")</f>
        <v>AAD-003</v>
      </c>
      <c r="D6" s="7" t="str">
        <f aca="false">IF($B6="","",INDEX(MASTER_DATABASE!$D$4:$D$1000,$B6)&amp;"")</f>
        <v>Enrolment</v>
      </c>
      <c r="E6" s="7" t="str">
        <f aca="false">IF($B6="","",INDEX(MASTER_DATABASE!$E$4:$E$1000,$B6)&amp;"")</f>
        <v>New Aadhaar Enrolment – Child (0 to 5 years, Baal Aadhaar)</v>
      </c>
      <c r="F6" s="7" t="str">
        <f aca="false">IF($B6="","",INDEX(MASTER_DATABASE!$F$4:$F$1000,$B6)&amp;"")</f>
        <v>नया आधार नामांकन – बच्चा (0 से 5 वर्ष, बाल आधार)</v>
      </c>
      <c r="G6" s="11" t="str">
        <f aca="false">IF($B6="","",INDEX(MASTER_DATABASE!$I$4:$I$1000,$B6)&amp;"")</f>
        <v>Authorization Required</v>
      </c>
      <c r="H6" s="7" t="str">
        <f aca="false">IF($B6="","",INDEX(MASTER_DATABASE!$L$4:$L$1000,$B6)&amp;"")</f>
        <v>To Verify</v>
      </c>
      <c r="I6" s="9" t="str">
        <f aca="false">IF($B6="","",INDEX(MASTER_DATABASE!$R$4:$R$1000,$B6))</f>
        <v>To Verify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To Verify</v>
      </c>
      <c r="M6" s="7" t="str">
        <f aca="false">IF($B6="","",INDEX(MASTER_DATABASE!$Q$4:$Q$1000,$B6)&amp;"")</f>
        <v>Depends on Department</v>
      </c>
      <c r="N6" s="7" t="str">
        <f aca="false">IF($B6="","",INDEX(MASTER_DATABASE!$AG$4:$AG$1000,$B6)&amp;"")</f>
        <v>To Verify</v>
      </c>
      <c r="O6" s="11" t="str">
        <f aca="false">IF($B6="","",INDEX(MASTER_DATABASE!$AH$4:$AH$1000,$B6)&amp;"")</f>
        <v>No</v>
      </c>
      <c r="P6" s="11" t="str">
        <f aca="false">IF($B6="","",INDEX(MASTER_DATABASE!$BE$4:$BE$1000,$B6)&amp;"")</f>
        <v>HIDDEN</v>
      </c>
      <c r="Q6" s="7" t="str">
        <f aca="false">IF($B6="","",INDEX(MASTER_DATABASE!$AV$4:$AV$1000,$B6)&amp;"")</f>
        <v>To Verify</v>
      </c>
    </row>
    <row r="7" customFormat="false" ht="23.85" hidden="false" customHeight="false" outlineLevel="0" collapsed="false">
      <c r="A7" s="11" t="n">
        <v>4</v>
      </c>
      <c r="B7" s="11" t="n">
        <f aca="false">IFERROR(MATCH("Aadhaar Centre|"&amp;$A7,MASTER_DATABASE!$BH$4:$BH$1000,0),"")</f>
        <v>4</v>
      </c>
      <c r="C7" s="11" t="str">
        <f aca="false">IF($B7="","",INDEX(MASTER_DATABASE!$A$4:$A$1000,$B7)&amp;"")</f>
        <v>AAD-004</v>
      </c>
      <c r="D7" s="7" t="str">
        <f aca="false">IF($B7="","",INDEX(MASTER_DATABASE!$D$4:$D$1000,$B7)&amp;"")</f>
        <v>Enrolment</v>
      </c>
      <c r="E7" s="7" t="str">
        <f aca="false">IF($B7="","",INDEX(MASTER_DATABASE!$E$4:$E$1000,$B7)&amp;"")</f>
        <v>Aadhaar Enrolment – Head of Family / Introducer Based</v>
      </c>
      <c r="F7" s="7" t="str">
        <f aca="false">IF($B7="","",INDEX(MASTER_DATABASE!$F$4:$F$1000,$B7)&amp;"")</f>
        <v>आधार नामांकन – परिवार मुखिया / परिचयकर्ता आधारित</v>
      </c>
      <c r="G7" s="11" t="str">
        <f aca="false">IF($B7="","",INDEX(MASTER_DATABASE!$I$4:$I$1000,$B7)&amp;"")</f>
        <v>To Verify</v>
      </c>
      <c r="H7" s="7" t="str">
        <f aca="false">IF($B7="","",INDEX(MASTER_DATABASE!$L$4:$L$1000,$B7)&amp;"")</f>
        <v>To Verify</v>
      </c>
      <c r="I7" s="9" t="str">
        <f aca="false">IF($B7="","",INDEX(MASTER_DATABASE!$R$4:$R$1000,$B7))</f>
        <v>To Verify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To Verify</v>
      </c>
      <c r="M7" s="7" t="str">
        <f aca="false">IF($B7="","",INDEX(MASTER_DATABASE!$Q$4:$Q$1000,$B7)&amp;"")</f>
        <v>Depends on Department</v>
      </c>
      <c r="N7" s="7" t="str">
        <f aca="false">IF($B7="","",INDEX(MASTER_DATABASE!$AG$4:$AG$1000,$B7)&amp;"")</f>
        <v>To Verify</v>
      </c>
      <c r="O7" s="11" t="str">
        <f aca="false">IF($B7="","",INDEX(MASTER_DATABASE!$AH$4:$AH$1000,$B7)&amp;"")</f>
        <v>No</v>
      </c>
      <c r="P7" s="11" t="str">
        <f aca="false">IF($B7="","",INDEX(MASTER_DATABASE!$BE$4:$BE$1000,$B7)&amp;"")</f>
        <v>HIDDEN</v>
      </c>
      <c r="Q7" s="7" t="str">
        <f aca="false">IF($B7="","",INDEX(MASTER_DATABASE!$AV$4:$AV$1000,$B7)&amp;"")</f>
        <v>To Verify</v>
      </c>
    </row>
    <row r="8" customFormat="false" ht="23.85" hidden="false" customHeight="false" outlineLevel="0" collapsed="false">
      <c r="A8" s="11" t="n">
        <v>5</v>
      </c>
      <c r="B8" s="11" t="n">
        <f aca="false">IFERROR(MATCH("Aadhaar Centre|"&amp;$A8,MASTER_DATABASE!$BH$4:$BH$1000,0),"")</f>
        <v>5</v>
      </c>
      <c r="C8" s="11" t="str">
        <f aca="false">IF($B8="","",INDEX(MASTER_DATABASE!$A$4:$A$1000,$B8)&amp;"")</f>
        <v>AAD-005</v>
      </c>
      <c r="D8" s="7" t="str">
        <f aca="false">IF($B8="","",INDEX(MASTER_DATABASE!$D$4:$D$1000,$B8)&amp;"")</f>
        <v>Enrolment</v>
      </c>
      <c r="E8" s="7" t="str">
        <f aca="false">IF($B8="","",INDEX(MASTER_DATABASE!$E$4:$E$1000,$B8)&amp;"")</f>
        <v>Aadhaar Enrolment – NRI / Foreign Resident</v>
      </c>
      <c r="F8" s="7" t="str">
        <f aca="false">IF($B8="","",INDEX(MASTER_DATABASE!$F$4:$F$1000,$B8)&amp;"")</f>
        <v>आधार नामांकन – NRI / विदेशी निवासी</v>
      </c>
      <c r="G8" s="11" t="str">
        <f aca="false">IF($B8="","",INDEX(MASTER_DATABASE!$I$4:$I$1000,$B8)&amp;"")</f>
        <v>To Verify</v>
      </c>
      <c r="H8" s="7" t="str">
        <f aca="false">IF($B8="","",INDEX(MASTER_DATABASE!$L$4:$L$1000,$B8)&amp;"")</f>
        <v>To Verify</v>
      </c>
      <c r="I8" s="9" t="str">
        <f aca="false">IF($B8="","",INDEX(MASTER_DATABASE!$R$4:$R$1000,$B8))</f>
        <v>To Verify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To Verify</v>
      </c>
      <c r="M8" s="7" t="str">
        <f aca="false">IF($B8="","",INDEX(MASTER_DATABASE!$Q$4:$Q$1000,$B8)&amp;"")</f>
        <v>Depends on Department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23.85" hidden="false" customHeight="false" outlineLevel="0" collapsed="false">
      <c r="A9" s="11" t="n">
        <v>6</v>
      </c>
      <c r="B9" s="11" t="n">
        <f aca="false">IFERROR(MATCH("Aadhaar Centre|"&amp;$A9,MASTER_DATABASE!$BH$4:$BH$1000,0),"")</f>
        <v>6</v>
      </c>
      <c r="C9" s="11" t="str">
        <f aca="false">IF($B9="","",INDEX(MASTER_DATABASE!$A$4:$A$1000,$B9)&amp;"")</f>
        <v>AAD-006</v>
      </c>
      <c r="D9" s="7" t="str">
        <f aca="false">IF($B9="","",INDEX(MASTER_DATABASE!$D$4:$D$1000,$B9)&amp;"")</f>
        <v>Enrolment</v>
      </c>
      <c r="E9" s="7" t="str">
        <f aca="false">IF($B9="","",INDEX(MASTER_DATABASE!$E$4:$E$1000,$B9)&amp;"")</f>
        <v>Aadhaar Enrolment – Biometric Exception Case</v>
      </c>
      <c r="F9" s="7" t="str">
        <f aca="false">IF($B9="","",INDEX(MASTER_DATABASE!$F$4:$F$1000,$B9)&amp;"")</f>
        <v>आधार नामांकन – बायोमेट्रिक अपवाद मामला</v>
      </c>
      <c r="G9" s="11" t="str">
        <f aca="false">IF($B9="","",INDEX(MASTER_DATABASE!$I$4:$I$1000,$B9)&amp;"")</f>
        <v>To Verify</v>
      </c>
      <c r="H9" s="7" t="str">
        <f aca="false">IF($B9="","",INDEX(MASTER_DATABASE!$L$4:$L$1000,$B9)&amp;"")</f>
        <v>To Verify</v>
      </c>
      <c r="I9" s="9" t="str">
        <f aca="false">IF($B9="","",INDEX(MASTER_DATABASE!$R$4:$R$1000,$B9))</f>
        <v>To Verify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To Verify</v>
      </c>
      <c r="M9" s="7" t="str">
        <f aca="false">IF($B9="","",INDEX(MASTER_DATABASE!$Q$4:$Q$1000,$B9)&amp;"")</f>
        <v>Depends on Department</v>
      </c>
      <c r="N9" s="7" t="str">
        <f aca="false">IF($B9="","",INDEX(MASTER_DATABASE!$AG$4:$AG$1000,$B9)&amp;"")</f>
        <v>To Verify</v>
      </c>
      <c r="O9" s="11" t="str">
        <f aca="false">IF($B9="","",INDEX(MASTER_DATABASE!$AH$4:$AH$1000,$B9)&amp;"")</f>
        <v>No</v>
      </c>
      <c r="P9" s="11" t="str">
        <f aca="false">IF($B9="","",INDEX(MASTER_DATABASE!$BE$4:$BE$1000,$B9)&amp;"")</f>
        <v>HIDDEN</v>
      </c>
      <c r="Q9" s="7" t="str">
        <f aca="false">IF($B9="","",INDEX(MASTER_DATABASE!$AV$4:$AV$1000,$B9)&amp;"")</f>
        <v>To Verify</v>
      </c>
    </row>
    <row r="10" customFormat="false" ht="23.85" hidden="false" customHeight="false" outlineLevel="0" collapsed="false">
      <c r="A10" s="11" t="n">
        <v>7</v>
      </c>
      <c r="B10" s="11" t="n">
        <f aca="false">IFERROR(MATCH("Aadhaar Centre|"&amp;$A10,MASTER_DATABASE!$BH$4:$BH$1000,0),"")</f>
        <v>7</v>
      </c>
      <c r="C10" s="11" t="str">
        <f aca="false">IF($B10="","",INDEX(MASTER_DATABASE!$A$4:$A$1000,$B10)&amp;"")</f>
        <v>AAD-007</v>
      </c>
      <c r="D10" s="7" t="str">
        <f aca="false">IF($B10="","",INDEX(MASTER_DATABASE!$D$4:$D$1000,$B10)&amp;"")</f>
        <v>Demographic Update</v>
      </c>
      <c r="E10" s="7" t="str">
        <f aca="false">IF($B10="","",INDEX(MASTER_DATABASE!$E$4:$E$1000,$B10)&amp;"")</f>
        <v>Aadhaar Name Update</v>
      </c>
      <c r="F10" s="7" t="str">
        <f aca="false">IF($B10="","",INDEX(MASTER_DATABASE!$F$4:$F$1000,$B10)&amp;"")</f>
        <v>आधार नाम अपडेट</v>
      </c>
      <c r="G10" s="11" t="str">
        <f aca="false">IF($B10="","",INDEX(MASTER_DATABASE!$I$4:$I$1000,$B10)&amp;"")</f>
        <v>Available</v>
      </c>
      <c r="H10" s="7" t="str">
        <f aca="false">IF($B10="","",INDEX(MASTER_DATABASE!$L$4:$L$1000,$B10)&amp;"")</f>
        <v>To Verify</v>
      </c>
      <c r="I10" s="9" t="str">
        <f aca="false">IF($B10="","",INDEX(MASTER_DATABASE!$R$4:$R$1000,$B10))</f>
        <v>To Verify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To Verify</v>
      </c>
      <c r="M10" s="7" t="str">
        <f aca="false">IF($B10="","",INDEX(MASTER_DATABASE!$Q$4:$Q$1000,$B10)&amp;"")</f>
        <v>Depends on Department</v>
      </c>
      <c r="N10" s="7" t="str">
        <f aca="false">IF($B10="","",INDEX(MASTER_DATABASE!$AG$4:$AG$1000,$B10)&amp;"")</f>
        <v>Active</v>
      </c>
      <c r="O10" s="11" t="str">
        <f aca="false">IF($B10="","",INDEX(MASTER_DATABASE!$AH$4:$AH$1000,$B10)&amp;"")</f>
        <v>Yes</v>
      </c>
      <c r="P10" s="11" t="str">
        <f aca="false">IF($B10="","",INDEX(MASTER_DATABASE!$BE$4:$BE$1000,$B10)&amp;"")</f>
        <v>LIVE</v>
      </c>
      <c r="Q10" s="7" t="str">
        <f aca="false">IF($B10="","",INDEX(MASTER_DATABASE!$AV$4:$AV$1000,$B10)&amp;"")</f>
        <v>To Verify</v>
      </c>
    </row>
    <row r="11" customFormat="false" ht="23.85" hidden="false" customHeight="false" outlineLevel="0" collapsed="false">
      <c r="A11" s="11" t="n">
        <v>8</v>
      </c>
      <c r="B11" s="11" t="n">
        <f aca="false">IFERROR(MATCH("Aadhaar Centre|"&amp;$A11,MASTER_DATABASE!$BH$4:$BH$1000,0),"")</f>
        <v>8</v>
      </c>
      <c r="C11" s="11" t="str">
        <f aca="false">IF($B11="","",INDEX(MASTER_DATABASE!$A$4:$A$1000,$B11)&amp;"")</f>
        <v>AAD-008</v>
      </c>
      <c r="D11" s="7" t="str">
        <f aca="false">IF($B11="","",INDEX(MASTER_DATABASE!$D$4:$D$1000,$B11)&amp;"")</f>
        <v>Demographic Update</v>
      </c>
      <c r="E11" s="7" t="str">
        <f aca="false">IF($B11="","",INDEX(MASTER_DATABASE!$E$4:$E$1000,$B11)&amp;"")</f>
        <v>Aadhaar Date of Birth Update</v>
      </c>
      <c r="F11" s="7" t="str">
        <f aca="false">IF($B11="","",INDEX(MASTER_DATABASE!$F$4:$F$1000,$B11)&amp;"")</f>
        <v>आधार जन्म तिथि अपडेट</v>
      </c>
      <c r="G11" s="11" t="str">
        <f aca="false">IF($B11="","",INDEX(MASTER_DATABASE!$I$4:$I$1000,$B11)&amp;"")</f>
        <v>Available</v>
      </c>
      <c r="H11" s="7" t="str">
        <f aca="false">IF($B11="","",INDEX(MASTER_DATABASE!$L$4:$L$1000,$B11)&amp;"")</f>
        <v>To Verify</v>
      </c>
      <c r="I11" s="9" t="str">
        <f aca="false">IF($B11="","",INDEX(MASTER_DATABASE!$R$4:$R$1000,$B11))</f>
        <v>To Verify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To Verify</v>
      </c>
      <c r="M11" s="7" t="str">
        <f aca="false">IF($B11="","",INDEX(MASTER_DATABASE!$Q$4:$Q$1000,$B11)&amp;"")</f>
        <v>Depends on Department</v>
      </c>
      <c r="N11" s="7" t="str">
        <f aca="false">IF($B11="","",INDEX(MASTER_DATABASE!$AG$4:$AG$1000,$B11)&amp;"")</f>
        <v>Active</v>
      </c>
      <c r="O11" s="11" t="str">
        <f aca="false">IF($B11="","",INDEX(MASTER_DATABASE!$AH$4:$AH$1000,$B11)&amp;"")</f>
        <v>Yes</v>
      </c>
      <c r="P11" s="11" t="str">
        <f aca="false">IF($B11="","",INDEX(MASTER_DATABASE!$BE$4:$BE$1000,$B11)&amp;"")</f>
        <v>LIVE</v>
      </c>
      <c r="Q11" s="7" t="str">
        <f aca="false">IF($B11="","",INDEX(MASTER_DATABASE!$AV$4:$AV$1000,$B11)&amp;"")</f>
        <v>To Verify</v>
      </c>
    </row>
    <row r="12" customFormat="false" ht="23.85" hidden="false" customHeight="false" outlineLevel="0" collapsed="false">
      <c r="A12" s="11" t="n">
        <v>9</v>
      </c>
      <c r="B12" s="11" t="n">
        <f aca="false">IFERROR(MATCH("Aadhaar Centre|"&amp;$A12,MASTER_DATABASE!$BH$4:$BH$1000,0),"")</f>
        <v>9</v>
      </c>
      <c r="C12" s="11" t="str">
        <f aca="false">IF($B12="","",INDEX(MASTER_DATABASE!$A$4:$A$1000,$B12)&amp;"")</f>
        <v>AAD-009</v>
      </c>
      <c r="D12" s="7" t="str">
        <f aca="false">IF($B12="","",INDEX(MASTER_DATABASE!$D$4:$D$1000,$B12)&amp;"")</f>
        <v>Demographic Update</v>
      </c>
      <c r="E12" s="7" t="str">
        <f aca="false">IF($B12="","",INDEX(MASTER_DATABASE!$E$4:$E$1000,$B12)&amp;"")</f>
        <v>Aadhaar Gender Update</v>
      </c>
      <c r="F12" s="7" t="str">
        <f aca="false">IF($B12="","",INDEX(MASTER_DATABASE!$F$4:$F$1000,$B12)&amp;"")</f>
        <v>आधार लिंग अपडेट</v>
      </c>
      <c r="G12" s="11" t="str">
        <f aca="false">IF($B12="","",INDEX(MASTER_DATABASE!$I$4:$I$1000,$B12)&amp;"")</f>
        <v>Available</v>
      </c>
      <c r="H12" s="7" t="str">
        <f aca="false">IF($B12="","",INDEX(MASTER_DATABASE!$L$4:$L$1000,$B12)&amp;"")</f>
        <v>To Verify</v>
      </c>
      <c r="I12" s="9" t="str">
        <f aca="false">IF($B12="","",INDEX(MASTER_DATABASE!$R$4:$R$1000,$B12))</f>
        <v>To Verify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To Verify</v>
      </c>
      <c r="M12" s="7" t="str">
        <f aca="false">IF($B12="","",INDEX(MASTER_DATABASE!$Q$4:$Q$1000,$B12)&amp;"")</f>
        <v>Depends on Department</v>
      </c>
      <c r="N12" s="7" t="str">
        <f aca="false">IF($B12="","",INDEX(MASTER_DATABASE!$AG$4:$AG$1000,$B12)&amp;"")</f>
        <v>Active</v>
      </c>
      <c r="O12" s="11" t="str">
        <f aca="false">IF($B12="","",INDEX(MASTER_DATABASE!$AH$4:$AH$1000,$B12)&amp;"")</f>
        <v>Yes</v>
      </c>
      <c r="P12" s="11" t="str">
        <f aca="false">IF($B12="","",INDEX(MASTER_DATABASE!$BE$4:$BE$1000,$B12)&amp;"")</f>
        <v>LIVE</v>
      </c>
      <c r="Q12" s="7" t="str">
        <f aca="false">IF($B12="","",INDEX(MASTER_DATABASE!$AV$4:$AV$1000,$B12)&amp;"")</f>
        <v>To Verify</v>
      </c>
    </row>
    <row r="13" customFormat="false" ht="23.85" hidden="false" customHeight="false" outlineLevel="0" collapsed="false">
      <c r="A13" s="11" t="n">
        <v>10</v>
      </c>
      <c r="B13" s="11" t="n">
        <f aca="false">IFERROR(MATCH("Aadhaar Centre|"&amp;$A13,MASTER_DATABASE!$BH$4:$BH$1000,0),"")</f>
        <v>10</v>
      </c>
      <c r="C13" s="11" t="str">
        <f aca="false">IF($B13="","",INDEX(MASTER_DATABASE!$A$4:$A$1000,$B13)&amp;"")</f>
        <v>AAD-010</v>
      </c>
      <c r="D13" s="7" t="str">
        <f aca="false">IF($B13="","",INDEX(MASTER_DATABASE!$D$4:$D$1000,$B13)&amp;"")</f>
        <v>Demographic Update</v>
      </c>
      <c r="E13" s="7" t="str">
        <f aca="false">IF($B13="","",INDEX(MASTER_DATABASE!$E$4:$E$1000,$B13)&amp;"")</f>
        <v>Aadhaar Address Update (with Document)</v>
      </c>
      <c r="F13" s="7" t="str">
        <f aca="false">IF($B13="","",INDEX(MASTER_DATABASE!$F$4:$F$1000,$B13)&amp;"")</f>
        <v>आधार पता अपडेट (दस्तावेज़ के साथ)</v>
      </c>
      <c r="G13" s="11" t="str">
        <f aca="false">IF($B13="","",INDEX(MASTER_DATABASE!$I$4:$I$1000,$B13)&amp;"")</f>
        <v>Available</v>
      </c>
      <c r="H13" s="7" t="str">
        <f aca="false">IF($B13="","",INDEX(MASTER_DATABASE!$L$4:$L$1000,$B13)&amp;"")</f>
        <v>To Verify</v>
      </c>
      <c r="I13" s="9" t="str">
        <f aca="false">IF($B13="","",INDEX(MASTER_DATABASE!$R$4:$R$1000,$B13))</f>
        <v>To Verify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To Verify</v>
      </c>
      <c r="M13" s="7" t="str">
        <f aca="false">IF($B13="","",INDEX(MASTER_DATABASE!$Q$4:$Q$1000,$B13)&amp;"")</f>
        <v>Depends on Department</v>
      </c>
      <c r="N13" s="7" t="str">
        <f aca="false">IF($B13="","",INDEX(MASTER_DATABASE!$AG$4:$AG$1000,$B13)&amp;"")</f>
        <v>Active</v>
      </c>
      <c r="O13" s="11" t="str">
        <f aca="false">IF($B13="","",INDEX(MASTER_DATABASE!$AH$4:$AH$1000,$B13)&amp;"")</f>
        <v>Yes</v>
      </c>
      <c r="P13" s="11" t="str">
        <f aca="false">IF($B13="","",INDEX(MASTER_DATABASE!$BE$4:$BE$1000,$B13)&amp;"")</f>
        <v>LIVE</v>
      </c>
      <c r="Q13" s="7" t="str">
        <f aca="false">IF($B13="","",INDEX(MASTER_DATABASE!$AV$4:$AV$1000,$B13)&amp;"")</f>
        <v>To Verify</v>
      </c>
    </row>
    <row r="14" customFormat="false" ht="23.85" hidden="false" customHeight="false" outlineLevel="0" collapsed="false">
      <c r="A14" s="11" t="n">
        <v>11</v>
      </c>
      <c r="B14" s="11" t="n">
        <f aca="false">IFERROR(MATCH("Aadhaar Centre|"&amp;$A14,MASTER_DATABASE!$BH$4:$BH$1000,0),"")</f>
        <v>11</v>
      </c>
      <c r="C14" s="11" t="str">
        <f aca="false">IF($B14="","",INDEX(MASTER_DATABASE!$A$4:$A$1000,$B14)&amp;"")</f>
        <v>AAD-011</v>
      </c>
      <c r="D14" s="7" t="str">
        <f aca="false">IF($B14="","",INDEX(MASTER_DATABASE!$D$4:$D$1000,$B14)&amp;"")</f>
        <v>Demographic Update</v>
      </c>
      <c r="E14" s="7" t="str">
        <f aca="false">IF($B14="","",INDEX(MASTER_DATABASE!$E$4:$E$1000,$B14)&amp;"")</f>
        <v>Aadhaar Address Update – Online (SSUP) Assistance</v>
      </c>
      <c r="F14" s="7" t="str">
        <f aca="false">IF($B14="","",INDEX(MASTER_DATABASE!$F$4:$F$1000,$B14)&amp;"")</f>
        <v>आधार पता अपडेट – ऑनलाइन (SSUP) सहायता</v>
      </c>
      <c r="G14" s="11" t="str">
        <f aca="false">IF($B14="","",INDEX(MASTER_DATABASE!$I$4:$I$1000,$B14)&amp;"")</f>
        <v>Portal Dependent</v>
      </c>
      <c r="H14" s="7" t="str">
        <f aca="false">IF($B14="","",INDEX(MASTER_DATABASE!$L$4:$L$1000,$B14)&amp;"")</f>
        <v>Portal Dependent</v>
      </c>
      <c r="I14" s="9" t="str">
        <f aca="false">IF($B14="","",INDEX(MASTER_DATABASE!$R$4:$R$1000,$B14))</f>
        <v>To Verify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To Verify</v>
      </c>
      <c r="M14" s="7" t="str">
        <f aca="false">IF($B14="","",INDEX(MASTER_DATABASE!$Q$4:$Q$1000,$B14)&amp;"")</f>
        <v>Depends on Department</v>
      </c>
      <c r="N14" s="7" t="str">
        <f aca="false">IF($B14="","",INDEX(MASTER_DATABASE!$AG$4:$AG$1000,$B14)&amp;"")</f>
        <v>To Verify</v>
      </c>
      <c r="O14" s="11" t="str">
        <f aca="false">IF($B14="","",INDEX(MASTER_DATABASE!$AH$4:$AH$1000,$B14)&amp;"")</f>
        <v>No</v>
      </c>
      <c r="P14" s="11" t="str">
        <f aca="false">IF($B14="","",INDEX(MASTER_DATABASE!$BE$4:$BE$1000,$B14)&amp;"")</f>
        <v>HIDDEN</v>
      </c>
      <c r="Q14" s="7" t="str">
        <f aca="false">IF($B14="","",INDEX(MASTER_DATABASE!$AV$4:$AV$1000,$B14)&amp;"")</f>
        <v>To Verify</v>
      </c>
    </row>
    <row r="15" customFormat="false" ht="23.85" hidden="false" customHeight="false" outlineLevel="0" collapsed="false">
      <c r="A15" s="11" t="n">
        <v>12</v>
      </c>
      <c r="B15" s="11" t="n">
        <f aca="false">IFERROR(MATCH("Aadhaar Centre|"&amp;$A15,MASTER_DATABASE!$BH$4:$BH$1000,0),"")</f>
        <v>12</v>
      </c>
      <c r="C15" s="11" t="str">
        <f aca="false">IF($B15="","",INDEX(MASTER_DATABASE!$A$4:$A$1000,$B15)&amp;"")</f>
        <v>AAD-012</v>
      </c>
      <c r="D15" s="7" t="str">
        <f aca="false">IF($B15="","",INDEX(MASTER_DATABASE!$D$4:$D$1000,$B15)&amp;"")</f>
        <v>Demographic Update</v>
      </c>
      <c r="E15" s="7" t="str">
        <f aca="false">IF($B15="","",INDEX(MASTER_DATABASE!$E$4:$E$1000,$B15)&amp;"")</f>
        <v>Aadhaar Mobile Number Update</v>
      </c>
      <c r="F15" s="7" t="str">
        <f aca="false">IF($B15="","",INDEX(MASTER_DATABASE!$F$4:$F$1000,$B15)&amp;"")</f>
        <v>आधार मोबाइल नंबर अपडेट</v>
      </c>
      <c r="G15" s="11" t="str">
        <f aca="false">IF($B15="","",INDEX(MASTER_DATABASE!$I$4:$I$1000,$B15)&amp;"")</f>
        <v>Available</v>
      </c>
      <c r="H15" s="7" t="str">
        <f aca="false">IF($B15="","",INDEX(MASTER_DATABASE!$L$4:$L$1000,$B15)&amp;"")</f>
        <v>To Verify</v>
      </c>
      <c r="I15" s="9" t="str">
        <f aca="false">IF($B15="","",INDEX(MASTER_DATABASE!$R$4:$R$1000,$B15))</f>
        <v>To Verify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To Verify</v>
      </c>
      <c r="M15" s="7" t="str">
        <f aca="false">IF($B15="","",INDEX(MASTER_DATABASE!$Q$4:$Q$1000,$B15)&amp;"")</f>
        <v>Depends on Department</v>
      </c>
      <c r="N15" s="7" t="str">
        <f aca="false">IF($B15="","",INDEX(MASTER_DATABASE!$AG$4:$AG$1000,$B15)&amp;"")</f>
        <v>Active</v>
      </c>
      <c r="O15" s="11" t="str">
        <f aca="false">IF($B15="","",INDEX(MASTER_DATABASE!$AH$4:$AH$1000,$B15)&amp;"")</f>
        <v>Yes</v>
      </c>
      <c r="P15" s="11" t="str">
        <f aca="false">IF($B15="","",INDEX(MASTER_DATABASE!$BE$4:$BE$1000,$B15)&amp;"")</f>
        <v>LIVE</v>
      </c>
      <c r="Q15" s="7" t="str">
        <f aca="false">IF($B15="","",INDEX(MASTER_DATABASE!$AV$4:$AV$1000,$B15)&amp;"")</f>
        <v>To Verify</v>
      </c>
    </row>
    <row r="16" customFormat="false" ht="23.85" hidden="false" customHeight="false" outlineLevel="0" collapsed="false">
      <c r="A16" s="11" t="n">
        <v>13</v>
      </c>
      <c r="B16" s="11" t="n">
        <f aca="false">IFERROR(MATCH("Aadhaar Centre|"&amp;$A16,MASTER_DATABASE!$BH$4:$BH$1000,0),"")</f>
        <v>13</v>
      </c>
      <c r="C16" s="11" t="str">
        <f aca="false">IF($B16="","",INDEX(MASTER_DATABASE!$A$4:$A$1000,$B16)&amp;"")</f>
        <v>AAD-013</v>
      </c>
      <c r="D16" s="7" t="str">
        <f aca="false">IF($B16="","",INDEX(MASTER_DATABASE!$D$4:$D$1000,$B16)&amp;"")</f>
        <v>Demographic Update</v>
      </c>
      <c r="E16" s="7" t="str">
        <f aca="false">IF($B16="","",INDEX(MASTER_DATABASE!$E$4:$E$1000,$B16)&amp;"")</f>
        <v>Aadhaar Email ID Update</v>
      </c>
      <c r="F16" s="7" t="str">
        <f aca="false">IF($B16="","",INDEX(MASTER_DATABASE!$F$4:$F$1000,$B16)&amp;"")</f>
        <v>आधार ईमेल आईडी अपडेट</v>
      </c>
      <c r="G16" s="11" t="str">
        <f aca="false">IF($B16="","",INDEX(MASTER_DATABASE!$I$4:$I$1000,$B16)&amp;"")</f>
        <v>Available</v>
      </c>
      <c r="H16" s="7" t="str">
        <f aca="false">IF($B16="","",INDEX(MASTER_DATABASE!$L$4:$L$1000,$B16)&amp;"")</f>
        <v>To Verify</v>
      </c>
      <c r="I16" s="9" t="str">
        <f aca="false">IF($B16="","",INDEX(MASTER_DATABASE!$R$4:$R$1000,$B16))</f>
        <v>To Verify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To Verify</v>
      </c>
      <c r="M16" s="7" t="str">
        <f aca="false">IF($B16="","",INDEX(MASTER_DATABASE!$Q$4:$Q$1000,$B16)&amp;"")</f>
        <v>Depends on Department</v>
      </c>
      <c r="N16" s="7" t="str">
        <f aca="false">IF($B16="","",INDEX(MASTER_DATABASE!$AG$4:$AG$1000,$B16)&amp;"")</f>
        <v>Active</v>
      </c>
      <c r="O16" s="11" t="str">
        <f aca="false">IF($B16="","",INDEX(MASTER_DATABASE!$AH$4:$AH$1000,$B16)&amp;"")</f>
        <v>Yes</v>
      </c>
      <c r="P16" s="11" t="str">
        <f aca="false">IF($B16="","",INDEX(MASTER_DATABASE!$BE$4:$BE$1000,$B16)&amp;"")</f>
        <v>LIVE</v>
      </c>
      <c r="Q16" s="7" t="str">
        <f aca="false">IF($B16="","",INDEX(MASTER_DATABASE!$AV$4:$AV$1000,$B16)&amp;"")</f>
        <v>To Verify</v>
      </c>
    </row>
    <row r="17" customFormat="false" ht="23.85" hidden="false" customHeight="false" outlineLevel="0" collapsed="false">
      <c r="A17" s="11" t="n">
        <v>14</v>
      </c>
      <c r="B17" s="11" t="n">
        <f aca="false">IFERROR(MATCH("Aadhaar Centre|"&amp;$A17,MASTER_DATABASE!$BH$4:$BH$1000,0),"")</f>
        <v>14</v>
      </c>
      <c r="C17" s="11" t="str">
        <f aca="false">IF($B17="","",INDEX(MASTER_DATABASE!$A$4:$A$1000,$B17)&amp;"")</f>
        <v>AAD-014</v>
      </c>
      <c r="D17" s="7" t="str">
        <f aca="false">IF($B17="","",INDEX(MASTER_DATABASE!$D$4:$D$1000,$B17)&amp;"")</f>
        <v>Demographic Update</v>
      </c>
      <c r="E17" s="7" t="str">
        <f aca="false">IF($B17="","",INDEX(MASTER_DATABASE!$E$4:$E$1000,$B17)&amp;"")</f>
        <v>Aadhaar Relationship / Head of Family Detail Update</v>
      </c>
      <c r="F17" s="7" t="str">
        <f aca="false">IF($B17="","",INDEX(MASTER_DATABASE!$F$4:$F$1000,$B17)&amp;"")</f>
        <v>आधार संबंध / परिवार मुखिया विवरण अपडेट</v>
      </c>
      <c r="G17" s="11" t="str">
        <f aca="false">IF($B17="","",INDEX(MASTER_DATABASE!$I$4:$I$1000,$B17)&amp;"")</f>
        <v>To Verify</v>
      </c>
      <c r="H17" s="7" t="str">
        <f aca="false">IF($B17="","",INDEX(MASTER_DATABASE!$L$4:$L$1000,$B17)&amp;"")</f>
        <v>To Verify</v>
      </c>
      <c r="I17" s="9" t="str">
        <f aca="false">IF($B17="","",INDEX(MASTER_DATABASE!$R$4:$R$1000,$B17))</f>
        <v>To Verify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To Verify</v>
      </c>
      <c r="M17" s="7" t="str">
        <f aca="false">IF($B17="","",INDEX(MASTER_DATABASE!$Q$4:$Q$1000,$B17)&amp;"")</f>
        <v>Depends on Department</v>
      </c>
      <c r="N17" s="7" t="str">
        <f aca="false">IF($B17="","",INDEX(MASTER_DATABASE!$AG$4:$AG$1000,$B17)&amp;"")</f>
        <v>To Verify</v>
      </c>
      <c r="O17" s="11" t="str">
        <f aca="false">IF($B17="","",INDEX(MASTER_DATABASE!$AH$4:$AH$1000,$B17)&amp;"")</f>
        <v>No</v>
      </c>
      <c r="P17" s="11" t="str">
        <f aca="false">IF($B17="","",INDEX(MASTER_DATABASE!$BE$4:$BE$1000,$B17)&amp;"")</f>
        <v>HIDDEN</v>
      </c>
      <c r="Q17" s="7" t="str">
        <f aca="false">IF($B17="","",INDEX(MASTER_DATABASE!$AV$4:$AV$1000,$B17)&amp;"")</f>
        <v>To Verify</v>
      </c>
    </row>
    <row r="18" customFormat="false" ht="23.85" hidden="false" customHeight="false" outlineLevel="0" collapsed="false">
      <c r="A18" s="11" t="n">
        <v>15</v>
      </c>
      <c r="B18" s="11" t="n">
        <f aca="false">IFERROR(MATCH("Aadhaar Centre|"&amp;$A18,MASTER_DATABASE!$BH$4:$BH$1000,0),"")</f>
        <v>15</v>
      </c>
      <c r="C18" s="11" t="str">
        <f aca="false">IF($B18="","",INDEX(MASTER_DATABASE!$A$4:$A$1000,$B18)&amp;"")</f>
        <v>AAD-015</v>
      </c>
      <c r="D18" s="7" t="str">
        <f aca="false">IF($B18="","",INDEX(MASTER_DATABASE!$D$4:$D$1000,$B18)&amp;"")</f>
        <v>Demographic Update</v>
      </c>
      <c r="E18" s="7" t="str">
        <f aca="false">IF($B18="","",INDEX(MASTER_DATABASE!$E$4:$E$1000,$B18)&amp;"")</f>
        <v>Aadhaar Combined Demographic Update (Multiple Fields)</v>
      </c>
      <c r="F18" s="7" t="str">
        <f aca="false">IF($B18="","",INDEX(MASTER_DATABASE!$F$4:$F$1000,$B18)&amp;"")</f>
        <v>आधार संयुक्त डेमोग्राफिक अपडेट (कई जानकारियाँ)</v>
      </c>
      <c r="G18" s="11" t="str">
        <f aca="false">IF($B18="","",INDEX(MASTER_DATABASE!$I$4:$I$1000,$B18)&amp;"")</f>
        <v>Available</v>
      </c>
      <c r="H18" s="7" t="str">
        <f aca="false">IF($B18="","",INDEX(MASTER_DATABASE!$L$4:$L$1000,$B18)&amp;"")</f>
        <v>To Verify</v>
      </c>
      <c r="I18" s="9" t="str">
        <f aca="false">IF($B18="","",INDEX(MASTER_DATABASE!$R$4:$R$1000,$B18))</f>
        <v>To Verify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To Verify</v>
      </c>
      <c r="M18" s="7" t="str">
        <f aca="false">IF($B18="","",INDEX(MASTER_DATABASE!$Q$4:$Q$1000,$B18)&amp;"")</f>
        <v>Depends on Department</v>
      </c>
      <c r="N18" s="7" t="str">
        <f aca="false">IF($B18="","",INDEX(MASTER_DATABASE!$AG$4:$AG$1000,$B18)&amp;"")</f>
        <v>Active</v>
      </c>
      <c r="O18" s="11" t="str">
        <f aca="false">IF($B18="","",INDEX(MASTER_DATABASE!$AH$4:$AH$1000,$B18)&amp;"")</f>
        <v>Yes</v>
      </c>
      <c r="P18" s="11" t="str">
        <f aca="false">IF($B18="","",INDEX(MASTER_DATABASE!$BE$4:$BE$1000,$B18)&amp;"")</f>
        <v>LIVE</v>
      </c>
      <c r="Q18" s="7" t="str">
        <f aca="false">IF($B18="","",INDEX(MASTER_DATABASE!$AV$4:$AV$1000,$B18)&amp;"")</f>
        <v>To Verify</v>
      </c>
    </row>
    <row r="19" customFormat="false" ht="23.85" hidden="false" customHeight="false" outlineLevel="0" collapsed="false">
      <c r="A19" s="11" t="n">
        <v>16</v>
      </c>
      <c r="B19" s="11" t="n">
        <f aca="false">IFERROR(MATCH("Aadhaar Centre|"&amp;$A19,MASTER_DATABASE!$BH$4:$BH$1000,0),"")</f>
        <v>16</v>
      </c>
      <c r="C19" s="11" t="str">
        <f aca="false">IF($B19="","",INDEX(MASTER_DATABASE!$A$4:$A$1000,$B19)&amp;"")</f>
        <v>AAD-016</v>
      </c>
      <c r="D19" s="7" t="str">
        <f aca="false">IF($B19="","",INDEX(MASTER_DATABASE!$D$4:$D$1000,$B19)&amp;"")</f>
        <v>Biometric Update</v>
      </c>
      <c r="E19" s="7" t="str">
        <f aca="false">IF($B19="","",INDEX(MASTER_DATABASE!$E$4:$E$1000,$B19)&amp;"")</f>
        <v>Aadhaar Fingerprint Update</v>
      </c>
      <c r="F19" s="7" t="str">
        <f aca="false">IF($B19="","",INDEX(MASTER_DATABASE!$F$4:$F$1000,$B19)&amp;"")</f>
        <v>आधार फिंगरप्रिंट अपडेट</v>
      </c>
      <c r="G19" s="11" t="str">
        <f aca="false">IF($B19="","",INDEX(MASTER_DATABASE!$I$4:$I$1000,$B19)&amp;"")</f>
        <v>Available</v>
      </c>
      <c r="H19" s="7" t="str">
        <f aca="false">IF($B19="","",INDEX(MASTER_DATABASE!$L$4:$L$1000,$B19)&amp;"")</f>
        <v>To Verify</v>
      </c>
      <c r="I19" s="9" t="str">
        <f aca="false">IF($B19="","",INDEX(MASTER_DATABASE!$R$4:$R$1000,$B19))</f>
        <v>To Verify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To Verify</v>
      </c>
      <c r="M19" s="7" t="str">
        <f aca="false">IF($B19="","",INDEX(MASTER_DATABASE!$Q$4:$Q$1000,$B19)&amp;"")</f>
        <v>Depends on Department</v>
      </c>
      <c r="N19" s="7" t="str">
        <f aca="false">IF($B19="","",INDEX(MASTER_DATABASE!$AG$4:$AG$1000,$B19)&amp;"")</f>
        <v>Active</v>
      </c>
      <c r="O19" s="11" t="str">
        <f aca="false">IF($B19="","",INDEX(MASTER_DATABASE!$AH$4:$AH$1000,$B19)&amp;"")</f>
        <v>Yes</v>
      </c>
      <c r="P19" s="11" t="str">
        <f aca="false">IF($B19="","",INDEX(MASTER_DATABASE!$BE$4:$BE$1000,$B19)&amp;"")</f>
        <v>LIVE</v>
      </c>
      <c r="Q19" s="7" t="str">
        <f aca="false">IF($B19="","",INDEX(MASTER_DATABASE!$AV$4:$AV$1000,$B19)&amp;"")</f>
        <v>To Verify</v>
      </c>
    </row>
    <row r="20" customFormat="false" ht="23.85" hidden="false" customHeight="false" outlineLevel="0" collapsed="false">
      <c r="A20" s="11" t="n">
        <v>17</v>
      </c>
      <c r="B20" s="11" t="n">
        <f aca="false">IFERROR(MATCH("Aadhaar Centre|"&amp;$A20,MASTER_DATABASE!$BH$4:$BH$1000,0),"")</f>
        <v>17</v>
      </c>
      <c r="C20" s="11" t="str">
        <f aca="false">IF($B20="","",INDEX(MASTER_DATABASE!$A$4:$A$1000,$B20)&amp;"")</f>
        <v>AAD-017</v>
      </c>
      <c r="D20" s="7" t="str">
        <f aca="false">IF($B20="","",INDEX(MASTER_DATABASE!$D$4:$D$1000,$B20)&amp;"")</f>
        <v>Biometric Update</v>
      </c>
      <c r="E20" s="7" t="str">
        <f aca="false">IF($B20="","",INDEX(MASTER_DATABASE!$E$4:$E$1000,$B20)&amp;"")</f>
        <v>Aadhaar Iris Update</v>
      </c>
      <c r="F20" s="7" t="str">
        <f aca="false">IF($B20="","",INDEX(MASTER_DATABASE!$F$4:$F$1000,$B20)&amp;"")</f>
        <v>आधार आइरिस अपडेट</v>
      </c>
      <c r="G20" s="11" t="str">
        <f aca="false">IF($B20="","",INDEX(MASTER_DATABASE!$I$4:$I$1000,$B20)&amp;"")</f>
        <v>Available</v>
      </c>
      <c r="H20" s="7" t="str">
        <f aca="false">IF($B20="","",INDEX(MASTER_DATABASE!$L$4:$L$1000,$B20)&amp;"")</f>
        <v>To Verify</v>
      </c>
      <c r="I20" s="9" t="str">
        <f aca="false">IF($B20="","",INDEX(MASTER_DATABASE!$R$4:$R$1000,$B20))</f>
        <v>To Verify</v>
      </c>
      <c r="J20" s="9" t="str">
        <f aca="false">IF($B20="","",INDEX(MASTER_DATABASE!$S$4:$S$1000,$B20))</f>
        <v>To Verify</v>
      </c>
      <c r="K20" s="9" t="str">
        <f aca="false">IF($B20="","",INDEX(MASTER_DATABASE!$T$4:$T$1000,$B20))</f>
        <v>To Verify</v>
      </c>
      <c r="L20" s="7" t="str">
        <f aca="false">IF($B20="","",INDEX(MASTER_DATABASE!$U$4:$U$1000,$B20)&amp;"")</f>
        <v>To Verify</v>
      </c>
      <c r="M20" s="7" t="str">
        <f aca="false">IF($B20="","",INDEX(MASTER_DATABASE!$Q$4:$Q$1000,$B20)&amp;"")</f>
        <v>Depends on Department</v>
      </c>
      <c r="N20" s="7" t="str">
        <f aca="false">IF($B20="","",INDEX(MASTER_DATABASE!$AG$4:$AG$1000,$B20)&amp;"")</f>
        <v>Active</v>
      </c>
      <c r="O20" s="11" t="str">
        <f aca="false">IF($B20="","",INDEX(MASTER_DATABASE!$AH$4:$AH$1000,$B20)&amp;"")</f>
        <v>Yes</v>
      </c>
      <c r="P20" s="11" t="str">
        <f aca="false">IF($B20="","",INDEX(MASTER_DATABASE!$BE$4:$BE$1000,$B20)&amp;"")</f>
        <v>LIVE</v>
      </c>
      <c r="Q20" s="7" t="str">
        <f aca="false">IF($B20="","",INDEX(MASTER_DATABASE!$AV$4:$AV$1000,$B20)&amp;"")</f>
        <v>To Verify</v>
      </c>
    </row>
    <row r="21" customFormat="false" ht="23.85" hidden="false" customHeight="false" outlineLevel="0" collapsed="false">
      <c r="A21" s="11" t="n">
        <v>18</v>
      </c>
      <c r="B21" s="11" t="n">
        <f aca="false">IFERROR(MATCH("Aadhaar Centre|"&amp;$A21,MASTER_DATABASE!$BH$4:$BH$1000,0),"")</f>
        <v>18</v>
      </c>
      <c r="C21" s="11" t="str">
        <f aca="false">IF($B21="","",INDEX(MASTER_DATABASE!$A$4:$A$1000,$B21)&amp;"")</f>
        <v>AAD-018</v>
      </c>
      <c r="D21" s="7" t="str">
        <f aca="false">IF($B21="","",INDEX(MASTER_DATABASE!$D$4:$D$1000,$B21)&amp;"")</f>
        <v>Biometric Update</v>
      </c>
      <c r="E21" s="7" t="str">
        <f aca="false">IF($B21="","",INDEX(MASTER_DATABASE!$E$4:$E$1000,$B21)&amp;"")</f>
        <v>Aadhaar Photograph Update</v>
      </c>
      <c r="F21" s="7" t="str">
        <f aca="false">IF($B21="","",INDEX(MASTER_DATABASE!$F$4:$F$1000,$B21)&amp;"")</f>
        <v>आधार फोटो अपडेट</v>
      </c>
      <c r="G21" s="11" t="str">
        <f aca="false">IF($B21="","",INDEX(MASTER_DATABASE!$I$4:$I$1000,$B21)&amp;"")</f>
        <v>Available</v>
      </c>
      <c r="H21" s="7" t="str">
        <f aca="false">IF($B21="","",INDEX(MASTER_DATABASE!$L$4:$L$1000,$B21)&amp;"")</f>
        <v>To Verify</v>
      </c>
      <c r="I21" s="9" t="str">
        <f aca="false">IF($B21="","",INDEX(MASTER_DATABASE!$R$4:$R$1000,$B21))</f>
        <v>To Verify</v>
      </c>
      <c r="J21" s="9" t="str">
        <f aca="false">IF($B21="","",INDEX(MASTER_DATABASE!$S$4:$S$1000,$B21))</f>
        <v>To Verify</v>
      </c>
      <c r="K21" s="9" t="str">
        <f aca="false">IF($B21="","",INDEX(MASTER_DATABASE!$T$4:$T$1000,$B21))</f>
        <v>To Verify</v>
      </c>
      <c r="L21" s="7" t="str">
        <f aca="false">IF($B21="","",INDEX(MASTER_DATABASE!$U$4:$U$1000,$B21)&amp;"")</f>
        <v>To Verify</v>
      </c>
      <c r="M21" s="7" t="str">
        <f aca="false">IF($B21="","",INDEX(MASTER_DATABASE!$Q$4:$Q$1000,$B21)&amp;"")</f>
        <v>Depends on Department</v>
      </c>
      <c r="N21" s="7" t="str">
        <f aca="false">IF($B21="","",INDEX(MASTER_DATABASE!$AG$4:$AG$1000,$B21)&amp;"")</f>
        <v>Active</v>
      </c>
      <c r="O21" s="11" t="str">
        <f aca="false">IF($B21="","",INDEX(MASTER_DATABASE!$AH$4:$AH$1000,$B21)&amp;"")</f>
        <v>Yes</v>
      </c>
      <c r="P21" s="11" t="str">
        <f aca="false">IF($B21="","",INDEX(MASTER_DATABASE!$BE$4:$BE$1000,$B21)&amp;"")</f>
        <v>LIVE</v>
      </c>
      <c r="Q21" s="7" t="str">
        <f aca="false">IF($B21="","",INDEX(MASTER_DATABASE!$AV$4:$AV$1000,$B21)&amp;"")</f>
        <v>To Verify</v>
      </c>
    </row>
    <row r="22" customFormat="false" ht="23.85" hidden="false" customHeight="false" outlineLevel="0" collapsed="false">
      <c r="A22" s="11" t="n">
        <v>19</v>
      </c>
      <c r="B22" s="11" t="n">
        <f aca="false">IFERROR(MATCH("Aadhaar Centre|"&amp;$A22,MASTER_DATABASE!$BH$4:$BH$1000,0),"")</f>
        <v>19</v>
      </c>
      <c r="C22" s="11" t="str">
        <f aca="false">IF($B22="","",INDEX(MASTER_DATABASE!$A$4:$A$1000,$B22)&amp;"")</f>
        <v>AAD-019</v>
      </c>
      <c r="D22" s="7" t="str">
        <f aca="false">IF($B22="","",INDEX(MASTER_DATABASE!$D$4:$D$1000,$B22)&amp;"")</f>
        <v>Biometric Update</v>
      </c>
      <c r="E22" s="7" t="str">
        <f aca="false">IF($B22="","",INDEX(MASTER_DATABASE!$E$4:$E$1000,$B22)&amp;"")</f>
        <v>Aadhaar Biometric Update – Combined (Finger + Iris + Photo)</v>
      </c>
      <c r="F22" s="7" t="str">
        <f aca="false">IF($B22="","",INDEX(MASTER_DATABASE!$F$4:$F$1000,$B22)&amp;"")</f>
        <v>आधार बायोमेट्रिक अपडेट – संयुक्त (उँगली + आँख + फोटो)</v>
      </c>
      <c r="G22" s="11" t="str">
        <f aca="false">IF($B22="","",INDEX(MASTER_DATABASE!$I$4:$I$1000,$B22)&amp;"")</f>
        <v>Available</v>
      </c>
      <c r="H22" s="7" t="str">
        <f aca="false">IF($B22="","",INDEX(MASTER_DATABASE!$L$4:$L$1000,$B22)&amp;"")</f>
        <v>To Verify</v>
      </c>
      <c r="I22" s="9" t="str">
        <f aca="false">IF($B22="","",INDEX(MASTER_DATABASE!$R$4:$R$1000,$B22))</f>
        <v>To Verify</v>
      </c>
      <c r="J22" s="9" t="str">
        <f aca="false">IF($B22="","",INDEX(MASTER_DATABASE!$S$4:$S$1000,$B22))</f>
        <v>To Verify</v>
      </c>
      <c r="K22" s="9" t="str">
        <f aca="false">IF($B22="","",INDEX(MASTER_DATABASE!$T$4:$T$1000,$B22))</f>
        <v>To Verify</v>
      </c>
      <c r="L22" s="7" t="str">
        <f aca="false">IF($B22="","",INDEX(MASTER_DATABASE!$U$4:$U$1000,$B22)&amp;"")</f>
        <v>To Verify</v>
      </c>
      <c r="M22" s="7" t="str">
        <f aca="false">IF($B22="","",INDEX(MASTER_DATABASE!$Q$4:$Q$1000,$B22)&amp;"")</f>
        <v>Depends on Department</v>
      </c>
      <c r="N22" s="7" t="str">
        <f aca="false">IF($B22="","",INDEX(MASTER_DATABASE!$AG$4:$AG$1000,$B22)&amp;"")</f>
        <v>Active</v>
      </c>
      <c r="O22" s="11" t="str">
        <f aca="false">IF($B22="","",INDEX(MASTER_DATABASE!$AH$4:$AH$1000,$B22)&amp;"")</f>
        <v>Yes</v>
      </c>
      <c r="P22" s="11" t="str">
        <f aca="false">IF($B22="","",INDEX(MASTER_DATABASE!$BE$4:$BE$1000,$B22)&amp;"")</f>
        <v>LIVE</v>
      </c>
      <c r="Q22" s="7" t="str">
        <f aca="false">IF($B22="","",INDEX(MASTER_DATABASE!$AV$4:$AV$1000,$B22)&amp;"")</f>
        <v>To Verify</v>
      </c>
    </row>
    <row r="23" customFormat="false" ht="23.85" hidden="false" customHeight="false" outlineLevel="0" collapsed="false">
      <c r="A23" s="11" t="n">
        <v>20</v>
      </c>
      <c r="B23" s="11" t="n">
        <f aca="false">IFERROR(MATCH("Aadhaar Centre|"&amp;$A23,MASTER_DATABASE!$BH$4:$BH$1000,0),"")</f>
        <v>20</v>
      </c>
      <c r="C23" s="11" t="str">
        <f aca="false">IF($B23="","",INDEX(MASTER_DATABASE!$A$4:$A$1000,$B23)&amp;"")</f>
        <v>AAD-020</v>
      </c>
      <c r="D23" s="7" t="str">
        <f aca="false">IF($B23="","",INDEX(MASTER_DATABASE!$D$4:$D$1000,$B23)&amp;"")</f>
        <v>Biometric Update</v>
      </c>
      <c r="E23" s="7" t="str">
        <f aca="false">IF($B23="","",INDEX(MASTER_DATABASE!$E$4:$E$1000,$B23)&amp;"")</f>
        <v>Mandatory Biometric Update – Child at Age 5</v>
      </c>
      <c r="F23" s="7" t="str">
        <f aca="false">IF($B23="","",INDEX(MASTER_DATABASE!$F$4:$F$1000,$B23)&amp;"")</f>
        <v>अनिवार्य बायोमेट्रिक अपडेट – बच्चा (5 वर्ष)</v>
      </c>
      <c r="G23" s="11" t="str">
        <f aca="false">IF($B23="","",INDEX(MASTER_DATABASE!$I$4:$I$1000,$B23)&amp;"")</f>
        <v>Available</v>
      </c>
      <c r="H23" s="7" t="str">
        <f aca="false">IF($B23="","",INDEX(MASTER_DATABASE!$L$4:$L$1000,$B23)&amp;"")</f>
        <v>To Verify</v>
      </c>
      <c r="I23" s="9" t="str">
        <f aca="false">IF($B23="","",INDEX(MASTER_DATABASE!$R$4:$R$1000,$B23))</f>
        <v>To Verify</v>
      </c>
      <c r="J23" s="9" t="str">
        <f aca="false">IF($B23="","",INDEX(MASTER_DATABASE!$S$4:$S$1000,$B23))</f>
        <v>To Verify</v>
      </c>
      <c r="K23" s="9" t="str">
        <f aca="false">IF($B23="","",INDEX(MASTER_DATABASE!$T$4:$T$1000,$B23))</f>
        <v>To Verify</v>
      </c>
      <c r="L23" s="7" t="str">
        <f aca="false">IF($B23="","",INDEX(MASTER_DATABASE!$U$4:$U$1000,$B23)&amp;"")</f>
        <v>To Verify</v>
      </c>
      <c r="M23" s="7" t="str">
        <f aca="false">IF($B23="","",INDEX(MASTER_DATABASE!$Q$4:$Q$1000,$B23)&amp;"")</f>
        <v>Depends on Department</v>
      </c>
      <c r="N23" s="7" t="str">
        <f aca="false">IF($B23="","",INDEX(MASTER_DATABASE!$AG$4:$AG$1000,$B23)&amp;"")</f>
        <v>Active</v>
      </c>
      <c r="O23" s="11" t="str">
        <f aca="false">IF($B23="","",INDEX(MASTER_DATABASE!$AH$4:$AH$1000,$B23)&amp;"")</f>
        <v>Yes</v>
      </c>
      <c r="P23" s="11" t="str">
        <f aca="false">IF($B23="","",INDEX(MASTER_DATABASE!$BE$4:$BE$1000,$B23)&amp;"")</f>
        <v>LIVE</v>
      </c>
      <c r="Q23" s="7" t="str">
        <f aca="false">IF($B23="","",INDEX(MASTER_DATABASE!$AV$4:$AV$1000,$B23)&amp;"")</f>
        <v>To Verify</v>
      </c>
    </row>
    <row r="24" customFormat="false" ht="23.85" hidden="false" customHeight="false" outlineLevel="0" collapsed="false">
      <c r="A24" s="11" t="n">
        <v>21</v>
      </c>
      <c r="B24" s="11" t="n">
        <f aca="false">IFERROR(MATCH("Aadhaar Centre|"&amp;$A24,MASTER_DATABASE!$BH$4:$BH$1000,0),"")</f>
        <v>21</v>
      </c>
      <c r="C24" s="11" t="str">
        <f aca="false">IF($B24="","",INDEX(MASTER_DATABASE!$A$4:$A$1000,$B24)&amp;"")</f>
        <v>AAD-021</v>
      </c>
      <c r="D24" s="7" t="str">
        <f aca="false">IF($B24="","",INDEX(MASTER_DATABASE!$D$4:$D$1000,$B24)&amp;"")</f>
        <v>Biometric Update</v>
      </c>
      <c r="E24" s="7" t="str">
        <f aca="false">IF($B24="","",INDEX(MASTER_DATABASE!$E$4:$E$1000,$B24)&amp;"")</f>
        <v>Mandatory Biometric Update – Child at Age 15</v>
      </c>
      <c r="F24" s="7" t="str">
        <f aca="false">IF($B24="","",INDEX(MASTER_DATABASE!$F$4:$F$1000,$B24)&amp;"")</f>
        <v>अनिवार्य बायोमेट्रिक अपडेट – बच्चा (15 वर्ष)</v>
      </c>
      <c r="G24" s="11" t="str">
        <f aca="false">IF($B24="","",INDEX(MASTER_DATABASE!$I$4:$I$1000,$B24)&amp;"")</f>
        <v>Available</v>
      </c>
      <c r="H24" s="7" t="str">
        <f aca="false">IF($B24="","",INDEX(MASTER_DATABASE!$L$4:$L$1000,$B24)&amp;"")</f>
        <v>To Verify</v>
      </c>
      <c r="I24" s="9" t="str">
        <f aca="false">IF($B24="","",INDEX(MASTER_DATABASE!$R$4:$R$1000,$B24))</f>
        <v>To Verify</v>
      </c>
      <c r="J24" s="9" t="str">
        <f aca="false">IF($B24="","",INDEX(MASTER_DATABASE!$S$4:$S$1000,$B24))</f>
        <v>To Verify</v>
      </c>
      <c r="K24" s="9" t="str">
        <f aca="false">IF($B24="","",INDEX(MASTER_DATABASE!$T$4:$T$1000,$B24))</f>
        <v>To Verify</v>
      </c>
      <c r="L24" s="7" t="str">
        <f aca="false">IF($B24="","",INDEX(MASTER_DATABASE!$U$4:$U$1000,$B24)&amp;"")</f>
        <v>To Verify</v>
      </c>
      <c r="M24" s="7" t="str">
        <f aca="false">IF($B24="","",INDEX(MASTER_DATABASE!$Q$4:$Q$1000,$B24)&amp;"")</f>
        <v>Depends on Department</v>
      </c>
      <c r="N24" s="7" t="str">
        <f aca="false">IF($B24="","",INDEX(MASTER_DATABASE!$AG$4:$AG$1000,$B24)&amp;"")</f>
        <v>Active</v>
      </c>
      <c r="O24" s="11" t="str">
        <f aca="false">IF($B24="","",INDEX(MASTER_DATABASE!$AH$4:$AH$1000,$B24)&amp;"")</f>
        <v>Yes</v>
      </c>
      <c r="P24" s="11" t="str">
        <f aca="false">IF($B24="","",INDEX(MASTER_DATABASE!$BE$4:$BE$1000,$B24)&amp;"")</f>
        <v>LIVE</v>
      </c>
      <c r="Q24" s="7" t="str">
        <f aca="false">IF($B24="","",INDEX(MASTER_DATABASE!$AV$4:$AV$1000,$B24)&amp;"")</f>
        <v>To Verify</v>
      </c>
    </row>
    <row r="25" customFormat="false" ht="23.85" hidden="false" customHeight="false" outlineLevel="0" collapsed="false">
      <c r="A25" s="11" t="n">
        <v>22</v>
      </c>
      <c r="B25" s="11" t="n">
        <f aca="false">IFERROR(MATCH("Aadhaar Centre|"&amp;$A25,MASTER_DATABASE!$BH$4:$BH$1000,0),"")</f>
        <v>22</v>
      </c>
      <c r="C25" s="11" t="str">
        <f aca="false">IF($B25="","",INDEX(MASTER_DATABASE!$A$4:$A$1000,$B25)&amp;"")</f>
        <v>AAD-022</v>
      </c>
      <c r="D25" s="7" t="str">
        <f aca="false">IF($B25="","",INDEX(MASTER_DATABASE!$D$4:$D$1000,$B25)&amp;"")</f>
        <v>Biometric Update</v>
      </c>
      <c r="E25" s="7" t="str">
        <f aca="false">IF($B25="","",INDEX(MASTER_DATABASE!$E$4:$E$1000,$B25)&amp;"")</f>
        <v>Aadhaar Biometric Update – Adult (Quality / Periodic)</v>
      </c>
      <c r="F25" s="7" t="str">
        <f aca="false">IF($B25="","",INDEX(MASTER_DATABASE!$F$4:$F$1000,$B25)&amp;"")</f>
        <v>आधार बायोमेट्रिक अपडेट – वयस्क (क्वालिटी / आवधिक)</v>
      </c>
      <c r="G25" s="11" t="str">
        <f aca="false">IF($B25="","",INDEX(MASTER_DATABASE!$I$4:$I$1000,$B25)&amp;"")</f>
        <v>Available</v>
      </c>
      <c r="H25" s="7" t="str">
        <f aca="false">IF($B25="","",INDEX(MASTER_DATABASE!$L$4:$L$1000,$B25)&amp;"")</f>
        <v>To Verify</v>
      </c>
      <c r="I25" s="9" t="str">
        <f aca="false">IF($B25="","",INDEX(MASTER_DATABASE!$R$4:$R$1000,$B25))</f>
        <v>To Verify</v>
      </c>
      <c r="J25" s="9" t="str">
        <f aca="false">IF($B25="","",INDEX(MASTER_DATABASE!$S$4:$S$1000,$B25))</f>
        <v>To Verify</v>
      </c>
      <c r="K25" s="9" t="str">
        <f aca="false">IF($B25="","",INDEX(MASTER_DATABASE!$T$4:$T$1000,$B25))</f>
        <v>To Verify</v>
      </c>
      <c r="L25" s="7" t="str">
        <f aca="false">IF($B25="","",INDEX(MASTER_DATABASE!$U$4:$U$1000,$B25)&amp;"")</f>
        <v>To Verify</v>
      </c>
      <c r="M25" s="7" t="str">
        <f aca="false">IF($B25="","",INDEX(MASTER_DATABASE!$Q$4:$Q$1000,$B25)&amp;"")</f>
        <v>Depends on Department</v>
      </c>
      <c r="N25" s="7" t="str">
        <f aca="false">IF($B25="","",INDEX(MASTER_DATABASE!$AG$4:$AG$1000,$B25)&amp;"")</f>
        <v>Active</v>
      </c>
      <c r="O25" s="11" t="str">
        <f aca="false">IF($B25="","",INDEX(MASTER_DATABASE!$AH$4:$AH$1000,$B25)&amp;"")</f>
        <v>Yes</v>
      </c>
      <c r="P25" s="11" t="str">
        <f aca="false">IF($B25="","",INDEX(MASTER_DATABASE!$BE$4:$BE$1000,$B25)&amp;"")</f>
        <v>LIVE</v>
      </c>
      <c r="Q25" s="7" t="str">
        <f aca="false">IF($B25="","",INDEX(MASTER_DATABASE!$AV$4:$AV$1000,$B25)&amp;"")</f>
        <v>To Verify</v>
      </c>
    </row>
    <row r="26" customFormat="false" ht="15" hidden="false" customHeight="false" outlineLevel="0" collapsed="false">
      <c r="A26" s="11" t="n">
        <v>23</v>
      </c>
      <c r="B26" s="11" t="n">
        <f aca="false">IFERROR(MATCH("Aadhaar Centre|"&amp;$A26,MASTER_DATABASE!$BH$4:$BH$1000,0),"")</f>
        <v>23</v>
      </c>
      <c r="C26" s="11" t="str">
        <f aca="false">IF($B26="","",INDEX(MASTER_DATABASE!$A$4:$A$1000,$B26)&amp;"")</f>
        <v>AAD-023</v>
      </c>
      <c r="D26" s="7" t="str">
        <f aca="false">IF($B26="","",INDEX(MASTER_DATABASE!$D$4:$D$1000,$B26)&amp;"")</f>
        <v>Biometric Update</v>
      </c>
      <c r="E26" s="7" t="str">
        <f aca="false">IF($B26="","",INDEX(MASTER_DATABASE!$E$4:$E$1000,$B26)&amp;"")</f>
        <v>Aadhaar Biometric Lock / Unlock Assistance</v>
      </c>
      <c r="F26" s="7" t="str">
        <f aca="false">IF($B26="","",INDEX(MASTER_DATABASE!$F$4:$F$1000,$B26)&amp;"")</f>
        <v>आधार बायोमेट्रिक लॉक / अनलॉक सहायता</v>
      </c>
      <c r="G26" s="11" t="str">
        <f aca="false">IF($B26="","",INDEX(MASTER_DATABASE!$I$4:$I$1000,$B26)&amp;"")</f>
        <v>Portal Dependent</v>
      </c>
      <c r="H26" s="7" t="str">
        <f aca="false">IF($B26="","",INDEX(MASTER_DATABASE!$L$4:$L$1000,$B26)&amp;"")</f>
        <v>Portal Dependent</v>
      </c>
      <c r="I26" s="9" t="str">
        <f aca="false">IF($B26="","",INDEX(MASTER_DATABASE!$R$4:$R$1000,$B26))</f>
        <v>To Verify</v>
      </c>
      <c r="J26" s="9" t="str">
        <f aca="false">IF($B26="","",INDEX(MASTER_DATABASE!$S$4:$S$1000,$B26))</f>
        <v>To Verify</v>
      </c>
      <c r="K26" s="9" t="str">
        <f aca="false">IF($B26="","",INDEX(MASTER_DATABASE!$T$4:$T$1000,$B26))</f>
        <v>To Verify</v>
      </c>
      <c r="L26" s="7" t="str">
        <f aca="false">IF($B26="","",INDEX(MASTER_DATABASE!$U$4:$U$1000,$B26)&amp;"")</f>
        <v>To Verify</v>
      </c>
      <c r="M26" s="7" t="str">
        <f aca="false">IF($B26="","",INDEX(MASTER_DATABASE!$Q$4:$Q$1000,$B26)&amp;"")</f>
        <v>15–30 Minutes</v>
      </c>
      <c r="N26" s="7" t="str">
        <f aca="false">IF($B26="","",INDEX(MASTER_DATABASE!$AG$4:$AG$1000,$B26)&amp;"")</f>
        <v>To Verify</v>
      </c>
      <c r="O26" s="11" t="str">
        <f aca="false">IF($B26="","",INDEX(MASTER_DATABASE!$AH$4:$AH$1000,$B26)&amp;"")</f>
        <v>No</v>
      </c>
      <c r="P26" s="11" t="str">
        <f aca="false">IF($B26="","",INDEX(MASTER_DATABASE!$BE$4:$BE$1000,$B26)&amp;"")</f>
        <v>HIDDEN</v>
      </c>
      <c r="Q26" s="7" t="str">
        <f aca="false">IF($B26="","",INDEX(MASTER_DATABASE!$AV$4:$AV$1000,$B26)&amp;"")</f>
        <v>To Verify</v>
      </c>
    </row>
    <row r="27" customFormat="false" ht="23.85" hidden="false" customHeight="false" outlineLevel="0" collapsed="false">
      <c r="A27" s="11" t="n">
        <v>24</v>
      </c>
      <c r="B27" s="11" t="n">
        <f aca="false">IFERROR(MATCH("Aadhaar Centre|"&amp;$A27,MASTER_DATABASE!$BH$4:$BH$1000,0),"")</f>
        <v>24</v>
      </c>
      <c r="C27" s="11" t="str">
        <f aca="false">IF($B27="","",INDEX(MASTER_DATABASE!$A$4:$A$1000,$B27)&amp;"")</f>
        <v>AAD-024</v>
      </c>
      <c r="D27" s="7" t="str">
        <f aca="false">IF($B27="","",INDEX(MASTER_DATABASE!$D$4:$D$1000,$B27)&amp;"")</f>
        <v>Document Update</v>
      </c>
      <c r="E27" s="7" t="str">
        <f aca="false">IF($B27="","",INDEX(MASTER_DATABASE!$E$4:$E$1000,$B27)&amp;"")</f>
        <v>Aadhaar Document Update (Identity &amp; Address Proof)</v>
      </c>
      <c r="F27" s="7" t="str">
        <f aca="false">IF($B27="","",INDEX(MASTER_DATABASE!$F$4:$F$1000,$B27)&amp;"")</f>
        <v>आधार दस्तावेज़ अपडेट (पहचान व पता प्रमाण)</v>
      </c>
      <c r="G27" s="11" t="str">
        <f aca="false">IF($B27="","",INDEX(MASTER_DATABASE!$I$4:$I$1000,$B27)&amp;"")</f>
        <v>Available</v>
      </c>
      <c r="H27" s="7" t="str">
        <f aca="false">IF($B27="","",INDEX(MASTER_DATABASE!$L$4:$L$1000,$B27)&amp;"")</f>
        <v>To Verify</v>
      </c>
      <c r="I27" s="9" t="str">
        <f aca="false">IF($B27="","",INDEX(MASTER_DATABASE!$R$4:$R$1000,$B27))</f>
        <v>To Verify</v>
      </c>
      <c r="J27" s="9" t="str">
        <f aca="false">IF($B27="","",INDEX(MASTER_DATABASE!$S$4:$S$1000,$B27))</f>
        <v>To Verify</v>
      </c>
      <c r="K27" s="9" t="str">
        <f aca="false">IF($B27="","",INDEX(MASTER_DATABASE!$T$4:$T$1000,$B27))</f>
        <v>To Verify</v>
      </c>
      <c r="L27" s="7" t="str">
        <f aca="false">IF($B27="","",INDEX(MASTER_DATABASE!$U$4:$U$1000,$B27)&amp;"")</f>
        <v>To Verify</v>
      </c>
      <c r="M27" s="7" t="str">
        <f aca="false">IF($B27="","",INDEX(MASTER_DATABASE!$Q$4:$Q$1000,$B27)&amp;"")</f>
        <v>Depends on Department</v>
      </c>
      <c r="N27" s="7" t="str">
        <f aca="false">IF($B27="","",INDEX(MASTER_DATABASE!$AG$4:$AG$1000,$B27)&amp;"")</f>
        <v>Active</v>
      </c>
      <c r="O27" s="11" t="str">
        <f aca="false">IF($B27="","",INDEX(MASTER_DATABASE!$AH$4:$AH$1000,$B27)&amp;"")</f>
        <v>Yes</v>
      </c>
      <c r="P27" s="11" t="str">
        <f aca="false">IF($B27="","",INDEX(MASTER_DATABASE!$BE$4:$BE$1000,$B27)&amp;"")</f>
        <v>LIVE</v>
      </c>
      <c r="Q27" s="7" t="str">
        <f aca="false">IF($B27="","",INDEX(MASTER_DATABASE!$AV$4:$AV$1000,$B27)&amp;"")</f>
        <v>To Verify</v>
      </c>
    </row>
    <row r="28" customFormat="false" ht="15" hidden="false" customHeight="false" outlineLevel="0" collapsed="false">
      <c r="A28" s="11" t="n">
        <v>25</v>
      </c>
      <c r="B28" s="11" t="n">
        <f aca="false">IFERROR(MATCH("Aadhaar Centre|"&amp;$A28,MASTER_DATABASE!$BH$4:$BH$1000,0),"")</f>
        <v>25</v>
      </c>
      <c r="C28" s="11" t="str">
        <f aca="false">IF($B28="","",INDEX(MASTER_DATABASE!$A$4:$A$1000,$B28)&amp;"")</f>
        <v>AAD-025</v>
      </c>
      <c r="D28" s="7" t="str">
        <f aca="false">IF($B28="","",INDEX(MASTER_DATABASE!$D$4:$D$1000,$B28)&amp;"")</f>
        <v>Document Update</v>
      </c>
      <c r="E28" s="7" t="str">
        <f aca="false">IF($B28="","",INDEX(MASTER_DATABASE!$E$4:$E$1000,$B28)&amp;"")</f>
        <v>Aadhaar Document Update – Online Assistance</v>
      </c>
      <c r="F28" s="7" t="str">
        <f aca="false">IF($B28="","",INDEX(MASTER_DATABASE!$F$4:$F$1000,$B28)&amp;"")</f>
        <v>आधार दस्तावेज़ अपडेट – ऑनलाइन सहायता</v>
      </c>
      <c r="G28" s="11" t="str">
        <f aca="false">IF($B28="","",INDEX(MASTER_DATABASE!$I$4:$I$1000,$B28)&amp;"")</f>
        <v>Portal Dependent</v>
      </c>
      <c r="H28" s="7" t="str">
        <f aca="false">IF($B28="","",INDEX(MASTER_DATABASE!$L$4:$L$1000,$B28)&amp;"")</f>
        <v>Portal Dependent</v>
      </c>
      <c r="I28" s="9" t="str">
        <f aca="false">IF($B28="","",INDEX(MASTER_DATABASE!$R$4:$R$1000,$B28))</f>
        <v>To Verify</v>
      </c>
      <c r="J28" s="9" t="str">
        <f aca="false">IF($B28="","",INDEX(MASTER_DATABASE!$S$4:$S$1000,$B28))</f>
        <v>To Verify</v>
      </c>
      <c r="K28" s="9" t="str">
        <f aca="false">IF($B28="","",INDEX(MASTER_DATABASE!$T$4:$T$1000,$B28))</f>
        <v>To Verify</v>
      </c>
      <c r="L28" s="7" t="str">
        <f aca="false">IF($B28="","",INDEX(MASTER_DATABASE!$U$4:$U$1000,$B28)&amp;"")</f>
        <v>To Verify</v>
      </c>
      <c r="M28" s="7" t="str">
        <f aca="false">IF($B28="","",INDEX(MASTER_DATABASE!$Q$4:$Q$1000,$B28)&amp;"")</f>
        <v>15–30 Minutes</v>
      </c>
      <c r="N28" s="7" t="str">
        <f aca="false">IF($B28="","",INDEX(MASTER_DATABASE!$AG$4:$AG$1000,$B28)&amp;"")</f>
        <v>To Verify</v>
      </c>
      <c r="O28" s="11" t="str">
        <f aca="false">IF($B28="","",INDEX(MASTER_DATABASE!$AH$4:$AH$1000,$B28)&amp;"")</f>
        <v>No</v>
      </c>
      <c r="P28" s="11" t="str">
        <f aca="false">IF($B28="","",INDEX(MASTER_DATABASE!$BE$4:$BE$1000,$B28)&amp;"")</f>
        <v>HIDDEN</v>
      </c>
      <c r="Q28" s="7" t="str">
        <f aca="false">IF($B28="","",INDEX(MASTER_DATABASE!$AV$4:$AV$1000,$B28)&amp;"")</f>
        <v>To Verify</v>
      </c>
    </row>
    <row r="29" customFormat="false" ht="15" hidden="false" customHeight="false" outlineLevel="0" collapsed="false">
      <c r="A29" s="11" t="n">
        <v>26</v>
      </c>
      <c r="B29" s="11" t="n">
        <f aca="false">IFERROR(MATCH("Aadhaar Centre|"&amp;$A29,MASTER_DATABASE!$BH$4:$BH$1000,0),"")</f>
        <v>26</v>
      </c>
      <c r="C29" s="11" t="str">
        <f aca="false">IF($B29="","",INDEX(MASTER_DATABASE!$A$4:$A$1000,$B29)&amp;"")</f>
        <v>AAD-026</v>
      </c>
      <c r="D29" s="7" t="str">
        <f aca="false">IF($B29="","",INDEX(MASTER_DATABASE!$D$4:$D$1000,$B29)&amp;"")</f>
        <v>Download, Print &amp; Status</v>
      </c>
      <c r="E29" s="7" t="str">
        <f aca="false">IF($B29="","",INDEX(MASTER_DATABASE!$E$4:$E$1000,$B29)&amp;"")</f>
        <v>Aadhaar Download Assistance (e-Aadhaar)</v>
      </c>
      <c r="F29" s="7" t="str">
        <f aca="false">IF($B29="","",INDEX(MASTER_DATABASE!$F$4:$F$1000,$B29)&amp;"")</f>
        <v>आधार डाउनलोड सहायता (e-Aadhaar)</v>
      </c>
      <c r="G29" s="11" t="str">
        <f aca="false">IF($B29="","",INDEX(MASTER_DATABASE!$I$4:$I$1000,$B29)&amp;"")</f>
        <v>Portal Dependent</v>
      </c>
      <c r="H29" s="7" t="str">
        <f aca="false">IF($B29="","",INDEX(MASTER_DATABASE!$L$4:$L$1000,$B29)&amp;"")</f>
        <v>Portal Dependent</v>
      </c>
      <c r="I29" s="9" t="str">
        <f aca="false">IF($B29="","",INDEX(MASTER_DATABASE!$R$4:$R$1000,$B29))</f>
        <v>To Verify</v>
      </c>
      <c r="J29" s="9" t="str">
        <f aca="false">IF($B29="","",INDEX(MASTER_DATABASE!$S$4:$S$1000,$B29))</f>
        <v>To Verify</v>
      </c>
      <c r="K29" s="9" t="str">
        <f aca="false">IF($B29="","",INDEX(MASTER_DATABASE!$T$4:$T$1000,$B29))</f>
        <v>To Verify</v>
      </c>
      <c r="L29" s="7" t="str">
        <f aca="false">IF($B29="","",INDEX(MASTER_DATABASE!$U$4:$U$1000,$B29)&amp;"")</f>
        <v>To Verify</v>
      </c>
      <c r="M29" s="7" t="str">
        <f aca="false">IF($B29="","",INDEX(MASTER_DATABASE!$Q$4:$Q$1000,$B29)&amp;"")</f>
        <v>15–30 Minutes</v>
      </c>
      <c r="N29" s="7" t="str">
        <f aca="false">IF($B29="","",INDEX(MASTER_DATABASE!$AG$4:$AG$1000,$B29)&amp;"")</f>
        <v>To Verify</v>
      </c>
      <c r="O29" s="11" t="str">
        <f aca="false">IF($B29="","",INDEX(MASTER_DATABASE!$AH$4:$AH$1000,$B29)&amp;"")</f>
        <v>No</v>
      </c>
      <c r="P29" s="11" t="str">
        <f aca="false">IF($B29="","",INDEX(MASTER_DATABASE!$BE$4:$BE$1000,$B29)&amp;"")</f>
        <v>HIDDEN</v>
      </c>
      <c r="Q29" s="7" t="str">
        <f aca="false">IF($B29="","",INDEX(MASTER_DATABASE!$AV$4:$AV$1000,$B29)&amp;"")</f>
        <v>To Verify</v>
      </c>
    </row>
    <row r="30" customFormat="false" ht="15" hidden="false" customHeight="false" outlineLevel="0" collapsed="false">
      <c r="A30" s="11" t="n">
        <v>27</v>
      </c>
      <c r="B30" s="11" t="n">
        <f aca="false">IFERROR(MATCH("Aadhaar Centre|"&amp;$A30,MASTER_DATABASE!$BH$4:$BH$1000,0),"")</f>
        <v>27</v>
      </c>
      <c r="C30" s="11" t="str">
        <f aca="false">IF($B30="","",INDEX(MASTER_DATABASE!$A$4:$A$1000,$B30)&amp;"")</f>
        <v>AAD-027</v>
      </c>
      <c r="D30" s="7" t="str">
        <f aca="false">IF($B30="","",INDEX(MASTER_DATABASE!$D$4:$D$1000,$B30)&amp;"")</f>
        <v>Download, Print &amp; Status</v>
      </c>
      <c r="E30" s="7" t="str">
        <f aca="false">IF($B30="","",INDEX(MASTER_DATABASE!$E$4:$E$1000,$B30)&amp;"")</f>
        <v>Masked Aadhaar Download</v>
      </c>
      <c r="F30" s="7" t="str">
        <f aca="false">IF($B30="","",INDEX(MASTER_DATABASE!$F$4:$F$1000,$B30)&amp;"")</f>
        <v>मास्क्ड आधार डाउनलोड</v>
      </c>
      <c r="G30" s="11" t="str">
        <f aca="false">IF($B30="","",INDEX(MASTER_DATABASE!$I$4:$I$1000,$B30)&amp;"")</f>
        <v>Portal Dependent</v>
      </c>
      <c r="H30" s="7" t="str">
        <f aca="false">IF($B30="","",INDEX(MASTER_DATABASE!$L$4:$L$1000,$B30)&amp;"")</f>
        <v>Portal Dependent</v>
      </c>
      <c r="I30" s="9" t="str">
        <f aca="false">IF($B30="","",INDEX(MASTER_DATABASE!$R$4:$R$1000,$B30))</f>
        <v>To Verify</v>
      </c>
      <c r="J30" s="9" t="str">
        <f aca="false">IF($B30="","",INDEX(MASTER_DATABASE!$S$4:$S$1000,$B30))</f>
        <v>To Verify</v>
      </c>
      <c r="K30" s="9" t="str">
        <f aca="false">IF($B30="","",INDEX(MASTER_DATABASE!$T$4:$T$1000,$B30))</f>
        <v>To Verify</v>
      </c>
      <c r="L30" s="7" t="str">
        <f aca="false">IF($B30="","",INDEX(MASTER_DATABASE!$U$4:$U$1000,$B30)&amp;"")</f>
        <v>To Verify</v>
      </c>
      <c r="M30" s="7" t="str">
        <f aca="false">IF($B30="","",INDEX(MASTER_DATABASE!$Q$4:$Q$1000,$B30)&amp;"")</f>
        <v>15–30 Minutes</v>
      </c>
      <c r="N30" s="7" t="str">
        <f aca="false">IF($B30="","",INDEX(MASTER_DATABASE!$AG$4:$AG$1000,$B30)&amp;"")</f>
        <v>To Verify</v>
      </c>
      <c r="O30" s="11" t="str">
        <f aca="false">IF($B30="","",INDEX(MASTER_DATABASE!$AH$4:$AH$1000,$B30)&amp;"")</f>
        <v>No</v>
      </c>
      <c r="P30" s="11" t="str">
        <f aca="false">IF($B30="","",INDEX(MASTER_DATABASE!$BE$4:$BE$1000,$B30)&amp;"")</f>
        <v>HIDDEN</v>
      </c>
      <c r="Q30" s="7" t="str">
        <f aca="false">IF($B30="","",INDEX(MASTER_DATABASE!$AV$4:$AV$1000,$B30)&amp;"")</f>
        <v>To Verify</v>
      </c>
    </row>
    <row r="31" customFormat="false" ht="15" hidden="false" customHeight="false" outlineLevel="0" collapsed="false">
      <c r="A31" s="11" t="n">
        <v>28</v>
      </c>
      <c r="B31" s="11" t="n">
        <f aca="false">IFERROR(MATCH("Aadhaar Centre|"&amp;$A31,MASTER_DATABASE!$BH$4:$BH$1000,0),"")</f>
        <v>28</v>
      </c>
      <c r="C31" s="11" t="str">
        <f aca="false">IF($B31="","",INDEX(MASTER_DATABASE!$A$4:$A$1000,$B31)&amp;"")</f>
        <v>AAD-028</v>
      </c>
      <c r="D31" s="7" t="str">
        <f aca="false">IF($B31="","",INDEX(MASTER_DATABASE!$D$4:$D$1000,$B31)&amp;"")</f>
        <v>Download, Print &amp; Status</v>
      </c>
      <c r="E31" s="7" t="str">
        <f aca="false">IF($B31="","",INDEX(MASTER_DATABASE!$E$4:$E$1000,$B31)&amp;"")</f>
        <v>Aadhaar Print (Paper – Colour / B&amp;W Printout)</v>
      </c>
      <c r="F31" s="7" t="str">
        <f aca="false">IF($B31="","",INDEX(MASTER_DATABASE!$F$4:$F$1000,$B31)&amp;"")</f>
        <v>आधार प्रिंट (पेपर – रंगीन / सादा)</v>
      </c>
      <c r="G31" s="11" t="str">
        <f aca="false">IF($B31="","",INDEX(MASTER_DATABASE!$I$4:$I$1000,$B31)&amp;"")</f>
        <v>Available</v>
      </c>
      <c r="H31" s="7" t="str">
        <f aca="false">IF($B31="","",INDEX(MASTER_DATABASE!$L$4:$L$1000,$B31)&amp;"")</f>
        <v>Not Applicable</v>
      </c>
      <c r="I31" s="9" t="str">
        <f aca="false">IF($B31="","",INDEX(MASTER_DATABASE!$R$4:$R$1000,$B31))</f>
        <v>N/A</v>
      </c>
      <c r="J31" s="9" t="str">
        <f aca="false">IF($B31="","",INDEX(MASTER_DATABASE!$S$4:$S$1000,$B31))</f>
        <v>To Verify</v>
      </c>
      <c r="K31" s="9" t="str">
        <f aca="false">IF($B31="","",INDEX(MASTER_DATABASE!$T$4:$T$1000,$B31))</f>
        <v>To Verify</v>
      </c>
      <c r="L31" s="7" t="str">
        <f aca="false">IF($B31="","",INDEX(MASTER_DATABASE!$U$4:$U$1000,$B31)&amp;"")</f>
        <v>Shop Charge Only</v>
      </c>
      <c r="M31" s="7" t="str">
        <f aca="false">IF($B31="","",INDEX(MASTER_DATABASE!$Q$4:$Q$1000,$B31)&amp;"")</f>
        <v>5–10 Minutes</v>
      </c>
      <c r="N31" s="7" t="str">
        <f aca="false">IF($B31="","",INDEX(MASTER_DATABASE!$AG$4:$AG$1000,$B31)&amp;"")</f>
        <v>Active</v>
      </c>
      <c r="O31" s="11" t="str">
        <f aca="false">IF($B31="","",INDEX(MASTER_DATABASE!$AH$4:$AH$1000,$B31)&amp;"")</f>
        <v>Yes</v>
      </c>
      <c r="P31" s="11" t="str">
        <f aca="false">IF($B31="","",INDEX(MASTER_DATABASE!$BE$4:$BE$1000,$B31)&amp;"")</f>
        <v>LIVE</v>
      </c>
      <c r="Q31" s="7" t="str">
        <f aca="false">IF($B31="","",INDEX(MASTER_DATABASE!$AV$4:$AV$1000,$B31)&amp;"")</f>
        <v>To Verify</v>
      </c>
    </row>
    <row r="32" customFormat="false" ht="15" hidden="false" customHeight="false" outlineLevel="0" collapsed="false">
      <c r="A32" s="11" t="n">
        <v>29</v>
      </c>
      <c r="B32" s="11" t="n">
        <f aca="false">IFERROR(MATCH("Aadhaar Centre|"&amp;$A32,MASTER_DATABASE!$BH$4:$BH$1000,0),"")</f>
        <v>29</v>
      </c>
      <c r="C32" s="11" t="str">
        <f aca="false">IF($B32="","",INDEX(MASTER_DATABASE!$A$4:$A$1000,$B32)&amp;"")</f>
        <v>AAD-029</v>
      </c>
      <c r="D32" s="7" t="str">
        <f aca="false">IF($B32="","",INDEX(MASTER_DATABASE!$D$4:$D$1000,$B32)&amp;"")</f>
        <v>Download, Print &amp; Status</v>
      </c>
      <c r="E32" s="7" t="str">
        <f aca="false">IF($B32="","",INDEX(MASTER_DATABASE!$E$4:$E$1000,$B32)&amp;"")</f>
        <v>Aadhaar PVC Card Order Assistance</v>
      </c>
      <c r="F32" s="7" t="str">
        <f aca="false">IF($B32="","",INDEX(MASTER_DATABASE!$F$4:$F$1000,$B32)&amp;"")</f>
        <v>आधार PVC कार्ड ऑर्डर सहायता</v>
      </c>
      <c r="G32" s="11" t="str">
        <f aca="false">IF($B32="","",INDEX(MASTER_DATABASE!$I$4:$I$1000,$B32)&amp;"")</f>
        <v>Portal Dependent</v>
      </c>
      <c r="H32" s="7" t="str">
        <f aca="false">IF($B32="","",INDEX(MASTER_DATABASE!$L$4:$L$1000,$B32)&amp;"")</f>
        <v>Portal Dependent</v>
      </c>
      <c r="I32" s="9" t="str">
        <f aca="false">IF($B32="","",INDEX(MASTER_DATABASE!$R$4:$R$1000,$B32))</f>
        <v>To Verify</v>
      </c>
      <c r="J32" s="9" t="str">
        <f aca="false">IF($B32="","",INDEX(MASTER_DATABASE!$S$4:$S$1000,$B32))</f>
        <v>To Verify</v>
      </c>
      <c r="K32" s="9" t="str">
        <f aca="false">IF($B32="","",INDEX(MASTER_DATABASE!$T$4:$T$1000,$B32))</f>
        <v>To Verify</v>
      </c>
      <c r="L32" s="7" t="str">
        <f aca="false">IF($B32="","",INDEX(MASTER_DATABASE!$U$4:$U$1000,$B32)&amp;"")</f>
        <v>To Verify</v>
      </c>
      <c r="M32" s="7" t="str">
        <f aca="false">IF($B32="","",INDEX(MASTER_DATABASE!$Q$4:$Q$1000,$B32)&amp;"")</f>
        <v>15–30 Minutes</v>
      </c>
      <c r="N32" s="7" t="str">
        <f aca="false">IF($B32="","",INDEX(MASTER_DATABASE!$AG$4:$AG$1000,$B32)&amp;"")</f>
        <v>To Verify</v>
      </c>
      <c r="O32" s="11" t="str">
        <f aca="false">IF($B32="","",INDEX(MASTER_DATABASE!$AH$4:$AH$1000,$B32)&amp;"")</f>
        <v>No</v>
      </c>
      <c r="P32" s="11" t="str">
        <f aca="false">IF($B32="","",INDEX(MASTER_DATABASE!$BE$4:$BE$1000,$B32)&amp;"")</f>
        <v>HIDDEN</v>
      </c>
      <c r="Q32" s="7" t="str">
        <f aca="false">IF($B32="","",INDEX(MASTER_DATABASE!$AV$4:$AV$1000,$B32)&amp;"")</f>
        <v>To Verify</v>
      </c>
    </row>
    <row r="33" customFormat="false" ht="15" hidden="false" customHeight="false" outlineLevel="0" collapsed="false">
      <c r="A33" s="11" t="n">
        <v>30</v>
      </c>
      <c r="B33" s="11" t="n">
        <f aca="false">IFERROR(MATCH("Aadhaar Centre|"&amp;$A33,MASTER_DATABASE!$BH$4:$BH$1000,0),"")</f>
        <v>30</v>
      </c>
      <c r="C33" s="11" t="str">
        <f aca="false">IF($B33="","",INDEX(MASTER_DATABASE!$A$4:$A$1000,$B33)&amp;"")</f>
        <v>AAD-030</v>
      </c>
      <c r="D33" s="7" t="str">
        <f aca="false">IF($B33="","",INDEX(MASTER_DATABASE!$D$4:$D$1000,$B33)&amp;"")</f>
        <v>Download, Print &amp; Status</v>
      </c>
      <c r="E33" s="7" t="str">
        <f aca="false">IF($B33="","",INDEX(MASTER_DATABASE!$E$4:$E$1000,$B33)&amp;"")</f>
        <v>Aadhaar Enrolment Status Check (EID)</v>
      </c>
      <c r="F33" s="7" t="str">
        <f aca="false">IF($B33="","",INDEX(MASTER_DATABASE!$F$4:$F$1000,$B33)&amp;"")</f>
        <v>आधार नामांकन स्थिति जाँच (EID)</v>
      </c>
      <c r="G33" s="11" t="str">
        <f aca="false">IF($B33="","",INDEX(MASTER_DATABASE!$I$4:$I$1000,$B33)&amp;"")</f>
        <v>Portal Dependent</v>
      </c>
      <c r="H33" s="7" t="str">
        <f aca="false">IF($B33="","",INDEX(MASTER_DATABASE!$L$4:$L$1000,$B33)&amp;"")</f>
        <v>Portal Dependent</v>
      </c>
      <c r="I33" s="9" t="str">
        <f aca="false">IF($B33="","",INDEX(MASTER_DATABASE!$R$4:$R$1000,$B33))</f>
        <v>To Verify</v>
      </c>
      <c r="J33" s="9" t="str">
        <f aca="false">IF($B33="","",INDEX(MASTER_DATABASE!$S$4:$S$1000,$B33))</f>
        <v>To Verify</v>
      </c>
      <c r="K33" s="9" t="str">
        <f aca="false">IF($B33="","",INDEX(MASTER_DATABASE!$T$4:$T$1000,$B33))</f>
        <v>To Verify</v>
      </c>
      <c r="L33" s="7" t="str">
        <f aca="false">IF($B33="","",INDEX(MASTER_DATABASE!$U$4:$U$1000,$B33)&amp;"")</f>
        <v>To Verify</v>
      </c>
      <c r="M33" s="7" t="str">
        <f aca="false">IF($B33="","",INDEX(MASTER_DATABASE!$Q$4:$Q$1000,$B33)&amp;"")</f>
        <v>5–10 Minutes</v>
      </c>
      <c r="N33" s="7" t="str">
        <f aca="false">IF($B33="","",INDEX(MASTER_DATABASE!$AG$4:$AG$1000,$B33)&amp;"")</f>
        <v>To Verify</v>
      </c>
      <c r="O33" s="11" t="str">
        <f aca="false">IF($B33="","",INDEX(MASTER_DATABASE!$AH$4:$AH$1000,$B33)&amp;"")</f>
        <v>No</v>
      </c>
      <c r="P33" s="11" t="str">
        <f aca="false">IF($B33="","",INDEX(MASTER_DATABASE!$BE$4:$BE$1000,$B33)&amp;"")</f>
        <v>HIDDEN</v>
      </c>
      <c r="Q33" s="7" t="str">
        <f aca="false">IF($B33="","",INDEX(MASTER_DATABASE!$AV$4:$AV$1000,$B33)&amp;"")</f>
        <v>To Verify</v>
      </c>
    </row>
    <row r="34" customFormat="false" ht="15" hidden="false" customHeight="false" outlineLevel="0" collapsed="false">
      <c r="A34" s="11" t="n">
        <v>31</v>
      </c>
      <c r="B34" s="11" t="n">
        <f aca="false">IFERROR(MATCH("Aadhaar Centre|"&amp;$A34,MASTER_DATABASE!$BH$4:$BH$1000,0),"")</f>
        <v>31</v>
      </c>
      <c r="C34" s="11" t="str">
        <f aca="false">IF($B34="","",INDEX(MASTER_DATABASE!$A$4:$A$1000,$B34)&amp;"")</f>
        <v>AAD-031</v>
      </c>
      <c r="D34" s="7" t="str">
        <f aca="false">IF($B34="","",INDEX(MASTER_DATABASE!$D$4:$D$1000,$B34)&amp;"")</f>
        <v>Download, Print &amp; Status</v>
      </c>
      <c r="E34" s="7" t="str">
        <f aca="false">IF($B34="","",INDEX(MASTER_DATABASE!$E$4:$E$1000,$B34)&amp;"")</f>
        <v>Aadhaar Update Request Status Check (URN)</v>
      </c>
      <c r="F34" s="7" t="str">
        <f aca="false">IF($B34="","",INDEX(MASTER_DATABASE!$F$4:$F$1000,$B34)&amp;"")</f>
        <v>आधार अपडेट रिक्वेस्ट स्थिति जाँच (URN)</v>
      </c>
      <c r="G34" s="11" t="str">
        <f aca="false">IF($B34="","",INDEX(MASTER_DATABASE!$I$4:$I$1000,$B34)&amp;"")</f>
        <v>Portal Dependent</v>
      </c>
      <c r="H34" s="7" t="str">
        <f aca="false">IF($B34="","",INDEX(MASTER_DATABASE!$L$4:$L$1000,$B34)&amp;"")</f>
        <v>Portal Dependent</v>
      </c>
      <c r="I34" s="9" t="str">
        <f aca="false">IF($B34="","",INDEX(MASTER_DATABASE!$R$4:$R$1000,$B34))</f>
        <v>To Verify</v>
      </c>
      <c r="J34" s="9" t="str">
        <f aca="false">IF($B34="","",INDEX(MASTER_DATABASE!$S$4:$S$1000,$B34))</f>
        <v>To Verify</v>
      </c>
      <c r="K34" s="9" t="str">
        <f aca="false">IF($B34="","",INDEX(MASTER_DATABASE!$T$4:$T$1000,$B34))</f>
        <v>To Verify</v>
      </c>
      <c r="L34" s="7" t="str">
        <f aca="false">IF($B34="","",INDEX(MASTER_DATABASE!$U$4:$U$1000,$B34)&amp;"")</f>
        <v>To Verify</v>
      </c>
      <c r="M34" s="7" t="str">
        <f aca="false">IF($B34="","",INDEX(MASTER_DATABASE!$Q$4:$Q$1000,$B34)&amp;"")</f>
        <v>5–10 Minutes</v>
      </c>
      <c r="N34" s="7" t="str">
        <f aca="false">IF($B34="","",INDEX(MASTER_DATABASE!$AG$4:$AG$1000,$B34)&amp;"")</f>
        <v>To Verify</v>
      </c>
      <c r="O34" s="11" t="str">
        <f aca="false">IF($B34="","",INDEX(MASTER_DATABASE!$AH$4:$AH$1000,$B34)&amp;"")</f>
        <v>No</v>
      </c>
      <c r="P34" s="11" t="str">
        <f aca="false">IF($B34="","",INDEX(MASTER_DATABASE!$BE$4:$BE$1000,$B34)&amp;"")</f>
        <v>HIDDEN</v>
      </c>
      <c r="Q34" s="7" t="str">
        <f aca="false">IF($B34="","",INDEX(MASTER_DATABASE!$AV$4:$AV$1000,$B34)&amp;"")</f>
        <v>To Verify</v>
      </c>
    </row>
    <row r="35" customFormat="false" ht="15" hidden="false" customHeight="false" outlineLevel="0" collapsed="false">
      <c r="A35" s="11" t="n">
        <v>32</v>
      </c>
      <c r="B35" s="11" t="n">
        <f aca="false">IFERROR(MATCH("Aadhaar Centre|"&amp;$A35,MASTER_DATABASE!$BH$4:$BH$1000,0),"")</f>
        <v>32</v>
      </c>
      <c r="C35" s="11" t="str">
        <f aca="false">IF($B35="","",INDEX(MASTER_DATABASE!$A$4:$A$1000,$B35)&amp;"")</f>
        <v>AAD-032</v>
      </c>
      <c r="D35" s="7" t="str">
        <f aca="false">IF($B35="","",INDEX(MASTER_DATABASE!$D$4:$D$1000,$B35)&amp;"")</f>
        <v>Download, Print &amp; Status</v>
      </c>
      <c r="E35" s="7" t="str">
        <f aca="false">IF($B35="","",INDEX(MASTER_DATABASE!$E$4:$E$1000,$B35)&amp;"")</f>
        <v>Aadhaar Lost UID / EID Retrieval Assistance</v>
      </c>
      <c r="F35" s="7" t="str">
        <f aca="false">IF($B35="","",INDEX(MASTER_DATABASE!$F$4:$F$1000,$B35)&amp;"")</f>
        <v>खोया आधार नंबर / EID पुनः प्राप्ति सहायता</v>
      </c>
      <c r="G35" s="11" t="str">
        <f aca="false">IF($B35="","",INDEX(MASTER_DATABASE!$I$4:$I$1000,$B35)&amp;"")</f>
        <v>Portal Dependent</v>
      </c>
      <c r="H35" s="7" t="str">
        <f aca="false">IF($B35="","",INDEX(MASTER_DATABASE!$L$4:$L$1000,$B35)&amp;"")</f>
        <v>Portal Dependent</v>
      </c>
      <c r="I35" s="9" t="str">
        <f aca="false">IF($B35="","",INDEX(MASTER_DATABASE!$R$4:$R$1000,$B35))</f>
        <v>To Verify</v>
      </c>
      <c r="J35" s="9" t="str">
        <f aca="false">IF($B35="","",INDEX(MASTER_DATABASE!$S$4:$S$1000,$B35))</f>
        <v>To Verify</v>
      </c>
      <c r="K35" s="9" t="str">
        <f aca="false">IF($B35="","",INDEX(MASTER_DATABASE!$T$4:$T$1000,$B35))</f>
        <v>To Verify</v>
      </c>
      <c r="L35" s="7" t="str">
        <f aca="false">IF($B35="","",INDEX(MASTER_DATABASE!$U$4:$U$1000,$B35)&amp;"")</f>
        <v>To Verify</v>
      </c>
      <c r="M35" s="7" t="str">
        <f aca="false">IF($B35="","",INDEX(MASTER_DATABASE!$Q$4:$Q$1000,$B35)&amp;"")</f>
        <v>15–30 Minutes</v>
      </c>
      <c r="N35" s="7" t="str">
        <f aca="false">IF($B35="","",INDEX(MASTER_DATABASE!$AG$4:$AG$1000,$B35)&amp;"")</f>
        <v>To Verify</v>
      </c>
      <c r="O35" s="11" t="str">
        <f aca="false">IF($B35="","",INDEX(MASTER_DATABASE!$AH$4:$AH$1000,$B35)&amp;"")</f>
        <v>No</v>
      </c>
      <c r="P35" s="11" t="str">
        <f aca="false">IF($B35="","",INDEX(MASTER_DATABASE!$BE$4:$BE$1000,$B35)&amp;"")</f>
        <v>HIDDEN</v>
      </c>
      <c r="Q35" s="7" t="str">
        <f aca="false">IF($B35="","",INDEX(MASTER_DATABASE!$AV$4:$AV$1000,$B35)&amp;"")</f>
        <v>To Verify</v>
      </c>
    </row>
    <row r="36" customFormat="false" ht="15" hidden="false" customHeight="false" outlineLevel="0" collapsed="false">
      <c r="A36" s="11" t="n">
        <v>33</v>
      </c>
      <c r="B36" s="11" t="n">
        <f aca="false">IFERROR(MATCH("Aadhaar Centre|"&amp;$A36,MASTER_DATABASE!$BH$4:$BH$1000,0),"")</f>
        <v>33</v>
      </c>
      <c r="C36" s="11" t="str">
        <f aca="false">IF($B36="","",INDEX(MASTER_DATABASE!$A$4:$A$1000,$B36)&amp;"")</f>
        <v>AAD-033</v>
      </c>
      <c r="D36" s="7" t="str">
        <f aca="false">IF($B36="","",INDEX(MASTER_DATABASE!$D$4:$D$1000,$B36)&amp;"")</f>
        <v>Download, Print &amp; Status</v>
      </c>
      <c r="E36" s="7" t="str">
        <f aca="false">IF($B36="","",INDEX(MASTER_DATABASE!$E$4:$E$1000,$B36)&amp;"")</f>
        <v>Aadhaar Virtual ID (VID) Generation Assistance</v>
      </c>
      <c r="F36" s="7" t="str">
        <f aca="false">IF($B36="","",INDEX(MASTER_DATABASE!$F$4:$F$1000,$B36)&amp;"")</f>
        <v>आधार वर्चुअल ID (VID) निर्माण सहायता</v>
      </c>
      <c r="G36" s="11" t="str">
        <f aca="false">IF($B36="","",INDEX(MASTER_DATABASE!$I$4:$I$1000,$B36)&amp;"")</f>
        <v>Portal Dependent</v>
      </c>
      <c r="H36" s="7" t="str">
        <f aca="false">IF($B36="","",INDEX(MASTER_DATABASE!$L$4:$L$1000,$B36)&amp;"")</f>
        <v>Portal Dependent</v>
      </c>
      <c r="I36" s="9" t="str">
        <f aca="false">IF($B36="","",INDEX(MASTER_DATABASE!$R$4:$R$1000,$B36))</f>
        <v>To Verify</v>
      </c>
      <c r="J36" s="9" t="str">
        <f aca="false">IF($B36="","",INDEX(MASTER_DATABASE!$S$4:$S$1000,$B36))</f>
        <v>To Verify</v>
      </c>
      <c r="K36" s="9" t="str">
        <f aca="false">IF($B36="","",INDEX(MASTER_DATABASE!$T$4:$T$1000,$B36))</f>
        <v>To Verify</v>
      </c>
      <c r="L36" s="7" t="str">
        <f aca="false">IF($B36="","",INDEX(MASTER_DATABASE!$U$4:$U$1000,$B36)&amp;"")</f>
        <v>To Verify</v>
      </c>
      <c r="M36" s="7" t="str">
        <f aca="false">IF($B36="","",INDEX(MASTER_DATABASE!$Q$4:$Q$1000,$B36)&amp;"")</f>
        <v>15–30 Minutes</v>
      </c>
      <c r="N36" s="7" t="str">
        <f aca="false">IF($B36="","",INDEX(MASTER_DATABASE!$AG$4:$AG$1000,$B36)&amp;"")</f>
        <v>To Verify</v>
      </c>
      <c r="O36" s="11" t="str">
        <f aca="false">IF($B36="","",INDEX(MASTER_DATABASE!$AH$4:$AH$1000,$B36)&amp;"")</f>
        <v>No</v>
      </c>
      <c r="P36" s="11" t="str">
        <f aca="false">IF($B36="","",INDEX(MASTER_DATABASE!$BE$4:$BE$1000,$B36)&amp;"")</f>
        <v>HIDDEN</v>
      </c>
      <c r="Q36" s="7" t="str">
        <f aca="false">IF($B36="","",INDEX(MASTER_DATABASE!$AV$4:$AV$1000,$B36)&amp;"")</f>
        <v>To Verify</v>
      </c>
    </row>
    <row r="37" customFormat="false" ht="15" hidden="false" customHeight="false" outlineLevel="0" collapsed="false">
      <c r="A37" s="11" t="n">
        <v>34</v>
      </c>
      <c r="B37" s="11" t="n">
        <f aca="false">IFERROR(MATCH("Aadhaar Centre|"&amp;$A37,MASTER_DATABASE!$BH$4:$BH$1000,0),"")</f>
        <v>34</v>
      </c>
      <c r="C37" s="11" t="str">
        <f aca="false">IF($B37="","",INDEX(MASTER_DATABASE!$A$4:$A$1000,$B37)&amp;"")</f>
        <v>AAD-034</v>
      </c>
      <c r="D37" s="7" t="str">
        <f aca="false">IF($B37="","",INDEX(MASTER_DATABASE!$D$4:$D$1000,$B37)&amp;"")</f>
        <v>Download, Print &amp; Status</v>
      </c>
      <c r="E37" s="7" t="str">
        <f aca="false">IF($B37="","",INDEX(MASTER_DATABASE!$E$4:$E$1000,$B37)&amp;"")</f>
        <v>Aadhaar Lock / Unlock Assistance</v>
      </c>
      <c r="F37" s="7" t="str">
        <f aca="false">IF($B37="","",INDEX(MASTER_DATABASE!$F$4:$F$1000,$B37)&amp;"")</f>
        <v>आधार लॉक / अनलॉक सहायता</v>
      </c>
      <c r="G37" s="11" t="str">
        <f aca="false">IF($B37="","",INDEX(MASTER_DATABASE!$I$4:$I$1000,$B37)&amp;"")</f>
        <v>Portal Dependent</v>
      </c>
      <c r="H37" s="7" t="str">
        <f aca="false">IF($B37="","",INDEX(MASTER_DATABASE!$L$4:$L$1000,$B37)&amp;"")</f>
        <v>Portal Dependent</v>
      </c>
      <c r="I37" s="9" t="str">
        <f aca="false">IF($B37="","",INDEX(MASTER_DATABASE!$R$4:$R$1000,$B37))</f>
        <v>To Verify</v>
      </c>
      <c r="J37" s="9" t="str">
        <f aca="false">IF($B37="","",INDEX(MASTER_DATABASE!$S$4:$S$1000,$B37))</f>
        <v>To Verify</v>
      </c>
      <c r="K37" s="9" t="str">
        <f aca="false">IF($B37="","",INDEX(MASTER_DATABASE!$T$4:$T$1000,$B37))</f>
        <v>To Verify</v>
      </c>
      <c r="L37" s="7" t="str">
        <f aca="false">IF($B37="","",INDEX(MASTER_DATABASE!$U$4:$U$1000,$B37)&amp;"")</f>
        <v>To Verify</v>
      </c>
      <c r="M37" s="7" t="str">
        <f aca="false">IF($B37="","",INDEX(MASTER_DATABASE!$Q$4:$Q$1000,$B37)&amp;"")</f>
        <v>15–30 Minutes</v>
      </c>
      <c r="N37" s="7" t="str">
        <f aca="false">IF($B37="","",INDEX(MASTER_DATABASE!$AG$4:$AG$1000,$B37)&amp;"")</f>
        <v>To Verify</v>
      </c>
      <c r="O37" s="11" t="str">
        <f aca="false">IF($B37="","",INDEX(MASTER_DATABASE!$AH$4:$AH$1000,$B37)&amp;"")</f>
        <v>No</v>
      </c>
      <c r="P37" s="11" t="str">
        <f aca="false">IF($B37="","",INDEX(MASTER_DATABASE!$BE$4:$BE$1000,$B37)&amp;"")</f>
        <v>HIDDEN</v>
      </c>
      <c r="Q37" s="7" t="str">
        <f aca="false">IF($B37="","",INDEX(MASTER_DATABASE!$AV$4:$AV$1000,$B37)&amp;"")</f>
        <v>To Verify</v>
      </c>
    </row>
    <row r="38" customFormat="false" ht="15" hidden="false" customHeight="false" outlineLevel="0" collapsed="false">
      <c r="A38" s="11" t="n">
        <v>35</v>
      </c>
      <c r="B38" s="11" t="n">
        <f aca="false">IFERROR(MATCH("Aadhaar Centre|"&amp;$A38,MASTER_DATABASE!$BH$4:$BH$1000,0),"")</f>
        <v>35</v>
      </c>
      <c r="C38" s="11" t="str">
        <f aca="false">IF($B38="","",INDEX(MASTER_DATABASE!$A$4:$A$1000,$B38)&amp;"")</f>
        <v>AAD-035</v>
      </c>
      <c r="D38" s="7" t="str">
        <f aca="false">IF($B38="","",INDEX(MASTER_DATABASE!$D$4:$D$1000,$B38)&amp;"")</f>
        <v>Download, Print &amp; Status</v>
      </c>
      <c r="E38" s="7" t="str">
        <f aca="false">IF($B38="","",INDEX(MASTER_DATABASE!$E$4:$E$1000,$B38)&amp;"")</f>
        <v>Aadhaar Authentication History Check</v>
      </c>
      <c r="F38" s="7" t="str">
        <f aca="false">IF($B38="","",INDEX(MASTER_DATABASE!$F$4:$F$1000,$B38)&amp;"")</f>
        <v>आधार ऑथेंटिकेशन हिस्ट्री जाँच</v>
      </c>
      <c r="G38" s="11" t="str">
        <f aca="false">IF($B38="","",INDEX(MASTER_DATABASE!$I$4:$I$1000,$B38)&amp;"")</f>
        <v>Portal Dependent</v>
      </c>
      <c r="H38" s="7" t="str">
        <f aca="false">IF($B38="","",INDEX(MASTER_DATABASE!$L$4:$L$1000,$B38)&amp;"")</f>
        <v>Portal Dependent</v>
      </c>
      <c r="I38" s="9" t="str">
        <f aca="false">IF($B38="","",INDEX(MASTER_DATABASE!$R$4:$R$1000,$B38))</f>
        <v>To Verify</v>
      </c>
      <c r="J38" s="9" t="str">
        <f aca="false">IF($B38="","",INDEX(MASTER_DATABASE!$S$4:$S$1000,$B38))</f>
        <v>To Verify</v>
      </c>
      <c r="K38" s="9" t="str">
        <f aca="false">IF($B38="","",INDEX(MASTER_DATABASE!$T$4:$T$1000,$B38))</f>
        <v>To Verify</v>
      </c>
      <c r="L38" s="7" t="str">
        <f aca="false">IF($B38="","",INDEX(MASTER_DATABASE!$U$4:$U$1000,$B38)&amp;"")</f>
        <v>To Verify</v>
      </c>
      <c r="M38" s="7" t="str">
        <f aca="false">IF($B38="","",INDEX(MASTER_DATABASE!$Q$4:$Q$1000,$B38)&amp;"")</f>
        <v>15–30 Minutes</v>
      </c>
      <c r="N38" s="7" t="str">
        <f aca="false">IF($B38="","",INDEX(MASTER_DATABASE!$AG$4:$AG$1000,$B38)&amp;"")</f>
        <v>To Verify</v>
      </c>
      <c r="O38" s="11" t="str">
        <f aca="false">IF($B38="","",INDEX(MASTER_DATABASE!$AH$4:$AH$1000,$B38)&amp;"")</f>
        <v>No</v>
      </c>
      <c r="P38" s="11" t="str">
        <f aca="false">IF($B38="","",INDEX(MASTER_DATABASE!$BE$4:$BE$1000,$B38)&amp;"")</f>
        <v>HIDDEN</v>
      </c>
      <c r="Q38" s="7" t="str">
        <f aca="false">IF($B38="","",INDEX(MASTER_DATABASE!$AV$4:$AV$1000,$B38)&amp;"")</f>
        <v>To Verify</v>
      </c>
    </row>
    <row r="39" customFormat="false" ht="15" hidden="false" customHeight="false" outlineLevel="0" collapsed="false">
      <c r="A39" s="11" t="n">
        <v>36</v>
      </c>
      <c r="B39" s="11" t="n">
        <f aca="false">IFERROR(MATCH("Aadhaar Centre|"&amp;$A39,MASTER_DATABASE!$BH$4:$BH$1000,0),"")</f>
        <v>36</v>
      </c>
      <c r="C39" s="11" t="str">
        <f aca="false">IF($B39="","",INDEX(MASTER_DATABASE!$A$4:$A$1000,$B39)&amp;"")</f>
        <v>AAD-036</v>
      </c>
      <c r="D39" s="7" t="str">
        <f aca="false">IF($B39="","",INDEX(MASTER_DATABASE!$D$4:$D$1000,$B39)&amp;"")</f>
        <v>Download, Print &amp; Status</v>
      </c>
      <c r="E39" s="7" t="str">
        <f aca="false">IF($B39="","",INDEX(MASTER_DATABASE!$E$4:$E$1000,$B39)&amp;"")</f>
        <v>Aadhaar Mobile / Email Link Check</v>
      </c>
      <c r="F39" s="7" t="str">
        <f aca="false">IF($B39="","",INDEX(MASTER_DATABASE!$F$4:$F$1000,$B39)&amp;"")</f>
        <v>आधार मोबाइल / ईमेल लिंक जाँच</v>
      </c>
      <c r="G39" s="11" t="str">
        <f aca="false">IF($B39="","",INDEX(MASTER_DATABASE!$I$4:$I$1000,$B39)&amp;"")</f>
        <v>Portal Dependent</v>
      </c>
      <c r="H39" s="7" t="str">
        <f aca="false">IF($B39="","",INDEX(MASTER_DATABASE!$L$4:$L$1000,$B39)&amp;"")</f>
        <v>Portal Dependent</v>
      </c>
      <c r="I39" s="9" t="str">
        <f aca="false">IF($B39="","",INDEX(MASTER_DATABASE!$R$4:$R$1000,$B39))</f>
        <v>To Verify</v>
      </c>
      <c r="J39" s="9" t="str">
        <f aca="false">IF($B39="","",INDEX(MASTER_DATABASE!$S$4:$S$1000,$B39))</f>
        <v>To Verify</v>
      </c>
      <c r="K39" s="9" t="str">
        <f aca="false">IF($B39="","",INDEX(MASTER_DATABASE!$T$4:$T$1000,$B39))</f>
        <v>To Verify</v>
      </c>
      <c r="L39" s="7" t="str">
        <f aca="false">IF($B39="","",INDEX(MASTER_DATABASE!$U$4:$U$1000,$B39)&amp;"")</f>
        <v>To Verify</v>
      </c>
      <c r="M39" s="7" t="str">
        <f aca="false">IF($B39="","",INDEX(MASTER_DATABASE!$Q$4:$Q$1000,$B39)&amp;"")</f>
        <v>15–30 Minutes</v>
      </c>
      <c r="N39" s="7" t="str">
        <f aca="false">IF($B39="","",INDEX(MASTER_DATABASE!$AG$4:$AG$1000,$B39)&amp;"")</f>
        <v>To Verify</v>
      </c>
      <c r="O39" s="11" t="str">
        <f aca="false">IF($B39="","",INDEX(MASTER_DATABASE!$AH$4:$AH$1000,$B39)&amp;"")</f>
        <v>No</v>
      </c>
      <c r="P39" s="11" t="str">
        <f aca="false">IF($B39="","",INDEX(MASTER_DATABASE!$BE$4:$BE$1000,$B39)&amp;"")</f>
        <v>HIDDEN</v>
      </c>
      <c r="Q39" s="7" t="str">
        <f aca="false">IF($B39="","",INDEX(MASTER_DATABASE!$AV$4:$AV$1000,$B39)&amp;"")</f>
        <v>To Verify</v>
      </c>
    </row>
    <row r="40" customFormat="false" ht="15" hidden="false" customHeight="false" outlineLevel="0" collapsed="false">
      <c r="A40" s="11" t="n">
        <v>37</v>
      </c>
      <c r="B40" s="11" t="n">
        <f aca="false">IFERROR(MATCH("Aadhaar Centre|"&amp;$A40,MASTER_DATABASE!$BH$4:$BH$1000,0),"")</f>
        <v>37</v>
      </c>
      <c r="C40" s="11" t="str">
        <f aca="false">IF($B40="","",INDEX(MASTER_DATABASE!$A$4:$A$1000,$B40)&amp;"")</f>
        <v>AAD-037</v>
      </c>
      <c r="D40" s="7" t="str">
        <f aca="false">IF($B40="","",INDEX(MASTER_DATABASE!$D$4:$D$1000,$B40)&amp;"")</f>
        <v>Download, Print &amp; Status</v>
      </c>
      <c r="E40" s="7" t="str">
        <f aca="false">IF($B40="","",INDEX(MASTER_DATABASE!$E$4:$E$1000,$B40)&amp;"")</f>
        <v>Aadhaar Number Verification</v>
      </c>
      <c r="F40" s="7" t="str">
        <f aca="false">IF($B40="","",INDEX(MASTER_DATABASE!$F$4:$F$1000,$B40)&amp;"")</f>
        <v>आधार नंबर सत्यापन</v>
      </c>
      <c r="G40" s="11" t="str">
        <f aca="false">IF($B40="","",INDEX(MASTER_DATABASE!$I$4:$I$1000,$B40)&amp;"")</f>
        <v>Portal Dependent</v>
      </c>
      <c r="H40" s="7" t="str">
        <f aca="false">IF($B40="","",INDEX(MASTER_DATABASE!$L$4:$L$1000,$B40)&amp;"")</f>
        <v>Portal Dependent</v>
      </c>
      <c r="I40" s="9" t="str">
        <f aca="false">IF($B40="","",INDEX(MASTER_DATABASE!$R$4:$R$1000,$B40))</f>
        <v>To Verify</v>
      </c>
      <c r="J40" s="9" t="str">
        <f aca="false">IF($B40="","",INDEX(MASTER_DATABASE!$S$4:$S$1000,$B40))</f>
        <v>To Verify</v>
      </c>
      <c r="K40" s="9" t="str">
        <f aca="false">IF($B40="","",INDEX(MASTER_DATABASE!$T$4:$T$1000,$B40))</f>
        <v>To Verify</v>
      </c>
      <c r="L40" s="7" t="str">
        <f aca="false">IF($B40="","",INDEX(MASTER_DATABASE!$U$4:$U$1000,$B40)&amp;"")</f>
        <v>To Verify</v>
      </c>
      <c r="M40" s="7" t="str">
        <f aca="false">IF($B40="","",INDEX(MASTER_DATABASE!$Q$4:$Q$1000,$B40)&amp;"")</f>
        <v>15–30 Minutes</v>
      </c>
      <c r="N40" s="7" t="str">
        <f aca="false">IF($B40="","",INDEX(MASTER_DATABASE!$AG$4:$AG$1000,$B40)&amp;"")</f>
        <v>To Verify</v>
      </c>
      <c r="O40" s="11" t="str">
        <f aca="false">IF($B40="","",INDEX(MASTER_DATABASE!$AH$4:$AH$1000,$B40)&amp;"")</f>
        <v>No</v>
      </c>
      <c r="P40" s="11" t="str">
        <f aca="false">IF($B40="","",INDEX(MASTER_DATABASE!$BE$4:$BE$1000,$B40)&amp;"")</f>
        <v>HIDDEN</v>
      </c>
      <c r="Q40" s="7" t="str">
        <f aca="false">IF($B40="","",INDEX(MASTER_DATABASE!$AV$4:$AV$1000,$B40)&amp;"")</f>
        <v>To Verify</v>
      </c>
    </row>
    <row r="41" customFormat="false" ht="23.85" hidden="false" customHeight="false" outlineLevel="0" collapsed="false">
      <c r="A41" s="11" t="n">
        <v>38</v>
      </c>
      <c r="B41" s="11" t="n">
        <f aca="false">IFERROR(MATCH("Aadhaar Centre|"&amp;$A41,MASTER_DATABASE!$BH$4:$BH$1000,0),"")</f>
        <v>38</v>
      </c>
      <c r="C41" s="11" t="str">
        <f aca="false">IF($B41="","",INDEX(MASTER_DATABASE!$A$4:$A$1000,$B41)&amp;"")</f>
        <v>AAD-038</v>
      </c>
      <c r="D41" s="7" t="str">
        <f aca="false">IF($B41="","",INDEX(MASTER_DATABASE!$D$4:$D$1000,$B41)&amp;"")</f>
        <v>Download, Print &amp; Status</v>
      </c>
      <c r="E41" s="7" t="str">
        <f aca="false">IF($B41="","",INDEX(MASTER_DATABASE!$E$4:$E$1000,$B41)&amp;"")</f>
        <v>Aadhaar Offline eKYC (XML / QR) Download Assistance</v>
      </c>
      <c r="F41" s="7" t="str">
        <f aca="false">IF($B41="","",INDEX(MASTER_DATABASE!$F$4:$F$1000,$B41)&amp;"")</f>
        <v>आधार Offline eKYC (XML / QR) डाउनलोड सहायता</v>
      </c>
      <c r="G41" s="11" t="str">
        <f aca="false">IF($B41="","",INDEX(MASTER_DATABASE!$I$4:$I$1000,$B41)&amp;"")</f>
        <v>Portal Dependent</v>
      </c>
      <c r="H41" s="7" t="str">
        <f aca="false">IF($B41="","",INDEX(MASTER_DATABASE!$L$4:$L$1000,$B41)&amp;"")</f>
        <v>Portal Dependent</v>
      </c>
      <c r="I41" s="9" t="str">
        <f aca="false">IF($B41="","",INDEX(MASTER_DATABASE!$R$4:$R$1000,$B41))</f>
        <v>To Verify</v>
      </c>
      <c r="J41" s="9" t="str">
        <f aca="false">IF($B41="","",INDEX(MASTER_DATABASE!$S$4:$S$1000,$B41))</f>
        <v>To Verify</v>
      </c>
      <c r="K41" s="9" t="str">
        <f aca="false">IF($B41="","",INDEX(MASTER_DATABASE!$T$4:$T$1000,$B41))</f>
        <v>To Verify</v>
      </c>
      <c r="L41" s="7" t="str">
        <f aca="false">IF($B41="","",INDEX(MASTER_DATABASE!$U$4:$U$1000,$B41)&amp;"")</f>
        <v>To Verify</v>
      </c>
      <c r="M41" s="7" t="str">
        <f aca="false">IF($B41="","",INDEX(MASTER_DATABASE!$Q$4:$Q$1000,$B41)&amp;"")</f>
        <v>15–30 Minutes</v>
      </c>
      <c r="N41" s="7" t="str">
        <f aca="false">IF($B41="","",INDEX(MASTER_DATABASE!$AG$4:$AG$1000,$B41)&amp;"")</f>
        <v>To Verify</v>
      </c>
      <c r="O41" s="11" t="str">
        <f aca="false">IF($B41="","",INDEX(MASTER_DATABASE!$AH$4:$AH$1000,$B41)&amp;"")</f>
        <v>No</v>
      </c>
      <c r="P41" s="11" t="str">
        <f aca="false">IF($B41="","",INDEX(MASTER_DATABASE!$BE$4:$BE$1000,$B41)&amp;"")</f>
        <v>HIDDEN</v>
      </c>
      <c r="Q41" s="7" t="str">
        <f aca="false">IF($B41="","",INDEX(MASTER_DATABASE!$AV$4:$AV$1000,$B41)&amp;"")</f>
        <v>To Verify</v>
      </c>
    </row>
    <row r="42" customFormat="false" ht="15" hidden="false" customHeight="false" outlineLevel="0" collapsed="false">
      <c r="A42" s="11" t="n">
        <v>39</v>
      </c>
      <c r="B42" s="11" t="n">
        <f aca="false">IFERROR(MATCH("Aadhaar Centre|"&amp;$A42,MASTER_DATABASE!$BH$4:$BH$1000,0),"")</f>
        <v>39</v>
      </c>
      <c r="C42" s="11" t="str">
        <f aca="false">IF($B42="","",INDEX(MASTER_DATABASE!$A$4:$A$1000,$B42)&amp;"")</f>
        <v>AAD-039</v>
      </c>
      <c r="D42" s="7" t="str">
        <f aca="false">IF($B42="","",INDEX(MASTER_DATABASE!$D$4:$D$1000,$B42)&amp;"")</f>
        <v>Download, Print &amp; Status</v>
      </c>
      <c r="E42" s="7" t="str">
        <f aca="false">IF($B42="","",INDEX(MASTER_DATABASE!$E$4:$E$1000,$B42)&amp;"")</f>
        <v>Aadhaar–Bank Seeding Status Check (NPCI)</v>
      </c>
      <c r="F42" s="7" t="str">
        <f aca="false">IF($B42="","",INDEX(MASTER_DATABASE!$F$4:$F$1000,$B42)&amp;"")</f>
        <v>आधार–बैंक सीडिंग स्थिति जाँच (NPCI)</v>
      </c>
      <c r="G42" s="11" t="str">
        <f aca="false">IF($B42="","",INDEX(MASTER_DATABASE!$I$4:$I$1000,$B42)&amp;"")</f>
        <v>Portal Dependent</v>
      </c>
      <c r="H42" s="7" t="str">
        <f aca="false">IF($B42="","",INDEX(MASTER_DATABASE!$L$4:$L$1000,$B42)&amp;"")</f>
        <v>Portal Dependent</v>
      </c>
      <c r="I42" s="9" t="str">
        <f aca="false">IF($B42="","",INDEX(MASTER_DATABASE!$R$4:$R$1000,$B42))</f>
        <v>To Verify</v>
      </c>
      <c r="J42" s="9" t="str">
        <f aca="false">IF($B42="","",INDEX(MASTER_DATABASE!$S$4:$S$1000,$B42))</f>
        <v>To Verify</v>
      </c>
      <c r="K42" s="9" t="str">
        <f aca="false">IF($B42="","",INDEX(MASTER_DATABASE!$T$4:$T$1000,$B42))</f>
        <v>To Verify</v>
      </c>
      <c r="L42" s="7" t="str">
        <f aca="false">IF($B42="","",INDEX(MASTER_DATABASE!$U$4:$U$1000,$B42)&amp;"")</f>
        <v>To Verify</v>
      </c>
      <c r="M42" s="7" t="str">
        <f aca="false">IF($B42="","",INDEX(MASTER_DATABASE!$Q$4:$Q$1000,$B42)&amp;"")</f>
        <v>5–10 Minutes</v>
      </c>
      <c r="N42" s="7" t="str">
        <f aca="false">IF($B42="","",INDEX(MASTER_DATABASE!$AG$4:$AG$1000,$B42)&amp;"")</f>
        <v>To Verify</v>
      </c>
      <c r="O42" s="11" t="str">
        <f aca="false">IF($B42="","",INDEX(MASTER_DATABASE!$AH$4:$AH$1000,$B42)&amp;"")</f>
        <v>No</v>
      </c>
      <c r="P42" s="11" t="str">
        <f aca="false">IF($B42="","",INDEX(MASTER_DATABASE!$BE$4:$BE$1000,$B42)&amp;"")</f>
        <v>HIDDEN</v>
      </c>
      <c r="Q42" s="7" t="str">
        <f aca="false">IF($B42="","",INDEX(MASTER_DATABASE!$AV$4:$AV$1000,$B42)&amp;"")</f>
        <v>To Verify</v>
      </c>
    </row>
    <row r="43" customFormat="false" ht="23.85" hidden="false" customHeight="false" outlineLevel="0" collapsed="false">
      <c r="A43" s="11" t="n">
        <v>40</v>
      </c>
      <c r="B43" s="11" t="n">
        <f aca="false">IFERROR(MATCH("Aadhaar Centre|"&amp;$A43,MASTER_DATABASE!$BH$4:$BH$1000,0),"")</f>
        <v>40</v>
      </c>
      <c r="C43" s="11" t="str">
        <f aca="false">IF($B43="","",INDEX(MASTER_DATABASE!$A$4:$A$1000,$B43)&amp;"")</f>
        <v>AAD-040</v>
      </c>
      <c r="D43" s="7" t="str">
        <f aca="false">IF($B43="","",INDEX(MASTER_DATABASE!$D$4:$D$1000,$B43)&amp;"")</f>
        <v>Download, Print &amp; Status</v>
      </c>
      <c r="E43" s="7" t="str">
        <f aca="false">IF($B43="","",INDEX(MASTER_DATABASE!$E$4:$E$1000,$B43)&amp;"")</f>
        <v>Aadhaar Update Appointment Booking Assistance</v>
      </c>
      <c r="F43" s="7" t="str">
        <f aca="false">IF($B43="","",INDEX(MASTER_DATABASE!$F$4:$F$1000,$B43)&amp;"")</f>
        <v>आधार अपडेट अपॉइंटमेंट बुकिंग सहायता</v>
      </c>
      <c r="G43" s="11" t="str">
        <f aca="false">IF($B43="","",INDEX(MASTER_DATABASE!$I$4:$I$1000,$B43)&amp;"")</f>
        <v>Portal Dependent</v>
      </c>
      <c r="H43" s="7" t="str">
        <f aca="false">IF($B43="","",INDEX(MASTER_DATABASE!$L$4:$L$1000,$B43)&amp;"")</f>
        <v>Portal Dependent</v>
      </c>
      <c r="I43" s="9" t="str">
        <f aca="false">IF($B43="","",INDEX(MASTER_DATABASE!$R$4:$R$1000,$B43))</f>
        <v>To Verify</v>
      </c>
      <c r="J43" s="9" t="str">
        <f aca="false">IF($B43="","",INDEX(MASTER_DATABASE!$S$4:$S$1000,$B43))</f>
        <v>To Verify</v>
      </c>
      <c r="K43" s="9" t="str">
        <f aca="false">IF($B43="","",INDEX(MASTER_DATABASE!$T$4:$T$1000,$B43))</f>
        <v>To Verify</v>
      </c>
      <c r="L43" s="7" t="str">
        <f aca="false">IF($B43="","",INDEX(MASTER_DATABASE!$U$4:$U$1000,$B43)&amp;"")</f>
        <v>To Verify</v>
      </c>
      <c r="M43" s="7" t="str">
        <f aca="false">IF($B43="","",INDEX(MASTER_DATABASE!$Q$4:$Q$1000,$B43)&amp;"")</f>
        <v>15–30 Minutes</v>
      </c>
      <c r="N43" s="7" t="str">
        <f aca="false">IF($B43="","",INDEX(MASTER_DATABASE!$AG$4:$AG$1000,$B43)&amp;"")</f>
        <v>To Verify</v>
      </c>
      <c r="O43" s="11" t="str">
        <f aca="false">IF($B43="","",INDEX(MASTER_DATABASE!$AH$4:$AH$1000,$B43)&amp;"")</f>
        <v>No</v>
      </c>
      <c r="P43" s="11" t="str">
        <f aca="false">IF($B43="","",INDEX(MASTER_DATABASE!$BE$4:$BE$1000,$B43)&amp;"")</f>
        <v>HIDDEN</v>
      </c>
      <c r="Q43" s="7" t="str">
        <f aca="false">IF($B43="","",INDEX(MASTER_DATABASE!$AV$4:$AV$1000,$B43)&amp;"")</f>
        <v>To Verify</v>
      </c>
    </row>
    <row r="44" customFormat="false" ht="15" hidden="false" customHeight="false" outlineLevel="0" collapsed="false">
      <c r="A44" s="11" t="n">
        <v>41</v>
      </c>
      <c r="B44" s="11" t="n">
        <f aca="false">IFERROR(MATCH("Aadhaar Centre|"&amp;$A44,MASTER_DATABASE!$BH$4:$BH$1000,0),"")</f>
        <v>41</v>
      </c>
      <c r="C44" s="11" t="str">
        <f aca="false">IF($B44="","",INDEX(MASTER_DATABASE!$A$4:$A$1000,$B44)&amp;"")</f>
        <v>AAD-041</v>
      </c>
      <c r="D44" s="7" t="str">
        <f aca="false">IF($B44="","",INDEX(MASTER_DATABASE!$D$4:$D$1000,$B44)&amp;"")</f>
        <v>Download, Print &amp; Status</v>
      </c>
      <c r="E44" s="7" t="str">
        <f aca="false">IF($B44="","",INDEX(MASTER_DATABASE!$E$4:$E$1000,$B44)&amp;"")</f>
        <v>mAadhaar App Setup Assistance</v>
      </c>
      <c r="F44" s="7" t="str">
        <f aca="false">IF($B44="","",INDEX(MASTER_DATABASE!$F$4:$F$1000,$B44)&amp;"")</f>
        <v>mAadhaar ऐप सेटअप सहायता</v>
      </c>
      <c r="G44" s="11" t="str">
        <f aca="false">IF($B44="","",INDEX(MASTER_DATABASE!$I$4:$I$1000,$B44)&amp;"")</f>
        <v>Portal Dependent</v>
      </c>
      <c r="H44" s="7" t="str">
        <f aca="false">IF($B44="","",INDEX(MASTER_DATABASE!$L$4:$L$1000,$B44)&amp;"")</f>
        <v>Portal Dependent</v>
      </c>
      <c r="I44" s="9" t="str">
        <f aca="false">IF($B44="","",INDEX(MASTER_DATABASE!$R$4:$R$1000,$B44))</f>
        <v>To Verify</v>
      </c>
      <c r="J44" s="9" t="str">
        <f aca="false">IF($B44="","",INDEX(MASTER_DATABASE!$S$4:$S$1000,$B44))</f>
        <v>To Verify</v>
      </c>
      <c r="K44" s="9" t="str">
        <f aca="false">IF($B44="","",INDEX(MASTER_DATABASE!$T$4:$T$1000,$B44))</f>
        <v>To Verify</v>
      </c>
      <c r="L44" s="7" t="str">
        <f aca="false">IF($B44="","",INDEX(MASTER_DATABASE!$U$4:$U$1000,$B44)&amp;"")</f>
        <v>To Verify</v>
      </c>
      <c r="M44" s="7" t="str">
        <f aca="false">IF($B44="","",INDEX(MASTER_DATABASE!$Q$4:$Q$1000,$B44)&amp;"")</f>
        <v>15–30 Minutes</v>
      </c>
      <c r="N44" s="7" t="str">
        <f aca="false">IF($B44="","",INDEX(MASTER_DATABASE!$AG$4:$AG$1000,$B44)&amp;"")</f>
        <v>To Verify</v>
      </c>
      <c r="O44" s="11" t="str">
        <f aca="false">IF($B44="","",INDEX(MASTER_DATABASE!$AH$4:$AH$1000,$B44)&amp;"")</f>
        <v>No</v>
      </c>
      <c r="P44" s="11" t="str">
        <f aca="false">IF($B44="","",INDEX(MASTER_DATABASE!$BE$4:$BE$1000,$B44)&amp;"")</f>
        <v>HIDDEN</v>
      </c>
      <c r="Q44" s="7" t="str">
        <f aca="false">IF($B44="","",INDEX(MASTER_DATABASE!$AV$4:$AV$1000,$B44)&amp;"")</f>
        <v>To Verify</v>
      </c>
    </row>
    <row r="45" customFormat="false" ht="15" hidden="false" customHeight="false" outlineLevel="0" collapsed="false">
      <c r="A45" s="11" t="n">
        <v>42</v>
      </c>
      <c r="B45" s="11" t="n">
        <f aca="false">IFERROR(MATCH("Aadhaar Centre|"&amp;$A45,MASTER_DATABASE!$BH$4:$BH$1000,0),"")</f>
        <v>42</v>
      </c>
      <c r="C45" s="11" t="str">
        <f aca="false">IF($B45="","",INDEX(MASTER_DATABASE!$A$4:$A$1000,$B45)&amp;"")</f>
        <v>AAD-042</v>
      </c>
      <c r="D45" s="7" t="str">
        <f aca="false">IF($B45="","",INDEX(MASTER_DATABASE!$D$4:$D$1000,$B45)&amp;"")</f>
        <v>Download, Print &amp; Status</v>
      </c>
      <c r="E45" s="7" t="str">
        <f aca="false">IF($B45="","",INDEX(MASTER_DATABASE!$E$4:$E$1000,$B45)&amp;"")</f>
        <v>Aadhaar Complaint / Grievance Filing Assistance</v>
      </c>
      <c r="F45" s="7" t="str">
        <f aca="false">IF($B45="","",INDEX(MASTER_DATABASE!$F$4:$F$1000,$B45)&amp;"")</f>
        <v>आधार शिकायत दर्ज करने में सहायता</v>
      </c>
      <c r="G45" s="11" t="str">
        <f aca="false">IF($B45="","",INDEX(MASTER_DATABASE!$I$4:$I$1000,$B45)&amp;"")</f>
        <v>Portal Dependent</v>
      </c>
      <c r="H45" s="7" t="str">
        <f aca="false">IF($B45="","",INDEX(MASTER_DATABASE!$L$4:$L$1000,$B45)&amp;"")</f>
        <v>Portal Dependent</v>
      </c>
      <c r="I45" s="9" t="str">
        <f aca="false">IF($B45="","",INDEX(MASTER_DATABASE!$R$4:$R$1000,$B45))</f>
        <v>To Verify</v>
      </c>
      <c r="J45" s="9" t="str">
        <f aca="false">IF($B45="","",INDEX(MASTER_DATABASE!$S$4:$S$1000,$B45))</f>
        <v>To Verify</v>
      </c>
      <c r="K45" s="9" t="str">
        <f aca="false">IF($B45="","",INDEX(MASTER_DATABASE!$T$4:$T$1000,$B45))</f>
        <v>To Verify</v>
      </c>
      <c r="L45" s="7" t="str">
        <f aca="false">IF($B45="","",INDEX(MASTER_DATABASE!$U$4:$U$1000,$B45)&amp;"")</f>
        <v>To Verify</v>
      </c>
      <c r="M45" s="7" t="str">
        <f aca="false">IF($B45="","",INDEX(MASTER_DATABASE!$Q$4:$Q$1000,$B45)&amp;"")</f>
        <v>15–30 Minutes</v>
      </c>
      <c r="N45" s="7" t="str">
        <f aca="false">IF($B45="","",INDEX(MASTER_DATABASE!$AG$4:$AG$1000,$B45)&amp;"")</f>
        <v>To Verify</v>
      </c>
      <c r="O45" s="11" t="str">
        <f aca="false">IF($B45="","",INDEX(MASTER_DATABASE!$AH$4:$AH$1000,$B45)&amp;"")</f>
        <v>No</v>
      </c>
      <c r="P45" s="11" t="str">
        <f aca="false">IF($B45="","",INDEX(MASTER_DATABASE!$BE$4:$BE$1000,$B45)&amp;"")</f>
        <v>HIDDEN</v>
      </c>
      <c r="Q45" s="7" t="str">
        <f aca="false">IF($B45="","",INDEX(MASTER_DATABASE!$AV$4:$AV$1000,$B45)&amp;"")</f>
        <v>To Verify</v>
      </c>
    </row>
    <row r="46" customFormat="false" ht="15" hidden="false" customHeight="false" outlineLevel="0" collapsed="false">
      <c r="A46" s="11" t="n">
        <v>43</v>
      </c>
      <c r="B46" s="11" t="str">
        <f aca="false">IFERROR(MATCH("Aadhaar Centre|"&amp;$A46,MASTER_DATABASE!$BH$4:$BH$1000,0),"")</f>
        <v/>
      </c>
      <c r="C46" s="11" t="str">
        <f aca="false">IF($B46="","",INDEX(MASTER_DATABASE!$A$4:$A$1000,$B46)&amp;"")</f>
        <v/>
      </c>
      <c r="D46" s="7" t="str">
        <f aca="false">IF($B46="","",INDEX(MASTER_DATABASE!$D$4:$D$1000,$B46)&amp;"")</f>
        <v/>
      </c>
      <c r="E46" s="7" t="str">
        <f aca="false">IF($B46="","",INDEX(MASTER_DATABASE!$E$4:$E$1000,$B46)&amp;"")</f>
        <v/>
      </c>
      <c r="F46" s="7" t="str">
        <f aca="false">IF($B46="","",INDEX(MASTER_DATABASE!$F$4:$F$1000,$B46)&amp;"")</f>
        <v/>
      </c>
      <c r="G46" s="11" t="str">
        <f aca="false">IF($B46="","",INDEX(MASTER_DATABASE!$I$4:$I$1000,$B46)&amp;"")</f>
        <v/>
      </c>
      <c r="H46" s="7" t="str">
        <f aca="false">IF($B46="","",INDEX(MASTER_DATABASE!$L$4:$L$1000,$B46)&amp;"")</f>
        <v/>
      </c>
      <c r="I46" s="9" t="str">
        <f aca="false">IF($B46="","",INDEX(MASTER_DATABASE!$R$4:$R$1000,$B46))</f>
        <v/>
      </c>
      <c r="J46" s="9" t="str">
        <f aca="false">IF($B46="","",INDEX(MASTER_DATABASE!$S$4:$S$1000,$B46))</f>
        <v/>
      </c>
      <c r="K46" s="9" t="str">
        <f aca="false">IF($B46="","",INDEX(MASTER_DATABASE!$T$4:$T$1000,$B46))</f>
        <v/>
      </c>
      <c r="L46" s="7" t="str">
        <f aca="false">IF($B46="","",INDEX(MASTER_DATABASE!$U$4:$U$1000,$B46)&amp;"")</f>
        <v/>
      </c>
      <c r="M46" s="7" t="str">
        <f aca="false">IF($B46="","",INDEX(MASTER_DATABASE!$Q$4:$Q$1000,$B46)&amp;"")</f>
        <v/>
      </c>
      <c r="N46" s="7" t="str">
        <f aca="false">IF($B46="","",INDEX(MASTER_DATABASE!$AG$4:$AG$1000,$B46)&amp;"")</f>
        <v/>
      </c>
      <c r="O46" s="11" t="str">
        <f aca="false">IF($B46="","",INDEX(MASTER_DATABASE!$AH$4:$AH$1000,$B46)&amp;"")</f>
        <v/>
      </c>
      <c r="P46" s="11" t="str">
        <f aca="false">IF($B46="","",INDEX(MASTER_DATABASE!$BE$4:$BE$1000,$B46)&amp;"")</f>
        <v/>
      </c>
      <c r="Q46" s="7" t="str">
        <f aca="false">IF($B46="","",INDEX(MASTER_DATABASE!$AV$4:$AV$1000,$B46)&amp;"")</f>
        <v/>
      </c>
    </row>
    <row r="47" customFormat="false" ht="15" hidden="false" customHeight="false" outlineLevel="0" collapsed="false">
      <c r="A47" s="11" t="n">
        <v>44</v>
      </c>
      <c r="B47" s="11" t="str">
        <f aca="false">IFERROR(MATCH("Aadhaar Centre|"&amp;$A47,MASTER_DATABASE!$BH$4:$BH$1000,0),"")</f>
        <v/>
      </c>
      <c r="C47" s="11" t="str">
        <f aca="false">IF($B47="","",INDEX(MASTER_DATABASE!$A$4:$A$1000,$B47)&amp;"")</f>
        <v/>
      </c>
      <c r="D47" s="7" t="str">
        <f aca="false">IF($B47="","",INDEX(MASTER_DATABASE!$D$4:$D$1000,$B47)&amp;"")</f>
        <v/>
      </c>
      <c r="E47" s="7" t="str">
        <f aca="false">IF($B47="","",INDEX(MASTER_DATABASE!$E$4:$E$1000,$B47)&amp;"")</f>
        <v/>
      </c>
      <c r="F47" s="7" t="str">
        <f aca="false">IF($B47="","",INDEX(MASTER_DATABASE!$F$4:$F$1000,$B47)&amp;"")</f>
        <v/>
      </c>
      <c r="G47" s="11" t="str">
        <f aca="false">IF($B47="","",INDEX(MASTER_DATABASE!$I$4:$I$1000,$B47)&amp;"")</f>
        <v/>
      </c>
      <c r="H47" s="7" t="str">
        <f aca="false">IF($B47="","",INDEX(MASTER_DATABASE!$L$4:$L$1000,$B47)&amp;"")</f>
        <v/>
      </c>
      <c r="I47" s="9" t="str">
        <f aca="false">IF($B47="","",INDEX(MASTER_DATABASE!$R$4:$R$1000,$B47))</f>
        <v/>
      </c>
      <c r="J47" s="9" t="str">
        <f aca="false">IF($B47="","",INDEX(MASTER_DATABASE!$S$4:$S$1000,$B47))</f>
        <v/>
      </c>
      <c r="K47" s="9" t="str">
        <f aca="false">IF($B47="","",INDEX(MASTER_DATABASE!$T$4:$T$1000,$B47))</f>
        <v/>
      </c>
      <c r="L47" s="7" t="str">
        <f aca="false">IF($B47="","",INDEX(MASTER_DATABASE!$U$4:$U$1000,$B47)&amp;"")</f>
        <v/>
      </c>
      <c r="M47" s="7" t="str">
        <f aca="false">IF($B47="","",INDEX(MASTER_DATABASE!$Q$4:$Q$1000,$B47)&amp;"")</f>
        <v/>
      </c>
      <c r="N47" s="7" t="str">
        <f aca="false">IF($B47="","",INDEX(MASTER_DATABASE!$AG$4:$AG$1000,$B47)&amp;"")</f>
        <v/>
      </c>
      <c r="O47" s="11" t="str">
        <f aca="false">IF($B47="","",INDEX(MASTER_DATABASE!$AH$4:$AH$1000,$B47)&amp;"")</f>
        <v/>
      </c>
      <c r="P47" s="11" t="str">
        <f aca="false">IF($B47="","",INDEX(MASTER_DATABASE!$BE$4:$BE$1000,$B47)&amp;"")</f>
        <v/>
      </c>
      <c r="Q47" s="7" t="str">
        <f aca="false">IF($B47="","",INDEX(MASTER_DATABASE!$AV$4:$AV$1000,$B47)&amp;"")</f>
        <v/>
      </c>
    </row>
    <row r="48" customFormat="false" ht="15" hidden="false" customHeight="false" outlineLevel="0" collapsed="false">
      <c r="A48" s="11" t="n">
        <v>45</v>
      </c>
      <c r="B48" s="11" t="str">
        <f aca="false">IFERROR(MATCH("Aadhaar Centre|"&amp;$A48,MASTER_DATABASE!$BH$4:$BH$1000,0),"")</f>
        <v/>
      </c>
      <c r="C48" s="11" t="str">
        <f aca="false">IF($B48="","",INDEX(MASTER_DATABASE!$A$4:$A$1000,$B48)&amp;"")</f>
        <v/>
      </c>
      <c r="D48" s="7" t="str">
        <f aca="false">IF($B48="","",INDEX(MASTER_DATABASE!$D$4:$D$1000,$B48)&amp;"")</f>
        <v/>
      </c>
      <c r="E48" s="7" t="str">
        <f aca="false">IF($B48="","",INDEX(MASTER_DATABASE!$E$4:$E$1000,$B48)&amp;"")</f>
        <v/>
      </c>
      <c r="F48" s="7" t="str">
        <f aca="false">IF($B48="","",INDEX(MASTER_DATABASE!$F$4:$F$1000,$B48)&amp;"")</f>
        <v/>
      </c>
      <c r="G48" s="11" t="str">
        <f aca="false">IF($B48="","",INDEX(MASTER_DATABASE!$I$4:$I$1000,$B48)&amp;"")</f>
        <v/>
      </c>
      <c r="H48" s="7" t="str">
        <f aca="false">IF($B48="","",INDEX(MASTER_DATABASE!$L$4:$L$1000,$B48)&amp;"")</f>
        <v/>
      </c>
      <c r="I48" s="9" t="str">
        <f aca="false">IF($B48="","",INDEX(MASTER_DATABASE!$R$4:$R$1000,$B48))</f>
        <v/>
      </c>
      <c r="J48" s="9" t="str">
        <f aca="false">IF($B48="","",INDEX(MASTER_DATABASE!$S$4:$S$1000,$B48))</f>
        <v/>
      </c>
      <c r="K48" s="9" t="str">
        <f aca="false">IF($B48="","",INDEX(MASTER_DATABASE!$T$4:$T$1000,$B48))</f>
        <v/>
      </c>
      <c r="L48" s="7" t="str">
        <f aca="false">IF($B48="","",INDEX(MASTER_DATABASE!$U$4:$U$1000,$B48)&amp;"")</f>
        <v/>
      </c>
      <c r="M48" s="7" t="str">
        <f aca="false">IF($B48="","",INDEX(MASTER_DATABASE!$Q$4:$Q$1000,$B48)&amp;"")</f>
        <v/>
      </c>
      <c r="N48" s="7" t="str">
        <f aca="false">IF($B48="","",INDEX(MASTER_DATABASE!$AG$4:$AG$1000,$B48)&amp;"")</f>
        <v/>
      </c>
      <c r="O48" s="11" t="str">
        <f aca="false">IF($B48="","",INDEX(MASTER_DATABASE!$AH$4:$AH$1000,$B48)&amp;"")</f>
        <v/>
      </c>
      <c r="P48" s="11" t="str">
        <f aca="false">IF($B48="","",INDEX(MASTER_DATABASE!$BE$4:$BE$1000,$B48)&amp;"")</f>
        <v/>
      </c>
      <c r="Q48" s="7" t="str">
        <f aca="false">IF($B48="","",INDEX(MASTER_DATABASE!$AV$4:$AV$1000,$B48)&amp;"")</f>
        <v/>
      </c>
    </row>
    <row r="49" customFormat="false" ht="15" hidden="false" customHeight="false" outlineLevel="0" collapsed="false">
      <c r="A49" s="11" t="n">
        <v>46</v>
      </c>
      <c r="B49" s="11" t="str">
        <f aca="false">IFERROR(MATCH("Aadhaar Centre|"&amp;$A49,MASTER_DATABASE!$BH$4:$BH$1000,0),"")</f>
        <v/>
      </c>
      <c r="C49" s="11" t="str">
        <f aca="false">IF($B49="","",INDEX(MASTER_DATABASE!$A$4:$A$1000,$B49)&amp;"")</f>
        <v/>
      </c>
      <c r="D49" s="7" t="str">
        <f aca="false">IF($B49="","",INDEX(MASTER_DATABASE!$D$4:$D$1000,$B49)&amp;"")</f>
        <v/>
      </c>
      <c r="E49" s="7" t="str">
        <f aca="false">IF($B49="","",INDEX(MASTER_DATABASE!$E$4:$E$1000,$B49)&amp;"")</f>
        <v/>
      </c>
      <c r="F49" s="7" t="str">
        <f aca="false">IF($B49="","",INDEX(MASTER_DATABASE!$F$4:$F$1000,$B49)&amp;"")</f>
        <v/>
      </c>
      <c r="G49" s="11" t="str">
        <f aca="false">IF($B49="","",INDEX(MASTER_DATABASE!$I$4:$I$1000,$B49)&amp;"")</f>
        <v/>
      </c>
      <c r="H49" s="7" t="str">
        <f aca="false">IF($B49="","",INDEX(MASTER_DATABASE!$L$4:$L$1000,$B49)&amp;"")</f>
        <v/>
      </c>
      <c r="I49" s="9" t="str">
        <f aca="false">IF($B49="","",INDEX(MASTER_DATABASE!$R$4:$R$1000,$B49))</f>
        <v/>
      </c>
      <c r="J49" s="9" t="str">
        <f aca="false">IF($B49="","",INDEX(MASTER_DATABASE!$S$4:$S$1000,$B49))</f>
        <v/>
      </c>
      <c r="K49" s="9" t="str">
        <f aca="false">IF($B49="","",INDEX(MASTER_DATABASE!$T$4:$T$1000,$B49))</f>
        <v/>
      </c>
      <c r="L49" s="7" t="str">
        <f aca="false">IF($B49="","",INDEX(MASTER_DATABASE!$U$4:$U$1000,$B49)&amp;"")</f>
        <v/>
      </c>
      <c r="M49" s="7" t="str">
        <f aca="false">IF($B49="","",INDEX(MASTER_DATABASE!$Q$4:$Q$1000,$B49)&amp;"")</f>
        <v/>
      </c>
      <c r="N49" s="7" t="str">
        <f aca="false">IF($B49="","",INDEX(MASTER_DATABASE!$AG$4:$AG$1000,$B49)&amp;"")</f>
        <v/>
      </c>
      <c r="O49" s="11" t="str">
        <f aca="false">IF($B49="","",INDEX(MASTER_DATABASE!$AH$4:$AH$1000,$B49)&amp;"")</f>
        <v/>
      </c>
      <c r="P49" s="11" t="str">
        <f aca="false">IF($B49="","",INDEX(MASTER_DATABASE!$BE$4:$BE$1000,$B49)&amp;"")</f>
        <v/>
      </c>
      <c r="Q49" s="7" t="str">
        <f aca="false">IF($B49="","",INDEX(MASTER_DATABASE!$AV$4:$AV$1000,$B49)&amp;"")</f>
        <v/>
      </c>
    </row>
    <row r="50" customFormat="false" ht="15" hidden="false" customHeight="false" outlineLevel="0" collapsed="false">
      <c r="A50" s="11" t="n">
        <v>47</v>
      </c>
      <c r="B50" s="11" t="str">
        <f aca="false">IFERROR(MATCH("Aadhaar Centre|"&amp;$A50,MASTER_DATABASE!$BH$4:$BH$1000,0),"")</f>
        <v/>
      </c>
      <c r="C50" s="11" t="str">
        <f aca="false">IF($B50="","",INDEX(MASTER_DATABASE!$A$4:$A$1000,$B50)&amp;"")</f>
        <v/>
      </c>
      <c r="D50" s="7" t="str">
        <f aca="false">IF($B50="","",INDEX(MASTER_DATABASE!$D$4:$D$1000,$B50)&amp;"")</f>
        <v/>
      </c>
      <c r="E50" s="7" t="str">
        <f aca="false">IF($B50="","",INDEX(MASTER_DATABASE!$E$4:$E$1000,$B50)&amp;"")</f>
        <v/>
      </c>
      <c r="F50" s="7" t="str">
        <f aca="false">IF($B50="","",INDEX(MASTER_DATABASE!$F$4:$F$1000,$B50)&amp;"")</f>
        <v/>
      </c>
      <c r="G50" s="11" t="str">
        <f aca="false">IF($B50="","",INDEX(MASTER_DATABASE!$I$4:$I$1000,$B50)&amp;"")</f>
        <v/>
      </c>
      <c r="H50" s="7" t="str">
        <f aca="false">IF($B50="","",INDEX(MASTER_DATABASE!$L$4:$L$1000,$B50)&amp;"")</f>
        <v/>
      </c>
      <c r="I50" s="9" t="str">
        <f aca="false">IF($B50="","",INDEX(MASTER_DATABASE!$R$4:$R$1000,$B50))</f>
        <v/>
      </c>
      <c r="J50" s="9" t="str">
        <f aca="false">IF($B50="","",INDEX(MASTER_DATABASE!$S$4:$S$1000,$B50))</f>
        <v/>
      </c>
      <c r="K50" s="9" t="str">
        <f aca="false">IF($B50="","",INDEX(MASTER_DATABASE!$T$4:$T$1000,$B50))</f>
        <v/>
      </c>
      <c r="L50" s="7" t="str">
        <f aca="false">IF($B50="","",INDEX(MASTER_DATABASE!$U$4:$U$1000,$B50)&amp;"")</f>
        <v/>
      </c>
      <c r="M50" s="7" t="str">
        <f aca="false">IF($B50="","",INDEX(MASTER_DATABASE!$Q$4:$Q$1000,$B50)&amp;"")</f>
        <v/>
      </c>
      <c r="N50" s="7" t="str">
        <f aca="false">IF($B50="","",INDEX(MASTER_DATABASE!$AG$4:$AG$1000,$B50)&amp;"")</f>
        <v/>
      </c>
      <c r="O50" s="11" t="str">
        <f aca="false">IF($B50="","",INDEX(MASTER_DATABASE!$AH$4:$AH$1000,$B50)&amp;"")</f>
        <v/>
      </c>
      <c r="P50" s="11" t="str">
        <f aca="false">IF($B50="","",INDEX(MASTER_DATABASE!$BE$4:$BE$1000,$B50)&amp;"")</f>
        <v/>
      </c>
      <c r="Q50" s="7" t="str">
        <f aca="false">IF($B50="","",INDEX(MASTER_DATABASE!$AV$4:$AV$1000,$B50)&amp;"")</f>
        <v/>
      </c>
    </row>
    <row r="51" customFormat="false" ht="15" hidden="false" customHeight="false" outlineLevel="0" collapsed="false">
      <c r="A51" s="11" t="n">
        <v>48</v>
      </c>
      <c r="B51" s="11" t="str">
        <f aca="false">IFERROR(MATCH("Aadhaar Centre|"&amp;$A51,MASTER_DATABASE!$BH$4:$BH$1000,0),"")</f>
        <v/>
      </c>
      <c r="C51" s="11" t="str">
        <f aca="false">IF($B51="","",INDEX(MASTER_DATABASE!$A$4:$A$1000,$B51)&amp;"")</f>
        <v/>
      </c>
      <c r="D51" s="7" t="str">
        <f aca="false">IF($B51="","",INDEX(MASTER_DATABASE!$D$4:$D$1000,$B51)&amp;"")</f>
        <v/>
      </c>
      <c r="E51" s="7" t="str">
        <f aca="false">IF($B51="","",INDEX(MASTER_DATABASE!$E$4:$E$1000,$B51)&amp;"")</f>
        <v/>
      </c>
      <c r="F51" s="7" t="str">
        <f aca="false">IF($B51="","",INDEX(MASTER_DATABASE!$F$4:$F$1000,$B51)&amp;"")</f>
        <v/>
      </c>
      <c r="G51" s="11" t="str">
        <f aca="false">IF($B51="","",INDEX(MASTER_DATABASE!$I$4:$I$1000,$B51)&amp;"")</f>
        <v/>
      </c>
      <c r="H51" s="7" t="str">
        <f aca="false">IF($B51="","",INDEX(MASTER_DATABASE!$L$4:$L$1000,$B51)&amp;"")</f>
        <v/>
      </c>
      <c r="I51" s="9" t="str">
        <f aca="false">IF($B51="","",INDEX(MASTER_DATABASE!$R$4:$R$1000,$B51))</f>
        <v/>
      </c>
      <c r="J51" s="9" t="str">
        <f aca="false">IF($B51="","",INDEX(MASTER_DATABASE!$S$4:$S$1000,$B51))</f>
        <v/>
      </c>
      <c r="K51" s="9" t="str">
        <f aca="false">IF($B51="","",INDEX(MASTER_DATABASE!$T$4:$T$1000,$B51))</f>
        <v/>
      </c>
      <c r="L51" s="7" t="str">
        <f aca="false">IF($B51="","",INDEX(MASTER_DATABASE!$U$4:$U$1000,$B51)&amp;"")</f>
        <v/>
      </c>
      <c r="M51" s="7" t="str">
        <f aca="false">IF($B51="","",INDEX(MASTER_DATABASE!$Q$4:$Q$1000,$B51)&amp;"")</f>
        <v/>
      </c>
      <c r="N51" s="7" t="str">
        <f aca="false">IF($B51="","",INDEX(MASTER_DATABASE!$AG$4:$AG$1000,$B51)&amp;"")</f>
        <v/>
      </c>
      <c r="O51" s="11" t="str">
        <f aca="false">IF($B51="","",INDEX(MASTER_DATABASE!$AH$4:$AH$1000,$B51)&amp;"")</f>
        <v/>
      </c>
      <c r="P51" s="11" t="str">
        <f aca="false">IF($B51="","",INDEX(MASTER_DATABASE!$BE$4:$BE$1000,$B51)&amp;"")</f>
        <v/>
      </c>
      <c r="Q51" s="7" t="str">
        <f aca="false">IF($B51="","",INDEX(MASTER_DATABASE!$AV$4:$AV$1000,$B51)&amp;"")</f>
        <v/>
      </c>
    </row>
    <row r="52" customFormat="false" ht="15" hidden="false" customHeight="false" outlineLevel="0" collapsed="false">
      <c r="A52" s="11" t="n">
        <v>49</v>
      </c>
      <c r="B52" s="11" t="str">
        <f aca="false">IFERROR(MATCH("Aadhaar Centre|"&amp;$A52,MASTER_DATABASE!$BH$4:$BH$1000,0),"")</f>
        <v/>
      </c>
      <c r="C52" s="11" t="str">
        <f aca="false">IF($B52="","",INDEX(MASTER_DATABASE!$A$4:$A$1000,$B52)&amp;"")</f>
        <v/>
      </c>
      <c r="D52" s="7" t="str">
        <f aca="false">IF($B52="","",INDEX(MASTER_DATABASE!$D$4:$D$1000,$B52)&amp;"")</f>
        <v/>
      </c>
      <c r="E52" s="7" t="str">
        <f aca="false">IF($B52="","",INDEX(MASTER_DATABASE!$E$4:$E$1000,$B52)&amp;"")</f>
        <v/>
      </c>
      <c r="F52" s="7" t="str">
        <f aca="false">IF($B52="","",INDEX(MASTER_DATABASE!$F$4:$F$1000,$B52)&amp;"")</f>
        <v/>
      </c>
      <c r="G52" s="11" t="str">
        <f aca="false">IF($B52="","",INDEX(MASTER_DATABASE!$I$4:$I$1000,$B52)&amp;"")</f>
        <v/>
      </c>
      <c r="H52" s="7" t="str">
        <f aca="false">IF($B52="","",INDEX(MASTER_DATABASE!$L$4:$L$1000,$B52)&amp;"")</f>
        <v/>
      </c>
      <c r="I52" s="9" t="str">
        <f aca="false">IF($B52="","",INDEX(MASTER_DATABASE!$R$4:$R$1000,$B52))</f>
        <v/>
      </c>
      <c r="J52" s="9" t="str">
        <f aca="false">IF($B52="","",INDEX(MASTER_DATABASE!$S$4:$S$1000,$B52))</f>
        <v/>
      </c>
      <c r="K52" s="9" t="str">
        <f aca="false">IF($B52="","",INDEX(MASTER_DATABASE!$T$4:$T$1000,$B52))</f>
        <v/>
      </c>
      <c r="L52" s="7" t="str">
        <f aca="false">IF($B52="","",INDEX(MASTER_DATABASE!$U$4:$U$1000,$B52)&amp;"")</f>
        <v/>
      </c>
      <c r="M52" s="7" t="str">
        <f aca="false">IF($B52="","",INDEX(MASTER_DATABASE!$Q$4:$Q$1000,$B52)&amp;"")</f>
        <v/>
      </c>
      <c r="N52" s="7" t="str">
        <f aca="false">IF($B52="","",INDEX(MASTER_DATABASE!$AG$4:$AG$1000,$B52)&amp;"")</f>
        <v/>
      </c>
      <c r="O52" s="11" t="str">
        <f aca="false">IF($B52="","",INDEX(MASTER_DATABASE!$AH$4:$AH$1000,$B52)&amp;"")</f>
        <v/>
      </c>
      <c r="P52" s="11" t="str">
        <f aca="false">IF($B52="","",INDEX(MASTER_DATABASE!$BE$4:$BE$1000,$B52)&amp;"")</f>
        <v/>
      </c>
      <c r="Q52" s="7" t="str">
        <f aca="false">IF($B52="","",INDEX(MASTER_DATABASE!$AV$4:$AV$1000,$B52)&amp;"")</f>
        <v/>
      </c>
    </row>
    <row r="53" customFormat="false" ht="15" hidden="false" customHeight="false" outlineLevel="0" collapsed="false">
      <c r="A53" s="11" t="n">
        <v>50</v>
      </c>
      <c r="B53" s="11" t="str">
        <f aca="false">IFERROR(MATCH("Aadhaar Centre|"&amp;$A53,MASTER_DATABASE!$BH$4:$BH$1000,0),"")</f>
        <v/>
      </c>
      <c r="C53" s="11" t="str">
        <f aca="false">IF($B53="","",INDEX(MASTER_DATABASE!$A$4:$A$1000,$B53)&amp;"")</f>
        <v/>
      </c>
      <c r="D53" s="7" t="str">
        <f aca="false">IF($B53="","",INDEX(MASTER_DATABASE!$D$4:$D$1000,$B53)&amp;"")</f>
        <v/>
      </c>
      <c r="E53" s="7" t="str">
        <f aca="false">IF($B53="","",INDEX(MASTER_DATABASE!$E$4:$E$1000,$B53)&amp;"")</f>
        <v/>
      </c>
      <c r="F53" s="7" t="str">
        <f aca="false">IF($B53="","",INDEX(MASTER_DATABASE!$F$4:$F$1000,$B53)&amp;"")</f>
        <v/>
      </c>
      <c r="G53" s="11" t="str">
        <f aca="false">IF($B53="","",INDEX(MASTER_DATABASE!$I$4:$I$1000,$B53)&amp;"")</f>
        <v/>
      </c>
      <c r="H53" s="7" t="str">
        <f aca="false">IF($B53="","",INDEX(MASTER_DATABASE!$L$4:$L$1000,$B53)&amp;"")</f>
        <v/>
      </c>
      <c r="I53" s="9" t="str">
        <f aca="false">IF($B53="","",INDEX(MASTER_DATABASE!$R$4:$R$1000,$B53))</f>
        <v/>
      </c>
      <c r="J53" s="9" t="str">
        <f aca="false">IF($B53="","",INDEX(MASTER_DATABASE!$S$4:$S$1000,$B53))</f>
        <v/>
      </c>
      <c r="K53" s="9" t="str">
        <f aca="false">IF($B53="","",INDEX(MASTER_DATABASE!$T$4:$T$1000,$B53))</f>
        <v/>
      </c>
      <c r="L53" s="7" t="str">
        <f aca="false">IF($B53="","",INDEX(MASTER_DATABASE!$U$4:$U$1000,$B53)&amp;"")</f>
        <v/>
      </c>
      <c r="M53" s="7" t="str">
        <f aca="false">IF($B53="","",INDEX(MASTER_DATABASE!$Q$4:$Q$1000,$B53)&amp;"")</f>
        <v/>
      </c>
      <c r="N53" s="7" t="str">
        <f aca="false">IF($B53="","",INDEX(MASTER_DATABASE!$AG$4:$AG$1000,$B53)&amp;"")</f>
        <v/>
      </c>
      <c r="O53" s="11" t="str">
        <f aca="false">IF($B53="","",INDEX(MASTER_DATABASE!$AH$4:$AH$1000,$B53)&amp;"")</f>
        <v/>
      </c>
      <c r="P53" s="11" t="str">
        <f aca="false">IF($B53="","",INDEX(MASTER_DATABASE!$BE$4:$BE$1000,$B53)&amp;"")</f>
        <v/>
      </c>
      <c r="Q53" s="7" t="str">
        <f aca="false">IF($B53="","",INDEX(MASTER_DATABASE!$AV$4:$AV$1000,$B53)&amp;"")</f>
        <v/>
      </c>
    </row>
    <row r="54" customFormat="false" ht="15" hidden="false" customHeight="false" outlineLevel="0" collapsed="false">
      <c r="A54" s="11" t="n">
        <v>51</v>
      </c>
      <c r="B54" s="11" t="str">
        <f aca="false">IFERROR(MATCH("Aadhaar Centre|"&amp;$A54,MASTER_DATABASE!$BH$4:$BH$1000,0),"")</f>
        <v/>
      </c>
      <c r="C54" s="11" t="str">
        <f aca="false">IF($B54="","",INDEX(MASTER_DATABASE!$A$4:$A$1000,$B54)&amp;"")</f>
        <v/>
      </c>
      <c r="D54" s="7" t="str">
        <f aca="false">IF($B54="","",INDEX(MASTER_DATABASE!$D$4:$D$1000,$B54)&amp;"")</f>
        <v/>
      </c>
      <c r="E54" s="7" t="str">
        <f aca="false">IF($B54="","",INDEX(MASTER_DATABASE!$E$4:$E$1000,$B54)&amp;"")</f>
        <v/>
      </c>
      <c r="F54" s="7" t="str">
        <f aca="false">IF($B54="","",INDEX(MASTER_DATABASE!$F$4:$F$1000,$B54)&amp;"")</f>
        <v/>
      </c>
      <c r="G54" s="11" t="str">
        <f aca="false">IF($B54="","",INDEX(MASTER_DATABASE!$I$4:$I$1000,$B54)&amp;"")</f>
        <v/>
      </c>
      <c r="H54" s="7" t="str">
        <f aca="false">IF($B54="","",INDEX(MASTER_DATABASE!$L$4:$L$1000,$B54)&amp;"")</f>
        <v/>
      </c>
      <c r="I54" s="9" t="str">
        <f aca="false">IF($B54="","",INDEX(MASTER_DATABASE!$R$4:$R$1000,$B54))</f>
        <v/>
      </c>
      <c r="J54" s="9" t="str">
        <f aca="false">IF($B54="","",INDEX(MASTER_DATABASE!$S$4:$S$1000,$B54))</f>
        <v/>
      </c>
      <c r="K54" s="9" t="str">
        <f aca="false">IF($B54="","",INDEX(MASTER_DATABASE!$T$4:$T$1000,$B54))</f>
        <v/>
      </c>
      <c r="L54" s="7" t="str">
        <f aca="false">IF($B54="","",INDEX(MASTER_DATABASE!$U$4:$U$1000,$B54)&amp;"")</f>
        <v/>
      </c>
      <c r="M54" s="7" t="str">
        <f aca="false">IF($B54="","",INDEX(MASTER_DATABASE!$Q$4:$Q$1000,$B54)&amp;"")</f>
        <v/>
      </c>
      <c r="N54" s="7" t="str">
        <f aca="false">IF($B54="","",INDEX(MASTER_DATABASE!$AG$4:$AG$1000,$B54)&amp;"")</f>
        <v/>
      </c>
      <c r="O54" s="11" t="str">
        <f aca="false">IF($B54="","",INDEX(MASTER_DATABASE!$AH$4:$AH$1000,$B54)&amp;"")</f>
        <v/>
      </c>
      <c r="P54" s="11" t="str">
        <f aca="false">IF($B54="","",INDEX(MASTER_DATABASE!$BE$4:$BE$1000,$B54)&amp;"")</f>
        <v/>
      </c>
      <c r="Q54" s="7" t="str">
        <f aca="false">IF($B54="","",INDEX(MASTER_DATABASE!$AV$4:$AV$1000,$B54)&amp;"")</f>
        <v/>
      </c>
    </row>
    <row r="55" customFormat="false" ht="15" hidden="false" customHeight="false" outlineLevel="0" collapsed="false">
      <c r="A55" s="11" t="n">
        <v>52</v>
      </c>
      <c r="B55" s="11" t="str">
        <f aca="false">IFERROR(MATCH("Aadhaar Centre|"&amp;$A55,MASTER_DATABASE!$BH$4:$BH$1000,0),"")</f>
        <v/>
      </c>
      <c r="C55" s="11" t="str">
        <f aca="false">IF($B55="","",INDEX(MASTER_DATABASE!$A$4:$A$1000,$B55)&amp;"")</f>
        <v/>
      </c>
      <c r="D55" s="7" t="str">
        <f aca="false">IF($B55="","",INDEX(MASTER_DATABASE!$D$4:$D$1000,$B55)&amp;"")</f>
        <v/>
      </c>
      <c r="E55" s="7" t="str">
        <f aca="false">IF($B55="","",INDEX(MASTER_DATABASE!$E$4:$E$1000,$B55)&amp;"")</f>
        <v/>
      </c>
      <c r="F55" s="7" t="str">
        <f aca="false">IF($B55="","",INDEX(MASTER_DATABASE!$F$4:$F$1000,$B55)&amp;"")</f>
        <v/>
      </c>
      <c r="G55" s="11" t="str">
        <f aca="false">IF($B55="","",INDEX(MASTER_DATABASE!$I$4:$I$1000,$B55)&amp;"")</f>
        <v/>
      </c>
      <c r="H55" s="7" t="str">
        <f aca="false">IF($B55="","",INDEX(MASTER_DATABASE!$L$4:$L$1000,$B55)&amp;"")</f>
        <v/>
      </c>
      <c r="I55" s="9" t="str">
        <f aca="false">IF($B55="","",INDEX(MASTER_DATABASE!$R$4:$R$1000,$B55))</f>
        <v/>
      </c>
      <c r="J55" s="9" t="str">
        <f aca="false">IF($B55="","",INDEX(MASTER_DATABASE!$S$4:$S$1000,$B55))</f>
        <v/>
      </c>
      <c r="K55" s="9" t="str">
        <f aca="false">IF($B55="","",INDEX(MASTER_DATABASE!$T$4:$T$1000,$B55))</f>
        <v/>
      </c>
      <c r="L55" s="7" t="str">
        <f aca="false">IF($B55="","",INDEX(MASTER_DATABASE!$U$4:$U$1000,$B55)&amp;"")</f>
        <v/>
      </c>
      <c r="M55" s="7" t="str">
        <f aca="false">IF($B55="","",INDEX(MASTER_DATABASE!$Q$4:$Q$1000,$B55)&amp;"")</f>
        <v/>
      </c>
      <c r="N55" s="7" t="str">
        <f aca="false">IF($B55="","",INDEX(MASTER_DATABASE!$AG$4:$AG$1000,$B55)&amp;"")</f>
        <v/>
      </c>
      <c r="O55" s="11" t="str">
        <f aca="false">IF($B55="","",INDEX(MASTER_DATABASE!$AH$4:$AH$1000,$B55)&amp;"")</f>
        <v/>
      </c>
      <c r="P55" s="11" t="str">
        <f aca="false">IF($B55="","",INDEX(MASTER_DATABASE!$BE$4:$BE$1000,$B55)&amp;"")</f>
        <v/>
      </c>
      <c r="Q55" s="7" t="str">
        <f aca="false">IF($B55="","",INDEX(MASTER_DATABASE!$AV$4:$AV$1000,$B55)&amp;"")</f>
        <v/>
      </c>
    </row>
    <row r="56" customFormat="false" ht="15" hidden="false" customHeight="false" outlineLevel="0" collapsed="false">
      <c r="A56" s="11" t="n">
        <v>53</v>
      </c>
      <c r="B56" s="11" t="str">
        <f aca="false">IFERROR(MATCH("Aadhaar Centre|"&amp;$A56,MASTER_DATABASE!$BH$4:$BH$1000,0),"")</f>
        <v/>
      </c>
      <c r="C56" s="11" t="str">
        <f aca="false">IF($B56="","",INDEX(MASTER_DATABASE!$A$4:$A$1000,$B56)&amp;"")</f>
        <v/>
      </c>
      <c r="D56" s="7" t="str">
        <f aca="false">IF($B56="","",INDEX(MASTER_DATABASE!$D$4:$D$1000,$B56)&amp;"")</f>
        <v/>
      </c>
      <c r="E56" s="7" t="str">
        <f aca="false">IF($B56="","",INDEX(MASTER_DATABASE!$E$4:$E$1000,$B56)&amp;"")</f>
        <v/>
      </c>
      <c r="F56" s="7" t="str">
        <f aca="false">IF($B56="","",INDEX(MASTER_DATABASE!$F$4:$F$1000,$B56)&amp;"")</f>
        <v/>
      </c>
      <c r="G56" s="11" t="str">
        <f aca="false">IF($B56="","",INDEX(MASTER_DATABASE!$I$4:$I$1000,$B56)&amp;"")</f>
        <v/>
      </c>
      <c r="H56" s="7" t="str">
        <f aca="false">IF($B56="","",INDEX(MASTER_DATABASE!$L$4:$L$1000,$B56)&amp;"")</f>
        <v/>
      </c>
      <c r="I56" s="9" t="str">
        <f aca="false">IF($B56="","",INDEX(MASTER_DATABASE!$R$4:$R$1000,$B56))</f>
        <v/>
      </c>
      <c r="J56" s="9" t="str">
        <f aca="false">IF($B56="","",INDEX(MASTER_DATABASE!$S$4:$S$1000,$B56))</f>
        <v/>
      </c>
      <c r="K56" s="9" t="str">
        <f aca="false">IF($B56="","",INDEX(MASTER_DATABASE!$T$4:$T$1000,$B56))</f>
        <v/>
      </c>
      <c r="L56" s="7" t="str">
        <f aca="false">IF($B56="","",INDEX(MASTER_DATABASE!$U$4:$U$1000,$B56)&amp;"")</f>
        <v/>
      </c>
      <c r="M56" s="7" t="str">
        <f aca="false">IF($B56="","",INDEX(MASTER_DATABASE!$Q$4:$Q$1000,$B56)&amp;"")</f>
        <v/>
      </c>
      <c r="N56" s="7" t="str">
        <f aca="false">IF($B56="","",INDEX(MASTER_DATABASE!$AG$4:$AG$1000,$B56)&amp;"")</f>
        <v/>
      </c>
      <c r="O56" s="11" t="str">
        <f aca="false">IF($B56="","",INDEX(MASTER_DATABASE!$AH$4:$AH$1000,$B56)&amp;"")</f>
        <v/>
      </c>
      <c r="P56" s="11" t="str">
        <f aca="false">IF($B56="","",INDEX(MASTER_DATABASE!$BE$4:$BE$1000,$B56)&amp;"")</f>
        <v/>
      </c>
      <c r="Q56" s="7" t="str">
        <f aca="false">IF($B56="","",INDEX(MASTER_DATABASE!$AV$4:$AV$1000,$B56)&amp;"")</f>
        <v/>
      </c>
    </row>
    <row r="57" customFormat="false" ht="15" hidden="false" customHeight="false" outlineLevel="0" collapsed="false">
      <c r="A57" s="11" t="n">
        <v>54</v>
      </c>
      <c r="B57" s="11" t="str">
        <f aca="false">IFERROR(MATCH("Aadhaar Centre|"&amp;$A57,MASTER_DATABASE!$BH$4:$BH$1000,0),"")</f>
        <v/>
      </c>
      <c r="C57" s="11" t="str">
        <f aca="false">IF($B57="","",INDEX(MASTER_DATABASE!$A$4:$A$1000,$B57)&amp;"")</f>
        <v/>
      </c>
      <c r="D57" s="7" t="str">
        <f aca="false">IF($B57="","",INDEX(MASTER_DATABASE!$D$4:$D$1000,$B57)&amp;"")</f>
        <v/>
      </c>
      <c r="E57" s="7" t="str">
        <f aca="false">IF($B57="","",INDEX(MASTER_DATABASE!$E$4:$E$1000,$B57)&amp;"")</f>
        <v/>
      </c>
      <c r="F57" s="7" t="str">
        <f aca="false">IF($B57="","",INDEX(MASTER_DATABASE!$F$4:$F$1000,$B57)&amp;"")</f>
        <v/>
      </c>
      <c r="G57" s="11" t="str">
        <f aca="false">IF($B57="","",INDEX(MASTER_DATABASE!$I$4:$I$1000,$B57)&amp;"")</f>
        <v/>
      </c>
      <c r="H57" s="7" t="str">
        <f aca="false">IF($B57="","",INDEX(MASTER_DATABASE!$L$4:$L$1000,$B57)&amp;"")</f>
        <v/>
      </c>
      <c r="I57" s="9" t="str">
        <f aca="false">IF($B57="","",INDEX(MASTER_DATABASE!$R$4:$R$1000,$B57))</f>
        <v/>
      </c>
      <c r="J57" s="9" t="str">
        <f aca="false">IF($B57="","",INDEX(MASTER_DATABASE!$S$4:$S$1000,$B57))</f>
        <v/>
      </c>
      <c r="K57" s="9" t="str">
        <f aca="false">IF($B57="","",INDEX(MASTER_DATABASE!$T$4:$T$1000,$B57))</f>
        <v/>
      </c>
      <c r="L57" s="7" t="str">
        <f aca="false">IF($B57="","",INDEX(MASTER_DATABASE!$U$4:$U$1000,$B57)&amp;"")</f>
        <v/>
      </c>
      <c r="M57" s="7" t="str">
        <f aca="false">IF($B57="","",INDEX(MASTER_DATABASE!$Q$4:$Q$1000,$B57)&amp;"")</f>
        <v/>
      </c>
      <c r="N57" s="7" t="str">
        <f aca="false">IF($B57="","",INDEX(MASTER_DATABASE!$AG$4:$AG$1000,$B57)&amp;"")</f>
        <v/>
      </c>
      <c r="O57" s="11" t="str">
        <f aca="false">IF($B57="","",INDEX(MASTER_DATABASE!$AH$4:$AH$1000,$B57)&amp;"")</f>
        <v/>
      </c>
      <c r="P57" s="11" t="str">
        <f aca="false">IF($B57="","",INDEX(MASTER_DATABASE!$BE$4:$BE$1000,$B57)&amp;"")</f>
        <v/>
      </c>
      <c r="Q57" s="7" t="str">
        <f aca="false">IF($B57="","",INDEX(MASTER_DATABASE!$AV$4:$AV$1000,$B57)&amp;"")</f>
        <v/>
      </c>
    </row>
    <row r="58" customFormat="false" ht="15" hidden="false" customHeight="false" outlineLevel="0" collapsed="false">
      <c r="A58" s="11" t="n">
        <v>55</v>
      </c>
      <c r="B58" s="11" t="str">
        <f aca="false">IFERROR(MATCH("Aadhaar Centre|"&amp;$A58,MASTER_DATABASE!$BH$4:$BH$1000,0),"")</f>
        <v/>
      </c>
      <c r="C58" s="11" t="str">
        <f aca="false">IF($B58="","",INDEX(MASTER_DATABASE!$A$4:$A$1000,$B58)&amp;"")</f>
        <v/>
      </c>
      <c r="D58" s="7" t="str">
        <f aca="false">IF($B58="","",INDEX(MASTER_DATABASE!$D$4:$D$1000,$B58)&amp;"")</f>
        <v/>
      </c>
      <c r="E58" s="7" t="str">
        <f aca="false">IF($B58="","",INDEX(MASTER_DATABASE!$E$4:$E$1000,$B58)&amp;"")</f>
        <v/>
      </c>
      <c r="F58" s="7" t="str">
        <f aca="false">IF($B58="","",INDEX(MASTER_DATABASE!$F$4:$F$1000,$B58)&amp;"")</f>
        <v/>
      </c>
      <c r="G58" s="11" t="str">
        <f aca="false">IF($B58="","",INDEX(MASTER_DATABASE!$I$4:$I$1000,$B58)&amp;"")</f>
        <v/>
      </c>
      <c r="H58" s="7" t="str">
        <f aca="false">IF($B58="","",INDEX(MASTER_DATABASE!$L$4:$L$1000,$B58)&amp;"")</f>
        <v/>
      </c>
      <c r="I58" s="9" t="str">
        <f aca="false">IF($B58="","",INDEX(MASTER_DATABASE!$R$4:$R$1000,$B58))</f>
        <v/>
      </c>
      <c r="J58" s="9" t="str">
        <f aca="false">IF($B58="","",INDEX(MASTER_DATABASE!$S$4:$S$1000,$B58))</f>
        <v/>
      </c>
      <c r="K58" s="9" t="str">
        <f aca="false">IF($B58="","",INDEX(MASTER_DATABASE!$T$4:$T$1000,$B58))</f>
        <v/>
      </c>
      <c r="L58" s="7" t="str">
        <f aca="false">IF($B58="","",INDEX(MASTER_DATABASE!$U$4:$U$1000,$B58)&amp;"")</f>
        <v/>
      </c>
      <c r="M58" s="7" t="str">
        <f aca="false">IF($B58="","",INDEX(MASTER_DATABASE!$Q$4:$Q$1000,$B58)&amp;"")</f>
        <v/>
      </c>
      <c r="N58" s="7" t="str">
        <f aca="false">IF($B58="","",INDEX(MASTER_DATABASE!$AG$4:$AG$1000,$B58)&amp;"")</f>
        <v/>
      </c>
      <c r="O58" s="11" t="str">
        <f aca="false">IF($B58="","",INDEX(MASTER_DATABASE!$AH$4:$AH$1000,$B58)&amp;"")</f>
        <v/>
      </c>
      <c r="P58" s="11" t="str">
        <f aca="false">IF($B58="","",INDEX(MASTER_DATABASE!$BE$4:$BE$1000,$B58)&amp;"")</f>
        <v/>
      </c>
      <c r="Q58" s="7" t="str">
        <f aca="false">IF($B58="","",INDEX(MASTER_DATABASE!$AV$4:$AV$1000,$B58)&amp;"")</f>
        <v/>
      </c>
    </row>
    <row r="59" customFormat="false" ht="15" hidden="false" customHeight="false" outlineLevel="0" collapsed="false">
      <c r="A59" s="11" t="n">
        <v>56</v>
      </c>
      <c r="B59" s="11" t="str">
        <f aca="false">IFERROR(MATCH("Aadhaar Centre|"&amp;$A59,MASTER_DATABASE!$BH$4:$BH$1000,0),"")</f>
        <v/>
      </c>
      <c r="C59" s="11" t="str">
        <f aca="false">IF($B59="","",INDEX(MASTER_DATABASE!$A$4:$A$1000,$B59)&amp;"")</f>
        <v/>
      </c>
      <c r="D59" s="7" t="str">
        <f aca="false">IF($B59="","",INDEX(MASTER_DATABASE!$D$4:$D$1000,$B59)&amp;"")</f>
        <v/>
      </c>
      <c r="E59" s="7" t="str">
        <f aca="false">IF($B59="","",INDEX(MASTER_DATABASE!$E$4:$E$1000,$B59)&amp;"")</f>
        <v/>
      </c>
      <c r="F59" s="7" t="str">
        <f aca="false">IF($B59="","",INDEX(MASTER_DATABASE!$F$4:$F$1000,$B59)&amp;"")</f>
        <v/>
      </c>
      <c r="G59" s="11" t="str">
        <f aca="false">IF($B59="","",INDEX(MASTER_DATABASE!$I$4:$I$1000,$B59)&amp;"")</f>
        <v/>
      </c>
      <c r="H59" s="7" t="str">
        <f aca="false">IF($B59="","",INDEX(MASTER_DATABASE!$L$4:$L$1000,$B59)&amp;"")</f>
        <v/>
      </c>
      <c r="I59" s="9" t="str">
        <f aca="false">IF($B59="","",INDEX(MASTER_DATABASE!$R$4:$R$1000,$B59))</f>
        <v/>
      </c>
      <c r="J59" s="9" t="str">
        <f aca="false">IF($B59="","",INDEX(MASTER_DATABASE!$S$4:$S$1000,$B59))</f>
        <v/>
      </c>
      <c r="K59" s="9" t="str">
        <f aca="false">IF($B59="","",INDEX(MASTER_DATABASE!$T$4:$T$1000,$B59))</f>
        <v/>
      </c>
      <c r="L59" s="7" t="str">
        <f aca="false">IF($B59="","",INDEX(MASTER_DATABASE!$U$4:$U$1000,$B59)&amp;"")</f>
        <v/>
      </c>
      <c r="M59" s="7" t="str">
        <f aca="false">IF($B59="","",INDEX(MASTER_DATABASE!$Q$4:$Q$1000,$B59)&amp;"")</f>
        <v/>
      </c>
      <c r="N59" s="7" t="str">
        <f aca="false">IF($B59="","",INDEX(MASTER_DATABASE!$AG$4:$AG$1000,$B59)&amp;"")</f>
        <v/>
      </c>
      <c r="O59" s="11" t="str">
        <f aca="false">IF($B59="","",INDEX(MASTER_DATABASE!$AH$4:$AH$1000,$B59)&amp;"")</f>
        <v/>
      </c>
      <c r="P59" s="11" t="str">
        <f aca="false">IF($B59="","",INDEX(MASTER_DATABASE!$BE$4:$BE$1000,$B59)&amp;"")</f>
        <v/>
      </c>
      <c r="Q59" s="7" t="str">
        <f aca="false">IF($B59="","",INDEX(MASTER_DATABASE!$AV$4:$AV$1000,$B59)&amp;"")</f>
        <v/>
      </c>
    </row>
    <row r="60" customFormat="false" ht="15" hidden="false" customHeight="false" outlineLevel="0" collapsed="false">
      <c r="A60" s="11" t="n">
        <v>57</v>
      </c>
      <c r="B60" s="11" t="str">
        <f aca="false">IFERROR(MATCH("Aadhaar Centre|"&amp;$A60,MASTER_DATABASE!$BH$4:$BH$1000,0),"")</f>
        <v/>
      </c>
      <c r="C60" s="11" t="str">
        <f aca="false">IF($B60="","",INDEX(MASTER_DATABASE!$A$4:$A$1000,$B60)&amp;"")</f>
        <v/>
      </c>
      <c r="D60" s="7" t="str">
        <f aca="false">IF($B60="","",INDEX(MASTER_DATABASE!$D$4:$D$1000,$B60)&amp;"")</f>
        <v/>
      </c>
      <c r="E60" s="7" t="str">
        <f aca="false">IF($B60="","",INDEX(MASTER_DATABASE!$E$4:$E$1000,$B60)&amp;"")</f>
        <v/>
      </c>
      <c r="F60" s="7" t="str">
        <f aca="false">IF($B60="","",INDEX(MASTER_DATABASE!$F$4:$F$1000,$B60)&amp;"")</f>
        <v/>
      </c>
      <c r="G60" s="11" t="str">
        <f aca="false">IF($B60="","",INDEX(MASTER_DATABASE!$I$4:$I$1000,$B60)&amp;"")</f>
        <v/>
      </c>
      <c r="H60" s="7" t="str">
        <f aca="false">IF($B60="","",INDEX(MASTER_DATABASE!$L$4:$L$1000,$B60)&amp;"")</f>
        <v/>
      </c>
      <c r="I60" s="9" t="str">
        <f aca="false">IF($B60="","",INDEX(MASTER_DATABASE!$R$4:$R$1000,$B60))</f>
        <v/>
      </c>
      <c r="J60" s="9" t="str">
        <f aca="false">IF($B60="","",INDEX(MASTER_DATABASE!$S$4:$S$1000,$B60))</f>
        <v/>
      </c>
      <c r="K60" s="9" t="str">
        <f aca="false">IF($B60="","",INDEX(MASTER_DATABASE!$T$4:$T$1000,$B60))</f>
        <v/>
      </c>
      <c r="L60" s="7" t="str">
        <f aca="false">IF($B60="","",INDEX(MASTER_DATABASE!$U$4:$U$1000,$B60)&amp;"")</f>
        <v/>
      </c>
      <c r="M60" s="7" t="str">
        <f aca="false">IF($B60="","",INDEX(MASTER_DATABASE!$Q$4:$Q$1000,$B60)&amp;"")</f>
        <v/>
      </c>
      <c r="N60" s="7" t="str">
        <f aca="false">IF($B60="","",INDEX(MASTER_DATABASE!$AG$4:$AG$1000,$B60)&amp;"")</f>
        <v/>
      </c>
      <c r="O60" s="11" t="str">
        <f aca="false">IF($B60="","",INDEX(MASTER_DATABASE!$AH$4:$AH$1000,$B60)&amp;"")</f>
        <v/>
      </c>
      <c r="P60" s="11" t="str">
        <f aca="false">IF($B60="","",INDEX(MASTER_DATABASE!$BE$4:$BE$1000,$B60)&amp;"")</f>
        <v/>
      </c>
      <c r="Q60" s="7" t="str">
        <f aca="false">IF($B60="","",INDEX(MASTER_DATABASE!$AV$4:$AV$1000,$B60)&amp;"")</f>
        <v/>
      </c>
    </row>
    <row r="61" customFormat="false" ht="15" hidden="false" customHeight="false" outlineLevel="0" collapsed="false">
      <c r="A61" s="11" t="n">
        <v>58</v>
      </c>
      <c r="B61" s="11" t="str">
        <f aca="false">IFERROR(MATCH("Aadhaar Centre|"&amp;$A61,MASTER_DATABASE!$BH$4:$BH$1000,0),"")</f>
        <v/>
      </c>
      <c r="C61" s="11" t="str">
        <f aca="false">IF($B61="","",INDEX(MASTER_DATABASE!$A$4:$A$1000,$B61)&amp;"")</f>
        <v/>
      </c>
      <c r="D61" s="7" t="str">
        <f aca="false">IF($B61="","",INDEX(MASTER_DATABASE!$D$4:$D$1000,$B61)&amp;"")</f>
        <v/>
      </c>
      <c r="E61" s="7" t="str">
        <f aca="false">IF($B61="","",INDEX(MASTER_DATABASE!$E$4:$E$1000,$B61)&amp;"")</f>
        <v/>
      </c>
      <c r="F61" s="7" t="str">
        <f aca="false">IF($B61="","",INDEX(MASTER_DATABASE!$F$4:$F$1000,$B61)&amp;"")</f>
        <v/>
      </c>
      <c r="G61" s="11" t="str">
        <f aca="false">IF($B61="","",INDEX(MASTER_DATABASE!$I$4:$I$1000,$B61)&amp;"")</f>
        <v/>
      </c>
      <c r="H61" s="7" t="str">
        <f aca="false">IF($B61="","",INDEX(MASTER_DATABASE!$L$4:$L$1000,$B61)&amp;"")</f>
        <v/>
      </c>
      <c r="I61" s="9" t="str">
        <f aca="false">IF($B61="","",INDEX(MASTER_DATABASE!$R$4:$R$1000,$B61))</f>
        <v/>
      </c>
      <c r="J61" s="9" t="str">
        <f aca="false">IF($B61="","",INDEX(MASTER_DATABASE!$S$4:$S$1000,$B61))</f>
        <v/>
      </c>
      <c r="K61" s="9" t="str">
        <f aca="false">IF($B61="","",INDEX(MASTER_DATABASE!$T$4:$T$1000,$B61))</f>
        <v/>
      </c>
      <c r="L61" s="7" t="str">
        <f aca="false">IF($B61="","",INDEX(MASTER_DATABASE!$U$4:$U$1000,$B61)&amp;"")</f>
        <v/>
      </c>
      <c r="M61" s="7" t="str">
        <f aca="false">IF($B61="","",INDEX(MASTER_DATABASE!$Q$4:$Q$1000,$B61)&amp;"")</f>
        <v/>
      </c>
      <c r="N61" s="7" t="str">
        <f aca="false">IF($B61="","",INDEX(MASTER_DATABASE!$AG$4:$AG$1000,$B61)&amp;"")</f>
        <v/>
      </c>
      <c r="O61" s="11" t="str">
        <f aca="false">IF($B61="","",INDEX(MASTER_DATABASE!$AH$4:$AH$1000,$B61)&amp;"")</f>
        <v/>
      </c>
      <c r="P61" s="11" t="str">
        <f aca="false">IF($B61="","",INDEX(MASTER_DATABASE!$BE$4:$BE$1000,$B61)&amp;"")</f>
        <v/>
      </c>
      <c r="Q61" s="7" t="str">
        <f aca="false">IF($B61="","",INDEX(MASTER_DATABASE!$AV$4:$AV$1000,$B61)&amp;"")</f>
        <v/>
      </c>
    </row>
    <row r="62" customFormat="false" ht="15" hidden="false" customHeight="false" outlineLevel="0" collapsed="false">
      <c r="A62" s="11" t="n">
        <v>59</v>
      </c>
      <c r="B62" s="11" t="str">
        <f aca="false">IFERROR(MATCH("Aadhaar Centre|"&amp;$A62,MASTER_DATABASE!$BH$4:$BH$1000,0),"")</f>
        <v/>
      </c>
      <c r="C62" s="11" t="str">
        <f aca="false">IF($B62="","",INDEX(MASTER_DATABASE!$A$4:$A$1000,$B62)&amp;"")</f>
        <v/>
      </c>
      <c r="D62" s="7" t="str">
        <f aca="false">IF($B62="","",INDEX(MASTER_DATABASE!$D$4:$D$1000,$B62)&amp;"")</f>
        <v/>
      </c>
      <c r="E62" s="7" t="str">
        <f aca="false">IF($B62="","",INDEX(MASTER_DATABASE!$E$4:$E$1000,$B62)&amp;"")</f>
        <v/>
      </c>
      <c r="F62" s="7" t="str">
        <f aca="false">IF($B62="","",INDEX(MASTER_DATABASE!$F$4:$F$1000,$B62)&amp;"")</f>
        <v/>
      </c>
      <c r="G62" s="11" t="str">
        <f aca="false">IF($B62="","",INDEX(MASTER_DATABASE!$I$4:$I$1000,$B62)&amp;"")</f>
        <v/>
      </c>
      <c r="H62" s="7" t="str">
        <f aca="false">IF($B62="","",INDEX(MASTER_DATABASE!$L$4:$L$1000,$B62)&amp;"")</f>
        <v/>
      </c>
      <c r="I62" s="9" t="str">
        <f aca="false">IF($B62="","",INDEX(MASTER_DATABASE!$R$4:$R$1000,$B62))</f>
        <v/>
      </c>
      <c r="J62" s="9" t="str">
        <f aca="false">IF($B62="","",INDEX(MASTER_DATABASE!$S$4:$S$1000,$B62))</f>
        <v/>
      </c>
      <c r="K62" s="9" t="str">
        <f aca="false">IF($B62="","",INDEX(MASTER_DATABASE!$T$4:$T$1000,$B62))</f>
        <v/>
      </c>
      <c r="L62" s="7" t="str">
        <f aca="false">IF($B62="","",INDEX(MASTER_DATABASE!$U$4:$U$1000,$B62)&amp;"")</f>
        <v/>
      </c>
      <c r="M62" s="7" t="str">
        <f aca="false">IF($B62="","",INDEX(MASTER_DATABASE!$Q$4:$Q$1000,$B62)&amp;"")</f>
        <v/>
      </c>
      <c r="N62" s="7" t="str">
        <f aca="false">IF($B62="","",INDEX(MASTER_DATABASE!$AG$4:$AG$1000,$B62)&amp;"")</f>
        <v/>
      </c>
      <c r="O62" s="11" t="str">
        <f aca="false">IF($B62="","",INDEX(MASTER_DATABASE!$AH$4:$AH$1000,$B62)&amp;"")</f>
        <v/>
      </c>
      <c r="P62" s="11" t="str">
        <f aca="false">IF($B62="","",INDEX(MASTER_DATABASE!$BE$4:$BE$1000,$B62)&amp;"")</f>
        <v/>
      </c>
      <c r="Q62" s="7" t="str">
        <f aca="false">IF($B62="","",INDEX(MASTER_DATABASE!$AV$4:$AV$1000,$B62)&amp;"")</f>
        <v/>
      </c>
    </row>
    <row r="63" customFormat="false" ht="15" hidden="false" customHeight="false" outlineLevel="0" collapsed="false">
      <c r="A63" s="11" t="n">
        <v>60</v>
      </c>
      <c r="B63" s="11" t="str">
        <f aca="false">IFERROR(MATCH("Aadhaar Centre|"&amp;$A63,MASTER_DATABASE!$BH$4:$BH$1000,0),"")</f>
        <v/>
      </c>
      <c r="C63" s="11" t="str">
        <f aca="false">IF($B63="","",INDEX(MASTER_DATABASE!$A$4:$A$1000,$B63)&amp;"")</f>
        <v/>
      </c>
      <c r="D63" s="7" t="str">
        <f aca="false">IF($B63="","",INDEX(MASTER_DATABASE!$D$4:$D$1000,$B63)&amp;"")</f>
        <v/>
      </c>
      <c r="E63" s="7" t="str">
        <f aca="false">IF($B63="","",INDEX(MASTER_DATABASE!$E$4:$E$1000,$B63)&amp;"")</f>
        <v/>
      </c>
      <c r="F63" s="7" t="str">
        <f aca="false">IF($B63="","",INDEX(MASTER_DATABASE!$F$4:$F$1000,$B63)&amp;"")</f>
        <v/>
      </c>
      <c r="G63" s="11" t="str">
        <f aca="false">IF($B63="","",INDEX(MASTER_DATABASE!$I$4:$I$1000,$B63)&amp;"")</f>
        <v/>
      </c>
      <c r="H63" s="7" t="str">
        <f aca="false">IF($B63="","",INDEX(MASTER_DATABASE!$L$4:$L$1000,$B63)&amp;"")</f>
        <v/>
      </c>
      <c r="I63" s="9" t="str">
        <f aca="false">IF($B63="","",INDEX(MASTER_DATABASE!$R$4:$R$1000,$B63))</f>
        <v/>
      </c>
      <c r="J63" s="9" t="str">
        <f aca="false">IF($B63="","",INDEX(MASTER_DATABASE!$S$4:$S$1000,$B63))</f>
        <v/>
      </c>
      <c r="K63" s="9" t="str">
        <f aca="false">IF($B63="","",INDEX(MASTER_DATABASE!$T$4:$T$1000,$B63))</f>
        <v/>
      </c>
      <c r="L63" s="7" t="str">
        <f aca="false">IF($B63="","",INDEX(MASTER_DATABASE!$U$4:$U$1000,$B63)&amp;"")</f>
        <v/>
      </c>
      <c r="M63" s="7" t="str">
        <f aca="false">IF($B63="","",INDEX(MASTER_DATABASE!$Q$4:$Q$1000,$B63)&amp;"")</f>
        <v/>
      </c>
      <c r="N63" s="7" t="str">
        <f aca="false">IF($B63="","",INDEX(MASTER_DATABASE!$AG$4:$AG$1000,$B63)&amp;"")</f>
        <v/>
      </c>
      <c r="O63" s="11" t="str">
        <f aca="false">IF($B63="","",INDEX(MASTER_DATABASE!$AH$4:$AH$1000,$B63)&amp;"")</f>
        <v/>
      </c>
      <c r="P63" s="11" t="str">
        <f aca="false">IF($B63="","",INDEX(MASTER_DATABASE!$BE$4:$BE$1000,$B63)&amp;"")</f>
        <v/>
      </c>
      <c r="Q63" s="7" t="str">
        <f aca="false">IF($B63="","",INDEX(MASTER_DATABASE!$AV$4:$AV$1000,$B63)&amp;"")</f>
        <v/>
      </c>
    </row>
    <row r="64" customFormat="false" ht="15" hidden="false" customHeight="false" outlineLevel="0" collapsed="false">
      <c r="A64" s="11" t="n">
        <v>61</v>
      </c>
      <c r="B64" s="11" t="str">
        <f aca="false">IFERROR(MATCH("Aadhaar Centre|"&amp;$A64,MASTER_DATABASE!$BH$4:$BH$1000,0),"")</f>
        <v/>
      </c>
      <c r="C64" s="11" t="str">
        <f aca="false">IF($B64="","",INDEX(MASTER_DATABASE!$A$4:$A$1000,$B64)&amp;"")</f>
        <v/>
      </c>
      <c r="D64" s="7" t="str">
        <f aca="false">IF($B64="","",INDEX(MASTER_DATABASE!$D$4:$D$1000,$B64)&amp;"")</f>
        <v/>
      </c>
      <c r="E64" s="7" t="str">
        <f aca="false">IF($B64="","",INDEX(MASTER_DATABASE!$E$4:$E$1000,$B64)&amp;"")</f>
        <v/>
      </c>
      <c r="F64" s="7" t="str">
        <f aca="false">IF($B64="","",INDEX(MASTER_DATABASE!$F$4:$F$1000,$B64)&amp;"")</f>
        <v/>
      </c>
      <c r="G64" s="11" t="str">
        <f aca="false">IF($B64="","",INDEX(MASTER_DATABASE!$I$4:$I$1000,$B64)&amp;"")</f>
        <v/>
      </c>
      <c r="H64" s="7" t="str">
        <f aca="false">IF($B64="","",INDEX(MASTER_DATABASE!$L$4:$L$1000,$B64)&amp;"")</f>
        <v/>
      </c>
      <c r="I64" s="9" t="str">
        <f aca="false">IF($B64="","",INDEX(MASTER_DATABASE!$R$4:$R$1000,$B64))</f>
        <v/>
      </c>
      <c r="J64" s="9" t="str">
        <f aca="false">IF($B64="","",INDEX(MASTER_DATABASE!$S$4:$S$1000,$B64))</f>
        <v/>
      </c>
      <c r="K64" s="9" t="str">
        <f aca="false">IF($B64="","",INDEX(MASTER_DATABASE!$T$4:$T$1000,$B64))</f>
        <v/>
      </c>
      <c r="L64" s="7" t="str">
        <f aca="false">IF($B64="","",INDEX(MASTER_DATABASE!$U$4:$U$1000,$B64)&amp;"")</f>
        <v/>
      </c>
      <c r="M64" s="7" t="str">
        <f aca="false">IF($B64="","",INDEX(MASTER_DATABASE!$Q$4:$Q$1000,$B64)&amp;"")</f>
        <v/>
      </c>
      <c r="N64" s="7" t="str">
        <f aca="false">IF($B64="","",INDEX(MASTER_DATABASE!$AG$4:$AG$1000,$B64)&amp;"")</f>
        <v/>
      </c>
      <c r="O64" s="11" t="str">
        <f aca="false">IF($B64="","",INDEX(MASTER_DATABASE!$AH$4:$AH$1000,$B64)&amp;"")</f>
        <v/>
      </c>
      <c r="P64" s="11" t="str">
        <f aca="false">IF($B64="","",INDEX(MASTER_DATABASE!$BE$4:$BE$1000,$B64)&amp;"")</f>
        <v/>
      </c>
      <c r="Q64" s="7" t="str">
        <f aca="false">IF($B64="","",INDEX(MASTER_DATABASE!$AV$4:$AV$1000,$B64)&amp;"")</f>
        <v/>
      </c>
    </row>
    <row r="65" customFormat="false" ht="15" hidden="false" customHeight="false" outlineLevel="0" collapsed="false">
      <c r="A65" s="11" t="n">
        <v>62</v>
      </c>
      <c r="B65" s="11" t="str">
        <f aca="false">IFERROR(MATCH("Aadhaar Centre|"&amp;$A65,MASTER_DATABASE!$BH$4:$BH$1000,0),"")</f>
        <v/>
      </c>
      <c r="C65" s="11" t="str">
        <f aca="false">IF($B65="","",INDEX(MASTER_DATABASE!$A$4:$A$1000,$B65)&amp;"")</f>
        <v/>
      </c>
      <c r="D65" s="7" t="str">
        <f aca="false">IF($B65="","",INDEX(MASTER_DATABASE!$D$4:$D$1000,$B65)&amp;"")</f>
        <v/>
      </c>
      <c r="E65" s="7" t="str">
        <f aca="false">IF($B65="","",INDEX(MASTER_DATABASE!$E$4:$E$1000,$B65)&amp;"")</f>
        <v/>
      </c>
      <c r="F65" s="7" t="str">
        <f aca="false">IF($B65="","",INDEX(MASTER_DATABASE!$F$4:$F$1000,$B65)&amp;"")</f>
        <v/>
      </c>
      <c r="G65" s="11" t="str">
        <f aca="false">IF($B65="","",INDEX(MASTER_DATABASE!$I$4:$I$1000,$B65)&amp;"")</f>
        <v/>
      </c>
      <c r="H65" s="7" t="str">
        <f aca="false">IF($B65="","",INDEX(MASTER_DATABASE!$L$4:$L$1000,$B65)&amp;"")</f>
        <v/>
      </c>
      <c r="I65" s="9" t="str">
        <f aca="false">IF($B65="","",INDEX(MASTER_DATABASE!$R$4:$R$1000,$B65))</f>
        <v/>
      </c>
      <c r="J65" s="9" t="str">
        <f aca="false">IF($B65="","",INDEX(MASTER_DATABASE!$S$4:$S$1000,$B65))</f>
        <v/>
      </c>
      <c r="K65" s="9" t="str">
        <f aca="false">IF($B65="","",INDEX(MASTER_DATABASE!$T$4:$T$1000,$B65))</f>
        <v/>
      </c>
      <c r="L65" s="7" t="str">
        <f aca="false">IF($B65="","",INDEX(MASTER_DATABASE!$U$4:$U$1000,$B65)&amp;"")</f>
        <v/>
      </c>
      <c r="M65" s="7" t="str">
        <f aca="false">IF($B65="","",INDEX(MASTER_DATABASE!$Q$4:$Q$1000,$B65)&amp;"")</f>
        <v/>
      </c>
      <c r="N65" s="7" t="str">
        <f aca="false">IF($B65="","",INDEX(MASTER_DATABASE!$AG$4:$AG$1000,$B65)&amp;"")</f>
        <v/>
      </c>
      <c r="O65" s="11" t="str">
        <f aca="false">IF($B65="","",INDEX(MASTER_DATABASE!$AH$4:$AH$1000,$B65)&amp;"")</f>
        <v/>
      </c>
      <c r="P65" s="11" t="str">
        <f aca="false">IF($B65="","",INDEX(MASTER_DATABASE!$BE$4:$BE$1000,$B65)&amp;"")</f>
        <v/>
      </c>
      <c r="Q65" s="7" t="str">
        <f aca="false">IF($B65="","",INDEX(MASTER_DATABASE!$AV$4:$AV$1000,$B65)&amp;"")</f>
        <v/>
      </c>
    </row>
    <row r="66" customFormat="false" ht="15" hidden="false" customHeight="false" outlineLevel="0" collapsed="false">
      <c r="A66" s="11" t="n">
        <v>63</v>
      </c>
      <c r="B66" s="11" t="str">
        <f aca="false">IFERROR(MATCH("Aadhaar Centre|"&amp;$A66,MASTER_DATABASE!$BH$4:$BH$1000,0),"")</f>
        <v/>
      </c>
      <c r="C66" s="11" t="str">
        <f aca="false">IF($B66="","",INDEX(MASTER_DATABASE!$A$4:$A$1000,$B66)&amp;"")</f>
        <v/>
      </c>
      <c r="D66" s="7" t="str">
        <f aca="false">IF($B66="","",INDEX(MASTER_DATABASE!$D$4:$D$1000,$B66)&amp;"")</f>
        <v/>
      </c>
      <c r="E66" s="7" t="str">
        <f aca="false">IF($B66="","",INDEX(MASTER_DATABASE!$E$4:$E$1000,$B66)&amp;"")</f>
        <v/>
      </c>
      <c r="F66" s="7" t="str">
        <f aca="false">IF($B66="","",INDEX(MASTER_DATABASE!$F$4:$F$1000,$B66)&amp;"")</f>
        <v/>
      </c>
      <c r="G66" s="11" t="str">
        <f aca="false">IF($B66="","",INDEX(MASTER_DATABASE!$I$4:$I$1000,$B66)&amp;"")</f>
        <v/>
      </c>
      <c r="H66" s="7" t="str">
        <f aca="false">IF($B66="","",INDEX(MASTER_DATABASE!$L$4:$L$1000,$B66)&amp;"")</f>
        <v/>
      </c>
      <c r="I66" s="9" t="str">
        <f aca="false">IF($B66="","",INDEX(MASTER_DATABASE!$R$4:$R$1000,$B66))</f>
        <v/>
      </c>
      <c r="J66" s="9" t="str">
        <f aca="false">IF($B66="","",INDEX(MASTER_DATABASE!$S$4:$S$1000,$B66))</f>
        <v/>
      </c>
      <c r="K66" s="9" t="str">
        <f aca="false">IF($B66="","",INDEX(MASTER_DATABASE!$T$4:$T$1000,$B66))</f>
        <v/>
      </c>
      <c r="L66" s="7" t="str">
        <f aca="false">IF($B66="","",INDEX(MASTER_DATABASE!$U$4:$U$1000,$B66)&amp;"")</f>
        <v/>
      </c>
      <c r="M66" s="7" t="str">
        <f aca="false">IF($B66="","",INDEX(MASTER_DATABASE!$Q$4:$Q$1000,$B66)&amp;"")</f>
        <v/>
      </c>
      <c r="N66" s="7" t="str">
        <f aca="false">IF($B66="","",INDEX(MASTER_DATABASE!$AG$4:$AG$1000,$B66)&amp;"")</f>
        <v/>
      </c>
      <c r="O66" s="11" t="str">
        <f aca="false">IF($B66="","",INDEX(MASTER_DATABASE!$AH$4:$AH$1000,$B66)&amp;"")</f>
        <v/>
      </c>
      <c r="P66" s="11" t="str">
        <f aca="false">IF($B66="","",INDEX(MASTER_DATABASE!$BE$4:$BE$1000,$B66)&amp;"")</f>
        <v/>
      </c>
      <c r="Q66" s="7" t="str">
        <f aca="false">IF($B66="","",INDEX(MASTER_DATABASE!$AV$4:$AV$1000,$B66)&amp;"")</f>
        <v/>
      </c>
    </row>
    <row r="67" customFormat="false" ht="15" hidden="false" customHeight="false" outlineLevel="0" collapsed="false">
      <c r="A67" s="11" t="n">
        <v>64</v>
      </c>
      <c r="B67" s="11" t="str">
        <f aca="false">IFERROR(MATCH("Aadhaar Centre|"&amp;$A67,MASTER_DATABASE!$BH$4:$BH$1000,0),"")</f>
        <v/>
      </c>
      <c r="C67" s="11" t="str">
        <f aca="false">IF($B67="","",INDEX(MASTER_DATABASE!$A$4:$A$1000,$B67)&amp;"")</f>
        <v/>
      </c>
      <c r="D67" s="7" t="str">
        <f aca="false">IF($B67="","",INDEX(MASTER_DATABASE!$D$4:$D$1000,$B67)&amp;"")</f>
        <v/>
      </c>
      <c r="E67" s="7" t="str">
        <f aca="false">IF($B67="","",INDEX(MASTER_DATABASE!$E$4:$E$1000,$B67)&amp;"")</f>
        <v/>
      </c>
      <c r="F67" s="7" t="str">
        <f aca="false">IF($B67="","",INDEX(MASTER_DATABASE!$F$4:$F$1000,$B67)&amp;"")</f>
        <v/>
      </c>
      <c r="G67" s="11" t="str">
        <f aca="false">IF($B67="","",INDEX(MASTER_DATABASE!$I$4:$I$1000,$B67)&amp;"")</f>
        <v/>
      </c>
      <c r="H67" s="7" t="str">
        <f aca="false">IF($B67="","",INDEX(MASTER_DATABASE!$L$4:$L$1000,$B67)&amp;"")</f>
        <v/>
      </c>
      <c r="I67" s="9" t="str">
        <f aca="false">IF($B67="","",INDEX(MASTER_DATABASE!$R$4:$R$1000,$B67))</f>
        <v/>
      </c>
      <c r="J67" s="9" t="str">
        <f aca="false">IF($B67="","",INDEX(MASTER_DATABASE!$S$4:$S$1000,$B67))</f>
        <v/>
      </c>
      <c r="K67" s="9" t="str">
        <f aca="false">IF($B67="","",INDEX(MASTER_DATABASE!$T$4:$T$1000,$B67))</f>
        <v/>
      </c>
      <c r="L67" s="7" t="str">
        <f aca="false">IF($B67="","",INDEX(MASTER_DATABASE!$U$4:$U$1000,$B67)&amp;"")</f>
        <v/>
      </c>
      <c r="M67" s="7" t="str">
        <f aca="false">IF($B67="","",INDEX(MASTER_DATABASE!$Q$4:$Q$1000,$B67)&amp;"")</f>
        <v/>
      </c>
      <c r="N67" s="7" t="str">
        <f aca="false">IF($B67="","",INDEX(MASTER_DATABASE!$AG$4:$AG$1000,$B67)&amp;"")</f>
        <v/>
      </c>
      <c r="O67" s="11" t="str">
        <f aca="false">IF($B67="","",INDEX(MASTER_DATABASE!$AH$4:$AH$1000,$B67)&amp;"")</f>
        <v/>
      </c>
      <c r="P67" s="11" t="str">
        <f aca="false">IF($B67="","",INDEX(MASTER_DATABASE!$BE$4:$BE$1000,$B67)&amp;"")</f>
        <v/>
      </c>
      <c r="Q67" s="7" t="str">
        <f aca="false">IF($B67="","",INDEX(MASTER_DATABASE!$AV$4:$AV$1000,$B67)&amp;"")</f>
        <v/>
      </c>
    </row>
    <row r="68" customFormat="false" ht="15" hidden="false" customHeight="false" outlineLevel="0" collapsed="false">
      <c r="A68" s="11" t="n">
        <v>65</v>
      </c>
      <c r="B68" s="11" t="str">
        <f aca="false">IFERROR(MATCH("Aadhaar Centre|"&amp;$A68,MASTER_DATABASE!$BH$4:$BH$1000,0),"")</f>
        <v/>
      </c>
      <c r="C68" s="11" t="str">
        <f aca="false">IF($B68="","",INDEX(MASTER_DATABASE!$A$4:$A$1000,$B68)&amp;"")</f>
        <v/>
      </c>
      <c r="D68" s="7" t="str">
        <f aca="false">IF($B68="","",INDEX(MASTER_DATABASE!$D$4:$D$1000,$B68)&amp;"")</f>
        <v/>
      </c>
      <c r="E68" s="7" t="str">
        <f aca="false">IF($B68="","",INDEX(MASTER_DATABASE!$E$4:$E$1000,$B68)&amp;"")</f>
        <v/>
      </c>
      <c r="F68" s="7" t="str">
        <f aca="false">IF($B68="","",INDEX(MASTER_DATABASE!$F$4:$F$1000,$B68)&amp;"")</f>
        <v/>
      </c>
      <c r="G68" s="11" t="str">
        <f aca="false">IF($B68="","",INDEX(MASTER_DATABASE!$I$4:$I$1000,$B68)&amp;"")</f>
        <v/>
      </c>
      <c r="H68" s="7" t="str">
        <f aca="false">IF($B68="","",INDEX(MASTER_DATABASE!$L$4:$L$1000,$B68)&amp;"")</f>
        <v/>
      </c>
      <c r="I68" s="9" t="str">
        <f aca="false">IF($B68="","",INDEX(MASTER_DATABASE!$R$4:$R$1000,$B68))</f>
        <v/>
      </c>
      <c r="J68" s="9" t="str">
        <f aca="false">IF($B68="","",INDEX(MASTER_DATABASE!$S$4:$S$1000,$B68))</f>
        <v/>
      </c>
      <c r="K68" s="9" t="str">
        <f aca="false">IF($B68="","",INDEX(MASTER_DATABASE!$T$4:$T$1000,$B68))</f>
        <v/>
      </c>
      <c r="L68" s="7" t="str">
        <f aca="false">IF($B68="","",INDEX(MASTER_DATABASE!$U$4:$U$1000,$B68)&amp;"")</f>
        <v/>
      </c>
      <c r="M68" s="7" t="str">
        <f aca="false">IF($B68="","",INDEX(MASTER_DATABASE!$Q$4:$Q$1000,$B68)&amp;"")</f>
        <v/>
      </c>
      <c r="N68" s="7" t="str">
        <f aca="false">IF($B68="","",INDEX(MASTER_DATABASE!$AG$4:$AG$1000,$B68)&amp;"")</f>
        <v/>
      </c>
      <c r="O68" s="11" t="str">
        <f aca="false">IF($B68="","",INDEX(MASTER_DATABASE!$AH$4:$AH$1000,$B68)&amp;"")</f>
        <v/>
      </c>
      <c r="P68" s="11" t="str">
        <f aca="false">IF($B68="","",INDEX(MASTER_DATABASE!$BE$4:$BE$1000,$B68)&amp;"")</f>
        <v/>
      </c>
      <c r="Q68" s="7" t="str">
        <f aca="false">IF($B68="","",INDEX(MASTER_DATABASE!$AV$4:$AV$1000,$B68)&amp;"")</f>
        <v/>
      </c>
    </row>
    <row r="69" customFormat="false" ht="15" hidden="false" customHeight="false" outlineLevel="0" collapsed="false">
      <c r="A69" s="11" t="n">
        <v>66</v>
      </c>
      <c r="B69" s="11" t="str">
        <f aca="false">IFERROR(MATCH("Aadhaar Centre|"&amp;$A69,MASTER_DATABASE!$BH$4:$BH$1000,0),"")</f>
        <v/>
      </c>
      <c r="C69" s="11" t="str">
        <f aca="false">IF($B69="","",INDEX(MASTER_DATABASE!$A$4:$A$1000,$B69)&amp;"")</f>
        <v/>
      </c>
      <c r="D69" s="7" t="str">
        <f aca="false">IF($B69="","",INDEX(MASTER_DATABASE!$D$4:$D$1000,$B69)&amp;"")</f>
        <v/>
      </c>
      <c r="E69" s="7" t="str">
        <f aca="false">IF($B69="","",INDEX(MASTER_DATABASE!$E$4:$E$1000,$B69)&amp;"")</f>
        <v/>
      </c>
      <c r="F69" s="7" t="str">
        <f aca="false">IF($B69="","",INDEX(MASTER_DATABASE!$F$4:$F$1000,$B69)&amp;"")</f>
        <v/>
      </c>
      <c r="G69" s="11" t="str">
        <f aca="false">IF($B69="","",INDEX(MASTER_DATABASE!$I$4:$I$1000,$B69)&amp;"")</f>
        <v/>
      </c>
      <c r="H69" s="7" t="str">
        <f aca="false">IF($B69="","",INDEX(MASTER_DATABASE!$L$4:$L$1000,$B69)&amp;"")</f>
        <v/>
      </c>
      <c r="I69" s="9" t="str">
        <f aca="false">IF($B69="","",INDEX(MASTER_DATABASE!$R$4:$R$1000,$B69))</f>
        <v/>
      </c>
      <c r="J69" s="9" t="str">
        <f aca="false">IF($B69="","",INDEX(MASTER_DATABASE!$S$4:$S$1000,$B69))</f>
        <v/>
      </c>
      <c r="K69" s="9" t="str">
        <f aca="false">IF($B69="","",INDEX(MASTER_DATABASE!$T$4:$T$1000,$B69))</f>
        <v/>
      </c>
      <c r="L69" s="7" t="str">
        <f aca="false">IF($B69="","",INDEX(MASTER_DATABASE!$U$4:$U$1000,$B69)&amp;"")</f>
        <v/>
      </c>
      <c r="M69" s="7" t="str">
        <f aca="false">IF($B69="","",INDEX(MASTER_DATABASE!$Q$4:$Q$1000,$B69)&amp;"")</f>
        <v/>
      </c>
      <c r="N69" s="7" t="str">
        <f aca="false">IF($B69="","",INDEX(MASTER_DATABASE!$AG$4:$AG$1000,$B69)&amp;"")</f>
        <v/>
      </c>
      <c r="O69" s="11" t="str">
        <f aca="false">IF($B69="","",INDEX(MASTER_DATABASE!$AH$4:$AH$1000,$B69)&amp;"")</f>
        <v/>
      </c>
      <c r="P69" s="11" t="str">
        <f aca="false">IF($B69="","",INDEX(MASTER_DATABASE!$BE$4:$BE$1000,$B69)&amp;"")</f>
        <v/>
      </c>
      <c r="Q69" s="7" t="str">
        <f aca="false">IF($B69="","",INDEX(MASTER_DATABASE!$AV$4:$AV$1000,$B69)&amp;"")</f>
        <v/>
      </c>
    </row>
    <row r="70" customFormat="false" ht="15" hidden="false" customHeight="false" outlineLevel="0" collapsed="false">
      <c r="A70" s="11" t="n">
        <v>67</v>
      </c>
      <c r="B70" s="11" t="str">
        <f aca="false">IFERROR(MATCH("Aadhaar Centre|"&amp;$A70,MASTER_DATABASE!$BH$4:$BH$1000,0),"")</f>
        <v/>
      </c>
      <c r="C70" s="11" t="str">
        <f aca="false">IF($B70="","",INDEX(MASTER_DATABASE!$A$4:$A$1000,$B70)&amp;"")</f>
        <v/>
      </c>
      <c r="D70" s="7" t="str">
        <f aca="false">IF($B70="","",INDEX(MASTER_DATABASE!$D$4:$D$1000,$B70)&amp;"")</f>
        <v/>
      </c>
      <c r="E70" s="7" t="str">
        <f aca="false">IF($B70="","",INDEX(MASTER_DATABASE!$E$4:$E$1000,$B70)&amp;"")</f>
        <v/>
      </c>
      <c r="F70" s="7" t="str">
        <f aca="false">IF($B70="","",INDEX(MASTER_DATABASE!$F$4:$F$1000,$B70)&amp;"")</f>
        <v/>
      </c>
      <c r="G70" s="11" t="str">
        <f aca="false">IF($B70="","",INDEX(MASTER_DATABASE!$I$4:$I$1000,$B70)&amp;"")</f>
        <v/>
      </c>
      <c r="H70" s="7" t="str">
        <f aca="false">IF($B70="","",INDEX(MASTER_DATABASE!$L$4:$L$1000,$B70)&amp;"")</f>
        <v/>
      </c>
      <c r="I70" s="9" t="str">
        <f aca="false">IF($B70="","",INDEX(MASTER_DATABASE!$R$4:$R$1000,$B70))</f>
        <v/>
      </c>
      <c r="J70" s="9" t="str">
        <f aca="false">IF($B70="","",INDEX(MASTER_DATABASE!$S$4:$S$1000,$B70))</f>
        <v/>
      </c>
      <c r="K70" s="9" t="str">
        <f aca="false">IF($B70="","",INDEX(MASTER_DATABASE!$T$4:$T$1000,$B70))</f>
        <v/>
      </c>
      <c r="L70" s="7" t="str">
        <f aca="false">IF($B70="","",INDEX(MASTER_DATABASE!$U$4:$U$1000,$B70)&amp;"")</f>
        <v/>
      </c>
      <c r="M70" s="7" t="str">
        <f aca="false">IF($B70="","",INDEX(MASTER_DATABASE!$Q$4:$Q$1000,$B70)&amp;"")</f>
        <v/>
      </c>
      <c r="N70" s="7" t="str">
        <f aca="false">IF($B70="","",INDEX(MASTER_DATABASE!$AG$4:$AG$1000,$B70)&amp;"")</f>
        <v/>
      </c>
      <c r="O70" s="11" t="str">
        <f aca="false">IF($B70="","",INDEX(MASTER_DATABASE!$AH$4:$AH$1000,$B70)&amp;"")</f>
        <v/>
      </c>
      <c r="P70" s="11" t="str">
        <f aca="false">IF($B70="","",INDEX(MASTER_DATABASE!$BE$4:$BE$1000,$B70)&amp;"")</f>
        <v/>
      </c>
      <c r="Q70" s="7" t="str">
        <f aca="false">IF($B70="","",INDEX(MASTER_DATABASE!$AV$4:$AV$1000,$B70)&amp;"")</f>
        <v/>
      </c>
    </row>
  </sheetData>
  <conditionalFormatting sqref="G4:G70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70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70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3682</v>
      </c>
    </row>
    <row r="2" customFormat="false" ht="15" hidden="false" customHeight="false" outlineLevel="0" collapsed="false">
      <c r="A2" s="2" t="s">
        <v>3683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15" hidden="false" customHeight="false" outlineLevel="0" collapsed="false">
      <c r="A4" s="11" t="n">
        <v>1</v>
      </c>
      <c r="B4" s="11" t="n">
        <f aca="false">IFERROR(MATCH("HDFC Bank BC Point|"&amp;$A4,MASTER_DATABASE!$BH$4:$BH$1000,0),"")</f>
        <v>43</v>
      </c>
      <c r="C4" s="11" t="str">
        <f aca="false">IF($B4="","",INDEX(MASTER_DATABASE!$A$4:$A$1000,$B4)&amp;"")</f>
        <v>HDF-001</v>
      </c>
      <c r="D4" s="7" t="str">
        <f aca="false">IF($B4="","",INDEX(MASTER_DATABASE!$D$4:$D$1000,$B4)&amp;"")</f>
        <v>Cash &amp; Balance Services</v>
      </c>
      <c r="E4" s="7" t="str">
        <f aca="false">IF($B4="","",INDEX(MASTER_DATABASE!$E$4:$E$1000,$B4)&amp;"")</f>
        <v>HDFC BC – Cash Deposit</v>
      </c>
      <c r="F4" s="7" t="str">
        <f aca="false">IF($B4="","",INDEX(MASTER_DATABASE!$F$4:$F$1000,$B4)&amp;"")</f>
        <v>HDFC BC – नकद जमा</v>
      </c>
      <c r="G4" s="11" t="str">
        <f aca="false">IF($B4="","",INDEX(MASTER_DATABASE!$I$4:$I$1000,$B4)&amp;"")</f>
        <v>Authorization Required</v>
      </c>
      <c r="H4" s="7" t="str">
        <f aca="false">IF($B4="","",INDEX(MASTER_DATABASE!$L$4:$L$1000,$B4)&amp;"")</f>
        <v>To Verify</v>
      </c>
      <c r="I4" s="9" t="str">
        <f aca="false">IF($B4="","",INDEX(MASTER_DATABASE!$R$4:$R$1000,$B4))</f>
        <v>To Verify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To Verify</v>
      </c>
      <c r="M4" s="7" t="str">
        <f aca="false">IF($B4="","",INDEX(MASTER_DATABASE!$Q$4:$Q$1000,$B4)&amp;"")</f>
        <v>5–10 Minutes</v>
      </c>
      <c r="N4" s="7" t="str">
        <f aca="false">IF($B4="","",INDEX(MASTER_DATABASE!$AG$4:$AG$1000,$B4)&amp;"")</f>
        <v>To Verify</v>
      </c>
      <c r="O4" s="11" t="str">
        <f aca="false">IF($B4="","",INDEX(MASTER_DATABASE!$AH$4:$AH$1000,$B4)&amp;"")</f>
        <v>No</v>
      </c>
      <c r="P4" s="11" t="str">
        <f aca="false">IF($B4="","",INDEX(MASTER_DATABASE!$BE$4:$BE$1000,$B4)&amp;"")</f>
        <v>HIDDEN</v>
      </c>
      <c r="Q4" s="7" t="str">
        <f aca="false">IF($B4="","",INDEX(MASTER_DATABASE!$AV$4:$AV$1000,$B4)&amp;"")</f>
        <v>To Verify</v>
      </c>
    </row>
    <row r="5" customFormat="false" ht="15" hidden="false" customHeight="false" outlineLevel="0" collapsed="false">
      <c r="A5" s="11" t="n">
        <v>2</v>
      </c>
      <c r="B5" s="11" t="n">
        <f aca="false">IFERROR(MATCH("HDFC Bank BC Point|"&amp;$A5,MASTER_DATABASE!$BH$4:$BH$1000,0),"")</f>
        <v>44</v>
      </c>
      <c r="C5" s="11" t="str">
        <f aca="false">IF($B5="","",INDEX(MASTER_DATABASE!$A$4:$A$1000,$B5)&amp;"")</f>
        <v>HDF-002</v>
      </c>
      <c r="D5" s="7" t="str">
        <f aca="false">IF($B5="","",INDEX(MASTER_DATABASE!$D$4:$D$1000,$B5)&amp;"")</f>
        <v>Cash &amp; Balance Services</v>
      </c>
      <c r="E5" s="7" t="str">
        <f aca="false">IF($B5="","",INDEX(MASTER_DATABASE!$E$4:$E$1000,$B5)&amp;"")</f>
        <v>HDFC BC – Cash Withdrawal</v>
      </c>
      <c r="F5" s="7" t="str">
        <f aca="false">IF($B5="","",INDEX(MASTER_DATABASE!$F$4:$F$1000,$B5)&amp;"")</f>
        <v>HDFC BC – नकद निकासी</v>
      </c>
      <c r="G5" s="11" t="str">
        <f aca="false">IF($B5="","",INDEX(MASTER_DATABASE!$I$4:$I$1000,$B5)&amp;"")</f>
        <v>Authorization Required</v>
      </c>
      <c r="H5" s="7" t="str">
        <f aca="false">IF($B5="","",INDEX(MASTER_DATABASE!$L$4:$L$1000,$B5)&amp;"")</f>
        <v>To Verify</v>
      </c>
      <c r="I5" s="9" t="str">
        <f aca="false">IF($B5="","",INDEX(MASTER_DATABASE!$R$4:$R$1000,$B5))</f>
        <v>To Verify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To Verify</v>
      </c>
      <c r="M5" s="7" t="str">
        <f aca="false">IF($B5="","",INDEX(MASTER_DATABASE!$Q$4:$Q$1000,$B5)&amp;"")</f>
        <v>5–10 Minutes</v>
      </c>
      <c r="N5" s="7" t="str">
        <f aca="false">IF($B5="","",INDEX(MASTER_DATABASE!$AG$4:$AG$1000,$B5)&amp;"")</f>
        <v>To Verify</v>
      </c>
      <c r="O5" s="11" t="str">
        <f aca="false">IF($B5="","",INDEX(MASTER_DATABASE!$AH$4:$AH$1000,$B5)&amp;"")</f>
        <v>No</v>
      </c>
      <c r="P5" s="11" t="str">
        <f aca="false">IF($B5="","",INDEX(MASTER_DATABASE!$BE$4:$BE$1000,$B5)&amp;"")</f>
        <v>HIDDEN</v>
      </c>
      <c r="Q5" s="7" t="str">
        <f aca="false">IF($B5="","",INDEX(MASTER_DATABASE!$AV$4:$AV$1000,$B5)&amp;"")</f>
        <v>To Verify</v>
      </c>
    </row>
    <row r="6" customFormat="false" ht="23.85" hidden="false" customHeight="false" outlineLevel="0" collapsed="false">
      <c r="A6" s="11" t="n">
        <v>3</v>
      </c>
      <c r="B6" s="11" t="n">
        <f aca="false">IFERROR(MATCH("HDFC Bank BC Point|"&amp;$A6,MASTER_DATABASE!$BH$4:$BH$1000,0),"")</f>
        <v>45</v>
      </c>
      <c r="C6" s="11" t="str">
        <f aca="false">IF($B6="","",INDEX(MASTER_DATABASE!$A$4:$A$1000,$B6)&amp;"")</f>
        <v>HDF-003</v>
      </c>
      <c r="D6" s="7" t="str">
        <f aca="false">IF($B6="","",INDEX(MASTER_DATABASE!$D$4:$D$1000,$B6)&amp;"")</f>
        <v>Cash &amp; Balance Services</v>
      </c>
      <c r="E6" s="7" t="str">
        <f aca="false">IF($B6="","",INDEX(MASTER_DATABASE!$E$4:$E$1000,$B6)&amp;"")</f>
        <v>HDFC BC – Balance Enquiry</v>
      </c>
      <c r="F6" s="7" t="str">
        <f aca="false">IF($B6="","",INDEX(MASTER_DATABASE!$F$4:$F$1000,$B6)&amp;"")</f>
        <v>HDFC BC – बैलेंस पूछताछ</v>
      </c>
      <c r="G6" s="11" t="str">
        <f aca="false">IF($B6="","",INDEX(MASTER_DATABASE!$I$4:$I$1000,$B6)&amp;"")</f>
        <v>Authorization Required</v>
      </c>
      <c r="H6" s="7" t="str">
        <f aca="false">IF($B6="","",INDEX(MASTER_DATABASE!$L$4:$L$1000,$B6)&amp;"")</f>
        <v>To Verify</v>
      </c>
      <c r="I6" s="9" t="str">
        <f aca="false">IF($B6="","",INDEX(MASTER_DATABASE!$R$4:$R$1000,$B6))</f>
        <v>To Verify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To Verify</v>
      </c>
      <c r="M6" s="7" t="str">
        <f aca="false">IF($B6="","",INDEX(MASTER_DATABASE!$Q$4:$Q$1000,$B6)&amp;"")</f>
        <v>Depends on Department</v>
      </c>
      <c r="N6" s="7" t="str">
        <f aca="false">IF($B6="","",INDEX(MASTER_DATABASE!$AG$4:$AG$1000,$B6)&amp;"")</f>
        <v>To Verify</v>
      </c>
      <c r="O6" s="11" t="str">
        <f aca="false">IF($B6="","",INDEX(MASTER_DATABASE!$AH$4:$AH$1000,$B6)&amp;"")</f>
        <v>No</v>
      </c>
      <c r="P6" s="11" t="str">
        <f aca="false">IF($B6="","",INDEX(MASTER_DATABASE!$BE$4:$BE$1000,$B6)&amp;"")</f>
        <v>HIDDEN</v>
      </c>
      <c r="Q6" s="7" t="str">
        <f aca="false">IF($B6="","",INDEX(MASTER_DATABASE!$AV$4:$AV$1000,$B6)&amp;"")</f>
        <v>To Verify</v>
      </c>
    </row>
    <row r="7" customFormat="false" ht="23.85" hidden="false" customHeight="false" outlineLevel="0" collapsed="false">
      <c r="A7" s="11" t="n">
        <v>4</v>
      </c>
      <c r="B7" s="11" t="n">
        <f aca="false">IFERROR(MATCH("HDFC Bank BC Point|"&amp;$A7,MASTER_DATABASE!$BH$4:$BH$1000,0),"")</f>
        <v>46</v>
      </c>
      <c r="C7" s="11" t="str">
        <f aca="false">IF($B7="","",INDEX(MASTER_DATABASE!$A$4:$A$1000,$B7)&amp;"")</f>
        <v>HDF-004</v>
      </c>
      <c r="D7" s="7" t="str">
        <f aca="false">IF($B7="","",INDEX(MASTER_DATABASE!$D$4:$D$1000,$B7)&amp;"")</f>
        <v>Cash &amp; Balance Services</v>
      </c>
      <c r="E7" s="7" t="str">
        <f aca="false">IF($B7="","",INDEX(MASTER_DATABASE!$E$4:$E$1000,$B7)&amp;"")</f>
        <v>HDFC BC – Mini Statement</v>
      </c>
      <c r="F7" s="7" t="str">
        <f aca="false">IF($B7="","",INDEX(MASTER_DATABASE!$F$4:$F$1000,$B7)&amp;"")</f>
        <v>HDFC BC – मिनी स्टेटमेंट</v>
      </c>
      <c r="G7" s="11" t="str">
        <f aca="false">IF($B7="","",INDEX(MASTER_DATABASE!$I$4:$I$1000,$B7)&amp;"")</f>
        <v>Authorization Required</v>
      </c>
      <c r="H7" s="7" t="str">
        <f aca="false">IF($B7="","",INDEX(MASTER_DATABASE!$L$4:$L$1000,$B7)&amp;"")</f>
        <v>To Verify</v>
      </c>
      <c r="I7" s="9" t="str">
        <f aca="false">IF($B7="","",INDEX(MASTER_DATABASE!$R$4:$R$1000,$B7))</f>
        <v>To Verify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To Verify</v>
      </c>
      <c r="M7" s="7" t="str">
        <f aca="false">IF($B7="","",INDEX(MASTER_DATABASE!$Q$4:$Q$1000,$B7)&amp;"")</f>
        <v>Depends on Department</v>
      </c>
      <c r="N7" s="7" t="str">
        <f aca="false">IF($B7="","",INDEX(MASTER_DATABASE!$AG$4:$AG$1000,$B7)&amp;"")</f>
        <v>To Verify</v>
      </c>
      <c r="O7" s="11" t="str">
        <f aca="false">IF($B7="","",INDEX(MASTER_DATABASE!$AH$4:$AH$1000,$B7)&amp;"")</f>
        <v>No</v>
      </c>
      <c r="P7" s="11" t="str">
        <f aca="false">IF($B7="","",INDEX(MASTER_DATABASE!$BE$4:$BE$1000,$B7)&amp;"")</f>
        <v>HIDDEN</v>
      </c>
      <c r="Q7" s="7" t="str">
        <f aca="false">IF($B7="","",INDEX(MASTER_DATABASE!$AV$4:$AV$1000,$B7)&amp;"")</f>
        <v>To Verify</v>
      </c>
    </row>
    <row r="8" customFormat="false" ht="15" hidden="false" customHeight="false" outlineLevel="0" collapsed="false">
      <c r="A8" s="11" t="n">
        <v>5</v>
      </c>
      <c r="B8" s="11" t="n">
        <f aca="false">IFERROR(MATCH("HDFC Bank BC Point|"&amp;$A8,MASTER_DATABASE!$BH$4:$BH$1000,0),"")</f>
        <v>47</v>
      </c>
      <c r="C8" s="11" t="str">
        <f aca="false">IF($B8="","",INDEX(MASTER_DATABASE!$A$4:$A$1000,$B8)&amp;"")</f>
        <v>HDF-005</v>
      </c>
      <c r="D8" s="7" t="str">
        <f aca="false">IF($B8="","",INDEX(MASTER_DATABASE!$D$4:$D$1000,$B8)&amp;"")</f>
        <v>AEPS / Biometric Banking</v>
      </c>
      <c r="E8" s="7" t="str">
        <f aca="false">IF($B8="","",INDEX(MASTER_DATABASE!$E$4:$E$1000,$B8)&amp;"")</f>
        <v>HDFC BC – AEPS Cash Withdrawal</v>
      </c>
      <c r="F8" s="7" t="str">
        <f aca="false">IF($B8="","",INDEX(MASTER_DATABASE!$F$4:$F$1000,$B8)&amp;"")</f>
        <v>HDFC BC – AEPS नकद निकासी</v>
      </c>
      <c r="G8" s="11" t="str">
        <f aca="false">IF($B8="","",INDEX(MASTER_DATABASE!$I$4:$I$1000,$B8)&amp;"")</f>
        <v>Authorization Required</v>
      </c>
      <c r="H8" s="7" t="str">
        <f aca="false">IF($B8="","",INDEX(MASTER_DATABASE!$L$4:$L$1000,$B8)&amp;"")</f>
        <v>To Verify</v>
      </c>
      <c r="I8" s="9" t="str">
        <f aca="false">IF($B8="","",INDEX(MASTER_DATABASE!$R$4:$R$1000,$B8))</f>
        <v>To Verify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To Verify</v>
      </c>
      <c r="M8" s="7" t="str">
        <f aca="false">IF($B8="","",INDEX(MASTER_DATABASE!$Q$4:$Q$1000,$B8)&amp;"")</f>
        <v>5–10 Minutes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15" hidden="false" customHeight="false" outlineLevel="0" collapsed="false">
      <c r="A9" s="11" t="n">
        <v>6</v>
      </c>
      <c r="B9" s="11" t="n">
        <f aca="false">IFERROR(MATCH("HDFC Bank BC Point|"&amp;$A9,MASTER_DATABASE!$BH$4:$BH$1000,0),"")</f>
        <v>48</v>
      </c>
      <c r="C9" s="11" t="str">
        <f aca="false">IF($B9="","",INDEX(MASTER_DATABASE!$A$4:$A$1000,$B9)&amp;"")</f>
        <v>HDF-006</v>
      </c>
      <c r="D9" s="7" t="str">
        <f aca="false">IF($B9="","",INDEX(MASTER_DATABASE!$D$4:$D$1000,$B9)&amp;"")</f>
        <v>AEPS / Biometric Banking</v>
      </c>
      <c r="E9" s="7" t="str">
        <f aca="false">IF($B9="","",INDEX(MASTER_DATABASE!$E$4:$E$1000,$B9)&amp;"")</f>
        <v>HDFC BC – AEPS Balance Enquiry</v>
      </c>
      <c r="F9" s="7" t="str">
        <f aca="false">IF($B9="","",INDEX(MASTER_DATABASE!$F$4:$F$1000,$B9)&amp;"")</f>
        <v>HDFC BC – AEPS बैलेंस पूछताछ</v>
      </c>
      <c r="G9" s="11" t="str">
        <f aca="false">IF($B9="","",INDEX(MASTER_DATABASE!$I$4:$I$1000,$B9)&amp;"")</f>
        <v>Authorization Required</v>
      </c>
      <c r="H9" s="7" t="str">
        <f aca="false">IF($B9="","",INDEX(MASTER_DATABASE!$L$4:$L$1000,$B9)&amp;"")</f>
        <v>To Verify</v>
      </c>
      <c r="I9" s="9" t="str">
        <f aca="false">IF($B9="","",INDEX(MASTER_DATABASE!$R$4:$R$1000,$B9))</f>
        <v>To Verify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To Verify</v>
      </c>
      <c r="M9" s="7" t="str">
        <f aca="false">IF($B9="","",INDEX(MASTER_DATABASE!$Q$4:$Q$1000,$B9)&amp;"")</f>
        <v>5–10 Minutes</v>
      </c>
      <c r="N9" s="7" t="str">
        <f aca="false">IF($B9="","",INDEX(MASTER_DATABASE!$AG$4:$AG$1000,$B9)&amp;"")</f>
        <v>To Verify</v>
      </c>
      <c r="O9" s="11" t="str">
        <f aca="false">IF($B9="","",INDEX(MASTER_DATABASE!$AH$4:$AH$1000,$B9)&amp;"")</f>
        <v>No</v>
      </c>
      <c r="P9" s="11" t="str">
        <f aca="false">IF($B9="","",INDEX(MASTER_DATABASE!$BE$4:$BE$1000,$B9)&amp;"")</f>
        <v>HIDDEN</v>
      </c>
      <c r="Q9" s="7" t="str">
        <f aca="false">IF($B9="","",INDEX(MASTER_DATABASE!$AV$4:$AV$1000,$B9)&amp;"")</f>
        <v>To Verify</v>
      </c>
    </row>
    <row r="10" customFormat="false" ht="15" hidden="false" customHeight="false" outlineLevel="0" collapsed="false">
      <c r="A10" s="11" t="n">
        <v>7</v>
      </c>
      <c r="B10" s="11" t="n">
        <f aca="false">IFERROR(MATCH("HDFC Bank BC Point|"&amp;$A10,MASTER_DATABASE!$BH$4:$BH$1000,0),"")</f>
        <v>49</v>
      </c>
      <c r="C10" s="11" t="str">
        <f aca="false">IF($B10="","",INDEX(MASTER_DATABASE!$A$4:$A$1000,$B10)&amp;"")</f>
        <v>HDF-007</v>
      </c>
      <c r="D10" s="7" t="str">
        <f aca="false">IF($B10="","",INDEX(MASTER_DATABASE!$D$4:$D$1000,$B10)&amp;"")</f>
        <v>AEPS / Biometric Banking</v>
      </c>
      <c r="E10" s="7" t="str">
        <f aca="false">IF($B10="","",INDEX(MASTER_DATABASE!$E$4:$E$1000,$B10)&amp;"")</f>
        <v>HDFC BC – AEPS Mini Statement</v>
      </c>
      <c r="F10" s="7" t="str">
        <f aca="false">IF($B10="","",INDEX(MASTER_DATABASE!$F$4:$F$1000,$B10)&amp;"")</f>
        <v>HDFC BC – AEPS मिनी स्टेटमेंट</v>
      </c>
      <c r="G10" s="11" t="str">
        <f aca="false">IF($B10="","",INDEX(MASTER_DATABASE!$I$4:$I$1000,$B10)&amp;"")</f>
        <v>Authorization Required</v>
      </c>
      <c r="H10" s="7" t="str">
        <f aca="false">IF($B10="","",INDEX(MASTER_DATABASE!$L$4:$L$1000,$B10)&amp;"")</f>
        <v>To Verify</v>
      </c>
      <c r="I10" s="9" t="str">
        <f aca="false">IF($B10="","",INDEX(MASTER_DATABASE!$R$4:$R$1000,$B10))</f>
        <v>To Verify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To Verify</v>
      </c>
      <c r="M10" s="7" t="str">
        <f aca="false">IF($B10="","",INDEX(MASTER_DATABASE!$Q$4:$Q$1000,$B10)&amp;"")</f>
        <v>5–10 Minutes</v>
      </c>
      <c r="N10" s="7" t="str">
        <f aca="false">IF($B10="","",INDEX(MASTER_DATABASE!$AG$4:$AG$1000,$B10)&amp;"")</f>
        <v>To Verify</v>
      </c>
      <c r="O10" s="11" t="str">
        <f aca="false">IF($B10="","",INDEX(MASTER_DATABASE!$AH$4:$AH$1000,$B10)&amp;"")</f>
        <v>No</v>
      </c>
      <c r="P10" s="11" t="str">
        <f aca="false">IF($B10="","",INDEX(MASTER_DATABASE!$BE$4:$BE$1000,$B10)&amp;"")</f>
        <v>HIDDEN</v>
      </c>
      <c r="Q10" s="7" t="str">
        <f aca="false">IF($B10="","",INDEX(MASTER_DATABASE!$AV$4:$AV$1000,$B10)&amp;"")</f>
        <v>To Verify</v>
      </c>
    </row>
    <row r="11" customFormat="false" ht="23.85" hidden="false" customHeight="false" outlineLevel="0" collapsed="false">
      <c r="A11" s="11" t="n">
        <v>8</v>
      </c>
      <c r="B11" s="11" t="n">
        <f aca="false">IFERROR(MATCH("HDFC Bank BC Point|"&amp;$A11,MASTER_DATABASE!$BH$4:$BH$1000,0),"")</f>
        <v>50</v>
      </c>
      <c r="C11" s="11" t="str">
        <f aca="false">IF($B11="","",INDEX(MASTER_DATABASE!$A$4:$A$1000,$B11)&amp;"")</f>
        <v>HDF-008</v>
      </c>
      <c r="D11" s="7" t="str">
        <f aca="false">IF($B11="","",INDEX(MASTER_DATABASE!$D$4:$D$1000,$B11)&amp;"")</f>
        <v>AEPS / Biometric Banking</v>
      </c>
      <c r="E11" s="7" t="str">
        <f aca="false">IF($B11="","",INDEX(MASTER_DATABASE!$E$4:$E$1000,$B11)&amp;"")</f>
        <v>HDFC BC – Biometric Banking (Fingerprint Authenticated)</v>
      </c>
      <c r="F11" s="7" t="str">
        <f aca="false">IF($B11="","",INDEX(MASTER_DATABASE!$F$4:$F$1000,$B11)&amp;"")</f>
        <v>HDFC BC – बायोमेट्रिक बैंकिंग (फिंगरप्रिंट सत्यापित)</v>
      </c>
      <c r="G11" s="11" t="str">
        <f aca="false">IF($B11="","",INDEX(MASTER_DATABASE!$I$4:$I$1000,$B11)&amp;"")</f>
        <v>Authorization Required</v>
      </c>
      <c r="H11" s="7" t="str">
        <f aca="false">IF($B11="","",INDEX(MASTER_DATABASE!$L$4:$L$1000,$B11)&amp;"")</f>
        <v>To Verify</v>
      </c>
      <c r="I11" s="9" t="str">
        <f aca="false">IF($B11="","",INDEX(MASTER_DATABASE!$R$4:$R$1000,$B11))</f>
        <v>To Verify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To Verify</v>
      </c>
      <c r="M11" s="7" t="str">
        <f aca="false">IF($B11="","",INDEX(MASTER_DATABASE!$Q$4:$Q$1000,$B11)&amp;"")</f>
        <v>5–10 Minutes</v>
      </c>
      <c r="N11" s="7" t="str">
        <f aca="false">IF($B11="","",INDEX(MASTER_DATABASE!$AG$4:$AG$1000,$B11)&amp;"")</f>
        <v>To Verify</v>
      </c>
      <c r="O11" s="11" t="str">
        <f aca="false">IF($B11="","",INDEX(MASTER_DATABASE!$AH$4:$AH$1000,$B11)&amp;"")</f>
        <v>No</v>
      </c>
      <c r="P11" s="11" t="str">
        <f aca="false">IF($B11="","",INDEX(MASTER_DATABASE!$BE$4:$BE$1000,$B11)&amp;"")</f>
        <v>HIDDEN</v>
      </c>
      <c r="Q11" s="7" t="str">
        <f aca="false">IF($B11="","",INDEX(MASTER_DATABASE!$AV$4:$AV$1000,$B11)&amp;"")</f>
        <v>To Verify</v>
      </c>
    </row>
    <row r="12" customFormat="false" ht="15" hidden="false" customHeight="false" outlineLevel="0" collapsed="false">
      <c r="A12" s="11" t="n">
        <v>9</v>
      </c>
      <c r="B12" s="11" t="n">
        <f aca="false">IFERROR(MATCH("HDFC Bank BC Point|"&amp;$A12,MASTER_DATABASE!$BH$4:$BH$1000,0),"")</f>
        <v>51</v>
      </c>
      <c r="C12" s="11" t="str">
        <f aca="false">IF($B12="","",INDEX(MASTER_DATABASE!$A$4:$A$1000,$B12)&amp;"")</f>
        <v>HDF-009</v>
      </c>
      <c r="D12" s="7" t="str">
        <f aca="false">IF($B12="","",INDEX(MASTER_DATABASE!$D$4:$D$1000,$B12)&amp;"")</f>
        <v>Micro ATM</v>
      </c>
      <c r="E12" s="7" t="str">
        <f aca="false">IF($B12="","",INDEX(MASTER_DATABASE!$E$4:$E$1000,$B12)&amp;"")</f>
        <v>HDFC BC – Micro ATM Cash Withdrawal</v>
      </c>
      <c r="F12" s="7" t="str">
        <f aca="false">IF($B12="","",INDEX(MASTER_DATABASE!$F$4:$F$1000,$B12)&amp;"")</f>
        <v>HDFC BC – Micro ATM नकद निकासी</v>
      </c>
      <c r="G12" s="11" t="str">
        <f aca="false">IF($B12="","",INDEX(MASTER_DATABASE!$I$4:$I$1000,$B12)&amp;"")</f>
        <v>Authorization Required</v>
      </c>
      <c r="H12" s="7" t="str">
        <f aca="false">IF($B12="","",INDEX(MASTER_DATABASE!$L$4:$L$1000,$B12)&amp;"")</f>
        <v>To Verify</v>
      </c>
      <c r="I12" s="9" t="str">
        <f aca="false">IF($B12="","",INDEX(MASTER_DATABASE!$R$4:$R$1000,$B12))</f>
        <v>To Verify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To Verify</v>
      </c>
      <c r="M12" s="7" t="str">
        <f aca="false">IF($B12="","",INDEX(MASTER_DATABASE!$Q$4:$Q$1000,$B12)&amp;"")</f>
        <v>5–10 Minutes</v>
      </c>
      <c r="N12" s="7" t="str">
        <f aca="false">IF($B12="","",INDEX(MASTER_DATABASE!$AG$4:$AG$1000,$B12)&amp;"")</f>
        <v>To Verify</v>
      </c>
      <c r="O12" s="11" t="str">
        <f aca="false">IF($B12="","",INDEX(MASTER_DATABASE!$AH$4:$AH$1000,$B12)&amp;"")</f>
        <v>No</v>
      </c>
      <c r="P12" s="11" t="str">
        <f aca="false">IF($B12="","",INDEX(MASTER_DATABASE!$BE$4:$BE$1000,$B12)&amp;"")</f>
        <v>HIDDEN</v>
      </c>
      <c r="Q12" s="7" t="str">
        <f aca="false">IF($B12="","",INDEX(MASTER_DATABASE!$AV$4:$AV$1000,$B12)&amp;"")</f>
        <v>To Verify</v>
      </c>
    </row>
    <row r="13" customFormat="false" ht="15" hidden="false" customHeight="false" outlineLevel="0" collapsed="false">
      <c r="A13" s="11" t="n">
        <v>10</v>
      </c>
      <c r="B13" s="11" t="n">
        <f aca="false">IFERROR(MATCH("HDFC Bank BC Point|"&amp;$A13,MASTER_DATABASE!$BH$4:$BH$1000,0),"")</f>
        <v>52</v>
      </c>
      <c r="C13" s="11" t="str">
        <f aca="false">IF($B13="","",INDEX(MASTER_DATABASE!$A$4:$A$1000,$B13)&amp;"")</f>
        <v>HDF-010</v>
      </c>
      <c r="D13" s="7" t="str">
        <f aca="false">IF($B13="","",INDEX(MASTER_DATABASE!$D$4:$D$1000,$B13)&amp;"")</f>
        <v>Micro ATM</v>
      </c>
      <c r="E13" s="7" t="str">
        <f aca="false">IF($B13="","",INDEX(MASTER_DATABASE!$E$4:$E$1000,$B13)&amp;"")</f>
        <v>HDFC BC – Micro ATM Balance Enquiry</v>
      </c>
      <c r="F13" s="7" t="str">
        <f aca="false">IF($B13="","",INDEX(MASTER_DATABASE!$F$4:$F$1000,$B13)&amp;"")</f>
        <v>HDFC BC – Micro ATM बैलेंस पूछताछ</v>
      </c>
      <c r="G13" s="11" t="str">
        <f aca="false">IF($B13="","",INDEX(MASTER_DATABASE!$I$4:$I$1000,$B13)&amp;"")</f>
        <v>Authorization Required</v>
      </c>
      <c r="H13" s="7" t="str">
        <f aca="false">IF($B13="","",INDEX(MASTER_DATABASE!$L$4:$L$1000,$B13)&amp;"")</f>
        <v>To Verify</v>
      </c>
      <c r="I13" s="9" t="str">
        <f aca="false">IF($B13="","",INDEX(MASTER_DATABASE!$R$4:$R$1000,$B13))</f>
        <v>To Verify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To Verify</v>
      </c>
      <c r="M13" s="7" t="str">
        <f aca="false">IF($B13="","",INDEX(MASTER_DATABASE!$Q$4:$Q$1000,$B13)&amp;"")</f>
        <v>5–10 Minutes</v>
      </c>
      <c r="N13" s="7" t="str">
        <f aca="false">IF($B13="","",INDEX(MASTER_DATABASE!$AG$4:$AG$1000,$B13)&amp;"")</f>
        <v>To Verify</v>
      </c>
      <c r="O13" s="11" t="str">
        <f aca="false">IF($B13="","",INDEX(MASTER_DATABASE!$AH$4:$AH$1000,$B13)&amp;"")</f>
        <v>No</v>
      </c>
      <c r="P13" s="11" t="str">
        <f aca="false">IF($B13="","",INDEX(MASTER_DATABASE!$BE$4:$BE$1000,$B13)&amp;"")</f>
        <v>HIDDEN</v>
      </c>
      <c r="Q13" s="7" t="str">
        <f aca="false">IF($B13="","",INDEX(MASTER_DATABASE!$AV$4:$AV$1000,$B13)&amp;"")</f>
        <v>To Verify</v>
      </c>
    </row>
    <row r="14" customFormat="false" ht="15" hidden="false" customHeight="false" outlineLevel="0" collapsed="false">
      <c r="A14" s="11" t="n">
        <v>11</v>
      </c>
      <c r="B14" s="11" t="n">
        <f aca="false">IFERROR(MATCH("HDFC Bank BC Point|"&amp;$A14,MASTER_DATABASE!$BH$4:$BH$1000,0),"")</f>
        <v>53</v>
      </c>
      <c r="C14" s="11" t="str">
        <f aca="false">IF($B14="","",INDEX(MASTER_DATABASE!$A$4:$A$1000,$B14)&amp;"")</f>
        <v>HDF-011</v>
      </c>
      <c r="D14" s="7" t="str">
        <f aca="false">IF($B14="","",INDEX(MASTER_DATABASE!$D$4:$D$1000,$B14)&amp;"")</f>
        <v>Micro ATM</v>
      </c>
      <c r="E14" s="7" t="str">
        <f aca="false">IF($B14="","",INDEX(MASTER_DATABASE!$E$4:$E$1000,$B14)&amp;"")</f>
        <v>HDFC BC – Micro ATM Mini Statement</v>
      </c>
      <c r="F14" s="7" t="str">
        <f aca="false">IF($B14="","",INDEX(MASTER_DATABASE!$F$4:$F$1000,$B14)&amp;"")</f>
        <v>HDFC BC – Micro ATM मिनी स्टेटमेंट</v>
      </c>
      <c r="G14" s="11" t="str">
        <f aca="false">IF($B14="","",INDEX(MASTER_DATABASE!$I$4:$I$1000,$B14)&amp;"")</f>
        <v>Authorization Required</v>
      </c>
      <c r="H14" s="7" t="str">
        <f aca="false">IF($B14="","",INDEX(MASTER_DATABASE!$L$4:$L$1000,$B14)&amp;"")</f>
        <v>To Verify</v>
      </c>
      <c r="I14" s="9" t="str">
        <f aca="false">IF($B14="","",INDEX(MASTER_DATABASE!$R$4:$R$1000,$B14))</f>
        <v>To Verify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To Verify</v>
      </c>
      <c r="M14" s="7" t="str">
        <f aca="false">IF($B14="","",INDEX(MASTER_DATABASE!$Q$4:$Q$1000,$B14)&amp;"")</f>
        <v>5–10 Minutes</v>
      </c>
      <c r="N14" s="7" t="str">
        <f aca="false">IF($B14="","",INDEX(MASTER_DATABASE!$AG$4:$AG$1000,$B14)&amp;"")</f>
        <v>To Verify</v>
      </c>
      <c r="O14" s="11" t="str">
        <f aca="false">IF($B14="","",INDEX(MASTER_DATABASE!$AH$4:$AH$1000,$B14)&amp;"")</f>
        <v>No</v>
      </c>
      <c r="P14" s="11" t="str">
        <f aca="false">IF($B14="","",INDEX(MASTER_DATABASE!$BE$4:$BE$1000,$B14)&amp;"")</f>
        <v>HIDDEN</v>
      </c>
      <c r="Q14" s="7" t="str">
        <f aca="false">IF($B14="","",INDEX(MASTER_DATABASE!$AV$4:$AV$1000,$B14)&amp;"")</f>
        <v>To Verify</v>
      </c>
    </row>
    <row r="15" customFormat="false" ht="15" hidden="false" customHeight="false" outlineLevel="0" collapsed="false">
      <c r="A15" s="11" t="n">
        <v>12</v>
      </c>
      <c r="B15" s="11" t="n">
        <f aca="false">IFERROR(MATCH("HDFC Bank BC Point|"&amp;$A15,MASTER_DATABASE!$BH$4:$BH$1000,0),"")</f>
        <v>54</v>
      </c>
      <c r="C15" s="11" t="str">
        <f aca="false">IF($B15="","",INDEX(MASTER_DATABASE!$A$4:$A$1000,$B15)&amp;"")</f>
        <v>HDF-012</v>
      </c>
      <c r="D15" s="7" t="str">
        <f aca="false">IF($B15="","",INDEX(MASTER_DATABASE!$D$4:$D$1000,$B15)&amp;"")</f>
        <v>Money Transfer</v>
      </c>
      <c r="E15" s="7" t="str">
        <f aca="false">IF($B15="","",INDEX(MASTER_DATABASE!$E$4:$E$1000,$B15)&amp;"")</f>
        <v>HDFC BC – Money Transfer (Domestic)</v>
      </c>
      <c r="F15" s="7" t="str">
        <f aca="false">IF($B15="","",INDEX(MASTER_DATABASE!$F$4:$F$1000,$B15)&amp;"")</f>
        <v>HDFC BC – मनी ट्रांसफर (घरेलू)</v>
      </c>
      <c r="G15" s="11" t="str">
        <f aca="false">IF($B15="","",INDEX(MASTER_DATABASE!$I$4:$I$1000,$B15)&amp;"")</f>
        <v>Authorization Required</v>
      </c>
      <c r="H15" s="7" t="str">
        <f aca="false">IF($B15="","",INDEX(MASTER_DATABASE!$L$4:$L$1000,$B15)&amp;"")</f>
        <v>To Verify</v>
      </c>
      <c r="I15" s="9" t="str">
        <f aca="false">IF($B15="","",INDEX(MASTER_DATABASE!$R$4:$R$1000,$B15))</f>
        <v>To Verify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To Verify</v>
      </c>
      <c r="M15" s="7" t="str">
        <f aca="false">IF($B15="","",INDEX(MASTER_DATABASE!$Q$4:$Q$1000,$B15)&amp;"")</f>
        <v>Same Day</v>
      </c>
      <c r="N15" s="7" t="str">
        <f aca="false">IF($B15="","",INDEX(MASTER_DATABASE!$AG$4:$AG$1000,$B15)&amp;"")</f>
        <v>To Verify</v>
      </c>
      <c r="O15" s="11" t="str">
        <f aca="false">IF($B15="","",INDEX(MASTER_DATABASE!$AH$4:$AH$1000,$B15)&amp;"")</f>
        <v>No</v>
      </c>
      <c r="P15" s="11" t="str">
        <f aca="false">IF($B15="","",INDEX(MASTER_DATABASE!$BE$4:$BE$1000,$B15)&amp;"")</f>
        <v>HIDDEN</v>
      </c>
      <c r="Q15" s="7" t="str">
        <f aca="false">IF($B15="","",INDEX(MASTER_DATABASE!$AV$4:$AV$1000,$B15)&amp;"")</f>
        <v>To Verify</v>
      </c>
    </row>
    <row r="16" customFormat="false" ht="23.85" hidden="false" customHeight="false" outlineLevel="0" collapsed="false">
      <c r="A16" s="11" t="n">
        <v>13</v>
      </c>
      <c r="B16" s="11" t="n">
        <f aca="false">IFERROR(MATCH("HDFC Bank BC Point|"&amp;$A16,MASTER_DATABASE!$BH$4:$BH$1000,0),"")</f>
        <v>55</v>
      </c>
      <c r="C16" s="11" t="str">
        <f aca="false">IF($B16="","",INDEX(MASTER_DATABASE!$A$4:$A$1000,$B16)&amp;"")</f>
        <v>HDF-013</v>
      </c>
      <c r="D16" s="7" t="str">
        <f aca="false">IF($B16="","",INDEX(MASTER_DATABASE!$D$4:$D$1000,$B16)&amp;"")</f>
        <v>Account &amp; KYC Services</v>
      </c>
      <c r="E16" s="7" t="str">
        <f aca="false">IF($B16="","",INDEX(MASTER_DATABASE!$E$4:$E$1000,$B16)&amp;"")</f>
        <v>HDFC BC – New Savings Account Opening Assistance</v>
      </c>
      <c r="F16" s="7" t="str">
        <f aca="false">IF($B16="","",INDEX(MASTER_DATABASE!$F$4:$F$1000,$B16)&amp;"")</f>
        <v>HDFC BC – नया बचत खाता खुलवाने में सहायता</v>
      </c>
      <c r="G16" s="11" t="str">
        <f aca="false">IF($B16="","",INDEX(MASTER_DATABASE!$I$4:$I$1000,$B16)&amp;"")</f>
        <v>To Verify</v>
      </c>
      <c r="H16" s="7" t="str">
        <f aca="false">IF($B16="","",INDEX(MASTER_DATABASE!$L$4:$L$1000,$B16)&amp;"")</f>
        <v>To Verify</v>
      </c>
      <c r="I16" s="9" t="str">
        <f aca="false">IF($B16="","",INDEX(MASTER_DATABASE!$R$4:$R$1000,$B16))</f>
        <v>To Verify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To Verify</v>
      </c>
      <c r="M16" s="7" t="str">
        <f aca="false">IF($B16="","",INDEX(MASTER_DATABASE!$Q$4:$Q$1000,$B16)&amp;"")</f>
        <v>Depends on Department</v>
      </c>
      <c r="N16" s="7" t="str">
        <f aca="false">IF($B16="","",INDEX(MASTER_DATABASE!$AG$4:$AG$1000,$B16)&amp;"")</f>
        <v>To Verify</v>
      </c>
      <c r="O16" s="11" t="str">
        <f aca="false">IF($B16="","",INDEX(MASTER_DATABASE!$AH$4:$AH$1000,$B16)&amp;"")</f>
        <v>No</v>
      </c>
      <c r="P16" s="11" t="str">
        <f aca="false">IF($B16="","",INDEX(MASTER_DATABASE!$BE$4:$BE$1000,$B16)&amp;"")</f>
        <v>HIDDEN</v>
      </c>
      <c r="Q16" s="7" t="str">
        <f aca="false">IF($B16="","",INDEX(MASTER_DATABASE!$AV$4:$AV$1000,$B16)&amp;"")</f>
        <v>To Verify</v>
      </c>
    </row>
    <row r="17" customFormat="false" ht="23.85" hidden="false" customHeight="false" outlineLevel="0" collapsed="false">
      <c r="A17" s="11" t="n">
        <v>14</v>
      </c>
      <c r="B17" s="11" t="n">
        <f aca="false">IFERROR(MATCH("HDFC Bank BC Point|"&amp;$A17,MASTER_DATABASE!$BH$4:$BH$1000,0),"")</f>
        <v>56</v>
      </c>
      <c r="C17" s="11" t="str">
        <f aca="false">IF($B17="","",INDEX(MASTER_DATABASE!$A$4:$A$1000,$B17)&amp;"")</f>
        <v>HDF-014</v>
      </c>
      <c r="D17" s="7" t="str">
        <f aca="false">IF($B17="","",INDEX(MASTER_DATABASE!$D$4:$D$1000,$B17)&amp;"")</f>
        <v>Account &amp; KYC Services</v>
      </c>
      <c r="E17" s="7" t="str">
        <f aca="false">IF($B17="","",INDEX(MASTER_DATABASE!$E$4:$E$1000,$B17)&amp;"")</f>
        <v>HDFC BC – Account Mobile Number Registration / Update</v>
      </c>
      <c r="F17" s="7" t="str">
        <f aca="false">IF($B17="","",INDEX(MASTER_DATABASE!$F$4:$F$1000,$B17)&amp;"")</f>
        <v>HDFC BC – खाते में मोबाइल नंबर पंजीकरण / अपडेट</v>
      </c>
      <c r="G17" s="11" t="str">
        <f aca="false">IF($B17="","",INDEX(MASTER_DATABASE!$I$4:$I$1000,$B17)&amp;"")</f>
        <v>To Verify</v>
      </c>
      <c r="H17" s="7" t="str">
        <f aca="false">IF($B17="","",INDEX(MASTER_DATABASE!$L$4:$L$1000,$B17)&amp;"")</f>
        <v>To Verify</v>
      </c>
      <c r="I17" s="9" t="str">
        <f aca="false">IF($B17="","",INDEX(MASTER_DATABASE!$R$4:$R$1000,$B17))</f>
        <v>To Verify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To Verify</v>
      </c>
      <c r="M17" s="7" t="str">
        <f aca="false">IF($B17="","",INDEX(MASTER_DATABASE!$Q$4:$Q$1000,$B17)&amp;"")</f>
        <v>Depends on Department</v>
      </c>
      <c r="N17" s="7" t="str">
        <f aca="false">IF($B17="","",INDEX(MASTER_DATABASE!$AG$4:$AG$1000,$B17)&amp;"")</f>
        <v>To Verify</v>
      </c>
      <c r="O17" s="11" t="str">
        <f aca="false">IF($B17="","",INDEX(MASTER_DATABASE!$AH$4:$AH$1000,$B17)&amp;"")</f>
        <v>No</v>
      </c>
      <c r="P17" s="11" t="str">
        <f aca="false">IF($B17="","",INDEX(MASTER_DATABASE!$BE$4:$BE$1000,$B17)&amp;"")</f>
        <v>HIDDEN</v>
      </c>
      <c r="Q17" s="7" t="str">
        <f aca="false">IF($B17="","",INDEX(MASTER_DATABASE!$AV$4:$AV$1000,$B17)&amp;"")</f>
        <v>To Verify</v>
      </c>
    </row>
    <row r="18" customFormat="false" ht="23.85" hidden="false" customHeight="false" outlineLevel="0" collapsed="false">
      <c r="A18" s="11" t="n">
        <v>15</v>
      </c>
      <c r="B18" s="11" t="n">
        <f aca="false">IFERROR(MATCH("HDFC Bank BC Point|"&amp;$A18,MASTER_DATABASE!$BH$4:$BH$1000,0),"")</f>
        <v>57</v>
      </c>
      <c r="C18" s="11" t="str">
        <f aca="false">IF($B18="","",INDEX(MASTER_DATABASE!$A$4:$A$1000,$B18)&amp;"")</f>
        <v>HDF-015</v>
      </c>
      <c r="D18" s="7" t="str">
        <f aca="false">IF($B18="","",INDEX(MASTER_DATABASE!$D$4:$D$1000,$B18)&amp;"")</f>
        <v>Account &amp; KYC Services</v>
      </c>
      <c r="E18" s="7" t="str">
        <f aca="false">IF($B18="","",INDEX(MASTER_DATABASE!$E$4:$E$1000,$B18)&amp;"")</f>
        <v>HDFC BC – Debit Card Request / PIN Assistance</v>
      </c>
      <c r="F18" s="7" t="str">
        <f aca="false">IF($B18="","",INDEX(MASTER_DATABASE!$F$4:$F$1000,$B18)&amp;"")</f>
        <v>HDFC BC – डेबिट कार्ड / PIN सहायता</v>
      </c>
      <c r="G18" s="11" t="str">
        <f aca="false">IF($B18="","",INDEX(MASTER_DATABASE!$I$4:$I$1000,$B18)&amp;"")</f>
        <v>To Verify</v>
      </c>
      <c r="H18" s="7" t="str">
        <f aca="false">IF($B18="","",INDEX(MASTER_DATABASE!$L$4:$L$1000,$B18)&amp;"")</f>
        <v>To Verify</v>
      </c>
      <c r="I18" s="9" t="str">
        <f aca="false">IF($B18="","",INDEX(MASTER_DATABASE!$R$4:$R$1000,$B18))</f>
        <v>To Verify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To Verify</v>
      </c>
      <c r="M18" s="7" t="str">
        <f aca="false">IF($B18="","",INDEX(MASTER_DATABASE!$Q$4:$Q$1000,$B18)&amp;"")</f>
        <v>Depends on Department</v>
      </c>
      <c r="N18" s="7" t="str">
        <f aca="false">IF($B18="","",INDEX(MASTER_DATABASE!$AG$4:$AG$1000,$B18)&amp;"")</f>
        <v>To Verify</v>
      </c>
      <c r="O18" s="11" t="str">
        <f aca="false">IF($B18="","",INDEX(MASTER_DATABASE!$AH$4:$AH$1000,$B18)&amp;"")</f>
        <v>No</v>
      </c>
      <c r="P18" s="11" t="str">
        <f aca="false">IF($B18="","",INDEX(MASTER_DATABASE!$BE$4:$BE$1000,$B18)&amp;"")</f>
        <v>HIDDEN</v>
      </c>
      <c r="Q18" s="7" t="str">
        <f aca="false">IF($B18="","",INDEX(MASTER_DATABASE!$AV$4:$AV$1000,$B18)&amp;"")</f>
        <v>To Verify</v>
      </c>
    </row>
    <row r="19" customFormat="false" ht="23.85" hidden="false" customHeight="false" outlineLevel="0" collapsed="false">
      <c r="A19" s="11" t="n">
        <v>16</v>
      </c>
      <c r="B19" s="11" t="n">
        <f aca="false">IFERROR(MATCH("HDFC Bank BC Point|"&amp;$A19,MASTER_DATABASE!$BH$4:$BH$1000,0),"")</f>
        <v>58</v>
      </c>
      <c r="C19" s="11" t="str">
        <f aca="false">IF($B19="","",INDEX(MASTER_DATABASE!$A$4:$A$1000,$B19)&amp;"")</f>
        <v>HDF-016</v>
      </c>
      <c r="D19" s="7" t="str">
        <f aca="false">IF($B19="","",INDEX(MASTER_DATABASE!$D$4:$D$1000,$B19)&amp;"")</f>
        <v>Account &amp; KYC Services</v>
      </c>
      <c r="E19" s="7" t="str">
        <f aca="false">IF($B19="","",INDEX(MASTER_DATABASE!$E$4:$E$1000,$B19)&amp;"")</f>
        <v>HDFC BC – Cheque Book Request Assistance</v>
      </c>
      <c r="F19" s="7" t="str">
        <f aca="false">IF($B19="","",INDEX(MASTER_DATABASE!$F$4:$F$1000,$B19)&amp;"")</f>
        <v>HDFC BC – चेक बुक आवेदन सहायता</v>
      </c>
      <c r="G19" s="11" t="str">
        <f aca="false">IF($B19="","",INDEX(MASTER_DATABASE!$I$4:$I$1000,$B19)&amp;"")</f>
        <v>To Verify</v>
      </c>
      <c r="H19" s="7" t="str">
        <f aca="false">IF($B19="","",INDEX(MASTER_DATABASE!$L$4:$L$1000,$B19)&amp;"")</f>
        <v>To Verify</v>
      </c>
      <c r="I19" s="9" t="str">
        <f aca="false">IF($B19="","",INDEX(MASTER_DATABASE!$R$4:$R$1000,$B19))</f>
        <v>To Verify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To Verify</v>
      </c>
      <c r="M19" s="7" t="str">
        <f aca="false">IF($B19="","",INDEX(MASTER_DATABASE!$Q$4:$Q$1000,$B19)&amp;"")</f>
        <v>Depends on Department</v>
      </c>
      <c r="N19" s="7" t="str">
        <f aca="false">IF($B19="","",INDEX(MASTER_DATABASE!$AG$4:$AG$1000,$B19)&amp;"")</f>
        <v>To Verify</v>
      </c>
      <c r="O19" s="11" t="str">
        <f aca="false">IF($B19="","",INDEX(MASTER_DATABASE!$AH$4:$AH$1000,$B19)&amp;"")</f>
        <v>No</v>
      </c>
      <c r="P19" s="11" t="str">
        <f aca="false">IF($B19="","",INDEX(MASTER_DATABASE!$BE$4:$BE$1000,$B19)&amp;"")</f>
        <v>HIDDEN</v>
      </c>
      <c r="Q19" s="7" t="str">
        <f aca="false">IF($B19="","",INDEX(MASTER_DATABASE!$AV$4:$AV$1000,$B19)&amp;"")</f>
        <v>To Verify</v>
      </c>
    </row>
    <row r="20" customFormat="false" ht="23.85" hidden="false" customHeight="false" outlineLevel="0" collapsed="false">
      <c r="A20" s="11" t="n">
        <v>17</v>
      </c>
      <c r="B20" s="11" t="n">
        <f aca="false">IFERROR(MATCH("HDFC Bank BC Point|"&amp;$A20,MASTER_DATABASE!$BH$4:$BH$1000,0),"")</f>
        <v>59</v>
      </c>
      <c r="C20" s="11" t="str">
        <f aca="false">IF($B20="","",INDEX(MASTER_DATABASE!$A$4:$A$1000,$B20)&amp;"")</f>
        <v>HDF-017</v>
      </c>
      <c r="D20" s="7" t="str">
        <f aca="false">IF($B20="","",INDEX(MASTER_DATABASE!$D$4:$D$1000,$B20)&amp;"")</f>
        <v>Account &amp; KYC Services</v>
      </c>
      <c r="E20" s="7" t="str">
        <f aca="false">IF($B20="","",INDEX(MASTER_DATABASE!$E$4:$E$1000,$B20)&amp;"")</f>
        <v>HDFC BC – Passbook / Statement Request Assistance</v>
      </c>
      <c r="F20" s="7" t="str">
        <f aca="false">IF($B20="","",INDEX(MASTER_DATABASE!$F$4:$F$1000,$B20)&amp;"")</f>
        <v>HDFC BC – पासबुक / स्टेटमेंट आवेदन सहायता</v>
      </c>
      <c r="G20" s="11" t="str">
        <f aca="false">IF($B20="","",INDEX(MASTER_DATABASE!$I$4:$I$1000,$B20)&amp;"")</f>
        <v>To Verify</v>
      </c>
      <c r="H20" s="7" t="str">
        <f aca="false">IF($B20="","",INDEX(MASTER_DATABASE!$L$4:$L$1000,$B20)&amp;"")</f>
        <v>To Verify</v>
      </c>
      <c r="I20" s="9" t="str">
        <f aca="false">IF($B20="","",INDEX(MASTER_DATABASE!$R$4:$R$1000,$B20))</f>
        <v>To Verify</v>
      </c>
      <c r="J20" s="9" t="str">
        <f aca="false">IF($B20="","",INDEX(MASTER_DATABASE!$S$4:$S$1000,$B20))</f>
        <v>To Verify</v>
      </c>
      <c r="K20" s="9" t="str">
        <f aca="false">IF($B20="","",INDEX(MASTER_DATABASE!$T$4:$T$1000,$B20))</f>
        <v>To Verify</v>
      </c>
      <c r="L20" s="7" t="str">
        <f aca="false">IF($B20="","",INDEX(MASTER_DATABASE!$U$4:$U$1000,$B20)&amp;"")</f>
        <v>To Verify</v>
      </c>
      <c r="M20" s="7" t="str">
        <f aca="false">IF($B20="","",INDEX(MASTER_DATABASE!$Q$4:$Q$1000,$B20)&amp;"")</f>
        <v>Depends on Department</v>
      </c>
      <c r="N20" s="7" t="str">
        <f aca="false">IF($B20="","",INDEX(MASTER_DATABASE!$AG$4:$AG$1000,$B20)&amp;"")</f>
        <v>To Verify</v>
      </c>
      <c r="O20" s="11" t="str">
        <f aca="false">IF($B20="","",INDEX(MASTER_DATABASE!$AH$4:$AH$1000,$B20)&amp;"")</f>
        <v>No</v>
      </c>
      <c r="P20" s="11" t="str">
        <f aca="false">IF($B20="","",INDEX(MASTER_DATABASE!$BE$4:$BE$1000,$B20)&amp;"")</f>
        <v>HIDDEN</v>
      </c>
      <c r="Q20" s="7" t="str">
        <f aca="false">IF($B20="","",INDEX(MASTER_DATABASE!$AV$4:$AV$1000,$B20)&amp;"")</f>
        <v>To Verify</v>
      </c>
    </row>
    <row r="21" customFormat="false" ht="23.85" hidden="false" customHeight="false" outlineLevel="0" collapsed="false">
      <c r="A21" s="11" t="n">
        <v>18</v>
      </c>
      <c r="B21" s="11" t="n">
        <f aca="false">IFERROR(MATCH("HDFC Bank BC Point|"&amp;$A21,MASTER_DATABASE!$BH$4:$BH$1000,0),"")</f>
        <v>60</v>
      </c>
      <c r="C21" s="11" t="str">
        <f aca="false">IF($B21="","",INDEX(MASTER_DATABASE!$A$4:$A$1000,$B21)&amp;"")</f>
        <v>HDF-018</v>
      </c>
      <c r="D21" s="7" t="str">
        <f aca="false">IF($B21="","",INDEX(MASTER_DATABASE!$D$4:$D$1000,$B21)&amp;"")</f>
        <v>Account &amp; KYC Services</v>
      </c>
      <c r="E21" s="7" t="str">
        <f aca="false">IF($B21="","",INDEX(MASTER_DATABASE!$E$4:$E$1000,$B21)&amp;"")</f>
        <v>HDFC BC – KYC Document Collection / Update</v>
      </c>
      <c r="F21" s="7" t="str">
        <f aca="false">IF($B21="","",INDEX(MASTER_DATABASE!$F$4:$F$1000,$B21)&amp;"")</f>
        <v>HDFC BC – KYC दस्तावेज़ जमा / अपडेट</v>
      </c>
      <c r="G21" s="11" t="str">
        <f aca="false">IF($B21="","",INDEX(MASTER_DATABASE!$I$4:$I$1000,$B21)&amp;"")</f>
        <v>To Verify</v>
      </c>
      <c r="H21" s="7" t="str">
        <f aca="false">IF($B21="","",INDEX(MASTER_DATABASE!$L$4:$L$1000,$B21)&amp;"")</f>
        <v>To Verify</v>
      </c>
      <c r="I21" s="9" t="str">
        <f aca="false">IF($B21="","",INDEX(MASTER_DATABASE!$R$4:$R$1000,$B21))</f>
        <v>To Verify</v>
      </c>
      <c r="J21" s="9" t="str">
        <f aca="false">IF($B21="","",INDEX(MASTER_DATABASE!$S$4:$S$1000,$B21))</f>
        <v>To Verify</v>
      </c>
      <c r="K21" s="9" t="str">
        <f aca="false">IF($B21="","",INDEX(MASTER_DATABASE!$T$4:$T$1000,$B21))</f>
        <v>To Verify</v>
      </c>
      <c r="L21" s="7" t="str">
        <f aca="false">IF($B21="","",INDEX(MASTER_DATABASE!$U$4:$U$1000,$B21)&amp;"")</f>
        <v>To Verify</v>
      </c>
      <c r="M21" s="7" t="str">
        <f aca="false">IF($B21="","",INDEX(MASTER_DATABASE!$Q$4:$Q$1000,$B21)&amp;"")</f>
        <v>Depends on Department</v>
      </c>
      <c r="N21" s="7" t="str">
        <f aca="false">IF($B21="","",INDEX(MASTER_DATABASE!$AG$4:$AG$1000,$B21)&amp;"")</f>
        <v>To Verify</v>
      </c>
      <c r="O21" s="11" t="str">
        <f aca="false">IF($B21="","",INDEX(MASTER_DATABASE!$AH$4:$AH$1000,$B21)&amp;"")</f>
        <v>No</v>
      </c>
      <c r="P21" s="11" t="str">
        <f aca="false">IF($B21="","",INDEX(MASTER_DATABASE!$BE$4:$BE$1000,$B21)&amp;"")</f>
        <v>HIDDEN</v>
      </c>
      <c r="Q21" s="7" t="str">
        <f aca="false">IF($B21="","",INDEX(MASTER_DATABASE!$AV$4:$AV$1000,$B21)&amp;"")</f>
        <v>To Verify</v>
      </c>
    </row>
    <row r="22" customFormat="false" ht="23.85" hidden="false" customHeight="false" outlineLevel="0" collapsed="false">
      <c r="A22" s="11" t="n">
        <v>19</v>
      </c>
      <c r="B22" s="11" t="n">
        <f aca="false">IFERROR(MATCH("HDFC Bank BC Point|"&amp;$A22,MASTER_DATABASE!$BH$4:$BH$1000,0),"")</f>
        <v>61</v>
      </c>
      <c r="C22" s="11" t="str">
        <f aca="false">IF($B22="","",INDEX(MASTER_DATABASE!$A$4:$A$1000,$B22)&amp;"")</f>
        <v>HDF-019</v>
      </c>
      <c r="D22" s="7" t="str">
        <f aca="false">IF($B22="","",INDEX(MASTER_DATABASE!$D$4:$D$1000,$B22)&amp;"")</f>
        <v>Account &amp; KYC Services</v>
      </c>
      <c r="E22" s="7" t="str">
        <f aca="false">IF($B22="","",INDEX(MASTER_DATABASE!$E$4:$E$1000,$B22)&amp;"")</f>
        <v>HDFC BC – Account Query / Complaint Assistance</v>
      </c>
      <c r="F22" s="7" t="str">
        <f aca="false">IF($B22="","",INDEX(MASTER_DATABASE!$F$4:$F$1000,$B22)&amp;"")</f>
        <v>HDFC BC – खाता शिकायत / समस्या सहायता</v>
      </c>
      <c r="G22" s="11" t="str">
        <f aca="false">IF($B22="","",INDEX(MASTER_DATABASE!$I$4:$I$1000,$B22)&amp;"")</f>
        <v>To Verify</v>
      </c>
      <c r="H22" s="7" t="str">
        <f aca="false">IF($B22="","",INDEX(MASTER_DATABASE!$L$4:$L$1000,$B22)&amp;"")</f>
        <v>To Verify</v>
      </c>
      <c r="I22" s="9" t="str">
        <f aca="false">IF($B22="","",INDEX(MASTER_DATABASE!$R$4:$R$1000,$B22))</f>
        <v>To Verify</v>
      </c>
      <c r="J22" s="9" t="str">
        <f aca="false">IF($B22="","",INDEX(MASTER_DATABASE!$S$4:$S$1000,$B22))</f>
        <v>To Verify</v>
      </c>
      <c r="K22" s="9" t="str">
        <f aca="false">IF($B22="","",INDEX(MASTER_DATABASE!$T$4:$T$1000,$B22))</f>
        <v>To Verify</v>
      </c>
      <c r="L22" s="7" t="str">
        <f aca="false">IF($B22="","",INDEX(MASTER_DATABASE!$U$4:$U$1000,$B22)&amp;"")</f>
        <v>To Verify</v>
      </c>
      <c r="M22" s="7" t="str">
        <f aca="false">IF($B22="","",INDEX(MASTER_DATABASE!$Q$4:$Q$1000,$B22)&amp;"")</f>
        <v>Depends on Department</v>
      </c>
      <c r="N22" s="7" t="str">
        <f aca="false">IF($B22="","",INDEX(MASTER_DATABASE!$AG$4:$AG$1000,$B22)&amp;"")</f>
        <v>To Verify</v>
      </c>
      <c r="O22" s="11" t="str">
        <f aca="false">IF($B22="","",INDEX(MASTER_DATABASE!$AH$4:$AH$1000,$B22)&amp;"")</f>
        <v>No</v>
      </c>
      <c r="P22" s="11" t="str">
        <f aca="false">IF($B22="","",INDEX(MASTER_DATABASE!$BE$4:$BE$1000,$B22)&amp;"")</f>
        <v>HIDDEN</v>
      </c>
      <c r="Q22" s="7" t="str">
        <f aca="false">IF($B22="","",INDEX(MASTER_DATABASE!$AV$4:$AV$1000,$B22)&amp;"")</f>
        <v>To Verify</v>
      </c>
    </row>
    <row r="23" customFormat="false" ht="23.85" hidden="false" customHeight="false" outlineLevel="0" collapsed="false">
      <c r="A23" s="11" t="n">
        <v>20</v>
      </c>
      <c r="B23" s="11" t="n">
        <f aca="false">IFERROR(MATCH("HDFC Bank BC Point|"&amp;$A23,MASTER_DATABASE!$BH$4:$BH$1000,0),"")</f>
        <v>62</v>
      </c>
      <c r="C23" s="11" t="str">
        <f aca="false">IF($B23="","",INDEX(MASTER_DATABASE!$A$4:$A$1000,$B23)&amp;"")</f>
        <v>HDF-020</v>
      </c>
      <c r="D23" s="7" t="str">
        <f aca="false">IF($B23="","",INDEX(MASTER_DATABASE!$D$4:$D$1000,$B23)&amp;"")</f>
        <v>Government Scheme Enrolment via Bank</v>
      </c>
      <c r="E23" s="7" t="str">
        <f aca="false">IF($B23="","",INDEX(MASTER_DATABASE!$E$4:$E$1000,$B23)&amp;"")</f>
        <v>HDFC BC – PMJJBY / PMSBY Enrolment Assistance</v>
      </c>
      <c r="F23" s="7" t="str">
        <f aca="false">IF($B23="","",INDEX(MASTER_DATABASE!$F$4:$F$1000,$B23)&amp;"")</f>
        <v>HDFC BC – PMJJBY / PMSBY नामांकन सहायता</v>
      </c>
      <c r="G23" s="11" t="str">
        <f aca="false">IF($B23="","",INDEX(MASTER_DATABASE!$I$4:$I$1000,$B23)&amp;"")</f>
        <v>To Verify</v>
      </c>
      <c r="H23" s="7" t="str">
        <f aca="false">IF($B23="","",INDEX(MASTER_DATABASE!$L$4:$L$1000,$B23)&amp;"")</f>
        <v>To Verify</v>
      </c>
      <c r="I23" s="9" t="str">
        <f aca="false">IF($B23="","",INDEX(MASTER_DATABASE!$R$4:$R$1000,$B23))</f>
        <v>To Verify</v>
      </c>
      <c r="J23" s="9" t="str">
        <f aca="false">IF($B23="","",INDEX(MASTER_DATABASE!$S$4:$S$1000,$B23))</f>
        <v>To Verify</v>
      </c>
      <c r="K23" s="9" t="str">
        <f aca="false">IF($B23="","",INDEX(MASTER_DATABASE!$T$4:$T$1000,$B23))</f>
        <v>To Verify</v>
      </c>
      <c r="L23" s="7" t="str">
        <f aca="false">IF($B23="","",INDEX(MASTER_DATABASE!$U$4:$U$1000,$B23)&amp;"")</f>
        <v>To Verify</v>
      </c>
      <c r="M23" s="7" t="str">
        <f aca="false">IF($B23="","",INDEX(MASTER_DATABASE!$Q$4:$Q$1000,$B23)&amp;"")</f>
        <v>Depends on Department</v>
      </c>
      <c r="N23" s="7" t="str">
        <f aca="false">IF($B23="","",INDEX(MASTER_DATABASE!$AG$4:$AG$1000,$B23)&amp;"")</f>
        <v>To Verify</v>
      </c>
      <c r="O23" s="11" t="str">
        <f aca="false">IF($B23="","",INDEX(MASTER_DATABASE!$AH$4:$AH$1000,$B23)&amp;"")</f>
        <v>No</v>
      </c>
      <c r="P23" s="11" t="str">
        <f aca="false">IF($B23="","",INDEX(MASTER_DATABASE!$BE$4:$BE$1000,$B23)&amp;"")</f>
        <v>HIDDEN</v>
      </c>
      <c r="Q23" s="7" t="str">
        <f aca="false">IF($B23="","",INDEX(MASTER_DATABASE!$AV$4:$AV$1000,$B23)&amp;"")</f>
        <v>To Verify</v>
      </c>
    </row>
    <row r="24" customFormat="false" ht="23.85" hidden="false" customHeight="false" outlineLevel="0" collapsed="false">
      <c r="A24" s="11" t="n">
        <v>21</v>
      </c>
      <c r="B24" s="11" t="n">
        <f aca="false">IFERROR(MATCH("HDFC Bank BC Point|"&amp;$A24,MASTER_DATABASE!$BH$4:$BH$1000,0),"")</f>
        <v>63</v>
      </c>
      <c r="C24" s="11" t="str">
        <f aca="false">IF($B24="","",INDEX(MASTER_DATABASE!$A$4:$A$1000,$B24)&amp;"")</f>
        <v>HDF-021</v>
      </c>
      <c r="D24" s="7" t="str">
        <f aca="false">IF($B24="","",INDEX(MASTER_DATABASE!$D$4:$D$1000,$B24)&amp;"")</f>
        <v>Government Scheme Enrolment via Bank</v>
      </c>
      <c r="E24" s="7" t="str">
        <f aca="false">IF($B24="","",INDEX(MASTER_DATABASE!$E$4:$E$1000,$B24)&amp;"")</f>
        <v>HDFC BC – Atal Pension Yojana Enrolment Assistance</v>
      </c>
      <c r="F24" s="7" t="str">
        <f aca="false">IF($B24="","",INDEX(MASTER_DATABASE!$F$4:$F$1000,$B24)&amp;"")</f>
        <v>HDFC BC – अटल पेंशन योजना नामांकन सहायता</v>
      </c>
      <c r="G24" s="11" t="str">
        <f aca="false">IF($B24="","",INDEX(MASTER_DATABASE!$I$4:$I$1000,$B24)&amp;"")</f>
        <v>To Verify</v>
      </c>
      <c r="H24" s="7" t="str">
        <f aca="false">IF($B24="","",INDEX(MASTER_DATABASE!$L$4:$L$1000,$B24)&amp;"")</f>
        <v>To Verify</v>
      </c>
      <c r="I24" s="9" t="str">
        <f aca="false">IF($B24="","",INDEX(MASTER_DATABASE!$R$4:$R$1000,$B24))</f>
        <v>To Verify</v>
      </c>
      <c r="J24" s="9" t="str">
        <f aca="false">IF($B24="","",INDEX(MASTER_DATABASE!$S$4:$S$1000,$B24))</f>
        <v>To Verify</v>
      </c>
      <c r="K24" s="9" t="str">
        <f aca="false">IF($B24="","",INDEX(MASTER_DATABASE!$T$4:$T$1000,$B24))</f>
        <v>To Verify</v>
      </c>
      <c r="L24" s="7" t="str">
        <f aca="false">IF($B24="","",INDEX(MASTER_DATABASE!$U$4:$U$1000,$B24)&amp;"")</f>
        <v>To Verify</v>
      </c>
      <c r="M24" s="7" t="str">
        <f aca="false">IF($B24="","",INDEX(MASTER_DATABASE!$Q$4:$Q$1000,$B24)&amp;"")</f>
        <v>Depends on Department</v>
      </c>
      <c r="N24" s="7" t="str">
        <f aca="false">IF($B24="","",INDEX(MASTER_DATABASE!$AG$4:$AG$1000,$B24)&amp;"")</f>
        <v>To Verify</v>
      </c>
      <c r="O24" s="11" t="str">
        <f aca="false">IF($B24="","",INDEX(MASTER_DATABASE!$AH$4:$AH$1000,$B24)&amp;"")</f>
        <v>No</v>
      </c>
      <c r="P24" s="11" t="str">
        <f aca="false">IF($B24="","",INDEX(MASTER_DATABASE!$BE$4:$BE$1000,$B24)&amp;"")</f>
        <v>HIDDEN</v>
      </c>
      <c r="Q24" s="7" t="str">
        <f aca="false">IF($B24="","",INDEX(MASTER_DATABASE!$AV$4:$AV$1000,$B24)&amp;"")</f>
        <v>To Verify</v>
      </c>
    </row>
    <row r="25" customFormat="false" ht="15" hidden="false" customHeight="false" outlineLevel="0" collapsed="false">
      <c r="A25" s="11" t="n">
        <v>22</v>
      </c>
      <c r="B25" s="11" t="str">
        <f aca="false">IFERROR(MATCH("HDFC Bank BC Point|"&amp;$A25,MASTER_DATABASE!$BH$4:$BH$1000,0),"")</f>
        <v/>
      </c>
      <c r="C25" s="11" t="str">
        <f aca="false">IF($B25="","",INDEX(MASTER_DATABASE!$A$4:$A$1000,$B25)&amp;"")</f>
        <v/>
      </c>
      <c r="D25" s="7" t="str">
        <f aca="false">IF($B25="","",INDEX(MASTER_DATABASE!$D$4:$D$1000,$B25)&amp;"")</f>
        <v/>
      </c>
      <c r="E25" s="7" t="str">
        <f aca="false">IF($B25="","",INDEX(MASTER_DATABASE!$E$4:$E$1000,$B25)&amp;"")</f>
        <v/>
      </c>
      <c r="F25" s="7" t="str">
        <f aca="false">IF($B25="","",INDEX(MASTER_DATABASE!$F$4:$F$1000,$B25)&amp;"")</f>
        <v/>
      </c>
      <c r="G25" s="11" t="str">
        <f aca="false">IF($B25="","",INDEX(MASTER_DATABASE!$I$4:$I$1000,$B25)&amp;"")</f>
        <v/>
      </c>
      <c r="H25" s="7" t="str">
        <f aca="false">IF($B25="","",INDEX(MASTER_DATABASE!$L$4:$L$1000,$B25)&amp;"")</f>
        <v/>
      </c>
      <c r="I25" s="9" t="str">
        <f aca="false">IF($B25="","",INDEX(MASTER_DATABASE!$R$4:$R$1000,$B25))</f>
        <v/>
      </c>
      <c r="J25" s="9" t="str">
        <f aca="false">IF($B25="","",INDEX(MASTER_DATABASE!$S$4:$S$1000,$B25))</f>
        <v/>
      </c>
      <c r="K25" s="9" t="str">
        <f aca="false">IF($B25="","",INDEX(MASTER_DATABASE!$T$4:$T$1000,$B25))</f>
        <v/>
      </c>
      <c r="L25" s="7" t="str">
        <f aca="false">IF($B25="","",INDEX(MASTER_DATABASE!$U$4:$U$1000,$B25)&amp;"")</f>
        <v/>
      </c>
      <c r="M25" s="7" t="str">
        <f aca="false">IF($B25="","",INDEX(MASTER_DATABASE!$Q$4:$Q$1000,$B25)&amp;"")</f>
        <v/>
      </c>
      <c r="N25" s="7" t="str">
        <f aca="false">IF($B25="","",INDEX(MASTER_DATABASE!$AG$4:$AG$1000,$B25)&amp;"")</f>
        <v/>
      </c>
      <c r="O25" s="11" t="str">
        <f aca="false">IF($B25="","",INDEX(MASTER_DATABASE!$AH$4:$AH$1000,$B25)&amp;"")</f>
        <v/>
      </c>
      <c r="P25" s="11" t="str">
        <f aca="false">IF($B25="","",INDEX(MASTER_DATABASE!$BE$4:$BE$1000,$B25)&amp;"")</f>
        <v/>
      </c>
      <c r="Q25" s="7" t="str">
        <f aca="false">IF($B25="","",INDEX(MASTER_DATABASE!$AV$4:$AV$1000,$B25)&amp;"")</f>
        <v/>
      </c>
    </row>
    <row r="26" customFormat="false" ht="15" hidden="false" customHeight="false" outlineLevel="0" collapsed="false">
      <c r="A26" s="11" t="n">
        <v>23</v>
      </c>
      <c r="B26" s="11" t="str">
        <f aca="false">IFERROR(MATCH("HDFC Bank BC Point|"&amp;$A26,MASTER_DATABASE!$BH$4:$BH$1000,0),"")</f>
        <v/>
      </c>
      <c r="C26" s="11" t="str">
        <f aca="false">IF($B26="","",INDEX(MASTER_DATABASE!$A$4:$A$1000,$B26)&amp;"")</f>
        <v/>
      </c>
      <c r="D26" s="7" t="str">
        <f aca="false">IF($B26="","",INDEX(MASTER_DATABASE!$D$4:$D$1000,$B26)&amp;"")</f>
        <v/>
      </c>
      <c r="E26" s="7" t="str">
        <f aca="false">IF($B26="","",INDEX(MASTER_DATABASE!$E$4:$E$1000,$B26)&amp;"")</f>
        <v/>
      </c>
      <c r="F26" s="7" t="str">
        <f aca="false">IF($B26="","",INDEX(MASTER_DATABASE!$F$4:$F$1000,$B26)&amp;"")</f>
        <v/>
      </c>
      <c r="G26" s="11" t="str">
        <f aca="false">IF($B26="","",INDEX(MASTER_DATABASE!$I$4:$I$1000,$B26)&amp;"")</f>
        <v/>
      </c>
      <c r="H26" s="7" t="str">
        <f aca="false">IF($B26="","",INDEX(MASTER_DATABASE!$L$4:$L$1000,$B26)&amp;"")</f>
        <v/>
      </c>
      <c r="I26" s="9" t="str">
        <f aca="false">IF($B26="","",INDEX(MASTER_DATABASE!$R$4:$R$1000,$B26))</f>
        <v/>
      </c>
      <c r="J26" s="9" t="str">
        <f aca="false">IF($B26="","",INDEX(MASTER_DATABASE!$S$4:$S$1000,$B26))</f>
        <v/>
      </c>
      <c r="K26" s="9" t="str">
        <f aca="false">IF($B26="","",INDEX(MASTER_DATABASE!$T$4:$T$1000,$B26))</f>
        <v/>
      </c>
      <c r="L26" s="7" t="str">
        <f aca="false">IF($B26="","",INDEX(MASTER_DATABASE!$U$4:$U$1000,$B26)&amp;"")</f>
        <v/>
      </c>
      <c r="M26" s="7" t="str">
        <f aca="false">IF($B26="","",INDEX(MASTER_DATABASE!$Q$4:$Q$1000,$B26)&amp;"")</f>
        <v/>
      </c>
      <c r="N26" s="7" t="str">
        <f aca="false">IF($B26="","",INDEX(MASTER_DATABASE!$AG$4:$AG$1000,$B26)&amp;"")</f>
        <v/>
      </c>
      <c r="O26" s="11" t="str">
        <f aca="false">IF($B26="","",INDEX(MASTER_DATABASE!$AH$4:$AH$1000,$B26)&amp;"")</f>
        <v/>
      </c>
      <c r="P26" s="11" t="str">
        <f aca="false">IF($B26="","",INDEX(MASTER_DATABASE!$BE$4:$BE$1000,$B26)&amp;"")</f>
        <v/>
      </c>
      <c r="Q26" s="7" t="str">
        <f aca="false">IF($B26="","",INDEX(MASTER_DATABASE!$AV$4:$AV$1000,$B26)&amp;"")</f>
        <v/>
      </c>
    </row>
    <row r="27" customFormat="false" ht="15" hidden="false" customHeight="false" outlineLevel="0" collapsed="false">
      <c r="A27" s="11" t="n">
        <v>24</v>
      </c>
      <c r="B27" s="11" t="str">
        <f aca="false">IFERROR(MATCH("HDFC Bank BC Point|"&amp;$A27,MASTER_DATABASE!$BH$4:$BH$1000,0),"")</f>
        <v/>
      </c>
      <c r="C27" s="11" t="str">
        <f aca="false">IF($B27="","",INDEX(MASTER_DATABASE!$A$4:$A$1000,$B27)&amp;"")</f>
        <v/>
      </c>
      <c r="D27" s="7" t="str">
        <f aca="false">IF($B27="","",INDEX(MASTER_DATABASE!$D$4:$D$1000,$B27)&amp;"")</f>
        <v/>
      </c>
      <c r="E27" s="7" t="str">
        <f aca="false">IF($B27="","",INDEX(MASTER_DATABASE!$E$4:$E$1000,$B27)&amp;"")</f>
        <v/>
      </c>
      <c r="F27" s="7" t="str">
        <f aca="false">IF($B27="","",INDEX(MASTER_DATABASE!$F$4:$F$1000,$B27)&amp;"")</f>
        <v/>
      </c>
      <c r="G27" s="11" t="str">
        <f aca="false">IF($B27="","",INDEX(MASTER_DATABASE!$I$4:$I$1000,$B27)&amp;"")</f>
        <v/>
      </c>
      <c r="H27" s="7" t="str">
        <f aca="false">IF($B27="","",INDEX(MASTER_DATABASE!$L$4:$L$1000,$B27)&amp;"")</f>
        <v/>
      </c>
      <c r="I27" s="9" t="str">
        <f aca="false">IF($B27="","",INDEX(MASTER_DATABASE!$R$4:$R$1000,$B27))</f>
        <v/>
      </c>
      <c r="J27" s="9" t="str">
        <f aca="false">IF($B27="","",INDEX(MASTER_DATABASE!$S$4:$S$1000,$B27))</f>
        <v/>
      </c>
      <c r="K27" s="9" t="str">
        <f aca="false">IF($B27="","",INDEX(MASTER_DATABASE!$T$4:$T$1000,$B27))</f>
        <v/>
      </c>
      <c r="L27" s="7" t="str">
        <f aca="false">IF($B27="","",INDEX(MASTER_DATABASE!$U$4:$U$1000,$B27)&amp;"")</f>
        <v/>
      </c>
      <c r="M27" s="7" t="str">
        <f aca="false">IF($B27="","",INDEX(MASTER_DATABASE!$Q$4:$Q$1000,$B27)&amp;"")</f>
        <v/>
      </c>
      <c r="N27" s="7" t="str">
        <f aca="false">IF($B27="","",INDEX(MASTER_DATABASE!$AG$4:$AG$1000,$B27)&amp;"")</f>
        <v/>
      </c>
      <c r="O27" s="11" t="str">
        <f aca="false">IF($B27="","",INDEX(MASTER_DATABASE!$AH$4:$AH$1000,$B27)&amp;"")</f>
        <v/>
      </c>
      <c r="P27" s="11" t="str">
        <f aca="false">IF($B27="","",INDEX(MASTER_DATABASE!$BE$4:$BE$1000,$B27)&amp;"")</f>
        <v/>
      </c>
      <c r="Q27" s="7" t="str">
        <f aca="false">IF($B27="","",INDEX(MASTER_DATABASE!$AV$4:$AV$1000,$B27)&amp;"")</f>
        <v/>
      </c>
    </row>
    <row r="28" customFormat="false" ht="15" hidden="false" customHeight="false" outlineLevel="0" collapsed="false">
      <c r="A28" s="11" t="n">
        <v>25</v>
      </c>
      <c r="B28" s="11" t="str">
        <f aca="false">IFERROR(MATCH("HDFC Bank BC Point|"&amp;$A28,MASTER_DATABASE!$BH$4:$BH$1000,0),"")</f>
        <v/>
      </c>
      <c r="C28" s="11" t="str">
        <f aca="false">IF($B28="","",INDEX(MASTER_DATABASE!$A$4:$A$1000,$B28)&amp;"")</f>
        <v/>
      </c>
      <c r="D28" s="7" t="str">
        <f aca="false">IF($B28="","",INDEX(MASTER_DATABASE!$D$4:$D$1000,$B28)&amp;"")</f>
        <v/>
      </c>
      <c r="E28" s="7" t="str">
        <f aca="false">IF($B28="","",INDEX(MASTER_DATABASE!$E$4:$E$1000,$B28)&amp;"")</f>
        <v/>
      </c>
      <c r="F28" s="7" t="str">
        <f aca="false">IF($B28="","",INDEX(MASTER_DATABASE!$F$4:$F$1000,$B28)&amp;"")</f>
        <v/>
      </c>
      <c r="G28" s="11" t="str">
        <f aca="false">IF($B28="","",INDEX(MASTER_DATABASE!$I$4:$I$1000,$B28)&amp;"")</f>
        <v/>
      </c>
      <c r="H28" s="7" t="str">
        <f aca="false">IF($B28="","",INDEX(MASTER_DATABASE!$L$4:$L$1000,$B28)&amp;"")</f>
        <v/>
      </c>
      <c r="I28" s="9" t="str">
        <f aca="false">IF($B28="","",INDEX(MASTER_DATABASE!$R$4:$R$1000,$B28))</f>
        <v/>
      </c>
      <c r="J28" s="9" t="str">
        <f aca="false">IF($B28="","",INDEX(MASTER_DATABASE!$S$4:$S$1000,$B28))</f>
        <v/>
      </c>
      <c r="K28" s="9" t="str">
        <f aca="false">IF($B28="","",INDEX(MASTER_DATABASE!$T$4:$T$1000,$B28))</f>
        <v/>
      </c>
      <c r="L28" s="7" t="str">
        <f aca="false">IF($B28="","",INDEX(MASTER_DATABASE!$U$4:$U$1000,$B28)&amp;"")</f>
        <v/>
      </c>
      <c r="M28" s="7" t="str">
        <f aca="false">IF($B28="","",INDEX(MASTER_DATABASE!$Q$4:$Q$1000,$B28)&amp;"")</f>
        <v/>
      </c>
      <c r="N28" s="7" t="str">
        <f aca="false">IF($B28="","",INDEX(MASTER_DATABASE!$AG$4:$AG$1000,$B28)&amp;"")</f>
        <v/>
      </c>
      <c r="O28" s="11" t="str">
        <f aca="false">IF($B28="","",INDEX(MASTER_DATABASE!$AH$4:$AH$1000,$B28)&amp;"")</f>
        <v/>
      </c>
      <c r="P28" s="11" t="str">
        <f aca="false">IF($B28="","",INDEX(MASTER_DATABASE!$BE$4:$BE$1000,$B28)&amp;"")</f>
        <v/>
      </c>
      <c r="Q28" s="7" t="str">
        <f aca="false">IF($B28="","",INDEX(MASTER_DATABASE!$AV$4:$AV$1000,$B28)&amp;"")</f>
        <v/>
      </c>
    </row>
    <row r="29" customFormat="false" ht="15" hidden="false" customHeight="false" outlineLevel="0" collapsed="false">
      <c r="A29" s="11" t="n">
        <v>26</v>
      </c>
      <c r="B29" s="11" t="str">
        <f aca="false">IFERROR(MATCH("HDFC Bank BC Point|"&amp;$A29,MASTER_DATABASE!$BH$4:$BH$1000,0),"")</f>
        <v/>
      </c>
      <c r="C29" s="11" t="str">
        <f aca="false">IF($B29="","",INDEX(MASTER_DATABASE!$A$4:$A$1000,$B29)&amp;"")</f>
        <v/>
      </c>
      <c r="D29" s="7" t="str">
        <f aca="false">IF($B29="","",INDEX(MASTER_DATABASE!$D$4:$D$1000,$B29)&amp;"")</f>
        <v/>
      </c>
      <c r="E29" s="7" t="str">
        <f aca="false">IF($B29="","",INDEX(MASTER_DATABASE!$E$4:$E$1000,$B29)&amp;"")</f>
        <v/>
      </c>
      <c r="F29" s="7" t="str">
        <f aca="false">IF($B29="","",INDEX(MASTER_DATABASE!$F$4:$F$1000,$B29)&amp;"")</f>
        <v/>
      </c>
      <c r="G29" s="11" t="str">
        <f aca="false">IF($B29="","",INDEX(MASTER_DATABASE!$I$4:$I$1000,$B29)&amp;"")</f>
        <v/>
      </c>
      <c r="H29" s="7" t="str">
        <f aca="false">IF($B29="","",INDEX(MASTER_DATABASE!$L$4:$L$1000,$B29)&amp;"")</f>
        <v/>
      </c>
      <c r="I29" s="9" t="str">
        <f aca="false">IF($B29="","",INDEX(MASTER_DATABASE!$R$4:$R$1000,$B29))</f>
        <v/>
      </c>
      <c r="J29" s="9" t="str">
        <f aca="false">IF($B29="","",INDEX(MASTER_DATABASE!$S$4:$S$1000,$B29))</f>
        <v/>
      </c>
      <c r="K29" s="9" t="str">
        <f aca="false">IF($B29="","",INDEX(MASTER_DATABASE!$T$4:$T$1000,$B29))</f>
        <v/>
      </c>
      <c r="L29" s="7" t="str">
        <f aca="false">IF($B29="","",INDEX(MASTER_DATABASE!$U$4:$U$1000,$B29)&amp;"")</f>
        <v/>
      </c>
      <c r="M29" s="7" t="str">
        <f aca="false">IF($B29="","",INDEX(MASTER_DATABASE!$Q$4:$Q$1000,$B29)&amp;"")</f>
        <v/>
      </c>
      <c r="N29" s="7" t="str">
        <f aca="false">IF($B29="","",INDEX(MASTER_DATABASE!$AG$4:$AG$1000,$B29)&amp;"")</f>
        <v/>
      </c>
      <c r="O29" s="11" t="str">
        <f aca="false">IF($B29="","",INDEX(MASTER_DATABASE!$AH$4:$AH$1000,$B29)&amp;"")</f>
        <v/>
      </c>
      <c r="P29" s="11" t="str">
        <f aca="false">IF($B29="","",INDEX(MASTER_DATABASE!$BE$4:$BE$1000,$B29)&amp;"")</f>
        <v/>
      </c>
      <c r="Q29" s="7" t="str">
        <f aca="false">IF($B29="","",INDEX(MASTER_DATABASE!$AV$4:$AV$1000,$B29)&amp;"")</f>
        <v/>
      </c>
    </row>
    <row r="30" customFormat="false" ht="15" hidden="false" customHeight="false" outlineLevel="0" collapsed="false">
      <c r="A30" s="11" t="n">
        <v>27</v>
      </c>
      <c r="B30" s="11" t="str">
        <f aca="false">IFERROR(MATCH("HDFC Bank BC Point|"&amp;$A30,MASTER_DATABASE!$BH$4:$BH$1000,0),"")</f>
        <v/>
      </c>
      <c r="C30" s="11" t="str">
        <f aca="false">IF($B30="","",INDEX(MASTER_DATABASE!$A$4:$A$1000,$B30)&amp;"")</f>
        <v/>
      </c>
      <c r="D30" s="7" t="str">
        <f aca="false">IF($B30="","",INDEX(MASTER_DATABASE!$D$4:$D$1000,$B30)&amp;"")</f>
        <v/>
      </c>
      <c r="E30" s="7" t="str">
        <f aca="false">IF($B30="","",INDEX(MASTER_DATABASE!$E$4:$E$1000,$B30)&amp;"")</f>
        <v/>
      </c>
      <c r="F30" s="7" t="str">
        <f aca="false">IF($B30="","",INDEX(MASTER_DATABASE!$F$4:$F$1000,$B30)&amp;"")</f>
        <v/>
      </c>
      <c r="G30" s="11" t="str">
        <f aca="false">IF($B30="","",INDEX(MASTER_DATABASE!$I$4:$I$1000,$B30)&amp;"")</f>
        <v/>
      </c>
      <c r="H30" s="7" t="str">
        <f aca="false">IF($B30="","",INDEX(MASTER_DATABASE!$L$4:$L$1000,$B30)&amp;"")</f>
        <v/>
      </c>
      <c r="I30" s="9" t="str">
        <f aca="false">IF($B30="","",INDEX(MASTER_DATABASE!$R$4:$R$1000,$B30))</f>
        <v/>
      </c>
      <c r="J30" s="9" t="str">
        <f aca="false">IF($B30="","",INDEX(MASTER_DATABASE!$S$4:$S$1000,$B30))</f>
        <v/>
      </c>
      <c r="K30" s="9" t="str">
        <f aca="false">IF($B30="","",INDEX(MASTER_DATABASE!$T$4:$T$1000,$B30))</f>
        <v/>
      </c>
      <c r="L30" s="7" t="str">
        <f aca="false">IF($B30="","",INDEX(MASTER_DATABASE!$U$4:$U$1000,$B30)&amp;"")</f>
        <v/>
      </c>
      <c r="M30" s="7" t="str">
        <f aca="false">IF($B30="","",INDEX(MASTER_DATABASE!$Q$4:$Q$1000,$B30)&amp;"")</f>
        <v/>
      </c>
      <c r="N30" s="7" t="str">
        <f aca="false">IF($B30="","",INDEX(MASTER_DATABASE!$AG$4:$AG$1000,$B30)&amp;"")</f>
        <v/>
      </c>
      <c r="O30" s="11" t="str">
        <f aca="false">IF($B30="","",INDEX(MASTER_DATABASE!$AH$4:$AH$1000,$B30)&amp;"")</f>
        <v/>
      </c>
      <c r="P30" s="11" t="str">
        <f aca="false">IF($B30="","",INDEX(MASTER_DATABASE!$BE$4:$BE$1000,$B30)&amp;"")</f>
        <v/>
      </c>
      <c r="Q30" s="7" t="str">
        <f aca="false">IF($B30="","",INDEX(MASTER_DATABASE!$AV$4:$AV$1000,$B30)&amp;"")</f>
        <v/>
      </c>
    </row>
    <row r="31" customFormat="false" ht="15" hidden="false" customHeight="false" outlineLevel="0" collapsed="false">
      <c r="A31" s="11" t="n">
        <v>28</v>
      </c>
      <c r="B31" s="11" t="str">
        <f aca="false">IFERROR(MATCH("HDFC Bank BC Point|"&amp;$A31,MASTER_DATABASE!$BH$4:$BH$1000,0),"")</f>
        <v/>
      </c>
      <c r="C31" s="11" t="str">
        <f aca="false">IF($B31="","",INDEX(MASTER_DATABASE!$A$4:$A$1000,$B31)&amp;"")</f>
        <v/>
      </c>
      <c r="D31" s="7" t="str">
        <f aca="false">IF($B31="","",INDEX(MASTER_DATABASE!$D$4:$D$1000,$B31)&amp;"")</f>
        <v/>
      </c>
      <c r="E31" s="7" t="str">
        <f aca="false">IF($B31="","",INDEX(MASTER_DATABASE!$E$4:$E$1000,$B31)&amp;"")</f>
        <v/>
      </c>
      <c r="F31" s="7" t="str">
        <f aca="false">IF($B31="","",INDEX(MASTER_DATABASE!$F$4:$F$1000,$B31)&amp;"")</f>
        <v/>
      </c>
      <c r="G31" s="11" t="str">
        <f aca="false">IF($B31="","",INDEX(MASTER_DATABASE!$I$4:$I$1000,$B31)&amp;"")</f>
        <v/>
      </c>
      <c r="H31" s="7" t="str">
        <f aca="false">IF($B31="","",INDEX(MASTER_DATABASE!$L$4:$L$1000,$B31)&amp;"")</f>
        <v/>
      </c>
      <c r="I31" s="9" t="str">
        <f aca="false">IF($B31="","",INDEX(MASTER_DATABASE!$R$4:$R$1000,$B31))</f>
        <v/>
      </c>
      <c r="J31" s="9" t="str">
        <f aca="false">IF($B31="","",INDEX(MASTER_DATABASE!$S$4:$S$1000,$B31))</f>
        <v/>
      </c>
      <c r="K31" s="9" t="str">
        <f aca="false">IF($B31="","",INDEX(MASTER_DATABASE!$T$4:$T$1000,$B31))</f>
        <v/>
      </c>
      <c r="L31" s="7" t="str">
        <f aca="false">IF($B31="","",INDEX(MASTER_DATABASE!$U$4:$U$1000,$B31)&amp;"")</f>
        <v/>
      </c>
      <c r="M31" s="7" t="str">
        <f aca="false">IF($B31="","",INDEX(MASTER_DATABASE!$Q$4:$Q$1000,$B31)&amp;"")</f>
        <v/>
      </c>
      <c r="N31" s="7" t="str">
        <f aca="false">IF($B31="","",INDEX(MASTER_DATABASE!$AG$4:$AG$1000,$B31)&amp;"")</f>
        <v/>
      </c>
      <c r="O31" s="11" t="str">
        <f aca="false">IF($B31="","",INDEX(MASTER_DATABASE!$AH$4:$AH$1000,$B31)&amp;"")</f>
        <v/>
      </c>
      <c r="P31" s="11" t="str">
        <f aca="false">IF($B31="","",INDEX(MASTER_DATABASE!$BE$4:$BE$1000,$B31)&amp;"")</f>
        <v/>
      </c>
      <c r="Q31" s="7" t="str">
        <f aca="false">IF($B31="","",INDEX(MASTER_DATABASE!$AV$4:$AV$1000,$B31)&amp;"")</f>
        <v/>
      </c>
    </row>
    <row r="32" customFormat="false" ht="15" hidden="false" customHeight="false" outlineLevel="0" collapsed="false">
      <c r="A32" s="11" t="n">
        <v>29</v>
      </c>
      <c r="B32" s="11" t="str">
        <f aca="false">IFERROR(MATCH("HDFC Bank BC Point|"&amp;$A32,MASTER_DATABASE!$BH$4:$BH$1000,0),"")</f>
        <v/>
      </c>
      <c r="C32" s="11" t="str">
        <f aca="false">IF($B32="","",INDEX(MASTER_DATABASE!$A$4:$A$1000,$B32)&amp;"")</f>
        <v/>
      </c>
      <c r="D32" s="7" t="str">
        <f aca="false">IF($B32="","",INDEX(MASTER_DATABASE!$D$4:$D$1000,$B32)&amp;"")</f>
        <v/>
      </c>
      <c r="E32" s="7" t="str">
        <f aca="false">IF($B32="","",INDEX(MASTER_DATABASE!$E$4:$E$1000,$B32)&amp;"")</f>
        <v/>
      </c>
      <c r="F32" s="7" t="str">
        <f aca="false">IF($B32="","",INDEX(MASTER_DATABASE!$F$4:$F$1000,$B32)&amp;"")</f>
        <v/>
      </c>
      <c r="G32" s="11" t="str">
        <f aca="false">IF($B32="","",INDEX(MASTER_DATABASE!$I$4:$I$1000,$B32)&amp;"")</f>
        <v/>
      </c>
      <c r="H32" s="7" t="str">
        <f aca="false">IF($B32="","",INDEX(MASTER_DATABASE!$L$4:$L$1000,$B32)&amp;"")</f>
        <v/>
      </c>
      <c r="I32" s="9" t="str">
        <f aca="false">IF($B32="","",INDEX(MASTER_DATABASE!$R$4:$R$1000,$B32))</f>
        <v/>
      </c>
      <c r="J32" s="9" t="str">
        <f aca="false">IF($B32="","",INDEX(MASTER_DATABASE!$S$4:$S$1000,$B32))</f>
        <v/>
      </c>
      <c r="K32" s="9" t="str">
        <f aca="false">IF($B32="","",INDEX(MASTER_DATABASE!$T$4:$T$1000,$B32))</f>
        <v/>
      </c>
      <c r="L32" s="7" t="str">
        <f aca="false">IF($B32="","",INDEX(MASTER_DATABASE!$U$4:$U$1000,$B32)&amp;"")</f>
        <v/>
      </c>
      <c r="M32" s="7" t="str">
        <f aca="false">IF($B32="","",INDEX(MASTER_DATABASE!$Q$4:$Q$1000,$B32)&amp;"")</f>
        <v/>
      </c>
      <c r="N32" s="7" t="str">
        <f aca="false">IF($B32="","",INDEX(MASTER_DATABASE!$AG$4:$AG$1000,$B32)&amp;"")</f>
        <v/>
      </c>
      <c r="O32" s="11" t="str">
        <f aca="false">IF($B32="","",INDEX(MASTER_DATABASE!$AH$4:$AH$1000,$B32)&amp;"")</f>
        <v/>
      </c>
      <c r="P32" s="11" t="str">
        <f aca="false">IF($B32="","",INDEX(MASTER_DATABASE!$BE$4:$BE$1000,$B32)&amp;"")</f>
        <v/>
      </c>
      <c r="Q32" s="7" t="str">
        <f aca="false">IF($B32="","",INDEX(MASTER_DATABASE!$AV$4:$AV$1000,$B32)&amp;"")</f>
        <v/>
      </c>
    </row>
    <row r="33" customFormat="false" ht="15" hidden="false" customHeight="false" outlineLevel="0" collapsed="false">
      <c r="A33" s="11" t="n">
        <v>30</v>
      </c>
      <c r="B33" s="11" t="str">
        <f aca="false">IFERROR(MATCH("HDFC Bank BC Point|"&amp;$A33,MASTER_DATABASE!$BH$4:$BH$1000,0),"")</f>
        <v/>
      </c>
      <c r="C33" s="11" t="str">
        <f aca="false">IF($B33="","",INDEX(MASTER_DATABASE!$A$4:$A$1000,$B33)&amp;"")</f>
        <v/>
      </c>
      <c r="D33" s="7" t="str">
        <f aca="false">IF($B33="","",INDEX(MASTER_DATABASE!$D$4:$D$1000,$B33)&amp;"")</f>
        <v/>
      </c>
      <c r="E33" s="7" t="str">
        <f aca="false">IF($B33="","",INDEX(MASTER_DATABASE!$E$4:$E$1000,$B33)&amp;"")</f>
        <v/>
      </c>
      <c r="F33" s="7" t="str">
        <f aca="false">IF($B33="","",INDEX(MASTER_DATABASE!$F$4:$F$1000,$B33)&amp;"")</f>
        <v/>
      </c>
      <c r="G33" s="11" t="str">
        <f aca="false">IF($B33="","",INDEX(MASTER_DATABASE!$I$4:$I$1000,$B33)&amp;"")</f>
        <v/>
      </c>
      <c r="H33" s="7" t="str">
        <f aca="false">IF($B33="","",INDEX(MASTER_DATABASE!$L$4:$L$1000,$B33)&amp;"")</f>
        <v/>
      </c>
      <c r="I33" s="9" t="str">
        <f aca="false">IF($B33="","",INDEX(MASTER_DATABASE!$R$4:$R$1000,$B33))</f>
        <v/>
      </c>
      <c r="J33" s="9" t="str">
        <f aca="false">IF($B33="","",INDEX(MASTER_DATABASE!$S$4:$S$1000,$B33))</f>
        <v/>
      </c>
      <c r="K33" s="9" t="str">
        <f aca="false">IF($B33="","",INDEX(MASTER_DATABASE!$T$4:$T$1000,$B33))</f>
        <v/>
      </c>
      <c r="L33" s="7" t="str">
        <f aca="false">IF($B33="","",INDEX(MASTER_DATABASE!$U$4:$U$1000,$B33)&amp;"")</f>
        <v/>
      </c>
      <c r="M33" s="7" t="str">
        <f aca="false">IF($B33="","",INDEX(MASTER_DATABASE!$Q$4:$Q$1000,$B33)&amp;"")</f>
        <v/>
      </c>
      <c r="N33" s="7" t="str">
        <f aca="false">IF($B33="","",INDEX(MASTER_DATABASE!$AG$4:$AG$1000,$B33)&amp;"")</f>
        <v/>
      </c>
      <c r="O33" s="11" t="str">
        <f aca="false">IF($B33="","",INDEX(MASTER_DATABASE!$AH$4:$AH$1000,$B33)&amp;"")</f>
        <v/>
      </c>
      <c r="P33" s="11" t="str">
        <f aca="false">IF($B33="","",INDEX(MASTER_DATABASE!$BE$4:$BE$1000,$B33)&amp;"")</f>
        <v/>
      </c>
      <c r="Q33" s="7" t="str">
        <f aca="false">IF($B33="","",INDEX(MASTER_DATABASE!$AV$4:$AV$1000,$B33)&amp;"")</f>
        <v/>
      </c>
    </row>
    <row r="34" customFormat="false" ht="15" hidden="false" customHeight="false" outlineLevel="0" collapsed="false">
      <c r="A34" s="11" t="n">
        <v>31</v>
      </c>
      <c r="B34" s="11" t="str">
        <f aca="false">IFERROR(MATCH("HDFC Bank BC Point|"&amp;$A34,MASTER_DATABASE!$BH$4:$BH$1000,0),"")</f>
        <v/>
      </c>
      <c r="C34" s="11" t="str">
        <f aca="false">IF($B34="","",INDEX(MASTER_DATABASE!$A$4:$A$1000,$B34)&amp;"")</f>
        <v/>
      </c>
      <c r="D34" s="7" t="str">
        <f aca="false">IF($B34="","",INDEX(MASTER_DATABASE!$D$4:$D$1000,$B34)&amp;"")</f>
        <v/>
      </c>
      <c r="E34" s="7" t="str">
        <f aca="false">IF($B34="","",INDEX(MASTER_DATABASE!$E$4:$E$1000,$B34)&amp;"")</f>
        <v/>
      </c>
      <c r="F34" s="7" t="str">
        <f aca="false">IF($B34="","",INDEX(MASTER_DATABASE!$F$4:$F$1000,$B34)&amp;"")</f>
        <v/>
      </c>
      <c r="G34" s="11" t="str">
        <f aca="false">IF($B34="","",INDEX(MASTER_DATABASE!$I$4:$I$1000,$B34)&amp;"")</f>
        <v/>
      </c>
      <c r="H34" s="7" t="str">
        <f aca="false">IF($B34="","",INDEX(MASTER_DATABASE!$L$4:$L$1000,$B34)&amp;"")</f>
        <v/>
      </c>
      <c r="I34" s="9" t="str">
        <f aca="false">IF($B34="","",INDEX(MASTER_DATABASE!$R$4:$R$1000,$B34))</f>
        <v/>
      </c>
      <c r="J34" s="9" t="str">
        <f aca="false">IF($B34="","",INDEX(MASTER_DATABASE!$S$4:$S$1000,$B34))</f>
        <v/>
      </c>
      <c r="K34" s="9" t="str">
        <f aca="false">IF($B34="","",INDEX(MASTER_DATABASE!$T$4:$T$1000,$B34))</f>
        <v/>
      </c>
      <c r="L34" s="7" t="str">
        <f aca="false">IF($B34="","",INDEX(MASTER_DATABASE!$U$4:$U$1000,$B34)&amp;"")</f>
        <v/>
      </c>
      <c r="M34" s="7" t="str">
        <f aca="false">IF($B34="","",INDEX(MASTER_DATABASE!$Q$4:$Q$1000,$B34)&amp;"")</f>
        <v/>
      </c>
      <c r="N34" s="7" t="str">
        <f aca="false">IF($B34="","",INDEX(MASTER_DATABASE!$AG$4:$AG$1000,$B34)&amp;"")</f>
        <v/>
      </c>
      <c r="O34" s="11" t="str">
        <f aca="false">IF($B34="","",INDEX(MASTER_DATABASE!$AH$4:$AH$1000,$B34)&amp;"")</f>
        <v/>
      </c>
      <c r="P34" s="11" t="str">
        <f aca="false">IF($B34="","",INDEX(MASTER_DATABASE!$BE$4:$BE$1000,$B34)&amp;"")</f>
        <v/>
      </c>
      <c r="Q34" s="7" t="str">
        <f aca="false">IF($B34="","",INDEX(MASTER_DATABASE!$AV$4:$AV$1000,$B34)&amp;"")</f>
        <v/>
      </c>
    </row>
    <row r="35" customFormat="false" ht="15" hidden="false" customHeight="false" outlineLevel="0" collapsed="false">
      <c r="A35" s="11" t="n">
        <v>32</v>
      </c>
      <c r="B35" s="11" t="str">
        <f aca="false">IFERROR(MATCH("HDFC Bank BC Point|"&amp;$A35,MASTER_DATABASE!$BH$4:$BH$1000,0),"")</f>
        <v/>
      </c>
      <c r="C35" s="11" t="str">
        <f aca="false">IF($B35="","",INDEX(MASTER_DATABASE!$A$4:$A$1000,$B35)&amp;"")</f>
        <v/>
      </c>
      <c r="D35" s="7" t="str">
        <f aca="false">IF($B35="","",INDEX(MASTER_DATABASE!$D$4:$D$1000,$B35)&amp;"")</f>
        <v/>
      </c>
      <c r="E35" s="7" t="str">
        <f aca="false">IF($B35="","",INDEX(MASTER_DATABASE!$E$4:$E$1000,$B35)&amp;"")</f>
        <v/>
      </c>
      <c r="F35" s="7" t="str">
        <f aca="false">IF($B35="","",INDEX(MASTER_DATABASE!$F$4:$F$1000,$B35)&amp;"")</f>
        <v/>
      </c>
      <c r="G35" s="11" t="str">
        <f aca="false">IF($B35="","",INDEX(MASTER_DATABASE!$I$4:$I$1000,$B35)&amp;"")</f>
        <v/>
      </c>
      <c r="H35" s="7" t="str">
        <f aca="false">IF($B35="","",INDEX(MASTER_DATABASE!$L$4:$L$1000,$B35)&amp;"")</f>
        <v/>
      </c>
      <c r="I35" s="9" t="str">
        <f aca="false">IF($B35="","",INDEX(MASTER_DATABASE!$R$4:$R$1000,$B35))</f>
        <v/>
      </c>
      <c r="J35" s="9" t="str">
        <f aca="false">IF($B35="","",INDEX(MASTER_DATABASE!$S$4:$S$1000,$B35))</f>
        <v/>
      </c>
      <c r="K35" s="9" t="str">
        <f aca="false">IF($B35="","",INDEX(MASTER_DATABASE!$T$4:$T$1000,$B35))</f>
        <v/>
      </c>
      <c r="L35" s="7" t="str">
        <f aca="false">IF($B35="","",INDEX(MASTER_DATABASE!$U$4:$U$1000,$B35)&amp;"")</f>
        <v/>
      </c>
      <c r="M35" s="7" t="str">
        <f aca="false">IF($B35="","",INDEX(MASTER_DATABASE!$Q$4:$Q$1000,$B35)&amp;"")</f>
        <v/>
      </c>
      <c r="N35" s="7" t="str">
        <f aca="false">IF($B35="","",INDEX(MASTER_DATABASE!$AG$4:$AG$1000,$B35)&amp;"")</f>
        <v/>
      </c>
      <c r="O35" s="11" t="str">
        <f aca="false">IF($B35="","",INDEX(MASTER_DATABASE!$AH$4:$AH$1000,$B35)&amp;"")</f>
        <v/>
      </c>
      <c r="P35" s="11" t="str">
        <f aca="false">IF($B35="","",INDEX(MASTER_DATABASE!$BE$4:$BE$1000,$B35)&amp;"")</f>
        <v/>
      </c>
      <c r="Q35" s="7" t="str">
        <f aca="false">IF($B35="","",INDEX(MASTER_DATABASE!$AV$4:$AV$1000,$B35)&amp;"")</f>
        <v/>
      </c>
    </row>
    <row r="36" customFormat="false" ht="15" hidden="false" customHeight="false" outlineLevel="0" collapsed="false">
      <c r="A36" s="11" t="n">
        <v>33</v>
      </c>
      <c r="B36" s="11" t="str">
        <f aca="false">IFERROR(MATCH("HDFC Bank BC Point|"&amp;$A36,MASTER_DATABASE!$BH$4:$BH$1000,0),"")</f>
        <v/>
      </c>
      <c r="C36" s="11" t="str">
        <f aca="false">IF($B36="","",INDEX(MASTER_DATABASE!$A$4:$A$1000,$B36)&amp;"")</f>
        <v/>
      </c>
      <c r="D36" s="7" t="str">
        <f aca="false">IF($B36="","",INDEX(MASTER_DATABASE!$D$4:$D$1000,$B36)&amp;"")</f>
        <v/>
      </c>
      <c r="E36" s="7" t="str">
        <f aca="false">IF($B36="","",INDEX(MASTER_DATABASE!$E$4:$E$1000,$B36)&amp;"")</f>
        <v/>
      </c>
      <c r="F36" s="7" t="str">
        <f aca="false">IF($B36="","",INDEX(MASTER_DATABASE!$F$4:$F$1000,$B36)&amp;"")</f>
        <v/>
      </c>
      <c r="G36" s="11" t="str">
        <f aca="false">IF($B36="","",INDEX(MASTER_DATABASE!$I$4:$I$1000,$B36)&amp;"")</f>
        <v/>
      </c>
      <c r="H36" s="7" t="str">
        <f aca="false">IF($B36="","",INDEX(MASTER_DATABASE!$L$4:$L$1000,$B36)&amp;"")</f>
        <v/>
      </c>
      <c r="I36" s="9" t="str">
        <f aca="false">IF($B36="","",INDEX(MASTER_DATABASE!$R$4:$R$1000,$B36))</f>
        <v/>
      </c>
      <c r="J36" s="9" t="str">
        <f aca="false">IF($B36="","",INDEX(MASTER_DATABASE!$S$4:$S$1000,$B36))</f>
        <v/>
      </c>
      <c r="K36" s="9" t="str">
        <f aca="false">IF($B36="","",INDEX(MASTER_DATABASE!$T$4:$T$1000,$B36))</f>
        <v/>
      </c>
      <c r="L36" s="7" t="str">
        <f aca="false">IF($B36="","",INDEX(MASTER_DATABASE!$U$4:$U$1000,$B36)&amp;"")</f>
        <v/>
      </c>
      <c r="M36" s="7" t="str">
        <f aca="false">IF($B36="","",INDEX(MASTER_DATABASE!$Q$4:$Q$1000,$B36)&amp;"")</f>
        <v/>
      </c>
      <c r="N36" s="7" t="str">
        <f aca="false">IF($B36="","",INDEX(MASTER_DATABASE!$AG$4:$AG$1000,$B36)&amp;"")</f>
        <v/>
      </c>
      <c r="O36" s="11" t="str">
        <f aca="false">IF($B36="","",INDEX(MASTER_DATABASE!$AH$4:$AH$1000,$B36)&amp;"")</f>
        <v/>
      </c>
      <c r="P36" s="11" t="str">
        <f aca="false">IF($B36="","",INDEX(MASTER_DATABASE!$BE$4:$BE$1000,$B36)&amp;"")</f>
        <v/>
      </c>
      <c r="Q36" s="7" t="str">
        <f aca="false">IF($B36="","",INDEX(MASTER_DATABASE!$AV$4:$AV$1000,$B36)&amp;"")</f>
        <v/>
      </c>
    </row>
    <row r="37" customFormat="false" ht="15" hidden="false" customHeight="false" outlineLevel="0" collapsed="false">
      <c r="A37" s="11" t="n">
        <v>34</v>
      </c>
      <c r="B37" s="11" t="str">
        <f aca="false">IFERROR(MATCH("HDFC Bank BC Point|"&amp;$A37,MASTER_DATABASE!$BH$4:$BH$1000,0),"")</f>
        <v/>
      </c>
      <c r="C37" s="11" t="str">
        <f aca="false">IF($B37="","",INDEX(MASTER_DATABASE!$A$4:$A$1000,$B37)&amp;"")</f>
        <v/>
      </c>
      <c r="D37" s="7" t="str">
        <f aca="false">IF($B37="","",INDEX(MASTER_DATABASE!$D$4:$D$1000,$B37)&amp;"")</f>
        <v/>
      </c>
      <c r="E37" s="7" t="str">
        <f aca="false">IF($B37="","",INDEX(MASTER_DATABASE!$E$4:$E$1000,$B37)&amp;"")</f>
        <v/>
      </c>
      <c r="F37" s="7" t="str">
        <f aca="false">IF($B37="","",INDEX(MASTER_DATABASE!$F$4:$F$1000,$B37)&amp;"")</f>
        <v/>
      </c>
      <c r="G37" s="11" t="str">
        <f aca="false">IF($B37="","",INDEX(MASTER_DATABASE!$I$4:$I$1000,$B37)&amp;"")</f>
        <v/>
      </c>
      <c r="H37" s="7" t="str">
        <f aca="false">IF($B37="","",INDEX(MASTER_DATABASE!$L$4:$L$1000,$B37)&amp;"")</f>
        <v/>
      </c>
      <c r="I37" s="9" t="str">
        <f aca="false">IF($B37="","",INDEX(MASTER_DATABASE!$R$4:$R$1000,$B37))</f>
        <v/>
      </c>
      <c r="J37" s="9" t="str">
        <f aca="false">IF($B37="","",INDEX(MASTER_DATABASE!$S$4:$S$1000,$B37))</f>
        <v/>
      </c>
      <c r="K37" s="9" t="str">
        <f aca="false">IF($B37="","",INDEX(MASTER_DATABASE!$T$4:$T$1000,$B37))</f>
        <v/>
      </c>
      <c r="L37" s="7" t="str">
        <f aca="false">IF($B37="","",INDEX(MASTER_DATABASE!$U$4:$U$1000,$B37)&amp;"")</f>
        <v/>
      </c>
      <c r="M37" s="7" t="str">
        <f aca="false">IF($B37="","",INDEX(MASTER_DATABASE!$Q$4:$Q$1000,$B37)&amp;"")</f>
        <v/>
      </c>
      <c r="N37" s="7" t="str">
        <f aca="false">IF($B37="","",INDEX(MASTER_DATABASE!$AG$4:$AG$1000,$B37)&amp;"")</f>
        <v/>
      </c>
      <c r="O37" s="11" t="str">
        <f aca="false">IF($B37="","",INDEX(MASTER_DATABASE!$AH$4:$AH$1000,$B37)&amp;"")</f>
        <v/>
      </c>
      <c r="P37" s="11" t="str">
        <f aca="false">IF($B37="","",INDEX(MASTER_DATABASE!$BE$4:$BE$1000,$B37)&amp;"")</f>
        <v/>
      </c>
      <c r="Q37" s="7" t="str">
        <f aca="false">IF($B37="","",INDEX(MASTER_DATABASE!$AV$4:$AV$1000,$B37)&amp;"")</f>
        <v/>
      </c>
    </row>
    <row r="38" customFormat="false" ht="15" hidden="false" customHeight="false" outlineLevel="0" collapsed="false">
      <c r="A38" s="11" t="n">
        <v>35</v>
      </c>
      <c r="B38" s="11" t="str">
        <f aca="false">IFERROR(MATCH("HDFC Bank BC Point|"&amp;$A38,MASTER_DATABASE!$BH$4:$BH$1000,0),"")</f>
        <v/>
      </c>
      <c r="C38" s="11" t="str">
        <f aca="false">IF($B38="","",INDEX(MASTER_DATABASE!$A$4:$A$1000,$B38)&amp;"")</f>
        <v/>
      </c>
      <c r="D38" s="7" t="str">
        <f aca="false">IF($B38="","",INDEX(MASTER_DATABASE!$D$4:$D$1000,$B38)&amp;"")</f>
        <v/>
      </c>
      <c r="E38" s="7" t="str">
        <f aca="false">IF($B38="","",INDEX(MASTER_DATABASE!$E$4:$E$1000,$B38)&amp;"")</f>
        <v/>
      </c>
      <c r="F38" s="7" t="str">
        <f aca="false">IF($B38="","",INDEX(MASTER_DATABASE!$F$4:$F$1000,$B38)&amp;"")</f>
        <v/>
      </c>
      <c r="G38" s="11" t="str">
        <f aca="false">IF($B38="","",INDEX(MASTER_DATABASE!$I$4:$I$1000,$B38)&amp;"")</f>
        <v/>
      </c>
      <c r="H38" s="7" t="str">
        <f aca="false">IF($B38="","",INDEX(MASTER_DATABASE!$L$4:$L$1000,$B38)&amp;"")</f>
        <v/>
      </c>
      <c r="I38" s="9" t="str">
        <f aca="false">IF($B38="","",INDEX(MASTER_DATABASE!$R$4:$R$1000,$B38))</f>
        <v/>
      </c>
      <c r="J38" s="9" t="str">
        <f aca="false">IF($B38="","",INDEX(MASTER_DATABASE!$S$4:$S$1000,$B38))</f>
        <v/>
      </c>
      <c r="K38" s="9" t="str">
        <f aca="false">IF($B38="","",INDEX(MASTER_DATABASE!$T$4:$T$1000,$B38))</f>
        <v/>
      </c>
      <c r="L38" s="7" t="str">
        <f aca="false">IF($B38="","",INDEX(MASTER_DATABASE!$U$4:$U$1000,$B38)&amp;"")</f>
        <v/>
      </c>
      <c r="M38" s="7" t="str">
        <f aca="false">IF($B38="","",INDEX(MASTER_DATABASE!$Q$4:$Q$1000,$B38)&amp;"")</f>
        <v/>
      </c>
      <c r="N38" s="7" t="str">
        <f aca="false">IF($B38="","",INDEX(MASTER_DATABASE!$AG$4:$AG$1000,$B38)&amp;"")</f>
        <v/>
      </c>
      <c r="O38" s="11" t="str">
        <f aca="false">IF($B38="","",INDEX(MASTER_DATABASE!$AH$4:$AH$1000,$B38)&amp;"")</f>
        <v/>
      </c>
      <c r="P38" s="11" t="str">
        <f aca="false">IF($B38="","",INDEX(MASTER_DATABASE!$BE$4:$BE$1000,$B38)&amp;"")</f>
        <v/>
      </c>
      <c r="Q38" s="7" t="str">
        <f aca="false">IF($B38="","",INDEX(MASTER_DATABASE!$AV$4:$AV$1000,$B38)&amp;"")</f>
        <v/>
      </c>
    </row>
    <row r="39" customFormat="false" ht="15" hidden="false" customHeight="false" outlineLevel="0" collapsed="false">
      <c r="A39" s="11" t="n">
        <v>36</v>
      </c>
      <c r="B39" s="11" t="str">
        <f aca="false">IFERROR(MATCH("HDFC Bank BC Point|"&amp;$A39,MASTER_DATABASE!$BH$4:$BH$1000,0),"")</f>
        <v/>
      </c>
      <c r="C39" s="11" t="str">
        <f aca="false">IF($B39="","",INDEX(MASTER_DATABASE!$A$4:$A$1000,$B39)&amp;"")</f>
        <v/>
      </c>
      <c r="D39" s="7" t="str">
        <f aca="false">IF($B39="","",INDEX(MASTER_DATABASE!$D$4:$D$1000,$B39)&amp;"")</f>
        <v/>
      </c>
      <c r="E39" s="7" t="str">
        <f aca="false">IF($B39="","",INDEX(MASTER_DATABASE!$E$4:$E$1000,$B39)&amp;"")</f>
        <v/>
      </c>
      <c r="F39" s="7" t="str">
        <f aca="false">IF($B39="","",INDEX(MASTER_DATABASE!$F$4:$F$1000,$B39)&amp;"")</f>
        <v/>
      </c>
      <c r="G39" s="11" t="str">
        <f aca="false">IF($B39="","",INDEX(MASTER_DATABASE!$I$4:$I$1000,$B39)&amp;"")</f>
        <v/>
      </c>
      <c r="H39" s="7" t="str">
        <f aca="false">IF($B39="","",INDEX(MASTER_DATABASE!$L$4:$L$1000,$B39)&amp;"")</f>
        <v/>
      </c>
      <c r="I39" s="9" t="str">
        <f aca="false">IF($B39="","",INDEX(MASTER_DATABASE!$R$4:$R$1000,$B39))</f>
        <v/>
      </c>
      <c r="J39" s="9" t="str">
        <f aca="false">IF($B39="","",INDEX(MASTER_DATABASE!$S$4:$S$1000,$B39))</f>
        <v/>
      </c>
      <c r="K39" s="9" t="str">
        <f aca="false">IF($B39="","",INDEX(MASTER_DATABASE!$T$4:$T$1000,$B39))</f>
        <v/>
      </c>
      <c r="L39" s="7" t="str">
        <f aca="false">IF($B39="","",INDEX(MASTER_DATABASE!$U$4:$U$1000,$B39)&amp;"")</f>
        <v/>
      </c>
      <c r="M39" s="7" t="str">
        <f aca="false">IF($B39="","",INDEX(MASTER_DATABASE!$Q$4:$Q$1000,$B39)&amp;"")</f>
        <v/>
      </c>
      <c r="N39" s="7" t="str">
        <f aca="false">IF($B39="","",INDEX(MASTER_DATABASE!$AG$4:$AG$1000,$B39)&amp;"")</f>
        <v/>
      </c>
      <c r="O39" s="11" t="str">
        <f aca="false">IF($B39="","",INDEX(MASTER_DATABASE!$AH$4:$AH$1000,$B39)&amp;"")</f>
        <v/>
      </c>
      <c r="P39" s="11" t="str">
        <f aca="false">IF($B39="","",INDEX(MASTER_DATABASE!$BE$4:$BE$1000,$B39)&amp;"")</f>
        <v/>
      </c>
      <c r="Q39" s="7" t="str">
        <f aca="false">IF($B39="","",INDEX(MASTER_DATABASE!$AV$4:$AV$1000,$B39)&amp;"")</f>
        <v/>
      </c>
    </row>
    <row r="40" customFormat="false" ht="15" hidden="false" customHeight="false" outlineLevel="0" collapsed="false">
      <c r="A40" s="11" t="n">
        <v>37</v>
      </c>
      <c r="B40" s="11" t="str">
        <f aca="false">IFERROR(MATCH("HDFC Bank BC Point|"&amp;$A40,MASTER_DATABASE!$BH$4:$BH$1000,0),"")</f>
        <v/>
      </c>
      <c r="C40" s="11" t="str">
        <f aca="false">IF($B40="","",INDEX(MASTER_DATABASE!$A$4:$A$1000,$B40)&amp;"")</f>
        <v/>
      </c>
      <c r="D40" s="7" t="str">
        <f aca="false">IF($B40="","",INDEX(MASTER_DATABASE!$D$4:$D$1000,$B40)&amp;"")</f>
        <v/>
      </c>
      <c r="E40" s="7" t="str">
        <f aca="false">IF($B40="","",INDEX(MASTER_DATABASE!$E$4:$E$1000,$B40)&amp;"")</f>
        <v/>
      </c>
      <c r="F40" s="7" t="str">
        <f aca="false">IF($B40="","",INDEX(MASTER_DATABASE!$F$4:$F$1000,$B40)&amp;"")</f>
        <v/>
      </c>
      <c r="G40" s="11" t="str">
        <f aca="false">IF($B40="","",INDEX(MASTER_DATABASE!$I$4:$I$1000,$B40)&amp;"")</f>
        <v/>
      </c>
      <c r="H40" s="7" t="str">
        <f aca="false">IF($B40="","",INDEX(MASTER_DATABASE!$L$4:$L$1000,$B40)&amp;"")</f>
        <v/>
      </c>
      <c r="I40" s="9" t="str">
        <f aca="false">IF($B40="","",INDEX(MASTER_DATABASE!$R$4:$R$1000,$B40))</f>
        <v/>
      </c>
      <c r="J40" s="9" t="str">
        <f aca="false">IF($B40="","",INDEX(MASTER_DATABASE!$S$4:$S$1000,$B40))</f>
        <v/>
      </c>
      <c r="K40" s="9" t="str">
        <f aca="false">IF($B40="","",INDEX(MASTER_DATABASE!$T$4:$T$1000,$B40))</f>
        <v/>
      </c>
      <c r="L40" s="7" t="str">
        <f aca="false">IF($B40="","",INDEX(MASTER_DATABASE!$U$4:$U$1000,$B40)&amp;"")</f>
        <v/>
      </c>
      <c r="M40" s="7" t="str">
        <f aca="false">IF($B40="","",INDEX(MASTER_DATABASE!$Q$4:$Q$1000,$B40)&amp;"")</f>
        <v/>
      </c>
      <c r="N40" s="7" t="str">
        <f aca="false">IF($B40="","",INDEX(MASTER_DATABASE!$AG$4:$AG$1000,$B40)&amp;"")</f>
        <v/>
      </c>
      <c r="O40" s="11" t="str">
        <f aca="false">IF($B40="","",INDEX(MASTER_DATABASE!$AH$4:$AH$1000,$B40)&amp;"")</f>
        <v/>
      </c>
      <c r="P40" s="11" t="str">
        <f aca="false">IF($B40="","",INDEX(MASTER_DATABASE!$BE$4:$BE$1000,$B40)&amp;"")</f>
        <v/>
      </c>
      <c r="Q40" s="7" t="str">
        <f aca="false">IF($B40="","",INDEX(MASTER_DATABASE!$AV$4:$AV$1000,$B40)&amp;"")</f>
        <v/>
      </c>
    </row>
    <row r="41" customFormat="false" ht="15" hidden="false" customHeight="false" outlineLevel="0" collapsed="false">
      <c r="A41" s="11" t="n">
        <v>38</v>
      </c>
      <c r="B41" s="11" t="str">
        <f aca="false">IFERROR(MATCH("HDFC Bank BC Point|"&amp;$A41,MASTER_DATABASE!$BH$4:$BH$1000,0),"")</f>
        <v/>
      </c>
      <c r="C41" s="11" t="str">
        <f aca="false">IF($B41="","",INDEX(MASTER_DATABASE!$A$4:$A$1000,$B41)&amp;"")</f>
        <v/>
      </c>
      <c r="D41" s="7" t="str">
        <f aca="false">IF($B41="","",INDEX(MASTER_DATABASE!$D$4:$D$1000,$B41)&amp;"")</f>
        <v/>
      </c>
      <c r="E41" s="7" t="str">
        <f aca="false">IF($B41="","",INDEX(MASTER_DATABASE!$E$4:$E$1000,$B41)&amp;"")</f>
        <v/>
      </c>
      <c r="F41" s="7" t="str">
        <f aca="false">IF($B41="","",INDEX(MASTER_DATABASE!$F$4:$F$1000,$B41)&amp;"")</f>
        <v/>
      </c>
      <c r="G41" s="11" t="str">
        <f aca="false">IF($B41="","",INDEX(MASTER_DATABASE!$I$4:$I$1000,$B41)&amp;"")</f>
        <v/>
      </c>
      <c r="H41" s="7" t="str">
        <f aca="false">IF($B41="","",INDEX(MASTER_DATABASE!$L$4:$L$1000,$B41)&amp;"")</f>
        <v/>
      </c>
      <c r="I41" s="9" t="str">
        <f aca="false">IF($B41="","",INDEX(MASTER_DATABASE!$R$4:$R$1000,$B41))</f>
        <v/>
      </c>
      <c r="J41" s="9" t="str">
        <f aca="false">IF($B41="","",INDEX(MASTER_DATABASE!$S$4:$S$1000,$B41))</f>
        <v/>
      </c>
      <c r="K41" s="9" t="str">
        <f aca="false">IF($B41="","",INDEX(MASTER_DATABASE!$T$4:$T$1000,$B41))</f>
        <v/>
      </c>
      <c r="L41" s="7" t="str">
        <f aca="false">IF($B41="","",INDEX(MASTER_DATABASE!$U$4:$U$1000,$B41)&amp;"")</f>
        <v/>
      </c>
      <c r="M41" s="7" t="str">
        <f aca="false">IF($B41="","",INDEX(MASTER_DATABASE!$Q$4:$Q$1000,$B41)&amp;"")</f>
        <v/>
      </c>
      <c r="N41" s="7" t="str">
        <f aca="false">IF($B41="","",INDEX(MASTER_DATABASE!$AG$4:$AG$1000,$B41)&amp;"")</f>
        <v/>
      </c>
      <c r="O41" s="11" t="str">
        <f aca="false">IF($B41="","",INDEX(MASTER_DATABASE!$AH$4:$AH$1000,$B41)&amp;"")</f>
        <v/>
      </c>
      <c r="P41" s="11" t="str">
        <f aca="false">IF($B41="","",INDEX(MASTER_DATABASE!$BE$4:$BE$1000,$B41)&amp;"")</f>
        <v/>
      </c>
      <c r="Q41" s="7" t="str">
        <f aca="false">IF($B41="","",INDEX(MASTER_DATABASE!$AV$4:$AV$1000,$B41)&amp;"")</f>
        <v/>
      </c>
    </row>
    <row r="42" customFormat="false" ht="15" hidden="false" customHeight="false" outlineLevel="0" collapsed="false">
      <c r="A42" s="11" t="n">
        <v>39</v>
      </c>
      <c r="B42" s="11" t="str">
        <f aca="false">IFERROR(MATCH("HDFC Bank BC Point|"&amp;$A42,MASTER_DATABASE!$BH$4:$BH$1000,0),"")</f>
        <v/>
      </c>
      <c r="C42" s="11" t="str">
        <f aca="false">IF($B42="","",INDEX(MASTER_DATABASE!$A$4:$A$1000,$B42)&amp;"")</f>
        <v/>
      </c>
      <c r="D42" s="7" t="str">
        <f aca="false">IF($B42="","",INDEX(MASTER_DATABASE!$D$4:$D$1000,$B42)&amp;"")</f>
        <v/>
      </c>
      <c r="E42" s="7" t="str">
        <f aca="false">IF($B42="","",INDEX(MASTER_DATABASE!$E$4:$E$1000,$B42)&amp;"")</f>
        <v/>
      </c>
      <c r="F42" s="7" t="str">
        <f aca="false">IF($B42="","",INDEX(MASTER_DATABASE!$F$4:$F$1000,$B42)&amp;"")</f>
        <v/>
      </c>
      <c r="G42" s="11" t="str">
        <f aca="false">IF($B42="","",INDEX(MASTER_DATABASE!$I$4:$I$1000,$B42)&amp;"")</f>
        <v/>
      </c>
      <c r="H42" s="7" t="str">
        <f aca="false">IF($B42="","",INDEX(MASTER_DATABASE!$L$4:$L$1000,$B42)&amp;"")</f>
        <v/>
      </c>
      <c r="I42" s="9" t="str">
        <f aca="false">IF($B42="","",INDEX(MASTER_DATABASE!$R$4:$R$1000,$B42))</f>
        <v/>
      </c>
      <c r="J42" s="9" t="str">
        <f aca="false">IF($B42="","",INDEX(MASTER_DATABASE!$S$4:$S$1000,$B42))</f>
        <v/>
      </c>
      <c r="K42" s="9" t="str">
        <f aca="false">IF($B42="","",INDEX(MASTER_DATABASE!$T$4:$T$1000,$B42))</f>
        <v/>
      </c>
      <c r="L42" s="7" t="str">
        <f aca="false">IF($B42="","",INDEX(MASTER_DATABASE!$U$4:$U$1000,$B42)&amp;"")</f>
        <v/>
      </c>
      <c r="M42" s="7" t="str">
        <f aca="false">IF($B42="","",INDEX(MASTER_DATABASE!$Q$4:$Q$1000,$B42)&amp;"")</f>
        <v/>
      </c>
      <c r="N42" s="7" t="str">
        <f aca="false">IF($B42="","",INDEX(MASTER_DATABASE!$AG$4:$AG$1000,$B42)&amp;"")</f>
        <v/>
      </c>
      <c r="O42" s="11" t="str">
        <f aca="false">IF($B42="","",INDEX(MASTER_DATABASE!$AH$4:$AH$1000,$B42)&amp;"")</f>
        <v/>
      </c>
      <c r="P42" s="11" t="str">
        <f aca="false">IF($B42="","",INDEX(MASTER_DATABASE!$BE$4:$BE$1000,$B42)&amp;"")</f>
        <v/>
      </c>
      <c r="Q42" s="7" t="str">
        <f aca="false">IF($B42="","",INDEX(MASTER_DATABASE!$AV$4:$AV$1000,$B42)&amp;"")</f>
        <v/>
      </c>
    </row>
    <row r="43" customFormat="false" ht="15" hidden="false" customHeight="false" outlineLevel="0" collapsed="false">
      <c r="A43" s="11" t="n">
        <v>40</v>
      </c>
      <c r="B43" s="11" t="str">
        <f aca="false">IFERROR(MATCH("HDFC Bank BC Point|"&amp;$A43,MASTER_DATABASE!$BH$4:$BH$1000,0),"")</f>
        <v/>
      </c>
      <c r="C43" s="11" t="str">
        <f aca="false">IF($B43="","",INDEX(MASTER_DATABASE!$A$4:$A$1000,$B43)&amp;"")</f>
        <v/>
      </c>
      <c r="D43" s="7" t="str">
        <f aca="false">IF($B43="","",INDEX(MASTER_DATABASE!$D$4:$D$1000,$B43)&amp;"")</f>
        <v/>
      </c>
      <c r="E43" s="7" t="str">
        <f aca="false">IF($B43="","",INDEX(MASTER_DATABASE!$E$4:$E$1000,$B43)&amp;"")</f>
        <v/>
      </c>
      <c r="F43" s="7" t="str">
        <f aca="false">IF($B43="","",INDEX(MASTER_DATABASE!$F$4:$F$1000,$B43)&amp;"")</f>
        <v/>
      </c>
      <c r="G43" s="11" t="str">
        <f aca="false">IF($B43="","",INDEX(MASTER_DATABASE!$I$4:$I$1000,$B43)&amp;"")</f>
        <v/>
      </c>
      <c r="H43" s="7" t="str">
        <f aca="false">IF($B43="","",INDEX(MASTER_DATABASE!$L$4:$L$1000,$B43)&amp;"")</f>
        <v/>
      </c>
      <c r="I43" s="9" t="str">
        <f aca="false">IF($B43="","",INDEX(MASTER_DATABASE!$R$4:$R$1000,$B43))</f>
        <v/>
      </c>
      <c r="J43" s="9" t="str">
        <f aca="false">IF($B43="","",INDEX(MASTER_DATABASE!$S$4:$S$1000,$B43))</f>
        <v/>
      </c>
      <c r="K43" s="9" t="str">
        <f aca="false">IF($B43="","",INDEX(MASTER_DATABASE!$T$4:$T$1000,$B43))</f>
        <v/>
      </c>
      <c r="L43" s="7" t="str">
        <f aca="false">IF($B43="","",INDEX(MASTER_DATABASE!$U$4:$U$1000,$B43)&amp;"")</f>
        <v/>
      </c>
      <c r="M43" s="7" t="str">
        <f aca="false">IF($B43="","",INDEX(MASTER_DATABASE!$Q$4:$Q$1000,$B43)&amp;"")</f>
        <v/>
      </c>
      <c r="N43" s="7" t="str">
        <f aca="false">IF($B43="","",INDEX(MASTER_DATABASE!$AG$4:$AG$1000,$B43)&amp;"")</f>
        <v/>
      </c>
      <c r="O43" s="11" t="str">
        <f aca="false">IF($B43="","",INDEX(MASTER_DATABASE!$AH$4:$AH$1000,$B43)&amp;"")</f>
        <v/>
      </c>
      <c r="P43" s="11" t="str">
        <f aca="false">IF($B43="","",INDEX(MASTER_DATABASE!$BE$4:$BE$1000,$B43)&amp;"")</f>
        <v/>
      </c>
      <c r="Q43" s="7" t="str">
        <f aca="false">IF($B43="","",INDEX(MASTER_DATABASE!$AV$4:$AV$1000,$B43)&amp;"")</f>
        <v/>
      </c>
    </row>
    <row r="44" customFormat="false" ht="15" hidden="false" customHeight="false" outlineLevel="0" collapsed="false">
      <c r="A44" s="11" t="n">
        <v>41</v>
      </c>
      <c r="B44" s="11" t="str">
        <f aca="false">IFERROR(MATCH("HDFC Bank BC Point|"&amp;$A44,MASTER_DATABASE!$BH$4:$BH$1000,0),"")</f>
        <v/>
      </c>
      <c r="C44" s="11" t="str">
        <f aca="false">IF($B44="","",INDEX(MASTER_DATABASE!$A$4:$A$1000,$B44)&amp;"")</f>
        <v/>
      </c>
      <c r="D44" s="7" t="str">
        <f aca="false">IF($B44="","",INDEX(MASTER_DATABASE!$D$4:$D$1000,$B44)&amp;"")</f>
        <v/>
      </c>
      <c r="E44" s="7" t="str">
        <f aca="false">IF($B44="","",INDEX(MASTER_DATABASE!$E$4:$E$1000,$B44)&amp;"")</f>
        <v/>
      </c>
      <c r="F44" s="7" t="str">
        <f aca="false">IF($B44="","",INDEX(MASTER_DATABASE!$F$4:$F$1000,$B44)&amp;"")</f>
        <v/>
      </c>
      <c r="G44" s="11" t="str">
        <f aca="false">IF($B44="","",INDEX(MASTER_DATABASE!$I$4:$I$1000,$B44)&amp;"")</f>
        <v/>
      </c>
      <c r="H44" s="7" t="str">
        <f aca="false">IF($B44="","",INDEX(MASTER_DATABASE!$L$4:$L$1000,$B44)&amp;"")</f>
        <v/>
      </c>
      <c r="I44" s="9" t="str">
        <f aca="false">IF($B44="","",INDEX(MASTER_DATABASE!$R$4:$R$1000,$B44))</f>
        <v/>
      </c>
      <c r="J44" s="9" t="str">
        <f aca="false">IF($B44="","",INDEX(MASTER_DATABASE!$S$4:$S$1000,$B44))</f>
        <v/>
      </c>
      <c r="K44" s="9" t="str">
        <f aca="false">IF($B44="","",INDEX(MASTER_DATABASE!$T$4:$T$1000,$B44))</f>
        <v/>
      </c>
      <c r="L44" s="7" t="str">
        <f aca="false">IF($B44="","",INDEX(MASTER_DATABASE!$U$4:$U$1000,$B44)&amp;"")</f>
        <v/>
      </c>
      <c r="M44" s="7" t="str">
        <f aca="false">IF($B44="","",INDEX(MASTER_DATABASE!$Q$4:$Q$1000,$B44)&amp;"")</f>
        <v/>
      </c>
      <c r="N44" s="7" t="str">
        <f aca="false">IF($B44="","",INDEX(MASTER_DATABASE!$AG$4:$AG$1000,$B44)&amp;"")</f>
        <v/>
      </c>
      <c r="O44" s="11" t="str">
        <f aca="false">IF($B44="","",INDEX(MASTER_DATABASE!$AH$4:$AH$1000,$B44)&amp;"")</f>
        <v/>
      </c>
      <c r="P44" s="11" t="str">
        <f aca="false">IF($B44="","",INDEX(MASTER_DATABASE!$BE$4:$BE$1000,$B44)&amp;"")</f>
        <v/>
      </c>
      <c r="Q44" s="7" t="str">
        <f aca="false">IF($B44="","",INDEX(MASTER_DATABASE!$AV$4:$AV$1000,$B44)&amp;"")</f>
        <v/>
      </c>
    </row>
    <row r="45" customFormat="false" ht="15" hidden="false" customHeight="false" outlineLevel="0" collapsed="false">
      <c r="A45" s="11" t="n">
        <v>42</v>
      </c>
      <c r="B45" s="11" t="str">
        <f aca="false">IFERROR(MATCH("HDFC Bank BC Point|"&amp;$A45,MASTER_DATABASE!$BH$4:$BH$1000,0),"")</f>
        <v/>
      </c>
      <c r="C45" s="11" t="str">
        <f aca="false">IF($B45="","",INDEX(MASTER_DATABASE!$A$4:$A$1000,$B45)&amp;"")</f>
        <v/>
      </c>
      <c r="D45" s="7" t="str">
        <f aca="false">IF($B45="","",INDEX(MASTER_DATABASE!$D$4:$D$1000,$B45)&amp;"")</f>
        <v/>
      </c>
      <c r="E45" s="7" t="str">
        <f aca="false">IF($B45="","",INDEX(MASTER_DATABASE!$E$4:$E$1000,$B45)&amp;"")</f>
        <v/>
      </c>
      <c r="F45" s="7" t="str">
        <f aca="false">IF($B45="","",INDEX(MASTER_DATABASE!$F$4:$F$1000,$B45)&amp;"")</f>
        <v/>
      </c>
      <c r="G45" s="11" t="str">
        <f aca="false">IF($B45="","",INDEX(MASTER_DATABASE!$I$4:$I$1000,$B45)&amp;"")</f>
        <v/>
      </c>
      <c r="H45" s="7" t="str">
        <f aca="false">IF($B45="","",INDEX(MASTER_DATABASE!$L$4:$L$1000,$B45)&amp;"")</f>
        <v/>
      </c>
      <c r="I45" s="9" t="str">
        <f aca="false">IF($B45="","",INDEX(MASTER_DATABASE!$R$4:$R$1000,$B45))</f>
        <v/>
      </c>
      <c r="J45" s="9" t="str">
        <f aca="false">IF($B45="","",INDEX(MASTER_DATABASE!$S$4:$S$1000,$B45))</f>
        <v/>
      </c>
      <c r="K45" s="9" t="str">
        <f aca="false">IF($B45="","",INDEX(MASTER_DATABASE!$T$4:$T$1000,$B45))</f>
        <v/>
      </c>
      <c r="L45" s="7" t="str">
        <f aca="false">IF($B45="","",INDEX(MASTER_DATABASE!$U$4:$U$1000,$B45)&amp;"")</f>
        <v/>
      </c>
      <c r="M45" s="7" t="str">
        <f aca="false">IF($B45="","",INDEX(MASTER_DATABASE!$Q$4:$Q$1000,$B45)&amp;"")</f>
        <v/>
      </c>
      <c r="N45" s="7" t="str">
        <f aca="false">IF($B45="","",INDEX(MASTER_DATABASE!$AG$4:$AG$1000,$B45)&amp;"")</f>
        <v/>
      </c>
      <c r="O45" s="11" t="str">
        <f aca="false">IF($B45="","",INDEX(MASTER_DATABASE!$AH$4:$AH$1000,$B45)&amp;"")</f>
        <v/>
      </c>
      <c r="P45" s="11" t="str">
        <f aca="false">IF($B45="","",INDEX(MASTER_DATABASE!$BE$4:$BE$1000,$B45)&amp;"")</f>
        <v/>
      </c>
      <c r="Q45" s="7" t="str">
        <f aca="false">IF($B45="","",INDEX(MASTER_DATABASE!$AV$4:$AV$1000,$B45)&amp;"")</f>
        <v/>
      </c>
    </row>
    <row r="46" customFormat="false" ht="15" hidden="false" customHeight="false" outlineLevel="0" collapsed="false">
      <c r="A46" s="11" t="n">
        <v>43</v>
      </c>
      <c r="B46" s="11" t="str">
        <f aca="false">IFERROR(MATCH("HDFC Bank BC Point|"&amp;$A46,MASTER_DATABASE!$BH$4:$BH$1000,0),"")</f>
        <v/>
      </c>
      <c r="C46" s="11" t="str">
        <f aca="false">IF($B46="","",INDEX(MASTER_DATABASE!$A$4:$A$1000,$B46)&amp;"")</f>
        <v/>
      </c>
      <c r="D46" s="7" t="str">
        <f aca="false">IF($B46="","",INDEX(MASTER_DATABASE!$D$4:$D$1000,$B46)&amp;"")</f>
        <v/>
      </c>
      <c r="E46" s="7" t="str">
        <f aca="false">IF($B46="","",INDEX(MASTER_DATABASE!$E$4:$E$1000,$B46)&amp;"")</f>
        <v/>
      </c>
      <c r="F46" s="7" t="str">
        <f aca="false">IF($B46="","",INDEX(MASTER_DATABASE!$F$4:$F$1000,$B46)&amp;"")</f>
        <v/>
      </c>
      <c r="G46" s="11" t="str">
        <f aca="false">IF($B46="","",INDEX(MASTER_DATABASE!$I$4:$I$1000,$B46)&amp;"")</f>
        <v/>
      </c>
      <c r="H46" s="7" t="str">
        <f aca="false">IF($B46="","",INDEX(MASTER_DATABASE!$L$4:$L$1000,$B46)&amp;"")</f>
        <v/>
      </c>
      <c r="I46" s="9" t="str">
        <f aca="false">IF($B46="","",INDEX(MASTER_DATABASE!$R$4:$R$1000,$B46))</f>
        <v/>
      </c>
      <c r="J46" s="9" t="str">
        <f aca="false">IF($B46="","",INDEX(MASTER_DATABASE!$S$4:$S$1000,$B46))</f>
        <v/>
      </c>
      <c r="K46" s="9" t="str">
        <f aca="false">IF($B46="","",INDEX(MASTER_DATABASE!$T$4:$T$1000,$B46))</f>
        <v/>
      </c>
      <c r="L46" s="7" t="str">
        <f aca="false">IF($B46="","",INDEX(MASTER_DATABASE!$U$4:$U$1000,$B46)&amp;"")</f>
        <v/>
      </c>
      <c r="M46" s="7" t="str">
        <f aca="false">IF($B46="","",INDEX(MASTER_DATABASE!$Q$4:$Q$1000,$B46)&amp;"")</f>
        <v/>
      </c>
      <c r="N46" s="7" t="str">
        <f aca="false">IF($B46="","",INDEX(MASTER_DATABASE!$AG$4:$AG$1000,$B46)&amp;"")</f>
        <v/>
      </c>
      <c r="O46" s="11" t="str">
        <f aca="false">IF($B46="","",INDEX(MASTER_DATABASE!$AH$4:$AH$1000,$B46)&amp;"")</f>
        <v/>
      </c>
      <c r="P46" s="11" t="str">
        <f aca="false">IF($B46="","",INDEX(MASTER_DATABASE!$BE$4:$BE$1000,$B46)&amp;"")</f>
        <v/>
      </c>
      <c r="Q46" s="7" t="str">
        <f aca="false">IF($B46="","",INDEX(MASTER_DATABASE!$AV$4:$AV$1000,$B46)&amp;"")</f>
        <v/>
      </c>
    </row>
    <row r="47" customFormat="false" ht="15" hidden="false" customHeight="false" outlineLevel="0" collapsed="false">
      <c r="A47" s="11" t="n">
        <v>44</v>
      </c>
      <c r="B47" s="11" t="str">
        <f aca="false">IFERROR(MATCH("HDFC Bank BC Point|"&amp;$A47,MASTER_DATABASE!$BH$4:$BH$1000,0),"")</f>
        <v/>
      </c>
      <c r="C47" s="11" t="str">
        <f aca="false">IF($B47="","",INDEX(MASTER_DATABASE!$A$4:$A$1000,$B47)&amp;"")</f>
        <v/>
      </c>
      <c r="D47" s="7" t="str">
        <f aca="false">IF($B47="","",INDEX(MASTER_DATABASE!$D$4:$D$1000,$B47)&amp;"")</f>
        <v/>
      </c>
      <c r="E47" s="7" t="str">
        <f aca="false">IF($B47="","",INDEX(MASTER_DATABASE!$E$4:$E$1000,$B47)&amp;"")</f>
        <v/>
      </c>
      <c r="F47" s="7" t="str">
        <f aca="false">IF($B47="","",INDEX(MASTER_DATABASE!$F$4:$F$1000,$B47)&amp;"")</f>
        <v/>
      </c>
      <c r="G47" s="11" t="str">
        <f aca="false">IF($B47="","",INDEX(MASTER_DATABASE!$I$4:$I$1000,$B47)&amp;"")</f>
        <v/>
      </c>
      <c r="H47" s="7" t="str">
        <f aca="false">IF($B47="","",INDEX(MASTER_DATABASE!$L$4:$L$1000,$B47)&amp;"")</f>
        <v/>
      </c>
      <c r="I47" s="9" t="str">
        <f aca="false">IF($B47="","",INDEX(MASTER_DATABASE!$R$4:$R$1000,$B47))</f>
        <v/>
      </c>
      <c r="J47" s="9" t="str">
        <f aca="false">IF($B47="","",INDEX(MASTER_DATABASE!$S$4:$S$1000,$B47))</f>
        <v/>
      </c>
      <c r="K47" s="9" t="str">
        <f aca="false">IF($B47="","",INDEX(MASTER_DATABASE!$T$4:$T$1000,$B47))</f>
        <v/>
      </c>
      <c r="L47" s="7" t="str">
        <f aca="false">IF($B47="","",INDEX(MASTER_DATABASE!$U$4:$U$1000,$B47)&amp;"")</f>
        <v/>
      </c>
      <c r="M47" s="7" t="str">
        <f aca="false">IF($B47="","",INDEX(MASTER_DATABASE!$Q$4:$Q$1000,$B47)&amp;"")</f>
        <v/>
      </c>
      <c r="N47" s="7" t="str">
        <f aca="false">IF($B47="","",INDEX(MASTER_DATABASE!$AG$4:$AG$1000,$B47)&amp;"")</f>
        <v/>
      </c>
      <c r="O47" s="11" t="str">
        <f aca="false">IF($B47="","",INDEX(MASTER_DATABASE!$AH$4:$AH$1000,$B47)&amp;"")</f>
        <v/>
      </c>
      <c r="P47" s="11" t="str">
        <f aca="false">IF($B47="","",INDEX(MASTER_DATABASE!$BE$4:$BE$1000,$B47)&amp;"")</f>
        <v/>
      </c>
      <c r="Q47" s="7" t="str">
        <f aca="false">IF($B47="","",INDEX(MASTER_DATABASE!$AV$4:$AV$1000,$B47)&amp;"")</f>
        <v/>
      </c>
    </row>
    <row r="48" customFormat="false" ht="15" hidden="false" customHeight="false" outlineLevel="0" collapsed="false">
      <c r="A48" s="11" t="n">
        <v>45</v>
      </c>
      <c r="B48" s="11" t="str">
        <f aca="false">IFERROR(MATCH("HDFC Bank BC Point|"&amp;$A48,MASTER_DATABASE!$BH$4:$BH$1000,0),"")</f>
        <v/>
      </c>
      <c r="C48" s="11" t="str">
        <f aca="false">IF($B48="","",INDEX(MASTER_DATABASE!$A$4:$A$1000,$B48)&amp;"")</f>
        <v/>
      </c>
      <c r="D48" s="7" t="str">
        <f aca="false">IF($B48="","",INDEX(MASTER_DATABASE!$D$4:$D$1000,$B48)&amp;"")</f>
        <v/>
      </c>
      <c r="E48" s="7" t="str">
        <f aca="false">IF($B48="","",INDEX(MASTER_DATABASE!$E$4:$E$1000,$B48)&amp;"")</f>
        <v/>
      </c>
      <c r="F48" s="7" t="str">
        <f aca="false">IF($B48="","",INDEX(MASTER_DATABASE!$F$4:$F$1000,$B48)&amp;"")</f>
        <v/>
      </c>
      <c r="G48" s="11" t="str">
        <f aca="false">IF($B48="","",INDEX(MASTER_DATABASE!$I$4:$I$1000,$B48)&amp;"")</f>
        <v/>
      </c>
      <c r="H48" s="7" t="str">
        <f aca="false">IF($B48="","",INDEX(MASTER_DATABASE!$L$4:$L$1000,$B48)&amp;"")</f>
        <v/>
      </c>
      <c r="I48" s="9" t="str">
        <f aca="false">IF($B48="","",INDEX(MASTER_DATABASE!$R$4:$R$1000,$B48))</f>
        <v/>
      </c>
      <c r="J48" s="9" t="str">
        <f aca="false">IF($B48="","",INDEX(MASTER_DATABASE!$S$4:$S$1000,$B48))</f>
        <v/>
      </c>
      <c r="K48" s="9" t="str">
        <f aca="false">IF($B48="","",INDEX(MASTER_DATABASE!$T$4:$T$1000,$B48))</f>
        <v/>
      </c>
      <c r="L48" s="7" t="str">
        <f aca="false">IF($B48="","",INDEX(MASTER_DATABASE!$U$4:$U$1000,$B48)&amp;"")</f>
        <v/>
      </c>
      <c r="M48" s="7" t="str">
        <f aca="false">IF($B48="","",INDEX(MASTER_DATABASE!$Q$4:$Q$1000,$B48)&amp;"")</f>
        <v/>
      </c>
      <c r="N48" s="7" t="str">
        <f aca="false">IF($B48="","",INDEX(MASTER_DATABASE!$AG$4:$AG$1000,$B48)&amp;"")</f>
        <v/>
      </c>
      <c r="O48" s="11" t="str">
        <f aca="false">IF($B48="","",INDEX(MASTER_DATABASE!$AH$4:$AH$1000,$B48)&amp;"")</f>
        <v/>
      </c>
      <c r="P48" s="11" t="str">
        <f aca="false">IF($B48="","",INDEX(MASTER_DATABASE!$BE$4:$BE$1000,$B48)&amp;"")</f>
        <v/>
      </c>
      <c r="Q48" s="7" t="str">
        <f aca="false">IF($B48="","",INDEX(MASTER_DATABASE!$AV$4:$AV$1000,$B48)&amp;"")</f>
        <v/>
      </c>
    </row>
    <row r="49" customFormat="false" ht="15" hidden="false" customHeight="false" outlineLevel="0" collapsed="false">
      <c r="A49" s="11" t="n">
        <v>46</v>
      </c>
      <c r="B49" s="11" t="str">
        <f aca="false">IFERROR(MATCH("HDFC Bank BC Point|"&amp;$A49,MASTER_DATABASE!$BH$4:$BH$1000,0),"")</f>
        <v/>
      </c>
      <c r="C49" s="11" t="str">
        <f aca="false">IF($B49="","",INDEX(MASTER_DATABASE!$A$4:$A$1000,$B49)&amp;"")</f>
        <v/>
      </c>
      <c r="D49" s="7" t="str">
        <f aca="false">IF($B49="","",INDEX(MASTER_DATABASE!$D$4:$D$1000,$B49)&amp;"")</f>
        <v/>
      </c>
      <c r="E49" s="7" t="str">
        <f aca="false">IF($B49="","",INDEX(MASTER_DATABASE!$E$4:$E$1000,$B49)&amp;"")</f>
        <v/>
      </c>
      <c r="F49" s="7" t="str">
        <f aca="false">IF($B49="","",INDEX(MASTER_DATABASE!$F$4:$F$1000,$B49)&amp;"")</f>
        <v/>
      </c>
      <c r="G49" s="11" t="str">
        <f aca="false">IF($B49="","",INDEX(MASTER_DATABASE!$I$4:$I$1000,$B49)&amp;"")</f>
        <v/>
      </c>
      <c r="H49" s="7" t="str">
        <f aca="false">IF($B49="","",INDEX(MASTER_DATABASE!$L$4:$L$1000,$B49)&amp;"")</f>
        <v/>
      </c>
      <c r="I49" s="9" t="str">
        <f aca="false">IF($B49="","",INDEX(MASTER_DATABASE!$R$4:$R$1000,$B49))</f>
        <v/>
      </c>
      <c r="J49" s="9" t="str">
        <f aca="false">IF($B49="","",INDEX(MASTER_DATABASE!$S$4:$S$1000,$B49))</f>
        <v/>
      </c>
      <c r="K49" s="9" t="str">
        <f aca="false">IF($B49="","",INDEX(MASTER_DATABASE!$T$4:$T$1000,$B49))</f>
        <v/>
      </c>
      <c r="L49" s="7" t="str">
        <f aca="false">IF($B49="","",INDEX(MASTER_DATABASE!$U$4:$U$1000,$B49)&amp;"")</f>
        <v/>
      </c>
      <c r="M49" s="7" t="str">
        <f aca="false">IF($B49="","",INDEX(MASTER_DATABASE!$Q$4:$Q$1000,$B49)&amp;"")</f>
        <v/>
      </c>
      <c r="N49" s="7" t="str">
        <f aca="false">IF($B49="","",INDEX(MASTER_DATABASE!$AG$4:$AG$1000,$B49)&amp;"")</f>
        <v/>
      </c>
      <c r="O49" s="11" t="str">
        <f aca="false">IF($B49="","",INDEX(MASTER_DATABASE!$AH$4:$AH$1000,$B49)&amp;"")</f>
        <v/>
      </c>
      <c r="P49" s="11" t="str">
        <f aca="false">IF($B49="","",INDEX(MASTER_DATABASE!$BE$4:$BE$1000,$B49)&amp;"")</f>
        <v/>
      </c>
      <c r="Q49" s="7" t="str">
        <f aca="false">IF($B49="","",INDEX(MASTER_DATABASE!$AV$4:$AV$1000,$B49)&amp;"")</f>
        <v/>
      </c>
    </row>
  </sheetData>
  <conditionalFormatting sqref="G4:G49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49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49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3684</v>
      </c>
    </row>
    <row r="2" customFormat="false" ht="15" hidden="false" customHeight="false" outlineLevel="0" collapsed="false">
      <c r="A2" s="2" t="s">
        <v>3685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15" hidden="false" customHeight="false" outlineLevel="0" collapsed="false">
      <c r="A4" s="11" t="n">
        <v>1</v>
      </c>
      <c r="B4" s="11" t="n">
        <f aca="false">IFERROR(MATCH("FINO Payments Bank BC Point|"&amp;$A4,MASTER_DATABASE!$BH$4:$BH$1000,0),"")</f>
        <v>64</v>
      </c>
      <c r="C4" s="11" t="str">
        <f aca="false">IF($B4="","",INDEX(MASTER_DATABASE!$A$4:$A$1000,$B4)&amp;"")</f>
        <v>FIN-001</v>
      </c>
      <c r="D4" s="7" t="str">
        <f aca="false">IF($B4="","",INDEX(MASTER_DATABASE!$D$4:$D$1000,$B4)&amp;"")</f>
        <v>Cash &amp; Balance Services</v>
      </c>
      <c r="E4" s="7" t="str">
        <f aca="false">IF($B4="","",INDEX(MASTER_DATABASE!$E$4:$E$1000,$B4)&amp;"")</f>
        <v>FINO BC – Cash Deposit</v>
      </c>
      <c r="F4" s="7" t="str">
        <f aca="false">IF($B4="","",INDEX(MASTER_DATABASE!$F$4:$F$1000,$B4)&amp;"")</f>
        <v>FINO BC – नकद जमा</v>
      </c>
      <c r="G4" s="11" t="str">
        <f aca="false">IF($B4="","",INDEX(MASTER_DATABASE!$I$4:$I$1000,$B4)&amp;"")</f>
        <v>Authorization Required</v>
      </c>
      <c r="H4" s="7" t="str">
        <f aca="false">IF($B4="","",INDEX(MASTER_DATABASE!$L$4:$L$1000,$B4)&amp;"")</f>
        <v>To Verify</v>
      </c>
      <c r="I4" s="9" t="str">
        <f aca="false">IF($B4="","",INDEX(MASTER_DATABASE!$R$4:$R$1000,$B4))</f>
        <v>To Verify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To Verify</v>
      </c>
      <c r="M4" s="7" t="str">
        <f aca="false">IF($B4="","",INDEX(MASTER_DATABASE!$Q$4:$Q$1000,$B4)&amp;"")</f>
        <v>5–10 Minutes</v>
      </c>
      <c r="N4" s="7" t="str">
        <f aca="false">IF($B4="","",INDEX(MASTER_DATABASE!$AG$4:$AG$1000,$B4)&amp;"")</f>
        <v>To Verify</v>
      </c>
      <c r="O4" s="11" t="str">
        <f aca="false">IF($B4="","",INDEX(MASTER_DATABASE!$AH$4:$AH$1000,$B4)&amp;"")</f>
        <v>No</v>
      </c>
      <c r="P4" s="11" t="str">
        <f aca="false">IF($B4="","",INDEX(MASTER_DATABASE!$BE$4:$BE$1000,$B4)&amp;"")</f>
        <v>HIDDEN</v>
      </c>
      <c r="Q4" s="7" t="str">
        <f aca="false">IF($B4="","",INDEX(MASTER_DATABASE!$AV$4:$AV$1000,$B4)&amp;"")</f>
        <v>To Verify</v>
      </c>
    </row>
    <row r="5" customFormat="false" ht="15" hidden="false" customHeight="false" outlineLevel="0" collapsed="false">
      <c r="A5" s="11" t="n">
        <v>2</v>
      </c>
      <c r="B5" s="11" t="n">
        <f aca="false">IFERROR(MATCH("FINO Payments Bank BC Point|"&amp;$A5,MASTER_DATABASE!$BH$4:$BH$1000,0),"")</f>
        <v>65</v>
      </c>
      <c r="C5" s="11" t="str">
        <f aca="false">IF($B5="","",INDEX(MASTER_DATABASE!$A$4:$A$1000,$B5)&amp;"")</f>
        <v>FIN-002</v>
      </c>
      <c r="D5" s="7" t="str">
        <f aca="false">IF($B5="","",INDEX(MASTER_DATABASE!$D$4:$D$1000,$B5)&amp;"")</f>
        <v>Cash &amp; Balance Services</v>
      </c>
      <c r="E5" s="7" t="str">
        <f aca="false">IF($B5="","",INDEX(MASTER_DATABASE!$E$4:$E$1000,$B5)&amp;"")</f>
        <v>FINO BC – Cash Withdrawal</v>
      </c>
      <c r="F5" s="7" t="str">
        <f aca="false">IF($B5="","",INDEX(MASTER_DATABASE!$F$4:$F$1000,$B5)&amp;"")</f>
        <v>FINO BC – नकद निकासी</v>
      </c>
      <c r="G5" s="11" t="str">
        <f aca="false">IF($B5="","",INDEX(MASTER_DATABASE!$I$4:$I$1000,$B5)&amp;"")</f>
        <v>Authorization Required</v>
      </c>
      <c r="H5" s="7" t="str">
        <f aca="false">IF($B5="","",INDEX(MASTER_DATABASE!$L$4:$L$1000,$B5)&amp;"")</f>
        <v>To Verify</v>
      </c>
      <c r="I5" s="9" t="str">
        <f aca="false">IF($B5="","",INDEX(MASTER_DATABASE!$R$4:$R$1000,$B5))</f>
        <v>To Verify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To Verify</v>
      </c>
      <c r="M5" s="7" t="str">
        <f aca="false">IF($B5="","",INDEX(MASTER_DATABASE!$Q$4:$Q$1000,$B5)&amp;"")</f>
        <v>5–10 Minutes</v>
      </c>
      <c r="N5" s="7" t="str">
        <f aca="false">IF($B5="","",INDEX(MASTER_DATABASE!$AG$4:$AG$1000,$B5)&amp;"")</f>
        <v>To Verify</v>
      </c>
      <c r="O5" s="11" t="str">
        <f aca="false">IF($B5="","",INDEX(MASTER_DATABASE!$AH$4:$AH$1000,$B5)&amp;"")</f>
        <v>No</v>
      </c>
      <c r="P5" s="11" t="str">
        <f aca="false">IF($B5="","",INDEX(MASTER_DATABASE!$BE$4:$BE$1000,$B5)&amp;"")</f>
        <v>HIDDEN</v>
      </c>
      <c r="Q5" s="7" t="str">
        <f aca="false">IF($B5="","",INDEX(MASTER_DATABASE!$AV$4:$AV$1000,$B5)&amp;"")</f>
        <v>To Verify</v>
      </c>
    </row>
    <row r="6" customFormat="false" ht="23.85" hidden="false" customHeight="false" outlineLevel="0" collapsed="false">
      <c r="A6" s="11" t="n">
        <v>3</v>
      </c>
      <c r="B6" s="11" t="n">
        <f aca="false">IFERROR(MATCH("FINO Payments Bank BC Point|"&amp;$A6,MASTER_DATABASE!$BH$4:$BH$1000,0),"")</f>
        <v>66</v>
      </c>
      <c r="C6" s="11" t="str">
        <f aca="false">IF($B6="","",INDEX(MASTER_DATABASE!$A$4:$A$1000,$B6)&amp;"")</f>
        <v>FIN-003</v>
      </c>
      <c r="D6" s="7" t="str">
        <f aca="false">IF($B6="","",INDEX(MASTER_DATABASE!$D$4:$D$1000,$B6)&amp;"")</f>
        <v>Cash &amp; Balance Services</v>
      </c>
      <c r="E6" s="7" t="str">
        <f aca="false">IF($B6="","",INDEX(MASTER_DATABASE!$E$4:$E$1000,$B6)&amp;"")</f>
        <v>FINO BC – Balance Enquiry</v>
      </c>
      <c r="F6" s="7" t="str">
        <f aca="false">IF($B6="","",INDEX(MASTER_DATABASE!$F$4:$F$1000,$B6)&amp;"")</f>
        <v>FINO BC – बैलेंस पूछताछ</v>
      </c>
      <c r="G6" s="11" t="str">
        <f aca="false">IF($B6="","",INDEX(MASTER_DATABASE!$I$4:$I$1000,$B6)&amp;"")</f>
        <v>Authorization Required</v>
      </c>
      <c r="H6" s="7" t="str">
        <f aca="false">IF($B6="","",INDEX(MASTER_DATABASE!$L$4:$L$1000,$B6)&amp;"")</f>
        <v>To Verify</v>
      </c>
      <c r="I6" s="9" t="str">
        <f aca="false">IF($B6="","",INDEX(MASTER_DATABASE!$R$4:$R$1000,$B6))</f>
        <v>To Verify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To Verify</v>
      </c>
      <c r="M6" s="7" t="str">
        <f aca="false">IF($B6="","",INDEX(MASTER_DATABASE!$Q$4:$Q$1000,$B6)&amp;"")</f>
        <v>Depends on Department</v>
      </c>
      <c r="N6" s="7" t="str">
        <f aca="false">IF($B6="","",INDEX(MASTER_DATABASE!$AG$4:$AG$1000,$B6)&amp;"")</f>
        <v>To Verify</v>
      </c>
      <c r="O6" s="11" t="str">
        <f aca="false">IF($B6="","",INDEX(MASTER_DATABASE!$AH$4:$AH$1000,$B6)&amp;"")</f>
        <v>No</v>
      </c>
      <c r="P6" s="11" t="str">
        <f aca="false">IF($B6="","",INDEX(MASTER_DATABASE!$BE$4:$BE$1000,$B6)&amp;"")</f>
        <v>HIDDEN</v>
      </c>
      <c r="Q6" s="7" t="str">
        <f aca="false">IF($B6="","",INDEX(MASTER_DATABASE!$AV$4:$AV$1000,$B6)&amp;"")</f>
        <v>To Verify</v>
      </c>
    </row>
    <row r="7" customFormat="false" ht="23.85" hidden="false" customHeight="false" outlineLevel="0" collapsed="false">
      <c r="A7" s="11" t="n">
        <v>4</v>
      </c>
      <c r="B7" s="11" t="n">
        <f aca="false">IFERROR(MATCH("FINO Payments Bank BC Point|"&amp;$A7,MASTER_DATABASE!$BH$4:$BH$1000,0),"")</f>
        <v>67</v>
      </c>
      <c r="C7" s="11" t="str">
        <f aca="false">IF($B7="","",INDEX(MASTER_DATABASE!$A$4:$A$1000,$B7)&amp;"")</f>
        <v>FIN-004</v>
      </c>
      <c r="D7" s="7" t="str">
        <f aca="false">IF($B7="","",INDEX(MASTER_DATABASE!$D$4:$D$1000,$B7)&amp;"")</f>
        <v>Cash &amp; Balance Services</v>
      </c>
      <c r="E7" s="7" t="str">
        <f aca="false">IF($B7="","",INDEX(MASTER_DATABASE!$E$4:$E$1000,$B7)&amp;"")</f>
        <v>FINO BC – Mini Statement</v>
      </c>
      <c r="F7" s="7" t="str">
        <f aca="false">IF($B7="","",INDEX(MASTER_DATABASE!$F$4:$F$1000,$B7)&amp;"")</f>
        <v>FINO BC – मिनी स्टेटमेंट</v>
      </c>
      <c r="G7" s="11" t="str">
        <f aca="false">IF($B7="","",INDEX(MASTER_DATABASE!$I$4:$I$1000,$B7)&amp;"")</f>
        <v>Authorization Required</v>
      </c>
      <c r="H7" s="7" t="str">
        <f aca="false">IF($B7="","",INDEX(MASTER_DATABASE!$L$4:$L$1000,$B7)&amp;"")</f>
        <v>To Verify</v>
      </c>
      <c r="I7" s="9" t="str">
        <f aca="false">IF($B7="","",INDEX(MASTER_DATABASE!$R$4:$R$1000,$B7))</f>
        <v>To Verify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To Verify</v>
      </c>
      <c r="M7" s="7" t="str">
        <f aca="false">IF($B7="","",INDEX(MASTER_DATABASE!$Q$4:$Q$1000,$B7)&amp;"")</f>
        <v>Depends on Department</v>
      </c>
      <c r="N7" s="7" t="str">
        <f aca="false">IF($B7="","",INDEX(MASTER_DATABASE!$AG$4:$AG$1000,$B7)&amp;"")</f>
        <v>To Verify</v>
      </c>
      <c r="O7" s="11" t="str">
        <f aca="false">IF($B7="","",INDEX(MASTER_DATABASE!$AH$4:$AH$1000,$B7)&amp;"")</f>
        <v>No</v>
      </c>
      <c r="P7" s="11" t="str">
        <f aca="false">IF($B7="","",INDEX(MASTER_DATABASE!$BE$4:$BE$1000,$B7)&amp;"")</f>
        <v>HIDDEN</v>
      </c>
      <c r="Q7" s="7" t="str">
        <f aca="false">IF($B7="","",INDEX(MASTER_DATABASE!$AV$4:$AV$1000,$B7)&amp;"")</f>
        <v>To Verify</v>
      </c>
    </row>
    <row r="8" customFormat="false" ht="15" hidden="false" customHeight="false" outlineLevel="0" collapsed="false">
      <c r="A8" s="11" t="n">
        <v>5</v>
      </c>
      <c r="B8" s="11" t="n">
        <f aca="false">IFERROR(MATCH("FINO Payments Bank BC Point|"&amp;$A8,MASTER_DATABASE!$BH$4:$BH$1000,0),"")</f>
        <v>68</v>
      </c>
      <c r="C8" s="11" t="str">
        <f aca="false">IF($B8="","",INDEX(MASTER_DATABASE!$A$4:$A$1000,$B8)&amp;"")</f>
        <v>FIN-005</v>
      </c>
      <c r="D8" s="7" t="str">
        <f aca="false">IF($B8="","",INDEX(MASTER_DATABASE!$D$4:$D$1000,$B8)&amp;"")</f>
        <v>AEPS / Biometric Banking</v>
      </c>
      <c r="E8" s="7" t="str">
        <f aca="false">IF($B8="","",INDEX(MASTER_DATABASE!$E$4:$E$1000,$B8)&amp;"")</f>
        <v>FINO BC – AEPS Cash Withdrawal</v>
      </c>
      <c r="F8" s="7" t="str">
        <f aca="false">IF($B8="","",INDEX(MASTER_DATABASE!$F$4:$F$1000,$B8)&amp;"")</f>
        <v>FINO BC – AEPS नकद निकासी</v>
      </c>
      <c r="G8" s="11" t="str">
        <f aca="false">IF($B8="","",INDEX(MASTER_DATABASE!$I$4:$I$1000,$B8)&amp;"")</f>
        <v>Authorization Required</v>
      </c>
      <c r="H8" s="7" t="str">
        <f aca="false">IF($B8="","",INDEX(MASTER_DATABASE!$L$4:$L$1000,$B8)&amp;"")</f>
        <v>To Verify</v>
      </c>
      <c r="I8" s="9" t="str">
        <f aca="false">IF($B8="","",INDEX(MASTER_DATABASE!$R$4:$R$1000,$B8))</f>
        <v>To Verify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To Verify</v>
      </c>
      <c r="M8" s="7" t="str">
        <f aca="false">IF($B8="","",INDEX(MASTER_DATABASE!$Q$4:$Q$1000,$B8)&amp;"")</f>
        <v>5–10 Minutes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15" hidden="false" customHeight="false" outlineLevel="0" collapsed="false">
      <c r="A9" s="11" t="n">
        <v>6</v>
      </c>
      <c r="B9" s="11" t="n">
        <f aca="false">IFERROR(MATCH("FINO Payments Bank BC Point|"&amp;$A9,MASTER_DATABASE!$BH$4:$BH$1000,0),"")</f>
        <v>69</v>
      </c>
      <c r="C9" s="11" t="str">
        <f aca="false">IF($B9="","",INDEX(MASTER_DATABASE!$A$4:$A$1000,$B9)&amp;"")</f>
        <v>FIN-006</v>
      </c>
      <c r="D9" s="7" t="str">
        <f aca="false">IF($B9="","",INDEX(MASTER_DATABASE!$D$4:$D$1000,$B9)&amp;"")</f>
        <v>AEPS / Biometric Banking</v>
      </c>
      <c r="E9" s="7" t="str">
        <f aca="false">IF($B9="","",INDEX(MASTER_DATABASE!$E$4:$E$1000,$B9)&amp;"")</f>
        <v>FINO BC – AEPS Balance Enquiry</v>
      </c>
      <c r="F9" s="7" t="str">
        <f aca="false">IF($B9="","",INDEX(MASTER_DATABASE!$F$4:$F$1000,$B9)&amp;"")</f>
        <v>FINO BC – AEPS बैलेंस पूछताछ</v>
      </c>
      <c r="G9" s="11" t="str">
        <f aca="false">IF($B9="","",INDEX(MASTER_DATABASE!$I$4:$I$1000,$B9)&amp;"")</f>
        <v>Authorization Required</v>
      </c>
      <c r="H9" s="7" t="str">
        <f aca="false">IF($B9="","",INDEX(MASTER_DATABASE!$L$4:$L$1000,$B9)&amp;"")</f>
        <v>To Verify</v>
      </c>
      <c r="I9" s="9" t="str">
        <f aca="false">IF($B9="","",INDEX(MASTER_DATABASE!$R$4:$R$1000,$B9))</f>
        <v>To Verify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To Verify</v>
      </c>
      <c r="M9" s="7" t="str">
        <f aca="false">IF($B9="","",INDEX(MASTER_DATABASE!$Q$4:$Q$1000,$B9)&amp;"")</f>
        <v>5–10 Minutes</v>
      </c>
      <c r="N9" s="7" t="str">
        <f aca="false">IF($B9="","",INDEX(MASTER_DATABASE!$AG$4:$AG$1000,$B9)&amp;"")</f>
        <v>To Verify</v>
      </c>
      <c r="O9" s="11" t="str">
        <f aca="false">IF($B9="","",INDEX(MASTER_DATABASE!$AH$4:$AH$1000,$B9)&amp;"")</f>
        <v>No</v>
      </c>
      <c r="P9" s="11" t="str">
        <f aca="false">IF($B9="","",INDEX(MASTER_DATABASE!$BE$4:$BE$1000,$B9)&amp;"")</f>
        <v>HIDDEN</v>
      </c>
      <c r="Q9" s="7" t="str">
        <f aca="false">IF($B9="","",INDEX(MASTER_DATABASE!$AV$4:$AV$1000,$B9)&amp;"")</f>
        <v>To Verify</v>
      </c>
    </row>
    <row r="10" customFormat="false" ht="15" hidden="false" customHeight="false" outlineLevel="0" collapsed="false">
      <c r="A10" s="11" t="n">
        <v>7</v>
      </c>
      <c r="B10" s="11" t="n">
        <f aca="false">IFERROR(MATCH("FINO Payments Bank BC Point|"&amp;$A10,MASTER_DATABASE!$BH$4:$BH$1000,0),"")</f>
        <v>70</v>
      </c>
      <c r="C10" s="11" t="str">
        <f aca="false">IF($B10="","",INDEX(MASTER_DATABASE!$A$4:$A$1000,$B10)&amp;"")</f>
        <v>FIN-007</v>
      </c>
      <c r="D10" s="7" t="str">
        <f aca="false">IF($B10="","",INDEX(MASTER_DATABASE!$D$4:$D$1000,$B10)&amp;"")</f>
        <v>AEPS / Biometric Banking</v>
      </c>
      <c r="E10" s="7" t="str">
        <f aca="false">IF($B10="","",INDEX(MASTER_DATABASE!$E$4:$E$1000,$B10)&amp;"")</f>
        <v>FINO BC – AEPS Mini Statement</v>
      </c>
      <c r="F10" s="7" t="str">
        <f aca="false">IF($B10="","",INDEX(MASTER_DATABASE!$F$4:$F$1000,$B10)&amp;"")</f>
        <v>FINO BC – AEPS मिनी स्टेटमेंट</v>
      </c>
      <c r="G10" s="11" t="str">
        <f aca="false">IF($B10="","",INDEX(MASTER_DATABASE!$I$4:$I$1000,$B10)&amp;"")</f>
        <v>Authorization Required</v>
      </c>
      <c r="H10" s="7" t="str">
        <f aca="false">IF($B10="","",INDEX(MASTER_DATABASE!$L$4:$L$1000,$B10)&amp;"")</f>
        <v>To Verify</v>
      </c>
      <c r="I10" s="9" t="str">
        <f aca="false">IF($B10="","",INDEX(MASTER_DATABASE!$R$4:$R$1000,$B10))</f>
        <v>To Verify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To Verify</v>
      </c>
      <c r="M10" s="7" t="str">
        <f aca="false">IF($B10="","",INDEX(MASTER_DATABASE!$Q$4:$Q$1000,$B10)&amp;"")</f>
        <v>5–10 Minutes</v>
      </c>
      <c r="N10" s="7" t="str">
        <f aca="false">IF($B10="","",INDEX(MASTER_DATABASE!$AG$4:$AG$1000,$B10)&amp;"")</f>
        <v>To Verify</v>
      </c>
      <c r="O10" s="11" t="str">
        <f aca="false">IF($B10="","",INDEX(MASTER_DATABASE!$AH$4:$AH$1000,$B10)&amp;"")</f>
        <v>No</v>
      </c>
      <c r="P10" s="11" t="str">
        <f aca="false">IF($B10="","",INDEX(MASTER_DATABASE!$BE$4:$BE$1000,$B10)&amp;"")</f>
        <v>HIDDEN</v>
      </c>
      <c r="Q10" s="7" t="str">
        <f aca="false">IF($B10="","",INDEX(MASTER_DATABASE!$AV$4:$AV$1000,$B10)&amp;"")</f>
        <v>To Verify</v>
      </c>
    </row>
    <row r="11" customFormat="false" ht="23.85" hidden="false" customHeight="false" outlineLevel="0" collapsed="false">
      <c r="A11" s="11" t="n">
        <v>8</v>
      </c>
      <c r="B11" s="11" t="n">
        <f aca="false">IFERROR(MATCH("FINO Payments Bank BC Point|"&amp;$A11,MASTER_DATABASE!$BH$4:$BH$1000,0),"")</f>
        <v>71</v>
      </c>
      <c r="C11" s="11" t="str">
        <f aca="false">IF($B11="","",INDEX(MASTER_DATABASE!$A$4:$A$1000,$B11)&amp;"")</f>
        <v>FIN-008</v>
      </c>
      <c r="D11" s="7" t="str">
        <f aca="false">IF($B11="","",INDEX(MASTER_DATABASE!$D$4:$D$1000,$B11)&amp;"")</f>
        <v>AEPS / Biometric Banking</v>
      </c>
      <c r="E11" s="7" t="str">
        <f aca="false">IF($B11="","",INDEX(MASTER_DATABASE!$E$4:$E$1000,$B11)&amp;"")</f>
        <v>FINO BC – Biometric Banking (Fingerprint Authenticated)</v>
      </c>
      <c r="F11" s="7" t="str">
        <f aca="false">IF($B11="","",INDEX(MASTER_DATABASE!$F$4:$F$1000,$B11)&amp;"")</f>
        <v>FINO BC – बायोमेट्रिक बैंकिंग (फिंगरप्रिंट सत्यापित)</v>
      </c>
      <c r="G11" s="11" t="str">
        <f aca="false">IF($B11="","",INDEX(MASTER_DATABASE!$I$4:$I$1000,$B11)&amp;"")</f>
        <v>Authorization Required</v>
      </c>
      <c r="H11" s="7" t="str">
        <f aca="false">IF($B11="","",INDEX(MASTER_DATABASE!$L$4:$L$1000,$B11)&amp;"")</f>
        <v>To Verify</v>
      </c>
      <c r="I11" s="9" t="str">
        <f aca="false">IF($B11="","",INDEX(MASTER_DATABASE!$R$4:$R$1000,$B11))</f>
        <v>To Verify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To Verify</v>
      </c>
      <c r="M11" s="7" t="str">
        <f aca="false">IF($B11="","",INDEX(MASTER_DATABASE!$Q$4:$Q$1000,$B11)&amp;"")</f>
        <v>5–10 Minutes</v>
      </c>
      <c r="N11" s="7" t="str">
        <f aca="false">IF($B11="","",INDEX(MASTER_DATABASE!$AG$4:$AG$1000,$B11)&amp;"")</f>
        <v>To Verify</v>
      </c>
      <c r="O11" s="11" t="str">
        <f aca="false">IF($B11="","",INDEX(MASTER_DATABASE!$AH$4:$AH$1000,$B11)&amp;"")</f>
        <v>No</v>
      </c>
      <c r="P11" s="11" t="str">
        <f aca="false">IF($B11="","",INDEX(MASTER_DATABASE!$BE$4:$BE$1000,$B11)&amp;"")</f>
        <v>HIDDEN</v>
      </c>
      <c r="Q11" s="7" t="str">
        <f aca="false">IF($B11="","",INDEX(MASTER_DATABASE!$AV$4:$AV$1000,$B11)&amp;"")</f>
        <v>To Verify</v>
      </c>
    </row>
    <row r="12" customFormat="false" ht="15" hidden="false" customHeight="false" outlineLevel="0" collapsed="false">
      <c r="A12" s="11" t="n">
        <v>9</v>
      </c>
      <c r="B12" s="11" t="n">
        <f aca="false">IFERROR(MATCH("FINO Payments Bank BC Point|"&amp;$A12,MASTER_DATABASE!$BH$4:$BH$1000,0),"")</f>
        <v>72</v>
      </c>
      <c r="C12" s="11" t="str">
        <f aca="false">IF($B12="","",INDEX(MASTER_DATABASE!$A$4:$A$1000,$B12)&amp;"")</f>
        <v>FIN-009</v>
      </c>
      <c r="D12" s="7" t="str">
        <f aca="false">IF($B12="","",INDEX(MASTER_DATABASE!$D$4:$D$1000,$B12)&amp;"")</f>
        <v>Micro ATM</v>
      </c>
      <c r="E12" s="7" t="str">
        <f aca="false">IF($B12="","",INDEX(MASTER_DATABASE!$E$4:$E$1000,$B12)&amp;"")</f>
        <v>FINO BC – Micro ATM Cash Withdrawal</v>
      </c>
      <c r="F12" s="7" t="str">
        <f aca="false">IF($B12="","",INDEX(MASTER_DATABASE!$F$4:$F$1000,$B12)&amp;"")</f>
        <v>FINO BC – Micro ATM नकद निकासी</v>
      </c>
      <c r="G12" s="11" t="str">
        <f aca="false">IF($B12="","",INDEX(MASTER_DATABASE!$I$4:$I$1000,$B12)&amp;"")</f>
        <v>To Verify</v>
      </c>
      <c r="H12" s="7" t="str">
        <f aca="false">IF($B12="","",INDEX(MASTER_DATABASE!$L$4:$L$1000,$B12)&amp;"")</f>
        <v>To Verify</v>
      </c>
      <c r="I12" s="9" t="str">
        <f aca="false">IF($B12="","",INDEX(MASTER_DATABASE!$R$4:$R$1000,$B12))</f>
        <v>To Verify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To Verify</v>
      </c>
      <c r="M12" s="7" t="str">
        <f aca="false">IF($B12="","",INDEX(MASTER_DATABASE!$Q$4:$Q$1000,$B12)&amp;"")</f>
        <v>5–10 Minutes</v>
      </c>
      <c r="N12" s="7" t="str">
        <f aca="false">IF($B12="","",INDEX(MASTER_DATABASE!$AG$4:$AG$1000,$B12)&amp;"")</f>
        <v>To Verify</v>
      </c>
      <c r="O12" s="11" t="str">
        <f aca="false">IF($B12="","",INDEX(MASTER_DATABASE!$AH$4:$AH$1000,$B12)&amp;"")</f>
        <v>No</v>
      </c>
      <c r="P12" s="11" t="str">
        <f aca="false">IF($B12="","",INDEX(MASTER_DATABASE!$BE$4:$BE$1000,$B12)&amp;"")</f>
        <v>HIDDEN</v>
      </c>
      <c r="Q12" s="7" t="str">
        <f aca="false">IF($B12="","",INDEX(MASTER_DATABASE!$AV$4:$AV$1000,$B12)&amp;"")</f>
        <v>To Verify</v>
      </c>
    </row>
    <row r="13" customFormat="false" ht="15" hidden="false" customHeight="false" outlineLevel="0" collapsed="false">
      <c r="A13" s="11" t="n">
        <v>10</v>
      </c>
      <c r="B13" s="11" t="n">
        <f aca="false">IFERROR(MATCH("FINO Payments Bank BC Point|"&amp;$A13,MASTER_DATABASE!$BH$4:$BH$1000,0),"")</f>
        <v>73</v>
      </c>
      <c r="C13" s="11" t="str">
        <f aca="false">IF($B13="","",INDEX(MASTER_DATABASE!$A$4:$A$1000,$B13)&amp;"")</f>
        <v>FIN-010</v>
      </c>
      <c r="D13" s="7" t="str">
        <f aca="false">IF($B13="","",INDEX(MASTER_DATABASE!$D$4:$D$1000,$B13)&amp;"")</f>
        <v>Money Transfer</v>
      </c>
      <c r="E13" s="7" t="str">
        <f aca="false">IF($B13="","",INDEX(MASTER_DATABASE!$E$4:$E$1000,$B13)&amp;"")</f>
        <v>FINO BC – Money Transfer (Domestic)</v>
      </c>
      <c r="F13" s="7" t="str">
        <f aca="false">IF($B13="","",INDEX(MASTER_DATABASE!$F$4:$F$1000,$B13)&amp;"")</f>
        <v>FINO BC – मनी ट्रांसफर (घरेलू)</v>
      </c>
      <c r="G13" s="11" t="str">
        <f aca="false">IF($B13="","",INDEX(MASTER_DATABASE!$I$4:$I$1000,$B13)&amp;"")</f>
        <v>Authorization Required</v>
      </c>
      <c r="H13" s="7" t="str">
        <f aca="false">IF($B13="","",INDEX(MASTER_DATABASE!$L$4:$L$1000,$B13)&amp;"")</f>
        <v>To Verify</v>
      </c>
      <c r="I13" s="9" t="str">
        <f aca="false">IF($B13="","",INDEX(MASTER_DATABASE!$R$4:$R$1000,$B13))</f>
        <v>To Verify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To Verify</v>
      </c>
      <c r="M13" s="7" t="str">
        <f aca="false">IF($B13="","",INDEX(MASTER_DATABASE!$Q$4:$Q$1000,$B13)&amp;"")</f>
        <v>Same Day</v>
      </c>
      <c r="N13" s="7" t="str">
        <f aca="false">IF($B13="","",INDEX(MASTER_DATABASE!$AG$4:$AG$1000,$B13)&amp;"")</f>
        <v>To Verify</v>
      </c>
      <c r="O13" s="11" t="str">
        <f aca="false">IF($B13="","",INDEX(MASTER_DATABASE!$AH$4:$AH$1000,$B13)&amp;"")</f>
        <v>No</v>
      </c>
      <c r="P13" s="11" t="str">
        <f aca="false">IF($B13="","",INDEX(MASTER_DATABASE!$BE$4:$BE$1000,$B13)&amp;"")</f>
        <v>HIDDEN</v>
      </c>
      <c r="Q13" s="7" t="str">
        <f aca="false">IF($B13="","",INDEX(MASTER_DATABASE!$AV$4:$AV$1000,$B13)&amp;"")</f>
        <v>To Verify</v>
      </c>
    </row>
    <row r="14" customFormat="false" ht="23.85" hidden="false" customHeight="false" outlineLevel="0" collapsed="false">
      <c r="A14" s="11" t="n">
        <v>11</v>
      </c>
      <c r="B14" s="11" t="n">
        <f aca="false">IFERROR(MATCH("FINO Payments Bank BC Point|"&amp;$A14,MASTER_DATABASE!$BH$4:$BH$1000,0),"")</f>
        <v>74</v>
      </c>
      <c r="C14" s="11" t="str">
        <f aca="false">IF($B14="","",INDEX(MASTER_DATABASE!$A$4:$A$1000,$B14)&amp;"")</f>
        <v>FIN-011</v>
      </c>
      <c r="D14" s="7" t="str">
        <f aca="false">IF($B14="","",INDEX(MASTER_DATABASE!$D$4:$D$1000,$B14)&amp;"")</f>
        <v>Account &amp; KYC Services</v>
      </c>
      <c r="E14" s="7" t="str">
        <f aca="false">IF($B14="","",INDEX(MASTER_DATABASE!$E$4:$E$1000,$B14)&amp;"")</f>
        <v>FINO BC – New Account Opening Assistance</v>
      </c>
      <c r="F14" s="7" t="str">
        <f aca="false">IF($B14="","",INDEX(MASTER_DATABASE!$F$4:$F$1000,$B14)&amp;"")</f>
        <v>FINO BC – नया खाता खुलवाने में सहायता</v>
      </c>
      <c r="G14" s="11" t="str">
        <f aca="false">IF($B14="","",INDEX(MASTER_DATABASE!$I$4:$I$1000,$B14)&amp;"")</f>
        <v>To Verify</v>
      </c>
      <c r="H14" s="7" t="str">
        <f aca="false">IF($B14="","",INDEX(MASTER_DATABASE!$L$4:$L$1000,$B14)&amp;"")</f>
        <v>To Verify</v>
      </c>
      <c r="I14" s="9" t="str">
        <f aca="false">IF($B14="","",INDEX(MASTER_DATABASE!$R$4:$R$1000,$B14))</f>
        <v>To Verify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To Verify</v>
      </c>
      <c r="M14" s="7" t="str">
        <f aca="false">IF($B14="","",INDEX(MASTER_DATABASE!$Q$4:$Q$1000,$B14)&amp;"")</f>
        <v>Depends on Department</v>
      </c>
      <c r="N14" s="7" t="str">
        <f aca="false">IF($B14="","",INDEX(MASTER_DATABASE!$AG$4:$AG$1000,$B14)&amp;"")</f>
        <v>To Verify</v>
      </c>
      <c r="O14" s="11" t="str">
        <f aca="false">IF($B14="","",INDEX(MASTER_DATABASE!$AH$4:$AH$1000,$B14)&amp;"")</f>
        <v>No</v>
      </c>
      <c r="P14" s="11" t="str">
        <f aca="false">IF($B14="","",INDEX(MASTER_DATABASE!$BE$4:$BE$1000,$B14)&amp;"")</f>
        <v>HIDDEN</v>
      </c>
      <c r="Q14" s="7" t="str">
        <f aca="false">IF($B14="","",INDEX(MASTER_DATABASE!$AV$4:$AV$1000,$B14)&amp;"")</f>
        <v>To Verify</v>
      </c>
    </row>
    <row r="15" customFormat="false" ht="23.85" hidden="false" customHeight="false" outlineLevel="0" collapsed="false">
      <c r="A15" s="11" t="n">
        <v>12</v>
      </c>
      <c r="B15" s="11" t="n">
        <f aca="false">IFERROR(MATCH("FINO Payments Bank BC Point|"&amp;$A15,MASTER_DATABASE!$BH$4:$BH$1000,0),"")</f>
        <v>75</v>
      </c>
      <c r="C15" s="11" t="str">
        <f aca="false">IF($B15="","",INDEX(MASTER_DATABASE!$A$4:$A$1000,$B15)&amp;"")</f>
        <v>FIN-012</v>
      </c>
      <c r="D15" s="7" t="str">
        <f aca="false">IF($B15="","",INDEX(MASTER_DATABASE!$D$4:$D$1000,$B15)&amp;"")</f>
        <v>Account &amp; KYC Services</v>
      </c>
      <c r="E15" s="7" t="str">
        <f aca="false">IF($B15="","",INDEX(MASTER_DATABASE!$E$4:$E$1000,$B15)&amp;"")</f>
        <v>FINO BC – Account Mobile Number Update</v>
      </c>
      <c r="F15" s="7" t="str">
        <f aca="false">IF($B15="","",INDEX(MASTER_DATABASE!$F$4:$F$1000,$B15)&amp;"")</f>
        <v>FINO BC – खाते में मोबाइल नंबर अपडेट</v>
      </c>
      <c r="G15" s="11" t="str">
        <f aca="false">IF($B15="","",INDEX(MASTER_DATABASE!$I$4:$I$1000,$B15)&amp;"")</f>
        <v>To Verify</v>
      </c>
      <c r="H15" s="7" t="str">
        <f aca="false">IF($B15="","",INDEX(MASTER_DATABASE!$L$4:$L$1000,$B15)&amp;"")</f>
        <v>To Verify</v>
      </c>
      <c r="I15" s="9" t="str">
        <f aca="false">IF($B15="","",INDEX(MASTER_DATABASE!$R$4:$R$1000,$B15))</f>
        <v>To Verify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To Verify</v>
      </c>
      <c r="M15" s="7" t="str">
        <f aca="false">IF($B15="","",INDEX(MASTER_DATABASE!$Q$4:$Q$1000,$B15)&amp;"")</f>
        <v>Depends on Department</v>
      </c>
      <c r="N15" s="7" t="str">
        <f aca="false">IF($B15="","",INDEX(MASTER_DATABASE!$AG$4:$AG$1000,$B15)&amp;"")</f>
        <v>To Verify</v>
      </c>
      <c r="O15" s="11" t="str">
        <f aca="false">IF($B15="","",INDEX(MASTER_DATABASE!$AH$4:$AH$1000,$B15)&amp;"")</f>
        <v>No</v>
      </c>
      <c r="P15" s="11" t="str">
        <f aca="false">IF($B15="","",INDEX(MASTER_DATABASE!$BE$4:$BE$1000,$B15)&amp;"")</f>
        <v>HIDDEN</v>
      </c>
      <c r="Q15" s="7" t="str">
        <f aca="false">IF($B15="","",INDEX(MASTER_DATABASE!$AV$4:$AV$1000,$B15)&amp;"")</f>
        <v>To Verify</v>
      </c>
    </row>
    <row r="16" customFormat="false" ht="23.85" hidden="false" customHeight="false" outlineLevel="0" collapsed="false">
      <c r="A16" s="11" t="n">
        <v>13</v>
      </c>
      <c r="B16" s="11" t="n">
        <f aca="false">IFERROR(MATCH("FINO Payments Bank BC Point|"&amp;$A16,MASTER_DATABASE!$BH$4:$BH$1000,0),"")</f>
        <v>76</v>
      </c>
      <c r="C16" s="11" t="str">
        <f aca="false">IF($B16="","",INDEX(MASTER_DATABASE!$A$4:$A$1000,$B16)&amp;"")</f>
        <v>FIN-013</v>
      </c>
      <c r="D16" s="7" t="str">
        <f aca="false">IF($B16="","",INDEX(MASTER_DATABASE!$D$4:$D$1000,$B16)&amp;"")</f>
        <v>Account &amp; KYC Services</v>
      </c>
      <c r="E16" s="7" t="str">
        <f aca="false">IF($B16="","",INDEX(MASTER_DATABASE!$E$4:$E$1000,$B16)&amp;"")</f>
        <v>FINO BC – KYC Document Collection / Update</v>
      </c>
      <c r="F16" s="7" t="str">
        <f aca="false">IF($B16="","",INDEX(MASTER_DATABASE!$F$4:$F$1000,$B16)&amp;"")</f>
        <v>FINO BC – KYC दस्तावेज़ जमा / अपडेट</v>
      </c>
      <c r="G16" s="11" t="str">
        <f aca="false">IF($B16="","",INDEX(MASTER_DATABASE!$I$4:$I$1000,$B16)&amp;"")</f>
        <v>To Verify</v>
      </c>
      <c r="H16" s="7" t="str">
        <f aca="false">IF($B16="","",INDEX(MASTER_DATABASE!$L$4:$L$1000,$B16)&amp;"")</f>
        <v>To Verify</v>
      </c>
      <c r="I16" s="9" t="str">
        <f aca="false">IF($B16="","",INDEX(MASTER_DATABASE!$R$4:$R$1000,$B16))</f>
        <v>To Verify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To Verify</v>
      </c>
      <c r="M16" s="7" t="str">
        <f aca="false">IF($B16="","",INDEX(MASTER_DATABASE!$Q$4:$Q$1000,$B16)&amp;"")</f>
        <v>Depends on Department</v>
      </c>
      <c r="N16" s="7" t="str">
        <f aca="false">IF($B16="","",INDEX(MASTER_DATABASE!$AG$4:$AG$1000,$B16)&amp;"")</f>
        <v>To Verify</v>
      </c>
      <c r="O16" s="11" t="str">
        <f aca="false">IF($B16="","",INDEX(MASTER_DATABASE!$AH$4:$AH$1000,$B16)&amp;"")</f>
        <v>No</v>
      </c>
      <c r="P16" s="11" t="str">
        <f aca="false">IF($B16="","",INDEX(MASTER_DATABASE!$BE$4:$BE$1000,$B16)&amp;"")</f>
        <v>HIDDEN</v>
      </c>
      <c r="Q16" s="7" t="str">
        <f aca="false">IF($B16="","",INDEX(MASTER_DATABASE!$AV$4:$AV$1000,$B16)&amp;"")</f>
        <v>To Verify</v>
      </c>
    </row>
    <row r="17" customFormat="false" ht="23.85" hidden="false" customHeight="false" outlineLevel="0" collapsed="false">
      <c r="A17" s="11" t="n">
        <v>14</v>
      </c>
      <c r="B17" s="11" t="n">
        <f aca="false">IFERROR(MATCH("FINO Payments Bank BC Point|"&amp;$A17,MASTER_DATABASE!$BH$4:$BH$1000,0),"")</f>
        <v>77</v>
      </c>
      <c r="C17" s="11" t="str">
        <f aca="false">IF($B17="","",INDEX(MASTER_DATABASE!$A$4:$A$1000,$B17)&amp;"")</f>
        <v>FIN-014</v>
      </c>
      <c r="D17" s="7" t="str">
        <f aca="false">IF($B17="","",INDEX(MASTER_DATABASE!$D$4:$D$1000,$B17)&amp;"")</f>
        <v>Account &amp; KYC Services</v>
      </c>
      <c r="E17" s="7" t="str">
        <f aca="false">IF($B17="","",INDEX(MASTER_DATABASE!$E$4:$E$1000,$B17)&amp;"")</f>
        <v>FINO BC – Account Query / Complaint Assistance</v>
      </c>
      <c r="F17" s="7" t="str">
        <f aca="false">IF($B17="","",INDEX(MASTER_DATABASE!$F$4:$F$1000,$B17)&amp;"")</f>
        <v>FINO BC – खाता शिकायत / समस्या सहायता</v>
      </c>
      <c r="G17" s="11" t="str">
        <f aca="false">IF($B17="","",INDEX(MASTER_DATABASE!$I$4:$I$1000,$B17)&amp;"")</f>
        <v>To Verify</v>
      </c>
      <c r="H17" s="7" t="str">
        <f aca="false">IF($B17="","",INDEX(MASTER_DATABASE!$L$4:$L$1000,$B17)&amp;"")</f>
        <v>To Verify</v>
      </c>
      <c r="I17" s="9" t="str">
        <f aca="false">IF($B17="","",INDEX(MASTER_DATABASE!$R$4:$R$1000,$B17))</f>
        <v>To Verify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To Verify</v>
      </c>
      <c r="M17" s="7" t="str">
        <f aca="false">IF($B17="","",INDEX(MASTER_DATABASE!$Q$4:$Q$1000,$B17)&amp;"")</f>
        <v>Depends on Department</v>
      </c>
      <c r="N17" s="7" t="str">
        <f aca="false">IF($B17="","",INDEX(MASTER_DATABASE!$AG$4:$AG$1000,$B17)&amp;"")</f>
        <v>To Verify</v>
      </c>
      <c r="O17" s="11" t="str">
        <f aca="false">IF($B17="","",INDEX(MASTER_DATABASE!$AH$4:$AH$1000,$B17)&amp;"")</f>
        <v>No</v>
      </c>
      <c r="P17" s="11" t="str">
        <f aca="false">IF($B17="","",INDEX(MASTER_DATABASE!$BE$4:$BE$1000,$B17)&amp;"")</f>
        <v>HIDDEN</v>
      </c>
      <c r="Q17" s="7" t="str">
        <f aca="false">IF($B17="","",INDEX(MASTER_DATABASE!$AV$4:$AV$1000,$B17)&amp;"")</f>
        <v>To Verify</v>
      </c>
    </row>
    <row r="18" customFormat="false" ht="15" hidden="false" customHeight="false" outlineLevel="0" collapsed="false">
      <c r="A18" s="11" t="n">
        <v>15</v>
      </c>
      <c r="B18" s="11" t="n">
        <f aca="false">IFERROR(MATCH("FINO Payments Bank BC Point|"&amp;$A18,MASTER_DATABASE!$BH$4:$BH$1000,0),"")</f>
        <v>78</v>
      </c>
      <c r="C18" s="11" t="str">
        <f aca="false">IF($B18="","",INDEX(MASTER_DATABASE!$A$4:$A$1000,$B18)&amp;"")</f>
        <v>FIN-015</v>
      </c>
      <c r="D18" s="7" t="str">
        <f aca="false">IF($B18="","",INDEX(MASTER_DATABASE!$D$4:$D$1000,$B18)&amp;"")</f>
        <v>Payment Services</v>
      </c>
      <c r="E18" s="7" t="str">
        <f aca="false">IF($B18="","",INDEX(MASTER_DATABASE!$E$4:$E$1000,$B18)&amp;"")</f>
        <v>FINO BC – Payment Services (via FINO)</v>
      </c>
      <c r="F18" s="7" t="str">
        <f aca="false">IF($B18="","",INDEX(MASTER_DATABASE!$F$4:$F$1000,$B18)&amp;"")</f>
        <v>FINO BC – भुगतान सेवाएँ (FINO के माध्यम से)</v>
      </c>
      <c r="G18" s="11" t="str">
        <f aca="false">IF($B18="","",INDEX(MASTER_DATABASE!$I$4:$I$1000,$B18)&amp;"")</f>
        <v>To Verify</v>
      </c>
      <c r="H18" s="7" t="str">
        <f aca="false">IF($B18="","",INDEX(MASTER_DATABASE!$L$4:$L$1000,$B18)&amp;"")</f>
        <v>To Verify</v>
      </c>
      <c r="I18" s="9" t="str">
        <f aca="false">IF($B18="","",INDEX(MASTER_DATABASE!$R$4:$R$1000,$B18))</f>
        <v>To Verify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To Verify</v>
      </c>
      <c r="M18" s="7" t="str">
        <f aca="false">IF($B18="","",INDEX(MASTER_DATABASE!$Q$4:$Q$1000,$B18)&amp;"")</f>
        <v>5–10 Minutes</v>
      </c>
      <c r="N18" s="7" t="str">
        <f aca="false">IF($B18="","",INDEX(MASTER_DATABASE!$AG$4:$AG$1000,$B18)&amp;"")</f>
        <v>To Verify</v>
      </c>
      <c r="O18" s="11" t="str">
        <f aca="false">IF($B18="","",INDEX(MASTER_DATABASE!$AH$4:$AH$1000,$B18)&amp;"")</f>
        <v>No</v>
      </c>
      <c r="P18" s="11" t="str">
        <f aca="false">IF($B18="","",INDEX(MASTER_DATABASE!$BE$4:$BE$1000,$B18)&amp;"")</f>
        <v>HIDDEN</v>
      </c>
      <c r="Q18" s="7" t="str">
        <f aca="false">IF($B18="","",INDEX(MASTER_DATABASE!$AV$4:$AV$1000,$B18)&amp;"")</f>
        <v>To Verify</v>
      </c>
    </row>
    <row r="19" customFormat="false" ht="15" hidden="false" customHeight="false" outlineLevel="0" collapsed="false">
      <c r="A19" s="11" t="n">
        <v>16</v>
      </c>
      <c r="B19" s="11" t="str">
        <f aca="false">IFERROR(MATCH("FINO Payments Bank BC Point|"&amp;$A19,MASTER_DATABASE!$BH$4:$BH$1000,0),"")</f>
        <v/>
      </c>
      <c r="C19" s="11" t="str">
        <f aca="false">IF($B19="","",INDEX(MASTER_DATABASE!$A$4:$A$1000,$B19)&amp;"")</f>
        <v/>
      </c>
      <c r="D19" s="7" t="str">
        <f aca="false">IF($B19="","",INDEX(MASTER_DATABASE!$D$4:$D$1000,$B19)&amp;"")</f>
        <v/>
      </c>
      <c r="E19" s="7" t="str">
        <f aca="false">IF($B19="","",INDEX(MASTER_DATABASE!$E$4:$E$1000,$B19)&amp;"")</f>
        <v/>
      </c>
      <c r="F19" s="7" t="str">
        <f aca="false">IF($B19="","",INDEX(MASTER_DATABASE!$F$4:$F$1000,$B19)&amp;"")</f>
        <v/>
      </c>
      <c r="G19" s="11" t="str">
        <f aca="false">IF($B19="","",INDEX(MASTER_DATABASE!$I$4:$I$1000,$B19)&amp;"")</f>
        <v/>
      </c>
      <c r="H19" s="7" t="str">
        <f aca="false">IF($B19="","",INDEX(MASTER_DATABASE!$L$4:$L$1000,$B19)&amp;"")</f>
        <v/>
      </c>
      <c r="I19" s="9" t="str">
        <f aca="false">IF($B19="","",INDEX(MASTER_DATABASE!$R$4:$R$1000,$B19))</f>
        <v/>
      </c>
      <c r="J19" s="9" t="str">
        <f aca="false">IF($B19="","",INDEX(MASTER_DATABASE!$S$4:$S$1000,$B19))</f>
        <v/>
      </c>
      <c r="K19" s="9" t="str">
        <f aca="false">IF($B19="","",INDEX(MASTER_DATABASE!$T$4:$T$1000,$B19))</f>
        <v/>
      </c>
      <c r="L19" s="7" t="str">
        <f aca="false">IF($B19="","",INDEX(MASTER_DATABASE!$U$4:$U$1000,$B19)&amp;"")</f>
        <v/>
      </c>
      <c r="M19" s="7" t="str">
        <f aca="false">IF($B19="","",INDEX(MASTER_DATABASE!$Q$4:$Q$1000,$B19)&amp;"")</f>
        <v/>
      </c>
      <c r="N19" s="7" t="str">
        <f aca="false">IF($B19="","",INDEX(MASTER_DATABASE!$AG$4:$AG$1000,$B19)&amp;"")</f>
        <v/>
      </c>
      <c r="O19" s="11" t="str">
        <f aca="false">IF($B19="","",INDEX(MASTER_DATABASE!$AH$4:$AH$1000,$B19)&amp;"")</f>
        <v/>
      </c>
      <c r="P19" s="11" t="str">
        <f aca="false">IF($B19="","",INDEX(MASTER_DATABASE!$BE$4:$BE$1000,$B19)&amp;"")</f>
        <v/>
      </c>
      <c r="Q19" s="7" t="str">
        <f aca="false">IF($B19="","",INDEX(MASTER_DATABASE!$AV$4:$AV$1000,$B19)&amp;"")</f>
        <v/>
      </c>
    </row>
    <row r="20" customFormat="false" ht="15" hidden="false" customHeight="false" outlineLevel="0" collapsed="false">
      <c r="A20" s="11" t="n">
        <v>17</v>
      </c>
      <c r="B20" s="11" t="str">
        <f aca="false">IFERROR(MATCH("FINO Payments Bank BC Point|"&amp;$A20,MASTER_DATABASE!$BH$4:$BH$1000,0),"")</f>
        <v/>
      </c>
      <c r="C20" s="11" t="str">
        <f aca="false">IF($B20="","",INDEX(MASTER_DATABASE!$A$4:$A$1000,$B20)&amp;"")</f>
        <v/>
      </c>
      <c r="D20" s="7" t="str">
        <f aca="false">IF($B20="","",INDEX(MASTER_DATABASE!$D$4:$D$1000,$B20)&amp;"")</f>
        <v/>
      </c>
      <c r="E20" s="7" t="str">
        <f aca="false">IF($B20="","",INDEX(MASTER_DATABASE!$E$4:$E$1000,$B20)&amp;"")</f>
        <v/>
      </c>
      <c r="F20" s="7" t="str">
        <f aca="false">IF($B20="","",INDEX(MASTER_DATABASE!$F$4:$F$1000,$B20)&amp;"")</f>
        <v/>
      </c>
      <c r="G20" s="11" t="str">
        <f aca="false">IF($B20="","",INDEX(MASTER_DATABASE!$I$4:$I$1000,$B20)&amp;"")</f>
        <v/>
      </c>
      <c r="H20" s="7" t="str">
        <f aca="false">IF($B20="","",INDEX(MASTER_DATABASE!$L$4:$L$1000,$B20)&amp;"")</f>
        <v/>
      </c>
      <c r="I20" s="9" t="str">
        <f aca="false">IF($B20="","",INDEX(MASTER_DATABASE!$R$4:$R$1000,$B20))</f>
        <v/>
      </c>
      <c r="J20" s="9" t="str">
        <f aca="false">IF($B20="","",INDEX(MASTER_DATABASE!$S$4:$S$1000,$B20))</f>
        <v/>
      </c>
      <c r="K20" s="9" t="str">
        <f aca="false">IF($B20="","",INDEX(MASTER_DATABASE!$T$4:$T$1000,$B20))</f>
        <v/>
      </c>
      <c r="L20" s="7" t="str">
        <f aca="false">IF($B20="","",INDEX(MASTER_DATABASE!$U$4:$U$1000,$B20)&amp;"")</f>
        <v/>
      </c>
      <c r="M20" s="7" t="str">
        <f aca="false">IF($B20="","",INDEX(MASTER_DATABASE!$Q$4:$Q$1000,$B20)&amp;"")</f>
        <v/>
      </c>
      <c r="N20" s="7" t="str">
        <f aca="false">IF($B20="","",INDEX(MASTER_DATABASE!$AG$4:$AG$1000,$B20)&amp;"")</f>
        <v/>
      </c>
      <c r="O20" s="11" t="str">
        <f aca="false">IF($B20="","",INDEX(MASTER_DATABASE!$AH$4:$AH$1000,$B20)&amp;"")</f>
        <v/>
      </c>
      <c r="P20" s="11" t="str">
        <f aca="false">IF($B20="","",INDEX(MASTER_DATABASE!$BE$4:$BE$1000,$B20)&amp;"")</f>
        <v/>
      </c>
      <c r="Q20" s="7" t="str">
        <f aca="false">IF($B20="","",INDEX(MASTER_DATABASE!$AV$4:$AV$1000,$B20)&amp;"")</f>
        <v/>
      </c>
    </row>
    <row r="21" customFormat="false" ht="15" hidden="false" customHeight="false" outlineLevel="0" collapsed="false">
      <c r="A21" s="11" t="n">
        <v>18</v>
      </c>
      <c r="B21" s="11" t="str">
        <f aca="false">IFERROR(MATCH("FINO Payments Bank BC Point|"&amp;$A21,MASTER_DATABASE!$BH$4:$BH$1000,0),"")</f>
        <v/>
      </c>
      <c r="C21" s="11" t="str">
        <f aca="false">IF($B21="","",INDEX(MASTER_DATABASE!$A$4:$A$1000,$B21)&amp;"")</f>
        <v/>
      </c>
      <c r="D21" s="7" t="str">
        <f aca="false">IF($B21="","",INDEX(MASTER_DATABASE!$D$4:$D$1000,$B21)&amp;"")</f>
        <v/>
      </c>
      <c r="E21" s="7" t="str">
        <f aca="false">IF($B21="","",INDEX(MASTER_DATABASE!$E$4:$E$1000,$B21)&amp;"")</f>
        <v/>
      </c>
      <c r="F21" s="7" t="str">
        <f aca="false">IF($B21="","",INDEX(MASTER_DATABASE!$F$4:$F$1000,$B21)&amp;"")</f>
        <v/>
      </c>
      <c r="G21" s="11" t="str">
        <f aca="false">IF($B21="","",INDEX(MASTER_DATABASE!$I$4:$I$1000,$B21)&amp;"")</f>
        <v/>
      </c>
      <c r="H21" s="7" t="str">
        <f aca="false">IF($B21="","",INDEX(MASTER_DATABASE!$L$4:$L$1000,$B21)&amp;"")</f>
        <v/>
      </c>
      <c r="I21" s="9" t="str">
        <f aca="false">IF($B21="","",INDEX(MASTER_DATABASE!$R$4:$R$1000,$B21))</f>
        <v/>
      </c>
      <c r="J21" s="9" t="str">
        <f aca="false">IF($B21="","",INDEX(MASTER_DATABASE!$S$4:$S$1000,$B21))</f>
        <v/>
      </c>
      <c r="K21" s="9" t="str">
        <f aca="false">IF($B21="","",INDEX(MASTER_DATABASE!$T$4:$T$1000,$B21))</f>
        <v/>
      </c>
      <c r="L21" s="7" t="str">
        <f aca="false">IF($B21="","",INDEX(MASTER_DATABASE!$U$4:$U$1000,$B21)&amp;"")</f>
        <v/>
      </c>
      <c r="M21" s="7" t="str">
        <f aca="false">IF($B21="","",INDEX(MASTER_DATABASE!$Q$4:$Q$1000,$B21)&amp;"")</f>
        <v/>
      </c>
      <c r="N21" s="7" t="str">
        <f aca="false">IF($B21="","",INDEX(MASTER_DATABASE!$AG$4:$AG$1000,$B21)&amp;"")</f>
        <v/>
      </c>
      <c r="O21" s="11" t="str">
        <f aca="false">IF($B21="","",INDEX(MASTER_DATABASE!$AH$4:$AH$1000,$B21)&amp;"")</f>
        <v/>
      </c>
      <c r="P21" s="11" t="str">
        <f aca="false">IF($B21="","",INDEX(MASTER_DATABASE!$BE$4:$BE$1000,$B21)&amp;"")</f>
        <v/>
      </c>
      <c r="Q21" s="7" t="str">
        <f aca="false">IF($B21="","",INDEX(MASTER_DATABASE!$AV$4:$AV$1000,$B21)&amp;"")</f>
        <v/>
      </c>
    </row>
    <row r="22" customFormat="false" ht="15" hidden="false" customHeight="false" outlineLevel="0" collapsed="false">
      <c r="A22" s="11" t="n">
        <v>19</v>
      </c>
      <c r="B22" s="11" t="str">
        <f aca="false">IFERROR(MATCH("FINO Payments Bank BC Point|"&amp;$A22,MASTER_DATABASE!$BH$4:$BH$1000,0),"")</f>
        <v/>
      </c>
      <c r="C22" s="11" t="str">
        <f aca="false">IF($B22="","",INDEX(MASTER_DATABASE!$A$4:$A$1000,$B22)&amp;"")</f>
        <v/>
      </c>
      <c r="D22" s="7" t="str">
        <f aca="false">IF($B22="","",INDEX(MASTER_DATABASE!$D$4:$D$1000,$B22)&amp;"")</f>
        <v/>
      </c>
      <c r="E22" s="7" t="str">
        <f aca="false">IF($B22="","",INDEX(MASTER_DATABASE!$E$4:$E$1000,$B22)&amp;"")</f>
        <v/>
      </c>
      <c r="F22" s="7" t="str">
        <f aca="false">IF($B22="","",INDEX(MASTER_DATABASE!$F$4:$F$1000,$B22)&amp;"")</f>
        <v/>
      </c>
      <c r="G22" s="11" t="str">
        <f aca="false">IF($B22="","",INDEX(MASTER_DATABASE!$I$4:$I$1000,$B22)&amp;"")</f>
        <v/>
      </c>
      <c r="H22" s="7" t="str">
        <f aca="false">IF($B22="","",INDEX(MASTER_DATABASE!$L$4:$L$1000,$B22)&amp;"")</f>
        <v/>
      </c>
      <c r="I22" s="9" t="str">
        <f aca="false">IF($B22="","",INDEX(MASTER_DATABASE!$R$4:$R$1000,$B22))</f>
        <v/>
      </c>
      <c r="J22" s="9" t="str">
        <f aca="false">IF($B22="","",INDEX(MASTER_DATABASE!$S$4:$S$1000,$B22))</f>
        <v/>
      </c>
      <c r="K22" s="9" t="str">
        <f aca="false">IF($B22="","",INDEX(MASTER_DATABASE!$T$4:$T$1000,$B22))</f>
        <v/>
      </c>
      <c r="L22" s="7" t="str">
        <f aca="false">IF($B22="","",INDEX(MASTER_DATABASE!$U$4:$U$1000,$B22)&amp;"")</f>
        <v/>
      </c>
      <c r="M22" s="7" t="str">
        <f aca="false">IF($B22="","",INDEX(MASTER_DATABASE!$Q$4:$Q$1000,$B22)&amp;"")</f>
        <v/>
      </c>
      <c r="N22" s="7" t="str">
        <f aca="false">IF($B22="","",INDEX(MASTER_DATABASE!$AG$4:$AG$1000,$B22)&amp;"")</f>
        <v/>
      </c>
      <c r="O22" s="11" t="str">
        <f aca="false">IF($B22="","",INDEX(MASTER_DATABASE!$AH$4:$AH$1000,$B22)&amp;"")</f>
        <v/>
      </c>
      <c r="P22" s="11" t="str">
        <f aca="false">IF($B22="","",INDEX(MASTER_DATABASE!$BE$4:$BE$1000,$B22)&amp;"")</f>
        <v/>
      </c>
      <c r="Q22" s="7" t="str">
        <f aca="false">IF($B22="","",INDEX(MASTER_DATABASE!$AV$4:$AV$1000,$B22)&amp;"")</f>
        <v/>
      </c>
    </row>
    <row r="23" customFormat="false" ht="15" hidden="false" customHeight="false" outlineLevel="0" collapsed="false">
      <c r="A23" s="11" t="n">
        <v>20</v>
      </c>
      <c r="B23" s="11" t="str">
        <f aca="false">IFERROR(MATCH("FINO Payments Bank BC Point|"&amp;$A23,MASTER_DATABASE!$BH$4:$BH$1000,0),"")</f>
        <v/>
      </c>
      <c r="C23" s="11" t="str">
        <f aca="false">IF($B23="","",INDEX(MASTER_DATABASE!$A$4:$A$1000,$B23)&amp;"")</f>
        <v/>
      </c>
      <c r="D23" s="7" t="str">
        <f aca="false">IF($B23="","",INDEX(MASTER_DATABASE!$D$4:$D$1000,$B23)&amp;"")</f>
        <v/>
      </c>
      <c r="E23" s="7" t="str">
        <f aca="false">IF($B23="","",INDEX(MASTER_DATABASE!$E$4:$E$1000,$B23)&amp;"")</f>
        <v/>
      </c>
      <c r="F23" s="7" t="str">
        <f aca="false">IF($B23="","",INDEX(MASTER_DATABASE!$F$4:$F$1000,$B23)&amp;"")</f>
        <v/>
      </c>
      <c r="G23" s="11" t="str">
        <f aca="false">IF($B23="","",INDEX(MASTER_DATABASE!$I$4:$I$1000,$B23)&amp;"")</f>
        <v/>
      </c>
      <c r="H23" s="7" t="str">
        <f aca="false">IF($B23="","",INDEX(MASTER_DATABASE!$L$4:$L$1000,$B23)&amp;"")</f>
        <v/>
      </c>
      <c r="I23" s="9" t="str">
        <f aca="false">IF($B23="","",INDEX(MASTER_DATABASE!$R$4:$R$1000,$B23))</f>
        <v/>
      </c>
      <c r="J23" s="9" t="str">
        <f aca="false">IF($B23="","",INDEX(MASTER_DATABASE!$S$4:$S$1000,$B23))</f>
        <v/>
      </c>
      <c r="K23" s="9" t="str">
        <f aca="false">IF($B23="","",INDEX(MASTER_DATABASE!$T$4:$T$1000,$B23))</f>
        <v/>
      </c>
      <c r="L23" s="7" t="str">
        <f aca="false">IF($B23="","",INDEX(MASTER_DATABASE!$U$4:$U$1000,$B23)&amp;"")</f>
        <v/>
      </c>
      <c r="M23" s="7" t="str">
        <f aca="false">IF($B23="","",INDEX(MASTER_DATABASE!$Q$4:$Q$1000,$B23)&amp;"")</f>
        <v/>
      </c>
      <c r="N23" s="7" t="str">
        <f aca="false">IF($B23="","",INDEX(MASTER_DATABASE!$AG$4:$AG$1000,$B23)&amp;"")</f>
        <v/>
      </c>
      <c r="O23" s="11" t="str">
        <f aca="false">IF($B23="","",INDEX(MASTER_DATABASE!$AH$4:$AH$1000,$B23)&amp;"")</f>
        <v/>
      </c>
      <c r="P23" s="11" t="str">
        <f aca="false">IF($B23="","",INDEX(MASTER_DATABASE!$BE$4:$BE$1000,$B23)&amp;"")</f>
        <v/>
      </c>
      <c r="Q23" s="7" t="str">
        <f aca="false">IF($B23="","",INDEX(MASTER_DATABASE!$AV$4:$AV$1000,$B23)&amp;"")</f>
        <v/>
      </c>
    </row>
    <row r="24" customFormat="false" ht="15" hidden="false" customHeight="false" outlineLevel="0" collapsed="false">
      <c r="A24" s="11" t="n">
        <v>21</v>
      </c>
      <c r="B24" s="11" t="str">
        <f aca="false">IFERROR(MATCH("FINO Payments Bank BC Point|"&amp;$A24,MASTER_DATABASE!$BH$4:$BH$1000,0),"")</f>
        <v/>
      </c>
      <c r="C24" s="11" t="str">
        <f aca="false">IF($B24="","",INDEX(MASTER_DATABASE!$A$4:$A$1000,$B24)&amp;"")</f>
        <v/>
      </c>
      <c r="D24" s="7" t="str">
        <f aca="false">IF($B24="","",INDEX(MASTER_DATABASE!$D$4:$D$1000,$B24)&amp;"")</f>
        <v/>
      </c>
      <c r="E24" s="7" t="str">
        <f aca="false">IF($B24="","",INDEX(MASTER_DATABASE!$E$4:$E$1000,$B24)&amp;"")</f>
        <v/>
      </c>
      <c r="F24" s="7" t="str">
        <f aca="false">IF($B24="","",INDEX(MASTER_DATABASE!$F$4:$F$1000,$B24)&amp;"")</f>
        <v/>
      </c>
      <c r="G24" s="11" t="str">
        <f aca="false">IF($B24="","",INDEX(MASTER_DATABASE!$I$4:$I$1000,$B24)&amp;"")</f>
        <v/>
      </c>
      <c r="H24" s="7" t="str">
        <f aca="false">IF($B24="","",INDEX(MASTER_DATABASE!$L$4:$L$1000,$B24)&amp;"")</f>
        <v/>
      </c>
      <c r="I24" s="9" t="str">
        <f aca="false">IF($B24="","",INDEX(MASTER_DATABASE!$R$4:$R$1000,$B24))</f>
        <v/>
      </c>
      <c r="J24" s="9" t="str">
        <f aca="false">IF($B24="","",INDEX(MASTER_DATABASE!$S$4:$S$1000,$B24))</f>
        <v/>
      </c>
      <c r="K24" s="9" t="str">
        <f aca="false">IF($B24="","",INDEX(MASTER_DATABASE!$T$4:$T$1000,$B24))</f>
        <v/>
      </c>
      <c r="L24" s="7" t="str">
        <f aca="false">IF($B24="","",INDEX(MASTER_DATABASE!$U$4:$U$1000,$B24)&amp;"")</f>
        <v/>
      </c>
      <c r="M24" s="7" t="str">
        <f aca="false">IF($B24="","",INDEX(MASTER_DATABASE!$Q$4:$Q$1000,$B24)&amp;"")</f>
        <v/>
      </c>
      <c r="N24" s="7" t="str">
        <f aca="false">IF($B24="","",INDEX(MASTER_DATABASE!$AG$4:$AG$1000,$B24)&amp;"")</f>
        <v/>
      </c>
      <c r="O24" s="11" t="str">
        <f aca="false">IF($B24="","",INDEX(MASTER_DATABASE!$AH$4:$AH$1000,$B24)&amp;"")</f>
        <v/>
      </c>
      <c r="P24" s="11" t="str">
        <f aca="false">IF($B24="","",INDEX(MASTER_DATABASE!$BE$4:$BE$1000,$B24)&amp;"")</f>
        <v/>
      </c>
      <c r="Q24" s="7" t="str">
        <f aca="false">IF($B24="","",INDEX(MASTER_DATABASE!$AV$4:$AV$1000,$B24)&amp;"")</f>
        <v/>
      </c>
    </row>
    <row r="25" customFormat="false" ht="15" hidden="false" customHeight="false" outlineLevel="0" collapsed="false">
      <c r="A25" s="11" t="n">
        <v>22</v>
      </c>
      <c r="B25" s="11" t="str">
        <f aca="false">IFERROR(MATCH("FINO Payments Bank BC Point|"&amp;$A25,MASTER_DATABASE!$BH$4:$BH$1000,0),"")</f>
        <v/>
      </c>
      <c r="C25" s="11" t="str">
        <f aca="false">IF($B25="","",INDEX(MASTER_DATABASE!$A$4:$A$1000,$B25)&amp;"")</f>
        <v/>
      </c>
      <c r="D25" s="7" t="str">
        <f aca="false">IF($B25="","",INDEX(MASTER_DATABASE!$D$4:$D$1000,$B25)&amp;"")</f>
        <v/>
      </c>
      <c r="E25" s="7" t="str">
        <f aca="false">IF($B25="","",INDEX(MASTER_DATABASE!$E$4:$E$1000,$B25)&amp;"")</f>
        <v/>
      </c>
      <c r="F25" s="7" t="str">
        <f aca="false">IF($B25="","",INDEX(MASTER_DATABASE!$F$4:$F$1000,$B25)&amp;"")</f>
        <v/>
      </c>
      <c r="G25" s="11" t="str">
        <f aca="false">IF($B25="","",INDEX(MASTER_DATABASE!$I$4:$I$1000,$B25)&amp;"")</f>
        <v/>
      </c>
      <c r="H25" s="7" t="str">
        <f aca="false">IF($B25="","",INDEX(MASTER_DATABASE!$L$4:$L$1000,$B25)&amp;"")</f>
        <v/>
      </c>
      <c r="I25" s="9" t="str">
        <f aca="false">IF($B25="","",INDEX(MASTER_DATABASE!$R$4:$R$1000,$B25))</f>
        <v/>
      </c>
      <c r="J25" s="9" t="str">
        <f aca="false">IF($B25="","",INDEX(MASTER_DATABASE!$S$4:$S$1000,$B25))</f>
        <v/>
      </c>
      <c r="K25" s="9" t="str">
        <f aca="false">IF($B25="","",INDEX(MASTER_DATABASE!$T$4:$T$1000,$B25))</f>
        <v/>
      </c>
      <c r="L25" s="7" t="str">
        <f aca="false">IF($B25="","",INDEX(MASTER_DATABASE!$U$4:$U$1000,$B25)&amp;"")</f>
        <v/>
      </c>
      <c r="M25" s="7" t="str">
        <f aca="false">IF($B25="","",INDEX(MASTER_DATABASE!$Q$4:$Q$1000,$B25)&amp;"")</f>
        <v/>
      </c>
      <c r="N25" s="7" t="str">
        <f aca="false">IF($B25="","",INDEX(MASTER_DATABASE!$AG$4:$AG$1000,$B25)&amp;"")</f>
        <v/>
      </c>
      <c r="O25" s="11" t="str">
        <f aca="false">IF($B25="","",INDEX(MASTER_DATABASE!$AH$4:$AH$1000,$B25)&amp;"")</f>
        <v/>
      </c>
      <c r="P25" s="11" t="str">
        <f aca="false">IF($B25="","",INDEX(MASTER_DATABASE!$BE$4:$BE$1000,$B25)&amp;"")</f>
        <v/>
      </c>
      <c r="Q25" s="7" t="str">
        <f aca="false">IF($B25="","",INDEX(MASTER_DATABASE!$AV$4:$AV$1000,$B25)&amp;"")</f>
        <v/>
      </c>
    </row>
    <row r="26" customFormat="false" ht="15" hidden="false" customHeight="false" outlineLevel="0" collapsed="false">
      <c r="A26" s="11" t="n">
        <v>23</v>
      </c>
      <c r="B26" s="11" t="str">
        <f aca="false">IFERROR(MATCH("FINO Payments Bank BC Point|"&amp;$A26,MASTER_DATABASE!$BH$4:$BH$1000,0),"")</f>
        <v/>
      </c>
      <c r="C26" s="11" t="str">
        <f aca="false">IF($B26="","",INDEX(MASTER_DATABASE!$A$4:$A$1000,$B26)&amp;"")</f>
        <v/>
      </c>
      <c r="D26" s="7" t="str">
        <f aca="false">IF($B26="","",INDEX(MASTER_DATABASE!$D$4:$D$1000,$B26)&amp;"")</f>
        <v/>
      </c>
      <c r="E26" s="7" t="str">
        <f aca="false">IF($B26="","",INDEX(MASTER_DATABASE!$E$4:$E$1000,$B26)&amp;"")</f>
        <v/>
      </c>
      <c r="F26" s="7" t="str">
        <f aca="false">IF($B26="","",INDEX(MASTER_DATABASE!$F$4:$F$1000,$B26)&amp;"")</f>
        <v/>
      </c>
      <c r="G26" s="11" t="str">
        <f aca="false">IF($B26="","",INDEX(MASTER_DATABASE!$I$4:$I$1000,$B26)&amp;"")</f>
        <v/>
      </c>
      <c r="H26" s="7" t="str">
        <f aca="false">IF($B26="","",INDEX(MASTER_DATABASE!$L$4:$L$1000,$B26)&amp;"")</f>
        <v/>
      </c>
      <c r="I26" s="9" t="str">
        <f aca="false">IF($B26="","",INDEX(MASTER_DATABASE!$R$4:$R$1000,$B26))</f>
        <v/>
      </c>
      <c r="J26" s="9" t="str">
        <f aca="false">IF($B26="","",INDEX(MASTER_DATABASE!$S$4:$S$1000,$B26))</f>
        <v/>
      </c>
      <c r="K26" s="9" t="str">
        <f aca="false">IF($B26="","",INDEX(MASTER_DATABASE!$T$4:$T$1000,$B26))</f>
        <v/>
      </c>
      <c r="L26" s="7" t="str">
        <f aca="false">IF($B26="","",INDEX(MASTER_DATABASE!$U$4:$U$1000,$B26)&amp;"")</f>
        <v/>
      </c>
      <c r="M26" s="7" t="str">
        <f aca="false">IF($B26="","",INDEX(MASTER_DATABASE!$Q$4:$Q$1000,$B26)&amp;"")</f>
        <v/>
      </c>
      <c r="N26" s="7" t="str">
        <f aca="false">IF($B26="","",INDEX(MASTER_DATABASE!$AG$4:$AG$1000,$B26)&amp;"")</f>
        <v/>
      </c>
      <c r="O26" s="11" t="str">
        <f aca="false">IF($B26="","",INDEX(MASTER_DATABASE!$AH$4:$AH$1000,$B26)&amp;"")</f>
        <v/>
      </c>
      <c r="P26" s="11" t="str">
        <f aca="false">IF($B26="","",INDEX(MASTER_DATABASE!$BE$4:$BE$1000,$B26)&amp;"")</f>
        <v/>
      </c>
      <c r="Q26" s="7" t="str">
        <f aca="false">IF($B26="","",INDEX(MASTER_DATABASE!$AV$4:$AV$1000,$B26)&amp;"")</f>
        <v/>
      </c>
    </row>
    <row r="27" customFormat="false" ht="15" hidden="false" customHeight="false" outlineLevel="0" collapsed="false">
      <c r="A27" s="11" t="n">
        <v>24</v>
      </c>
      <c r="B27" s="11" t="str">
        <f aca="false">IFERROR(MATCH("FINO Payments Bank BC Point|"&amp;$A27,MASTER_DATABASE!$BH$4:$BH$1000,0),"")</f>
        <v/>
      </c>
      <c r="C27" s="11" t="str">
        <f aca="false">IF($B27="","",INDEX(MASTER_DATABASE!$A$4:$A$1000,$B27)&amp;"")</f>
        <v/>
      </c>
      <c r="D27" s="7" t="str">
        <f aca="false">IF($B27="","",INDEX(MASTER_DATABASE!$D$4:$D$1000,$B27)&amp;"")</f>
        <v/>
      </c>
      <c r="E27" s="7" t="str">
        <f aca="false">IF($B27="","",INDEX(MASTER_DATABASE!$E$4:$E$1000,$B27)&amp;"")</f>
        <v/>
      </c>
      <c r="F27" s="7" t="str">
        <f aca="false">IF($B27="","",INDEX(MASTER_DATABASE!$F$4:$F$1000,$B27)&amp;"")</f>
        <v/>
      </c>
      <c r="G27" s="11" t="str">
        <f aca="false">IF($B27="","",INDEX(MASTER_DATABASE!$I$4:$I$1000,$B27)&amp;"")</f>
        <v/>
      </c>
      <c r="H27" s="7" t="str">
        <f aca="false">IF($B27="","",INDEX(MASTER_DATABASE!$L$4:$L$1000,$B27)&amp;"")</f>
        <v/>
      </c>
      <c r="I27" s="9" t="str">
        <f aca="false">IF($B27="","",INDEX(MASTER_DATABASE!$R$4:$R$1000,$B27))</f>
        <v/>
      </c>
      <c r="J27" s="9" t="str">
        <f aca="false">IF($B27="","",INDEX(MASTER_DATABASE!$S$4:$S$1000,$B27))</f>
        <v/>
      </c>
      <c r="K27" s="9" t="str">
        <f aca="false">IF($B27="","",INDEX(MASTER_DATABASE!$T$4:$T$1000,$B27))</f>
        <v/>
      </c>
      <c r="L27" s="7" t="str">
        <f aca="false">IF($B27="","",INDEX(MASTER_DATABASE!$U$4:$U$1000,$B27)&amp;"")</f>
        <v/>
      </c>
      <c r="M27" s="7" t="str">
        <f aca="false">IF($B27="","",INDEX(MASTER_DATABASE!$Q$4:$Q$1000,$B27)&amp;"")</f>
        <v/>
      </c>
      <c r="N27" s="7" t="str">
        <f aca="false">IF($B27="","",INDEX(MASTER_DATABASE!$AG$4:$AG$1000,$B27)&amp;"")</f>
        <v/>
      </c>
      <c r="O27" s="11" t="str">
        <f aca="false">IF($B27="","",INDEX(MASTER_DATABASE!$AH$4:$AH$1000,$B27)&amp;"")</f>
        <v/>
      </c>
      <c r="P27" s="11" t="str">
        <f aca="false">IF($B27="","",INDEX(MASTER_DATABASE!$BE$4:$BE$1000,$B27)&amp;"")</f>
        <v/>
      </c>
      <c r="Q27" s="7" t="str">
        <f aca="false">IF($B27="","",INDEX(MASTER_DATABASE!$AV$4:$AV$1000,$B27)&amp;"")</f>
        <v/>
      </c>
    </row>
    <row r="28" customFormat="false" ht="15" hidden="false" customHeight="false" outlineLevel="0" collapsed="false">
      <c r="A28" s="11" t="n">
        <v>25</v>
      </c>
      <c r="B28" s="11" t="str">
        <f aca="false">IFERROR(MATCH("FINO Payments Bank BC Point|"&amp;$A28,MASTER_DATABASE!$BH$4:$BH$1000,0),"")</f>
        <v/>
      </c>
      <c r="C28" s="11" t="str">
        <f aca="false">IF($B28="","",INDEX(MASTER_DATABASE!$A$4:$A$1000,$B28)&amp;"")</f>
        <v/>
      </c>
      <c r="D28" s="7" t="str">
        <f aca="false">IF($B28="","",INDEX(MASTER_DATABASE!$D$4:$D$1000,$B28)&amp;"")</f>
        <v/>
      </c>
      <c r="E28" s="7" t="str">
        <f aca="false">IF($B28="","",INDEX(MASTER_DATABASE!$E$4:$E$1000,$B28)&amp;"")</f>
        <v/>
      </c>
      <c r="F28" s="7" t="str">
        <f aca="false">IF($B28="","",INDEX(MASTER_DATABASE!$F$4:$F$1000,$B28)&amp;"")</f>
        <v/>
      </c>
      <c r="G28" s="11" t="str">
        <f aca="false">IF($B28="","",INDEX(MASTER_DATABASE!$I$4:$I$1000,$B28)&amp;"")</f>
        <v/>
      </c>
      <c r="H28" s="7" t="str">
        <f aca="false">IF($B28="","",INDEX(MASTER_DATABASE!$L$4:$L$1000,$B28)&amp;"")</f>
        <v/>
      </c>
      <c r="I28" s="9" t="str">
        <f aca="false">IF($B28="","",INDEX(MASTER_DATABASE!$R$4:$R$1000,$B28))</f>
        <v/>
      </c>
      <c r="J28" s="9" t="str">
        <f aca="false">IF($B28="","",INDEX(MASTER_DATABASE!$S$4:$S$1000,$B28))</f>
        <v/>
      </c>
      <c r="K28" s="9" t="str">
        <f aca="false">IF($B28="","",INDEX(MASTER_DATABASE!$T$4:$T$1000,$B28))</f>
        <v/>
      </c>
      <c r="L28" s="7" t="str">
        <f aca="false">IF($B28="","",INDEX(MASTER_DATABASE!$U$4:$U$1000,$B28)&amp;"")</f>
        <v/>
      </c>
      <c r="M28" s="7" t="str">
        <f aca="false">IF($B28="","",INDEX(MASTER_DATABASE!$Q$4:$Q$1000,$B28)&amp;"")</f>
        <v/>
      </c>
      <c r="N28" s="7" t="str">
        <f aca="false">IF($B28="","",INDEX(MASTER_DATABASE!$AG$4:$AG$1000,$B28)&amp;"")</f>
        <v/>
      </c>
      <c r="O28" s="11" t="str">
        <f aca="false">IF($B28="","",INDEX(MASTER_DATABASE!$AH$4:$AH$1000,$B28)&amp;"")</f>
        <v/>
      </c>
      <c r="P28" s="11" t="str">
        <f aca="false">IF($B28="","",INDEX(MASTER_DATABASE!$BE$4:$BE$1000,$B28)&amp;"")</f>
        <v/>
      </c>
      <c r="Q28" s="7" t="str">
        <f aca="false">IF($B28="","",INDEX(MASTER_DATABASE!$AV$4:$AV$1000,$B28)&amp;"")</f>
        <v/>
      </c>
    </row>
    <row r="29" customFormat="false" ht="15" hidden="false" customHeight="false" outlineLevel="0" collapsed="false">
      <c r="A29" s="11" t="n">
        <v>26</v>
      </c>
      <c r="B29" s="11" t="str">
        <f aca="false">IFERROR(MATCH("FINO Payments Bank BC Point|"&amp;$A29,MASTER_DATABASE!$BH$4:$BH$1000,0),"")</f>
        <v/>
      </c>
      <c r="C29" s="11" t="str">
        <f aca="false">IF($B29="","",INDEX(MASTER_DATABASE!$A$4:$A$1000,$B29)&amp;"")</f>
        <v/>
      </c>
      <c r="D29" s="7" t="str">
        <f aca="false">IF($B29="","",INDEX(MASTER_DATABASE!$D$4:$D$1000,$B29)&amp;"")</f>
        <v/>
      </c>
      <c r="E29" s="7" t="str">
        <f aca="false">IF($B29="","",INDEX(MASTER_DATABASE!$E$4:$E$1000,$B29)&amp;"")</f>
        <v/>
      </c>
      <c r="F29" s="7" t="str">
        <f aca="false">IF($B29="","",INDEX(MASTER_DATABASE!$F$4:$F$1000,$B29)&amp;"")</f>
        <v/>
      </c>
      <c r="G29" s="11" t="str">
        <f aca="false">IF($B29="","",INDEX(MASTER_DATABASE!$I$4:$I$1000,$B29)&amp;"")</f>
        <v/>
      </c>
      <c r="H29" s="7" t="str">
        <f aca="false">IF($B29="","",INDEX(MASTER_DATABASE!$L$4:$L$1000,$B29)&amp;"")</f>
        <v/>
      </c>
      <c r="I29" s="9" t="str">
        <f aca="false">IF($B29="","",INDEX(MASTER_DATABASE!$R$4:$R$1000,$B29))</f>
        <v/>
      </c>
      <c r="J29" s="9" t="str">
        <f aca="false">IF($B29="","",INDEX(MASTER_DATABASE!$S$4:$S$1000,$B29))</f>
        <v/>
      </c>
      <c r="K29" s="9" t="str">
        <f aca="false">IF($B29="","",INDEX(MASTER_DATABASE!$T$4:$T$1000,$B29))</f>
        <v/>
      </c>
      <c r="L29" s="7" t="str">
        <f aca="false">IF($B29="","",INDEX(MASTER_DATABASE!$U$4:$U$1000,$B29)&amp;"")</f>
        <v/>
      </c>
      <c r="M29" s="7" t="str">
        <f aca="false">IF($B29="","",INDEX(MASTER_DATABASE!$Q$4:$Q$1000,$B29)&amp;"")</f>
        <v/>
      </c>
      <c r="N29" s="7" t="str">
        <f aca="false">IF($B29="","",INDEX(MASTER_DATABASE!$AG$4:$AG$1000,$B29)&amp;"")</f>
        <v/>
      </c>
      <c r="O29" s="11" t="str">
        <f aca="false">IF($B29="","",INDEX(MASTER_DATABASE!$AH$4:$AH$1000,$B29)&amp;"")</f>
        <v/>
      </c>
      <c r="P29" s="11" t="str">
        <f aca="false">IF($B29="","",INDEX(MASTER_DATABASE!$BE$4:$BE$1000,$B29)&amp;"")</f>
        <v/>
      </c>
      <c r="Q29" s="7" t="str">
        <f aca="false">IF($B29="","",INDEX(MASTER_DATABASE!$AV$4:$AV$1000,$B29)&amp;"")</f>
        <v/>
      </c>
    </row>
    <row r="30" customFormat="false" ht="15" hidden="false" customHeight="false" outlineLevel="0" collapsed="false">
      <c r="A30" s="11" t="n">
        <v>27</v>
      </c>
      <c r="B30" s="11" t="str">
        <f aca="false">IFERROR(MATCH("FINO Payments Bank BC Point|"&amp;$A30,MASTER_DATABASE!$BH$4:$BH$1000,0),"")</f>
        <v/>
      </c>
      <c r="C30" s="11" t="str">
        <f aca="false">IF($B30="","",INDEX(MASTER_DATABASE!$A$4:$A$1000,$B30)&amp;"")</f>
        <v/>
      </c>
      <c r="D30" s="7" t="str">
        <f aca="false">IF($B30="","",INDEX(MASTER_DATABASE!$D$4:$D$1000,$B30)&amp;"")</f>
        <v/>
      </c>
      <c r="E30" s="7" t="str">
        <f aca="false">IF($B30="","",INDEX(MASTER_DATABASE!$E$4:$E$1000,$B30)&amp;"")</f>
        <v/>
      </c>
      <c r="F30" s="7" t="str">
        <f aca="false">IF($B30="","",INDEX(MASTER_DATABASE!$F$4:$F$1000,$B30)&amp;"")</f>
        <v/>
      </c>
      <c r="G30" s="11" t="str">
        <f aca="false">IF($B30="","",INDEX(MASTER_DATABASE!$I$4:$I$1000,$B30)&amp;"")</f>
        <v/>
      </c>
      <c r="H30" s="7" t="str">
        <f aca="false">IF($B30="","",INDEX(MASTER_DATABASE!$L$4:$L$1000,$B30)&amp;"")</f>
        <v/>
      </c>
      <c r="I30" s="9" t="str">
        <f aca="false">IF($B30="","",INDEX(MASTER_DATABASE!$R$4:$R$1000,$B30))</f>
        <v/>
      </c>
      <c r="J30" s="9" t="str">
        <f aca="false">IF($B30="","",INDEX(MASTER_DATABASE!$S$4:$S$1000,$B30))</f>
        <v/>
      </c>
      <c r="K30" s="9" t="str">
        <f aca="false">IF($B30="","",INDEX(MASTER_DATABASE!$T$4:$T$1000,$B30))</f>
        <v/>
      </c>
      <c r="L30" s="7" t="str">
        <f aca="false">IF($B30="","",INDEX(MASTER_DATABASE!$U$4:$U$1000,$B30)&amp;"")</f>
        <v/>
      </c>
      <c r="M30" s="7" t="str">
        <f aca="false">IF($B30="","",INDEX(MASTER_DATABASE!$Q$4:$Q$1000,$B30)&amp;"")</f>
        <v/>
      </c>
      <c r="N30" s="7" t="str">
        <f aca="false">IF($B30="","",INDEX(MASTER_DATABASE!$AG$4:$AG$1000,$B30)&amp;"")</f>
        <v/>
      </c>
      <c r="O30" s="11" t="str">
        <f aca="false">IF($B30="","",INDEX(MASTER_DATABASE!$AH$4:$AH$1000,$B30)&amp;"")</f>
        <v/>
      </c>
      <c r="P30" s="11" t="str">
        <f aca="false">IF($B30="","",INDEX(MASTER_DATABASE!$BE$4:$BE$1000,$B30)&amp;"")</f>
        <v/>
      </c>
      <c r="Q30" s="7" t="str">
        <f aca="false">IF($B30="","",INDEX(MASTER_DATABASE!$AV$4:$AV$1000,$B30)&amp;"")</f>
        <v/>
      </c>
    </row>
    <row r="31" customFormat="false" ht="15" hidden="false" customHeight="false" outlineLevel="0" collapsed="false">
      <c r="A31" s="11" t="n">
        <v>28</v>
      </c>
      <c r="B31" s="11" t="str">
        <f aca="false">IFERROR(MATCH("FINO Payments Bank BC Point|"&amp;$A31,MASTER_DATABASE!$BH$4:$BH$1000,0),"")</f>
        <v/>
      </c>
      <c r="C31" s="11" t="str">
        <f aca="false">IF($B31="","",INDEX(MASTER_DATABASE!$A$4:$A$1000,$B31)&amp;"")</f>
        <v/>
      </c>
      <c r="D31" s="7" t="str">
        <f aca="false">IF($B31="","",INDEX(MASTER_DATABASE!$D$4:$D$1000,$B31)&amp;"")</f>
        <v/>
      </c>
      <c r="E31" s="7" t="str">
        <f aca="false">IF($B31="","",INDEX(MASTER_DATABASE!$E$4:$E$1000,$B31)&amp;"")</f>
        <v/>
      </c>
      <c r="F31" s="7" t="str">
        <f aca="false">IF($B31="","",INDEX(MASTER_DATABASE!$F$4:$F$1000,$B31)&amp;"")</f>
        <v/>
      </c>
      <c r="G31" s="11" t="str">
        <f aca="false">IF($B31="","",INDEX(MASTER_DATABASE!$I$4:$I$1000,$B31)&amp;"")</f>
        <v/>
      </c>
      <c r="H31" s="7" t="str">
        <f aca="false">IF($B31="","",INDEX(MASTER_DATABASE!$L$4:$L$1000,$B31)&amp;"")</f>
        <v/>
      </c>
      <c r="I31" s="9" t="str">
        <f aca="false">IF($B31="","",INDEX(MASTER_DATABASE!$R$4:$R$1000,$B31))</f>
        <v/>
      </c>
      <c r="J31" s="9" t="str">
        <f aca="false">IF($B31="","",INDEX(MASTER_DATABASE!$S$4:$S$1000,$B31))</f>
        <v/>
      </c>
      <c r="K31" s="9" t="str">
        <f aca="false">IF($B31="","",INDEX(MASTER_DATABASE!$T$4:$T$1000,$B31))</f>
        <v/>
      </c>
      <c r="L31" s="7" t="str">
        <f aca="false">IF($B31="","",INDEX(MASTER_DATABASE!$U$4:$U$1000,$B31)&amp;"")</f>
        <v/>
      </c>
      <c r="M31" s="7" t="str">
        <f aca="false">IF($B31="","",INDEX(MASTER_DATABASE!$Q$4:$Q$1000,$B31)&amp;"")</f>
        <v/>
      </c>
      <c r="N31" s="7" t="str">
        <f aca="false">IF($B31="","",INDEX(MASTER_DATABASE!$AG$4:$AG$1000,$B31)&amp;"")</f>
        <v/>
      </c>
      <c r="O31" s="11" t="str">
        <f aca="false">IF($B31="","",INDEX(MASTER_DATABASE!$AH$4:$AH$1000,$B31)&amp;"")</f>
        <v/>
      </c>
      <c r="P31" s="11" t="str">
        <f aca="false">IF($B31="","",INDEX(MASTER_DATABASE!$BE$4:$BE$1000,$B31)&amp;"")</f>
        <v/>
      </c>
      <c r="Q31" s="7" t="str">
        <f aca="false">IF($B31="","",INDEX(MASTER_DATABASE!$AV$4:$AV$1000,$B31)&amp;"")</f>
        <v/>
      </c>
    </row>
    <row r="32" customFormat="false" ht="15" hidden="false" customHeight="false" outlineLevel="0" collapsed="false">
      <c r="A32" s="11" t="n">
        <v>29</v>
      </c>
      <c r="B32" s="11" t="str">
        <f aca="false">IFERROR(MATCH("FINO Payments Bank BC Point|"&amp;$A32,MASTER_DATABASE!$BH$4:$BH$1000,0),"")</f>
        <v/>
      </c>
      <c r="C32" s="11" t="str">
        <f aca="false">IF($B32="","",INDEX(MASTER_DATABASE!$A$4:$A$1000,$B32)&amp;"")</f>
        <v/>
      </c>
      <c r="D32" s="7" t="str">
        <f aca="false">IF($B32="","",INDEX(MASTER_DATABASE!$D$4:$D$1000,$B32)&amp;"")</f>
        <v/>
      </c>
      <c r="E32" s="7" t="str">
        <f aca="false">IF($B32="","",INDEX(MASTER_DATABASE!$E$4:$E$1000,$B32)&amp;"")</f>
        <v/>
      </c>
      <c r="F32" s="7" t="str">
        <f aca="false">IF($B32="","",INDEX(MASTER_DATABASE!$F$4:$F$1000,$B32)&amp;"")</f>
        <v/>
      </c>
      <c r="G32" s="11" t="str">
        <f aca="false">IF($B32="","",INDEX(MASTER_DATABASE!$I$4:$I$1000,$B32)&amp;"")</f>
        <v/>
      </c>
      <c r="H32" s="7" t="str">
        <f aca="false">IF($B32="","",INDEX(MASTER_DATABASE!$L$4:$L$1000,$B32)&amp;"")</f>
        <v/>
      </c>
      <c r="I32" s="9" t="str">
        <f aca="false">IF($B32="","",INDEX(MASTER_DATABASE!$R$4:$R$1000,$B32))</f>
        <v/>
      </c>
      <c r="J32" s="9" t="str">
        <f aca="false">IF($B32="","",INDEX(MASTER_DATABASE!$S$4:$S$1000,$B32))</f>
        <v/>
      </c>
      <c r="K32" s="9" t="str">
        <f aca="false">IF($B32="","",INDEX(MASTER_DATABASE!$T$4:$T$1000,$B32))</f>
        <v/>
      </c>
      <c r="L32" s="7" t="str">
        <f aca="false">IF($B32="","",INDEX(MASTER_DATABASE!$U$4:$U$1000,$B32)&amp;"")</f>
        <v/>
      </c>
      <c r="M32" s="7" t="str">
        <f aca="false">IF($B32="","",INDEX(MASTER_DATABASE!$Q$4:$Q$1000,$B32)&amp;"")</f>
        <v/>
      </c>
      <c r="N32" s="7" t="str">
        <f aca="false">IF($B32="","",INDEX(MASTER_DATABASE!$AG$4:$AG$1000,$B32)&amp;"")</f>
        <v/>
      </c>
      <c r="O32" s="11" t="str">
        <f aca="false">IF($B32="","",INDEX(MASTER_DATABASE!$AH$4:$AH$1000,$B32)&amp;"")</f>
        <v/>
      </c>
      <c r="P32" s="11" t="str">
        <f aca="false">IF($B32="","",INDEX(MASTER_DATABASE!$BE$4:$BE$1000,$B32)&amp;"")</f>
        <v/>
      </c>
      <c r="Q32" s="7" t="str">
        <f aca="false">IF($B32="","",INDEX(MASTER_DATABASE!$AV$4:$AV$1000,$B32)&amp;"")</f>
        <v/>
      </c>
    </row>
    <row r="33" customFormat="false" ht="15" hidden="false" customHeight="false" outlineLevel="0" collapsed="false">
      <c r="A33" s="11" t="n">
        <v>30</v>
      </c>
      <c r="B33" s="11" t="str">
        <f aca="false">IFERROR(MATCH("FINO Payments Bank BC Point|"&amp;$A33,MASTER_DATABASE!$BH$4:$BH$1000,0),"")</f>
        <v/>
      </c>
      <c r="C33" s="11" t="str">
        <f aca="false">IF($B33="","",INDEX(MASTER_DATABASE!$A$4:$A$1000,$B33)&amp;"")</f>
        <v/>
      </c>
      <c r="D33" s="7" t="str">
        <f aca="false">IF($B33="","",INDEX(MASTER_DATABASE!$D$4:$D$1000,$B33)&amp;"")</f>
        <v/>
      </c>
      <c r="E33" s="7" t="str">
        <f aca="false">IF($B33="","",INDEX(MASTER_DATABASE!$E$4:$E$1000,$B33)&amp;"")</f>
        <v/>
      </c>
      <c r="F33" s="7" t="str">
        <f aca="false">IF($B33="","",INDEX(MASTER_DATABASE!$F$4:$F$1000,$B33)&amp;"")</f>
        <v/>
      </c>
      <c r="G33" s="11" t="str">
        <f aca="false">IF($B33="","",INDEX(MASTER_DATABASE!$I$4:$I$1000,$B33)&amp;"")</f>
        <v/>
      </c>
      <c r="H33" s="7" t="str">
        <f aca="false">IF($B33="","",INDEX(MASTER_DATABASE!$L$4:$L$1000,$B33)&amp;"")</f>
        <v/>
      </c>
      <c r="I33" s="9" t="str">
        <f aca="false">IF($B33="","",INDEX(MASTER_DATABASE!$R$4:$R$1000,$B33))</f>
        <v/>
      </c>
      <c r="J33" s="9" t="str">
        <f aca="false">IF($B33="","",INDEX(MASTER_DATABASE!$S$4:$S$1000,$B33))</f>
        <v/>
      </c>
      <c r="K33" s="9" t="str">
        <f aca="false">IF($B33="","",INDEX(MASTER_DATABASE!$T$4:$T$1000,$B33))</f>
        <v/>
      </c>
      <c r="L33" s="7" t="str">
        <f aca="false">IF($B33="","",INDEX(MASTER_DATABASE!$U$4:$U$1000,$B33)&amp;"")</f>
        <v/>
      </c>
      <c r="M33" s="7" t="str">
        <f aca="false">IF($B33="","",INDEX(MASTER_DATABASE!$Q$4:$Q$1000,$B33)&amp;"")</f>
        <v/>
      </c>
      <c r="N33" s="7" t="str">
        <f aca="false">IF($B33="","",INDEX(MASTER_DATABASE!$AG$4:$AG$1000,$B33)&amp;"")</f>
        <v/>
      </c>
      <c r="O33" s="11" t="str">
        <f aca="false">IF($B33="","",INDEX(MASTER_DATABASE!$AH$4:$AH$1000,$B33)&amp;"")</f>
        <v/>
      </c>
      <c r="P33" s="11" t="str">
        <f aca="false">IF($B33="","",INDEX(MASTER_DATABASE!$BE$4:$BE$1000,$B33)&amp;"")</f>
        <v/>
      </c>
      <c r="Q33" s="7" t="str">
        <f aca="false">IF($B33="","",INDEX(MASTER_DATABASE!$AV$4:$AV$1000,$B33)&amp;"")</f>
        <v/>
      </c>
    </row>
    <row r="34" customFormat="false" ht="15" hidden="false" customHeight="false" outlineLevel="0" collapsed="false">
      <c r="A34" s="11" t="n">
        <v>31</v>
      </c>
      <c r="B34" s="11" t="str">
        <f aca="false">IFERROR(MATCH("FINO Payments Bank BC Point|"&amp;$A34,MASTER_DATABASE!$BH$4:$BH$1000,0),"")</f>
        <v/>
      </c>
      <c r="C34" s="11" t="str">
        <f aca="false">IF($B34="","",INDEX(MASTER_DATABASE!$A$4:$A$1000,$B34)&amp;"")</f>
        <v/>
      </c>
      <c r="D34" s="7" t="str">
        <f aca="false">IF($B34="","",INDEX(MASTER_DATABASE!$D$4:$D$1000,$B34)&amp;"")</f>
        <v/>
      </c>
      <c r="E34" s="7" t="str">
        <f aca="false">IF($B34="","",INDEX(MASTER_DATABASE!$E$4:$E$1000,$B34)&amp;"")</f>
        <v/>
      </c>
      <c r="F34" s="7" t="str">
        <f aca="false">IF($B34="","",INDEX(MASTER_DATABASE!$F$4:$F$1000,$B34)&amp;"")</f>
        <v/>
      </c>
      <c r="G34" s="11" t="str">
        <f aca="false">IF($B34="","",INDEX(MASTER_DATABASE!$I$4:$I$1000,$B34)&amp;"")</f>
        <v/>
      </c>
      <c r="H34" s="7" t="str">
        <f aca="false">IF($B34="","",INDEX(MASTER_DATABASE!$L$4:$L$1000,$B34)&amp;"")</f>
        <v/>
      </c>
      <c r="I34" s="9" t="str">
        <f aca="false">IF($B34="","",INDEX(MASTER_DATABASE!$R$4:$R$1000,$B34))</f>
        <v/>
      </c>
      <c r="J34" s="9" t="str">
        <f aca="false">IF($B34="","",INDEX(MASTER_DATABASE!$S$4:$S$1000,$B34))</f>
        <v/>
      </c>
      <c r="K34" s="9" t="str">
        <f aca="false">IF($B34="","",INDEX(MASTER_DATABASE!$T$4:$T$1000,$B34))</f>
        <v/>
      </c>
      <c r="L34" s="7" t="str">
        <f aca="false">IF($B34="","",INDEX(MASTER_DATABASE!$U$4:$U$1000,$B34)&amp;"")</f>
        <v/>
      </c>
      <c r="M34" s="7" t="str">
        <f aca="false">IF($B34="","",INDEX(MASTER_DATABASE!$Q$4:$Q$1000,$B34)&amp;"")</f>
        <v/>
      </c>
      <c r="N34" s="7" t="str">
        <f aca="false">IF($B34="","",INDEX(MASTER_DATABASE!$AG$4:$AG$1000,$B34)&amp;"")</f>
        <v/>
      </c>
      <c r="O34" s="11" t="str">
        <f aca="false">IF($B34="","",INDEX(MASTER_DATABASE!$AH$4:$AH$1000,$B34)&amp;"")</f>
        <v/>
      </c>
      <c r="P34" s="11" t="str">
        <f aca="false">IF($B34="","",INDEX(MASTER_DATABASE!$BE$4:$BE$1000,$B34)&amp;"")</f>
        <v/>
      </c>
      <c r="Q34" s="7" t="str">
        <f aca="false">IF($B34="","",INDEX(MASTER_DATABASE!$AV$4:$AV$1000,$B34)&amp;"")</f>
        <v/>
      </c>
    </row>
    <row r="35" customFormat="false" ht="15" hidden="false" customHeight="false" outlineLevel="0" collapsed="false">
      <c r="A35" s="11" t="n">
        <v>32</v>
      </c>
      <c r="B35" s="11" t="str">
        <f aca="false">IFERROR(MATCH("FINO Payments Bank BC Point|"&amp;$A35,MASTER_DATABASE!$BH$4:$BH$1000,0),"")</f>
        <v/>
      </c>
      <c r="C35" s="11" t="str">
        <f aca="false">IF($B35="","",INDEX(MASTER_DATABASE!$A$4:$A$1000,$B35)&amp;"")</f>
        <v/>
      </c>
      <c r="D35" s="7" t="str">
        <f aca="false">IF($B35="","",INDEX(MASTER_DATABASE!$D$4:$D$1000,$B35)&amp;"")</f>
        <v/>
      </c>
      <c r="E35" s="7" t="str">
        <f aca="false">IF($B35="","",INDEX(MASTER_DATABASE!$E$4:$E$1000,$B35)&amp;"")</f>
        <v/>
      </c>
      <c r="F35" s="7" t="str">
        <f aca="false">IF($B35="","",INDEX(MASTER_DATABASE!$F$4:$F$1000,$B35)&amp;"")</f>
        <v/>
      </c>
      <c r="G35" s="11" t="str">
        <f aca="false">IF($B35="","",INDEX(MASTER_DATABASE!$I$4:$I$1000,$B35)&amp;"")</f>
        <v/>
      </c>
      <c r="H35" s="7" t="str">
        <f aca="false">IF($B35="","",INDEX(MASTER_DATABASE!$L$4:$L$1000,$B35)&amp;"")</f>
        <v/>
      </c>
      <c r="I35" s="9" t="str">
        <f aca="false">IF($B35="","",INDEX(MASTER_DATABASE!$R$4:$R$1000,$B35))</f>
        <v/>
      </c>
      <c r="J35" s="9" t="str">
        <f aca="false">IF($B35="","",INDEX(MASTER_DATABASE!$S$4:$S$1000,$B35))</f>
        <v/>
      </c>
      <c r="K35" s="9" t="str">
        <f aca="false">IF($B35="","",INDEX(MASTER_DATABASE!$T$4:$T$1000,$B35))</f>
        <v/>
      </c>
      <c r="L35" s="7" t="str">
        <f aca="false">IF($B35="","",INDEX(MASTER_DATABASE!$U$4:$U$1000,$B35)&amp;"")</f>
        <v/>
      </c>
      <c r="M35" s="7" t="str">
        <f aca="false">IF($B35="","",INDEX(MASTER_DATABASE!$Q$4:$Q$1000,$B35)&amp;"")</f>
        <v/>
      </c>
      <c r="N35" s="7" t="str">
        <f aca="false">IF($B35="","",INDEX(MASTER_DATABASE!$AG$4:$AG$1000,$B35)&amp;"")</f>
        <v/>
      </c>
      <c r="O35" s="11" t="str">
        <f aca="false">IF($B35="","",INDEX(MASTER_DATABASE!$AH$4:$AH$1000,$B35)&amp;"")</f>
        <v/>
      </c>
      <c r="P35" s="11" t="str">
        <f aca="false">IF($B35="","",INDEX(MASTER_DATABASE!$BE$4:$BE$1000,$B35)&amp;"")</f>
        <v/>
      </c>
      <c r="Q35" s="7" t="str">
        <f aca="false">IF($B35="","",INDEX(MASTER_DATABASE!$AV$4:$AV$1000,$B35)&amp;"")</f>
        <v/>
      </c>
    </row>
    <row r="36" customFormat="false" ht="15" hidden="false" customHeight="false" outlineLevel="0" collapsed="false">
      <c r="A36" s="11" t="n">
        <v>33</v>
      </c>
      <c r="B36" s="11" t="str">
        <f aca="false">IFERROR(MATCH("FINO Payments Bank BC Point|"&amp;$A36,MASTER_DATABASE!$BH$4:$BH$1000,0),"")</f>
        <v/>
      </c>
      <c r="C36" s="11" t="str">
        <f aca="false">IF($B36="","",INDEX(MASTER_DATABASE!$A$4:$A$1000,$B36)&amp;"")</f>
        <v/>
      </c>
      <c r="D36" s="7" t="str">
        <f aca="false">IF($B36="","",INDEX(MASTER_DATABASE!$D$4:$D$1000,$B36)&amp;"")</f>
        <v/>
      </c>
      <c r="E36" s="7" t="str">
        <f aca="false">IF($B36="","",INDEX(MASTER_DATABASE!$E$4:$E$1000,$B36)&amp;"")</f>
        <v/>
      </c>
      <c r="F36" s="7" t="str">
        <f aca="false">IF($B36="","",INDEX(MASTER_DATABASE!$F$4:$F$1000,$B36)&amp;"")</f>
        <v/>
      </c>
      <c r="G36" s="11" t="str">
        <f aca="false">IF($B36="","",INDEX(MASTER_DATABASE!$I$4:$I$1000,$B36)&amp;"")</f>
        <v/>
      </c>
      <c r="H36" s="7" t="str">
        <f aca="false">IF($B36="","",INDEX(MASTER_DATABASE!$L$4:$L$1000,$B36)&amp;"")</f>
        <v/>
      </c>
      <c r="I36" s="9" t="str">
        <f aca="false">IF($B36="","",INDEX(MASTER_DATABASE!$R$4:$R$1000,$B36))</f>
        <v/>
      </c>
      <c r="J36" s="9" t="str">
        <f aca="false">IF($B36="","",INDEX(MASTER_DATABASE!$S$4:$S$1000,$B36))</f>
        <v/>
      </c>
      <c r="K36" s="9" t="str">
        <f aca="false">IF($B36="","",INDEX(MASTER_DATABASE!$T$4:$T$1000,$B36))</f>
        <v/>
      </c>
      <c r="L36" s="7" t="str">
        <f aca="false">IF($B36="","",INDEX(MASTER_DATABASE!$U$4:$U$1000,$B36)&amp;"")</f>
        <v/>
      </c>
      <c r="M36" s="7" t="str">
        <f aca="false">IF($B36="","",INDEX(MASTER_DATABASE!$Q$4:$Q$1000,$B36)&amp;"")</f>
        <v/>
      </c>
      <c r="N36" s="7" t="str">
        <f aca="false">IF($B36="","",INDEX(MASTER_DATABASE!$AG$4:$AG$1000,$B36)&amp;"")</f>
        <v/>
      </c>
      <c r="O36" s="11" t="str">
        <f aca="false">IF($B36="","",INDEX(MASTER_DATABASE!$AH$4:$AH$1000,$B36)&amp;"")</f>
        <v/>
      </c>
      <c r="P36" s="11" t="str">
        <f aca="false">IF($B36="","",INDEX(MASTER_DATABASE!$BE$4:$BE$1000,$B36)&amp;"")</f>
        <v/>
      </c>
      <c r="Q36" s="7" t="str">
        <f aca="false">IF($B36="","",INDEX(MASTER_DATABASE!$AV$4:$AV$1000,$B36)&amp;"")</f>
        <v/>
      </c>
    </row>
    <row r="37" customFormat="false" ht="15" hidden="false" customHeight="false" outlineLevel="0" collapsed="false">
      <c r="A37" s="11" t="n">
        <v>34</v>
      </c>
      <c r="B37" s="11" t="str">
        <f aca="false">IFERROR(MATCH("FINO Payments Bank BC Point|"&amp;$A37,MASTER_DATABASE!$BH$4:$BH$1000,0),"")</f>
        <v/>
      </c>
      <c r="C37" s="11" t="str">
        <f aca="false">IF($B37="","",INDEX(MASTER_DATABASE!$A$4:$A$1000,$B37)&amp;"")</f>
        <v/>
      </c>
      <c r="D37" s="7" t="str">
        <f aca="false">IF($B37="","",INDEX(MASTER_DATABASE!$D$4:$D$1000,$B37)&amp;"")</f>
        <v/>
      </c>
      <c r="E37" s="7" t="str">
        <f aca="false">IF($B37="","",INDEX(MASTER_DATABASE!$E$4:$E$1000,$B37)&amp;"")</f>
        <v/>
      </c>
      <c r="F37" s="7" t="str">
        <f aca="false">IF($B37="","",INDEX(MASTER_DATABASE!$F$4:$F$1000,$B37)&amp;"")</f>
        <v/>
      </c>
      <c r="G37" s="11" t="str">
        <f aca="false">IF($B37="","",INDEX(MASTER_DATABASE!$I$4:$I$1000,$B37)&amp;"")</f>
        <v/>
      </c>
      <c r="H37" s="7" t="str">
        <f aca="false">IF($B37="","",INDEX(MASTER_DATABASE!$L$4:$L$1000,$B37)&amp;"")</f>
        <v/>
      </c>
      <c r="I37" s="9" t="str">
        <f aca="false">IF($B37="","",INDEX(MASTER_DATABASE!$R$4:$R$1000,$B37))</f>
        <v/>
      </c>
      <c r="J37" s="9" t="str">
        <f aca="false">IF($B37="","",INDEX(MASTER_DATABASE!$S$4:$S$1000,$B37))</f>
        <v/>
      </c>
      <c r="K37" s="9" t="str">
        <f aca="false">IF($B37="","",INDEX(MASTER_DATABASE!$T$4:$T$1000,$B37))</f>
        <v/>
      </c>
      <c r="L37" s="7" t="str">
        <f aca="false">IF($B37="","",INDEX(MASTER_DATABASE!$U$4:$U$1000,$B37)&amp;"")</f>
        <v/>
      </c>
      <c r="M37" s="7" t="str">
        <f aca="false">IF($B37="","",INDEX(MASTER_DATABASE!$Q$4:$Q$1000,$B37)&amp;"")</f>
        <v/>
      </c>
      <c r="N37" s="7" t="str">
        <f aca="false">IF($B37="","",INDEX(MASTER_DATABASE!$AG$4:$AG$1000,$B37)&amp;"")</f>
        <v/>
      </c>
      <c r="O37" s="11" t="str">
        <f aca="false">IF($B37="","",INDEX(MASTER_DATABASE!$AH$4:$AH$1000,$B37)&amp;"")</f>
        <v/>
      </c>
      <c r="P37" s="11" t="str">
        <f aca="false">IF($B37="","",INDEX(MASTER_DATABASE!$BE$4:$BE$1000,$B37)&amp;"")</f>
        <v/>
      </c>
      <c r="Q37" s="7" t="str">
        <f aca="false">IF($B37="","",INDEX(MASTER_DATABASE!$AV$4:$AV$1000,$B37)&amp;"")</f>
        <v/>
      </c>
    </row>
    <row r="38" customFormat="false" ht="15" hidden="false" customHeight="false" outlineLevel="0" collapsed="false">
      <c r="A38" s="11" t="n">
        <v>35</v>
      </c>
      <c r="B38" s="11" t="str">
        <f aca="false">IFERROR(MATCH("FINO Payments Bank BC Point|"&amp;$A38,MASTER_DATABASE!$BH$4:$BH$1000,0),"")</f>
        <v/>
      </c>
      <c r="C38" s="11" t="str">
        <f aca="false">IF($B38="","",INDEX(MASTER_DATABASE!$A$4:$A$1000,$B38)&amp;"")</f>
        <v/>
      </c>
      <c r="D38" s="7" t="str">
        <f aca="false">IF($B38="","",INDEX(MASTER_DATABASE!$D$4:$D$1000,$B38)&amp;"")</f>
        <v/>
      </c>
      <c r="E38" s="7" t="str">
        <f aca="false">IF($B38="","",INDEX(MASTER_DATABASE!$E$4:$E$1000,$B38)&amp;"")</f>
        <v/>
      </c>
      <c r="F38" s="7" t="str">
        <f aca="false">IF($B38="","",INDEX(MASTER_DATABASE!$F$4:$F$1000,$B38)&amp;"")</f>
        <v/>
      </c>
      <c r="G38" s="11" t="str">
        <f aca="false">IF($B38="","",INDEX(MASTER_DATABASE!$I$4:$I$1000,$B38)&amp;"")</f>
        <v/>
      </c>
      <c r="H38" s="7" t="str">
        <f aca="false">IF($B38="","",INDEX(MASTER_DATABASE!$L$4:$L$1000,$B38)&amp;"")</f>
        <v/>
      </c>
      <c r="I38" s="9" t="str">
        <f aca="false">IF($B38="","",INDEX(MASTER_DATABASE!$R$4:$R$1000,$B38))</f>
        <v/>
      </c>
      <c r="J38" s="9" t="str">
        <f aca="false">IF($B38="","",INDEX(MASTER_DATABASE!$S$4:$S$1000,$B38))</f>
        <v/>
      </c>
      <c r="K38" s="9" t="str">
        <f aca="false">IF($B38="","",INDEX(MASTER_DATABASE!$T$4:$T$1000,$B38))</f>
        <v/>
      </c>
      <c r="L38" s="7" t="str">
        <f aca="false">IF($B38="","",INDEX(MASTER_DATABASE!$U$4:$U$1000,$B38)&amp;"")</f>
        <v/>
      </c>
      <c r="M38" s="7" t="str">
        <f aca="false">IF($B38="","",INDEX(MASTER_DATABASE!$Q$4:$Q$1000,$B38)&amp;"")</f>
        <v/>
      </c>
      <c r="N38" s="7" t="str">
        <f aca="false">IF($B38="","",INDEX(MASTER_DATABASE!$AG$4:$AG$1000,$B38)&amp;"")</f>
        <v/>
      </c>
      <c r="O38" s="11" t="str">
        <f aca="false">IF($B38="","",INDEX(MASTER_DATABASE!$AH$4:$AH$1000,$B38)&amp;"")</f>
        <v/>
      </c>
      <c r="P38" s="11" t="str">
        <f aca="false">IF($B38="","",INDEX(MASTER_DATABASE!$BE$4:$BE$1000,$B38)&amp;"")</f>
        <v/>
      </c>
      <c r="Q38" s="7" t="str">
        <f aca="false">IF($B38="","",INDEX(MASTER_DATABASE!$AV$4:$AV$1000,$B38)&amp;"")</f>
        <v/>
      </c>
    </row>
    <row r="39" customFormat="false" ht="15" hidden="false" customHeight="false" outlineLevel="0" collapsed="false">
      <c r="A39" s="11" t="n">
        <v>36</v>
      </c>
      <c r="B39" s="11" t="str">
        <f aca="false">IFERROR(MATCH("FINO Payments Bank BC Point|"&amp;$A39,MASTER_DATABASE!$BH$4:$BH$1000,0),"")</f>
        <v/>
      </c>
      <c r="C39" s="11" t="str">
        <f aca="false">IF($B39="","",INDEX(MASTER_DATABASE!$A$4:$A$1000,$B39)&amp;"")</f>
        <v/>
      </c>
      <c r="D39" s="7" t="str">
        <f aca="false">IF($B39="","",INDEX(MASTER_DATABASE!$D$4:$D$1000,$B39)&amp;"")</f>
        <v/>
      </c>
      <c r="E39" s="7" t="str">
        <f aca="false">IF($B39="","",INDEX(MASTER_DATABASE!$E$4:$E$1000,$B39)&amp;"")</f>
        <v/>
      </c>
      <c r="F39" s="7" t="str">
        <f aca="false">IF($B39="","",INDEX(MASTER_DATABASE!$F$4:$F$1000,$B39)&amp;"")</f>
        <v/>
      </c>
      <c r="G39" s="11" t="str">
        <f aca="false">IF($B39="","",INDEX(MASTER_DATABASE!$I$4:$I$1000,$B39)&amp;"")</f>
        <v/>
      </c>
      <c r="H39" s="7" t="str">
        <f aca="false">IF($B39="","",INDEX(MASTER_DATABASE!$L$4:$L$1000,$B39)&amp;"")</f>
        <v/>
      </c>
      <c r="I39" s="9" t="str">
        <f aca="false">IF($B39="","",INDEX(MASTER_DATABASE!$R$4:$R$1000,$B39))</f>
        <v/>
      </c>
      <c r="J39" s="9" t="str">
        <f aca="false">IF($B39="","",INDEX(MASTER_DATABASE!$S$4:$S$1000,$B39))</f>
        <v/>
      </c>
      <c r="K39" s="9" t="str">
        <f aca="false">IF($B39="","",INDEX(MASTER_DATABASE!$T$4:$T$1000,$B39))</f>
        <v/>
      </c>
      <c r="L39" s="7" t="str">
        <f aca="false">IF($B39="","",INDEX(MASTER_DATABASE!$U$4:$U$1000,$B39)&amp;"")</f>
        <v/>
      </c>
      <c r="M39" s="7" t="str">
        <f aca="false">IF($B39="","",INDEX(MASTER_DATABASE!$Q$4:$Q$1000,$B39)&amp;"")</f>
        <v/>
      </c>
      <c r="N39" s="7" t="str">
        <f aca="false">IF($B39="","",INDEX(MASTER_DATABASE!$AG$4:$AG$1000,$B39)&amp;"")</f>
        <v/>
      </c>
      <c r="O39" s="11" t="str">
        <f aca="false">IF($B39="","",INDEX(MASTER_DATABASE!$AH$4:$AH$1000,$B39)&amp;"")</f>
        <v/>
      </c>
      <c r="P39" s="11" t="str">
        <f aca="false">IF($B39="","",INDEX(MASTER_DATABASE!$BE$4:$BE$1000,$B39)&amp;"")</f>
        <v/>
      </c>
      <c r="Q39" s="7" t="str">
        <f aca="false">IF($B39="","",INDEX(MASTER_DATABASE!$AV$4:$AV$1000,$B39)&amp;"")</f>
        <v/>
      </c>
    </row>
    <row r="40" customFormat="false" ht="15" hidden="false" customHeight="false" outlineLevel="0" collapsed="false">
      <c r="A40" s="11" t="n">
        <v>37</v>
      </c>
      <c r="B40" s="11" t="str">
        <f aca="false">IFERROR(MATCH("FINO Payments Bank BC Point|"&amp;$A40,MASTER_DATABASE!$BH$4:$BH$1000,0),"")</f>
        <v/>
      </c>
      <c r="C40" s="11" t="str">
        <f aca="false">IF($B40="","",INDEX(MASTER_DATABASE!$A$4:$A$1000,$B40)&amp;"")</f>
        <v/>
      </c>
      <c r="D40" s="7" t="str">
        <f aca="false">IF($B40="","",INDEX(MASTER_DATABASE!$D$4:$D$1000,$B40)&amp;"")</f>
        <v/>
      </c>
      <c r="E40" s="7" t="str">
        <f aca="false">IF($B40="","",INDEX(MASTER_DATABASE!$E$4:$E$1000,$B40)&amp;"")</f>
        <v/>
      </c>
      <c r="F40" s="7" t="str">
        <f aca="false">IF($B40="","",INDEX(MASTER_DATABASE!$F$4:$F$1000,$B40)&amp;"")</f>
        <v/>
      </c>
      <c r="G40" s="11" t="str">
        <f aca="false">IF($B40="","",INDEX(MASTER_DATABASE!$I$4:$I$1000,$B40)&amp;"")</f>
        <v/>
      </c>
      <c r="H40" s="7" t="str">
        <f aca="false">IF($B40="","",INDEX(MASTER_DATABASE!$L$4:$L$1000,$B40)&amp;"")</f>
        <v/>
      </c>
      <c r="I40" s="9" t="str">
        <f aca="false">IF($B40="","",INDEX(MASTER_DATABASE!$R$4:$R$1000,$B40))</f>
        <v/>
      </c>
      <c r="J40" s="9" t="str">
        <f aca="false">IF($B40="","",INDEX(MASTER_DATABASE!$S$4:$S$1000,$B40))</f>
        <v/>
      </c>
      <c r="K40" s="9" t="str">
        <f aca="false">IF($B40="","",INDEX(MASTER_DATABASE!$T$4:$T$1000,$B40))</f>
        <v/>
      </c>
      <c r="L40" s="7" t="str">
        <f aca="false">IF($B40="","",INDEX(MASTER_DATABASE!$U$4:$U$1000,$B40)&amp;"")</f>
        <v/>
      </c>
      <c r="M40" s="7" t="str">
        <f aca="false">IF($B40="","",INDEX(MASTER_DATABASE!$Q$4:$Q$1000,$B40)&amp;"")</f>
        <v/>
      </c>
      <c r="N40" s="7" t="str">
        <f aca="false">IF($B40="","",INDEX(MASTER_DATABASE!$AG$4:$AG$1000,$B40)&amp;"")</f>
        <v/>
      </c>
      <c r="O40" s="11" t="str">
        <f aca="false">IF($B40="","",INDEX(MASTER_DATABASE!$AH$4:$AH$1000,$B40)&amp;"")</f>
        <v/>
      </c>
      <c r="P40" s="11" t="str">
        <f aca="false">IF($B40="","",INDEX(MASTER_DATABASE!$BE$4:$BE$1000,$B40)&amp;"")</f>
        <v/>
      </c>
      <c r="Q40" s="7" t="str">
        <f aca="false">IF($B40="","",INDEX(MASTER_DATABASE!$AV$4:$AV$1000,$B40)&amp;"")</f>
        <v/>
      </c>
    </row>
    <row r="41" customFormat="false" ht="15" hidden="false" customHeight="false" outlineLevel="0" collapsed="false">
      <c r="A41" s="11" t="n">
        <v>38</v>
      </c>
      <c r="B41" s="11" t="str">
        <f aca="false">IFERROR(MATCH("FINO Payments Bank BC Point|"&amp;$A41,MASTER_DATABASE!$BH$4:$BH$1000,0),"")</f>
        <v/>
      </c>
      <c r="C41" s="11" t="str">
        <f aca="false">IF($B41="","",INDEX(MASTER_DATABASE!$A$4:$A$1000,$B41)&amp;"")</f>
        <v/>
      </c>
      <c r="D41" s="7" t="str">
        <f aca="false">IF($B41="","",INDEX(MASTER_DATABASE!$D$4:$D$1000,$B41)&amp;"")</f>
        <v/>
      </c>
      <c r="E41" s="7" t="str">
        <f aca="false">IF($B41="","",INDEX(MASTER_DATABASE!$E$4:$E$1000,$B41)&amp;"")</f>
        <v/>
      </c>
      <c r="F41" s="7" t="str">
        <f aca="false">IF($B41="","",INDEX(MASTER_DATABASE!$F$4:$F$1000,$B41)&amp;"")</f>
        <v/>
      </c>
      <c r="G41" s="11" t="str">
        <f aca="false">IF($B41="","",INDEX(MASTER_DATABASE!$I$4:$I$1000,$B41)&amp;"")</f>
        <v/>
      </c>
      <c r="H41" s="7" t="str">
        <f aca="false">IF($B41="","",INDEX(MASTER_DATABASE!$L$4:$L$1000,$B41)&amp;"")</f>
        <v/>
      </c>
      <c r="I41" s="9" t="str">
        <f aca="false">IF($B41="","",INDEX(MASTER_DATABASE!$R$4:$R$1000,$B41))</f>
        <v/>
      </c>
      <c r="J41" s="9" t="str">
        <f aca="false">IF($B41="","",INDEX(MASTER_DATABASE!$S$4:$S$1000,$B41))</f>
        <v/>
      </c>
      <c r="K41" s="9" t="str">
        <f aca="false">IF($B41="","",INDEX(MASTER_DATABASE!$T$4:$T$1000,$B41))</f>
        <v/>
      </c>
      <c r="L41" s="7" t="str">
        <f aca="false">IF($B41="","",INDEX(MASTER_DATABASE!$U$4:$U$1000,$B41)&amp;"")</f>
        <v/>
      </c>
      <c r="M41" s="7" t="str">
        <f aca="false">IF($B41="","",INDEX(MASTER_DATABASE!$Q$4:$Q$1000,$B41)&amp;"")</f>
        <v/>
      </c>
      <c r="N41" s="7" t="str">
        <f aca="false">IF($B41="","",INDEX(MASTER_DATABASE!$AG$4:$AG$1000,$B41)&amp;"")</f>
        <v/>
      </c>
      <c r="O41" s="11" t="str">
        <f aca="false">IF($B41="","",INDEX(MASTER_DATABASE!$AH$4:$AH$1000,$B41)&amp;"")</f>
        <v/>
      </c>
      <c r="P41" s="11" t="str">
        <f aca="false">IF($B41="","",INDEX(MASTER_DATABASE!$BE$4:$BE$1000,$B41)&amp;"")</f>
        <v/>
      </c>
      <c r="Q41" s="7" t="str">
        <f aca="false">IF($B41="","",INDEX(MASTER_DATABASE!$AV$4:$AV$1000,$B41)&amp;"")</f>
        <v/>
      </c>
    </row>
    <row r="42" customFormat="false" ht="15" hidden="false" customHeight="false" outlineLevel="0" collapsed="false">
      <c r="A42" s="11" t="n">
        <v>39</v>
      </c>
      <c r="B42" s="11" t="str">
        <f aca="false">IFERROR(MATCH("FINO Payments Bank BC Point|"&amp;$A42,MASTER_DATABASE!$BH$4:$BH$1000,0),"")</f>
        <v/>
      </c>
      <c r="C42" s="11" t="str">
        <f aca="false">IF($B42="","",INDEX(MASTER_DATABASE!$A$4:$A$1000,$B42)&amp;"")</f>
        <v/>
      </c>
      <c r="D42" s="7" t="str">
        <f aca="false">IF($B42="","",INDEX(MASTER_DATABASE!$D$4:$D$1000,$B42)&amp;"")</f>
        <v/>
      </c>
      <c r="E42" s="7" t="str">
        <f aca="false">IF($B42="","",INDEX(MASTER_DATABASE!$E$4:$E$1000,$B42)&amp;"")</f>
        <v/>
      </c>
      <c r="F42" s="7" t="str">
        <f aca="false">IF($B42="","",INDEX(MASTER_DATABASE!$F$4:$F$1000,$B42)&amp;"")</f>
        <v/>
      </c>
      <c r="G42" s="11" t="str">
        <f aca="false">IF($B42="","",INDEX(MASTER_DATABASE!$I$4:$I$1000,$B42)&amp;"")</f>
        <v/>
      </c>
      <c r="H42" s="7" t="str">
        <f aca="false">IF($B42="","",INDEX(MASTER_DATABASE!$L$4:$L$1000,$B42)&amp;"")</f>
        <v/>
      </c>
      <c r="I42" s="9" t="str">
        <f aca="false">IF($B42="","",INDEX(MASTER_DATABASE!$R$4:$R$1000,$B42))</f>
        <v/>
      </c>
      <c r="J42" s="9" t="str">
        <f aca="false">IF($B42="","",INDEX(MASTER_DATABASE!$S$4:$S$1000,$B42))</f>
        <v/>
      </c>
      <c r="K42" s="9" t="str">
        <f aca="false">IF($B42="","",INDEX(MASTER_DATABASE!$T$4:$T$1000,$B42))</f>
        <v/>
      </c>
      <c r="L42" s="7" t="str">
        <f aca="false">IF($B42="","",INDEX(MASTER_DATABASE!$U$4:$U$1000,$B42)&amp;"")</f>
        <v/>
      </c>
      <c r="M42" s="7" t="str">
        <f aca="false">IF($B42="","",INDEX(MASTER_DATABASE!$Q$4:$Q$1000,$B42)&amp;"")</f>
        <v/>
      </c>
      <c r="N42" s="7" t="str">
        <f aca="false">IF($B42="","",INDEX(MASTER_DATABASE!$AG$4:$AG$1000,$B42)&amp;"")</f>
        <v/>
      </c>
      <c r="O42" s="11" t="str">
        <f aca="false">IF($B42="","",INDEX(MASTER_DATABASE!$AH$4:$AH$1000,$B42)&amp;"")</f>
        <v/>
      </c>
      <c r="P42" s="11" t="str">
        <f aca="false">IF($B42="","",INDEX(MASTER_DATABASE!$BE$4:$BE$1000,$B42)&amp;"")</f>
        <v/>
      </c>
      <c r="Q42" s="7" t="str">
        <f aca="false">IF($B42="","",INDEX(MASTER_DATABASE!$AV$4:$AV$1000,$B42)&amp;"")</f>
        <v/>
      </c>
    </row>
    <row r="43" customFormat="false" ht="15" hidden="false" customHeight="false" outlineLevel="0" collapsed="false">
      <c r="A43" s="11" t="n">
        <v>40</v>
      </c>
      <c r="B43" s="11" t="str">
        <f aca="false">IFERROR(MATCH("FINO Payments Bank BC Point|"&amp;$A43,MASTER_DATABASE!$BH$4:$BH$1000,0),"")</f>
        <v/>
      </c>
      <c r="C43" s="11" t="str">
        <f aca="false">IF($B43="","",INDEX(MASTER_DATABASE!$A$4:$A$1000,$B43)&amp;"")</f>
        <v/>
      </c>
      <c r="D43" s="7" t="str">
        <f aca="false">IF($B43="","",INDEX(MASTER_DATABASE!$D$4:$D$1000,$B43)&amp;"")</f>
        <v/>
      </c>
      <c r="E43" s="7" t="str">
        <f aca="false">IF($B43="","",INDEX(MASTER_DATABASE!$E$4:$E$1000,$B43)&amp;"")</f>
        <v/>
      </c>
      <c r="F43" s="7" t="str">
        <f aca="false">IF($B43="","",INDEX(MASTER_DATABASE!$F$4:$F$1000,$B43)&amp;"")</f>
        <v/>
      </c>
      <c r="G43" s="11" t="str">
        <f aca="false">IF($B43="","",INDEX(MASTER_DATABASE!$I$4:$I$1000,$B43)&amp;"")</f>
        <v/>
      </c>
      <c r="H43" s="7" t="str">
        <f aca="false">IF($B43="","",INDEX(MASTER_DATABASE!$L$4:$L$1000,$B43)&amp;"")</f>
        <v/>
      </c>
      <c r="I43" s="9" t="str">
        <f aca="false">IF($B43="","",INDEX(MASTER_DATABASE!$R$4:$R$1000,$B43))</f>
        <v/>
      </c>
      <c r="J43" s="9" t="str">
        <f aca="false">IF($B43="","",INDEX(MASTER_DATABASE!$S$4:$S$1000,$B43))</f>
        <v/>
      </c>
      <c r="K43" s="9" t="str">
        <f aca="false">IF($B43="","",INDEX(MASTER_DATABASE!$T$4:$T$1000,$B43))</f>
        <v/>
      </c>
      <c r="L43" s="7" t="str">
        <f aca="false">IF($B43="","",INDEX(MASTER_DATABASE!$U$4:$U$1000,$B43)&amp;"")</f>
        <v/>
      </c>
      <c r="M43" s="7" t="str">
        <f aca="false">IF($B43="","",INDEX(MASTER_DATABASE!$Q$4:$Q$1000,$B43)&amp;"")</f>
        <v/>
      </c>
      <c r="N43" s="7" t="str">
        <f aca="false">IF($B43="","",INDEX(MASTER_DATABASE!$AG$4:$AG$1000,$B43)&amp;"")</f>
        <v/>
      </c>
      <c r="O43" s="11" t="str">
        <f aca="false">IF($B43="","",INDEX(MASTER_DATABASE!$AH$4:$AH$1000,$B43)&amp;"")</f>
        <v/>
      </c>
      <c r="P43" s="11" t="str">
        <f aca="false">IF($B43="","",INDEX(MASTER_DATABASE!$BE$4:$BE$1000,$B43)&amp;"")</f>
        <v/>
      </c>
      <c r="Q43" s="7" t="str">
        <f aca="false">IF($B43="","",INDEX(MASTER_DATABASE!$AV$4:$AV$1000,$B43)&amp;"")</f>
        <v/>
      </c>
    </row>
  </sheetData>
  <conditionalFormatting sqref="G4:G43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43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43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3686</v>
      </c>
    </row>
    <row r="2" customFormat="false" ht="15" hidden="false" customHeight="false" outlineLevel="0" collapsed="false">
      <c r="A2" s="2" t="s">
        <v>3687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23.85" hidden="false" customHeight="false" outlineLevel="0" collapsed="false">
      <c r="A4" s="11" t="n">
        <v>1</v>
      </c>
      <c r="B4" s="11" t="n">
        <f aca="false">IFERROR(MATCH("BASUDHA Kendra|"&amp;$A4,MASTER_DATABASE!$BH$4:$BH$1000,0),"")</f>
        <v>79</v>
      </c>
      <c r="C4" s="11" t="str">
        <f aca="false">IF($B4="","",INDEX(MASTER_DATABASE!$A$4:$A$1000,$B4)&amp;"")</f>
        <v>BAS-001</v>
      </c>
      <c r="D4" s="7" t="str">
        <f aca="false">IF($B4="","",INDEX(MASTER_DATABASE!$D$4:$D$1000,$B4)&amp;"")</f>
        <v>Certificates</v>
      </c>
      <c r="E4" s="7" t="str">
        <f aca="false">IF($B4="","",INDEX(MASTER_DATABASE!$E$4:$E$1000,$B4)&amp;"")</f>
        <v>Income Certificate – Application</v>
      </c>
      <c r="F4" s="7" t="str">
        <f aca="false">IF($B4="","",INDEX(MASTER_DATABASE!$F$4:$F$1000,$B4)&amp;"")</f>
        <v>आय प्रमाण पत्र – आवेदन</v>
      </c>
      <c r="G4" s="11" t="str">
        <f aca="false">IF($B4="","",INDEX(MASTER_DATABASE!$I$4:$I$1000,$B4)&amp;"")</f>
        <v>Portal Dependent</v>
      </c>
      <c r="H4" s="7" t="str">
        <f aca="false">IF($B4="","",INDEX(MASTER_DATABASE!$L$4:$L$1000,$B4)&amp;"")</f>
        <v>Portal Dependent</v>
      </c>
      <c r="I4" s="9" t="str">
        <f aca="false">IF($B4="","",INDEX(MASTER_DATABASE!$R$4:$R$1000,$B4))</f>
        <v>To Verify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To Verify</v>
      </c>
      <c r="M4" s="7" t="str">
        <f aca="false">IF($B4="","",INDEX(MASTER_DATABASE!$Q$4:$Q$1000,$B4)&amp;"")</f>
        <v>Depends on Department</v>
      </c>
      <c r="N4" s="7" t="str">
        <f aca="false">IF($B4="","",INDEX(MASTER_DATABASE!$AG$4:$AG$1000,$B4)&amp;"")</f>
        <v>To Verify</v>
      </c>
      <c r="O4" s="11" t="str">
        <f aca="false">IF($B4="","",INDEX(MASTER_DATABASE!$AH$4:$AH$1000,$B4)&amp;"")</f>
        <v>No</v>
      </c>
      <c r="P4" s="11" t="str">
        <f aca="false">IF($B4="","",INDEX(MASTER_DATABASE!$BE$4:$BE$1000,$B4)&amp;"")</f>
        <v>HIDDEN</v>
      </c>
      <c r="Q4" s="7" t="str">
        <f aca="false">IF($B4="","",INDEX(MASTER_DATABASE!$AV$4:$AV$1000,$B4)&amp;"")</f>
        <v>To Verify</v>
      </c>
    </row>
    <row r="5" customFormat="false" ht="23.85" hidden="false" customHeight="false" outlineLevel="0" collapsed="false">
      <c r="A5" s="11" t="n">
        <v>2</v>
      </c>
      <c r="B5" s="11" t="n">
        <f aca="false">IFERROR(MATCH("BASUDHA Kendra|"&amp;$A5,MASTER_DATABASE!$BH$4:$BH$1000,0),"")</f>
        <v>80</v>
      </c>
      <c r="C5" s="11" t="str">
        <f aca="false">IF($B5="","",INDEX(MASTER_DATABASE!$A$4:$A$1000,$B5)&amp;"")</f>
        <v>BAS-002</v>
      </c>
      <c r="D5" s="7" t="str">
        <f aca="false">IF($B5="","",INDEX(MASTER_DATABASE!$D$4:$D$1000,$B5)&amp;"")</f>
        <v>Certificates</v>
      </c>
      <c r="E5" s="7" t="str">
        <f aca="false">IF($B5="","",INDEX(MASTER_DATABASE!$E$4:$E$1000,$B5)&amp;"")</f>
        <v>Caste Certificate – Application</v>
      </c>
      <c r="F5" s="7" t="str">
        <f aca="false">IF($B5="","",INDEX(MASTER_DATABASE!$F$4:$F$1000,$B5)&amp;"")</f>
        <v>जाति प्रमाण पत्र – आवेदन</v>
      </c>
      <c r="G5" s="11" t="str">
        <f aca="false">IF($B5="","",INDEX(MASTER_DATABASE!$I$4:$I$1000,$B5)&amp;"")</f>
        <v>Portal Dependent</v>
      </c>
      <c r="H5" s="7" t="str">
        <f aca="false">IF($B5="","",INDEX(MASTER_DATABASE!$L$4:$L$1000,$B5)&amp;"")</f>
        <v>Portal Dependent</v>
      </c>
      <c r="I5" s="9" t="str">
        <f aca="false">IF($B5="","",INDEX(MASTER_DATABASE!$R$4:$R$1000,$B5))</f>
        <v>To Verify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To Verify</v>
      </c>
      <c r="M5" s="7" t="str">
        <f aca="false">IF($B5="","",INDEX(MASTER_DATABASE!$Q$4:$Q$1000,$B5)&amp;"")</f>
        <v>Depends on Department</v>
      </c>
      <c r="N5" s="7" t="str">
        <f aca="false">IF($B5="","",INDEX(MASTER_DATABASE!$AG$4:$AG$1000,$B5)&amp;"")</f>
        <v>To Verify</v>
      </c>
      <c r="O5" s="11" t="str">
        <f aca="false">IF($B5="","",INDEX(MASTER_DATABASE!$AH$4:$AH$1000,$B5)&amp;"")</f>
        <v>No</v>
      </c>
      <c r="P5" s="11" t="str">
        <f aca="false">IF($B5="","",INDEX(MASTER_DATABASE!$BE$4:$BE$1000,$B5)&amp;"")</f>
        <v>HIDDEN</v>
      </c>
      <c r="Q5" s="7" t="str">
        <f aca="false">IF($B5="","",INDEX(MASTER_DATABASE!$AV$4:$AV$1000,$B5)&amp;"")</f>
        <v>To Verify</v>
      </c>
    </row>
    <row r="6" customFormat="false" ht="23.85" hidden="false" customHeight="false" outlineLevel="0" collapsed="false">
      <c r="A6" s="11" t="n">
        <v>3</v>
      </c>
      <c r="B6" s="11" t="n">
        <f aca="false">IFERROR(MATCH("BASUDHA Kendra|"&amp;$A6,MASTER_DATABASE!$BH$4:$BH$1000,0),"")</f>
        <v>81</v>
      </c>
      <c r="C6" s="11" t="str">
        <f aca="false">IF($B6="","",INDEX(MASTER_DATABASE!$A$4:$A$1000,$B6)&amp;"")</f>
        <v>BAS-003</v>
      </c>
      <c r="D6" s="7" t="str">
        <f aca="false">IF($B6="","",INDEX(MASTER_DATABASE!$D$4:$D$1000,$B6)&amp;"")</f>
        <v>Certificates</v>
      </c>
      <c r="E6" s="7" t="str">
        <f aca="false">IF($B6="","",INDEX(MASTER_DATABASE!$E$4:$E$1000,$B6)&amp;"")</f>
        <v>Residence Certificate – Application</v>
      </c>
      <c r="F6" s="7" t="str">
        <f aca="false">IF($B6="","",INDEX(MASTER_DATABASE!$F$4:$F$1000,$B6)&amp;"")</f>
        <v>निवास प्रमाण पत्र – आवेदन</v>
      </c>
      <c r="G6" s="11" t="str">
        <f aca="false">IF($B6="","",INDEX(MASTER_DATABASE!$I$4:$I$1000,$B6)&amp;"")</f>
        <v>Portal Dependent</v>
      </c>
      <c r="H6" s="7" t="str">
        <f aca="false">IF($B6="","",INDEX(MASTER_DATABASE!$L$4:$L$1000,$B6)&amp;"")</f>
        <v>Portal Dependent</v>
      </c>
      <c r="I6" s="9" t="str">
        <f aca="false">IF($B6="","",INDEX(MASTER_DATABASE!$R$4:$R$1000,$B6))</f>
        <v>To Verify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To Verify</v>
      </c>
      <c r="M6" s="7" t="str">
        <f aca="false">IF($B6="","",INDEX(MASTER_DATABASE!$Q$4:$Q$1000,$B6)&amp;"")</f>
        <v>Depends on Department</v>
      </c>
      <c r="N6" s="7" t="str">
        <f aca="false">IF($B6="","",INDEX(MASTER_DATABASE!$AG$4:$AG$1000,$B6)&amp;"")</f>
        <v>To Verify</v>
      </c>
      <c r="O6" s="11" t="str">
        <f aca="false">IF($B6="","",INDEX(MASTER_DATABASE!$AH$4:$AH$1000,$B6)&amp;"")</f>
        <v>No</v>
      </c>
      <c r="P6" s="11" t="str">
        <f aca="false">IF($B6="","",INDEX(MASTER_DATABASE!$BE$4:$BE$1000,$B6)&amp;"")</f>
        <v>HIDDEN</v>
      </c>
      <c r="Q6" s="7" t="str">
        <f aca="false">IF($B6="","",INDEX(MASTER_DATABASE!$AV$4:$AV$1000,$B6)&amp;"")</f>
        <v>To Verify</v>
      </c>
    </row>
    <row r="7" customFormat="false" ht="23.85" hidden="false" customHeight="false" outlineLevel="0" collapsed="false">
      <c r="A7" s="11" t="n">
        <v>4</v>
      </c>
      <c r="B7" s="11" t="n">
        <f aca="false">IFERROR(MATCH("BASUDHA Kendra|"&amp;$A7,MASTER_DATABASE!$BH$4:$BH$1000,0),"")</f>
        <v>82</v>
      </c>
      <c r="C7" s="11" t="str">
        <f aca="false">IF($B7="","",INDEX(MASTER_DATABASE!$A$4:$A$1000,$B7)&amp;"")</f>
        <v>BAS-004</v>
      </c>
      <c r="D7" s="7" t="str">
        <f aca="false">IF($B7="","",INDEX(MASTER_DATABASE!$D$4:$D$1000,$B7)&amp;"")</f>
        <v>Certificates</v>
      </c>
      <c r="E7" s="7" t="str">
        <f aca="false">IF($B7="","",INDEX(MASTER_DATABASE!$E$4:$E$1000,$B7)&amp;"")</f>
        <v>EWS Certificate – Application</v>
      </c>
      <c r="F7" s="7" t="str">
        <f aca="false">IF($B7="","",INDEX(MASTER_DATABASE!$F$4:$F$1000,$B7)&amp;"")</f>
        <v>EWS प्रमाण पत्र – आवेदन</v>
      </c>
      <c r="G7" s="11" t="str">
        <f aca="false">IF($B7="","",INDEX(MASTER_DATABASE!$I$4:$I$1000,$B7)&amp;"")</f>
        <v>Portal Dependent</v>
      </c>
      <c r="H7" s="7" t="str">
        <f aca="false">IF($B7="","",INDEX(MASTER_DATABASE!$L$4:$L$1000,$B7)&amp;"")</f>
        <v>Portal Dependent</v>
      </c>
      <c r="I7" s="9" t="str">
        <f aca="false">IF($B7="","",INDEX(MASTER_DATABASE!$R$4:$R$1000,$B7))</f>
        <v>To Verify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To Verify</v>
      </c>
      <c r="M7" s="7" t="str">
        <f aca="false">IF($B7="","",INDEX(MASTER_DATABASE!$Q$4:$Q$1000,$B7)&amp;"")</f>
        <v>Depends on Department</v>
      </c>
      <c r="N7" s="7" t="str">
        <f aca="false">IF($B7="","",INDEX(MASTER_DATABASE!$AG$4:$AG$1000,$B7)&amp;"")</f>
        <v>To Verify</v>
      </c>
      <c r="O7" s="11" t="str">
        <f aca="false">IF($B7="","",INDEX(MASTER_DATABASE!$AH$4:$AH$1000,$B7)&amp;"")</f>
        <v>No</v>
      </c>
      <c r="P7" s="11" t="str">
        <f aca="false">IF($B7="","",INDEX(MASTER_DATABASE!$BE$4:$BE$1000,$B7)&amp;"")</f>
        <v>HIDDEN</v>
      </c>
      <c r="Q7" s="7" t="str">
        <f aca="false">IF($B7="","",INDEX(MASTER_DATABASE!$AV$4:$AV$1000,$B7)&amp;"")</f>
        <v>To Verify</v>
      </c>
    </row>
    <row r="8" customFormat="false" ht="23.85" hidden="false" customHeight="false" outlineLevel="0" collapsed="false">
      <c r="A8" s="11" t="n">
        <v>5</v>
      </c>
      <c r="B8" s="11" t="n">
        <f aca="false">IFERROR(MATCH("BASUDHA Kendra|"&amp;$A8,MASTER_DATABASE!$BH$4:$BH$1000,0),"")</f>
        <v>83</v>
      </c>
      <c r="C8" s="11" t="str">
        <f aca="false">IF($B8="","",INDEX(MASTER_DATABASE!$A$4:$A$1000,$B8)&amp;"")</f>
        <v>BAS-005</v>
      </c>
      <c r="D8" s="7" t="str">
        <f aca="false">IF($B8="","",INDEX(MASTER_DATABASE!$D$4:$D$1000,$B8)&amp;"")</f>
        <v>Certificates</v>
      </c>
      <c r="E8" s="7" t="str">
        <f aca="false">IF($B8="","",INDEX(MASTER_DATABASE!$E$4:$E$1000,$B8)&amp;"")</f>
        <v>Non-Creamy Layer (OBC / EBC) Certificate – Application</v>
      </c>
      <c r="F8" s="7" t="str">
        <f aca="false">IF($B8="","",INDEX(MASTER_DATABASE!$F$4:$F$1000,$B8)&amp;"")</f>
        <v>नॉन-क्रीमी लेयर (OBC / EBC) प्रमाण पत्र – आवेदन</v>
      </c>
      <c r="G8" s="11" t="str">
        <f aca="false">IF($B8="","",INDEX(MASTER_DATABASE!$I$4:$I$1000,$B8)&amp;"")</f>
        <v>Portal Dependent</v>
      </c>
      <c r="H8" s="7" t="str">
        <f aca="false">IF($B8="","",INDEX(MASTER_DATABASE!$L$4:$L$1000,$B8)&amp;"")</f>
        <v>Portal Dependent</v>
      </c>
      <c r="I8" s="9" t="str">
        <f aca="false">IF($B8="","",INDEX(MASTER_DATABASE!$R$4:$R$1000,$B8))</f>
        <v>To Verify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To Verify</v>
      </c>
      <c r="M8" s="7" t="str">
        <f aca="false">IF($B8="","",INDEX(MASTER_DATABASE!$Q$4:$Q$1000,$B8)&amp;"")</f>
        <v>Depends on Department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23.85" hidden="false" customHeight="false" outlineLevel="0" collapsed="false">
      <c r="A9" s="11" t="n">
        <v>6</v>
      </c>
      <c r="B9" s="11" t="n">
        <f aca="false">IFERROR(MATCH("BASUDHA Kendra|"&amp;$A9,MASTER_DATABASE!$BH$4:$BH$1000,0),"")</f>
        <v>84</v>
      </c>
      <c r="C9" s="11" t="str">
        <f aca="false">IF($B9="","",INDEX(MASTER_DATABASE!$A$4:$A$1000,$B9)&amp;"")</f>
        <v>BAS-006</v>
      </c>
      <c r="D9" s="7" t="str">
        <f aca="false">IF($B9="","",INDEX(MASTER_DATABASE!$D$4:$D$1000,$B9)&amp;"")</f>
        <v>Certificates</v>
      </c>
      <c r="E9" s="7" t="str">
        <f aca="false">IF($B9="","",INDEX(MASTER_DATABASE!$E$4:$E$1000,$B9)&amp;"")</f>
        <v>Birth Certificate – Application</v>
      </c>
      <c r="F9" s="7" t="str">
        <f aca="false">IF($B9="","",INDEX(MASTER_DATABASE!$F$4:$F$1000,$B9)&amp;"")</f>
        <v>जन्म प्रमाण पत्र – आवेदन</v>
      </c>
      <c r="G9" s="11" t="str">
        <f aca="false">IF($B9="","",INDEX(MASTER_DATABASE!$I$4:$I$1000,$B9)&amp;"")</f>
        <v>To Verify</v>
      </c>
      <c r="H9" s="7" t="str">
        <f aca="false">IF($B9="","",INDEX(MASTER_DATABASE!$L$4:$L$1000,$B9)&amp;"")</f>
        <v>To Verify</v>
      </c>
      <c r="I9" s="9" t="str">
        <f aca="false">IF($B9="","",INDEX(MASTER_DATABASE!$R$4:$R$1000,$B9))</f>
        <v>To Verify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To Verify</v>
      </c>
      <c r="M9" s="7" t="str">
        <f aca="false">IF($B9="","",INDEX(MASTER_DATABASE!$Q$4:$Q$1000,$B9)&amp;"")</f>
        <v>Depends on Department</v>
      </c>
      <c r="N9" s="7" t="str">
        <f aca="false">IF($B9="","",INDEX(MASTER_DATABASE!$AG$4:$AG$1000,$B9)&amp;"")</f>
        <v>To Verify</v>
      </c>
      <c r="O9" s="11" t="str">
        <f aca="false">IF($B9="","",INDEX(MASTER_DATABASE!$AH$4:$AH$1000,$B9)&amp;"")</f>
        <v>No</v>
      </c>
      <c r="P9" s="11" t="str">
        <f aca="false">IF($B9="","",INDEX(MASTER_DATABASE!$BE$4:$BE$1000,$B9)&amp;"")</f>
        <v>HIDDEN</v>
      </c>
      <c r="Q9" s="7" t="str">
        <f aca="false">IF($B9="","",INDEX(MASTER_DATABASE!$AV$4:$AV$1000,$B9)&amp;"")</f>
        <v>To Verify</v>
      </c>
    </row>
    <row r="10" customFormat="false" ht="23.85" hidden="false" customHeight="false" outlineLevel="0" collapsed="false">
      <c r="A10" s="11" t="n">
        <v>7</v>
      </c>
      <c r="B10" s="11" t="n">
        <f aca="false">IFERROR(MATCH("BASUDHA Kendra|"&amp;$A10,MASTER_DATABASE!$BH$4:$BH$1000,0),"")</f>
        <v>85</v>
      </c>
      <c r="C10" s="11" t="str">
        <f aca="false">IF($B10="","",INDEX(MASTER_DATABASE!$A$4:$A$1000,$B10)&amp;"")</f>
        <v>BAS-007</v>
      </c>
      <c r="D10" s="7" t="str">
        <f aca="false">IF($B10="","",INDEX(MASTER_DATABASE!$D$4:$D$1000,$B10)&amp;"")</f>
        <v>Certificates</v>
      </c>
      <c r="E10" s="7" t="str">
        <f aca="false">IF($B10="","",INDEX(MASTER_DATABASE!$E$4:$E$1000,$B10)&amp;"")</f>
        <v>Death Certificate – Application</v>
      </c>
      <c r="F10" s="7" t="str">
        <f aca="false">IF($B10="","",INDEX(MASTER_DATABASE!$F$4:$F$1000,$B10)&amp;"")</f>
        <v>मृत्यु प्रमाण पत्र – आवेदन</v>
      </c>
      <c r="G10" s="11" t="str">
        <f aca="false">IF($B10="","",INDEX(MASTER_DATABASE!$I$4:$I$1000,$B10)&amp;"")</f>
        <v>To Verify</v>
      </c>
      <c r="H10" s="7" t="str">
        <f aca="false">IF($B10="","",INDEX(MASTER_DATABASE!$L$4:$L$1000,$B10)&amp;"")</f>
        <v>To Verify</v>
      </c>
      <c r="I10" s="9" t="str">
        <f aca="false">IF($B10="","",INDEX(MASTER_DATABASE!$R$4:$R$1000,$B10))</f>
        <v>To Verify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To Verify</v>
      </c>
      <c r="M10" s="7" t="str">
        <f aca="false">IF($B10="","",INDEX(MASTER_DATABASE!$Q$4:$Q$1000,$B10)&amp;"")</f>
        <v>Depends on Department</v>
      </c>
      <c r="N10" s="7" t="str">
        <f aca="false">IF($B10="","",INDEX(MASTER_DATABASE!$AG$4:$AG$1000,$B10)&amp;"")</f>
        <v>To Verify</v>
      </c>
      <c r="O10" s="11" t="str">
        <f aca="false">IF($B10="","",INDEX(MASTER_DATABASE!$AH$4:$AH$1000,$B10)&amp;"")</f>
        <v>No</v>
      </c>
      <c r="P10" s="11" t="str">
        <f aca="false">IF($B10="","",INDEX(MASTER_DATABASE!$BE$4:$BE$1000,$B10)&amp;"")</f>
        <v>HIDDEN</v>
      </c>
      <c r="Q10" s="7" t="str">
        <f aca="false">IF($B10="","",INDEX(MASTER_DATABASE!$AV$4:$AV$1000,$B10)&amp;"")</f>
        <v>To Verify</v>
      </c>
    </row>
    <row r="11" customFormat="false" ht="23.85" hidden="false" customHeight="false" outlineLevel="0" collapsed="false">
      <c r="A11" s="11" t="n">
        <v>8</v>
      </c>
      <c r="B11" s="11" t="n">
        <f aca="false">IFERROR(MATCH("BASUDHA Kendra|"&amp;$A11,MASTER_DATABASE!$BH$4:$BH$1000,0),"")</f>
        <v>86</v>
      </c>
      <c r="C11" s="11" t="str">
        <f aca="false">IF($B11="","",INDEX(MASTER_DATABASE!$A$4:$A$1000,$B11)&amp;"")</f>
        <v>BAS-008</v>
      </c>
      <c r="D11" s="7" t="str">
        <f aca="false">IF($B11="","",INDEX(MASTER_DATABASE!$D$4:$D$1000,$B11)&amp;"")</f>
        <v>Certificates</v>
      </c>
      <c r="E11" s="7" t="str">
        <f aca="false">IF($B11="","",INDEX(MASTER_DATABASE!$E$4:$E$1000,$B11)&amp;"")</f>
        <v>Marriage Registration / Certificate – Application</v>
      </c>
      <c r="F11" s="7" t="str">
        <f aca="false">IF($B11="","",INDEX(MASTER_DATABASE!$F$4:$F$1000,$B11)&amp;"")</f>
        <v>विवाह पंजीकरण / प्रमाण पत्र – आवेदन</v>
      </c>
      <c r="G11" s="11" t="str">
        <f aca="false">IF($B11="","",INDEX(MASTER_DATABASE!$I$4:$I$1000,$B11)&amp;"")</f>
        <v>To Verify</v>
      </c>
      <c r="H11" s="7" t="str">
        <f aca="false">IF($B11="","",INDEX(MASTER_DATABASE!$L$4:$L$1000,$B11)&amp;"")</f>
        <v>To Verify</v>
      </c>
      <c r="I11" s="9" t="str">
        <f aca="false">IF($B11="","",INDEX(MASTER_DATABASE!$R$4:$R$1000,$B11))</f>
        <v>To Verify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To Verify</v>
      </c>
      <c r="M11" s="7" t="str">
        <f aca="false">IF($B11="","",INDEX(MASTER_DATABASE!$Q$4:$Q$1000,$B11)&amp;"")</f>
        <v>Depends on Department</v>
      </c>
      <c r="N11" s="7" t="str">
        <f aca="false">IF($B11="","",INDEX(MASTER_DATABASE!$AG$4:$AG$1000,$B11)&amp;"")</f>
        <v>To Verify</v>
      </c>
      <c r="O11" s="11" t="str">
        <f aca="false">IF($B11="","",INDEX(MASTER_DATABASE!$AH$4:$AH$1000,$B11)&amp;"")</f>
        <v>No</v>
      </c>
      <c r="P11" s="11" t="str">
        <f aca="false">IF($B11="","",INDEX(MASTER_DATABASE!$BE$4:$BE$1000,$B11)&amp;"")</f>
        <v>HIDDEN</v>
      </c>
      <c r="Q11" s="7" t="str">
        <f aca="false">IF($B11="","",INDEX(MASTER_DATABASE!$AV$4:$AV$1000,$B11)&amp;"")</f>
        <v>To Verify</v>
      </c>
    </row>
    <row r="12" customFormat="false" ht="23.85" hidden="false" customHeight="false" outlineLevel="0" collapsed="false">
      <c r="A12" s="11" t="n">
        <v>9</v>
      </c>
      <c r="B12" s="11" t="n">
        <f aca="false">IFERROR(MATCH("BASUDHA Kendra|"&amp;$A12,MASTER_DATABASE!$BH$4:$BH$1000,0),"")</f>
        <v>87</v>
      </c>
      <c r="C12" s="11" t="str">
        <f aca="false">IF($B12="","",INDEX(MASTER_DATABASE!$A$4:$A$1000,$B12)&amp;"")</f>
        <v>BAS-009</v>
      </c>
      <c r="D12" s="7" t="str">
        <f aca="false">IF($B12="","",INDEX(MASTER_DATABASE!$D$4:$D$1000,$B12)&amp;"")</f>
        <v>Certificates</v>
      </c>
      <c r="E12" s="7" t="str">
        <f aca="false">IF($B12="","",INDEX(MASTER_DATABASE!$E$4:$E$1000,$B12)&amp;"")</f>
        <v>Character Certificate – Application</v>
      </c>
      <c r="F12" s="7" t="str">
        <f aca="false">IF($B12="","",INDEX(MASTER_DATABASE!$F$4:$F$1000,$B12)&amp;"")</f>
        <v>चरित्र प्रमाण पत्र – आवेदन</v>
      </c>
      <c r="G12" s="11" t="str">
        <f aca="false">IF($B12="","",INDEX(MASTER_DATABASE!$I$4:$I$1000,$B12)&amp;"")</f>
        <v>To Verify</v>
      </c>
      <c r="H12" s="7" t="str">
        <f aca="false">IF($B12="","",INDEX(MASTER_DATABASE!$L$4:$L$1000,$B12)&amp;"")</f>
        <v>To Verify</v>
      </c>
      <c r="I12" s="9" t="str">
        <f aca="false">IF($B12="","",INDEX(MASTER_DATABASE!$R$4:$R$1000,$B12))</f>
        <v>To Verify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To Verify</v>
      </c>
      <c r="M12" s="7" t="str">
        <f aca="false">IF($B12="","",INDEX(MASTER_DATABASE!$Q$4:$Q$1000,$B12)&amp;"")</f>
        <v>Depends on Department</v>
      </c>
      <c r="N12" s="7" t="str">
        <f aca="false">IF($B12="","",INDEX(MASTER_DATABASE!$AG$4:$AG$1000,$B12)&amp;"")</f>
        <v>To Verify</v>
      </c>
      <c r="O12" s="11" t="str">
        <f aca="false">IF($B12="","",INDEX(MASTER_DATABASE!$AH$4:$AH$1000,$B12)&amp;"")</f>
        <v>No</v>
      </c>
      <c r="P12" s="11" t="str">
        <f aca="false">IF($B12="","",INDEX(MASTER_DATABASE!$BE$4:$BE$1000,$B12)&amp;"")</f>
        <v>HIDDEN</v>
      </c>
      <c r="Q12" s="7" t="str">
        <f aca="false">IF($B12="","",INDEX(MASTER_DATABASE!$AV$4:$AV$1000,$B12)&amp;"")</f>
        <v>To Verify</v>
      </c>
    </row>
    <row r="13" customFormat="false" ht="23.85" hidden="false" customHeight="false" outlineLevel="0" collapsed="false">
      <c r="A13" s="11" t="n">
        <v>10</v>
      </c>
      <c r="B13" s="11" t="n">
        <f aca="false">IFERROR(MATCH("BASUDHA Kendra|"&amp;$A13,MASTER_DATABASE!$BH$4:$BH$1000,0),"")</f>
        <v>88</v>
      </c>
      <c r="C13" s="11" t="str">
        <f aca="false">IF($B13="","",INDEX(MASTER_DATABASE!$A$4:$A$1000,$B13)&amp;"")</f>
        <v>BAS-010</v>
      </c>
      <c r="D13" s="7" t="str">
        <f aca="false">IF($B13="","",INDEX(MASTER_DATABASE!$D$4:$D$1000,$B13)&amp;"")</f>
        <v>Certificates</v>
      </c>
      <c r="E13" s="7" t="str">
        <f aca="false">IF($B13="","",INDEX(MASTER_DATABASE!$E$4:$E$1000,$B13)&amp;"")</f>
        <v>Certificate Correction / Re-application Assistance</v>
      </c>
      <c r="F13" s="7" t="str">
        <f aca="false">IF($B13="","",INDEX(MASTER_DATABASE!$F$4:$F$1000,$B13)&amp;"")</f>
        <v>प्रमाण पत्र सुधार / पुनः आवेदन सहायता</v>
      </c>
      <c r="G13" s="11" t="str">
        <f aca="false">IF($B13="","",INDEX(MASTER_DATABASE!$I$4:$I$1000,$B13)&amp;"")</f>
        <v>To Verify</v>
      </c>
      <c r="H13" s="7" t="str">
        <f aca="false">IF($B13="","",INDEX(MASTER_DATABASE!$L$4:$L$1000,$B13)&amp;"")</f>
        <v>To Verify</v>
      </c>
      <c r="I13" s="9" t="str">
        <f aca="false">IF($B13="","",INDEX(MASTER_DATABASE!$R$4:$R$1000,$B13))</f>
        <v>To Verify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To Verify</v>
      </c>
      <c r="M13" s="7" t="str">
        <f aca="false">IF($B13="","",INDEX(MASTER_DATABASE!$Q$4:$Q$1000,$B13)&amp;"")</f>
        <v>Depends on Department</v>
      </c>
      <c r="N13" s="7" t="str">
        <f aca="false">IF($B13="","",INDEX(MASTER_DATABASE!$AG$4:$AG$1000,$B13)&amp;"")</f>
        <v>To Verify</v>
      </c>
      <c r="O13" s="11" t="str">
        <f aca="false">IF($B13="","",INDEX(MASTER_DATABASE!$AH$4:$AH$1000,$B13)&amp;"")</f>
        <v>No</v>
      </c>
      <c r="P13" s="11" t="str">
        <f aca="false">IF($B13="","",INDEX(MASTER_DATABASE!$BE$4:$BE$1000,$B13)&amp;"")</f>
        <v>HIDDEN</v>
      </c>
      <c r="Q13" s="7" t="str">
        <f aca="false">IF($B13="","",INDEX(MASTER_DATABASE!$AV$4:$AV$1000,$B13)&amp;"")</f>
        <v>To Verify</v>
      </c>
    </row>
    <row r="14" customFormat="false" ht="15" hidden="false" customHeight="false" outlineLevel="0" collapsed="false">
      <c r="A14" s="11" t="n">
        <v>11</v>
      </c>
      <c r="B14" s="11" t="n">
        <f aca="false">IFERROR(MATCH("BASUDHA Kendra|"&amp;$A14,MASTER_DATABASE!$BH$4:$BH$1000,0),"")</f>
        <v>89</v>
      </c>
      <c r="C14" s="11" t="str">
        <f aca="false">IF($B14="","",INDEX(MASTER_DATABASE!$A$4:$A$1000,$B14)&amp;"")</f>
        <v>BAS-011</v>
      </c>
      <c r="D14" s="7" t="str">
        <f aca="false">IF($B14="","",INDEX(MASTER_DATABASE!$D$4:$D$1000,$B14)&amp;"")</f>
        <v>Certificates</v>
      </c>
      <c r="E14" s="7" t="str">
        <f aca="false">IF($B14="","",INDEX(MASTER_DATABASE!$E$4:$E$1000,$B14)&amp;"")</f>
        <v>Certificate Download</v>
      </c>
      <c r="F14" s="7" t="str">
        <f aca="false">IF($B14="","",INDEX(MASTER_DATABASE!$F$4:$F$1000,$B14)&amp;"")</f>
        <v>प्रमाण पत्र डाउनलोड</v>
      </c>
      <c r="G14" s="11" t="str">
        <f aca="false">IF($B14="","",INDEX(MASTER_DATABASE!$I$4:$I$1000,$B14)&amp;"")</f>
        <v>Portal Dependent</v>
      </c>
      <c r="H14" s="7" t="str">
        <f aca="false">IF($B14="","",INDEX(MASTER_DATABASE!$L$4:$L$1000,$B14)&amp;"")</f>
        <v>Portal Dependent</v>
      </c>
      <c r="I14" s="9" t="str">
        <f aca="false">IF($B14="","",INDEX(MASTER_DATABASE!$R$4:$R$1000,$B14))</f>
        <v>To Verify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To Verify</v>
      </c>
      <c r="M14" s="7" t="str">
        <f aca="false">IF($B14="","",INDEX(MASTER_DATABASE!$Q$4:$Q$1000,$B14)&amp;"")</f>
        <v>15–30 Minutes</v>
      </c>
      <c r="N14" s="7" t="str">
        <f aca="false">IF($B14="","",INDEX(MASTER_DATABASE!$AG$4:$AG$1000,$B14)&amp;"")</f>
        <v>To Verify</v>
      </c>
      <c r="O14" s="11" t="str">
        <f aca="false">IF($B14="","",INDEX(MASTER_DATABASE!$AH$4:$AH$1000,$B14)&amp;"")</f>
        <v>No</v>
      </c>
      <c r="P14" s="11" t="str">
        <f aca="false">IF($B14="","",INDEX(MASTER_DATABASE!$BE$4:$BE$1000,$B14)&amp;"")</f>
        <v>HIDDEN</v>
      </c>
      <c r="Q14" s="7" t="str">
        <f aca="false">IF($B14="","",INDEX(MASTER_DATABASE!$AV$4:$AV$1000,$B14)&amp;"")</f>
        <v>To Verify</v>
      </c>
    </row>
    <row r="15" customFormat="false" ht="15" hidden="false" customHeight="false" outlineLevel="0" collapsed="false">
      <c r="A15" s="11" t="n">
        <v>12</v>
      </c>
      <c r="B15" s="11" t="n">
        <f aca="false">IFERROR(MATCH("BASUDHA Kendra|"&amp;$A15,MASTER_DATABASE!$BH$4:$BH$1000,0),"")</f>
        <v>90</v>
      </c>
      <c r="C15" s="11" t="str">
        <f aca="false">IF($B15="","",INDEX(MASTER_DATABASE!$A$4:$A$1000,$B15)&amp;"")</f>
        <v>BAS-012</v>
      </c>
      <c r="D15" s="7" t="str">
        <f aca="false">IF($B15="","",INDEX(MASTER_DATABASE!$D$4:$D$1000,$B15)&amp;"")</f>
        <v>Certificates</v>
      </c>
      <c r="E15" s="7" t="str">
        <f aca="false">IF($B15="","",INDEX(MASTER_DATABASE!$E$4:$E$1000,$B15)&amp;"")</f>
        <v>Certificate Print</v>
      </c>
      <c r="F15" s="7" t="str">
        <f aca="false">IF($B15="","",INDEX(MASTER_DATABASE!$F$4:$F$1000,$B15)&amp;"")</f>
        <v>प्रमाण पत्र प्रिंट</v>
      </c>
      <c r="G15" s="11" t="str">
        <f aca="false">IF($B15="","",INDEX(MASTER_DATABASE!$I$4:$I$1000,$B15)&amp;"")</f>
        <v>Portal Dependent</v>
      </c>
      <c r="H15" s="7" t="str">
        <f aca="false">IF($B15="","",INDEX(MASTER_DATABASE!$L$4:$L$1000,$B15)&amp;"")</f>
        <v>Portal Dependent</v>
      </c>
      <c r="I15" s="9" t="str">
        <f aca="false">IF($B15="","",INDEX(MASTER_DATABASE!$R$4:$R$1000,$B15))</f>
        <v>To Verify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To Verify</v>
      </c>
      <c r="M15" s="7" t="str">
        <f aca="false">IF($B15="","",INDEX(MASTER_DATABASE!$Q$4:$Q$1000,$B15)&amp;"")</f>
        <v>15–30 Minutes</v>
      </c>
      <c r="N15" s="7" t="str">
        <f aca="false">IF($B15="","",INDEX(MASTER_DATABASE!$AG$4:$AG$1000,$B15)&amp;"")</f>
        <v>To Verify</v>
      </c>
      <c r="O15" s="11" t="str">
        <f aca="false">IF($B15="","",INDEX(MASTER_DATABASE!$AH$4:$AH$1000,$B15)&amp;"")</f>
        <v>No</v>
      </c>
      <c r="P15" s="11" t="str">
        <f aca="false">IF($B15="","",INDEX(MASTER_DATABASE!$BE$4:$BE$1000,$B15)&amp;"")</f>
        <v>HIDDEN</v>
      </c>
      <c r="Q15" s="7" t="str">
        <f aca="false">IF($B15="","",INDEX(MASTER_DATABASE!$AV$4:$AV$1000,$B15)&amp;"")</f>
        <v>To Verify</v>
      </c>
    </row>
    <row r="16" customFormat="false" ht="23.85" hidden="false" customHeight="false" outlineLevel="0" collapsed="false">
      <c r="A16" s="11" t="n">
        <v>13</v>
      </c>
      <c r="B16" s="11" t="n">
        <f aca="false">IFERROR(MATCH("BASUDHA Kendra|"&amp;$A16,MASTER_DATABASE!$BH$4:$BH$1000,0),"")</f>
        <v>91</v>
      </c>
      <c r="C16" s="11" t="str">
        <f aca="false">IF($B16="","",INDEX(MASTER_DATABASE!$A$4:$A$1000,$B16)&amp;"")</f>
        <v>BAS-013</v>
      </c>
      <c r="D16" s="7" t="str">
        <f aca="false">IF($B16="","",INDEX(MASTER_DATABASE!$D$4:$D$1000,$B16)&amp;"")</f>
        <v>Government Scheme Applications</v>
      </c>
      <c r="E16" s="7" t="str">
        <f aca="false">IF($B16="","",INDEX(MASTER_DATABASE!$E$4:$E$1000,$B16)&amp;"")</f>
        <v>Old Age Pension – Application</v>
      </c>
      <c r="F16" s="7" t="str">
        <f aca="false">IF($B16="","",INDEX(MASTER_DATABASE!$F$4:$F$1000,$B16)&amp;"")</f>
        <v>वृद्धावस्था पेंशन – आवेदन</v>
      </c>
      <c r="G16" s="11" t="str">
        <f aca="false">IF($B16="","",INDEX(MASTER_DATABASE!$I$4:$I$1000,$B16)&amp;"")</f>
        <v>To Verify</v>
      </c>
      <c r="H16" s="7" t="str">
        <f aca="false">IF($B16="","",INDEX(MASTER_DATABASE!$L$4:$L$1000,$B16)&amp;"")</f>
        <v>To Verify</v>
      </c>
      <c r="I16" s="9" t="str">
        <f aca="false">IF($B16="","",INDEX(MASTER_DATABASE!$R$4:$R$1000,$B16))</f>
        <v>To Verify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To Verify</v>
      </c>
      <c r="M16" s="7" t="str">
        <f aca="false">IF($B16="","",INDEX(MASTER_DATABASE!$Q$4:$Q$1000,$B16)&amp;"")</f>
        <v>Depends on Department</v>
      </c>
      <c r="N16" s="7" t="str">
        <f aca="false">IF($B16="","",INDEX(MASTER_DATABASE!$AG$4:$AG$1000,$B16)&amp;"")</f>
        <v>To Verify</v>
      </c>
      <c r="O16" s="11" t="str">
        <f aca="false">IF($B16="","",INDEX(MASTER_DATABASE!$AH$4:$AH$1000,$B16)&amp;"")</f>
        <v>No</v>
      </c>
      <c r="P16" s="11" t="str">
        <f aca="false">IF($B16="","",INDEX(MASTER_DATABASE!$BE$4:$BE$1000,$B16)&amp;"")</f>
        <v>HIDDEN</v>
      </c>
      <c r="Q16" s="7" t="str">
        <f aca="false">IF($B16="","",INDEX(MASTER_DATABASE!$AV$4:$AV$1000,$B16)&amp;"")</f>
        <v>To Verify</v>
      </c>
    </row>
    <row r="17" customFormat="false" ht="23.85" hidden="false" customHeight="false" outlineLevel="0" collapsed="false">
      <c r="A17" s="11" t="n">
        <v>14</v>
      </c>
      <c r="B17" s="11" t="n">
        <f aca="false">IFERROR(MATCH("BASUDHA Kendra|"&amp;$A17,MASTER_DATABASE!$BH$4:$BH$1000,0),"")</f>
        <v>92</v>
      </c>
      <c r="C17" s="11" t="str">
        <f aca="false">IF($B17="","",INDEX(MASTER_DATABASE!$A$4:$A$1000,$B17)&amp;"")</f>
        <v>BAS-014</v>
      </c>
      <c r="D17" s="7" t="str">
        <f aca="false">IF($B17="","",INDEX(MASTER_DATABASE!$D$4:$D$1000,$B17)&amp;"")</f>
        <v>Government Scheme Applications</v>
      </c>
      <c r="E17" s="7" t="str">
        <f aca="false">IF($B17="","",INDEX(MASTER_DATABASE!$E$4:$E$1000,$B17)&amp;"")</f>
        <v>Widow Pension – Application</v>
      </c>
      <c r="F17" s="7" t="str">
        <f aca="false">IF($B17="","",INDEX(MASTER_DATABASE!$F$4:$F$1000,$B17)&amp;"")</f>
        <v>विधवा पेंशन – आवेदन</v>
      </c>
      <c r="G17" s="11" t="str">
        <f aca="false">IF($B17="","",INDEX(MASTER_DATABASE!$I$4:$I$1000,$B17)&amp;"")</f>
        <v>To Verify</v>
      </c>
      <c r="H17" s="7" t="str">
        <f aca="false">IF($B17="","",INDEX(MASTER_DATABASE!$L$4:$L$1000,$B17)&amp;"")</f>
        <v>To Verify</v>
      </c>
      <c r="I17" s="9" t="str">
        <f aca="false">IF($B17="","",INDEX(MASTER_DATABASE!$R$4:$R$1000,$B17))</f>
        <v>To Verify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To Verify</v>
      </c>
      <c r="M17" s="7" t="str">
        <f aca="false">IF($B17="","",INDEX(MASTER_DATABASE!$Q$4:$Q$1000,$B17)&amp;"")</f>
        <v>Depends on Department</v>
      </c>
      <c r="N17" s="7" t="str">
        <f aca="false">IF($B17="","",INDEX(MASTER_DATABASE!$AG$4:$AG$1000,$B17)&amp;"")</f>
        <v>To Verify</v>
      </c>
      <c r="O17" s="11" t="str">
        <f aca="false">IF($B17="","",INDEX(MASTER_DATABASE!$AH$4:$AH$1000,$B17)&amp;"")</f>
        <v>No</v>
      </c>
      <c r="P17" s="11" t="str">
        <f aca="false">IF($B17="","",INDEX(MASTER_DATABASE!$BE$4:$BE$1000,$B17)&amp;"")</f>
        <v>HIDDEN</v>
      </c>
      <c r="Q17" s="7" t="str">
        <f aca="false">IF($B17="","",INDEX(MASTER_DATABASE!$AV$4:$AV$1000,$B17)&amp;"")</f>
        <v>To Verify</v>
      </c>
    </row>
    <row r="18" customFormat="false" ht="23.85" hidden="false" customHeight="false" outlineLevel="0" collapsed="false">
      <c r="A18" s="11" t="n">
        <v>15</v>
      </c>
      <c r="B18" s="11" t="n">
        <f aca="false">IFERROR(MATCH("BASUDHA Kendra|"&amp;$A18,MASTER_DATABASE!$BH$4:$BH$1000,0),"")</f>
        <v>93</v>
      </c>
      <c r="C18" s="11" t="str">
        <f aca="false">IF($B18="","",INDEX(MASTER_DATABASE!$A$4:$A$1000,$B18)&amp;"")</f>
        <v>BAS-015</v>
      </c>
      <c r="D18" s="7" t="str">
        <f aca="false">IF($B18="","",INDEX(MASTER_DATABASE!$D$4:$D$1000,$B18)&amp;"")</f>
        <v>Government Scheme Applications</v>
      </c>
      <c r="E18" s="7" t="str">
        <f aca="false">IF($B18="","",INDEX(MASTER_DATABASE!$E$4:$E$1000,$B18)&amp;"")</f>
        <v>Divyang (Disability) Pension – Application</v>
      </c>
      <c r="F18" s="7" t="str">
        <f aca="false">IF($B18="","",INDEX(MASTER_DATABASE!$F$4:$F$1000,$B18)&amp;"")</f>
        <v>दिव्यांग पेंशन – आवेदन</v>
      </c>
      <c r="G18" s="11" t="str">
        <f aca="false">IF($B18="","",INDEX(MASTER_DATABASE!$I$4:$I$1000,$B18)&amp;"")</f>
        <v>To Verify</v>
      </c>
      <c r="H18" s="7" t="str">
        <f aca="false">IF($B18="","",INDEX(MASTER_DATABASE!$L$4:$L$1000,$B18)&amp;"")</f>
        <v>To Verify</v>
      </c>
      <c r="I18" s="9" t="str">
        <f aca="false">IF($B18="","",INDEX(MASTER_DATABASE!$R$4:$R$1000,$B18))</f>
        <v>To Verify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To Verify</v>
      </c>
      <c r="M18" s="7" t="str">
        <f aca="false">IF($B18="","",INDEX(MASTER_DATABASE!$Q$4:$Q$1000,$B18)&amp;"")</f>
        <v>Depends on Department</v>
      </c>
      <c r="N18" s="7" t="str">
        <f aca="false">IF($B18="","",INDEX(MASTER_DATABASE!$AG$4:$AG$1000,$B18)&amp;"")</f>
        <v>To Verify</v>
      </c>
      <c r="O18" s="11" t="str">
        <f aca="false">IF($B18="","",INDEX(MASTER_DATABASE!$AH$4:$AH$1000,$B18)&amp;"")</f>
        <v>No</v>
      </c>
      <c r="P18" s="11" t="str">
        <f aca="false">IF($B18="","",INDEX(MASTER_DATABASE!$BE$4:$BE$1000,$B18)&amp;"")</f>
        <v>HIDDEN</v>
      </c>
      <c r="Q18" s="7" t="str">
        <f aca="false">IF($B18="","",INDEX(MASTER_DATABASE!$AV$4:$AV$1000,$B18)&amp;"")</f>
        <v>To Verify</v>
      </c>
    </row>
    <row r="19" customFormat="false" ht="23.85" hidden="false" customHeight="false" outlineLevel="0" collapsed="false">
      <c r="A19" s="11" t="n">
        <v>16</v>
      </c>
      <c r="B19" s="11" t="n">
        <f aca="false">IFERROR(MATCH("BASUDHA Kendra|"&amp;$A19,MASTER_DATABASE!$BH$4:$BH$1000,0),"")</f>
        <v>94</v>
      </c>
      <c r="C19" s="11" t="str">
        <f aca="false">IF($B19="","",INDEX(MASTER_DATABASE!$A$4:$A$1000,$B19)&amp;"")</f>
        <v>BAS-016</v>
      </c>
      <c r="D19" s="7" t="str">
        <f aca="false">IF($B19="","",INDEX(MASTER_DATABASE!$D$4:$D$1000,$B19)&amp;"")</f>
        <v>Government Scheme Applications</v>
      </c>
      <c r="E19" s="7" t="str">
        <f aca="false">IF($B19="","",INDEX(MASTER_DATABASE!$E$4:$E$1000,$B19)&amp;"")</f>
        <v>Government Scheme Application – General</v>
      </c>
      <c r="F19" s="7" t="str">
        <f aca="false">IF($B19="","",INDEX(MASTER_DATABASE!$F$4:$F$1000,$B19)&amp;"")</f>
        <v>सरकारी योजना आवेदन – सामान्य</v>
      </c>
      <c r="G19" s="11" t="str">
        <f aca="false">IF($B19="","",INDEX(MASTER_DATABASE!$I$4:$I$1000,$B19)&amp;"")</f>
        <v>Portal Dependent</v>
      </c>
      <c r="H19" s="7" t="str">
        <f aca="false">IF($B19="","",INDEX(MASTER_DATABASE!$L$4:$L$1000,$B19)&amp;"")</f>
        <v>Portal Dependent</v>
      </c>
      <c r="I19" s="9" t="str">
        <f aca="false">IF($B19="","",INDEX(MASTER_DATABASE!$R$4:$R$1000,$B19))</f>
        <v>To Verify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To Verify</v>
      </c>
      <c r="M19" s="7" t="str">
        <f aca="false">IF($B19="","",INDEX(MASTER_DATABASE!$Q$4:$Q$1000,$B19)&amp;"")</f>
        <v>Depends on Department</v>
      </c>
      <c r="N19" s="7" t="str">
        <f aca="false">IF($B19="","",INDEX(MASTER_DATABASE!$AG$4:$AG$1000,$B19)&amp;"")</f>
        <v>To Verify</v>
      </c>
      <c r="O19" s="11" t="str">
        <f aca="false">IF($B19="","",INDEX(MASTER_DATABASE!$AH$4:$AH$1000,$B19)&amp;"")</f>
        <v>No</v>
      </c>
      <c r="P19" s="11" t="str">
        <f aca="false">IF($B19="","",INDEX(MASTER_DATABASE!$BE$4:$BE$1000,$B19)&amp;"")</f>
        <v>HIDDEN</v>
      </c>
      <c r="Q19" s="7" t="str">
        <f aca="false">IF($B19="","",INDEX(MASTER_DATABASE!$AV$4:$AV$1000,$B19)&amp;"")</f>
        <v>To Verify</v>
      </c>
    </row>
    <row r="20" customFormat="false" ht="23.85" hidden="false" customHeight="false" outlineLevel="0" collapsed="false">
      <c r="A20" s="11" t="n">
        <v>17</v>
      </c>
      <c r="B20" s="11" t="n">
        <f aca="false">IFERROR(MATCH("BASUDHA Kendra|"&amp;$A20,MASTER_DATABASE!$BH$4:$BH$1000,0),"")</f>
        <v>95</v>
      </c>
      <c r="C20" s="11" t="str">
        <f aca="false">IF($B20="","",INDEX(MASTER_DATABASE!$A$4:$A$1000,$B20)&amp;"")</f>
        <v>BAS-017</v>
      </c>
      <c r="D20" s="7" t="str">
        <f aca="false">IF($B20="","",INDEX(MASTER_DATABASE!$D$4:$D$1000,$B20)&amp;"")</f>
        <v>Ration Card</v>
      </c>
      <c r="E20" s="7" t="str">
        <f aca="false">IF($B20="","",INDEX(MASTER_DATABASE!$E$4:$E$1000,$B20)&amp;"")</f>
        <v>Ration Card – New Application</v>
      </c>
      <c r="F20" s="7" t="str">
        <f aca="false">IF($B20="","",INDEX(MASTER_DATABASE!$F$4:$F$1000,$B20)&amp;"")</f>
        <v>राशन कार्ड – नया आवेदन</v>
      </c>
      <c r="G20" s="11" t="str">
        <f aca="false">IF($B20="","",INDEX(MASTER_DATABASE!$I$4:$I$1000,$B20)&amp;"")</f>
        <v>To Verify</v>
      </c>
      <c r="H20" s="7" t="str">
        <f aca="false">IF($B20="","",INDEX(MASTER_DATABASE!$L$4:$L$1000,$B20)&amp;"")</f>
        <v>To Verify</v>
      </c>
      <c r="I20" s="9" t="str">
        <f aca="false">IF($B20="","",INDEX(MASTER_DATABASE!$R$4:$R$1000,$B20))</f>
        <v>To Verify</v>
      </c>
      <c r="J20" s="9" t="str">
        <f aca="false">IF($B20="","",INDEX(MASTER_DATABASE!$S$4:$S$1000,$B20))</f>
        <v>To Verify</v>
      </c>
      <c r="K20" s="9" t="str">
        <f aca="false">IF($B20="","",INDEX(MASTER_DATABASE!$T$4:$T$1000,$B20))</f>
        <v>To Verify</v>
      </c>
      <c r="L20" s="7" t="str">
        <f aca="false">IF($B20="","",INDEX(MASTER_DATABASE!$U$4:$U$1000,$B20)&amp;"")</f>
        <v>To Verify</v>
      </c>
      <c r="M20" s="7" t="str">
        <f aca="false">IF($B20="","",INDEX(MASTER_DATABASE!$Q$4:$Q$1000,$B20)&amp;"")</f>
        <v>Depends on Department</v>
      </c>
      <c r="N20" s="7" t="str">
        <f aca="false">IF($B20="","",INDEX(MASTER_DATABASE!$AG$4:$AG$1000,$B20)&amp;"")</f>
        <v>To Verify</v>
      </c>
      <c r="O20" s="11" t="str">
        <f aca="false">IF($B20="","",INDEX(MASTER_DATABASE!$AH$4:$AH$1000,$B20)&amp;"")</f>
        <v>No</v>
      </c>
      <c r="P20" s="11" t="str">
        <f aca="false">IF($B20="","",INDEX(MASTER_DATABASE!$BE$4:$BE$1000,$B20)&amp;"")</f>
        <v>HIDDEN</v>
      </c>
      <c r="Q20" s="7" t="str">
        <f aca="false">IF($B20="","",INDEX(MASTER_DATABASE!$AV$4:$AV$1000,$B20)&amp;"")</f>
        <v>To Verify</v>
      </c>
    </row>
    <row r="21" customFormat="false" ht="23.85" hidden="false" customHeight="false" outlineLevel="0" collapsed="false">
      <c r="A21" s="11" t="n">
        <v>18</v>
      </c>
      <c r="B21" s="11" t="n">
        <f aca="false">IFERROR(MATCH("BASUDHA Kendra|"&amp;$A21,MASTER_DATABASE!$BH$4:$BH$1000,0),"")</f>
        <v>96</v>
      </c>
      <c r="C21" s="11" t="str">
        <f aca="false">IF($B21="","",INDEX(MASTER_DATABASE!$A$4:$A$1000,$B21)&amp;"")</f>
        <v>BAS-018</v>
      </c>
      <c r="D21" s="7" t="str">
        <f aca="false">IF($B21="","",INDEX(MASTER_DATABASE!$D$4:$D$1000,$B21)&amp;"")</f>
        <v>Ration Card</v>
      </c>
      <c r="E21" s="7" t="str">
        <f aca="false">IF($B21="","",INDEX(MASTER_DATABASE!$E$4:$E$1000,$B21)&amp;"")</f>
        <v>Ration Card – Member Add / Delete / Correction</v>
      </c>
      <c r="F21" s="7" t="str">
        <f aca="false">IF($B21="","",INDEX(MASTER_DATABASE!$F$4:$F$1000,$B21)&amp;"")</f>
        <v>राशन कार्ड – सदस्य जोड़ना / हटाना / सुधार</v>
      </c>
      <c r="G21" s="11" t="str">
        <f aca="false">IF($B21="","",INDEX(MASTER_DATABASE!$I$4:$I$1000,$B21)&amp;"")</f>
        <v>To Verify</v>
      </c>
      <c r="H21" s="7" t="str">
        <f aca="false">IF($B21="","",INDEX(MASTER_DATABASE!$L$4:$L$1000,$B21)&amp;"")</f>
        <v>To Verify</v>
      </c>
      <c r="I21" s="9" t="str">
        <f aca="false">IF($B21="","",INDEX(MASTER_DATABASE!$R$4:$R$1000,$B21))</f>
        <v>To Verify</v>
      </c>
      <c r="J21" s="9" t="str">
        <f aca="false">IF($B21="","",INDEX(MASTER_DATABASE!$S$4:$S$1000,$B21))</f>
        <v>To Verify</v>
      </c>
      <c r="K21" s="9" t="str">
        <f aca="false">IF($B21="","",INDEX(MASTER_DATABASE!$T$4:$T$1000,$B21))</f>
        <v>To Verify</v>
      </c>
      <c r="L21" s="7" t="str">
        <f aca="false">IF($B21="","",INDEX(MASTER_DATABASE!$U$4:$U$1000,$B21)&amp;"")</f>
        <v>To Verify</v>
      </c>
      <c r="M21" s="7" t="str">
        <f aca="false">IF($B21="","",INDEX(MASTER_DATABASE!$Q$4:$Q$1000,$B21)&amp;"")</f>
        <v>Depends on Department</v>
      </c>
      <c r="N21" s="7" t="str">
        <f aca="false">IF($B21="","",INDEX(MASTER_DATABASE!$AG$4:$AG$1000,$B21)&amp;"")</f>
        <v>To Verify</v>
      </c>
      <c r="O21" s="11" t="str">
        <f aca="false">IF($B21="","",INDEX(MASTER_DATABASE!$AH$4:$AH$1000,$B21)&amp;"")</f>
        <v>No</v>
      </c>
      <c r="P21" s="11" t="str">
        <f aca="false">IF($B21="","",INDEX(MASTER_DATABASE!$BE$4:$BE$1000,$B21)&amp;"")</f>
        <v>HIDDEN</v>
      </c>
      <c r="Q21" s="7" t="str">
        <f aca="false">IF($B21="","",INDEX(MASTER_DATABASE!$AV$4:$AV$1000,$B21)&amp;"")</f>
        <v>To Verify</v>
      </c>
    </row>
    <row r="22" customFormat="false" ht="23.85" hidden="false" customHeight="false" outlineLevel="0" collapsed="false">
      <c r="A22" s="11" t="n">
        <v>19</v>
      </c>
      <c r="B22" s="11" t="n">
        <f aca="false">IFERROR(MATCH("BASUDHA Kendra|"&amp;$A22,MASTER_DATABASE!$BH$4:$BH$1000,0),"")</f>
        <v>97</v>
      </c>
      <c r="C22" s="11" t="str">
        <f aca="false">IF($B22="","",INDEX(MASTER_DATABASE!$A$4:$A$1000,$B22)&amp;"")</f>
        <v>BAS-019</v>
      </c>
      <c r="D22" s="7" t="str">
        <f aca="false">IF($B22="","",INDEX(MASTER_DATABASE!$D$4:$D$1000,$B22)&amp;"")</f>
        <v>Ration Card</v>
      </c>
      <c r="E22" s="7" t="str">
        <f aca="false">IF($B22="","",INDEX(MASTER_DATABASE!$E$4:$E$1000,$B22)&amp;"")</f>
        <v>Ration Card – Status Check / Download</v>
      </c>
      <c r="F22" s="7" t="str">
        <f aca="false">IF($B22="","",INDEX(MASTER_DATABASE!$F$4:$F$1000,$B22)&amp;"")</f>
        <v>राशन कार्ड – स्थिति जाँच / डाउनलोड</v>
      </c>
      <c r="G22" s="11" t="str">
        <f aca="false">IF($B22="","",INDEX(MASTER_DATABASE!$I$4:$I$1000,$B22)&amp;"")</f>
        <v>Portal Dependent</v>
      </c>
      <c r="H22" s="7" t="str">
        <f aca="false">IF($B22="","",INDEX(MASTER_DATABASE!$L$4:$L$1000,$B22)&amp;"")</f>
        <v>Portal Dependent</v>
      </c>
      <c r="I22" s="9" t="str">
        <f aca="false">IF($B22="","",INDEX(MASTER_DATABASE!$R$4:$R$1000,$B22))</f>
        <v>To Verify</v>
      </c>
      <c r="J22" s="9" t="str">
        <f aca="false">IF($B22="","",INDEX(MASTER_DATABASE!$S$4:$S$1000,$B22))</f>
        <v>To Verify</v>
      </c>
      <c r="K22" s="9" t="str">
        <f aca="false">IF($B22="","",INDEX(MASTER_DATABASE!$T$4:$T$1000,$B22))</f>
        <v>To Verify</v>
      </c>
      <c r="L22" s="7" t="str">
        <f aca="false">IF($B22="","",INDEX(MASTER_DATABASE!$U$4:$U$1000,$B22)&amp;"")</f>
        <v>To Verify</v>
      </c>
      <c r="M22" s="7" t="str">
        <f aca="false">IF($B22="","",INDEX(MASTER_DATABASE!$Q$4:$Q$1000,$B22)&amp;"")</f>
        <v>Depends on Department</v>
      </c>
      <c r="N22" s="7" t="str">
        <f aca="false">IF($B22="","",INDEX(MASTER_DATABASE!$AG$4:$AG$1000,$B22)&amp;"")</f>
        <v>To Verify</v>
      </c>
      <c r="O22" s="11" t="str">
        <f aca="false">IF($B22="","",INDEX(MASTER_DATABASE!$AH$4:$AH$1000,$B22)&amp;"")</f>
        <v>No</v>
      </c>
      <c r="P22" s="11" t="str">
        <f aca="false">IF($B22="","",INDEX(MASTER_DATABASE!$BE$4:$BE$1000,$B22)&amp;"")</f>
        <v>HIDDEN</v>
      </c>
      <c r="Q22" s="7" t="str">
        <f aca="false">IF($B22="","",INDEX(MASTER_DATABASE!$AV$4:$AV$1000,$B22)&amp;"")</f>
        <v>To Verify</v>
      </c>
    </row>
    <row r="23" customFormat="false" ht="23.85" hidden="false" customHeight="false" outlineLevel="0" collapsed="false">
      <c r="A23" s="11" t="n">
        <v>20</v>
      </c>
      <c r="B23" s="11" t="n">
        <f aca="false">IFERROR(MATCH("BASUDHA Kendra|"&amp;$A23,MASTER_DATABASE!$BH$4:$BH$1000,0),"")</f>
        <v>98</v>
      </c>
      <c r="C23" s="11" t="str">
        <f aca="false">IF($B23="","",INDEX(MASTER_DATABASE!$A$4:$A$1000,$B23)&amp;"")</f>
        <v>BAS-020</v>
      </c>
      <c r="D23" s="7" t="str">
        <f aca="false">IF($B23="","",INDEX(MASTER_DATABASE!$D$4:$D$1000,$B23)&amp;"")</f>
        <v>Land &amp; Revenue Services</v>
      </c>
      <c r="E23" s="7" t="str">
        <f aca="false">IF($B23="","",INDEX(MASTER_DATABASE!$E$4:$E$1000,$B23)&amp;"")</f>
        <v>Land Record (Jamabandi / Khatiyan) Copy Download</v>
      </c>
      <c r="F23" s="7" t="str">
        <f aca="false">IF($B23="","",INDEX(MASTER_DATABASE!$F$4:$F$1000,$B23)&amp;"")</f>
        <v>भूमि रिकॉर्ड (जमाबंदी / खतियान) नकल डाउनलोड</v>
      </c>
      <c r="G23" s="11" t="str">
        <f aca="false">IF($B23="","",INDEX(MASTER_DATABASE!$I$4:$I$1000,$B23)&amp;"")</f>
        <v>To Verify</v>
      </c>
      <c r="H23" s="7" t="str">
        <f aca="false">IF($B23="","",INDEX(MASTER_DATABASE!$L$4:$L$1000,$B23)&amp;"")</f>
        <v>To Verify</v>
      </c>
      <c r="I23" s="9" t="str">
        <f aca="false">IF($B23="","",INDEX(MASTER_DATABASE!$R$4:$R$1000,$B23))</f>
        <v>To Verify</v>
      </c>
      <c r="J23" s="9" t="str">
        <f aca="false">IF($B23="","",INDEX(MASTER_DATABASE!$S$4:$S$1000,$B23))</f>
        <v>To Verify</v>
      </c>
      <c r="K23" s="9" t="str">
        <f aca="false">IF($B23="","",INDEX(MASTER_DATABASE!$T$4:$T$1000,$B23))</f>
        <v>To Verify</v>
      </c>
      <c r="L23" s="7" t="str">
        <f aca="false">IF($B23="","",INDEX(MASTER_DATABASE!$U$4:$U$1000,$B23)&amp;"")</f>
        <v>To Verify</v>
      </c>
      <c r="M23" s="7" t="str">
        <f aca="false">IF($B23="","",INDEX(MASTER_DATABASE!$Q$4:$Q$1000,$B23)&amp;"")</f>
        <v>Depends on Department</v>
      </c>
      <c r="N23" s="7" t="str">
        <f aca="false">IF($B23="","",INDEX(MASTER_DATABASE!$AG$4:$AG$1000,$B23)&amp;"")</f>
        <v>To Verify</v>
      </c>
      <c r="O23" s="11" t="str">
        <f aca="false">IF($B23="","",INDEX(MASTER_DATABASE!$AH$4:$AH$1000,$B23)&amp;"")</f>
        <v>No</v>
      </c>
      <c r="P23" s="11" t="str">
        <f aca="false">IF($B23="","",INDEX(MASTER_DATABASE!$BE$4:$BE$1000,$B23)&amp;"")</f>
        <v>HIDDEN</v>
      </c>
      <c r="Q23" s="7" t="str">
        <f aca="false">IF($B23="","",INDEX(MASTER_DATABASE!$AV$4:$AV$1000,$B23)&amp;"")</f>
        <v>To Verify</v>
      </c>
    </row>
    <row r="24" customFormat="false" ht="23.85" hidden="false" customHeight="false" outlineLevel="0" collapsed="false">
      <c r="A24" s="11" t="n">
        <v>21</v>
      </c>
      <c r="B24" s="11" t="n">
        <f aca="false">IFERROR(MATCH("BASUDHA Kendra|"&amp;$A24,MASTER_DATABASE!$BH$4:$BH$1000,0),"")</f>
        <v>99</v>
      </c>
      <c r="C24" s="11" t="str">
        <f aca="false">IF($B24="","",INDEX(MASTER_DATABASE!$A$4:$A$1000,$B24)&amp;"")</f>
        <v>BAS-021</v>
      </c>
      <c r="D24" s="7" t="str">
        <f aca="false">IF($B24="","",INDEX(MASTER_DATABASE!$D$4:$D$1000,$B24)&amp;"")</f>
        <v>Land &amp; Revenue Services</v>
      </c>
      <c r="E24" s="7" t="str">
        <f aca="false">IF($B24="","",INDEX(MASTER_DATABASE!$E$4:$E$1000,$B24)&amp;"")</f>
        <v>Land Mutation (Dakhil-Kharij) Application Assistance</v>
      </c>
      <c r="F24" s="7" t="str">
        <f aca="false">IF($B24="","",INDEX(MASTER_DATABASE!$F$4:$F$1000,$B24)&amp;"")</f>
        <v>दाखिल-खारिज आवेदन सहायता</v>
      </c>
      <c r="G24" s="11" t="str">
        <f aca="false">IF($B24="","",INDEX(MASTER_DATABASE!$I$4:$I$1000,$B24)&amp;"")</f>
        <v>To Verify</v>
      </c>
      <c r="H24" s="7" t="str">
        <f aca="false">IF($B24="","",INDEX(MASTER_DATABASE!$L$4:$L$1000,$B24)&amp;"")</f>
        <v>To Verify</v>
      </c>
      <c r="I24" s="9" t="str">
        <f aca="false">IF($B24="","",INDEX(MASTER_DATABASE!$R$4:$R$1000,$B24))</f>
        <v>To Verify</v>
      </c>
      <c r="J24" s="9" t="str">
        <f aca="false">IF($B24="","",INDEX(MASTER_DATABASE!$S$4:$S$1000,$B24))</f>
        <v>To Verify</v>
      </c>
      <c r="K24" s="9" t="str">
        <f aca="false">IF($B24="","",INDEX(MASTER_DATABASE!$T$4:$T$1000,$B24))</f>
        <v>To Verify</v>
      </c>
      <c r="L24" s="7" t="str">
        <f aca="false">IF($B24="","",INDEX(MASTER_DATABASE!$U$4:$U$1000,$B24)&amp;"")</f>
        <v>To Verify</v>
      </c>
      <c r="M24" s="7" t="str">
        <f aca="false">IF($B24="","",INDEX(MASTER_DATABASE!$Q$4:$Q$1000,$B24)&amp;"")</f>
        <v>Depends on Department</v>
      </c>
      <c r="N24" s="7" t="str">
        <f aca="false">IF($B24="","",INDEX(MASTER_DATABASE!$AG$4:$AG$1000,$B24)&amp;"")</f>
        <v>To Verify</v>
      </c>
      <c r="O24" s="11" t="str">
        <f aca="false">IF($B24="","",INDEX(MASTER_DATABASE!$AH$4:$AH$1000,$B24)&amp;"")</f>
        <v>No</v>
      </c>
      <c r="P24" s="11" t="str">
        <f aca="false">IF($B24="","",INDEX(MASTER_DATABASE!$BE$4:$BE$1000,$B24)&amp;"")</f>
        <v>HIDDEN</v>
      </c>
      <c r="Q24" s="7" t="str">
        <f aca="false">IF($B24="","",INDEX(MASTER_DATABASE!$AV$4:$AV$1000,$B24)&amp;"")</f>
        <v>To Verify</v>
      </c>
    </row>
    <row r="25" customFormat="false" ht="23.85" hidden="false" customHeight="false" outlineLevel="0" collapsed="false">
      <c r="A25" s="11" t="n">
        <v>22</v>
      </c>
      <c r="B25" s="11" t="n">
        <f aca="false">IFERROR(MATCH("BASUDHA Kendra|"&amp;$A25,MASTER_DATABASE!$BH$4:$BH$1000,0),"")</f>
        <v>100</v>
      </c>
      <c r="C25" s="11" t="str">
        <f aca="false">IF($B25="","",INDEX(MASTER_DATABASE!$A$4:$A$1000,$B25)&amp;"")</f>
        <v>BAS-022</v>
      </c>
      <c r="D25" s="7" t="str">
        <f aca="false">IF($B25="","",INDEX(MASTER_DATABASE!$D$4:$D$1000,$B25)&amp;"")</f>
        <v>Land &amp; Revenue Services</v>
      </c>
      <c r="E25" s="7" t="str">
        <f aca="false">IF($B25="","",INDEX(MASTER_DATABASE!$E$4:$E$1000,$B25)&amp;"")</f>
        <v>Land Rent (Lagaan) Online Payment Assistance</v>
      </c>
      <c r="F25" s="7" t="str">
        <f aca="false">IF($B25="","",INDEX(MASTER_DATABASE!$F$4:$F$1000,$B25)&amp;"")</f>
        <v>ऑनलाइन लगान भुगतान सहायता</v>
      </c>
      <c r="G25" s="11" t="str">
        <f aca="false">IF($B25="","",INDEX(MASTER_DATABASE!$I$4:$I$1000,$B25)&amp;"")</f>
        <v>To Verify</v>
      </c>
      <c r="H25" s="7" t="str">
        <f aca="false">IF($B25="","",INDEX(MASTER_DATABASE!$L$4:$L$1000,$B25)&amp;"")</f>
        <v>To Verify</v>
      </c>
      <c r="I25" s="9" t="str">
        <f aca="false">IF($B25="","",INDEX(MASTER_DATABASE!$R$4:$R$1000,$B25))</f>
        <v>To Verify</v>
      </c>
      <c r="J25" s="9" t="str">
        <f aca="false">IF($B25="","",INDEX(MASTER_DATABASE!$S$4:$S$1000,$B25))</f>
        <v>To Verify</v>
      </c>
      <c r="K25" s="9" t="str">
        <f aca="false">IF($B25="","",INDEX(MASTER_DATABASE!$T$4:$T$1000,$B25))</f>
        <v>To Verify</v>
      </c>
      <c r="L25" s="7" t="str">
        <f aca="false">IF($B25="","",INDEX(MASTER_DATABASE!$U$4:$U$1000,$B25)&amp;"")</f>
        <v>To Verify</v>
      </c>
      <c r="M25" s="7" t="str">
        <f aca="false">IF($B25="","",INDEX(MASTER_DATABASE!$Q$4:$Q$1000,$B25)&amp;"")</f>
        <v>Depends on Department</v>
      </c>
      <c r="N25" s="7" t="str">
        <f aca="false">IF($B25="","",INDEX(MASTER_DATABASE!$AG$4:$AG$1000,$B25)&amp;"")</f>
        <v>To Verify</v>
      </c>
      <c r="O25" s="11" t="str">
        <f aca="false">IF($B25="","",INDEX(MASTER_DATABASE!$AH$4:$AH$1000,$B25)&amp;"")</f>
        <v>No</v>
      </c>
      <c r="P25" s="11" t="str">
        <f aca="false">IF($B25="","",INDEX(MASTER_DATABASE!$BE$4:$BE$1000,$B25)&amp;"")</f>
        <v>HIDDEN</v>
      </c>
      <c r="Q25" s="7" t="str">
        <f aca="false">IF($B25="","",INDEX(MASTER_DATABASE!$AV$4:$AV$1000,$B25)&amp;"")</f>
        <v>To Verify</v>
      </c>
    </row>
    <row r="26" customFormat="false" ht="23.85" hidden="false" customHeight="false" outlineLevel="0" collapsed="false">
      <c r="A26" s="11" t="n">
        <v>23</v>
      </c>
      <c r="B26" s="11" t="n">
        <f aca="false">IFERROR(MATCH("BASUDHA Kendra|"&amp;$A26,MASTER_DATABASE!$BH$4:$BH$1000,0),"")</f>
        <v>101</v>
      </c>
      <c r="C26" s="11" t="str">
        <f aca="false">IF($B26="","",INDEX(MASTER_DATABASE!$A$4:$A$1000,$B26)&amp;"")</f>
        <v>BAS-023</v>
      </c>
      <c r="D26" s="7" t="str">
        <f aca="false">IF($B26="","",INDEX(MASTER_DATABASE!$D$4:$D$1000,$B26)&amp;"")</f>
        <v>Public Service Applications</v>
      </c>
      <c r="E26" s="7" t="str">
        <f aca="false">IF($B26="","",INDEX(MASTER_DATABASE!$E$4:$E$1000,$B26)&amp;"")</f>
        <v>Public Service Application (RTPS / e-Service) – General</v>
      </c>
      <c r="F26" s="7" t="str">
        <f aca="false">IF($B26="","",INDEX(MASTER_DATABASE!$F$4:$F$1000,$B26)&amp;"")</f>
        <v>लोक सेवा आवेदन (RTPS / e-Service) – सामान्य</v>
      </c>
      <c r="G26" s="11" t="str">
        <f aca="false">IF($B26="","",INDEX(MASTER_DATABASE!$I$4:$I$1000,$B26)&amp;"")</f>
        <v>Portal Dependent</v>
      </c>
      <c r="H26" s="7" t="str">
        <f aca="false">IF($B26="","",INDEX(MASTER_DATABASE!$L$4:$L$1000,$B26)&amp;"")</f>
        <v>Portal Dependent</v>
      </c>
      <c r="I26" s="9" t="str">
        <f aca="false">IF($B26="","",INDEX(MASTER_DATABASE!$R$4:$R$1000,$B26))</f>
        <v>To Verify</v>
      </c>
      <c r="J26" s="9" t="str">
        <f aca="false">IF($B26="","",INDEX(MASTER_DATABASE!$S$4:$S$1000,$B26))</f>
        <v>To Verify</v>
      </c>
      <c r="K26" s="9" t="str">
        <f aca="false">IF($B26="","",INDEX(MASTER_DATABASE!$T$4:$T$1000,$B26))</f>
        <v>To Verify</v>
      </c>
      <c r="L26" s="7" t="str">
        <f aca="false">IF($B26="","",INDEX(MASTER_DATABASE!$U$4:$U$1000,$B26)&amp;"")</f>
        <v>To Verify</v>
      </c>
      <c r="M26" s="7" t="str">
        <f aca="false">IF($B26="","",INDEX(MASTER_DATABASE!$Q$4:$Q$1000,$B26)&amp;"")</f>
        <v>Depends on Department</v>
      </c>
      <c r="N26" s="7" t="str">
        <f aca="false">IF($B26="","",INDEX(MASTER_DATABASE!$AG$4:$AG$1000,$B26)&amp;"")</f>
        <v>To Verify</v>
      </c>
      <c r="O26" s="11" t="str">
        <f aca="false">IF($B26="","",INDEX(MASTER_DATABASE!$AH$4:$AH$1000,$B26)&amp;"")</f>
        <v>No</v>
      </c>
      <c r="P26" s="11" t="str">
        <f aca="false">IF($B26="","",INDEX(MASTER_DATABASE!$BE$4:$BE$1000,$B26)&amp;"")</f>
        <v>HIDDEN</v>
      </c>
      <c r="Q26" s="7" t="str">
        <f aca="false">IF($B26="","",INDEX(MASTER_DATABASE!$AV$4:$AV$1000,$B26)&amp;"")</f>
        <v>To Verify</v>
      </c>
    </row>
    <row r="27" customFormat="false" ht="23.85" hidden="false" customHeight="false" outlineLevel="0" collapsed="false">
      <c r="A27" s="11" t="n">
        <v>24</v>
      </c>
      <c r="B27" s="11" t="n">
        <f aca="false">IFERROR(MATCH("BASUDHA Kendra|"&amp;$A27,MASTER_DATABASE!$BH$4:$BH$1000,0),"")</f>
        <v>102</v>
      </c>
      <c r="C27" s="11" t="str">
        <f aca="false">IF($B27="","",INDEX(MASTER_DATABASE!$A$4:$A$1000,$B27)&amp;"")</f>
        <v>BAS-024</v>
      </c>
      <c r="D27" s="7" t="str">
        <f aca="false">IF($B27="","",INDEX(MASTER_DATABASE!$D$4:$D$1000,$B27)&amp;"")</f>
        <v>Public Service Applications</v>
      </c>
      <c r="E27" s="7" t="str">
        <f aca="false">IF($B27="","",INDEX(MASTER_DATABASE!$E$4:$E$1000,$B27)&amp;"")</f>
        <v>Online Government Application – General</v>
      </c>
      <c r="F27" s="7" t="str">
        <f aca="false">IF($B27="","",INDEX(MASTER_DATABASE!$F$4:$F$1000,$B27)&amp;"")</f>
        <v>ऑनलाइन सरकारी आवेदन – सामान्य</v>
      </c>
      <c r="G27" s="11" t="str">
        <f aca="false">IF($B27="","",INDEX(MASTER_DATABASE!$I$4:$I$1000,$B27)&amp;"")</f>
        <v>Portal Dependent</v>
      </c>
      <c r="H27" s="7" t="str">
        <f aca="false">IF($B27="","",INDEX(MASTER_DATABASE!$L$4:$L$1000,$B27)&amp;"")</f>
        <v>Portal Dependent</v>
      </c>
      <c r="I27" s="9" t="str">
        <f aca="false">IF($B27="","",INDEX(MASTER_DATABASE!$R$4:$R$1000,$B27))</f>
        <v>To Verify</v>
      </c>
      <c r="J27" s="9" t="str">
        <f aca="false">IF($B27="","",INDEX(MASTER_DATABASE!$S$4:$S$1000,$B27))</f>
        <v>To Verify</v>
      </c>
      <c r="K27" s="9" t="str">
        <f aca="false">IF($B27="","",INDEX(MASTER_DATABASE!$T$4:$T$1000,$B27))</f>
        <v>To Verify</v>
      </c>
      <c r="L27" s="7" t="str">
        <f aca="false">IF($B27="","",INDEX(MASTER_DATABASE!$U$4:$U$1000,$B27)&amp;"")</f>
        <v>To Verify</v>
      </c>
      <c r="M27" s="7" t="str">
        <f aca="false">IF($B27="","",INDEX(MASTER_DATABASE!$Q$4:$Q$1000,$B27)&amp;"")</f>
        <v>Depends on Department</v>
      </c>
      <c r="N27" s="7" t="str">
        <f aca="false">IF($B27="","",INDEX(MASTER_DATABASE!$AG$4:$AG$1000,$B27)&amp;"")</f>
        <v>To Verify</v>
      </c>
      <c r="O27" s="11" t="str">
        <f aca="false">IF($B27="","",INDEX(MASTER_DATABASE!$AH$4:$AH$1000,$B27)&amp;"")</f>
        <v>No</v>
      </c>
      <c r="P27" s="11" t="str">
        <f aca="false">IF($B27="","",INDEX(MASTER_DATABASE!$BE$4:$BE$1000,$B27)&amp;"")</f>
        <v>HIDDEN</v>
      </c>
      <c r="Q27" s="7" t="str">
        <f aca="false">IF($B27="","",INDEX(MASTER_DATABASE!$AV$4:$AV$1000,$B27)&amp;"")</f>
        <v>To Verify</v>
      </c>
    </row>
    <row r="28" customFormat="false" ht="23.85" hidden="false" customHeight="false" outlineLevel="0" collapsed="false">
      <c r="A28" s="11" t="n">
        <v>25</v>
      </c>
      <c r="B28" s="11" t="n">
        <f aca="false">IFERROR(MATCH("BASUDHA Kendra|"&amp;$A28,MASTER_DATABASE!$BH$4:$BH$1000,0),"")</f>
        <v>103</v>
      </c>
      <c r="C28" s="11" t="str">
        <f aca="false">IF($B28="","",INDEX(MASTER_DATABASE!$A$4:$A$1000,$B28)&amp;"")</f>
        <v>BAS-025</v>
      </c>
      <c r="D28" s="7" t="str">
        <f aca="false">IF($B28="","",INDEX(MASTER_DATABASE!$D$4:$D$1000,$B28)&amp;"")</f>
        <v>Public Service Applications</v>
      </c>
      <c r="E28" s="7" t="str">
        <f aca="false">IF($B28="","",INDEX(MASTER_DATABASE!$E$4:$E$1000,$B28)&amp;"")</f>
        <v>Application Status Check</v>
      </c>
      <c r="F28" s="7" t="str">
        <f aca="false">IF($B28="","",INDEX(MASTER_DATABASE!$F$4:$F$1000,$B28)&amp;"")</f>
        <v>आवेदन स्थिति जाँच</v>
      </c>
      <c r="G28" s="11" t="str">
        <f aca="false">IF($B28="","",INDEX(MASTER_DATABASE!$I$4:$I$1000,$B28)&amp;"")</f>
        <v>Portal Dependent</v>
      </c>
      <c r="H28" s="7" t="str">
        <f aca="false">IF($B28="","",INDEX(MASTER_DATABASE!$L$4:$L$1000,$B28)&amp;"")</f>
        <v>Portal Dependent</v>
      </c>
      <c r="I28" s="9" t="str">
        <f aca="false">IF($B28="","",INDEX(MASTER_DATABASE!$R$4:$R$1000,$B28))</f>
        <v>To Verify</v>
      </c>
      <c r="J28" s="9" t="str">
        <f aca="false">IF($B28="","",INDEX(MASTER_DATABASE!$S$4:$S$1000,$B28))</f>
        <v>To Verify</v>
      </c>
      <c r="K28" s="9" t="str">
        <f aca="false">IF($B28="","",INDEX(MASTER_DATABASE!$T$4:$T$1000,$B28))</f>
        <v>To Verify</v>
      </c>
      <c r="L28" s="7" t="str">
        <f aca="false">IF($B28="","",INDEX(MASTER_DATABASE!$U$4:$U$1000,$B28)&amp;"")</f>
        <v>To Verify</v>
      </c>
      <c r="M28" s="7" t="str">
        <f aca="false">IF($B28="","",INDEX(MASTER_DATABASE!$Q$4:$Q$1000,$B28)&amp;"")</f>
        <v>Depends on Department</v>
      </c>
      <c r="N28" s="7" t="str">
        <f aca="false">IF($B28="","",INDEX(MASTER_DATABASE!$AG$4:$AG$1000,$B28)&amp;"")</f>
        <v>To Verify</v>
      </c>
      <c r="O28" s="11" t="str">
        <f aca="false">IF($B28="","",INDEX(MASTER_DATABASE!$AH$4:$AH$1000,$B28)&amp;"")</f>
        <v>No</v>
      </c>
      <c r="P28" s="11" t="str">
        <f aca="false">IF($B28="","",INDEX(MASTER_DATABASE!$BE$4:$BE$1000,$B28)&amp;"")</f>
        <v>HIDDEN</v>
      </c>
      <c r="Q28" s="7" t="str">
        <f aca="false">IF($B28="","",INDEX(MASTER_DATABASE!$AV$4:$AV$1000,$B28)&amp;"")</f>
        <v>To Verify</v>
      </c>
    </row>
    <row r="29" customFormat="false" ht="23.85" hidden="false" customHeight="false" outlineLevel="0" collapsed="false">
      <c r="A29" s="11" t="n">
        <v>26</v>
      </c>
      <c r="B29" s="11" t="n">
        <f aca="false">IFERROR(MATCH("BASUDHA Kendra|"&amp;$A29,MASTER_DATABASE!$BH$4:$BH$1000,0),"")</f>
        <v>104</v>
      </c>
      <c r="C29" s="11" t="str">
        <f aca="false">IF($B29="","",INDEX(MASTER_DATABASE!$A$4:$A$1000,$B29)&amp;"")</f>
        <v>BAS-026</v>
      </c>
      <c r="D29" s="7" t="str">
        <f aca="false">IF($B29="","",INDEX(MASTER_DATABASE!$D$4:$D$1000,$B29)&amp;"")</f>
        <v>Public Service Applications</v>
      </c>
      <c r="E29" s="7" t="str">
        <f aca="false">IF($B29="","",INDEX(MASTER_DATABASE!$E$4:$E$1000,$B29)&amp;"")</f>
        <v>Application Acknowledgement / Receipt Print</v>
      </c>
      <c r="F29" s="7" t="str">
        <f aca="false">IF($B29="","",INDEX(MASTER_DATABASE!$F$4:$F$1000,$B29)&amp;"")</f>
        <v>आवेदन पावती / रसीद प्रिंट</v>
      </c>
      <c r="G29" s="11" t="str">
        <f aca="false">IF($B29="","",INDEX(MASTER_DATABASE!$I$4:$I$1000,$B29)&amp;"")</f>
        <v>Portal Dependent</v>
      </c>
      <c r="H29" s="7" t="str">
        <f aca="false">IF($B29="","",INDEX(MASTER_DATABASE!$L$4:$L$1000,$B29)&amp;"")</f>
        <v>Portal Dependent</v>
      </c>
      <c r="I29" s="9" t="str">
        <f aca="false">IF($B29="","",INDEX(MASTER_DATABASE!$R$4:$R$1000,$B29))</f>
        <v>To Verify</v>
      </c>
      <c r="J29" s="9" t="str">
        <f aca="false">IF($B29="","",INDEX(MASTER_DATABASE!$S$4:$S$1000,$B29))</f>
        <v>To Verify</v>
      </c>
      <c r="K29" s="9" t="str">
        <f aca="false">IF($B29="","",INDEX(MASTER_DATABASE!$T$4:$T$1000,$B29))</f>
        <v>To Verify</v>
      </c>
      <c r="L29" s="7" t="str">
        <f aca="false">IF($B29="","",INDEX(MASTER_DATABASE!$U$4:$U$1000,$B29)&amp;"")</f>
        <v>To Verify</v>
      </c>
      <c r="M29" s="7" t="str">
        <f aca="false">IF($B29="","",INDEX(MASTER_DATABASE!$Q$4:$Q$1000,$B29)&amp;"")</f>
        <v>Depends on Department</v>
      </c>
      <c r="N29" s="7" t="str">
        <f aca="false">IF($B29="","",INDEX(MASTER_DATABASE!$AG$4:$AG$1000,$B29)&amp;"")</f>
        <v>To Verify</v>
      </c>
      <c r="O29" s="11" t="str">
        <f aca="false">IF($B29="","",INDEX(MASTER_DATABASE!$AH$4:$AH$1000,$B29)&amp;"")</f>
        <v>No</v>
      </c>
      <c r="P29" s="11" t="str">
        <f aca="false">IF($B29="","",INDEX(MASTER_DATABASE!$BE$4:$BE$1000,$B29)&amp;"")</f>
        <v>HIDDEN</v>
      </c>
      <c r="Q29" s="7" t="str">
        <f aca="false">IF($B29="","",INDEX(MASTER_DATABASE!$AV$4:$AV$1000,$B29)&amp;"")</f>
        <v>To Verify</v>
      </c>
    </row>
    <row r="30" customFormat="false" ht="23.85" hidden="false" customHeight="false" outlineLevel="0" collapsed="false">
      <c r="A30" s="11" t="n">
        <v>27</v>
      </c>
      <c r="B30" s="11" t="n">
        <f aca="false">IFERROR(MATCH("BASUDHA Kendra|"&amp;$A30,MASTER_DATABASE!$BH$4:$BH$1000,0),"")</f>
        <v>105</v>
      </c>
      <c r="C30" s="11" t="str">
        <f aca="false">IF($B30="","",INDEX(MASTER_DATABASE!$A$4:$A$1000,$B30)&amp;"")</f>
        <v>BAS-027</v>
      </c>
      <c r="D30" s="7" t="str">
        <f aca="false">IF($B30="","",INDEX(MASTER_DATABASE!$D$4:$D$1000,$B30)&amp;"")</f>
        <v>Public Service Applications</v>
      </c>
      <c r="E30" s="7" t="str">
        <f aca="false">IF($B30="","",INDEX(MASTER_DATABASE!$E$4:$E$1000,$B30)&amp;"")</f>
        <v>Public Grievance / Complaint Filing Assistance</v>
      </c>
      <c r="F30" s="7" t="str">
        <f aca="false">IF($B30="","",INDEX(MASTER_DATABASE!$F$4:$F$1000,$B30)&amp;"")</f>
        <v>सरकारी शिकायत / जनसुनवाई दर्ज करने में सहायता</v>
      </c>
      <c r="G30" s="11" t="str">
        <f aca="false">IF($B30="","",INDEX(MASTER_DATABASE!$I$4:$I$1000,$B30)&amp;"")</f>
        <v>To Verify</v>
      </c>
      <c r="H30" s="7" t="str">
        <f aca="false">IF($B30="","",INDEX(MASTER_DATABASE!$L$4:$L$1000,$B30)&amp;"")</f>
        <v>To Verify</v>
      </c>
      <c r="I30" s="9" t="str">
        <f aca="false">IF($B30="","",INDEX(MASTER_DATABASE!$R$4:$R$1000,$B30))</f>
        <v>To Verify</v>
      </c>
      <c r="J30" s="9" t="str">
        <f aca="false">IF($B30="","",INDEX(MASTER_DATABASE!$S$4:$S$1000,$B30))</f>
        <v>To Verify</v>
      </c>
      <c r="K30" s="9" t="str">
        <f aca="false">IF($B30="","",INDEX(MASTER_DATABASE!$T$4:$T$1000,$B30))</f>
        <v>To Verify</v>
      </c>
      <c r="L30" s="7" t="str">
        <f aca="false">IF($B30="","",INDEX(MASTER_DATABASE!$U$4:$U$1000,$B30)&amp;"")</f>
        <v>To Verify</v>
      </c>
      <c r="M30" s="7" t="str">
        <f aca="false">IF($B30="","",INDEX(MASTER_DATABASE!$Q$4:$Q$1000,$B30)&amp;"")</f>
        <v>Depends on Department</v>
      </c>
      <c r="N30" s="7" t="str">
        <f aca="false">IF($B30="","",INDEX(MASTER_DATABASE!$AG$4:$AG$1000,$B30)&amp;"")</f>
        <v>To Verify</v>
      </c>
      <c r="O30" s="11" t="str">
        <f aca="false">IF($B30="","",INDEX(MASTER_DATABASE!$AH$4:$AH$1000,$B30)&amp;"")</f>
        <v>No</v>
      </c>
      <c r="P30" s="11" t="str">
        <f aca="false">IF($B30="","",INDEX(MASTER_DATABASE!$BE$4:$BE$1000,$B30)&amp;"")</f>
        <v>HIDDEN</v>
      </c>
      <c r="Q30" s="7" t="str">
        <f aca="false">IF($B30="","",INDEX(MASTER_DATABASE!$AV$4:$AV$1000,$B30)&amp;"")</f>
        <v>To Verify</v>
      </c>
    </row>
    <row r="31" customFormat="false" ht="15" hidden="false" customHeight="false" outlineLevel="0" collapsed="false">
      <c r="A31" s="11" t="n">
        <v>28</v>
      </c>
      <c r="B31" s="11" t="str">
        <f aca="false">IFERROR(MATCH("BASUDHA Kendra|"&amp;$A31,MASTER_DATABASE!$BH$4:$BH$1000,0),"")</f>
        <v/>
      </c>
      <c r="C31" s="11" t="str">
        <f aca="false">IF($B31="","",INDEX(MASTER_DATABASE!$A$4:$A$1000,$B31)&amp;"")</f>
        <v/>
      </c>
      <c r="D31" s="7" t="str">
        <f aca="false">IF($B31="","",INDEX(MASTER_DATABASE!$D$4:$D$1000,$B31)&amp;"")</f>
        <v/>
      </c>
      <c r="E31" s="7" t="str">
        <f aca="false">IF($B31="","",INDEX(MASTER_DATABASE!$E$4:$E$1000,$B31)&amp;"")</f>
        <v/>
      </c>
      <c r="F31" s="7" t="str">
        <f aca="false">IF($B31="","",INDEX(MASTER_DATABASE!$F$4:$F$1000,$B31)&amp;"")</f>
        <v/>
      </c>
      <c r="G31" s="11" t="str">
        <f aca="false">IF($B31="","",INDEX(MASTER_DATABASE!$I$4:$I$1000,$B31)&amp;"")</f>
        <v/>
      </c>
      <c r="H31" s="7" t="str">
        <f aca="false">IF($B31="","",INDEX(MASTER_DATABASE!$L$4:$L$1000,$B31)&amp;"")</f>
        <v/>
      </c>
      <c r="I31" s="9" t="str">
        <f aca="false">IF($B31="","",INDEX(MASTER_DATABASE!$R$4:$R$1000,$B31))</f>
        <v/>
      </c>
      <c r="J31" s="9" t="str">
        <f aca="false">IF($B31="","",INDEX(MASTER_DATABASE!$S$4:$S$1000,$B31))</f>
        <v/>
      </c>
      <c r="K31" s="9" t="str">
        <f aca="false">IF($B31="","",INDEX(MASTER_DATABASE!$T$4:$T$1000,$B31))</f>
        <v/>
      </c>
      <c r="L31" s="7" t="str">
        <f aca="false">IF($B31="","",INDEX(MASTER_DATABASE!$U$4:$U$1000,$B31)&amp;"")</f>
        <v/>
      </c>
      <c r="M31" s="7" t="str">
        <f aca="false">IF($B31="","",INDEX(MASTER_DATABASE!$Q$4:$Q$1000,$B31)&amp;"")</f>
        <v/>
      </c>
      <c r="N31" s="7" t="str">
        <f aca="false">IF($B31="","",INDEX(MASTER_DATABASE!$AG$4:$AG$1000,$B31)&amp;"")</f>
        <v/>
      </c>
      <c r="O31" s="11" t="str">
        <f aca="false">IF($B31="","",INDEX(MASTER_DATABASE!$AH$4:$AH$1000,$B31)&amp;"")</f>
        <v/>
      </c>
      <c r="P31" s="11" t="str">
        <f aca="false">IF($B31="","",INDEX(MASTER_DATABASE!$BE$4:$BE$1000,$B31)&amp;"")</f>
        <v/>
      </c>
      <c r="Q31" s="7" t="str">
        <f aca="false">IF($B31="","",INDEX(MASTER_DATABASE!$AV$4:$AV$1000,$B31)&amp;"")</f>
        <v/>
      </c>
    </row>
    <row r="32" customFormat="false" ht="15" hidden="false" customHeight="false" outlineLevel="0" collapsed="false">
      <c r="A32" s="11" t="n">
        <v>29</v>
      </c>
      <c r="B32" s="11" t="str">
        <f aca="false">IFERROR(MATCH("BASUDHA Kendra|"&amp;$A32,MASTER_DATABASE!$BH$4:$BH$1000,0),"")</f>
        <v/>
      </c>
      <c r="C32" s="11" t="str">
        <f aca="false">IF($B32="","",INDEX(MASTER_DATABASE!$A$4:$A$1000,$B32)&amp;"")</f>
        <v/>
      </c>
      <c r="D32" s="7" t="str">
        <f aca="false">IF($B32="","",INDEX(MASTER_DATABASE!$D$4:$D$1000,$B32)&amp;"")</f>
        <v/>
      </c>
      <c r="E32" s="7" t="str">
        <f aca="false">IF($B32="","",INDEX(MASTER_DATABASE!$E$4:$E$1000,$B32)&amp;"")</f>
        <v/>
      </c>
      <c r="F32" s="7" t="str">
        <f aca="false">IF($B32="","",INDEX(MASTER_DATABASE!$F$4:$F$1000,$B32)&amp;"")</f>
        <v/>
      </c>
      <c r="G32" s="11" t="str">
        <f aca="false">IF($B32="","",INDEX(MASTER_DATABASE!$I$4:$I$1000,$B32)&amp;"")</f>
        <v/>
      </c>
      <c r="H32" s="7" t="str">
        <f aca="false">IF($B32="","",INDEX(MASTER_DATABASE!$L$4:$L$1000,$B32)&amp;"")</f>
        <v/>
      </c>
      <c r="I32" s="9" t="str">
        <f aca="false">IF($B32="","",INDEX(MASTER_DATABASE!$R$4:$R$1000,$B32))</f>
        <v/>
      </c>
      <c r="J32" s="9" t="str">
        <f aca="false">IF($B32="","",INDEX(MASTER_DATABASE!$S$4:$S$1000,$B32))</f>
        <v/>
      </c>
      <c r="K32" s="9" t="str">
        <f aca="false">IF($B32="","",INDEX(MASTER_DATABASE!$T$4:$T$1000,$B32))</f>
        <v/>
      </c>
      <c r="L32" s="7" t="str">
        <f aca="false">IF($B32="","",INDEX(MASTER_DATABASE!$U$4:$U$1000,$B32)&amp;"")</f>
        <v/>
      </c>
      <c r="M32" s="7" t="str">
        <f aca="false">IF($B32="","",INDEX(MASTER_DATABASE!$Q$4:$Q$1000,$B32)&amp;"")</f>
        <v/>
      </c>
      <c r="N32" s="7" t="str">
        <f aca="false">IF($B32="","",INDEX(MASTER_DATABASE!$AG$4:$AG$1000,$B32)&amp;"")</f>
        <v/>
      </c>
      <c r="O32" s="11" t="str">
        <f aca="false">IF($B32="","",INDEX(MASTER_DATABASE!$AH$4:$AH$1000,$B32)&amp;"")</f>
        <v/>
      </c>
      <c r="P32" s="11" t="str">
        <f aca="false">IF($B32="","",INDEX(MASTER_DATABASE!$BE$4:$BE$1000,$B32)&amp;"")</f>
        <v/>
      </c>
      <c r="Q32" s="7" t="str">
        <f aca="false">IF($B32="","",INDEX(MASTER_DATABASE!$AV$4:$AV$1000,$B32)&amp;"")</f>
        <v/>
      </c>
    </row>
    <row r="33" customFormat="false" ht="15" hidden="false" customHeight="false" outlineLevel="0" collapsed="false">
      <c r="A33" s="11" t="n">
        <v>30</v>
      </c>
      <c r="B33" s="11" t="str">
        <f aca="false">IFERROR(MATCH("BASUDHA Kendra|"&amp;$A33,MASTER_DATABASE!$BH$4:$BH$1000,0),"")</f>
        <v/>
      </c>
      <c r="C33" s="11" t="str">
        <f aca="false">IF($B33="","",INDEX(MASTER_DATABASE!$A$4:$A$1000,$B33)&amp;"")</f>
        <v/>
      </c>
      <c r="D33" s="7" t="str">
        <f aca="false">IF($B33="","",INDEX(MASTER_DATABASE!$D$4:$D$1000,$B33)&amp;"")</f>
        <v/>
      </c>
      <c r="E33" s="7" t="str">
        <f aca="false">IF($B33="","",INDEX(MASTER_DATABASE!$E$4:$E$1000,$B33)&amp;"")</f>
        <v/>
      </c>
      <c r="F33" s="7" t="str">
        <f aca="false">IF($B33="","",INDEX(MASTER_DATABASE!$F$4:$F$1000,$B33)&amp;"")</f>
        <v/>
      </c>
      <c r="G33" s="11" t="str">
        <f aca="false">IF($B33="","",INDEX(MASTER_DATABASE!$I$4:$I$1000,$B33)&amp;"")</f>
        <v/>
      </c>
      <c r="H33" s="7" t="str">
        <f aca="false">IF($B33="","",INDEX(MASTER_DATABASE!$L$4:$L$1000,$B33)&amp;"")</f>
        <v/>
      </c>
      <c r="I33" s="9" t="str">
        <f aca="false">IF($B33="","",INDEX(MASTER_DATABASE!$R$4:$R$1000,$B33))</f>
        <v/>
      </c>
      <c r="J33" s="9" t="str">
        <f aca="false">IF($B33="","",INDEX(MASTER_DATABASE!$S$4:$S$1000,$B33))</f>
        <v/>
      </c>
      <c r="K33" s="9" t="str">
        <f aca="false">IF($B33="","",INDEX(MASTER_DATABASE!$T$4:$T$1000,$B33))</f>
        <v/>
      </c>
      <c r="L33" s="7" t="str">
        <f aca="false">IF($B33="","",INDEX(MASTER_DATABASE!$U$4:$U$1000,$B33)&amp;"")</f>
        <v/>
      </c>
      <c r="M33" s="7" t="str">
        <f aca="false">IF($B33="","",INDEX(MASTER_DATABASE!$Q$4:$Q$1000,$B33)&amp;"")</f>
        <v/>
      </c>
      <c r="N33" s="7" t="str">
        <f aca="false">IF($B33="","",INDEX(MASTER_DATABASE!$AG$4:$AG$1000,$B33)&amp;"")</f>
        <v/>
      </c>
      <c r="O33" s="11" t="str">
        <f aca="false">IF($B33="","",INDEX(MASTER_DATABASE!$AH$4:$AH$1000,$B33)&amp;"")</f>
        <v/>
      </c>
      <c r="P33" s="11" t="str">
        <f aca="false">IF($B33="","",INDEX(MASTER_DATABASE!$BE$4:$BE$1000,$B33)&amp;"")</f>
        <v/>
      </c>
      <c r="Q33" s="7" t="str">
        <f aca="false">IF($B33="","",INDEX(MASTER_DATABASE!$AV$4:$AV$1000,$B33)&amp;"")</f>
        <v/>
      </c>
    </row>
    <row r="34" customFormat="false" ht="15" hidden="false" customHeight="false" outlineLevel="0" collapsed="false">
      <c r="A34" s="11" t="n">
        <v>31</v>
      </c>
      <c r="B34" s="11" t="str">
        <f aca="false">IFERROR(MATCH("BASUDHA Kendra|"&amp;$A34,MASTER_DATABASE!$BH$4:$BH$1000,0),"")</f>
        <v/>
      </c>
      <c r="C34" s="11" t="str">
        <f aca="false">IF($B34="","",INDEX(MASTER_DATABASE!$A$4:$A$1000,$B34)&amp;"")</f>
        <v/>
      </c>
      <c r="D34" s="7" t="str">
        <f aca="false">IF($B34="","",INDEX(MASTER_DATABASE!$D$4:$D$1000,$B34)&amp;"")</f>
        <v/>
      </c>
      <c r="E34" s="7" t="str">
        <f aca="false">IF($B34="","",INDEX(MASTER_DATABASE!$E$4:$E$1000,$B34)&amp;"")</f>
        <v/>
      </c>
      <c r="F34" s="7" t="str">
        <f aca="false">IF($B34="","",INDEX(MASTER_DATABASE!$F$4:$F$1000,$B34)&amp;"")</f>
        <v/>
      </c>
      <c r="G34" s="11" t="str">
        <f aca="false">IF($B34="","",INDEX(MASTER_DATABASE!$I$4:$I$1000,$B34)&amp;"")</f>
        <v/>
      </c>
      <c r="H34" s="7" t="str">
        <f aca="false">IF($B34="","",INDEX(MASTER_DATABASE!$L$4:$L$1000,$B34)&amp;"")</f>
        <v/>
      </c>
      <c r="I34" s="9" t="str">
        <f aca="false">IF($B34="","",INDEX(MASTER_DATABASE!$R$4:$R$1000,$B34))</f>
        <v/>
      </c>
      <c r="J34" s="9" t="str">
        <f aca="false">IF($B34="","",INDEX(MASTER_DATABASE!$S$4:$S$1000,$B34))</f>
        <v/>
      </c>
      <c r="K34" s="9" t="str">
        <f aca="false">IF($B34="","",INDEX(MASTER_DATABASE!$T$4:$T$1000,$B34))</f>
        <v/>
      </c>
      <c r="L34" s="7" t="str">
        <f aca="false">IF($B34="","",INDEX(MASTER_DATABASE!$U$4:$U$1000,$B34)&amp;"")</f>
        <v/>
      </c>
      <c r="M34" s="7" t="str">
        <f aca="false">IF($B34="","",INDEX(MASTER_DATABASE!$Q$4:$Q$1000,$B34)&amp;"")</f>
        <v/>
      </c>
      <c r="N34" s="7" t="str">
        <f aca="false">IF($B34="","",INDEX(MASTER_DATABASE!$AG$4:$AG$1000,$B34)&amp;"")</f>
        <v/>
      </c>
      <c r="O34" s="11" t="str">
        <f aca="false">IF($B34="","",INDEX(MASTER_DATABASE!$AH$4:$AH$1000,$B34)&amp;"")</f>
        <v/>
      </c>
      <c r="P34" s="11" t="str">
        <f aca="false">IF($B34="","",INDEX(MASTER_DATABASE!$BE$4:$BE$1000,$B34)&amp;"")</f>
        <v/>
      </c>
      <c r="Q34" s="7" t="str">
        <f aca="false">IF($B34="","",INDEX(MASTER_DATABASE!$AV$4:$AV$1000,$B34)&amp;"")</f>
        <v/>
      </c>
    </row>
    <row r="35" customFormat="false" ht="15" hidden="false" customHeight="false" outlineLevel="0" collapsed="false">
      <c r="A35" s="11" t="n">
        <v>32</v>
      </c>
      <c r="B35" s="11" t="str">
        <f aca="false">IFERROR(MATCH("BASUDHA Kendra|"&amp;$A35,MASTER_DATABASE!$BH$4:$BH$1000,0),"")</f>
        <v/>
      </c>
      <c r="C35" s="11" t="str">
        <f aca="false">IF($B35="","",INDEX(MASTER_DATABASE!$A$4:$A$1000,$B35)&amp;"")</f>
        <v/>
      </c>
      <c r="D35" s="7" t="str">
        <f aca="false">IF($B35="","",INDEX(MASTER_DATABASE!$D$4:$D$1000,$B35)&amp;"")</f>
        <v/>
      </c>
      <c r="E35" s="7" t="str">
        <f aca="false">IF($B35="","",INDEX(MASTER_DATABASE!$E$4:$E$1000,$B35)&amp;"")</f>
        <v/>
      </c>
      <c r="F35" s="7" t="str">
        <f aca="false">IF($B35="","",INDEX(MASTER_DATABASE!$F$4:$F$1000,$B35)&amp;"")</f>
        <v/>
      </c>
      <c r="G35" s="11" t="str">
        <f aca="false">IF($B35="","",INDEX(MASTER_DATABASE!$I$4:$I$1000,$B35)&amp;"")</f>
        <v/>
      </c>
      <c r="H35" s="7" t="str">
        <f aca="false">IF($B35="","",INDEX(MASTER_DATABASE!$L$4:$L$1000,$B35)&amp;"")</f>
        <v/>
      </c>
      <c r="I35" s="9" t="str">
        <f aca="false">IF($B35="","",INDEX(MASTER_DATABASE!$R$4:$R$1000,$B35))</f>
        <v/>
      </c>
      <c r="J35" s="9" t="str">
        <f aca="false">IF($B35="","",INDEX(MASTER_DATABASE!$S$4:$S$1000,$B35))</f>
        <v/>
      </c>
      <c r="K35" s="9" t="str">
        <f aca="false">IF($B35="","",INDEX(MASTER_DATABASE!$T$4:$T$1000,$B35))</f>
        <v/>
      </c>
      <c r="L35" s="7" t="str">
        <f aca="false">IF($B35="","",INDEX(MASTER_DATABASE!$U$4:$U$1000,$B35)&amp;"")</f>
        <v/>
      </c>
      <c r="M35" s="7" t="str">
        <f aca="false">IF($B35="","",INDEX(MASTER_DATABASE!$Q$4:$Q$1000,$B35)&amp;"")</f>
        <v/>
      </c>
      <c r="N35" s="7" t="str">
        <f aca="false">IF($B35="","",INDEX(MASTER_DATABASE!$AG$4:$AG$1000,$B35)&amp;"")</f>
        <v/>
      </c>
      <c r="O35" s="11" t="str">
        <f aca="false">IF($B35="","",INDEX(MASTER_DATABASE!$AH$4:$AH$1000,$B35)&amp;"")</f>
        <v/>
      </c>
      <c r="P35" s="11" t="str">
        <f aca="false">IF($B35="","",INDEX(MASTER_DATABASE!$BE$4:$BE$1000,$B35)&amp;"")</f>
        <v/>
      </c>
      <c r="Q35" s="7" t="str">
        <f aca="false">IF($B35="","",INDEX(MASTER_DATABASE!$AV$4:$AV$1000,$B35)&amp;"")</f>
        <v/>
      </c>
    </row>
    <row r="36" customFormat="false" ht="15" hidden="false" customHeight="false" outlineLevel="0" collapsed="false">
      <c r="A36" s="11" t="n">
        <v>33</v>
      </c>
      <c r="B36" s="11" t="str">
        <f aca="false">IFERROR(MATCH("BASUDHA Kendra|"&amp;$A36,MASTER_DATABASE!$BH$4:$BH$1000,0),"")</f>
        <v/>
      </c>
      <c r="C36" s="11" t="str">
        <f aca="false">IF($B36="","",INDEX(MASTER_DATABASE!$A$4:$A$1000,$B36)&amp;"")</f>
        <v/>
      </c>
      <c r="D36" s="7" t="str">
        <f aca="false">IF($B36="","",INDEX(MASTER_DATABASE!$D$4:$D$1000,$B36)&amp;"")</f>
        <v/>
      </c>
      <c r="E36" s="7" t="str">
        <f aca="false">IF($B36="","",INDEX(MASTER_DATABASE!$E$4:$E$1000,$B36)&amp;"")</f>
        <v/>
      </c>
      <c r="F36" s="7" t="str">
        <f aca="false">IF($B36="","",INDEX(MASTER_DATABASE!$F$4:$F$1000,$B36)&amp;"")</f>
        <v/>
      </c>
      <c r="G36" s="11" t="str">
        <f aca="false">IF($B36="","",INDEX(MASTER_DATABASE!$I$4:$I$1000,$B36)&amp;"")</f>
        <v/>
      </c>
      <c r="H36" s="7" t="str">
        <f aca="false">IF($B36="","",INDEX(MASTER_DATABASE!$L$4:$L$1000,$B36)&amp;"")</f>
        <v/>
      </c>
      <c r="I36" s="9" t="str">
        <f aca="false">IF($B36="","",INDEX(MASTER_DATABASE!$R$4:$R$1000,$B36))</f>
        <v/>
      </c>
      <c r="J36" s="9" t="str">
        <f aca="false">IF($B36="","",INDEX(MASTER_DATABASE!$S$4:$S$1000,$B36))</f>
        <v/>
      </c>
      <c r="K36" s="9" t="str">
        <f aca="false">IF($B36="","",INDEX(MASTER_DATABASE!$T$4:$T$1000,$B36))</f>
        <v/>
      </c>
      <c r="L36" s="7" t="str">
        <f aca="false">IF($B36="","",INDEX(MASTER_DATABASE!$U$4:$U$1000,$B36)&amp;"")</f>
        <v/>
      </c>
      <c r="M36" s="7" t="str">
        <f aca="false">IF($B36="","",INDEX(MASTER_DATABASE!$Q$4:$Q$1000,$B36)&amp;"")</f>
        <v/>
      </c>
      <c r="N36" s="7" t="str">
        <f aca="false">IF($B36="","",INDEX(MASTER_DATABASE!$AG$4:$AG$1000,$B36)&amp;"")</f>
        <v/>
      </c>
      <c r="O36" s="11" t="str">
        <f aca="false">IF($B36="","",INDEX(MASTER_DATABASE!$AH$4:$AH$1000,$B36)&amp;"")</f>
        <v/>
      </c>
      <c r="P36" s="11" t="str">
        <f aca="false">IF($B36="","",INDEX(MASTER_DATABASE!$BE$4:$BE$1000,$B36)&amp;"")</f>
        <v/>
      </c>
      <c r="Q36" s="7" t="str">
        <f aca="false">IF($B36="","",INDEX(MASTER_DATABASE!$AV$4:$AV$1000,$B36)&amp;"")</f>
        <v/>
      </c>
    </row>
    <row r="37" customFormat="false" ht="15" hidden="false" customHeight="false" outlineLevel="0" collapsed="false">
      <c r="A37" s="11" t="n">
        <v>34</v>
      </c>
      <c r="B37" s="11" t="str">
        <f aca="false">IFERROR(MATCH("BASUDHA Kendra|"&amp;$A37,MASTER_DATABASE!$BH$4:$BH$1000,0),"")</f>
        <v/>
      </c>
      <c r="C37" s="11" t="str">
        <f aca="false">IF($B37="","",INDEX(MASTER_DATABASE!$A$4:$A$1000,$B37)&amp;"")</f>
        <v/>
      </c>
      <c r="D37" s="7" t="str">
        <f aca="false">IF($B37="","",INDEX(MASTER_DATABASE!$D$4:$D$1000,$B37)&amp;"")</f>
        <v/>
      </c>
      <c r="E37" s="7" t="str">
        <f aca="false">IF($B37="","",INDEX(MASTER_DATABASE!$E$4:$E$1000,$B37)&amp;"")</f>
        <v/>
      </c>
      <c r="F37" s="7" t="str">
        <f aca="false">IF($B37="","",INDEX(MASTER_DATABASE!$F$4:$F$1000,$B37)&amp;"")</f>
        <v/>
      </c>
      <c r="G37" s="11" t="str">
        <f aca="false">IF($B37="","",INDEX(MASTER_DATABASE!$I$4:$I$1000,$B37)&amp;"")</f>
        <v/>
      </c>
      <c r="H37" s="7" t="str">
        <f aca="false">IF($B37="","",INDEX(MASTER_DATABASE!$L$4:$L$1000,$B37)&amp;"")</f>
        <v/>
      </c>
      <c r="I37" s="9" t="str">
        <f aca="false">IF($B37="","",INDEX(MASTER_DATABASE!$R$4:$R$1000,$B37))</f>
        <v/>
      </c>
      <c r="J37" s="9" t="str">
        <f aca="false">IF($B37="","",INDEX(MASTER_DATABASE!$S$4:$S$1000,$B37))</f>
        <v/>
      </c>
      <c r="K37" s="9" t="str">
        <f aca="false">IF($B37="","",INDEX(MASTER_DATABASE!$T$4:$T$1000,$B37))</f>
        <v/>
      </c>
      <c r="L37" s="7" t="str">
        <f aca="false">IF($B37="","",INDEX(MASTER_DATABASE!$U$4:$U$1000,$B37)&amp;"")</f>
        <v/>
      </c>
      <c r="M37" s="7" t="str">
        <f aca="false">IF($B37="","",INDEX(MASTER_DATABASE!$Q$4:$Q$1000,$B37)&amp;"")</f>
        <v/>
      </c>
      <c r="N37" s="7" t="str">
        <f aca="false">IF($B37="","",INDEX(MASTER_DATABASE!$AG$4:$AG$1000,$B37)&amp;"")</f>
        <v/>
      </c>
      <c r="O37" s="11" t="str">
        <f aca="false">IF($B37="","",INDEX(MASTER_DATABASE!$AH$4:$AH$1000,$B37)&amp;"")</f>
        <v/>
      </c>
      <c r="P37" s="11" t="str">
        <f aca="false">IF($B37="","",INDEX(MASTER_DATABASE!$BE$4:$BE$1000,$B37)&amp;"")</f>
        <v/>
      </c>
      <c r="Q37" s="7" t="str">
        <f aca="false">IF($B37="","",INDEX(MASTER_DATABASE!$AV$4:$AV$1000,$B37)&amp;"")</f>
        <v/>
      </c>
    </row>
    <row r="38" customFormat="false" ht="15" hidden="false" customHeight="false" outlineLevel="0" collapsed="false">
      <c r="A38" s="11" t="n">
        <v>35</v>
      </c>
      <c r="B38" s="11" t="str">
        <f aca="false">IFERROR(MATCH("BASUDHA Kendra|"&amp;$A38,MASTER_DATABASE!$BH$4:$BH$1000,0),"")</f>
        <v/>
      </c>
      <c r="C38" s="11" t="str">
        <f aca="false">IF($B38="","",INDEX(MASTER_DATABASE!$A$4:$A$1000,$B38)&amp;"")</f>
        <v/>
      </c>
      <c r="D38" s="7" t="str">
        <f aca="false">IF($B38="","",INDEX(MASTER_DATABASE!$D$4:$D$1000,$B38)&amp;"")</f>
        <v/>
      </c>
      <c r="E38" s="7" t="str">
        <f aca="false">IF($B38="","",INDEX(MASTER_DATABASE!$E$4:$E$1000,$B38)&amp;"")</f>
        <v/>
      </c>
      <c r="F38" s="7" t="str">
        <f aca="false">IF($B38="","",INDEX(MASTER_DATABASE!$F$4:$F$1000,$B38)&amp;"")</f>
        <v/>
      </c>
      <c r="G38" s="11" t="str">
        <f aca="false">IF($B38="","",INDEX(MASTER_DATABASE!$I$4:$I$1000,$B38)&amp;"")</f>
        <v/>
      </c>
      <c r="H38" s="7" t="str">
        <f aca="false">IF($B38="","",INDEX(MASTER_DATABASE!$L$4:$L$1000,$B38)&amp;"")</f>
        <v/>
      </c>
      <c r="I38" s="9" t="str">
        <f aca="false">IF($B38="","",INDEX(MASTER_DATABASE!$R$4:$R$1000,$B38))</f>
        <v/>
      </c>
      <c r="J38" s="9" t="str">
        <f aca="false">IF($B38="","",INDEX(MASTER_DATABASE!$S$4:$S$1000,$B38))</f>
        <v/>
      </c>
      <c r="K38" s="9" t="str">
        <f aca="false">IF($B38="","",INDEX(MASTER_DATABASE!$T$4:$T$1000,$B38))</f>
        <v/>
      </c>
      <c r="L38" s="7" t="str">
        <f aca="false">IF($B38="","",INDEX(MASTER_DATABASE!$U$4:$U$1000,$B38)&amp;"")</f>
        <v/>
      </c>
      <c r="M38" s="7" t="str">
        <f aca="false">IF($B38="","",INDEX(MASTER_DATABASE!$Q$4:$Q$1000,$B38)&amp;"")</f>
        <v/>
      </c>
      <c r="N38" s="7" t="str">
        <f aca="false">IF($B38="","",INDEX(MASTER_DATABASE!$AG$4:$AG$1000,$B38)&amp;"")</f>
        <v/>
      </c>
      <c r="O38" s="11" t="str">
        <f aca="false">IF($B38="","",INDEX(MASTER_DATABASE!$AH$4:$AH$1000,$B38)&amp;"")</f>
        <v/>
      </c>
      <c r="P38" s="11" t="str">
        <f aca="false">IF($B38="","",INDEX(MASTER_DATABASE!$BE$4:$BE$1000,$B38)&amp;"")</f>
        <v/>
      </c>
      <c r="Q38" s="7" t="str">
        <f aca="false">IF($B38="","",INDEX(MASTER_DATABASE!$AV$4:$AV$1000,$B38)&amp;"")</f>
        <v/>
      </c>
    </row>
    <row r="39" customFormat="false" ht="15" hidden="false" customHeight="false" outlineLevel="0" collapsed="false">
      <c r="A39" s="11" t="n">
        <v>36</v>
      </c>
      <c r="B39" s="11" t="str">
        <f aca="false">IFERROR(MATCH("BASUDHA Kendra|"&amp;$A39,MASTER_DATABASE!$BH$4:$BH$1000,0),"")</f>
        <v/>
      </c>
      <c r="C39" s="11" t="str">
        <f aca="false">IF($B39="","",INDEX(MASTER_DATABASE!$A$4:$A$1000,$B39)&amp;"")</f>
        <v/>
      </c>
      <c r="D39" s="7" t="str">
        <f aca="false">IF($B39="","",INDEX(MASTER_DATABASE!$D$4:$D$1000,$B39)&amp;"")</f>
        <v/>
      </c>
      <c r="E39" s="7" t="str">
        <f aca="false">IF($B39="","",INDEX(MASTER_DATABASE!$E$4:$E$1000,$B39)&amp;"")</f>
        <v/>
      </c>
      <c r="F39" s="7" t="str">
        <f aca="false">IF($B39="","",INDEX(MASTER_DATABASE!$F$4:$F$1000,$B39)&amp;"")</f>
        <v/>
      </c>
      <c r="G39" s="11" t="str">
        <f aca="false">IF($B39="","",INDEX(MASTER_DATABASE!$I$4:$I$1000,$B39)&amp;"")</f>
        <v/>
      </c>
      <c r="H39" s="7" t="str">
        <f aca="false">IF($B39="","",INDEX(MASTER_DATABASE!$L$4:$L$1000,$B39)&amp;"")</f>
        <v/>
      </c>
      <c r="I39" s="9" t="str">
        <f aca="false">IF($B39="","",INDEX(MASTER_DATABASE!$R$4:$R$1000,$B39))</f>
        <v/>
      </c>
      <c r="J39" s="9" t="str">
        <f aca="false">IF($B39="","",INDEX(MASTER_DATABASE!$S$4:$S$1000,$B39))</f>
        <v/>
      </c>
      <c r="K39" s="9" t="str">
        <f aca="false">IF($B39="","",INDEX(MASTER_DATABASE!$T$4:$T$1000,$B39))</f>
        <v/>
      </c>
      <c r="L39" s="7" t="str">
        <f aca="false">IF($B39="","",INDEX(MASTER_DATABASE!$U$4:$U$1000,$B39)&amp;"")</f>
        <v/>
      </c>
      <c r="M39" s="7" t="str">
        <f aca="false">IF($B39="","",INDEX(MASTER_DATABASE!$Q$4:$Q$1000,$B39)&amp;"")</f>
        <v/>
      </c>
      <c r="N39" s="7" t="str">
        <f aca="false">IF($B39="","",INDEX(MASTER_DATABASE!$AG$4:$AG$1000,$B39)&amp;"")</f>
        <v/>
      </c>
      <c r="O39" s="11" t="str">
        <f aca="false">IF($B39="","",INDEX(MASTER_DATABASE!$AH$4:$AH$1000,$B39)&amp;"")</f>
        <v/>
      </c>
      <c r="P39" s="11" t="str">
        <f aca="false">IF($B39="","",INDEX(MASTER_DATABASE!$BE$4:$BE$1000,$B39)&amp;"")</f>
        <v/>
      </c>
      <c r="Q39" s="7" t="str">
        <f aca="false">IF($B39="","",INDEX(MASTER_DATABASE!$AV$4:$AV$1000,$B39)&amp;"")</f>
        <v/>
      </c>
    </row>
    <row r="40" customFormat="false" ht="15" hidden="false" customHeight="false" outlineLevel="0" collapsed="false">
      <c r="A40" s="11" t="n">
        <v>37</v>
      </c>
      <c r="B40" s="11" t="str">
        <f aca="false">IFERROR(MATCH("BASUDHA Kendra|"&amp;$A40,MASTER_DATABASE!$BH$4:$BH$1000,0),"")</f>
        <v/>
      </c>
      <c r="C40" s="11" t="str">
        <f aca="false">IF($B40="","",INDEX(MASTER_DATABASE!$A$4:$A$1000,$B40)&amp;"")</f>
        <v/>
      </c>
      <c r="D40" s="7" t="str">
        <f aca="false">IF($B40="","",INDEX(MASTER_DATABASE!$D$4:$D$1000,$B40)&amp;"")</f>
        <v/>
      </c>
      <c r="E40" s="7" t="str">
        <f aca="false">IF($B40="","",INDEX(MASTER_DATABASE!$E$4:$E$1000,$B40)&amp;"")</f>
        <v/>
      </c>
      <c r="F40" s="7" t="str">
        <f aca="false">IF($B40="","",INDEX(MASTER_DATABASE!$F$4:$F$1000,$B40)&amp;"")</f>
        <v/>
      </c>
      <c r="G40" s="11" t="str">
        <f aca="false">IF($B40="","",INDEX(MASTER_DATABASE!$I$4:$I$1000,$B40)&amp;"")</f>
        <v/>
      </c>
      <c r="H40" s="7" t="str">
        <f aca="false">IF($B40="","",INDEX(MASTER_DATABASE!$L$4:$L$1000,$B40)&amp;"")</f>
        <v/>
      </c>
      <c r="I40" s="9" t="str">
        <f aca="false">IF($B40="","",INDEX(MASTER_DATABASE!$R$4:$R$1000,$B40))</f>
        <v/>
      </c>
      <c r="J40" s="9" t="str">
        <f aca="false">IF($B40="","",INDEX(MASTER_DATABASE!$S$4:$S$1000,$B40))</f>
        <v/>
      </c>
      <c r="K40" s="9" t="str">
        <f aca="false">IF($B40="","",INDEX(MASTER_DATABASE!$T$4:$T$1000,$B40))</f>
        <v/>
      </c>
      <c r="L40" s="7" t="str">
        <f aca="false">IF($B40="","",INDEX(MASTER_DATABASE!$U$4:$U$1000,$B40)&amp;"")</f>
        <v/>
      </c>
      <c r="M40" s="7" t="str">
        <f aca="false">IF($B40="","",INDEX(MASTER_DATABASE!$Q$4:$Q$1000,$B40)&amp;"")</f>
        <v/>
      </c>
      <c r="N40" s="7" t="str">
        <f aca="false">IF($B40="","",INDEX(MASTER_DATABASE!$AG$4:$AG$1000,$B40)&amp;"")</f>
        <v/>
      </c>
      <c r="O40" s="11" t="str">
        <f aca="false">IF($B40="","",INDEX(MASTER_DATABASE!$AH$4:$AH$1000,$B40)&amp;"")</f>
        <v/>
      </c>
      <c r="P40" s="11" t="str">
        <f aca="false">IF($B40="","",INDEX(MASTER_DATABASE!$BE$4:$BE$1000,$B40)&amp;"")</f>
        <v/>
      </c>
      <c r="Q40" s="7" t="str">
        <f aca="false">IF($B40="","",INDEX(MASTER_DATABASE!$AV$4:$AV$1000,$B40)&amp;"")</f>
        <v/>
      </c>
    </row>
    <row r="41" customFormat="false" ht="15" hidden="false" customHeight="false" outlineLevel="0" collapsed="false">
      <c r="A41" s="11" t="n">
        <v>38</v>
      </c>
      <c r="B41" s="11" t="str">
        <f aca="false">IFERROR(MATCH("BASUDHA Kendra|"&amp;$A41,MASTER_DATABASE!$BH$4:$BH$1000,0),"")</f>
        <v/>
      </c>
      <c r="C41" s="11" t="str">
        <f aca="false">IF($B41="","",INDEX(MASTER_DATABASE!$A$4:$A$1000,$B41)&amp;"")</f>
        <v/>
      </c>
      <c r="D41" s="7" t="str">
        <f aca="false">IF($B41="","",INDEX(MASTER_DATABASE!$D$4:$D$1000,$B41)&amp;"")</f>
        <v/>
      </c>
      <c r="E41" s="7" t="str">
        <f aca="false">IF($B41="","",INDEX(MASTER_DATABASE!$E$4:$E$1000,$B41)&amp;"")</f>
        <v/>
      </c>
      <c r="F41" s="7" t="str">
        <f aca="false">IF($B41="","",INDEX(MASTER_DATABASE!$F$4:$F$1000,$B41)&amp;"")</f>
        <v/>
      </c>
      <c r="G41" s="11" t="str">
        <f aca="false">IF($B41="","",INDEX(MASTER_DATABASE!$I$4:$I$1000,$B41)&amp;"")</f>
        <v/>
      </c>
      <c r="H41" s="7" t="str">
        <f aca="false">IF($B41="","",INDEX(MASTER_DATABASE!$L$4:$L$1000,$B41)&amp;"")</f>
        <v/>
      </c>
      <c r="I41" s="9" t="str">
        <f aca="false">IF($B41="","",INDEX(MASTER_DATABASE!$R$4:$R$1000,$B41))</f>
        <v/>
      </c>
      <c r="J41" s="9" t="str">
        <f aca="false">IF($B41="","",INDEX(MASTER_DATABASE!$S$4:$S$1000,$B41))</f>
        <v/>
      </c>
      <c r="K41" s="9" t="str">
        <f aca="false">IF($B41="","",INDEX(MASTER_DATABASE!$T$4:$T$1000,$B41))</f>
        <v/>
      </c>
      <c r="L41" s="7" t="str">
        <f aca="false">IF($B41="","",INDEX(MASTER_DATABASE!$U$4:$U$1000,$B41)&amp;"")</f>
        <v/>
      </c>
      <c r="M41" s="7" t="str">
        <f aca="false">IF($B41="","",INDEX(MASTER_DATABASE!$Q$4:$Q$1000,$B41)&amp;"")</f>
        <v/>
      </c>
      <c r="N41" s="7" t="str">
        <f aca="false">IF($B41="","",INDEX(MASTER_DATABASE!$AG$4:$AG$1000,$B41)&amp;"")</f>
        <v/>
      </c>
      <c r="O41" s="11" t="str">
        <f aca="false">IF($B41="","",INDEX(MASTER_DATABASE!$AH$4:$AH$1000,$B41)&amp;"")</f>
        <v/>
      </c>
      <c r="P41" s="11" t="str">
        <f aca="false">IF($B41="","",INDEX(MASTER_DATABASE!$BE$4:$BE$1000,$B41)&amp;"")</f>
        <v/>
      </c>
      <c r="Q41" s="7" t="str">
        <f aca="false">IF($B41="","",INDEX(MASTER_DATABASE!$AV$4:$AV$1000,$B41)&amp;"")</f>
        <v/>
      </c>
    </row>
    <row r="42" customFormat="false" ht="15" hidden="false" customHeight="false" outlineLevel="0" collapsed="false">
      <c r="A42" s="11" t="n">
        <v>39</v>
      </c>
      <c r="B42" s="11" t="str">
        <f aca="false">IFERROR(MATCH("BASUDHA Kendra|"&amp;$A42,MASTER_DATABASE!$BH$4:$BH$1000,0),"")</f>
        <v/>
      </c>
      <c r="C42" s="11" t="str">
        <f aca="false">IF($B42="","",INDEX(MASTER_DATABASE!$A$4:$A$1000,$B42)&amp;"")</f>
        <v/>
      </c>
      <c r="D42" s="7" t="str">
        <f aca="false">IF($B42="","",INDEX(MASTER_DATABASE!$D$4:$D$1000,$B42)&amp;"")</f>
        <v/>
      </c>
      <c r="E42" s="7" t="str">
        <f aca="false">IF($B42="","",INDEX(MASTER_DATABASE!$E$4:$E$1000,$B42)&amp;"")</f>
        <v/>
      </c>
      <c r="F42" s="7" t="str">
        <f aca="false">IF($B42="","",INDEX(MASTER_DATABASE!$F$4:$F$1000,$B42)&amp;"")</f>
        <v/>
      </c>
      <c r="G42" s="11" t="str">
        <f aca="false">IF($B42="","",INDEX(MASTER_DATABASE!$I$4:$I$1000,$B42)&amp;"")</f>
        <v/>
      </c>
      <c r="H42" s="7" t="str">
        <f aca="false">IF($B42="","",INDEX(MASTER_DATABASE!$L$4:$L$1000,$B42)&amp;"")</f>
        <v/>
      </c>
      <c r="I42" s="9" t="str">
        <f aca="false">IF($B42="","",INDEX(MASTER_DATABASE!$R$4:$R$1000,$B42))</f>
        <v/>
      </c>
      <c r="J42" s="9" t="str">
        <f aca="false">IF($B42="","",INDEX(MASTER_DATABASE!$S$4:$S$1000,$B42))</f>
        <v/>
      </c>
      <c r="K42" s="9" t="str">
        <f aca="false">IF($B42="","",INDEX(MASTER_DATABASE!$T$4:$T$1000,$B42))</f>
        <v/>
      </c>
      <c r="L42" s="7" t="str">
        <f aca="false">IF($B42="","",INDEX(MASTER_DATABASE!$U$4:$U$1000,$B42)&amp;"")</f>
        <v/>
      </c>
      <c r="M42" s="7" t="str">
        <f aca="false">IF($B42="","",INDEX(MASTER_DATABASE!$Q$4:$Q$1000,$B42)&amp;"")</f>
        <v/>
      </c>
      <c r="N42" s="7" t="str">
        <f aca="false">IF($B42="","",INDEX(MASTER_DATABASE!$AG$4:$AG$1000,$B42)&amp;"")</f>
        <v/>
      </c>
      <c r="O42" s="11" t="str">
        <f aca="false">IF($B42="","",INDEX(MASTER_DATABASE!$AH$4:$AH$1000,$B42)&amp;"")</f>
        <v/>
      </c>
      <c r="P42" s="11" t="str">
        <f aca="false">IF($B42="","",INDEX(MASTER_DATABASE!$BE$4:$BE$1000,$B42)&amp;"")</f>
        <v/>
      </c>
      <c r="Q42" s="7" t="str">
        <f aca="false">IF($B42="","",INDEX(MASTER_DATABASE!$AV$4:$AV$1000,$B42)&amp;"")</f>
        <v/>
      </c>
    </row>
    <row r="43" customFormat="false" ht="15" hidden="false" customHeight="false" outlineLevel="0" collapsed="false">
      <c r="A43" s="11" t="n">
        <v>40</v>
      </c>
      <c r="B43" s="11" t="str">
        <f aca="false">IFERROR(MATCH("BASUDHA Kendra|"&amp;$A43,MASTER_DATABASE!$BH$4:$BH$1000,0),"")</f>
        <v/>
      </c>
      <c r="C43" s="11" t="str">
        <f aca="false">IF($B43="","",INDEX(MASTER_DATABASE!$A$4:$A$1000,$B43)&amp;"")</f>
        <v/>
      </c>
      <c r="D43" s="7" t="str">
        <f aca="false">IF($B43="","",INDEX(MASTER_DATABASE!$D$4:$D$1000,$B43)&amp;"")</f>
        <v/>
      </c>
      <c r="E43" s="7" t="str">
        <f aca="false">IF($B43="","",INDEX(MASTER_DATABASE!$E$4:$E$1000,$B43)&amp;"")</f>
        <v/>
      </c>
      <c r="F43" s="7" t="str">
        <f aca="false">IF($B43="","",INDEX(MASTER_DATABASE!$F$4:$F$1000,$B43)&amp;"")</f>
        <v/>
      </c>
      <c r="G43" s="11" t="str">
        <f aca="false">IF($B43="","",INDEX(MASTER_DATABASE!$I$4:$I$1000,$B43)&amp;"")</f>
        <v/>
      </c>
      <c r="H43" s="7" t="str">
        <f aca="false">IF($B43="","",INDEX(MASTER_DATABASE!$L$4:$L$1000,$B43)&amp;"")</f>
        <v/>
      </c>
      <c r="I43" s="9" t="str">
        <f aca="false">IF($B43="","",INDEX(MASTER_DATABASE!$R$4:$R$1000,$B43))</f>
        <v/>
      </c>
      <c r="J43" s="9" t="str">
        <f aca="false">IF($B43="","",INDEX(MASTER_DATABASE!$S$4:$S$1000,$B43))</f>
        <v/>
      </c>
      <c r="K43" s="9" t="str">
        <f aca="false">IF($B43="","",INDEX(MASTER_DATABASE!$T$4:$T$1000,$B43))</f>
        <v/>
      </c>
      <c r="L43" s="7" t="str">
        <f aca="false">IF($B43="","",INDEX(MASTER_DATABASE!$U$4:$U$1000,$B43)&amp;"")</f>
        <v/>
      </c>
      <c r="M43" s="7" t="str">
        <f aca="false">IF($B43="","",INDEX(MASTER_DATABASE!$Q$4:$Q$1000,$B43)&amp;"")</f>
        <v/>
      </c>
      <c r="N43" s="7" t="str">
        <f aca="false">IF($B43="","",INDEX(MASTER_DATABASE!$AG$4:$AG$1000,$B43)&amp;"")</f>
        <v/>
      </c>
      <c r="O43" s="11" t="str">
        <f aca="false">IF($B43="","",INDEX(MASTER_DATABASE!$AH$4:$AH$1000,$B43)&amp;"")</f>
        <v/>
      </c>
      <c r="P43" s="11" t="str">
        <f aca="false">IF($B43="","",INDEX(MASTER_DATABASE!$BE$4:$BE$1000,$B43)&amp;"")</f>
        <v/>
      </c>
      <c r="Q43" s="7" t="str">
        <f aca="false">IF($B43="","",INDEX(MASTER_DATABASE!$AV$4:$AV$1000,$B43)&amp;"")</f>
        <v/>
      </c>
    </row>
    <row r="44" customFormat="false" ht="15" hidden="false" customHeight="false" outlineLevel="0" collapsed="false">
      <c r="A44" s="11" t="n">
        <v>41</v>
      </c>
      <c r="B44" s="11" t="str">
        <f aca="false">IFERROR(MATCH("BASUDHA Kendra|"&amp;$A44,MASTER_DATABASE!$BH$4:$BH$1000,0),"")</f>
        <v/>
      </c>
      <c r="C44" s="11" t="str">
        <f aca="false">IF($B44="","",INDEX(MASTER_DATABASE!$A$4:$A$1000,$B44)&amp;"")</f>
        <v/>
      </c>
      <c r="D44" s="7" t="str">
        <f aca="false">IF($B44="","",INDEX(MASTER_DATABASE!$D$4:$D$1000,$B44)&amp;"")</f>
        <v/>
      </c>
      <c r="E44" s="7" t="str">
        <f aca="false">IF($B44="","",INDEX(MASTER_DATABASE!$E$4:$E$1000,$B44)&amp;"")</f>
        <v/>
      </c>
      <c r="F44" s="7" t="str">
        <f aca="false">IF($B44="","",INDEX(MASTER_DATABASE!$F$4:$F$1000,$B44)&amp;"")</f>
        <v/>
      </c>
      <c r="G44" s="11" t="str">
        <f aca="false">IF($B44="","",INDEX(MASTER_DATABASE!$I$4:$I$1000,$B44)&amp;"")</f>
        <v/>
      </c>
      <c r="H44" s="7" t="str">
        <f aca="false">IF($B44="","",INDEX(MASTER_DATABASE!$L$4:$L$1000,$B44)&amp;"")</f>
        <v/>
      </c>
      <c r="I44" s="9" t="str">
        <f aca="false">IF($B44="","",INDEX(MASTER_DATABASE!$R$4:$R$1000,$B44))</f>
        <v/>
      </c>
      <c r="J44" s="9" t="str">
        <f aca="false">IF($B44="","",INDEX(MASTER_DATABASE!$S$4:$S$1000,$B44))</f>
        <v/>
      </c>
      <c r="K44" s="9" t="str">
        <f aca="false">IF($B44="","",INDEX(MASTER_DATABASE!$T$4:$T$1000,$B44))</f>
        <v/>
      </c>
      <c r="L44" s="7" t="str">
        <f aca="false">IF($B44="","",INDEX(MASTER_DATABASE!$U$4:$U$1000,$B44)&amp;"")</f>
        <v/>
      </c>
      <c r="M44" s="7" t="str">
        <f aca="false">IF($B44="","",INDEX(MASTER_DATABASE!$Q$4:$Q$1000,$B44)&amp;"")</f>
        <v/>
      </c>
      <c r="N44" s="7" t="str">
        <f aca="false">IF($B44="","",INDEX(MASTER_DATABASE!$AG$4:$AG$1000,$B44)&amp;"")</f>
        <v/>
      </c>
      <c r="O44" s="11" t="str">
        <f aca="false">IF($B44="","",INDEX(MASTER_DATABASE!$AH$4:$AH$1000,$B44)&amp;"")</f>
        <v/>
      </c>
      <c r="P44" s="11" t="str">
        <f aca="false">IF($B44="","",INDEX(MASTER_DATABASE!$BE$4:$BE$1000,$B44)&amp;"")</f>
        <v/>
      </c>
      <c r="Q44" s="7" t="str">
        <f aca="false">IF($B44="","",INDEX(MASTER_DATABASE!$AV$4:$AV$1000,$B44)&amp;"")</f>
        <v/>
      </c>
    </row>
    <row r="45" customFormat="false" ht="15" hidden="false" customHeight="false" outlineLevel="0" collapsed="false">
      <c r="A45" s="11" t="n">
        <v>42</v>
      </c>
      <c r="B45" s="11" t="str">
        <f aca="false">IFERROR(MATCH("BASUDHA Kendra|"&amp;$A45,MASTER_DATABASE!$BH$4:$BH$1000,0),"")</f>
        <v/>
      </c>
      <c r="C45" s="11" t="str">
        <f aca="false">IF($B45="","",INDEX(MASTER_DATABASE!$A$4:$A$1000,$B45)&amp;"")</f>
        <v/>
      </c>
      <c r="D45" s="7" t="str">
        <f aca="false">IF($B45="","",INDEX(MASTER_DATABASE!$D$4:$D$1000,$B45)&amp;"")</f>
        <v/>
      </c>
      <c r="E45" s="7" t="str">
        <f aca="false">IF($B45="","",INDEX(MASTER_DATABASE!$E$4:$E$1000,$B45)&amp;"")</f>
        <v/>
      </c>
      <c r="F45" s="7" t="str">
        <f aca="false">IF($B45="","",INDEX(MASTER_DATABASE!$F$4:$F$1000,$B45)&amp;"")</f>
        <v/>
      </c>
      <c r="G45" s="11" t="str">
        <f aca="false">IF($B45="","",INDEX(MASTER_DATABASE!$I$4:$I$1000,$B45)&amp;"")</f>
        <v/>
      </c>
      <c r="H45" s="7" t="str">
        <f aca="false">IF($B45="","",INDEX(MASTER_DATABASE!$L$4:$L$1000,$B45)&amp;"")</f>
        <v/>
      </c>
      <c r="I45" s="9" t="str">
        <f aca="false">IF($B45="","",INDEX(MASTER_DATABASE!$R$4:$R$1000,$B45))</f>
        <v/>
      </c>
      <c r="J45" s="9" t="str">
        <f aca="false">IF($B45="","",INDEX(MASTER_DATABASE!$S$4:$S$1000,$B45))</f>
        <v/>
      </c>
      <c r="K45" s="9" t="str">
        <f aca="false">IF($B45="","",INDEX(MASTER_DATABASE!$T$4:$T$1000,$B45))</f>
        <v/>
      </c>
      <c r="L45" s="7" t="str">
        <f aca="false">IF($B45="","",INDEX(MASTER_DATABASE!$U$4:$U$1000,$B45)&amp;"")</f>
        <v/>
      </c>
      <c r="M45" s="7" t="str">
        <f aca="false">IF($B45="","",INDEX(MASTER_DATABASE!$Q$4:$Q$1000,$B45)&amp;"")</f>
        <v/>
      </c>
      <c r="N45" s="7" t="str">
        <f aca="false">IF($B45="","",INDEX(MASTER_DATABASE!$AG$4:$AG$1000,$B45)&amp;"")</f>
        <v/>
      </c>
      <c r="O45" s="11" t="str">
        <f aca="false">IF($B45="","",INDEX(MASTER_DATABASE!$AH$4:$AH$1000,$B45)&amp;"")</f>
        <v/>
      </c>
      <c r="P45" s="11" t="str">
        <f aca="false">IF($B45="","",INDEX(MASTER_DATABASE!$BE$4:$BE$1000,$B45)&amp;"")</f>
        <v/>
      </c>
      <c r="Q45" s="7" t="str">
        <f aca="false">IF($B45="","",INDEX(MASTER_DATABASE!$AV$4:$AV$1000,$B45)&amp;"")</f>
        <v/>
      </c>
    </row>
    <row r="46" customFormat="false" ht="15" hidden="false" customHeight="false" outlineLevel="0" collapsed="false">
      <c r="A46" s="11" t="n">
        <v>43</v>
      </c>
      <c r="B46" s="11" t="str">
        <f aca="false">IFERROR(MATCH("BASUDHA Kendra|"&amp;$A46,MASTER_DATABASE!$BH$4:$BH$1000,0),"")</f>
        <v/>
      </c>
      <c r="C46" s="11" t="str">
        <f aca="false">IF($B46="","",INDEX(MASTER_DATABASE!$A$4:$A$1000,$B46)&amp;"")</f>
        <v/>
      </c>
      <c r="D46" s="7" t="str">
        <f aca="false">IF($B46="","",INDEX(MASTER_DATABASE!$D$4:$D$1000,$B46)&amp;"")</f>
        <v/>
      </c>
      <c r="E46" s="7" t="str">
        <f aca="false">IF($B46="","",INDEX(MASTER_DATABASE!$E$4:$E$1000,$B46)&amp;"")</f>
        <v/>
      </c>
      <c r="F46" s="7" t="str">
        <f aca="false">IF($B46="","",INDEX(MASTER_DATABASE!$F$4:$F$1000,$B46)&amp;"")</f>
        <v/>
      </c>
      <c r="G46" s="11" t="str">
        <f aca="false">IF($B46="","",INDEX(MASTER_DATABASE!$I$4:$I$1000,$B46)&amp;"")</f>
        <v/>
      </c>
      <c r="H46" s="7" t="str">
        <f aca="false">IF($B46="","",INDEX(MASTER_DATABASE!$L$4:$L$1000,$B46)&amp;"")</f>
        <v/>
      </c>
      <c r="I46" s="9" t="str">
        <f aca="false">IF($B46="","",INDEX(MASTER_DATABASE!$R$4:$R$1000,$B46))</f>
        <v/>
      </c>
      <c r="J46" s="9" t="str">
        <f aca="false">IF($B46="","",INDEX(MASTER_DATABASE!$S$4:$S$1000,$B46))</f>
        <v/>
      </c>
      <c r="K46" s="9" t="str">
        <f aca="false">IF($B46="","",INDEX(MASTER_DATABASE!$T$4:$T$1000,$B46))</f>
        <v/>
      </c>
      <c r="L46" s="7" t="str">
        <f aca="false">IF($B46="","",INDEX(MASTER_DATABASE!$U$4:$U$1000,$B46)&amp;"")</f>
        <v/>
      </c>
      <c r="M46" s="7" t="str">
        <f aca="false">IF($B46="","",INDEX(MASTER_DATABASE!$Q$4:$Q$1000,$B46)&amp;"")</f>
        <v/>
      </c>
      <c r="N46" s="7" t="str">
        <f aca="false">IF($B46="","",INDEX(MASTER_DATABASE!$AG$4:$AG$1000,$B46)&amp;"")</f>
        <v/>
      </c>
      <c r="O46" s="11" t="str">
        <f aca="false">IF($B46="","",INDEX(MASTER_DATABASE!$AH$4:$AH$1000,$B46)&amp;"")</f>
        <v/>
      </c>
      <c r="P46" s="11" t="str">
        <f aca="false">IF($B46="","",INDEX(MASTER_DATABASE!$BE$4:$BE$1000,$B46)&amp;"")</f>
        <v/>
      </c>
      <c r="Q46" s="7" t="str">
        <f aca="false">IF($B46="","",INDEX(MASTER_DATABASE!$AV$4:$AV$1000,$B46)&amp;"")</f>
        <v/>
      </c>
    </row>
    <row r="47" customFormat="false" ht="15" hidden="false" customHeight="false" outlineLevel="0" collapsed="false">
      <c r="A47" s="11" t="n">
        <v>44</v>
      </c>
      <c r="B47" s="11" t="str">
        <f aca="false">IFERROR(MATCH("BASUDHA Kendra|"&amp;$A47,MASTER_DATABASE!$BH$4:$BH$1000,0),"")</f>
        <v/>
      </c>
      <c r="C47" s="11" t="str">
        <f aca="false">IF($B47="","",INDEX(MASTER_DATABASE!$A$4:$A$1000,$B47)&amp;"")</f>
        <v/>
      </c>
      <c r="D47" s="7" t="str">
        <f aca="false">IF($B47="","",INDEX(MASTER_DATABASE!$D$4:$D$1000,$B47)&amp;"")</f>
        <v/>
      </c>
      <c r="E47" s="7" t="str">
        <f aca="false">IF($B47="","",INDEX(MASTER_DATABASE!$E$4:$E$1000,$B47)&amp;"")</f>
        <v/>
      </c>
      <c r="F47" s="7" t="str">
        <f aca="false">IF($B47="","",INDEX(MASTER_DATABASE!$F$4:$F$1000,$B47)&amp;"")</f>
        <v/>
      </c>
      <c r="G47" s="11" t="str">
        <f aca="false">IF($B47="","",INDEX(MASTER_DATABASE!$I$4:$I$1000,$B47)&amp;"")</f>
        <v/>
      </c>
      <c r="H47" s="7" t="str">
        <f aca="false">IF($B47="","",INDEX(MASTER_DATABASE!$L$4:$L$1000,$B47)&amp;"")</f>
        <v/>
      </c>
      <c r="I47" s="9" t="str">
        <f aca="false">IF($B47="","",INDEX(MASTER_DATABASE!$R$4:$R$1000,$B47))</f>
        <v/>
      </c>
      <c r="J47" s="9" t="str">
        <f aca="false">IF($B47="","",INDEX(MASTER_DATABASE!$S$4:$S$1000,$B47))</f>
        <v/>
      </c>
      <c r="K47" s="9" t="str">
        <f aca="false">IF($B47="","",INDEX(MASTER_DATABASE!$T$4:$T$1000,$B47))</f>
        <v/>
      </c>
      <c r="L47" s="7" t="str">
        <f aca="false">IF($B47="","",INDEX(MASTER_DATABASE!$U$4:$U$1000,$B47)&amp;"")</f>
        <v/>
      </c>
      <c r="M47" s="7" t="str">
        <f aca="false">IF($B47="","",INDEX(MASTER_DATABASE!$Q$4:$Q$1000,$B47)&amp;"")</f>
        <v/>
      </c>
      <c r="N47" s="7" t="str">
        <f aca="false">IF($B47="","",INDEX(MASTER_DATABASE!$AG$4:$AG$1000,$B47)&amp;"")</f>
        <v/>
      </c>
      <c r="O47" s="11" t="str">
        <f aca="false">IF($B47="","",INDEX(MASTER_DATABASE!$AH$4:$AH$1000,$B47)&amp;"")</f>
        <v/>
      </c>
      <c r="P47" s="11" t="str">
        <f aca="false">IF($B47="","",INDEX(MASTER_DATABASE!$BE$4:$BE$1000,$B47)&amp;"")</f>
        <v/>
      </c>
      <c r="Q47" s="7" t="str">
        <f aca="false">IF($B47="","",INDEX(MASTER_DATABASE!$AV$4:$AV$1000,$B47)&amp;"")</f>
        <v/>
      </c>
    </row>
    <row r="48" customFormat="false" ht="15" hidden="false" customHeight="false" outlineLevel="0" collapsed="false">
      <c r="A48" s="11" t="n">
        <v>45</v>
      </c>
      <c r="B48" s="11" t="str">
        <f aca="false">IFERROR(MATCH("BASUDHA Kendra|"&amp;$A48,MASTER_DATABASE!$BH$4:$BH$1000,0),"")</f>
        <v/>
      </c>
      <c r="C48" s="11" t="str">
        <f aca="false">IF($B48="","",INDEX(MASTER_DATABASE!$A$4:$A$1000,$B48)&amp;"")</f>
        <v/>
      </c>
      <c r="D48" s="7" t="str">
        <f aca="false">IF($B48="","",INDEX(MASTER_DATABASE!$D$4:$D$1000,$B48)&amp;"")</f>
        <v/>
      </c>
      <c r="E48" s="7" t="str">
        <f aca="false">IF($B48="","",INDEX(MASTER_DATABASE!$E$4:$E$1000,$B48)&amp;"")</f>
        <v/>
      </c>
      <c r="F48" s="7" t="str">
        <f aca="false">IF($B48="","",INDEX(MASTER_DATABASE!$F$4:$F$1000,$B48)&amp;"")</f>
        <v/>
      </c>
      <c r="G48" s="11" t="str">
        <f aca="false">IF($B48="","",INDEX(MASTER_DATABASE!$I$4:$I$1000,$B48)&amp;"")</f>
        <v/>
      </c>
      <c r="H48" s="7" t="str">
        <f aca="false">IF($B48="","",INDEX(MASTER_DATABASE!$L$4:$L$1000,$B48)&amp;"")</f>
        <v/>
      </c>
      <c r="I48" s="9" t="str">
        <f aca="false">IF($B48="","",INDEX(MASTER_DATABASE!$R$4:$R$1000,$B48))</f>
        <v/>
      </c>
      <c r="J48" s="9" t="str">
        <f aca="false">IF($B48="","",INDEX(MASTER_DATABASE!$S$4:$S$1000,$B48))</f>
        <v/>
      </c>
      <c r="K48" s="9" t="str">
        <f aca="false">IF($B48="","",INDEX(MASTER_DATABASE!$T$4:$T$1000,$B48))</f>
        <v/>
      </c>
      <c r="L48" s="7" t="str">
        <f aca="false">IF($B48="","",INDEX(MASTER_DATABASE!$U$4:$U$1000,$B48)&amp;"")</f>
        <v/>
      </c>
      <c r="M48" s="7" t="str">
        <f aca="false">IF($B48="","",INDEX(MASTER_DATABASE!$Q$4:$Q$1000,$B48)&amp;"")</f>
        <v/>
      </c>
      <c r="N48" s="7" t="str">
        <f aca="false">IF($B48="","",INDEX(MASTER_DATABASE!$AG$4:$AG$1000,$B48)&amp;"")</f>
        <v/>
      </c>
      <c r="O48" s="11" t="str">
        <f aca="false">IF($B48="","",INDEX(MASTER_DATABASE!$AH$4:$AH$1000,$B48)&amp;"")</f>
        <v/>
      </c>
      <c r="P48" s="11" t="str">
        <f aca="false">IF($B48="","",INDEX(MASTER_DATABASE!$BE$4:$BE$1000,$B48)&amp;"")</f>
        <v/>
      </c>
      <c r="Q48" s="7" t="str">
        <f aca="false">IF($B48="","",INDEX(MASTER_DATABASE!$AV$4:$AV$1000,$B48)&amp;"")</f>
        <v/>
      </c>
    </row>
    <row r="49" customFormat="false" ht="15" hidden="false" customHeight="false" outlineLevel="0" collapsed="false">
      <c r="A49" s="11" t="n">
        <v>46</v>
      </c>
      <c r="B49" s="11" t="str">
        <f aca="false">IFERROR(MATCH("BASUDHA Kendra|"&amp;$A49,MASTER_DATABASE!$BH$4:$BH$1000,0),"")</f>
        <v/>
      </c>
      <c r="C49" s="11" t="str">
        <f aca="false">IF($B49="","",INDEX(MASTER_DATABASE!$A$4:$A$1000,$B49)&amp;"")</f>
        <v/>
      </c>
      <c r="D49" s="7" t="str">
        <f aca="false">IF($B49="","",INDEX(MASTER_DATABASE!$D$4:$D$1000,$B49)&amp;"")</f>
        <v/>
      </c>
      <c r="E49" s="7" t="str">
        <f aca="false">IF($B49="","",INDEX(MASTER_DATABASE!$E$4:$E$1000,$B49)&amp;"")</f>
        <v/>
      </c>
      <c r="F49" s="7" t="str">
        <f aca="false">IF($B49="","",INDEX(MASTER_DATABASE!$F$4:$F$1000,$B49)&amp;"")</f>
        <v/>
      </c>
      <c r="G49" s="11" t="str">
        <f aca="false">IF($B49="","",INDEX(MASTER_DATABASE!$I$4:$I$1000,$B49)&amp;"")</f>
        <v/>
      </c>
      <c r="H49" s="7" t="str">
        <f aca="false">IF($B49="","",INDEX(MASTER_DATABASE!$L$4:$L$1000,$B49)&amp;"")</f>
        <v/>
      </c>
      <c r="I49" s="9" t="str">
        <f aca="false">IF($B49="","",INDEX(MASTER_DATABASE!$R$4:$R$1000,$B49))</f>
        <v/>
      </c>
      <c r="J49" s="9" t="str">
        <f aca="false">IF($B49="","",INDEX(MASTER_DATABASE!$S$4:$S$1000,$B49))</f>
        <v/>
      </c>
      <c r="K49" s="9" t="str">
        <f aca="false">IF($B49="","",INDEX(MASTER_DATABASE!$T$4:$T$1000,$B49))</f>
        <v/>
      </c>
      <c r="L49" s="7" t="str">
        <f aca="false">IF($B49="","",INDEX(MASTER_DATABASE!$U$4:$U$1000,$B49)&amp;"")</f>
        <v/>
      </c>
      <c r="M49" s="7" t="str">
        <f aca="false">IF($B49="","",INDEX(MASTER_DATABASE!$Q$4:$Q$1000,$B49)&amp;"")</f>
        <v/>
      </c>
      <c r="N49" s="7" t="str">
        <f aca="false">IF($B49="","",INDEX(MASTER_DATABASE!$AG$4:$AG$1000,$B49)&amp;"")</f>
        <v/>
      </c>
      <c r="O49" s="11" t="str">
        <f aca="false">IF($B49="","",INDEX(MASTER_DATABASE!$AH$4:$AH$1000,$B49)&amp;"")</f>
        <v/>
      </c>
      <c r="P49" s="11" t="str">
        <f aca="false">IF($B49="","",INDEX(MASTER_DATABASE!$BE$4:$BE$1000,$B49)&amp;"")</f>
        <v/>
      </c>
      <c r="Q49" s="7" t="str">
        <f aca="false">IF($B49="","",INDEX(MASTER_DATABASE!$AV$4:$AV$1000,$B49)&amp;"")</f>
        <v/>
      </c>
    </row>
    <row r="50" customFormat="false" ht="15" hidden="false" customHeight="false" outlineLevel="0" collapsed="false">
      <c r="A50" s="11" t="n">
        <v>47</v>
      </c>
      <c r="B50" s="11" t="str">
        <f aca="false">IFERROR(MATCH("BASUDHA Kendra|"&amp;$A50,MASTER_DATABASE!$BH$4:$BH$1000,0),"")</f>
        <v/>
      </c>
      <c r="C50" s="11" t="str">
        <f aca="false">IF($B50="","",INDEX(MASTER_DATABASE!$A$4:$A$1000,$B50)&amp;"")</f>
        <v/>
      </c>
      <c r="D50" s="7" t="str">
        <f aca="false">IF($B50="","",INDEX(MASTER_DATABASE!$D$4:$D$1000,$B50)&amp;"")</f>
        <v/>
      </c>
      <c r="E50" s="7" t="str">
        <f aca="false">IF($B50="","",INDEX(MASTER_DATABASE!$E$4:$E$1000,$B50)&amp;"")</f>
        <v/>
      </c>
      <c r="F50" s="7" t="str">
        <f aca="false">IF($B50="","",INDEX(MASTER_DATABASE!$F$4:$F$1000,$B50)&amp;"")</f>
        <v/>
      </c>
      <c r="G50" s="11" t="str">
        <f aca="false">IF($B50="","",INDEX(MASTER_DATABASE!$I$4:$I$1000,$B50)&amp;"")</f>
        <v/>
      </c>
      <c r="H50" s="7" t="str">
        <f aca="false">IF($B50="","",INDEX(MASTER_DATABASE!$L$4:$L$1000,$B50)&amp;"")</f>
        <v/>
      </c>
      <c r="I50" s="9" t="str">
        <f aca="false">IF($B50="","",INDEX(MASTER_DATABASE!$R$4:$R$1000,$B50))</f>
        <v/>
      </c>
      <c r="J50" s="9" t="str">
        <f aca="false">IF($B50="","",INDEX(MASTER_DATABASE!$S$4:$S$1000,$B50))</f>
        <v/>
      </c>
      <c r="K50" s="9" t="str">
        <f aca="false">IF($B50="","",INDEX(MASTER_DATABASE!$T$4:$T$1000,$B50))</f>
        <v/>
      </c>
      <c r="L50" s="7" t="str">
        <f aca="false">IF($B50="","",INDEX(MASTER_DATABASE!$U$4:$U$1000,$B50)&amp;"")</f>
        <v/>
      </c>
      <c r="M50" s="7" t="str">
        <f aca="false">IF($B50="","",INDEX(MASTER_DATABASE!$Q$4:$Q$1000,$B50)&amp;"")</f>
        <v/>
      </c>
      <c r="N50" s="7" t="str">
        <f aca="false">IF($B50="","",INDEX(MASTER_DATABASE!$AG$4:$AG$1000,$B50)&amp;"")</f>
        <v/>
      </c>
      <c r="O50" s="11" t="str">
        <f aca="false">IF($B50="","",INDEX(MASTER_DATABASE!$AH$4:$AH$1000,$B50)&amp;"")</f>
        <v/>
      </c>
      <c r="P50" s="11" t="str">
        <f aca="false">IF($B50="","",INDEX(MASTER_DATABASE!$BE$4:$BE$1000,$B50)&amp;"")</f>
        <v/>
      </c>
      <c r="Q50" s="7" t="str">
        <f aca="false">IF($B50="","",INDEX(MASTER_DATABASE!$AV$4:$AV$1000,$B50)&amp;"")</f>
        <v/>
      </c>
    </row>
    <row r="51" customFormat="false" ht="15" hidden="false" customHeight="false" outlineLevel="0" collapsed="false">
      <c r="A51" s="11" t="n">
        <v>48</v>
      </c>
      <c r="B51" s="11" t="str">
        <f aca="false">IFERROR(MATCH("BASUDHA Kendra|"&amp;$A51,MASTER_DATABASE!$BH$4:$BH$1000,0),"")</f>
        <v/>
      </c>
      <c r="C51" s="11" t="str">
        <f aca="false">IF($B51="","",INDEX(MASTER_DATABASE!$A$4:$A$1000,$B51)&amp;"")</f>
        <v/>
      </c>
      <c r="D51" s="7" t="str">
        <f aca="false">IF($B51="","",INDEX(MASTER_DATABASE!$D$4:$D$1000,$B51)&amp;"")</f>
        <v/>
      </c>
      <c r="E51" s="7" t="str">
        <f aca="false">IF($B51="","",INDEX(MASTER_DATABASE!$E$4:$E$1000,$B51)&amp;"")</f>
        <v/>
      </c>
      <c r="F51" s="7" t="str">
        <f aca="false">IF($B51="","",INDEX(MASTER_DATABASE!$F$4:$F$1000,$B51)&amp;"")</f>
        <v/>
      </c>
      <c r="G51" s="11" t="str">
        <f aca="false">IF($B51="","",INDEX(MASTER_DATABASE!$I$4:$I$1000,$B51)&amp;"")</f>
        <v/>
      </c>
      <c r="H51" s="7" t="str">
        <f aca="false">IF($B51="","",INDEX(MASTER_DATABASE!$L$4:$L$1000,$B51)&amp;"")</f>
        <v/>
      </c>
      <c r="I51" s="9" t="str">
        <f aca="false">IF($B51="","",INDEX(MASTER_DATABASE!$R$4:$R$1000,$B51))</f>
        <v/>
      </c>
      <c r="J51" s="9" t="str">
        <f aca="false">IF($B51="","",INDEX(MASTER_DATABASE!$S$4:$S$1000,$B51))</f>
        <v/>
      </c>
      <c r="K51" s="9" t="str">
        <f aca="false">IF($B51="","",INDEX(MASTER_DATABASE!$T$4:$T$1000,$B51))</f>
        <v/>
      </c>
      <c r="L51" s="7" t="str">
        <f aca="false">IF($B51="","",INDEX(MASTER_DATABASE!$U$4:$U$1000,$B51)&amp;"")</f>
        <v/>
      </c>
      <c r="M51" s="7" t="str">
        <f aca="false">IF($B51="","",INDEX(MASTER_DATABASE!$Q$4:$Q$1000,$B51)&amp;"")</f>
        <v/>
      </c>
      <c r="N51" s="7" t="str">
        <f aca="false">IF($B51="","",INDEX(MASTER_DATABASE!$AG$4:$AG$1000,$B51)&amp;"")</f>
        <v/>
      </c>
      <c r="O51" s="11" t="str">
        <f aca="false">IF($B51="","",INDEX(MASTER_DATABASE!$AH$4:$AH$1000,$B51)&amp;"")</f>
        <v/>
      </c>
      <c r="P51" s="11" t="str">
        <f aca="false">IF($B51="","",INDEX(MASTER_DATABASE!$BE$4:$BE$1000,$B51)&amp;"")</f>
        <v/>
      </c>
      <c r="Q51" s="7" t="str">
        <f aca="false">IF($B51="","",INDEX(MASTER_DATABASE!$AV$4:$AV$1000,$B51)&amp;"")</f>
        <v/>
      </c>
    </row>
    <row r="52" customFormat="false" ht="15" hidden="false" customHeight="false" outlineLevel="0" collapsed="false">
      <c r="A52" s="11" t="n">
        <v>49</v>
      </c>
      <c r="B52" s="11" t="str">
        <f aca="false">IFERROR(MATCH("BASUDHA Kendra|"&amp;$A52,MASTER_DATABASE!$BH$4:$BH$1000,0),"")</f>
        <v/>
      </c>
      <c r="C52" s="11" t="str">
        <f aca="false">IF($B52="","",INDEX(MASTER_DATABASE!$A$4:$A$1000,$B52)&amp;"")</f>
        <v/>
      </c>
      <c r="D52" s="7" t="str">
        <f aca="false">IF($B52="","",INDEX(MASTER_DATABASE!$D$4:$D$1000,$B52)&amp;"")</f>
        <v/>
      </c>
      <c r="E52" s="7" t="str">
        <f aca="false">IF($B52="","",INDEX(MASTER_DATABASE!$E$4:$E$1000,$B52)&amp;"")</f>
        <v/>
      </c>
      <c r="F52" s="7" t="str">
        <f aca="false">IF($B52="","",INDEX(MASTER_DATABASE!$F$4:$F$1000,$B52)&amp;"")</f>
        <v/>
      </c>
      <c r="G52" s="11" t="str">
        <f aca="false">IF($B52="","",INDEX(MASTER_DATABASE!$I$4:$I$1000,$B52)&amp;"")</f>
        <v/>
      </c>
      <c r="H52" s="7" t="str">
        <f aca="false">IF($B52="","",INDEX(MASTER_DATABASE!$L$4:$L$1000,$B52)&amp;"")</f>
        <v/>
      </c>
      <c r="I52" s="9" t="str">
        <f aca="false">IF($B52="","",INDEX(MASTER_DATABASE!$R$4:$R$1000,$B52))</f>
        <v/>
      </c>
      <c r="J52" s="9" t="str">
        <f aca="false">IF($B52="","",INDEX(MASTER_DATABASE!$S$4:$S$1000,$B52))</f>
        <v/>
      </c>
      <c r="K52" s="9" t="str">
        <f aca="false">IF($B52="","",INDEX(MASTER_DATABASE!$T$4:$T$1000,$B52))</f>
        <v/>
      </c>
      <c r="L52" s="7" t="str">
        <f aca="false">IF($B52="","",INDEX(MASTER_DATABASE!$U$4:$U$1000,$B52)&amp;"")</f>
        <v/>
      </c>
      <c r="M52" s="7" t="str">
        <f aca="false">IF($B52="","",INDEX(MASTER_DATABASE!$Q$4:$Q$1000,$B52)&amp;"")</f>
        <v/>
      </c>
      <c r="N52" s="7" t="str">
        <f aca="false">IF($B52="","",INDEX(MASTER_DATABASE!$AG$4:$AG$1000,$B52)&amp;"")</f>
        <v/>
      </c>
      <c r="O52" s="11" t="str">
        <f aca="false">IF($B52="","",INDEX(MASTER_DATABASE!$AH$4:$AH$1000,$B52)&amp;"")</f>
        <v/>
      </c>
      <c r="P52" s="11" t="str">
        <f aca="false">IF($B52="","",INDEX(MASTER_DATABASE!$BE$4:$BE$1000,$B52)&amp;"")</f>
        <v/>
      </c>
      <c r="Q52" s="7" t="str">
        <f aca="false">IF($B52="","",INDEX(MASTER_DATABASE!$AV$4:$AV$1000,$B52)&amp;"")</f>
        <v/>
      </c>
    </row>
    <row r="53" customFormat="false" ht="15" hidden="false" customHeight="false" outlineLevel="0" collapsed="false">
      <c r="A53" s="11" t="n">
        <v>50</v>
      </c>
      <c r="B53" s="11" t="str">
        <f aca="false">IFERROR(MATCH("BASUDHA Kendra|"&amp;$A53,MASTER_DATABASE!$BH$4:$BH$1000,0),"")</f>
        <v/>
      </c>
      <c r="C53" s="11" t="str">
        <f aca="false">IF($B53="","",INDEX(MASTER_DATABASE!$A$4:$A$1000,$B53)&amp;"")</f>
        <v/>
      </c>
      <c r="D53" s="7" t="str">
        <f aca="false">IF($B53="","",INDEX(MASTER_DATABASE!$D$4:$D$1000,$B53)&amp;"")</f>
        <v/>
      </c>
      <c r="E53" s="7" t="str">
        <f aca="false">IF($B53="","",INDEX(MASTER_DATABASE!$E$4:$E$1000,$B53)&amp;"")</f>
        <v/>
      </c>
      <c r="F53" s="7" t="str">
        <f aca="false">IF($B53="","",INDEX(MASTER_DATABASE!$F$4:$F$1000,$B53)&amp;"")</f>
        <v/>
      </c>
      <c r="G53" s="11" t="str">
        <f aca="false">IF($B53="","",INDEX(MASTER_DATABASE!$I$4:$I$1000,$B53)&amp;"")</f>
        <v/>
      </c>
      <c r="H53" s="7" t="str">
        <f aca="false">IF($B53="","",INDEX(MASTER_DATABASE!$L$4:$L$1000,$B53)&amp;"")</f>
        <v/>
      </c>
      <c r="I53" s="9" t="str">
        <f aca="false">IF($B53="","",INDEX(MASTER_DATABASE!$R$4:$R$1000,$B53))</f>
        <v/>
      </c>
      <c r="J53" s="9" t="str">
        <f aca="false">IF($B53="","",INDEX(MASTER_DATABASE!$S$4:$S$1000,$B53))</f>
        <v/>
      </c>
      <c r="K53" s="9" t="str">
        <f aca="false">IF($B53="","",INDEX(MASTER_DATABASE!$T$4:$T$1000,$B53))</f>
        <v/>
      </c>
      <c r="L53" s="7" t="str">
        <f aca="false">IF($B53="","",INDEX(MASTER_DATABASE!$U$4:$U$1000,$B53)&amp;"")</f>
        <v/>
      </c>
      <c r="M53" s="7" t="str">
        <f aca="false">IF($B53="","",INDEX(MASTER_DATABASE!$Q$4:$Q$1000,$B53)&amp;"")</f>
        <v/>
      </c>
      <c r="N53" s="7" t="str">
        <f aca="false">IF($B53="","",INDEX(MASTER_DATABASE!$AG$4:$AG$1000,$B53)&amp;"")</f>
        <v/>
      </c>
      <c r="O53" s="11" t="str">
        <f aca="false">IF($B53="","",INDEX(MASTER_DATABASE!$AH$4:$AH$1000,$B53)&amp;"")</f>
        <v/>
      </c>
      <c r="P53" s="11" t="str">
        <f aca="false">IF($B53="","",INDEX(MASTER_DATABASE!$BE$4:$BE$1000,$B53)&amp;"")</f>
        <v/>
      </c>
      <c r="Q53" s="7" t="str">
        <f aca="false">IF($B53="","",INDEX(MASTER_DATABASE!$AV$4:$AV$1000,$B53)&amp;"")</f>
        <v/>
      </c>
    </row>
    <row r="54" customFormat="false" ht="15" hidden="false" customHeight="false" outlineLevel="0" collapsed="false">
      <c r="A54" s="11" t="n">
        <v>51</v>
      </c>
      <c r="B54" s="11" t="str">
        <f aca="false">IFERROR(MATCH("BASUDHA Kendra|"&amp;$A54,MASTER_DATABASE!$BH$4:$BH$1000,0),"")</f>
        <v/>
      </c>
      <c r="C54" s="11" t="str">
        <f aca="false">IF($B54="","",INDEX(MASTER_DATABASE!$A$4:$A$1000,$B54)&amp;"")</f>
        <v/>
      </c>
      <c r="D54" s="7" t="str">
        <f aca="false">IF($B54="","",INDEX(MASTER_DATABASE!$D$4:$D$1000,$B54)&amp;"")</f>
        <v/>
      </c>
      <c r="E54" s="7" t="str">
        <f aca="false">IF($B54="","",INDEX(MASTER_DATABASE!$E$4:$E$1000,$B54)&amp;"")</f>
        <v/>
      </c>
      <c r="F54" s="7" t="str">
        <f aca="false">IF($B54="","",INDEX(MASTER_DATABASE!$F$4:$F$1000,$B54)&amp;"")</f>
        <v/>
      </c>
      <c r="G54" s="11" t="str">
        <f aca="false">IF($B54="","",INDEX(MASTER_DATABASE!$I$4:$I$1000,$B54)&amp;"")</f>
        <v/>
      </c>
      <c r="H54" s="7" t="str">
        <f aca="false">IF($B54="","",INDEX(MASTER_DATABASE!$L$4:$L$1000,$B54)&amp;"")</f>
        <v/>
      </c>
      <c r="I54" s="9" t="str">
        <f aca="false">IF($B54="","",INDEX(MASTER_DATABASE!$R$4:$R$1000,$B54))</f>
        <v/>
      </c>
      <c r="J54" s="9" t="str">
        <f aca="false">IF($B54="","",INDEX(MASTER_DATABASE!$S$4:$S$1000,$B54))</f>
        <v/>
      </c>
      <c r="K54" s="9" t="str">
        <f aca="false">IF($B54="","",INDEX(MASTER_DATABASE!$T$4:$T$1000,$B54))</f>
        <v/>
      </c>
      <c r="L54" s="7" t="str">
        <f aca="false">IF($B54="","",INDEX(MASTER_DATABASE!$U$4:$U$1000,$B54)&amp;"")</f>
        <v/>
      </c>
      <c r="M54" s="7" t="str">
        <f aca="false">IF($B54="","",INDEX(MASTER_DATABASE!$Q$4:$Q$1000,$B54)&amp;"")</f>
        <v/>
      </c>
      <c r="N54" s="7" t="str">
        <f aca="false">IF($B54="","",INDEX(MASTER_DATABASE!$AG$4:$AG$1000,$B54)&amp;"")</f>
        <v/>
      </c>
      <c r="O54" s="11" t="str">
        <f aca="false">IF($B54="","",INDEX(MASTER_DATABASE!$AH$4:$AH$1000,$B54)&amp;"")</f>
        <v/>
      </c>
      <c r="P54" s="11" t="str">
        <f aca="false">IF($B54="","",INDEX(MASTER_DATABASE!$BE$4:$BE$1000,$B54)&amp;"")</f>
        <v/>
      </c>
      <c r="Q54" s="7" t="str">
        <f aca="false">IF($B54="","",INDEX(MASTER_DATABASE!$AV$4:$AV$1000,$B54)&amp;"")</f>
        <v/>
      </c>
    </row>
    <row r="55" customFormat="false" ht="15" hidden="false" customHeight="false" outlineLevel="0" collapsed="false">
      <c r="A55" s="11" t="n">
        <v>52</v>
      </c>
      <c r="B55" s="11" t="str">
        <f aca="false">IFERROR(MATCH("BASUDHA Kendra|"&amp;$A55,MASTER_DATABASE!$BH$4:$BH$1000,0),"")</f>
        <v/>
      </c>
      <c r="C55" s="11" t="str">
        <f aca="false">IF($B55="","",INDEX(MASTER_DATABASE!$A$4:$A$1000,$B55)&amp;"")</f>
        <v/>
      </c>
      <c r="D55" s="7" t="str">
        <f aca="false">IF($B55="","",INDEX(MASTER_DATABASE!$D$4:$D$1000,$B55)&amp;"")</f>
        <v/>
      </c>
      <c r="E55" s="7" t="str">
        <f aca="false">IF($B55="","",INDEX(MASTER_DATABASE!$E$4:$E$1000,$B55)&amp;"")</f>
        <v/>
      </c>
      <c r="F55" s="7" t="str">
        <f aca="false">IF($B55="","",INDEX(MASTER_DATABASE!$F$4:$F$1000,$B55)&amp;"")</f>
        <v/>
      </c>
      <c r="G55" s="11" t="str">
        <f aca="false">IF($B55="","",INDEX(MASTER_DATABASE!$I$4:$I$1000,$B55)&amp;"")</f>
        <v/>
      </c>
      <c r="H55" s="7" t="str">
        <f aca="false">IF($B55="","",INDEX(MASTER_DATABASE!$L$4:$L$1000,$B55)&amp;"")</f>
        <v/>
      </c>
      <c r="I55" s="9" t="str">
        <f aca="false">IF($B55="","",INDEX(MASTER_DATABASE!$R$4:$R$1000,$B55))</f>
        <v/>
      </c>
      <c r="J55" s="9" t="str">
        <f aca="false">IF($B55="","",INDEX(MASTER_DATABASE!$S$4:$S$1000,$B55))</f>
        <v/>
      </c>
      <c r="K55" s="9" t="str">
        <f aca="false">IF($B55="","",INDEX(MASTER_DATABASE!$T$4:$T$1000,$B55))</f>
        <v/>
      </c>
      <c r="L55" s="7" t="str">
        <f aca="false">IF($B55="","",INDEX(MASTER_DATABASE!$U$4:$U$1000,$B55)&amp;"")</f>
        <v/>
      </c>
      <c r="M55" s="7" t="str">
        <f aca="false">IF($B55="","",INDEX(MASTER_DATABASE!$Q$4:$Q$1000,$B55)&amp;"")</f>
        <v/>
      </c>
      <c r="N55" s="7" t="str">
        <f aca="false">IF($B55="","",INDEX(MASTER_DATABASE!$AG$4:$AG$1000,$B55)&amp;"")</f>
        <v/>
      </c>
      <c r="O55" s="11" t="str">
        <f aca="false">IF($B55="","",INDEX(MASTER_DATABASE!$AH$4:$AH$1000,$B55)&amp;"")</f>
        <v/>
      </c>
      <c r="P55" s="11" t="str">
        <f aca="false">IF($B55="","",INDEX(MASTER_DATABASE!$BE$4:$BE$1000,$B55)&amp;"")</f>
        <v/>
      </c>
      <c r="Q55" s="7" t="str">
        <f aca="false">IF($B55="","",INDEX(MASTER_DATABASE!$AV$4:$AV$1000,$B55)&amp;"")</f>
        <v/>
      </c>
    </row>
  </sheetData>
  <conditionalFormatting sqref="G4:G55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55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55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7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3688</v>
      </c>
    </row>
    <row r="2" customFormat="false" ht="15" hidden="false" customHeight="false" outlineLevel="0" collapsed="false">
      <c r="A2" s="2" t="s">
        <v>3689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23.85" hidden="false" customHeight="false" outlineLevel="0" collapsed="false">
      <c r="A4" s="11" t="n">
        <v>1</v>
      </c>
      <c r="B4" s="11" t="n">
        <f aca="false">IFERROR(MATCH("Common Service Centre (CSC)|"&amp;$A4,MASTER_DATABASE!$BH$4:$BH$1000,0),"")</f>
        <v>106</v>
      </c>
      <c r="C4" s="11" t="str">
        <f aca="false">IF($B4="","",INDEX(MASTER_DATABASE!$A$4:$A$1000,$B4)&amp;"")</f>
        <v>CSC-001</v>
      </c>
      <c r="D4" s="7" t="str">
        <f aca="false">IF($B4="","",INDEX(MASTER_DATABASE!$D$4:$D$1000,$B4)&amp;"")</f>
        <v>Government Services</v>
      </c>
      <c r="E4" s="7" t="str">
        <f aca="false">IF($B4="","",INDEX(MASTER_DATABASE!$E$4:$E$1000,$B4)&amp;"")</f>
        <v>Passport Application Assistance</v>
      </c>
      <c r="F4" s="7" t="str">
        <f aca="false">IF($B4="","",INDEX(MASTER_DATABASE!$F$4:$F$1000,$B4)&amp;"")</f>
        <v>पासपोर्ट आवेदन सहायता</v>
      </c>
      <c r="G4" s="11" t="str">
        <f aca="false">IF($B4="","",INDEX(MASTER_DATABASE!$I$4:$I$1000,$B4)&amp;"")</f>
        <v>Portal Dependent</v>
      </c>
      <c r="H4" s="7" t="str">
        <f aca="false">IF($B4="","",INDEX(MASTER_DATABASE!$L$4:$L$1000,$B4)&amp;"")</f>
        <v>Portal Dependent</v>
      </c>
      <c r="I4" s="9" t="str">
        <f aca="false">IF($B4="","",INDEX(MASTER_DATABASE!$R$4:$R$1000,$B4))</f>
        <v>To Verify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To Verify</v>
      </c>
      <c r="M4" s="7" t="str">
        <f aca="false">IF($B4="","",INDEX(MASTER_DATABASE!$Q$4:$Q$1000,$B4)&amp;"")</f>
        <v>Depends on Department</v>
      </c>
      <c r="N4" s="7" t="str">
        <f aca="false">IF($B4="","",INDEX(MASTER_DATABASE!$AG$4:$AG$1000,$B4)&amp;"")</f>
        <v>To Verify</v>
      </c>
      <c r="O4" s="11" t="str">
        <f aca="false">IF($B4="","",INDEX(MASTER_DATABASE!$AH$4:$AH$1000,$B4)&amp;"")</f>
        <v>No</v>
      </c>
      <c r="P4" s="11" t="str">
        <f aca="false">IF($B4="","",INDEX(MASTER_DATABASE!$BE$4:$BE$1000,$B4)&amp;"")</f>
        <v>HIDDEN</v>
      </c>
      <c r="Q4" s="7" t="str">
        <f aca="false">IF($B4="","",INDEX(MASTER_DATABASE!$AV$4:$AV$1000,$B4)&amp;"")</f>
        <v>To Verify</v>
      </c>
    </row>
    <row r="5" customFormat="false" ht="23.85" hidden="false" customHeight="false" outlineLevel="0" collapsed="false">
      <c r="A5" s="11" t="n">
        <v>2</v>
      </c>
      <c r="B5" s="11" t="n">
        <f aca="false">IFERROR(MATCH("Common Service Centre (CSC)|"&amp;$A5,MASTER_DATABASE!$BH$4:$BH$1000,0),"")</f>
        <v>107</v>
      </c>
      <c r="C5" s="11" t="str">
        <f aca="false">IF($B5="","",INDEX(MASTER_DATABASE!$A$4:$A$1000,$B5)&amp;"")</f>
        <v>CSC-002</v>
      </c>
      <c r="D5" s="7" t="str">
        <f aca="false">IF($B5="","",INDEX(MASTER_DATABASE!$D$4:$D$1000,$B5)&amp;"")</f>
        <v>Government Services</v>
      </c>
      <c r="E5" s="7" t="str">
        <f aca="false">IF($B5="","",INDEX(MASTER_DATABASE!$E$4:$E$1000,$B5)&amp;"")</f>
        <v>Driving Licence / Learner Licence Application Assistance</v>
      </c>
      <c r="F5" s="7" t="str">
        <f aca="false">IF($B5="","",INDEX(MASTER_DATABASE!$F$4:$F$1000,$B5)&amp;"")</f>
        <v>ड्राइविंग / लर्नर लाइसेंस आवेदन सहायता</v>
      </c>
      <c r="G5" s="11" t="str">
        <f aca="false">IF($B5="","",INDEX(MASTER_DATABASE!$I$4:$I$1000,$B5)&amp;"")</f>
        <v>Portal Dependent</v>
      </c>
      <c r="H5" s="7" t="str">
        <f aca="false">IF($B5="","",INDEX(MASTER_DATABASE!$L$4:$L$1000,$B5)&amp;"")</f>
        <v>Portal Dependent</v>
      </c>
      <c r="I5" s="9" t="str">
        <f aca="false">IF($B5="","",INDEX(MASTER_DATABASE!$R$4:$R$1000,$B5))</f>
        <v>To Verify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To Verify</v>
      </c>
      <c r="M5" s="7" t="str">
        <f aca="false">IF($B5="","",INDEX(MASTER_DATABASE!$Q$4:$Q$1000,$B5)&amp;"")</f>
        <v>Depends on Department</v>
      </c>
      <c r="N5" s="7" t="str">
        <f aca="false">IF($B5="","",INDEX(MASTER_DATABASE!$AG$4:$AG$1000,$B5)&amp;"")</f>
        <v>To Verify</v>
      </c>
      <c r="O5" s="11" t="str">
        <f aca="false">IF($B5="","",INDEX(MASTER_DATABASE!$AH$4:$AH$1000,$B5)&amp;"")</f>
        <v>No</v>
      </c>
      <c r="P5" s="11" t="str">
        <f aca="false">IF($B5="","",INDEX(MASTER_DATABASE!$BE$4:$BE$1000,$B5)&amp;"")</f>
        <v>HIDDEN</v>
      </c>
      <c r="Q5" s="7" t="str">
        <f aca="false">IF($B5="","",INDEX(MASTER_DATABASE!$AV$4:$AV$1000,$B5)&amp;"")</f>
        <v>To Verify</v>
      </c>
    </row>
    <row r="6" customFormat="false" ht="23.85" hidden="false" customHeight="false" outlineLevel="0" collapsed="false">
      <c r="A6" s="11" t="n">
        <v>3</v>
      </c>
      <c r="B6" s="11" t="n">
        <f aca="false">IFERROR(MATCH("Common Service Centre (CSC)|"&amp;$A6,MASTER_DATABASE!$BH$4:$BH$1000,0),"")</f>
        <v>108</v>
      </c>
      <c r="C6" s="11" t="str">
        <f aca="false">IF($B6="","",INDEX(MASTER_DATABASE!$A$4:$A$1000,$B6)&amp;"")</f>
        <v>CSC-003</v>
      </c>
      <c r="D6" s="7" t="str">
        <f aca="false">IF($B6="","",INDEX(MASTER_DATABASE!$D$4:$D$1000,$B6)&amp;"")</f>
        <v>Government Services</v>
      </c>
      <c r="E6" s="7" t="str">
        <f aca="false">IF($B6="","",INDEX(MASTER_DATABASE!$E$4:$E$1000,$B6)&amp;"")</f>
        <v>Tele-Law Consultation</v>
      </c>
      <c r="F6" s="7" t="str">
        <f aca="false">IF($B6="","",INDEX(MASTER_DATABASE!$F$4:$F$1000,$B6)&amp;"")</f>
        <v>टेली-लॉ परामर्श</v>
      </c>
      <c r="G6" s="11" t="str">
        <f aca="false">IF($B6="","",INDEX(MASTER_DATABASE!$I$4:$I$1000,$B6)&amp;"")</f>
        <v>Authorization Required</v>
      </c>
      <c r="H6" s="7" t="str">
        <f aca="false">IF($B6="","",INDEX(MASTER_DATABASE!$L$4:$L$1000,$B6)&amp;"")</f>
        <v>To Verify</v>
      </c>
      <c r="I6" s="9" t="str">
        <f aca="false">IF($B6="","",INDEX(MASTER_DATABASE!$R$4:$R$1000,$B6))</f>
        <v>To Verify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To Verify</v>
      </c>
      <c r="M6" s="7" t="str">
        <f aca="false">IF($B6="","",INDEX(MASTER_DATABASE!$Q$4:$Q$1000,$B6)&amp;"")</f>
        <v>Depends on Department</v>
      </c>
      <c r="N6" s="7" t="str">
        <f aca="false">IF($B6="","",INDEX(MASTER_DATABASE!$AG$4:$AG$1000,$B6)&amp;"")</f>
        <v>To Verify</v>
      </c>
      <c r="O6" s="11" t="str">
        <f aca="false">IF($B6="","",INDEX(MASTER_DATABASE!$AH$4:$AH$1000,$B6)&amp;"")</f>
        <v>No</v>
      </c>
      <c r="P6" s="11" t="str">
        <f aca="false">IF($B6="","",INDEX(MASTER_DATABASE!$BE$4:$BE$1000,$B6)&amp;"")</f>
        <v>HIDDEN</v>
      </c>
      <c r="Q6" s="7" t="str">
        <f aca="false">IF($B6="","",INDEX(MASTER_DATABASE!$AV$4:$AV$1000,$B6)&amp;"")</f>
        <v>To Verify</v>
      </c>
    </row>
    <row r="7" customFormat="false" ht="23.85" hidden="false" customHeight="false" outlineLevel="0" collapsed="false">
      <c r="A7" s="11" t="n">
        <v>4</v>
      </c>
      <c r="B7" s="11" t="n">
        <f aca="false">IFERROR(MATCH("Common Service Centre (CSC)|"&amp;$A7,MASTER_DATABASE!$BH$4:$BH$1000,0),"")</f>
        <v>109</v>
      </c>
      <c r="C7" s="11" t="str">
        <f aca="false">IF($B7="","",INDEX(MASTER_DATABASE!$A$4:$A$1000,$B7)&amp;"")</f>
        <v>CSC-004</v>
      </c>
      <c r="D7" s="7" t="str">
        <f aca="false">IF($B7="","",INDEX(MASTER_DATABASE!$D$4:$D$1000,$B7)&amp;"")</f>
        <v>Government Services</v>
      </c>
      <c r="E7" s="7" t="str">
        <f aca="false">IF($B7="","",INDEX(MASTER_DATABASE!$E$4:$E$1000,$B7)&amp;"")</f>
        <v>Telemedicine / eSanjeevani Consultation</v>
      </c>
      <c r="F7" s="7" t="str">
        <f aca="false">IF($B7="","",INDEX(MASTER_DATABASE!$F$4:$F$1000,$B7)&amp;"")</f>
        <v>टेलीमेडिसिन / eSanjeevani परामर्श</v>
      </c>
      <c r="G7" s="11" t="str">
        <f aca="false">IF($B7="","",INDEX(MASTER_DATABASE!$I$4:$I$1000,$B7)&amp;"")</f>
        <v>Authorization Required</v>
      </c>
      <c r="H7" s="7" t="str">
        <f aca="false">IF($B7="","",INDEX(MASTER_DATABASE!$L$4:$L$1000,$B7)&amp;"")</f>
        <v>To Verify</v>
      </c>
      <c r="I7" s="9" t="str">
        <f aca="false">IF($B7="","",INDEX(MASTER_DATABASE!$R$4:$R$1000,$B7))</f>
        <v>To Verify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To Verify</v>
      </c>
      <c r="M7" s="7" t="str">
        <f aca="false">IF($B7="","",INDEX(MASTER_DATABASE!$Q$4:$Q$1000,$B7)&amp;"")</f>
        <v>Depends on Department</v>
      </c>
      <c r="N7" s="7" t="str">
        <f aca="false">IF($B7="","",INDEX(MASTER_DATABASE!$AG$4:$AG$1000,$B7)&amp;"")</f>
        <v>To Verify</v>
      </c>
      <c r="O7" s="11" t="str">
        <f aca="false">IF($B7="","",INDEX(MASTER_DATABASE!$AH$4:$AH$1000,$B7)&amp;"")</f>
        <v>No</v>
      </c>
      <c r="P7" s="11" t="str">
        <f aca="false">IF($B7="","",INDEX(MASTER_DATABASE!$BE$4:$BE$1000,$B7)&amp;"")</f>
        <v>HIDDEN</v>
      </c>
      <c r="Q7" s="7" t="str">
        <f aca="false">IF($B7="","",INDEX(MASTER_DATABASE!$AV$4:$AV$1000,$B7)&amp;"")</f>
        <v>To Verify</v>
      </c>
    </row>
    <row r="8" customFormat="false" ht="23.85" hidden="false" customHeight="false" outlineLevel="0" collapsed="false">
      <c r="A8" s="11" t="n">
        <v>5</v>
      </c>
      <c r="B8" s="11" t="n">
        <f aca="false">IFERROR(MATCH("Common Service Centre (CSC)|"&amp;$A8,MASTER_DATABASE!$BH$4:$BH$1000,0),"")</f>
        <v>110</v>
      </c>
      <c r="C8" s="11" t="str">
        <f aca="false">IF($B8="","",INDEX(MASTER_DATABASE!$A$4:$A$1000,$B8)&amp;"")</f>
        <v>CSC-005</v>
      </c>
      <c r="D8" s="7" t="str">
        <f aca="false">IF($B8="","",INDEX(MASTER_DATABASE!$D$4:$D$1000,$B8)&amp;"")</f>
        <v>e-Governance</v>
      </c>
      <c r="E8" s="7" t="str">
        <f aca="false">IF($B8="","",INDEX(MASTER_DATABASE!$E$4:$E$1000,$B8)&amp;"")</f>
        <v>e-District Services (State Portal)</v>
      </c>
      <c r="F8" s="7" t="str">
        <f aca="false">IF($B8="","",INDEX(MASTER_DATABASE!$F$4:$F$1000,$B8)&amp;"")</f>
        <v>e-District सेवाएँ (राज्य पोर्टल)</v>
      </c>
      <c r="G8" s="11" t="str">
        <f aca="false">IF($B8="","",INDEX(MASTER_DATABASE!$I$4:$I$1000,$B8)&amp;"")</f>
        <v>Portal Dependent</v>
      </c>
      <c r="H8" s="7" t="str">
        <f aca="false">IF($B8="","",INDEX(MASTER_DATABASE!$L$4:$L$1000,$B8)&amp;"")</f>
        <v>Portal Dependent</v>
      </c>
      <c r="I8" s="9" t="str">
        <f aca="false">IF($B8="","",INDEX(MASTER_DATABASE!$R$4:$R$1000,$B8))</f>
        <v>To Verify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To Verify</v>
      </c>
      <c r="M8" s="7" t="str">
        <f aca="false">IF($B8="","",INDEX(MASTER_DATABASE!$Q$4:$Q$1000,$B8)&amp;"")</f>
        <v>Depends on Department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23.85" hidden="false" customHeight="false" outlineLevel="0" collapsed="false">
      <c r="A9" s="11" t="n">
        <v>6</v>
      </c>
      <c r="B9" s="11" t="n">
        <f aca="false">IFERROR(MATCH("Common Service Centre (CSC)|"&amp;$A9,MASTER_DATABASE!$BH$4:$BH$1000,0),"")</f>
        <v>111</v>
      </c>
      <c r="C9" s="11" t="str">
        <f aca="false">IF($B9="","",INDEX(MASTER_DATABASE!$A$4:$A$1000,$B9)&amp;"")</f>
        <v>CSC-006</v>
      </c>
      <c r="D9" s="7" t="str">
        <f aca="false">IF($B9="","",INDEX(MASTER_DATABASE!$D$4:$D$1000,$B9)&amp;"")</f>
        <v>e-Governance</v>
      </c>
      <c r="E9" s="7" t="str">
        <f aca="false">IF($B9="","",INDEX(MASTER_DATABASE!$E$4:$E$1000,$B9)&amp;"")</f>
        <v>RTI Online Filing Assistance</v>
      </c>
      <c r="F9" s="7" t="str">
        <f aca="false">IF($B9="","",INDEX(MASTER_DATABASE!$F$4:$F$1000,$B9)&amp;"")</f>
        <v>RTI ऑनलाइन दाखिल करने में सहायता</v>
      </c>
      <c r="G9" s="11" t="str">
        <f aca="false">IF($B9="","",INDEX(MASTER_DATABASE!$I$4:$I$1000,$B9)&amp;"")</f>
        <v>Portal Dependent</v>
      </c>
      <c r="H9" s="7" t="str">
        <f aca="false">IF($B9="","",INDEX(MASTER_DATABASE!$L$4:$L$1000,$B9)&amp;"")</f>
        <v>Portal Dependent</v>
      </c>
      <c r="I9" s="9" t="str">
        <f aca="false">IF($B9="","",INDEX(MASTER_DATABASE!$R$4:$R$1000,$B9))</f>
        <v>To Verify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To Verify</v>
      </c>
      <c r="M9" s="7" t="str">
        <f aca="false">IF($B9="","",INDEX(MASTER_DATABASE!$Q$4:$Q$1000,$B9)&amp;"")</f>
        <v>Depends on Department</v>
      </c>
      <c r="N9" s="7" t="str">
        <f aca="false">IF($B9="","",INDEX(MASTER_DATABASE!$AG$4:$AG$1000,$B9)&amp;"")</f>
        <v>To Verify</v>
      </c>
      <c r="O9" s="11" t="str">
        <f aca="false">IF($B9="","",INDEX(MASTER_DATABASE!$AH$4:$AH$1000,$B9)&amp;"")</f>
        <v>No</v>
      </c>
      <c r="P9" s="11" t="str">
        <f aca="false">IF($B9="","",INDEX(MASTER_DATABASE!$BE$4:$BE$1000,$B9)&amp;"")</f>
        <v>HIDDEN</v>
      </c>
      <c r="Q9" s="7" t="str">
        <f aca="false">IF($B9="","",INDEX(MASTER_DATABASE!$AV$4:$AV$1000,$B9)&amp;"")</f>
        <v>To Verify</v>
      </c>
    </row>
    <row r="10" customFormat="false" ht="23.85" hidden="false" customHeight="false" outlineLevel="0" collapsed="false">
      <c r="A10" s="11" t="n">
        <v>7</v>
      </c>
      <c r="B10" s="11" t="n">
        <f aca="false">IFERROR(MATCH("Common Service Centre (CSC)|"&amp;$A10,MASTER_DATABASE!$BH$4:$BH$1000,0),"")</f>
        <v>112</v>
      </c>
      <c r="C10" s="11" t="str">
        <f aca="false">IF($B10="","",INDEX(MASTER_DATABASE!$A$4:$A$1000,$B10)&amp;"")</f>
        <v>CSC-007</v>
      </c>
      <c r="D10" s="7" t="str">
        <f aca="false">IF($B10="","",INDEX(MASTER_DATABASE!$D$4:$D$1000,$B10)&amp;"")</f>
        <v>e-Governance</v>
      </c>
      <c r="E10" s="7" t="str">
        <f aca="false">IF($B10="","",INDEX(MASTER_DATABASE!$E$4:$E$1000,$B10)&amp;"")</f>
        <v>Central Public Grievance (CPGRAMS) Filing Assistance</v>
      </c>
      <c r="F10" s="7" t="str">
        <f aca="false">IF($B10="","",INDEX(MASTER_DATABASE!$F$4:$F$1000,$B10)&amp;"")</f>
        <v>केंद्रीय जन शिकायत (CPGRAMS) दर्ज करने में सहायता</v>
      </c>
      <c r="G10" s="11" t="str">
        <f aca="false">IF($B10="","",INDEX(MASTER_DATABASE!$I$4:$I$1000,$B10)&amp;"")</f>
        <v>Portal Dependent</v>
      </c>
      <c r="H10" s="7" t="str">
        <f aca="false">IF($B10="","",INDEX(MASTER_DATABASE!$L$4:$L$1000,$B10)&amp;"")</f>
        <v>Portal Dependent</v>
      </c>
      <c r="I10" s="9" t="str">
        <f aca="false">IF($B10="","",INDEX(MASTER_DATABASE!$R$4:$R$1000,$B10))</f>
        <v>To Verify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To Verify</v>
      </c>
      <c r="M10" s="7" t="str">
        <f aca="false">IF($B10="","",INDEX(MASTER_DATABASE!$Q$4:$Q$1000,$B10)&amp;"")</f>
        <v>Depends on Department</v>
      </c>
      <c r="N10" s="7" t="str">
        <f aca="false">IF($B10="","",INDEX(MASTER_DATABASE!$AG$4:$AG$1000,$B10)&amp;"")</f>
        <v>To Verify</v>
      </c>
      <c r="O10" s="11" t="str">
        <f aca="false">IF($B10="","",INDEX(MASTER_DATABASE!$AH$4:$AH$1000,$B10)&amp;"")</f>
        <v>No</v>
      </c>
      <c r="P10" s="11" t="str">
        <f aca="false">IF($B10="","",INDEX(MASTER_DATABASE!$BE$4:$BE$1000,$B10)&amp;"")</f>
        <v>HIDDEN</v>
      </c>
      <c r="Q10" s="7" t="str">
        <f aca="false">IF($B10="","",INDEX(MASTER_DATABASE!$AV$4:$AV$1000,$B10)&amp;"")</f>
        <v>To Verify</v>
      </c>
    </row>
    <row r="11" customFormat="false" ht="23.85" hidden="false" customHeight="false" outlineLevel="0" collapsed="false">
      <c r="A11" s="11" t="n">
        <v>8</v>
      </c>
      <c r="B11" s="11" t="n">
        <f aca="false">IFERROR(MATCH("Common Service Centre (CSC)|"&amp;$A11,MASTER_DATABASE!$BH$4:$BH$1000,0),"")</f>
        <v>113</v>
      </c>
      <c r="C11" s="11" t="str">
        <f aca="false">IF($B11="","",INDEX(MASTER_DATABASE!$A$4:$A$1000,$B11)&amp;"")</f>
        <v>CSC-008</v>
      </c>
      <c r="D11" s="7" t="str">
        <f aca="false">IF($B11="","",INDEX(MASTER_DATABASE!$D$4:$D$1000,$B11)&amp;"")</f>
        <v>e-Governance</v>
      </c>
      <c r="E11" s="7" t="str">
        <f aca="false">IF($B11="","",INDEX(MASTER_DATABASE!$E$4:$E$1000,$B11)&amp;"")</f>
        <v>Municipal / Property Tax Payment</v>
      </c>
      <c r="F11" s="7" t="str">
        <f aca="false">IF($B11="","",INDEX(MASTER_DATABASE!$F$4:$F$1000,$B11)&amp;"")</f>
        <v>नगर निगम / संपत्ति कर भुगतान</v>
      </c>
      <c r="G11" s="11" t="str">
        <f aca="false">IF($B11="","",INDEX(MASTER_DATABASE!$I$4:$I$1000,$B11)&amp;"")</f>
        <v>Portal Dependent</v>
      </c>
      <c r="H11" s="7" t="str">
        <f aca="false">IF($B11="","",INDEX(MASTER_DATABASE!$L$4:$L$1000,$B11)&amp;"")</f>
        <v>Portal Dependent</v>
      </c>
      <c r="I11" s="9" t="str">
        <f aca="false">IF($B11="","",INDEX(MASTER_DATABASE!$R$4:$R$1000,$B11))</f>
        <v>To Verify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To Verify</v>
      </c>
      <c r="M11" s="7" t="str">
        <f aca="false">IF($B11="","",INDEX(MASTER_DATABASE!$Q$4:$Q$1000,$B11)&amp;"")</f>
        <v>Depends on Department</v>
      </c>
      <c r="N11" s="7" t="str">
        <f aca="false">IF($B11="","",INDEX(MASTER_DATABASE!$AG$4:$AG$1000,$B11)&amp;"")</f>
        <v>To Verify</v>
      </c>
      <c r="O11" s="11" t="str">
        <f aca="false">IF($B11="","",INDEX(MASTER_DATABASE!$AH$4:$AH$1000,$B11)&amp;"")</f>
        <v>No</v>
      </c>
      <c r="P11" s="11" t="str">
        <f aca="false">IF($B11="","",INDEX(MASTER_DATABASE!$BE$4:$BE$1000,$B11)&amp;"")</f>
        <v>HIDDEN</v>
      </c>
      <c r="Q11" s="7" t="str">
        <f aca="false">IF($B11="","",INDEX(MASTER_DATABASE!$AV$4:$AV$1000,$B11)&amp;"")</f>
        <v>To Verify</v>
      </c>
    </row>
    <row r="12" customFormat="false" ht="23.85" hidden="false" customHeight="false" outlineLevel="0" collapsed="false">
      <c r="A12" s="11" t="n">
        <v>9</v>
      </c>
      <c r="B12" s="11" t="n">
        <f aca="false">IFERROR(MATCH("Common Service Centre (CSC)|"&amp;$A12,MASTER_DATABASE!$BH$4:$BH$1000,0),"")</f>
        <v>114</v>
      </c>
      <c r="C12" s="11" t="str">
        <f aca="false">IF($B12="","",INDEX(MASTER_DATABASE!$A$4:$A$1000,$B12)&amp;"")</f>
        <v>CSC-009</v>
      </c>
      <c r="D12" s="7" t="str">
        <f aca="false">IF($B12="","",INDEX(MASTER_DATABASE!$D$4:$D$1000,$B12)&amp;"")</f>
        <v>Government Schemes</v>
      </c>
      <c r="E12" s="7" t="str">
        <f aca="false">IF($B12="","",INDEX(MASTER_DATABASE!$E$4:$E$1000,$B12)&amp;"")</f>
        <v>PM-Kisan Registration &amp; eKYC</v>
      </c>
      <c r="F12" s="7" t="str">
        <f aca="false">IF($B12="","",INDEX(MASTER_DATABASE!$F$4:$F$1000,$B12)&amp;"")</f>
        <v>PM-किसान पंजीकरण व eKYC</v>
      </c>
      <c r="G12" s="11" t="str">
        <f aca="false">IF($B12="","",INDEX(MASTER_DATABASE!$I$4:$I$1000,$B12)&amp;"")</f>
        <v>Portal Dependent</v>
      </c>
      <c r="H12" s="7" t="str">
        <f aca="false">IF($B12="","",INDEX(MASTER_DATABASE!$L$4:$L$1000,$B12)&amp;"")</f>
        <v>Portal Dependent</v>
      </c>
      <c r="I12" s="9" t="str">
        <f aca="false">IF($B12="","",INDEX(MASTER_DATABASE!$R$4:$R$1000,$B12))</f>
        <v>To Verify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To Verify</v>
      </c>
      <c r="M12" s="7" t="str">
        <f aca="false">IF($B12="","",INDEX(MASTER_DATABASE!$Q$4:$Q$1000,$B12)&amp;"")</f>
        <v>Depends on Department</v>
      </c>
      <c r="N12" s="7" t="str">
        <f aca="false">IF($B12="","",INDEX(MASTER_DATABASE!$AG$4:$AG$1000,$B12)&amp;"")</f>
        <v>To Verify</v>
      </c>
      <c r="O12" s="11" t="str">
        <f aca="false">IF($B12="","",INDEX(MASTER_DATABASE!$AH$4:$AH$1000,$B12)&amp;"")</f>
        <v>No</v>
      </c>
      <c r="P12" s="11" t="str">
        <f aca="false">IF($B12="","",INDEX(MASTER_DATABASE!$BE$4:$BE$1000,$B12)&amp;"")</f>
        <v>HIDDEN</v>
      </c>
      <c r="Q12" s="7" t="str">
        <f aca="false">IF($B12="","",INDEX(MASTER_DATABASE!$AV$4:$AV$1000,$B12)&amp;"")</f>
        <v>To Verify</v>
      </c>
    </row>
    <row r="13" customFormat="false" ht="23.85" hidden="false" customHeight="false" outlineLevel="0" collapsed="false">
      <c r="A13" s="11" t="n">
        <v>10</v>
      </c>
      <c r="B13" s="11" t="n">
        <f aca="false">IFERROR(MATCH("Common Service Centre (CSC)|"&amp;$A13,MASTER_DATABASE!$BH$4:$BH$1000,0),"")</f>
        <v>115</v>
      </c>
      <c r="C13" s="11" t="str">
        <f aca="false">IF($B13="","",INDEX(MASTER_DATABASE!$A$4:$A$1000,$B13)&amp;"")</f>
        <v>CSC-010</v>
      </c>
      <c r="D13" s="7" t="str">
        <f aca="false">IF($B13="","",INDEX(MASTER_DATABASE!$D$4:$D$1000,$B13)&amp;"")</f>
        <v>Government Schemes</v>
      </c>
      <c r="E13" s="7" t="str">
        <f aca="false">IF($B13="","",INDEX(MASTER_DATABASE!$E$4:$E$1000,$B13)&amp;"")</f>
        <v>e-Shram Card Registration</v>
      </c>
      <c r="F13" s="7" t="str">
        <f aca="false">IF($B13="","",INDEX(MASTER_DATABASE!$F$4:$F$1000,$B13)&amp;"")</f>
        <v>e-श्रम कार्ड पंजीकरण</v>
      </c>
      <c r="G13" s="11" t="str">
        <f aca="false">IF($B13="","",INDEX(MASTER_DATABASE!$I$4:$I$1000,$B13)&amp;"")</f>
        <v>Portal Dependent</v>
      </c>
      <c r="H13" s="7" t="str">
        <f aca="false">IF($B13="","",INDEX(MASTER_DATABASE!$L$4:$L$1000,$B13)&amp;"")</f>
        <v>Portal Dependent</v>
      </c>
      <c r="I13" s="9" t="str">
        <f aca="false">IF($B13="","",INDEX(MASTER_DATABASE!$R$4:$R$1000,$B13))</f>
        <v>To Verify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To Verify</v>
      </c>
      <c r="M13" s="7" t="str">
        <f aca="false">IF($B13="","",INDEX(MASTER_DATABASE!$Q$4:$Q$1000,$B13)&amp;"")</f>
        <v>Depends on Department</v>
      </c>
      <c r="N13" s="7" t="str">
        <f aca="false">IF($B13="","",INDEX(MASTER_DATABASE!$AG$4:$AG$1000,$B13)&amp;"")</f>
        <v>To Verify</v>
      </c>
      <c r="O13" s="11" t="str">
        <f aca="false">IF($B13="","",INDEX(MASTER_DATABASE!$AH$4:$AH$1000,$B13)&amp;"")</f>
        <v>No</v>
      </c>
      <c r="P13" s="11" t="str">
        <f aca="false">IF($B13="","",INDEX(MASTER_DATABASE!$BE$4:$BE$1000,$B13)&amp;"")</f>
        <v>HIDDEN</v>
      </c>
      <c r="Q13" s="7" t="str">
        <f aca="false">IF($B13="","",INDEX(MASTER_DATABASE!$AV$4:$AV$1000,$B13)&amp;"")</f>
        <v>To Verify</v>
      </c>
    </row>
    <row r="14" customFormat="false" ht="23.85" hidden="false" customHeight="false" outlineLevel="0" collapsed="false">
      <c r="A14" s="11" t="n">
        <v>11</v>
      </c>
      <c r="B14" s="11" t="n">
        <f aca="false">IFERROR(MATCH("Common Service Centre (CSC)|"&amp;$A14,MASTER_DATABASE!$BH$4:$BH$1000,0),"")</f>
        <v>116</v>
      </c>
      <c r="C14" s="11" t="str">
        <f aca="false">IF($B14="","",INDEX(MASTER_DATABASE!$A$4:$A$1000,$B14)&amp;"")</f>
        <v>CSC-011</v>
      </c>
      <c r="D14" s="7" t="str">
        <f aca="false">IF($B14="","",INDEX(MASTER_DATABASE!$D$4:$D$1000,$B14)&amp;"")</f>
        <v>Government Schemes</v>
      </c>
      <c r="E14" s="7" t="str">
        <f aca="false">IF($B14="","",INDEX(MASTER_DATABASE!$E$4:$E$1000,$B14)&amp;"")</f>
        <v>Ayushman Bharat (PM-JAY) Card Registration</v>
      </c>
      <c r="F14" s="7" t="str">
        <f aca="false">IF($B14="","",INDEX(MASTER_DATABASE!$F$4:$F$1000,$B14)&amp;"")</f>
        <v>आयुष्मान भारत (PM-JAY) कार्ड पंजीकरण</v>
      </c>
      <c r="G14" s="11" t="str">
        <f aca="false">IF($B14="","",INDEX(MASTER_DATABASE!$I$4:$I$1000,$B14)&amp;"")</f>
        <v>Portal Dependent</v>
      </c>
      <c r="H14" s="7" t="str">
        <f aca="false">IF($B14="","",INDEX(MASTER_DATABASE!$L$4:$L$1000,$B14)&amp;"")</f>
        <v>Portal Dependent</v>
      </c>
      <c r="I14" s="9" t="str">
        <f aca="false">IF($B14="","",INDEX(MASTER_DATABASE!$R$4:$R$1000,$B14))</f>
        <v>To Verify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To Verify</v>
      </c>
      <c r="M14" s="7" t="str">
        <f aca="false">IF($B14="","",INDEX(MASTER_DATABASE!$Q$4:$Q$1000,$B14)&amp;"")</f>
        <v>Depends on Department</v>
      </c>
      <c r="N14" s="7" t="str">
        <f aca="false">IF($B14="","",INDEX(MASTER_DATABASE!$AG$4:$AG$1000,$B14)&amp;"")</f>
        <v>To Verify</v>
      </c>
      <c r="O14" s="11" t="str">
        <f aca="false">IF($B14="","",INDEX(MASTER_DATABASE!$AH$4:$AH$1000,$B14)&amp;"")</f>
        <v>No</v>
      </c>
      <c r="P14" s="11" t="str">
        <f aca="false">IF($B14="","",INDEX(MASTER_DATABASE!$BE$4:$BE$1000,$B14)&amp;"")</f>
        <v>HIDDEN</v>
      </c>
      <c r="Q14" s="7" t="str">
        <f aca="false">IF($B14="","",INDEX(MASTER_DATABASE!$AV$4:$AV$1000,$B14)&amp;"")</f>
        <v>To Verify</v>
      </c>
    </row>
    <row r="15" customFormat="false" ht="23.85" hidden="false" customHeight="false" outlineLevel="0" collapsed="false">
      <c r="A15" s="11" t="n">
        <v>12</v>
      </c>
      <c r="B15" s="11" t="n">
        <f aca="false">IFERROR(MATCH("Common Service Centre (CSC)|"&amp;$A15,MASTER_DATABASE!$BH$4:$BH$1000,0),"")</f>
        <v>117</v>
      </c>
      <c r="C15" s="11" t="str">
        <f aca="false">IF($B15="","",INDEX(MASTER_DATABASE!$A$4:$A$1000,$B15)&amp;"")</f>
        <v>CSC-012</v>
      </c>
      <c r="D15" s="7" t="str">
        <f aca="false">IF($B15="","",INDEX(MASTER_DATABASE!$D$4:$D$1000,$B15)&amp;"")</f>
        <v>Government Schemes</v>
      </c>
      <c r="E15" s="7" t="str">
        <f aca="false">IF($B15="","",INDEX(MASTER_DATABASE!$E$4:$E$1000,$B15)&amp;"")</f>
        <v>ABHA (Health ID) Creation</v>
      </c>
      <c r="F15" s="7" t="str">
        <f aca="false">IF($B15="","",INDEX(MASTER_DATABASE!$F$4:$F$1000,$B15)&amp;"")</f>
        <v>ABHA (हेल्थ आईडी) निर्माण</v>
      </c>
      <c r="G15" s="11" t="str">
        <f aca="false">IF($B15="","",INDEX(MASTER_DATABASE!$I$4:$I$1000,$B15)&amp;"")</f>
        <v>Portal Dependent</v>
      </c>
      <c r="H15" s="7" t="str">
        <f aca="false">IF($B15="","",INDEX(MASTER_DATABASE!$L$4:$L$1000,$B15)&amp;"")</f>
        <v>Portal Dependent</v>
      </c>
      <c r="I15" s="9" t="str">
        <f aca="false">IF($B15="","",INDEX(MASTER_DATABASE!$R$4:$R$1000,$B15))</f>
        <v>To Verify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To Verify</v>
      </c>
      <c r="M15" s="7" t="str">
        <f aca="false">IF($B15="","",INDEX(MASTER_DATABASE!$Q$4:$Q$1000,$B15)&amp;"")</f>
        <v>Depends on Department</v>
      </c>
      <c r="N15" s="7" t="str">
        <f aca="false">IF($B15="","",INDEX(MASTER_DATABASE!$AG$4:$AG$1000,$B15)&amp;"")</f>
        <v>To Verify</v>
      </c>
      <c r="O15" s="11" t="str">
        <f aca="false">IF($B15="","",INDEX(MASTER_DATABASE!$AH$4:$AH$1000,$B15)&amp;"")</f>
        <v>No</v>
      </c>
      <c r="P15" s="11" t="str">
        <f aca="false">IF($B15="","",INDEX(MASTER_DATABASE!$BE$4:$BE$1000,$B15)&amp;"")</f>
        <v>HIDDEN</v>
      </c>
      <c r="Q15" s="7" t="str">
        <f aca="false">IF($B15="","",INDEX(MASTER_DATABASE!$AV$4:$AV$1000,$B15)&amp;"")</f>
        <v>To Verify</v>
      </c>
    </row>
    <row r="16" customFormat="false" ht="23.85" hidden="false" customHeight="false" outlineLevel="0" collapsed="false">
      <c r="A16" s="11" t="n">
        <v>13</v>
      </c>
      <c r="B16" s="11" t="n">
        <f aca="false">IFERROR(MATCH("Common Service Centre (CSC)|"&amp;$A16,MASTER_DATABASE!$BH$4:$BH$1000,0),"")</f>
        <v>118</v>
      </c>
      <c r="C16" s="11" t="str">
        <f aca="false">IF($B16="","",INDEX(MASTER_DATABASE!$A$4:$A$1000,$B16)&amp;"")</f>
        <v>CSC-013</v>
      </c>
      <c r="D16" s="7" t="str">
        <f aca="false">IF($B16="","",INDEX(MASTER_DATABASE!$D$4:$D$1000,$B16)&amp;"")</f>
        <v>Government Schemes</v>
      </c>
      <c r="E16" s="7" t="str">
        <f aca="false">IF($B16="","",INDEX(MASTER_DATABASE!$E$4:$E$1000,$B16)&amp;"")</f>
        <v>PM Shram Yogi Maan-Dhan (PM-SYM) Enrolment</v>
      </c>
      <c r="F16" s="7" t="str">
        <f aca="false">IF($B16="","",INDEX(MASTER_DATABASE!$F$4:$F$1000,$B16)&amp;"")</f>
        <v>PM श्रम योगी मानधन (PM-SYM) नामांकन</v>
      </c>
      <c r="G16" s="11" t="str">
        <f aca="false">IF($B16="","",INDEX(MASTER_DATABASE!$I$4:$I$1000,$B16)&amp;"")</f>
        <v>Authorization Required</v>
      </c>
      <c r="H16" s="7" t="str">
        <f aca="false">IF($B16="","",INDEX(MASTER_DATABASE!$L$4:$L$1000,$B16)&amp;"")</f>
        <v>To Verify</v>
      </c>
      <c r="I16" s="9" t="str">
        <f aca="false">IF($B16="","",INDEX(MASTER_DATABASE!$R$4:$R$1000,$B16))</f>
        <v>To Verify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To Verify</v>
      </c>
      <c r="M16" s="7" t="str">
        <f aca="false">IF($B16="","",INDEX(MASTER_DATABASE!$Q$4:$Q$1000,$B16)&amp;"")</f>
        <v>Depends on Department</v>
      </c>
      <c r="N16" s="7" t="str">
        <f aca="false">IF($B16="","",INDEX(MASTER_DATABASE!$AG$4:$AG$1000,$B16)&amp;"")</f>
        <v>To Verify</v>
      </c>
      <c r="O16" s="11" t="str">
        <f aca="false">IF($B16="","",INDEX(MASTER_DATABASE!$AH$4:$AH$1000,$B16)&amp;"")</f>
        <v>No</v>
      </c>
      <c r="P16" s="11" t="str">
        <f aca="false">IF($B16="","",INDEX(MASTER_DATABASE!$BE$4:$BE$1000,$B16)&amp;"")</f>
        <v>HIDDEN</v>
      </c>
      <c r="Q16" s="7" t="str">
        <f aca="false">IF($B16="","",INDEX(MASTER_DATABASE!$AV$4:$AV$1000,$B16)&amp;"")</f>
        <v>To Verify</v>
      </c>
    </row>
    <row r="17" customFormat="false" ht="23.85" hidden="false" customHeight="false" outlineLevel="0" collapsed="false">
      <c r="A17" s="11" t="n">
        <v>14</v>
      </c>
      <c r="B17" s="11" t="n">
        <f aca="false">IFERROR(MATCH("Common Service Centre (CSC)|"&amp;$A17,MASTER_DATABASE!$BH$4:$BH$1000,0),"")</f>
        <v>119</v>
      </c>
      <c r="C17" s="11" t="str">
        <f aca="false">IF($B17="","",INDEX(MASTER_DATABASE!$A$4:$A$1000,$B17)&amp;"")</f>
        <v>CSC-014</v>
      </c>
      <c r="D17" s="7" t="str">
        <f aca="false">IF($B17="","",INDEX(MASTER_DATABASE!$D$4:$D$1000,$B17)&amp;"")</f>
        <v>Government Schemes</v>
      </c>
      <c r="E17" s="7" t="str">
        <f aca="false">IF($B17="","",INDEX(MASTER_DATABASE!$E$4:$E$1000,$B17)&amp;"")</f>
        <v>PM Kisan Maan-Dhan (PM-KMY) Enrolment</v>
      </c>
      <c r="F17" s="7" t="str">
        <f aca="false">IF($B17="","",INDEX(MASTER_DATABASE!$F$4:$F$1000,$B17)&amp;"")</f>
        <v>PM किसान मानधन (PM-KMY) नामांकन</v>
      </c>
      <c r="G17" s="11" t="str">
        <f aca="false">IF($B17="","",INDEX(MASTER_DATABASE!$I$4:$I$1000,$B17)&amp;"")</f>
        <v>Authorization Required</v>
      </c>
      <c r="H17" s="7" t="str">
        <f aca="false">IF($B17="","",INDEX(MASTER_DATABASE!$L$4:$L$1000,$B17)&amp;"")</f>
        <v>To Verify</v>
      </c>
      <c r="I17" s="9" t="str">
        <f aca="false">IF($B17="","",INDEX(MASTER_DATABASE!$R$4:$R$1000,$B17))</f>
        <v>To Verify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To Verify</v>
      </c>
      <c r="M17" s="7" t="str">
        <f aca="false">IF($B17="","",INDEX(MASTER_DATABASE!$Q$4:$Q$1000,$B17)&amp;"")</f>
        <v>Depends on Department</v>
      </c>
      <c r="N17" s="7" t="str">
        <f aca="false">IF($B17="","",INDEX(MASTER_DATABASE!$AG$4:$AG$1000,$B17)&amp;"")</f>
        <v>To Verify</v>
      </c>
      <c r="O17" s="11" t="str">
        <f aca="false">IF($B17="","",INDEX(MASTER_DATABASE!$AH$4:$AH$1000,$B17)&amp;"")</f>
        <v>No</v>
      </c>
      <c r="P17" s="11" t="str">
        <f aca="false">IF($B17="","",INDEX(MASTER_DATABASE!$BE$4:$BE$1000,$B17)&amp;"")</f>
        <v>HIDDEN</v>
      </c>
      <c r="Q17" s="7" t="str">
        <f aca="false">IF($B17="","",INDEX(MASTER_DATABASE!$AV$4:$AV$1000,$B17)&amp;"")</f>
        <v>To Verify</v>
      </c>
    </row>
    <row r="18" customFormat="false" ht="23.85" hidden="false" customHeight="false" outlineLevel="0" collapsed="false">
      <c r="A18" s="11" t="n">
        <v>15</v>
      </c>
      <c r="B18" s="11" t="n">
        <f aca="false">IFERROR(MATCH("Common Service Centre (CSC)|"&amp;$A18,MASTER_DATABASE!$BH$4:$BH$1000,0),"")</f>
        <v>120</v>
      </c>
      <c r="C18" s="11" t="str">
        <f aca="false">IF($B18="","",INDEX(MASTER_DATABASE!$A$4:$A$1000,$B18)&amp;"")</f>
        <v>CSC-015</v>
      </c>
      <c r="D18" s="7" t="str">
        <f aca="false">IF($B18="","",INDEX(MASTER_DATABASE!$D$4:$D$1000,$B18)&amp;"")</f>
        <v>Government Schemes</v>
      </c>
      <c r="E18" s="7" t="str">
        <f aca="false">IF($B18="","",INDEX(MASTER_DATABASE!$E$4:$E$1000,$B18)&amp;"")</f>
        <v>PM Vishwakarma Registration</v>
      </c>
      <c r="F18" s="7" t="str">
        <f aca="false">IF($B18="","",INDEX(MASTER_DATABASE!$F$4:$F$1000,$B18)&amp;"")</f>
        <v>PM विश्वकर्मा पंजीकरण</v>
      </c>
      <c r="G18" s="11" t="str">
        <f aca="false">IF($B18="","",INDEX(MASTER_DATABASE!$I$4:$I$1000,$B18)&amp;"")</f>
        <v>Portal Dependent</v>
      </c>
      <c r="H18" s="7" t="str">
        <f aca="false">IF($B18="","",INDEX(MASTER_DATABASE!$L$4:$L$1000,$B18)&amp;"")</f>
        <v>Portal Dependent</v>
      </c>
      <c r="I18" s="9" t="str">
        <f aca="false">IF($B18="","",INDEX(MASTER_DATABASE!$R$4:$R$1000,$B18))</f>
        <v>To Verify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To Verify</v>
      </c>
      <c r="M18" s="7" t="str">
        <f aca="false">IF($B18="","",INDEX(MASTER_DATABASE!$Q$4:$Q$1000,$B18)&amp;"")</f>
        <v>Depends on Department</v>
      </c>
      <c r="N18" s="7" t="str">
        <f aca="false">IF($B18="","",INDEX(MASTER_DATABASE!$AG$4:$AG$1000,$B18)&amp;"")</f>
        <v>To Verify</v>
      </c>
      <c r="O18" s="11" t="str">
        <f aca="false">IF($B18="","",INDEX(MASTER_DATABASE!$AH$4:$AH$1000,$B18)&amp;"")</f>
        <v>No</v>
      </c>
      <c r="P18" s="11" t="str">
        <f aca="false">IF($B18="","",INDEX(MASTER_DATABASE!$BE$4:$BE$1000,$B18)&amp;"")</f>
        <v>HIDDEN</v>
      </c>
      <c r="Q18" s="7" t="str">
        <f aca="false">IF($B18="","",INDEX(MASTER_DATABASE!$AV$4:$AV$1000,$B18)&amp;"")</f>
        <v>To Verify</v>
      </c>
    </row>
    <row r="19" customFormat="false" ht="23.85" hidden="false" customHeight="false" outlineLevel="0" collapsed="false">
      <c r="A19" s="11" t="n">
        <v>16</v>
      </c>
      <c r="B19" s="11" t="n">
        <f aca="false">IFERROR(MATCH("Common Service Centre (CSC)|"&amp;$A19,MASTER_DATABASE!$BH$4:$BH$1000,0),"")</f>
        <v>121</v>
      </c>
      <c r="C19" s="11" t="str">
        <f aca="false">IF($B19="","",INDEX(MASTER_DATABASE!$A$4:$A$1000,$B19)&amp;"")</f>
        <v>CSC-016</v>
      </c>
      <c r="D19" s="7" t="str">
        <f aca="false">IF($B19="","",INDEX(MASTER_DATABASE!$D$4:$D$1000,$B19)&amp;"")</f>
        <v>Government Schemes</v>
      </c>
      <c r="E19" s="7" t="str">
        <f aca="false">IF($B19="","",INDEX(MASTER_DATABASE!$E$4:$E$1000,$B19)&amp;"")</f>
        <v>PM Surya Ghar (Rooftop Solar) Registration Assistance</v>
      </c>
      <c r="F19" s="7" t="str">
        <f aca="false">IF($B19="","",INDEX(MASTER_DATABASE!$F$4:$F$1000,$B19)&amp;"")</f>
        <v>PM सूर्य घर (रूफटॉप सोलर) पंजीकरण सहायता</v>
      </c>
      <c r="G19" s="11" t="str">
        <f aca="false">IF($B19="","",INDEX(MASTER_DATABASE!$I$4:$I$1000,$B19)&amp;"")</f>
        <v>To Verify</v>
      </c>
      <c r="H19" s="7" t="str">
        <f aca="false">IF($B19="","",INDEX(MASTER_DATABASE!$L$4:$L$1000,$B19)&amp;"")</f>
        <v>To Verify</v>
      </c>
      <c r="I19" s="9" t="str">
        <f aca="false">IF($B19="","",INDEX(MASTER_DATABASE!$R$4:$R$1000,$B19))</f>
        <v>To Verify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To Verify</v>
      </c>
      <c r="M19" s="7" t="str">
        <f aca="false">IF($B19="","",INDEX(MASTER_DATABASE!$Q$4:$Q$1000,$B19)&amp;"")</f>
        <v>Depends on Department</v>
      </c>
      <c r="N19" s="7" t="str">
        <f aca="false">IF($B19="","",INDEX(MASTER_DATABASE!$AG$4:$AG$1000,$B19)&amp;"")</f>
        <v>To Verify</v>
      </c>
      <c r="O19" s="11" t="str">
        <f aca="false">IF($B19="","",INDEX(MASTER_DATABASE!$AH$4:$AH$1000,$B19)&amp;"")</f>
        <v>No</v>
      </c>
      <c r="P19" s="11" t="str">
        <f aca="false">IF($B19="","",INDEX(MASTER_DATABASE!$BE$4:$BE$1000,$B19)&amp;"")</f>
        <v>HIDDEN</v>
      </c>
      <c r="Q19" s="7" t="str">
        <f aca="false">IF($B19="","",INDEX(MASTER_DATABASE!$AV$4:$AV$1000,$B19)&amp;"")</f>
        <v>To Verify</v>
      </c>
    </row>
    <row r="20" customFormat="false" ht="23.85" hidden="false" customHeight="false" outlineLevel="0" collapsed="false">
      <c r="A20" s="11" t="n">
        <v>17</v>
      </c>
      <c r="B20" s="11" t="n">
        <f aca="false">IFERROR(MATCH("Common Service Centre (CSC)|"&amp;$A20,MASTER_DATABASE!$BH$4:$BH$1000,0),"")</f>
        <v>122</v>
      </c>
      <c r="C20" s="11" t="str">
        <f aca="false">IF($B20="","",INDEX(MASTER_DATABASE!$A$4:$A$1000,$B20)&amp;"")</f>
        <v>CSC-017</v>
      </c>
      <c r="D20" s="7" t="str">
        <f aca="false">IF($B20="","",INDEX(MASTER_DATABASE!$D$4:$D$1000,$B20)&amp;"")</f>
        <v>Government Schemes</v>
      </c>
      <c r="E20" s="7" t="str">
        <f aca="false">IF($B20="","",INDEX(MASTER_DATABASE!$E$4:$E$1000,$B20)&amp;"")</f>
        <v>PM SVANidhi Application Assistance</v>
      </c>
      <c r="F20" s="7" t="str">
        <f aca="false">IF($B20="","",INDEX(MASTER_DATABASE!$F$4:$F$1000,$B20)&amp;"")</f>
        <v>PM स्वनिधि आवेदन सहायता</v>
      </c>
      <c r="G20" s="11" t="str">
        <f aca="false">IF($B20="","",INDEX(MASTER_DATABASE!$I$4:$I$1000,$B20)&amp;"")</f>
        <v>To Verify</v>
      </c>
      <c r="H20" s="7" t="str">
        <f aca="false">IF($B20="","",INDEX(MASTER_DATABASE!$L$4:$L$1000,$B20)&amp;"")</f>
        <v>To Verify</v>
      </c>
      <c r="I20" s="9" t="str">
        <f aca="false">IF($B20="","",INDEX(MASTER_DATABASE!$R$4:$R$1000,$B20))</f>
        <v>To Verify</v>
      </c>
      <c r="J20" s="9" t="str">
        <f aca="false">IF($B20="","",INDEX(MASTER_DATABASE!$S$4:$S$1000,$B20))</f>
        <v>To Verify</v>
      </c>
      <c r="K20" s="9" t="str">
        <f aca="false">IF($B20="","",INDEX(MASTER_DATABASE!$T$4:$T$1000,$B20))</f>
        <v>To Verify</v>
      </c>
      <c r="L20" s="7" t="str">
        <f aca="false">IF($B20="","",INDEX(MASTER_DATABASE!$U$4:$U$1000,$B20)&amp;"")</f>
        <v>To Verify</v>
      </c>
      <c r="M20" s="7" t="str">
        <f aca="false">IF($B20="","",INDEX(MASTER_DATABASE!$Q$4:$Q$1000,$B20)&amp;"")</f>
        <v>Depends on Department</v>
      </c>
      <c r="N20" s="7" t="str">
        <f aca="false">IF($B20="","",INDEX(MASTER_DATABASE!$AG$4:$AG$1000,$B20)&amp;"")</f>
        <v>To Verify</v>
      </c>
      <c r="O20" s="11" t="str">
        <f aca="false">IF($B20="","",INDEX(MASTER_DATABASE!$AH$4:$AH$1000,$B20)&amp;"")</f>
        <v>No</v>
      </c>
      <c r="P20" s="11" t="str">
        <f aca="false">IF($B20="","",INDEX(MASTER_DATABASE!$BE$4:$BE$1000,$B20)&amp;"")</f>
        <v>HIDDEN</v>
      </c>
      <c r="Q20" s="7" t="str">
        <f aca="false">IF($B20="","",INDEX(MASTER_DATABASE!$AV$4:$AV$1000,$B20)&amp;"")</f>
        <v>To Verify</v>
      </c>
    </row>
    <row r="21" customFormat="false" ht="23.85" hidden="false" customHeight="false" outlineLevel="0" collapsed="false">
      <c r="A21" s="11" t="n">
        <v>18</v>
      </c>
      <c r="B21" s="11" t="n">
        <f aca="false">IFERROR(MATCH("Common Service Centre (CSC)|"&amp;$A21,MASTER_DATABASE!$BH$4:$BH$1000,0),"")</f>
        <v>123</v>
      </c>
      <c r="C21" s="11" t="str">
        <f aca="false">IF($B21="","",INDEX(MASTER_DATABASE!$A$4:$A$1000,$B21)&amp;"")</f>
        <v>CSC-018</v>
      </c>
      <c r="D21" s="7" t="str">
        <f aca="false">IF($B21="","",INDEX(MASTER_DATABASE!$D$4:$D$1000,$B21)&amp;"")</f>
        <v>Financial Services</v>
      </c>
      <c r="E21" s="7" t="str">
        <f aca="false">IF($B21="","",INDEX(MASTER_DATABASE!$E$4:$E$1000,$B21)&amp;"")</f>
        <v>CSC Digipay – AEPS Cash Withdrawal</v>
      </c>
      <c r="F21" s="7" t="str">
        <f aca="false">IF($B21="","",INDEX(MASTER_DATABASE!$F$4:$F$1000,$B21)&amp;"")</f>
        <v>CSC डिजीपे – AEPS नकद निकासी</v>
      </c>
      <c r="G21" s="11" t="str">
        <f aca="false">IF($B21="","",INDEX(MASTER_DATABASE!$I$4:$I$1000,$B21)&amp;"")</f>
        <v>Authorization Required</v>
      </c>
      <c r="H21" s="7" t="str">
        <f aca="false">IF($B21="","",INDEX(MASTER_DATABASE!$L$4:$L$1000,$B21)&amp;"")</f>
        <v>To Verify</v>
      </c>
      <c r="I21" s="9" t="str">
        <f aca="false">IF($B21="","",INDEX(MASTER_DATABASE!$R$4:$R$1000,$B21))</f>
        <v>To Verify</v>
      </c>
      <c r="J21" s="9" t="str">
        <f aca="false">IF($B21="","",INDEX(MASTER_DATABASE!$S$4:$S$1000,$B21))</f>
        <v>To Verify</v>
      </c>
      <c r="K21" s="9" t="str">
        <f aca="false">IF($B21="","",INDEX(MASTER_DATABASE!$T$4:$T$1000,$B21))</f>
        <v>To Verify</v>
      </c>
      <c r="L21" s="7" t="str">
        <f aca="false">IF($B21="","",INDEX(MASTER_DATABASE!$U$4:$U$1000,$B21)&amp;"")</f>
        <v>To Verify</v>
      </c>
      <c r="M21" s="7" t="str">
        <f aca="false">IF($B21="","",INDEX(MASTER_DATABASE!$Q$4:$Q$1000,$B21)&amp;"")</f>
        <v>Depends on Department</v>
      </c>
      <c r="N21" s="7" t="str">
        <f aca="false">IF($B21="","",INDEX(MASTER_DATABASE!$AG$4:$AG$1000,$B21)&amp;"")</f>
        <v>To Verify</v>
      </c>
      <c r="O21" s="11" t="str">
        <f aca="false">IF($B21="","",INDEX(MASTER_DATABASE!$AH$4:$AH$1000,$B21)&amp;"")</f>
        <v>No</v>
      </c>
      <c r="P21" s="11" t="str">
        <f aca="false">IF($B21="","",INDEX(MASTER_DATABASE!$BE$4:$BE$1000,$B21)&amp;"")</f>
        <v>HIDDEN</v>
      </c>
      <c r="Q21" s="7" t="str">
        <f aca="false">IF($B21="","",INDEX(MASTER_DATABASE!$AV$4:$AV$1000,$B21)&amp;"")</f>
        <v>To Verify</v>
      </c>
    </row>
    <row r="22" customFormat="false" ht="23.85" hidden="false" customHeight="false" outlineLevel="0" collapsed="false">
      <c r="A22" s="11" t="n">
        <v>19</v>
      </c>
      <c r="B22" s="11" t="n">
        <f aca="false">IFERROR(MATCH("Common Service Centre (CSC)|"&amp;$A22,MASTER_DATABASE!$BH$4:$BH$1000,0),"")</f>
        <v>124</v>
      </c>
      <c r="C22" s="11" t="str">
        <f aca="false">IF($B22="","",INDEX(MASTER_DATABASE!$A$4:$A$1000,$B22)&amp;"")</f>
        <v>CSC-019</v>
      </c>
      <c r="D22" s="7" t="str">
        <f aca="false">IF($B22="","",INDEX(MASTER_DATABASE!$D$4:$D$1000,$B22)&amp;"")</f>
        <v>Financial Services</v>
      </c>
      <c r="E22" s="7" t="str">
        <f aca="false">IF($B22="","",INDEX(MASTER_DATABASE!$E$4:$E$1000,$B22)&amp;"")</f>
        <v>CSC Digipay – Money Transfer</v>
      </c>
      <c r="F22" s="7" t="str">
        <f aca="false">IF($B22="","",INDEX(MASTER_DATABASE!$F$4:$F$1000,$B22)&amp;"")</f>
        <v>CSC डिजीपे – मनी ट्रांसफर</v>
      </c>
      <c r="G22" s="11" t="str">
        <f aca="false">IF($B22="","",INDEX(MASTER_DATABASE!$I$4:$I$1000,$B22)&amp;"")</f>
        <v>Authorization Required</v>
      </c>
      <c r="H22" s="7" t="str">
        <f aca="false">IF($B22="","",INDEX(MASTER_DATABASE!$L$4:$L$1000,$B22)&amp;"")</f>
        <v>To Verify</v>
      </c>
      <c r="I22" s="9" t="str">
        <f aca="false">IF($B22="","",INDEX(MASTER_DATABASE!$R$4:$R$1000,$B22))</f>
        <v>To Verify</v>
      </c>
      <c r="J22" s="9" t="str">
        <f aca="false">IF($B22="","",INDEX(MASTER_DATABASE!$S$4:$S$1000,$B22))</f>
        <v>To Verify</v>
      </c>
      <c r="K22" s="9" t="str">
        <f aca="false">IF($B22="","",INDEX(MASTER_DATABASE!$T$4:$T$1000,$B22))</f>
        <v>To Verify</v>
      </c>
      <c r="L22" s="7" t="str">
        <f aca="false">IF($B22="","",INDEX(MASTER_DATABASE!$U$4:$U$1000,$B22)&amp;"")</f>
        <v>To Verify</v>
      </c>
      <c r="M22" s="7" t="str">
        <f aca="false">IF($B22="","",INDEX(MASTER_DATABASE!$Q$4:$Q$1000,$B22)&amp;"")</f>
        <v>Depends on Department</v>
      </c>
      <c r="N22" s="7" t="str">
        <f aca="false">IF($B22="","",INDEX(MASTER_DATABASE!$AG$4:$AG$1000,$B22)&amp;"")</f>
        <v>To Verify</v>
      </c>
      <c r="O22" s="11" t="str">
        <f aca="false">IF($B22="","",INDEX(MASTER_DATABASE!$AH$4:$AH$1000,$B22)&amp;"")</f>
        <v>No</v>
      </c>
      <c r="P22" s="11" t="str">
        <f aca="false">IF($B22="","",INDEX(MASTER_DATABASE!$BE$4:$BE$1000,$B22)&amp;"")</f>
        <v>HIDDEN</v>
      </c>
      <c r="Q22" s="7" t="str">
        <f aca="false">IF($B22="","",INDEX(MASTER_DATABASE!$AV$4:$AV$1000,$B22)&amp;"")</f>
        <v>To Verify</v>
      </c>
    </row>
    <row r="23" customFormat="false" ht="23.85" hidden="false" customHeight="false" outlineLevel="0" collapsed="false">
      <c r="A23" s="11" t="n">
        <v>20</v>
      </c>
      <c r="B23" s="11" t="n">
        <f aca="false">IFERROR(MATCH("Common Service Centre (CSC)|"&amp;$A23,MASTER_DATABASE!$BH$4:$BH$1000,0),"")</f>
        <v>125</v>
      </c>
      <c r="C23" s="11" t="str">
        <f aca="false">IF($B23="","",INDEX(MASTER_DATABASE!$A$4:$A$1000,$B23)&amp;"")</f>
        <v>CSC-020</v>
      </c>
      <c r="D23" s="7" t="str">
        <f aca="false">IF($B23="","",INDEX(MASTER_DATABASE!$D$4:$D$1000,$B23)&amp;"")</f>
        <v>Financial Services</v>
      </c>
      <c r="E23" s="7" t="str">
        <f aca="false">IF($B23="","",INDEX(MASTER_DATABASE!$E$4:$E$1000,$B23)&amp;"")</f>
        <v>CSC Digipay – Micro ATM</v>
      </c>
      <c r="F23" s="7" t="str">
        <f aca="false">IF($B23="","",INDEX(MASTER_DATABASE!$F$4:$F$1000,$B23)&amp;"")</f>
        <v>CSC डिजीपे – Micro ATM</v>
      </c>
      <c r="G23" s="11" t="str">
        <f aca="false">IF($B23="","",INDEX(MASTER_DATABASE!$I$4:$I$1000,$B23)&amp;"")</f>
        <v>To Verify</v>
      </c>
      <c r="H23" s="7" t="str">
        <f aca="false">IF($B23="","",INDEX(MASTER_DATABASE!$L$4:$L$1000,$B23)&amp;"")</f>
        <v>To Verify</v>
      </c>
      <c r="I23" s="9" t="str">
        <f aca="false">IF($B23="","",INDEX(MASTER_DATABASE!$R$4:$R$1000,$B23))</f>
        <v>To Verify</v>
      </c>
      <c r="J23" s="9" t="str">
        <f aca="false">IF($B23="","",INDEX(MASTER_DATABASE!$S$4:$S$1000,$B23))</f>
        <v>To Verify</v>
      </c>
      <c r="K23" s="9" t="str">
        <f aca="false">IF($B23="","",INDEX(MASTER_DATABASE!$T$4:$T$1000,$B23))</f>
        <v>To Verify</v>
      </c>
      <c r="L23" s="7" t="str">
        <f aca="false">IF($B23="","",INDEX(MASTER_DATABASE!$U$4:$U$1000,$B23)&amp;"")</f>
        <v>To Verify</v>
      </c>
      <c r="M23" s="7" t="str">
        <f aca="false">IF($B23="","",INDEX(MASTER_DATABASE!$Q$4:$Q$1000,$B23)&amp;"")</f>
        <v>Depends on Department</v>
      </c>
      <c r="N23" s="7" t="str">
        <f aca="false">IF($B23="","",INDEX(MASTER_DATABASE!$AG$4:$AG$1000,$B23)&amp;"")</f>
        <v>To Verify</v>
      </c>
      <c r="O23" s="11" t="str">
        <f aca="false">IF($B23="","",INDEX(MASTER_DATABASE!$AH$4:$AH$1000,$B23)&amp;"")</f>
        <v>No</v>
      </c>
      <c r="P23" s="11" t="str">
        <f aca="false">IF($B23="","",INDEX(MASTER_DATABASE!$BE$4:$BE$1000,$B23)&amp;"")</f>
        <v>HIDDEN</v>
      </c>
      <c r="Q23" s="7" t="str">
        <f aca="false">IF($B23="","",INDEX(MASTER_DATABASE!$AV$4:$AV$1000,$B23)&amp;"")</f>
        <v>To Verify</v>
      </c>
    </row>
    <row r="24" customFormat="false" ht="23.85" hidden="false" customHeight="false" outlineLevel="0" collapsed="false">
      <c r="A24" s="11" t="n">
        <v>21</v>
      </c>
      <c r="B24" s="11" t="n">
        <f aca="false">IFERROR(MATCH("Common Service Centre (CSC)|"&amp;$A24,MASTER_DATABASE!$BH$4:$BH$1000,0),"")</f>
        <v>126</v>
      </c>
      <c r="C24" s="11" t="str">
        <f aca="false">IF($B24="","",INDEX(MASTER_DATABASE!$A$4:$A$1000,$B24)&amp;"")</f>
        <v>CSC-021</v>
      </c>
      <c r="D24" s="7" t="str">
        <f aca="false">IF($B24="","",INDEX(MASTER_DATABASE!$D$4:$D$1000,$B24)&amp;"")</f>
        <v>Financial Services</v>
      </c>
      <c r="E24" s="7" t="str">
        <f aca="false">IF($B24="","",INDEX(MASTER_DATABASE!$E$4:$E$1000,$B24)&amp;"")</f>
        <v>Loan Application Assistance (Mudra / PMEGP etc.)</v>
      </c>
      <c r="F24" s="7" t="str">
        <f aca="false">IF($B24="","",INDEX(MASTER_DATABASE!$F$4:$F$1000,$B24)&amp;"")</f>
        <v>ऋण आवेदन सहायता (मुद्रा / PMEGP आदि)</v>
      </c>
      <c r="G24" s="11" t="str">
        <f aca="false">IF($B24="","",INDEX(MASTER_DATABASE!$I$4:$I$1000,$B24)&amp;"")</f>
        <v>To Verify</v>
      </c>
      <c r="H24" s="7" t="str">
        <f aca="false">IF($B24="","",INDEX(MASTER_DATABASE!$L$4:$L$1000,$B24)&amp;"")</f>
        <v>To Verify</v>
      </c>
      <c r="I24" s="9" t="str">
        <f aca="false">IF($B24="","",INDEX(MASTER_DATABASE!$R$4:$R$1000,$B24))</f>
        <v>To Verify</v>
      </c>
      <c r="J24" s="9" t="str">
        <f aca="false">IF($B24="","",INDEX(MASTER_DATABASE!$S$4:$S$1000,$B24))</f>
        <v>To Verify</v>
      </c>
      <c r="K24" s="9" t="str">
        <f aca="false">IF($B24="","",INDEX(MASTER_DATABASE!$T$4:$T$1000,$B24))</f>
        <v>To Verify</v>
      </c>
      <c r="L24" s="7" t="str">
        <f aca="false">IF($B24="","",INDEX(MASTER_DATABASE!$U$4:$U$1000,$B24)&amp;"")</f>
        <v>To Verify</v>
      </c>
      <c r="M24" s="7" t="str">
        <f aca="false">IF($B24="","",INDEX(MASTER_DATABASE!$Q$4:$Q$1000,$B24)&amp;"")</f>
        <v>Depends on Department</v>
      </c>
      <c r="N24" s="7" t="str">
        <f aca="false">IF($B24="","",INDEX(MASTER_DATABASE!$AG$4:$AG$1000,$B24)&amp;"")</f>
        <v>To Verify</v>
      </c>
      <c r="O24" s="11" t="str">
        <f aca="false">IF($B24="","",INDEX(MASTER_DATABASE!$AH$4:$AH$1000,$B24)&amp;"")</f>
        <v>No</v>
      </c>
      <c r="P24" s="11" t="str">
        <f aca="false">IF($B24="","",INDEX(MASTER_DATABASE!$BE$4:$BE$1000,$B24)&amp;"")</f>
        <v>HIDDEN</v>
      </c>
      <c r="Q24" s="7" t="str">
        <f aca="false">IF($B24="","",INDEX(MASTER_DATABASE!$AV$4:$AV$1000,$B24)&amp;"")</f>
        <v>To Verify</v>
      </c>
    </row>
    <row r="25" customFormat="false" ht="23.85" hidden="false" customHeight="false" outlineLevel="0" collapsed="false">
      <c r="A25" s="11" t="n">
        <v>22</v>
      </c>
      <c r="B25" s="11" t="n">
        <f aca="false">IFERROR(MATCH("Common Service Centre (CSC)|"&amp;$A25,MASTER_DATABASE!$BH$4:$BH$1000,0),"")</f>
        <v>127</v>
      </c>
      <c r="C25" s="11" t="str">
        <f aca="false">IF($B25="","",INDEX(MASTER_DATABASE!$A$4:$A$1000,$B25)&amp;"")</f>
        <v>CSC-022</v>
      </c>
      <c r="D25" s="7" t="str">
        <f aca="false">IF($B25="","",INDEX(MASTER_DATABASE!$D$4:$D$1000,$B25)&amp;"")</f>
        <v>Insurance Services</v>
      </c>
      <c r="E25" s="7" t="str">
        <f aca="false">IF($B25="","",INDEX(MASTER_DATABASE!$E$4:$E$1000,$B25)&amp;"")</f>
        <v>Life Insurance – New Policy</v>
      </c>
      <c r="F25" s="7" t="str">
        <f aca="false">IF($B25="","",INDEX(MASTER_DATABASE!$F$4:$F$1000,$B25)&amp;"")</f>
        <v>जीवन बीमा – नई पॉलिसी</v>
      </c>
      <c r="G25" s="11" t="str">
        <f aca="false">IF($B25="","",INDEX(MASTER_DATABASE!$I$4:$I$1000,$B25)&amp;"")</f>
        <v>Authorization Required</v>
      </c>
      <c r="H25" s="7" t="str">
        <f aca="false">IF($B25="","",INDEX(MASTER_DATABASE!$L$4:$L$1000,$B25)&amp;"")</f>
        <v>To Verify</v>
      </c>
      <c r="I25" s="9" t="str">
        <f aca="false">IF($B25="","",INDEX(MASTER_DATABASE!$R$4:$R$1000,$B25))</f>
        <v>To Verify</v>
      </c>
      <c r="J25" s="9" t="str">
        <f aca="false">IF($B25="","",INDEX(MASTER_DATABASE!$S$4:$S$1000,$B25))</f>
        <v>To Verify</v>
      </c>
      <c r="K25" s="9" t="str">
        <f aca="false">IF($B25="","",INDEX(MASTER_DATABASE!$T$4:$T$1000,$B25))</f>
        <v>To Verify</v>
      </c>
      <c r="L25" s="7" t="str">
        <f aca="false">IF($B25="","",INDEX(MASTER_DATABASE!$U$4:$U$1000,$B25)&amp;"")</f>
        <v>To Verify</v>
      </c>
      <c r="M25" s="7" t="str">
        <f aca="false">IF($B25="","",INDEX(MASTER_DATABASE!$Q$4:$Q$1000,$B25)&amp;"")</f>
        <v>Depends on Department</v>
      </c>
      <c r="N25" s="7" t="str">
        <f aca="false">IF($B25="","",INDEX(MASTER_DATABASE!$AG$4:$AG$1000,$B25)&amp;"")</f>
        <v>To Verify</v>
      </c>
      <c r="O25" s="11" t="str">
        <f aca="false">IF($B25="","",INDEX(MASTER_DATABASE!$AH$4:$AH$1000,$B25)&amp;"")</f>
        <v>No</v>
      </c>
      <c r="P25" s="11" t="str">
        <f aca="false">IF($B25="","",INDEX(MASTER_DATABASE!$BE$4:$BE$1000,$B25)&amp;"")</f>
        <v>HIDDEN</v>
      </c>
      <c r="Q25" s="7" t="str">
        <f aca="false">IF($B25="","",INDEX(MASTER_DATABASE!$AV$4:$AV$1000,$B25)&amp;"")</f>
        <v>To Verify</v>
      </c>
    </row>
    <row r="26" customFormat="false" ht="23.85" hidden="false" customHeight="false" outlineLevel="0" collapsed="false">
      <c r="A26" s="11" t="n">
        <v>23</v>
      </c>
      <c r="B26" s="11" t="n">
        <f aca="false">IFERROR(MATCH("Common Service Centre (CSC)|"&amp;$A26,MASTER_DATABASE!$BH$4:$BH$1000,0),"")</f>
        <v>128</v>
      </c>
      <c r="C26" s="11" t="str">
        <f aca="false">IF($B26="","",INDEX(MASTER_DATABASE!$A$4:$A$1000,$B26)&amp;"")</f>
        <v>CSC-023</v>
      </c>
      <c r="D26" s="7" t="str">
        <f aca="false">IF($B26="","",INDEX(MASTER_DATABASE!$D$4:$D$1000,$B26)&amp;"")</f>
        <v>Insurance Services</v>
      </c>
      <c r="E26" s="7" t="str">
        <f aca="false">IF($B26="","",INDEX(MASTER_DATABASE!$E$4:$E$1000,$B26)&amp;"")</f>
        <v>Health Insurance – New Policy</v>
      </c>
      <c r="F26" s="7" t="str">
        <f aca="false">IF($B26="","",INDEX(MASTER_DATABASE!$F$4:$F$1000,$B26)&amp;"")</f>
        <v>स्वास्थ्य बीमा – नई पॉलिसी</v>
      </c>
      <c r="G26" s="11" t="str">
        <f aca="false">IF($B26="","",INDEX(MASTER_DATABASE!$I$4:$I$1000,$B26)&amp;"")</f>
        <v>Authorization Required</v>
      </c>
      <c r="H26" s="7" t="str">
        <f aca="false">IF($B26="","",INDEX(MASTER_DATABASE!$L$4:$L$1000,$B26)&amp;"")</f>
        <v>To Verify</v>
      </c>
      <c r="I26" s="9" t="str">
        <f aca="false">IF($B26="","",INDEX(MASTER_DATABASE!$R$4:$R$1000,$B26))</f>
        <v>To Verify</v>
      </c>
      <c r="J26" s="9" t="str">
        <f aca="false">IF($B26="","",INDEX(MASTER_DATABASE!$S$4:$S$1000,$B26))</f>
        <v>To Verify</v>
      </c>
      <c r="K26" s="9" t="str">
        <f aca="false">IF($B26="","",INDEX(MASTER_DATABASE!$T$4:$T$1000,$B26))</f>
        <v>To Verify</v>
      </c>
      <c r="L26" s="7" t="str">
        <f aca="false">IF($B26="","",INDEX(MASTER_DATABASE!$U$4:$U$1000,$B26)&amp;"")</f>
        <v>To Verify</v>
      </c>
      <c r="M26" s="7" t="str">
        <f aca="false">IF($B26="","",INDEX(MASTER_DATABASE!$Q$4:$Q$1000,$B26)&amp;"")</f>
        <v>Depends on Department</v>
      </c>
      <c r="N26" s="7" t="str">
        <f aca="false">IF($B26="","",INDEX(MASTER_DATABASE!$AG$4:$AG$1000,$B26)&amp;"")</f>
        <v>To Verify</v>
      </c>
      <c r="O26" s="11" t="str">
        <f aca="false">IF($B26="","",INDEX(MASTER_DATABASE!$AH$4:$AH$1000,$B26)&amp;"")</f>
        <v>No</v>
      </c>
      <c r="P26" s="11" t="str">
        <f aca="false">IF($B26="","",INDEX(MASTER_DATABASE!$BE$4:$BE$1000,$B26)&amp;"")</f>
        <v>HIDDEN</v>
      </c>
      <c r="Q26" s="7" t="str">
        <f aca="false">IF($B26="","",INDEX(MASTER_DATABASE!$AV$4:$AV$1000,$B26)&amp;"")</f>
        <v>To Verify</v>
      </c>
    </row>
    <row r="27" customFormat="false" ht="23.85" hidden="false" customHeight="false" outlineLevel="0" collapsed="false">
      <c r="A27" s="11" t="n">
        <v>24</v>
      </c>
      <c r="B27" s="11" t="n">
        <f aca="false">IFERROR(MATCH("Common Service Centre (CSC)|"&amp;$A27,MASTER_DATABASE!$BH$4:$BH$1000,0),"")</f>
        <v>129</v>
      </c>
      <c r="C27" s="11" t="str">
        <f aca="false">IF($B27="","",INDEX(MASTER_DATABASE!$A$4:$A$1000,$B27)&amp;"")</f>
        <v>CSC-024</v>
      </c>
      <c r="D27" s="7" t="str">
        <f aca="false">IF($B27="","",INDEX(MASTER_DATABASE!$D$4:$D$1000,$B27)&amp;"")</f>
        <v>Insurance Services</v>
      </c>
      <c r="E27" s="7" t="str">
        <f aca="false">IF($B27="","",INDEX(MASTER_DATABASE!$E$4:$E$1000,$B27)&amp;"")</f>
        <v>Motor Insurance – New / Renewal</v>
      </c>
      <c r="F27" s="7" t="str">
        <f aca="false">IF($B27="","",INDEX(MASTER_DATABASE!$F$4:$F$1000,$B27)&amp;"")</f>
        <v>वाहन बीमा – नया / नवीनीकरण</v>
      </c>
      <c r="G27" s="11" t="str">
        <f aca="false">IF($B27="","",INDEX(MASTER_DATABASE!$I$4:$I$1000,$B27)&amp;"")</f>
        <v>Authorization Required</v>
      </c>
      <c r="H27" s="7" t="str">
        <f aca="false">IF($B27="","",INDEX(MASTER_DATABASE!$L$4:$L$1000,$B27)&amp;"")</f>
        <v>To Verify</v>
      </c>
      <c r="I27" s="9" t="str">
        <f aca="false">IF($B27="","",INDEX(MASTER_DATABASE!$R$4:$R$1000,$B27))</f>
        <v>To Verify</v>
      </c>
      <c r="J27" s="9" t="str">
        <f aca="false">IF($B27="","",INDEX(MASTER_DATABASE!$S$4:$S$1000,$B27))</f>
        <v>To Verify</v>
      </c>
      <c r="K27" s="9" t="str">
        <f aca="false">IF($B27="","",INDEX(MASTER_DATABASE!$T$4:$T$1000,$B27))</f>
        <v>To Verify</v>
      </c>
      <c r="L27" s="7" t="str">
        <f aca="false">IF($B27="","",INDEX(MASTER_DATABASE!$U$4:$U$1000,$B27)&amp;"")</f>
        <v>To Verify</v>
      </c>
      <c r="M27" s="7" t="str">
        <f aca="false">IF($B27="","",INDEX(MASTER_DATABASE!$Q$4:$Q$1000,$B27)&amp;"")</f>
        <v>Depends on Department</v>
      </c>
      <c r="N27" s="7" t="str">
        <f aca="false">IF($B27="","",INDEX(MASTER_DATABASE!$AG$4:$AG$1000,$B27)&amp;"")</f>
        <v>To Verify</v>
      </c>
      <c r="O27" s="11" t="str">
        <f aca="false">IF($B27="","",INDEX(MASTER_DATABASE!$AH$4:$AH$1000,$B27)&amp;"")</f>
        <v>No</v>
      </c>
      <c r="P27" s="11" t="str">
        <f aca="false">IF($B27="","",INDEX(MASTER_DATABASE!$BE$4:$BE$1000,$B27)&amp;"")</f>
        <v>HIDDEN</v>
      </c>
      <c r="Q27" s="7" t="str">
        <f aca="false">IF($B27="","",INDEX(MASTER_DATABASE!$AV$4:$AV$1000,$B27)&amp;"")</f>
        <v>To Verify</v>
      </c>
    </row>
    <row r="28" customFormat="false" ht="23.85" hidden="false" customHeight="false" outlineLevel="0" collapsed="false">
      <c r="A28" s="11" t="n">
        <v>25</v>
      </c>
      <c r="B28" s="11" t="n">
        <f aca="false">IFERROR(MATCH("Common Service Centre (CSC)|"&amp;$A28,MASTER_DATABASE!$BH$4:$BH$1000,0),"")</f>
        <v>130</v>
      </c>
      <c r="C28" s="11" t="str">
        <f aca="false">IF($B28="","",INDEX(MASTER_DATABASE!$A$4:$A$1000,$B28)&amp;"")</f>
        <v>CSC-025</v>
      </c>
      <c r="D28" s="7" t="str">
        <f aca="false">IF($B28="","",INDEX(MASTER_DATABASE!$D$4:$D$1000,$B28)&amp;"")</f>
        <v>Insurance Services</v>
      </c>
      <c r="E28" s="7" t="str">
        <f aca="false">IF($B28="","",INDEX(MASTER_DATABASE!$E$4:$E$1000,$B28)&amp;"")</f>
        <v>Crop Insurance (PMFBY) Enrolment</v>
      </c>
      <c r="F28" s="7" t="str">
        <f aca="false">IF($B28="","",INDEX(MASTER_DATABASE!$F$4:$F$1000,$B28)&amp;"")</f>
        <v>फसल बीमा (PMFBY) नामांकन</v>
      </c>
      <c r="G28" s="11" t="str">
        <f aca="false">IF($B28="","",INDEX(MASTER_DATABASE!$I$4:$I$1000,$B28)&amp;"")</f>
        <v>Portal Dependent</v>
      </c>
      <c r="H28" s="7" t="str">
        <f aca="false">IF($B28="","",INDEX(MASTER_DATABASE!$L$4:$L$1000,$B28)&amp;"")</f>
        <v>Portal Dependent</v>
      </c>
      <c r="I28" s="9" t="str">
        <f aca="false">IF($B28="","",INDEX(MASTER_DATABASE!$R$4:$R$1000,$B28))</f>
        <v>To Verify</v>
      </c>
      <c r="J28" s="9" t="str">
        <f aca="false">IF($B28="","",INDEX(MASTER_DATABASE!$S$4:$S$1000,$B28))</f>
        <v>To Verify</v>
      </c>
      <c r="K28" s="9" t="str">
        <f aca="false">IF($B28="","",INDEX(MASTER_DATABASE!$T$4:$T$1000,$B28))</f>
        <v>To Verify</v>
      </c>
      <c r="L28" s="7" t="str">
        <f aca="false">IF($B28="","",INDEX(MASTER_DATABASE!$U$4:$U$1000,$B28)&amp;"")</f>
        <v>To Verify</v>
      </c>
      <c r="M28" s="7" t="str">
        <f aca="false">IF($B28="","",INDEX(MASTER_DATABASE!$Q$4:$Q$1000,$B28)&amp;"")</f>
        <v>Depends on Department</v>
      </c>
      <c r="N28" s="7" t="str">
        <f aca="false">IF($B28="","",INDEX(MASTER_DATABASE!$AG$4:$AG$1000,$B28)&amp;"")</f>
        <v>To Verify</v>
      </c>
      <c r="O28" s="11" t="str">
        <f aca="false">IF($B28="","",INDEX(MASTER_DATABASE!$AH$4:$AH$1000,$B28)&amp;"")</f>
        <v>No</v>
      </c>
      <c r="P28" s="11" t="str">
        <f aca="false">IF($B28="","",INDEX(MASTER_DATABASE!$BE$4:$BE$1000,$B28)&amp;"")</f>
        <v>HIDDEN</v>
      </c>
      <c r="Q28" s="7" t="str">
        <f aca="false">IF($B28="","",INDEX(MASTER_DATABASE!$AV$4:$AV$1000,$B28)&amp;"")</f>
        <v>To Verify</v>
      </c>
    </row>
    <row r="29" customFormat="false" ht="23.85" hidden="false" customHeight="false" outlineLevel="0" collapsed="false">
      <c r="A29" s="11" t="n">
        <v>26</v>
      </c>
      <c r="B29" s="11" t="n">
        <f aca="false">IFERROR(MATCH("Common Service Centre (CSC)|"&amp;$A29,MASTER_DATABASE!$BH$4:$BH$1000,0),"")</f>
        <v>131</v>
      </c>
      <c r="C29" s="11" t="str">
        <f aca="false">IF($B29="","",INDEX(MASTER_DATABASE!$A$4:$A$1000,$B29)&amp;"")</f>
        <v>CSC-026</v>
      </c>
      <c r="D29" s="7" t="str">
        <f aca="false">IF($B29="","",INDEX(MASTER_DATABASE!$D$4:$D$1000,$B29)&amp;"")</f>
        <v>Insurance Services</v>
      </c>
      <c r="E29" s="7" t="str">
        <f aca="false">IF($B29="","",INDEX(MASTER_DATABASE!$E$4:$E$1000,$B29)&amp;"")</f>
        <v>PM Suraksha Bima Yojana (PMSBY) Enrolment</v>
      </c>
      <c r="F29" s="7" t="str">
        <f aca="false">IF($B29="","",INDEX(MASTER_DATABASE!$F$4:$F$1000,$B29)&amp;"")</f>
        <v>PM सुरक्षा बीमा योजना (PMSBY) नामांकन</v>
      </c>
      <c r="G29" s="11" t="str">
        <f aca="false">IF($B29="","",INDEX(MASTER_DATABASE!$I$4:$I$1000,$B29)&amp;"")</f>
        <v>To Verify</v>
      </c>
      <c r="H29" s="7" t="str">
        <f aca="false">IF($B29="","",INDEX(MASTER_DATABASE!$L$4:$L$1000,$B29)&amp;"")</f>
        <v>To Verify</v>
      </c>
      <c r="I29" s="9" t="str">
        <f aca="false">IF($B29="","",INDEX(MASTER_DATABASE!$R$4:$R$1000,$B29))</f>
        <v>To Verify</v>
      </c>
      <c r="J29" s="9" t="str">
        <f aca="false">IF($B29="","",INDEX(MASTER_DATABASE!$S$4:$S$1000,$B29))</f>
        <v>To Verify</v>
      </c>
      <c r="K29" s="9" t="str">
        <f aca="false">IF($B29="","",INDEX(MASTER_DATABASE!$T$4:$T$1000,$B29))</f>
        <v>To Verify</v>
      </c>
      <c r="L29" s="7" t="str">
        <f aca="false">IF($B29="","",INDEX(MASTER_DATABASE!$U$4:$U$1000,$B29)&amp;"")</f>
        <v>To Verify</v>
      </c>
      <c r="M29" s="7" t="str">
        <f aca="false">IF($B29="","",INDEX(MASTER_DATABASE!$Q$4:$Q$1000,$B29)&amp;"")</f>
        <v>Depends on Department</v>
      </c>
      <c r="N29" s="7" t="str">
        <f aca="false">IF($B29="","",INDEX(MASTER_DATABASE!$AG$4:$AG$1000,$B29)&amp;"")</f>
        <v>To Verify</v>
      </c>
      <c r="O29" s="11" t="str">
        <f aca="false">IF($B29="","",INDEX(MASTER_DATABASE!$AH$4:$AH$1000,$B29)&amp;"")</f>
        <v>No</v>
      </c>
      <c r="P29" s="11" t="str">
        <f aca="false">IF($B29="","",INDEX(MASTER_DATABASE!$BE$4:$BE$1000,$B29)&amp;"")</f>
        <v>HIDDEN</v>
      </c>
      <c r="Q29" s="7" t="str">
        <f aca="false">IF($B29="","",INDEX(MASTER_DATABASE!$AV$4:$AV$1000,$B29)&amp;"")</f>
        <v>To Verify</v>
      </c>
    </row>
    <row r="30" customFormat="false" ht="23.85" hidden="false" customHeight="false" outlineLevel="0" collapsed="false">
      <c r="A30" s="11" t="n">
        <v>27</v>
      </c>
      <c r="B30" s="11" t="n">
        <f aca="false">IFERROR(MATCH("Common Service Centre (CSC)|"&amp;$A30,MASTER_DATABASE!$BH$4:$BH$1000,0),"")</f>
        <v>132</v>
      </c>
      <c r="C30" s="11" t="str">
        <f aca="false">IF($B30="","",INDEX(MASTER_DATABASE!$A$4:$A$1000,$B30)&amp;"")</f>
        <v>CSC-027</v>
      </c>
      <c r="D30" s="7" t="str">
        <f aca="false">IF($B30="","",INDEX(MASTER_DATABASE!$D$4:$D$1000,$B30)&amp;"")</f>
        <v>Insurance Services</v>
      </c>
      <c r="E30" s="7" t="str">
        <f aca="false">IF($B30="","",INDEX(MASTER_DATABASE!$E$4:$E$1000,$B30)&amp;"")</f>
        <v>PM Jeevan Jyoti Bima Yojana (PMJJBY) Enrolment</v>
      </c>
      <c r="F30" s="7" t="str">
        <f aca="false">IF($B30="","",INDEX(MASTER_DATABASE!$F$4:$F$1000,$B30)&amp;"")</f>
        <v>PM जीवन ज्योति बीमा योजना (PMJJBY) नामांकन</v>
      </c>
      <c r="G30" s="11" t="str">
        <f aca="false">IF($B30="","",INDEX(MASTER_DATABASE!$I$4:$I$1000,$B30)&amp;"")</f>
        <v>To Verify</v>
      </c>
      <c r="H30" s="7" t="str">
        <f aca="false">IF($B30="","",INDEX(MASTER_DATABASE!$L$4:$L$1000,$B30)&amp;"")</f>
        <v>To Verify</v>
      </c>
      <c r="I30" s="9" t="str">
        <f aca="false">IF($B30="","",INDEX(MASTER_DATABASE!$R$4:$R$1000,$B30))</f>
        <v>To Verify</v>
      </c>
      <c r="J30" s="9" t="str">
        <f aca="false">IF($B30="","",INDEX(MASTER_DATABASE!$S$4:$S$1000,$B30))</f>
        <v>To Verify</v>
      </c>
      <c r="K30" s="9" t="str">
        <f aca="false">IF($B30="","",INDEX(MASTER_DATABASE!$T$4:$T$1000,$B30))</f>
        <v>To Verify</v>
      </c>
      <c r="L30" s="7" t="str">
        <f aca="false">IF($B30="","",INDEX(MASTER_DATABASE!$U$4:$U$1000,$B30)&amp;"")</f>
        <v>To Verify</v>
      </c>
      <c r="M30" s="7" t="str">
        <f aca="false">IF($B30="","",INDEX(MASTER_DATABASE!$Q$4:$Q$1000,$B30)&amp;"")</f>
        <v>Depends on Department</v>
      </c>
      <c r="N30" s="7" t="str">
        <f aca="false">IF($B30="","",INDEX(MASTER_DATABASE!$AG$4:$AG$1000,$B30)&amp;"")</f>
        <v>To Verify</v>
      </c>
      <c r="O30" s="11" t="str">
        <f aca="false">IF($B30="","",INDEX(MASTER_DATABASE!$AH$4:$AH$1000,$B30)&amp;"")</f>
        <v>No</v>
      </c>
      <c r="P30" s="11" t="str">
        <f aca="false">IF($B30="","",INDEX(MASTER_DATABASE!$BE$4:$BE$1000,$B30)&amp;"")</f>
        <v>HIDDEN</v>
      </c>
      <c r="Q30" s="7" t="str">
        <f aca="false">IF($B30="","",INDEX(MASTER_DATABASE!$AV$4:$AV$1000,$B30)&amp;"")</f>
        <v>To Verify</v>
      </c>
    </row>
    <row r="31" customFormat="false" ht="23.85" hidden="false" customHeight="false" outlineLevel="0" collapsed="false">
      <c r="A31" s="11" t="n">
        <v>28</v>
      </c>
      <c r="B31" s="11" t="n">
        <f aca="false">IFERROR(MATCH("Common Service Centre (CSC)|"&amp;$A31,MASTER_DATABASE!$BH$4:$BH$1000,0),"")</f>
        <v>133</v>
      </c>
      <c r="C31" s="11" t="str">
        <f aca="false">IF($B31="","",INDEX(MASTER_DATABASE!$A$4:$A$1000,$B31)&amp;"")</f>
        <v>CSC-028</v>
      </c>
      <c r="D31" s="7" t="str">
        <f aca="false">IF($B31="","",INDEX(MASTER_DATABASE!$D$4:$D$1000,$B31)&amp;"")</f>
        <v>Pension Services</v>
      </c>
      <c r="E31" s="7" t="str">
        <f aca="false">IF($B31="","",INDEX(MASTER_DATABASE!$E$4:$E$1000,$B31)&amp;"")</f>
        <v>Atal Pension Yojana (APY) Enrolment</v>
      </c>
      <c r="F31" s="7" t="str">
        <f aca="false">IF($B31="","",INDEX(MASTER_DATABASE!$F$4:$F$1000,$B31)&amp;"")</f>
        <v>अटल पेंशन योजना (APY) नामांकन</v>
      </c>
      <c r="G31" s="11" t="str">
        <f aca="false">IF($B31="","",INDEX(MASTER_DATABASE!$I$4:$I$1000,$B31)&amp;"")</f>
        <v>Authorization Required</v>
      </c>
      <c r="H31" s="7" t="str">
        <f aca="false">IF($B31="","",INDEX(MASTER_DATABASE!$L$4:$L$1000,$B31)&amp;"")</f>
        <v>To Verify</v>
      </c>
      <c r="I31" s="9" t="str">
        <f aca="false">IF($B31="","",INDEX(MASTER_DATABASE!$R$4:$R$1000,$B31))</f>
        <v>To Verify</v>
      </c>
      <c r="J31" s="9" t="str">
        <f aca="false">IF($B31="","",INDEX(MASTER_DATABASE!$S$4:$S$1000,$B31))</f>
        <v>To Verify</v>
      </c>
      <c r="K31" s="9" t="str">
        <f aca="false">IF($B31="","",INDEX(MASTER_DATABASE!$T$4:$T$1000,$B31))</f>
        <v>To Verify</v>
      </c>
      <c r="L31" s="7" t="str">
        <f aca="false">IF($B31="","",INDEX(MASTER_DATABASE!$U$4:$U$1000,$B31)&amp;"")</f>
        <v>To Verify</v>
      </c>
      <c r="M31" s="7" t="str">
        <f aca="false">IF($B31="","",INDEX(MASTER_DATABASE!$Q$4:$Q$1000,$B31)&amp;"")</f>
        <v>Depends on Department</v>
      </c>
      <c r="N31" s="7" t="str">
        <f aca="false">IF($B31="","",INDEX(MASTER_DATABASE!$AG$4:$AG$1000,$B31)&amp;"")</f>
        <v>To Verify</v>
      </c>
      <c r="O31" s="11" t="str">
        <f aca="false">IF($B31="","",INDEX(MASTER_DATABASE!$AH$4:$AH$1000,$B31)&amp;"")</f>
        <v>No</v>
      </c>
      <c r="P31" s="11" t="str">
        <f aca="false">IF($B31="","",INDEX(MASTER_DATABASE!$BE$4:$BE$1000,$B31)&amp;"")</f>
        <v>HIDDEN</v>
      </c>
      <c r="Q31" s="7" t="str">
        <f aca="false">IF($B31="","",INDEX(MASTER_DATABASE!$AV$4:$AV$1000,$B31)&amp;"")</f>
        <v>To Verify</v>
      </c>
    </row>
    <row r="32" customFormat="false" ht="23.85" hidden="false" customHeight="false" outlineLevel="0" collapsed="false">
      <c r="A32" s="11" t="n">
        <v>29</v>
      </c>
      <c r="B32" s="11" t="n">
        <f aca="false">IFERROR(MATCH("Common Service Centre (CSC)|"&amp;$A32,MASTER_DATABASE!$BH$4:$BH$1000,0),"")</f>
        <v>134</v>
      </c>
      <c r="C32" s="11" t="str">
        <f aca="false">IF($B32="","",INDEX(MASTER_DATABASE!$A$4:$A$1000,$B32)&amp;"")</f>
        <v>CSC-029</v>
      </c>
      <c r="D32" s="7" t="str">
        <f aca="false">IF($B32="","",INDEX(MASTER_DATABASE!$D$4:$D$1000,$B32)&amp;"")</f>
        <v>Pension Services</v>
      </c>
      <c r="E32" s="7" t="str">
        <f aca="false">IF($B32="","",INDEX(MASTER_DATABASE!$E$4:$E$1000,$B32)&amp;"")</f>
        <v>NPS (National Pension System) Account Opening</v>
      </c>
      <c r="F32" s="7" t="str">
        <f aca="false">IF($B32="","",INDEX(MASTER_DATABASE!$F$4:$F$1000,$B32)&amp;"")</f>
        <v>NPS खाता खोलना</v>
      </c>
      <c r="G32" s="11" t="str">
        <f aca="false">IF($B32="","",INDEX(MASTER_DATABASE!$I$4:$I$1000,$B32)&amp;"")</f>
        <v>Authorization Required</v>
      </c>
      <c r="H32" s="7" t="str">
        <f aca="false">IF($B32="","",INDEX(MASTER_DATABASE!$L$4:$L$1000,$B32)&amp;"")</f>
        <v>To Verify</v>
      </c>
      <c r="I32" s="9" t="str">
        <f aca="false">IF($B32="","",INDEX(MASTER_DATABASE!$R$4:$R$1000,$B32))</f>
        <v>To Verify</v>
      </c>
      <c r="J32" s="9" t="str">
        <f aca="false">IF($B32="","",INDEX(MASTER_DATABASE!$S$4:$S$1000,$B32))</f>
        <v>To Verify</v>
      </c>
      <c r="K32" s="9" t="str">
        <f aca="false">IF($B32="","",INDEX(MASTER_DATABASE!$T$4:$T$1000,$B32))</f>
        <v>To Verify</v>
      </c>
      <c r="L32" s="7" t="str">
        <f aca="false">IF($B32="","",INDEX(MASTER_DATABASE!$U$4:$U$1000,$B32)&amp;"")</f>
        <v>To Verify</v>
      </c>
      <c r="M32" s="7" t="str">
        <f aca="false">IF($B32="","",INDEX(MASTER_DATABASE!$Q$4:$Q$1000,$B32)&amp;"")</f>
        <v>Depends on Department</v>
      </c>
      <c r="N32" s="7" t="str">
        <f aca="false">IF($B32="","",INDEX(MASTER_DATABASE!$AG$4:$AG$1000,$B32)&amp;"")</f>
        <v>To Verify</v>
      </c>
      <c r="O32" s="11" t="str">
        <f aca="false">IF($B32="","",INDEX(MASTER_DATABASE!$AH$4:$AH$1000,$B32)&amp;"")</f>
        <v>No</v>
      </c>
      <c r="P32" s="11" t="str">
        <f aca="false">IF($B32="","",INDEX(MASTER_DATABASE!$BE$4:$BE$1000,$B32)&amp;"")</f>
        <v>HIDDEN</v>
      </c>
      <c r="Q32" s="7" t="str">
        <f aca="false">IF($B32="","",INDEX(MASTER_DATABASE!$AV$4:$AV$1000,$B32)&amp;"")</f>
        <v>To Verify</v>
      </c>
    </row>
    <row r="33" customFormat="false" ht="23.85" hidden="false" customHeight="false" outlineLevel="0" collapsed="false">
      <c r="A33" s="11" t="n">
        <v>30</v>
      </c>
      <c r="B33" s="11" t="n">
        <f aca="false">IFERROR(MATCH("Common Service Centre (CSC)|"&amp;$A33,MASTER_DATABASE!$BH$4:$BH$1000,0),"")</f>
        <v>135</v>
      </c>
      <c r="C33" s="11" t="str">
        <f aca="false">IF($B33="","",INDEX(MASTER_DATABASE!$A$4:$A$1000,$B33)&amp;"")</f>
        <v>CSC-030</v>
      </c>
      <c r="D33" s="7" t="str">
        <f aca="false">IF($B33="","",INDEX(MASTER_DATABASE!$D$4:$D$1000,$B33)&amp;"")</f>
        <v>Pension Services</v>
      </c>
      <c r="E33" s="7" t="str">
        <f aca="false">IF($B33="","",INDEX(MASTER_DATABASE!$E$4:$E$1000,$B33)&amp;"")</f>
        <v>Digital Life Certificate (Jeevan Pramaan)</v>
      </c>
      <c r="F33" s="7" t="str">
        <f aca="false">IF($B33="","",INDEX(MASTER_DATABASE!$F$4:$F$1000,$B33)&amp;"")</f>
        <v>डिजिटल जीवन प्रमाण पत्र (जीवन प्रमाण)</v>
      </c>
      <c r="G33" s="11" t="str">
        <f aca="false">IF($B33="","",INDEX(MASTER_DATABASE!$I$4:$I$1000,$B33)&amp;"")</f>
        <v>Portal Dependent</v>
      </c>
      <c r="H33" s="7" t="str">
        <f aca="false">IF($B33="","",INDEX(MASTER_DATABASE!$L$4:$L$1000,$B33)&amp;"")</f>
        <v>Portal Dependent</v>
      </c>
      <c r="I33" s="9" t="str">
        <f aca="false">IF($B33="","",INDEX(MASTER_DATABASE!$R$4:$R$1000,$B33))</f>
        <v>To Verify</v>
      </c>
      <c r="J33" s="9" t="str">
        <f aca="false">IF($B33="","",INDEX(MASTER_DATABASE!$S$4:$S$1000,$B33))</f>
        <v>To Verify</v>
      </c>
      <c r="K33" s="9" t="str">
        <f aca="false">IF($B33="","",INDEX(MASTER_DATABASE!$T$4:$T$1000,$B33))</f>
        <v>To Verify</v>
      </c>
      <c r="L33" s="7" t="str">
        <f aca="false">IF($B33="","",INDEX(MASTER_DATABASE!$U$4:$U$1000,$B33)&amp;"")</f>
        <v>To Verify</v>
      </c>
      <c r="M33" s="7" t="str">
        <f aca="false">IF($B33="","",INDEX(MASTER_DATABASE!$Q$4:$Q$1000,$B33)&amp;"")</f>
        <v>Depends on Department</v>
      </c>
      <c r="N33" s="7" t="str">
        <f aca="false">IF($B33="","",INDEX(MASTER_DATABASE!$AG$4:$AG$1000,$B33)&amp;"")</f>
        <v>To Verify</v>
      </c>
      <c r="O33" s="11" t="str">
        <f aca="false">IF($B33="","",INDEX(MASTER_DATABASE!$AH$4:$AH$1000,$B33)&amp;"")</f>
        <v>No</v>
      </c>
      <c r="P33" s="11" t="str">
        <f aca="false">IF($B33="","",INDEX(MASTER_DATABASE!$BE$4:$BE$1000,$B33)&amp;"")</f>
        <v>HIDDEN</v>
      </c>
      <c r="Q33" s="7" t="str">
        <f aca="false">IF($B33="","",INDEX(MASTER_DATABASE!$AV$4:$AV$1000,$B33)&amp;"")</f>
        <v>To Verify</v>
      </c>
    </row>
    <row r="34" customFormat="false" ht="23.85" hidden="false" customHeight="false" outlineLevel="0" collapsed="false">
      <c r="A34" s="11" t="n">
        <v>31</v>
      </c>
      <c r="B34" s="11" t="n">
        <f aca="false">IFERROR(MATCH("Common Service Centre (CSC)|"&amp;$A34,MASTER_DATABASE!$BH$4:$BH$1000,0),"")</f>
        <v>136</v>
      </c>
      <c r="C34" s="11" t="str">
        <f aca="false">IF($B34="","",INDEX(MASTER_DATABASE!$A$4:$A$1000,$B34)&amp;"")</f>
        <v>CSC-031</v>
      </c>
      <c r="D34" s="7" t="str">
        <f aca="false">IF($B34="","",INDEX(MASTER_DATABASE!$D$4:$D$1000,$B34)&amp;"")</f>
        <v>Pension Services</v>
      </c>
      <c r="E34" s="7" t="str">
        <f aca="false">IF($B34="","",INDEX(MASTER_DATABASE!$E$4:$E$1000,$B34)&amp;"")</f>
        <v>EPFO / UAN Service Assistance</v>
      </c>
      <c r="F34" s="7" t="str">
        <f aca="false">IF($B34="","",INDEX(MASTER_DATABASE!$F$4:$F$1000,$B34)&amp;"")</f>
        <v>EPFO / UAN सेवा सहायता</v>
      </c>
      <c r="G34" s="11" t="str">
        <f aca="false">IF($B34="","",INDEX(MASTER_DATABASE!$I$4:$I$1000,$B34)&amp;"")</f>
        <v>Portal Dependent</v>
      </c>
      <c r="H34" s="7" t="str">
        <f aca="false">IF($B34="","",INDEX(MASTER_DATABASE!$L$4:$L$1000,$B34)&amp;"")</f>
        <v>Portal Dependent</v>
      </c>
      <c r="I34" s="9" t="str">
        <f aca="false">IF($B34="","",INDEX(MASTER_DATABASE!$R$4:$R$1000,$B34))</f>
        <v>To Verify</v>
      </c>
      <c r="J34" s="9" t="str">
        <f aca="false">IF($B34="","",INDEX(MASTER_DATABASE!$S$4:$S$1000,$B34))</f>
        <v>To Verify</v>
      </c>
      <c r="K34" s="9" t="str">
        <f aca="false">IF($B34="","",INDEX(MASTER_DATABASE!$T$4:$T$1000,$B34))</f>
        <v>To Verify</v>
      </c>
      <c r="L34" s="7" t="str">
        <f aca="false">IF($B34="","",INDEX(MASTER_DATABASE!$U$4:$U$1000,$B34)&amp;"")</f>
        <v>To Verify</v>
      </c>
      <c r="M34" s="7" t="str">
        <f aca="false">IF($B34="","",INDEX(MASTER_DATABASE!$Q$4:$Q$1000,$B34)&amp;"")</f>
        <v>Depends on Department</v>
      </c>
      <c r="N34" s="7" t="str">
        <f aca="false">IF($B34="","",INDEX(MASTER_DATABASE!$AG$4:$AG$1000,$B34)&amp;"")</f>
        <v>To Verify</v>
      </c>
      <c r="O34" s="11" t="str">
        <f aca="false">IF($B34="","",INDEX(MASTER_DATABASE!$AH$4:$AH$1000,$B34)&amp;"")</f>
        <v>No</v>
      </c>
      <c r="P34" s="11" t="str">
        <f aca="false">IF($B34="","",INDEX(MASTER_DATABASE!$BE$4:$BE$1000,$B34)&amp;"")</f>
        <v>HIDDEN</v>
      </c>
      <c r="Q34" s="7" t="str">
        <f aca="false">IF($B34="","",INDEX(MASTER_DATABASE!$AV$4:$AV$1000,$B34)&amp;"")</f>
        <v>To Verify</v>
      </c>
    </row>
    <row r="35" customFormat="false" ht="23.85" hidden="false" customHeight="false" outlineLevel="0" collapsed="false">
      <c r="A35" s="11" t="n">
        <v>32</v>
      </c>
      <c r="B35" s="11" t="n">
        <f aca="false">IFERROR(MATCH("Common Service Centre (CSC)|"&amp;$A35,MASTER_DATABASE!$BH$4:$BH$1000,0),"")</f>
        <v>137</v>
      </c>
      <c r="C35" s="11" t="str">
        <f aca="false">IF($B35="","",INDEX(MASTER_DATABASE!$A$4:$A$1000,$B35)&amp;"")</f>
        <v>CSC-032</v>
      </c>
      <c r="D35" s="7" t="str">
        <f aca="false">IF($B35="","",INDEX(MASTER_DATABASE!$D$4:$D$1000,$B35)&amp;"")</f>
        <v>Pension Services</v>
      </c>
      <c r="E35" s="7" t="str">
        <f aca="false">IF($B35="","",INDEX(MASTER_DATABASE!$E$4:$E$1000,$B35)&amp;"")</f>
        <v>Pension Application Assistance (Central / State)</v>
      </c>
      <c r="F35" s="7" t="str">
        <f aca="false">IF($B35="","",INDEX(MASTER_DATABASE!$F$4:$F$1000,$B35)&amp;"")</f>
        <v>पेंशन आवेदन सहायता (केंद्र / राज्य)</v>
      </c>
      <c r="G35" s="11" t="str">
        <f aca="false">IF($B35="","",INDEX(MASTER_DATABASE!$I$4:$I$1000,$B35)&amp;"")</f>
        <v>To Verify</v>
      </c>
      <c r="H35" s="7" t="str">
        <f aca="false">IF($B35="","",INDEX(MASTER_DATABASE!$L$4:$L$1000,$B35)&amp;"")</f>
        <v>To Verify</v>
      </c>
      <c r="I35" s="9" t="str">
        <f aca="false">IF($B35="","",INDEX(MASTER_DATABASE!$R$4:$R$1000,$B35))</f>
        <v>To Verify</v>
      </c>
      <c r="J35" s="9" t="str">
        <f aca="false">IF($B35="","",INDEX(MASTER_DATABASE!$S$4:$S$1000,$B35))</f>
        <v>To Verify</v>
      </c>
      <c r="K35" s="9" t="str">
        <f aca="false">IF($B35="","",INDEX(MASTER_DATABASE!$T$4:$T$1000,$B35))</f>
        <v>To Verify</v>
      </c>
      <c r="L35" s="7" t="str">
        <f aca="false">IF($B35="","",INDEX(MASTER_DATABASE!$U$4:$U$1000,$B35)&amp;"")</f>
        <v>To Verify</v>
      </c>
      <c r="M35" s="7" t="str">
        <f aca="false">IF($B35="","",INDEX(MASTER_DATABASE!$Q$4:$Q$1000,$B35)&amp;"")</f>
        <v>Depends on Department</v>
      </c>
      <c r="N35" s="7" t="str">
        <f aca="false">IF($B35="","",INDEX(MASTER_DATABASE!$AG$4:$AG$1000,$B35)&amp;"")</f>
        <v>To Verify</v>
      </c>
      <c r="O35" s="11" t="str">
        <f aca="false">IF($B35="","",INDEX(MASTER_DATABASE!$AH$4:$AH$1000,$B35)&amp;"")</f>
        <v>No</v>
      </c>
      <c r="P35" s="11" t="str">
        <f aca="false">IF($B35="","",INDEX(MASTER_DATABASE!$BE$4:$BE$1000,$B35)&amp;"")</f>
        <v>HIDDEN</v>
      </c>
      <c r="Q35" s="7" t="str">
        <f aca="false">IF($B35="","",INDEX(MASTER_DATABASE!$AV$4:$AV$1000,$B35)&amp;"")</f>
        <v>To Verify</v>
      </c>
    </row>
    <row r="36" customFormat="false" ht="23.85" hidden="false" customHeight="false" outlineLevel="0" collapsed="false">
      <c r="A36" s="11" t="n">
        <v>33</v>
      </c>
      <c r="B36" s="11" t="n">
        <f aca="false">IFERROR(MATCH("Common Service Centre (CSC)|"&amp;$A36,MASTER_DATABASE!$BH$4:$BH$1000,0),"")</f>
        <v>138</v>
      </c>
      <c r="C36" s="11" t="str">
        <f aca="false">IF($B36="","",INDEX(MASTER_DATABASE!$A$4:$A$1000,$B36)&amp;"")</f>
        <v>CSC-033</v>
      </c>
      <c r="D36" s="7" t="str">
        <f aca="false">IF($B36="","",INDEX(MASTER_DATABASE!$D$4:$D$1000,$B36)&amp;"")</f>
        <v>Education Services</v>
      </c>
      <c r="E36" s="7" t="str">
        <f aca="false">IF($B36="","",INDEX(MASTER_DATABASE!$E$4:$E$1000,$B36)&amp;"")</f>
        <v>Digital Literacy (PMGDISHA) Registration</v>
      </c>
      <c r="F36" s="7" t="str">
        <f aca="false">IF($B36="","",INDEX(MASTER_DATABASE!$F$4:$F$1000,$B36)&amp;"")</f>
        <v>डिजिटल साक्षरता (PMGDISHA) पंजीकरण</v>
      </c>
      <c r="G36" s="11" t="str">
        <f aca="false">IF($B36="","",INDEX(MASTER_DATABASE!$I$4:$I$1000,$B36)&amp;"")</f>
        <v>Authorization Required</v>
      </c>
      <c r="H36" s="7" t="str">
        <f aca="false">IF($B36="","",INDEX(MASTER_DATABASE!$L$4:$L$1000,$B36)&amp;"")</f>
        <v>To Verify</v>
      </c>
      <c r="I36" s="9" t="str">
        <f aca="false">IF($B36="","",INDEX(MASTER_DATABASE!$R$4:$R$1000,$B36))</f>
        <v>To Verify</v>
      </c>
      <c r="J36" s="9" t="str">
        <f aca="false">IF($B36="","",INDEX(MASTER_DATABASE!$S$4:$S$1000,$B36))</f>
        <v>To Verify</v>
      </c>
      <c r="K36" s="9" t="str">
        <f aca="false">IF($B36="","",INDEX(MASTER_DATABASE!$T$4:$T$1000,$B36))</f>
        <v>To Verify</v>
      </c>
      <c r="L36" s="7" t="str">
        <f aca="false">IF($B36="","",INDEX(MASTER_DATABASE!$U$4:$U$1000,$B36)&amp;"")</f>
        <v>To Verify</v>
      </c>
      <c r="M36" s="7" t="str">
        <f aca="false">IF($B36="","",INDEX(MASTER_DATABASE!$Q$4:$Q$1000,$B36)&amp;"")</f>
        <v>Depends on Department</v>
      </c>
      <c r="N36" s="7" t="str">
        <f aca="false">IF($B36="","",INDEX(MASTER_DATABASE!$AG$4:$AG$1000,$B36)&amp;"")</f>
        <v>To Verify</v>
      </c>
      <c r="O36" s="11" t="str">
        <f aca="false">IF($B36="","",INDEX(MASTER_DATABASE!$AH$4:$AH$1000,$B36)&amp;"")</f>
        <v>No</v>
      </c>
      <c r="P36" s="11" t="str">
        <f aca="false">IF($B36="","",INDEX(MASTER_DATABASE!$BE$4:$BE$1000,$B36)&amp;"")</f>
        <v>HIDDEN</v>
      </c>
      <c r="Q36" s="7" t="str">
        <f aca="false">IF($B36="","",INDEX(MASTER_DATABASE!$AV$4:$AV$1000,$B36)&amp;"")</f>
        <v>To Verify</v>
      </c>
    </row>
    <row r="37" customFormat="false" ht="23.85" hidden="false" customHeight="false" outlineLevel="0" collapsed="false">
      <c r="A37" s="11" t="n">
        <v>34</v>
      </c>
      <c r="B37" s="11" t="n">
        <f aca="false">IFERROR(MATCH("Common Service Centre (CSC)|"&amp;$A37,MASTER_DATABASE!$BH$4:$BH$1000,0),"")</f>
        <v>139</v>
      </c>
      <c r="C37" s="11" t="str">
        <f aca="false">IF($B37="","",INDEX(MASTER_DATABASE!$A$4:$A$1000,$B37)&amp;"")</f>
        <v>CSC-034</v>
      </c>
      <c r="D37" s="7" t="str">
        <f aca="false">IF($B37="","",INDEX(MASTER_DATABASE!$D$4:$D$1000,$B37)&amp;"")</f>
        <v>Education Services</v>
      </c>
      <c r="E37" s="7" t="str">
        <f aca="false">IF($B37="","",INDEX(MASTER_DATABASE!$E$4:$E$1000,$B37)&amp;"")</f>
        <v>Skill Development Course Enrolment</v>
      </c>
      <c r="F37" s="7" t="str">
        <f aca="false">IF($B37="","",INDEX(MASTER_DATABASE!$F$4:$F$1000,$B37)&amp;"")</f>
        <v>कौशल विकास कोर्स नामांकन</v>
      </c>
      <c r="G37" s="11" t="str">
        <f aca="false">IF($B37="","",INDEX(MASTER_DATABASE!$I$4:$I$1000,$B37)&amp;"")</f>
        <v>To Verify</v>
      </c>
      <c r="H37" s="7" t="str">
        <f aca="false">IF($B37="","",INDEX(MASTER_DATABASE!$L$4:$L$1000,$B37)&amp;"")</f>
        <v>To Verify</v>
      </c>
      <c r="I37" s="9" t="str">
        <f aca="false">IF($B37="","",INDEX(MASTER_DATABASE!$R$4:$R$1000,$B37))</f>
        <v>To Verify</v>
      </c>
      <c r="J37" s="9" t="str">
        <f aca="false">IF($B37="","",INDEX(MASTER_DATABASE!$S$4:$S$1000,$B37))</f>
        <v>To Verify</v>
      </c>
      <c r="K37" s="9" t="str">
        <f aca="false">IF($B37="","",INDEX(MASTER_DATABASE!$T$4:$T$1000,$B37))</f>
        <v>To Verify</v>
      </c>
      <c r="L37" s="7" t="str">
        <f aca="false">IF($B37="","",INDEX(MASTER_DATABASE!$U$4:$U$1000,$B37)&amp;"")</f>
        <v>To Verify</v>
      </c>
      <c r="M37" s="7" t="str">
        <f aca="false">IF($B37="","",INDEX(MASTER_DATABASE!$Q$4:$Q$1000,$B37)&amp;"")</f>
        <v>Depends on Department</v>
      </c>
      <c r="N37" s="7" t="str">
        <f aca="false">IF($B37="","",INDEX(MASTER_DATABASE!$AG$4:$AG$1000,$B37)&amp;"")</f>
        <v>To Verify</v>
      </c>
      <c r="O37" s="11" t="str">
        <f aca="false">IF($B37="","",INDEX(MASTER_DATABASE!$AH$4:$AH$1000,$B37)&amp;"")</f>
        <v>No</v>
      </c>
      <c r="P37" s="11" t="str">
        <f aca="false">IF($B37="","",INDEX(MASTER_DATABASE!$BE$4:$BE$1000,$B37)&amp;"")</f>
        <v>HIDDEN</v>
      </c>
      <c r="Q37" s="7" t="str">
        <f aca="false">IF($B37="","",INDEX(MASTER_DATABASE!$AV$4:$AV$1000,$B37)&amp;"")</f>
        <v>To Verify</v>
      </c>
    </row>
    <row r="38" customFormat="false" ht="23.85" hidden="false" customHeight="false" outlineLevel="0" collapsed="false">
      <c r="A38" s="11" t="n">
        <v>35</v>
      </c>
      <c r="B38" s="11" t="n">
        <f aca="false">IFERROR(MATCH("Common Service Centre (CSC)|"&amp;$A38,MASTER_DATABASE!$BH$4:$BH$1000,0),"")</f>
        <v>140</v>
      </c>
      <c r="C38" s="11" t="str">
        <f aca="false">IF($B38="","",INDEX(MASTER_DATABASE!$A$4:$A$1000,$B38)&amp;"")</f>
        <v>CSC-035</v>
      </c>
      <c r="D38" s="7" t="str">
        <f aca="false">IF($B38="","",INDEX(MASTER_DATABASE!$D$4:$D$1000,$B38)&amp;"")</f>
        <v>Education Services</v>
      </c>
      <c r="E38" s="7" t="str">
        <f aca="false">IF($B38="","",INDEX(MASTER_DATABASE!$E$4:$E$1000,$B38)&amp;"")</f>
        <v>e-Learning / Tele-Education Course Enrolment</v>
      </c>
      <c r="F38" s="7" t="str">
        <f aca="false">IF($B38="","",INDEX(MASTER_DATABASE!$F$4:$F$1000,$B38)&amp;"")</f>
        <v>ई-लर्निंग / टेली-एजुकेशन कोर्स नामांकन</v>
      </c>
      <c r="G38" s="11" t="str">
        <f aca="false">IF($B38="","",INDEX(MASTER_DATABASE!$I$4:$I$1000,$B38)&amp;"")</f>
        <v>To Verify</v>
      </c>
      <c r="H38" s="7" t="str">
        <f aca="false">IF($B38="","",INDEX(MASTER_DATABASE!$L$4:$L$1000,$B38)&amp;"")</f>
        <v>To Verify</v>
      </c>
      <c r="I38" s="9" t="str">
        <f aca="false">IF($B38="","",INDEX(MASTER_DATABASE!$R$4:$R$1000,$B38))</f>
        <v>To Verify</v>
      </c>
      <c r="J38" s="9" t="str">
        <f aca="false">IF($B38="","",INDEX(MASTER_DATABASE!$S$4:$S$1000,$B38))</f>
        <v>To Verify</v>
      </c>
      <c r="K38" s="9" t="str">
        <f aca="false">IF($B38="","",INDEX(MASTER_DATABASE!$T$4:$T$1000,$B38))</f>
        <v>To Verify</v>
      </c>
      <c r="L38" s="7" t="str">
        <f aca="false">IF($B38="","",INDEX(MASTER_DATABASE!$U$4:$U$1000,$B38)&amp;"")</f>
        <v>To Verify</v>
      </c>
      <c r="M38" s="7" t="str">
        <f aca="false">IF($B38="","",INDEX(MASTER_DATABASE!$Q$4:$Q$1000,$B38)&amp;"")</f>
        <v>Depends on Department</v>
      </c>
      <c r="N38" s="7" t="str">
        <f aca="false">IF($B38="","",INDEX(MASTER_DATABASE!$AG$4:$AG$1000,$B38)&amp;"")</f>
        <v>To Verify</v>
      </c>
      <c r="O38" s="11" t="str">
        <f aca="false">IF($B38="","",INDEX(MASTER_DATABASE!$AH$4:$AH$1000,$B38)&amp;"")</f>
        <v>No</v>
      </c>
      <c r="P38" s="11" t="str">
        <f aca="false">IF($B38="","",INDEX(MASTER_DATABASE!$BE$4:$BE$1000,$B38)&amp;"")</f>
        <v>HIDDEN</v>
      </c>
      <c r="Q38" s="7" t="str">
        <f aca="false">IF($B38="","",INDEX(MASTER_DATABASE!$AV$4:$AV$1000,$B38)&amp;"")</f>
        <v>To Verify</v>
      </c>
    </row>
    <row r="39" customFormat="false" ht="23.85" hidden="false" customHeight="false" outlineLevel="0" collapsed="false">
      <c r="A39" s="11" t="n">
        <v>36</v>
      </c>
      <c r="B39" s="11" t="n">
        <f aca="false">IFERROR(MATCH("Common Service Centre (CSC)|"&amp;$A39,MASTER_DATABASE!$BH$4:$BH$1000,0),"")</f>
        <v>141</v>
      </c>
      <c r="C39" s="11" t="str">
        <f aca="false">IF($B39="","",INDEX(MASTER_DATABASE!$A$4:$A$1000,$B39)&amp;"")</f>
        <v>CSC-036</v>
      </c>
      <c r="D39" s="7" t="str">
        <f aca="false">IF($B39="","",INDEX(MASTER_DATABASE!$D$4:$D$1000,$B39)&amp;"")</f>
        <v>Education Services</v>
      </c>
      <c r="E39" s="7" t="str">
        <f aca="false">IF($B39="","",INDEX(MASTER_DATABASE!$E$4:$E$1000,$B39)&amp;"")</f>
        <v>PMKVY Training Enrolment Assistance</v>
      </c>
      <c r="F39" s="7" t="str">
        <f aca="false">IF($B39="","",INDEX(MASTER_DATABASE!$F$4:$F$1000,$B39)&amp;"")</f>
        <v>PMKVY प्रशिक्षण नामांकन सहायता</v>
      </c>
      <c r="G39" s="11" t="str">
        <f aca="false">IF($B39="","",INDEX(MASTER_DATABASE!$I$4:$I$1000,$B39)&amp;"")</f>
        <v>To Verify</v>
      </c>
      <c r="H39" s="7" t="str">
        <f aca="false">IF($B39="","",INDEX(MASTER_DATABASE!$L$4:$L$1000,$B39)&amp;"")</f>
        <v>To Verify</v>
      </c>
      <c r="I39" s="9" t="str">
        <f aca="false">IF($B39="","",INDEX(MASTER_DATABASE!$R$4:$R$1000,$B39))</f>
        <v>To Verify</v>
      </c>
      <c r="J39" s="9" t="str">
        <f aca="false">IF($B39="","",INDEX(MASTER_DATABASE!$S$4:$S$1000,$B39))</f>
        <v>To Verify</v>
      </c>
      <c r="K39" s="9" t="str">
        <f aca="false">IF($B39="","",INDEX(MASTER_DATABASE!$T$4:$T$1000,$B39))</f>
        <v>To Verify</v>
      </c>
      <c r="L39" s="7" t="str">
        <f aca="false">IF($B39="","",INDEX(MASTER_DATABASE!$U$4:$U$1000,$B39)&amp;"")</f>
        <v>To Verify</v>
      </c>
      <c r="M39" s="7" t="str">
        <f aca="false">IF($B39="","",INDEX(MASTER_DATABASE!$Q$4:$Q$1000,$B39)&amp;"")</f>
        <v>Depends on Department</v>
      </c>
      <c r="N39" s="7" t="str">
        <f aca="false">IF($B39="","",INDEX(MASTER_DATABASE!$AG$4:$AG$1000,$B39)&amp;"")</f>
        <v>To Verify</v>
      </c>
      <c r="O39" s="11" t="str">
        <f aca="false">IF($B39="","",INDEX(MASTER_DATABASE!$AH$4:$AH$1000,$B39)&amp;"")</f>
        <v>No</v>
      </c>
      <c r="P39" s="11" t="str">
        <f aca="false">IF($B39="","",INDEX(MASTER_DATABASE!$BE$4:$BE$1000,$B39)&amp;"")</f>
        <v>HIDDEN</v>
      </c>
      <c r="Q39" s="7" t="str">
        <f aca="false">IF($B39="","",INDEX(MASTER_DATABASE!$AV$4:$AV$1000,$B39)&amp;"")</f>
        <v>To Verify</v>
      </c>
    </row>
    <row r="40" customFormat="false" ht="23.85" hidden="false" customHeight="false" outlineLevel="0" collapsed="false">
      <c r="A40" s="11" t="n">
        <v>37</v>
      </c>
      <c r="B40" s="11" t="n">
        <f aca="false">IFERROR(MATCH("Common Service Centre (CSC)|"&amp;$A40,MASTER_DATABASE!$BH$4:$BH$1000,0),"")</f>
        <v>142</v>
      </c>
      <c r="C40" s="11" t="str">
        <f aca="false">IF($B40="","",INDEX(MASTER_DATABASE!$A$4:$A$1000,$B40)&amp;"")</f>
        <v>CSC-037</v>
      </c>
      <c r="D40" s="7" t="str">
        <f aca="false">IF($B40="","",INDEX(MASTER_DATABASE!$D$4:$D$1000,$B40)&amp;"")</f>
        <v>Utility Services</v>
      </c>
      <c r="E40" s="7" t="str">
        <f aca="false">IF($B40="","",INDEX(MASTER_DATABASE!$E$4:$E$1000,$B40)&amp;"")</f>
        <v>e-Challan (Traffic) Payment</v>
      </c>
      <c r="F40" s="7" t="str">
        <f aca="false">IF($B40="","",INDEX(MASTER_DATABASE!$F$4:$F$1000,$B40)&amp;"")</f>
        <v>e-चालान (ट्रैफिक) भुगतान</v>
      </c>
      <c r="G40" s="11" t="str">
        <f aca="false">IF($B40="","",INDEX(MASTER_DATABASE!$I$4:$I$1000,$B40)&amp;"")</f>
        <v>Portal Dependent</v>
      </c>
      <c r="H40" s="7" t="str">
        <f aca="false">IF($B40="","",INDEX(MASTER_DATABASE!$L$4:$L$1000,$B40)&amp;"")</f>
        <v>Portal Dependent</v>
      </c>
      <c r="I40" s="9" t="str">
        <f aca="false">IF($B40="","",INDEX(MASTER_DATABASE!$R$4:$R$1000,$B40))</f>
        <v>To Verify</v>
      </c>
      <c r="J40" s="9" t="str">
        <f aca="false">IF($B40="","",INDEX(MASTER_DATABASE!$S$4:$S$1000,$B40))</f>
        <v>To Verify</v>
      </c>
      <c r="K40" s="9" t="str">
        <f aca="false">IF($B40="","",INDEX(MASTER_DATABASE!$T$4:$T$1000,$B40))</f>
        <v>To Verify</v>
      </c>
      <c r="L40" s="7" t="str">
        <f aca="false">IF($B40="","",INDEX(MASTER_DATABASE!$U$4:$U$1000,$B40)&amp;"")</f>
        <v>To Verify</v>
      </c>
      <c r="M40" s="7" t="str">
        <f aca="false">IF($B40="","",INDEX(MASTER_DATABASE!$Q$4:$Q$1000,$B40)&amp;"")</f>
        <v>Depends on Department</v>
      </c>
      <c r="N40" s="7" t="str">
        <f aca="false">IF($B40="","",INDEX(MASTER_DATABASE!$AG$4:$AG$1000,$B40)&amp;"")</f>
        <v>To Verify</v>
      </c>
      <c r="O40" s="11" t="str">
        <f aca="false">IF($B40="","",INDEX(MASTER_DATABASE!$AH$4:$AH$1000,$B40)&amp;"")</f>
        <v>No</v>
      </c>
      <c r="P40" s="11" t="str">
        <f aca="false">IF($B40="","",INDEX(MASTER_DATABASE!$BE$4:$BE$1000,$B40)&amp;"")</f>
        <v>HIDDEN</v>
      </c>
      <c r="Q40" s="7" t="str">
        <f aca="false">IF($B40="","",INDEX(MASTER_DATABASE!$AV$4:$AV$1000,$B40)&amp;"")</f>
        <v>To Verify</v>
      </c>
    </row>
    <row r="41" customFormat="false" ht="23.85" hidden="false" customHeight="false" outlineLevel="0" collapsed="false">
      <c r="A41" s="11" t="n">
        <v>38</v>
      </c>
      <c r="B41" s="11" t="n">
        <f aca="false">IFERROR(MATCH("Common Service Centre (CSC)|"&amp;$A41,MASTER_DATABASE!$BH$4:$BH$1000,0),"")</f>
        <v>143</v>
      </c>
      <c r="C41" s="11" t="str">
        <f aca="false">IF($B41="","",INDEX(MASTER_DATABASE!$A$4:$A$1000,$B41)&amp;"")</f>
        <v>CSC-038</v>
      </c>
      <c r="D41" s="7" t="str">
        <f aca="false">IF($B41="","",INDEX(MASTER_DATABASE!$D$4:$D$1000,$B41)&amp;"")</f>
        <v>Utility Services</v>
      </c>
      <c r="E41" s="7" t="str">
        <f aca="false">IF($B41="","",INDEX(MASTER_DATABASE!$E$4:$E$1000,$B41)&amp;"")</f>
        <v>Vehicle Services (Parivahan / VAHAN) Assistance</v>
      </c>
      <c r="F41" s="7" t="str">
        <f aca="false">IF($B41="","",INDEX(MASTER_DATABASE!$F$4:$F$1000,$B41)&amp;"")</f>
        <v>वाहन सेवाएँ (परिवहन / VAHAN) सहायता</v>
      </c>
      <c r="G41" s="11" t="str">
        <f aca="false">IF($B41="","",INDEX(MASTER_DATABASE!$I$4:$I$1000,$B41)&amp;"")</f>
        <v>Portal Dependent</v>
      </c>
      <c r="H41" s="7" t="str">
        <f aca="false">IF($B41="","",INDEX(MASTER_DATABASE!$L$4:$L$1000,$B41)&amp;"")</f>
        <v>Portal Dependent</v>
      </c>
      <c r="I41" s="9" t="str">
        <f aca="false">IF($B41="","",INDEX(MASTER_DATABASE!$R$4:$R$1000,$B41))</f>
        <v>To Verify</v>
      </c>
      <c r="J41" s="9" t="str">
        <f aca="false">IF($B41="","",INDEX(MASTER_DATABASE!$S$4:$S$1000,$B41))</f>
        <v>To Verify</v>
      </c>
      <c r="K41" s="9" t="str">
        <f aca="false">IF($B41="","",INDEX(MASTER_DATABASE!$T$4:$T$1000,$B41))</f>
        <v>To Verify</v>
      </c>
      <c r="L41" s="7" t="str">
        <f aca="false">IF($B41="","",INDEX(MASTER_DATABASE!$U$4:$U$1000,$B41)&amp;"")</f>
        <v>To Verify</v>
      </c>
      <c r="M41" s="7" t="str">
        <f aca="false">IF($B41="","",INDEX(MASTER_DATABASE!$Q$4:$Q$1000,$B41)&amp;"")</f>
        <v>Depends on Department</v>
      </c>
      <c r="N41" s="7" t="str">
        <f aca="false">IF($B41="","",INDEX(MASTER_DATABASE!$AG$4:$AG$1000,$B41)&amp;"")</f>
        <v>To Verify</v>
      </c>
      <c r="O41" s="11" t="str">
        <f aca="false">IF($B41="","",INDEX(MASTER_DATABASE!$AH$4:$AH$1000,$B41)&amp;"")</f>
        <v>No</v>
      </c>
      <c r="P41" s="11" t="str">
        <f aca="false">IF($B41="","",INDEX(MASTER_DATABASE!$BE$4:$BE$1000,$B41)&amp;"")</f>
        <v>HIDDEN</v>
      </c>
      <c r="Q41" s="7" t="str">
        <f aca="false">IF($B41="","",INDEX(MASTER_DATABASE!$AV$4:$AV$1000,$B41)&amp;"")</f>
        <v>To Verify</v>
      </c>
    </row>
    <row r="42" customFormat="false" ht="23.85" hidden="false" customHeight="false" outlineLevel="0" collapsed="false">
      <c r="A42" s="11" t="n">
        <v>39</v>
      </c>
      <c r="B42" s="11" t="n">
        <f aca="false">IFERROR(MATCH("Common Service Centre (CSC)|"&amp;$A42,MASTER_DATABASE!$BH$4:$BH$1000,0),"")</f>
        <v>144</v>
      </c>
      <c r="C42" s="11" t="str">
        <f aca="false">IF($B42="","",INDEX(MASTER_DATABASE!$A$4:$A$1000,$B42)&amp;"")</f>
        <v>CSC-039</v>
      </c>
      <c r="D42" s="7" t="str">
        <f aca="false">IF($B42="","",INDEX(MASTER_DATABASE!$D$4:$D$1000,$B42)&amp;"")</f>
        <v>Digital Services</v>
      </c>
      <c r="E42" s="7" t="str">
        <f aca="false">IF($B42="","",INDEX(MASTER_DATABASE!$E$4:$E$1000,$B42)&amp;"")</f>
        <v>Digital Signature Certificate (DSC) Issuance</v>
      </c>
      <c r="F42" s="7" t="str">
        <f aca="false">IF($B42="","",INDEX(MASTER_DATABASE!$F$4:$F$1000,$B42)&amp;"")</f>
        <v>डिजिटल सिग्नेचर सर्टिफिकेट (DSC) निर्माण</v>
      </c>
      <c r="G42" s="11" t="str">
        <f aca="false">IF($B42="","",INDEX(MASTER_DATABASE!$I$4:$I$1000,$B42)&amp;"")</f>
        <v>Authorization Required</v>
      </c>
      <c r="H42" s="7" t="str">
        <f aca="false">IF($B42="","",INDEX(MASTER_DATABASE!$L$4:$L$1000,$B42)&amp;"")</f>
        <v>To Verify</v>
      </c>
      <c r="I42" s="9" t="str">
        <f aca="false">IF($B42="","",INDEX(MASTER_DATABASE!$R$4:$R$1000,$B42))</f>
        <v>To Verify</v>
      </c>
      <c r="J42" s="9" t="str">
        <f aca="false">IF($B42="","",INDEX(MASTER_DATABASE!$S$4:$S$1000,$B42))</f>
        <v>To Verify</v>
      </c>
      <c r="K42" s="9" t="str">
        <f aca="false">IF($B42="","",INDEX(MASTER_DATABASE!$T$4:$T$1000,$B42))</f>
        <v>To Verify</v>
      </c>
      <c r="L42" s="7" t="str">
        <f aca="false">IF($B42="","",INDEX(MASTER_DATABASE!$U$4:$U$1000,$B42)&amp;"")</f>
        <v>To Verify</v>
      </c>
      <c r="M42" s="7" t="str">
        <f aca="false">IF($B42="","",INDEX(MASTER_DATABASE!$Q$4:$Q$1000,$B42)&amp;"")</f>
        <v>Depends on Department</v>
      </c>
      <c r="N42" s="7" t="str">
        <f aca="false">IF($B42="","",INDEX(MASTER_DATABASE!$AG$4:$AG$1000,$B42)&amp;"")</f>
        <v>To Verify</v>
      </c>
      <c r="O42" s="11" t="str">
        <f aca="false">IF($B42="","",INDEX(MASTER_DATABASE!$AH$4:$AH$1000,$B42)&amp;"")</f>
        <v>No</v>
      </c>
      <c r="P42" s="11" t="str">
        <f aca="false">IF($B42="","",INDEX(MASTER_DATABASE!$BE$4:$BE$1000,$B42)&amp;"")</f>
        <v>HIDDEN</v>
      </c>
      <c r="Q42" s="7" t="str">
        <f aca="false">IF($B42="","",INDEX(MASTER_DATABASE!$AV$4:$AV$1000,$B42)&amp;"")</f>
        <v>To Verify</v>
      </c>
    </row>
    <row r="43" customFormat="false" ht="23.85" hidden="false" customHeight="false" outlineLevel="0" collapsed="false">
      <c r="A43" s="11" t="n">
        <v>40</v>
      </c>
      <c r="B43" s="11" t="n">
        <f aca="false">IFERROR(MATCH("Common Service Centre (CSC)|"&amp;$A43,MASTER_DATABASE!$BH$4:$BH$1000,0),"")</f>
        <v>145</v>
      </c>
      <c r="C43" s="11" t="str">
        <f aca="false">IF($B43="","",INDEX(MASTER_DATABASE!$A$4:$A$1000,$B43)&amp;"")</f>
        <v>CSC-040</v>
      </c>
      <c r="D43" s="7" t="str">
        <f aca="false">IF($B43="","",INDEX(MASTER_DATABASE!$D$4:$D$1000,$B43)&amp;"")</f>
        <v>Digital Services</v>
      </c>
      <c r="E43" s="7" t="str">
        <f aca="false">IF($B43="","",INDEX(MASTER_DATABASE!$E$4:$E$1000,$B43)&amp;"")</f>
        <v>Aadhaar eSign Assistance</v>
      </c>
      <c r="F43" s="7" t="str">
        <f aca="false">IF($B43="","",INDEX(MASTER_DATABASE!$F$4:$F$1000,$B43)&amp;"")</f>
        <v>आधार eSign सहायता</v>
      </c>
      <c r="G43" s="11" t="str">
        <f aca="false">IF($B43="","",INDEX(MASTER_DATABASE!$I$4:$I$1000,$B43)&amp;"")</f>
        <v>To Verify</v>
      </c>
      <c r="H43" s="7" t="str">
        <f aca="false">IF($B43="","",INDEX(MASTER_DATABASE!$L$4:$L$1000,$B43)&amp;"")</f>
        <v>To Verify</v>
      </c>
      <c r="I43" s="9" t="str">
        <f aca="false">IF($B43="","",INDEX(MASTER_DATABASE!$R$4:$R$1000,$B43))</f>
        <v>To Verify</v>
      </c>
      <c r="J43" s="9" t="str">
        <f aca="false">IF($B43="","",INDEX(MASTER_DATABASE!$S$4:$S$1000,$B43))</f>
        <v>To Verify</v>
      </c>
      <c r="K43" s="9" t="str">
        <f aca="false">IF($B43="","",INDEX(MASTER_DATABASE!$T$4:$T$1000,$B43))</f>
        <v>To Verify</v>
      </c>
      <c r="L43" s="7" t="str">
        <f aca="false">IF($B43="","",INDEX(MASTER_DATABASE!$U$4:$U$1000,$B43)&amp;"")</f>
        <v>To Verify</v>
      </c>
      <c r="M43" s="7" t="str">
        <f aca="false">IF($B43="","",INDEX(MASTER_DATABASE!$Q$4:$Q$1000,$B43)&amp;"")</f>
        <v>Depends on Department</v>
      </c>
      <c r="N43" s="7" t="str">
        <f aca="false">IF($B43="","",INDEX(MASTER_DATABASE!$AG$4:$AG$1000,$B43)&amp;"")</f>
        <v>To Verify</v>
      </c>
      <c r="O43" s="11" t="str">
        <f aca="false">IF($B43="","",INDEX(MASTER_DATABASE!$AH$4:$AH$1000,$B43)&amp;"")</f>
        <v>No</v>
      </c>
      <c r="P43" s="11" t="str">
        <f aca="false">IF($B43="","",INDEX(MASTER_DATABASE!$BE$4:$BE$1000,$B43)&amp;"")</f>
        <v>HIDDEN</v>
      </c>
      <c r="Q43" s="7" t="str">
        <f aca="false">IF($B43="","",INDEX(MASTER_DATABASE!$AV$4:$AV$1000,$B43)&amp;"")</f>
        <v>To Verify</v>
      </c>
    </row>
    <row r="44" customFormat="false" ht="23.85" hidden="false" customHeight="false" outlineLevel="0" collapsed="false">
      <c r="A44" s="11" t="n">
        <v>41</v>
      </c>
      <c r="B44" s="11" t="n">
        <f aca="false">IFERROR(MATCH("Common Service Centre (CSC)|"&amp;$A44,MASTER_DATABASE!$BH$4:$BH$1000,0),"")</f>
        <v>146</v>
      </c>
      <c r="C44" s="11" t="str">
        <f aca="false">IF($B44="","",INDEX(MASTER_DATABASE!$A$4:$A$1000,$B44)&amp;"")</f>
        <v>CSC-041</v>
      </c>
      <c r="D44" s="7" t="str">
        <f aca="false">IF($B44="","",INDEX(MASTER_DATABASE!$D$4:$D$1000,$B44)&amp;"")</f>
        <v>Digital Services</v>
      </c>
      <c r="E44" s="7" t="str">
        <f aca="false">IF($B44="","",INDEX(MASTER_DATABASE!$E$4:$E$1000,$B44)&amp;"")</f>
        <v>CSC e-Store / Grameen e-Store Orders</v>
      </c>
      <c r="F44" s="7" t="str">
        <f aca="false">IF($B44="","",INDEX(MASTER_DATABASE!$F$4:$F$1000,$B44)&amp;"")</f>
        <v>CSC e-Store / ग्रामीण e-Store ऑर्डर</v>
      </c>
      <c r="G44" s="11" t="str">
        <f aca="false">IF($B44="","",INDEX(MASTER_DATABASE!$I$4:$I$1000,$B44)&amp;"")</f>
        <v>To Verify</v>
      </c>
      <c r="H44" s="7" t="str">
        <f aca="false">IF($B44="","",INDEX(MASTER_DATABASE!$L$4:$L$1000,$B44)&amp;"")</f>
        <v>To Verify</v>
      </c>
      <c r="I44" s="9" t="str">
        <f aca="false">IF($B44="","",INDEX(MASTER_DATABASE!$R$4:$R$1000,$B44))</f>
        <v>To Verify</v>
      </c>
      <c r="J44" s="9" t="str">
        <f aca="false">IF($B44="","",INDEX(MASTER_DATABASE!$S$4:$S$1000,$B44))</f>
        <v>To Verify</v>
      </c>
      <c r="K44" s="9" t="str">
        <f aca="false">IF($B44="","",INDEX(MASTER_DATABASE!$T$4:$T$1000,$B44))</f>
        <v>To Verify</v>
      </c>
      <c r="L44" s="7" t="str">
        <f aca="false">IF($B44="","",INDEX(MASTER_DATABASE!$U$4:$U$1000,$B44)&amp;"")</f>
        <v>To Verify</v>
      </c>
      <c r="M44" s="7" t="str">
        <f aca="false">IF($B44="","",INDEX(MASTER_DATABASE!$Q$4:$Q$1000,$B44)&amp;"")</f>
        <v>Depends on Department</v>
      </c>
      <c r="N44" s="7" t="str">
        <f aca="false">IF($B44="","",INDEX(MASTER_DATABASE!$AG$4:$AG$1000,$B44)&amp;"")</f>
        <v>To Verify</v>
      </c>
      <c r="O44" s="11" t="str">
        <f aca="false">IF($B44="","",INDEX(MASTER_DATABASE!$AH$4:$AH$1000,$B44)&amp;"")</f>
        <v>No</v>
      </c>
      <c r="P44" s="11" t="str">
        <f aca="false">IF($B44="","",INDEX(MASTER_DATABASE!$BE$4:$BE$1000,$B44)&amp;"")</f>
        <v>HIDDEN</v>
      </c>
      <c r="Q44" s="7" t="str">
        <f aca="false">IF($B44="","",INDEX(MASTER_DATABASE!$AV$4:$AV$1000,$B44)&amp;"")</f>
        <v>To Verify</v>
      </c>
    </row>
    <row r="45" customFormat="false" ht="23.85" hidden="false" customHeight="false" outlineLevel="0" collapsed="false">
      <c r="A45" s="11" t="n">
        <v>42</v>
      </c>
      <c r="B45" s="11" t="n">
        <f aca="false">IFERROR(MATCH("Common Service Centre (CSC)|"&amp;$A45,MASTER_DATABASE!$BH$4:$BH$1000,0),"")</f>
        <v>147</v>
      </c>
      <c r="C45" s="11" t="str">
        <f aca="false">IF($B45="","",INDEX(MASTER_DATABASE!$A$4:$A$1000,$B45)&amp;"")</f>
        <v>CSC-042</v>
      </c>
      <c r="D45" s="7" t="str">
        <f aca="false">IF($B45="","",INDEX(MASTER_DATABASE!$D$4:$D$1000,$B45)&amp;"")</f>
        <v>Registration Services</v>
      </c>
      <c r="E45" s="7" t="str">
        <f aca="false">IF($B45="","",INDEX(MASTER_DATABASE!$E$4:$E$1000,$B45)&amp;"")</f>
        <v>Udyam (MSME) Registration</v>
      </c>
      <c r="F45" s="7" t="str">
        <f aca="false">IF($B45="","",INDEX(MASTER_DATABASE!$F$4:$F$1000,$B45)&amp;"")</f>
        <v>उद्यम (MSME) पंजीकरण</v>
      </c>
      <c r="G45" s="11" t="str">
        <f aca="false">IF($B45="","",INDEX(MASTER_DATABASE!$I$4:$I$1000,$B45)&amp;"")</f>
        <v>Portal Dependent</v>
      </c>
      <c r="H45" s="7" t="str">
        <f aca="false">IF($B45="","",INDEX(MASTER_DATABASE!$L$4:$L$1000,$B45)&amp;"")</f>
        <v>Portal Dependent</v>
      </c>
      <c r="I45" s="9" t="str">
        <f aca="false">IF($B45="","",INDEX(MASTER_DATABASE!$R$4:$R$1000,$B45))</f>
        <v>To Verify</v>
      </c>
      <c r="J45" s="9" t="str">
        <f aca="false">IF($B45="","",INDEX(MASTER_DATABASE!$S$4:$S$1000,$B45))</f>
        <v>To Verify</v>
      </c>
      <c r="K45" s="9" t="str">
        <f aca="false">IF($B45="","",INDEX(MASTER_DATABASE!$T$4:$T$1000,$B45))</f>
        <v>To Verify</v>
      </c>
      <c r="L45" s="7" t="str">
        <f aca="false">IF($B45="","",INDEX(MASTER_DATABASE!$U$4:$U$1000,$B45)&amp;"")</f>
        <v>To Verify</v>
      </c>
      <c r="M45" s="7" t="str">
        <f aca="false">IF($B45="","",INDEX(MASTER_DATABASE!$Q$4:$Q$1000,$B45)&amp;"")</f>
        <v>Depends on Department</v>
      </c>
      <c r="N45" s="7" t="str">
        <f aca="false">IF($B45="","",INDEX(MASTER_DATABASE!$AG$4:$AG$1000,$B45)&amp;"")</f>
        <v>To Verify</v>
      </c>
      <c r="O45" s="11" t="str">
        <f aca="false">IF($B45="","",INDEX(MASTER_DATABASE!$AH$4:$AH$1000,$B45)&amp;"")</f>
        <v>No</v>
      </c>
      <c r="P45" s="11" t="str">
        <f aca="false">IF($B45="","",INDEX(MASTER_DATABASE!$BE$4:$BE$1000,$B45)&amp;"")</f>
        <v>HIDDEN</v>
      </c>
      <c r="Q45" s="7" t="str">
        <f aca="false">IF($B45="","",INDEX(MASTER_DATABASE!$AV$4:$AV$1000,$B45)&amp;"")</f>
        <v>To Verify</v>
      </c>
    </row>
    <row r="46" customFormat="false" ht="23.85" hidden="false" customHeight="false" outlineLevel="0" collapsed="false">
      <c r="A46" s="11" t="n">
        <v>43</v>
      </c>
      <c r="B46" s="11" t="n">
        <f aca="false">IFERROR(MATCH("Common Service Centre (CSC)|"&amp;$A46,MASTER_DATABASE!$BH$4:$BH$1000,0),"")</f>
        <v>148</v>
      </c>
      <c r="C46" s="11" t="str">
        <f aca="false">IF($B46="","",INDEX(MASTER_DATABASE!$A$4:$A$1000,$B46)&amp;"")</f>
        <v>CSC-043</v>
      </c>
      <c r="D46" s="7" t="str">
        <f aca="false">IF($B46="","",INDEX(MASTER_DATABASE!$D$4:$D$1000,$B46)&amp;"")</f>
        <v>Registration Services</v>
      </c>
      <c r="E46" s="7" t="str">
        <f aca="false">IF($B46="","",INDEX(MASTER_DATABASE!$E$4:$E$1000,$B46)&amp;"")</f>
        <v>GST Registration Assistance</v>
      </c>
      <c r="F46" s="7" t="str">
        <f aca="false">IF($B46="","",INDEX(MASTER_DATABASE!$F$4:$F$1000,$B46)&amp;"")</f>
        <v>GST पंजीकरण सहायता</v>
      </c>
      <c r="G46" s="11" t="str">
        <f aca="false">IF($B46="","",INDEX(MASTER_DATABASE!$I$4:$I$1000,$B46)&amp;"")</f>
        <v>Portal Dependent</v>
      </c>
      <c r="H46" s="7" t="str">
        <f aca="false">IF($B46="","",INDEX(MASTER_DATABASE!$L$4:$L$1000,$B46)&amp;"")</f>
        <v>Portal Dependent</v>
      </c>
      <c r="I46" s="9" t="str">
        <f aca="false">IF($B46="","",INDEX(MASTER_DATABASE!$R$4:$R$1000,$B46))</f>
        <v>To Verify</v>
      </c>
      <c r="J46" s="9" t="str">
        <f aca="false">IF($B46="","",INDEX(MASTER_DATABASE!$S$4:$S$1000,$B46))</f>
        <v>To Verify</v>
      </c>
      <c r="K46" s="9" t="str">
        <f aca="false">IF($B46="","",INDEX(MASTER_DATABASE!$T$4:$T$1000,$B46))</f>
        <v>To Verify</v>
      </c>
      <c r="L46" s="7" t="str">
        <f aca="false">IF($B46="","",INDEX(MASTER_DATABASE!$U$4:$U$1000,$B46)&amp;"")</f>
        <v>To Verify</v>
      </c>
      <c r="M46" s="7" t="str">
        <f aca="false">IF($B46="","",INDEX(MASTER_DATABASE!$Q$4:$Q$1000,$B46)&amp;"")</f>
        <v>Depends on Department</v>
      </c>
      <c r="N46" s="7" t="str">
        <f aca="false">IF($B46="","",INDEX(MASTER_DATABASE!$AG$4:$AG$1000,$B46)&amp;"")</f>
        <v>To Verify</v>
      </c>
      <c r="O46" s="11" t="str">
        <f aca="false">IF($B46="","",INDEX(MASTER_DATABASE!$AH$4:$AH$1000,$B46)&amp;"")</f>
        <v>No</v>
      </c>
      <c r="P46" s="11" t="str">
        <f aca="false">IF($B46="","",INDEX(MASTER_DATABASE!$BE$4:$BE$1000,$B46)&amp;"")</f>
        <v>HIDDEN</v>
      </c>
      <c r="Q46" s="7" t="str">
        <f aca="false">IF($B46="","",INDEX(MASTER_DATABASE!$AV$4:$AV$1000,$B46)&amp;"")</f>
        <v>To Verify</v>
      </c>
    </row>
    <row r="47" customFormat="false" ht="23.85" hidden="false" customHeight="false" outlineLevel="0" collapsed="false">
      <c r="A47" s="11" t="n">
        <v>44</v>
      </c>
      <c r="B47" s="11" t="n">
        <f aca="false">IFERROR(MATCH("Common Service Centre (CSC)|"&amp;$A47,MASTER_DATABASE!$BH$4:$BH$1000,0),"")</f>
        <v>149</v>
      </c>
      <c r="C47" s="11" t="str">
        <f aca="false">IF($B47="","",INDEX(MASTER_DATABASE!$A$4:$A$1000,$B47)&amp;"")</f>
        <v>CSC-044</v>
      </c>
      <c r="D47" s="7" t="str">
        <f aca="false">IF($B47="","",INDEX(MASTER_DATABASE!$D$4:$D$1000,$B47)&amp;"")</f>
        <v>Registration Services</v>
      </c>
      <c r="E47" s="7" t="str">
        <f aca="false">IF($B47="","",INDEX(MASTER_DATABASE!$E$4:$E$1000,$B47)&amp;"")</f>
        <v>GST Return Filing Assistance</v>
      </c>
      <c r="F47" s="7" t="str">
        <f aca="false">IF($B47="","",INDEX(MASTER_DATABASE!$F$4:$F$1000,$B47)&amp;"")</f>
        <v>GST रिटर्न फाइलिंग सहायता</v>
      </c>
      <c r="G47" s="11" t="str">
        <f aca="false">IF($B47="","",INDEX(MASTER_DATABASE!$I$4:$I$1000,$B47)&amp;"")</f>
        <v>Portal Dependent</v>
      </c>
      <c r="H47" s="7" t="str">
        <f aca="false">IF($B47="","",INDEX(MASTER_DATABASE!$L$4:$L$1000,$B47)&amp;"")</f>
        <v>Portal Dependent</v>
      </c>
      <c r="I47" s="9" t="str">
        <f aca="false">IF($B47="","",INDEX(MASTER_DATABASE!$R$4:$R$1000,$B47))</f>
        <v>To Verify</v>
      </c>
      <c r="J47" s="9" t="str">
        <f aca="false">IF($B47="","",INDEX(MASTER_DATABASE!$S$4:$S$1000,$B47))</f>
        <v>To Verify</v>
      </c>
      <c r="K47" s="9" t="str">
        <f aca="false">IF($B47="","",INDEX(MASTER_DATABASE!$T$4:$T$1000,$B47))</f>
        <v>To Verify</v>
      </c>
      <c r="L47" s="7" t="str">
        <f aca="false">IF($B47="","",INDEX(MASTER_DATABASE!$U$4:$U$1000,$B47)&amp;"")</f>
        <v>To Verify</v>
      </c>
      <c r="M47" s="7" t="str">
        <f aca="false">IF($B47="","",INDEX(MASTER_DATABASE!$Q$4:$Q$1000,$B47)&amp;"")</f>
        <v>Depends on Department</v>
      </c>
      <c r="N47" s="7" t="str">
        <f aca="false">IF($B47="","",INDEX(MASTER_DATABASE!$AG$4:$AG$1000,$B47)&amp;"")</f>
        <v>To Verify</v>
      </c>
      <c r="O47" s="11" t="str">
        <f aca="false">IF($B47="","",INDEX(MASTER_DATABASE!$AH$4:$AH$1000,$B47)&amp;"")</f>
        <v>No</v>
      </c>
      <c r="P47" s="11" t="str">
        <f aca="false">IF($B47="","",INDEX(MASTER_DATABASE!$BE$4:$BE$1000,$B47)&amp;"")</f>
        <v>HIDDEN</v>
      </c>
      <c r="Q47" s="7" t="str">
        <f aca="false">IF($B47="","",INDEX(MASTER_DATABASE!$AV$4:$AV$1000,$B47)&amp;"")</f>
        <v>To Verify</v>
      </c>
    </row>
    <row r="48" customFormat="false" ht="23.85" hidden="false" customHeight="false" outlineLevel="0" collapsed="false">
      <c r="A48" s="11" t="n">
        <v>45</v>
      </c>
      <c r="B48" s="11" t="n">
        <f aca="false">IFERROR(MATCH("Common Service Centre (CSC)|"&amp;$A48,MASTER_DATABASE!$BH$4:$BH$1000,0),"")</f>
        <v>150</v>
      </c>
      <c r="C48" s="11" t="str">
        <f aca="false">IF($B48="","",INDEX(MASTER_DATABASE!$A$4:$A$1000,$B48)&amp;"")</f>
        <v>CSC-045</v>
      </c>
      <c r="D48" s="7" t="str">
        <f aca="false">IF($B48="","",INDEX(MASTER_DATABASE!$D$4:$D$1000,$B48)&amp;"")</f>
        <v>Registration Services</v>
      </c>
      <c r="E48" s="7" t="str">
        <f aca="false">IF($B48="","",INDEX(MASTER_DATABASE!$E$4:$E$1000,$B48)&amp;"")</f>
        <v>FSSAI Registration / Licence Assistance</v>
      </c>
      <c r="F48" s="7" t="str">
        <f aca="false">IF($B48="","",INDEX(MASTER_DATABASE!$F$4:$F$1000,$B48)&amp;"")</f>
        <v>FSSAI पंजीकरण / लाइसेंस सहायता</v>
      </c>
      <c r="G48" s="11" t="str">
        <f aca="false">IF($B48="","",INDEX(MASTER_DATABASE!$I$4:$I$1000,$B48)&amp;"")</f>
        <v>Portal Dependent</v>
      </c>
      <c r="H48" s="7" t="str">
        <f aca="false">IF($B48="","",INDEX(MASTER_DATABASE!$L$4:$L$1000,$B48)&amp;"")</f>
        <v>Portal Dependent</v>
      </c>
      <c r="I48" s="9" t="str">
        <f aca="false">IF($B48="","",INDEX(MASTER_DATABASE!$R$4:$R$1000,$B48))</f>
        <v>To Verify</v>
      </c>
      <c r="J48" s="9" t="str">
        <f aca="false">IF($B48="","",INDEX(MASTER_DATABASE!$S$4:$S$1000,$B48))</f>
        <v>To Verify</v>
      </c>
      <c r="K48" s="9" t="str">
        <f aca="false">IF($B48="","",INDEX(MASTER_DATABASE!$T$4:$T$1000,$B48))</f>
        <v>To Verify</v>
      </c>
      <c r="L48" s="7" t="str">
        <f aca="false">IF($B48="","",INDEX(MASTER_DATABASE!$U$4:$U$1000,$B48)&amp;"")</f>
        <v>To Verify</v>
      </c>
      <c r="M48" s="7" t="str">
        <f aca="false">IF($B48="","",INDEX(MASTER_DATABASE!$Q$4:$Q$1000,$B48)&amp;"")</f>
        <v>Depends on Department</v>
      </c>
      <c r="N48" s="7" t="str">
        <f aca="false">IF($B48="","",INDEX(MASTER_DATABASE!$AG$4:$AG$1000,$B48)&amp;"")</f>
        <v>To Verify</v>
      </c>
      <c r="O48" s="11" t="str">
        <f aca="false">IF($B48="","",INDEX(MASTER_DATABASE!$AH$4:$AH$1000,$B48)&amp;"")</f>
        <v>No</v>
      </c>
      <c r="P48" s="11" t="str">
        <f aca="false">IF($B48="","",INDEX(MASTER_DATABASE!$BE$4:$BE$1000,$B48)&amp;"")</f>
        <v>HIDDEN</v>
      </c>
      <c r="Q48" s="7" t="str">
        <f aca="false">IF($B48="","",INDEX(MASTER_DATABASE!$AV$4:$AV$1000,$B48)&amp;"")</f>
        <v>To Verify</v>
      </c>
    </row>
    <row r="49" customFormat="false" ht="23.85" hidden="false" customHeight="false" outlineLevel="0" collapsed="false">
      <c r="A49" s="11" t="n">
        <v>46</v>
      </c>
      <c r="B49" s="11" t="n">
        <f aca="false">IFERROR(MATCH("Common Service Centre (CSC)|"&amp;$A49,MASTER_DATABASE!$BH$4:$BH$1000,0),"")</f>
        <v>151</v>
      </c>
      <c r="C49" s="11" t="str">
        <f aca="false">IF($B49="","",INDEX(MASTER_DATABASE!$A$4:$A$1000,$B49)&amp;"")</f>
        <v>CSC-046</v>
      </c>
      <c r="D49" s="7" t="str">
        <f aca="false">IF($B49="","",INDEX(MASTER_DATABASE!$D$4:$D$1000,$B49)&amp;"")</f>
        <v>Registration Services</v>
      </c>
      <c r="E49" s="7" t="str">
        <f aca="false">IF($B49="","",INDEX(MASTER_DATABASE!$E$4:$E$1000,$B49)&amp;"")</f>
        <v>Income Tax Return (ITR) Filing Assistance</v>
      </c>
      <c r="F49" s="7" t="str">
        <f aca="false">IF($B49="","",INDEX(MASTER_DATABASE!$F$4:$F$1000,$B49)&amp;"")</f>
        <v>आयकर रिटर्न (ITR) फाइलिंग सहायता</v>
      </c>
      <c r="G49" s="11" t="str">
        <f aca="false">IF($B49="","",INDEX(MASTER_DATABASE!$I$4:$I$1000,$B49)&amp;"")</f>
        <v>Portal Dependent</v>
      </c>
      <c r="H49" s="7" t="str">
        <f aca="false">IF($B49="","",INDEX(MASTER_DATABASE!$L$4:$L$1000,$B49)&amp;"")</f>
        <v>Portal Dependent</v>
      </c>
      <c r="I49" s="9" t="str">
        <f aca="false">IF($B49="","",INDEX(MASTER_DATABASE!$R$4:$R$1000,$B49))</f>
        <v>To Verify</v>
      </c>
      <c r="J49" s="9" t="str">
        <f aca="false">IF($B49="","",INDEX(MASTER_DATABASE!$S$4:$S$1000,$B49))</f>
        <v>To Verify</v>
      </c>
      <c r="K49" s="9" t="str">
        <f aca="false">IF($B49="","",INDEX(MASTER_DATABASE!$T$4:$T$1000,$B49))</f>
        <v>To Verify</v>
      </c>
      <c r="L49" s="7" t="str">
        <f aca="false">IF($B49="","",INDEX(MASTER_DATABASE!$U$4:$U$1000,$B49)&amp;"")</f>
        <v>To Verify</v>
      </c>
      <c r="M49" s="7" t="str">
        <f aca="false">IF($B49="","",INDEX(MASTER_DATABASE!$Q$4:$Q$1000,$B49)&amp;"")</f>
        <v>Depends on Department</v>
      </c>
      <c r="N49" s="7" t="str">
        <f aca="false">IF($B49="","",INDEX(MASTER_DATABASE!$AG$4:$AG$1000,$B49)&amp;"")</f>
        <v>To Verify</v>
      </c>
      <c r="O49" s="11" t="str">
        <f aca="false">IF($B49="","",INDEX(MASTER_DATABASE!$AH$4:$AH$1000,$B49)&amp;"")</f>
        <v>No</v>
      </c>
      <c r="P49" s="11" t="str">
        <f aca="false">IF($B49="","",INDEX(MASTER_DATABASE!$BE$4:$BE$1000,$B49)&amp;"")</f>
        <v>HIDDEN</v>
      </c>
      <c r="Q49" s="7" t="str">
        <f aca="false">IF($B49="","",INDEX(MASTER_DATABASE!$AV$4:$AV$1000,$B49)&amp;"")</f>
        <v>To Verify</v>
      </c>
    </row>
    <row r="50" customFormat="false" ht="23.85" hidden="false" customHeight="false" outlineLevel="0" collapsed="false">
      <c r="A50" s="11" t="n">
        <v>47</v>
      </c>
      <c r="B50" s="11" t="n">
        <f aca="false">IFERROR(MATCH("Common Service Centre (CSC)|"&amp;$A50,MASTER_DATABASE!$BH$4:$BH$1000,0),"")</f>
        <v>152</v>
      </c>
      <c r="C50" s="11" t="str">
        <f aca="false">IF($B50="","",INDEX(MASTER_DATABASE!$A$4:$A$1000,$B50)&amp;"")</f>
        <v>CSC-047</v>
      </c>
      <c r="D50" s="7" t="str">
        <f aca="false">IF($B50="","",INDEX(MASTER_DATABASE!$D$4:$D$1000,$B50)&amp;"")</f>
        <v>Registration Services</v>
      </c>
      <c r="E50" s="7" t="str">
        <f aca="false">IF($B50="","",INDEX(MASTER_DATABASE!$E$4:$E$1000,$B50)&amp;"")</f>
        <v>Shop &amp; Establishment Registration Assistance</v>
      </c>
      <c r="F50" s="7" t="str">
        <f aca="false">IF($B50="","",INDEX(MASTER_DATABASE!$F$4:$F$1000,$B50)&amp;"")</f>
        <v>दुकान एवं प्रतिष्ठान पंजीकरण सहायता</v>
      </c>
      <c r="G50" s="11" t="str">
        <f aca="false">IF($B50="","",INDEX(MASTER_DATABASE!$I$4:$I$1000,$B50)&amp;"")</f>
        <v>To Verify</v>
      </c>
      <c r="H50" s="7" t="str">
        <f aca="false">IF($B50="","",INDEX(MASTER_DATABASE!$L$4:$L$1000,$B50)&amp;"")</f>
        <v>To Verify</v>
      </c>
      <c r="I50" s="9" t="str">
        <f aca="false">IF($B50="","",INDEX(MASTER_DATABASE!$R$4:$R$1000,$B50))</f>
        <v>To Verify</v>
      </c>
      <c r="J50" s="9" t="str">
        <f aca="false">IF($B50="","",INDEX(MASTER_DATABASE!$S$4:$S$1000,$B50))</f>
        <v>To Verify</v>
      </c>
      <c r="K50" s="9" t="str">
        <f aca="false">IF($B50="","",INDEX(MASTER_DATABASE!$T$4:$T$1000,$B50))</f>
        <v>To Verify</v>
      </c>
      <c r="L50" s="7" t="str">
        <f aca="false">IF($B50="","",INDEX(MASTER_DATABASE!$U$4:$U$1000,$B50)&amp;"")</f>
        <v>To Verify</v>
      </c>
      <c r="M50" s="7" t="str">
        <f aca="false">IF($B50="","",INDEX(MASTER_DATABASE!$Q$4:$Q$1000,$B50)&amp;"")</f>
        <v>Depends on Department</v>
      </c>
      <c r="N50" s="7" t="str">
        <f aca="false">IF($B50="","",INDEX(MASTER_DATABASE!$AG$4:$AG$1000,$B50)&amp;"")</f>
        <v>To Verify</v>
      </c>
      <c r="O50" s="11" t="str">
        <f aca="false">IF($B50="","",INDEX(MASTER_DATABASE!$AH$4:$AH$1000,$B50)&amp;"")</f>
        <v>No</v>
      </c>
      <c r="P50" s="11" t="str">
        <f aca="false">IF($B50="","",INDEX(MASTER_DATABASE!$BE$4:$BE$1000,$B50)&amp;"")</f>
        <v>HIDDEN</v>
      </c>
      <c r="Q50" s="7" t="str">
        <f aca="false">IF($B50="","",INDEX(MASTER_DATABASE!$AV$4:$AV$1000,$B50)&amp;"")</f>
        <v>To Verify</v>
      </c>
    </row>
    <row r="51" customFormat="false" ht="23.85" hidden="false" customHeight="false" outlineLevel="0" collapsed="false">
      <c r="A51" s="11" t="n">
        <v>48</v>
      </c>
      <c r="B51" s="11" t="n">
        <f aca="false">IFERROR(MATCH("Common Service Centre (CSC)|"&amp;$A51,MASTER_DATABASE!$BH$4:$BH$1000,0),"")</f>
        <v>153</v>
      </c>
      <c r="C51" s="11" t="str">
        <f aca="false">IF($B51="","",INDEX(MASTER_DATABASE!$A$4:$A$1000,$B51)&amp;"")</f>
        <v>CSC-048</v>
      </c>
      <c r="D51" s="7" t="str">
        <f aca="false">IF($B51="","",INDEX(MASTER_DATABASE!$D$4:$D$1000,$B51)&amp;"")</f>
        <v>Registration Services</v>
      </c>
      <c r="E51" s="7" t="str">
        <f aca="false">IF($B51="","",INDEX(MASTER_DATABASE!$E$4:$E$1000,$B51)&amp;"")</f>
        <v>Labour (Construction Worker) Registration Assistance</v>
      </c>
      <c r="F51" s="7" t="str">
        <f aca="false">IF($B51="","",INDEX(MASTER_DATABASE!$F$4:$F$1000,$B51)&amp;"")</f>
        <v>श्रमिक (निर्माण मजदूर) पंजीकरण सहायता</v>
      </c>
      <c r="G51" s="11" t="str">
        <f aca="false">IF($B51="","",INDEX(MASTER_DATABASE!$I$4:$I$1000,$B51)&amp;"")</f>
        <v>To Verify</v>
      </c>
      <c r="H51" s="7" t="str">
        <f aca="false">IF($B51="","",INDEX(MASTER_DATABASE!$L$4:$L$1000,$B51)&amp;"")</f>
        <v>To Verify</v>
      </c>
      <c r="I51" s="9" t="str">
        <f aca="false">IF($B51="","",INDEX(MASTER_DATABASE!$R$4:$R$1000,$B51))</f>
        <v>To Verify</v>
      </c>
      <c r="J51" s="9" t="str">
        <f aca="false">IF($B51="","",INDEX(MASTER_DATABASE!$S$4:$S$1000,$B51))</f>
        <v>To Verify</v>
      </c>
      <c r="K51" s="9" t="str">
        <f aca="false">IF($B51="","",INDEX(MASTER_DATABASE!$T$4:$T$1000,$B51))</f>
        <v>To Verify</v>
      </c>
      <c r="L51" s="7" t="str">
        <f aca="false">IF($B51="","",INDEX(MASTER_DATABASE!$U$4:$U$1000,$B51)&amp;"")</f>
        <v>To Verify</v>
      </c>
      <c r="M51" s="7" t="str">
        <f aca="false">IF($B51="","",INDEX(MASTER_DATABASE!$Q$4:$Q$1000,$B51)&amp;"")</f>
        <v>Depends on Department</v>
      </c>
      <c r="N51" s="7" t="str">
        <f aca="false">IF($B51="","",INDEX(MASTER_DATABASE!$AG$4:$AG$1000,$B51)&amp;"")</f>
        <v>To Verify</v>
      </c>
      <c r="O51" s="11" t="str">
        <f aca="false">IF($B51="","",INDEX(MASTER_DATABASE!$AH$4:$AH$1000,$B51)&amp;"")</f>
        <v>No</v>
      </c>
      <c r="P51" s="11" t="str">
        <f aca="false">IF($B51="","",INDEX(MASTER_DATABASE!$BE$4:$BE$1000,$B51)&amp;"")</f>
        <v>HIDDEN</v>
      </c>
      <c r="Q51" s="7" t="str">
        <f aca="false">IF($B51="","",INDEX(MASTER_DATABASE!$AV$4:$AV$1000,$B51)&amp;"")</f>
        <v>To Verify</v>
      </c>
    </row>
    <row r="52" customFormat="false" ht="23.85" hidden="false" customHeight="false" outlineLevel="0" collapsed="false">
      <c r="A52" s="11" t="n">
        <v>49</v>
      </c>
      <c r="B52" s="11" t="n">
        <f aca="false">IFERROR(MATCH("Common Service Centre (CSC)|"&amp;$A52,MASTER_DATABASE!$BH$4:$BH$1000,0),"")</f>
        <v>154</v>
      </c>
      <c r="C52" s="11" t="str">
        <f aca="false">IF($B52="","",INDEX(MASTER_DATABASE!$A$4:$A$1000,$B52)&amp;"")</f>
        <v>CSC-049</v>
      </c>
      <c r="D52" s="7" t="str">
        <f aca="false">IF($B52="","",INDEX(MASTER_DATABASE!$D$4:$D$1000,$B52)&amp;"")</f>
        <v>Document Services</v>
      </c>
      <c r="E52" s="7" t="str">
        <f aca="false">IF($B52="","",INDEX(MASTER_DATABASE!$E$4:$E$1000,$B52)&amp;"")</f>
        <v>Academic Bank of Credits (ABC) / APAAR ID Assistance</v>
      </c>
      <c r="F52" s="7" t="str">
        <f aca="false">IF($B52="","",INDEX(MASTER_DATABASE!$F$4:$F$1000,$B52)&amp;"")</f>
        <v>ABC / APAAR आईडी सहायता</v>
      </c>
      <c r="G52" s="11" t="str">
        <f aca="false">IF($B52="","",INDEX(MASTER_DATABASE!$I$4:$I$1000,$B52)&amp;"")</f>
        <v>To Verify</v>
      </c>
      <c r="H52" s="7" t="str">
        <f aca="false">IF($B52="","",INDEX(MASTER_DATABASE!$L$4:$L$1000,$B52)&amp;"")</f>
        <v>To Verify</v>
      </c>
      <c r="I52" s="9" t="str">
        <f aca="false">IF($B52="","",INDEX(MASTER_DATABASE!$R$4:$R$1000,$B52))</f>
        <v>To Verify</v>
      </c>
      <c r="J52" s="9" t="str">
        <f aca="false">IF($B52="","",INDEX(MASTER_DATABASE!$S$4:$S$1000,$B52))</f>
        <v>To Verify</v>
      </c>
      <c r="K52" s="9" t="str">
        <f aca="false">IF($B52="","",INDEX(MASTER_DATABASE!$T$4:$T$1000,$B52))</f>
        <v>To Verify</v>
      </c>
      <c r="L52" s="7" t="str">
        <f aca="false">IF($B52="","",INDEX(MASTER_DATABASE!$U$4:$U$1000,$B52)&amp;"")</f>
        <v>To Verify</v>
      </c>
      <c r="M52" s="7" t="str">
        <f aca="false">IF($B52="","",INDEX(MASTER_DATABASE!$Q$4:$Q$1000,$B52)&amp;"")</f>
        <v>Depends on Department</v>
      </c>
      <c r="N52" s="7" t="str">
        <f aca="false">IF($B52="","",INDEX(MASTER_DATABASE!$AG$4:$AG$1000,$B52)&amp;"")</f>
        <v>To Verify</v>
      </c>
      <c r="O52" s="11" t="str">
        <f aca="false">IF($B52="","",INDEX(MASTER_DATABASE!$AH$4:$AH$1000,$B52)&amp;"")</f>
        <v>No</v>
      </c>
      <c r="P52" s="11" t="str">
        <f aca="false">IF($B52="","",INDEX(MASTER_DATABASE!$BE$4:$BE$1000,$B52)&amp;"")</f>
        <v>HIDDEN</v>
      </c>
      <c r="Q52" s="7" t="str">
        <f aca="false">IF($B52="","",INDEX(MASTER_DATABASE!$AV$4:$AV$1000,$B52)&amp;"")</f>
        <v>To Verify</v>
      </c>
    </row>
    <row r="53" customFormat="false" ht="23.85" hidden="false" customHeight="false" outlineLevel="0" collapsed="false">
      <c r="A53" s="11" t="n">
        <v>50</v>
      </c>
      <c r="B53" s="11" t="n">
        <f aca="false">IFERROR(MATCH("Common Service Centre (CSC)|"&amp;$A53,MASTER_DATABASE!$BH$4:$BH$1000,0),"")</f>
        <v>155</v>
      </c>
      <c r="C53" s="11" t="str">
        <f aca="false">IF($B53="","",INDEX(MASTER_DATABASE!$A$4:$A$1000,$B53)&amp;"")</f>
        <v>CSC-050</v>
      </c>
      <c r="D53" s="7" t="str">
        <f aca="false">IF($B53="","",INDEX(MASTER_DATABASE!$D$4:$D$1000,$B53)&amp;"")</f>
        <v>Document Services</v>
      </c>
      <c r="E53" s="7" t="str">
        <f aca="false">IF($B53="","",INDEX(MASTER_DATABASE!$E$4:$E$1000,$B53)&amp;"")</f>
        <v>Document Attestation / Apostille Assistance</v>
      </c>
      <c r="F53" s="7" t="str">
        <f aca="false">IF($B53="","",INDEX(MASTER_DATABASE!$F$4:$F$1000,$B53)&amp;"")</f>
        <v>दस्तावेज़ सत्यापन / अपोस्टिल सहायता</v>
      </c>
      <c r="G53" s="11" t="str">
        <f aca="false">IF($B53="","",INDEX(MASTER_DATABASE!$I$4:$I$1000,$B53)&amp;"")</f>
        <v>To Verify</v>
      </c>
      <c r="H53" s="7" t="str">
        <f aca="false">IF($B53="","",INDEX(MASTER_DATABASE!$L$4:$L$1000,$B53)&amp;"")</f>
        <v>To Verify</v>
      </c>
      <c r="I53" s="9" t="str">
        <f aca="false">IF($B53="","",INDEX(MASTER_DATABASE!$R$4:$R$1000,$B53))</f>
        <v>To Verify</v>
      </c>
      <c r="J53" s="9" t="str">
        <f aca="false">IF($B53="","",INDEX(MASTER_DATABASE!$S$4:$S$1000,$B53))</f>
        <v>To Verify</v>
      </c>
      <c r="K53" s="9" t="str">
        <f aca="false">IF($B53="","",INDEX(MASTER_DATABASE!$T$4:$T$1000,$B53))</f>
        <v>To Verify</v>
      </c>
      <c r="L53" s="7" t="str">
        <f aca="false">IF($B53="","",INDEX(MASTER_DATABASE!$U$4:$U$1000,$B53)&amp;"")</f>
        <v>To Verify</v>
      </c>
      <c r="M53" s="7" t="str">
        <f aca="false">IF($B53="","",INDEX(MASTER_DATABASE!$Q$4:$Q$1000,$B53)&amp;"")</f>
        <v>Depends on Department</v>
      </c>
      <c r="N53" s="7" t="str">
        <f aca="false">IF($B53="","",INDEX(MASTER_DATABASE!$AG$4:$AG$1000,$B53)&amp;"")</f>
        <v>To Verify</v>
      </c>
      <c r="O53" s="11" t="str">
        <f aca="false">IF($B53="","",INDEX(MASTER_DATABASE!$AH$4:$AH$1000,$B53)&amp;"")</f>
        <v>No</v>
      </c>
      <c r="P53" s="11" t="str">
        <f aca="false">IF($B53="","",INDEX(MASTER_DATABASE!$BE$4:$BE$1000,$B53)&amp;"")</f>
        <v>HIDDEN</v>
      </c>
      <c r="Q53" s="7" t="str">
        <f aca="false">IF($B53="","",INDEX(MASTER_DATABASE!$AV$4:$AV$1000,$B53)&amp;"")</f>
        <v>To Verify</v>
      </c>
    </row>
    <row r="54" customFormat="false" ht="15" hidden="false" customHeight="false" outlineLevel="0" collapsed="false">
      <c r="A54" s="11" t="n">
        <v>51</v>
      </c>
      <c r="B54" s="11" t="str">
        <f aca="false">IFERROR(MATCH("Common Service Centre (CSC)|"&amp;$A54,MASTER_DATABASE!$BH$4:$BH$1000,0),"")</f>
        <v/>
      </c>
      <c r="C54" s="11" t="str">
        <f aca="false">IF($B54="","",INDEX(MASTER_DATABASE!$A$4:$A$1000,$B54)&amp;"")</f>
        <v/>
      </c>
      <c r="D54" s="7" t="str">
        <f aca="false">IF($B54="","",INDEX(MASTER_DATABASE!$D$4:$D$1000,$B54)&amp;"")</f>
        <v/>
      </c>
      <c r="E54" s="7" t="str">
        <f aca="false">IF($B54="","",INDEX(MASTER_DATABASE!$E$4:$E$1000,$B54)&amp;"")</f>
        <v/>
      </c>
      <c r="F54" s="7" t="str">
        <f aca="false">IF($B54="","",INDEX(MASTER_DATABASE!$F$4:$F$1000,$B54)&amp;"")</f>
        <v/>
      </c>
      <c r="G54" s="11" t="str">
        <f aca="false">IF($B54="","",INDEX(MASTER_DATABASE!$I$4:$I$1000,$B54)&amp;"")</f>
        <v/>
      </c>
      <c r="H54" s="7" t="str">
        <f aca="false">IF($B54="","",INDEX(MASTER_DATABASE!$L$4:$L$1000,$B54)&amp;"")</f>
        <v/>
      </c>
      <c r="I54" s="9" t="str">
        <f aca="false">IF($B54="","",INDEX(MASTER_DATABASE!$R$4:$R$1000,$B54))</f>
        <v/>
      </c>
      <c r="J54" s="9" t="str">
        <f aca="false">IF($B54="","",INDEX(MASTER_DATABASE!$S$4:$S$1000,$B54))</f>
        <v/>
      </c>
      <c r="K54" s="9" t="str">
        <f aca="false">IF($B54="","",INDEX(MASTER_DATABASE!$T$4:$T$1000,$B54))</f>
        <v/>
      </c>
      <c r="L54" s="7" t="str">
        <f aca="false">IF($B54="","",INDEX(MASTER_DATABASE!$U$4:$U$1000,$B54)&amp;"")</f>
        <v/>
      </c>
      <c r="M54" s="7" t="str">
        <f aca="false">IF($B54="","",INDEX(MASTER_DATABASE!$Q$4:$Q$1000,$B54)&amp;"")</f>
        <v/>
      </c>
      <c r="N54" s="7" t="str">
        <f aca="false">IF($B54="","",INDEX(MASTER_DATABASE!$AG$4:$AG$1000,$B54)&amp;"")</f>
        <v/>
      </c>
      <c r="O54" s="11" t="str">
        <f aca="false">IF($B54="","",INDEX(MASTER_DATABASE!$AH$4:$AH$1000,$B54)&amp;"")</f>
        <v/>
      </c>
      <c r="P54" s="11" t="str">
        <f aca="false">IF($B54="","",INDEX(MASTER_DATABASE!$BE$4:$BE$1000,$B54)&amp;"")</f>
        <v/>
      </c>
      <c r="Q54" s="7" t="str">
        <f aca="false">IF($B54="","",INDEX(MASTER_DATABASE!$AV$4:$AV$1000,$B54)&amp;"")</f>
        <v/>
      </c>
    </row>
    <row r="55" customFormat="false" ht="15" hidden="false" customHeight="false" outlineLevel="0" collapsed="false">
      <c r="A55" s="11" t="n">
        <v>52</v>
      </c>
      <c r="B55" s="11" t="str">
        <f aca="false">IFERROR(MATCH("Common Service Centre (CSC)|"&amp;$A55,MASTER_DATABASE!$BH$4:$BH$1000,0),"")</f>
        <v/>
      </c>
      <c r="C55" s="11" t="str">
        <f aca="false">IF($B55="","",INDEX(MASTER_DATABASE!$A$4:$A$1000,$B55)&amp;"")</f>
        <v/>
      </c>
      <c r="D55" s="7" t="str">
        <f aca="false">IF($B55="","",INDEX(MASTER_DATABASE!$D$4:$D$1000,$B55)&amp;"")</f>
        <v/>
      </c>
      <c r="E55" s="7" t="str">
        <f aca="false">IF($B55="","",INDEX(MASTER_DATABASE!$E$4:$E$1000,$B55)&amp;"")</f>
        <v/>
      </c>
      <c r="F55" s="7" t="str">
        <f aca="false">IF($B55="","",INDEX(MASTER_DATABASE!$F$4:$F$1000,$B55)&amp;"")</f>
        <v/>
      </c>
      <c r="G55" s="11" t="str">
        <f aca="false">IF($B55="","",INDEX(MASTER_DATABASE!$I$4:$I$1000,$B55)&amp;"")</f>
        <v/>
      </c>
      <c r="H55" s="7" t="str">
        <f aca="false">IF($B55="","",INDEX(MASTER_DATABASE!$L$4:$L$1000,$B55)&amp;"")</f>
        <v/>
      </c>
      <c r="I55" s="9" t="str">
        <f aca="false">IF($B55="","",INDEX(MASTER_DATABASE!$R$4:$R$1000,$B55))</f>
        <v/>
      </c>
      <c r="J55" s="9" t="str">
        <f aca="false">IF($B55="","",INDEX(MASTER_DATABASE!$S$4:$S$1000,$B55))</f>
        <v/>
      </c>
      <c r="K55" s="9" t="str">
        <f aca="false">IF($B55="","",INDEX(MASTER_DATABASE!$T$4:$T$1000,$B55))</f>
        <v/>
      </c>
      <c r="L55" s="7" t="str">
        <f aca="false">IF($B55="","",INDEX(MASTER_DATABASE!$U$4:$U$1000,$B55)&amp;"")</f>
        <v/>
      </c>
      <c r="M55" s="7" t="str">
        <f aca="false">IF($B55="","",INDEX(MASTER_DATABASE!$Q$4:$Q$1000,$B55)&amp;"")</f>
        <v/>
      </c>
      <c r="N55" s="7" t="str">
        <f aca="false">IF($B55="","",INDEX(MASTER_DATABASE!$AG$4:$AG$1000,$B55)&amp;"")</f>
        <v/>
      </c>
      <c r="O55" s="11" t="str">
        <f aca="false">IF($B55="","",INDEX(MASTER_DATABASE!$AH$4:$AH$1000,$B55)&amp;"")</f>
        <v/>
      </c>
      <c r="P55" s="11" t="str">
        <f aca="false">IF($B55="","",INDEX(MASTER_DATABASE!$BE$4:$BE$1000,$B55)&amp;"")</f>
        <v/>
      </c>
      <c r="Q55" s="7" t="str">
        <f aca="false">IF($B55="","",INDEX(MASTER_DATABASE!$AV$4:$AV$1000,$B55)&amp;"")</f>
        <v/>
      </c>
    </row>
    <row r="56" customFormat="false" ht="15" hidden="false" customHeight="false" outlineLevel="0" collapsed="false">
      <c r="A56" s="11" t="n">
        <v>53</v>
      </c>
      <c r="B56" s="11" t="str">
        <f aca="false">IFERROR(MATCH("Common Service Centre (CSC)|"&amp;$A56,MASTER_DATABASE!$BH$4:$BH$1000,0),"")</f>
        <v/>
      </c>
      <c r="C56" s="11" t="str">
        <f aca="false">IF($B56="","",INDEX(MASTER_DATABASE!$A$4:$A$1000,$B56)&amp;"")</f>
        <v/>
      </c>
      <c r="D56" s="7" t="str">
        <f aca="false">IF($B56="","",INDEX(MASTER_DATABASE!$D$4:$D$1000,$B56)&amp;"")</f>
        <v/>
      </c>
      <c r="E56" s="7" t="str">
        <f aca="false">IF($B56="","",INDEX(MASTER_DATABASE!$E$4:$E$1000,$B56)&amp;"")</f>
        <v/>
      </c>
      <c r="F56" s="7" t="str">
        <f aca="false">IF($B56="","",INDEX(MASTER_DATABASE!$F$4:$F$1000,$B56)&amp;"")</f>
        <v/>
      </c>
      <c r="G56" s="11" t="str">
        <f aca="false">IF($B56="","",INDEX(MASTER_DATABASE!$I$4:$I$1000,$B56)&amp;"")</f>
        <v/>
      </c>
      <c r="H56" s="7" t="str">
        <f aca="false">IF($B56="","",INDEX(MASTER_DATABASE!$L$4:$L$1000,$B56)&amp;"")</f>
        <v/>
      </c>
      <c r="I56" s="9" t="str">
        <f aca="false">IF($B56="","",INDEX(MASTER_DATABASE!$R$4:$R$1000,$B56))</f>
        <v/>
      </c>
      <c r="J56" s="9" t="str">
        <f aca="false">IF($B56="","",INDEX(MASTER_DATABASE!$S$4:$S$1000,$B56))</f>
        <v/>
      </c>
      <c r="K56" s="9" t="str">
        <f aca="false">IF($B56="","",INDEX(MASTER_DATABASE!$T$4:$T$1000,$B56))</f>
        <v/>
      </c>
      <c r="L56" s="7" t="str">
        <f aca="false">IF($B56="","",INDEX(MASTER_DATABASE!$U$4:$U$1000,$B56)&amp;"")</f>
        <v/>
      </c>
      <c r="M56" s="7" t="str">
        <f aca="false">IF($B56="","",INDEX(MASTER_DATABASE!$Q$4:$Q$1000,$B56)&amp;"")</f>
        <v/>
      </c>
      <c r="N56" s="7" t="str">
        <f aca="false">IF($B56="","",INDEX(MASTER_DATABASE!$AG$4:$AG$1000,$B56)&amp;"")</f>
        <v/>
      </c>
      <c r="O56" s="11" t="str">
        <f aca="false">IF($B56="","",INDEX(MASTER_DATABASE!$AH$4:$AH$1000,$B56)&amp;"")</f>
        <v/>
      </c>
      <c r="P56" s="11" t="str">
        <f aca="false">IF($B56="","",INDEX(MASTER_DATABASE!$BE$4:$BE$1000,$B56)&amp;"")</f>
        <v/>
      </c>
      <c r="Q56" s="7" t="str">
        <f aca="false">IF($B56="","",INDEX(MASTER_DATABASE!$AV$4:$AV$1000,$B56)&amp;"")</f>
        <v/>
      </c>
    </row>
    <row r="57" customFormat="false" ht="15" hidden="false" customHeight="false" outlineLevel="0" collapsed="false">
      <c r="A57" s="11" t="n">
        <v>54</v>
      </c>
      <c r="B57" s="11" t="str">
        <f aca="false">IFERROR(MATCH("Common Service Centre (CSC)|"&amp;$A57,MASTER_DATABASE!$BH$4:$BH$1000,0),"")</f>
        <v/>
      </c>
      <c r="C57" s="11" t="str">
        <f aca="false">IF($B57="","",INDEX(MASTER_DATABASE!$A$4:$A$1000,$B57)&amp;"")</f>
        <v/>
      </c>
      <c r="D57" s="7" t="str">
        <f aca="false">IF($B57="","",INDEX(MASTER_DATABASE!$D$4:$D$1000,$B57)&amp;"")</f>
        <v/>
      </c>
      <c r="E57" s="7" t="str">
        <f aca="false">IF($B57="","",INDEX(MASTER_DATABASE!$E$4:$E$1000,$B57)&amp;"")</f>
        <v/>
      </c>
      <c r="F57" s="7" t="str">
        <f aca="false">IF($B57="","",INDEX(MASTER_DATABASE!$F$4:$F$1000,$B57)&amp;"")</f>
        <v/>
      </c>
      <c r="G57" s="11" t="str">
        <f aca="false">IF($B57="","",INDEX(MASTER_DATABASE!$I$4:$I$1000,$B57)&amp;"")</f>
        <v/>
      </c>
      <c r="H57" s="7" t="str">
        <f aca="false">IF($B57="","",INDEX(MASTER_DATABASE!$L$4:$L$1000,$B57)&amp;"")</f>
        <v/>
      </c>
      <c r="I57" s="9" t="str">
        <f aca="false">IF($B57="","",INDEX(MASTER_DATABASE!$R$4:$R$1000,$B57))</f>
        <v/>
      </c>
      <c r="J57" s="9" t="str">
        <f aca="false">IF($B57="","",INDEX(MASTER_DATABASE!$S$4:$S$1000,$B57))</f>
        <v/>
      </c>
      <c r="K57" s="9" t="str">
        <f aca="false">IF($B57="","",INDEX(MASTER_DATABASE!$T$4:$T$1000,$B57))</f>
        <v/>
      </c>
      <c r="L57" s="7" t="str">
        <f aca="false">IF($B57="","",INDEX(MASTER_DATABASE!$U$4:$U$1000,$B57)&amp;"")</f>
        <v/>
      </c>
      <c r="M57" s="7" t="str">
        <f aca="false">IF($B57="","",INDEX(MASTER_DATABASE!$Q$4:$Q$1000,$B57)&amp;"")</f>
        <v/>
      </c>
      <c r="N57" s="7" t="str">
        <f aca="false">IF($B57="","",INDEX(MASTER_DATABASE!$AG$4:$AG$1000,$B57)&amp;"")</f>
        <v/>
      </c>
      <c r="O57" s="11" t="str">
        <f aca="false">IF($B57="","",INDEX(MASTER_DATABASE!$AH$4:$AH$1000,$B57)&amp;"")</f>
        <v/>
      </c>
      <c r="P57" s="11" t="str">
        <f aca="false">IF($B57="","",INDEX(MASTER_DATABASE!$BE$4:$BE$1000,$B57)&amp;"")</f>
        <v/>
      </c>
      <c r="Q57" s="7" t="str">
        <f aca="false">IF($B57="","",INDEX(MASTER_DATABASE!$AV$4:$AV$1000,$B57)&amp;"")</f>
        <v/>
      </c>
    </row>
    <row r="58" customFormat="false" ht="15" hidden="false" customHeight="false" outlineLevel="0" collapsed="false">
      <c r="A58" s="11" t="n">
        <v>55</v>
      </c>
      <c r="B58" s="11" t="str">
        <f aca="false">IFERROR(MATCH("Common Service Centre (CSC)|"&amp;$A58,MASTER_DATABASE!$BH$4:$BH$1000,0),"")</f>
        <v/>
      </c>
      <c r="C58" s="11" t="str">
        <f aca="false">IF($B58="","",INDEX(MASTER_DATABASE!$A$4:$A$1000,$B58)&amp;"")</f>
        <v/>
      </c>
      <c r="D58" s="7" t="str">
        <f aca="false">IF($B58="","",INDEX(MASTER_DATABASE!$D$4:$D$1000,$B58)&amp;"")</f>
        <v/>
      </c>
      <c r="E58" s="7" t="str">
        <f aca="false">IF($B58="","",INDEX(MASTER_DATABASE!$E$4:$E$1000,$B58)&amp;"")</f>
        <v/>
      </c>
      <c r="F58" s="7" t="str">
        <f aca="false">IF($B58="","",INDEX(MASTER_DATABASE!$F$4:$F$1000,$B58)&amp;"")</f>
        <v/>
      </c>
      <c r="G58" s="11" t="str">
        <f aca="false">IF($B58="","",INDEX(MASTER_DATABASE!$I$4:$I$1000,$B58)&amp;"")</f>
        <v/>
      </c>
      <c r="H58" s="7" t="str">
        <f aca="false">IF($B58="","",INDEX(MASTER_DATABASE!$L$4:$L$1000,$B58)&amp;"")</f>
        <v/>
      </c>
      <c r="I58" s="9" t="str">
        <f aca="false">IF($B58="","",INDEX(MASTER_DATABASE!$R$4:$R$1000,$B58))</f>
        <v/>
      </c>
      <c r="J58" s="9" t="str">
        <f aca="false">IF($B58="","",INDEX(MASTER_DATABASE!$S$4:$S$1000,$B58))</f>
        <v/>
      </c>
      <c r="K58" s="9" t="str">
        <f aca="false">IF($B58="","",INDEX(MASTER_DATABASE!$T$4:$T$1000,$B58))</f>
        <v/>
      </c>
      <c r="L58" s="7" t="str">
        <f aca="false">IF($B58="","",INDEX(MASTER_DATABASE!$U$4:$U$1000,$B58)&amp;"")</f>
        <v/>
      </c>
      <c r="M58" s="7" t="str">
        <f aca="false">IF($B58="","",INDEX(MASTER_DATABASE!$Q$4:$Q$1000,$B58)&amp;"")</f>
        <v/>
      </c>
      <c r="N58" s="7" t="str">
        <f aca="false">IF($B58="","",INDEX(MASTER_DATABASE!$AG$4:$AG$1000,$B58)&amp;"")</f>
        <v/>
      </c>
      <c r="O58" s="11" t="str">
        <f aca="false">IF($B58="","",INDEX(MASTER_DATABASE!$AH$4:$AH$1000,$B58)&amp;"")</f>
        <v/>
      </c>
      <c r="P58" s="11" t="str">
        <f aca="false">IF($B58="","",INDEX(MASTER_DATABASE!$BE$4:$BE$1000,$B58)&amp;"")</f>
        <v/>
      </c>
      <c r="Q58" s="7" t="str">
        <f aca="false">IF($B58="","",INDEX(MASTER_DATABASE!$AV$4:$AV$1000,$B58)&amp;"")</f>
        <v/>
      </c>
    </row>
    <row r="59" customFormat="false" ht="15" hidden="false" customHeight="false" outlineLevel="0" collapsed="false">
      <c r="A59" s="11" t="n">
        <v>56</v>
      </c>
      <c r="B59" s="11" t="str">
        <f aca="false">IFERROR(MATCH("Common Service Centre (CSC)|"&amp;$A59,MASTER_DATABASE!$BH$4:$BH$1000,0),"")</f>
        <v/>
      </c>
      <c r="C59" s="11" t="str">
        <f aca="false">IF($B59="","",INDEX(MASTER_DATABASE!$A$4:$A$1000,$B59)&amp;"")</f>
        <v/>
      </c>
      <c r="D59" s="7" t="str">
        <f aca="false">IF($B59="","",INDEX(MASTER_DATABASE!$D$4:$D$1000,$B59)&amp;"")</f>
        <v/>
      </c>
      <c r="E59" s="7" t="str">
        <f aca="false">IF($B59="","",INDEX(MASTER_DATABASE!$E$4:$E$1000,$B59)&amp;"")</f>
        <v/>
      </c>
      <c r="F59" s="7" t="str">
        <f aca="false">IF($B59="","",INDEX(MASTER_DATABASE!$F$4:$F$1000,$B59)&amp;"")</f>
        <v/>
      </c>
      <c r="G59" s="11" t="str">
        <f aca="false">IF($B59="","",INDEX(MASTER_DATABASE!$I$4:$I$1000,$B59)&amp;"")</f>
        <v/>
      </c>
      <c r="H59" s="7" t="str">
        <f aca="false">IF($B59="","",INDEX(MASTER_DATABASE!$L$4:$L$1000,$B59)&amp;"")</f>
        <v/>
      </c>
      <c r="I59" s="9" t="str">
        <f aca="false">IF($B59="","",INDEX(MASTER_DATABASE!$R$4:$R$1000,$B59))</f>
        <v/>
      </c>
      <c r="J59" s="9" t="str">
        <f aca="false">IF($B59="","",INDEX(MASTER_DATABASE!$S$4:$S$1000,$B59))</f>
        <v/>
      </c>
      <c r="K59" s="9" t="str">
        <f aca="false">IF($B59="","",INDEX(MASTER_DATABASE!$T$4:$T$1000,$B59))</f>
        <v/>
      </c>
      <c r="L59" s="7" t="str">
        <f aca="false">IF($B59="","",INDEX(MASTER_DATABASE!$U$4:$U$1000,$B59)&amp;"")</f>
        <v/>
      </c>
      <c r="M59" s="7" t="str">
        <f aca="false">IF($B59="","",INDEX(MASTER_DATABASE!$Q$4:$Q$1000,$B59)&amp;"")</f>
        <v/>
      </c>
      <c r="N59" s="7" t="str">
        <f aca="false">IF($B59="","",INDEX(MASTER_DATABASE!$AG$4:$AG$1000,$B59)&amp;"")</f>
        <v/>
      </c>
      <c r="O59" s="11" t="str">
        <f aca="false">IF($B59="","",INDEX(MASTER_DATABASE!$AH$4:$AH$1000,$B59)&amp;"")</f>
        <v/>
      </c>
      <c r="P59" s="11" t="str">
        <f aca="false">IF($B59="","",INDEX(MASTER_DATABASE!$BE$4:$BE$1000,$B59)&amp;"")</f>
        <v/>
      </c>
      <c r="Q59" s="7" t="str">
        <f aca="false">IF($B59="","",INDEX(MASTER_DATABASE!$AV$4:$AV$1000,$B59)&amp;"")</f>
        <v/>
      </c>
    </row>
    <row r="60" customFormat="false" ht="15" hidden="false" customHeight="false" outlineLevel="0" collapsed="false">
      <c r="A60" s="11" t="n">
        <v>57</v>
      </c>
      <c r="B60" s="11" t="str">
        <f aca="false">IFERROR(MATCH("Common Service Centre (CSC)|"&amp;$A60,MASTER_DATABASE!$BH$4:$BH$1000,0),"")</f>
        <v/>
      </c>
      <c r="C60" s="11" t="str">
        <f aca="false">IF($B60="","",INDEX(MASTER_DATABASE!$A$4:$A$1000,$B60)&amp;"")</f>
        <v/>
      </c>
      <c r="D60" s="7" t="str">
        <f aca="false">IF($B60="","",INDEX(MASTER_DATABASE!$D$4:$D$1000,$B60)&amp;"")</f>
        <v/>
      </c>
      <c r="E60" s="7" t="str">
        <f aca="false">IF($B60="","",INDEX(MASTER_DATABASE!$E$4:$E$1000,$B60)&amp;"")</f>
        <v/>
      </c>
      <c r="F60" s="7" t="str">
        <f aca="false">IF($B60="","",INDEX(MASTER_DATABASE!$F$4:$F$1000,$B60)&amp;"")</f>
        <v/>
      </c>
      <c r="G60" s="11" t="str">
        <f aca="false">IF($B60="","",INDEX(MASTER_DATABASE!$I$4:$I$1000,$B60)&amp;"")</f>
        <v/>
      </c>
      <c r="H60" s="7" t="str">
        <f aca="false">IF($B60="","",INDEX(MASTER_DATABASE!$L$4:$L$1000,$B60)&amp;"")</f>
        <v/>
      </c>
      <c r="I60" s="9" t="str">
        <f aca="false">IF($B60="","",INDEX(MASTER_DATABASE!$R$4:$R$1000,$B60))</f>
        <v/>
      </c>
      <c r="J60" s="9" t="str">
        <f aca="false">IF($B60="","",INDEX(MASTER_DATABASE!$S$4:$S$1000,$B60))</f>
        <v/>
      </c>
      <c r="K60" s="9" t="str">
        <f aca="false">IF($B60="","",INDEX(MASTER_DATABASE!$T$4:$T$1000,$B60))</f>
        <v/>
      </c>
      <c r="L60" s="7" t="str">
        <f aca="false">IF($B60="","",INDEX(MASTER_DATABASE!$U$4:$U$1000,$B60)&amp;"")</f>
        <v/>
      </c>
      <c r="M60" s="7" t="str">
        <f aca="false">IF($B60="","",INDEX(MASTER_DATABASE!$Q$4:$Q$1000,$B60)&amp;"")</f>
        <v/>
      </c>
      <c r="N60" s="7" t="str">
        <f aca="false">IF($B60="","",INDEX(MASTER_DATABASE!$AG$4:$AG$1000,$B60)&amp;"")</f>
        <v/>
      </c>
      <c r="O60" s="11" t="str">
        <f aca="false">IF($B60="","",INDEX(MASTER_DATABASE!$AH$4:$AH$1000,$B60)&amp;"")</f>
        <v/>
      </c>
      <c r="P60" s="11" t="str">
        <f aca="false">IF($B60="","",INDEX(MASTER_DATABASE!$BE$4:$BE$1000,$B60)&amp;"")</f>
        <v/>
      </c>
      <c r="Q60" s="7" t="str">
        <f aca="false">IF($B60="","",INDEX(MASTER_DATABASE!$AV$4:$AV$1000,$B60)&amp;"")</f>
        <v/>
      </c>
    </row>
    <row r="61" customFormat="false" ht="15" hidden="false" customHeight="false" outlineLevel="0" collapsed="false">
      <c r="A61" s="11" t="n">
        <v>58</v>
      </c>
      <c r="B61" s="11" t="str">
        <f aca="false">IFERROR(MATCH("Common Service Centre (CSC)|"&amp;$A61,MASTER_DATABASE!$BH$4:$BH$1000,0),"")</f>
        <v/>
      </c>
      <c r="C61" s="11" t="str">
        <f aca="false">IF($B61="","",INDEX(MASTER_DATABASE!$A$4:$A$1000,$B61)&amp;"")</f>
        <v/>
      </c>
      <c r="D61" s="7" t="str">
        <f aca="false">IF($B61="","",INDEX(MASTER_DATABASE!$D$4:$D$1000,$B61)&amp;"")</f>
        <v/>
      </c>
      <c r="E61" s="7" t="str">
        <f aca="false">IF($B61="","",INDEX(MASTER_DATABASE!$E$4:$E$1000,$B61)&amp;"")</f>
        <v/>
      </c>
      <c r="F61" s="7" t="str">
        <f aca="false">IF($B61="","",INDEX(MASTER_DATABASE!$F$4:$F$1000,$B61)&amp;"")</f>
        <v/>
      </c>
      <c r="G61" s="11" t="str">
        <f aca="false">IF($B61="","",INDEX(MASTER_DATABASE!$I$4:$I$1000,$B61)&amp;"")</f>
        <v/>
      </c>
      <c r="H61" s="7" t="str">
        <f aca="false">IF($B61="","",INDEX(MASTER_DATABASE!$L$4:$L$1000,$B61)&amp;"")</f>
        <v/>
      </c>
      <c r="I61" s="9" t="str">
        <f aca="false">IF($B61="","",INDEX(MASTER_DATABASE!$R$4:$R$1000,$B61))</f>
        <v/>
      </c>
      <c r="J61" s="9" t="str">
        <f aca="false">IF($B61="","",INDEX(MASTER_DATABASE!$S$4:$S$1000,$B61))</f>
        <v/>
      </c>
      <c r="K61" s="9" t="str">
        <f aca="false">IF($B61="","",INDEX(MASTER_DATABASE!$T$4:$T$1000,$B61))</f>
        <v/>
      </c>
      <c r="L61" s="7" t="str">
        <f aca="false">IF($B61="","",INDEX(MASTER_DATABASE!$U$4:$U$1000,$B61)&amp;"")</f>
        <v/>
      </c>
      <c r="M61" s="7" t="str">
        <f aca="false">IF($B61="","",INDEX(MASTER_DATABASE!$Q$4:$Q$1000,$B61)&amp;"")</f>
        <v/>
      </c>
      <c r="N61" s="7" t="str">
        <f aca="false">IF($B61="","",INDEX(MASTER_DATABASE!$AG$4:$AG$1000,$B61)&amp;"")</f>
        <v/>
      </c>
      <c r="O61" s="11" t="str">
        <f aca="false">IF($B61="","",INDEX(MASTER_DATABASE!$AH$4:$AH$1000,$B61)&amp;"")</f>
        <v/>
      </c>
      <c r="P61" s="11" t="str">
        <f aca="false">IF($B61="","",INDEX(MASTER_DATABASE!$BE$4:$BE$1000,$B61)&amp;"")</f>
        <v/>
      </c>
      <c r="Q61" s="7" t="str">
        <f aca="false">IF($B61="","",INDEX(MASTER_DATABASE!$AV$4:$AV$1000,$B61)&amp;"")</f>
        <v/>
      </c>
    </row>
    <row r="62" customFormat="false" ht="15" hidden="false" customHeight="false" outlineLevel="0" collapsed="false">
      <c r="A62" s="11" t="n">
        <v>59</v>
      </c>
      <c r="B62" s="11" t="str">
        <f aca="false">IFERROR(MATCH("Common Service Centre (CSC)|"&amp;$A62,MASTER_DATABASE!$BH$4:$BH$1000,0),"")</f>
        <v/>
      </c>
      <c r="C62" s="11" t="str">
        <f aca="false">IF($B62="","",INDEX(MASTER_DATABASE!$A$4:$A$1000,$B62)&amp;"")</f>
        <v/>
      </c>
      <c r="D62" s="7" t="str">
        <f aca="false">IF($B62="","",INDEX(MASTER_DATABASE!$D$4:$D$1000,$B62)&amp;"")</f>
        <v/>
      </c>
      <c r="E62" s="7" t="str">
        <f aca="false">IF($B62="","",INDEX(MASTER_DATABASE!$E$4:$E$1000,$B62)&amp;"")</f>
        <v/>
      </c>
      <c r="F62" s="7" t="str">
        <f aca="false">IF($B62="","",INDEX(MASTER_DATABASE!$F$4:$F$1000,$B62)&amp;"")</f>
        <v/>
      </c>
      <c r="G62" s="11" t="str">
        <f aca="false">IF($B62="","",INDEX(MASTER_DATABASE!$I$4:$I$1000,$B62)&amp;"")</f>
        <v/>
      </c>
      <c r="H62" s="7" t="str">
        <f aca="false">IF($B62="","",INDEX(MASTER_DATABASE!$L$4:$L$1000,$B62)&amp;"")</f>
        <v/>
      </c>
      <c r="I62" s="9" t="str">
        <f aca="false">IF($B62="","",INDEX(MASTER_DATABASE!$R$4:$R$1000,$B62))</f>
        <v/>
      </c>
      <c r="J62" s="9" t="str">
        <f aca="false">IF($B62="","",INDEX(MASTER_DATABASE!$S$4:$S$1000,$B62))</f>
        <v/>
      </c>
      <c r="K62" s="9" t="str">
        <f aca="false">IF($B62="","",INDEX(MASTER_DATABASE!$T$4:$T$1000,$B62))</f>
        <v/>
      </c>
      <c r="L62" s="7" t="str">
        <f aca="false">IF($B62="","",INDEX(MASTER_DATABASE!$U$4:$U$1000,$B62)&amp;"")</f>
        <v/>
      </c>
      <c r="M62" s="7" t="str">
        <f aca="false">IF($B62="","",INDEX(MASTER_DATABASE!$Q$4:$Q$1000,$B62)&amp;"")</f>
        <v/>
      </c>
      <c r="N62" s="7" t="str">
        <f aca="false">IF($B62="","",INDEX(MASTER_DATABASE!$AG$4:$AG$1000,$B62)&amp;"")</f>
        <v/>
      </c>
      <c r="O62" s="11" t="str">
        <f aca="false">IF($B62="","",INDEX(MASTER_DATABASE!$AH$4:$AH$1000,$B62)&amp;"")</f>
        <v/>
      </c>
      <c r="P62" s="11" t="str">
        <f aca="false">IF($B62="","",INDEX(MASTER_DATABASE!$BE$4:$BE$1000,$B62)&amp;"")</f>
        <v/>
      </c>
      <c r="Q62" s="7" t="str">
        <f aca="false">IF($B62="","",INDEX(MASTER_DATABASE!$AV$4:$AV$1000,$B62)&amp;"")</f>
        <v/>
      </c>
    </row>
    <row r="63" customFormat="false" ht="15" hidden="false" customHeight="false" outlineLevel="0" collapsed="false">
      <c r="A63" s="11" t="n">
        <v>60</v>
      </c>
      <c r="B63" s="11" t="str">
        <f aca="false">IFERROR(MATCH("Common Service Centre (CSC)|"&amp;$A63,MASTER_DATABASE!$BH$4:$BH$1000,0),"")</f>
        <v/>
      </c>
      <c r="C63" s="11" t="str">
        <f aca="false">IF($B63="","",INDEX(MASTER_DATABASE!$A$4:$A$1000,$B63)&amp;"")</f>
        <v/>
      </c>
      <c r="D63" s="7" t="str">
        <f aca="false">IF($B63="","",INDEX(MASTER_DATABASE!$D$4:$D$1000,$B63)&amp;"")</f>
        <v/>
      </c>
      <c r="E63" s="7" t="str">
        <f aca="false">IF($B63="","",INDEX(MASTER_DATABASE!$E$4:$E$1000,$B63)&amp;"")</f>
        <v/>
      </c>
      <c r="F63" s="7" t="str">
        <f aca="false">IF($B63="","",INDEX(MASTER_DATABASE!$F$4:$F$1000,$B63)&amp;"")</f>
        <v/>
      </c>
      <c r="G63" s="11" t="str">
        <f aca="false">IF($B63="","",INDEX(MASTER_DATABASE!$I$4:$I$1000,$B63)&amp;"")</f>
        <v/>
      </c>
      <c r="H63" s="7" t="str">
        <f aca="false">IF($B63="","",INDEX(MASTER_DATABASE!$L$4:$L$1000,$B63)&amp;"")</f>
        <v/>
      </c>
      <c r="I63" s="9" t="str">
        <f aca="false">IF($B63="","",INDEX(MASTER_DATABASE!$R$4:$R$1000,$B63))</f>
        <v/>
      </c>
      <c r="J63" s="9" t="str">
        <f aca="false">IF($B63="","",INDEX(MASTER_DATABASE!$S$4:$S$1000,$B63))</f>
        <v/>
      </c>
      <c r="K63" s="9" t="str">
        <f aca="false">IF($B63="","",INDEX(MASTER_DATABASE!$T$4:$T$1000,$B63))</f>
        <v/>
      </c>
      <c r="L63" s="7" t="str">
        <f aca="false">IF($B63="","",INDEX(MASTER_DATABASE!$U$4:$U$1000,$B63)&amp;"")</f>
        <v/>
      </c>
      <c r="M63" s="7" t="str">
        <f aca="false">IF($B63="","",INDEX(MASTER_DATABASE!$Q$4:$Q$1000,$B63)&amp;"")</f>
        <v/>
      </c>
      <c r="N63" s="7" t="str">
        <f aca="false">IF($B63="","",INDEX(MASTER_DATABASE!$AG$4:$AG$1000,$B63)&amp;"")</f>
        <v/>
      </c>
      <c r="O63" s="11" t="str">
        <f aca="false">IF($B63="","",INDEX(MASTER_DATABASE!$AH$4:$AH$1000,$B63)&amp;"")</f>
        <v/>
      </c>
      <c r="P63" s="11" t="str">
        <f aca="false">IF($B63="","",INDEX(MASTER_DATABASE!$BE$4:$BE$1000,$B63)&amp;"")</f>
        <v/>
      </c>
      <c r="Q63" s="7" t="str">
        <f aca="false">IF($B63="","",INDEX(MASTER_DATABASE!$AV$4:$AV$1000,$B63)&amp;"")</f>
        <v/>
      </c>
    </row>
    <row r="64" customFormat="false" ht="15" hidden="false" customHeight="false" outlineLevel="0" collapsed="false">
      <c r="A64" s="11" t="n">
        <v>61</v>
      </c>
      <c r="B64" s="11" t="str">
        <f aca="false">IFERROR(MATCH("Common Service Centre (CSC)|"&amp;$A64,MASTER_DATABASE!$BH$4:$BH$1000,0),"")</f>
        <v/>
      </c>
      <c r="C64" s="11" t="str">
        <f aca="false">IF($B64="","",INDEX(MASTER_DATABASE!$A$4:$A$1000,$B64)&amp;"")</f>
        <v/>
      </c>
      <c r="D64" s="7" t="str">
        <f aca="false">IF($B64="","",INDEX(MASTER_DATABASE!$D$4:$D$1000,$B64)&amp;"")</f>
        <v/>
      </c>
      <c r="E64" s="7" t="str">
        <f aca="false">IF($B64="","",INDEX(MASTER_DATABASE!$E$4:$E$1000,$B64)&amp;"")</f>
        <v/>
      </c>
      <c r="F64" s="7" t="str">
        <f aca="false">IF($B64="","",INDEX(MASTER_DATABASE!$F$4:$F$1000,$B64)&amp;"")</f>
        <v/>
      </c>
      <c r="G64" s="11" t="str">
        <f aca="false">IF($B64="","",INDEX(MASTER_DATABASE!$I$4:$I$1000,$B64)&amp;"")</f>
        <v/>
      </c>
      <c r="H64" s="7" t="str">
        <f aca="false">IF($B64="","",INDEX(MASTER_DATABASE!$L$4:$L$1000,$B64)&amp;"")</f>
        <v/>
      </c>
      <c r="I64" s="9" t="str">
        <f aca="false">IF($B64="","",INDEX(MASTER_DATABASE!$R$4:$R$1000,$B64))</f>
        <v/>
      </c>
      <c r="J64" s="9" t="str">
        <f aca="false">IF($B64="","",INDEX(MASTER_DATABASE!$S$4:$S$1000,$B64))</f>
        <v/>
      </c>
      <c r="K64" s="9" t="str">
        <f aca="false">IF($B64="","",INDEX(MASTER_DATABASE!$T$4:$T$1000,$B64))</f>
        <v/>
      </c>
      <c r="L64" s="7" t="str">
        <f aca="false">IF($B64="","",INDEX(MASTER_DATABASE!$U$4:$U$1000,$B64)&amp;"")</f>
        <v/>
      </c>
      <c r="M64" s="7" t="str">
        <f aca="false">IF($B64="","",INDEX(MASTER_DATABASE!$Q$4:$Q$1000,$B64)&amp;"")</f>
        <v/>
      </c>
      <c r="N64" s="7" t="str">
        <f aca="false">IF($B64="","",INDEX(MASTER_DATABASE!$AG$4:$AG$1000,$B64)&amp;"")</f>
        <v/>
      </c>
      <c r="O64" s="11" t="str">
        <f aca="false">IF($B64="","",INDEX(MASTER_DATABASE!$AH$4:$AH$1000,$B64)&amp;"")</f>
        <v/>
      </c>
      <c r="P64" s="11" t="str">
        <f aca="false">IF($B64="","",INDEX(MASTER_DATABASE!$BE$4:$BE$1000,$B64)&amp;"")</f>
        <v/>
      </c>
      <c r="Q64" s="7" t="str">
        <f aca="false">IF($B64="","",INDEX(MASTER_DATABASE!$AV$4:$AV$1000,$B64)&amp;"")</f>
        <v/>
      </c>
    </row>
    <row r="65" customFormat="false" ht="15" hidden="false" customHeight="false" outlineLevel="0" collapsed="false">
      <c r="A65" s="11" t="n">
        <v>62</v>
      </c>
      <c r="B65" s="11" t="str">
        <f aca="false">IFERROR(MATCH("Common Service Centre (CSC)|"&amp;$A65,MASTER_DATABASE!$BH$4:$BH$1000,0),"")</f>
        <v/>
      </c>
      <c r="C65" s="11" t="str">
        <f aca="false">IF($B65="","",INDEX(MASTER_DATABASE!$A$4:$A$1000,$B65)&amp;"")</f>
        <v/>
      </c>
      <c r="D65" s="7" t="str">
        <f aca="false">IF($B65="","",INDEX(MASTER_DATABASE!$D$4:$D$1000,$B65)&amp;"")</f>
        <v/>
      </c>
      <c r="E65" s="7" t="str">
        <f aca="false">IF($B65="","",INDEX(MASTER_DATABASE!$E$4:$E$1000,$B65)&amp;"")</f>
        <v/>
      </c>
      <c r="F65" s="7" t="str">
        <f aca="false">IF($B65="","",INDEX(MASTER_DATABASE!$F$4:$F$1000,$B65)&amp;"")</f>
        <v/>
      </c>
      <c r="G65" s="11" t="str">
        <f aca="false">IF($B65="","",INDEX(MASTER_DATABASE!$I$4:$I$1000,$B65)&amp;"")</f>
        <v/>
      </c>
      <c r="H65" s="7" t="str">
        <f aca="false">IF($B65="","",INDEX(MASTER_DATABASE!$L$4:$L$1000,$B65)&amp;"")</f>
        <v/>
      </c>
      <c r="I65" s="9" t="str">
        <f aca="false">IF($B65="","",INDEX(MASTER_DATABASE!$R$4:$R$1000,$B65))</f>
        <v/>
      </c>
      <c r="J65" s="9" t="str">
        <f aca="false">IF($B65="","",INDEX(MASTER_DATABASE!$S$4:$S$1000,$B65))</f>
        <v/>
      </c>
      <c r="K65" s="9" t="str">
        <f aca="false">IF($B65="","",INDEX(MASTER_DATABASE!$T$4:$T$1000,$B65))</f>
        <v/>
      </c>
      <c r="L65" s="7" t="str">
        <f aca="false">IF($B65="","",INDEX(MASTER_DATABASE!$U$4:$U$1000,$B65)&amp;"")</f>
        <v/>
      </c>
      <c r="M65" s="7" t="str">
        <f aca="false">IF($B65="","",INDEX(MASTER_DATABASE!$Q$4:$Q$1000,$B65)&amp;"")</f>
        <v/>
      </c>
      <c r="N65" s="7" t="str">
        <f aca="false">IF($B65="","",INDEX(MASTER_DATABASE!$AG$4:$AG$1000,$B65)&amp;"")</f>
        <v/>
      </c>
      <c r="O65" s="11" t="str">
        <f aca="false">IF($B65="","",INDEX(MASTER_DATABASE!$AH$4:$AH$1000,$B65)&amp;"")</f>
        <v/>
      </c>
      <c r="P65" s="11" t="str">
        <f aca="false">IF($B65="","",INDEX(MASTER_DATABASE!$BE$4:$BE$1000,$B65)&amp;"")</f>
        <v/>
      </c>
      <c r="Q65" s="7" t="str">
        <f aca="false">IF($B65="","",INDEX(MASTER_DATABASE!$AV$4:$AV$1000,$B65)&amp;"")</f>
        <v/>
      </c>
    </row>
    <row r="66" customFormat="false" ht="15" hidden="false" customHeight="false" outlineLevel="0" collapsed="false">
      <c r="A66" s="11" t="n">
        <v>63</v>
      </c>
      <c r="B66" s="11" t="str">
        <f aca="false">IFERROR(MATCH("Common Service Centre (CSC)|"&amp;$A66,MASTER_DATABASE!$BH$4:$BH$1000,0),"")</f>
        <v/>
      </c>
      <c r="C66" s="11" t="str">
        <f aca="false">IF($B66="","",INDEX(MASTER_DATABASE!$A$4:$A$1000,$B66)&amp;"")</f>
        <v/>
      </c>
      <c r="D66" s="7" t="str">
        <f aca="false">IF($B66="","",INDEX(MASTER_DATABASE!$D$4:$D$1000,$B66)&amp;"")</f>
        <v/>
      </c>
      <c r="E66" s="7" t="str">
        <f aca="false">IF($B66="","",INDEX(MASTER_DATABASE!$E$4:$E$1000,$B66)&amp;"")</f>
        <v/>
      </c>
      <c r="F66" s="7" t="str">
        <f aca="false">IF($B66="","",INDEX(MASTER_DATABASE!$F$4:$F$1000,$B66)&amp;"")</f>
        <v/>
      </c>
      <c r="G66" s="11" t="str">
        <f aca="false">IF($B66="","",INDEX(MASTER_DATABASE!$I$4:$I$1000,$B66)&amp;"")</f>
        <v/>
      </c>
      <c r="H66" s="7" t="str">
        <f aca="false">IF($B66="","",INDEX(MASTER_DATABASE!$L$4:$L$1000,$B66)&amp;"")</f>
        <v/>
      </c>
      <c r="I66" s="9" t="str">
        <f aca="false">IF($B66="","",INDEX(MASTER_DATABASE!$R$4:$R$1000,$B66))</f>
        <v/>
      </c>
      <c r="J66" s="9" t="str">
        <f aca="false">IF($B66="","",INDEX(MASTER_DATABASE!$S$4:$S$1000,$B66))</f>
        <v/>
      </c>
      <c r="K66" s="9" t="str">
        <f aca="false">IF($B66="","",INDEX(MASTER_DATABASE!$T$4:$T$1000,$B66))</f>
        <v/>
      </c>
      <c r="L66" s="7" t="str">
        <f aca="false">IF($B66="","",INDEX(MASTER_DATABASE!$U$4:$U$1000,$B66)&amp;"")</f>
        <v/>
      </c>
      <c r="M66" s="7" t="str">
        <f aca="false">IF($B66="","",INDEX(MASTER_DATABASE!$Q$4:$Q$1000,$B66)&amp;"")</f>
        <v/>
      </c>
      <c r="N66" s="7" t="str">
        <f aca="false">IF($B66="","",INDEX(MASTER_DATABASE!$AG$4:$AG$1000,$B66)&amp;"")</f>
        <v/>
      </c>
      <c r="O66" s="11" t="str">
        <f aca="false">IF($B66="","",INDEX(MASTER_DATABASE!$AH$4:$AH$1000,$B66)&amp;"")</f>
        <v/>
      </c>
      <c r="P66" s="11" t="str">
        <f aca="false">IF($B66="","",INDEX(MASTER_DATABASE!$BE$4:$BE$1000,$B66)&amp;"")</f>
        <v/>
      </c>
      <c r="Q66" s="7" t="str">
        <f aca="false">IF($B66="","",INDEX(MASTER_DATABASE!$AV$4:$AV$1000,$B66)&amp;"")</f>
        <v/>
      </c>
    </row>
    <row r="67" customFormat="false" ht="15" hidden="false" customHeight="false" outlineLevel="0" collapsed="false">
      <c r="A67" s="11" t="n">
        <v>64</v>
      </c>
      <c r="B67" s="11" t="str">
        <f aca="false">IFERROR(MATCH("Common Service Centre (CSC)|"&amp;$A67,MASTER_DATABASE!$BH$4:$BH$1000,0),"")</f>
        <v/>
      </c>
      <c r="C67" s="11" t="str">
        <f aca="false">IF($B67="","",INDEX(MASTER_DATABASE!$A$4:$A$1000,$B67)&amp;"")</f>
        <v/>
      </c>
      <c r="D67" s="7" t="str">
        <f aca="false">IF($B67="","",INDEX(MASTER_DATABASE!$D$4:$D$1000,$B67)&amp;"")</f>
        <v/>
      </c>
      <c r="E67" s="7" t="str">
        <f aca="false">IF($B67="","",INDEX(MASTER_DATABASE!$E$4:$E$1000,$B67)&amp;"")</f>
        <v/>
      </c>
      <c r="F67" s="7" t="str">
        <f aca="false">IF($B67="","",INDEX(MASTER_DATABASE!$F$4:$F$1000,$B67)&amp;"")</f>
        <v/>
      </c>
      <c r="G67" s="11" t="str">
        <f aca="false">IF($B67="","",INDEX(MASTER_DATABASE!$I$4:$I$1000,$B67)&amp;"")</f>
        <v/>
      </c>
      <c r="H67" s="7" t="str">
        <f aca="false">IF($B67="","",INDEX(MASTER_DATABASE!$L$4:$L$1000,$B67)&amp;"")</f>
        <v/>
      </c>
      <c r="I67" s="9" t="str">
        <f aca="false">IF($B67="","",INDEX(MASTER_DATABASE!$R$4:$R$1000,$B67))</f>
        <v/>
      </c>
      <c r="J67" s="9" t="str">
        <f aca="false">IF($B67="","",INDEX(MASTER_DATABASE!$S$4:$S$1000,$B67))</f>
        <v/>
      </c>
      <c r="K67" s="9" t="str">
        <f aca="false">IF($B67="","",INDEX(MASTER_DATABASE!$T$4:$T$1000,$B67))</f>
        <v/>
      </c>
      <c r="L67" s="7" t="str">
        <f aca="false">IF($B67="","",INDEX(MASTER_DATABASE!$U$4:$U$1000,$B67)&amp;"")</f>
        <v/>
      </c>
      <c r="M67" s="7" t="str">
        <f aca="false">IF($B67="","",INDEX(MASTER_DATABASE!$Q$4:$Q$1000,$B67)&amp;"")</f>
        <v/>
      </c>
      <c r="N67" s="7" t="str">
        <f aca="false">IF($B67="","",INDEX(MASTER_DATABASE!$AG$4:$AG$1000,$B67)&amp;"")</f>
        <v/>
      </c>
      <c r="O67" s="11" t="str">
        <f aca="false">IF($B67="","",INDEX(MASTER_DATABASE!$AH$4:$AH$1000,$B67)&amp;"")</f>
        <v/>
      </c>
      <c r="P67" s="11" t="str">
        <f aca="false">IF($B67="","",INDEX(MASTER_DATABASE!$BE$4:$BE$1000,$B67)&amp;"")</f>
        <v/>
      </c>
      <c r="Q67" s="7" t="str">
        <f aca="false">IF($B67="","",INDEX(MASTER_DATABASE!$AV$4:$AV$1000,$B67)&amp;"")</f>
        <v/>
      </c>
    </row>
    <row r="68" customFormat="false" ht="15" hidden="false" customHeight="false" outlineLevel="0" collapsed="false">
      <c r="A68" s="11" t="n">
        <v>65</v>
      </c>
      <c r="B68" s="11" t="str">
        <f aca="false">IFERROR(MATCH("Common Service Centre (CSC)|"&amp;$A68,MASTER_DATABASE!$BH$4:$BH$1000,0),"")</f>
        <v/>
      </c>
      <c r="C68" s="11" t="str">
        <f aca="false">IF($B68="","",INDEX(MASTER_DATABASE!$A$4:$A$1000,$B68)&amp;"")</f>
        <v/>
      </c>
      <c r="D68" s="7" t="str">
        <f aca="false">IF($B68="","",INDEX(MASTER_DATABASE!$D$4:$D$1000,$B68)&amp;"")</f>
        <v/>
      </c>
      <c r="E68" s="7" t="str">
        <f aca="false">IF($B68="","",INDEX(MASTER_DATABASE!$E$4:$E$1000,$B68)&amp;"")</f>
        <v/>
      </c>
      <c r="F68" s="7" t="str">
        <f aca="false">IF($B68="","",INDEX(MASTER_DATABASE!$F$4:$F$1000,$B68)&amp;"")</f>
        <v/>
      </c>
      <c r="G68" s="11" t="str">
        <f aca="false">IF($B68="","",INDEX(MASTER_DATABASE!$I$4:$I$1000,$B68)&amp;"")</f>
        <v/>
      </c>
      <c r="H68" s="7" t="str">
        <f aca="false">IF($B68="","",INDEX(MASTER_DATABASE!$L$4:$L$1000,$B68)&amp;"")</f>
        <v/>
      </c>
      <c r="I68" s="9" t="str">
        <f aca="false">IF($B68="","",INDEX(MASTER_DATABASE!$R$4:$R$1000,$B68))</f>
        <v/>
      </c>
      <c r="J68" s="9" t="str">
        <f aca="false">IF($B68="","",INDEX(MASTER_DATABASE!$S$4:$S$1000,$B68))</f>
        <v/>
      </c>
      <c r="K68" s="9" t="str">
        <f aca="false">IF($B68="","",INDEX(MASTER_DATABASE!$T$4:$T$1000,$B68))</f>
        <v/>
      </c>
      <c r="L68" s="7" t="str">
        <f aca="false">IF($B68="","",INDEX(MASTER_DATABASE!$U$4:$U$1000,$B68)&amp;"")</f>
        <v/>
      </c>
      <c r="M68" s="7" t="str">
        <f aca="false">IF($B68="","",INDEX(MASTER_DATABASE!$Q$4:$Q$1000,$B68)&amp;"")</f>
        <v/>
      </c>
      <c r="N68" s="7" t="str">
        <f aca="false">IF($B68="","",INDEX(MASTER_DATABASE!$AG$4:$AG$1000,$B68)&amp;"")</f>
        <v/>
      </c>
      <c r="O68" s="11" t="str">
        <f aca="false">IF($B68="","",INDEX(MASTER_DATABASE!$AH$4:$AH$1000,$B68)&amp;"")</f>
        <v/>
      </c>
      <c r="P68" s="11" t="str">
        <f aca="false">IF($B68="","",INDEX(MASTER_DATABASE!$BE$4:$BE$1000,$B68)&amp;"")</f>
        <v/>
      </c>
      <c r="Q68" s="7" t="str">
        <f aca="false">IF($B68="","",INDEX(MASTER_DATABASE!$AV$4:$AV$1000,$B68)&amp;"")</f>
        <v/>
      </c>
    </row>
    <row r="69" customFormat="false" ht="15" hidden="false" customHeight="false" outlineLevel="0" collapsed="false">
      <c r="A69" s="11" t="n">
        <v>66</v>
      </c>
      <c r="B69" s="11" t="str">
        <f aca="false">IFERROR(MATCH("Common Service Centre (CSC)|"&amp;$A69,MASTER_DATABASE!$BH$4:$BH$1000,0),"")</f>
        <v/>
      </c>
      <c r="C69" s="11" t="str">
        <f aca="false">IF($B69="","",INDEX(MASTER_DATABASE!$A$4:$A$1000,$B69)&amp;"")</f>
        <v/>
      </c>
      <c r="D69" s="7" t="str">
        <f aca="false">IF($B69="","",INDEX(MASTER_DATABASE!$D$4:$D$1000,$B69)&amp;"")</f>
        <v/>
      </c>
      <c r="E69" s="7" t="str">
        <f aca="false">IF($B69="","",INDEX(MASTER_DATABASE!$E$4:$E$1000,$B69)&amp;"")</f>
        <v/>
      </c>
      <c r="F69" s="7" t="str">
        <f aca="false">IF($B69="","",INDEX(MASTER_DATABASE!$F$4:$F$1000,$B69)&amp;"")</f>
        <v/>
      </c>
      <c r="G69" s="11" t="str">
        <f aca="false">IF($B69="","",INDEX(MASTER_DATABASE!$I$4:$I$1000,$B69)&amp;"")</f>
        <v/>
      </c>
      <c r="H69" s="7" t="str">
        <f aca="false">IF($B69="","",INDEX(MASTER_DATABASE!$L$4:$L$1000,$B69)&amp;"")</f>
        <v/>
      </c>
      <c r="I69" s="9" t="str">
        <f aca="false">IF($B69="","",INDEX(MASTER_DATABASE!$R$4:$R$1000,$B69))</f>
        <v/>
      </c>
      <c r="J69" s="9" t="str">
        <f aca="false">IF($B69="","",INDEX(MASTER_DATABASE!$S$4:$S$1000,$B69))</f>
        <v/>
      </c>
      <c r="K69" s="9" t="str">
        <f aca="false">IF($B69="","",INDEX(MASTER_DATABASE!$T$4:$T$1000,$B69))</f>
        <v/>
      </c>
      <c r="L69" s="7" t="str">
        <f aca="false">IF($B69="","",INDEX(MASTER_DATABASE!$U$4:$U$1000,$B69)&amp;"")</f>
        <v/>
      </c>
      <c r="M69" s="7" t="str">
        <f aca="false">IF($B69="","",INDEX(MASTER_DATABASE!$Q$4:$Q$1000,$B69)&amp;"")</f>
        <v/>
      </c>
      <c r="N69" s="7" t="str">
        <f aca="false">IF($B69="","",INDEX(MASTER_DATABASE!$AG$4:$AG$1000,$B69)&amp;"")</f>
        <v/>
      </c>
      <c r="O69" s="11" t="str">
        <f aca="false">IF($B69="","",INDEX(MASTER_DATABASE!$AH$4:$AH$1000,$B69)&amp;"")</f>
        <v/>
      </c>
      <c r="P69" s="11" t="str">
        <f aca="false">IF($B69="","",INDEX(MASTER_DATABASE!$BE$4:$BE$1000,$B69)&amp;"")</f>
        <v/>
      </c>
      <c r="Q69" s="7" t="str">
        <f aca="false">IF($B69="","",INDEX(MASTER_DATABASE!$AV$4:$AV$1000,$B69)&amp;"")</f>
        <v/>
      </c>
    </row>
    <row r="70" customFormat="false" ht="15" hidden="false" customHeight="false" outlineLevel="0" collapsed="false">
      <c r="A70" s="11" t="n">
        <v>67</v>
      </c>
      <c r="B70" s="11" t="str">
        <f aca="false">IFERROR(MATCH("Common Service Centre (CSC)|"&amp;$A70,MASTER_DATABASE!$BH$4:$BH$1000,0),"")</f>
        <v/>
      </c>
      <c r="C70" s="11" t="str">
        <f aca="false">IF($B70="","",INDEX(MASTER_DATABASE!$A$4:$A$1000,$B70)&amp;"")</f>
        <v/>
      </c>
      <c r="D70" s="7" t="str">
        <f aca="false">IF($B70="","",INDEX(MASTER_DATABASE!$D$4:$D$1000,$B70)&amp;"")</f>
        <v/>
      </c>
      <c r="E70" s="7" t="str">
        <f aca="false">IF($B70="","",INDEX(MASTER_DATABASE!$E$4:$E$1000,$B70)&amp;"")</f>
        <v/>
      </c>
      <c r="F70" s="7" t="str">
        <f aca="false">IF($B70="","",INDEX(MASTER_DATABASE!$F$4:$F$1000,$B70)&amp;"")</f>
        <v/>
      </c>
      <c r="G70" s="11" t="str">
        <f aca="false">IF($B70="","",INDEX(MASTER_DATABASE!$I$4:$I$1000,$B70)&amp;"")</f>
        <v/>
      </c>
      <c r="H70" s="7" t="str">
        <f aca="false">IF($B70="","",INDEX(MASTER_DATABASE!$L$4:$L$1000,$B70)&amp;"")</f>
        <v/>
      </c>
      <c r="I70" s="9" t="str">
        <f aca="false">IF($B70="","",INDEX(MASTER_DATABASE!$R$4:$R$1000,$B70))</f>
        <v/>
      </c>
      <c r="J70" s="9" t="str">
        <f aca="false">IF($B70="","",INDEX(MASTER_DATABASE!$S$4:$S$1000,$B70))</f>
        <v/>
      </c>
      <c r="K70" s="9" t="str">
        <f aca="false">IF($B70="","",INDEX(MASTER_DATABASE!$T$4:$T$1000,$B70))</f>
        <v/>
      </c>
      <c r="L70" s="7" t="str">
        <f aca="false">IF($B70="","",INDEX(MASTER_DATABASE!$U$4:$U$1000,$B70)&amp;"")</f>
        <v/>
      </c>
      <c r="M70" s="7" t="str">
        <f aca="false">IF($B70="","",INDEX(MASTER_DATABASE!$Q$4:$Q$1000,$B70)&amp;"")</f>
        <v/>
      </c>
      <c r="N70" s="7" t="str">
        <f aca="false">IF($B70="","",INDEX(MASTER_DATABASE!$AG$4:$AG$1000,$B70)&amp;"")</f>
        <v/>
      </c>
      <c r="O70" s="11" t="str">
        <f aca="false">IF($B70="","",INDEX(MASTER_DATABASE!$AH$4:$AH$1000,$B70)&amp;"")</f>
        <v/>
      </c>
      <c r="P70" s="11" t="str">
        <f aca="false">IF($B70="","",INDEX(MASTER_DATABASE!$BE$4:$BE$1000,$B70)&amp;"")</f>
        <v/>
      </c>
      <c r="Q70" s="7" t="str">
        <f aca="false">IF($B70="","",INDEX(MASTER_DATABASE!$AV$4:$AV$1000,$B70)&amp;"")</f>
        <v/>
      </c>
    </row>
    <row r="71" customFormat="false" ht="15" hidden="false" customHeight="false" outlineLevel="0" collapsed="false">
      <c r="A71" s="11" t="n">
        <v>68</v>
      </c>
      <c r="B71" s="11" t="str">
        <f aca="false">IFERROR(MATCH("Common Service Centre (CSC)|"&amp;$A71,MASTER_DATABASE!$BH$4:$BH$1000,0),"")</f>
        <v/>
      </c>
      <c r="C71" s="11" t="str">
        <f aca="false">IF($B71="","",INDEX(MASTER_DATABASE!$A$4:$A$1000,$B71)&amp;"")</f>
        <v/>
      </c>
      <c r="D71" s="7" t="str">
        <f aca="false">IF($B71="","",INDEX(MASTER_DATABASE!$D$4:$D$1000,$B71)&amp;"")</f>
        <v/>
      </c>
      <c r="E71" s="7" t="str">
        <f aca="false">IF($B71="","",INDEX(MASTER_DATABASE!$E$4:$E$1000,$B71)&amp;"")</f>
        <v/>
      </c>
      <c r="F71" s="7" t="str">
        <f aca="false">IF($B71="","",INDEX(MASTER_DATABASE!$F$4:$F$1000,$B71)&amp;"")</f>
        <v/>
      </c>
      <c r="G71" s="11" t="str">
        <f aca="false">IF($B71="","",INDEX(MASTER_DATABASE!$I$4:$I$1000,$B71)&amp;"")</f>
        <v/>
      </c>
      <c r="H71" s="7" t="str">
        <f aca="false">IF($B71="","",INDEX(MASTER_DATABASE!$L$4:$L$1000,$B71)&amp;"")</f>
        <v/>
      </c>
      <c r="I71" s="9" t="str">
        <f aca="false">IF($B71="","",INDEX(MASTER_DATABASE!$R$4:$R$1000,$B71))</f>
        <v/>
      </c>
      <c r="J71" s="9" t="str">
        <f aca="false">IF($B71="","",INDEX(MASTER_DATABASE!$S$4:$S$1000,$B71))</f>
        <v/>
      </c>
      <c r="K71" s="9" t="str">
        <f aca="false">IF($B71="","",INDEX(MASTER_DATABASE!$T$4:$T$1000,$B71))</f>
        <v/>
      </c>
      <c r="L71" s="7" t="str">
        <f aca="false">IF($B71="","",INDEX(MASTER_DATABASE!$U$4:$U$1000,$B71)&amp;"")</f>
        <v/>
      </c>
      <c r="M71" s="7" t="str">
        <f aca="false">IF($B71="","",INDEX(MASTER_DATABASE!$Q$4:$Q$1000,$B71)&amp;"")</f>
        <v/>
      </c>
      <c r="N71" s="7" t="str">
        <f aca="false">IF($B71="","",INDEX(MASTER_DATABASE!$AG$4:$AG$1000,$B71)&amp;"")</f>
        <v/>
      </c>
      <c r="O71" s="11" t="str">
        <f aca="false">IF($B71="","",INDEX(MASTER_DATABASE!$AH$4:$AH$1000,$B71)&amp;"")</f>
        <v/>
      </c>
      <c r="P71" s="11" t="str">
        <f aca="false">IF($B71="","",INDEX(MASTER_DATABASE!$BE$4:$BE$1000,$B71)&amp;"")</f>
        <v/>
      </c>
      <c r="Q71" s="7" t="str">
        <f aca="false">IF($B71="","",INDEX(MASTER_DATABASE!$AV$4:$AV$1000,$B71)&amp;"")</f>
        <v/>
      </c>
    </row>
    <row r="72" customFormat="false" ht="15" hidden="false" customHeight="false" outlineLevel="0" collapsed="false">
      <c r="A72" s="11" t="n">
        <v>69</v>
      </c>
      <c r="B72" s="11" t="str">
        <f aca="false">IFERROR(MATCH("Common Service Centre (CSC)|"&amp;$A72,MASTER_DATABASE!$BH$4:$BH$1000,0),"")</f>
        <v/>
      </c>
      <c r="C72" s="11" t="str">
        <f aca="false">IF($B72="","",INDEX(MASTER_DATABASE!$A$4:$A$1000,$B72)&amp;"")</f>
        <v/>
      </c>
      <c r="D72" s="7" t="str">
        <f aca="false">IF($B72="","",INDEX(MASTER_DATABASE!$D$4:$D$1000,$B72)&amp;"")</f>
        <v/>
      </c>
      <c r="E72" s="7" t="str">
        <f aca="false">IF($B72="","",INDEX(MASTER_DATABASE!$E$4:$E$1000,$B72)&amp;"")</f>
        <v/>
      </c>
      <c r="F72" s="7" t="str">
        <f aca="false">IF($B72="","",INDEX(MASTER_DATABASE!$F$4:$F$1000,$B72)&amp;"")</f>
        <v/>
      </c>
      <c r="G72" s="11" t="str">
        <f aca="false">IF($B72="","",INDEX(MASTER_DATABASE!$I$4:$I$1000,$B72)&amp;"")</f>
        <v/>
      </c>
      <c r="H72" s="7" t="str">
        <f aca="false">IF($B72="","",INDEX(MASTER_DATABASE!$L$4:$L$1000,$B72)&amp;"")</f>
        <v/>
      </c>
      <c r="I72" s="9" t="str">
        <f aca="false">IF($B72="","",INDEX(MASTER_DATABASE!$R$4:$R$1000,$B72))</f>
        <v/>
      </c>
      <c r="J72" s="9" t="str">
        <f aca="false">IF($B72="","",INDEX(MASTER_DATABASE!$S$4:$S$1000,$B72))</f>
        <v/>
      </c>
      <c r="K72" s="9" t="str">
        <f aca="false">IF($B72="","",INDEX(MASTER_DATABASE!$T$4:$T$1000,$B72))</f>
        <v/>
      </c>
      <c r="L72" s="7" t="str">
        <f aca="false">IF($B72="","",INDEX(MASTER_DATABASE!$U$4:$U$1000,$B72)&amp;"")</f>
        <v/>
      </c>
      <c r="M72" s="7" t="str">
        <f aca="false">IF($B72="","",INDEX(MASTER_DATABASE!$Q$4:$Q$1000,$B72)&amp;"")</f>
        <v/>
      </c>
      <c r="N72" s="7" t="str">
        <f aca="false">IF($B72="","",INDEX(MASTER_DATABASE!$AG$4:$AG$1000,$B72)&amp;"")</f>
        <v/>
      </c>
      <c r="O72" s="11" t="str">
        <f aca="false">IF($B72="","",INDEX(MASTER_DATABASE!$AH$4:$AH$1000,$B72)&amp;"")</f>
        <v/>
      </c>
      <c r="P72" s="11" t="str">
        <f aca="false">IF($B72="","",INDEX(MASTER_DATABASE!$BE$4:$BE$1000,$B72)&amp;"")</f>
        <v/>
      </c>
      <c r="Q72" s="7" t="str">
        <f aca="false">IF($B72="","",INDEX(MASTER_DATABASE!$AV$4:$AV$1000,$B72)&amp;"")</f>
        <v/>
      </c>
    </row>
    <row r="73" customFormat="false" ht="15" hidden="false" customHeight="false" outlineLevel="0" collapsed="false">
      <c r="A73" s="11" t="n">
        <v>70</v>
      </c>
      <c r="B73" s="11" t="str">
        <f aca="false">IFERROR(MATCH("Common Service Centre (CSC)|"&amp;$A73,MASTER_DATABASE!$BH$4:$BH$1000,0),"")</f>
        <v/>
      </c>
      <c r="C73" s="11" t="str">
        <f aca="false">IF($B73="","",INDEX(MASTER_DATABASE!$A$4:$A$1000,$B73)&amp;"")</f>
        <v/>
      </c>
      <c r="D73" s="7" t="str">
        <f aca="false">IF($B73="","",INDEX(MASTER_DATABASE!$D$4:$D$1000,$B73)&amp;"")</f>
        <v/>
      </c>
      <c r="E73" s="7" t="str">
        <f aca="false">IF($B73="","",INDEX(MASTER_DATABASE!$E$4:$E$1000,$B73)&amp;"")</f>
        <v/>
      </c>
      <c r="F73" s="7" t="str">
        <f aca="false">IF($B73="","",INDEX(MASTER_DATABASE!$F$4:$F$1000,$B73)&amp;"")</f>
        <v/>
      </c>
      <c r="G73" s="11" t="str">
        <f aca="false">IF($B73="","",INDEX(MASTER_DATABASE!$I$4:$I$1000,$B73)&amp;"")</f>
        <v/>
      </c>
      <c r="H73" s="7" t="str">
        <f aca="false">IF($B73="","",INDEX(MASTER_DATABASE!$L$4:$L$1000,$B73)&amp;"")</f>
        <v/>
      </c>
      <c r="I73" s="9" t="str">
        <f aca="false">IF($B73="","",INDEX(MASTER_DATABASE!$R$4:$R$1000,$B73))</f>
        <v/>
      </c>
      <c r="J73" s="9" t="str">
        <f aca="false">IF($B73="","",INDEX(MASTER_DATABASE!$S$4:$S$1000,$B73))</f>
        <v/>
      </c>
      <c r="K73" s="9" t="str">
        <f aca="false">IF($B73="","",INDEX(MASTER_DATABASE!$T$4:$T$1000,$B73))</f>
        <v/>
      </c>
      <c r="L73" s="7" t="str">
        <f aca="false">IF($B73="","",INDEX(MASTER_DATABASE!$U$4:$U$1000,$B73)&amp;"")</f>
        <v/>
      </c>
      <c r="M73" s="7" t="str">
        <f aca="false">IF($B73="","",INDEX(MASTER_DATABASE!$Q$4:$Q$1000,$B73)&amp;"")</f>
        <v/>
      </c>
      <c r="N73" s="7" t="str">
        <f aca="false">IF($B73="","",INDEX(MASTER_DATABASE!$AG$4:$AG$1000,$B73)&amp;"")</f>
        <v/>
      </c>
      <c r="O73" s="11" t="str">
        <f aca="false">IF($B73="","",INDEX(MASTER_DATABASE!$AH$4:$AH$1000,$B73)&amp;"")</f>
        <v/>
      </c>
      <c r="P73" s="11" t="str">
        <f aca="false">IF($B73="","",INDEX(MASTER_DATABASE!$BE$4:$BE$1000,$B73)&amp;"")</f>
        <v/>
      </c>
      <c r="Q73" s="7" t="str">
        <f aca="false">IF($B73="","",INDEX(MASTER_DATABASE!$AV$4:$AV$1000,$B73)&amp;"")</f>
        <v/>
      </c>
    </row>
    <row r="74" customFormat="false" ht="15" hidden="false" customHeight="false" outlineLevel="0" collapsed="false">
      <c r="A74" s="11" t="n">
        <v>71</v>
      </c>
      <c r="B74" s="11" t="str">
        <f aca="false">IFERROR(MATCH("Common Service Centre (CSC)|"&amp;$A74,MASTER_DATABASE!$BH$4:$BH$1000,0),"")</f>
        <v/>
      </c>
      <c r="C74" s="11" t="str">
        <f aca="false">IF($B74="","",INDEX(MASTER_DATABASE!$A$4:$A$1000,$B74)&amp;"")</f>
        <v/>
      </c>
      <c r="D74" s="7" t="str">
        <f aca="false">IF($B74="","",INDEX(MASTER_DATABASE!$D$4:$D$1000,$B74)&amp;"")</f>
        <v/>
      </c>
      <c r="E74" s="7" t="str">
        <f aca="false">IF($B74="","",INDEX(MASTER_DATABASE!$E$4:$E$1000,$B74)&amp;"")</f>
        <v/>
      </c>
      <c r="F74" s="7" t="str">
        <f aca="false">IF($B74="","",INDEX(MASTER_DATABASE!$F$4:$F$1000,$B74)&amp;"")</f>
        <v/>
      </c>
      <c r="G74" s="11" t="str">
        <f aca="false">IF($B74="","",INDEX(MASTER_DATABASE!$I$4:$I$1000,$B74)&amp;"")</f>
        <v/>
      </c>
      <c r="H74" s="7" t="str">
        <f aca="false">IF($B74="","",INDEX(MASTER_DATABASE!$L$4:$L$1000,$B74)&amp;"")</f>
        <v/>
      </c>
      <c r="I74" s="9" t="str">
        <f aca="false">IF($B74="","",INDEX(MASTER_DATABASE!$R$4:$R$1000,$B74))</f>
        <v/>
      </c>
      <c r="J74" s="9" t="str">
        <f aca="false">IF($B74="","",INDEX(MASTER_DATABASE!$S$4:$S$1000,$B74))</f>
        <v/>
      </c>
      <c r="K74" s="9" t="str">
        <f aca="false">IF($B74="","",INDEX(MASTER_DATABASE!$T$4:$T$1000,$B74))</f>
        <v/>
      </c>
      <c r="L74" s="7" t="str">
        <f aca="false">IF($B74="","",INDEX(MASTER_DATABASE!$U$4:$U$1000,$B74)&amp;"")</f>
        <v/>
      </c>
      <c r="M74" s="7" t="str">
        <f aca="false">IF($B74="","",INDEX(MASTER_DATABASE!$Q$4:$Q$1000,$B74)&amp;"")</f>
        <v/>
      </c>
      <c r="N74" s="7" t="str">
        <f aca="false">IF($B74="","",INDEX(MASTER_DATABASE!$AG$4:$AG$1000,$B74)&amp;"")</f>
        <v/>
      </c>
      <c r="O74" s="11" t="str">
        <f aca="false">IF($B74="","",INDEX(MASTER_DATABASE!$AH$4:$AH$1000,$B74)&amp;"")</f>
        <v/>
      </c>
      <c r="P74" s="11" t="str">
        <f aca="false">IF($B74="","",INDEX(MASTER_DATABASE!$BE$4:$BE$1000,$B74)&amp;"")</f>
        <v/>
      </c>
      <c r="Q74" s="7" t="str">
        <f aca="false">IF($B74="","",INDEX(MASTER_DATABASE!$AV$4:$AV$1000,$B74)&amp;"")</f>
        <v/>
      </c>
    </row>
    <row r="75" customFormat="false" ht="15" hidden="false" customHeight="false" outlineLevel="0" collapsed="false">
      <c r="A75" s="11" t="n">
        <v>72</v>
      </c>
      <c r="B75" s="11" t="str">
        <f aca="false">IFERROR(MATCH("Common Service Centre (CSC)|"&amp;$A75,MASTER_DATABASE!$BH$4:$BH$1000,0),"")</f>
        <v/>
      </c>
      <c r="C75" s="11" t="str">
        <f aca="false">IF($B75="","",INDEX(MASTER_DATABASE!$A$4:$A$1000,$B75)&amp;"")</f>
        <v/>
      </c>
      <c r="D75" s="7" t="str">
        <f aca="false">IF($B75="","",INDEX(MASTER_DATABASE!$D$4:$D$1000,$B75)&amp;"")</f>
        <v/>
      </c>
      <c r="E75" s="7" t="str">
        <f aca="false">IF($B75="","",INDEX(MASTER_DATABASE!$E$4:$E$1000,$B75)&amp;"")</f>
        <v/>
      </c>
      <c r="F75" s="7" t="str">
        <f aca="false">IF($B75="","",INDEX(MASTER_DATABASE!$F$4:$F$1000,$B75)&amp;"")</f>
        <v/>
      </c>
      <c r="G75" s="11" t="str">
        <f aca="false">IF($B75="","",INDEX(MASTER_DATABASE!$I$4:$I$1000,$B75)&amp;"")</f>
        <v/>
      </c>
      <c r="H75" s="7" t="str">
        <f aca="false">IF($B75="","",INDEX(MASTER_DATABASE!$L$4:$L$1000,$B75)&amp;"")</f>
        <v/>
      </c>
      <c r="I75" s="9" t="str">
        <f aca="false">IF($B75="","",INDEX(MASTER_DATABASE!$R$4:$R$1000,$B75))</f>
        <v/>
      </c>
      <c r="J75" s="9" t="str">
        <f aca="false">IF($B75="","",INDEX(MASTER_DATABASE!$S$4:$S$1000,$B75))</f>
        <v/>
      </c>
      <c r="K75" s="9" t="str">
        <f aca="false">IF($B75="","",INDEX(MASTER_DATABASE!$T$4:$T$1000,$B75))</f>
        <v/>
      </c>
      <c r="L75" s="7" t="str">
        <f aca="false">IF($B75="","",INDEX(MASTER_DATABASE!$U$4:$U$1000,$B75)&amp;"")</f>
        <v/>
      </c>
      <c r="M75" s="7" t="str">
        <f aca="false">IF($B75="","",INDEX(MASTER_DATABASE!$Q$4:$Q$1000,$B75)&amp;"")</f>
        <v/>
      </c>
      <c r="N75" s="7" t="str">
        <f aca="false">IF($B75="","",INDEX(MASTER_DATABASE!$AG$4:$AG$1000,$B75)&amp;"")</f>
        <v/>
      </c>
      <c r="O75" s="11" t="str">
        <f aca="false">IF($B75="","",INDEX(MASTER_DATABASE!$AH$4:$AH$1000,$B75)&amp;"")</f>
        <v/>
      </c>
      <c r="P75" s="11" t="str">
        <f aca="false">IF($B75="","",INDEX(MASTER_DATABASE!$BE$4:$BE$1000,$B75)&amp;"")</f>
        <v/>
      </c>
      <c r="Q75" s="7" t="str">
        <f aca="false">IF($B75="","",INDEX(MASTER_DATABASE!$AV$4:$AV$1000,$B75)&amp;"")</f>
        <v/>
      </c>
    </row>
    <row r="76" customFormat="false" ht="15" hidden="false" customHeight="false" outlineLevel="0" collapsed="false">
      <c r="A76" s="11" t="n">
        <v>73</v>
      </c>
      <c r="B76" s="11" t="str">
        <f aca="false">IFERROR(MATCH("Common Service Centre (CSC)|"&amp;$A76,MASTER_DATABASE!$BH$4:$BH$1000,0),"")</f>
        <v/>
      </c>
      <c r="C76" s="11" t="str">
        <f aca="false">IF($B76="","",INDEX(MASTER_DATABASE!$A$4:$A$1000,$B76)&amp;"")</f>
        <v/>
      </c>
      <c r="D76" s="7" t="str">
        <f aca="false">IF($B76="","",INDEX(MASTER_DATABASE!$D$4:$D$1000,$B76)&amp;"")</f>
        <v/>
      </c>
      <c r="E76" s="7" t="str">
        <f aca="false">IF($B76="","",INDEX(MASTER_DATABASE!$E$4:$E$1000,$B76)&amp;"")</f>
        <v/>
      </c>
      <c r="F76" s="7" t="str">
        <f aca="false">IF($B76="","",INDEX(MASTER_DATABASE!$F$4:$F$1000,$B76)&amp;"")</f>
        <v/>
      </c>
      <c r="G76" s="11" t="str">
        <f aca="false">IF($B76="","",INDEX(MASTER_DATABASE!$I$4:$I$1000,$B76)&amp;"")</f>
        <v/>
      </c>
      <c r="H76" s="7" t="str">
        <f aca="false">IF($B76="","",INDEX(MASTER_DATABASE!$L$4:$L$1000,$B76)&amp;"")</f>
        <v/>
      </c>
      <c r="I76" s="9" t="str">
        <f aca="false">IF($B76="","",INDEX(MASTER_DATABASE!$R$4:$R$1000,$B76))</f>
        <v/>
      </c>
      <c r="J76" s="9" t="str">
        <f aca="false">IF($B76="","",INDEX(MASTER_DATABASE!$S$4:$S$1000,$B76))</f>
        <v/>
      </c>
      <c r="K76" s="9" t="str">
        <f aca="false">IF($B76="","",INDEX(MASTER_DATABASE!$T$4:$T$1000,$B76))</f>
        <v/>
      </c>
      <c r="L76" s="7" t="str">
        <f aca="false">IF($B76="","",INDEX(MASTER_DATABASE!$U$4:$U$1000,$B76)&amp;"")</f>
        <v/>
      </c>
      <c r="M76" s="7" t="str">
        <f aca="false">IF($B76="","",INDEX(MASTER_DATABASE!$Q$4:$Q$1000,$B76)&amp;"")</f>
        <v/>
      </c>
      <c r="N76" s="7" t="str">
        <f aca="false">IF($B76="","",INDEX(MASTER_DATABASE!$AG$4:$AG$1000,$B76)&amp;"")</f>
        <v/>
      </c>
      <c r="O76" s="11" t="str">
        <f aca="false">IF($B76="","",INDEX(MASTER_DATABASE!$AH$4:$AH$1000,$B76)&amp;"")</f>
        <v/>
      </c>
      <c r="P76" s="11" t="str">
        <f aca="false">IF($B76="","",INDEX(MASTER_DATABASE!$BE$4:$BE$1000,$B76)&amp;"")</f>
        <v/>
      </c>
      <c r="Q76" s="7" t="str">
        <f aca="false">IF($B76="","",INDEX(MASTER_DATABASE!$AV$4:$AV$1000,$B76)&amp;"")</f>
        <v/>
      </c>
    </row>
    <row r="77" customFormat="false" ht="15" hidden="false" customHeight="false" outlineLevel="0" collapsed="false">
      <c r="A77" s="11" t="n">
        <v>74</v>
      </c>
      <c r="B77" s="11" t="str">
        <f aca="false">IFERROR(MATCH("Common Service Centre (CSC)|"&amp;$A77,MASTER_DATABASE!$BH$4:$BH$1000,0),"")</f>
        <v/>
      </c>
      <c r="C77" s="11" t="str">
        <f aca="false">IF($B77="","",INDEX(MASTER_DATABASE!$A$4:$A$1000,$B77)&amp;"")</f>
        <v/>
      </c>
      <c r="D77" s="7" t="str">
        <f aca="false">IF($B77="","",INDEX(MASTER_DATABASE!$D$4:$D$1000,$B77)&amp;"")</f>
        <v/>
      </c>
      <c r="E77" s="7" t="str">
        <f aca="false">IF($B77="","",INDEX(MASTER_DATABASE!$E$4:$E$1000,$B77)&amp;"")</f>
        <v/>
      </c>
      <c r="F77" s="7" t="str">
        <f aca="false">IF($B77="","",INDEX(MASTER_DATABASE!$F$4:$F$1000,$B77)&amp;"")</f>
        <v/>
      </c>
      <c r="G77" s="11" t="str">
        <f aca="false">IF($B77="","",INDEX(MASTER_DATABASE!$I$4:$I$1000,$B77)&amp;"")</f>
        <v/>
      </c>
      <c r="H77" s="7" t="str">
        <f aca="false">IF($B77="","",INDEX(MASTER_DATABASE!$L$4:$L$1000,$B77)&amp;"")</f>
        <v/>
      </c>
      <c r="I77" s="9" t="str">
        <f aca="false">IF($B77="","",INDEX(MASTER_DATABASE!$R$4:$R$1000,$B77))</f>
        <v/>
      </c>
      <c r="J77" s="9" t="str">
        <f aca="false">IF($B77="","",INDEX(MASTER_DATABASE!$S$4:$S$1000,$B77))</f>
        <v/>
      </c>
      <c r="K77" s="9" t="str">
        <f aca="false">IF($B77="","",INDEX(MASTER_DATABASE!$T$4:$T$1000,$B77))</f>
        <v/>
      </c>
      <c r="L77" s="7" t="str">
        <f aca="false">IF($B77="","",INDEX(MASTER_DATABASE!$U$4:$U$1000,$B77)&amp;"")</f>
        <v/>
      </c>
      <c r="M77" s="7" t="str">
        <f aca="false">IF($B77="","",INDEX(MASTER_DATABASE!$Q$4:$Q$1000,$B77)&amp;"")</f>
        <v/>
      </c>
      <c r="N77" s="7" t="str">
        <f aca="false">IF($B77="","",INDEX(MASTER_DATABASE!$AG$4:$AG$1000,$B77)&amp;"")</f>
        <v/>
      </c>
      <c r="O77" s="11" t="str">
        <f aca="false">IF($B77="","",INDEX(MASTER_DATABASE!$AH$4:$AH$1000,$B77)&amp;"")</f>
        <v/>
      </c>
      <c r="P77" s="11" t="str">
        <f aca="false">IF($B77="","",INDEX(MASTER_DATABASE!$BE$4:$BE$1000,$B77)&amp;"")</f>
        <v/>
      </c>
      <c r="Q77" s="7" t="str">
        <f aca="false">IF($B77="","",INDEX(MASTER_DATABASE!$AV$4:$AV$1000,$B77)&amp;"")</f>
        <v/>
      </c>
    </row>
    <row r="78" customFormat="false" ht="15" hidden="false" customHeight="false" outlineLevel="0" collapsed="false">
      <c r="A78" s="11" t="n">
        <v>75</v>
      </c>
      <c r="B78" s="11" t="str">
        <f aca="false">IFERROR(MATCH("Common Service Centre (CSC)|"&amp;$A78,MASTER_DATABASE!$BH$4:$BH$1000,0),"")</f>
        <v/>
      </c>
      <c r="C78" s="11" t="str">
        <f aca="false">IF($B78="","",INDEX(MASTER_DATABASE!$A$4:$A$1000,$B78)&amp;"")</f>
        <v/>
      </c>
      <c r="D78" s="7" t="str">
        <f aca="false">IF($B78="","",INDEX(MASTER_DATABASE!$D$4:$D$1000,$B78)&amp;"")</f>
        <v/>
      </c>
      <c r="E78" s="7" t="str">
        <f aca="false">IF($B78="","",INDEX(MASTER_DATABASE!$E$4:$E$1000,$B78)&amp;"")</f>
        <v/>
      </c>
      <c r="F78" s="7" t="str">
        <f aca="false">IF($B78="","",INDEX(MASTER_DATABASE!$F$4:$F$1000,$B78)&amp;"")</f>
        <v/>
      </c>
      <c r="G78" s="11" t="str">
        <f aca="false">IF($B78="","",INDEX(MASTER_DATABASE!$I$4:$I$1000,$B78)&amp;"")</f>
        <v/>
      </c>
      <c r="H78" s="7" t="str">
        <f aca="false">IF($B78="","",INDEX(MASTER_DATABASE!$L$4:$L$1000,$B78)&amp;"")</f>
        <v/>
      </c>
      <c r="I78" s="9" t="str">
        <f aca="false">IF($B78="","",INDEX(MASTER_DATABASE!$R$4:$R$1000,$B78))</f>
        <v/>
      </c>
      <c r="J78" s="9" t="str">
        <f aca="false">IF($B78="","",INDEX(MASTER_DATABASE!$S$4:$S$1000,$B78))</f>
        <v/>
      </c>
      <c r="K78" s="9" t="str">
        <f aca="false">IF($B78="","",INDEX(MASTER_DATABASE!$T$4:$T$1000,$B78))</f>
        <v/>
      </c>
      <c r="L78" s="7" t="str">
        <f aca="false">IF($B78="","",INDEX(MASTER_DATABASE!$U$4:$U$1000,$B78)&amp;"")</f>
        <v/>
      </c>
      <c r="M78" s="7" t="str">
        <f aca="false">IF($B78="","",INDEX(MASTER_DATABASE!$Q$4:$Q$1000,$B78)&amp;"")</f>
        <v/>
      </c>
      <c r="N78" s="7" t="str">
        <f aca="false">IF($B78="","",INDEX(MASTER_DATABASE!$AG$4:$AG$1000,$B78)&amp;"")</f>
        <v/>
      </c>
      <c r="O78" s="11" t="str">
        <f aca="false">IF($B78="","",INDEX(MASTER_DATABASE!$AH$4:$AH$1000,$B78)&amp;"")</f>
        <v/>
      </c>
      <c r="P78" s="11" t="str">
        <f aca="false">IF($B78="","",INDEX(MASTER_DATABASE!$BE$4:$BE$1000,$B78)&amp;"")</f>
        <v/>
      </c>
      <c r="Q78" s="7" t="str">
        <f aca="false">IF($B78="","",INDEX(MASTER_DATABASE!$AV$4:$AV$1000,$B78)&amp;"")</f>
        <v/>
      </c>
    </row>
  </sheetData>
  <conditionalFormatting sqref="G4:G78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78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78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3690</v>
      </c>
    </row>
    <row r="2" customFormat="false" ht="15" hidden="false" customHeight="false" outlineLevel="0" collapsed="false">
      <c r="A2" s="2" t="s">
        <v>3691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15" hidden="false" customHeight="false" outlineLevel="0" collapsed="false">
      <c r="A4" s="11" t="n">
        <v>1</v>
      </c>
      <c r="B4" s="11" t="n">
        <f aca="false">IFERROR(MATCH("Mobile Store|"&amp;$A4,MASTER_DATABASE!$BH$4:$BH$1000,0),"")</f>
        <v>156</v>
      </c>
      <c r="C4" s="11" t="str">
        <f aca="false">IF($B4="","",INDEX(MASTER_DATABASE!$A$4:$A$1000,$B4)&amp;"")</f>
        <v>MOB-001</v>
      </c>
      <c r="D4" s="7" t="str">
        <f aca="false">IF($B4="","",INDEX(MASTER_DATABASE!$D$4:$D$1000,$B4)&amp;"")</f>
        <v>Mobile Sales</v>
      </c>
      <c r="E4" s="7" t="str">
        <f aca="false">IF($B4="","",INDEX(MASTER_DATABASE!$E$4:$E$1000,$B4)&amp;"")</f>
        <v>New Mobile Phone Sales (Smartphone)</v>
      </c>
      <c r="F4" s="7" t="str">
        <f aca="false">IF($B4="","",INDEX(MASTER_DATABASE!$F$4:$F$1000,$B4)&amp;"")</f>
        <v>नया मोबाइल फोन बिक्री (स्मार्टफोन)</v>
      </c>
      <c r="G4" s="11" t="str">
        <f aca="false">IF($B4="","",INDEX(MASTER_DATABASE!$I$4:$I$1000,$B4)&amp;"")</f>
        <v>Available</v>
      </c>
      <c r="H4" s="7" t="str">
        <f aca="false">IF($B4="","",INDEX(MASTER_DATABASE!$L$4:$L$1000,$B4)&amp;"")</f>
        <v>Not Applicable</v>
      </c>
      <c r="I4" s="9" t="str">
        <f aca="false">IF($B4="","",INDEX(MASTER_DATABASE!$R$4:$R$1000,$B4))</f>
        <v>N/A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Variable</v>
      </c>
      <c r="M4" s="7" t="str">
        <f aca="false">IF($B4="","",INDEX(MASTER_DATABASE!$Q$4:$Q$1000,$B4)&amp;"")</f>
        <v>5–10 Minutes</v>
      </c>
      <c r="N4" s="7" t="str">
        <f aca="false">IF($B4="","",INDEX(MASTER_DATABASE!$AG$4:$AG$1000,$B4)&amp;"")</f>
        <v>Active</v>
      </c>
      <c r="O4" s="11" t="str">
        <f aca="false">IF($B4="","",INDEX(MASTER_DATABASE!$AH$4:$AH$1000,$B4)&amp;"")</f>
        <v>Yes</v>
      </c>
      <c r="P4" s="11" t="str">
        <f aca="false">IF($B4="","",INDEX(MASTER_DATABASE!$BE$4:$BE$1000,$B4)&amp;"")</f>
        <v>LIVE</v>
      </c>
      <c r="Q4" s="7" t="str">
        <f aca="false">IF($B4="","",INDEX(MASTER_DATABASE!$AV$4:$AV$1000,$B4)&amp;"")</f>
        <v>To Verify</v>
      </c>
    </row>
    <row r="5" customFormat="false" ht="15" hidden="false" customHeight="false" outlineLevel="0" collapsed="false">
      <c r="A5" s="11" t="n">
        <v>2</v>
      </c>
      <c r="B5" s="11" t="n">
        <f aca="false">IFERROR(MATCH("Mobile Store|"&amp;$A5,MASTER_DATABASE!$BH$4:$BH$1000,0),"")</f>
        <v>157</v>
      </c>
      <c r="C5" s="11" t="str">
        <f aca="false">IF($B5="","",INDEX(MASTER_DATABASE!$A$4:$A$1000,$B5)&amp;"")</f>
        <v>MOB-002</v>
      </c>
      <c r="D5" s="7" t="str">
        <f aca="false">IF($B5="","",INDEX(MASTER_DATABASE!$D$4:$D$1000,$B5)&amp;"")</f>
        <v>Mobile Sales</v>
      </c>
      <c r="E5" s="7" t="str">
        <f aca="false">IF($B5="","",INDEX(MASTER_DATABASE!$E$4:$E$1000,$B5)&amp;"")</f>
        <v>Keypad / Feature Phone Sales</v>
      </c>
      <c r="F5" s="7" t="str">
        <f aca="false">IF($B5="","",INDEX(MASTER_DATABASE!$F$4:$F$1000,$B5)&amp;"")</f>
        <v>कीपैड / फीचर फोन बिक्री</v>
      </c>
      <c r="G5" s="11" t="str">
        <f aca="false">IF($B5="","",INDEX(MASTER_DATABASE!$I$4:$I$1000,$B5)&amp;"")</f>
        <v>To Verify</v>
      </c>
      <c r="H5" s="7" t="str">
        <f aca="false">IF($B5="","",INDEX(MASTER_DATABASE!$L$4:$L$1000,$B5)&amp;"")</f>
        <v>To Verify</v>
      </c>
      <c r="I5" s="9" t="str">
        <f aca="false">IF($B5="","",INDEX(MASTER_DATABASE!$R$4:$R$1000,$B5))</f>
        <v>N/A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Variable</v>
      </c>
      <c r="M5" s="7" t="str">
        <f aca="false">IF($B5="","",INDEX(MASTER_DATABASE!$Q$4:$Q$1000,$B5)&amp;"")</f>
        <v>5–10 Minutes</v>
      </c>
      <c r="N5" s="7" t="str">
        <f aca="false">IF($B5="","",INDEX(MASTER_DATABASE!$AG$4:$AG$1000,$B5)&amp;"")</f>
        <v>To Verify</v>
      </c>
      <c r="O5" s="11" t="str">
        <f aca="false">IF($B5="","",INDEX(MASTER_DATABASE!$AH$4:$AH$1000,$B5)&amp;"")</f>
        <v>No</v>
      </c>
      <c r="P5" s="11" t="str">
        <f aca="false">IF($B5="","",INDEX(MASTER_DATABASE!$BE$4:$BE$1000,$B5)&amp;"")</f>
        <v>HIDDEN</v>
      </c>
      <c r="Q5" s="7" t="str">
        <f aca="false">IF($B5="","",INDEX(MASTER_DATABASE!$AV$4:$AV$1000,$B5)&amp;"")</f>
        <v>To Verify</v>
      </c>
    </row>
    <row r="6" customFormat="false" ht="15" hidden="false" customHeight="false" outlineLevel="0" collapsed="false">
      <c r="A6" s="11" t="n">
        <v>3</v>
      </c>
      <c r="B6" s="11" t="n">
        <f aca="false">IFERROR(MATCH("Mobile Store|"&amp;$A6,MASTER_DATABASE!$BH$4:$BH$1000,0),"")</f>
        <v>158</v>
      </c>
      <c r="C6" s="11" t="str">
        <f aca="false">IF($B6="","",INDEX(MASTER_DATABASE!$A$4:$A$1000,$B6)&amp;"")</f>
        <v>MOB-003</v>
      </c>
      <c r="D6" s="7" t="str">
        <f aca="false">IF($B6="","",INDEX(MASTER_DATABASE!$D$4:$D$1000,$B6)&amp;"")</f>
        <v>Charging &amp; Cables</v>
      </c>
      <c r="E6" s="7" t="str">
        <f aca="false">IF($B6="","",INDEX(MASTER_DATABASE!$E$4:$E$1000,$B6)&amp;"")</f>
        <v>Mobile Charger</v>
      </c>
      <c r="F6" s="7" t="str">
        <f aca="false">IF($B6="","",INDEX(MASTER_DATABASE!$F$4:$F$1000,$B6)&amp;"")</f>
        <v>मोबाइल चार्जर</v>
      </c>
      <c r="G6" s="11" t="str">
        <f aca="false">IF($B6="","",INDEX(MASTER_DATABASE!$I$4:$I$1000,$B6)&amp;"")</f>
        <v>Available</v>
      </c>
      <c r="H6" s="7" t="str">
        <f aca="false">IF($B6="","",INDEX(MASTER_DATABASE!$L$4:$L$1000,$B6)&amp;"")</f>
        <v>Not Applicable</v>
      </c>
      <c r="I6" s="9" t="str">
        <f aca="false">IF($B6="","",INDEX(MASTER_DATABASE!$R$4:$R$1000,$B6))</f>
        <v>N/A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Variable</v>
      </c>
      <c r="M6" s="7" t="str">
        <f aca="false">IF($B6="","",INDEX(MASTER_DATABASE!$Q$4:$Q$1000,$B6)&amp;"")</f>
        <v>5–10 Minutes</v>
      </c>
      <c r="N6" s="7" t="str">
        <f aca="false">IF($B6="","",INDEX(MASTER_DATABASE!$AG$4:$AG$1000,$B6)&amp;"")</f>
        <v>Active</v>
      </c>
      <c r="O6" s="11" t="str">
        <f aca="false">IF($B6="","",INDEX(MASTER_DATABASE!$AH$4:$AH$1000,$B6)&amp;"")</f>
        <v>Yes</v>
      </c>
      <c r="P6" s="11" t="str">
        <f aca="false">IF($B6="","",INDEX(MASTER_DATABASE!$BE$4:$BE$1000,$B6)&amp;"")</f>
        <v>LIVE</v>
      </c>
      <c r="Q6" s="7" t="str">
        <f aca="false">IF($B6="","",INDEX(MASTER_DATABASE!$AV$4:$AV$1000,$B6)&amp;"")</f>
        <v>To Verify</v>
      </c>
    </row>
    <row r="7" customFormat="false" ht="15" hidden="false" customHeight="false" outlineLevel="0" collapsed="false">
      <c r="A7" s="11" t="n">
        <v>4</v>
      </c>
      <c r="B7" s="11" t="n">
        <f aca="false">IFERROR(MATCH("Mobile Store|"&amp;$A7,MASTER_DATABASE!$BH$4:$BH$1000,0),"")</f>
        <v>159</v>
      </c>
      <c r="C7" s="11" t="str">
        <f aca="false">IF($B7="","",INDEX(MASTER_DATABASE!$A$4:$A$1000,$B7)&amp;"")</f>
        <v>MOB-004</v>
      </c>
      <c r="D7" s="7" t="str">
        <f aca="false">IF($B7="","",INDEX(MASTER_DATABASE!$D$4:$D$1000,$B7)&amp;"")</f>
        <v>Charging &amp; Cables</v>
      </c>
      <c r="E7" s="7" t="str">
        <f aca="false">IF($B7="","",INDEX(MASTER_DATABASE!$E$4:$E$1000,$B7)&amp;"")</f>
        <v>Data Cable</v>
      </c>
      <c r="F7" s="7" t="str">
        <f aca="false">IF($B7="","",INDEX(MASTER_DATABASE!$F$4:$F$1000,$B7)&amp;"")</f>
        <v>डेटा केबल</v>
      </c>
      <c r="G7" s="11" t="str">
        <f aca="false">IF($B7="","",INDEX(MASTER_DATABASE!$I$4:$I$1000,$B7)&amp;"")</f>
        <v>Available</v>
      </c>
      <c r="H7" s="7" t="str">
        <f aca="false">IF($B7="","",INDEX(MASTER_DATABASE!$L$4:$L$1000,$B7)&amp;"")</f>
        <v>Not Applicable</v>
      </c>
      <c r="I7" s="9" t="str">
        <f aca="false">IF($B7="","",INDEX(MASTER_DATABASE!$R$4:$R$1000,$B7))</f>
        <v>N/A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Variable</v>
      </c>
      <c r="M7" s="7" t="str">
        <f aca="false">IF($B7="","",INDEX(MASTER_DATABASE!$Q$4:$Q$1000,$B7)&amp;"")</f>
        <v>5–10 Minutes</v>
      </c>
      <c r="N7" s="7" t="str">
        <f aca="false">IF($B7="","",INDEX(MASTER_DATABASE!$AG$4:$AG$1000,$B7)&amp;"")</f>
        <v>Active</v>
      </c>
      <c r="O7" s="11" t="str">
        <f aca="false">IF($B7="","",INDEX(MASTER_DATABASE!$AH$4:$AH$1000,$B7)&amp;"")</f>
        <v>Yes</v>
      </c>
      <c r="P7" s="11" t="str">
        <f aca="false">IF($B7="","",INDEX(MASTER_DATABASE!$BE$4:$BE$1000,$B7)&amp;"")</f>
        <v>LIVE</v>
      </c>
      <c r="Q7" s="7" t="str">
        <f aca="false">IF($B7="","",INDEX(MASTER_DATABASE!$AV$4:$AV$1000,$B7)&amp;"")</f>
        <v>To Verify</v>
      </c>
    </row>
    <row r="8" customFormat="false" ht="15" hidden="false" customHeight="false" outlineLevel="0" collapsed="false">
      <c r="A8" s="11" t="n">
        <v>5</v>
      </c>
      <c r="B8" s="11" t="n">
        <f aca="false">IFERROR(MATCH("Mobile Store|"&amp;$A8,MASTER_DATABASE!$BH$4:$BH$1000,0),"")</f>
        <v>160</v>
      </c>
      <c r="C8" s="11" t="str">
        <f aca="false">IF($B8="","",INDEX(MASTER_DATABASE!$A$4:$A$1000,$B8)&amp;"")</f>
        <v>MOB-005</v>
      </c>
      <c r="D8" s="7" t="str">
        <f aca="false">IF($B8="","",INDEX(MASTER_DATABASE!$D$4:$D$1000,$B8)&amp;"")</f>
        <v>Charging &amp; Cables</v>
      </c>
      <c r="E8" s="7" t="str">
        <f aca="false">IF($B8="","",INDEX(MASTER_DATABASE!$E$4:$E$1000,$B8)&amp;"")</f>
        <v>Power Bank</v>
      </c>
      <c r="F8" s="7" t="str">
        <f aca="false">IF($B8="","",INDEX(MASTER_DATABASE!$F$4:$F$1000,$B8)&amp;"")</f>
        <v>पावर बैंक</v>
      </c>
      <c r="G8" s="11" t="str">
        <f aca="false">IF($B8="","",INDEX(MASTER_DATABASE!$I$4:$I$1000,$B8)&amp;"")</f>
        <v>To Verify</v>
      </c>
      <c r="H8" s="7" t="str">
        <f aca="false">IF($B8="","",INDEX(MASTER_DATABASE!$L$4:$L$1000,$B8)&amp;"")</f>
        <v>To Verify</v>
      </c>
      <c r="I8" s="9" t="str">
        <f aca="false">IF($B8="","",INDEX(MASTER_DATABASE!$R$4:$R$1000,$B8))</f>
        <v>N/A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Variable</v>
      </c>
      <c r="M8" s="7" t="str">
        <f aca="false">IF($B8="","",INDEX(MASTER_DATABASE!$Q$4:$Q$1000,$B8)&amp;"")</f>
        <v>5–10 Minutes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15" hidden="false" customHeight="false" outlineLevel="0" collapsed="false">
      <c r="A9" s="11" t="n">
        <v>6</v>
      </c>
      <c r="B9" s="11" t="n">
        <f aca="false">IFERROR(MATCH("Mobile Store|"&amp;$A9,MASTER_DATABASE!$BH$4:$BH$1000,0),"")</f>
        <v>161</v>
      </c>
      <c r="C9" s="11" t="str">
        <f aca="false">IF($B9="","",INDEX(MASTER_DATABASE!$A$4:$A$1000,$B9)&amp;"")</f>
        <v>MOB-006</v>
      </c>
      <c r="D9" s="7" t="str">
        <f aca="false">IF($B9="","",INDEX(MASTER_DATABASE!$D$4:$D$1000,$B9)&amp;"")</f>
        <v>Audio Accessories</v>
      </c>
      <c r="E9" s="7" t="str">
        <f aca="false">IF($B9="","",INDEX(MASTER_DATABASE!$E$4:$E$1000,$B9)&amp;"")</f>
        <v>Earphone (Wired)</v>
      </c>
      <c r="F9" s="7" t="str">
        <f aca="false">IF($B9="","",INDEX(MASTER_DATABASE!$F$4:$F$1000,$B9)&amp;"")</f>
        <v>ईयरफोन (वायर्ड)</v>
      </c>
      <c r="G9" s="11" t="str">
        <f aca="false">IF($B9="","",INDEX(MASTER_DATABASE!$I$4:$I$1000,$B9)&amp;"")</f>
        <v>Available</v>
      </c>
      <c r="H9" s="7" t="str">
        <f aca="false">IF($B9="","",INDEX(MASTER_DATABASE!$L$4:$L$1000,$B9)&amp;"")</f>
        <v>Not Applicable</v>
      </c>
      <c r="I9" s="9" t="str">
        <f aca="false">IF($B9="","",INDEX(MASTER_DATABASE!$R$4:$R$1000,$B9))</f>
        <v>N/A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Variable</v>
      </c>
      <c r="M9" s="7" t="str">
        <f aca="false">IF($B9="","",INDEX(MASTER_DATABASE!$Q$4:$Q$1000,$B9)&amp;"")</f>
        <v>5–10 Minutes</v>
      </c>
      <c r="N9" s="7" t="str">
        <f aca="false">IF($B9="","",INDEX(MASTER_DATABASE!$AG$4:$AG$1000,$B9)&amp;"")</f>
        <v>Active</v>
      </c>
      <c r="O9" s="11" t="str">
        <f aca="false">IF($B9="","",INDEX(MASTER_DATABASE!$AH$4:$AH$1000,$B9)&amp;"")</f>
        <v>Yes</v>
      </c>
      <c r="P9" s="11" t="str">
        <f aca="false">IF($B9="","",INDEX(MASTER_DATABASE!$BE$4:$BE$1000,$B9)&amp;"")</f>
        <v>LIVE</v>
      </c>
      <c r="Q9" s="7" t="str">
        <f aca="false">IF($B9="","",INDEX(MASTER_DATABASE!$AV$4:$AV$1000,$B9)&amp;"")</f>
        <v>To Verify</v>
      </c>
    </row>
    <row r="10" customFormat="false" ht="15" hidden="false" customHeight="false" outlineLevel="0" collapsed="false">
      <c r="A10" s="11" t="n">
        <v>7</v>
      </c>
      <c r="B10" s="11" t="n">
        <f aca="false">IFERROR(MATCH("Mobile Store|"&amp;$A10,MASTER_DATABASE!$BH$4:$BH$1000,0),"")</f>
        <v>162</v>
      </c>
      <c r="C10" s="11" t="str">
        <f aca="false">IF($B10="","",INDEX(MASTER_DATABASE!$A$4:$A$1000,$B10)&amp;"")</f>
        <v>MOB-007</v>
      </c>
      <c r="D10" s="7" t="str">
        <f aca="false">IF($B10="","",INDEX(MASTER_DATABASE!$D$4:$D$1000,$B10)&amp;"")</f>
        <v>Audio Accessories</v>
      </c>
      <c r="E10" s="7" t="str">
        <f aca="false">IF($B10="","",INDEX(MASTER_DATABASE!$E$4:$E$1000,$B10)&amp;"")</f>
        <v>Bluetooth Earphone</v>
      </c>
      <c r="F10" s="7" t="str">
        <f aca="false">IF($B10="","",INDEX(MASTER_DATABASE!$F$4:$F$1000,$B10)&amp;"")</f>
        <v>ब्लूटूथ ईयरफोन</v>
      </c>
      <c r="G10" s="11" t="str">
        <f aca="false">IF($B10="","",INDEX(MASTER_DATABASE!$I$4:$I$1000,$B10)&amp;"")</f>
        <v>Available</v>
      </c>
      <c r="H10" s="7" t="str">
        <f aca="false">IF($B10="","",INDEX(MASTER_DATABASE!$L$4:$L$1000,$B10)&amp;"")</f>
        <v>Not Applicable</v>
      </c>
      <c r="I10" s="9" t="str">
        <f aca="false">IF($B10="","",INDEX(MASTER_DATABASE!$R$4:$R$1000,$B10))</f>
        <v>N/A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Variable</v>
      </c>
      <c r="M10" s="7" t="str">
        <f aca="false">IF($B10="","",INDEX(MASTER_DATABASE!$Q$4:$Q$1000,$B10)&amp;"")</f>
        <v>5–10 Minutes</v>
      </c>
      <c r="N10" s="7" t="str">
        <f aca="false">IF($B10="","",INDEX(MASTER_DATABASE!$AG$4:$AG$1000,$B10)&amp;"")</f>
        <v>Active</v>
      </c>
      <c r="O10" s="11" t="str">
        <f aca="false">IF($B10="","",INDEX(MASTER_DATABASE!$AH$4:$AH$1000,$B10)&amp;"")</f>
        <v>Yes</v>
      </c>
      <c r="P10" s="11" t="str">
        <f aca="false">IF($B10="","",INDEX(MASTER_DATABASE!$BE$4:$BE$1000,$B10)&amp;"")</f>
        <v>LIVE</v>
      </c>
      <c r="Q10" s="7" t="str">
        <f aca="false">IF($B10="","",INDEX(MASTER_DATABASE!$AV$4:$AV$1000,$B10)&amp;"")</f>
        <v>To Verify</v>
      </c>
    </row>
    <row r="11" customFormat="false" ht="15" hidden="false" customHeight="false" outlineLevel="0" collapsed="false">
      <c r="A11" s="11" t="n">
        <v>8</v>
      </c>
      <c r="B11" s="11" t="n">
        <f aca="false">IFERROR(MATCH("Mobile Store|"&amp;$A11,MASTER_DATABASE!$BH$4:$BH$1000,0),"")</f>
        <v>163</v>
      </c>
      <c r="C11" s="11" t="str">
        <f aca="false">IF($B11="","",INDEX(MASTER_DATABASE!$A$4:$A$1000,$B11)&amp;"")</f>
        <v>MOB-008</v>
      </c>
      <c r="D11" s="7" t="str">
        <f aca="false">IF($B11="","",INDEX(MASTER_DATABASE!$D$4:$D$1000,$B11)&amp;"")</f>
        <v>Audio Accessories</v>
      </c>
      <c r="E11" s="7" t="str">
        <f aca="false">IF($B11="","",INDEX(MASTER_DATABASE!$E$4:$E$1000,$B11)&amp;"")</f>
        <v>Speaker</v>
      </c>
      <c r="F11" s="7" t="str">
        <f aca="false">IF($B11="","",INDEX(MASTER_DATABASE!$F$4:$F$1000,$B11)&amp;"")</f>
        <v>स्पीकर</v>
      </c>
      <c r="G11" s="11" t="str">
        <f aca="false">IF($B11="","",INDEX(MASTER_DATABASE!$I$4:$I$1000,$B11)&amp;"")</f>
        <v>Available</v>
      </c>
      <c r="H11" s="7" t="str">
        <f aca="false">IF($B11="","",INDEX(MASTER_DATABASE!$L$4:$L$1000,$B11)&amp;"")</f>
        <v>Not Applicable</v>
      </c>
      <c r="I11" s="9" t="str">
        <f aca="false">IF($B11="","",INDEX(MASTER_DATABASE!$R$4:$R$1000,$B11))</f>
        <v>N/A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Variable</v>
      </c>
      <c r="M11" s="7" t="str">
        <f aca="false">IF($B11="","",INDEX(MASTER_DATABASE!$Q$4:$Q$1000,$B11)&amp;"")</f>
        <v>5–10 Minutes</v>
      </c>
      <c r="N11" s="7" t="str">
        <f aca="false">IF($B11="","",INDEX(MASTER_DATABASE!$AG$4:$AG$1000,$B11)&amp;"")</f>
        <v>Active</v>
      </c>
      <c r="O11" s="11" t="str">
        <f aca="false">IF($B11="","",INDEX(MASTER_DATABASE!$AH$4:$AH$1000,$B11)&amp;"")</f>
        <v>Yes</v>
      </c>
      <c r="P11" s="11" t="str">
        <f aca="false">IF($B11="","",INDEX(MASTER_DATABASE!$BE$4:$BE$1000,$B11)&amp;"")</f>
        <v>LIVE</v>
      </c>
      <c r="Q11" s="7" t="str">
        <f aca="false">IF($B11="","",INDEX(MASTER_DATABASE!$AV$4:$AV$1000,$B11)&amp;"")</f>
        <v>To Verify</v>
      </c>
    </row>
    <row r="12" customFormat="false" ht="15" hidden="false" customHeight="false" outlineLevel="0" collapsed="false">
      <c r="A12" s="11" t="n">
        <v>9</v>
      </c>
      <c r="B12" s="11" t="n">
        <f aca="false">IFERROR(MATCH("Mobile Store|"&amp;$A12,MASTER_DATABASE!$BH$4:$BH$1000,0),"")</f>
        <v>164</v>
      </c>
      <c r="C12" s="11" t="str">
        <f aca="false">IF($B12="","",INDEX(MASTER_DATABASE!$A$4:$A$1000,$B12)&amp;"")</f>
        <v>MOB-009</v>
      </c>
      <c r="D12" s="7" t="str">
        <f aca="false">IF($B12="","",INDEX(MASTER_DATABASE!$D$4:$D$1000,$B12)&amp;"")</f>
        <v>Protection Accessories</v>
      </c>
      <c r="E12" s="7" t="str">
        <f aca="false">IF($B12="","",INDEX(MASTER_DATABASE!$E$4:$E$1000,$B12)&amp;"")</f>
        <v>Mobile Cover</v>
      </c>
      <c r="F12" s="7" t="str">
        <f aca="false">IF($B12="","",INDEX(MASTER_DATABASE!$F$4:$F$1000,$B12)&amp;"")</f>
        <v>मोबाइल कवर</v>
      </c>
      <c r="G12" s="11" t="str">
        <f aca="false">IF($B12="","",INDEX(MASTER_DATABASE!$I$4:$I$1000,$B12)&amp;"")</f>
        <v>Available</v>
      </c>
      <c r="H12" s="7" t="str">
        <f aca="false">IF($B12="","",INDEX(MASTER_DATABASE!$L$4:$L$1000,$B12)&amp;"")</f>
        <v>Not Applicable</v>
      </c>
      <c r="I12" s="9" t="str">
        <f aca="false">IF($B12="","",INDEX(MASTER_DATABASE!$R$4:$R$1000,$B12))</f>
        <v>N/A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Variable</v>
      </c>
      <c r="M12" s="7" t="str">
        <f aca="false">IF($B12="","",INDEX(MASTER_DATABASE!$Q$4:$Q$1000,$B12)&amp;"")</f>
        <v>5–10 Minutes</v>
      </c>
      <c r="N12" s="7" t="str">
        <f aca="false">IF($B12="","",INDEX(MASTER_DATABASE!$AG$4:$AG$1000,$B12)&amp;"")</f>
        <v>Active</v>
      </c>
      <c r="O12" s="11" t="str">
        <f aca="false">IF($B12="","",INDEX(MASTER_DATABASE!$AH$4:$AH$1000,$B12)&amp;"")</f>
        <v>Yes</v>
      </c>
      <c r="P12" s="11" t="str">
        <f aca="false">IF($B12="","",INDEX(MASTER_DATABASE!$BE$4:$BE$1000,$B12)&amp;"")</f>
        <v>LIVE</v>
      </c>
      <c r="Q12" s="7" t="str">
        <f aca="false">IF($B12="","",INDEX(MASTER_DATABASE!$AV$4:$AV$1000,$B12)&amp;"")</f>
        <v>To Verify</v>
      </c>
    </row>
    <row r="13" customFormat="false" ht="15" hidden="false" customHeight="false" outlineLevel="0" collapsed="false">
      <c r="A13" s="11" t="n">
        <v>10</v>
      </c>
      <c r="B13" s="11" t="n">
        <f aca="false">IFERROR(MATCH("Mobile Store|"&amp;$A13,MASTER_DATABASE!$BH$4:$BH$1000,0),"")</f>
        <v>165</v>
      </c>
      <c r="C13" s="11" t="str">
        <f aca="false">IF($B13="","",INDEX(MASTER_DATABASE!$A$4:$A$1000,$B13)&amp;"")</f>
        <v>MOB-010</v>
      </c>
      <c r="D13" s="7" t="str">
        <f aca="false">IF($B13="","",INDEX(MASTER_DATABASE!$D$4:$D$1000,$B13)&amp;"")</f>
        <v>Protection Accessories</v>
      </c>
      <c r="E13" s="7" t="str">
        <f aca="false">IF($B13="","",INDEX(MASTER_DATABASE!$E$4:$E$1000,$B13)&amp;"")</f>
        <v>Tempered Glass</v>
      </c>
      <c r="F13" s="7" t="str">
        <f aca="false">IF($B13="","",INDEX(MASTER_DATABASE!$F$4:$F$1000,$B13)&amp;"")</f>
        <v>टेम्पर्ड ग्लास</v>
      </c>
      <c r="G13" s="11" t="str">
        <f aca="false">IF($B13="","",INDEX(MASTER_DATABASE!$I$4:$I$1000,$B13)&amp;"")</f>
        <v>Available</v>
      </c>
      <c r="H13" s="7" t="str">
        <f aca="false">IF($B13="","",INDEX(MASTER_DATABASE!$L$4:$L$1000,$B13)&amp;"")</f>
        <v>Not Applicable</v>
      </c>
      <c r="I13" s="9" t="str">
        <f aca="false">IF($B13="","",INDEX(MASTER_DATABASE!$R$4:$R$1000,$B13))</f>
        <v>N/A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Variable</v>
      </c>
      <c r="M13" s="7" t="str">
        <f aca="false">IF($B13="","",INDEX(MASTER_DATABASE!$Q$4:$Q$1000,$B13)&amp;"")</f>
        <v>5–10 Minutes</v>
      </c>
      <c r="N13" s="7" t="str">
        <f aca="false">IF($B13="","",INDEX(MASTER_DATABASE!$AG$4:$AG$1000,$B13)&amp;"")</f>
        <v>Active</v>
      </c>
      <c r="O13" s="11" t="str">
        <f aca="false">IF($B13="","",INDEX(MASTER_DATABASE!$AH$4:$AH$1000,$B13)&amp;"")</f>
        <v>Yes</v>
      </c>
      <c r="P13" s="11" t="str">
        <f aca="false">IF($B13="","",INDEX(MASTER_DATABASE!$BE$4:$BE$1000,$B13)&amp;"")</f>
        <v>LIVE</v>
      </c>
      <c r="Q13" s="7" t="str">
        <f aca="false">IF($B13="","",INDEX(MASTER_DATABASE!$AV$4:$AV$1000,$B13)&amp;"")</f>
        <v>To Verify</v>
      </c>
    </row>
    <row r="14" customFormat="false" ht="15" hidden="false" customHeight="false" outlineLevel="0" collapsed="false">
      <c r="A14" s="11" t="n">
        <v>11</v>
      </c>
      <c r="B14" s="11" t="n">
        <f aca="false">IFERROR(MATCH("Mobile Store|"&amp;$A14,MASTER_DATABASE!$BH$4:$BH$1000,0),"")</f>
        <v>166</v>
      </c>
      <c r="C14" s="11" t="str">
        <f aca="false">IF($B14="","",INDEX(MASTER_DATABASE!$A$4:$A$1000,$B14)&amp;"")</f>
        <v>MOB-011</v>
      </c>
      <c r="D14" s="7" t="str">
        <f aca="false">IF($B14="","",INDEX(MASTER_DATABASE!$D$4:$D$1000,$B14)&amp;"")</f>
        <v>Protection Accessories</v>
      </c>
      <c r="E14" s="7" t="str">
        <f aca="false">IF($B14="","",INDEX(MASTER_DATABASE!$E$4:$E$1000,$B14)&amp;"")</f>
        <v>Tempered Glass Fitting</v>
      </c>
      <c r="F14" s="7" t="str">
        <f aca="false">IF($B14="","",INDEX(MASTER_DATABASE!$F$4:$F$1000,$B14)&amp;"")</f>
        <v>टेम्पर्ड ग्लास फिटिंग</v>
      </c>
      <c r="G14" s="11" t="str">
        <f aca="false">IF($B14="","",INDEX(MASTER_DATABASE!$I$4:$I$1000,$B14)&amp;"")</f>
        <v>Available</v>
      </c>
      <c r="H14" s="7" t="str">
        <f aca="false">IF($B14="","",INDEX(MASTER_DATABASE!$L$4:$L$1000,$B14)&amp;"")</f>
        <v>Not Applicable</v>
      </c>
      <c r="I14" s="9" t="str">
        <f aca="false">IF($B14="","",INDEX(MASTER_DATABASE!$R$4:$R$1000,$B14))</f>
        <v>N/A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Variable</v>
      </c>
      <c r="M14" s="7" t="str">
        <f aca="false">IF($B14="","",INDEX(MASTER_DATABASE!$Q$4:$Q$1000,$B14)&amp;"")</f>
        <v>5–10 Minutes</v>
      </c>
      <c r="N14" s="7" t="str">
        <f aca="false">IF($B14="","",INDEX(MASTER_DATABASE!$AG$4:$AG$1000,$B14)&amp;"")</f>
        <v>Active</v>
      </c>
      <c r="O14" s="11" t="str">
        <f aca="false">IF($B14="","",INDEX(MASTER_DATABASE!$AH$4:$AH$1000,$B14)&amp;"")</f>
        <v>Yes</v>
      </c>
      <c r="P14" s="11" t="str">
        <f aca="false">IF($B14="","",INDEX(MASTER_DATABASE!$BE$4:$BE$1000,$B14)&amp;"")</f>
        <v>LIVE</v>
      </c>
      <c r="Q14" s="7" t="str">
        <f aca="false">IF($B14="","",INDEX(MASTER_DATABASE!$AV$4:$AV$1000,$B14)&amp;"")</f>
        <v>To Verify</v>
      </c>
    </row>
    <row r="15" customFormat="false" ht="15" hidden="false" customHeight="false" outlineLevel="0" collapsed="false">
      <c r="A15" s="11" t="n">
        <v>12</v>
      </c>
      <c r="B15" s="11" t="n">
        <f aca="false">IFERROR(MATCH("Mobile Store|"&amp;$A15,MASTER_DATABASE!$BH$4:$BH$1000,0),"")</f>
        <v>167</v>
      </c>
      <c r="C15" s="11" t="str">
        <f aca="false">IF($B15="","",INDEX(MASTER_DATABASE!$A$4:$A$1000,$B15)&amp;"")</f>
        <v>MOB-012</v>
      </c>
      <c r="D15" s="7" t="str">
        <f aca="false">IF($B15="","",INDEX(MASTER_DATABASE!$D$4:$D$1000,$B15)&amp;"")</f>
        <v>Storage Devices</v>
      </c>
      <c r="E15" s="7" t="str">
        <f aca="false">IF($B15="","",INDEX(MASTER_DATABASE!$E$4:$E$1000,$B15)&amp;"")</f>
        <v>Memory Card</v>
      </c>
      <c r="F15" s="7" t="str">
        <f aca="false">IF($B15="","",INDEX(MASTER_DATABASE!$F$4:$F$1000,$B15)&amp;"")</f>
        <v>मेमोरी कार्ड</v>
      </c>
      <c r="G15" s="11" t="str">
        <f aca="false">IF($B15="","",INDEX(MASTER_DATABASE!$I$4:$I$1000,$B15)&amp;"")</f>
        <v>Available</v>
      </c>
      <c r="H15" s="7" t="str">
        <f aca="false">IF($B15="","",INDEX(MASTER_DATABASE!$L$4:$L$1000,$B15)&amp;"")</f>
        <v>Not Applicable</v>
      </c>
      <c r="I15" s="9" t="str">
        <f aca="false">IF($B15="","",INDEX(MASTER_DATABASE!$R$4:$R$1000,$B15))</f>
        <v>N/A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Variable</v>
      </c>
      <c r="M15" s="7" t="str">
        <f aca="false">IF($B15="","",INDEX(MASTER_DATABASE!$Q$4:$Q$1000,$B15)&amp;"")</f>
        <v>5–10 Minutes</v>
      </c>
      <c r="N15" s="7" t="str">
        <f aca="false">IF($B15="","",INDEX(MASTER_DATABASE!$AG$4:$AG$1000,$B15)&amp;"")</f>
        <v>Active</v>
      </c>
      <c r="O15" s="11" t="str">
        <f aca="false">IF($B15="","",INDEX(MASTER_DATABASE!$AH$4:$AH$1000,$B15)&amp;"")</f>
        <v>Yes</v>
      </c>
      <c r="P15" s="11" t="str">
        <f aca="false">IF($B15="","",INDEX(MASTER_DATABASE!$BE$4:$BE$1000,$B15)&amp;"")</f>
        <v>LIVE</v>
      </c>
      <c r="Q15" s="7" t="str">
        <f aca="false">IF($B15="","",INDEX(MASTER_DATABASE!$AV$4:$AV$1000,$B15)&amp;"")</f>
        <v>To Verify</v>
      </c>
    </row>
    <row r="16" customFormat="false" ht="15" hidden="false" customHeight="false" outlineLevel="0" collapsed="false">
      <c r="A16" s="11" t="n">
        <v>13</v>
      </c>
      <c r="B16" s="11" t="n">
        <f aca="false">IFERROR(MATCH("Mobile Store|"&amp;$A16,MASTER_DATABASE!$BH$4:$BH$1000,0),"")</f>
        <v>168</v>
      </c>
      <c r="C16" s="11" t="str">
        <f aca="false">IF($B16="","",INDEX(MASTER_DATABASE!$A$4:$A$1000,$B16)&amp;"")</f>
        <v>MOB-013</v>
      </c>
      <c r="D16" s="7" t="str">
        <f aca="false">IF($B16="","",INDEX(MASTER_DATABASE!$D$4:$D$1000,$B16)&amp;"")</f>
        <v>Storage Devices</v>
      </c>
      <c r="E16" s="7" t="str">
        <f aca="false">IF($B16="","",INDEX(MASTER_DATABASE!$E$4:$E$1000,$B16)&amp;"")</f>
        <v>Pendrive</v>
      </c>
      <c r="F16" s="7" t="str">
        <f aca="false">IF($B16="","",INDEX(MASTER_DATABASE!$F$4:$F$1000,$B16)&amp;"")</f>
        <v>पेनड्राइव</v>
      </c>
      <c r="G16" s="11" t="str">
        <f aca="false">IF($B16="","",INDEX(MASTER_DATABASE!$I$4:$I$1000,$B16)&amp;"")</f>
        <v>Available</v>
      </c>
      <c r="H16" s="7" t="str">
        <f aca="false">IF($B16="","",INDEX(MASTER_DATABASE!$L$4:$L$1000,$B16)&amp;"")</f>
        <v>Not Applicable</v>
      </c>
      <c r="I16" s="9" t="str">
        <f aca="false">IF($B16="","",INDEX(MASTER_DATABASE!$R$4:$R$1000,$B16))</f>
        <v>N/A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Variable</v>
      </c>
      <c r="M16" s="7" t="str">
        <f aca="false">IF($B16="","",INDEX(MASTER_DATABASE!$Q$4:$Q$1000,$B16)&amp;"")</f>
        <v>5–10 Minutes</v>
      </c>
      <c r="N16" s="7" t="str">
        <f aca="false">IF($B16="","",INDEX(MASTER_DATABASE!$AG$4:$AG$1000,$B16)&amp;"")</f>
        <v>Active</v>
      </c>
      <c r="O16" s="11" t="str">
        <f aca="false">IF($B16="","",INDEX(MASTER_DATABASE!$AH$4:$AH$1000,$B16)&amp;"")</f>
        <v>Yes</v>
      </c>
      <c r="P16" s="11" t="str">
        <f aca="false">IF($B16="","",INDEX(MASTER_DATABASE!$BE$4:$BE$1000,$B16)&amp;"")</f>
        <v>LIVE</v>
      </c>
      <c r="Q16" s="7" t="str">
        <f aca="false">IF($B16="","",INDEX(MASTER_DATABASE!$AV$4:$AV$1000,$B16)&amp;"")</f>
        <v>To Verify</v>
      </c>
    </row>
    <row r="17" customFormat="false" ht="23.85" hidden="false" customHeight="false" outlineLevel="0" collapsed="false">
      <c r="A17" s="11" t="n">
        <v>14</v>
      </c>
      <c r="B17" s="11" t="n">
        <f aca="false">IFERROR(MATCH("Mobile Store|"&amp;$A17,MASTER_DATABASE!$BH$4:$BH$1000,0),"")</f>
        <v>169</v>
      </c>
      <c r="C17" s="11" t="str">
        <f aca="false">IF($B17="","",INDEX(MASTER_DATABASE!$A$4:$A$1000,$B17)&amp;"")</f>
        <v>MOB-014</v>
      </c>
      <c r="D17" s="7" t="str">
        <f aca="false">IF($B17="","",INDEX(MASTER_DATABASE!$D$4:$D$1000,$B17)&amp;"")</f>
        <v>SIM Services</v>
      </c>
      <c r="E17" s="7" t="str">
        <f aca="false">IF($B17="","",INDEX(MASTER_DATABASE!$E$4:$E$1000,$B17)&amp;"")</f>
        <v>New SIM Card Sale / Activation</v>
      </c>
      <c r="F17" s="7" t="str">
        <f aca="false">IF($B17="","",INDEX(MASTER_DATABASE!$F$4:$F$1000,$B17)&amp;"")</f>
        <v>नया सिम कार्ड बिक्री / एक्टिवेशन</v>
      </c>
      <c r="G17" s="11" t="str">
        <f aca="false">IF($B17="","",INDEX(MASTER_DATABASE!$I$4:$I$1000,$B17)&amp;"")</f>
        <v>Authorization Required</v>
      </c>
      <c r="H17" s="7" t="str">
        <f aca="false">IF($B17="","",INDEX(MASTER_DATABASE!$L$4:$L$1000,$B17)&amp;"")</f>
        <v>To Verify</v>
      </c>
      <c r="I17" s="9" t="str">
        <f aca="false">IF($B17="","",INDEX(MASTER_DATABASE!$R$4:$R$1000,$B17))</f>
        <v>To Verify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To Verify</v>
      </c>
      <c r="M17" s="7" t="str">
        <f aca="false">IF($B17="","",INDEX(MASTER_DATABASE!$Q$4:$Q$1000,$B17)&amp;"")</f>
        <v>Depends on Department</v>
      </c>
      <c r="N17" s="7" t="str">
        <f aca="false">IF($B17="","",INDEX(MASTER_DATABASE!$AG$4:$AG$1000,$B17)&amp;"")</f>
        <v>To Verify</v>
      </c>
      <c r="O17" s="11" t="str">
        <f aca="false">IF($B17="","",INDEX(MASTER_DATABASE!$AH$4:$AH$1000,$B17)&amp;"")</f>
        <v>No</v>
      </c>
      <c r="P17" s="11" t="str">
        <f aca="false">IF($B17="","",INDEX(MASTER_DATABASE!$BE$4:$BE$1000,$B17)&amp;"")</f>
        <v>HIDDEN</v>
      </c>
      <c r="Q17" s="7" t="str">
        <f aca="false">IF($B17="","",INDEX(MASTER_DATABASE!$AV$4:$AV$1000,$B17)&amp;"")</f>
        <v>To Verify</v>
      </c>
    </row>
    <row r="18" customFormat="false" ht="23.85" hidden="false" customHeight="false" outlineLevel="0" collapsed="false">
      <c r="A18" s="11" t="n">
        <v>15</v>
      </c>
      <c r="B18" s="11" t="n">
        <f aca="false">IFERROR(MATCH("Mobile Store|"&amp;$A18,MASTER_DATABASE!$BH$4:$BH$1000,0),"")</f>
        <v>170</v>
      </c>
      <c r="C18" s="11" t="str">
        <f aca="false">IF($B18="","",INDEX(MASTER_DATABASE!$A$4:$A$1000,$B18)&amp;"")</f>
        <v>MOB-015</v>
      </c>
      <c r="D18" s="7" t="str">
        <f aca="false">IF($B18="","",INDEX(MASTER_DATABASE!$D$4:$D$1000,$B18)&amp;"")</f>
        <v>SIM Services</v>
      </c>
      <c r="E18" s="7" t="str">
        <f aca="false">IF($B18="","",INDEX(MASTER_DATABASE!$E$4:$E$1000,$B18)&amp;"")</f>
        <v>SIM Replacement (Lost / Damaged SIM)</v>
      </c>
      <c r="F18" s="7" t="str">
        <f aca="false">IF($B18="","",INDEX(MASTER_DATABASE!$F$4:$F$1000,$B18)&amp;"")</f>
        <v>सिम रिप्लेसमेंट (खोया / खराब सिम)</v>
      </c>
      <c r="G18" s="11" t="str">
        <f aca="false">IF($B18="","",INDEX(MASTER_DATABASE!$I$4:$I$1000,$B18)&amp;"")</f>
        <v>Authorization Required</v>
      </c>
      <c r="H18" s="7" t="str">
        <f aca="false">IF($B18="","",INDEX(MASTER_DATABASE!$L$4:$L$1000,$B18)&amp;"")</f>
        <v>To Verify</v>
      </c>
      <c r="I18" s="9" t="str">
        <f aca="false">IF($B18="","",INDEX(MASTER_DATABASE!$R$4:$R$1000,$B18))</f>
        <v>To Verify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To Verify</v>
      </c>
      <c r="M18" s="7" t="str">
        <f aca="false">IF($B18="","",INDEX(MASTER_DATABASE!$Q$4:$Q$1000,$B18)&amp;"")</f>
        <v>Depends on Department</v>
      </c>
      <c r="N18" s="7" t="str">
        <f aca="false">IF($B18="","",INDEX(MASTER_DATABASE!$AG$4:$AG$1000,$B18)&amp;"")</f>
        <v>To Verify</v>
      </c>
      <c r="O18" s="11" t="str">
        <f aca="false">IF($B18="","",INDEX(MASTER_DATABASE!$AH$4:$AH$1000,$B18)&amp;"")</f>
        <v>No</v>
      </c>
      <c r="P18" s="11" t="str">
        <f aca="false">IF($B18="","",INDEX(MASTER_DATABASE!$BE$4:$BE$1000,$B18)&amp;"")</f>
        <v>HIDDEN</v>
      </c>
      <c r="Q18" s="7" t="str">
        <f aca="false">IF($B18="","",INDEX(MASTER_DATABASE!$AV$4:$AV$1000,$B18)&amp;"")</f>
        <v>To Verify</v>
      </c>
    </row>
    <row r="19" customFormat="false" ht="23.85" hidden="false" customHeight="false" outlineLevel="0" collapsed="false">
      <c r="A19" s="11" t="n">
        <v>16</v>
      </c>
      <c r="B19" s="11" t="n">
        <f aca="false">IFERROR(MATCH("Mobile Store|"&amp;$A19,MASTER_DATABASE!$BH$4:$BH$1000,0),"")</f>
        <v>171</v>
      </c>
      <c r="C19" s="11" t="str">
        <f aca="false">IF($B19="","",INDEX(MASTER_DATABASE!$A$4:$A$1000,$B19)&amp;"")</f>
        <v>MOB-016</v>
      </c>
      <c r="D19" s="7" t="str">
        <f aca="false">IF($B19="","",INDEX(MASTER_DATABASE!$D$4:$D$1000,$B19)&amp;"")</f>
        <v>SIM Services</v>
      </c>
      <c r="E19" s="7" t="str">
        <f aca="false">IF($B19="","",INDEX(MASTER_DATABASE!$E$4:$E$1000,$B19)&amp;"")</f>
        <v>Mobile Number Portability (MNP) Assistance</v>
      </c>
      <c r="F19" s="7" t="str">
        <f aca="false">IF($B19="","",INDEX(MASTER_DATABASE!$F$4:$F$1000,$B19)&amp;"")</f>
        <v>मोबाइल नंबर पोर्टेबिलिटी (MNP) सहायता</v>
      </c>
      <c r="G19" s="11" t="str">
        <f aca="false">IF($B19="","",INDEX(MASTER_DATABASE!$I$4:$I$1000,$B19)&amp;"")</f>
        <v>Authorization Required</v>
      </c>
      <c r="H19" s="7" t="str">
        <f aca="false">IF($B19="","",INDEX(MASTER_DATABASE!$L$4:$L$1000,$B19)&amp;"")</f>
        <v>To Verify</v>
      </c>
      <c r="I19" s="9" t="str">
        <f aca="false">IF($B19="","",INDEX(MASTER_DATABASE!$R$4:$R$1000,$B19))</f>
        <v>To Verify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To Verify</v>
      </c>
      <c r="M19" s="7" t="str">
        <f aca="false">IF($B19="","",INDEX(MASTER_DATABASE!$Q$4:$Q$1000,$B19)&amp;"")</f>
        <v>Depends on Department</v>
      </c>
      <c r="N19" s="7" t="str">
        <f aca="false">IF($B19="","",INDEX(MASTER_DATABASE!$AG$4:$AG$1000,$B19)&amp;"")</f>
        <v>To Verify</v>
      </c>
      <c r="O19" s="11" t="str">
        <f aca="false">IF($B19="","",INDEX(MASTER_DATABASE!$AH$4:$AH$1000,$B19)&amp;"")</f>
        <v>No</v>
      </c>
      <c r="P19" s="11" t="str">
        <f aca="false">IF($B19="","",INDEX(MASTER_DATABASE!$BE$4:$BE$1000,$B19)&amp;"")</f>
        <v>HIDDEN</v>
      </c>
      <c r="Q19" s="7" t="str">
        <f aca="false">IF($B19="","",INDEX(MASTER_DATABASE!$AV$4:$AV$1000,$B19)&amp;"")</f>
        <v>To Verify</v>
      </c>
    </row>
    <row r="20" customFormat="false" ht="23.85" hidden="false" customHeight="false" outlineLevel="0" collapsed="false">
      <c r="A20" s="11" t="n">
        <v>17</v>
      </c>
      <c r="B20" s="11" t="n">
        <f aca="false">IFERROR(MATCH("Mobile Store|"&amp;$A20,MASTER_DATABASE!$BH$4:$BH$1000,0),"")</f>
        <v>172</v>
      </c>
      <c r="C20" s="11" t="str">
        <f aca="false">IF($B20="","",INDEX(MASTER_DATABASE!$A$4:$A$1000,$B20)&amp;"")</f>
        <v>MOB-017</v>
      </c>
      <c r="D20" s="7" t="str">
        <f aca="false">IF($B20="","",INDEX(MASTER_DATABASE!$D$4:$D$1000,$B20)&amp;"")</f>
        <v>SIM Services</v>
      </c>
      <c r="E20" s="7" t="str">
        <f aca="false">IF($B20="","",INDEX(MASTER_DATABASE!$E$4:$E$1000,$B20)&amp;"")</f>
        <v>SIM KYC / Re-verification Assistance</v>
      </c>
      <c r="F20" s="7" t="str">
        <f aca="false">IF($B20="","",INDEX(MASTER_DATABASE!$F$4:$F$1000,$B20)&amp;"")</f>
        <v>सिम KYC / पुनः सत्यापन सहायता</v>
      </c>
      <c r="G20" s="11" t="str">
        <f aca="false">IF($B20="","",INDEX(MASTER_DATABASE!$I$4:$I$1000,$B20)&amp;"")</f>
        <v>Authorization Required</v>
      </c>
      <c r="H20" s="7" t="str">
        <f aca="false">IF($B20="","",INDEX(MASTER_DATABASE!$L$4:$L$1000,$B20)&amp;"")</f>
        <v>To Verify</v>
      </c>
      <c r="I20" s="9" t="str">
        <f aca="false">IF($B20="","",INDEX(MASTER_DATABASE!$R$4:$R$1000,$B20))</f>
        <v>To Verify</v>
      </c>
      <c r="J20" s="9" t="str">
        <f aca="false">IF($B20="","",INDEX(MASTER_DATABASE!$S$4:$S$1000,$B20))</f>
        <v>To Verify</v>
      </c>
      <c r="K20" s="9" t="str">
        <f aca="false">IF($B20="","",INDEX(MASTER_DATABASE!$T$4:$T$1000,$B20))</f>
        <v>To Verify</v>
      </c>
      <c r="L20" s="7" t="str">
        <f aca="false">IF($B20="","",INDEX(MASTER_DATABASE!$U$4:$U$1000,$B20)&amp;"")</f>
        <v>To Verify</v>
      </c>
      <c r="M20" s="7" t="str">
        <f aca="false">IF($B20="","",INDEX(MASTER_DATABASE!$Q$4:$Q$1000,$B20)&amp;"")</f>
        <v>Depends on Department</v>
      </c>
      <c r="N20" s="7" t="str">
        <f aca="false">IF($B20="","",INDEX(MASTER_DATABASE!$AG$4:$AG$1000,$B20)&amp;"")</f>
        <v>To Verify</v>
      </c>
      <c r="O20" s="11" t="str">
        <f aca="false">IF($B20="","",INDEX(MASTER_DATABASE!$AH$4:$AH$1000,$B20)&amp;"")</f>
        <v>No</v>
      </c>
      <c r="P20" s="11" t="str">
        <f aca="false">IF($B20="","",INDEX(MASTER_DATABASE!$BE$4:$BE$1000,$B20)&amp;"")</f>
        <v>HIDDEN</v>
      </c>
      <c r="Q20" s="7" t="str">
        <f aca="false">IF($B20="","",INDEX(MASTER_DATABASE!$AV$4:$AV$1000,$B20)&amp;"")</f>
        <v>To Verify</v>
      </c>
    </row>
    <row r="21" customFormat="false" ht="15" hidden="false" customHeight="false" outlineLevel="0" collapsed="false">
      <c r="A21" s="11" t="n">
        <v>18</v>
      </c>
      <c r="B21" s="11" t="n">
        <f aca="false">IFERROR(MATCH("Mobile Store|"&amp;$A21,MASTER_DATABASE!$BH$4:$BH$1000,0),"")</f>
        <v>173</v>
      </c>
      <c r="C21" s="11" t="str">
        <f aca="false">IF($B21="","",INDEX(MASTER_DATABASE!$A$4:$A$1000,$B21)&amp;"")</f>
        <v>MOB-018</v>
      </c>
      <c r="D21" s="7" t="str">
        <f aca="false">IF($B21="","",INDEX(MASTER_DATABASE!$D$4:$D$1000,$B21)&amp;"")</f>
        <v>Setup &amp; Support</v>
      </c>
      <c r="E21" s="7" t="str">
        <f aca="false">IF($B21="","",INDEX(MASTER_DATABASE!$E$4:$E$1000,$B21)&amp;"")</f>
        <v>Basic Mobile Setup (New Phone)</v>
      </c>
      <c r="F21" s="7" t="str">
        <f aca="false">IF($B21="","",INDEX(MASTER_DATABASE!$F$4:$F$1000,$B21)&amp;"")</f>
        <v>बेसिक मोबाइल सेटअप (नया फोन)</v>
      </c>
      <c r="G21" s="11" t="str">
        <f aca="false">IF($B21="","",INDEX(MASTER_DATABASE!$I$4:$I$1000,$B21)&amp;"")</f>
        <v>Available</v>
      </c>
      <c r="H21" s="7" t="str">
        <f aca="false">IF($B21="","",INDEX(MASTER_DATABASE!$L$4:$L$1000,$B21)&amp;"")</f>
        <v>Not Applicable</v>
      </c>
      <c r="I21" s="9" t="str">
        <f aca="false">IF($B21="","",INDEX(MASTER_DATABASE!$R$4:$R$1000,$B21))</f>
        <v>N/A</v>
      </c>
      <c r="J21" s="9" t="str">
        <f aca="false">IF($B21="","",INDEX(MASTER_DATABASE!$S$4:$S$1000,$B21))</f>
        <v>To Verify</v>
      </c>
      <c r="K21" s="9" t="str">
        <f aca="false">IF($B21="","",INDEX(MASTER_DATABASE!$T$4:$T$1000,$B21))</f>
        <v>To Verify</v>
      </c>
      <c r="L21" s="7" t="str">
        <f aca="false">IF($B21="","",INDEX(MASTER_DATABASE!$U$4:$U$1000,$B21)&amp;"")</f>
        <v>Shop Charge Only</v>
      </c>
      <c r="M21" s="7" t="str">
        <f aca="false">IF($B21="","",INDEX(MASTER_DATABASE!$Q$4:$Q$1000,$B21)&amp;"")</f>
        <v>15–30 Minutes</v>
      </c>
      <c r="N21" s="7" t="str">
        <f aca="false">IF($B21="","",INDEX(MASTER_DATABASE!$AG$4:$AG$1000,$B21)&amp;"")</f>
        <v>Active</v>
      </c>
      <c r="O21" s="11" t="str">
        <f aca="false">IF($B21="","",INDEX(MASTER_DATABASE!$AH$4:$AH$1000,$B21)&amp;"")</f>
        <v>Yes</v>
      </c>
      <c r="P21" s="11" t="str">
        <f aca="false">IF($B21="","",INDEX(MASTER_DATABASE!$BE$4:$BE$1000,$B21)&amp;"")</f>
        <v>LIVE</v>
      </c>
      <c r="Q21" s="7" t="str">
        <f aca="false">IF($B21="","",INDEX(MASTER_DATABASE!$AV$4:$AV$1000,$B21)&amp;"")</f>
        <v>To Verify</v>
      </c>
    </row>
    <row r="22" customFormat="false" ht="15" hidden="false" customHeight="false" outlineLevel="0" collapsed="false">
      <c r="A22" s="11" t="n">
        <v>19</v>
      </c>
      <c r="B22" s="11" t="n">
        <f aca="false">IFERROR(MATCH("Mobile Store|"&amp;$A22,MASTER_DATABASE!$BH$4:$BH$1000,0),"")</f>
        <v>174</v>
      </c>
      <c r="C22" s="11" t="str">
        <f aca="false">IF($B22="","",INDEX(MASTER_DATABASE!$A$4:$A$1000,$B22)&amp;"")</f>
        <v>MOB-019</v>
      </c>
      <c r="D22" s="7" t="str">
        <f aca="false">IF($B22="","",INDEX(MASTER_DATABASE!$D$4:$D$1000,$B22)&amp;"")</f>
        <v>Setup &amp; Support</v>
      </c>
      <c r="E22" s="7" t="str">
        <f aca="false">IF($B22="","",INDEX(MASTER_DATABASE!$E$4:$E$1000,$B22)&amp;"")</f>
        <v>App Installation / Setup</v>
      </c>
      <c r="F22" s="7" t="str">
        <f aca="false">IF($B22="","",INDEX(MASTER_DATABASE!$F$4:$F$1000,$B22)&amp;"")</f>
        <v>ऐप इंस्टॉलेशन / सेटअप</v>
      </c>
      <c r="G22" s="11" t="str">
        <f aca="false">IF($B22="","",INDEX(MASTER_DATABASE!$I$4:$I$1000,$B22)&amp;"")</f>
        <v>Available</v>
      </c>
      <c r="H22" s="7" t="str">
        <f aca="false">IF($B22="","",INDEX(MASTER_DATABASE!$L$4:$L$1000,$B22)&amp;"")</f>
        <v>Not Applicable</v>
      </c>
      <c r="I22" s="9" t="str">
        <f aca="false">IF($B22="","",INDEX(MASTER_DATABASE!$R$4:$R$1000,$B22))</f>
        <v>N/A</v>
      </c>
      <c r="J22" s="9" t="str">
        <f aca="false">IF($B22="","",INDEX(MASTER_DATABASE!$S$4:$S$1000,$B22))</f>
        <v>To Verify</v>
      </c>
      <c r="K22" s="9" t="str">
        <f aca="false">IF($B22="","",INDEX(MASTER_DATABASE!$T$4:$T$1000,$B22))</f>
        <v>To Verify</v>
      </c>
      <c r="L22" s="7" t="str">
        <f aca="false">IF($B22="","",INDEX(MASTER_DATABASE!$U$4:$U$1000,$B22)&amp;"")</f>
        <v>Shop Charge Only</v>
      </c>
      <c r="M22" s="7" t="str">
        <f aca="false">IF($B22="","",INDEX(MASTER_DATABASE!$Q$4:$Q$1000,$B22)&amp;"")</f>
        <v>15–30 Minutes</v>
      </c>
      <c r="N22" s="7" t="str">
        <f aca="false">IF($B22="","",INDEX(MASTER_DATABASE!$AG$4:$AG$1000,$B22)&amp;"")</f>
        <v>Active</v>
      </c>
      <c r="O22" s="11" t="str">
        <f aca="false">IF($B22="","",INDEX(MASTER_DATABASE!$AH$4:$AH$1000,$B22)&amp;"")</f>
        <v>Yes</v>
      </c>
      <c r="P22" s="11" t="str">
        <f aca="false">IF($B22="","",INDEX(MASTER_DATABASE!$BE$4:$BE$1000,$B22)&amp;"")</f>
        <v>LIVE</v>
      </c>
      <c r="Q22" s="7" t="str">
        <f aca="false">IF($B22="","",INDEX(MASTER_DATABASE!$AV$4:$AV$1000,$B22)&amp;"")</f>
        <v>To Verify</v>
      </c>
    </row>
    <row r="23" customFormat="false" ht="15" hidden="false" customHeight="false" outlineLevel="0" collapsed="false">
      <c r="A23" s="11" t="n">
        <v>20</v>
      </c>
      <c r="B23" s="11" t="n">
        <f aca="false">IFERROR(MATCH("Mobile Store|"&amp;$A23,MASTER_DATABASE!$BH$4:$BH$1000,0),"")</f>
        <v>175</v>
      </c>
      <c r="C23" s="11" t="str">
        <f aca="false">IF($B23="","",INDEX(MASTER_DATABASE!$A$4:$A$1000,$B23)&amp;"")</f>
        <v>MOB-020</v>
      </c>
      <c r="D23" s="7" t="str">
        <f aca="false">IF($B23="","",INDEX(MASTER_DATABASE!$D$4:$D$1000,$B23)&amp;"")</f>
        <v>Setup &amp; Support</v>
      </c>
      <c r="E23" s="7" t="str">
        <f aca="false">IF($B23="","",INDEX(MASTER_DATABASE!$E$4:$E$1000,$B23)&amp;"")</f>
        <v>Data Transfer Assistance</v>
      </c>
      <c r="F23" s="7" t="str">
        <f aca="false">IF($B23="","",INDEX(MASTER_DATABASE!$F$4:$F$1000,$B23)&amp;"")</f>
        <v>डेटा ट्रांसफर सहायता</v>
      </c>
      <c r="G23" s="11" t="str">
        <f aca="false">IF($B23="","",INDEX(MASTER_DATABASE!$I$4:$I$1000,$B23)&amp;"")</f>
        <v>Available</v>
      </c>
      <c r="H23" s="7" t="str">
        <f aca="false">IF($B23="","",INDEX(MASTER_DATABASE!$L$4:$L$1000,$B23)&amp;"")</f>
        <v>Not Applicable</v>
      </c>
      <c r="I23" s="9" t="str">
        <f aca="false">IF($B23="","",INDEX(MASTER_DATABASE!$R$4:$R$1000,$B23))</f>
        <v>N/A</v>
      </c>
      <c r="J23" s="9" t="str">
        <f aca="false">IF($B23="","",INDEX(MASTER_DATABASE!$S$4:$S$1000,$B23))</f>
        <v>To Verify</v>
      </c>
      <c r="K23" s="9" t="str">
        <f aca="false">IF($B23="","",INDEX(MASTER_DATABASE!$T$4:$T$1000,$B23))</f>
        <v>To Verify</v>
      </c>
      <c r="L23" s="7" t="str">
        <f aca="false">IF($B23="","",INDEX(MASTER_DATABASE!$U$4:$U$1000,$B23)&amp;"")</f>
        <v>Shop Charge Only</v>
      </c>
      <c r="M23" s="7" t="str">
        <f aca="false">IF($B23="","",INDEX(MASTER_DATABASE!$Q$4:$Q$1000,$B23)&amp;"")</f>
        <v>15–30 Minutes</v>
      </c>
      <c r="N23" s="7" t="str">
        <f aca="false">IF($B23="","",INDEX(MASTER_DATABASE!$AG$4:$AG$1000,$B23)&amp;"")</f>
        <v>Active</v>
      </c>
      <c r="O23" s="11" t="str">
        <f aca="false">IF($B23="","",INDEX(MASTER_DATABASE!$AH$4:$AH$1000,$B23)&amp;"")</f>
        <v>Yes</v>
      </c>
      <c r="P23" s="11" t="str">
        <f aca="false">IF($B23="","",INDEX(MASTER_DATABASE!$BE$4:$BE$1000,$B23)&amp;"")</f>
        <v>LIVE</v>
      </c>
      <c r="Q23" s="7" t="str">
        <f aca="false">IF($B23="","",INDEX(MASTER_DATABASE!$AV$4:$AV$1000,$B23)&amp;"")</f>
        <v>To Verify</v>
      </c>
    </row>
    <row r="24" customFormat="false" ht="15" hidden="false" customHeight="false" outlineLevel="0" collapsed="false">
      <c r="A24" s="11" t="n">
        <v>21</v>
      </c>
      <c r="B24" s="11" t="n">
        <f aca="false">IFERROR(MATCH("Mobile Store|"&amp;$A24,MASTER_DATABASE!$BH$4:$BH$1000,0),"")</f>
        <v>176</v>
      </c>
      <c r="C24" s="11" t="str">
        <f aca="false">IF($B24="","",INDEX(MASTER_DATABASE!$A$4:$A$1000,$B24)&amp;"")</f>
        <v>MOB-021</v>
      </c>
      <c r="D24" s="7" t="str">
        <f aca="false">IF($B24="","",INDEX(MASTER_DATABASE!$D$4:$D$1000,$B24)&amp;"")</f>
        <v>Setup &amp; Support</v>
      </c>
      <c r="E24" s="7" t="str">
        <f aca="false">IF($B24="","",INDEX(MASTER_DATABASE!$E$4:$E$1000,$B24)&amp;"")</f>
        <v>Mobile Software Update / Reset Assistance</v>
      </c>
      <c r="F24" s="7" t="str">
        <f aca="false">IF($B24="","",INDEX(MASTER_DATABASE!$F$4:$F$1000,$B24)&amp;"")</f>
        <v>मोबाइल सॉफ्टवेयर अपडेट / रीसेट सहायता</v>
      </c>
      <c r="G24" s="11" t="str">
        <f aca="false">IF($B24="","",INDEX(MASTER_DATABASE!$I$4:$I$1000,$B24)&amp;"")</f>
        <v>To Verify</v>
      </c>
      <c r="H24" s="7" t="str">
        <f aca="false">IF($B24="","",INDEX(MASTER_DATABASE!$L$4:$L$1000,$B24)&amp;"")</f>
        <v>To Verify</v>
      </c>
      <c r="I24" s="9" t="str">
        <f aca="false">IF($B24="","",INDEX(MASTER_DATABASE!$R$4:$R$1000,$B24))</f>
        <v>N/A</v>
      </c>
      <c r="J24" s="9" t="str">
        <f aca="false">IF($B24="","",INDEX(MASTER_DATABASE!$S$4:$S$1000,$B24))</f>
        <v>To Verify</v>
      </c>
      <c r="K24" s="9" t="str">
        <f aca="false">IF($B24="","",INDEX(MASTER_DATABASE!$T$4:$T$1000,$B24))</f>
        <v>To Verify</v>
      </c>
      <c r="L24" s="7" t="str">
        <f aca="false">IF($B24="","",INDEX(MASTER_DATABASE!$U$4:$U$1000,$B24)&amp;"")</f>
        <v>Shop Charge Only</v>
      </c>
      <c r="M24" s="7" t="str">
        <f aca="false">IF($B24="","",INDEX(MASTER_DATABASE!$Q$4:$Q$1000,$B24)&amp;"")</f>
        <v>15–30 Minutes</v>
      </c>
      <c r="N24" s="7" t="str">
        <f aca="false">IF($B24="","",INDEX(MASTER_DATABASE!$AG$4:$AG$1000,$B24)&amp;"")</f>
        <v>To Verify</v>
      </c>
      <c r="O24" s="11" t="str">
        <f aca="false">IF($B24="","",INDEX(MASTER_DATABASE!$AH$4:$AH$1000,$B24)&amp;"")</f>
        <v>No</v>
      </c>
      <c r="P24" s="11" t="str">
        <f aca="false">IF($B24="","",INDEX(MASTER_DATABASE!$BE$4:$BE$1000,$B24)&amp;"")</f>
        <v>HIDDEN</v>
      </c>
      <c r="Q24" s="7" t="str">
        <f aca="false">IF($B24="","",INDEX(MASTER_DATABASE!$AV$4:$AV$1000,$B24)&amp;"")</f>
        <v>To Verify</v>
      </c>
    </row>
    <row r="25" customFormat="false" ht="15" hidden="false" customHeight="false" outlineLevel="0" collapsed="false">
      <c r="A25" s="11" t="n">
        <v>22</v>
      </c>
      <c r="B25" s="11" t="n">
        <f aca="false">IFERROR(MATCH("Mobile Store|"&amp;$A25,MASTER_DATABASE!$BH$4:$BH$1000,0),"")</f>
        <v>177</v>
      </c>
      <c r="C25" s="11" t="str">
        <f aca="false">IF($B25="","",INDEX(MASTER_DATABASE!$A$4:$A$1000,$B25)&amp;"")</f>
        <v>MOB-022</v>
      </c>
      <c r="D25" s="7" t="str">
        <f aca="false">IF($B25="","",INDEX(MASTER_DATABASE!$D$4:$D$1000,$B25)&amp;"")</f>
        <v>Setup &amp; Support</v>
      </c>
      <c r="E25" s="7" t="str">
        <f aca="false">IF($B25="","",INDEX(MASTER_DATABASE!$E$4:$E$1000,$B25)&amp;"")</f>
        <v>Basic Mobile Repair (Screen / Battery)</v>
      </c>
      <c r="F25" s="7" t="str">
        <f aca="false">IF($B25="","",INDEX(MASTER_DATABASE!$F$4:$F$1000,$B25)&amp;"")</f>
        <v>बेसिक मोबाइल रिपेयर (स्क्रीन / बैटरी)</v>
      </c>
      <c r="G25" s="11" t="str">
        <f aca="false">IF($B25="","",INDEX(MASTER_DATABASE!$I$4:$I$1000,$B25)&amp;"")</f>
        <v>To Verify</v>
      </c>
      <c r="H25" s="7" t="str">
        <f aca="false">IF($B25="","",INDEX(MASTER_DATABASE!$L$4:$L$1000,$B25)&amp;"")</f>
        <v>To Verify</v>
      </c>
      <c r="I25" s="9" t="str">
        <f aca="false">IF($B25="","",INDEX(MASTER_DATABASE!$R$4:$R$1000,$B25))</f>
        <v>N/A</v>
      </c>
      <c r="J25" s="9" t="str">
        <f aca="false">IF($B25="","",INDEX(MASTER_DATABASE!$S$4:$S$1000,$B25))</f>
        <v>To Verify</v>
      </c>
      <c r="K25" s="9" t="str">
        <f aca="false">IF($B25="","",INDEX(MASTER_DATABASE!$T$4:$T$1000,$B25))</f>
        <v>To Verify</v>
      </c>
      <c r="L25" s="7" t="str">
        <f aca="false">IF($B25="","",INDEX(MASTER_DATABASE!$U$4:$U$1000,$B25)&amp;"")</f>
        <v>Shop Charge Only</v>
      </c>
      <c r="M25" s="7" t="str">
        <f aca="false">IF($B25="","",INDEX(MASTER_DATABASE!$Q$4:$Q$1000,$B25)&amp;"")</f>
        <v>15–30 Minutes</v>
      </c>
      <c r="N25" s="7" t="str">
        <f aca="false">IF($B25="","",INDEX(MASTER_DATABASE!$AG$4:$AG$1000,$B25)&amp;"")</f>
        <v>To Verify</v>
      </c>
      <c r="O25" s="11" t="str">
        <f aca="false">IF($B25="","",INDEX(MASTER_DATABASE!$AH$4:$AH$1000,$B25)&amp;"")</f>
        <v>No</v>
      </c>
      <c r="P25" s="11" t="str">
        <f aca="false">IF($B25="","",INDEX(MASTER_DATABASE!$BE$4:$BE$1000,$B25)&amp;"")</f>
        <v>HIDDEN</v>
      </c>
      <c r="Q25" s="7" t="str">
        <f aca="false">IF($B25="","",INDEX(MASTER_DATABASE!$AV$4:$AV$1000,$B25)&amp;"")</f>
        <v>To Verify</v>
      </c>
    </row>
    <row r="26" customFormat="false" ht="15" hidden="false" customHeight="false" outlineLevel="0" collapsed="false">
      <c r="A26" s="11" t="n">
        <v>23</v>
      </c>
      <c r="B26" s="11" t="str">
        <f aca="false">IFERROR(MATCH("Mobile Store|"&amp;$A26,MASTER_DATABASE!$BH$4:$BH$1000,0),"")</f>
        <v/>
      </c>
      <c r="C26" s="11" t="str">
        <f aca="false">IF($B26="","",INDEX(MASTER_DATABASE!$A$4:$A$1000,$B26)&amp;"")</f>
        <v/>
      </c>
      <c r="D26" s="7" t="str">
        <f aca="false">IF($B26="","",INDEX(MASTER_DATABASE!$D$4:$D$1000,$B26)&amp;"")</f>
        <v/>
      </c>
      <c r="E26" s="7" t="str">
        <f aca="false">IF($B26="","",INDEX(MASTER_DATABASE!$E$4:$E$1000,$B26)&amp;"")</f>
        <v/>
      </c>
      <c r="F26" s="7" t="str">
        <f aca="false">IF($B26="","",INDEX(MASTER_DATABASE!$F$4:$F$1000,$B26)&amp;"")</f>
        <v/>
      </c>
      <c r="G26" s="11" t="str">
        <f aca="false">IF($B26="","",INDEX(MASTER_DATABASE!$I$4:$I$1000,$B26)&amp;"")</f>
        <v/>
      </c>
      <c r="H26" s="7" t="str">
        <f aca="false">IF($B26="","",INDEX(MASTER_DATABASE!$L$4:$L$1000,$B26)&amp;"")</f>
        <v/>
      </c>
      <c r="I26" s="9" t="str">
        <f aca="false">IF($B26="","",INDEX(MASTER_DATABASE!$R$4:$R$1000,$B26))</f>
        <v/>
      </c>
      <c r="J26" s="9" t="str">
        <f aca="false">IF($B26="","",INDEX(MASTER_DATABASE!$S$4:$S$1000,$B26))</f>
        <v/>
      </c>
      <c r="K26" s="9" t="str">
        <f aca="false">IF($B26="","",INDEX(MASTER_DATABASE!$T$4:$T$1000,$B26))</f>
        <v/>
      </c>
      <c r="L26" s="7" t="str">
        <f aca="false">IF($B26="","",INDEX(MASTER_DATABASE!$U$4:$U$1000,$B26)&amp;"")</f>
        <v/>
      </c>
      <c r="M26" s="7" t="str">
        <f aca="false">IF($B26="","",INDEX(MASTER_DATABASE!$Q$4:$Q$1000,$B26)&amp;"")</f>
        <v/>
      </c>
      <c r="N26" s="7" t="str">
        <f aca="false">IF($B26="","",INDEX(MASTER_DATABASE!$AG$4:$AG$1000,$B26)&amp;"")</f>
        <v/>
      </c>
      <c r="O26" s="11" t="str">
        <f aca="false">IF($B26="","",INDEX(MASTER_DATABASE!$AH$4:$AH$1000,$B26)&amp;"")</f>
        <v/>
      </c>
      <c r="P26" s="11" t="str">
        <f aca="false">IF($B26="","",INDEX(MASTER_DATABASE!$BE$4:$BE$1000,$B26)&amp;"")</f>
        <v/>
      </c>
      <c r="Q26" s="7" t="str">
        <f aca="false">IF($B26="","",INDEX(MASTER_DATABASE!$AV$4:$AV$1000,$B26)&amp;"")</f>
        <v/>
      </c>
    </row>
    <row r="27" customFormat="false" ht="15" hidden="false" customHeight="false" outlineLevel="0" collapsed="false">
      <c r="A27" s="11" t="n">
        <v>24</v>
      </c>
      <c r="B27" s="11" t="str">
        <f aca="false">IFERROR(MATCH("Mobile Store|"&amp;$A27,MASTER_DATABASE!$BH$4:$BH$1000,0),"")</f>
        <v/>
      </c>
      <c r="C27" s="11" t="str">
        <f aca="false">IF($B27="","",INDEX(MASTER_DATABASE!$A$4:$A$1000,$B27)&amp;"")</f>
        <v/>
      </c>
      <c r="D27" s="7" t="str">
        <f aca="false">IF($B27="","",INDEX(MASTER_DATABASE!$D$4:$D$1000,$B27)&amp;"")</f>
        <v/>
      </c>
      <c r="E27" s="7" t="str">
        <f aca="false">IF($B27="","",INDEX(MASTER_DATABASE!$E$4:$E$1000,$B27)&amp;"")</f>
        <v/>
      </c>
      <c r="F27" s="7" t="str">
        <f aca="false">IF($B27="","",INDEX(MASTER_DATABASE!$F$4:$F$1000,$B27)&amp;"")</f>
        <v/>
      </c>
      <c r="G27" s="11" t="str">
        <f aca="false">IF($B27="","",INDEX(MASTER_DATABASE!$I$4:$I$1000,$B27)&amp;"")</f>
        <v/>
      </c>
      <c r="H27" s="7" t="str">
        <f aca="false">IF($B27="","",INDEX(MASTER_DATABASE!$L$4:$L$1000,$B27)&amp;"")</f>
        <v/>
      </c>
      <c r="I27" s="9" t="str">
        <f aca="false">IF($B27="","",INDEX(MASTER_DATABASE!$R$4:$R$1000,$B27))</f>
        <v/>
      </c>
      <c r="J27" s="9" t="str">
        <f aca="false">IF($B27="","",INDEX(MASTER_DATABASE!$S$4:$S$1000,$B27))</f>
        <v/>
      </c>
      <c r="K27" s="9" t="str">
        <f aca="false">IF($B27="","",INDEX(MASTER_DATABASE!$T$4:$T$1000,$B27))</f>
        <v/>
      </c>
      <c r="L27" s="7" t="str">
        <f aca="false">IF($B27="","",INDEX(MASTER_DATABASE!$U$4:$U$1000,$B27)&amp;"")</f>
        <v/>
      </c>
      <c r="M27" s="7" t="str">
        <f aca="false">IF($B27="","",INDEX(MASTER_DATABASE!$Q$4:$Q$1000,$B27)&amp;"")</f>
        <v/>
      </c>
      <c r="N27" s="7" t="str">
        <f aca="false">IF($B27="","",INDEX(MASTER_DATABASE!$AG$4:$AG$1000,$B27)&amp;"")</f>
        <v/>
      </c>
      <c r="O27" s="11" t="str">
        <f aca="false">IF($B27="","",INDEX(MASTER_DATABASE!$AH$4:$AH$1000,$B27)&amp;"")</f>
        <v/>
      </c>
      <c r="P27" s="11" t="str">
        <f aca="false">IF($B27="","",INDEX(MASTER_DATABASE!$BE$4:$BE$1000,$B27)&amp;"")</f>
        <v/>
      </c>
      <c r="Q27" s="7" t="str">
        <f aca="false">IF($B27="","",INDEX(MASTER_DATABASE!$AV$4:$AV$1000,$B27)&amp;"")</f>
        <v/>
      </c>
    </row>
    <row r="28" customFormat="false" ht="15" hidden="false" customHeight="false" outlineLevel="0" collapsed="false">
      <c r="A28" s="11" t="n">
        <v>25</v>
      </c>
      <c r="B28" s="11" t="str">
        <f aca="false">IFERROR(MATCH("Mobile Store|"&amp;$A28,MASTER_DATABASE!$BH$4:$BH$1000,0),"")</f>
        <v/>
      </c>
      <c r="C28" s="11" t="str">
        <f aca="false">IF($B28="","",INDEX(MASTER_DATABASE!$A$4:$A$1000,$B28)&amp;"")</f>
        <v/>
      </c>
      <c r="D28" s="7" t="str">
        <f aca="false">IF($B28="","",INDEX(MASTER_DATABASE!$D$4:$D$1000,$B28)&amp;"")</f>
        <v/>
      </c>
      <c r="E28" s="7" t="str">
        <f aca="false">IF($B28="","",INDEX(MASTER_DATABASE!$E$4:$E$1000,$B28)&amp;"")</f>
        <v/>
      </c>
      <c r="F28" s="7" t="str">
        <f aca="false">IF($B28="","",INDEX(MASTER_DATABASE!$F$4:$F$1000,$B28)&amp;"")</f>
        <v/>
      </c>
      <c r="G28" s="11" t="str">
        <f aca="false">IF($B28="","",INDEX(MASTER_DATABASE!$I$4:$I$1000,$B28)&amp;"")</f>
        <v/>
      </c>
      <c r="H28" s="7" t="str">
        <f aca="false">IF($B28="","",INDEX(MASTER_DATABASE!$L$4:$L$1000,$B28)&amp;"")</f>
        <v/>
      </c>
      <c r="I28" s="9" t="str">
        <f aca="false">IF($B28="","",INDEX(MASTER_DATABASE!$R$4:$R$1000,$B28))</f>
        <v/>
      </c>
      <c r="J28" s="9" t="str">
        <f aca="false">IF($B28="","",INDEX(MASTER_DATABASE!$S$4:$S$1000,$B28))</f>
        <v/>
      </c>
      <c r="K28" s="9" t="str">
        <f aca="false">IF($B28="","",INDEX(MASTER_DATABASE!$T$4:$T$1000,$B28))</f>
        <v/>
      </c>
      <c r="L28" s="7" t="str">
        <f aca="false">IF($B28="","",INDEX(MASTER_DATABASE!$U$4:$U$1000,$B28)&amp;"")</f>
        <v/>
      </c>
      <c r="M28" s="7" t="str">
        <f aca="false">IF($B28="","",INDEX(MASTER_DATABASE!$Q$4:$Q$1000,$B28)&amp;"")</f>
        <v/>
      </c>
      <c r="N28" s="7" t="str">
        <f aca="false">IF($B28="","",INDEX(MASTER_DATABASE!$AG$4:$AG$1000,$B28)&amp;"")</f>
        <v/>
      </c>
      <c r="O28" s="11" t="str">
        <f aca="false">IF($B28="","",INDEX(MASTER_DATABASE!$AH$4:$AH$1000,$B28)&amp;"")</f>
        <v/>
      </c>
      <c r="P28" s="11" t="str">
        <f aca="false">IF($B28="","",INDEX(MASTER_DATABASE!$BE$4:$BE$1000,$B28)&amp;"")</f>
        <v/>
      </c>
      <c r="Q28" s="7" t="str">
        <f aca="false">IF($B28="","",INDEX(MASTER_DATABASE!$AV$4:$AV$1000,$B28)&amp;"")</f>
        <v/>
      </c>
    </row>
    <row r="29" customFormat="false" ht="15" hidden="false" customHeight="false" outlineLevel="0" collapsed="false">
      <c r="A29" s="11" t="n">
        <v>26</v>
      </c>
      <c r="B29" s="11" t="str">
        <f aca="false">IFERROR(MATCH("Mobile Store|"&amp;$A29,MASTER_DATABASE!$BH$4:$BH$1000,0),"")</f>
        <v/>
      </c>
      <c r="C29" s="11" t="str">
        <f aca="false">IF($B29="","",INDEX(MASTER_DATABASE!$A$4:$A$1000,$B29)&amp;"")</f>
        <v/>
      </c>
      <c r="D29" s="7" t="str">
        <f aca="false">IF($B29="","",INDEX(MASTER_DATABASE!$D$4:$D$1000,$B29)&amp;"")</f>
        <v/>
      </c>
      <c r="E29" s="7" t="str">
        <f aca="false">IF($B29="","",INDEX(MASTER_DATABASE!$E$4:$E$1000,$B29)&amp;"")</f>
        <v/>
      </c>
      <c r="F29" s="7" t="str">
        <f aca="false">IF($B29="","",INDEX(MASTER_DATABASE!$F$4:$F$1000,$B29)&amp;"")</f>
        <v/>
      </c>
      <c r="G29" s="11" t="str">
        <f aca="false">IF($B29="","",INDEX(MASTER_DATABASE!$I$4:$I$1000,$B29)&amp;"")</f>
        <v/>
      </c>
      <c r="H29" s="7" t="str">
        <f aca="false">IF($B29="","",INDEX(MASTER_DATABASE!$L$4:$L$1000,$B29)&amp;"")</f>
        <v/>
      </c>
      <c r="I29" s="9" t="str">
        <f aca="false">IF($B29="","",INDEX(MASTER_DATABASE!$R$4:$R$1000,$B29))</f>
        <v/>
      </c>
      <c r="J29" s="9" t="str">
        <f aca="false">IF($B29="","",INDEX(MASTER_DATABASE!$S$4:$S$1000,$B29))</f>
        <v/>
      </c>
      <c r="K29" s="9" t="str">
        <f aca="false">IF($B29="","",INDEX(MASTER_DATABASE!$T$4:$T$1000,$B29))</f>
        <v/>
      </c>
      <c r="L29" s="7" t="str">
        <f aca="false">IF($B29="","",INDEX(MASTER_DATABASE!$U$4:$U$1000,$B29)&amp;"")</f>
        <v/>
      </c>
      <c r="M29" s="7" t="str">
        <f aca="false">IF($B29="","",INDEX(MASTER_DATABASE!$Q$4:$Q$1000,$B29)&amp;"")</f>
        <v/>
      </c>
      <c r="N29" s="7" t="str">
        <f aca="false">IF($B29="","",INDEX(MASTER_DATABASE!$AG$4:$AG$1000,$B29)&amp;"")</f>
        <v/>
      </c>
      <c r="O29" s="11" t="str">
        <f aca="false">IF($B29="","",INDEX(MASTER_DATABASE!$AH$4:$AH$1000,$B29)&amp;"")</f>
        <v/>
      </c>
      <c r="P29" s="11" t="str">
        <f aca="false">IF($B29="","",INDEX(MASTER_DATABASE!$BE$4:$BE$1000,$B29)&amp;"")</f>
        <v/>
      </c>
      <c r="Q29" s="7" t="str">
        <f aca="false">IF($B29="","",INDEX(MASTER_DATABASE!$AV$4:$AV$1000,$B29)&amp;"")</f>
        <v/>
      </c>
    </row>
    <row r="30" customFormat="false" ht="15" hidden="false" customHeight="false" outlineLevel="0" collapsed="false">
      <c r="A30" s="11" t="n">
        <v>27</v>
      </c>
      <c r="B30" s="11" t="str">
        <f aca="false">IFERROR(MATCH("Mobile Store|"&amp;$A30,MASTER_DATABASE!$BH$4:$BH$1000,0),"")</f>
        <v/>
      </c>
      <c r="C30" s="11" t="str">
        <f aca="false">IF($B30="","",INDEX(MASTER_DATABASE!$A$4:$A$1000,$B30)&amp;"")</f>
        <v/>
      </c>
      <c r="D30" s="7" t="str">
        <f aca="false">IF($B30="","",INDEX(MASTER_DATABASE!$D$4:$D$1000,$B30)&amp;"")</f>
        <v/>
      </c>
      <c r="E30" s="7" t="str">
        <f aca="false">IF($B30="","",INDEX(MASTER_DATABASE!$E$4:$E$1000,$B30)&amp;"")</f>
        <v/>
      </c>
      <c r="F30" s="7" t="str">
        <f aca="false">IF($B30="","",INDEX(MASTER_DATABASE!$F$4:$F$1000,$B30)&amp;"")</f>
        <v/>
      </c>
      <c r="G30" s="11" t="str">
        <f aca="false">IF($B30="","",INDEX(MASTER_DATABASE!$I$4:$I$1000,$B30)&amp;"")</f>
        <v/>
      </c>
      <c r="H30" s="7" t="str">
        <f aca="false">IF($B30="","",INDEX(MASTER_DATABASE!$L$4:$L$1000,$B30)&amp;"")</f>
        <v/>
      </c>
      <c r="I30" s="9" t="str">
        <f aca="false">IF($B30="","",INDEX(MASTER_DATABASE!$R$4:$R$1000,$B30))</f>
        <v/>
      </c>
      <c r="J30" s="9" t="str">
        <f aca="false">IF($B30="","",INDEX(MASTER_DATABASE!$S$4:$S$1000,$B30))</f>
        <v/>
      </c>
      <c r="K30" s="9" t="str">
        <f aca="false">IF($B30="","",INDEX(MASTER_DATABASE!$T$4:$T$1000,$B30))</f>
        <v/>
      </c>
      <c r="L30" s="7" t="str">
        <f aca="false">IF($B30="","",INDEX(MASTER_DATABASE!$U$4:$U$1000,$B30)&amp;"")</f>
        <v/>
      </c>
      <c r="M30" s="7" t="str">
        <f aca="false">IF($B30="","",INDEX(MASTER_DATABASE!$Q$4:$Q$1000,$B30)&amp;"")</f>
        <v/>
      </c>
      <c r="N30" s="7" t="str">
        <f aca="false">IF($B30="","",INDEX(MASTER_DATABASE!$AG$4:$AG$1000,$B30)&amp;"")</f>
        <v/>
      </c>
      <c r="O30" s="11" t="str">
        <f aca="false">IF($B30="","",INDEX(MASTER_DATABASE!$AH$4:$AH$1000,$B30)&amp;"")</f>
        <v/>
      </c>
      <c r="P30" s="11" t="str">
        <f aca="false">IF($B30="","",INDEX(MASTER_DATABASE!$BE$4:$BE$1000,$B30)&amp;"")</f>
        <v/>
      </c>
      <c r="Q30" s="7" t="str">
        <f aca="false">IF($B30="","",INDEX(MASTER_DATABASE!$AV$4:$AV$1000,$B30)&amp;"")</f>
        <v/>
      </c>
    </row>
    <row r="31" customFormat="false" ht="15" hidden="false" customHeight="false" outlineLevel="0" collapsed="false">
      <c r="A31" s="11" t="n">
        <v>28</v>
      </c>
      <c r="B31" s="11" t="str">
        <f aca="false">IFERROR(MATCH("Mobile Store|"&amp;$A31,MASTER_DATABASE!$BH$4:$BH$1000,0),"")</f>
        <v/>
      </c>
      <c r="C31" s="11" t="str">
        <f aca="false">IF($B31="","",INDEX(MASTER_DATABASE!$A$4:$A$1000,$B31)&amp;"")</f>
        <v/>
      </c>
      <c r="D31" s="7" t="str">
        <f aca="false">IF($B31="","",INDEX(MASTER_DATABASE!$D$4:$D$1000,$B31)&amp;"")</f>
        <v/>
      </c>
      <c r="E31" s="7" t="str">
        <f aca="false">IF($B31="","",INDEX(MASTER_DATABASE!$E$4:$E$1000,$B31)&amp;"")</f>
        <v/>
      </c>
      <c r="F31" s="7" t="str">
        <f aca="false">IF($B31="","",INDEX(MASTER_DATABASE!$F$4:$F$1000,$B31)&amp;"")</f>
        <v/>
      </c>
      <c r="G31" s="11" t="str">
        <f aca="false">IF($B31="","",INDEX(MASTER_DATABASE!$I$4:$I$1000,$B31)&amp;"")</f>
        <v/>
      </c>
      <c r="H31" s="7" t="str">
        <f aca="false">IF($B31="","",INDEX(MASTER_DATABASE!$L$4:$L$1000,$B31)&amp;"")</f>
        <v/>
      </c>
      <c r="I31" s="9" t="str">
        <f aca="false">IF($B31="","",INDEX(MASTER_DATABASE!$R$4:$R$1000,$B31))</f>
        <v/>
      </c>
      <c r="J31" s="9" t="str">
        <f aca="false">IF($B31="","",INDEX(MASTER_DATABASE!$S$4:$S$1000,$B31))</f>
        <v/>
      </c>
      <c r="K31" s="9" t="str">
        <f aca="false">IF($B31="","",INDEX(MASTER_DATABASE!$T$4:$T$1000,$B31))</f>
        <v/>
      </c>
      <c r="L31" s="7" t="str">
        <f aca="false">IF($B31="","",INDEX(MASTER_DATABASE!$U$4:$U$1000,$B31)&amp;"")</f>
        <v/>
      </c>
      <c r="M31" s="7" t="str">
        <f aca="false">IF($B31="","",INDEX(MASTER_DATABASE!$Q$4:$Q$1000,$B31)&amp;"")</f>
        <v/>
      </c>
      <c r="N31" s="7" t="str">
        <f aca="false">IF($B31="","",INDEX(MASTER_DATABASE!$AG$4:$AG$1000,$B31)&amp;"")</f>
        <v/>
      </c>
      <c r="O31" s="11" t="str">
        <f aca="false">IF($B31="","",INDEX(MASTER_DATABASE!$AH$4:$AH$1000,$B31)&amp;"")</f>
        <v/>
      </c>
      <c r="P31" s="11" t="str">
        <f aca="false">IF($B31="","",INDEX(MASTER_DATABASE!$BE$4:$BE$1000,$B31)&amp;"")</f>
        <v/>
      </c>
      <c r="Q31" s="7" t="str">
        <f aca="false">IF($B31="","",INDEX(MASTER_DATABASE!$AV$4:$AV$1000,$B31)&amp;"")</f>
        <v/>
      </c>
    </row>
    <row r="32" customFormat="false" ht="15" hidden="false" customHeight="false" outlineLevel="0" collapsed="false">
      <c r="A32" s="11" t="n">
        <v>29</v>
      </c>
      <c r="B32" s="11" t="str">
        <f aca="false">IFERROR(MATCH("Mobile Store|"&amp;$A32,MASTER_DATABASE!$BH$4:$BH$1000,0),"")</f>
        <v/>
      </c>
      <c r="C32" s="11" t="str">
        <f aca="false">IF($B32="","",INDEX(MASTER_DATABASE!$A$4:$A$1000,$B32)&amp;"")</f>
        <v/>
      </c>
      <c r="D32" s="7" t="str">
        <f aca="false">IF($B32="","",INDEX(MASTER_DATABASE!$D$4:$D$1000,$B32)&amp;"")</f>
        <v/>
      </c>
      <c r="E32" s="7" t="str">
        <f aca="false">IF($B32="","",INDEX(MASTER_DATABASE!$E$4:$E$1000,$B32)&amp;"")</f>
        <v/>
      </c>
      <c r="F32" s="7" t="str">
        <f aca="false">IF($B32="","",INDEX(MASTER_DATABASE!$F$4:$F$1000,$B32)&amp;"")</f>
        <v/>
      </c>
      <c r="G32" s="11" t="str">
        <f aca="false">IF($B32="","",INDEX(MASTER_DATABASE!$I$4:$I$1000,$B32)&amp;"")</f>
        <v/>
      </c>
      <c r="H32" s="7" t="str">
        <f aca="false">IF($B32="","",INDEX(MASTER_DATABASE!$L$4:$L$1000,$B32)&amp;"")</f>
        <v/>
      </c>
      <c r="I32" s="9" t="str">
        <f aca="false">IF($B32="","",INDEX(MASTER_DATABASE!$R$4:$R$1000,$B32))</f>
        <v/>
      </c>
      <c r="J32" s="9" t="str">
        <f aca="false">IF($B32="","",INDEX(MASTER_DATABASE!$S$4:$S$1000,$B32))</f>
        <v/>
      </c>
      <c r="K32" s="9" t="str">
        <f aca="false">IF($B32="","",INDEX(MASTER_DATABASE!$T$4:$T$1000,$B32))</f>
        <v/>
      </c>
      <c r="L32" s="7" t="str">
        <f aca="false">IF($B32="","",INDEX(MASTER_DATABASE!$U$4:$U$1000,$B32)&amp;"")</f>
        <v/>
      </c>
      <c r="M32" s="7" t="str">
        <f aca="false">IF($B32="","",INDEX(MASTER_DATABASE!$Q$4:$Q$1000,$B32)&amp;"")</f>
        <v/>
      </c>
      <c r="N32" s="7" t="str">
        <f aca="false">IF($B32="","",INDEX(MASTER_DATABASE!$AG$4:$AG$1000,$B32)&amp;"")</f>
        <v/>
      </c>
      <c r="O32" s="11" t="str">
        <f aca="false">IF($B32="","",INDEX(MASTER_DATABASE!$AH$4:$AH$1000,$B32)&amp;"")</f>
        <v/>
      </c>
      <c r="P32" s="11" t="str">
        <f aca="false">IF($B32="","",INDEX(MASTER_DATABASE!$BE$4:$BE$1000,$B32)&amp;"")</f>
        <v/>
      </c>
      <c r="Q32" s="7" t="str">
        <f aca="false">IF($B32="","",INDEX(MASTER_DATABASE!$AV$4:$AV$1000,$B32)&amp;"")</f>
        <v/>
      </c>
    </row>
    <row r="33" customFormat="false" ht="15" hidden="false" customHeight="false" outlineLevel="0" collapsed="false">
      <c r="A33" s="11" t="n">
        <v>30</v>
      </c>
      <c r="B33" s="11" t="str">
        <f aca="false">IFERROR(MATCH("Mobile Store|"&amp;$A33,MASTER_DATABASE!$BH$4:$BH$1000,0),"")</f>
        <v/>
      </c>
      <c r="C33" s="11" t="str">
        <f aca="false">IF($B33="","",INDEX(MASTER_DATABASE!$A$4:$A$1000,$B33)&amp;"")</f>
        <v/>
      </c>
      <c r="D33" s="7" t="str">
        <f aca="false">IF($B33="","",INDEX(MASTER_DATABASE!$D$4:$D$1000,$B33)&amp;"")</f>
        <v/>
      </c>
      <c r="E33" s="7" t="str">
        <f aca="false">IF($B33="","",INDEX(MASTER_DATABASE!$E$4:$E$1000,$B33)&amp;"")</f>
        <v/>
      </c>
      <c r="F33" s="7" t="str">
        <f aca="false">IF($B33="","",INDEX(MASTER_DATABASE!$F$4:$F$1000,$B33)&amp;"")</f>
        <v/>
      </c>
      <c r="G33" s="11" t="str">
        <f aca="false">IF($B33="","",INDEX(MASTER_DATABASE!$I$4:$I$1000,$B33)&amp;"")</f>
        <v/>
      </c>
      <c r="H33" s="7" t="str">
        <f aca="false">IF($B33="","",INDEX(MASTER_DATABASE!$L$4:$L$1000,$B33)&amp;"")</f>
        <v/>
      </c>
      <c r="I33" s="9" t="str">
        <f aca="false">IF($B33="","",INDEX(MASTER_DATABASE!$R$4:$R$1000,$B33))</f>
        <v/>
      </c>
      <c r="J33" s="9" t="str">
        <f aca="false">IF($B33="","",INDEX(MASTER_DATABASE!$S$4:$S$1000,$B33))</f>
        <v/>
      </c>
      <c r="K33" s="9" t="str">
        <f aca="false">IF($B33="","",INDEX(MASTER_DATABASE!$T$4:$T$1000,$B33))</f>
        <v/>
      </c>
      <c r="L33" s="7" t="str">
        <f aca="false">IF($B33="","",INDEX(MASTER_DATABASE!$U$4:$U$1000,$B33)&amp;"")</f>
        <v/>
      </c>
      <c r="M33" s="7" t="str">
        <f aca="false">IF($B33="","",INDEX(MASTER_DATABASE!$Q$4:$Q$1000,$B33)&amp;"")</f>
        <v/>
      </c>
      <c r="N33" s="7" t="str">
        <f aca="false">IF($B33="","",INDEX(MASTER_DATABASE!$AG$4:$AG$1000,$B33)&amp;"")</f>
        <v/>
      </c>
      <c r="O33" s="11" t="str">
        <f aca="false">IF($B33="","",INDEX(MASTER_DATABASE!$AH$4:$AH$1000,$B33)&amp;"")</f>
        <v/>
      </c>
      <c r="P33" s="11" t="str">
        <f aca="false">IF($B33="","",INDEX(MASTER_DATABASE!$BE$4:$BE$1000,$B33)&amp;"")</f>
        <v/>
      </c>
      <c r="Q33" s="7" t="str">
        <f aca="false">IF($B33="","",INDEX(MASTER_DATABASE!$AV$4:$AV$1000,$B33)&amp;"")</f>
        <v/>
      </c>
    </row>
    <row r="34" customFormat="false" ht="15" hidden="false" customHeight="false" outlineLevel="0" collapsed="false">
      <c r="A34" s="11" t="n">
        <v>31</v>
      </c>
      <c r="B34" s="11" t="str">
        <f aca="false">IFERROR(MATCH("Mobile Store|"&amp;$A34,MASTER_DATABASE!$BH$4:$BH$1000,0),"")</f>
        <v/>
      </c>
      <c r="C34" s="11" t="str">
        <f aca="false">IF($B34="","",INDEX(MASTER_DATABASE!$A$4:$A$1000,$B34)&amp;"")</f>
        <v/>
      </c>
      <c r="D34" s="7" t="str">
        <f aca="false">IF($B34="","",INDEX(MASTER_DATABASE!$D$4:$D$1000,$B34)&amp;"")</f>
        <v/>
      </c>
      <c r="E34" s="7" t="str">
        <f aca="false">IF($B34="","",INDEX(MASTER_DATABASE!$E$4:$E$1000,$B34)&amp;"")</f>
        <v/>
      </c>
      <c r="F34" s="7" t="str">
        <f aca="false">IF($B34="","",INDEX(MASTER_DATABASE!$F$4:$F$1000,$B34)&amp;"")</f>
        <v/>
      </c>
      <c r="G34" s="11" t="str">
        <f aca="false">IF($B34="","",INDEX(MASTER_DATABASE!$I$4:$I$1000,$B34)&amp;"")</f>
        <v/>
      </c>
      <c r="H34" s="7" t="str">
        <f aca="false">IF($B34="","",INDEX(MASTER_DATABASE!$L$4:$L$1000,$B34)&amp;"")</f>
        <v/>
      </c>
      <c r="I34" s="9" t="str">
        <f aca="false">IF($B34="","",INDEX(MASTER_DATABASE!$R$4:$R$1000,$B34))</f>
        <v/>
      </c>
      <c r="J34" s="9" t="str">
        <f aca="false">IF($B34="","",INDEX(MASTER_DATABASE!$S$4:$S$1000,$B34))</f>
        <v/>
      </c>
      <c r="K34" s="9" t="str">
        <f aca="false">IF($B34="","",INDEX(MASTER_DATABASE!$T$4:$T$1000,$B34))</f>
        <v/>
      </c>
      <c r="L34" s="7" t="str">
        <f aca="false">IF($B34="","",INDEX(MASTER_DATABASE!$U$4:$U$1000,$B34)&amp;"")</f>
        <v/>
      </c>
      <c r="M34" s="7" t="str">
        <f aca="false">IF($B34="","",INDEX(MASTER_DATABASE!$Q$4:$Q$1000,$B34)&amp;"")</f>
        <v/>
      </c>
      <c r="N34" s="7" t="str">
        <f aca="false">IF($B34="","",INDEX(MASTER_DATABASE!$AG$4:$AG$1000,$B34)&amp;"")</f>
        <v/>
      </c>
      <c r="O34" s="11" t="str">
        <f aca="false">IF($B34="","",INDEX(MASTER_DATABASE!$AH$4:$AH$1000,$B34)&amp;"")</f>
        <v/>
      </c>
      <c r="P34" s="11" t="str">
        <f aca="false">IF($B34="","",INDEX(MASTER_DATABASE!$BE$4:$BE$1000,$B34)&amp;"")</f>
        <v/>
      </c>
      <c r="Q34" s="7" t="str">
        <f aca="false">IF($B34="","",INDEX(MASTER_DATABASE!$AV$4:$AV$1000,$B34)&amp;"")</f>
        <v/>
      </c>
    </row>
    <row r="35" customFormat="false" ht="15" hidden="false" customHeight="false" outlineLevel="0" collapsed="false">
      <c r="A35" s="11" t="n">
        <v>32</v>
      </c>
      <c r="B35" s="11" t="str">
        <f aca="false">IFERROR(MATCH("Mobile Store|"&amp;$A35,MASTER_DATABASE!$BH$4:$BH$1000,0),"")</f>
        <v/>
      </c>
      <c r="C35" s="11" t="str">
        <f aca="false">IF($B35="","",INDEX(MASTER_DATABASE!$A$4:$A$1000,$B35)&amp;"")</f>
        <v/>
      </c>
      <c r="D35" s="7" t="str">
        <f aca="false">IF($B35="","",INDEX(MASTER_DATABASE!$D$4:$D$1000,$B35)&amp;"")</f>
        <v/>
      </c>
      <c r="E35" s="7" t="str">
        <f aca="false">IF($B35="","",INDEX(MASTER_DATABASE!$E$4:$E$1000,$B35)&amp;"")</f>
        <v/>
      </c>
      <c r="F35" s="7" t="str">
        <f aca="false">IF($B35="","",INDEX(MASTER_DATABASE!$F$4:$F$1000,$B35)&amp;"")</f>
        <v/>
      </c>
      <c r="G35" s="11" t="str">
        <f aca="false">IF($B35="","",INDEX(MASTER_DATABASE!$I$4:$I$1000,$B35)&amp;"")</f>
        <v/>
      </c>
      <c r="H35" s="7" t="str">
        <f aca="false">IF($B35="","",INDEX(MASTER_DATABASE!$L$4:$L$1000,$B35)&amp;"")</f>
        <v/>
      </c>
      <c r="I35" s="9" t="str">
        <f aca="false">IF($B35="","",INDEX(MASTER_DATABASE!$R$4:$R$1000,$B35))</f>
        <v/>
      </c>
      <c r="J35" s="9" t="str">
        <f aca="false">IF($B35="","",INDEX(MASTER_DATABASE!$S$4:$S$1000,$B35))</f>
        <v/>
      </c>
      <c r="K35" s="9" t="str">
        <f aca="false">IF($B35="","",INDEX(MASTER_DATABASE!$T$4:$T$1000,$B35))</f>
        <v/>
      </c>
      <c r="L35" s="7" t="str">
        <f aca="false">IF($B35="","",INDEX(MASTER_DATABASE!$U$4:$U$1000,$B35)&amp;"")</f>
        <v/>
      </c>
      <c r="M35" s="7" t="str">
        <f aca="false">IF($B35="","",INDEX(MASTER_DATABASE!$Q$4:$Q$1000,$B35)&amp;"")</f>
        <v/>
      </c>
      <c r="N35" s="7" t="str">
        <f aca="false">IF($B35="","",INDEX(MASTER_DATABASE!$AG$4:$AG$1000,$B35)&amp;"")</f>
        <v/>
      </c>
      <c r="O35" s="11" t="str">
        <f aca="false">IF($B35="","",INDEX(MASTER_DATABASE!$AH$4:$AH$1000,$B35)&amp;"")</f>
        <v/>
      </c>
      <c r="P35" s="11" t="str">
        <f aca="false">IF($B35="","",INDEX(MASTER_DATABASE!$BE$4:$BE$1000,$B35)&amp;"")</f>
        <v/>
      </c>
      <c r="Q35" s="7" t="str">
        <f aca="false">IF($B35="","",INDEX(MASTER_DATABASE!$AV$4:$AV$1000,$B35)&amp;"")</f>
        <v/>
      </c>
    </row>
    <row r="36" customFormat="false" ht="15" hidden="false" customHeight="false" outlineLevel="0" collapsed="false">
      <c r="A36" s="11" t="n">
        <v>33</v>
      </c>
      <c r="B36" s="11" t="str">
        <f aca="false">IFERROR(MATCH("Mobile Store|"&amp;$A36,MASTER_DATABASE!$BH$4:$BH$1000,0),"")</f>
        <v/>
      </c>
      <c r="C36" s="11" t="str">
        <f aca="false">IF($B36="","",INDEX(MASTER_DATABASE!$A$4:$A$1000,$B36)&amp;"")</f>
        <v/>
      </c>
      <c r="D36" s="7" t="str">
        <f aca="false">IF($B36="","",INDEX(MASTER_DATABASE!$D$4:$D$1000,$B36)&amp;"")</f>
        <v/>
      </c>
      <c r="E36" s="7" t="str">
        <f aca="false">IF($B36="","",INDEX(MASTER_DATABASE!$E$4:$E$1000,$B36)&amp;"")</f>
        <v/>
      </c>
      <c r="F36" s="7" t="str">
        <f aca="false">IF($B36="","",INDEX(MASTER_DATABASE!$F$4:$F$1000,$B36)&amp;"")</f>
        <v/>
      </c>
      <c r="G36" s="11" t="str">
        <f aca="false">IF($B36="","",INDEX(MASTER_DATABASE!$I$4:$I$1000,$B36)&amp;"")</f>
        <v/>
      </c>
      <c r="H36" s="7" t="str">
        <f aca="false">IF($B36="","",INDEX(MASTER_DATABASE!$L$4:$L$1000,$B36)&amp;"")</f>
        <v/>
      </c>
      <c r="I36" s="9" t="str">
        <f aca="false">IF($B36="","",INDEX(MASTER_DATABASE!$R$4:$R$1000,$B36))</f>
        <v/>
      </c>
      <c r="J36" s="9" t="str">
        <f aca="false">IF($B36="","",INDEX(MASTER_DATABASE!$S$4:$S$1000,$B36))</f>
        <v/>
      </c>
      <c r="K36" s="9" t="str">
        <f aca="false">IF($B36="","",INDEX(MASTER_DATABASE!$T$4:$T$1000,$B36))</f>
        <v/>
      </c>
      <c r="L36" s="7" t="str">
        <f aca="false">IF($B36="","",INDEX(MASTER_DATABASE!$U$4:$U$1000,$B36)&amp;"")</f>
        <v/>
      </c>
      <c r="M36" s="7" t="str">
        <f aca="false">IF($B36="","",INDEX(MASTER_DATABASE!$Q$4:$Q$1000,$B36)&amp;"")</f>
        <v/>
      </c>
      <c r="N36" s="7" t="str">
        <f aca="false">IF($B36="","",INDEX(MASTER_DATABASE!$AG$4:$AG$1000,$B36)&amp;"")</f>
        <v/>
      </c>
      <c r="O36" s="11" t="str">
        <f aca="false">IF($B36="","",INDEX(MASTER_DATABASE!$AH$4:$AH$1000,$B36)&amp;"")</f>
        <v/>
      </c>
      <c r="P36" s="11" t="str">
        <f aca="false">IF($B36="","",INDEX(MASTER_DATABASE!$BE$4:$BE$1000,$B36)&amp;"")</f>
        <v/>
      </c>
      <c r="Q36" s="7" t="str">
        <f aca="false">IF($B36="","",INDEX(MASTER_DATABASE!$AV$4:$AV$1000,$B36)&amp;"")</f>
        <v/>
      </c>
    </row>
    <row r="37" customFormat="false" ht="15" hidden="false" customHeight="false" outlineLevel="0" collapsed="false">
      <c r="A37" s="11" t="n">
        <v>34</v>
      </c>
      <c r="B37" s="11" t="str">
        <f aca="false">IFERROR(MATCH("Mobile Store|"&amp;$A37,MASTER_DATABASE!$BH$4:$BH$1000,0),"")</f>
        <v/>
      </c>
      <c r="C37" s="11" t="str">
        <f aca="false">IF($B37="","",INDEX(MASTER_DATABASE!$A$4:$A$1000,$B37)&amp;"")</f>
        <v/>
      </c>
      <c r="D37" s="7" t="str">
        <f aca="false">IF($B37="","",INDEX(MASTER_DATABASE!$D$4:$D$1000,$B37)&amp;"")</f>
        <v/>
      </c>
      <c r="E37" s="7" t="str">
        <f aca="false">IF($B37="","",INDEX(MASTER_DATABASE!$E$4:$E$1000,$B37)&amp;"")</f>
        <v/>
      </c>
      <c r="F37" s="7" t="str">
        <f aca="false">IF($B37="","",INDEX(MASTER_DATABASE!$F$4:$F$1000,$B37)&amp;"")</f>
        <v/>
      </c>
      <c r="G37" s="11" t="str">
        <f aca="false">IF($B37="","",INDEX(MASTER_DATABASE!$I$4:$I$1000,$B37)&amp;"")</f>
        <v/>
      </c>
      <c r="H37" s="7" t="str">
        <f aca="false">IF($B37="","",INDEX(MASTER_DATABASE!$L$4:$L$1000,$B37)&amp;"")</f>
        <v/>
      </c>
      <c r="I37" s="9" t="str">
        <f aca="false">IF($B37="","",INDEX(MASTER_DATABASE!$R$4:$R$1000,$B37))</f>
        <v/>
      </c>
      <c r="J37" s="9" t="str">
        <f aca="false">IF($B37="","",INDEX(MASTER_DATABASE!$S$4:$S$1000,$B37))</f>
        <v/>
      </c>
      <c r="K37" s="9" t="str">
        <f aca="false">IF($B37="","",INDEX(MASTER_DATABASE!$T$4:$T$1000,$B37))</f>
        <v/>
      </c>
      <c r="L37" s="7" t="str">
        <f aca="false">IF($B37="","",INDEX(MASTER_DATABASE!$U$4:$U$1000,$B37)&amp;"")</f>
        <v/>
      </c>
      <c r="M37" s="7" t="str">
        <f aca="false">IF($B37="","",INDEX(MASTER_DATABASE!$Q$4:$Q$1000,$B37)&amp;"")</f>
        <v/>
      </c>
      <c r="N37" s="7" t="str">
        <f aca="false">IF($B37="","",INDEX(MASTER_DATABASE!$AG$4:$AG$1000,$B37)&amp;"")</f>
        <v/>
      </c>
      <c r="O37" s="11" t="str">
        <f aca="false">IF($B37="","",INDEX(MASTER_DATABASE!$AH$4:$AH$1000,$B37)&amp;"")</f>
        <v/>
      </c>
      <c r="P37" s="11" t="str">
        <f aca="false">IF($B37="","",INDEX(MASTER_DATABASE!$BE$4:$BE$1000,$B37)&amp;"")</f>
        <v/>
      </c>
      <c r="Q37" s="7" t="str">
        <f aca="false">IF($B37="","",INDEX(MASTER_DATABASE!$AV$4:$AV$1000,$B37)&amp;"")</f>
        <v/>
      </c>
    </row>
    <row r="38" customFormat="false" ht="15" hidden="false" customHeight="false" outlineLevel="0" collapsed="false">
      <c r="A38" s="11" t="n">
        <v>35</v>
      </c>
      <c r="B38" s="11" t="str">
        <f aca="false">IFERROR(MATCH("Mobile Store|"&amp;$A38,MASTER_DATABASE!$BH$4:$BH$1000,0),"")</f>
        <v/>
      </c>
      <c r="C38" s="11" t="str">
        <f aca="false">IF($B38="","",INDEX(MASTER_DATABASE!$A$4:$A$1000,$B38)&amp;"")</f>
        <v/>
      </c>
      <c r="D38" s="7" t="str">
        <f aca="false">IF($B38="","",INDEX(MASTER_DATABASE!$D$4:$D$1000,$B38)&amp;"")</f>
        <v/>
      </c>
      <c r="E38" s="7" t="str">
        <f aca="false">IF($B38="","",INDEX(MASTER_DATABASE!$E$4:$E$1000,$B38)&amp;"")</f>
        <v/>
      </c>
      <c r="F38" s="7" t="str">
        <f aca="false">IF($B38="","",INDEX(MASTER_DATABASE!$F$4:$F$1000,$B38)&amp;"")</f>
        <v/>
      </c>
      <c r="G38" s="11" t="str">
        <f aca="false">IF($B38="","",INDEX(MASTER_DATABASE!$I$4:$I$1000,$B38)&amp;"")</f>
        <v/>
      </c>
      <c r="H38" s="7" t="str">
        <f aca="false">IF($B38="","",INDEX(MASTER_DATABASE!$L$4:$L$1000,$B38)&amp;"")</f>
        <v/>
      </c>
      <c r="I38" s="9" t="str">
        <f aca="false">IF($B38="","",INDEX(MASTER_DATABASE!$R$4:$R$1000,$B38))</f>
        <v/>
      </c>
      <c r="J38" s="9" t="str">
        <f aca="false">IF($B38="","",INDEX(MASTER_DATABASE!$S$4:$S$1000,$B38))</f>
        <v/>
      </c>
      <c r="K38" s="9" t="str">
        <f aca="false">IF($B38="","",INDEX(MASTER_DATABASE!$T$4:$T$1000,$B38))</f>
        <v/>
      </c>
      <c r="L38" s="7" t="str">
        <f aca="false">IF($B38="","",INDEX(MASTER_DATABASE!$U$4:$U$1000,$B38)&amp;"")</f>
        <v/>
      </c>
      <c r="M38" s="7" t="str">
        <f aca="false">IF($B38="","",INDEX(MASTER_DATABASE!$Q$4:$Q$1000,$B38)&amp;"")</f>
        <v/>
      </c>
      <c r="N38" s="7" t="str">
        <f aca="false">IF($B38="","",INDEX(MASTER_DATABASE!$AG$4:$AG$1000,$B38)&amp;"")</f>
        <v/>
      </c>
      <c r="O38" s="11" t="str">
        <f aca="false">IF($B38="","",INDEX(MASTER_DATABASE!$AH$4:$AH$1000,$B38)&amp;"")</f>
        <v/>
      </c>
      <c r="P38" s="11" t="str">
        <f aca="false">IF($B38="","",INDEX(MASTER_DATABASE!$BE$4:$BE$1000,$B38)&amp;"")</f>
        <v/>
      </c>
      <c r="Q38" s="7" t="str">
        <f aca="false">IF($B38="","",INDEX(MASTER_DATABASE!$AV$4:$AV$1000,$B38)&amp;"")</f>
        <v/>
      </c>
    </row>
    <row r="39" customFormat="false" ht="15" hidden="false" customHeight="false" outlineLevel="0" collapsed="false">
      <c r="A39" s="11" t="n">
        <v>36</v>
      </c>
      <c r="B39" s="11" t="str">
        <f aca="false">IFERROR(MATCH("Mobile Store|"&amp;$A39,MASTER_DATABASE!$BH$4:$BH$1000,0),"")</f>
        <v/>
      </c>
      <c r="C39" s="11" t="str">
        <f aca="false">IF($B39="","",INDEX(MASTER_DATABASE!$A$4:$A$1000,$B39)&amp;"")</f>
        <v/>
      </c>
      <c r="D39" s="7" t="str">
        <f aca="false">IF($B39="","",INDEX(MASTER_DATABASE!$D$4:$D$1000,$B39)&amp;"")</f>
        <v/>
      </c>
      <c r="E39" s="7" t="str">
        <f aca="false">IF($B39="","",INDEX(MASTER_DATABASE!$E$4:$E$1000,$B39)&amp;"")</f>
        <v/>
      </c>
      <c r="F39" s="7" t="str">
        <f aca="false">IF($B39="","",INDEX(MASTER_DATABASE!$F$4:$F$1000,$B39)&amp;"")</f>
        <v/>
      </c>
      <c r="G39" s="11" t="str">
        <f aca="false">IF($B39="","",INDEX(MASTER_DATABASE!$I$4:$I$1000,$B39)&amp;"")</f>
        <v/>
      </c>
      <c r="H39" s="7" t="str">
        <f aca="false">IF($B39="","",INDEX(MASTER_DATABASE!$L$4:$L$1000,$B39)&amp;"")</f>
        <v/>
      </c>
      <c r="I39" s="9" t="str">
        <f aca="false">IF($B39="","",INDEX(MASTER_DATABASE!$R$4:$R$1000,$B39))</f>
        <v/>
      </c>
      <c r="J39" s="9" t="str">
        <f aca="false">IF($B39="","",INDEX(MASTER_DATABASE!$S$4:$S$1000,$B39))</f>
        <v/>
      </c>
      <c r="K39" s="9" t="str">
        <f aca="false">IF($B39="","",INDEX(MASTER_DATABASE!$T$4:$T$1000,$B39))</f>
        <v/>
      </c>
      <c r="L39" s="7" t="str">
        <f aca="false">IF($B39="","",INDEX(MASTER_DATABASE!$U$4:$U$1000,$B39)&amp;"")</f>
        <v/>
      </c>
      <c r="M39" s="7" t="str">
        <f aca="false">IF($B39="","",INDEX(MASTER_DATABASE!$Q$4:$Q$1000,$B39)&amp;"")</f>
        <v/>
      </c>
      <c r="N39" s="7" t="str">
        <f aca="false">IF($B39="","",INDEX(MASTER_DATABASE!$AG$4:$AG$1000,$B39)&amp;"")</f>
        <v/>
      </c>
      <c r="O39" s="11" t="str">
        <f aca="false">IF($B39="","",INDEX(MASTER_DATABASE!$AH$4:$AH$1000,$B39)&amp;"")</f>
        <v/>
      </c>
      <c r="P39" s="11" t="str">
        <f aca="false">IF($B39="","",INDEX(MASTER_DATABASE!$BE$4:$BE$1000,$B39)&amp;"")</f>
        <v/>
      </c>
      <c r="Q39" s="7" t="str">
        <f aca="false">IF($B39="","",INDEX(MASTER_DATABASE!$AV$4:$AV$1000,$B39)&amp;"")</f>
        <v/>
      </c>
    </row>
    <row r="40" customFormat="false" ht="15" hidden="false" customHeight="false" outlineLevel="0" collapsed="false">
      <c r="A40" s="11" t="n">
        <v>37</v>
      </c>
      <c r="B40" s="11" t="str">
        <f aca="false">IFERROR(MATCH("Mobile Store|"&amp;$A40,MASTER_DATABASE!$BH$4:$BH$1000,0),"")</f>
        <v/>
      </c>
      <c r="C40" s="11" t="str">
        <f aca="false">IF($B40="","",INDEX(MASTER_DATABASE!$A$4:$A$1000,$B40)&amp;"")</f>
        <v/>
      </c>
      <c r="D40" s="7" t="str">
        <f aca="false">IF($B40="","",INDEX(MASTER_DATABASE!$D$4:$D$1000,$B40)&amp;"")</f>
        <v/>
      </c>
      <c r="E40" s="7" t="str">
        <f aca="false">IF($B40="","",INDEX(MASTER_DATABASE!$E$4:$E$1000,$B40)&amp;"")</f>
        <v/>
      </c>
      <c r="F40" s="7" t="str">
        <f aca="false">IF($B40="","",INDEX(MASTER_DATABASE!$F$4:$F$1000,$B40)&amp;"")</f>
        <v/>
      </c>
      <c r="G40" s="11" t="str">
        <f aca="false">IF($B40="","",INDEX(MASTER_DATABASE!$I$4:$I$1000,$B40)&amp;"")</f>
        <v/>
      </c>
      <c r="H40" s="7" t="str">
        <f aca="false">IF($B40="","",INDEX(MASTER_DATABASE!$L$4:$L$1000,$B40)&amp;"")</f>
        <v/>
      </c>
      <c r="I40" s="9" t="str">
        <f aca="false">IF($B40="","",INDEX(MASTER_DATABASE!$R$4:$R$1000,$B40))</f>
        <v/>
      </c>
      <c r="J40" s="9" t="str">
        <f aca="false">IF($B40="","",INDEX(MASTER_DATABASE!$S$4:$S$1000,$B40))</f>
        <v/>
      </c>
      <c r="K40" s="9" t="str">
        <f aca="false">IF($B40="","",INDEX(MASTER_DATABASE!$T$4:$T$1000,$B40))</f>
        <v/>
      </c>
      <c r="L40" s="7" t="str">
        <f aca="false">IF($B40="","",INDEX(MASTER_DATABASE!$U$4:$U$1000,$B40)&amp;"")</f>
        <v/>
      </c>
      <c r="M40" s="7" t="str">
        <f aca="false">IF($B40="","",INDEX(MASTER_DATABASE!$Q$4:$Q$1000,$B40)&amp;"")</f>
        <v/>
      </c>
      <c r="N40" s="7" t="str">
        <f aca="false">IF($B40="","",INDEX(MASTER_DATABASE!$AG$4:$AG$1000,$B40)&amp;"")</f>
        <v/>
      </c>
      <c r="O40" s="11" t="str">
        <f aca="false">IF($B40="","",INDEX(MASTER_DATABASE!$AH$4:$AH$1000,$B40)&amp;"")</f>
        <v/>
      </c>
      <c r="P40" s="11" t="str">
        <f aca="false">IF($B40="","",INDEX(MASTER_DATABASE!$BE$4:$BE$1000,$B40)&amp;"")</f>
        <v/>
      </c>
      <c r="Q40" s="7" t="str">
        <f aca="false">IF($B40="","",INDEX(MASTER_DATABASE!$AV$4:$AV$1000,$B40)&amp;"")</f>
        <v/>
      </c>
    </row>
    <row r="41" customFormat="false" ht="15" hidden="false" customHeight="false" outlineLevel="0" collapsed="false">
      <c r="A41" s="11" t="n">
        <v>38</v>
      </c>
      <c r="B41" s="11" t="str">
        <f aca="false">IFERROR(MATCH("Mobile Store|"&amp;$A41,MASTER_DATABASE!$BH$4:$BH$1000,0),"")</f>
        <v/>
      </c>
      <c r="C41" s="11" t="str">
        <f aca="false">IF($B41="","",INDEX(MASTER_DATABASE!$A$4:$A$1000,$B41)&amp;"")</f>
        <v/>
      </c>
      <c r="D41" s="7" t="str">
        <f aca="false">IF($B41="","",INDEX(MASTER_DATABASE!$D$4:$D$1000,$B41)&amp;"")</f>
        <v/>
      </c>
      <c r="E41" s="7" t="str">
        <f aca="false">IF($B41="","",INDEX(MASTER_DATABASE!$E$4:$E$1000,$B41)&amp;"")</f>
        <v/>
      </c>
      <c r="F41" s="7" t="str">
        <f aca="false">IF($B41="","",INDEX(MASTER_DATABASE!$F$4:$F$1000,$B41)&amp;"")</f>
        <v/>
      </c>
      <c r="G41" s="11" t="str">
        <f aca="false">IF($B41="","",INDEX(MASTER_DATABASE!$I$4:$I$1000,$B41)&amp;"")</f>
        <v/>
      </c>
      <c r="H41" s="7" t="str">
        <f aca="false">IF($B41="","",INDEX(MASTER_DATABASE!$L$4:$L$1000,$B41)&amp;"")</f>
        <v/>
      </c>
      <c r="I41" s="9" t="str">
        <f aca="false">IF($B41="","",INDEX(MASTER_DATABASE!$R$4:$R$1000,$B41))</f>
        <v/>
      </c>
      <c r="J41" s="9" t="str">
        <f aca="false">IF($B41="","",INDEX(MASTER_DATABASE!$S$4:$S$1000,$B41))</f>
        <v/>
      </c>
      <c r="K41" s="9" t="str">
        <f aca="false">IF($B41="","",INDEX(MASTER_DATABASE!$T$4:$T$1000,$B41))</f>
        <v/>
      </c>
      <c r="L41" s="7" t="str">
        <f aca="false">IF($B41="","",INDEX(MASTER_DATABASE!$U$4:$U$1000,$B41)&amp;"")</f>
        <v/>
      </c>
      <c r="M41" s="7" t="str">
        <f aca="false">IF($B41="","",INDEX(MASTER_DATABASE!$Q$4:$Q$1000,$B41)&amp;"")</f>
        <v/>
      </c>
      <c r="N41" s="7" t="str">
        <f aca="false">IF($B41="","",INDEX(MASTER_DATABASE!$AG$4:$AG$1000,$B41)&amp;"")</f>
        <v/>
      </c>
      <c r="O41" s="11" t="str">
        <f aca="false">IF($B41="","",INDEX(MASTER_DATABASE!$AH$4:$AH$1000,$B41)&amp;"")</f>
        <v/>
      </c>
      <c r="P41" s="11" t="str">
        <f aca="false">IF($B41="","",INDEX(MASTER_DATABASE!$BE$4:$BE$1000,$B41)&amp;"")</f>
        <v/>
      </c>
      <c r="Q41" s="7" t="str">
        <f aca="false">IF($B41="","",INDEX(MASTER_DATABASE!$AV$4:$AV$1000,$B41)&amp;"")</f>
        <v/>
      </c>
    </row>
    <row r="42" customFormat="false" ht="15" hidden="false" customHeight="false" outlineLevel="0" collapsed="false">
      <c r="A42" s="11" t="n">
        <v>39</v>
      </c>
      <c r="B42" s="11" t="str">
        <f aca="false">IFERROR(MATCH("Mobile Store|"&amp;$A42,MASTER_DATABASE!$BH$4:$BH$1000,0),"")</f>
        <v/>
      </c>
      <c r="C42" s="11" t="str">
        <f aca="false">IF($B42="","",INDEX(MASTER_DATABASE!$A$4:$A$1000,$B42)&amp;"")</f>
        <v/>
      </c>
      <c r="D42" s="7" t="str">
        <f aca="false">IF($B42="","",INDEX(MASTER_DATABASE!$D$4:$D$1000,$B42)&amp;"")</f>
        <v/>
      </c>
      <c r="E42" s="7" t="str">
        <f aca="false">IF($B42="","",INDEX(MASTER_DATABASE!$E$4:$E$1000,$B42)&amp;"")</f>
        <v/>
      </c>
      <c r="F42" s="7" t="str">
        <f aca="false">IF($B42="","",INDEX(MASTER_DATABASE!$F$4:$F$1000,$B42)&amp;"")</f>
        <v/>
      </c>
      <c r="G42" s="11" t="str">
        <f aca="false">IF($B42="","",INDEX(MASTER_DATABASE!$I$4:$I$1000,$B42)&amp;"")</f>
        <v/>
      </c>
      <c r="H42" s="7" t="str">
        <f aca="false">IF($B42="","",INDEX(MASTER_DATABASE!$L$4:$L$1000,$B42)&amp;"")</f>
        <v/>
      </c>
      <c r="I42" s="9" t="str">
        <f aca="false">IF($B42="","",INDEX(MASTER_DATABASE!$R$4:$R$1000,$B42))</f>
        <v/>
      </c>
      <c r="J42" s="9" t="str">
        <f aca="false">IF($B42="","",INDEX(MASTER_DATABASE!$S$4:$S$1000,$B42))</f>
        <v/>
      </c>
      <c r="K42" s="9" t="str">
        <f aca="false">IF($B42="","",INDEX(MASTER_DATABASE!$T$4:$T$1000,$B42))</f>
        <v/>
      </c>
      <c r="L42" s="7" t="str">
        <f aca="false">IF($B42="","",INDEX(MASTER_DATABASE!$U$4:$U$1000,$B42)&amp;"")</f>
        <v/>
      </c>
      <c r="M42" s="7" t="str">
        <f aca="false">IF($B42="","",INDEX(MASTER_DATABASE!$Q$4:$Q$1000,$B42)&amp;"")</f>
        <v/>
      </c>
      <c r="N42" s="7" t="str">
        <f aca="false">IF($B42="","",INDEX(MASTER_DATABASE!$AG$4:$AG$1000,$B42)&amp;"")</f>
        <v/>
      </c>
      <c r="O42" s="11" t="str">
        <f aca="false">IF($B42="","",INDEX(MASTER_DATABASE!$AH$4:$AH$1000,$B42)&amp;"")</f>
        <v/>
      </c>
      <c r="P42" s="11" t="str">
        <f aca="false">IF($B42="","",INDEX(MASTER_DATABASE!$BE$4:$BE$1000,$B42)&amp;"")</f>
        <v/>
      </c>
      <c r="Q42" s="7" t="str">
        <f aca="false">IF($B42="","",INDEX(MASTER_DATABASE!$AV$4:$AV$1000,$B42)&amp;"")</f>
        <v/>
      </c>
    </row>
    <row r="43" customFormat="false" ht="15" hidden="false" customHeight="false" outlineLevel="0" collapsed="false">
      <c r="A43" s="11" t="n">
        <v>40</v>
      </c>
      <c r="B43" s="11" t="str">
        <f aca="false">IFERROR(MATCH("Mobile Store|"&amp;$A43,MASTER_DATABASE!$BH$4:$BH$1000,0),"")</f>
        <v/>
      </c>
      <c r="C43" s="11" t="str">
        <f aca="false">IF($B43="","",INDEX(MASTER_DATABASE!$A$4:$A$1000,$B43)&amp;"")</f>
        <v/>
      </c>
      <c r="D43" s="7" t="str">
        <f aca="false">IF($B43="","",INDEX(MASTER_DATABASE!$D$4:$D$1000,$B43)&amp;"")</f>
        <v/>
      </c>
      <c r="E43" s="7" t="str">
        <f aca="false">IF($B43="","",INDEX(MASTER_DATABASE!$E$4:$E$1000,$B43)&amp;"")</f>
        <v/>
      </c>
      <c r="F43" s="7" t="str">
        <f aca="false">IF($B43="","",INDEX(MASTER_DATABASE!$F$4:$F$1000,$B43)&amp;"")</f>
        <v/>
      </c>
      <c r="G43" s="11" t="str">
        <f aca="false">IF($B43="","",INDEX(MASTER_DATABASE!$I$4:$I$1000,$B43)&amp;"")</f>
        <v/>
      </c>
      <c r="H43" s="7" t="str">
        <f aca="false">IF($B43="","",INDEX(MASTER_DATABASE!$L$4:$L$1000,$B43)&amp;"")</f>
        <v/>
      </c>
      <c r="I43" s="9" t="str">
        <f aca="false">IF($B43="","",INDEX(MASTER_DATABASE!$R$4:$R$1000,$B43))</f>
        <v/>
      </c>
      <c r="J43" s="9" t="str">
        <f aca="false">IF($B43="","",INDEX(MASTER_DATABASE!$S$4:$S$1000,$B43))</f>
        <v/>
      </c>
      <c r="K43" s="9" t="str">
        <f aca="false">IF($B43="","",INDEX(MASTER_DATABASE!$T$4:$T$1000,$B43))</f>
        <v/>
      </c>
      <c r="L43" s="7" t="str">
        <f aca="false">IF($B43="","",INDEX(MASTER_DATABASE!$U$4:$U$1000,$B43)&amp;"")</f>
        <v/>
      </c>
      <c r="M43" s="7" t="str">
        <f aca="false">IF($B43="","",INDEX(MASTER_DATABASE!$Q$4:$Q$1000,$B43)&amp;"")</f>
        <v/>
      </c>
      <c r="N43" s="7" t="str">
        <f aca="false">IF($B43="","",INDEX(MASTER_DATABASE!$AG$4:$AG$1000,$B43)&amp;"")</f>
        <v/>
      </c>
      <c r="O43" s="11" t="str">
        <f aca="false">IF($B43="","",INDEX(MASTER_DATABASE!$AH$4:$AH$1000,$B43)&amp;"")</f>
        <v/>
      </c>
      <c r="P43" s="11" t="str">
        <f aca="false">IF($B43="","",INDEX(MASTER_DATABASE!$BE$4:$BE$1000,$B43)&amp;"")</f>
        <v/>
      </c>
      <c r="Q43" s="7" t="str">
        <f aca="false">IF($B43="","",INDEX(MASTER_DATABASE!$AV$4:$AV$1000,$B43)&amp;"")</f>
        <v/>
      </c>
    </row>
    <row r="44" customFormat="false" ht="15" hidden="false" customHeight="false" outlineLevel="0" collapsed="false">
      <c r="A44" s="11" t="n">
        <v>41</v>
      </c>
      <c r="B44" s="11" t="str">
        <f aca="false">IFERROR(MATCH("Mobile Store|"&amp;$A44,MASTER_DATABASE!$BH$4:$BH$1000,0),"")</f>
        <v/>
      </c>
      <c r="C44" s="11" t="str">
        <f aca="false">IF($B44="","",INDEX(MASTER_DATABASE!$A$4:$A$1000,$B44)&amp;"")</f>
        <v/>
      </c>
      <c r="D44" s="7" t="str">
        <f aca="false">IF($B44="","",INDEX(MASTER_DATABASE!$D$4:$D$1000,$B44)&amp;"")</f>
        <v/>
      </c>
      <c r="E44" s="7" t="str">
        <f aca="false">IF($B44="","",INDEX(MASTER_DATABASE!$E$4:$E$1000,$B44)&amp;"")</f>
        <v/>
      </c>
      <c r="F44" s="7" t="str">
        <f aca="false">IF($B44="","",INDEX(MASTER_DATABASE!$F$4:$F$1000,$B44)&amp;"")</f>
        <v/>
      </c>
      <c r="G44" s="11" t="str">
        <f aca="false">IF($B44="","",INDEX(MASTER_DATABASE!$I$4:$I$1000,$B44)&amp;"")</f>
        <v/>
      </c>
      <c r="H44" s="7" t="str">
        <f aca="false">IF($B44="","",INDEX(MASTER_DATABASE!$L$4:$L$1000,$B44)&amp;"")</f>
        <v/>
      </c>
      <c r="I44" s="9" t="str">
        <f aca="false">IF($B44="","",INDEX(MASTER_DATABASE!$R$4:$R$1000,$B44))</f>
        <v/>
      </c>
      <c r="J44" s="9" t="str">
        <f aca="false">IF($B44="","",INDEX(MASTER_DATABASE!$S$4:$S$1000,$B44))</f>
        <v/>
      </c>
      <c r="K44" s="9" t="str">
        <f aca="false">IF($B44="","",INDEX(MASTER_DATABASE!$T$4:$T$1000,$B44))</f>
        <v/>
      </c>
      <c r="L44" s="7" t="str">
        <f aca="false">IF($B44="","",INDEX(MASTER_DATABASE!$U$4:$U$1000,$B44)&amp;"")</f>
        <v/>
      </c>
      <c r="M44" s="7" t="str">
        <f aca="false">IF($B44="","",INDEX(MASTER_DATABASE!$Q$4:$Q$1000,$B44)&amp;"")</f>
        <v/>
      </c>
      <c r="N44" s="7" t="str">
        <f aca="false">IF($B44="","",INDEX(MASTER_DATABASE!$AG$4:$AG$1000,$B44)&amp;"")</f>
        <v/>
      </c>
      <c r="O44" s="11" t="str">
        <f aca="false">IF($B44="","",INDEX(MASTER_DATABASE!$AH$4:$AH$1000,$B44)&amp;"")</f>
        <v/>
      </c>
      <c r="P44" s="11" t="str">
        <f aca="false">IF($B44="","",INDEX(MASTER_DATABASE!$BE$4:$BE$1000,$B44)&amp;"")</f>
        <v/>
      </c>
      <c r="Q44" s="7" t="str">
        <f aca="false">IF($B44="","",INDEX(MASTER_DATABASE!$AV$4:$AV$1000,$B44)&amp;"")</f>
        <v/>
      </c>
    </row>
    <row r="45" customFormat="false" ht="15" hidden="false" customHeight="false" outlineLevel="0" collapsed="false">
      <c r="A45" s="11" t="n">
        <v>42</v>
      </c>
      <c r="B45" s="11" t="str">
        <f aca="false">IFERROR(MATCH("Mobile Store|"&amp;$A45,MASTER_DATABASE!$BH$4:$BH$1000,0),"")</f>
        <v/>
      </c>
      <c r="C45" s="11" t="str">
        <f aca="false">IF($B45="","",INDEX(MASTER_DATABASE!$A$4:$A$1000,$B45)&amp;"")</f>
        <v/>
      </c>
      <c r="D45" s="7" t="str">
        <f aca="false">IF($B45="","",INDEX(MASTER_DATABASE!$D$4:$D$1000,$B45)&amp;"")</f>
        <v/>
      </c>
      <c r="E45" s="7" t="str">
        <f aca="false">IF($B45="","",INDEX(MASTER_DATABASE!$E$4:$E$1000,$B45)&amp;"")</f>
        <v/>
      </c>
      <c r="F45" s="7" t="str">
        <f aca="false">IF($B45="","",INDEX(MASTER_DATABASE!$F$4:$F$1000,$B45)&amp;"")</f>
        <v/>
      </c>
      <c r="G45" s="11" t="str">
        <f aca="false">IF($B45="","",INDEX(MASTER_DATABASE!$I$4:$I$1000,$B45)&amp;"")</f>
        <v/>
      </c>
      <c r="H45" s="7" t="str">
        <f aca="false">IF($B45="","",INDEX(MASTER_DATABASE!$L$4:$L$1000,$B45)&amp;"")</f>
        <v/>
      </c>
      <c r="I45" s="9" t="str">
        <f aca="false">IF($B45="","",INDEX(MASTER_DATABASE!$R$4:$R$1000,$B45))</f>
        <v/>
      </c>
      <c r="J45" s="9" t="str">
        <f aca="false">IF($B45="","",INDEX(MASTER_DATABASE!$S$4:$S$1000,$B45))</f>
        <v/>
      </c>
      <c r="K45" s="9" t="str">
        <f aca="false">IF($B45="","",INDEX(MASTER_DATABASE!$T$4:$T$1000,$B45))</f>
        <v/>
      </c>
      <c r="L45" s="7" t="str">
        <f aca="false">IF($B45="","",INDEX(MASTER_DATABASE!$U$4:$U$1000,$B45)&amp;"")</f>
        <v/>
      </c>
      <c r="M45" s="7" t="str">
        <f aca="false">IF($B45="","",INDEX(MASTER_DATABASE!$Q$4:$Q$1000,$B45)&amp;"")</f>
        <v/>
      </c>
      <c r="N45" s="7" t="str">
        <f aca="false">IF($B45="","",INDEX(MASTER_DATABASE!$AG$4:$AG$1000,$B45)&amp;"")</f>
        <v/>
      </c>
      <c r="O45" s="11" t="str">
        <f aca="false">IF($B45="","",INDEX(MASTER_DATABASE!$AH$4:$AH$1000,$B45)&amp;"")</f>
        <v/>
      </c>
      <c r="P45" s="11" t="str">
        <f aca="false">IF($B45="","",INDEX(MASTER_DATABASE!$BE$4:$BE$1000,$B45)&amp;"")</f>
        <v/>
      </c>
      <c r="Q45" s="7" t="str">
        <f aca="false">IF($B45="","",INDEX(MASTER_DATABASE!$AV$4:$AV$1000,$B45)&amp;"")</f>
        <v/>
      </c>
    </row>
    <row r="46" customFormat="false" ht="15" hidden="false" customHeight="false" outlineLevel="0" collapsed="false">
      <c r="A46" s="11" t="n">
        <v>43</v>
      </c>
      <c r="B46" s="11" t="str">
        <f aca="false">IFERROR(MATCH("Mobile Store|"&amp;$A46,MASTER_DATABASE!$BH$4:$BH$1000,0),"")</f>
        <v/>
      </c>
      <c r="C46" s="11" t="str">
        <f aca="false">IF($B46="","",INDEX(MASTER_DATABASE!$A$4:$A$1000,$B46)&amp;"")</f>
        <v/>
      </c>
      <c r="D46" s="7" t="str">
        <f aca="false">IF($B46="","",INDEX(MASTER_DATABASE!$D$4:$D$1000,$B46)&amp;"")</f>
        <v/>
      </c>
      <c r="E46" s="7" t="str">
        <f aca="false">IF($B46="","",INDEX(MASTER_DATABASE!$E$4:$E$1000,$B46)&amp;"")</f>
        <v/>
      </c>
      <c r="F46" s="7" t="str">
        <f aca="false">IF($B46="","",INDEX(MASTER_DATABASE!$F$4:$F$1000,$B46)&amp;"")</f>
        <v/>
      </c>
      <c r="G46" s="11" t="str">
        <f aca="false">IF($B46="","",INDEX(MASTER_DATABASE!$I$4:$I$1000,$B46)&amp;"")</f>
        <v/>
      </c>
      <c r="H46" s="7" t="str">
        <f aca="false">IF($B46="","",INDEX(MASTER_DATABASE!$L$4:$L$1000,$B46)&amp;"")</f>
        <v/>
      </c>
      <c r="I46" s="9" t="str">
        <f aca="false">IF($B46="","",INDEX(MASTER_DATABASE!$R$4:$R$1000,$B46))</f>
        <v/>
      </c>
      <c r="J46" s="9" t="str">
        <f aca="false">IF($B46="","",INDEX(MASTER_DATABASE!$S$4:$S$1000,$B46))</f>
        <v/>
      </c>
      <c r="K46" s="9" t="str">
        <f aca="false">IF($B46="","",INDEX(MASTER_DATABASE!$T$4:$T$1000,$B46))</f>
        <v/>
      </c>
      <c r="L46" s="7" t="str">
        <f aca="false">IF($B46="","",INDEX(MASTER_DATABASE!$U$4:$U$1000,$B46)&amp;"")</f>
        <v/>
      </c>
      <c r="M46" s="7" t="str">
        <f aca="false">IF($B46="","",INDEX(MASTER_DATABASE!$Q$4:$Q$1000,$B46)&amp;"")</f>
        <v/>
      </c>
      <c r="N46" s="7" t="str">
        <f aca="false">IF($B46="","",INDEX(MASTER_DATABASE!$AG$4:$AG$1000,$B46)&amp;"")</f>
        <v/>
      </c>
      <c r="O46" s="11" t="str">
        <f aca="false">IF($B46="","",INDEX(MASTER_DATABASE!$AH$4:$AH$1000,$B46)&amp;"")</f>
        <v/>
      </c>
      <c r="P46" s="11" t="str">
        <f aca="false">IF($B46="","",INDEX(MASTER_DATABASE!$BE$4:$BE$1000,$B46)&amp;"")</f>
        <v/>
      </c>
      <c r="Q46" s="7" t="str">
        <f aca="false">IF($B46="","",INDEX(MASTER_DATABASE!$AV$4:$AV$1000,$B46)&amp;"")</f>
        <v/>
      </c>
    </row>
    <row r="47" customFormat="false" ht="15" hidden="false" customHeight="false" outlineLevel="0" collapsed="false">
      <c r="A47" s="11" t="n">
        <v>44</v>
      </c>
      <c r="B47" s="11" t="str">
        <f aca="false">IFERROR(MATCH("Mobile Store|"&amp;$A47,MASTER_DATABASE!$BH$4:$BH$1000,0),"")</f>
        <v/>
      </c>
      <c r="C47" s="11" t="str">
        <f aca="false">IF($B47="","",INDEX(MASTER_DATABASE!$A$4:$A$1000,$B47)&amp;"")</f>
        <v/>
      </c>
      <c r="D47" s="7" t="str">
        <f aca="false">IF($B47="","",INDEX(MASTER_DATABASE!$D$4:$D$1000,$B47)&amp;"")</f>
        <v/>
      </c>
      <c r="E47" s="7" t="str">
        <f aca="false">IF($B47="","",INDEX(MASTER_DATABASE!$E$4:$E$1000,$B47)&amp;"")</f>
        <v/>
      </c>
      <c r="F47" s="7" t="str">
        <f aca="false">IF($B47="","",INDEX(MASTER_DATABASE!$F$4:$F$1000,$B47)&amp;"")</f>
        <v/>
      </c>
      <c r="G47" s="11" t="str">
        <f aca="false">IF($B47="","",INDEX(MASTER_DATABASE!$I$4:$I$1000,$B47)&amp;"")</f>
        <v/>
      </c>
      <c r="H47" s="7" t="str">
        <f aca="false">IF($B47="","",INDEX(MASTER_DATABASE!$L$4:$L$1000,$B47)&amp;"")</f>
        <v/>
      </c>
      <c r="I47" s="9" t="str">
        <f aca="false">IF($B47="","",INDEX(MASTER_DATABASE!$R$4:$R$1000,$B47))</f>
        <v/>
      </c>
      <c r="J47" s="9" t="str">
        <f aca="false">IF($B47="","",INDEX(MASTER_DATABASE!$S$4:$S$1000,$B47))</f>
        <v/>
      </c>
      <c r="K47" s="9" t="str">
        <f aca="false">IF($B47="","",INDEX(MASTER_DATABASE!$T$4:$T$1000,$B47))</f>
        <v/>
      </c>
      <c r="L47" s="7" t="str">
        <f aca="false">IF($B47="","",INDEX(MASTER_DATABASE!$U$4:$U$1000,$B47)&amp;"")</f>
        <v/>
      </c>
      <c r="M47" s="7" t="str">
        <f aca="false">IF($B47="","",INDEX(MASTER_DATABASE!$Q$4:$Q$1000,$B47)&amp;"")</f>
        <v/>
      </c>
      <c r="N47" s="7" t="str">
        <f aca="false">IF($B47="","",INDEX(MASTER_DATABASE!$AG$4:$AG$1000,$B47)&amp;"")</f>
        <v/>
      </c>
      <c r="O47" s="11" t="str">
        <f aca="false">IF($B47="","",INDEX(MASTER_DATABASE!$AH$4:$AH$1000,$B47)&amp;"")</f>
        <v/>
      </c>
      <c r="P47" s="11" t="str">
        <f aca="false">IF($B47="","",INDEX(MASTER_DATABASE!$BE$4:$BE$1000,$B47)&amp;"")</f>
        <v/>
      </c>
      <c r="Q47" s="7" t="str">
        <f aca="false">IF($B47="","",INDEX(MASTER_DATABASE!$AV$4:$AV$1000,$B47)&amp;"")</f>
        <v/>
      </c>
    </row>
    <row r="48" customFormat="false" ht="15" hidden="false" customHeight="false" outlineLevel="0" collapsed="false">
      <c r="A48" s="11" t="n">
        <v>45</v>
      </c>
      <c r="B48" s="11" t="str">
        <f aca="false">IFERROR(MATCH("Mobile Store|"&amp;$A48,MASTER_DATABASE!$BH$4:$BH$1000,0),"")</f>
        <v/>
      </c>
      <c r="C48" s="11" t="str">
        <f aca="false">IF($B48="","",INDEX(MASTER_DATABASE!$A$4:$A$1000,$B48)&amp;"")</f>
        <v/>
      </c>
      <c r="D48" s="7" t="str">
        <f aca="false">IF($B48="","",INDEX(MASTER_DATABASE!$D$4:$D$1000,$B48)&amp;"")</f>
        <v/>
      </c>
      <c r="E48" s="7" t="str">
        <f aca="false">IF($B48="","",INDEX(MASTER_DATABASE!$E$4:$E$1000,$B48)&amp;"")</f>
        <v/>
      </c>
      <c r="F48" s="7" t="str">
        <f aca="false">IF($B48="","",INDEX(MASTER_DATABASE!$F$4:$F$1000,$B48)&amp;"")</f>
        <v/>
      </c>
      <c r="G48" s="11" t="str">
        <f aca="false">IF($B48="","",INDEX(MASTER_DATABASE!$I$4:$I$1000,$B48)&amp;"")</f>
        <v/>
      </c>
      <c r="H48" s="7" t="str">
        <f aca="false">IF($B48="","",INDEX(MASTER_DATABASE!$L$4:$L$1000,$B48)&amp;"")</f>
        <v/>
      </c>
      <c r="I48" s="9" t="str">
        <f aca="false">IF($B48="","",INDEX(MASTER_DATABASE!$R$4:$R$1000,$B48))</f>
        <v/>
      </c>
      <c r="J48" s="9" t="str">
        <f aca="false">IF($B48="","",INDEX(MASTER_DATABASE!$S$4:$S$1000,$B48))</f>
        <v/>
      </c>
      <c r="K48" s="9" t="str">
        <f aca="false">IF($B48="","",INDEX(MASTER_DATABASE!$T$4:$T$1000,$B48))</f>
        <v/>
      </c>
      <c r="L48" s="7" t="str">
        <f aca="false">IF($B48="","",INDEX(MASTER_DATABASE!$U$4:$U$1000,$B48)&amp;"")</f>
        <v/>
      </c>
      <c r="M48" s="7" t="str">
        <f aca="false">IF($B48="","",INDEX(MASTER_DATABASE!$Q$4:$Q$1000,$B48)&amp;"")</f>
        <v/>
      </c>
      <c r="N48" s="7" t="str">
        <f aca="false">IF($B48="","",INDEX(MASTER_DATABASE!$AG$4:$AG$1000,$B48)&amp;"")</f>
        <v/>
      </c>
      <c r="O48" s="11" t="str">
        <f aca="false">IF($B48="","",INDEX(MASTER_DATABASE!$AH$4:$AH$1000,$B48)&amp;"")</f>
        <v/>
      </c>
      <c r="P48" s="11" t="str">
        <f aca="false">IF($B48="","",INDEX(MASTER_DATABASE!$BE$4:$BE$1000,$B48)&amp;"")</f>
        <v/>
      </c>
      <c r="Q48" s="7" t="str">
        <f aca="false">IF($B48="","",INDEX(MASTER_DATABASE!$AV$4:$AV$1000,$B48)&amp;"")</f>
        <v/>
      </c>
    </row>
    <row r="49" customFormat="false" ht="15" hidden="false" customHeight="false" outlineLevel="0" collapsed="false">
      <c r="A49" s="11" t="n">
        <v>46</v>
      </c>
      <c r="B49" s="11" t="str">
        <f aca="false">IFERROR(MATCH("Mobile Store|"&amp;$A49,MASTER_DATABASE!$BH$4:$BH$1000,0),"")</f>
        <v/>
      </c>
      <c r="C49" s="11" t="str">
        <f aca="false">IF($B49="","",INDEX(MASTER_DATABASE!$A$4:$A$1000,$B49)&amp;"")</f>
        <v/>
      </c>
      <c r="D49" s="7" t="str">
        <f aca="false">IF($B49="","",INDEX(MASTER_DATABASE!$D$4:$D$1000,$B49)&amp;"")</f>
        <v/>
      </c>
      <c r="E49" s="7" t="str">
        <f aca="false">IF($B49="","",INDEX(MASTER_DATABASE!$E$4:$E$1000,$B49)&amp;"")</f>
        <v/>
      </c>
      <c r="F49" s="7" t="str">
        <f aca="false">IF($B49="","",INDEX(MASTER_DATABASE!$F$4:$F$1000,$B49)&amp;"")</f>
        <v/>
      </c>
      <c r="G49" s="11" t="str">
        <f aca="false">IF($B49="","",INDEX(MASTER_DATABASE!$I$4:$I$1000,$B49)&amp;"")</f>
        <v/>
      </c>
      <c r="H49" s="7" t="str">
        <f aca="false">IF($B49="","",INDEX(MASTER_DATABASE!$L$4:$L$1000,$B49)&amp;"")</f>
        <v/>
      </c>
      <c r="I49" s="9" t="str">
        <f aca="false">IF($B49="","",INDEX(MASTER_DATABASE!$R$4:$R$1000,$B49))</f>
        <v/>
      </c>
      <c r="J49" s="9" t="str">
        <f aca="false">IF($B49="","",INDEX(MASTER_DATABASE!$S$4:$S$1000,$B49))</f>
        <v/>
      </c>
      <c r="K49" s="9" t="str">
        <f aca="false">IF($B49="","",INDEX(MASTER_DATABASE!$T$4:$T$1000,$B49))</f>
        <v/>
      </c>
      <c r="L49" s="7" t="str">
        <f aca="false">IF($B49="","",INDEX(MASTER_DATABASE!$U$4:$U$1000,$B49)&amp;"")</f>
        <v/>
      </c>
      <c r="M49" s="7" t="str">
        <f aca="false">IF($B49="","",INDEX(MASTER_DATABASE!$Q$4:$Q$1000,$B49)&amp;"")</f>
        <v/>
      </c>
      <c r="N49" s="7" t="str">
        <f aca="false">IF($B49="","",INDEX(MASTER_DATABASE!$AG$4:$AG$1000,$B49)&amp;"")</f>
        <v/>
      </c>
      <c r="O49" s="11" t="str">
        <f aca="false">IF($B49="","",INDEX(MASTER_DATABASE!$AH$4:$AH$1000,$B49)&amp;"")</f>
        <v/>
      </c>
      <c r="P49" s="11" t="str">
        <f aca="false">IF($B49="","",INDEX(MASTER_DATABASE!$BE$4:$BE$1000,$B49)&amp;"")</f>
        <v/>
      </c>
      <c r="Q49" s="7" t="str">
        <f aca="false">IF($B49="","",INDEX(MASTER_DATABASE!$AV$4:$AV$1000,$B49)&amp;"")</f>
        <v/>
      </c>
    </row>
    <row r="50" customFormat="false" ht="15" hidden="false" customHeight="false" outlineLevel="0" collapsed="false">
      <c r="A50" s="11" t="n">
        <v>47</v>
      </c>
      <c r="B50" s="11" t="str">
        <f aca="false">IFERROR(MATCH("Mobile Store|"&amp;$A50,MASTER_DATABASE!$BH$4:$BH$1000,0),"")</f>
        <v/>
      </c>
      <c r="C50" s="11" t="str">
        <f aca="false">IF($B50="","",INDEX(MASTER_DATABASE!$A$4:$A$1000,$B50)&amp;"")</f>
        <v/>
      </c>
      <c r="D50" s="7" t="str">
        <f aca="false">IF($B50="","",INDEX(MASTER_DATABASE!$D$4:$D$1000,$B50)&amp;"")</f>
        <v/>
      </c>
      <c r="E50" s="7" t="str">
        <f aca="false">IF($B50="","",INDEX(MASTER_DATABASE!$E$4:$E$1000,$B50)&amp;"")</f>
        <v/>
      </c>
      <c r="F50" s="7" t="str">
        <f aca="false">IF($B50="","",INDEX(MASTER_DATABASE!$F$4:$F$1000,$B50)&amp;"")</f>
        <v/>
      </c>
      <c r="G50" s="11" t="str">
        <f aca="false">IF($B50="","",INDEX(MASTER_DATABASE!$I$4:$I$1000,$B50)&amp;"")</f>
        <v/>
      </c>
      <c r="H50" s="7" t="str">
        <f aca="false">IF($B50="","",INDEX(MASTER_DATABASE!$L$4:$L$1000,$B50)&amp;"")</f>
        <v/>
      </c>
      <c r="I50" s="9" t="str">
        <f aca="false">IF($B50="","",INDEX(MASTER_DATABASE!$R$4:$R$1000,$B50))</f>
        <v/>
      </c>
      <c r="J50" s="9" t="str">
        <f aca="false">IF($B50="","",INDEX(MASTER_DATABASE!$S$4:$S$1000,$B50))</f>
        <v/>
      </c>
      <c r="K50" s="9" t="str">
        <f aca="false">IF($B50="","",INDEX(MASTER_DATABASE!$T$4:$T$1000,$B50))</f>
        <v/>
      </c>
      <c r="L50" s="7" t="str">
        <f aca="false">IF($B50="","",INDEX(MASTER_DATABASE!$U$4:$U$1000,$B50)&amp;"")</f>
        <v/>
      </c>
      <c r="M50" s="7" t="str">
        <f aca="false">IF($B50="","",INDEX(MASTER_DATABASE!$Q$4:$Q$1000,$B50)&amp;"")</f>
        <v/>
      </c>
      <c r="N50" s="7" t="str">
        <f aca="false">IF($B50="","",INDEX(MASTER_DATABASE!$AG$4:$AG$1000,$B50)&amp;"")</f>
        <v/>
      </c>
      <c r="O50" s="11" t="str">
        <f aca="false">IF($B50="","",INDEX(MASTER_DATABASE!$AH$4:$AH$1000,$B50)&amp;"")</f>
        <v/>
      </c>
      <c r="P50" s="11" t="str">
        <f aca="false">IF($B50="","",INDEX(MASTER_DATABASE!$BE$4:$BE$1000,$B50)&amp;"")</f>
        <v/>
      </c>
      <c r="Q50" s="7" t="str">
        <f aca="false">IF($B50="","",INDEX(MASTER_DATABASE!$AV$4:$AV$1000,$B50)&amp;"")</f>
        <v/>
      </c>
    </row>
  </sheetData>
  <conditionalFormatting sqref="G4:G50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50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50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3692</v>
      </c>
    </row>
    <row r="2" customFormat="false" ht="15" hidden="false" customHeight="false" outlineLevel="0" collapsed="false">
      <c r="A2" s="2" t="s">
        <v>3693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15" hidden="false" customHeight="false" outlineLevel="0" collapsed="false">
      <c r="A4" s="11" t="n">
        <v>1</v>
      </c>
      <c r="B4" s="11" t="n">
        <f aca="false">IFERROR(MATCH("Printing / Xerox / Scanning|"&amp;$A4,MASTER_DATABASE!$BH$4:$BH$1000,0),"")</f>
        <v>178</v>
      </c>
      <c r="C4" s="11" t="str">
        <f aca="false">IF($B4="","",INDEX(MASTER_DATABASE!$A$4:$A$1000,$B4)&amp;"")</f>
        <v>PRT-001</v>
      </c>
      <c r="D4" s="7" t="str">
        <f aca="false">IF($B4="","",INDEX(MASTER_DATABASE!$D$4:$D$1000,$B4)&amp;"")</f>
        <v>Printing &amp; Copying</v>
      </c>
      <c r="E4" s="7" t="str">
        <f aca="false">IF($B4="","",INDEX(MASTER_DATABASE!$E$4:$E$1000,$B4)&amp;"")</f>
        <v>B/W Print</v>
      </c>
      <c r="F4" s="7" t="str">
        <f aca="false">IF($B4="","",INDEX(MASTER_DATABASE!$F$4:$F$1000,$B4)&amp;"")</f>
        <v>सादा (B/W) प्रिंट</v>
      </c>
      <c r="G4" s="11" t="str">
        <f aca="false">IF($B4="","",INDEX(MASTER_DATABASE!$I$4:$I$1000,$B4)&amp;"")</f>
        <v>Available</v>
      </c>
      <c r="H4" s="7" t="str">
        <f aca="false">IF($B4="","",INDEX(MASTER_DATABASE!$L$4:$L$1000,$B4)&amp;"")</f>
        <v>Not Applicable</v>
      </c>
      <c r="I4" s="9" t="str">
        <f aca="false">IF($B4="","",INDEX(MASTER_DATABASE!$R$4:$R$1000,$B4))</f>
        <v>N/A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Shop Charge Only</v>
      </c>
      <c r="M4" s="7" t="str">
        <f aca="false">IF($B4="","",INDEX(MASTER_DATABASE!$Q$4:$Q$1000,$B4)&amp;"")</f>
        <v>5–10 Minutes</v>
      </c>
      <c r="N4" s="7" t="str">
        <f aca="false">IF($B4="","",INDEX(MASTER_DATABASE!$AG$4:$AG$1000,$B4)&amp;"")</f>
        <v>Active</v>
      </c>
      <c r="O4" s="11" t="str">
        <f aca="false">IF($B4="","",INDEX(MASTER_DATABASE!$AH$4:$AH$1000,$B4)&amp;"")</f>
        <v>Yes</v>
      </c>
      <c r="P4" s="11" t="str">
        <f aca="false">IF($B4="","",INDEX(MASTER_DATABASE!$BE$4:$BE$1000,$B4)&amp;"")</f>
        <v>LIVE</v>
      </c>
      <c r="Q4" s="7" t="str">
        <f aca="false">IF($B4="","",INDEX(MASTER_DATABASE!$AV$4:$AV$1000,$B4)&amp;"")</f>
        <v>To Verify</v>
      </c>
    </row>
    <row r="5" customFormat="false" ht="15" hidden="false" customHeight="false" outlineLevel="0" collapsed="false">
      <c r="A5" s="11" t="n">
        <v>2</v>
      </c>
      <c r="B5" s="11" t="n">
        <f aca="false">IFERROR(MATCH("Printing / Xerox / Scanning|"&amp;$A5,MASTER_DATABASE!$BH$4:$BH$1000,0),"")</f>
        <v>179</v>
      </c>
      <c r="C5" s="11" t="str">
        <f aca="false">IF($B5="","",INDEX(MASTER_DATABASE!$A$4:$A$1000,$B5)&amp;"")</f>
        <v>PRT-002</v>
      </c>
      <c r="D5" s="7" t="str">
        <f aca="false">IF($B5="","",INDEX(MASTER_DATABASE!$D$4:$D$1000,$B5)&amp;"")</f>
        <v>Printing &amp; Copying</v>
      </c>
      <c r="E5" s="7" t="str">
        <f aca="false">IF($B5="","",INDEX(MASTER_DATABASE!$E$4:$E$1000,$B5)&amp;"")</f>
        <v>Colour Print</v>
      </c>
      <c r="F5" s="7" t="str">
        <f aca="false">IF($B5="","",INDEX(MASTER_DATABASE!$F$4:$F$1000,$B5)&amp;"")</f>
        <v>रंगीन प्रिंट</v>
      </c>
      <c r="G5" s="11" t="str">
        <f aca="false">IF($B5="","",INDEX(MASTER_DATABASE!$I$4:$I$1000,$B5)&amp;"")</f>
        <v>Available</v>
      </c>
      <c r="H5" s="7" t="str">
        <f aca="false">IF($B5="","",INDEX(MASTER_DATABASE!$L$4:$L$1000,$B5)&amp;"")</f>
        <v>Not Applicable</v>
      </c>
      <c r="I5" s="9" t="str">
        <f aca="false">IF($B5="","",INDEX(MASTER_DATABASE!$R$4:$R$1000,$B5))</f>
        <v>N/A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Shop Charge Only</v>
      </c>
      <c r="M5" s="7" t="str">
        <f aca="false">IF($B5="","",INDEX(MASTER_DATABASE!$Q$4:$Q$1000,$B5)&amp;"")</f>
        <v>5–10 Minutes</v>
      </c>
      <c r="N5" s="7" t="str">
        <f aca="false">IF($B5="","",INDEX(MASTER_DATABASE!$AG$4:$AG$1000,$B5)&amp;"")</f>
        <v>Active</v>
      </c>
      <c r="O5" s="11" t="str">
        <f aca="false">IF($B5="","",INDEX(MASTER_DATABASE!$AH$4:$AH$1000,$B5)&amp;"")</f>
        <v>Yes</v>
      </c>
      <c r="P5" s="11" t="str">
        <f aca="false">IF($B5="","",INDEX(MASTER_DATABASE!$BE$4:$BE$1000,$B5)&amp;"")</f>
        <v>LIVE</v>
      </c>
      <c r="Q5" s="7" t="str">
        <f aca="false">IF($B5="","",INDEX(MASTER_DATABASE!$AV$4:$AV$1000,$B5)&amp;"")</f>
        <v>To Verify</v>
      </c>
    </row>
    <row r="6" customFormat="false" ht="15" hidden="false" customHeight="false" outlineLevel="0" collapsed="false">
      <c r="A6" s="11" t="n">
        <v>3</v>
      </c>
      <c r="B6" s="11" t="n">
        <f aca="false">IFERROR(MATCH("Printing / Xerox / Scanning|"&amp;$A6,MASTER_DATABASE!$BH$4:$BH$1000,0),"")</f>
        <v>180</v>
      </c>
      <c r="C6" s="11" t="str">
        <f aca="false">IF($B6="","",INDEX(MASTER_DATABASE!$A$4:$A$1000,$B6)&amp;"")</f>
        <v>PRT-003</v>
      </c>
      <c r="D6" s="7" t="str">
        <f aca="false">IF($B6="","",INDEX(MASTER_DATABASE!$D$4:$D$1000,$B6)&amp;"")</f>
        <v>Printing &amp; Copying</v>
      </c>
      <c r="E6" s="7" t="str">
        <f aca="false">IF($B6="","",INDEX(MASTER_DATABASE!$E$4:$E$1000,$B6)&amp;"")</f>
        <v>Xerox (Photocopy)</v>
      </c>
      <c r="F6" s="7" t="str">
        <f aca="false">IF($B6="","",INDEX(MASTER_DATABASE!$F$4:$F$1000,$B6)&amp;"")</f>
        <v>ज़ेरॉक्स (फोटोकॉपी)</v>
      </c>
      <c r="G6" s="11" t="str">
        <f aca="false">IF($B6="","",INDEX(MASTER_DATABASE!$I$4:$I$1000,$B6)&amp;"")</f>
        <v>Available</v>
      </c>
      <c r="H6" s="7" t="str">
        <f aca="false">IF($B6="","",INDEX(MASTER_DATABASE!$L$4:$L$1000,$B6)&amp;"")</f>
        <v>Not Applicable</v>
      </c>
      <c r="I6" s="9" t="str">
        <f aca="false">IF($B6="","",INDEX(MASTER_DATABASE!$R$4:$R$1000,$B6))</f>
        <v>N/A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Shop Charge Only</v>
      </c>
      <c r="M6" s="7" t="str">
        <f aca="false">IF($B6="","",INDEX(MASTER_DATABASE!$Q$4:$Q$1000,$B6)&amp;"")</f>
        <v>5–10 Minutes</v>
      </c>
      <c r="N6" s="7" t="str">
        <f aca="false">IF($B6="","",INDEX(MASTER_DATABASE!$AG$4:$AG$1000,$B6)&amp;"")</f>
        <v>Active</v>
      </c>
      <c r="O6" s="11" t="str">
        <f aca="false">IF($B6="","",INDEX(MASTER_DATABASE!$AH$4:$AH$1000,$B6)&amp;"")</f>
        <v>Yes</v>
      </c>
      <c r="P6" s="11" t="str">
        <f aca="false">IF($B6="","",INDEX(MASTER_DATABASE!$BE$4:$BE$1000,$B6)&amp;"")</f>
        <v>LIVE</v>
      </c>
      <c r="Q6" s="7" t="str">
        <f aca="false">IF($B6="","",INDEX(MASTER_DATABASE!$AV$4:$AV$1000,$B6)&amp;"")</f>
        <v>To Verify</v>
      </c>
    </row>
    <row r="7" customFormat="false" ht="15" hidden="false" customHeight="false" outlineLevel="0" collapsed="false">
      <c r="A7" s="11" t="n">
        <v>4</v>
      </c>
      <c r="B7" s="11" t="n">
        <f aca="false">IFERROR(MATCH("Printing / Xerox / Scanning|"&amp;$A7,MASTER_DATABASE!$BH$4:$BH$1000,0),"")</f>
        <v>181</v>
      </c>
      <c r="C7" s="11" t="str">
        <f aca="false">IF($B7="","",INDEX(MASTER_DATABASE!$A$4:$A$1000,$B7)&amp;"")</f>
        <v>PRT-004</v>
      </c>
      <c r="D7" s="7" t="str">
        <f aca="false">IF($B7="","",INDEX(MASTER_DATABASE!$D$4:$D$1000,$B7)&amp;"")</f>
        <v>Printing &amp; Copying</v>
      </c>
      <c r="E7" s="7" t="str">
        <f aca="false">IF($B7="","",INDEX(MASTER_DATABASE!$E$4:$E$1000,$B7)&amp;"")</f>
        <v>PDF Print</v>
      </c>
      <c r="F7" s="7" t="str">
        <f aca="false">IF($B7="","",INDEX(MASTER_DATABASE!$F$4:$F$1000,$B7)&amp;"")</f>
        <v>PDF प्रिंट</v>
      </c>
      <c r="G7" s="11" t="str">
        <f aca="false">IF($B7="","",INDEX(MASTER_DATABASE!$I$4:$I$1000,$B7)&amp;"")</f>
        <v>Available</v>
      </c>
      <c r="H7" s="7" t="str">
        <f aca="false">IF($B7="","",INDEX(MASTER_DATABASE!$L$4:$L$1000,$B7)&amp;"")</f>
        <v>Not Applicable</v>
      </c>
      <c r="I7" s="9" t="str">
        <f aca="false">IF($B7="","",INDEX(MASTER_DATABASE!$R$4:$R$1000,$B7))</f>
        <v>N/A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Shop Charge Only</v>
      </c>
      <c r="M7" s="7" t="str">
        <f aca="false">IF($B7="","",INDEX(MASTER_DATABASE!$Q$4:$Q$1000,$B7)&amp;"")</f>
        <v>5–10 Minutes</v>
      </c>
      <c r="N7" s="7" t="str">
        <f aca="false">IF($B7="","",INDEX(MASTER_DATABASE!$AG$4:$AG$1000,$B7)&amp;"")</f>
        <v>Active</v>
      </c>
      <c r="O7" s="11" t="str">
        <f aca="false">IF($B7="","",INDEX(MASTER_DATABASE!$AH$4:$AH$1000,$B7)&amp;"")</f>
        <v>Yes</v>
      </c>
      <c r="P7" s="11" t="str">
        <f aca="false">IF($B7="","",INDEX(MASTER_DATABASE!$BE$4:$BE$1000,$B7)&amp;"")</f>
        <v>LIVE</v>
      </c>
      <c r="Q7" s="7" t="str">
        <f aca="false">IF($B7="","",INDEX(MASTER_DATABASE!$AV$4:$AV$1000,$B7)&amp;"")</f>
        <v>To Verify</v>
      </c>
    </row>
    <row r="8" customFormat="false" ht="15" hidden="false" customHeight="false" outlineLevel="0" collapsed="false">
      <c r="A8" s="11" t="n">
        <v>5</v>
      </c>
      <c r="B8" s="11" t="n">
        <f aca="false">IFERROR(MATCH("Printing / Xerox / Scanning|"&amp;$A8,MASTER_DATABASE!$BH$4:$BH$1000,0),"")</f>
        <v>182</v>
      </c>
      <c r="C8" s="11" t="str">
        <f aca="false">IF($B8="","",INDEX(MASTER_DATABASE!$A$4:$A$1000,$B8)&amp;"")</f>
        <v>PRT-005</v>
      </c>
      <c r="D8" s="7" t="str">
        <f aca="false">IF($B8="","",INDEX(MASTER_DATABASE!$D$4:$D$1000,$B8)&amp;"")</f>
        <v>Printing &amp; Copying</v>
      </c>
      <c r="E8" s="7" t="str">
        <f aca="false">IF($B8="","",INDEX(MASTER_DATABASE!$E$4:$E$1000,$B8)&amp;"")</f>
        <v>A3 / Large Size Print</v>
      </c>
      <c r="F8" s="7" t="str">
        <f aca="false">IF($B8="","",INDEX(MASTER_DATABASE!$F$4:$F$1000,$B8)&amp;"")</f>
        <v>A3 / बड़े साइज़ का प्रिंट</v>
      </c>
      <c r="G8" s="11" t="str">
        <f aca="false">IF($B8="","",INDEX(MASTER_DATABASE!$I$4:$I$1000,$B8)&amp;"")</f>
        <v>To Verify</v>
      </c>
      <c r="H8" s="7" t="str">
        <f aca="false">IF($B8="","",INDEX(MASTER_DATABASE!$L$4:$L$1000,$B8)&amp;"")</f>
        <v>To Verify</v>
      </c>
      <c r="I8" s="9" t="str">
        <f aca="false">IF($B8="","",INDEX(MASTER_DATABASE!$R$4:$R$1000,$B8))</f>
        <v>N/A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Shop Charge Only</v>
      </c>
      <c r="M8" s="7" t="str">
        <f aca="false">IF($B8="","",INDEX(MASTER_DATABASE!$Q$4:$Q$1000,$B8)&amp;"")</f>
        <v>5–10 Minutes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15" hidden="false" customHeight="false" outlineLevel="0" collapsed="false">
      <c r="A9" s="11" t="n">
        <v>6</v>
      </c>
      <c r="B9" s="11" t="n">
        <f aca="false">IFERROR(MATCH("Printing / Xerox / Scanning|"&amp;$A9,MASTER_DATABASE!$BH$4:$BH$1000,0),"")</f>
        <v>183</v>
      </c>
      <c r="C9" s="11" t="str">
        <f aca="false">IF($B9="","",INDEX(MASTER_DATABASE!$A$4:$A$1000,$B9)&amp;"")</f>
        <v>PRT-006</v>
      </c>
      <c r="D9" s="7" t="str">
        <f aca="false">IF($B9="","",INDEX(MASTER_DATABASE!$D$4:$D$1000,$B9)&amp;"")</f>
        <v>Printing &amp; Copying</v>
      </c>
      <c r="E9" s="7" t="str">
        <f aca="false">IF($B9="","",INDEX(MASTER_DATABASE!$E$4:$E$1000,$B9)&amp;"")</f>
        <v>Print from Mobile (WhatsApp / Email / Drive)</v>
      </c>
      <c r="F9" s="7" t="str">
        <f aca="false">IF($B9="","",INDEX(MASTER_DATABASE!$F$4:$F$1000,$B9)&amp;"")</f>
        <v>मोबाइल से प्रिंट (WhatsApp / Email / Drive)</v>
      </c>
      <c r="G9" s="11" t="str">
        <f aca="false">IF($B9="","",INDEX(MASTER_DATABASE!$I$4:$I$1000,$B9)&amp;"")</f>
        <v>Available</v>
      </c>
      <c r="H9" s="7" t="str">
        <f aca="false">IF($B9="","",INDEX(MASTER_DATABASE!$L$4:$L$1000,$B9)&amp;"")</f>
        <v>Not Applicable</v>
      </c>
      <c r="I9" s="9" t="str">
        <f aca="false">IF($B9="","",INDEX(MASTER_DATABASE!$R$4:$R$1000,$B9))</f>
        <v>N/A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Shop Charge Only</v>
      </c>
      <c r="M9" s="7" t="str">
        <f aca="false">IF($B9="","",INDEX(MASTER_DATABASE!$Q$4:$Q$1000,$B9)&amp;"")</f>
        <v>5–10 Minutes</v>
      </c>
      <c r="N9" s="7" t="str">
        <f aca="false">IF($B9="","",INDEX(MASTER_DATABASE!$AG$4:$AG$1000,$B9)&amp;"")</f>
        <v>Active</v>
      </c>
      <c r="O9" s="11" t="str">
        <f aca="false">IF($B9="","",INDEX(MASTER_DATABASE!$AH$4:$AH$1000,$B9)&amp;"")</f>
        <v>Yes</v>
      </c>
      <c r="P9" s="11" t="str">
        <f aca="false">IF($B9="","",INDEX(MASTER_DATABASE!$BE$4:$BE$1000,$B9)&amp;"")</f>
        <v>LIVE</v>
      </c>
      <c r="Q9" s="7" t="str">
        <f aca="false">IF($B9="","",INDEX(MASTER_DATABASE!$AV$4:$AV$1000,$B9)&amp;"")</f>
        <v>To Verify</v>
      </c>
    </row>
    <row r="10" customFormat="false" ht="15" hidden="false" customHeight="false" outlineLevel="0" collapsed="false">
      <c r="A10" s="11" t="n">
        <v>7</v>
      </c>
      <c r="B10" s="11" t="n">
        <f aca="false">IFERROR(MATCH("Printing / Xerox / Scanning|"&amp;$A10,MASTER_DATABASE!$BH$4:$BH$1000,0),"")</f>
        <v>184</v>
      </c>
      <c r="C10" s="11" t="str">
        <f aca="false">IF($B10="","",INDEX(MASTER_DATABASE!$A$4:$A$1000,$B10)&amp;"")</f>
        <v>PRT-007</v>
      </c>
      <c r="D10" s="7" t="str">
        <f aca="false">IF($B10="","",INDEX(MASTER_DATABASE!$D$4:$D$1000,$B10)&amp;"")</f>
        <v>Scanning &amp; Finishing</v>
      </c>
      <c r="E10" s="7" t="str">
        <f aca="false">IF($B10="","",INDEX(MASTER_DATABASE!$E$4:$E$1000,$B10)&amp;"")</f>
        <v>Scanning</v>
      </c>
      <c r="F10" s="7" t="str">
        <f aca="false">IF($B10="","",INDEX(MASTER_DATABASE!$F$4:$F$1000,$B10)&amp;"")</f>
        <v>स्कैनिंग</v>
      </c>
      <c r="G10" s="11" t="str">
        <f aca="false">IF($B10="","",INDEX(MASTER_DATABASE!$I$4:$I$1000,$B10)&amp;"")</f>
        <v>Available</v>
      </c>
      <c r="H10" s="7" t="str">
        <f aca="false">IF($B10="","",INDEX(MASTER_DATABASE!$L$4:$L$1000,$B10)&amp;"")</f>
        <v>Not Applicable</v>
      </c>
      <c r="I10" s="9" t="str">
        <f aca="false">IF($B10="","",INDEX(MASTER_DATABASE!$R$4:$R$1000,$B10))</f>
        <v>N/A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Shop Charge Only</v>
      </c>
      <c r="M10" s="7" t="str">
        <f aca="false">IF($B10="","",INDEX(MASTER_DATABASE!$Q$4:$Q$1000,$B10)&amp;"")</f>
        <v>5–10 Minutes</v>
      </c>
      <c r="N10" s="7" t="str">
        <f aca="false">IF($B10="","",INDEX(MASTER_DATABASE!$AG$4:$AG$1000,$B10)&amp;"")</f>
        <v>Active</v>
      </c>
      <c r="O10" s="11" t="str">
        <f aca="false">IF($B10="","",INDEX(MASTER_DATABASE!$AH$4:$AH$1000,$B10)&amp;"")</f>
        <v>Yes</v>
      </c>
      <c r="P10" s="11" t="str">
        <f aca="false">IF($B10="","",INDEX(MASTER_DATABASE!$BE$4:$BE$1000,$B10)&amp;"")</f>
        <v>LIVE</v>
      </c>
      <c r="Q10" s="7" t="str">
        <f aca="false">IF($B10="","",INDEX(MASTER_DATABASE!$AV$4:$AV$1000,$B10)&amp;"")</f>
        <v>To Verify</v>
      </c>
    </row>
    <row r="11" customFormat="false" ht="15" hidden="false" customHeight="false" outlineLevel="0" collapsed="false">
      <c r="A11" s="11" t="n">
        <v>8</v>
      </c>
      <c r="B11" s="11" t="n">
        <f aca="false">IFERROR(MATCH("Printing / Xerox / Scanning|"&amp;$A11,MASTER_DATABASE!$BH$4:$BH$1000,0),"")</f>
        <v>185</v>
      </c>
      <c r="C11" s="11" t="str">
        <f aca="false">IF($B11="","",INDEX(MASTER_DATABASE!$A$4:$A$1000,$B11)&amp;"")</f>
        <v>PRT-008</v>
      </c>
      <c r="D11" s="7" t="str">
        <f aca="false">IF($B11="","",INDEX(MASTER_DATABASE!$D$4:$D$1000,$B11)&amp;"")</f>
        <v>Scanning &amp; Finishing</v>
      </c>
      <c r="E11" s="7" t="str">
        <f aca="false">IF($B11="","",INDEX(MASTER_DATABASE!$E$4:$E$1000,$B11)&amp;"")</f>
        <v>Lamination</v>
      </c>
      <c r="F11" s="7" t="str">
        <f aca="false">IF($B11="","",INDEX(MASTER_DATABASE!$F$4:$F$1000,$B11)&amp;"")</f>
        <v>लेमिनेशन</v>
      </c>
      <c r="G11" s="11" t="str">
        <f aca="false">IF($B11="","",INDEX(MASTER_DATABASE!$I$4:$I$1000,$B11)&amp;"")</f>
        <v>Available</v>
      </c>
      <c r="H11" s="7" t="str">
        <f aca="false">IF($B11="","",INDEX(MASTER_DATABASE!$L$4:$L$1000,$B11)&amp;"")</f>
        <v>Not Applicable</v>
      </c>
      <c r="I11" s="9" t="str">
        <f aca="false">IF($B11="","",INDEX(MASTER_DATABASE!$R$4:$R$1000,$B11))</f>
        <v>N/A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Shop Charge Only</v>
      </c>
      <c r="M11" s="7" t="str">
        <f aca="false">IF($B11="","",INDEX(MASTER_DATABASE!$Q$4:$Q$1000,$B11)&amp;"")</f>
        <v>5–10 Minutes</v>
      </c>
      <c r="N11" s="7" t="str">
        <f aca="false">IF($B11="","",INDEX(MASTER_DATABASE!$AG$4:$AG$1000,$B11)&amp;"")</f>
        <v>Active</v>
      </c>
      <c r="O11" s="11" t="str">
        <f aca="false">IF($B11="","",INDEX(MASTER_DATABASE!$AH$4:$AH$1000,$B11)&amp;"")</f>
        <v>Yes</v>
      </c>
      <c r="P11" s="11" t="str">
        <f aca="false">IF($B11="","",INDEX(MASTER_DATABASE!$BE$4:$BE$1000,$B11)&amp;"")</f>
        <v>LIVE</v>
      </c>
      <c r="Q11" s="7" t="str">
        <f aca="false">IF($B11="","",INDEX(MASTER_DATABASE!$AV$4:$AV$1000,$B11)&amp;"")</f>
        <v>To Verify</v>
      </c>
    </row>
    <row r="12" customFormat="false" ht="15" hidden="false" customHeight="false" outlineLevel="0" collapsed="false">
      <c r="A12" s="11" t="n">
        <v>9</v>
      </c>
      <c r="B12" s="11" t="n">
        <f aca="false">IFERROR(MATCH("Printing / Xerox / Scanning|"&amp;$A12,MASTER_DATABASE!$BH$4:$BH$1000,0),"")</f>
        <v>186</v>
      </c>
      <c r="C12" s="11" t="str">
        <f aca="false">IF($B12="","",INDEX(MASTER_DATABASE!$A$4:$A$1000,$B12)&amp;"")</f>
        <v>PRT-009</v>
      </c>
      <c r="D12" s="7" t="str">
        <f aca="false">IF($B12="","",INDEX(MASTER_DATABASE!$D$4:$D$1000,$B12)&amp;"")</f>
        <v>Scanning &amp; Finishing</v>
      </c>
      <c r="E12" s="7" t="str">
        <f aca="false">IF($B12="","",INDEX(MASTER_DATABASE!$E$4:$E$1000,$B12)&amp;"")</f>
        <v>Spiral Binding</v>
      </c>
      <c r="F12" s="7" t="str">
        <f aca="false">IF($B12="","",INDEX(MASTER_DATABASE!$F$4:$F$1000,$B12)&amp;"")</f>
        <v>स्पाइरल बाइंडिंग</v>
      </c>
      <c r="G12" s="11" t="str">
        <f aca="false">IF($B12="","",INDEX(MASTER_DATABASE!$I$4:$I$1000,$B12)&amp;"")</f>
        <v>To Verify</v>
      </c>
      <c r="H12" s="7" t="str">
        <f aca="false">IF($B12="","",INDEX(MASTER_DATABASE!$L$4:$L$1000,$B12)&amp;"")</f>
        <v>To Verify</v>
      </c>
      <c r="I12" s="9" t="str">
        <f aca="false">IF($B12="","",INDEX(MASTER_DATABASE!$R$4:$R$1000,$B12))</f>
        <v>N/A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Shop Charge Only</v>
      </c>
      <c r="M12" s="7" t="str">
        <f aca="false">IF($B12="","",INDEX(MASTER_DATABASE!$Q$4:$Q$1000,$B12)&amp;"")</f>
        <v>5–10 Minutes</v>
      </c>
      <c r="N12" s="7" t="str">
        <f aca="false">IF($B12="","",INDEX(MASTER_DATABASE!$AG$4:$AG$1000,$B12)&amp;"")</f>
        <v>To Verify</v>
      </c>
      <c r="O12" s="11" t="str">
        <f aca="false">IF($B12="","",INDEX(MASTER_DATABASE!$AH$4:$AH$1000,$B12)&amp;"")</f>
        <v>No</v>
      </c>
      <c r="P12" s="11" t="str">
        <f aca="false">IF($B12="","",INDEX(MASTER_DATABASE!$BE$4:$BE$1000,$B12)&amp;"")</f>
        <v>HIDDEN</v>
      </c>
      <c r="Q12" s="7" t="str">
        <f aca="false">IF($B12="","",INDEX(MASTER_DATABASE!$AV$4:$AV$1000,$B12)&amp;"")</f>
        <v>To Verify</v>
      </c>
    </row>
    <row r="13" customFormat="false" ht="15" hidden="false" customHeight="false" outlineLevel="0" collapsed="false">
      <c r="A13" s="11" t="n">
        <v>10</v>
      </c>
      <c r="B13" s="11" t="n">
        <f aca="false">IFERROR(MATCH("Printing / Xerox / Scanning|"&amp;$A13,MASTER_DATABASE!$BH$4:$BH$1000,0),"")</f>
        <v>187</v>
      </c>
      <c r="C13" s="11" t="str">
        <f aca="false">IF($B13="","",INDEX(MASTER_DATABASE!$A$4:$A$1000,$B13)&amp;"")</f>
        <v>PRT-010</v>
      </c>
      <c r="D13" s="7" t="str">
        <f aca="false">IF($B13="","",INDEX(MASTER_DATABASE!$D$4:$D$1000,$B13)&amp;"")</f>
        <v>PDF Services</v>
      </c>
      <c r="E13" s="7" t="str">
        <f aca="false">IF($B13="","",INDEX(MASTER_DATABASE!$E$4:$E$1000,$B13)&amp;"")</f>
        <v>PDF Creation</v>
      </c>
      <c r="F13" s="7" t="str">
        <f aca="false">IF($B13="","",INDEX(MASTER_DATABASE!$F$4:$F$1000,$B13)&amp;"")</f>
        <v>PDF निर्माण</v>
      </c>
      <c r="G13" s="11" t="str">
        <f aca="false">IF($B13="","",INDEX(MASTER_DATABASE!$I$4:$I$1000,$B13)&amp;"")</f>
        <v>Available</v>
      </c>
      <c r="H13" s="7" t="str">
        <f aca="false">IF($B13="","",INDEX(MASTER_DATABASE!$L$4:$L$1000,$B13)&amp;"")</f>
        <v>Not Applicable</v>
      </c>
      <c r="I13" s="9" t="str">
        <f aca="false">IF($B13="","",INDEX(MASTER_DATABASE!$R$4:$R$1000,$B13))</f>
        <v>N/A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Shop Charge Only</v>
      </c>
      <c r="M13" s="7" t="str">
        <f aca="false">IF($B13="","",INDEX(MASTER_DATABASE!$Q$4:$Q$1000,$B13)&amp;"")</f>
        <v>5–10 Minutes</v>
      </c>
      <c r="N13" s="7" t="str">
        <f aca="false">IF($B13="","",INDEX(MASTER_DATABASE!$AG$4:$AG$1000,$B13)&amp;"")</f>
        <v>Active</v>
      </c>
      <c r="O13" s="11" t="str">
        <f aca="false">IF($B13="","",INDEX(MASTER_DATABASE!$AH$4:$AH$1000,$B13)&amp;"")</f>
        <v>Yes</v>
      </c>
      <c r="P13" s="11" t="str">
        <f aca="false">IF($B13="","",INDEX(MASTER_DATABASE!$BE$4:$BE$1000,$B13)&amp;"")</f>
        <v>LIVE</v>
      </c>
      <c r="Q13" s="7" t="str">
        <f aca="false">IF($B13="","",INDEX(MASTER_DATABASE!$AV$4:$AV$1000,$B13)&amp;"")</f>
        <v>To Verify</v>
      </c>
    </row>
    <row r="14" customFormat="false" ht="15" hidden="false" customHeight="false" outlineLevel="0" collapsed="false">
      <c r="A14" s="11" t="n">
        <v>11</v>
      </c>
      <c r="B14" s="11" t="n">
        <f aca="false">IFERROR(MATCH("Printing / Xerox / Scanning|"&amp;$A14,MASTER_DATABASE!$BH$4:$BH$1000,0),"")</f>
        <v>188</v>
      </c>
      <c r="C14" s="11" t="str">
        <f aca="false">IF($B14="","",INDEX(MASTER_DATABASE!$A$4:$A$1000,$B14)&amp;"")</f>
        <v>PRT-011</v>
      </c>
      <c r="D14" s="7" t="str">
        <f aca="false">IF($B14="","",INDEX(MASTER_DATABASE!$D$4:$D$1000,$B14)&amp;"")</f>
        <v>PDF Services</v>
      </c>
      <c r="E14" s="7" t="str">
        <f aca="false">IF($B14="","",INDEX(MASTER_DATABASE!$E$4:$E$1000,$B14)&amp;"")</f>
        <v>PDF Merge</v>
      </c>
      <c r="F14" s="7" t="str">
        <f aca="false">IF($B14="","",INDEX(MASTER_DATABASE!$F$4:$F$1000,$B14)&amp;"")</f>
        <v>PDF मर्ज</v>
      </c>
      <c r="G14" s="11" t="str">
        <f aca="false">IF($B14="","",INDEX(MASTER_DATABASE!$I$4:$I$1000,$B14)&amp;"")</f>
        <v>Available</v>
      </c>
      <c r="H14" s="7" t="str">
        <f aca="false">IF($B14="","",INDEX(MASTER_DATABASE!$L$4:$L$1000,$B14)&amp;"")</f>
        <v>Not Applicable</v>
      </c>
      <c r="I14" s="9" t="str">
        <f aca="false">IF($B14="","",INDEX(MASTER_DATABASE!$R$4:$R$1000,$B14))</f>
        <v>N/A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Shop Charge Only</v>
      </c>
      <c r="M14" s="7" t="str">
        <f aca="false">IF($B14="","",INDEX(MASTER_DATABASE!$Q$4:$Q$1000,$B14)&amp;"")</f>
        <v>5–10 Minutes</v>
      </c>
      <c r="N14" s="7" t="str">
        <f aca="false">IF($B14="","",INDEX(MASTER_DATABASE!$AG$4:$AG$1000,$B14)&amp;"")</f>
        <v>Active</v>
      </c>
      <c r="O14" s="11" t="str">
        <f aca="false">IF($B14="","",INDEX(MASTER_DATABASE!$AH$4:$AH$1000,$B14)&amp;"")</f>
        <v>Yes</v>
      </c>
      <c r="P14" s="11" t="str">
        <f aca="false">IF($B14="","",INDEX(MASTER_DATABASE!$BE$4:$BE$1000,$B14)&amp;"")</f>
        <v>LIVE</v>
      </c>
      <c r="Q14" s="7" t="str">
        <f aca="false">IF($B14="","",INDEX(MASTER_DATABASE!$AV$4:$AV$1000,$B14)&amp;"")</f>
        <v>To Verify</v>
      </c>
    </row>
    <row r="15" customFormat="false" ht="15" hidden="false" customHeight="false" outlineLevel="0" collapsed="false">
      <c r="A15" s="11" t="n">
        <v>12</v>
      </c>
      <c r="B15" s="11" t="n">
        <f aca="false">IFERROR(MATCH("Printing / Xerox / Scanning|"&amp;$A15,MASTER_DATABASE!$BH$4:$BH$1000,0),"")</f>
        <v>189</v>
      </c>
      <c r="C15" s="11" t="str">
        <f aca="false">IF($B15="","",INDEX(MASTER_DATABASE!$A$4:$A$1000,$B15)&amp;"")</f>
        <v>PRT-012</v>
      </c>
      <c r="D15" s="7" t="str">
        <f aca="false">IF($B15="","",INDEX(MASTER_DATABASE!$D$4:$D$1000,$B15)&amp;"")</f>
        <v>PDF Services</v>
      </c>
      <c r="E15" s="7" t="str">
        <f aca="false">IF($B15="","",INDEX(MASTER_DATABASE!$E$4:$E$1000,$B15)&amp;"")</f>
        <v>PDF Split</v>
      </c>
      <c r="F15" s="7" t="str">
        <f aca="false">IF($B15="","",INDEX(MASTER_DATABASE!$F$4:$F$1000,$B15)&amp;"")</f>
        <v>PDF स्प्लिट</v>
      </c>
      <c r="G15" s="11" t="str">
        <f aca="false">IF($B15="","",INDEX(MASTER_DATABASE!$I$4:$I$1000,$B15)&amp;"")</f>
        <v>Available</v>
      </c>
      <c r="H15" s="7" t="str">
        <f aca="false">IF($B15="","",INDEX(MASTER_DATABASE!$L$4:$L$1000,$B15)&amp;"")</f>
        <v>Not Applicable</v>
      </c>
      <c r="I15" s="9" t="str">
        <f aca="false">IF($B15="","",INDEX(MASTER_DATABASE!$R$4:$R$1000,$B15))</f>
        <v>N/A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Shop Charge Only</v>
      </c>
      <c r="M15" s="7" t="str">
        <f aca="false">IF($B15="","",INDEX(MASTER_DATABASE!$Q$4:$Q$1000,$B15)&amp;"")</f>
        <v>5–10 Minutes</v>
      </c>
      <c r="N15" s="7" t="str">
        <f aca="false">IF($B15="","",INDEX(MASTER_DATABASE!$AG$4:$AG$1000,$B15)&amp;"")</f>
        <v>Active</v>
      </c>
      <c r="O15" s="11" t="str">
        <f aca="false">IF($B15="","",INDEX(MASTER_DATABASE!$AH$4:$AH$1000,$B15)&amp;"")</f>
        <v>Yes</v>
      </c>
      <c r="P15" s="11" t="str">
        <f aca="false">IF($B15="","",INDEX(MASTER_DATABASE!$BE$4:$BE$1000,$B15)&amp;"")</f>
        <v>LIVE</v>
      </c>
      <c r="Q15" s="7" t="str">
        <f aca="false">IF($B15="","",INDEX(MASTER_DATABASE!$AV$4:$AV$1000,$B15)&amp;"")</f>
        <v>To Verify</v>
      </c>
    </row>
    <row r="16" customFormat="false" ht="15" hidden="false" customHeight="false" outlineLevel="0" collapsed="false">
      <c r="A16" s="11" t="n">
        <v>13</v>
      </c>
      <c r="B16" s="11" t="n">
        <f aca="false">IFERROR(MATCH("Printing / Xerox / Scanning|"&amp;$A16,MASTER_DATABASE!$BH$4:$BH$1000,0),"")</f>
        <v>190</v>
      </c>
      <c r="C16" s="11" t="str">
        <f aca="false">IF($B16="","",INDEX(MASTER_DATABASE!$A$4:$A$1000,$B16)&amp;"")</f>
        <v>PRT-013</v>
      </c>
      <c r="D16" s="7" t="str">
        <f aca="false">IF($B16="","",INDEX(MASTER_DATABASE!$D$4:$D$1000,$B16)&amp;"")</f>
        <v>PDF Services</v>
      </c>
      <c r="E16" s="7" t="str">
        <f aca="false">IF($B16="","",INDEX(MASTER_DATABASE!$E$4:$E$1000,$B16)&amp;"")</f>
        <v>PDF Compression</v>
      </c>
      <c r="F16" s="7" t="str">
        <f aca="false">IF($B16="","",INDEX(MASTER_DATABASE!$F$4:$F$1000,$B16)&amp;"")</f>
        <v>PDF कंप्रेशन</v>
      </c>
      <c r="G16" s="11" t="str">
        <f aca="false">IF($B16="","",INDEX(MASTER_DATABASE!$I$4:$I$1000,$B16)&amp;"")</f>
        <v>Available</v>
      </c>
      <c r="H16" s="7" t="str">
        <f aca="false">IF($B16="","",INDEX(MASTER_DATABASE!$L$4:$L$1000,$B16)&amp;"")</f>
        <v>Not Applicable</v>
      </c>
      <c r="I16" s="9" t="str">
        <f aca="false">IF($B16="","",INDEX(MASTER_DATABASE!$R$4:$R$1000,$B16))</f>
        <v>N/A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Shop Charge Only</v>
      </c>
      <c r="M16" s="7" t="str">
        <f aca="false">IF($B16="","",INDEX(MASTER_DATABASE!$Q$4:$Q$1000,$B16)&amp;"")</f>
        <v>5–10 Minutes</v>
      </c>
      <c r="N16" s="7" t="str">
        <f aca="false">IF($B16="","",INDEX(MASTER_DATABASE!$AG$4:$AG$1000,$B16)&amp;"")</f>
        <v>Active</v>
      </c>
      <c r="O16" s="11" t="str">
        <f aca="false">IF($B16="","",INDEX(MASTER_DATABASE!$AH$4:$AH$1000,$B16)&amp;"")</f>
        <v>Yes</v>
      </c>
      <c r="P16" s="11" t="str">
        <f aca="false">IF($B16="","",INDEX(MASTER_DATABASE!$BE$4:$BE$1000,$B16)&amp;"")</f>
        <v>LIVE</v>
      </c>
      <c r="Q16" s="7" t="str">
        <f aca="false">IF($B16="","",INDEX(MASTER_DATABASE!$AV$4:$AV$1000,$B16)&amp;"")</f>
        <v>To Verify</v>
      </c>
    </row>
    <row r="17" customFormat="false" ht="15" hidden="false" customHeight="false" outlineLevel="0" collapsed="false">
      <c r="A17" s="11" t="n">
        <v>14</v>
      </c>
      <c r="B17" s="11" t="n">
        <f aca="false">IFERROR(MATCH("Printing / Xerox / Scanning|"&amp;$A17,MASTER_DATABASE!$BH$4:$BH$1000,0),"")</f>
        <v>191</v>
      </c>
      <c r="C17" s="11" t="str">
        <f aca="false">IF($B17="","",INDEX(MASTER_DATABASE!$A$4:$A$1000,$B17)&amp;"")</f>
        <v>PRT-014</v>
      </c>
      <c r="D17" s="7" t="str">
        <f aca="false">IF($B17="","",INDEX(MASTER_DATABASE!$D$4:$D$1000,$B17)&amp;"")</f>
        <v>PDF Services</v>
      </c>
      <c r="E17" s="7" t="str">
        <f aca="false">IF($B17="","",INDEX(MASTER_DATABASE!$E$4:$E$1000,$B17)&amp;"")</f>
        <v>PDF Conversion (PDF to Image / Other)</v>
      </c>
      <c r="F17" s="7" t="str">
        <f aca="false">IF($B17="","",INDEX(MASTER_DATABASE!$F$4:$F$1000,$B17)&amp;"")</f>
        <v>PDF कन्वर्ज़न (PDF से इमेज / अन्य)</v>
      </c>
      <c r="G17" s="11" t="str">
        <f aca="false">IF($B17="","",INDEX(MASTER_DATABASE!$I$4:$I$1000,$B17)&amp;"")</f>
        <v>Available</v>
      </c>
      <c r="H17" s="7" t="str">
        <f aca="false">IF($B17="","",INDEX(MASTER_DATABASE!$L$4:$L$1000,$B17)&amp;"")</f>
        <v>Not Applicable</v>
      </c>
      <c r="I17" s="9" t="str">
        <f aca="false">IF($B17="","",INDEX(MASTER_DATABASE!$R$4:$R$1000,$B17))</f>
        <v>N/A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Shop Charge Only</v>
      </c>
      <c r="M17" s="7" t="str">
        <f aca="false">IF($B17="","",INDEX(MASTER_DATABASE!$Q$4:$Q$1000,$B17)&amp;"")</f>
        <v>5–10 Minutes</v>
      </c>
      <c r="N17" s="7" t="str">
        <f aca="false">IF($B17="","",INDEX(MASTER_DATABASE!$AG$4:$AG$1000,$B17)&amp;"")</f>
        <v>Active</v>
      </c>
      <c r="O17" s="11" t="str">
        <f aca="false">IF($B17="","",INDEX(MASTER_DATABASE!$AH$4:$AH$1000,$B17)&amp;"")</f>
        <v>Yes</v>
      </c>
      <c r="P17" s="11" t="str">
        <f aca="false">IF($B17="","",INDEX(MASTER_DATABASE!$BE$4:$BE$1000,$B17)&amp;"")</f>
        <v>LIVE</v>
      </c>
      <c r="Q17" s="7" t="str">
        <f aca="false">IF($B17="","",INDEX(MASTER_DATABASE!$AV$4:$AV$1000,$B17)&amp;"")</f>
        <v>To Verify</v>
      </c>
    </row>
    <row r="18" customFormat="false" ht="15" hidden="false" customHeight="false" outlineLevel="0" collapsed="false">
      <c r="A18" s="11" t="n">
        <v>15</v>
      </c>
      <c r="B18" s="11" t="n">
        <f aca="false">IFERROR(MATCH("Printing / Xerox / Scanning|"&amp;$A18,MASTER_DATABASE!$BH$4:$BH$1000,0),"")</f>
        <v>192</v>
      </c>
      <c r="C18" s="11" t="str">
        <f aca="false">IF($B18="","",INDEX(MASTER_DATABASE!$A$4:$A$1000,$B18)&amp;"")</f>
        <v>PRT-015</v>
      </c>
      <c r="D18" s="7" t="str">
        <f aca="false">IF($B18="","",INDEX(MASTER_DATABASE!$D$4:$D$1000,$B18)&amp;"")</f>
        <v>PDF Services</v>
      </c>
      <c r="E18" s="7" t="str">
        <f aca="false">IF($B18="","",INDEX(MASTER_DATABASE!$E$4:$E$1000,$B18)&amp;"")</f>
        <v>Word to PDF</v>
      </c>
      <c r="F18" s="7" t="str">
        <f aca="false">IF($B18="","",INDEX(MASTER_DATABASE!$F$4:$F$1000,$B18)&amp;"")</f>
        <v>Word से PDF</v>
      </c>
      <c r="G18" s="11" t="str">
        <f aca="false">IF($B18="","",INDEX(MASTER_DATABASE!$I$4:$I$1000,$B18)&amp;"")</f>
        <v>Available</v>
      </c>
      <c r="H18" s="7" t="str">
        <f aca="false">IF($B18="","",INDEX(MASTER_DATABASE!$L$4:$L$1000,$B18)&amp;"")</f>
        <v>Not Applicable</v>
      </c>
      <c r="I18" s="9" t="str">
        <f aca="false">IF($B18="","",INDEX(MASTER_DATABASE!$R$4:$R$1000,$B18))</f>
        <v>N/A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Shop Charge Only</v>
      </c>
      <c r="M18" s="7" t="str">
        <f aca="false">IF($B18="","",INDEX(MASTER_DATABASE!$Q$4:$Q$1000,$B18)&amp;"")</f>
        <v>5–10 Minutes</v>
      </c>
      <c r="N18" s="7" t="str">
        <f aca="false">IF($B18="","",INDEX(MASTER_DATABASE!$AG$4:$AG$1000,$B18)&amp;"")</f>
        <v>Active</v>
      </c>
      <c r="O18" s="11" t="str">
        <f aca="false">IF($B18="","",INDEX(MASTER_DATABASE!$AH$4:$AH$1000,$B18)&amp;"")</f>
        <v>Yes</v>
      </c>
      <c r="P18" s="11" t="str">
        <f aca="false">IF($B18="","",INDEX(MASTER_DATABASE!$BE$4:$BE$1000,$B18)&amp;"")</f>
        <v>LIVE</v>
      </c>
      <c r="Q18" s="7" t="str">
        <f aca="false">IF($B18="","",INDEX(MASTER_DATABASE!$AV$4:$AV$1000,$B18)&amp;"")</f>
        <v>To Verify</v>
      </c>
    </row>
    <row r="19" customFormat="false" ht="15" hidden="false" customHeight="false" outlineLevel="0" collapsed="false">
      <c r="A19" s="11" t="n">
        <v>16</v>
      </c>
      <c r="B19" s="11" t="n">
        <f aca="false">IFERROR(MATCH("Printing / Xerox / Scanning|"&amp;$A19,MASTER_DATABASE!$BH$4:$BH$1000,0),"")</f>
        <v>193</v>
      </c>
      <c r="C19" s="11" t="str">
        <f aca="false">IF($B19="","",INDEX(MASTER_DATABASE!$A$4:$A$1000,$B19)&amp;"")</f>
        <v>PRT-016</v>
      </c>
      <c r="D19" s="7" t="str">
        <f aca="false">IF($B19="","",INDEX(MASTER_DATABASE!$D$4:$D$1000,$B19)&amp;"")</f>
        <v>PDF Services</v>
      </c>
      <c r="E19" s="7" t="str">
        <f aca="false">IF($B19="","",INDEX(MASTER_DATABASE!$E$4:$E$1000,$B19)&amp;"")</f>
        <v>PDF to Word</v>
      </c>
      <c r="F19" s="7" t="str">
        <f aca="false">IF($B19="","",INDEX(MASTER_DATABASE!$F$4:$F$1000,$B19)&amp;"")</f>
        <v>PDF से Word</v>
      </c>
      <c r="G19" s="11" t="str">
        <f aca="false">IF($B19="","",INDEX(MASTER_DATABASE!$I$4:$I$1000,$B19)&amp;"")</f>
        <v>Available</v>
      </c>
      <c r="H19" s="7" t="str">
        <f aca="false">IF($B19="","",INDEX(MASTER_DATABASE!$L$4:$L$1000,$B19)&amp;"")</f>
        <v>Not Applicable</v>
      </c>
      <c r="I19" s="9" t="str">
        <f aca="false">IF($B19="","",INDEX(MASTER_DATABASE!$R$4:$R$1000,$B19))</f>
        <v>N/A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Shop Charge Only</v>
      </c>
      <c r="M19" s="7" t="str">
        <f aca="false">IF($B19="","",INDEX(MASTER_DATABASE!$Q$4:$Q$1000,$B19)&amp;"")</f>
        <v>5–10 Minutes</v>
      </c>
      <c r="N19" s="7" t="str">
        <f aca="false">IF($B19="","",INDEX(MASTER_DATABASE!$AG$4:$AG$1000,$B19)&amp;"")</f>
        <v>Active</v>
      </c>
      <c r="O19" s="11" t="str">
        <f aca="false">IF($B19="","",INDEX(MASTER_DATABASE!$AH$4:$AH$1000,$B19)&amp;"")</f>
        <v>Yes</v>
      </c>
      <c r="P19" s="11" t="str">
        <f aca="false">IF($B19="","",INDEX(MASTER_DATABASE!$BE$4:$BE$1000,$B19)&amp;"")</f>
        <v>LIVE</v>
      </c>
      <c r="Q19" s="7" t="str">
        <f aca="false">IF($B19="","",INDEX(MASTER_DATABASE!$AV$4:$AV$1000,$B19)&amp;"")</f>
        <v>To Verify</v>
      </c>
    </row>
    <row r="20" customFormat="false" ht="15" hidden="false" customHeight="false" outlineLevel="0" collapsed="false">
      <c r="A20" s="11" t="n">
        <v>17</v>
      </c>
      <c r="B20" s="11" t="n">
        <f aca="false">IFERROR(MATCH("Printing / Xerox / Scanning|"&amp;$A20,MASTER_DATABASE!$BH$4:$BH$1000,0),"")</f>
        <v>194</v>
      </c>
      <c r="C20" s="11" t="str">
        <f aca="false">IF($B20="","",INDEX(MASTER_DATABASE!$A$4:$A$1000,$B20)&amp;"")</f>
        <v>PRT-017</v>
      </c>
      <c r="D20" s="7" t="str">
        <f aca="false">IF($B20="","",INDEX(MASTER_DATABASE!$D$4:$D$1000,$B20)&amp;"")</f>
        <v>Typing &amp; Data Entry</v>
      </c>
      <c r="E20" s="7" t="str">
        <f aca="false">IF($B20="","",INDEX(MASTER_DATABASE!$E$4:$E$1000,$B20)&amp;"")</f>
        <v>Hindi Typing</v>
      </c>
      <c r="F20" s="7" t="str">
        <f aca="false">IF($B20="","",INDEX(MASTER_DATABASE!$F$4:$F$1000,$B20)&amp;"")</f>
        <v>हिंदी टाइपिंग</v>
      </c>
      <c r="G20" s="11" t="str">
        <f aca="false">IF($B20="","",INDEX(MASTER_DATABASE!$I$4:$I$1000,$B20)&amp;"")</f>
        <v>Available</v>
      </c>
      <c r="H20" s="7" t="str">
        <f aca="false">IF($B20="","",INDEX(MASTER_DATABASE!$L$4:$L$1000,$B20)&amp;"")</f>
        <v>Not Applicable</v>
      </c>
      <c r="I20" s="9" t="str">
        <f aca="false">IF($B20="","",INDEX(MASTER_DATABASE!$R$4:$R$1000,$B20))</f>
        <v>N/A</v>
      </c>
      <c r="J20" s="9" t="str">
        <f aca="false">IF($B20="","",INDEX(MASTER_DATABASE!$S$4:$S$1000,$B20))</f>
        <v>To Verify</v>
      </c>
      <c r="K20" s="9" t="str">
        <f aca="false">IF($B20="","",INDEX(MASTER_DATABASE!$T$4:$T$1000,$B20))</f>
        <v>To Verify</v>
      </c>
      <c r="L20" s="7" t="str">
        <f aca="false">IF($B20="","",INDEX(MASTER_DATABASE!$U$4:$U$1000,$B20)&amp;"")</f>
        <v>Shop Charge Only</v>
      </c>
      <c r="M20" s="7" t="str">
        <f aca="false">IF($B20="","",INDEX(MASTER_DATABASE!$Q$4:$Q$1000,$B20)&amp;"")</f>
        <v>15–30 Minutes</v>
      </c>
      <c r="N20" s="7" t="str">
        <f aca="false">IF($B20="","",INDEX(MASTER_DATABASE!$AG$4:$AG$1000,$B20)&amp;"")</f>
        <v>Active</v>
      </c>
      <c r="O20" s="11" t="str">
        <f aca="false">IF($B20="","",INDEX(MASTER_DATABASE!$AH$4:$AH$1000,$B20)&amp;"")</f>
        <v>Yes</v>
      </c>
      <c r="P20" s="11" t="str">
        <f aca="false">IF($B20="","",INDEX(MASTER_DATABASE!$BE$4:$BE$1000,$B20)&amp;"")</f>
        <v>LIVE</v>
      </c>
      <c r="Q20" s="7" t="str">
        <f aca="false">IF($B20="","",INDEX(MASTER_DATABASE!$AV$4:$AV$1000,$B20)&amp;"")</f>
        <v>To Verify</v>
      </c>
    </row>
    <row r="21" customFormat="false" ht="15" hidden="false" customHeight="false" outlineLevel="0" collapsed="false">
      <c r="A21" s="11" t="n">
        <v>18</v>
      </c>
      <c r="B21" s="11" t="n">
        <f aca="false">IFERROR(MATCH("Printing / Xerox / Scanning|"&amp;$A21,MASTER_DATABASE!$BH$4:$BH$1000,0),"")</f>
        <v>195</v>
      </c>
      <c r="C21" s="11" t="str">
        <f aca="false">IF($B21="","",INDEX(MASTER_DATABASE!$A$4:$A$1000,$B21)&amp;"")</f>
        <v>PRT-018</v>
      </c>
      <c r="D21" s="7" t="str">
        <f aca="false">IF($B21="","",INDEX(MASTER_DATABASE!$D$4:$D$1000,$B21)&amp;"")</f>
        <v>Typing &amp; Data Entry</v>
      </c>
      <c r="E21" s="7" t="str">
        <f aca="false">IF($B21="","",INDEX(MASTER_DATABASE!$E$4:$E$1000,$B21)&amp;"")</f>
        <v>English Typing</v>
      </c>
      <c r="F21" s="7" t="str">
        <f aca="false">IF($B21="","",INDEX(MASTER_DATABASE!$F$4:$F$1000,$B21)&amp;"")</f>
        <v>अंग्रेज़ी टाइपिंग</v>
      </c>
      <c r="G21" s="11" t="str">
        <f aca="false">IF($B21="","",INDEX(MASTER_DATABASE!$I$4:$I$1000,$B21)&amp;"")</f>
        <v>Available</v>
      </c>
      <c r="H21" s="7" t="str">
        <f aca="false">IF($B21="","",INDEX(MASTER_DATABASE!$L$4:$L$1000,$B21)&amp;"")</f>
        <v>Not Applicable</v>
      </c>
      <c r="I21" s="9" t="str">
        <f aca="false">IF($B21="","",INDEX(MASTER_DATABASE!$R$4:$R$1000,$B21))</f>
        <v>N/A</v>
      </c>
      <c r="J21" s="9" t="str">
        <f aca="false">IF($B21="","",INDEX(MASTER_DATABASE!$S$4:$S$1000,$B21))</f>
        <v>To Verify</v>
      </c>
      <c r="K21" s="9" t="str">
        <f aca="false">IF($B21="","",INDEX(MASTER_DATABASE!$T$4:$T$1000,$B21))</f>
        <v>To Verify</v>
      </c>
      <c r="L21" s="7" t="str">
        <f aca="false">IF($B21="","",INDEX(MASTER_DATABASE!$U$4:$U$1000,$B21)&amp;"")</f>
        <v>Shop Charge Only</v>
      </c>
      <c r="M21" s="7" t="str">
        <f aca="false">IF($B21="","",INDEX(MASTER_DATABASE!$Q$4:$Q$1000,$B21)&amp;"")</f>
        <v>15–30 Minutes</v>
      </c>
      <c r="N21" s="7" t="str">
        <f aca="false">IF($B21="","",INDEX(MASTER_DATABASE!$AG$4:$AG$1000,$B21)&amp;"")</f>
        <v>Active</v>
      </c>
      <c r="O21" s="11" t="str">
        <f aca="false">IF($B21="","",INDEX(MASTER_DATABASE!$AH$4:$AH$1000,$B21)&amp;"")</f>
        <v>Yes</v>
      </c>
      <c r="P21" s="11" t="str">
        <f aca="false">IF($B21="","",INDEX(MASTER_DATABASE!$BE$4:$BE$1000,$B21)&amp;"")</f>
        <v>LIVE</v>
      </c>
      <c r="Q21" s="7" t="str">
        <f aca="false">IF($B21="","",INDEX(MASTER_DATABASE!$AV$4:$AV$1000,$B21)&amp;"")</f>
        <v>To Verify</v>
      </c>
    </row>
    <row r="22" customFormat="false" ht="15" hidden="false" customHeight="false" outlineLevel="0" collapsed="false">
      <c r="A22" s="11" t="n">
        <v>19</v>
      </c>
      <c r="B22" s="11" t="n">
        <f aca="false">IFERROR(MATCH("Printing / Xerox / Scanning|"&amp;$A22,MASTER_DATABASE!$BH$4:$BH$1000,0),"")</f>
        <v>196</v>
      </c>
      <c r="C22" s="11" t="str">
        <f aca="false">IF($B22="","",INDEX(MASTER_DATABASE!$A$4:$A$1000,$B22)&amp;"")</f>
        <v>PRT-019</v>
      </c>
      <c r="D22" s="7" t="str">
        <f aca="false">IF($B22="","",INDEX(MASTER_DATABASE!$D$4:$D$1000,$B22)&amp;"")</f>
        <v>Typing &amp; Data Entry</v>
      </c>
      <c r="E22" s="7" t="str">
        <f aca="false">IF($B22="","",INDEX(MASTER_DATABASE!$E$4:$E$1000,$B22)&amp;"")</f>
        <v>Data Entry</v>
      </c>
      <c r="F22" s="7" t="str">
        <f aca="false">IF($B22="","",INDEX(MASTER_DATABASE!$F$4:$F$1000,$B22)&amp;"")</f>
        <v>डेटा एंट्री</v>
      </c>
      <c r="G22" s="11" t="str">
        <f aca="false">IF($B22="","",INDEX(MASTER_DATABASE!$I$4:$I$1000,$B22)&amp;"")</f>
        <v>Available</v>
      </c>
      <c r="H22" s="7" t="str">
        <f aca="false">IF($B22="","",INDEX(MASTER_DATABASE!$L$4:$L$1000,$B22)&amp;"")</f>
        <v>Not Applicable</v>
      </c>
      <c r="I22" s="9" t="str">
        <f aca="false">IF($B22="","",INDEX(MASTER_DATABASE!$R$4:$R$1000,$B22))</f>
        <v>N/A</v>
      </c>
      <c r="J22" s="9" t="str">
        <f aca="false">IF($B22="","",INDEX(MASTER_DATABASE!$S$4:$S$1000,$B22))</f>
        <v>To Verify</v>
      </c>
      <c r="K22" s="9" t="str">
        <f aca="false">IF($B22="","",INDEX(MASTER_DATABASE!$T$4:$T$1000,$B22))</f>
        <v>To Verify</v>
      </c>
      <c r="L22" s="7" t="str">
        <f aca="false">IF($B22="","",INDEX(MASTER_DATABASE!$U$4:$U$1000,$B22)&amp;"")</f>
        <v>Shop Charge Only</v>
      </c>
      <c r="M22" s="7" t="str">
        <f aca="false">IF($B22="","",INDEX(MASTER_DATABASE!$Q$4:$Q$1000,$B22)&amp;"")</f>
        <v>15–30 Minutes</v>
      </c>
      <c r="N22" s="7" t="str">
        <f aca="false">IF($B22="","",INDEX(MASTER_DATABASE!$AG$4:$AG$1000,$B22)&amp;"")</f>
        <v>Active</v>
      </c>
      <c r="O22" s="11" t="str">
        <f aca="false">IF($B22="","",INDEX(MASTER_DATABASE!$AH$4:$AH$1000,$B22)&amp;"")</f>
        <v>Yes</v>
      </c>
      <c r="P22" s="11" t="str">
        <f aca="false">IF($B22="","",INDEX(MASTER_DATABASE!$BE$4:$BE$1000,$B22)&amp;"")</f>
        <v>LIVE</v>
      </c>
      <c r="Q22" s="7" t="str">
        <f aca="false">IF($B22="","",INDEX(MASTER_DATABASE!$AV$4:$AV$1000,$B22)&amp;"")</f>
        <v>To Verify</v>
      </c>
    </row>
    <row r="23" customFormat="false" ht="15" hidden="false" customHeight="false" outlineLevel="0" collapsed="false">
      <c r="A23" s="11" t="n">
        <v>20</v>
      </c>
      <c r="B23" s="11" t="n">
        <f aca="false">IFERROR(MATCH("Printing / Xerox / Scanning|"&amp;$A23,MASTER_DATABASE!$BH$4:$BH$1000,0),"")</f>
        <v>197</v>
      </c>
      <c r="C23" s="11" t="str">
        <f aca="false">IF($B23="","",INDEX(MASTER_DATABASE!$A$4:$A$1000,$B23)&amp;"")</f>
        <v>PRT-020</v>
      </c>
      <c r="D23" s="7" t="str">
        <f aca="false">IF($B23="","",INDEX(MASTER_DATABASE!$D$4:$D$1000,$B23)&amp;"")</f>
        <v>Typing &amp; Data Entry</v>
      </c>
      <c r="E23" s="7" t="str">
        <f aca="false">IF($B23="","",INDEX(MASTER_DATABASE!$E$4:$E$1000,$B23)&amp;"")</f>
        <v>Application Typing</v>
      </c>
      <c r="F23" s="7" t="str">
        <f aca="false">IF($B23="","",INDEX(MASTER_DATABASE!$F$4:$F$1000,$B23)&amp;"")</f>
        <v>आवेदन टाइपिंग</v>
      </c>
      <c r="G23" s="11" t="str">
        <f aca="false">IF($B23="","",INDEX(MASTER_DATABASE!$I$4:$I$1000,$B23)&amp;"")</f>
        <v>Available</v>
      </c>
      <c r="H23" s="7" t="str">
        <f aca="false">IF($B23="","",INDEX(MASTER_DATABASE!$L$4:$L$1000,$B23)&amp;"")</f>
        <v>Not Applicable</v>
      </c>
      <c r="I23" s="9" t="str">
        <f aca="false">IF($B23="","",INDEX(MASTER_DATABASE!$R$4:$R$1000,$B23))</f>
        <v>N/A</v>
      </c>
      <c r="J23" s="9" t="str">
        <f aca="false">IF($B23="","",INDEX(MASTER_DATABASE!$S$4:$S$1000,$B23))</f>
        <v>To Verify</v>
      </c>
      <c r="K23" s="9" t="str">
        <f aca="false">IF($B23="","",INDEX(MASTER_DATABASE!$T$4:$T$1000,$B23))</f>
        <v>To Verify</v>
      </c>
      <c r="L23" s="7" t="str">
        <f aca="false">IF($B23="","",INDEX(MASTER_DATABASE!$U$4:$U$1000,$B23)&amp;"")</f>
        <v>Shop Charge Only</v>
      </c>
      <c r="M23" s="7" t="str">
        <f aca="false">IF($B23="","",INDEX(MASTER_DATABASE!$Q$4:$Q$1000,$B23)&amp;"")</f>
        <v>15–30 Minutes</v>
      </c>
      <c r="N23" s="7" t="str">
        <f aca="false">IF($B23="","",INDEX(MASTER_DATABASE!$AG$4:$AG$1000,$B23)&amp;"")</f>
        <v>Active</v>
      </c>
      <c r="O23" s="11" t="str">
        <f aca="false">IF($B23="","",INDEX(MASTER_DATABASE!$AH$4:$AH$1000,$B23)&amp;"")</f>
        <v>Yes</v>
      </c>
      <c r="P23" s="11" t="str">
        <f aca="false">IF($B23="","",INDEX(MASTER_DATABASE!$BE$4:$BE$1000,$B23)&amp;"")</f>
        <v>LIVE</v>
      </c>
      <c r="Q23" s="7" t="str">
        <f aca="false">IF($B23="","",INDEX(MASTER_DATABASE!$AV$4:$AV$1000,$B23)&amp;"")</f>
        <v>To Verify</v>
      </c>
    </row>
    <row r="24" customFormat="false" ht="15" hidden="false" customHeight="false" outlineLevel="0" collapsed="false">
      <c r="A24" s="11" t="n">
        <v>21</v>
      </c>
      <c r="B24" s="11" t="n">
        <f aca="false">IFERROR(MATCH("Printing / Xerox / Scanning|"&amp;$A24,MASTER_DATABASE!$BH$4:$BH$1000,0),"")</f>
        <v>198</v>
      </c>
      <c r="C24" s="11" t="str">
        <f aca="false">IF($B24="","",INDEX(MASTER_DATABASE!$A$4:$A$1000,$B24)&amp;"")</f>
        <v>PRT-021</v>
      </c>
      <c r="D24" s="7" t="str">
        <f aca="false">IF($B24="","",INDEX(MASTER_DATABASE!$D$4:$D$1000,$B24)&amp;"")</f>
        <v>Typing &amp; Data Entry</v>
      </c>
      <c r="E24" s="7" t="str">
        <f aca="false">IF($B24="","",INDEX(MASTER_DATABASE!$E$4:$E$1000,$B24)&amp;"")</f>
        <v>Letter Typing</v>
      </c>
      <c r="F24" s="7" t="str">
        <f aca="false">IF($B24="","",INDEX(MASTER_DATABASE!$F$4:$F$1000,$B24)&amp;"")</f>
        <v>पत्र टाइपिंग</v>
      </c>
      <c r="G24" s="11" t="str">
        <f aca="false">IF($B24="","",INDEX(MASTER_DATABASE!$I$4:$I$1000,$B24)&amp;"")</f>
        <v>Available</v>
      </c>
      <c r="H24" s="7" t="str">
        <f aca="false">IF($B24="","",INDEX(MASTER_DATABASE!$L$4:$L$1000,$B24)&amp;"")</f>
        <v>Not Applicable</v>
      </c>
      <c r="I24" s="9" t="str">
        <f aca="false">IF($B24="","",INDEX(MASTER_DATABASE!$R$4:$R$1000,$B24))</f>
        <v>N/A</v>
      </c>
      <c r="J24" s="9" t="str">
        <f aca="false">IF($B24="","",INDEX(MASTER_DATABASE!$S$4:$S$1000,$B24))</f>
        <v>To Verify</v>
      </c>
      <c r="K24" s="9" t="str">
        <f aca="false">IF($B24="","",INDEX(MASTER_DATABASE!$T$4:$T$1000,$B24))</f>
        <v>To Verify</v>
      </c>
      <c r="L24" s="7" t="str">
        <f aca="false">IF($B24="","",INDEX(MASTER_DATABASE!$U$4:$U$1000,$B24)&amp;"")</f>
        <v>Shop Charge Only</v>
      </c>
      <c r="M24" s="7" t="str">
        <f aca="false">IF($B24="","",INDEX(MASTER_DATABASE!$Q$4:$Q$1000,$B24)&amp;"")</f>
        <v>15–30 Minutes</v>
      </c>
      <c r="N24" s="7" t="str">
        <f aca="false">IF($B24="","",INDEX(MASTER_DATABASE!$AG$4:$AG$1000,$B24)&amp;"")</f>
        <v>Active</v>
      </c>
      <c r="O24" s="11" t="str">
        <f aca="false">IF($B24="","",INDEX(MASTER_DATABASE!$AH$4:$AH$1000,$B24)&amp;"")</f>
        <v>Yes</v>
      </c>
      <c r="P24" s="11" t="str">
        <f aca="false">IF($B24="","",INDEX(MASTER_DATABASE!$BE$4:$BE$1000,$B24)&amp;"")</f>
        <v>LIVE</v>
      </c>
      <c r="Q24" s="7" t="str">
        <f aca="false">IF($B24="","",INDEX(MASTER_DATABASE!$AV$4:$AV$1000,$B24)&amp;"")</f>
        <v>To Verify</v>
      </c>
    </row>
    <row r="25" customFormat="false" ht="15" hidden="false" customHeight="false" outlineLevel="0" collapsed="false">
      <c r="A25" s="11" t="n">
        <v>22</v>
      </c>
      <c r="B25" s="11" t="n">
        <f aca="false">IFERROR(MATCH("Printing / Xerox / Scanning|"&amp;$A25,MASTER_DATABASE!$BH$4:$BH$1000,0),"")</f>
        <v>199</v>
      </c>
      <c r="C25" s="11" t="str">
        <f aca="false">IF($B25="","",INDEX(MASTER_DATABASE!$A$4:$A$1000,$B25)&amp;"")</f>
        <v>PRT-022</v>
      </c>
      <c r="D25" s="7" t="str">
        <f aca="false">IF($B25="","",INDEX(MASTER_DATABASE!$D$4:$D$1000,$B25)&amp;"")</f>
        <v>Document Preparation</v>
      </c>
      <c r="E25" s="7" t="str">
        <f aca="false">IF($B25="","",INDEX(MASTER_DATABASE!$E$4:$E$1000,$B25)&amp;"")</f>
        <v>Resume Making</v>
      </c>
      <c r="F25" s="7" t="str">
        <f aca="false">IF($B25="","",INDEX(MASTER_DATABASE!$F$4:$F$1000,$B25)&amp;"")</f>
        <v>रिज़्यूमे निर्माण</v>
      </c>
      <c r="G25" s="11" t="str">
        <f aca="false">IF($B25="","",INDEX(MASTER_DATABASE!$I$4:$I$1000,$B25)&amp;"")</f>
        <v>Available</v>
      </c>
      <c r="H25" s="7" t="str">
        <f aca="false">IF($B25="","",INDEX(MASTER_DATABASE!$L$4:$L$1000,$B25)&amp;"")</f>
        <v>Not Applicable</v>
      </c>
      <c r="I25" s="9" t="str">
        <f aca="false">IF($B25="","",INDEX(MASTER_DATABASE!$R$4:$R$1000,$B25))</f>
        <v>N/A</v>
      </c>
      <c r="J25" s="9" t="str">
        <f aca="false">IF($B25="","",INDEX(MASTER_DATABASE!$S$4:$S$1000,$B25))</f>
        <v>To Verify</v>
      </c>
      <c r="K25" s="9" t="str">
        <f aca="false">IF($B25="","",INDEX(MASTER_DATABASE!$T$4:$T$1000,$B25))</f>
        <v>To Verify</v>
      </c>
      <c r="L25" s="7" t="str">
        <f aca="false">IF($B25="","",INDEX(MASTER_DATABASE!$U$4:$U$1000,$B25)&amp;"")</f>
        <v>Shop Charge Only</v>
      </c>
      <c r="M25" s="7" t="str">
        <f aca="false">IF($B25="","",INDEX(MASTER_DATABASE!$Q$4:$Q$1000,$B25)&amp;"")</f>
        <v>15–30 Minutes</v>
      </c>
      <c r="N25" s="7" t="str">
        <f aca="false">IF($B25="","",INDEX(MASTER_DATABASE!$AG$4:$AG$1000,$B25)&amp;"")</f>
        <v>Active</v>
      </c>
      <c r="O25" s="11" t="str">
        <f aca="false">IF($B25="","",INDEX(MASTER_DATABASE!$AH$4:$AH$1000,$B25)&amp;"")</f>
        <v>Yes</v>
      </c>
      <c r="P25" s="11" t="str">
        <f aca="false">IF($B25="","",INDEX(MASTER_DATABASE!$BE$4:$BE$1000,$B25)&amp;"")</f>
        <v>LIVE</v>
      </c>
      <c r="Q25" s="7" t="str">
        <f aca="false">IF($B25="","",INDEX(MASTER_DATABASE!$AV$4:$AV$1000,$B25)&amp;"")</f>
        <v>To Verify</v>
      </c>
    </row>
    <row r="26" customFormat="false" ht="15" hidden="false" customHeight="false" outlineLevel="0" collapsed="false">
      <c r="A26" s="11" t="n">
        <v>23</v>
      </c>
      <c r="B26" s="11" t="n">
        <f aca="false">IFERROR(MATCH("Printing / Xerox / Scanning|"&amp;$A26,MASTER_DATABASE!$BH$4:$BH$1000,0),"")</f>
        <v>200</v>
      </c>
      <c r="C26" s="11" t="str">
        <f aca="false">IF($B26="","",INDEX(MASTER_DATABASE!$A$4:$A$1000,$B26)&amp;"")</f>
        <v>PRT-023</v>
      </c>
      <c r="D26" s="7" t="str">
        <f aca="false">IF($B26="","",INDEX(MASTER_DATABASE!$D$4:$D$1000,$B26)&amp;"")</f>
        <v>Document Preparation</v>
      </c>
      <c r="E26" s="7" t="str">
        <f aca="false">IF($B26="","",INDEX(MASTER_DATABASE!$E$4:$E$1000,$B26)&amp;"")</f>
        <v>Biodata Making</v>
      </c>
      <c r="F26" s="7" t="str">
        <f aca="false">IF($B26="","",INDEX(MASTER_DATABASE!$F$4:$F$1000,$B26)&amp;"")</f>
        <v>बायोडाटा निर्माण</v>
      </c>
      <c r="G26" s="11" t="str">
        <f aca="false">IF($B26="","",INDEX(MASTER_DATABASE!$I$4:$I$1000,$B26)&amp;"")</f>
        <v>Available</v>
      </c>
      <c r="H26" s="7" t="str">
        <f aca="false">IF($B26="","",INDEX(MASTER_DATABASE!$L$4:$L$1000,$B26)&amp;"")</f>
        <v>Not Applicable</v>
      </c>
      <c r="I26" s="9" t="str">
        <f aca="false">IF($B26="","",INDEX(MASTER_DATABASE!$R$4:$R$1000,$B26))</f>
        <v>N/A</v>
      </c>
      <c r="J26" s="9" t="str">
        <f aca="false">IF($B26="","",INDEX(MASTER_DATABASE!$S$4:$S$1000,$B26))</f>
        <v>To Verify</v>
      </c>
      <c r="K26" s="9" t="str">
        <f aca="false">IF($B26="","",INDEX(MASTER_DATABASE!$T$4:$T$1000,$B26))</f>
        <v>To Verify</v>
      </c>
      <c r="L26" s="7" t="str">
        <f aca="false">IF($B26="","",INDEX(MASTER_DATABASE!$U$4:$U$1000,$B26)&amp;"")</f>
        <v>Shop Charge Only</v>
      </c>
      <c r="M26" s="7" t="str">
        <f aca="false">IF($B26="","",INDEX(MASTER_DATABASE!$Q$4:$Q$1000,$B26)&amp;"")</f>
        <v>15–30 Minutes</v>
      </c>
      <c r="N26" s="7" t="str">
        <f aca="false">IF($B26="","",INDEX(MASTER_DATABASE!$AG$4:$AG$1000,$B26)&amp;"")</f>
        <v>Active</v>
      </c>
      <c r="O26" s="11" t="str">
        <f aca="false">IF($B26="","",INDEX(MASTER_DATABASE!$AH$4:$AH$1000,$B26)&amp;"")</f>
        <v>Yes</v>
      </c>
      <c r="P26" s="11" t="str">
        <f aca="false">IF($B26="","",INDEX(MASTER_DATABASE!$BE$4:$BE$1000,$B26)&amp;"")</f>
        <v>LIVE</v>
      </c>
      <c r="Q26" s="7" t="str">
        <f aca="false">IF($B26="","",INDEX(MASTER_DATABASE!$AV$4:$AV$1000,$B26)&amp;"")</f>
        <v>To Verify</v>
      </c>
    </row>
    <row r="27" customFormat="false" ht="15" hidden="false" customHeight="false" outlineLevel="0" collapsed="false">
      <c r="A27" s="11" t="n">
        <v>24</v>
      </c>
      <c r="B27" s="11" t="n">
        <f aca="false">IFERROR(MATCH("Printing / Xerox / Scanning|"&amp;$A27,MASTER_DATABASE!$BH$4:$BH$1000,0),"")</f>
        <v>201</v>
      </c>
      <c r="C27" s="11" t="str">
        <f aca="false">IF($B27="","",INDEX(MASTER_DATABASE!$A$4:$A$1000,$B27)&amp;"")</f>
        <v>PRT-024</v>
      </c>
      <c r="D27" s="7" t="str">
        <f aca="false">IF($B27="","",INDEX(MASTER_DATABASE!$D$4:$D$1000,$B27)&amp;"")</f>
        <v>Document Preparation</v>
      </c>
      <c r="E27" s="7" t="str">
        <f aca="false">IF($B27="","",INDEX(MASTER_DATABASE!$E$4:$E$1000,$B27)&amp;"")</f>
        <v>Document Formatting</v>
      </c>
      <c r="F27" s="7" t="str">
        <f aca="false">IF($B27="","",INDEX(MASTER_DATABASE!$F$4:$F$1000,$B27)&amp;"")</f>
        <v>दस्तावेज़ फॉर्मेटिंग</v>
      </c>
      <c r="G27" s="11" t="str">
        <f aca="false">IF($B27="","",INDEX(MASTER_DATABASE!$I$4:$I$1000,$B27)&amp;"")</f>
        <v>Available</v>
      </c>
      <c r="H27" s="7" t="str">
        <f aca="false">IF($B27="","",INDEX(MASTER_DATABASE!$L$4:$L$1000,$B27)&amp;"")</f>
        <v>Not Applicable</v>
      </c>
      <c r="I27" s="9" t="str">
        <f aca="false">IF($B27="","",INDEX(MASTER_DATABASE!$R$4:$R$1000,$B27))</f>
        <v>N/A</v>
      </c>
      <c r="J27" s="9" t="str">
        <f aca="false">IF($B27="","",INDEX(MASTER_DATABASE!$S$4:$S$1000,$B27))</f>
        <v>To Verify</v>
      </c>
      <c r="K27" s="9" t="str">
        <f aca="false">IF($B27="","",INDEX(MASTER_DATABASE!$T$4:$T$1000,$B27))</f>
        <v>To Verify</v>
      </c>
      <c r="L27" s="7" t="str">
        <f aca="false">IF($B27="","",INDEX(MASTER_DATABASE!$U$4:$U$1000,$B27)&amp;"")</f>
        <v>Shop Charge Only</v>
      </c>
      <c r="M27" s="7" t="str">
        <f aca="false">IF($B27="","",INDEX(MASTER_DATABASE!$Q$4:$Q$1000,$B27)&amp;"")</f>
        <v>15–30 Minutes</v>
      </c>
      <c r="N27" s="7" t="str">
        <f aca="false">IF($B27="","",INDEX(MASTER_DATABASE!$AG$4:$AG$1000,$B27)&amp;"")</f>
        <v>Active</v>
      </c>
      <c r="O27" s="11" t="str">
        <f aca="false">IF($B27="","",INDEX(MASTER_DATABASE!$AH$4:$AH$1000,$B27)&amp;"")</f>
        <v>Yes</v>
      </c>
      <c r="P27" s="11" t="str">
        <f aca="false">IF($B27="","",INDEX(MASTER_DATABASE!$BE$4:$BE$1000,$B27)&amp;"")</f>
        <v>LIVE</v>
      </c>
      <c r="Q27" s="7" t="str">
        <f aca="false">IF($B27="","",INDEX(MASTER_DATABASE!$AV$4:$AV$1000,$B27)&amp;"")</f>
        <v>To Verify</v>
      </c>
    </row>
    <row r="28" customFormat="false" ht="15" hidden="false" customHeight="false" outlineLevel="0" collapsed="false">
      <c r="A28" s="11" t="n">
        <v>25</v>
      </c>
      <c r="B28" s="11" t="n">
        <f aca="false">IFERROR(MATCH("Printing / Xerox / Scanning|"&amp;$A28,MASTER_DATABASE!$BH$4:$BH$1000,0),"")</f>
        <v>202</v>
      </c>
      <c r="C28" s="11" t="str">
        <f aca="false">IF($B28="","",INDEX(MASTER_DATABASE!$A$4:$A$1000,$B28)&amp;"")</f>
        <v>PRT-025</v>
      </c>
      <c r="D28" s="7" t="str">
        <f aca="false">IF($B28="","",INDEX(MASTER_DATABASE!$D$4:$D$1000,$B28)&amp;"")</f>
        <v>Document Preparation</v>
      </c>
      <c r="E28" s="7" t="str">
        <f aca="false">IF($B28="","",INDEX(MASTER_DATABASE!$E$4:$E$1000,$B28)&amp;"")</f>
        <v>Official Document Formatting</v>
      </c>
      <c r="F28" s="7" t="str">
        <f aca="false">IF($B28="","",INDEX(MASTER_DATABASE!$F$4:$F$1000,$B28)&amp;"")</f>
        <v>ऑफिशियल दस्तावेज़ फॉर्मेटिंग</v>
      </c>
      <c r="G28" s="11" t="str">
        <f aca="false">IF($B28="","",INDEX(MASTER_DATABASE!$I$4:$I$1000,$B28)&amp;"")</f>
        <v>Available</v>
      </c>
      <c r="H28" s="7" t="str">
        <f aca="false">IF($B28="","",INDEX(MASTER_DATABASE!$L$4:$L$1000,$B28)&amp;"")</f>
        <v>Not Applicable</v>
      </c>
      <c r="I28" s="9" t="str">
        <f aca="false">IF($B28="","",INDEX(MASTER_DATABASE!$R$4:$R$1000,$B28))</f>
        <v>N/A</v>
      </c>
      <c r="J28" s="9" t="str">
        <f aca="false">IF($B28="","",INDEX(MASTER_DATABASE!$S$4:$S$1000,$B28))</f>
        <v>To Verify</v>
      </c>
      <c r="K28" s="9" t="str">
        <f aca="false">IF($B28="","",INDEX(MASTER_DATABASE!$T$4:$T$1000,$B28))</f>
        <v>To Verify</v>
      </c>
      <c r="L28" s="7" t="str">
        <f aca="false">IF($B28="","",INDEX(MASTER_DATABASE!$U$4:$U$1000,$B28)&amp;"")</f>
        <v>Shop Charge Only</v>
      </c>
      <c r="M28" s="7" t="str">
        <f aca="false">IF($B28="","",INDEX(MASTER_DATABASE!$Q$4:$Q$1000,$B28)&amp;"")</f>
        <v>15–30 Minutes</v>
      </c>
      <c r="N28" s="7" t="str">
        <f aca="false">IF($B28="","",INDEX(MASTER_DATABASE!$AG$4:$AG$1000,$B28)&amp;"")</f>
        <v>Active</v>
      </c>
      <c r="O28" s="11" t="str">
        <f aca="false">IF($B28="","",INDEX(MASTER_DATABASE!$AH$4:$AH$1000,$B28)&amp;"")</f>
        <v>Yes</v>
      </c>
      <c r="P28" s="11" t="str">
        <f aca="false">IF($B28="","",INDEX(MASTER_DATABASE!$BE$4:$BE$1000,$B28)&amp;"")</f>
        <v>LIVE</v>
      </c>
      <c r="Q28" s="7" t="str">
        <f aca="false">IF($B28="","",INDEX(MASTER_DATABASE!$AV$4:$AV$1000,$B28)&amp;"")</f>
        <v>To Verify</v>
      </c>
    </row>
    <row r="29" customFormat="false" ht="15" hidden="false" customHeight="false" outlineLevel="0" collapsed="false">
      <c r="A29" s="11" t="n">
        <v>26</v>
      </c>
      <c r="B29" s="11" t="str">
        <f aca="false">IFERROR(MATCH("Printing / Xerox / Scanning|"&amp;$A29,MASTER_DATABASE!$BH$4:$BH$1000,0),"")</f>
        <v/>
      </c>
      <c r="C29" s="11" t="str">
        <f aca="false">IF($B29="","",INDEX(MASTER_DATABASE!$A$4:$A$1000,$B29)&amp;"")</f>
        <v/>
      </c>
      <c r="D29" s="7" t="str">
        <f aca="false">IF($B29="","",INDEX(MASTER_DATABASE!$D$4:$D$1000,$B29)&amp;"")</f>
        <v/>
      </c>
      <c r="E29" s="7" t="str">
        <f aca="false">IF($B29="","",INDEX(MASTER_DATABASE!$E$4:$E$1000,$B29)&amp;"")</f>
        <v/>
      </c>
      <c r="F29" s="7" t="str">
        <f aca="false">IF($B29="","",INDEX(MASTER_DATABASE!$F$4:$F$1000,$B29)&amp;"")</f>
        <v/>
      </c>
      <c r="G29" s="11" t="str">
        <f aca="false">IF($B29="","",INDEX(MASTER_DATABASE!$I$4:$I$1000,$B29)&amp;"")</f>
        <v/>
      </c>
      <c r="H29" s="7" t="str">
        <f aca="false">IF($B29="","",INDEX(MASTER_DATABASE!$L$4:$L$1000,$B29)&amp;"")</f>
        <v/>
      </c>
      <c r="I29" s="9" t="str">
        <f aca="false">IF($B29="","",INDEX(MASTER_DATABASE!$R$4:$R$1000,$B29))</f>
        <v/>
      </c>
      <c r="J29" s="9" t="str">
        <f aca="false">IF($B29="","",INDEX(MASTER_DATABASE!$S$4:$S$1000,$B29))</f>
        <v/>
      </c>
      <c r="K29" s="9" t="str">
        <f aca="false">IF($B29="","",INDEX(MASTER_DATABASE!$T$4:$T$1000,$B29))</f>
        <v/>
      </c>
      <c r="L29" s="7" t="str">
        <f aca="false">IF($B29="","",INDEX(MASTER_DATABASE!$U$4:$U$1000,$B29)&amp;"")</f>
        <v/>
      </c>
      <c r="M29" s="7" t="str">
        <f aca="false">IF($B29="","",INDEX(MASTER_DATABASE!$Q$4:$Q$1000,$B29)&amp;"")</f>
        <v/>
      </c>
      <c r="N29" s="7" t="str">
        <f aca="false">IF($B29="","",INDEX(MASTER_DATABASE!$AG$4:$AG$1000,$B29)&amp;"")</f>
        <v/>
      </c>
      <c r="O29" s="11" t="str">
        <f aca="false">IF($B29="","",INDEX(MASTER_DATABASE!$AH$4:$AH$1000,$B29)&amp;"")</f>
        <v/>
      </c>
      <c r="P29" s="11" t="str">
        <f aca="false">IF($B29="","",INDEX(MASTER_DATABASE!$BE$4:$BE$1000,$B29)&amp;"")</f>
        <v/>
      </c>
      <c r="Q29" s="7" t="str">
        <f aca="false">IF($B29="","",INDEX(MASTER_DATABASE!$AV$4:$AV$1000,$B29)&amp;"")</f>
        <v/>
      </c>
    </row>
    <row r="30" customFormat="false" ht="15" hidden="false" customHeight="false" outlineLevel="0" collapsed="false">
      <c r="A30" s="11" t="n">
        <v>27</v>
      </c>
      <c r="B30" s="11" t="str">
        <f aca="false">IFERROR(MATCH("Printing / Xerox / Scanning|"&amp;$A30,MASTER_DATABASE!$BH$4:$BH$1000,0),"")</f>
        <v/>
      </c>
      <c r="C30" s="11" t="str">
        <f aca="false">IF($B30="","",INDEX(MASTER_DATABASE!$A$4:$A$1000,$B30)&amp;"")</f>
        <v/>
      </c>
      <c r="D30" s="7" t="str">
        <f aca="false">IF($B30="","",INDEX(MASTER_DATABASE!$D$4:$D$1000,$B30)&amp;"")</f>
        <v/>
      </c>
      <c r="E30" s="7" t="str">
        <f aca="false">IF($B30="","",INDEX(MASTER_DATABASE!$E$4:$E$1000,$B30)&amp;"")</f>
        <v/>
      </c>
      <c r="F30" s="7" t="str">
        <f aca="false">IF($B30="","",INDEX(MASTER_DATABASE!$F$4:$F$1000,$B30)&amp;"")</f>
        <v/>
      </c>
      <c r="G30" s="11" t="str">
        <f aca="false">IF($B30="","",INDEX(MASTER_DATABASE!$I$4:$I$1000,$B30)&amp;"")</f>
        <v/>
      </c>
      <c r="H30" s="7" t="str">
        <f aca="false">IF($B30="","",INDEX(MASTER_DATABASE!$L$4:$L$1000,$B30)&amp;"")</f>
        <v/>
      </c>
      <c r="I30" s="9" t="str">
        <f aca="false">IF($B30="","",INDEX(MASTER_DATABASE!$R$4:$R$1000,$B30))</f>
        <v/>
      </c>
      <c r="J30" s="9" t="str">
        <f aca="false">IF($B30="","",INDEX(MASTER_DATABASE!$S$4:$S$1000,$B30))</f>
        <v/>
      </c>
      <c r="K30" s="9" t="str">
        <f aca="false">IF($B30="","",INDEX(MASTER_DATABASE!$T$4:$T$1000,$B30))</f>
        <v/>
      </c>
      <c r="L30" s="7" t="str">
        <f aca="false">IF($B30="","",INDEX(MASTER_DATABASE!$U$4:$U$1000,$B30)&amp;"")</f>
        <v/>
      </c>
      <c r="M30" s="7" t="str">
        <f aca="false">IF($B30="","",INDEX(MASTER_DATABASE!$Q$4:$Q$1000,$B30)&amp;"")</f>
        <v/>
      </c>
      <c r="N30" s="7" t="str">
        <f aca="false">IF($B30="","",INDEX(MASTER_DATABASE!$AG$4:$AG$1000,$B30)&amp;"")</f>
        <v/>
      </c>
      <c r="O30" s="11" t="str">
        <f aca="false">IF($B30="","",INDEX(MASTER_DATABASE!$AH$4:$AH$1000,$B30)&amp;"")</f>
        <v/>
      </c>
      <c r="P30" s="11" t="str">
        <f aca="false">IF($B30="","",INDEX(MASTER_DATABASE!$BE$4:$BE$1000,$B30)&amp;"")</f>
        <v/>
      </c>
      <c r="Q30" s="7" t="str">
        <f aca="false">IF($B30="","",INDEX(MASTER_DATABASE!$AV$4:$AV$1000,$B30)&amp;"")</f>
        <v/>
      </c>
    </row>
    <row r="31" customFormat="false" ht="15" hidden="false" customHeight="false" outlineLevel="0" collapsed="false">
      <c r="A31" s="11" t="n">
        <v>28</v>
      </c>
      <c r="B31" s="11" t="str">
        <f aca="false">IFERROR(MATCH("Printing / Xerox / Scanning|"&amp;$A31,MASTER_DATABASE!$BH$4:$BH$1000,0),"")</f>
        <v/>
      </c>
      <c r="C31" s="11" t="str">
        <f aca="false">IF($B31="","",INDEX(MASTER_DATABASE!$A$4:$A$1000,$B31)&amp;"")</f>
        <v/>
      </c>
      <c r="D31" s="7" t="str">
        <f aca="false">IF($B31="","",INDEX(MASTER_DATABASE!$D$4:$D$1000,$B31)&amp;"")</f>
        <v/>
      </c>
      <c r="E31" s="7" t="str">
        <f aca="false">IF($B31="","",INDEX(MASTER_DATABASE!$E$4:$E$1000,$B31)&amp;"")</f>
        <v/>
      </c>
      <c r="F31" s="7" t="str">
        <f aca="false">IF($B31="","",INDEX(MASTER_DATABASE!$F$4:$F$1000,$B31)&amp;"")</f>
        <v/>
      </c>
      <c r="G31" s="11" t="str">
        <f aca="false">IF($B31="","",INDEX(MASTER_DATABASE!$I$4:$I$1000,$B31)&amp;"")</f>
        <v/>
      </c>
      <c r="H31" s="7" t="str">
        <f aca="false">IF($B31="","",INDEX(MASTER_DATABASE!$L$4:$L$1000,$B31)&amp;"")</f>
        <v/>
      </c>
      <c r="I31" s="9" t="str">
        <f aca="false">IF($B31="","",INDEX(MASTER_DATABASE!$R$4:$R$1000,$B31))</f>
        <v/>
      </c>
      <c r="J31" s="9" t="str">
        <f aca="false">IF($B31="","",INDEX(MASTER_DATABASE!$S$4:$S$1000,$B31))</f>
        <v/>
      </c>
      <c r="K31" s="9" t="str">
        <f aca="false">IF($B31="","",INDEX(MASTER_DATABASE!$T$4:$T$1000,$B31))</f>
        <v/>
      </c>
      <c r="L31" s="7" t="str">
        <f aca="false">IF($B31="","",INDEX(MASTER_DATABASE!$U$4:$U$1000,$B31)&amp;"")</f>
        <v/>
      </c>
      <c r="M31" s="7" t="str">
        <f aca="false">IF($B31="","",INDEX(MASTER_DATABASE!$Q$4:$Q$1000,$B31)&amp;"")</f>
        <v/>
      </c>
      <c r="N31" s="7" t="str">
        <f aca="false">IF($B31="","",INDEX(MASTER_DATABASE!$AG$4:$AG$1000,$B31)&amp;"")</f>
        <v/>
      </c>
      <c r="O31" s="11" t="str">
        <f aca="false">IF($B31="","",INDEX(MASTER_DATABASE!$AH$4:$AH$1000,$B31)&amp;"")</f>
        <v/>
      </c>
      <c r="P31" s="11" t="str">
        <f aca="false">IF($B31="","",INDEX(MASTER_DATABASE!$BE$4:$BE$1000,$B31)&amp;"")</f>
        <v/>
      </c>
      <c r="Q31" s="7" t="str">
        <f aca="false">IF($B31="","",INDEX(MASTER_DATABASE!$AV$4:$AV$1000,$B31)&amp;"")</f>
        <v/>
      </c>
    </row>
    <row r="32" customFormat="false" ht="15" hidden="false" customHeight="false" outlineLevel="0" collapsed="false">
      <c r="A32" s="11" t="n">
        <v>29</v>
      </c>
      <c r="B32" s="11" t="str">
        <f aca="false">IFERROR(MATCH("Printing / Xerox / Scanning|"&amp;$A32,MASTER_DATABASE!$BH$4:$BH$1000,0),"")</f>
        <v/>
      </c>
      <c r="C32" s="11" t="str">
        <f aca="false">IF($B32="","",INDEX(MASTER_DATABASE!$A$4:$A$1000,$B32)&amp;"")</f>
        <v/>
      </c>
      <c r="D32" s="7" t="str">
        <f aca="false">IF($B32="","",INDEX(MASTER_DATABASE!$D$4:$D$1000,$B32)&amp;"")</f>
        <v/>
      </c>
      <c r="E32" s="7" t="str">
        <f aca="false">IF($B32="","",INDEX(MASTER_DATABASE!$E$4:$E$1000,$B32)&amp;"")</f>
        <v/>
      </c>
      <c r="F32" s="7" t="str">
        <f aca="false">IF($B32="","",INDEX(MASTER_DATABASE!$F$4:$F$1000,$B32)&amp;"")</f>
        <v/>
      </c>
      <c r="G32" s="11" t="str">
        <f aca="false">IF($B32="","",INDEX(MASTER_DATABASE!$I$4:$I$1000,$B32)&amp;"")</f>
        <v/>
      </c>
      <c r="H32" s="7" t="str">
        <f aca="false">IF($B32="","",INDEX(MASTER_DATABASE!$L$4:$L$1000,$B32)&amp;"")</f>
        <v/>
      </c>
      <c r="I32" s="9" t="str">
        <f aca="false">IF($B32="","",INDEX(MASTER_DATABASE!$R$4:$R$1000,$B32))</f>
        <v/>
      </c>
      <c r="J32" s="9" t="str">
        <f aca="false">IF($B32="","",INDEX(MASTER_DATABASE!$S$4:$S$1000,$B32))</f>
        <v/>
      </c>
      <c r="K32" s="9" t="str">
        <f aca="false">IF($B32="","",INDEX(MASTER_DATABASE!$T$4:$T$1000,$B32))</f>
        <v/>
      </c>
      <c r="L32" s="7" t="str">
        <f aca="false">IF($B32="","",INDEX(MASTER_DATABASE!$U$4:$U$1000,$B32)&amp;"")</f>
        <v/>
      </c>
      <c r="M32" s="7" t="str">
        <f aca="false">IF($B32="","",INDEX(MASTER_DATABASE!$Q$4:$Q$1000,$B32)&amp;"")</f>
        <v/>
      </c>
      <c r="N32" s="7" t="str">
        <f aca="false">IF($B32="","",INDEX(MASTER_DATABASE!$AG$4:$AG$1000,$B32)&amp;"")</f>
        <v/>
      </c>
      <c r="O32" s="11" t="str">
        <f aca="false">IF($B32="","",INDEX(MASTER_DATABASE!$AH$4:$AH$1000,$B32)&amp;"")</f>
        <v/>
      </c>
      <c r="P32" s="11" t="str">
        <f aca="false">IF($B32="","",INDEX(MASTER_DATABASE!$BE$4:$BE$1000,$B32)&amp;"")</f>
        <v/>
      </c>
      <c r="Q32" s="7" t="str">
        <f aca="false">IF($B32="","",INDEX(MASTER_DATABASE!$AV$4:$AV$1000,$B32)&amp;"")</f>
        <v/>
      </c>
    </row>
    <row r="33" customFormat="false" ht="15" hidden="false" customHeight="false" outlineLevel="0" collapsed="false">
      <c r="A33" s="11" t="n">
        <v>30</v>
      </c>
      <c r="B33" s="11" t="str">
        <f aca="false">IFERROR(MATCH("Printing / Xerox / Scanning|"&amp;$A33,MASTER_DATABASE!$BH$4:$BH$1000,0),"")</f>
        <v/>
      </c>
      <c r="C33" s="11" t="str">
        <f aca="false">IF($B33="","",INDEX(MASTER_DATABASE!$A$4:$A$1000,$B33)&amp;"")</f>
        <v/>
      </c>
      <c r="D33" s="7" t="str">
        <f aca="false">IF($B33="","",INDEX(MASTER_DATABASE!$D$4:$D$1000,$B33)&amp;"")</f>
        <v/>
      </c>
      <c r="E33" s="7" t="str">
        <f aca="false">IF($B33="","",INDEX(MASTER_DATABASE!$E$4:$E$1000,$B33)&amp;"")</f>
        <v/>
      </c>
      <c r="F33" s="7" t="str">
        <f aca="false">IF($B33="","",INDEX(MASTER_DATABASE!$F$4:$F$1000,$B33)&amp;"")</f>
        <v/>
      </c>
      <c r="G33" s="11" t="str">
        <f aca="false">IF($B33="","",INDEX(MASTER_DATABASE!$I$4:$I$1000,$B33)&amp;"")</f>
        <v/>
      </c>
      <c r="H33" s="7" t="str">
        <f aca="false">IF($B33="","",INDEX(MASTER_DATABASE!$L$4:$L$1000,$B33)&amp;"")</f>
        <v/>
      </c>
      <c r="I33" s="9" t="str">
        <f aca="false">IF($B33="","",INDEX(MASTER_DATABASE!$R$4:$R$1000,$B33))</f>
        <v/>
      </c>
      <c r="J33" s="9" t="str">
        <f aca="false">IF($B33="","",INDEX(MASTER_DATABASE!$S$4:$S$1000,$B33))</f>
        <v/>
      </c>
      <c r="K33" s="9" t="str">
        <f aca="false">IF($B33="","",INDEX(MASTER_DATABASE!$T$4:$T$1000,$B33))</f>
        <v/>
      </c>
      <c r="L33" s="7" t="str">
        <f aca="false">IF($B33="","",INDEX(MASTER_DATABASE!$U$4:$U$1000,$B33)&amp;"")</f>
        <v/>
      </c>
      <c r="M33" s="7" t="str">
        <f aca="false">IF($B33="","",INDEX(MASTER_DATABASE!$Q$4:$Q$1000,$B33)&amp;"")</f>
        <v/>
      </c>
      <c r="N33" s="7" t="str">
        <f aca="false">IF($B33="","",INDEX(MASTER_DATABASE!$AG$4:$AG$1000,$B33)&amp;"")</f>
        <v/>
      </c>
      <c r="O33" s="11" t="str">
        <f aca="false">IF($B33="","",INDEX(MASTER_DATABASE!$AH$4:$AH$1000,$B33)&amp;"")</f>
        <v/>
      </c>
      <c r="P33" s="11" t="str">
        <f aca="false">IF($B33="","",INDEX(MASTER_DATABASE!$BE$4:$BE$1000,$B33)&amp;"")</f>
        <v/>
      </c>
      <c r="Q33" s="7" t="str">
        <f aca="false">IF($B33="","",INDEX(MASTER_DATABASE!$AV$4:$AV$1000,$B33)&amp;"")</f>
        <v/>
      </c>
    </row>
    <row r="34" customFormat="false" ht="15" hidden="false" customHeight="false" outlineLevel="0" collapsed="false">
      <c r="A34" s="11" t="n">
        <v>31</v>
      </c>
      <c r="B34" s="11" t="str">
        <f aca="false">IFERROR(MATCH("Printing / Xerox / Scanning|"&amp;$A34,MASTER_DATABASE!$BH$4:$BH$1000,0),"")</f>
        <v/>
      </c>
      <c r="C34" s="11" t="str">
        <f aca="false">IF($B34="","",INDEX(MASTER_DATABASE!$A$4:$A$1000,$B34)&amp;"")</f>
        <v/>
      </c>
      <c r="D34" s="7" t="str">
        <f aca="false">IF($B34="","",INDEX(MASTER_DATABASE!$D$4:$D$1000,$B34)&amp;"")</f>
        <v/>
      </c>
      <c r="E34" s="7" t="str">
        <f aca="false">IF($B34="","",INDEX(MASTER_DATABASE!$E$4:$E$1000,$B34)&amp;"")</f>
        <v/>
      </c>
      <c r="F34" s="7" t="str">
        <f aca="false">IF($B34="","",INDEX(MASTER_DATABASE!$F$4:$F$1000,$B34)&amp;"")</f>
        <v/>
      </c>
      <c r="G34" s="11" t="str">
        <f aca="false">IF($B34="","",INDEX(MASTER_DATABASE!$I$4:$I$1000,$B34)&amp;"")</f>
        <v/>
      </c>
      <c r="H34" s="7" t="str">
        <f aca="false">IF($B34="","",INDEX(MASTER_DATABASE!$L$4:$L$1000,$B34)&amp;"")</f>
        <v/>
      </c>
      <c r="I34" s="9" t="str">
        <f aca="false">IF($B34="","",INDEX(MASTER_DATABASE!$R$4:$R$1000,$B34))</f>
        <v/>
      </c>
      <c r="J34" s="9" t="str">
        <f aca="false">IF($B34="","",INDEX(MASTER_DATABASE!$S$4:$S$1000,$B34))</f>
        <v/>
      </c>
      <c r="K34" s="9" t="str">
        <f aca="false">IF($B34="","",INDEX(MASTER_DATABASE!$T$4:$T$1000,$B34))</f>
        <v/>
      </c>
      <c r="L34" s="7" t="str">
        <f aca="false">IF($B34="","",INDEX(MASTER_DATABASE!$U$4:$U$1000,$B34)&amp;"")</f>
        <v/>
      </c>
      <c r="M34" s="7" t="str">
        <f aca="false">IF($B34="","",INDEX(MASTER_DATABASE!$Q$4:$Q$1000,$B34)&amp;"")</f>
        <v/>
      </c>
      <c r="N34" s="7" t="str">
        <f aca="false">IF($B34="","",INDEX(MASTER_DATABASE!$AG$4:$AG$1000,$B34)&amp;"")</f>
        <v/>
      </c>
      <c r="O34" s="11" t="str">
        <f aca="false">IF($B34="","",INDEX(MASTER_DATABASE!$AH$4:$AH$1000,$B34)&amp;"")</f>
        <v/>
      </c>
      <c r="P34" s="11" t="str">
        <f aca="false">IF($B34="","",INDEX(MASTER_DATABASE!$BE$4:$BE$1000,$B34)&amp;"")</f>
        <v/>
      </c>
      <c r="Q34" s="7" t="str">
        <f aca="false">IF($B34="","",INDEX(MASTER_DATABASE!$AV$4:$AV$1000,$B34)&amp;"")</f>
        <v/>
      </c>
    </row>
    <row r="35" customFormat="false" ht="15" hidden="false" customHeight="false" outlineLevel="0" collapsed="false">
      <c r="A35" s="11" t="n">
        <v>32</v>
      </c>
      <c r="B35" s="11" t="str">
        <f aca="false">IFERROR(MATCH("Printing / Xerox / Scanning|"&amp;$A35,MASTER_DATABASE!$BH$4:$BH$1000,0),"")</f>
        <v/>
      </c>
      <c r="C35" s="11" t="str">
        <f aca="false">IF($B35="","",INDEX(MASTER_DATABASE!$A$4:$A$1000,$B35)&amp;"")</f>
        <v/>
      </c>
      <c r="D35" s="7" t="str">
        <f aca="false">IF($B35="","",INDEX(MASTER_DATABASE!$D$4:$D$1000,$B35)&amp;"")</f>
        <v/>
      </c>
      <c r="E35" s="7" t="str">
        <f aca="false">IF($B35="","",INDEX(MASTER_DATABASE!$E$4:$E$1000,$B35)&amp;"")</f>
        <v/>
      </c>
      <c r="F35" s="7" t="str">
        <f aca="false">IF($B35="","",INDEX(MASTER_DATABASE!$F$4:$F$1000,$B35)&amp;"")</f>
        <v/>
      </c>
      <c r="G35" s="11" t="str">
        <f aca="false">IF($B35="","",INDEX(MASTER_DATABASE!$I$4:$I$1000,$B35)&amp;"")</f>
        <v/>
      </c>
      <c r="H35" s="7" t="str">
        <f aca="false">IF($B35="","",INDEX(MASTER_DATABASE!$L$4:$L$1000,$B35)&amp;"")</f>
        <v/>
      </c>
      <c r="I35" s="9" t="str">
        <f aca="false">IF($B35="","",INDEX(MASTER_DATABASE!$R$4:$R$1000,$B35))</f>
        <v/>
      </c>
      <c r="J35" s="9" t="str">
        <f aca="false">IF($B35="","",INDEX(MASTER_DATABASE!$S$4:$S$1000,$B35))</f>
        <v/>
      </c>
      <c r="K35" s="9" t="str">
        <f aca="false">IF($B35="","",INDEX(MASTER_DATABASE!$T$4:$T$1000,$B35))</f>
        <v/>
      </c>
      <c r="L35" s="7" t="str">
        <f aca="false">IF($B35="","",INDEX(MASTER_DATABASE!$U$4:$U$1000,$B35)&amp;"")</f>
        <v/>
      </c>
      <c r="M35" s="7" t="str">
        <f aca="false">IF($B35="","",INDEX(MASTER_DATABASE!$Q$4:$Q$1000,$B35)&amp;"")</f>
        <v/>
      </c>
      <c r="N35" s="7" t="str">
        <f aca="false">IF($B35="","",INDEX(MASTER_DATABASE!$AG$4:$AG$1000,$B35)&amp;"")</f>
        <v/>
      </c>
      <c r="O35" s="11" t="str">
        <f aca="false">IF($B35="","",INDEX(MASTER_DATABASE!$AH$4:$AH$1000,$B35)&amp;"")</f>
        <v/>
      </c>
      <c r="P35" s="11" t="str">
        <f aca="false">IF($B35="","",INDEX(MASTER_DATABASE!$BE$4:$BE$1000,$B35)&amp;"")</f>
        <v/>
      </c>
      <c r="Q35" s="7" t="str">
        <f aca="false">IF($B35="","",INDEX(MASTER_DATABASE!$AV$4:$AV$1000,$B35)&amp;"")</f>
        <v/>
      </c>
    </row>
    <row r="36" customFormat="false" ht="15" hidden="false" customHeight="false" outlineLevel="0" collapsed="false">
      <c r="A36" s="11" t="n">
        <v>33</v>
      </c>
      <c r="B36" s="11" t="str">
        <f aca="false">IFERROR(MATCH("Printing / Xerox / Scanning|"&amp;$A36,MASTER_DATABASE!$BH$4:$BH$1000,0),"")</f>
        <v/>
      </c>
      <c r="C36" s="11" t="str">
        <f aca="false">IF($B36="","",INDEX(MASTER_DATABASE!$A$4:$A$1000,$B36)&amp;"")</f>
        <v/>
      </c>
      <c r="D36" s="7" t="str">
        <f aca="false">IF($B36="","",INDEX(MASTER_DATABASE!$D$4:$D$1000,$B36)&amp;"")</f>
        <v/>
      </c>
      <c r="E36" s="7" t="str">
        <f aca="false">IF($B36="","",INDEX(MASTER_DATABASE!$E$4:$E$1000,$B36)&amp;"")</f>
        <v/>
      </c>
      <c r="F36" s="7" t="str">
        <f aca="false">IF($B36="","",INDEX(MASTER_DATABASE!$F$4:$F$1000,$B36)&amp;"")</f>
        <v/>
      </c>
      <c r="G36" s="11" t="str">
        <f aca="false">IF($B36="","",INDEX(MASTER_DATABASE!$I$4:$I$1000,$B36)&amp;"")</f>
        <v/>
      </c>
      <c r="H36" s="7" t="str">
        <f aca="false">IF($B36="","",INDEX(MASTER_DATABASE!$L$4:$L$1000,$B36)&amp;"")</f>
        <v/>
      </c>
      <c r="I36" s="9" t="str">
        <f aca="false">IF($B36="","",INDEX(MASTER_DATABASE!$R$4:$R$1000,$B36))</f>
        <v/>
      </c>
      <c r="J36" s="9" t="str">
        <f aca="false">IF($B36="","",INDEX(MASTER_DATABASE!$S$4:$S$1000,$B36))</f>
        <v/>
      </c>
      <c r="K36" s="9" t="str">
        <f aca="false">IF($B36="","",INDEX(MASTER_DATABASE!$T$4:$T$1000,$B36))</f>
        <v/>
      </c>
      <c r="L36" s="7" t="str">
        <f aca="false">IF($B36="","",INDEX(MASTER_DATABASE!$U$4:$U$1000,$B36)&amp;"")</f>
        <v/>
      </c>
      <c r="M36" s="7" t="str">
        <f aca="false">IF($B36="","",INDEX(MASTER_DATABASE!$Q$4:$Q$1000,$B36)&amp;"")</f>
        <v/>
      </c>
      <c r="N36" s="7" t="str">
        <f aca="false">IF($B36="","",INDEX(MASTER_DATABASE!$AG$4:$AG$1000,$B36)&amp;"")</f>
        <v/>
      </c>
      <c r="O36" s="11" t="str">
        <f aca="false">IF($B36="","",INDEX(MASTER_DATABASE!$AH$4:$AH$1000,$B36)&amp;"")</f>
        <v/>
      </c>
      <c r="P36" s="11" t="str">
        <f aca="false">IF($B36="","",INDEX(MASTER_DATABASE!$BE$4:$BE$1000,$B36)&amp;"")</f>
        <v/>
      </c>
      <c r="Q36" s="7" t="str">
        <f aca="false">IF($B36="","",INDEX(MASTER_DATABASE!$AV$4:$AV$1000,$B36)&amp;"")</f>
        <v/>
      </c>
    </row>
    <row r="37" customFormat="false" ht="15" hidden="false" customHeight="false" outlineLevel="0" collapsed="false">
      <c r="A37" s="11" t="n">
        <v>34</v>
      </c>
      <c r="B37" s="11" t="str">
        <f aca="false">IFERROR(MATCH("Printing / Xerox / Scanning|"&amp;$A37,MASTER_DATABASE!$BH$4:$BH$1000,0),"")</f>
        <v/>
      </c>
      <c r="C37" s="11" t="str">
        <f aca="false">IF($B37="","",INDEX(MASTER_DATABASE!$A$4:$A$1000,$B37)&amp;"")</f>
        <v/>
      </c>
      <c r="D37" s="7" t="str">
        <f aca="false">IF($B37="","",INDEX(MASTER_DATABASE!$D$4:$D$1000,$B37)&amp;"")</f>
        <v/>
      </c>
      <c r="E37" s="7" t="str">
        <f aca="false">IF($B37="","",INDEX(MASTER_DATABASE!$E$4:$E$1000,$B37)&amp;"")</f>
        <v/>
      </c>
      <c r="F37" s="7" t="str">
        <f aca="false">IF($B37="","",INDEX(MASTER_DATABASE!$F$4:$F$1000,$B37)&amp;"")</f>
        <v/>
      </c>
      <c r="G37" s="11" t="str">
        <f aca="false">IF($B37="","",INDEX(MASTER_DATABASE!$I$4:$I$1000,$B37)&amp;"")</f>
        <v/>
      </c>
      <c r="H37" s="7" t="str">
        <f aca="false">IF($B37="","",INDEX(MASTER_DATABASE!$L$4:$L$1000,$B37)&amp;"")</f>
        <v/>
      </c>
      <c r="I37" s="9" t="str">
        <f aca="false">IF($B37="","",INDEX(MASTER_DATABASE!$R$4:$R$1000,$B37))</f>
        <v/>
      </c>
      <c r="J37" s="9" t="str">
        <f aca="false">IF($B37="","",INDEX(MASTER_DATABASE!$S$4:$S$1000,$B37))</f>
        <v/>
      </c>
      <c r="K37" s="9" t="str">
        <f aca="false">IF($B37="","",INDEX(MASTER_DATABASE!$T$4:$T$1000,$B37))</f>
        <v/>
      </c>
      <c r="L37" s="7" t="str">
        <f aca="false">IF($B37="","",INDEX(MASTER_DATABASE!$U$4:$U$1000,$B37)&amp;"")</f>
        <v/>
      </c>
      <c r="M37" s="7" t="str">
        <f aca="false">IF($B37="","",INDEX(MASTER_DATABASE!$Q$4:$Q$1000,$B37)&amp;"")</f>
        <v/>
      </c>
      <c r="N37" s="7" t="str">
        <f aca="false">IF($B37="","",INDEX(MASTER_DATABASE!$AG$4:$AG$1000,$B37)&amp;"")</f>
        <v/>
      </c>
      <c r="O37" s="11" t="str">
        <f aca="false">IF($B37="","",INDEX(MASTER_DATABASE!$AH$4:$AH$1000,$B37)&amp;"")</f>
        <v/>
      </c>
      <c r="P37" s="11" t="str">
        <f aca="false">IF($B37="","",INDEX(MASTER_DATABASE!$BE$4:$BE$1000,$B37)&amp;"")</f>
        <v/>
      </c>
      <c r="Q37" s="7" t="str">
        <f aca="false">IF($B37="","",INDEX(MASTER_DATABASE!$AV$4:$AV$1000,$B37)&amp;"")</f>
        <v/>
      </c>
    </row>
    <row r="38" customFormat="false" ht="15" hidden="false" customHeight="false" outlineLevel="0" collapsed="false">
      <c r="A38" s="11" t="n">
        <v>35</v>
      </c>
      <c r="B38" s="11" t="str">
        <f aca="false">IFERROR(MATCH("Printing / Xerox / Scanning|"&amp;$A38,MASTER_DATABASE!$BH$4:$BH$1000,0),"")</f>
        <v/>
      </c>
      <c r="C38" s="11" t="str">
        <f aca="false">IF($B38="","",INDEX(MASTER_DATABASE!$A$4:$A$1000,$B38)&amp;"")</f>
        <v/>
      </c>
      <c r="D38" s="7" t="str">
        <f aca="false">IF($B38="","",INDEX(MASTER_DATABASE!$D$4:$D$1000,$B38)&amp;"")</f>
        <v/>
      </c>
      <c r="E38" s="7" t="str">
        <f aca="false">IF($B38="","",INDEX(MASTER_DATABASE!$E$4:$E$1000,$B38)&amp;"")</f>
        <v/>
      </c>
      <c r="F38" s="7" t="str">
        <f aca="false">IF($B38="","",INDEX(MASTER_DATABASE!$F$4:$F$1000,$B38)&amp;"")</f>
        <v/>
      </c>
      <c r="G38" s="11" t="str">
        <f aca="false">IF($B38="","",INDEX(MASTER_DATABASE!$I$4:$I$1000,$B38)&amp;"")</f>
        <v/>
      </c>
      <c r="H38" s="7" t="str">
        <f aca="false">IF($B38="","",INDEX(MASTER_DATABASE!$L$4:$L$1000,$B38)&amp;"")</f>
        <v/>
      </c>
      <c r="I38" s="9" t="str">
        <f aca="false">IF($B38="","",INDEX(MASTER_DATABASE!$R$4:$R$1000,$B38))</f>
        <v/>
      </c>
      <c r="J38" s="9" t="str">
        <f aca="false">IF($B38="","",INDEX(MASTER_DATABASE!$S$4:$S$1000,$B38))</f>
        <v/>
      </c>
      <c r="K38" s="9" t="str">
        <f aca="false">IF($B38="","",INDEX(MASTER_DATABASE!$T$4:$T$1000,$B38))</f>
        <v/>
      </c>
      <c r="L38" s="7" t="str">
        <f aca="false">IF($B38="","",INDEX(MASTER_DATABASE!$U$4:$U$1000,$B38)&amp;"")</f>
        <v/>
      </c>
      <c r="M38" s="7" t="str">
        <f aca="false">IF($B38="","",INDEX(MASTER_DATABASE!$Q$4:$Q$1000,$B38)&amp;"")</f>
        <v/>
      </c>
      <c r="N38" s="7" t="str">
        <f aca="false">IF($B38="","",INDEX(MASTER_DATABASE!$AG$4:$AG$1000,$B38)&amp;"")</f>
        <v/>
      </c>
      <c r="O38" s="11" t="str">
        <f aca="false">IF($B38="","",INDEX(MASTER_DATABASE!$AH$4:$AH$1000,$B38)&amp;"")</f>
        <v/>
      </c>
      <c r="P38" s="11" t="str">
        <f aca="false">IF($B38="","",INDEX(MASTER_DATABASE!$BE$4:$BE$1000,$B38)&amp;"")</f>
        <v/>
      </c>
      <c r="Q38" s="7" t="str">
        <f aca="false">IF($B38="","",INDEX(MASTER_DATABASE!$AV$4:$AV$1000,$B38)&amp;"")</f>
        <v/>
      </c>
    </row>
    <row r="39" customFormat="false" ht="15" hidden="false" customHeight="false" outlineLevel="0" collapsed="false">
      <c r="A39" s="11" t="n">
        <v>36</v>
      </c>
      <c r="B39" s="11" t="str">
        <f aca="false">IFERROR(MATCH("Printing / Xerox / Scanning|"&amp;$A39,MASTER_DATABASE!$BH$4:$BH$1000,0),"")</f>
        <v/>
      </c>
      <c r="C39" s="11" t="str">
        <f aca="false">IF($B39="","",INDEX(MASTER_DATABASE!$A$4:$A$1000,$B39)&amp;"")</f>
        <v/>
      </c>
      <c r="D39" s="7" t="str">
        <f aca="false">IF($B39="","",INDEX(MASTER_DATABASE!$D$4:$D$1000,$B39)&amp;"")</f>
        <v/>
      </c>
      <c r="E39" s="7" t="str">
        <f aca="false">IF($B39="","",INDEX(MASTER_DATABASE!$E$4:$E$1000,$B39)&amp;"")</f>
        <v/>
      </c>
      <c r="F39" s="7" t="str">
        <f aca="false">IF($B39="","",INDEX(MASTER_DATABASE!$F$4:$F$1000,$B39)&amp;"")</f>
        <v/>
      </c>
      <c r="G39" s="11" t="str">
        <f aca="false">IF($B39="","",INDEX(MASTER_DATABASE!$I$4:$I$1000,$B39)&amp;"")</f>
        <v/>
      </c>
      <c r="H39" s="7" t="str">
        <f aca="false">IF($B39="","",INDEX(MASTER_DATABASE!$L$4:$L$1000,$B39)&amp;"")</f>
        <v/>
      </c>
      <c r="I39" s="9" t="str">
        <f aca="false">IF($B39="","",INDEX(MASTER_DATABASE!$R$4:$R$1000,$B39))</f>
        <v/>
      </c>
      <c r="J39" s="9" t="str">
        <f aca="false">IF($B39="","",INDEX(MASTER_DATABASE!$S$4:$S$1000,$B39))</f>
        <v/>
      </c>
      <c r="K39" s="9" t="str">
        <f aca="false">IF($B39="","",INDEX(MASTER_DATABASE!$T$4:$T$1000,$B39))</f>
        <v/>
      </c>
      <c r="L39" s="7" t="str">
        <f aca="false">IF($B39="","",INDEX(MASTER_DATABASE!$U$4:$U$1000,$B39)&amp;"")</f>
        <v/>
      </c>
      <c r="M39" s="7" t="str">
        <f aca="false">IF($B39="","",INDEX(MASTER_DATABASE!$Q$4:$Q$1000,$B39)&amp;"")</f>
        <v/>
      </c>
      <c r="N39" s="7" t="str">
        <f aca="false">IF($B39="","",INDEX(MASTER_DATABASE!$AG$4:$AG$1000,$B39)&amp;"")</f>
        <v/>
      </c>
      <c r="O39" s="11" t="str">
        <f aca="false">IF($B39="","",INDEX(MASTER_DATABASE!$AH$4:$AH$1000,$B39)&amp;"")</f>
        <v/>
      </c>
      <c r="P39" s="11" t="str">
        <f aca="false">IF($B39="","",INDEX(MASTER_DATABASE!$BE$4:$BE$1000,$B39)&amp;"")</f>
        <v/>
      </c>
      <c r="Q39" s="7" t="str">
        <f aca="false">IF($B39="","",INDEX(MASTER_DATABASE!$AV$4:$AV$1000,$B39)&amp;"")</f>
        <v/>
      </c>
    </row>
    <row r="40" customFormat="false" ht="15" hidden="false" customHeight="false" outlineLevel="0" collapsed="false">
      <c r="A40" s="11" t="n">
        <v>37</v>
      </c>
      <c r="B40" s="11" t="str">
        <f aca="false">IFERROR(MATCH("Printing / Xerox / Scanning|"&amp;$A40,MASTER_DATABASE!$BH$4:$BH$1000,0),"")</f>
        <v/>
      </c>
      <c r="C40" s="11" t="str">
        <f aca="false">IF($B40="","",INDEX(MASTER_DATABASE!$A$4:$A$1000,$B40)&amp;"")</f>
        <v/>
      </c>
      <c r="D40" s="7" t="str">
        <f aca="false">IF($B40="","",INDEX(MASTER_DATABASE!$D$4:$D$1000,$B40)&amp;"")</f>
        <v/>
      </c>
      <c r="E40" s="7" t="str">
        <f aca="false">IF($B40="","",INDEX(MASTER_DATABASE!$E$4:$E$1000,$B40)&amp;"")</f>
        <v/>
      </c>
      <c r="F40" s="7" t="str">
        <f aca="false">IF($B40="","",INDEX(MASTER_DATABASE!$F$4:$F$1000,$B40)&amp;"")</f>
        <v/>
      </c>
      <c r="G40" s="11" t="str">
        <f aca="false">IF($B40="","",INDEX(MASTER_DATABASE!$I$4:$I$1000,$B40)&amp;"")</f>
        <v/>
      </c>
      <c r="H40" s="7" t="str">
        <f aca="false">IF($B40="","",INDEX(MASTER_DATABASE!$L$4:$L$1000,$B40)&amp;"")</f>
        <v/>
      </c>
      <c r="I40" s="9" t="str">
        <f aca="false">IF($B40="","",INDEX(MASTER_DATABASE!$R$4:$R$1000,$B40))</f>
        <v/>
      </c>
      <c r="J40" s="9" t="str">
        <f aca="false">IF($B40="","",INDEX(MASTER_DATABASE!$S$4:$S$1000,$B40))</f>
        <v/>
      </c>
      <c r="K40" s="9" t="str">
        <f aca="false">IF($B40="","",INDEX(MASTER_DATABASE!$T$4:$T$1000,$B40))</f>
        <v/>
      </c>
      <c r="L40" s="7" t="str">
        <f aca="false">IF($B40="","",INDEX(MASTER_DATABASE!$U$4:$U$1000,$B40)&amp;"")</f>
        <v/>
      </c>
      <c r="M40" s="7" t="str">
        <f aca="false">IF($B40="","",INDEX(MASTER_DATABASE!$Q$4:$Q$1000,$B40)&amp;"")</f>
        <v/>
      </c>
      <c r="N40" s="7" t="str">
        <f aca="false">IF($B40="","",INDEX(MASTER_DATABASE!$AG$4:$AG$1000,$B40)&amp;"")</f>
        <v/>
      </c>
      <c r="O40" s="11" t="str">
        <f aca="false">IF($B40="","",INDEX(MASTER_DATABASE!$AH$4:$AH$1000,$B40)&amp;"")</f>
        <v/>
      </c>
      <c r="P40" s="11" t="str">
        <f aca="false">IF($B40="","",INDEX(MASTER_DATABASE!$BE$4:$BE$1000,$B40)&amp;"")</f>
        <v/>
      </c>
      <c r="Q40" s="7" t="str">
        <f aca="false">IF($B40="","",INDEX(MASTER_DATABASE!$AV$4:$AV$1000,$B40)&amp;"")</f>
        <v/>
      </c>
    </row>
    <row r="41" customFormat="false" ht="15" hidden="false" customHeight="false" outlineLevel="0" collapsed="false">
      <c r="A41" s="11" t="n">
        <v>38</v>
      </c>
      <c r="B41" s="11" t="str">
        <f aca="false">IFERROR(MATCH("Printing / Xerox / Scanning|"&amp;$A41,MASTER_DATABASE!$BH$4:$BH$1000,0),"")</f>
        <v/>
      </c>
      <c r="C41" s="11" t="str">
        <f aca="false">IF($B41="","",INDEX(MASTER_DATABASE!$A$4:$A$1000,$B41)&amp;"")</f>
        <v/>
      </c>
      <c r="D41" s="7" t="str">
        <f aca="false">IF($B41="","",INDEX(MASTER_DATABASE!$D$4:$D$1000,$B41)&amp;"")</f>
        <v/>
      </c>
      <c r="E41" s="7" t="str">
        <f aca="false">IF($B41="","",INDEX(MASTER_DATABASE!$E$4:$E$1000,$B41)&amp;"")</f>
        <v/>
      </c>
      <c r="F41" s="7" t="str">
        <f aca="false">IF($B41="","",INDEX(MASTER_DATABASE!$F$4:$F$1000,$B41)&amp;"")</f>
        <v/>
      </c>
      <c r="G41" s="11" t="str">
        <f aca="false">IF($B41="","",INDEX(MASTER_DATABASE!$I$4:$I$1000,$B41)&amp;"")</f>
        <v/>
      </c>
      <c r="H41" s="7" t="str">
        <f aca="false">IF($B41="","",INDEX(MASTER_DATABASE!$L$4:$L$1000,$B41)&amp;"")</f>
        <v/>
      </c>
      <c r="I41" s="9" t="str">
        <f aca="false">IF($B41="","",INDEX(MASTER_DATABASE!$R$4:$R$1000,$B41))</f>
        <v/>
      </c>
      <c r="J41" s="9" t="str">
        <f aca="false">IF($B41="","",INDEX(MASTER_DATABASE!$S$4:$S$1000,$B41))</f>
        <v/>
      </c>
      <c r="K41" s="9" t="str">
        <f aca="false">IF($B41="","",INDEX(MASTER_DATABASE!$T$4:$T$1000,$B41))</f>
        <v/>
      </c>
      <c r="L41" s="7" t="str">
        <f aca="false">IF($B41="","",INDEX(MASTER_DATABASE!$U$4:$U$1000,$B41)&amp;"")</f>
        <v/>
      </c>
      <c r="M41" s="7" t="str">
        <f aca="false">IF($B41="","",INDEX(MASTER_DATABASE!$Q$4:$Q$1000,$B41)&amp;"")</f>
        <v/>
      </c>
      <c r="N41" s="7" t="str">
        <f aca="false">IF($B41="","",INDEX(MASTER_DATABASE!$AG$4:$AG$1000,$B41)&amp;"")</f>
        <v/>
      </c>
      <c r="O41" s="11" t="str">
        <f aca="false">IF($B41="","",INDEX(MASTER_DATABASE!$AH$4:$AH$1000,$B41)&amp;"")</f>
        <v/>
      </c>
      <c r="P41" s="11" t="str">
        <f aca="false">IF($B41="","",INDEX(MASTER_DATABASE!$BE$4:$BE$1000,$B41)&amp;"")</f>
        <v/>
      </c>
      <c r="Q41" s="7" t="str">
        <f aca="false">IF($B41="","",INDEX(MASTER_DATABASE!$AV$4:$AV$1000,$B41)&amp;"")</f>
        <v/>
      </c>
    </row>
    <row r="42" customFormat="false" ht="15" hidden="false" customHeight="false" outlineLevel="0" collapsed="false">
      <c r="A42" s="11" t="n">
        <v>39</v>
      </c>
      <c r="B42" s="11" t="str">
        <f aca="false">IFERROR(MATCH("Printing / Xerox / Scanning|"&amp;$A42,MASTER_DATABASE!$BH$4:$BH$1000,0),"")</f>
        <v/>
      </c>
      <c r="C42" s="11" t="str">
        <f aca="false">IF($B42="","",INDEX(MASTER_DATABASE!$A$4:$A$1000,$B42)&amp;"")</f>
        <v/>
      </c>
      <c r="D42" s="7" t="str">
        <f aca="false">IF($B42="","",INDEX(MASTER_DATABASE!$D$4:$D$1000,$B42)&amp;"")</f>
        <v/>
      </c>
      <c r="E42" s="7" t="str">
        <f aca="false">IF($B42="","",INDEX(MASTER_DATABASE!$E$4:$E$1000,$B42)&amp;"")</f>
        <v/>
      </c>
      <c r="F42" s="7" t="str">
        <f aca="false">IF($B42="","",INDEX(MASTER_DATABASE!$F$4:$F$1000,$B42)&amp;"")</f>
        <v/>
      </c>
      <c r="G42" s="11" t="str">
        <f aca="false">IF($B42="","",INDEX(MASTER_DATABASE!$I$4:$I$1000,$B42)&amp;"")</f>
        <v/>
      </c>
      <c r="H42" s="7" t="str">
        <f aca="false">IF($B42="","",INDEX(MASTER_DATABASE!$L$4:$L$1000,$B42)&amp;"")</f>
        <v/>
      </c>
      <c r="I42" s="9" t="str">
        <f aca="false">IF($B42="","",INDEX(MASTER_DATABASE!$R$4:$R$1000,$B42))</f>
        <v/>
      </c>
      <c r="J42" s="9" t="str">
        <f aca="false">IF($B42="","",INDEX(MASTER_DATABASE!$S$4:$S$1000,$B42))</f>
        <v/>
      </c>
      <c r="K42" s="9" t="str">
        <f aca="false">IF($B42="","",INDEX(MASTER_DATABASE!$T$4:$T$1000,$B42))</f>
        <v/>
      </c>
      <c r="L42" s="7" t="str">
        <f aca="false">IF($B42="","",INDEX(MASTER_DATABASE!$U$4:$U$1000,$B42)&amp;"")</f>
        <v/>
      </c>
      <c r="M42" s="7" t="str">
        <f aca="false">IF($B42="","",INDEX(MASTER_DATABASE!$Q$4:$Q$1000,$B42)&amp;"")</f>
        <v/>
      </c>
      <c r="N42" s="7" t="str">
        <f aca="false">IF($B42="","",INDEX(MASTER_DATABASE!$AG$4:$AG$1000,$B42)&amp;"")</f>
        <v/>
      </c>
      <c r="O42" s="11" t="str">
        <f aca="false">IF($B42="","",INDEX(MASTER_DATABASE!$AH$4:$AH$1000,$B42)&amp;"")</f>
        <v/>
      </c>
      <c r="P42" s="11" t="str">
        <f aca="false">IF($B42="","",INDEX(MASTER_DATABASE!$BE$4:$BE$1000,$B42)&amp;"")</f>
        <v/>
      </c>
      <c r="Q42" s="7" t="str">
        <f aca="false">IF($B42="","",INDEX(MASTER_DATABASE!$AV$4:$AV$1000,$B42)&amp;"")</f>
        <v/>
      </c>
    </row>
    <row r="43" customFormat="false" ht="15" hidden="false" customHeight="false" outlineLevel="0" collapsed="false">
      <c r="A43" s="11" t="n">
        <v>40</v>
      </c>
      <c r="B43" s="11" t="str">
        <f aca="false">IFERROR(MATCH("Printing / Xerox / Scanning|"&amp;$A43,MASTER_DATABASE!$BH$4:$BH$1000,0),"")</f>
        <v/>
      </c>
      <c r="C43" s="11" t="str">
        <f aca="false">IF($B43="","",INDEX(MASTER_DATABASE!$A$4:$A$1000,$B43)&amp;"")</f>
        <v/>
      </c>
      <c r="D43" s="7" t="str">
        <f aca="false">IF($B43="","",INDEX(MASTER_DATABASE!$D$4:$D$1000,$B43)&amp;"")</f>
        <v/>
      </c>
      <c r="E43" s="7" t="str">
        <f aca="false">IF($B43="","",INDEX(MASTER_DATABASE!$E$4:$E$1000,$B43)&amp;"")</f>
        <v/>
      </c>
      <c r="F43" s="7" t="str">
        <f aca="false">IF($B43="","",INDEX(MASTER_DATABASE!$F$4:$F$1000,$B43)&amp;"")</f>
        <v/>
      </c>
      <c r="G43" s="11" t="str">
        <f aca="false">IF($B43="","",INDEX(MASTER_DATABASE!$I$4:$I$1000,$B43)&amp;"")</f>
        <v/>
      </c>
      <c r="H43" s="7" t="str">
        <f aca="false">IF($B43="","",INDEX(MASTER_DATABASE!$L$4:$L$1000,$B43)&amp;"")</f>
        <v/>
      </c>
      <c r="I43" s="9" t="str">
        <f aca="false">IF($B43="","",INDEX(MASTER_DATABASE!$R$4:$R$1000,$B43))</f>
        <v/>
      </c>
      <c r="J43" s="9" t="str">
        <f aca="false">IF($B43="","",INDEX(MASTER_DATABASE!$S$4:$S$1000,$B43))</f>
        <v/>
      </c>
      <c r="K43" s="9" t="str">
        <f aca="false">IF($B43="","",INDEX(MASTER_DATABASE!$T$4:$T$1000,$B43))</f>
        <v/>
      </c>
      <c r="L43" s="7" t="str">
        <f aca="false">IF($B43="","",INDEX(MASTER_DATABASE!$U$4:$U$1000,$B43)&amp;"")</f>
        <v/>
      </c>
      <c r="M43" s="7" t="str">
        <f aca="false">IF($B43="","",INDEX(MASTER_DATABASE!$Q$4:$Q$1000,$B43)&amp;"")</f>
        <v/>
      </c>
      <c r="N43" s="7" t="str">
        <f aca="false">IF($B43="","",INDEX(MASTER_DATABASE!$AG$4:$AG$1000,$B43)&amp;"")</f>
        <v/>
      </c>
      <c r="O43" s="11" t="str">
        <f aca="false">IF($B43="","",INDEX(MASTER_DATABASE!$AH$4:$AH$1000,$B43)&amp;"")</f>
        <v/>
      </c>
      <c r="P43" s="11" t="str">
        <f aca="false">IF($B43="","",INDEX(MASTER_DATABASE!$BE$4:$BE$1000,$B43)&amp;"")</f>
        <v/>
      </c>
      <c r="Q43" s="7" t="str">
        <f aca="false">IF($B43="","",INDEX(MASTER_DATABASE!$AV$4:$AV$1000,$B43)&amp;"")</f>
        <v/>
      </c>
    </row>
    <row r="44" customFormat="false" ht="15" hidden="false" customHeight="false" outlineLevel="0" collapsed="false">
      <c r="A44" s="11" t="n">
        <v>41</v>
      </c>
      <c r="B44" s="11" t="str">
        <f aca="false">IFERROR(MATCH("Printing / Xerox / Scanning|"&amp;$A44,MASTER_DATABASE!$BH$4:$BH$1000,0),"")</f>
        <v/>
      </c>
      <c r="C44" s="11" t="str">
        <f aca="false">IF($B44="","",INDEX(MASTER_DATABASE!$A$4:$A$1000,$B44)&amp;"")</f>
        <v/>
      </c>
      <c r="D44" s="7" t="str">
        <f aca="false">IF($B44="","",INDEX(MASTER_DATABASE!$D$4:$D$1000,$B44)&amp;"")</f>
        <v/>
      </c>
      <c r="E44" s="7" t="str">
        <f aca="false">IF($B44="","",INDEX(MASTER_DATABASE!$E$4:$E$1000,$B44)&amp;"")</f>
        <v/>
      </c>
      <c r="F44" s="7" t="str">
        <f aca="false">IF($B44="","",INDEX(MASTER_DATABASE!$F$4:$F$1000,$B44)&amp;"")</f>
        <v/>
      </c>
      <c r="G44" s="11" t="str">
        <f aca="false">IF($B44="","",INDEX(MASTER_DATABASE!$I$4:$I$1000,$B44)&amp;"")</f>
        <v/>
      </c>
      <c r="H44" s="7" t="str">
        <f aca="false">IF($B44="","",INDEX(MASTER_DATABASE!$L$4:$L$1000,$B44)&amp;"")</f>
        <v/>
      </c>
      <c r="I44" s="9" t="str">
        <f aca="false">IF($B44="","",INDEX(MASTER_DATABASE!$R$4:$R$1000,$B44))</f>
        <v/>
      </c>
      <c r="J44" s="9" t="str">
        <f aca="false">IF($B44="","",INDEX(MASTER_DATABASE!$S$4:$S$1000,$B44))</f>
        <v/>
      </c>
      <c r="K44" s="9" t="str">
        <f aca="false">IF($B44="","",INDEX(MASTER_DATABASE!$T$4:$T$1000,$B44))</f>
        <v/>
      </c>
      <c r="L44" s="7" t="str">
        <f aca="false">IF($B44="","",INDEX(MASTER_DATABASE!$U$4:$U$1000,$B44)&amp;"")</f>
        <v/>
      </c>
      <c r="M44" s="7" t="str">
        <f aca="false">IF($B44="","",INDEX(MASTER_DATABASE!$Q$4:$Q$1000,$B44)&amp;"")</f>
        <v/>
      </c>
      <c r="N44" s="7" t="str">
        <f aca="false">IF($B44="","",INDEX(MASTER_DATABASE!$AG$4:$AG$1000,$B44)&amp;"")</f>
        <v/>
      </c>
      <c r="O44" s="11" t="str">
        <f aca="false">IF($B44="","",INDEX(MASTER_DATABASE!$AH$4:$AH$1000,$B44)&amp;"")</f>
        <v/>
      </c>
      <c r="P44" s="11" t="str">
        <f aca="false">IF($B44="","",INDEX(MASTER_DATABASE!$BE$4:$BE$1000,$B44)&amp;"")</f>
        <v/>
      </c>
      <c r="Q44" s="7" t="str">
        <f aca="false">IF($B44="","",INDEX(MASTER_DATABASE!$AV$4:$AV$1000,$B44)&amp;"")</f>
        <v/>
      </c>
    </row>
    <row r="45" customFormat="false" ht="15" hidden="false" customHeight="false" outlineLevel="0" collapsed="false">
      <c r="A45" s="11" t="n">
        <v>42</v>
      </c>
      <c r="B45" s="11" t="str">
        <f aca="false">IFERROR(MATCH("Printing / Xerox / Scanning|"&amp;$A45,MASTER_DATABASE!$BH$4:$BH$1000,0),"")</f>
        <v/>
      </c>
      <c r="C45" s="11" t="str">
        <f aca="false">IF($B45="","",INDEX(MASTER_DATABASE!$A$4:$A$1000,$B45)&amp;"")</f>
        <v/>
      </c>
      <c r="D45" s="7" t="str">
        <f aca="false">IF($B45="","",INDEX(MASTER_DATABASE!$D$4:$D$1000,$B45)&amp;"")</f>
        <v/>
      </c>
      <c r="E45" s="7" t="str">
        <f aca="false">IF($B45="","",INDEX(MASTER_DATABASE!$E$4:$E$1000,$B45)&amp;"")</f>
        <v/>
      </c>
      <c r="F45" s="7" t="str">
        <f aca="false">IF($B45="","",INDEX(MASTER_DATABASE!$F$4:$F$1000,$B45)&amp;"")</f>
        <v/>
      </c>
      <c r="G45" s="11" t="str">
        <f aca="false">IF($B45="","",INDEX(MASTER_DATABASE!$I$4:$I$1000,$B45)&amp;"")</f>
        <v/>
      </c>
      <c r="H45" s="7" t="str">
        <f aca="false">IF($B45="","",INDEX(MASTER_DATABASE!$L$4:$L$1000,$B45)&amp;"")</f>
        <v/>
      </c>
      <c r="I45" s="9" t="str">
        <f aca="false">IF($B45="","",INDEX(MASTER_DATABASE!$R$4:$R$1000,$B45))</f>
        <v/>
      </c>
      <c r="J45" s="9" t="str">
        <f aca="false">IF($B45="","",INDEX(MASTER_DATABASE!$S$4:$S$1000,$B45))</f>
        <v/>
      </c>
      <c r="K45" s="9" t="str">
        <f aca="false">IF($B45="","",INDEX(MASTER_DATABASE!$T$4:$T$1000,$B45))</f>
        <v/>
      </c>
      <c r="L45" s="7" t="str">
        <f aca="false">IF($B45="","",INDEX(MASTER_DATABASE!$U$4:$U$1000,$B45)&amp;"")</f>
        <v/>
      </c>
      <c r="M45" s="7" t="str">
        <f aca="false">IF($B45="","",INDEX(MASTER_DATABASE!$Q$4:$Q$1000,$B45)&amp;"")</f>
        <v/>
      </c>
      <c r="N45" s="7" t="str">
        <f aca="false">IF($B45="","",INDEX(MASTER_DATABASE!$AG$4:$AG$1000,$B45)&amp;"")</f>
        <v/>
      </c>
      <c r="O45" s="11" t="str">
        <f aca="false">IF($B45="","",INDEX(MASTER_DATABASE!$AH$4:$AH$1000,$B45)&amp;"")</f>
        <v/>
      </c>
      <c r="P45" s="11" t="str">
        <f aca="false">IF($B45="","",INDEX(MASTER_DATABASE!$BE$4:$BE$1000,$B45)&amp;"")</f>
        <v/>
      </c>
      <c r="Q45" s="7" t="str">
        <f aca="false">IF($B45="","",INDEX(MASTER_DATABASE!$AV$4:$AV$1000,$B45)&amp;"")</f>
        <v/>
      </c>
    </row>
    <row r="46" customFormat="false" ht="15" hidden="false" customHeight="false" outlineLevel="0" collapsed="false">
      <c r="A46" s="11" t="n">
        <v>43</v>
      </c>
      <c r="B46" s="11" t="str">
        <f aca="false">IFERROR(MATCH("Printing / Xerox / Scanning|"&amp;$A46,MASTER_DATABASE!$BH$4:$BH$1000,0),"")</f>
        <v/>
      </c>
      <c r="C46" s="11" t="str">
        <f aca="false">IF($B46="","",INDEX(MASTER_DATABASE!$A$4:$A$1000,$B46)&amp;"")</f>
        <v/>
      </c>
      <c r="D46" s="7" t="str">
        <f aca="false">IF($B46="","",INDEX(MASTER_DATABASE!$D$4:$D$1000,$B46)&amp;"")</f>
        <v/>
      </c>
      <c r="E46" s="7" t="str">
        <f aca="false">IF($B46="","",INDEX(MASTER_DATABASE!$E$4:$E$1000,$B46)&amp;"")</f>
        <v/>
      </c>
      <c r="F46" s="7" t="str">
        <f aca="false">IF($B46="","",INDEX(MASTER_DATABASE!$F$4:$F$1000,$B46)&amp;"")</f>
        <v/>
      </c>
      <c r="G46" s="11" t="str">
        <f aca="false">IF($B46="","",INDEX(MASTER_DATABASE!$I$4:$I$1000,$B46)&amp;"")</f>
        <v/>
      </c>
      <c r="H46" s="7" t="str">
        <f aca="false">IF($B46="","",INDEX(MASTER_DATABASE!$L$4:$L$1000,$B46)&amp;"")</f>
        <v/>
      </c>
      <c r="I46" s="9" t="str">
        <f aca="false">IF($B46="","",INDEX(MASTER_DATABASE!$R$4:$R$1000,$B46))</f>
        <v/>
      </c>
      <c r="J46" s="9" t="str">
        <f aca="false">IF($B46="","",INDEX(MASTER_DATABASE!$S$4:$S$1000,$B46))</f>
        <v/>
      </c>
      <c r="K46" s="9" t="str">
        <f aca="false">IF($B46="","",INDEX(MASTER_DATABASE!$T$4:$T$1000,$B46))</f>
        <v/>
      </c>
      <c r="L46" s="7" t="str">
        <f aca="false">IF($B46="","",INDEX(MASTER_DATABASE!$U$4:$U$1000,$B46)&amp;"")</f>
        <v/>
      </c>
      <c r="M46" s="7" t="str">
        <f aca="false">IF($B46="","",INDEX(MASTER_DATABASE!$Q$4:$Q$1000,$B46)&amp;"")</f>
        <v/>
      </c>
      <c r="N46" s="7" t="str">
        <f aca="false">IF($B46="","",INDEX(MASTER_DATABASE!$AG$4:$AG$1000,$B46)&amp;"")</f>
        <v/>
      </c>
      <c r="O46" s="11" t="str">
        <f aca="false">IF($B46="","",INDEX(MASTER_DATABASE!$AH$4:$AH$1000,$B46)&amp;"")</f>
        <v/>
      </c>
      <c r="P46" s="11" t="str">
        <f aca="false">IF($B46="","",INDEX(MASTER_DATABASE!$BE$4:$BE$1000,$B46)&amp;"")</f>
        <v/>
      </c>
      <c r="Q46" s="7" t="str">
        <f aca="false">IF($B46="","",INDEX(MASTER_DATABASE!$AV$4:$AV$1000,$B46)&amp;"")</f>
        <v/>
      </c>
    </row>
    <row r="47" customFormat="false" ht="15" hidden="false" customHeight="false" outlineLevel="0" collapsed="false">
      <c r="A47" s="11" t="n">
        <v>44</v>
      </c>
      <c r="B47" s="11" t="str">
        <f aca="false">IFERROR(MATCH("Printing / Xerox / Scanning|"&amp;$A47,MASTER_DATABASE!$BH$4:$BH$1000,0),"")</f>
        <v/>
      </c>
      <c r="C47" s="11" t="str">
        <f aca="false">IF($B47="","",INDEX(MASTER_DATABASE!$A$4:$A$1000,$B47)&amp;"")</f>
        <v/>
      </c>
      <c r="D47" s="7" t="str">
        <f aca="false">IF($B47="","",INDEX(MASTER_DATABASE!$D$4:$D$1000,$B47)&amp;"")</f>
        <v/>
      </c>
      <c r="E47" s="7" t="str">
        <f aca="false">IF($B47="","",INDEX(MASTER_DATABASE!$E$4:$E$1000,$B47)&amp;"")</f>
        <v/>
      </c>
      <c r="F47" s="7" t="str">
        <f aca="false">IF($B47="","",INDEX(MASTER_DATABASE!$F$4:$F$1000,$B47)&amp;"")</f>
        <v/>
      </c>
      <c r="G47" s="11" t="str">
        <f aca="false">IF($B47="","",INDEX(MASTER_DATABASE!$I$4:$I$1000,$B47)&amp;"")</f>
        <v/>
      </c>
      <c r="H47" s="7" t="str">
        <f aca="false">IF($B47="","",INDEX(MASTER_DATABASE!$L$4:$L$1000,$B47)&amp;"")</f>
        <v/>
      </c>
      <c r="I47" s="9" t="str">
        <f aca="false">IF($B47="","",INDEX(MASTER_DATABASE!$R$4:$R$1000,$B47))</f>
        <v/>
      </c>
      <c r="J47" s="9" t="str">
        <f aca="false">IF($B47="","",INDEX(MASTER_DATABASE!$S$4:$S$1000,$B47))</f>
        <v/>
      </c>
      <c r="K47" s="9" t="str">
        <f aca="false">IF($B47="","",INDEX(MASTER_DATABASE!$T$4:$T$1000,$B47))</f>
        <v/>
      </c>
      <c r="L47" s="7" t="str">
        <f aca="false">IF($B47="","",INDEX(MASTER_DATABASE!$U$4:$U$1000,$B47)&amp;"")</f>
        <v/>
      </c>
      <c r="M47" s="7" t="str">
        <f aca="false">IF($B47="","",INDEX(MASTER_DATABASE!$Q$4:$Q$1000,$B47)&amp;"")</f>
        <v/>
      </c>
      <c r="N47" s="7" t="str">
        <f aca="false">IF($B47="","",INDEX(MASTER_DATABASE!$AG$4:$AG$1000,$B47)&amp;"")</f>
        <v/>
      </c>
      <c r="O47" s="11" t="str">
        <f aca="false">IF($B47="","",INDEX(MASTER_DATABASE!$AH$4:$AH$1000,$B47)&amp;"")</f>
        <v/>
      </c>
      <c r="P47" s="11" t="str">
        <f aca="false">IF($B47="","",INDEX(MASTER_DATABASE!$BE$4:$BE$1000,$B47)&amp;"")</f>
        <v/>
      </c>
      <c r="Q47" s="7" t="str">
        <f aca="false">IF($B47="","",INDEX(MASTER_DATABASE!$AV$4:$AV$1000,$B47)&amp;"")</f>
        <v/>
      </c>
    </row>
    <row r="48" customFormat="false" ht="15" hidden="false" customHeight="false" outlineLevel="0" collapsed="false">
      <c r="A48" s="11" t="n">
        <v>45</v>
      </c>
      <c r="B48" s="11" t="str">
        <f aca="false">IFERROR(MATCH("Printing / Xerox / Scanning|"&amp;$A48,MASTER_DATABASE!$BH$4:$BH$1000,0),"")</f>
        <v/>
      </c>
      <c r="C48" s="11" t="str">
        <f aca="false">IF($B48="","",INDEX(MASTER_DATABASE!$A$4:$A$1000,$B48)&amp;"")</f>
        <v/>
      </c>
      <c r="D48" s="7" t="str">
        <f aca="false">IF($B48="","",INDEX(MASTER_DATABASE!$D$4:$D$1000,$B48)&amp;"")</f>
        <v/>
      </c>
      <c r="E48" s="7" t="str">
        <f aca="false">IF($B48="","",INDEX(MASTER_DATABASE!$E$4:$E$1000,$B48)&amp;"")</f>
        <v/>
      </c>
      <c r="F48" s="7" t="str">
        <f aca="false">IF($B48="","",INDEX(MASTER_DATABASE!$F$4:$F$1000,$B48)&amp;"")</f>
        <v/>
      </c>
      <c r="G48" s="11" t="str">
        <f aca="false">IF($B48="","",INDEX(MASTER_DATABASE!$I$4:$I$1000,$B48)&amp;"")</f>
        <v/>
      </c>
      <c r="H48" s="7" t="str">
        <f aca="false">IF($B48="","",INDEX(MASTER_DATABASE!$L$4:$L$1000,$B48)&amp;"")</f>
        <v/>
      </c>
      <c r="I48" s="9" t="str">
        <f aca="false">IF($B48="","",INDEX(MASTER_DATABASE!$R$4:$R$1000,$B48))</f>
        <v/>
      </c>
      <c r="J48" s="9" t="str">
        <f aca="false">IF($B48="","",INDEX(MASTER_DATABASE!$S$4:$S$1000,$B48))</f>
        <v/>
      </c>
      <c r="K48" s="9" t="str">
        <f aca="false">IF($B48="","",INDEX(MASTER_DATABASE!$T$4:$T$1000,$B48))</f>
        <v/>
      </c>
      <c r="L48" s="7" t="str">
        <f aca="false">IF($B48="","",INDEX(MASTER_DATABASE!$U$4:$U$1000,$B48)&amp;"")</f>
        <v/>
      </c>
      <c r="M48" s="7" t="str">
        <f aca="false">IF($B48="","",INDEX(MASTER_DATABASE!$Q$4:$Q$1000,$B48)&amp;"")</f>
        <v/>
      </c>
      <c r="N48" s="7" t="str">
        <f aca="false">IF($B48="","",INDEX(MASTER_DATABASE!$AG$4:$AG$1000,$B48)&amp;"")</f>
        <v/>
      </c>
      <c r="O48" s="11" t="str">
        <f aca="false">IF($B48="","",INDEX(MASTER_DATABASE!$AH$4:$AH$1000,$B48)&amp;"")</f>
        <v/>
      </c>
      <c r="P48" s="11" t="str">
        <f aca="false">IF($B48="","",INDEX(MASTER_DATABASE!$BE$4:$BE$1000,$B48)&amp;"")</f>
        <v/>
      </c>
      <c r="Q48" s="7" t="str">
        <f aca="false">IF($B48="","",INDEX(MASTER_DATABASE!$AV$4:$AV$1000,$B48)&amp;"")</f>
        <v/>
      </c>
    </row>
    <row r="49" customFormat="false" ht="15" hidden="false" customHeight="false" outlineLevel="0" collapsed="false">
      <c r="A49" s="11" t="n">
        <v>46</v>
      </c>
      <c r="B49" s="11" t="str">
        <f aca="false">IFERROR(MATCH("Printing / Xerox / Scanning|"&amp;$A49,MASTER_DATABASE!$BH$4:$BH$1000,0),"")</f>
        <v/>
      </c>
      <c r="C49" s="11" t="str">
        <f aca="false">IF($B49="","",INDEX(MASTER_DATABASE!$A$4:$A$1000,$B49)&amp;"")</f>
        <v/>
      </c>
      <c r="D49" s="7" t="str">
        <f aca="false">IF($B49="","",INDEX(MASTER_DATABASE!$D$4:$D$1000,$B49)&amp;"")</f>
        <v/>
      </c>
      <c r="E49" s="7" t="str">
        <f aca="false">IF($B49="","",INDEX(MASTER_DATABASE!$E$4:$E$1000,$B49)&amp;"")</f>
        <v/>
      </c>
      <c r="F49" s="7" t="str">
        <f aca="false">IF($B49="","",INDEX(MASTER_DATABASE!$F$4:$F$1000,$B49)&amp;"")</f>
        <v/>
      </c>
      <c r="G49" s="11" t="str">
        <f aca="false">IF($B49="","",INDEX(MASTER_DATABASE!$I$4:$I$1000,$B49)&amp;"")</f>
        <v/>
      </c>
      <c r="H49" s="7" t="str">
        <f aca="false">IF($B49="","",INDEX(MASTER_DATABASE!$L$4:$L$1000,$B49)&amp;"")</f>
        <v/>
      </c>
      <c r="I49" s="9" t="str">
        <f aca="false">IF($B49="","",INDEX(MASTER_DATABASE!$R$4:$R$1000,$B49))</f>
        <v/>
      </c>
      <c r="J49" s="9" t="str">
        <f aca="false">IF($B49="","",INDEX(MASTER_DATABASE!$S$4:$S$1000,$B49))</f>
        <v/>
      </c>
      <c r="K49" s="9" t="str">
        <f aca="false">IF($B49="","",INDEX(MASTER_DATABASE!$T$4:$T$1000,$B49))</f>
        <v/>
      </c>
      <c r="L49" s="7" t="str">
        <f aca="false">IF($B49="","",INDEX(MASTER_DATABASE!$U$4:$U$1000,$B49)&amp;"")</f>
        <v/>
      </c>
      <c r="M49" s="7" t="str">
        <f aca="false">IF($B49="","",INDEX(MASTER_DATABASE!$Q$4:$Q$1000,$B49)&amp;"")</f>
        <v/>
      </c>
      <c r="N49" s="7" t="str">
        <f aca="false">IF($B49="","",INDEX(MASTER_DATABASE!$AG$4:$AG$1000,$B49)&amp;"")</f>
        <v/>
      </c>
      <c r="O49" s="11" t="str">
        <f aca="false">IF($B49="","",INDEX(MASTER_DATABASE!$AH$4:$AH$1000,$B49)&amp;"")</f>
        <v/>
      </c>
      <c r="P49" s="11" t="str">
        <f aca="false">IF($B49="","",INDEX(MASTER_DATABASE!$BE$4:$BE$1000,$B49)&amp;"")</f>
        <v/>
      </c>
      <c r="Q49" s="7" t="str">
        <f aca="false">IF($B49="","",INDEX(MASTER_DATABASE!$AV$4:$AV$1000,$B49)&amp;"")</f>
        <v/>
      </c>
    </row>
    <row r="50" customFormat="false" ht="15" hidden="false" customHeight="false" outlineLevel="0" collapsed="false">
      <c r="A50" s="11" t="n">
        <v>47</v>
      </c>
      <c r="B50" s="11" t="str">
        <f aca="false">IFERROR(MATCH("Printing / Xerox / Scanning|"&amp;$A50,MASTER_DATABASE!$BH$4:$BH$1000,0),"")</f>
        <v/>
      </c>
      <c r="C50" s="11" t="str">
        <f aca="false">IF($B50="","",INDEX(MASTER_DATABASE!$A$4:$A$1000,$B50)&amp;"")</f>
        <v/>
      </c>
      <c r="D50" s="7" t="str">
        <f aca="false">IF($B50="","",INDEX(MASTER_DATABASE!$D$4:$D$1000,$B50)&amp;"")</f>
        <v/>
      </c>
      <c r="E50" s="7" t="str">
        <f aca="false">IF($B50="","",INDEX(MASTER_DATABASE!$E$4:$E$1000,$B50)&amp;"")</f>
        <v/>
      </c>
      <c r="F50" s="7" t="str">
        <f aca="false">IF($B50="","",INDEX(MASTER_DATABASE!$F$4:$F$1000,$B50)&amp;"")</f>
        <v/>
      </c>
      <c r="G50" s="11" t="str">
        <f aca="false">IF($B50="","",INDEX(MASTER_DATABASE!$I$4:$I$1000,$B50)&amp;"")</f>
        <v/>
      </c>
      <c r="H50" s="7" t="str">
        <f aca="false">IF($B50="","",INDEX(MASTER_DATABASE!$L$4:$L$1000,$B50)&amp;"")</f>
        <v/>
      </c>
      <c r="I50" s="9" t="str">
        <f aca="false">IF($B50="","",INDEX(MASTER_DATABASE!$R$4:$R$1000,$B50))</f>
        <v/>
      </c>
      <c r="J50" s="9" t="str">
        <f aca="false">IF($B50="","",INDEX(MASTER_DATABASE!$S$4:$S$1000,$B50))</f>
        <v/>
      </c>
      <c r="K50" s="9" t="str">
        <f aca="false">IF($B50="","",INDEX(MASTER_DATABASE!$T$4:$T$1000,$B50))</f>
        <v/>
      </c>
      <c r="L50" s="7" t="str">
        <f aca="false">IF($B50="","",INDEX(MASTER_DATABASE!$U$4:$U$1000,$B50)&amp;"")</f>
        <v/>
      </c>
      <c r="M50" s="7" t="str">
        <f aca="false">IF($B50="","",INDEX(MASTER_DATABASE!$Q$4:$Q$1000,$B50)&amp;"")</f>
        <v/>
      </c>
      <c r="N50" s="7" t="str">
        <f aca="false">IF($B50="","",INDEX(MASTER_DATABASE!$AG$4:$AG$1000,$B50)&amp;"")</f>
        <v/>
      </c>
      <c r="O50" s="11" t="str">
        <f aca="false">IF($B50="","",INDEX(MASTER_DATABASE!$AH$4:$AH$1000,$B50)&amp;"")</f>
        <v/>
      </c>
      <c r="P50" s="11" t="str">
        <f aca="false">IF($B50="","",INDEX(MASTER_DATABASE!$BE$4:$BE$1000,$B50)&amp;"")</f>
        <v/>
      </c>
      <c r="Q50" s="7" t="str">
        <f aca="false">IF($B50="","",INDEX(MASTER_DATABASE!$AV$4:$AV$1000,$B50)&amp;"")</f>
        <v/>
      </c>
    </row>
    <row r="51" customFormat="false" ht="15" hidden="false" customHeight="false" outlineLevel="0" collapsed="false">
      <c r="A51" s="11" t="n">
        <v>48</v>
      </c>
      <c r="B51" s="11" t="str">
        <f aca="false">IFERROR(MATCH("Printing / Xerox / Scanning|"&amp;$A51,MASTER_DATABASE!$BH$4:$BH$1000,0),"")</f>
        <v/>
      </c>
      <c r="C51" s="11" t="str">
        <f aca="false">IF($B51="","",INDEX(MASTER_DATABASE!$A$4:$A$1000,$B51)&amp;"")</f>
        <v/>
      </c>
      <c r="D51" s="7" t="str">
        <f aca="false">IF($B51="","",INDEX(MASTER_DATABASE!$D$4:$D$1000,$B51)&amp;"")</f>
        <v/>
      </c>
      <c r="E51" s="7" t="str">
        <f aca="false">IF($B51="","",INDEX(MASTER_DATABASE!$E$4:$E$1000,$B51)&amp;"")</f>
        <v/>
      </c>
      <c r="F51" s="7" t="str">
        <f aca="false">IF($B51="","",INDEX(MASTER_DATABASE!$F$4:$F$1000,$B51)&amp;"")</f>
        <v/>
      </c>
      <c r="G51" s="11" t="str">
        <f aca="false">IF($B51="","",INDEX(MASTER_DATABASE!$I$4:$I$1000,$B51)&amp;"")</f>
        <v/>
      </c>
      <c r="H51" s="7" t="str">
        <f aca="false">IF($B51="","",INDEX(MASTER_DATABASE!$L$4:$L$1000,$B51)&amp;"")</f>
        <v/>
      </c>
      <c r="I51" s="9" t="str">
        <f aca="false">IF($B51="","",INDEX(MASTER_DATABASE!$R$4:$R$1000,$B51))</f>
        <v/>
      </c>
      <c r="J51" s="9" t="str">
        <f aca="false">IF($B51="","",INDEX(MASTER_DATABASE!$S$4:$S$1000,$B51))</f>
        <v/>
      </c>
      <c r="K51" s="9" t="str">
        <f aca="false">IF($B51="","",INDEX(MASTER_DATABASE!$T$4:$T$1000,$B51))</f>
        <v/>
      </c>
      <c r="L51" s="7" t="str">
        <f aca="false">IF($B51="","",INDEX(MASTER_DATABASE!$U$4:$U$1000,$B51)&amp;"")</f>
        <v/>
      </c>
      <c r="M51" s="7" t="str">
        <f aca="false">IF($B51="","",INDEX(MASTER_DATABASE!$Q$4:$Q$1000,$B51)&amp;"")</f>
        <v/>
      </c>
      <c r="N51" s="7" t="str">
        <f aca="false">IF($B51="","",INDEX(MASTER_DATABASE!$AG$4:$AG$1000,$B51)&amp;"")</f>
        <v/>
      </c>
      <c r="O51" s="11" t="str">
        <f aca="false">IF($B51="","",INDEX(MASTER_DATABASE!$AH$4:$AH$1000,$B51)&amp;"")</f>
        <v/>
      </c>
      <c r="P51" s="11" t="str">
        <f aca="false">IF($B51="","",INDEX(MASTER_DATABASE!$BE$4:$BE$1000,$B51)&amp;"")</f>
        <v/>
      </c>
      <c r="Q51" s="7" t="str">
        <f aca="false">IF($B51="","",INDEX(MASTER_DATABASE!$AV$4:$AV$1000,$B51)&amp;"")</f>
        <v/>
      </c>
    </row>
    <row r="52" customFormat="false" ht="15" hidden="false" customHeight="false" outlineLevel="0" collapsed="false">
      <c r="A52" s="11" t="n">
        <v>49</v>
      </c>
      <c r="B52" s="11" t="str">
        <f aca="false">IFERROR(MATCH("Printing / Xerox / Scanning|"&amp;$A52,MASTER_DATABASE!$BH$4:$BH$1000,0),"")</f>
        <v/>
      </c>
      <c r="C52" s="11" t="str">
        <f aca="false">IF($B52="","",INDEX(MASTER_DATABASE!$A$4:$A$1000,$B52)&amp;"")</f>
        <v/>
      </c>
      <c r="D52" s="7" t="str">
        <f aca="false">IF($B52="","",INDEX(MASTER_DATABASE!$D$4:$D$1000,$B52)&amp;"")</f>
        <v/>
      </c>
      <c r="E52" s="7" t="str">
        <f aca="false">IF($B52="","",INDEX(MASTER_DATABASE!$E$4:$E$1000,$B52)&amp;"")</f>
        <v/>
      </c>
      <c r="F52" s="7" t="str">
        <f aca="false">IF($B52="","",INDEX(MASTER_DATABASE!$F$4:$F$1000,$B52)&amp;"")</f>
        <v/>
      </c>
      <c r="G52" s="11" t="str">
        <f aca="false">IF($B52="","",INDEX(MASTER_DATABASE!$I$4:$I$1000,$B52)&amp;"")</f>
        <v/>
      </c>
      <c r="H52" s="7" t="str">
        <f aca="false">IF($B52="","",INDEX(MASTER_DATABASE!$L$4:$L$1000,$B52)&amp;"")</f>
        <v/>
      </c>
      <c r="I52" s="9" t="str">
        <f aca="false">IF($B52="","",INDEX(MASTER_DATABASE!$R$4:$R$1000,$B52))</f>
        <v/>
      </c>
      <c r="J52" s="9" t="str">
        <f aca="false">IF($B52="","",INDEX(MASTER_DATABASE!$S$4:$S$1000,$B52))</f>
        <v/>
      </c>
      <c r="K52" s="9" t="str">
        <f aca="false">IF($B52="","",INDEX(MASTER_DATABASE!$T$4:$T$1000,$B52))</f>
        <v/>
      </c>
      <c r="L52" s="7" t="str">
        <f aca="false">IF($B52="","",INDEX(MASTER_DATABASE!$U$4:$U$1000,$B52)&amp;"")</f>
        <v/>
      </c>
      <c r="M52" s="7" t="str">
        <f aca="false">IF($B52="","",INDEX(MASTER_DATABASE!$Q$4:$Q$1000,$B52)&amp;"")</f>
        <v/>
      </c>
      <c r="N52" s="7" t="str">
        <f aca="false">IF($B52="","",INDEX(MASTER_DATABASE!$AG$4:$AG$1000,$B52)&amp;"")</f>
        <v/>
      </c>
      <c r="O52" s="11" t="str">
        <f aca="false">IF($B52="","",INDEX(MASTER_DATABASE!$AH$4:$AH$1000,$B52)&amp;"")</f>
        <v/>
      </c>
      <c r="P52" s="11" t="str">
        <f aca="false">IF($B52="","",INDEX(MASTER_DATABASE!$BE$4:$BE$1000,$B52)&amp;"")</f>
        <v/>
      </c>
      <c r="Q52" s="7" t="str">
        <f aca="false">IF($B52="","",INDEX(MASTER_DATABASE!$AV$4:$AV$1000,$B52)&amp;"")</f>
        <v/>
      </c>
    </row>
    <row r="53" customFormat="false" ht="15" hidden="false" customHeight="false" outlineLevel="0" collapsed="false">
      <c r="A53" s="11" t="n">
        <v>50</v>
      </c>
      <c r="B53" s="11" t="str">
        <f aca="false">IFERROR(MATCH("Printing / Xerox / Scanning|"&amp;$A53,MASTER_DATABASE!$BH$4:$BH$1000,0),"")</f>
        <v/>
      </c>
      <c r="C53" s="11" t="str">
        <f aca="false">IF($B53="","",INDEX(MASTER_DATABASE!$A$4:$A$1000,$B53)&amp;"")</f>
        <v/>
      </c>
      <c r="D53" s="7" t="str">
        <f aca="false">IF($B53="","",INDEX(MASTER_DATABASE!$D$4:$D$1000,$B53)&amp;"")</f>
        <v/>
      </c>
      <c r="E53" s="7" t="str">
        <f aca="false">IF($B53="","",INDEX(MASTER_DATABASE!$E$4:$E$1000,$B53)&amp;"")</f>
        <v/>
      </c>
      <c r="F53" s="7" t="str">
        <f aca="false">IF($B53="","",INDEX(MASTER_DATABASE!$F$4:$F$1000,$B53)&amp;"")</f>
        <v/>
      </c>
      <c r="G53" s="11" t="str">
        <f aca="false">IF($B53="","",INDEX(MASTER_DATABASE!$I$4:$I$1000,$B53)&amp;"")</f>
        <v/>
      </c>
      <c r="H53" s="7" t="str">
        <f aca="false">IF($B53="","",INDEX(MASTER_DATABASE!$L$4:$L$1000,$B53)&amp;"")</f>
        <v/>
      </c>
      <c r="I53" s="9" t="str">
        <f aca="false">IF($B53="","",INDEX(MASTER_DATABASE!$R$4:$R$1000,$B53))</f>
        <v/>
      </c>
      <c r="J53" s="9" t="str">
        <f aca="false">IF($B53="","",INDEX(MASTER_DATABASE!$S$4:$S$1000,$B53))</f>
        <v/>
      </c>
      <c r="K53" s="9" t="str">
        <f aca="false">IF($B53="","",INDEX(MASTER_DATABASE!$T$4:$T$1000,$B53))</f>
        <v/>
      </c>
      <c r="L53" s="7" t="str">
        <f aca="false">IF($B53="","",INDEX(MASTER_DATABASE!$U$4:$U$1000,$B53)&amp;"")</f>
        <v/>
      </c>
      <c r="M53" s="7" t="str">
        <f aca="false">IF($B53="","",INDEX(MASTER_DATABASE!$Q$4:$Q$1000,$B53)&amp;"")</f>
        <v/>
      </c>
      <c r="N53" s="7" t="str">
        <f aca="false">IF($B53="","",INDEX(MASTER_DATABASE!$AG$4:$AG$1000,$B53)&amp;"")</f>
        <v/>
      </c>
      <c r="O53" s="11" t="str">
        <f aca="false">IF($B53="","",INDEX(MASTER_DATABASE!$AH$4:$AH$1000,$B53)&amp;"")</f>
        <v/>
      </c>
      <c r="P53" s="11" t="str">
        <f aca="false">IF($B53="","",INDEX(MASTER_DATABASE!$BE$4:$BE$1000,$B53)&amp;"")</f>
        <v/>
      </c>
      <c r="Q53" s="7" t="str">
        <f aca="false">IF($B53="","",INDEX(MASTER_DATABASE!$AV$4:$AV$1000,$B53)&amp;"")</f>
        <v/>
      </c>
    </row>
  </sheetData>
  <conditionalFormatting sqref="G4:G53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53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53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3694</v>
      </c>
    </row>
    <row r="2" customFormat="false" ht="15" hidden="false" customHeight="false" outlineLevel="0" collapsed="false">
      <c r="A2" s="2" t="s">
        <v>3695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15" hidden="false" customHeight="false" outlineLevel="0" collapsed="false">
      <c r="A4" s="11" t="n">
        <v>1</v>
      </c>
      <c r="B4" s="11" t="n">
        <f aca="false">IFERROR(MATCH("Photo / Photoshop / Design|"&amp;$A4,MASTER_DATABASE!$BH$4:$BH$1000,0),"")</f>
        <v>203</v>
      </c>
      <c r="C4" s="11" t="str">
        <f aca="false">IF($B4="","",INDEX(MASTER_DATABASE!$A$4:$A$1000,$B4)&amp;"")</f>
        <v>PHO-001</v>
      </c>
      <c r="D4" s="7" t="str">
        <f aca="false">IF($B4="","",INDEX(MASTER_DATABASE!$D$4:$D$1000,$B4)&amp;"")</f>
        <v>Passport &amp; ID Photo</v>
      </c>
      <c r="E4" s="7" t="str">
        <f aca="false">IF($B4="","",INDEX(MASTER_DATABASE!$E$4:$E$1000,$B4)&amp;"")</f>
        <v>Passport Photo</v>
      </c>
      <c r="F4" s="7" t="str">
        <f aca="false">IF($B4="","",INDEX(MASTER_DATABASE!$F$4:$F$1000,$B4)&amp;"")</f>
        <v>पासपोर्ट फोटो</v>
      </c>
      <c r="G4" s="11" t="str">
        <f aca="false">IF($B4="","",INDEX(MASTER_DATABASE!$I$4:$I$1000,$B4)&amp;"")</f>
        <v>Available</v>
      </c>
      <c r="H4" s="7" t="str">
        <f aca="false">IF($B4="","",INDEX(MASTER_DATABASE!$L$4:$L$1000,$B4)&amp;"")</f>
        <v>Not Applicable</v>
      </c>
      <c r="I4" s="9" t="str">
        <f aca="false">IF($B4="","",INDEX(MASTER_DATABASE!$R$4:$R$1000,$B4))</f>
        <v>N/A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Shop Charge Only</v>
      </c>
      <c r="M4" s="7" t="str">
        <f aca="false">IF($B4="","",INDEX(MASTER_DATABASE!$Q$4:$Q$1000,$B4)&amp;"")</f>
        <v>5–10 Minutes</v>
      </c>
      <c r="N4" s="7" t="str">
        <f aca="false">IF($B4="","",INDEX(MASTER_DATABASE!$AG$4:$AG$1000,$B4)&amp;"")</f>
        <v>Active</v>
      </c>
      <c r="O4" s="11" t="str">
        <f aca="false">IF($B4="","",INDEX(MASTER_DATABASE!$AH$4:$AH$1000,$B4)&amp;"")</f>
        <v>Yes</v>
      </c>
      <c r="P4" s="11" t="str">
        <f aca="false">IF($B4="","",INDEX(MASTER_DATABASE!$BE$4:$BE$1000,$B4)&amp;"")</f>
        <v>LIVE</v>
      </c>
      <c r="Q4" s="7" t="str">
        <f aca="false">IF($B4="","",INDEX(MASTER_DATABASE!$AV$4:$AV$1000,$B4)&amp;"")</f>
        <v>To Verify</v>
      </c>
    </row>
    <row r="5" customFormat="false" ht="15" hidden="false" customHeight="false" outlineLevel="0" collapsed="false">
      <c r="A5" s="11" t="n">
        <v>2</v>
      </c>
      <c r="B5" s="11" t="n">
        <f aca="false">IFERROR(MATCH("Photo / Photoshop / Design|"&amp;$A5,MASTER_DATABASE!$BH$4:$BH$1000,0),"")</f>
        <v>204</v>
      </c>
      <c r="C5" s="11" t="str">
        <f aca="false">IF($B5="","",INDEX(MASTER_DATABASE!$A$4:$A$1000,$B5)&amp;"")</f>
        <v>PHO-002</v>
      </c>
      <c r="D5" s="7" t="str">
        <f aca="false">IF($B5="","",INDEX(MASTER_DATABASE!$D$4:$D$1000,$B5)&amp;"")</f>
        <v>Passport &amp; ID Photo</v>
      </c>
      <c r="E5" s="7" t="str">
        <f aca="false">IF($B5="","",INDEX(MASTER_DATABASE!$E$4:$E$1000,$B5)&amp;"")</f>
        <v>Visa Photo</v>
      </c>
      <c r="F5" s="7" t="str">
        <f aca="false">IF($B5="","",INDEX(MASTER_DATABASE!$F$4:$F$1000,$B5)&amp;"")</f>
        <v>वीज़ा फोटो</v>
      </c>
      <c r="G5" s="11" t="str">
        <f aca="false">IF($B5="","",INDEX(MASTER_DATABASE!$I$4:$I$1000,$B5)&amp;"")</f>
        <v>Available</v>
      </c>
      <c r="H5" s="7" t="str">
        <f aca="false">IF($B5="","",INDEX(MASTER_DATABASE!$L$4:$L$1000,$B5)&amp;"")</f>
        <v>Not Applicable</v>
      </c>
      <c r="I5" s="9" t="str">
        <f aca="false">IF($B5="","",INDEX(MASTER_DATABASE!$R$4:$R$1000,$B5))</f>
        <v>N/A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Shop Charge Only</v>
      </c>
      <c r="M5" s="7" t="str">
        <f aca="false">IF($B5="","",INDEX(MASTER_DATABASE!$Q$4:$Q$1000,$B5)&amp;"")</f>
        <v>5–10 Minutes</v>
      </c>
      <c r="N5" s="7" t="str">
        <f aca="false">IF($B5="","",INDEX(MASTER_DATABASE!$AG$4:$AG$1000,$B5)&amp;"")</f>
        <v>Active</v>
      </c>
      <c r="O5" s="11" t="str">
        <f aca="false">IF($B5="","",INDEX(MASTER_DATABASE!$AH$4:$AH$1000,$B5)&amp;"")</f>
        <v>Yes</v>
      </c>
      <c r="P5" s="11" t="str">
        <f aca="false">IF($B5="","",INDEX(MASTER_DATABASE!$BE$4:$BE$1000,$B5)&amp;"")</f>
        <v>LIVE</v>
      </c>
      <c r="Q5" s="7" t="str">
        <f aca="false">IF($B5="","",INDEX(MASTER_DATABASE!$AV$4:$AV$1000,$B5)&amp;"")</f>
        <v>To Verify</v>
      </c>
    </row>
    <row r="6" customFormat="false" ht="15" hidden="false" customHeight="false" outlineLevel="0" collapsed="false">
      <c r="A6" s="11" t="n">
        <v>3</v>
      </c>
      <c r="B6" s="11" t="n">
        <f aca="false">IFERROR(MATCH("Photo / Photoshop / Design|"&amp;$A6,MASTER_DATABASE!$BH$4:$BH$1000,0),"")</f>
        <v>205</v>
      </c>
      <c r="C6" s="11" t="str">
        <f aca="false">IF($B6="","",INDEX(MASTER_DATABASE!$A$4:$A$1000,$B6)&amp;"")</f>
        <v>PHO-003</v>
      </c>
      <c r="D6" s="7" t="str">
        <f aca="false">IF($B6="","",INDEX(MASTER_DATABASE!$D$4:$D$1000,$B6)&amp;"")</f>
        <v>Passport &amp; ID Photo</v>
      </c>
      <c r="E6" s="7" t="str">
        <f aca="false">IF($B6="","",INDEX(MASTER_DATABASE!$E$4:$E$1000,$B6)&amp;"")</f>
        <v>ID Card Photo</v>
      </c>
      <c r="F6" s="7" t="str">
        <f aca="false">IF($B6="","",INDEX(MASTER_DATABASE!$F$4:$F$1000,$B6)&amp;"")</f>
        <v>आईडी कार्ड फोटो</v>
      </c>
      <c r="G6" s="11" t="str">
        <f aca="false">IF($B6="","",INDEX(MASTER_DATABASE!$I$4:$I$1000,$B6)&amp;"")</f>
        <v>Available</v>
      </c>
      <c r="H6" s="7" t="str">
        <f aca="false">IF($B6="","",INDEX(MASTER_DATABASE!$L$4:$L$1000,$B6)&amp;"")</f>
        <v>Not Applicable</v>
      </c>
      <c r="I6" s="9" t="str">
        <f aca="false">IF($B6="","",INDEX(MASTER_DATABASE!$R$4:$R$1000,$B6))</f>
        <v>N/A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Shop Charge Only</v>
      </c>
      <c r="M6" s="7" t="str">
        <f aca="false">IF($B6="","",INDEX(MASTER_DATABASE!$Q$4:$Q$1000,$B6)&amp;"")</f>
        <v>5–10 Minutes</v>
      </c>
      <c r="N6" s="7" t="str">
        <f aca="false">IF($B6="","",INDEX(MASTER_DATABASE!$AG$4:$AG$1000,$B6)&amp;"")</f>
        <v>Active</v>
      </c>
      <c r="O6" s="11" t="str">
        <f aca="false">IF($B6="","",INDEX(MASTER_DATABASE!$AH$4:$AH$1000,$B6)&amp;"")</f>
        <v>Yes</v>
      </c>
      <c r="P6" s="11" t="str">
        <f aca="false">IF($B6="","",INDEX(MASTER_DATABASE!$BE$4:$BE$1000,$B6)&amp;"")</f>
        <v>LIVE</v>
      </c>
      <c r="Q6" s="7" t="str">
        <f aca="false">IF($B6="","",INDEX(MASTER_DATABASE!$AV$4:$AV$1000,$B6)&amp;"")</f>
        <v>To Verify</v>
      </c>
    </row>
    <row r="7" customFormat="false" ht="15" hidden="false" customHeight="false" outlineLevel="0" collapsed="false">
      <c r="A7" s="11" t="n">
        <v>4</v>
      </c>
      <c r="B7" s="11" t="n">
        <f aca="false">IFERROR(MATCH("Photo / Photoshop / Design|"&amp;$A7,MASTER_DATABASE!$BH$4:$BH$1000,0),"")</f>
        <v>206</v>
      </c>
      <c r="C7" s="11" t="str">
        <f aca="false">IF($B7="","",INDEX(MASTER_DATABASE!$A$4:$A$1000,$B7)&amp;"")</f>
        <v>PHO-004</v>
      </c>
      <c r="D7" s="7" t="str">
        <f aca="false">IF($B7="","",INDEX(MASTER_DATABASE!$D$4:$D$1000,$B7)&amp;"")</f>
        <v>Photo Editing</v>
      </c>
      <c r="E7" s="7" t="str">
        <f aca="false">IF($B7="","",INDEX(MASTER_DATABASE!$E$4:$E$1000,$B7)&amp;"")</f>
        <v>Photo Crop</v>
      </c>
      <c r="F7" s="7" t="str">
        <f aca="false">IF($B7="","",INDEX(MASTER_DATABASE!$F$4:$F$1000,$B7)&amp;"")</f>
        <v>फोटो क्रॉप</v>
      </c>
      <c r="G7" s="11" t="str">
        <f aca="false">IF($B7="","",INDEX(MASTER_DATABASE!$I$4:$I$1000,$B7)&amp;"")</f>
        <v>Available</v>
      </c>
      <c r="H7" s="7" t="str">
        <f aca="false">IF($B7="","",INDEX(MASTER_DATABASE!$L$4:$L$1000,$B7)&amp;"")</f>
        <v>Not Applicable</v>
      </c>
      <c r="I7" s="9" t="str">
        <f aca="false">IF($B7="","",INDEX(MASTER_DATABASE!$R$4:$R$1000,$B7))</f>
        <v>N/A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Shop Charge Only</v>
      </c>
      <c r="M7" s="7" t="str">
        <f aca="false">IF($B7="","",INDEX(MASTER_DATABASE!$Q$4:$Q$1000,$B7)&amp;"")</f>
        <v>15–30 Minutes</v>
      </c>
      <c r="N7" s="7" t="str">
        <f aca="false">IF($B7="","",INDEX(MASTER_DATABASE!$AG$4:$AG$1000,$B7)&amp;"")</f>
        <v>Active</v>
      </c>
      <c r="O7" s="11" t="str">
        <f aca="false">IF($B7="","",INDEX(MASTER_DATABASE!$AH$4:$AH$1000,$B7)&amp;"")</f>
        <v>Yes</v>
      </c>
      <c r="P7" s="11" t="str">
        <f aca="false">IF($B7="","",INDEX(MASTER_DATABASE!$BE$4:$BE$1000,$B7)&amp;"")</f>
        <v>LIVE</v>
      </c>
      <c r="Q7" s="7" t="str">
        <f aca="false">IF($B7="","",INDEX(MASTER_DATABASE!$AV$4:$AV$1000,$B7)&amp;"")</f>
        <v>To Verify</v>
      </c>
    </row>
    <row r="8" customFormat="false" ht="15" hidden="false" customHeight="false" outlineLevel="0" collapsed="false">
      <c r="A8" s="11" t="n">
        <v>5</v>
      </c>
      <c r="B8" s="11" t="n">
        <f aca="false">IFERROR(MATCH("Photo / Photoshop / Design|"&amp;$A8,MASTER_DATABASE!$BH$4:$BH$1000,0),"")</f>
        <v>207</v>
      </c>
      <c r="C8" s="11" t="str">
        <f aca="false">IF($B8="","",INDEX(MASTER_DATABASE!$A$4:$A$1000,$B8)&amp;"")</f>
        <v>PHO-005</v>
      </c>
      <c r="D8" s="7" t="str">
        <f aca="false">IF($B8="","",INDEX(MASTER_DATABASE!$D$4:$D$1000,$B8)&amp;"")</f>
        <v>Photo Editing</v>
      </c>
      <c r="E8" s="7" t="str">
        <f aca="false">IF($B8="","",INDEX(MASTER_DATABASE!$E$4:$E$1000,$B8)&amp;"")</f>
        <v>Photo Resize</v>
      </c>
      <c r="F8" s="7" t="str">
        <f aca="false">IF($B8="","",INDEX(MASTER_DATABASE!$F$4:$F$1000,$B8)&amp;"")</f>
        <v>फोटो रीसाइज़</v>
      </c>
      <c r="G8" s="11" t="str">
        <f aca="false">IF($B8="","",INDEX(MASTER_DATABASE!$I$4:$I$1000,$B8)&amp;"")</f>
        <v>Available</v>
      </c>
      <c r="H8" s="7" t="str">
        <f aca="false">IF($B8="","",INDEX(MASTER_DATABASE!$L$4:$L$1000,$B8)&amp;"")</f>
        <v>Not Applicable</v>
      </c>
      <c r="I8" s="9" t="str">
        <f aca="false">IF($B8="","",INDEX(MASTER_DATABASE!$R$4:$R$1000,$B8))</f>
        <v>N/A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Shop Charge Only</v>
      </c>
      <c r="M8" s="7" t="str">
        <f aca="false">IF($B8="","",INDEX(MASTER_DATABASE!$Q$4:$Q$1000,$B8)&amp;"")</f>
        <v>15–30 Minutes</v>
      </c>
      <c r="N8" s="7" t="str">
        <f aca="false">IF($B8="","",INDEX(MASTER_DATABASE!$AG$4:$AG$1000,$B8)&amp;"")</f>
        <v>Active</v>
      </c>
      <c r="O8" s="11" t="str">
        <f aca="false">IF($B8="","",INDEX(MASTER_DATABASE!$AH$4:$AH$1000,$B8)&amp;"")</f>
        <v>Yes</v>
      </c>
      <c r="P8" s="11" t="str">
        <f aca="false">IF($B8="","",INDEX(MASTER_DATABASE!$BE$4:$BE$1000,$B8)&amp;"")</f>
        <v>LIVE</v>
      </c>
      <c r="Q8" s="7" t="str">
        <f aca="false">IF($B8="","",INDEX(MASTER_DATABASE!$AV$4:$AV$1000,$B8)&amp;"")</f>
        <v>To Verify</v>
      </c>
    </row>
    <row r="9" customFormat="false" ht="15" hidden="false" customHeight="false" outlineLevel="0" collapsed="false">
      <c r="A9" s="11" t="n">
        <v>6</v>
      </c>
      <c r="B9" s="11" t="n">
        <f aca="false">IFERROR(MATCH("Photo / Photoshop / Design|"&amp;$A9,MASTER_DATABASE!$BH$4:$BH$1000,0),"")</f>
        <v>208</v>
      </c>
      <c r="C9" s="11" t="str">
        <f aca="false">IF($B9="","",INDEX(MASTER_DATABASE!$A$4:$A$1000,$B9)&amp;"")</f>
        <v>PHO-006</v>
      </c>
      <c r="D9" s="7" t="str">
        <f aca="false">IF($B9="","",INDEX(MASTER_DATABASE!$D$4:$D$1000,$B9)&amp;"")</f>
        <v>Photo Editing</v>
      </c>
      <c r="E9" s="7" t="str">
        <f aca="false">IF($B9="","",INDEX(MASTER_DATABASE!$E$4:$E$1000,$B9)&amp;"")</f>
        <v>Signature Resize</v>
      </c>
      <c r="F9" s="7" t="str">
        <f aca="false">IF($B9="","",INDEX(MASTER_DATABASE!$F$4:$F$1000,$B9)&amp;"")</f>
        <v>हस्ताक्षर (सिग्नेचर) रीसाइज़</v>
      </c>
      <c r="G9" s="11" t="str">
        <f aca="false">IF($B9="","",INDEX(MASTER_DATABASE!$I$4:$I$1000,$B9)&amp;"")</f>
        <v>Available</v>
      </c>
      <c r="H9" s="7" t="str">
        <f aca="false">IF($B9="","",INDEX(MASTER_DATABASE!$L$4:$L$1000,$B9)&amp;"")</f>
        <v>Not Applicable</v>
      </c>
      <c r="I9" s="9" t="str">
        <f aca="false">IF($B9="","",INDEX(MASTER_DATABASE!$R$4:$R$1000,$B9))</f>
        <v>N/A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Shop Charge Only</v>
      </c>
      <c r="M9" s="7" t="str">
        <f aca="false">IF($B9="","",INDEX(MASTER_DATABASE!$Q$4:$Q$1000,$B9)&amp;"")</f>
        <v>15–30 Minutes</v>
      </c>
      <c r="N9" s="7" t="str">
        <f aca="false">IF($B9="","",INDEX(MASTER_DATABASE!$AG$4:$AG$1000,$B9)&amp;"")</f>
        <v>Active</v>
      </c>
      <c r="O9" s="11" t="str">
        <f aca="false">IF($B9="","",INDEX(MASTER_DATABASE!$AH$4:$AH$1000,$B9)&amp;"")</f>
        <v>Yes</v>
      </c>
      <c r="P9" s="11" t="str">
        <f aca="false">IF($B9="","",INDEX(MASTER_DATABASE!$BE$4:$BE$1000,$B9)&amp;"")</f>
        <v>LIVE</v>
      </c>
      <c r="Q9" s="7" t="str">
        <f aca="false">IF($B9="","",INDEX(MASTER_DATABASE!$AV$4:$AV$1000,$B9)&amp;"")</f>
        <v>To Verify</v>
      </c>
    </row>
    <row r="10" customFormat="false" ht="15" hidden="false" customHeight="false" outlineLevel="0" collapsed="false">
      <c r="A10" s="11" t="n">
        <v>7</v>
      </c>
      <c r="B10" s="11" t="n">
        <f aca="false">IFERROR(MATCH("Photo / Photoshop / Design|"&amp;$A10,MASTER_DATABASE!$BH$4:$BH$1000,0),"")</f>
        <v>209</v>
      </c>
      <c r="C10" s="11" t="str">
        <f aca="false">IF($B10="","",INDEX(MASTER_DATABASE!$A$4:$A$1000,$B10)&amp;"")</f>
        <v>PHO-007</v>
      </c>
      <c r="D10" s="7" t="str">
        <f aca="false">IF($B10="","",INDEX(MASTER_DATABASE!$D$4:$D$1000,$B10)&amp;"")</f>
        <v>Photo Editing</v>
      </c>
      <c r="E10" s="7" t="str">
        <f aca="false">IF($B10="","",INDEX(MASTER_DATABASE!$E$4:$E$1000,$B10)&amp;"")</f>
        <v>Background Change</v>
      </c>
      <c r="F10" s="7" t="str">
        <f aca="false">IF($B10="","",INDEX(MASTER_DATABASE!$F$4:$F$1000,$B10)&amp;"")</f>
        <v>बैकग्राउंड बदलना</v>
      </c>
      <c r="G10" s="11" t="str">
        <f aca="false">IF($B10="","",INDEX(MASTER_DATABASE!$I$4:$I$1000,$B10)&amp;"")</f>
        <v>Available</v>
      </c>
      <c r="H10" s="7" t="str">
        <f aca="false">IF($B10="","",INDEX(MASTER_DATABASE!$L$4:$L$1000,$B10)&amp;"")</f>
        <v>Not Applicable</v>
      </c>
      <c r="I10" s="9" t="str">
        <f aca="false">IF($B10="","",INDEX(MASTER_DATABASE!$R$4:$R$1000,$B10))</f>
        <v>N/A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Shop Charge Only</v>
      </c>
      <c r="M10" s="7" t="str">
        <f aca="false">IF($B10="","",INDEX(MASTER_DATABASE!$Q$4:$Q$1000,$B10)&amp;"")</f>
        <v>15–30 Minutes</v>
      </c>
      <c r="N10" s="7" t="str">
        <f aca="false">IF($B10="","",INDEX(MASTER_DATABASE!$AG$4:$AG$1000,$B10)&amp;"")</f>
        <v>Active</v>
      </c>
      <c r="O10" s="11" t="str">
        <f aca="false">IF($B10="","",INDEX(MASTER_DATABASE!$AH$4:$AH$1000,$B10)&amp;"")</f>
        <v>Yes</v>
      </c>
      <c r="P10" s="11" t="str">
        <f aca="false">IF($B10="","",INDEX(MASTER_DATABASE!$BE$4:$BE$1000,$B10)&amp;"")</f>
        <v>LIVE</v>
      </c>
      <c r="Q10" s="7" t="str">
        <f aca="false">IF($B10="","",INDEX(MASTER_DATABASE!$AV$4:$AV$1000,$B10)&amp;"")</f>
        <v>To Verify</v>
      </c>
    </row>
    <row r="11" customFormat="false" ht="15" hidden="false" customHeight="false" outlineLevel="0" collapsed="false">
      <c r="A11" s="11" t="n">
        <v>8</v>
      </c>
      <c r="B11" s="11" t="n">
        <f aca="false">IFERROR(MATCH("Photo / Photoshop / Design|"&amp;$A11,MASTER_DATABASE!$BH$4:$BH$1000,0),"")</f>
        <v>210</v>
      </c>
      <c r="C11" s="11" t="str">
        <f aca="false">IF($B11="","",INDEX(MASTER_DATABASE!$A$4:$A$1000,$B11)&amp;"")</f>
        <v>PHO-008</v>
      </c>
      <c r="D11" s="7" t="str">
        <f aca="false">IF($B11="","",INDEX(MASTER_DATABASE!$D$4:$D$1000,$B11)&amp;"")</f>
        <v>Photo Editing</v>
      </c>
      <c r="E11" s="7" t="str">
        <f aca="false">IF($B11="","",INDEX(MASTER_DATABASE!$E$4:$E$1000,$B11)&amp;"")</f>
        <v>Blue Background</v>
      </c>
      <c r="F11" s="7" t="str">
        <f aca="false">IF($B11="","",INDEX(MASTER_DATABASE!$F$4:$F$1000,$B11)&amp;"")</f>
        <v>नीला बैकग्राउंड</v>
      </c>
      <c r="G11" s="11" t="str">
        <f aca="false">IF($B11="","",INDEX(MASTER_DATABASE!$I$4:$I$1000,$B11)&amp;"")</f>
        <v>Available</v>
      </c>
      <c r="H11" s="7" t="str">
        <f aca="false">IF($B11="","",INDEX(MASTER_DATABASE!$L$4:$L$1000,$B11)&amp;"")</f>
        <v>Not Applicable</v>
      </c>
      <c r="I11" s="9" t="str">
        <f aca="false">IF($B11="","",INDEX(MASTER_DATABASE!$R$4:$R$1000,$B11))</f>
        <v>N/A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Shop Charge Only</v>
      </c>
      <c r="M11" s="7" t="str">
        <f aca="false">IF($B11="","",INDEX(MASTER_DATABASE!$Q$4:$Q$1000,$B11)&amp;"")</f>
        <v>15–30 Minutes</v>
      </c>
      <c r="N11" s="7" t="str">
        <f aca="false">IF($B11="","",INDEX(MASTER_DATABASE!$AG$4:$AG$1000,$B11)&amp;"")</f>
        <v>Active</v>
      </c>
      <c r="O11" s="11" t="str">
        <f aca="false">IF($B11="","",INDEX(MASTER_DATABASE!$AH$4:$AH$1000,$B11)&amp;"")</f>
        <v>Yes</v>
      </c>
      <c r="P11" s="11" t="str">
        <f aca="false">IF($B11="","",INDEX(MASTER_DATABASE!$BE$4:$BE$1000,$B11)&amp;"")</f>
        <v>LIVE</v>
      </c>
      <c r="Q11" s="7" t="str">
        <f aca="false">IF($B11="","",INDEX(MASTER_DATABASE!$AV$4:$AV$1000,$B11)&amp;"")</f>
        <v>To Verify</v>
      </c>
    </row>
    <row r="12" customFormat="false" ht="15" hidden="false" customHeight="false" outlineLevel="0" collapsed="false">
      <c r="A12" s="11" t="n">
        <v>9</v>
      </c>
      <c r="B12" s="11" t="n">
        <f aca="false">IFERROR(MATCH("Photo / Photoshop / Design|"&amp;$A12,MASTER_DATABASE!$BH$4:$BH$1000,0),"")</f>
        <v>211</v>
      </c>
      <c r="C12" s="11" t="str">
        <f aca="false">IF($B12="","",INDEX(MASTER_DATABASE!$A$4:$A$1000,$B12)&amp;"")</f>
        <v>PHO-009</v>
      </c>
      <c r="D12" s="7" t="str">
        <f aca="false">IF($B12="","",INDEX(MASTER_DATABASE!$D$4:$D$1000,$B12)&amp;"")</f>
        <v>Photo Editing</v>
      </c>
      <c r="E12" s="7" t="str">
        <f aca="false">IF($B12="","",INDEX(MASTER_DATABASE!$E$4:$E$1000,$B12)&amp;"")</f>
        <v>White Background</v>
      </c>
      <c r="F12" s="7" t="str">
        <f aca="false">IF($B12="","",INDEX(MASTER_DATABASE!$F$4:$F$1000,$B12)&amp;"")</f>
        <v>सफेद बैकग्राउंड</v>
      </c>
      <c r="G12" s="11" t="str">
        <f aca="false">IF($B12="","",INDEX(MASTER_DATABASE!$I$4:$I$1000,$B12)&amp;"")</f>
        <v>Available</v>
      </c>
      <c r="H12" s="7" t="str">
        <f aca="false">IF($B12="","",INDEX(MASTER_DATABASE!$L$4:$L$1000,$B12)&amp;"")</f>
        <v>Not Applicable</v>
      </c>
      <c r="I12" s="9" t="str">
        <f aca="false">IF($B12="","",INDEX(MASTER_DATABASE!$R$4:$R$1000,$B12))</f>
        <v>N/A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Shop Charge Only</v>
      </c>
      <c r="M12" s="7" t="str">
        <f aca="false">IF($B12="","",INDEX(MASTER_DATABASE!$Q$4:$Q$1000,$B12)&amp;"")</f>
        <v>15–30 Minutes</v>
      </c>
      <c r="N12" s="7" t="str">
        <f aca="false">IF($B12="","",INDEX(MASTER_DATABASE!$AG$4:$AG$1000,$B12)&amp;"")</f>
        <v>Active</v>
      </c>
      <c r="O12" s="11" t="str">
        <f aca="false">IF($B12="","",INDEX(MASTER_DATABASE!$AH$4:$AH$1000,$B12)&amp;"")</f>
        <v>Yes</v>
      </c>
      <c r="P12" s="11" t="str">
        <f aca="false">IF($B12="","",INDEX(MASTER_DATABASE!$BE$4:$BE$1000,$B12)&amp;"")</f>
        <v>LIVE</v>
      </c>
      <c r="Q12" s="7" t="str">
        <f aca="false">IF($B12="","",INDEX(MASTER_DATABASE!$AV$4:$AV$1000,$B12)&amp;"")</f>
        <v>To Verify</v>
      </c>
    </row>
    <row r="13" customFormat="false" ht="15" hidden="false" customHeight="false" outlineLevel="0" collapsed="false">
      <c r="A13" s="11" t="n">
        <v>10</v>
      </c>
      <c r="B13" s="11" t="n">
        <f aca="false">IFERROR(MATCH("Photo / Photoshop / Design|"&amp;$A13,MASTER_DATABASE!$BH$4:$BH$1000,0),"")</f>
        <v>212</v>
      </c>
      <c r="C13" s="11" t="str">
        <f aca="false">IF($B13="","",INDEX(MASTER_DATABASE!$A$4:$A$1000,$B13)&amp;"")</f>
        <v>PHO-010</v>
      </c>
      <c r="D13" s="7" t="str">
        <f aca="false">IF($B13="","",INDEX(MASTER_DATABASE!$D$4:$D$1000,$B13)&amp;"")</f>
        <v>Photo Editing</v>
      </c>
      <c r="E13" s="7" t="str">
        <f aca="false">IF($B13="","",INDEX(MASTER_DATABASE!$E$4:$E$1000,$B13)&amp;"")</f>
        <v>Photo Retouching</v>
      </c>
      <c r="F13" s="7" t="str">
        <f aca="false">IF($B13="","",INDEX(MASTER_DATABASE!$F$4:$F$1000,$B13)&amp;"")</f>
        <v>फोटो रीटचिंग</v>
      </c>
      <c r="G13" s="11" t="str">
        <f aca="false">IF($B13="","",INDEX(MASTER_DATABASE!$I$4:$I$1000,$B13)&amp;"")</f>
        <v>Available</v>
      </c>
      <c r="H13" s="7" t="str">
        <f aca="false">IF($B13="","",INDEX(MASTER_DATABASE!$L$4:$L$1000,$B13)&amp;"")</f>
        <v>Not Applicable</v>
      </c>
      <c r="I13" s="9" t="str">
        <f aca="false">IF($B13="","",INDEX(MASTER_DATABASE!$R$4:$R$1000,$B13))</f>
        <v>N/A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Shop Charge Only</v>
      </c>
      <c r="M13" s="7" t="str">
        <f aca="false">IF($B13="","",INDEX(MASTER_DATABASE!$Q$4:$Q$1000,$B13)&amp;"")</f>
        <v>15–30 Minutes</v>
      </c>
      <c r="N13" s="7" t="str">
        <f aca="false">IF($B13="","",INDEX(MASTER_DATABASE!$AG$4:$AG$1000,$B13)&amp;"")</f>
        <v>Active</v>
      </c>
      <c r="O13" s="11" t="str">
        <f aca="false">IF($B13="","",INDEX(MASTER_DATABASE!$AH$4:$AH$1000,$B13)&amp;"")</f>
        <v>Yes</v>
      </c>
      <c r="P13" s="11" t="str">
        <f aca="false">IF($B13="","",INDEX(MASTER_DATABASE!$BE$4:$BE$1000,$B13)&amp;"")</f>
        <v>LIVE</v>
      </c>
      <c r="Q13" s="7" t="str">
        <f aca="false">IF($B13="","",INDEX(MASTER_DATABASE!$AV$4:$AV$1000,$B13)&amp;"")</f>
        <v>To Verify</v>
      </c>
    </row>
    <row r="14" customFormat="false" ht="15" hidden="false" customHeight="false" outlineLevel="0" collapsed="false">
      <c r="A14" s="11" t="n">
        <v>11</v>
      </c>
      <c r="B14" s="11" t="n">
        <f aca="false">IFERROR(MATCH("Photo / Photoshop / Design|"&amp;$A14,MASTER_DATABASE!$BH$4:$BH$1000,0),"")</f>
        <v>213</v>
      </c>
      <c r="C14" s="11" t="str">
        <f aca="false">IF($B14="","",INDEX(MASTER_DATABASE!$A$4:$A$1000,$B14)&amp;"")</f>
        <v>PHO-011</v>
      </c>
      <c r="D14" s="7" t="str">
        <f aca="false">IF($B14="","",INDEX(MASTER_DATABASE!$D$4:$D$1000,$B14)&amp;"")</f>
        <v>Photo Editing</v>
      </c>
      <c r="E14" s="7" t="str">
        <f aca="false">IF($B14="","",INDEX(MASTER_DATABASE!$E$4:$E$1000,$B14)&amp;"")</f>
        <v>Face Cleanup</v>
      </c>
      <c r="F14" s="7" t="str">
        <f aca="false">IF($B14="","",INDEX(MASTER_DATABASE!$F$4:$F$1000,$B14)&amp;"")</f>
        <v>फेस क्लीनअप</v>
      </c>
      <c r="G14" s="11" t="str">
        <f aca="false">IF($B14="","",INDEX(MASTER_DATABASE!$I$4:$I$1000,$B14)&amp;"")</f>
        <v>Available</v>
      </c>
      <c r="H14" s="7" t="str">
        <f aca="false">IF($B14="","",INDEX(MASTER_DATABASE!$L$4:$L$1000,$B14)&amp;"")</f>
        <v>Not Applicable</v>
      </c>
      <c r="I14" s="9" t="str">
        <f aca="false">IF($B14="","",INDEX(MASTER_DATABASE!$R$4:$R$1000,$B14))</f>
        <v>N/A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Shop Charge Only</v>
      </c>
      <c r="M14" s="7" t="str">
        <f aca="false">IF($B14="","",INDEX(MASTER_DATABASE!$Q$4:$Q$1000,$B14)&amp;"")</f>
        <v>15–30 Minutes</v>
      </c>
      <c r="N14" s="7" t="str">
        <f aca="false">IF($B14="","",INDEX(MASTER_DATABASE!$AG$4:$AG$1000,$B14)&amp;"")</f>
        <v>Active</v>
      </c>
      <c r="O14" s="11" t="str">
        <f aca="false">IF($B14="","",INDEX(MASTER_DATABASE!$AH$4:$AH$1000,$B14)&amp;"")</f>
        <v>Yes</v>
      </c>
      <c r="P14" s="11" t="str">
        <f aca="false">IF($B14="","",INDEX(MASTER_DATABASE!$BE$4:$BE$1000,$B14)&amp;"")</f>
        <v>LIVE</v>
      </c>
      <c r="Q14" s="7" t="str">
        <f aca="false">IF($B14="","",INDEX(MASTER_DATABASE!$AV$4:$AV$1000,$B14)&amp;"")</f>
        <v>To Verify</v>
      </c>
    </row>
    <row r="15" customFormat="false" ht="15" hidden="false" customHeight="false" outlineLevel="0" collapsed="false">
      <c r="A15" s="11" t="n">
        <v>12</v>
      </c>
      <c r="B15" s="11" t="n">
        <f aca="false">IFERROR(MATCH("Photo / Photoshop / Design|"&amp;$A15,MASTER_DATABASE!$BH$4:$BH$1000,0),"")</f>
        <v>214</v>
      </c>
      <c r="C15" s="11" t="str">
        <f aca="false">IF($B15="","",INDEX(MASTER_DATABASE!$A$4:$A$1000,$B15)&amp;"")</f>
        <v>PHO-012</v>
      </c>
      <c r="D15" s="7" t="str">
        <f aca="false">IF($B15="","",INDEX(MASTER_DATABASE!$D$4:$D$1000,$B15)&amp;"")</f>
        <v>Photo Editing</v>
      </c>
      <c r="E15" s="7" t="str">
        <f aca="false">IF($B15="","",INDEX(MASTER_DATABASE!$E$4:$E$1000,$B15)&amp;"")</f>
        <v>Photo Enhancement</v>
      </c>
      <c r="F15" s="7" t="str">
        <f aca="false">IF($B15="","",INDEX(MASTER_DATABASE!$F$4:$F$1000,$B15)&amp;"")</f>
        <v>फोटो एन्हांसमेंट</v>
      </c>
      <c r="G15" s="11" t="str">
        <f aca="false">IF($B15="","",INDEX(MASTER_DATABASE!$I$4:$I$1000,$B15)&amp;"")</f>
        <v>Available</v>
      </c>
      <c r="H15" s="7" t="str">
        <f aca="false">IF($B15="","",INDEX(MASTER_DATABASE!$L$4:$L$1000,$B15)&amp;"")</f>
        <v>Not Applicable</v>
      </c>
      <c r="I15" s="9" t="str">
        <f aca="false">IF($B15="","",INDEX(MASTER_DATABASE!$R$4:$R$1000,$B15))</f>
        <v>N/A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Shop Charge Only</v>
      </c>
      <c r="M15" s="7" t="str">
        <f aca="false">IF($B15="","",INDEX(MASTER_DATABASE!$Q$4:$Q$1000,$B15)&amp;"")</f>
        <v>15–30 Minutes</v>
      </c>
      <c r="N15" s="7" t="str">
        <f aca="false">IF($B15="","",INDEX(MASTER_DATABASE!$AG$4:$AG$1000,$B15)&amp;"")</f>
        <v>Active</v>
      </c>
      <c r="O15" s="11" t="str">
        <f aca="false">IF($B15="","",INDEX(MASTER_DATABASE!$AH$4:$AH$1000,$B15)&amp;"")</f>
        <v>Yes</v>
      </c>
      <c r="P15" s="11" t="str">
        <f aca="false">IF($B15="","",INDEX(MASTER_DATABASE!$BE$4:$BE$1000,$B15)&amp;"")</f>
        <v>LIVE</v>
      </c>
      <c r="Q15" s="7" t="str">
        <f aca="false">IF($B15="","",INDEX(MASTER_DATABASE!$AV$4:$AV$1000,$B15)&amp;"")</f>
        <v>To Verify</v>
      </c>
    </row>
    <row r="16" customFormat="false" ht="15" hidden="false" customHeight="false" outlineLevel="0" collapsed="false">
      <c r="A16" s="11" t="n">
        <v>13</v>
      </c>
      <c r="B16" s="11" t="n">
        <f aca="false">IFERROR(MATCH("Photo / Photoshop / Design|"&amp;$A16,MASTER_DATABASE!$BH$4:$BH$1000,0),"")</f>
        <v>215</v>
      </c>
      <c r="C16" s="11" t="str">
        <f aca="false">IF($B16="","",INDEX(MASTER_DATABASE!$A$4:$A$1000,$B16)&amp;"")</f>
        <v>PHO-013</v>
      </c>
      <c r="D16" s="7" t="str">
        <f aca="false">IF($B16="","",INDEX(MASTER_DATABASE!$D$4:$D$1000,$B16)&amp;"")</f>
        <v>Photo Editing</v>
      </c>
      <c r="E16" s="7" t="str">
        <f aca="false">IF($B16="","",INDEX(MASTER_DATABASE!$E$4:$E$1000,$B16)&amp;"")</f>
        <v>Old Photo Restoration</v>
      </c>
      <c r="F16" s="7" t="str">
        <f aca="false">IF($B16="","",INDEX(MASTER_DATABASE!$F$4:$F$1000,$B16)&amp;"")</f>
        <v>पुरानी फोटो रिस्टोरेशन</v>
      </c>
      <c r="G16" s="11" t="str">
        <f aca="false">IF($B16="","",INDEX(MASTER_DATABASE!$I$4:$I$1000,$B16)&amp;"")</f>
        <v>Available</v>
      </c>
      <c r="H16" s="7" t="str">
        <f aca="false">IF($B16="","",INDEX(MASTER_DATABASE!$L$4:$L$1000,$B16)&amp;"")</f>
        <v>Not Applicable</v>
      </c>
      <c r="I16" s="9" t="str">
        <f aca="false">IF($B16="","",INDEX(MASTER_DATABASE!$R$4:$R$1000,$B16))</f>
        <v>N/A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Shop Charge Only</v>
      </c>
      <c r="M16" s="7" t="str">
        <f aca="false">IF($B16="","",INDEX(MASTER_DATABASE!$Q$4:$Q$1000,$B16)&amp;"")</f>
        <v>15–30 Minutes</v>
      </c>
      <c r="N16" s="7" t="str">
        <f aca="false">IF($B16="","",INDEX(MASTER_DATABASE!$AG$4:$AG$1000,$B16)&amp;"")</f>
        <v>Active</v>
      </c>
      <c r="O16" s="11" t="str">
        <f aca="false">IF($B16="","",INDEX(MASTER_DATABASE!$AH$4:$AH$1000,$B16)&amp;"")</f>
        <v>Yes</v>
      </c>
      <c r="P16" s="11" t="str">
        <f aca="false">IF($B16="","",INDEX(MASTER_DATABASE!$BE$4:$BE$1000,$B16)&amp;"")</f>
        <v>LIVE</v>
      </c>
      <c r="Q16" s="7" t="str">
        <f aca="false">IF($B16="","",INDEX(MASTER_DATABASE!$AV$4:$AV$1000,$B16)&amp;"")</f>
        <v>To Verify</v>
      </c>
    </row>
    <row r="17" customFormat="false" ht="15" hidden="false" customHeight="false" outlineLevel="0" collapsed="false">
      <c r="A17" s="11" t="n">
        <v>14</v>
      </c>
      <c r="B17" s="11" t="n">
        <f aca="false">IFERROR(MATCH("Photo / Photoshop / Design|"&amp;$A17,MASTER_DATABASE!$BH$4:$BH$1000,0),"")</f>
        <v>216</v>
      </c>
      <c r="C17" s="11" t="str">
        <f aca="false">IF($B17="","",INDEX(MASTER_DATABASE!$A$4:$A$1000,$B17)&amp;"")</f>
        <v>PHO-014</v>
      </c>
      <c r="D17" s="7" t="str">
        <f aca="false">IF($B17="","",INDEX(MASTER_DATABASE!$D$4:$D$1000,$B17)&amp;"")</f>
        <v>Photo Printing</v>
      </c>
      <c r="E17" s="7" t="str">
        <f aca="false">IF($B17="","",INDEX(MASTER_DATABASE!$E$4:$E$1000,$B17)&amp;"")</f>
        <v>Photo Print</v>
      </c>
      <c r="F17" s="7" t="str">
        <f aca="false">IF($B17="","",INDEX(MASTER_DATABASE!$F$4:$F$1000,$B17)&amp;"")</f>
        <v>फोटो प्रिंट</v>
      </c>
      <c r="G17" s="11" t="str">
        <f aca="false">IF($B17="","",INDEX(MASTER_DATABASE!$I$4:$I$1000,$B17)&amp;"")</f>
        <v>Available</v>
      </c>
      <c r="H17" s="7" t="str">
        <f aca="false">IF($B17="","",INDEX(MASTER_DATABASE!$L$4:$L$1000,$B17)&amp;"")</f>
        <v>Not Applicable</v>
      </c>
      <c r="I17" s="9" t="str">
        <f aca="false">IF($B17="","",INDEX(MASTER_DATABASE!$R$4:$R$1000,$B17))</f>
        <v>N/A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Shop Charge Only</v>
      </c>
      <c r="M17" s="7" t="str">
        <f aca="false">IF($B17="","",INDEX(MASTER_DATABASE!$Q$4:$Q$1000,$B17)&amp;"")</f>
        <v>15–30 Minutes</v>
      </c>
      <c r="N17" s="7" t="str">
        <f aca="false">IF($B17="","",INDEX(MASTER_DATABASE!$AG$4:$AG$1000,$B17)&amp;"")</f>
        <v>Active</v>
      </c>
      <c r="O17" s="11" t="str">
        <f aca="false">IF($B17="","",INDEX(MASTER_DATABASE!$AH$4:$AH$1000,$B17)&amp;"")</f>
        <v>Yes</v>
      </c>
      <c r="P17" s="11" t="str">
        <f aca="false">IF($B17="","",INDEX(MASTER_DATABASE!$BE$4:$BE$1000,$B17)&amp;"")</f>
        <v>LIVE</v>
      </c>
      <c r="Q17" s="7" t="str">
        <f aca="false">IF($B17="","",INDEX(MASTER_DATABASE!$AV$4:$AV$1000,$B17)&amp;"")</f>
        <v>To Verify</v>
      </c>
    </row>
    <row r="18" customFormat="false" ht="15" hidden="false" customHeight="false" outlineLevel="0" collapsed="false">
      <c r="A18" s="11" t="n">
        <v>15</v>
      </c>
      <c r="B18" s="11" t="n">
        <f aca="false">IFERROR(MATCH("Photo / Photoshop / Design|"&amp;$A18,MASTER_DATABASE!$BH$4:$BH$1000,0),"")</f>
        <v>217</v>
      </c>
      <c r="C18" s="11" t="str">
        <f aca="false">IF($B18="","",INDEX(MASTER_DATABASE!$A$4:$A$1000,$B18)&amp;"")</f>
        <v>PHO-015</v>
      </c>
      <c r="D18" s="7" t="str">
        <f aca="false">IF($B18="","",INDEX(MASTER_DATABASE!$D$4:$D$1000,$B18)&amp;"")</f>
        <v>Photo Printing</v>
      </c>
      <c r="E18" s="7" t="str">
        <f aca="false">IF($B18="","",INDEX(MASTER_DATABASE!$E$4:$E$1000,$B18)&amp;"")</f>
        <v>4×6 Photo Sheet</v>
      </c>
      <c r="F18" s="7" t="str">
        <f aca="false">IF($B18="","",INDEX(MASTER_DATABASE!$F$4:$F$1000,$B18)&amp;"")</f>
        <v>4×6 फोटो शीट</v>
      </c>
      <c r="G18" s="11" t="str">
        <f aca="false">IF($B18="","",INDEX(MASTER_DATABASE!$I$4:$I$1000,$B18)&amp;"")</f>
        <v>Available</v>
      </c>
      <c r="H18" s="7" t="str">
        <f aca="false">IF($B18="","",INDEX(MASTER_DATABASE!$L$4:$L$1000,$B18)&amp;"")</f>
        <v>Not Applicable</v>
      </c>
      <c r="I18" s="9" t="str">
        <f aca="false">IF($B18="","",INDEX(MASTER_DATABASE!$R$4:$R$1000,$B18))</f>
        <v>N/A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Shop Charge Only</v>
      </c>
      <c r="M18" s="7" t="str">
        <f aca="false">IF($B18="","",INDEX(MASTER_DATABASE!$Q$4:$Q$1000,$B18)&amp;"")</f>
        <v>15–30 Minutes</v>
      </c>
      <c r="N18" s="7" t="str">
        <f aca="false">IF($B18="","",INDEX(MASTER_DATABASE!$AG$4:$AG$1000,$B18)&amp;"")</f>
        <v>Active</v>
      </c>
      <c r="O18" s="11" t="str">
        <f aca="false">IF($B18="","",INDEX(MASTER_DATABASE!$AH$4:$AH$1000,$B18)&amp;"")</f>
        <v>Yes</v>
      </c>
      <c r="P18" s="11" t="str">
        <f aca="false">IF($B18="","",INDEX(MASTER_DATABASE!$BE$4:$BE$1000,$B18)&amp;"")</f>
        <v>LIVE</v>
      </c>
      <c r="Q18" s="7" t="str">
        <f aca="false">IF($B18="","",INDEX(MASTER_DATABASE!$AV$4:$AV$1000,$B18)&amp;"")</f>
        <v>To Verify</v>
      </c>
    </row>
    <row r="19" customFormat="false" ht="15" hidden="false" customHeight="false" outlineLevel="0" collapsed="false">
      <c r="A19" s="11" t="n">
        <v>16</v>
      </c>
      <c r="B19" s="11" t="n">
        <f aca="false">IFERROR(MATCH("Photo / Photoshop / Design|"&amp;$A19,MASTER_DATABASE!$BH$4:$BH$1000,0),"")</f>
        <v>218</v>
      </c>
      <c r="C19" s="11" t="str">
        <f aca="false">IF($B19="","",INDEX(MASTER_DATABASE!$A$4:$A$1000,$B19)&amp;"")</f>
        <v>PHO-016</v>
      </c>
      <c r="D19" s="7" t="str">
        <f aca="false">IF($B19="","",INDEX(MASTER_DATABASE!$D$4:$D$1000,$B19)&amp;"")</f>
        <v>Photo Printing</v>
      </c>
      <c r="E19" s="7" t="str">
        <f aca="false">IF($B19="","",INDEX(MASTER_DATABASE!$E$4:$E$1000,$B19)&amp;"")</f>
        <v>Multiple Photo Layout</v>
      </c>
      <c r="F19" s="7" t="str">
        <f aca="false">IF($B19="","",INDEX(MASTER_DATABASE!$F$4:$F$1000,$B19)&amp;"")</f>
        <v>मल्टीपल फोटो लेआउट</v>
      </c>
      <c r="G19" s="11" t="str">
        <f aca="false">IF($B19="","",INDEX(MASTER_DATABASE!$I$4:$I$1000,$B19)&amp;"")</f>
        <v>Available</v>
      </c>
      <c r="H19" s="7" t="str">
        <f aca="false">IF($B19="","",INDEX(MASTER_DATABASE!$L$4:$L$1000,$B19)&amp;"")</f>
        <v>Not Applicable</v>
      </c>
      <c r="I19" s="9" t="str">
        <f aca="false">IF($B19="","",INDEX(MASTER_DATABASE!$R$4:$R$1000,$B19))</f>
        <v>N/A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Shop Charge Only</v>
      </c>
      <c r="M19" s="7" t="str">
        <f aca="false">IF($B19="","",INDEX(MASTER_DATABASE!$Q$4:$Q$1000,$B19)&amp;"")</f>
        <v>15–30 Minutes</v>
      </c>
      <c r="N19" s="7" t="str">
        <f aca="false">IF($B19="","",INDEX(MASTER_DATABASE!$AG$4:$AG$1000,$B19)&amp;"")</f>
        <v>Active</v>
      </c>
      <c r="O19" s="11" t="str">
        <f aca="false">IF($B19="","",INDEX(MASTER_DATABASE!$AH$4:$AH$1000,$B19)&amp;"")</f>
        <v>Yes</v>
      </c>
      <c r="P19" s="11" t="str">
        <f aca="false">IF($B19="","",INDEX(MASTER_DATABASE!$BE$4:$BE$1000,$B19)&amp;"")</f>
        <v>LIVE</v>
      </c>
      <c r="Q19" s="7" t="str">
        <f aca="false">IF($B19="","",INDEX(MASTER_DATABASE!$AV$4:$AV$1000,$B19)&amp;"")</f>
        <v>To Verify</v>
      </c>
    </row>
    <row r="20" customFormat="false" ht="15" hidden="false" customHeight="false" outlineLevel="0" collapsed="false">
      <c r="A20" s="11" t="n">
        <v>17</v>
      </c>
      <c r="B20" s="11" t="n">
        <f aca="false">IFERROR(MATCH("Photo / Photoshop / Design|"&amp;$A20,MASTER_DATABASE!$BH$4:$BH$1000,0),"")</f>
        <v>219</v>
      </c>
      <c r="C20" s="11" t="str">
        <f aca="false">IF($B20="","",INDEX(MASTER_DATABASE!$A$4:$A$1000,$B20)&amp;"")</f>
        <v>PHO-017</v>
      </c>
      <c r="D20" s="7" t="str">
        <f aca="false">IF($B20="","",INDEX(MASTER_DATABASE!$D$4:$D$1000,$B20)&amp;"")</f>
        <v>Design Work</v>
      </c>
      <c r="E20" s="7" t="str">
        <f aca="false">IF($B20="","",INDEX(MASTER_DATABASE!$E$4:$E$1000,$B20)&amp;"")</f>
        <v>Visiting Card Design</v>
      </c>
      <c r="F20" s="7" t="str">
        <f aca="false">IF($B20="","",INDEX(MASTER_DATABASE!$F$4:$F$1000,$B20)&amp;"")</f>
        <v>विजिटिंग कार्ड डिज़ाइन</v>
      </c>
      <c r="G20" s="11" t="str">
        <f aca="false">IF($B20="","",INDEX(MASTER_DATABASE!$I$4:$I$1000,$B20)&amp;"")</f>
        <v>Available</v>
      </c>
      <c r="H20" s="7" t="str">
        <f aca="false">IF($B20="","",INDEX(MASTER_DATABASE!$L$4:$L$1000,$B20)&amp;"")</f>
        <v>Not Applicable</v>
      </c>
      <c r="I20" s="9" t="str">
        <f aca="false">IF($B20="","",INDEX(MASTER_DATABASE!$R$4:$R$1000,$B20))</f>
        <v>N/A</v>
      </c>
      <c r="J20" s="9" t="str">
        <f aca="false">IF($B20="","",INDEX(MASTER_DATABASE!$S$4:$S$1000,$B20))</f>
        <v>To Verify</v>
      </c>
      <c r="K20" s="9" t="str">
        <f aca="false">IF($B20="","",INDEX(MASTER_DATABASE!$T$4:$T$1000,$B20))</f>
        <v>To Verify</v>
      </c>
      <c r="L20" s="7" t="str">
        <f aca="false">IF($B20="","",INDEX(MASTER_DATABASE!$U$4:$U$1000,$B20)&amp;"")</f>
        <v>Shop Charge Only</v>
      </c>
      <c r="M20" s="7" t="str">
        <f aca="false">IF($B20="","",INDEX(MASTER_DATABASE!$Q$4:$Q$1000,$B20)&amp;"")</f>
        <v>Same Day</v>
      </c>
      <c r="N20" s="7" t="str">
        <f aca="false">IF($B20="","",INDEX(MASTER_DATABASE!$AG$4:$AG$1000,$B20)&amp;"")</f>
        <v>Active</v>
      </c>
      <c r="O20" s="11" t="str">
        <f aca="false">IF($B20="","",INDEX(MASTER_DATABASE!$AH$4:$AH$1000,$B20)&amp;"")</f>
        <v>Yes</v>
      </c>
      <c r="P20" s="11" t="str">
        <f aca="false">IF($B20="","",INDEX(MASTER_DATABASE!$BE$4:$BE$1000,$B20)&amp;"")</f>
        <v>LIVE</v>
      </c>
      <c r="Q20" s="7" t="str">
        <f aca="false">IF($B20="","",INDEX(MASTER_DATABASE!$AV$4:$AV$1000,$B20)&amp;"")</f>
        <v>To Verify</v>
      </c>
    </row>
    <row r="21" customFormat="false" ht="15" hidden="false" customHeight="false" outlineLevel="0" collapsed="false">
      <c r="A21" s="11" t="n">
        <v>18</v>
      </c>
      <c r="B21" s="11" t="n">
        <f aca="false">IFERROR(MATCH("Photo / Photoshop / Design|"&amp;$A21,MASTER_DATABASE!$BH$4:$BH$1000,0),"")</f>
        <v>220</v>
      </c>
      <c r="C21" s="11" t="str">
        <f aca="false">IF($B21="","",INDEX(MASTER_DATABASE!$A$4:$A$1000,$B21)&amp;"")</f>
        <v>PHO-018</v>
      </c>
      <c r="D21" s="7" t="str">
        <f aca="false">IF($B21="","",INDEX(MASTER_DATABASE!$D$4:$D$1000,$B21)&amp;"")</f>
        <v>Design Work</v>
      </c>
      <c r="E21" s="7" t="str">
        <f aca="false">IF($B21="","",INDEX(MASTER_DATABASE!$E$4:$E$1000,$B21)&amp;"")</f>
        <v>ID Card Design</v>
      </c>
      <c r="F21" s="7" t="str">
        <f aca="false">IF($B21="","",INDEX(MASTER_DATABASE!$F$4:$F$1000,$B21)&amp;"")</f>
        <v>आईडी कार्ड डिज़ाइन</v>
      </c>
      <c r="G21" s="11" t="str">
        <f aca="false">IF($B21="","",INDEX(MASTER_DATABASE!$I$4:$I$1000,$B21)&amp;"")</f>
        <v>Available</v>
      </c>
      <c r="H21" s="7" t="str">
        <f aca="false">IF($B21="","",INDEX(MASTER_DATABASE!$L$4:$L$1000,$B21)&amp;"")</f>
        <v>Not Applicable</v>
      </c>
      <c r="I21" s="9" t="str">
        <f aca="false">IF($B21="","",INDEX(MASTER_DATABASE!$R$4:$R$1000,$B21))</f>
        <v>N/A</v>
      </c>
      <c r="J21" s="9" t="str">
        <f aca="false">IF($B21="","",INDEX(MASTER_DATABASE!$S$4:$S$1000,$B21))</f>
        <v>To Verify</v>
      </c>
      <c r="K21" s="9" t="str">
        <f aca="false">IF($B21="","",INDEX(MASTER_DATABASE!$T$4:$T$1000,$B21))</f>
        <v>To Verify</v>
      </c>
      <c r="L21" s="7" t="str">
        <f aca="false">IF($B21="","",INDEX(MASTER_DATABASE!$U$4:$U$1000,$B21)&amp;"")</f>
        <v>Shop Charge Only</v>
      </c>
      <c r="M21" s="7" t="str">
        <f aca="false">IF($B21="","",INDEX(MASTER_DATABASE!$Q$4:$Q$1000,$B21)&amp;"")</f>
        <v>Same Day</v>
      </c>
      <c r="N21" s="7" t="str">
        <f aca="false">IF($B21="","",INDEX(MASTER_DATABASE!$AG$4:$AG$1000,$B21)&amp;"")</f>
        <v>Active</v>
      </c>
      <c r="O21" s="11" t="str">
        <f aca="false">IF($B21="","",INDEX(MASTER_DATABASE!$AH$4:$AH$1000,$B21)&amp;"")</f>
        <v>Yes</v>
      </c>
      <c r="P21" s="11" t="str">
        <f aca="false">IF($B21="","",INDEX(MASTER_DATABASE!$BE$4:$BE$1000,$B21)&amp;"")</f>
        <v>LIVE</v>
      </c>
      <c r="Q21" s="7" t="str">
        <f aca="false">IF($B21="","",INDEX(MASTER_DATABASE!$AV$4:$AV$1000,$B21)&amp;"")</f>
        <v>To Verify</v>
      </c>
    </row>
    <row r="22" customFormat="false" ht="15" hidden="false" customHeight="false" outlineLevel="0" collapsed="false">
      <c r="A22" s="11" t="n">
        <v>19</v>
      </c>
      <c r="B22" s="11" t="n">
        <f aca="false">IFERROR(MATCH("Photo / Photoshop / Design|"&amp;$A22,MASTER_DATABASE!$BH$4:$BH$1000,0),"")</f>
        <v>221</v>
      </c>
      <c r="C22" s="11" t="str">
        <f aca="false">IF($B22="","",INDEX(MASTER_DATABASE!$A$4:$A$1000,$B22)&amp;"")</f>
        <v>PHO-019</v>
      </c>
      <c r="D22" s="7" t="str">
        <f aca="false">IF($B22="","",INDEX(MASTER_DATABASE!$D$4:$D$1000,$B22)&amp;"")</f>
        <v>Design Work</v>
      </c>
      <c r="E22" s="7" t="str">
        <f aca="false">IF($B22="","",INDEX(MASTER_DATABASE!$E$4:$E$1000,$B22)&amp;"")</f>
        <v>Certificate Design</v>
      </c>
      <c r="F22" s="7" t="str">
        <f aca="false">IF($B22="","",INDEX(MASTER_DATABASE!$F$4:$F$1000,$B22)&amp;"")</f>
        <v>सर्टिफिकेट डिज़ाइन</v>
      </c>
      <c r="G22" s="11" t="str">
        <f aca="false">IF($B22="","",INDEX(MASTER_DATABASE!$I$4:$I$1000,$B22)&amp;"")</f>
        <v>Available</v>
      </c>
      <c r="H22" s="7" t="str">
        <f aca="false">IF($B22="","",INDEX(MASTER_DATABASE!$L$4:$L$1000,$B22)&amp;"")</f>
        <v>Not Applicable</v>
      </c>
      <c r="I22" s="9" t="str">
        <f aca="false">IF($B22="","",INDEX(MASTER_DATABASE!$R$4:$R$1000,$B22))</f>
        <v>N/A</v>
      </c>
      <c r="J22" s="9" t="str">
        <f aca="false">IF($B22="","",INDEX(MASTER_DATABASE!$S$4:$S$1000,$B22))</f>
        <v>To Verify</v>
      </c>
      <c r="K22" s="9" t="str">
        <f aca="false">IF($B22="","",INDEX(MASTER_DATABASE!$T$4:$T$1000,$B22))</f>
        <v>To Verify</v>
      </c>
      <c r="L22" s="7" t="str">
        <f aca="false">IF($B22="","",INDEX(MASTER_DATABASE!$U$4:$U$1000,$B22)&amp;"")</f>
        <v>Shop Charge Only</v>
      </c>
      <c r="M22" s="7" t="str">
        <f aca="false">IF($B22="","",INDEX(MASTER_DATABASE!$Q$4:$Q$1000,$B22)&amp;"")</f>
        <v>Same Day</v>
      </c>
      <c r="N22" s="7" t="str">
        <f aca="false">IF($B22="","",INDEX(MASTER_DATABASE!$AG$4:$AG$1000,$B22)&amp;"")</f>
        <v>Active</v>
      </c>
      <c r="O22" s="11" t="str">
        <f aca="false">IF($B22="","",INDEX(MASTER_DATABASE!$AH$4:$AH$1000,$B22)&amp;"")</f>
        <v>Yes</v>
      </c>
      <c r="P22" s="11" t="str">
        <f aca="false">IF($B22="","",INDEX(MASTER_DATABASE!$BE$4:$BE$1000,$B22)&amp;"")</f>
        <v>LIVE</v>
      </c>
      <c r="Q22" s="7" t="str">
        <f aca="false">IF($B22="","",INDEX(MASTER_DATABASE!$AV$4:$AV$1000,$B22)&amp;"")</f>
        <v>To Verify</v>
      </c>
    </row>
    <row r="23" customFormat="false" ht="15" hidden="false" customHeight="false" outlineLevel="0" collapsed="false">
      <c r="A23" s="11" t="n">
        <v>20</v>
      </c>
      <c r="B23" s="11" t="n">
        <f aca="false">IFERROR(MATCH("Photo / Photoshop / Design|"&amp;$A23,MASTER_DATABASE!$BH$4:$BH$1000,0),"")</f>
        <v>222</v>
      </c>
      <c r="C23" s="11" t="str">
        <f aca="false">IF($B23="","",INDEX(MASTER_DATABASE!$A$4:$A$1000,$B23)&amp;"")</f>
        <v>PHO-020</v>
      </c>
      <c r="D23" s="7" t="str">
        <f aca="false">IF($B23="","",INDEX(MASTER_DATABASE!$D$4:$D$1000,$B23)&amp;"")</f>
        <v>Design Work</v>
      </c>
      <c r="E23" s="7" t="str">
        <f aca="false">IF($B23="","",INDEX(MASTER_DATABASE!$E$4:$E$1000,$B23)&amp;"")</f>
        <v>Poster Design</v>
      </c>
      <c r="F23" s="7" t="str">
        <f aca="false">IF($B23="","",INDEX(MASTER_DATABASE!$F$4:$F$1000,$B23)&amp;"")</f>
        <v>पोस्टर डिज़ाइन</v>
      </c>
      <c r="G23" s="11" t="str">
        <f aca="false">IF($B23="","",INDEX(MASTER_DATABASE!$I$4:$I$1000,$B23)&amp;"")</f>
        <v>Available</v>
      </c>
      <c r="H23" s="7" t="str">
        <f aca="false">IF($B23="","",INDEX(MASTER_DATABASE!$L$4:$L$1000,$B23)&amp;"")</f>
        <v>Not Applicable</v>
      </c>
      <c r="I23" s="9" t="str">
        <f aca="false">IF($B23="","",INDEX(MASTER_DATABASE!$R$4:$R$1000,$B23))</f>
        <v>N/A</v>
      </c>
      <c r="J23" s="9" t="str">
        <f aca="false">IF($B23="","",INDEX(MASTER_DATABASE!$S$4:$S$1000,$B23))</f>
        <v>To Verify</v>
      </c>
      <c r="K23" s="9" t="str">
        <f aca="false">IF($B23="","",INDEX(MASTER_DATABASE!$T$4:$T$1000,$B23))</f>
        <v>To Verify</v>
      </c>
      <c r="L23" s="7" t="str">
        <f aca="false">IF($B23="","",INDEX(MASTER_DATABASE!$U$4:$U$1000,$B23)&amp;"")</f>
        <v>Shop Charge Only</v>
      </c>
      <c r="M23" s="7" t="str">
        <f aca="false">IF($B23="","",INDEX(MASTER_DATABASE!$Q$4:$Q$1000,$B23)&amp;"")</f>
        <v>Same Day</v>
      </c>
      <c r="N23" s="7" t="str">
        <f aca="false">IF($B23="","",INDEX(MASTER_DATABASE!$AG$4:$AG$1000,$B23)&amp;"")</f>
        <v>Active</v>
      </c>
      <c r="O23" s="11" t="str">
        <f aca="false">IF($B23="","",INDEX(MASTER_DATABASE!$AH$4:$AH$1000,$B23)&amp;"")</f>
        <v>Yes</v>
      </c>
      <c r="P23" s="11" t="str">
        <f aca="false">IF($B23="","",INDEX(MASTER_DATABASE!$BE$4:$BE$1000,$B23)&amp;"")</f>
        <v>LIVE</v>
      </c>
      <c r="Q23" s="7" t="str">
        <f aca="false">IF($B23="","",INDEX(MASTER_DATABASE!$AV$4:$AV$1000,$B23)&amp;"")</f>
        <v>To Verify</v>
      </c>
    </row>
    <row r="24" customFormat="false" ht="15" hidden="false" customHeight="false" outlineLevel="0" collapsed="false">
      <c r="A24" s="11" t="n">
        <v>21</v>
      </c>
      <c r="B24" s="11" t="n">
        <f aca="false">IFERROR(MATCH("Photo / Photoshop / Design|"&amp;$A24,MASTER_DATABASE!$BH$4:$BH$1000,0),"")</f>
        <v>223</v>
      </c>
      <c r="C24" s="11" t="str">
        <f aca="false">IF($B24="","",INDEX(MASTER_DATABASE!$A$4:$A$1000,$B24)&amp;"")</f>
        <v>PHO-021</v>
      </c>
      <c r="D24" s="7" t="str">
        <f aca="false">IF($B24="","",INDEX(MASTER_DATABASE!$D$4:$D$1000,$B24)&amp;"")</f>
        <v>Design Work</v>
      </c>
      <c r="E24" s="7" t="str">
        <f aca="false">IF($B24="","",INDEX(MASTER_DATABASE!$E$4:$E$1000,$B24)&amp;"")</f>
        <v>Banner Design</v>
      </c>
      <c r="F24" s="7" t="str">
        <f aca="false">IF($B24="","",INDEX(MASTER_DATABASE!$F$4:$F$1000,$B24)&amp;"")</f>
        <v>बैनर डिज़ाइन</v>
      </c>
      <c r="G24" s="11" t="str">
        <f aca="false">IF($B24="","",INDEX(MASTER_DATABASE!$I$4:$I$1000,$B24)&amp;"")</f>
        <v>Available</v>
      </c>
      <c r="H24" s="7" t="str">
        <f aca="false">IF($B24="","",INDEX(MASTER_DATABASE!$L$4:$L$1000,$B24)&amp;"")</f>
        <v>Not Applicable</v>
      </c>
      <c r="I24" s="9" t="str">
        <f aca="false">IF($B24="","",INDEX(MASTER_DATABASE!$R$4:$R$1000,$B24))</f>
        <v>N/A</v>
      </c>
      <c r="J24" s="9" t="str">
        <f aca="false">IF($B24="","",INDEX(MASTER_DATABASE!$S$4:$S$1000,$B24))</f>
        <v>To Verify</v>
      </c>
      <c r="K24" s="9" t="str">
        <f aca="false">IF($B24="","",INDEX(MASTER_DATABASE!$T$4:$T$1000,$B24))</f>
        <v>To Verify</v>
      </c>
      <c r="L24" s="7" t="str">
        <f aca="false">IF($B24="","",INDEX(MASTER_DATABASE!$U$4:$U$1000,$B24)&amp;"")</f>
        <v>Shop Charge Only</v>
      </c>
      <c r="M24" s="7" t="str">
        <f aca="false">IF($B24="","",INDEX(MASTER_DATABASE!$Q$4:$Q$1000,$B24)&amp;"")</f>
        <v>Same Day</v>
      </c>
      <c r="N24" s="7" t="str">
        <f aca="false">IF($B24="","",INDEX(MASTER_DATABASE!$AG$4:$AG$1000,$B24)&amp;"")</f>
        <v>Active</v>
      </c>
      <c r="O24" s="11" t="str">
        <f aca="false">IF($B24="","",INDEX(MASTER_DATABASE!$AH$4:$AH$1000,$B24)&amp;"")</f>
        <v>Yes</v>
      </c>
      <c r="P24" s="11" t="str">
        <f aca="false">IF($B24="","",INDEX(MASTER_DATABASE!$BE$4:$BE$1000,$B24)&amp;"")</f>
        <v>LIVE</v>
      </c>
      <c r="Q24" s="7" t="str">
        <f aca="false">IF($B24="","",INDEX(MASTER_DATABASE!$AV$4:$AV$1000,$B24)&amp;"")</f>
        <v>To Verify</v>
      </c>
    </row>
    <row r="25" customFormat="false" ht="15" hidden="false" customHeight="false" outlineLevel="0" collapsed="false">
      <c r="A25" s="11" t="n">
        <v>22</v>
      </c>
      <c r="B25" s="11" t="n">
        <f aca="false">IFERROR(MATCH("Photo / Photoshop / Design|"&amp;$A25,MASTER_DATABASE!$BH$4:$BH$1000,0),"")</f>
        <v>224</v>
      </c>
      <c r="C25" s="11" t="str">
        <f aca="false">IF($B25="","",INDEX(MASTER_DATABASE!$A$4:$A$1000,$B25)&amp;"")</f>
        <v>PHO-022</v>
      </c>
      <c r="D25" s="7" t="str">
        <f aca="false">IF($B25="","",INDEX(MASTER_DATABASE!$D$4:$D$1000,$B25)&amp;"")</f>
        <v>Design Work</v>
      </c>
      <c r="E25" s="7" t="str">
        <f aca="false">IF($B25="","",INDEX(MASTER_DATABASE!$E$4:$E$1000,$B25)&amp;"")</f>
        <v>Pamphlet Design</v>
      </c>
      <c r="F25" s="7" t="str">
        <f aca="false">IF($B25="","",INDEX(MASTER_DATABASE!$F$4:$F$1000,$B25)&amp;"")</f>
        <v>पम्फलेट डिज़ाइन</v>
      </c>
      <c r="G25" s="11" t="str">
        <f aca="false">IF($B25="","",INDEX(MASTER_DATABASE!$I$4:$I$1000,$B25)&amp;"")</f>
        <v>Available</v>
      </c>
      <c r="H25" s="7" t="str">
        <f aca="false">IF($B25="","",INDEX(MASTER_DATABASE!$L$4:$L$1000,$B25)&amp;"")</f>
        <v>Not Applicable</v>
      </c>
      <c r="I25" s="9" t="str">
        <f aca="false">IF($B25="","",INDEX(MASTER_DATABASE!$R$4:$R$1000,$B25))</f>
        <v>N/A</v>
      </c>
      <c r="J25" s="9" t="str">
        <f aca="false">IF($B25="","",INDEX(MASTER_DATABASE!$S$4:$S$1000,$B25))</f>
        <v>To Verify</v>
      </c>
      <c r="K25" s="9" t="str">
        <f aca="false">IF($B25="","",INDEX(MASTER_DATABASE!$T$4:$T$1000,$B25))</f>
        <v>To Verify</v>
      </c>
      <c r="L25" s="7" t="str">
        <f aca="false">IF($B25="","",INDEX(MASTER_DATABASE!$U$4:$U$1000,$B25)&amp;"")</f>
        <v>Shop Charge Only</v>
      </c>
      <c r="M25" s="7" t="str">
        <f aca="false">IF($B25="","",INDEX(MASTER_DATABASE!$Q$4:$Q$1000,$B25)&amp;"")</f>
        <v>Same Day</v>
      </c>
      <c r="N25" s="7" t="str">
        <f aca="false">IF($B25="","",INDEX(MASTER_DATABASE!$AG$4:$AG$1000,$B25)&amp;"")</f>
        <v>Active</v>
      </c>
      <c r="O25" s="11" t="str">
        <f aca="false">IF($B25="","",INDEX(MASTER_DATABASE!$AH$4:$AH$1000,$B25)&amp;"")</f>
        <v>Yes</v>
      </c>
      <c r="P25" s="11" t="str">
        <f aca="false">IF($B25="","",INDEX(MASTER_DATABASE!$BE$4:$BE$1000,$B25)&amp;"")</f>
        <v>LIVE</v>
      </c>
      <c r="Q25" s="7" t="str">
        <f aca="false">IF($B25="","",INDEX(MASTER_DATABASE!$AV$4:$AV$1000,$B25)&amp;"")</f>
        <v>To Verify</v>
      </c>
    </row>
    <row r="26" customFormat="false" ht="15" hidden="false" customHeight="false" outlineLevel="0" collapsed="false">
      <c r="A26" s="11" t="n">
        <v>23</v>
      </c>
      <c r="B26" s="11" t="n">
        <f aca="false">IFERROR(MATCH("Photo / Photoshop / Design|"&amp;$A26,MASTER_DATABASE!$BH$4:$BH$1000,0),"")</f>
        <v>225</v>
      </c>
      <c r="C26" s="11" t="str">
        <f aca="false">IF($B26="","",INDEX(MASTER_DATABASE!$A$4:$A$1000,$B26)&amp;"")</f>
        <v>PHO-023</v>
      </c>
      <c r="D26" s="7" t="str">
        <f aca="false">IF($B26="","",INDEX(MASTER_DATABASE!$D$4:$D$1000,$B26)&amp;"")</f>
        <v>Design Work</v>
      </c>
      <c r="E26" s="7" t="str">
        <f aca="false">IF($B26="","",INDEX(MASTER_DATABASE!$E$4:$E$1000,$B26)&amp;"")</f>
        <v>Invitation Card Design</v>
      </c>
      <c r="F26" s="7" t="str">
        <f aca="false">IF($B26="","",INDEX(MASTER_DATABASE!$F$4:$F$1000,$B26)&amp;"")</f>
        <v>निमंत्रण कार्ड डिज़ाइन</v>
      </c>
      <c r="G26" s="11" t="str">
        <f aca="false">IF($B26="","",INDEX(MASTER_DATABASE!$I$4:$I$1000,$B26)&amp;"")</f>
        <v>Available</v>
      </c>
      <c r="H26" s="7" t="str">
        <f aca="false">IF($B26="","",INDEX(MASTER_DATABASE!$L$4:$L$1000,$B26)&amp;"")</f>
        <v>Not Applicable</v>
      </c>
      <c r="I26" s="9" t="str">
        <f aca="false">IF($B26="","",INDEX(MASTER_DATABASE!$R$4:$R$1000,$B26))</f>
        <v>N/A</v>
      </c>
      <c r="J26" s="9" t="str">
        <f aca="false">IF($B26="","",INDEX(MASTER_DATABASE!$S$4:$S$1000,$B26))</f>
        <v>To Verify</v>
      </c>
      <c r="K26" s="9" t="str">
        <f aca="false">IF($B26="","",INDEX(MASTER_DATABASE!$T$4:$T$1000,$B26))</f>
        <v>To Verify</v>
      </c>
      <c r="L26" s="7" t="str">
        <f aca="false">IF($B26="","",INDEX(MASTER_DATABASE!$U$4:$U$1000,$B26)&amp;"")</f>
        <v>Shop Charge Only</v>
      </c>
      <c r="M26" s="7" t="str">
        <f aca="false">IF($B26="","",INDEX(MASTER_DATABASE!$Q$4:$Q$1000,$B26)&amp;"")</f>
        <v>Same Day</v>
      </c>
      <c r="N26" s="7" t="str">
        <f aca="false">IF($B26="","",INDEX(MASTER_DATABASE!$AG$4:$AG$1000,$B26)&amp;"")</f>
        <v>Active</v>
      </c>
      <c r="O26" s="11" t="str">
        <f aca="false">IF($B26="","",INDEX(MASTER_DATABASE!$AH$4:$AH$1000,$B26)&amp;"")</f>
        <v>Yes</v>
      </c>
      <c r="P26" s="11" t="str">
        <f aca="false">IF($B26="","",INDEX(MASTER_DATABASE!$BE$4:$BE$1000,$B26)&amp;"")</f>
        <v>LIVE</v>
      </c>
      <c r="Q26" s="7" t="str">
        <f aca="false">IF($B26="","",INDEX(MASTER_DATABASE!$AV$4:$AV$1000,$B26)&amp;"")</f>
        <v>To Verify</v>
      </c>
    </row>
    <row r="27" customFormat="false" ht="15" hidden="false" customHeight="false" outlineLevel="0" collapsed="false">
      <c r="A27" s="11" t="n">
        <v>24</v>
      </c>
      <c r="B27" s="11" t="n">
        <f aca="false">IFERROR(MATCH("Photo / Photoshop / Design|"&amp;$A27,MASTER_DATABASE!$BH$4:$BH$1000,0),"")</f>
        <v>226</v>
      </c>
      <c r="C27" s="11" t="str">
        <f aca="false">IF($B27="","",INDEX(MASTER_DATABASE!$A$4:$A$1000,$B27)&amp;"")</f>
        <v>PHO-024</v>
      </c>
      <c r="D27" s="7" t="str">
        <f aca="false">IF($B27="","",INDEX(MASTER_DATABASE!$D$4:$D$1000,$B27)&amp;"")</f>
        <v>Design Work</v>
      </c>
      <c r="E27" s="7" t="str">
        <f aca="false">IF($B27="","",INDEX(MASTER_DATABASE!$E$4:$E$1000,$B27)&amp;"")</f>
        <v>Letterhead Design</v>
      </c>
      <c r="F27" s="7" t="str">
        <f aca="false">IF($B27="","",INDEX(MASTER_DATABASE!$F$4:$F$1000,$B27)&amp;"")</f>
        <v>लेटरहेड डिज़ाइन</v>
      </c>
      <c r="G27" s="11" t="str">
        <f aca="false">IF($B27="","",INDEX(MASTER_DATABASE!$I$4:$I$1000,$B27)&amp;"")</f>
        <v>Available</v>
      </c>
      <c r="H27" s="7" t="str">
        <f aca="false">IF($B27="","",INDEX(MASTER_DATABASE!$L$4:$L$1000,$B27)&amp;"")</f>
        <v>Not Applicable</v>
      </c>
      <c r="I27" s="9" t="str">
        <f aca="false">IF($B27="","",INDEX(MASTER_DATABASE!$R$4:$R$1000,$B27))</f>
        <v>N/A</v>
      </c>
      <c r="J27" s="9" t="str">
        <f aca="false">IF($B27="","",INDEX(MASTER_DATABASE!$S$4:$S$1000,$B27))</f>
        <v>To Verify</v>
      </c>
      <c r="K27" s="9" t="str">
        <f aca="false">IF($B27="","",INDEX(MASTER_DATABASE!$T$4:$T$1000,$B27))</f>
        <v>To Verify</v>
      </c>
      <c r="L27" s="7" t="str">
        <f aca="false">IF($B27="","",INDEX(MASTER_DATABASE!$U$4:$U$1000,$B27)&amp;"")</f>
        <v>Shop Charge Only</v>
      </c>
      <c r="M27" s="7" t="str">
        <f aca="false">IF($B27="","",INDEX(MASTER_DATABASE!$Q$4:$Q$1000,$B27)&amp;"")</f>
        <v>Same Day</v>
      </c>
      <c r="N27" s="7" t="str">
        <f aca="false">IF($B27="","",INDEX(MASTER_DATABASE!$AG$4:$AG$1000,$B27)&amp;"")</f>
        <v>Active</v>
      </c>
      <c r="O27" s="11" t="str">
        <f aca="false">IF($B27="","",INDEX(MASTER_DATABASE!$AH$4:$AH$1000,$B27)&amp;"")</f>
        <v>Yes</v>
      </c>
      <c r="P27" s="11" t="str">
        <f aca="false">IF($B27="","",INDEX(MASTER_DATABASE!$BE$4:$BE$1000,$B27)&amp;"")</f>
        <v>LIVE</v>
      </c>
      <c r="Q27" s="7" t="str">
        <f aca="false">IF($B27="","",INDEX(MASTER_DATABASE!$AV$4:$AV$1000,$B27)&amp;"")</f>
        <v>To Verify</v>
      </c>
    </row>
    <row r="28" customFormat="false" ht="15" hidden="false" customHeight="false" outlineLevel="0" collapsed="false">
      <c r="A28" s="11" t="n">
        <v>25</v>
      </c>
      <c r="B28" s="11" t="n">
        <f aca="false">IFERROR(MATCH("Photo / Photoshop / Design|"&amp;$A28,MASTER_DATABASE!$BH$4:$BH$1000,0),"")</f>
        <v>227</v>
      </c>
      <c r="C28" s="11" t="str">
        <f aca="false">IF($B28="","",INDEX(MASTER_DATABASE!$A$4:$A$1000,$B28)&amp;"")</f>
        <v>PHO-025</v>
      </c>
      <c r="D28" s="7" t="str">
        <f aca="false">IF($B28="","",INDEX(MASTER_DATABASE!$D$4:$D$1000,$B28)&amp;"")</f>
        <v>Design Work</v>
      </c>
      <c r="E28" s="7" t="str">
        <f aca="false">IF($B28="","",INDEX(MASTER_DATABASE!$E$4:$E$1000,$B28)&amp;"")</f>
        <v>Logo Design</v>
      </c>
      <c r="F28" s="7" t="str">
        <f aca="false">IF($B28="","",INDEX(MASTER_DATABASE!$F$4:$F$1000,$B28)&amp;"")</f>
        <v>लोगो डिज़ाइन</v>
      </c>
      <c r="G28" s="11" t="str">
        <f aca="false">IF($B28="","",INDEX(MASTER_DATABASE!$I$4:$I$1000,$B28)&amp;"")</f>
        <v>To Verify</v>
      </c>
      <c r="H28" s="7" t="str">
        <f aca="false">IF($B28="","",INDEX(MASTER_DATABASE!$L$4:$L$1000,$B28)&amp;"")</f>
        <v>To Verify</v>
      </c>
      <c r="I28" s="9" t="str">
        <f aca="false">IF($B28="","",INDEX(MASTER_DATABASE!$R$4:$R$1000,$B28))</f>
        <v>N/A</v>
      </c>
      <c r="J28" s="9" t="str">
        <f aca="false">IF($B28="","",INDEX(MASTER_DATABASE!$S$4:$S$1000,$B28))</f>
        <v>To Verify</v>
      </c>
      <c r="K28" s="9" t="str">
        <f aca="false">IF($B28="","",INDEX(MASTER_DATABASE!$T$4:$T$1000,$B28))</f>
        <v>To Verify</v>
      </c>
      <c r="L28" s="7" t="str">
        <f aca="false">IF($B28="","",INDEX(MASTER_DATABASE!$U$4:$U$1000,$B28)&amp;"")</f>
        <v>Shop Charge Only</v>
      </c>
      <c r="M28" s="7" t="str">
        <f aca="false">IF($B28="","",INDEX(MASTER_DATABASE!$Q$4:$Q$1000,$B28)&amp;"")</f>
        <v>Same Day</v>
      </c>
      <c r="N28" s="7" t="str">
        <f aca="false">IF($B28="","",INDEX(MASTER_DATABASE!$AG$4:$AG$1000,$B28)&amp;"")</f>
        <v>To Verify</v>
      </c>
      <c r="O28" s="11" t="str">
        <f aca="false">IF($B28="","",INDEX(MASTER_DATABASE!$AH$4:$AH$1000,$B28)&amp;"")</f>
        <v>No</v>
      </c>
      <c r="P28" s="11" t="str">
        <f aca="false">IF($B28="","",INDEX(MASTER_DATABASE!$BE$4:$BE$1000,$B28)&amp;"")</f>
        <v>HIDDEN</v>
      </c>
      <c r="Q28" s="7" t="str">
        <f aca="false">IF($B28="","",INDEX(MASTER_DATABASE!$AV$4:$AV$1000,$B28)&amp;"")</f>
        <v>To Verify</v>
      </c>
    </row>
    <row r="29" customFormat="false" ht="15" hidden="false" customHeight="false" outlineLevel="0" collapsed="false">
      <c r="A29" s="11" t="n">
        <v>26</v>
      </c>
      <c r="B29" s="11" t="n">
        <f aca="false">IFERROR(MATCH("Photo / Photoshop / Design|"&amp;$A29,MASTER_DATABASE!$BH$4:$BH$1000,0),"")</f>
        <v>228</v>
      </c>
      <c r="C29" s="11" t="str">
        <f aca="false">IF($B29="","",INDEX(MASTER_DATABASE!$A$4:$A$1000,$B29)&amp;"")</f>
        <v>PHO-026</v>
      </c>
      <c r="D29" s="7" t="str">
        <f aca="false">IF($B29="","",INDEX(MASTER_DATABASE!$D$4:$D$1000,$B29)&amp;"")</f>
        <v>Design Work</v>
      </c>
      <c r="E29" s="7" t="str">
        <f aca="false">IF($B29="","",INDEX(MASTER_DATABASE!$E$4:$E$1000,$B29)&amp;"")</f>
        <v>Flex / Banner Printing</v>
      </c>
      <c r="F29" s="7" t="str">
        <f aca="false">IF($B29="","",INDEX(MASTER_DATABASE!$F$4:$F$1000,$B29)&amp;"")</f>
        <v>फ्लेक्स / बैनर प्रिंटिंग</v>
      </c>
      <c r="G29" s="11" t="str">
        <f aca="false">IF($B29="","",INDEX(MASTER_DATABASE!$I$4:$I$1000,$B29)&amp;"")</f>
        <v>To Verify</v>
      </c>
      <c r="H29" s="7" t="str">
        <f aca="false">IF($B29="","",INDEX(MASTER_DATABASE!$L$4:$L$1000,$B29)&amp;"")</f>
        <v>To Verify</v>
      </c>
      <c r="I29" s="9" t="str">
        <f aca="false">IF($B29="","",INDEX(MASTER_DATABASE!$R$4:$R$1000,$B29))</f>
        <v>N/A</v>
      </c>
      <c r="J29" s="9" t="str">
        <f aca="false">IF($B29="","",INDEX(MASTER_DATABASE!$S$4:$S$1000,$B29))</f>
        <v>To Verify</v>
      </c>
      <c r="K29" s="9" t="str">
        <f aca="false">IF($B29="","",INDEX(MASTER_DATABASE!$T$4:$T$1000,$B29))</f>
        <v>To Verify</v>
      </c>
      <c r="L29" s="7" t="str">
        <f aca="false">IF($B29="","",INDEX(MASTER_DATABASE!$U$4:$U$1000,$B29)&amp;"")</f>
        <v>Shop Charge Only</v>
      </c>
      <c r="M29" s="7" t="str">
        <f aca="false">IF($B29="","",INDEX(MASTER_DATABASE!$Q$4:$Q$1000,$B29)&amp;"")</f>
        <v>Same Day</v>
      </c>
      <c r="N29" s="7" t="str">
        <f aca="false">IF($B29="","",INDEX(MASTER_DATABASE!$AG$4:$AG$1000,$B29)&amp;"")</f>
        <v>To Verify</v>
      </c>
      <c r="O29" s="11" t="str">
        <f aca="false">IF($B29="","",INDEX(MASTER_DATABASE!$AH$4:$AH$1000,$B29)&amp;"")</f>
        <v>No</v>
      </c>
      <c r="P29" s="11" t="str">
        <f aca="false">IF($B29="","",INDEX(MASTER_DATABASE!$BE$4:$BE$1000,$B29)&amp;"")</f>
        <v>HIDDEN</v>
      </c>
      <c r="Q29" s="7" t="str">
        <f aca="false">IF($B29="","",INDEX(MASTER_DATABASE!$AV$4:$AV$1000,$B29)&amp;"")</f>
        <v>To Verify</v>
      </c>
    </row>
    <row r="30" customFormat="false" ht="15" hidden="false" customHeight="false" outlineLevel="0" collapsed="false">
      <c r="A30" s="11" t="n">
        <v>27</v>
      </c>
      <c r="B30" s="11" t="str">
        <f aca="false">IFERROR(MATCH("Photo / Photoshop / Design|"&amp;$A30,MASTER_DATABASE!$BH$4:$BH$1000,0),"")</f>
        <v/>
      </c>
      <c r="C30" s="11" t="str">
        <f aca="false">IF($B30="","",INDEX(MASTER_DATABASE!$A$4:$A$1000,$B30)&amp;"")</f>
        <v/>
      </c>
      <c r="D30" s="7" t="str">
        <f aca="false">IF($B30="","",INDEX(MASTER_DATABASE!$D$4:$D$1000,$B30)&amp;"")</f>
        <v/>
      </c>
      <c r="E30" s="7" t="str">
        <f aca="false">IF($B30="","",INDEX(MASTER_DATABASE!$E$4:$E$1000,$B30)&amp;"")</f>
        <v/>
      </c>
      <c r="F30" s="7" t="str">
        <f aca="false">IF($B30="","",INDEX(MASTER_DATABASE!$F$4:$F$1000,$B30)&amp;"")</f>
        <v/>
      </c>
      <c r="G30" s="11" t="str">
        <f aca="false">IF($B30="","",INDEX(MASTER_DATABASE!$I$4:$I$1000,$B30)&amp;"")</f>
        <v/>
      </c>
      <c r="H30" s="7" t="str">
        <f aca="false">IF($B30="","",INDEX(MASTER_DATABASE!$L$4:$L$1000,$B30)&amp;"")</f>
        <v/>
      </c>
      <c r="I30" s="9" t="str">
        <f aca="false">IF($B30="","",INDEX(MASTER_DATABASE!$R$4:$R$1000,$B30))</f>
        <v/>
      </c>
      <c r="J30" s="9" t="str">
        <f aca="false">IF($B30="","",INDEX(MASTER_DATABASE!$S$4:$S$1000,$B30))</f>
        <v/>
      </c>
      <c r="K30" s="9" t="str">
        <f aca="false">IF($B30="","",INDEX(MASTER_DATABASE!$T$4:$T$1000,$B30))</f>
        <v/>
      </c>
      <c r="L30" s="7" t="str">
        <f aca="false">IF($B30="","",INDEX(MASTER_DATABASE!$U$4:$U$1000,$B30)&amp;"")</f>
        <v/>
      </c>
      <c r="M30" s="7" t="str">
        <f aca="false">IF($B30="","",INDEX(MASTER_DATABASE!$Q$4:$Q$1000,$B30)&amp;"")</f>
        <v/>
      </c>
      <c r="N30" s="7" t="str">
        <f aca="false">IF($B30="","",INDEX(MASTER_DATABASE!$AG$4:$AG$1000,$B30)&amp;"")</f>
        <v/>
      </c>
      <c r="O30" s="11" t="str">
        <f aca="false">IF($B30="","",INDEX(MASTER_DATABASE!$AH$4:$AH$1000,$B30)&amp;"")</f>
        <v/>
      </c>
      <c r="P30" s="11" t="str">
        <f aca="false">IF($B30="","",INDEX(MASTER_DATABASE!$BE$4:$BE$1000,$B30)&amp;"")</f>
        <v/>
      </c>
      <c r="Q30" s="7" t="str">
        <f aca="false">IF($B30="","",INDEX(MASTER_DATABASE!$AV$4:$AV$1000,$B30)&amp;"")</f>
        <v/>
      </c>
    </row>
    <row r="31" customFormat="false" ht="15" hidden="false" customHeight="false" outlineLevel="0" collapsed="false">
      <c r="A31" s="11" t="n">
        <v>28</v>
      </c>
      <c r="B31" s="11" t="str">
        <f aca="false">IFERROR(MATCH("Photo / Photoshop / Design|"&amp;$A31,MASTER_DATABASE!$BH$4:$BH$1000,0),"")</f>
        <v/>
      </c>
      <c r="C31" s="11" t="str">
        <f aca="false">IF($B31="","",INDEX(MASTER_DATABASE!$A$4:$A$1000,$B31)&amp;"")</f>
        <v/>
      </c>
      <c r="D31" s="7" t="str">
        <f aca="false">IF($B31="","",INDEX(MASTER_DATABASE!$D$4:$D$1000,$B31)&amp;"")</f>
        <v/>
      </c>
      <c r="E31" s="7" t="str">
        <f aca="false">IF($B31="","",INDEX(MASTER_DATABASE!$E$4:$E$1000,$B31)&amp;"")</f>
        <v/>
      </c>
      <c r="F31" s="7" t="str">
        <f aca="false">IF($B31="","",INDEX(MASTER_DATABASE!$F$4:$F$1000,$B31)&amp;"")</f>
        <v/>
      </c>
      <c r="G31" s="11" t="str">
        <f aca="false">IF($B31="","",INDEX(MASTER_DATABASE!$I$4:$I$1000,$B31)&amp;"")</f>
        <v/>
      </c>
      <c r="H31" s="7" t="str">
        <f aca="false">IF($B31="","",INDEX(MASTER_DATABASE!$L$4:$L$1000,$B31)&amp;"")</f>
        <v/>
      </c>
      <c r="I31" s="9" t="str">
        <f aca="false">IF($B31="","",INDEX(MASTER_DATABASE!$R$4:$R$1000,$B31))</f>
        <v/>
      </c>
      <c r="J31" s="9" t="str">
        <f aca="false">IF($B31="","",INDEX(MASTER_DATABASE!$S$4:$S$1000,$B31))</f>
        <v/>
      </c>
      <c r="K31" s="9" t="str">
        <f aca="false">IF($B31="","",INDEX(MASTER_DATABASE!$T$4:$T$1000,$B31))</f>
        <v/>
      </c>
      <c r="L31" s="7" t="str">
        <f aca="false">IF($B31="","",INDEX(MASTER_DATABASE!$U$4:$U$1000,$B31)&amp;"")</f>
        <v/>
      </c>
      <c r="M31" s="7" t="str">
        <f aca="false">IF($B31="","",INDEX(MASTER_DATABASE!$Q$4:$Q$1000,$B31)&amp;"")</f>
        <v/>
      </c>
      <c r="N31" s="7" t="str">
        <f aca="false">IF($B31="","",INDEX(MASTER_DATABASE!$AG$4:$AG$1000,$B31)&amp;"")</f>
        <v/>
      </c>
      <c r="O31" s="11" t="str">
        <f aca="false">IF($B31="","",INDEX(MASTER_DATABASE!$AH$4:$AH$1000,$B31)&amp;"")</f>
        <v/>
      </c>
      <c r="P31" s="11" t="str">
        <f aca="false">IF($B31="","",INDEX(MASTER_DATABASE!$BE$4:$BE$1000,$B31)&amp;"")</f>
        <v/>
      </c>
      <c r="Q31" s="7" t="str">
        <f aca="false">IF($B31="","",INDEX(MASTER_DATABASE!$AV$4:$AV$1000,$B31)&amp;"")</f>
        <v/>
      </c>
    </row>
    <row r="32" customFormat="false" ht="15" hidden="false" customHeight="false" outlineLevel="0" collapsed="false">
      <c r="A32" s="11" t="n">
        <v>29</v>
      </c>
      <c r="B32" s="11" t="str">
        <f aca="false">IFERROR(MATCH("Photo / Photoshop / Design|"&amp;$A32,MASTER_DATABASE!$BH$4:$BH$1000,0),"")</f>
        <v/>
      </c>
      <c r="C32" s="11" t="str">
        <f aca="false">IF($B32="","",INDEX(MASTER_DATABASE!$A$4:$A$1000,$B32)&amp;"")</f>
        <v/>
      </c>
      <c r="D32" s="7" t="str">
        <f aca="false">IF($B32="","",INDEX(MASTER_DATABASE!$D$4:$D$1000,$B32)&amp;"")</f>
        <v/>
      </c>
      <c r="E32" s="7" t="str">
        <f aca="false">IF($B32="","",INDEX(MASTER_DATABASE!$E$4:$E$1000,$B32)&amp;"")</f>
        <v/>
      </c>
      <c r="F32" s="7" t="str">
        <f aca="false">IF($B32="","",INDEX(MASTER_DATABASE!$F$4:$F$1000,$B32)&amp;"")</f>
        <v/>
      </c>
      <c r="G32" s="11" t="str">
        <f aca="false">IF($B32="","",INDEX(MASTER_DATABASE!$I$4:$I$1000,$B32)&amp;"")</f>
        <v/>
      </c>
      <c r="H32" s="7" t="str">
        <f aca="false">IF($B32="","",INDEX(MASTER_DATABASE!$L$4:$L$1000,$B32)&amp;"")</f>
        <v/>
      </c>
      <c r="I32" s="9" t="str">
        <f aca="false">IF($B32="","",INDEX(MASTER_DATABASE!$R$4:$R$1000,$B32))</f>
        <v/>
      </c>
      <c r="J32" s="9" t="str">
        <f aca="false">IF($B32="","",INDEX(MASTER_DATABASE!$S$4:$S$1000,$B32))</f>
        <v/>
      </c>
      <c r="K32" s="9" t="str">
        <f aca="false">IF($B32="","",INDEX(MASTER_DATABASE!$T$4:$T$1000,$B32))</f>
        <v/>
      </c>
      <c r="L32" s="7" t="str">
        <f aca="false">IF($B32="","",INDEX(MASTER_DATABASE!$U$4:$U$1000,$B32)&amp;"")</f>
        <v/>
      </c>
      <c r="M32" s="7" t="str">
        <f aca="false">IF($B32="","",INDEX(MASTER_DATABASE!$Q$4:$Q$1000,$B32)&amp;"")</f>
        <v/>
      </c>
      <c r="N32" s="7" t="str">
        <f aca="false">IF($B32="","",INDEX(MASTER_DATABASE!$AG$4:$AG$1000,$B32)&amp;"")</f>
        <v/>
      </c>
      <c r="O32" s="11" t="str">
        <f aca="false">IF($B32="","",INDEX(MASTER_DATABASE!$AH$4:$AH$1000,$B32)&amp;"")</f>
        <v/>
      </c>
      <c r="P32" s="11" t="str">
        <f aca="false">IF($B32="","",INDEX(MASTER_DATABASE!$BE$4:$BE$1000,$B32)&amp;"")</f>
        <v/>
      </c>
      <c r="Q32" s="7" t="str">
        <f aca="false">IF($B32="","",INDEX(MASTER_DATABASE!$AV$4:$AV$1000,$B32)&amp;"")</f>
        <v/>
      </c>
    </row>
    <row r="33" customFormat="false" ht="15" hidden="false" customHeight="false" outlineLevel="0" collapsed="false">
      <c r="A33" s="11" t="n">
        <v>30</v>
      </c>
      <c r="B33" s="11" t="str">
        <f aca="false">IFERROR(MATCH("Photo / Photoshop / Design|"&amp;$A33,MASTER_DATABASE!$BH$4:$BH$1000,0),"")</f>
        <v/>
      </c>
      <c r="C33" s="11" t="str">
        <f aca="false">IF($B33="","",INDEX(MASTER_DATABASE!$A$4:$A$1000,$B33)&amp;"")</f>
        <v/>
      </c>
      <c r="D33" s="7" t="str">
        <f aca="false">IF($B33="","",INDEX(MASTER_DATABASE!$D$4:$D$1000,$B33)&amp;"")</f>
        <v/>
      </c>
      <c r="E33" s="7" t="str">
        <f aca="false">IF($B33="","",INDEX(MASTER_DATABASE!$E$4:$E$1000,$B33)&amp;"")</f>
        <v/>
      </c>
      <c r="F33" s="7" t="str">
        <f aca="false">IF($B33="","",INDEX(MASTER_DATABASE!$F$4:$F$1000,$B33)&amp;"")</f>
        <v/>
      </c>
      <c r="G33" s="11" t="str">
        <f aca="false">IF($B33="","",INDEX(MASTER_DATABASE!$I$4:$I$1000,$B33)&amp;"")</f>
        <v/>
      </c>
      <c r="H33" s="7" t="str">
        <f aca="false">IF($B33="","",INDEX(MASTER_DATABASE!$L$4:$L$1000,$B33)&amp;"")</f>
        <v/>
      </c>
      <c r="I33" s="9" t="str">
        <f aca="false">IF($B33="","",INDEX(MASTER_DATABASE!$R$4:$R$1000,$B33))</f>
        <v/>
      </c>
      <c r="J33" s="9" t="str">
        <f aca="false">IF($B33="","",INDEX(MASTER_DATABASE!$S$4:$S$1000,$B33))</f>
        <v/>
      </c>
      <c r="K33" s="9" t="str">
        <f aca="false">IF($B33="","",INDEX(MASTER_DATABASE!$T$4:$T$1000,$B33))</f>
        <v/>
      </c>
      <c r="L33" s="7" t="str">
        <f aca="false">IF($B33="","",INDEX(MASTER_DATABASE!$U$4:$U$1000,$B33)&amp;"")</f>
        <v/>
      </c>
      <c r="M33" s="7" t="str">
        <f aca="false">IF($B33="","",INDEX(MASTER_DATABASE!$Q$4:$Q$1000,$B33)&amp;"")</f>
        <v/>
      </c>
      <c r="N33" s="7" t="str">
        <f aca="false">IF($B33="","",INDEX(MASTER_DATABASE!$AG$4:$AG$1000,$B33)&amp;"")</f>
        <v/>
      </c>
      <c r="O33" s="11" t="str">
        <f aca="false">IF($B33="","",INDEX(MASTER_DATABASE!$AH$4:$AH$1000,$B33)&amp;"")</f>
        <v/>
      </c>
      <c r="P33" s="11" t="str">
        <f aca="false">IF($B33="","",INDEX(MASTER_DATABASE!$BE$4:$BE$1000,$B33)&amp;"")</f>
        <v/>
      </c>
      <c r="Q33" s="7" t="str">
        <f aca="false">IF($B33="","",INDEX(MASTER_DATABASE!$AV$4:$AV$1000,$B33)&amp;"")</f>
        <v/>
      </c>
    </row>
    <row r="34" customFormat="false" ht="15" hidden="false" customHeight="false" outlineLevel="0" collapsed="false">
      <c r="A34" s="11" t="n">
        <v>31</v>
      </c>
      <c r="B34" s="11" t="str">
        <f aca="false">IFERROR(MATCH("Photo / Photoshop / Design|"&amp;$A34,MASTER_DATABASE!$BH$4:$BH$1000,0),"")</f>
        <v/>
      </c>
      <c r="C34" s="11" t="str">
        <f aca="false">IF($B34="","",INDEX(MASTER_DATABASE!$A$4:$A$1000,$B34)&amp;"")</f>
        <v/>
      </c>
      <c r="D34" s="7" t="str">
        <f aca="false">IF($B34="","",INDEX(MASTER_DATABASE!$D$4:$D$1000,$B34)&amp;"")</f>
        <v/>
      </c>
      <c r="E34" s="7" t="str">
        <f aca="false">IF($B34="","",INDEX(MASTER_DATABASE!$E$4:$E$1000,$B34)&amp;"")</f>
        <v/>
      </c>
      <c r="F34" s="7" t="str">
        <f aca="false">IF($B34="","",INDEX(MASTER_DATABASE!$F$4:$F$1000,$B34)&amp;"")</f>
        <v/>
      </c>
      <c r="G34" s="11" t="str">
        <f aca="false">IF($B34="","",INDEX(MASTER_DATABASE!$I$4:$I$1000,$B34)&amp;"")</f>
        <v/>
      </c>
      <c r="H34" s="7" t="str">
        <f aca="false">IF($B34="","",INDEX(MASTER_DATABASE!$L$4:$L$1000,$B34)&amp;"")</f>
        <v/>
      </c>
      <c r="I34" s="9" t="str">
        <f aca="false">IF($B34="","",INDEX(MASTER_DATABASE!$R$4:$R$1000,$B34))</f>
        <v/>
      </c>
      <c r="J34" s="9" t="str">
        <f aca="false">IF($B34="","",INDEX(MASTER_DATABASE!$S$4:$S$1000,$B34))</f>
        <v/>
      </c>
      <c r="K34" s="9" t="str">
        <f aca="false">IF($B34="","",INDEX(MASTER_DATABASE!$T$4:$T$1000,$B34))</f>
        <v/>
      </c>
      <c r="L34" s="7" t="str">
        <f aca="false">IF($B34="","",INDEX(MASTER_DATABASE!$U$4:$U$1000,$B34)&amp;"")</f>
        <v/>
      </c>
      <c r="M34" s="7" t="str">
        <f aca="false">IF($B34="","",INDEX(MASTER_DATABASE!$Q$4:$Q$1000,$B34)&amp;"")</f>
        <v/>
      </c>
      <c r="N34" s="7" t="str">
        <f aca="false">IF($B34="","",INDEX(MASTER_DATABASE!$AG$4:$AG$1000,$B34)&amp;"")</f>
        <v/>
      </c>
      <c r="O34" s="11" t="str">
        <f aca="false">IF($B34="","",INDEX(MASTER_DATABASE!$AH$4:$AH$1000,$B34)&amp;"")</f>
        <v/>
      </c>
      <c r="P34" s="11" t="str">
        <f aca="false">IF($B34="","",INDEX(MASTER_DATABASE!$BE$4:$BE$1000,$B34)&amp;"")</f>
        <v/>
      </c>
      <c r="Q34" s="7" t="str">
        <f aca="false">IF($B34="","",INDEX(MASTER_DATABASE!$AV$4:$AV$1000,$B34)&amp;"")</f>
        <v/>
      </c>
    </row>
    <row r="35" customFormat="false" ht="15" hidden="false" customHeight="false" outlineLevel="0" collapsed="false">
      <c r="A35" s="11" t="n">
        <v>32</v>
      </c>
      <c r="B35" s="11" t="str">
        <f aca="false">IFERROR(MATCH("Photo / Photoshop / Design|"&amp;$A35,MASTER_DATABASE!$BH$4:$BH$1000,0),"")</f>
        <v/>
      </c>
      <c r="C35" s="11" t="str">
        <f aca="false">IF($B35="","",INDEX(MASTER_DATABASE!$A$4:$A$1000,$B35)&amp;"")</f>
        <v/>
      </c>
      <c r="D35" s="7" t="str">
        <f aca="false">IF($B35="","",INDEX(MASTER_DATABASE!$D$4:$D$1000,$B35)&amp;"")</f>
        <v/>
      </c>
      <c r="E35" s="7" t="str">
        <f aca="false">IF($B35="","",INDEX(MASTER_DATABASE!$E$4:$E$1000,$B35)&amp;"")</f>
        <v/>
      </c>
      <c r="F35" s="7" t="str">
        <f aca="false">IF($B35="","",INDEX(MASTER_DATABASE!$F$4:$F$1000,$B35)&amp;"")</f>
        <v/>
      </c>
      <c r="G35" s="11" t="str">
        <f aca="false">IF($B35="","",INDEX(MASTER_DATABASE!$I$4:$I$1000,$B35)&amp;"")</f>
        <v/>
      </c>
      <c r="H35" s="7" t="str">
        <f aca="false">IF($B35="","",INDEX(MASTER_DATABASE!$L$4:$L$1000,$B35)&amp;"")</f>
        <v/>
      </c>
      <c r="I35" s="9" t="str">
        <f aca="false">IF($B35="","",INDEX(MASTER_DATABASE!$R$4:$R$1000,$B35))</f>
        <v/>
      </c>
      <c r="J35" s="9" t="str">
        <f aca="false">IF($B35="","",INDEX(MASTER_DATABASE!$S$4:$S$1000,$B35))</f>
        <v/>
      </c>
      <c r="K35" s="9" t="str">
        <f aca="false">IF($B35="","",INDEX(MASTER_DATABASE!$T$4:$T$1000,$B35))</f>
        <v/>
      </c>
      <c r="L35" s="7" t="str">
        <f aca="false">IF($B35="","",INDEX(MASTER_DATABASE!$U$4:$U$1000,$B35)&amp;"")</f>
        <v/>
      </c>
      <c r="M35" s="7" t="str">
        <f aca="false">IF($B35="","",INDEX(MASTER_DATABASE!$Q$4:$Q$1000,$B35)&amp;"")</f>
        <v/>
      </c>
      <c r="N35" s="7" t="str">
        <f aca="false">IF($B35="","",INDEX(MASTER_DATABASE!$AG$4:$AG$1000,$B35)&amp;"")</f>
        <v/>
      </c>
      <c r="O35" s="11" t="str">
        <f aca="false">IF($B35="","",INDEX(MASTER_DATABASE!$AH$4:$AH$1000,$B35)&amp;"")</f>
        <v/>
      </c>
      <c r="P35" s="11" t="str">
        <f aca="false">IF($B35="","",INDEX(MASTER_DATABASE!$BE$4:$BE$1000,$B35)&amp;"")</f>
        <v/>
      </c>
      <c r="Q35" s="7" t="str">
        <f aca="false">IF($B35="","",INDEX(MASTER_DATABASE!$AV$4:$AV$1000,$B35)&amp;"")</f>
        <v/>
      </c>
    </row>
    <row r="36" customFormat="false" ht="15" hidden="false" customHeight="false" outlineLevel="0" collapsed="false">
      <c r="A36" s="11" t="n">
        <v>33</v>
      </c>
      <c r="B36" s="11" t="str">
        <f aca="false">IFERROR(MATCH("Photo / Photoshop / Design|"&amp;$A36,MASTER_DATABASE!$BH$4:$BH$1000,0),"")</f>
        <v/>
      </c>
      <c r="C36" s="11" t="str">
        <f aca="false">IF($B36="","",INDEX(MASTER_DATABASE!$A$4:$A$1000,$B36)&amp;"")</f>
        <v/>
      </c>
      <c r="D36" s="7" t="str">
        <f aca="false">IF($B36="","",INDEX(MASTER_DATABASE!$D$4:$D$1000,$B36)&amp;"")</f>
        <v/>
      </c>
      <c r="E36" s="7" t="str">
        <f aca="false">IF($B36="","",INDEX(MASTER_DATABASE!$E$4:$E$1000,$B36)&amp;"")</f>
        <v/>
      </c>
      <c r="F36" s="7" t="str">
        <f aca="false">IF($B36="","",INDEX(MASTER_DATABASE!$F$4:$F$1000,$B36)&amp;"")</f>
        <v/>
      </c>
      <c r="G36" s="11" t="str">
        <f aca="false">IF($B36="","",INDEX(MASTER_DATABASE!$I$4:$I$1000,$B36)&amp;"")</f>
        <v/>
      </c>
      <c r="H36" s="7" t="str">
        <f aca="false">IF($B36="","",INDEX(MASTER_DATABASE!$L$4:$L$1000,$B36)&amp;"")</f>
        <v/>
      </c>
      <c r="I36" s="9" t="str">
        <f aca="false">IF($B36="","",INDEX(MASTER_DATABASE!$R$4:$R$1000,$B36))</f>
        <v/>
      </c>
      <c r="J36" s="9" t="str">
        <f aca="false">IF($B36="","",INDEX(MASTER_DATABASE!$S$4:$S$1000,$B36))</f>
        <v/>
      </c>
      <c r="K36" s="9" t="str">
        <f aca="false">IF($B36="","",INDEX(MASTER_DATABASE!$T$4:$T$1000,$B36))</f>
        <v/>
      </c>
      <c r="L36" s="7" t="str">
        <f aca="false">IF($B36="","",INDEX(MASTER_DATABASE!$U$4:$U$1000,$B36)&amp;"")</f>
        <v/>
      </c>
      <c r="M36" s="7" t="str">
        <f aca="false">IF($B36="","",INDEX(MASTER_DATABASE!$Q$4:$Q$1000,$B36)&amp;"")</f>
        <v/>
      </c>
      <c r="N36" s="7" t="str">
        <f aca="false">IF($B36="","",INDEX(MASTER_DATABASE!$AG$4:$AG$1000,$B36)&amp;"")</f>
        <v/>
      </c>
      <c r="O36" s="11" t="str">
        <f aca="false">IF($B36="","",INDEX(MASTER_DATABASE!$AH$4:$AH$1000,$B36)&amp;"")</f>
        <v/>
      </c>
      <c r="P36" s="11" t="str">
        <f aca="false">IF($B36="","",INDEX(MASTER_DATABASE!$BE$4:$BE$1000,$B36)&amp;"")</f>
        <v/>
      </c>
      <c r="Q36" s="7" t="str">
        <f aca="false">IF($B36="","",INDEX(MASTER_DATABASE!$AV$4:$AV$1000,$B36)&amp;"")</f>
        <v/>
      </c>
    </row>
    <row r="37" customFormat="false" ht="15" hidden="false" customHeight="false" outlineLevel="0" collapsed="false">
      <c r="A37" s="11" t="n">
        <v>34</v>
      </c>
      <c r="B37" s="11" t="str">
        <f aca="false">IFERROR(MATCH("Photo / Photoshop / Design|"&amp;$A37,MASTER_DATABASE!$BH$4:$BH$1000,0),"")</f>
        <v/>
      </c>
      <c r="C37" s="11" t="str">
        <f aca="false">IF($B37="","",INDEX(MASTER_DATABASE!$A$4:$A$1000,$B37)&amp;"")</f>
        <v/>
      </c>
      <c r="D37" s="7" t="str">
        <f aca="false">IF($B37="","",INDEX(MASTER_DATABASE!$D$4:$D$1000,$B37)&amp;"")</f>
        <v/>
      </c>
      <c r="E37" s="7" t="str">
        <f aca="false">IF($B37="","",INDEX(MASTER_DATABASE!$E$4:$E$1000,$B37)&amp;"")</f>
        <v/>
      </c>
      <c r="F37" s="7" t="str">
        <f aca="false">IF($B37="","",INDEX(MASTER_DATABASE!$F$4:$F$1000,$B37)&amp;"")</f>
        <v/>
      </c>
      <c r="G37" s="11" t="str">
        <f aca="false">IF($B37="","",INDEX(MASTER_DATABASE!$I$4:$I$1000,$B37)&amp;"")</f>
        <v/>
      </c>
      <c r="H37" s="7" t="str">
        <f aca="false">IF($B37="","",INDEX(MASTER_DATABASE!$L$4:$L$1000,$B37)&amp;"")</f>
        <v/>
      </c>
      <c r="I37" s="9" t="str">
        <f aca="false">IF($B37="","",INDEX(MASTER_DATABASE!$R$4:$R$1000,$B37))</f>
        <v/>
      </c>
      <c r="J37" s="9" t="str">
        <f aca="false">IF($B37="","",INDEX(MASTER_DATABASE!$S$4:$S$1000,$B37))</f>
        <v/>
      </c>
      <c r="K37" s="9" t="str">
        <f aca="false">IF($B37="","",INDEX(MASTER_DATABASE!$T$4:$T$1000,$B37))</f>
        <v/>
      </c>
      <c r="L37" s="7" t="str">
        <f aca="false">IF($B37="","",INDEX(MASTER_DATABASE!$U$4:$U$1000,$B37)&amp;"")</f>
        <v/>
      </c>
      <c r="M37" s="7" t="str">
        <f aca="false">IF($B37="","",INDEX(MASTER_DATABASE!$Q$4:$Q$1000,$B37)&amp;"")</f>
        <v/>
      </c>
      <c r="N37" s="7" t="str">
        <f aca="false">IF($B37="","",INDEX(MASTER_DATABASE!$AG$4:$AG$1000,$B37)&amp;"")</f>
        <v/>
      </c>
      <c r="O37" s="11" t="str">
        <f aca="false">IF($B37="","",INDEX(MASTER_DATABASE!$AH$4:$AH$1000,$B37)&amp;"")</f>
        <v/>
      </c>
      <c r="P37" s="11" t="str">
        <f aca="false">IF($B37="","",INDEX(MASTER_DATABASE!$BE$4:$BE$1000,$B37)&amp;"")</f>
        <v/>
      </c>
      <c r="Q37" s="7" t="str">
        <f aca="false">IF($B37="","",INDEX(MASTER_DATABASE!$AV$4:$AV$1000,$B37)&amp;"")</f>
        <v/>
      </c>
    </row>
    <row r="38" customFormat="false" ht="15" hidden="false" customHeight="false" outlineLevel="0" collapsed="false">
      <c r="A38" s="11" t="n">
        <v>35</v>
      </c>
      <c r="B38" s="11" t="str">
        <f aca="false">IFERROR(MATCH("Photo / Photoshop / Design|"&amp;$A38,MASTER_DATABASE!$BH$4:$BH$1000,0),"")</f>
        <v/>
      </c>
      <c r="C38" s="11" t="str">
        <f aca="false">IF($B38="","",INDEX(MASTER_DATABASE!$A$4:$A$1000,$B38)&amp;"")</f>
        <v/>
      </c>
      <c r="D38" s="7" t="str">
        <f aca="false">IF($B38="","",INDEX(MASTER_DATABASE!$D$4:$D$1000,$B38)&amp;"")</f>
        <v/>
      </c>
      <c r="E38" s="7" t="str">
        <f aca="false">IF($B38="","",INDEX(MASTER_DATABASE!$E$4:$E$1000,$B38)&amp;"")</f>
        <v/>
      </c>
      <c r="F38" s="7" t="str">
        <f aca="false">IF($B38="","",INDEX(MASTER_DATABASE!$F$4:$F$1000,$B38)&amp;"")</f>
        <v/>
      </c>
      <c r="G38" s="11" t="str">
        <f aca="false">IF($B38="","",INDEX(MASTER_DATABASE!$I$4:$I$1000,$B38)&amp;"")</f>
        <v/>
      </c>
      <c r="H38" s="7" t="str">
        <f aca="false">IF($B38="","",INDEX(MASTER_DATABASE!$L$4:$L$1000,$B38)&amp;"")</f>
        <v/>
      </c>
      <c r="I38" s="9" t="str">
        <f aca="false">IF($B38="","",INDEX(MASTER_DATABASE!$R$4:$R$1000,$B38))</f>
        <v/>
      </c>
      <c r="J38" s="9" t="str">
        <f aca="false">IF($B38="","",INDEX(MASTER_DATABASE!$S$4:$S$1000,$B38))</f>
        <v/>
      </c>
      <c r="K38" s="9" t="str">
        <f aca="false">IF($B38="","",INDEX(MASTER_DATABASE!$T$4:$T$1000,$B38))</f>
        <v/>
      </c>
      <c r="L38" s="7" t="str">
        <f aca="false">IF($B38="","",INDEX(MASTER_DATABASE!$U$4:$U$1000,$B38)&amp;"")</f>
        <v/>
      </c>
      <c r="M38" s="7" t="str">
        <f aca="false">IF($B38="","",INDEX(MASTER_DATABASE!$Q$4:$Q$1000,$B38)&amp;"")</f>
        <v/>
      </c>
      <c r="N38" s="7" t="str">
        <f aca="false">IF($B38="","",INDEX(MASTER_DATABASE!$AG$4:$AG$1000,$B38)&amp;"")</f>
        <v/>
      </c>
      <c r="O38" s="11" t="str">
        <f aca="false">IF($B38="","",INDEX(MASTER_DATABASE!$AH$4:$AH$1000,$B38)&amp;"")</f>
        <v/>
      </c>
      <c r="P38" s="11" t="str">
        <f aca="false">IF($B38="","",INDEX(MASTER_DATABASE!$BE$4:$BE$1000,$B38)&amp;"")</f>
        <v/>
      </c>
      <c r="Q38" s="7" t="str">
        <f aca="false">IF($B38="","",INDEX(MASTER_DATABASE!$AV$4:$AV$1000,$B38)&amp;"")</f>
        <v/>
      </c>
    </row>
    <row r="39" customFormat="false" ht="15" hidden="false" customHeight="false" outlineLevel="0" collapsed="false">
      <c r="A39" s="11" t="n">
        <v>36</v>
      </c>
      <c r="B39" s="11" t="str">
        <f aca="false">IFERROR(MATCH("Photo / Photoshop / Design|"&amp;$A39,MASTER_DATABASE!$BH$4:$BH$1000,0),"")</f>
        <v/>
      </c>
      <c r="C39" s="11" t="str">
        <f aca="false">IF($B39="","",INDEX(MASTER_DATABASE!$A$4:$A$1000,$B39)&amp;"")</f>
        <v/>
      </c>
      <c r="D39" s="7" t="str">
        <f aca="false">IF($B39="","",INDEX(MASTER_DATABASE!$D$4:$D$1000,$B39)&amp;"")</f>
        <v/>
      </c>
      <c r="E39" s="7" t="str">
        <f aca="false">IF($B39="","",INDEX(MASTER_DATABASE!$E$4:$E$1000,$B39)&amp;"")</f>
        <v/>
      </c>
      <c r="F39" s="7" t="str">
        <f aca="false">IF($B39="","",INDEX(MASTER_DATABASE!$F$4:$F$1000,$B39)&amp;"")</f>
        <v/>
      </c>
      <c r="G39" s="11" t="str">
        <f aca="false">IF($B39="","",INDEX(MASTER_DATABASE!$I$4:$I$1000,$B39)&amp;"")</f>
        <v/>
      </c>
      <c r="H39" s="7" t="str">
        <f aca="false">IF($B39="","",INDEX(MASTER_DATABASE!$L$4:$L$1000,$B39)&amp;"")</f>
        <v/>
      </c>
      <c r="I39" s="9" t="str">
        <f aca="false">IF($B39="","",INDEX(MASTER_DATABASE!$R$4:$R$1000,$B39))</f>
        <v/>
      </c>
      <c r="J39" s="9" t="str">
        <f aca="false">IF($B39="","",INDEX(MASTER_DATABASE!$S$4:$S$1000,$B39))</f>
        <v/>
      </c>
      <c r="K39" s="9" t="str">
        <f aca="false">IF($B39="","",INDEX(MASTER_DATABASE!$T$4:$T$1000,$B39))</f>
        <v/>
      </c>
      <c r="L39" s="7" t="str">
        <f aca="false">IF($B39="","",INDEX(MASTER_DATABASE!$U$4:$U$1000,$B39)&amp;"")</f>
        <v/>
      </c>
      <c r="M39" s="7" t="str">
        <f aca="false">IF($B39="","",INDEX(MASTER_DATABASE!$Q$4:$Q$1000,$B39)&amp;"")</f>
        <v/>
      </c>
      <c r="N39" s="7" t="str">
        <f aca="false">IF($B39="","",INDEX(MASTER_DATABASE!$AG$4:$AG$1000,$B39)&amp;"")</f>
        <v/>
      </c>
      <c r="O39" s="11" t="str">
        <f aca="false">IF($B39="","",INDEX(MASTER_DATABASE!$AH$4:$AH$1000,$B39)&amp;"")</f>
        <v/>
      </c>
      <c r="P39" s="11" t="str">
        <f aca="false">IF($B39="","",INDEX(MASTER_DATABASE!$BE$4:$BE$1000,$B39)&amp;"")</f>
        <v/>
      </c>
      <c r="Q39" s="7" t="str">
        <f aca="false">IF($B39="","",INDEX(MASTER_DATABASE!$AV$4:$AV$1000,$B39)&amp;"")</f>
        <v/>
      </c>
    </row>
    <row r="40" customFormat="false" ht="15" hidden="false" customHeight="false" outlineLevel="0" collapsed="false">
      <c r="A40" s="11" t="n">
        <v>37</v>
      </c>
      <c r="B40" s="11" t="str">
        <f aca="false">IFERROR(MATCH("Photo / Photoshop / Design|"&amp;$A40,MASTER_DATABASE!$BH$4:$BH$1000,0),"")</f>
        <v/>
      </c>
      <c r="C40" s="11" t="str">
        <f aca="false">IF($B40="","",INDEX(MASTER_DATABASE!$A$4:$A$1000,$B40)&amp;"")</f>
        <v/>
      </c>
      <c r="D40" s="7" t="str">
        <f aca="false">IF($B40="","",INDEX(MASTER_DATABASE!$D$4:$D$1000,$B40)&amp;"")</f>
        <v/>
      </c>
      <c r="E40" s="7" t="str">
        <f aca="false">IF($B40="","",INDEX(MASTER_DATABASE!$E$4:$E$1000,$B40)&amp;"")</f>
        <v/>
      </c>
      <c r="F40" s="7" t="str">
        <f aca="false">IF($B40="","",INDEX(MASTER_DATABASE!$F$4:$F$1000,$B40)&amp;"")</f>
        <v/>
      </c>
      <c r="G40" s="11" t="str">
        <f aca="false">IF($B40="","",INDEX(MASTER_DATABASE!$I$4:$I$1000,$B40)&amp;"")</f>
        <v/>
      </c>
      <c r="H40" s="7" t="str">
        <f aca="false">IF($B40="","",INDEX(MASTER_DATABASE!$L$4:$L$1000,$B40)&amp;"")</f>
        <v/>
      </c>
      <c r="I40" s="9" t="str">
        <f aca="false">IF($B40="","",INDEX(MASTER_DATABASE!$R$4:$R$1000,$B40))</f>
        <v/>
      </c>
      <c r="J40" s="9" t="str">
        <f aca="false">IF($B40="","",INDEX(MASTER_DATABASE!$S$4:$S$1000,$B40))</f>
        <v/>
      </c>
      <c r="K40" s="9" t="str">
        <f aca="false">IF($B40="","",INDEX(MASTER_DATABASE!$T$4:$T$1000,$B40))</f>
        <v/>
      </c>
      <c r="L40" s="7" t="str">
        <f aca="false">IF($B40="","",INDEX(MASTER_DATABASE!$U$4:$U$1000,$B40)&amp;"")</f>
        <v/>
      </c>
      <c r="M40" s="7" t="str">
        <f aca="false">IF($B40="","",INDEX(MASTER_DATABASE!$Q$4:$Q$1000,$B40)&amp;"")</f>
        <v/>
      </c>
      <c r="N40" s="7" t="str">
        <f aca="false">IF($B40="","",INDEX(MASTER_DATABASE!$AG$4:$AG$1000,$B40)&amp;"")</f>
        <v/>
      </c>
      <c r="O40" s="11" t="str">
        <f aca="false">IF($B40="","",INDEX(MASTER_DATABASE!$AH$4:$AH$1000,$B40)&amp;"")</f>
        <v/>
      </c>
      <c r="P40" s="11" t="str">
        <f aca="false">IF($B40="","",INDEX(MASTER_DATABASE!$BE$4:$BE$1000,$B40)&amp;"")</f>
        <v/>
      </c>
      <c r="Q40" s="7" t="str">
        <f aca="false">IF($B40="","",INDEX(MASTER_DATABASE!$AV$4:$AV$1000,$B40)&amp;"")</f>
        <v/>
      </c>
    </row>
    <row r="41" customFormat="false" ht="15" hidden="false" customHeight="false" outlineLevel="0" collapsed="false">
      <c r="A41" s="11" t="n">
        <v>38</v>
      </c>
      <c r="B41" s="11" t="str">
        <f aca="false">IFERROR(MATCH("Photo / Photoshop / Design|"&amp;$A41,MASTER_DATABASE!$BH$4:$BH$1000,0),"")</f>
        <v/>
      </c>
      <c r="C41" s="11" t="str">
        <f aca="false">IF($B41="","",INDEX(MASTER_DATABASE!$A$4:$A$1000,$B41)&amp;"")</f>
        <v/>
      </c>
      <c r="D41" s="7" t="str">
        <f aca="false">IF($B41="","",INDEX(MASTER_DATABASE!$D$4:$D$1000,$B41)&amp;"")</f>
        <v/>
      </c>
      <c r="E41" s="7" t="str">
        <f aca="false">IF($B41="","",INDEX(MASTER_DATABASE!$E$4:$E$1000,$B41)&amp;"")</f>
        <v/>
      </c>
      <c r="F41" s="7" t="str">
        <f aca="false">IF($B41="","",INDEX(MASTER_DATABASE!$F$4:$F$1000,$B41)&amp;"")</f>
        <v/>
      </c>
      <c r="G41" s="11" t="str">
        <f aca="false">IF($B41="","",INDEX(MASTER_DATABASE!$I$4:$I$1000,$B41)&amp;"")</f>
        <v/>
      </c>
      <c r="H41" s="7" t="str">
        <f aca="false">IF($B41="","",INDEX(MASTER_DATABASE!$L$4:$L$1000,$B41)&amp;"")</f>
        <v/>
      </c>
      <c r="I41" s="9" t="str">
        <f aca="false">IF($B41="","",INDEX(MASTER_DATABASE!$R$4:$R$1000,$B41))</f>
        <v/>
      </c>
      <c r="J41" s="9" t="str">
        <f aca="false">IF($B41="","",INDEX(MASTER_DATABASE!$S$4:$S$1000,$B41))</f>
        <v/>
      </c>
      <c r="K41" s="9" t="str">
        <f aca="false">IF($B41="","",INDEX(MASTER_DATABASE!$T$4:$T$1000,$B41))</f>
        <v/>
      </c>
      <c r="L41" s="7" t="str">
        <f aca="false">IF($B41="","",INDEX(MASTER_DATABASE!$U$4:$U$1000,$B41)&amp;"")</f>
        <v/>
      </c>
      <c r="M41" s="7" t="str">
        <f aca="false">IF($B41="","",INDEX(MASTER_DATABASE!$Q$4:$Q$1000,$B41)&amp;"")</f>
        <v/>
      </c>
      <c r="N41" s="7" t="str">
        <f aca="false">IF($B41="","",INDEX(MASTER_DATABASE!$AG$4:$AG$1000,$B41)&amp;"")</f>
        <v/>
      </c>
      <c r="O41" s="11" t="str">
        <f aca="false">IF($B41="","",INDEX(MASTER_DATABASE!$AH$4:$AH$1000,$B41)&amp;"")</f>
        <v/>
      </c>
      <c r="P41" s="11" t="str">
        <f aca="false">IF($B41="","",INDEX(MASTER_DATABASE!$BE$4:$BE$1000,$B41)&amp;"")</f>
        <v/>
      </c>
      <c r="Q41" s="7" t="str">
        <f aca="false">IF($B41="","",INDEX(MASTER_DATABASE!$AV$4:$AV$1000,$B41)&amp;"")</f>
        <v/>
      </c>
    </row>
    <row r="42" customFormat="false" ht="15" hidden="false" customHeight="false" outlineLevel="0" collapsed="false">
      <c r="A42" s="11" t="n">
        <v>39</v>
      </c>
      <c r="B42" s="11" t="str">
        <f aca="false">IFERROR(MATCH("Photo / Photoshop / Design|"&amp;$A42,MASTER_DATABASE!$BH$4:$BH$1000,0),"")</f>
        <v/>
      </c>
      <c r="C42" s="11" t="str">
        <f aca="false">IF($B42="","",INDEX(MASTER_DATABASE!$A$4:$A$1000,$B42)&amp;"")</f>
        <v/>
      </c>
      <c r="D42" s="7" t="str">
        <f aca="false">IF($B42="","",INDEX(MASTER_DATABASE!$D$4:$D$1000,$B42)&amp;"")</f>
        <v/>
      </c>
      <c r="E42" s="7" t="str">
        <f aca="false">IF($B42="","",INDEX(MASTER_DATABASE!$E$4:$E$1000,$B42)&amp;"")</f>
        <v/>
      </c>
      <c r="F42" s="7" t="str">
        <f aca="false">IF($B42="","",INDEX(MASTER_DATABASE!$F$4:$F$1000,$B42)&amp;"")</f>
        <v/>
      </c>
      <c r="G42" s="11" t="str">
        <f aca="false">IF($B42="","",INDEX(MASTER_DATABASE!$I$4:$I$1000,$B42)&amp;"")</f>
        <v/>
      </c>
      <c r="H42" s="7" t="str">
        <f aca="false">IF($B42="","",INDEX(MASTER_DATABASE!$L$4:$L$1000,$B42)&amp;"")</f>
        <v/>
      </c>
      <c r="I42" s="9" t="str">
        <f aca="false">IF($B42="","",INDEX(MASTER_DATABASE!$R$4:$R$1000,$B42))</f>
        <v/>
      </c>
      <c r="J42" s="9" t="str">
        <f aca="false">IF($B42="","",INDEX(MASTER_DATABASE!$S$4:$S$1000,$B42))</f>
        <v/>
      </c>
      <c r="K42" s="9" t="str">
        <f aca="false">IF($B42="","",INDEX(MASTER_DATABASE!$T$4:$T$1000,$B42))</f>
        <v/>
      </c>
      <c r="L42" s="7" t="str">
        <f aca="false">IF($B42="","",INDEX(MASTER_DATABASE!$U$4:$U$1000,$B42)&amp;"")</f>
        <v/>
      </c>
      <c r="M42" s="7" t="str">
        <f aca="false">IF($B42="","",INDEX(MASTER_DATABASE!$Q$4:$Q$1000,$B42)&amp;"")</f>
        <v/>
      </c>
      <c r="N42" s="7" t="str">
        <f aca="false">IF($B42="","",INDEX(MASTER_DATABASE!$AG$4:$AG$1000,$B42)&amp;"")</f>
        <v/>
      </c>
      <c r="O42" s="11" t="str">
        <f aca="false">IF($B42="","",INDEX(MASTER_DATABASE!$AH$4:$AH$1000,$B42)&amp;"")</f>
        <v/>
      </c>
      <c r="P42" s="11" t="str">
        <f aca="false">IF($B42="","",INDEX(MASTER_DATABASE!$BE$4:$BE$1000,$B42)&amp;"")</f>
        <v/>
      </c>
      <c r="Q42" s="7" t="str">
        <f aca="false">IF($B42="","",INDEX(MASTER_DATABASE!$AV$4:$AV$1000,$B42)&amp;"")</f>
        <v/>
      </c>
    </row>
    <row r="43" customFormat="false" ht="15" hidden="false" customHeight="false" outlineLevel="0" collapsed="false">
      <c r="A43" s="11" t="n">
        <v>40</v>
      </c>
      <c r="B43" s="11" t="str">
        <f aca="false">IFERROR(MATCH("Photo / Photoshop / Design|"&amp;$A43,MASTER_DATABASE!$BH$4:$BH$1000,0),"")</f>
        <v/>
      </c>
      <c r="C43" s="11" t="str">
        <f aca="false">IF($B43="","",INDEX(MASTER_DATABASE!$A$4:$A$1000,$B43)&amp;"")</f>
        <v/>
      </c>
      <c r="D43" s="7" t="str">
        <f aca="false">IF($B43="","",INDEX(MASTER_DATABASE!$D$4:$D$1000,$B43)&amp;"")</f>
        <v/>
      </c>
      <c r="E43" s="7" t="str">
        <f aca="false">IF($B43="","",INDEX(MASTER_DATABASE!$E$4:$E$1000,$B43)&amp;"")</f>
        <v/>
      </c>
      <c r="F43" s="7" t="str">
        <f aca="false">IF($B43="","",INDEX(MASTER_DATABASE!$F$4:$F$1000,$B43)&amp;"")</f>
        <v/>
      </c>
      <c r="G43" s="11" t="str">
        <f aca="false">IF($B43="","",INDEX(MASTER_DATABASE!$I$4:$I$1000,$B43)&amp;"")</f>
        <v/>
      </c>
      <c r="H43" s="7" t="str">
        <f aca="false">IF($B43="","",INDEX(MASTER_DATABASE!$L$4:$L$1000,$B43)&amp;"")</f>
        <v/>
      </c>
      <c r="I43" s="9" t="str">
        <f aca="false">IF($B43="","",INDEX(MASTER_DATABASE!$R$4:$R$1000,$B43))</f>
        <v/>
      </c>
      <c r="J43" s="9" t="str">
        <f aca="false">IF($B43="","",INDEX(MASTER_DATABASE!$S$4:$S$1000,$B43))</f>
        <v/>
      </c>
      <c r="K43" s="9" t="str">
        <f aca="false">IF($B43="","",INDEX(MASTER_DATABASE!$T$4:$T$1000,$B43))</f>
        <v/>
      </c>
      <c r="L43" s="7" t="str">
        <f aca="false">IF($B43="","",INDEX(MASTER_DATABASE!$U$4:$U$1000,$B43)&amp;"")</f>
        <v/>
      </c>
      <c r="M43" s="7" t="str">
        <f aca="false">IF($B43="","",INDEX(MASTER_DATABASE!$Q$4:$Q$1000,$B43)&amp;"")</f>
        <v/>
      </c>
      <c r="N43" s="7" t="str">
        <f aca="false">IF($B43="","",INDEX(MASTER_DATABASE!$AG$4:$AG$1000,$B43)&amp;"")</f>
        <v/>
      </c>
      <c r="O43" s="11" t="str">
        <f aca="false">IF($B43="","",INDEX(MASTER_DATABASE!$AH$4:$AH$1000,$B43)&amp;"")</f>
        <v/>
      </c>
      <c r="P43" s="11" t="str">
        <f aca="false">IF($B43="","",INDEX(MASTER_DATABASE!$BE$4:$BE$1000,$B43)&amp;"")</f>
        <v/>
      </c>
      <c r="Q43" s="7" t="str">
        <f aca="false">IF($B43="","",INDEX(MASTER_DATABASE!$AV$4:$AV$1000,$B43)&amp;"")</f>
        <v/>
      </c>
    </row>
    <row r="44" customFormat="false" ht="15" hidden="false" customHeight="false" outlineLevel="0" collapsed="false">
      <c r="A44" s="11" t="n">
        <v>41</v>
      </c>
      <c r="B44" s="11" t="str">
        <f aca="false">IFERROR(MATCH("Photo / Photoshop / Design|"&amp;$A44,MASTER_DATABASE!$BH$4:$BH$1000,0),"")</f>
        <v/>
      </c>
      <c r="C44" s="11" t="str">
        <f aca="false">IF($B44="","",INDEX(MASTER_DATABASE!$A$4:$A$1000,$B44)&amp;"")</f>
        <v/>
      </c>
      <c r="D44" s="7" t="str">
        <f aca="false">IF($B44="","",INDEX(MASTER_DATABASE!$D$4:$D$1000,$B44)&amp;"")</f>
        <v/>
      </c>
      <c r="E44" s="7" t="str">
        <f aca="false">IF($B44="","",INDEX(MASTER_DATABASE!$E$4:$E$1000,$B44)&amp;"")</f>
        <v/>
      </c>
      <c r="F44" s="7" t="str">
        <f aca="false">IF($B44="","",INDEX(MASTER_DATABASE!$F$4:$F$1000,$B44)&amp;"")</f>
        <v/>
      </c>
      <c r="G44" s="11" t="str">
        <f aca="false">IF($B44="","",INDEX(MASTER_DATABASE!$I$4:$I$1000,$B44)&amp;"")</f>
        <v/>
      </c>
      <c r="H44" s="7" t="str">
        <f aca="false">IF($B44="","",INDEX(MASTER_DATABASE!$L$4:$L$1000,$B44)&amp;"")</f>
        <v/>
      </c>
      <c r="I44" s="9" t="str">
        <f aca="false">IF($B44="","",INDEX(MASTER_DATABASE!$R$4:$R$1000,$B44))</f>
        <v/>
      </c>
      <c r="J44" s="9" t="str">
        <f aca="false">IF($B44="","",INDEX(MASTER_DATABASE!$S$4:$S$1000,$B44))</f>
        <v/>
      </c>
      <c r="K44" s="9" t="str">
        <f aca="false">IF($B44="","",INDEX(MASTER_DATABASE!$T$4:$T$1000,$B44))</f>
        <v/>
      </c>
      <c r="L44" s="7" t="str">
        <f aca="false">IF($B44="","",INDEX(MASTER_DATABASE!$U$4:$U$1000,$B44)&amp;"")</f>
        <v/>
      </c>
      <c r="M44" s="7" t="str">
        <f aca="false">IF($B44="","",INDEX(MASTER_DATABASE!$Q$4:$Q$1000,$B44)&amp;"")</f>
        <v/>
      </c>
      <c r="N44" s="7" t="str">
        <f aca="false">IF($B44="","",INDEX(MASTER_DATABASE!$AG$4:$AG$1000,$B44)&amp;"")</f>
        <v/>
      </c>
      <c r="O44" s="11" t="str">
        <f aca="false">IF($B44="","",INDEX(MASTER_DATABASE!$AH$4:$AH$1000,$B44)&amp;"")</f>
        <v/>
      </c>
      <c r="P44" s="11" t="str">
        <f aca="false">IF($B44="","",INDEX(MASTER_DATABASE!$BE$4:$BE$1000,$B44)&amp;"")</f>
        <v/>
      </c>
      <c r="Q44" s="7" t="str">
        <f aca="false">IF($B44="","",INDEX(MASTER_DATABASE!$AV$4:$AV$1000,$B44)&amp;"")</f>
        <v/>
      </c>
    </row>
    <row r="45" customFormat="false" ht="15" hidden="false" customHeight="false" outlineLevel="0" collapsed="false">
      <c r="A45" s="11" t="n">
        <v>42</v>
      </c>
      <c r="B45" s="11" t="str">
        <f aca="false">IFERROR(MATCH("Photo / Photoshop / Design|"&amp;$A45,MASTER_DATABASE!$BH$4:$BH$1000,0),"")</f>
        <v/>
      </c>
      <c r="C45" s="11" t="str">
        <f aca="false">IF($B45="","",INDEX(MASTER_DATABASE!$A$4:$A$1000,$B45)&amp;"")</f>
        <v/>
      </c>
      <c r="D45" s="7" t="str">
        <f aca="false">IF($B45="","",INDEX(MASTER_DATABASE!$D$4:$D$1000,$B45)&amp;"")</f>
        <v/>
      </c>
      <c r="E45" s="7" t="str">
        <f aca="false">IF($B45="","",INDEX(MASTER_DATABASE!$E$4:$E$1000,$B45)&amp;"")</f>
        <v/>
      </c>
      <c r="F45" s="7" t="str">
        <f aca="false">IF($B45="","",INDEX(MASTER_DATABASE!$F$4:$F$1000,$B45)&amp;"")</f>
        <v/>
      </c>
      <c r="G45" s="11" t="str">
        <f aca="false">IF($B45="","",INDEX(MASTER_DATABASE!$I$4:$I$1000,$B45)&amp;"")</f>
        <v/>
      </c>
      <c r="H45" s="7" t="str">
        <f aca="false">IF($B45="","",INDEX(MASTER_DATABASE!$L$4:$L$1000,$B45)&amp;"")</f>
        <v/>
      </c>
      <c r="I45" s="9" t="str">
        <f aca="false">IF($B45="","",INDEX(MASTER_DATABASE!$R$4:$R$1000,$B45))</f>
        <v/>
      </c>
      <c r="J45" s="9" t="str">
        <f aca="false">IF($B45="","",INDEX(MASTER_DATABASE!$S$4:$S$1000,$B45))</f>
        <v/>
      </c>
      <c r="K45" s="9" t="str">
        <f aca="false">IF($B45="","",INDEX(MASTER_DATABASE!$T$4:$T$1000,$B45))</f>
        <v/>
      </c>
      <c r="L45" s="7" t="str">
        <f aca="false">IF($B45="","",INDEX(MASTER_DATABASE!$U$4:$U$1000,$B45)&amp;"")</f>
        <v/>
      </c>
      <c r="M45" s="7" t="str">
        <f aca="false">IF($B45="","",INDEX(MASTER_DATABASE!$Q$4:$Q$1000,$B45)&amp;"")</f>
        <v/>
      </c>
      <c r="N45" s="7" t="str">
        <f aca="false">IF($B45="","",INDEX(MASTER_DATABASE!$AG$4:$AG$1000,$B45)&amp;"")</f>
        <v/>
      </c>
      <c r="O45" s="11" t="str">
        <f aca="false">IF($B45="","",INDEX(MASTER_DATABASE!$AH$4:$AH$1000,$B45)&amp;"")</f>
        <v/>
      </c>
      <c r="P45" s="11" t="str">
        <f aca="false">IF($B45="","",INDEX(MASTER_DATABASE!$BE$4:$BE$1000,$B45)&amp;"")</f>
        <v/>
      </c>
      <c r="Q45" s="7" t="str">
        <f aca="false">IF($B45="","",INDEX(MASTER_DATABASE!$AV$4:$AV$1000,$B45)&amp;"")</f>
        <v/>
      </c>
    </row>
    <row r="46" customFormat="false" ht="15" hidden="false" customHeight="false" outlineLevel="0" collapsed="false">
      <c r="A46" s="11" t="n">
        <v>43</v>
      </c>
      <c r="B46" s="11" t="str">
        <f aca="false">IFERROR(MATCH("Photo / Photoshop / Design|"&amp;$A46,MASTER_DATABASE!$BH$4:$BH$1000,0),"")</f>
        <v/>
      </c>
      <c r="C46" s="11" t="str">
        <f aca="false">IF($B46="","",INDEX(MASTER_DATABASE!$A$4:$A$1000,$B46)&amp;"")</f>
        <v/>
      </c>
      <c r="D46" s="7" t="str">
        <f aca="false">IF($B46="","",INDEX(MASTER_DATABASE!$D$4:$D$1000,$B46)&amp;"")</f>
        <v/>
      </c>
      <c r="E46" s="7" t="str">
        <f aca="false">IF($B46="","",INDEX(MASTER_DATABASE!$E$4:$E$1000,$B46)&amp;"")</f>
        <v/>
      </c>
      <c r="F46" s="7" t="str">
        <f aca="false">IF($B46="","",INDEX(MASTER_DATABASE!$F$4:$F$1000,$B46)&amp;"")</f>
        <v/>
      </c>
      <c r="G46" s="11" t="str">
        <f aca="false">IF($B46="","",INDEX(MASTER_DATABASE!$I$4:$I$1000,$B46)&amp;"")</f>
        <v/>
      </c>
      <c r="H46" s="7" t="str">
        <f aca="false">IF($B46="","",INDEX(MASTER_DATABASE!$L$4:$L$1000,$B46)&amp;"")</f>
        <v/>
      </c>
      <c r="I46" s="9" t="str">
        <f aca="false">IF($B46="","",INDEX(MASTER_DATABASE!$R$4:$R$1000,$B46))</f>
        <v/>
      </c>
      <c r="J46" s="9" t="str">
        <f aca="false">IF($B46="","",INDEX(MASTER_DATABASE!$S$4:$S$1000,$B46))</f>
        <v/>
      </c>
      <c r="K46" s="9" t="str">
        <f aca="false">IF($B46="","",INDEX(MASTER_DATABASE!$T$4:$T$1000,$B46))</f>
        <v/>
      </c>
      <c r="L46" s="7" t="str">
        <f aca="false">IF($B46="","",INDEX(MASTER_DATABASE!$U$4:$U$1000,$B46)&amp;"")</f>
        <v/>
      </c>
      <c r="M46" s="7" t="str">
        <f aca="false">IF($B46="","",INDEX(MASTER_DATABASE!$Q$4:$Q$1000,$B46)&amp;"")</f>
        <v/>
      </c>
      <c r="N46" s="7" t="str">
        <f aca="false">IF($B46="","",INDEX(MASTER_DATABASE!$AG$4:$AG$1000,$B46)&amp;"")</f>
        <v/>
      </c>
      <c r="O46" s="11" t="str">
        <f aca="false">IF($B46="","",INDEX(MASTER_DATABASE!$AH$4:$AH$1000,$B46)&amp;"")</f>
        <v/>
      </c>
      <c r="P46" s="11" t="str">
        <f aca="false">IF($B46="","",INDEX(MASTER_DATABASE!$BE$4:$BE$1000,$B46)&amp;"")</f>
        <v/>
      </c>
      <c r="Q46" s="7" t="str">
        <f aca="false">IF($B46="","",INDEX(MASTER_DATABASE!$AV$4:$AV$1000,$B46)&amp;"")</f>
        <v/>
      </c>
    </row>
    <row r="47" customFormat="false" ht="15" hidden="false" customHeight="false" outlineLevel="0" collapsed="false">
      <c r="A47" s="11" t="n">
        <v>44</v>
      </c>
      <c r="B47" s="11" t="str">
        <f aca="false">IFERROR(MATCH("Photo / Photoshop / Design|"&amp;$A47,MASTER_DATABASE!$BH$4:$BH$1000,0),"")</f>
        <v/>
      </c>
      <c r="C47" s="11" t="str">
        <f aca="false">IF($B47="","",INDEX(MASTER_DATABASE!$A$4:$A$1000,$B47)&amp;"")</f>
        <v/>
      </c>
      <c r="D47" s="7" t="str">
        <f aca="false">IF($B47="","",INDEX(MASTER_DATABASE!$D$4:$D$1000,$B47)&amp;"")</f>
        <v/>
      </c>
      <c r="E47" s="7" t="str">
        <f aca="false">IF($B47="","",INDEX(MASTER_DATABASE!$E$4:$E$1000,$B47)&amp;"")</f>
        <v/>
      </c>
      <c r="F47" s="7" t="str">
        <f aca="false">IF($B47="","",INDEX(MASTER_DATABASE!$F$4:$F$1000,$B47)&amp;"")</f>
        <v/>
      </c>
      <c r="G47" s="11" t="str">
        <f aca="false">IF($B47="","",INDEX(MASTER_DATABASE!$I$4:$I$1000,$B47)&amp;"")</f>
        <v/>
      </c>
      <c r="H47" s="7" t="str">
        <f aca="false">IF($B47="","",INDEX(MASTER_DATABASE!$L$4:$L$1000,$B47)&amp;"")</f>
        <v/>
      </c>
      <c r="I47" s="9" t="str">
        <f aca="false">IF($B47="","",INDEX(MASTER_DATABASE!$R$4:$R$1000,$B47))</f>
        <v/>
      </c>
      <c r="J47" s="9" t="str">
        <f aca="false">IF($B47="","",INDEX(MASTER_DATABASE!$S$4:$S$1000,$B47))</f>
        <v/>
      </c>
      <c r="K47" s="9" t="str">
        <f aca="false">IF($B47="","",INDEX(MASTER_DATABASE!$T$4:$T$1000,$B47))</f>
        <v/>
      </c>
      <c r="L47" s="7" t="str">
        <f aca="false">IF($B47="","",INDEX(MASTER_DATABASE!$U$4:$U$1000,$B47)&amp;"")</f>
        <v/>
      </c>
      <c r="M47" s="7" t="str">
        <f aca="false">IF($B47="","",INDEX(MASTER_DATABASE!$Q$4:$Q$1000,$B47)&amp;"")</f>
        <v/>
      </c>
      <c r="N47" s="7" t="str">
        <f aca="false">IF($B47="","",INDEX(MASTER_DATABASE!$AG$4:$AG$1000,$B47)&amp;"")</f>
        <v/>
      </c>
      <c r="O47" s="11" t="str">
        <f aca="false">IF($B47="","",INDEX(MASTER_DATABASE!$AH$4:$AH$1000,$B47)&amp;"")</f>
        <v/>
      </c>
      <c r="P47" s="11" t="str">
        <f aca="false">IF($B47="","",INDEX(MASTER_DATABASE!$BE$4:$BE$1000,$B47)&amp;"")</f>
        <v/>
      </c>
      <c r="Q47" s="7" t="str">
        <f aca="false">IF($B47="","",INDEX(MASTER_DATABASE!$AV$4:$AV$1000,$B47)&amp;"")</f>
        <v/>
      </c>
    </row>
    <row r="48" customFormat="false" ht="15" hidden="false" customHeight="false" outlineLevel="0" collapsed="false">
      <c r="A48" s="11" t="n">
        <v>45</v>
      </c>
      <c r="B48" s="11" t="str">
        <f aca="false">IFERROR(MATCH("Photo / Photoshop / Design|"&amp;$A48,MASTER_DATABASE!$BH$4:$BH$1000,0),"")</f>
        <v/>
      </c>
      <c r="C48" s="11" t="str">
        <f aca="false">IF($B48="","",INDEX(MASTER_DATABASE!$A$4:$A$1000,$B48)&amp;"")</f>
        <v/>
      </c>
      <c r="D48" s="7" t="str">
        <f aca="false">IF($B48="","",INDEX(MASTER_DATABASE!$D$4:$D$1000,$B48)&amp;"")</f>
        <v/>
      </c>
      <c r="E48" s="7" t="str">
        <f aca="false">IF($B48="","",INDEX(MASTER_DATABASE!$E$4:$E$1000,$B48)&amp;"")</f>
        <v/>
      </c>
      <c r="F48" s="7" t="str">
        <f aca="false">IF($B48="","",INDEX(MASTER_DATABASE!$F$4:$F$1000,$B48)&amp;"")</f>
        <v/>
      </c>
      <c r="G48" s="11" t="str">
        <f aca="false">IF($B48="","",INDEX(MASTER_DATABASE!$I$4:$I$1000,$B48)&amp;"")</f>
        <v/>
      </c>
      <c r="H48" s="7" t="str">
        <f aca="false">IF($B48="","",INDEX(MASTER_DATABASE!$L$4:$L$1000,$B48)&amp;"")</f>
        <v/>
      </c>
      <c r="I48" s="9" t="str">
        <f aca="false">IF($B48="","",INDEX(MASTER_DATABASE!$R$4:$R$1000,$B48))</f>
        <v/>
      </c>
      <c r="J48" s="9" t="str">
        <f aca="false">IF($B48="","",INDEX(MASTER_DATABASE!$S$4:$S$1000,$B48))</f>
        <v/>
      </c>
      <c r="K48" s="9" t="str">
        <f aca="false">IF($B48="","",INDEX(MASTER_DATABASE!$T$4:$T$1000,$B48))</f>
        <v/>
      </c>
      <c r="L48" s="7" t="str">
        <f aca="false">IF($B48="","",INDEX(MASTER_DATABASE!$U$4:$U$1000,$B48)&amp;"")</f>
        <v/>
      </c>
      <c r="M48" s="7" t="str">
        <f aca="false">IF($B48="","",INDEX(MASTER_DATABASE!$Q$4:$Q$1000,$B48)&amp;"")</f>
        <v/>
      </c>
      <c r="N48" s="7" t="str">
        <f aca="false">IF($B48="","",INDEX(MASTER_DATABASE!$AG$4:$AG$1000,$B48)&amp;"")</f>
        <v/>
      </c>
      <c r="O48" s="11" t="str">
        <f aca="false">IF($B48="","",INDEX(MASTER_DATABASE!$AH$4:$AH$1000,$B48)&amp;"")</f>
        <v/>
      </c>
      <c r="P48" s="11" t="str">
        <f aca="false">IF($B48="","",INDEX(MASTER_DATABASE!$BE$4:$BE$1000,$B48)&amp;"")</f>
        <v/>
      </c>
      <c r="Q48" s="7" t="str">
        <f aca="false">IF($B48="","",INDEX(MASTER_DATABASE!$AV$4:$AV$1000,$B48)&amp;"")</f>
        <v/>
      </c>
    </row>
    <row r="49" customFormat="false" ht="15" hidden="false" customHeight="false" outlineLevel="0" collapsed="false">
      <c r="A49" s="11" t="n">
        <v>46</v>
      </c>
      <c r="B49" s="11" t="str">
        <f aca="false">IFERROR(MATCH("Photo / Photoshop / Design|"&amp;$A49,MASTER_DATABASE!$BH$4:$BH$1000,0),"")</f>
        <v/>
      </c>
      <c r="C49" s="11" t="str">
        <f aca="false">IF($B49="","",INDEX(MASTER_DATABASE!$A$4:$A$1000,$B49)&amp;"")</f>
        <v/>
      </c>
      <c r="D49" s="7" t="str">
        <f aca="false">IF($B49="","",INDEX(MASTER_DATABASE!$D$4:$D$1000,$B49)&amp;"")</f>
        <v/>
      </c>
      <c r="E49" s="7" t="str">
        <f aca="false">IF($B49="","",INDEX(MASTER_DATABASE!$E$4:$E$1000,$B49)&amp;"")</f>
        <v/>
      </c>
      <c r="F49" s="7" t="str">
        <f aca="false">IF($B49="","",INDEX(MASTER_DATABASE!$F$4:$F$1000,$B49)&amp;"")</f>
        <v/>
      </c>
      <c r="G49" s="11" t="str">
        <f aca="false">IF($B49="","",INDEX(MASTER_DATABASE!$I$4:$I$1000,$B49)&amp;"")</f>
        <v/>
      </c>
      <c r="H49" s="7" t="str">
        <f aca="false">IF($B49="","",INDEX(MASTER_DATABASE!$L$4:$L$1000,$B49)&amp;"")</f>
        <v/>
      </c>
      <c r="I49" s="9" t="str">
        <f aca="false">IF($B49="","",INDEX(MASTER_DATABASE!$R$4:$R$1000,$B49))</f>
        <v/>
      </c>
      <c r="J49" s="9" t="str">
        <f aca="false">IF($B49="","",INDEX(MASTER_DATABASE!$S$4:$S$1000,$B49))</f>
        <v/>
      </c>
      <c r="K49" s="9" t="str">
        <f aca="false">IF($B49="","",INDEX(MASTER_DATABASE!$T$4:$T$1000,$B49))</f>
        <v/>
      </c>
      <c r="L49" s="7" t="str">
        <f aca="false">IF($B49="","",INDEX(MASTER_DATABASE!$U$4:$U$1000,$B49)&amp;"")</f>
        <v/>
      </c>
      <c r="M49" s="7" t="str">
        <f aca="false">IF($B49="","",INDEX(MASTER_DATABASE!$Q$4:$Q$1000,$B49)&amp;"")</f>
        <v/>
      </c>
      <c r="N49" s="7" t="str">
        <f aca="false">IF($B49="","",INDEX(MASTER_DATABASE!$AG$4:$AG$1000,$B49)&amp;"")</f>
        <v/>
      </c>
      <c r="O49" s="11" t="str">
        <f aca="false">IF($B49="","",INDEX(MASTER_DATABASE!$AH$4:$AH$1000,$B49)&amp;"")</f>
        <v/>
      </c>
      <c r="P49" s="11" t="str">
        <f aca="false">IF($B49="","",INDEX(MASTER_DATABASE!$BE$4:$BE$1000,$B49)&amp;"")</f>
        <v/>
      </c>
      <c r="Q49" s="7" t="str">
        <f aca="false">IF($B49="","",INDEX(MASTER_DATABASE!$AV$4:$AV$1000,$B49)&amp;"")</f>
        <v/>
      </c>
    </row>
    <row r="50" customFormat="false" ht="15" hidden="false" customHeight="false" outlineLevel="0" collapsed="false">
      <c r="A50" s="11" t="n">
        <v>47</v>
      </c>
      <c r="B50" s="11" t="str">
        <f aca="false">IFERROR(MATCH("Photo / Photoshop / Design|"&amp;$A50,MASTER_DATABASE!$BH$4:$BH$1000,0),"")</f>
        <v/>
      </c>
      <c r="C50" s="11" t="str">
        <f aca="false">IF($B50="","",INDEX(MASTER_DATABASE!$A$4:$A$1000,$B50)&amp;"")</f>
        <v/>
      </c>
      <c r="D50" s="7" t="str">
        <f aca="false">IF($B50="","",INDEX(MASTER_DATABASE!$D$4:$D$1000,$B50)&amp;"")</f>
        <v/>
      </c>
      <c r="E50" s="7" t="str">
        <f aca="false">IF($B50="","",INDEX(MASTER_DATABASE!$E$4:$E$1000,$B50)&amp;"")</f>
        <v/>
      </c>
      <c r="F50" s="7" t="str">
        <f aca="false">IF($B50="","",INDEX(MASTER_DATABASE!$F$4:$F$1000,$B50)&amp;"")</f>
        <v/>
      </c>
      <c r="G50" s="11" t="str">
        <f aca="false">IF($B50="","",INDEX(MASTER_DATABASE!$I$4:$I$1000,$B50)&amp;"")</f>
        <v/>
      </c>
      <c r="H50" s="7" t="str">
        <f aca="false">IF($B50="","",INDEX(MASTER_DATABASE!$L$4:$L$1000,$B50)&amp;"")</f>
        <v/>
      </c>
      <c r="I50" s="9" t="str">
        <f aca="false">IF($B50="","",INDEX(MASTER_DATABASE!$R$4:$R$1000,$B50))</f>
        <v/>
      </c>
      <c r="J50" s="9" t="str">
        <f aca="false">IF($B50="","",INDEX(MASTER_DATABASE!$S$4:$S$1000,$B50))</f>
        <v/>
      </c>
      <c r="K50" s="9" t="str">
        <f aca="false">IF($B50="","",INDEX(MASTER_DATABASE!$T$4:$T$1000,$B50))</f>
        <v/>
      </c>
      <c r="L50" s="7" t="str">
        <f aca="false">IF($B50="","",INDEX(MASTER_DATABASE!$U$4:$U$1000,$B50)&amp;"")</f>
        <v/>
      </c>
      <c r="M50" s="7" t="str">
        <f aca="false">IF($B50="","",INDEX(MASTER_DATABASE!$Q$4:$Q$1000,$B50)&amp;"")</f>
        <v/>
      </c>
      <c r="N50" s="7" t="str">
        <f aca="false">IF($B50="","",INDEX(MASTER_DATABASE!$AG$4:$AG$1000,$B50)&amp;"")</f>
        <v/>
      </c>
      <c r="O50" s="11" t="str">
        <f aca="false">IF($B50="","",INDEX(MASTER_DATABASE!$AH$4:$AH$1000,$B50)&amp;"")</f>
        <v/>
      </c>
      <c r="P50" s="11" t="str">
        <f aca="false">IF($B50="","",INDEX(MASTER_DATABASE!$BE$4:$BE$1000,$B50)&amp;"")</f>
        <v/>
      </c>
      <c r="Q50" s="7" t="str">
        <f aca="false">IF($B50="","",INDEX(MASTER_DATABASE!$AV$4:$AV$1000,$B50)&amp;"")</f>
        <v/>
      </c>
    </row>
    <row r="51" customFormat="false" ht="15" hidden="false" customHeight="false" outlineLevel="0" collapsed="false">
      <c r="A51" s="11" t="n">
        <v>48</v>
      </c>
      <c r="B51" s="11" t="str">
        <f aca="false">IFERROR(MATCH("Photo / Photoshop / Design|"&amp;$A51,MASTER_DATABASE!$BH$4:$BH$1000,0),"")</f>
        <v/>
      </c>
      <c r="C51" s="11" t="str">
        <f aca="false">IF($B51="","",INDEX(MASTER_DATABASE!$A$4:$A$1000,$B51)&amp;"")</f>
        <v/>
      </c>
      <c r="D51" s="7" t="str">
        <f aca="false">IF($B51="","",INDEX(MASTER_DATABASE!$D$4:$D$1000,$B51)&amp;"")</f>
        <v/>
      </c>
      <c r="E51" s="7" t="str">
        <f aca="false">IF($B51="","",INDEX(MASTER_DATABASE!$E$4:$E$1000,$B51)&amp;"")</f>
        <v/>
      </c>
      <c r="F51" s="7" t="str">
        <f aca="false">IF($B51="","",INDEX(MASTER_DATABASE!$F$4:$F$1000,$B51)&amp;"")</f>
        <v/>
      </c>
      <c r="G51" s="11" t="str">
        <f aca="false">IF($B51="","",INDEX(MASTER_DATABASE!$I$4:$I$1000,$B51)&amp;"")</f>
        <v/>
      </c>
      <c r="H51" s="7" t="str">
        <f aca="false">IF($B51="","",INDEX(MASTER_DATABASE!$L$4:$L$1000,$B51)&amp;"")</f>
        <v/>
      </c>
      <c r="I51" s="9" t="str">
        <f aca="false">IF($B51="","",INDEX(MASTER_DATABASE!$R$4:$R$1000,$B51))</f>
        <v/>
      </c>
      <c r="J51" s="9" t="str">
        <f aca="false">IF($B51="","",INDEX(MASTER_DATABASE!$S$4:$S$1000,$B51))</f>
        <v/>
      </c>
      <c r="K51" s="9" t="str">
        <f aca="false">IF($B51="","",INDEX(MASTER_DATABASE!$T$4:$T$1000,$B51))</f>
        <v/>
      </c>
      <c r="L51" s="7" t="str">
        <f aca="false">IF($B51="","",INDEX(MASTER_DATABASE!$U$4:$U$1000,$B51)&amp;"")</f>
        <v/>
      </c>
      <c r="M51" s="7" t="str">
        <f aca="false">IF($B51="","",INDEX(MASTER_DATABASE!$Q$4:$Q$1000,$B51)&amp;"")</f>
        <v/>
      </c>
      <c r="N51" s="7" t="str">
        <f aca="false">IF($B51="","",INDEX(MASTER_DATABASE!$AG$4:$AG$1000,$B51)&amp;"")</f>
        <v/>
      </c>
      <c r="O51" s="11" t="str">
        <f aca="false">IF($B51="","",INDEX(MASTER_DATABASE!$AH$4:$AH$1000,$B51)&amp;"")</f>
        <v/>
      </c>
      <c r="P51" s="11" t="str">
        <f aca="false">IF($B51="","",INDEX(MASTER_DATABASE!$BE$4:$BE$1000,$B51)&amp;"")</f>
        <v/>
      </c>
      <c r="Q51" s="7" t="str">
        <f aca="false">IF($B51="","",INDEX(MASTER_DATABASE!$AV$4:$AV$1000,$B51)&amp;"")</f>
        <v/>
      </c>
    </row>
    <row r="52" customFormat="false" ht="15" hidden="false" customHeight="false" outlineLevel="0" collapsed="false">
      <c r="A52" s="11" t="n">
        <v>49</v>
      </c>
      <c r="B52" s="11" t="str">
        <f aca="false">IFERROR(MATCH("Photo / Photoshop / Design|"&amp;$A52,MASTER_DATABASE!$BH$4:$BH$1000,0),"")</f>
        <v/>
      </c>
      <c r="C52" s="11" t="str">
        <f aca="false">IF($B52="","",INDEX(MASTER_DATABASE!$A$4:$A$1000,$B52)&amp;"")</f>
        <v/>
      </c>
      <c r="D52" s="7" t="str">
        <f aca="false">IF($B52="","",INDEX(MASTER_DATABASE!$D$4:$D$1000,$B52)&amp;"")</f>
        <v/>
      </c>
      <c r="E52" s="7" t="str">
        <f aca="false">IF($B52="","",INDEX(MASTER_DATABASE!$E$4:$E$1000,$B52)&amp;"")</f>
        <v/>
      </c>
      <c r="F52" s="7" t="str">
        <f aca="false">IF($B52="","",INDEX(MASTER_DATABASE!$F$4:$F$1000,$B52)&amp;"")</f>
        <v/>
      </c>
      <c r="G52" s="11" t="str">
        <f aca="false">IF($B52="","",INDEX(MASTER_DATABASE!$I$4:$I$1000,$B52)&amp;"")</f>
        <v/>
      </c>
      <c r="H52" s="7" t="str">
        <f aca="false">IF($B52="","",INDEX(MASTER_DATABASE!$L$4:$L$1000,$B52)&amp;"")</f>
        <v/>
      </c>
      <c r="I52" s="9" t="str">
        <f aca="false">IF($B52="","",INDEX(MASTER_DATABASE!$R$4:$R$1000,$B52))</f>
        <v/>
      </c>
      <c r="J52" s="9" t="str">
        <f aca="false">IF($B52="","",INDEX(MASTER_DATABASE!$S$4:$S$1000,$B52))</f>
        <v/>
      </c>
      <c r="K52" s="9" t="str">
        <f aca="false">IF($B52="","",INDEX(MASTER_DATABASE!$T$4:$T$1000,$B52))</f>
        <v/>
      </c>
      <c r="L52" s="7" t="str">
        <f aca="false">IF($B52="","",INDEX(MASTER_DATABASE!$U$4:$U$1000,$B52)&amp;"")</f>
        <v/>
      </c>
      <c r="M52" s="7" t="str">
        <f aca="false">IF($B52="","",INDEX(MASTER_DATABASE!$Q$4:$Q$1000,$B52)&amp;"")</f>
        <v/>
      </c>
      <c r="N52" s="7" t="str">
        <f aca="false">IF($B52="","",INDEX(MASTER_DATABASE!$AG$4:$AG$1000,$B52)&amp;"")</f>
        <v/>
      </c>
      <c r="O52" s="11" t="str">
        <f aca="false">IF($B52="","",INDEX(MASTER_DATABASE!$AH$4:$AH$1000,$B52)&amp;"")</f>
        <v/>
      </c>
      <c r="P52" s="11" t="str">
        <f aca="false">IF($B52="","",INDEX(MASTER_DATABASE!$BE$4:$BE$1000,$B52)&amp;"")</f>
        <v/>
      </c>
      <c r="Q52" s="7" t="str">
        <f aca="false">IF($B52="","",INDEX(MASTER_DATABASE!$AV$4:$AV$1000,$B52)&amp;"")</f>
        <v/>
      </c>
    </row>
    <row r="53" customFormat="false" ht="15" hidden="false" customHeight="false" outlineLevel="0" collapsed="false">
      <c r="A53" s="11" t="n">
        <v>50</v>
      </c>
      <c r="B53" s="11" t="str">
        <f aca="false">IFERROR(MATCH("Photo / Photoshop / Design|"&amp;$A53,MASTER_DATABASE!$BH$4:$BH$1000,0),"")</f>
        <v/>
      </c>
      <c r="C53" s="11" t="str">
        <f aca="false">IF($B53="","",INDEX(MASTER_DATABASE!$A$4:$A$1000,$B53)&amp;"")</f>
        <v/>
      </c>
      <c r="D53" s="7" t="str">
        <f aca="false">IF($B53="","",INDEX(MASTER_DATABASE!$D$4:$D$1000,$B53)&amp;"")</f>
        <v/>
      </c>
      <c r="E53" s="7" t="str">
        <f aca="false">IF($B53="","",INDEX(MASTER_DATABASE!$E$4:$E$1000,$B53)&amp;"")</f>
        <v/>
      </c>
      <c r="F53" s="7" t="str">
        <f aca="false">IF($B53="","",INDEX(MASTER_DATABASE!$F$4:$F$1000,$B53)&amp;"")</f>
        <v/>
      </c>
      <c r="G53" s="11" t="str">
        <f aca="false">IF($B53="","",INDEX(MASTER_DATABASE!$I$4:$I$1000,$B53)&amp;"")</f>
        <v/>
      </c>
      <c r="H53" s="7" t="str">
        <f aca="false">IF($B53="","",INDEX(MASTER_DATABASE!$L$4:$L$1000,$B53)&amp;"")</f>
        <v/>
      </c>
      <c r="I53" s="9" t="str">
        <f aca="false">IF($B53="","",INDEX(MASTER_DATABASE!$R$4:$R$1000,$B53))</f>
        <v/>
      </c>
      <c r="J53" s="9" t="str">
        <f aca="false">IF($B53="","",INDEX(MASTER_DATABASE!$S$4:$S$1000,$B53))</f>
        <v/>
      </c>
      <c r="K53" s="9" t="str">
        <f aca="false">IF($B53="","",INDEX(MASTER_DATABASE!$T$4:$T$1000,$B53))</f>
        <v/>
      </c>
      <c r="L53" s="7" t="str">
        <f aca="false">IF($B53="","",INDEX(MASTER_DATABASE!$U$4:$U$1000,$B53)&amp;"")</f>
        <v/>
      </c>
      <c r="M53" s="7" t="str">
        <f aca="false">IF($B53="","",INDEX(MASTER_DATABASE!$Q$4:$Q$1000,$B53)&amp;"")</f>
        <v/>
      </c>
      <c r="N53" s="7" t="str">
        <f aca="false">IF($B53="","",INDEX(MASTER_DATABASE!$AG$4:$AG$1000,$B53)&amp;"")</f>
        <v/>
      </c>
      <c r="O53" s="11" t="str">
        <f aca="false">IF($B53="","",INDEX(MASTER_DATABASE!$AH$4:$AH$1000,$B53)&amp;"")</f>
        <v/>
      </c>
      <c r="P53" s="11" t="str">
        <f aca="false">IF($B53="","",INDEX(MASTER_DATABASE!$BE$4:$BE$1000,$B53)&amp;"")</f>
        <v/>
      </c>
      <c r="Q53" s="7" t="str">
        <f aca="false">IF($B53="","",INDEX(MASTER_DATABASE!$AV$4:$AV$1000,$B53)&amp;"")</f>
        <v/>
      </c>
    </row>
    <row r="54" customFormat="false" ht="15" hidden="false" customHeight="false" outlineLevel="0" collapsed="false">
      <c r="A54" s="11" t="n">
        <v>51</v>
      </c>
      <c r="B54" s="11" t="str">
        <f aca="false">IFERROR(MATCH("Photo / Photoshop / Design|"&amp;$A54,MASTER_DATABASE!$BH$4:$BH$1000,0),"")</f>
        <v/>
      </c>
      <c r="C54" s="11" t="str">
        <f aca="false">IF($B54="","",INDEX(MASTER_DATABASE!$A$4:$A$1000,$B54)&amp;"")</f>
        <v/>
      </c>
      <c r="D54" s="7" t="str">
        <f aca="false">IF($B54="","",INDEX(MASTER_DATABASE!$D$4:$D$1000,$B54)&amp;"")</f>
        <v/>
      </c>
      <c r="E54" s="7" t="str">
        <f aca="false">IF($B54="","",INDEX(MASTER_DATABASE!$E$4:$E$1000,$B54)&amp;"")</f>
        <v/>
      </c>
      <c r="F54" s="7" t="str">
        <f aca="false">IF($B54="","",INDEX(MASTER_DATABASE!$F$4:$F$1000,$B54)&amp;"")</f>
        <v/>
      </c>
      <c r="G54" s="11" t="str">
        <f aca="false">IF($B54="","",INDEX(MASTER_DATABASE!$I$4:$I$1000,$B54)&amp;"")</f>
        <v/>
      </c>
      <c r="H54" s="7" t="str">
        <f aca="false">IF($B54="","",INDEX(MASTER_DATABASE!$L$4:$L$1000,$B54)&amp;"")</f>
        <v/>
      </c>
      <c r="I54" s="9" t="str">
        <f aca="false">IF($B54="","",INDEX(MASTER_DATABASE!$R$4:$R$1000,$B54))</f>
        <v/>
      </c>
      <c r="J54" s="9" t="str">
        <f aca="false">IF($B54="","",INDEX(MASTER_DATABASE!$S$4:$S$1000,$B54))</f>
        <v/>
      </c>
      <c r="K54" s="9" t="str">
        <f aca="false">IF($B54="","",INDEX(MASTER_DATABASE!$T$4:$T$1000,$B54))</f>
        <v/>
      </c>
      <c r="L54" s="7" t="str">
        <f aca="false">IF($B54="","",INDEX(MASTER_DATABASE!$U$4:$U$1000,$B54)&amp;"")</f>
        <v/>
      </c>
      <c r="M54" s="7" t="str">
        <f aca="false">IF($B54="","",INDEX(MASTER_DATABASE!$Q$4:$Q$1000,$B54)&amp;"")</f>
        <v/>
      </c>
      <c r="N54" s="7" t="str">
        <f aca="false">IF($B54="","",INDEX(MASTER_DATABASE!$AG$4:$AG$1000,$B54)&amp;"")</f>
        <v/>
      </c>
      <c r="O54" s="11" t="str">
        <f aca="false">IF($B54="","",INDEX(MASTER_DATABASE!$AH$4:$AH$1000,$B54)&amp;"")</f>
        <v/>
      </c>
      <c r="P54" s="11" t="str">
        <f aca="false">IF($B54="","",INDEX(MASTER_DATABASE!$BE$4:$BE$1000,$B54)&amp;"")</f>
        <v/>
      </c>
      <c r="Q54" s="7" t="str">
        <f aca="false">IF($B54="","",INDEX(MASTER_DATABASE!$AV$4:$AV$1000,$B54)&amp;"")</f>
        <v/>
      </c>
    </row>
  </sheetData>
  <conditionalFormatting sqref="G4:G54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54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54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6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3696</v>
      </c>
    </row>
    <row r="2" customFormat="false" ht="15" hidden="false" customHeight="false" outlineLevel="0" collapsed="false">
      <c r="A2" s="2" t="s">
        <v>3697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23.85" hidden="false" customHeight="false" outlineLevel="0" collapsed="false">
      <c r="A4" s="11" t="n">
        <v>1</v>
      </c>
      <c r="B4" s="11" t="n">
        <f aca="false">IFERROR(MATCH("Online Form &amp; Digital Services|"&amp;$A4,MASTER_DATABASE!$BH$4:$BH$1000,0),"")</f>
        <v>229</v>
      </c>
      <c r="C4" s="11" t="str">
        <f aca="false">IF($B4="","",INDEX(MASTER_DATABASE!$A$4:$A$1000,$B4)&amp;"")</f>
        <v>ONL-001</v>
      </c>
      <c r="D4" s="7" t="str">
        <f aca="false">IF($B4="","",INDEX(MASTER_DATABASE!$D$4:$D$1000,$B4)&amp;"")</f>
        <v>Government Job &amp; Recruitment Forms</v>
      </c>
      <c r="E4" s="7" t="str">
        <f aca="false">IF($B4="","",INDEX(MASTER_DATABASE!$E$4:$E$1000,$B4)&amp;"")</f>
        <v>Government Job Form – Central</v>
      </c>
      <c r="F4" s="7" t="str">
        <f aca="false">IF($B4="","",INDEX(MASTER_DATABASE!$F$4:$F$1000,$B4)&amp;"")</f>
        <v>सरकारी नौकरी फॉर्म – केंद्र</v>
      </c>
      <c r="G4" s="11" t="str">
        <f aca="false">IF($B4="","",INDEX(MASTER_DATABASE!$I$4:$I$1000,$B4)&amp;"")</f>
        <v>Available</v>
      </c>
      <c r="H4" s="7" t="str">
        <f aca="false">IF($B4="","",INDEX(MASTER_DATABASE!$L$4:$L$1000,$B4)&amp;"")</f>
        <v>Not Applicable</v>
      </c>
      <c r="I4" s="9" t="str">
        <f aca="false">IF($B4="","",INDEX(MASTER_DATABASE!$R$4:$R$1000,$B4))</f>
        <v>To Verify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To Verify</v>
      </c>
      <c r="M4" s="7" t="str">
        <f aca="false">IF($B4="","",INDEX(MASTER_DATABASE!$Q$4:$Q$1000,$B4)&amp;"")</f>
        <v>Same Day</v>
      </c>
      <c r="N4" s="7" t="str">
        <f aca="false">IF($B4="","",INDEX(MASTER_DATABASE!$AG$4:$AG$1000,$B4)&amp;"")</f>
        <v>Active</v>
      </c>
      <c r="O4" s="11" t="str">
        <f aca="false">IF($B4="","",INDEX(MASTER_DATABASE!$AH$4:$AH$1000,$B4)&amp;"")</f>
        <v>Yes</v>
      </c>
      <c r="P4" s="11" t="str">
        <f aca="false">IF($B4="","",INDEX(MASTER_DATABASE!$BE$4:$BE$1000,$B4)&amp;"")</f>
        <v>LIVE</v>
      </c>
      <c r="Q4" s="7" t="str">
        <f aca="false">IF($B4="","",INDEX(MASTER_DATABASE!$AV$4:$AV$1000,$B4)&amp;"")</f>
        <v>To Verify</v>
      </c>
    </row>
    <row r="5" customFormat="false" ht="23.85" hidden="false" customHeight="false" outlineLevel="0" collapsed="false">
      <c r="A5" s="11" t="n">
        <v>2</v>
      </c>
      <c r="B5" s="11" t="n">
        <f aca="false">IFERROR(MATCH("Online Form &amp; Digital Services|"&amp;$A5,MASTER_DATABASE!$BH$4:$BH$1000,0),"")</f>
        <v>230</v>
      </c>
      <c r="C5" s="11" t="str">
        <f aca="false">IF($B5="","",INDEX(MASTER_DATABASE!$A$4:$A$1000,$B5)&amp;"")</f>
        <v>ONL-002</v>
      </c>
      <c r="D5" s="7" t="str">
        <f aca="false">IF($B5="","",INDEX(MASTER_DATABASE!$D$4:$D$1000,$B5)&amp;"")</f>
        <v>Government Job &amp; Recruitment Forms</v>
      </c>
      <c r="E5" s="7" t="str">
        <f aca="false">IF($B5="","",INDEX(MASTER_DATABASE!$E$4:$E$1000,$B5)&amp;"")</f>
        <v>Government Job Form – State</v>
      </c>
      <c r="F5" s="7" t="str">
        <f aca="false">IF($B5="","",INDEX(MASTER_DATABASE!$F$4:$F$1000,$B5)&amp;"")</f>
        <v>सरकारी नौकरी फॉर्म – राज्य</v>
      </c>
      <c r="G5" s="11" t="str">
        <f aca="false">IF($B5="","",INDEX(MASTER_DATABASE!$I$4:$I$1000,$B5)&amp;"")</f>
        <v>Available</v>
      </c>
      <c r="H5" s="7" t="str">
        <f aca="false">IF($B5="","",INDEX(MASTER_DATABASE!$L$4:$L$1000,$B5)&amp;"")</f>
        <v>Not Applicable</v>
      </c>
      <c r="I5" s="9" t="str">
        <f aca="false">IF($B5="","",INDEX(MASTER_DATABASE!$R$4:$R$1000,$B5))</f>
        <v>To Verify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To Verify</v>
      </c>
      <c r="M5" s="7" t="str">
        <f aca="false">IF($B5="","",INDEX(MASTER_DATABASE!$Q$4:$Q$1000,$B5)&amp;"")</f>
        <v>Same Day</v>
      </c>
      <c r="N5" s="7" t="str">
        <f aca="false">IF($B5="","",INDEX(MASTER_DATABASE!$AG$4:$AG$1000,$B5)&amp;"")</f>
        <v>Active</v>
      </c>
      <c r="O5" s="11" t="str">
        <f aca="false">IF($B5="","",INDEX(MASTER_DATABASE!$AH$4:$AH$1000,$B5)&amp;"")</f>
        <v>Yes</v>
      </c>
      <c r="P5" s="11" t="str">
        <f aca="false">IF($B5="","",INDEX(MASTER_DATABASE!$BE$4:$BE$1000,$B5)&amp;"")</f>
        <v>LIVE</v>
      </c>
      <c r="Q5" s="7" t="str">
        <f aca="false">IF($B5="","",INDEX(MASTER_DATABASE!$AV$4:$AV$1000,$B5)&amp;"")</f>
        <v>To Verify</v>
      </c>
    </row>
    <row r="6" customFormat="false" ht="23.85" hidden="false" customHeight="false" outlineLevel="0" collapsed="false">
      <c r="A6" s="11" t="n">
        <v>3</v>
      </c>
      <c r="B6" s="11" t="n">
        <f aca="false">IFERROR(MATCH("Online Form &amp; Digital Services|"&amp;$A6,MASTER_DATABASE!$BH$4:$BH$1000,0),"")</f>
        <v>231</v>
      </c>
      <c r="C6" s="11" t="str">
        <f aca="false">IF($B6="","",INDEX(MASTER_DATABASE!$A$4:$A$1000,$B6)&amp;"")</f>
        <v>ONL-003</v>
      </c>
      <c r="D6" s="7" t="str">
        <f aca="false">IF($B6="","",INDEX(MASTER_DATABASE!$D$4:$D$1000,$B6)&amp;"")</f>
        <v>Government Job &amp; Recruitment Forms</v>
      </c>
      <c r="E6" s="7" t="str">
        <f aca="false">IF($B6="","",INDEX(MASTER_DATABASE!$E$4:$E$1000,$B6)&amp;"")</f>
        <v>Recruitment Form – Railway (RRB)</v>
      </c>
      <c r="F6" s="7" t="str">
        <f aca="false">IF($B6="","",INDEX(MASTER_DATABASE!$F$4:$F$1000,$B6)&amp;"")</f>
        <v>रेलवे भर्ती फॉर्म (RRB)</v>
      </c>
      <c r="G6" s="11" t="str">
        <f aca="false">IF($B6="","",INDEX(MASTER_DATABASE!$I$4:$I$1000,$B6)&amp;"")</f>
        <v>Available</v>
      </c>
      <c r="H6" s="7" t="str">
        <f aca="false">IF($B6="","",INDEX(MASTER_DATABASE!$L$4:$L$1000,$B6)&amp;"")</f>
        <v>Not Applicable</v>
      </c>
      <c r="I6" s="9" t="str">
        <f aca="false">IF($B6="","",INDEX(MASTER_DATABASE!$R$4:$R$1000,$B6))</f>
        <v>To Verify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To Verify</v>
      </c>
      <c r="M6" s="7" t="str">
        <f aca="false">IF($B6="","",INDEX(MASTER_DATABASE!$Q$4:$Q$1000,$B6)&amp;"")</f>
        <v>Same Day</v>
      </c>
      <c r="N6" s="7" t="str">
        <f aca="false">IF($B6="","",INDEX(MASTER_DATABASE!$AG$4:$AG$1000,$B6)&amp;"")</f>
        <v>Active</v>
      </c>
      <c r="O6" s="11" t="str">
        <f aca="false">IF($B6="","",INDEX(MASTER_DATABASE!$AH$4:$AH$1000,$B6)&amp;"")</f>
        <v>Yes</v>
      </c>
      <c r="P6" s="11" t="str">
        <f aca="false">IF($B6="","",INDEX(MASTER_DATABASE!$BE$4:$BE$1000,$B6)&amp;"")</f>
        <v>LIVE</v>
      </c>
      <c r="Q6" s="7" t="str">
        <f aca="false">IF($B6="","",INDEX(MASTER_DATABASE!$AV$4:$AV$1000,$B6)&amp;"")</f>
        <v>To Verify</v>
      </c>
    </row>
    <row r="7" customFormat="false" ht="23.85" hidden="false" customHeight="false" outlineLevel="0" collapsed="false">
      <c r="A7" s="11" t="n">
        <v>4</v>
      </c>
      <c r="B7" s="11" t="n">
        <f aca="false">IFERROR(MATCH("Online Form &amp; Digital Services|"&amp;$A7,MASTER_DATABASE!$BH$4:$BH$1000,0),"")</f>
        <v>232</v>
      </c>
      <c r="C7" s="11" t="str">
        <f aca="false">IF($B7="","",INDEX(MASTER_DATABASE!$A$4:$A$1000,$B7)&amp;"")</f>
        <v>ONL-004</v>
      </c>
      <c r="D7" s="7" t="str">
        <f aca="false">IF($B7="","",INDEX(MASTER_DATABASE!$D$4:$D$1000,$B7)&amp;"")</f>
        <v>Government Job &amp; Recruitment Forms</v>
      </c>
      <c r="E7" s="7" t="str">
        <f aca="false">IF($B7="","",INDEX(MASTER_DATABASE!$E$4:$E$1000,$B7)&amp;"")</f>
        <v>Recruitment Form – SSC</v>
      </c>
      <c r="F7" s="7" t="str">
        <f aca="false">IF($B7="","",INDEX(MASTER_DATABASE!$F$4:$F$1000,$B7)&amp;"")</f>
        <v>SSC भर्ती फॉर्म</v>
      </c>
      <c r="G7" s="11" t="str">
        <f aca="false">IF($B7="","",INDEX(MASTER_DATABASE!$I$4:$I$1000,$B7)&amp;"")</f>
        <v>Available</v>
      </c>
      <c r="H7" s="7" t="str">
        <f aca="false">IF($B7="","",INDEX(MASTER_DATABASE!$L$4:$L$1000,$B7)&amp;"")</f>
        <v>Not Applicable</v>
      </c>
      <c r="I7" s="9" t="str">
        <f aca="false">IF($B7="","",INDEX(MASTER_DATABASE!$R$4:$R$1000,$B7))</f>
        <v>To Verify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To Verify</v>
      </c>
      <c r="M7" s="7" t="str">
        <f aca="false">IF($B7="","",INDEX(MASTER_DATABASE!$Q$4:$Q$1000,$B7)&amp;"")</f>
        <v>Same Day</v>
      </c>
      <c r="N7" s="7" t="str">
        <f aca="false">IF($B7="","",INDEX(MASTER_DATABASE!$AG$4:$AG$1000,$B7)&amp;"")</f>
        <v>Active</v>
      </c>
      <c r="O7" s="11" t="str">
        <f aca="false">IF($B7="","",INDEX(MASTER_DATABASE!$AH$4:$AH$1000,$B7)&amp;"")</f>
        <v>Yes</v>
      </c>
      <c r="P7" s="11" t="str">
        <f aca="false">IF($B7="","",INDEX(MASTER_DATABASE!$BE$4:$BE$1000,$B7)&amp;"")</f>
        <v>LIVE</v>
      </c>
      <c r="Q7" s="7" t="str">
        <f aca="false">IF($B7="","",INDEX(MASTER_DATABASE!$AV$4:$AV$1000,$B7)&amp;"")</f>
        <v>To Verify</v>
      </c>
    </row>
    <row r="8" customFormat="false" ht="23.85" hidden="false" customHeight="false" outlineLevel="0" collapsed="false">
      <c r="A8" s="11" t="n">
        <v>5</v>
      </c>
      <c r="B8" s="11" t="n">
        <f aca="false">IFERROR(MATCH("Online Form &amp; Digital Services|"&amp;$A8,MASTER_DATABASE!$BH$4:$BH$1000,0),"")</f>
        <v>233</v>
      </c>
      <c r="C8" s="11" t="str">
        <f aca="false">IF($B8="","",INDEX(MASTER_DATABASE!$A$4:$A$1000,$B8)&amp;"")</f>
        <v>ONL-005</v>
      </c>
      <c r="D8" s="7" t="str">
        <f aca="false">IF($B8="","",INDEX(MASTER_DATABASE!$D$4:$D$1000,$B8)&amp;"")</f>
        <v>Government Job &amp; Recruitment Forms</v>
      </c>
      <c r="E8" s="7" t="str">
        <f aca="false">IF($B8="","",INDEX(MASTER_DATABASE!$E$4:$E$1000,$B8)&amp;"")</f>
        <v>Recruitment Form – Bank (IBPS / SBI etc.)</v>
      </c>
      <c r="F8" s="7" t="str">
        <f aca="false">IF($B8="","",INDEX(MASTER_DATABASE!$F$4:$F$1000,$B8)&amp;"")</f>
        <v>बैंक भर्ती फॉर्म (IBPS / SBI आदि)</v>
      </c>
      <c r="G8" s="11" t="str">
        <f aca="false">IF($B8="","",INDEX(MASTER_DATABASE!$I$4:$I$1000,$B8)&amp;"")</f>
        <v>Available</v>
      </c>
      <c r="H8" s="7" t="str">
        <f aca="false">IF($B8="","",INDEX(MASTER_DATABASE!$L$4:$L$1000,$B8)&amp;"")</f>
        <v>Not Applicable</v>
      </c>
      <c r="I8" s="9" t="str">
        <f aca="false">IF($B8="","",INDEX(MASTER_DATABASE!$R$4:$R$1000,$B8))</f>
        <v>To Verify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To Verify</v>
      </c>
      <c r="M8" s="7" t="str">
        <f aca="false">IF($B8="","",INDEX(MASTER_DATABASE!$Q$4:$Q$1000,$B8)&amp;"")</f>
        <v>Same Day</v>
      </c>
      <c r="N8" s="7" t="str">
        <f aca="false">IF($B8="","",INDEX(MASTER_DATABASE!$AG$4:$AG$1000,$B8)&amp;"")</f>
        <v>Active</v>
      </c>
      <c r="O8" s="11" t="str">
        <f aca="false">IF($B8="","",INDEX(MASTER_DATABASE!$AH$4:$AH$1000,$B8)&amp;"")</f>
        <v>Yes</v>
      </c>
      <c r="P8" s="11" t="str">
        <f aca="false">IF($B8="","",INDEX(MASTER_DATABASE!$BE$4:$BE$1000,$B8)&amp;"")</f>
        <v>LIVE</v>
      </c>
      <c r="Q8" s="7" t="str">
        <f aca="false">IF($B8="","",INDEX(MASTER_DATABASE!$AV$4:$AV$1000,$B8)&amp;"")</f>
        <v>To Verify</v>
      </c>
    </row>
    <row r="9" customFormat="false" ht="23.85" hidden="false" customHeight="false" outlineLevel="0" collapsed="false">
      <c r="A9" s="11" t="n">
        <v>6</v>
      </c>
      <c r="B9" s="11" t="n">
        <f aca="false">IFERROR(MATCH("Online Form &amp; Digital Services|"&amp;$A9,MASTER_DATABASE!$BH$4:$BH$1000,0),"")</f>
        <v>234</v>
      </c>
      <c r="C9" s="11" t="str">
        <f aca="false">IF($B9="","",INDEX(MASTER_DATABASE!$A$4:$A$1000,$B9)&amp;"")</f>
        <v>ONL-006</v>
      </c>
      <c r="D9" s="7" t="str">
        <f aca="false">IF($B9="","",INDEX(MASTER_DATABASE!$D$4:$D$1000,$B9)&amp;"")</f>
        <v>Government Job &amp; Recruitment Forms</v>
      </c>
      <c r="E9" s="7" t="str">
        <f aca="false">IF($B9="","",INDEX(MASTER_DATABASE!$E$4:$E$1000,$B9)&amp;"")</f>
        <v>Recruitment Form – Police / Defence</v>
      </c>
      <c r="F9" s="7" t="str">
        <f aca="false">IF($B9="","",INDEX(MASTER_DATABASE!$F$4:$F$1000,$B9)&amp;"")</f>
        <v>पुलिस / रक्षा भर्ती फॉर्म</v>
      </c>
      <c r="G9" s="11" t="str">
        <f aca="false">IF($B9="","",INDEX(MASTER_DATABASE!$I$4:$I$1000,$B9)&amp;"")</f>
        <v>Available</v>
      </c>
      <c r="H9" s="7" t="str">
        <f aca="false">IF($B9="","",INDEX(MASTER_DATABASE!$L$4:$L$1000,$B9)&amp;"")</f>
        <v>Not Applicable</v>
      </c>
      <c r="I9" s="9" t="str">
        <f aca="false">IF($B9="","",INDEX(MASTER_DATABASE!$R$4:$R$1000,$B9))</f>
        <v>To Verify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To Verify</v>
      </c>
      <c r="M9" s="7" t="str">
        <f aca="false">IF($B9="","",INDEX(MASTER_DATABASE!$Q$4:$Q$1000,$B9)&amp;"")</f>
        <v>Same Day</v>
      </c>
      <c r="N9" s="7" t="str">
        <f aca="false">IF($B9="","",INDEX(MASTER_DATABASE!$AG$4:$AG$1000,$B9)&amp;"")</f>
        <v>Active</v>
      </c>
      <c r="O9" s="11" t="str">
        <f aca="false">IF($B9="","",INDEX(MASTER_DATABASE!$AH$4:$AH$1000,$B9)&amp;"")</f>
        <v>Yes</v>
      </c>
      <c r="P9" s="11" t="str">
        <f aca="false">IF($B9="","",INDEX(MASTER_DATABASE!$BE$4:$BE$1000,$B9)&amp;"")</f>
        <v>LIVE</v>
      </c>
      <c r="Q9" s="7" t="str">
        <f aca="false">IF($B9="","",INDEX(MASTER_DATABASE!$AV$4:$AV$1000,$B9)&amp;"")</f>
        <v>To Verify</v>
      </c>
    </row>
    <row r="10" customFormat="false" ht="23.85" hidden="false" customHeight="false" outlineLevel="0" collapsed="false">
      <c r="A10" s="11" t="n">
        <v>7</v>
      </c>
      <c r="B10" s="11" t="n">
        <f aca="false">IFERROR(MATCH("Online Form &amp; Digital Services|"&amp;$A10,MASTER_DATABASE!$BH$4:$BH$1000,0),"")</f>
        <v>235</v>
      </c>
      <c r="C10" s="11" t="str">
        <f aca="false">IF($B10="","",INDEX(MASTER_DATABASE!$A$4:$A$1000,$B10)&amp;"")</f>
        <v>ONL-007</v>
      </c>
      <c r="D10" s="7" t="str">
        <f aca="false">IF($B10="","",INDEX(MASTER_DATABASE!$D$4:$D$1000,$B10)&amp;"")</f>
        <v>Government Job &amp; Recruitment Forms</v>
      </c>
      <c r="E10" s="7" t="str">
        <f aca="false">IF($B10="","",INDEX(MASTER_DATABASE!$E$4:$E$1000,$B10)&amp;"")</f>
        <v>Recruitment Form – Teacher (TET / TRE)</v>
      </c>
      <c r="F10" s="7" t="str">
        <f aca="false">IF($B10="","",INDEX(MASTER_DATABASE!$F$4:$F$1000,$B10)&amp;"")</f>
        <v>शिक्षक भर्ती फॉर्म (TET / TRE)</v>
      </c>
      <c r="G10" s="11" t="str">
        <f aca="false">IF($B10="","",INDEX(MASTER_DATABASE!$I$4:$I$1000,$B10)&amp;"")</f>
        <v>Available</v>
      </c>
      <c r="H10" s="7" t="str">
        <f aca="false">IF($B10="","",INDEX(MASTER_DATABASE!$L$4:$L$1000,$B10)&amp;"")</f>
        <v>Not Applicable</v>
      </c>
      <c r="I10" s="9" t="str">
        <f aca="false">IF($B10="","",INDEX(MASTER_DATABASE!$R$4:$R$1000,$B10))</f>
        <v>To Verify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To Verify</v>
      </c>
      <c r="M10" s="7" t="str">
        <f aca="false">IF($B10="","",INDEX(MASTER_DATABASE!$Q$4:$Q$1000,$B10)&amp;"")</f>
        <v>Same Day</v>
      </c>
      <c r="N10" s="7" t="str">
        <f aca="false">IF($B10="","",INDEX(MASTER_DATABASE!$AG$4:$AG$1000,$B10)&amp;"")</f>
        <v>Active</v>
      </c>
      <c r="O10" s="11" t="str">
        <f aca="false">IF($B10="","",INDEX(MASTER_DATABASE!$AH$4:$AH$1000,$B10)&amp;"")</f>
        <v>Yes</v>
      </c>
      <c r="P10" s="11" t="str">
        <f aca="false">IF($B10="","",INDEX(MASTER_DATABASE!$BE$4:$BE$1000,$B10)&amp;"")</f>
        <v>LIVE</v>
      </c>
      <c r="Q10" s="7" t="str">
        <f aca="false">IF($B10="","",INDEX(MASTER_DATABASE!$AV$4:$AV$1000,$B10)&amp;"")</f>
        <v>To Verify</v>
      </c>
    </row>
    <row r="11" customFormat="false" ht="23.85" hidden="false" customHeight="false" outlineLevel="0" collapsed="false">
      <c r="A11" s="11" t="n">
        <v>8</v>
      </c>
      <c r="B11" s="11" t="n">
        <f aca="false">IFERROR(MATCH("Online Form &amp; Digital Services|"&amp;$A11,MASTER_DATABASE!$BH$4:$BH$1000,0),"")</f>
        <v>236</v>
      </c>
      <c r="C11" s="11" t="str">
        <f aca="false">IF($B11="","",INDEX(MASTER_DATABASE!$A$4:$A$1000,$B11)&amp;"")</f>
        <v>ONL-008</v>
      </c>
      <c r="D11" s="7" t="str">
        <f aca="false">IF($B11="","",INDEX(MASTER_DATABASE!$D$4:$D$1000,$B11)&amp;"")</f>
        <v>Government Job &amp; Recruitment Forms</v>
      </c>
      <c r="E11" s="7" t="str">
        <f aca="false">IF($B11="","",INDEX(MASTER_DATABASE!$E$4:$E$1000,$B11)&amp;"")</f>
        <v>Competitive Exam Form (UPSC / State PSC etc.)</v>
      </c>
      <c r="F11" s="7" t="str">
        <f aca="false">IF($B11="","",INDEX(MASTER_DATABASE!$F$4:$F$1000,$B11)&amp;"")</f>
        <v>प्रतियोगी परीक्षा फॉर्म (UPSC / राज्य PSC आदि)</v>
      </c>
      <c r="G11" s="11" t="str">
        <f aca="false">IF($B11="","",INDEX(MASTER_DATABASE!$I$4:$I$1000,$B11)&amp;"")</f>
        <v>Available</v>
      </c>
      <c r="H11" s="7" t="str">
        <f aca="false">IF($B11="","",INDEX(MASTER_DATABASE!$L$4:$L$1000,$B11)&amp;"")</f>
        <v>Not Applicable</v>
      </c>
      <c r="I11" s="9" t="str">
        <f aca="false">IF($B11="","",INDEX(MASTER_DATABASE!$R$4:$R$1000,$B11))</f>
        <v>To Verify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To Verify</v>
      </c>
      <c r="M11" s="7" t="str">
        <f aca="false">IF($B11="","",INDEX(MASTER_DATABASE!$Q$4:$Q$1000,$B11)&amp;"")</f>
        <v>Same Day</v>
      </c>
      <c r="N11" s="7" t="str">
        <f aca="false">IF($B11="","",INDEX(MASTER_DATABASE!$AG$4:$AG$1000,$B11)&amp;"")</f>
        <v>Active</v>
      </c>
      <c r="O11" s="11" t="str">
        <f aca="false">IF($B11="","",INDEX(MASTER_DATABASE!$AH$4:$AH$1000,$B11)&amp;"")</f>
        <v>Yes</v>
      </c>
      <c r="P11" s="11" t="str">
        <f aca="false">IF($B11="","",INDEX(MASTER_DATABASE!$BE$4:$BE$1000,$B11)&amp;"")</f>
        <v>LIVE</v>
      </c>
      <c r="Q11" s="7" t="str">
        <f aca="false">IF($B11="","",INDEX(MASTER_DATABASE!$AV$4:$AV$1000,$B11)&amp;"")</f>
        <v>To Verify</v>
      </c>
    </row>
    <row r="12" customFormat="false" ht="23.85" hidden="false" customHeight="false" outlineLevel="0" collapsed="false">
      <c r="A12" s="11" t="n">
        <v>9</v>
      </c>
      <c r="B12" s="11" t="n">
        <f aca="false">IFERROR(MATCH("Online Form &amp; Digital Services|"&amp;$A12,MASTER_DATABASE!$BH$4:$BH$1000,0),"")</f>
        <v>237</v>
      </c>
      <c r="C12" s="11" t="str">
        <f aca="false">IF($B12="","",INDEX(MASTER_DATABASE!$A$4:$A$1000,$B12)&amp;"")</f>
        <v>ONL-009</v>
      </c>
      <c r="D12" s="7" t="str">
        <f aca="false">IF($B12="","",INDEX(MASTER_DATABASE!$D$4:$D$1000,$B12)&amp;"")</f>
        <v>Government Job &amp; Recruitment Forms</v>
      </c>
      <c r="E12" s="7" t="str">
        <f aca="false">IF($B12="","",INDEX(MASTER_DATABASE!$E$4:$E$1000,$B12)&amp;"")</f>
        <v>Entrance Exam Form (JEE / NEET / CUET etc.)</v>
      </c>
      <c r="F12" s="7" t="str">
        <f aca="false">IF($B12="","",INDEX(MASTER_DATABASE!$F$4:$F$1000,$B12)&amp;"")</f>
        <v>प्रवेश परीक्षा फॉर्म (JEE / NEET / CUET आदि)</v>
      </c>
      <c r="G12" s="11" t="str">
        <f aca="false">IF($B12="","",INDEX(MASTER_DATABASE!$I$4:$I$1000,$B12)&amp;"")</f>
        <v>Available</v>
      </c>
      <c r="H12" s="7" t="str">
        <f aca="false">IF($B12="","",INDEX(MASTER_DATABASE!$L$4:$L$1000,$B12)&amp;"")</f>
        <v>Not Applicable</v>
      </c>
      <c r="I12" s="9" t="str">
        <f aca="false">IF($B12="","",INDEX(MASTER_DATABASE!$R$4:$R$1000,$B12))</f>
        <v>To Verify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To Verify</v>
      </c>
      <c r="M12" s="7" t="str">
        <f aca="false">IF($B12="","",INDEX(MASTER_DATABASE!$Q$4:$Q$1000,$B12)&amp;"")</f>
        <v>Same Day</v>
      </c>
      <c r="N12" s="7" t="str">
        <f aca="false">IF($B12="","",INDEX(MASTER_DATABASE!$AG$4:$AG$1000,$B12)&amp;"")</f>
        <v>Active</v>
      </c>
      <c r="O12" s="11" t="str">
        <f aca="false">IF($B12="","",INDEX(MASTER_DATABASE!$AH$4:$AH$1000,$B12)&amp;"")</f>
        <v>Yes</v>
      </c>
      <c r="P12" s="11" t="str">
        <f aca="false">IF($B12="","",INDEX(MASTER_DATABASE!$BE$4:$BE$1000,$B12)&amp;"")</f>
        <v>LIVE</v>
      </c>
      <c r="Q12" s="7" t="str">
        <f aca="false">IF($B12="","",INDEX(MASTER_DATABASE!$AV$4:$AV$1000,$B12)&amp;"")</f>
        <v>To Verify</v>
      </c>
    </row>
    <row r="13" customFormat="false" ht="15" hidden="false" customHeight="false" outlineLevel="0" collapsed="false">
      <c r="A13" s="11" t="n">
        <v>10</v>
      </c>
      <c r="B13" s="11" t="n">
        <f aca="false">IFERROR(MATCH("Online Form &amp; Digital Services|"&amp;$A13,MASTER_DATABASE!$BH$4:$BH$1000,0),"")</f>
        <v>238</v>
      </c>
      <c r="C13" s="11" t="str">
        <f aca="false">IF($B13="","",INDEX(MASTER_DATABASE!$A$4:$A$1000,$B13)&amp;"")</f>
        <v>ONL-010</v>
      </c>
      <c r="D13" s="7" t="str">
        <f aca="false">IF($B13="","",INDEX(MASTER_DATABASE!$D$4:$D$1000,$B13)&amp;"")</f>
        <v>Education Services</v>
      </c>
      <c r="E13" s="7" t="str">
        <f aca="false">IF($B13="","",INDEX(MASTER_DATABASE!$E$4:$E$1000,$B13)&amp;"")</f>
        <v>School Admission Form</v>
      </c>
      <c r="F13" s="7" t="str">
        <f aca="false">IF($B13="","",INDEX(MASTER_DATABASE!$F$4:$F$1000,$B13)&amp;"")</f>
        <v>स्कूल दाखिला फॉर्म</v>
      </c>
      <c r="G13" s="11" t="str">
        <f aca="false">IF($B13="","",INDEX(MASTER_DATABASE!$I$4:$I$1000,$B13)&amp;"")</f>
        <v>Available</v>
      </c>
      <c r="H13" s="7" t="str">
        <f aca="false">IF($B13="","",INDEX(MASTER_DATABASE!$L$4:$L$1000,$B13)&amp;"")</f>
        <v>Not Applicable</v>
      </c>
      <c r="I13" s="9" t="str">
        <f aca="false">IF($B13="","",INDEX(MASTER_DATABASE!$R$4:$R$1000,$B13))</f>
        <v>To Verify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To Verify</v>
      </c>
      <c r="M13" s="7" t="str">
        <f aca="false">IF($B13="","",INDEX(MASTER_DATABASE!$Q$4:$Q$1000,$B13)&amp;"")</f>
        <v>Same Day</v>
      </c>
      <c r="N13" s="7" t="str">
        <f aca="false">IF($B13="","",INDEX(MASTER_DATABASE!$AG$4:$AG$1000,$B13)&amp;"")</f>
        <v>Active</v>
      </c>
      <c r="O13" s="11" t="str">
        <f aca="false">IF($B13="","",INDEX(MASTER_DATABASE!$AH$4:$AH$1000,$B13)&amp;"")</f>
        <v>Yes</v>
      </c>
      <c r="P13" s="11" t="str">
        <f aca="false">IF($B13="","",INDEX(MASTER_DATABASE!$BE$4:$BE$1000,$B13)&amp;"")</f>
        <v>LIVE</v>
      </c>
      <c r="Q13" s="7" t="str">
        <f aca="false">IF($B13="","",INDEX(MASTER_DATABASE!$AV$4:$AV$1000,$B13)&amp;"")</f>
        <v>To Verify</v>
      </c>
    </row>
    <row r="14" customFormat="false" ht="15" hidden="false" customHeight="false" outlineLevel="0" collapsed="false">
      <c r="A14" s="11" t="n">
        <v>11</v>
      </c>
      <c r="B14" s="11" t="n">
        <f aca="false">IFERROR(MATCH("Online Form &amp; Digital Services|"&amp;$A14,MASTER_DATABASE!$BH$4:$BH$1000,0),"")</f>
        <v>239</v>
      </c>
      <c r="C14" s="11" t="str">
        <f aca="false">IF($B14="","",INDEX(MASTER_DATABASE!$A$4:$A$1000,$B14)&amp;"")</f>
        <v>ONL-011</v>
      </c>
      <c r="D14" s="7" t="str">
        <f aca="false">IF($B14="","",INDEX(MASTER_DATABASE!$D$4:$D$1000,$B14)&amp;"")</f>
        <v>Education Services</v>
      </c>
      <c r="E14" s="7" t="str">
        <f aca="false">IF($B14="","",INDEX(MASTER_DATABASE!$E$4:$E$1000,$B14)&amp;"")</f>
        <v>College Admission Form</v>
      </c>
      <c r="F14" s="7" t="str">
        <f aca="false">IF($B14="","",INDEX(MASTER_DATABASE!$F$4:$F$1000,$B14)&amp;"")</f>
        <v>कॉलेज दाखिला फॉर्म</v>
      </c>
      <c r="G14" s="11" t="str">
        <f aca="false">IF($B14="","",INDEX(MASTER_DATABASE!$I$4:$I$1000,$B14)&amp;"")</f>
        <v>Available</v>
      </c>
      <c r="H14" s="7" t="str">
        <f aca="false">IF($B14="","",INDEX(MASTER_DATABASE!$L$4:$L$1000,$B14)&amp;"")</f>
        <v>Not Applicable</v>
      </c>
      <c r="I14" s="9" t="str">
        <f aca="false">IF($B14="","",INDEX(MASTER_DATABASE!$R$4:$R$1000,$B14))</f>
        <v>To Verify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To Verify</v>
      </c>
      <c r="M14" s="7" t="str">
        <f aca="false">IF($B14="","",INDEX(MASTER_DATABASE!$Q$4:$Q$1000,$B14)&amp;"")</f>
        <v>Same Day</v>
      </c>
      <c r="N14" s="7" t="str">
        <f aca="false">IF($B14="","",INDEX(MASTER_DATABASE!$AG$4:$AG$1000,$B14)&amp;"")</f>
        <v>Active</v>
      </c>
      <c r="O14" s="11" t="str">
        <f aca="false">IF($B14="","",INDEX(MASTER_DATABASE!$AH$4:$AH$1000,$B14)&amp;"")</f>
        <v>Yes</v>
      </c>
      <c r="P14" s="11" t="str">
        <f aca="false">IF($B14="","",INDEX(MASTER_DATABASE!$BE$4:$BE$1000,$B14)&amp;"")</f>
        <v>LIVE</v>
      </c>
      <c r="Q14" s="7" t="str">
        <f aca="false">IF($B14="","",INDEX(MASTER_DATABASE!$AV$4:$AV$1000,$B14)&amp;"")</f>
        <v>To Verify</v>
      </c>
    </row>
    <row r="15" customFormat="false" ht="15" hidden="false" customHeight="false" outlineLevel="0" collapsed="false">
      <c r="A15" s="11" t="n">
        <v>12</v>
      </c>
      <c r="B15" s="11" t="n">
        <f aca="false">IFERROR(MATCH("Online Form &amp; Digital Services|"&amp;$A15,MASTER_DATABASE!$BH$4:$BH$1000,0),"")</f>
        <v>240</v>
      </c>
      <c r="C15" s="11" t="str">
        <f aca="false">IF($B15="","",INDEX(MASTER_DATABASE!$A$4:$A$1000,$B15)&amp;"")</f>
        <v>ONL-012</v>
      </c>
      <c r="D15" s="7" t="str">
        <f aca="false">IF($B15="","",INDEX(MASTER_DATABASE!$D$4:$D$1000,$B15)&amp;"")</f>
        <v>Education Services</v>
      </c>
      <c r="E15" s="7" t="str">
        <f aca="false">IF($B15="","",INDEX(MASTER_DATABASE!$E$4:$E$1000,$B15)&amp;"")</f>
        <v>University Admission Form</v>
      </c>
      <c r="F15" s="7" t="str">
        <f aca="false">IF($B15="","",INDEX(MASTER_DATABASE!$F$4:$F$1000,$B15)&amp;"")</f>
        <v>विश्वविद्यालय दाखिला फॉर्म</v>
      </c>
      <c r="G15" s="11" t="str">
        <f aca="false">IF($B15="","",INDEX(MASTER_DATABASE!$I$4:$I$1000,$B15)&amp;"")</f>
        <v>Available</v>
      </c>
      <c r="H15" s="7" t="str">
        <f aca="false">IF($B15="","",INDEX(MASTER_DATABASE!$L$4:$L$1000,$B15)&amp;"")</f>
        <v>Not Applicable</v>
      </c>
      <c r="I15" s="9" t="str">
        <f aca="false">IF($B15="","",INDEX(MASTER_DATABASE!$R$4:$R$1000,$B15))</f>
        <v>To Verify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To Verify</v>
      </c>
      <c r="M15" s="7" t="str">
        <f aca="false">IF($B15="","",INDEX(MASTER_DATABASE!$Q$4:$Q$1000,$B15)&amp;"")</f>
        <v>Same Day</v>
      </c>
      <c r="N15" s="7" t="str">
        <f aca="false">IF($B15="","",INDEX(MASTER_DATABASE!$AG$4:$AG$1000,$B15)&amp;"")</f>
        <v>Active</v>
      </c>
      <c r="O15" s="11" t="str">
        <f aca="false">IF($B15="","",INDEX(MASTER_DATABASE!$AH$4:$AH$1000,$B15)&amp;"")</f>
        <v>Yes</v>
      </c>
      <c r="P15" s="11" t="str">
        <f aca="false">IF($B15="","",INDEX(MASTER_DATABASE!$BE$4:$BE$1000,$B15)&amp;"")</f>
        <v>LIVE</v>
      </c>
      <c r="Q15" s="7" t="str">
        <f aca="false">IF($B15="","",INDEX(MASTER_DATABASE!$AV$4:$AV$1000,$B15)&amp;"")</f>
        <v>To Verify</v>
      </c>
    </row>
    <row r="16" customFormat="false" ht="15" hidden="false" customHeight="false" outlineLevel="0" collapsed="false">
      <c r="A16" s="11" t="n">
        <v>13</v>
      </c>
      <c r="B16" s="11" t="n">
        <f aca="false">IFERROR(MATCH("Online Form &amp; Digital Services|"&amp;$A16,MASTER_DATABASE!$BH$4:$BH$1000,0),"")</f>
        <v>241</v>
      </c>
      <c r="C16" s="11" t="str">
        <f aca="false">IF($B16="","",INDEX(MASTER_DATABASE!$A$4:$A$1000,$B16)&amp;"")</f>
        <v>ONL-013</v>
      </c>
      <c r="D16" s="7" t="str">
        <f aca="false">IF($B16="","",INDEX(MASTER_DATABASE!$D$4:$D$1000,$B16)&amp;"")</f>
        <v>Education Services</v>
      </c>
      <c r="E16" s="7" t="str">
        <f aca="false">IF($B16="","",INDEX(MASTER_DATABASE!$E$4:$E$1000,$B16)&amp;"")</f>
        <v>ITI Admission Form</v>
      </c>
      <c r="F16" s="7" t="str">
        <f aca="false">IF($B16="","",INDEX(MASTER_DATABASE!$F$4:$F$1000,$B16)&amp;"")</f>
        <v>ITI दाखिला फॉर्म</v>
      </c>
      <c r="G16" s="11" t="str">
        <f aca="false">IF($B16="","",INDEX(MASTER_DATABASE!$I$4:$I$1000,$B16)&amp;"")</f>
        <v>Available</v>
      </c>
      <c r="H16" s="7" t="str">
        <f aca="false">IF($B16="","",INDEX(MASTER_DATABASE!$L$4:$L$1000,$B16)&amp;"")</f>
        <v>Not Applicable</v>
      </c>
      <c r="I16" s="9" t="str">
        <f aca="false">IF($B16="","",INDEX(MASTER_DATABASE!$R$4:$R$1000,$B16))</f>
        <v>To Verify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To Verify</v>
      </c>
      <c r="M16" s="7" t="str">
        <f aca="false">IF($B16="","",INDEX(MASTER_DATABASE!$Q$4:$Q$1000,$B16)&amp;"")</f>
        <v>Same Day</v>
      </c>
      <c r="N16" s="7" t="str">
        <f aca="false">IF($B16="","",INDEX(MASTER_DATABASE!$AG$4:$AG$1000,$B16)&amp;"")</f>
        <v>Active</v>
      </c>
      <c r="O16" s="11" t="str">
        <f aca="false">IF($B16="","",INDEX(MASTER_DATABASE!$AH$4:$AH$1000,$B16)&amp;"")</f>
        <v>Yes</v>
      </c>
      <c r="P16" s="11" t="str">
        <f aca="false">IF($B16="","",INDEX(MASTER_DATABASE!$BE$4:$BE$1000,$B16)&amp;"")</f>
        <v>LIVE</v>
      </c>
      <c r="Q16" s="7" t="str">
        <f aca="false">IF($B16="","",INDEX(MASTER_DATABASE!$AV$4:$AV$1000,$B16)&amp;"")</f>
        <v>To Verify</v>
      </c>
    </row>
    <row r="17" customFormat="false" ht="15" hidden="false" customHeight="false" outlineLevel="0" collapsed="false">
      <c r="A17" s="11" t="n">
        <v>14</v>
      </c>
      <c r="B17" s="11" t="n">
        <f aca="false">IFERROR(MATCH("Online Form &amp; Digital Services|"&amp;$A17,MASTER_DATABASE!$BH$4:$BH$1000,0),"")</f>
        <v>242</v>
      </c>
      <c r="C17" s="11" t="str">
        <f aca="false">IF($B17="","",INDEX(MASTER_DATABASE!$A$4:$A$1000,$B17)&amp;"")</f>
        <v>ONL-014</v>
      </c>
      <c r="D17" s="7" t="str">
        <f aca="false">IF($B17="","",INDEX(MASTER_DATABASE!$D$4:$D$1000,$B17)&amp;"")</f>
        <v>Education Services</v>
      </c>
      <c r="E17" s="7" t="str">
        <f aca="false">IF($B17="","",INDEX(MASTER_DATABASE!$E$4:$E$1000,$B17)&amp;"")</f>
        <v>Polytechnic Admission Form</v>
      </c>
      <c r="F17" s="7" t="str">
        <f aca="false">IF($B17="","",INDEX(MASTER_DATABASE!$F$4:$F$1000,$B17)&amp;"")</f>
        <v>पॉलिटेक्निक दाखिला फॉर्म</v>
      </c>
      <c r="G17" s="11" t="str">
        <f aca="false">IF($B17="","",INDEX(MASTER_DATABASE!$I$4:$I$1000,$B17)&amp;"")</f>
        <v>Available</v>
      </c>
      <c r="H17" s="7" t="str">
        <f aca="false">IF($B17="","",INDEX(MASTER_DATABASE!$L$4:$L$1000,$B17)&amp;"")</f>
        <v>Not Applicable</v>
      </c>
      <c r="I17" s="9" t="str">
        <f aca="false">IF($B17="","",INDEX(MASTER_DATABASE!$R$4:$R$1000,$B17))</f>
        <v>To Verify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To Verify</v>
      </c>
      <c r="M17" s="7" t="str">
        <f aca="false">IF($B17="","",INDEX(MASTER_DATABASE!$Q$4:$Q$1000,$B17)&amp;"")</f>
        <v>Same Day</v>
      </c>
      <c r="N17" s="7" t="str">
        <f aca="false">IF($B17="","",INDEX(MASTER_DATABASE!$AG$4:$AG$1000,$B17)&amp;"")</f>
        <v>Active</v>
      </c>
      <c r="O17" s="11" t="str">
        <f aca="false">IF($B17="","",INDEX(MASTER_DATABASE!$AH$4:$AH$1000,$B17)&amp;"")</f>
        <v>Yes</v>
      </c>
      <c r="P17" s="11" t="str">
        <f aca="false">IF($B17="","",INDEX(MASTER_DATABASE!$BE$4:$BE$1000,$B17)&amp;"")</f>
        <v>LIVE</v>
      </c>
      <c r="Q17" s="7" t="str">
        <f aca="false">IF($B17="","",INDEX(MASTER_DATABASE!$AV$4:$AV$1000,$B17)&amp;"")</f>
        <v>To Verify</v>
      </c>
    </row>
    <row r="18" customFormat="false" ht="15" hidden="false" customHeight="false" outlineLevel="0" collapsed="false">
      <c r="A18" s="11" t="n">
        <v>15</v>
      </c>
      <c r="B18" s="11" t="n">
        <f aca="false">IFERROR(MATCH("Online Form &amp; Digital Services|"&amp;$A18,MASTER_DATABASE!$BH$4:$BH$1000,0),"")</f>
        <v>243</v>
      </c>
      <c r="C18" s="11" t="str">
        <f aca="false">IF($B18="","",INDEX(MASTER_DATABASE!$A$4:$A$1000,$B18)&amp;"")</f>
        <v>ONL-015</v>
      </c>
      <c r="D18" s="7" t="str">
        <f aca="false">IF($B18="","",INDEX(MASTER_DATABASE!$D$4:$D$1000,$B18)&amp;"")</f>
        <v>Education Services</v>
      </c>
      <c r="E18" s="7" t="str">
        <f aca="false">IF($B18="","",INDEX(MASTER_DATABASE!$E$4:$E$1000,$B18)&amp;"")</f>
        <v>Scholarship Application</v>
      </c>
      <c r="F18" s="7" t="str">
        <f aca="false">IF($B18="","",INDEX(MASTER_DATABASE!$F$4:$F$1000,$B18)&amp;"")</f>
        <v>छात्रवृत्ति आवेदन</v>
      </c>
      <c r="G18" s="11" t="str">
        <f aca="false">IF($B18="","",INDEX(MASTER_DATABASE!$I$4:$I$1000,$B18)&amp;"")</f>
        <v>Available</v>
      </c>
      <c r="H18" s="7" t="str">
        <f aca="false">IF($B18="","",INDEX(MASTER_DATABASE!$L$4:$L$1000,$B18)&amp;"")</f>
        <v>Not Applicable</v>
      </c>
      <c r="I18" s="9" t="str">
        <f aca="false">IF($B18="","",INDEX(MASTER_DATABASE!$R$4:$R$1000,$B18))</f>
        <v>To Verify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To Verify</v>
      </c>
      <c r="M18" s="7" t="str">
        <f aca="false">IF($B18="","",INDEX(MASTER_DATABASE!$Q$4:$Q$1000,$B18)&amp;"")</f>
        <v>Same Day</v>
      </c>
      <c r="N18" s="7" t="str">
        <f aca="false">IF($B18="","",INDEX(MASTER_DATABASE!$AG$4:$AG$1000,$B18)&amp;"")</f>
        <v>Active</v>
      </c>
      <c r="O18" s="11" t="str">
        <f aca="false">IF($B18="","",INDEX(MASTER_DATABASE!$AH$4:$AH$1000,$B18)&amp;"")</f>
        <v>Yes</v>
      </c>
      <c r="P18" s="11" t="str">
        <f aca="false">IF($B18="","",INDEX(MASTER_DATABASE!$BE$4:$BE$1000,$B18)&amp;"")</f>
        <v>LIVE</v>
      </c>
      <c r="Q18" s="7" t="str">
        <f aca="false">IF($B18="","",INDEX(MASTER_DATABASE!$AV$4:$AV$1000,$B18)&amp;"")</f>
        <v>To Verify</v>
      </c>
    </row>
    <row r="19" customFormat="false" ht="23.85" hidden="false" customHeight="false" outlineLevel="0" collapsed="false">
      <c r="A19" s="11" t="n">
        <v>16</v>
      </c>
      <c r="B19" s="11" t="n">
        <f aca="false">IFERROR(MATCH("Online Form &amp; Digital Services|"&amp;$A19,MASTER_DATABASE!$BH$4:$BH$1000,0),"")</f>
        <v>244</v>
      </c>
      <c r="C19" s="11" t="str">
        <f aca="false">IF($B19="","",INDEX(MASTER_DATABASE!$A$4:$A$1000,$B19)&amp;"")</f>
        <v>ONL-016</v>
      </c>
      <c r="D19" s="7" t="str">
        <f aca="false">IF($B19="","",INDEX(MASTER_DATABASE!$D$4:$D$1000,$B19)&amp;"")</f>
        <v>Education Services</v>
      </c>
      <c r="E19" s="7" t="str">
        <f aca="false">IF($B19="","",INDEX(MASTER_DATABASE!$E$4:$E$1000,$B19)&amp;"")</f>
        <v>Student Credit Card / Education Loan Scheme Application</v>
      </c>
      <c r="F19" s="7" t="str">
        <f aca="false">IF($B19="","",INDEX(MASTER_DATABASE!$F$4:$F$1000,$B19)&amp;"")</f>
        <v>स्टूडेंट क्रेडिट कार्ड / शिक्षा ऋण योजना आवेदन</v>
      </c>
      <c r="G19" s="11" t="str">
        <f aca="false">IF($B19="","",INDEX(MASTER_DATABASE!$I$4:$I$1000,$B19)&amp;"")</f>
        <v>To Verify</v>
      </c>
      <c r="H19" s="7" t="str">
        <f aca="false">IF($B19="","",INDEX(MASTER_DATABASE!$L$4:$L$1000,$B19)&amp;"")</f>
        <v>To Verify</v>
      </c>
      <c r="I19" s="9" t="str">
        <f aca="false">IF($B19="","",INDEX(MASTER_DATABASE!$R$4:$R$1000,$B19))</f>
        <v>To Verify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To Verify</v>
      </c>
      <c r="M19" s="7" t="str">
        <f aca="false">IF($B19="","",INDEX(MASTER_DATABASE!$Q$4:$Q$1000,$B19)&amp;"")</f>
        <v>Same Day</v>
      </c>
      <c r="N19" s="7" t="str">
        <f aca="false">IF($B19="","",INDEX(MASTER_DATABASE!$AG$4:$AG$1000,$B19)&amp;"")</f>
        <v>To Verify</v>
      </c>
      <c r="O19" s="11" t="str">
        <f aca="false">IF($B19="","",INDEX(MASTER_DATABASE!$AH$4:$AH$1000,$B19)&amp;"")</f>
        <v>No</v>
      </c>
      <c r="P19" s="11" t="str">
        <f aca="false">IF($B19="","",INDEX(MASTER_DATABASE!$BE$4:$BE$1000,$B19)&amp;"")</f>
        <v>HIDDEN</v>
      </c>
      <c r="Q19" s="7" t="str">
        <f aca="false">IF($B19="","",INDEX(MASTER_DATABASE!$AV$4:$AV$1000,$B19)&amp;"")</f>
        <v>To Verify</v>
      </c>
    </row>
    <row r="20" customFormat="false" ht="15" hidden="false" customHeight="false" outlineLevel="0" collapsed="false">
      <c r="A20" s="11" t="n">
        <v>17</v>
      </c>
      <c r="B20" s="11" t="n">
        <f aca="false">IFERROR(MATCH("Online Form &amp; Digital Services|"&amp;$A20,MASTER_DATABASE!$BH$4:$BH$1000,0),"")</f>
        <v>245</v>
      </c>
      <c r="C20" s="11" t="str">
        <f aca="false">IF($B20="","",INDEX(MASTER_DATABASE!$A$4:$A$1000,$B20)&amp;"")</f>
        <v>ONL-017</v>
      </c>
      <c r="D20" s="7" t="str">
        <f aca="false">IF($B20="","",INDEX(MASTER_DATABASE!$D$4:$D$1000,$B20)&amp;"")</f>
        <v>Education Services</v>
      </c>
      <c r="E20" s="7" t="str">
        <f aca="false">IF($B20="","",INDEX(MASTER_DATABASE!$E$4:$E$1000,$B20)&amp;"")</f>
        <v>Exam Registration</v>
      </c>
      <c r="F20" s="7" t="str">
        <f aca="false">IF($B20="","",INDEX(MASTER_DATABASE!$F$4:$F$1000,$B20)&amp;"")</f>
        <v>परीक्षा पंजीकरण</v>
      </c>
      <c r="G20" s="11" t="str">
        <f aca="false">IF($B20="","",INDEX(MASTER_DATABASE!$I$4:$I$1000,$B20)&amp;"")</f>
        <v>Available</v>
      </c>
      <c r="H20" s="7" t="str">
        <f aca="false">IF($B20="","",INDEX(MASTER_DATABASE!$L$4:$L$1000,$B20)&amp;"")</f>
        <v>Not Applicable</v>
      </c>
      <c r="I20" s="9" t="str">
        <f aca="false">IF($B20="","",INDEX(MASTER_DATABASE!$R$4:$R$1000,$B20))</f>
        <v>To Verify</v>
      </c>
      <c r="J20" s="9" t="str">
        <f aca="false">IF($B20="","",INDEX(MASTER_DATABASE!$S$4:$S$1000,$B20))</f>
        <v>To Verify</v>
      </c>
      <c r="K20" s="9" t="str">
        <f aca="false">IF($B20="","",INDEX(MASTER_DATABASE!$T$4:$T$1000,$B20))</f>
        <v>To Verify</v>
      </c>
      <c r="L20" s="7" t="str">
        <f aca="false">IF($B20="","",INDEX(MASTER_DATABASE!$U$4:$U$1000,$B20)&amp;"")</f>
        <v>To Verify</v>
      </c>
      <c r="M20" s="7" t="str">
        <f aca="false">IF($B20="","",INDEX(MASTER_DATABASE!$Q$4:$Q$1000,$B20)&amp;"")</f>
        <v>Same Day</v>
      </c>
      <c r="N20" s="7" t="str">
        <f aca="false">IF($B20="","",INDEX(MASTER_DATABASE!$AG$4:$AG$1000,$B20)&amp;"")</f>
        <v>Active</v>
      </c>
      <c r="O20" s="11" t="str">
        <f aca="false">IF($B20="","",INDEX(MASTER_DATABASE!$AH$4:$AH$1000,$B20)&amp;"")</f>
        <v>Yes</v>
      </c>
      <c r="P20" s="11" t="str">
        <f aca="false">IF($B20="","",INDEX(MASTER_DATABASE!$BE$4:$BE$1000,$B20)&amp;"")</f>
        <v>LIVE</v>
      </c>
      <c r="Q20" s="7" t="str">
        <f aca="false">IF($B20="","",INDEX(MASTER_DATABASE!$AV$4:$AV$1000,$B20)&amp;"")</f>
        <v>To Verify</v>
      </c>
    </row>
    <row r="21" customFormat="false" ht="15" hidden="false" customHeight="false" outlineLevel="0" collapsed="false">
      <c r="A21" s="11" t="n">
        <v>18</v>
      </c>
      <c r="B21" s="11" t="n">
        <f aca="false">IFERROR(MATCH("Online Form &amp; Digital Services|"&amp;$A21,MASTER_DATABASE!$BH$4:$BH$1000,0),"")</f>
        <v>246</v>
      </c>
      <c r="C21" s="11" t="str">
        <f aca="false">IF($B21="","",INDEX(MASTER_DATABASE!$A$4:$A$1000,$B21)&amp;"")</f>
        <v>ONL-018</v>
      </c>
      <c r="D21" s="7" t="str">
        <f aca="false">IF($B21="","",INDEX(MASTER_DATABASE!$D$4:$D$1000,$B21)&amp;"")</f>
        <v>Education Services</v>
      </c>
      <c r="E21" s="7" t="str">
        <f aca="false">IF($B21="","",INDEX(MASTER_DATABASE!$E$4:$E$1000,$B21)&amp;"")</f>
        <v>Admit Card Download</v>
      </c>
      <c r="F21" s="7" t="str">
        <f aca="false">IF($B21="","",INDEX(MASTER_DATABASE!$F$4:$F$1000,$B21)&amp;"")</f>
        <v>एडमिट कार्ड डाउनलोड</v>
      </c>
      <c r="G21" s="11" t="str">
        <f aca="false">IF($B21="","",INDEX(MASTER_DATABASE!$I$4:$I$1000,$B21)&amp;"")</f>
        <v>Available</v>
      </c>
      <c r="H21" s="7" t="str">
        <f aca="false">IF($B21="","",INDEX(MASTER_DATABASE!$L$4:$L$1000,$B21)&amp;"")</f>
        <v>Not Applicable</v>
      </c>
      <c r="I21" s="9" t="str">
        <f aca="false">IF($B21="","",INDEX(MASTER_DATABASE!$R$4:$R$1000,$B21))</f>
        <v>To Verify</v>
      </c>
      <c r="J21" s="9" t="str">
        <f aca="false">IF($B21="","",INDEX(MASTER_DATABASE!$S$4:$S$1000,$B21))</f>
        <v>To Verify</v>
      </c>
      <c r="K21" s="9" t="str">
        <f aca="false">IF($B21="","",INDEX(MASTER_DATABASE!$T$4:$T$1000,$B21))</f>
        <v>To Verify</v>
      </c>
      <c r="L21" s="7" t="str">
        <f aca="false">IF($B21="","",INDEX(MASTER_DATABASE!$U$4:$U$1000,$B21)&amp;"")</f>
        <v>To Verify</v>
      </c>
      <c r="M21" s="7" t="str">
        <f aca="false">IF($B21="","",INDEX(MASTER_DATABASE!$Q$4:$Q$1000,$B21)&amp;"")</f>
        <v>Same Day</v>
      </c>
      <c r="N21" s="7" t="str">
        <f aca="false">IF($B21="","",INDEX(MASTER_DATABASE!$AG$4:$AG$1000,$B21)&amp;"")</f>
        <v>Active</v>
      </c>
      <c r="O21" s="11" t="str">
        <f aca="false">IF($B21="","",INDEX(MASTER_DATABASE!$AH$4:$AH$1000,$B21)&amp;"")</f>
        <v>Yes</v>
      </c>
      <c r="P21" s="11" t="str">
        <f aca="false">IF($B21="","",INDEX(MASTER_DATABASE!$BE$4:$BE$1000,$B21)&amp;"")</f>
        <v>LIVE</v>
      </c>
      <c r="Q21" s="7" t="str">
        <f aca="false">IF($B21="","",INDEX(MASTER_DATABASE!$AV$4:$AV$1000,$B21)&amp;"")</f>
        <v>To Verify</v>
      </c>
    </row>
    <row r="22" customFormat="false" ht="15" hidden="false" customHeight="false" outlineLevel="0" collapsed="false">
      <c r="A22" s="11" t="n">
        <v>19</v>
      </c>
      <c r="B22" s="11" t="n">
        <f aca="false">IFERROR(MATCH("Online Form &amp; Digital Services|"&amp;$A22,MASTER_DATABASE!$BH$4:$BH$1000,0),"")</f>
        <v>247</v>
      </c>
      <c r="C22" s="11" t="str">
        <f aca="false">IF($B22="","",INDEX(MASTER_DATABASE!$A$4:$A$1000,$B22)&amp;"")</f>
        <v>ONL-019</v>
      </c>
      <c r="D22" s="7" t="str">
        <f aca="false">IF($B22="","",INDEX(MASTER_DATABASE!$D$4:$D$1000,$B22)&amp;"")</f>
        <v>Education Services</v>
      </c>
      <c r="E22" s="7" t="str">
        <f aca="false">IF($B22="","",INDEX(MASTER_DATABASE!$E$4:$E$1000,$B22)&amp;"")</f>
        <v>Result Check / Download</v>
      </c>
      <c r="F22" s="7" t="str">
        <f aca="false">IF($B22="","",INDEX(MASTER_DATABASE!$F$4:$F$1000,$B22)&amp;"")</f>
        <v>रिज़ल्ट जाँच / डाउनलोड</v>
      </c>
      <c r="G22" s="11" t="str">
        <f aca="false">IF($B22="","",INDEX(MASTER_DATABASE!$I$4:$I$1000,$B22)&amp;"")</f>
        <v>Available</v>
      </c>
      <c r="H22" s="7" t="str">
        <f aca="false">IF($B22="","",INDEX(MASTER_DATABASE!$L$4:$L$1000,$B22)&amp;"")</f>
        <v>Not Applicable</v>
      </c>
      <c r="I22" s="9" t="str">
        <f aca="false">IF($B22="","",INDEX(MASTER_DATABASE!$R$4:$R$1000,$B22))</f>
        <v>To Verify</v>
      </c>
      <c r="J22" s="9" t="str">
        <f aca="false">IF($B22="","",INDEX(MASTER_DATABASE!$S$4:$S$1000,$B22))</f>
        <v>To Verify</v>
      </c>
      <c r="K22" s="9" t="str">
        <f aca="false">IF($B22="","",INDEX(MASTER_DATABASE!$T$4:$T$1000,$B22))</f>
        <v>To Verify</v>
      </c>
      <c r="L22" s="7" t="str">
        <f aca="false">IF($B22="","",INDEX(MASTER_DATABASE!$U$4:$U$1000,$B22)&amp;"")</f>
        <v>To Verify</v>
      </c>
      <c r="M22" s="7" t="str">
        <f aca="false">IF($B22="","",INDEX(MASTER_DATABASE!$Q$4:$Q$1000,$B22)&amp;"")</f>
        <v>Same Day</v>
      </c>
      <c r="N22" s="7" t="str">
        <f aca="false">IF($B22="","",INDEX(MASTER_DATABASE!$AG$4:$AG$1000,$B22)&amp;"")</f>
        <v>Active</v>
      </c>
      <c r="O22" s="11" t="str">
        <f aca="false">IF($B22="","",INDEX(MASTER_DATABASE!$AH$4:$AH$1000,$B22)&amp;"")</f>
        <v>Yes</v>
      </c>
      <c r="P22" s="11" t="str">
        <f aca="false">IF($B22="","",INDEX(MASTER_DATABASE!$BE$4:$BE$1000,$B22)&amp;"")</f>
        <v>LIVE</v>
      </c>
      <c r="Q22" s="7" t="str">
        <f aca="false">IF($B22="","",INDEX(MASTER_DATABASE!$AV$4:$AV$1000,$B22)&amp;"")</f>
        <v>To Verify</v>
      </c>
    </row>
    <row r="23" customFormat="false" ht="15" hidden="false" customHeight="false" outlineLevel="0" collapsed="false">
      <c r="A23" s="11" t="n">
        <v>20</v>
      </c>
      <c r="B23" s="11" t="n">
        <f aca="false">IFERROR(MATCH("Online Form &amp; Digital Services|"&amp;$A23,MASTER_DATABASE!$BH$4:$BH$1000,0),"")</f>
        <v>248</v>
      </c>
      <c r="C23" s="11" t="str">
        <f aca="false">IF($B23="","",INDEX(MASTER_DATABASE!$A$4:$A$1000,$B23)&amp;"")</f>
        <v>ONL-020</v>
      </c>
      <c r="D23" s="7" t="str">
        <f aca="false">IF($B23="","",INDEX(MASTER_DATABASE!$D$4:$D$1000,$B23)&amp;"")</f>
        <v>Education Services</v>
      </c>
      <c r="E23" s="7" t="str">
        <f aca="false">IF($B23="","",INDEX(MASTER_DATABASE!$E$4:$E$1000,$B23)&amp;"")</f>
        <v>Marksheet / Certificate Download</v>
      </c>
      <c r="F23" s="7" t="str">
        <f aca="false">IF($B23="","",INDEX(MASTER_DATABASE!$F$4:$F$1000,$B23)&amp;"")</f>
        <v>मार्कशीट / प्रमाण पत्र डाउनलोड</v>
      </c>
      <c r="G23" s="11" t="str">
        <f aca="false">IF($B23="","",INDEX(MASTER_DATABASE!$I$4:$I$1000,$B23)&amp;"")</f>
        <v>Available</v>
      </c>
      <c r="H23" s="7" t="str">
        <f aca="false">IF($B23="","",INDEX(MASTER_DATABASE!$L$4:$L$1000,$B23)&amp;"")</f>
        <v>Not Applicable</v>
      </c>
      <c r="I23" s="9" t="str">
        <f aca="false">IF($B23="","",INDEX(MASTER_DATABASE!$R$4:$R$1000,$B23))</f>
        <v>To Verify</v>
      </c>
      <c r="J23" s="9" t="str">
        <f aca="false">IF($B23="","",INDEX(MASTER_DATABASE!$S$4:$S$1000,$B23))</f>
        <v>To Verify</v>
      </c>
      <c r="K23" s="9" t="str">
        <f aca="false">IF($B23="","",INDEX(MASTER_DATABASE!$T$4:$T$1000,$B23))</f>
        <v>To Verify</v>
      </c>
      <c r="L23" s="7" t="str">
        <f aca="false">IF($B23="","",INDEX(MASTER_DATABASE!$U$4:$U$1000,$B23)&amp;"")</f>
        <v>To Verify</v>
      </c>
      <c r="M23" s="7" t="str">
        <f aca="false">IF($B23="","",INDEX(MASTER_DATABASE!$Q$4:$Q$1000,$B23)&amp;"")</f>
        <v>Same Day</v>
      </c>
      <c r="N23" s="7" t="str">
        <f aca="false">IF($B23="","",INDEX(MASTER_DATABASE!$AG$4:$AG$1000,$B23)&amp;"")</f>
        <v>Active</v>
      </c>
      <c r="O23" s="11" t="str">
        <f aca="false">IF($B23="","",INDEX(MASTER_DATABASE!$AH$4:$AH$1000,$B23)&amp;"")</f>
        <v>Yes</v>
      </c>
      <c r="P23" s="11" t="str">
        <f aca="false">IF($B23="","",INDEX(MASTER_DATABASE!$BE$4:$BE$1000,$B23)&amp;"")</f>
        <v>LIVE</v>
      </c>
      <c r="Q23" s="7" t="str">
        <f aca="false">IF($B23="","",INDEX(MASTER_DATABASE!$AV$4:$AV$1000,$B23)&amp;"")</f>
        <v>To Verify</v>
      </c>
    </row>
    <row r="24" customFormat="false" ht="15" hidden="false" customHeight="false" outlineLevel="0" collapsed="false">
      <c r="A24" s="11" t="n">
        <v>21</v>
      </c>
      <c r="B24" s="11" t="n">
        <f aca="false">IFERROR(MATCH("Online Form &amp; Digital Services|"&amp;$A24,MASTER_DATABASE!$BH$4:$BH$1000,0),"")</f>
        <v>249</v>
      </c>
      <c r="C24" s="11" t="str">
        <f aca="false">IF($B24="","",INDEX(MASTER_DATABASE!$A$4:$A$1000,$B24)&amp;"")</f>
        <v>ONL-021</v>
      </c>
      <c r="D24" s="7" t="str">
        <f aca="false">IF($B24="","",INDEX(MASTER_DATABASE!$D$4:$D$1000,$B24)&amp;"")</f>
        <v>Digital Services</v>
      </c>
      <c r="E24" s="7" t="str">
        <f aca="false">IF($B24="","",INDEX(MASTER_DATABASE!$E$4:$E$1000,$B24)&amp;"")</f>
        <v>Email ID Creation</v>
      </c>
      <c r="F24" s="7" t="str">
        <f aca="false">IF($B24="","",INDEX(MASTER_DATABASE!$F$4:$F$1000,$B24)&amp;"")</f>
        <v>ईमेल आईडी बनवाना</v>
      </c>
      <c r="G24" s="11" t="str">
        <f aca="false">IF($B24="","",INDEX(MASTER_DATABASE!$I$4:$I$1000,$B24)&amp;"")</f>
        <v>Available</v>
      </c>
      <c r="H24" s="7" t="str">
        <f aca="false">IF($B24="","",INDEX(MASTER_DATABASE!$L$4:$L$1000,$B24)&amp;"")</f>
        <v>Not Applicable</v>
      </c>
      <c r="I24" s="9" t="str">
        <f aca="false">IF($B24="","",INDEX(MASTER_DATABASE!$R$4:$R$1000,$B24))</f>
        <v>N/A</v>
      </c>
      <c r="J24" s="9" t="str">
        <f aca="false">IF($B24="","",INDEX(MASTER_DATABASE!$S$4:$S$1000,$B24))</f>
        <v>To Verify</v>
      </c>
      <c r="K24" s="9" t="str">
        <f aca="false">IF($B24="","",INDEX(MASTER_DATABASE!$T$4:$T$1000,$B24))</f>
        <v>To Verify</v>
      </c>
      <c r="L24" s="7" t="str">
        <f aca="false">IF($B24="","",INDEX(MASTER_DATABASE!$U$4:$U$1000,$B24)&amp;"")</f>
        <v>Shop Charge Only</v>
      </c>
      <c r="M24" s="7" t="str">
        <f aca="false">IF($B24="","",INDEX(MASTER_DATABASE!$Q$4:$Q$1000,$B24)&amp;"")</f>
        <v>15–30 Minutes</v>
      </c>
      <c r="N24" s="7" t="str">
        <f aca="false">IF($B24="","",INDEX(MASTER_DATABASE!$AG$4:$AG$1000,$B24)&amp;"")</f>
        <v>Active</v>
      </c>
      <c r="O24" s="11" t="str">
        <f aca="false">IF($B24="","",INDEX(MASTER_DATABASE!$AH$4:$AH$1000,$B24)&amp;"")</f>
        <v>Yes</v>
      </c>
      <c r="P24" s="11" t="str">
        <f aca="false">IF($B24="","",INDEX(MASTER_DATABASE!$BE$4:$BE$1000,$B24)&amp;"")</f>
        <v>LIVE</v>
      </c>
      <c r="Q24" s="7" t="str">
        <f aca="false">IF($B24="","",INDEX(MASTER_DATABASE!$AV$4:$AV$1000,$B24)&amp;"")</f>
        <v>To Verify</v>
      </c>
    </row>
    <row r="25" customFormat="false" ht="15" hidden="false" customHeight="false" outlineLevel="0" collapsed="false">
      <c r="A25" s="11" t="n">
        <v>22</v>
      </c>
      <c r="B25" s="11" t="n">
        <f aca="false">IFERROR(MATCH("Online Form &amp; Digital Services|"&amp;$A25,MASTER_DATABASE!$BH$4:$BH$1000,0),"")</f>
        <v>250</v>
      </c>
      <c r="C25" s="11" t="str">
        <f aca="false">IF($B25="","",INDEX(MASTER_DATABASE!$A$4:$A$1000,$B25)&amp;"")</f>
        <v>ONL-022</v>
      </c>
      <c r="D25" s="7" t="str">
        <f aca="false">IF($B25="","",INDEX(MASTER_DATABASE!$D$4:$D$1000,$B25)&amp;"")</f>
        <v>Digital Services</v>
      </c>
      <c r="E25" s="7" t="str">
        <f aca="false">IF($B25="","",INDEX(MASTER_DATABASE!$E$4:$E$1000,$B25)&amp;"")</f>
        <v>Online Registration – General</v>
      </c>
      <c r="F25" s="7" t="str">
        <f aca="false">IF($B25="","",INDEX(MASTER_DATABASE!$F$4:$F$1000,$B25)&amp;"")</f>
        <v>ऑनलाइन पंजीकरण – सामान्य</v>
      </c>
      <c r="G25" s="11" t="str">
        <f aca="false">IF($B25="","",INDEX(MASTER_DATABASE!$I$4:$I$1000,$B25)&amp;"")</f>
        <v>Available</v>
      </c>
      <c r="H25" s="7" t="str">
        <f aca="false">IF($B25="","",INDEX(MASTER_DATABASE!$L$4:$L$1000,$B25)&amp;"")</f>
        <v>Not Applicable</v>
      </c>
      <c r="I25" s="9" t="str">
        <f aca="false">IF($B25="","",INDEX(MASTER_DATABASE!$R$4:$R$1000,$B25))</f>
        <v>N/A</v>
      </c>
      <c r="J25" s="9" t="str">
        <f aca="false">IF($B25="","",INDEX(MASTER_DATABASE!$S$4:$S$1000,$B25))</f>
        <v>To Verify</v>
      </c>
      <c r="K25" s="9" t="str">
        <f aca="false">IF($B25="","",INDEX(MASTER_DATABASE!$T$4:$T$1000,$B25))</f>
        <v>To Verify</v>
      </c>
      <c r="L25" s="7" t="str">
        <f aca="false">IF($B25="","",INDEX(MASTER_DATABASE!$U$4:$U$1000,$B25)&amp;"")</f>
        <v>Shop Charge Only</v>
      </c>
      <c r="M25" s="7" t="str">
        <f aca="false">IF($B25="","",INDEX(MASTER_DATABASE!$Q$4:$Q$1000,$B25)&amp;"")</f>
        <v>15–30 Minutes</v>
      </c>
      <c r="N25" s="7" t="str">
        <f aca="false">IF($B25="","",INDEX(MASTER_DATABASE!$AG$4:$AG$1000,$B25)&amp;"")</f>
        <v>Active</v>
      </c>
      <c r="O25" s="11" t="str">
        <f aca="false">IF($B25="","",INDEX(MASTER_DATABASE!$AH$4:$AH$1000,$B25)&amp;"")</f>
        <v>Yes</v>
      </c>
      <c r="P25" s="11" t="str">
        <f aca="false">IF($B25="","",INDEX(MASTER_DATABASE!$BE$4:$BE$1000,$B25)&amp;"")</f>
        <v>LIVE</v>
      </c>
      <c r="Q25" s="7" t="str">
        <f aca="false">IF($B25="","",INDEX(MASTER_DATABASE!$AV$4:$AV$1000,$B25)&amp;"")</f>
        <v>To Verify</v>
      </c>
    </row>
    <row r="26" customFormat="false" ht="15" hidden="false" customHeight="false" outlineLevel="0" collapsed="false">
      <c r="A26" s="11" t="n">
        <v>23</v>
      </c>
      <c r="B26" s="11" t="n">
        <f aca="false">IFERROR(MATCH("Online Form &amp; Digital Services|"&amp;$A26,MASTER_DATABASE!$BH$4:$BH$1000,0),"")</f>
        <v>251</v>
      </c>
      <c r="C26" s="11" t="str">
        <f aca="false">IF($B26="","",INDEX(MASTER_DATABASE!$A$4:$A$1000,$B26)&amp;"")</f>
        <v>ONL-023</v>
      </c>
      <c r="D26" s="7" t="str">
        <f aca="false">IF($B26="","",INDEX(MASTER_DATABASE!$D$4:$D$1000,$B26)&amp;"")</f>
        <v>Digital Services</v>
      </c>
      <c r="E26" s="7" t="str">
        <f aca="false">IF($B26="","",INDEX(MASTER_DATABASE!$E$4:$E$1000,$B26)&amp;"")</f>
        <v>Document Upload</v>
      </c>
      <c r="F26" s="7" t="str">
        <f aca="false">IF($B26="","",INDEX(MASTER_DATABASE!$F$4:$F$1000,$B26)&amp;"")</f>
        <v>दस्तावेज़ अपलोड</v>
      </c>
      <c r="G26" s="11" t="str">
        <f aca="false">IF($B26="","",INDEX(MASTER_DATABASE!$I$4:$I$1000,$B26)&amp;"")</f>
        <v>Available</v>
      </c>
      <c r="H26" s="7" t="str">
        <f aca="false">IF($B26="","",INDEX(MASTER_DATABASE!$L$4:$L$1000,$B26)&amp;"")</f>
        <v>Not Applicable</v>
      </c>
      <c r="I26" s="9" t="str">
        <f aca="false">IF($B26="","",INDEX(MASTER_DATABASE!$R$4:$R$1000,$B26))</f>
        <v>N/A</v>
      </c>
      <c r="J26" s="9" t="str">
        <f aca="false">IF($B26="","",INDEX(MASTER_DATABASE!$S$4:$S$1000,$B26))</f>
        <v>To Verify</v>
      </c>
      <c r="K26" s="9" t="str">
        <f aca="false">IF($B26="","",INDEX(MASTER_DATABASE!$T$4:$T$1000,$B26))</f>
        <v>To Verify</v>
      </c>
      <c r="L26" s="7" t="str">
        <f aca="false">IF($B26="","",INDEX(MASTER_DATABASE!$U$4:$U$1000,$B26)&amp;"")</f>
        <v>Shop Charge Only</v>
      </c>
      <c r="M26" s="7" t="str">
        <f aca="false">IF($B26="","",INDEX(MASTER_DATABASE!$Q$4:$Q$1000,$B26)&amp;"")</f>
        <v>15–30 Minutes</v>
      </c>
      <c r="N26" s="7" t="str">
        <f aca="false">IF($B26="","",INDEX(MASTER_DATABASE!$AG$4:$AG$1000,$B26)&amp;"")</f>
        <v>Active</v>
      </c>
      <c r="O26" s="11" t="str">
        <f aca="false">IF($B26="","",INDEX(MASTER_DATABASE!$AH$4:$AH$1000,$B26)&amp;"")</f>
        <v>Yes</v>
      </c>
      <c r="P26" s="11" t="str">
        <f aca="false">IF($B26="","",INDEX(MASTER_DATABASE!$BE$4:$BE$1000,$B26)&amp;"")</f>
        <v>LIVE</v>
      </c>
      <c r="Q26" s="7" t="str">
        <f aca="false">IF($B26="","",INDEX(MASTER_DATABASE!$AV$4:$AV$1000,$B26)&amp;"")</f>
        <v>To Verify</v>
      </c>
    </row>
    <row r="27" customFormat="false" ht="15" hidden="false" customHeight="false" outlineLevel="0" collapsed="false">
      <c r="A27" s="11" t="n">
        <v>24</v>
      </c>
      <c r="B27" s="11" t="n">
        <f aca="false">IFERROR(MATCH("Online Form &amp; Digital Services|"&amp;$A27,MASTER_DATABASE!$BH$4:$BH$1000,0),"")</f>
        <v>252</v>
      </c>
      <c r="C27" s="11" t="str">
        <f aca="false">IF($B27="","",INDEX(MASTER_DATABASE!$A$4:$A$1000,$B27)&amp;"")</f>
        <v>ONL-024</v>
      </c>
      <c r="D27" s="7" t="str">
        <f aca="false">IF($B27="","",INDEX(MASTER_DATABASE!$D$4:$D$1000,$B27)&amp;"")</f>
        <v>Digital Services</v>
      </c>
      <c r="E27" s="7" t="str">
        <f aca="false">IF($B27="","",INDEX(MASTER_DATABASE!$E$4:$E$1000,$B27)&amp;"")</f>
        <v>Document Download</v>
      </c>
      <c r="F27" s="7" t="str">
        <f aca="false">IF($B27="","",INDEX(MASTER_DATABASE!$F$4:$F$1000,$B27)&amp;"")</f>
        <v>दस्तावेज़ डाउनलोड</v>
      </c>
      <c r="G27" s="11" t="str">
        <f aca="false">IF($B27="","",INDEX(MASTER_DATABASE!$I$4:$I$1000,$B27)&amp;"")</f>
        <v>Available</v>
      </c>
      <c r="H27" s="7" t="str">
        <f aca="false">IF($B27="","",INDEX(MASTER_DATABASE!$L$4:$L$1000,$B27)&amp;"")</f>
        <v>Not Applicable</v>
      </c>
      <c r="I27" s="9" t="str">
        <f aca="false">IF($B27="","",INDEX(MASTER_DATABASE!$R$4:$R$1000,$B27))</f>
        <v>N/A</v>
      </c>
      <c r="J27" s="9" t="str">
        <f aca="false">IF($B27="","",INDEX(MASTER_DATABASE!$S$4:$S$1000,$B27))</f>
        <v>To Verify</v>
      </c>
      <c r="K27" s="9" t="str">
        <f aca="false">IF($B27="","",INDEX(MASTER_DATABASE!$T$4:$T$1000,$B27))</f>
        <v>To Verify</v>
      </c>
      <c r="L27" s="7" t="str">
        <f aca="false">IF($B27="","",INDEX(MASTER_DATABASE!$U$4:$U$1000,$B27)&amp;"")</f>
        <v>Shop Charge Only</v>
      </c>
      <c r="M27" s="7" t="str">
        <f aca="false">IF($B27="","",INDEX(MASTER_DATABASE!$Q$4:$Q$1000,$B27)&amp;"")</f>
        <v>15–30 Minutes</v>
      </c>
      <c r="N27" s="7" t="str">
        <f aca="false">IF($B27="","",INDEX(MASTER_DATABASE!$AG$4:$AG$1000,$B27)&amp;"")</f>
        <v>Active</v>
      </c>
      <c r="O27" s="11" t="str">
        <f aca="false">IF($B27="","",INDEX(MASTER_DATABASE!$AH$4:$AH$1000,$B27)&amp;"")</f>
        <v>Yes</v>
      </c>
      <c r="P27" s="11" t="str">
        <f aca="false">IF($B27="","",INDEX(MASTER_DATABASE!$BE$4:$BE$1000,$B27)&amp;"")</f>
        <v>LIVE</v>
      </c>
      <c r="Q27" s="7" t="str">
        <f aca="false">IF($B27="","",INDEX(MASTER_DATABASE!$AV$4:$AV$1000,$B27)&amp;"")</f>
        <v>To Verify</v>
      </c>
    </row>
    <row r="28" customFormat="false" ht="15" hidden="false" customHeight="false" outlineLevel="0" collapsed="false">
      <c r="A28" s="11" t="n">
        <v>25</v>
      </c>
      <c r="B28" s="11" t="n">
        <f aca="false">IFERROR(MATCH("Online Form &amp; Digital Services|"&amp;$A28,MASTER_DATABASE!$BH$4:$BH$1000,0),"")</f>
        <v>253</v>
      </c>
      <c r="C28" s="11" t="str">
        <f aca="false">IF($B28="","",INDEX(MASTER_DATABASE!$A$4:$A$1000,$B28)&amp;"")</f>
        <v>ONL-025</v>
      </c>
      <c r="D28" s="7" t="str">
        <f aca="false">IF($B28="","",INDEX(MASTER_DATABASE!$D$4:$D$1000,$B28)&amp;"")</f>
        <v>Digital Services</v>
      </c>
      <c r="E28" s="7" t="str">
        <f aca="false">IF($B28="","",INDEX(MASTER_DATABASE!$E$4:$E$1000,$B28)&amp;"")</f>
        <v>Application Status Check – Other Portals</v>
      </c>
      <c r="F28" s="7" t="str">
        <f aca="false">IF($B28="","",INDEX(MASTER_DATABASE!$F$4:$F$1000,$B28)&amp;"")</f>
        <v>आवेदन स्थिति जाँच – अन्य पोर्टल</v>
      </c>
      <c r="G28" s="11" t="str">
        <f aca="false">IF($B28="","",INDEX(MASTER_DATABASE!$I$4:$I$1000,$B28)&amp;"")</f>
        <v>Available</v>
      </c>
      <c r="H28" s="7" t="str">
        <f aca="false">IF($B28="","",INDEX(MASTER_DATABASE!$L$4:$L$1000,$B28)&amp;"")</f>
        <v>Not Applicable</v>
      </c>
      <c r="I28" s="9" t="str">
        <f aca="false">IF($B28="","",INDEX(MASTER_DATABASE!$R$4:$R$1000,$B28))</f>
        <v>N/A</v>
      </c>
      <c r="J28" s="9" t="str">
        <f aca="false">IF($B28="","",INDEX(MASTER_DATABASE!$S$4:$S$1000,$B28))</f>
        <v>To Verify</v>
      </c>
      <c r="K28" s="9" t="str">
        <f aca="false">IF($B28="","",INDEX(MASTER_DATABASE!$T$4:$T$1000,$B28))</f>
        <v>To Verify</v>
      </c>
      <c r="L28" s="7" t="str">
        <f aca="false">IF($B28="","",INDEX(MASTER_DATABASE!$U$4:$U$1000,$B28)&amp;"")</f>
        <v>Shop Charge Only</v>
      </c>
      <c r="M28" s="7" t="str">
        <f aca="false">IF($B28="","",INDEX(MASTER_DATABASE!$Q$4:$Q$1000,$B28)&amp;"")</f>
        <v>15–30 Minutes</v>
      </c>
      <c r="N28" s="7" t="str">
        <f aca="false">IF($B28="","",INDEX(MASTER_DATABASE!$AG$4:$AG$1000,$B28)&amp;"")</f>
        <v>Active</v>
      </c>
      <c r="O28" s="11" t="str">
        <f aca="false">IF($B28="","",INDEX(MASTER_DATABASE!$AH$4:$AH$1000,$B28)&amp;"")</f>
        <v>Yes</v>
      </c>
      <c r="P28" s="11" t="str">
        <f aca="false">IF($B28="","",INDEX(MASTER_DATABASE!$BE$4:$BE$1000,$B28)&amp;"")</f>
        <v>LIVE</v>
      </c>
      <c r="Q28" s="7" t="str">
        <f aca="false">IF($B28="","",INDEX(MASTER_DATABASE!$AV$4:$AV$1000,$B28)&amp;"")</f>
        <v>To Verify</v>
      </c>
    </row>
    <row r="29" customFormat="false" ht="15" hidden="false" customHeight="false" outlineLevel="0" collapsed="false">
      <c r="A29" s="11" t="n">
        <v>26</v>
      </c>
      <c r="B29" s="11" t="n">
        <f aca="false">IFERROR(MATCH("Online Form &amp; Digital Services|"&amp;$A29,MASTER_DATABASE!$BH$4:$BH$1000,0),"")</f>
        <v>254</v>
      </c>
      <c r="C29" s="11" t="str">
        <f aca="false">IF($B29="","",INDEX(MASTER_DATABASE!$A$4:$A$1000,$B29)&amp;"")</f>
        <v>ONL-026</v>
      </c>
      <c r="D29" s="7" t="str">
        <f aca="false">IF($B29="","",INDEX(MASTER_DATABASE!$D$4:$D$1000,$B29)&amp;"")</f>
        <v>Digital Services</v>
      </c>
      <c r="E29" s="7" t="str">
        <f aca="false">IF($B29="","",INDEX(MASTER_DATABASE!$E$4:$E$1000,$B29)&amp;"")</f>
        <v>DigiLocker Assistance</v>
      </c>
      <c r="F29" s="7" t="str">
        <f aca="false">IF($B29="","",INDEX(MASTER_DATABASE!$F$4:$F$1000,$B29)&amp;"")</f>
        <v>डिजिलॉकर सहायता</v>
      </c>
      <c r="G29" s="11" t="str">
        <f aca="false">IF($B29="","",INDEX(MASTER_DATABASE!$I$4:$I$1000,$B29)&amp;"")</f>
        <v>Portal Dependent</v>
      </c>
      <c r="H29" s="7" t="str">
        <f aca="false">IF($B29="","",INDEX(MASTER_DATABASE!$L$4:$L$1000,$B29)&amp;"")</f>
        <v>Portal Dependent</v>
      </c>
      <c r="I29" s="9" t="str">
        <f aca="false">IF($B29="","",INDEX(MASTER_DATABASE!$R$4:$R$1000,$B29))</f>
        <v>N/A</v>
      </c>
      <c r="J29" s="9" t="str">
        <f aca="false">IF($B29="","",INDEX(MASTER_DATABASE!$S$4:$S$1000,$B29))</f>
        <v>To Verify</v>
      </c>
      <c r="K29" s="9" t="str">
        <f aca="false">IF($B29="","",INDEX(MASTER_DATABASE!$T$4:$T$1000,$B29))</f>
        <v>To Verify</v>
      </c>
      <c r="L29" s="7" t="str">
        <f aca="false">IF($B29="","",INDEX(MASTER_DATABASE!$U$4:$U$1000,$B29)&amp;"")</f>
        <v>Shop Charge Only</v>
      </c>
      <c r="M29" s="7" t="str">
        <f aca="false">IF($B29="","",INDEX(MASTER_DATABASE!$Q$4:$Q$1000,$B29)&amp;"")</f>
        <v>15–30 Minutes</v>
      </c>
      <c r="N29" s="7" t="str">
        <f aca="false">IF($B29="","",INDEX(MASTER_DATABASE!$AG$4:$AG$1000,$B29)&amp;"")</f>
        <v>To Verify</v>
      </c>
      <c r="O29" s="11" t="str">
        <f aca="false">IF($B29="","",INDEX(MASTER_DATABASE!$AH$4:$AH$1000,$B29)&amp;"")</f>
        <v>No</v>
      </c>
      <c r="P29" s="11" t="str">
        <f aca="false">IF($B29="","",INDEX(MASTER_DATABASE!$BE$4:$BE$1000,$B29)&amp;"")</f>
        <v>HIDDEN</v>
      </c>
      <c r="Q29" s="7" t="str">
        <f aca="false">IF($B29="","",INDEX(MASTER_DATABASE!$AV$4:$AV$1000,$B29)&amp;"")</f>
        <v>To Verify</v>
      </c>
    </row>
    <row r="30" customFormat="false" ht="15" hidden="false" customHeight="false" outlineLevel="0" collapsed="false">
      <c r="A30" s="11" t="n">
        <v>27</v>
      </c>
      <c r="B30" s="11" t="n">
        <f aca="false">IFERROR(MATCH("Online Form &amp; Digital Services|"&amp;$A30,MASTER_DATABASE!$BH$4:$BH$1000,0),"")</f>
        <v>255</v>
      </c>
      <c r="C30" s="11" t="str">
        <f aca="false">IF($B30="","",INDEX(MASTER_DATABASE!$A$4:$A$1000,$B30)&amp;"")</f>
        <v>ONL-027</v>
      </c>
      <c r="D30" s="7" t="str">
        <f aca="false">IF($B30="","",INDEX(MASTER_DATABASE!$D$4:$D$1000,$B30)&amp;"")</f>
        <v>Digital Services</v>
      </c>
      <c r="E30" s="7" t="str">
        <f aca="false">IF($B30="","",INDEX(MASTER_DATABASE!$E$4:$E$1000,$B30)&amp;"")</f>
        <v>Digital Document Download (DigiLocker etc.)</v>
      </c>
      <c r="F30" s="7" t="str">
        <f aca="false">IF($B30="","",INDEX(MASTER_DATABASE!$F$4:$F$1000,$B30)&amp;"")</f>
        <v>डिजिटल दस्तावेज़ डाउनलोड (डिजिलॉकर आदि)</v>
      </c>
      <c r="G30" s="11" t="str">
        <f aca="false">IF($B30="","",INDEX(MASTER_DATABASE!$I$4:$I$1000,$B30)&amp;"")</f>
        <v>Portal Dependent</v>
      </c>
      <c r="H30" s="7" t="str">
        <f aca="false">IF($B30="","",INDEX(MASTER_DATABASE!$L$4:$L$1000,$B30)&amp;"")</f>
        <v>Portal Dependent</v>
      </c>
      <c r="I30" s="9" t="str">
        <f aca="false">IF($B30="","",INDEX(MASTER_DATABASE!$R$4:$R$1000,$B30))</f>
        <v>N/A</v>
      </c>
      <c r="J30" s="9" t="str">
        <f aca="false">IF($B30="","",INDEX(MASTER_DATABASE!$S$4:$S$1000,$B30))</f>
        <v>To Verify</v>
      </c>
      <c r="K30" s="9" t="str">
        <f aca="false">IF($B30="","",INDEX(MASTER_DATABASE!$T$4:$T$1000,$B30))</f>
        <v>To Verify</v>
      </c>
      <c r="L30" s="7" t="str">
        <f aca="false">IF($B30="","",INDEX(MASTER_DATABASE!$U$4:$U$1000,$B30)&amp;"")</f>
        <v>Shop Charge Only</v>
      </c>
      <c r="M30" s="7" t="str">
        <f aca="false">IF($B30="","",INDEX(MASTER_DATABASE!$Q$4:$Q$1000,$B30)&amp;"")</f>
        <v>15–30 Minutes</v>
      </c>
      <c r="N30" s="7" t="str">
        <f aca="false">IF($B30="","",INDEX(MASTER_DATABASE!$AG$4:$AG$1000,$B30)&amp;"")</f>
        <v>To Verify</v>
      </c>
      <c r="O30" s="11" t="str">
        <f aca="false">IF($B30="","",INDEX(MASTER_DATABASE!$AH$4:$AH$1000,$B30)&amp;"")</f>
        <v>No</v>
      </c>
      <c r="P30" s="11" t="str">
        <f aca="false">IF($B30="","",INDEX(MASTER_DATABASE!$BE$4:$BE$1000,$B30)&amp;"")</f>
        <v>HIDDEN</v>
      </c>
      <c r="Q30" s="7" t="str">
        <f aca="false">IF($B30="","",INDEX(MASTER_DATABASE!$AV$4:$AV$1000,$B30)&amp;"")</f>
        <v>To Verify</v>
      </c>
    </row>
    <row r="31" customFormat="false" ht="15" hidden="false" customHeight="false" outlineLevel="0" collapsed="false">
      <c r="A31" s="11" t="n">
        <v>28</v>
      </c>
      <c r="B31" s="11" t="n">
        <f aca="false">IFERROR(MATCH("Online Form &amp; Digital Services|"&amp;$A31,MASTER_DATABASE!$BH$4:$BH$1000,0),"")</f>
        <v>256</v>
      </c>
      <c r="C31" s="11" t="str">
        <f aca="false">IF($B31="","",INDEX(MASTER_DATABASE!$A$4:$A$1000,$B31)&amp;"")</f>
        <v>ONL-028</v>
      </c>
      <c r="D31" s="7" t="str">
        <f aca="false">IF($B31="","",INDEX(MASTER_DATABASE!$D$4:$D$1000,$B31)&amp;"")</f>
        <v>Digital Services</v>
      </c>
      <c r="E31" s="7" t="str">
        <f aca="false">IF($B31="","",INDEX(MASTER_DATABASE!$E$4:$E$1000,$B31)&amp;"")</f>
        <v>Online Payment Assistance (Fee / Challan)</v>
      </c>
      <c r="F31" s="7" t="str">
        <f aca="false">IF($B31="","",INDEX(MASTER_DATABASE!$F$4:$F$1000,$B31)&amp;"")</f>
        <v>ऑनलाइन भुगतान सहायता (फीस / चालान)</v>
      </c>
      <c r="G31" s="11" t="str">
        <f aca="false">IF($B31="","",INDEX(MASTER_DATABASE!$I$4:$I$1000,$B31)&amp;"")</f>
        <v>Available</v>
      </c>
      <c r="H31" s="7" t="str">
        <f aca="false">IF($B31="","",INDEX(MASTER_DATABASE!$L$4:$L$1000,$B31)&amp;"")</f>
        <v>Not Applicable</v>
      </c>
      <c r="I31" s="9" t="str">
        <f aca="false">IF($B31="","",INDEX(MASTER_DATABASE!$R$4:$R$1000,$B31))</f>
        <v>N/A</v>
      </c>
      <c r="J31" s="9" t="str">
        <f aca="false">IF($B31="","",INDEX(MASTER_DATABASE!$S$4:$S$1000,$B31))</f>
        <v>To Verify</v>
      </c>
      <c r="K31" s="9" t="str">
        <f aca="false">IF($B31="","",INDEX(MASTER_DATABASE!$T$4:$T$1000,$B31))</f>
        <v>To Verify</v>
      </c>
      <c r="L31" s="7" t="str">
        <f aca="false">IF($B31="","",INDEX(MASTER_DATABASE!$U$4:$U$1000,$B31)&amp;"")</f>
        <v>Shop Charge Only</v>
      </c>
      <c r="M31" s="7" t="str">
        <f aca="false">IF($B31="","",INDEX(MASTER_DATABASE!$Q$4:$Q$1000,$B31)&amp;"")</f>
        <v>15–30 Minutes</v>
      </c>
      <c r="N31" s="7" t="str">
        <f aca="false">IF($B31="","",INDEX(MASTER_DATABASE!$AG$4:$AG$1000,$B31)&amp;"")</f>
        <v>Active</v>
      </c>
      <c r="O31" s="11" t="str">
        <f aca="false">IF($B31="","",INDEX(MASTER_DATABASE!$AH$4:$AH$1000,$B31)&amp;"")</f>
        <v>Yes</v>
      </c>
      <c r="P31" s="11" t="str">
        <f aca="false">IF($B31="","",INDEX(MASTER_DATABASE!$BE$4:$BE$1000,$B31)&amp;"")</f>
        <v>LIVE</v>
      </c>
      <c r="Q31" s="7" t="str">
        <f aca="false">IF($B31="","",INDEX(MASTER_DATABASE!$AV$4:$AV$1000,$B31)&amp;"")</f>
        <v>To Verify</v>
      </c>
    </row>
    <row r="32" customFormat="false" ht="15" hidden="false" customHeight="false" outlineLevel="0" collapsed="false">
      <c r="A32" s="11" t="n">
        <v>29</v>
      </c>
      <c r="B32" s="11" t="n">
        <f aca="false">IFERROR(MATCH("Online Form &amp; Digital Services|"&amp;$A32,MASTER_DATABASE!$BH$4:$BH$1000,0),"")</f>
        <v>257</v>
      </c>
      <c r="C32" s="11" t="str">
        <f aca="false">IF($B32="","",INDEX(MASTER_DATABASE!$A$4:$A$1000,$B32)&amp;"")</f>
        <v>ONL-029</v>
      </c>
      <c r="D32" s="7" t="str">
        <f aca="false">IF($B32="","",INDEX(MASTER_DATABASE!$D$4:$D$1000,$B32)&amp;"")</f>
        <v>Digital Services</v>
      </c>
      <c r="E32" s="7" t="str">
        <f aca="false">IF($B32="","",INDEX(MASTER_DATABASE!$E$4:$E$1000,$B32)&amp;"")</f>
        <v>UPI / Payment App Setup Assistance</v>
      </c>
      <c r="F32" s="7" t="str">
        <f aca="false">IF($B32="","",INDEX(MASTER_DATABASE!$F$4:$F$1000,$B32)&amp;"")</f>
        <v>UPI / पेमेंट ऐप सेटअप सहायता</v>
      </c>
      <c r="G32" s="11" t="str">
        <f aca="false">IF($B32="","",INDEX(MASTER_DATABASE!$I$4:$I$1000,$B32)&amp;"")</f>
        <v>Available</v>
      </c>
      <c r="H32" s="7" t="str">
        <f aca="false">IF($B32="","",INDEX(MASTER_DATABASE!$L$4:$L$1000,$B32)&amp;"")</f>
        <v>Not Applicable</v>
      </c>
      <c r="I32" s="9" t="str">
        <f aca="false">IF($B32="","",INDEX(MASTER_DATABASE!$R$4:$R$1000,$B32))</f>
        <v>N/A</v>
      </c>
      <c r="J32" s="9" t="str">
        <f aca="false">IF($B32="","",INDEX(MASTER_DATABASE!$S$4:$S$1000,$B32))</f>
        <v>To Verify</v>
      </c>
      <c r="K32" s="9" t="str">
        <f aca="false">IF($B32="","",INDEX(MASTER_DATABASE!$T$4:$T$1000,$B32))</f>
        <v>To Verify</v>
      </c>
      <c r="L32" s="7" t="str">
        <f aca="false">IF($B32="","",INDEX(MASTER_DATABASE!$U$4:$U$1000,$B32)&amp;"")</f>
        <v>Shop Charge Only</v>
      </c>
      <c r="M32" s="7" t="str">
        <f aca="false">IF($B32="","",INDEX(MASTER_DATABASE!$Q$4:$Q$1000,$B32)&amp;"")</f>
        <v>15–30 Minutes</v>
      </c>
      <c r="N32" s="7" t="str">
        <f aca="false">IF($B32="","",INDEX(MASTER_DATABASE!$AG$4:$AG$1000,$B32)&amp;"")</f>
        <v>Active</v>
      </c>
      <c r="O32" s="11" t="str">
        <f aca="false">IF($B32="","",INDEX(MASTER_DATABASE!$AH$4:$AH$1000,$B32)&amp;"")</f>
        <v>Yes</v>
      </c>
      <c r="P32" s="11" t="str">
        <f aca="false">IF($B32="","",INDEX(MASTER_DATABASE!$BE$4:$BE$1000,$B32)&amp;"")</f>
        <v>LIVE</v>
      </c>
      <c r="Q32" s="7" t="str">
        <f aca="false">IF($B32="","",INDEX(MASTER_DATABASE!$AV$4:$AV$1000,$B32)&amp;"")</f>
        <v>To Verify</v>
      </c>
    </row>
    <row r="33" customFormat="false" ht="23.85" hidden="false" customHeight="false" outlineLevel="0" collapsed="false">
      <c r="A33" s="11" t="n">
        <v>30</v>
      </c>
      <c r="B33" s="11" t="n">
        <f aca="false">IFERROR(MATCH("Online Form &amp; Digital Services|"&amp;$A33,MASTER_DATABASE!$BH$4:$BH$1000,0),"")</f>
        <v>258</v>
      </c>
      <c r="C33" s="11" t="str">
        <f aca="false">IF($B33="","",INDEX(MASTER_DATABASE!$A$4:$A$1000,$B33)&amp;"")</f>
        <v>ONL-030</v>
      </c>
      <c r="D33" s="7" t="str">
        <f aca="false">IF($B33="","",INDEX(MASTER_DATABASE!$D$4:$D$1000,$B33)&amp;"")</f>
        <v>ID &amp; Document Services</v>
      </c>
      <c r="E33" s="7" t="str">
        <f aca="false">IF($B33="","",INDEX(MASTER_DATABASE!$E$4:$E$1000,$B33)&amp;"")</f>
        <v>PAN – New Application</v>
      </c>
      <c r="F33" s="7" t="str">
        <f aca="false">IF($B33="","",INDEX(MASTER_DATABASE!$F$4:$F$1000,$B33)&amp;"")</f>
        <v>पैन – नया आवेदन</v>
      </c>
      <c r="G33" s="11" t="str">
        <f aca="false">IF($B33="","",INDEX(MASTER_DATABASE!$I$4:$I$1000,$B33)&amp;"")</f>
        <v>Portal Dependent</v>
      </c>
      <c r="H33" s="7" t="str">
        <f aca="false">IF($B33="","",INDEX(MASTER_DATABASE!$L$4:$L$1000,$B33)&amp;"")</f>
        <v>Portal Dependent</v>
      </c>
      <c r="I33" s="9" t="str">
        <f aca="false">IF($B33="","",INDEX(MASTER_DATABASE!$R$4:$R$1000,$B33))</f>
        <v>To Verify</v>
      </c>
      <c r="J33" s="9" t="str">
        <f aca="false">IF($B33="","",INDEX(MASTER_DATABASE!$S$4:$S$1000,$B33))</f>
        <v>To Verify</v>
      </c>
      <c r="K33" s="9" t="str">
        <f aca="false">IF($B33="","",INDEX(MASTER_DATABASE!$T$4:$T$1000,$B33))</f>
        <v>To Verify</v>
      </c>
      <c r="L33" s="7" t="str">
        <f aca="false">IF($B33="","",INDEX(MASTER_DATABASE!$U$4:$U$1000,$B33)&amp;"")</f>
        <v>To Verify</v>
      </c>
      <c r="M33" s="7" t="str">
        <f aca="false">IF($B33="","",INDEX(MASTER_DATABASE!$Q$4:$Q$1000,$B33)&amp;"")</f>
        <v>Depends on Department</v>
      </c>
      <c r="N33" s="7" t="str">
        <f aca="false">IF($B33="","",INDEX(MASTER_DATABASE!$AG$4:$AG$1000,$B33)&amp;"")</f>
        <v>To Verify</v>
      </c>
      <c r="O33" s="11" t="str">
        <f aca="false">IF($B33="","",INDEX(MASTER_DATABASE!$AH$4:$AH$1000,$B33)&amp;"")</f>
        <v>No</v>
      </c>
      <c r="P33" s="11" t="str">
        <f aca="false">IF($B33="","",INDEX(MASTER_DATABASE!$BE$4:$BE$1000,$B33)&amp;"")</f>
        <v>HIDDEN</v>
      </c>
      <c r="Q33" s="7" t="str">
        <f aca="false">IF($B33="","",INDEX(MASTER_DATABASE!$AV$4:$AV$1000,$B33)&amp;"")</f>
        <v>To Verify</v>
      </c>
    </row>
    <row r="34" customFormat="false" ht="23.85" hidden="false" customHeight="false" outlineLevel="0" collapsed="false">
      <c r="A34" s="11" t="n">
        <v>31</v>
      </c>
      <c r="B34" s="11" t="n">
        <f aca="false">IFERROR(MATCH("Online Form &amp; Digital Services|"&amp;$A34,MASTER_DATABASE!$BH$4:$BH$1000,0),"")</f>
        <v>259</v>
      </c>
      <c r="C34" s="11" t="str">
        <f aca="false">IF($B34="","",INDEX(MASTER_DATABASE!$A$4:$A$1000,$B34)&amp;"")</f>
        <v>ONL-031</v>
      </c>
      <c r="D34" s="7" t="str">
        <f aca="false">IF($B34="","",INDEX(MASTER_DATABASE!$D$4:$D$1000,$B34)&amp;"")</f>
        <v>ID &amp; Document Services</v>
      </c>
      <c r="E34" s="7" t="str">
        <f aca="false">IF($B34="","",INDEX(MASTER_DATABASE!$E$4:$E$1000,$B34)&amp;"")</f>
        <v>PAN – Correction / Update</v>
      </c>
      <c r="F34" s="7" t="str">
        <f aca="false">IF($B34="","",INDEX(MASTER_DATABASE!$F$4:$F$1000,$B34)&amp;"")</f>
        <v>पैन – सुधार / अपडेट</v>
      </c>
      <c r="G34" s="11" t="str">
        <f aca="false">IF($B34="","",INDEX(MASTER_DATABASE!$I$4:$I$1000,$B34)&amp;"")</f>
        <v>Available</v>
      </c>
      <c r="H34" s="7" t="str">
        <f aca="false">IF($B34="","",INDEX(MASTER_DATABASE!$L$4:$L$1000,$B34)&amp;"")</f>
        <v>Portal Dependent</v>
      </c>
      <c r="I34" s="9" t="str">
        <f aca="false">IF($B34="","",INDEX(MASTER_DATABASE!$R$4:$R$1000,$B34))</f>
        <v>To Verify</v>
      </c>
      <c r="J34" s="9" t="str">
        <f aca="false">IF($B34="","",INDEX(MASTER_DATABASE!$S$4:$S$1000,$B34))</f>
        <v>To Verify</v>
      </c>
      <c r="K34" s="9" t="str">
        <f aca="false">IF($B34="","",INDEX(MASTER_DATABASE!$T$4:$T$1000,$B34))</f>
        <v>To Verify</v>
      </c>
      <c r="L34" s="7" t="str">
        <f aca="false">IF($B34="","",INDEX(MASTER_DATABASE!$U$4:$U$1000,$B34)&amp;"")</f>
        <v>To Verify</v>
      </c>
      <c r="M34" s="7" t="str">
        <f aca="false">IF($B34="","",INDEX(MASTER_DATABASE!$Q$4:$Q$1000,$B34)&amp;"")</f>
        <v>Depends on Department</v>
      </c>
      <c r="N34" s="7" t="str">
        <f aca="false">IF($B34="","",INDEX(MASTER_DATABASE!$AG$4:$AG$1000,$B34)&amp;"")</f>
        <v>Active</v>
      </c>
      <c r="O34" s="11" t="str">
        <f aca="false">IF($B34="","",INDEX(MASTER_DATABASE!$AH$4:$AH$1000,$B34)&amp;"")</f>
        <v>Yes</v>
      </c>
      <c r="P34" s="11" t="str">
        <f aca="false">IF($B34="","",INDEX(MASTER_DATABASE!$BE$4:$BE$1000,$B34)&amp;"")</f>
        <v>LIVE</v>
      </c>
      <c r="Q34" s="7" t="str">
        <f aca="false">IF($B34="","",INDEX(MASTER_DATABASE!$AV$4:$AV$1000,$B34)&amp;"")</f>
        <v>To Verify</v>
      </c>
    </row>
    <row r="35" customFormat="false" ht="23.85" hidden="false" customHeight="false" outlineLevel="0" collapsed="false">
      <c r="A35" s="11" t="n">
        <v>32</v>
      </c>
      <c r="B35" s="11" t="n">
        <f aca="false">IFERROR(MATCH("Online Form &amp; Digital Services|"&amp;$A35,MASTER_DATABASE!$BH$4:$BH$1000,0),"")</f>
        <v>260</v>
      </c>
      <c r="C35" s="11" t="str">
        <f aca="false">IF($B35="","",INDEX(MASTER_DATABASE!$A$4:$A$1000,$B35)&amp;"")</f>
        <v>ONL-032</v>
      </c>
      <c r="D35" s="7" t="str">
        <f aca="false">IF($B35="","",INDEX(MASTER_DATABASE!$D$4:$D$1000,$B35)&amp;"")</f>
        <v>ID &amp; Document Services</v>
      </c>
      <c r="E35" s="7" t="str">
        <f aca="false">IF($B35="","",INDEX(MASTER_DATABASE!$E$4:$E$1000,$B35)&amp;"")</f>
        <v>PAN – Reprint / e-PAN Download</v>
      </c>
      <c r="F35" s="7" t="str">
        <f aca="false">IF($B35="","",INDEX(MASTER_DATABASE!$F$4:$F$1000,$B35)&amp;"")</f>
        <v>पैन – रीप्रिंट / e-PAN डाउनलोड</v>
      </c>
      <c r="G35" s="11" t="str">
        <f aca="false">IF($B35="","",INDEX(MASTER_DATABASE!$I$4:$I$1000,$B35)&amp;"")</f>
        <v>Portal Dependent</v>
      </c>
      <c r="H35" s="7" t="str">
        <f aca="false">IF($B35="","",INDEX(MASTER_DATABASE!$L$4:$L$1000,$B35)&amp;"")</f>
        <v>Portal Dependent</v>
      </c>
      <c r="I35" s="9" t="str">
        <f aca="false">IF($B35="","",INDEX(MASTER_DATABASE!$R$4:$R$1000,$B35))</f>
        <v>To Verify</v>
      </c>
      <c r="J35" s="9" t="str">
        <f aca="false">IF($B35="","",INDEX(MASTER_DATABASE!$S$4:$S$1000,$B35))</f>
        <v>To Verify</v>
      </c>
      <c r="K35" s="9" t="str">
        <f aca="false">IF($B35="","",INDEX(MASTER_DATABASE!$T$4:$T$1000,$B35))</f>
        <v>To Verify</v>
      </c>
      <c r="L35" s="7" t="str">
        <f aca="false">IF($B35="","",INDEX(MASTER_DATABASE!$U$4:$U$1000,$B35)&amp;"")</f>
        <v>To Verify</v>
      </c>
      <c r="M35" s="7" t="str">
        <f aca="false">IF($B35="","",INDEX(MASTER_DATABASE!$Q$4:$Q$1000,$B35)&amp;"")</f>
        <v>Depends on Department</v>
      </c>
      <c r="N35" s="7" t="str">
        <f aca="false">IF($B35="","",INDEX(MASTER_DATABASE!$AG$4:$AG$1000,$B35)&amp;"")</f>
        <v>To Verify</v>
      </c>
      <c r="O35" s="11" t="str">
        <f aca="false">IF($B35="","",INDEX(MASTER_DATABASE!$AH$4:$AH$1000,$B35)&amp;"")</f>
        <v>No</v>
      </c>
      <c r="P35" s="11" t="str">
        <f aca="false">IF($B35="","",INDEX(MASTER_DATABASE!$BE$4:$BE$1000,$B35)&amp;"")</f>
        <v>HIDDEN</v>
      </c>
      <c r="Q35" s="7" t="str">
        <f aca="false">IF($B35="","",INDEX(MASTER_DATABASE!$AV$4:$AV$1000,$B35)&amp;"")</f>
        <v>To Verify</v>
      </c>
    </row>
    <row r="36" customFormat="false" ht="23.85" hidden="false" customHeight="false" outlineLevel="0" collapsed="false">
      <c r="A36" s="11" t="n">
        <v>33</v>
      </c>
      <c r="B36" s="11" t="n">
        <f aca="false">IFERROR(MATCH("Online Form &amp; Digital Services|"&amp;$A36,MASTER_DATABASE!$BH$4:$BH$1000,0),"")</f>
        <v>261</v>
      </c>
      <c r="C36" s="11" t="str">
        <f aca="false">IF($B36="","",INDEX(MASTER_DATABASE!$A$4:$A$1000,$B36)&amp;"")</f>
        <v>ONL-033</v>
      </c>
      <c r="D36" s="7" t="str">
        <f aca="false">IF($B36="","",INDEX(MASTER_DATABASE!$D$4:$D$1000,$B36)&amp;"")</f>
        <v>ID &amp; Document Services</v>
      </c>
      <c r="E36" s="7" t="str">
        <f aca="false">IF($B36="","",INDEX(MASTER_DATABASE!$E$4:$E$1000,$B36)&amp;"")</f>
        <v>PAN – Status Check</v>
      </c>
      <c r="F36" s="7" t="str">
        <f aca="false">IF($B36="","",INDEX(MASTER_DATABASE!$F$4:$F$1000,$B36)&amp;"")</f>
        <v>पैन – स्थिति जाँच</v>
      </c>
      <c r="G36" s="11" t="str">
        <f aca="false">IF($B36="","",INDEX(MASTER_DATABASE!$I$4:$I$1000,$B36)&amp;"")</f>
        <v>Portal Dependent</v>
      </c>
      <c r="H36" s="7" t="str">
        <f aca="false">IF($B36="","",INDEX(MASTER_DATABASE!$L$4:$L$1000,$B36)&amp;"")</f>
        <v>Portal Dependent</v>
      </c>
      <c r="I36" s="9" t="str">
        <f aca="false">IF($B36="","",INDEX(MASTER_DATABASE!$R$4:$R$1000,$B36))</f>
        <v>To Verify</v>
      </c>
      <c r="J36" s="9" t="str">
        <f aca="false">IF($B36="","",INDEX(MASTER_DATABASE!$S$4:$S$1000,$B36))</f>
        <v>To Verify</v>
      </c>
      <c r="K36" s="9" t="str">
        <f aca="false">IF($B36="","",INDEX(MASTER_DATABASE!$T$4:$T$1000,$B36))</f>
        <v>To Verify</v>
      </c>
      <c r="L36" s="7" t="str">
        <f aca="false">IF($B36="","",INDEX(MASTER_DATABASE!$U$4:$U$1000,$B36)&amp;"")</f>
        <v>To Verify</v>
      </c>
      <c r="M36" s="7" t="str">
        <f aca="false">IF($B36="","",INDEX(MASTER_DATABASE!$Q$4:$Q$1000,$B36)&amp;"")</f>
        <v>Depends on Department</v>
      </c>
      <c r="N36" s="7" t="str">
        <f aca="false">IF($B36="","",INDEX(MASTER_DATABASE!$AG$4:$AG$1000,$B36)&amp;"")</f>
        <v>To Verify</v>
      </c>
      <c r="O36" s="11" t="str">
        <f aca="false">IF($B36="","",INDEX(MASTER_DATABASE!$AH$4:$AH$1000,$B36)&amp;"")</f>
        <v>No</v>
      </c>
      <c r="P36" s="11" t="str">
        <f aca="false">IF($B36="","",INDEX(MASTER_DATABASE!$BE$4:$BE$1000,$B36)&amp;"")</f>
        <v>HIDDEN</v>
      </c>
      <c r="Q36" s="7" t="str">
        <f aca="false">IF($B36="","",INDEX(MASTER_DATABASE!$AV$4:$AV$1000,$B36)&amp;"")</f>
        <v>To Verify</v>
      </c>
    </row>
    <row r="37" customFormat="false" ht="23.85" hidden="false" customHeight="false" outlineLevel="0" collapsed="false">
      <c r="A37" s="11" t="n">
        <v>34</v>
      </c>
      <c r="B37" s="11" t="n">
        <f aca="false">IFERROR(MATCH("Online Form &amp; Digital Services|"&amp;$A37,MASTER_DATABASE!$BH$4:$BH$1000,0),"")</f>
        <v>262</v>
      </c>
      <c r="C37" s="11" t="str">
        <f aca="false">IF($B37="","",INDEX(MASTER_DATABASE!$A$4:$A$1000,$B37)&amp;"")</f>
        <v>ONL-034</v>
      </c>
      <c r="D37" s="7" t="str">
        <f aca="false">IF($B37="","",INDEX(MASTER_DATABASE!$D$4:$D$1000,$B37)&amp;"")</f>
        <v>ID &amp; Document Services</v>
      </c>
      <c r="E37" s="7" t="str">
        <f aca="false">IF($B37="","",INDEX(MASTER_DATABASE!$E$4:$E$1000,$B37)&amp;"")</f>
        <v>PAN–Aadhaar Link Assistance</v>
      </c>
      <c r="F37" s="7" t="str">
        <f aca="false">IF($B37="","",INDEX(MASTER_DATABASE!$F$4:$F$1000,$B37)&amp;"")</f>
        <v>पैन–आधार लिंक सहायता</v>
      </c>
      <c r="G37" s="11" t="str">
        <f aca="false">IF($B37="","",INDEX(MASTER_DATABASE!$I$4:$I$1000,$B37)&amp;"")</f>
        <v>Portal Dependent</v>
      </c>
      <c r="H37" s="7" t="str">
        <f aca="false">IF($B37="","",INDEX(MASTER_DATABASE!$L$4:$L$1000,$B37)&amp;"")</f>
        <v>Portal Dependent</v>
      </c>
      <c r="I37" s="9" t="str">
        <f aca="false">IF($B37="","",INDEX(MASTER_DATABASE!$R$4:$R$1000,$B37))</f>
        <v>To Verify</v>
      </c>
      <c r="J37" s="9" t="str">
        <f aca="false">IF($B37="","",INDEX(MASTER_DATABASE!$S$4:$S$1000,$B37))</f>
        <v>To Verify</v>
      </c>
      <c r="K37" s="9" t="str">
        <f aca="false">IF($B37="","",INDEX(MASTER_DATABASE!$T$4:$T$1000,$B37))</f>
        <v>To Verify</v>
      </c>
      <c r="L37" s="7" t="str">
        <f aca="false">IF($B37="","",INDEX(MASTER_DATABASE!$U$4:$U$1000,$B37)&amp;"")</f>
        <v>To Verify</v>
      </c>
      <c r="M37" s="7" t="str">
        <f aca="false">IF($B37="","",INDEX(MASTER_DATABASE!$Q$4:$Q$1000,$B37)&amp;"")</f>
        <v>Depends on Department</v>
      </c>
      <c r="N37" s="7" t="str">
        <f aca="false">IF($B37="","",INDEX(MASTER_DATABASE!$AG$4:$AG$1000,$B37)&amp;"")</f>
        <v>To Verify</v>
      </c>
      <c r="O37" s="11" t="str">
        <f aca="false">IF($B37="","",INDEX(MASTER_DATABASE!$AH$4:$AH$1000,$B37)&amp;"")</f>
        <v>No</v>
      </c>
      <c r="P37" s="11" t="str">
        <f aca="false">IF($B37="","",INDEX(MASTER_DATABASE!$BE$4:$BE$1000,$B37)&amp;"")</f>
        <v>HIDDEN</v>
      </c>
      <c r="Q37" s="7" t="str">
        <f aca="false">IF($B37="","",INDEX(MASTER_DATABASE!$AV$4:$AV$1000,$B37)&amp;"")</f>
        <v>To Verify</v>
      </c>
    </row>
    <row r="38" customFormat="false" ht="23.85" hidden="false" customHeight="false" outlineLevel="0" collapsed="false">
      <c r="A38" s="11" t="n">
        <v>35</v>
      </c>
      <c r="B38" s="11" t="n">
        <f aca="false">IFERROR(MATCH("Online Form &amp; Digital Services|"&amp;$A38,MASTER_DATABASE!$BH$4:$BH$1000,0),"")</f>
        <v>263</v>
      </c>
      <c r="C38" s="11" t="str">
        <f aca="false">IF($B38="","",INDEX(MASTER_DATABASE!$A$4:$A$1000,$B38)&amp;"")</f>
        <v>ONL-035</v>
      </c>
      <c r="D38" s="7" t="str">
        <f aca="false">IF($B38="","",INDEX(MASTER_DATABASE!$D$4:$D$1000,$B38)&amp;"")</f>
        <v>ID &amp; Document Services</v>
      </c>
      <c r="E38" s="7" t="str">
        <f aca="false">IF($B38="","",INDEX(MASTER_DATABASE!$E$4:$E$1000,$B38)&amp;"")</f>
        <v>Voter ID – New Registration (Form 6)</v>
      </c>
      <c r="F38" s="7" t="str">
        <f aca="false">IF($B38="","",INDEX(MASTER_DATABASE!$F$4:$F$1000,$B38)&amp;"")</f>
        <v>वोटर आईडी – नया पंजीकरण (फॉर्म 6)</v>
      </c>
      <c r="G38" s="11" t="str">
        <f aca="false">IF($B38="","",INDEX(MASTER_DATABASE!$I$4:$I$1000,$B38)&amp;"")</f>
        <v>Portal Dependent</v>
      </c>
      <c r="H38" s="7" t="str">
        <f aca="false">IF($B38="","",INDEX(MASTER_DATABASE!$L$4:$L$1000,$B38)&amp;"")</f>
        <v>Portal Dependent</v>
      </c>
      <c r="I38" s="9" t="str">
        <f aca="false">IF($B38="","",INDEX(MASTER_DATABASE!$R$4:$R$1000,$B38))</f>
        <v>To Verify</v>
      </c>
      <c r="J38" s="9" t="str">
        <f aca="false">IF($B38="","",INDEX(MASTER_DATABASE!$S$4:$S$1000,$B38))</f>
        <v>To Verify</v>
      </c>
      <c r="K38" s="9" t="str">
        <f aca="false">IF($B38="","",INDEX(MASTER_DATABASE!$T$4:$T$1000,$B38))</f>
        <v>To Verify</v>
      </c>
      <c r="L38" s="7" t="str">
        <f aca="false">IF($B38="","",INDEX(MASTER_DATABASE!$U$4:$U$1000,$B38)&amp;"")</f>
        <v>To Verify</v>
      </c>
      <c r="M38" s="7" t="str">
        <f aca="false">IF($B38="","",INDEX(MASTER_DATABASE!$Q$4:$Q$1000,$B38)&amp;"")</f>
        <v>Depends on Department</v>
      </c>
      <c r="N38" s="7" t="str">
        <f aca="false">IF($B38="","",INDEX(MASTER_DATABASE!$AG$4:$AG$1000,$B38)&amp;"")</f>
        <v>To Verify</v>
      </c>
      <c r="O38" s="11" t="str">
        <f aca="false">IF($B38="","",INDEX(MASTER_DATABASE!$AH$4:$AH$1000,$B38)&amp;"")</f>
        <v>No</v>
      </c>
      <c r="P38" s="11" t="str">
        <f aca="false">IF($B38="","",INDEX(MASTER_DATABASE!$BE$4:$BE$1000,$B38)&amp;"")</f>
        <v>HIDDEN</v>
      </c>
      <c r="Q38" s="7" t="str">
        <f aca="false">IF($B38="","",INDEX(MASTER_DATABASE!$AV$4:$AV$1000,$B38)&amp;"")</f>
        <v>To Verify</v>
      </c>
    </row>
    <row r="39" customFormat="false" ht="23.85" hidden="false" customHeight="false" outlineLevel="0" collapsed="false">
      <c r="A39" s="11" t="n">
        <v>36</v>
      </c>
      <c r="B39" s="11" t="n">
        <f aca="false">IFERROR(MATCH("Online Form &amp; Digital Services|"&amp;$A39,MASTER_DATABASE!$BH$4:$BH$1000,0),"")</f>
        <v>264</v>
      </c>
      <c r="C39" s="11" t="str">
        <f aca="false">IF($B39="","",INDEX(MASTER_DATABASE!$A$4:$A$1000,$B39)&amp;"")</f>
        <v>ONL-036</v>
      </c>
      <c r="D39" s="7" t="str">
        <f aca="false">IF($B39="","",INDEX(MASTER_DATABASE!$D$4:$D$1000,$B39)&amp;"")</f>
        <v>ID &amp; Document Services</v>
      </c>
      <c r="E39" s="7" t="str">
        <f aca="false">IF($B39="","",INDEX(MASTER_DATABASE!$E$4:$E$1000,$B39)&amp;"")</f>
        <v>Voter ID – Correction (Form 8)</v>
      </c>
      <c r="F39" s="7" t="str">
        <f aca="false">IF($B39="","",INDEX(MASTER_DATABASE!$F$4:$F$1000,$B39)&amp;"")</f>
        <v>वोटर आईडी – सुधार (फॉर्म 8)</v>
      </c>
      <c r="G39" s="11" t="str">
        <f aca="false">IF($B39="","",INDEX(MASTER_DATABASE!$I$4:$I$1000,$B39)&amp;"")</f>
        <v>Portal Dependent</v>
      </c>
      <c r="H39" s="7" t="str">
        <f aca="false">IF($B39="","",INDEX(MASTER_DATABASE!$L$4:$L$1000,$B39)&amp;"")</f>
        <v>Portal Dependent</v>
      </c>
      <c r="I39" s="9" t="str">
        <f aca="false">IF($B39="","",INDEX(MASTER_DATABASE!$R$4:$R$1000,$B39))</f>
        <v>To Verify</v>
      </c>
      <c r="J39" s="9" t="str">
        <f aca="false">IF($B39="","",INDEX(MASTER_DATABASE!$S$4:$S$1000,$B39))</f>
        <v>To Verify</v>
      </c>
      <c r="K39" s="9" t="str">
        <f aca="false">IF($B39="","",INDEX(MASTER_DATABASE!$T$4:$T$1000,$B39))</f>
        <v>To Verify</v>
      </c>
      <c r="L39" s="7" t="str">
        <f aca="false">IF($B39="","",INDEX(MASTER_DATABASE!$U$4:$U$1000,$B39)&amp;"")</f>
        <v>To Verify</v>
      </c>
      <c r="M39" s="7" t="str">
        <f aca="false">IF($B39="","",INDEX(MASTER_DATABASE!$Q$4:$Q$1000,$B39)&amp;"")</f>
        <v>Depends on Department</v>
      </c>
      <c r="N39" s="7" t="str">
        <f aca="false">IF($B39="","",INDEX(MASTER_DATABASE!$AG$4:$AG$1000,$B39)&amp;"")</f>
        <v>To Verify</v>
      </c>
      <c r="O39" s="11" t="str">
        <f aca="false">IF($B39="","",INDEX(MASTER_DATABASE!$AH$4:$AH$1000,$B39)&amp;"")</f>
        <v>No</v>
      </c>
      <c r="P39" s="11" t="str">
        <f aca="false">IF($B39="","",INDEX(MASTER_DATABASE!$BE$4:$BE$1000,$B39)&amp;"")</f>
        <v>HIDDEN</v>
      </c>
      <c r="Q39" s="7" t="str">
        <f aca="false">IF($B39="","",INDEX(MASTER_DATABASE!$AV$4:$AV$1000,$B39)&amp;"")</f>
        <v>To Verify</v>
      </c>
    </row>
    <row r="40" customFormat="false" ht="23.85" hidden="false" customHeight="false" outlineLevel="0" collapsed="false">
      <c r="A40" s="11" t="n">
        <v>37</v>
      </c>
      <c r="B40" s="11" t="n">
        <f aca="false">IFERROR(MATCH("Online Form &amp; Digital Services|"&amp;$A40,MASTER_DATABASE!$BH$4:$BH$1000,0),"")</f>
        <v>265</v>
      </c>
      <c r="C40" s="11" t="str">
        <f aca="false">IF($B40="","",INDEX(MASTER_DATABASE!$A$4:$A$1000,$B40)&amp;"")</f>
        <v>ONL-037</v>
      </c>
      <c r="D40" s="7" t="str">
        <f aca="false">IF($B40="","",INDEX(MASTER_DATABASE!$D$4:$D$1000,$B40)&amp;"")</f>
        <v>ID &amp; Document Services</v>
      </c>
      <c r="E40" s="7" t="str">
        <f aca="false">IF($B40="","",INDEX(MASTER_DATABASE!$E$4:$E$1000,$B40)&amp;"")</f>
        <v>Voter ID (e-EPIC) Download</v>
      </c>
      <c r="F40" s="7" t="str">
        <f aca="false">IF($B40="","",INDEX(MASTER_DATABASE!$F$4:$F$1000,$B40)&amp;"")</f>
        <v>वोटर आईडी (e-EPIC) डाउनलोड</v>
      </c>
      <c r="G40" s="11" t="str">
        <f aca="false">IF($B40="","",INDEX(MASTER_DATABASE!$I$4:$I$1000,$B40)&amp;"")</f>
        <v>Portal Dependent</v>
      </c>
      <c r="H40" s="7" t="str">
        <f aca="false">IF($B40="","",INDEX(MASTER_DATABASE!$L$4:$L$1000,$B40)&amp;"")</f>
        <v>Portal Dependent</v>
      </c>
      <c r="I40" s="9" t="str">
        <f aca="false">IF($B40="","",INDEX(MASTER_DATABASE!$R$4:$R$1000,$B40))</f>
        <v>To Verify</v>
      </c>
      <c r="J40" s="9" t="str">
        <f aca="false">IF($B40="","",INDEX(MASTER_DATABASE!$S$4:$S$1000,$B40))</f>
        <v>To Verify</v>
      </c>
      <c r="K40" s="9" t="str">
        <f aca="false">IF($B40="","",INDEX(MASTER_DATABASE!$T$4:$T$1000,$B40))</f>
        <v>To Verify</v>
      </c>
      <c r="L40" s="7" t="str">
        <f aca="false">IF($B40="","",INDEX(MASTER_DATABASE!$U$4:$U$1000,$B40)&amp;"")</f>
        <v>To Verify</v>
      </c>
      <c r="M40" s="7" t="str">
        <f aca="false">IF($B40="","",INDEX(MASTER_DATABASE!$Q$4:$Q$1000,$B40)&amp;"")</f>
        <v>Depends on Department</v>
      </c>
      <c r="N40" s="7" t="str">
        <f aca="false">IF($B40="","",INDEX(MASTER_DATABASE!$AG$4:$AG$1000,$B40)&amp;"")</f>
        <v>To Verify</v>
      </c>
      <c r="O40" s="11" t="str">
        <f aca="false">IF($B40="","",INDEX(MASTER_DATABASE!$AH$4:$AH$1000,$B40)&amp;"")</f>
        <v>No</v>
      </c>
      <c r="P40" s="11" t="str">
        <f aca="false">IF($B40="","",INDEX(MASTER_DATABASE!$BE$4:$BE$1000,$B40)&amp;"")</f>
        <v>HIDDEN</v>
      </c>
      <c r="Q40" s="7" t="str">
        <f aca="false">IF($B40="","",INDEX(MASTER_DATABASE!$AV$4:$AV$1000,$B40)&amp;"")</f>
        <v>To Verify</v>
      </c>
    </row>
    <row r="41" customFormat="false" ht="23.85" hidden="false" customHeight="false" outlineLevel="0" collapsed="false">
      <c r="A41" s="11" t="n">
        <v>38</v>
      </c>
      <c r="B41" s="11" t="n">
        <f aca="false">IFERROR(MATCH("Online Form &amp; Digital Services|"&amp;$A41,MASTER_DATABASE!$BH$4:$BH$1000,0),"")</f>
        <v>266</v>
      </c>
      <c r="C41" s="11" t="str">
        <f aca="false">IF($B41="","",INDEX(MASTER_DATABASE!$A$4:$A$1000,$B41)&amp;"")</f>
        <v>ONL-038</v>
      </c>
      <c r="D41" s="7" t="str">
        <f aca="false">IF($B41="","",INDEX(MASTER_DATABASE!$D$4:$D$1000,$B41)&amp;"")</f>
        <v>ID &amp; Document Services</v>
      </c>
      <c r="E41" s="7" t="str">
        <f aca="false">IF($B41="","",INDEX(MASTER_DATABASE!$E$4:$E$1000,$B41)&amp;"")</f>
        <v>Voter List Name Search</v>
      </c>
      <c r="F41" s="7" t="str">
        <f aca="false">IF($B41="","",INDEX(MASTER_DATABASE!$F$4:$F$1000,$B41)&amp;"")</f>
        <v>वोटर लिस्ट में नाम खोजना</v>
      </c>
      <c r="G41" s="11" t="str">
        <f aca="false">IF($B41="","",INDEX(MASTER_DATABASE!$I$4:$I$1000,$B41)&amp;"")</f>
        <v>Portal Dependent</v>
      </c>
      <c r="H41" s="7" t="str">
        <f aca="false">IF($B41="","",INDEX(MASTER_DATABASE!$L$4:$L$1000,$B41)&amp;"")</f>
        <v>Portal Dependent</v>
      </c>
      <c r="I41" s="9" t="str">
        <f aca="false">IF($B41="","",INDEX(MASTER_DATABASE!$R$4:$R$1000,$B41))</f>
        <v>To Verify</v>
      </c>
      <c r="J41" s="9" t="str">
        <f aca="false">IF($B41="","",INDEX(MASTER_DATABASE!$S$4:$S$1000,$B41))</f>
        <v>To Verify</v>
      </c>
      <c r="K41" s="9" t="str">
        <f aca="false">IF($B41="","",INDEX(MASTER_DATABASE!$T$4:$T$1000,$B41))</f>
        <v>To Verify</v>
      </c>
      <c r="L41" s="7" t="str">
        <f aca="false">IF($B41="","",INDEX(MASTER_DATABASE!$U$4:$U$1000,$B41)&amp;"")</f>
        <v>To Verify</v>
      </c>
      <c r="M41" s="7" t="str">
        <f aca="false">IF($B41="","",INDEX(MASTER_DATABASE!$Q$4:$Q$1000,$B41)&amp;"")</f>
        <v>Depends on Department</v>
      </c>
      <c r="N41" s="7" t="str">
        <f aca="false">IF($B41="","",INDEX(MASTER_DATABASE!$AG$4:$AG$1000,$B41)&amp;"")</f>
        <v>To Verify</v>
      </c>
      <c r="O41" s="11" t="str">
        <f aca="false">IF($B41="","",INDEX(MASTER_DATABASE!$AH$4:$AH$1000,$B41)&amp;"")</f>
        <v>No</v>
      </c>
      <c r="P41" s="11" t="str">
        <f aca="false">IF($B41="","",INDEX(MASTER_DATABASE!$BE$4:$BE$1000,$B41)&amp;"")</f>
        <v>HIDDEN</v>
      </c>
      <c r="Q41" s="7" t="str">
        <f aca="false">IF($B41="","",INDEX(MASTER_DATABASE!$AV$4:$AV$1000,$B41)&amp;"")</f>
        <v>To Verify</v>
      </c>
    </row>
    <row r="42" customFormat="false" ht="23.85" hidden="false" customHeight="false" outlineLevel="0" collapsed="false">
      <c r="A42" s="11" t="n">
        <v>39</v>
      </c>
      <c r="B42" s="11" t="n">
        <f aca="false">IFERROR(MATCH("Online Form &amp; Digital Services|"&amp;$A42,MASTER_DATABASE!$BH$4:$BH$1000,0),"")</f>
        <v>267</v>
      </c>
      <c r="C42" s="11" t="str">
        <f aca="false">IF($B42="","",INDEX(MASTER_DATABASE!$A$4:$A$1000,$B42)&amp;"")</f>
        <v>ONL-039</v>
      </c>
      <c r="D42" s="7" t="str">
        <f aca="false">IF($B42="","",INDEX(MASTER_DATABASE!$D$4:$D$1000,$B42)&amp;"")</f>
        <v>ID &amp; Document Services</v>
      </c>
      <c r="E42" s="7" t="str">
        <f aca="false">IF($B42="","",INDEX(MASTER_DATABASE!$E$4:$E$1000,$B42)&amp;"")</f>
        <v>Voter ID–Aadhaar Link (Form 6B)</v>
      </c>
      <c r="F42" s="7" t="str">
        <f aca="false">IF($B42="","",INDEX(MASTER_DATABASE!$F$4:$F$1000,$B42)&amp;"")</f>
        <v>वोटर आईडी–आधार लिंक (फॉर्म 6B)</v>
      </c>
      <c r="G42" s="11" t="str">
        <f aca="false">IF($B42="","",INDEX(MASTER_DATABASE!$I$4:$I$1000,$B42)&amp;"")</f>
        <v>Portal Dependent</v>
      </c>
      <c r="H42" s="7" t="str">
        <f aca="false">IF($B42="","",INDEX(MASTER_DATABASE!$L$4:$L$1000,$B42)&amp;"")</f>
        <v>Portal Dependent</v>
      </c>
      <c r="I42" s="9" t="str">
        <f aca="false">IF($B42="","",INDEX(MASTER_DATABASE!$R$4:$R$1000,$B42))</f>
        <v>To Verify</v>
      </c>
      <c r="J42" s="9" t="str">
        <f aca="false">IF($B42="","",INDEX(MASTER_DATABASE!$S$4:$S$1000,$B42))</f>
        <v>To Verify</v>
      </c>
      <c r="K42" s="9" t="str">
        <f aca="false">IF($B42="","",INDEX(MASTER_DATABASE!$T$4:$T$1000,$B42))</f>
        <v>To Verify</v>
      </c>
      <c r="L42" s="7" t="str">
        <f aca="false">IF($B42="","",INDEX(MASTER_DATABASE!$U$4:$U$1000,$B42)&amp;"")</f>
        <v>To Verify</v>
      </c>
      <c r="M42" s="7" t="str">
        <f aca="false">IF($B42="","",INDEX(MASTER_DATABASE!$Q$4:$Q$1000,$B42)&amp;"")</f>
        <v>Depends on Department</v>
      </c>
      <c r="N42" s="7" t="str">
        <f aca="false">IF($B42="","",INDEX(MASTER_DATABASE!$AG$4:$AG$1000,$B42)&amp;"")</f>
        <v>To Verify</v>
      </c>
      <c r="O42" s="11" t="str">
        <f aca="false">IF($B42="","",INDEX(MASTER_DATABASE!$AH$4:$AH$1000,$B42)&amp;"")</f>
        <v>No</v>
      </c>
      <c r="P42" s="11" t="str">
        <f aca="false">IF($B42="","",INDEX(MASTER_DATABASE!$BE$4:$BE$1000,$B42)&amp;"")</f>
        <v>HIDDEN</v>
      </c>
      <c r="Q42" s="7" t="str">
        <f aca="false">IF($B42="","",INDEX(MASTER_DATABASE!$AV$4:$AV$1000,$B42)&amp;"")</f>
        <v>To Verify</v>
      </c>
    </row>
    <row r="43" customFormat="false" ht="15" hidden="false" customHeight="false" outlineLevel="0" collapsed="false">
      <c r="A43" s="11" t="n">
        <v>40</v>
      </c>
      <c r="B43" s="11" t="str">
        <f aca="false">IFERROR(MATCH("Online Form &amp; Digital Services|"&amp;$A43,MASTER_DATABASE!$BH$4:$BH$1000,0),"")</f>
        <v/>
      </c>
      <c r="C43" s="11" t="str">
        <f aca="false">IF($B43="","",INDEX(MASTER_DATABASE!$A$4:$A$1000,$B43)&amp;"")</f>
        <v/>
      </c>
      <c r="D43" s="7" t="str">
        <f aca="false">IF($B43="","",INDEX(MASTER_DATABASE!$D$4:$D$1000,$B43)&amp;"")</f>
        <v/>
      </c>
      <c r="E43" s="7" t="str">
        <f aca="false">IF($B43="","",INDEX(MASTER_DATABASE!$E$4:$E$1000,$B43)&amp;"")</f>
        <v/>
      </c>
      <c r="F43" s="7" t="str">
        <f aca="false">IF($B43="","",INDEX(MASTER_DATABASE!$F$4:$F$1000,$B43)&amp;"")</f>
        <v/>
      </c>
      <c r="G43" s="11" t="str">
        <f aca="false">IF($B43="","",INDEX(MASTER_DATABASE!$I$4:$I$1000,$B43)&amp;"")</f>
        <v/>
      </c>
      <c r="H43" s="7" t="str">
        <f aca="false">IF($B43="","",INDEX(MASTER_DATABASE!$L$4:$L$1000,$B43)&amp;"")</f>
        <v/>
      </c>
      <c r="I43" s="9" t="str">
        <f aca="false">IF($B43="","",INDEX(MASTER_DATABASE!$R$4:$R$1000,$B43))</f>
        <v/>
      </c>
      <c r="J43" s="9" t="str">
        <f aca="false">IF($B43="","",INDEX(MASTER_DATABASE!$S$4:$S$1000,$B43))</f>
        <v/>
      </c>
      <c r="K43" s="9" t="str">
        <f aca="false">IF($B43="","",INDEX(MASTER_DATABASE!$T$4:$T$1000,$B43))</f>
        <v/>
      </c>
      <c r="L43" s="7" t="str">
        <f aca="false">IF($B43="","",INDEX(MASTER_DATABASE!$U$4:$U$1000,$B43)&amp;"")</f>
        <v/>
      </c>
      <c r="M43" s="7" t="str">
        <f aca="false">IF($B43="","",INDEX(MASTER_DATABASE!$Q$4:$Q$1000,$B43)&amp;"")</f>
        <v/>
      </c>
      <c r="N43" s="7" t="str">
        <f aca="false">IF($B43="","",INDEX(MASTER_DATABASE!$AG$4:$AG$1000,$B43)&amp;"")</f>
        <v/>
      </c>
      <c r="O43" s="11" t="str">
        <f aca="false">IF($B43="","",INDEX(MASTER_DATABASE!$AH$4:$AH$1000,$B43)&amp;"")</f>
        <v/>
      </c>
      <c r="P43" s="11" t="str">
        <f aca="false">IF($B43="","",INDEX(MASTER_DATABASE!$BE$4:$BE$1000,$B43)&amp;"")</f>
        <v/>
      </c>
      <c r="Q43" s="7" t="str">
        <f aca="false">IF($B43="","",INDEX(MASTER_DATABASE!$AV$4:$AV$1000,$B43)&amp;"")</f>
        <v/>
      </c>
    </row>
    <row r="44" customFormat="false" ht="15" hidden="false" customHeight="false" outlineLevel="0" collapsed="false">
      <c r="A44" s="11" t="n">
        <v>41</v>
      </c>
      <c r="B44" s="11" t="str">
        <f aca="false">IFERROR(MATCH("Online Form &amp; Digital Services|"&amp;$A44,MASTER_DATABASE!$BH$4:$BH$1000,0),"")</f>
        <v/>
      </c>
      <c r="C44" s="11" t="str">
        <f aca="false">IF($B44="","",INDEX(MASTER_DATABASE!$A$4:$A$1000,$B44)&amp;"")</f>
        <v/>
      </c>
      <c r="D44" s="7" t="str">
        <f aca="false">IF($B44="","",INDEX(MASTER_DATABASE!$D$4:$D$1000,$B44)&amp;"")</f>
        <v/>
      </c>
      <c r="E44" s="7" t="str">
        <f aca="false">IF($B44="","",INDEX(MASTER_DATABASE!$E$4:$E$1000,$B44)&amp;"")</f>
        <v/>
      </c>
      <c r="F44" s="7" t="str">
        <f aca="false">IF($B44="","",INDEX(MASTER_DATABASE!$F$4:$F$1000,$B44)&amp;"")</f>
        <v/>
      </c>
      <c r="G44" s="11" t="str">
        <f aca="false">IF($B44="","",INDEX(MASTER_DATABASE!$I$4:$I$1000,$B44)&amp;"")</f>
        <v/>
      </c>
      <c r="H44" s="7" t="str">
        <f aca="false">IF($B44="","",INDEX(MASTER_DATABASE!$L$4:$L$1000,$B44)&amp;"")</f>
        <v/>
      </c>
      <c r="I44" s="9" t="str">
        <f aca="false">IF($B44="","",INDEX(MASTER_DATABASE!$R$4:$R$1000,$B44))</f>
        <v/>
      </c>
      <c r="J44" s="9" t="str">
        <f aca="false">IF($B44="","",INDEX(MASTER_DATABASE!$S$4:$S$1000,$B44))</f>
        <v/>
      </c>
      <c r="K44" s="9" t="str">
        <f aca="false">IF($B44="","",INDEX(MASTER_DATABASE!$T$4:$T$1000,$B44))</f>
        <v/>
      </c>
      <c r="L44" s="7" t="str">
        <f aca="false">IF($B44="","",INDEX(MASTER_DATABASE!$U$4:$U$1000,$B44)&amp;"")</f>
        <v/>
      </c>
      <c r="M44" s="7" t="str">
        <f aca="false">IF($B44="","",INDEX(MASTER_DATABASE!$Q$4:$Q$1000,$B44)&amp;"")</f>
        <v/>
      </c>
      <c r="N44" s="7" t="str">
        <f aca="false">IF($B44="","",INDEX(MASTER_DATABASE!$AG$4:$AG$1000,$B44)&amp;"")</f>
        <v/>
      </c>
      <c r="O44" s="11" t="str">
        <f aca="false">IF($B44="","",INDEX(MASTER_DATABASE!$AH$4:$AH$1000,$B44)&amp;"")</f>
        <v/>
      </c>
      <c r="P44" s="11" t="str">
        <f aca="false">IF($B44="","",INDEX(MASTER_DATABASE!$BE$4:$BE$1000,$B44)&amp;"")</f>
        <v/>
      </c>
      <c r="Q44" s="7" t="str">
        <f aca="false">IF($B44="","",INDEX(MASTER_DATABASE!$AV$4:$AV$1000,$B44)&amp;"")</f>
        <v/>
      </c>
    </row>
    <row r="45" customFormat="false" ht="15" hidden="false" customHeight="false" outlineLevel="0" collapsed="false">
      <c r="A45" s="11" t="n">
        <v>42</v>
      </c>
      <c r="B45" s="11" t="str">
        <f aca="false">IFERROR(MATCH("Online Form &amp; Digital Services|"&amp;$A45,MASTER_DATABASE!$BH$4:$BH$1000,0),"")</f>
        <v/>
      </c>
      <c r="C45" s="11" t="str">
        <f aca="false">IF($B45="","",INDEX(MASTER_DATABASE!$A$4:$A$1000,$B45)&amp;"")</f>
        <v/>
      </c>
      <c r="D45" s="7" t="str">
        <f aca="false">IF($B45="","",INDEX(MASTER_DATABASE!$D$4:$D$1000,$B45)&amp;"")</f>
        <v/>
      </c>
      <c r="E45" s="7" t="str">
        <f aca="false">IF($B45="","",INDEX(MASTER_DATABASE!$E$4:$E$1000,$B45)&amp;"")</f>
        <v/>
      </c>
      <c r="F45" s="7" t="str">
        <f aca="false">IF($B45="","",INDEX(MASTER_DATABASE!$F$4:$F$1000,$B45)&amp;"")</f>
        <v/>
      </c>
      <c r="G45" s="11" t="str">
        <f aca="false">IF($B45="","",INDEX(MASTER_DATABASE!$I$4:$I$1000,$B45)&amp;"")</f>
        <v/>
      </c>
      <c r="H45" s="7" t="str">
        <f aca="false">IF($B45="","",INDEX(MASTER_DATABASE!$L$4:$L$1000,$B45)&amp;"")</f>
        <v/>
      </c>
      <c r="I45" s="9" t="str">
        <f aca="false">IF($B45="","",INDEX(MASTER_DATABASE!$R$4:$R$1000,$B45))</f>
        <v/>
      </c>
      <c r="J45" s="9" t="str">
        <f aca="false">IF($B45="","",INDEX(MASTER_DATABASE!$S$4:$S$1000,$B45))</f>
        <v/>
      </c>
      <c r="K45" s="9" t="str">
        <f aca="false">IF($B45="","",INDEX(MASTER_DATABASE!$T$4:$T$1000,$B45))</f>
        <v/>
      </c>
      <c r="L45" s="7" t="str">
        <f aca="false">IF($B45="","",INDEX(MASTER_DATABASE!$U$4:$U$1000,$B45)&amp;"")</f>
        <v/>
      </c>
      <c r="M45" s="7" t="str">
        <f aca="false">IF($B45="","",INDEX(MASTER_DATABASE!$Q$4:$Q$1000,$B45)&amp;"")</f>
        <v/>
      </c>
      <c r="N45" s="7" t="str">
        <f aca="false">IF($B45="","",INDEX(MASTER_DATABASE!$AG$4:$AG$1000,$B45)&amp;"")</f>
        <v/>
      </c>
      <c r="O45" s="11" t="str">
        <f aca="false">IF($B45="","",INDEX(MASTER_DATABASE!$AH$4:$AH$1000,$B45)&amp;"")</f>
        <v/>
      </c>
      <c r="P45" s="11" t="str">
        <f aca="false">IF($B45="","",INDEX(MASTER_DATABASE!$BE$4:$BE$1000,$B45)&amp;"")</f>
        <v/>
      </c>
      <c r="Q45" s="7" t="str">
        <f aca="false">IF($B45="","",INDEX(MASTER_DATABASE!$AV$4:$AV$1000,$B45)&amp;"")</f>
        <v/>
      </c>
    </row>
    <row r="46" customFormat="false" ht="15" hidden="false" customHeight="false" outlineLevel="0" collapsed="false">
      <c r="A46" s="11" t="n">
        <v>43</v>
      </c>
      <c r="B46" s="11" t="str">
        <f aca="false">IFERROR(MATCH("Online Form &amp; Digital Services|"&amp;$A46,MASTER_DATABASE!$BH$4:$BH$1000,0),"")</f>
        <v/>
      </c>
      <c r="C46" s="11" t="str">
        <f aca="false">IF($B46="","",INDEX(MASTER_DATABASE!$A$4:$A$1000,$B46)&amp;"")</f>
        <v/>
      </c>
      <c r="D46" s="7" t="str">
        <f aca="false">IF($B46="","",INDEX(MASTER_DATABASE!$D$4:$D$1000,$B46)&amp;"")</f>
        <v/>
      </c>
      <c r="E46" s="7" t="str">
        <f aca="false">IF($B46="","",INDEX(MASTER_DATABASE!$E$4:$E$1000,$B46)&amp;"")</f>
        <v/>
      </c>
      <c r="F46" s="7" t="str">
        <f aca="false">IF($B46="","",INDEX(MASTER_DATABASE!$F$4:$F$1000,$B46)&amp;"")</f>
        <v/>
      </c>
      <c r="G46" s="11" t="str">
        <f aca="false">IF($B46="","",INDEX(MASTER_DATABASE!$I$4:$I$1000,$B46)&amp;"")</f>
        <v/>
      </c>
      <c r="H46" s="7" t="str">
        <f aca="false">IF($B46="","",INDEX(MASTER_DATABASE!$L$4:$L$1000,$B46)&amp;"")</f>
        <v/>
      </c>
      <c r="I46" s="9" t="str">
        <f aca="false">IF($B46="","",INDEX(MASTER_DATABASE!$R$4:$R$1000,$B46))</f>
        <v/>
      </c>
      <c r="J46" s="9" t="str">
        <f aca="false">IF($B46="","",INDEX(MASTER_DATABASE!$S$4:$S$1000,$B46))</f>
        <v/>
      </c>
      <c r="K46" s="9" t="str">
        <f aca="false">IF($B46="","",INDEX(MASTER_DATABASE!$T$4:$T$1000,$B46))</f>
        <v/>
      </c>
      <c r="L46" s="7" t="str">
        <f aca="false">IF($B46="","",INDEX(MASTER_DATABASE!$U$4:$U$1000,$B46)&amp;"")</f>
        <v/>
      </c>
      <c r="M46" s="7" t="str">
        <f aca="false">IF($B46="","",INDEX(MASTER_DATABASE!$Q$4:$Q$1000,$B46)&amp;"")</f>
        <v/>
      </c>
      <c r="N46" s="7" t="str">
        <f aca="false">IF($B46="","",INDEX(MASTER_DATABASE!$AG$4:$AG$1000,$B46)&amp;"")</f>
        <v/>
      </c>
      <c r="O46" s="11" t="str">
        <f aca="false">IF($B46="","",INDEX(MASTER_DATABASE!$AH$4:$AH$1000,$B46)&amp;"")</f>
        <v/>
      </c>
      <c r="P46" s="11" t="str">
        <f aca="false">IF($B46="","",INDEX(MASTER_DATABASE!$BE$4:$BE$1000,$B46)&amp;"")</f>
        <v/>
      </c>
      <c r="Q46" s="7" t="str">
        <f aca="false">IF($B46="","",INDEX(MASTER_DATABASE!$AV$4:$AV$1000,$B46)&amp;"")</f>
        <v/>
      </c>
    </row>
    <row r="47" customFormat="false" ht="15" hidden="false" customHeight="false" outlineLevel="0" collapsed="false">
      <c r="A47" s="11" t="n">
        <v>44</v>
      </c>
      <c r="B47" s="11" t="str">
        <f aca="false">IFERROR(MATCH("Online Form &amp; Digital Services|"&amp;$A47,MASTER_DATABASE!$BH$4:$BH$1000,0),"")</f>
        <v/>
      </c>
      <c r="C47" s="11" t="str">
        <f aca="false">IF($B47="","",INDEX(MASTER_DATABASE!$A$4:$A$1000,$B47)&amp;"")</f>
        <v/>
      </c>
      <c r="D47" s="7" t="str">
        <f aca="false">IF($B47="","",INDEX(MASTER_DATABASE!$D$4:$D$1000,$B47)&amp;"")</f>
        <v/>
      </c>
      <c r="E47" s="7" t="str">
        <f aca="false">IF($B47="","",INDEX(MASTER_DATABASE!$E$4:$E$1000,$B47)&amp;"")</f>
        <v/>
      </c>
      <c r="F47" s="7" t="str">
        <f aca="false">IF($B47="","",INDEX(MASTER_DATABASE!$F$4:$F$1000,$B47)&amp;"")</f>
        <v/>
      </c>
      <c r="G47" s="11" t="str">
        <f aca="false">IF($B47="","",INDEX(MASTER_DATABASE!$I$4:$I$1000,$B47)&amp;"")</f>
        <v/>
      </c>
      <c r="H47" s="7" t="str">
        <f aca="false">IF($B47="","",INDEX(MASTER_DATABASE!$L$4:$L$1000,$B47)&amp;"")</f>
        <v/>
      </c>
      <c r="I47" s="9" t="str">
        <f aca="false">IF($B47="","",INDEX(MASTER_DATABASE!$R$4:$R$1000,$B47))</f>
        <v/>
      </c>
      <c r="J47" s="9" t="str">
        <f aca="false">IF($B47="","",INDEX(MASTER_DATABASE!$S$4:$S$1000,$B47))</f>
        <v/>
      </c>
      <c r="K47" s="9" t="str">
        <f aca="false">IF($B47="","",INDEX(MASTER_DATABASE!$T$4:$T$1000,$B47))</f>
        <v/>
      </c>
      <c r="L47" s="7" t="str">
        <f aca="false">IF($B47="","",INDEX(MASTER_DATABASE!$U$4:$U$1000,$B47)&amp;"")</f>
        <v/>
      </c>
      <c r="M47" s="7" t="str">
        <f aca="false">IF($B47="","",INDEX(MASTER_DATABASE!$Q$4:$Q$1000,$B47)&amp;"")</f>
        <v/>
      </c>
      <c r="N47" s="7" t="str">
        <f aca="false">IF($B47="","",INDEX(MASTER_DATABASE!$AG$4:$AG$1000,$B47)&amp;"")</f>
        <v/>
      </c>
      <c r="O47" s="11" t="str">
        <f aca="false">IF($B47="","",INDEX(MASTER_DATABASE!$AH$4:$AH$1000,$B47)&amp;"")</f>
        <v/>
      </c>
      <c r="P47" s="11" t="str">
        <f aca="false">IF($B47="","",INDEX(MASTER_DATABASE!$BE$4:$BE$1000,$B47)&amp;"")</f>
        <v/>
      </c>
      <c r="Q47" s="7" t="str">
        <f aca="false">IF($B47="","",INDEX(MASTER_DATABASE!$AV$4:$AV$1000,$B47)&amp;"")</f>
        <v/>
      </c>
    </row>
    <row r="48" customFormat="false" ht="15" hidden="false" customHeight="false" outlineLevel="0" collapsed="false">
      <c r="A48" s="11" t="n">
        <v>45</v>
      </c>
      <c r="B48" s="11" t="str">
        <f aca="false">IFERROR(MATCH("Online Form &amp; Digital Services|"&amp;$A48,MASTER_DATABASE!$BH$4:$BH$1000,0),"")</f>
        <v/>
      </c>
      <c r="C48" s="11" t="str">
        <f aca="false">IF($B48="","",INDEX(MASTER_DATABASE!$A$4:$A$1000,$B48)&amp;"")</f>
        <v/>
      </c>
      <c r="D48" s="7" t="str">
        <f aca="false">IF($B48="","",INDEX(MASTER_DATABASE!$D$4:$D$1000,$B48)&amp;"")</f>
        <v/>
      </c>
      <c r="E48" s="7" t="str">
        <f aca="false">IF($B48="","",INDEX(MASTER_DATABASE!$E$4:$E$1000,$B48)&amp;"")</f>
        <v/>
      </c>
      <c r="F48" s="7" t="str">
        <f aca="false">IF($B48="","",INDEX(MASTER_DATABASE!$F$4:$F$1000,$B48)&amp;"")</f>
        <v/>
      </c>
      <c r="G48" s="11" t="str">
        <f aca="false">IF($B48="","",INDEX(MASTER_DATABASE!$I$4:$I$1000,$B48)&amp;"")</f>
        <v/>
      </c>
      <c r="H48" s="7" t="str">
        <f aca="false">IF($B48="","",INDEX(MASTER_DATABASE!$L$4:$L$1000,$B48)&amp;"")</f>
        <v/>
      </c>
      <c r="I48" s="9" t="str">
        <f aca="false">IF($B48="","",INDEX(MASTER_DATABASE!$R$4:$R$1000,$B48))</f>
        <v/>
      </c>
      <c r="J48" s="9" t="str">
        <f aca="false">IF($B48="","",INDEX(MASTER_DATABASE!$S$4:$S$1000,$B48))</f>
        <v/>
      </c>
      <c r="K48" s="9" t="str">
        <f aca="false">IF($B48="","",INDEX(MASTER_DATABASE!$T$4:$T$1000,$B48))</f>
        <v/>
      </c>
      <c r="L48" s="7" t="str">
        <f aca="false">IF($B48="","",INDEX(MASTER_DATABASE!$U$4:$U$1000,$B48)&amp;"")</f>
        <v/>
      </c>
      <c r="M48" s="7" t="str">
        <f aca="false">IF($B48="","",INDEX(MASTER_DATABASE!$Q$4:$Q$1000,$B48)&amp;"")</f>
        <v/>
      </c>
      <c r="N48" s="7" t="str">
        <f aca="false">IF($B48="","",INDEX(MASTER_DATABASE!$AG$4:$AG$1000,$B48)&amp;"")</f>
        <v/>
      </c>
      <c r="O48" s="11" t="str">
        <f aca="false">IF($B48="","",INDEX(MASTER_DATABASE!$AH$4:$AH$1000,$B48)&amp;"")</f>
        <v/>
      </c>
      <c r="P48" s="11" t="str">
        <f aca="false">IF($B48="","",INDEX(MASTER_DATABASE!$BE$4:$BE$1000,$B48)&amp;"")</f>
        <v/>
      </c>
      <c r="Q48" s="7" t="str">
        <f aca="false">IF($B48="","",INDEX(MASTER_DATABASE!$AV$4:$AV$1000,$B48)&amp;"")</f>
        <v/>
      </c>
    </row>
    <row r="49" customFormat="false" ht="15" hidden="false" customHeight="false" outlineLevel="0" collapsed="false">
      <c r="A49" s="11" t="n">
        <v>46</v>
      </c>
      <c r="B49" s="11" t="str">
        <f aca="false">IFERROR(MATCH("Online Form &amp; Digital Services|"&amp;$A49,MASTER_DATABASE!$BH$4:$BH$1000,0),"")</f>
        <v/>
      </c>
      <c r="C49" s="11" t="str">
        <f aca="false">IF($B49="","",INDEX(MASTER_DATABASE!$A$4:$A$1000,$B49)&amp;"")</f>
        <v/>
      </c>
      <c r="D49" s="7" t="str">
        <f aca="false">IF($B49="","",INDEX(MASTER_DATABASE!$D$4:$D$1000,$B49)&amp;"")</f>
        <v/>
      </c>
      <c r="E49" s="7" t="str">
        <f aca="false">IF($B49="","",INDEX(MASTER_DATABASE!$E$4:$E$1000,$B49)&amp;"")</f>
        <v/>
      </c>
      <c r="F49" s="7" t="str">
        <f aca="false">IF($B49="","",INDEX(MASTER_DATABASE!$F$4:$F$1000,$B49)&amp;"")</f>
        <v/>
      </c>
      <c r="G49" s="11" t="str">
        <f aca="false">IF($B49="","",INDEX(MASTER_DATABASE!$I$4:$I$1000,$B49)&amp;"")</f>
        <v/>
      </c>
      <c r="H49" s="7" t="str">
        <f aca="false">IF($B49="","",INDEX(MASTER_DATABASE!$L$4:$L$1000,$B49)&amp;"")</f>
        <v/>
      </c>
      <c r="I49" s="9" t="str">
        <f aca="false">IF($B49="","",INDEX(MASTER_DATABASE!$R$4:$R$1000,$B49))</f>
        <v/>
      </c>
      <c r="J49" s="9" t="str">
        <f aca="false">IF($B49="","",INDEX(MASTER_DATABASE!$S$4:$S$1000,$B49))</f>
        <v/>
      </c>
      <c r="K49" s="9" t="str">
        <f aca="false">IF($B49="","",INDEX(MASTER_DATABASE!$T$4:$T$1000,$B49))</f>
        <v/>
      </c>
      <c r="L49" s="7" t="str">
        <f aca="false">IF($B49="","",INDEX(MASTER_DATABASE!$U$4:$U$1000,$B49)&amp;"")</f>
        <v/>
      </c>
      <c r="M49" s="7" t="str">
        <f aca="false">IF($B49="","",INDEX(MASTER_DATABASE!$Q$4:$Q$1000,$B49)&amp;"")</f>
        <v/>
      </c>
      <c r="N49" s="7" t="str">
        <f aca="false">IF($B49="","",INDEX(MASTER_DATABASE!$AG$4:$AG$1000,$B49)&amp;"")</f>
        <v/>
      </c>
      <c r="O49" s="11" t="str">
        <f aca="false">IF($B49="","",INDEX(MASTER_DATABASE!$AH$4:$AH$1000,$B49)&amp;"")</f>
        <v/>
      </c>
      <c r="P49" s="11" t="str">
        <f aca="false">IF($B49="","",INDEX(MASTER_DATABASE!$BE$4:$BE$1000,$B49)&amp;"")</f>
        <v/>
      </c>
      <c r="Q49" s="7" t="str">
        <f aca="false">IF($B49="","",INDEX(MASTER_DATABASE!$AV$4:$AV$1000,$B49)&amp;"")</f>
        <v/>
      </c>
    </row>
    <row r="50" customFormat="false" ht="15" hidden="false" customHeight="false" outlineLevel="0" collapsed="false">
      <c r="A50" s="11" t="n">
        <v>47</v>
      </c>
      <c r="B50" s="11" t="str">
        <f aca="false">IFERROR(MATCH("Online Form &amp; Digital Services|"&amp;$A50,MASTER_DATABASE!$BH$4:$BH$1000,0),"")</f>
        <v/>
      </c>
      <c r="C50" s="11" t="str">
        <f aca="false">IF($B50="","",INDEX(MASTER_DATABASE!$A$4:$A$1000,$B50)&amp;"")</f>
        <v/>
      </c>
      <c r="D50" s="7" t="str">
        <f aca="false">IF($B50="","",INDEX(MASTER_DATABASE!$D$4:$D$1000,$B50)&amp;"")</f>
        <v/>
      </c>
      <c r="E50" s="7" t="str">
        <f aca="false">IF($B50="","",INDEX(MASTER_DATABASE!$E$4:$E$1000,$B50)&amp;"")</f>
        <v/>
      </c>
      <c r="F50" s="7" t="str">
        <f aca="false">IF($B50="","",INDEX(MASTER_DATABASE!$F$4:$F$1000,$B50)&amp;"")</f>
        <v/>
      </c>
      <c r="G50" s="11" t="str">
        <f aca="false">IF($B50="","",INDEX(MASTER_DATABASE!$I$4:$I$1000,$B50)&amp;"")</f>
        <v/>
      </c>
      <c r="H50" s="7" t="str">
        <f aca="false">IF($B50="","",INDEX(MASTER_DATABASE!$L$4:$L$1000,$B50)&amp;"")</f>
        <v/>
      </c>
      <c r="I50" s="9" t="str">
        <f aca="false">IF($B50="","",INDEX(MASTER_DATABASE!$R$4:$R$1000,$B50))</f>
        <v/>
      </c>
      <c r="J50" s="9" t="str">
        <f aca="false">IF($B50="","",INDEX(MASTER_DATABASE!$S$4:$S$1000,$B50))</f>
        <v/>
      </c>
      <c r="K50" s="9" t="str">
        <f aca="false">IF($B50="","",INDEX(MASTER_DATABASE!$T$4:$T$1000,$B50))</f>
        <v/>
      </c>
      <c r="L50" s="7" t="str">
        <f aca="false">IF($B50="","",INDEX(MASTER_DATABASE!$U$4:$U$1000,$B50)&amp;"")</f>
        <v/>
      </c>
      <c r="M50" s="7" t="str">
        <f aca="false">IF($B50="","",INDEX(MASTER_DATABASE!$Q$4:$Q$1000,$B50)&amp;"")</f>
        <v/>
      </c>
      <c r="N50" s="7" t="str">
        <f aca="false">IF($B50="","",INDEX(MASTER_DATABASE!$AG$4:$AG$1000,$B50)&amp;"")</f>
        <v/>
      </c>
      <c r="O50" s="11" t="str">
        <f aca="false">IF($B50="","",INDEX(MASTER_DATABASE!$AH$4:$AH$1000,$B50)&amp;"")</f>
        <v/>
      </c>
      <c r="P50" s="11" t="str">
        <f aca="false">IF($B50="","",INDEX(MASTER_DATABASE!$BE$4:$BE$1000,$B50)&amp;"")</f>
        <v/>
      </c>
      <c r="Q50" s="7" t="str">
        <f aca="false">IF($B50="","",INDEX(MASTER_DATABASE!$AV$4:$AV$1000,$B50)&amp;"")</f>
        <v/>
      </c>
    </row>
    <row r="51" customFormat="false" ht="15" hidden="false" customHeight="false" outlineLevel="0" collapsed="false">
      <c r="A51" s="11" t="n">
        <v>48</v>
      </c>
      <c r="B51" s="11" t="str">
        <f aca="false">IFERROR(MATCH("Online Form &amp; Digital Services|"&amp;$A51,MASTER_DATABASE!$BH$4:$BH$1000,0),"")</f>
        <v/>
      </c>
      <c r="C51" s="11" t="str">
        <f aca="false">IF($B51="","",INDEX(MASTER_DATABASE!$A$4:$A$1000,$B51)&amp;"")</f>
        <v/>
      </c>
      <c r="D51" s="7" t="str">
        <f aca="false">IF($B51="","",INDEX(MASTER_DATABASE!$D$4:$D$1000,$B51)&amp;"")</f>
        <v/>
      </c>
      <c r="E51" s="7" t="str">
        <f aca="false">IF($B51="","",INDEX(MASTER_DATABASE!$E$4:$E$1000,$B51)&amp;"")</f>
        <v/>
      </c>
      <c r="F51" s="7" t="str">
        <f aca="false">IF($B51="","",INDEX(MASTER_DATABASE!$F$4:$F$1000,$B51)&amp;"")</f>
        <v/>
      </c>
      <c r="G51" s="11" t="str">
        <f aca="false">IF($B51="","",INDEX(MASTER_DATABASE!$I$4:$I$1000,$B51)&amp;"")</f>
        <v/>
      </c>
      <c r="H51" s="7" t="str">
        <f aca="false">IF($B51="","",INDEX(MASTER_DATABASE!$L$4:$L$1000,$B51)&amp;"")</f>
        <v/>
      </c>
      <c r="I51" s="9" t="str">
        <f aca="false">IF($B51="","",INDEX(MASTER_DATABASE!$R$4:$R$1000,$B51))</f>
        <v/>
      </c>
      <c r="J51" s="9" t="str">
        <f aca="false">IF($B51="","",INDEX(MASTER_DATABASE!$S$4:$S$1000,$B51))</f>
        <v/>
      </c>
      <c r="K51" s="9" t="str">
        <f aca="false">IF($B51="","",INDEX(MASTER_DATABASE!$T$4:$T$1000,$B51))</f>
        <v/>
      </c>
      <c r="L51" s="7" t="str">
        <f aca="false">IF($B51="","",INDEX(MASTER_DATABASE!$U$4:$U$1000,$B51)&amp;"")</f>
        <v/>
      </c>
      <c r="M51" s="7" t="str">
        <f aca="false">IF($B51="","",INDEX(MASTER_DATABASE!$Q$4:$Q$1000,$B51)&amp;"")</f>
        <v/>
      </c>
      <c r="N51" s="7" t="str">
        <f aca="false">IF($B51="","",INDEX(MASTER_DATABASE!$AG$4:$AG$1000,$B51)&amp;"")</f>
        <v/>
      </c>
      <c r="O51" s="11" t="str">
        <f aca="false">IF($B51="","",INDEX(MASTER_DATABASE!$AH$4:$AH$1000,$B51)&amp;"")</f>
        <v/>
      </c>
      <c r="P51" s="11" t="str">
        <f aca="false">IF($B51="","",INDEX(MASTER_DATABASE!$BE$4:$BE$1000,$B51)&amp;"")</f>
        <v/>
      </c>
      <c r="Q51" s="7" t="str">
        <f aca="false">IF($B51="","",INDEX(MASTER_DATABASE!$AV$4:$AV$1000,$B51)&amp;"")</f>
        <v/>
      </c>
    </row>
    <row r="52" customFormat="false" ht="15" hidden="false" customHeight="false" outlineLevel="0" collapsed="false">
      <c r="A52" s="11" t="n">
        <v>49</v>
      </c>
      <c r="B52" s="11" t="str">
        <f aca="false">IFERROR(MATCH("Online Form &amp; Digital Services|"&amp;$A52,MASTER_DATABASE!$BH$4:$BH$1000,0),"")</f>
        <v/>
      </c>
      <c r="C52" s="11" t="str">
        <f aca="false">IF($B52="","",INDEX(MASTER_DATABASE!$A$4:$A$1000,$B52)&amp;"")</f>
        <v/>
      </c>
      <c r="D52" s="7" t="str">
        <f aca="false">IF($B52="","",INDEX(MASTER_DATABASE!$D$4:$D$1000,$B52)&amp;"")</f>
        <v/>
      </c>
      <c r="E52" s="7" t="str">
        <f aca="false">IF($B52="","",INDEX(MASTER_DATABASE!$E$4:$E$1000,$B52)&amp;"")</f>
        <v/>
      </c>
      <c r="F52" s="7" t="str">
        <f aca="false">IF($B52="","",INDEX(MASTER_DATABASE!$F$4:$F$1000,$B52)&amp;"")</f>
        <v/>
      </c>
      <c r="G52" s="11" t="str">
        <f aca="false">IF($B52="","",INDEX(MASTER_DATABASE!$I$4:$I$1000,$B52)&amp;"")</f>
        <v/>
      </c>
      <c r="H52" s="7" t="str">
        <f aca="false">IF($B52="","",INDEX(MASTER_DATABASE!$L$4:$L$1000,$B52)&amp;"")</f>
        <v/>
      </c>
      <c r="I52" s="9" t="str">
        <f aca="false">IF($B52="","",INDEX(MASTER_DATABASE!$R$4:$R$1000,$B52))</f>
        <v/>
      </c>
      <c r="J52" s="9" t="str">
        <f aca="false">IF($B52="","",INDEX(MASTER_DATABASE!$S$4:$S$1000,$B52))</f>
        <v/>
      </c>
      <c r="K52" s="9" t="str">
        <f aca="false">IF($B52="","",INDEX(MASTER_DATABASE!$T$4:$T$1000,$B52))</f>
        <v/>
      </c>
      <c r="L52" s="7" t="str">
        <f aca="false">IF($B52="","",INDEX(MASTER_DATABASE!$U$4:$U$1000,$B52)&amp;"")</f>
        <v/>
      </c>
      <c r="M52" s="7" t="str">
        <f aca="false">IF($B52="","",INDEX(MASTER_DATABASE!$Q$4:$Q$1000,$B52)&amp;"")</f>
        <v/>
      </c>
      <c r="N52" s="7" t="str">
        <f aca="false">IF($B52="","",INDEX(MASTER_DATABASE!$AG$4:$AG$1000,$B52)&amp;"")</f>
        <v/>
      </c>
      <c r="O52" s="11" t="str">
        <f aca="false">IF($B52="","",INDEX(MASTER_DATABASE!$AH$4:$AH$1000,$B52)&amp;"")</f>
        <v/>
      </c>
      <c r="P52" s="11" t="str">
        <f aca="false">IF($B52="","",INDEX(MASTER_DATABASE!$BE$4:$BE$1000,$B52)&amp;"")</f>
        <v/>
      </c>
      <c r="Q52" s="7" t="str">
        <f aca="false">IF($B52="","",INDEX(MASTER_DATABASE!$AV$4:$AV$1000,$B52)&amp;"")</f>
        <v/>
      </c>
    </row>
    <row r="53" customFormat="false" ht="15" hidden="false" customHeight="false" outlineLevel="0" collapsed="false">
      <c r="A53" s="11" t="n">
        <v>50</v>
      </c>
      <c r="B53" s="11" t="str">
        <f aca="false">IFERROR(MATCH("Online Form &amp; Digital Services|"&amp;$A53,MASTER_DATABASE!$BH$4:$BH$1000,0),"")</f>
        <v/>
      </c>
      <c r="C53" s="11" t="str">
        <f aca="false">IF($B53="","",INDEX(MASTER_DATABASE!$A$4:$A$1000,$B53)&amp;"")</f>
        <v/>
      </c>
      <c r="D53" s="7" t="str">
        <f aca="false">IF($B53="","",INDEX(MASTER_DATABASE!$D$4:$D$1000,$B53)&amp;"")</f>
        <v/>
      </c>
      <c r="E53" s="7" t="str">
        <f aca="false">IF($B53="","",INDEX(MASTER_DATABASE!$E$4:$E$1000,$B53)&amp;"")</f>
        <v/>
      </c>
      <c r="F53" s="7" t="str">
        <f aca="false">IF($B53="","",INDEX(MASTER_DATABASE!$F$4:$F$1000,$B53)&amp;"")</f>
        <v/>
      </c>
      <c r="G53" s="11" t="str">
        <f aca="false">IF($B53="","",INDEX(MASTER_DATABASE!$I$4:$I$1000,$B53)&amp;"")</f>
        <v/>
      </c>
      <c r="H53" s="7" t="str">
        <f aca="false">IF($B53="","",INDEX(MASTER_DATABASE!$L$4:$L$1000,$B53)&amp;"")</f>
        <v/>
      </c>
      <c r="I53" s="9" t="str">
        <f aca="false">IF($B53="","",INDEX(MASTER_DATABASE!$R$4:$R$1000,$B53))</f>
        <v/>
      </c>
      <c r="J53" s="9" t="str">
        <f aca="false">IF($B53="","",INDEX(MASTER_DATABASE!$S$4:$S$1000,$B53))</f>
        <v/>
      </c>
      <c r="K53" s="9" t="str">
        <f aca="false">IF($B53="","",INDEX(MASTER_DATABASE!$T$4:$T$1000,$B53))</f>
        <v/>
      </c>
      <c r="L53" s="7" t="str">
        <f aca="false">IF($B53="","",INDEX(MASTER_DATABASE!$U$4:$U$1000,$B53)&amp;"")</f>
        <v/>
      </c>
      <c r="M53" s="7" t="str">
        <f aca="false">IF($B53="","",INDEX(MASTER_DATABASE!$Q$4:$Q$1000,$B53)&amp;"")</f>
        <v/>
      </c>
      <c r="N53" s="7" t="str">
        <f aca="false">IF($B53="","",INDEX(MASTER_DATABASE!$AG$4:$AG$1000,$B53)&amp;"")</f>
        <v/>
      </c>
      <c r="O53" s="11" t="str">
        <f aca="false">IF($B53="","",INDEX(MASTER_DATABASE!$AH$4:$AH$1000,$B53)&amp;"")</f>
        <v/>
      </c>
      <c r="P53" s="11" t="str">
        <f aca="false">IF($B53="","",INDEX(MASTER_DATABASE!$BE$4:$BE$1000,$B53)&amp;"")</f>
        <v/>
      </c>
      <c r="Q53" s="7" t="str">
        <f aca="false">IF($B53="","",INDEX(MASTER_DATABASE!$AV$4:$AV$1000,$B53)&amp;"")</f>
        <v/>
      </c>
    </row>
    <row r="54" customFormat="false" ht="15" hidden="false" customHeight="false" outlineLevel="0" collapsed="false">
      <c r="A54" s="11" t="n">
        <v>51</v>
      </c>
      <c r="B54" s="11" t="str">
        <f aca="false">IFERROR(MATCH("Online Form &amp; Digital Services|"&amp;$A54,MASTER_DATABASE!$BH$4:$BH$1000,0),"")</f>
        <v/>
      </c>
      <c r="C54" s="11" t="str">
        <f aca="false">IF($B54="","",INDEX(MASTER_DATABASE!$A$4:$A$1000,$B54)&amp;"")</f>
        <v/>
      </c>
      <c r="D54" s="7" t="str">
        <f aca="false">IF($B54="","",INDEX(MASTER_DATABASE!$D$4:$D$1000,$B54)&amp;"")</f>
        <v/>
      </c>
      <c r="E54" s="7" t="str">
        <f aca="false">IF($B54="","",INDEX(MASTER_DATABASE!$E$4:$E$1000,$B54)&amp;"")</f>
        <v/>
      </c>
      <c r="F54" s="7" t="str">
        <f aca="false">IF($B54="","",INDEX(MASTER_DATABASE!$F$4:$F$1000,$B54)&amp;"")</f>
        <v/>
      </c>
      <c r="G54" s="11" t="str">
        <f aca="false">IF($B54="","",INDEX(MASTER_DATABASE!$I$4:$I$1000,$B54)&amp;"")</f>
        <v/>
      </c>
      <c r="H54" s="7" t="str">
        <f aca="false">IF($B54="","",INDEX(MASTER_DATABASE!$L$4:$L$1000,$B54)&amp;"")</f>
        <v/>
      </c>
      <c r="I54" s="9" t="str">
        <f aca="false">IF($B54="","",INDEX(MASTER_DATABASE!$R$4:$R$1000,$B54))</f>
        <v/>
      </c>
      <c r="J54" s="9" t="str">
        <f aca="false">IF($B54="","",INDEX(MASTER_DATABASE!$S$4:$S$1000,$B54))</f>
        <v/>
      </c>
      <c r="K54" s="9" t="str">
        <f aca="false">IF($B54="","",INDEX(MASTER_DATABASE!$T$4:$T$1000,$B54))</f>
        <v/>
      </c>
      <c r="L54" s="7" t="str">
        <f aca="false">IF($B54="","",INDEX(MASTER_DATABASE!$U$4:$U$1000,$B54)&amp;"")</f>
        <v/>
      </c>
      <c r="M54" s="7" t="str">
        <f aca="false">IF($B54="","",INDEX(MASTER_DATABASE!$Q$4:$Q$1000,$B54)&amp;"")</f>
        <v/>
      </c>
      <c r="N54" s="7" t="str">
        <f aca="false">IF($B54="","",INDEX(MASTER_DATABASE!$AG$4:$AG$1000,$B54)&amp;"")</f>
        <v/>
      </c>
      <c r="O54" s="11" t="str">
        <f aca="false">IF($B54="","",INDEX(MASTER_DATABASE!$AH$4:$AH$1000,$B54)&amp;"")</f>
        <v/>
      </c>
      <c r="P54" s="11" t="str">
        <f aca="false">IF($B54="","",INDEX(MASTER_DATABASE!$BE$4:$BE$1000,$B54)&amp;"")</f>
        <v/>
      </c>
      <c r="Q54" s="7" t="str">
        <f aca="false">IF($B54="","",INDEX(MASTER_DATABASE!$AV$4:$AV$1000,$B54)&amp;"")</f>
        <v/>
      </c>
    </row>
    <row r="55" customFormat="false" ht="15" hidden="false" customHeight="false" outlineLevel="0" collapsed="false">
      <c r="A55" s="11" t="n">
        <v>52</v>
      </c>
      <c r="B55" s="11" t="str">
        <f aca="false">IFERROR(MATCH("Online Form &amp; Digital Services|"&amp;$A55,MASTER_DATABASE!$BH$4:$BH$1000,0),"")</f>
        <v/>
      </c>
      <c r="C55" s="11" t="str">
        <f aca="false">IF($B55="","",INDEX(MASTER_DATABASE!$A$4:$A$1000,$B55)&amp;"")</f>
        <v/>
      </c>
      <c r="D55" s="7" t="str">
        <f aca="false">IF($B55="","",INDEX(MASTER_DATABASE!$D$4:$D$1000,$B55)&amp;"")</f>
        <v/>
      </c>
      <c r="E55" s="7" t="str">
        <f aca="false">IF($B55="","",INDEX(MASTER_DATABASE!$E$4:$E$1000,$B55)&amp;"")</f>
        <v/>
      </c>
      <c r="F55" s="7" t="str">
        <f aca="false">IF($B55="","",INDEX(MASTER_DATABASE!$F$4:$F$1000,$B55)&amp;"")</f>
        <v/>
      </c>
      <c r="G55" s="11" t="str">
        <f aca="false">IF($B55="","",INDEX(MASTER_DATABASE!$I$4:$I$1000,$B55)&amp;"")</f>
        <v/>
      </c>
      <c r="H55" s="7" t="str">
        <f aca="false">IF($B55="","",INDEX(MASTER_DATABASE!$L$4:$L$1000,$B55)&amp;"")</f>
        <v/>
      </c>
      <c r="I55" s="9" t="str">
        <f aca="false">IF($B55="","",INDEX(MASTER_DATABASE!$R$4:$R$1000,$B55))</f>
        <v/>
      </c>
      <c r="J55" s="9" t="str">
        <f aca="false">IF($B55="","",INDEX(MASTER_DATABASE!$S$4:$S$1000,$B55))</f>
        <v/>
      </c>
      <c r="K55" s="9" t="str">
        <f aca="false">IF($B55="","",INDEX(MASTER_DATABASE!$T$4:$T$1000,$B55))</f>
        <v/>
      </c>
      <c r="L55" s="7" t="str">
        <f aca="false">IF($B55="","",INDEX(MASTER_DATABASE!$U$4:$U$1000,$B55)&amp;"")</f>
        <v/>
      </c>
      <c r="M55" s="7" t="str">
        <f aca="false">IF($B55="","",INDEX(MASTER_DATABASE!$Q$4:$Q$1000,$B55)&amp;"")</f>
        <v/>
      </c>
      <c r="N55" s="7" t="str">
        <f aca="false">IF($B55="","",INDEX(MASTER_DATABASE!$AG$4:$AG$1000,$B55)&amp;"")</f>
        <v/>
      </c>
      <c r="O55" s="11" t="str">
        <f aca="false">IF($B55="","",INDEX(MASTER_DATABASE!$AH$4:$AH$1000,$B55)&amp;"")</f>
        <v/>
      </c>
      <c r="P55" s="11" t="str">
        <f aca="false">IF($B55="","",INDEX(MASTER_DATABASE!$BE$4:$BE$1000,$B55)&amp;"")</f>
        <v/>
      </c>
      <c r="Q55" s="7" t="str">
        <f aca="false">IF($B55="","",INDEX(MASTER_DATABASE!$AV$4:$AV$1000,$B55)&amp;"")</f>
        <v/>
      </c>
    </row>
    <row r="56" customFormat="false" ht="15" hidden="false" customHeight="false" outlineLevel="0" collapsed="false">
      <c r="A56" s="11" t="n">
        <v>53</v>
      </c>
      <c r="B56" s="11" t="str">
        <f aca="false">IFERROR(MATCH("Online Form &amp; Digital Services|"&amp;$A56,MASTER_DATABASE!$BH$4:$BH$1000,0),"")</f>
        <v/>
      </c>
      <c r="C56" s="11" t="str">
        <f aca="false">IF($B56="","",INDEX(MASTER_DATABASE!$A$4:$A$1000,$B56)&amp;"")</f>
        <v/>
      </c>
      <c r="D56" s="7" t="str">
        <f aca="false">IF($B56="","",INDEX(MASTER_DATABASE!$D$4:$D$1000,$B56)&amp;"")</f>
        <v/>
      </c>
      <c r="E56" s="7" t="str">
        <f aca="false">IF($B56="","",INDEX(MASTER_DATABASE!$E$4:$E$1000,$B56)&amp;"")</f>
        <v/>
      </c>
      <c r="F56" s="7" t="str">
        <f aca="false">IF($B56="","",INDEX(MASTER_DATABASE!$F$4:$F$1000,$B56)&amp;"")</f>
        <v/>
      </c>
      <c r="G56" s="11" t="str">
        <f aca="false">IF($B56="","",INDEX(MASTER_DATABASE!$I$4:$I$1000,$B56)&amp;"")</f>
        <v/>
      </c>
      <c r="H56" s="7" t="str">
        <f aca="false">IF($B56="","",INDEX(MASTER_DATABASE!$L$4:$L$1000,$B56)&amp;"")</f>
        <v/>
      </c>
      <c r="I56" s="9" t="str">
        <f aca="false">IF($B56="","",INDEX(MASTER_DATABASE!$R$4:$R$1000,$B56))</f>
        <v/>
      </c>
      <c r="J56" s="9" t="str">
        <f aca="false">IF($B56="","",INDEX(MASTER_DATABASE!$S$4:$S$1000,$B56))</f>
        <v/>
      </c>
      <c r="K56" s="9" t="str">
        <f aca="false">IF($B56="","",INDEX(MASTER_DATABASE!$T$4:$T$1000,$B56))</f>
        <v/>
      </c>
      <c r="L56" s="7" t="str">
        <f aca="false">IF($B56="","",INDEX(MASTER_DATABASE!$U$4:$U$1000,$B56)&amp;"")</f>
        <v/>
      </c>
      <c r="M56" s="7" t="str">
        <f aca="false">IF($B56="","",INDEX(MASTER_DATABASE!$Q$4:$Q$1000,$B56)&amp;"")</f>
        <v/>
      </c>
      <c r="N56" s="7" t="str">
        <f aca="false">IF($B56="","",INDEX(MASTER_DATABASE!$AG$4:$AG$1000,$B56)&amp;"")</f>
        <v/>
      </c>
      <c r="O56" s="11" t="str">
        <f aca="false">IF($B56="","",INDEX(MASTER_DATABASE!$AH$4:$AH$1000,$B56)&amp;"")</f>
        <v/>
      </c>
      <c r="P56" s="11" t="str">
        <f aca="false">IF($B56="","",INDEX(MASTER_DATABASE!$BE$4:$BE$1000,$B56)&amp;"")</f>
        <v/>
      </c>
      <c r="Q56" s="7" t="str">
        <f aca="false">IF($B56="","",INDEX(MASTER_DATABASE!$AV$4:$AV$1000,$B56)&amp;"")</f>
        <v/>
      </c>
    </row>
    <row r="57" customFormat="false" ht="15" hidden="false" customHeight="false" outlineLevel="0" collapsed="false">
      <c r="A57" s="11" t="n">
        <v>54</v>
      </c>
      <c r="B57" s="11" t="str">
        <f aca="false">IFERROR(MATCH("Online Form &amp; Digital Services|"&amp;$A57,MASTER_DATABASE!$BH$4:$BH$1000,0),"")</f>
        <v/>
      </c>
      <c r="C57" s="11" t="str">
        <f aca="false">IF($B57="","",INDEX(MASTER_DATABASE!$A$4:$A$1000,$B57)&amp;"")</f>
        <v/>
      </c>
      <c r="D57" s="7" t="str">
        <f aca="false">IF($B57="","",INDEX(MASTER_DATABASE!$D$4:$D$1000,$B57)&amp;"")</f>
        <v/>
      </c>
      <c r="E57" s="7" t="str">
        <f aca="false">IF($B57="","",INDEX(MASTER_DATABASE!$E$4:$E$1000,$B57)&amp;"")</f>
        <v/>
      </c>
      <c r="F57" s="7" t="str">
        <f aca="false">IF($B57="","",INDEX(MASTER_DATABASE!$F$4:$F$1000,$B57)&amp;"")</f>
        <v/>
      </c>
      <c r="G57" s="11" t="str">
        <f aca="false">IF($B57="","",INDEX(MASTER_DATABASE!$I$4:$I$1000,$B57)&amp;"")</f>
        <v/>
      </c>
      <c r="H57" s="7" t="str">
        <f aca="false">IF($B57="","",INDEX(MASTER_DATABASE!$L$4:$L$1000,$B57)&amp;"")</f>
        <v/>
      </c>
      <c r="I57" s="9" t="str">
        <f aca="false">IF($B57="","",INDEX(MASTER_DATABASE!$R$4:$R$1000,$B57))</f>
        <v/>
      </c>
      <c r="J57" s="9" t="str">
        <f aca="false">IF($B57="","",INDEX(MASTER_DATABASE!$S$4:$S$1000,$B57))</f>
        <v/>
      </c>
      <c r="K57" s="9" t="str">
        <f aca="false">IF($B57="","",INDEX(MASTER_DATABASE!$T$4:$T$1000,$B57))</f>
        <v/>
      </c>
      <c r="L57" s="7" t="str">
        <f aca="false">IF($B57="","",INDEX(MASTER_DATABASE!$U$4:$U$1000,$B57)&amp;"")</f>
        <v/>
      </c>
      <c r="M57" s="7" t="str">
        <f aca="false">IF($B57="","",INDEX(MASTER_DATABASE!$Q$4:$Q$1000,$B57)&amp;"")</f>
        <v/>
      </c>
      <c r="N57" s="7" t="str">
        <f aca="false">IF($B57="","",INDEX(MASTER_DATABASE!$AG$4:$AG$1000,$B57)&amp;"")</f>
        <v/>
      </c>
      <c r="O57" s="11" t="str">
        <f aca="false">IF($B57="","",INDEX(MASTER_DATABASE!$AH$4:$AH$1000,$B57)&amp;"")</f>
        <v/>
      </c>
      <c r="P57" s="11" t="str">
        <f aca="false">IF($B57="","",INDEX(MASTER_DATABASE!$BE$4:$BE$1000,$B57)&amp;"")</f>
        <v/>
      </c>
      <c r="Q57" s="7" t="str">
        <f aca="false">IF($B57="","",INDEX(MASTER_DATABASE!$AV$4:$AV$1000,$B57)&amp;"")</f>
        <v/>
      </c>
    </row>
    <row r="58" customFormat="false" ht="15" hidden="false" customHeight="false" outlineLevel="0" collapsed="false">
      <c r="A58" s="11" t="n">
        <v>55</v>
      </c>
      <c r="B58" s="11" t="str">
        <f aca="false">IFERROR(MATCH("Online Form &amp; Digital Services|"&amp;$A58,MASTER_DATABASE!$BH$4:$BH$1000,0),"")</f>
        <v/>
      </c>
      <c r="C58" s="11" t="str">
        <f aca="false">IF($B58="","",INDEX(MASTER_DATABASE!$A$4:$A$1000,$B58)&amp;"")</f>
        <v/>
      </c>
      <c r="D58" s="7" t="str">
        <f aca="false">IF($B58="","",INDEX(MASTER_DATABASE!$D$4:$D$1000,$B58)&amp;"")</f>
        <v/>
      </c>
      <c r="E58" s="7" t="str">
        <f aca="false">IF($B58="","",INDEX(MASTER_DATABASE!$E$4:$E$1000,$B58)&amp;"")</f>
        <v/>
      </c>
      <c r="F58" s="7" t="str">
        <f aca="false">IF($B58="","",INDEX(MASTER_DATABASE!$F$4:$F$1000,$B58)&amp;"")</f>
        <v/>
      </c>
      <c r="G58" s="11" t="str">
        <f aca="false">IF($B58="","",INDEX(MASTER_DATABASE!$I$4:$I$1000,$B58)&amp;"")</f>
        <v/>
      </c>
      <c r="H58" s="7" t="str">
        <f aca="false">IF($B58="","",INDEX(MASTER_DATABASE!$L$4:$L$1000,$B58)&amp;"")</f>
        <v/>
      </c>
      <c r="I58" s="9" t="str">
        <f aca="false">IF($B58="","",INDEX(MASTER_DATABASE!$R$4:$R$1000,$B58))</f>
        <v/>
      </c>
      <c r="J58" s="9" t="str">
        <f aca="false">IF($B58="","",INDEX(MASTER_DATABASE!$S$4:$S$1000,$B58))</f>
        <v/>
      </c>
      <c r="K58" s="9" t="str">
        <f aca="false">IF($B58="","",INDEX(MASTER_DATABASE!$T$4:$T$1000,$B58))</f>
        <v/>
      </c>
      <c r="L58" s="7" t="str">
        <f aca="false">IF($B58="","",INDEX(MASTER_DATABASE!$U$4:$U$1000,$B58)&amp;"")</f>
        <v/>
      </c>
      <c r="M58" s="7" t="str">
        <f aca="false">IF($B58="","",INDEX(MASTER_DATABASE!$Q$4:$Q$1000,$B58)&amp;"")</f>
        <v/>
      </c>
      <c r="N58" s="7" t="str">
        <f aca="false">IF($B58="","",INDEX(MASTER_DATABASE!$AG$4:$AG$1000,$B58)&amp;"")</f>
        <v/>
      </c>
      <c r="O58" s="11" t="str">
        <f aca="false">IF($B58="","",INDEX(MASTER_DATABASE!$AH$4:$AH$1000,$B58)&amp;"")</f>
        <v/>
      </c>
      <c r="P58" s="11" t="str">
        <f aca="false">IF($B58="","",INDEX(MASTER_DATABASE!$BE$4:$BE$1000,$B58)&amp;"")</f>
        <v/>
      </c>
      <c r="Q58" s="7" t="str">
        <f aca="false">IF($B58="","",INDEX(MASTER_DATABASE!$AV$4:$AV$1000,$B58)&amp;"")</f>
        <v/>
      </c>
    </row>
    <row r="59" customFormat="false" ht="15" hidden="false" customHeight="false" outlineLevel="0" collapsed="false">
      <c r="A59" s="11" t="n">
        <v>56</v>
      </c>
      <c r="B59" s="11" t="str">
        <f aca="false">IFERROR(MATCH("Online Form &amp; Digital Services|"&amp;$A59,MASTER_DATABASE!$BH$4:$BH$1000,0),"")</f>
        <v/>
      </c>
      <c r="C59" s="11" t="str">
        <f aca="false">IF($B59="","",INDEX(MASTER_DATABASE!$A$4:$A$1000,$B59)&amp;"")</f>
        <v/>
      </c>
      <c r="D59" s="7" t="str">
        <f aca="false">IF($B59="","",INDEX(MASTER_DATABASE!$D$4:$D$1000,$B59)&amp;"")</f>
        <v/>
      </c>
      <c r="E59" s="7" t="str">
        <f aca="false">IF($B59="","",INDEX(MASTER_DATABASE!$E$4:$E$1000,$B59)&amp;"")</f>
        <v/>
      </c>
      <c r="F59" s="7" t="str">
        <f aca="false">IF($B59="","",INDEX(MASTER_DATABASE!$F$4:$F$1000,$B59)&amp;"")</f>
        <v/>
      </c>
      <c r="G59" s="11" t="str">
        <f aca="false">IF($B59="","",INDEX(MASTER_DATABASE!$I$4:$I$1000,$B59)&amp;"")</f>
        <v/>
      </c>
      <c r="H59" s="7" t="str">
        <f aca="false">IF($B59="","",INDEX(MASTER_DATABASE!$L$4:$L$1000,$B59)&amp;"")</f>
        <v/>
      </c>
      <c r="I59" s="9" t="str">
        <f aca="false">IF($B59="","",INDEX(MASTER_DATABASE!$R$4:$R$1000,$B59))</f>
        <v/>
      </c>
      <c r="J59" s="9" t="str">
        <f aca="false">IF($B59="","",INDEX(MASTER_DATABASE!$S$4:$S$1000,$B59))</f>
        <v/>
      </c>
      <c r="K59" s="9" t="str">
        <f aca="false">IF($B59="","",INDEX(MASTER_DATABASE!$T$4:$T$1000,$B59))</f>
        <v/>
      </c>
      <c r="L59" s="7" t="str">
        <f aca="false">IF($B59="","",INDEX(MASTER_DATABASE!$U$4:$U$1000,$B59)&amp;"")</f>
        <v/>
      </c>
      <c r="M59" s="7" t="str">
        <f aca="false">IF($B59="","",INDEX(MASTER_DATABASE!$Q$4:$Q$1000,$B59)&amp;"")</f>
        <v/>
      </c>
      <c r="N59" s="7" t="str">
        <f aca="false">IF($B59="","",INDEX(MASTER_DATABASE!$AG$4:$AG$1000,$B59)&amp;"")</f>
        <v/>
      </c>
      <c r="O59" s="11" t="str">
        <f aca="false">IF($B59="","",INDEX(MASTER_DATABASE!$AH$4:$AH$1000,$B59)&amp;"")</f>
        <v/>
      </c>
      <c r="P59" s="11" t="str">
        <f aca="false">IF($B59="","",INDEX(MASTER_DATABASE!$BE$4:$BE$1000,$B59)&amp;"")</f>
        <v/>
      </c>
      <c r="Q59" s="7" t="str">
        <f aca="false">IF($B59="","",INDEX(MASTER_DATABASE!$AV$4:$AV$1000,$B59)&amp;"")</f>
        <v/>
      </c>
    </row>
    <row r="60" customFormat="false" ht="15" hidden="false" customHeight="false" outlineLevel="0" collapsed="false">
      <c r="A60" s="11" t="n">
        <v>57</v>
      </c>
      <c r="B60" s="11" t="str">
        <f aca="false">IFERROR(MATCH("Online Form &amp; Digital Services|"&amp;$A60,MASTER_DATABASE!$BH$4:$BH$1000,0),"")</f>
        <v/>
      </c>
      <c r="C60" s="11" t="str">
        <f aca="false">IF($B60="","",INDEX(MASTER_DATABASE!$A$4:$A$1000,$B60)&amp;"")</f>
        <v/>
      </c>
      <c r="D60" s="7" t="str">
        <f aca="false">IF($B60="","",INDEX(MASTER_DATABASE!$D$4:$D$1000,$B60)&amp;"")</f>
        <v/>
      </c>
      <c r="E60" s="7" t="str">
        <f aca="false">IF($B60="","",INDEX(MASTER_DATABASE!$E$4:$E$1000,$B60)&amp;"")</f>
        <v/>
      </c>
      <c r="F60" s="7" t="str">
        <f aca="false">IF($B60="","",INDEX(MASTER_DATABASE!$F$4:$F$1000,$B60)&amp;"")</f>
        <v/>
      </c>
      <c r="G60" s="11" t="str">
        <f aca="false">IF($B60="","",INDEX(MASTER_DATABASE!$I$4:$I$1000,$B60)&amp;"")</f>
        <v/>
      </c>
      <c r="H60" s="7" t="str">
        <f aca="false">IF($B60="","",INDEX(MASTER_DATABASE!$L$4:$L$1000,$B60)&amp;"")</f>
        <v/>
      </c>
      <c r="I60" s="9" t="str">
        <f aca="false">IF($B60="","",INDEX(MASTER_DATABASE!$R$4:$R$1000,$B60))</f>
        <v/>
      </c>
      <c r="J60" s="9" t="str">
        <f aca="false">IF($B60="","",INDEX(MASTER_DATABASE!$S$4:$S$1000,$B60))</f>
        <v/>
      </c>
      <c r="K60" s="9" t="str">
        <f aca="false">IF($B60="","",INDEX(MASTER_DATABASE!$T$4:$T$1000,$B60))</f>
        <v/>
      </c>
      <c r="L60" s="7" t="str">
        <f aca="false">IF($B60="","",INDEX(MASTER_DATABASE!$U$4:$U$1000,$B60)&amp;"")</f>
        <v/>
      </c>
      <c r="M60" s="7" t="str">
        <f aca="false">IF($B60="","",INDEX(MASTER_DATABASE!$Q$4:$Q$1000,$B60)&amp;"")</f>
        <v/>
      </c>
      <c r="N60" s="7" t="str">
        <f aca="false">IF($B60="","",INDEX(MASTER_DATABASE!$AG$4:$AG$1000,$B60)&amp;"")</f>
        <v/>
      </c>
      <c r="O60" s="11" t="str">
        <f aca="false">IF($B60="","",INDEX(MASTER_DATABASE!$AH$4:$AH$1000,$B60)&amp;"")</f>
        <v/>
      </c>
      <c r="P60" s="11" t="str">
        <f aca="false">IF($B60="","",INDEX(MASTER_DATABASE!$BE$4:$BE$1000,$B60)&amp;"")</f>
        <v/>
      </c>
      <c r="Q60" s="7" t="str">
        <f aca="false">IF($B60="","",INDEX(MASTER_DATABASE!$AV$4:$AV$1000,$B60)&amp;"")</f>
        <v/>
      </c>
    </row>
    <row r="61" customFormat="false" ht="15" hidden="false" customHeight="false" outlineLevel="0" collapsed="false">
      <c r="A61" s="11" t="n">
        <v>58</v>
      </c>
      <c r="B61" s="11" t="str">
        <f aca="false">IFERROR(MATCH("Online Form &amp; Digital Services|"&amp;$A61,MASTER_DATABASE!$BH$4:$BH$1000,0),"")</f>
        <v/>
      </c>
      <c r="C61" s="11" t="str">
        <f aca="false">IF($B61="","",INDEX(MASTER_DATABASE!$A$4:$A$1000,$B61)&amp;"")</f>
        <v/>
      </c>
      <c r="D61" s="7" t="str">
        <f aca="false">IF($B61="","",INDEX(MASTER_DATABASE!$D$4:$D$1000,$B61)&amp;"")</f>
        <v/>
      </c>
      <c r="E61" s="7" t="str">
        <f aca="false">IF($B61="","",INDEX(MASTER_DATABASE!$E$4:$E$1000,$B61)&amp;"")</f>
        <v/>
      </c>
      <c r="F61" s="7" t="str">
        <f aca="false">IF($B61="","",INDEX(MASTER_DATABASE!$F$4:$F$1000,$B61)&amp;"")</f>
        <v/>
      </c>
      <c r="G61" s="11" t="str">
        <f aca="false">IF($B61="","",INDEX(MASTER_DATABASE!$I$4:$I$1000,$B61)&amp;"")</f>
        <v/>
      </c>
      <c r="H61" s="7" t="str">
        <f aca="false">IF($B61="","",INDEX(MASTER_DATABASE!$L$4:$L$1000,$B61)&amp;"")</f>
        <v/>
      </c>
      <c r="I61" s="9" t="str">
        <f aca="false">IF($B61="","",INDEX(MASTER_DATABASE!$R$4:$R$1000,$B61))</f>
        <v/>
      </c>
      <c r="J61" s="9" t="str">
        <f aca="false">IF($B61="","",INDEX(MASTER_DATABASE!$S$4:$S$1000,$B61))</f>
        <v/>
      </c>
      <c r="K61" s="9" t="str">
        <f aca="false">IF($B61="","",INDEX(MASTER_DATABASE!$T$4:$T$1000,$B61))</f>
        <v/>
      </c>
      <c r="L61" s="7" t="str">
        <f aca="false">IF($B61="","",INDEX(MASTER_DATABASE!$U$4:$U$1000,$B61)&amp;"")</f>
        <v/>
      </c>
      <c r="M61" s="7" t="str">
        <f aca="false">IF($B61="","",INDEX(MASTER_DATABASE!$Q$4:$Q$1000,$B61)&amp;"")</f>
        <v/>
      </c>
      <c r="N61" s="7" t="str">
        <f aca="false">IF($B61="","",INDEX(MASTER_DATABASE!$AG$4:$AG$1000,$B61)&amp;"")</f>
        <v/>
      </c>
      <c r="O61" s="11" t="str">
        <f aca="false">IF($B61="","",INDEX(MASTER_DATABASE!$AH$4:$AH$1000,$B61)&amp;"")</f>
        <v/>
      </c>
      <c r="P61" s="11" t="str">
        <f aca="false">IF($B61="","",INDEX(MASTER_DATABASE!$BE$4:$BE$1000,$B61)&amp;"")</f>
        <v/>
      </c>
      <c r="Q61" s="7" t="str">
        <f aca="false">IF($B61="","",INDEX(MASTER_DATABASE!$AV$4:$AV$1000,$B61)&amp;"")</f>
        <v/>
      </c>
    </row>
    <row r="62" customFormat="false" ht="15" hidden="false" customHeight="false" outlineLevel="0" collapsed="false">
      <c r="A62" s="11" t="n">
        <v>59</v>
      </c>
      <c r="B62" s="11" t="str">
        <f aca="false">IFERROR(MATCH("Online Form &amp; Digital Services|"&amp;$A62,MASTER_DATABASE!$BH$4:$BH$1000,0),"")</f>
        <v/>
      </c>
      <c r="C62" s="11" t="str">
        <f aca="false">IF($B62="","",INDEX(MASTER_DATABASE!$A$4:$A$1000,$B62)&amp;"")</f>
        <v/>
      </c>
      <c r="D62" s="7" t="str">
        <f aca="false">IF($B62="","",INDEX(MASTER_DATABASE!$D$4:$D$1000,$B62)&amp;"")</f>
        <v/>
      </c>
      <c r="E62" s="7" t="str">
        <f aca="false">IF($B62="","",INDEX(MASTER_DATABASE!$E$4:$E$1000,$B62)&amp;"")</f>
        <v/>
      </c>
      <c r="F62" s="7" t="str">
        <f aca="false">IF($B62="","",INDEX(MASTER_DATABASE!$F$4:$F$1000,$B62)&amp;"")</f>
        <v/>
      </c>
      <c r="G62" s="11" t="str">
        <f aca="false">IF($B62="","",INDEX(MASTER_DATABASE!$I$4:$I$1000,$B62)&amp;"")</f>
        <v/>
      </c>
      <c r="H62" s="7" t="str">
        <f aca="false">IF($B62="","",INDEX(MASTER_DATABASE!$L$4:$L$1000,$B62)&amp;"")</f>
        <v/>
      </c>
      <c r="I62" s="9" t="str">
        <f aca="false">IF($B62="","",INDEX(MASTER_DATABASE!$R$4:$R$1000,$B62))</f>
        <v/>
      </c>
      <c r="J62" s="9" t="str">
        <f aca="false">IF($B62="","",INDEX(MASTER_DATABASE!$S$4:$S$1000,$B62))</f>
        <v/>
      </c>
      <c r="K62" s="9" t="str">
        <f aca="false">IF($B62="","",INDEX(MASTER_DATABASE!$T$4:$T$1000,$B62))</f>
        <v/>
      </c>
      <c r="L62" s="7" t="str">
        <f aca="false">IF($B62="","",INDEX(MASTER_DATABASE!$U$4:$U$1000,$B62)&amp;"")</f>
        <v/>
      </c>
      <c r="M62" s="7" t="str">
        <f aca="false">IF($B62="","",INDEX(MASTER_DATABASE!$Q$4:$Q$1000,$B62)&amp;"")</f>
        <v/>
      </c>
      <c r="N62" s="7" t="str">
        <f aca="false">IF($B62="","",INDEX(MASTER_DATABASE!$AG$4:$AG$1000,$B62)&amp;"")</f>
        <v/>
      </c>
      <c r="O62" s="11" t="str">
        <f aca="false">IF($B62="","",INDEX(MASTER_DATABASE!$AH$4:$AH$1000,$B62)&amp;"")</f>
        <v/>
      </c>
      <c r="P62" s="11" t="str">
        <f aca="false">IF($B62="","",INDEX(MASTER_DATABASE!$BE$4:$BE$1000,$B62)&amp;"")</f>
        <v/>
      </c>
      <c r="Q62" s="7" t="str">
        <f aca="false">IF($B62="","",INDEX(MASTER_DATABASE!$AV$4:$AV$1000,$B62)&amp;"")</f>
        <v/>
      </c>
    </row>
    <row r="63" customFormat="false" ht="15" hidden="false" customHeight="false" outlineLevel="0" collapsed="false">
      <c r="A63" s="11" t="n">
        <v>60</v>
      </c>
      <c r="B63" s="11" t="str">
        <f aca="false">IFERROR(MATCH("Online Form &amp; Digital Services|"&amp;$A63,MASTER_DATABASE!$BH$4:$BH$1000,0),"")</f>
        <v/>
      </c>
      <c r="C63" s="11" t="str">
        <f aca="false">IF($B63="","",INDEX(MASTER_DATABASE!$A$4:$A$1000,$B63)&amp;"")</f>
        <v/>
      </c>
      <c r="D63" s="7" t="str">
        <f aca="false">IF($B63="","",INDEX(MASTER_DATABASE!$D$4:$D$1000,$B63)&amp;"")</f>
        <v/>
      </c>
      <c r="E63" s="7" t="str">
        <f aca="false">IF($B63="","",INDEX(MASTER_DATABASE!$E$4:$E$1000,$B63)&amp;"")</f>
        <v/>
      </c>
      <c r="F63" s="7" t="str">
        <f aca="false">IF($B63="","",INDEX(MASTER_DATABASE!$F$4:$F$1000,$B63)&amp;"")</f>
        <v/>
      </c>
      <c r="G63" s="11" t="str">
        <f aca="false">IF($B63="","",INDEX(MASTER_DATABASE!$I$4:$I$1000,$B63)&amp;"")</f>
        <v/>
      </c>
      <c r="H63" s="7" t="str">
        <f aca="false">IF($B63="","",INDEX(MASTER_DATABASE!$L$4:$L$1000,$B63)&amp;"")</f>
        <v/>
      </c>
      <c r="I63" s="9" t="str">
        <f aca="false">IF($B63="","",INDEX(MASTER_DATABASE!$R$4:$R$1000,$B63))</f>
        <v/>
      </c>
      <c r="J63" s="9" t="str">
        <f aca="false">IF($B63="","",INDEX(MASTER_DATABASE!$S$4:$S$1000,$B63))</f>
        <v/>
      </c>
      <c r="K63" s="9" t="str">
        <f aca="false">IF($B63="","",INDEX(MASTER_DATABASE!$T$4:$T$1000,$B63))</f>
        <v/>
      </c>
      <c r="L63" s="7" t="str">
        <f aca="false">IF($B63="","",INDEX(MASTER_DATABASE!$U$4:$U$1000,$B63)&amp;"")</f>
        <v/>
      </c>
      <c r="M63" s="7" t="str">
        <f aca="false">IF($B63="","",INDEX(MASTER_DATABASE!$Q$4:$Q$1000,$B63)&amp;"")</f>
        <v/>
      </c>
      <c r="N63" s="7" t="str">
        <f aca="false">IF($B63="","",INDEX(MASTER_DATABASE!$AG$4:$AG$1000,$B63)&amp;"")</f>
        <v/>
      </c>
      <c r="O63" s="11" t="str">
        <f aca="false">IF($B63="","",INDEX(MASTER_DATABASE!$AH$4:$AH$1000,$B63)&amp;"")</f>
        <v/>
      </c>
      <c r="P63" s="11" t="str">
        <f aca="false">IF($B63="","",INDEX(MASTER_DATABASE!$BE$4:$BE$1000,$B63)&amp;"")</f>
        <v/>
      </c>
      <c r="Q63" s="7" t="str">
        <f aca="false">IF($B63="","",INDEX(MASTER_DATABASE!$AV$4:$AV$1000,$B63)&amp;"")</f>
        <v/>
      </c>
    </row>
    <row r="64" customFormat="false" ht="15" hidden="false" customHeight="false" outlineLevel="0" collapsed="false">
      <c r="A64" s="11" t="n">
        <v>61</v>
      </c>
      <c r="B64" s="11" t="str">
        <f aca="false">IFERROR(MATCH("Online Form &amp; Digital Services|"&amp;$A64,MASTER_DATABASE!$BH$4:$BH$1000,0),"")</f>
        <v/>
      </c>
      <c r="C64" s="11" t="str">
        <f aca="false">IF($B64="","",INDEX(MASTER_DATABASE!$A$4:$A$1000,$B64)&amp;"")</f>
        <v/>
      </c>
      <c r="D64" s="7" t="str">
        <f aca="false">IF($B64="","",INDEX(MASTER_DATABASE!$D$4:$D$1000,$B64)&amp;"")</f>
        <v/>
      </c>
      <c r="E64" s="7" t="str">
        <f aca="false">IF($B64="","",INDEX(MASTER_DATABASE!$E$4:$E$1000,$B64)&amp;"")</f>
        <v/>
      </c>
      <c r="F64" s="7" t="str">
        <f aca="false">IF($B64="","",INDEX(MASTER_DATABASE!$F$4:$F$1000,$B64)&amp;"")</f>
        <v/>
      </c>
      <c r="G64" s="11" t="str">
        <f aca="false">IF($B64="","",INDEX(MASTER_DATABASE!$I$4:$I$1000,$B64)&amp;"")</f>
        <v/>
      </c>
      <c r="H64" s="7" t="str">
        <f aca="false">IF($B64="","",INDEX(MASTER_DATABASE!$L$4:$L$1000,$B64)&amp;"")</f>
        <v/>
      </c>
      <c r="I64" s="9" t="str">
        <f aca="false">IF($B64="","",INDEX(MASTER_DATABASE!$R$4:$R$1000,$B64))</f>
        <v/>
      </c>
      <c r="J64" s="9" t="str">
        <f aca="false">IF($B64="","",INDEX(MASTER_DATABASE!$S$4:$S$1000,$B64))</f>
        <v/>
      </c>
      <c r="K64" s="9" t="str">
        <f aca="false">IF($B64="","",INDEX(MASTER_DATABASE!$T$4:$T$1000,$B64))</f>
        <v/>
      </c>
      <c r="L64" s="7" t="str">
        <f aca="false">IF($B64="","",INDEX(MASTER_DATABASE!$U$4:$U$1000,$B64)&amp;"")</f>
        <v/>
      </c>
      <c r="M64" s="7" t="str">
        <f aca="false">IF($B64="","",INDEX(MASTER_DATABASE!$Q$4:$Q$1000,$B64)&amp;"")</f>
        <v/>
      </c>
      <c r="N64" s="7" t="str">
        <f aca="false">IF($B64="","",INDEX(MASTER_DATABASE!$AG$4:$AG$1000,$B64)&amp;"")</f>
        <v/>
      </c>
      <c r="O64" s="11" t="str">
        <f aca="false">IF($B64="","",INDEX(MASTER_DATABASE!$AH$4:$AH$1000,$B64)&amp;"")</f>
        <v/>
      </c>
      <c r="P64" s="11" t="str">
        <f aca="false">IF($B64="","",INDEX(MASTER_DATABASE!$BE$4:$BE$1000,$B64)&amp;"")</f>
        <v/>
      </c>
      <c r="Q64" s="7" t="str">
        <f aca="false">IF($B64="","",INDEX(MASTER_DATABASE!$AV$4:$AV$1000,$B64)&amp;"")</f>
        <v/>
      </c>
    </row>
    <row r="65" customFormat="false" ht="15" hidden="false" customHeight="false" outlineLevel="0" collapsed="false">
      <c r="A65" s="11" t="n">
        <v>62</v>
      </c>
      <c r="B65" s="11" t="str">
        <f aca="false">IFERROR(MATCH("Online Form &amp; Digital Services|"&amp;$A65,MASTER_DATABASE!$BH$4:$BH$1000,0),"")</f>
        <v/>
      </c>
      <c r="C65" s="11" t="str">
        <f aca="false">IF($B65="","",INDEX(MASTER_DATABASE!$A$4:$A$1000,$B65)&amp;"")</f>
        <v/>
      </c>
      <c r="D65" s="7" t="str">
        <f aca="false">IF($B65="","",INDEX(MASTER_DATABASE!$D$4:$D$1000,$B65)&amp;"")</f>
        <v/>
      </c>
      <c r="E65" s="7" t="str">
        <f aca="false">IF($B65="","",INDEX(MASTER_DATABASE!$E$4:$E$1000,$B65)&amp;"")</f>
        <v/>
      </c>
      <c r="F65" s="7" t="str">
        <f aca="false">IF($B65="","",INDEX(MASTER_DATABASE!$F$4:$F$1000,$B65)&amp;"")</f>
        <v/>
      </c>
      <c r="G65" s="11" t="str">
        <f aca="false">IF($B65="","",INDEX(MASTER_DATABASE!$I$4:$I$1000,$B65)&amp;"")</f>
        <v/>
      </c>
      <c r="H65" s="7" t="str">
        <f aca="false">IF($B65="","",INDEX(MASTER_DATABASE!$L$4:$L$1000,$B65)&amp;"")</f>
        <v/>
      </c>
      <c r="I65" s="9" t="str">
        <f aca="false">IF($B65="","",INDEX(MASTER_DATABASE!$R$4:$R$1000,$B65))</f>
        <v/>
      </c>
      <c r="J65" s="9" t="str">
        <f aca="false">IF($B65="","",INDEX(MASTER_DATABASE!$S$4:$S$1000,$B65))</f>
        <v/>
      </c>
      <c r="K65" s="9" t="str">
        <f aca="false">IF($B65="","",INDEX(MASTER_DATABASE!$T$4:$T$1000,$B65))</f>
        <v/>
      </c>
      <c r="L65" s="7" t="str">
        <f aca="false">IF($B65="","",INDEX(MASTER_DATABASE!$U$4:$U$1000,$B65)&amp;"")</f>
        <v/>
      </c>
      <c r="M65" s="7" t="str">
        <f aca="false">IF($B65="","",INDEX(MASTER_DATABASE!$Q$4:$Q$1000,$B65)&amp;"")</f>
        <v/>
      </c>
      <c r="N65" s="7" t="str">
        <f aca="false">IF($B65="","",INDEX(MASTER_DATABASE!$AG$4:$AG$1000,$B65)&amp;"")</f>
        <v/>
      </c>
      <c r="O65" s="11" t="str">
        <f aca="false">IF($B65="","",INDEX(MASTER_DATABASE!$AH$4:$AH$1000,$B65)&amp;"")</f>
        <v/>
      </c>
      <c r="P65" s="11" t="str">
        <f aca="false">IF($B65="","",INDEX(MASTER_DATABASE!$BE$4:$BE$1000,$B65)&amp;"")</f>
        <v/>
      </c>
      <c r="Q65" s="7" t="str">
        <f aca="false">IF($B65="","",INDEX(MASTER_DATABASE!$AV$4:$AV$1000,$B65)&amp;"")</f>
        <v/>
      </c>
    </row>
    <row r="66" customFormat="false" ht="15" hidden="false" customHeight="false" outlineLevel="0" collapsed="false">
      <c r="A66" s="11" t="n">
        <v>63</v>
      </c>
      <c r="B66" s="11" t="str">
        <f aca="false">IFERROR(MATCH("Online Form &amp; Digital Services|"&amp;$A66,MASTER_DATABASE!$BH$4:$BH$1000,0),"")</f>
        <v/>
      </c>
      <c r="C66" s="11" t="str">
        <f aca="false">IF($B66="","",INDEX(MASTER_DATABASE!$A$4:$A$1000,$B66)&amp;"")</f>
        <v/>
      </c>
      <c r="D66" s="7" t="str">
        <f aca="false">IF($B66="","",INDEX(MASTER_DATABASE!$D$4:$D$1000,$B66)&amp;"")</f>
        <v/>
      </c>
      <c r="E66" s="7" t="str">
        <f aca="false">IF($B66="","",INDEX(MASTER_DATABASE!$E$4:$E$1000,$B66)&amp;"")</f>
        <v/>
      </c>
      <c r="F66" s="7" t="str">
        <f aca="false">IF($B66="","",INDEX(MASTER_DATABASE!$F$4:$F$1000,$B66)&amp;"")</f>
        <v/>
      </c>
      <c r="G66" s="11" t="str">
        <f aca="false">IF($B66="","",INDEX(MASTER_DATABASE!$I$4:$I$1000,$B66)&amp;"")</f>
        <v/>
      </c>
      <c r="H66" s="7" t="str">
        <f aca="false">IF($B66="","",INDEX(MASTER_DATABASE!$L$4:$L$1000,$B66)&amp;"")</f>
        <v/>
      </c>
      <c r="I66" s="9" t="str">
        <f aca="false">IF($B66="","",INDEX(MASTER_DATABASE!$R$4:$R$1000,$B66))</f>
        <v/>
      </c>
      <c r="J66" s="9" t="str">
        <f aca="false">IF($B66="","",INDEX(MASTER_DATABASE!$S$4:$S$1000,$B66))</f>
        <v/>
      </c>
      <c r="K66" s="9" t="str">
        <f aca="false">IF($B66="","",INDEX(MASTER_DATABASE!$T$4:$T$1000,$B66))</f>
        <v/>
      </c>
      <c r="L66" s="7" t="str">
        <f aca="false">IF($B66="","",INDEX(MASTER_DATABASE!$U$4:$U$1000,$B66)&amp;"")</f>
        <v/>
      </c>
      <c r="M66" s="7" t="str">
        <f aca="false">IF($B66="","",INDEX(MASTER_DATABASE!$Q$4:$Q$1000,$B66)&amp;"")</f>
        <v/>
      </c>
      <c r="N66" s="7" t="str">
        <f aca="false">IF($B66="","",INDEX(MASTER_DATABASE!$AG$4:$AG$1000,$B66)&amp;"")</f>
        <v/>
      </c>
      <c r="O66" s="11" t="str">
        <f aca="false">IF($B66="","",INDEX(MASTER_DATABASE!$AH$4:$AH$1000,$B66)&amp;"")</f>
        <v/>
      </c>
      <c r="P66" s="11" t="str">
        <f aca="false">IF($B66="","",INDEX(MASTER_DATABASE!$BE$4:$BE$1000,$B66)&amp;"")</f>
        <v/>
      </c>
      <c r="Q66" s="7" t="str">
        <f aca="false">IF($B66="","",INDEX(MASTER_DATABASE!$AV$4:$AV$1000,$B66)&amp;"")</f>
        <v/>
      </c>
    </row>
    <row r="67" customFormat="false" ht="15" hidden="false" customHeight="false" outlineLevel="0" collapsed="false">
      <c r="A67" s="11" t="n">
        <v>64</v>
      </c>
      <c r="B67" s="11" t="str">
        <f aca="false">IFERROR(MATCH("Online Form &amp; Digital Services|"&amp;$A67,MASTER_DATABASE!$BH$4:$BH$1000,0),"")</f>
        <v/>
      </c>
      <c r="C67" s="11" t="str">
        <f aca="false">IF($B67="","",INDEX(MASTER_DATABASE!$A$4:$A$1000,$B67)&amp;"")</f>
        <v/>
      </c>
      <c r="D67" s="7" t="str">
        <f aca="false">IF($B67="","",INDEX(MASTER_DATABASE!$D$4:$D$1000,$B67)&amp;"")</f>
        <v/>
      </c>
      <c r="E67" s="7" t="str">
        <f aca="false">IF($B67="","",INDEX(MASTER_DATABASE!$E$4:$E$1000,$B67)&amp;"")</f>
        <v/>
      </c>
      <c r="F67" s="7" t="str">
        <f aca="false">IF($B67="","",INDEX(MASTER_DATABASE!$F$4:$F$1000,$B67)&amp;"")</f>
        <v/>
      </c>
      <c r="G67" s="11" t="str">
        <f aca="false">IF($B67="","",INDEX(MASTER_DATABASE!$I$4:$I$1000,$B67)&amp;"")</f>
        <v/>
      </c>
      <c r="H67" s="7" t="str">
        <f aca="false">IF($B67="","",INDEX(MASTER_DATABASE!$L$4:$L$1000,$B67)&amp;"")</f>
        <v/>
      </c>
      <c r="I67" s="9" t="str">
        <f aca="false">IF($B67="","",INDEX(MASTER_DATABASE!$R$4:$R$1000,$B67))</f>
        <v/>
      </c>
      <c r="J67" s="9" t="str">
        <f aca="false">IF($B67="","",INDEX(MASTER_DATABASE!$S$4:$S$1000,$B67))</f>
        <v/>
      </c>
      <c r="K67" s="9" t="str">
        <f aca="false">IF($B67="","",INDEX(MASTER_DATABASE!$T$4:$T$1000,$B67))</f>
        <v/>
      </c>
      <c r="L67" s="7" t="str">
        <f aca="false">IF($B67="","",INDEX(MASTER_DATABASE!$U$4:$U$1000,$B67)&amp;"")</f>
        <v/>
      </c>
      <c r="M67" s="7" t="str">
        <f aca="false">IF($B67="","",INDEX(MASTER_DATABASE!$Q$4:$Q$1000,$B67)&amp;"")</f>
        <v/>
      </c>
      <c r="N67" s="7" t="str">
        <f aca="false">IF($B67="","",INDEX(MASTER_DATABASE!$AG$4:$AG$1000,$B67)&amp;"")</f>
        <v/>
      </c>
      <c r="O67" s="11" t="str">
        <f aca="false">IF($B67="","",INDEX(MASTER_DATABASE!$AH$4:$AH$1000,$B67)&amp;"")</f>
        <v/>
      </c>
      <c r="P67" s="11" t="str">
        <f aca="false">IF($B67="","",INDEX(MASTER_DATABASE!$BE$4:$BE$1000,$B67)&amp;"")</f>
        <v/>
      </c>
      <c r="Q67" s="7" t="str">
        <f aca="false">IF($B67="","",INDEX(MASTER_DATABASE!$AV$4:$AV$1000,$B67)&amp;"")</f>
        <v/>
      </c>
    </row>
  </sheetData>
  <conditionalFormatting sqref="G4:G67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67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67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3698</v>
      </c>
    </row>
    <row r="2" customFormat="false" ht="15" hidden="false" customHeight="false" outlineLevel="0" collapsed="false">
      <c r="A2" s="2" t="s">
        <v>3699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15" hidden="false" customHeight="false" outlineLevel="0" collapsed="false">
      <c r="A4" s="11" t="n">
        <v>1</v>
      </c>
      <c r="B4" s="11" t="n">
        <f aca="false">IFERROR(MATCH("Recharge / Bill Payment|"&amp;$A4,MASTER_DATABASE!$BH$4:$BH$1000,0),"")</f>
        <v>268</v>
      </c>
      <c r="C4" s="11" t="str">
        <f aca="false">IF($B4="","",INDEX(MASTER_DATABASE!$A$4:$A$1000,$B4)&amp;"")</f>
        <v>RCH-001</v>
      </c>
      <c r="D4" s="7" t="str">
        <f aca="false">IF($B4="","",INDEX(MASTER_DATABASE!$D$4:$D$1000,$B4)&amp;"")</f>
        <v>Recharge</v>
      </c>
      <c r="E4" s="7" t="str">
        <f aca="false">IF($B4="","",INDEX(MASTER_DATABASE!$E$4:$E$1000,$B4)&amp;"")</f>
        <v>Mobile Recharge (Prepaid)</v>
      </c>
      <c r="F4" s="7" t="str">
        <f aca="false">IF($B4="","",INDEX(MASTER_DATABASE!$F$4:$F$1000,$B4)&amp;"")</f>
        <v>मोबाइल रिचार्ज (प्रीपेड)</v>
      </c>
      <c r="G4" s="11" t="str">
        <f aca="false">IF($B4="","",INDEX(MASTER_DATABASE!$I$4:$I$1000,$B4)&amp;"")</f>
        <v>Available</v>
      </c>
      <c r="H4" s="7" t="str">
        <f aca="false">IF($B4="","",INDEX(MASTER_DATABASE!$L$4:$L$1000,$B4)&amp;"")</f>
        <v>Not Applicable</v>
      </c>
      <c r="I4" s="9" t="str">
        <f aca="false">IF($B4="","",INDEX(MASTER_DATABASE!$R$4:$R$1000,$B4))</f>
        <v>N/A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Variable</v>
      </c>
      <c r="M4" s="7" t="str">
        <f aca="false">IF($B4="","",INDEX(MASTER_DATABASE!$Q$4:$Q$1000,$B4)&amp;"")</f>
        <v>5–10 Minutes</v>
      </c>
      <c r="N4" s="7" t="str">
        <f aca="false">IF($B4="","",INDEX(MASTER_DATABASE!$AG$4:$AG$1000,$B4)&amp;"")</f>
        <v>Active</v>
      </c>
      <c r="O4" s="11" t="str">
        <f aca="false">IF($B4="","",INDEX(MASTER_DATABASE!$AH$4:$AH$1000,$B4)&amp;"")</f>
        <v>Yes</v>
      </c>
      <c r="P4" s="11" t="str">
        <f aca="false">IF($B4="","",INDEX(MASTER_DATABASE!$BE$4:$BE$1000,$B4)&amp;"")</f>
        <v>LIVE</v>
      </c>
      <c r="Q4" s="7" t="str">
        <f aca="false">IF($B4="","",INDEX(MASTER_DATABASE!$AV$4:$AV$1000,$B4)&amp;"")</f>
        <v>To Verify</v>
      </c>
    </row>
    <row r="5" customFormat="false" ht="15" hidden="false" customHeight="false" outlineLevel="0" collapsed="false">
      <c r="A5" s="11" t="n">
        <v>2</v>
      </c>
      <c r="B5" s="11" t="n">
        <f aca="false">IFERROR(MATCH("Recharge / Bill Payment|"&amp;$A5,MASTER_DATABASE!$BH$4:$BH$1000,0),"")</f>
        <v>269</v>
      </c>
      <c r="C5" s="11" t="str">
        <f aca="false">IF($B5="","",INDEX(MASTER_DATABASE!$A$4:$A$1000,$B5)&amp;"")</f>
        <v>RCH-002</v>
      </c>
      <c r="D5" s="7" t="str">
        <f aca="false">IF($B5="","",INDEX(MASTER_DATABASE!$D$4:$D$1000,$B5)&amp;"")</f>
        <v>Recharge</v>
      </c>
      <c r="E5" s="7" t="str">
        <f aca="false">IF($B5="","",INDEX(MASTER_DATABASE!$E$4:$E$1000,$B5)&amp;"")</f>
        <v>DTH Recharge</v>
      </c>
      <c r="F5" s="7" t="str">
        <f aca="false">IF($B5="","",INDEX(MASTER_DATABASE!$F$4:$F$1000,$B5)&amp;"")</f>
        <v>DTH रिचार्ज</v>
      </c>
      <c r="G5" s="11" t="str">
        <f aca="false">IF($B5="","",INDEX(MASTER_DATABASE!$I$4:$I$1000,$B5)&amp;"")</f>
        <v>Available</v>
      </c>
      <c r="H5" s="7" t="str">
        <f aca="false">IF($B5="","",INDEX(MASTER_DATABASE!$L$4:$L$1000,$B5)&amp;"")</f>
        <v>Not Applicable</v>
      </c>
      <c r="I5" s="9" t="str">
        <f aca="false">IF($B5="","",INDEX(MASTER_DATABASE!$R$4:$R$1000,$B5))</f>
        <v>N/A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Variable</v>
      </c>
      <c r="M5" s="7" t="str">
        <f aca="false">IF($B5="","",INDEX(MASTER_DATABASE!$Q$4:$Q$1000,$B5)&amp;"")</f>
        <v>5–10 Minutes</v>
      </c>
      <c r="N5" s="7" t="str">
        <f aca="false">IF($B5="","",INDEX(MASTER_DATABASE!$AG$4:$AG$1000,$B5)&amp;"")</f>
        <v>Active</v>
      </c>
      <c r="O5" s="11" t="str">
        <f aca="false">IF($B5="","",INDEX(MASTER_DATABASE!$AH$4:$AH$1000,$B5)&amp;"")</f>
        <v>Yes</v>
      </c>
      <c r="P5" s="11" t="str">
        <f aca="false">IF($B5="","",INDEX(MASTER_DATABASE!$BE$4:$BE$1000,$B5)&amp;"")</f>
        <v>LIVE</v>
      </c>
      <c r="Q5" s="7" t="str">
        <f aca="false">IF($B5="","",INDEX(MASTER_DATABASE!$AV$4:$AV$1000,$B5)&amp;"")</f>
        <v>To Verify</v>
      </c>
    </row>
    <row r="6" customFormat="false" ht="15" hidden="false" customHeight="false" outlineLevel="0" collapsed="false">
      <c r="A6" s="11" t="n">
        <v>3</v>
      </c>
      <c r="B6" s="11" t="n">
        <f aca="false">IFERROR(MATCH("Recharge / Bill Payment|"&amp;$A6,MASTER_DATABASE!$BH$4:$BH$1000,0),"")</f>
        <v>270</v>
      </c>
      <c r="C6" s="11" t="str">
        <f aca="false">IF($B6="","",INDEX(MASTER_DATABASE!$A$4:$A$1000,$B6)&amp;"")</f>
        <v>RCH-003</v>
      </c>
      <c r="D6" s="7" t="str">
        <f aca="false">IF($B6="","",INDEX(MASTER_DATABASE!$D$4:$D$1000,$B6)&amp;"")</f>
        <v>Recharge</v>
      </c>
      <c r="E6" s="7" t="str">
        <f aca="false">IF($B6="","",INDEX(MASTER_DATABASE!$E$4:$E$1000,$B6)&amp;"")</f>
        <v>FASTag Recharge</v>
      </c>
      <c r="F6" s="7" t="str">
        <f aca="false">IF($B6="","",INDEX(MASTER_DATABASE!$F$4:$F$1000,$B6)&amp;"")</f>
        <v>FASTag रिचार्ज</v>
      </c>
      <c r="G6" s="11" t="str">
        <f aca="false">IF($B6="","",INDEX(MASTER_DATABASE!$I$4:$I$1000,$B6)&amp;"")</f>
        <v>Authorization Required</v>
      </c>
      <c r="H6" s="7" t="str">
        <f aca="false">IF($B6="","",INDEX(MASTER_DATABASE!$L$4:$L$1000,$B6)&amp;"")</f>
        <v>To Verify</v>
      </c>
      <c r="I6" s="9" t="str">
        <f aca="false">IF($B6="","",INDEX(MASTER_DATABASE!$R$4:$R$1000,$B6))</f>
        <v>N/A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Variable</v>
      </c>
      <c r="M6" s="7" t="str">
        <f aca="false">IF($B6="","",INDEX(MASTER_DATABASE!$Q$4:$Q$1000,$B6)&amp;"")</f>
        <v>5–10 Minutes</v>
      </c>
      <c r="N6" s="7" t="str">
        <f aca="false">IF($B6="","",INDEX(MASTER_DATABASE!$AG$4:$AG$1000,$B6)&amp;"")</f>
        <v>To Verify</v>
      </c>
      <c r="O6" s="11" t="str">
        <f aca="false">IF($B6="","",INDEX(MASTER_DATABASE!$AH$4:$AH$1000,$B6)&amp;"")</f>
        <v>No</v>
      </c>
      <c r="P6" s="11" t="str">
        <f aca="false">IF($B6="","",INDEX(MASTER_DATABASE!$BE$4:$BE$1000,$B6)&amp;"")</f>
        <v>HIDDEN</v>
      </c>
      <c r="Q6" s="7" t="str">
        <f aca="false">IF($B6="","",INDEX(MASTER_DATABASE!$AV$4:$AV$1000,$B6)&amp;"")</f>
        <v>To Verify</v>
      </c>
    </row>
    <row r="7" customFormat="false" ht="15" hidden="false" customHeight="false" outlineLevel="0" collapsed="false">
      <c r="A7" s="11" t="n">
        <v>4</v>
      </c>
      <c r="B7" s="11" t="n">
        <f aca="false">IFERROR(MATCH("Recharge / Bill Payment|"&amp;$A7,MASTER_DATABASE!$BH$4:$BH$1000,0),"")</f>
        <v>271</v>
      </c>
      <c r="C7" s="11" t="str">
        <f aca="false">IF($B7="","",INDEX(MASTER_DATABASE!$A$4:$A$1000,$B7)&amp;"")</f>
        <v>RCH-004</v>
      </c>
      <c r="D7" s="7" t="str">
        <f aca="false">IF($B7="","",INDEX(MASTER_DATABASE!$D$4:$D$1000,$B7)&amp;"")</f>
        <v>Bill Payment (BBPS)</v>
      </c>
      <c r="E7" s="7" t="str">
        <f aca="false">IF($B7="","",INDEX(MASTER_DATABASE!$E$4:$E$1000,$B7)&amp;"")</f>
        <v>Mobile Postpaid Bill Payment</v>
      </c>
      <c r="F7" s="7" t="str">
        <f aca="false">IF($B7="","",INDEX(MASTER_DATABASE!$F$4:$F$1000,$B7)&amp;"")</f>
        <v>पोस्टपेड मोबाइल बिल भुगतान</v>
      </c>
      <c r="G7" s="11" t="str">
        <f aca="false">IF($B7="","",INDEX(MASTER_DATABASE!$I$4:$I$1000,$B7)&amp;"")</f>
        <v>Authorization Required</v>
      </c>
      <c r="H7" s="7" t="str">
        <f aca="false">IF($B7="","",INDEX(MASTER_DATABASE!$L$4:$L$1000,$B7)&amp;"")</f>
        <v>To Verify</v>
      </c>
      <c r="I7" s="9" t="str">
        <f aca="false">IF($B7="","",INDEX(MASTER_DATABASE!$R$4:$R$1000,$B7))</f>
        <v>N/A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Variable</v>
      </c>
      <c r="M7" s="7" t="str">
        <f aca="false">IF($B7="","",INDEX(MASTER_DATABASE!$Q$4:$Q$1000,$B7)&amp;"")</f>
        <v>5–10 Minutes</v>
      </c>
      <c r="N7" s="7" t="str">
        <f aca="false">IF($B7="","",INDEX(MASTER_DATABASE!$AG$4:$AG$1000,$B7)&amp;"")</f>
        <v>To Verify</v>
      </c>
      <c r="O7" s="11" t="str">
        <f aca="false">IF($B7="","",INDEX(MASTER_DATABASE!$AH$4:$AH$1000,$B7)&amp;"")</f>
        <v>No</v>
      </c>
      <c r="P7" s="11" t="str">
        <f aca="false">IF($B7="","",INDEX(MASTER_DATABASE!$BE$4:$BE$1000,$B7)&amp;"")</f>
        <v>HIDDEN</v>
      </c>
      <c r="Q7" s="7" t="str">
        <f aca="false">IF($B7="","",INDEX(MASTER_DATABASE!$AV$4:$AV$1000,$B7)&amp;"")</f>
        <v>To Verify</v>
      </c>
    </row>
    <row r="8" customFormat="false" ht="15" hidden="false" customHeight="false" outlineLevel="0" collapsed="false">
      <c r="A8" s="11" t="n">
        <v>5</v>
      </c>
      <c r="B8" s="11" t="n">
        <f aca="false">IFERROR(MATCH("Recharge / Bill Payment|"&amp;$A8,MASTER_DATABASE!$BH$4:$BH$1000,0),"")</f>
        <v>272</v>
      </c>
      <c r="C8" s="11" t="str">
        <f aca="false">IF($B8="","",INDEX(MASTER_DATABASE!$A$4:$A$1000,$B8)&amp;"")</f>
        <v>RCH-005</v>
      </c>
      <c r="D8" s="7" t="str">
        <f aca="false">IF($B8="","",INDEX(MASTER_DATABASE!$D$4:$D$1000,$B8)&amp;"")</f>
        <v>Bill Payment (BBPS)</v>
      </c>
      <c r="E8" s="7" t="str">
        <f aca="false">IF($B8="","",INDEX(MASTER_DATABASE!$E$4:$E$1000,$B8)&amp;"")</f>
        <v>Electricity Bill Payment</v>
      </c>
      <c r="F8" s="7" t="str">
        <f aca="false">IF($B8="","",INDEX(MASTER_DATABASE!$F$4:$F$1000,$B8)&amp;"")</f>
        <v>बिजली बिल भुगतान</v>
      </c>
      <c r="G8" s="11" t="str">
        <f aca="false">IF($B8="","",INDEX(MASTER_DATABASE!$I$4:$I$1000,$B8)&amp;"")</f>
        <v>Authorization Required</v>
      </c>
      <c r="H8" s="7" t="str">
        <f aca="false">IF($B8="","",INDEX(MASTER_DATABASE!$L$4:$L$1000,$B8)&amp;"")</f>
        <v>To Verify</v>
      </c>
      <c r="I8" s="9" t="str">
        <f aca="false">IF($B8="","",INDEX(MASTER_DATABASE!$R$4:$R$1000,$B8))</f>
        <v>N/A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Variable</v>
      </c>
      <c r="M8" s="7" t="str">
        <f aca="false">IF($B8="","",INDEX(MASTER_DATABASE!$Q$4:$Q$1000,$B8)&amp;"")</f>
        <v>5–10 Minutes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15" hidden="false" customHeight="false" outlineLevel="0" collapsed="false">
      <c r="A9" s="11" t="n">
        <v>6</v>
      </c>
      <c r="B9" s="11" t="n">
        <f aca="false">IFERROR(MATCH("Recharge / Bill Payment|"&amp;$A9,MASTER_DATABASE!$BH$4:$BH$1000,0),"")</f>
        <v>273</v>
      </c>
      <c r="C9" s="11" t="str">
        <f aca="false">IF($B9="","",INDEX(MASTER_DATABASE!$A$4:$A$1000,$B9)&amp;"")</f>
        <v>RCH-006</v>
      </c>
      <c r="D9" s="7" t="str">
        <f aca="false">IF($B9="","",INDEX(MASTER_DATABASE!$D$4:$D$1000,$B9)&amp;"")</f>
        <v>Bill Payment (BBPS)</v>
      </c>
      <c r="E9" s="7" t="str">
        <f aca="false">IF($B9="","",INDEX(MASTER_DATABASE!$E$4:$E$1000,$B9)&amp;"")</f>
        <v>Water Bill Payment</v>
      </c>
      <c r="F9" s="7" t="str">
        <f aca="false">IF($B9="","",INDEX(MASTER_DATABASE!$F$4:$F$1000,$B9)&amp;"")</f>
        <v>पानी बिल भुगतान</v>
      </c>
      <c r="G9" s="11" t="str">
        <f aca="false">IF($B9="","",INDEX(MASTER_DATABASE!$I$4:$I$1000,$B9)&amp;"")</f>
        <v>Authorization Required</v>
      </c>
      <c r="H9" s="7" t="str">
        <f aca="false">IF($B9="","",INDEX(MASTER_DATABASE!$L$4:$L$1000,$B9)&amp;"")</f>
        <v>To Verify</v>
      </c>
      <c r="I9" s="9" t="str">
        <f aca="false">IF($B9="","",INDEX(MASTER_DATABASE!$R$4:$R$1000,$B9))</f>
        <v>N/A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Variable</v>
      </c>
      <c r="M9" s="7" t="str">
        <f aca="false">IF($B9="","",INDEX(MASTER_DATABASE!$Q$4:$Q$1000,$B9)&amp;"")</f>
        <v>5–10 Minutes</v>
      </c>
      <c r="N9" s="7" t="str">
        <f aca="false">IF($B9="","",INDEX(MASTER_DATABASE!$AG$4:$AG$1000,$B9)&amp;"")</f>
        <v>To Verify</v>
      </c>
      <c r="O9" s="11" t="str">
        <f aca="false">IF($B9="","",INDEX(MASTER_DATABASE!$AH$4:$AH$1000,$B9)&amp;"")</f>
        <v>No</v>
      </c>
      <c r="P9" s="11" t="str">
        <f aca="false">IF($B9="","",INDEX(MASTER_DATABASE!$BE$4:$BE$1000,$B9)&amp;"")</f>
        <v>HIDDEN</v>
      </c>
      <c r="Q9" s="7" t="str">
        <f aca="false">IF($B9="","",INDEX(MASTER_DATABASE!$AV$4:$AV$1000,$B9)&amp;"")</f>
        <v>To Verify</v>
      </c>
    </row>
    <row r="10" customFormat="false" ht="15" hidden="false" customHeight="false" outlineLevel="0" collapsed="false">
      <c r="A10" s="11" t="n">
        <v>7</v>
      </c>
      <c r="B10" s="11" t="n">
        <f aca="false">IFERROR(MATCH("Recharge / Bill Payment|"&amp;$A10,MASTER_DATABASE!$BH$4:$BH$1000,0),"")</f>
        <v>274</v>
      </c>
      <c r="C10" s="11" t="str">
        <f aca="false">IF($B10="","",INDEX(MASTER_DATABASE!$A$4:$A$1000,$B10)&amp;"")</f>
        <v>RCH-007</v>
      </c>
      <c r="D10" s="7" t="str">
        <f aca="false">IF($B10="","",INDEX(MASTER_DATABASE!$D$4:$D$1000,$B10)&amp;"")</f>
        <v>Bill Payment (BBPS)</v>
      </c>
      <c r="E10" s="7" t="str">
        <f aca="false">IF($B10="","",INDEX(MASTER_DATABASE!$E$4:$E$1000,$B10)&amp;"")</f>
        <v>Gas (Piped / PNG) Bill Payment</v>
      </c>
      <c r="F10" s="7" t="str">
        <f aca="false">IF($B10="","",INDEX(MASTER_DATABASE!$F$4:$F$1000,$B10)&amp;"")</f>
        <v>गैस (PNG) बिल भुगतान</v>
      </c>
      <c r="G10" s="11" t="str">
        <f aca="false">IF($B10="","",INDEX(MASTER_DATABASE!$I$4:$I$1000,$B10)&amp;"")</f>
        <v>Authorization Required</v>
      </c>
      <c r="H10" s="7" t="str">
        <f aca="false">IF($B10="","",INDEX(MASTER_DATABASE!$L$4:$L$1000,$B10)&amp;"")</f>
        <v>To Verify</v>
      </c>
      <c r="I10" s="9" t="str">
        <f aca="false">IF($B10="","",INDEX(MASTER_DATABASE!$R$4:$R$1000,$B10))</f>
        <v>N/A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Variable</v>
      </c>
      <c r="M10" s="7" t="str">
        <f aca="false">IF($B10="","",INDEX(MASTER_DATABASE!$Q$4:$Q$1000,$B10)&amp;"")</f>
        <v>5–10 Minutes</v>
      </c>
      <c r="N10" s="7" t="str">
        <f aca="false">IF($B10="","",INDEX(MASTER_DATABASE!$AG$4:$AG$1000,$B10)&amp;"")</f>
        <v>To Verify</v>
      </c>
      <c r="O10" s="11" t="str">
        <f aca="false">IF($B10="","",INDEX(MASTER_DATABASE!$AH$4:$AH$1000,$B10)&amp;"")</f>
        <v>No</v>
      </c>
      <c r="P10" s="11" t="str">
        <f aca="false">IF($B10="","",INDEX(MASTER_DATABASE!$BE$4:$BE$1000,$B10)&amp;"")</f>
        <v>HIDDEN</v>
      </c>
      <c r="Q10" s="7" t="str">
        <f aca="false">IF($B10="","",INDEX(MASTER_DATABASE!$AV$4:$AV$1000,$B10)&amp;"")</f>
        <v>To Verify</v>
      </c>
    </row>
    <row r="11" customFormat="false" ht="15" hidden="false" customHeight="false" outlineLevel="0" collapsed="false">
      <c r="A11" s="11" t="n">
        <v>8</v>
      </c>
      <c r="B11" s="11" t="n">
        <f aca="false">IFERROR(MATCH("Recharge / Bill Payment|"&amp;$A11,MASTER_DATABASE!$BH$4:$BH$1000,0),"")</f>
        <v>275</v>
      </c>
      <c r="C11" s="11" t="str">
        <f aca="false">IF($B11="","",INDEX(MASTER_DATABASE!$A$4:$A$1000,$B11)&amp;"")</f>
        <v>RCH-008</v>
      </c>
      <c r="D11" s="7" t="str">
        <f aca="false">IF($B11="","",INDEX(MASTER_DATABASE!$D$4:$D$1000,$B11)&amp;"")</f>
        <v>Bill Payment (BBPS)</v>
      </c>
      <c r="E11" s="7" t="str">
        <f aca="false">IF($B11="","",INDEX(MASTER_DATABASE!$E$4:$E$1000,$B11)&amp;"")</f>
        <v>LPG Cylinder Booking / Payment</v>
      </c>
      <c r="F11" s="7" t="str">
        <f aca="false">IF($B11="","",INDEX(MASTER_DATABASE!$F$4:$F$1000,$B11)&amp;"")</f>
        <v>LPG सिलेंडर बुकिंग / भुगतान</v>
      </c>
      <c r="G11" s="11" t="str">
        <f aca="false">IF($B11="","",INDEX(MASTER_DATABASE!$I$4:$I$1000,$B11)&amp;"")</f>
        <v>Authorization Required</v>
      </c>
      <c r="H11" s="7" t="str">
        <f aca="false">IF($B11="","",INDEX(MASTER_DATABASE!$L$4:$L$1000,$B11)&amp;"")</f>
        <v>To Verify</v>
      </c>
      <c r="I11" s="9" t="str">
        <f aca="false">IF($B11="","",INDEX(MASTER_DATABASE!$R$4:$R$1000,$B11))</f>
        <v>N/A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Variable</v>
      </c>
      <c r="M11" s="7" t="str">
        <f aca="false">IF($B11="","",INDEX(MASTER_DATABASE!$Q$4:$Q$1000,$B11)&amp;"")</f>
        <v>5–10 Minutes</v>
      </c>
      <c r="N11" s="7" t="str">
        <f aca="false">IF($B11="","",INDEX(MASTER_DATABASE!$AG$4:$AG$1000,$B11)&amp;"")</f>
        <v>To Verify</v>
      </c>
      <c r="O11" s="11" t="str">
        <f aca="false">IF($B11="","",INDEX(MASTER_DATABASE!$AH$4:$AH$1000,$B11)&amp;"")</f>
        <v>No</v>
      </c>
      <c r="P11" s="11" t="str">
        <f aca="false">IF($B11="","",INDEX(MASTER_DATABASE!$BE$4:$BE$1000,$B11)&amp;"")</f>
        <v>HIDDEN</v>
      </c>
      <c r="Q11" s="7" t="str">
        <f aca="false">IF($B11="","",INDEX(MASTER_DATABASE!$AV$4:$AV$1000,$B11)&amp;"")</f>
        <v>To Verify</v>
      </c>
    </row>
    <row r="12" customFormat="false" ht="15" hidden="false" customHeight="false" outlineLevel="0" collapsed="false">
      <c r="A12" s="11" t="n">
        <v>9</v>
      </c>
      <c r="B12" s="11" t="n">
        <f aca="false">IFERROR(MATCH("Recharge / Bill Payment|"&amp;$A12,MASTER_DATABASE!$BH$4:$BH$1000,0),"")</f>
        <v>276</v>
      </c>
      <c r="C12" s="11" t="str">
        <f aca="false">IF($B12="","",INDEX(MASTER_DATABASE!$A$4:$A$1000,$B12)&amp;"")</f>
        <v>RCH-009</v>
      </c>
      <c r="D12" s="7" t="str">
        <f aca="false">IF($B12="","",INDEX(MASTER_DATABASE!$D$4:$D$1000,$B12)&amp;"")</f>
        <v>Bill Payment (BBPS)</v>
      </c>
      <c r="E12" s="7" t="str">
        <f aca="false">IF($B12="","",INDEX(MASTER_DATABASE!$E$4:$E$1000,$B12)&amp;"")</f>
        <v>Broadband / Internet Bill Payment</v>
      </c>
      <c r="F12" s="7" t="str">
        <f aca="false">IF($B12="","",INDEX(MASTER_DATABASE!$F$4:$F$1000,$B12)&amp;"")</f>
        <v>ब्रॉडबैंड / इंटरनेट बिल भुगतान</v>
      </c>
      <c r="G12" s="11" t="str">
        <f aca="false">IF($B12="","",INDEX(MASTER_DATABASE!$I$4:$I$1000,$B12)&amp;"")</f>
        <v>Authorization Required</v>
      </c>
      <c r="H12" s="7" t="str">
        <f aca="false">IF($B12="","",INDEX(MASTER_DATABASE!$L$4:$L$1000,$B12)&amp;"")</f>
        <v>To Verify</v>
      </c>
      <c r="I12" s="9" t="str">
        <f aca="false">IF($B12="","",INDEX(MASTER_DATABASE!$R$4:$R$1000,$B12))</f>
        <v>N/A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Variable</v>
      </c>
      <c r="M12" s="7" t="str">
        <f aca="false">IF($B12="","",INDEX(MASTER_DATABASE!$Q$4:$Q$1000,$B12)&amp;"")</f>
        <v>5–10 Minutes</v>
      </c>
      <c r="N12" s="7" t="str">
        <f aca="false">IF($B12="","",INDEX(MASTER_DATABASE!$AG$4:$AG$1000,$B12)&amp;"")</f>
        <v>To Verify</v>
      </c>
      <c r="O12" s="11" t="str">
        <f aca="false">IF($B12="","",INDEX(MASTER_DATABASE!$AH$4:$AH$1000,$B12)&amp;"")</f>
        <v>No</v>
      </c>
      <c r="P12" s="11" t="str">
        <f aca="false">IF($B12="","",INDEX(MASTER_DATABASE!$BE$4:$BE$1000,$B12)&amp;"")</f>
        <v>HIDDEN</v>
      </c>
      <c r="Q12" s="7" t="str">
        <f aca="false">IF($B12="","",INDEX(MASTER_DATABASE!$AV$4:$AV$1000,$B12)&amp;"")</f>
        <v>To Verify</v>
      </c>
    </row>
    <row r="13" customFormat="false" ht="15" hidden="false" customHeight="false" outlineLevel="0" collapsed="false">
      <c r="A13" s="11" t="n">
        <v>10</v>
      </c>
      <c r="B13" s="11" t="n">
        <f aca="false">IFERROR(MATCH("Recharge / Bill Payment|"&amp;$A13,MASTER_DATABASE!$BH$4:$BH$1000,0),"")</f>
        <v>277</v>
      </c>
      <c r="C13" s="11" t="str">
        <f aca="false">IF($B13="","",INDEX(MASTER_DATABASE!$A$4:$A$1000,$B13)&amp;"")</f>
        <v>RCH-010</v>
      </c>
      <c r="D13" s="7" t="str">
        <f aca="false">IF($B13="","",INDEX(MASTER_DATABASE!$D$4:$D$1000,$B13)&amp;"")</f>
        <v>Bill Payment (BBPS)</v>
      </c>
      <c r="E13" s="7" t="str">
        <f aca="false">IF($B13="","",INDEX(MASTER_DATABASE!$E$4:$E$1000,$B13)&amp;"")</f>
        <v>Landline Bill Payment</v>
      </c>
      <c r="F13" s="7" t="str">
        <f aca="false">IF($B13="","",INDEX(MASTER_DATABASE!$F$4:$F$1000,$B13)&amp;"")</f>
        <v>लैंडलाइन बिल भुगतान</v>
      </c>
      <c r="G13" s="11" t="str">
        <f aca="false">IF($B13="","",INDEX(MASTER_DATABASE!$I$4:$I$1000,$B13)&amp;"")</f>
        <v>Authorization Required</v>
      </c>
      <c r="H13" s="7" t="str">
        <f aca="false">IF($B13="","",INDEX(MASTER_DATABASE!$L$4:$L$1000,$B13)&amp;"")</f>
        <v>To Verify</v>
      </c>
      <c r="I13" s="9" t="str">
        <f aca="false">IF($B13="","",INDEX(MASTER_DATABASE!$R$4:$R$1000,$B13))</f>
        <v>N/A</v>
      </c>
      <c r="J13" s="9" t="str">
        <f aca="false">IF($B13="","",INDEX(MASTER_DATABASE!$S$4:$S$1000,$B13))</f>
        <v>To Verify</v>
      </c>
      <c r="K13" s="9" t="str">
        <f aca="false">IF($B13="","",INDEX(MASTER_DATABASE!$T$4:$T$1000,$B13))</f>
        <v>To Verify</v>
      </c>
      <c r="L13" s="7" t="str">
        <f aca="false">IF($B13="","",INDEX(MASTER_DATABASE!$U$4:$U$1000,$B13)&amp;"")</f>
        <v>Variable</v>
      </c>
      <c r="M13" s="7" t="str">
        <f aca="false">IF($B13="","",INDEX(MASTER_DATABASE!$Q$4:$Q$1000,$B13)&amp;"")</f>
        <v>5–10 Minutes</v>
      </c>
      <c r="N13" s="7" t="str">
        <f aca="false">IF($B13="","",INDEX(MASTER_DATABASE!$AG$4:$AG$1000,$B13)&amp;"")</f>
        <v>To Verify</v>
      </c>
      <c r="O13" s="11" t="str">
        <f aca="false">IF($B13="","",INDEX(MASTER_DATABASE!$AH$4:$AH$1000,$B13)&amp;"")</f>
        <v>No</v>
      </c>
      <c r="P13" s="11" t="str">
        <f aca="false">IF($B13="","",INDEX(MASTER_DATABASE!$BE$4:$BE$1000,$B13)&amp;"")</f>
        <v>HIDDEN</v>
      </c>
      <c r="Q13" s="7" t="str">
        <f aca="false">IF($B13="","",INDEX(MASTER_DATABASE!$AV$4:$AV$1000,$B13)&amp;"")</f>
        <v>To Verify</v>
      </c>
    </row>
    <row r="14" customFormat="false" ht="15" hidden="false" customHeight="false" outlineLevel="0" collapsed="false">
      <c r="A14" s="11" t="n">
        <v>11</v>
      </c>
      <c r="B14" s="11" t="n">
        <f aca="false">IFERROR(MATCH("Recharge / Bill Payment|"&amp;$A14,MASTER_DATABASE!$BH$4:$BH$1000,0),"")</f>
        <v>278</v>
      </c>
      <c r="C14" s="11" t="str">
        <f aca="false">IF($B14="","",INDEX(MASTER_DATABASE!$A$4:$A$1000,$B14)&amp;"")</f>
        <v>RCH-011</v>
      </c>
      <c r="D14" s="7" t="str">
        <f aca="false">IF($B14="","",INDEX(MASTER_DATABASE!$D$4:$D$1000,$B14)&amp;"")</f>
        <v>Bill Payment (BBPS)</v>
      </c>
      <c r="E14" s="7" t="str">
        <f aca="false">IF($B14="","",INDEX(MASTER_DATABASE!$E$4:$E$1000,$B14)&amp;"")</f>
        <v>Cable TV Bill Payment</v>
      </c>
      <c r="F14" s="7" t="str">
        <f aca="false">IF($B14="","",INDEX(MASTER_DATABASE!$F$4:$F$1000,$B14)&amp;"")</f>
        <v>केबल टीवी बिल भुगतान</v>
      </c>
      <c r="G14" s="11" t="str">
        <f aca="false">IF($B14="","",INDEX(MASTER_DATABASE!$I$4:$I$1000,$B14)&amp;"")</f>
        <v>Authorization Required</v>
      </c>
      <c r="H14" s="7" t="str">
        <f aca="false">IF($B14="","",INDEX(MASTER_DATABASE!$L$4:$L$1000,$B14)&amp;"")</f>
        <v>To Verify</v>
      </c>
      <c r="I14" s="9" t="str">
        <f aca="false">IF($B14="","",INDEX(MASTER_DATABASE!$R$4:$R$1000,$B14))</f>
        <v>N/A</v>
      </c>
      <c r="J14" s="9" t="str">
        <f aca="false">IF($B14="","",INDEX(MASTER_DATABASE!$S$4:$S$1000,$B14))</f>
        <v>To Verify</v>
      </c>
      <c r="K14" s="9" t="str">
        <f aca="false">IF($B14="","",INDEX(MASTER_DATABASE!$T$4:$T$1000,$B14))</f>
        <v>To Verify</v>
      </c>
      <c r="L14" s="7" t="str">
        <f aca="false">IF($B14="","",INDEX(MASTER_DATABASE!$U$4:$U$1000,$B14)&amp;"")</f>
        <v>Variable</v>
      </c>
      <c r="M14" s="7" t="str">
        <f aca="false">IF($B14="","",INDEX(MASTER_DATABASE!$Q$4:$Q$1000,$B14)&amp;"")</f>
        <v>5–10 Minutes</v>
      </c>
      <c r="N14" s="7" t="str">
        <f aca="false">IF($B14="","",INDEX(MASTER_DATABASE!$AG$4:$AG$1000,$B14)&amp;"")</f>
        <v>To Verify</v>
      </c>
      <c r="O14" s="11" t="str">
        <f aca="false">IF($B14="","",INDEX(MASTER_DATABASE!$AH$4:$AH$1000,$B14)&amp;"")</f>
        <v>No</v>
      </c>
      <c r="P14" s="11" t="str">
        <f aca="false">IF($B14="","",INDEX(MASTER_DATABASE!$BE$4:$BE$1000,$B14)&amp;"")</f>
        <v>HIDDEN</v>
      </c>
      <c r="Q14" s="7" t="str">
        <f aca="false">IF($B14="","",INDEX(MASTER_DATABASE!$AV$4:$AV$1000,$B14)&amp;"")</f>
        <v>To Verify</v>
      </c>
    </row>
    <row r="15" customFormat="false" ht="15" hidden="false" customHeight="false" outlineLevel="0" collapsed="false">
      <c r="A15" s="11" t="n">
        <v>12</v>
      </c>
      <c r="B15" s="11" t="n">
        <f aca="false">IFERROR(MATCH("Recharge / Bill Payment|"&amp;$A15,MASTER_DATABASE!$BH$4:$BH$1000,0),"")</f>
        <v>279</v>
      </c>
      <c r="C15" s="11" t="str">
        <f aca="false">IF($B15="","",INDEX(MASTER_DATABASE!$A$4:$A$1000,$B15)&amp;"")</f>
        <v>RCH-012</v>
      </c>
      <c r="D15" s="7" t="str">
        <f aca="false">IF($B15="","",INDEX(MASTER_DATABASE!$D$4:$D$1000,$B15)&amp;"")</f>
        <v>Bill Payment (BBPS)</v>
      </c>
      <c r="E15" s="7" t="str">
        <f aca="false">IF($B15="","",INDEX(MASTER_DATABASE!$E$4:$E$1000,$B15)&amp;"")</f>
        <v>Insurance Premium Payment (LIC / Others)</v>
      </c>
      <c r="F15" s="7" t="str">
        <f aca="false">IF($B15="","",INDEX(MASTER_DATABASE!$F$4:$F$1000,$B15)&amp;"")</f>
        <v>बीमा (LIC आदि) प्रीमियम भुगतान</v>
      </c>
      <c r="G15" s="11" t="str">
        <f aca="false">IF($B15="","",INDEX(MASTER_DATABASE!$I$4:$I$1000,$B15)&amp;"")</f>
        <v>Authorization Required</v>
      </c>
      <c r="H15" s="7" t="str">
        <f aca="false">IF($B15="","",INDEX(MASTER_DATABASE!$L$4:$L$1000,$B15)&amp;"")</f>
        <v>To Verify</v>
      </c>
      <c r="I15" s="9" t="str">
        <f aca="false">IF($B15="","",INDEX(MASTER_DATABASE!$R$4:$R$1000,$B15))</f>
        <v>N/A</v>
      </c>
      <c r="J15" s="9" t="str">
        <f aca="false">IF($B15="","",INDEX(MASTER_DATABASE!$S$4:$S$1000,$B15))</f>
        <v>To Verify</v>
      </c>
      <c r="K15" s="9" t="str">
        <f aca="false">IF($B15="","",INDEX(MASTER_DATABASE!$T$4:$T$1000,$B15))</f>
        <v>To Verify</v>
      </c>
      <c r="L15" s="7" t="str">
        <f aca="false">IF($B15="","",INDEX(MASTER_DATABASE!$U$4:$U$1000,$B15)&amp;"")</f>
        <v>Variable</v>
      </c>
      <c r="M15" s="7" t="str">
        <f aca="false">IF($B15="","",INDEX(MASTER_DATABASE!$Q$4:$Q$1000,$B15)&amp;"")</f>
        <v>5–10 Minutes</v>
      </c>
      <c r="N15" s="7" t="str">
        <f aca="false">IF($B15="","",INDEX(MASTER_DATABASE!$AG$4:$AG$1000,$B15)&amp;"")</f>
        <v>To Verify</v>
      </c>
      <c r="O15" s="11" t="str">
        <f aca="false">IF($B15="","",INDEX(MASTER_DATABASE!$AH$4:$AH$1000,$B15)&amp;"")</f>
        <v>No</v>
      </c>
      <c r="P15" s="11" t="str">
        <f aca="false">IF($B15="","",INDEX(MASTER_DATABASE!$BE$4:$BE$1000,$B15)&amp;"")</f>
        <v>HIDDEN</v>
      </c>
      <c r="Q15" s="7" t="str">
        <f aca="false">IF($B15="","",INDEX(MASTER_DATABASE!$AV$4:$AV$1000,$B15)&amp;"")</f>
        <v>To Verify</v>
      </c>
    </row>
    <row r="16" customFormat="false" ht="15" hidden="false" customHeight="false" outlineLevel="0" collapsed="false">
      <c r="A16" s="11" t="n">
        <v>13</v>
      </c>
      <c r="B16" s="11" t="n">
        <f aca="false">IFERROR(MATCH("Recharge / Bill Payment|"&amp;$A16,MASTER_DATABASE!$BH$4:$BH$1000,0),"")</f>
        <v>280</v>
      </c>
      <c r="C16" s="11" t="str">
        <f aca="false">IF($B16="","",INDEX(MASTER_DATABASE!$A$4:$A$1000,$B16)&amp;"")</f>
        <v>RCH-013</v>
      </c>
      <c r="D16" s="7" t="str">
        <f aca="false">IF($B16="","",INDEX(MASTER_DATABASE!$D$4:$D$1000,$B16)&amp;"")</f>
        <v>Bill Payment (BBPS)</v>
      </c>
      <c r="E16" s="7" t="str">
        <f aca="false">IF($B16="","",INDEX(MASTER_DATABASE!$E$4:$E$1000,$B16)&amp;"")</f>
        <v>Loan EMI Payment</v>
      </c>
      <c r="F16" s="7" t="str">
        <f aca="false">IF($B16="","",INDEX(MASTER_DATABASE!$F$4:$F$1000,$B16)&amp;"")</f>
        <v>लोन EMI भुगतान</v>
      </c>
      <c r="G16" s="11" t="str">
        <f aca="false">IF($B16="","",INDEX(MASTER_DATABASE!$I$4:$I$1000,$B16)&amp;"")</f>
        <v>Authorization Required</v>
      </c>
      <c r="H16" s="7" t="str">
        <f aca="false">IF($B16="","",INDEX(MASTER_DATABASE!$L$4:$L$1000,$B16)&amp;"")</f>
        <v>To Verify</v>
      </c>
      <c r="I16" s="9" t="str">
        <f aca="false">IF($B16="","",INDEX(MASTER_DATABASE!$R$4:$R$1000,$B16))</f>
        <v>N/A</v>
      </c>
      <c r="J16" s="9" t="str">
        <f aca="false">IF($B16="","",INDEX(MASTER_DATABASE!$S$4:$S$1000,$B16))</f>
        <v>To Verify</v>
      </c>
      <c r="K16" s="9" t="str">
        <f aca="false">IF($B16="","",INDEX(MASTER_DATABASE!$T$4:$T$1000,$B16))</f>
        <v>To Verify</v>
      </c>
      <c r="L16" s="7" t="str">
        <f aca="false">IF($B16="","",INDEX(MASTER_DATABASE!$U$4:$U$1000,$B16)&amp;"")</f>
        <v>Variable</v>
      </c>
      <c r="M16" s="7" t="str">
        <f aca="false">IF($B16="","",INDEX(MASTER_DATABASE!$Q$4:$Q$1000,$B16)&amp;"")</f>
        <v>5–10 Minutes</v>
      </c>
      <c r="N16" s="7" t="str">
        <f aca="false">IF($B16="","",INDEX(MASTER_DATABASE!$AG$4:$AG$1000,$B16)&amp;"")</f>
        <v>To Verify</v>
      </c>
      <c r="O16" s="11" t="str">
        <f aca="false">IF($B16="","",INDEX(MASTER_DATABASE!$AH$4:$AH$1000,$B16)&amp;"")</f>
        <v>No</v>
      </c>
      <c r="P16" s="11" t="str">
        <f aca="false">IF($B16="","",INDEX(MASTER_DATABASE!$BE$4:$BE$1000,$B16)&amp;"")</f>
        <v>HIDDEN</v>
      </c>
      <c r="Q16" s="7" t="str">
        <f aca="false">IF($B16="","",INDEX(MASTER_DATABASE!$AV$4:$AV$1000,$B16)&amp;"")</f>
        <v>To Verify</v>
      </c>
    </row>
    <row r="17" customFormat="false" ht="15" hidden="false" customHeight="false" outlineLevel="0" collapsed="false">
      <c r="A17" s="11" t="n">
        <v>14</v>
      </c>
      <c r="B17" s="11" t="n">
        <f aca="false">IFERROR(MATCH("Recharge / Bill Payment|"&amp;$A17,MASTER_DATABASE!$BH$4:$BH$1000,0),"")</f>
        <v>281</v>
      </c>
      <c r="C17" s="11" t="str">
        <f aca="false">IF($B17="","",INDEX(MASTER_DATABASE!$A$4:$A$1000,$B17)&amp;"")</f>
        <v>RCH-014</v>
      </c>
      <c r="D17" s="7" t="str">
        <f aca="false">IF($B17="","",INDEX(MASTER_DATABASE!$D$4:$D$1000,$B17)&amp;"")</f>
        <v>Bill Payment (BBPS)</v>
      </c>
      <c r="E17" s="7" t="str">
        <f aca="false">IF($B17="","",INDEX(MASTER_DATABASE!$E$4:$E$1000,$B17)&amp;"")</f>
        <v>Credit Card Bill Payment</v>
      </c>
      <c r="F17" s="7" t="str">
        <f aca="false">IF($B17="","",INDEX(MASTER_DATABASE!$F$4:$F$1000,$B17)&amp;"")</f>
        <v>क्रेडिट कार्ड बिल भुगतान</v>
      </c>
      <c r="G17" s="11" t="str">
        <f aca="false">IF($B17="","",INDEX(MASTER_DATABASE!$I$4:$I$1000,$B17)&amp;"")</f>
        <v>Authorization Required</v>
      </c>
      <c r="H17" s="7" t="str">
        <f aca="false">IF($B17="","",INDEX(MASTER_DATABASE!$L$4:$L$1000,$B17)&amp;"")</f>
        <v>To Verify</v>
      </c>
      <c r="I17" s="9" t="str">
        <f aca="false">IF($B17="","",INDEX(MASTER_DATABASE!$R$4:$R$1000,$B17))</f>
        <v>N/A</v>
      </c>
      <c r="J17" s="9" t="str">
        <f aca="false">IF($B17="","",INDEX(MASTER_DATABASE!$S$4:$S$1000,$B17))</f>
        <v>To Verify</v>
      </c>
      <c r="K17" s="9" t="str">
        <f aca="false">IF($B17="","",INDEX(MASTER_DATABASE!$T$4:$T$1000,$B17))</f>
        <v>To Verify</v>
      </c>
      <c r="L17" s="7" t="str">
        <f aca="false">IF($B17="","",INDEX(MASTER_DATABASE!$U$4:$U$1000,$B17)&amp;"")</f>
        <v>Variable</v>
      </c>
      <c r="M17" s="7" t="str">
        <f aca="false">IF($B17="","",INDEX(MASTER_DATABASE!$Q$4:$Q$1000,$B17)&amp;"")</f>
        <v>5–10 Minutes</v>
      </c>
      <c r="N17" s="7" t="str">
        <f aca="false">IF($B17="","",INDEX(MASTER_DATABASE!$AG$4:$AG$1000,$B17)&amp;"")</f>
        <v>To Verify</v>
      </c>
      <c r="O17" s="11" t="str">
        <f aca="false">IF($B17="","",INDEX(MASTER_DATABASE!$AH$4:$AH$1000,$B17)&amp;"")</f>
        <v>No</v>
      </c>
      <c r="P17" s="11" t="str">
        <f aca="false">IF($B17="","",INDEX(MASTER_DATABASE!$BE$4:$BE$1000,$B17)&amp;"")</f>
        <v>HIDDEN</v>
      </c>
      <c r="Q17" s="7" t="str">
        <f aca="false">IF($B17="","",INDEX(MASTER_DATABASE!$AV$4:$AV$1000,$B17)&amp;"")</f>
        <v>To Verify</v>
      </c>
    </row>
    <row r="18" customFormat="false" ht="15" hidden="false" customHeight="false" outlineLevel="0" collapsed="false">
      <c r="A18" s="11" t="n">
        <v>15</v>
      </c>
      <c r="B18" s="11" t="n">
        <f aca="false">IFERROR(MATCH("Recharge / Bill Payment|"&amp;$A18,MASTER_DATABASE!$BH$4:$BH$1000,0),"")</f>
        <v>282</v>
      </c>
      <c r="C18" s="11" t="str">
        <f aca="false">IF($B18="","",INDEX(MASTER_DATABASE!$A$4:$A$1000,$B18)&amp;"")</f>
        <v>RCH-015</v>
      </c>
      <c r="D18" s="7" t="str">
        <f aca="false">IF($B18="","",INDEX(MASTER_DATABASE!$D$4:$D$1000,$B18)&amp;"")</f>
        <v>Bill Payment (BBPS)</v>
      </c>
      <c r="E18" s="7" t="str">
        <f aca="false">IF($B18="","",INDEX(MASTER_DATABASE!$E$4:$E$1000,$B18)&amp;"")</f>
        <v>Education Fee Payment</v>
      </c>
      <c r="F18" s="7" t="str">
        <f aca="false">IF($B18="","",INDEX(MASTER_DATABASE!$F$4:$F$1000,$B18)&amp;"")</f>
        <v>शिक्षा शुल्क भुगतान</v>
      </c>
      <c r="G18" s="11" t="str">
        <f aca="false">IF($B18="","",INDEX(MASTER_DATABASE!$I$4:$I$1000,$B18)&amp;"")</f>
        <v>Authorization Required</v>
      </c>
      <c r="H18" s="7" t="str">
        <f aca="false">IF($B18="","",INDEX(MASTER_DATABASE!$L$4:$L$1000,$B18)&amp;"")</f>
        <v>To Verify</v>
      </c>
      <c r="I18" s="9" t="str">
        <f aca="false">IF($B18="","",INDEX(MASTER_DATABASE!$R$4:$R$1000,$B18))</f>
        <v>N/A</v>
      </c>
      <c r="J18" s="9" t="str">
        <f aca="false">IF($B18="","",INDEX(MASTER_DATABASE!$S$4:$S$1000,$B18))</f>
        <v>To Verify</v>
      </c>
      <c r="K18" s="9" t="str">
        <f aca="false">IF($B18="","",INDEX(MASTER_DATABASE!$T$4:$T$1000,$B18))</f>
        <v>To Verify</v>
      </c>
      <c r="L18" s="7" t="str">
        <f aca="false">IF($B18="","",INDEX(MASTER_DATABASE!$U$4:$U$1000,$B18)&amp;"")</f>
        <v>Variable</v>
      </c>
      <c r="M18" s="7" t="str">
        <f aca="false">IF($B18="","",INDEX(MASTER_DATABASE!$Q$4:$Q$1000,$B18)&amp;"")</f>
        <v>5–10 Minutes</v>
      </c>
      <c r="N18" s="7" t="str">
        <f aca="false">IF($B18="","",INDEX(MASTER_DATABASE!$AG$4:$AG$1000,$B18)&amp;"")</f>
        <v>To Verify</v>
      </c>
      <c r="O18" s="11" t="str">
        <f aca="false">IF($B18="","",INDEX(MASTER_DATABASE!$AH$4:$AH$1000,$B18)&amp;"")</f>
        <v>No</v>
      </c>
      <c r="P18" s="11" t="str">
        <f aca="false">IF($B18="","",INDEX(MASTER_DATABASE!$BE$4:$BE$1000,$B18)&amp;"")</f>
        <v>HIDDEN</v>
      </c>
      <c r="Q18" s="7" t="str">
        <f aca="false">IF($B18="","",INDEX(MASTER_DATABASE!$AV$4:$AV$1000,$B18)&amp;"")</f>
        <v>To Verify</v>
      </c>
    </row>
    <row r="19" customFormat="false" ht="15" hidden="false" customHeight="false" outlineLevel="0" collapsed="false">
      <c r="A19" s="11" t="n">
        <v>16</v>
      </c>
      <c r="B19" s="11" t="n">
        <f aca="false">IFERROR(MATCH("Recharge / Bill Payment|"&amp;$A19,MASTER_DATABASE!$BH$4:$BH$1000,0),"")</f>
        <v>283</v>
      </c>
      <c r="C19" s="11" t="str">
        <f aca="false">IF($B19="","",INDEX(MASTER_DATABASE!$A$4:$A$1000,$B19)&amp;"")</f>
        <v>RCH-016</v>
      </c>
      <c r="D19" s="7" t="str">
        <f aca="false">IF($B19="","",INDEX(MASTER_DATABASE!$D$4:$D$1000,$B19)&amp;"")</f>
        <v>Bill Payment (BBPS)</v>
      </c>
      <c r="E19" s="7" t="str">
        <f aca="false">IF($B19="","",INDEX(MASTER_DATABASE!$E$4:$E$1000,$B19)&amp;"")</f>
        <v>BBPS – Other Billers</v>
      </c>
      <c r="F19" s="7" t="str">
        <f aca="false">IF($B19="","",INDEX(MASTER_DATABASE!$F$4:$F$1000,$B19)&amp;"")</f>
        <v>BBPS – अन्य बिलर</v>
      </c>
      <c r="G19" s="11" t="str">
        <f aca="false">IF($B19="","",INDEX(MASTER_DATABASE!$I$4:$I$1000,$B19)&amp;"")</f>
        <v>Authorization Required</v>
      </c>
      <c r="H19" s="7" t="str">
        <f aca="false">IF($B19="","",INDEX(MASTER_DATABASE!$L$4:$L$1000,$B19)&amp;"")</f>
        <v>To Verify</v>
      </c>
      <c r="I19" s="9" t="str">
        <f aca="false">IF($B19="","",INDEX(MASTER_DATABASE!$R$4:$R$1000,$B19))</f>
        <v>N/A</v>
      </c>
      <c r="J19" s="9" t="str">
        <f aca="false">IF($B19="","",INDEX(MASTER_DATABASE!$S$4:$S$1000,$B19))</f>
        <v>To Verify</v>
      </c>
      <c r="K19" s="9" t="str">
        <f aca="false">IF($B19="","",INDEX(MASTER_DATABASE!$T$4:$T$1000,$B19))</f>
        <v>To Verify</v>
      </c>
      <c r="L19" s="7" t="str">
        <f aca="false">IF($B19="","",INDEX(MASTER_DATABASE!$U$4:$U$1000,$B19)&amp;"")</f>
        <v>Variable</v>
      </c>
      <c r="M19" s="7" t="str">
        <f aca="false">IF($B19="","",INDEX(MASTER_DATABASE!$Q$4:$Q$1000,$B19)&amp;"")</f>
        <v>5–10 Minutes</v>
      </c>
      <c r="N19" s="7" t="str">
        <f aca="false">IF($B19="","",INDEX(MASTER_DATABASE!$AG$4:$AG$1000,$B19)&amp;"")</f>
        <v>To Verify</v>
      </c>
      <c r="O19" s="11" t="str">
        <f aca="false">IF($B19="","",INDEX(MASTER_DATABASE!$AH$4:$AH$1000,$B19)&amp;"")</f>
        <v>No</v>
      </c>
      <c r="P19" s="11" t="str">
        <f aca="false">IF($B19="","",INDEX(MASTER_DATABASE!$BE$4:$BE$1000,$B19)&amp;"")</f>
        <v>HIDDEN</v>
      </c>
      <c r="Q19" s="7" t="str">
        <f aca="false">IF($B19="","",INDEX(MASTER_DATABASE!$AV$4:$AV$1000,$B19)&amp;"")</f>
        <v>To Verify</v>
      </c>
    </row>
    <row r="20" customFormat="false" ht="15" hidden="false" customHeight="false" outlineLevel="0" collapsed="false">
      <c r="A20" s="11" t="n">
        <v>17</v>
      </c>
      <c r="B20" s="11" t="str">
        <f aca="false">IFERROR(MATCH("Recharge / Bill Payment|"&amp;$A20,MASTER_DATABASE!$BH$4:$BH$1000,0),"")</f>
        <v/>
      </c>
      <c r="C20" s="11" t="str">
        <f aca="false">IF($B20="","",INDEX(MASTER_DATABASE!$A$4:$A$1000,$B20)&amp;"")</f>
        <v/>
      </c>
      <c r="D20" s="7" t="str">
        <f aca="false">IF($B20="","",INDEX(MASTER_DATABASE!$D$4:$D$1000,$B20)&amp;"")</f>
        <v/>
      </c>
      <c r="E20" s="7" t="str">
        <f aca="false">IF($B20="","",INDEX(MASTER_DATABASE!$E$4:$E$1000,$B20)&amp;"")</f>
        <v/>
      </c>
      <c r="F20" s="7" t="str">
        <f aca="false">IF($B20="","",INDEX(MASTER_DATABASE!$F$4:$F$1000,$B20)&amp;"")</f>
        <v/>
      </c>
      <c r="G20" s="11" t="str">
        <f aca="false">IF($B20="","",INDEX(MASTER_DATABASE!$I$4:$I$1000,$B20)&amp;"")</f>
        <v/>
      </c>
      <c r="H20" s="7" t="str">
        <f aca="false">IF($B20="","",INDEX(MASTER_DATABASE!$L$4:$L$1000,$B20)&amp;"")</f>
        <v/>
      </c>
      <c r="I20" s="9" t="str">
        <f aca="false">IF($B20="","",INDEX(MASTER_DATABASE!$R$4:$R$1000,$B20))</f>
        <v/>
      </c>
      <c r="J20" s="9" t="str">
        <f aca="false">IF($B20="","",INDEX(MASTER_DATABASE!$S$4:$S$1000,$B20))</f>
        <v/>
      </c>
      <c r="K20" s="9" t="str">
        <f aca="false">IF($B20="","",INDEX(MASTER_DATABASE!$T$4:$T$1000,$B20))</f>
        <v/>
      </c>
      <c r="L20" s="7" t="str">
        <f aca="false">IF($B20="","",INDEX(MASTER_DATABASE!$U$4:$U$1000,$B20)&amp;"")</f>
        <v/>
      </c>
      <c r="M20" s="7" t="str">
        <f aca="false">IF($B20="","",INDEX(MASTER_DATABASE!$Q$4:$Q$1000,$B20)&amp;"")</f>
        <v/>
      </c>
      <c r="N20" s="7" t="str">
        <f aca="false">IF($B20="","",INDEX(MASTER_DATABASE!$AG$4:$AG$1000,$B20)&amp;"")</f>
        <v/>
      </c>
      <c r="O20" s="11" t="str">
        <f aca="false">IF($B20="","",INDEX(MASTER_DATABASE!$AH$4:$AH$1000,$B20)&amp;"")</f>
        <v/>
      </c>
      <c r="P20" s="11" t="str">
        <f aca="false">IF($B20="","",INDEX(MASTER_DATABASE!$BE$4:$BE$1000,$B20)&amp;"")</f>
        <v/>
      </c>
      <c r="Q20" s="7" t="str">
        <f aca="false">IF($B20="","",INDEX(MASTER_DATABASE!$AV$4:$AV$1000,$B20)&amp;"")</f>
        <v/>
      </c>
    </row>
    <row r="21" customFormat="false" ht="15" hidden="false" customHeight="false" outlineLevel="0" collapsed="false">
      <c r="A21" s="11" t="n">
        <v>18</v>
      </c>
      <c r="B21" s="11" t="str">
        <f aca="false">IFERROR(MATCH("Recharge / Bill Payment|"&amp;$A21,MASTER_DATABASE!$BH$4:$BH$1000,0),"")</f>
        <v/>
      </c>
      <c r="C21" s="11" t="str">
        <f aca="false">IF($B21="","",INDEX(MASTER_DATABASE!$A$4:$A$1000,$B21)&amp;"")</f>
        <v/>
      </c>
      <c r="D21" s="7" t="str">
        <f aca="false">IF($B21="","",INDEX(MASTER_DATABASE!$D$4:$D$1000,$B21)&amp;"")</f>
        <v/>
      </c>
      <c r="E21" s="7" t="str">
        <f aca="false">IF($B21="","",INDEX(MASTER_DATABASE!$E$4:$E$1000,$B21)&amp;"")</f>
        <v/>
      </c>
      <c r="F21" s="7" t="str">
        <f aca="false">IF($B21="","",INDEX(MASTER_DATABASE!$F$4:$F$1000,$B21)&amp;"")</f>
        <v/>
      </c>
      <c r="G21" s="11" t="str">
        <f aca="false">IF($B21="","",INDEX(MASTER_DATABASE!$I$4:$I$1000,$B21)&amp;"")</f>
        <v/>
      </c>
      <c r="H21" s="7" t="str">
        <f aca="false">IF($B21="","",INDEX(MASTER_DATABASE!$L$4:$L$1000,$B21)&amp;"")</f>
        <v/>
      </c>
      <c r="I21" s="9" t="str">
        <f aca="false">IF($B21="","",INDEX(MASTER_DATABASE!$R$4:$R$1000,$B21))</f>
        <v/>
      </c>
      <c r="J21" s="9" t="str">
        <f aca="false">IF($B21="","",INDEX(MASTER_DATABASE!$S$4:$S$1000,$B21))</f>
        <v/>
      </c>
      <c r="K21" s="9" t="str">
        <f aca="false">IF($B21="","",INDEX(MASTER_DATABASE!$T$4:$T$1000,$B21))</f>
        <v/>
      </c>
      <c r="L21" s="7" t="str">
        <f aca="false">IF($B21="","",INDEX(MASTER_DATABASE!$U$4:$U$1000,$B21)&amp;"")</f>
        <v/>
      </c>
      <c r="M21" s="7" t="str">
        <f aca="false">IF($B21="","",INDEX(MASTER_DATABASE!$Q$4:$Q$1000,$B21)&amp;"")</f>
        <v/>
      </c>
      <c r="N21" s="7" t="str">
        <f aca="false">IF($B21="","",INDEX(MASTER_DATABASE!$AG$4:$AG$1000,$B21)&amp;"")</f>
        <v/>
      </c>
      <c r="O21" s="11" t="str">
        <f aca="false">IF($B21="","",INDEX(MASTER_DATABASE!$AH$4:$AH$1000,$B21)&amp;"")</f>
        <v/>
      </c>
      <c r="P21" s="11" t="str">
        <f aca="false">IF($B21="","",INDEX(MASTER_DATABASE!$BE$4:$BE$1000,$B21)&amp;"")</f>
        <v/>
      </c>
      <c r="Q21" s="7" t="str">
        <f aca="false">IF($B21="","",INDEX(MASTER_DATABASE!$AV$4:$AV$1000,$B21)&amp;"")</f>
        <v/>
      </c>
    </row>
    <row r="22" customFormat="false" ht="15" hidden="false" customHeight="false" outlineLevel="0" collapsed="false">
      <c r="A22" s="11" t="n">
        <v>19</v>
      </c>
      <c r="B22" s="11" t="str">
        <f aca="false">IFERROR(MATCH("Recharge / Bill Payment|"&amp;$A22,MASTER_DATABASE!$BH$4:$BH$1000,0),"")</f>
        <v/>
      </c>
      <c r="C22" s="11" t="str">
        <f aca="false">IF($B22="","",INDEX(MASTER_DATABASE!$A$4:$A$1000,$B22)&amp;"")</f>
        <v/>
      </c>
      <c r="D22" s="7" t="str">
        <f aca="false">IF($B22="","",INDEX(MASTER_DATABASE!$D$4:$D$1000,$B22)&amp;"")</f>
        <v/>
      </c>
      <c r="E22" s="7" t="str">
        <f aca="false">IF($B22="","",INDEX(MASTER_DATABASE!$E$4:$E$1000,$B22)&amp;"")</f>
        <v/>
      </c>
      <c r="F22" s="7" t="str">
        <f aca="false">IF($B22="","",INDEX(MASTER_DATABASE!$F$4:$F$1000,$B22)&amp;"")</f>
        <v/>
      </c>
      <c r="G22" s="11" t="str">
        <f aca="false">IF($B22="","",INDEX(MASTER_DATABASE!$I$4:$I$1000,$B22)&amp;"")</f>
        <v/>
      </c>
      <c r="H22" s="7" t="str">
        <f aca="false">IF($B22="","",INDEX(MASTER_DATABASE!$L$4:$L$1000,$B22)&amp;"")</f>
        <v/>
      </c>
      <c r="I22" s="9" t="str">
        <f aca="false">IF($B22="","",INDEX(MASTER_DATABASE!$R$4:$R$1000,$B22))</f>
        <v/>
      </c>
      <c r="J22" s="9" t="str">
        <f aca="false">IF($B22="","",INDEX(MASTER_DATABASE!$S$4:$S$1000,$B22))</f>
        <v/>
      </c>
      <c r="K22" s="9" t="str">
        <f aca="false">IF($B22="","",INDEX(MASTER_DATABASE!$T$4:$T$1000,$B22))</f>
        <v/>
      </c>
      <c r="L22" s="7" t="str">
        <f aca="false">IF($B22="","",INDEX(MASTER_DATABASE!$U$4:$U$1000,$B22)&amp;"")</f>
        <v/>
      </c>
      <c r="M22" s="7" t="str">
        <f aca="false">IF($B22="","",INDEX(MASTER_DATABASE!$Q$4:$Q$1000,$B22)&amp;"")</f>
        <v/>
      </c>
      <c r="N22" s="7" t="str">
        <f aca="false">IF($B22="","",INDEX(MASTER_DATABASE!$AG$4:$AG$1000,$B22)&amp;"")</f>
        <v/>
      </c>
      <c r="O22" s="11" t="str">
        <f aca="false">IF($B22="","",INDEX(MASTER_DATABASE!$AH$4:$AH$1000,$B22)&amp;"")</f>
        <v/>
      </c>
      <c r="P22" s="11" t="str">
        <f aca="false">IF($B22="","",INDEX(MASTER_DATABASE!$BE$4:$BE$1000,$B22)&amp;"")</f>
        <v/>
      </c>
      <c r="Q22" s="7" t="str">
        <f aca="false">IF($B22="","",INDEX(MASTER_DATABASE!$AV$4:$AV$1000,$B22)&amp;"")</f>
        <v/>
      </c>
    </row>
    <row r="23" customFormat="false" ht="15" hidden="false" customHeight="false" outlineLevel="0" collapsed="false">
      <c r="A23" s="11" t="n">
        <v>20</v>
      </c>
      <c r="B23" s="11" t="str">
        <f aca="false">IFERROR(MATCH("Recharge / Bill Payment|"&amp;$A23,MASTER_DATABASE!$BH$4:$BH$1000,0),"")</f>
        <v/>
      </c>
      <c r="C23" s="11" t="str">
        <f aca="false">IF($B23="","",INDEX(MASTER_DATABASE!$A$4:$A$1000,$B23)&amp;"")</f>
        <v/>
      </c>
      <c r="D23" s="7" t="str">
        <f aca="false">IF($B23="","",INDEX(MASTER_DATABASE!$D$4:$D$1000,$B23)&amp;"")</f>
        <v/>
      </c>
      <c r="E23" s="7" t="str">
        <f aca="false">IF($B23="","",INDEX(MASTER_DATABASE!$E$4:$E$1000,$B23)&amp;"")</f>
        <v/>
      </c>
      <c r="F23" s="7" t="str">
        <f aca="false">IF($B23="","",INDEX(MASTER_DATABASE!$F$4:$F$1000,$B23)&amp;"")</f>
        <v/>
      </c>
      <c r="G23" s="11" t="str">
        <f aca="false">IF($B23="","",INDEX(MASTER_DATABASE!$I$4:$I$1000,$B23)&amp;"")</f>
        <v/>
      </c>
      <c r="H23" s="7" t="str">
        <f aca="false">IF($B23="","",INDEX(MASTER_DATABASE!$L$4:$L$1000,$B23)&amp;"")</f>
        <v/>
      </c>
      <c r="I23" s="9" t="str">
        <f aca="false">IF($B23="","",INDEX(MASTER_DATABASE!$R$4:$R$1000,$B23))</f>
        <v/>
      </c>
      <c r="J23" s="9" t="str">
        <f aca="false">IF($B23="","",INDEX(MASTER_DATABASE!$S$4:$S$1000,$B23))</f>
        <v/>
      </c>
      <c r="K23" s="9" t="str">
        <f aca="false">IF($B23="","",INDEX(MASTER_DATABASE!$T$4:$T$1000,$B23))</f>
        <v/>
      </c>
      <c r="L23" s="7" t="str">
        <f aca="false">IF($B23="","",INDEX(MASTER_DATABASE!$U$4:$U$1000,$B23)&amp;"")</f>
        <v/>
      </c>
      <c r="M23" s="7" t="str">
        <f aca="false">IF($B23="","",INDEX(MASTER_DATABASE!$Q$4:$Q$1000,$B23)&amp;"")</f>
        <v/>
      </c>
      <c r="N23" s="7" t="str">
        <f aca="false">IF($B23="","",INDEX(MASTER_DATABASE!$AG$4:$AG$1000,$B23)&amp;"")</f>
        <v/>
      </c>
      <c r="O23" s="11" t="str">
        <f aca="false">IF($B23="","",INDEX(MASTER_DATABASE!$AH$4:$AH$1000,$B23)&amp;"")</f>
        <v/>
      </c>
      <c r="P23" s="11" t="str">
        <f aca="false">IF($B23="","",INDEX(MASTER_DATABASE!$BE$4:$BE$1000,$B23)&amp;"")</f>
        <v/>
      </c>
      <c r="Q23" s="7" t="str">
        <f aca="false">IF($B23="","",INDEX(MASTER_DATABASE!$AV$4:$AV$1000,$B23)&amp;"")</f>
        <v/>
      </c>
    </row>
    <row r="24" customFormat="false" ht="15" hidden="false" customHeight="false" outlineLevel="0" collapsed="false">
      <c r="A24" s="11" t="n">
        <v>21</v>
      </c>
      <c r="B24" s="11" t="str">
        <f aca="false">IFERROR(MATCH("Recharge / Bill Payment|"&amp;$A24,MASTER_DATABASE!$BH$4:$BH$1000,0),"")</f>
        <v/>
      </c>
      <c r="C24" s="11" t="str">
        <f aca="false">IF($B24="","",INDEX(MASTER_DATABASE!$A$4:$A$1000,$B24)&amp;"")</f>
        <v/>
      </c>
      <c r="D24" s="7" t="str">
        <f aca="false">IF($B24="","",INDEX(MASTER_DATABASE!$D$4:$D$1000,$B24)&amp;"")</f>
        <v/>
      </c>
      <c r="E24" s="7" t="str">
        <f aca="false">IF($B24="","",INDEX(MASTER_DATABASE!$E$4:$E$1000,$B24)&amp;"")</f>
        <v/>
      </c>
      <c r="F24" s="7" t="str">
        <f aca="false">IF($B24="","",INDEX(MASTER_DATABASE!$F$4:$F$1000,$B24)&amp;"")</f>
        <v/>
      </c>
      <c r="G24" s="11" t="str">
        <f aca="false">IF($B24="","",INDEX(MASTER_DATABASE!$I$4:$I$1000,$B24)&amp;"")</f>
        <v/>
      </c>
      <c r="H24" s="7" t="str">
        <f aca="false">IF($B24="","",INDEX(MASTER_DATABASE!$L$4:$L$1000,$B24)&amp;"")</f>
        <v/>
      </c>
      <c r="I24" s="9" t="str">
        <f aca="false">IF($B24="","",INDEX(MASTER_DATABASE!$R$4:$R$1000,$B24))</f>
        <v/>
      </c>
      <c r="J24" s="9" t="str">
        <f aca="false">IF($B24="","",INDEX(MASTER_DATABASE!$S$4:$S$1000,$B24))</f>
        <v/>
      </c>
      <c r="K24" s="9" t="str">
        <f aca="false">IF($B24="","",INDEX(MASTER_DATABASE!$T$4:$T$1000,$B24))</f>
        <v/>
      </c>
      <c r="L24" s="7" t="str">
        <f aca="false">IF($B24="","",INDEX(MASTER_DATABASE!$U$4:$U$1000,$B24)&amp;"")</f>
        <v/>
      </c>
      <c r="M24" s="7" t="str">
        <f aca="false">IF($B24="","",INDEX(MASTER_DATABASE!$Q$4:$Q$1000,$B24)&amp;"")</f>
        <v/>
      </c>
      <c r="N24" s="7" t="str">
        <f aca="false">IF($B24="","",INDEX(MASTER_DATABASE!$AG$4:$AG$1000,$B24)&amp;"")</f>
        <v/>
      </c>
      <c r="O24" s="11" t="str">
        <f aca="false">IF($B24="","",INDEX(MASTER_DATABASE!$AH$4:$AH$1000,$B24)&amp;"")</f>
        <v/>
      </c>
      <c r="P24" s="11" t="str">
        <f aca="false">IF($B24="","",INDEX(MASTER_DATABASE!$BE$4:$BE$1000,$B24)&amp;"")</f>
        <v/>
      </c>
      <c r="Q24" s="7" t="str">
        <f aca="false">IF($B24="","",INDEX(MASTER_DATABASE!$AV$4:$AV$1000,$B24)&amp;"")</f>
        <v/>
      </c>
    </row>
    <row r="25" customFormat="false" ht="15" hidden="false" customHeight="false" outlineLevel="0" collapsed="false">
      <c r="A25" s="11" t="n">
        <v>22</v>
      </c>
      <c r="B25" s="11" t="str">
        <f aca="false">IFERROR(MATCH("Recharge / Bill Payment|"&amp;$A25,MASTER_DATABASE!$BH$4:$BH$1000,0),"")</f>
        <v/>
      </c>
      <c r="C25" s="11" t="str">
        <f aca="false">IF($B25="","",INDEX(MASTER_DATABASE!$A$4:$A$1000,$B25)&amp;"")</f>
        <v/>
      </c>
      <c r="D25" s="7" t="str">
        <f aca="false">IF($B25="","",INDEX(MASTER_DATABASE!$D$4:$D$1000,$B25)&amp;"")</f>
        <v/>
      </c>
      <c r="E25" s="7" t="str">
        <f aca="false">IF($B25="","",INDEX(MASTER_DATABASE!$E$4:$E$1000,$B25)&amp;"")</f>
        <v/>
      </c>
      <c r="F25" s="7" t="str">
        <f aca="false">IF($B25="","",INDEX(MASTER_DATABASE!$F$4:$F$1000,$B25)&amp;"")</f>
        <v/>
      </c>
      <c r="G25" s="11" t="str">
        <f aca="false">IF($B25="","",INDEX(MASTER_DATABASE!$I$4:$I$1000,$B25)&amp;"")</f>
        <v/>
      </c>
      <c r="H25" s="7" t="str">
        <f aca="false">IF($B25="","",INDEX(MASTER_DATABASE!$L$4:$L$1000,$B25)&amp;"")</f>
        <v/>
      </c>
      <c r="I25" s="9" t="str">
        <f aca="false">IF($B25="","",INDEX(MASTER_DATABASE!$R$4:$R$1000,$B25))</f>
        <v/>
      </c>
      <c r="J25" s="9" t="str">
        <f aca="false">IF($B25="","",INDEX(MASTER_DATABASE!$S$4:$S$1000,$B25))</f>
        <v/>
      </c>
      <c r="K25" s="9" t="str">
        <f aca="false">IF($B25="","",INDEX(MASTER_DATABASE!$T$4:$T$1000,$B25))</f>
        <v/>
      </c>
      <c r="L25" s="7" t="str">
        <f aca="false">IF($B25="","",INDEX(MASTER_DATABASE!$U$4:$U$1000,$B25)&amp;"")</f>
        <v/>
      </c>
      <c r="M25" s="7" t="str">
        <f aca="false">IF($B25="","",INDEX(MASTER_DATABASE!$Q$4:$Q$1000,$B25)&amp;"")</f>
        <v/>
      </c>
      <c r="N25" s="7" t="str">
        <f aca="false">IF($B25="","",INDEX(MASTER_DATABASE!$AG$4:$AG$1000,$B25)&amp;"")</f>
        <v/>
      </c>
      <c r="O25" s="11" t="str">
        <f aca="false">IF($B25="","",INDEX(MASTER_DATABASE!$AH$4:$AH$1000,$B25)&amp;"")</f>
        <v/>
      </c>
      <c r="P25" s="11" t="str">
        <f aca="false">IF($B25="","",INDEX(MASTER_DATABASE!$BE$4:$BE$1000,$B25)&amp;"")</f>
        <v/>
      </c>
      <c r="Q25" s="7" t="str">
        <f aca="false">IF($B25="","",INDEX(MASTER_DATABASE!$AV$4:$AV$1000,$B25)&amp;"")</f>
        <v/>
      </c>
    </row>
    <row r="26" customFormat="false" ht="15" hidden="false" customHeight="false" outlineLevel="0" collapsed="false">
      <c r="A26" s="11" t="n">
        <v>23</v>
      </c>
      <c r="B26" s="11" t="str">
        <f aca="false">IFERROR(MATCH("Recharge / Bill Payment|"&amp;$A26,MASTER_DATABASE!$BH$4:$BH$1000,0),"")</f>
        <v/>
      </c>
      <c r="C26" s="11" t="str">
        <f aca="false">IF($B26="","",INDEX(MASTER_DATABASE!$A$4:$A$1000,$B26)&amp;"")</f>
        <v/>
      </c>
      <c r="D26" s="7" t="str">
        <f aca="false">IF($B26="","",INDEX(MASTER_DATABASE!$D$4:$D$1000,$B26)&amp;"")</f>
        <v/>
      </c>
      <c r="E26" s="7" t="str">
        <f aca="false">IF($B26="","",INDEX(MASTER_DATABASE!$E$4:$E$1000,$B26)&amp;"")</f>
        <v/>
      </c>
      <c r="F26" s="7" t="str">
        <f aca="false">IF($B26="","",INDEX(MASTER_DATABASE!$F$4:$F$1000,$B26)&amp;"")</f>
        <v/>
      </c>
      <c r="G26" s="11" t="str">
        <f aca="false">IF($B26="","",INDEX(MASTER_DATABASE!$I$4:$I$1000,$B26)&amp;"")</f>
        <v/>
      </c>
      <c r="H26" s="7" t="str">
        <f aca="false">IF($B26="","",INDEX(MASTER_DATABASE!$L$4:$L$1000,$B26)&amp;"")</f>
        <v/>
      </c>
      <c r="I26" s="9" t="str">
        <f aca="false">IF($B26="","",INDEX(MASTER_DATABASE!$R$4:$R$1000,$B26))</f>
        <v/>
      </c>
      <c r="J26" s="9" t="str">
        <f aca="false">IF($B26="","",INDEX(MASTER_DATABASE!$S$4:$S$1000,$B26))</f>
        <v/>
      </c>
      <c r="K26" s="9" t="str">
        <f aca="false">IF($B26="","",INDEX(MASTER_DATABASE!$T$4:$T$1000,$B26))</f>
        <v/>
      </c>
      <c r="L26" s="7" t="str">
        <f aca="false">IF($B26="","",INDEX(MASTER_DATABASE!$U$4:$U$1000,$B26)&amp;"")</f>
        <v/>
      </c>
      <c r="M26" s="7" t="str">
        <f aca="false">IF($B26="","",INDEX(MASTER_DATABASE!$Q$4:$Q$1000,$B26)&amp;"")</f>
        <v/>
      </c>
      <c r="N26" s="7" t="str">
        <f aca="false">IF($B26="","",INDEX(MASTER_DATABASE!$AG$4:$AG$1000,$B26)&amp;"")</f>
        <v/>
      </c>
      <c r="O26" s="11" t="str">
        <f aca="false">IF($B26="","",INDEX(MASTER_DATABASE!$AH$4:$AH$1000,$B26)&amp;"")</f>
        <v/>
      </c>
      <c r="P26" s="11" t="str">
        <f aca="false">IF($B26="","",INDEX(MASTER_DATABASE!$BE$4:$BE$1000,$B26)&amp;"")</f>
        <v/>
      </c>
      <c r="Q26" s="7" t="str">
        <f aca="false">IF($B26="","",INDEX(MASTER_DATABASE!$AV$4:$AV$1000,$B26)&amp;"")</f>
        <v/>
      </c>
    </row>
    <row r="27" customFormat="false" ht="15" hidden="false" customHeight="false" outlineLevel="0" collapsed="false">
      <c r="A27" s="11" t="n">
        <v>24</v>
      </c>
      <c r="B27" s="11" t="str">
        <f aca="false">IFERROR(MATCH("Recharge / Bill Payment|"&amp;$A27,MASTER_DATABASE!$BH$4:$BH$1000,0),"")</f>
        <v/>
      </c>
      <c r="C27" s="11" t="str">
        <f aca="false">IF($B27="","",INDEX(MASTER_DATABASE!$A$4:$A$1000,$B27)&amp;"")</f>
        <v/>
      </c>
      <c r="D27" s="7" t="str">
        <f aca="false">IF($B27="","",INDEX(MASTER_DATABASE!$D$4:$D$1000,$B27)&amp;"")</f>
        <v/>
      </c>
      <c r="E27" s="7" t="str">
        <f aca="false">IF($B27="","",INDEX(MASTER_DATABASE!$E$4:$E$1000,$B27)&amp;"")</f>
        <v/>
      </c>
      <c r="F27" s="7" t="str">
        <f aca="false">IF($B27="","",INDEX(MASTER_DATABASE!$F$4:$F$1000,$B27)&amp;"")</f>
        <v/>
      </c>
      <c r="G27" s="11" t="str">
        <f aca="false">IF($B27="","",INDEX(MASTER_DATABASE!$I$4:$I$1000,$B27)&amp;"")</f>
        <v/>
      </c>
      <c r="H27" s="7" t="str">
        <f aca="false">IF($B27="","",INDEX(MASTER_DATABASE!$L$4:$L$1000,$B27)&amp;"")</f>
        <v/>
      </c>
      <c r="I27" s="9" t="str">
        <f aca="false">IF($B27="","",INDEX(MASTER_DATABASE!$R$4:$R$1000,$B27))</f>
        <v/>
      </c>
      <c r="J27" s="9" t="str">
        <f aca="false">IF($B27="","",INDEX(MASTER_DATABASE!$S$4:$S$1000,$B27))</f>
        <v/>
      </c>
      <c r="K27" s="9" t="str">
        <f aca="false">IF($B27="","",INDEX(MASTER_DATABASE!$T$4:$T$1000,$B27))</f>
        <v/>
      </c>
      <c r="L27" s="7" t="str">
        <f aca="false">IF($B27="","",INDEX(MASTER_DATABASE!$U$4:$U$1000,$B27)&amp;"")</f>
        <v/>
      </c>
      <c r="M27" s="7" t="str">
        <f aca="false">IF($B27="","",INDEX(MASTER_DATABASE!$Q$4:$Q$1000,$B27)&amp;"")</f>
        <v/>
      </c>
      <c r="N27" s="7" t="str">
        <f aca="false">IF($B27="","",INDEX(MASTER_DATABASE!$AG$4:$AG$1000,$B27)&amp;"")</f>
        <v/>
      </c>
      <c r="O27" s="11" t="str">
        <f aca="false">IF($B27="","",INDEX(MASTER_DATABASE!$AH$4:$AH$1000,$B27)&amp;"")</f>
        <v/>
      </c>
      <c r="P27" s="11" t="str">
        <f aca="false">IF($B27="","",INDEX(MASTER_DATABASE!$BE$4:$BE$1000,$B27)&amp;"")</f>
        <v/>
      </c>
      <c r="Q27" s="7" t="str">
        <f aca="false">IF($B27="","",INDEX(MASTER_DATABASE!$AV$4:$AV$1000,$B27)&amp;"")</f>
        <v/>
      </c>
    </row>
    <row r="28" customFormat="false" ht="15" hidden="false" customHeight="false" outlineLevel="0" collapsed="false">
      <c r="A28" s="11" t="n">
        <v>25</v>
      </c>
      <c r="B28" s="11" t="str">
        <f aca="false">IFERROR(MATCH("Recharge / Bill Payment|"&amp;$A28,MASTER_DATABASE!$BH$4:$BH$1000,0),"")</f>
        <v/>
      </c>
      <c r="C28" s="11" t="str">
        <f aca="false">IF($B28="","",INDEX(MASTER_DATABASE!$A$4:$A$1000,$B28)&amp;"")</f>
        <v/>
      </c>
      <c r="D28" s="7" t="str">
        <f aca="false">IF($B28="","",INDEX(MASTER_DATABASE!$D$4:$D$1000,$B28)&amp;"")</f>
        <v/>
      </c>
      <c r="E28" s="7" t="str">
        <f aca="false">IF($B28="","",INDEX(MASTER_DATABASE!$E$4:$E$1000,$B28)&amp;"")</f>
        <v/>
      </c>
      <c r="F28" s="7" t="str">
        <f aca="false">IF($B28="","",INDEX(MASTER_DATABASE!$F$4:$F$1000,$B28)&amp;"")</f>
        <v/>
      </c>
      <c r="G28" s="11" t="str">
        <f aca="false">IF($B28="","",INDEX(MASTER_DATABASE!$I$4:$I$1000,$B28)&amp;"")</f>
        <v/>
      </c>
      <c r="H28" s="7" t="str">
        <f aca="false">IF($B28="","",INDEX(MASTER_DATABASE!$L$4:$L$1000,$B28)&amp;"")</f>
        <v/>
      </c>
      <c r="I28" s="9" t="str">
        <f aca="false">IF($B28="","",INDEX(MASTER_DATABASE!$R$4:$R$1000,$B28))</f>
        <v/>
      </c>
      <c r="J28" s="9" t="str">
        <f aca="false">IF($B28="","",INDEX(MASTER_DATABASE!$S$4:$S$1000,$B28))</f>
        <v/>
      </c>
      <c r="K28" s="9" t="str">
        <f aca="false">IF($B28="","",INDEX(MASTER_DATABASE!$T$4:$T$1000,$B28))</f>
        <v/>
      </c>
      <c r="L28" s="7" t="str">
        <f aca="false">IF($B28="","",INDEX(MASTER_DATABASE!$U$4:$U$1000,$B28)&amp;"")</f>
        <v/>
      </c>
      <c r="M28" s="7" t="str">
        <f aca="false">IF($B28="","",INDEX(MASTER_DATABASE!$Q$4:$Q$1000,$B28)&amp;"")</f>
        <v/>
      </c>
      <c r="N28" s="7" t="str">
        <f aca="false">IF($B28="","",INDEX(MASTER_DATABASE!$AG$4:$AG$1000,$B28)&amp;"")</f>
        <v/>
      </c>
      <c r="O28" s="11" t="str">
        <f aca="false">IF($B28="","",INDEX(MASTER_DATABASE!$AH$4:$AH$1000,$B28)&amp;"")</f>
        <v/>
      </c>
      <c r="P28" s="11" t="str">
        <f aca="false">IF($B28="","",INDEX(MASTER_DATABASE!$BE$4:$BE$1000,$B28)&amp;"")</f>
        <v/>
      </c>
      <c r="Q28" s="7" t="str">
        <f aca="false">IF($B28="","",INDEX(MASTER_DATABASE!$AV$4:$AV$1000,$B28)&amp;"")</f>
        <v/>
      </c>
    </row>
    <row r="29" customFormat="false" ht="15" hidden="false" customHeight="false" outlineLevel="0" collapsed="false">
      <c r="A29" s="11" t="n">
        <v>26</v>
      </c>
      <c r="B29" s="11" t="str">
        <f aca="false">IFERROR(MATCH("Recharge / Bill Payment|"&amp;$A29,MASTER_DATABASE!$BH$4:$BH$1000,0),"")</f>
        <v/>
      </c>
      <c r="C29" s="11" t="str">
        <f aca="false">IF($B29="","",INDEX(MASTER_DATABASE!$A$4:$A$1000,$B29)&amp;"")</f>
        <v/>
      </c>
      <c r="D29" s="7" t="str">
        <f aca="false">IF($B29="","",INDEX(MASTER_DATABASE!$D$4:$D$1000,$B29)&amp;"")</f>
        <v/>
      </c>
      <c r="E29" s="7" t="str">
        <f aca="false">IF($B29="","",INDEX(MASTER_DATABASE!$E$4:$E$1000,$B29)&amp;"")</f>
        <v/>
      </c>
      <c r="F29" s="7" t="str">
        <f aca="false">IF($B29="","",INDEX(MASTER_DATABASE!$F$4:$F$1000,$B29)&amp;"")</f>
        <v/>
      </c>
      <c r="G29" s="11" t="str">
        <f aca="false">IF($B29="","",INDEX(MASTER_DATABASE!$I$4:$I$1000,$B29)&amp;"")</f>
        <v/>
      </c>
      <c r="H29" s="7" t="str">
        <f aca="false">IF($B29="","",INDEX(MASTER_DATABASE!$L$4:$L$1000,$B29)&amp;"")</f>
        <v/>
      </c>
      <c r="I29" s="9" t="str">
        <f aca="false">IF($B29="","",INDEX(MASTER_DATABASE!$R$4:$R$1000,$B29))</f>
        <v/>
      </c>
      <c r="J29" s="9" t="str">
        <f aca="false">IF($B29="","",INDEX(MASTER_DATABASE!$S$4:$S$1000,$B29))</f>
        <v/>
      </c>
      <c r="K29" s="9" t="str">
        <f aca="false">IF($B29="","",INDEX(MASTER_DATABASE!$T$4:$T$1000,$B29))</f>
        <v/>
      </c>
      <c r="L29" s="7" t="str">
        <f aca="false">IF($B29="","",INDEX(MASTER_DATABASE!$U$4:$U$1000,$B29)&amp;"")</f>
        <v/>
      </c>
      <c r="M29" s="7" t="str">
        <f aca="false">IF($B29="","",INDEX(MASTER_DATABASE!$Q$4:$Q$1000,$B29)&amp;"")</f>
        <v/>
      </c>
      <c r="N29" s="7" t="str">
        <f aca="false">IF($B29="","",INDEX(MASTER_DATABASE!$AG$4:$AG$1000,$B29)&amp;"")</f>
        <v/>
      </c>
      <c r="O29" s="11" t="str">
        <f aca="false">IF($B29="","",INDEX(MASTER_DATABASE!$AH$4:$AH$1000,$B29)&amp;"")</f>
        <v/>
      </c>
      <c r="P29" s="11" t="str">
        <f aca="false">IF($B29="","",INDEX(MASTER_DATABASE!$BE$4:$BE$1000,$B29)&amp;"")</f>
        <v/>
      </c>
      <c r="Q29" s="7" t="str">
        <f aca="false">IF($B29="","",INDEX(MASTER_DATABASE!$AV$4:$AV$1000,$B29)&amp;"")</f>
        <v/>
      </c>
    </row>
    <row r="30" customFormat="false" ht="15" hidden="false" customHeight="false" outlineLevel="0" collapsed="false">
      <c r="A30" s="11" t="n">
        <v>27</v>
      </c>
      <c r="B30" s="11" t="str">
        <f aca="false">IFERROR(MATCH("Recharge / Bill Payment|"&amp;$A30,MASTER_DATABASE!$BH$4:$BH$1000,0),"")</f>
        <v/>
      </c>
      <c r="C30" s="11" t="str">
        <f aca="false">IF($B30="","",INDEX(MASTER_DATABASE!$A$4:$A$1000,$B30)&amp;"")</f>
        <v/>
      </c>
      <c r="D30" s="7" t="str">
        <f aca="false">IF($B30="","",INDEX(MASTER_DATABASE!$D$4:$D$1000,$B30)&amp;"")</f>
        <v/>
      </c>
      <c r="E30" s="7" t="str">
        <f aca="false">IF($B30="","",INDEX(MASTER_DATABASE!$E$4:$E$1000,$B30)&amp;"")</f>
        <v/>
      </c>
      <c r="F30" s="7" t="str">
        <f aca="false">IF($B30="","",INDEX(MASTER_DATABASE!$F$4:$F$1000,$B30)&amp;"")</f>
        <v/>
      </c>
      <c r="G30" s="11" t="str">
        <f aca="false">IF($B30="","",INDEX(MASTER_DATABASE!$I$4:$I$1000,$B30)&amp;"")</f>
        <v/>
      </c>
      <c r="H30" s="7" t="str">
        <f aca="false">IF($B30="","",INDEX(MASTER_DATABASE!$L$4:$L$1000,$B30)&amp;"")</f>
        <v/>
      </c>
      <c r="I30" s="9" t="str">
        <f aca="false">IF($B30="","",INDEX(MASTER_DATABASE!$R$4:$R$1000,$B30))</f>
        <v/>
      </c>
      <c r="J30" s="9" t="str">
        <f aca="false">IF($B30="","",INDEX(MASTER_DATABASE!$S$4:$S$1000,$B30))</f>
        <v/>
      </c>
      <c r="K30" s="9" t="str">
        <f aca="false">IF($B30="","",INDEX(MASTER_DATABASE!$T$4:$T$1000,$B30))</f>
        <v/>
      </c>
      <c r="L30" s="7" t="str">
        <f aca="false">IF($B30="","",INDEX(MASTER_DATABASE!$U$4:$U$1000,$B30)&amp;"")</f>
        <v/>
      </c>
      <c r="M30" s="7" t="str">
        <f aca="false">IF($B30="","",INDEX(MASTER_DATABASE!$Q$4:$Q$1000,$B30)&amp;"")</f>
        <v/>
      </c>
      <c r="N30" s="7" t="str">
        <f aca="false">IF($B30="","",INDEX(MASTER_DATABASE!$AG$4:$AG$1000,$B30)&amp;"")</f>
        <v/>
      </c>
      <c r="O30" s="11" t="str">
        <f aca="false">IF($B30="","",INDEX(MASTER_DATABASE!$AH$4:$AH$1000,$B30)&amp;"")</f>
        <v/>
      </c>
      <c r="P30" s="11" t="str">
        <f aca="false">IF($B30="","",INDEX(MASTER_DATABASE!$BE$4:$BE$1000,$B30)&amp;"")</f>
        <v/>
      </c>
      <c r="Q30" s="7" t="str">
        <f aca="false">IF($B30="","",INDEX(MASTER_DATABASE!$AV$4:$AV$1000,$B30)&amp;"")</f>
        <v/>
      </c>
    </row>
    <row r="31" customFormat="false" ht="15" hidden="false" customHeight="false" outlineLevel="0" collapsed="false">
      <c r="A31" s="11" t="n">
        <v>28</v>
      </c>
      <c r="B31" s="11" t="str">
        <f aca="false">IFERROR(MATCH("Recharge / Bill Payment|"&amp;$A31,MASTER_DATABASE!$BH$4:$BH$1000,0),"")</f>
        <v/>
      </c>
      <c r="C31" s="11" t="str">
        <f aca="false">IF($B31="","",INDEX(MASTER_DATABASE!$A$4:$A$1000,$B31)&amp;"")</f>
        <v/>
      </c>
      <c r="D31" s="7" t="str">
        <f aca="false">IF($B31="","",INDEX(MASTER_DATABASE!$D$4:$D$1000,$B31)&amp;"")</f>
        <v/>
      </c>
      <c r="E31" s="7" t="str">
        <f aca="false">IF($B31="","",INDEX(MASTER_DATABASE!$E$4:$E$1000,$B31)&amp;"")</f>
        <v/>
      </c>
      <c r="F31" s="7" t="str">
        <f aca="false">IF($B31="","",INDEX(MASTER_DATABASE!$F$4:$F$1000,$B31)&amp;"")</f>
        <v/>
      </c>
      <c r="G31" s="11" t="str">
        <f aca="false">IF($B31="","",INDEX(MASTER_DATABASE!$I$4:$I$1000,$B31)&amp;"")</f>
        <v/>
      </c>
      <c r="H31" s="7" t="str">
        <f aca="false">IF($B31="","",INDEX(MASTER_DATABASE!$L$4:$L$1000,$B31)&amp;"")</f>
        <v/>
      </c>
      <c r="I31" s="9" t="str">
        <f aca="false">IF($B31="","",INDEX(MASTER_DATABASE!$R$4:$R$1000,$B31))</f>
        <v/>
      </c>
      <c r="J31" s="9" t="str">
        <f aca="false">IF($B31="","",INDEX(MASTER_DATABASE!$S$4:$S$1000,$B31))</f>
        <v/>
      </c>
      <c r="K31" s="9" t="str">
        <f aca="false">IF($B31="","",INDEX(MASTER_DATABASE!$T$4:$T$1000,$B31))</f>
        <v/>
      </c>
      <c r="L31" s="7" t="str">
        <f aca="false">IF($B31="","",INDEX(MASTER_DATABASE!$U$4:$U$1000,$B31)&amp;"")</f>
        <v/>
      </c>
      <c r="M31" s="7" t="str">
        <f aca="false">IF($B31="","",INDEX(MASTER_DATABASE!$Q$4:$Q$1000,$B31)&amp;"")</f>
        <v/>
      </c>
      <c r="N31" s="7" t="str">
        <f aca="false">IF($B31="","",INDEX(MASTER_DATABASE!$AG$4:$AG$1000,$B31)&amp;"")</f>
        <v/>
      </c>
      <c r="O31" s="11" t="str">
        <f aca="false">IF($B31="","",INDEX(MASTER_DATABASE!$AH$4:$AH$1000,$B31)&amp;"")</f>
        <v/>
      </c>
      <c r="P31" s="11" t="str">
        <f aca="false">IF($B31="","",INDEX(MASTER_DATABASE!$BE$4:$BE$1000,$B31)&amp;"")</f>
        <v/>
      </c>
      <c r="Q31" s="7" t="str">
        <f aca="false">IF($B31="","",INDEX(MASTER_DATABASE!$AV$4:$AV$1000,$B31)&amp;"")</f>
        <v/>
      </c>
    </row>
    <row r="32" customFormat="false" ht="15" hidden="false" customHeight="false" outlineLevel="0" collapsed="false">
      <c r="A32" s="11" t="n">
        <v>29</v>
      </c>
      <c r="B32" s="11" t="str">
        <f aca="false">IFERROR(MATCH("Recharge / Bill Payment|"&amp;$A32,MASTER_DATABASE!$BH$4:$BH$1000,0),"")</f>
        <v/>
      </c>
      <c r="C32" s="11" t="str">
        <f aca="false">IF($B32="","",INDEX(MASTER_DATABASE!$A$4:$A$1000,$B32)&amp;"")</f>
        <v/>
      </c>
      <c r="D32" s="7" t="str">
        <f aca="false">IF($B32="","",INDEX(MASTER_DATABASE!$D$4:$D$1000,$B32)&amp;"")</f>
        <v/>
      </c>
      <c r="E32" s="7" t="str">
        <f aca="false">IF($B32="","",INDEX(MASTER_DATABASE!$E$4:$E$1000,$B32)&amp;"")</f>
        <v/>
      </c>
      <c r="F32" s="7" t="str">
        <f aca="false">IF($B32="","",INDEX(MASTER_DATABASE!$F$4:$F$1000,$B32)&amp;"")</f>
        <v/>
      </c>
      <c r="G32" s="11" t="str">
        <f aca="false">IF($B32="","",INDEX(MASTER_DATABASE!$I$4:$I$1000,$B32)&amp;"")</f>
        <v/>
      </c>
      <c r="H32" s="7" t="str">
        <f aca="false">IF($B32="","",INDEX(MASTER_DATABASE!$L$4:$L$1000,$B32)&amp;"")</f>
        <v/>
      </c>
      <c r="I32" s="9" t="str">
        <f aca="false">IF($B32="","",INDEX(MASTER_DATABASE!$R$4:$R$1000,$B32))</f>
        <v/>
      </c>
      <c r="J32" s="9" t="str">
        <f aca="false">IF($B32="","",INDEX(MASTER_DATABASE!$S$4:$S$1000,$B32))</f>
        <v/>
      </c>
      <c r="K32" s="9" t="str">
        <f aca="false">IF($B32="","",INDEX(MASTER_DATABASE!$T$4:$T$1000,$B32))</f>
        <v/>
      </c>
      <c r="L32" s="7" t="str">
        <f aca="false">IF($B32="","",INDEX(MASTER_DATABASE!$U$4:$U$1000,$B32)&amp;"")</f>
        <v/>
      </c>
      <c r="M32" s="7" t="str">
        <f aca="false">IF($B32="","",INDEX(MASTER_DATABASE!$Q$4:$Q$1000,$B32)&amp;"")</f>
        <v/>
      </c>
      <c r="N32" s="7" t="str">
        <f aca="false">IF($B32="","",INDEX(MASTER_DATABASE!$AG$4:$AG$1000,$B32)&amp;"")</f>
        <v/>
      </c>
      <c r="O32" s="11" t="str">
        <f aca="false">IF($B32="","",INDEX(MASTER_DATABASE!$AH$4:$AH$1000,$B32)&amp;"")</f>
        <v/>
      </c>
      <c r="P32" s="11" t="str">
        <f aca="false">IF($B32="","",INDEX(MASTER_DATABASE!$BE$4:$BE$1000,$B32)&amp;"")</f>
        <v/>
      </c>
      <c r="Q32" s="7" t="str">
        <f aca="false">IF($B32="","",INDEX(MASTER_DATABASE!$AV$4:$AV$1000,$B32)&amp;"")</f>
        <v/>
      </c>
    </row>
    <row r="33" customFormat="false" ht="15" hidden="false" customHeight="false" outlineLevel="0" collapsed="false">
      <c r="A33" s="11" t="n">
        <v>30</v>
      </c>
      <c r="B33" s="11" t="str">
        <f aca="false">IFERROR(MATCH("Recharge / Bill Payment|"&amp;$A33,MASTER_DATABASE!$BH$4:$BH$1000,0),"")</f>
        <v/>
      </c>
      <c r="C33" s="11" t="str">
        <f aca="false">IF($B33="","",INDEX(MASTER_DATABASE!$A$4:$A$1000,$B33)&amp;"")</f>
        <v/>
      </c>
      <c r="D33" s="7" t="str">
        <f aca="false">IF($B33="","",INDEX(MASTER_DATABASE!$D$4:$D$1000,$B33)&amp;"")</f>
        <v/>
      </c>
      <c r="E33" s="7" t="str">
        <f aca="false">IF($B33="","",INDEX(MASTER_DATABASE!$E$4:$E$1000,$B33)&amp;"")</f>
        <v/>
      </c>
      <c r="F33" s="7" t="str">
        <f aca="false">IF($B33="","",INDEX(MASTER_DATABASE!$F$4:$F$1000,$B33)&amp;"")</f>
        <v/>
      </c>
      <c r="G33" s="11" t="str">
        <f aca="false">IF($B33="","",INDEX(MASTER_DATABASE!$I$4:$I$1000,$B33)&amp;"")</f>
        <v/>
      </c>
      <c r="H33" s="7" t="str">
        <f aca="false">IF($B33="","",INDEX(MASTER_DATABASE!$L$4:$L$1000,$B33)&amp;"")</f>
        <v/>
      </c>
      <c r="I33" s="9" t="str">
        <f aca="false">IF($B33="","",INDEX(MASTER_DATABASE!$R$4:$R$1000,$B33))</f>
        <v/>
      </c>
      <c r="J33" s="9" t="str">
        <f aca="false">IF($B33="","",INDEX(MASTER_DATABASE!$S$4:$S$1000,$B33))</f>
        <v/>
      </c>
      <c r="K33" s="9" t="str">
        <f aca="false">IF($B33="","",INDEX(MASTER_DATABASE!$T$4:$T$1000,$B33))</f>
        <v/>
      </c>
      <c r="L33" s="7" t="str">
        <f aca="false">IF($B33="","",INDEX(MASTER_DATABASE!$U$4:$U$1000,$B33)&amp;"")</f>
        <v/>
      </c>
      <c r="M33" s="7" t="str">
        <f aca="false">IF($B33="","",INDEX(MASTER_DATABASE!$Q$4:$Q$1000,$B33)&amp;"")</f>
        <v/>
      </c>
      <c r="N33" s="7" t="str">
        <f aca="false">IF($B33="","",INDEX(MASTER_DATABASE!$AG$4:$AG$1000,$B33)&amp;"")</f>
        <v/>
      </c>
      <c r="O33" s="11" t="str">
        <f aca="false">IF($B33="","",INDEX(MASTER_DATABASE!$AH$4:$AH$1000,$B33)&amp;"")</f>
        <v/>
      </c>
      <c r="P33" s="11" t="str">
        <f aca="false">IF($B33="","",INDEX(MASTER_DATABASE!$BE$4:$BE$1000,$B33)&amp;"")</f>
        <v/>
      </c>
      <c r="Q33" s="7" t="str">
        <f aca="false">IF($B33="","",INDEX(MASTER_DATABASE!$AV$4:$AV$1000,$B33)&amp;"")</f>
        <v/>
      </c>
    </row>
    <row r="34" customFormat="false" ht="15" hidden="false" customHeight="false" outlineLevel="0" collapsed="false">
      <c r="A34" s="11" t="n">
        <v>31</v>
      </c>
      <c r="B34" s="11" t="str">
        <f aca="false">IFERROR(MATCH("Recharge / Bill Payment|"&amp;$A34,MASTER_DATABASE!$BH$4:$BH$1000,0),"")</f>
        <v/>
      </c>
      <c r="C34" s="11" t="str">
        <f aca="false">IF($B34="","",INDEX(MASTER_DATABASE!$A$4:$A$1000,$B34)&amp;"")</f>
        <v/>
      </c>
      <c r="D34" s="7" t="str">
        <f aca="false">IF($B34="","",INDEX(MASTER_DATABASE!$D$4:$D$1000,$B34)&amp;"")</f>
        <v/>
      </c>
      <c r="E34" s="7" t="str">
        <f aca="false">IF($B34="","",INDEX(MASTER_DATABASE!$E$4:$E$1000,$B34)&amp;"")</f>
        <v/>
      </c>
      <c r="F34" s="7" t="str">
        <f aca="false">IF($B34="","",INDEX(MASTER_DATABASE!$F$4:$F$1000,$B34)&amp;"")</f>
        <v/>
      </c>
      <c r="G34" s="11" t="str">
        <f aca="false">IF($B34="","",INDEX(MASTER_DATABASE!$I$4:$I$1000,$B34)&amp;"")</f>
        <v/>
      </c>
      <c r="H34" s="7" t="str">
        <f aca="false">IF($B34="","",INDEX(MASTER_DATABASE!$L$4:$L$1000,$B34)&amp;"")</f>
        <v/>
      </c>
      <c r="I34" s="9" t="str">
        <f aca="false">IF($B34="","",INDEX(MASTER_DATABASE!$R$4:$R$1000,$B34))</f>
        <v/>
      </c>
      <c r="J34" s="9" t="str">
        <f aca="false">IF($B34="","",INDEX(MASTER_DATABASE!$S$4:$S$1000,$B34))</f>
        <v/>
      </c>
      <c r="K34" s="9" t="str">
        <f aca="false">IF($B34="","",INDEX(MASTER_DATABASE!$T$4:$T$1000,$B34))</f>
        <v/>
      </c>
      <c r="L34" s="7" t="str">
        <f aca="false">IF($B34="","",INDEX(MASTER_DATABASE!$U$4:$U$1000,$B34)&amp;"")</f>
        <v/>
      </c>
      <c r="M34" s="7" t="str">
        <f aca="false">IF($B34="","",INDEX(MASTER_DATABASE!$Q$4:$Q$1000,$B34)&amp;"")</f>
        <v/>
      </c>
      <c r="N34" s="7" t="str">
        <f aca="false">IF($B34="","",INDEX(MASTER_DATABASE!$AG$4:$AG$1000,$B34)&amp;"")</f>
        <v/>
      </c>
      <c r="O34" s="11" t="str">
        <f aca="false">IF($B34="","",INDEX(MASTER_DATABASE!$AH$4:$AH$1000,$B34)&amp;"")</f>
        <v/>
      </c>
      <c r="P34" s="11" t="str">
        <f aca="false">IF($B34="","",INDEX(MASTER_DATABASE!$BE$4:$BE$1000,$B34)&amp;"")</f>
        <v/>
      </c>
      <c r="Q34" s="7" t="str">
        <f aca="false">IF($B34="","",INDEX(MASTER_DATABASE!$AV$4:$AV$1000,$B34)&amp;"")</f>
        <v/>
      </c>
    </row>
    <row r="35" customFormat="false" ht="15" hidden="false" customHeight="false" outlineLevel="0" collapsed="false">
      <c r="A35" s="11" t="n">
        <v>32</v>
      </c>
      <c r="B35" s="11" t="str">
        <f aca="false">IFERROR(MATCH("Recharge / Bill Payment|"&amp;$A35,MASTER_DATABASE!$BH$4:$BH$1000,0),"")</f>
        <v/>
      </c>
      <c r="C35" s="11" t="str">
        <f aca="false">IF($B35="","",INDEX(MASTER_DATABASE!$A$4:$A$1000,$B35)&amp;"")</f>
        <v/>
      </c>
      <c r="D35" s="7" t="str">
        <f aca="false">IF($B35="","",INDEX(MASTER_DATABASE!$D$4:$D$1000,$B35)&amp;"")</f>
        <v/>
      </c>
      <c r="E35" s="7" t="str">
        <f aca="false">IF($B35="","",INDEX(MASTER_DATABASE!$E$4:$E$1000,$B35)&amp;"")</f>
        <v/>
      </c>
      <c r="F35" s="7" t="str">
        <f aca="false">IF($B35="","",INDEX(MASTER_DATABASE!$F$4:$F$1000,$B35)&amp;"")</f>
        <v/>
      </c>
      <c r="G35" s="11" t="str">
        <f aca="false">IF($B35="","",INDEX(MASTER_DATABASE!$I$4:$I$1000,$B35)&amp;"")</f>
        <v/>
      </c>
      <c r="H35" s="7" t="str">
        <f aca="false">IF($B35="","",INDEX(MASTER_DATABASE!$L$4:$L$1000,$B35)&amp;"")</f>
        <v/>
      </c>
      <c r="I35" s="9" t="str">
        <f aca="false">IF($B35="","",INDEX(MASTER_DATABASE!$R$4:$R$1000,$B35))</f>
        <v/>
      </c>
      <c r="J35" s="9" t="str">
        <f aca="false">IF($B35="","",INDEX(MASTER_DATABASE!$S$4:$S$1000,$B35))</f>
        <v/>
      </c>
      <c r="K35" s="9" t="str">
        <f aca="false">IF($B35="","",INDEX(MASTER_DATABASE!$T$4:$T$1000,$B35))</f>
        <v/>
      </c>
      <c r="L35" s="7" t="str">
        <f aca="false">IF($B35="","",INDEX(MASTER_DATABASE!$U$4:$U$1000,$B35)&amp;"")</f>
        <v/>
      </c>
      <c r="M35" s="7" t="str">
        <f aca="false">IF($B35="","",INDEX(MASTER_DATABASE!$Q$4:$Q$1000,$B35)&amp;"")</f>
        <v/>
      </c>
      <c r="N35" s="7" t="str">
        <f aca="false">IF($B35="","",INDEX(MASTER_DATABASE!$AG$4:$AG$1000,$B35)&amp;"")</f>
        <v/>
      </c>
      <c r="O35" s="11" t="str">
        <f aca="false">IF($B35="","",INDEX(MASTER_DATABASE!$AH$4:$AH$1000,$B35)&amp;"")</f>
        <v/>
      </c>
      <c r="P35" s="11" t="str">
        <f aca="false">IF($B35="","",INDEX(MASTER_DATABASE!$BE$4:$BE$1000,$B35)&amp;"")</f>
        <v/>
      </c>
      <c r="Q35" s="7" t="str">
        <f aca="false">IF($B35="","",INDEX(MASTER_DATABASE!$AV$4:$AV$1000,$B35)&amp;"")</f>
        <v/>
      </c>
    </row>
    <row r="36" customFormat="false" ht="15" hidden="false" customHeight="false" outlineLevel="0" collapsed="false">
      <c r="A36" s="11" t="n">
        <v>33</v>
      </c>
      <c r="B36" s="11" t="str">
        <f aca="false">IFERROR(MATCH("Recharge / Bill Payment|"&amp;$A36,MASTER_DATABASE!$BH$4:$BH$1000,0),"")</f>
        <v/>
      </c>
      <c r="C36" s="11" t="str">
        <f aca="false">IF($B36="","",INDEX(MASTER_DATABASE!$A$4:$A$1000,$B36)&amp;"")</f>
        <v/>
      </c>
      <c r="D36" s="7" t="str">
        <f aca="false">IF($B36="","",INDEX(MASTER_DATABASE!$D$4:$D$1000,$B36)&amp;"")</f>
        <v/>
      </c>
      <c r="E36" s="7" t="str">
        <f aca="false">IF($B36="","",INDEX(MASTER_DATABASE!$E$4:$E$1000,$B36)&amp;"")</f>
        <v/>
      </c>
      <c r="F36" s="7" t="str">
        <f aca="false">IF($B36="","",INDEX(MASTER_DATABASE!$F$4:$F$1000,$B36)&amp;"")</f>
        <v/>
      </c>
      <c r="G36" s="11" t="str">
        <f aca="false">IF($B36="","",INDEX(MASTER_DATABASE!$I$4:$I$1000,$B36)&amp;"")</f>
        <v/>
      </c>
      <c r="H36" s="7" t="str">
        <f aca="false">IF($B36="","",INDEX(MASTER_DATABASE!$L$4:$L$1000,$B36)&amp;"")</f>
        <v/>
      </c>
      <c r="I36" s="9" t="str">
        <f aca="false">IF($B36="","",INDEX(MASTER_DATABASE!$R$4:$R$1000,$B36))</f>
        <v/>
      </c>
      <c r="J36" s="9" t="str">
        <f aca="false">IF($B36="","",INDEX(MASTER_DATABASE!$S$4:$S$1000,$B36))</f>
        <v/>
      </c>
      <c r="K36" s="9" t="str">
        <f aca="false">IF($B36="","",INDEX(MASTER_DATABASE!$T$4:$T$1000,$B36))</f>
        <v/>
      </c>
      <c r="L36" s="7" t="str">
        <f aca="false">IF($B36="","",INDEX(MASTER_DATABASE!$U$4:$U$1000,$B36)&amp;"")</f>
        <v/>
      </c>
      <c r="M36" s="7" t="str">
        <f aca="false">IF($B36="","",INDEX(MASTER_DATABASE!$Q$4:$Q$1000,$B36)&amp;"")</f>
        <v/>
      </c>
      <c r="N36" s="7" t="str">
        <f aca="false">IF($B36="","",INDEX(MASTER_DATABASE!$AG$4:$AG$1000,$B36)&amp;"")</f>
        <v/>
      </c>
      <c r="O36" s="11" t="str">
        <f aca="false">IF($B36="","",INDEX(MASTER_DATABASE!$AH$4:$AH$1000,$B36)&amp;"")</f>
        <v/>
      </c>
      <c r="P36" s="11" t="str">
        <f aca="false">IF($B36="","",INDEX(MASTER_DATABASE!$BE$4:$BE$1000,$B36)&amp;"")</f>
        <v/>
      </c>
      <c r="Q36" s="7" t="str">
        <f aca="false">IF($B36="","",INDEX(MASTER_DATABASE!$AV$4:$AV$1000,$B36)&amp;"")</f>
        <v/>
      </c>
    </row>
    <row r="37" customFormat="false" ht="15" hidden="false" customHeight="false" outlineLevel="0" collapsed="false">
      <c r="A37" s="11" t="n">
        <v>34</v>
      </c>
      <c r="B37" s="11" t="str">
        <f aca="false">IFERROR(MATCH("Recharge / Bill Payment|"&amp;$A37,MASTER_DATABASE!$BH$4:$BH$1000,0),"")</f>
        <v/>
      </c>
      <c r="C37" s="11" t="str">
        <f aca="false">IF($B37="","",INDEX(MASTER_DATABASE!$A$4:$A$1000,$B37)&amp;"")</f>
        <v/>
      </c>
      <c r="D37" s="7" t="str">
        <f aca="false">IF($B37="","",INDEX(MASTER_DATABASE!$D$4:$D$1000,$B37)&amp;"")</f>
        <v/>
      </c>
      <c r="E37" s="7" t="str">
        <f aca="false">IF($B37="","",INDEX(MASTER_DATABASE!$E$4:$E$1000,$B37)&amp;"")</f>
        <v/>
      </c>
      <c r="F37" s="7" t="str">
        <f aca="false">IF($B37="","",INDEX(MASTER_DATABASE!$F$4:$F$1000,$B37)&amp;"")</f>
        <v/>
      </c>
      <c r="G37" s="11" t="str">
        <f aca="false">IF($B37="","",INDEX(MASTER_DATABASE!$I$4:$I$1000,$B37)&amp;"")</f>
        <v/>
      </c>
      <c r="H37" s="7" t="str">
        <f aca="false">IF($B37="","",INDEX(MASTER_DATABASE!$L$4:$L$1000,$B37)&amp;"")</f>
        <v/>
      </c>
      <c r="I37" s="9" t="str">
        <f aca="false">IF($B37="","",INDEX(MASTER_DATABASE!$R$4:$R$1000,$B37))</f>
        <v/>
      </c>
      <c r="J37" s="9" t="str">
        <f aca="false">IF($B37="","",INDEX(MASTER_DATABASE!$S$4:$S$1000,$B37))</f>
        <v/>
      </c>
      <c r="K37" s="9" t="str">
        <f aca="false">IF($B37="","",INDEX(MASTER_DATABASE!$T$4:$T$1000,$B37))</f>
        <v/>
      </c>
      <c r="L37" s="7" t="str">
        <f aca="false">IF($B37="","",INDEX(MASTER_DATABASE!$U$4:$U$1000,$B37)&amp;"")</f>
        <v/>
      </c>
      <c r="M37" s="7" t="str">
        <f aca="false">IF($B37="","",INDEX(MASTER_DATABASE!$Q$4:$Q$1000,$B37)&amp;"")</f>
        <v/>
      </c>
      <c r="N37" s="7" t="str">
        <f aca="false">IF($B37="","",INDEX(MASTER_DATABASE!$AG$4:$AG$1000,$B37)&amp;"")</f>
        <v/>
      </c>
      <c r="O37" s="11" t="str">
        <f aca="false">IF($B37="","",INDEX(MASTER_DATABASE!$AH$4:$AH$1000,$B37)&amp;"")</f>
        <v/>
      </c>
      <c r="P37" s="11" t="str">
        <f aca="false">IF($B37="","",INDEX(MASTER_DATABASE!$BE$4:$BE$1000,$B37)&amp;"")</f>
        <v/>
      </c>
      <c r="Q37" s="7" t="str">
        <f aca="false">IF($B37="","",INDEX(MASTER_DATABASE!$AV$4:$AV$1000,$B37)&amp;"")</f>
        <v/>
      </c>
    </row>
    <row r="38" customFormat="false" ht="15" hidden="false" customHeight="false" outlineLevel="0" collapsed="false">
      <c r="A38" s="11" t="n">
        <v>35</v>
      </c>
      <c r="B38" s="11" t="str">
        <f aca="false">IFERROR(MATCH("Recharge / Bill Payment|"&amp;$A38,MASTER_DATABASE!$BH$4:$BH$1000,0),"")</f>
        <v/>
      </c>
      <c r="C38" s="11" t="str">
        <f aca="false">IF($B38="","",INDEX(MASTER_DATABASE!$A$4:$A$1000,$B38)&amp;"")</f>
        <v/>
      </c>
      <c r="D38" s="7" t="str">
        <f aca="false">IF($B38="","",INDEX(MASTER_DATABASE!$D$4:$D$1000,$B38)&amp;"")</f>
        <v/>
      </c>
      <c r="E38" s="7" t="str">
        <f aca="false">IF($B38="","",INDEX(MASTER_DATABASE!$E$4:$E$1000,$B38)&amp;"")</f>
        <v/>
      </c>
      <c r="F38" s="7" t="str">
        <f aca="false">IF($B38="","",INDEX(MASTER_DATABASE!$F$4:$F$1000,$B38)&amp;"")</f>
        <v/>
      </c>
      <c r="G38" s="11" t="str">
        <f aca="false">IF($B38="","",INDEX(MASTER_DATABASE!$I$4:$I$1000,$B38)&amp;"")</f>
        <v/>
      </c>
      <c r="H38" s="7" t="str">
        <f aca="false">IF($B38="","",INDEX(MASTER_DATABASE!$L$4:$L$1000,$B38)&amp;"")</f>
        <v/>
      </c>
      <c r="I38" s="9" t="str">
        <f aca="false">IF($B38="","",INDEX(MASTER_DATABASE!$R$4:$R$1000,$B38))</f>
        <v/>
      </c>
      <c r="J38" s="9" t="str">
        <f aca="false">IF($B38="","",INDEX(MASTER_DATABASE!$S$4:$S$1000,$B38))</f>
        <v/>
      </c>
      <c r="K38" s="9" t="str">
        <f aca="false">IF($B38="","",INDEX(MASTER_DATABASE!$T$4:$T$1000,$B38))</f>
        <v/>
      </c>
      <c r="L38" s="7" t="str">
        <f aca="false">IF($B38="","",INDEX(MASTER_DATABASE!$U$4:$U$1000,$B38)&amp;"")</f>
        <v/>
      </c>
      <c r="M38" s="7" t="str">
        <f aca="false">IF($B38="","",INDEX(MASTER_DATABASE!$Q$4:$Q$1000,$B38)&amp;"")</f>
        <v/>
      </c>
      <c r="N38" s="7" t="str">
        <f aca="false">IF($B38="","",INDEX(MASTER_DATABASE!$AG$4:$AG$1000,$B38)&amp;"")</f>
        <v/>
      </c>
      <c r="O38" s="11" t="str">
        <f aca="false">IF($B38="","",INDEX(MASTER_DATABASE!$AH$4:$AH$1000,$B38)&amp;"")</f>
        <v/>
      </c>
      <c r="P38" s="11" t="str">
        <f aca="false">IF($B38="","",INDEX(MASTER_DATABASE!$BE$4:$BE$1000,$B38)&amp;"")</f>
        <v/>
      </c>
      <c r="Q38" s="7" t="str">
        <f aca="false">IF($B38="","",INDEX(MASTER_DATABASE!$AV$4:$AV$1000,$B38)&amp;"")</f>
        <v/>
      </c>
    </row>
    <row r="39" customFormat="false" ht="15" hidden="false" customHeight="false" outlineLevel="0" collapsed="false">
      <c r="A39" s="11" t="n">
        <v>36</v>
      </c>
      <c r="B39" s="11" t="str">
        <f aca="false">IFERROR(MATCH("Recharge / Bill Payment|"&amp;$A39,MASTER_DATABASE!$BH$4:$BH$1000,0),"")</f>
        <v/>
      </c>
      <c r="C39" s="11" t="str">
        <f aca="false">IF($B39="","",INDEX(MASTER_DATABASE!$A$4:$A$1000,$B39)&amp;"")</f>
        <v/>
      </c>
      <c r="D39" s="7" t="str">
        <f aca="false">IF($B39="","",INDEX(MASTER_DATABASE!$D$4:$D$1000,$B39)&amp;"")</f>
        <v/>
      </c>
      <c r="E39" s="7" t="str">
        <f aca="false">IF($B39="","",INDEX(MASTER_DATABASE!$E$4:$E$1000,$B39)&amp;"")</f>
        <v/>
      </c>
      <c r="F39" s="7" t="str">
        <f aca="false">IF($B39="","",INDEX(MASTER_DATABASE!$F$4:$F$1000,$B39)&amp;"")</f>
        <v/>
      </c>
      <c r="G39" s="11" t="str">
        <f aca="false">IF($B39="","",INDEX(MASTER_DATABASE!$I$4:$I$1000,$B39)&amp;"")</f>
        <v/>
      </c>
      <c r="H39" s="7" t="str">
        <f aca="false">IF($B39="","",INDEX(MASTER_DATABASE!$L$4:$L$1000,$B39)&amp;"")</f>
        <v/>
      </c>
      <c r="I39" s="9" t="str">
        <f aca="false">IF($B39="","",INDEX(MASTER_DATABASE!$R$4:$R$1000,$B39))</f>
        <v/>
      </c>
      <c r="J39" s="9" t="str">
        <f aca="false">IF($B39="","",INDEX(MASTER_DATABASE!$S$4:$S$1000,$B39))</f>
        <v/>
      </c>
      <c r="K39" s="9" t="str">
        <f aca="false">IF($B39="","",INDEX(MASTER_DATABASE!$T$4:$T$1000,$B39))</f>
        <v/>
      </c>
      <c r="L39" s="7" t="str">
        <f aca="false">IF($B39="","",INDEX(MASTER_DATABASE!$U$4:$U$1000,$B39)&amp;"")</f>
        <v/>
      </c>
      <c r="M39" s="7" t="str">
        <f aca="false">IF($B39="","",INDEX(MASTER_DATABASE!$Q$4:$Q$1000,$B39)&amp;"")</f>
        <v/>
      </c>
      <c r="N39" s="7" t="str">
        <f aca="false">IF($B39="","",INDEX(MASTER_DATABASE!$AG$4:$AG$1000,$B39)&amp;"")</f>
        <v/>
      </c>
      <c r="O39" s="11" t="str">
        <f aca="false">IF($B39="","",INDEX(MASTER_DATABASE!$AH$4:$AH$1000,$B39)&amp;"")</f>
        <v/>
      </c>
      <c r="P39" s="11" t="str">
        <f aca="false">IF($B39="","",INDEX(MASTER_DATABASE!$BE$4:$BE$1000,$B39)&amp;"")</f>
        <v/>
      </c>
      <c r="Q39" s="7" t="str">
        <f aca="false">IF($B39="","",INDEX(MASTER_DATABASE!$AV$4:$AV$1000,$B39)&amp;"")</f>
        <v/>
      </c>
    </row>
    <row r="40" customFormat="false" ht="15" hidden="false" customHeight="false" outlineLevel="0" collapsed="false">
      <c r="A40" s="11" t="n">
        <v>37</v>
      </c>
      <c r="B40" s="11" t="str">
        <f aca="false">IFERROR(MATCH("Recharge / Bill Payment|"&amp;$A40,MASTER_DATABASE!$BH$4:$BH$1000,0),"")</f>
        <v/>
      </c>
      <c r="C40" s="11" t="str">
        <f aca="false">IF($B40="","",INDEX(MASTER_DATABASE!$A$4:$A$1000,$B40)&amp;"")</f>
        <v/>
      </c>
      <c r="D40" s="7" t="str">
        <f aca="false">IF($B40="","",INDEX(MASTER_DATABASE!$D$4:$D$1000,$B40)&amp;"")</f>
        <v/>
      </c>
      <c r="E40" s="7" t="str">
        <f aca="false">IF($B40="","",INDEX(MASTER_DATABASE!$E$4:$E$1000,$B40)&amp;"")</f>
        <v/>
      </c>
      <c r="F40" s="7" t="str">
        <f aca="false">IF($B40="","",INDEX(MASTER_DATABASE!$F$4:$F$1000,$B40)&amp;"")</f>
        <v/>
      </c>
      <c r="G40" s="11" t="str">
        <f aca="false">IF($B40="","",INDEX(MASTER_DATABASE!$I$4:$I$1000,$B40)&amp;"")</f>
        <v/>
      </c>
      <c r="H40" s="7" t="str">
        <f aca="false">IF($B40="","",INDEX(MASTER_DATABASE!$L$4:$L$1000,$B40)&amp;"")</f>
        <v/>
      </c>
      <c r="I40" s="9" t="str">
        <f aca="false">IF($B40="","",INDEX(MASTER_DATABASE!$R$4:$R$1000,$B40))</f>
        <v/>
      </c>
      <c r="J40" s="9" t="str">
        <f aca="false">IF($B40="","",INDEX(MASTER_DATABASE!$S$4:$S$1000,$B40))</f>
        <v/>
      </c>
      <c r="K40" s="9" t="str">
        <f aca="false">IF($B40="","",INDEX(MASTER_DATABASE!$T$4:$T$1000,$B40))</f>
        <v/>
      </c>
      <c r="L40" s="7" t="str">
        <f aca="false">IF($B40="","",INDEX(MASTER_DATABASE!$U$4:$U$1000,$B40)&amp;"")</f>
        <v/>
      </c>
      <c r="M40" s="7" t="str">
        <f aca="false">IF($B40="","",INDEX(MASTER_DATABASE!$Q$4:$Q$1000,$B40)&amp;"")</f>
        <v/>
      </c>
      <c r="N40" s="7" t="str">
        <f aca="false">IF($B40="","",INDEX(MASTER_DATABASE!$AG$4:$AG$1000,$B40)&amp;"")</f>
        <v/>
      </c>
      <c r="O40" s="11" t="str">
        <f aca="false">IF($B40="","",INDEX(MASTER_DATABASE!$AH$4:$AH$1000,$B40)&amp;"")</f>
        <v/>
      </c>
      <c r="P40" s="11" t="str">
        <f aca="false">IF($B40="","",INDEX(MASTER_DATABASE!$BE$4:$BE$1000,$B40)&amp;"")</f>
        <v/>
      </c>
      <c r="Q40" s="7" t="str">
        <f aca="false">IF($B40="","",INDEX(MASTER_DATABASE!$AV$4:$AV$1000,$B40)&amp;"")</f>
        <v/>
      </c>
    </row>
    <row r="41" customFormat="false" ht="15" hidden="false" customHeight="false" outlineLevel="0" collapsed="false">
      <c r="A41" s="11" t="n">
        <v>38</v>
      </c>
      <c r="B41" s="11" t="str">
        <f aca="false">IFERROR(MATCH("Recharge / Bill Payment|"&amp;$A41,MASTER_DATABASE!$BH$4:$BH$1000,0),"")</f>
        <v/>
      </c>
      <c r="C41" s="11" t="str">
        <f aca="false">IF($B41="","",INDEX(MASTER_DATABASE!$A$4:$A$1000,$B41)&amp;"")</f>
        <v/>
      </c>
      <c r="D41" s="7" t="str">
        <f aca="false">IF($B41="","",INDEX(MASTER_DATABASE!$D$4:$D$1000,$B41)&amp;"")</f>
        <v/>
      </c>
      <c r="E41" s="7" t="str">
        <f aca="false">IF($B41="","",INDEX(MASTER_DATABASE!$E$4:$E$1000,$B41)&amp;"")</f>
        <v/>
      </c>
      <c r="F41" s="7" t="str">
        <f aca="false">IF($B41="","",INDEX(MASTER_DATABASE!$F$4:$F$1000,$B41)&amp;"")</f>
        <v/>
      </c>
      <c r="G41" s="11" t="str">
        <f aca="false">IF($B41="","",INDEX(MASTER_DATABASE!$I$4:$I$1000,$B41)&amp;"")</f>
        <v/>
      </c>
      <c r="H41" s="7" t="str">
        <f aca="false">IF($B41="","",INDEX(MASTER_DATABASE!$L$4:$L$1000,$B41)&amp;"")</f>
        <v/>
      </c>
      <c r="I41" s="9" t="str">
        <f aca="false">IF($B41="","",INDEX(MASTER_DATABASE!$R$4:$R$1000,$B41))</f>
        <v/>
      </c>
      <c r="J41" s="9" t="str">
        <f aca="false">IF($B41="","",INDEX(MASTER_DATABASE!$S$4:$S$1000,$B41))</f>
        <v/>
      </c>
      <c r="K41" s="9" t="str">
        <f aca="false">IF($B41="","",INDEX(MASTER_DATABASE!$T$4:$T$1000,$B41))</f>
        <v/>
      </c>
      <c r="L41" s="7" t="str">
        <f aca="false">IF($B41="","",INDEX(MASTER_DATABASE!$U$4:$U$1000,$B41)&amp;"")</f>
        <v/>
      </c>
      <c r="M41" s="7" t="str">
        <f aca="false">IF($B41="","",INDEX(MASTER_DATABASE!$Q$4:$Q$1000,$B41)&amp;"")</f>
        <v/>
      </c>
      <c r="N41" s="7" t="str">
        <f aca="false">IF($B41="","",INDEX(MASTER_DATABASE!$AG$4:$AG$1000,$B41)&amp;"")</f>
        <v/>
      </c>
      <c r="O41" s="11" t="str">
        <f aca="false">IF($B41="","",INDEX(MASTER_DATABASE!$AH$4:$AH$1000,$B41)&amp;"")</f>
        <v/>
      </c>
      <c r="P41" s="11" t="str">
        <f aca="false">IF($B41="","",INDEX(MASTER_DATABASE!$BE$4:$BE$1000,$B41)&amp;"")</f>
        <v/>
      </c>
      <c r="Q41" s="7" t="str">
        <f aca="false">IF($B41="","",INDEX(MASTER_DATABASE!$AV$4:$AV$1000,$B41)&amp;"")</f>
        <v/>
      </c>
    </row>
    <row r="42" customFormat="false" ht="15" hidden="false" customHeight="false" outlineLevel="0" collapsed="false">
      <c r="A42" s="11" t="n">
        <v>39</v>
      </c>
      <c r="B42" s="11" t="str">
        <f aca="false">IFERROR(MATCH("Recharge / Bill Payment|"&amp;$A42,MASTER_DATABASE!$BH$4:$BH$1000,0),"")</f>
        <v/>
      </c>
      <c r="C42" s="11" t="str">
        <f aca="false">IF($B42="","",INDEX(MASTER_DATABASE!$A$4:$A$1000,$B42)&amp;"")</f>
        <v/>
      </c>
      <c r="D42" s="7" t="str">
        <f aca="false">IF($B42="","",INDEX(MASTER_DATABASE!$D$4:$D$1000,$B42)&amp;"")</f>
        <v/>
      </c>
      <c r="E42" s="7" t="str">
        <f aca="false">IF($B42="","",INDEX(MASTER_DATABASE!$E$4:$E$1000,$B42)&amp;"")</f>
        <v/>
      </c>
      <c r="F42" s="7" t="str">
        <f aca="false">IF($B42="","",INDEX(MASTER_DATABASE!$F$4:$F$1000,$B42)&amp;"")</f>
        <v/>
      </c>
      <c r="G42" s="11" t="str">
        <f aca="false">IF($B42="","",INDEX(MASTER_DATABASE!$I$4:$I$1000,$B42)&amp;"")</f>
        <v/>
      </c>
      <c r="H42" s="7" t="str">
        <f aca="false">IF($B42="","",INDEX(MASTER_DATABASE!$L$4:$L$1000,$B42)&amp;"")</f>
        <v/>
      </c>
      <c r="I42" s="9" t="str">
        <f aca="false">IF($B42="","",INDEX(MASTER_DATABASE!$R$4:$R$1000,$B42))</f>
        <v/>
      </c>
      <c r="J42" s="9" t="str">
        <f aca="false">IF($B42="","",INDEX(MASTER_DATABASE!$S$4:$S$1000,$B42))</f>
        <v/>
      </c>
      <c r="K42" s="9" t="str">
        <f aca="false">IF($B42="","",INDEX(MASTER_DATABASE!$T$4:$T$1000,$B42))</f>
        <v/>
      </c>
      <c r="L42" s="7" t="str">
        <f aca="false">IF($B42="","",INDEX(MASTER_DATABASE!$U$4:$U$1000,$B42)&amp;"")</f>
        <v/>
      </c>
      <c r="M42" s="7" t="str">
        <f aca="false">IF($B42="","",INDEX(MASTER_DATABASE!$Q$4:$Q$1000,$B42)&amp;"")</f>
        <v/>
      </c>
      <c r="N42" s="7" t="str">
        <f aca="false">IF($B42="","",INDEX(MASTER_DATABASE!$AG$4:$AG$1000,$B42)&amp;"")</f>
        <v/>
      </c>
      <c r="O42" s="11" t="str">
        <f aca="false">IF($B42="","",INDEX(MASTER_DATABASE!$AH$4:$AH$1000,$B42)&amp;"")</f>
        <v/>
      </c>
      <c r="P42" s="11" t="str">
        <f aca="false">IF($B42="","",INDEX(MASTER_DATABASE!$BE$4:$BE$1000,$B42)&amp;"")</f>
        <v/>
      </c>
      <c r="Q42" s="7" t="str">
        <f aca="false">IF($B42="","",INDEX(MASTER_DATABASE!$AV$4:$AV$1000,$B42)&amp;"")</f>
        <v/>
      </c>
    </row>
    <row r="43" customFormat="false" ht="15" hidden="false" customHeight="false" outlineLevel="0" collapsed="false">
      <c r="A43" s="11" t="n">
        <v>40</v>
      </c>
      <c r="B43" s="11" t="str">
        <f aca="false">IFERROR(MATCH("Recharge / Bill Payment|"&amp;$A43,MASTER_DATABASE!$BH$4:$BH$1000,0),"")</f>
        <v/>
      </c>
      <c r="C43" s="11" t="str">
        <f aca="false">IF($B43="","",INDEX(MASTER_DATABASE!$A$4:$A$1000,$B43)&amp;"")</f>
        <v/>
      </c>
      <c r="D43" s="7" t="str">
        <f aca="false">IF($B43="","",INDEX(MASTER_DATABASE!$D$4:$D$1000,$B43)&amp;"")</f>
        <v/>
      </c>
      <c r="E43" s="7" t="str">
        <f aca="false">IF($B43="","",INDEX(MASTER_DATABASE!$E$4:$E$1000,$B43)&amp;"")</f>
        <v/>
      </c>
      <c r="F43" s="7" t="str">
        <f aca="false">IF($B43="","",INDEX(MASTER_DATABASE!$F$4:$F$1000,$B43)&amp;"")</f>
        <v/>
      </c>
      <c r="G43" s="11" t="str">
        <f aca="false">IF($B43="","",INDEX(MASTER_DATABASE!$I$4:$I$1000,$B43)&amp;"")</f>
        <v/>
      </c>
      <c r="H43" s="7" t="str">
        <f aca="false">IF($B43="","",INDEX(MASTER_DATABASE!$L$4:$L$1000,$B43)&amp;"")</f>
        <v/>
      </c>
      <c r="I43" s="9" t="str">
        <f aca="false">IF($B43="","",INDEX(MASTER_DATABASE!$R$4:$R$1000,$B43))</f>
        <v/>
      </c>
      <c r="J43" s="9" t="str">
        <f aca="false">IF($B43="","",INDEX(MASTER_DATABASE!$S$4:$S$1000,$B43))</f>
        <v/>
      </c>
      <c r="K43" s="9" t="str">
        <f aca="false">IF($B43="","",INDEX(MASTER_DATABASE!$T$4:$T$1000,$B43))</f>
        <v/>
      </c>
      <c r="L43" s="7" t="str">
        <f aca="false">IF($B43="","",INDEX(MASTER_DATABASE!$U$4:$U$1000,$B43)&amp;"")</f>
        <v/>
      </c>
      <c r="M43" s="7" t="str">
        <f aca="false">IF($B43="","",INDEX(MASTER_DATABASE!$Q$4:$Q$1000,$B43)&amp;"")</f>
        <v/>
      </c>
      <c r="N43" s="7" t="str">
        <f aca="false">IF($B43="","",INDEX(MASTER_DATABASE!$AG$4:$AG$1000,$B43)&amp;"")</f>
        <v/>
      </c>
      <c r="O43" s="11" t="str">
        <f aca="false">IF($B43="","",INDEX(MASTER_DATABASE!$AH$4:$AH$1000,$B43)&amp;"")</f>
        <v/>
      </c>
      <c r="P43" s="11" t="str">
        <f aca="false">IF($B43="","",INDEX(MASTER_DATABASE!$BE$4:$BE$1000,$B43)&amp;"")</f>
        <v/>
      </c>
      <c r="Q43" s="7" t="str">
        <f aca="false">IF($B43="","",INDEX(MASTER_DATABASE!$AV$4:$AV$1000,$B43)&amp;"")</f>
        <v/>
      </c>
    </row>
    <row r="44" customFormat="false" ht="15" hidden="false" customHeight="false" outlineLevel="0" collapsed="false">
      <c r="A44" s="11" t="n">
        <v>41</v>
      </c>
      <c r="B44" s="11" t="str">
        <f aca="false">IFERROR(MATCH("Recharge / Bill Payment|"&amp;$A44,MASTER_DATABASE!$BH$4:$BH$1000,0),"")</f>
        <v/>
      </c>
      <c r="C44" s="11" t="str">
        <f aca="false">IF($B44="","",INDEX(MASTER_DATABASE!$A$4:$A$1000,$B44)&amp;"")</f>
        <v/>
      </c>
      <c r="D44" s="7" t="str">
        <f aca="false">IF($B44="","",INDEX(MASTER_DATABASE!$D$4:$D$1000,$B44)&amp;"")</f>
        <v/>
      </c>
      <c r="E44" s="7" t="str">
        <f aca="false">IF($B44="","",INDEX(MASTER_DATABASE!$E$4:$E$1000,$B44)&amp;"")</f>
        <v/>
      </c>
      <c r="F44" s="7" t="str">
        <f aca="false">IF($B44="","",INDEX(MASTER_DATABASE!$F$4:$F$1000,$B44)&amp;"")</f>
        <v/>
      </c>
      <c r="G44" s="11" t="str">
        <f aca="false">IF($B44="","",INDEX(MASTER_DATABASE!$I$4:$I$1000,$B44)&amp;"")</f>
        <v/>
      </c>
      <c r="H44" s="7" t="str">
        <f aca="false">IF($B44="","",INDEX(MASTER_DATABASE!$L$4:$L$1000,$B44)&amp;"")</f>
        <v/>
      </c>
      <c r="I44" s="9" t="str">
        <f aca="false">IF($B44="","",INDEX(MASTER_DATABASE!$R$4:$R$1000,$B44))</f>
        <v/>
      </c>
      <c r="J44" s="9" t="str">
        <f aca="false">IF($B44="","",INDEX(MASTER_DATABASE!$S$4:$S$1000,$B44))</f>
        <v/>
      </c>
      <c r="K44" s="9" t="str">
        <f aca="false">IF($B44="","",INDEX(MASTER_DATABASE!$T$4:$T$1000,$B44))</f>
        <v/>
      </c>
      <c r="L44" s="7" t="str">
        <f aca="false">IF($B44="","",INDEX(MASTER_DATABASE!$U$4:$U$1000,$B44)&amp;"")</f>
        <v/>
      </c>
      <c r="M44" s="7" t="str">
        <f aca="false">IF($B44="","",INDEX(MASTER_DATABASE!$Q$4:$Q$1000,$B44)&amp;"")</f>
        <v/>
      </c>
      <c r="N44" s="7" t="str">
        <f aca="false">IF($B44="","",INDEX(MASTER_DATABASE!$AG$4:$AG$1000,$B44)&amp;"")</f>
        <v/>
      </c>
      <c r="O44" s="11" t="str">
        <f aca="false">IF($B44="","",INDEX(MASTER_DATABASE!$AH$4:$AH$1000,$B44)&amp;"")</f>
        <v/>
      </c>
      <c r="P44" s="11" t="str">
        <f aca="false">IF($B44="","",INDEX(MASTER_DATABASE!$BE$4:$BE$1000,$B44)&amp;"")</f>
        <v/>
      </c>
      <c r="Q44" s="7" t="str">
        <f aca="false">IF($B44="","",INDEX(MASTER_DATABASE!$AV$4:$AV$1000,$B44)&amp;"")</f>
        <v/>
      </c>
    </row>
  </sheetData>
  <conditionalFormatting sqref="G4:G44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44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44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3700</v>
      </c>
    </row>
    <row r="2" customFormat="false" ht="15" hidden="false" customHeight="false" outlineLevel="0" collapsed="false">
      <c r="A2" s="2" t="s">
        <v>3701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5</v>
      </c>
      <c r="E3" s="4" t="s">
        <v>6</v>
      </c>
      <c r="F3" s="4" t="s">
        <v>7</v>
      </c>
      <c r="G3" s="4" t="s">
        <v>10</v>
      </c>
      <c r="H3" s="4" t="s">
        <v>13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18</v>
      </c>
      <c r="N3" s="4" t="s">
        <v>34</v>
      </c>
      <c r="O3" s="4" t="s">
        <v>35</v>
      </c>
      <c r="P3" s="4" t="s">
        <v>58</v>
      </c>
      <c r="Q3" s="4" t="s">
        <v>49</v>
      </c>
    </row>
    <row r="4" customFormat="false" ht="15" hidden="false" customHeight="false" outlineLevel="0" collapsed="false">
      <c r="A4" s="11" t="n">
        <v>1</v>
      </c>
      <c r="B4" s="11" t="n">
        <f aca="false">IFERROR(MATCH("Travel / Ticketing|"&amp;$A4,MASTER_DATABASE!$BH$4:$BH$1000,0),"")</f>
        <v>284</v>
      </c>
      <c r="C4" s="11" t="str">
        <f aca="false">IF($B4="","",INDEX(MASTER_DATABASE!$A$4:$A$1000,$B4)&amp;"")</f>
        <v>TKT-001</v>
      </c>
      <c r="D4" s="7" t="str">
        <f aca="false">IF($B4="","",INDEX(MASTER_DATABASE!$D$4:$D$1000,$B4)&amp;"")</f>
        <v>Railway</v>
      </c>
      <c r="E4" s="7" t="str">
        <f aca="false">IF($B4="","",INDEX(MASTER_DATABASE!$E$4:$E$1000,$B4)&amp;"")</f>
        <v>Railway Ticket Booking (General)</v>
      </c>
      <c r="F4" s="7" t="str">
        <f aca="false">IF($B4="","",INDEX(MASTER_DATABASE!$F$4:$F$1000,$B4)&amp;"")</f>
        <v>रेलवे टिकट बुकिंग (सामान्य)</v>
      </c>
      <c r="G4" s="11" t="str">
        <f aca="false">IF($B4="","",INDEX(MASTER_DATABASE!$I$4:$I$1000,$B4)&amp;"")</f>
        <v>Authorization Required</v>
      </c>
      <c r="H4" s="7" t="str">
        <f aca="false">IF($B4="","",INDEX(MASTER_DATABASE!$L$4:$L$1000,$B4)&amp;"")</f>
        <v>To Verify</v>
      </c>
      <c r="I4" s="9" t="str">
        <f aca="false">IF($B4="","",INDEX(MASTER_DATABASE!$R$4:$R$1000,$B4))</f>
        <v>To Verify</v>
      </c>
      <c r="J4" s="9" t="str">
        <f aca="false">IF($B4="","",INDEX(MASTER_DATABASE!$S$4:$S$1000,$B4))</f>
        <v>To Verify</v>
      </c>
      <c r="K4" s="9" t="str">
        <f aca="false">IF($B4="","",INDEX(MASTER_DATABASE!$T$4:$T$1000,$B4))</f>
        <v>To Verify</v>
      </c>
      <c r="L4" s="7" t="str">
        <f aca="false">IF($B4="","",INDEX(MASTER_DATABASE!$U$4:$U$1000,$B4)&amp;"")</f>
        <v>To Verify</v>
      </c>
      <c r="M4" s="7" t="str">
        <f aca="false">IF($B4="","",INDEX(MASTER_DATABASE!$Q$4:$Q$1000,$B4)&amp;"")</f>
        <v>15–30 Minutes</v>
      </c>
      <c r="N4" s="7" t="str">
        <f aca="false">IF($B4="","",INDEX(MASTER_DATABASE!$AG$4:$AG$1000,$B4)&amp;"")</f>
        <v>To Verify</v>
      </c>
      <c r="O4" s="11" t="str">
        <f aca="false">IF($B4="","",INDEX(MASTER_DATABASE!$AH$4:$AH$1000,$B4)&amp;"")</f>
        <v>No</v>
      </c>
      <c r="P4" s="11" t="str">
        <f aca="false">IF($B4="","",INDEX(MASTER_DATABASE!$BE$4:$BE$1000,$B4)&amp;"")</f>
        <v>HIDDEN</v>
      </c>
      <c r="Q4" s="7" t="str">
        <f aca="false">IF($B4="","",INDEX(MASTER_DATABASE!$AV$4:$AV$1000,$B4)&amp;"")</f>
        <v>To Verify</v>
      </c>
    </row>
    <row r="5" customFormat="false" ht="15" hidden="false" customHeight="false" outlineLevel="0" collapsed="false">
      <c r="A5" s="11" t="n">
        <v>2</v>
      </c>
      <c r="B5" s="11" t="n">
        <f aca="false">IFERROR(MATCH("Travel / Ticketing|"&amp;$A5,MASTER_DATABASE!$BH$4:$BH$1000,0),"")</f>
        <v>285</v>
      </c>
      <c r="C5" s="11" t="str">
        <f aca="false">IF($B5="","",INDEX(MASTER_DATABASE!$A$4:$A$1000,$B5)&amp;"")</f>
        <v>TKT-002</v>
      </c>
      <c r="D5" s="7" t="str">
        <f aca="false">IF($B5="","",INDEX(MASTER_DATABASE!$D$4:$D$1000,$B5)&amp;"")</f>
        <v>Railway</v>
      </c>
      <c r="E5" s="7" t="str">
        <f aca="false">IF($B5="","",INDEX(MASTER_DATABASE!$E$4:$E$1000,$B5)&amp;"")</f>
        <v>Railway Ticket Booking (Tatkal)</v>
      </c>
      <c r="F5" s="7" t="str">
        <f aca="false">IF($B5="","",INDEX(MASTER_DATABASE!$F$4:$F$1000,$B5)&amp;"")</f>
        <v>रेलवे टिकट बुकिंग (तत्काल)</v>
      </c>
      <c r="G5" s="11" t="str">
        <f aca="false">IF($B5="","",INDEX(MASTER_DATABASE!$I$4:$I$1000,$B5)&amp;"")</f>
        <v>Authorization Required</v>
      </c>
      <c r="H5" s="7" t="str">
        <f aca="false">IF($B5="","",INDEX(MASTER_DATABASE!$L$4:$L$1000,$B5)&amp;"")</f>
        <v>To Verify</v>
      </c>
      <c r="I5" s="9" t="str">
        <f aca="false">IF($B5="","",INDEX(MASTER_DATABASE!$R$4:$R$1000,$B5))</f>
        <v>To Verify</v>
      </c>
      <c r="J5" s="9" t="str">
        <f aca="false">IF($B5="","",INDEX(MASTER_DATABASE!$S$4:$S$1000,$B5))</f>
        <v>To Verify</v>
      </c>
      <c r="K5" s="9" t="str">
        <f aca="false">IF($B5="","",INDEX(MASTER_DATABASE!$T$4:$T$1000,$B5))</f>
        <v>To Verify</v>
      </c>
      <c r="L5" s="7" t="str">
        <f aca="false">IF($B5="","",INDEX(MASTER_DATABASE!$U$4:$U$1000,$B5)&amp;"")</f>
        <v>To Verify</v>
      </c>
      <c r="M5" s="7" t="str">
        <f aca="false">IF($B5="","",INDEX(MASTER_DATABASE!$Q$4:$Q$1000,$B5)&amp;"")</f>
        <v>15–30 Minutes</v>
      </c>
      <c r="N5" s="7" t="str">
        <f aca="false">IF($B5="","",INDEX(MASTER_DATABASE!$AG$4:$AG$1000,$B5)&amp;"")</f>
        <v>To Verify</v>
      </c>
      <c r="O5" s="11" t="str">
        <f aca="false">IF($B5="","",INDEX(MASTER_DATABASE!$AH$4:$AH$1000,$B5)&amp;"")</f>
        <v>No</v>
      </c>
      <c r="P5" s="11" t="str">
        <f aca="false">IF($B5="","",INDEX(MASTER_DATABASE!$BE$4:$BE$1000,$B5)&amp;"")</f>
        <v>HIDDEN</v>
      </c>
      <c r="Q5" s="7" t="str">
        <f aca="false">IF($B5="","",INDEX(MASTER_DATABASE!$AV$4:$AV$1000,$B5)&amp;"")</f>
        <v>To Verify</v>
      </c>
    </row>
    <row r="6" customFormat="false" ht="15" hidden="false" customHeight="false" outlineLevel="0" collapsed="false">
      <c r="A6" s="11" t="n">
        <v>3</v>
      </c>
      <c r="B6" s="11" t="n">
        <f aca="false">IFERROR(MATCH("Travel / Ticketing|"&amp;$A6,MASTER_DATABASE!$BH$4:$BH$1000,0),"")</f>
        <v>286</v>
      </c>
      <c r="C6" s="11" t="str">
        <f aca="false">IF($B6="","",INDEX(MASTER_DATABASE!$A$4:$A$1000,$B6)&amp;"")</f>
        <v>TKT-003</v>
      </c>
      <c r="D6" s="7" t="str">
        <f aca="false">IF($B6="","",INDEX(MASTER_DATABASE!$D$4:$D$1000,$B6)&amp;"")</f>
        <v>Railway</v>
      </c>
      <c r="E6" s="7" t="str">
        <f aca="false">IF($B6="","",INDEX(MASTER_DATABASE!$E$4:$E$1000,$B6)&amp;"")</f>
        <v>PNR Status Check</v>
      </c>
      <c r="F6" s="7" t="str">
        <f aca="false">IF($B6="","",INDEX(MASTER_DATABASE!$F$4:$F$1000,$B6)&amp;"")</f>
        <v>PNR स्टेटस जाँच</v>
      </c>
      <c r="G6" s="11" t="str">
        <f aca="false">IF($B6="","",INDEX(MASTER_DATABASE!$I$4:$I$1000,$B6)&amp;"")</f>
        <v>Available</v>
      </c>
      <c r="H6" s="7" t="str">
        <f aca="false">IF($B6="","",INDEX(MASTER_DATABASE!$L$4:$L$1000,$B6)&amp;"")</f>
        <v>Not Applicable</v>
      </c>
      <c r="I6" s="9" t="str">
        <f aca="false">IF($B6="","",INDEX(MASTER_DATABASE!$R$4:$R$1000,$B6))</f>
        <v>To Verify</v>
      </c>
      <c r="J6" s="9" t="str">
        <f aca="false">IF($B6="","",INDEX(MASTER_DATABASE!$S$4:$S$1000,$B6))</f>
        <v>To Verify</v>
      </c>
      <c r="K6" s="9" t="str">
        <f aca="false">IF($B6="","",INDEX(MASTER_DATABASE!$T$4:$T$1000,$B6))</f>
        <v>To Verify</v>
      </c>
      <c r="L6" s="7" t="str">
        <f aca="false">IF($B6="","",INDEX(MASTER_DATABASE!$U$4:$U$1000,$B6)&amp;"")</f>
        <v>To Verify</v>
      </c>
      <c r="M6" s="7" t="str">
        <f aca="false">IF($B6="","",INDEX(MASTER_DATABASE!$Q$4:$Q$1000,$B6)&amp;"")</f>
        <v>15–30 Minutes</v>
      </c>
      <c r="N6" s="7" t="str">
        <f aca="false">IF($B6="","",INDEX(MASTER_DATABASE!$AG$4:$AG$1000,$B6)&amp;"")</f>
        <v>Active</v>
      </c>
      <c r="O6" s="11" t="str">
        <f aca="false">IF($B6="","",INDEX(MASTER_DATABASE!$AH$4:$AH$1000,$B6)&amp;"")</f>
        <v>Yes</v>
      </c>
      <c r="P6" s="11" t="str">
        <f aca="false">IF($B6="","",INDEX(MASTER_DATABASE!$BE$4:$BE$1000,$B6)&amp;"")</f>
        <v>LIVE</v>
      </c>
      <c r="Q6" s="7" t="str">
        <f aca="false">IF($B6="","",INDEX(MASTER_DATABASE!$AV$4:$AV$1000,$B6)&amp;"")</f>
        <v>To Verify</v>
      </c>
    </row>
    <row r="7" customFormat="false" ht="15" hidden="false" customHeight="false" outlineLevel="0" collapsed="false">
      <c r="A7" s="11" t="n">
        <v>4</v>
      </c>
      <c r="B7" s="11" t="n">
        <f aca="false">IFERROR(MATCH("Travel / Ticketing|"&amp;$A7,MASTER_DATABASE!$BH$4:$BH$1000,0),"")</f>
        <v>287</v>
      </c>
      <c r="C7" s="11" t="str">
        <f aca="false">IF($B7="","",INDEX(MASTER_DATABASE!$A$4:$A$1000,$B7)&amp;"")</f>
        <v>TKT-004</v>
      </c>
      <c r="D7" s="7" t="str">
        <f aca="false">IF($B7="","",INDEX(MASTER_DATABASE!$D$4:$D$1000,$B7)&amp;"")</f>
        <v>Railway</v>
      </c>
      <c r="E7" s="7" t="str">
        <f aca="false">IF($B7="","",INDEX(MASTER_DATABASE!$E$4:$E$1000,$B7)&amp;"")</f>
        <v>Train Running Status</v>
      </c>
      <c r="F7" s="7" t="str">
        <f aca="false">IF($B7="","",INDEX(MASTER_DATABASE!$F$4:$F$1000,$B7)&amp;"")</f>
        <v>ट्रेन रनिंग स्टेटस</v>
      </c>
      <c r="G7" s="11" t="str">
        <f aca="false">IF($B7="","",INDEX(MASTER_DATABASE!$I$4:$I$1000,$B7)&amp;"")</f>
        <v>Available</v>
      </c>
      <c r="H7" s="7" t="str">
        <f aca="false">IF($B7="","",INDEX(MASTER_DATABASE!$L$4:$L$1000,$B7)&amp;"")</f>
        <v>Not Applicable</v>
      </c>
      <c r="I7" s="9" t="str">
        <f aca="false">IF($B7="","",INDEX(MASTER_DATABASE!$R$4:$R$1000,$B7))</f>
        <v>To Verify</v>
      </c>
      <c r="J7" s="9" t="str">
        <f aca="false">IF($B7="","",INDEX(MASTER_DATABASE!$S$4:$S$1000,$B7))</f>
        <v>To Verify</v>
      </c>
      <c r="K7" s="9" t="str">
        <f aca="false">IF($B7="","",INDEX(MASTER_DATABASE!$T$4:$T$1000,$B7))</f>
        <v>To Verify</v>
      </c>
      <c r="L7" s="7" t="str">
        <f aca="false">IF($B7="","",INDEX(MASTER_DATABASE!$U$4:$U$1000,$B7)&amp;"")</f>
        <v>To Verify</v>
      </c>
      <c r="M7" s="7" t="str">
        <f aca="false">IF($B7="","",INDEX(MASTER_DATABASE!$Q$4:$Q$1000,$B7)&amp;"")</f>
        <v>15–30 Minutes</v>
      </c>
      <c r="N7" s="7" t="str">
        <f aca="false">IF($B7="","",INDEX(MASTER_DATABASE!$AG$4:$AG$1000,$B7)&amp;"")</f>
        <v>Active</v>
      </c>
      <c r="O7" s="11" t="str">
        <f aca="false">IF($B7="","",INDEX(MASTER_DATABASE!$AH$4:$AH$1000,$B7)&amp;"")</f>
        <v>Yes</v>
      </c>
      <c r="P7" s="11" t="str">
        <f aca="false">IF($B7="","",INDEX(MASTER_DATABASE!$BE$4:$BE$1000,$B7)&amp;"")</f>
        <v>LIVE</v>
      </c>
      <c r="Q7" s="7" t="str">
        <f aca="false">IF($B7="","",INDEX(MASTER_DATABASE!$AV$4:$AV$1000,$B7)&amp;"")</f>
        <v>To Verify</v>
      </c>
    </row>
    <row r="8" customFormat="false" ht="15" hidden="false" customHeight="false" outlineLevel="0" collapsed="false">
      <c r="A8" s="11" t="n">
        <v>5</v>
      </c>
      <c r="B8" s="11" t="n">
        <f aca="false">IFERROR(MATCH("Travel / Ticketing|"&amp;$A8,MASTER_DATABASE!$BH$4:$BH$1000,0),"")</f>
        <v>288</v>
      </c>
      <c r="C8" s="11" t="str">
        <f aca="false">IF($B8="","",INDEX(MASTER_DATABASE!$A$4:$A$1000,$B8)&amp;"")</f>
        <v>TKT-005</v>
      </c>
      <c r="D8" s="7" t="str">
        <f aca="false">IF($B8="","",INDEX(MASTER_DATABASE!$D$4:$D$1000,$B8)&amp;"")</f>
        <v>Railway</v>
      </c>
      <c r="E8" s="7" t="str">
        <f aca="false">IF($B8="","",INDEX(MASTER_DATABASE!$E$4:$E$1000,$B8)&amp;"")</f>
        <v>Railway Ticket Cancellation</v>
      </c>
      <c r="F8" s="7" t="str">
        <f aca="false">IF($B8="","",INDEX(MASTER_DATABASE!$F$4:$F$1000,$B8)&amp;"")</f>
        <v>रेलवे टिकट रद्द करना</v>
      </c>
      <c r="G8" s="11" t="str">
        <f aca="false">IF($B8="","",INDEX(MASTER_DATABASE!$I$4:$I$1000,$B8)&amp;"")</f>
        <v>Authorization Required</v>
      </c>
      <c r="H8" s="7" t="str">
        <f aca="false">IF($B8="","",INDEX(MASTER_DATABASE!$L$4:$L$1000,$B8)&amp;"")</f>
        <v>To Verify</v>
      </c>
      <c r="I8" s="9" t="str">
        <f aca="false">IF($B8="","",INDEX(MASTER_DATABASE!$R$4:$R$1000,$B8))</f>
        <v>To Verify</v>
      </c>
      <c r="J8" s="9" t="str">
        <f aca="false">IF($B8="","",INDEX(MASTER_DATABASE!$S$4:$S$1000,$B8))</f>
        <v>To Verify</v>
      </c>
      <c r="K8" s="9" t="str">
        <f aca="false">IF($B8="","",INDEX(MASTER_DATABASE!$T$4:$T$1000,$B8))</f>
        <v>To Verify</v>
      </c>
      <c r="L8" s="7" t="str">
        <f aca="false">IF($B8="","",INDEX(MASTER_DATABASE!$U$4:$U$1000,$B8)&amp;"")</f>
        <v>To Verify</v>
      </c>
      <c r="M8" s="7" t="str">
        <f aca="false">IF($B8="","",INDEX(MASTER_DATABASE!$Q$4:$Q$1000,$B8)&amp;"")</f>
        <v>15–30 Minutes</v>
      </c>
      <c r="N8" s="7" t="str">
        <f aca="false">IF($B8="","",INDEX(MASTER_DATABASE!$AG$4:$AG$1000,$B8)&amp;"")</f>
        <v>To Verify</v>
      </c>
      <c r="O8" s="11" t="str">
        <f aca="false">IF($B8="","",INDEX(MASTER_DATABASE!$AH$4:$AH$1000,$B8)&amp;"")</f>
        <v>No</v>
      </c>
      <c r="P8" s="11" t="str">
        <f aca="false">IF($B8="","",INDEX(MASTER_DATABASE!$BE$4:$BE$1000,$B8)&amp;"")</f>
        <v>HIDDEN</v>
      </c>
      <c r="Q8" s="7" t="str">
        <f aca="false">IF($B8="","",INDEX(MASTER_DATABASE!$AV$4:$AV$1000,$B8)&amp;"")</f>
        <v>To Verify</v>
      </c>
    </row>
    <row r="9" customFormat="false" ht="15" hidden="false" customHeight="false" outlineLevel="0" collapsed="false">
      <c r="A9" s="11" t="n">
        <v>6</v>
      </c>
      <c r="B9" s="11" t="n">
        <f aca="false">IFERROR(MATCH("Travel / Ticketing|"&amp;$A9,MASTER_DATABASE!$BH$4:$BH$1000,0),"")</f>
        <v>289</v>
      </c>
      <c r="C9" s="11" t="str">
        <f aca="false">IF($B9="","",INDEX(MASTER_DATABASE!$A$4:$A$1000,$B9)&amp;"")</f>
        <v>TKT-006</v>
      </c>
      <c r="D9" s="7" t="str">
        <f aca="false">IF($B9="","",INDEX(MASTER_DATABASE!$D$4:$D$1000,$B9)&amp;"")</f>
        <v>Railway</v>
      </c>
      <c r="E9" s="7" t="str">
        <f aca="false">IF($B9="","",INDEX(MASTER_DATABASE!$E$4:$E$1000,$B9)&amp;"")</f>
        <v>Railway Refund Status Check</v>
      </c>
      <c r="F9" s="7" t="str">
        <f aca="false">IF($B9="","",INDEX(MASTER_DATABASE!$F$4:$F$1000,$B9)&amp;"")</f>
        <v>रेलवे रिफंड स्टेटस जाँच</v>
      </c>
      <c r="G9" s="11" t="str">
        <f aca="false">IF($B9="","",INDEX(MASTER_DATABASE!$I$4:$I$1000,$B9)&amp;"")</f>
        <v>To Verify</v>
      </c>
      <c r="H9" s="7" t="str">
        <f aca="false">IF($B9="","",INDEX(MASTER_DATABASE!$L$4:$L$1000,$B9)&amp;"")</f>
        <v>To Verify</v>
      </c>
      <c r="I9" s="9" t="str">
        <f aca="false">IF($B9="","",INDEX(MASTER_DATABASE!$R$4:$R$1000,$B9))</f>
        <v>To Verify</v>
      </c>
      <c r="J9" s="9" t="str">
        <f aca="false">IF($B9="","",INDEX(MASTER_DATABASE!$S$4:$S$1000,$B9))</f>
        <v>To Verify</v>
      </c>
      <c r="K9" s="9" t="str">
        <f aca="false">IF($B9="","",INDEX(MASTER_DATABASE!$T$4:$T$1000,$B9))</f>
        <v>To Verify</v>
      </c>
      <c r="L9" s="7" t="str">
        <f aca="false">IF($B9="","",INDEX(MASTER_DATABASE!$U$4:$U$1000,$B9)&amp;"")</f>
        <v>To Verify</v>
      </c>
      <c r="M9" s="7" t="str">
        <f aca="false">IF($B9="","",INDEX(MASTER_DATABASE!$Q$4:$Q$1000,$B9)&amp;"")</f>
        <v>15–30 Minutes</v>
      </c>
      <c r="N9" s="7" t="str">
        <f aca="false">IF($B9="","",INDEX(MASTER_DATABASE!$AG$4:$AG$1000,$B9)&amp;"")</f>
        <v>To Verify</v>
      </c>
      <c r="O9" s="11" t="str">
        <f aca="false">IF($B9="","",INDEX(MASTER_DATABASE!$AH$4:$AH$1000,$B9)&amp;"")</f>
        <v>No</v>
      </c>
      <c r="P9" s="11" t="str">
        <f aca="false">IF($B9="","",INDEX(MASTER_DATABASE!$BE$4:$BE$1000,$B9)&amp;"")</f>
        <v>HIDDEN</v>
      </c>
      <c r="Q9" s="7" t="str">
        <f aca="false">IF($B9="","",INDEX(MASTER_DATABASE!$AV$4:$AV$1000,$B9)&amp;"")</f>
        <v>To Verify</v>
      </c>
    </row>
    <row r="10" customFormat="false" ht="15" hidden="false" customHeight="false" outlineLevel="0" collapsed="false">
      <c r="A10" s="11" t="n">
        <v>7</v>
      </c>
      <c r="B10" s="11" t="n">
        <f aca="false">IFERROR(MATCH("Travel / Ticketing|"&amp;$A10,MASTER_DATABASE!$BH$4:$BH$1000,0),"")</f>
        <v>290</v>
      </c>
      <c r="C10" s="11" t="str">
        <f aca="false">IF($B10="","",INDEX(MASTER_DATABASE!$A$4:$A$1000,$B10)&amp;"")</f>
        <v>TKT-007</v>
      </c>
      <c r="D10" s="7" t="str">
        <f aca="false">IF($B10="","",INDEX(MASTER_DATABASE!$D$4:$D$1000,$B10)&amp;"")</f>
        <v>Bus &amp; Other Travel</v>
      </c>
      <c r="E10" s="7" t="str">
        <f aca="false">IF($B10="","",INDEX(MASTER_DATABASE!$E$4:$E$1000,$B10)&amp;"")</f>
        <v>Bus Ticket Booking</v>
      </c>
      <c r="F10" s="7" t="str">
        <f aca="false">IF($B10="","",INDEX(MASTER_DATABASE!$F$4:$F$1000,$B10)&amp;"")</f>
        <v>बस टिकट बुकिंग</v>
      </c>
      <c r="G10" s="11" t="str">
        <f aca="false">IF($B10="","",INDEX(MASTER_DATABASE!$I$4:$I$1000,$B10)&amp;"")</f>
        <v>To Verify</v>
      </c>
      <c r="H10" s="7" t="str">
        <f aca="false">IF($B10="","",INDEX(MASTER_DATABASE!$L$4:$L$1000,$B10)&amp;"")</f>
        <v>To Verify</v>
      </c>
      <c r="I10" s="9" t="str">
        <f aca="false">IF($B10="","",INDEX(MASTER_DATABASE!$R$4:$R$1000,$B10))</f>
        <v>To Verify</v>
      </c>
      <c r="J10" s="9" t="str">
        <f aca="false">IF($B10="","",INDEX(MASTER_DATABASE!$S$4:$S$1000,$B10))</f>
        <v>To Verify</v>
      </c>
      <c r="K10" s="9" t="str">
        <f aca="false">IF($B10="","",INDEX(MASTER_DATABASE!$T$4:$T$1000,$B10))</f>
        <v>To Verify</v>
      </c>
      <c r="L10" s="7" t="str">
        <f aca="false">IF($B10="","",INDEX(MASTER_DATABASE!$U$4:$U$1000,$B10)&amp;"")</f>
        <v>To Verify</v>
      </c>
      <c r="M10" s="7" t="str">
        <f aca="false">IF($B10="","",INDEX(MASTER_DATABASE!$Q$4:$Q$1000,$B10)&amp;"")</f>
        <v>15–30 Minutes</v>
      </c>
      <c r="N10" s="7" t="str">
        <f aca="false">IF($B10="","",INDEX(MASTER_DATABASE!$AG$4:$AG$1000,$B10)&amp;"")</f>
        <v>To Verify</v>
      </c>
      <c r="O10" s="11" t="str">
        <f aca="false">IF($B10="","",INDEX(MASTER_DATABASE!$AH$4:$AH$1000,$B10)&amp;"")</f>
        <v>No</v>
      </c>
      <c r="P10" s="11" t="str">
        <f aca="false">IF($B10="","",INDEX(MASTER_DATABASE!$BE$4:$BE$1000,$B10)&amp;"")</f>
        <v>HIDDEN</v>
      </c>
      <c r="Q10" s="7" t="str">
        <f aca="false">IF($B10="","",INDEX(MASTER_DATABASE!$AV$4:$AV$1000,$B10)&amp;"")</f>
        <v>To Verify</v>
      </c>
    </row>
    <row r="11" customFormat="false" ht="15" hidden="false" customHeight="false" outlineLevel="0" collapsed="false">
      <c r="A11" s="11" t="n">
        <v>8</v>
      </c>
      <c r="B11" s="11" t="n">
        <f aca="false">IFERROR(MATCH("Travel / Ticketing|"&amp;$A11,MASTER_DATABASE!$BH$4:$BH$1000,0),"")</f>
        <v>291</v>
      </c>
      <c r="C11" s="11" t="str">
        <f aca="false">IF($B11="","",INDEX(MASTER_DATABASE!$A$4:$A$1000,$B11)&amp;"")</f>
        <v>TKT-008</v>
      </c>
      <c r="D11" s="7" t="str">
        <f aca="false">IF($B11="","",INDEX(MASTER_DATABASE!$D$4:$D$1000,$B11)&amp;"")</f>
        <v>Bus &amp; Other Travel</v>
      </c>
      <c r="E11" s="7" t="str">
        <f aca="false">IF($B11="","",INDEX(MASTER_DATABASE!$E$4:$E$1000,$B11)&amp;"")</f>
        <v>Bus Ticket Cancellation</v>
      </c>
      <c r="F11" s="7" t="str">
        <f aca="false">IF($B11="","",INDEX(MASTER_DATABASE!$F$4:$F$1000,$B11)&amp;"")</f>
        <v>बस टिकट रद्द करना</v>
      </c>
      <c r="G11" s="11" t="str">
        <f aca="false">IF($B11="","",INDEX(MASTER_DATABASE!$I$4:$I$1000,$B11)&amp;"")</f>
        <v>To Verify</v>
      </c>
      <c r="H11" s="7" t="str">
        <f aca="false">IF($B11="","",INDEX(MASTER_DATABASE!$L$4:$L$1000,$B11)&amp;"")</f>
        <v>To Verify</v>
      </c>
      <c r="I11" s="9" t="str">
        <f aca="false">IF($B11="","",INDEX(MASTER_DATABASE!$R$4:$R$1000,$B11))</f>
        <v>To Verify</v>
      </c>
      <c r="J11" s="9" t="str">
        <f aca="false">IF($B11="","",INDEX(MASTER_DATABASE!$S$4:$S$1000,$B11))</f>
        <v>To Verify</v>
      </c>
      <c r="K11" s="9" t="str">
        <f aca="false">IF($B11="","",INDEX(MASTER_DATABASE!$T$4:$T$1000,$B11))</f>
        <v>To Verify</v>
      </c>
      <c r="L11" s="7" t="str">
        <f aca="false">IF($B11="","",INDEX(MASTER_DATABASE!$U$4:$U$1000,$B11)&amp;"")</f>
        <v>To Verify</v>
      </c>
      <c r="M11" s="7" t="str">
        <f aca="false">IF($B11="","",INDEX(MASTER_DATABASE!$Q$4:$Q$1000,$B11)&amp;"")</f>
        <v>15–30 Minutes</v>
      </c>
      <c r="N11" s="7" t="str">
        <f aca="false">IF($B11="","",INDEX(MASTER_DATABASE!$AG$4:$AG$1000,$B11)&amp;"")</f>
        <v>To Verify</v>
      </c>
      <c r="O11" s="11" t="str">
        <f aca="false">IF($B11="","",INDEX(MASTER_DATABASE!$AH$4:$AH$1000,$B11)&amp;"")</f>
        <v>No</v>
      </c>
      <c r="P11" s="11" t="str">
        <f aca="false">IF($B11="","",INDEX(MASTER_DATABASE!$BE$4:$BE$1000,$B11)&amp;"")</f>
        <v>HIDDEN</v>
      </c>
      <c r="Q11" s="7" t="str">
        <f aca="false">IF($B11="","",INDEX(MASTER_DATABASE!$AV$4:$AV$1000,$B11)&amp;"")</f>
        <v>To Verify</v>
      </c>
    </row>
    <row r="12" customFormat="false" ht="15" hidden="false" customHeight="false" outlineLevel="0" collapsed="false">
      <c r="A12" s="11" t="n">
        <v>9</v>
      </c>
      <c r="B12" s="11" t="n">
        <f aca="false">IFERROR(MATCH("Travel / Ticketing|"&amp;$A12,MASTER_DATABASE!$BH$4:$BH$1000,0),"")</f>
        <v>292</v>
      </c>
      <c r="C12" s="11" t="str">
        <f aca="false">IF($B12="","",INDEX(MASTER_DATABASE!$A$4:$A$1000,$B12)&amp;"")</f>
        <v>TKT-009</v>
      </c>
      <c r="D12" s="7" t="str">
        <f aca="false">IF($B12="","",INDEX(MASTER_DATABASE!$D$4:$D$1000,$B12)&amp;"")</f>
        <v>Bus &amp; Other Travel</v>
      </c>
      <c r="E12" s="7" t="str">
        <f aca="false">IF($B12="","",INDEX(MASTER_DATABASE!$E$4:$E$1000,$B12)&amp;"")</f>
        <v>Flight Ticket Booking</v>
      </c>
      <c r="F12" s="7" t="str">
        <f aca="false">IF($B12="","",INDEX(MASTER_DATABASE!$F$4:$F$1000,$B12)&amp;"")</f>
        <v>हवाई टिकट बुकिंग</v>
      </c>
      <c r="G12" s="11" t="str">
        <f aca="false">IF($B12="","",INDEX(MASTER_DATABASE!$I$4:$I$1000,$B12)&amp;"")</f>
        <v>To Verify</v>
      </c>
      <c r="H12" s="7" t="str">
        <f aca="false">IF($B12="","",INDEX(MASTER_DATABASE!$L$4:$L$1000,$B12)&amp;"")</f>
        <v>To Verify</v>
      </c>
      <c r="I12" s="9" t="str">
        <f aca="false">IF($B12="","",INDEX(MASTER_DATABASE!$R$4:$R$1000,$B12))</f>
        <v>To Verify</v>
      </c>
      <c r="J12" s="9" t="str">
        <f aca="false">IF($B12="","",INDEX(MASTER_DATABASE!$S$4:$S$1000,$B12))</f>
        <v>To Verify</v>
      </c>
      <c r="K12" s="9" t="str">
        <f aca="false">IF($B12="","",INDEX(MASTER_DATABASE!$T$4:$T$1000,$B12))</f>
        <v>To Verify</v>
      </c>
      <c r="L12" s="7" t="str">
        <f aca="false">IF($B12="","",INDEX(MASTER_DATABASE!$U$4:$U$1000,$B12)&amp;"")</f>
        <v>To Verify</v>
      </c>
      <c r="M12" s="7" t="str">
        <f aca="false">IF($B12="","",INDEX(MASTER_DATABASE!$Q$4:$Q$1000,$B12)&amp;"")</f>
        <v>15–30 Minutes</v>
      </c>
      <c r="N12" s="7" t="str">
        <f aca="false">IF($B12="","",INDEX(MASTER_DATABASE!$AG$4:$AG$1000,$B12)&amp;"")</f>
        <v>To Verify</v>
      </c>
      <c r="O12" s="11" t="str">
        <f aca="false">IF($B12="","",INDEX(MASTER_DATABASE!$AH$4:$AH$1000,$B12)&amp;"")</f>
        <v>No</v>
      </c>
      <c r="P12" s="11" t="str">
        <f aca="false">IF($B12="","",INDEX(MASTER_DATABASE!$BE$4:$BE$1000,$B12)&amp;"")</f>
        <v>HIDDEN</v>
      </c>
      <c r="Q12" s="7" t="str">
        <f aca="false">IF($B12="","",INDEX(MASTER_DATABASE!$AV$4:$AV$1000,$B12)&amp;"")</f>
        <v>To Verify</v>
      </c>
    </row>
    <row r="13" customFormat="false" ht="15" hidden="false" customHeight="false" outlineLevel="0" collapsed="false">
      <c r="A13" s="11" t="n">
        <v>10</v>
      </c>
      <c r="B13" s="11" t="str">
        <f aca="false">IFERROR(MATCH("Travel / Ticketing|"&amp;$A13,MASTER_DATABASE!$BH$4:$BH$1000,0),"")</f>
        <v/>
      </c>
      <c r="C13" s="11" t="str">
        <f aca="false">IF($B13="","",INDEX(MASTER_DATABASE!$A$4:$A$1000,$B13)&amp;"")</f>
        <v/>
      </c>
      <c r="D13" s="7" t="str">
        <f aca="false">IF($B13="","",INDEX(MASTER_DATABASE!$D$4:$D$1000,$B13)&amp;"")</f>
        <v/>
      </c>
      <c r="E13" s="7" t="str">
        <f aca="false">IF($B13="","",INDEX(MASTER_DATABASE!$E$4:$E$1000,$B13)&amp;"")</f>
        <v/>
      </c>
      <c r="F13" s="7" t="str">
        <f aca="false">IF($B13="","",INDEX(MASTER_DATABASE!$F$4:$F$1000,$B13)&amp;"")</f>
        <v/>
      </c>
      <c r="G13" s="11" t="str">
        <f aca="false">IF($B13="","",INDEX(MASTER_DATABASE!$I$4:$I$1000,$B13)&amp;"")</f>
        <v/>
      </c>
      <c r="H13" s="7" t="str">
        <f aca="false">IF($B13="","",INDEX(MASTER_DATABASE!$L$4:$L$1000,$B13)&amp;"")</f>
        <v/>
      </c>
      <c r="I13" s="9" t="str">
        <f aca="false">IF($B13="","",INDEX(MASTER_DATABASE!$R$4:$R$1000,$B13))</f>
        <v/>
      </c>
      <c r="J13" s="9" t="str">
        <f aca="false">IF($B13="","",INDEX(MASTER_DATABASE!$S$4:$S$1000,$B13))</f>
        <v/>
      </c>
      <c r="K13" s="9" t="str">
        <f aca="false">IF($B13="","",INDEX(MASTER_DATABASE!$T$4:$T$1000,$B13))</f>
        <v/>
      </c>
      <c r="L13" s="7" t="str">
        <f aca="false">IF($B13="","",INDEX(MASTER_DATABASE!$U$4:$U$1000,$B13)&amp;"")</f>
        <v/>
      </c>
      <c r="M13" s="7" t="str">
        <f aca="false">IF($B13="","",INDEX(MASTER_DATABASE!$Q$4:$Q$1000,$B13)&amp;"")</f>
        <v/>
      </c>
      <c r="N13" s="7" t="str">
        <f aca="false">IF($B13="","",INDEX(MASTER_DATABASE!$AG$4:$AG$1000,$B13)&amp;"")</f>
        <v/>
      </c>
      <c r="O13" s="11" t="str">
        <f aca="false">IF($B13="","",INDEX(MASTER_DATABASE!$AH$4:$AH$1000,$B13)&amp;"")</f>
        <v/>
      </c>
      <c r="P13" s="11" t="str">
        <f aca="false">IF($B13="","",INDEX(MASTER_DATABASE!$BE$4:$BE$1000,$B13)&amp;"")</f>
        <v/>
      </c>
      <c r="Q13" s="7" t="str">
        <f aca="false">IF($B13="","",INDEX(MASTER_DATABASE!$AV$4:$AV$1000,$B13)&amp;"")</f>
        <v/>
      </c>
    </row>
    <row r="14" customFormat="false" ht="15" hidden="false" customHeight="false" outlineLevel="0" collapsed="false">
      <c r="A14" s="11" t="n">
        <v>11</v>
      </c>
      <c r="B14" s="11" t="str">
        <f aca="false">IFERROR(MATCH("Travel / Ticketing|"&amp;$A14,MASTER_DATABASE!$BH$4:$BH$1000,0),"")</f>
        <v/>
      </c>
      <c r="C14" s="11" t="str">
        <f aca="false">IF($B14="","",INDEX(MASTER_DATABASE!$A$4:$A$1000,$B14)&amp;"")</f>
        <v/>
      </c>
      <c r="D14" s="7" t="str">
        <f aca="false">IF($B14="","",INDEX(MASTER_DATABASE!$D$4:$D$1000,$B14)&amp;"")</f>
        <v/>
      </c>
      <c r="E14" s="7" t="str">
        <f aca="false">IF($B14="","",INDEX(MASTER_DATABASE!$E$4:$E$1000,$B14)&amp;"")</f>
        <v/>
      </c>
      <c r="F14" s="7" t="str">
        <f aca="false">IF($B14="","",INDEX(MASTER_DATABASE!$F$4:$F$1000,$B14)&amp;"")</f>
        <v/>
      </c>
      <c r="G14" s="11" t="str">
        <f aca="false">IF($B14="","",INDEX(MASTER_DATABASE!$I$4:$I$1000,$B14)&amp;"")</f>
        <v/>
      </c>
      <c r="H14" s="7" t="str">
        <f aca="false">IF($B14="","",INDEX(MASTER_DATABASE!$L$4:$L$1000,$B14)&amp;"")</f>
        <v/>
      </c>
      <c r="I14" s="9" t="str">
        <f aca="false">IF($B14="","",INDEX(MASTER_DATABASE!$R$4:$R$1000,$B14))</f>
        <v/>
      </c>
      <c r="J14" s="9" t="str">
        <f aca="false">IF($B14="","",INDEX(MASTER_DATABASE!$S$4:$S$1000,$B14))</f>
        <v/>
      </c>
      <c r="K14" s="9" t="str">
        <f aca="false">IF($B14="","",INDEX(MASTER_DATABASE!$T$4:$T$1000,$B14))</f>
        <v/>
      </c>
      <c r="L14" s="7" t="str">
        <f aca="false">IF($B14="","",INDEX(MASTER_DATABASE!$U$4:$U$1000,$B14)&amp;"")</f>
        <v/>
      </c>
      <c r="M14" s="7" t="str">
        <f aca="false">IF($B14="","",INDEX(MASTER_DATABASE!$Q$4:$Q$1000,$B14)&amp;"")</f>
        <v/>
      </c>
      <c r="N14" s="7" t="str">
        <f aca="false">IF($B14="","",INDEX(MASTER_DATABASE!$AG$4:$AG$1000,$B14)&amp;"")</f>
        <v/>
      </c>
      <c r="O14" s="11" t="str">
        <f aca="false">IF($B14="","",INDEX(MASTER_DATABASE!$AH$4:$AH$1000,$B14)&amp;"")</f>
        <v/>
      </c>
      <c r="P14" s="11" t="str">
        <f aca="false">IF($B14="","",INDEX(MASTER_DATABASE!$BE$4:$BE$1000,$B14)&amp;"")</f>
        <v/>
      </c>
      <c r="Q14" s="7" t="str">
        <f aca="false">IF($B14="","",INDEX(MASTER_DATABASE!$AV$4:$AV$1000,$B14)&amp;"")</f>
        <v/>
      </c>
    </row>
    <row r="15" customFormat="false" ht="15" hidden="false" customHeight="false" outlineLevel="0" collapsed="false">
      <c r="A15" s="11" t="n">
        <v>12</v>
      </c>
      <c r="B15" s="11" t="str">
        <f aca="false">IFERROR(MATCH("Travel / Ticketing|"&amp;$A15,MASTER_DATABASE!$BH$4:$BH$1000,0),"")</f>
        <v/>
      </c>
      <c r="C15" s="11" t="str">
        <f aca="false">IF($B15="","",INDEX(MASTER_DATABASE!$A$4:$A$1000,$B15)&amp;"")</f>
        <v/>
      </c>
      <c r="D15" s="7" t="str">
        <f aca="false">IF($B15="","",INDEX(MASTER_DATABASE!$D$4:$D$1000,$B15)&amp;"")</f>
        <v/>
      </c>
      <c r="E15" s="7" t="str">
        <f aca="false">IF($B15="","",INDEX(MASTER_DATABASE!$E$4:$E$1000,$B15)&amp;"")</f>
        <v/>
      </c>
      <c r="F15" s="7" t="str">
        <f aca="false">IF($B15="","",INDEX(MASTER_DATABASE!$F$4:$F$1000,$B15)&amp;"")</f>
        <v/>
      </c>
      <c r="G15" s="11" t="str">
        <f aca="false">IF($B15="","",INDEX(MASTER_DATABASE!$I$4:$I$1000,$B15)&amp;"")</f>
        <v/>
      </c>
      <c r="H15" s="7" t="str">
        <f aca="false">IF($B15="","",INDEX(MASTER_DATABASE!$L$4:$L$1000,$B15)&amp;"")</f>
        <v/>
      </c>
      <c r="I15" s="9" t="str">
        <f aca="false">IF($B15="","",INDEX(MASTER_DATABASE!$R$4:$R$1000,$B15))</f>
        <v/>
      </c>
      <c r="J15" s="9" t="str">
        <f aca="false">IF($B15="","",INDEX(MASTER_DATABASE!$S$4:$S$1000,$B15))</f>
        <v/>
      </c>
      <c r="K15" s="9" t="str">
        <f aca="false">IF($B15="","",INDEX(MASTER_DATABASE!$T$4:$T$1000,$B15))</f>
        <v/>
      </c>
      <c r="L15" s="7" t="str">
        <f aca="false">IF($B15="","",INDEX(MASTER_DATABASE!$U$4:$U$1000,$B15)&amp;"")</f>
        <v/>
      </c>
      <c r="M15" s="7" t="str">
        <f aca="false">IF($B15="","",INDEX(MASTER_DATABASE!$Q$4:$Q$1000,$B15)&amp;"")</f>
        <v/>
      </c>
      <c r="N15" s="7" t="str">
        <f aca="false">IF($B15="","",INDEX(MASTER_DATABASE!$AG$4:$AG$1000,$B15)&amp;"")</f>
        <v/>
      </c>
      <c r="O15" s="11" t="str">
        <f aca="false">IF($B15="","",INDEX(MASTER_DATABASE!$AH$4:$AH$1000,$B15)&amp;"")</f>
        <v/>
      </c>
      <c r="P15" s="11" t="str">
        <f aca="false">IF($B15="","",INDEX(MASTER_DATABASE!$BE$4:$BE$1000,$B15)&amp;"")</f>
        <v/>
      </c>
      <c r="Q15" s="7" t="str">
        <f aca="false">IF($B15="","",INDEX(MASTER_DATABASE!$AV$4:$AV$1000,$B15)&amp;"")</f>
        <v/>
      </c>
    </row>
    <row r="16" customFormat="false" ht="15" hidden="false" customHeight="false" outlineLevel="0" collapsed="false">
      <c r="A16" s="11" t="n">
        <v>13</v>
      </c>
      <c r="B16" s="11" t="str">
        <f aca="false">IFERROR(MATCH("Travel / Ticketing|"&amp;$A16,MASTER_DATABASE!$BH$4:$BH$1000,0),"")</f>
        <v/>
      </c>
      <c r="C16" s="11" t="str">
        <f aca="false">IF($B16="","",INDEX(MASTER_DATABASE!$A$4:$A$1000,$B16)&amp;"")</f>
        <v/>
      </c>
      <c r="D16" s="7" t="str">
        <f aca="false">IF($B16="","",INDEX(MASTER_DATABASE!$D$4:$D$1000,$B16)&amp;"")</f>
        <v/>
      </c>
      <c r="E16" s="7" t="str">
        <f aca="false">IF($B16="","",INDEX(MASTER_DATABASE!$E$4:$E$1000,$B16)&amp;"")</f>
        <v/>
      </c>
      <c r="F16" s="7" t="str">
        <f aca="false">IF($B16="","",INDEX(MASTER_DATABASE!$F$4:$F$1000,$B16)&amp;"")</f>
        <v/>
      </c>
      <c r="G16" s="11" t="str">
        <f aca="false">IF($B16="","",INDEX(MASTER_DATABASE!$I$4:$I$1000,$B16)&amp;"")</f>
        <v/>
      </c>
      <c r="H16" s="7" t="str">
        <f aca="false">IF($B16="","",INDEX(MASTER_DATABASE!$L$4:$L$1000,$B16)&amp;"")</f>
        <v/>
      </c>
      <c r="I16" s="9" t="str">
        <f aca="false">IF($B16="","",INDEX(MASTER_DATABASE!$R$4:$R$1000,$B16))</f>
        <v/>
      </c>
      <c r="J16" s="9" t="str">
        <f aca="false">IF($B16="","",INDEX(MASTER_DATABASE!$S$4:$S$1000,$B16))</f>
        <v/>
      </c>
      <c r="K16" s="9" t="str">
        <f aca="false">IF($B16="","",INDEX(MASTER_DATABASE!$T$4:$T$1000,$B16))</f>
        <v/>
      </c>
      <c r="L16" s="7" t="str">
        <f aca="false">IF($B16="","",INDEX(MASTER_DATABASE!$U$4:$U$1000,$B16)&amp;"")</f>
        <v/>
      </c>
      <c r="M16" s="7" t="str">
        <f aca="false">IF($B16="","",INDEX(MASTER_DATABASE!$Q$4:$Q$1000,$B16)&amp;"")</f>
        <v/>
      </c>
      <c r="N16" s="7" t="str">
        <f aca="false">IF($B16="","",INDEX(MASTER_DATABASE!$AG$4:$AG$1000,$B16)&amp;"")</f>
        <v/>
      </c>
      <c r="O16" s="11" t="str">
        <f aca="false">IF($B16="","",INDEX(MASTER_DATABASE!$AH$4:$AH$1000,$B16)&amp;"")</f>
        <v/>
      </c>
      <c r="P16" s="11" t="str">
        <f aca="false">IF($B16="","",INDEX(MASTER_DATABASE!$BE$4:$BE$1000,$B16)&amp;"")</f>
        <v/>
      </c>
      <c r="Q16" s="7" t="str">
        <f aca="false">IF($B16="","",INDEX(MASTER_DATABASE!$AV$4:$AV$1000,$B16)&amp;"")</f>
        <v/>
      </c>
    </row>
    <row r="17" customFormat="false" ht="15" hidden="false" customHeight="false" outlineLevel="0" collapsed="false">
      <c r="A17" s="11" t="n">
        <v>14</v>
      </c>
      <c r="B17" s="11" t="str">
        <f aca="false">IFERROR(MATCH("Travel / Ticketing|"&amp;$A17,MASTER_DATABASE!$BH$4:$BH$1000,0),"")</f>
        <v/>
      </c>
      <c r="C17" s="11" t="str">
        <f aca="false">IF($B17="","",INDEX(MASTER_DATABASE!$A$4:$A$1000,$B17)&amp;"")</f>
        <v/>
      </c>
      <c r="D17" s="7" t="str">
        <f aca="false">IF($B17="","",INDEX(MASTER_DATABASE!$D$4:$D$1000,$B17)&amp;"")</f>
        <v/>
      </c>
      <c r="E17" s="7" t="str">
        <f aca="false">IF($B17="","",INDEX(MASTER_DATABASE!$E$4:$E$1000,$B17)&amp;"")</f>
        <v/>
      </c>
      <c r="F17" s="7" t="str">
        <f aca="false">IF($B17="","",INDEX(MASTER_DATABASE!$F$4:$F$1000,$B17)&amp;"")</f>
        <v/>
      </c>
      <c r="G17" s="11" t="str">
        <f aca="false">IF($B17="","",INDEX(MASTER_DATABASE!$I$4:$I$1000,$B17)&amp;"")</f>
        <v/>
      </c>
      <c r="H17" s="7" t="str">
        <f aca="false">IF($B17="","",INDEX(MASTER_DATABASE!$L$4:$L$1000,$B17)&amp;"")</f>
        <v/>
      </c>
      <c r="I17" s="9" t="str">
        <f aca="false">IF($B17="","",INDEX(MASTER_DATABASE!$R$4:$R$1000,$B17))</f>
        <v/>
      </c>
      <c r="J17" s="9" t="str">
        <f aca="false">IF($B17="","",INDEX(MASTER_DATABASE!$S$4:$S$1000,$B17))</f>
        <v/>
      </c>
      <c r="K17" s="9" t="str">
        <f aca="false">IF($B17="","",INDEX(MASTER_DATABASE!$T$4:$T$1000,$B17))</f>
        <v/>
      </c>
      <c r="L17" s="7" t="str">
        <f aca="false">IF($B17="","",INDEX(MASTER_DATABASE!$U$4:$U$1000,$B17)&amp;"")</f>
        <v/>
      </c>
      <c r="M17" s="7" t="str">
        <f aca="false">IF($B17="","",INDEX(MASTER_DATABASE!$Q$4:$Q$1000,$B17)&amp;"")</f>
        <v/>
      </c>
      <c r="N17" s="7" t="str">
        <f aca="false">IF($B17="","",INDEX(MASTER_DATABASE!$AG$4:$AG$1000,$B17)&amp;"")</f>
        <v/>
      </c>
      <c r="O17" s="11" t="str">
        <f aca="false">IF($B17="","",INDEX(MASTER_DATABASE!$AH$4:$AH$1000,$B17)&amp;"")</f>
        <v/>
      </c>
      <c r="P17" s="11" t="str">
        <f aca="false">IF($B17="","",INDEX(MASTER_DATABASE!$BE$4:$BE$1000,$B17)&amp;"")</f>
        <v/>
      </c>
      <c r="Q17" s="7" t="str">
        <f aca="false">IF($B17="","",INDEX(MASTER_DATABASE!$AV$4:$AV$1000,$B17)&amp;"")</f>
        <v/>
      </c>
    </row>
    <row r="18" customFormat="false" ht="15" hidden="false" customHeight="false" outlineLevel="0" collapsed="false">
      <c r="A18" s="11" t="n">
        <v>15</v>
      </c>
      <c r="B18" s="11" t="str">
        <f aca="false">IFERROR(MATCH("Travel / Ticketing|"&amp;$A18,MASTER_DATABASE!$BH$4:$BH$1000,0),"")</f>
        <v/>
      </c>
      <c r="C18" s="11" t="str">
        <f aca="false">IF($B18="","",INDEX(MASTER_DATABASE!$A$4:$A$1000,$B18)&amp;"")</f>
        <v/>
      </c>
      <c r="D18" s="7" t="str">
        <f aca="false">IF($B18="","",INDEX(MASTER_DATABASE!$D$4:$D$1000,$B18)&amp;"")</f>
        <v/>
      </c>
      <c r="E18" s="7" t="str">
        <f aca="false">IF($B18="","",INDEX(MASTER_DATABASE!$E$4:$E$1000,$B18)&amp;"")</f>
        <v/>
      </c>
      <c r="F18" s="7" t="str">
        <f aca="false">IF($B18="","",INDEX(MASTER_DATABASE!$F$4:$F$1000,$B18)&amp;"")</f>
        <v/>
      </c>
      <c r="G18" s="11" t="str">
        <f aca="false">IF($B18="","",INDEX(MASTER_DATABASE!$I$4:$I$1000,$B18)&amp;"")</f>
        <v/>
      </c>
      <c r="H18" s="7" t="str">
        <f aca="false">IF($B18="","",INDEX(MASTER_DATABASE!$L$4:$L$1000,$B18)&amp;"")</f>
        <v/>
      </c>
      <c r="I18" s="9" t="str">
        <f aca="false">IF($B18="","",INDEX(MASTER_DATABASE!$R$4:$R$1000,$B18))</f>
        <v/>
      </c>
      <c r="J18" s="9" t="str">
        <f aca="false">IF($B18="","",INDEX(MASTER_DATABASE!$S$4:$S$1000,$B18))</f>
        <v/>
      </c>
      <c r="K18" s="9" t="str">
        <f aca="false">IF($B18="","",INDEX(MASTER_DATABASE!$T$4:$T$1000,$B18))</f>
        <v/>
      </c>
      <c r="L18" s="7" t="str">
        <f aca="false">IF($B18="","",INDEX(MASTER_DATABASE!$U$4:$U$1000,$B18)&amp;"")</f>
        <v/>
      </c>
      <c r="M18" s="7" t="str">
        <f aca="false">IF($B18="","",INDEX(MASTER_DATABASE!$Q$4:$Q$1000,$B18)&amp;"")</f>
        <v/>
      </c>
      <c r="N18" s="7" t="str">
        <f aca="false">IF($B18="","",INDEX(MASTER_DATABASE!$AG$4:$AG$1000,$B18)&amp;"")</f>
        <v/>
      </c>
      <c r="O18" s="11" t="str">
        <f aca="false">IF($B18="","",INDEX(MASTER_DATABASE!$AH$4:$AH$1000,$B18)&amp;"")</f>
        <v/>
      </c>
      <c r="P18" s="11" t="str">
        <f aca="false">IF($B18="","",INDEX(MASTER_DATABASE!$BE$4:$BE$1000,$B18)&amp;"")</f>
        <v/>
      </c>
      <c r="Q18" s="7" t="str">
        <f aca="false">IF($B18="","",INDEX(MASTER_DATABASE!$AV$4:$AV$1000,$B18)&amp;"")</f>
        <v/>
      </c>
    </row>
    <row r="19" customFormat="false" ht="15" hidden="false" customHeight="false" outlineLevel="0" collapsed="false">
      <c r="A19" s="11" t="n">
        <v>16</v>
      </c>
      <c r="B19" s="11" t="str">
        <f aca="false">IFERROR(MATCH("Travel / Ticketing|"&amp;$A19,MASTER_DATABASE!$BH$4:$BH$1000,0),"")</f>
        <v/>
      </c>
      <c r="C19" s="11" t="str">
        <f aca="false">IF($B19="","",INDEX(MASTER_DATABASE!$A$4:$A$1000,$B19)&amp;"")</f>
        <v/>
      </c>
      <c r="D19" s="7" t="str">
        <f aca="false">IF($B19="","",INDEX(MASTER_DATABASE!$D$4:$D$1000,$B19)&amp;"")</f>
        <v/>
      </c>
      <c r="E19" s="7" t="str">
        <f aca="false">IF($B19="","",INDEX(MASTER_DATABASE!$E$4:$E$1000,$B19)&amp;"")</f>
        <v/>
      </c>
      <c r="F19" s="7" t="str">
        <f aca="false">IF($B19="","",INDEX(MASTER_DATABASE!$F$4:$F$1000,$B19)&amp;"")</f>
        <v/>
      </c>
      <c r="G19" s="11" t="str">
        <f aca="false">IF($B19="","",INDEX(MASTER_DATABASE!$I$4:$I$1000,$B19)&amp;"")</f>
        <v/>
      </c>
      <c r="H19" s="7" t="str">
        <f aca="false">IF($B19="","",INDEX(MASTER_DATABASE!$L$4:$L$1000,$B19)&amp;"")</f>
        <v/>
      </c>
      <c r="I19" s="9" t="str">
        <f aca="false">IF($B19="","",INDEX(MASTER_DATABASE!$R$4:$R$1000,$B19))</f>
        <v/>
      </c>
      <c r="J19" s="9" t="str">
        <f aca="false">IF($B19="","",INDEX(MASTER_DATABASE!$S$4:$S$1000,$B19))</f>
        <v/>
      </c>
      <c r="K19" s="9" t="str">
        <f aca="false">IF($B19="","",INDEX(MASTER_DATABASE!$T$4:$T$1000,$B19))</f>
        <v/>
      </c>
      <c r="L19" s="7" t="str">
        <f aca="false">IF($B19="","",INDEX(MASTER_DATABASE!$U$4:$U$1000,$B19)&amp;"")</f>
        <v/>
      </c>
      <c r="M19" s="7" t="str">
        <f aca="false">IF($B19="","",INDEX(MASTER_DATABASE!$Q$4:$Q$1000,$B19)&amp;"")</f>
        <v/>
      </c>
      <c r="N19" s="7" t="str">
        <f aca="false">IF($B19="","",INDEX(MASTER_DATABASE!$AG$4:$AG$1000,$B19)&amp;"")</f>
        <v/>
      </c>
      <c r="O19" s="11" t="str">
        <f aca="false">IF($B19="","",INDEX(MASTER_DATABASE!$AH$4:$AH$1000,$B19)&amp;"")</f>
        <v/>
      </c>
      <c r="P19" s="11" t="str">
        <f aca="false">IF($B19="","",INDEX(MASTER_DATABASE!$BE$4:$BE$1000,$B19)&amp;"")</f>
        <v/>
      </c>
      <c r="Q19" s="7" t="str">
        <f aca="false">IF($B19="","",INDEX(MASTER_DATABASE!$AV$4:$AV$1000,$B19)&amp;"")</f>
        <v/>
      </c>
    </row>
    <row r="20" customFormat="false" ht="15" hidden="false" customHeight="false" outlineLevel="0" collapsed="false">
      <c r="A20" s="11" t="n">
        <v>17</v>
      </c>
      <c r="B20" s="11" t="str">
        <f aca="false">IFERROR(MATCH("Travel / Ticketing|"&amp;$A20,MASTER_DATABASE!$BH$4:$BH$1000,0),"")</f>
        <v/>
      </c>
      <c r="C20" s="11" t="str">
        <f aca="false">IF($B20="","",INDEX(MASTER_DATABASE!$A$4:$A$1000,$B20)&amp;"")</f>
        <v/>
      </c>
      <c r="D20" s="7" t="str">
        <f aca="false">IF($B20="","",INDEX(MASTER_DATABASE!$D$4:$D$1000,$B20)&amp;"")</f>
        <v/>
      </c>
      <c r="E20" s="7" t="str">
        <f aca="false">IF($B20="","",INDEX(MASTER_DATABASE!$E$4:$E$1000,$B20)&amp;"")</f>
        <v/>
      </c>
      <c r="F20" s="7" t="str">
        <f aca="false">IF($B20="","",INDEX(MASTER_DATABASE!$F$4:$F$1000,$B20)&amp;"")</f>
        <v/>
      </c>
      <c r="G20" s="11" t="str">
        <f aca="false">IF($B20="","",INDEX(MASTER_DATABASE!$I$4:$I$1000,$B20)&amp;"")</f>
        <v/>
      </c>
      <c r="H20" s="7" t="str">
        <f aca="false">IF($B20="","",INDEX(MASTER_DATABASE!$L$4:$L$1000,$B20)&amp;"")</f>
        <v/>
      </c>
      <c r="I20" s="9" t="str">
        <f aca="false">IF($B20="","",INDEX(MASTER_DATABASE!$R$4:$R$1000,$B20))</f>
        <v/>
      </c>
      <c r="J20" s="9" t="str">
        <f aca="false">IF($B20="","",INDEX(MASTER_DATABASE!$S$4:$S$1000,$B20))</f>
        <v/>
      </c>
      <c r="K20" s="9" t="str">
        <f aca="false">IF($B20="","",INDEX(MASTER_DATABASE!$T$4:$T$1000,$B20))</f>
        <v/>
      </c>
      <c r="L20" s="7" t="str">
        <f aca="false">IF($B20="","",INDEX(MASTER_DATABASE!$U$4:$U$1000,$B20)&amp;"")</f>
        <v/>
      </c>
      <c r="M20" s="7" t="str">
        <f aca="false">IF($B20="","",INDEX(MASTER_DATABASE!$Q$4:$Q$1000,$B20)&amp;"")</f>
        <v/>
      </c>
      <c r="N20" s="7" t="str">
        <f aca="false">IF($B20="","",INDEX(MASTER_DATABASE!$AG$4:$AG$1000,$B20)&amp;"")</f>
        <v/>
      </c>
      <c r="O20" s="11" t="str">
        <f aca="false">IF($B20="","",INDEX(MASTER_DATABASE!$AH$4:$AH$1000,$B20)&amp;"")</f>
        <v/>
      </c>
      <c r="P20" s="11" t="str">
        <f aca="false">IF($B20="","",INDEX(MASTER_DATABASE!$BE$4:$BE$1000,$B20)&amp;"")</f>
        <v/>
      </c>
      <c r="Q20" s="7" t="str">
        <f aca="false">IF($B20="","",INDEX(MASTER_DATABASE!$AV$4:$AV$1000,$B20)&amp;"")</f>
        <v/>
      </c>
    </row>
    <row r="21" customFormat="false" ht="15" hidden="false" customHeight="false" outlineLevel="0" collapsed="false">
      <c r="A21" s="11" t="n">
        <v>18</v>
      </c>
      <c r="B21" s="11" t="str">
        <f aca="false">IFERROR(MATCH("Travel / Ticketing|"&amp;$A21,MASTER_DATABASE!$BH$4:$BH$1000,0),"")</f>
        <v/>
      </c>
      <c r="C21" s="11" t="str">
        <f aca="false">IF($B21="","",INDEX(MASTER_DATABASE!$A$4:$A$1000,$B21)&amp;"")</f>
        <v/>
      </c>
      <c r="D21" s="7" t="str">
        <f aca="false">IF($B21="","",INDEX(MASTER_DATABASE!$D$4:$D$1000,$B21)&amp;"")</f>
        <v/>
      </c>
      <c r="E21" s="7" t="str">
        <f aca="false">IF($B21="","",INDEX(MASTER_DATABASE!$E$4:$E$1000,$B21)&amp;"")</f>
        <v/>
      </c>
      <c r="F21" s="7" t="str">
        <f aca="false">IF($B21="","",INDEX(MASTER_DATABASE!$F$4:$F$1000,$B21)&amp;"")</f>
        <v/>
      </c>
      <c r="G21" s="11" t="str">
        <f aca="false">IF($B21="","",INDEX(MASTER_DATABASE!$I$4:$I$1000,$B21)&amp;"")</f>
        <v/>
      </c>
      <c r="H21" s="7" t="str">
        <f aca="false">IF($B21="","",INDEX(MASTER_DATABASE!$L$4:$L$1000,$B21)&amp;"")</f>
        <v/>
      </c>
      <c r="I21" s="9" t="str">
        <f aca="false">IF($B21="","",INDEX(MASTER_DATABASE!$R$4:$R$1000,$B21))</f>
        <v/>
      </c>
      <c r="J21" s="9" t="str">
        <f aca="false">IF($B21="","",INDEX(MASTER_DATABASE!$S$4:$S$1000,$B21))</f>
        <v/>
      </c>
      <c r="K21" s="9" t="str">
        <f aca="false">IF($B21="","",INDEX(MASTER_DATABASE!$T$4:$T$1000,$B21))</f>
        <v/>
      </c>
      <c r="L21" s="7" t="str">
        <f aca="false">IF($B21="","",INDEX(MASTER_DATABASE!$U$4:$U$1000,$B21)&amp;"")</f>
        <v/>
      </c>
      <c r="M21" s="7" t="str">
        <f aca="false">IF($B21="","",INDEX(MASTER_DATABASE!$Q$4:$Q$1000,$B21)&amp;"")</f>
        <v/>
      </c>
      <c r="N21" s="7" t="str">
        <f aca="false">IF($B21="","",INDEX(MASTER_DATABASE!$AG$4:$AG$1000,$B21)&amp;"")</f>
        <v/>
      </c>
      <c r="O21" s="11" t="str">
        <f aca="false">IF($B21="","",INDEX(MASTER_DATABASE!$AH$4:$AH$1000,$B21)&amp;"")</f>
        <v/>
      </c>
      <c r="P21" s="11" t="str">
        <f aca="false">IF($B21="","",INDEX(MASTER_DATABASE!$BE$4:$BE$1000,$B21)&amp;"")</f>
        <v/>
      </c>
      <c r="Q21" s="7" t="str">
        <f aca="false">IF($B21="","",INDEX(MASTER_DATABASE!$AV$4:$AV$1000,$B21)&amp;"")</f>
        <v/>
      </c>
    </row>
    <row r="22" customFormat="false" ht="15" hidden="false" customHeight="false" outlineLevel="0" collapsed="false">
      <c r="A22" s="11" t="n">
        <v>19</v>
      </c>
      <c r="B22" s="11" t="str">
        <f aca="false">IFERROR(MATCH("Travel / Ticketing|"&amp;$A22,MASTER_DATABASE!$BH$4:$BH$1000,0),"")</f>
        <v/>
      </c>
      <c r="C22" s="11" t="str">
        <f aca="false">IF($B22="","",INDEX(MASTER_DATABASE!$A$4:$A$1000,$B22)&amp;"")</f>
        <v/>
      </c>
      <c r="D22" s="7" t="str">
        <f aca="false">IF($B22="","",INDEX(MASTER_DATABASE!$D$4:$D$1000,$B22)&amp;"")</f>
        <v/>
      </c>
      <c r="E22" s="7" t="str">
        <f aca="false">IF($B22="","",INDEX(MASTER_DATABASE!$E$4:$E$1000,$B22)&amp;"")</f>
        <v/>
      </c>
      <c r="F22" s="7" t="str">
        <f aca="false">IF($B22="","",INDEX(MASTER_DATABASE!$F$4:$F$1000,$B22)&amp;"")</f>
        <v/>
      </c>
      <c r="G22" s="11" t="str">
        <f aca="false">IF($B22="","",INDEX(MASTER_DATABASE!$I$4:$I$1000,$B22)&amp;"")</f>
        <v/>
      </c>
      <c r="H22" s="7" t="str">
        <f aca="false">IF($B22="","",INDEX(MASTER_DATABASE!$L$4:$L$1000,$B22)&amp;"")</f>
        <v/>
      </c>
      <c r="I22" s="9" t="str">
        <f aca="false">IF($B22="","",INDEX(MASTER_DATABASE!$R$4:$R$1000,$B22))</f>
        <v/>
      </c>
      <c r="J22" s="9" t="str">
        <f aca="false">IF($B22="","",INDEX(MASTER_DATABASE!$S$4:$S$1000,$B22))</f>
        <v/>
      </c>
      <c r="K22" s="9" t="str">
        <f aca="false">IF($B22="","",INDEX(MASTER_DATABASE!$T$4:$T$1000,$B22))</f>
        <v/>
      </c>
      <c r="L22" s="7" t="str">
        <f aca="false">IF($B22="","",INDEX(MASTER_DATABASE!$U$4:$U$1000,$B22)&amp;"")</f>
        <v/>
      </c>
      <c r="M22" s="7" t="str">
        <f aca="false">IF($B22="","",INDEX(MASTER_DATABASE!$Q$4:$Q$1000,$B22)&amp;"")</f>
        <v/>
      </c>
      <c r="N22" s="7" t="str">
        <f aca="false">IF($B22="","",INDEX(MASTER_DATABASE!$AG$4:$AG$1000,$B22)&amp;"")</f>
        <v/>
      </c>
      <c r="O22" s="11" t="str">
        <f aca="false">IF($B22="","",INDEX(MASTER_DATABASE!$AH$4:$AH$1000,$B22)&amp;"")</f>
        <v/>
      </c>
      <c r="P22" s="11" t="str">
        <f aca="false">IF($B22="","",INDEX(MASTER_DATABASE!$BE$4:$BE$1000,$B22)&amp;"")</f>
        <v/>
      </c>
      <c r="Q22" s="7" t="str">
        <f aca="false">IF($B22="","",INDEX(MASTER_DATABASE!$AV$4:$AV$1000,$B22)&amp;"")</f>
        <v/>
      </c>
    </row>
    <row r="23" customFormat="false" ht="15" hidden="false" customHeight="false" outlineLevel="0" collapsed="false">
      <c r="A23" s="11" t="n">
        <v>20</v>
      </c>
      <c r="B23" s="11" t="str">
        <f aca="false">IFERROR(MATCH("Travel / Ticketing|"&amp;$A23,MASTER_DATABASE!$BH$4:$BH$1000,0),"")</f>
        <v/>
      </c>
      <c r="C23" s="11" t="str">
        <f aca="false">IF($B23="","",INDEX(MASTER_DATABASE!$A$4:$A$1000,$B23)&amp;"")</f>
        <v/>
      </c>
      <c r="D23" s="7" t="str">
        <f aca="false">IF($B23="","",INDEX(MASTER_DATABASE!$D$4:$D$1000,$B23)&amp;"")</f>
        <v/>
      </c>
      <c r="E23" s="7" t="str">
        <f aca="false">IF($B23="","",INDEX(MASTER_DATABASE!$E$4:$E$1000,$B23)&amp;"")</f>
        <v/>
      </c>
      <c r="F23" s="7" t="str">
        <f aca="false">IF($B23="","",INDEX(MASTER_DATABASE!$F$4:$F$1000,$B23)&amp;"")</f>
        <v/>
      </c>
      <c r="G23" s="11" t="str">
        <f aca="false">IF($B23="","",INDEX(MASTER_DATABASE!$I$4:$I$1000,$B23)&amp;"")</f>
        <v/>
      </c>
      <c r="H23" s="7" t="str">
        <f aca="false">IF($B23="","",INDEX(MASTER_DATABASE!$L$4:$L$1000,$B23)&amp;"")</f>
        <v/>
      </c>
      <c r="I23" s="9" t="str">
        <f aca="false">IF($B23="","",INDEX(MASTER_DATABASE!$R$4:$R$1000,$B23))</f>
        <v/>
      </c>
      <c r="J23" s="9" t="str">
        <f aca="false">IF($B23="","",INDEX(MASTER_DATABASE!$S$4:$S$1000,$B23))</f>
        <v/>
      </c>
      <c r="K23" s="9" t="str">
        <f aca="false">IF($B23="","",INDEX(MASTER_DATABASE!$T$4:$T$1000,$B23))</f>
        <v/>
      </c>
      <c r="L23" s="7" t="str">
        <f aca="false">IF($B23="","",INDEX(MASTER_DATABASE!$U$4:$U$1000,$B23)&amp;"")</f>
        <v/>
      </c>
      <c r="M23" s="7" t="str">
        <f aca="false">IF($B23="","",INDEX(MASTER_DATABASE!$Q$4:$Q$1000,$B23)&amp;"")</f>
        <v/>
      </c>
      <c r="N23" s="7" t="str">
        <f aca="false">IF($B23="","",INDEX(MASTER_DATABASE!$AG$4:$AG$1000,$B23)&amp;"")</f>
        <v/>
      </c>
      <c r="O23" s="11" t="str">
        <f aca="false">IF($B23="","",INDEX(MASTER_DATABASE!$AH$4:$AH$1000,$B23)&amp;"")</f>
        <v/>
      </c>
      <c r="P23" s="11" t="str">
        <f aca="false">IF($B23="","",INDEX(MASTER_DATABASE!$BE$4:$BE$1000,$B23)&amp;"")</f>
        <v/>
      </c>
      <c r="Q23" s="7" t="str">
        <f aca="false">IF($B23="","",INDEX(MASTER_DATABASE!$AV$4:$AV$1000,$B23)&amp;"")</f>
        <v/>
      </c>
    </row>
    <row r="24" customFormat="false" ht="15" hidden="false" customHeight="false" outlineLevel="0" collapsed="false">
      <c r="A24" s="11" t="n">
        <v>21</v>
      </c>
      <c r="B24" s="11" t="str">
        <f aca="false">IFERROR(MATCH("Travel / Ticketing|"&amp;$A24,MASTER_DATABASE!$BH$4:$BH$1000,0),"")</f>
        <v/>
      </c>
      <c r="C24" s="11" t="str">
        <f aca="false">IF($B24="","",INDEX(MASTER_DATABASE!$A$4:$A$1000,$B24)&amp;"")</f>
        <v/>
      </c>
      <c r="D24" s="7" t="str">
        <f aca="false">IF($B24="","",INDEX(MASTER_DATABASE!$D$4:$D$1000,$B24)&amp;"")</f>
        <v/>
      </c>
      <c r="E24" s="7" t="str">
        <f aca="false">IF($B24="","",INDEX(MASTER_DATABASE!$E$4:$E$1000,$B24)&amp;"")</f>
        <v/>
      </c>
      <c r="F24" s="7" t="str">
        <f aca="false">IF($B24="","",INDEX(MASTER_DATABASE!$F$4:$F$1000,$B24)&amp;"")</f>
        <v/>
      </c>
      <c r="G24" s="11" t="str">
        <f aca="false">IF($B24="","",INDEX(MASTER_DATABASE!$I$4:$I$1000,$B24)&amp;"")</f>
        <v/>
      </c>
      <c r="H24" s="7" t="str">
        <f aca="false">IF($B24="","",INDEX(MASTER_DATABASE!$L$4:$L$1000,$B24)&amp;"")</f>
        <v/>
      </c>
      <c r="I24" s="9" t="str">
        <f aca="false">IF($B24="","",INDEX(MASTER_DATABASE!$R$4:$R$1000,$B24))</f>
        <v/>
      </c>
      <c r="J24" s="9" t="str">
        <f aca="false">IF($B24="","",INDEX(MASTER_DATABASE!$S$4:$S$1000,$B24))</f>
        <v/>
      </c>
      <c r="K24" s="9" t="str">
        <f aca="false">IF($B24="","",INDEX(MASTER_DATABASE!$T$4:$T$1000,$B24))</f>
        <v/>
      </c>
      <c r="L24" s="7" t="str">
        <f aca="false">IF($B24="","",INDEX(MASTER_DATABASE!$U$4:$U$1000,$B24)&amp;"")</f>
        <v/>
      </c>
      <c r="M24" s="7" t="str">
        <f aca="false">IF($B24="","",INDEX(MASTER_DATABASE!$Q$4:$Q$1000,$B24)&amp;"")</f>
        <v/>
      </c>
      <c r="N24" s="7" t="str">
        <f aca="false">IF($B24="","",INDEX(MASTER_DATABASE!$AG$4:$AG$1000,$B24)&amp;"")</f>
        <v/>
      </c>
      <c r="O24" s="11" t="str">
        <f aca="false">IF($B24="","",INDEX(MASTER_DATABASE!$AH$4:$AH$1000,$B24)&amp;"")</f>
        <v/>
      </c>
      <c r="P24" s="11" t="str">
        <f aca="false">IF($B24="","",INDEX(MASTER_DATABASE!$BE$4:$BE$1000,$B24)&amp;"")</f>
        <v/>
      </c>
      <c r="Q24" s="7" t="str">
        <f aca="false">IF($B24="","",INDEX(MASTER_DATABASE!$AV$4:$AV$1000,$B24)&amp;"")</f>
        <v/>
      </c>
    </row>
    <row r="25" customFormat="false" ht="15" hidden="false" customHeight="false" outlineLevel="0" collapsed="false">
      <c r="A25" s="11" t="n">
        <v>22</v>
      </c>
      <c r="B25" s="11" t="str">
        <f aca="false">IFERROR(MATCH("Travel / Ticketing|"&amp;$A25,MASTER_DATABASE!$BH$4:$BH$1000,0),"")</f>
        <v/>
      </c>
      <c r="C25" s="11" t="str">
        <f aca="false">IF($B25="","",INDEX(MASTER_DATABASE!$A$4:$A$1000,$B25)&amp;"")</f>
        <v/>
      </c>
      <c r="D25" s="7" t="str">
        <f aca="false">IF($B25="","",INDEX(MASTER_DATABASE!$D$4:$D$1000,$B25)&amp;"")</f>
        <v/>
      </c>
      <c r="E25" s="7" t="str">
        <f aca="false">IF($B25="","",INDEX(MASTER_DATABASE!$E$4:$E$1000,$B25)&amp;"")</f>
        <v/>
      </c>
      <c r="F25" s="7" t="str">
        <f aca="false">IF($B25="","",INDEX(MASTER_DATABASE!$F$4:$F$1000,$B25)&amp;"")</f>
        <v/>
      </c>
      <c r="G25" s="11" t="str">
        <f aca="false">IF($B25="","",INDEX(MASTER_DATABASE!$I$4:$I$1000,$B25)&amp;"")</f>
        <v/>
      </c>
      <c r="H25" s="7" t="str">
        <f aca="false">IF($B25="","",INDEX(MASTER_DATABASE!$L$4:$L$1000,$B25)&amp;"")</f>
        <v/>
      </c>
      <c r="I25" s="9" t="str">
        <f aca="false">IF($B25="","",INDEX(MASTER_DATABASE!$R$4:$R$1000,$B25))</f>
        <v/>
      </c>
      <c r="J25" s="9" t="str">
        <f aca="false">IF($B25="","",INDEX(MASTER_DATABASE!$S$4:$S$1000,$B25))</f>
        <v/>
      </c>
      <c r="K25" s="9" t="str">
        <f aca="false">IF($B25="","",INDEX(MASTER_DATABASE!$T$4:$T$1000,$B25))</f>
        <v/>
      </c>
      <c r="L25" s="7" t="str">
        <f aca="false">IF($B25="","",INDEX(MASTER_DATABASE!$U$4:$U$1000,$B25)&amp;"")</f>
        <v/>
      </c>
      <c r="M25" s="7" t="str">
        <f aca="false">IF($B25="","",INDEX(MASTER_DATABASE!$Q$4:$Q$1000,$B25)&amp;"")</f>
        <v/>
      </c>
      <c r="N25" s="7" t="str">
        <f aca="false">IF($B25="","",INDEX(MASTER_DATABASE!$AG$4:$AG$1000,$B25)&amp;"")</f>
        <v/>
      </c>
      <c r="O25" s="11" t="str">
        <f aca="false">IF($B25="","",INDEX(MASTER_DATABASE!$AH$4:$AH$1000,$B25)&amp;"")</f>
        <v/>
      </c>
      <c r="P25" s="11" t="str">
        <f aca="false">IF($B25="","",INDEX(MASTER_DATABASE!$BE$4:$BE$1000,$B25)&amp;"")</f>
        <v/>
      </c>
      <c r="Q25" s="7" t="str">
        <f aca="false">IF($B25="","",INDEX(MASTER_DATABASE!$AV$4:$AV$1000,$B25)&amp;"")</f>
        <v/>
      </c>
    </row>
    <row r="26" customFormat="false" ht="15" hidden="false" customHeight="false" outlineLevel="0" collapsed="false">
      <c r="A26" s="11" t="n">
        <v>23</v>
      </c>
      <c r="B26" s="11" t="str">
        <f aca="false">IFERROR(MATCH("Travel / Ticketing|"&amp;$A26,MASTER_DATABASE!$BH$4:$BH$1000,0),"")</f>
        <v/>
      </c>
      <c r="C26" s="11" t="str">
        <f aca="false">IF($B26="","",INDEX(MASTER_DATABASE!$A$4:$A$1000,$B26)&amp;"")</f>
        <v/>
      </c>
      <c r="D26" s="7" t="str">
        <f aca="false">IF($B26="","",INDEX(MASTER_DATABASE!$D$4:$D$1000,$B26)&amp;"")</f>
        <v/>
      </c>
      <c r="E26" s="7" t="str">
        <f aca="false">IF($B26="","",INDEX(MASTER_DATABASE!$E$4:$E$1000,$B26)&amp;"")</f>
        <v/>
      </c>
      <c r="F26" s="7" t="str">
        <f aca="false">IF($B26="","",INDEX(MASTER_DATABASE!$F$4:$F$1000,$B26)&amp;"")</f>
        <v/>
      </c>
      <c r="G26" s="11" t="str">
        <f aca="false">IF($B26="","",INDEX(MASTER_DATABASE!$I$4:$I$1000,$B26)&amp;"")</f>
        <v/>
      </c>
      <c r="H26" s="7" t="str">
        <f aca="false">IF($B26="","",INDEX(MASTER_DATABASE!$L$4:$L$1000,$B26)&amp;"")</f>
        <v/>
      </c>
      <c r="I26" s="9" t="str">
        <f aca="false">IF($B26="","",INDEX(MASTER_DATABASE!$R$4:$R$1000,$B26))</f>
        <v/>
      </c>
      <c r="J26" s="9" t="str">
        <f aca="false">IF($B26="","",INDEX(MASTER_DATABASE!$S$4:$S$1000,$B26))</f>
        <v/>
      </c>
      <c r="K26" s="9" t="str">
        <f aca="false">IF($B26="","",INDEX(MASTER_DATABASE!$T$4:$T$1000,$B26))</f>
        <v/>
      </c>
      <c r="L26" s="7" t="str">
        <f aca="false">IF($B26="","",INDEX(MASTER_DATABASE!$U$4:$U$1000,$B26)&amp;"")</f>
        <v/>
      </c>
      <c r="M26" s="7" t="str">
        <f aca="false">IF($B26="","",INDEX(MASTER_DATABASE!$Q$4:$Q$1000,$B26)&amp;"")</f>
        <v/>
      </c>
      <c r="N26" s="7" t="str">
        <f aca="false">IF($B26="","",INDEX(MASTER_DATABASE!$AG$4:$AG$1000,$B26)&amp;"")</f>
        <v/>
      </c>
      <c r="O26" s="11" t="str">
        <f aca="false">IF($B26="","",INDEX(MASTER_DATABASE!$AH$4:$AH$1000,$B26)&amp;"")</f>
        <v/>
      </c>
      <c r="P26" s="11" t="str">
        <f aca="false">IF($B26="","",INDEX(MASTER_DATABASE!$BE$4:$BE$1000,$B26)&amp;"")</f>
        <v/>
      </c>
      <c r="Q26" s="7" t="str">
        <f aca="false">IF($B26="","",INDEX(MASTER_DATABASE!$AV$4:$AV$1000,$B26)&amp;"")</f>
        <v/>
      </c>
    </row>
    <row r="27" customFormat="false" ht="15" hidden="false" customHeight="false" outlineLevel="0" collapsed="false">
      <c r="A27" s="11" t="n">
        <v>24</v>
      </c>
      <c r="B27" s="11" t="str">
        <f aca="false">IFERROR(MATCH("Travel / Ticketing|"&amp;$A27,MASTER_DATABASE!$BH$4:$BH$1000,0),"")</f>
        <v/>
      </c>
      <c r="C27" s="11" t="str">
        <f aca="false">IF($B27="","",INDEX(MASTER_DATABASE!$A$4:$A$1000,$B27)&amp;"")</f>
        <v/>
      </c>
      <c r="D27" s="7" t="str">
        <f aca="false">IF($B27="","",INDEX(MASTER_DATABASE!$D$4:$D$1000,$B27)&amp;"")</f>
        <v/>
      </c>
      <c r="E27" s="7" t="str">
        <f aca="false">IF($B27="","",INDEX(MASTER_DATABASE!$E$4:$E$1000,$B27)&amp;"")</f>
        <v/>
      </c>
      <c r="F27" s="7" t="str">
        <f aca="false">IF($B27="","",INDEX(MASTER_DATABASE!$F$4:$F$1000,$B27)&amp;"")</f>
        <v/>
      </c>
      <c r="G27" s="11" t="str">
        <f aca="false">IF($B27="","",INDEX(MASTER_DATABASE!$I$4:$I$1000,$B27)&amp;"")</f>
        <v/>
      </c>
      <c r="H27" s="7" t="str">
        <f aca="false">IF($B27="","",INDEX(MASTER_DATABASE!$L$4:$L$1000,$B27)&amp;"")</f>
        <v/>
      </c>
      <c r="I27" s="9" t="str">
        <f aca="false">IF($B27="","",INDEX(MASTER_DATABASE!$R$4:$R$1000,$B27))</f>
        <v/>
      </c>
      <c r="J27" s="9" t="str">
        <f aca="false">IF($B27="","",INDEX(MASTER_DATABASE!$S$4:$S$1000,$B27))</f>
        <v/>
      </c>
      <c r="K27" s="9" t="str">
        <f aca="false">IF($B27="","",INDEX(MASTER_DATABASE!$T$4:$T$1000,$B27))</f>
        <v/>
      </c>
      <c r="L27" s="7" t="str">
        <f aca="false">IF($B27="","",INDEX(MASTER_DATABASE!$U$4:$U$1000,$B27)&amp;"")</f>
        <v/>
      </c>
      <c r="M27" s="7" t="str">
        <f aca="false">IF($B27="","",INDEX(MASTER_DATABASE!$Q$4:$Q$1000,$B27)&amp;"")</f>
        <v/>
      </c>
      <c r="N27" s="7" t="str">
        <f aca="false">IF($B27="","",INDEX(MASTER_DATABASE!$AG$4:$AG$1000,$B27)&amp;"")</f>
        <v/>
      </c>
      <c r="O27" s="11" t="str">
        <f aca="false">IF($B27="","",INDEX(MASTER_DATABASE!$AH$4:$AH$1000,$B27)&amp;"")</f>
        <v/>
      </c>
      <c r="P27" s="11" t="str">
        <f aca="false">IF($B27="","",INDEX(MASTER_DATABASE!$BE$4:$BE$1000,$B27)&amp;"")</f>
        <v/>
      </c>
      <c r="Q27" s="7" t="str">
        <f aca="false">IF($B27="","",INDEX(MASTER_DATABASE!$AV$4:$AV$1000,$B27)&amp;"")</f>
        <v/>
      </c>
    </row>
    <row r="28" customFormat="false" ht="15" hidden="false" customHeight="false" outlineLevel="0" collapsed="false">
      <c r="A28" s="11" t="n">
        <v>25</v>
      </c>
      <c r="B28" s="11" t="str">
        <f aca="false">IFERROR(MATCH("Travel / Ticketing|"&amp;$A28,MASTER_DATABASE!$BH$4:$BH$1000,0),"")</f>
        <v/>
      </c>
      <c r="C28" s="11" t="str">
        <f aca="false">IF($B28="","",INDEX(MASTER_DATABASE!$A$4:$A$1000,$B28)&amp;"")</f>
        <v/>
      </c>
      <c r="D28" s="7" t="str">
        <f aca="false">IF($B28="","",INDEX(MASTER_DATABASE!$D$4:$D$1000,$B28)&amp;"")</f>
        <v/>
      </c>
      <c r="E28" s="7" t="str">
        <f aca="false">IF($B28="","",INDEX(MASTER_DATABASE!$E$4:$E$1000,$B28)&amp;"")</f>
        <v/>
      </c>
      <c r="F28" s="7" t="str">
        <f aca="false">IF($B28="","",INDEX(MASTER_DATABASE!$F$4:$F$1000,$B28)&amp;"")</f>
        <v/>
      </c>
      <c r="G28" s="11" t="str">
        <f aca="false">IF($B28="","",INDEX(MASTER_DATABASE!$I$4:$I$1000,$B28)&amp;"")</f>
        <v/>
      </c>
      <c r="H28" s="7" t="str">
        <f aca="false">IF($B28="","",INDEX(MASTER_DATABASE!$L$4:$L$1000,$B28)&amp;"")</f>
        <v/>
      </c>
      <c r="I28" s="9" t="str">
        <f aca="false">IF($B28="","",INDEX(MASTER_DATABASE!$R$4:$R$1000,$B28))</f>
        <v/>
      </c>
      <c r="J28" s="9" t="str">
        <f aca="false">IF($B28="","",INDEX(MASTER_DATABASE!$S$4:$S$1000,$B28))</f>
        <v/>
      </c>
      <c r="K28" s="9" t="str">
        <f aca="false">IF($B28="","",INDEX(MASTER_DATABASE!$T$4:$T$1000,$B28))</f>
        <v/>
      </c>
      <c r="L28" s="7" t="str">
        <f aca="false">IF($B28="","",INDEX(MASTER_DATABASE!$U$4:$U$1000,$B28)&amp;"")</f>
        <v/>
      </c>
      <c r="M28" s="7" t="str">
        <f aca="false">IF($B28="","",INDEX(MASTER_DATABASE!$Q$4:$Q$1000,$B28)&amp;"")</f>
        <v/>
      </c>
      <c r="N28" s="7" t="str">
        <f aca="false">IF($B28="","",INDEX(MASTER_DATABASE!$AG$4:$AG$1000,$B28)&amp;"")</f>
        <v/>
      </c>
      <c r="O28" s="11" t="str">
        <f aca="false">IF($B28="","",INDEX(MASTER_DATABASE!$AH$4:$AH$1000,$B28)&amp;"")</f>
        <v/>
      </c>
      <c r="P28" s="11" t="str">
        <f aca="false">IF($B28="","",INDEX(MASTER_DATABASE!$BE$4:$BE$1000,$B28)&amp;"")</f>
        <v/>
      </c>
      <c r="Q28" s="7" t="str">
        <f aca="false">IF($B28="","",INDEX(MASTER_DATABASE!$AV$4:$AV$1000,$B28)&amp;"")</f>
        <v/>
      </c>
    </row>
    <row r="29" customFormat="false" ht="15" hidden="false" customHeight="false" outlineLevel="0" collapsed="false">
      <c r="A29" s="11" t="n">
        <v>26</v>
      </c>
      <c r="B29" s="11" t="str">
        <f aca="false">IFERROR(MATCH("Travel / Ticketing|"&amp;$A29,MASTER_DATABASE!$BH$4:$BH$1000,0),"")</f>
        <v/>
      </c>
      <c r="C29" s="11" t="str">
        <f aca="false">IF($B29="","",INDEX(MASTER_DATABASE!$A$4:$A$1000,$B29)&amp;"")</f>
        <v/>
      </c>
      <c r="D29" s="7" t="str">
        <f aca="false">IF($B29="","",INDEX(MASTER_DATABASE!$D$4:$D$1000,$B29)&amp;"")</f>
        <v/>
      </c>
      <c r="E29" s="7" t="str">
        <f aca="false">IF($B29="","",INDEX(MASTER_DATABASE!$E$4:$E$1000,$B29)&amp;"")</f>
        <v/>
      </c>
      <c r="F29" s="7" t="str">
        <f aca="false">IF($B29="","",INDEX(MASTER_DATABASE!$F$4:$F$1000,$B29)&amp;"")</f>
        <v/>
      </c>
      <c r="G29" s="11" t="str">
        <f aca="false">IF($B29="","",INDEX(MASTER_DATABASE!$I$4:$I$1000,$B29)&amp;"")</f>
        <v/>
      </c>
      <c r="H29" s="7" t="str">
        <f aca="false">IF($B29="","",INDEX(MASTER_DATABASE!$L$4:$L$1000,$B29)&amp;"")</f>
        <v/>
      </c>
      <c r="I29" s="9" t="str">
        <f aca="false">IF($B29="","",INDEX(MASTER_DATABASE!$R$4:$R$1000,$B29))</f>
        <v/>
      </c>
      <c r="J29" s="9" t="str">
        <f aca="false">IF($B29="","",INDEX(MASTER_DATABASE!$S$4:$S$1000,$B29))</f>
        <v/>
      </c>
      <c r="K29" s="9" t="str">
        <f aca="false">IF($B29="","",INDEX(MASTER_DATABASE!$T$4:$T$1000,$B29))</f>
        <v/>
      </c>
      <c r="L29" s="7" t="str">
        <f aca="false">IF($B29="","",INDEX(MASTER_DATABASE!$U$4:$U$1000,$B29)&amp;"")</f>
        <v/>
      </c>
      <c r="M29" s="7" t="str">
        <f aca="false">IF($B29="","",INDEX(MASTER_DATABASE!$Q$4:$Q$1000,$B29)&amp;"")</f>
        <v/>
      </c>
      <c r="N29" s="7" t="str">
        <f aca="false">IF($B29="","",INDEX(MASTER_DATABASE!$AG$4:$AG$1000,$B29)&amp;"")</f>
        <v/>
      </c>
      <c r="O29" s="11" t="str">
        <f aca="false">IF($B29="","",INDEX(MASTER_DATABASE!$AH$4:$AH$1000,$B29)&amp;"")</f>
        <v/>
      </c>
      <c r="P29" s="11" t="str">
        <f aca="false">IF($B29="","",INDEX(MASTER_DATABASE!$BE$4:$BE$1000,$B29)&amp;"")</f>
        <v/>
      </c>
      <c r="Q29" s="7" t="str">
        <f aca="false">IF($B29="","",INDEX(MASTER_DATABASE!$AV$4:$AV$1000,$B29)&amp;"")</f>
        <v/>
      </c>
    </row>
    <row r="30" customFormat="false" ht="15" hidden="false" customHeight="false" outlineLevel="0" collapsed="false">
      <c r="A30" s="11" t="n">
        <v>27</v>
      </c>
      <c r="B30" s="11" t="str">
        <f aca="false">IFERROR(MATCH("Travel / Ticketing|"&amp;$A30,MASTER_DATABASE!$BH$4:$BH$1000,0),"")</f>
        <v/>
      </c>
      <c r="C30" s="11" t="str">
        <f aca="false">IF($B30="","",INDEX(MASTER_DATABASE!$A$4:$A$1000,$B30)&amp;"")</f>
        <v/>
      </c>
      <c r="D30" s="7" t="str">
        <f aca="false">IF($B30="","",INDEX(MASTER_DATABASE!$D$4:$D$1000,$B30)&amp;"")</f>
        <v/>
      </c>
      <c r="E30" s="7" t="str">
        <f aca="false">IF($B30="","",INDEX(MASTER_DATABASE!$E$4:$E$1000,$B30)&amp;"")</f>
        <v/>
      </c>
      <c r="F30" s="7" t="str">
        <f aca="false">IF($B30="","",INDEX(MASTER_DATABASE!$F$4:$F$1000,$B30)&amp;"")</f>
        <v/>
      </c>
      <c r="G30" s="11" t="str">
        <f aca="false">IF($B30="","",INDEX(MASTER_DATABASE!$I$4:$I$1000,$B30)&amp;"")</f>
        <v/>
      </c>
      <c r="H30" s="7" t="str">
        <f aca="false">IF($B30="","",INDEX(MASTER_DATABASE!$L$4:$L$1000,$B30)&amp;"")</f>
        <v/>
      </c>
      <c r="I30" s="9" t="str">
        <f aca="false">IF($B30="","",INDEX(MASTER_DATABASE!$R$4:$R$1000,$B30))</f>
        <v/>
      </c>
      <c r="J30" s="9" t="str">
        <f aca="false">IF($B30="","",INDEX(MASTER_DATABASE!$S$4:$S$1000,$B30))</f>
        <v/>
      </c>
      <c r="K30" s="9" t="str">
        <f aca="false">IF($B30="","",INDEX(MASTER_DATABASE!$T$4:$T$1000,$B30))</f>
        <v/>
      </c>
      <c r="L30" s="7" t="str">
        <f aca="false">IF($B30="","",INDEX(MASTER_DATABASE!$U$4:$U$1000,$B30)&amp;"")</f>
        <v/>
      </c>
      <c r="M30" s="7" t="str">
        <f aca="false">IF($B30="","",INDEX(MASTER_DATABASE!$Q$4:$Q$1000,$B30)&amp;"")</f>
        <v/>
      </c>
      <c r="N30" s="7" t="str">
        <f aca="false">IF($B30="","",INDEX(MASTER_DATABASE!$AG$4:$AG$1000,$B30)&amp;"")</f>
        <v/>
      </c>
      <c r="O30" s="11" t="str">
        <f aca="false">IF($B30="","",INDEX(MASTER_DATABASE!$AH$4:$AH$1000,$B30)&amp;"")</f>
        <v/>
      </c>
      <c r="P30" s="11" t="str">
        <f aca="false">IF($B30="","",INDEX(MASTER_DATABASE!$BE$4:$BE$1000,$B30)&amp;"")</f>
        <v/>
      </c>
      <c r="Q30" s="7" t="str">
        <f aca="false">IF($B30="","",INDEX(MASTER_DATABASE!$AV$4:$AV$1000,$B30)&amp;"")</f>
        <v/>
      </c>
    </row>
    <row r="31" customFormat="false" ht="15" hidden="false" customHeight="false" outlineLevel="0" collapsed="false">
      <c r="A31" s="11" t="n">
        <v>28</v>
      </c>
      <c r="B31" s="11" t="str">
        <f aca="false">IFERROR(MATCH("Travel / Ticketing|"&amp;$A31,MASTER_DATABASE!$BH$4:$BH$1000,0),"")</f>
        <v/>
      </c>
      <c r="C31" s="11" t="str">
        <f aca="false">IF($B31="","",INDEX(MASTER_DATABASE!$A$4:$A$1000,$B31)&amp;"")</f>
        <v/>
      </c>
      <c r="D31" s="7" t="str">
        <f aca="false">IF($B31="","",INDEX(MASTER_DATABASE!$D$4:$D$1000,$B31)&amp;"")</f>
        <v/>
      </c>
      <c r="E31" s="7" t="str">
        <f aca="false">IF($B31="","",INDEX(MASTER_DATABASE!$E$4:$E$1000,$B31)&amp;"")</f>
        <v/>
      </c>
      <c r="F31" s="7" t="str">
        <f aca="false">IF($B31="","",INDEX(MASTER_DATABASE!$F$4:$F$1000,$B31)&amp;"")</f>
        <v/>
      </c>
      <c r="G31" s="11" t="str">
        <f aca="false">IF($B31="","",INDEX(MASTER_DATABASE!$I$4:$I$1000,$B31)&amp;"")</f>
        <v/>
      </c>
      <c r="H31" s="7" t="str">
        <f aca="false">IF($B31="","",INDEX(MASTER_DATABASE!$L$4:$L$1000,$B31)&amp;"")</f>
        <v/>
      </c>
      <c r="I31" s="9" t="str">
        <f aca="false">IF($B31="","",INDEX(MASTER_DATABASE!$R$4:$R$1000,$B31))</f>
        <v/>
      </c>
      <c r="J31" s="9" t="str">
        <f aca="false">IF($B31="","",INDEX(MASTER_DATABASE!$S$4:$S$1000,$B31))</f>
        <v/>
      </c>
      <c r="K31" s="9" t="str">
        <f aca="false">IF($B31="","",INDEX(MASTER_DATABASE!$T$4:$T$1000,$B31))</f>
        <v/>
      </c>
      <c r="L31" s="7" t="str">
        <f aca="false">IF($B31="","",INDEX(MASTER_DATABASE!$U$4:$U$1000,$B31)&amp;"")</f>
        <v/>
      </c>
      <c r="M31" s="7" t="str">
        <f aca="false">IF($B31="","",INDEX(MASTER_DATABASE!$Q$4:$Q$1000,$B31)&amp;"")</f>
        <v/>
      </c>
      <c r="N31" s="7" t="str">
        <f aca="false">IF($B31="","",INDEX(MASTER_DATABASE!$AG$4:$AG$1000,$B31)&amp;"")</f>
        <v/>
      </c>
      <c r="O31" s="11" t="str">
        <f aca="false">IF($B31="","",INDEX(MASTER_DATABASE!$AH$4:$AH$1000,$B31)&amp;"")</f>
        <v/>
      </c>
      <c r="P31" s="11" t="str">
        <f aca="false">IF($B31="","",INDEX(MASTER_DATABASE!$BE$4:$BE$1000,$B31)&amp;"")</f>
        <v/>
      </c>
      <c r="Q31" s="7" t="str">
        <f aca="false">IF($B31="","",INDEX(MASTER_DATABASE!$AV$4:$AV$1000,$B31)&amp;"")</f>
        <v/>
      </c>
    </row>
    <row r="32" customFormat="false" ht="15" hidden="false" customHeight="false" outlineLevel="0" collapsed="false">
      <c r="A32" s="11" t="n">
        <v>29</v>
      </c>
      <c r="B32" s="11" t="str">
        <f aca="false">IFERROR(MATCH("Travel / Ticketing|"&amp;$A32,MASTER_DATABASE!$BH$4:$BH$1000,0),"")</f>
        <v/>
      </c>
      <c r="C32" s="11" t="str">
        <f aca="false">IF($B32="","",INDEX(MASTER_DATABASE!$A$4:$A$1000,$B32)&amp;"")</f>
        <v/>
      </c>
      <c r="D32" s="7" t="str">
        <f aca="false">IF($B32="","",INDEX(MASTER_DATABASE!$D$4:$D$1000,$B32)&amp;"")</f>
        <v/>
      </c>
      <c r="E32" s="7" t="str">
        <f aca="false">IF($B32="","",INDEX(MASTER_DATABASE!$E$4:$E$1000,$B32)&amp;"")</f>
        <v/>
      </c>
      <c r="F32" s="7" t="str">
        <f aca="false">IF($B32="","",INDEX(MASTER_DATABASE!$F$4:$F$1000,$B32)&amp;"")</f>
        <v/>
      </c>
      <c r="G32" s="11" t="str">
        <f aca="false">IF($B32="","",INDEX(MASTER_DATABASE!$I$4:$I$1000,$B32)&amp;"")</f>
        <v/>
      </c>
      <c r="H32" s="7" t="str">
        <f aca="false">IF($B32="","",INDEX(MASTER_DATABASE!$L$4:$L$1000,$B32)&amp;"")</f>
        <v/>
      </c>
      <c r="I32" s="9" t="str">
        <f aca="false">IF($B32="","",INDEX(MASTER_DATABASE!$R$4:$R$1000,$B32))</f>
        <v/>
      </c>
      <c r="J32" s="9" t="str">
        <f aca="false">IF($B32="","",INDEX(MASTER_DATABASE!$S$4:$S$1000,$B32))</f>
        <v/>
      </c>
      <c r="K32" s="9" t="str">
        <f aca="false">IF($B32="","",INDEX(MASTER_DATABASE!$T$4:$T$1000,$B32))</f>
        <v/>
      </c>
      <c r="L32" s="7" t="str">
        <f aca="false">IF($B32="","",INDEX(MASTER_DATABASE!$U$4:$U$1000,$B32)&amp;"")</f>
        <v/>
      </c>
      <c r="M32" s="7" t="str">
        <f aca="false">IF($B32="","",INDEX(MASTER_DATABASE!$Q$4:$Q$1000,$B32)&amp;"")</f>
        <v/>
      </c>
      <c r="N32" s="7" t="str">
        <f aca="false">IF($B32="","",INDEX(MASTER_DATABASE!$AG$4:$AG$1000,$B32)&amp;"")</f>
        <v/>
      </c>
      <c r="O32" s="11" t="str">
        <f aca="false">IF($B32="","",INDEX(MASTER_DATABASE!$AH$4:$AH$1000,$B32)&amp;"")</f>
        <v/>
      </c>
      <c r="P32" s="11" t="str">
        <f aca="false">IF($B32="","",INDEX(MASTER_DATABASE!$BE$4:$BE$1000,$B32)&amp;"")</f>
        <v/>
      </c>
      <c r="Q32" s="7" t="str">
        <f aca="false">IF($B32="","",INDEX(MASTER_DATABASE!$AV$4:$AV$1000,$B32)&amp;"")</f>
        <v/>
      </c>
    </row>
    <row r="33" customFormat="false" ht="15" hidden="false" customHeight="false" outlineLevel="0" collapsed="false">
      <c r="A33" s="11" t="n">
        <v>30</v>
      </c>
      <c r="B33" s="11" t="str">
        <f aca="false">IFERROR(MATCH("Travel / Ticketing|"&amp;$A33,MASTER_DATABASE!$BH$4:$BH$1000,0),"")</f>
        <v/>
      </c>
      <c r="C33" s="11" t="str">
        <f aca="false">IF($B33="","",INDEX(MASTER_DATABASE!$A$4:$A$1000,$B33)&amp;"")</f>
        <v/>
      </c>
      <c r="D33" s="7" t="str">
        <f aca="false">IF($B33="","",INDEX(MASTER_DATABASE!$D$4:$D$1000,$B33)&amp;"")</f>
        <v/>
      </c>
      <c r="E33" s="7" t="str">
        <f aca="false">IF($B33="","",INDEX(MASTER_DATABASE!$E$4:$E$1000,$B33)&amp;"")</f>
        <v/>
      </c>
      <c r="F33" s="7" t="str">
        <f aca="false">IF($B33="","",INDEX(MASTER_DATABASE!$F$4:$F$1000,$B33)&amp;"")</f>
        <v/>
      </c>
      <c r="G33" s="11" t="str">
        <f aca="false">IF($B33="","",INDEX(MASTER_DATABASE!$I$4:$I$1000,$B33)&amp;"")</f>
        <v/>
      </c>
      <c r="H33" s="7" t="str">
        <f aca="false">IF($B33="","",INDEX(MASTER_DATABASE!$L$4:$L$1000,$B33)&amp;"")</f>
        <v/>
      </c>
      <c r="I33" s="9" t="str">
        <f aca="false">IF($B33="","",INDEX(MASTER_DATABASE!$R$4:$R$1000,$B33))</f>
        <v/>
      </c>
      <c r="J33" s="9" t="str">
        <f aca="false">IF($B33="","",INDEX(MASTER_DATABASE!$S$4:$S$1000,$B33))</f>
        <v/>
      </c>
      <c r="K33" s="9" t="str">
        <f aca="false">IF($B33="","",INDEX(MASTER_DATABASE!$T$4:$T$1000,$B33))</f>
        <v/>
      </c>
      <c r="L33" s="7" t="str">
        <f aca="false">IF($B33="","",INDEX(MASTER_DATABASE!$U$4:$U$1000,$B33)&amp;"")</f>
        <v/>
      </c>
      <c r="M33" s="7" t="str">
        <f aca="false">IF($B33="","",INDEX(MASTER_DATABASE!$Q$4:$Q$1000,$B33)&amp;"")</f>
        <v/>
      </c>
      <c r="N33" s="7" t="str">
        <f aca="false">IF($B33="","",INDEX(MASTER_DATABASE!$AG$4:$AG$1000,$B33)&amp;"")</f>
        <v/>
      </c>
      <c r="O33" s="11" t="str">
        <f aca="false">IF($B33="","",INDEX(MASTER_DATABASE!$AH$4:$AH$1000,$B33)&amp;"")</f>
        <v/>
      </c>
      <c r="P33" s="11" t="str">
        <f aca="false">IF($B33="","",INDEX(MASTER_DATABASE!$BE$4:$BE$1000,$B33)&amp;"")</f>
        <v/>
      </c>
      <c r="Q33" s="7" t="str">
        <f aca="false">IF($B33="","",INDEX(MASTER_DATABASE!$AV$4:$AV$1000,$B33)&amp;"")</f>
        <v/>
      </c>
    </row>
    <row r="34" customFormat="false" ht="15" hidden="false" customHeight="false" outlineLevel="0" collapsed="false">
      <c r="A34" s="11" t="n">
        <v>31</v>
      </c>
      <c r="B34" s="11" t="str">
        <f aca="false">IFERROR(MATCH("Travel / Ticketing|"&amp;$A34,MASTER_DATABASE!$BH$4:$BH$1000,0),"")</f>
        <v/>
      </c>
      <c r="C34" s="11" t="str">
        <f aca="false">IF($B34="","",INDEX(MASTER_DATABASE!$A$4:$A$1000,$B34)&amp;"")</f>
        <v/>
      </c>
      <c r="D34" s="7" t="str">
        <f aca="false">IF($B34="","",INDEX(MASTER_DATABASE!$D$4:$D$1000,$B34)&amp;"")</f>
        <v/>
      </c>
      <c r="E34" s="7" t="str">
        <f aca="false">IF($B34="","",INDEX(MASTER_DATABASE!$E$4:$E$1000,$B34)&amp;"")</f>
        <v/>
      </c>
      <c r="F34" s="7" t="str">
        <f aca="false">IF($B34="","",INDEX(MASTER_DATABASE!$F$4:$F$1000,$B34)&amp;"")</f>
        <v/>
      </c>
      <c r="G34" s="11" t="str">
        <f aca="false">IF($B34="","",INDEX(MASTER_DATABASE!$I$4:$I$1000,$B34)&amp;"")</f>
        <v/>
      </c>
      <c r="H34" s="7" t="str">
        <f aca="false">IF($B34="","",INDEX(MASTER_DATABASE!$L$4:$L$1000,$B34)&amp;"")</f>
        <v/>
      </c>
      <c r="I34" s="9" t="str">
        <f aca="false">IF($B34="","",INDEX(MASTER_DATABASE!$R$4:$R$1000,$B34))</f>
        <v/>
      </c>
      <c r="J34" s="9" t="str">
        <f aca="false">IF($B34="","",INDEX(MASTER_DATABASE!$S$4:$S$1000,$B34))</f>
        <v/>
      </c>
      <c r="K34" s="9" t="str">
        <f aca="false">IF($B34="","",INDEX(MASTER_DATABASE!$T$4:$T$1000,$B34))</f>
        <v/>
      </c>
      <c r="L34" s="7" t="str">
        <f aca="false">IF($B34="","",INDEX(MASTER_DATABASE!$U$4:$U$1000,$B34)&amp;"")</f>
        <v/>
      </c>
      <c r="M34" s="7" t="str">
        <f aca="false">IF($B34="","",INDEX(MASTER_DATABASE!$Q$4:$Q$1000,$B34)&amp;"")</f>
        <v/>
      </c>
      <c r="N34" s="7" t="str">
        <f aca="false">IF($B34="","",INDEX(MASTER_DATABASE!$AG$4:$AG$1000,$B34)&amp;"")</f>
        <v/>
      </c>
      <c r="O34" s="11" t="str">
        <f aca="false">IF($B34="","",INDEX(MASTER_DATABASE!$AH$4:$AH$1000,$B34)&amp;"")</f>
        <v/>
      </c>
      <c r="P34" s="11" t="str">
        <f aca="false">IF($B34="","",INDEX(MASTER_DATABASE!$BE$4:$BE$1000,$B34)&amp;"")</f>
        <v/>
      </c>
      <c r="Q34" s="7" t="str">
        <f aca="false">IF($B34="","",INDEX(MASTER_DATABASE!$AV$4:$AV$1000,$B34)&amp;"")</f>
        <v/>
      </c>
    </row>
    <row r="35" customFormat="false" ht="15" hidden="false" customHeight="false" outlineLevel="0" collapsed="false">
      <c r="A35" s="11" t="n">
        <v>32</v>
      </c>
      <c r="B35" s="11" t="str">
        <f aca="false">IFERROR(MATCH("Travel / Ticketing|"&amp;$A35,MASTER_DATABASE!$BH$4:$BH$1000,0),"")</f>
        <v/>
      </c>
      <c r="C35" s="11" t="str">
        <f aca="false">IF($B35="","",INDEX(MASTER_DATABASE!$A$4:$A$1000,$B35)&amp;"")</f>
        <v/>
      </c>
      <c r="D35" s="7" t="str">
        <f aca="false">IF($B35="","",INDEX(MASTER_DATABASE!$D$4:$D$1000,$B35)&amp;"")</f>
        <v/>
      </c>
      <c r="E35" s="7" t="str">
        <f aca="false">IF($B35="","",INDEX(MASTER_DATABASE!$E$4:$E$1000,$B35)&amp;"")</f>
        <v/>
      </c>
      <c r="F35" s="7" t="str">
        <f aca="false">IF($B35="","",INDEX(MASTER_DATABASE!$F$4:$F$1000,$B35)&amp;"")</f>
        <v/>
      </c>
      <c r="G35" s="11" t="str">
        <f aca="false">IF($B35="","",INDEX(MASTER_DATABASE!$I$4:$I$1000,$B35)&amp;"")</f>
        <v/>
      </c>
      <c r="H35" s="7" t="str">
        <f aca="false">IF($B35="","",INDEX(MASTER_DATABASE!$L$4:$L$1000,$B35)&amp;"")</f>
        <v/>
      </c>
      <c r="I35" s="9" t="str">
        <f aca="false">IF($B35="","",INDEX(MASTER_DATABASE!$R$4:$R$1000,$B35))</f>
        <v/>
      </c>
      <c r="J35" s="9" t="str">
        <f aca="false">IF($B35="","",INDEX(MASTER_DATABASE!$S$4:$S$1000,$B35))</f>
        <v/>
      </c>
      <c r="K35" s="9" t="str">
        <f aca="false">IF($B35="","",INDEX(MASTER_DATABASE!$T$4:$T$1000,$B35))</f>
        <v/>
      </c>
      <c r="L35" s="7" t="str">
        <f aca="false">IF($B35="","",INDEX(MASTER_DATABASE!$U$4:$U$1000,$B35)&amp;"")</f>
        <v/>
      </c>
      <c r="M35" s="7" t="str">
        <f aca="false">IF($B35="","",INDEX(MASTER_DATABASE!$Q$4:$Q$1000,$B35)&amp;"")</f>
        <v/>
      </c>
      <c r="N35" s="7" t="str">
        <f aca="false">IF($B35="","",INDEX(MASTER_DATABASE!$AG$4:$AG$1000,$B35)&amp;"")</f>
        <v/>
      </c>
      <c r="O35" s="11" t="str">
        <f aca="false">IF($B35="","",INDEX(MASTER_DATABASE!$AH$4:$AH$1000,$B35)&amp;"")</f>
        <v/>
      </c>
      <c r="P35" s="11" t="str">
        <f aca="false">IF($B35="","",INDEX(MASTER_DATABASE!$BE$4:$BE$1000,$B35)&amp;"")</f>
        <v/>
      </c>
      <c r="Q35" s="7" t="str">
        <f aca="false">IF($B35="","",INDEX(MASTER_DATABASE!$AV$4:$AV$1000,$B35)&amp;"")</f>
        <v/>
      </c>
    </row>
    <row r="36" customFormat="false" ht="15" hidden="false" customHeight="false" outlineLevel="0" collapsed="false">
      <c r="A36" s="11" t="n">
        <v>33</v>
      </c>
      <c r="B36" s="11" t="str">
        <f aca="false">IFERROR(MATCH("Travel / Ticketing|"&amp;$A36,MASTER_DATABASE!$BH$4:$BH$1000,0),"")</f>
        <v/>
      </c>
      <c r="C36" s="11" t="str">
        <f aca="false">IF($B36="","",INDEX(MASTER_DATABASE!$A$4:$A$1000,$B36)&amp;"")</f>
        <v/>
      </c>
      <c r="D36" s="7" t="str">
        <f aca="false">IF($B36="","",INDEX(MASTER_DATABASE!$D$4:$D$1000,$B36)&amp;"")</f>
        <v/>
      </c>
      <c r="E36" s="7" t="str">
        <f aca="false">IF($B36="","",INDEX(MASTER_DATABASE!$E$4:$E$1000,$B36)&amp;"")</f>
        <v/>
      </c>
      <c r="F36" s="7" t="str">
        <f aca="false">IF($B36="","",INDEX(MASTER_DATABASE!$F$4:$F$1000,$B36)&amp;"")</f>
        <v/>
      </c>
      <c r="G36" s="11" t="str">
        <f aca="false">IF($B36="","",INDEX(MASTER_DATABASE!$I$4:$I$1000,$B36)&amp;"")</f>
        <v/>
      </c>
      <c r="H36" s="7" t="str">
        <f aca="false">IF($B36="","",INDEX(MASTER_DATABASE!$L$4:$L$1000,$B36)&amp;"")</f>
        <v/>
      </c>
      <c r="I36" s="9" t="str">
        <f aca="false">IF($B36="","",INDEX(MASTER_DATABASE!$R$4:$R$1000,$B36))</f>
        <v/>
      </c>
      <c r="J36" s="9" t="str">
        <f aca="false">IF($B36="","",INDEX(MASTER_DATABASE!$S$4:$S$1000,$B36))</f>
        <v/>
      </c>
      <c r="K36" s="9" t="str">
        <f aca="false">IF($B36="","",INDEX(MASTER_DATABASE!$T$4:$T$1000,$B36))</f>
        <v/>
      </c>
      <c r="L36" s="7" t="str">
        <f aca="false">IF($B36="","",INDEX(MASTER_DATABASE!$U$4:$U$1000,$B36)&amp;"")</f>
        <v/>
      </c>
      <c r="M36" s="7" t="str">
        <f aca="false">IF($B36="","",INDEX(MASTER_DATABASE!$Q$4:$Q$1000,$B36)&amp;"")</f>
        <v/>
      </c>
      <c r="N36" s="7" t="str">
        <f aca="false">IF($B36="","",INDEX(MASTER_DATABASE!$AG$4:$AG$1000,$B36)&amp;"")</f>
        <v/>
      </c>
      <c r="O36" s="11" t="str">
        <f aca="false">IF($B36="","",INDEX(MASTER_DATABASE!$AH$4:$AH$1000,$B36)&amp;"")</f>
        <v/>
      </c>
      <c r="P36" s="11" t="str">
        <f aca="false">IF($B36="","",INDEX(MASTER_DATABASE!$BE$4:$BE$1000,$B36)&amp;"")</f>
        <v/>
      </c>
      <c r="Q36" s="7" t="str">
        <f aca="false">IF($B36="","",INDEX(MASTER_DATABASE!$AV$4:$AV$1000,$B36)&amp;"")</f>
        <v/>
      </c>
    </row>
    <row r="37" customFormat="false" ht="15" hidden="false" customHeight="false" outlineLevel="0" collapsed="false">
      <c r="A37" s="11" t="n">
        <v>34</v>
      </c>
      <c r="B37" s="11" t="str">
        <f aca="false">IFERROR(MATCH("Travel / Ticketing|"&amp;$A37,MASTER_DATABASE!$BH$4:$BH$1000,0),"")</f>
        <v/>
      </c>
      <c r="C37" s="11" t="str">
        <f aca="false">IF($B37="","",INDEX(MASTER_DATABASE!$A$4:$A$1000,$B37)&amp;"")</f>
        <v/>
      </c>
      <c r="D37" s="7" t="str">
        <f aca="false">IF($B37="","",INDEX(MASTER_DATABASE!$D$4:$D$1000,$B37)&amp;"")</f>
        <v/>
      </c>
      <c r="E37" s="7" t="str">
        <f aca="false">IF($B37="","",INDEX(MASTER_DATABASE!$E$4:$E$1000,$B37)&amp;"")</f>
        <v/>
      </c>
      <c r="F37" s="7" t="str">
        <f aca="false">IF($B37="","",INDEX(MASTER_DATABASE!$F$4:$F$1000,$B37)&amp;"")</f>
        <v/>
      </c>
      <c r="G37" s="11" t="str">
        <f aca="false">IF($B37="","",INDEX(MASTER_DATABASE!$I$4:$I$1000,$B37)&amp;"")</f>
        <v/>
      </c>
      <c r="H37" s="7" t="str">
        <f aca="false">IF($B37="","",INDEX(MASTER_DATABASE!$L$4:$L$1000,$B37)&amp;"")</f>
        <v/>
      </c>
      <c r="I37" s="9" t="str">
        <f aca="false">IF($B37="","",INDEX(MASTER_DATABASE!$R$4:$R$1000,$B37))</f>
        <v/>
      </c>
      <c r="J37" s="9" t="str">
        <f aca="false">IF($B37="","",INDEX(MASTER_DATABASE!$S$4:$S$1000,$B37))</f>
        <v/>
      </c>
      <c r="K37" s="9" t="str">
        <f aca="false">IF($B37="","",INDEX(MASTER_DATABASE!$T$4:$T$1000,$B37))</f>
        <v/>
      </c>
      <c r="L37" s="7" t="str">
        <f aca="false">IF($B37="","",INDEX(MASTER_DATABASE!$U$4:$U$1000,$B37)&amp;"")</f>
        <v/>
      </c>
      <c r="M37" s="7" t="str">
        <f aca="false">IF($B37="","",INDEX(MASTER_DATABASE!$Q$4:$Q$1000,$B37)&amp;"")</f>
        <v/>
      </c>
      <c r="N37" s="7" t="str">
        <f aca="false">IF($B37="","",INDEX(MASTER_DATABASE!$AG$4:$AG$1000,$B37)&amp;"")</f>
        <v/>
      </c>
      <c r="O37" s="11" t="str">
        <f aca="false">IF($B37="","",INDEX(MASTER_DATABASE!$AH$4:$AH$1000,$B37)&amp;"")</f>
        <v/>
      </c>
      <c r="P37" s="11" t="str">
        <f aca="false">IF($B37="","",INDEX(MASTER_DATABASE!$BE$4:$BE$1000,$B37)&amp;"")</f>
        <v/>
      </c>
      <c r="Q37" s="7" t="str">
        <f aca="false">IF($B37="","",INDEX(MASTER_DATABASE!$AV$4:$AV$1000,$B37)&amp;"")</f>
        <v/>
      </c>
    </row>
  </sheetData>
  <conditionalFormatting sqref="G4:G37">
    <cfRule type="cellIs" priority="2" operator="equal" aboveAverage="0" equalAverage="0" bottom="0" percent="0" rank="0" text="" dxfId="14">
      <formula>"Available"</formula>
    </cfRule>
    <cfRule type="cellIs" priority="3" operator="equal" aboveAverage="0" equalAverage="0" bottom="0" percent="0" rank="0" text="" dxfId="15">
      <formula>"Authorization Required"</formula>
    </cfRule>
    <cfRule type="cellIs" priority="4" operator="equal" aboveAverage="0" equalAverage="0" bottom="0" percent="0" rank="0" text="" dxfId="16">
      <formula>"Portal Dependent"</formula>
    </cfRule>
    <cfRule type="cellIs" priority="5" operator="equal" aboveAverage="0" equalAverage="0" bottom="0" percent="0" rank="0" text="" dxfId="17">
      <formula>"To Verify"</formula>
    </cfRule>
    <cfRule type="cellIs" priority="6" operator="equal" aboveAverage="0" equalAverage="0" bottom="0" percent="0" rank="0" text="" dxfId="18">
      <formula>"Not Available"</formula>
    </cfRule>
    <cfRule type="cellIs" priority="7" operator="equal" aboveAverage="0" equalAverage="0" bottom="0" percent="0" rank="0" text="" dxfId="19">
      <formula>"Temporarily Unavailable"</formula>
    </cfRule>
    <cfRule type="cellIs" priority="8" operator="equal" aboveAverage="0" equalAverage="0" bottom="0" percent="0" rank="0" text="" dxfId="20">
      <formula>"Appointment Required"</formula>
    </cfRule>
  </conditionalFormatting>
  <conditionalFormatting sqref="N4:N37">
    <cfRule type="cellIs" priority="9" operator="equal" aboveAverage="0" equalAverage="0" bottom="0" percent="0" rank="0" text="" dxfId="14">
      <formula>"Active"</formula>
    </cfRule>
    <cfRule type="cellIs" priority="10" operator="equal" aboveAverage="0" equalAverage="0" bottom="0" percent="0" rank="0" text="" dxfId="21">
      <formula>"Inactive"</formula>
    </cfRule>
    <cfRule type="cellIs" priority="11" operator="equal" aboveAverage="0" equalAverage="0" bottom="0" percent="0" rank="0" text="" dxfId="19">
      <formula>"Temporarily Closed"</formula>
    </cfRule>
    <cfRule type="cellIs" priority="12" operator="equal" aboveAverage="0" equalAverage="0" bottom="0" percent="0" rank="0" text="" dxfId="20">
      <formula>"Coming Soon"</formula>
    </cfRule>
    <cfRule type="cellIs" priority="13" operator="equal" aboveAverage="0" equalAverage="0" bottom="0" percent="0" rank="0" text="" dxfId="17">
      <formula>"To Verify"</formula>
    </cfRule>
    <cfRule type="cellIs" priority="14" operator="equal" aboveAverage="0" equalAverage="0" bottom="0" percent="0" rank="0" text="" dxfId="14">
      <formula>"LIVE"</formula>
    </cfRule>
    <cfRule type="cellIs" priority="15" operator="equal" aboveAverage="0" equalAverage="0" bottom="0" percent="0" rank="0" text="" dxfId="21">
      <formula>"HIDDEN"</formula>
    </cfRule>
  </conditionalFormatting>
  <conditionalFormatting sqref="P4:P37">
    <cfRule type="cellIs" priority="16" operator="equal" aboveAverage="0" equalAverage="0" bottom="0" percent="0" rank="0" text="" dxfId="14">
      <formula>"Active"</formula>
    </cfRule>
    <cfRule type="cellIs" priority="17" operator="equal" aboveAverage="0" equalAverage="0" bottom="0" percent="0" rank="0" text="" dxfId="21">
      <formula>"Inactive"</formula>
    </cfRule>
    <cfRule type="cellIs" priority="18" operator="equal" aboveAverage="0" equalAverage="0" bottom="0" percent="0" rank="0" text="" dxfId="19">
      <formula>"Temporarily Closed"</formula>
    </cfRule>
    <cfRule type="cellIs" priority="19" operator="equal" aboveAverage="0" equalAverage="0" bottom="0" percent="0" rank="0" text="" dxfId="20">
      <formula>"Coming Soon"</formula>
    </cfRule>
    <cfRule type="cellIs" priority="20" operator="equal" aboveAverage="0" equalAverage="0" bottom="0" percent="0" rank="0" text="" dxfId="17">
      <formula>"To Verify"</formula>
    </cfRule>
    <cfRule type="cellIs" priority="21" operator="equal" aboveAverage="0" equalAverage="0" bottom="0" percent="0" rank="0" text="" dxfId="14">
      <formula>"LIVE"</formula>
    </cfRule>
    <cfRule type="cellIs" priority="22" operator="equal" aboveAverage="0" equalAverage="0" bottom="0" percent="0" rank="0" text="" dxfId="21">
      <formula>"HIDDEN"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70"/>
    <col collapsed="false" customWidth="true" hidden="false" outlineLevel="0" max="4" min="4" style="0" width="2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3702</v>
      </c>
    </row>
    <row r="2" customFormat="false" ht="15" hidden="false" customHeight="false" outlineLevel="0" collapsed="false">
      <c r="A2" s="2" t="s">
        <v>3703</v>
      </c>
    </row>
    <row r="3" customFormat="false" ht="33.75" hidden="false" customHeight="true" outlineLevel="0" collapsed="false">
      <c r="A3" s="3" t="s">
        <v>3704</v>
      </c>
      <c r="B3" s="3" t="s">
        <v>3705</v>
      </c>
      <c r="C3" s="3" t="s">
        <v>3706</v>
      </c>
      <c r="D3" s="3" t="s">
        <v>3707</v>
      </c>
      <c r="E3" s="3" t="s">
        <v>3422</v>
      </c>
    </row>
    <row r="4" customFormat="false" ht="15" hidden="false" customHeight="false" outlineLevel="0" collapsed="false">
      <c r="A4" s="6" t="s">
        <v>3663</v>
      </c>
      <c r="B4" s="6" t="s">
        <v>3708</v>
      </c>
      <c r="C4" s="6" t="s">
        <v>3709</v>
      </c>
      <c r="D4" s="6" t="s">
        <v>3710</v>
      </c>
      <c r="E4" s="6"/>
    </row>
    <row r="5" customFormat="false" ht="15" hidden="false" customHeight="false" outlineLevel="0" collapsed="false">
      <c r="A5" s="6" t="s">
        <v>3664</v>
      </c>
      <c r="B5" s="6" t="s">
        <v>3711</v>
      </c>
      <c r="C5" s="6" t="s">
        <v>3711</v>
      </c>
      <c r="D5" s="6" t="s">
        <v>3711</v>
      </c>
      <c r="E5" s="6" t="s">
        <v>3712</v>
      </c>
    </row>
    <row r="6" customFormat="false" ht="15" hidden="false" customHeight="false" outlineLevel="0" collapsed="false">
      <c r="A6" s="6" t="s">
        <v>3713</v>
      </c>
      <c r="B6" s="6" t="s">
        <v>3711</v>
      </c>
      <c r="C6" s="6" t="s">
        <v>3711</v>
      </c>
      <c r="D6" s="6" t="s">
        <v>3711</v>
      </c>
      <c r="E6" s="6" t="s">
        <v>3714</v>
      </c>
    </row>
    <row r="7" customFormat="false" ht="15" hidden="false" customHeight="false" outlineLevel="0" collapsed="false">
      <c r="A7" s="6" t="s">
        <v>3715</v>
      </c>
      <c r="B7" s="6" t="s">
        <v>3711</v>
      </c>
      <c r="C7" s="6" t="s">
        <v>3711</v>
      </c>
      <c r="D7" s="6" t="s">
        <v>3711</v>
      </c>
      <c r="E7" s="6" t="s">
        <v>3716</v>
      </c>
    </row>
    <row r="8" customFormat="false" ht="23.85" hidden="false" customHeight="false" outlineLevel="0" collapsed="false">
      <c r="A8" s="6" t="s">
        <v>3665</v>
      </c>
      <c r="B8" s="6" t="s">
        <v>75</v>
      </c>
      <c r="C8" s="6" t="s">
        <v>75</v>
      </c>
      <c r="D8" s="6" t="s">
        <v>75</v>
      </c>
      <c r="E8" s="6" t="s">
        <v>3717</v>
      </c>
    </row>
    <row r="9" customFormat="false" ht="15" hidden="false" customHeight="false" outlineLevel="0" collapsed="false">
      <c r="A9" s="6" t="s">
        <v>3666</v>
      </c>
      <c r="B9" s="6" t="s">
        <v>75</v>
      </c>
      <c r="C9" s="6" t="s">
        <v>75</v>
      </c>
      <c r="D9" s="6" t="s">
        <v>75</v>
      </c>
      <c r="E9" s="6" t="s">
        <v>3718</v>
      </c>
    </row>
    <row r="10" customFormat="false" ht="15" hidden="false" customHeight="false" outlineLevel="0" collapsed="false">
      <c r="A10" s="6" t="s">
        <v>3719</v>
      </c>
      <c r="B10" s="6" t="s">
        <v>75</v>
      </c>
      <c r="C10" s="6" t="s">
        <v>75</v>
      </c>
      <c r="D10" s="6" t="s">
        <v>75</v>
      </c>
      <c r="E10" s="6" t="s">
        <v>3720</v>
      </c>
    </row>
    <row r="11" customFormat="false" ht="15" hidden="false" customHeight="false" outlineLevel="0" collapsed="false">
      <c r="A11" s="6" t="s">
        <v>3667</v>
      </c>
      <c r="B11" s="6" t="s">
        <v>75</v>
      </c>
      <c r="C11" s="6" t="s">
        <v>75</v>
      </c>
      <c r="D11" s="6" t="s">
        <v>75</v>
      </c>
      <c r="E11" s="6" t="s">
        <v>3721</v>
      </c>
    </row>
    <row r="12" customFormat="false" ht="15" hidden="false" customHeight="false" outlineLevel="0" collapsed="false">
      <c r="A12" s="6" t="s">
        <v>3668</v>
      </c>
      <c r="B12" s="6" t="s">
        <v>75</v>
      </c>
      <c r="C12" s="6" t="s">
        <v>75</v>
      </c>
      <c r="D12" s="6" t="s">
        <v>75</v>
      </c>
      <c r="E12" s="6" t="s">
        <v>3722</v>
      </c>
    </row>
    <row r="13" customFormat="false" ht="15" hidden="false" customHeight="false" outlineLevel="0" collapsed="false">
      <c r="A13" s="6" t="s">
        <v>3723</v>
      </c>
      <c r="B13" s="6" t="s">
        <v>75</v>
      </c>
      <c r="C13" s="6" t="s">
        <v>75</v>
      </c>
      <c r="D13" s="6" t="s">
        <v>75</v>
      </c>
      <c r="E13" s="6" t="s">
        <v>3724</v>
      </c>
    </row>
    <row r="14" customFormat="false" ht="23.85" hidden="false" customHeight="false" outlineLevel="0" collapsed="false">
      <c r="A14" s="6" t="s">
        <v>3725</v>
      </c>
      <c r="B14" s="6" t="s">
        <v>3726</v>
      </c>
      <c r="C14" s="6" t="s">
        <v>3727</v>
      </c>
      <c r="D14" s="6" t="s">
        <v>3728</v>
      </c>
      <c r="E14" s="6" t="s">
        <v>3729</v>
      </c>
    </row>
    <row r="15" customFormat="false" ht="23.85" hidden="false" customHeight="false" outlineLevel="0" collapsed="false">
      <c r="A15" s="6" t="s">
        <v>3730</v>
      </c>
      <c r="B15" s="6" t="s">
        <v>3731</v>
      </c>
      <c r="C15" s="6" t="s">
        <v>3732</v>
      </c>
      <c r="D15" s="6" t="s">
        <v>3728</v>
      </c>
      <c r="E15" s="6" t="s">
        <v>3729</v>
      </c>
    </row>
    <row r="16" customFormat="false" ht="15" hidden="false" customHeight="false" outlineLevel="0" collapsed="false">
      <c r="A16" s="6" t="s">
        <v>3733</v>
      </c>
      <c r="B16" s="6" t="s">
        <v>3734</v>
      </c>
      <c r="C16" s="6" t="s">
        <v>3735</v>
      </c>
      <c r="D16" s="6" t="s">
        <v>3728</v>
      </c>
      <c r="E16" s="6" t="s">
        <v>3729</v>
      </c>
    </row>
  </sheetData>
  <dataValidations count="1">
    <dataValidation allowBlank="true" error="Please choose a value from the dropdown list." errorStyle="stop" errorTitle="Invalid value" operator="between" showDropDown="false" showErrorMessage="true" showInputMessage="false" sqref="D4:D60" type="list">
      <formula1>LISTS!$M$4:$M$7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1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3736</v>
      </c>
    </row>
    <row r="2" customFormat="false" ht="15" hidden="false" customHeight="false" outlineLevel="0" collapsed="false">
      <c r="A2" s="2" t="s">
        <v>3737</v>
      </c>
    </row>
    <row r="3" customFormat="false" ht="33.75" hidden="false" customHeight="true" outlineLevel="0" collapsed="false">
      <c r="A3" s="4" t="s">
        <v>3680</v>
      </c>
      <c r="B3" s="4" t="s">
        <v>3681</v>
      </c>
      <c r="C3" s="4" t="s">
        <v>2</v>
      </c>
      <c r="D3" s="4" t="s">
        <v>3</v>
      </c>
      <c r="E3" s="4" t="s">
        <v>6</v>
      </c>
      <c r="F3" s="4" t="s">
        <v>10</v>
      </c>
      <c r="G3" s="4" t="s">
        <v>13</v>
      </c>
      <c r="H3" s="4" t="s">
        <v>22</v>
      </c>
      <c r="I3" s="4" t="s">
        <v>49</v>
      </c>
      <c r="J3" s="4" t="s">
        <v>50</v>
      </c>
    </row>
    <row r="4" customFormat="false" ht="23.85" hidden="false" customHeight="false" outlineLevel="0" collapsed="false">
      <c r="A4" s="11" t="n">
        <v>1</v>
      </c>
      <c r="B4" s="11" t="n">
        <f aca="false">IFERROR(MATCH($A4,MASTER_DATABASE!$BL$4:$BL$1000,0),"")</f>
        <v>4</v>
      </c>
      <c r="C4" s="11" t="str">
        <f aca="false">IF($B4="","",INDEX(MASTER_DATABASE!$A$4:$A$1000,$B4)&amp;"")</f>
        <v>AAD-004</v>
      </c>
      <c r="D4" s="7" t="str">
        <f aca="false">IF($B4="","",INDEX(MASTER_DATABASE!$B$4:$B$1000,$B4)&amp;"")</f>
        <v>Aadhaar Centre</v>
      </c>
      <c r="E4" s="7" t="str">
        <f aca="false">IF($B4="","",INDEX(MASTER_DATABASE!$E$4:$E$1000,$B4)&amp;"")</f>
        <v>Aadhaar Enrolment – Head of Family / Introducer Based</v>
      </c>
      <c r="F4" s="7" t="str">
        <f aca="false">IF($B4="","",INDEX(MASTER_DATABASE!$I$4:$I$1000,$B4)&amp;"")</f>
        <v>To Verify</v>
      </c>
      <c r="G4" s="7" t="str">
        <f aca="false">IF($B4="","",INDEX(MASTER_DATABASE!$L$4:$L$1000,$B4)&amp;"")</f>
        <v>To Verify</v>
      </c>
      <c r="H4" s="7" t="str">
        <f aca="false">IF($B4="","",INDEX(MASTER_DATABASE!$U$4:$U$1000,$B4)&amp;"")</f>
        <v>To Verify</v>
      </c>
      <c r="I4" s="7" t="str">
        <f aca="false">IF($B4="","",INDEX(MASTER_DATABASE!$AV$4:$AV$1000,$B4)&amp;"")</f>
        <v>To Verify</v>
      </c>
      <c r="J4" s="7" t="str">
        <f aca="false">IF($B4="","",INDEX(MASTER_DATABASE!$AW$4:$AW$1000,$B4)&amp;"")</f>
        <v>Only where UIDAI currently permits; confirm with your Registrar</v>
      </c>
    </row>
    <row r="5" customFormat="false" ht="23.85" hidden="false" customHeight="false" outlineLevel="0" collapsed="false">
      <c r="A5" s="11" t="n">
        <v>2</v>
      </c>
      <c r="B5" s="11" t="n">
        <f aca="false">IFERROR(MATCH($A5,MASTER_DATABASE!$BL$4:$BL$1000,0),"")</f>
        <v>5</v>
      </c>
      <c r="C5" s="11" t="str">
        <f aca="false">IF($B5="","",INDEX(MASTER_DATABASE!$A$4:$A$1000,$B5)&amp;"")</f>
        <v>AAD-005</v>
      </c>
      <c r="D5" s="7" t="str">
        <f aca="false">IF($B5="","",INDEX(MASTER_DATABASE!$B$4:$B$1000,$B5)&amp;"")</f>
        <v>Aadhaar Centre</v>
      </c>
      <c r="E5" s="7" t="str">
        <f aca="false">IF($B5="","",INDEX(MASTER_DATABASE!$E$4:$E$1000,$B5)&amp;"")</f>
        <v>Aadhaar Enrolment – NRI / Foreign Resident</v>
      </c>
      <c r="F5" s="7" t="str">
        <f aca="false">IF($B5="","",INDEX(MASTER_DATABASE!$I$4:$I$1000,$B5)&amp;"")</f>
        <v>To Verify</v>
      </c>
      <c r="G5" s="7" t="str">
        <f aca="false">IF($B5="","",INDEX(MASTER_DATABASE!$L$4:$L$1000,$B5)&amp;"")</f>
        <v>To Verify</v>
      </c>
      <c r="H5" s="7" t="str">
        <f aca="false">IF($B5="","",INDEX(MASTER_DATABASE!$U$4:$U$1000,$B5)&amp;"")</f>
        <v>To Verify</v>
      </c>
      <c r="I5" s="7" t="str">
        <f aca="false">IF($B5="","",INDEX(MASTER_DATABASE!$AV$4:$AV$1000,$B5)&amp;"")</f>
        <v>To Verify</v>
      </c>
      <c r="J5" s="7" t="str">
        <f aca="false">IF($B5="","",INDEX(MASTER_DATABASE!$AW$4:$AW$1000,$B5)&amp;"")</f>
        <v>Usually handled at Aadhaar Seva Kendra; confirm before offering</v>
      </c>
    </row>
    <row r="6" customFormat="false" ht="15" hidden="false" customHeight="false" outlineLevel="0" collapsed="false">
      <c r="A6" s="11" t="n">
        <v>3</v>
      </c>
      <c r="B6" s="11" t="n">
        <f aca="false">IFERROR(MATCH($A6,MASTER_DATABASE!$BL$4:$BL$1000,0),"")</f>
        <v>6</v>
      </c>
      <c r="C6" s="11" t="str">
        <f aca="false">IF($B6="","",INDEX(MASTER_DATABASE!$A$4:$A$1000,$B6)&amp;"")</f>
        <v>AAD-006</v>
      </c>
      <c r="D6" s="7" t="str">
        <f aca="false">IF($B6="","",INDEX(MASTER_DATABASE!$B$4:$B$1000,$B6)&amp;"")</f>
        <v>Aadhaar Centre</v>
      </c>
      <c r="E6" s="7" t="str">
        <f aca="false">IF($B6="","",INDEX(MASTER_DATABASE!$E$4:$E$1000,$B6)&amp;"")</f>
        <v>Aadhaar Enrolment – Biometric Exception Case</v>
      </c>
      <c r="F6" s="7" t="str">
        <f aca="false">IF($B6="","",INDEX(MASTER_DATABASE!$I$4:$I$1000,$B6)&amp;"")</f>
        <v>To Verify</v>
      </c>
      <c r="G6" s="7" t="str">
        <f aca="false">IF($B6="","",INDEX(MASTER_DATABASE!$L$4:$L$1000,$B6)&amp;"")</f>
        <v>To Verify</v>
      </c>
      <c r="H6" s="7" t="str">
        <f aca="false">IF($B6="","",INDEX(MASTER_DATABASE!$U$4:$U$1000,$B6)&amp;"")</f>
        <v>To Verify</v>
      </c>
      <c r="I6" s="7" t="str">
        <f aca="false">IF($B6="","",INDEX(MASTER_DATABASE!$AV$4:$AV$1000,$B6)&amp;"")</f>
        <v>To Verify</v>
      </c>
      <c r="J6" s="7" t="str">
        <f aca="false">IF($B6="","",INDEX(MASTER_DATABASE!$AW$4:$AW$1000,$B6)&amp;"")</f>
        <v>Special procedure; confirm with Registrar / UIDAI</v>
      </c>
    </row>
    <row r="7" customFormat="false" ht="23.85" hidden="false" customHeight="false" outlineLevel="0" collapsed="false">
      <c r="A7" s="11" t="n">
        <v>4</v>
      </c>
      <c r="B7" s="11" t="n">
        <f aca="false">IFERROR(MATCH($A7,MASTER_DATABASE!$BL$4:$BL$1000,0),"")</f>
        <v>14</v>
      </c>
      <c r="C7" s="11" t="str">
        <f aca="false">IF($B7="","",INDEX(MASTER_DATABASE!$A$4:$A$1000,$B7)&amp;"")</f>
        <v>AAD-014</v>
      </c>
      <c r="D7" s="7" t="str">
        <f aca="false">IF($B7="","",INDEX(MASTER_DATABASE!$B$4:$B$1000,$B7)&amp;"")</f>
        <v>Aadhaar Centre</v>
      </c>
      <c r="E7" s="7" t="str">
        <f aca="false">IF($B7="","",INDEX(MASTER_DATABASE!$E$4:$E$1000,$B7)&amp;"")</f>
        <v>Aadhaar Relationship / Head of Family Detail Update</v>
      </c>
      <c r="F7" s="7" t="str">
        <f aca="false">IF($B7="","",INDEX(MASTER_DATABASE!$I$4:$I$1000,$B7)&amp;"")</f>
        <v>To Verify</v>
      </c>
      <c r="G7" s="7" t="str">
        <f aca="false">IF($B7="","",INDEX(MASTER_DATABASE!$L$4:$L$1000,$B7)&amp;"")</f>
        <v>To Verify</v>
      </c>
      <c r="H7" s="7" t="str">
        <f aca="false">IF($B7="","",INDEX(MASTER_DATABASE!$U$4:$U$1000,$B7)&amp;"")</f>
        <v>To Verify</v>
      </c>
      <c r="I7" s="7" t="str">
        <f aca="false">IF($B7="","",INDEX(MASTER_DATABASE!$AV$4:$AV$1000,$B7)&amp;"")</f>
        <v>To Verify</v>
      </c>
      <c r="J7" s="7" t="str">
        <f aca="false">IF($B7="","",INDEX(MASTER_DATABASE!$AW$4:$AW$1000,$B7)&amp;"")</f>
        <v>Confirm whether this field is updatable under your authorization</v>
      </c>
    </row>
    <row r="8" customFormat="false" ht="23.85" hidden="false" customHeight="false" outlineLevel="0" collapsed="false">
      <c r="A8" s="11" t="n">
        <v>5</v>
      </c>
      <c r="B8" s="11" t="n">
        <f aca="false">IFERROR(MATCH($A8,MASTER_DATABASE!$BL$4:$BL$1000,0),"")</f>
        <v>55</v>
      </c>
      <c r="C8" s="11" t="str">
        <f aca="false">IF($B8="","",INDEX(MASTER_DATABASE!$A$4:$A$1000,$B8)&amp;"")</f>
        <v>HDF-013</v>
      </c>
      <c r="D8" s="7" t="str">
        <f aca="false">IF($B8="","",INDEX(MASTER_DATABASE!$B$4:$B$1000,$B8)&amp;"")</f>
        <v>HDFC Bank BC Point</v>
      </c>
      <c r="E8" s="7" t="str">
        <f aca="false">IF($B8="","",INDEX(MASTER_DATABASE!$E$4:$E$1000,$B8)&amp;"")</f>
        <v>HDFC BC – New Savings Account Opening Assistance</v>
      </c>
      <c r="F8" s="7" t="str">
        <f aca="false">IF($B8="","",INDEX(MASTER_DATABASE!$I$4:$I$1000,$B8)&amp;"")</f>
        <v>To Verify</v>
      </c>
      <c r="G8" s="7" t="str">
        <f aca="false">IF($B8="","",INDEX(MASTER_DATABASE!$L$4:$L$1000,$B8)&amp;"")</f>
        <v>To Verify</v>
      </c>
      <c r="H8" s="7" t="str">
        <f aca="false">IF($B8="","",INDEX(MASTER_DATABASE!$U$4:$U$1000,$B8)&amp;"")</f>
        <v>To Verify</v>
      </c>
      <c r="I8" s="7" t="str">
        <f aca="false">IF($B8="","",INDEX(MASTER_DATABASE!$AV$4:$AV$1000,$B8)&amp;"")</f>
        <v>To Verify</v>
      </c>
      <c r="J8" s="7" t="str">
        <f aca="false">IF($B8="","",INDEX(MASTER_DATABASE!$AW$4:$AW$1000,$B8)&amp;"")</f>
        <v/>
      </c>
    </row>
    <row r="9" customFormat="false" ht="23.85" hidden="false" customHeight="false" outlineLevel="0" collapsed="false">
      <c r="A9" s="11" t="n">
        <v>6</v>
      </c>
      <c r="B9" s="11" t="n">
        <f aca="false">IFERROR(MATCH($A9,MASTER_DATABASE!$BL$4:$BL$1000,0),"")</f>
        <v>56</v>
      </c>
      <c r="C9" s="11" t="str">
        <f aca="false">IF($B9="","",INDEX(MASTER_DATABASE!$A$4:$A$1000,$B9)&amp;"")</f>
        <v>HDF-014</v>
      </c>
      <c r="D9" s="7" t="str">
        <f aca="false">IF($B9="","",INDEX(MASTER_DATABASE!$B$4:$B$1000,$B9)&amp;"")</f>
        <v>HDFC Bank BC Point</v>
      </c>
      <c r="E9" s="7" t="str">
        <f aca="false">IF($B9="","",INDEX(MASTER_DATABASE!$E$4:$E$1000,$B9)&amp;"")</f>
        <v>HDFC BC – Account Mobile Number Registration / Update</v>
      </c>
      <c r="F9" s="7" t="str">
        <f aca="false">IF($B9="","",INDEX(MASTER_DATABASE!$I$4:$I$1000,$B9)&amp;"")</f>
        <v>To Verify</v>
      </c>
      <c r="G9" s="7" t="str">
        <f aca="false">IF($B9="","",INDEX(MASTER_DATABASE!$L$4:$L$1000,$B9)&amp;"")</f>
        <v>To Verify</v>
      </c>
      <c r="H9" s="7" t="str">
        <f aca="false">IF($B9="","",INDEX(MASTER_DATABASE!$U$4:$U$1000,$B9)&amp;"")</f>
        <v>To Verify</v>
      </c>
      <c r="I9" s="7" t="str">
        <f aca="false">IF($B9="","",INDEX(MASTER_DATABASE!$AV$4:$AV$1000,$B9)&amp;"")</f>
        <v>To Verify</v>
      </c>
      <c r="J9" s="7" t="str">
        <f aca="false">IF($B9="","",INDEX(MASTER_DATABASE!$AW$4:$AW$1000,$B9)&amp;"")</f>
        <v/>
      </c>
    </row>
    <row r="10" customFormat="false" ht="15" hidden="false" customHeight="false" outlineLevel="0" collapsed="false">
      <c r="A10" s="11" t="n">
        <v>7</v>
      </c>
      <c r="B10" s="11" t="n">
        <f aca="false">IFERROR(MATCH($A10,MASTER_DATABASE!$BL$4:$BL$1000,0),"")</f>
        <v>57</v>
      </c>
      <c r="C10" s="11" t="str">
        <f aca="false">IF($B10="","",INDEX(MASTER_DATABASE!$A$4:$A$1000,$B10)&amp;"")</f>
        <v>HDF-015</v>
      </c>
      <c r="D10" s="7" t="str">
        <f aca="false">IF($B10="","",INDEX(MASTER_DATABASE!$B$4:$B$1000,$B10)&amp;"")</f>
        <v>HDFC Bank BC Point</v>
      </c>
      <c r="E10" s="7" t="str">
        <f aca="false">IF($B10="","",INDEX(MASTER_DATABASE!$E$4:$E$1000,$B10)&amp;"")</f>
        <v>HDFC BC – Debit Card Request / PIN Assistance</v>
      </c>
      <c r="F10" s="7" t="str">
        <f aca="false">IF($B10="","",INDEX(MASTER_DATABASE!$I$4:$I$1000,$B10)&amp;"")</f>
        <v>To Verify</v>
      </c>
      <c r="G10" s="7" t="str">
        <f aca="false">IF($B10="","",INDEX(MASTER_DATABASE!$L$4:$L$1000,$B10)&amp;"")</f>
        <v>To Verify</v>
      </c>
      <c r="H10" s="7" t="str">
        <f aca="false">IF($B10="","",INDEX(MASTER_DATABASE!$U$4:$U$1000,$B10)&amp;"")</f>
        <v>To Verify</v>
      </c>
      <c r="I10" s="7" t="str">
        <f aca="false">IF($B10="","",INDEX(MASTER_DATABASE!$AV$4:$AV$1000,$B10)&amp;"")</f>
        <v>To Verify</v>
      </c>
      <c r="J10" s="7" t="str">
        <f aca="false">IF($B10="","",INDEX(MASTER_DATABASE!$AW$4:$AW$1000,$B10)&amp;"")</f>
        <v/>
      </c>
    </row>
    <row r="11" customFormat="false" ht="15" hidden="false" customHeight="false" outlineLevel="0" collapsed="false">
      <c r="A11" s="11" t="n">
        <v>8</v>
      </c>
      <c r="B11" s="11" t="n">
        <f aca="false">IFERROR(MATCH($A11,MASTER_DATABASE!$BL$4:$BL$1000,0),"")</f>
        <v>58</v>
      </c>
      <c r="C11" s="11" t="str">
        <f aca="false">IF($B11="","",INDEX(MASTER_DATABASE!$A$4:$A$1000,$B11)&amp;"")</f>
        <v>HDF-016</v>
      </c>
      <c r="D11" s="7" t="str">
        <f aca="false">IF($B11="","",INDEX(MASTER_DATABASE!$B$4:$B$1000,$B11)&amp;"")</f>
        <v>HDFC Bank BC Point</v>
      </c>
      <c r="E11" s="7" t="str">
        <f aca="false">IF($B11="","",INDEX(MASTER_DATABASE!$E$4:$E$1000,$B11)&amp;"")</f>
        <v>HDFC BC – Cheque Book Request Assistance</v>
      </c>
      <c r="F11" s="7" t="str">
        <f aca="false">IF($B11="","",INDEX(MASTER_DATABASE!$I$4:$I$1000,$B11)&amp;"")</f>
        <v>To Verify</v>
      </c>
      <c r="G11" s="7" t="str">
        <f aca="false">IF($B11="","",INDEX(MASTER_DATABASE!$L$4:$L$1000,$B11)&amp;"")</f>
        <v>To Verify</v>
      </c>
      <c r="H11" s="7" t="str">
        <f aca="false">IF($B11="","",INDEX(MASTER_DATABASE!$U$4:$U$1000,$B11)&amp;"")</f>
        <v>To Verify</v>
      </c>
      <c r="I11" s="7" t="str">
        <f aca="false">IF($B11="","",INDEX(MASTER_DATABASE!$AV$4:$AV$1000,$B11)&amp;"")</f>
        <v>To Verify</v>
      </c>
      <c r="J11" s="7" t="str">
        <f aca="false">IF($B11="","",INDEX(MASTER_DATABASE!$AW$4:$AW$1000,$B11)&amp;"")</f>
        <v/>
      </c>
    </row>
    <row r="12" customFormat="false" ht="23.85" hidden="false" customHeight="false" outlineLevel="0" collapsed="false">
      <c r="A12" s="11" t="n">
        <v>9</v>
      </c>
      <c r="B12" s="11" t="n">
        <f aca="false">IFERROR(MATCH($A12,MASTER_DATABASE!$BL$4:$BL$1000,0),"")</f>
        <v>59</v>
      </c>
      <c r="C12" s="11" t="str">
        <f aca="false">IF($B12="","",INDEX(MASTER_DATABASE!$A$4:$A$1000,$B12)&amp;"")</f>
        <v>HDF-017</v>
      </c>
      <c r="D12" s="7" t="str">
        <f aca="false">IF($B12="","",INDEX(MASTER_DATABASE!$B$4:$B$1000,$B12)&amp;"")</f>
        <v>HDFC Bank BC Point</v>
      </c>
      <c r="E12" s="7" t="str">
        <f aca="false">IF($B12="","",INDEX(MASTER_DATABASE!$E$4:$E$1000,$B12)&amp;"")</f>
        <v>HDFC BC – Passbook / Statement Request Assistance</v>
      </c>
      <c r="F12" s="7" t="str">
        <f aca="false">IF($B12="","",INDEX(MASTER_DATABASE!$I$4:$I$1000,$B12)&amp;"")</f>
        <v>To Verify</v>
      </c>
      <c r="G12" s="7" t="str">
        <f aca="false">IF($B12="","",INDEX(MASTER_DATABASE!$L$4:$L$1000,$B12)&amp;"")</f>
        <v>To Verify</v>
      </c>
      <c r="H12" s="7" t="str">
        <f aca="false">IF($B12="","",INDEX(MASTER_DATABASE!$U$4:$U$1000,$B12)&amp;"")</f>
        <v>To Verify</v>
      </c>
      <c r="I12" s="7" t="str">
        <f aca="false">IF($B12="","",INDEX(MASTER_DATABASE!$AV$4:$AV$1000,$B12)&amp;"")</f>
        <v>To Verify</v>
      </c>
      <c r="J12" s="7" t="str">
        <f aca="false">IF($B12="","",INDEX(MASTER_DATABASE!$AW$4:$AW$1000,$B12)&amp;"")</f>
        <v/>
      </c>
    </row>
    <row r="13" customFormat="false" ht="15" hidden="false" customHeight="false" outlineLevel="0" collapsed="false">
      <c r="A13" s="11" t="n">
        <v>10</v>
      </c>
      <c r="B13" s="11" t="n">
        <f aca="false">IFERROR(MATCH($A13,MASTER_DATABASE!$BL$4:$BL$1000,0),"")</f>
        <v>60</v>
      </c>
      <c r="C13" s="11" t="str">
        <f aca="false">IF($B13="","",INDEX(MASTER_DATABASE!$A$4:$A$1000,$B13)&amp;"")</f>
        <v>HDF-018</v>
      </c>
      <c r="D13" s="7" t="str">
        <f aca="false">IF($B13="","",INDEX(MASTER_DATABASE!$B$4:$B$1000,$B13)&amp;"")</f>
        <v>HDFC Bank BC Point</v>
      </c>
      <c r="E13" s="7" t="str">
        <f aca="false">IF($B13="","",INDEX(MASTER_DATABASE!$E$4:$E$1000,$B13)&amp;"")</f>
        <v>HDFC BC – KYC Document Collection / Update</v>
      </c>
      <c r="F13" s="7" t="str">
        <f aca="false">IF($B13="","",INDEX(MASTER_DATABASE!$I$4:$I$1000,$B13)&amp;"")</f>
        <v>To Verify</v>
      </c>
      <c r="G13" s="7" t="str">
        <f aca="false">IF($B13="","",INDEX(MASTER_DATABASE!$L$4:$L$1000,$B13)&amp;"")</f>
        <v>To Verify</v>
      </c>
      <c r="H13" s="7" t="str">
        <f aca="false">IF($B13="","",INDEX(MASTER_DATABASE!$U$4:$U$1000,$B13)&amp;"")</f>
        <v>To Verify</v>
      </c>
      <c r="I13" s="7" t="str">
        <f aca="false">IF($B13="","",INDEX(MASTER_DATABASE!$AV$4:$AV$1000,$B13)&amp;"")</f>
        <v>To Verify</v>
      </c>
      <c r="J13" s="7" t="str">
        <f aca="false">IF($B13="","",INDEX(MASTER_DATABASE!$AW$4:$AW$1000,$B13)&amp;"")</f>
        <v/>
      </c>
    </row>
    <row r="14" customFormat="false" ht="15" hidden="false" customHeight="false" outlineLevel="0" collapsed="false">
      <c r="A14" s="11" t="n">
        <v>11</v>
      </c>
      <c r="B14" s="11" t="n">
        <f aca="false">IFERROR(MATCH($A14,MASTER_DATABASE!$BL$4:$BL$1000,0),"")</f>
        <v>61</v>
      </c>
      <c r="C14" s="11" t="str">
        <f aca="false">IF($B14="","",INDEX(MASTER_DATABASE!$A$4:$A$1000,$B14)&amp;"")</f>
        <v>HDF-019</v>
      </c>
      <c r="D14" s="7" t="str">
        <f aca="false">IF($B14="","",INDEX(MASTER_DATABASE!$B$4:$B$1000,$B14)&amp;"")</f>
        <v>HDFC Bank BC Point</v>
      </c>
      <c r="E14" s="7" t="str">
        <f aca="false">IF($B14="","",INDEX(MASTER_DATABASE!$E$4:$E$1000,$B14)&amp;"")</f>
        <v>HDFC BC – Account Query / Complaint Assistance</v>
      </c>
      <c r="F14" s="7" t="str">
        <f aca="false">IF($B14="","",INDEX(MASTER_DATABASE!$I$4:$I$1000,$B14)&amp;"")</f>
        <v>To Verify</v>
      </c>
      <c r="G14" s="7" t="str">
        <f aca="false">IF($B14="","",INDEX(MASTER_DATABASE!$L$4:$L$1000,$B14)&amp;"")</f>
        <v>To Verify</v>
      </c>
      <c r="H14" s="7" t="str">
        <f aca="false">IF($B14="","",INDEX(MASTER_DATABASE!$U$4:$U$1000,$B14)&amp;"")</f>
        <v>To Verify</v>
      </c>
      <c r="I14" s="7" t="str">
        <f aca="false">IF($B14="","",INDEX(MASTER_DATABASE!$AV$4:$AV$1000,$B14)&amp;"")</f>
        <v>To Verify</v>
      </c>
      <c r="J14" s="7" t="str">
        <f aca="false">IF($B14="","",INDEX(MASTER_DATABASE!$AW$4:$AW$1000,$B14)&amp;"")</f>
        <v/>
      </c>
    </row>
    <row r="15" customFormat="false" ht="15" hidden="false" customHeight="false" outlineLevel="0" collapsed="false">
      <c r="A15" s="11" t="n">
        <v>12</v>
      </c>
      <c r="B15" s="11" t="n">
        <f aca="false">IFERROR(MATCH($A15,MASTER_DATABASE!$BL$4:$BL$1000,0),"")</f>
        <v>62</v>
      </c>
      <c r="C15" s="11" t="str">
        <f aca="false">IF($B15="","",INDEX(MASTER_DATABASE!$A$4:$A$1000,$B15)&amp;"")</f>
        <v>HDF-020</v>
      </c>
      <c r="D15" s="7" t="str">
        <f aca="false">IF($B15="","",INDEX(MASTER_DATABASE!$B$4:$B$1000,$B15)&amp;"")</f>
        <v>HDFC Bank BC Point</v>
      </c>
      <c r="E15" s="7" t="str">
        <f aca="false">IF($B15="","",INDEX(MASTER_DATABASE!$E$4:$E$1000,$B15)&amp;"")</f>
        <v>HDFC BC – PMJJBY / PMSBY Enrolment Assistance</v>
      </c>
      <c r="F15" s="7" t="str">
        <f aca="false">IF($B15="","",INDEX(MASTER_DATABASE!$I$4:$I$1000,$B15)&amp;"")</f>
        <v>To Verify</v>
      </c>
      <c r="G15" s="7" t="str">
        <f aca="false">IF($B15="","",INDEX(MASTER_DATABASE!$L$4:$L$1000,$B15)&amp;"")</f>
        <v>To Verify</v>
      </c>
      <c r="H15" s="7" t="str">
        <f aca="false">IF($B15="","",INDEX(MASTER_DATABASE!$U$4:$U$1000,$B15)&amp;"")</f>
        <v>To Verify</v>
      </c>
      <c r="I15" s="7" t="str">
        <f aca="false">IF($B15="","",INDEX(MASTER_DATABASE!$AV$4:$AV$1000,$B15)&amp;"")</f>
        <v>To Verify</v>
      </c>
      <c r="J15" s="7" t="str">
        <f aca="false">IF($B15="","",INDEX(MASTER_DATABASE!$AW$4:$AW$1000,$B15)&amp;"")</f>
        <v>Bank-specific scheme enrolment through BC to be confirmed</v>
      </c>
    </row>
    <row r="16" customFormat="false" ht="23.85" hidden="false" customHeight="false" outlineLevel="0" collapsed="false">
      <c r="A16" s="11" t="n">
        <v>13</v>
      </c>
      <c r="B16" s="11" t="n">
        <f aca="false">IFERROR(MATCH($A16,MASTER_DATABASE!$BL$4:$BL$1000,0),"")</f>
        <v>63</v>
      </c>
      <c r="C16" s="11" t="str">
        <f aca="false">IF($B16="","",INDEX(MASTER_DATABASE!$A$4:$A$1000,$B16)&amp;"")</f>
        <v>HDF-021</v>
      </c>
      <c r="D16" s="7" t="str">
        <f aca="false">IF($B16="","",INDEX(MASTER_DATABASE!$B$4:$B$1000,$B16)&amp;"")</f>
        <v>HDFC Bank BC Point</v>
      </c>
      <c r="E16" s="7" t="str">
        <f aca="false">IF($B16="","",INDEX(MASTER_DATABASE!$E$4:$E$1000,$B16)&amp;"")</f>
        <v>HDFC BC – Atal Pension Yojana Enrolment Assistance</v>
      </c>
      <c r="F16" s="7" t="str">
        <f aca="false">IF($B16="","",INDEX(MASTER_DATABASE!$I$4:$I$1000,$B16)&amp;"")</f>
        <v>To Verify</v>
      </c>
      <c r="G16" s="7" t="str">
        <f aca="false">IF($B16="","",INDEX(MASTER_DATABASE!$L$4:$L$1000,$B16)&amp;"")</f>
        <v>To Verify</v>
      </c>
      <c r="H16" s="7" t="str">
        <f aca="false">IF($B16="","",INDEX(MASTER_DATABASE!$U$4:$U$1000,$B16)&amp;"")</f>
        <v>To Verify</v>
      </c>
      <c r="I16" s="7" t="str">
        <f aca="false">IF($B16="","",INDEX(MASTER_DATABASE!$AV$4:$AV$1000,$B16)&amp;"")</f>
        <v>To Verify</v>
      </c>
      <c r="J16" s="7" t="str">
        <f aca="false">IF($B16="","",INDEX(MASTER_DATABASE!$AW$4:$AW$1000,$B16)&amp;"")</f>
        <v/>
      </c>
    </row>
    <row r="17" customFormat="false" ht="15" hidden="false" customHeight="false" outlineLevel="0" collapsed="false">
      <c r="A17" s="11" t="n">
        <v>14</v>
      </c>
      <c r="B17" s="11" t="n">
        <f aca="false">IFERROR(MATCH($A17,MASTER_DATABASE!$BL$4:$BL$1000,0),"")</f>
        <v>72</v>
      </c>
      <c r="C17" s="11" t="str">
        <f aca="false">IF($B17="","",INDEX(MASTER_DATABASE!$A$4:$A$1000,$B17)&amp;"")</f>
        <v>FIN-009</v>
      </c>
      <c r="D17" s="7" t="str">
        <f aca="false">IF($B17="","",INDEX(MASTER_DATABASE!$B$4:$B$1000,$B17)&amp;"")</f>
        <v>FINO Payments Bank BC Point</v>
      </c>
      <c r="E17" s="7" t="str">
        <f aca="false">IF($B17="","",INDEX(MASTER_DATABASE!$E$4:$E$1000,$B17)&amp;"")</f>
        <v>FINO BC – Micro ATM Cash Withdrawal</v>
      </c>
      <c r="F17" s="7" t="str">
        <f aca="false">IF($B17="","",INDEX(MASTER_DATABASE!$I$4:$I$1000,$B17)&amp;"")</f>
        <v>To Verify</v>
      </c>
      <c r="G17" s="7" t="str">
        <f aca="false">IF($B17="","",INDEX(MASTER_DATABASE!$L$4:$L$1000,$B17)&amp;"")</f>
        <v>To Verify</v>
      </c>
      <c r="H17" s="7" t="str">
        <f aca="false">IF($B17="","",INDEX(MASTER_DATABASE!$U$4:$U$1000,$B17)&amp;"")</f>
        <v>To Verify</v>
      </c>
      <c r="I17" s="7" t="str">
        <f aca="false">IF($B17="","",INDEX(MASTER_DATABASE!$AV$4:$AV$1000,$B17)&amp;"")</f>
        <v>To Verify</v>
      </c>
      <c r="J17" s="7" t="str">
        <f aca="false">IF($B17="","",INDEX(MASTER_DATABASE!$AW$4:$AW$1000,$B17)&amp;"")</f>
        <v>Confirm if Micro ATM is provided under your FINO BC</v>
      </c>
    </row>
    <row r="18" customFormat="false" ht="15" hidden="false" customHeight="false" outlineLevel="0" collapsed="false">
      <c r="A18" s="11" t="n">
        <v>15</v>
      </c>
      <c r="B18" s="11" t="n">
        <f aca="false">IFERROR(MATCH($A18,MASTER_DATABASE!$BL$4:$BL$1000,0),"")</f>
        <v>74</v>
      </c>
      <c r="C18" s="11" t="str">
        <f aca="false">IF($B18="","",INDEX(MASTER_DATABASE!$A$4:$A$1000,$B18)&amp;"")</f>
        <v>FIN-011</v>
      </c>
      <c r="D18" s="7" t="str">
        <f aca="false">IF($B18="","",INDEX(MASTER_DATABASE!$B$4:$B$1000,$B18)&amp;"")</f>
        <v>FINO Payments Bank BC Point</v>
      </c>
      <c r="E18" s="7" t="str">
        <f aca="false">IF($B18="","",INDEX(MASTER_DATABASE!$E$4:$E$1000,$B18)&amp;"")</f>
        <v>FINO BC – New Account Opening Assistance</v>
      </c>
      <c r="F18" s="7" t="str">
        <f aca="false">IF($B18="","",INDEX(MASTER_DATABASE!$I$4:$I$1000,$B18)&amp;"")</f>
        <v>To Verify</v>
      </c>
      <c r="G18" s="7" t="str">
        <f aca="false">IF($B18="","",INDEX(MASTER_DATABASE!$L$4:$L$1000,$B18)&amp;"")</f>
        <v>To Verify</v>
      </c>
      <c r="H18" s="7" t="str">
        <f aca="false">IF($B18="","",INDEX(MASTER_DATABASE!$U$4:$U$1000,$B18)&amp;"")</f>
        <v>To Verify</v>
      </c>
      <c r="I18" s="7" t="str">
        <f aca="false">IF($B18="","",INDEX(MASTER_DATABASE!$AV$4:$AV$1000,$B18)&amp;"")</f>
        <v>To Verify</v>
      </c>
      <c r="J18" s="7" t="str">
        <f aca="false">IF($B18="","",INDEX(MASTER_DATABASE!$AW$4:$AW$1000,$B18)&amp;"")</f>
        <v/>
      </c>
    </row>
    <row r="19" customFormat="false" ht="15" hidden="false" customHeight="false" outlineLevel="0" collapsed="false">
      <c r="A19" s="11" t="n">
        <v>16</v>
      </c>
      <c r="B19" s="11" t="n">
        <f aca="false">IFERROR(MATCH($A19,MASTER_DATABASE!$BL$4:$BL$1000,0),"")</f>
        <v>75</v>
      </c>
      <c r="C19" s="11" t="str">
        <f aca="false">IF($B19="","",INDEX(MASTER_DATABASE!$A$4:$A$1000,$B19)&amp;"")</f>
        <v>FIN-012</v>
      </c>
      <c r="D19" s="7" t="str">
        <f aca="false">IF($B19="","",INDEX(MASTER_DATABASE!$B$4:$B$1000,$B19)&amp;"")</f>
        <v>FINO Payments Bank BC Point</v>
      </c>
      <c r="E19" s="7" t="str">
        <f aca="false">IF($B19="","",INDEX(MASTER_DATABASE!$E$4:$E$1000,$B19)&amp;"")</f>
        <v>FINO BC – Account Mobile Number Update</v>
      </c>
      <c r="F19" s="7" t="str">
        <f aca="false">IF($B19="","",INDEX(MASTER_DATABASE!$I$4:$I$1000,$B19)&amp;"")</f>
        <v>To Verify</v>
      </c>
      <c r="G19" s="7" t="str">
        <f aca="false">IF($B19="","",INDEX(MASTER_DATABASE!$L$4:$L$1000,$B19)&amp;"")</f>
        <v>To Verify</v>
      </c>
      <c r="H19" s="7" t="str">
        <f aca="false">IF($B19="","",INDEX(MASTER_DATABASE!$U$4:$U$1000,$B19)&amp;"")</f>
        <v>To Verify</v>
      </c>
      <c r="I19" s="7" t="str">
        <f aca="false">IF($B19="","",INDEX(MASTER_DATABASE!$AV$4:$AV$1000,$B19)&amp;"")</f>
        <v>To Verify</v>
      </c>
      <c r="J19" s="7" t="str">
        <f aca="false">IF($B19="","",INDEX(MASTER_DATABASE!$AW$4:$AW$1000,$B19)&amp;"")</f>
        <v/>
      </c>
    </row>
    <row r="20" customFormat="false" ht="15" hidden="false" customHeight="false" outlineLevel="0" collapsed="false">
      <c r="A20" s="11" t="n">
        <v>17</v>
      </c>
      <c r="B20" s="11" t="n">
        <f aca="false">IFERROR(MATCH($A20,MASTER_DATABASE!$BL$4:$BL$1000,0),"")</f>
        <v>76</v>
      </c>
      <c r="C20" s="11" t="str">
        <f aca="false">IF($B20="","",INDEX(MASTER_DATABASE!$A$4:$A$1000,$B20)&amp;"")</f>
        <v>FIN-013</v>
      </c>
      <c r="D20" s="7" t="str">
        <f aca="false">IF($B20="","",INDEX(MASTER_DATABASE!$B$4:$B$1000,$B20)&amp;"")</f>
        <v>FINO Payments Bank BC Point</v>
      </c>
      <c r="E20" s="7" t="str">
        <f aca="false">IF($B20="","",INDEX(MASTER_DATABASE!$E$4:$E$1000,$B20)&amp;"")</f>
        <v>FINO BC – KYC Document Collection / Update</v>
      </c>
      <c r="F20" s="7" t="str">
        <f aca="false">IF($B20="","",INDEX(MASTER_DATABASE!$I$4:$I$1000,$B20)&amp;"")</f>
        <v>To Verify</v>
      </c>
      <c r="G20" s="7" t="str">
        <f aca="false">IF($B20="","",INDEX(MASTER_DATABASE!$L$4:$L$1000,$B20)&amp;"")</f>
        <v>To Verify</v>
      </c>
      <c r="H20" s="7" t="str">
        <f aca="false">IF($B20="","",INDEX(MASTER_DATABASE!$U$4:$U$1000,$B20)&amp;"")</f>
        <v>To Verify</v>
      </c>
      <c r="I20" s="7" t="str">
        <f aca="false">IF($B20="","",INDEX(MASTER_DATABASE!$AV$4:$AV$1000,$B20)&amp;"")</f>
        <v>To Verify</v>
      </c>
      <c r="J20" s="7" t="str">
        <f aca="false">IF($B20="","",INDEX(MASTER_DATABASE!$AW$4:$AW$1000,$B20)&amp;"")</f>
        <v/>
      </c>
    </row>
    <row r="21" customFormat="false" ht="15" hidden="false" customHeight="false" outlineLevel="0" collapsed="false">
      <c r="A21" s="11" t="n">
        <v>18</v>
      </c>
      <c r="B21" s="11" t="n">
        <f aca="false">IFERROR(MATCH($A21,MASTER_DATABASE!$BL$4:$BL$1000,0),"")</f>
        <v>77</v>
      </c>
      <c r="C21" s="11" t="str">
        <f aca="false">IF($B21="","",INDEX(MASTER_DATABASE!$A$4:$A$1000,$B21)&amp;"")</f>
        <v>FIN-014</v>
      </c>
      <c r="D21" s="7" t="str">
        <f aca="false">IF($B21="","",INDEX(MASTER_DATABASE!$B$4:$B$1000,$B21)&amp;"")</f>
        <v>FINO Payments Bank BC Point</v>
      </c>
      <c r="E21" s="7" t="str">
        <f aca="false">IF($B21="","",INDEX(MASTER_DATABASE!$E$4:$E$1000,$B21)&amp;"")</f>
        <v>FINO BC – Account Query / Complaint Assistance</v>
      </c>
      <c r="F21" s="7" t="str">
        <f aca="false">IF($B21="","",INDEX(MASTER_DATABASE!$I$4:$I$1000,$B21)&amp;"")</f>
        <v>To Verify</v>
      </c>
      <c r="G21" s="7" t="str">
        <f aca="false">IF($B21="","",INDEX(MASTER_DATABASE!$L$4:$L$1000,$B21)&amp;"")</f>
        <v>To Verify</v>
      </c>
      <c r="H21" s="7" t="str">
        <f aca="false">IF($B21="","",INDEX(MASTER_DATABASE!$U$4:$U$1000,$B21)&amp;"")</f>
        <v>To Verify</v>
      </c>
      <c r="I21" s="7" t="str">
        <f aca="false">IF($B21="","",INDEX(MASTER_DATABASE!$AV$4:$AV$1000,$B21)&amp;"")</f>
        <v>To Verify</v>
      </c>
      <c r="J21" s="7" t="str">
        <f aca="false">IF($B21="","",INDEX(MASTER_DATABASE!$AW$4:$AW$1000,$B21)&amp;"")</f>
        <v/>
      </c>
    </row>
    <row r="22" customFormat="false" ht="23.85" hidden="false" customHeight="false" outlineLevel="0" collapsed="false">
      <c r="A22" s="11" t="n">
        <v>19</v>
      </c>
      <c r="B22" s="11" t="n">
        <f aca="false">IFERROR(MATCH($A22,MASTER_DATABASE!$BL$4:$BL$1000,0),"")</f>
        <v>78</v>
      </c>
      <c r="C22" s="11" t="str">
        <f aca="false">IF($B22="","",INDEX(MASTER_DATABASE!$A$4:$A$1000,$B22)&amp;"")</f>
        <v>FIN-015</v>
      </c>
      <c r="D22" s="7" t="str">
        <f aca="false">IF($B22="","",INDEX(MASTER_DATABASE!$B$4:$B$1000,$B22)&amp;"")</f>
        <v>FINO Payments Bank BC Point</v>
      </c>
      <c r="E22" s="7" t="str">
        <f aca="false">IF($B22="","",INDEX(MASTER_DATABASE!$E$4:$E$1000,$B22)&amp;"")</f>
        <v>FINO BC – Payment Services (via FINO)</v>
      </c>
      <c r="F22" s="7" t="str">
        <f aca="false">IF($B22="","",INDEX(MASTER_DATABASE!$I$4:$I$1000,$B22)&amp;"")</f>
        <v>To Verify</v>
      </c>
      <c r="G22" s="7" t="str">
        <f aca="false">IF($B22="","",INDEX(MASTER_DATABASE!$L$4:$L$1000,$B22)&amp;"")</f>
        <v>To Verify</v>
      </c>
      <c r="H22" s="7" t="str">
        <f aca="false">IF($B22="","",INDEX(MASTER_DATABASE!$U$4:$U$1000,$B22)&amp;"")</f>
        <v>To Verify</v>
      </c>
      <c r="I22" s="7" t="str">
        <f aca="false">IF($B22="","",INDEX(MASTER_DATABASE!$AV$4:$AV$1000,$B22)&amp;"")</f>
        <v>To Verify</v>
      </c>
      <c r="J22" s="7" t="str">
        <f aca="false">IF($B22="","",INDEX(MASTER_DATABASE!$AW$4:$AW$1000,$B22)&amp;"")</f>
        <v>Individual bill types are listed in the RECHARGE &amp; BILL sheet; confirm which run through FINO</v>
      </c>
    </row>
    <row r="23" customFormat="false" ht="15" hidden="false" customHeight="false" outlineLevel="0" collapsed="false">
      <c r="A23" s="11" t="n">
        <v>20</v>
      </c>
      <c r="B23" s="11" t="n">
        <f aca="false">IFERROR(MATCH($A23,MASTER_DATABASE!$BL$4:$BL$1000,0),"")</f>
        <v>84</v>
      </c>
      <c r="C23" s="11" t="str">
        <f aca="false">IF($B23="","",INDEX(MASTER_DATABASE!$A$4:$A$1000,$B23)&amp;"")</f>
        <v>BAS-006</v>
      </c>
      <c r="D23" s="7" t="str">
        <f aca="false">IF($B23="","",INDEX(MASTER_DATABASE!$B$4:$B$1000,$B23)&amp;"")</f>
        <v>BASUDHA Kendra</v>
      </c>
      <c r="E23" s="7" t="str">
        <f aca="false">IF($B23="","",INDEX(MASTER_DATABASE!$E$4:$E$1000,$B23)&amp;"")</f>
        <v>Birth Certificate – Application</v>
      </c>
      <c r="F23" s="7" t="str">
        <f aca="false">IF($B23="","",INDEX(MASTER_DATABASE!$I$4:$I$1000,$B23)&amp;"")</f>
        <v>To Verify</v>
      </c>
      <c r="G23" s="7" t="str">
        <f aca="false">IF($B23="","",INDEX(MASTER_DATABASE!$L$4:$L$1000,$B23)&amp;"")</f>
        <v>To Verify</v>
      </c>
      <c r="H23" s="7" t="str">
        <f aca="false">IF($B23="","",INDEX(MASTER_DATABASE!$U$4:$U$1000,$B23)&amp;"")</f>
        <v>To Verify</v>
      </c>
      <c r="I23" s="7" t="str">
        <f aca="false">IF($B23="","",INDEX(MASTER_DATABASE!$AV$4:$AV$1000,$B23)&amp;"")</f>
        <v>To Verify</v>
      </c>
      <c r="J23" s="7" t="str">
        <f aca="false">IF($B23="","",INDEX(MASTER_DATABASE!$AW$4:$AW$1000,$B23)&amp;"")</f>
        <v/>
      </c>
    </row>
    <row r="24" customFormat="false" ht="15" hidden="false" customHeight="false" outlineLevel="0" collapsed="false">
      <c r="A24" s="11" t="n">
        <v>21</v>
      </c>
      <c r="B24" s="11" t="n">
        <f aca="false">IFERROR(MATCH($A24,MASTER_DATABASE!$BL$4:$BL$1000,0),"")</f>
        <v>85</v>
      </c>
      <c r="C24" s="11" t="str">
        <f aca="false">IF($B24="","",INDEX(MASTER_DATABASE!$A$4:$A$1000,$B24)&amp;"")</f>
        <v>BAS-007</v>
      </c>
      <c r="D24" s="7" t="str">
        <f aca="false">IF($B24="","",INDEX(MASTER_DATABASE!$B$4:$B$1000,$B24)&amp;"")</f>
        <v>BASUDHA Kendra</v>
      </c>
      <c r="E24" s="7" t="str">
        <f aca="false">IF($B24="","",INDEX(MASTER_DATABASE!$E$4:$E$1000,$B24)&amp;"")</f>
        <v>Death Certificate – Application</v>
      </c>
      <c r="F24" s="7" t="str">
        <f aca="false">IF($B24="","",INDEX(MASTER_DATABASE!$I$4:$I$1000,$B24)&amp;"")</f>
        <v>To Verify</v>
      </c>
      <c r="G24" s="7" t="str">
        <f aca="false">IF($B24="","",INDEX(MASTER_DATABASE!$L$4:$L$1000,$B24)&amp;"")</f>
        <v>To Verify</v>
      </c>
      <c r="H24" s="7" t="str">
        <f aca="false">IF($B24="","",INDEX(MASTER_DATABASE!$U$4:$U$1000,$B24)&amp;"")</f>
        <v>To Verify</v>
      </c>
      <c r="I24" s="7" t="str">
        <f aca="false">IF($B24="","",INDEX(MASTER_DATABASE!$AV$4:$AV$1000,$B24)&amp;"")</f>
        <v>To Verify</v>
      </c>
      <c r="J24" s="7" t="str">
        <f aca="false">IF($B24="","",INDEX(MASTER_DATABASE!$AW$4:$AW$1000,$B24)&amp;"")</f>
        <v/>
      </c>
    </row>
    <row r="25" customFormat="false" ht="15" hidden="false" customHeight="false" outlineLevel="0" collapsed="false">
      <c r="A25" s="11" t="n">
        <v>22</v>
      </c>
      <c r="B25" s="11" t="n">
        <f aca="false">IFERROR(MATCH($A25,MASTER_DATABASE!$BL$4:$BL$1000,0),"")</f>
        <v>86</v>
      </c>
      <c r="C25" s="11" t="str">
        <f aca="false">IF($B25="","",INDEX(MASTER_DATABASE!$A$4:$A$1000,$B25)&amp;"")</f>
        <v>BAS-008</v>
      </c>
      <c r="D25" s="7" t="str">
        <f aca="false">IF($B25="","",INDEX(MASTER_DATABASE!$B$4:$B$1000,$B25)&amp;"")</f>
        <v>BASUDHA Kendra</v>
      </c>
      <c r="E25" s="7" t="str">
        <f aca="false">IF($B25="","",INDEX(MASTER_DATABASE!$E$4:$E$1000,$B25)&amp;"")</f>
        <v>Marriage Registration / Certificate – Application</v>
      </c>
      <c r="F25" s="7" t="str">
        <f aca="false">IF($B25="","",INDEX(MASTER_DATABASE!$I$4:$I$1000,$B25)&amp;"")</f>
        <v>To Verify</v>
      </c>
      <c r="G25" s="7" t="str">
        <f aca="false">IF($B25="","",INDEX(MASTER_DATABASE!$L$4:$L$1000,$B25)&amp;"")</f>
        <v>To Verify</v>
      </c>
      <c r="H25" s="7" t="str">
        <f aca="false">IF($B25="","",INDEX(MASTER_DATABASE!$U$4:$U$1000,$B25)&amp;"")</f>
        <v>To Verify</v>
      </c>
      <c r="I25" s="7" t="str">
        <f aca="false">IF($B25="","",INDEX(MASTER_DATABASE!$AV$4:$AV$1000,$B25)&amp;"")</f>
        <v>To Verify</v>
      </c>
      <c r="J25" s="7" t="str">
        <f aca="false">IF($B25="","",INDEX(MASTER_DATABASE!$AW$4:$AW$1000,$B25)&amp;"")</f>
        <v/>
      </c>
    </row>
    <row r="26" customFormat="false" ht="15" hidden="false" customHeight="false" outlineLevel="0" collapsed="false">
      <c r="A26" s="11" t="n">
        <v>23</v>
      </c>
      <c r="B26" s="11" t="n">
        <f aca="false">IFERROR(MATCH($A26,MASTER_DATABASE!$BL$4:$BL$1000,0),"")</f>
        <v>87</v>
      </c>
      <c r="C26" s="11" t="str">
        <f aca="false">IF($B26="","",INDEX(MASTER_DATABASE!$A$4:$A$1000,$B26)&amp;"")</f>
        <v>BAS-009</v>
      </c>
      <c r="D26" s="7" t="str">
        <f aca="false">IF($B26="","",INDEX(MASTER_DATABASE!$B$4:$B$1000,$B26)&amp;"")</f>
        <v>BASUDHA Kendra</v>
      </c>
      <c r="E26" s="7" t="str">
        <f aca="false">IF($B26="","",INDEX(MASTER_DATABASE!$E$4:$E$1000,$B26)&amp;"")</f>
        <v>Character Certificate – Application</v>
      </c>
      <c r="F26" s="7" t="str">
        <f aca="false">IF($B26="","",INDEX(MASTER_DATABASE!$I$4:$I$1000,$B26)&amp;"")</f>
        <v>To Verify</v>
      </c>
      <c r="G26" s="7" t="str">
        <f aca="false">IF($B26="","",INDEX(MASTER_DATABASE!$L$4:$L$1000,$B26)&amp;"")</f>
        <v>To Verify</v>
      </c>
      <c r="H26" s="7" t="str">
        <f aca="false">IF($B26="","",INDEX(MASTER_DATABASE!$U$4:$U$1000,$B26)&amp;"")</f>
        <v>To Verify</v>
      </c>
      <c r="I26" s="7" t="str">
        <f aca="false">IF($B26="","",INDEX(MASTER_DATABASE!$AV$4:$AV$1000,$B26)&amp;"")</f>
        <v>To Verify</v>
      </c>
      <c r="J26" s="7" t="str">
        <f aca="false">IF($B26="","",INDEX(MASTER_DATABASE!$AW$4:$AW$1000,$B26)&amp;"")</f>
        <v/>
      </c>
    </row>
    <row r="27" customFormat="false" ht="15" hidden="false" customHeight="false" outlineLevel="0" collapsed="false">
      <c r="A27" s="11" t="n">
        <v>24</v>
      </c>
      <c r="B27" s="11" t="n">
        <f aca="false">IFERROR(MATCH($A27,MASTER_DATABASE!$BL$4:$BL$1000,0),"")</f>
        <v>88</v>
      </c>
      <c r="C27" s="11" t="str">
        <f aca="false">IF($B27="","",INDEX(MASTER_DATABASE!$A$4:$A$1000,$B27)&amp;"")</f>
        <v>BAS-010</v>
      </c>
      <c r="D27" s="7" t="str">
        <f aca="false">IF($B27="","",INDEX(MASTER_DATABASE!$B$4:$B$1000,$B27)&amp;"")</f>
        <v>BASUDHA Kendra</v>
      </c>
      <c r="E27" s="7" t="str">
        <f aca="false">IF($B27="","",INDEX(MASTER_DATABASE!$E$4:$E$1000,$B27)&amp;"")</f>
        <v>Certificate Correction / Re-application Assistance</v>
      </c>
      <c r="F27" s="7" t="str">
        <f aca="false">IF($B27="","",INDEX(MASTER_DATABASE!$I$4:$I$1000,$B27)&amp;"")</f>
        <v>To Verify</v>
      </c>
      <c r="G27" s="7" t="str">
        <f aca="false">IF($B27="","",INDEX(MASTER_DATABASE!$L$4:$L$1000,$B27)&amp;"")</f>
        <v>To Verify</v>
      </c>
      <c r="H27" s="7" t="str">
        <f aca="false">IF($B27="","",INDEX(MASTER_DATABASE!$U$4:$U$1000,$B27)&amp;"")</f>
        <v>To Verify</v>
      </c>
      <c r="I27" s="7" t="str">
        <f aca="false">IF($B27="","",INDEX(MASTER_DATABASE!$AV$4:$AV$1000,$B27)&amp;"")</f>
        <v>To Verify</v>
      </c>
      <c r="J27" s="7" t="str">
        <f aca="false">IF($B27="","",INDEX(MASTER_DATABASE!$AW$4:$AW$1000,$B27)&amp;"")</f>
        <v/>
      </c>
    </row>
    <row r="28" customFormat="false" ht="15" hidden="false" customHeight="false" outlineLevel="0" collapsed="false">
      <c r="A28" s="11" t="n">
        <v>25</v>
      </c>
      <c r="B28" s="11" t="n">
        <f aca="false">IFERROR(MATCH($A28,MASTER_DATABASE!$BL$4:$BL$1000,0),"")</f>
        <v>91</v>
      </c>
      <c r="C28" s="11" t="str">
        <f aca="false">IF($B28="","",INDEX(MASTER_DATABASE!$A$4:$A$1000,$B28)&amp;"")</f>
        <v>BAS-013</v>
      </c>
      <c r="D28" s="7" t="str">
        <f aca="false">IF($B28="","",INDEX(MASTER_DATABASE!$B$4:$B$1000,$B28)&amp;"")</f>
        <v>BASUDHA Kendra</v>
      </c>
      <c r="E28" s="7" t="str">
        <f aca="false">IF($B28="","",INDEX(MASTER_DATABASE!$E$4:$E$1000,$B28)&amp;"")</f>
        <v>Old Age Pension – Application</v>
      </c>
      <c r="F28" s="7" t="str">
        <f aca="false">IF($B28="","",INDEX(MASTER_DATABASE!$I$4:$I$1000,$B28)&amp;"")</f>
        <v>To Verify</v>
      </c>
      <c r="G28" s="7" t="str">
        <f aca="false">IF($B28="","",INDEX(MASTER_DATABASE!$L$4:$L$1000,$B28)&amp;"")</f>
        <v>To Verify</v>
      </c>
      <c r="H28" s="7" t="str">
        <f aca="false">IF($B28="","",INDEX(MASTER_DATABASE!$U$4:$U$1000,$B28)&amp;"")</f>
        <v>To Verify</v>
      </c>
      <c r="I28" s="7" t="str">
        <f aca="false">IF($B28="","",INDEX(MASTER_DATABASE!$AV$4:$AV$1000,$B28)&amp;"")</f>
        <v>To Verify</v>
      </c>
      <c r="J28" s="7" t="str">
        <f aca="false">IF($B28="","",INDEX(MASTER_DATABASE!$AW$4:$AW$1000,$B28)&amp;"")</f>
        <v>State scheme; confirm availability on your BASUDHA ID</v>
      </c>
    </row>
    <row r="29" customFormat="false" ht="15" hidden="false" customHeight="false" outlineLevel="0" collapsed="false">
      <c r="A29" s="11" t="n">
        <v>26</v>
      </c>
      <c r="B29" s="11" t="n">
        <f aca="false">IFERROR(MATCH($A29,MASTER_DATABASE!$BL$4:$BL$1000,0),"")</f>
        <v>92</v>
      </c>
      <c r="C29" s="11" t="str">
        <f aca="false">IF($B29="","",INDEX(MASTER_DATABASE!$A$4:$A$1000,$B29)&amp;"")</f>
        <v>BAS-014</v>
      </c>
      <c r="D29" s="7" t="str">
        <f aca="false">IF($B29="","",INDEX(MASTER_DATABASE!$B$4:$B$1000,$B29)&amp;"")</f>
        <v>BASUDHA Kendra</v>
      </c>
      <c r="E29" s="7" t="str">
        <f aca="false">IF($B29="","",INDEX(MASTER_DATABASE!$E$4:$E$1000,$B29)&amp;"")</f>
        <v>Widow Pension – Application</v>
      </c>
      <c r="F29" s="7" t="str">
        <f aca="false">IF($B29="","",INDEX(MASTER_DATABASE!$I$4:$I$1000,$B29)&amp;"")</f>
        <v>To Verify</v>
      </c>
      <c r="G29" s="7" t="str">
        <f aca="false">IF($B29="","",INDEX(MASTER_DATABASE!$L$4:$L$1000,$B29)&amp;"")</f>
        <v>To Verify</v>
      </c>
      <c r="H29" s="7" t="str">
        <f aca="false">IF($B29="","",INDEX(MASTER_DATABASE!$U$4:$U$1000,$B29)&amp;"")</f>
        <v>To Verify</v>
      </c>
      <c r="I29" s="7" t="str">
        <f aca="false">IF($B29="","",INDEX(MASTER_DATABASE!$AV$4:$AV$1000,$B29)&amp;"")</f>
        <v>To Verify</v>
      </c>
      <c r="J29" s="7" t="str">
        <f aca="false">IF($B29="","",INDEX(MASTER_DATABASE!$AW$4:$AW$1000,$B29)&amp;"")</f>
        <v>State scheme; confirm availability on your BASUDHA ID</v>
      </c>
    </row>
    <row r="30" customFormat="false" ht="15" hidden="false" customHeight="false" outlineLevel="0" collapsed="false">
      <c r="A30" s="11" t="n">
        <v>27</v>
      </c>
      <c r="B30" s="11" t="n">
        <f aca="false">IFERROR(MATCH($A30,MASTER_DATABASE!$BL$4:$BL$1000,0),"")</f>
        <v>93</v>
      </c>
      <c r="C30" s="11" t="str">
        <f aca="false">IF($B30="","",INDEX(MASTER_DATABASE!$A$4:$A$1000,$B30)&amp;"")</f>
        <v>BAS-015</v>
      </c>
      <c r="D30" s="7" t="str">
        <f aca="false">IF($B30="","",INDEX(MASTER_DATABASE!$B$4:$B$1000,$B30)&amp;"")</f>
        <v>BASUDHA Kendra</v>
      </c>
      <c r="E30" s="7" t="str">
        <f aca="false">IF($B30="","",INDEX(MASTER_DATABASE!$E$4:$E$1000,$B30)&amp;"")</f>
        <v>Divyang (Disability) Pension – Application</v>
      </c>
      <c r="F30" s="7" t="str">
        <f aca="false">IF($B30="","",INDEX(MASTER_DATABASE!$I$4:$I$1000,$B30)&amp;"")</f>
        <v>To Verify</v>
      </c>
      <c r="G30" s="7" t="str">
        <f aca="false">IF($B30="","",INDEX(MASTER_DATABASE!$L$4:$L$1000,$B30)&amp;"")</f>
        <v>To Verify</v>
      </c>
      <c r="H30" s="7" t="str">
        <f aca="false">IF($B30="","",INDEX(MASTER_DATABASE!$U$4:$U$1000,$B30)&amp;"")</f>
        <v>To Verify</v>
      </c>
      <c r="I30" s="7" t="str">
        <f aca="false">IF($B30="","",INDEX(MASTER_DATABASE!$AV$4:$AV$1000,$B30)&amp;"")</f>
        <v>To Verify</v>
      </c>
      <c r="J30" s="7" t="str">
        <f aca="false">IF($B30="","",INDEX(MASTER_DATABASE!$AW$4:$AW$1000,$B30)&amp;"")</f>
        <v>State scheme; confirm availability on your BASUDHA ID</v>
      </c>
    </row>
    <row r="31" customFormat="false" ht="15" hidden="false" customHeight="false" outlineLevel="0" collapsed="false">
      <c r="A31" s="11" t="n">
        <v>28</v>
      </c>
      <c r="B31" s="11" t="n">
        <f aca="false">IFERROR(MATCH($A31,MASTER_DATABASE!$BL$4:$BL$1000,0),"")</f>
        <v>95</v>
      </c>
      <c r="C31" s="11" t="str">
        <f aca="false">IF($B31="","",INDEX(MASTER_DATABASE!$A$4:$A$1000,$B31)&amp;"")</f>
        <v>BAS-017</v>
      </c>
      <c r="D31" s="7" t="str">
        <f aca="false">IF($B31="","",INDEX(MASTER_DATABASE!$B$4:$B$1000,$B31)&amp;"")</f>
        <v>BASUDHA Kendra</v>
      </c>
      <c r="E31" s="7" t="str">
        <f aca="false">IF($B31="","",INDEX(MASTER_DATABASE!$E$4:$E$1000,$B31)&amp;"")</f>
        <v>Ration Card – New Application</v>
      </c>
      <c r="F31" s="7" t="str">
        <f aca="false">IF($B31="","",INDEX(MASTER_DATABASE!$I$4:$I$1000,$B31)&amp;"")</f>
        <v>To Verify</v>
      </c>
      <c r="G31" s="7" t="str">
        <f aca="false">IF($B31="","",INDEX(MASTER_DATABASE!$L$4:$L$1000,$B31)&amp;"")</f>
        <v>To Verify</v>
      </c>
      <c r="H31" s="7" t="str">
        <f aca="false">IF($B31="","",INDEX(MASTER_DATABASE!$U$4:$U$1000,$B31)&amp;"")</f>
        <v>To Verify</v>
      </c>
      <c r="I31" s="7" t="str">
        <f aca="false">IF($B31="","",INDEX(MASTER_DATABASE!$AV$4:$AV$1000,$B31)&amp;"")</f>
        <v>To Verify</v>
      </c>
      <c r="J31" s="7" t="str">
        <f aca="false">IF($B31="","",INDEX(MASTER_DATABASE!$AW$4:$AW$1000,$B31)&amp;"")</f>
        <v/>
      </c>
    </row>
    <row r="32" customFormat="false" ht="15" hidden="false" customHeight="false" outlineLevel="0" collapsed="false">
      <c r="A32" s="11" t="n">
        <v>29</v>
      </c>
      <c r="B32" s="11" t="n">
        <f aca="false">IFERROR(MATCH($A32,MASTER_DATABASE!$BL$4:$BL$1000,0),"")</f>
        <v>96</v>
      </c>
      <c r="C32" s="11" t="str">
        <f aca="false">IF($B32="","",INDEX(MASTER_DATABASE!$A$4:$A$1000,$B32)&amp;"")</f>
        <v>BAS-018</v>
      </c>
      <c r="D32" s="7" t="str">
        <f aca="false">IF($B32="","",INDEX(MASTER_DATABASE!$B$4:$B$1000,$B32)&amp;"")</f>
        <v>BASUDHA Kendra</v>
      </c>
      <c r="E32" s="7" t="str">
        <f aca="false">IF($B32="","",INDEX(MASTER_DATABASE!$E$4:$E$1000,$B32)&amp;"")</f>
        <v>Ration Card – Member Add / Delete / Correction</v>
      </c>
      <c r="F32" s="7" t="str">
        <f aca="false">IF($B32="","",INDEX(MASTER_DATABASE!$I$4:$I$1000,$B32)&amp;"")</f>
        <v>To Verify</v>
      </c>
      <c r="G32" s="7" t="str">
        <f aca="false">IF($B32="","",INDEX(MASTER_DATABASE!$L$4:$L$1000,$B32)&amp;"")</f>
        <v>To Verify</v>
      </c>
      <c r="H32" s="7" t="str">
        <f aca="false">IF($B32="","",INDEX(MASTER_DATABASE!$U$4:$U$1000,$B32)&amp;"")</f>
        <v>To Verify</v>
      </c>
      <c r="I32" s="7" t="str">
        <f aca="false">IF($B32="","",INDEX(MASTER_DATABASE!$AV$4:$AV$1000,$B32)&amp;"")</f>
        <v>To Verify</v>
      </c>
      <c r="J32" s="7" t="str">
        <f aca="false">IF($B32="","",INDEX(MASTER_DATABASE!$AW$4:$AW$1000,$B32)&amp;"")</f>
        <v/>
      </c>
    </row>
    <row r="33" customFormat="false" ht="15" hidden="false" customHeight="false" outlineLevel="0" collapsed="false">
      <c r="A33" s="11" t="n">
        <v>30</v>
      </c>
      <c r="B33" s="11" t="n">
        <f aca="false">IFERROR(MATCH($A33,MASTER_DATABASE!$BL$4:$BL$1000,0),"")</f>
        <v>98</v>
      </c>
      <c r="C33" s="11" t="str">
        <f aca="false">IF($B33="","",INDEX(MASTER_DATABASE!$A$4:$A$1000,$B33)&amp;"")</f>
        <v>BAS-020</v>
      </c>
      <c r="D33" s="7" t="str">
        <f aca="false">IF($B33="","",INDEX(MASTER_DATABASE!$B$4:$B$1000,$B33)&amp;"")</f>
        <v>BASUDHA Kendra</v>
      </c>
      <c r="E33" s="7" t="str">
        <f aca="false">IF($B33="","",INDEX(MASTER_DATABASE!$E$4:$E$1000,$B33)&amp;"")</f>
        <v>Land Record (Jamabandi / Khatiyan) Copy Download</v>
      </c>
      <c r="F33" s="7" t="str">
        <f aca="false">IF($B33="","",INDEX(MASTER_DATABASE!$I$4:$I$1000,$B33)&amp;"")</f>
        <v>To Verify</v>
      </c>
      <c r="G33" s="7" t="str">
        <f aca="false">IF($B33="","",INDEX(MASTER_DATABASE!$L$4:$L$1000,$B33)&amp;"")</f>
        <v>To Verify</v>
      </c>
      <c r="H33" s="7" t="str">
        <f aca="false">IF($B33="","",INDEX(MASTER_DATABASE!$U$4:$U$1000,$B33)&amp;"")</f>
        <v>To Verify</v>
      </c>
      <c r="I33" s="7" t="str">
        <f aca="false">IF($B33="","",INDEX(MASTER_DATABASE!$AV$4:$AV$1000,$B33)&amp;"")</f>
        <v>To Verify</v>
      </c>
      <c r="J33" s="7" t="str">
        <f aca="false">IF($B33="","",INDEX(MASTER_DATABASE!$AW$4:$AW$1000,$B33)&amp;"")</f>
        <v/>
      </c>
    </row>
    <row r="34" customFormat="false" ht="15" hidden="false" customHeight="false" outlineLevel="0" collapsed="false">
      <c r="A34" s="11" t="n">
        <v>31</v>
      </c>
      <c r="B34" s="11" t="n">
        <f aca="false">IFERROR(MATCH($A34,MASTER_DATABASE!$BL$4:$BL$1000,0),"")</f>
        <v>99</v>
      </c>
      <c r="C34" s="11" t="str">
        <f aca="false">IF($B34="","",INDEX(MASTER_DATABASE!$A$4:$A$1000,$B34)&amp;"")</f>
        <v>BAS-021</v>
      </c>
      <c r="D34" s="7" t="str">
        <f aca="false">IF($B34="","",INDEX(MASTER_DATABASE!$B$4:$B$1000,$B34)&amp;"")</f>
        <v>BASUDHA Kendra</v>
      </c>
      <c r="E34" s="7" t="str">
        <f aca="false">IF($B34="","",INDEX(MASTER_DATABASE!$E$4:$E$1000,$B34)&amp;"")</f>
        <v>Land Mutation (Dakhil-Kharij) Application Assistance</v>
      </c>
      <c r="F34" s="7" t="str">
        <f aca="false">IF($B34="","",INDEX(MASTER_DATABASE!$I$4:$I$1000,$B34)&amp;"")</f>
        <v>To Verify</v>
      </c>
      <c r="G34" s="7" t="str">
        <f aca="false">IF($B34="","",INDEX(MASTER_DATABASE!$L$4:$L$1000,$B34)&amp;"")</f>
        <v>To Verify</v>
      </c>
      <c r="H34" s="7" t="str">
        <f aca="false">IF($B34="","",INDEX(MASTER_DATABASE!$U$4:$U$1000,$B34)&amp;"")</f>
        <v>To Verify</v>
      </c>
      <c r="I34" s="7" t="str">
        <f aca="false">IF($B34="","",INDEX(MASTER_DATABASE!$AV$4:$AV$1000,$B34)&amp;"")</f>
        <v>To Verify</v>
      </c>
      <c r="J34" s="7" t="str">
        <f aca="false">IF($B34="","",INDEX(MASTER_DATABASE!$AW$4:$AW$1000,$B34)&amp;"")</f>
        <v/>
      </c>
    </row>
    <row r="35" customFormat="false" ht="15" hidden="false" customHeight="false" outlineLevel="0" collapsed="false">
      <c r="A35" s="11" t="n">
        <v>32</v>
      </c>
      <c r="B35" s="11" t="n">
        <f aca="false">IFERROR(MATCH($A35,MASTER_DATABASE!$BL$4:$BL$1000,0),"")</f>
        <v>100</v>
      </c>
      <c r="C35" s="11" t="str">
        <f aca="false">IF($B35="","",INDEX(MASTER_DATABASE!$A$4:$A$1000,$B35)&amp;"")</f>
        <v>BAS-022</v>
      </c>
      <c r="D35" s="7" t="str">
        <f aca="false">IF($B35="","",INDEX(MASTER_DATABASE!$B$4:$B$1000,$B35)&amp;"")</f>
        <v>BASUDHA Kendra</v>
      </c>
      <c r="E35" s="7" t="str">
        <f aca="false">IF($B35="","",INDEX(MASTER_DATABASE!$E$4:$E$1000,$B35)&amp;"")</f>
        <v>Land Rent (Lagaan) Online Payment Assistance</v>
      </c>
      <c r="F35" s="7" t="str">
        <f aca="false">IF($B35="","",INDEX(MASTER_DATABASE!$I$4:$I$1000,$B35)&amp;"")</f>
        <v>To Verify</v>
      </c>
      <c r="G35" s="7" t="str">
        <f aca="false">IF($B35="","",INDEX(MASTER_DATABASE!$L$4:$L$1000,$B35)&amp;"")</f>
        <v>To Verify</v>
      </c>
      <c r="H35" s="7" t="str">
        <f aca="false">IF($B35="","",INDEX(MASTER_DATABASE!$U$4:$U$1000,$B35)&amp;"")</f>
        <v>To Verify</v>
      </c>
      <c r="I35" s="7" t="str">
        <f aca="false">IF($B35="","",INDEX(MASTER_DATABASE!$AV$4:$AV$1000,$B35)&amp;"")</f>
        <v>To Verify</v>
      </c>
      <c r="J35" s="7" t="str">
        <f aca="false">IF($B35="","",INDEX(MASTER_DATABASE!$AW$4:$AW$1000,$B35)&amp;"")</f>
        <v/>
      </c>
    </row>
    <row r="36" customFormat="false" ht="15" hidden="false" customHeight="false" outlineLevel="0" collapsed="false">
      <c r="A36" s="11" t="n">
        <v>33</v>
      </c>
      <c r="B36" s="11" t="n">
        <f aca="false">IFERROR(MATCH($A36,MASTER_DATABASE!$BL$4:$BL$1000,0),"")</f>
        <v>105</v>
      </c>
      <c r="C36" s="11" t="str">
        <f aca="false">IF($B36="","",INDEX(MASTER_DATABASE!$A$4:$A$1000,$B36)&amp;"")</f>
        <v>BAS-027</v>
      </c>
      <c r="D36" s="7" t="str">
        <f aca="false">IF($B36="","",INDEX(MASTER_DATABASE!$B$4:$B$1000,$B36)&amp;"")</f>
        <v>BASUDHA Kendra</v>
      </c>
      <c r="E36" s="7" t="str">
        <f aca="false">IF($B36="","",INDEX(MASTER_DATABASE!$E$4:$E$1000,$B36)&amp;"")</f>
        <v>Public Grievance / Complaint Filing Assistance</v>
      </c>
      <c r="F36" s="7" t="str">
        <f aca="false">IF($B36="","",INDEX(MASTER_DATABASE!$I$4:$I$1000,$B36)&amp;"")</f>
        <v>To Verify</v>
      </c>
      <c r="G36" s="7" t="str">
        <f aca="false">IF($B36="","",INDEX(MASTER_DATABASE!$L$4:$L$1000,$B36)&amp;"")</f>
        <v>To Verify</v>
      </c>
      <c r="H36" s="7" t="str">
        <f aca="false">IF($B36="","",INDEX(MASTER_DATABASE!$U$4:$U$1000,$B36)&amp;"")</f>
        <v>To Verify</v>
      </c>
      <c r="I36" s="7" t="str">
        <f aca="false">IF($B36="","",INDEX(MASTER_DATABASE!$AV$4:$AV$1000,$B36)&amp;"")</f>
        <v>To Verify</v>
      </c>
      <c r="J36" s="7" t="str">
        <f aca="false">IF($B36="","",INDEX(MASTER_DATABASE!$AW$4:$AW$1000,$B36)&amp;"")</f>
        <v/>
      </c>
    </row>
    <row r="37" customFormat="false" ht="23.85" hidden="false" customHeight="false" outlineLevel="0" collapsed="false">
      <c r="A37" s="11" t="n">
        <v>34</v>
      </c>
      <c r="B37" s="11" t="n">
        <f aca="false">IFERROR(MATCH($A37,MASTER_DATABASE!$BL$4:$BL$1000,0),"")</f>
        <v>121</v>
      </c>
      <c r="C37" s="11" t="str">
        <f aca="false">IF($B37="","",INDEX(MASTER_DATABASE!$A$4:$A$1000,$B37)&amp;"")</f>
        <v>CSC-016</v>
      </c>
      <c r="D37" s="7" t="str">
        <f aca="false">IF($B37="","",INDEX(MASTER_DATABASE!$B$4:$B$1000,$B37)&amp;"")</f>
        <v>Common Service Centre (CSC)</v>
      </c>
      <c r="E37" s="7" t="str">
        <f aca="false">IF($B37="","",INDEX(MASTER_DATABASE!$E$4:$E$1000,$B37)&amp;"")</f>
        <v>PM Surya Ghar (Rooftop Solar) Registration Assistance</v>
      </c>
      <c r="F37" s="7" t="str">
        <f aca="false">IF($B37="","",INDEX(MASTER_DATABASE!$I$4:$I$1000,$B37)&amp;"")</f>
        <v>To Verify</v>
      </c>
      <c r="G37" s="7" t="str">
        <f aca="false">IF($B37="","",INDEX(MASTER_DATABASE!$L$4:$L$1000,$B37)&amp;"")</f>
        <v>To Verify</v>
      </c>
      <c r="H37" s="7" t="str">
        <f aca="false">IF($B37="","",INDEX(MASTER_DATABASE!$U$4:$U$1000,$B37)&amp;"")</f>
        <v>To Verify</v>
      </c>
      <c r="I37" s="7" t="str">
        <f aca="false">IF($B37="","",INDEX(MASTER_DATABASE!$AV$4:$AV$1000,$B37)&amp;"")</f>
        <v>To Verify</v>
      </c>
      <c r="J37" s="7" t="str">
        <f aca="false">IF($B37="","",INDEX(MASTER_DATABASE!$AW$4:$AW$1000,$B37)&amp;"")</f>
        <v/>
      </c>
    </row>
    <row r="38" customFormat="false" ht="15" hidden="false" customHeight="false" outlineLevel="0" collapsed="false">
      <c r="A38" s="11" t="n">
        <v>35</v>
      </c>
      <c r="B38" s="11" t="n">
        <f aca="false">IFERROR(MATCH($A38,MASTER_DATABASE!$BL$4:$BL$1000,0),"")</f>
        <v>122</v>
      </c>
      <c r="C38" s="11" t="str">
        <f aca="false">IF($B38="","",INDEX(MASTER_DATABASE!$A$4:$A$1000,$B38)&amp;"")</f>
        <v>CSC-017</v>
      </c>
      <c r="D38" s="7" t="str">
        <f aca="false">IF($B38="","",INDEX(MASTER_DATABASE!$B$4:$B$1000,$B38)&amp;"")</f>
        <v>Common Service Centre (CSC)</v>
      </c>
      <c r="E38" s="7" t="str">
        <f aca="false">IF($B38="","",INDEX(MASTER_DATABASE!$E$4:$E$1000,$B38)&amp;"")</f>
        <v>PM SVANidhi Application Assistance</v>
      </c>
      <c r="F38" s="7" t="str">
        <f aca="false">IF($B38="","",INDEX(MASTER_DATABASE!$I$4:$I$1000,$B38)&amp;"")</f>
        <v>To Verify</v>
      </c>
      <c r="G38" s="7" t="str">
        <f aca="false">IF($B38="","",INDEX(MASTER_DATABASE!$L$4:$L$1000,$B38)&amp;"")</f>
        <v>To Verify</v>
      </c>
      <c r="H38" s="7" t="str">
        <f aca="false">IF($B38="","",INDEX(MASTER_DATABASE!$U$4:$U$1000,$B38)&amp;"")</f>
        <v>To Verify</v>
      </c>
      <c r="I38" s="7" t="str">
        <f aca="false">IF($B38="","",INDEX(MASTER_DATABASE!$AV$4:$AV$1000,$B38)&amp;"")</f>
        <v>To Verify</v>
      </c>
      <c r="J38" s="7" t="str">
        <f aca="false">IF($B38="","",INDEX(MASTER_DATABASE!$AW$4:$AW$1000,$B38)&amp;"")</f>
        <v/>
      </c>
    </row>
    <row r="39" customFormat="false" ht="15" hidden="false" customHeight="false" outlineLevel="0" collapsed="false">
      <c r="A39" s="11" t="n">
        <v>36</v>
      </c>
      <c r="B39" s="11" t="n">
        <f aca="false">IFERROR(MATCH($A39,MASTER_DATABASE!$BL$4:$BL$1000,0),"")</f>
        <v>125</v>
      </c>
      <c r="C39" s="11" t="str">
        <f aca="false">IF($B39="","",INDEX(MASTER_DATABASE!$A$4:$A$1000,$B39)&amp;"")</f>
        <v>CSC-020</v>
      </c>
      <c r="D39" s="7" t="str">
        <f aca="false">IF($B39="","",INDEX(MASTER_DATABASE!$B$4:$B$1000,$B39)&amp;"")</f>
        <v>Common Service Centre (CSC)</v>
      </c>
      <c r="E39" s="7" t="str">
        <f aca="false">IF($B39="","",INDEX(MASTER_DATABASE!$E$4:$E$1000,$B39)&amp;"")</f>
        <v>CSC Digipay – Micro ATM</v>
      </c>
      <c r="F39" s="7" t="str">
        <f aca="false">IF($B39="","",INDEX(MASTER_DATABASE!$I$4:$I$1000,$B39)&amp;"")</f>
        <v>To Verify</v>
      </c>
      <c r="G39" s="7" t="str">
        <f aca="false">IF($B39="","",INDEX(MASTER_DATABASE!$L$4:$L$1000,$B39)&amp;"")</f>
        <v>To Verify</v>
      </c>
      <c r="H39" s="7" t="str">
        <f aca="false">IF($B39="","",INDEX(MASTER_DATABASE!$U$4:$U$1000,$B39)&amp;"")</f>
        <v>To Verify</v>
      </c>
      <c r="I39" s="7" t="str">
        <f aca="false">IF($B39="","",INDEX(MASTER_DATABASE!$AV$4:$AV$1000,$B39)&amp;"")</f>
        <v>To Verify</v>
      </c>
      <c r="J39" s="7" t="str">
        <f aca="false">IF($B39="","",INDEX(MASTER_DATABASE!$AW$4:$AW$1000,$B39)&amp;"")</f>
        <v/>
      </c>
    </row>
    <row r="40" customFormat="false" ht="15" hidden="false" customHeight="false" outlineLevel="0" collapsed="false">
      <c r="A40" s="11" t="n">
        <v>37</v>
      </c>
      <c r="B40" s="11" t="n">
        <f aca="false">IFERROR(MATCH($A40,MASTER_DATABASE!$BL$4:$BL$1000,0),"")</f>
        <v>126</v>
      </c>
      <c r="C40" s="11" t="str">
        <f aca="false">IF($B40="","",INDEX(MASTER_DATABASE!$A$4:$A$1000,$B40)&amp;"")</f>
        <v>CSC-021</v>
      </c>
      <c r="D40" s="7" t="str">
        <f aca="false">IF($B40="","",INDEX(MASTER_DATABASE!$B$4:$B$1000,$B40)&amp;"")</f>
        <v>Common Service Centre (CSC)</v>
      </c>
      <c r="E40" s="7" t="str">
        <f aca="false">IF($B40="","",INDEX(MASTER_DATABASE!$E$4:$E$1000,$B40)&amp;"")</f>
        <v>Loan Application Assistance (Mudra / PMEGP etc.)</v>
      </c>
      <c r="F40" s="7" t="str">
        <f aca="false">IF($B40="","",INDEX(MASTER_DATABASE!$I$4:$I$1000,$B40)&amp;"")</f>
        <v>To Verify</v>
      </c>
      <c r="G40" s="7" t="str">
        <f aca="false">IF($B40="","",INDEX(MASTER_DATABASE!$L$4:$L$1000,$B40)&amp;"")</f>
        <v>To Verify</v>
      </c>
      <c r="H40" s="7" t="str">
        <f aca="false">IF($B40="","",INDEX(MASTER_DATABASE!$U$4:$U$1000,$B40)&amp;"")</f>
        <v>To Verify</v>
      </c>
      <c r="I40" s="7" t="str">
        <f aca="false">IF($B40="","",INDEX(MASTER_DATABASE!$AV$4:$AV$1000,$B40)&amp;"")</f>
        <v>To Verify</v>
      </c>
      <c r="J40" s="7" t="str">
        <f aca="false">IF($B40="","",INDEX(MASTER_DATABASE!$AW$4:$AW$1000,$B40)&amp;"")</f>
        <v/>
      </c>
    </row>
    <row r="41" customFormat="false" ht="15" hidden="false" customHeight="false" outlineLevel="0" collapsed="false">
      <c r="A41" s="11" t="n">
        <v>38</v>
      </c>
      <c r="B41" s="11" t="n">
        <f aca="false">IFERROR(MATCH($A41,MASTER_DATABASE!$BL$4:$BL$1000,0),"")</f>
        <v>131</v>
      </c>
      <c r="C41" s="11" t="str">
        <f aca="false">IF($B41="","",INDEX(MASTER_DATABASE!$A$4:$A$1000,$B41)&amp;"")</f>
        <v>CSC-026</v>
      </c>
      <c r="D41" s="7" t="str">
        <f aca="false">IF($B41="","",INDEX(MASTER_DATABASE!$B$4:$B$1000,$B41)&amp;"")</f>
        <v>Common Service Centre (CSC)</v>
      </c>
      <c r="E41" s="7" t="str">
        <f aca="false">IF($B41="","",INDEX(MASTER_DATABASE!$E$4:$E$1000,$B41)&amp;"")</f>
        <v>PM Suraksha Bima Yojana (PMSBY) Enrolment</v>
      </c>
      <c r="F41" s="7" t="str">
        <f aca="false">IF($B41="","",INDEX(MASTER_DATABASE!$I$4:$I$1000,$B41)&amp;"")</f>
        <v>To Verify</v>
      </c>
      <c r="G41" s="7" t="str">
        <f aca="false">IF($B41="","",INDEX(MASTER_DATABASE!$L$4:$L$1000,$B41)&amp;"")</f>
        <v>To Verify</v>
      </c>
      <c r="H41" s="7" t="str">
        <f aca="false">IF($B41="","",INDEX(MASTER_DATABASE!$U$4:$U$1000,$B41)&amp;"")</f>
        <v>To Verify</v>
      </c>
      <c r="I41" s="7" t="str">
        <f aca="false">IF($B41="","",INDEX(MASTER_DATABASE!$AV$4:$AV$1000,$B41)&amp;"")</f>
        <v>To Verify</v>
      </c>
      <c r="J41" s="7" t="str">
        <f aca="false">IF($B41="","",INDEX(MASTER_DATABASE!$AW$4:$AW$1000,$B41)&amp;"")</f>
        <v/>
      </c>
    </row>
    <row r="42" customFormat="false" ht="15" hidden="false" customHeight="false" outlineLevel="0" collapsed="false">
      <c r="A42" s="11" t="n">
        <v>39</v>
      </c>
      <c r="B42" s="11" t="n">
        <f aca="false">IFERROR(MATCH($A42,MASTER_DATABASE!$BL$4:$BL$1000,0),"")</f>
        <v>132</v>
      </c>
      <c r="C42" s="11" t="str">
        <f aca="false">IF($B42="","",INDEX(MASTER_DATABASE!$A$4:$A$1000,$B42)&amp;"")</f>
        <v>CSC-027</v>
      </c>
      <c r="D42" s="7" t="str">
        <f aca="false">IF($B42="","",INDEX(MASTER_DATABASE!$B$4:$B$1000,$B42)&amp;"")</f>
        <v>Common Service Centre (CSC)</v>
      </c>
      <c r="E42" s="7" t="str">
        <f aca="false">IF($B42="","",INDEX(MASTER_DATABASE!$E$4:$E$1000,$B42)&amp;"")</f>
        <v>PM Jeevan Jyoti Bima Yojana (PMJJBY) Enrolment</v>
      </c>
      <c r="F42" s="7" t="str">
        <f aca="false">IF($B42="","",INDEX(MASTER_DATABASE!$I$4:$I$1000,$B42)&amp;"")</f>
        <v>To Verify</v>
      </c>
      <c r="G42" s="7" t="str">
        <f aca="false">IF($B42="","",INDEX(MASTER_DATABASE!$L$4:$L$1000,$B42)&amp;"")</f>
        <v>To Verify</v>
      </c>
      <c r="H42" s="7" t="str">
        <f aca="false">IF($B42="","",INDEX(MASTER_DATABASE!$U$4:$U$1000,$B42)&amp;"")</f>
        <v>To Verify</v>
      </c>
      <c r="I42" s="7" t="str">
        <f aca="false">IF($B42="","",INDEX(MASTER_DATABASE!$AV$4:$AV$1000,$B42)&amp;"")</f>
        <v>To Verify</v>
      </c>
      <c r="J42" s="7" t="str">
        <f aca="false">IF($B42="","",INDEX(MASTER_DATABASE!$AW$4:$AW$1000,$B42)&amp;"")</f>
        <v/>
      </c>
    </row>
    <row r="43" customFormat="false" ht="15" hidden="false" customHeight="false" outlineLevel="0" collapsed="false">
      <c r="A43" s="11" t="n">
        <v>40</v>
      </c>
      <c r="B43" s="11" t="n">
        <f aca="false">IFERROR(MATCH($A43,MASTER_DATABASE!$BL$4:$BL$1000,0),"")</f>
        <v>137</v>
      </c>
      <c r="C43" s="11" t="str">
        <f aca="false">IF($B43="","",INDEX(MASTER_DATABASE!$A$4:$A$1000,$B43)&amp;"")</f>
        <v>CSC-032</v>
      </c>
      <c r="D43" s="7" t="str">
        <f aca="false">IF($B43="","",INDEX(MASTER_DATABASE!$B$4:$B$1000,$B43)&amp;"")</f>
        <v>Common Service Centre (CSC)</v>
      </c>
      <c r="E43" s="7" t="str">
        <f aca="false">IF($B43="","",INDEX(MASTER_DATABASE!$E$4:$E$1000,$B43)&amp;"")</f>
        <v>Pension Application Assistance (Central / State)</v>
      </c>
      <c r="F43" s="7" t="str">
        <f aca="false">IF($B43="","",INDEX(MASTER_DATABASE!$I$4:$I$1000,$B43)&amp;"")</f>
        <v>To Verify</v>
      </c>
      <c r="G43" s="7" t="str">
        <f aca="false">IF($B43="","",INDEX(MASTER_DATABASE!$L$4:$L$1000,$B43)&amp;"")</f>
        <v>To Verify</v>
      </c>
      <c r="H43" s="7" t="str">
        <f aca="false">IF($B43="","",INDEX(MASTER_DATABASE!$U$4:$U$1000,$B43)&amp;"")</f>
        <v>To Verify</v>
      </c>
      <c r="I43" s="7" t="str">
        <f aca="false">IF($B43="","",INDEX(MASTER_DATABASE!$AV$4:$AV$1000,$B43)&amp;"")</f>
        <v>To Verify</v>
      </c>
      <c r="J43" s="7" t="str">
        <f aca="false">IF($B43="","",INDEX(MASTER_DATABASE!$AW$4:$AW$1000,$B43)&amp;"")</f>
        <v/>
      </c>
    </row>
    <row r="44" customFormat="false" ht="15" hidden="false" customHeight="false" outlineLevel="0" collapsed="false">
      <c r="A44" s="11" t="n">
        <v>41</v>
      </c>
      <c r="B44" s="11" t="n">
        <f aca="false">IFERROR(MATCH($A44,MASTER_DATABASE!$BL$4:$BL$1000,0),"")</f>
        <v>139</v>
      </c>
      <c r="C44" s="11" t="str">
        <f aca="false">IF($B44="","",INDEX(MASTER_DATABASE!$A$4:$A$1000,$B44)&amp;"")</f>
        <v>CSC-034</v>
      </c>
      <c r="D44" s="7" t="str">
        <f aca="false">IF($B44="","",INDEX(MASTER_DATABASE!$B$4:$B$1000,$B44)&amp;"")</f>
        <v>Common Service Centre (CSC)</v>
      </c>
      <c r="E44" s="7" t="str">
        <f aca="false">IF($B44="","",INDEX(MASTER_DATABASE!$E$4:$E$1000,$B44)&amp;"")</f>
        <v>Skill Development Course Enrolment</v>
      </c>
      <c r="F44" s="7" t="str">
        <f aca="false">IF($B44="","",INDEX(MASTER_DATABASE!$I$4:$I$1000,$B44)&amp;"")</f>
        <v>To Verify</v>
      </c>
      <c r="G44" s="7" t="str">
        <f aca="false">IF($B44="","",INDEX(MASTER_DATABASE!$L$4:$L$1000,$B44)&amp;"")</f>
        <v>To Verify</v>
      </c>
      <c r="H44" s="7" t="str">
        <f aca="false">IF($B44="","",INDEX(MASTER_DATABASE!$U$4:$U$1000,$B44)&amp;"")</f>
        <v>To Verify</v>
      </c>
      <c r="I44" s="7" t="str">
        <f aca="false">IF($B44="","",INDEX(MASTER_DATABASE!$AV$4:$AV$1000,$B44)&amp;"")</f>
        <v>To Verify</v>
      </c>
      <c r="J44" s="7" t="str">
        <f aca="false">IF($B44="","",INDEX(MASTER_DATABASE!$AW$4:$AW$1000,$B44)&amp;"")</f>
        <v/>
      </c>
    </row>
    <row r="45" customFormat="false" ht="15" hidden="false" customHeight="false" outlineLevel="0" collapsed="false">
      <c r="A45" s="11" t="n">
        <v>42</v>
      </c>
      <c r="B45" s="11" t="n">
        <f aca="false">IFERROR(MATCH($A45,MASTER_DATABASE!$BL$4:$BL$1000,0),"")</f>
        <v>140</v>
      </c>
      <c r="C45" s="11" t="str">
        <f aca="false">IF($B45="","",INDEX(MASTER_DATABASE!$A$4:$A$1000,$B45)&amp;"")</f>
        <v>CSC-035</v>
      </c>
      <c r="D45" s="7" t="str">
        <f aca="false">IF($B45="","",INDEX(MASTER_DATABASE!$B$4:$B$1000,$B45)&amp;"")</f>
        <v>Common Service Centre (CSC)</v>
      </c>
      <c r="E45" s="7" t="str">
        <f aca="false">IF($B45="","",INDEX(MASTER_DATABASE!$E$4:$E$1000,$B45)&amp;"")</f>
        <v>e-Learning / Tele-Education Course Enrolment</v>
      </c>
      <c r="F45" s="7" t="str">
        <f aca="false">IF($B45="","",INDEX(MASTER_DATABASE!$I$4:$I$1000,$B45)&amp;"")</f>
        <v>To Verify</v>
      </c>
      <c r="G45" s="7" t="str">
        <f aca="false">IF($B45="","",INDEX(MASTER_DATABASE!$L$4:$L$1000,$B45)&amp;"")</f>
        <v>To Verify</v>
      </c>
      <c r="H45" s="7" t="str">
        <f aca="false">IF($B45="","",INDEX(MASTER_DATABASE!$U$4:$U$1000,$B45)&amp;"")</f>
        <v>To Verify</v>
      </c>
      <c r="I45" s="7" t="str">
        <f aca="false">IF($B45="","",INDEX(MASTER_DATABASE!$AV$4:$AV$1000,$B45)&amp;"")</f>
        <v>To Verify</v>
      </c>
      <c r="J45" s="7" t="str">
        <f aca="false">IF($B45="","",INDEX(MASTER_DATABASE!$AW$4:$AW$1000,$B45)&amp;"")</f>
        <v/>
      </c>
    </row>
    <row r="46" customFormat="false" ht="15" hidden="false" customHeight="false" outlineLevel="0" collapsed="false">
      <c r="A46" s="11" t="n">
        <v>43</v>
      </c>
      <c r="B46" s="11" t="n">
        <f aca="false">IFERROR(MATCH($A46,MASTER_DATABASE!$BL$4:$BL$1000,0),"")</f>
        <v>141</v>
      </c>
      <c r="C46" s="11" t="str">
        <f aca="false">IF($B46="","",INDEX(MASTER_DATABASE!$A$4:$A$1000,$B46)&amp;"")</f>
        <v>CSC-036</v>
      </c>
      <c r="D46" s="7" t="str">
        <f aca="false">IF($B46="","",INDEX(MASTER_DATABASE!$B$4:$B$1000,$B46)&amp;"")</f>
        <v>Common Service Centre (CSC)</v>
      </c>
      <c r="E46" s="7" t="str">
        <f aca="false">IF($B46="","",INDEX(MASTER_DATABASE!$E$4:$E$1000,$B46)&amp;"")</f>
        <v>PMKVY Training Enrolment Assistance</v>
      </c>
      <c r="F46" s="7" t="str">
        <f aca="false">IF($B46="","",INDEX(MASTER_DATABASE!$I$4:$I$1000,$B46)&amp;"")</f>
        <v>To Verify</v>
      </c>
      <c r="G46" s="7" t="str">
        <f aca="false">IF($B46="","",INDEX(MASTER_DATABASE!$L$4:$L$1000,$B46)&amp;"")</f>
        <v>To Verify</v>
      </c>
      <c r="H46" s="7" t="str">
        <f aca="false">IF($B46="","",INDEX(MASTER_DATABASE!$U$4:$U$1000,$B46)&amp;"")</f>
        <v>To Verify</v>
      </c>
      <c r="I46" s="7" t="str">
        <f aca="false">IF($B46="","",INDEX(MASTER_DATABASE!$AV$4:$AV$1000,$B46)&amp;"")</f>
        <v>To Verify</v>
      </c>
      <c r="J46" s="7" t="str">
        <f aca="false">IF($B46="","",INDEX(MASTER_DATABASE!$AW$4:$AW$1000,$B46)&amp;"")</f>
        <v/>
      </c>
    </row>
    <row r="47" customFormat="false" ht="15" hidden="false" customHeight="false" outlineLevel="0" collapsed="false">
      <c r="A47" s="11" t="n">
        <v>44</v>
      </c>
      <c r="B47" s="11" t="n">
        <f aca="false">IFERROR(MATCH($A47,MASTER_DATABASE!$BL$4:$BL$1000,0),"")</f>
        <v>145</v>
      </c>
      <c r="C47" s="11" t="str">
        <f aca="false">IF($B47="","",INDEX(MASTER_DATABASE!$A$4:$A$1000,$B47)&amp;"")</f>
        <v>CSC-040</v>
      </c>
      <c r="D47" s="7" t="str">
        <f aca="false">IF($B47="","",INDEX(MASTER_DATABASE!$B$4:$B$1000,$B47)&amp;"")</f>
        <v>Common Service Centre (CSC)</v>
      </c>
      <c r="E47" s="7" t="str">
        <f aca="false">IF($B47="","",INDEX(MASTER_DATABASE!$E$4:$E$1000,$B47)&amp;"")</f>
        <v>Aadhaar eSign Assistance</v>
      </c>
      <c r="F47" s="7" t="str">
        <f aca="false">IF($B47="","",INDEX(MASTER_DATABASE!$I$4:$I$1000,$B47)&amp;"")</f>
        <v>To Verify</v>
      </c>
      <c r="G47" s="7" t="str">
        <f aca="false">IF($B47="","",INDEX(MASTER_DATABASE!$L$4:$L$1000,$B47)&amp;"")</f>
        <v>To Verify</v>
      </c>
      <c r="H47" s="7" t="str">
        <f aca="false">IF($B47="","",INDEX(MASTER_DATABASE!$U$4:$U$1000,$B47)&amp;"")</f>
        <v>To Verify</v>
      </c>
      <c r="I47" s="7" t="str">
        <f aca="false">IF($B47="","",INDEX(MASTER_DATABASE!$AV$4:$AV$1000,$B47)&amp;"")</f>
        <v>To Verify</v>
      </c>
      <c r="J47" s="7" t="str">
        <f aca="false">IF($B47="","",INDEX(MASTER_DATABASE!$AW$4:$AW$1000,$B47)&amp;"")</f>
        <v/>
      </c>
    </row>
    <row r="48" customFormat="false" ht="15" hidden="false" customHeight="false" outlineLevel="0" collapsed="false">
      <c r="A48" s="11" t="n">
        <v>45</v>
      </c>
      <c r="B48" s="11" t="n">
        <f aca="false">IFERROR(MATCH($A48,MASTER_DATABASE!$BL$4:$BL$1000,0),"")</f>
        <v>146</v>
      </c>
      <c r="C48" s="11" t="str">
        <f aca="false">IF($B48="","",INDEX(MASTER_DATABASE!$A$4:$A$1000,$B48)&amp;"")</f>
        <v>CSC-041</v>
      </c>
      <c r="D48" s="7" t="str">
        <f aca="false">IF($B48="","",INDEX(MASTER_DATABASE!$B$4:$B$1000,$B48)&amp;"")</f>
        <v>Common Service Centre (CSC)</v>
      </c>
      <c r="E48" s="7" t="str">
        <f aca="false">IF($B48="","",INDEX(MASTER_DATABASE!$E$4:$E$1000,$B48)&amp;"")</f>
        <v>CSC e-Store / Grameen e-Store Orders</v>
      </c>
      <c r="F48" s="7" t="str">
        <f aca="false">IF($B48="","",INDEX(MASTER_DATABASE!$I$4:$I$1000,$B48)&amp;"")</f>
        <v>To Verify</v>
      </c>
      <c r="G48" s="7" t="str">
        <f aca="false">IF($B48="","",INDEX(MASTER_DATABASE!$L$4:$L$1000,$B48)&amp;"")</f>
        <v>To Verify</v>
      </c>
      <c r="H48" s="7" t="str">
        <f aca="false">IF($B48="","",INDEX(MASTER_DATABASE!$U$4:$U$1000,$B48)&amp;"")</f>
        <v>To Verify</v>
      </c>
      <c r="I48" s="7" t="str">
        <f aca="false">IF($B48="","",INDEX(MASTER_DATABASE!$AV$4:$AV$1000,$B48)&amp;"")</f>
        <v>To Verify</v>
      </c>
      <c r="J48" s="7" t="str">
        <f aca="false">IF($B48="","",INDEX(MASTER_DATABASE!$AW$4:$AW$1000,$B48)&amp;"")</f>
        <v/>
      </c>
    </row>
    <row r="49" customFormat="false" ht="15" hidden="false" customHeight="false" outlineLevel="0" collapsed="false">
      <c r="A49" s="11" t="n">
        <v>46</v>
      </c>
      <c r="B49" s="11" t="n">
        <f aca="false">IFERROR(MATCH($A49,MASTER_DATABASE!$BL$4:$BL$1000,0),"")</f>
        <v>152</v>
      </c>
      <c r="C49" s="11" t="str">
        <f aca="false">IF($B49="","",INDEX(MASTER_DATABASE!$A$4:$A$1000,$B49)&amp;"")</f>
        <v>CSC-047</v>
      </c>
      <c r="D49" s="7" t="str">
        <f aca="false">IF($B49="","",INDEX(MASTER_DATABASE!$B$4:$B$1000,$B49)&amp;"")</f>
        <v>Common Service Centre (CSC)</v>
      </c>
      <c r="E49" s="7" t="str">
        <f aca="false">IF($B49="","",INDEX(MASTER_DATABASE!$E$4:$E$1000,$B49)&amp;"")</f>
        <v>Shop &amp; Establishment Registration Assistance</v>
      </c>
      <c r="F49" s="7" t="str">
        <f aca="false">IF($B49="","",INDEX(MASTER_DATABASE!$I$4:$I$1000,$B49)&amp;"")</f>
        <v>To Verify</v>
      </c>
      <c r="G49" s="7" t="str">
        <f aca="false">IF($B49="","",INDEX(MASTER_DATABASE!$L$4:$L$1000,$B49)&amp;"")</f>
        <v>To Verify</v>
      </c>
      <c r="H49" s="7" t="str">
        <f aca="false">IF($B49="","",INDEX(MASTER_DATABASE!$U$4:$U$1000,$B49)&amp;"")</f>
        <v>To Verify</v>
      </c>
      <c r="I49" s="7" t="str">
        <f aca="false">IF($B49="","",INDEX(MASTER_DATABASE!$AV$4:$AV$1000,$B49)&amp;"")</f>
        <v>To Verify</v>
      </c>
      <c r="J49" s="7" t="str">
        <f aca="false">IF($B49="","",INDEX(MASTER_DATABASE!$AW$4:$AW$1000,$B49)&amp;"")</f>
        <v/>
      </c>
    </row>
    <row r="50" customFormat="false" ht="15" hidden="false" customHeight="false" outlineLevel="0" collapsed="false">
      <c r="A50" s="11" t="n">
        <v>47</v>
      </c>
      <c r="B50" s="11" t="n">
        <f aca="false">IFERROR(MATCH($A50,MASTER_DATABASE!$BL$4:$BL$1000,0),"")</f>
        <v>153</v>
      </c>
      <c r="C50" s="11" t="str">
        <f aca="false">IF($B50="","",INDEX(MASTER_DATABASE!$A$4:$A$1000,$B50)&amp;"")</f>
        <v>CSC-048</v>
      </c>
      <c r="D50" s="7" t="str">
        <f aca="false">IF($B50="","",INDEX(MASTER_DATABASE!$B$4:$B$1000,$B50)&amp;"")</f>
        <v>Common Service Centre (CSC)</v>
      </c>
      <c r="E50" s="7" t="str">
        <f aca="false">IF($B50="","",INDEX(MASTER_DATABASE!$E$4:$E$1000,$B50)&amp;"")</f>
        <v>Labour (Construction Worker) Registration Assistance</v>
      </c>
      <c r="F50" s="7" t="str">
        <f aca="false">IF($B50="","",INDEX(MASTER_DATABASE!$I$4:$I$1000,$B50)&amp;"")</f>
        <v>To Verify</v>
      </c>
      <c r="G50" s="7" t="str">
        <f aca="false">IF($B50="","",INDEX(MASTER_DATABASE!$L$4:$L$1000,$B50)&amp;"")</f>
        <v>To Verify</v>
      </c>
      <c r="H50" s="7" t="str">
        <f aca="false">IF($B50="","",INDEX(MASTER_DATABASE!$U$4:$U$1000,$B50)&amp;"")</f>
        <v>To Verify</v>
      </c>
      <c r="I50" s="7" t="str">
        <f aca="false">IF($B50="","",INDEX(MASTER_DATABASE!$AV$4:$AV$1000,$B50)&amp;"")</f>
        <v>To Verify</v>
      </c>
      <c r="J50" s="7" t="str">
        <f aca="false">IF($B50="","",INDEX(MASTER_DATABASE!$AW$4:$AW$1000,$B50)&amp;"")</f>
        <v/>
      </c>
    </row>
    <row r="51" customFormat="false" ht="23.85" hidden="false" customHeight="false" outlineLevel="0" collapsed="false">
      <c r="A51" s="11" t="n">
        <v>48</v>
      </c>
      <c r="B51" s="11" t="n">
        <f aca="false">IFERROR(MATCH($A51,MASTER_DATABASE!$BL$4:$BL$1000,0),"")</f>
        <v>154</v>
      </c>
      <c r="C51" s="11" t="str">
        <f aca="false">IF($B51="","",INDEX(MASTER_DATABASE!$A$4:$A$1000,$B51)&amp;"")</f>
        <v>CSC-049</v>
      </c>
      <c r="D51" s="7" t="str">
        <f aca="false">IF($B51="","",INDEX(MASTER_DATABASE!$B$4:$B$1000,$B51)&amp;"")</f>
        <v>Common Service Centre (CSC)</v>
      </c>
      <c r="E51" s="7" t="str">
        <f aca="false">IF($B51="","",INDEX(MASTER_DATABASE!$E$4:$E$1000,$B51)&amp;"")</f>
        <v>Academic Bank of Credits (ABC) / APAAR ID Assistance</v>
      </c>
      <c r="F51" s="7" t="str">
        <f aca="false">IF($B51="","",INDEX(MASTER_DATABASE!$I$4:$I$1000,$B51)&amp;"")</f>
        <v>To Verify</v>
      </c>
      <c r="G51" s="7" t="str">
        <f aca="false">IF($B51="","",INDEX(MASTER_DATABASE!$L$4:$L$1000,$B51)&amp;"")</f>
        <v>To Verify</v>
      </c>
      <c r="H51" s="7" t="str">
        <f aca="false">IF($B51="","",INDEX(MASTER_DATABASE!$U$4:$U$1000,$B51)&amp;"")</f>
        <v>To Verify</v>
      </c>
      <c r="I51" s="7" t="str">
        <f aca="false">IF($B51="","",INDEX(MASTER_DATABASE!$AV$4:$AV$1000,$B51)&amp;"")</f>
        <v>To Verify</v>
      </c>
      <c r="J51" s="7" t="str">
        <f aca="false">IF($B51="","",INDEX(MASTER_DATABASE!$AW$4:$AW$1000,$B51)&amp;"")</f>
        <v/>
      </c>
    </row>
    <row r="52" customFormat="false" ht="15" hidden="false" customHeight="false" outlineLevel="0" collapsed="false">
      <c r="A52" s="11" t="n">
        <v>49</v>
      </c>
      <c r="B52" s="11" t="n">
        <f aca="false">IFERROR(MATCH($A52,MASTER_DATABASE!$BL$4:$BL$1000,0),"")</f>
        <v>155</v>
      </c>
      <c r="C52" s="11" t="str">
        <f aca="false">IF($B52="","",INDEX(MASTER_DATABASE!$A$4:$A$1000,$B52)&amp;"")</f>
        <v>CSC-050</v>
      </c>
      <c r="D52" s="7" t="str">
        <f aca="false">IF($B52="","",INDEX(MASTER_DATABASE!$B$4:$B$1000,$B52)&amp;"")</f>
        <v>Common Service Centre (CSC)</v>
      </c>
      <c r="E52" s="7" t="str">
        <f aca="false">IF($B52="","",INDEX(MASTER_DATABASE!$E$4:$E$1000,$B52)&amp;"")</f>
        <v>Document Attestation / Apostille Assistance</v>
      </c>
      <c r="F52" s="7" t="str">
        <f aca="false">IF($B52="","",INDEX(MASTER_DATABASE!$I$4:$I$1000,$B52)&amp;"")</f>
        <v>To Verify</v>
      </c>
      <c r="G52" s="7" t="str">
        <f aca="false">IF($B52="","",INDEX(MASTER_DATABASE!$L$4:$L$1000,$B52)&amp;"")</f>
        <v>To Verify</v>
      </c>
      <c r="H52" s="7" t="str">
        <f aca="false">IF($B52="","",INDEX(MASTER_DATABASE!$U$4:$U$1000,$B52)&amp;"")</f>
        <v>To Verify</v>
      </c>
      <c r="I52" s="7" t="str">
        <f aca="false">IF($B52="","",INDEX(MASTER_DATABASE!$AV$4:$AV$1000,$B52)&amp;"")</f>
        <v>To Verify</v>
      </c>
      <c r="J52" s="7" t="str">
        <f aca="false">IF($B52="","",INDEX(MASTER_DATABASE!$AW$4:$AW$1000,$B52)&amp;"")</f>
        <v/>
      </c>
    </row>
    <row r="53" customFormat="false" ht="15" hidden="false" customHeight="false" outlineLevel="0" collapsed="false">
      <c r="A53" s="11" t="n">
        <v>50</v>
      </c>
      <c r="B53" s="11" t="n">
        <f aca="false">IFERROR(MATCH($A53,MASTER_DATABASE!$BL$4:$BL$1000,0),"")</f>
        <v>157</v>
      </c>
      <c r="C53" s="11" t="str">
        <f aca="false">IF($B53="","",INDEX(MASTER_DATABASE!$A$4:$A$1000,$B53)&amp;"")</f>
        <v>MOB-002</v>
      </c>
      <c r="D53" s="7" t="str">
        <f aca="false">IF($B53="","",INDEX(MASTER_DATABASE!$B$4:$B$1000,$B53)&amp;"")</f>
        <v>Mobile Store</v>
      </c>
      <c r="E53" s="7" t="str">
        <f aca="false">IF($B53="","",INDEX(MASTER_DATABASE!$E$4:$E$1000,$B53)&amp;"")</f>
        <v>Keypad / Feature Phone Sales</v>
      </c>
      <c r="F53" s="7" t="str">
        <f aca="false">IF($B53="","",INDEX(MASTER_DATABASE!$I$4:$I$1000,$B53)&amp;"")</f>
        <v>To Verify</v>
      </c>
      <c r="G53" s="7" t="str">
        <f aca="false">IF($B53="","",INDEX(MASTER_DATABASE!$L$4:$L$1000,$B53)&amp;"")</f>
        <v>To Verify</v>
      </c>
      <c r="H53" s="7" t="str">
        <f aca="false">IF($B53="","",INDEX(MASTER_DATABASE!$U$4:$U$1000,$B53)&amp;"")</f>
        <v>Variable</v>
      </c>
      <c r="I53" s="7" t="str">
        <f aca="false">IF($B53="","",INDEX(MASTER_DATABASE!$AV$4:$AV$1000,$B53)&amp;"")</f>
        <v>To Verify</v>
      </c>
      <c r="J53" s="7" t="str">
        <f aca="false">IF($B53="","",INDEX(MASTER_DATABASE!$AW$4:$AW$1000,$B53)&amp;"")</f>
        <v>Confirm stock is regularly kept</v>
      </c>
    </row>
    <row r="54" customFormat="false" ht="15" hidden="false" customHeight="false" outlineLevel="0" collapsed="false">
      <c r="A54" s="11" t="n">
        <v>51</v>
      </c>
      <c r="B54" s="11" t="n">
        <f aca="false">IFERROR(MATCH($A54,MASTER_DATABASE!$BL$4:$BL$1000,0),"")</f>
        <v>160</v>
      </c>
      <c r="C54" s="11" t="str">
        <f aca="false">IF($B54="","",INDEX(MASTER_DATABASE!$A$4:$A$1000,$B54)&amp;"")</f>
        <v>MOB-005</v>
      </c>
      <c r="D54" s="7" t="str">
        <f aca="false">IF($B54="","",INDEX(MASTER_DATABASE!$B$4:$B$1000,$B54)&amp;"")</f>
        <v>Mobile Store</v>
      </c>
      <c r="E54" s="7" t="str">
        <f aca="false">IF($B54="","",INDEX(MASTER_DATABASE!$E$4:$E$1000,$B54)&amp;"")</f>
        <v>Power Bank</v>
      </c>
      <c r="F54" s="7" t="str">
        <f aca="false">IF($B54="","",INDEX(MASTER_DATABASE!$I$4:$I$1000,$B54)&amp;"")</f>
        <v>To Verify</v>
      </c>
      <c r="G54" s="7" t="str">
        <f aca="false">IF($B54="","",INDEX(MASTER_DATABASE!$L$4:$L$1000,$B54)&amp;"")</f>
        <v>To Verify</v>
      </c>
      <c r="H54" s="7" t="str">
        <f aca="false">IF($B54="","",INDEX(MASTER_DATABASE!$U$4:$U$1000,$B54)&amp;"")</f>
        <v>Variable</v>
      </c>
      <c r="I54" s="7" t="str">
        <f aca="false">IF($B54="","",INDEX(MASTER_DATABASE!$AV$4:$AV$1000,$B54)&amp;"")</f>
        <v>To Verify</v>
      </c>
      <c r="J54" s="7" t="str">
        <f aca="false">IF($B54="","",INDEX(MASTER_DATABASE!$AW$4:$AW$1000,$B54)&amp;"")</f>
        <v>Confirm stock is regularly kept</v>
      </c>
    </row>
    <row r="55" customFormat="false" ht="15" hidden="false" customHeight="false" outlineLevel="0" collapsed="false">
      <c r="A55" s="11" t="n">
        <v>52</v>
      </c>
      <c r="B55" s="11" t="n">
        <f aca="false">IFERROR(MATCH($A55,MASTER_DATABASE!$BL$4:$BL$1000,0),"")</f>
        <v>176</v>
      </c>
      <c r="C55" s="11" t="str">
        <f aca="false">IF($B55="","",INDEX(MASTER_DATABASE!$A$4:$A$1000,$B55)&amp;"")</f>
        <v>MOB-021</v>
      </c>
      <c r="D55" s="7" t="str">
        <f aca="false">IF($B55="","",INDEX(MASTER_DATABASE!$B$4:$B$1000,$B55)&amp;"")</f>
        <v>Mobile Store</v>
      </c>
      <c r="E55" s="7" t="str">
        <f aca="false">IF($B55="","",INDEX(MASTER_DATABASE!$E$4:$E$1000,$B55)&amp;"")</f>
        <v>Mobile Software Update / Reset Assistance</v>
      </c>
      <c r="F55" s="7" t="str">
        <f aca="false">IF($B55="","",INDEX(MASTER_DATABASE!$I$4:$I$1000,$B55)&amp;"")</f>
        <v>To Verify</v>
      </c>
      <c r="G55" s="7" t="str">
        <f aca="false">IF($B55="","",INDEX(MASTER_DATABASE!$L$4:$L$1000,$B55)&amp;"")</f>
        <v>To Verify</v>
      </c>
      <c r="H55" s="7" t="str">
        <f aca="false">IF($B55="","",INDEX(MASTER_DATABASE!$U$4:$U$1000,$B55)&amp;"")</f>
        <v>Shop Charge Only</v>
      </c>
      <c r="I55" s="7" t="str">
        <f aca="false">IF($B55="","",INDEX(MASTER_DATABASE!$AV$4:$AV$1000,$B55)&amp;"")</f>
        <v>To Verify</v>
      </c>
      <c r="J55" s="7" t="str">
        <f aca="false">IF($B55="","",INDEX(MASTER_DATABASE!$AW$4:$AW$1000,$B55)&amp;"")</f>
        <v>Confirm whether done in-shop</v>
      </c>
    </row>
    <row r="56" customFormat="false" ht="15" hidden="false" customHeight="false" outlineLevel="0" collapsed="false">
      <c r="A56" s="11" t="n">
        <v>53</v>
      </c>
      <c r="B56" s="11" t="n">
        <f aca="false">IFERROR(MATCH($A56,MASTER_DATABASE!$BL$4:$BL$1000,0),"")</f>
        <v>177</v>
      </c>
      <c r="C56" s="11" t="str">
        <f aca="false">IF($B56="","",INDEX(MASTER_DATABASE!$A$4:$A$1000,$B56)&amp;"")</f>
        <v>MOB-022</v>
      </c>
      <c r="D56" s="7" t="str">
        <f aca="false">IF($B56="","",INDEX(MASTER_DATABASE!$B$4:$B$1000,$B56)&amp;"")</f>
        <v>Mobile Store</v>
      </c>
      <c r="E56" s="7" t="str">
        <f aca="false">IF($B56="","",INDEX(MASTER_DATABASE!$E$4:$E$1000,$B56)&amp;"")</f>
        <v>Basic Mobile Repair (Screen / Battery)</v>
      </c>
      <c r="F56" s="7" t="str">
        <f aca="false">IF($B56="","",INDEX(MASTER_DATABASE!$I$4:$I$1000,$B56)&amp;"")</f>
        <v>To Verify</v>
      </c>
      <c r="G56" s="7" t="str">
        <f aca="false">IF($B56="","",INDEX(MASTER_DATABASE!$L$4:$L$1000,$B56)&amp;"")</f>
        <v>To Verify</v>
      </c>
      <c r="H56" s="7" t="str">
        <f aca="false">IF($B56="","",INDEX(MASTER_DATABASE!$U$4:$U$1000,$B56)&amp;"")</f>
        <v>Shop Charge Only</v>
      </c>
      <c r="I56" s="7" t="str">
        <f aca="false">IF($B56="","",INDEX(MASTER_DATABASE!$AV$4:$AV$1000,$B56)&amp;"")</f>
        <v>To Verify</v>
      </c>
      <c r="J56" s="7" t="str">
        <f aca="false">IF($B56="","",INDEX(MASTER_DATABASE!$AW$4:$AW$1000,$B56)&amp;"")</f>
        <v>Confirm whether done in-shop</v>
      </c>
    </row>
    <row r="57" customFormat="false" ht="15" hidden="false" customHeight="false" outlineLevel="0" collapsed="false">
      <c r="A57" s="11" t="n">
        <v>54</v>
      </c>
      <c r="B57" s="11" t="n">
        <f aca="false">IFERROR(MATCH($A57,MASTER_DATABASE!$BL$4:$BL$1000,0),"")</f>
        <v>182</v>
      </c>
      <c r="C57" s="11" t="str">
        <f aca="false">IF($B57="","",INDEX(MASTER_DATABASE!$A$4:$A$1000,$B57)&amp;"")</f>
        <v>PRT-005</v>
      </c>
      <c r="D57" s="7" t="str">
        <f aca="false">IF($B57="","",INDEX(MASTER_DATABASE!$B$4:$B$1000,$B57)&amp;"")</f>
        <v>Printing / Xerox / Scanning</v>
      </c>
      <c r="E57" s="7" t="str">
        <f aca="false">IF($B57="","",INDEX(MASTER_DATABASE!$E$4:$E$1000,$B57)&amp;"")</f>
        <v>A3 / Large Size Print</v>
      </c>
      <c r="F57" s="7" t="str">
        <f aca="false">IF($B57="","",INDEX(MASTER_DATABASE!$I$4:$I$1000,$B57)&amp;"")</f>
        <v>To Verify</v>
      </c>
      <c r="G57" s="7" t="str">
        <f aca="false">IF($B57="","",INDEX(MASTER_DATABASE!$L$4:$L$1000,$B57)&amp;"")</f>
        <v>To Verify</v>
      </c>
      <c r="H57" s="7" t="str">
        <f aca="false">IF($B57="","",INDEX(MASTER_DATABASE!$U$4:$U$1000,$B57)&amp;"")</f>
        <v>Shop Charge Only</v>
      </c>
      <c r="I57" s="7" t="str">
        <f aca="false">IF($B57="","",INDEX(MASTER_DATABASE!$AV$4:$AV$1000,$B57)&amp;"")</f>
        <v>To Verify</v>
      </c>
      <c r="J57" s="7" t="str">
        <f aca="false">IF($B57="","",INDEX(MASTER_DATABASE!$AW$4:$AW$1000,$B57)&amp;"")</f>
        <v>Confirm printer capability</v>
      </c>
    </row>
    <row r="58" customFormat="false" ht="15" hidden="false" customHeight="false" outlineLevel="0" collapsed="false">
      <c r="A58" s="11" t="n">
        <v>55</v>
      </c>
      <c r="B58" s="11" t="n">
        <f aca="false">IFERROR(MATCH($A58,MASTER_DATABASE!$BL$4:$BL$1000,0),"")</f>
        <v>186</v>
      </c>
      <c r="C58" s="11" t="str">
        <f aca="false">IF($B58="","",INDEX(MASTER_DATABASE!$A$4:$A$1000,$B58)&amp;"")</f>
        <v>PRT-009</v>
      </c>
      <c r="D58" s="7" t="str">
        <f aca="false">IF($B58="","",INDEX(MASTER_DATABASE!$B$4:$B$1000,$B58)&amp;"")</f>
        <v>Printing / Xerox / Scanning</v>
      </c>
      <c r="E58" s="7" t="str">
        <f aca="false">IF($B58="","",INDEX(MASTER_DATABASE!$E$4:$E$1000,$B58)&amp;"")</f>
        <v>Spiral Binding</v>
      </c>
      <c r="F58" s="7" t="str">
        <f aca="false">IF($B58="","",INDEX(MASTER_DATABASE!$I$4:$I$1000,$B58)&amp;"")</f>
        <v>To Verify</v>
      </c>
      <c r="G58" s="7" t="str">
        <f aca="false">IF($B58="","",INDEX(MASTER_DATABASE!$L$4:$L$1000,$B58)&amp;"")</f>
        <v>To Verify</v>
      </c>
      <c r="H58" s="7" t="str">
        <f aca="false">IF($B58="","",INDEX(MASTER_DATABASE!$U$4:$U$1000,$B58)&amp;"")</f>
        <v>Shop Charge Only</v>
      </c>
      <c r="I58" s="7" t="str">
        <f aca="false">IF($B58="","",INDEX(MASTER_DATABASE!$AV$4:$AV$1000,$B58)&amp;"")</f>
        <v>To Verify</v>
      </c>
      <c r="J58" s="7" t="str">
        <f aca="false">IF($B58="","",INDEX(MASTER_DATABASE!$AW$4:$AW$1000,$B58)&amp;"")</f>
        <v>Confirm binding machine availability</v>
      </c>
    </row>
    <row r="59" customFormat="false" ht="15" hidden="false" customHeight="false" outlineLevel="0" collapsed="false">
      <c r="A59" s="11" t="n">
        <v>56</v>
      </c>
      <c r="B59" s="11" t="n">
        <f aca="false">IFERROR(MATCH($A59,MASTER_DATABASE!$BL$4:$BL$1000,0),"")</f>
        <v>227</v>
      </c>
      <c r="C59" s="11" t="str">
        <f aca="false">IF($B59="","",INDEX(MASTER_DATABASE!$A$4:$A$1000,$B59)&amp;"")</f>
        <v>PHO-025</v>
      </c>
      <c r="D59" s="7" t="str">
        <f aca="false">IF($B59="","",INDEX(MASTER_DATABASE!$B$4:$B$1000,$B59)&amp;"")</f>
        <v>Photo / Photoshop / Design</v>
      </c>
      <c r="E59" s="7" t="str">
        <f aca="false">IF($B59="","",INDEX(MASTER_DATABASE!$E$4:$E$1000,$B59)&amp;"")</f>
        <v>Logo Design</v>
      </c>
      <c r="F59" s="7" t="str">
        <f aca="false">IF($B59="","",INDEX(MASTER_DATABASE!$I$4:$I$1000,$B59)&amp;"")</f>
        <v>To Verify</v>
      </c>
      <c r="G59" s="7" t="str">
        <f aca="false">IF($B59="","",INDEX(MASTER_DATABASE!$L$4:$L$1000,$B59)&amp;"")</f>
        <v>To Verify</v>
      </c>
      <c r="H59" s="7" t="str">
        <f aca="false">IF($B59="","",INDEX(MASTER_DATABASE!$U$4:$U$1000,$B59)&amp;"")</f>
        <v>Shop Charge Only</v>
      </c>
      <c r="I59" s="7" t="str">
        <f aca="false">IF($B59="","",INDEX(MASTER_DATABASE!$AV$4:$AV$1000,$B59)&amp;"")</f>
        <v>To Verify</v>
      </c>
      <c r="J59" s="7" t="str">
        <f aca="false">IF($B59="","",INDEX(MASTER_DATABASE!$AW$4:$AW$1000,$B59)&amp;"")</f>
        <v>Confirm if offered</v>
      </c>
    </row>
    <row r="60" customFormat="false" ht="15" hidden="false" customHeight="false" outlineLevel="0" collapsed="false">
      <c r="A60" s="11" t="n">
        <v>57</v>
      </c>
      <c r="B60" s="11" t="n">
        <f aca="false">IFERROR(MATCH($A60,MASTER_DATABASE!$BL$4:$BL$1000,0),"")</f>
        <v>228</v>
      </c>
      <c r="C60" s="11" t="str">
        <f aca="false">IF($B60="","",INDEX(MASTER_DATABASE!$A$4:$A$1000,$B60)&amp;"")</f>
        <v>PHO-026</v>
      </c>
      <c r="D60" s="7" t="str">
        <f aca="false">IF($B60="","",INDEX(MASTER_DATABASE!$B$4:$B$1000,$B60)&amp;"")</f>
        <v>Photo / Photoshop / Design</v>
      </c>
      <c r="E60" s="7" t="str">
        <f aca="false">IF($B60="","",INDEX(MASTER_DATABASE!$E$4:$E$1000,$B60)&amp;"")</f>
        <v>Flex / Banner Printing</v>
      </c>
      <c r="F60" s="7" t="str">
        <f aca="false">IF($B60="","",INDEX(MASTER_DATABASE!$I$4:$I$1000,$B60)&amp;"")</f>
        <v>To Verify</v>
      </c>
      <c r="G60" s="7" t="str">
        <f aca="false">IF($B60="","",INDEX(MASTER_DATABASE!$L$4:$L$1000,$B60)&amp;"")</f>
        <v>To Verify</v>
      </c>
      <c r="H60" s="7" t="str">
        <f aca="false">IF($B60="","",INDEX(MASTER_DATABASE!$U$4:$U$1000,$B60)&amp;"")</f>
        <v>Shop Charge Only</v>
      </c>
      <c r="I60" s="7" t="str">
        <f aca="false">IF($B60="","",INDEX(MASTER_DATABASE!$AV$4:$AV$1000,$B60)&amp;"")</f>
        <v>To Verify</v>
      </c>
      <c r="J60" s="7" t="str">
        <f aca="false">IF($B60="","",INDEX(MASTER_DATABASE!$AW$4:$AW$1000,$B60)&amp;"")</f>
        <v>Confirm if printed in-shop or via outside vendor</v>
      </c>
    </row>
    <row r="61" customFormat="false" ht="23.85" hidden="false" customHeight="false" outlineLevel="0" collapsed="false">
      <c r="A61" s="11" t="n">
        <v>58</v>
      </c>
      <c r="B61" s="11" t="n">
        <f aca="false">IFERROR(MATCH($A61,MASTER_DATABASE!$BL$4:$BL$1000,0),"")</f>
        <v>244</v>
      </c>
      <c r="C61" s="11" t="str">
        <f aca="false">IF($B61="","",INDEX(MASTER_DATABASE!$A$4:$A$1000,$B61)&amp;"")</f>
        <v>ONL-016</v>
      </c>
      <c r="D61" s="7" t="str">
        <f aca="false">IF($B61="","",INDEX(MASTER_DATABASE!$B$4:$B$1000,$B61)&amp;"")</f>
        <v>Online Form &amp; Digital Services</v>
      </c>
      <c r="E61" s="7" t="str">
        <f aca="false">IF($B61="","",INDEX(MASTER_DATABASE!$E$4:$E$1000,$B61)&amp;"")</f>
        <v>Student Credit Card / Education Loan Scheme Application</v>
      </c>
      <c r="F61" s="7" t="str">
        <f aca="false">IF($B61="","",INDEX(MASTER_DATABASE!$I$4:$I$1000,$B61)&amp;"")</f>
        <v>To Verify</v>
      </c>
      <c r="G61" s="7" t="str">
        <f aca="false">IF($B61="","",INDEX(MASTER_DATABASE!$L$4:$L$1000,$B61)&amp;"")</f>
        <v>To Verify</v>
      </c>
      <c r="H61" s="7" t="str">
        <f aca="false">IF($B61="","",INDEX(MASTER_DATABASE!$U$4:$U$1000,$B61)&amp;"")</f>
        <v>To Verify</v>
      </c>
      <c r="I61" s="7" t="str">
        <f aca="false">IF($B61="","",INDEX(MASTER_DATABASE!$AV$4:$AV$1000,$B61)&amp;"")</f>
        <v>To Verify</v>
      </c>
      <c r="J61" s="7" t="str">
        <f aca="false">IF($B61="","",INDEX(MASTER_DATABASE!$AW$4:$AW$1000,$B61)&amp;"")</f>
        <v>State scheme; confirm portal</v>
      </c>
    </row>
    <row r="62" customFormat="false" ht="15" hidden="false" customHeight="false" outlineLevel="0" collapsed="false">
      <c r="A62" s="11" t="n">
        <v>59</v>
      </c>
      <c r="B62" s="11" t="n">
        <f aca="false">IFERROR(MATCH($A62,MASTER_DATABASE!$BL$4:$BL$1000,0),"")</f>
        <v>289</v>
      </c>
      <c r="C62" s="11" t="str">
        <f aca="false">IF($B62="","",INDEX(MASTER_DATABASE!$A$4:$A$1000,$B62)&amp;"")</f>
        <v>TKT-006</v>
      </c>
      <c r="D62" s="7" t="str">
        <f aca="false">IF($B62="","",INDEX(MASTER_DATABASE!$B$4:$B$1000,$B62)&amp;"")</f>
        <v>Travel / Ticketing</v>
      </c>
      <c r="E62" s="7" t="str">
        <f aca="false">IF($B62="","",INDEX(MASTER_DATABASE!$E$4:$E$1000,$B62)&amp;"")</f>
        <v>Railway Refund Status Check</v>
      </c>
      <c r="F62" s="7" t="str">
        <f aca="false">IF($B62="","",INDEX(MASTER_DATABASE!$I$4:$I$1000,$B62)&amp;"")</f>
        <v>To Verify</v>
      </c>
      <c r="G62" s="7" t="str">
        <f aca="false">IF($B62="","",INDEX(MASTER_DATABASE!$L$4:$L$1000,$B62)&amp;"")</f>
        <v>To Verify</v>
      </c>
      <c r="H62" s="7" t="str">
        <f aca="false">IF($B62="","",INDEX(MASTER_DATABASE!$U$4:$U$1000,$B62)&amp;"")</f>
        <v>To Verify</v>
      </c>
      <c r="I62" s="7" t="str">
        <f aca="false">IF($B62="","",INDEX(MASTER_DATABASE!$AV$4:$AV$1000,$B62)&amp;"")</f>
        <v>To Verify</v>
      </c>
      <c r="J62" s="7" t="str">
        <f aca="false">IF($B62="","",INDEX(MASTER_DATABASE!$AW$4:$AW$1000,$B62)&amp;"")</f>
        <v/>
      </c>
    </row>
    <row r="63" customFormat="false" ht="15" hidden="false" customHeight="false" outlineLevel="0" collapsed="false">
      <c r="A63" s="11" t="n">
        <v>60</v>
      </c>
      <c r="B63" s="11" t="n">
        <f aca="false">IFERROR(MATCH($A63,MASTER_DATABASE!$BL$4:$BL$1000,0),"")</f>
        <v>290</v>
      </c>
      <c r="C63" s="11" t="str">
        <f aca="false">IF($B63="","",INDEX(MASTER_DATABASE!$A$4:$A$1000,$B63)&amp;"")</f>
        <v>TKT-007</v>
      </c>
      <c r="D63" s="7" t="str">
        <f aca="false">IF($B63="","",INDEX(MASTER_DATABASE!$B$4:$B$1000,$B63)&amp;"")</f>
        <v>Travel / Ticketing</v>
      </c>
      <c r="E63" s="7" t="str">
        <f aca="false">IF($B63="","",INDEX(MASTER_DATABASE!$E$4:$E$1000,$B63)&amp;"")</f>
        <v>Bus Ticket Booking</v>
      </c>
      <c r="F63" s="7" t="str">
        <f aca="false">IF($B63="","",INDEX(MASTER_DATABASE!$I$4:$I$1000,$B63)&amp;"")</f>
        <v>To Verify</v>
      </c>
      <c r="G63" s="7" t="str">
        <f aca="false">IF($B63="","",INDEX(MASTER_DATABASE!$L$4:$L$1000,$B63)&amp;"")</f>
        <v>To Verify</v>
      </c>
      <c r="H63" s="7" t="str">
        <f aca="false">IF($B63="","",INDEX(MASTER_DATABASE!$U$4:$U$1000,$B63)&amp;"")</f>
        <v>To Verify</v>
      </c>
      <c r="I63" s="7" t="str">
        <f aca="false">IF($B63="","",INDEX(MASTER_DATABASE!$AV$4:$AV$1000,$B63)&amp;"")</f>
        <v>To Verify</v>
      </c>
      <c r="J63" s="7" t="str">
        <f aca="false">IF($B63="","",INDEX(MASTER_DATABASE!$AW$4:$AW$1000,$B63)&amp;"")</f>
        <v>Confirm which bus booking platform is authorized</v>
      </c>
    </row>
    <row r="64" customFormat="false" ht="15" hidden="false" customHeight="false" outlineLevel="0" collapsed="false">
      <c r="A64" s="11" t="n">
        <v>61</v>
      </c>
      <c r="B64" s="11" t="n">
        <f aca="false">IFERROR(MATCH($A64,MASTER_DATABASE!$BL$4:$BL$1000,0),"")</f>
        <v>291</v>
      </c>
      <c r="C64" s="11" t="str">
        <f aca="false">IF($B64="","",INDEX(MASTER_DATABASE!$A$4:$A$1000,$B64)&amp;"")</f>
        <v>TKT-008</v>
      </c>
      <c r="D64" s="7" t="str">
        <f aca="false">IF($B64="","",INDEX(MASTER_DATABASE!$B$4:$B$1000,$B64)&amp;"")</f>
        <v>Travel / Ticketing</v>
      </c>
      <c r="E64" s="7" t="str">
        <f aca="false">IF($B64="","",INDEX(MASTER_DATABASE!$E$4:$E$1000,$B64)&amp;"")</f>
        <v>Bus Ticket Cancellation</v>
      </c>
      <c r="F64" s="7" t="str">
        <f aca="false">IF($B64="","",INDEX(MASTER_DATABASE!$I$4:$I$1000,$B64)&amp;"")</f>
        <v>To Verify</v>
      </c>
      <c r="G64" s="7" t="str">
        <f aca="false">IF($B64="","",INDEX(MASTER_DATABASE!$L$4:$L$1000,$B64)&amp;"")</f>
        <v>To Verify</v>
      </c>
      <c r="H64" s="7" t="str">
        <f aca="false">IF($B64="","",INDEX(MASTER_DATABASE!$U$4:$U$1000,$B64)&amp;"")</f>
        <v>To Verify</v>
      </c>
      <c r="I64" s="7" t="str">
        <f aca="false">IF($B64="","",INDEX(MASTER_DATABASE!$AV$4:$AV$1000,$B64)&amp;"")</f>
        <v>To Verify</v>
      </c>
      <c r="J64" s="7" t="str">
        <f aca="false">IF($B64="","",INDEX(MASTER_DATABASE!$AW$4:$AW$1000,$B64)&amp;"")</f>
        <v/>
      </c>
    </row>
    <row r="65" customFormat="false" ht="15" hidden="false" customHeight="false" outlineLevel="0" collapsed="false">
      <c r="A65" s="11" t="n">
        <v>62</v>
      </c>
      <c r="B65" s="11" t="n">
        <f aca="false">IFERROR(MATCH($A65,MASTER_DATABASE!$BL$4:$BL$1000,0),"")</f>
        <v>292</v>
      </c>
      <c r="C65" s="11" t="str">
        <f aca="false">IF($B65="","",INDEX(MASTER_DATABASE!$A$4:$A$1000,$B65)&amp;"")</f>
        <v>TKT-009</v>
      </c>
      <c r="D65" s="7" t="str">
        <f aca="false">IF($B65="","",INDEX(MASTER_DATABASE!$B$4:$B$1000,$B65)&amp;"")</f>
        <v>Travel / Ticketing</v>
      </c>
      <c r="E65" s="7" t="str">
        <f aca="false">IF($B65="","",INDEX(MASTER_DATABASE!$E$4:$E$1000,$B65)&amp;"")</f>
        <v>Flight Ticket Booking</v>
      </c>
      <c r="F65" s="7" t="str">
        <f aca="false">IF($B65="","",INDEX(MASTER_DATABASE!$I$4:$I$1000,$B65)&amp;"")</f>
        <v>To Verify</v>
      </c>
      <c r="G65" s="7" t="str">
        <f aca="false">IF($B65="","",INDEX(MASTER_DATABASE!$L$4:$L$1000,$B65)&amp;"")</f>
        <v>To Verify</v>
      </c>
      <c r="H65" s="7" t="str">
        <f aca="false">IF($B65="","",INDEX(MASTER_DATABASE!$U$4:$U$1000,$B65)&amp;"")</f>
        <v>To Verify</v>
      </c>
      <c r="I65" s="7" t="str">
        <f aca="false">IF($B65="","",INDEX(MASTER_DATABASE!$AV$4:$AV$1000,$B65)&amp;"")</f>
        <v>To Verify</v>
      </c>
      <c r="J65" s="7" t="str">
        <f aca="false">IF($B65="","",INDEX(MASTER_DATABASE!$AW$4:$AW$1000,$B65)&amp;"")</f>
        <v>Confirm if offered</v>
      </c>
    </row>
    <row r="66" customFormat="false" ht="15" hidden="false" customHeight="false" outlineLevel="0" collapsed="false">
      <c r="A66" s="11" t="n">
        <v>63</v>
      </c>
      <c r="B66" s="11" t="str">
        <f aca="false">IFERROR(MATCH($A66,MASTER_DATABASE!$BL$4:$BL$1000,0),"")</f>
        <v/>
      </c>
      <c r="C66" s="11" t="str">
        <f aca="false">IF($B66="","",INDEX(MASTER_DATABASE!$A$4:$A$1000,$B66)&amp;"")</f>
        <v/>
      </c>
      <c r="D66" s="7" t="str">
        <f aca="false">IF($B66="","",INDEX(MASTER_DATABASE!$B$4:$B$1000,$B66)&amp;"")</f>
        <v/>
      </c>
      <c r="E66" s="7" t="str">
        <f aca="false">IF($B66="","",INDEX(MASTER_DATABASE!$E$4:$E$1000,$B66)&amp;"")</f>
        <v/>
      </c>
      <c r="F66" s="7" t="str">
        <f aca="false">IF($B66="","",INDEX(MASTER_DATABASE!$I$4:$I$1000,$B66)&amp;"")</f>
        <v/>
      </c>
      <c r="G66" s="7" t="str">
        <f aca="false">IF($B66="","",INDEX(MASTER_DATABASE!$L$4:$L$1000,$B66)&amp;"")</f>
        <v/>
      </c>
      <c r="H66" s="7" t="str">
        <f aca="false">IF($B66="","",INDEX(MASTER_DATABASE!$U$4:$U$1000,$B66)&amp;"")</f>
        <v/>
      </c>
      <c r="I66" s="7" t="str">
        <f aca="false">IF($B66="","",INDEX(MASTER_DATABASE!$AV$4:$AV$1000,$B66)&amp;"")</f>
        <v/>
      </c>
      <c r="J66" s="7" t="str">
        <f aca="false">IF($B66="","",INDEX(MASTER_DATABASE!$AW$4:$AW$1000,$B66)&amp;"")</f>
        <v/>
      </c>
    </row>
    <row r="67" customFormat="false" ht="15" hidden="false" customHeight="false" outlineLevel="0" collapsed="false">
      <c r="A67" s="11" t="n">
        <v>64</v>
      </c>
      <c r="B67" s="11" t="str">
        <f aca="false">IFERROR(MATCH($A67,MASTER_DATABASE!$BL$4:$BL$1000,0),"")</f>
        <v/>
      </c>
      <c r="C67" s="11" t="str">
        <f aca="false">IF($B67="","",INDEX(MASTER_DATABASE!$A$4:$A$1000,$B67)&amp;"")</f>
        <v/>
      </c>
      <c r="D67" s="7" t="str">
        <f aca="false">IF($B67="","",INDEX(MASTER_DATABASE!$B$4:$B$1000,$B67)&amp;"")</f>
        <v/>
      </c>
      <c r="E67" s="7" t="str">
        <f aca="false">IF($B67="","",INDEX(MASTER_DATABASE!$E$4:$E$1000,$B67)&amp;"")</f>
        <v/>
      </c>
      <c r="F67" s="7" t="str">
        <f aca="false">IF($B67="","",INDEX(MASTER_DATABASE!$I$4:$I$1000,$B67)&amp;"")</f>
        <v/>
      </c>
      <c r="G67" s="7" t="str">
        <f aca="false">IF($B67="","",INDEX(MASTER_DATABASE!$L$4:$L$1000,$B67)&amp;"")</f>
        <v/>
      </c>
      <c r="H67" s="7" t="str">
        <f aca="false">IF($B67="","",INDEX(MASTER_DATABASE!$U$4:$U$1000,$B67)&amp;"")</f>
        <v/>
      </c>
      <c r="I67" s="7" t="str">
        <f aca="false">IF($B67="","",INDEX(MASTER_DATABASE!$AV$4:$AV$1000,$B67)&amp;"")</f>
        <v/>
      </c>
      <c r="J67" s="7" t="str">
        <f aca="false">IF($B67="","",INDEX(MASTER_DATABASE!$AW$4:$AW$1000,$B67)&amp;"")</f>
        <v/>
      </c>
    </row>
    <row r="68" customFormat="false" ht="15" hidden="false" customHeight="false" outlineLevel="0" collapsed="false">
      <c r="A68" s="11" t="n">
        <v>65</v>
      </c>
      <c r="B68" s="11" t="str">
        <f aca="false">IFERROR(MATCH($A68,MASTER_DATABASE!$BL$4:$BL$1000,0),"")</f>
        <v/>
      </c>
      <c r="C68" s="11" t="str">
        <f aca="false">IF($B68="","",INDEX(MASTER_DATABASE!$A$4:$A$1000,$B68)&amp;"")</f>
        <v/>
      </c>
      <c r="D68" s="7" t="str">
        <f aca="false">IF($B68="","",INDEX(MASTER_DATABASE!$B$4:$B$1000,$B68)&amp;"")</f>
        <v/>
      </c>
      <c r="E68" s="7" t="str">
        <f aca="false">IF($B68="","",INDEX(MASTER_DATABASE!$E$4:$E$1000,$B68)&amp;"")</f>
        <v/>
      </c>
      <c r="F68" s="7" t="str">
        <f aca="false">IF($B68="","",INDEX(MASTER_DATABASE!$I$4:$I$1000,$B68)&amp;"")</f>
        <v/>
      </c>
      <c r="G68" s="7" t="str">
        <f aca="false">IF($B68="","",INDEX(MASTER_DATABASE!$L$4:$L$1000,$B68)&amp;"")</f>
        <v/>
      </c>
      <c r="H68" s="7" t="str">
        <f aca="false">IF($B68="","",INDEX(MASTER_DATABASE!$U$4:$U$1000,$B68)&amp;"")</f>
        <v/>
      </c>
      <c r="I68" s="7" t="str">
        <f aca="false">IF($B68="","",INDEX(MASTER_DATABASE!$AV$4:$AV$1000,$B68)&amp;"")</f>
        <v/>
      </c>
      <c r="J68" s="7" t="str">
        <f aca="false">IF($B68="","",INDEX(MASTER_DATABASE!$AW$4:$AW$1000,$B68)&amp;"")</f>
        <v/>
      </c>
    </row>
    <row r="69" customFormat="false" ht="15" hidden="false" customHeight="false" outlineLevel="0" collapsed="false">
      <c r="A69" s="11" t="n">
        <v>66</v>
      </c>
      <c r="B69" s="11" t="str">
        <f aca="false">IFERROR(MATCH($A69,MASTER_DATABASE!$BL$4:$BL$1000,0),"")</f>
        <v/>
      </c>
      <c r="C69" s="11" t="str">
        <f aca="false">IF($B69="","",INDEX(MASTER_DATABASE!$A$4:$A$1000,$B69)&amp;"")</f>
        <v/>
      </c>
      <c r="D69" s="7" t="str">
        <f aca="false">IF($B69="","",INDEX(MASTER_DATABASE!$B$4:$B$1000,$B69)&amp;"")</f>
        <v/>
      </c>
      <c r="E69" s="7" t="str">
        <f aca="false">IF($B69="","",INDEX(MASTER_DATABASE!$E$4:$E$1000,$B69)&amp;"")</f>
        <v/>
      </c>
      <c r="F69" s="7" t="str">
        <f aca="false">IF($B69="","",INDEX(MASTER_DATABASE!$I$4:$I$1000,$B69)&amp;"")</f>
        <v/>
      </c>
      <c r="G69" s="7" t="str">
        <f aca="false">IF($B69="","",INDEX(MASTER_DATABASE!$L$4:$L$1000,$B69)&amp;"")</f>
        <v/>
      </c>
      <c r="H69" s="7" t="str">
        <f aca="false">IF($B69="","",INDEX(MASTER_DATABASE!$U$4:$U$1000,$B69)&amp;"")</f>
        <v/>
      </c>
      <c r="I69" s="7" t="str">
        <f aca="false">IF($B69="","",INDEX(MASTER_DATABASE!$AV$4:$AV$1000,$B69)&amp;"")</f>
        <v/>
      </c>
      <c r="J69" s="7" t="str">
        <f aca="false">IF($B69="","",INDEX(MASTER_DATABASE!$AW$4:$AW$1000,$B69)&amp;"")</f>
        <v/>
      </c>
    </row>
    <row r="70" customFormat="false" ht="15" hidden="false" customHeight="false" outlineLevel="0" collapsed="false">
      <c r="A70" s="11" t="n">
        <v>67</v>
      </c>
      <c r="B70" s="11" t="str">
        <f aca="false">IFERROR(MATCH($A70,MASTER_DATABASE!$BL$4:$BL$1000,0),"")</f>
        <v/>
      </c>
      <c r="C70" s="11" t="str">
        <f aca="false">IF($B70="","",INDEX(MASTER_DATABASE!$A$4:$A$1000,$B70)&amp;"")</f>
        <v/>
      </c>
      <c r="D70" s="7" t="str">
        <f aca="false">IF($B70="","",INDEX(MASTER_DATABASE!$B$4:$B$1000,$B70)&amp;"")</f>
        <v/>
      </c>
      <c r="E70" s="7" t="str">
        <f aca="false">IF($B70="","",INDEX(MASTER_DATABASE!$E$4:$E$1000,$B70)&amp;"")</f>
        <v/>
      </c>
      <c r="F70" s="7" t="str">
        <f aca="false">IF($B70="","",INDEX(MASTER_DATABASE!$I$4:$I$1000,$B70)&amp;"")</f>
        <v/>
      </c>
      <c r="G70" s="7" t="str">
        <f aca="false">IF($B70="","",INDEX(MASTER_DATABASE!$L$4:$L$1000,$B70)&amp;"")</f>
        <v/>
      </c>
      <c r="H70" s="7" t="str">
        <f aca="false">IF($B70="","",INDEX(MASTER_DATABASE!$U$4:$U$1000,$B70)&amp;"")</f>
        <v/>
      </c>
      <c r="I70" s="7" t="str">
        <f aca="false">IF($B70="","",INDEX(MASTER_DATABASE!$AV$4:$AV$1000,$B70)&amp;"")</f>
        <v/>
      </c>
      <c r="J70" s="7" t="str">
        <f aca="false">IF($B70="","",INDEX(MASTER_DATABASE!$AW$4:$AW$1000,$B70)&amp;"")</f>
        <v/>
      </c>
    </row>
    <row r="71" customFormat="false" ht="15" hidden="false" customHeight="false" outlineLevel="0" collapsed="false">
      <c r="A71" s="11" t="n">
        <v>68</v>
      </c>
      <c r="B71" s="11" t="str">
        <f aca="false">IFERROR(MATCH($A71,MASTER_DATABASE!$BL$4:$BL$1000,0),"")</f>
        <v/>
      </c>
      <c r="C71" s="11" t="str">
        <f aca="false">IF($B71="","",INDEX(MASTER_DATABASE!$A$4:$A$1000,$B71)&amp;"")</f>
        <v/>
      </c>
      <c r="D71" s="7" t="str">
        <f aca="false">IF($B71="","",INDEX(MASTER_DATABASE!$B$4:$B$1000,$B71)&amp;"")</f>
        <v/>
      </c>
      <c r="E71" s="7" t="str">
        <f aca="false">IF($B71="","",INDEX(MASTER_DATABASE!$E$4:$E$1000,$B71)&amp;"")</f>
        <v/>
      </c>
      <c r="F71" s="7" t="str">
        <f aca="false">IF($B71="","",INDEX(MASTER_DATABASE!$I$4:$I$1000,$B71)&amp;"")</f>
        <v/>
      </c>
      <c r="G71" s="7" t="str">
        <f aca="false">IF($B71="","",INDEX(MASTER_DATABASE!$L$4:$L$1000,$B71)&amp;"")</f>
        <v/>
      </c>
      <c r="H71" s="7" t="str">
        <f aca="false">IF($B71="","",INDEX(MASTER_DATABASE!$U$4:$U$1000,$B71)&amp;"")</f>
        <v/>
      </c>
      <c r="I71" s="7" t="str">
        <f aca="false">IF($B71="","",INDEX(MASTER_DATABASE!$AV$4:$AV$1000,$B71)&amp;"")</f>
        <v/>
      </c>
      <c r="J71" s="7" t="str">
        <f aca="false">IF($B71="","",INDEX(MASTER_DATABASE!$AW$4:$AW$1000,$B71)&amp;"")</f>
        <v/>
      </c>
    </row>
    <row r="72" customFormat="false" ht="15" hidden="false" customHeight="false" outlineLevel="0" collapsed="false">
      <c r="A72" s="11" t="n">
        <v>69</v>
      </c>
      <c r="B72" s="11" t="str">
        <f aca="false">IFERROR(MATCH($A72,MASTER_DATABASE!$BL$4:$BL$1000,0),"")</f>
        <v/>
      </c>
      <c r="C72" s="11" t="str">
        <f aca="false">IF($B72="","",INDEX(MASTER_DATABASE!$A$4:$A$1000,$B72)&amp;"")</f>
        <v/>
      </c>
      <c r="D72" s="7" t="str">
        <f aca="false">IF($B72="","",INDEX(MASTER_DATABASE!$B$4:$B$1000,$B72)&amp;"")</f>
        <v/>
      </c>
      <c r="E72" s="7" t="str">
        <f aca="false">IF($B72="","",INDEX(MASTER_DATABASE!$E$4:$E$1000,$B72)&amp;"")</f>
        <v/>
      </c>
      <c r="F72" s="7" t="str">
        <f aca="false">IF($B72="","",INDEX(MASTER_DATABASE!$I$4:$I$1000,$B72)&amp;"")</f>
        <v/>
      </c>
      <c r="G72" s="7" t="str">
        <f aca="false">IF($B72="","",INDEX(MASTER_DATABASE!$L$4:$L$1000,$B72)&amp;"")</f>
        <v/>
      </c>
      <c r="H72" s="7" t="str">
        <f aca="false">IF($B72="","",INDEX(MASTER_DATABASE!$U$4:$U$1000,$B72)&amp;"")</f>
        <v/>
      </c>
      <c r="I72" s="7" t="str">
        <f aca="false">IF($B72="","",INDEX(MASTER_DATABASE!$AV$4:$AV$1000,$B72)&amp;"")</f>
        <v/>
      </c>
      <c r="J72" s="7" t="str">
        <f aca="false">IF($B72="","",INDEX(MASTER_DATABASE!$AW$4:$AW$1000,$B72)&amp;"")</f>
        <v/>
      </c>
    </row>
    <row r="73" customFormat="false" ht="15" hidden="false" customHeight="false" outlineLevel="0" collapsed="false">
      <c r="A73" s="11" t="n">
        <v>70</v>
      </c>
      <c r="B73" s="11" t="str">
        <f aca="false">IFERROR(MATCH($A73,MASTER_DATABASE!$BL$4:$BL$1000,0),"")</f>
        <v/>
      </c>
      <c r="C73" s="11" t="str">
        <f aca="false">IF($B73="","",INDEX(MASTER_DATABASE!$A$4:$A$1000,$B73)&amp;"")</f>
        <v/>
      </c>
      <c r="D73" s="7" t="str">
        <f aca="false">IF($B73="","",INDEX(MASTER_DATABASE!$B$4:$B$1000,$B73)&amp;"")</f>
        <v/>
      </c>
      <c r="E73" s="7" t="str">
        <f aca="false">IF($B73="","",INDEX(MASTER_DATABASE!$E$4:$E$1000,$B73)&amp;"")</f>
        <v/>
      </c>
      <c r="F73" s="7" t="str">
        <f aca="false">IF($B73="","",INDEX(MASTER_DATABASE!$I$4:$I$1000,$B73)&amp;"")</f>
        <v/>
      </c>
      <c r="G73" s="7" t="str">
        <f aca="false">IF($B73="","",INDEX(MASTER_DATABASE!$L$4:$L$1000,$B73)&amp;"")</f>
        <v/>
      </c>
      <c r="H73" s="7" t="str">
        <f aca="false">IF($B73="","",INDEX(MASTER_DATABASE!$U$4:$U$1000,$B73)&amp;"")</f>
        <v/>
      </c>
      <c r="I73" s="7" t="str">
        <f aca="false">IF($B73="","",INDEX(MASTER_DATABASE!$AV$4:$AV$1000,$B73)&amp;"")</f>
        <v/>
      </c>
      <c r="J73" s="7" t="str">
        <f aca="false">IF($B73="","",INDEX(MASTER_DATABASE!$AW$4:$AW$1000,$B73)&amp;"")</f>
        <v/>
      </c>
    </row>
    <row r="74" customFormat="false" ht="15" hidden="false" customHeight="false" outlineLevel="0" collapsed="false">
      <c r="A74" s="11" t="n">
        <v>71</v>
      </c>
      <c r="B74" s="11" t="str">
        <f aca="false">IFERROR(MATCH($A74,MASTER_DATABASE!$BL$4:$BL$1000,0),"")</f>
        <v/>
      </c>
      <c r="C74" s="11" t="str">
        <f aca="false">IF($B74="","",INDEX(MASTER_DATABASE!$A$4:$A$1000,$B74)&amp;"")</f>
        <v/>
      </c>
      <c r="D74" s="7" t="str">
        <f aca="false">IF($B74="","",INDEX(MASTER_DATABASE!$B$4:$B$1000,$B74)&amp;"")</f>
        <v/>
      </c>
      <c r="E74" s="7" t="str">
        <f aca="false">IF($B74="","",INDEX(MASTER_DATABASE!$E$4:$E$1000,$B74)&amp;"")</f>
        <v/>
      </c>
      <c r="F74" s="7" t="str">
        <f aca="false">IF($B74="","",INDEX(MASTER_DATABASE!$I$4:$I$1000,$B74)&amp;"")</f>
        <v/>
      </c>
      <c r="G74" s="7" t="str">
        <f aca="false">IF($B74="","",INDEX(MASTER_DATABASE!$L$4:$L$1000,$B74)&amp;"")</f>
        <v/>
      </c>
      <c r="H74" s="7" t="str">
        <f aca="false">IF($B74="","",INDEX(MASTER_DATABASE!$U$4:$U$1000,$B74)&amp;"")</f>
        <v/>
      </c>
      <c r="I74" s="7" t="str">
        <f aca="false">IF($B74="","",INDEX(MASTER_DATABASE!$AV$4:$AV$1000,$B74)&amp;"")</f>
        <v/>
      </c>
      <c r="J74" s="7" t="str">
        <f aca="false">IF($B74="","",INDEX(MASTER_DATABASE!$AW$4:$AW$1000,$B74)&amp;"")</f>
        <v/>
      </c>
    </row>
    <row r="75" customFormat="false" ht="15" hidden="false" customHeight="false" outlineLevel="0" collapsed="false">
      <c r="A75" s="11" t="n">
        <v>72</v>
      </c>
      <c r="B75" s="11" t="str">
        <f aca="false">IFERROR(MATCH($A75,MASTER_DATABASE!$BL$4:$BL$1000,0),"")</f>
        <v/>
      </c>
      <c r="C75" s="11" t="str">
        <f aca="false">IF($B75="","",INDEX(MASTER_DATABASE!$A$4:$A$1000,$B75)&amp;"")</f>
        <v/>
      </c>
      <c r="D75" s="7" t="str">
        <f aca="false">IF($B75="","",INDEX(MASTER_DATABASE!$B$4:$B$1000,$B75)&amp;"")</f>
        <v/>
      </c>
      <c r="E75" s="7" t="str">
        <f aca="false">IF($B75="","",INDEX(MASTER_DATABASE!$E$4:$E$1000,$B75)&amp;"")</f>
        <v/>
      </c>
      <c r="F75" s="7" t="str">
        <f aca="false">IF($B75="","",INDEX(MASTER_DATABASE!$I$4:$I$1000,$B75)&amp;"")</f>
        <v/>
      </c>
      <c r="G75" s="7" t="str">
        <f aca="false">IF($B75="","",INDEX(MASTER_DATABASE!$L$4:$L$1000,$B75)&amp;"")</f>
        <v/>
      </c>
      <c r="H75" s="7" t="str">
        <f aca="false">IF($B75="","",INDEX(MASTER_DATABASE!$U$4:$U$1000,$B75)&amp;"")</f>
        <v/>
      </c>
      <c r="I75" s="7" t="str">
        <f aca="false">IF($B75="","",INDEX(MASTER_DATABASE!$AV$4:$AV$1000,$B75)&amp;"")</f>
        <v/>
      </c>
      <c r="J75" s="7" t="str">
        <f aca="false">IF($B75="","",INDEX(MASTER_DATABASE!$AW$4:$AW$1000,$B75)&amp;"")</f>
        <v/>
      </c>
    </row>
    <row r="76" customFormat="false" ht="15" hidden="false" customHeight="false" outlineLevel="0" collapsed="false">
      <c r="A76" s="11" t="n">
        <v>73</v>
      </c>
      <c r="B76" s="11" t="str">
        <f aca="false">IFERROR(MATCH($A76,MASTER_DATABASE!$BL$4:$BL$1000,0),"")</f>
        <v/>
      </c>
      <c r="C76" s="11" t="str">
        <f aca="false">IF($B76="","",INDEX(MASTER_DATABASE!$A$4:$A$1000,$B76)&amp;"")</f>
        <v/>
      </c>
      <c r="D76" s="7" t="str">
        <f aca="false">IF($B76="","",INDEX(MASTER_DATABASE!$B$4:$B$1000,$B76)&amp;"")</f>
        <v/>
      </c>
      <c r="E76" s="7" t="str">
        <f aca="false">IF($B76="","",INDEX(MASTER_DATABASE!$E$4:$E$1000,$B76)&amp;"")</f>
        <v/>
      </c>
      <c r="F76" s="7" t="str">
        <f aca="false">IF($B76="","",INDEX(MASTER_DATABASE!$I$4:$I$1000,$B76)&amp;"")</f>
        <v/>
      </c>
      <c r="G76" s="7" t="str">
        <f aca="false">IF($B76="","",INDEX(MASTER_DATABASE!$L$4:$L$1000,$B76)&amp;"")</f>
        <v/>
      </c>
      <c r="H76" s="7" t="str">
        <f aca="false">IF($B76="","",INDEX(MASTER_DATABASE!$U$4:$U$1000,$B76)&amp;"")</f>
        <v/>
      </c>
      <c r="I76" s="7" t="str">
        <f aca="false">IF($B76="","",INDEX(MASTER_DATABASE!$AV$4:$AV$1000,$B76)&amp;"")</f>
        <v/>
      </c>
      <c r="J76" s="7" t="str">
        <f aca="false">IF($B76="","",INDEX(MASTER_DATABASE!$AW$4:$AW$1000,$B76)&amp;"")</f>
        <v/>
      </c>
    </row>
    <row r="77" customFormat="false" ht="15" hidden="false" customHeight="false" outlineLevel="0" collapsed="false">
      <c r="A77" s="11" t="n">
        <v>74</v>
      </c>
      <c r="B77" s="11" t="str">
        <f aca="false">IFERROR(MATCH($A77,MASTER_DATABASE!$BL$4:$BL$1000,0),"")</f>
        <v/>
      </c>
      <c r="C77" s="11" t="str">
        <f aca="false">IF($B77="","",INDEX(MASTER_DATABASE!$A$4:$A$1000,$B77)&amp;"")</f>
        <v/>
      </c>
      <c r="D77" s="7" t="str">
        <f aca="false">IF($B77="","",INDEX(MASTER_DATABASE!$B$4:$B$1000,$B77)&amp;"")</f>
        <v/>
      </c>
      <c r="E77" s="7" t="str">
        <f aca="false">IF($B77="","",INDEX(MASTER_DATABASE!$E$4:$E$1000,$B77)&amp;"")</f>
        <v/>
      </c>
      <c r="F77" s="7" t="str">
        <f aca="false">IF($B77="","",INDEX(MASTER_DATABASE!$I$4:$I$1000,$B77)&amp;"")</f>
        <v/>
      </c>
      <c r="G77" s="7" t="str">
        <f aca="false">IF($B77="","",INDEX(MASTER_DATABASE!$L$4:$L$1000,$B77)&amp;"")</f>
        <v/>
      </c>
      <c r="H77" s="7" t="str">
        <f aca="false">IF($B77="","",INDEX(MASTER_DATABASE!$U$4:$U$1000,$B77)&amp;"")</f>
        <v/>
      </c>
      <c r="I77" s="7" t="str">
        <f aca="false">IF($B77="","",INDEX(MASTER_DATABASE!$AV$4:$AV$1000,$B77)&amp;"")</f>
        <v/>
      </c>
      <c r="J77" s="7" t="str">
        <f aca="false">IF($B77="","",INDEX(MASTER_DATABASE!$AW$4:$AW$1000,$B77)&amp;"")</f>
        <v/>
      </c>
    </row>
    <row r="78" customFormat="false" ht="15" hidden="false" customHeight="false" outlineLevel="0" collapsed="false">
      <c r="A78" s="11" t="n">
        <v>75</v>
      </c>
      <c r="B78" s="11" t="str">
        <f aca="false">IFERROR(MATCH($A78,MASTER_DATABASE!$BL$4:$BL$1000,0),"")</f>
        <v/>
      </c>
      <c r="C78" s="11" t="str">
        <f aca="false">IF($B78="","",INDEX(MASTER_DATABASE!$A$4:$A$1000,$B78)&amp;"")</f>
        <v/>
      </c>
      <c r="D78" s="7" t="str">
        <f aca="false">IF($B78="","",INDEX(MASTER_DATABASE!$B$4:$B$1000,$B78)&amp;"")</f>
        <v/>
      </c>
      <c r="E78" s="7" t="str">
        <f aca="false">IF($B78="","",INDEX(MASTER_DATABASE!$E$4:$E$1000,$B78)&amp;"")</f>
        <v/>
      </c>
      <c r="F78" s="7" t="str">
        <f aca="false">IF($B78="","",INDEX(MASTER_DATABASE!$I$4:$I$1000,$B78)&amp;"")</f>
        <v/>
      </c>
      <c r="G78" s="7" t="str">
        <f aca="false">IF($B78="","",INDEX(MASTER_DATABASE!$L$4:$L$1000,$B78)&amp;"")</f>
        <v/>
      </c>
      <c r="H78" s="7" t="str">
        <f aca="false">IF($B78="","",INDEX(MASTER_DATABASE!$U$4:$U$1000,$B78)&amp;"")</f>
        <v/>
      </c>
      <c r="I78" s="7" t="str">
        <f aca="false">IF($B78="","",INDEX(MASTER_DATABASE!$AV$4:$AV$1000,$B78)&amp;"")</f>
        <v/>
      </c>
      <c r="J78" s="7" t="str">
        <f aca="false">IF($B78="","",INDEX(MASTER_DATABASE!$AW$4:$AW$1000,$B78)&amp;"")</f>
        <v/>
      </c>
    </row>
    <row r="79" customFormat="false" ht="15" hidden="false" customHeight="false" outlineLevel="0" collapsed="false">
      <c r="A79" s="11" t="n">
        <v>76</v>
      </c>
      <c r="B79" s="11" t="str">
        <f aca="false">IFERROR(MATCH($A79,MASTER_DATABASE!$BL$4:$BL$1000,0),"")</f>
        <v/>
      </c>
      <c r="C79" s="11" t="str">
        <f aca="false">IF($B79="","",INDEX(MASTER_DATABASE!$A$4:$A$1000,$B79)&amp;"")</f>
        <v/>
      </c>
      <c r="D79" s="7" t="str">
        <f aca="false">IF($B79="","",INDEX(MASTER_DATABASE!$B$4:$B$1000,$B79)&amp;"")</f>
        <v/>
      </c>
      <c r="E79" s="7" t="str">
        <f aca="false">IF($B79="","",INDEX(MASTER_DATABASE!$E$4:$E$1000,$B79)&amp;"")</f>
        <v/>
      </c>
      <c r="F79" s="7" t="str">
        <f aca="false">IF($B79="","",INDEX(MASTER_DATABASE!$I$4:$I$1000,$B79)&amp;"")</f>
        <v/>
      </c>
      <c r="G79" s="7" t="str">
        <f aca="false">IF($B79="","",INDEX(MASTER_DATABASE!$L$4:$L$1000,$B79)&amp;"")</f>
        <v/>
      </c>
      <c r="H79" s="7" t="str">
        <f aca="false">IF($B79="","",INDEX(MASTER_DATABASE!$U$4:$U$1000,$B79)&amp;"")</f>
        <v/>
      </c>
      <c r="I79" s="7" t="str">
        <f aca="false">IF($B79="","",INDEX(MASTER_DATABASE!$AV$4:$AV$1000,$B79)&amp;"")</f>
        <v/>
      </c>
      <c r="J79" s="7" t="str">
        <f aca="false">IF($B79="","",INDEX(MASTER_DATABASE!$AW$4:$AW$1000,$B79)&amp;"")</f>
        <v/>
      </c>
    </row>
    <row r="80" customFormat="false" ht="15" hidden="false" customHeight="false" outlineLevel="0" collapsed="false">
      <c r="A80" s="11" t="n">
        <v>77</v>
      </c>
      <c r="B80" s="11" t="str">
        <f aca="false">IFERROR(MATCH($A80,MASTER_DATABASE!$BL$4:$BL$1000,0),"")</f>
        <v/>
      </c>
      <c r="C80" s="11" t="str">
        <f aca="false">IF($B80="","",INDEX(MASTER_DATABASE!$A$4:$A$1000,$B80)&amp;"")</f>
        <v/>
      </c>
      <c r="D80" s="7" t="str">
        <f aca="false">IF($B80="","",INDEX(MASTER_DATABASE!$B$4:$B$1000,$B80)&amp;"")</f>
        <v/>
      </c>
      <c r="E80" s="7" t="str">
        <f aca="false">IF($B80="","",INDEX(MASTER_DATABASE!$E$4:$E$1000,$B80)&amp;"")</f>
        <v/>
      </c>
      <c r="F80" s="7" t="str">
        <f aca="false">IF($B80="","",INDEX(MASTER_DATABASE!$I$4:$I$1000,$B80)&amp;"")</f>
        <v/>
      </c>
      <c r="G80" s="7" t="str">
        <f aca="false">IF($B80="","",INDEX(MASTER_DATABASE!$L$4:$L$1000,$B80)&amp;"")</f>
        <v/>
      </c>
      <c r="H80" s="7" t="str">
        <f aca="false">IF($B80="","",INDEX(MASTER_DATABASE!$U$4:$U$1000,$B80)&amp;"")</f>
        <v/>
      </c>
      <c r="I80" s="7" t="str">
        <f aca="false">IF($B80="","",INDEX(MASTER_DATABASE!$AV$4:$AV$1000,$B80)&amp;"")</f>
        <v/>
      </c>
      <c r="J80" s="7" t="str">
        <f aca="false">IF($B80="","",INDEX(MASTER_DATABASE!$AW$4:$AW$1000,$B80)&amp;"")</f>
        <v/>
      </c>
    </row>
    <row r="81" customFormat="false" ht="15" hidden="false" customHeight="false" outlineLevel="0" collapsed="false">
      <c r="A81" s="11" t="n">
        <v>78</v>
      </c>
      <c r="B81" s="11" t="str">
        <f aca="false">IFERROR(MATCH($A81,MASTER_DATABASE!$BL$4:$BL$1000,0),"")</f>
        <v/>
      </c>
      <c r="C81" s="11" t="str">
        <f aca="false">IF($B81="","",INDEX(MASTER_DATABASE!$A$4:$A$1000,$B81)&amp;"")</f>
        <v/>
      </c>
      <c r="D81" s="7" t="str">
        <f aca="false">IF($B81="","",INDEX(MASTER_DATABASE!$B$4:$B$1000,$B81)&amp;"")</f>
        <v/>
      </c>
      <c r="E81" s="7" t="str">
        <f aca="false">IF($B81="","",INDEX(MASTER_DATABASE!$E$4:$E$1000,$B81)&amp;"")</f>
        <v/>
      </c>
      <c r="F81" s="7" t="str">
        <f aca="false">IF($B81="","",INDEX(MASTER_DATABASE!$I$4:$I$1000,$B81)&amp;"")</f>
        <v/>
      </c>
      <c r="G81" s="7" t="str">
        <f aca="false">IF($B81="","",INDEX(MASTER_DATABASE!$L$4:$L$1000,$B81)&amp;"")</f>
        <v/>
      </c>
      <c r="H81" s="7" t="str">
        <f aca="false">IF($B81="","",INDEX(MASTER_DATABASE!$U$4:$U$1000,$B81)&amp;"")</f>
        <v/>
      </c>
      <c r="I81" s="7" t="str">
        <f aca="false">IF($B81="","",INDEX(MASTER_DATABASE!$AV$4:$AV$1000,$B81)&amp;"")</f>
        <v/>
      </c>
      <c r="J81" s="7" t="str">
        <f aca="false">IF($B81="","",INDEX(MASTER_DATABASE!$AW$4:$AW$1000,$B81)&amp;"")</f>
        <v/>
      </c>
    </row>
    <row r="82" customFormat="false" ht="15" hidden="false" customHeight="false" outlineLevel="0" collapsed="false">
      <c r="A82" s="11" t="n">
        <v>79</v>
      </c>
      <c r="B82" s="11" t="str">
        <f aca="false">IFERROR(MATCH($A82,MASTER_DATABASE!$BL$4:$BL$1000,0),"")</f>
        <v/>
      </c>
      <c r="C82" s="11" t="str">
        <f aca="false">IF($B82="","",INDEX(MASTER_DATABASE!$A$4:$A$1000,$B82)&amp;"")</f>
        <v/>
      </c>
      <c r="D82" s="7" t="str">
        <f aca="false">IF($B82="","",INDEX(MASTER_DATABASE!$B$4:$B$1000,$B82)&amp;"")</f>
        <v/>
      </c>
      <c r="E82" s="7" t="str">
        <f aca="false">IF($B82="","",INDEX(MASTER_DATABASE!$E$4:$E$1000,$B82)&amp;"")</f>
        <v/>
      </c>
      <c r="F82" s="7" t="str">
        <f aca="false">IF($B82="","",INDEX(MASTER_DATABASE!$I$4:$I$1000,$B82)&amp;"")</f>
        <v/>
      </c>
      <c r="G82" s="7" t="str">
        <f aca="false">IF($B82="","",INDEX(MASTER_DATABASE!$L$4:$L$1000,$B82)&amp;"")</f>
        <v/>
      </c>
      <c r="H82" s="7" t="str">
        <f aca="false">IF($B82="","",INDEX(MASTER_DATABASE!$U$4:$U$1000,$B82)&amp;"")</f>
        <v/>
      </c>
      <c r="I82" s="7" t="str">
        <f aca="false">IF($B82="","",INDEX(MASTER_DATABASE!$AV$4:$AV$1000,$B82)&amp;"")</f>
        <v/>
      </c>
      <c r="J82" s="7" t="str">
        <f aca="false">IF($B82="","",INDEX(MASTER_DATABASE!$AW$4:$AW$1000,$B82)&amp;"")</f>
        <v/>
      </c>
    </row>
    <row r="83" customFormat="false" ht="15" hidden="false" customHeight="false" outlineLevel="0" collapsed="false">
      <c r="A83" s="11" t="n">
        <v>80</v>
      </c>
      <c r="B83" s="11" t="str">
        <f aca="false">IFERROR(MATCH($A83,MASTER_DATABASE!$BL$4:$BL$1000,0),"")</f>
        <v/>
      </c>
      <c r="C83" s="11" t="str">
        <f aca="false">IF($B83="","",INDEX(MASTER_DATABASE!$A$4:$A$1000,$B83)&amp;"")</f>
        <v/>
      </c>
      <c r="D83" s="7" t="str">
        <f aca="false">IF($B83="","",INDEX(MASTER_DATABASE!$B$4:$B$1000,$B83)&amp;"")</f>
        <v/>
      </c>
      <c r="E83" s="7" t="str">
        <f aca="false">IF($B83="","",INDEX(MASTER_DATABASE!$E$4:$E$1000,$B83)&amp;"")</f>
        <v/>
      </c>
      <c r="F83" s="7" t="str">
        <f aca="false">IF($B83="","",INDEX(MASTER_DATABASE!$I$4:$I$1000,$B83)&amp;"")</f>
        <v/>
      </c>
      <c r="G83" s="7" t="str">
        <f aca="false">IF($B83="","",INDEX(MASTER_DATABASE!$L$4:$L$1000,$B83)&amp;"")</f>
        <v/>
      </c>
      <c r="H83" s="7" t="str">
        <f aca="false">IF($B83="","",INDEX(MASTER_DATABASE!$U$4:$U$1000,$B83)&amp;"")</f>
        <v/>
      </c>
      <c r="I83" s="7" t="str">
        <f aca="false">IF($B83="","",INDEX(MASTER_DATABASE!$AV$4:$AV$1000,$B83)&amp;"")</f>
        <v/>
      </c>
      <c r="J83" s="7" t="str">
        <f aca="false">IF($B83="","",INDEX(MASTER_DATABASE!$AW$4:$AW$1000,$B83)&amp;"")</f>
        <v/>
      </c>
    </row>
    <row r="84" customFormat="false" ht="15" hidden="false" customHeight="false" outlineLevel="0" collapsed="false">
      <c r="A84" s="11" t="n">
        <v>81</v>
      </c>
      <c r="B84" s="11" t="str">
        <f aca="false">IFERROR(MATCH($A84,MASTER_DATABASE!$BL$4:$BL$1000,0),"")</f>
        <v/>
      </c>
      <c r="C84" s="11" t="str">
        <f aca="false">IF($B84="","",INDEX(MASTER_DATABASE!$A$4:$A$1000,$B84)&amp;"")</f>
        <v/>
      </c>
      <c r="D84" s="7" t="str">
        <f aca="false">IF($B84="","",INDEX(MASTER_DATABASE!$B$4:$B$1000,$B84)&amp;"")</f>
        <v/>
      </c>
      <c r="E84" s="7" t="str">
        <f aca="false">IF($B84="","",INDEX(MASTER_DATABASE!$E$4:$E$1000,$B84)&amp;"")</f>
        <v/>
      </c>
      <c r="F84" s="7" t="str">
        <f aca="false">IF($B84="","",INDEX(MASTER_DATABASE!$I$4:$I$1000,$B84)&amp;"")</f>
        <v/>
      </c>
      <c r="G84" s="7" t="str">
        <f aca="false">IF($B84="","",INDEX(MASTER_DATABASE!$L$4:$L$1000,$B84)&amp;"")</f>
        <v/>
      </c>
      <c r="H84" s="7" t="str">
        <f aca="false">IF($B84="","",INDEX(MASTER_DATABASE!$U$4:$U$1000,$B84)&amp;"")</f>
        <v/>
      </c>
      <c r="I84" s="7" t="str">
        <f aca="false">IF($B84="","",INDEX(MASTER_DATABASE!$AV$4:$AV$1000,$B84)&amp;"")</f>
        <v/>
      </c>
      <c r="J84" s="7" t="str">
        <f aca="false">IF($B84="","",INDEX(MASTER_DATABASE!$AW$4:$AW$1000,$B84)&amp;"")</f>
        <v/>
      </c>
    </row>
    <row r="85" customFormat="false" ht="15" hidden="false" customHeight="false" outlineLevel="0" collapsed="false">
      <c r="A85" s="11" t="n">
        <v>82</v>
      </c>
      <c r="B85" s="11" t="str">
        <f aca="false">IFERROR(MATCH($A85,MASTER_DATABASE!$BL$4:$BL$1000,0),"")</f>
        <v/>
      </c>
      <c r="C85" s="11" t="str">
        <f aca="false">IF($B85="","",INDEX(MASTER_DATABASE!$A$4:$A$1000,$B85)&amp;"")</f>
        <v/>
      </c>
      <c r="D85" s="7" t="str">
        <f aca="false">IF($B85="","",INDEX(MASTER_DATABASE!$B$4:$B$1000,$B85)&amp;"")</f>
        <v/>
      </c>
      <c r="E85" s="7" t="str">
        <f aca="false">IF($B85="","",INDEX(MASTER_DATABASE!$E$4:$E$1000,$B85)&amp;"")</f>
        <v/>
      </c>
      <c r="F85" s="7" t="str">
        <f aca="false">IF($B85="","",INDEX(MASTER_DATABASE!$I$4:$I$1000,$B85)&amp;"")</f>
        <v/>
      </c>
      <c r="G85" s="7" t="str">
        <f aca="false">IF($B85="","",INDEX(MASTER_DATABASE!$L$4:$L$1000,$B85)&amp;"")</f>
        <v/>
      </c>
      <c r="H85" s="7" t="str">
        <f aca="false">IF($B85="","",INDEX(MASTER_DATABASE!$U$4:$U$1000,$B85)&amp;"")</f>
        <v/>
      </c>
      <c r="I85" s="7" t="str">
        <f aca="false">IF($B85="","",INDEX(MASTER_DATABASE!$AV$4:$AV$1000,$B85)&amp;"")</f>
        <v/>
      </c>
      <c r="J85" s="7" t="str">
        <f aca="false">IF($B85="","",INDEX(MASTER_DATABASE!$AW$4:$AW$1000,$B85)&amp;"")</f>
        <v/>
      </c>
    </row>
    <row r="86" customFormat="false" ht="15" hidden="false" customHeight="false" outlineLevel="0" collapsed="false">
      <c r="A86" s="11" t="n">
        <v>83</v>
      </c>
      <c r="B86" s="11" t="str">
        <f aca="false">IFERROR(MATCH($A86,MASTER_DATABASE!$BL$4:$BL$1000,0),"")</f>
        <v/>
      </c>
      <c r="C86" s="11" t="str">
        <f aca="false">IF($B86="","",INDEX(MASTER_DATABASE!$A$4:$A$1000,$B86)&amp;"")</f>
        <v/>
      </c>
      <c r="D86" s="7" t="str">
        <f aca="false">IF($B86="","",INDEX(MASTER_DATABASE!$B$4:$B$1000,$B86)&amp;"")</f>
        <v/>
      </c>
      <c r="E86" s="7" t="str">
        <f aca="false">IF($B86="","",INDEX(MASTER_DATABASE!$E$4:$E$1000,$B86)&amp;"")</f>
        <v/>
      </c>
      <c r="F86" s="7" t="str">
        <f aca="false">IF($B86="","",INDEX(MASTER_DATABASE!$I$4:$I$1000,$B86)&amp;"")</f>
        <v/>
      </c>
      <c r="G86" s="7" t="str">
        <f aca="false">IF($B86="","",INDEX(MASTER_DATABASE!$L$4:$L$1000,$B86)&amp;"")</f>
        <v/>
      </c>
      <c r="H86" s="7" t="str">
        <f aca="false">IF($B86="","",INDEX(MASTER_DATABASE!$U$4:$U$1000,$B86)&amp;"")</f>
        <v/>
      </c>
      <c r="I86" s="7" t="str">
        <f aca="false">IF($B86="","",INDEX(MASTER_DATABASE!$AV$4:$AV$1000,$B86)&amp;"")</f>
        <v/>
      </c>
      <c r="J86" s="7" t="str">
        <f aca="false">IF($B86="","",INDEX(MASTER_DATABASE!$AW$4:$AW$1000,$B86)&amp;"")</f>
        <v/>
      </c>
    </row>
    <row r="87" customFormat="false" ht="15" hidden="false" customHeight="false" outlineLevel="0" collapsed="false">
      <c r="A87" s="11" t="n">
        <v>84</v>
      </c>
      <c r="B87" s="11" t="str">
        <f aca="false">IFERROR(MATCH($A87,MASTER_DATABASE!$BL$4:$BL$1000,0),"")</f>
        <v/>
      </c>
      <c r="C87" s="11" t="str">
        <f aca="false">IF($B87="","",INDEX(MASTER_DATABASE!$A$4:$A$1000,$B87)&amp;"")</f>
        <v/>
      </c>
      <c r="D87" s="7" t="str">
        <f aca="false">IF($B87="","",INDEX(MASTER_DATABASE!$B$4:$B$1000,$B87)&amp;"")</f>
        <v/>
      </c>
      <c r="E87" s="7" t="str">
        <f aca="false">IF($B87="","",INDEX(MASTER_DATABASE!$E$4:$E$1000,$B87)&amp;"")</f>
        <v/>
      </c>
      <c r="F87" s="7" t="str">
        <f aca="false">IF($B87="","",INDEX(MASTER_DATABASE!$I$4:$I$1000,$B87)&amp;"")</f>
        <v/>
      </c>
      <c r="G87" s="7" t="str">
        <f aca="false">IF($B87="","",INDEX(MASTER_DATABASE!$L$4:$L$1000,$B87)&amp;"")</f>
        <v/>
      </c>
      <c r="H87" s="7" t="str">
        <f aca="false">IF($B87="","",INDEX(MASTER_DATABASE!$U$4:$U$1000,$B87)&amp;"")</f>
        <v/>
      </c>
      <c r="I87" s="7" t="str">
        <f aca="false">IF($B87="","",INDEX(MASTER_DATABASE!$AV$4:$AV$1000,$B87)&amp;"")</f>
        <v/>
      </c>
      <c r="J87" s="7" t="str">
        <f aca="false">IF($B87="","",INDEX(MASTER_DATABASE!$AW$4:$AW$1000,$B87)&amp;"")</f>
        <v/>
      </c>
    </row>
    <row r="88" customFormat="false" ht="15" hidden="false" customHeight="false" outlineLevel="0" collapsed="false">
      <c r="A88" s="11" t="n">
        <v>85</v>
      </c>
      <c r="B88" s="11" t="str">
        <f aca="false">IFERROR(MATCH($A88,MASTER_DATABASE!$BL$4:$BL$1000,0),"")</f>
        <v/>
      </c>
      <c r="C88" s="11" t="str">
        <f aca="false">IF($B88="","",INDEX(MASTER_DATABASE!$A$4:$A$1000,$B88)&amp;"")</f>
        <v/>
      </c>
      <c r="D88" s="7" t="str">
        <f aca="false">IF($B88="","",INDEX(MASTER_DATABASE!$B$4:$B$1000,$B88)&amp;"")</f>
        <v/>
      </c>
      <c r="E88" s="7" t="str">
        <f aca="false">IF($B88="","",INDEX(MASTER_DATABASE!$E$4:$E$1000,$B88)&amp;"")</f>
        <v/>
      </c>
      <c r="F88" s="7" t="str">
        <f aca="false">IF($B88="","",INDEX(MASTER_DATABASE!$I$4:$I$1000,$B88)&amp;"")</f>
        <v/>
      </c>
      <c r="G88" s="7" t="str">
        <f aca="false">IF($B88="","",INDEX(MASTER_DATABASE!$L$4:$L$1000,$B88)&amp;"")</f>
        <v/>
      </c>
      <c r="H88" s="7" t="str">
        <f aca="false">IF($B88="","",INDEX(MASTER_DATABASE!$U$4:$U$1000,$B88)&amp;"")</f>
        <v/>
      </c>
      <c r="I88" s="7" t="str">
        <f aca="false">IF($B88="","",INDEX(MASTER_DATABASE!$AV$4:$AV$1000,$B88)&amp;"")</f>
        <v/>
      </c>
      <c r="J88" s="7" t="str">
        <f aca="false">IF($B88="","",INDEX(MASTER_DATABASE!$AW$4:$AW$1000,$B88)&amp;"")</f>
        <v/>
      </c>
    </row>
    <row r="89" customFormat="false" ht="15" hidden="false" customHeight="false" outlineLevel="0" collapsed="false">
      <c r="A89" s="11" t="n">
        <v>86</v>
      </c>
      <c r="B89" s="11" t="str">
        <f aca="false">IFERROR(MATCH($A89,MASTER_DATABASE!$BL$4:$BL$1000,0),"")</f>
        <v/>
      </c>
      <c r="C89" s="11" t="str">
        <f aca="false">IF($B89="","",INDEX(MASTER_DATABASE!$A$4:$A$1000,$B89)&amp;"")</f>
        <v/>
      </c>
      <c r="D89" s="7" t="str">
        <f aca="false">IF($B89="","",INDEX(MASTER_DATABASE!$B$4:$B$1000,$B89)&amp;"")</f>
        <v/>
      </c>
      <c r="E89" s="7" t="str">
        <f aca="false">IF($B89="","",INDEX(MASTER_DATABASE!$E$4:$E$1000,$B89)&amp;"")</f>
        <v/>
      </c>
      <c r="F89" s="7" t="str">
        <f aca="false">IF($B89="","",INDEX(MASTER_DATABASE!$I$4:$I$1000,$B89)&amp;"")</f>
        <v/>
      </c>
      <c r="G89" s="7" t="str">
        <f aca="false">IF($B89="","",INDEX(MASTER_DATABASE!$L$4:$L$1000,$B89)&amp;"")</f>
        <v/>
      </c>
      <c r="H89" s="7" t="str">
        <f aca="false">IF($B89="","",INDEX(MASTER_DATABASE!$U$4:$U$1000,$B89)&amp;"")</f>
        <v/>
      </c>
      <c r="I89" s="7" t="str">
        <f aca="false">IF($B89="","",INDEX(MASTER_DATABASE!$AV$4:$AV$1000,$B89)&amp;"")</f>
        <v/>
      </c>
      <c r="J89" s="7" t="str">
        <f aca="false">IF($B89="","",INDEX(MASTER_DATABASE!$AW$4:$AW$1000,$B89)&amp;"")</f>
        <v/>
      </c>
    </row>
    <row r="90" customFormat="false" ht="15" hidden="false" customHeight="false" outlineLevel="0" collapsed="false">
      <c r="A90" s="11" t="n">
        <v>87</v>
      </c>
      <c r="B90" s="11" t="str">
        <f aca="false">IFERROR(MATCH($A90,MASTER_DATABASE!$BL$4:$BL$1000,0),"")</f>
        <v/>
      </c>
      <c r="C90" s="11" t="str">
        <f aca="false">IF($B90="","",INDEX(MASTER_DATABASE!$A$4:$A$1000,$B90)&amp;"")</f>
        <v/>
      </c>
      <c r="D90" s="7" t="str">
        <f aca="false">IF($B90="","",INDEX(MASTER_DATABASE!$B$4:$B$1000,$B90)&amp;"")</f>
        <v/>
      </c>
      <c r="E90" s="7" t="str">
        <f aca="false">IF($B90="","",INDEX(MASTER_DATABASE!$E$4:$E$1000,$B90)&amp;"")</f>
        <v/>
      </c>
      <c r="F90" s="7" t="str">
        <f aca="false">IF($B90="","",INDEX(MASTER_DATABASE!$I$4:$I$1000,$B90)&amp;"")</f>
        <v/>
      </c>
      <c r="G90" s="7" t="str">
        <f aca="false">IF($B90="","",INDEX(MASTER_DATABASE!$L$4:$L$1000,$B90)&amp;"")</f>
        <v/>
      </c>
      <c r="H90" s="7" t="str">
        <f aca="false">IF($B90="","",INDEX(MASTER_DATABASE!$U$4:$U$1000,$B90)&amp;"")</f>
        <v/>
      </c>
      <c r="I90" s="7" t="str">
        <f aca="false">IF($B90="","",INDEX(MASTER_DATABASE!$AV$4:$AV$1000,$B90)&amp;"")</f>
        <v/>
      </c>
      <c r="J90" s="7" t="str">
        <f aca="false">IF($B90="","",INDEX(MASTER_DATABASE!$AW$4:$AW$1000,$B90)&amp;"")</f>
        <v/>
      </c>
    </row>
    <row r="91" customFormat="false" ht="15" hidden="false" customHeight="false" outlineLevel="0" collapsed="false">
      <c r="A91" s="11" t="n">
        <v>88</v>
      </c>
      <c r="B91" s="11" t="str">
        <f aca="false">IFERROR(MATCH($A91,MASTER_DATABASE!$BL$4:$BL$1000,0),"")</f>
        <v/>
      </c>
      <c r="C91" s="11" t="str">
        <f aca="false">IF($B91="","",INDEX(MASTER_DATABASE!$A$4:$A$1000,$B91)&amp;"")</f>
        <v/>
      </c>
      <c r="D91" s="7" t="str">
        <f aca="false">IF($B91="","",INDEX(MASTER_DATABASE!$B$4:$B$1000,$B91)&amp;"")</f>
        <v/>
      </c>
      <c r="E91" s="7" t="str">
        <f aca="false">IF($B91="","",INDEX(MASTER_DATABASE!$E$4:$E$1000,$B91)&amp;"")</f>
        <v/>
      </c>
      <c r="F91" s="7" t="str">
        <f aca="false">IF($B91="","",INDEX(MASTER_DATABASE!$I$4:$I$1000,$B91)&amp;"")</f>
        <v/>
      </c>
      <c r="G91" s="7" t="str">
        <f aca="false">IF($B91="","",INDEX(MASTER_DATABASE!$L$4:$L$1000,$B91)&amp;"")</f>
        <v/>
      </c>
      <c r="H91" s="7" t="str">
        <f aca="false">IF($B91="","",INDEX(MASTER_DATABASE!$U$4:$U$1000,$B91)&amp;"")</f>
        <v/>
      </c>
      <c r="I91" s="7" t="str">
        <f aca="false">IF($B91="","",INDEX(MASTER_DATABASE!$AV$4:$AV$1000,$B91)&amp;"")</f>
        <v/>
      </c>
      <c r="J91" s="7" t="str">
        <f aca="false">IF($B91="","",INDEX(MASTER_DATABASE!$AW$4:$AW$1000,$B91)&amp;"")</f>
        <v/>
      </c>
    </row>
    <row r="92" customFormat="false" ht="15" hidden="false" customHeight="false" outlineLevel="0" collapsed="false">
      <c r="A92" s="11" t="n">
        <v>89</v>
      </c>
      <c r="B92" s="11" t="str">
        <f aca="false">IFERROR(MATCH($A92,MASTER_DATABASE!$BL$4:$BL$1000,0),"")</f>
        <v/>
      </c>
      <c r="C92" s="11" t="str">
        <f aca="false">IF($B92="","",INDEX(MASTER_DATABASE!$A$4:$A$1000,$B92)&amp;"")</f>
        <v/>
      </c>
      <c r="D92" s="7" t="str">
        <f aca="false">IF($B92="","",INDEX(MASTER_DATABASE!$B$4:$B$1000,$B92)&amp;"")</f>
        <v/>
      </c>
      <c r="E92" s="7" t="str">
        <f aca="false">IF($B92="","",INDEX(MASTER_DATABASE!$E$4:$E$1000,$B92)&amp;"")</f>
        <v/>
      </c>
      <c r="F92" s="7" t="str">
        <f aca="false">IF($B92="","",INDEX(MASTER_DATABASE!$I$4:$I$1000,$B92)&amp;"")</f>
        <v/>
      </c>
      <c r="G92" s="7" t="str">
        <f aca="false">IF($B92="","",INDEX(MASTER_DATABASE!$L$4:$L$1000,$B92)&amp;"")</f>
        <v/>
      </c>
      <c r="H92" s="7" t="str">
        <f aca="false">IF($B92="","",INDEX(MASTER_DATABASE!$U$4:$U$1000,$B92)&amp;"")</f>
        <v/>
      </c>
      <c r="I92" s="7" t="str">
        <f aca="false">IF($B92="","",INDEX(MASTER_DATABASE!$AV$4:$AV$1000,$B92)&amp;"")</f>
        <v/>
      </c>
      <c r="J92" s="7" t="str">
        <f aca="false">IF($B92="","",INDEX(MASTER_DATABASE!$AW$4:$AW$1000,$B92)&amp;"")</f>
        <v/>
      </c>
    </row>
    <row r="93" customFormat="false" ht="15" hidden="false" customHeight="false" outlineLevel="0" collapsed="false">
      <c r="A93" s="11" t="n">
        <v>90</v>
      </c>
      <c r="B93" s="11" t="str">
        <f aca="false">IFERROR(MATCH($A93,MASTER_DATABASE!$BL$4:$BL$1000,0),"")</f>
        <v/>
      </c>
      <c r="C93" s="11" t="str">
        <f aca="false">IF($B93="","",INDEX(MASTER_DATABASE!$A$4:$A$1000,$B93)&amp;"")</f>
        <v/>
      </c>
      <c r="D93" s="7" t="str">
        <f aca="false">IF($B93="","",INDEX(MASTER_DATABASE!$B$4:$B$1000,$B93)&amp;"")</f>
        <v/>
      </c>
      <c r="E93" s="7" t="str">
        <f aca="false">IF($B93="","",INDEX(MASTER_DATABASE!$E$4:$E$1000,$B93)&amp;"")</f>
        <v/>
      </c>
      <c r="F93" s="7" t="str">
        <f aca="false">IF($B93="","",INDEX(MASTER_DATABASE!$I$4:$I$1000,$B93)&amp;"")</f>
        <v/>
      </c>
      <c r="G93" s="7" t="str">
        <f aca="false">IF($B93="","",INDEX(MASTER_DATABASE!$L$4:$L$1000,$B93)&amp;"")</f>
        <v/>
      </c>
      <c r="H93" s="7" t="str">
        <f aca="false">IF($B93="","",INDEX(MASTER_DATABASE!$U$4:$U$1000,$B93)&amp;"")</f>
        <v/>
      </c>
      <c r="I93" s="7" t="str">
        <f aca="false">IF($B93="","",INDEX(MASTER_DATABASE!$AV$4:$AV$1000,$B93)&amp;"")</f>
        <v/>
      </c>
      <c r="J93" s="7" t="str">
        <f aca="false">IF($B93="","",INDEX(MASTER_DATABASE!$AW$4:$AW$1000,$B93)&amp;"")</f>
        <v/>
      </c>
    </row>
    <row r="94" customFormat="false" ht="15" hidden="false" customHeight="false" outlineLevel="0" collapsed="false">
      <c r="A94" s="11" t="n">
        <v>91</v>
      </c>
      <c r="B94" s="11" t="str">
        <f aca="false">IFERROR(MATCH($A94,MASTER_DATABASE!$BL$4:$BL$1000,0),"")</f>
        <v/>
      </c>
      <c r="C94" s="11" t="str">
        <f aca="false">IF($B94="","",INDEX(MASTER_DATABASE!$A$4:$A$1000,$B94)&amp;"")</f>
        <v/>
      </c>
      <c r="D94" s="7" t="str">
        <f aca="false">IF($B94="","",INDEX(MASTER_DATABASE!$B$4:$B$1000,$B94)&amp;"")</f>
        <v/>
      </c>
      <c r="E94" s="7" t="str">
        <f aca="false">IF($B94="","",INDEX(MASTER_DATABASE!$E$4:$E$1000,$B94)&amp;"")</f>
        <v/>
      </c>
      <c r="F94" s="7" t="str">
        <f aca="false">IF($B94="","",INDEX(MASTER_DATABASE!$I$4:$I$1000,$B94)&amp;"")</f>
        <v/>
      </c>
      <c r="G94" s="7" t="str">
        <f aca="false">IF($B94="","",INDEX(MASTER_DATABASE!$L$4:$L$1000,$B94)&amp;"")</f>
        <v/>
      </c>
      <c r="H94" s="7" t="str">
        <f aca="false">IF($B94="","",INDEX(MASTER_DATABASE!$U$4:$U$1000,$B94)&amp;"")</f>
        <v/>
      </c>
      <c r="I94" s="7" t="str">
        <f aca="false">IF($B94="","",INDEX(MASTER_DATABASE!$AV$4:$AV$1000,$B94)&amp;"")</f>
        <v/>
      </c>
      <c r="J94" s="7" t="str">
        <f aca="false">IF($B94="","",INDEX(MASTER_DATABASE!$AW$4:$AW$1000,$B94)&amp;"")</f>
        <v/>
      </c>
    </row>
    <row r="95" customFormat="false" ht="15" hidden="false" customHeight="false" outlineLevel="0" collapsed="false">
      <c r="A95" s="11" t="n">
        <v>92</v>
      </c>
      <c r="B95" s="11" t="str">
        <f aca="false">IFERROR(MATCH($A95,MASTER_DATABASE!$BL$4:$BL$1000,0),"")</f>
        <v/>
      </c>
      <c r="C95" s="11" t="str">
        <f aca="false">IF($B95="","",INDEX(MASTER_DATABASE!$A$4:$A$1000,$B95)&amp;"")</f>
        <v/>
      </c>
      <c r="D95" s="7" t="str">
        <f aca="false">IF($B95="","",INDEX(MASTER_DATABASE!$B$4:$B$1000,$B95)&amp;"")</f>
        <v/>
      </c>
      <c r="E95" s="7" t="str">
        <f aca="false">IF($B95="","",INDEX(MASTER_DATABASE!$E$4:$E$1000,$B95)&amp;"")</f>
        <v/>
      </c>
      <c r="F95" s="7" t="str">
        <f aca="false">IF($B95="","",INDEX(MASTER_DATABASE!$I$4:$I$1000,$B95)&amp;"")</f>
        <v/>
      </c>
      <c r="G95" s="7" t="str">
        <f aca="false">IF($B95="","",INDEX(MASTER_DATABASE!$L$4:$L$1000,$B95)&amp;"")</f>
        <v/>
      </c>
      <c r="H95" s="7" t="str">
        <f aca="false">IF($B95="","",INDEX(MASTER_DATABASE!$U$4:$U$1000,$B95)&amp;"")</f>
        <v/>
      </c>
      <c r="I95" s="7" t="str">
        <f aca="false">IF($B95="","",INDEX(MASTER_DATABASE!$AV$4:$AV$1000,$B95)&amp;"")</f>
        <v/>
      </c>
      <c r="J95" s="7" t="str">
        <f aca="false">IF($B95="","",INDEX(MASTER_DATABASE!$AW$4:$AW$1000,$B95)&amp;"")</f>
        <v/>
      </c>
    </row>
    <row r="96" customFormat="false" ht="15" hidden="false" customHeight="false" outlineLevel="0" collapsed="false">
      <c r="A96" s="11" t="n">
        <v>93</v>
      </c>
      <c r="B96" s="11" t="str">
        <f aca="false">IFERROR(MATCH($A96,MASTER_DATABASE!$BL$4:$BL$1000,0),"")</f>
        <v/>
      </c>
      <c r="C96" s="11" t="str">
        <f aca="false">IF($B96="","",INDEX(MASTER_DATABASE!$A$4:$A$1000,$B96)&amp;"")</f>
        <v/>
      </c>
      <c r="D96" s="7" t="str">
        <f aca="false">IF($B96="","",INDEX(MASTER_DATABASE!$B$4:$B$1000,$B96)&amp;"")</f>
        <v/>
      </c>
      <c r="E96" s="7" t="str">
        <f aca="false">IF($B96="","",INDEX(MASTER_DATABASE!$E$4:$E$1000,$B96)&amp;"")</f>
        <v/>
      </c>
      <c r="F96" s="7" t="str">
        <f aca="false">IF($B96="","",INDEX(MASTER_DATABASE!$I$4:$I$1000,$B96)&amp;"")</f>
        <v/>
      </c>
      <c r="G96" s="7" t="str">
        <f aca="false">IF($B96="","",INDEX(MASTER_DATABASE!$L$4:$L$1000,$B96)&amp;"")</f>
        <v/>
      </c>
      <c r="H96" s="7" t="str">
        <f aca="false">IF($B96="","",INDEX(MASTER_DATABASE!$U$4:$U$1000,$B96)&amp;"")</f>
        <v/>
      </c>
      <c r="I96" s="7" t="str">
        <f aca="false">IF($B96="","",INDEX(MASTER_DATABASE!$AV$4:$AV$1000,$B96)&amp;"")</f>
        <v/>
      </c>
      <c r="J96" s="7" t="str">
        <f aca="false">IF($B96="","",INDEX(MASTER_DATABASE!$AW$4:$AW$1000,$B96)&amp;"")</f>
        <v/>
      </c>
    </row>
    <row r="97" customFormat="false" ht="15" hidden="false" customHeight="false" outlineLevel="0" collapsed="false">
      <c r="A97" s="11" t="n">
        <v>94</v>
      </c>
      <c r="B97" s="11" t="str">
        <f aca="false">IFERROR(MATCH($A97,MASTER_DATABASE!$BL$4:$BL$1000,0),"")</f>
        <v/>
      </c>
      <c r="C97" s="11" t="str">
        <f aca="false">IF($B97="","",INDEX(MASTER_DATABASE!$A$4:$A$1000,$B97)&amp;"")</f>
        <v/>
      </c>
      <c r="D97" s="7" t="str">
        <f aca="false">IF($B97="","",INDEX(MASTER_DATABASE!$B$4:$B$1000,$B97)&amp;"")</f>
        <v/>
      </c>
      <c r="E97" s="7" t="str">
        <f aca="false">IF($B97="","",INDEX(MASTER_DATABASE!$E$4:$E$1000,$B97)&amp;"")</f>
        <v/>
      </c>
      <c r="F97" s="7" t="str">
        <f aca="false">IF($B97="","",INDEX(MASTER_DATABASE!$I$4:$I$1000,$B97)&amp;"")</f>
        <v/>
      </c>
      <c r="G97" s="7" t="str">
        <f aca="false">IF($B97="","",INDEX(MASTER_DATABASE!$L$4:$L$1000,$B97)&amp;"")</f>
        <v/>
      </c>
      <c r="H97" s="7" t="str">
        <f aca="false">IF($B97="","",INDEX(MASTER_DATABASE!$U$4:$U$1000,$B97)&amp;"")</f>
        <v/>
      </c>
      <c r="I97" s="7" t="str">
        <f aca="false">IF($B97="","",INDEX(MASTER_DATABASE!$AV$4:$AV$1000,$B97)&amp;"")</f>
        <v/>
      </c>
      <c r="J97" s="7" t="str">
        <f aca="false">IF($B97="","",INDEX(MASTER_DATABASE!$AW$4:$AW$1000,$B97)&amp;"")</f>
        <v/>
      </c>
    </row>
    <row r="98" customFormat="false" ht="15" hidden="false" customHeight="false" outlineLevel="0" collapsed="false">
      <c r="A98" s="11" t="n">
        <v>95</v>
      </c>
      <c r="B98" s="11" t="str">
        <f aca="false">IFERROR(MATCH($A98,MASTER_DATABASE!$BL$4:$BL$1000,0),"")</f>
        <v/>
      </c>
      <c r="C98" s="11" t="str">
        <f aca="false">IF($B98="","",INDEX(MASTER_DATABASE!$A$4:$A$1000,$B98)&amp;"")</f>
        <v/>
      </c>
      <c r="D98" s="7" t="str">
        <f aca="false">IF($B98="","",INDEX(MASTER_DATABASE!$B$4:$B$1000,$B98)&amp;"")</f>
        <v/>
      </c>
      <c r="E98" s="7" t="str">
        <f aca="false">IF($B98="","",INDEX(MASTER_DATABASE!$E$4:$E$1000,$B98)&amp;"")</f>
        <v/>
      </c>
      <c r="F98" s="7" t="str">
        <f aca="false">IF($B98="","",INDEX(MASTER_DATABASE!$I$4:$I$1000,$B98)&amp;"")</f>
        <v/>
      </c>
      <c r="G98" s="7" t="str">
        <f aca="false">IF($B98="","",INDEX(MASTER_DATABASE!$L$4:$L$1000,$B98)&amp;"")</f>
        <v/>
      </c>
      <c r="H98" s="7" t="str">
        <f aca="false">IF($B98="","",INDEX(MASTER_DATABASE!$U$4:$U$1000,$B98)&amp;"")</f>
        <v/>
      </c>
      <c r="I98" s="7" t="str">
        <f aca="false">IF($B98="","",INDEX(MASTER_DATABASE!$AV$4:$AV$1000,$B98)&amp;"")</f>
        <v/>
      </c>
      <c r="J98" s="7" t="str">
        <f aca="false">IF($B98="","",INDEX(MASTER_DATABASE!$AW$4:$AW$1000,$B98)&amp;"")</f>
        <v/>
      </c>
    </row>
    <row r="99" customFormat="false" ht="15" hidden="false" customHeight="false" outlineLevel="0" collapsed="false">
      <c r="A99" s="11" t="n">
        <v>96</v>
      </c>
      <c r="B99" s="11" t="str">
        <f aca="false">IFERROR(MATCH($A99,MASTER_DATABASE!$BL$4:$BL$1000,0),"")</f>
        <v/>
      </c>
      <c r="C99" s="11" t="str">
        <f aca="false">IF($B99="","",INDEX(MASTER_DATABASE!$A$4:$A$1000,$B99)&amp;"")</f>
        <v/>
      </c>
      <c r="D99" s="7" t="str">
        <f aca="false">IF($B99="","",INDEX(MASTER_DATABASE!$B$4:$B$1000,$B99)&amp;"")</f>
        <v/>
      </c>
      <c r="E99" s="7" t="str">
        <f aca="false">IF($B99="","",INDEX(MASTER_DATABASE!$E$4:$E$1000,$B99)&amp;"")</f>
        <v/>
      </c>
      <c r="F99" s="7" t="str">
        <f aca="false">IF($B99="","",INDEX(MASTER_DATABASE!$I$4:$I$1000,$B99)&amp;"")</f>
        <v/>
      </c>
      <c r="G99" s="7" t="str">
        <f aca="false">IF($B99="","",INDEX(MASTER_DATABASE!$L$4:$L$1000,$B99)&amp;"")</f>
        <v/>
      </c>
      <c r="H99" s="7" t="str">
        <f aca="false">IF($B99="","",INDEX(MASTER_DATABASE!$U$4:$U$1000,$B99)&amp;"")</f>
        <v/>
      </c>
      <c r="I99" s="7" t="str">
        <f aca="false">IF($B99="","",INDEX(MASTER_DATABASE!$AV$4:$AV$1000,$B99)&amp;"")</f>
        <v/>
      </c>
      <c r="J99" s="7" t="str">
        <f aca="false">IF($B99="","",INDEX(MASTER_DATABASE!$AW$4:$AW$1000,$B99)&amp;"")</f>
        <v/>
      </c>
    </row>
    <row r="100" customFormat="false" ht="15" hidden="false" customHeight="false" outlineLevel="0" collapsed="false">
      <c r="A100" s="11" t="n">
        <v>97</v>
      </c>
      <c r="B100" s="11" t="str">
        <f aca="false">IFERROR(MATCH($A100,MASTER_DATABASE!$BL$4:$BL$1000,0),"")</f>
        <v/>
      </c>
      <c r="C100" s="11" t="str">
        <f aca="false">IF($B100="","",INDEX(MASTER_DATABASE!$A$4:$A$1000,$B100)&amp;"")</f>
        <v/>
      </c>
      <c r="D100" s="7" t="str">
        <f aca="false">IF($B100="","",INDEX(MASTER_DATABASE!$B$4:$B$1000,$B100)&amp;"")</f>
        <v/>
      </c>
      <c r="E100" s="7" t="str">
        <f aca="false">IF($B100="","",INDEX(MASTER_DATABASE!$E$4:$E$1000,$B100)&amp;"")</f>
        <v/>
      </c>
      <c r="F100" s="7" t="str">
        <f aca="false">IF($B100="","",INDEX(MASTER_DATABASE!$I$4:$I$1000,$B100)&amp;"")</f>
        <v/>
      </c>
      <c r="G100" s="7" t="str">
        <f aca="false">IF($B100="","",INDEX(MASTER_DATABASE!$L$4:$L$1000,$B100)&amp;"")</f>
        <v/>
      </c>
      <c r="H100" s="7" t="str">
        <f aca="false">IF($B100="","",INDEX(MASTER_DATABASE!$U$4:$U$1000,$B100)&amp;"")</f>
        <v/>
      </c>
      <c r="I100" s="7" t="str">
        <f aca="false">IF($B100="","",INDEX(MASTER_DATABASE!$AV$4:$AV$1000,$B100)&amp;"")</f>
        <v/>
      </c>
      <c r="J100" s="7" t="str">
        <f aca="false">IF($B100="","",INDEX(MASTER_DATABASE!$AW$4:$AW$1000,$B100)&amp;"")</f>
        <v/>
      </c>
    </row>
    <row r="101" customFormat="false" ht="15" hidden="false" customHeight="false" outlineLevel="0" collapsed="false">
      <c r="A101" s="11" t="n">
        <v>98</v>
      </c>
      <c r="B101" s="11" t="str">
        <f aca="false">IFERROR(MATCH($A101,MASTER_DATABASE!$BL$4:$BL$1000,0),"")</f>
        <v/>
      </c>
      <c r="C101" s="11" t="str">
        <f aca="false">IF($B101="","",INDEX(MASTER_DATABASE!$A$4:$A$1000,$B101)&amp;"")</f>
        <v/>
      </c>
      <c r="D101" s="7" t="str">
        <f aca="false">IF($B101="","",INDEX(MASTER_DATABASE!$B$4:$B$1000,$B101)&amp;"")</f>
        <v/>
      </c>
      <c r="E101" s="7" t="str">
        <f aca="false">IF($B101="","",INDEX(MASTER_DATABASE!$E$4:$E$1000,$B101)&amp;"")</f>
        <v/>
      </c>
      <c r="F101" s="7" t="str">
        <f aca="false">IF($B101="","",INDEX(MASTER_DATABASE!$I$4:$I$1000,$B101)&amp;"")</f>
        <v/>
      </c>
      <c r="G101" s="7" t="str">
        <f aca="false">IF($B101="","",INDEX(MASTER_DATABASE!$L$4:$L$1000,$B101)&amp;"")</f>
        <v/>
      </c>
      <c r="H101" s="7" t="str">
        <f aca="false">IF($B101="","",INDEX(MASTER_DATABASE!$U$4:$U$1000,$B101)&amp;"")</f>
        <v/>
      </c>
      <c r="I101" s="7" t="str">
        <f aca="false">IF($B101="","",INDEX(MASTER_DATABASE!$AV$4:$AV$1000,$B101)&amp;"")</f>
        <v/>
      </c>
      <c r="J101" s="7" t="str">
        <f aca="false">IF($B101="","",INDEX(MASTER_DATABASE!$AW$4:$AW$1000,$B101)&amp;"")</f>
        <v/>
      </c>
    </row>
    <row r="102" customFormat="false" ht="15" hidden="false" customHeight="false" outlineLevel="0" collapsed="false">
      <c r="A102" s="11" t="n">
        <v>99</v>
      </c>
      <c r="B102" s="11" t="str">
        <f aca="false">IFERROR(MATCH($A102,MASTER_DATABASE!$BL$4:$BL$1000,0),"")</f>
        <v/>
      </c>
      <c r="C102" s="11" t="str">
        <f aca="false">IF($B102="","",INDEX(MASTER_DATABASE!$A$4:$A$1000,$B102)&amp;"")</f>
        <v/>
      </c>
      <c r="D102" s="7" t="str">
        <f aca="false">IF($B102="","",INDEX(MASTER_DATABASE!$B$4:$B$1000,$B102)&amp;"")</f>
        <v/>
      </c>
      <c r="E102" s="7" t="str">
        <f aca="false">IF($B102="","",INDEX(MASTER_DATABASE!$E$4:$E$1000,$B102)&amp;"")</f>
        <v/>
      </c>
      <c r="F102" s="7" t="str">
        <f aca="false">IF($B102="","",INDEX(MASTER_DATABASE!$I$4:$I$1000,$B102)&amp;"")</f>
        <v/>
      </c>
      <c r="G102" s="7" t="str">
        <f aca="false">IF($B102="","",INDEX(MASTER_DATABASE!$L$4:$L$1000,$B102)&amp;"")</f>
        <v/>
      </c>
      <c r="H102" s="7" t="str">
        <f aca="false">IF($B102="","",INDEX(MASTER_DATABASE!$U$4:$U$1000,$B102)&amp;"")</f>
        <v/>
      </c>
      <c r="I102" s="7" t="str">
        <f aca="false">IF($B102="","",INDEX(MASTER_DATABASE!$AV$4:$AV$1000,$B102)&amp;"")</f>
        <v/>
      </c>
      <c r="J102" s="7" t="str">
        <f aca="false">IF($B102="","",INDEX(MASTER_DATABASE!$AW$4:$AW$1000,$B102)&amp;"")</f>
        <v/>
      </c>
    </row>
    <row r="103" customFormat="false" ht="15" hidden="false" customHeight="false" outlineLevel="0" collapsed="false">
      <c r="A103" s="11" t="n">
        <v>100</v>
      </c>
      <c r="B103" s="11" t="str">
        <f aca="false">IFERROR(MATCH($A103,MASTER_DATABASE!$BL$4:$BL$1000,0),"")</f>
        <v/>
      </c>
      <c r="C103" s="11" t="str">
        <f aca="false">IF($B103="","",INDEX(MASTER_DATABASE!$A$4:$A$1000,$B103)&amp;"")</f>
        <v/>
      </c>
      <c r="D103" s="7" t="str">
        <f aca="false">IF($B103="","",INDEX(MASTER_DATABASE!$B$4:$B$1000,$B103)&amp;"")</f>
        <v/>
      </c>
      <c r="E103" s="7" t="str">
        <f aca="false">IF($B103="","",INDEX(MASTER_DATABASE!$E$4:$E$1000,$B103)&amp;"")</f>
        <v/>
      </c>
      <c r="F103" s="7" t="str">
        <f aca="false">IF($B103="","",INDEX(MASTER_DATABASE!$I$4:$I$1000,$B103)&amp;"")</f>
        <v/>
      </c>
      <c r="G103" s="7" t="str">
        <f aca="false">IF($B103="","",INDEX(MASTER_DATABASE!$L$4:$L$1000,$B103)&amp;"")</f>
        <v/>
      </c>
      <c r="H103" s="7" t="str">
        <f aca="false">IF($B103="","",INDEX(MASTER_DATABASE!$U$4:$U$1000,$B103)&amp;"")</f>
        <v/>
      </c>
      <c r="I103" s="7" t="str">
        <f aca="false">IF($B103="","",INDEX(MASTER_DATABASE!$AV$4:$AV$1000,$B103)&amp;"")</f>
        <v/>
      </c>
      <c r="J103" s="7" t="str">
        <f aca="false">IF($B103="","",INDEX(MASTER_DATABASE!$AW$4:$AW$1000,$B103)&amp;"")</f>
        <v/>
      </c>
    </row>
    <row r="104" customFormat="false" ht="15" hidden="false" customHeight="false" outlineLevel="0" collapsed="false">
      <c r="A104" s="11" t="n">
        <v>101</v>
      </c>
      <c r="B104" s="11" t="str">
        <f aca="false">IFERROR(MATCH($A104,MASTER_DATABASE!$BL$4:$BL$1000,0),"")</f>
        <v/>
      </c>
      <c r="C104" s="11" t="str">
        <f aca="false">IF($B104="","",INDEX(MASTER_DATABASE!$A$4:$A$1000,$B104)&amp;"")</f>
        <v/>
      </c>
      <c r="D104" s="7" t="str">
        <f aca="false">IF($B104="","",INDEX(MASTER_DATABASE!$B$4:$B$1000,$B104)&amp;"")</f>
        <v/>
      </c>
      <c r="E104" s="7" t="str">
        <f aca="false">IF($B104="","",INDEX(MASTER_DATABASE!$E$4:$E$1000,$B104)&amp;"")</f>
        <v/>
      </c>
      <c r="F104" s="7" t="str">
        <f aca="false">IF($B104="","",INDEX(MASTER_DATABASE!$I$4:$I$1000,$B104)&amp;"")</f>
        <v/>
      </c>
      <c r="G104" s="7" t="str">
        <f aca="false">IF($B104="","",INDEX(MASTER_DATABASE!$L$4:$L$1000,$B104)&amp;"")</f>
        <v/>
      </c>
      <c r="H104" s="7" t="str">
        <f aca="false">IF($B104="","",INDEX(MASTER_DATABASE!$U$4:$U$1000,$B104)&amp;"")</f>
        <v/>
      </c>
      <c r="I104" s="7" t="str">
        <f aca="false">IF($B104="","",INDEX(MASTER_DATABASE!$AV$4:$AV$1000,$B104)&amp;"")</f>
        <v/>
      </c>
      <c r="J104" s="7" t="str">
        <f aca="false">IF($B104="","",INDEX(MASTER_DATABASE!$AW$4:$AW$1000,$B104)&amp;"")</f>
        <v/>
      </c>
    </row>
    <row r="105" customFormat="false" ht="15" hidden="false" customHeight="false" outlineLevel="0" collapsed="false">
      <c r="A105" s="11" t="n">
        <v>102</v>
      </c>
      <c r="B105" s="11" t="str">
        <f aca="false">IFERROR(MATCH($A105,MASTER_DATABASE!$BL$4:$BL$1000,0),"")</f>
        <v/>
      </c>
      <c r="C105" s="11" t="str">
        <f aca="false">IF($B105="","",INDEX(MASTER_DATABASE!$A$4:$A$1000,$B105)&amp;"")</f>
        <v/>
      </c>
      <c r="D105" s="7" t="str">
        <f aca="false">IF($B105="","",INDEX(MASTER_DATABASE!$B$4:$B$1000,$B105)&amp;"")</f>
        <v/>
      </c>
      <c r="E105" s="7" t="str">
        <f aca="false">IF($B105="","",INDEX(MASTER_DATABASE!$E$4:$E$1000,$B105)&amp;"")</f>
        <v/>
      </c>
      <c r="F105" s="7" t="str">
        <f aca="false">IF($B105="","",INDEX(MASTER_DATABASE!$I$4:$I$1000,$B105)&amp;"")</f>
        <v/>
      </c>
      <c r="G105" s="7" t="str">
        <f aca="false">IF($B105="","",INDEX(MASTER_DATABASE!$L$4:$L$1000,$B105)&amp;"")</f>
        <v/>
      </c>
      <c r="H105" s="7" t="str">
        <f aca="false">IF($B105="","",INDEX(MASTER_DATABASE!$U$4:$U$1000,$B105)&amp;"")</f>
        <v/>
      </c>
      <c r="I105" s="7" t="str">
        <f aca="false">IF($B105="","",INDEX(MASTER_DATABASE!$AV$4:$AV$1000,$B105)&amp;"")</f>
        <v/>
      </c>
      <c r="J105" s="7" t="str">
        <f aca="false">IF($B105="","",INDEX(MASTER_DATABASE!$AW$4:$AW$1000,$B105)&amp;"")</f>
        <v/>
      </c>
    </row>
    <row r="106" customFormat="false" ht="15" hidden="false" customHeight="false" outlineLevel="0" collapsed="false">
      <c r="A106" s="11" t="n">
        <v>103</v>
      </c>
      <c r="B106" s="11" t="str">
        <f aca="false">IFERROR(MATCH($A106,MASTER_DATABASE!$BL$4:$BL$1000,0),"")</f>
        <v/>
      </c>
      <c r="C106" s="11" t="str">
        <f aca="false">IF($B106="","",INDEX(MASTER_DATABASE!$A$4:$A$1000,$B106)&amp;"")</f>
        <v/>
      </c>
      <c r="D106" s="7" t="str">
        <f aca="false">IF($B106="","",INDEX(MASTER_DATABASE!$B$4:$B$1000,$B106)&amp;"")</f>
        <v/>
      </c>
      <c r="E106" s="7" t="str">
        <f aca="false">IF($B106="","",INDEX(MASTER_DATABASE!$E$4:$E$1000,$B106)&amp;"")</f>
        <v/>
      </c>
      <c r="F106" s="7" t="str">
        <f aca="false">IF($B106="","",INDEX(MASTER_DATABASE!$I$4:$I$1000,$B106)&amp;"")</f>
        <v/>
      </c>
      <c r="G106" s="7" t="str">
        <f aca="false">IF($B106="","",INDEX(MASTER_DATABASE!$L$4:$L$1000,$B106)&amp;"")</f>
        <v/>
      </c>
      <c r="H106" s="7" t="str">
        <f aca="false">IF($B106="","",INDEX(MASTER_DATABASE!$U$4:$U$1000,$B106)&amp;"")</f>
        <v/>
      </c>
      <c r="I106" s="7" t="str">
        <f aca="false">IF($B106="","",INDEX(MASTER_DATABASE!$AV$4:$AV$1000,$B106)&amp;"")</f>
        <v/>
      </c>
      <c r="J106" s="7" t="str">
        <f aca="false">IF($B106="","",INDEX(MASTER_DATABASE!$AW$4:$AW$1000,$B106)&amp;"")</f>
        <v/>
      </c>
    </row>
    <row r="107" customFormat="false" ht="15" hidden="false" customHeight="false" outlineLevel="0" collapsed="false">
      <c r="A107" s="11" t="n">
        <v>104</v>
      </c>
      <c r="B107" s="11" t="str">
        <f aca="false">IFERROR(MATCH($A107,MASTER_DATABASE!$BL$4:$BL$1000,0),"")</f>
        <v/>
      </c>
      <c r="C107" s="11" t="str">
        <f aca="false">IF($B107="","",INDEX(MASTER_DATABASE!$A$4:$A$1000,$B107)&amp;"")</f>
        <v/>
      </c>
      <c r="D107" s="7" t="str">
        <f aca="false">IF($B107="","",INDEX(MASTER_DATABASE!$B$4:$B$1000,$B107)&amp;"")</f>
        <v/>
      </c>
      <c r="E107" s="7" t="str">
        <f aca="false">IF($B107="","",INDEX(MASTER_DATABASE!$E$4:$E$1000,$B107)&amp;"")</f>
        <v/>
      </c>
      <c r="F107" s="7" t="str">
        <f aca="false">IF($B107="","",INDEX(MASTER_DATABASE!$I$4:$I$1000,$B107)&amp;"")</f>
        <v/>
      </c>
      <c r="G107" s="7" t="str">
        <f aca="false">IF($B107="","",INDEX(MASTER_DATABASE!$L$4:$L$1000,$B107)&amp;"")</f>
        <v/>
      </c>
      <c r="H107" s="7" t="str">
        <f aca="false">IF($B107="","",INDEX(MASTER_DATABASE!$U$4:$U$1000,$B107)&amp;"")</f>
        <v/>
      </c>
      <c r="I107" s="7" t="str">
        <f aca="false">IF($B107="","",INDEX(MASTER_DATABASE!$AV$4:$AV$1000,$B107)&amp;"")</f>
        <v/>
      </c>
      <c r="J107" s="7" t="str">
        <f aca="false">IF($B107="","",INDEX(MASTER_DATABASE!$AW$4:$AW$1000,$B107)&amp;"")</f>
        <v/>
      </c>
    </row>
    <row r="108" customFormat="false" ht="15" hidden="false" customHeight="false" outlineLevel="0" collapsed="false">
      <c r="A108" s="11" t="n">
        <v>105</v>
      </c>
      <c r="B108" s="11" t="str">
        <f aca="false">IFERROR(MATCH($A108,MASTER_DATABASE!$BL$4:$BL$1000,0),"")</f>
        <v/>
      </c>
      <c r="C108" s="11" t="str">
        <f aca="false">IF($B108="","",INDEX(MASTER_DATABASE!$A$4:$A$1000,$B108)&amp;"")</f>
        <v/>
      </c>
      <c r="D108" s="7" t="str">
        <f aca="false">IF($B108="","",INDEX(MASTER_DATABASE!$B$4:$B$1000,$B108)&amp;"")</f>
        <v/>
      </c>
      <c r="E108" s="7" t="str">
        <f aca="false">IF($B108="","",INDEX(MASTER_DATABASE!$E$4:$E$1000,$B108)&amp;"")</f>
        <v/>
      </c>
      <c r="F108" s="7" t="str">
        <f aca="false">IF($B108="","",INDEX(MASTER_DATABASE!$I$4:$I$1000,$B108)&amp;"")</f>
        <v/>
      </c>
      <c r="G108" s="7" t="str">
        <f aca="false">IF($B108="","",INDEX(MASTER_DATABASE!$L$4:$L$1000,$B108)&amp;"")</f>
        <v/>
      </c>
      <c r="H108" s="7" t="str">
        <f aca="false">IF($B108="","",INDEX(MASTER_DATABASE!$U$4:$U$1000,$B108)&amp;"")</f>
        <v/>
      </c>
      <c r="I108" s="7" t="str">
        <f aca="false">IF($B108="","",INDEX(MASTER_DATABASE!$AV$4:$AV$1000,$B108)&amp;"")</f>
        <v/>
      </c>
      <c r="J108" s="7" t="str">
        <f aca="false">IF($B108="","",INDEX(MASTER_DATABASE!$AW$4:$AW$1000,$B108)&amp;"")</f>
        <v/>
      </c>
    </row>
    <row r="109" customFormat="false" ht="15" hidden="false" customHeight="false" outlineLevel="0" collapsed="false">
      <c r="A109" s="11" t="n">
        <v>106</v>
      </c>
      <c r="B109" s="11" t="str">
        <f aca="false">IFERROR(MATCH($A109,MASTER_DATABASE!$BL$4:$BL$1000,0),"")</f>
        <v/>
      </c>
      <c r="C109" s="11" t="str">
        <f aca="false">IF($B109="","",INDEX(MASTER_DATABASE!$A$4:$A$1000,$B109)&amp;"")</f>
        <v/>
      </c>
      <c r="D109" s="7" t="str">
        <f aca="false">IF($B109="","",INDEX(MASTER_DATABASE!$B$4:$B$1000,$B109)&amp;"")</f>
        <v/>
      </c>
      <c r="E109" s="7" t="str">
        <f aca="false">IF($B109="","",INDEX(MASTER_DATABASE!$E$4:$E$1000,$B109)&amp;"")</f>
        <v/>
      </c>
      <c r="F109" s="7" t="str">
        <f aca="false">IF($B109="","",INDEX(MASTER_DATABASE!$I$4:$I$1000,$B109)&amp;"")</f>
        <v/>
      </c>
      <c r="G109" s="7" t="str">
        <f aca="false">IF($B109="","",INDEX(MASTER_DATABASE!$L$4:$L$1000,$B109)&amp;"")</f>
        <v/>
      </c>
      <c r="H109" s="7" t="str">
        <f aca="false">IF($B109="","",INDEX(MASTER_DATABASE!$U$4:$U$1000,$B109)&amp;"")</f>
        <v/>
      </c>
      <c r="I109" s="7" t="str">
        <f aca="false">IF($B109="","",INDEX(MASTER_DATABASE!$AV$4:$AV$1000,$B109)&amp;"")</f>
        <v/>
      </c>
      <c r="J109" s="7" t="str">
        <f aca="false">IF($B109="","",INDEX(MASTER_DATABASE!$AW$4:$AW$1000,$B109)&amp;"")</f>
        <v/>
      </c>
    </row>
    <row r="110" customFormat="false" ht="15" hidden="false" customHeight="false" outlineLevel="0" collapsed="false">
      <c r="A110" s="11" t="n">
        <v>107</v>
      </c>
      <c r="B110" s="11" t="str">
        <f aca="false">IFERROR(MATCH($A110,MASTER_DATABASE!$BL$4:$BL$1000,0),"")</f>
        <v/>
      </c>
      <c r="C110" s="11" t="str">
        <f aca="false">IF($B110="","",INDEX(MASTER_DATABASE!$A$4:$A$1000,$B110)&amp;"")</f>
        <v/>
      </c>
      <c r="D110" s="7" t="str">
        <f aca="false">IF($B110="","",INDEX(MASTER_DATABASE!$B$4:$B$1000,$B110)&amp;"")</f>
        <v/>
      </c>
      <c r="E110" s="7" t="str">
        <f aca="false">IF($B110="","",INDEX(MASTER_DATABASE!$E$4:$E$1000,$B110)&amp;"")</f>
        <v/>
      </c>
      <c r="F110" s="7" t="str">
        <f aca="false">IF($B110="","",INDEX(MASTER_DATABASE!$I$4:$I$1000,$B110)&amp;"")</f>
        <v/>
      </c>
      <c r="G110" s="7" t="str">
        <f aca="false">IF($B110="","",INDEX(MASTER_DATABASE!$L$4:$L$1000,$B110)&amp;"")</f>
        <v/>
      </c>
      <c r="H110" s="7" t="str">
        <f aca="false">IF($B110="","",INDEX(MASTER_DATABASE!$U$4:$U$1000,$B110)&amp;"")</f>
        <v/>
      </c>
      <c r="I110" s="7" t="str">
        <f aca="false">IF($B110="","",INDEX(MASTER_DATABASE!$AV$4:$AV$1000,$B110)&amp;"")</f>
        <v/>
      </c>
      <c r="J110" s="7" t="str">
        <f aca="false">IF($B110="","",INDEX(MASTER_DATABASE!$AW$4:$AW$1000,$B110)&amp;"")</f>
        <v/>
      </c>
    </row>
    <row r="111" customFormat="false" ht="15" hidden="false" customHeight="false" outlineLevel="0" collapsed="false">
      <c r="A111" s="11" t="n">
        <v>108</v>
      </c>
      <c r="B111" s="11" t="str">
        <f aca="false">IFERROR(MATCH($A111,MASTER_DATABASE!$BL$4:$BL$1000,0),"")</f>
        <v/>
      </c>
      <c r="C111" s="11" t="str">
        <f aca="false">IF($B111="","",INDEX(MASTER_DATABASE!$A$4:$A$1000,$B111)&amp;"")</f>
        <v/>
      </c>
      <c r="D111" s="7" t="str">
        <f aca="false">IF($B111="","",INDEX(MASTER_DATABASE!$B$4:$B$1000,$B111)&amp;"")</f>
        <v/>
      </c>
      <c r="E111" s="7" t="str">
        <f aca="false">IF($B111="","",INDEX(MASTER_DATABASE!$E$4:$E$1000,$B111)&amp;"")</f>
        <v/>
      </c>
      <c r="F111" s="7" t="str">
        <f aca="false">IF($B111="","",INDEX(MASTER_DATABASE!$I$4:$I$1000,$B111)&amp;"")</f>
        <v/>
      </c>
      <c r="G111" s="7" t="str">
        <f aca="false">IF($B111="","",INDEX(MASTER_DATABASE!$L$4:$L$1000,$B111)&amp;"")</f>
        <v/>
      </c>
      <c r="H111" s="7" t="str">
        <f aca="false">IF($B111="","",INDEX(MASTER_DATABASE!$U$4:$U$1000,$B111)&amp;"")</f>
        <v/>
      </c>
      <c r="I111" s="7" t="str">
        <f aca="false">IF($B111="","",INDEX(MASTER_DATABASE!$AV$4:$AV$1000,$B111)&amp;"")</f>
        <v/>
      </c>
      <c r="J111" s="7" t="str">
        <f aca="false">IF($B111="","",INDEX(MASTER_DATABASE!$AW$4:$AW$1000,$B111)&amp;"")</f>
        <v/>
      </c>
    </row>
    <row r="112" customFormat="false" ht="15" hidden="false" customHeight="false" outlineLevel="0" collapsed="false">
      <c r="A112" s="11" t="n">
        <v>109</v>
      </c>
      <c r="B112" s="11" t="str">
        <f aca="false">IFERROR(MATCH($A112,MASTER_DATABASE!$BL$4:$BL$1000,0),"")</f>
        <v/>
      </c>
      <c r="C112" s="11" t="str">
        <f aca="false">IF($B112="","",INDEX(MASTER_DATABASE!$A$4:$A$1000,$B112)&amp;"")</f>
        <v/>
      </c>
      <c r="D112" s="7" t="str">
        <f aca="false">IF($B112="","",INDEX(MASTER_DATABASE!$B$4:$B$1000,$B112)&amp;"")</f>
        <v/>
      </c>
      <c r="E112" s="7" t="str">
        <f aca="false">IF($B112="","",INDEX(MASTER_DATABASE!$E$4:$E$1000,$B112)&amp;"")</f>
        <v/>
      </c>
      <c r="F112" s="7" t="str">
        <f aca="false">IF($B112="","",INDEX(MASTER_DATABASE!$I$4:$I$1000,$B112)&amp;"")</f>
        <v/>
      </c>
      <c r="G112" s="7" t="str">
        <f aca="false">IF($B112="","",INDEX(MASTER_DATABASE!$L$4:$L$1000,$B112)&amp;"")</f>
        <v/>
      </c>
      <c r="H112" s="7" t="str">
        <f aca="false">IF($B112="","",INDEX(MASTER_DATABASE!$U$4:$U$1000,$B112)&amp;"")</f>
        <v/>
      </c>
      <c r="I112" s="7" t="str">
        <f aca="false">IF($B112="","",INDEX(MASTER_DATABASE!$AV$4:$AV$1000,$B112)&amp;"")</f>
        <v/>
      </c>
      <c r="J112" s="7" t="str">
        <f aca="false">IF($B112="","",INDEX(MASTER_DATABASE!$AW$4:$AW$1000,$B112)&amp;"")</f>
        <v/>
      </c>
    </row>
    <row r="113" customFormat="false" ht="15" hidden="false" customHeight="false" outlineLevel="0" collapsed="false">
      <c r="A113" s="11" t="n">
        <v>110</v>
      </c>
      <c r="B113" s="11" t="str">
        <f aca="false">IFERROR(MATCH($A113,MASTER_DATABASE!$BL$4:$BL$1000,0),"")</f>
        <v/>
      </c>
      <c r="C113" s="11" t="str">
        <f aca="false">IF($B113="","",INDEX(MASTER_DATABASE!$A$4:$A$1000,$B113)&amp;"")</f>
        <v/>
      </c>
      <c r="D113" s="7" t="str">
        <f aca="false">IF($B113="","",INDEX(MASTER_DATABASE!$B$4:$B$1000,$B113)&amp;"")</f>
        <v/>
      </c>
      <c r="E113" s="7" t="str">
        <f aca="false">IF($B113="","",INDEX(MASTER_DATABASE!$E$4:$E$1000,$B113)&amp;"")</f>
        <v/>
      </c>
      <c r="F113" s="7" t="str">
        <f aca="false">IF($B113="","",INDEX(MASTER_DATABASE!$I$4:$I$1000,$B113)&amp;"")</f>
        <v/>
      </c>
      <c r="G113" s="7" t="str">
        <f aca="false">IF($B113="","",INDEX(MASTER_DATABASE!$L$4:$L$1000,$B113)&amp;"")</f>
        <v/>
      </c>
      <c r="H113" s="7" t="str">
        <f aca="false">IF($B113="","",INDEX(MASTER_DATABASE!$U$4:$U$1000,$B113)&amp;"")</f>
        <v/>
      </c>
      <c r="I113" s="7" t="str">
        <f aca="false">IF($B113="","",INDEX(MASTER_DATABASE!$AV$4:$AV$1000,$B113)&amp;"")</f>
        <v/>
      </c>
      <c r="J113" s="7" t="str">
        <f aca="false">IF($B113="","",INDEX(MASTER_DATABASE!$AW$4:$AW$1000,$B113)&amp;"")</f>
        <v/>
      </c>
    </row>
    <row r="114" customFormat="false" ht="15" hidden="false" customHeight="false" outlineLevel="0" collapsed="false">
      <c r="A114" s="11" t="n">
        <v>111</v>
      </c>
      <c r="B114" s="11" t="str">
        <f aca="false">IFERROR(MATCH($A114,MASTER_DATABASE!$BL$4:$BL$1000,0),"")</f>
        <v/>
      </c>
      <c r="C114" s="11" t="str">
        <f aca="false">IF($B114="","",INDEX(MASTER_DATABASE!$A$4:$A$1000,$B114)&amp;"")</f>
        <v/>
      </c>
      <c r="D114" s="7" t="str">
        <f aca="false">IF($B114="","",INDEX(MASTER_DATABASE!$B$4:$B$1000,$B114)&amp;"")</f>
        <v/>
      </c>
      <c r="E114" s="7" t="str">
        <f aca="false">IF($B114="","",INDEX(MASTER_DATABASE!$E$4:$E$1000,$B114)&amp;"")</f>
        <v/>
      </c>
      <c r="F114" s="7" t="str">
        <f aca="false">IF($B114="","",INDEX(MASTER_DATABASE!$I$4:$I$1000,$B114)&amp;"")</f>
        <v/>
      </c>
      <c r="G114" s="7" t="str">
        <f aca="false">IF($B114="","",INDEX(MASTER_DATABASE!$L$4:$L$1000,$B114)&amp;"")</f>
        <v/>
      </c>
      <c r="H114" s="7" t="str">
        <f aca="false">IF($B114="","",INDEX(MASTER_DATABASE!$U$4:$U$1000,$B114)&amp;"")</f>
        <v/>
      </c>
      <c r="I114" s="7" t="str">
        <f aca="false">IF($B114="","",INDEX(MASTER_DATABASE!$AV$4:$AV$1000,$B114)&amp;"")</f>
        <v/>
      </c>
      <c r="J114" s="7" t="str">
        <f aca="false">IF($B114="","",INDEX(MASTER_DATABASE!$AW$4:$AW$1000,$B114)&amp;"")</f>
        <v/>
      </c>
    </row>
    <row r="115" customFormat="false" ht="15" hidden="false" customHeight="false" outlineLevel="0" collapsed="false">
      <c r="A115" s="11" t="n">
        <v>112</v>
      </c>
      <c r="B115" s="11" t="str">
        <f aca="false">IFERROR(MATCH($A115,MASTER_DATABASE!$BL$4:$BL$1000,0),"")</f>
        <v/>
      </c>
      <c r="C115" s="11" t="str">
        <f aca="false">IF($B115="","",INDEX(MASTER_DATABASE!$A$4:$A$1000,$B115)&amp;"")</f>
        <v/>
      </c>
      <c r="D115" s="7" t="str">
        <f aca="false">IF($B115="","",INDEX(MASTER_DATABASE!$B$4:$B$1000,$B115)&amp;"")</f>
        <v/>
      </c>
      <c r="E115" s="7" t="str">
        <f aca="false">IF($B115="","",INDEX(MASTER_DATABASE!$E$4:$E$1000,$B115)&amp;"")</f>
        <v/>
      </c>
      <c r="F115" s="7" t="str">
        <f aca="false">IF($B115="","",INDEX(MASTER_DATABASE!$I$4:$I$1000,$B115)&amp;"")</f>
        <v/>
      </c>
      <c r="G115" s="7" t="str">
        <f aca="false">IF($B115="","",INDEX(MASTER_DATABASE!$L$4:$L$1000,$B115)&amp;"")</f>
        <v/>
      </c>
      <c r="H115" s="7" t="str">
        <f aca="false">IF($B115="","",INDEX(MASTER_DATABASE!$U$4:$U$1000,$B115)&amp;"")</f>
        <v/>
      </c>
      <c r="I115" s="7" t="str">
        <f aca="false">IF($B115="","",INDEX(MASTER_DATABASE!$AV$4:$AV$1000,$B115)&amp;"")</f>
        <v/>
      </c>
      <c r="J115" s="7" t="str">
        <f aca="false">IF($B115="","",INDEX(MASTER_DATABASE!$AW$4:$AW$1000,$B115)&amp;"")</f>
        <v/>
      </c>
    </row>
    <row r="116" customFormat="false" ht="15" hidden="false" customHeight="false" outlineLevel="0" collapsed="false">
      <c r="A116" s="11" t="n">
        <v>113</v>
      </c>
      <c r="B116" s="11" t="str">
        <f aca="false">IFERROR(MATCH($A116,MASTER_DATABASE!$BL$4:$BL$1000,0),"")</f>
        <v/>
      </c>
      <c r="C116" s="11" t="str">
        <f aca="false">IF($B116="","",INDEX(MASTER_DATABASE!$A$4:$A$1000,$B116)&amp;"")</f>
        <v/>
      </c>
      <c r="D116" s="7" t="str">
        <f aca="false">IF($B116="","",INDEX(MASTER_DATABASE!$B$4:$B$1000,$B116)&amp;"")</f>
        <v/>
      </c>
      <c r="E116" s="7" t="str">
        <f aca="false">IF($B116="","",INDEX(MASTER_DATABASE!$E$4:$E$1000,$B116)&amp;"")</f>
        <v/>
      </c>
      <c r="F116" s="7" t="str">
        <f aca="false">IF($B116="","",INDEX(MASTER_DATABASE!$I$4:$I$1000,$B116)&amp;"")</f>
        <v/>
      </c>
      <c r="G116" s="7" t="str">
        <f aca="false">IF($B116="","",INDEX(MASTER_DATABASE!$L$4:$L$1000,$B116)&amp;"")</f>
        <v/>
      </c>
      <c r="H116" s="7" t="str">
        <f aca="false">IF($B116="","",INDEX(MASTER_DATABASE!$U$4:$U$1000,$B116)&amp;"")</f>
        <v/>
      </c>
      <c r="I116" s="7" t="str">
        <f aca="false">IF($B116="","",INDEX(MASTER_DATABASE!$AV$4:$AV$1000,$B116)&amp;"")</f>
        <v/>
      </c>
      <c r="J116" s="7" t="str">
        <f aca="false">IF($B116="","",INDEX(MASTER_DATABASE!$AW$4:$AW$1000,$B116)&amp;"")</f>
        <v/>
      </c>
    </row>
    <row r="117" customFormat="false" ht="15" hidden="false" customHeight="false" outlineLevel="0" collapsed="false">
      <c r="A117" s="11" t="n">
        <v>114</v>
      </c>
      <c r="B117" s="11" t="str">
        <f aca="false">IFERROR(MATCH($A117,MASTER_DATABASE!$BL$4:$BL$1000,0),"")</f>
        <v/>
      </c>
      <c r="C117" s="11" t="str">
        <f aca="false">IF($B117="","",INDEX(MASTER_DATABASE!$A$4:$A$1000,$B117)&amp;"")</f>
        <v/>
      </c>
      <c r="D117" s="7" t="str">
        <f aca="false">IF($B117="","",INDEX(MASTER_DATABASE!$B$4:$B$1000,$B117)&amp;"")</f>
        <v/>
      </c>
      <c r="E117" s="7" t="str">
        <f aca="false">IF($B117="","",INDEX(MASTER_DATABASE!$E$4:$E$1000,$B117)&amp;"")</f>
        <v/>
      </c>
      <c r="F117" s="7" t="str">
        <f aca="false">IF($B117="","",INDEX(MASTER_DATABASE!$I$4:$I$1000,$B117)&amp;"")</f>
        <v/>
      </c>
      <c r="G117" s="7" t="str">
        <f aca="false">IF($B117="","",INDEX(MASTER_DATABASE!$L$4:$L$1000,$B117)&amp;"")</f>
        <v/>
      </c>
      <c r="H117" s="7" t="str">
        <f aca="false">IF($B117="","",INDEX(MASTER_DATABASE!$U$4:$U$1000,$B117)&amp;"")</f>
        <v/>
      </c>
      <c r="I117" s="7" t="str">
        <f aca="false">IF($B117="","",INDEX(MASTER_DATABASE!$AV$4:$AV$1000,$B117)&amp;"")</f>
        <v/>
      </c>
      <c r="J117" s="7" t="str">
        <f aca="false">IF($B117="","",INDEX(MASTER_DATABASE!$AW$4:$AW$1000,$B117)&amp;"")</f>
        <v/>
      </c>
    </row>
    <row r="118" customFormat="false" ht="15" hidden="false" customHeight="false" outlineLevel="0" collapsed="false">
      <c r="A118" s="11" t="n">
        <v>115</v>
      </c>
      <c r="B118" s="11" t="str">
        <f aca="false">IFERROR(MATCH($A118,MASTER_DATABASE!$BL$4:$BL$1000,0),"")</f>
        <v/>
      </c>
      <c r="C118" s="11" t="str">
        <f aca="false">IF($B118="","",INDEX(MASTER_DATABASE!$A$4:$A$1000,$B118)&amp;"")</f>
        <v/>
      </c>
      <c r="D118" s="7" t="str">
        <f aca="false">IF($B118="","",INDEX(MASTER_DATABASE!$B$4:$B$1000,$B118)&amp;"")</f>
        <v/>
      </c>
      <c r="E118" s="7" t="str">
        <f aca="false">IF($B118="","",INDEX(MASTER_DATABASE!$E$4:$E$1000,$B118)&amp;"")</f>
        <v/>
      </c>
      <c r="F118" s="7" t="str">
        <f aca="false">IF($B118="","",INDEX(MASTER_DATABASE!$I$4:$I$1000,$B118)&amp;"")</f>
        <v/>
      </c>
      <c r="G118" s="7" t="str">
        <f aca="false">IF($B118="","",INDEX(MASTER_DATABASE!$L$4:$L$1000,$B118)&amp;"")</f>
        <v/>
      </c>
      <c r="H118" s="7" t="str">
        <f aca="false">IF($B118="","",INDEX(MASTER_DATABASE!$U$4:$U$1000,$B118)&amp;"")</f>
        <v/>
      </c>
      <c r="I118" s="7" t="str">
        <f aca="false">IF($B118="","",INDEX(MASTER_DATABASE!$AV$4:$AV$1000,$B118)&amp;"")</f>
        <v/>
      </c>
      <c r="J118" s="7" t="str">
        <f aca="false">IF($B118="","",INDEX(MASTER_DATABASE!$AW$4:$AW$1000,$B118)&amp;"")</f>
        <v/>
      </c>
    </row>
    <row r="119" customFormat="false" ht="15" hidden="false" customHeight="false" outlineLevel="0" collapsed="false">
      <c r="A119" s="11" t="n">
        <v>116</v>
      </c>
      <c r="B119" s="11" t="str">
        <f aca="false">IFERROR(MATCH($A119,MASTER_DATABASE!$BL$4:$BL$1000,0),"")</f>
        <v/>
      </c>
      <c r="C119" s="11" t="str">
        <f aca="false">IF($B119="","",INDEX(MASTER_DATABASE!$A$4:$A$1000,$B119)&amp;"")</f>
        <v/>
      </c>
      <c r="D119" s="7" t="str">
        <f aca="false">IF($B119="","",INDEX(MASTER_DATABASE!$B$4:$B$1000,$B119)&amp;"")</f>
        <v/>
      </c>
      <c r="E119" s="7" t="str">
        <f aca="false">IF($B119="","",INDEX(MASTER_DATABASE!$E$4:$E$1000,$B119)&amp;"")</f>
        <v/>
      </c>
      <c r="F119" s="7" t="str">
        <f aca="false">IF($B119="","",INDEX(MASTER_DATABASE!$I$4:$I$1000,$B119)&amp;"")</f>
        <v/>
      </c>
      <c r="G119" s="7" t="str">
        <f aca="false">IF($B119="","",INDEX(MASTER_DATABASE!$L$4:$L$1000,$B119)&amp;"")</f>
        <v/>
      </c>
      <c r="H119" s="7" t="str">
        <f aca="false">IF($B119="","",INDEX(MASTER_DATABASE!$U$4:$U$1000,$B119)&amp;"")</f>
        <v/>
      </c>
      <c r="I119" s="7" t="str">
        <f aca="false">IF($B119="","",INDEX(MASTER_DATABASE!$AV$4:$AV$1000,$B119)&amp;"")</f>
        <v/>
      </c>
      <c r="J119" s="7" t="str">
        <f aca="false">IF($B119="","",INDEX(MASTER_DATABASE!$AW$4:$AW$1000,$B119)&amp;"")</f>
        <v/>
      </c>
    </row>
    <row r="120" customFormat="false" ht="15" hidden="false" customHeight="false" outlineLevel="0" collapsed="false">
      <c r="A120" s="11" t="n">
        <v>117</v>
      </c>
      <c r="B120" s="11" t="str">
        <f aca="false">IFERROR(MATCH($A120,MASTER_DATABASE!$BL$4:$BL$1000,0),"")</f>
        <v/>
      </c>
      <c r="C120" s="11" t="str">
        <f aca="false">IF($B120="","",INDEX(MASTER_DATABASE!$A$4:$A$1000,$B120)&amp;"")</f>
        <v/>
      </c>
      <c r="D120" s="7" t="str">
        <f aca="false">IF($B120="","",INDEX(MASTER_DATABASE!$B$4:$B$1000,$B120)&amp;"")</f>
        <v/>
      </c>
      <c r="E120" s="7" t="str">
        <f aca="false">IF($B120="","",INDEX(MASTER_DATABASE!$E$4:$E$1000,$B120)&amp;"")</f>
        <v/>
      </c>
      <c r="F120" s="7" t="str">
        <f aca="false">IF($B120="","",INDEX(MASTER_DATABASE!$I$4:$I$1000,$B120)&amp;"")</f>
        <v/>
      </c>
      <c r="G120" s="7" t="str">
        <f aca="false">IF($B120="","",INDEX(MASTER_DATABASE!$L$4:$L$1000,$B120)&amp;"")</f>
        <v/>
      </c>
      <c r="H120" s="7" t="str">
        <f aca="false">IF($B120="","",INDEX(MASTER_DATABASE!$U$4:$U$1000,$B120)&amp;"")</f>
        <v/>
      </c>
      <c r="I120" s="7" t="str">
        <f aca="false">IF($B120="","",INDEX(MASTER_DATABASE!$AV$4:$AV$1000,$B120)&amp;"")</f>
        <v/>
      </c>
      <c r="J120" s="7" t="str">
        <f aca="false">IF($B120="","",INDEX(MASTER_DATABASE!$AW$4:$AW$1000,$B120)&amp;"")</f>
        <v/>
      </c>
    </row>
    <row r="121" customFormat="false" ht="15" hidden="false" customHeight="false" outlineLevel="0" collapsed="false">
      <c r="A121" s="11" t="n">
        <v>118</v>
      </c>
      <c r="B121" s="11" t="str">
        <f aca="false">IFERROR(MATCH($A121,MASTER_DATABASE!$BL$4:$BL$1000,0),"")</f>
        <v/>
      </c>
      <c r="C121" s="11" t="str">
        <f aca="false">IF($B121="","",INDEX(MASTER_DATABASE!$A$4:$A$1000,$B121)&amp;"")</f>
        <v/>
      </c>
      <c r="D121" s="7" t="str">
        <f aca="false">IF($B121="","",INDEX(MASTER_DATABASE!$B$4:$B$1000,$B121)&amp;"")</f>
        <v/>
      </c>
      <c r="E121" s="7" t="str">
        <f aca="false">IF($B121="","",INDEX(MASTER_DATABASE!$E$4:$E$1000,$B121)&amp;"")</f>
        <v/>
      </c>
      <c r="F121" s="7" t="str">
        <f aca="false">IF($B121="","",INDEX(MASTER_DATABASE!$I$4:$I$1000,$B121)&amp;"")</f>
        <v/>
      </c>
      <c r="G121" s="7" t="str">
        <f aca="false">IF($B121="","",INDEX(MASTER_DATABASE!$L$4:$L$1000,$B121)&amp;"")</f>
        <v/>
      </c>
      <c r="H121" s="7" t="str">
        <f aca="false">IF($B121="","",INDEX(MASTER_DATABASE!$U$4:$U$1000,$B121)&amp;"")</f>
        <v/>
      </c>
      <c r="I121" s="7" t="str">
        <f aca="false">IF($B121="","",INDEX(MASTER_DATABASE!$AV$4:$AV$1000,$B121)&amp;"")</f>
        <v/>
      </c>
      <c r="J121" s="7" t="str">
        <f aca="false">IF($B121="","",INDEX(MASTER_DATABASE!$AW$4:$AW$1000,$B121)&amp;"")</f>
        <v/>
      </c>
    </row>
    <row r="122" customFormat="false" ht="15" hidden="false" customHeight="false" outlineLevel="0" collapsed="false">
      <c r="A122" s="11" t="n">
        <v>119</v>
      </c>
      <c r="B122" s="11" t="str">
        <f aca="false">IFERROR(MATCH($A122,MASTER_DATABASE!$BL$4:$BL$1000,0),"")</f>
        <v/>
      </c>
      <c r="C122" s="11" t="str">
        <f aca="false">IF($B122="","",INDEX(MASTER_DATABASE!$A$4:$A$1000,$B122)&amp;"")</f>
        <v/>
      </c>
      <c r="D122" s="7" t="str">
        <f aca="false">IF($B122="","",INDEX(MASTER_DATABASE!$B$4:$B$1000,$B122)&amp;"")</f>
        <v/>
      </c>
      <c r="E122" s="7" t="str">
        <f aca="false">IF($B122="","",INDEX(MASTER_DATABASE!$E$4:$E$1000,$B122)&amp;"")</f>
        <v/>
      </c>
      <c r="F122" s="7" t="str">
        <f aca="false">IF($B122="","",INDEX(MASTER_DATABASE!$I$4:$I$1000,$B122)&amp;"")</f>
        <v/>
      </c>
      <c r="G122" s="7" t="str">
        <f aca="false">IF($B122="","",INDEX(MASTER_DATABASE!$L$4:$L$1000,$B122)&amp;"")</f>
        <v/>
      </c>
      <c r="H122" s="7" t="str">
        <f aca="false">IF($B122="","",INDEX(MASTER_DATABASE!$U$4:$U$1000,$B122)&amp;"")</f>
        <v/>
      </c>
      <c r="I122" s="7" t="str">
        <f aca="false">IF($B122="","",INDEX(MASTER_DATABASE!$AV$4:$AV$1000,$B122)&amp;"")</f>
        <v/>
      </c>
      <c r="J122" s="7" t="str">
        <f aca="false">IF($B122="","",INDEX(MASTER_DATABASE!$AW$4:$AW$1000,$B122)&amp;"")</f>
        <v/>
      </c>
    </row>
    <row r="123" customFormat="false" ht="15" hidden="false" customHeight="false" outlineLevel="0" collapsed="false">
      <c r="A123" s="11" t="n">
        <v>120</v>
      </c>
      <c r="B123" s="11" t="str">
        <f aca="false">IFERROR(MATCH($A123,MASTER_DATABASE!$BL$4:$BL$1000,0),"")</f>
        <v/>
      </c>
      <c r="C123" s="11" t="str">
        <f aca="false">IF($B123="","",INDEX(MASTER_DATABASE!$A$4:$A$1000,$B123)&amp;"")</f>
        <v/>
      </c>
      <c r="D123" s="7" t="str">
        <f aca="false">IF($B123="","",INDEX(MASTER_DATABASE!$B$4:$B$1000,$B123)&amp;"")</f>
        <v/>
      </c>
      <c r="E123" s="7" t="str">
        <f aca="false">IF($B123="","",INDEX(MASTER_DATABASE!$E$4:$E$1000,$B123)&amp;"")</f>
        <v/>
      </c>
      <c r="F123" s="7" t="str">
        <f aca="false">IF($B123="","",INDEX(MASTER_DATABASE!$I$4:$I$1000,$B123)&amp;"")</f>
        <v/>
      </c>
      <c r="G123" s="7" t="str">
        <f aca="false">IF($B123="","",INDEX(MASTER_DATABASE!$L$4:$L$1000,$B123)&amp;"")</f>
        <v/>
      </c>
      <c r="H123" s="7" t="str">
        <f aca="false">IF($B123="","",INDEX(MASTER_DATABASE!$U$4:$U$1000,$B123)&amp;"")</f>
        <v/>
      </c>
      <c r="I123" s="7" t="str">
        <f aca="false">IF($B123="","",INDEX(MASTER_DATABASE!$AV$4:$AV$1000,$B123)&amp;"")</f>
        <v/>
      </c>
      <c r="J123" s="7" t="str">
        <f aca="false">IF($B123="","",INDEX(MASTER_DATABASE!$AW$4:$AW$1000,$B123)&amp;"")</f>
        <v/>
      </c>
    </row>
    <row r="124" customFormat="false" ht="15" hidden="false" customHeight="false" outlineLevel="0" collapsed="false">
      <c r="A124" s="11" t="n">
        <v>121</v>
      </c>
      <c r="B124" s="11" t="str">
        <f aca="false">IFERROR(MATCH($A124,MASTER_DATABASE!$BL$4:$BL$1000,0),"")</f>
        <v/>
      </c>
      <c r="C124" s="11" t="str">
        <f aca="false">IF($B124="","",INDEX(MASTER_DATABASE!$A$4:$A$1000,$B124)&amp;"")</f>
        <v/>
      </c>
      <c r="D124" s="7" t="str">
        <f aca="false">IF($B124="","",INDEX(MASTER_DATABASE!$B$4:$B$1000,$B124)&amp;"")</f>
        <v/>
      </c>
      <c r="E124" s="7" t="str">
        <f aca="false">IF($B124="","",INDEX(MASTER_DATABASE!$E$4:$E$1000,$B124)&amp;"")</f>
        <v/>
      </c>
      <c r="F124" s="7" t="str">
        <f aca="false">IF($B124="","",INDEX(MASTER_DATABASE!$I$4:$I$1000,$B124)&amp;"")</f>
        <v/>
      </c>
      <c r="G124" s="7" t="str">
        <f aca="false">IF($B124="","",INDEX(MASTER_DATABASE!$L$4:$L$1000,$B124)&amp;"")</f>
        <v/>
      </c>
      <c r="H124" s="7" t="str">
        <f aca="false">IF($B124="","",INDEX(MASTER_DATABASE!$U$4:$U$1000,$B124)&amp;"")</f>
        <v/>
      </c>
      <c r="I124" s="7" t="str">
        <f aca="false">IF($B124="","",INDEX(MASTER_DATABASE!$AV$4:$AV$1000,$B124)&amp;"")</f>
        <v/>
      </c>
      <c r="J124" s="7" t="str">
        <f aca="false">IF($B124="","",INDEX(MASTER_DATABASE!$AW$4:$AW$1000,$B124)&amp;"")</f>
        <v/>
      </c>
    </row>
    <row r="125" customFormat="false" ht="15" hidden="false" customHeight="false" outlineLevel="0" collapsed="false">
      <c r="A125" s="11" t="n">
        <v>122</v>
      </c>
      <c r="B125" s="11" t="str">
        <f aca="false">IFERROR(MATCH($A125,MASTER_DATABASE!$BL$4:$BL$1000,0),"")</f>
        <v/>
      </c>
      <c r="C125" s="11" t="str">
        <f aca="false">IF($B125="","",INDEX(MASTER_DATABASE!$A$4:$A$1000,$B125)&amp;"")</f>
        <v/>
      </c>
      <c r="D125" s="7" t="str">
        <f aca="false">IF($B125="","",INDEX(MASTER_DATABASE!$B$4:$B$1000,$B125)&amp;"")</f>
        <v/>
      </c>
      <c r="E125" s="7" t="str">
        <f aca="false">IF($B125="","",INDEX(MASTER_DATABASE!$E$4:$E$1000,$B125)&amp;"")</f>
        <v/>
      </c>
      <c r="F125" s="7" t="str">
        <f aca="false">IF($B125="","",INDEX(MASTER_DATABASE!$I$4:$I$1000,$B125)&amp;"")</f>
        <v/>
      </c>
      <c r="G125" s="7" t="str">
        <f aca="false">IF($B125="","",INDEX(MASTER_DATABASE!$L$4:$L$1000,$B125)&amp;"")</f>
        <v/>
      </c>
      <c r="H125" s="7" t="str">
        <f aca="false">IF($B125="","",INDEX(MASTER_DATABASE!$U$4:$U$1000,$B125)&amp;"")</f>
        <v/>
      </c>
      <c r="I125" s="7" t="str">
        <f aca="false">IF($B125="","",INDEX(MASTER_DATABASE!$AV$4:$AV$1000,$B125)&amp;"")</f>
        <v/>
      </c>
      <c r="J125" s="7" t="str">
        <f aca="false">IF($B125="","",INDEX(MASTER_DATABASE!$AW$4:$AW$1000,$B125)&amp;"")</f>
        <v/>
      </c>
    </row>
    <row r="126" customFormat="false" ht="15" hidden="false" customHeight="false" outlineLevel="0" collapsed="false">
      <c r="A126" s="11" t="n">
        <v>123</v>
      </c>
      <c r="B126" s="11" t="str">
        <f aca="false">IFERROR(MATCH($A126,MASTER_DATABASE!$BL$4:$BL$1000,0),"")</f>
        <v/>
      </c>
      <c r="C126" s="11" t="str">
        <f aca="false">IF($B126="","",INDEX(MASTER_DATABASE!$A$4:$A$1000,$B126)&amp;"")</f>
        <v/>
      </c>
      <c r="D126" s="7" t="str">
        <f aca="false">IF($B126="","",INDEX(MASTER_DATABASE!$B$4:$B$1000,$B126)&amp;"")</f>
        <v/>
      </c>
      <c r="E126" s="7" t="str">
        <f aca="false">IF($B126="","",INDEX(MASTER_DATABASE!$E$4:$E$1000,$B126)&amp;"")</f>
        <v/>
      </c>
      <c r="F126" s="7" t="str">
        <f aca="false">IF($B126="","",INDEX(MASTER_DATABASE!$I$4:$I$1000,$B126)&amp;"")</f>
        <v/>
      </c>
      <c r="G126" s="7" t="str">
        <f aca="false">IF($B126="","",INDEX(MASTER_DATABASE!$L$4:$L$1000,$B126)&amp;"")</f>
        <v/>
      </c>
      <c r="H126" s="7" t="str">
        <f aca="false">IF($B126="","",INDEX(MASTER_DATABASE!$U$4:$U$1000,$B126)&amp;"")</f>
        <v/>
      </c>
      <c r="I126" s="7" t="str">
        <f aca="false">IF($B126="","",INDEX(MASTER_DATABASE!$AV$4:$AV$1000,$B126)&amp;"")</f>
        <v/>
      </c>
      <c r="J126" s="7" t="str">
        <f aca="false">IF($B126="","",INDEX(MASTER_DATABASE!$AW$4:$AW$1000,$B126)&amp;"")</f>
        <v/>
      </c>
    </row>
    <row r="127" customFormat="false" ht="15" hidden="false" customHeight="false" outlineLevel="0" collapsed="false">
      <c r="A127" s="11" t="n">
        <v>124</v>
      </c>
      <c r="B127" s="11" t="str">
        <f aca="false">IFERROR(MATCH($A127,MASTER_DATABASE!$BL$4:$BL$1000,0),"")</f>
        <v/>
      </c>
      <c r="C127" s="11" t="str">
        <f aca="false">IF($B127="","",INDEX(MASTER_DATABASE!$A$4:$A$1000,$B127)&amp;"")</f>
        <v/>
      </c>
      <c r="D127" s="7" t="str">
        <f aca="false">IF($B127="","",INDEX(MASTER_DATABASE!$B$4:$B$1000,$B127)&amp;"")</f>
        <v/>
      </c>
      <c r="E127" s="7" t="str">
        <f aca="false">IF($B127="","",INDEX(MASTER_DATABASE!$E$4:$E$1000,$B127)&amp;"")</f>
        <v/>
      </c>
      <c r="F127" s="7" t="str">
        <f aca="false">IF($B127="","",INDEX(MASTER_DATABASE!$I$4:$I$1000,$B127)&amp;"")</f>
        <v/>
      </c>
      <c r="G127" s="7" t="str">
        <f aca="false">IF($B127="","",INDEX(MASTER_DATABASE!$L$4:$L$1000,$B127)&amp;"")</f>
        <v/>
      </c>
      <c r="H127" s="7" t="str">
        <f aca="false">IF($B127="","",INDEX(MASTER_DATABASE!$U$4:$U$1000,$B127)&amp;"")</f>
        <v/>
      </c>
      <c r="I127" s="7" t="str">
        <f aca="false">IF($B127="","",INDEX(MASTER_DATABASE!$AV$4:$AV$1000,$B127)&amp;"")</f>
        <v/>
      </c>
      <c r="J127" s="7" t="str">
        <f aca="false">IF($B127="","",INDEX(MASTER_DATABASE!$AW$4:$AW$1000,$B127)&amp;"")</f>
        <v/>
      </c>
    </row>
    <row r="128" customFormat="false" ht="15" hidden="false" customHeight="false" outlineLevel="0" collapsed="false">
      <c r="A128" s="11" t="n">
        <v>125</v>
      </c>
      <c r="B128" s="11" t="str">
        <f aca="false">IFERROR(MATCH($A128,MASTER_DATABASE!$BL$4:$BL$1000,0),"")</f>
        <v/>
      </c>
      <c r="C128" s="11" t="str">
        <f aca="false">IF($B128="","",INDEX(MASTER_DATABASE!$A$4:$A$1000,$B128)&amp;"")</f>
        <v/>
      </c>
      <c r="D128" s="7" t="str">
        <f aca="false">IF($B128="","",INDEX(MASTER_DATABASE!$B$4:$B$1000,$B128)&amp;"")</f>
        <v/>
      </c>
      <c r="E128" s="7" t="str">
        <f aca="false">IF($B128="","",INDEX(MASTER_DATABASE!$E$4:$E$1000,$B128)&amp;"")</f>
        <v/>
      </c>
      <c r="F128" s="7" t="str">
        <f aca="false">IF($B128="","",INDEX(MASTER_DATABASE!$I$4:$I$1000,$B128)&amp;"")</f>
        <v/>
      </c>
      <c r="G128" s="7" t="str">
        <f aca="false">IF($B128="","",INDEX(MASTER_DATABASE!$L$4:$L$1000,$B128)&amp;"")</f>
        <v/>
      </c>
      <c r="H128" s="7" t="str">
        <f aca="false">IF($B128="","",INDEX(MASTER_DATABASE!$U$4:$U$1000,$B128)&amp;"")</f>
        <v/>
      </c>
      <c r="I128" s="7" t="str">
        <f aca="false">IF($B128="","",INDEX(MASTER_DATABASE!$AV$4:$AV$1000,$B128)&amp;"")</f>
        <v/>
      </c>
      <c r="J128" s="7" t="str">
        <f aca="false">IF($B128="","",INDEX(MASTER_DATABASE!$AW$4:$AW$1000,$B128)&amp;"")</f>
        <v/>
      </c>
    </row>
    <row r="129" customFormat="false" ht="15" hidden="false" customHeight="false" outlineLevel="0" collapsed="false">
      <c r="A129" s="11" t="n">
        <v>126</v>
      </c>
      <c r="B129" s="11" t="str">
        <f aca="false">IFERROR(MATCH($A129,MASTER_DATABASE!$BL$4:$BL$1000,0),"")</f>
        <v/>
      </c>
      <c r="C129" s="11" t="str">
        <f aca="false">IF($B129="","",INDEX(MASTER_DATABASE!$A$4:$A$1000,$B129)&amp;"")</f>
        <v/>
      </c>
      <c r="D129" s="7" t="str">
        <f aca="false">IF($B129="","",INDEX(MASTER_DATABASE!$B$4:$B$1000,$B129)&amp;"")</f>
        <v/>
      </c>
      <c r="E129" s="7" t="str">
        <f aca="false">IF($B129="","",INDEX(MASTER_DATABASE!$E$4:$E$1000,$B129)&amp;"")</f>
        <v/>
      </c>
      <c r="F129" s="7" t="str">
        <f aca="false">IF($B129="","",INDEX(MASTER_DATABASE!$I$4:$I$1000,$B129)&amp;"")</f>
        <v/>
      </c>
      <c r="G129" s="7" t="str">
        <f aca="false">IF($B129="","",INDEX(MASTER_DATABASE!$L$4:$L$1000,$B129)&amp;"")</f>
        <v/>
      </c>
      <c r="H129" s="7" t="str">
        <f aca="false">IF($B129="","",INDEX(MASTER_DATABASE!$U$4:$U$1000,$B129)&amp;"")</f>
        <v/>
      </c>
      <c r="I129" s="7" t="str">
        <f aca="false">IF($B129="","",INDEX(MASTER_DATABASE!$AV$4:$AV$1000,$B129)&amp;"")</f>
        <v/>
      </c>
      <c r="J129" s="7" t="str">
        <f aca="false">IF($B129="","",INDEX(MASTER_DATABASE!$AW$4:$AW$1000,$B129)&amp;"")</f>
        <v/>
      </c>
    </row>
    <row r="130" customFormat="false" ht="15" hidden="false" customHeight="false" outlineLevel="0" collapsed="false">
      <c r="A130" s="11" t="n">
        <v>127</v>
      </c>
      <c r="B130" s="11" t="str">
        <f aca="false">IFERROR(MATCH($A130,MASTER_DATABASE!$BL$4:$BL$1000,0),"")</f>
        <v/>
      </c>
      <c r="C130" s="11" t="str">
        <f aca="false">IF($B130="","",INDEX(MASTER_DATABASE!$A$4:$A$1000,$B130)&amp;"")</f>
        <v/>
      </c>
      <c r="D130" s="7" t="str">
        <f aca="false">IF($B130="","",INDEX(MASTER_DATABASE!$B$4:$B$1000,$B130)&amp;"")</f>
        <v/>
      </c>
      <c r="E130" s="7" t="str">
        <f aca="false">IF($B130="","",INDEX(MASTER_DATABASE!$E$4:$E$1000,$B130)&amp;"")</f>
        <v/>
      </c>
      <c r="F130" s="7" t="str">
        <f aca="false">IF($B130="","",INDEX(MASTER_DATABASE!$I$4:$I$1000,$B130)&amp;"")</f>
        <v/>
      </c>
      <c r="G130" s="7" t="str">
        <f aca="false">IF($B130="","",INDEX(MASTER_DATABASE!$L$4:$L$1000,$B130)&amp;"")</f>
        <v/>
      </c>
      <c r="H130" s="7" t="str">
        <f aca="false">IF($B130="","",INDEX(MASTER_DATABASE!$U$4:$U$1000,$B130)&amp;"")</f>
        <v/>
      </c>
      <c r="I130" s="7" t="str">
        <f aca="false">IF($B130="","",INDEX(MASTER_DATABASE!$AV$4:$AV$1000,$B130)&amp;"")</f>
        <v/>
      </c>
      <c r="J130" s="7" t="str">
        <f aca="false">IF($B130="","",INDEX(MASTER_DATABASE!$AW$4:$AW$1000,$B130)&amp;"")</f>
        <v/>
      </c>
    </row>
    <row r="131" customFormat="false" ht="15" hidden="false" customHeight="false" outlineLevel="0" collapsed="false">
      <c r="A131" s="11" t="n">
        <v>128</v>
      </c>
      <c r="B131" s="11" t="str">
        <f aca="false">IFERROR(MATCH($A131,MASTER_DATABASE!$BL$4:$BL$1000,0),"")</f>
        <v/>
      </c>
      <c r="C131" s="11" t="str">
        <f aca="false">IF($B131="","",INDEX(MASTER_DATABASE!$A$4:$A$1000,$B131)&amp;"")</f>
        <v/>
      </c>
      <c r="D131" s="7" t="str">
        <f aca="false">IF($B131="","",INDEX(MASTER_DATABASE!$B$4:$B$1000,$B131)&amp;"")</f>
        <v/>
      </c>
      <c r="E131" s="7" t="str">
        <f aca="false">IF($B131="","",INDEX(MASTER_DATABASE!$E$4:$E$1000,$B131)&amp;"")</f>
        <v/>
      </c>
      <c r="F131" s="7" t="str">
        <f aca="false">IF($B131="","",INDEX(MASTER_DATABASE!$I$4:$I$1000,$B131)&amp;"")</f>
        <v/>
      </c>
      <c r="G131" s="7" t="str">
        <f aca="false">IF($B131="","",INDEX(MASTER_DATABASE!$L$4:$L$1000,$B131)&amp;"")</f>
        <v/>
      </c>
      <c r="H131" s="7" t="str">
        <f aca="false">IF($B131="","",INDEX(MASTER_DATABASE!$U$4:$U$1000,$B131)&amp;"")</f>
        <v/>
      </c>
      <c r="I131" s="7" t="str">
        <f aca="false">IF($B131="","",INDEX(MASTER_DATABASE!$AV$4:$AV$1000,$B131)&amp;"")</f>
        <v/>
      </c>
      <c r="J131" s="7" t="str">
        <f aca="false">IF($B131="","",INDEX(MASTER_DATABASE!$AW$4:$AW$1000,$B131)&amp;"")</f>
        <v/>
      </c>
    </row>
    <row r="132" customFormat="false" ht="15" hidden="false" customHeight="false" outlineLevel="0" collapsed="false">
      <c r="A132" s="11" t="n">
        <v>129</v>
      </c>
      <c r="B132" s="11" t="str">
        <f aca="false">IFERROR(MATCH($A132,MASTER_DATABASE!$BL$4:$BL$1000,0),"")</f>
        <v/>
      </c>
      <c r="C132" s="11" t="str">
        <f aca="false">IF($B132="","",INDEX(MASTER_DATABASE!$A$4:$A$1000,$B132)&amp;"")</f>
        <v/>
      </c>
      <c r="D132" s="7" t="str">
        <f aca="false">IF($B132="","",INDEX(MASTER_DATABASE!$B$4:$B$1000,$B132)&amp;"")</f>
        <v/>
      </c>
      <c r="E132" s="7" t="str">
        <f aca="false">IF($B132="","",INDEX(MASTER_DATABASE!$E$4:$E$1000,$B132)&amp;"")</f>
        <v/>
      </c>
      <c r="F132" s="7" t="str">
        <f aca="false">IF($B132="","",INDEX(MASTER_DATABASE!$I$4:$I$1000,$B132)&amp;"")</f>
        <v/>
      </c>
      <c r="G132" s="7" t="str">
        <f aca="false">IF($B132="","",INDEX(MASTER_DATABASE!$L$4:$L$1000,$B132)&amp;"")</f>
        <v/>
      </c>
      <c r="H132" s="7" t="str">
        <f aca="false">IF($B132="","",INDEX(MASTER_DATABASE!$U$4:$U$1000,$B132)&amp;"")</f>
        <v/>
      </c>
      <c r="I132" s="7" t="str">
        <f aca="false">IF($B132="","",INDEX(MASTER_DATABASE!$AV$4:$AV$1000,$B132)&amp;"")</f>
        <v/>
      </c>
      <c r="J132" s="7" t="str">
        <f aca="false">IF($B132="","",INDEX(MASTER_DATABASE!$AW$4:$AW$1000,$B132)&amp;"")</f>
        <v/>
      </c>
    </row>
    <row r="133" customFormat="false" ht="15" hidden="false" customHeight="false" outlineLevel="0" collapsed="false">
      <c r="A133" s="11" t="n">
        <v>130</v>
      </c>
      <c r="B133" s="11" t="str">
        <f aca="false">IFERROR(MATCH($A133,MASTER_DATABASE!$BL$4:$BL$1000,0),"")</f>
        <v/>
      </c>
      <c r="C133" s="11" t="str">
        <f aca="false">IF($B133="","",INDEX(MASTER_DATABASE!$A$4:$A$1000,$B133)&amp;"")</f>
        <v/>
      </c>
      <c r="D133" s="7" t="str">
        <f aca="false">IF($B133="","",INDEX(MASTER_DATABASE!$B$4:$B$1000,$B133)&amp;"")</f>
        <v/>
      </c>
      <c r="E133" s="7" t="str">
        <f aca="false">IF($B133="","",INDEX(MASTER_DATABASE!$E$4:$E$1000,$B133)&amp;"")</f>
        <v/>
      </c>
      <c r="F133" s="7" t="str">
        <f aca="false">IF($B133="","",INDEX(MASTER_DATABASE!$I$4:$I$1000,$B133)&amp;"")</f>
        <v/>
      </c>
      <c r="G133" s="7" t="str">
        <f aca="false">IF($B133="","",INDEX(MASTER_DATABASE!$L$4:$L$1000,$B133)&amp;"")</f>
        <v/>
      </c>
      <c r="H133" s="7" t="str">
        <f aca="false">IF($B133="","",INDEX(MASTER_DATABASE!$U$4:$U$1000,$B133)&amp;"")</f>
        <v/>
      </c>
      <c r="I133" s="7" t="str">
        <f aca="false">IF($B133="","",INDEX(MASTER_DATABASE!$AV$4:$AV$1000,$B133)&amp;"")</f>
        <v/>
      </c>
      <c r="J133" s="7" t="str">
        <f aca="false">IF($B133="","",INDEX(MASTER_DATABASE!$AW$4:$AW$1000,$B133)&amp;"")</f>
        <v/>
      </c>
    </row>
    <row r="134" customFormat="false" ht="15" hidden="false" customHeight="false" outlineLevel="0" collapsed="false">
      <c r="A134" s="11" t="n">
        <v>131</v>
      </c>
      <c r="B134" s="11" t="str">
        <f aca="false">IFERROR(MATCH($A134,MASTER_DATABASE!$BL$4:$BL$1000,0),"")</f>
        <v/>
      </c>
      <c r="C134" s="11" t="str">
        <f aca="false">IF($B134="","",INDEX(MASTER_DATABASE!$A$4:$A$1000,$B134)&amp;"")</f>
        <v/>
      </c>
      <c r="D134" s="7" t="str">
        <f aca="false">IF($B134="","",INDEX(MASTER_DATABASE!$B$4:$B$1000,$B134)&amp;"")</f>
        <v/>
      </c>
      <c r="E134" s="7" t="str">
        <f aca="false">IF($B134="","",INDEX(MASTER_DATABASE!$E$4:$E$1000,$B134)&amp;"")</f>
        <v/>
      </c>
      <c r="F134" s="7" t="str">
        <f aca="false">IF($B134="","",INDEX(MASTER_DATABASE!$I$4:$I$1000,$B134)&amp;"")</f>
        <v/>
      </c>
      <c r="G134" s="7" t="str">
        <f aca="false">IF($B134="","",INDEX(MASTER_DATABASE!$L$4:$L$1000,$B134)&amp;"")</f>
        <v/>
      </c>
      <c r="H134" s="7" t="str">
        <f aca="false">IF($B134="","",INDEX(MASTER_DATABASE!$U$4:$U$1000,$B134)&amp;"")</f>
        <v/>
      </c>
      <c r="I134" s="7" t="str">
        <f aca="false">IF($B134="","",INDEX(MASTER_DATABASE!$AV$4:$AV$1000,$B134)&amp;"")</f>
        <v/>
      </c>
      <c r="J134" s="7" t="str">
        <f aca="false">IF($B134="","",INDEX(MASTER_DATABASE!$AW$4:$AW$1000,$B134)&amp;"")</f>
        <v/>
      </c>
    </row>
    <row r="135" customFormat="false" ht="15" hidden="false" customHeight="false" outlineLevel="0" collapsed="false">
      <c r="A135" s="11" t="n">
        <v>132</v>
      </c>
      <c r="B135" s="11" t="str">
        <f aca="false">IFERROR(MATCH($A135,MASTER_DATABASE!$BL$4:$BL$1000,0),"")</f>
        <v/>
      </c>
      <c r="C135" s="11" t="str">
        <f aca="false">IF($B135="","",INDEX(MASTER_DATABASE!$A$4:$A$1000,$B135)&amp;"")</f>
        <v/>
      </c>
      <c r="D135" s="7" t="str">
        <f aca="false">IF($B135="","",INDEX(MASTER_DATABASE!$B$4:$B$1000,$B135)&amp;"")</f>
        <v/>
      </c>
      <c r="E135" s="7" t="str">
        <f aca="false">IF($B135="","",INDEX(MASTER_DATABASE!$E$4:$E$1000,$B135)&amp;"")</f>
        <v/>
      </c>
      <c r="F135" s="7" t="str">
        <f aca="false">IF($B135="","",INDEX(MASTER_DATABASE!$I$4:$I$1000,$B135)&amp;"")</f>
        <v/>
      </c>
      <c r="G135" s="7" t="str">
        <f aca="false">IF($B135="","",INDEX(MASTER_DATABASE!$L$4:$L$1000,$B135)&amp;"")</f>
        <v/>
      </c>
      <c r="H135" s="7" t="str">
        <f aca="false">IF($B135="","",INDEX(MASTER_DATABASE!$U$4:$U$1000,$B135)&amp;"")</f>
        <v/>
      </c>
      <c r="I135" s="7" t="str">
        <f aca="false">IF($B135="","",INDEX(MASTER_DATABASE!$AV$4:$AV$1000,$B135)&amp;"")</f>
        <v/>
      </c>
      <c r="J135" s="7" t="str">
        <f aca="false">IF($B135="","",INDEX(MASTER_DATABASE!$AW$4:$AW$1000,$B135)&amp;"")</f>
        <v/>
      </c>
    </row>
    <row r="136" customFormat="false" ht="15" hidden="false" customHeight="false" outlineLevel="0" collapsed="false">
      <c r="A136" s="11" t="n">
        <v>133</v>
      </c>
      <c r="B136" s="11" t="str">
        <f aca="false">IFERROR(MATCH($A136,MASTER_DATABASE!$BL$4:$BL$1000,0),"")</f>
        <v/>
      </c>
      <c r="C136" s="11" t="str">
        <f aca="false">IF($B136="","",INDEX(MASTER_DATABASE!$A$4:$A$1000,$B136)&amp;"")</f>
        <v/>
      </c>
      <c r="D136" s="7" t="str">
        <f aca="false">IF($B136="","",INDEX(MASTER_DATABASE!$B$4:$B$1000,$B136)&amp;"")</f>
        <v/>
      </c>
      <c r="E136" s="7" t="str">
        <f aca="false">IF($B136="","",INDEX(MASTER_DATABASE!$E$4:$E$1000,$B136)&amp;"")</f>
        <v/>
      </c>
      <c r="F136" s="7" t="str">
        <f aca="false">IF($B136="","",INDEX(MASTER_DATABASE!$I$4:$I$1000,$B136)&amp;"")</f>
        <v/>
      </c>
      <c r="G136" s="7" t="str">
        <f aca="false">IF($B136="","",INDEX(MASTER_DATABASE!$L$4:$L$1000,$B136)&amp;"")</f>
        <v/>
      </c>
      <c r="H136" s="7" t="str">
        <f aca="false">IF($B136="","",INDEX(MASTER_DATABASE!$U$4:$U$1000,$B136)&amp;"")</f>
        <v/>
      </c>
      <c r="I136" s="7" t="str">
        <f aca="false">IF($B136="","",INDEX(MASTER_DATABASE!$AV$4:$AV$1000,$B136)&amp;"")</f>
        <v/>
      </c>
      <c r="J136" s="7" t="str">
        <f aca="false">IF($B136="","",INDEX(MASTER_DATABASE!$AW$4:$AW$1000,$B136)&amp;"")</f>
        <v/>
      </c>
    </row>
    <row r="137" customFormat="false" ht="15" hidden="false" customHeight="false" outlineLevel="0" collapsed="false">
      <c r="A137" s="11" t="n">
        <v>134</v>
      </c>
      <c r="B137" s="11" t="str">
        <f aca="false">IFERROR(MATCH($A137,MASTER_DATABASE!$BL$4:$BL$1000,0),"")</f>
        <v/>
      </c>
      <c r="C137" s="11" t="str">
        <f aca="false">IF($B137="","",INDEX(MASTER_DATABASE!$A$4:$A$1000,$B137)&amp;"")</f>
        <v/>
      </c>
      <c r="D137" s="7" t="str">
        <f aca="false">IF($B137="","",INDEX(MASTER_DATABASE!$B$4:$B$1000,$B137)&amp;"")</f>
        <v/>
      </c>
      <c r="E137" s="7" t="str">
        <f aca="false">IF($B137="","",INDEX(MASTER_DATABASE!$E$4:$E$1000,$B137)&amp;"")</f>
        <v/>
      </c>
      <c r="F137" s="7" t="str">
        <f aca="false">IF($B137="","",INDEX(MASTER_DATABASE!$I$4:$I$1000,$B137)&amp;"")</f>
        <v/>
      </c>
      <c r="G137" s="7" t="str">
        <f aca="false">IF($B137="","",INDEX(MASTER_DATABASE!$L$4:$L$1000,$B137)&amp;"")</f>
        <v/>
      </c>
      <c r="H137" s="7" t="str">
        <f aca="false">IF($B137="","",INDEX(MASTER_DATABASE!$U$4:$U$1000,$B137)&amp;"")</f>
        <v/>
      </c>
      <c r="I137" s="7" t="str">
        <f aca="false">IF($B137="","",INDEX(MASTER_DATABASE!$AV$4:$AV$1000,$B137)&amp;"")</f>
        <v/>
      </c>
      <c r="J137" s="7" t="str">
        <f aca="false">IF($B137="","",INDEX(MASTER_DATABASE!$AW$4:$AW$1000,$B137)&amp;"")</f>
        <v/>
      </c>
    </row>
    <row r="138" customFormat="false" ht="15" hidden="false" customHeight="false" outlineLevel="0" collapsed="false">
      <c r="A138" s="11" t="n">
        <v>135</v>
      </c>
      <c r="B138" s="11" t="str">
        <f aca="false">IFERROR(MATCH($A138,MASTER_DATABASE!$BL$4:$BL$1000,0),"")</f>
        <v/>
      </c>
      <c r="C138" s="11" t="str">
        <f aca="false">IF($B138="","",INDEX(MASTER_DATABASE!$A$4:$A$1000,$B138)&amp;"")</f>
        <v/>
      </c>
      <c r="D138" s="7" t="str">
        <f aca="false">IF($B138="","",INDEX(MASTER_DATABASE!$B$4:$B$1000,$B138)&amp;"")</f>
        <v/>
      </c>
      <c r="E138" s="7" t="str">
        <f aca="false">IF($B138="","",INDEX(MASTER_DATABASE!$E$4:$E$1000,$B138)&amp;"")</f>
        <v/>
      </c>
      <c r="F138" s="7" t="str">
        <f aca="false">IF($B138="","",INDEX(MASTER_DATABASE!$I$4:$I$1000,$B138)&amp;"")</f>
        <v/>
      </c>
      <c r="G138" s="7" t="str">
        <f aca="false">IF($B138="","",INDEX(MASTER_DATABASE!$L$4:$L$1000,$B138)&amp;"")</f>
        <v/>
      </c>
      <c r="H138" s="7" t="str">
        <f aca="false">IF($B138="","",INDEX(MASTER_DATABASE!$U$4:$U$1000,$B138)&amp;"")</f>
        <v/>
      </c>
      <c r="I138" s="7" t="str">
        <f aca="false">IF($B138="","",INDEX(MASTER_DATABASE!$AV$4:$AV$1000,$B138)&amp;"")</f>
        <v/>
      </c>
      <c r="J138" s="7" t="str">
        <f aca="false">IF($B138="","",INDEX(MASTER_DATABASE!$AW$4:$AW$1000,$B138)&amp;"")</f>
        <v/>
      </c>
    </row>
    <row r="139" customFormat="false" ht="15" hidden="false" customHeight="false" outlineLevel="0" collapsed="false">
      <c r="A139" s="11" t="n">
        <v>136</v>
      </c>
      <c r="B139" s="11" t="str">
        <f aca="false">IFERROR(MATCH($A139,MASTER_DATABASE!$BL$4:$BL$1000,0),"")</f>
        <v/>
      </c>
      <c r="C139" s="11" t="str">
        <f aca="false">IF($B139="","",INDEX(MASTER_DATABASE!$A$4:$A$1000,$B139)&amp;"")</f>
        <v/>
      </c>
      <c r="D139" s="7" t="str">
        <f aca="false">IF($B139="","",INDEX(MASTER_DATABASE!$B$4:$B$1000,$B139)&amp;"")</f>
        <v/>
      </c>
      <c r="E139" s="7" t="str">
        <f aca="false">IF($B139="","",INDEX(MASTER_DATABASE!$E$4:$E$1000,$B139)&amp;"")</f>
        <v/>
      </c>
      <c r="F139" s="7" t="str">
        <f aca="false">IF($B139="","",INDEX(MASTER_DATABASE!$I$4:$I$1000,$B139)&amp;"")</f>
        <v/>
      </c>
      <c r="G139" s="7" t="str">
        <f aca="false">IF($B139="","",INDEX(MASTER_DATABASE!$L$4:$L$1000,$B139)&amp;"")</f>
        <v/>
      </c>
      <c r="H139" s="7" t="str">
        <f aca="false">IF($B139="","",INDEX(MASTER_DATABASE!$U$4:$U$1000,$B139)&amp;"")</f>
        <v/>
      </c>
      <c r="I139" s="7" t="str">
        <f aca="false">IF($B139="","",INDEX(MASTER_DATABASE!$AV$4:$AV$1000,$B139)&amp;"")</f>
        <v/>
      </c>
      <c r="J139" s="7" t="str">
        <f aca="false">IF($B139="","",INDEX(MASTER_DATABASE!$AW$4:$AW$1000,$B139)&amp;"")</f>
        <v/>
      </c>
    </row>
    <row r="140" customFormat="false" ht="15" hidden="false" customHeight="false" outlineLevel="0" collapsed="false">
      <c r="A140" s="11" t="n">
        <v>137</v>
      </c>
      <c r="B140" s="11" t="str">
        <f aca="false">IFERROR(MATCH($A140,MASTER_DATABASE!$BL$4:$BL$1000,0),"")</f>
        <v/>
      </c>
      <c r="C140" s="11" t="str">
        <f aca="false">IF($B140="","",INDEX(MASTER_DATABASE!$A$4:$A$1000,$B140)&amp;"")</f>
        <v/>
      </c>
      <c r="D140" s="7" t="str">
        <f aca="false">IF($B140="","",INDEX(MASTER_DATABASE!$B$4:$B$1000,$B140)&amp;"")</f>
        <v/>
      </c>
      <c r="E140" s="7" t="str">
        <f aca="false">IF($B140="","",INDEX(MASTER_DATABASE!$E$4:$E$1000,$B140)&amp;"")</f>
        <v/>
      </c>
      <c r="F140" s="7" t="str">
        <f aca="false">IF($B140="","",INDEX(MASTER_DATABASE!$I$4:$I$1000,$B140)&amp;"")</f>
        <v/>
      </c>
      <c r="G140" s="7" t="str">
        <f aca="false">IF($B140="","",INDEX(MASTER_DATABASE!$L$4:$L$1000,$B140)&amp;"")</f>
        <v/>
      </c>
      <c r="H140" s="7" t="str">
        <f aca="false">IF($B140="","",INDEX(MASTER_DATABASE!$U$4:$U$1000,$B140)&amp;"")</f>
        <v/>
      </c>
      <c r="I140" s="7" t="str">
        <f aca="false">IF($B140="","",INDEX(MASTER_DATABASE!$AV$4:$AV$1000,$B140)&amp;"")</f>
        <v/>
      </c>
      <c r="J140" s="7" t="str">
        <f aca="false">IF($B140="","",INDEX(MASTER_DATABASE!$AW$4:$AW$1000,$B140)&amp;"")</f>
        <v/>
      </c>
    </row>
    <row r="141" customFormat="false" ht="15" hidden="false" customHeight="false" outlineLevel="0" collapsed="false">
      <c r="A141" s="11" t="n">
        <v>138</v>
      </c>
      <c r="B141" s="11" t="str">
        <f aca="false">IFERROR(MATCH($A141,MASTER_DATABASE!$BL$4:$BL$1000,0),"")</f>
        <v/>
      </c>
      <c r="C141" s="11" t="str">
        <f aca="false">IF($B141="","",INDEX(MASTER_DATABASE!$A$4:$A$1000,$B141)&amp;"")</f>
        <v/>
      </c>
      <c r="D141" s="7" t="str">
        <f aca="false">IF($B141="","",INDEX(MASTER_DATABASE!$B$4:$B$1000,$B141)&amp;"")</f>
        <v/>
      </c>
      <c r="E141" s="7" t="str">
        <f aca="false">IF($B141="","",INDEX(MASTER_DATABASE!$E$4:$E$1000,$B141)&amp;"")</f>
        <v/>
      </c>
      <c r="F141" s="7" t="str">
        <f aca="false">IF($B141="","",INDEX(MASTER_DATABASE!$I$4:$I$1000,$B141)&amp;"")</f>
        <v/>
      </c>
      <c r="G141" s="7" t="str">
        <f aca="false">IF($B141="","",INDEX(MASTER_DATABASE!$L$4:$L$1000,$B141)&amp;"")</f>
        <v/>
      </c>
      <c r="H141" s="7" t="str">
        <f aca="false">IF($B141="","",INDEX(MASTER_DATABASE!$U$4:$U$1000,$B141)&amp;"")</f>
        <v/>
      </c>
      <c r="I141" s="7" t="str">
        <f aca="false">IF($B141="","",INDEX(MASTER_DATABASE!$AV$4:$AV$1000,$B141)&amp;"")</f>
        <v/>
      </c>
      <c r="J141" s="7" t="str">
        <f aca="false">IF($B141="","",INDEX(MASTER_DATABASE!$AW$4:$AW$1000,$B141)&amp;"")</f>
        <v/>
      </c>
    </row>
    <row r="142" customFormat="false" ht="15" hidden="false" customHeight="false" outlineLevel="0" collapsed="false">
      <c r="A142" s="11" t="n">
        <v>139</v>
      </c>
      <c r="B142" s="11" t="str">
        <f aca="false">IFERROR(MATCH($A142,MASTER_DATABASE!$BL$4:$BL$1000,0),"")</f>
        <v/>
      </c>
      <c r="C142" s="11" t="str">
        <f aca="false">IF($B142="","",INDEX(MASTER_DATABASE!$A$4:$A$1000,$B142)&amp;"")</f>
        <v/>
      </c>
      <c r="D142" s="7" t="str">
        <f aca="false">IF($B142="","",INDEX(MASTER_DATABASE!$B$4:$B$1000,$B142)&amp;"")</f>
        <v/>
      </c>
      <c r="E142" s="7" t="str">
        <f aca="false">IF($B142="","",INDEX(MASTER_DATABASE!$E$4:$E$1000,$B142)&amp;"")</f>
        <v/>
      </c>
      <c r="F142" s="7" t="str">
        <f aca="false">IF($B142="","",INDEX(MASTER_DATABASE!$I$4:$I$1000,$B142)&amp;"")</f>
        <v/>
      </c>
      <c r="G142" s="7" t="str">
        <f aca="false">IF($B142="","",INDEX(MASTER_DATABASE!$L$4:$L$1000,$B142)&amp;"")</f>
        <v/>
      </c>
      <c r="H142" s="7" t="str">
        <f aca="false">IF($B142="","",INDEX(MASTER_DATABASE!$U$4:$U$1000,$B142)&amp;"")</f>
        <v/>
      </c>
      <c r="I142" s="7" t="str">
        <f aca="false">IF($B142="","",INDEX(MASTER_DATABASE!$AV$4:$AV$1000,$B142)&amp;"")</f>
        <v/>
      </c>
      <c r="J142" s="7" t="str">
        <f aca="false">IF($B142="","",INDEX(MASTER_DATABASE!$AW$4:$AW$1000,$B142)&amp;"")</f>
        <v/>
      </c>
    </row>
    <row r="143" customFormat="false" ht="15" hidden="false" customHeight="false" outlineLevel="0" collapsed="false">
      <c r="A143" s="11" t="n">
        <v>140</v>
      </c>
      <c r="B143" s="11" t="str">
        <f aca="false">IFERROR(MATCH($A143,MASTER_DATABASE!$BL$4:$BL$1000,0),"")</f>
        <v/>
      </c>
      <c r="C143" s="11" t="str">
        <f aca="false">IF($B143="","",INDEX(MASTER_DATABASE!$A$4:$A$1000,$B143)&amp;"")</f>
        <v/>
      </c>
      <c r="D143" s="7" t="str">
        <f aca="false">IF($B143="","",INDEX(MASTER_DATABASE!$B$4:$B$1000,$B143)&amp;"")</f>
        <v/>
      </c>
      <c r="E143" s="7" t="str">
        <f aca="false">IF($B143="","",INDEX(MASTER_DATABASE!$E$4:$E$1000,$B143)&amp;"")</f>
        <v/>
      </c>
      <c r="F143" s="7" t="str">
        <f aca="false">IF($B143="","",INDEX(MASTER_DATABASE!$I$4:$I$1000,$B143)&amp;"")</f>
        <v/>
      </c>
      <c r="G143" s="7" t="str">
        <f aca="false">IF($B143="","",INDEX(MASTER_DATABASE!$L$4:$L$1000,$B143)&amp;"")</f>
        <v/>
      </c>
      <c r="H143" s="7" t="str">
        <f aca="false">IF($B143="","",INDEX(MASTER_DATABASE!$U$4:$U$1000,$B143)&amp;"")</f>
        <v/>
      </c>
      <c r="I143" s="7" t="str">
        <f aca="false">IF($B143="","",INDEX(MASTER_DATABASE!$AV$4:$AV$1000,$B143)&amp;"")</f>
        <v/>
      </c>
      <c r="J143" s="7" t="str">
        <f aca="false">IF($B143="","",INDEX(MASTER_DATABASE!$AW$4:$AW$1000,$B143)&amp;"")</f>
        <v/>
      </c>
    </row>
    <row r="144" customFormat="false" ht="15" hidden="false" customHeight="false" outlineLevel="0" collapsed="false">
      <c r="A144" s="11" t="n">
        <v>141</v>
      </c>
      <c r="B144" s="11" t="str">
        <f aca="false">IFERROR(MATCH($A144,MASTER_DATABASE!$BL$4:$BL$1000,0),"")</f>
        <v/>
      </c>
      <c r="C144" s="11" t="str">
        <f aca="false">IF($B144="","",INDEX(MASTER_DATABASE!$A$4:$A$1000,$B144)&amp;"")</f>
        <v/>
      </c>
      <c r="D144" s="7" t="str">
        <f aca="false">IF($B144="","",INDEX(MASTER_DATABASE!$B$4:$B$1000,$B144)&amp;"")</f>
        <v/>
      </c>
      <c r="E144" s="7" t="str">
        <f aca="false">IF($B144="","",INDEX(MASTER_DATABASE!$E$4:$E$1000,$B144)&amp;"")</f>
        <v/>
      </c>
      <c r="F144" s="7" t="str">
        <f aca="false">IF($B144="","",INDEX(MASTER_DATABASE!$I$4:$I$1000,$B144)&amp;"")</f>
        <v/>
      </c>
      <c r="G144" s="7" t="str">
        <f aca="false">IF($B144="","",INDEX(MASTER_DATABASE!$L$4:$L$1000,$B144)&amp;"")</f>
        <v/>
      </c>
      <c r="H144" s="7" t="str">
        <f aca="false">IF($B144="","",INDEX(MASTER_DATABASE!$U$4:$U$1000,$B144)&amp;"")</f>
        <v/>
      </c>
      <c r="I144" s="7" t="str">
        <f aca="false">IF($B144="","",INDEX(MASTER_DATABASE!$AV$4:$AV$1000,$B144)&amp;"")</f>
        <v/>
      </c>
      <c r="J144" s="7" t="str">
        <f aca="false">IF($B144="","",INDEX(MASTER_DATABASE!$AW$4:$AW$1000,$B144)&amp;"")</f>
        <v/>
      </c>
    </row>
    <row r="145" customFormat="false" ht="15" hidden="false" customHeight="false" outlineLevel="0" collapsed="false">
      <c r="A145" s="11" t="n">
        <v>142</v>
      </c>
      <c r="B145" s="11" t="str">
        <f aca="false">IFERROR(MATCH($A145,MASTER_DATABASE!$BL$4:$BL$1000,0),"")</f>
        <v/>
      </c>
      <c r="C145" s="11" t="str">
        <f aca="false">IF($B145="","",INDEX(MASTER_DATABASE!$A$4:$A$1000,$B145)&amp;"")</f>
        <v/>
      </c>
      <c r="D145" s="7" t="str">
        <f aca="false">IF($B145="","",INDEX(MASTER_DATABASE!$B$4:$B$1000,$B145)&amp;"")</f>
        <v/>
      </c>
      <c r="E145" s="7" t="str">
        <f aca="false">IF($B145="","",INDEX(MASTER_DATABASE!$E$4:$E$1000,$B145)&amp;"")</f>
        <v/>
      </c>
      <c r="F145" s="7" t="str">
        <f aca="false">IF($B145="","",INDEX(MASTER_DATABASE!$I$4:$I$1000,$B145)&amp;"")</f>
        <v/>
      </c>
      <c r="G145" s="7" t="str">
        <f aca="false">IF($B145="","",INDEX(MASTER_DATABASE!$L$4:$L$1000,$B145)&amp;"")</f>
        <v/>
      </c>
      <c r="H145" s="7" t="str">
        <f aca="false">IF($B145="","",INDEX(MASTER_DATABASE!$U$4:$U$1000,$B145)&amp;"")</f>
        <v/>
      </c>
      <c r="I145" s="7" t="str">
        <f aca="false">IF($B145="","",INDEX(MASTER_DATABASE!$AV$4:$AV$1000,$B145)&amp;"")</f>
        <v/>
      </c>
      <c r="J145" s="7" t="str">
        <f aca="false">IF($B145="","",INDEX(MASTER_DATABASE!$AW$4:$AW$1000,$B145)&amp;"")</f>
        <v/>
      </c>
    </row>
    <row r="146" customFormat="false" ht="15" hidden="false" customHeight="false" outlineLevel="0" collapsed="false">
      <c r="A146" s="11" t="n">
        <v>143</v>
      </c>
      <c r="B146" s="11" t="str">
        <f aca="false">IFERROR(MATCH($A146,MASTER_DATABASE!$BL$4:$BL$1000,0),"")</f>
        <v/>
      </c>
      <c r="C146" s="11" t="str">
        <f aca="false">IF($B146="","",INDEX(MASTER_DATABASE!$A$4:$A$1000,$B146)&amp;"")</f>
        <v/>
      </c>
      <c r="D146" s="7" t="str">
        <f aca="false">IF($B146="","",INDEX(MASTER_DATABASE!$B$4:$B$1000,$B146)&amp;"")</f>
        <v/>
      </c>
      <c r="E146" s="7" t="str">
        <f aca="false">IF($B146="","",INDEX(MASTER_DATABASE!$E$4:$E$1000,$B146)&amp;"")</f>
        <v/>
      </c>
      <c r="F146" s="7" t="str">
        <f aca="false">IF($B146="","",INDEX(MASTER_DATABASE!$I$4:$I$1000,$B146)&amp;"")</f>
        <v/>
      </c>
      <c r="G146" s="7" t="str">
        <f aca="false">IF($B146="","",INDEX(MASTER_DATABASE!$L$4:$L$1000,$B146)&amp;"")</f>
        <v/>
      </c>
      <c r="H146" s="7" t="str">
        <f aca="false">IF($B146="","",INDEX(MASTER_DATABASE!$U$4:$U$1000,$B146)&amp;"")</f>
        <v/>
      </c>
      <c r="I146" s="7" t="str">
        <f aca="false">IF($B146="","",INDEX(MASTER_DATABASE!$AV$4:$AV$1000,$B146)&amp;"")</f>
        <v/>
      </c>
      <c r="J146" s="7" t="str">
        <f aca="false">IF($B146="","",INDEX(MASTER_DATABASE!$AW$4:$AW$1000,$B146)&amp;"")</f>
        <v/>
      </c>
    </row>
    <row r="147" customFormat="false" ht="15" hidden="false" customHeight="false" outlineLevel="0" collapsed="false">
      <c r="A147" s="11" t="n">
        <v>144</v>
      </c>
      <c r="B147" s="11" t="str">
        <f aca="false">IFERROR(MATCH($A147,MASTER_DATABASE!$BL$4:$BL$1000,0),"")</f>
        <v/>
      </c>
      <c r="C147" s="11" t="str">
        <f aca="false">IF($B147="","",INDEX(MASTER_DATABASE!$A$4:$A$1000,$B147)&amp;"")</f>
        <v/>
      </c>
      <c r="D147" s="7" t="str">
        <f aca="false">IF($B147="","",INDEX(MASTER_DATABASE!$B$4:$B$1000,$B147)&amp;"")</f>
        <v/>
      </c>
      <c r="E147" s="7" t="str">
        <f aca="false">IF($B147="","",INDEX(MASTER_DATABASE!$E$4:$E$1000,$B147)&amp;"")</f>
        <v/>
      </c>
      <c r="F147" s="7" t="str">
        <f aca="false">IF($B147="","",INDEX(MASTER_DATABASE!$I$4:$I$1000,$B147)&amp;"")</f>
        <v/>
      </c>
      <c r="G147" s="7" t="str">
        <f aca="false">IF($B147="","",INDEX(MASTER_DATABASE!$L$4:$L$1000,$B147)&amp;"")</f>
        <v/>
      </c>
      <c r="H147" s="7" t="str">
        <f aca="false">IF($B147="","",INDEX(MASTER_DATABASE!$U$4:$U$1000,$B147)&amp;"")</f>
        <v/>
      </c>
      <c r="I147" s="7" t="str">
        <f aca="false">IF($B147="","",INDEX(MASTER_DATABASE!$AV$4:$AV$1000,$B147)&amp;"")</f>
        <v/>
      </c>
      <c r="J147" s="7" t="str">
        <f aca="false">IF($B147="","",INDEX(MASTER_DATABASE!$AW$4:$AW$1000,$B147)&amp;"")</f>
        <v/>
      </c>
    </row>
    <row r="148" customFormat="false" ht="15" hidden="false" customHeight="false" outlineLevel="0" collapsed="false">
      <c r="A148" s="11" t="n">
        <v>145</v>
      </c>
      <c r="B148" s="11" t="str">
        <f aca="false">IFERROR(MATCH($A148,MASTER_DATABASE!$BL$4:$BL$1000,0),"")</f>
        <v/>
      </c>
      <c r="C148" s="11" t="str">
        <f aca="false">IF($B148="","",INDEX(MASTER_DATABASE!$A$4:$A$1000,$B148)&amp;"")</f>
        <v/>
      </c>
      <c r="D148" s="7" t="str">
        <f aca="false">IF($B148="","",INDEX(MASTER_DATABASE!$B$4:$B$1000,$B148)&amp;"")</f>
        <v/>
      </c>
      <c r="E148" s="7" t="str">
        <f aca="false">IF($B148="","",INDEX(MASTER_DATABASE!$E$4:$E$1000,$B148)&amp;"")</f>
        <v/>
      </c>
      <c r="F148" s="7" t="str">
        <f aca="false">IF($B148="","",INDEX(MASTER_DATABASE!$I$4:$I$1000,$B148)&amp;"")</f>
        <v/>
      </c>
      <c r="G148" s="7" t="str">
        <f aca="false">IF($B148="","",INDEX(MASTER_DATABASE!$L$4:$L$1000,$B148)&amp;"")</f>
        <v/>
      </c>
      <c r="H148" s="7" t="str">
        <f aca="false">IF($B148="","",INDEX(MASTER_DATABASE!$U$4:$U$1000,$B148)&amp;"")</f>
        <v/>
      </c>
      <c r="I148" s="7" t="str">
        <f aca="false">IF($B148="","",INDEX(MASTER_DATABASE!$AV$4:$AV$1000,$B148)&amp;"")</f>
        <v/>
      </c>
      <c r="J148" s="7" t="str">
        <f aca="false">IF($B148="","",INDEX(MASTER_DATABASE!$AW$4:$AW$1000,$B148)&amp;"")</f>
        <v/>
      </c>
    </row>
    <row r="149" customFormat="false" ht="15" hidden="false" customHeight="false" outlineLevel="0" collapsed="false">
      <c r="A149" s="11" t="n">
        <v>146</v>
      </c>
      <c r="B149" s="11" t="str">
        <f aca="false">IFERROR(MATCH($A149,MASTER_DATABASE!$BL$4:$BL$1000,0),"")</f>
        <v/>
      </c>
      <c r="C149" s="11" t="str">
        <f aca="false">IF($B149="","",INDEX(MASTER_DATABASE!$A$4:$A$1000,$B149)&amp;"")</f>
        <v/>
      </c>
      <c r="D149" s="7" t="str">
        <f aca="false">IF($B149="","",INDEX(MASTER_DATABASE!$B$4:$B$1000,$B149)&amp;"")</f>
        <v/>
      </c>
      <c r="E149" s="7" t="str">
        <f aca="false">IF($B149="","",INDEX(MASTER_DATABASE!$E$4:$E$1000,$B149)&amp;"")</f>
        <v/>
      </c>
      <c r="F149" s="7" t="str">
        <f aca="false">IF($B149="","",INDEX(MASTER_DATABASE!$I$4:$I$1000,$B149)&amp;"")</f>
        <v/>
      </c>
      <c r="G149" s="7" t="str">
        <f aca="false">IF($B149="","",INDEX(MASTER_DATABASE!$L$4:$L$1000,$B149)&amp;"")</f>
        <v/>
      </c>
      <c r="H149" s="7" t="str">
        <f aca="false">IF($B149="","",INDEX(MASTER_DATABASE!$U$4:$U$1000,$B149)&amp;"")</f>
        <v/>
      </c>
      <c r="I149" s="7" t="str">
        <f aca="false">IF($B149="","",INDEX(MASTER_DATABASE!$AV$4:$AV$1000,$B149)&amp;"")</f>
        <v/>
      </c>
      <c r="J149" s="7" t="str">
        <f aca="false">IF($B149="","",INDEX(MASTER_DATABASE!$AW$4:$AW$1000,$B149)&amp;"")</f>
        <v/>
      </c>
    </row>
    <row r="150" customFormat="false" ht="15" hidden="false" customHeight="false" outlineLevel="0" collapsed="false">
      <c r="A150" s="11" t="n">
        <v>147</v>
      </c>
      <c r="B150" s="11" t="str">
        <f aca="false">IFERROR(MATCH($A150,MASTER_DATABASE!$BL$4:$BL$1000,0),"")</f>
        <v/>
      </c>
      <c r="C150" s="11" t="str">
        <f aca="false">IF($B150="","",INDEX(MASTER_DATABASE!$A$4:$A$1000,$B150)&amp;"")</f>
        <v/>
      </c>
      <c r="D150" s="7" t="str">
        <f aca="false">IF($B150="","",INDEX(MASTER_DATABASE!$B$4:$B$1000,$B150)&amp;"")</f>
        <v/>
      </c>
      <c r="E150" s="7" t="str">
        <f aca="false">IF($B150="","",INDEX(MASTER_DATABASE!$E$4:$E$1000,$B150)&amp;"")</f>
        <v/>
      </c>
      <c r="F150" s="7" t="str">
        <f aca="false">IF($B150="","",INDEX(MASTER_DATABASE!$I$4:$I$1000,$B150)&amp;"")</f>
        <v/>
      </c>
      <c r="G150" s="7" t="str">
        <f aca="false">IF($B150="","",INDEX(MASTER_DATABASE!$L$4:$L$1000,$B150)&amp;"")</f>
        <v/>
      </c>
      <c r="H150" s="7" t="str">
        <f aca="false">IF($B150="","",INDEX(MASTER_DATABASE!$U$4:$U$1000,$B150)&amp;"")</f>
        <v/>
      </c>
      <c r="I150" s="7" t="str">
        <f aca="false">IF($B150="","",INDEX(MASTER_DATABASE!$AV$4:$AV$1000,$B150)&amp;"")</f>
        <v/>
      </c>
      <c r="J150" s="7" t="str">
        <f aca="false">IF($B150="","",INDEX(MASTER_DATABASE!$AW$4:$AW$1000,$B150)&amp;"")</f>
        <v/>
      </c>
    </row>
    <row r="151" customFormat="false" ht="15" hidden="false" customHeight="false" outlineLevel="0" collapsed="false">
      <c r="A151" s="11" t="n">
        <v>148</v>
      </c>
      <c r="B151" s="11" t="str">
        <f aca="false">IFERROR(MATCH($A151,MASTER_DATABASE!$BL$4:$BL$1000,0),"")</f>
        <v/>
      </c>
      <c r="C151" s="11" t="str">
        <f aca="false">IF($B151="","",INDEX(MASTER_DATABASE!$A$4:$A$1000,$B151)&amp;"")</f>
        <v/>
      </c>
      <c r="D151" s="7" t="str">
        <f aca="false">IF($B151="","",INDEX(MASTER_DATABASE!$B$4:$B$1000,$B151)&amp;"")</f>
        <v/>
      </c>
      <c r="E151" s="7" t="str">
        <f aca="false">IF($B151="","",INDEX(MASTER_DATABASE!$E$4:$E$1000,$B151)&amp;"")</f>
        <v/>
      </c>
      <c r="F151" s="7" t="str">
        <f aca="false">IF($B151="","",INDEX(MASTER_DATABASE!$I$4:$I$1000,$B151)&amp;"")</f>
        <v/>
      </c>
      <c r="G151" s="7" t="str">
        <f aca="false">IF($B151="","",INDEX(MASTER_DATABASE!$L$4:$L$1000,$B151)&amp;"")</f>
        <v/>
      </c>
      <c r="H151" s="7" t="str">
        <f aca="false">IF($B151="","",INDEX(MASTER_DATABASE!$U$4:$U$1000,$B151)&amp;"")</f>
        <v/>
      </c>
      <c r="I151" s="7" t="str">
        <f aca="false">IF($B151="","",INDEX(MASTER_DATABASE!$AV$4:$AV$1000,$B151)&amp;"")</f>
        <v/>
      </c>
      <c r="J151" s="7" t="str">
        <f aca="false">IF($B151="","",INDEX(MASTER_DATABASE!$AW$4:$AW$1000,$B151)&amp;"")</f>
        <v/>
      </c>
    </row>
    <row r="152" customFormat="false" ht="15" hidden="false" customHeight="false" outlineLevel="0" collapsed="false">
      <c r="A152" s="11" t="n">
        <v>149</v>
      </c>
      <c r="B152" s="11" t="str">
        <f aca="false">IFERROR(MATCH($A152,MASTER_DATABASE!$BL$4:$BL$1000,0),"")</f>
        <v/>
      </c>
      <c r="C152" s="11" t="str">
        <f aca="false">IF($B152="","",INDEX(MASTER_DATABASE!$A$4:$A$1000,$B152)&amp;"")</f>
        <v/>
      </c>
      <c r="D152" s="7" t="str">
        <f aca="false">IF($B152="","",INDEX(MASTER_DATABASE!$B$4:$B$1000,$B152)&amp;"")</f>
        <v/>
      </c>
      <c r="E152" s="7" t="str">
        <f aca="false">IF($B152="","",INDEX(MASTER_DATABASE!$E$4:$E$1000,$B152)&amp;"")</f>
        <v/>
      </c>
      <c r="F152" s="7" t="str">
        <f aca="false">IF($B152="","",INDEX(MASTER_DATABASE!$I$4:$I$1000,$B152)&amp;"")</f>
        <v/>
      </c>
      <c r="G152" s="7" t="str">
        <f aca="false">IF($B152="","",INDEX(MASTER_DATABASE!$L$4:$L$1000,$B152)&amp;"")</f>
        <v/>
      </c>
      <c r="H152" s="7" t="str">
        <f aca="false">IF($B152="","",INDEX(MASTER_DATABASE!$U$4:$U$1000,$B152)&amp;"")</f>
        <v/>
      </c>
      <c r="I152" s="7" t="str">
        <f aca="false">IF($B152="","",INDEX(MASTER_DATABASE!$AV$4:$AV$1000,$B152)&amp;"")</f>
        <v/>
      </c>
      <c r="J152" s="7" t="str">
        <f aca="false">IF($B152="","",INDEX(MASTER_DATABASE!$AW$4:$AW$1000,$B152)&amp;"")</f>
        <v/>
      </c>
    </row>
    <row r="153" customFormat="false" ht="15" hidden="false" customHeight="false" outlineLevel="0" collapsed="false">
      <c r="A153" s="11" t="n">
        <v>150</v>
      </c>
      <c r="B153" s="11" t="str">
        <f aca="false">IFERROR(MATCH($A153,MASTER_DATABASE!$BL$4:$BL$1000,0),"")</f>
        <v/>
      </c>
      <c r="C153" s="11" t="str">
        <f aca="false">IF($B153="","",INDEX(MASTER_DATABASE!$A$4:$A$1000,$B153)&amp;"")</f>
        <v/>
      </c>
      <c r="D153" s="7" t="str">
        <f aca="false">IF($B153="","",INDEX(MASTER_DATABASE!$B$4:$B$1000,$B153)&amp;"")</f>
        <v/>
      </c>
      <c r="E153" s="7" t="str">
        <f aca="false">IF($B153="","",INDEX(MASTER_DATABASE!$E$4:$E$1000,$B153)&amp;"")</f>
        <v/>
      </c>
      <c r="F153" s="7" t="str">
        <f aca="false">IF($B153="","",INDEX(MASTER_DATABASE!$I$4:$I$1000,$B153)&amp;"")</f>
        <v/>
      </c>
      <c r="G153" s="7" t="str">
        <f aca="false">IF($B153="","",INDEX(MASTER_DATABASE!$L$4:$L$1000,$B153)&amp;"")</f>
        <v/>
      </c>
      <c r="H153" s="7" t="str">
        <f aca="false">IF($B153="","",INDEX(MASTER_DATABASE!$U$4:$U$1000,$B153)&amp;"")</f>
        <v/>
      </c>
      <c r="I153" s="7" t="str">
        <f aca="false">IF($B153="","",INDEX(MASTER_DATABASE!$AV$4:$AV$1000,$B153)&amp;"")</f>
        <v/>
      </c>
      <c r="J153" s="7" t="str">
        <f aca="false">IF($B153="","",INDEX(MASTER_DATABASE!$AW$4:$AW$1000,$B153)&amp;"")</f>
        <v/>
      </c>
    </row>
    <row r="154" customFormat="false" ht="15" hidden="false" customHeight="false" outlineLevel="0" collapsed="false">
      <c r="A154" s="11" t="n">
        <v>151</v>
      </c>
      <c r="B154" s="11" t="str">
        <f aca="false">IFERROR(MATCH($A154,MASTER_DATABASE!$BL$4:$BL$1000,0),"")</f>
        <v/>
      </c>
      <c r="C154" s="11" t="str">
        <f aca="false">IF($B154="","",INDEX(MASTER_DATABASE!$A$4:$A$1000,$B154)&amp;"")</f>
        <v/>
      </c>
      <c r="D154" s="7" t="str">
        <f aca="false">IF($B154="","",INDEX(MASTER_DATABASE!$B$4:$B$1000,$B154)&amp;"")</f>
        <v/>
      </c>
      <c r="E154" s="7" t="str">
        <f aca="false">IF($B154="","",INDEX(MASTER_DATABASE!$E$4:$E$1000,$B154)&amp;"")</f>
        <v/>
      </c>
      <c r="F154" s="7" t="str">
        <f aca="false">IF($B154="","",INDEX(MASTER_DATABASE!$I$4:$I$1000,$B154)&amp;"")</f>
        <v/>
      </c>
      <c r="G154" s="7" t="str">
        <f aca="false">IF($B154="","",INDEX(MASTER_DATABASE!$L$4:$L$1000,$B154)&amp;"")</f>
        <v/>
      </c>
      <c r="H154" s="7" t="str">
        <f aca="false">IF($B154="","",INDEX(MASTER_DATABASE!$U$4:$U$1000,$B154)&amp;"")</f>
        <v/>
      </c>
      <c r="I154" s="7" t="str">
        <f aca="false">IF($B154="","",INDEX(MASTER_DATABASE!$AV$4:$AV$1000,$B154)&amp;"")</f>
        <v/>
      </c>
      <c r="J154" s="7" t="str">
        <f aca="false">IF($B154="","",INDEX(MASTER_DATABASE!$AW$4:$AW$1000,$B154)&amp;"")</f>
        <v/>
      </c>
    </row>
    <row r="155" customFormat="false" ht="15" hidden="false" customHeight="false" outlineLevel="0" collapsed="false">
      <c r="A155" s="11" t="n">
        <v>152</v>
      </c>
      <c r="B155" s="11" t="str">
        <f aca="false">IFERROR(MATCH($A155,MASTER_DATABASE!$BL$4:$BL$1000,0),"")</f>
        <v/>
      </c>
      <c r="C155" s="11" t="str">
        <f aca="false">IF($B155="","",INDEX(MASTER_DATABASE!$A$4:$A$1000,$B155)&amp;"")</f>
        <v/>
      </c>
      <c r="D155" s="7" t="str">
        <f aca="false">IF($B155="","",INDEX(MASTER_DATABASE!$B$4:$B$1000,$B155)&amp;"")</f>
        <v/>
      </c>
      <c r="E155" s="7" t="str">
        <f aca="false">IF($B155="","",INDEX(MASTER_DATABASE!$E$4:$E$1000,$B155)&amp;"")</f>
        <v/>
      </c>
      <c r="F155" s="7" t="str">
        <f aca="false">IF($B155="","",INDEX(MASTER_DATABASE!$I$4:$I$1000,$B155)&amp;"")</f>
        <v/>
      </c>
      <c r="G155" s="7" t="str">
        <f aca="false">IF($B155="","",INDEX(MASTER_DATABASE!$L$4:$L$1000,$B155)&amp;"")</f>
        <v/>
      </c>
      <c r="H155" s="7" t="str">
        <f aca="false">IF($B155="","",INDEX(MASTER_DATABASE!$U$4:$U$1000,$B155)&amp;"")</f>
        <v/>
      </c>
      <c r="I155" s="7" t="str">
        <f aca="false">IF($B155="","",INDEX(MASTER_DATABASE!$AV$4:$AV$1000,$B155)&amp;"")</f>
        <v/>
      </c>
      <c r="J155" s="7" t="str">
        <f aca="false">IF($B155="","",INDEX(MASTER_DATABASE!$AW$4:$AW$1000,$B155)&amp;"")</f>
        <v/>
      </c>
    </row>
    <row r="156" customFormat="false" ht="15" hidden="false" customHeight="false" outlineLevel="0" collapsed="false">
      <c r="A156" s="11" t="n">
        <v>153</v>
      </c>
      <c r="B156" s="11" t="str">
        <f aca="false">IFERROR(MATCH($A156,MASTER_DATABASE!$BL$4:$BL$1000,0),"")</f>
        <v/>
      </c>
      <c r="C156" s="11" t="str">
        <f aca="false">IF($B156="","",INDEX(MASTER_DATABASE!$A$4:$A$1000,$B156)&amp;"")</f>
        <v/>
      </c>
      <c r="D156" s="7" t="str">
        <f aca="false">IF($B156="","",INDEX(MASTER_DATABASE!$B$4:$B$1000,$B156)&amp;"")</f>
        <v/>
      </c>
      <c r="E156" s="7" t="str">
        <f aca="false">IF($B156="","",INDEX(MASTER_DATABASE!$E$4:$E$1000,$B156)&amp;"")</f>
        <v/>
      </c>
      <c r="F156" s="7" t="str">
        <f aca="false">IF($B156="","",INDEX(MASTER_DATABASE!$I$4:$I$1000,$B156)&amp;"")</f>
        <v/>
      </c>
      <c r="G156" s="7" t="str">
        <f aca="false">IF($B156="","",INDEX(MASTER_DATABASE!$L$4:$L$1000,$B156)&amp;"")</f>
        <v/>
      </c>
      <c r="H156" s="7" t="str">
        <f aca="false">IF($B156="","",INDEX(MASTER_DATABASE!$U$4:$U$1000,$B156)&amp;"")</f>
        <v/>
      </c>
      <c r="I156" s="7" t="str">
        <f aca="false">IF($B156="","",INDEX(MASTER_DATABASE!$AV$4:$AV$1000,$B156)&amp;"")</f>
        <v/>
      </c>
      <c r="J156" s="7" t="str">
        <f aca="false">IF($B156="","",INDEX(MASTER_DATABASE!$AW$4:$AW$1000,$B156)&amp;"")</f>
        <v/>
      </c>
    </row>
    <row r="157" customFormat="false" ht="15" hidden="false" customHeight="false" outlineLevel="0" collapsed="false">
      <c r="A157" s="11" t="n">
        <v>154</v>
      </c>
      <c r="B157" s="11" t="str">
        <f aca="false">IFERROR(MATCH($A157,MASTER_DATABASE!$BL$4:$BL$1000,0),"")</f>
        <v/>
      </c>
      <c r="C157" s="11" t="str">
        <f aca="false">IF($B157="","",INDEX(MASTER_DATABASE!$A$4:$A$1000,$B157)&amp;"")</f>
        <v/>
      </c>
      <c r="D157" s="7" t="str">
        <f aca="false">IF($B157="","",INDEX(MASTER_DATABASE!$B$4:$B$1000,$B157)&amp;"")</f>
        <v/>
      </c>
      <c r="E157" s="7" t="str">
        <f aca="false">IF($B157="","",INDEX(MASTER_DATABASE!$E$4:$E$1000,$B157)&amp;"")</f>
        <v/>
      </c>
      <c r="F157" s="7" t="str">
        <f aca="false">IF($B157="","",INDEX(MASTER_DATABASE!$I$4:$I$1000,$B157)&amp;"")</f>
        <v/>
      </c>
      <c r="G157" s="7" t="str">
        <f aca="false">IF($B157="","",INDEX(MASTER_DATABASE!$L$4:$L$1000,$B157)&amp;"")</f>
        <v/>
      </c>
      <c r="H157" s="7" t="str">
        <f aca="false">IF($B157="","",INDEX(MASTER_DATABASE!$U$4:$U$1000,$B157)&amp;"")</f>
        <v/>
      </c>
      <c r="I157" s="7" t="str">
        <f aca="false">IF($B157="","",INDEX(MASTER_DATABASE!$AV$4:$AV$1000,$B157)&amp;"")</f>
        <v/>
      </c>
      <c r="J157" s="7" t="str">
        <f aca="false">IF($B157="","",INDEX(MASTER_DATABASE!$AW$4:$AW$1000,$B157)&amp;"")</f>
        <v/>
      </c>
    </row>
    <row r="158" customFormat="false" ht="15" hidden="false" customHeight="false" outlineLevel="0" collapsed="false">
      <c r="A158" s="11" t="n">
        <v>155</v>
      </c>
      <c r="B158" s="11" t="str">
        <f aca="false">IFERROR(MATCH($A158,MASTER_DATABASE!$BL$4:$BL$1000,0),"")</f>
        <v/>
      </c>
      <c r="C158" s="11" t="str">
        <f aca="false">IF($B158="","",INDEX(MASTER_DATABASE!$A$4:$A$1000,$B158)&amp;"")</f>
        <v/>
      </c>
      <c r="D158" s="7" t="str">
        <f aca="false">IF($B158="","",INDEX(MASTER_DATABASE!$B$4:$B$1000,$B158)&amp;"")</f>
        <v/>
      </c>
      <c r="E158" s="7" t="str">
        <f aca="false">IF($B158="","",INDEX(MASTER_DATABASE!$E$4:$E$1000,$B158)&amp;"")</f>
        <v/>
      </c>
      <c r="F158" s="7" t="str">
        <f aca="false">IF($B158="","",INDEX(MASTER_DATABASE!$I$4:$I$1000,$B158)&amp;"")</f>
        <v/>
      </c>
      <c r="G158" s="7" t="str">
        <f aca="false">IF($B158="","",INDEX(MASTER_DATABASE!$L$4:$L$1000,$B158)&amp;"")</f>
        <v/>
      </c>
      <c r="H158" s="7" t="str">
        <f aca="false">IF($B158="","",INDEX(MASTER_DATABASE!$U$4:$U$1000,$B158)&amp;"")</f>
        <v/>
      </c>
      <c r="I158" s="7" t="str">
        <f aca="false">IF($B158="","",INDEX(MASTER_DATABASE!$AV$4:$AV$1000,$B158)&amp;"")</f>
        <v/>
      </c>
      <c r="J158" s="7" t="str">
        <f aca="false">IF($B158="","",INDEX(MASTER_DATABASE!$AW$4:$AW$1000,$B158)&amp;"")</f>
        <v/>
      </c>
    </row>
    <row r="159" customFormat="false" ht="15" hidden="false" customHeight="false" outlineLevel="0" collapsed="false">
      <c r="A159" s="11" t="n">
        <v>156</v>
      </c>
      <c r="B159" s="11" t="str">
        <f aca="false">IFERROR(MATCH($A159,MASTER_DATABASE!$BL$4:$BL$1000,0),"")</f>
        <v/>
      </c>
      <c r="C159" s="11" t="str">
        <f aca="false">IF($B159="","",INDEX(MASTER_DATABASE!$A$4:$A$1000,$B159)&amp;"")</f>
        <v/>
      </c>
      <c r="D159" s="7" t="str">
        <f aca="false">IF($B159="","",INDEX(MASTER_DATABASE!$B$4:$B$1000,$B159)&amp;"")</f>
        <v/>
      </c>
      <c r="E159" s="7" t="str">
        <f aca="false">IF($B159="","",INDEX(MASTER_DATABASE!$E$4:$E$1000,$B159)&amp;"")</f>
        <v/>
      </c>
      <c r="F159" s="7" t="str">
        <f aca="false">IF($B159="","",INDEX(MASTER_DATABASE!$I$4:$I$1000,$B159)&amp;"")</f>
        <v/>
      </c>
      <c r="G159" s="7" t="str">
        <f aca="false">IF($B159="","",INDEX(MASTER_DATABASE!$L$4:$L$1000,$B159)&amp;"")</f>
        <v/>
      </c>
      <c r="H159" s="7" t="str">
        <f aca="false">IF($B159="","",INDEX(MASTER_DATABASE!$U$4:$U$1000,$B159)&amp;"")</f>
        <v/>
      </c>
      <c r="I159" s="7" t="str">
        <f aca="false">IF($B159="","",INDEX(MASTER_DATABASE!$AV$4:$AV$1000,$B159)&amp;"")</f>
        <v/>
      </c>
      <c r="J159" s="7" t="str">
        <f aca="false">IF($B159="","",INDEX(MASTER_DATABASE!$AW$4:$AW$1000,$B159)&amp;"")</f>
        <v/>
      </c>
    </row>
    <row r="160" customFormat="false" ht="15" hidden="false" customHeight="false" outlineLevel="0" collapsed="false">
      <c r="A160" s="11" t="n">
        <v>157</v>
      </c>
      <c r="B160" s="11" t="str">
        <f aca="false">IFERROR(MATCH($A160,MASTER_DATABASE!$BL$4:$BL$1000,0),"")</f>
        <v/>
      </c>
      <c r="C160" s="11" t="str">
        <f aca="false">IF($B160="","",INDEX(MASTER_DATABASE!$A$4:$A$1000,$B160)&amp;"")</f>
        <v/>
      </c>
      <c r="D160" s="7" t="str">
        <f aca="false">IF($B160="","",INDEX(MASTER_DATABASE!$B$4:$B$1000,$B160)&amp;"")</f>
        <v/>
      </c>
      <c r="E160" s="7" t="str">
        <f aca="false">IF($B160="","",INDEX(MASTER_DATABASE!$E$4:$E$1000,$B160)&amp;"")</f>
        <v/>
      </c>
      <c r="F160" s="7" t="str">
        <f aca="false">IF($B160="","",INDEX(MASTER_DATABASE!$I$4:$I$1000,$B160)&amp;"")</f>
        <v/>
      </c>
      <c r="G160" s="7" t="str">
        <f aca="false">IF($B160="","",INDEX(MASTER_DATABASE!$L$4:$L$1000,$B160)&amp;"")</f>
        <v/>
      </c>
      <c r="H160" s="7" t="str">
        <f aca="false">IF($B160="","",INDEX(MASTER_DATABASE!$U$4:$U$1000,$B160)&amp;"")</f>
        <v/>
      </c>
      <c r="I160" s="7" t="str">
        <f aca="false">IF($B160="","",INDEX(MASTER_DATABASE!$AV$4:$AV$1000,$B160)&amp;"")</f>
        <v/>
      </c>
      <c r="J160" s="7" t="str">
        <f aca="false">IF($B160="","",INDEX(MASTER_DATABASE!$AW$4:$AW$1000,$B160)&amp;"")</f>
        <v/>
      </c>
    </row>
    <row r="161" customFormat="false" ht="15" hidden="false" customHeight="false" outlineLevel="0" collapsed="false">
      <c r="A161" s="11" t="n">
        <v>158</v>
      </c>
      <c r="B161" s="11" t="str">
        <f aca="false">IFERROR(MATCH($A161,MASTER_DATABASE!$BL$4:$BL$1000,0),"")</f>
        <v/>
      </c>
      <c r="C161" s="11" t="str">
        <f aca="false">IF($B161="","",INDEX(MASTER_DATABASE!$A$4:$A$1000,$B161)&amp;"")</f>
        <v/>
      </c>
      <c r="D161" s="7" t="str">
        <f aca="false">IF($B161="","",INDEX(MASTER_DATABASE!$B$4:$B$1000,$B161)&amp;"")</f>
        <v/>
      </c>
      <c r="E161" s="7" t="str">
        <f aca="false">IF($B161="","",INDEX(MASTER_DATABASE!$E$4:$E$1000,$B161)&amp;"")</f>
        <v/>
      </c>
      <c r="F161" s="7" t="str">
        <f aca="false">IF($B161="","",INDEX(MASTER_DATABASE!$I$4:$I$1000,$B161)&amp;"")</f>
        <v/>
      </c>
      <c r="G161" s="7" t="str">
        <f aca="false">IF($B161="","",INDEX(MASTER_DATABASE!$L$4:$L$1000,$B161)&amp;"")</f>
        <v/>
      </c>
      <c r="H161" s="7" t="str">
        <f aca="false">IF($B161="","",INDEX(MASTER_DATABASE!$U$4:$U$1000,$B161)&amp;"")</f>
        <v/>
      </c>
      <c r="I161" s="7" t="str">
        <f aca="false">IF($B161="","",INDEX(MASTER_DATABASE!$AV$4:$AV$1000,$B161)&amp;"")</f>
        <v/>
      </c>
      <c r="J161" s="7" t="str">
        <f aca="false">IF($B161="","",INDEX(MASTER_DATABASE!$AW$4:$AW$1000,$B161)&amp;"")</f>
        <v/>
      </c>
    </row>
    <row r="162" customFormat="false" ht="15" hidden="false" customHeight="false" outlineLevel="0" collapsed="false">
      <c r="A162" s="11" t="n">
        <v>159</v>
      </c>
      <c r="B162" s="11" t="str">
        <f aca="false">IFERROR(MATCH($A162,MASTER_DATABASE!$BL$4:$BL$1000,0),"")</f>
        <v/>
      </c>
      <c r="C162" s="11" t="str">
        <f aca="false">IF($B162="","",INDEX(MASTER_DATABASE!$A$4:$A$1000,$B162)&amp;"")</f>
        <v/>
      </c>
      <c r="D162" s="7" t="str">
        <f aca="false">IF($B162="","",INDEX(MASTER_DATABASE!$B$4:$B$1000,$B162)&amp;"")</f>
        <v/>
      </c>
      <c r="E162" s="7" t="str">
        <f aca="false">IF($B162="","",INDEX(MASTER_DATABASE!$E$4:$E$1000,$B162)&amp;"")</f>
        <v/>
      </c>
      <c r="F162" s="7" t="str">
        <f aca="false">IF($B162="","",INDEX(MASTER_DATABASE!$I$4:$I$1000,$B162)&amp;"")</f>
        <v/>
      </c>
      <c r="G162" s="7" t="str">
        <f aca="false">IF($B162="","",INDEX(MASTER_DATABASE!$L$4:$L$1000,$B162)&amp;"")</f>
        <v/>
      </c>
      <c r="H162" s="7" t="str">
        <f aca="false">IF($B162="","",INDEX(MASTER_DATABASE!$U$4:$U$1000,$B162)&amp;"")</f>
        <v/>
      </c>
      <c r="I162" s="7" t="str">
        <f aca="false">IF($B162="","",INDEX(MASTER_DATABASE!$AV$4:$AV$1000,$B162)&amp;"")</f>
        <v/>
      </c>
      <c r="J162" s="7" t="str">
        <f aca="false">IF($B162="","",INDEX(MASTER_DATABASE!$AW$4:$AW$1000,$B162)&amp;"")</f>
        <v/>
      </c>
    </row>
    <row r="163" customFormat="false" ht="15" hidden="false" customHeight="false" outlineLevel="0" collapsed="false">
      <c r="A163" s="11" t="n">
        <v>160</v>
      </c>
      <c r="B163" s="11" t="str">
        <f aca="false">IFERROR(MATCH($A163,MASTER_DATABASE!$BL$4:$BL$1000,0),"")</f>
        <v/>
      </c>
      <c r="C163" s="11" t="str">
        <f aca="false">IF($B163="","",INDEX(MASTER_DATABASE!$A$4:$A$1000,$B163)&amp;"")</f>
        <v/>
      </c>
      <c r="D163" s="7" t="str">
        <f aca="false">IF($B163="","",INDEX(MASTER_DATABASE!$B$4:$B$1000,$B163)&amp;"")</f>
        <v/>
      </c>
      <c r="E163" s="7" t="str">
        <f aca="false">IF($B163="","",INDEX(MASTER_DATABASE!$E$4:$E$1000,$B163)&amp;"")</f>
        <v/>
      </c>
      <c r="F163" s="7" t="str">
        <f aca="false">IF($B163="","",INDEX(MASTER_DATABASE!$I$4:$I$1000,$B163)&amp;"")</f>
        <v/>
      </c>
      <c r="G163" s="7" t="str">
        <f aca="false">IF($B163="","",INDEX(MASTER_DATABASE!$L$4:$L$1000,$B163)&amp;"")</f>
        <v/>
      </c>
      <c r="H163" s="7" t="str">
        <f aca="false">IF($B163="","",INDEX(MASTER_DATABASE!$U$4:$U$1000,$B163)&amp;"")</f>
        <v/>
      </c>
      <c r="I163" s="7" t="str">
        <f aca="false">IF($B163="","",INDEX(MASTER_DATABASE!$AV$4:$AV$1000,$B163)&amp;"")</f>
        <v/>
      </c>
      <c r="J163" s="7" t="str">
        <f aca="false">IF($B163="","",INDEX(MASTER_DATABASE!$AW$4:$AW$1000,$B163)&amp;"")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0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3738</v>
      </c>
    </row>
    <row r="2" customFormat="false" ht="15" hidden="false" customHeight="false" outlineLevel="0" collapsed="false">
      <c r="A2" s="2" t="s">
        <v>3739</v>
      </c>
    </row>
    <row r="3" customFormat="false" ht="33.75" hidden="false" customHeight="true" outlineLevel="0" collapsed="false">
      <c r="A3" s="3" t="s">
        <v>3740</v>
      </c>
      <c r="B3" s="3" t="s">
        <v>3741</v>
      </c>
      <c r="C3" s="3" t="s">
        <v>3742</v>
      </c>
      <c r="D3" s="3" t="s">
        <v>3743</v>
      </c>
      <c r="E3" s="3" t="s">
        <v>3422</v>
      </c>
    </row>
    <row r="4" customFormat="false" ht="15" hidden="false" customHeight="false" outlineLevel="0" collapsed="false">
      <c r="A4" s="6" t="s">
        <v>3744</v>
      </c>
      <c r="B4" s="6" t="s">
        <v>3745</v>
      </c>
      <c r="C4" s="6" t="s">
        <v>3746</v>
      </c>
      <c r="D4" s="6" t="s">
        <v>3747</v>
      </c>
      <c r="E4" s="6" t="s">
        <v>3748</v>
      </c>
    </row>
    <row r="5" customFormat="false" ht="15" hidden="false" customHeight="false" outlineLevel="0" collapsed="false">
      <c r="A5" s="6" t="s">
        <v>3749</v>
      </c>
      <c r="B5" s="6" t="s">
        <v>3745</v>
      </c>
      <c r="C5" s="6" t="s">
        <v>3750</v>
      </c>
      <c r="D5" s="6" t="s">
        <v>3747</v>
      </c>
      <c r="E5" s="6" t="s">
        <v>3748</v>
      </c>
    </row>
    <row r="6" customFormat="false" ht="23.85" hidden="false" customHeight="false" outlineLevel="0" collapsed="false">
      <c r="A6" s="6" t="s">
        <v>3751</v>
      </c>
      <c r="B6" s="6" t="s">
        <v>3752</v>
      </c>
      <c r="C6" s="6" t="s">
        <v>3753</v>
      </c>
      <c r="D6" s="6" t="s">
        <v>3747</v>
      </c>
      <c r="E6" s="6" t="s">
        <v>3754</v>
      </c>
    </row>
    <row r="7" customFormat="false" ht="23.85" hidden="false" customHeight="false" outlineLevel="0" collapsed="false">
      <c r="A7" s="6" t="s">
        <v>3755</v>
      </c>
      <c r="B7" s="6" t="s">
        <v>3756</v>
      </c>
      <c r="C7" s="6" t="s">
        <v>3757</v>
      </c>
      <c r="D7" s="6" t="s">
        <v>3747</v>
      </c>
      <c r="E7" s="6" t="s">
        <v>3758</v>
      </c>
    </row>
    <row r="8" customFormat="false" ht="15" hidden="false" customHeight="false" outlineLevel="0" collapsed="false">
      <c r="A8" s="6" t="s">
        <v>3759</v>
      </c>
      <c r="B8" s="6" t="s">
        <v>3756</v>
      </c>
      <c r="C8" s="6" t="s">
        <v>3760</v>
      </c>
      <c r="D8" s="6" t="s">
        <v>3747</v>
      </c>
      <c r="E8" s="6" t="s">
        <v>3761</v>
      </c>
    </row>
    <row r="9" customFormat="false" ht="15" hidden="false" customHeight="false" outlineLevel="0" collapsed="false">
      <c r="A9" s="6" t="s">
        <v>3762</v>
      </c>
      <c r="B9" s="6" t="s">
        <v>3756</v>
      </c>
      <c r="C9" s="6" t="s">
        <v>3763</v>
      </c>
      <c r="D9" s="6" t="s">
        <v>3747</v>
      </c>
      <c r="E9" s="6" t="s">
        <v>3764</v>
      </c>
    </row>
    <row r="10" customFormat="false" ht="15" hidden="false" customHeight="false" outlineLevel="0" collapsed="false">
      <c r="A10" s="6" t="s">
        <v>3765</v>
      </c>
      <c r="B10" s="6" t="s">
        <v>3766</v>
      </c>
      <c r="C10" s="6" t="s">
        <v>3767</v>
      </c>
      <c r="D10" s="6" t="s">
        <v>3747</v>
      </c>
      <c r="E10" s="6" t="s">
        <v>3768</v>
      </c>
    </row>
    <row r="11" customFormat="false" ht="23.85" hidden="false" customHeight="false" outlineLevel="0" collapsed="false">
      <c r="A11" s="6" t="s">
        <v>3769</v>
      </c>
      <c r="B11" s="6" t="s">
        <v>3770</v>
      </c>
      <c r="C11" s="6" t="s">
        <v>3230</v>
      </c>
      <c r="D11" s="6" t="s">
        <v>3747</v>
      </c>
      <c r="E11" s="6" t="s">
        <v>3771</v>
      </c>
    </row>
    <row r="12" customFormat="false" ht="23.85" hidden="false" customHeight="false" outlineLevel="0" collapsed="false">
      <c r="A12" s="6" t="s">
        <v>3772</v>
      </c>
      <c r="B12" s="6" t="s">
        <v>3773</v>
      </c>
      <c r="C12" s="6" t="s">
        <v>3774</v>
      </c>
      <c r="D12" s="6" t="s">
        <v>3747</v>
      </c>
      <c r="E12" s="6" t="s">
        <v>3775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3776</v>
      </c>
    </row>
    <row r="2" customFormat="false" ht="15" hidden="false" customHeight="false" outlineLevel="0" collapsed="false">
      <c r="A2" s="2" t="s">
        <v>3777</v>
      </c>
    </row>
    <row r="4" customFormat="false" ht="15" hidden="false" customHeight="false" outlineLevel="0" collapsed="false">
      <c r="A4" s="13" t="s">
        <v>3778</v>
      </c>
    </row>
    <row r="5" customFormat="false" ht="15" hidden="false" customHeight="false" outlineLevel="0" collapsed="false">
      <c r="A5" s="17" t="s">
        <v>3779</v>
      </c>
      <c r="B5" s="18" t="n">
        <f aca="false">COUNTA(MASTER_DATABASE!$A$4:$A$1000)</f>
        <v>292</v>
      </c>
    </row>
    <row r="6" customFormat="false" ht="15" hidden="false" customHeight="false" outlineLevel="0" collapsed="false">
      <c r="A6" s="17" t="s">
        <v>3780</v>
      </c>
      <c r="B6" s="18" t="n">
        <f aca="false">COUNTIF(MASTER_DATABASE!$AG$4:$AG$1000,"Active")</f>
        <v>108</v>
      </c>
    </row>
    <row r="7" customFormat="false" ht="15" hidden="false" customHeight="false" outlineLevel="0" collapsed="false">
      <c r="A7" s="17" t="s">
        <v>3781</v>
      </c>
      <c r="B7" s="18" t="n">
        <f aca="false">COUNTIF(MASTER_DATABASE!$AH$4:$AH$1000,"Yes")</f>
        <v>108</v>
      </c>
    </row>
    <row r="8" customFormat="false" ht="15" hidden="false" customHeight="false" outlineLevel="0" collapsed="false">
      <c r="A8" s="17" t="s">
        <v>3782</v>
      </c>
      <c r="B8" s="18" t="n">
        <f aca="false">COUNTIF(MASTER_DATABASE!$BE$4:$BE$1000,"LIVE")</f>
        <v>108</v>
      </c>
    </row>
    <row r="9" customFormat="false" ht="15" hidden="false" customHeight="false" outlineLevel="0" collapsed="false">
      <c r="A9" s="17" t="s">
        <v>3783</v>
      </c>
      <c r="B9" s="18" t="n">
        <f aca="false">COUNTIF(MASTER_DATABASE!$AI$4:$AI$1000,"Yes")</f>
        <v>0</v>
      </c>
    </row>
    <row r="10" customFormat="false" ht="15" hidden="false" customHeight="false" outlineLevel="0" collapsed="false">
      <c r="A10" s="17" t="s">
        <v>3784</v>
      </c>
      <c r="B10" s="18" t="n">
        <f aca="false">COUNTIF(MASTER_DATABASE!$AJ$4:$AJ$1000,"Yes")</f>
        <v>0</v>
      </c>
    </row>
    <row r="11" customFormat="false" ht="15" hidden="false" customHeight="false" outlineLevel="0" collapsed="false">
      <c r="A11" s="17" t="s">
        <v>3785</v>
      </c>
      <c r="B11" s="18" t="n">
        <f aca="false">COUNTIF(MASTER_DATABASE!$I$4:$I$1000,"Available")</f>
        <v>108</v>
      </c>
    </row>
    <row r="12" customFormat="false" ht="15" hidden="false" customHeight="false" outlineLevel="0" collapsed="false">
      <c r="A12" s="17" t="s">
        <v>3625</v>
      </c>
      <c r="B12" s="18" t="n">
        <f aca="false">COUNTIF(MASTER_DATABASE!$I$4:$I$1000,"Temporarily Unavailable")</f>
        <v>0</v>
      </c>
    </row>
    <row r="13" customFormat="false" ht="15" hidden="false" customHeight="false" outlineLevel="0" collapsed="false">
      <c r="A13" s="17" t="s">
        <v>3627</v>
      </c>
      <c r="B13" s="18" t="n">
        <f aca="false">COUNTIF(MASTER_DATABASE!$I$4:$I$1000,"Not Available")</f>
        <v>0</v>
      </c>
    </row>
    <row r="14" customFormat="false" ht="15" hidden="false" customHeight="false" outlineLevel="0" collapsed="false">
      <c r="A14" s="17" t="s">
        <v>12</v>
      </c>
      <c r="B14" s="18" t="n">
        <f aca="false">COUNTIF(MASTER_DATABASE!$I$4:$I$1000,"Authorization Required")</f>
        <v>58</v>
      </c>
    </row>
    <row r="15" customFormat="false" ht="15" hidden="false" customHeight="false" outlineLevel="0" collapsed="false">
      <c r="A15" s="17" t="s">
        <v>221</v>
      </c>
      <c r="B15" s="18" t="n">
        <f aca="false">COUNTIF(MASTER_DATABASE!$I$4:$I$1000,"Portal Dependent")</f>
        <v>64</v>
      </c>
    </row>
    <row r="16" customFormat="false" ht="15" hidden="false" customHeight="false" outlineLevel="0" collapsed="false">
      <c r="A16" s="17" t="s">
        <v>33</v>
      </c>
      <c r="B16" s="18" t="n">
        <f aca="false">COUNTIF(MASTER_DATABASE!$I$4:$I$1000,"Appointment Required")</f>
        <v>0</v>
      </c>
    </row>
    <row r="17" customFormat="false" ht="15" hidden="false" customHeight="false" outlineLevel="0" collapsed="false">
      <c r="A17" s="17" t="s">
        <v>3786</v>
      </c>
      <c r="B17" s="18" t="n">
        <f aca="false">COUNTIF(MASTER_DATABASE!$I$4:$I$1000,"To Verify")</f>
        <v>62</v>
      </c>
    </row>
    <row r="18" customFormat="false" ht="15" hidden="false" customHeight="false" outlineLevel="0" collapsed="false">
      <c r="A18" s="17" t="s">
        <v>3787</v>
      </c>
      <c r="B18" s="18" t="n">
        <f aca="false">COUNTIF(SERVICE_DOCUMENTS!$C$4:$C$1000,"?*")</f>
        <v>276</v>
      </c>
    </row>
    <row r="19" customFormat="false" ht="15" hidden="false" customHeight="false" outlineLevel="0" collapsed="false">
      <c r="A19" s="17" t="s">
        <v>3788</v>
      </c>
      <c r="B19" s="18" t="n">
        <f aca="false">COUNT(MASTER_DATABASE!$T$4:$T$1000)</f>
        <v>0</v>
      </c>
    </row>
    <row r="20" customFormat="false" ht="15" hidden="false" customHeight="false" outlineLevel="0" collapsed="false">
      <c r="A20" s="17" t="s">
        <v>3789</v>
      </c>
      <c r="B20" s="18" t="n">
        <f aca="false">B5-B19</f>
        <v>292</v>
      </c>
    </row>
    <row r="23" customFormat="false" ht="15" hidden="false" customHeight="false" outlineLevel="0" collapsed="false">
      <c r="A23" s="13" t="s">
        <v>3790</v>
      </c>
    </row>
    <row r="24" customFormat="false" ht="30" hidden="false" customHeight="true" outlineLevel="0" collapsed="false">
      <c r="A24" s="3" t="s">
        <v>3</v>
      </c>
      <c r="B24" s="3" t="s">
        <v>3412</v>
      </c>
      <c r="C24" s="3" t="s">
        <v>170</v>
      </c>
      <c r="D24" s="3" t="s">
        <v>3791</v>
      </c>
      <c r="E24" s="3" t="s">
        <v>167</v>
      </c>
      <c r="F24" s="3" t="s">
        <v>3792</v>
      </c>
      <c r="G24" s="3" t="s">
        <v>3793</v>
      </c>
      <c r="H24" s="3" t="s">
        <v>75</v>
      </c>
      <c r="I24" s="3" t="s">
        <v>3413</v>
      </c>
      <c r="J24" s="3" t="s">
        <v>3414</v>
      </c>
      <c r="K24" s="3" t="s">
        <v>3794</v>
      </c>
    </row>
    <row r="25" customFormat="false" ht="15" hidden="false" customHeight="false" outlineLevel="0" collapsed="false">
      <c r="A25" s="19" t="str">
        <f aca="false">CATEGORY_MASTER!A4</f>
        <v>Aadhaar Centre</v>
      </c>
      <c r="B25" s="20" t="n">
        <f aca="false">COUNTIF(MASTER_DATABASE!$B$4:$B$1000,$A25)</f>
        <v>42</v>
      </c>
      <c r="C25" s="20" t="n">
        <f aca="false">COUNTIFS(MASTER_DATABASE!$B$4:$B$1000,$A25,MASTER_DATABASE!$AG$4:$AG$1000,"Active")</f>
        <v>16</v>
      </c>
      <c r="D25" s="20" t="n">
        <f aca="false">COUNTIFS(MASTER_DATABASE!$B$4:$B$1000,$A25,MASTER_DATABASE!$BE$4:$BE$1000,"LIVE")</f>
        <v>16</v>
      </c>
      <c r="E25" s="20" t="n">
        <f aca="false">COUNTIFS(MASTER_DATABASE!$B$4:$B$1000,$A25,MASTER_DATABASE!$I$4:$I$1000,"Available")</f>
        <v>16</v>
      </c>
      <c r="F25" s="20" t="n">
        <f aca="false">COUNTIFS(MASTER_DATABASE!$B$4:$B$1000,$A25,MASTER_DATABASE!$I$4:$I$1000,"Authorization Required")</f>
        <v>3</v>
      </c>
      <c r="G25" s="20" t="n">
        <f aca="false">COUNTIFS(MASTER_DATABASE!$B$4:$B$1000,$A25,MASTER_DATABASE!$I$4:$I$1000,"Portal Dependent")</f>
        <v>19</v>
      </c>
      <c r="H25" s="20" t="n">
        <f aca="false">COUNTIFS(MASTER_DATABASE!$B$4:$B$1000,$A25,MASTER_DATABASE!$I$4:$I$1000,"To Verify")</f>
        <v>4</v>
      </c>
      <c r="I25" s="20" t="n">
        <f aca="false">COUNTIFS(MASTER_DATABASE!$B$4:$B$1000,$A25,MASTER_DATABASE!$AI$4:$AI$1000,"Yes")</f>
        <v>0</v>
      </c>
      <c r="J25" s="20" t="n">
        <f aca="false">COUNTIFS(MASTER_DATABASE!$B$4:$B$1000,$A25,MASTER_DATABASE!$AJ$4:$AJ$1000,"Yes")</f>
        <v>0</v>
      </c>
      <c r="K25" s="20" t="n">
        <f aca="false">SUMPRODUCT((MASTER_DATABASE!$B$4:$B$1000=$A25)*ISNUMBER(MASTER_DATABASE!$T$4:$T$1000))</f>
        <v>0</v>
      </c>
    </row>
    <row r="26" customFormat="false" ht="15" hidden="false" customHeight="false" outlineLevel="0" collapsed="false">
      <c r="A26" s="19" t="str">
        <f aca="false">CATEGORY_MASTER!A5</f>
        <v>HDFC Bank BC Point</v>
      </c>
      <c r="B26" s="20" t="n">
        <f aca="false">COUNTIF(MASTER_DATABASE!$B$4:$B$1000,$A26)</f>
        <v>21</v>
      </c>
      <c r="C26" s="20" t="n">
        <f aca="false">COUNTIFS(MASTER_DATABASE!$B$4:$B$1000,$A26,MASTER_DATABASE!$AG$4:$AG$1000,"Active")</f>
        <v>0</v>
      </c>
      <c r="D26" s="20" t="n">
        <f aca="false">COUNTIFS(MASTER_DATABASE!$B$4:$B$1000,$A26,MASTER_DATABASE!$BE$4:$BE$1000,"LIVE")</f>
        <v>0</v>
      </c>
      <c r="E26" s="20" t="n">
        <f aca="false">COUNTIFS(MASTER_DATABASE!$B$4:$B$1000,$A26,MASTER_DATABASE!$I$4:$I$1000,"Available")</f>
        <v>0</v>
      </c>
      <c r="F26" s="20" t="n">
        <f aca="false">COUNTIFS(MASTER_DATABASE!$B$4:$B$1000,$A26,MASTER_DATABASE!$I$4:$I$1000,"Authorization Required")</f>
        <v>12</v>
      </c>
      <c r="G26" s="20" t="n">
        <f aca="false">COUNTIFS(MASTER_DATABASE!$B$4:$B$1000,$A26,MASTER_DATABASE!$I$4:$I$1000,"Portal Dependent")</f>
        <v>0</v>
      </c>
      <c r="H26" s="20" t="n">
        <f aca="false">COUNTIFS(MASTER_DATABASE!$B$4:$B$1000,$A26,MASTER_DATABASE!$I$4:$I$1000,"To Verify")</f>
        <v>9</v>
      </c>
      <c r="I26" s="20" t="n">
        <f aca="false">COUNTIFS(MASTER_DATABASE!$B$4:$B$1000,$A26,MASTER_DATABASE!$AI$4:$AI$1000,"Yes")</f>
        <v>0</v>
      </c>
      <c r="J26" s="20" t="n">
        <f aca="false">COUNTIFS(MASTER_DATABASE!$B$4:$B$1000,$A26,MASTER_DATABASE!$AJ$4:$AJ$1000,"Yes")</f>
        <v>0</v>
      </c>
      <c r="K26" s="20" t="n">
        <f aca="false">SUMPRODUCT((MASTER_DATABASE!$B$4:$B$1000=$A26)*ISNUMBER(MASTER_DATABASE!$T$4:$T$1000))</f>
        <v>0</v>
      </c>
    </row>
    <row r="27" customFormat="false" ht="15" hidden="false" customHeight="false" outlineLevel="0" collapsed="false">
      <c r="A27" s="19" t="str">
        <f aca="false">CATEGORY_MASTER!A6</f>
        <v>FINO Payments Bank BC Point</v>
      </c>
      <c r="B27" s="20" t="n">
        <f aca="false">COUNTIF(MASTER_DATABASE!$B$4:$B$1000,$A27)</f>
        <v>15</v>
      </c>
      <c r="C27" s="20" t="n">
        <f aca="false">COUNTIFS(MASTER_DATABASE!$B$4:$B$1000,$A27,MASTER_DATABASE!$AG$4:$AG$1000,"Active")</f>
        <v>0</v>
      </c>
      <c r="D27" s="20" t="n">
        <f aca="false">COUNTIFS(MASTER_DATABASE!$B$4:$B$1000,$A27,MASTER_DATABASE!$BE$4:$BE$1000,"LIVE")</f>
        <v>0</v>
      </c>
      <c r="E27" s="20" t="n">
        <f aca="false">COUNTIFS(MASTER_DATABASE!$B$4:$B$1000,$A27,MASTER_DATABASE!$I$4:$I$1000,"Available")</f>
        <v>0</v>
      </c>
      <c r="F27" s="20" t="n">
        <f aca="false">COUNTIFS(MASTER_DATABASE!$B$4:$B$1000,$A27,MASTER_DATABASE!$I$4:$I$1000,"Authorization Required")</f>
        <v>9</v>
      </c>
      <c r="G27" s="20" t="n">
        <f aca="false">COUNTIFS(MASTER_DATABASE!$B$4:$B$1000,$A27,MASTER_DATABASE!$I$4:$I$1000,"Portal Dependent")</f>
        <v>0</v>
      </c>
      <c r="H27" s="20" t="n">
        <f aca="false">COUNTIFS(MASTER_DATABASE!$B$4:$B$1000,$A27,MASTER_DATABASE!$I$4:$I$1000,"To Verify")</f>
        <v>6</v>
      </c>
      <c r="I27" s="20" t="n">
        <f aca="false">COUNTIFS(MASTER_DATABASE!$B$4:$B$1000,$A27,MASTER_DATABASE!$AI$4:$AI$1000,"Yes")</f>
        <v>0</v>
      </c>
      <c r="J27" s="20" t="n">
        <f aca="false">COUNTIFS(MASTER_DATABASE!$B$4:$B$1000,$A27,MASTER_DATABASE!$AJ$4:$AJ$1000,"Yes")</f>
        <v>0</v>
      </c>
      <c r="K27" s="20" t="n">
        <f aca="false">SUMPRODUCT((MASTER_DATABASE!$B$4:$B$1000=$A27)*ISNUMBER(MASTER_DATABASE!$T$4:$T$1000))</f>
        <v>0</v>
      </c>
    </row>
    <row r="28" customFormat="false" ht="15" hidden="false" customHeight="false" outlineLevel="0" collapsed="false">
      <c r="A28" s="19" t="str">
        <f aca="false">CATEGORY_MASTER!A7</f>
        <v>BASUDHA Kendra</v>
      </c>
      <c r="B28" s="20" t="n">
        <f aca="false">COUNTIF(MASTER_DATABASE!$B$4:$B$1000,$A28)</f>
        <v>27</v>
      </c>
      <c r="C28" s="20" t="n">
        <f aca="false">COUNTIFS(MASTER_DATABASE!$B$4:$B$1000,$A28,MASTER_DATABASE!$AG$4:$AG$1000,"Active")</f>
        <v>0</v>
      </c>
      <c r="D28" s="20" t="n">
        <f aca="false">COUNTIFS(MASTER_DATABASE!$B$4:$B$1000,$A28,MASTER_DATABASE!$BE$4:$BE$1000,"LIVE")</f>
        <v>0</v>
      </c>
      <c r="E28" s="20" t="n">
        <f aca="false">COUNTIFS(MASTER_DATABASE!$B$4:$B$1000,$A28,MASTER_DATABASE!$I$4:$I$1000,"Available")</f>
        <v>0</v>
      </c>
      <c r="F28" s="20" t="n">
        <f aca="false">COUNTIFS(MASTER_DATABASE!$B$4:$B$1000,$A28,MASTER_DATABASE!$I$4:$I$1000,"Authorization Required")</f>
        <v>0</v>
      </c>
      <c r="G28" s="20" t="n">
        <f aca="false">COUNTIFS(MASTER_DATABASE!$B$4:$B$1000,$A28,MASTER_DATABASE!$I$4:$I$1000,"Portal Dependent")</f>
        <v>13</v>
      </c>
      <c r="H28" s="20" t="n">
        <f aca="false">COUNTIFS(MASTER_DATABASE!$B$4:$B$1000,$A28,MASTER_DATABASE!$I$4:$I$1000,"To Verify")</f>
        <v>14</v>
      </c>
      <c r="I28" s="20" t="n">
        <f aca="false">COUNTIFS(MASTER_DATABASE!$B$4:$B$1000,$A28,MASTER_DATABASE!$AI$4:$AI$1000,"Yes")</f>
        <v>0</v>
      </c>
      <c r="J28" s="20" t="n">
        <f aca="false">COUNTIFS(MASTER_DATABASE!$B$4:$B$1000,$A28,MASTER_DATABASE!$AJ$4:$AJ$1000,"Yes")</f>
        <v>0</v>
      </c>
      <c r="K28" s="20" t="n">
        <f aca="false">SUMPRODUCT((MASTER_DATABASE!$B$4:$B$1000=$A28)*ISNUMBER(MASTER_DATABASE!$T$4:$T$1000))</f>
        <v>0</v>
      </c>
    </row>
    <row r="29" customFormat="false" ht="15" hidden="false" customHeight="false" outlineLevel="0" collapsed="false">
      <c r="A29" s="19" t="str">
        <f aca="false">CATEGORY_MASTER!A8</f>
        <v>Common Service Centre (CSC)</v>
      </c>
      <c r="B29" s="20" t="n">
        <f aca="false">COUNTIF(MASTER_DATABASE!$B$4:$B$1000,$A29)</f>
        <v>50</v>
      </c>
      <c r="C29" s="20" t="n">
        <f aca="false">COUNTIFS(MASTER_DATABASE!$B$4:$B$1000,$A29,MASTER_DATABASE!$AG$4:$AG$1000,"Active")</f>
        <v>0</v>
      </c>
      <c r="D29" s="20" t="n">
        <f aca="false">COUNTIFS(MASTER_DATABASE!$B$4:$B$1000,$A29,MASTER_DATABASE!$BE$4:$BE$1000,"LIVE")</f>
        <v>0</v>
      </c>
      <c r="E29" s="20" t="n">
        <f aca="false">COUNTIFS(MASTER_DATABASE!$B$4:$B$1000,$A29,MASTER_DATABASE!$I$4:$I$1000,"Available")</f>
        <v>0</v>
      </c>
      <c r="F29" s="20" t="n">
        <f aca="false">COUNTIFS(MASTER_DATABASE!$B$4:$B$1000,$A29,MASTER_DATABASE!$I$4:$I$1000,"Authorization Required")</f>
        <v>13</v>
      </c>
      <c r="G29" s="20" t="n">
        <f aca="false">COUNTIFS(MASTER_DATABASE!$B$4:$B$1000,$A29,MASTER_DATABASE!$I$4:$I$1000,"Portal Dependent")</f>
        <v>21</v>
      </c>
      <c r="H29" s="20" t="n">
        <f aca="false">COUNTIFS(MASTER_DATABASE!$B$4:$B$1000,$A29,MASTER_DATABASE!$I$4:$I$1000,"To Verify")</f>
        <v>16</v>
      </c>
      <c r="I29" s="20" t="n">
        <f aca="false">COUNTIFS(MASTER_DATABASE!$B$4:$B$1000,$A29,MASTER_DATABASE!$AI$4:$AI$1000,"Yes")</f>
        <v>0</v>
      </c>
      <c r="J29" s="20" t="n">
        <f aca="false">COUNTIFS(MASTER_DATABASE!$B$4:$B$1000,$A29,MASTER_DATABASE!$AJ$4:$AJ$1000,"Yes")</f>
        <v>0</v>
      </c>
      <c r="K29" s="20" t="n">
        <f aca="false">SUMPRODUCT((MASTER_DATABASE!$B$4:$B$1000=$A29)*ISNUMBER(MASTER_DATABASE!$T$4:$T$1000))</f>
        <v>0</v>
      </c>
    </row>
    <row r="30" customFormat="false" ht="15" hidden="false" customHeight="false" outlineLevel="0" collapsed="false">
      <c r="A30" s="19" t="str">
        <f aca="false">CATEGORY_MASTER!A9</f>
        <v>Mobile Store</v>
      </c>
      <c r="B30" s="20" t="n">
        <f aca="false">COUNTIF(MASTER_DATABASE!$B$4:$B$1000,$A30)</f>
        <v>22</v>
      </c>
      <c r="C30" s="20" t="n">
        <f aca="false">COUNTIFS(MASTER_DATABASE!$B$4:$B$1000,$A30,MASTER_DATABASE!$AG$4:$AG$1000,"Active")</f>
        <v>14</v>
      </c>
      <c r="D30" s="20" t="n">
        <f aca="false">COUNTIFS(MASTER_DATABASE!$B$4:$B$1000,$A30,MASTER_DATABASE!$BE$4:$BE$1000,"LIVE")</f>
        <v>14</v>
      </c>
      <c r="E30" s="20" t="n">
        <f aca="false">COUNTIFS(MASTER_DATABASE!$B$4:$B$1000,$A30,MASTER_DATABASE!$I$4:$I$1000,"Available")</f>
        <v>14</v>
      </c>
      <c r="F30" s="20" t="n">
        <f aca="false">COUNTIFS(MASTER_DATABASE!$B$4:$B$1000,$A30,MASTER_DATABASE!$I$4:$I$1000,"Authorization Required")</f>
        <v>4</v>
      </c>
      <c r="G30" s="20" t="n">
        <f aca="false">COUNTIFS(MASTER_DATABASE!$B$4:$B$1000,$A30,MASTER_DATABASE!$I$4:$I$1000,"Portal Dependent")</f>
        <v>0</v>
      </c>
      <c r="H30" s="20" t="n">
        <f aca="false">COUNTIFS(MASTER_DATABASE!$B$4:$B$1000,$A30,MASTER_DATABASE!$I$4:$I$1000,"To Verify")</f>
        <v>4</v>
      </c>
      <c r="I30" s="20" t="n">
        <f aca="false">COUNTIFS(MASTER_DATABASE!$B$4:$B$1000,$A30,MASTER_DATABASE!$AI$4:$AI$1000,"Yes")</f>
        <v>0</v>
      </c>
      <c r="J30" s="20" t="n">
        <f aca="false">COUNTIFS(MASTER_DATABASE!$B$4:$B$1000,$A30,MASTER_DATABASE!$AJ$4:$AJ$1000,"Yes")</f>
        <v>0</v>
      </c>
      <c r="K30" s="20" t="n">
        <f aca="false">SUMPRODUCT((MASTER_DATABASE!$B$4:$B$1000=$A30)*ISNUMBER(MASTER_DATABASE!$T$4:$T$1000))</f>
        <v>0</v>
      </c>
    </row>
    <row r="31" customFormat="false" ht="15" hidden="false" customHeight="false" outlineLevel="0" collapsed="false">
      <c r="A31" s="19" t="str">
        <f aca="false">CATEGORY_MASTER!A10</f>
        <v>Printing / Xerox / Scanning</v>
      </c>
      <c r="B31" s="20" t="n">
        <f aca="false">COUNTIF(MASTER_DATABASE!$B$4:$B$1000,$A31)</f>
        <v>25</v>
      </c>
      <c r="C31" s="20" t="n">
        <f aca="false">COUNTIFS(MASTER_DATABASE!$B$4:$B$1000,$A31,MASTER_DATABASE!$AG$4:$AG$1000,"Active")</f>
        <v>23</v>
      </c>
      <c r="D31" s="20" t="n">
        <f aca="false">COUNTIFS(MASTER_DATABASE!$B$4:$B$1000,$A31,MASTER_DATABASE!$BE$4:$BE$1000,"LIVE")</f>
        <v>23</v>
      </c>
      <c r="E31" s="20" t="n">
        <f aca="false">COUNTIFS(MASTER_DATABASE!$B$4:$B$1000,$A31,MASTER_DATABASE!$I$4:$I$1000,"Available")</f>
        <v>23</v>
      </c>
      <c r="F31" s="20" t="n">
        <f aca="false">COUNTIFS(MASTER_DATABASE!$B$4:$B$1000,$A31,MASTER_DATABASE!$I$4:$I$1000,"Authorization Required")</f>
        <v>0</v>
      </c>
      <c r="G31" s="20" t="n">
        <f aca="false">COUNTIFS(MASTER_DATABASE!$B$4:$B$1000,$A31,MASTER_DATABASE!$I$4:$I$1000,"Portal Dependent")</f>
        <v>0</v>
      </c>
      <c r="H31" s="20" t="n">
        <f aca="false">COUNTIFS(MASTER_DATABASE!$B$4:$B$1000,$A31,MASTER_DATABASE!$I$4:$I$1000,"To Verify")</f>
        <v>2</v>
      </c>
      <c r="I31" s="20" t="n">
        <f aca="false">COUNTIFS(MASTER_DATABASE!$B$4:$B$1000,$A31,MASTER_DATABASE!$AI$4:$AI$1000,"Yes")</f>
        <v>0</v>
      </c>
      <c r="J31" s="20" t="n">
        <f aca="false">COUNTIFS(MASTER_DATABASE!$B$4:$B$1000,$A31,MASTER_DATABASE!$AJ$4:$AJ$1000,"Yes")</f>
        <v>0</v>
      </c>
      <c r="K31" s="20" t="n">
        <f aca="false">SUMPRODUCT((MASTER_DATABASE!$B$4:$B$1000=$A31)*ISNUMBER(MASTER_DATABASE!$T$4:$T$1000))</f>
        <v>0</v>
      </c>
    </row>
    <row r="32" customFormat="false" ht="15" hidden="false" customHeight="false" outlineLevel="0" collapsed="false">
      <c r="A32" s="19" t="str">
        <f aca="false">CATEGORY_MASTER!A11</f>
        <v>Photo / Photoshop / Design</v>
      </c>
      <c r="B32" s="20" t="n">
        <f aca="false">COUNTIF(MASTER_DATABASE!$B$4:$B$1000,$A32)</f>
        <v>26</v>
      </c>
      <c r="C32" s="20" t="n">
        <f aca="false">COUNTIFS(MASTER_DATABASE!$B$4:$B$1000,$A32,MASTER_DATABASE!$AG$4:$AG$1000,"Active")</f>
        <v>24</v>
      </c>
      <c r="D32" s="20" t="n">
        <f aca="false">COUNTIFS(MASTER_DATABASE!$B$4:$B$1000,$A32,MASTER_DATABASE!$BE$4:$BE$1000,"LIVE")</f>
        <v>24</v>
      </c>
      <c r="E32" s="20" t="n">
        <f aca="false">COUNTIFS(MASTER_DATABASE!$B$4:$B$1000,$A32,MASTER_DATABASE!$I$4:$I$1000,"Available")</f>
        <v>24</v>
      </c>
      <c r="F32" s="20" t="n">
        <f aca="false">COUNTIFS(MASTER_DATABASE!$B$4:$B$1000,$A32,MASTER_DATABASE!$I$4:$I$1000,"Authorization Required")</f>
        <v>0</v>
      </c>
      <c r="G32" s="20" t="n">
        <f aca="false">COUNTIFS(MASTER_DATABASE!$B$4:$B$1000,$A32,MASTER_DATABASE!$I$4:$I$1000,"Portal Dependent")</f>
        <v>0</v>
      </c>
      <c r="H32" s="20" t="n">
        <f aca="false">COUNTIFS(MASTER_DATABASE!$B$4:$B$1000,$A32,MASTER_DATABASE!$I$4:$I$1000,"To Verify")</f>
        <v>2</v>
      </c>
      <c r="I32" s="20" t="n">
        <f aca="false">COUNTIFS(MASTER_DATABASE!$B$4:$B$1000,$A32,MASTER_DATABASE!$AI$4:$AI$1000,"Yes")</f>
        <v>0</v>
      </c>
      <c r="J32" s="20" t="n">
        <f aca="false">COUNTIFS(MASTER_DATABASE!$B$4:$B$1000,$A32,MASTER_DATABASE!$AJ$4:$AJ$1000,"Yes")</f>
        <v>0</v>
      </c>
      <c r="K32" s="20" t="n">
        <f aca="false">SUMPRODUCT((MASTER_DATABASE!$B$4:$B$1000=$A32)*ISNUMBER(MASTER_DATABASE!$T$4:$T$1000))</f>
        <v>0</v>
      </c>
    </row>
    <row r="33" customFormat="false" ht="15" hidden="false" customHeight="false" outlineLevel="0" collapsed="false">
      <c r="A33" s="19" t="str">
        <f aca="false">CATEGORY_MASTER!A12</f>
        <v>Online Form &amp; Digital Services</v>
      </c>
      <c r="B33" s="20" t="n">
        <f aca="false">COUNTIF(MASTER_DATABASE!$B$4:$B$1000,$A33)</f>
        <v>39</v>
      </c>
      <c r="C33" s="20" t="n">
        <f aca="false">COUNTIFS(MASTER_DATABASE!$B$4:$B$1000,$A33,MASTER_DATABASE!$AG$4:$AG$1000,"Active")</f>
        <v>27</v>
      </c>
      <c r="D33" s="20" t="n">
        <f aca="false">COUNTIFS(MASTER_DATABASE!$B$4:$B$1000,$A33,MASTER_DATABASE!$BE$4:$BE$1000,"LIVE")</f>
        <v>27</v>
      </c>
      <c r="E33" s="20" t="n">
        <f aca="false">COUNTIFS(MASTER_DATABASE!$B$4:$B$1000,$A33,MASTER_DATABASE!$I$4:$I$1000,"Available")</f>
        <v>27</v>
      </c>
      <c r="F33" s="20" t="n">
        <f aca="false">COUNTIFS(MASTER_DATABASE!$B$4:$B$1000,$A33,MASTER_DATABASE!$I$4:$I$1000,"Authorization Required")</f>
        <v>0</v>
      </c>
      <c r="G33" s="20" t="n">
        <f aca="false">COUNTIFS(MASTER_DATABASE!$B$4:$B$1000,$A33,MASTER_DATABASE!$I$4:$I$1000,"Portal Dependent")</f>
        <v>11</v>
      </c>
      <c r="H33" s="20" t="n">
        <f aca="false">COUNTIFS(MASTER_DATABASE!$B$4:$B$1000,$A33,MASTER_DATABASE!$I$4:$I$1000,"To Verify")</f>
        <v>1</v>
      </c>
      <c r="I33" s="20" t="n">
        <f aca="false">COUNTIFS(MASTER_DATABASE!$B$4:$B$1000,$A33,MASTER_DATABASE!$AI$4:$AI$1000,"Yes")</f>
        <v>0</v>
      </c>
      <c r="J33" s="20" t="n">
        <f aca="false">COUNTIFS(MASTER_DATABASE!$B$4:$B$1000,$A33,MASTER_DATABASE!$AJ$4:$AJ$1000,"Yes")</f>
        <v>0</v>
      </c>
      <c r="K33" s="20" t="n">
        <f aca="false">SUMPRODUCT((MASTER_DATABASE!$B$4:$B$1000=$A33)*ISNUMBER(MASTER_DATABASE!$T$4:$T$1000))</f>
        <v>0</v>
      </c>
    </row>
    <row r="34" customFormat="false" ht="15" hidden="false" customHeight="false" outlineLevel="0" collapsed="false">
      <c r="A34" s="19" t="str">
        <f aca="false">CATEGORY_MASTER!A13</f>
        <v>Recharge / Bill Payment</v>
      </c>
      <c r="B34" s="20" t="n">
        <f aca="false">COUNTIF(MASTER_DATABASE!$B$4:$B$1000,$A34)</f>
        <v>16</v>
      </c>
      <c r="C34" s="20" t="n">
        <f aca="false">COUNTIFS(MASTER_DATABASE!$B$4:$B$1000,$A34,MASTER_DATABASE!$AG$4:$AG$1000,"Active")</f>
        <v>2</v>
      </c>
      <c r="D34" s="20" t="n">
        <f aca="false">COUNTIFS(MASTER_DATABASE!$B$4:$B$1000,$A34,MASTER_DATABASE!$BE$4:$BE$1000,"LIVE")</f>
        <v>2</v>
      </c>
      <c r="E34" s="20" t="n">
        <f aca="false">COUNTIFS(MASTER_DATABASE!$B$4:$B$1000,$A34,MASTER_DATABASE!$I$4:$I$1000,"Available")</f>
        <v>2</v>
      </c>
      <c r="F34" s="20" t="n">
        <f aca="false">COUNTIFS(MASTER_DATABASE!$B$4:$B$1000,$A34,MASTER_DATABASE!$I$4:$I$1000,"Authorization Required")</f>
        <v>14</v>
      </c>
      <c r="G34" s="20" t="n">
        <f aca="false">COUNTIFS(MASTER_DATABASE!$B$4:$B$1000,$A34,MASTER_DATABASE!$I$4:$I$1000,"Portal Dependent")</f>
        <v>0</v>
      </c>
      <c r="H34" s="20" t="n">
        <f aca="false">COUNTIFS(MASTER_DATABASE!$B$4:$B$1000,$A34,MASTER_DATABASE!$I$4:$I$1000,"To Verify")</f>
        <v>0</v>
      </c>
      <c r="I34" s="20" t="n">
        <f aca="false">COUNTIFS(MASTER_DATABASE!$B$4:$B$1000,$A34,MASTER_DATABASE!$AI$4:$AI$1000,"Yes")</f>
        <v>0</v>
      </c>
      <c r="J34" s="20" t="n">
        <f aca="false">COUNTIFS(MASTER_DATABASE!$B$4:$B$1000,$A34,MASTER_DATABASE!$AJ$4:$AJ$1000,"Yes")</f>
        <v>0</v>
      </c>
      <c r="K34" s="20" t="n">
        <f aca="false">SUMPRODUCT((MASTER_DATABASE!$B$4:$B$1000=$A34)*ISNUMBER(MASTER_DATABASE!$T$4:$T$1000))</f>
        <v>0</v>
      </c>
    </row>
    <row r="35" customFormat="false" ht="15" hidden="false" customHeight="false" outlineLevel="0" collapsed="false">
      <c r="A35" s="19" t="str">
        <f aca="false">CATEGORY_MASTER!A14</f>
        <v>Travel / Ticketing</v>
      </c>
      <c r="B35" s="20" t="n">
        <f aca="false">COUNTIF(MASTER_DATABASE!$B$4:$B$1000,$A35)</f>
        <v>9</v>
      </c>
      <c r="C35" s="20" t="n">
        <f aca="false">COUNTIFS(MASTER_DATABASE!$B$4:$B$1000,$A35,MASTER_DATABASE!$AG$4:$AG$1000,"Active")</f>
        <v>2</v>
      </c>
      <c r="D35" s="20" t="n">
        <f aca="false">COUNTIFS(MASTER_DATABASE!$B$4:$B$1000,$A35,MASTER_DATABASE!$BE$4:$BE$1000,"LIVE")</f>
        <v>2</v>
      </c>
      <c r="E35" s="20" t="n">
        <f aca="false">COUNTIFS(MASTER_DATABASE!$B$4:$B$1000,$A35,MASTER_DATABASE!$I$4:$I$1000,"Available")</f>
        <v>2</v>
      </c>
      <c r="F35" s="20" t="n">
        <f aca="false">COUNTIFS(MASTER_DATABASE!$B$4:$B$1000,$A35,MASTER_DATABASE!$I$4:$I$1000,"Authorization Required")</f>
        <v>3</v>
      </c>
      <c r="G35" s="20" t="n">
        <f aca="false">COUNTIFS(MASTER_DATABASE!$B$4:$B$1000,$A35,MASTER_DATABASE!$I$4:$I$1000,"Portal Dependent")</f>
        <v>0</v>
      </c>
      <c r="H35" s="20" t="n">
        <f aca="false">COUNTIFS(MASTER_DATABASE!$B$4:$B$1000,$A35,MASTER_DATABASE!$I$4:$I$1000,"To Verify")</f>
        <v>4</v>
      </c>
      <c r="I35" s="20" t="n">
        <f aca="false">COUNTIFS(MASTER_DATABASE!$B$4:$B$1000,$A35,MASTER_DATABASE!$AI$4:$AI$1000,"Yes")</f>
        <v>0</v>
      </c>
      <c r="J35" s="20" t="n">
        <f aca="false">COUNTIFS(MASTER_DATABASE!$B$4:$B$1000,$A35,MASTER_DATABASE!$AJ$4:$AJ$1000,"Yes")</f>
        <v>0</v>
      </c>
      <c r="K35" s="20" t="n">
        <f aca="false">SUMPRODUCT((MASTER_DATABASE!$B$4:$B$1000=$A35)*ISNUMBER(MASTER_DATABASE!$T$4:$T$1000))</f>
        <v>0</v>
      </c>
    </row>
    <row r="36" customFormat="false" ht="15" hidden="false" customHeight="false" outlineLevel="0" collapsed="false">
      <c r="A36" s="21" t="s">
        <v>3795</v>
      </c>
      <c r="B36" s="22" t="n">
        <f aca="false">SUM(B25:B35)</f>
        <v>292</v>
      </c>
      <c r="C36" s="22" t="n">
        <f aca="false">SUM(C25:C35)</f>
        <v>108</v>
      </c>
      <c r="D36" s="22" t="n">
        <f aca="false">SUM(D25:D35)</f>
        <v>108</v>
      </c>
      <c r="E36" s="22" t="n">
        <f aca="false">SUM(E25:E35)</f>
        <v>108</v>
      </c>
      <c r="F36" s="22" t="n">
        <f aca="false">SUM(F25:F35)</f>
        <v>58</v>
      </c>
      <c r="G36" s="22" t="n">
        <f aca="false">SUM(G25:G35)</f>
        <v>64</v>
      </c>
      <c r="H36" s="22" t="n">
        <f aca="false">SUM(H25:H35)</f>
        <v>62</v>
      </c>
      <c r="I36" s="22" t="n">
        <f aca="false">SUM(I25:I35)</f>
        <v>0</v>
      </c>
      <c r="J36" s="22" t="n">
        <f aca="false">SUM(J25:J35)</f>
        <v>0</v>
      </c>
      <c r="K36" s="22" t="n">
        <f aca="false">SUM(K25:K35)</f>
        <v>0</v>
      </c>
    </row>
    <row r="38" customFormat="false" ht="15" hidden="false" customHeight="false" outlineLevel="0" collapsed="false">
      <c r="A38" s="13" t="s">
        <v>3796</v>
      </c>
    </row>
    <row r="39" customFormat="false" ht="15" hidden="false" customHeight="false" outlineLevel="0" collapsed="false">
      <c r="A39" s="15" t="s">
        <v>3797</v>
      </c>
    </row>
    <row r="40" customFormat="false" ht="15" hidden="false" customHeight="false" outlineLevel="0" collapsed="false">
      <c r="A40" s="15" t="s">
        <v>3798</v>
      </c>
    </row>
    <row r="41" customFormat="false" ht="15" hidden="false" customHeight="false" outlineLevel="0" collapsed="false">
      <c r="A41" s="15" t="s">
        <v>3799</v>
      </c>
    </row>
    <row r="42" customFormat="false" ht="15" hidden="false" customHeight="false" outlineLevel="0" collapsed="false">
      <c r="A42" s="15" t="s">
        <v>3800</v>
      </c>
    </row>
    <row r="43" customFormat="false" ht="15" hidden="false" customHeight="false" outlineLevel="0" collapsed="false">
      <c r="A43" s="15" t="s">
        <v>3801</v>
      </c>
    </row>
    <row r="44" customFormat="false" ht="15" hidden="false" customHeight="false" outlineLevel="0" collapsed="false">
      <c r="A44" s="15" t="s">
        <v>3802</v>
      </c>
    </row>
    <row r="45" customFormat="false" ht="15" hidden="false" customHeight="false" outlineLevel="0" collapsed="false">
      <c r="A45" s="15" t="s">
        <v>3803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T3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1" min="11" style="0" width="26"/>
    <col collapsed="false" customWidth="true" hidden="false" outlineLevel="0" max="12" min="12" style="0" width="15"/>
    <col collapsed="false" customWidth="true" hidden="false" outlineLevel="0" max="13" min="13" style="0" width="26"/>
    <col collapsed="false" customWidth="true" hidden="false" outlineLevel="0" max="14" min="14" style="0" width="15"/>
    <col collapsed="false" customWidth="true" hidden="false" outlineLevel="0" max="15" min="15" style="0" width="26"/>
    <col collapsed="false" customWidth="true" hidden="false" outlineLevel="0" max="16" min="16" style="0" width="15"/>
    <col collapsed="false" customWidth="true" hidden="false" outlineLevel="0" max="17" min="17" style="0" width="26"/>
    <col collapsed="false" customWidth="true" hidden="false" outlineLevel="0" max="18" min="18" style="0" width="15"/>
    <col collapsed="false" customWidth="true" hidden="false" outlineLevel="0" max="19" min="19" style="0" width="34"/>
    <col collapsed="false" customWidth="true" hidden="false" outlineLevel="0" max="20" min="20" style="0" width="40"/>
  </cols>
  <sheetData>
    <row r="1" customFormat="false" ht="17.35" hidden="false" customHeight="false" outlineLevel="0" collapsed="false">
      <c r="A1" s="1" t="s">
        <v>3804</v>
      </c>
    </row>
    <row r="2" customFormat="false" ht="15" hidden="false" customHeight="false" outlineLevel="0" collapsed="false">
      <c r="A2" s="2" t="s">
        <v>3805</v>
      </c>
    </row>
    <row r="3" customFormat="false" ht="33.75" hidden="false" customHeight="true" outlineLevel="0" collapsed="false">
      <c r="A3" s="3" t="s">
        <v>2</v>
      </c>
      <c r="B3" s="4" t="s">
        <v>3398</v>
      </c>
      <c r="C3" s="3" t="s">
        <v>3806</v>
      </c>
      <c r="D3" s="3" t="s">
        <v>3807</v>
      </c>
      <c r="E3" s="3" t="s">
        <v>3808</v>
      </c>
      <c r="F3" s="3" t="s">
        <v>3809</v>
      </c>
      <c r="G3" s="3" t="s">
        <v>3810</v>
      </c>
      <c r="H3" s="3" t="s">
        <v>3811</v>
      </c>
      <c r="I3" s="3" t="s">
        <v>3812</v>
      </c>
      <c r="J3" s="3" t="s">
        <v>3813</v>
      </c>
      <c r="K3" s="3" t="s">
        <v>3814</v>
      </c>
      <c r="L3" s="3" t="s">
        <v>3815</v>
      </c>
      <c r="M3" s="3" t="s">
        <v>3816</v>
      </c>
      <c r="N3" s="3" t="s">
        <v>3817</v>
      </c>
      <c r="O3" s="3" t="s">
        <v>3818</v>
      </c>
      <c r="P3" s="3" t="s">
        <v>3819</v>
      </c>
      <c r="Q3" s="3" t="s">
        <v>3820</v>
      </c>
      <c r="R3" s="3" t="s">
        <v>3821</v>
      </c>
      <c r="S3" s="4" t="s">
        <v>3822</v>
      </c>
      <c r="T3" s="4" t="s">
        <v>3823</v>
      </c>
    </row>
    <row r="4" customFormat="false" ht="46.25" hidden="false" customHeight="false" outlineLevel="0" collapsed="false">
      <c r="A4" s="6" t="s">
        <v>66</v>
      </c>
      <c r="B4" s="7" t="str">
        <f aca="false">IF($A4="","",IFERROR(INDEX(MASTER_DATABASE!$E$4:$E$1000,MATCH($A4,MASTER_DATABASE!$A$4:$A$1000,0)),""))</f>
        <v>New Aadhaar Enrolment – Adult (18+ years)</v>
      </c>
      <c r="C4" s="6" t="s">
        <v>3461</v>
      </c>
      <c r="D4" s="6" t="s">
        <v>3436</v>
      </c>
      <c r="E4" s="6" t="s">
        <v>3456</v>
      </c>
      <c r="F4" s="6" t="s">
        <v>3436</v>
      </c>
      <c r="G4" s="6" t="s">
        <v>3465</v>
      </c>
      <c r="H4" s="6" t="s">
        <v>3436</v>
      </c>
      <c r="I4" s="6" t="s">
        <v>3488</v>
      </c>
      <c r="J4" s="6" t="s">
        <v>3436</v>
      </c>
      <c r="K4" s="6" t="s">
        <v>3478</v>
      </c>
      <c r="L4" s="6" t="s">
        <v>3453</v>
      </c>
      <c r="M4" s="6"/>
      <c r="N4" s="6"/>
      <c r="O4" s="6"/>
      <c r="P4" s="6"/>
      <c r="Q4" s="6"/>
      <c r="R4" s="6"/>
      <c r="S4" s="7" t="str">
        <f aca="false">_xlfn.TEXTJOIN(CHAR(10),TRUE(),IF(AND(C4&lt;&gt;"",D4="Mandatory"),"✓ "&amp;C4,""),IF(AND(E4&lt;&gt;"",F4="Mandatory"),"✓ "&amp;E4,""),IF(AND(G4&lt;&gt;"",H4="Mandatory"),"✓ "&amp;G4,""),IF(AND(I4&lt;&gt;"",J4="Mandatory"),"✓ "&amp;I4,""),IF(AND(K4&lt;&gt;"",L4="Mandatory"),"✓ "&amp;K4,""),IF(AND(M4&lt;&gt;"",N4="Mandatory"),"✓ "&amp;M4,""),IF(AND(O4&lt;&gt;"",P4="Mandatory"),"✓ "&amp;O4,""),IF(AND(Q4&lt;&gt;"",R4="Mandatory"),"✓ "&amp;Q4,""))</f>
        <v>✓ Identity Proof
✓ Address Proof
✓ Date of Birth Proof
✓ Customer Presence for Biometrics</v>
      </c>
      <c r="T4" s="7" t="str">
        <f aca="false">_xlfn.TEXTJOIN(CHAR(10),TRUE(),IF(AND(C4&lt;&gt;"",OR(D4="Optional",D4="If Applicable",D4="To Verify")),"• "&amp;C4&amp;" ("&amp;D4&amp;")",""),IF(AND(E4&lt;&gt;"",OR(F4="Optional",F4="If Applicable",F4="To Verify")),"• "&amp;E4&amp;" ("&amp;F4&amp;")",""),IF(AND(G4&lt;&gt;"",OR(H4="Optional",H4="If Applicable",H4="To Verify")),"• "&amp;G4&amp;" ("&amp;H4&amp;")",""),IF(AND(I4&lt;&gt;"",OR(J4="Optional",J4="If Applicable",J4="To Verify")),"• "&amp;I4&amp;" ("&amp;J4&amp;")",""),IF(AND(K4&lt;&gt;"",OR(L4="Optional",L4="If Applicable",L4="To Verify")),"• "&amp;K4&amp;" ("&amp;L4&amp;")",""),IF(AND(M4&lt;&gt;"",OR(N4="Optional",N4="If Applicable",N4="To Verify")),"• "&amp;M4&amp;" ("&amp;N4&amp;")",""),IF(AND(O4&lt;&gt;"",OR(P4="Optional",P4="If Applicable",P4="To Verify")),"• "&amp;O4&amp;" ("&amp;P4&amp;")",""),IF(AND(Q4&lt;&gt;"",OR(R4="Optional",R4="If Applicable",R4="To Verify")),"• "&amp;Q4&amp;" ("&amp;R4&amp;")",""))</f>
        <v>• Active Mobile Number (If Applicable)</v>
      </c>
    </row>
    <row r="5" customFormat="false" ht="35.05" hidden="false" customHeight="false" outlineLevel="0" collapsed="false">
      <c r="A5" s="6" t="s">
        <v>94</v>
      </c>
      <c r="B5" s="7" t="str">
        <f aca="false">IF($A5="","",IFERROR(INDEX(MASTER_DATABASE!$E$4:$E$1000,MATCH($A5,MASTER_DATABASE!$A$4:$A$1000,0)),""))</f>
        <v>New Aadhaar Enrolment – Child (5 to 17 years)</v>
      </c>
      <c r="C5" s="6" t="s">
        <v>3470</v>
      </c>
      <c r="D5" s="6" t="s">
        <v>3436</v>
      </c>
      <c r="E5" s="6" t="s">
        <v>3474</v>
      </c>
      <c r="F5" s="6" t="s">
        <v>3436</v>
      </c>
      <c r="G5" s="6" t="s">
        <v>3456</v>
      </c>
      <c r="H5" s="6" t="s">
        <v>3453</v>
      </c>
      <c r="I5" s="6" t="s">
        <v>3488</v>
      </c>
      <c r="J5" s="6" t="s">
        <v>3436</v>
      </c>
      <c r="K5" s="6"/>
      <c r="L5" s="6"/>
      <c r="M5" s="6"/>
      <c r="N5" s="6"/>
      <c r="O5" s="6"/>
      <c r="P5" s="6"/>
      <c r="Q5" s="6"/>
      <c r="R5" s="6"/>
      <c r="S5" s="7" t="str">
        <f aca="false">_xlfn.TEXTJOIN(CHAR(10),TRUE(),IF(AND(C5&lt;&gt;"",D5="Mandatory"),"✓ "&amp;C5,""),IF(AND(E5&lt;&gt;"",F5="Mandatory"),"✓ "&amp;E5,""),IF(AND(G5&lt;&gt;"",H5="Mandatory"),"✓ "&amp;G5,""),IF(AND(I5&lt;&gt;"",J5="Mandatory"),"✓ "&amp;I5,""),IF(AND(K5&lt;&gt;"",L5="Mandatory"),"✓ "&amp;K5,""),IF(AND(M5&lt;&gt;"",N5="Mandatory"),"✓ "&amp;M5,""),IF(AND(O5&lt;&gt;"",P5="Mandatory"),"✓ "&amp;O5,""),IF(AND(Q5&lt;&gt;"",R5="Mandatory"),"✓ "&amp;Q5,""))</f>
        <v>✓ Parent / Guardian Aadhaar
✓ Birth Certificate
✓ Customer Presence for Biometrics</v>
      </c>
      <c r="T5" s="7" t="str">
        <f aca="false">_xlfn.TEXTJOIN(CHAR(10),TRUE(),IF(AND(C5&lt;&gt;"",OR(D5="Optional",D5="If Applicable",D5="To Verify")),"• "&amp;C5&amp;" ("&amp;D5&amp;")",""),IF(AND(E5&lt;&gt;"",OR(F5="Optional",F5="If Applicable",F5="To Verify")),"• "&amp;E5&amp;" ("&amp;F5&amp;")",""),IF(AND(G5&lt;&gt;"",OR(H5="Optional",H5="If Applicable",H5="To Verify")),"• "&amp;G5&amp;" ("&amp;H5&amp;")",""),IF(AND(I5&lt;&gt;"",OR(J5="Optional",J5="If Applicable",J5="To Verify")),"• "&amp;I5&amp;" ("&amp;J5&amp;")",""),IF(AND(K5&lt;&gt;"",OR(L5="Optional",L5="If Applicable",L5="To Verify")),"• "&amp;K5&amp;" ("&amp;L5&amp;")",""),IF(AND(M5&lt;&gt;"",OR(N5="Optional",N5="If Applicable",N5="To Verify")),"• "&amp;M5&amp;" ("&amp;N5&amp;")",""),IF(AND(O5&lt;&gt;"",OR(P5="Optional",P5="If Applicable",P5="To Verify")),"• "&amp;O5&amp;" ("&amp;P5&amp;")",""),IF(AND(Q5&lt;&gt;"",OR(R5="Optional",R5="If Applicable",R5="To Verify")),"• "&amp;Q5&amp;" ("&amp;R5&amp;")",""))</f>
        <v>• Address Proof (If Applicable)</v>
      </c>
    </row>
    <row r="6" customFormat="false" ht="35.05" hidden="false" customHeight="false" outlineLevel="0" collapsed="false">
      <c r="A6" s="6" t="s">
        <v>109</v>
      </c>
      <c r="B6" s="7" t="str">
        <f aca="false">IF($A6="","",IFERROR(INDEX(MASTER_DATABASE!$E$4:$E$1000,MATCH($A6,MASTER_DATABASE!$A$4:$A$1000,0)),""))</f>
        <v>New Aadhaar Enrolment – Child (0 to 5 years, Baal Aadhaar)</v>
      </c>
      <c r="C6" s="6" t="s">
        <v>3470</v>
      </c>
      <c r="D6" s="6" t="s">
        <v>3436</v>
      </c>
      <c r="E6" s="6" t="s">
        <v>3474</v>
      </c>
      <c r="F6" s="6" t="s">
        <v>3436</v>
      </c>
      <c r="G6" s="6" t="s">
        <v>3456</v>
      </c>
      <c r="H6" s="6" t="s">
        <v>3453</v>
      </c>
      <c r="I6" s="6" t="s">
        <v>3488</v>
      </c>
      <c r="J6" s="6" t="s">
        <v>3436</v>
      </c>
      <c r="K6" s="6"/>
      <c r="L6" s="6"/>
      <c r="M6" s="6"/>
      <c r="N6" s="6"/>
      <c r="O6" s="6"/>
      <c r="P6" s="6"/>
      <c r="Q6" s="6"/>
      <c r="R6" s="6"/>
      <c r="S6" s="7" t="str">
        <f aca="false">_xlfn.TEXTJOIN(CHAR(10),TRUE(),IF(AND(C6&lt;&gt;"",D6="Mandatory"),"✓ "&amp;C6,""),IF(AND(E6&lt;&gt;"",F6="Mandatory"),"✓ "&amp;E6,""),IF(AND(G6&lt;&gt;"",H6="Mandatory"),"✓ "&amp;G6,""),IF(AND(I6&lt;&gt;"",J6="Mandatory"),"✓ "&amp;I6,""),IF(AND(K6&lt;&gt;"",L6="Mandatory"),"✓ "&amp;K6,""),IF(AND(M6&lt;&gt;"",N6="Mandatory"),"✓ "&amp;M6,""),IF(AND(O6&lt;&gt;"",P6="Mandatory"),"✓ "&amp;O6,""),IF(AND(Q6&lt;&gt;"",R6="Mandatory"),"✓ "&amp;Q6,""))</f>
        <v>✓ Parent / Guardian Aadhaar
✓ Birth Certificate
✓ Customer Presence for Biometrics</v>
      </c>
      <c r="T6" s="7" t="str">
        <f aca="false">_xlfn.TEXTJOIN(CHAR(10),TRUE(),IF(AND(C6&lt;&gt;"",OR(D6="Optional",D6="If Applicable",D6="To Verify")),"• "&amp;C6&amp;" ("&amp;D6&amp;")",""),IF(AND(E6&lt;&gt;"",OR(F6="Optional",F6="If Applicable",F6="To Verify")),"• "&amp;E6&amp;" ("&amp;F6&amp;")",""),IF(AND(G6&lt;&gt;"",OR(H6="Optional",H6="If Applicable",H6="To Verify")),"• "&amp;G6&amp;" ("&amp;H6&amp;")",""),IF(AND(I6&lt;&gt;"",OR(J6="Optional",J6="If Applicable",J6="To Verify")),"• "&amp;I6&amp;" ("&amp;J6&amp;")",""),IF(AND(K6&lt;&gt;"",OR(L6="Optional",L6="If Applicable",L6="To Verify")),"• "&amp;K6&amp;" ("&amp;L6&amp;")",""),IF(AND(M6&lt;&gt;"",OR(N6="Optional",N6="If Applicable",N6="To Verify")),"• "&amp;M6&amp;" ("&amp;N6&amp;")",""),IF(AND(O6&lt;&gt;"",OR(P6="Optional",P6="If Applicable",P6="To Verify")),"• "&amp;O6&amp;" ("&amp;P6&amp;")",""),IF(AND(Q6&lt;&gt;"",OR(R6="Optional",R6="If Applicable",R6="To Verify")),"• "&amp;Q6&amp;" ("&amp;R6&amp;")",""))</f>
        <v>• Address Proof (If Applicable)</v>
      </c>
    </row>
    <row r="7" customFormat="false" ht="23.85" hidden="false" customHeight="false" outlineLevel="0" collapsed="false">
      <c r="A7" s="6" t="s">
        <v>124</v>
      </c>
      <c r="B7" s="7" t="str">
        <f aca="false">IF($A7="","",IFERROR(INDEX(MASTER_DATABASE!$E$4:$E$1000,MATCH($A7,MASTER_DATABASE!$A$4:$A$1000,0)),""))</f>
        <v>Aadhaar Enrolment – Head of Family / Introducer Based</v>
      </c>
      <c r="C7" s="6" t="s">
        <v>3539</v>
      </c>
      <c r="D7" s="6" t="s">
        <v>75</v>
      </c>
      <c r="E7" s="6" t="s">
        <v>3488</v>
      </c>
      <c r="F7" s="6" t="s">
        <v>3436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 t="str">
        <f aca="false">_xlfn.TEXTJOIN(CHAR(10),TRUE(),IF(AND(C7&lt;&gt;"",D7="Mandatory"),"✓ "&amp;C7,""),IF(AND(E7&lt;&gt;"",F7="Mandatory"),"✓ "&amp;E7,""),IF(AND(G7&lt;&gt;"",H7="Mandatory"),"✓ "&amp;G7,""),IF(AND(I7&lt;&gt;"",J7="Mandatory"),"✓ "&amp;I7,""),IF(AND(K7&lt;&gt;"",L7="Mandatory"),"✓ "&amp;K7,""),IF(AND(M7&lt;&gt;"",N7="Mandatory"),"✓ "&amp;M7,""),IF(AND(O7&lt;&gt;"",P7="Mandatory"),"✓ "&amp;O7,""),IF(AND(Q7&lt;&gt;"",R7="Mandatory"),"✓ "&amp;Q7,""))</f>
        <v>✓ Customer Presence for Biometrics</v>
      </c>
      <c r="T7" s="7" t="str">
        <f aca="false">_xlfn.TEXTJOIN(CHAR(10),TRUE(),IF(AND(C7&lt;&gt;"",OR(D7="Optional",D7="If Applicable",D7="To Verify")),"• "&amp;C7&amp;" ("&amp;D7&amp;")",""),IF(AND(E7&lt;&gt;"",OR(F7="Optional",F7="If Applicable",F7="To Verify")),"• "&amp;E7&amp;" ("&amp;F7&amp;")",""),IF(AND(G7&lt;&gt;"",OR(H7="Optional",H7="If Applicable",H7="To Verify")),"• "&amp;G7&amp;" ("&amp;H7&amp;")",""),IF(AND(I7&lt;&gt;"",OR(J7="Optional",J7="If Applicable",J7="To Verify")),"• "&amp;I7&amp;" ("&amp;J7&amp;")",""),IF(AND(K7&lt;&gt;"",OR(L7="Optional",L7="If Applicable",L7="To Verify")),"• "&amp;K7&amp;" ("&amp;L7&amp;")",""),IF(AND(M7&lt;&gt;"",OR(N7="Optional",N7="If Applicable",N7="To Verify")),"• "&amp;M7&amp;" ("&amp;N7&amp;")",""),IF(AND(O7&lt;&gt;"",OR(P7="Optional",P7="If Applicable",P7="To Verify")),"• "&amp;O7&amp;" ("&amp;P7&amp;")",""),IF(AND(Q7&lt;&gt;"",OR(R7="Optional",R7="If Applicable",R7="To Verify")),"• "&amp;Q7&amp;" ("&amp;R7&amp;")",""))</f>
        <v>• Original Documents (To Verify)</v>
      </c>
    </row>
    <row r="8" customFormat="false" ht="23.85" hidden="false" customHeight="false" outlineLevel="0" collapsed="false">
      <c r="A8" s="6" t="s">
        <v>141</v>
      </c>
      <c r="B8" s="7" t="str">
        <f aca="false">IF($A8="","",IFERROR(INDEX(MASTER_DATABASE!$E$4:$E$1000,MATCH($A8,MASTER_DATABASE!$A$4:$A$1000,0)),""))</f>
        <v>Aadhaar Enrolment – NRI / Foreign Resident</v>
      </c>
      <c r="C8" s="6" t="s">
        <v>3539</v>
      </c>
      <c r="D8" s="6" t="s">
        <v>75</v>
      </c>
      <c r="E8" s="6" t="s">
        <v>3488</v>
      </c>
      <c r="F8" s="6" t="s">
        <v>3436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 t="str">
        <f aca="false">_xlfn.TEXTJOIN(CHAR(10),TRUE(),IF(AND(C8&lt;&gt;"",D8="Mandatory"),"✓ "&amp;C8,""),IF(AND(E8&lt;&gt;"",F8="Mandatory"),"✓ "&amp;E8,""),IF(AND(G8&lt;&gt;"",H8="Mandatory"),"✓ "&amp;G8,""),IF(AND(I8&lt;&gt;"",J8="Mandatory"),"✓ "&amp;I8,""),IF(AND(K8&lt;&gt;"",L8="Mandatory"),"✓ "&amp;K8,""),IF(AND(M8&lt;&gt;"",N8="Mandatory"),"✓ "&amp;M8,""),IF(AND(O8&lt;&gt;"",P8="Mandatory"),"✓ "&amp;O8,""),IF(AND(Q8&lt;&gt;"",R8="Mandatory"),"✓ "&amp;Q8,""))</f>
        <v>✓ Customer Presence for Biometrics</v>
      </c>
      <c r="T8" s="7" t="str">
        <f aca="false">_xlfn.TEXTJOIN(CHAR(10),TRUE(),IF(AND(C8&lt;&gt;"",OR(D8="Optional",D8="If Applicable",D8="To Verify")),"• "&amp;C8&amp;" ("&amp;D8&amp;")",""),IF(AND(E8&lt;&gt;"",OR(F8="Optional",F8="If Applicable",F8="To Verify")),"• "&amp;E8&amp;" ("&amp;F8&amp;")",""),IF(AND(G8&lt;&gt;"",OR(H8="Optional",H8="If Applicable",H8="To Verify")),"• "&amp;G8&amp;" ("&amp;H8&amp;")",""),IF(AND(I8&lt;&gt;"",OR(J8="Optional",J8="If Applicable",J8="To Verify")),"• "&amp;I8&amp;" ("&amp;J8&amp;")",""),IF(AND(K8&lt;&gt;"",OR(L8="Optional",L8="If Applicable",L8="To Verify")),"• "&amp;K8&amp;" ("&amp;L8&amp;")",""),IF(AND(M8&lt;&gt;"",OR(N8="Optional",N8="If Applicable",N8="To Verify")),"• "&amp;M8&amp;" ("&amp;N8&amp;")",""),IF(AND(O8&lt;&gt;"",OR(P8="Optional",P8="If Applicable",P8="To Verify")),"• "&amp;O8&amp;" ("&amp;P8&amp;")",""),IF(AND(Q8&lt;&gt;"",OR(R8="Optional",R8="If Applicable",R8="To Verify")),"• "&amp;Q8&amp;" ("&amp;R8&amp;")",""))</f>
        <v>• Original Documents (To Verify)</v>
      </c>
    </row>
    <row r="9" customFormat="false" ht="23.85" hidden="false" customHeight="false" outlineLevel="0" collapsed="false">
      <c r="A9" s="6" t="s">
        <v>151</v>
      </c>
      <c r="B9" s="7" t="str">
        <f aca="false">IF($A9="","",IFERROR(INDEX(MASTER_DATABASE!$E$4:$E$1000,MATCH($A9,MASTER_DATABASE!$A$4:$A$1000,0)),""))</f>
        <v>Aadhaar Enrolment – Biometric Exception Case</v>
      </c>
      <c r="C9" s="6" t="s">
        <v>3539</v>
      </c>
      <c r="D9" s="6" t="s">
        <v>75</v>
      </c>
      <c r="E9" s="6" t="s">
        <v>3488</v>
      </c>
      <c r="F9" s="6" t="s">
        <v>3436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 t="str">
        <f aca="false">_xlfn.TEXTJOIN(CHAR(10),TRUE(),IF(AND(C9&lt;&gt;"",D9="Mandatory"),"✓ "&amp;C9,""),IF(AND(E9&lt;&gt;"",F9="Mandatory"),"✓ "&amp;E9,""),IF(AND(G9&lt;&gt;"",H9="Mandatory"),"✓ "&amp;G9,""),IF(AND(I9&lt;&gt;"",J9="Mandatory"),"✓ "&amp;I9,""),IF(AND(K9&lt;&gt;"",L9="Mandatory"),"✓ "&amp;K9,""),IF(AND(M9&lt;&gt;"",N9="Mandatory"),"✓ "&amp;M9,""),IF(AND(O9&lt;&gt;"",P9="Mandatory"),"✓ "&amp;O9,""),IF(AND(Q9&lt;&gt;"",R9="Mandatory"),"✓ "&amp;Q9,""))</f>
        <v>✓ Customer Presence for Biometrics</v>
      </c>
      <c r="T9" s="7" t="str">
        <f aca="false">_xlfn.TEXTJOIN(CHAR(10),TRUE(),IF(AND(C9&lt;&gt;"",OR(D9="Optional",D9="If Applicable",D9="To Verify")),"• "&amp;C9&amp;" ("&amp;D9&amp;")",""),IF(AND(E9&lt;&gt;"",OR(F9="Optional",F9="If Applicable",F9="To Verify")),"• "&amp;E9&amp;" ("&amp;F9&amp;")",""),IF(AND(G9&lt;&gt;"",OR(H9="Optional",H9="If Applicable",H9="To Verify")),"• "&amp;G9&amp;" ("&amp;H9&amp;")",""),IF(AND(I9&lt;&gt;"",OR(J9="Optional",J9="If Applicable",J9="To Verify")),"• "&amp;I9&amp;" ("&amp;J9&amp;")",""),IF(AND(K9&lt;&gt;"",OR(L9="Optional",L9="If Applicable",L9="To Verify")),"• "&amp;K9&amp;" ("&amp;L9&amp;")",""),IF(AND(M9&lt;&gt;"",OR(N9="Optional",N9="If Applicable",N9="To Verify")),"• "&amp;M9&amp;" ("&amp;N9&amp;")",""),IF(AND(O9&lt;&gt;"",OR(P9="Optional",P9="If Applicable",P9="To Verify")),"• "&amp;O9&amp;" ("&amp;P9&amp;")",""),IF(AND(Q9&lt;&gt;"",OR(R9="Optional",R9="If Applicable",R9="To Verify")),"• "&amp;Q9&amp;" ("&amp;R9&amp;")",""))</f>
        <v>• Original Documents (To Verify)</v>
      </c>
    </row>
    <row r="10" customFormat="false" ht="23.85" hidden="false" customHeight="false" outlineLevel="0" collapsed="false">
      <c r="A10" s="6" t="s">
        <v>161</v>
      </c>
      <c r="B10" s="7" t="str">
        <f aca="false">IF($A10="","",IFERROR(INDEX(MASTER_DATABASE!$E$4:$E$1000,MATCH($A10,MASTER_DATABASE!$A$4:$A$1000,0)),""))</f>
        <v>Aadhaar Name Update</v>
      </c>
      <c r="C10" s="6" t="s">
        <v>3433</v>
      </c>
      <c r="D10" s="6" t="s">
        <v>3436</v>
      </c>
      <c r="E10" s="6" t="s">
        <v>3615</v>
      </c>
      <c r="F10" s="6" t="s">
        <v>3436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 t="str">
        <f aca="false">_xlfn.TEXTJOIN(CHAR(10),TRUE(),IF(AND(C10&lt;&gt;"",D10="Mandatory"),"✓ "&amp;C10,""),IF(AND(E10&lt;&gt;"",F10="Mandatory"),"✓ "&amp;E10,""),IF(AND(G10&lt;&gt;"",H10="Mandatory"),"✓ "&amp;G10,""),IF(AND(I10&lt;&gt;"",J10="Mandatory"),"✓ "&amp;I10,""),IF(AND(K10&lt;&gt;"",L10="Mandatory"),"✓ "&amp;K10,""),IF(AND(M10&lt;&gt;"",N10="Mandatory"),"✓ "&amp;M10,""),IF(AND(O10&lt;&gt;"",P10="Mandatory"),"✓ "&amp;O10,""),IF(AND(Q10&lt;&gt;"",R10="Mandatory"),"✓ "&amp;Q10,""))</f>
        <v>✓ Aadhaar Card
✓ Proof of Name</v>
      </c>
      <c r="T10" s="7" t="str">
        <f aca="false">_xlfn.TEXTJOIN(CHAR(10),TRUE(),IF(AND(C10&lt;&gt;"",OR(D10="Optional",D10="If Applicable",D10="To Verify")),"• "&amp;C10&amp;" ("&amp;D10&amp;")",""),IF(AND(E10&lt;&gt;"",OR(F10="Optional",F10="If Applicable",F10="To Verify")),"• "&amp;E10&amp;" ("&amp;F10&amp;")",""),IF(AND(G10&lt;&gt;"",OR(H10="Optional",H10="If Applicable",H10="To Verify")),"• "&amp;G10&amp;" ("&amp;H10&amp;")",""),IF(AND(I10&lt;&gt;"",OR(J10="Optional",J10="If Applicable",J10="To Verify")),"• "&amp;I10&amp;" ("&amp;J10&amp;")",""),IF(AND(K10&lt;&gt;"",OR(L10="Optional",L10="If Applicable",L10="To Verify")),"• "&amp;K10&amp;" ("&amp;L10&amp;")",""),IF(AND(M10&lt;&gt;"",OR(N10="Optional",N10="If Applicable",N10="To Verify")),"• "&amp;M10&amp;" ("&amp;N10&amp;")",""),IF(AND(O10&lt;&gt;"",OR(P10="Optional",P10="If Applicable",P10="To Verify")),"• "&amp;O10&amp;" ("&amp;P10&amp;")",""),IF(AND(Q10&lt;&gt;"",OR(R10="Optional",R10="If Applicable",R10="To Verify")),"• "&amp;Q10&amp;" ("&amp;R10&amp;")",""))</f>
        <v/>
      </c>
    </row>
    <row r="11" customFormat="false" ht="23.85" hidden="false" customHeight="false" outlineLevel="0" collapsed="false">
      <c r="A11" s="6" t="s">
        <v>180</v>
      </c>
      <c r="B11" s="7" t="str">
        <f aca="false">IF($A11="","",IFERROR(INDEX(MASTER_DATABASE!$E$4:$E$1000,MATCH($A11,MASTER_DATABASE!$A$4:$A$1000,0)),""))</f>
        <v>Aadhaar Date of Birth Update</v>
      </c>
      <c r="C11" s="6" t="s">
        <v>3433</v>
      </c>
      <c r="D11" s="6" t="s">
        <v>3436</v>
      </c>
      <c r="E11" s="6" t="s">
        <v>3465</v>
      </c>
      <c r="F11" s="6" t="s">
        <v>3436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 t="str">
        <f aca="false">_xlfn.TEXTJOIN(CHAR(10),TRUE(),IF(AND(C11&lt;&gt;"",D11="Mandatory"),"✓ "&amp;C11,""),IF(AND(E11&lt;&gt;"",F11="Mandatory"),"✓ "&amp;E11,""),IF(AND(G11&lt;&gt;"",H11="Mandatory"),"✓ "&amp;G11,""),IF(AND(I11&lt;&gt;"",J11="Mandatory"),"✓ "&amp;I11,""),IF(AND(K11&lt;&gt;"",L11="Mandatory"),"✓ "&amp;K11,""),IF(AND(M11&lt;&gt;"",N11="Mandatory"),"✓ "&amp;M11,""),IF(AND(O11&lt;&gt;"",P11="Mandatory"),"✓ "&amp;O11,""),IF(AND(Q11&lt;&gt;"",R11="Mandatory"),"✓ "&amp;Q11,""))</f>
        <v>✓ Aadhaar Card
✓ Date of Birth Proof</v>
      </c>
      <c r="T11" s="7" t="str">
        <f aca="false">_xlfn.TEXTJOIN(CHAR(10),TRUE(),IF(AND(C11&lt;&gt;"",OR(D11="Optional",D11="If Applicable",D11="To Verify")),"• "&amp;C11&amp;" ("&amp;D11&amp;")",""),IF(AND(E11&lt;&gt;"",OR(F11="Optional",F11="If Applicable",F11="To Verify")),"• "&amp;E11&amp;" ("&amp;F11&amp;")",""),IF(AND(G11&lt;&gt;"",OR(H11="Optional",H11="If Applicable",H11="To Verify")),"• "&amp;G11&amp;" ("&amp;H11&amp;")",""),IF(AND(I11&lt;&gt;"",OR(J11="Optional",J11="If Applicable",J11="To Verify")),"• "&amp;I11&amp;" ("&amp;J11&amp;")",""),IF(AND(K11&lt;&gt;"",OR(L11="Optional",L11="If Applicable",L11="To Verify")),"• "&amp;K11&amp;" ("&amp;L11&amp;")",""),IF(AND(M11&lt;&gt;"",OR(N11="Optional",N11="If Applicable",N11="To Verify")),"• "&amp;M11&amp;" ("&amp;N11&amp;")",""),IF(AND(O11&lt;&gt;"",OR(P11="Optional",P11="If Applicable",P11="To Verify")),"• "&amp;O11&amp;" ("&amp;P11&amp;")",""),IF(AND(Q11&lt;&gt;"",OR(R11="Optional",R11="If Applicable",R11="To Verify")),"• "&amp;Q11&amp;" ("&amp;R11&amp;")",""))</f>
        <v/>
      </c>
    </row>
    <row r="12" customFormat="false" ht="15" hidden="false" customHeight="false" outlineLevel="0" collapsed="false">
      <c r="A12" s="6" t="s">
        <v>192</v>
      </c>
      <c r="B12" s="7" t="str">
        <f aca="false">IF($A12="","",IFERROR(INDEX(MASTER_DATABASE!$E$4:$E$1000,MATCH($A12,MASTER_DATABASE!$A$4:$A$1000,0)),""))</f>
        <v>Aadhaar Gender Update</v>
      </c>
      <c r="C12" s="6" t="s">
        <v>3433</v>
      </c>
      <c r="D12" s="6" t="s">
        <v>3436</v>
      </c>
      <c r="E12" s="6" t="s">
        <v>3461</v>
      </c>
      <c r="F12" s="6" t="s">
        <v>75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7" t="str">
        <f aca="false">_xlfn.TEXTJOIN(CHAR(10),TRUE(),IF(AND(C12&lt;&gt;"",D12="Mandatory"),"✓ "&amp;C12,""),IF(AND(E12&lt;&gt;"",F12="Mandatory"),"✓ "&amp;E12,""),IF(AND(G12&lt;&gt;"",H12="Mandatory"),"✓ "&amp;G12,""),IF(AND(I12&lt;&gt;"",J12="Mandatory"),"✓ "&amp;I12,""),IF(AND(K12&lt;&gt;"",L12="Mandatory"),"✓ "&amp;K12,""),IF(AND(M12&lt;&gt;"",N12="Mandatory"),"✓ "&amp;M12,""),IF(AND(O12&lt;&gt;"",P12="Mandatory"),"✓ "&amp;O12,""),IF(AND(Q12&lt;&gt;"",R12="Mandatory"),"✓ "&amp;Q12,""))</f>
        <v>✓ Aadhaar Card</v>
      </c>
      <c r="T12" s="7" t="str">
        <f aca="false">_xlfn.TEXTJOIN(CHAR(10),TRUE(),IF(AND(C12&lt;&gt;"",OR(D12="Optional",D12="If Applicable",D12="To Verify")),"• "&amp;C12&amp;" ("&amp;D12&amp;")",""),IF(AND(E12&lt;&gt;"",OR(F12="Optional",F12="If Applicable",F12="To Verify")),"• "&amp;E12&amp;" ("&amp;F12&amp;")",""),IF(AND(G12&lt;&gt;"",OR(H12="Optional",H12="If Applicable",H12="To Verify")),"• "&amp;G12&amp;" ("&amp;H12&amp;")",""),IF(AND(I12&lt;&gt;"",OR(J12="Optional",J12="If Applicable",J12="To Verify")),"• "&amp;I12&amp;" ("&amp;J12&amp;")",""),IF(AND(K12&lt;&gt;"",OR(L12="Optional",L12="If Applicable",L12="To Verify")),"• "&amp;K12&amp;" ("&amp;L12&amp;")",""),IF(AND(M12&lt;&gt;"",OR(N12="Optional",N12="If Applicable",N12="To Verify")),"• "&amp;M12&amp;" ("&amp;N12&amp;")",""),IF(AND(O12&lt;&gt;"",OR(P12="Optional",P12="If Applicable",P12="To Verify")),"• "&amp;O12&amp;" ("&amp;P12&amp;")",""),IF(AND(Q12&lt;&gt;"",OR(R12="Optional",R12="If Applicable",R12="To Verify")),"• "&amp;Q12&amp;" ("&amp;R12&amp;")",""))</f>
        <v>• Identity Proof (To Verify)</v>
      </c>
    </row>
    <row r="13" customFormat="false" ht="23.85" hidden="false" customHeight="false" outlineLevel="0" collapsed="false">
      <c r="A13" s="6" t="s">
        <v>204</v>
      </c>
      <c r="B13" s="7" t="str">
        <f aca="false">IF($A13="","",IFERROR(INDEX(MASTER_DATABASE!$E$4:$E$1000,MATCH($A13,MASTER_DATABASE!$A$4:$A$1000,0)),""))</f>
        <v>Aadhaar Address Update (with Document)</v>
      </c>
      <c r="C13" s="6" t="s">
        <v>3433</v>
      </c>
      <c r="D13" s="6" t="s">
        <v>3436</v>
      </c>
      <c r="E13" s="6" t="s">
        <v>3456</v>
      </c>
      <c r="F13" s="6" t="s">
        <v>3436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 t="str">
        <f aca="false">_xlfn.TEXTJOIN(CHAR(10),TRUE(),IF(AND(C13&lt;&gt;"",D13="Mandatory"),"✓ "&amp;C13,""),IF(AND(E13&lt;&gt;"",F13="Mandatory"),"✓ "&amp;E13,""),IF(AND(G13&lt;&gt;"",H13="Mandatory"),"✓ "&amp;G13,""),IF(AND(I13&lt;&gt;"",J13="Mandatory"),"✓ "&amp;I13,""),IF(AND(K13&lt;&gt;"",L13="Mandatory"),"✓ "&amp;K13,""),IF(AND(M13&lt;&gt;"",N13="Mandatory"),"✓ "&amp;M13,""),IF(AND(O13&lt;&gt;"",P13="Mandatory"),"✓ "&amp;O13,""),IF(AND(Q13&lt;&gt;"",R13="Mandatory"),"✓ "&amp;Q13,""))</f>
        <v>✓ Aadhaar Card
✓ Address Proof</v>
      </c>
      <c r="T13" s="7" t="str">
        <f aca="false">_xlfn.TEXTJOIN(CHAR(10),TRUE(),IF(AND(C13&lt;&gt;"",OR(D13="Optional",D13="If Applicable",D13="To Verify")),"• "&amp;C13&amp;" ("&amp;D13&amp;")",""),IF(AND(E13&lt;&gt;"",OR(F13="Optional",F13="If Applicable",F13="To Verify")),"• "&amp;E13&amp;" ("&amp;F13&amp;")",""),IF(AND(G13&lt;&gt;"",OR(H13="Optional",H13="If Applicable",H13="To Verify")),"• "&amp;G13&amp;" ("&amp;H13&amp;")",""),IF(AND(I13&lt;&gt;"",OR(J13="Optional",J13="If Applicable",J13="To Verify")),"• "&amp;I13&amp;" ("&amp;J13&amp;")",""),IF(AND(K13&lt;&gt;"",OR(L13="Optional",L13="If Applicable",L13="To Verify")),"• "&amp;K13&amp;" ("&amp;L13&amp;")",""),IF(AND(M13&lt;&gt;"",OR(N13="Optional",N13="If Applicable",N13="To Verify")),"• "&amp;M13&amp;" ("&amp;N13&amp;")",""),IF(AND(O13&lt;&gt;"",OR(P13="Optional",P13="If Applicable",P13="To Verify")),"• "&amp;O13&amp;" ("&amp;P13&amp;")",""),IF(AND(Q13&lt;&gt;"",OR(R13="Optional",R13="If Applicable",R13="To Verify")),"• "&amp;Q13&amp;" ("&amp;R13&amp;")",""))</f>
        <v/>
      </c>
    </row>
    <row r="14" customFormat="false" ht="35.05" hidden="false" customHeight="false" outlineLevel="0" collapsed="false">
      <c r="A14" s="6" t="s">
        <v>216</v>
      </c>
      <c r="B14" s="7" t="str">
        <f aca="false">IF($A14="","",IFERROR(INDEX(MASTER_DATABASE!$E$4:$E$1000,MATCH($A14,MASTER_DATABASE!$A$4:$A$1000,0)),""))</f>
        <v>Aadhaar Address Update – Online (SSUP) Assistance</v>
      </c>
      <c r="C14" s="6" t="s">
        <v>3433</v>
      </c>
      <c r="D14" s="6" t="s">
        <v>3436</v>
      </c>
      <c r="E14" s="6" t="s">
        <v>3439</v>
      </c>
      <c r="F14" s="6" t="s">
        <v>3436</v>
      </c>
      <c r="G14" s="6" t="s">
        <v>3456</v>
      </c>
      <c r="H14" s="6" t="s">
        <v>3436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7" t="str">
        <f aca="false">_xlfn.TEXTJOIN(CHAR(10),TRUE(),IF(AND(C14&lt;&gt;"",D14="Mandatory"),"✓ "&amp;C14,""),IF(AND(E14&lt;&gt;"",F14="Mandatory"),"✓ "&amp;E14,""),IF(AND(G14&lt;&gt;"",H14="Mandatory"),"✓ "&amp;G14,""),IF(AND(I14&lt;&gt;"",J14="Mandatory"),"✓ "&amp;I14,""),IF(AND(K14&lt;&gt;"",L14="Mandatory"),"✓ "&amp;K14,""),IF(AND(M14&lt;&gt;"",N14="Mandatory"),"✓ "&amp;M14,""),IF(AND(O14&lt;&gt;"",P14="Mandatory"),"✓ "&amp;O14,""),IF(AND(Q14&lt;&gt;"",R14="Mandatory"),"✓ "&amp;Q14,""))</f>
        <v>✓ Aadhaar Card
✓ Aadhaar-Linked Mobile Number
✓ Address Proof</v>
      </c>
      <c r="T14" s="7" t="str">
        <f aca="false">_xlfn.TEXTJOIN(CHAR(10),TRUE(),IF(AND(C14&lt;&gt;"",OR(D14="Optional",D14="If Applicable",D14="To Verify")),"• "&amp;C14&amp;" ("&amp;D14&amp;")",""),IF(AND(E14&lt;&gt;"",OR(F14="Optional",F14="If Applicable",F14="To Verify")),"• "&amp;E14&amp;" ("&amp;F14&amp;")",""),IF(AND(G14&lt;&gt;"",OR(H14="Optional",H14="If Applicable",H14="To Verify")),"• "&amp;G14&amp;" ("&amp;H14&amp;")",""),IF(AND(I14&lt;&gt;"",OR(J14="Optional",J14="If Applicable",J14="To Verify")),"• "&amp;I14&amp;" ("&amp;J14&amp;")",""),IF(AND(K14&lt;&gt;"",OR(L14="Optional",L14="If Applicable",L14="To Verify")),"• "&amp;K14&amp;" ("&amp;L14&amp;")",""),IF(AND(M14&lt;&gt;"",OR(N14="Optional",N14="If Applicable",N14="To Verify")),"• "&amp;M14&amp;" ("&amp;N14&amp;")",""),IF(AND(O14&lt;&gt;"",OR(P14="Optional",P14="If Applicable",P14="To Verify")),"• "&amp;O14&amp;" ("&amp;P14&amp;")",""),IF(AND(Q14&lt;&gt;"",OR(R14="Optional",R14="If Applicable",R14="To Verify")),"• "&amp;Q14&amp;" ("&amp;R14&amp;")",""))</f>
        <v/>
      </c>
    </row>
    <row r="15" customFormat="false" ht="23.85" hidden="false" customHeight="false" outlineLevel="0" collapsed="false">
      <c r="A15" s="6" t="s">
        <v>234</v>
      </c>
      <c r="B15" s="7" t="str">
        <f aca="false">IF($A15="","",IFERROR(INDEX(MASTER_DATABASE!$E$4:$E$1000,MATCH($A15,MASTER_DATABASE!$A$4:$A$1000,0)),""))</f>
        <v>Aadhaar Mobile Number Update</v>
      </c>
      <c r="C15" s="6" t="s">
        <v>3433</v>
      </c>
      <c r="D15" s="6" t="s">
        <v>3436</v>
      </c>
      <c r="E15" s="6" t="s">
        <v>3478</v>
      </c>
      <c r="F15" s="6" t="s">
        <v>3436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 t="str">
        <f aca="false">_xlfn.TEXTJOIN(CHAR(10),TRUE(),IF(AND(C15&lt;&gt;"",D15="Mandatory"),"✓ "&amp;C15,""),IF(AND(E15&lt;&gt;"",F15="Mandatory"),"✓ "&amp;E15,""),IF(AND(G15&lt;&gt;"",H15="Mandatory"),"✓ "&amp;G15,""),IF(AND(I15&lt;&gt;"",J15="Mandatory"),"✓ "&amp;I15,""),IF(AND(K15&lt;&gt;"",L15="Mandatory"),"✓ "&amp;K15,""),IF(AND(M15&lt;&gt;"",N15="Mandatory"),"✓ "&amp;M15,""),IF(AND(O15&lt;&gt;"",P15="Mandatory"),"✓ "&amp;O15,""),IF(AND(Q15&lt;&gt;"",R15="Mandatory"),"✓ "&amp;Q15,""))</f>
        <v>✓ Aadhaar Card
✓ Active Mobile Number</v>
      </c>
      <c r="T15" s="7" t="str">
        <f aca="false">_xlfn.TEXTJOIN(CHAR(10),TRUE(),IF(AND(C15&lt;&gt;"",OR(D15="Optional",D15="If Applicable",D15="To Verify")),"• "&amp;C15&amp;" ("&amp;D15&amp;")",""),IF(AND(E15&lt;&gt;"",OR(F15="Optional",F15="If Applicable",F15="To Verify")),"• "&amp;E15&amp;" ("&amp;F15&amp;")",""),IF(AND(G15&lt;&gt;"",OR(H15="Optional",H15="If Applicable",H15="To Verify")),"• "&amp;G15&amp;" ("&amp;H15&amp;")",""),IF(AND(I15&lt;&gt;"",OR(J15="Optional",J15="If Applicable",J15="To Verify")),"• "&amp;I15&amp;" ("&amp;J15&amp;")",""),IF(AND(K15&lt;&gt;"",OR(L15="Optional",L15="If Applicable",L15="To Verify")),"• "&amp;K15&amp;" ("&amp;L15&amp;")",""),IF(AND(M15&lt;&gt;"",OR(N15="Optional",N15="If Applicable",N15="To Verify")),"• "&amp;M15&amp;" ("&amp;N15&amp;")",""),IF(AND(O15&lt;&gt;"",OR(P15="Optional",P15="If Applicable",P15="To Verify")),"• "&amp;O15&amp;" ("&amp;P15&amp;")",""),IF(AND(Q15&lt;&gt;"",OR(R15="Optional",R15="If Applicable",R15="To Verify")),"• "&amp;Q15&amp;" ("&amp;R15&amp;")",""))</f>
        <v/>
      </c>
    </row>
    <row r="16" customFormat="false" ht="23.85" hidden="false" customHeight="false" outlineLevel="0" collapsed="false">
      <c r="A16" s="6" t="s">
        <v>246</v>
      </c>
      <c r="B16" s="7" t="str">
        <f aca="false">IF($A16="","",IFERROR(INDEX(MASTER_DATABASE!$E$4:$E$1000,MATCH($A16,MASTER_DATABASE!$A$4:$A$1000,0)),""))</f>
        <v>Aadhaar Email ID Update</v>
      </c>
      <c r="C16" s="6" t="s">
        <v>3433</v>
      </c>
      <c r="D16" s="6" t="s">
        <v>3436</v>
      </c>
      <c r="E16" s="6" t="s">
        <v>3483</v>
      </c>
      <c r="F16" s="6" t="s">
        <v>3436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7" t="str">
        <f aca="false">_xlfn.TEXTJOIN(CHAR(10),TRUE(),IF(AND(C16&lt;&gt;"",D16="Mandatory"),"✓ "&amp;C16,""),IF(AND(E16&lt;&gt;"",F16="Mandatory"),"✓ "&amp;E16,""),IF(AND(G16&lt;&gt;"",H16="Mandatory"),"✓ "&amp;G16,""),IF(AND(I16&lt;&gt;"",J16="Mandatory"),"✓ "&amp;I16,""),IF(AND(K16&lt;&gt;"",L16="Mandatory"),"✓ "&amp;K16,""),IF(AND(M16&lt;&gt;"",N16="Mandatory"),"✓ "&amp;M16,""),IF(AND(O16&lt;&gt;"",P16="Mandatory"),"✓ "&amp;O16,""),IF(AND(Q16&lt;&gt;"",R16="Mandatory"),"✓ "&amp;Q16,""))</f>
        <v>✓ Aadhaar Card
✓ Email ID</v>
      </c>
      <c r="T16" s="7" t="str">
        <f aca="false">_xlfn.TEXTJOIN(CHAR(10),TRUE(),IF(AND(C16&lt;&gt;"",OR(D16="Optional",D16="If Applicable",D16="To Verify")),"• "&amp;C16&amp;" ("&amp;D16&amp;")",""),IF(AND(E16&lt;&gt;"",OR(F16="Optional",F16="If Applicable",F16="To Verify")),"• "&amp;E16&amp;" ("&amp;F16&amp;")",""),IF(AND(G16&lt;&gt;"",OR(H16="Optional",H16="If Applicable",H16="To Verify")),"• "&amp;G16&amp;" ("&amp;H16&amp;")",""),IF(AND(I16&lt;&gt;"",OR(J16="Optional",J16="If Applicable",J16="To Verify")),"• "&amp;I16&amp;" ("&amp;J16&amp;")",""),IF(AND(K16&lt;&gt;"",OR(L16="Optional",L16="If Applicable",L16="To Verify")),"• "&amp;K16&amp;" ("&amp;L16&amp;")",""),IF(AND(M16&lt;&gt;"",OR(N16="Optional",N16="If Applicable",N16="To Verify")),"• "&amp;M16&amp;" ("&amp;N16&amp;")",""),IF(AND(O16&lt;&gt;"",OR(P16="Optional",P16="If Applicable",P16="To Verify")),"• "&amp;O16&amp;" ("&amp;P16&amp;")",""),IF(AND(Q16&lt;&gt;"",OR(R16="Optional",R16="If Applicable",R16="To Verify")),"• "&amp;Q16&amp;" ("&amp;R16&amp;")",""))</f>
        <v/>
      </c>
    </row>
    <row r="17" customFormat="false" ht="23.85" hidden="false" customHeight="false" outlineLevel="0" collapsed="false">
      <c r="A17" s="6" t="s">
        <v>258</v>
      </c>
      <c r="B17" s="7" t="str">
        <f aca="false">IF($A17="","",IFERROR(INDEX(MASTER_DATABASE!$E$4:$E$1000,MATCH($A17,MASTER_DATABASE!$A$4:$A$1000,0)),""))</f>
        <v>Aadhaar Relationship / Head of Family Detail Update</v>
      </c>
      <c r="C17" s="6" t="s">
        <v>3433</v>
      </c>
      <c r="D17" s="6" t="s">
        <v>3436</v>
      </c>
      <c r="E17" s="6" t="s">
        <v>3461</v>
      </c>
      <c r="F17" s="6" t="s">
        <v>75</v>
      </c>
      <c r="G17" s="6" t="s">
        <v>3456</v>
      </c>
      <c r="H17" s="6" t="s">
        <v>75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7" t="str">
        <f aca="false">_xlfn.TEXTJOIN(CHAR(10),TRUE(),IF(AND(C17&lt;&gt;"",D17="Mandatory"),"✓ "&amp;C17,""),IF(AND(E17&lt;&gt;"",F17="Mandatory"),"✓ "&amp;E17,""),IF(AND(G17&lt;&gt;"",H17="Mandatory"),"✓ "&amp;G17,""),IF(AND(I17&lt;&gt;"",J17="Mandatory"),"✓ "&amp;I17,""),IF(AND(K17&lt;&gt;"",L17="Mandatory"),"✓ "&amp;K17,""),IF(AND(M17&lt;&gt;"",N17="Mandatory"),"✓ "&amp;M17,""),IF(AND(O17&lt;&gt;"",P17="Mandatory"),"✓ "&amp;O17,""),IF(AND(Q17&lt;&gt;"",R17="Mandatory"),"✓ "&amp;Q17,""))</f>
        <v>✓ Aadhaar Card</v>
      </c>
      <c r="T17" s="7" t="str">
        <f aca="false">_xlfn.TEXTJOIN(CHAR(10),TRUE(),IF(AND(C17&lt;&gt;"",OR(D17="Optional",D17="If Applicable",D17="To Verify")),"• "&amp;C17&amp;" ("&amp;D17&amp;")",""),IF(AND(E17&lt;&gt;"",OR(F17="Optional",F17="If Applicable",F17="To Verify")),"• "&amp;E17&amp;" ("&amp;F17&amp;")",""),IF(AND(G17&lt;&gt;"",OR(H17="Optional",H17="If Applicable",H17="To Verify")),"• "&amp;G17&amp;" ("&amp;H17&amp;")",""),IF(AND(I17&lt;&gt;"",OR(J17="Optional",J17="If Applicable",J17="To Verify")),"• "&amp;I17&amp;" ("&amp;J17&amp;")",""),IF(AND(K17&lt;&gt;"",OR(L17="Optional",L17="If Applicable",L17="To Verify")),"• "&amp;K17&amp;" ("&amp;L17&amp;")",""),IF(AND(M17&lt;&gt;"",OR(N17="Optional",N17="If Applicable",N17="To Verify")),"• "&amp;M17&amp;" ("&amp;N17&amp;")",""),IF(AND(O17&lt;&gt;"",OR(P17="Optional",P17="If Applicable",P17="To Verify")),"• "&amp;O17&amp;" ("&amp;P17&amp;")",""),IF(AND(Q17&lt;&gt;"",OR(R17="Optional",R17="If Applicable",R17="To Verify")),"• "&amp;Q17&amp;" ("&amp;R17&amp;")",""))</f>
        <v>• Identity Proof (To Verify)
• Address Proof (To Verify)</v>
      </c>
    </row>
    <row r="18" customFormat="false" ht="23.85" hidden="false" customHeight="false" outlineLevel="0" collapsed="false">
      <c r="A18" s="6" t="s">
        <v>270</v>
      </c>
      <c r="B18" s="7" t="str">
        <f aca="false">IF($A18="","",IFERROR(INDEX(MASTER_DATABASE!$E$4:$E$1000,MATCH($A18,MASTER_DATABASE!$A$4:$A$1000,0)),""))</f>
        <v>Aadhaar Combined Demographic Update (Multiple Fields)</v>
      </c>
      <c r="C18" s="6" t="s">
        <v>3433</v>
      </c>
      <c r="D18" s="6" t="s">
        <v>3436</v>
      </c>
      <c r="E18" s="6" t="s">
        <v>3461</v>
      </c>
      <c r="F18" s="6" t="s">
        <v>75</v>
      </c>
      <c r="G18" s="6" t="s">
        <v>3456</v>
      </c>
      <c r="H18" s="6" t="s">
        <v>75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7" t="str">
        <f aca="false">_xlfn.TEXTJOIN(CHAR(10),TRUE(),IF(AND(C18&lt;&gt;"",D18="Mandatory"),"✓ "&amp;C18,""),IF(AND(E18&lt;&gt;"",F18="Mandatory"),"✓ "&amp;E18,""),IF(AND(G18&lt;&gt;"",H18="Mandatory"),"✓ "&amp;G18,""),IF(AND(I18&lt;&gt;"",J18="Mandatory"),"✓ "&amp;I18,""),IF(AND(K18&lt;&gt;"",L18="Mandatory"),"✓ "&amp;K18,""),IF(AND(M18&lt;&gt;"",N18="Mandatory"),"✓ "&amp;M18,""),IF(AND(O18&lt;&gt;"",P18="Mandatory"),"✓ "&amp;O18,""),IF(AND(Q18&lt;&gt;"",R18="Mandatory"),"✓ "&amp;Q18,""))</f>
        <v>✓ Aadhaar Card</v>
      </c>
      <c r="T18" s="7" t="str">
        <f aca="false">_xlfn.TEXTJOIN(CHAR(10),TRUE(),IF(AND(C18&lt;&gt;"",OR(D18="Optional",D18="If Applicable",D18="To Verify")),"• "&amp;C18&amp;" ("&amp;D18&amp;")",""),IF(AND(E18&lt;&gt;"",OR(F18="Optional",F18="If Applicable",F18="To Verify")),"• "&amp;E18&amp;" ("&amp;F18&amp;")",""),IF(AND(G18&lt;&gt;"",OR(H18="Optional",H18="If Applicable",H18="To Verify")),"• "&amp;G18&amp;" ("&amp;H18&amp;")",""),IF(AND(I18&lt;&gt;"",OR(J18="Optional",J18="If Applicable",J18="To Verify")),"• "&amp;I18&amp;" ("&amp;J18&amp;")",""),IF(AND(K18&lt;&gt;"",OR(L18="Optional",L18="If Applicable",L18="To Verify")),"• "&amp;K18&amp;" ("&amp;L18&amp;")",""),IF(AND(M18&lt;&gt;"",OR(N18="Optional",N18="If Applicable",N18="To Verify")),"• "&amp;M18&amp;" ("&amp;N18&amp;")",""),IF(AND(O18&lt;&gt;"",OR(P18="Optional",P18="If Applicable",P18="To Verify")),"• "&amp;O18&amp;" ("&amp;P18&amp;")",""),IF(AND(Q18&lt;&gt;"",OR(R18="Optional",R18="If Applicable",R18="To Verify")),"• "&amp;Q18&amp;" ("&amp;R18&amp;")",""))</f>
        <v>• Identity Proof (To Verify)
• Address Proof (To Verify)</v>
      </c>
    </row>
    <row r="19" customFormat="false" ht="23.85" hidden="false" customHeight="false" outlineLevel="0" collapsed="false">
      <c r="A19" s="6" t="s">
        <v>281</v>
      </c>
      <c r="B19" s="7" t="str">
        <f aca="false">IF($A19="","",IFERROR(INDEX(MASTER_DATABASE!$E$4:$E$1000,MATCH($A19,MASTER_DATABASE!$A$4:$A$1000,0)),""))</f>
        <v>Aadhaar Fingerprint Update</v>
      </c>
      <c r="C19" s="6" t="s">
        <v>3433</v>
      </c>
      <c r="D19" s="6" t="s">
        <v>3436</v>
      </c>
      <c r="E19" s="6" t="s">
        <v>3488</v>
      </c>
      <c r="F19" s="6" t="s">
        <v>3436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 t="str">
        <f aca="false">_xlfn.TEXTJOIN(CHAR(10),TRUE(),IF(AND(C19&lt;&gt;"",D19="Mandatory"),"✓ "&amp;C19,""),IF(AND(E19&lt;&gt;"",F19="Mandatory"),"✓ "&amp;E19,""),IF(AND(G19&lt;&gt;"",H19="Mandatory"),"✓ "&amp;G19,""),IF(AND(I19&lt;&gt;"",J19="Mandatory"),"✓ "&amp;I19,""),IF(AND(K19&lt;&gt;"",L19="Mandatory"),"✓ "&amp;K19,""),IF(AND(M19&lt;&gt;"",N19="Mandatory"),"✓ "&amp;M19,""),IF(AND(O19&lt;&gt;"",P19="Mandatory"),"✓ "&amp;O19,""),IF(AND(Q19&lt;&gt;"",R19="Mandatory"),"✓ "&amp;Q19,""))</f>
        <v>✓ Aadhaar Card
✓ Customer Presence for Biometrics</v>
      </c>
      <c r="T19" s="7" t="str">
        <f aca="false">_xlfn.TEXTJOIN(CHAR(10),TRUE(),IF(AND(C19&lt;&gt;"",OR(D19="Optional",D19="If Applicable",D19="To Verify")),"• "&amp;C19&amp;" ("&amp;D19&amp;")",""),IF(AND(E19&lt;&gt;"",OR(F19="Optional",F19="If Applicable",F19="To Verify")),"• "&amp;E19&amp;" ("&amp;F19&amp;")",""),IF(AND(G19&lt;&gt;"",OR(H19="Optional",H19="If Applicable",H19="To Verify")),"• "&amp;G19&amp;" ("&amp;H19&amp;")",""),IF(AND(I19&lt;&gt;"",OR(J19="Optional",J19="If Applicable",J19="To Verify")),"• "&amp;I19&amp;" ("&amp;J19&amp;")",""),IF(AND(K19&lt;&gt;"",OR(L19="Optional",L19="If Applicable",L19="To Verify")),"• "&amp;K19&amp;" ("&amp;L19&amp;")",""),IF(AND(M19&lt;&gt;"",OR(N19="Optional",N19="If Applicable",N19="To Verify")),"• "&amp;M19&amp;" ("&amp;N19&amp;")",""),IF(AND(O19&lt;&gt;"",OR(P19="Optional",P19="If Applicable",P19="To Verify")),"• "&amp;O19&amp;" ("&amp;P19&amp;")",""),IF(AND(Q19&lt;&gt;"",OR(R19="Optional",R19="If Applicable",R19="To Verify")),"• "&amp;Q19&amp;" ("&amp;R19&amp;")",""))</f>
        <v/>
      </c>
    </row>
    <row r="20" customFormat="false" ht="23.85" hidden="false" customHeight="false" outlineLevel="0" collapsed="false">
      <c r="A20" s="6" t="s">
        <v>297</v>
      </c>
      <c r="B20" s="7" t="str">
        <f aca="false">IF($A20="","",IFERROR(INDEX(MASTER_DATABASE!$E$4:$E$1000,MATCH($A20,MASTER_DATABASE!$A$4:$A$1000,0)),""))</f>
        <v>Aadhaar Iris Update</v>
      </c>
      <c r="C20" s="6" t="s">
        <v>3433</v>
      </c>
      <c r="D20" s="6" t="s">
        <v>3436</v>
      </c>
      <c r="E20" s="6" t="s">
        <v>3488</v>
      </c>
      <c r="F20" s="6" t="s">
        <v>3436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7" t="str">
        <f aca="false">_xlfn.TEXTJOIN(CHAR(10),TRUE(),IF(AND(C20&lt;&gt;"",D20="Mandatory"),"✓ "&amp;C20,""),IF(AND(E20&lt;&gt;"",F20="Mandatory"),"✓ "&amp;E20,""),IF(AND(G20&lt;&gt;"",H20="Mandatory"),"✓ "&amp;G20,""),IF(AND(I20&lt;&gt;"",J20="Mandatory"),"✓ "&amp;I20,""),IF(AND(K20&lt;&gt;"",L20="Mandatory"),"✓ "&amp;K20,""),IF(AND(M20&lt;&gt;"",N20="Mandatory"),"✓ "&amp;M20,""),IF(AND(O20&lt;&gt;"",P20="Mandatory"),"✓ "&amp;O20,""),IF(AND(Q20&lt;&gt;"",R20="Mandatory"),"✓ "&amp;Q20,""))</f>
        <v>✓ Aadhaar Card
✓ Customer Presence for Biometrics</v>
      </c>
      <c r="T20" s="7" t="str">
        <f aca="false">_xlfn.TEXTJOIN(CHAR(10),TRUE(),IF(AND(C20&lt;&gt;"",OR(D20="Optional",D20="If Applicable",D20="To Verify")),"• "&amp;C20&amp;" ("&amp;D20&amp;")",""),IF(AND(E20&lt;&gt;"",OR(F20="Optional",F20="If Applicable",F20="To Verify")),"• "&amp;E20&amp;" ("&amp;F20&amp;")",""),IF(AND(G20&lt;&gt;"",OR(H20="Optional",H20="If Applicable",H20="To Verify")),"• "&amp;G20&amp;" ("&amp;H20&amp;")",""),IF(AND(I20&lt;&gt;"",OR(J20="Optional",J20="If Applicable",J20="To Verify")),"• "&amp;I20&amp;" ("&amp;J20&amp;")",""),IF(AND(K20&lt;&gt;"",OR(L20="Optional",L20="If Applicable",L20="To Verify")),"• "&amp;K20&amp;" ("&amp;L20&amp;")",""),IF(AND(M20&lt;&gt;"",OR(N20="Optional",N20="If Applicable",N20="To Verify")),"• "&amp;M20&amp;" ("&amp;N20&amp;")",""),IF(AND(O20&lt;&gt;"",OR(P20="Optional",P20="If Applicable",P20="To Verify")),"• "&amp;O20&amp;" ("&amp;P20&amp;")",""),IF(AND(Q20&lt;&gt;"",OR(R20="Optional",R20="If Applicable",R20="To Verify")),"• "&amp;Q20&amp;" ("&amp;R20&amp;")",""))</f>
        <v/>
      </c>
    </row>
    <row r="21" customFormat="false" ht="23.85" hidden="false" customHeight="false" outlineLevel="0" collapsed="false">
      <c r="A21" s="6" t="s">
        <v>308</v>
      </c>
      <c r="B21" s="7" t="str">
        <f aca="false">IF($A21="","",IFERROR(INDEX(MASTER_DATABASE!$E$4:$E$1000,MATCH($A21,MASTER_DATABASE!$A$4:$A$1000,0)),""))</f>
        <v>Aadhaar Photograph Update</v>
      </c>
      <c r="C21" s="6" t="s">
        <v>3433</v>
      </c>
      <c r="D21" s="6" t="s">
        <v>3436</v>
      </c>
      <c r="E21" s="6" t="s">
        <v>3488</v>
      </c>
      <c r="F21" s="6" t="s">
        <v>3436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 t="str">
        <f aca="false">_xlfn.TEXTJOIN(CHAR(10),TRUE(),IF(AND(C21&lt;&gt;"",D21="Mandatory"),"✓ "&amp;C21,""),IF(AND(E21&lt;&gt;"",F21="Mandatory"),"✓ "&amp;E21,""),IF(AND(G21&lt;&gt;"",H21="Mandatory"),"✓ "&amp;G21,""),IF(AND(I21&lt;&gt;"",J21="Mandatory"),"✓ "&amp;I21,""),IF(AND(K21&lt;&gt;"",L21="Mandatory"),"✓ "&amp;K21,""),IF(AND(M21&lt;&gt;"",N21="Mandatory"),"✓ "&amp;M21,""),IF(AND(O21&lt;&gt;"",P21="Mandatory"),"✓ "&amp;O21,""),IF(AND(Q21&lt;&gt;"",R21="Mandatory"),"✓ "&amp;Q21,""))</f>
        <v>✓ Aadhaar Card
✓ Customer Presence for Biometrics</v>
      </c>
      <c r="T21" s="7" t="str">
        <f aca="false">_xlfn.TEXTJOIN(CHAR(10),TRUE(),IF(AND(C21&lt;&gt;"",OR(D21="Optional",D21="If Applicable",D21="To Verify")),"• "&amp;C21&amp;" ("&amp;D21&amp;")",""),IF(AND(E21&lt;&gt;"",OR(F21="Optional",F21="If Applicable",F21="To Verify")),"• "&amp;E21&amp;" ("&amp;F21&amp;")",""),IF(AND(G21&lt;&gt;"",OR(H21="Optional",H21="If Applicable",H21="To Verify")),"• "&amp;G21&amp;" ("&amp;H21&amp;")",""),IF(AND(I21&lt;&gt;"",OR(J21="Optional",J21="If Applicable",J21="To Verify")),"• "&amp;I21&amp;" ("&amp;J21&amp;")",""),IF(AND(K21&lt;&gt;"",OR(L21="Optional",L21="If Applicable",L21="To Verify")),"• "&amp;K21&amp;" ("&amp;L21&amp;")",""),IF(AND(M21&lt;&gt;"",OR(N21="Optional",N21="If Applicable",N21="To Verify")),"• "&amp;M21&amp;" ("&amp;N21&amp;")",""),IF(AND(O21&lt;&gt;"",OR(P21="Optional",P21="If Applicable",P21="To Verify")),"• "&amp;O21&amp;" ("&amp;P21&amp;")",""),IF(AND(Q21&lt;&gt;"",OR(R21="Optional",R21="If Applicable",R21="To Verify")),"• "&amp;Q21&amp;" ("&amp;R21&amp;")",""))</f>
        <v/>
      </c>
    </row>
    <row r="22" customFormat="false" ht="23.85" hidden="false" customHeight="false" outlineLevel="0" collapsed="false">
      <c r="A22" s="6" t="s">
        <v>319</v>
      </c>
      <c r="B22" s="7" t="str">
        <f aca="false">IF($A22="","",IFERROR(INDEX(MASTER_DATABASE!$E$4:$E$1000,MATCH($A22,MASTER_DATABASE!$A$4:$A$1000,0)),""))</f>
        <v>Aadhaar Biometric Update – Combined (Finger + Iris + Photo)</v>
      </c>
      <c r="C22" s="6" t="s">
        <v>3433</v>
      </c>
      <c r="D22" s="6" t="s">
        <v>3436</v>
      </c>
      <c r="E22" s="6" t="s">
        <v>3488</v>
      </c>
      <c r="F22" s="6" t="s">
        <v>3436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 t="str">
        <f aca="false">_xlfn.TEXTJOIN(CHAR(10),TRUE(),IF(AND(C22&lt;&gt;"",D22="Mandatory"),"✓ "&amp;C22,""),IF(AND(E22&lt;&gt;"",F22="Mandatory"),"✓ "&amp;E22,""),IF(AND(G22&lt;&gt;"",H22="Mandatory"),"✓ "&amp;G22,""),IF(AND(I22&lt;&gt;"",J22="Mandatory"),"✓ "&amp;I22,""),IF(AND(K22&lt;&gt;"",L22="Mandatory"),"✓ "&amp;K22,""),IF(AND(M22&lt;&gt;"",N22="Mandatory"),"✓ "&amp;M22,""),IF(AND(O22&lt;&gt;"",P22="Mandatory"),"✓ "&amp;O22,""),IF(AND(Q22&lt;&gt;"",R22="Mandatory"),"✓ "&amp;Q22,""))</f>
        <v>✓ Aadhaar Card
✓ Customer Presence for Biometrics</v>
      </c>
      <c r="T22" s="7" t="str">
        <f aca="false">_xlfn.TEXTJOIN(CHAR(10),TRUE(),IF(AND(C22&lt;&gt;"",OR(D22="Optional",D22="If Applicable",D22="To Verify")),"• "&amp;C22&amp;" ("&amp;D22&amp;")",""),IF(AND(E22&lt;&gt;"",OR(F22="Optional",F22="If Applicable",F22="To Verify")),"• "&amp;E22&amp;" ("&amp;F22&amp;")",""),IF(AND(G22&lt;&gt;"",OR(H22="Optional",H22="If Applicable",H22="To Verify")),"• "&amp;G22&amp;" ("&amp;H22&amp;")",""),IF(AND(I22&lt;&gt;"",OR(J22="Optional",J22="If Applicable",J22="To Verify")),"• "&amp;I22&amp;" ("&amp;J22&amp;")",""),IF(AND(K22&lt;&gt;"",OR(L22="Optional",L22="If Applicable",L22="To Verify")),"• "&amp;K22&amp;" ("&amp;L22&amp;")",""),IF(AND(M22&lt;&gt;"",OR(N22="Optional",N22="If Applicable",N22="To Verify")),"• "&amp;M22&amp;" ("&amp;N22&amp;")",""),IF(AND(O22&lt;&gt;"",OR(P22="Optional",P22="If Applicable",P22="To Verify")),"• "&amp;O22&amp;" ("&amp;P22&amp;")",""),IF(AND(Q22&lt;&gt;"",OR(R22="Optional",R22="If Applicable",R22="To Verify")),"• "&amp;Q22&amp;" ("&amp;R22&amp;")",""))</f>
        <v/>
      </c>
    </row>
    <row r="23" customFormat="false" ht="35.05" hidden="false" customHeight="false" outlineLevel="0" collapsed="false">
      <c r="A23" s="6" t="s">
        <v>330</v>
      </c>
      <c r="B23" s="7" t="str">
        <f aca="false">IF($A23="","",IFERROR(INDEX(MASTER_DATABASE!$E$4:$E$1000,MATCH($A23,MASTER_DATABASE!$A$4:$A$1000,0)),""))</f>
        <v>Mandatory Biometric Update – Child at Age 5</v>
      </c>
      <c r="C23" s="6" t="s">
        <v>3433</v>
      </c>
      <c r="D23" s="6" t="s">
        <v>3436</v>
      </c>
      <c r="E23" s="6" t="s">
        <v>3488</v>
      </c>
      <c r="F23" s="6" t="s">
        <v>3436</v>
      </c>
      <c r="G23" s="6" t="s">
        <v>3470</v>
      </c>
      <c r="H23" s="6" t="s">
        <v>3436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7" t="str">
        <f aca="false">_xlfn.TEXTJOIN(CHAR(10),TRUE(),IF(AND(C23&lt;&gt;"",D23="Mandatory"),"✓ "&amp;C23,""),IF(AND(E23&lt;&gt;"",F23="Mandatory"),"✓ "&amp;E23,""),IF(AND(G23&lt;&gt;"",H23="Mandatory"),"✓ "&amp;G23,""),IF(AND(I23&lt;&gt;"",J23="Mandatory"),"✓ "&amp;I23,""),IF(AND(K23&lt;&gt;"",L23="Mandatory"),"✓ "&amp;K23,""),IF(AND(M23&lt;&gt;"",N23="Mandatory"),"✓ "&amp;M23,""),IF(AND(O23&lt;&gt;"",P23="Mandatory"),"✓ "&amp;O23,""),IF(AND(Q23&lt;&gt;"",R23="Mandatory"),"✓ "&amp;Q23,""))</f>
        <v>✓ Aadhaar Card
✓ Customer Presence for Biometrics
✓ Parent / Guardian Aadhaar</v>
      </c>
      <c r="T23" s="7" t="str">
        <f aca="false">_xlfn.TEXTJOIN(CHAR(10),TRUE(),IF(AND(C23&lt;&gt;"",OR(D23="Optional",D23="If Applicable",D23="To Verify")),"• "&amp;C23&amp;" ("&amp;D23&amp;")",""),IF(AND(E23&lt;&gt;"",OR(F23="Optional",F23="If Applicable",F23="To Verify")),"• "&amp;E23&amp;" ("&amp;F23&amp;")",""),IF(AND(G23&lt;&gt;"",OR(H23="Optional",H23="If Applicable",H23="To Verify")),"• "&amp;G23&amp;" ("&amp;H23&amp;")",""),IF(AND(I23&lt;&gt;"",OR(J23="Optional",J23="If Applicable",J23="To Verify")),"• "&amp;I23&amp;" ("&amp;J23&amp;")",""),IF(AND(K23&lt;&gt;"",OR(L23="Optional",L23="If Applicable",L23="To Verify")),"• "&amp;K23&amp;" ("&amp;L23&amp;")",""),IF(AND(M23&lt;&gt;"",OR(N23="Optional",N23="If Applicable",N23="To Verify")),"• "&amp;M23&amp;" ("&amp;N23&amp;")",""),IF(AND(O23&lt;&gt;"",OR(P23="Optional",P23="If Applicable",P23="To Verify")),"• "&amp;O23&amp;" ("&amp;P23&amp;")",""),IF(AND(Q23&lt;&gt;"",OR(R23="Optional",R23="If Applicable",R23="To Verify")),"• "&amp;Q23&amp;" ("&amp;R23&amp;")",""))</f>
        <v/>
      </c>
    </row>
    <row r="24" customFormat="false" ht="35.05" hidden="false" customHeight="false" outlineLevel="0" collapsed="false">
      <c r="A24" s="6" t="s">
        <v>342</v>
      </c>
      <c r="B24" s="7" t="str">
        <f aca="false">IF($A24="","",IFERROR(INDEX(MASTER_DATABASE!$E$4:$E$1000,MATCH($A24,MASTER_DATABASE!$A$4:$A$1000,0)),""))</f>
        <v>Mandatory Biometric Update – Child at Age 15</v>
      </c>
      <c r="C24" s="6" t="s">
        <v>3433</v>
      </c>
      <c r="D24" s="6" t="s">
        <v>3436</v>
      </c>
      <c r="E24" s="6" t="s">
        <v>3488</v>
      </c>
      <c r="F24" s="6" t="s">
        <v>3436</v>
      </c>
      <c r="G24" s="6" t="s">
        <v>3470</v>
      </c>
      <c r="H24" s="6" t="s">
        <v>3436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7" t="str">
        <f aca="false">_xlfn.TEXTJOIN(CHAR(10),TRUE(),IF(AND(C24&lt;&gt;"",D24="Mandatory"),"✓ "&amp;C24,""),IF(AND(E24&lt;&gt;"",F24="Mandatory"),"✓ "&amp;E24,""),IF(AND(G24&lt;&gt;"",H24="Mandatory"),"✓ "&amp;G24,""),IF(AND(I24&lt;&gt;"",J24="Mandatory"),"✓ "&amp;I24,""),IF(AND(K24&lt;&gt;"",L24="Mandatory"),"✓ "&amp;K24,""),IF(AND(M24&lt;&gt;"",N24="Mandatory"),"✓ "&amp;M24,""),IF(AND(O24&lt;&gt;"",P24="Mandatory"),"✓ "&amp;O24,""),IF(AND(Q24&lt;&gt;"",R24="Mandatory"),"✓ "&amp;Q24,""))</f>
        <v>✓ Aadhaar Card
✓ Customer Presence for Biometrics
✓ Parent / Guardian Aadhaar</v>
      </c>
      <c r="T24" s="7" t="str">
        <f aca="false">_xlfn.TEXTJOIN(CHAR(10),TRUE(),IF(AND(C24&lt;&gt;"",OR(D24="Optional",D24="If Applicable",D24="To Verify")),"• "&amp;C24&amp;" ("&amp;D24&amp;")",""),IF(AND(E24&lt;&gt;"",OR(F24="Optional",F24="If Applicable",F24="To Verify")),"• "&amp;E24&amp;" ("&amp;F24&amp;")",""),IF(AND(G24&lt;&gt;"",OR(H24="Optional",H24="If Applicable",H24="To Verify")),"• "&amp;G24&amp;" ("&amp;H24&amp;")",""),IF(AND(I24&lt;&gt;"",OR(J24="Optional",J24="If Applicable",J24="To Verify")),"• "&amp;I24&amp;" ("&amp;J24&amp;")",""),IF(AND(K24&lt;&gt;"",OR(L24="Optional",L24="If Applicable",L24="To Verify")),"• "&amp;K24&amp;" ("&amp;L24&amp;")",""),IF(AND(M24&lt;&gt;"",OR(N24="Optional",N24="If Applicable",N24="To Verify")),"• "&amp;M24&amp;" ("&amp;N24&amp;")",""),IF(AND(O24&lt;&gt;"",OR(P24="Optional",P24="If Applicable",P24="To Verify")),"• "&amp;O24&amp;" ("&amp;P24&amp;")",""),IF(AND(Q24&lt;&gt;"",OR(R24="Optional",R24="If Applicable",R24="To Verify")),"• "&amp;Q24&amp;" ("&amp;R24&amp;")",""))</f>
        <v/>
      </c>
    </row>
    <row r="25" customFormat="false" ht="23.85" hidden="false" customHeight="false" outlineLevel="0" collapsed="false">
      <c r="A25" s="6" t="s">
        <v>353</v>
      </c>
      <c r="B25" s="7" t="str">
        <f aca="false">IF($A25="","",IFERROR(INDEX(MASTER_DATABASE!$E$4:$E$1000,MATCH($A25,MASTER_DATABASE!$A$4:$A$1000,0)),""))</f>
        <v>Aadhaar Biometric Update – Adult (Quality / Periodic)</v>
      </c>
      <c r="C25" s="6" t="s">
        <v>3433</v>
      </c>
      <c r="D25" s="6" t="s">
        <v>3436</v>
      </c>
      <c r="E25" s="6" t="s">
        <v>3488</v>
      </c>
      <c r="F25" s="6" t="s">
        <v>3436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 t="str">
        <f aca="false">_xlfn.TEXTJOIN(CHAR(10),TRUE(),IF(AND(C25&lt;&gt;"",D25="Mandatory"),"✓ "&amp;C25,""),IF(AND(E25&lt;&gt;"",F25="Mandatory"),"✓ "&amp;E25,""),IF(AND(G25&lt;&gt;"",H25="Mandatory"),"✓ "&amp;G25,""),IF(AND(I25&lt;&gt;"",J25="Mandatory"),"✓ "&amp;I25,""),IF(AND(K25&lt;&gt;"",L25="Mandatory"),"✓ "&amp;K25,""),IF(AND(M25&lt;&gt;"",N25="Mandatory"),"✓ "&amp;M25,""),IF(AND(O25&lt;&gt;"",P25="Mandatory"),"✓ "&amp;O25,""),IF(AND(Q25&lt;&gt;"",R25="Mandatory"),"✓ "&amp;Q25,""))</f>
        <v>✓ Aadhaar Card
✓ Customer Presence for Biometrics</v>
      </c>
      <c r="T25" s="7" t="str">
        <f aca="false">_xlfn.TEXTJOIN(CHAR(10),TRUE(),IF(AND(C25&lt;&gt;"",OR(D25="Optional",D25="If Applicable",D25="To Verify")),"• "&amp;C25&amp;" ("&amp;D25&amp;")",""),IF(AND(E25&lt;&gt;"",OR(F25="Optional",F25="If Applicable",F25="To Verify")),"• "&amp;E25&amp;" ("&amp;F25&amp;")",""),IF(AND(G25&lt;&gt;"",OR(H25="Optional",H25="If Applicable",H25="To Verify")),"• "&amp;G25&amp;" ("&amp;H25&amp;")",""),IF(AND(I25&lt;&gt;"",OR(J25="Optional",J25="If Applicable",J25="To Verify")),"• "&amp;I25&amp;" ("&amp;J25&amp;")",""),IF(AND(K25&lt;&gt;"",OR(L25="Optional",L25="If Applicable",L25="To Verify")),"• "&amp;K25&amp;" ("&amp;L25&amp;")",""),IF(AND(M25&lt;&gt;"",OR(N25="Optional",N25="If Applicable",N25="To Verify")),"• "&amp;M25&amp;" ("&amp;N25&amp;")",""),IF(AND(O25&lt;&gt;"",OR(P25="Optional",P25="If Applicable",P25="To Verify")),"• "&amp;O25&amp;" ("&amp;P25&amp;")",""),IF(AND(Q25&lt;&gt;"",OR(R25="Optional",R25="If Applicable",R25="To Verify")),"• "&amp;Q25&amp;" ("&amp;R25&amp;")",""))</f>
        <v/>
      </c>
    </row>
    <row r="26" customFormat="false" ht="23.85" hidden="false" customHeight="false" outlineLevel="0" collapsed="false">
      <c r="A26" s="6" t="s">
        <v>364</v>
      </c>
      <c r="B26" s="7" t="str">
        <f aca="false">IF($A26="","",IFERROR(INDEX(MASTER_DATABASE!$E$4:$E$1000,MATCH($A26,MASTER_DATABASE!$A$4:$A$1000,0)),""))</f>
        <v>Aadhaar Biometric Lock / Unlock Assistance</v>
      </c>
      <c r="C26" s="6" t="s">
        <v>3433</v>
      </c>
      <c r="D26" s="6" t="s">
        <v>3436</v>
      </c>
      <c r="E26" s="6" t="s">
        <v>3439</v>
      </c>
      <c r="F26" s="6" t="s">
        <v>3436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 t="str">
        <f aca="false">_xlfn.TEXTJOIN(CHAR(10),TRUE(),IF(AND(C26&lt;&gt;"",D26="Mandatory"),"✓ "&amp;C26,""),IF(AND(E26&lt;&gt;"",F26="Mandatory"),"✓ "&amp;E26,""),IF(AND(G26&lt;&gt;"",H26="Mandatory"),"✓ "&amp;G26,""),IF(AND(I26&lt;&gt;"",J26="Mandatory"),"✓ "&amp;I26,""),IF(AND(K26&lt;&gt;"",L26="Mandatory"),"✓ "&amp;K26,""),IF(AND(M26&lt;&gt;"",N26="Mandatory"),"✓ "&amp;M26,""),IF(AND(O26&lt;&gt;"",P26="Mandatory"),"✓ "&amp;O26,""),IF(AND(Q26&lt;&gt;"",R26="Mandatory"),"✓ "&amp;Q26,""))</f>
        <v>✓ Aadhaar Card
✓ Aadhaar-Linked Mobile Number</v>
      </c>
      <c r="T26" s="7" t="str">
        <f aca="false">_xlfn.TEXTJOIN(CHAR(10),TRUE(),IF(AND(C26&lt;&gt;"",OR(D26="Optional",D26="If Applicable",D26="To Verify")),"• "&amp;C26&amp;" ("&amp;D26&amp;")",""),IF(AND(E26&lt;&gt;"",OR(F26="Optional",F26="If Applicable",F26="To Verify")),"• "&amp;E26&amp;" ("&amp;F26&amp;")",""),IF(AND(G26&lt;&gt;"",OR(H26="Optional",H26="If Applicable",H26="To Verify")),"• "&amp;G26&amp;" ("&amp;H26&amp;")",""),IF(AND(I26&lt;&gt;"",OR(J26="Optional",J26="If Applicable",J26="To Verify")),"• "&amp;I26&amp;" ("&amp;J26&amp;")",""),IF(AND(K26&lt;&gt;"",OR(L26="Optional",L26="If Applicable",L26="To Verify")),"• "&amp;K26&amp;" ("&amp;L26&amp;")",""),IF(AND(M26&lt;&gt;"",OR(N26="Optional",N26="If Applicable",N26="To Verify")),"• "&amp;M26&amp;" ("&amp;N26&amp;")",""),IF(AND(O26&lt;&gt;"",OR(P26="Optional",P26="If Applicable",P26="To Verify")),"• "&amp;O26&amp;" ("&amp;P26&amp;")",""),IF(AND(Q26&lt;&gt;"",OR(R26="Optional",R26="If Applicable",R26="To Verify")),"• "&amp;Q26&amp;" ("&amp;R26&amp;")",""))</f>
        <v/>
      </c>
    </row>
    <row r="27" customFormat="false" ht="35.05" hidden="false" customHeight="false" outlineLevel="0" collapsed="false">
      <c r="A27" s="6" t="s">
        <v>381</v>
      </c>
      <c r="B27" s="7" t="str">
        <f aca="false">IF($A27="","",IFERROR(INDEX(MASTER_DATABASE!$E$4:$E$1000,MATCH($A27,MASTER_DATABASE!$A$4:$A$1000,0)),""))</f>
        <v>Aadhaar Document Update (Identity &amp; Address Proof)</v>
      </c>
      <c r="C27" s="6" t="s">
        <v>3433</v>
      </c>
      <c r="D27" s="6" t="s">
        <v>3436</v>
      </c>
      <c r="E27" s="6" t="s">
        <v>3461</v>
      </c>
      <c r="F27" s="6" t="s">
        <v>3436</v>
      </c>
      <c r="G27" s="6" t="s">
        <v>3456</v>
      </c>
      <c r="H27" s="6" t="s">
        <v>3436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7" t="str">
        <f aca="false">_xlfn.TEXTJOIN(CHAR(10),TRUE(),IF(AND(C27&lt;&gt;"",D27="Mandatory"),"✓ "&amp;C27,""),IF(AND(E27&lt;&gt;"",F27="Mandatory"),"✓ "&amp;E27,""),IF(AND(G27&lt;&gt;"",H27="Mandatory"),"✓ "&amp;G27,""),IF(AND(I27&lt;&gt;"",J27="Mandatory"),"✓ "&amp;I27,""),IF(AND(K27&lt;&gt;"",L27="Mandatory"),"✓ "&amp;K27,""),IF(AND(M27&lt;&gt;"",N27="Mandatory"),"✓ "&amp;M27,""),IF(AND(O27&lt;&gt;"",P27="Mandatory"),"✓ "&amp;O27,""),IF(AND(Q27&lt;&gt;"",R27="Mandatory"),"✓ "&amp;Q27,""))</f>
        <v>✓ Aadhaar Card
✓ Identity Proof
✓ Address Proof</v>
      </c>
      <c r="T27" s="7" t="str">
        <f aca="false">_xlfn.TEXTJOIN(CHAR(10),TRUE(),IF(AND(C27&lt;&gt;"",OR(D27="Optional",D27="If Applicable",D27="To Verify")),"• "&amp;C27&amp;" ("&amp;D27&amp;")",""),IF(AND(E27&lt;&gt;"",OR(F27="Optional",F27="If Applicable",F27="To Verify")),"• "&amp;E27&amp;" ("&amp;F27&amp;")",""),IF(AND(G27&lt;&gt;"",OR(H27="Optional",H27="If Applicable",H27="To Verify")),"• "&amp;G27&amp;" ("&amp;H27&amp;")",""),IF(AND(I27&lt;&gt;"",OR(J27="Optional",J27="If Applicable",J27="To Verify")),"• "&amp;I27&amp;" ("&amp;J27&amp;")",""),IF(AND(K27&lt;&gt;"",OR(L27="Optional",L27="If Applicable",L27="To Verify")),"• "&amp;K27&amp;" ("&amp;L27&amp;")",""),IF(AND(M27&lt;&gt;"",OR(N27="Optional",N27="If Applicable",N27="To Verify")),"• "&amp;M27&amp;" ("&amp;N27&amp;")",""),IF(AND(O27&lt;&gt;"",OR(P27="Optional",P27="If Applicable",P27="To Verify")),"• "&amp;O27&amp;" ("&amp;P27&amp;")",""),IF(AND(Q27&lt;&gt;"",OR(R27="Optional",R27="If Applicable",R27="To Verify")),"• "&amp;Q27&amp;" ("&amp;R27&amp;")",""))</f>
        <v/>
      </c>
    </row>
    <row r="28" customFormat="false" ht="23.85" hidden="false" customHeight="false" outlineLevel="0" collapsed="false">
      <c r="A28" s="6" t="s">
        <v>396</v>
      </c>
      <c r="B28" s="7" t="str">
        <f aca="false">IF($A28="","",IFERROR(INDEX(MASTER_DATABASE!$E$4:$E$1000,MATCH($A28,MASTER_DATABASE!$A$4:$A$1000,0)),""))</f>
        <v>Aadhaar Document Update – Online Assistance</v>
      </c>
      <c r="C28" s="6" t="s">
        <v>3433</v>
      </c>
      <c r="D28" s="6" t="s">
        <v>3436</v>
      </c>
      <c r="E28" s="6" t="s">
        <v>3439</v>
      </c>
      <c r="F28" s="6" t="s">
        <v>3436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 t="str">
        <f aca="false">_xlfn.TEXTJOIN(CHAR(10),TRUE(),IF(AND(C28&lt;&gt;"",D28="Mandatory"),"✓ "&amp;C28,""),IF(AND(E28&lt;&gt;"",F28="Mandatory"),"✓ "&amp;E28,""),IF(AND(G28&lt;&gt;"",H28="Mandatory"),"✓ "&amp;G28,""),IF(AND(I28&lt;&gt;"",J28="Mandatory"),"✓ "&amp;I28,""),IF(AND(K28&lt;&gt;"",L28="Mandatory"),"✓ "&amp;K28,""),IF(AND(M28&lt;&gt;"",N28="Mandatory"),"✓ "&amp;M28,""),IF(AND(O28&lt;&gt;"",P28="Mandatory"),"✓ "&amp;O28,""),IF(AND(Q28&lt;&gt;"",R28="Mandatory"),"✓ "&amp;Q28,""))</f>
        <v>✓ Aadhaar Card
✓ Aadhaar-Linked Mobile Number</v>
      </c>
      <c r="T28" s="7" t="str">
        <f aca="false">_xlfn.TEXTJOIN(CHAR(10),TRUE(),IF(AND(C28&lt;&gt;"",OR(D28="Optional",D28="If Applicable",D28="To Verify")),"• "&amp;C28&amp;" ("&amp;D28&amp;")",""),IF(AND(E28&lt;&gt;"",OR(F28="Optional",F28="If Applicable",F28="To Verify")),"• "&amp;E28&amp;" ("&amp;F28&amp;")",""),IF(AND(G28&lt;&gt;"",OR(H28="Optional",H28="If Applicable",H28="To Verify")),"• "&amp;G28&amp;" ("&amp;H28&amp;")",""),IF(AND(I28&lt;&gt;"",OR(J28="Optional",J28="If Applicable",J28="To Verify")),"• "&amp;I28&amp;" ("&amp;J28&amp;")",""),IF(AND(K28&lt;&gt;"",OR(L28="Optional",L28="If Applicable",L28="To Verify")),"• "&amp;K28&amp;" ("&amp;L28&amp;")",""),IF(AND(M28&lt;&gt;"",OR(N28="Optional",N28="If Applicable",N28="To Verify")),"• "&amp;M28&amp;" ("&amp;N28&amp;")",""),IF(AND(O28&lt;&gt;"",OR(P28="Optional",P28="If Applicable",P28="To Verify")),"• "&amp;O28&amp;" ("&amp;P28&amp;")",""),IF(AND(Q28&lt;&gt;"",OR(R28="Optional",R28="If Applicable",R28="To Verify")),"• "&amp;Q28&amp;" ("&amp;R28&amp;")",""))</f>
        <v/>
      </c>
    </row>
    <row r="29" customFormat="false" ht="23.85" hidden="false" customHeight="false" outlineLevel="0" collapsed="false">
      <c r="A29" s="6" t="s">
        <v>407</v>
      </c>
      <c r="B29" s="7" t="str">
        <f aca="false">IF($A29="","",IFERROR(INDEX(MASTER_DATABASE!$E$4:$E$1000,MATCH($A29,MASTER_DATABASE!$A$4:$A$1000,0)),""))</f>
        <v>Aadhaar Download Assistance (e-Aadhaar)</v>
      </c>
      <c r="C29" s="6" t="s">
        <v>3433</v>
      </c>
      <c r="D29" s="6" t="s">
        <v>3436</v>
      </c>
      <c r="E29" s="6" t="s">
        <v>3439</v>
      </c>
      <c r="F29" s="6" t="s">
        <v>3436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 t="str">
        <f aca="false">_xlfn.TEXTJOIN(CHAR(10),TRUE(),IF(AND(C29&lt;&gt;"",D29="Mandatory"),"✓ "&amp;C29,""),IF(AND(E29&lt;&gt;"",F29="Mandatory"),"✓ "&amp;E29,""),IF(AND(G29&lt;&gt;"",H29="Mandatory"),"✓ "&amp;G29,""),IF(AND(I29&lt;&gt;"",J29="Mandatory"),"✓ "&amp;I29,""),IF(AND(K29&lt;&gt;"",L29="Mandatory"),"✓ "&amp;K29,""),IF(AND(M29&lt;&gt;"",N29="Mandatory"),"✓ "&amp;M29,""),IF(AND(O29&lt;&gt;"",P29="Mandatory"),"✓ "&amp;O29,""),IF(AND(Q29&lt;&gt;"",R29="Mandatory"),"✓ "&amp;Q29,""))</f>
        <v>✓ Aadhaar Card
✓ Aadhaar-Linked Mobile Number</v>
      </c>
      <c r="T29" s="7" t="str">
        <f aca="false">_xlfn.TEXTJOIN(CHAR(10),TRUE(),IF(AND(C29&lt;&gt;"",OR(D29="Optional",D29="If Applicable",D29="To Verify")),"• "&amp;C29&amp;" ("&amp;D29&amp;")",""),IF(AND(E29&lt;&gt;"",OR(F29="Optional",F29="If Applicable",F29="To Verify")),"• "&amp;E29&amp;" ("&amp;F29&amp;")",""),IF(AND(G29&lt;&gt;"",OR(H29="Optional",H29="If Applicable",H29="To Verify")),"• "&amp;G29&amp;" ("&amp;H29&amp;")",""),IF(AND(I29&lt;&gt;"",OR(J29="Optional",J29="If Applicable",J29="To Verify")),"• "&amp;I29&amp;" ("&amp;J29&amp;")",""),IF(AND(K29&lt;&gt;"",OR(L29="Optional",L29="If Applicable",L29="To Verify")),"• "&amp;K29&amp;" ("&amp;L29&amp;")",""),IF(AND(M29&lt;&gt;"",OR(N29="Optional",N29="If Applicable",N29="To Verify")),"• "&amp;M29&amp;" ("&amp;N29&amp;")",""),IF(AND(O29&lt;&gt;"",OR(P29="Optional",P29="If Applicable",P29="To Verify")),"• "&amp;O29&amp;" ("&amp;P29&amp;")",""),IF(AND(Q29&lt;&gt;"",OR(R29="Optional",R29="If Applicable",R29="To Verify")),"• "&amp;Q29&amp;" ("&amp;R29&amp;")",""))</f>
        <v/>
      </c>
    </row>
    <row r="30" customFormat="false" ht="23.85" hidden="false" customHeight="false" outlineLevel="0" collapsed="false">
      <c r="A30" s="6" t="s">
        <v>421</v>
      </c>
      <c r="B30" s="7" t="str">
        <f aca="false">IF($A30="","",IFERROR(INDEX(MASTER_DATABASE!$E$4:$E$1000,MATCH($A30,MASTER_DATABASE!$A$4:$A$1000,0)),""))</f>
        <v>Masked Aadhaar Download</v>
      </c>
      <c r="C30" s="6" t="s">
        <v>3433</v>
      </c>
      <c r="D30" s="6" t="s">
        <v>3436</v>
      </c>
      <c r="E30" s="6" t="s">
        <v>3439</v>
      </c>
      <c r="F30" s="6" t="s">
        <v>3436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 t="str">
        <f aca="false">_xlfn.TEXTJOIN(CHAR(10),TRUE(),IF(AND(C30&lt;&gt;"",D30="Mandatory"),"✓ "&amp;C30,""),IF(AND(E30&lt;&gt;"",F30="Mandatory"),"✓ "&amp;E30,""),IF(AND(G30&lt;&gt;"",H30="Mandatory"),"✓ "&amp;G30,""),IF(AND(I30&lt;&gt;"",J30="Mandatory"),"✓ "&amp;I30,""),IF(AND(K30&lt;&gt;"",L30="Mandatory"),"✓ "&amp;K30,""),IF(AND(M30&lt;&gt;"",N30="Mandatory"),"✓ "&amp;M30,""),IF(AND(O30&lt;&gt;"",P30="Mandatory"),"✓ "&amp;O30,""),IF(AND(Q30&lt;&gt;"",R30="Mandatory"),"✓ "&amp;Q30,""))</f>
        <v>✓ Aadhaar Card
✓ Aadhaar-Linked Mobile Number</v>
      </c>
      <c r="T30" s="7" t="str">
        <f aca="false">_xlfn.TEXTJOIN(CHAR(10),TRUE(),IF(AND(C30&lt;&gt;"",OR(D30="Optional",D30="If Applicable",D30="To Verify")),"• "&amp;C30&amp;" ("&amp;D30&amp;")",""),IF(AND(E30&lt;&gt;"",OR(F30="Optional",F30="If Applicable",F30="To Verify")),"• "&amp;E30&amp;" ("&amp;F30&amp;")",""),IF(AND(G30&lt;&gt;"",OR(H30="Optional",H30="If Applicable",H30="To Verify")),"• "&amp;G30&amp;" ("&amp;H30&amp;")",""),IF(AND(I30&lt;&gt;"",OR(J30="Optional",J30="If Applicable",J30="To Verify")),"• "&amp;I30&amp;" ("&amp;J30&amp;")",""),IF(AND(K30&lt;&gt;"",OR(L30="Optional",L30="If Applicable",L30="To Verify")),"• "&amp;K30&amp;" ("&amp;L30&amp;")",""),IF(AND(M30&lt;&gt;"",OR(N30="Optional",N30="If Applicable",N30="To Verify")),"• "&amp;M30&amp;" ("&amp;N30&amp;")",""),IF(AND(O30&lt;&gt;"",OR(P30="Optional",P30="If Applicable",P30="To Verify")),"• "&amp;O30&amp;" ("&amp;P30&amp;")",""),IF(AND(Q30&lt;&gt;"",OR(R30="Optional",R30="If Applicable",R30="To Verify")),"• "&amp;Q30&amp;" ("&amp;R30&amp;")",""))</f>
        <v/>
      </c>
    </row>
    <row r="31" customFormat="false" ht="23.85" hidden="false" customHeight="false" outlineLevel="0" collapsed="false">
      <c r="A31" s="6" t="s">
        <v>432</v>
      </c>
      <c r="B31" s="7" t="str">
        <f aca="false">IF($A31="","",IFERROR(INDEX(MASTER_DATABASE!$E$4:$E$1000,MATCH($A31,MASTER_DATABASE!$A$4:$A$1000,0)),""))</f>
        <v>Aadhaar Print (Paper – Colour / B&amp;W Printout)</v>
      </c>
      <c r="C31" s="6" t="s">
        <v>3433</v>
      </c>
      <c r="D31" s="6" t="s">
        <v>3436</v>
      </c>
      <c r="E31" s="6" t="s">
        <v>3439</v>
      </c>
      <c r="F31" s="6" t="s">
        <v>3453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 t="str">
        <f aca="false">_xlfn.TEXTJOIN(CHAR(10),TRUE(),IF(AND(C31&lt;&gt;"",D31="Mandatory"),"✓ "&amp;C31,""),IF(AND(E31&lt;&gt;"",F31="Mandatory"),"✓ "&amp;E31,""),IF(AND(G31&lt;&gt;"",H31="Mandatory"),"✓ "&amp;G31,""),IF(AND(I31&lt;&gt;"",J31="Mandatory"),"✓ "&amp;I31,""),IF(AND(K31&lt;&gt;"",L31="Mandatory"),"✓ "&amp;K31,""),IF(AND(M31&lt;&gt;"",N31="Mandatory"),"✓ "&amp;M31,""),IF(AND(O31&lt;&gt;"",P31="Mandatory"),"✓ "&amp;O31,""),IF(AND(Q31&lt;&gt;"",R31="Mandatory"),"✓ "&amp;Q31,""))</f>
        <v>✓ Aadhaar Card</v>
      </c>
      <c r="T31" s="7" t="str">
        <f aca="false">_xlfn.TEXTJOIN(CHAR(10),TRUE(),IF(AND(C31&lt;&gt;"",OR(D31="Optional",D31="If Applicable",D31="To Verify")),"• "&amp;C31&amp;" ("&amp;D31&amp;")",""),IF(AND(E31&lt;&gt;"",OR(F31="Optional",F31="If Applicable",F31="To Verify")),"• "&amp;E31&amp;" ("&amp;F31&amp;")",""),IF(AND(G31&lt;&gt;"",OR(H31="Optional",H31="If Applicable",H31="To Verify")),"• "&amp;G31&amp;" ("&amp;H31&amp;")",""),IF(AND(I31&lt;&gt;"",OR(J31="Optional",J31="If Applicable",J31="To Verify")),"• "&amp;I31&amp;" ("&amp;J31&amp;")",""),IF(AND(K31&lt;&gt;"",OR(L31="Optional",L31="If Applicable",L31="To Verify")),"• "&amp;K31&amp;" ("&amp;L31&amp;")",""),IF(AND(M31&lt;&gt;"",OR(N31="Optional",N31="If Applicable",N31="To Verify")),"• "&amp;M31&amp;" ("&amp;N31&amp;")",""),IF(AND(O31&lt;&gt;"",OR(P31="Optional",P31="If Applicable",P31="To Verify")),"• "&amp;O31&amp;" ("&amp;P31&amp;")",""),IF(AND(Q31&lt;&gt;"",OR(R31="Optional",R31="If Applicable",R31="To Verify")),"• "&amp;Q31&amp;" ("&amp;R31&amp;")",""))</f>
        <v>• Aadhaar-Linked Mobile Number (If Applicable)</v>
      </c>
    </row>
    <row r="32" customFormat="false" ht="23.85" hidden="false" customHeight="false" outlineLevel="0" collapsed="false">
      <c r="A32" s="6" t="s">
        <v>453</v>
      </c>
      <c r="B32" s="7" t="str">
        <f aca="false">IF($A32="","",IFERROR(INDEX(MASTER_DATABASE!$E$4:$E$1000,MATCH($A32,MASTER_DATABASE!$A$4:$A$1000,0)),""))</f>
        <v>Aadhaar PVC Card Order Assistance</v>
      </c>
      <c r="C32" s="6" t="s">
        <v>3433</v>
      </c>
      <c r="D32" s="6" t="s">
        <v>3436</v>
      </c>
      <c r="E32" s="6" t="s">
        <v>3439</v>
      </c>
      <c r="F32" s="6" t="s">
        <v>3436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 t="str">
        <f aca="false">_xlfn.TEXTJOIN(CHAR(10),TRUE(),IF(AND(C32&lt;&gt;"",D32="Mandatory"),"✓ "&amp;C32,""),IF(AND(E32&lt;&gt;"",F32="Mandatory"),"✓ "&amp;E32,""),IF(AND(G32&lt;&gt;"",H32="Mandatory"),"✓ "&amp;G32,""),IF(AND(I32&lt;&gt;"",J32="Mandatory"),"✓ "&amp;I32,""),IF(AND(K32&lt;&gt;"",L32="Mandatory"),"✓ "&amp;K32,""),IF(AND(M32&lt;&gt;"",N32="Mandatory"),"✓ "&amp;M32,""),IF(AND(O32&lt;&gt;"",P32="Mandatory"),"✓ "&amp;O32,""),IF(AND(Q32&lt;&gt;"",R32="Mandatory"),"✓ "&amp;Q32,""))</f>
        <v>✓ Aadhaar Card
✓ Aadhaar-Linked Mobile Number</v>
      </c>
      <c r="T32" s="7" t="str">
        <f aca="false">_xlfn.TEXTJOIN(CHAR(10),TRUE(),IF(AND(C32&lt;&gt;"",OR(D32="Optional",D32="If Applicable",D32="To Verify")),"• "&amp;C32&amp;" ("&amp;D32&amp;")",""),IF(AND(E32&lt;&gt;"",OR(F32="Optional",F32="If Applicable",F32="To Verify")),"• "&amp;E32&amp;" ("&amp;F32&amp;")",""),IF(AND(G32&lt;&gt;"",OR(H32="Optional",H32="If Applicable",H32="To Verify")),"• "&amp;G32&amp;" ("&amp;H32&amp;")",""),IF(AND(I32&lt;&gt;"",OR(J32="Optional",J32="If Applicable",J32="To Verify")),"• "&amp;I32&amp;" ("&amp;J32&amp;")",""),IF(AND(K32&lt;&gt;"",OR(L32="Optional",L32="If Applicable",L32="To Verify")),"• "&amp;K32&amp;" ("&amp;L32&amp;")",""),IF(AND(M32&lt;&gt;"",OR(N32="Optional",N32="If Applicable",N32="To Verify")),"• "&amp;M32&amp;" ("&amp;N32&amp;")",""),IF(AND(O32&lt;&gt;"",OR(P32="Optional",P32="If Applicable",P32="To Verify")),"• "&amp;O32&amp;" ("&amp;P32&amp;")",""),IF(AND(Q32&lt;&gt;"",OR(R32="Optional",R32="If Applicable",R32="To Verify")),"• "&amp;Q32&amp;" ("&amp;R32&amp;")",""))</f>
        <v/>
      </c>
    </row>
    <row r="33" customFormat="false" ht="23.85" hidden="false" customHeight="false" outlineLevel="0" collapsed="false">
      <c r="A33" s="6" t="s">
        <v>465</v>
      </c>
      <c r="B33" s="7" t="str">
        <f aca="false">IF($A33="","",IFERROR(INDEX(MASTER_DATABASE!$E$4:$E$1000,MATCH($A33,MASTER_DATABASE!$A$4:$A$1000,0)),""))</f>
        <v>Aadhaar Enrolment Status Check (EID)</v>
      </c>
      <c r="C33" s="6" t="s">
        <v>3531</v>
      </c>
      <c r="D33" s="6" t="s">
        <v>3436</v>
      </c>
      <c r="E33" s="6" t="s">
        <v>3439</v>
      </c>
      <c r="F33" s="6" t="s">
        <v>3453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 t="str">
        <f aca="false">_xlfn.TEXTJOIN(CHAR(10),TRUE(),IF(AND(C33&lt;&gt;"",D33="Mandatory"),"✓ "&amp;C33,""),IF(AND(E33&lt;&gt;"",F33="Mandatory"),"✓ "&amp;E33,""),IF(AND(G33&lt;&gt;"",H33="Mandatory"),"✓ "&amp;G33,""),IF(AND(I33&lt;&gt;"",J33="Mandatory"),"✓ "&amp;I33,""),IF(AND(K33&lt;&gt;"",L33="Mandatory"),"✓ "&amp;K33,""),IF(AND(M33&lt;&gt;"",N33="Mandatory"),"✓ "&amp;M33,""),IF(AND(O33&lt;&gt;"",P33="Mandatory"),"✓ "&amp;O33,""),IF(AND(Q33&lt;&gt;"",R33="Mandatory"),"✓ "&amp;Q33,""))</f>
        <v>✓ Enrolment / Acknowledgement Number</v>
      </c>
      <c r="T33" s="7" t="str">
        <f aca="false">_xlfn.TEXTJOIN(CHAR(10),TRUE(),IF(AND(C33&lt;&gt;"",OR(D33="Optional",D33="If Applicable",D33="To Verify")),"• "&amp;C33&amp;" ("&amp;D33&amp;")",""),IF(AND(E33&lt;&gt;"",OR(F33="Optional",F33="If Applicable",F33="To Verify")),"• "&amp;E33&amp;" ("&amp;F33&amp;")",""),IF(AND(G33&lt;&gt;"",OR(H33="Optional",H33="If Applicable",H33="To Verify")),"• "&amp;G33&amp;" ("&amp;H33&amp;")",""),IF(AND(I33&lt;&gt;"",OR(J33="Optional",J33="If Applicable",J33="To Verify")),"• "&amp;I33&amp;" ("&amp;J33&amp;")",""),IF(AND(K33&lt;&gt;"",OR(L33="Optional",L33="If Applicable",L33="To Verify")),"• "&amp;K33&amp;" ("&amp;L33&amp;")",""),IF(AND(M33&lt;&gt;"",OR(N33="Optional",N33="If Applicable",N33="To Verify")),"• "&amp;M33&amp;" ("&amp;N33&amp;")",""),IF(AND(O33&lt;&gt;"",OR(P33="Optional",P33="If Applicable",P33="To Verify")),"• "&amp;O33&amp;" ("&amp;P33&amp;")",""),IF(AND(Q33&lt;&gt;"",OR(R33="Optional",R33="If Applicable",R33="To Verify")),"• "&amp;Q33&amp;" ("&amp;R33&amp;")",""))</f>
        <v>• Aadhaar-Linked Mobile Number (If Applicable)</v>
      </c>
    </row>
    <row r="34" customFormat="false" ht="23.85" hidden="false" customHeight="false" outlineLevel="0" collapsed="false">
      <c r="A34" s="6" t="s">
        <v>479</v>
      </c>
      <c r="B34" s="7" t="str">
        <f aca="false">IF($A34="","",IFERROR(INDEX(MASTER_DATABASE!$E$4:$E$1000,MATCH($A34,MASTER_DATABASE!$A$4:$A$1000,0)),""))</f>
        <v>Aadhaar Update Request Status Check (URN)</v>
      </c>
      <c r="C34" s="6" t="s">
        <v>3531</v>
      </c>
      <c r="D34" s="6" t="s">
        <v>3436</v>
      </c>
      <c r="E34" s="6" t="s">
        <v>3439</v>
      </c>
      <c r="F34" s="6" t="s">
        <v>3453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 t="str">
        <f aca="false">_xlfn.TEXTJOIN(CHAR(10),TRUE(),IF(AND(C34&lt;&gt;"",D34="Mandatory"),"✓ "&amp;C34,""),IF(AND(E34&lt;&gt;"",F34="Mandatory"),"✓ "&amp;E34,""),IF(AND(G34&lt;&gt;"",H34="Mandatory"),"✓ "&amp;G34,""),IF(AND(I34&lt;&gt;"",J34="Mandatory"),"✓ "&amp;I34,""),IF(AND(K34&lt;&gt;"",L34="Mandatory"),"✓ "&amp;K34,""),IF(AND(M34&lt;&gt;"",N34="Mandatory"),"✓ "&amp;M34,""),IF(AND(O34&lt;&gt;"",P34="Mandatory"),"✓ "&amp;O34,""),IF(AND(Q34&lt;&gt;"",R34="Mandatory"),"✓ "&amp;Q34,""))</f>
        <v>✓ Enrolment / Acknowledgement Number</v>
      </c>
      <c r="T34" s="7" t="str">
        <f aca="false">_xlfn.TEXTJOIN(CHAR(10),TRUE(),IF(AND(C34&lt;&gt;"",OR(D34="Optional",D34="If Applicable",D34="To Verify")),"• "&amp;C34&amp;" ("&amp;D34&amp;")",""),IF(AND(E34&lt;&gt;"",OR(F34="Optional",F34="If Applicable",F34="To Verify")),"• "&amp;E34&amp;" ("&amp;F34&amp;")",""),IF(AND(G34&lt;&gt;"",OR(H34="Optional",H34="If Applicable",H34="To Verify")),"• "&amp;G34&amp;" ("&amp;H34&amp;")",""),IF(AND(I34&lt;&gt;"",OR(J34="Optional",J34="If Applicable",J34="To Verify")),"• "&amp;I34&amp;" ("&amp;J34&amp;")",""),IF(AND(K34&lt;&gt;"",OR(L34="Optional",L34="If Applicable",L34="To Verify")),"• "&amp;K34&amp;" ("&amp;L34&amp;")",""),IF(AND(M34&lt;&gt;"",OR(N34="Optional",N34="If Applicable",N34="To Verify")),"• "&amp;M34&amp;" ("&amp;N34&amp;")",""),IF(AND(O34&lt;&gt;"",OR(P34="Optional",P34="If Applicable",P34="To Verify")),"• "&amp;O34&amp;" ("&amp;P34&amp;")",""),IF(AND(Q34&lt;&gt;"",OR(R34="Optional",R34="If Applicable",R34="To Verify")),"• "&amp;Q34&amp;" ("&amp;R34&amp;")",""))</f>
        <v>• Aadhaar-Linked Mobile Number (If Applicable)</v>
      </c>
    </row>
    <row r="35" customFormat="false" ht="23.85" hidden="false" customHeight="false" outlineLevel="0" collapsed="false">
      <c r="A35" s="6" t="s">
        <v>489</v>
      </c>
      <c r="B35" s="7" t="str">
        <f aca="false">IF($A35="","",IFERROR(INDEX(MASTER_DATABASE!$E$4:$E$1000,MATCH($A35,MASTER_DATABASE!$A$4:$A$1000,0)),""))</f>
        <v>Aadhaar Lost UID / EID Retrieval Assistance</v>
      </c>
      <c r="C35" s="6" t="s">
        <v>3433</v>
      </c>
      <c r="D35" s="6" t="s">
        <v>3436</v>
      </c>
      <c r="E35" s="6" t="s">
        <v>3439</v>
      </c>
      <c r="F35" s="6" t="s">
        <v>3436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 t="str">
        <f aca="false">_xlfn.TEXTJOIN(CHAR(10),TRUE(),IF(AND(C35&lt;&gt;"",D35="Mandatory"),"✓ "&amp;C35,""),IF(AND(E35&lt;&gt;"",F35="Mandatory"),"✓ "&amp;E35,""),IF(AND(G35&lt;&gt;"",H35="Mandatory"),"✓ "&amp;G35,""),IF(AND(I35&lt;&gt;"",J35="Mandatory"),"✓ "&amp;I35,""),IF(AND(K35&lt;&gt;"",L35="Mandatory"),"✓ "&amp;K35,""),IF(AND(M35&lt;&gt;"",N35="Mandatory"),"✓ "&amp;M35,""),IF(AND(O35&lt;&gt;"",P35="Mandatory"),"✓ "&amp;O35,""),IF(AND(Q35&lt;&gt;"",R35="Mandatory"),"✓ "&amp;Q35,""))</f>
        <v>✓ Aadhaar Card
✓ Aadhaar-Linked Mobile Number</v>
      </c>
      <c r="T35" s="7" t="str">
        <f aca="false">_xlfn.TEXTJOIN(CHAR(10),TRUE(),IF(AND(C35&lt;&gt;"",OR(D35="Optional",D35="If Applicable",D35="To Verify")),"• "&amp;C35&amp;" ("&amp;D35&amp;")",""),IF(AND(E35&lt;&gt;"",OR(F35="Optional",F35="If Applicable",F35="To Verify")),"• "&amp;E35&amp;" ("&amp;F35&amp;")",""),IF(AND(G35&lt;&gt;"",OR(H35="Optional",H35="If Applicable",H35="To Verify")),"• "&amp;G35&amp;" ("&amp;H35&amp;")",""),IF(AND(I35&lt;&gt;"",OR(J35="Optional",J35="If Applicable",J35="To Verify")),"• "&amp;I35&amp;" ("&amp;J35&amp;")",""),IF(AND(K35&lt;&gt;"",OR(L35="Optional",L35="If Applicable",L35="To Verify")),"• "&amp;K35&amp;" ("&amp;L35&amp;")",""),IF(AND(M35&lt;&gt;"",OR(N35="Optional",N35="If Applicable",N35="To Verify")),"• "&amp;M35&amp;" ("&amp;N35&amp;")",""),IF(AND(O35&lt;&gt;"",OR(P35="Optional",P35="If Applicable",P35="To Verify")),"• "&amp;O35&amp;" ("&amp;P35&amp;")",""),IF(AND(Q35&lt;&gt;"",OR(R35="Optional",R35="If Applicable",R35="To Verify")),"• "&amp;Q35&amp;" ("&amp;R35&amp;")",""))</f>
        <v/>
      </c>
    </row>
    <row r="36" customFormat="false" ht="23.85" hidden="false" customHeight="false" outlineLevel="0" collapsed="false">
      <c r="A36" s="6" t="s">
        <v>501</v>
      </c>
      <c r="B36" s="7" t="str">
        <f aca="false">IF($A36="","",IFERROR(INDEX(MASTER_DATABASE!$E$4:$E$1000,MATCH($A36,MASTER_DATABASE!$A$4:$A$1000,0)),""))</f>
        <v>Aadhaar Virtual ID (VID) Generation Assistance</v>
      </c>
      <c r="C36" s="6" t="s">
        <v>3433</v>
      </c>
      <c r="D36" s="6" t="s">
        <v>3436</v>
      </c>
      <c r="E36" s="6" t="s">
        <v>3439</v>
      </c>
      <c r="F36" s="6" t="s">
        <v>3436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 t="str">
        <f aca="false">_xlfn.TEXTJOIN(CHAR(10),TRUE(),IF(AND(C36&lt;&gt;"",D36="Mandatory"),"✓ "&amp;C36,""),IF(AND(E36&lt;&gt;"",F36="Mandatory"),"✓ "&amp;E36,""),IF(AND(G36&lt;&gt;"",H36="Mandatory"),"✓ "&amp;G36,""),IF(AND(I36&lt;&gt;"",J36="Mandatory"),"✓ "&amp;I36,""),IF(AND(K36&lt;&gt;"",L36="Mandatory"),"✓ "&amp;K36,""),IF(AND(M36&lt;&gt;"",N36="Mandatory"),"✓ "&amp;M36,""),IF(AND(O36&lt;&gt;"",P36="Mandatory"),"✓ "&amp;O36,""),IF(AND(Q36&lt;&gt;"",R36="Mandatory"),"✓ "&amp;Q36,""))</f>
        <v>✓ Aadhaar Card
✓ Aadhaar-Linked Mobile Number</v>
      </c>
      <c r="T36" s="7" t="str">
        <f aca="false">_xlfn.TEXTJOIN(CHAR(10),TRUE(),IF(AND(C36&lt;&gt;"",OR(D36="Optional",D36="If Applicable",D36="To Verify")),"• "&amp;C36&amp;" ("&amp;D36&amp;")",""),IF(AND(E36&lt;&gt;"",OR(F36="Optional",F36="If Applicable",F36="To Verify")),"• "&amp;E36&amp;" ("&amp;F36&amp;")",""),IF(AND(G36&lt;&gt;"",OR(H36="Optional",H36="If Applicable",H36="To Verify")),"• "&amp;G36&amp;" ("&amp;H36&amp;")",""),IF(AND(I36&lt;&gt;"",OR(J36="Optional",J36="If Applicable",J36="To Verify")),"• "&amp;I36&amp;" ("&amp;J36&amp;")",""),IF(AND(K36&lt;&gt;"",OR(L36="Optional",L36="If Applicable",L36="To Verify")),"• "&amp;K36&amp;" ("&amp;L36&amp;")",""),IF(AND(M36&lt;&gt;"",OR(N36="Optional",N36="If Applicable",N36="To Verify")),"• "&amp;M36&amp;" ("&amp;N36&amp;")",""),IF(AND(O36&lt;&gt;"",OR(P36="Optional",P36="If Applicable",P36="To Verify")),"• "&amp;O36&amp;" ("&amp;P36&amp;")",""),IF(AND(Q36&lt;&gt;"",OR(R36="Optional",R36="If Applicable",R36="To Verify")),"• "&amp;Q36&amp;" ("&amp;R36&amp;")",""))</f>
        <v/>
      </c>
    </row>
    <row r="37" customFormat="false" ht="23.85" hidden="false" customHeight="false" outlineLevel="0" collapsed="false">
      <c r="A37" s="6" t="s">
        <v>512</v>
      </c>
      <c r="B37" s="7" t="str">
        <f aca="false">IF($A37="","",IFERROR(INDEX(MASTER_DATABASE!$E$4:$E$1000,MATCH($A37,MASTER_DATABASE!$A$4:$A$1000,0)),""))</f>
        <v>Aadhaar Lock / Unlock Assistance</v>
      </c>
      <c r="C37" s="6" t="s">
        <v>3433</v>
      </c>
      <c r="D37" s="6" t="s">
        <v>3436</v>
      </c>
      <c r="E37" s="6" t="s">
        <v>3439</v>
      </c>
      <c r="F37" s="6" t="s">
        <v>3436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 t="str">
        <f aca="false">_xlfn.TEXTJOIN(CHAR(10),TRUE(),IF(AND(C37&lt;&gt;"",D37="Mandatory"),"✓ "&amp;C37,""),IF(AND(E37&lt;&gt;"",F37="Mandatory"),"✓ "&amp;E37,""),IF(AND(G37&lt;&gt;"",H37="Mandatory"),"✓ "&amp;G37,""),IF(AND(I37&lt;&gt;"",J37="Mandatory"),"✓ "&amp;I37,""),IF(AND(K37&lt;&gt;"",L37="Mandatory"),"✓ "&amp;K37,""),IF(AND(M37&lt;&gt;"",N37="Mandatory"),"✓ "&amp;M37,""),IF(AND(O37&lt;&gt;"",P37="Mandatory"),"✓ "&amp;O37,""),IF(AND(Q37&lt;&gt;"",R37="Mandatory"),"✓ "&amp;Q37,""))</f>
        <v>✓ Aadhaar Card
✓ Aadhaar-Linked Mobile Number</v>
      </c>
      <c r="T37" s="7" t="str">
        <f aca="false">_xlfn.TEXTJOIN(CHAR(10),TRUE(),IF(AND(C37&lt;&gt;"",OR(D37="Optional",D37="If Applicable",D37="To Verify")),"• "&amp;C37&amp;" ("&amp;D37&amp;")",""),IF(AND(E37&lt;&gt;"",OR(F37="Optional",F37="If Applicable",F37="To Verify")),"• "&amp;E37&amp;" ("&amp;F37&amp;")",""),IF(AND(G37&lt;&gt;"",OR(H37="Optional",H37="If Applicable",H37="To Verify")),"• "&amp;G37&amp;" ("&amp;H37&amp;")",""),IF(AND(I37&lt;&gt;"",OR(J37="Optional",J37="If Applicable",J37="To Verify")),"• "&amp;I37&amp;" ("&amp;J37&amp;")",""),IF(AND(K37&lt;&gt;"",OR(L37="Optional",L37="If Applicable",L37="To Verify")),"• "&amp;K37&amp;" ("&amp;L37&amp;")",""),IF(AND(M37&lt;&gt;"",OR(N37="Optional",N37="If Applicable",N37="To Verify")),"• "&amp;M37&amp;" ("&amp;N37&amp;")",""),IF(AND(O37&lt;&gt;"",OR(P37="Optional",P37="If Applicable",P37="To Verify")),"• "&amp;O37&amp;" ("&amp;P37&amp;")",""),IF(AND(Q37&lt;&gt;"",OR(R37="Optional",R37="If Applicable",R37="To Verify")),"• "&amp;Q37&amp;" ("&amp;R37&amp;")",""))</f>
        <v/>
      </c>
    </row>
    <row r="38" customFormat="false" ht="23.85" hidden="false" customHeight="false" outlineLevel="0" collapsed="false">
      <c r="A38" s="6" t="s">
        <v>523</v>
      </c>
      <c r="B38" s="7" t="str">
        <f aca="false">IF($A38="","",IFERROR(INDEX(MASTER_DATABASE!$E$4:$E$1000,MATCH($A38,MASTER_DATABASE!$A$4:$A$1000,0)),""))</f>
        <v>Aadhaar Authentication History Check</v>
      </c>
      <c r="C38" s="6" t="s">
        <v>3433</v>
      </c>
      <c r="D38" s="6" t="s">
        <v>3436</v>
      </c>
      <c r="E38" s="6" t="s">
        <v>3439</v>
      </c>
      <c r="F38" s="6" t="s">
        <v>3436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 t="str">
        <f aca="false">_xlfn.TEXTJOIN(CHAR(10),TRUE(),IF(AND(C38&lt;&gt;"",D38="Mandatory"),"✓ "&amp;C38,""),IF(AND(E38&lt;&gt;"",F38="Mandatory"),"✓ "&amp;E38,""),IF(AND(G38&lt;&gt;"",H38="Mandatory"),"✓ "&amp;G38,""),IF(AND(I38&lt;&gt;"",J38="Mandatory"),"✓ "&amp;I38,""),IF(AND(K38&lt;&gt;"",L38="Mandatory"),"✓ "&amp;K38,""),IF(AND(M38&lt;&gt;"",N38="Mandatory"),"✓ "&amp;M38,""),IF(AND(O38&lt;&gt;"",P38="Mandatory"),"✓ "&amp;O38,""),IF(AND(Q38&lt;&gt;"",R38="Mandatory"),"✓ "&amp;Q38,""))</f>
        <v>✓ Aadhaar Card
✓ Aadhaar-Linked Mobile Number</v>
      </c>
      <c r="T38" s="7" t="str">
        <f aca="false">_xlfn.TEXTJOIN(CHAR(10),TRUE(),IF(AND(C38&lt;&gt;"",OR(D38="Optional",D38="If Applicable",D38="To Verify")),"• "&amp;C38&amp;" ("&amp;D38&amp;")",""),IF(AND(E38&lt;&gt;"",OR(F38="Optional",F38="If Applicable",F38="To Verify")),"• "&amp;E38&amp;" ("&amp;F38&amp;")",""),IF(AND(G38&lt;&gt;"",OR(H38="Optional",H38="If Applicable",H38="To Verify")),"• "&amp;G38&amp;" ("&amp;H38&amp;")",""),IF(AND(I38&lt;&gt;"",OR(J38="Optional",J38="If Applicable",J38="To Verify")),"• "&amp;I38&amp;" ("&amp;J38&amp;")",""),IF(AND(K38&lt;&gt;"",OR(L38="Optional",L38="If Applicable",L38="To Verify")),"• "&amp;K38&amp;" ("&amp;L38&amp;")",""),IF(AND(M38&lt;&gt;"",OR(N38="Optional",N38="If Applicable",N38="To Verify")),"• "&amp;M38&amp;" ("&amp;N38&amp;")",""),IF(AND(O38&lt;&gt;"",OR(P38="Optional",P38="If Applicable",P38="To Verify")),"• "&amp;O38&amp;" ("&amp;P38&amp;")",""),IF(AND(Q38&lt;&gt;"",OR(R38="Optional",R38="If Applicable",R38="To Verify")),"• "&amp;Q38&amp;" ("&amp;R38&amp;")",""))</f>
        <v/>
      </c>
    </row>
    <row r="39" customFormat="false" ht="23.85" hidden="false" customHeight="false" outlineLevel="0" collapsed="false">
      <c r="A39" s="6" t="s">
        <v>534</v>
      </c>
      <c r="B39" s="7" t="str">
        <f aca="false">IF($A39="","",IFERROR(INDEX(MASTER_DATABASE!$E$4:$E$1000,MATCH($A39,MASTER_DATABASE!$A$4:$A$1000,0)),""))</f>
        <v>Aadhaar Mobile / Email Link Check</v>
      </c>
      <c r="C39" s="6" t="s">
        <v>3433</v>
      </c>
      <c r="D39" s="6" t="s">
        <v>3436</v>
      </c>
      <c r="E39" s="6" t="s">
        <v>3439</v>
      </c>
      <c r="F39" s="6" t="s">
        <v>3436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 t="str">
        <f aca="false">_xlfn.TEXTJOIN(CHAR(10),TRUE(),IF(AND(C39&lt;&gt;"",D39="Mandatory"),"✓ "&amp;C39,""),IF(AND(E39&lt;&gt;"",F39="Mandatory"),"✓ "&amp;E39,""),IF(AND(G39&lt;&gt;"",H39="Mandatory"),"✓ "&amp;G39,""),IF(AND(I39&lt;&gt;"",J39="Mandatory"),"✓ "&amp;I39,""),IF(AND(K39&lt;&gt;"",L39="Mandatory"),"✓ "&amp;K39,""),IF(AND(M39&lt;&gt;"",N39="Mandatory"),"✓ "&amp;M39,""),IF(AND(O39&lt;&gt;"",P39="Mandatory"),"✓ "&amp;O39,""),IF(AND(Q39&lt;&gt;"",R39="Mandatory"),"✓ "&amp;Q39,""))</f>
        <v>✓ Aadhaar Card
✓ Aadhaar-Linked Mobile Number</v>
      </c>
      <c r="T39" s="7" t="str">
        <f aca="false">_xlfn.TEXTJOIN(CHAR(10),TRUE(),IF(AND(C39&lt;&gt;"",OR(D39="Optional",D39="If Applicable",D39="To Verify")),"• "&amp;C39&amp;" ("&amp;D39&amp;")",""),IF(AND(E39&lt;&gt;"",OR(F39="Optional",F39="If Applicable",F39="To Verify")),"• "&amp;E39&amp;" ("&amp;F39&amp;")",""),IF(AND(G39&lt;&gt;"",OR(H39="Optional",H39="If Applicable",H39="To Verify")),"• "&amp;G39&amp;" ("&amp;H39&amp;")",""),IF(AND(I39&lt;&gt;"",OR(J39="Optional",J39="If Applicable",J39="To Verify")),"• "&amp;I39&amp;" ("&amp;J39&amp;")",""),IF(AND(K39&lt;&gt;"",OR(L39="Optional",L39="If Applicable",L39="To Verify")),"• "&amp;K39&amp;" ("&amp;L39&amp;")",""),IF(AND(M39&lt;&gt;"",OR(N39="Optional",N39="If Applicable",N39="To Verify")),"• "&amp;M39&amp;" ("&amp;N39&amp;")",""),IF(AND(O39&lt;&gt;"",OR(P39="Optional",P39="If Applicable",P39="To Verify")),"• "&amp;O39&amp;" ("&amp;P39&amp;")",""),IF(AND(Q39&lt;&gt;"",OR(R39="Optional",R39="If Applicable",R39="To Verify")),"• "&amp;Q39&amp;" ("&amp;R39&amp;")",""))</f>
        <v/>
      </c>
    </row>
    <row r="40" customFormat="false" ht="23.85" hidden="false" customHeight="false" outlineLevel="0" collapsed="false">
      <c r="A40" s="6" t="s">
        <v>545</v>
      </c>
      <c r="B40" s="7" t="str">
        <f aca="false">IF($A40="","",IFERROR(INDEX(MASTER_DATABASE!$E$4:$E$1000,MATCH($A40,MASTER_DATABASE!$A$4:$A$1000,0)),""))</f>
        <v>Aadhaar Number Verification</v>
      </c>
      <c r="C40" s="6" t="s">
        <v>3433</v>
      </c>
      <c r="D40" s="6" t="s">
        <v>3436</v>
      </c>
      <c r="E40" s="6" t="s">
        <v>3439</v>
      </c>
      <c r="F40" s="6" t="s">
        <v>3436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 t="str">
        <f aca="false">_xlfn.TEXTJOIN(CHAR(10),TRUE(),IF(AND(C40&lt;&gt;"",D40="Mandatory"),"✓ "&amp;C40,""),IF(AND(E40&lt;&gt;"",F40="Mandatory"),"✓ "&amp;E40,""),IF(AND(G40&lt;&gt;"",H40="Mandatory"),"✓ "&amp;G40,""),IF(AND(I40&lt;&gt;"",J40="Mandatory"),"✓ "&amp;I40,""),IF(AND(K40&lt;&gt;"",L40="Mandatory"),"✓ "&amp;K40,""),IF(AND(M40&lt;&gt;"",N40="Mandatory"),"✓ "&amp;M40,""),IF(AND(O40&lt;&gt;"",P40="Mandatory"),"✓ "&amp;O40,""),IF(AND(Q40&lt;&gt;"",R40="Mandatory"),"✓ "&amp;Q40,""))</f>
        <v>✓ Aadhaar Card
✓ Aadhaar-Linked Mobile Number</v>
      </c>
      <c r="T40" s="7" t="str">
        <f aca="false">_xlfn.TEXTJOIN(CHAR(10),TRUE(),IF(AND(C40&lt;&gt;"",OR(D40="Optional",D40="If Applicable",D40="To Verify")),"• "&amp;C40&amp;" ("&amp;D40&amp;")",""),IF(AND(E40&lt;&gt;"",OR(F40="Optional",F40="If Applicable",F40="To Verify")),"• "&amp;E40&amp;" ("&amp;F40&amp;")",""),IF(AND(G40&lt;&gt;"",OR(H40="Optional",H40="If Applicable",H40="To Verify")),"• "&amp;G40&amp;" ("&amp;H40&amp;")",""),IF(AND(I40&lt;&gt;"",OR(J40="Optional",J40="If Applicable",J40="To Verify")),"• "&amp;I40&amp;" ("&amp;J40&amp;")",""),IF(AND(K40&lt;&gt;"",OR(L40="Optional",L40="If Applicable",L40="To Verify")),"• "&amp;K40&amp;" ("&amp;L40&amp;")",""),IF(AND(M40&lt;&gt;"",OR(N40="Optional",N40="If Applicable",N40="To Verify")),"• "&amp;M40&amp;" ("&amp;N40&amp;")",""),IF(AND(O40&lt;&gt;"",OR(P40="Optional",P40="If Applicable",P40="To Verify")),"• "&amp;O40&amp;" ("&amp;P40&amp;")",""),IF(AND(Q40&lt;&gt;"",OR(R40="Optional",R40="If Applicable",R40="To Verify")),"• "&amp;Q40&amp;" ("&amp;R40&amp;")",""))</f>
        <v/>
      </c>
    </row>
    <row r="41" customFormat="false" ht="23.85" hidden="false" customHeight="false" outlineLevel="0" collapsed="false">
      <c r="A41" s="6" t="s">
        <v>556</v>
      </c>
      <c r="B41" s="7" t="str">
        <f aca="false">IF($A41="","",IFERROR(INDEX(MASTER_DATABASE!$E$4:$E$1000,MATCH($A41,MASTER_DATABASE!$A$4:$A$1000,0)),""))</f>
        <v>Aadhaar Offline eKYC (XML / QR) Download Assistance</v>
      </c>
      <c r="C41" s="6" t="s">
        <v>3433</v>
      </c>
      <c r="D41" s="6" t="s">
        <v>3436</v>
      </c>
      <c r="E41" s="6" t="s">
        <v>3439</v>
      </c>
      <c r="F41" s="6" t="s">
        <v>3436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 t="str">
        <f aca="false">_xlfn.TEXTJOIN(CHAR(10),TRUE(),IF(AND(C41&lt;&gt;"",D41="Mandatory"),"✓ "&amp;C41,""),IF(AND(E41&lt;&gt;"",F41="Mandatory"),"✓ "&amp;E41,""),IF(AND(G41&lt;&gt;"",H41="Mandatory"),"✓ "&amp;G41,""),IF(AND(I41&lt;&gt;"",J41="Mandatory"),"✓ "&amp;I41,""),IF(AND(K41&lt;&gt;"",L41="Mandatory"),"✓ "&amp;K41,""),IF(AND(M41&lt;&gt;"",N41="Mandatory"),"✓ "&amp;M41,""),IF(AND(O41&lt;&gt;"",P41="Mandatory"),"✓ "&amp;O41,""),IF(AND(Q41&lt;&gt;"",R41="Mandatory"),"✓ "&amp;Q41,""))</f>
        <v>✓ Aadhaar Card
✓ Aadhaar-Linked Mobile Number</v>
      </c>
      <c r="T41" s="7" t="str">
        <f aca="false">_xlfn.TEXTJOIN(CHAR(10),TRUE(),IF(AND(C41&lt;&gt;"",OR(D41="Optional",D41="If Applicable",D41="To Verify")),"• "&amp;C41&amp;" ("&amp;D41&amp;")",""),IF(AND(E41&lt;&gt;"",OR(F41="Optional",F41="If Applicable",F41="To Verify")),"• "&amp;E41&amp;" ("&amp;F41&amp;")",""),IF(AND(G41&lt;&gt;"",OR(H41="Optional",H41="If Applicable",H41="To Verify")),"• "&amp;G41&amp;" ("&amp;H41&amp;")",""),IF(AND(I41&lt;&gt;"",OR(J41="Optional",J41="If Applicable",J41="To Verify")),"• "&amp;I41&amp;" ("&amp;J41&amp;")",""),IF(AND(K41&lt;&gt;"",OR(L41="Optional",L41="If Applicable",L41="To Verify")),"• "&amp;K41&amp;" ("&amp;L41&amp;")",""),IF(AND(M41&lt;&gt;"",OR(N41="Optional",N41="If Applicable",N41="To Verify")),"• "&amp;M41&amp;" ("&amp;N41&amp;")",""),IF(AND(O41&lt;&gt;"",OR(P41="Optional",P41="If Applicable",P41="To Verify")),"• "&amp;O41&amp;" ("&amp;P41&amp;")",""),IF(AND(Q41&lt;&gt;"",OR(R41="Optional",R41="If Applicable",R41="To Verify")),"• "&amp;Q41&amp;" ("&amp;R41&amp;")",""))</f>
        <v/>
      </c>
    </row>
    <row r="42" customFormat="false" ht="23.85" hidden="false" customHeight="false" outlineLevel="0" collapsed="false">
      <c r="A42" s="6" t="s">
        <v>567</v>
      </c>
      <c r="B42" s="7" t="str">
        <f aca="false">IF($A42="","",IFERROR(INDEX(MASTER_DATABASE!$E$4:$E$1000,MATCH($A42,MASTER_DATABASE!$A$4:$A$1000,0)),""))</f>
        <v>Aadhaar–Bank Seeding Status Check (NPCI)</v>
      </c>
      <c r="C42" s="6" t="s">
        <v>3531</v>
      </c>
      <c r="D42" s="6" t="s">
        <v>3436</v>
      </c>
      <c r="E42" s="6" t="s">
        <v>3439</v>
      </c>
      <c r="F42" s="6" t="s">
        <v>3453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 t="str">
        <f aca="false">_xlfn.TEXTJOIN(CHAR(10),TRUE(),IF(AND(C42&lt;&gt;"",D42="Mandatory"),"✓ "&amp;C42,""),IF(AND(E42&lt;&gt;"",F42="Mandatory"),"✓ "&amp;E42,""),IF(AND(G42&lt;&gt;"",H42="Mandatory"),"✓ "&amp;G42,""),IF(AND(I42&lt;&gt;"",J42="Mandatory"),"✓ "&amp;I42,""),IF(AND(K42&lt;&gt;"",L42="Mandatory"),"✓ "&amp;K42,""),IF(AND(M42&lt;&gt;"",N42="Mandatory"),"✓ "&amp;M42,""),IF(AND(O42&lt;&gt;"",P42="Mandatory"),"✓ "&amp;O42,""),IF(AND(Q42&lt;&gt;"",R42="Mandatory"),"✓ "&amp;Q42,""))</f>
        <v>✓ Enrolment / Acknowledgement Number</v>
      </c>
      <c r="T42" s="7" t="str">
        <f aca="false">_xlfn.TEXTJOIN(CHAR(10),TRUE(),IF(AND(C42&lt;&gt;"",OR(D42="Optional",D42="If Applicable",D42="To Verify")),"• "&amp;C42&amp;" ("&amp;D42&amp;")",""),IF(AND(E42&lt;&gt;"",OR(F42="Optional",F42="If Applicable",F42="To Verify")),"• "&amp;E42&amp;" ("&amp;F42&amp;")",""),IF(AND(G42&lt;&gt;"",OR(H42="Optional",H42="If Applicable",H42="To Verify")),"• "&amp;G42&amp;" ("&amp;H42&amp;")",""),IF(AND(I42&lt;&gt;"",OR(J42="Optional",J42="If Applicable",J42="To Verify")),"• "&amp;I42&amp;" ("&amp;J42&amp;")",""),IF(AND(K42&lt;&gt;"",OR(L42="Optional",L42="If Applicable",L42="To Verify")),"• "&amp;K42&amp;" ("&amp;L42&amp;")",""),IF(AND(M42&lt;&gt;"",OR(N42="Optional",N42="If Applicable",N42="To Verify")),"• "&amp;M42&amp;" ("&amp;N42&amp;")",""),IF(AND(O42&lt;&gt;"",OR(P42="Optional",P42="If Applicable",P42="To Verify")),"• "&amp;O42&amp;" ("&amp;P42&amp;")",""),IF(AND(Q42&lt;&gt;"",OR(R42="Optional",R42="If Applicable",R42="To Verify")),"• "&amp;Q42&amp;" ("&amp;R42&amp;")",""))</f>
        <v>• Aadhaar-Linked Mobile Number (If Applicable)</v>
      </c>
    </row>
    <row r="43" customFormat="false" ht="23.85" hidden="false" customHeight="false" outlineLevel="0" collapsed="false">
      <c r="A43" s="6" t="s">
        <v>577</v>
      </c>
      <c r="B43" s="7" t="str">
        <f aca="false">IF($A43="","",IFERROR(INDEX(MASTER_DATABASE!$E$4:$E$1000,MATCH($A43,MASTER_DATABASE!$A$4:$A$1000,0)),""))</f>
        <v>Aadhaar Update Appointment Booking Assistance</v>
      </c>
      <c r="C43" s="6" t="s">
        <v>3433</v>
      </c>
      <c r="D43" s="6" t="s">
        <v>3436</v>
      </c>
      <c r="E43" s="6" t="s">
        <v>3439</v>
      </c>
      <c r="F43" s="6" t="s">
        <v>3436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 t="str">
        <f aca="false">_xlfn.TEXTJOIN(CHAR(10),TRUE(),IF(AND(C43&lt;&gt;"",D43="Mandatory"),"✓ "&amp;C43,""),IF(AND(E43&lt;&gt;"",F43="Mandatory"),"✓ "&amp;E43,""),IF(AND(G43&lt;&gt;"",H43="Mandatory"),"✓ "&amp;G43,""),IF(AND(I43&lt;&gt;"",J43="Mandatory"),"✓ "&amp;I43,""),IF(AND(K43&lt;&gt;"",L43="Mandatory"),"✓ "&amp;K43,""),IF(AND(M43&lt;&gt;"",N43="Mandatory"),"✓ "&amp;M43,""),IF(AND(O43&lt;&gt;"",P43="Mandatory"),"✓ "&amp;O43,""),IF(AND(Q43&lt;&gt;"",R43="Mandatory"),"✓ "&amp;Q43,""))</f>
        <v>✓ Aadhaar Card
✓ Aadhaar-Linked Mobile Number</v>
      </c>
      <c r="T43" s="7" t="str">
        <f aca="false">_xlfn.TEXTJOIN(CHAR(10),TRUE(),IF(AND(C43&lt;&gt;"",OR(D43="Optional",D43="If Applicable",D43="To Verify")),"• "&amp;C43&amp;" ("&amp;D43&amp;")",""),IF(AND(E43&lt;&gt;"",OR(F43="Optional",F43="If Applicable",F43="To Verify")),"• "&amp;E43&amp;" ("&amp;F43&amp;")",""),IF(AND(G43&lt;&gt;"",OR(H43="Optional",H43="If Applicable",H43="To Verify")),"• "&amp;G43&amp;" ("&amp;H43&amp;")",""),IF(AND(I43&lt;&gt;"",OR(J43="Optional",J43="If Applicable",J43="To Verify")),"• "&amp;I43&amp;" ("&amp;J43&amp;")",""),IF(AND(K43&lt;&gt;"",OR(L43="Optional",L43="If Applicable",L43="To Verify")),"• "&amp;K43&amp;" ("&amp;L43&amp;")",""),IF(AND(M43&lt;&gt;"",OR(N43="Optional",N43="If Applicable",N43="To Verify")),"• "&amp;M43&amp;" ("&amp;N43&amp;")",""),IF(AND(O43&lt;&gt;"",OR(P43="Optional",P43="If Applicable",P43="To Verify")),"• "&amp;O43&amp;" ("&amp;P43&amp;")",""),IF(AND(Q43&lt;&gt;"",OR(R43="Optional",R43="If Applicable",R43="To Verify")),"• "&amp;Q43&amp;" ("&amp;R43&amp;")",""))</f>
        <v/>
      </c>
    </row>
    <row r="44" customFormat="false" ht="23.85" hidden="false" customHeight="false" outlineLevel="0" collapsed="false">
      <c r="A44" s="6" t="s">
        <v>588</v>
      </c>
      <c r="B44" s="7" t="str">
        <f aca="false">IF($A44="","",IFERROR(INDEX(MASTER_DATABASE!$E$4:$E$1000,MATCH($A44,MASTER_DATABASE!$A$4:$A$1000,0)),""))</f>
        <v>mAadhaar App Setup Assistance</v>
      </c>
      <c r="C44" s="6" t="s">
        <v>3433</v>
      </c>
      <c r="D44" s="6" t="s">
        <v>3436</v>
      </c>
      <c r="E44" s="6" t="s">
        <v>3439</v>
      </c>
      <c r="F44" s="6" t="s">
        <v>3436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 t="str">
        <f aca="false">_xlfn.TEXTJOIN(CHAR(10),TRUE(),IF(AND(C44&lt;&gt;"",D44="Mandatory"),"✓ "&amp;C44,""),IF(AND(E44&lt;&gt;"",F44="Mandatory"),"✓ "&amp;E44,""),IF(AND(G44&lt;&gt;"",H44="Mandatory"),"✓ "&amp;G44,""),IF(AND(I44&lt;&gt;"",J44="Mandatory"),"✓ "&amp;I44,""),IF(AND(K44&lt;&gt;"",L44="Mandatory"),"✓ "&amp;K44,""),IF(AND(M44&lt;&gt;"",N44="Mandatory"),"✓ "&amp;M44,""),IF(AND(O44&lt;&gt;"",P44="Mandatory"),"✓ "&amp;O44,""),IF(AND(Q44&lt;&gt;"",R44="Mandatory"),"✓ "&amp;Q44,""))</f>
        <v>✓ Aadhaar Card
✓ Aadhaar-Linked Mobile Number</v>
      </c>
      <c r="T44" s="7" t="str">
        <f aca="false">_xlfn.TEXTJOIN(CHAR(10),TRUE(),IF(AND(C44&lt;&gt;"",OR(D44="Optional",D44="If Applicable",D44="To Verify")),"• "&amp;C44&amp;" ("&amp;D44&amp;")",""),IF(AND(E44&lt;&gt;"",OR(F44="Optional",F44="If Applicable",F44="To Verify")),"• "&amp;E44&amp;" ("&amp;F44&amp;")",""),IF(AND(G44&lt;&gt;"",OR(H44="Optional",H44="If Applicable",H44="To Verify")),"• "&amp;G44&amp;" ("&amp;H44&amp;")",""),IF(AND(I44&lt;&gt;"",OR(J44="Optional",J44="If Applicable",J44="To Verify")),"• "&amp;I44&amp;" ("&amp;J44&amp;")",""),IF(AND(K44&lt;&gt;"",OR(L44="Optional",L44="If Applicable",L44="To Verify")),"• "&amp;K44&amp;" ("&amp;L44&amp;")",""),IF(AND(M44&lt;&gt;"",OR(N44="Optional",N44="If Applicable",N44="To Verify")),"• "&amp;M44&amp;" ("&amp;N44&amp;")",""),IF(AND(O44&lt;&gt;"",OR(P44="Optional",P44="If Applicable",P44="To Verify")),"• "&amp;O44&amp;" ("&amp;P44&amp;")",""),IF(AND(Q44&lt;&gt;"",OR(R44="Optional",R44="If Applicable",R44="To Verify")),"• "&amp;Q44&amp;" ("&amp;R44&amp;")",""))</f>
        <v/>
      </c>
    </row>
    <row r="45" customFormat="false" ht="23.85" hidden="false" customHeight="false" outlineLevel="0" collapsed="false">
      <c r="A45" s="6" t="s">
        <v>599</v>
      </c>
      <c r="B45" s="7" t="str">
        <f aca="false">IF($A45="","",IFERROR(INDEX(MASTER_DATABASE!$E$4:$E$1000,MATCH($A45,MASTER_DATABASE!$A$4:$A$1000,0)),""))</f>
        <v>Aadhaar Complaint / Grievance Filing Assistance</v>
      </c>
      <c r="C45" s="6" t="s">
        <v>3433</v>
      </c>
      <c r="D45" s="6" t="s">
        <v>3436</v>
      </c>
      <c r="E45" s="6" t="s">
        <v>3439</v>
      </c>
      <c r="F45" s="6" t="s">
        <v>3436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 t="str">
        <f aca="false">_xlfn.TEXTJOIN(CHAR(10),TRUE(),IF(AND(C45&lt;&gt;"",D45="Mandatory"),"✓ "&amp;C45,""),IF(AND(E45&lt;&gt;"",F45="Mandatory"),"✓ "&amp;E45,""),IF(AND(G45&lt;&gt;"",H45="Mandatory"),"✓ "&amp;G45,""),IF(AND(I45&lt;&gt;"",J45="Mandatory"),"✓ "&amp;I45,""),IF(AND(K45&lt;&gt;"",L45="Mandatory"),"✓ "&amp;K45,""),IF(AND(M45&lt;&gt;"",N45="Mandatory"),"✓ "&amp;M45,""),IF(AND(O45&lt;&gt;"",P45="Mandatory"),"✓ "&amp;O45,""),IF(AND(Q45&lt;&gt;"",R45="Mandatory"),"✓ "&amp;Q45,""))</f>
        <v>✓ Aadhaar Card
✓ Aadhaar-Linked Mobile Number</v>
      </c>
      <c r="T45" s="7" t="str">
        <f aca="false">_xlfn.TEXTJOIN(CHAR(10),TRUE(),IF(AND(C45&lt;&gt;"",OR(D45="Optional",D45="If Applicable",D45="To Verify")),"• "&amp;C45&amp;" ("&amp;D45&amp;")",""),IF(AND(E45&lt;&gt;"",OR(F45="Optional",F45="If Applicable",F45="To Verify")),"• "&amp;E45&amp;" ("&amp;F45&amp;")",""),IF(AND(G45&lt;&gt;"",OR(H45="Optional",H45="If Applicable",H45="To Verify")),"• "&amp;G45&amp;" ("&amp;H45&amp;")",""),IF(AND(I45&lt;&gt;"",OR(J45="Optional",J45="If Applicable",J45="To Verify")),"• "&amp;I45&amp;" ("&amp;J45&amp;")",""),IF(AND(K45&lt;&gt;"",OR(L45="Optional",L45="If Applicable",L45="To Verify")),"• "&amp;K45&amp;" ("&amp;L45&amp;")",""),IF(AND(M45&lt;&gt;"",OR(N45="Optional",N45="If Applicable",N45="To Verify")),"• "&amp;M45&amp;" ("&amp;N45&amp;")",""),IF(AND(O45&lt;&gt;"",OR(P45="Optional",P45="If Applicable",P45="To Verify")),"• "&amp;O45&amp;" ("&amp;P45&amp;")",""),IF(AND(Q45&lt;&gt;"",OR(R45="Optional",R45="If Applicable",R45="To Verify")),"• "&amp;Q45&amp;" ("&amp;R45&amp;")",""))</f>
        <v/>
      </c>
    </row>
    <row r="46" customFormat="false" ht="23.85" hidden="false" customHeight="false" outlineLevel="0" collapsed="false">
      <c r="A46" s="6" t="s">
        <v>610</v>
      </c>
      <c r="B46" s="7" t="str">
        <f aca="false">IF($A46="","",IFERROR(INDEX(MASTER_DATABASE!$E$4:$E$1000,MATCH($A46,MASTER_DATABASE!$A$4:$A$1000,0)),""))</f>
        <v>HDFC BC – Cash Deposit</v>
      </c>
      <c r="C46" s="6" t="s">
        <v>3611</v>
      </c>
      <c r="D46" s="6" t="s">
        <v>3436</v>
      </c>
      <c r="E46" s="6" t="s">
        <v>3571</v>
      </c>
      <c r="F46" s="6" t="s">
        <v>3436</v>
      </c>
      <c r="G46" s="6" t="s">
        <v>3433</v>
      </c>
      <c r="H46" s="6" t="s">
        <v>3453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7" t="str">
        <f aca="false">_xlfn.TEXTJOIN(CHAR(10),TRUE(),IF(AND(C46&lt;&gt;"",D46="Mandatory"),"✓ "&amp;C46,""),IF(AND(E46&lt;&gt;"",F46="Mandatory"),"✓ "&amp;E46,""),IF(AND(G46&lt;&gt;"",H46="Mandatory"),"✓ "&amp;G46,""),IF(AND(I46&lt;&gt;"",J46="Mandatory"),"✓ "&amp;I46,""),IF(AND(K46&lt;&gt;"",L46="Mandatory"),"✓ "&amp;K46,""),IF(AND(M46&lt;&gt;"",N46="Mandatory"),"✓ "&amp;M46,""),IF(AND(O46&lt;&gt;"",P46="Mandatory"),"✓ "&amp;O46,""),IF(AND(Q46&lt;&gt;"",R46="Mandatory"),"✓ "&amp;Q46,""))</f>
        <v>✓ Bank Account Number
✓ Cash Amount</v>
      </c>
      <c r="T46" s="7" t="str">
        <f aca="false">_xlfn.TEXTJOIN(CHAR(10),TRUE(),IF(AND(C46&lt;&gt;"",OR(D46="Optional",D46="If Applicable",D46="To Verify")),"• "&amp;C46&amp;" ("&amp;D46&amp;")",""),IF(AND(E46&lt;&gt;"",OR(F46="Optional",F46="If Applicable",F46="To Verify")),"• "&amp;E46&amp;" ("&amp;F46&amp;")",""),IF(AND(G46&lt;&gt;"",OR(H46="Optional",H46="If Applicable",H46="To Verify")),"• "&amp;G46&amp;" ("&amp;H46&amp;")",""),IF(AND(I46&lt;&gt;"",OR(J46="Optional",J46="If Applicable",J46="To Verify")),"• "&amp;I46&amp;" ("&amp;J46&amp;")",""),IF(AND(K46&lt;&gt;"",OR(L46="Optional",L46="If Applicable",L46="To Verify")),"• "&amp;K46&amp;" ("&amp;L46&amp;")",""),IF(AND(M46&lt;&gt;"",OR(N46="Optional",N46="If Applicable",N46="To Verify")),"• "&amp;M46&amp;" ("&amp;N46&amp;")",""),IF(AND(O46&lt;&gt;"",OR(P46="Optional",P46="If Applicable",P46="To Verify")),"• "&amp;O46&amp;" ("&amp;P46&amp;")",""),IF(AND(Q46&lt;&gt;"",OR(R46="Optional",R46="If Applicable",R46="To Verify")),"• "&amp;Q46&amp;" ("&amp;R46&amp;")",""))</f>
        <v>• Aadhaar Card (If Applicable)</v>
      </c>
    </row>
    <row r="47" customFormat="false" ht="23.85" hidden="false" customHeight="false" outlineLevel="0" collapsed="false">
      <c r="A47" s="6" t="s">
        <v>628</v>
      </c>
      <c r="B47" s="7" t="str">
        <f aca="false">IF($A47="","",IFERROR(INDEX(MASTER_DATABASE!$E$4:$E$1000,MATCH($A47,MASTER_DATABASE!$A$4:$A$1000,0)),""))</f>
        <v>HDFC BC – Cash Withdrawal</v>
      </c>
      <c r="C47" s="6" t="s">
        <v>3433</v>
      </c>
      <c r="D47" s="6" t="s">
        <v>3436</v>
      </c>
      <c r="E47" s="6" t="s">
        <v>3611</v>
      </c>
      <c r="F47" s="6" t="s">
        <v>3453</v>
      </c>
      <c r="G47" s="6" t="s">
        <v>3488</v>
      </c>
      <c r="H47" s="6" t="s">
        <v>3436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7" t="str">
        <f aca="false">_xlfn.TEXTJOIN(CHAR(10),TRUE(),IF(AND(C47&lt;&gt;"",D47="Mandatory"),"✓ "&amp;C47,""),IF(AND(E47&lt;&gt;"",F47="Mandatory"),"✓ "&amp;E47,""),IF(AND(G47&lt;&gt;"",H47="Mandatory"),"✓ "&amp;G47,""),IF(AND(I47&lt;&gt;"",J47="Mandatory"),"✓ "&amp;I47,""),IF(AND(K47&lt;&gt;"",L47="Mandatory"),"✓ "&amp;K47,""),IF(AND(M47&lt;&gt;"",N47="Mandatory"),"✓ "&amp;M47,""),IF(AND(O47&lt;&gt;"",P47="Mandatory"),"✓ "&amp;O47,""),IF(AND(Q47&lt;&gt;"",R47="Mandatory"),"✓ "&amp;Q47,""))</f>
        <v>✓ Aadhaar Card
✓ Customer Presence for Biometrics</v>
      </c>
      <c r="T47" s="7" t="str">
        <f aca="false">_xlfn.TEXTJOIN(CHAR(10),TRUE(),IF(AND(C47&lt;&gt;"",OR(D47="Optional",D47="If Applicable",D47="To Verify")),"• "&amp;C47&amp;" ("&amp;D47&amp;")",""),IF(AND(E47&lt;&gt;"",OR(F47="Optional",F47="If Applicable",F47="To Verify")),"• "&amp;E47&amp;" ("&amp;F47&amp;")",""),IF(AND(G47&lt;&gt;"",OR(H47="Optional",H47="If Applicable",H47="To Verify")),"• "&amp;G47&amp;" ("&amp;H47&amp;")",""),IF(AND(I47&lt;&gt;"",OR(J47="Optional",J47="If Applicable",J47="To Verify")),"• "&amp;I47&amp;" ("&amp;J47&amp;")",""),IF(AND(K47&lt;&gt;"",OR(L47="Optional",L47="If Applicable",L47="To Verify")),"• "&amp;K47&amp;" ("&amp;L47&amp;")",""),IF(AND(M47&lt;&gt;"",OR(N47="Optional",N47="If Applicable",N47="To Verify")),"• "&amp;M47&amp;" ("&amp;N47&amp;")",""),IF(AND(O47&lt;&gt;"",OR(P47="Optional",P47="If Applicable",P47="To Verify")),"• "&amp;O47&amp;" ("&amp;P47&amp;")",""),IF(AND(Q47&lt;&gt;"",OR(R47="Optional",R47="If Applicable",R47="To Verify")),"• "&amp;Q47&amp;" ("&amp;R47&amp;")",""))</f>
        <v>• Bank Account Number (If Applicable)</v>
      </c>
    </row>
    <row r="48" customFormat="false" ht="35.05" hidden="false" customHeight="false" outlineLevel="0" collapsed="false">
      <c r="A48" s="6" t="s">
        <v>640</v>
      </c>
      <c r="B48" s="7" t="str">
        <f aca="false">IF($A48="","",IFERROR(INDEX(MASTER_DATABASE!$E$4:$E$1000,MATCH($A48,MASTER_DATABASE!$A$4:$A$1000,0)),""))</f>
        <v>HDFC BC – Balance Enquiry</v>
      </c>
      <c r="C48" s="6" t="s">
        <v>3433</v>
      </c>
      <c r="D48" s="6" t="s">
        <v>3436</v>
      </c>
      <c r="E48" s="6" t="s">
        <v>3611</v>
      </c>
      <c r="F48" s="6" t="s">
        <v>3436</v>
      </c>
      <c r="G48" s="6" t="s">
        <v>3478</v>
      </c>
      <c r="H48" s="6" t="s">
        <v>3436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7" t="str">
        <f aca="false">_xlfn.TEXTJOIN(CHAR(10),TRUE(),IF(AND(C48&lt;&gt;"",D48="Mandatory"),"✓ "&amp;C48,""),IF(AND(E48&lt;&gt;"",F48="Mandatory"),"✓ "&amp;E48,""),IF(AND(G48&lt;&gt;"",H48="Mandatory"),"✓ "&amp;G48,""),IF(AND(I48&lt;&gt;"",J48="Mandatory"),"✓ "&amp;I48,""),IF(AND(K48&lt;&gt;"",L48="Mandatory"),"✓ "&amp;K48,""),IF(AND(M48&lt;&gt;"",N48="Mandatory"),"✓ "&amp;M48,""),IF(AND(O48&lt;&gt;"",P48="Mandatory"),"✓ "&amp;O48,""),IF(AND(Q48&lt;&gt;"",R48="Mandatory"),"✓ "&amp;Q48,""))</f>
        <v>✓ Aadhaar Card
✓ Bank Account Number
✓ Active Mobile Number</v>
      </c>
      <c r="T48" s="7" t="str">
        <f aca="false">_xlfn.TEXTJOIN(CHAR(10),TRUE(),IF(AND(C48&lt;&gt;"",OR(D48="Optional",D48="If Applicable",D48="To Verify")),"• "&amp;C48&amp;" ("&amp;D48&amp;")",""),IF(AND(E48&lt;&gt;"",OR(F48="Optional",F48="If Applicable",F48="To Verify")),"• "&amp;E48&amp;" ("&amp;F48&amp;")",""),IF(AND(G48&lt;&gt;"",OR(H48="Optional",H48="If Applicable",H48="To Verify")),"• "&amp;G48&amp;" ("&amp;H48&amp;")",""),IF(AND(I48&lt;&gt;"",OR(J48="Optional",J48="If Applicable",J48="To Verify")),"• "&amp;I48&amp;" ("&amp;J48&amp;")",""),IF(AND(K48&lt;&gt;"",OR(L48="Optional",L48="If Applicable",L48="To Verify")),"• "&amp;K48&amp;" ("&amp;L48&amp;")",""),IF(AND(M48&lt;&gt;"",OR(N48="Optional",N48="If Applicable",N48="To Verify")),"• "&amp;M48&amp;" ("&amp;N48&amp;")",""),IF(AND(O48&lt;&gt;"",OR(P48="Optional",P48="If Applicable",P48="To Verify")),"• "&amp;O48&amp;" ("&amp;P48&amp;")",""),IF(AND(Q48&lt;&gt;"",OR(R48="Optional",R48="If Applicable",R48="To Verify")),"• "&amp;Q48&amp;" ("&amp;R48&amp;")",""))</f>
        <v/>
      </c>
    </row>
    <row r="49" customFormat="false" ht="35.05" hidden="false" customHeight="false" outlineLevel="0" collapsed="false">
      <c r="A49" s="6" t="s">
        <v>652</v>
      </c>
      <c r="B49" s="7" t="str">
        <f aca="false">IF($A49="","",IFERROR(INDEX(MASTER_DATABASE!$E$4:$E$1000,MATCH($A49,MASTER_DATABASE!$A$4:$A$1000,0)),""))</f>
        <v>HDFC BC – Mini Statement</v>
      </c>
      <c r="C49" s="6" t="s">
        <v>3433</v>
      </c>
      <c r="D49" s="6" t="s">
        <v>3436</v>
      </c>
      <c r="E49" s="6" t="s">
        <v>3611</v>
      </c>
      <c r="F49" s="6" t="s">
        <v>3436</v>
      </c>
      <c r="G49" s="6" t="s">
        <v>3478</v>
      </c>
      <c r="H49" s="6" t="s">
        <v>3436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7" t="str">
        <f aca="false">_xlfn.TEXTJOIN(CHAR(10),TRUE(),IF(AND(C49&lt;&gt;"",D49="Mandatory"),"✓ "&amp;C49,""),IF(AND(E49&lt;&gt;"",F49="Mandatory"),"✓ "&amp;E49,""),IF(AND(G49&lt;&gt;"",H49="Mandatory"),"✓ "&amp;G49,""),IF(AND(I49&lt;&gt;"",J49="Mandatory"),"✓ "&amp;I49,""),IF(AND(K49&lt;&gt;"",L49="Mandatory"),"✓ "&amp;K49,""),IF(AND(M49&lt;&gt;"",N49="Mandatory"),"✓ "&amp;M49,""),IF(AND(O49&lt;&gt;"",P49="Mandatory"),"✓ "&amp;O49,""),IF(AND(Q49&lt;&gt;"",R49="Mandatory"),"✓ "&amp;Q49,""))</f>
        <v>✓ Aadhaar Card
✓ Bank Account Number
✓ Active Mobile Number</v>
      </c>
      <c r="T49" s="7" t="str">
        <f aca="false">_xlfn.TEXTJOIN(CHAR(10),TRUE(),IF(AND(C49&lt;&gt;"",OR(D49="Optional",D49="If Applicable",D49="To Verify")),"• "&amp;C49&amp;" ("&amp;D49&amp;")",""),IF(AND(E49&lt;&gt;"",OR(F49="Optional",F49="If Applicable",F49="To Verify")),"• "&amp;E49&amp;" ("&amp;F49&amp;")",""),IF(AND(G49&lt;&gt;"",OR(H49="Optional",H49="If Applicable",H49="To Verify")),"• "&amp;G49&amp;" ("&amp;H49&amp;")",""),IF(AND(I49&lt;&gt;"",OR(J49="Optional",J49="If Applicable",J49="To Verify")),"• "&amp;I49&amp;" ("&amp;J49&amp;")",""),IF(AND(K49&lt;&gt;"",OR(L49="Optional",L49="If Applicable",L49="To Verify")),"• "&amp;K49&amp;" ("&amp;L49&amp;")",""),IF(AND(M49&lt;&gt;"",OR(N49="Optional",N49="If Applicable",N49="To Verify")),"• "&amp;M49&amp;" ("&amp;N49&amp;")",""),IF(AND(O49&lt;&gt;"",OR(P49="Optional",P49="If Applicable",P49="To Verify")),"• "&amp;O49&amp;" ("&amp;P49&amp;")",""),IF(AND(Q49&lt;&gt;"",OR(R49="Optional",R49="If Applicable",R49="To Verify")),"• "&amp;Q49&amp;" ("&amp;R49&amp;")",""))</f>
        <v/>
      </c>
    </row>
    <row r="50" customFormat="false" ht="23.85" hidden="false" customHeight="false" outlineLevel="0" collapsed="false">
      <c r="A50" s="6" t="s">
        <v>663</v>
      </c>
      <c r="B50" s="7" t="str">
        <f aca="false">IF($A50="","",IFERROR(INDEX(MASTER_DATABASE!$E$4:$E$1000,MATCH($A50,MASTER_DATABASE!$A$4:$A$1000,0)),""))</f>
        <v>HDFC BC – AEPS Cash Withdrawal</v>
      </c>
      <c r="C50" s="6" t="s">
        <v>3433</v>
      </c>
      <c r="D50" s="6" t="s">
        <v>3436</v>
      </c>
      <c r="E50" s="6" t="s">
        <v>3488</v>
      </c>
      <c r="F50" s="6" t="s">
        <v>3436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 t="str">
        <f aca="false">_xlfn.TEXTJOIN(CHAR(10),TRUE(),IF(AND(C50&lt;&gt;"",D50="Mandatory"),"✓ "&amp;C50,""),IF(AND(E50&lt;&gt;"",F50="Mandatory"),"✓ "&amp;E50,""),IF(AND(G50&lt;&gt;"",H50="Mandatory"),"✓ "&amp;G50,""),IF(AND(I50&lt;&gt;"",J50="Mandatory"),"✓ "&amp;I50,""),IF(AND(K50&lt;&gt;"",L50="Mandatory"),"✓ "&amp;K50,""),IF(AND(M50&lt;&gt;"",N50="Mandatory"),"✓ "&amp;M50,""),IF(AND(O50&lt;&gt;"",P50="Mandatory"),"✓ "&amp;O50,""),IF(AND(Q50&lt;&gt;"",R50="Mandatory"),"✓ "&amp;Q50,""))</f>
        <v>✓ Aadhaar Card
✓ Customer Presence for Biometrics</v>
      </c>
      <c r="T50" s="7" t="str">
        <f aca="false">_xlfn.TEXTJOIN(CHAR(10),TRUE(),IF(AND(C50&lt;&gt;"",OR(D50="Optional",D50="If Applicable",D50="To Verify")),"• "&amp;C50&amp;" ("&amp;D50&amp;")",""),IF(AND(E50&lt;&gt;"",OR(F50="Optional",F50="If Applicable",F50="To Verify")),"• "&amp;E50&amp;" ("&amp;F50&amp;")",""),IF(AND(G50&lt;&gt;"",OR(H50="Optional",H50="If Applicable",H50="To Verify")),"• "&amp;G50&amp;" ("&amp;H50&amp;")",""),IF(AND(I50&lt;&gt;"",OR(J50="Optional",J50="If Applicable",J50="To Verify")),"• "&amp;I50&amp;" ("&amp;J50&amp;")",""),IF(AND(K50&lt;&gt;"",OR(L50="Optional",L50="If Applicable",L50="To Verify")),"• "&amp;K50&amp;" ("&amp;L50&amp;")",""),IF(AND(M50&lt;&gt;"",OR(N50="Optional",N50="If Applicable",N50="To Verify")),"• "&amp;M50&amp;" ("&amp;N50&amp;")",""),IF(AND(O50&lt;&gt;"",OR(P50="Optional",P50="If Applicable",P50="To Verify")),"• "&amp;O50&amp;" ("&amp;P50&amp;")",""),IF(AND(Q50&lt;&gt;"",OR(R50="Optional",R50="If Applicable",R50="To Verify")),"• "&amp;Q50&amp;" ("&amp;R50&amp;")",""))</f>
        <v/>
      </c>
    </row>
    <row r="51" customFormat="false" ht="23.85" hidden="false" customHeight="false" outlineLevel="0" collapsed="false">
      <c r="A51" s="6" t="s">
        <v>678</v>
      </c>
      <c r="B51" s="7" t="str">
        <f aca="false">IF($A51="","",IFERROR(INDEX(MASTER_DATABASE!$E$4:$E$1000,MATCH($A51,MASTER_DATABASE!$A$4:$A$1000,0)),""))</f>
        <v>HDFC BC – AEPS Balance Enquiry</v>
      </c>
      <c r="C51" s="6" t="s">
        <v>3433</v>
      </c>
      <c r="D51" s="6" t="s">
        <v>3436</v>
      </c>
      <c r="E51" s="6" t="s">
        <v>3488</v>
      </c>
      <c r="F51" s="6" t="s">
        <v>3436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 t="str">
        <f aca="false">_xlfn.TEXTJOIN(CHAR(10),TRUE(),IF(AND(C51&lt;&gt;"",D51="Mandatory"),"✓ "&amp;C51,""),IF(AND(E51&lt;&gt;"",F51="Mandatory"),"✓ "&amp;E51,""),IF(AND(G51&lt;&gt;"",H51="Mandatory"),"✓ "&amp;G51,""),IF(AND(I51&lt;&gt;"",J51="Mandatory"),"✓ "&amp;I51,""),IF(AND(K51&lt;&gt;"",L51="Mandatory"),"✓ "&amp;K51,""),IF(AND(M51&lt;&gt;"",N51="Mandatory"),"✓ "&amp;M51,""),IF(AND(O51&lt;&gt;"",P51="Mandatory"),"✓ "&amp;O51,""),IF(AND(Q51&lt;&gt;"",R51="Mandatory"),"✓ "&amp;Q51,""))</f>
        <v>✓ Aadhaar Card
✓ Customer Presence for Biometrics</v>
      </c>
      <c r="T51" s="7" t="str">
        <f aca="false">_xlfn.TEXTJOIN(CHAR(10),TRUE(),IF(AND(C51&lt;&gt;"",OR(D51="Optional",D51="If Applicable",D51="To Verify")),"• "&amp;C51&amp;" ("&amp;D51&amp;")",""),IF(AND(E51&lt;&gt;"",OR(F51="Optional",F51="If Applicable",F51="To Verify")),"• "&amp;E51&amp;" ("&amp;F51&amp;")",""),IF(AND(G51&lt;&gt;"",OR(H51="Optional",H51="If Applicable",H51="To Verify")),"• "&amp;G51&amp;" ("&amp;H51&amp;")",""),IF(AND(I51&lt;&gt;"",OR(J51="Optional",J51="If Applicable",J51="To Verify")),"• "&amp;I51&amp;" ("&amp;J51&amp;")",""),IF(AND(K51&lt;&gt;"",OR(L51="Optional",L51="If Applicable",L51="To Verify")),"• "&amp;K51&amp;" ("&amp;L51&amp;")",""),IF(AND(M51&lt;&gt;"",OR(N51="Optional",N51="If Applicable",N51="To Verify")),"• "&amp;M51&amp;" ("&amp;N51&amp;")",""),IF(AND(O51&lt;&gt;"",OR(P51="Optional",P51="If Applicable",P51="To Verify")),"• "&amp;O51&amp;" ("&amp;P51&amp;")",""),IF(AND(Q51&lt;&gt;"",OR(R51="Optional",R51="If Applicable",R51="To Verify")),"• "&amp;Q51&amp;" ("&amp;R51&amp;")",""))</f>
        <v/>
      </c>
    </row>
    <row r="52" customFormat="false" ht="23.85" hidden="false" customHeight="false" outlineLevel="0" collapsed="false">
      <c r="A52" s="6" t="s">
        <v>689</v>
      </c>
      <c r="B52" s="7" t="str">
        <f aca="false">IF($A52="","",IFERROR(INDEX(MASTER_DATABASE!$E$4:$E$1000,MATCH($A52,MASTER_DATABASE!$A$4:$A$1000,0)),""))</f>
        <v>HDFC BC – AEPS Mini Statement</v>
      </c>
      <c r="C52" s="6" t="s">
        <v>3433</v>
      </c>
      <c r="D52" s="6" t="s">
        <v>3436</v>
      </c>
      <c r="E52" s="6" t="s">
        <v>3488</v>
      </c>
      <c r="F52" s="6" t="s">
        <v>3436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 t="str">
        <f aca="false">_xlfn.TEXTJOIN(CHAR(10),TRUE(),IF(AND(C52&lt;&gt;"",D52="Mandatory"),"✓ "&amp;C52,""),IF(AND(E52&lt;&gt;"",F52="Mandatory"),"✓ "&amp;E52,""),IF(AND(G52&lt;&gt;"",H52="Mandatory"),"✓ "&amp;G52,""),IF(AND(I52&lt;&gt;"",J52="Mandatory"),"✓ "&amp;I52,""),IF(AND(K52&lt;&gt;"",L52="Mandatory"),"✓ "&amp;K52,""),IF(AND(M52&lt;&gt;"",N52="Mandatory"),"✓ "&amp;M52,""),IF(AND(O52&lt;&gt;"",P52="Mandatory"),"✓ "&amp;O52,""),IF(AND(Q52&lt;&gt;"",R52="Mandatory"),"✓ "&amp;Q52,""))</f>
        <v>✓ Aadhaar Card
✓ Customer Presence for Biometrics</v>
      </c>
      <c r="T52" s="7" t="str">
        <f aca="false">_xlfn.TEXTJOIN(CHAR(10),TRUE(),IF(AND(C52&lt;&gt;"",OR(D52="Optional",D52="If Applicable",D52="To Verify")),"• "&amp;C52&amp;" ("&amp;D52&amp;")",""),IF(AND(E52&lt;&gt;"",OR(F52="Optional",F52="If Applicable",F52="To Verify")),"• "&amp;E52&amp;" ("&amp;F52&amp;")",""),IF(AND(G52&lt;&gt;"",OR(H52="Optional",H52="If Applicable",H52="To Verify")),"• "&amp;G52&amp;" ("&amp;H52&amp;")",""),IF(AND(I52&lt;&gt;"",OR(J52="Optional",J52="If Applicable",J52="To Verify")),"• "&amp;I52&amp;" ("&amp;J52&amp;")",""),IF(AND(K52&lt;&gt;"",OR(L52="Optional",L52="If Applicable",L52="To Verify")),"• "&amp;K52&amp;" ("&amp;L52&amp;")",""),IF(AND(M52&lt;&gt;"",OR(N52="Optional",N52="If Applicable",N52="To Verify")),"• "&amp;M52&amp;" ("&amp;N52&amp;")",""),IF(AND(O52&lt;&gt;"",OR(P52="Optional",P52="If Applicable",P52="To Verify")),"• "&amp;O52&amp;" ("&amp;P52&amp;")",""),IF(AND(Q52&lt;&gt;"",OR(R52="Optional",R52="If Applicable",R52="To Verify")),"• "&amp;Q52&amp;" ("&amp;R52&amp;")",""))</f>
        <v/>
      </c>
    </row>
    <row r="53" customFormat="false" ht="23.85" hidden="false" customHeight="false" outlineLevel="0" collapsed="false">
      <c r="A53" s="6" t="s">
        <v>700</v>
      </c>
      <c r="B53" s="7" t="str">
        <f aca="false">IF($A53="","",IFERROR(INDEX(MASTER_DATABASE!$E$4:$E$1000,MATCH($A53,MASTER_DATABASE!$A$4:$A$1000,0)),""))</f>
        <v>HDFC BC – Biometric Banking (Fingerprint Authenticated)</v>
      </c>
      <c r="C53" s="6" t="s">
        <v>3433</v>
      </c>
      <c r="D53" s="6" t="s">
        <v>3436</v>
      </c>
      <c r="E53" s="6" t="s">
        <v>3488</v>
      </c>
      <c r="F53" s="6" t="s">
        <v>3436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 t="str">
        <f aca="false">_xlfn.TEXTJOIN(CHAR(10),TRUE(),IF(AND(C53&lt;&gt;"",D53="Mandatory"),"✓ "&amp;C53,""),IF(AND(E53&lt;&gt;"",F53="Mandatory"),"✓ "&amp;E53,""),IF(AND(G53&lt;&gt;"",H53="Mandatory"),"✓ "&amp;G53,""),IF(AND(I53&lt;&gt;"",J53="Mandatory"),"✓ "&amp;I53,""),IF(AND(K53&lt;&gt;"",L53="Mandatory"),"✓ "&amp;K53,""),IF(AND(M53&lt;&gt;"",N53="Mandatory"),"✓ "&amp;M53,""),IF(AND(O53&lt;&gt;"",P53="Mandatory"),"✓ "&amp;O53,""),IF(AND(Q53&lt;&gt;"",R53="Mandatory"),"✓ "&amp;Q53,""))</f>
        <v>✓ Aadhaar Card
✓ Customer Presence for Biometrics</v>
      </c>
      <c r="T53" s="7" t="str">
        <f aca="false">_xlfn.TEXTJOIN(CHAR(10),TRUE(),IF(AND(C53&lt;&gt;"",OR(D53="Optional",D53="If Applicable",D53="To Verify")),"• "&amp;C53&amp;" ("&amp;D53&amp;")",""),IF(AND(E53&lt;&gt;"",OR(F53="Optional",F53="If Applicable",F53="To Verify")),"• "&amp;E53&amp;" ("&amp;F53&amp;")",""),IF(AND(G53&lt;&gt;"",OR(H53="Optional",H53="If Applicable",H53="To Verify")),"• "&amp;G53&amp;" ("&amp;H53&amp;")",""),IF(AND(I53&lt;&gt;"",OR(J53="Optional",J53="If Applicable",J53="To Verify")),"• "&amp;I53&amp;" ("&amp;J53&amp;")",""),IF(AND(K53&lt;&gt;"",OR(L53="Optional",L53="If Applicable",L53="To Verify")),"• "&amp;K53&amp;" ("&amp;L53&amp;")",""),IF(AND(M53&lt;&gt;"",OR(N53="Optional",N53="If Applicable",N53="To Verify")),"• "&amp;M53&amp;" ("&amp;N53&amp;")",""),IF(AND(O53&lt;&gt;"",OR(P53="Optional",P53="If Applicable",P53="To Verify")),"• "&amp;O53&amp;" ("&amp;P53&amp;")",""),IF(AND(Q53&lt;&gt;"",OR(R53="Optional",R53="If Applicable",R53="To Verify")),"• "&amp;Q53&amp;" ("&amp;R53&amp;")",""))</f>
        <v/>
      </c>
    </row>
    <row r="54" customFormat="false" ht="15" hidden="false" customHeight="false" outlineLevel="0" collapsed="false">
      <c r="A54" s="6" t="s">
        <v>712</v>
      </c>
      <c r="B54" s="7" t="str">
        <f aca="false">IF($A54="","",IFERROR(INDEX(MASTER_DATABASE!$E$4:$E$1000,MATCH($A54,MASTER_DATABASE!$A$4:$A$1000,0)),""))</f>
        <v>HDFC BC – Micro ATM Cash Withdrawal</v>
      </c>
      <c r="C54" s="6" t="s">
        <v>3492</v>
      </c>
      <c r="D54" s="6" t="s">
        <v>3436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 t="str">
        <f aca="false">_xlfn.TEXTJOIN(CHAR(10),TRUE(),IF(AND(C54&lt;&gt;"",D54="Mandatory"),"✓ "&amp;C54,""),IF(AND(E54&lt;&gt;"",F54="Mandatory"),"✓ "&amp;E54,""),IF(AND(G54&lt;&gt;"",H54="Mandatory"),"✓ "&amp;G54,""),IF(AND(I54&lt;&gt;"",J54="Mandatory"),"✓ "&amp;I54,""),IF(AND(K54&lt;&gt;"",L54="Mandatory"),"✓ "&amp;K54,""),IF(AND(M54&lt;&gt;"",N54="Mandatory"),"✓ "&amp;M54,""),IF(AND(O54&lt;&gt;"",P54="Mandatory"),"✓ "&amp;O54,""),IF(AND(Q54&lt;&gt;"",R54="Mandatory"),"✓ "&amp;Q54,""))</f>
        <v>✓ Debit Card</v>
      </c>
      <c r="T54" s="7" t="str">
        <f aca="false">_xlfn.TEXTJOIN(CHAR(10),TRUE(),IF(AND(C54&lt;&gt;"",OR(D54="Optional",D54="If Applicable",D54="To Verify")),"• "&amp;C54&amp;" ("&amp;D54&amp;")",""),IF(AND(E54&lt;&gt;"",OR(F54="Optional",F54="If Applicable",F54="To Verify")),"• "&amp;E54&amp;" ("&amp;F54&amp;")",""),IF(AND(G54&lt;&gt;"",OR(H54="Optional",H54="If Applicable",H54="To Verify")),"• "&amp;G54&amp;" ("&amp;H54&amp;")",""),IF(AND(I54&lt;&gt;"",OR(J54="Optional",J54="If Applicable",J54="To Verify")),"• "&amp;I54&amp;" ("&amp;J54&amp;")",""),IF(AND(K54&lt;&gt;"",OR(L54="Optional",L54="If Applicable",L54="To Verify")),"• "&amp;K54&amp;" ("&amp;L54&amp;")",""),IF(AND(M54&lt;&gt;"",OR(N54="Optional",N54="If Applicable",N54="To Verify")),"• "&amp;M54&amp;" ("&amp;N54&amp;")",""),IF(AND(O54&lt;&gt;"",OR(P54="Optional",P54="If Applicable",P54="To Verify")),"• "&amp;O54&amp;" ("&amp;P54&amp;")",""),IF(AND(Q54&lt;&gt;"",OR(R54="Optional",R54="If Applicable",R54="To Verify")),"• "&amp;Q54&amp;" ("&amp;R54&amp;")",""))</f>
        <v/>
      </c>
    </row>
    <row r="55" customFormat="false" ht="15" hidden="false" customHeight="false" outlineLevel="0" collapsed="false">
      <c r="A55" s="6" t="s">
        <v>728</v>
      </c>
      <c r="B55" s="7" t="str">
        <f aca="false">IF($A55="","",IFERROR(INDEX(MASTER_DATABASE!$E$4:$E$1000,MATCH($A55,MASTER_DATABASE!$A$4:$A$1000,0)),""))</f>
        <v>HDFC BC – Micro ATM Balance Enquiry</v>
      </c>
      <c r="C55" s="6" t="s">
        <v>3492</v>
      </c>
      <c r="D55" s="6" t="s">
        <v>3436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 t="str">
        <f aca="false">_xlfn.TEXTJOIN(CHAR(10),TRUE(),IF(AND(C55&lt;&gt;"",D55="Mandatory"),"✓ "&amp;C55,""),IF(AND(E55&lt;&gt;"",F55="Mandatory"),"✓ "&amp;E55,""),IF(AND(G55&lt;&gt;"",H55="Mandatory"),"✓ "&amp;G55,""),IF(AND(I55&lt;&gt;"",J55="Mandatory"),"✓ "&amp;I55,""),IF(AND(K55&lt;&gt;"",L55="Mandatory"),"✓ "&amp;K55,""),IF(AND(M55&lt;&gt;"",N55="Mandatory"),"✓ "&amp;M55,""),IF(AND(O55&lt;&gt;"",P55="Mandatory"),"✓ "&amp;O55,""),IF(AND(Q55&lt;&gt;"",R55="Mandatory"),"✓ "&amp;Q55,""))</f>
        <v>✓ Debit Card</v>
      </c>
      <c r="T55" s="7" t="str">
        <f aca="false">_xlfn.TEXTJOIN(CHAR(10),TRUE(),IF(AND(C55&lt;&gt;"",OR(D55="Optional",D55="If Applicable",D55="To Verify")),"• "&amp;C55&amp;" ("&amp;D55&amp;")",""),IF(AND(E55&lt;&gt;"",OR(F55="Optional",F55="If Applicable",F55="To Verify")),"• "&amp;E55&amp;" ("&amp;F55&amp;")",""),IF(AND(G55&lt;&gt;"",OR(H55="Optional",H55="If Applicable",H55="To Verify")),"• "&amp;G55&amp;" ("&amp;H55&amp;")",""),IF(AND(I55&lt;&gt;"",OR(J55="Optional",J55="If Applicable",J55="To Verify")),"• "&amp;I55&amp;" ("&amp;J55&amp;")",""),IF(AND(K55&lt;&gt;"",OR(L55="Optional",L55="If Applicable",L55="To Verify")),"• "&amp;K55&amp;" ("&amp;L55&amp;")",""),IF(AND(M55&lt;&gt;"",OR(N55="Optional",N55="If Applicable",N55="To Verify")),"• "&amp;M55&amp;" ("&amp;N55&amp;")",""),IF(AND(O55&lt;&gt;"",OR(P55="Optional",P55="If Applicable",P55="To Verify")),"• "&amp;O55&amp;" ("&amp;P55&amp;")",""),IF(AND(Q55&lt;&gt;"",OR(R55="Optional",R55="If Applicable",R55="To Verify")),"• "&amp;Q55&amp;" ("&amp;R55&amp;")",""))</f>
        <v/>
      </c>
    </row>
    <row r="56" customFormat="false" ht="15" hidden="false" customHeight="false" outlineLevel="0" collapsed="false">
      <c r="A56" s="6" t="s">
        <v>738</v>
      </c>
      <c r="B56" s="7" t="str">
        <f aca="false">IF($A56="","",IFERROR(INDEX(MASTER_DATABASE!$E$4:$E$1000,MATCH($A56,MASTER_DATABASE!$A$4:$A$1000,0)),""))</f>
        <v>HDFC BC – Micro ATM Mini Statement</v>
      </c>
      <c r="C56" s="6" t="s">
        <v>3492</v>
      </c>
      <c r="D56" s="6" t="s">
        <v>3436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 t="str">
        <f aca="false">_xlfn.TEXTJOIN(CHAR(10),TRUE(),IF(AND(C56&lt;&gt;"",D56="Mandatory"),"✓ "&amp;C56,""),IF(AND(E56&lt;&gt;"",F56="Mandatory"),"✓ "&amp;E56,""),IF(AND(G56&lt;&gt;"",H56="Mandatory"),"✓ "&amp;G56,""),IF(AND(I56&lt;&gt;"",J56="Mandatory"),"✓ "&amp;I56,""),IF(AND(K56&lt;&gt;"",L56="Mandatory"),"✓ "&amp;K56,""),IF(AND(M56&lt;&gt;"",N56="Mandatory"),"✓ "&amp;M56,""),IF(AND(O56&lt;&gt;"",P56="Mandatory"),"✓ "&amp;O56,""),IF(AND(Q56&lt;&gt;"",R56="Mandatory"),"✓ "&amp;Q56,""))</f>
        <v>✓ Debit Card</v>
      </c>
      <c r="T56" s="7" t="str">
        <f aca="false">_xlfn.TEXTJOIN(CHAR(10),TRUE(),IF(AND(C56&lt;&gt;"",OR(D56="Optional",D56="If Applicable",D56="To Verify")),"• "&amp;C56&amp;" ("&amp;D56&amp;")",""),IF(AND(E56&lt;&gt;"",OR(F56="Optional",F56="If Applicable",F56="To Verify")),"• "&amp;E56&amp;" ("&amp;F56&amp;")",""),IF(AND(G56&lt;&gt;"",OR(H56="Optional",H56="If Applicable",H56="To Verify")),"• "&amp;G56&amp;" ("&amp;H56&amp;")",""),IF(AND(I56&lt;&gt;"",OR(J56="Optional",J56="If Applicable",J56="To Verify")),"• "&amp;I56&amp;" ("&amp;J56&amp;")",""),IF(AND(K56&lt;&gt;"",OR(L56="Optional",L56="If Applicable",L56="To Verify")),"• "&amp;K56&amp;" ("&amp;L56&amp;")",""),IF(AND(M56&lt;&gt;"",OR(N56="Optional",N56="If Applicable",N56="To Verify")),"• "&amp;M56&amp;" ("&amp;N56&amp;")",""),IF(AND(O56&lt;&gt;"",OR(P56="Optional",P56="If Applicable",P56="To Verify")),"• "&amp;O56&amp;" ("&amp;P56&amp;")",""),IF(AND(Q56&lt;&gt;"",OR(R56="Optional",R56="If Applicable",R56="To Verify")),"• "&amp;Q56&amp;" ("&amp;R56&amp;")",""))</f>
        <v/>
      </c>
    </row>
    <row r="57" customFormat="false" ht="35.05" hidden="false" customHeight="false" outlineLevel="0" collapsed="false">
      <c r="A57" s="6" t="s">
        <v>748</v>
      </c>
      <c r="B57" s="7" t="str">
        <f aca="false">IF($A57="","",IFERROR(INDEX(MASTER_DATABASE!$E$4:$E$1000,MATCH($A57,MASTER_DATABASE!$A$4:$A$1000,0)),""))</f>
        <v>HDFC BC – Money Transfer (Domestic)</v>
      </c>
      <c r="C57" s="6" t="s">
        <v>3563</v>
      </c>
      <c r="D57" s="6" t="s">
        <v>3436</v>
      </c>
      <c r="E57" s="6" t="s">
        <v>3571</v>
      </c>
      <c r="F57" s="6" t="s">
        <v>3436</v>
      </c>
      <c r="G57" s="6" t="s">
        <v>3461</v>
      </c>
      <c r="H57" s="6" t="s">
        <v>75</v>
      </c>
      <c r="I57" s="6" t="s">
        <v>3478</v>
      </c>
      <c r="J57" s="6" t="s">
        <v>3436</v>
      </c>
      <c r="K57" s="6"/>
      <c r="L57" s="6"/>
      <c r="M57" s="6"/>
      <c r="N57" s="6"/>
      <c r="O57" s="6"/>
      <c r="P57" s="6"/>
      <c r="Q57" s="6"/>
      <c r="R57" s="6"/>
      <c r="S57" s="7" t="str">
        <f aca="false">_xlfn.TEXTJOIN(CHAR(10),TRUE(),IF(AND(C57&lt;&gt;"",D57="Mandatory"),"✓ "&amp;C57,""),IF(AND(E57&lt;&gt;"",F57="Mandatory"),"✓ "&amp;E57,""),IF(AND(G57&lt;&gt;"",H57="Mandatory"),"✓ "&amp;G57,""),IF(AND(I57&lt;&gt;"",J57="Mandatory"),"✓ "&amp;I57,""),IF(AND(K57&lt;&gt;"",L57="Mandatory"),"✓ "&amp;K57,""),IF(AND(M57&lt;&gt;"",N57="Mandatory"),"✓ "&amp;M57,""),IF(AND(O57&lt;&gt;"",P57="Mandatory"),"✓ "&amp;O57,""),IF(AND(Q57&lt;&gt;"",R57="Mandatory"),"✓ "&amp;Q57,""))</f>
        <v>✓ Beneficiary Account Details
✓ Cash Amount
✓ Active Mobile Number</v>
      </c>
      <c r="T57" s="7" t="str">
        <f aca="false">_xlfn.TEXTJOIN(CHAR(10),TRUE(),IF(AND(C57&lt;&gt;"",OR(D57="Optional",D57="If Applicable",D57="To Verify")),"• "&amp;C57&amp;" ("&amp;D57&amp;")",""),IF(AND(E57&lt;&gt;"",OR(F57="Optional",F57="If Applicable",F57="To Verify")),"• "&amp;E57&amp;" ("&amp;F57&amp;")",""),IF(AND(G57&lt;&gt;"",OR(H57="Optional",H57="If Applicable",H57="To Verify")),"• "&amp;G57&amp;" ("&amp;H57&amp;")",""),IF(AND(I57&lt;&gt;"",OR(J57="Optional",J57="If Applicable",J57="To Verify")),"• "&amp;I57&amp;" ("&amp;J57&amp;")",""),IF(AND(K57&lt;&gt;"",OR(L57="Optional",L57="If Applicable",L57="To Verify")),"• "&amp;K57&amp;" ("&amp;L57&amp;")",""),IF(AND(M57&lt;&gt;"",OR(N57="Optional",N57="If Applicable",N57="To Verify")),"• "&amp;M57&amp;" ("&amp;N57&amp;")",""),IF(AND(O57&lt;&gt;"",OR(P57="Optional",P57="If Applicable",P57="To Verify")),"• "&amp;O57&amp;" ("&amp;P57&amp;")",""),IF(AND(Q57&lt;&gt;"",OR(R57="Optional",R57="If Applicable",R57="To Verify")),"• "&amp;Q57&amp;" ("&amp;R57&amp;")",""))</f>
        <v>• Identity Proof (To Verify)</v>
      </c>
    </row>
    <row r="58" customFormat="false" ht="35.05" hidden="false" customHeight="false" outlineLevel="0" collapsed="false">
      <c r="A58" s="6" t="s">
        <v>764</v>
      </c>
      <c r="B58" s="7" t="str">
        <f aca="false">IF($A58="","",IFERROR(INDEX(MASTER_DATABASE!$E$4:$E$1000,MATCH($A58,MASTER_DATABASE!$A$4:$A$1000,0)),""))</f>
        <v>HDFC BC – New Savings Account Opening Assistance</v>
      </c>
      <c r="C58" s="6" t="s">
        <v>3433</v>
      </c>
      <c r="D58" s="6" t="s">
        <v>3436</v>
      </c>
      <c r="E58" s="6" t="s">
        <v>2390</v>
      </c>
      <c r="F58" s="6" t="s">
        <v>3436</v>
      </c>
      <c r="G58" s="6" t="s">
        <v>3478</v>
      </c>
      <c r="H58" s="6" t="s">
        <v>3436</v>
      </c>
      <c r="I58" s="6" t="s">
        <v>3451</v>
      </c>
      <c r="J58" s="6" t="s">
        <v>75</v>
      </c>
      <c r="K58" s="6" t="s">
        <v>3603</v>
      </c>
      <c r="L58" s="6" t="s">
        <v>3453</v>
      </c>
      <c r="M58" s="6"/>
      <c r="N58" s="6"/>
      <c r="O58" s="6"/>
      <c r="P58" s="6"/>
      <c r="Q58" s="6"/>
      <c r="R58" s="6"/>
      <c r="S58" s="7" t="str">
        <f aca="false">_xlfn.TEXTJOIN(CHAR(10),TRUE(),IF(AND(C58&lt;&gt;"",D58="Mandatory"),"✓ "&amp;C58,""),IF(AND(E58&lt;&gt;"",F58="Mandatory"),"✓ "&amp;E58,""),IF(AND(G58&lt;&gt;"",H58="Mandatory"),"✓ "&amp;G58,""),IF(AND(I58&lt;&gt;"",J58="Mandatory"),"✓ "&amp;I58,""),IF(AND(K58&lt;&gt;"",L58="Mandatory"),"✓ "&amp;K58,""),IF(AND(M58&lt;&gt;"",N58="Mandatory"),"✓ "&amp;M58,""),IF(AND(O58&lt;&gt;"",P58="Mandatory"),"✓ "&amp;O58,""),IF(AND(Q58&lt;&gt;"",R58="Mandatory"),"✓ "&amp;Q58,""))</f>
        <v>✓ Aadhaar Card
✓ Passport Photo
✓ Active Mobile Number</v>
      </c>
      <c r="T58" s="7" t="str">
        <f aca="false">_xlfn.TEXTJOIN(CHAR(10),TRUE(),IF(AND(C58&lt;&gt;"",OR(D58="Optional",D58="If Applicable",D58="To Verify")),"• "&amp;C58&amp;" ("&amp;D58&amp;")",""),IF(AND(E58&lt;&gt;"",OR(F58="Optional",F58="If Applicable",F58="To Verify")),"• "&amp;E58&amp;" ("&amp;F58&amp;")",""),IF(AND(G58&lt;&gt;"",OR(H58="Optional",H58="If Applicable",H58="To Verify")),"• "&amp;G58&amp;" ("&amp;H58&amp;")",""),IF(AND(I58&lt;&gt;"",OR(J58="Optional",J58="If Applicable",J58="To Verify")),"• "&amp;I58&amp;" ("&amp;J58&amp;")",""),IF(AND(K58&lt;&gt;"",OR(L58="Optional",L58="If Applicable",L58="To Verify")),"• "&amp;K58&amp;" ("&amp;L58&amp;")",""),IF(AND(M58&lt;&gt;"",OR(N58="Optional",N58="If Applicable",N58="To Verify")),"• "&amp;M58&amp;" ("&amp;N58&amp;")",""),IF(AND(O58&lt;&gt;"",OR(P58="Optional",P58="If Applicable",P58="To Verify")),"• "&amp;O58&amp;" ("&amp;P58&amp;")",""),IF(AND(Q58&lt;&gt;"",OR(R58="Optional",R58="If Applicable",R58="To Verify")),"• "&amp;Q58&amp;" ("&amp;R58&amp;")",""))</f>
        <v>• PAN Card (To Verify)
• Nominee Details (If Applicable)</v>
      </c>
    </row>
    <row r="59" customFormat="false" ht="35.05" hidden="false" customHeight="false" outlineLevel="0" collapsed="false">
      <c r="A59" s="6" t="s">
        <v>778</v>
      </c>
      <c r="B59" s="7" t="str">
        <f aca="false">IF($A59="","",IFERROR(INDEX(MASTER_DATABASE!$E$4:$E$1000,MATCH($A59,MASTER_DATABASE!$A$4:$A$1000,0)),""))</f>
        <v>HDFC BC – Account Mobile Number Registration / Update</v>
      </c>
      <c r="C59" s="6" t="s">
        <v>3433</v>
      </c>
      <c r="D59" s="6" t="s">
        <v>3436</v>
      </c>
      <c r="E59" s="6" t="s">
        <v>3611</v>
      </c>
      <c r="F59" s="6" t="s">
        <v>3436</v>
      </c>
      <c r="G59" s="6" t="s">
        <v>3478</v>
      </c>
      <c r="H59" s="6" t="s">
        <v>3436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7" t="str">
        <f aca="false">_xlfn.TEXTJOIN(CHAR(10),TRUE(),IF(AND(C59&lt;&gt;"",D59="Mandatory"),"✓ "&amp;C59,""),IF(AND(E59&lt;&gt;"",F59="Mandatory"),"✓ "&amp;E59,""),IF(AND(G59&lt;&gt;"",H59="Mandatory"),"✓ "&amp;G59,""),IF(AND(I59&lt;&gt;"",J59="Mandatory"),"✓ "&amp;I59,""),IF(AND(K59&lt;&gt;"",L59="Mandatory"),"✓ "&amp;K59,""),IF(AND(M59&lt;&gt;"",N59="Mandatory"),"✓ "&amp;M59,""),IF(AND(O59&lt;&gt;"",P59="Mandatory"),"✓ "&amp;O59,""),IF(AND(Q59&lt;&gt;"",R59="Mandatory"),"✓ "&amp;Q59,""))</f>
        <v>✓ Aadhaar Card
✓ Bank Account Number
✓ Active Mobile Number</v>
      </c>
      <c r="T59" s="7" t="str">
        <f aca="false">_xlfn.TEXTJOIN(CHAR(10),TRUE(),IF(AND(C59&lt;&gt;"",OR(D59="Optional",D59="If Applicable",D59="To Verify")),"• "&amp;C59&amp;" ("&amp;D59&amp;")",""),IF(AND(E59&lt;&gt;"",OR(F59="Optional",F59="If Applicable",F59="To Verify")),"• "&amp;E59&amp;" ("&amp;F59&amp;")",""),IF(AND(G59&lt;&gt;"",OR(H59="Optional",H59="If Applicable",H59="To Verify")),"• "&amp;G59&amp;" ("&amp;H59&amp;")",""),IF(AND(I59&lt;&gt;"",OR(J59="Optional",J59="If Applicable",J59="To Verify")),"• "&amp;I59&amp;" ("&amp;J59&amp;")",""),IF(AND(K59&lt;&gt;"",OR(L59="Optional",L59="If Applicable",L59="To Verify")),"• "&amp;K59&amp;" ("&amp;L59&amp;")",""),IF(AND(M59&lt;&gt;"",OR(N59="Optional",N59="If Applicable",N59="To Verify")),"• "&amp;M59&amp;" ("&amp;N59&amp;")",""),IF(AND(O59&lt;&gt;"",OR(P59="Optional",P59="If Applicable",P59="To Verify")),"• "&amp;O59&amp;" ("&amp;P59&amp;")",""),IF(AND(Q59&lt;&gt;"",OR(R59="Optional",R59="If Applicable",R59="To Verify")),"• "&amp;Q59&amp;" ("&amp;R59&amp;")",""))</f>
        <v/>
      </c>
    </row>
    <row r="60" customFormat="false" ht="35.05" hidden="false" customHeight="false" outlineLevel="0" collapsed="false">
      <c r="A60" s="6" t="s">
        <v>789</v>
      </c>
      <c r="B60" s="7" t="str">
        <f aca="false">IF($A60="","",IFERROR(INDEX(MASTER_DATABASE!$E$4:$E$1000,MATCH($A60,MASTER_DATABASE!$A$4:$A$1000,0)),""))</f>
        <v>HDFC BC – Debit Card Request / PIN Assistance</v>
      </c>
      <c r="C60" s="6" t="s">
        <v>3433</v>
      </c>
      <c r="D60" s="6" t="s">
        <v>3436</v>
      </c>
      <c r="E60" s="6" t="s">
        <v>3611</v>
      </c>
      <c r="F60" s="6" t="s">
        <v>3436</v>
      </c>
      <c r="G60" s="6" t="s">
        <v>3478</v>
      </c>
      <c r="H60" s="6" t="s">
        <v>3436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7" t="str">
        <f aca="false">_xlfn.TEXTJOIN(CHAR(10),TRUE(),IF(AND(C60&lt;&gt;"",D60="Mandatory"),"✓ "&amp;C60,""),IF(AND(E60&lt;&gt;"",F60="Mandatory"),"✓ "&amp;E60,""),IF(AND(G60&lt;&gt;"",H60="Mandatory"),"✓ "&amp;G60,""),IF(AND(I60&lt;&gt;"",J60="Mandatory"),"✓ "&amp;I60,""),IF(AND(K60&lt;&gt;"",L60="Mandatory"),"✓ "&amp;K60,""),IF(AND(M60&lt;&gt;"",N60="Mandatory"),"✓ "&amp;M60,""),IF(AND(O60&lt;&gt;"",P60="Mandatory"),"✓ "&amp;O60,""),IF(AND(Q60&lt;&gt;"",R60="Mandatory"),"✓ "&amp;Q60,""))</f>
        <v>✓ Aadhaar Card
✓ Bank Account Number
✓ Active Mobile Number</v>
      </c>
      <c r="T60" s="7" t="str">
        <f aca="false">_xlfn.TEXTJOIN(CHAR(10),TRUE(),IF(AND(C60&lt;&gt;"",OR(D60="Optional",D60="If Applicable",D60="To Verify")),"• "&amp;C60&amp;" ("&amp;D60&amp;")",""),IF(AND(E60&lt;&gt;"",OR(F60="Optional",F60="If Applicable",F60="To Verify")),"• "&amp;E60&amp;" ("&amp;F60&amp;")",""),IF(AND(G60&lt;&gt;"",OR(H60="Optional",H60="If Applicable",H60="To Verify")),"• "&amp;G60&amp;" ("&amp;H60&amp;")",""),IF(AND(I60&lt;&gt;"",OR(J60="Optional",J60="If Applicable",J60="To Verify")),"• "&amp;I60&amp;" ("&amp;J60&amp;")",""),IF(AND(K60&lt;&gt;"",OR(L60="Optional",L60="If Applicable",L60="To Verify")),"• "&amp;K60&amp;" ("&amp;L60&amp;")",""),IF(AND(M60&lt;&gt;"",OR(N60="Optional",N60="If Applicable",N60="To Verify")),"• "&amp;M60&amp;" ("&amp;N60&amp;")",""),IF(AND(O60&lt;&gt;"",OR(P60="Optional",P60="If Applicable",P60="To Verify")),"• "&amp;O60&amp;" ("&amp;P60&amp;")",""),IF(AND(Q60&lt;&gt;"",OR(R60="Optional",R60="If Applicable",R60="To Verify")),"• "&amp;Q60&amp;" ("&amp;R60&amp;")",""))</f>
        <v/>
      </c>
    </row>
    <row r="61" customFormat="false" ht="35.05" hidden="false" customHeight="false" outlineLevel="0" collapsed="false">
      <c r="A61" s="6" t="s">
        <v>800</v>
      </c>
      <c r="B61" s="7" t="str">
        <f aca="false">IF($A61="","",IFERROR(INDEX(MASTER_DATABASE!$E$4:$E$1000,MATCH($A61,MASTER_DATABASE!$A$4:$A$1000,0)),""))</f>
        <v>HDFC BC – Cheque Book Request Assistance</v>
      </c>
      <c r="C61" s="6" t="s">
        <v>3433</v>
      </c>
      <c r="D61" s="6" t="s">
        <v>3436</v>
      </c>
      <c r="E61" s="6" t="s">
        <v>3611</v>
      </c>
      <c r="F61" s="6" t="s">
        <v>3436</v>
      </c>
      <c r="G61" s="6" t="s">
        <v>3478</v>
      </c>
      <c r="H61" s="6" t="s">
        <v>3436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7" t="str">
        <f aca="false">_xlfn.TEXTJOIN(CHAR(10),TRUE(),IF(AND(C61&lt;&gt;"",D61="Mandatory"),"✓ "&amp;C61,""),IF(AND(E61&lt;&gt;"",F61="Mandatory"),"✓ "&amp;E61,""),IF(AND(G61&lt;&gt;"",H61="Mandatory"),"✓ "&amp;G61,""),IF(AND(I61&lt;&gt;"",J61="Mandatory"),"✓ "&amp;I61,""),IF(AND(K61&lt;&gt;"",L61="Mandatory"),"✓ "&amp;K61,""),IF(AND(M61&lt;&gt;"",N61="Mandatory"),"✓ "&amp;M61,""),IF(AND(O61&lt;&gt;"",P61="Mandatory"),"✓ "&amp;O61,""),IF(AND(Q61&lt;&gt;"",R61="Mandatory"),"✓ "&amp;Q61,""))</f>
        <v>✓ Aadhaar Card
✓ Bank Account Number
✓ Active Mobile Number</v>
      </c>
      <c r="T61" s="7" t="str">
        <f aca="false">_xlfn.TEXTJOIN(CHAR(10),TRUE(),IF(AND(C61&lt;&gt;"",OR(D61="Optional",D61="If Applicable",D61="To Verify")),"• "&amp;C61&amp;" ("&amp;D61&amp;")",""),IF(AND(E61&lt;&gt;"",OR(F61="Optional",F61="If Applicable",F61="To Verify")),"• "&amp;E61&amp;" ("&amp;F61&amp;")",""),IF(AND(G61&lt;&gt;"",OR(H61="Optional",H61="If Applicable",H61="To Verify")),"• "&amp;G61&amp;" ("&amp;H61&amp;")",""),IF(AND(I61&lt;&gt;"",OR(J61="Optional",J61="If Applicable",J61="To Verify")),"• "&amp;I61&amp;" ("&amp;J61&amp;")",""),IF(AND(K61&lt;&gt;"",OR(L61="Optional",L61="If Applicable",L61="To Verify")),"• "&amp;K61&amp;" ("&amp;L61&amp;")",""),IF(AND(M61&lt;&gt;"",OR(N61="Optional",N61="If Applicable",N61="To Verify")),"• "&amp;M61&amp;" ("&amp;N61&amp;")",""),IF(AND(O61&lt;&gt;"",OR(P61="Optional",P61="If Applicable",P61="To Verify")),"• "&amp;O61&amp;" ("&amp;P61&amp;")",""),IF(AND(Q61&lt;&gt;"",OR(R61="Optional",R61="If Applicable",R61="To Verify")),"• "&amp;Q61&amp;" ("&amp;R61&amp;")",""))</f>
        <v/>
      </c>
    </row>
    <row r="62" customFormat="false" ht="35.05" hidden="false" customHeight="false" outlineLevel="0" collapsed="false">
      <c r="A62" s="6" t="s">
        <v>811</v>
      </c>
      <c r="B62" s="7" t="str">
        <f aca="false">IF($A62="","",IFERROR(INDEX(MASTER_DATABASE!$E$4:$E$1000,MATCH($A62,MASTER_DATABASE!$A$4:$A$1000,0)),""))</f>
        <v>HDFC BC – Passbook / Statement Request Assistance</v>
      </c>
      <c r="C62" s="6" t="s">
        <v>3433</v>
      </c>
      <c r="D62" s="6" t="s">
        <v>3436</v>
      </c>
      <c r="E62" s="6" t="s">
        <v>3611</v>
      </c>
      <c r="F62" s="6" t="s">
        <v>3436</v>
      </c>
      <c r="G62" s="6" t="s">
        <v>3478</v>
      </c>
      <c r="H62" s="6" t="s">
        <v>3436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7" t="str">
        <f aca="false">_xlfn.TEXTJOIN(CHAR(10),TRUE(),IF(AND(C62&lt;&gt;"",D62="Mandatory"),"✓ "&amp;C62,""),IF(AND(E62&lt;&gt;"",F62="Mandatory"),"✓ "&amp;E62,""),IF(AND(G62&lt;&gt;"",H62="Mandatory"),"✓ "&amp;G62,""),IF(AND(I62&lt;&gt;"",J62="Mandatory"),"✓ "&amp;I62,""),IF(AND(K62&lt;&gt;"",L62="Mandatory"),"✓ "&amp;K62,""),IF(AND(M62&lt;&gt;"",N62="Mandatory"),"✓ "&amp;M62,""),IF(AND(O62&lt;&gt;"",P62="Mandatory"),"✓ "&amp;O62,""),IF(AND(Q62&lt;&gt;"",R62="Mandatory"),"✓ "&amp;Q62,""))</f>
        <v>✓ Aadhaar Card
✓ Bank Account Number
✓ Active Mobile Number</v>
      </c>
      <c r="T62" s="7" t="str">
        <f aca="false">_xlfn.TEXTJOIN(CHAR(10),TRUE(),IF(AND(C62&lt;&gt;"",OR(D62="Optional",D62="If Applicable",D62="To Verify")),"• "&amp;C62&amp;" ("&amp;D62&amp;")",""),IF(AND(E62&lt;&gt;"",OR(F62="Optional",F62="If Applicable",F62="To Verify")),"• "&amp;E62&amp;" ("&amp;F62&amp;")",""),IF(AND(G62&lt;&gt;"",OR(H62="Optional",H62="If Applicable",H62="To Verify")),"• "&amp;G62&amp;" ("&amp;H62&amp;")",""),IF(AND(I62&lt;&gt;"",OR(J62="Optional",J62="If Applicable",J62="To Verify")),"• "&amp;I62&amp;" ("&amp;J62&amp;")",""),IF(AND(K62&lt;&gt;"",OR(L62="Optional",L62="If Applicable",L62="To Verify")),"• "&amp;K62&amp;" ("&amp;L62&amp;")",""),IF(AND(M62&lt;&gt;"",OR(N62="Optional",N62="If Applicable",N62="To Verify")),"• "&amp;M62&amp;" ("&amp;N62&amp;")",""),IF(AND(O62&lt;&gt;"",OR(P62="Optional",P62="If Applicable",P62="To Verify")),"• "&amp;O62&amp;" ("&amp;P62&amp;")",""),IF(AND(Q62&lt;&gt;"",OR(R62="Optional",R62="If Applicable",R62="To Verify")),"• "&amp;Q62&amp;" ("&amp;R62&amp;")",""))</f>
        <v/>
      </c>
    </row>
    <row r="63" customFormat="false" ht="35.05" hidden="false" customHeight="false" outlineLevel="0" collapsed="false">
      <c r="A63" s="6" t="s">
        <v>822</v>
      </c>
      <c r="B63" s="7" t="str">
        <f aca="false">IF($A63="","",IFERROR(INDEX(MASTER_DATABASE!$E$4:$E$1000,MATCH($A63,MASTER_DATABASE!$A$4:$A$1000,0)),""))</f>
        <v>HDFC BC – KYC Document Collection / Update</v>
      </c>
      <c r="C63" s="6" t="s">
        <v>3433</v>
      </c>
      <c r="D63" s="6" t="s">
        <v>3436</v>
      </c>
      <c r="E63" s="6" t="s">
        <v>3461</v>
      </c>
      <c r="F63" s="6" t="s">
        <v>75</v>
      </c>
      <c r="G63" s="6" t="s">
        <v>3456</v>
      </c>
      <c r="H63" s="6" t="s">
        <v>75</v>
      </c>
      <c r="I63" s="6" t="s">
        <v>2390</v>
      </c>
      <c r="J63" s="6" t="s">
        <v>75</v>
      </c>
      <c r="K63" s="6"/>
      <c r="L63" s="6"/>
      <c r="M63" s="6"/>
      <c r="N63" s="6"/>
      <c r="O63" s="6"/>
      <c r="P63" s="6"/>
      <c r="Q63" s="6"/>
      <c r="R63" s="6"/>
      <c r="S63" s="7" t="str">
        <f aca="false">_xlfn.TEXTJOIN(CHAR(10),TRUE(),IF(AND(C63&lt;&gt;"",D63="Mandatory"),"✓ "&amp;C63,""),IF(AND(E63&lt;&gt;"",F63="Mandatory"),"✓ "&amp;E63,""),IF(AND(G63&lt;&gt;"",H63="Mandatory"),"✓ "&amp;G63,""),IF(AND(I63&lt;&gt;"",J63="Mandatory"),"✓ "&amp;I63,""),IF(AND(K63&lt;&gt;"",L63="Mandatory"),"✓ "&amp;K63,""),IF(AND(M63&lt;&gt;"",N63="Mandatory"),"✓ "&amp;M63,""),IF(AND(O63&lt;&gt;"",P63="Mandatory"),"✓ "&amp;O63,""),IF(AND(Q63&lt;&gt;"",R63="Mandatory"),"✓ "&amp;Q63,""))</f>
        <v>✓ Aadhaar Card</v>
      </c>
      <c r="T63" s="7" t="str">
        <f aca="false">_xlfn.TEXTJOIN(CHAR(10),TRUE(),IF(AND(C63&lt;&gt;"",OR(D63="Optional",D63="If Applicable",D63="To Verify")),"• "&amp;C63&amp;" ("&amp;D63&amp;")",""),IF(AND(E63&lt;&gt;"",OR(F63="Optional",F63="If Applicable",F63="To Verify")),"• "&amp;E63&amp;" ("&amp;F63&amp;")",""),IF(AND(G63&lt;&gt;"",OR(H63="Optional",H63="If Applicable",H63="To Verify")),"• "&amp;G63&amp;" ("&amp;H63&amp;")",""),IF(AND(I63&lt;&gt;"",OR(J63="Optional",J63="If Applicable",J63="To Verify")),"• "&amp;I63&amp;" ("&amp;J63&amp;")",""),IF(AND(K63&lt;&gt;"",OR(L63="Optional",L63="If Applicable",L63="To Verify")),"• "&amp;K63&amp;" ("&amp;L63&amp;")",""),IF(AND(M63&lt;&gt;"",OR(N63="Optional",N63="If Applicable",N63="To Verify")),"• "&amp;M63&amp;" ("&amp;N63&amp;")",""),IF(AND(O63&lt;&gt;"",OR(P63="Optional",P63="If Applicable",P63="To Verify")),"• "&amp;O63&amp;" ("&amp;P63&amp;")",""),IF(AND(Q63&lt;&gt;"",OR(R63="Optional",R63="If Applicable",R63="To Verify")),"• "&amp;Q63&amp;" ("&amp;R63&amp;")",""))</f>
        <v>• Identity Proof (To Verify)
• Address Proof (To Verify)
• Passport Photo (To Verify)</v>
      </c>
    </row>
    <row r="64" customFormat="false" ht="35.05" hidden="false" customHeight="false" outlineLevel="0" collapsed="false">
      <c r="A64" s="6" t="s">
        <v>834</v>
      </c>
      <c r="B64" s="7" t="str">
        <f aca="false">IF($A64="","",IFERROR(INDEX(MASTER_DATABASE!$E$4:$E$1000,MATCH($A64,MASTER_DATABASE!$A$4:$A$1000,0)),""))</f>
        <v>HDFC BC – Account Query / Complaint Assistance</v>
      </c>
      <c r="C64" s="6" t="s">
        <v>3433</v>
      </c>
      <c r="D64" s="6" t="s">
        <v>3436</v>
      </c>
      <c r="E64" s="6" t="s">
        <v>3611</v>
      </c>
      <c r="F64" s="6" t="s">
        <v>3436</v>
      </c>
      <c r="G64" s="6" t="s">
        <v>3478</v>
      </c>
      <c r="H64" s="6" t="s">
        <v>3436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7" t="str">
        <f aca="false">_xlfn.TEXTJOIN(CHAR(10),TRUE(),IF(AND(C64&lt;&gt;"",D64="Mandatory"),"✓ "&amp;C64,""),IF(AND(E64&lt;&gt;"",F64="Mandatory"),"✓ "&amp;E64,""),IF(AND(G64&lt;&gt;"",H64="Mandatory"),"✓ "&amp;G64,""),IF(AND(I64&lt;&gt;"",J64="Mandatory"),"✓ "&amp;I64,""),IF(AND(K64&lt;&gt;"",L64="Mandatory"),"✓ "&amp;K64,""),IF(AND(M64&lt;&gt;"",N64="Mandatory"),"✓ "&amp;M64,""),IF(AND(O64&lt;&gt;"",P64="Mandatory"),"✓ "&amp;O64,""),IF(AND(Q64&lt;&gt;"",R64="Mandatory"),"✓ "&amp;Q64,""))</f>
        <v>✓ Aadhaar Card
✓ Bank Account Number
✓ Active Mobile Number</v>
      </c>
      <c r="T64" s="7" t="str">
        <f aca="false">_xlfn.TEXTJOIN(CHAR(10),TRUE(),IF(AND(C64&lt;&gt;"",OR(D64="Optional",D64="If Applicable",D64="To Verify")),"• "&amp;C64&amp;" ("&amp;D64&amp;")",""),IF(AND(E64&lt;&gt;"",OR(F64="Optional",F64="If Applicable",F64="To Verify")),"• "&amp;E64&amp;" ("&amp;F64&amp;")",""),IF(AND(G64&lt;&gt;"",OR(H64="Optional",H64="If Applicable",H64="To Verify")),"• "&amp;G64&amp;" ("&amp;H64&amp;")",""),IF(AND(I64&lt;&gt;"",OR(J64="Optional",J64="If Applicable",J64="To Verify")),"• "&amp;I64&amp;" ("&amp;J64&amp;")",""),IF(AND(K64&lt;&gt;"",OR(L64="Optional",L64="If Applicable",L64="To Verify")),"• "&amp;K64&amp;" ("&amp;L64&amp;")",""),IF(AND(M64&lt;&gt;"",OR(N64="Optional",N64="If Applicable",N64="To Verify")),"• "&amp;M64&amp;" ("&amp;N64&amp;")",""),IF(AND(O64&lt;&gt;"",OR(P64="Optional",P64="If Applicable",P64="To Verify")),"• "&amp;O64&amp;" ("&amp;P64&amp;")",""),IF(AND(Q64&lt;&gt;"",OR(R64="Optional",R64="If Applicable",R64="To Verify")),"• "&amp;Q64&amp;" ("&amp;R64&amp;")",""))</f>
        <v/>
      </c>
    </row>
    <row r="65" customFormat="false" ht="46.25" hidden="false" customHeight="false" outlineLevel="0" collapsed="false">
      <c r="A65" s="6" t="s">
        <v>845</v>
      </c>
      <c r="B65" s="7" t="str">
        <f aca="false">IF($A65="","",IFERROR(INDEX(MASTER_DATABASE!$E$4:$E$1000,MATCH($A65,MASTER_DATABASE!$A$4:$A$1000,0)),""))</f>
        <v>HDFC BC – PMJJBY / PMSBY Enrolment Assistance</v>
      </c>
      <c r="C65" s="6" t="s">
        <v>3433</v>
      </c>
      <c r="D65" s="6" t="s">
        <v>3436</v>
      </c>
      <c r="E65" s="6" t="s">
        <v>3611</v>
      </c>
      <c r="F65" s="6" t="s">
        <v>3436</v>
      </c>
      <c r="G65" s="6" t="s">
        <v>3478</v>
      </c>
      <c r="H65" s="6" t="s">
        <v>3436</v>
      </c>
      <c r="I65" s="6" t="s">
        <v>3603</v>
      </c>
      <c r="J65" s="6" t="s">
        <v>3436</v>
      </c>
      <c r="K65" s="6"/>
      <c r="L65" s="6"/>
      <c r="M65" s="6"/>
      <c r="N65" s="6"/>
      <c r="O65" s="6"/>
      <c r="P65" s="6"/>
      <c r="Q65" s="6"/>
      <c r="R65" s="6"/>
      <c r="S65" s="7" t="str">
        <f aca="false">_xlfn.TEXTJOIN(CHAR(10),TRUE(),IF(AND(C65&lt;&gt;"",D65="Mandatory"),"✓ "&amp;C65,""),IF(AND(E65&lt;&gt;"",F65="Mandatory"),"✓ "&amp;E65,""),IF(AND(G65&lt;&gt;"",H65="Mandatory"),"✓ "&amp;G65,""),IF(AND(I65&lt;&gt;"",J65="Mandatory"),"✓ "&amp;I65,""),IF(AND(K65&lt;&gt;"",L65="Mandatory"),"✓ "&amp;K65,""),IF(AND(M65&lt;&gt;"",N65="Mandatory"),"✓ "&amp;M65,""),IF(AND(O65&lt;&gt;"",P65="Mandatory"),"✓ "&amp;O65,""),IF(AND(Q65&lt;&gt;"",R65="Mandatory"),"✓ "&amp;Q65,""))</f>
        <v>✓ Aadhaar Card
✓ Bank Account Number
✓ Active Mobile Number
✓ Nominee Details</v>
      </c>
      <c r="T65" s="7" t="str">
        <f aca="false">_xlfn.TEXTJOIN(CHAR(10),TRUE(),IF(AND(C65&lt;&gt;"",OR(D65="Optional",D65="If Applicable",D65="To Verify")),"• "&amp;C65&amp;" ("&amp;D65&amp;")",""),IF(AND(E65&lt;&gt;"",OR(F65="Optional",F65="If Applicable",F65="To Verify")),"• "&amp;E65&amp;" ("&amp;F65&amp;")",""),IF(AND(G65&lt;&gt;"",OR(H65="Optional",H65="If Applicable",H65="To Verify")),"• "&amp;G65&amp;" ("&amp;H65&amp;")",""),IF(AND(I65&lt;&gt;"",OR(J65="Optional",J65="If Applicable",J65="To Verify")),"• "&amp;I65&amp;" ("&amp;J65&amp;")",""),IF(AND(K65&lt;&gt;"",OR(L65="Optional",L65="If Applicable",L65="To Verify")),"• "&amp;K65&amp;" ("&amp;L65&amp;")",""),IF(AND(M65&lt;&gt;"",OR(N65="Optional",N65="If Applicable",N65="To Verify")),"• "&amp;M65&amp;" ("&amp;N65&amp;")",""),IF(AND(O65&lt;&gt;"",OR(P65="Optional",P65="If Applicable",P65="To Verify")),"• "&amp;O65&amp;" ("&amp;P65&amp;")",""),IF(AND(Q65&lt;&gt;"",OR(R65="Optional",R65="If Applicable",R65="To Verify")),"• "&amp;Q65&amp;" ("&amp;R65&amp;")",""))</f>
        <v/>
      </c>
    </row>
    <row r="66" customFormat="false" ht="46.25" hidden="false" customHeight="false" outlineLevel="0" collapsed="false">
      <c r="A66" s="6" t="s">
        <v>860</v>
      </c>
      <c r="B66" s="7" t="str">
        <f aca="false">IF($A66="","",IFERROR(INDEX(MASTER_DATABASE!$E$4:$E$1000,MATCH($A66,MASTER_DATABASE!$A$4:$A$1000,0)),""))</f>
        <v>HDFC BC – Atal Pension Yojana Enrolment Assistance</v>
      </c>
      <c r="C66" s="6" t="s">
        <v>3433</v>
      </c>
      <c r="D66" s="6" t="s">
        <v>3436</v>
      </c>
      <c r="E66" s="6" t="s">
        <v>3611</v>
      </c>
      <c r="F66" s="6" t="s">
        <v>3436</v>
      </c>
      <c r="G66" s="6" t="s">
        <v>3478</v>
      </c>
      <c r="H66" s="6" t="s">
        <v>3436</v>
      </c>
      <c r="I66" s="6" t="s">
        <v>3603</v>
      </c>
      <c r="J66" s="6" t="s">
        <v>3436</v>
      </c>
      <c r="K66" s="6"/>
      <c r="L66" s="6"/>
      <c r="M66" s="6"/>
      <c r="N66" s="6"/>
      <c r="O66" s="6"/>
      <c r="P66" s="6"/>
      <c r="Q66" s="6"/>
      <c r="R66" s="6"/>
      <c r="S66" s="7" t="str">
        <f aca="false">_xlfn.TEXTJOIN(CHAR(10),TRUE(),IF(AND(C66&lt;&gt;"",D66="Mandatory"),"✓ "&amp;C66,""),IF(AND(E66&lt;&gt;"",F66="Mandatory"),"✓ "&amp;E66,""),IF(AND(G66&lt;&gt;"",H66="Mandatory"),"✓ "&amp;G66,""),IF(AND(I66&lt;&gt;"",J66="Mandatory"),"✓ "&amp;I66,""),IF(AND(K66&lt;&gt;"",L66="Mandatory"),"✓ "&amp;K66,""),IF(AND(M66&lt;&gt;"",N66="Mandatory"),"✓ "&amp;M66,""),IF(AND(O66&lt;&gt;"",P66="Mandatory"),"✓ "&amp;O66,""),IF(AND(Q66&lt;&gt;"",R66="Mandatory"),"✓ "&amp;Q66,""))</f>
        <v>✓ Aadhaar Card
✓ Bank Account Number
✓ Active Mobile Number
✓ Nominee Details</v>
      </c>
      <c r="T66" s="7" t="str">
        <f aca="false">_xlfn.TEXTJOIN(CHAR(10),TRUE(),IF(AND(C66&lt;&gt;"",OR(D66="Optional",D66="If Applicable",D66="To Verify")),"• "&amp;C66&amp;" ("&amp;D66&amp;")",""),IF(AND(E66&lt;&gt;"",OR(F66="Optional",F66="If Applicable",F66="To Verify")),"• "&amp;E66&amp;" ("&amp;F66&amp;")",""),IF(AND(G66&lt;&gt;"",OR(H66="Optional",H66="If Applicable",H66="To Verify")),"• "&amp;G66&amp;" ("&amp;H66&amp;")",""),IF(AND(I66&lt;&gt;"",OR(J66="Optional",J66="If Applicable",J66="To Verify")),"• "&amp;I66&amp;" ("&amp;J66&amp;")",""),IF(AND(K66&lt;&gt;"",OR(L66="Optional",L66="If Applicable",L66="To Verify")),"• "&amp;K66&amp;" ("&amp;L66&amp;")",""),IF(AND(M66&lt;&gt;"",OR(N66="Optional",N66="If Applicable",N66="To Verify")),"• "&amp;M66&amp;" ("&amp;N66&amp;")",""),IF(AND(O66&lt;&gt;"",OR(P66="Optional",P66="If Applicable",P66="To Verify")),"• "&amp;O66&amp;" ("&amp;P66&amp;")",""),IF(AND(Q66&lt;&gt;"",OR(R66="Optional",R66="If Applicable",R66="To Verify")),"• "&amp;Q66&amp;" ("&amp;R66&amp;")",""))</f>
        <v/>
      </c>
    </row>
    <row r="67" customFormat="false" ht="23.85" hidden="false" customHeight="false" outlineLevel="0" collapsed="false">
      <c r="A67" s="6" t="s">
        <v>870</v>
      </c>
      <c r="B67" s="7" t="str">
        <f aca="false">IF($A67="","",IFERROR(INDEX(MASTER_DATABASE!$E$4:$E$1000,MATCH($A67,MASTER_DATABASE!$A$4:$A$1000,0)),""))</f>
        <v>FINO BC – Cash Deposit</v>
      </c>
      <c r="C67" s="6" t="s">
        <v>3611</v>
      </c>
      <c r="D67" s="6" t="s">
        <v>3436</v>
      </c>
      <c r="E67" s="6" t="s">
        <v>3571</v>
      </c>
      <c r="F67" s="6" t="s">
        <v>3436</v>
      </c>
      <c r="G67" s="6" t="s">
        <v>3433</v>
      </c>
      <c r="H67" s="6" t="s">
        <v>3453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7" t="str">
        <f aca="false">_xlfn.TEXTJOIN(CHAR(10),TRUE(),IF(AND(C67&lt;&gt;"",D67="Mandatory"),"✓ "&amp;C67,""),IF(AND(E67&lt;&gt;"",F67="Mandatory"),"✓ "&amp;E67,""),IF(AND(G67&lt;&gt;"",H67="Mandatory"),"✓ "&amp;G67,""),IF(AND(I67&lt;&gt;"",J67="Mandatory"),"✓ "&amp;I67,""),IF(AND(K67&lt;&gt;"",L67="Mandatory"),"✓ "&amp;K67,""),IF(AND(M67&lt;&gt;"",N67="Mandatory"),"✓ "&amp;M67,""),IF(AND(O67&lt;&gt;"",P67="Mandatory"),"✓ "&amp;O67,""),IF(AND(Q67&lt;&gt;"",R67="Mandatory"),"✓ "&amp;Q67,""))</f>
        <v>✓ Bank Account Number
✓ Cash Amount</v>
      </c>
      <c r="T67" s="7" t="str">
        <f aca="false">_xlfn.TEXTJOIN(CHAR(10),TRUE(),IF(AND(C67&lt;&gt;"",OR(D67="Optional",D67="If Applicable",D67="To Verify")),"• "&amp;C67&amp;" ("&amp;D67&amp;")",""),IF(AND(E67&lt;&gt;"",OR(F67="Optional",F67="If Applicable",F67="To Verify")),"• "&amp;E67&amp;" ("&amp;F67&amp;")",""),IF(AND(G67&lt;&gt;"",OR(H67="Optional",H67="If Applicable",H67="To Verify")),"• "&amp;G67&amp;" ("&amp;H67&amp;")",""),IF(AND(I67&lt;&gt;"",OR(J67="Optional",J67="If Applicable",J67="To Verify")),"• "&amp;I67&amp;" ("&amp;J67&amp;")",""),IF(AND(K67&lt;&gt;"",OR(L67="Optional",L67="If Applicable",L67="To Verify")),"• "&amp;K67&amp;" ("&amp;L67&amp;")",""),IF(AND(M67&lt;&gt;"",OR(N67="Optional",N67="If Applicable",N67="To Verify")),"• "&amp;M67&amp;" ("&amp;N67&amp;")",""),IF(AND(O67&lt;&gt;"",OR(P67="Optional",P67="If Applicable",P67="To Verify")),"• "&amp;O67&amp;" ("&amp;P67&amp;")",""),IF(AND(Q67&lt;&gt;"",OR(R67="Optional",R67="If Applicable",R67="To Verify")),"• "&amp;Q67&amp;" ("&amp;R67&amp;")",""))</f>
        <v>• Aadhaar Card (If Applicable)</v>
      </c>
    </row>
    <row r="68" customFormat="false" ht="23.85" hidden="false" customHeight="false" outlineLevel="0" collapsed="false">
      <c r="A68" s="6" t="s">
        <v>883</v>
      </c>
      <c r="B68" s="7" t="str">
        <f aca="false">IF($A68="","",IFERROR(INDEX(MASTER_DATABASE!$E$4:$E$1000,MATCH($A68,MASTER_DATABASE!$A$4:$A$1000,0)),""))</f>
        <v>FINO BC – Cash Withdrawal</v>
      </c>
      <c r="C68" s="6" t="s">
        <v>3433</v>
      </c>
      <c r="D68" s="6" t="s">
        <v>3436</v>
      </c>
      <c r="E68" s="6" t="s">
        <v>3611</v>
      </c>
      <c r="F68" s="6" t="s">
        <v>3453</v>
      </c>
      <c r="G68" s="6" t="s">
        <v>3488</v>
      </c>
      <c r="H68" s="6" t="s">
        <v>3436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7" t="str">
        <f aca="false">_xlfn.TEXTJOIN(CHAR(10),TRUE(),IF(AND(C68&lt;&gt;"",D68="Mandatory"),"✓ "&amp;C68,""),IF(AND(E68&lt;&gt;"",F68="Mandatory"),"✓ "&amp;E68,""),IF(AND(G68&lt;&gt;"",H68="Mandatory"),"✓ "&amp;G68,""),IF(AND(I68&lt;&gt;"",J68="Mandatory"),"✓ "&amp;I68,""),IF(AND(K68&lt;&gt;"",L68="Mandatory"),"✓ "&amp;K68,""),IF(AND(M68&lt;&gt;"",N68="Mandatory"),"✓ "&amp;M68,""),IF(AND(O68&lt;&gt;"",P68="Mandatory"),"✓ "&amp;O68,""),IF(AND(Q68&lt;&gt;"",R68="Mandatory"),"✓ "&amp;Q68,""))</f>
        <v>✓ Aadhaar Card
✓ Customer Presence for Biometrics</v>
      </c>
      <c r="T68" s="7" t="str">
        <f aca="false">_xlfn.TEXTJOIN(CHAR(10),TRUE(),IF(AND(C68&lt;&gt;"",OR(D68="Optional",D68="If Applicable",D68="To Verify")),"• "&amp;C68&amp;" ("&amp;D68&amp;")",""),IF(AND(E68&lt;&gt;"",OR(F68="Optional",F68="If Applicable",F68="To Verify")),"• "&amp;E68&amp;" ("&amp;F68&amp;")",""),IF(AND(G68&lt;&gt;"",OR(H68="Optional",H68="If Applicable",H68="To Verify")),"• "&amp;G68&amp;" ("&amp;H68&amp;")",""),IF(AND(I68&lt;&gt;"",OR(J68="Optional",J68="If Applicable",J68="To Verify")),"• "&amp;I68&amp;" ("&amp;J68&amp;")",""),IF(AND(K68&lt;&gt;"",OR(L68="Optional",L68="If Applicable",L68="To Verify")),"• "&amp;K68&amp;" ("&amp;L68&amp;")",""),IF(AND(M68&lt;&gt;"",OR(N68="Optional",N68="If Applicable",N68="To Verify")),"• "&amp;M68&amp;" ("&amp;N68&amp;")",""),IF(AND(O68&lt;&gt;"",OR(P68="Optional",P68="If Applicable",P68="To Verify")),"• "&amp;O68&amp;" ("&amp;P68&amp;")",""),IF(AND(Q68&lt;&gt;"",OR(R68="Optional",R68="If Applicable",R68="To Verify")),"• "&amp;Q68&amp;" ("&amp;R68&amp;")",""))</f>
        <v>• Bank Account Number (If Applicable)</v>
      </c>
    </row>
    <row r="69" customFormat="false" ht="35.05" hidden="false" customHeight="false" outlineLevel="0" collapsed="false">
      <c r="A69" s="6" t="s">
        <v>893</v>
      </c>
      <c r="B69" s="7" t="str">
        <f aca="false">IF($A69="","",IFERROR(INDEX(MASTER_DATABASE!$E$4:$E$1000,MATCH($A69,MASTER_DATABASE!$A$4:$A$1000,0)),""))</f>
        <v>FINO BC – Balance Enquiry</v>
      </c>
      <c r="C69" s="6" t="s">
        <v>3433</v>
      </c>
      <c r="D69" s="6" t="s">
        <v>3436</v>
      </c>
      <c r="E69" s="6" t="s">
        <v>3611</v>
      </c>
      <c r="F69" s="6" t="s">
        <v>3436</v>
      </c>
      <c r="G69" s="6" t="s">
        <v>3478</v>
      </c>
      <c r="H69" s="6" t="s">
        <v>3436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7" t="str">
        <f aca="false">_xlfn.TEXTJOIN(CHAR(10),TRUE(),IF(AND(C69&lt;&gt;"",D69="Mandatory"),"✓ "&amp;C69,""),IF(AND(E69&lt;&gt;"",F69="Mandatory"),"✓ "&amp;E69,""),IF(AND(G69&lt;&gt;"",H69="Mandatory"),"✓ "&amp;G69,""),IF(AND(I69&lt;&gt;"",J69="Mandatory"),"✓ "&amp;I69,""),IF(AND(K69&lt;&gt;"",L69="Mandatory"),"✓ "&amp;K69,""),IF(AND(M69&lt;&gt;"",N69="Mandatory"),"✓ "&amp;M69,""),IF(AND(O69&lt;&gt;"",P69="Mandatory"),"✓ "&amp;O69,""),IF(AND(Q69&lt;&gt;"",R69="Mandatory"),"✓ "&amp;Q69,""))</f>
        <v>✓ Aadhaar Card
✓ Bank Account Number
✓ Active Mobile Number</v>
      </c>
      <c r="T69" s="7" t="str">
        <f aca="false">_xlfn.TEXTJOIN(CHAR(10),TRUE(),IF(AND(C69&lt;&gt;"",OR(D69="Optional",D69="If Applicable",D69="To Verify")),"• "&amp;C69&amp;" ("&amp;D69&amp;")",""),IF(AND(E69&lt;&gt;"",OR(F69="Optional",F69="If Applicable",F69="To Verify")),"• "&amp;E69&amp;" ("&amp;F69&amp;")",""),IF(AND(G69&lt;&gt;"",OR(H69="Optional",H69="If Applicable",H69="To Verify")),"• "&amp;G69&amp;" ("&amp;H69&amp;")",""),IF(AND(I69&lt;&gt;"",OR(J69="Optional",J69="If Applicable",J69="To Verify")),"• "&amp;I69&amp;" ("&amp;J69&amp;")",""),IF(AND(K69&lt;&gt;"",OR(L69="Optional",L69="If Applicable",L69="To Verify")),"• "&amp;K69&amp;" ("&amp;L69&amp;")",""),IF(AND(M69&lt;&gt;"",OR(N69="Optional",N69="If Applicable",N69="To Verify")),"• "&amp;M69&amp;" ("&amp;N69&amp;")",""),IF(AND(O69&lt;&gt;"",OR(P69="Optional",P69="If Applicable",P69="To Verify")),"• "&amp;O69&amp;" ("&amp;P69&amp;")",""),IF(AND(Q69&lt;&gt;"",OR(R69="Optional",R69="If Applicable",R69="To Verify")),"• "&amp;Q69&amp;" ("&amp;R69&amp;")",""))</f>
        <v/>
      </c>
    </row>
    <row r="70" customFormat="false" ht="35.05" hidden="false" customHeight="false" outlineLevel="0" collapsed="false">
      <c r="A70" s="6" t="s">
        <v>904</v>
      </c>
      <c r="B70" s="7" t="str">
        <f aca="false">IF($A70="","",IFERROR(INDEX(MASTER_DATABASE!$E$4:$E$1000,MATCH($A70,MASTER_DATABASE!$A$4:$A$1000,0)),""))</f>
        <v>FINO BC – Mini Statement</v>
      </c>
      <c r="C70" s="6" t="s">
        <v>3433</v>
      </c>
      <c r="D70" s="6" t="s">
        <v>3436</v>
      </c>
      <c r="E70" s="6" t="s">
        <v>3611</v>
      </c>
      <c r="F70" s="6" t="s">
        <v>3436</v>
      </c>
      <c r="G70" s="6" t="s">
        <v>3478</v>
      </c>
      <c r="H70" s="6" t="s">
        <v>3436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7" t="str">
        <f aca="false">_xlfn.TEXTJOIN(CHAR(10),TRUE(),IF(AND(C70&lt;&gt;"",D70="Mandatory"),"✓ "&amp;C70,""),IF(AND(E70&lt;&gt;"",F70="Mandatory"),"✓ "&amp;E70,""),IF(AND(G70&lt;&gt;"",H70="Mandatory"),"✓ "&amp;G70,""),IF(AND(I70&lt;&gt;"",J70="Mandatory"),"✓ "&amp;I70,""),IF(AND(K70&lt;&gt;"",L70="Mandatory"),"✓ "&amp;K70,""),IF(AND(M70&lt;&gt;"",N70="Mandatory"),"✓ "&amp;M70,""),IF(AND(O70&lt;&gt;"",P70="Mandatory"),"✓ "&amp;O70,""),IF(AND(Q70&lt;&gt;"",R70="Mandatory"),"✓ "&amp;Q70,""))</f>
        <v>✓ Aadhaar Card
✓ Bank Account Number
✓ Active Mobile Number</v>
      </c>
      <c r="T70" s="7" t="str">
        <f aca="false">_xlfn.TEXTJOIN(CHAR(10),TRUE(),IF(AND(C70&lt;&gt;"",OR(D70="Optional",D70="If Applicable",D70="To Verify")),"• "&amp;C70&amp;" ("&amp;D70&amp;")",""),IF(AND(E70&lt;&gt;"",OR(F70="Optional",F70="If Applicable",F70="To Verify")),"• "&amp;E70&amp;" ("&amp;F70&amp;")",""),IF(AND(G70&lt;&gt;"",OR(H70="Optional",H70="If Applicable",H70="To Verify")),"• "&amp;G70&amp;" ("&amp;H70&amp;")",""),IF(AND(I70&lt;&gt;"",OR(J70="Optional",J70="If Applicable",J70="To Verify")),"• "&amp;I70&amp;" ("&amp;J70&amp;")",""),IF(AND(K70&lt;&gt;"",OR(L70="Optional",L70="If Applicable",L70="To Verify")),"• "&amp;K70&amp;" ("&amp;L70&amp;")",""),IF(AND(M70&lt;&gt;"",OR(N70="Optional",N70="If Applicable",N70="To Verify")),"• "&amp;M70&amp;" ("&amp;N70&amp;")",""),IF(AND(O70&lt;&gt;"",OR(P70="Optional",P70="If Applicable",P70="To Verify")),"• "&amp;O70&amp;" ("&amp;P70&amp;")",""),IF(AND(Q70&lt;&gt;"",OR(R70="Optional",R70="If Applicable",R70="To Verify")),"• "&amp;Q70&amp;" ("&amp;R70&amp;")",""))</f>
        <v/>
      </c>
    </row>
    <row r="71" customFormat="false" ht="23.85" hidden="false" customHeight="false" outlineLevel="0" collapsed="false">
      <c r="A71" s="6" t="s">
        <v>915</v>
      </c>
      <c r="B71" s="7" t="str">
        <f aca="false">IF($A71="","",IFERROR(INDEX(MASTER_DATABASE!$E$4:$E$1000,MATCH($A71,MASTER_DATABASE!$A$4:$A$1000,0)),""))</f>
        <v>FINO BC – AEPS Cash Withdrawal</v>
      </c>
      <c r="C71" s="6" t="s">
        <v>3433</v>
      </c>
      <c r="D71" s="6" t="s">
        <v>3436</v>
      </c>
      <c r="E71" s="6" t="s">
        <v>3488</v>
      </c>
      <c r="F71" s="6" t="s">
        <v>3436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7" t="str">
        <f aca="false">_xlfn.TEXTJOIN(CHAR(10),TRUE(),IF(AND(C71&lt;&gt;"",D71="Mandatory"),"✓ "&amp;C71,""),IF(AND(E71&lt;&gt;"",F71="Mandatory"),"✓ "&amp;E71,""),IF(AND(G71&lt;&gt;"",H71="Mandatory"),"✓ "&amp;G71,""),IF(AND(I71&lt;&gt;"",J71="Mandatory"),"✓ "&amp;I71,""),IF(AND(K71&lt;&gt;"",L71="Mandatory"),"✓ "&amp;K71,""),IF(AND(M71&lt;&gt;"",N71="Mandatory"),"✓ "&amp;M71,""),IF(AND(O71&lt;&gt;"",P71="Mandatory"),"✓ "&amp;O71,""),IF(AND(Q71&lt;&gt;"",R71="Mandatory"),"✓ "&amp;Q71,""))</f>
        <v>✓ Aadhaar Card
✓ Customer Presence for Biometrics</v>
      </c>
      <c r="T71" s="7" t="str">
        <f aca="false">_xlfn.TEXTJOIN(CHAR(10),TRUE(),IF(AND(C71&lt;&gt;"",OR(D71="Optional",D71="If Applicable",D71="To Verify")),"• "&amp;C71&amp;" ("&amp;D71&amp;")",""),IF(AND(E71&lt;&gt;"",OR(F71="Optional",F71="If Applicable",F71="To Verify")),"• "&amp;E71&amp;" ("&amp;F71&amp;")",""),IF(AND(G71&lt;&gt;"",OR(H71="Optional",H71="If Applicable",H71="To Verify")),"• "&amp;G71&amp;" ("&amp;H71&amp;")",""),IF(AND(I71&lt;&gt;"",OR(J71="Optional",J71="If Applicable",J71="To Verify")),"• "&amp;I71&amp;" ("&amp;J71&amp;")",""),IF(AND(K71&lt;&gt;"",OR(L71="Optional",L71="If Applicable",L71="To Verify")),"• "&amp;K71&amp;" ("&amp;L71&amp;")",""),IF(AND(M71&lt;&gt;"",OR(N71="Optional",N71="If Applicable",N71="To Verify")),"• "&amp;M71&amp;" ("&amp;N71&amp;")",""),IF(AND(O71&lt;&gt;"",OR(P71="Optional",P71="If Applicable",P71="To Verify")),"• "&amp;O71&amp;" ("&amp;P71&amp;")",""),IF(AND(Q71&lt;&gt;"",OR(R71="Optional",R71="If Applicable",R71="To Verify")),"• "&amp;Q71&amp;" ("&amp;R71&amp;")",""))</f>
        <v/>
      </c>
    </row>
    <row r="72" customFormat="false" ht="23.85" hidden="false" customHeight="false" outlineLevel="0" collapsed="false">
      <c r="A72" s="6" t="s">
        <v>925</v>
      </c>
      <c r="B72" s="7" t="str">
        <f aca="false">IF($A72="","",IFERROR(INDEX(MASTER_DATABASE!$E$4:$E$1000,MATCH($A72,MASTER_DATABASE!$A$4:$A$1000,0)),""))</f>
        <v>FINO BC – AEPS Balance Enquiry</v>
      </c>
      <c r="C72" s="6" t="s">
        <v>3433</v>
      </c>
      <c r="D72" s="6" t="s">
        <v>3436</v>
      </c>
      <c r="E72" s="6" t="s">
        <v>3488</v>
      </c>
      <c r="F72" s="6" t="s">
        <v>3436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7" t="str">
        <f aca="false">_xlfn.TEXTJOIN(CHAR(10),TRUE(),IF(AND(C72&lt;&gt;"",D72="Mandatory"),"✓ "&amp;C72,""),IF(AND(E72&lt;&gt;"",F72="Mandatory"),"✓ "&amp;E72,""),IF(AND(G72&lt;&gt;"",H72="Mandatory"),"✓ "&amp;G72,""),IF(AND(I72&lt;&gt;"",J72="Mandatory"),"✓ "&amp;I72,""),IF(AND(K72&lt;&gt;"",L72="Mandatory"),"✓ "&amp;K72,""),IF(AND(M72&lt;&gt;"",N72="Mandatory"),"✓ "&amp;M72,""),IF(AND(O72&lt;&gt;"",P72="Mandatory"),"✓ "&amp;O72,""),IF(AND(Q72&lt;&gt;"",R72="Mandatory"),"✓ "&amp;Q72,""))</f>
        <v>✓ Aadhaar Card
✓ Customer Presence for Biometrics</v>
      </c>
      <c r="T72" s="7" t="str">
        <f aca="false">_xlfn.TEXTJOIN(CHAR(10),TRUE(),IF(AND(C72&lt;&gt;"",OR(D72="Optional",D72="If Applicable",D72="To Verify")),"• "&amp;C72&amp;" ("&amp;D72&amp;")",""),IF(AND(E72&lt;&gt;"",OR(F72="Optional",F72="If Applicable",F72="To Verify")),"• "&amp;E72&amp;" ("&amp;F72&amp;")",""),IF(AND(G72&lt;&gt;"",OR(H72="Optional",H72="If Applicable",H72="To Verify")),"• "&amp;G72&amp;" ("&amp;H72&amp;")",""),IF(AND(I72&lt;&gt;"",OR(J72="Optional",J72="If Applicable",J72="To Verify")),"• "&amp;I72&amp;" ("&amp;J72&amp;")",""),IF(AND(K72&lt;&gt;"",OR(L72="Optional",L72="If Applicable",L72="To Verify")),"• "&amp;K72&amp;" ("&amp;L72&amp;")",""),IF(AND(M72&lt;&gt;"",OR(N72="Optional",N72="If Applicable",N72="To Verify")),"• "&amp;M72&amp;" ("&amp;N72&amp;")",""),IF(AND(O72&lt;&gt;"",OR(P72="Optional",P72="If Applicable",P72="To Verify")),"• "&amp;O72&amp;" ("&amp;P72&amp;")",""),IF(AND(Q72&lt;&gt;"",OR(R72="Optional",R72="If Applicable",R72="To Verify")),"• "&amp;Q72&amp;" ("&amp;R72&amp;")",""))</f>
        <v/>
      </c>
    </row>
    <row r="73" customFormat="false" ht="23.85" hidden="false" customHeight="false" outlineLevel="0" collapsed="false">
      <c r="A73" s="6" t="s">
        <v>934</v>
      </c>
      <c r="B73" s="7" t="str">
        <f aca="false">IF($A73="","",IFERROR(INDEX(MASTER_DATABASE!$E$4:$E$1000,MATCH($A73,MASTER_DATABASE!$A$4:$A$1000,0)),""))</f>
        <v>FINO BC – AEPS Mini Statement</v>
      </c>
      <c r="C73" s="6" t="s">
        <v>3433</v>
      </c>
      <c r="D73" s="6" t="s">
        <v>3436</v>
      </c>
      <c r="E73" s="6" t="s">
        <v>3488</v>
      </c>
      <c r="F73" s="6" t="s">
        <v>3436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7" t="str">
        <f aca="false">_xlfn.TEXTJOIN(CHAR(10),TRUE(),IF(AND(C73&lt;&gt;"",D73="Mandatory"),"✓ "&amp;C73,""),IF(AND(E73&lt;&gt;"",F73="Mandatory"),"✓ "&amp;E73,""),IF(AND(G73&lt;&gt;"",H73="Mandatory"),"✓ "&amp;G73,""),IF(AND(I73&lt;&gt;"",J73="Mandatory"),"✓ "&amp;I73,""),IF(AND(K73&lt;&gt;"",L73="Mandatory"),"✓ "&amp;K73,""),IF(AND(M73&lt;&gt;"",N73="Mandatory"),"✓ "&amp;M73,""),IF(AND(O73&lt;&gt;"",P73="Mandatory"),"✓ "&amp;O73,""),IF(AND(Q73&lt;&gt;"",R73="Mandatory"),"✓ "&amp;Q73,""))</f>
        <v>✓ Aadhaar Card
✓ Customer Presence for Biometrics</v>
      </c>
      <c r="T73" s="7" t="str">
        <f aca="false">_xlfn.TEXTJOIN(CHAR(10),TRUE(),IF(AND(C73&lt;&gt;"",OR(D73="Optional",D73="If Applicable",D73="To Verify")),"• "&amp;C73&amp;" ("&amp;D73&amp;")",""),IF(AND(E73&lt;&gt;"",OR(F73="Optional",F73="If Applicable",F73="To Verify")),"• "&amp;E73&amp;" ("&amp;F73&amp;")",""),IF(AND(G73&lt;&gt;"",OR(H73="Optional",H73="If Applicable",H73="To Verify")),"• "&amp;G73&amp;" ("&amp;H73&amp;")",""),IF(AND(I73&lt;&gt;"",OR(J73="Optional",J73="If Applicable",J73="To Verify")),"• "&amp;I73&amp;" ("&amp;J73&amp;")",""),IF(AND(K73&lt;&gt;"",OR(L73="Optional",L73="If Applicable",L73="To Verify")),"• "&amp;K73&amp;" ("&amp;L73&amp;")",""),IF(AND(M73&lt;&gt;"",OR(N73="Optional",N73="If Applicable",N73="To Verify")),"• "&amp;M73&amp;" ("&amp;N73&amp;")",""),IF(AND(O73&lt;&gt;"",OR(P73="Optional",P73="If Applicable",P73="To Verify")),"• "&amp;O73&amp;" ("&amp;P73&amp;")",""),IF(AND(Q73&lt;&gt;"",OR(R73="Optional",R73="If Applicable",R73="To Verify")),"• "&amp;Q73&amp;" ("&amp;R73&amp;")",""))</f>
        <v/>
      </c>
    </row>
    <row r="74" customFormat="false" ht="23.85" hidden="false" customHeight="false" outlineLevel="0" collapsed="false">
      <c r="A74" s="6" t="s">
        <v>943</v>
      </c>
      <c r="B74" s="7" t="str">
        <f aca="false">IF($A74="","",IFERROR(INDEX(MASTER_DATABASE!$E$4:$E$1000,MATCH($A74,MASTER_DATABASE!$A$4:$A$1000,0)),""))</f>
        <v>FINO BC – Biometric Banking (Fingerprint Authenticated)</v>
      </c>
      <c r="C74" s="6" t="s">
        <v>3433</v>
      </c>
      <c r="D74" s="6" t="s">
        <v>3436</v>
      </c>
      <c r="E74" s="6" t="s">
        <v>3488</v>
      </c>
      <c r="F74" s="6" t="s">
        <v>3436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7" t="str">
        <f aca="false">_xlfn.TEXTJOIN(CHAR(10),TRUE(),IF(AND(C74&lt;&gt;"",D74="Mandatory"),"✓ "&amp;C74,""),IF(AND(E74&lt;&gt;"",F74="Mandatory"),"✓ "&amp;E74,""),IF(AND(G74&lt;&gt;"",H74="Mandatory"),"✓ "&amp;G74,""),IF(AND(I74&lt;&gt;"",J74="Mandatory"),"✓ "&amp;I74,""),IF(AND(K74&lt;&gt;"",L74="Mandatory"),"✓ "&amp;K74,""),IF(AND(M74&lt;&gt;"",N74="Mandatory"),"✓ "&amp;M74,""),IF(AND(O74&lt;&gt;"",P74="Mandatory"),"✓ "&amp;O74,""),IF(AND(Q74&lt;&gt;"",R74="Mandatory"),"✓ "&amp;Q74,""))</f>
        <v>✓ Aadhaar Card
✓ Customer Presence for Biometrics</v>
      </c>
      <c r="T74" s="7" t="str">
        <f aca="false">_xlfn.TEXTJOIN(CHAR(10),TRUE(),IF(AND(C74&lt;&gt;"",OR(D74="Optional",D74="If Applicable",D74="To Verify")),"• "&amp;C74&amp;" ("&amp;D74&amp;")",""),IF(AND(E74&lt;&gt;"",OR(F74="Optional",F74="If Applicable",F74="To Verify")),"• "&amp;E74&amp;" ("&amp;F74&amp;")",""),IF(AND(G74&lt;&gt;"",OR(H74="Optional",H74="If Applicable",H74="To Verify")),"• "&amp;G74&amp;" ("&amp;H74&amp;")",""),IF(AND(I74&lt;&gt;"",OR(J74="Optional",J74="If Applicable",J74="To Verify")),"• "&amp;I74&amp;" ("&amp;J74&amp;")",""),IF(AND(K74&lt;&gt;"",OR(L74="Optional",L74="If Applicable",L74="To Verify")),"• "&amp;K74&amp;" ("&amp;L74&amp;")",""),IF(AND(M74&lt;&gt;"",OR(N74="Optional",N74="If Applicable",N74="To Verify")),"• "&amp;M74&amp;" ("&amp;N74&amp;")",""),IF(AND(O74&lt;&gt;"",OR(P74="Optional",P74="If Applicable",P74="To Verify")),"• "&amp;O74&amp;" ("&amp;P74&amp;")",""),IF(AND(Q74&lt;&gt;"",OR(R74="Optional",R74="If Applicable",R74="To Verify")),"• "&amp;Q74&amp;" ("&amp;R74&amp;")",""))</f>
        <v/>
      </c>
    </row>
    <row r="75" customFormat="false" ht="15" hidden="false" customHeight="false" outlineLevel="0" collapsed="false">
      <c r="A75" s="6" t="s">
        <v>952</v>
      </c>
      <c r="B75" s="7" t="str">
        <f aca="false">IF($A75="","",IFERROR(INDEX(MASTER_DATABASE!$E$4:$E$1000,MATCH($A75,MASTER_DATABASE!$A$4:$A$1000,0)),""))</f>
        <v>FINO BC – Micro ATM Cash Withdrawal</v>
      </c>
      <c r="C75" s="6" t="s">
        <v>3492</v>
      </c>
      <c r="D75" s="6" t="s">
        <v>3436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7" t="str">
        <f aca="false">_xlfn.TEXTJOIN(CHAR(10),TRUE(),IF(AND(C75&lt;&gt;"",D75="Mandatory"),"✓ "&amp;C75,""),IF(AND(E75&lt;&gt;"",F75="Mandatory"),"✓ "&amp;E75,""),IF(AND(G75&lt;&gt;"",H75="Mandatory"),"✓ "&amp;G75,""),IF(AND(I75&lt;&gt;"",J75="Mandatory"),"✓ "&amp;I75,""),IF(AND(K75&lt;&gt;"",L75="Mandatory"),"✓ "&amp;K75,""),IF(AND(M75&lt;&gt;"",N75="Mandatory"),"✓ "&amp;M75,""),IF(AND(O75&lt;&gt;"",P75="Mandatory"),"✓ "&amp;O75,""),IF(AND(Q75&lt;&gt;"",R75="Mandatory"),"✓ "&amp;Q75,""))</f>
        <v>✓ Debit Card</v>
      </c>
      <c r="T75" s="7" t="str">
        <f aca="false">_xlfn.TEXTJOIN(CHAR(10),TRUE(),IF(AND(C75&lt;&gt;"",OR(D75="Optional",D75="If Applicable",D75="To Verify")),"• "&amp;C75&amp;" ("&amp;D75&amp;")",""),IF(AND(E75&lt;&gt;"",OR(F75="Optional",F75="If Applicable",F75="To Verify")),"• "&amp;E75&amp;" ("&amp;F75&amp;")",""),IF(AND(G75&lt;&gt;"",OR(H75="Optional",H75="If Applicable",H75="To Verify")),"• "&amp;G75&amp;" ("&amp;H75&amp;")",""),IF(AND(I75&lt;&gt;"",OR(J75="Optional",J75="If Applicable",J75="To Verify")),"• "&amp;I75&amp;" ("&amp;J75&amp;")",""),IF(AND(K75&lt;&gt;"",OR(L75="Optional",L75="If Applicable",L75="To Verify")),"• "&amp;K75&amp;" ("&amp;L75&amp;")",""),IF(AND(M75&lt;&gt;"",OR(N75="Optional",N75="If Applicable",N75="To Verify")),"• "&amp;M75&amp;" ("&amp;N75&amp;")",""),IF(AND(O75&lt;&gt;"",OR(P75="Optional",P75="If Applicable",P75="To Verify")),"• "&amp;O75&amp;" ("&amp;P75&amp;")",""),IF(AND(Q75&lt;&gt;"",OR(R75="Optional",R75="If Applicable",R75="To Verify")),"• "&amp;Q75&amp;" ("&amp;R75&amp;")",""))</f>
        <v/>
      </c>
    </row>
    <row r="76" customFormat="false" ht="35.05" hidden="false" customHeight="false" outlineLevel="0" collapsed="false">
      <c r="A76" s="6" t="s">
        <v>963</v>
      </c>
      <c r="B76" s="7" t="str">
        <f aca="false">IF($A76="","",IFERROR(INDEX(MASTER_DATABASE!$E$4:$E$1000,MATCH($A76,MASTER_DATABASE!$A$4:$A$1000,0)),""))</f>
        <v>FINO BC – Money Transfer (Domestic)</v>
      </c>
      <c r="C76" s="6" t="s">
        <v>3563</v>
      </c>
      <c r="D76" s="6" t="s">
        <v>3436</v>
      </c>
      <c r="E76" s="6" t="s">
        <v>3571</v>
      </c>
      <c r="F76" s="6" t="s">
        <v>3436</v>
      </c>
      <c r="G76" s="6" t="s">
        <v>3461</v>
      </c>
      <c r="H76" s="6" t="s">
        <v>75</v>
      </c>
      <c r="I76" s="6" t="s">
        <v>3478</v>
      </c>
      <c r="J76" s="6" t="s">
        <v>3436</v>
      </c>
      <c r="K76" s="6"/>
      <c r="L76" s="6"/>
      <c r="M76" s="6"/>
      <c r="N76" s="6"/>
      <c r="O76" s="6"/>
      <c r="P76" s="6"/>
      <c r="Q76" s="6"/>
      <c r="R76" s="6"/>
      <c r="S76" s="7" t="str">
        <f aca="false">_xlfn.TEXTJOIN(CHAR(10),TRUE(),IF(AND(C76&lt;&gt;"",D76="Mandatory"),"✓ "&amp;C76,""),IF(AND(E76&lt;&gt;"",F76="Mandatory"),"✓ "&amp;E76,""),IF(AND(G76&lt;&gt;"",H76="Mandatory"),"✓ "&amp;G76,""),IF(AND(I76&lt;&gt;"",J76="Mandatory"),"✓ "&amp;I76,""),IF(AND(K76&lt;&gt;"",L76="Mandatory"),"✓ "&amp;K76,""),IF(AND(M76&lt;&gt;"",N76="Mandatory"),"✓ "&amp;M76,""),IF(AND(O76&lt;&gt;"",P76="Mandatory"),"✓ "&amp;O76,""),IF(AND(Q76&lt;&gt;"",R76="Mandatory"),"✓ "&amp;Q76,""))</f>
        <v>✓ Beneficiary Account Details
✓ Cash Amount
✓ Active Mobile Number</v>
      </c>
      <c r="T76" s="7" t="str">
        <f aca="false">_xlfn.TEXTJOIN(CHAR(10),TRUE(),IF(AND(C76&lt;&gt;"",OR(D76="Optional",D76="If Applicable",D76="To Verify")),"• "&amp;C76&amp;" ("&amp;D76&amp;")",""),IF(AND(E76&lt;&gt;"",OR(F76="Optional",F76="If Applicable",F76="To Verify")),"• "&amp;E76&amp;" ("&amp;F76&amp;")",""),IF(AND(G76&lt;&gt;"",OR(H76="Optional",H76="If Applicable",H76="To Verify")),"• "&amp;G76&amp;" ("&amp;H76&amp;")",""),IF(AND(I76&lt;&gt;"",OR(J76="Optional",J76="If Applicable",J76="To Verify")),"• "&amp;I76&amp;" ("&amp;J76&amp;")",""),IF(AND(K76&lt;&gt;"",OR(L76="Optional",L76="If Applicable",L76="To Verify")),"• "&amp;K76&amp;" ("&amp;L76&amp;")",""),IF(AND(M76&lt;&gt;"",OR(N76="Optional",N76="If Applicable",N76="To Verify")),"• "&amp;M76&amp;" ("&amp;N76&amp;")",""),IF(AND(O76&lt;&gt;"",OR(P76="Optional",P76="If Applicable",P76="To Verify")),"• "&amp;O76&amp;" ("&amp;P76&amp;")",""),IF(AND(Q76&lt;&gt;"",OR(R76="Optional",R76="If Applicable",R76="To Verify")),"• "&amp;Q76&amp;" ("&amp;R76&amp;")",""))</f>
        <v>• Identity Proof (To Verify)</v>
      </c>
    </row>
    <row r="77" customFormat="false" ht="35.05" hidden="false" customHeight="false" outlineLevel="0" collapsed="false">
      <c r="A77" s="6" t="s">
        <v>973</v>
      </c>
      <c r="B77" s="7" t="str">
        <f aca="false">IF($A77="","",IFERROR(INDEX(MASTER_DATABASE!$E$4:$E$1000,MATCH($A77,MASTER_DATABASE!$A$4:$A$1000,0)),""))</f>
        <v>FINO BC – New Account Opening Assistance</v>
      </c>
      <c r="C77" s="6" t="s">
        <v>3433</v>
      </c>
      <c r="D77" s="6" t="s">
        <v>3436</v>
      </c>
      <c r="E77" s="6" t="s">
        <v>2390</v>
      </c>
      <c r="F77" s="6" t="s">
        <v>3436</v>
      </c>
      <c r="G77" s="6" t="s">
        <v>3478</v>
      </c>
      <c r="H77" s="6" t="s">
        <v>3436</v>
      </c>
      <c r="I77" s="6" t="s">
        <v>3451</v>
      </c>
      <c r="J77" s="6" t="s">
        <v>75</v>
      </c>
      <c r="K77" s="6" t="s">
        <v>3603</v>
      </c>
      <c r="L77" s="6" t="s">
        <v>3453</v>
      </c>
      <c r="M77" s="6"/>
      <c r="N77" s="6"/>
      <c r="O77" s="6"/>
      <c r="P77" s="6"/>
      <c r="Q77" s="6"/>
      <c r="R77" s="6"/>
      <c r="S77" s="7" t="str">
        <f aca="false">_xlfn.TEXTJOIN(CHAR(10),TRUE(),IF(AND(C77&lt;&gt;"",D77="Mandatory"),"✓ "&amp;C77,""),IF(AND(E77&lt;&gt;"",F77="Mandatory"),"✓ "&amp;E77,""),IF(AND(G77&lt;&gt;"",H77="Mandatory"),"✓ "&amp;G77,""),IF(AND(I77&lt;&gt;"",J77="Mandatory"),"✓ "&amp;I77,""),IF(AND(K77&lt;&gt;"",L77="Mandatory"),"✓ "&amp;K77,""),IF(AND(M77&lt;&gt;"",N77="Mandatory"),"✓ "&amp;M77,""),IF(AND(O77&lt;&gt;"",P77="Mandatory"),"✓ "&amp;O77,""),IF(AND(Q77&lt;&gt;"",R77="Mandatory"),"✓ "&amp;Q77,""))</f>
        <v>✓ Aadhaar Card
✓ Passport Photo
✓ Active Mobile Number</v>
      </c>
      <c r="T77" s="7" t="str">
        <f aca="false">_xlfn.TEXTJOIN(CHAR(10),TRUE(),IF(AND(C77&lt;&gt;"",OR(D77="Optional",D77="If Applicable",D77="To Verify")),"• "&amp;C77&amp;" ("&amp;D77&amp;")",""),IF(AND(E77&lt;&gt;"",OR(F77="Optional",F77="If Applicable",F77="To Verify")),"• "&amp;E77&amp;" ("&amp;F77&amp;")",""),IF(AND(G77&lt;&gt;"",OR(H77="Optional",H77="If Applicable",H77="To Verify")),"• "&amp;G77&amp;" ("&amp;H77&amp;")",""),IF(AND(I77&lt;&gt;"",OR(J77="Optional",J77="If Applicable",J77="To Verify")),"• "&amp;I77&amp;" ("&amp;J77&amp;")",""),IF(AND(K77&lt;&gt;"",OR(L77="Optional",L77="If Applicable",L77="To Verify")),"• "&amp;K77&amp;" ("&amp;L77&amp;")",""),IF(AND(M77&lt;&gt;"",OR(N77="Optional",N77="If Applicable",N77="To Verify")),"• "&amp;M77&amp;" ("&amp;N77&amp;")",""),IF(AND(O77&lt;&gt;"",OR(P77="Optional",P77="If Applicable",P77="To Verify")),"• "&amp;O77&amp;" ("&amp;P77&amp;")",""),IF(AND(Q77&lt;&gt;"",OR(R77="Optional",R77="If Applicable",R77="To Verify")),"• "&amp;Q77&amp;" ("&amp;R77&amp;")",""))</f>
        <v>• PAN Card (To Verify)
• Nominee Details (If Applicable)</v>
      </c>
    </row>
    <row r="78" customFormat="false" ht="35.05" hidden="false" customHeight="false" outlineLevel="0" collapsed="false">
      <c r="A78" s="6" t="s">
        <v>983</v>
      </c>
      <c r="B78" s="7" t="str">
        <f aca="false">IF($A78="","",IFERROR(INDEX(MASTER_DATABASE!$E$4:$E$1000,MATCH($A78,MASTER_DATABASE!$A$4:$A$1000,0)),""))</f>
        <v>FINO BC – Account Mobile Number Update</v>
      </c>
      <c r="C78" s="6" t="s">
        <v>3433</v>
      </c>
      <c r="D78" s="6" t="s">
        <v>3436</v>
      </c>
      <c r="E78" s="6" t="s">
        <v>3611</v>
      </c>
      <c r="F78" s="6" t="s">
        <v>3436</v>
      </c>
      <c r="G78" s="6" t="s">
        <v>3478</v>
      </c>
      <c r="H78" s="6" t="s">
        <v>3436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7" t="str">
        <f aca="false">_xlfn.TEXTJOIN(CHAR(10),TRUE(),IF(AND(C78&lt;&gt;"",D78="Mandatory"),"✓ "&amp;C78,""),IF(AND(E78&lt;&gt;"",F78="Mandatory"),"✓ "&amp;E78,""),IF(AND(G78&lt;&gt;"",H78="Mandatory"),"✓ "&amp;G78,""),IF(AND(I78&lt;&gt;"",J78="Mandatory"),"✓ "&amp;I78,""),IF(AND(K78&lt;&gt;"",L78="Mandatory"),"✓ "&amp;K78,""),IF(AND(M78&lt;&gt;"",N78="Mandatory"),"✓ "&amp;M78,""),IF(AND(O78&lt;&gt;"",P78="Mandatory"),"✓ "&amp;O78,""),IF(AND(Q78&lt;&gt;"",R78="Mandatory"),"✓ "&amp;Q78,""))</f>
        <v>✓ Aadhaar Card
✓ Bank Account Number
✓ Active Mobile Number</v>
      </c>
      <c r="T78" s="7" t="str">
        <f aca="false">_xlfn.TEXTJOIN(CHAR(10),TRUE(),IF(AND(C78&lt;&gt;"",OR(D78="Optional",D78="If Applicable",D78="To Verify")),"• "&amp;C78&amp;" ("&amp;D78&amp;")",""),IF(AND(E78&lt;&gt;"",OR(F78="Optional",F78="If Applicable",F78="To Verify")),"• "&amp;E78&amp;" ("&amp;F78&amp;")",""),IF(AND(G78&lt;&gt;"",OR(H78="Optional",H78="If Applicable",H78="To Verify")),"• "&amp;G78&amp;" ("&amp;H78&amp;")",""),IF(AND(I78&lt;&gt;"",OR(J78="Optional",J78="If Applicable",J78="To Verify")),"• "&amp;I78&amp;" ("&amp;J78&amp;")",""),IF(AND(K78&lt;&gt;"",OR(L78="Optional",L78="If Applicable",L78="To Verify")),"• "&amp;K78&amp;" ("&amp;L78&amp;")",""),IF(AND(M78&lt;&gt;"",OR(N78="Optional",N78="If Applicable",N78="To Verify")),"• "&amp;M78&amp;" ("&amp;N78&amp;")",""),IF(AND(O78&lt;&gt;"",OR(P78="Optional",P78="If Applicable",P78="To Verify")),"• "&amp;O78&amp;" ("&amp;P78&amp;")",""),IF(AND(Q78&lt;&gt;"",OR(R78="Optional",R78="If Applicable",R78="To Verify")),"• "&amp;Q78&amp;" ("&amp;R78&amp;")",""))</f>
        <v/>
      </c>
    </row>
    <row r="79" customFormat="false" ht="35.05" hidden="false" customHeight="false" outlineLevel="0" collapsed="false">
      <c r="A79" s="6" t="s">
        <v>994</v>
      </c>
      <c r="B79" s="7" t="str">
        <f aca="false">IF($A79="","",IFERROR(INDEX(MASTER_DATABASE!$E$4:$E$1000,MATCH($A79,MASTER_DATABASE!$A$4:$A$1000,0)),""))</f>
        <v>FINO BC – KYC Document Collection / Update</v>
      </c>
      <c r="C79" s="6" t="s">
        <v>3433</v>
      </c>
      <c r="D79" s="6" t="s">
        <v>3436</v>
      </c>
      <c r="E79" s="6" t="s">
        <v>3461</v>
      </c>
      <c r="F79" s="6" t="s">
        <v>75</v>
      </c>
      <c r="G79" s="6" t="s">
        <v>3456</v>
      </c>
      <c r="H79" s="6" t="s">
        <v>75</v>
      </c>
      <c r="I79" s="6" t="s">
        <v>2390</v>
      </c>
      <c r="J79" s="6" t="s">
        <v>75</v>
      </c>
      <c r="K79" s="6"/>
      <c r="L79" s="6"/>
      <c r="M79" s="6"/>
      <c r="N79" s="6"/>
      <c r="O79" s="6"/>
      <c r="P79" s="6"/>
      <c r="Q79" s="6"/>
      <c r="R79" s="6"/>
      <c r="S79" s="7" t="str">
        <f aca="false">_xlfn.TEXTJOIN(CHAR(10),TRUE(),IF(AND(C79&lt;&gt;"",D79="Mandatory"),"✓ "&amp;C79,""),IF(AND(E79&lt;&gt;"",F79="Mandatory"),"✓ "&amp;E79,""),IF(AND(G79&lt;&gt;"",H79="Mandatory"),"✓ "&amp;G79,""),IF(AND(I79&lt;&gt;"",J79="Mandatory"),"✓ "&amp;I79,""),IF(AND(K79&lt;&gt;"",L79="Mandatory"),"✓ "&amp;K79,""),IF(AND(M79&lt;&gt;"",N79="Mandatory"),"✓ "&amp;M79,""),IF(AND(O79&lt;&gt;"",P79="Mandatory"),"✓ "&amp;O79,""),IF(AND(Q79&lt;&gt;"",R79="Mandatory"),"✓ "&amp;Q79,""))</f>
        <v>✓ Aadhaar Card</v>
      </c>
      <c r="T79" s="7" t="str">
        <f aca="false">_xlfn.TEXTJOIN(CHAR(10),TRUE(),IF(AND(C79&lt;&gt;"",OR(D79="Optional",D79="If Applicable",D79="To Verify")),"• "&amp;C79&amp;" ("&amp;D79&amp;")",""),IF(AND(E79&lt;&gt;"",OR(F79="Optional",F79="If Applicable",F79="To Verify")),"• "&amp;E79&amp;" ("&amp;F79&amp;")",""),IF(AND(G79&lt;&gt;"",OR(H79="Optional",H79="If Applicable",H79="To Verify")),"• "&amp;G79&amp;" ("&amp;H79&amp;")",""),IF(AND(I79&lt;&gt;"",OR(J79="Optional",J79="If Applicable",J79="To Verify")),"• "&amp;I79&amp;" ("&amp;J79&amp;")",""),IF(AND(K79&lt;&gt;"",OR(L79="Optional",L79="If Applicable",L79="To Verify")),"• "&amp;K79&amp;" ("&amp;L79&amp;")",""),IF(AND(M79&lt;&gt;"",OR(N79="Optional",N79="If Applicable",N79="To Verify")),"• "&amp;M79&amp;" ("&amp;N79&amp;")",""),IF(AND(O79&lt;&gt;"",OR(P79="Optional",P79="If Applicable",P79="To Verify")),"• "&amp;O79&amp;" ("&amp;P79&amp;")",""),IF(AND(Q79&lt;&gt;"",OR(R79="Optional",R79="If Applicable",R79="To Verify")),"• "&amp;Q79&amp;" ("&amp;R79&amp;")",""))</f>
        <v>• Identity Proof (To Verify)
• Address Proof (To Verify)
• Passport Photo (To Verify)</v>
      </c>
    </row>
    <row r="80" customFormat="false" ht="35.05" hidden="false" customHeight="false" outlineLevel="0" collapsed="false">
      <c r="A80" s="6" t="s">
        <v>1003</v>
      </c>
      <c r="B80" s="7" t="str">
        <f aca="false">IF($A80="","",IFERROR(INDEX(MASTER_DATABASE!$E$4:$E$1000,MATCH($A80,MASTER_DATABASE!$A$4:$A$1000,0)),""))</f>
        <v>FINO BC – Account Query / Complaint Assistance</v>
      </c>
      <c r="C80" s="6" t="s">
        <v>3433</v>
      </c>
      <c r="D80" s="6" t="s">
        <v>3436</v>
      </c>
      <c r="E80" s="6" t="s">
        <v>3611</v>
      </c>
      <c r="F80" s="6" t="s">
        <v>3436</v>
      </c>
      <c r="G80" s="6" t="s">
        <v>3478</v>
      </c>
      <c r="H80" s="6" t="s">
        <v>3436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7" t="str">
        <f aca="false">_xlfn.TEXTJOIN(CHAR(10),TRUE(),IF(AND(C80&lt;&gt;"",D80="Mandatory"),"✓ "&amp;C80,""),IF(AND(E80&lt;&gt;"",F80="Mandatory"),"✓ "&amp;E80,""),IF(AND(G80&lt;&gt;"",H80="Mandatory"),"✓ "&amp;G80,""),IF(AND(I80&lt;&gt;"",J80="Mandatory"),"✓ "&amp;I80,""),IF(AND(K80&lt;&gt;"",L80="Mandatory"),"✓ "&amp;K80,""),IF(AND(M80&lt;&gt;"",N80="Mandatory"),"✓ "&amp;M80,""),IF(AND(O80&lt;&gt;"",P80="Mandatory"),"✓ "&amp;O80,""),IF(AND(Q80&lt;&gt;"",R80="Mandatory"),"✓ "&amp;Q80,""))</f>
        <v>✓ Aadhaar Card
✓ Bank Account Number
✓ Active Mobile Number</v>
      </c>
      <c r="T80" s="7" t="str">
        <f aca="false">_xlfn.TEXTJOIN(CHAR(10),TRUE(),IF(AND(C80&lt;&gt;"",OR(D80="Optional",D80="If Applicable",D80="To Verify")),"• "&amp;C80&amp;" ("&amp;D80&amp;")",""),IF(AND(E80&lt;&gt;"",OR(F80="Optional",F80="If Applicable",F80="To Verify")),"• "&amp;E80&amp;" ("&amp;F80&amp;")",""),IF(AND(G80&lt;&gt;"",OR(H80="Optional",H80="If Applicable",H80="To Verify")),"• "&amp;G80&amp;" ("&amp;H80&amp;")",""),IF(AND(I80&lt;&gt;"",OR(J80="Optional",J80="If Applicable",J80="To Verify")),"• "&amp;I80&amp;" ("&amp;J80&amp;")",""),IF(AND(K80&lt;&gt;"",OR(L80="Optional",L80="If Applicable",L80="To Verify")),"• "&amp;K80&amp;" ("&amp;L80&amp;")",""),IF(AND(M80&lt;&gt;"",OR(N80="Optional",N80="If Applicable",N80="To Verify")),"• "&amp;M80&amp;" ("&amp;N80&amp;")",""),IF(AND(O80&lt;&gt;"",OR(P80="Optional",P80="If Applicable",P80="To Verify")),"• "&amp;O80&amp;" ("&amp;P80&amp;")",""),IF(AND(Q80&lt;&gt;"",OR(R80="Optional",R80="If Applicable",R80="To Verify")),"• "&amp;Q80&amp;" ("&amp;R80&amp;")",""))</f>
        <v/>
      </c>
    </row>
    <row r="81" customFormat="false" ht="15" hidden="false" customHeight="false" outlineLevel="0" collapsed="false">
      <c r="A81" s="6" t="s">
        <v>1014</v>
      </c>
      <c r="B81" s="7" t="str">
        <f aca="false">IF($A81="","",IFERROR(INDEX(MASTER_DATABASE!$E$4:$E$1000,MATCH($A81,MASTER_DATABASE!$A$4:$A$1000,0)),""))</f>
        <v>FINO BC – Payment Services (via FINO)</v>
      </c>
      <c r="C81" s="6" t="s">
        <v>3527</v>
      </c>
      <c r="D81" s="6" t="s">
        <v>3436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 t="str">
        <f aca="false">_xlfn.TEXTJOIN(CHAR(10),TRUE(),IF(AND(C81&lt;&gt;"",D81="Mandatory"),"✓ "&amp;C81,""),IF(AND(E81&lt;&gt;"",F81="Mandatory"),"✓ "&amp;E81,""),IF(AND(G81&lt;&gt;"",H81="Mandatory"),"✓ "&amp;G81,""),IF(AND(I81&lt;&gt;"",J81="Mandatory"),"✓ "&amp;I81,""),IF(AND(K81&lt;&gt;"",L81="Mandatory"),"✓ "&amp;K81,""),IF(AND(M81&lt;&gt;"",N81="Mandatory"),"✓ "&amp;M81,""),IF(AND(O81&lt;&gt;"",P81="Mandatory"),"✓ "&amp;O81,""),IF(AND(Q81&lt;&gt;"",R81="Mandatory"),"✓ "&amp;Q81,""))</f>
        <v>✓ Consumer / Account Number</v>
      </c>
      <c r="T81" s="7" t="str">
        <f aca="false">_xlfn.TEXTJOIN(CHAR(10),TRUE(),IF(AND(C81&lt;&gt;"",OR(D81="Optional",D81="If Applicable",D81="To Verify")),"• "&amp;C81&amp;" ("&amp;D81&amp;")",""),IF(AND(E81&lt;&gt;"",OR(F81="Optional",F81="If Applicable",F81="To Verify")),"• "&amp;E81&amp;" ("&amp;F81&amp;")",""),IF(AND(G81&lt;&gt;"",OR(H81="Optional",H81="If Applicable",H81="To Verify")),"• "&amp;G81&amp;" ("&amp;H81&amp;")",""),IF(AND(I81&lt;&gt;"",OR(J81="Optional",J81="If Applicable",J81="To Verify")),"• "&amp;I81&amp;" ("&amp;J81&amp;")",""),IF(AND(K81&lt;&gt;"",OR(L81="Optional",L81="If Applicable",L81="To Verify")),"• "&amp;K81&amp;" ("&amp;L81&amp;")",""),IF(AND(M81&lt;&gt;"",OR(N81="Optional",N81="If Applicable",N81="To Verify")),"• "&amp;M81&amp;" ("&amp;N81&amp;")",""),IF(AND(O81&lt;&gt;"",OR(P81="Optional",P81="If Applicable",P81="To Verify")),"• "&amp;O81&amp;" ("&amp;P81&amp;")",""),IF(AND(Q81&lt;&gt;"",OR(R81="Optional",R81="If Applicable",R81="To Verify")),"• "&amp;Q81&amp;" ("&amp;R81&amp;")",""))</f>
        <v/>
      </c>
    </row>
    <row r="82" customFormat="false" ht="35.05" hidden="false" customHeight="false" outlineLevel="0" collapsed="false">
      <c r="A82" s="6" t="s">
        <v>1028</v>
      </c>
      <c r="B82" s="7" t="str">
        <f aca="false">IF($A82="","",IFERROR(INDEX(MASTER_DATABASE!$E$4:$E$1000,MATCH($A82,MASTER_DATABASE!$A$4:$A$1000,0)),""))</f>
        <v>Income Certificate – Application</v>
      </c>
      <c r="C82" s="6" t="s">
        <v>3433</v>
      </c>
      <c r="D82" s="6" t="s">
        <v>3436</v>
      </c>
      <c r="E82" s="6" t="s">
        <v>2390</v>
      </c>
      <c r="F82" s="6" t="s">
        <v>3436</v>
      </c>
      <c r="G82" s="6" t="s">
        <v>3456</v>
      </c>
      <c r="H82" s="6" t="s">
        <v>75</v>
      </c>
      <c r="I82" s="6" t="s">
        <v>3478</v>
      </c>
      <c r="J82" s="6" t="s">
        <v>3436</v>
      </c>
      <c r="K82" s="6" t="s">
        <v>3503</v>
      </c>
      <c r="L82" s="6" t="s">
        <v>75</v>
      </c>
      <c r="M82" s="6"/>
      <c r="N82" s="6"/>
      <c r="O82" s="6"/>
      <c r="P82" s="6"/>
      <c r="Q82" s="6"/>
      <c r="R82" s="6"/>
      <c r="S82" s="7" t="str">
        <f aca="false">_xlfn.TEXTJOIN(CHAR(10),TRUE(),IF(AND(C82&lt;&gt;"",D82="Mandatory"),"✓ "&amp;C82,""),IF(AND(E82&lt;&gt;"",F82="Mandatory"),"✓ "&amp;E82,""),IF(AND(G82&lt;&gt;"",H82="Mandatory"),"✓ "&amp;G82,""),IF(AND(I82&lt;&gt;"",J82="Mandatory"),"✓ "&amp;I82,""),IF(AND(K82&lt;&gt;"",L82="Mandatory"),"✓ "&amp;K82,""),IF(AND(M82&lt;&gt;"",N82="Mandatory"),"✓ "&amp;M82,""),IF(AND(O82&lt;&gt;"",P82="Mandatory"),"✓ "&amp;O82,""),IF(AND(Q82&lt;&gt;"",R82="Mandatory"),"✓ "&amp;Q82,""))</f>
        <v>✓ Aadhaar Card
✓ Passport Photo
✓ Active Mobile Number</v>
      </c>
      <c r="T82" s="7" t="str">
        <f aca="false">_xlfn.TEXTJOIN(CHAR(10),TRUE(),IF(AND(C82&lt;&gt;"",OR(D82="Optional",D82="If Applicable",D82="To Verify")),"• "&amp;C82&amp;" ("&amp;D82&amp;")",""),IF(AND(E82&lt;&gt;"",OR(F82="Optional",F82="If Applicable",F82="To Verify")),"• "&amp;E82&amp;" ("&amp;F82&amp;")",""),IF(AND(G82&lt;&gt;"",OR(H82="Optional",H82="If Applicable",H82="To Verify")),"• "&amp;G82&amp;" ("&amp;H82&amp;")",""),IF(AND(I82&lt;&gt;"",OR(J82="Optional",J82="If Applicable",J82="To Verify")),"• "&amp;I82&amp;" ("&amp;J82&amp;")",""),IF(AND(K82&lt;&gt;"",OR(L82="Optional",L82="If Applicable",L82="To Verify")),"• "&amp;K82&amp;" ("&amp;L82&amp;")",""),IF(AND(M82&lt;&gt;"",OR(N82="Optional",N82="If Applicable",N82="To Verify")),"• "&amp;M82&amp;" ("&amp;N82&amp;")",""),IF(AND(O82&lt;&gt;"",OR(P82="Optional",P82="If Applicable",P82="To Verify")),"• "&amp;O82&amp;" ("&amp;P82&amp;")",""),IF(AND(Q82&lt;&gt;"",OR(R82="Optional",R82="If Applicable",R82="To Verify")),"• "&amp;Q82&amp;" ("&amp;R82&amp;")",""))</f>
        <v>• Address Proof (To Verify)
• Income Proof / Self-Declaration (To Verify)</v>
      </c>
    </row>
    <row r="83" customFormat="false" ht="35.05" hidden="false" customHeight="false" outlineLevel="0" collapsed="false">
      <c r="A83" s="6" t="s">
        <v>1047</v>
      </c>
      <c r="B83" s="7" t="str">
        <f aca="false">IF($A83="","",IFERROR(INDEX(MASTER_DATABASE!$E$4:$E$1000,MATCH($A83,MASTER_DATABASE!$A$4:$A$1000,0)),""))</f>
        <v>Caste Certificate – Application</v>
      </c>
      <c r="C83" s="6" t="s">
        <v>3433</v>
      </c>
      <c r="D83" s="6" t="s">
        <v>3436</v>
      </c>
      <c r="E83" s="6" t="s">
        <v>2390</v>
      </c>
      <c r="F83" s="6" t="s">
        <v>3436</v>
      </c>
      <c r="G83" s="6" t="s">
        <v>3456</v>
      </c>
      <c r="H83" s="6" t="s">
        <v>75</v>
      </c>
      <c r="I83" s="6" t="s">
        <v>3478</v>
      </c>
      <c r="J83" s="6" t="s">
        <v>3436</v>
      </c>
      <c r="K83" s="6" t="s">
        <v>3507</v>
      </c>
      <c r="L83" s="6" t="s">
        <v>75</v>
      </c>
      <c r="M83" s="6"/>
      <c r="N83" s="6"/>
      <c r="O83" s="6"/>
      <c r="P83" s="6"/>
      <c r="Q83" s="6"/>
      <c r="R83" s="6"/>
      <c r="S83" s="7" t="str">
        <f aca="false">_xlfn.TEXTJOIN(CHAR(10),TRUE(),IF(AND(C83&lt;&gt;"",D83="Mandatory"),"✓ "&amp;C83,""),IF(AND(E83&lt;&gt;"",F83="Mandatory"),"✓ "&amp;E83,""),IF(AND(G83&lt;&gt;"",H83="Mandatory"),"✓ "&amp;G83,""),IF(AND(I83&lt;&gt;"",J83="Mandatory"),"✓ "&amp;I83,""),IF(AND(K83&lt;&gt;"",L83="Mandatory"),"✓ "&amp;K83,""),IF(AND(M83&lt;&gt;"",N83="Mandatory"),"✓ "&amp;M83,""),IF(AND(O83&lt;&gt;"",P83="Mandatory"),"✓ "&amp;O83,""),IF(AND(Q83&lt;&gt;"",R83="Mandatory"),"✓ "&amp;Q83,""))</f>
        <v>✓ Aadhaar Card
✓ Passport Photo
✓ Active Mobile Number</v>
      </c>
      <c r="T83" s="7" t="str">
        <f aca="false">_xlfn.TEXTJOIN(CHAR(10),TRUE(),IF(AND(C83&lt;&gt;"",OR(D83="Optional",D83="If Applicable",D83="To Verify")),"• "&amp;C83&amp;" ("&amp;D83&amp;")",""),IF(AND(E83&lt;&gt;"",OR(F83="Optional",F83="If Applicable",F83="To Verify")),"• "&amp;E83&amp;" ("&amp;F83&amp;")",""),IF(AND(G83&lt;&gt;"",OR(H83="Optional",H83="If Applicable",H83="To Verify")),"• "&amp;G83&amp;" ("&amp;H83&amp;")",""),IF(AND(I83&lt;&gt;"",OR(J83="Optional",J83="If Applicable",J83="To Verify")),"• "&amp;I83&amp;" ("&amp;J83&amp;")",""),IF(AND(K83&lt;&gt;"",OR(L83="Optional",L83="If Applicable",L83="To Verify")),"• "&amp;K83&amp;" ("&amp;L83&amp;")",""),IF(AND(M83&lt;&gt;"",OR(N83="Optional",N83="If Applicable",N83="To Verify")),"• "&amp;M83&amp;" ("&amp;N83&amp;")",""),IF(AND(O83&lt;&gt;"",OR(P83="Optional",P83="If Applicable",P83="To Verify")),"• "&amp;O83&amp;" ("&amp;P83&amp;")",""),IF(AND(Q83&lt;&gt;"",OR(R83="Optional",R83="If Applicable",R83="To Verify")),"• "&amp;Q83&amp;" ("&amp;R83&amp;")",""))</f>
        <v>• Address Proof (To Verify)
• Caste Certificate / Proof (To Verify)</v>
      </c>
    </row>
    <row r="84" customFormat="false" ht="35.05" hidden="false" customHeight="false" outlineLevel="0" collapsed="false">
      <c r="A84" s="6" t="s">
        <v>1059</v>
      </c>
      <c r="B84" s="7" t="str">
        <f aca="false">IF($A84="","",IFERROR(INDEX(MASTER_DATABASE!$E$4:$E$1000,MATCH($A84,MASTER_DATABASE!$A$4:$A$1000,0)),""))</f>
        <v>Residence Certificate – Application</v>
      </c>
      <c r="C84" s="6" t="s">
        <v>3433</v>
      </c>
      <c r="D84" s="6" t="s">
        <v>3436</v>
      </c>
      <c r="E84" s="6" t="s">
        <v>2390</v>
      </c>
      <c r="F84" s="6" t="s">
        <v>3436</v>
      </c>
      <c r="G84" s="6" t="s">
        <v>3456</v>
      </c>
      <c r="H84" s="6" t="s">
        <v>75</v>
      </c>
      <c r="I84" s="6" t="s">
        <v>3478</v>
      </c>
      <c r="J84" s="6" t="s">
        <v>3436</v>
      </c>
      <c r="K84" s="6"/>
      <c r="L84" s="6"/>
      <c r="M84" s="6"/>
      <c r="N84" s="6"/>
      <c r="O84" s="6"/>
      <c r="P84" s="6"/>
      <c r="Q84" s="6"/>
      <c r="R84" s="6"/>
      <c r="S84" s="7" t="str">
        <f aca="false">_xlfn.TEXTJOIN(CHAR(10),TRUE(),IF(AND(C84&lt;&gt;"",D84="Mandatory"),"✓ "&amp;C84,""),IF(AND(E84&lt;&gt;"",F84="Mandatory"),"✓ "&amp;E84,""),IF(AND(G84&lt;&gt;"",H84="Mandatory"),"✓ "&amp;G84,""),IF(AND(I84&lt;&gt;"",J84="Mandatory"),"✓ "&amp;I84,""),IF(AND(K84&lt;&gt;"",L84="Mandatory"),"✓ "&amp;K84,""),IF(AND(M84&lt;&gt;"",N84="Mandatory"),"✓ "&amp;M84,""),IF(AND(O84&lt;&gt;"",P84="Mandatory"),"✓ "&amp;O84,""),IF(AND(Q84&lt;&gt;"",R84="Mandatory"),"✓ "&amp;Q84,""))</f>
        <v>✓ Aadhaar Card
✓ Passport Photo
✓ Active Mobile Number</v>
      </c>
      <c r="T84" s="7" t="str">
        <f aca="false">_xlfn.TEXTJOIN(CHAR(10),TRUE(),IF(AND(C84&lt;&gt;"",OR(D84="Optional",D84="If Applicable",D84="To Verify")),"• "&amp;C84&amp;" ("&amp;D84&amp;")",""),IF(AND(E84&lt;&gt;"",OR(F84="Optional",F84="If Applicable",F84="To Verify")),"• "&amp;E84&amp;" ("&amp;F84&amp;")",""),IF(AND(G84&lt;&gt;"",OR(H84="Optional",H84="If Applicable",H84="To Verify")),"• "&amp;G84&amp;" ("&amp;H84&amp;")",""),IF(AND(I84&lt;&gt;"",OR(J84="Optional",J84="If Applicable",J84="To Verify")),"• "&amp;I84&amp;" ("&amp;J84&amp;")",""),IF(AND(K84&lt;&gt;"",OR(L84="Optional",L84="If Applicable",L84="To Verify")),"• "&amp;K84&amp;" ("&amp;L84&amp;")",""),IF(AND(M84&lt;&gt;"",OR(N84="Optional",N84="If Applicable",N84="To Verify")),"• "&amp;M84&amp;" ("&amp;N84&amp;")",""),IF(AND(O84&lt;&gt;"",OR(P84="Optional",P84="If Applicable",P84="To Verify")),"• "&amp;O84&amp;" ("&amp;P84&amp;")",""),IF(AND(Q84&lt;&gt;"",OR(R84="Optional",R84="If Applicable",R84="To Verify")),"• "&amp;Q84&amp;" ("&amp;R84&amp;")",""))</f>
        <v>• Address Proof (To Verify)</v>
      </c>
    </row>
    <row r="85" customFormat="false" ht="35.05" hidden="false" customHeight="false" outlineLevel="0" collapsed="false">
      <c r="A85" s="6" t="s">
        <v>1071</v>
      </c>
      <c r="B85" s="7" t="str">
        <f aca="false">IF($A85="","",IFERROR(INDEX(MASTER_DATABASE!$E$4:$E$1000,MATCH($A85,MASTER_DATABASE!$A$4:$A$1000,0)),""))</f>
        <v>EWS Certificate – Application</v>
      </c>
      <c r="C85" s="6" t="s">
        <v>3433</v>
      </c>
      <c r="D85" s="6" t="s">
        <v>3436</v>
      </c>
      <c r="E85" s="6" t="s">
        <v>2390</v>
      </c>
      <c r="F85" s="6" t="s">
        <v>3436</v>
      </c>
      <c r="G85" s="6" t="s">
        <v>3456</v>
      </c>
      <c r="H85" s="6" t="s">
        <v>75</v>
      </c>
      <c r="I85" s="6" t="s">
        <v>3478</v>
      </c>
      <c r="J85" s="6" t="s">
        <v>3436</v>
      </c>
      <c r="K85" s="6" t="s">
        <v>3503</v>
      </c>
      <c r="L85" s="6" t="s">
        <v>75</v>
      </c>
      <c r="M85" s="6"/>
      <c r="N85" s="6"/>
      <c r="O85" s="6"/>
      <c r="P85" s="6"/>
      <c r="Q85" s="6"/>
      <c r="R85" s="6"/>
      <c r="S85" s="7" t="str">
        <f aca="false">_xlfn.TEXTJOIN(CHAR(10),TRUE(),IF(AND(C85&lt;&gt;"",D85="Mandatory"),"✓ "&amp;C85,""),IF(AND(E85&lt;&gt;"",F85="Mandatory"),"✓ "&amp;E85,""),IF(AND(G85&lt;&gt;"",H85="Mandatory"),"✓ "&amp;G85,""),IF(AND(I85&lt;&gt;"",J85="Mandatory"),"✓ "&amp;I85,""),IF(AND(K85&lt;&gt;"",L85="Mandatory"),"✓ "&amp;K85,""),IF(AND(M85&lt;&gt;"",N85="Mandatory"),"✓ "&amp;M85,""),IF(AND(O85&lt;&gt;"",P85="Mandatory"),"✓ "&amp;O85,""),IF(AND(Q85&lt;&gt;"",R85="Mandatory"),"✓ "&amp;Q85,""))</f>
        <v>✓ Aadhaar Card
✓ Passport Photo
✓ Active Mobile Number</v>
      </c>
      <c r="T85" s="7" t="str">
        <f aca="false">_xlfn.TEXTJOIN(CHAR(10),TRUE(),IF(AND(C85&lt;&gt;"",OR(D85="Optional",D85="If Applicable",D85="To Verify")),"• "&amp;C85&amp;" ("&amp;D85&amp;")",""),IF(AND(E85&lt;&gt;"",OR(F85="Optional",F85="If Applicable",F85="To Verify")),"• "&amp;E85&amp;" ("&amp;F85&amp;")",""),IF(AND(G85&lt;&gt;"",OR(H85="Optional",H85="If Applicable",H85="To Verify")),"• "&amp;G85&amp;" ("&amp;H85&amp;")",""),IF(AND(I85&lt;&gt;"",OR(J85="Optional",J85="If Applicable",J85="To Verify")),"• "&amp;I85&amp;" ("&amp;J85&amp;")",""),IF(AND(K85&lt;&gt;"",OR(L85="Optional",L85="If Applicable",L85="To Verify")),"• "&amp;K85&amp;" ("&amp;L85&amp;")",""),IF(AND(M85&lt;&gt;"",OR(N85="Optional",N85="If Applicable",N85="To Verify")),"• "&amp;M85&amp;" ("&amp;N85&amp;")",""),IF(AND(O85&lt;&gt;"",OR(P85="Optional",P85="If Applicable",P85="To Verify")),"• "&amp;O85&amp;" ("&amp;P85&amp;")",""),IF(AND(Q85&lt;&gt;"",OR(R85="Optional",R85="If Applicable",R85="To Verify")),"• "&amp;Q85&amp;" ("&amp;R85&amp;")",""))</f>
        <v>• Address Proof (To Verify)
• Income Proof / Self-Declaration (To Verify)</v>
      </c>
    </row>
    <row r="86" customFormat="false" ht="35.05" hidden="false" customHeight="false" outlineLevel="0" collapsed="false">
      <c r="A86" s="6" t="s">
        <v>1083</v>
      </c>
      <c r="B86" s="7" t="str">
        <f aca="false">IF($A86="","",IFERROR(INDEX(MASTER_DATABASE!$E$4:$E$1000,MATCH($A86,MASTER_DATABASE!$A$4:$A$1000,0)),""))</f>
        <v>Non-Creamy Layer (OBC / EBC) Certificate – Application</v>
      </c>
      <c r="C86" s="6" t="s">
        <v>3433</v>
      </c>
      <c r="D86" s="6" t="s">
        <v>3436</v>
      </c>
      <c r="E86" s="6" t="s">
        <v>2390</v>
      </c>
      <c r="F86" s="6" t="s">
        <v>3436</v>
      </c>
      <c r="G86" s="6" t="s">
        <v>3456</v>
      </c>
      <c r="H86" s="6" t="s">
        <v>75</v>
      </c>
      <c r="I86" s="6" t="s">
        <v>3478</v>
      </c>
      <c r="J86" s="6" t="s">
        <v>3436</v>
      </c>
      <c r="K86" s="6" t="s">
        <v>3507</v>
      </c>
      <c r="L86" s="6" t="s">
        <v>75</v>
      </c>
      <c r="M86" s="6"/>
      <c r="N86" s="6"/>
      <c r="O86" s="6"/>
      <c r="P86" s="6"/>
      <c r="Q86" s="6"/>
      <c r="R86" s="6"/>
      <c r="S86" s="7" t="str">
        <f aca="false">_xlfn.TEXTJOIN(CHAR(10),TRUE(),IF(AND(C86&lt;&gt;"",D86="Mandatory"),"✓ "&amp;C86,""),IF(AND(E86&lt;&gt;"",F86="Mandatory"),"✓ "&amp;E86,""),IF(AND(G86&lt;&gt;"",H86="Mandatory"),"✓ "&amp;G86,""),IF(AND(I86&lt;&gt;"",J86="Mandatory"),"✓ "&amp;I86,""),IF(AND(K86&lt;&gt;"",L86="Mandatory"),"✓ "&amp;K86,""),IF(AND(M86&lt;&gt;"",N86="Mandatory"),"✓ "&amp;M86,""),IF(AND(O86&lt;&gt;"",P86="Mandatory"),"✓ "&amp;O86,""),IF(AND(Q86&lt;&gt;"",R86="Mandatory"),"✓ "&amp;Q86,""))</f>
        <v>✓ Aadhaar Card
✓ Passport Photo
✓ Active Mobile Number</v>
      </c>
      <c r="T86" s="7" t="str">
        <f aca="false">_xlfn.TEXTJOIN(CHAR(10),TRUE(),IF(AND(C86&lt;&gt;"",OR(D86="Optional",D86="If Applicable",D86="To Verify")),"• "&amp;C86&amp;" ("&amp;D86&amp;")",""),IF(AND(E86&lt;&gt;"",OR(F86="Optional",F86="If Applicable",F86="To Verify")),"• "&amp;E86&amp;" ("&amp;F86&amp;")",""),IF(AND(G86&lt;&gt;"",OR(H86="Optional",H86="If Applicable",H86="To Verify")),"• "&amp;G86&amp;" ("&amp;H86&amp;")",""),IF(AND(I86&lt;&gt;"",OR(J86="Optional",J86="If Applicable",J86="To Verify")),"• "&amp;I86&amp;" ("&amp;J86&amp;")",""),IF(AND(K86&lt;&gt;"",OR(L86="Optional",L86="If Applicable",L86="To Verify")),"• "&amp;K86&amp;" ("&amp;L86&amp;")",""),IF(AND(M86&lt;&gt;"",OR(N86="Optional",N86="If Applicable",N86="To Verify")),"• "&amp;M86&amp;" ("&amp;N86&amp;")",""),IF(AND(O86&lt;&gt;"",OR(P86="Optional",P86="If Applicable",P86="To Verify")),"• "&amp;O86&amp;" ("&amp;P86&amp;")",""),IF(AND(Q86&lt;&gt;"",OR(R86="Optional",R86="If Applicable",R86="To Verify")),"• "&amp;Q86&amp;" ("&amp;R86&amp;")",""))</f>
        <v>• Address Proof (To Verify)
• Caste Certificate / Proof (To Verify)</v>
      </c>
    </row>
    <row r="87" customFormat="false" ht="35.05" hidden="false" customHeight="false" outlineLevel="0" collapsed="false">
      <c r="A87" s="6" t="s">
        <v>1095</v>
      </c>
      <c r="B87" s="7" t="str">
        <f aca="false">IF($A87="","",IFERROR(INDEX(MASTER_DATABASE!$E$4:$E$1000,MATCH($A87,MASTER_DATABASE!$A$4:$A$1000,0)),""))</f>
        <v>Birth Certificate – Application</v>
      </c>
      <c r="C87" s="6" t="s">
        <v>3433</v>
      </c>
      <c r="D87" s="6" t="s">
        <v>3436</v>
      </c>
      <c r="E87" s="6" t="s">
        <v>2390</v>
      </c>
      <c r="F87" s="6" t="s">
        <v>3436</v>
      </c>
      <c r="G87" s="6" t="s">
        <v>3456</v>
      </c>
      <c r="H87" s="6" t="s">
        <v>75</v>
      </c>
      <c r="I87" s="6" t="s">
        <v>3478</v>
      </c>
      <c r="J87" s="6" t="s">
        <v>3436</v>
      </c>
      <c r="K87" s="6" t="s">
        <v>3496</v>
      </c>
      <c r="L87" s="6" t="s">
        <v>75</v>
      </c>
      <c r="M87" s="6"/>
      <c r="N87" s="6"/>
      <c r="O87" s="6"/>
      <c r="P87" s="6"/>
      <c r="Q87" s="6"/>
      <c r="R87" s="6"/>
      <c r="S87" s="7" t="str">
        <f aca="false">_xlfn.TEXTJOIN(CHAR(10),TRUE(),IF(AND(C87&lt;&gt;"",D87="Mandatory"),"✓ "&amp;C87,""),IF(AND(E87&lt;&gt;"",F87="Mandatory"),"✓ "&amp;E87,""),IF(AND(G87&lt;&gt;"",H87="Mandatory"),"✓ "&amp;G87,""),IF(AND(I87&lt;&gt;"",J87="Mandatory"),"✓ "&amp;I87,""),IF(AND(K87&lt;&gt;"",L87="Mandatory"),"✓ "&amp;K87,""),IF(AND(M87&lt;&gt;"",N87="Mandatory"),"✓ "&amp;M87,""),IF(AND(O87&lt;&gt;"",P87="Mandatory"),"✓ "&amp;O87,""),IF(AND(Q87&lt;&gt;"",R87="Mandatory"),"✓ "&amp;Q87,""))</f>
        <v>✓ Aadhaar Card
✓ Passport Photo
✓ Active Mobile Number</v>
      </c>
      <c r="T87" s="7" t="str">
        <f aca="false">_xlfn.TEXTJOIN(CHAR(10),TRUE(),IF(AND(C87&lt;&gt;"",OR(D87="Optional",D87="If Applicable",D87="To Verify")),"• "&amp;C87&amp;" ("&amp;D87&amp;")",""),IF(AND(E87&lt;&gt;"",OR(F87="Optional",F87="If Applicable",F87="To Verify")),"• "&amp;E87&amp;" ("&amp;F87&amp;")",""),IF(AND(G87&lt;&gt;"",OR(H87="Optional",H87="If Applicable",H87="To Verify")),"• "&amp;G87&amp;" ("&amp;H87&amp;")",""),IF(AND(I87&lt;&gt;"",OR(J87="Optional",J87="If Applicable",J87="To Verify")),"• "&amp;I87&amp;" ("&amp;J87&amp;")",""),IF(AND(K87&lt;&gt;"",OR(L87="Optional",L87="If Applicable",L87="To Verify")),"• "&amp;K87&amp;" ("&amp;L87&amp;")",""),IF(AND(M87&lt;&gt;"",OR(N87="Optional",N87="If Applicable",N87="To Verify")),"• "&amp;M87&amp;" ("&amp;N87&amp;")",""),IF(AND(O87&lt;&gt;"",OR(P87="Optional",P87="If Applicable",P87="To Verify")),"• "&amp;O87&amp;" ("&amp;P87&amp;")",""),IF(AND(Q87&lt;&gt;"",OR(R87="Optional",R87="If Applicable",R87="To Verify")),"• "&amp;Q87&amp;" ("&amp;R87&amp;")",""))</f>
        <v>• Address Proof (To Verify)
• Existing Certificate / Document (To Verify)</v>
      </c>
    </row>
    <row r="88" customFormat="false" ht="35.05" hidden="false" customHeight="false" outlineLevel="0" collapsed="false">
      <c r="A88" s="6" t="s">
        <v>1107</v>
      </c>
      <c r="B88" s="7" t="str">
        <f aca="false">IF($A88="","",IFERROR(INDEX(MASTER_DATABASE!$E$4:$E$1000,MATCH($A88,MASTER_DATABASE!$A$4:$A$1000,0)),""))</f>
        <v>Death Certificate – Application</v>
      </c>
      <c r="C88" s="6" t="s">
        <v>3433</v>
      </c>
      <c r="D88" s="6" t="s">
        <v>3436</v>
      </c>
      <c r="E88" s="6" t="s">
        <v>2390</v>
      </c>
      <c r="F88" s="6" t="s">
        <v>3436</v>
      </c>
      <c r="G88" s="6" t="s">
        <v>3456</v>
      </c>
      <c r="H88" s="6" t="s">
        <v>75</v>
      </c>
      <c r="I88" s="6" t="s">
        <v>3478</v>
      </c>
      <c r="J88" s="6" t="s">
        <v>3436</v>
      </c>
      <c r="K88" s="6" t="s">
        <v>3496</v>
      </c>
      <c r="L88" s="6" t="s">
        <v>75</v>
      </c>
      <c r="M88" s="6"/>
      <c r="N88" s="6"/>
      <c r="O88" s="6"/>
      <c r="P88" s="6"/>
      <c r="Q88" s="6"/>
      <c r="R88" s="6"/>
      <c r="S88" s="7" t="str">
        <f aca="false">_xlfn.TEXTJOIN(CHAR(10),TRUE(),IF(AND(C88&lt;&gt;"",D88="Mandatory"),"✓ "&amp;C88,""),IF(AND(E88&lt;&gt;"",F88="Mandatory"),"✓ "&amp;E88,""),IF(AND(G88&lt;&gt;"",H88="Mandatory"),"✓ "&amp;G88,""),IF(AND(I88&lt;&gt;"",J88="Mandatory"),"✓ "&amp;I88,""),IF(AND(K88&lt;&gt;"",L88="Mandatory"),"✓ "&amp;K88,""),IF(AND(M88&lt;&gt;"",N88="Mandatory"),"✓ "&amp;M88,""),IF(AND(O88&lt;&gt;"",P88="Mandatory"),"✓ "&amp;O88,""),IF(AND(Q88&lt;&gt;"",R88="Mandatory"),"✓ "&amp;Q88,""))</f>
        <v>✓ Aadhaar Card
✓ Passport Photo
✓ Active Mobile Number</v>
      </c>
      <c r="T88" s="7" t="str">
        <f aca="false">_xlfn.TEXTJOIN(CHAR(10),TRUE(),IF(AND(C88&lt;&gt;"",OR(D88="Optional",D88="If Applicable",D88="To Verify")),"• "&amp;C88&amp;" ("&amp;D88&amp;")",""),IF(AND(E88&lt;&gt;"",OR(F88="Optional",F88="If Applicable",F88="To Verify")),"• "&amp;E88&amp;" ("&amp;F88&amp;")",""),IF(AND(G88&lt;&gt;"",OR(H88="Optional",H88="If Applicable",H88="To Verify")),"• "&amp;G88&amp;" ("&amp;H88&amp;")",""),IF(AND(I88&lt;&gt;"",OR(J88="Optional",J88="If Applicable",J88="To Verify")),"• "&amp;I88&amp;" ("&amp;J88&amp;")",""),IF(AND(K88&lt;&gt;"",OR(L88="Optional",L88="If Applicable",L88="To Verify")),"• "&amp;K88&amp;" ("&amp;L88&amp;")",""),IF(AND(M88&lt;&gt;"",OR(N88="Optional",N88="If Applicable",N88="To Verify")),"• "&amp;M88&amp;" ("&amp;N88&amp;")",""),IF(AND(O88&lt;&gt;"",OR(P88="Optional",P88="If Applicable",P88="To Verify")),"• "&amp;O88&amp;" ("&amp;P88&amp;")",""),IF(AND(Q88&lt;&gt;"",OR(R88="Optional",R88="If Applicable",R88="To Verify")),"• "&amp;Q88&amp;" ("&amp;R88&amp;")",""))</f>
        <v>• Address Proof (To Verify)
• Existing Certificate / Document (To Verify)</v>
      </c>
    </row>
    <row r="89" customFormat="false" ht="35.05" hidden="false" customHeight="false" outlineLevel="0" collapsed="false">
      <c r="A89" s="6" t="s">
        <v>1119</v>
      </c>
      <c r="B89" s="7" t="str">
        <f aca="false">IF($A89="","",IFERROR(INDEX(MASTER_DATABASE!$E$4:$E$1000,MATCH($A89,MASTER_DATABASE!$A$4:$A$1000,0)),""))</f>
        <v>Marriage Registration / Certificate – Application</v>
      </c>
      <c r="C89" s="6" t="s">
        <v>3433</v>
      </c>
      <c r="D89" s="6" t="s">
        <v>3436</v>
      </c>
      <c r="E89" s="6" t="s">
        <v>2390</v>
      </c>
      <c r="F89" s="6" t="s">
        <v>3436</v>
      </c>
      <c r="G89" s="6" t="s">
        <v>3456</v>
      </c>
      <c r="H89" s="6" t="s">
        <v>75</v>
      </c>
      <c r="I89" s="6" t="s">
        <v>3478</v>
      </c>
      <c r="J89" s="6" t="s">
        <v>3436</v>
      </c>
      <c r="K89" s="6" t="s">
        <v>3496</v>
      </c>
      <c r="L89" s="6" t="s">
        <v>75</v>
      </c>
      <c r="M89" s="6"/>
      <c r="N89" s="6"/>
      <c r="O89" s="6"/>
      <c r="P89" s="6"/>
      <c r="Q89" s="6"/>
      <c r="R89" s="6"/>
      <c r="S89" s="7" t="str">
        <f aca="false">_xlfn.TEXTJOIN(CHAR(10),TRUE(),IF(AND(C89&lt;&gt;"",D89="Mandatory"),"✓ "&amp;C89,""),IF(AND(E89&lt;&gt;"",F89="Mandatory"),"✓ "&amp;E89,""),IF(AND(G89&lt;&gt;"",H89="Mandatory"),"✓ "&amp;G89,""),IF(AND(I89&lt;&gt;"",J89="Mandatory"),"✓ "&amp;I89,""),IF(AND(K89&lt;&gt;"",L89="Mandatory"),"✓ "&amp;K89,""),IF(AND(M89&lt;&gt;"",N89="Mandatory"),"✓ "&amp;M89,""),IF(AND(O89&lt;&gt;"",P89="Mandatory"),"✓ "&amp;O89,""),IF(AND(Q89&lt;&gt;"",R89="Mandatory"),"✓ "&amp;Q89,""))</f>
        <v>✓ Aadhaar Card
✓ Passport Photo
✓ Active Mobile Number</v>
      </c>
      <c r="T89" s="7" t="str">
        <f aca="false">_xlfn.TEXTJOIN(CHAR(10),TRUE(),IF(AND(C89&lt;&gt;"",OR(D89="Optional",D89="If Applicable",D89="To Verify")),"• "&amp;C89&amp;" ("&amp;D89&amp;")",""),IF(AND(E89&lt;&gt;"",OR(F89="Optional",F89="If Applicable",F89="To Verify")),"• "&amp;E89&amp;" ("&amp;F89&amp;")",""),IF(AND(G89&lt;&gt;"",OR(H89="Optional",H89="If Applicable",H89="To Verify")),"• "&amp;G89&amp;" ("&amp;H89&amp;")",""),IF(AND(I89&lt;&gt;"",OR(J89="Optional",J89="If Applicable",J89="To Verify")),"• "&amp;I89&amp;" ("&amp;J89&amp;")",""),IF(AND(K89&lt;&gt;"",OR(L89="Optional",L89="If Applicable",L89="To Verify")),"• "&amp;K89&amp;" ("&amp;L89&amp;")",""),IF(AND(M89&lt;&gt;"",OR(N89="Optional",N89="If Applicable",N89="To Verify")),"• "&amp;M89&amp;" ("&amp;N89&amp;")",""),IF(AND(O89&lt;&gt;"",OR(P89="Optional",P89="If Applicable",P89="To Verify")),"• "&amp;O89&amp;" ("&amp;P89&amp;")",""),IF(AND(Q89&lt;&gt;"",OR(R89="Optional",R89="If Applicable",R89="To Verify")),"• "&amp;Q89&amp;" ("&amp;R89&amp;")",""))</f>
        <v>• Address Proof (To Verify)
• Existing Certificate / Document (To Verify)</v>
      </c>
    </row>
    <row r="90" customFormat="false" ht="35.05" hidden="false" customHeight="false" outlineLevel="0" collapsed="false">
      <c r="A90" s="6" t="s">
        <v>1131</v>
      </c>
      <c r="B90" s="7" t="str">
        <f aca="false">IF($A90="","",IFERROR(INDEX(MASTER_DATABASE!$E$4:$E$1000,MATCH($A90,MASTER_DATABASE!$A$4:$A$1000,0)),""))</f>
        <v>Character Certificate – Application</v>
      </c>
      <c r="C90" s="6" t="s">
        <v>3433</v>
      </c>
      <c r="D90" s="6" t="s">
        <v>3436</v>
      </c>
      <c r="E90" s="6" t="s">
        <v>2390</v>
      </c>
      <c r="F90" s="6" t="s">
        <v>3436</v>
      </c>
      <c r="G90" s="6" t="s">
        <v>3456</v>
      </c>
      <c r="H90" s="6" t="s">
        <v>75</v>
      </c>
      <c r="I90" s="6" t="s">
        <v>3478</v>
      </c>
      <c r="J90" s="6" t="s">
        <v>3436</v>
      </c>
      <c r="K90" s="6"/>
      <c r="L90" s="6"/>
      <c r="M90" s="6"/>
      <c r="N90" s="6"/>
      <c r="O90" s="6"/>
      <c r="P90" s="6"/>
      <c r="Q90" s="6"/>
      <c r="R90" s="6"/>
      <c r="S90" s="7" t="str">
        <f aca="false">_xlfn.TEXTJOIN(CHAR(10),TRUE(),IF(AND(C90&lt;&gt;"",D90="Mandatory"),"✓ "&amp;C90,""),IF(AND(E90&lt;&gt;"",F90="Mandatory"),"✓ "&amp;E90,""),IF(AND(G90&lt;&gt;"",H90="Mandatory"),"✓ "&amp;G90,""),IF(AND(I90&lt;&gt;"",J90="Mandatory"),"✓ "&amp;I90,""),IF(AND(K90&lt;&gt;"",L90="Mandatory"),"✓ "&amp;K90,""),IF(AND(M90&lt;&gt;"",N90="Mandatory"),"✓ "&amp;M90,""),IF(AND(O90&lt;&gt;"",P90="Mandatory"),"✓ "&amp;O90,""),IF(AND(Q90&lt;&gt;"",R90="Mandatory"),"✓ "&amp;Q90,""))</f>
        <v>✓ Aadhaar Card
✓ Passport Photo
✓ Active Mobile Number</v>
      </c>
      <c r="T90" s="7" t="str">
        <f aca="false">_xlfn.TEXTJOIN(CHAR(10),TRUE(),IF(AND(C90&lt;&gt;"",OR(D90="Optional",D90="If Applicable",D90="To Verify")),"• "&amp;C90&amp;" ("&amp;D90&amp;")",""),IF(AND(E90&lt;&gt;"",OR(F90="Optional",F90="If Applicable",F90="To Verify")),"• "&amp;E90&amp;" ("&amp;F90&amp;")",""),IF(AND(G90&lt;&gt;"",OR(H90="Optional",H90="If Applicable",H90="To Verify")),"• "&amp;G90&amp;" ("&amp;H90&amp;")",""),IF(AND(I90&lt;&gt;"",OR(J90="Optional",J90="If Applicable",J90="To Verify")),"• "&amp;I90&amp;" ("&amp;J90&amp;")",""),IF(AND(K90&lt;&gt;"",OR(L90="Optional",L90="If Applicable",L90="To Verify")),"• "&amp;K90&amp;" ("&amp;L90&amp;")",""),IF(AND(M90&lt;&gt;"",OR(N90="Optional",N90="If Applicable",N90="To Verify")),"• "&amp;M90&amp;" ("&amp;N90&amp;")",""),IF(AND(O90&lt;&gt;"",OR(P90="Optional",P90="If Applicable",P90="To Verify")),"• "&amp;O90&amp;" ("&amp;P90&amp;")",""),IF(AND(Q90&lt;&gt;"",OR(R90="Optional",R90="If Applicable",R90="To Verify")),"• "&amp;Q90&amp;" ("&amp;R90&amp;")",""))</f>
        <v>• Address Proof (To Verify)</v>
      </c>
    </row>
    <row r="91" customFormat="false" ht="35.05" hidden="false" customHeight="false" outlineLevel="0" collapsed="false">
      <c r="A91" s="6" t="s">
        <v>1143</v>
      </c>
      <c r="B91" s="7" t="str">
        <f aca="false">IF($A91="","",IFERROR(INDEX(MASTER_DATABASE!$E$4:$E$1000,MATCH($A91,MASTER_DATABASE!$A$4:$A$1000,0)),""))</f>
        <v>Certificate Correction / Re-application Assistance</v>
      </c>
      <c r="C91" s="6" t="s">
        <v>3433</v>
      </c>
      <c r="D91" s="6" t="s">
        <v>3436</v>
      </c>
      <c r="E91" s="6" t="s">
        <v>2390</v>
      </c>
      <c r="F91" s="6" t="s">
        <v>3436</v>
      </c>
      <c r="G91" s="6" t="s">
        <v>3456</v>
      </c>
      <c r="H91" s="6" t="s">
        <v>75</v>
      </c>
      <c r="I91" s="6" t="s">
        <v>3478</v>
      </c>
      <c r="J91" s="6" t="s">
        <v>3436</v>
      </c>
      <c r="K91" s="6"/>
      <c r="L91" s="6"/>
      <c r="M91" s="6"/>
      <c r="N91" s="6"/>
      <c r="O91" s="6"/>
      <c r="P91" s="6"/>
      <c r="Q91" s="6"/>
      <c r="R91" s="6"/>
      <c r="S91" s="7" t="str">
        <f aca="false">_xlfn.TEXTJOIN(CHAR(10),TRUE(),IF(AND(C91&lt;&gt;"",D91="Mandatory"),"✓ "&amp;C91,""),IF(AND(E91&lt;&gt;"",F91="Mandatory"),"✓ "&amp;E91,""),IF(AND(G91&lt;&gt;"",H91="Mandatory"),"✓ "&amp;G91,""),IF(AND(I91&lt;&gt;"",J91="Mandatory"),"✓ "&amp;I91,""),IF(AND(K91&lt;&gt;"",L91="Mandatory"),"✓ "&amp;K91,""),IF(AND(M91&lt;&gt;"",N91="Mandatory"),"✓ "&amp;M91,""),IF(AND(O91&lt;&gt;"",P91="Mandatory"),"✓ "&amp;O91,""),IF(AND(Q91&lt;&gt;"",R91="Mandatory"),"✓ "&amp;Q91,""))</f>
        <v>✓ Aadhaar Card
✓ Passport Photo
✓ Active Mobile Number</v>
      </c>
      <c r="T91" s="7" t="str">
        <f aca="false">_xlfn.TEXTJOIN(CHAR(10),TRUE(),IF(AND(C91&lt;&gt;"",OR(D91="Optional",D91="If Applicable",D91="To Verify")),"• "&amp;C91&amp;" ("&amp;D91&amp;")",""),IF(AND(E91&lt;&gt;"",OR(F91="Optional",F91="If Applicable",F91="To Verify")),"• "&amp;E91&amp;" ("&amp;F91&amp;")",""),IF(AND(G91&lt;&gt;"",OR(H91="Optional",H91="If Applicable",H91="To Verify")),"• "&amp;G91&amp;" ("&amp;H91&amp;")",""),IF(AND(I91&lt;&gt;"",OR(J91="Optional",J91="If Applicable",J91="To Verify")),"• "&amp;I91&amp;" ("&amp;J91&amp;")",""),IF(AND(K91&lt;&gt;"",OR(L91="Optional",L91="If Applicable",L91="To Verify")),"• "&amp;K91&amp;" ("&amp;L91&amp;")",""),IF(AND(M91&lt;&gt;"",OR(N91="Optional",N91="If Applicable",N91="To Verify")),"• "&amp;M91&amp;" ("&amp;N91&amp;")",""),IF(AND(O91&lt;&gt;"",OR(P91="Optional",P91="If Applicable",P91="To Verify")),"• "&amp;O91&amp;" ("&amp;P91&amp;")",""),IF(AND(Q91&lt;&gt;"",OR(R91="Optional",R91="If Applicable",R91="To Verify")),"• "&amp;Q91&amp;" ("&amp;R91&amp;")",""))</f>
        <v>• Address Proof (To Verify)</v>
      </c>
    </row>
    <row r="92" customFormat="false" ht="23.85" hidden="false" customHeight="false" outlineLevel="0" collapsed="false">
      <c r="A92" s="6" t="s">
        <v>1155</v>
      </c>
      <c r="B92" s="7" t="str">
        <f aca="false">IF($A92="","",IFERROR(INDEX(MASTER_DATABASE!$E$4:$E$1000,MATCH($A92,MASTER_DATABASE!$A$4:$A$1000,0)),""))</f>
        <v>Certificate Download</v>
      </c>
      <c r="C92" s="6" t="s">
        <v>3595</v>
      </c>
      <c r="D92" s="6" t="s">
        <v>3436</v>
      </c>
      <c r="E92" s="6" t="s">
        <v>3478</v>
      </c>
      <c r="F92" s="6" t="s">
        <v>3453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 t="str">
        <f aca="false">_xlfn.TEXTJOIN(CHAR(10),TRUE(),IF(AND(C92&lt;&gt;"",D92="Mandatory"),"✓ "&amp;C92,""),IF(AND(E92&lt;&gt;"",F92="Mandatory"),"✓ "&amp;E92,""),IF(AND(G92&lt;&gt;"",H92="Mandatory"),"✓ "&amp;G92,""),IF(AND(I92&lt;&gt;"",J92="Mandatory"),"✓ "&amp;I92,""),IF(AND(K92&lt;&gt;"",L92="Mandatory"),"✓ "&amp;K92,""),IF(AND(M92&lt;&gt;"",N92="Mandatory"),"✓ "&amp;M92,""),IF(AND(O92&lt;&gt;"",P92="Mandatory"),"✓ "&amp;O92,""),IF(AND(Q92&lt;&gt;"",R92="Mandatory"),"✓ "&amp;Q92,""))</f>
        <v>✓ Reference / Application Number</v>
      </c>
      <c r="T92" s="7" t="str">
        <f aca="false">_xlfn.TEXTJOIN(CHAR(10),TRUE(),IF(AND(C92&lt;&gt;"",OR(D92="Optional",D92="If Applicable",D92="To Verify")),"• "&amp;C92&amp;" ("&amp;D92&amp;")",""),IF(AND(E92&lt;&gt;"",OR(F92="Optional",F92="If Applicable",F92="To Verify")),"• "&amp;E92&amp;" ("&amp;F92&amp;")",""),IF(AND(G92&lt;&gt;"",OR(H92="Optional",H92="If Applicable",H92="To Verify")),"• "&amp;G92&amp;" ("&amp;H92&amp;")",""),IF(AND(I92&lt;&gt;"",OR(J92="Optional",J92="If Applicable",J92="To Verify")),"• "&amp;I92&amp;" ("&amp;J92&amp;")",""),IF(AND(K92&lt;&gt;"",OR(L92="Optional",L92="If Applicable",L92="To Verify")),"• "&amp;K92&amp;" ("&amp;L92&amp;")",""),IF(AND(M92&lt;&gt;"",OR(N92="Optional",N92="If Applicable",N92="To Verify")),"• "&amp;M92&amp;" ("&amp;N92&amp;")",""),IF(AND(O92&lt;&gt;"",OR(P92="Optional",P92="If Applicable",P92="To Verify")),"• "&amp;O92&amp;" ("&amp;P92&amp;")",""),IF(AND(Q92&lt;&gt;"",OR(R92="Optional",R92="If Applicable",R92="To Verify")),"• "&amp;Q92&amp;" ("&amp;R92&amp;")",""))</f>
        <v>• Active Mobile Number (If Applicable)</v>
      </c>
    </row>
    <row r="93" customFormat="false" ht="23.85" hidden="false" customHeight="false" outlineLevel="0" collapsed="false">
      <c r="A93" s="6" t="s">
        <v>1166</v>
      </c>
      <c r="B93" s="7" t="str">
        <f aca="false">IF($A93="","",IFERROR(INDEX(MASTER_DATABASE!$E$4:$E$1000,MATCH($A93,MASTER_DATABASE!$A$4:$A$1000,0)),""))</f>
        <v>Certificate Print</v>
      </c>
      <c r="C93" s="6" t="s">
        <v>3595</v>
      </c>
      <c r="D93" s="6" t="s">
        <v>3436</v>
      </c>
      <c r="E93" s="6" t="s">
        <v>3478</v>
      </c>
      <c r="F93" s="6" t="s">
        <v>3453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 t="str">
        <f aca="false">_xlfn.TEXTJOIN(CHAR(10),TRUE(),IF(AND(C93&lt;&gt;"",D93="Mandatory"),"✓ "&amp;C93,""),IF(AND(E93&lt;&gt;"",F93="Mandatory"),"✓ "&amp;E93,""),IF(AND(G93&lt;&gt;"",H93="Mandatory"),"✓ "&amp;G93,""),IF(AND(I93&lt;&gt;"",J93="Mandatory"),"✓ "&amp;I93,""),IF(AND(K93&lt;&gt;"",L93="Mandatory"),"✓ "&amp;K93,""),IF(AND(M93&lt;&gt;"",N93="Mandatory"),"✓ "&amp;M93,""),IF(AND(O93&lt;&gt;"",P93="Mandatory"),"✓ "&amp;O93,""),IF(AND(Q93&lt;&gt;"",R93="Mandatory"),"✓ "&amp;Q93,""))</f>
        <v>✓ Reference / Application Number</v>
      </c>
      <c r="T93" s="7" t="str">
        <f aca="false">_xlfn.TEXTJOIN(CHAR(10),TRUE(),IF(AND(C93&lt;&gt;"",OR(D93="Optional",D93="If Applicable",D93="To Verify")),"• "&amp;C93&amp;" ("&amp;D93&amp;")",""),IF(AND(E93&lt;&gt;"",OR(F93="Optional",F93="If Applicable",F93="To Verify")),"• "&amp;E93&amp;" ("&amp;F93&amp;")",""),IF(AND(G93&lt;&gt;"",OR(H93="Optional",H93="If Applicable",H93="To Verify")),"• "&amp;G93&amp;" ("&amp;H93&amp;")",""),IF(AND(I93&lt;&gt;"",OR(J93="Optional",J93="If Applicable",J93="To Verify")),"• "&amp;I93&amp;" ("&amp;J93&amp;")",""),IF(AND(K93&lt;&gt;"",OR(L93="Optional",L93="If Applicable",L93="To Verify")),"• "&amp;K93&amp;" ("&amp;L93&amp;")",""),IF(AND(M93&lt;&gt;"",OR(N93="Optional",N93="If Applicable",N93="To Verify")),"• "&amp;M93&amp;" ("&amp;N93&amp;")",""),IF(AND(O93&lt;&gt;"",OR(P93="Optional",P93="If Applicable",P93="To Verify")),"• "&amp;O93&amp;" ("&amp;P93&amp;")",""),IF(AND(Q93&lt;&gt;"",OR(R93="Optional",R93="If Applicable",R93="To Verify")),"• "&amp;Q93&amp;" ("&amp;R93&amp;")",""))</f>
        <v>• Active Mobile Number (If Applicable)</v>
      </c>
    </row>
    <row r="94" customFormat="false" ht="35.05" hidden="false" customHeight="false" outlineLevel="0" collapsed="false">
      <c r="A94" s="6" t="s">
        <v>1176</v>
      </c>
      <c r="B94" s="7" t="str">
        <f aca="false">IF($A94="","",IFERROR(INDEX(MASTER_DATABASE!$E$4:$E$1000,MATCH($A94,MASTER_DATABASE!$A$4:$A$1000,0)),""))</f>
        <v>Old Age Pension – Application</v>
      </c>
      <c r="C94" s="6" t="s">
        <v>3433</v>
      </c>
      <c r="D94" s="6" t="s">
        <v>3436</v>
      </c>
      <c r="E94" s="6" t="s">
        <v>3446</v>
      </c>
      <c r="F94" s="6" t="s">
        <v>3436</v>
      </c>
      <c r="G94" s="6" t="s">
        <v>2390</v>
      </c>
      <c r="H94" s="6" t="s">
        <v>3436</v>
      </c>
      <c r="I94" s="6" t="s">
        <v>3456</v>
      </c>
      <c r="J94" s="6" t="s">
        <v>75</v>
      </c>
      <c r="K94" s="6" t="s">
        <v>3465</v>
      </c>
      <c r="L94" s="6" t="s">
        <v>75</v>
      </c>
      <c r="M94" s="6"/>
      <c r="N94" s="6"/>
      <c r="O94" s="6"/>
      <c r="P94" s="6"/>
      <c r="Q94" s="6"/>
      <c r="R94" s="6"/>
      <c r="S94" s="7" t="str">
        <f aca="false">_xlfn.TEXTJOIN(CHAR(10),TRUE(),IF(AND(C94&lt;&gt;"",D94="Mandatory"),"✓ "&amp;C94,""),IF(AND(E94&lt;&gt;"",F94="Mandatory"),"✓ "&amp;E94,""),IF(AND(G94&lt;&gt;"",H94="Mandatory"),"✓ "&amp;G94,""),IF(AND(I94&lt;&gt;"",J94="Mandatory"),"✓ "&amp;I94,""),IF(AND(K94&lt;&gt;"",L94="Mandatory"),"✓ "&amp;K94,""),IF(AND(M94&lt;&gt;"",N94="Mandatory"),"✓ "&amp;M94,""),IF(AND(O94&lt;&gt;"",P94="Mandatory"),"✓ "&amp;O94,""),IF(AND(Q94&lt;&gt;"",R94="Mandatory"),"✓ "&amp;Q94,""))</f>
        <v>✓ Aadhaar Card
✓ Bank Passbook
✓ Passport Photo</v>
      </c>
      <c r="T94" s="7" t="str">
        <f aca="false">_xlfn.TEXTJOIN(CHAR(10),TRUE(),IF(AND(C94&lt;&gt;"",OR(D94="Optional",D94="If Applicable",D94="To Verify")),"• "&amp;C94&amp;" ("&amp;D94&amp;")",""),IF(AND(E94&lt;&gt;"",OR(F94="Optional",F94="If Applicable",F94="To Verify")),"• "&amp;E94&amp;" ("&amp;F94&amp;")",""),IF(AND(G94&lt;&gt;"",OR(H94="Optional",H94="If Applicable",H94="To Verify")),"• "&amp;G94&amp;" ("&amp;H94&amp;")",""),IF(AND(I94&lt;&gt;"",OR(J94="Optional",J94="If Applicable",J94="To Verify")),"• "&amp;I94&amp;" ("&amp;J94&amp;")",""),IF(AND(K94&lt;&gt;"",OR(L94="Optional",L94="If Applicable",L94="To Verify")),"• "&amp;K94&amp;" ("&amp;L94&amp;")",""),IF(AND(M94&lt;&gt;"",OR(N94="Optional",N94="If Applicable",N94="To Verify")),"• "&amp;M94&amp;" ("&amp;N94&amp;")",""),IF(AND(O94&lt;&gt;"",OR(P94="Optional",P94="If Applicable",P94="To Verify")),"• "&amp;O94&amp;" ("&amp;P94&amp;")",""),IF(AND(Q94&lt;&gt;"",OR(R94="Optional",R94="If Applicable",R94="To Verify")),"• "&amp;Q94&amp;" ("&amp;R94&amp;")",""))</f>
        <v>• Address Proof (To Verify)
• Date of Birth Proof (To Verify)</v>
      </c>
    </row>
    <row r="95" customFormat="false" ht="35.05" hidden="false" customHeight="false" outlineLevel="0" collapsed="false">
      <c r="A95" s="6" t="s">
        <v>1191</v>
      </c>
      <c r="B95" s="7" t="str">
        <f aca="false">IF($A95="","",IFERROR(INDEX(MASTER_DATABASE!$E$4:$E$1000,MATCH($A95,MASTER_DATABASE!$A$4:$A$1000,0)),""))</f>
        <v>Widow Pension – Application</v>
      </c>
      <c r="C95" s="6" t="s">
        <v>3433</v>
      </c>
      <c r="D95" s="6" t="s">
        <v>3436</v>
      </c>
      <c r="E95" s="6" t="s">
        <v>3446</v>
      </c>
      <c r="F95" s="6" t="s">
        <v>3436</v>
      </c>
      <c r="G95" s="6" t="s">
        <v>2390</v>
      </c>
      <c r="H95" s="6" t="s">
        <v>3436</v>
      </c>
      <c r="I95" s="6" t="s">
        <v>3456</v>
      </c>
      <c r="J95" s="6" t="s">
        <v>75</v>
      </c>
      <c r="K95" s="6" t="s">
        <v>3465</v>
      </c>
      <c r="L95" s="6" t="s">
        <v>75</v>
      </c>
      <c r="M95" s="6"/>
      <c r="N95" s="6"/>
      <c r="O95" s="6"/>
      <c r="P95" s="6"/>
      <c r="Q95" s="6"/>
      <c r="R95" s="6"/>
      <c r="S95" s="7" t="str">
        <f aca="false">_xlfn.TEXTJOIN(CHAR(10),TRUE(),IF(AND(C95&lt;&gt;"",D95="Mandatory"),"✓ "&amp;C95,""),IF(AND(E95&lt;&gt;"",F95="Mandatory"),"✓ "&amp;E95,""),IF(AND(G95&lt;&gt;"",H95="Mandatory"),"✓ "&amp;G95,""),IF(AND(I95&lt;&gt;"",J95="Mandatory"),"✓ "&amp;I95,""),IF(AND(K95&lt;&gt;"",L95="Mandatory"),"✓ "&amp;K95,""),IF(AND(M95&lt;&gt;"",N95="Mandatory"),"✓ "&amp;M95,""),IF(AND(O95&lt;&gt;"",P95="Mandatory"),"✓ "&amp;O95,""),IF(AND(Q95&lt;&gt;"",R95="Mandatory"),"✓ "&amp;Q95,""))</f>
        <v>✓ Aadhaar Card
✓ Bank Passbook
✓ Passport Photo</v>
      </c>
      <c r="T95" s="7" t="str">
        <f aca="false">_xlfn.TEXTJOIN(CHAR(10),TRUE(),IF(AND(C95&lt;&gt;"",OR(D95="Optional",D95="If Applicable",D95="To Verify")),"• "&amp;C95&amp;" ("&amp;D95&amp;")",""),IF(AND(E95&lt;&gt;"",OR(F95="Optional",F95="If Applicable",F95="To Verify")),"• "&amp;E95&amp;" ("&amp;F95&amp;")",""),IF(AND(G95&lt;&gt;"",OR(H95="Optional",H95="If Applicable",H95="To Verify")),"• "&amp;G95&amp;" ("&amp;H95&amp;")",""),IF(AND(I95&lt;&gt;"",OR(J95="Optional",J95="If Applicable",J95="To Verify")),"• "&amp;I95&amp;" ("&amp;J95&amp;")",""),IF(AND(K95&lt;&gt;"",OR(L95="Optional",L95="If Applicable",L95="To Verify")),"• "&amp;K95&amp;" ("&amp;L95&amp;")",""),IF(AND(M95&lt;&gt;"",OR(N95="Optional",N95="If Applicable",N95="To Verify")),"• "&amp;M95&amp;" ("&amp;N95&amp;")",""),IF(AND(O95&lt;&gt;"",OR(P95="Optional",P95="If Applicable",P95="To Verify")),"• "&amp;O95&amp;" ("&amp;P95&amp;")",""),IF(AND(Q95&lt;&gt;"",OR(R95="Optional",R95="If Applicable",R95="To Verify")),"• "&amp;Q95&amp;" ("&amp;R95&amp;")",""))</f>
        <v>• Address Proof (To Verify)
• Date of Birth Proof (To Verify)</v>
      </c>
    </row>
    <row r="96" customFormat="false" ht="35.05" hidden="false" customHeight="false" outlineLevel="0" collapsed="false">
      <c r="A96" s="6" t="s">
        <v>1201</v>
      </c>
      <c r="B96" s="7" t="str">
        <f aca="false">IF($A96="","",IFERROR(INDEX(MASTER_DATABASE!$E$4:$E$1000,MATCH($A96,MASTER_DATABASE!$A$4:$A$1000,0)),""))</f>
        <v>Divyang (Disability) Pension – Application</v>
      </c>
      <c r="C96" s="6" t="s">
        <v>3433</v>
      </c>
      <c r="D96" s="6" t="s">
        <v>3436</v>
      </c>
      <c r="E96" s="6" t="s">
        <v>3446</v>
      </c>
      <c r="F96" s="6" t="s">
        <v>3436</v>
      </c>
      <c r="G96" s="6" t="s">
        <v>2390</v>
      </c>
      <c r="H96" s="6" t="s">
        <v>3436</v>
      </c>
      <c r="I96" s="6" t="s">
        <v>3456</v>
      </c>
      <c r="J96" s="6" t="s">
        <v>75</v>
      </c>
      <c r="K96" s="6" t="s">
        <v>3465</v>
      </c>
      <c r="L96" s="6" t="s">
        <v>75</v>
      </c>
      <c r="M96" s="6"/>
      <c r="N96" s="6"/>
      <c r="O96" s="6"/>
      <c r="P96" s="6"/>
      <c r="Q96" s="6"/>
      <c r="R96" s="6"/>
      <c r="S96" s="7" t="str">
        <f aca="false">_xlfn.TEXTJOIN(CHAR(10),TRUE(),IF(AND(C96&lt;&gt;"",D96="Mandatory"),"✓ "&amp;C96,""),IF(AND(E96&lt;&gt;"",F96="Mandatory"),"✓ "&amp;E96,""),IF(AND(G96&lt;&gt;"",H96="Mandatory"),"✓ "&amp;G96,""),IF(AND(I96&lt;&gt;"",J96="Mandatory"),"✓ "&amp;I96,""),IF(AND(K96&lt;&gt;"",L96="Mandatory"),"✓ "&amp;K96,""),IF(AND(M96&lt;&gt;"",N96="Mandatory"),"✓ "&amp;M96,""),IF(AND(O96&lt;&gt;"",P96="Mandatory"),"✓ "&amp;O96,""),IF(AND(Q96&lt;&gt;"",R96="Mandatory"),"✓ "&amp;Q96,""))</f>
        <v>✓ Aadhaar Card
✓ Bank Passbook
✓ Passport Photo</v>
      </c>
      <c r="T96" s="7" t="str">
        <f aca="false">_xlfn.TEXTJOIN(CHAR(10),TRUE(),IF(AND(C96&lt;&gt;"",OR(D96="Optional",D96="If Applicable",D96="To Verify")),"• "&amp;C96&amp;" ("&amp;D96&amp;")",""),IF(AND(E96&lt;&gt;"",OR(F96="Optional",F96="If Applicable",F96="To Verify")),"• "&amp;E96&amp;" ("&amp;F96&amp;")",""),IF(AND(G96&lt;&gt;"",OR(H96="Optional",H96="If Applicable",H96="To Verify")),"• "&amp;G96&amp;" ("&amp;H96&amp;")",""),IF(AND(I96&lt;&gt;"",OR(J96="Optional",J96="If Applicable",J96="To Verify")),"• "&amp;I96&amp;" ("&amp;J96&amp;")",""),IF(AND(K96&lt;&gt;"",OR(L96="Optional",L96="If Applicable",L96="To Verify")),"• "&amp;K96&amp;" ("&amp;L96&amp;")",""),IF(AND(M96&lt;&gt;"",OR(N96="Optional",N96="If Applicable",N96="To Verify")),"• "&amp;M96&amp;" ("&amp;N96&amp;")",""),IF(AND(O96&lt;&gt;"",OR(P96="Optional",P96="If Applicable",P96="To Verify")),"• "&amp;O96&amp;" ("&amp;P96&amp;")",""),IF(AND(Q96&lt;&gt;"",OR(R96="Optional",R96="If Applicable",R96="To Verify")),"• "&amp;Q96&amp;" ("&amp;R96&amp;")",""))</f>
        <v>• Address Proof (To Verify)
• Date of Birth Proof (To Verify)</v>
      </c>
    </row>
    <row r="97" customFormat="false" ht="23.85" hidden="false" customHeight="false" outlineLevel="0" collapsed="false">
      <c r="A97" s="6" t="s">
        <v>1211</v>
      </c>
      <c r="B97" s="7" t="str">
        <f aca="false">IF($A97="","",IFERROR(INDEX(MASTER_DATABASE!$E$4:$E$1000,MATCH($A97,MASTER_DATABASE!$A$4:$A$1000,0)),""))</f>
        <v>Government Scheme Application – General</v>
      </c>
      <c r="C97" s="6" t="s">
        <v>3433</v>
      </c>
      <c r="D97" s="6" t="s">
        <v>3436</v>
      </c>
      <c r="E97" s="6" t="s">
        <v>3478</v>
      </c>
      <c r="F97" s="6" t="s">
        <v>3436</v>
      </c>
      <c r="G97" s="6" t="s">
        <v>3595</v>
      </c>
      <c r="H97" s="6" t="s">
        <v>3453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7" t="str">
        <f aca="false">_xlfn.TEXTJOIN(CHAR(10),TRUE(),IF(AND(C97&lt;&gt;"",D97="Mandatory"),"✓ "&amp;C97,""),IF(AND(E97&lt;&gt;"",F97="Mandatory"),"✓ "&amp;E97,""),IF(AND(G97&lt;&gt;"",H97="Mandatory"),"✓ "&amp;G97,""),IF(AND(I97&lt;&gt;"",J97="Mandatory"),"✓ "&amp;I97,""),IF(AND(K97&lt;&gt;"",L97="Mandatory"),"✓ "&amp;K97,""),IF(AND(M97&lt;&gt;"",N97="Mandatory"),"✓ "&amp;M97,""),IF(AND(O97&lt;&gt;"",P97="Mandatory"),"✓ "&amp;O97,""),IF(AND(Q97&lt;&gt;"",R97="Mandatory"),"✓ "&amp;Q97,""))</f>
        <v>✓ Aadhaar Card
✓ Active Mobile Number</v>
      </c>
      <c r="T97" s="7" t="str">
        <f aca="false">_xlfn.TEXTJOIN(CHAR(10),TRUE(),IF(AND(C97&lt;&gt;"",OR(D97="Optional",D97="If Applicable",D97="To Verify")),"• "&amp;C97&amp;" ("&amp;D97&amp;")",""),IF(AND(E97&lt;&gt;"",OR(F97="Optional",F97="If Applicable",F97="To Verify")),"• "&amp;E97&amp;" ("&amp;F97&amp;")",""),IF(AND(G97&lt;&gt;"",OR(H97="Optional",H97="If Applicable",H97="To Verify")),"• "&amp;G97&amp;" ("&amp;H97&amp;")",""),IF(AND(I97&lt;&gt;"",OR(J97="Optional",J97="If Applicable",J97="To Verify")),"• "&amp;I97&amp;" ("&amp;J97&amp;")",""),IF(AND(K97&lt;&gt;"",OR(L97="Optional",L97="If Applicable",L97="To Verify")),"• "&amp;K97&amp;" ("&amp;L97&amp;")",""),IF(AND(M97&lt;&gt;"",OR(N97="Optional",N97="If Applicable",N97="To Verify")),"• "&amp;M97&amp;" ("&amp;N97&amp;")",""),IF(AND(O97&lt;&gt;"",OR(P97="Optional",P97="If Applicable",P97="To Verify")),"• "&amp;O97&amp;" ("&amp;P97&amp;")",""),IF(AND(Q97&lt;&gt;"",OR(R97="Optional",R97="If Applicable",R97="To Verify")),"• "&amp;Q97&amp;" ("&amp;R97&amp;")",""))</f>
        <v>• Reference / Application Number (If Applicable)</v>
      </c>
    </row>
    <row r="98" customFormat="false" ht="23.85" hidden="false" customHeight="false" outlineLevel="0" collapsed="false">
      <c r="A98" s="6" t="s">
        <v>1223</v>
      </c>
      <c r="B98" s="7" t="str">
        <f aca="false">IF($A98="","",IFERROR(INDEX(MASTER_DATABASE!$E$4:$E$1000,MATCH($A98,MASTER_DATABASE!$A$4:$A$1000,0)),""))</f>
        <v>Ration Card – New Application</v>
      </c>
      <c r="C98" s="6" t="s">
        <v>3433</v>
      </c>
      <c r="D98" s="6" t="s">
        <v>3436</v>
      </c>
      <c r="E98" s="6" t="s">
        <v>1224</v>
      </c>
      <c r="F98" s="6" t="s">
        <v>3453</v>
      </c>
      <c r="G98" s="6" t="s">
        <v>3456</v>
      </c>
      <c r="H98" s="6" t="s">
        <v>75</v>
      </c>
      <c r="I98" s="6" t="s">
        <v>3478</v>
      </c>
      <c r="J98" s="6" t="s">
        <v>3436</v>
      </c>
      <c r="K98" s="6"/>
      <c r="L98" s="6"/>
      <c r="M98" s="6"/>
      <c r="N98" s="6"/>
      <c r="O98" s="6"/>
      <c r="P98" s="6"/>
      <c r="Q98" s="6"/>
      <c r="R98" s="6"/>
      <c r="S98" s="7" t="str">
        <f aca="false">_xlfn.TEXTJOIN(CHAR(10),TRUE(),IF(AND(C98&lt;&gt;"",D98="Mandatory"),"✓ "&amp;C98,""),IF(AND(E98&lt;&gt;"",F98="Mandatory"),"✓ "&amp;E98,""),IF(AND(G98&lt;&gt;"",H98="Mandatory"),"✓ "&amp;G98,""),IF(AND(I98&lt;&gt;"",J98="Mandatory"),"✓ "&amp;I98,""),IF(AND(K98&lt;&gt;"",L98="Mandatory"),"✓ "&amp;K98,""),IF(AND(M98&lt;&gt;"",N98="Mandatory"),"✓ "&amp;M98,""),IF(AND(O98&lt;&gt;"",P98="Mandatory"),"✓ "&amp;O98,""),IF(AND(Q98&lt;&gt;"",R98="Mandatory"),"✓ "&amp;Q98,""))</f>
        <v>✓ Aadhaar Card
✓ Active Mobile Number</v>
      </c>
      <c r="T98" s="7" t="str">
        <f aca="false">_xlfn.TEXTJOIN(CHAR(10),TRUE(),IF(AND(C98&lt;&gt;"",OR(D98="Optional",D98="If Applicable",D98="To Verify")),"• "&amp;C98&amp;" ("&amp;D98&amp;")",""),IF(AND(E98&lt;&gt;"",OR(F98="Optional",F98="If Applicable",F98="To Verify")),"• "&amp;E98&amp;" ("&amp;F98&amp;")",""),IF(AND(G98&lt;&gt;"",OR(H98="Optional",H98="If Applicable",H98="To Verify")),"• "&amp;G98&amp;" ("&amp;H98&amp;")",""),IF(AND(I98&lt;&gt;"",OR(J98="Optional",J98="If Applicable",J98="To Verify")),"• "&amp;I98&amp;" ("&amp;J98&amp;")",""),IF(AND(K98&lt;&gt;"",OR(L98="Optional",L98="If Applicable",L98="To Verify")),"• "&amp;K98&amp;" ("&amp;L98&amp;")",""),IF(AND(M98&lt;&gt;"",OR(N98="Optional",N98="If Applicable",N98="To Verify")),"• "&amp;M98&amp;" ("&amp;N98&amp;")",""),IF(AND(O98&lt;&gt;"",OR(P98="Optional",P98="If Applicable",P98="To Verify")),"• "&amp;O98&amp;" ("&amp;P98&amp;")",""),IF(AND(Q98&lt;&gt;"",OR(R98="Optional",R98="If Applicable",R98="To Verify")),"• "&amp;Q98&amp;" ("&amp;R98&amp;")",""))</f>
        <v>• Ration Card (If Applicable)
• Address Proof (To Verify)</v>
      </c>
    </row>
    <row r="99" customFormat="false" ht="23.85" hidden="false" customHeight="false" outlineLevel="0" collapsed="false">
      <c r="A99" s="6" t="s">
        <v>1236</v>
      </c>
      <c r="B99" s="7" t="str">
        <f aca="false">IF($A99="","",IFERROR(INDEX(MASTER_DATABASE!$E$4:$E$1000,MATCH($A99,MASTER_DATABASE!$A$4:$A$1000,0)),""))</f>
        <v>Ration Card – Member Add / Delete / Correction</v>
      </c>
      <c r="C99" s="6" t="s">
        <v>3433</v>
      </c>
      <c r="D99" s="6" t="s">
        <v>3436</v>
      </c>
      <c r="E99" s="6" t="s">
        <v>1224</v>
      </c>
      <c r="F99" s="6" t="s">
        <v>3453</v>
      </c>
      <c r="G99" s="6" t="s">
        <v>3456</v>
      </c>
      <c r="H99" s="6" t="s">
        <v>75</v>
      </c>
      <c r="I99" s="6" t="s">
        <v>3478</v>
      </c>
      <c r="J99" s="6" t="s">
        <v>3436</v>
      </c>
      <c r="K99" s="6"/>
      <c r="L99" s="6"/>
      <c r="M99" s="6"/>
      <c r="N99" s="6"/>
      <c r="O99" s="6"/>
      <c r="P99" s="6"/>
      <c r="Q99" s="6"/>
      <c r="R99" s="6"/>
      <c r="S99" s="7" t="str">
        <f aca="false">_xlfn.TEXTJOIN(CHAR(10),TRUE(),IF(AND(C99&lt;&gt;"",D99="Mandatory"),"✓ "&amp;C99,""),IF(AND(E99&lt;&gt;"",F99="Mandatory"),"✓ "&amp;E99,""),IF(AND(G99&lt;&gt;"",H99="Mandatory"),"✓ "&amp;G99,""),IF(AND(I99&lt;&gt;"",J99="Mandatory"),"✓ "&amp;I99,""),IF(AND(K99&lt;&gt;"",L99="Mandatory"),"✓ "&amp;K99,""),IF(AND(M99&lt;&gt;"",N99="Mandatory"),"✓ "&amp;M99,""),IF(AND(O99&lt;&gt;"",P99="Mandatory"),"✓ "&amp;O99,""),IF(AND(Q99&lt;&gt;"",R99="Mandatory"),"✓ "&amp;Q99,""))</f>
        <v>✓ Aadhaar Card
✓ Active Mobile Number</v>
      </c>
      <c r="T99" s="7" t="str">
        <f aca="false">_xlfn.TEXTJOIN(CHAR(10),TRUE(),IF(AND(C99&lt;&gt;"",OR(D99="Optional",D99="If Applicable",D99="To Verify")),"• "&amp;C99&amp;" ("&amp;D99&amp;")",""),IF(AND(E99&lt;&gt;"",OR(F99="Optional",F99="If Applicable",F99="To Verify")),"• "&amp;E99&amp;" ("&amp;F99&amp;")",""),IF(AND(G99&lt;&gt;"",OR(H99="Optional",H99="If Applicable",H99="To Verify")),"• "&amp;G99&amp;" ("&amp;H99&amp;")",""),IF(AND(I99&lt;&gt;"",OR(J99="Optional",J99="If Applicable",J99="To Verify")),"• "&amp;I99&amp;" ("&amp;J99&amp;")",""),IF(AND(K99&lt;&gt;"",OR(L99="Optional",L99="If Applicable",L99="To Verify")),"• "&amp;K99&amp;" ("&amp;L99&amp;")",""),IF(AND(M99&lt;&gt;"",OR(N99="Optional",N99="If Applicable",N99="To Verify")),"• "&amp;M99&amp;" ("&amp;N99&amp;")",""),IF(AND(O99&lt;&gt;"",OR(P99="Optional",P99="If Applicable",P99="To Verify")),"• "&amp;O99&amp;" ("&amp;P99&amp;")",""),IF(AND(Q99&lt;&gt;"",OR(R99="Optional",R99="If Applicable",R99="To Verify")),"• "&amp;Q99&amp;" ("&amp;R99&amp;")",""))</f>
        <v>• Ration Card (If Applicable)
• Address Proof (To Verify)</v>
      </c>
    </row>
    <row r="100" customFormat="false" ht="23.85" hidden="false" customHeight="false" outlineLevel="0" collapsed="false">
      <c r="A100" s="6" t="s">
        <v>1246</v>
      </c>
      <c r="B100" s="7" t="str">
        <f aca="false">IF($A100="","",IFERROR(INDEX(MASTER_DATABASE!$E$4:$E$1000,MATCH($A100,MASTER_DATABASE!$A$4:$A$1000,0)),""))</f>
        <v>Ration Card – Status Check / Download</v>
      </c>
      <c r="C100" s="6" t="s">
        <v>3433</v>
      </c>
      <c r="D100" s="6" t="s">
        <v>3436</v>
      </c>
      <c r="E100" s="6" t="s">
        <v>1224</v>
      </c>
      <c r="F100" s="6" t="s">
        <v>3453</v>
      </c>
      <c r="G100" s="6" t="s">
        <v>3456</v>
      </c>
      <c r="H100" s="6" t="s">
        <v>75</v>
      </c>
      <c r="I100" s="6" t="s">
        <v>3478</v>
      </c>
      <c r="J100" s="6" t="s">
        <v>3436</v>
      </c>
      <c r="K100" s="6"/>
      <c r="L100" s="6"/>
      <c r="M100" s="6"/>
      <c r="N100" s="6"/>
      <c r="O100" s="6"/>
      <c r="P100" s="6"/>
      <c r="Q100" s="6"/>
      <c r="R100" s="6"/>
      <c r="S100" s="7" t="str">
        <f aca="false">_xlfn.TEXTJOIN(CHAR(10),TRUE(),IF(AND(C100&lt;&gt;"",D100="Mandatory"),"✓ "&amp;C100,""),IF(AND(E100&lt;&gt;"",F100="Mandatory"),"✓ "&amp;E100,""),IF(AND(G100&lt;&gt;"",H100="Mandatory"),"✓ "&amp;G100,""),IF(AND(I100&lt;&gt;"",J100="Mandatory"),"✓ "&amp;I100,""),IF(AND(K100&lt;&gt;"",L100="Mandatory"),"✓ "&amp;K100,""),IF(AND(M100&lt;&gt;"",N100="Mandatory"),"✓ "&amp;M100,""),IF(AND(O100&lt;&gt;"",P100="Mandatory"),"✓ "&amp;O100,""),IF(AND(Q100&lt;&gt;"",R100="Mandatory"),"✓ "&amp;Q100,""))</f>
        <v>✓ Aadhaar Card
✓ Active Mobile Number</v>
      </c>
      <c r="T100" s="7" t="str">
        <f aca="false">_xlfn.TEXTJOIN(CHAR(10),TRUE(),IF(AND(C100&lt;&gt;"",OR(D100="Optional",D100="If Applicable",D100="To Verify")),"• "&amp;C100&amp;" ("&amp;D100&amp;")",""),IF(AND(E100&lt;&gt;"",OR(F100="Optional",F100="If Applicable",F100="To Verify")),"• "&amp;E100&amp;" ("&amp;F100&amp;")",""),IF(AND(G100&lt;&gt;"",OR(H100="Optional",H100="If Applicable",H100="To Verify")),"• "&amp;G100&amp;" ("&amp;H100&amp;")",""),IF(AND(I100&lt;&gt;"",OR(J100="Optional",J100="If Applicable",J100="To Verify")),"• "&amp;I100&amp;" ("&amp;J100&amp;")",""),IF(AND(K100&lt;&gt;"",OR(L100="Optional",L100="If Applicable",L100="To Verify")),"• "&amp;K100&amp;" ("&amp;L100&amp;")",""),IF(AND(M100&lt;&gt;"",OR(N100="Optional",N100="If Applicable",N100="To Verify")),"• "&amp;M100&amp;" ("&amp;N100&amp;")",""),IF(AND(O100&lt;&gt;"",OR(P100="Optional",P100="If Applicable",P100="To Verify")),"• "&amp;O100&amp;" ("&amp;P100&amp;")",""),IF(AND(Q100&lt;&gt;"",OR(R100="Optional",R100="If Applicable",R100="To Verify")),"• "&amp;Q100&amp;" ("&amp;R100&amp;")",""))</f>
        <v>• Ration Card (If Applicable)
• Address Proof (To Verify)</v>
      </c>
    </row>
    <row r="101" customFormat="false" ht="35.05" hidden="false" customHeight="false" outlineLevel="0" collapsed="false">
      <c r="A101" s="6" t="s">
        <v>1256</v>
      </c>
      <c r="B101" s="7" t="str">
        <f aca="false">IF($A101="","",IFERROR(INDEX(MASTER_DATABASE!$E$4:$E$1000,MATCH($A101,MASTER_DATABASE!$A$4:$A$1000,0)),""))</f>
        <v>Land Record (Jamabandi / Khatiyan) Copy Download</v>
      </c>
      <c r="C101" s="6" t="s">
        <v>3511</v>
      </c>
      <c r="D101" s="6" t="s">
        <v>3436</v>
      </c>
      <c r="E101" s="6" t="s">
        <v>3433</v>
      </c>
      <c r="F101" s="6" t="s">
        <v>3436</v>
      </c>
      <c r="G101" s="6" t="s">
        <v>3478</v>
      </c>
      <c r="H101" s="6" t="s">
        <v>3436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7" t="str">
        <f aca="false">_xlfn.TEXTJOIN(CHAR(10),TRUE(),IF(AND(C101&lt;&gt;"",D101="Mandatory"),"✓ "&amp;C101,""),IF(AND(E101&lt;&gt;"",F101="Mandatory"),"✓ "&amp;E101,""),IF(AND(G101&lt;&gt;"",H101="Mandatory"),"✓ "&amp;G101,""),IF(AND(I101&lt;&gt;"",J101="Mandatory"),"✓ "&amp;I101,""),IF(AND(K101&lt;&gt;"",L101="Mandatory"),"✓ "&amp;K101,""),IF(AND(M101&lt;&gt;"",N101="Mandatory"),"✓ "&amp;M101,""),IF(AND(O101&lt;&gt;"",P101="Mandatory"),"✓ "&amp;O101,""),IF(AND(Q101&lt;&gt;"",R101="Mandatory"),"✓ "&amp;Q101,""))</f>
        <v>✓ Land Records
✓ Aadhaar Card
✓ Active Mobile Number</v>
      </c>
      <c r="T101" s="7" t="str">
        <f aca="false">_xlfn.TEXTJOIN(CHAR(10),TRUE(),IF(AND(C101&lt;&gt;"",OR(D101="Optional",D101="If Applicable",D101="To Verify")),"• "&amp;C101&amp;" ("&amp;D101&amp;")",""),IF(AND(E101&lt;&gt;"",OR(F101="Optional",F101="If Applicable",F101="To Verify")),"• "&amp;E101&amp;" ("&amp;F101&amp;")",""),IF(AND(G101&lt;&gt;"",OR(H101="Optional",H101="If Applicable",H101="To Verify")),"• "&amp;G101&amp;" ("&amp;H101&amp;")",""),IF(AND(I101&lt;&gt;"",OR(J101="Optional",J101="If Applicable",J101="To Verify")),"• "&amp;I101&amp;" ("&amp;J101&amp;")",""),IF(AND(K101&lt;&gt;"",OR(L101="Optional",L101="If Applicable",L101="To Verify")),"• "&amp;K101&amp;" ("&amp;L101&amp;")",""),IF(AND(M101&lt;&gt;"",OR(N101="Optional",N101="If Applicable",N101="To Verify")),"• "&amp;M101&amp;" ("&amp;N101&amp;")",""),IF(AND(O101&lt;&gt;"",OR(P101="Optional",P101="If Applicable",P101="To Verify")),"• "&amp;O101&amp;" ("&amp;P101&amp;")",""),IF(AND(Q101&lt;&gt;"",OR(R101="Optional",R101="If Applicable",R101="To Verify")),"• "&amp;Q101&amp;" ("&amp;R101&amp;")",""))</f>
        <v/>
      </c>
    </row>
    <row r="102" customFormat="false" ht="35.05" hidden="false" customHeight="false" outlineLevel="0" collapsed="false">
      <c r="A102" s="6" t="s">
        <v>1269</v>
      </c>
      <c r="B102" s="7" t="str">
        <f aca="false">IF($A102="","",IFERROR(INDEX(MASTER_DATABASE!$E$4:$E$1000,MATCH($A102,MASTER_DATABASE!$A$4:$A$1000,0)),""))</f>
        <v>Land Mutation (Dakhil-Kharij) Application Assistance</v>
      </c>
      <c r="C102" s="6" t="s">
        <v>3511</v>
      </c>
      <c r="D102" s="6" t="s">
        <v>3436</v>
      </c>
      <c r="E102" s="6" t="s">
        <v>3433</v>
      </c>
      <c r="F102" s="6" t="s">
        <v>3436</v>
      </c>
      <c r="G102" s="6" t="s">
        <v>3478</v>
      </c>
      <c r="H102" s="6" t="s">
        <v>3436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7" t="str">
        <f aca="false">_xlfn.TEXTJOIN(CHAR(10),TRUE(),IF(AND(C102&lt;&gt;"",D102="Mandatory"),"✓ "&amp;C102,""),IF(AND(E102&lt;&gt;"",F102="Mandatory"),"✓ "&amp;E102,""),IF(AND(G102&lt;&gt;"",H102="Mandatory"),"✓ "&amp;G102,""),IF(AND(I102&lt;&gt;"",J102="Mandatory"),"✓ "&amp;I102,""),IF(AND(K102&lt;&gt;"",L102="Mandatory"),"✓ "&amp;K102,""),IF(AND(M102&lt;&gt;"",N102="Mandatory"),"✓ "&amp;M102,""),IF(AND(O102&lt;&gt;"",P102="Mandatory"),"✓ "&amp;O102,""),IF(AND(Q102&lt;&gt;"",R102="Mandatory"),"✓ "&amp;Q102,""))</f>
        <v>✓ Land Records
✓ Aadhaar Card
✓ Active Mobile Number</v>
      </c>
      <c r="T102" s="7" t="str">
        <f aca="false">_xlfn.TEXTJOIN(CHAR(10),TRUE(),IF(AND(C102&lt;&gt;"",OR(D102="Optional",D102="If Applicable",D102="To Verify")),"• "&amp;C102&amp;" ("&amp;D102&amp;")",""),IF(AND(E102&lt;&gt;"",OR(F102="Optional",F102="If Applicable",F102="To Verify")),"• "&amp;E102&amp;" ("&amp;F102&amp;")",""),IF(AND(G102&lt;&gt;"",OR(H102="Optional",H102="If Applicable",H102="To Verify")),"• "&amp;G102&amp;" ("&amp;H102&amp;")",""),IF(AND(I102&lt;&gt;"",OR(J102="Optional",J102="If Applicable",J102="To Verify")),"• "&amp;I102&amp;" ("&amp;J102&amp;")",""),IF(AND(K102&lt;&gt;"",OR(L102="Optional",L102="If Applicable",L102="To Verify")),"• "&amp;K102&amp;" ("&amp;L102&amp;")",""),IF(AND(M102&lt;&gt;"",OR(N102="Optional",N102="If Applicable",N102="To Verify")),"• "&amp;M102&amp;" ("&amp;N102&amp;")",""),IF(AND(O102&lt;&gt;"",OR(P102="Optional",P102="If Applicable",P102="To Verify")),"• "&amp;O102&amp;" ("&amp;P102&amp;")",""),IF(AND(Q102&lt;&gt;"",OR(R102="Optional",R102="If Applicable",R102="To Verify")),"• "&amp;Q102&amp;" ("&amp;R102&amp;")",""))</f>
        <v/>
      </c>
    </row>
    <row r="103" customFormat="false" ht="35.05" hidden="false" customHeight="false" outlineLevel="0" collapsed="false">
      <c r="A103" s="6" t="s">
        <v>1279</v>
      </c>
      <c r="B103" s="7" t="str">
        <f aca="false">IF($A103="","",IFERROR(INDEX(MASTER_DATABASE!$E$4:$E$1000,MATCH($A103,MASTER_DATABASE!$A$4:$A$1000,0)),""))</f>
        <v>Land Rent (Lagaan) Online Payment Assistance</v>
      </c>
      <c r="C103" s="6" t="s">
        <v>3511</v>
      </c>
      <c r="D103" s="6" t="s">
        <v>3436</v>
      </c>
      <c r="E103" s="6" t="s">
        <v>3433</v>
      </c>
      <c r="F103" s="6" t="s">
        <v>3436</v>
      </c>
      <c r="G103" s="6" t="s">
        <v>3478</v>
      </c>
      <c r="H103" s="6" t="s">
        <v>3436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7" t="str">
        <f aca="false">_xlfn.TEXTJOIN(CHAR(10),TRUE(),IF(AND(C103&lt;&gt;"",D103="Mandatory"),"✓ "&amp;C103,""),IF(AND(E103&lt;&gt;"",F103="Mandatory"),"✓ "&amp;E103,""),IF(AND(G103&lt;&gt;"",H103="Mandatory"),"✓ "&amp;G103,""),IF(AND(I103&lt;&gt;"",J103="Mandatory"),"✓ "&amp;I103,""),IF(AND(K103&lt;&gt;"",L103="Mandatory"),"✓ "&amp;K103,""),IF(AND(M103&lt;&gt;"",N103="Mandatory"),"✓ "&amp;M103,""),IF(AND(O103&lt;&gt;"",P103="Mandatory"),"✓ "&amp;O103,""),IF(AND(Q103&lt;&gt;"",R103="Mandatory"),"✓ "&amp;Q103,""))</f>
        <v>✓ Land Records
✓ Aadhaar Card
✓ Active Mobile Number</v>
      </c>
      <c r="T103" s="7" t="str">
        <f aca="false">_xlfn.TEXTJOIN(CHAR(10),TRUE(),IF(AND(C103&lt;&gt;"",OR(D103="Optional",D103="If Applicable",D103="To Verify")),"• "&amp;C103&amp;" ("&amp;D103&amp;")",""),IF(AND(E103&lt;&gt;"",OR(F103="Optional",F103="If Applicable",F103="To Verify")),"• "&amp;E103&amp;" ("&amp;F103&amp;")",""),IF(AND(G103&lt;&gt;"",OR(H103="Optional",H103="If Applicable",H103="To Verify")),"• "&amp;G103&amp;" ("&amp;H103&amp;")",""),IF(AND(I103&lt;&gt;"",OR(J103="Optional",J103="If Applicable",J103="To Verify")),"• "&amp;I103&amp;" ("&amp;J103&amp;")",""),IF(AND(K103&lt;&gt;"",OR(L103="Optional",L103="If Applicable",L103="To Verify")),"• "&amp;K103&amp;" ("&amp;L103&amp;")",""),IF(AND(M103&lt;&gt;"",OR(N103="Optional",N103="If Applicable",N103="To Verify")),"• "&amp;M103&amp;" ("&amp;N103&amp;")",""),IF(AND(O103&lt;&gt;"",OR(P103="Optional",P103="If Applicable",P103="To Verify")),"• "&amp;O103&amp;" ("&amp;P103&amp;")",""),IF(AND(Q103&lt;&gt;"",OR(R103="Optional",R103="If Applicable",R103="To Verify")),"• "&amp;Q103&amp;" ("&amp;R103&amp;")",""))</f>
        <v/>
      </c>
    </row>
    <row r="104" customFormat="false" ht="23.85" hidden="false" customHeight="false" outlineLevel="0" collapsed="false">
      <c r="A104" s="6" t="s">
        <v>1289</v>
      </c>
      <c r="B104" s="7" t="str">
        <f aca="false">IF($A104="","",IFERROR(INDEX(MASTER_DATABASE!$E$4:$E$1000,MATCH($A104,MASTER_DATABASE!$A$4:$A$1000,0)),""))</f>
        <v>Public Service Application (RTPS / e-Service) – General</v>
      </c>
      <c r="C104" s="6" t="s">
        <v>3433</v>
      </c>
      <c r="D104" s="6" t="s">
        <v>3436</v>
      </c>
      <c r="E104" s="6" t="s">
        <v>3478</v>
      </c>
      <c r="F104" s="6" t="s">
        <v>3436</v>
      </c>
      <c r="G104" s="6" t="s">
        <v>3595</v>
      </c>
      <c r="H104" s="6" t="s">
        <v>3453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7" t="str">
        <f aca="false">_xlfn.TEXTJOIN(CHAR(10),TRUE(),IF(AND(C104&lt;&gt;"",D104="Mandatory"),"✓ "&amp;C104,""),IF(AND(E104&lt;&gt;"",F104="Mandatory"),"✓ "&amp;E104,""),IF(AND(G104&lt;&gt;"",H104="Mandatory"),"✓ "&amp;G104,""),IF(AND(I104&lt;&gt;"",J104="Mandatory"),"✓ "&amp;I104,""),IF(AND(K104&lt;&gt;"",L104="Mandatory"),"✓ "&amp;K104,""),IF(AND(M104&lt;&gt;"",N104="Mandatory"),"✓ "&amp;M104,""),IF(AND(O104&lt;&gt;"",P104="Mandatory"),"✓ "&amp;O104,""),IF(AND(Q104&lt;&gt;"",R104="Mandatory"),"✓ "&amp;Q104,""))</f>
        <v>✓ Aadhaar Card
✓ Active Mobile Number</v>
      </c>
      <c r="T104" s="7" t="str">
        <f aca="false">_xlfn.TEXTJOIN(CHAR(10),TRUE(),IF(AND(C104&lt;&gt;"",OR(D104="Optional",D104="If Applicable",D104="To Verify")),"• "&amp;C104&amp;" ("&amp;D104&amp;")",""),IF(AND(E104&lt;&gt;"",OR(F104="Optional",F104="If Applicable",F104="To Verify")),"• "&amp;E104&amp;" ("&amp;F104&amp;")",""),IF(AND(G104&lt;&gt;"",OR(H104="Optional",H104="If Applicable",H104="To Verify")),"• "&amp;G104&amp;" ("&amp;H104&amp;")",""),IF(AND(I104&lt;&gt;"",OR(J104="Optional",J104="If Applicable",J104="To Verify")),"• "&amp;I104&amp;" ("&amp;J104&amp;")",""),IF(AND(K104&lt;&gt;"",OR(L104="Optional",L104="If Applicable",L104="To Verify")),"• "&amp;K104&amp;" ("&amp;L104&amp;")",""),IF(AND(M104&lt;&gt;"",OR(N104="Optional",N104="If Applicable",N104="To Verify")),"• "&amp;M104&amp;" ("&amp;N104&amp;")",""),IF(AND(O104&lt;&gt;"",OR(P104="Optional",P104="If Applicable",P104="To Verify")),"• "&amp;O104&amp;" ("&amp;P104&amp;")",""),IF(AND(Q104&lt;&gt;"",OR(R104="Optional",R104="If Applicable",R104="To Verify")),"• "&amp;Q104&amp;" ("&amp;R104&amp;")",""))</f>
        <v>• Reference / Application Number (If Applicable)</v>
      </c>
    </row>
    <row r="105" customFormat="false" ht="23.85" hidden="false" customHeight="false" outlineLevel="0" collapsed="false">
      <c r="A105" s="6" t="s">
        <v>1300</v>
      </c>
      <c r="B105" s="7" t="str">
        <f aca="false">IF($A105="","",IFERROR(INDEX(MASTER_DATABASE!$E$4:$E$1000,MATCH($A105,MASTER_DATABASE!$A$4:$A$1000,0)),""))</f>
        <v>Online Government Application – General</v>
      </c>
      <c r="C105" s="6" t="s">
        <v>3433</v>
      </c>
      <c r="D105" s="6" t="s">
        <v>3436</v>
      </c>
      <c r="E105" s="6" t="s">
        <v>3478</v>
      </c>
      <c r="F105" s="6" t="s">
        <v>3436</v>
      </c>
      <c r="G105" s="6" t="s">
        <v>3595</v>
      </c>
      <c r="H105" s="6" t="s">
        <v>3453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7" t="str">
        <f aca="false">_xlfn.TEXTJOIN(CHAR(10),TRUE(),IF(AND(C105&lt;&gt;"",D105="Mandatory"),"✓ "&amp;C105,""),IF(AND(E105&lt;&gt;"",F105="Mandatory"),"✓ "&amp;E105,""),IF(AND(G105&lt;&gt;"",H105="Mandatory"),"✓ "&amp;G105,""),IF(AND(I105&lt;&gt;"",J105="Mandatory"),"✓ "&amp;I105,""),IF(AND(K105&lt;&gt;"",L105="Mandatory"),"✓ "&amp;K105,""),IF(AND(M105&lt;&gt;"",N105="Mandatory"),"✓ "&amp;M105,""),IF(AND(O105&lt;&gt;"",P105="Mandatory"),"✓ "&amp;O105,""),IF(AND(Q105&lt;&gt;"",R105="Mandatory"),"✓ "&amp;Q105,""))</f>
        <v>✓ Aadhaar Card
✓ Active Mobile Number</v>
      </c>
      <c r="T105" s="7" t="str">
        <f aca="false">_xlfn.TEXTJOIN(CHAR(10),TRUE(),IF(AND(C105&lt;&gt;"",OR(D105="Optional",D105="If Applicable",D105="To Verify")),"• "&amp;C105&amp;" ("&amp;D105&amp;")",""),IF(AND(E105&lt;&gt;"",OR(F105="Optional",F105="If Applicable",F105="To Verify")),"• "&amp;E105&amp;" ("&amp;F105&amp;")",""),IF(AND(G105&lt;&gt;"",OR(H105="Optional",H105="If Applicable",H105="To Verify")),"• "&amp;G105&amp;" ("&amp;H105&amp;")",""),IF(AND(I105&lt;&gt;"",OR(J105="Optional",J105="If Applicable",J105="To Verify")),"• "&amp;I105&amp;" ("&amp;J105&amp;")",""),IF(AND(K105&lt;&gt;"",OR(L105="Optional",L105="If Applicable",L105="To Verify")),"• "&amp;K105&amp;" ("&amp;L105&amp;")",""),IF(AND(M105&lt;&gt;"",OR(N105="Optional",N105="If Applicable",N105="To Verify")),"• "&amp;M105&amp;" ("&amp;N105&amp;")",""),IF(AND(O105&lt;&gt;"",OR(P105="Optional",P105="If Applicable",P105="To Verify")),"• "&amp;O105&amp;" ("&amp;P105&amp;")",""),IF(AND(Q105&lt;&gt;"",OR(R105="Optional",R105="If Applicable",R105="To Verify")),"• "&amp;Q105&amp;" ("&amp;R105&amp;")",""))</f>
        <v>• Reference / Application Number (If Applicable)</v>
      </c>
    </row>
    <row r="106" customFormat="false" ht="23.85" hidden="false" customHeight="false" outlineLevel="0" collapsed="false">
      <c r="A106" s="6" t="s">
        <v>1310</v>
      </c>
      <c r="B106" s="7" t="str">
        <f aca="false">IF($A106="","",IFERROR(INDEX(MASTER_DATABASE!$E$4:$E$1000,MATCH($A106,MASTER_DATABASE!$A$4:$A$1000,0)),""))</f>
        <v>Application Status Check</v>
      </c>
      <c r="C106" s="6" t="s">
        <v>3433</v>
      </c>
      <c r="D106" s="6" t="s">
        <v>3436</v>
      </c>
      <c r="E106" s="6" t="s">
        <v>3478</v>
      </c>
      <c r="F106" s="6" t="s">
        <v>3436</v>
      </c>
      <c r="G106" s="6" t="s">
        <v>3595</v>
      </c>
      <c r="H106" s="6" t="s">
        <v>3453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7" t="str">
        <f aca="false">_xlfn.TEXTJOIN(CHAR(10),TRUE(),IF(AND(C106&lt;&gt;"",D106="Mandatory"),"✓ "&amp;C106,""),IF(AND(E106&lt;&gt;"",F106="Mandatory"),"✓ "&amp;E106,""),IF(AND(G106&lt;&gt;"",H106="Mandatory"),"✓ "&amp;G106,""),IF(AND(I106&lt;&gt;"",J106="Mandatory"),"✓ "&amp;I106,""),IF(AND(K106&lt;&gt;"",L106="Mandatory"),"✓ "&amp;K106,""),IF(AND(M106&lt;&gt;"",N106="Mandatory"),"✓ "&amp;M106,""),IF(AND(O106&lt;&gt;"",P106="Mandatory"),"✓ "&amp;O106,""),IF(AND(Q106&lt;&gt;"",R106="Mandatory"),"✓ "&amp;Q106,""))</f>
        <v>✓ Aadhaar Card
✓ Active Mobile Number</v>
      </c>
      <c r="T106" s="7" t="str">
        <f aca="false">_xlfn.TEXTJOIN(CHAR(10),TRUE(),IF(AND(C106&lt;&gt;"",OR(D106="Optional",D106="If Applicable",D106="To Verify")),"• "&amp;C106&amp;" ("&amp;D106&amp;")",""),IF(AND(E106&lt;&gt;"",OR(F106="Optional",F106="If Applicable",F106="To Verify")),"• "&amp;E106&amp;" ("&amp;F106&amp;")",""),IF(AND(G106&lt;&gt;"",OR(H106="Optional",H106="If Applicable",H106="To Verify")),"• "&amp;G106&amp;" ("&amp;H106&amp;")",""),IF(AND(I106&lt;&gt;"",OR(J106="Optional",J106="If Applicable",J106="To Verify")),"• "&amp;I106&amp;" ("&amp;J106&amp;")",""),IF(AND(K106&lt;&gt;"",OR(L106="Optional",L106="If Applicable",L106="To Verify")),"• "&amp;K106&amp;" ("&amp;L106&amp;")",""),IF(AND(M106&lt;&gt;"",OR(N106="Optional",N106="If Applicable",N106="To Verify")),"• "&amp;M106&amp;" ("&amp;N106&amp;")",""),IF(AND(O106&lt;&gt;"",OR(P106="Optional",P106="If Applicable",P106="To Verify")),"• "&amp;O106&amp;" ("&amp;P106&amp;")",""),IF(AND(Q106&lt;&gt;"",OR(R106="Optional",R106="If Applicable",R106="To Verify")),"• "&amp;Q106&amp;" ("&amp;R106&amp;")",""))</f>
        <v>• Reference / Application Number (If Applicable)</v>
      </c>
    </row>
    <row r="107" customFormat="false" ht="23.85" hidden="false" customHeight="false" outlineLevel="0" collapsed="false">
      <c r="A107" s="6" t="s">
        <v>1320</v>
      </c>
      <c r="B107" s="7" t="str">
        <f aca="false">IF($A107="","",IFERROR(INDEX(MASTER_DATABASE!$E$4:$E$1000,MATCH($A107,MASTER_DATABASE!$A$4:$A$1000,0)),""))</f>
        <v>Application Acknowledgement / Receipt Print</v>
      </c>
      <c r="C107" s="6" t="s">
        <v>3433</v>
      </c>
      <c r="D107" s="6" t="s">
        <v>3436</v>
      </c>
      <c r="E107" s="6" t="s">
        <v>3478</v>
      </c>
      <c r="F107" s="6" t="s">
        <v>3436</v>
      </c>
      <c r="G107" s="6" t="s">
        <v>3595</v>
      </c>
      <c r="H107" s="6" t="s">
        <v>3453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7" t="str">
        <f aca="false">_xlfn.TEXTJOIN(CHAR(10),TRUE(),IF(AND(C107&lt;&gt;"",D107="Mandatory"),"✓ "&amp;C107,""),IF(AND(E107&lt;&gt;"",F107="Mandatory"),"✓ "&amp;E107,""),IF(AND(G107&lt;&gt;"",H107="Mandatory"),"✓ "&amp;G107,""),IF(AND(I107&lt;&gt;"",J107="Mandatory"),"✓ "&amp;I107,""),IF(AND(K107&lt;&gt;"",L107="Mandatory"),"✓ "&amp;K107,""),IF(AND(M107&lt;&gt;"",N107="Mandatory"),"✓ "&amp;M107,""),IF(AND(O107&lt;&gt;"",P107="Mandatory"),"✓ "&amp;O107,""),IF(AND(Q107&lt;&gt;"",R107="Mandatory"),"✓ "&amp;Q107,""))</f>
        <v>✓ Aadhaar Card
✓ Active Mobile Number</v>
      </c>
      <c r="T107" s="7" t="str">
        <f aca="false">_xlfn.TEXTJOIN(CHAR(10),TRUE(),IF(AND(C107&lt;&gt;"",OR(D107="Optional",D107="If Applicable",D107="To Verify")),"• "&amp;C107&amp;" ("&amp;D107&amp;")",""),IF(AND(E107&lt;&gt;"",OR(F107="Optional",F107="If Applicable",F107="To Verify")),"• "&amp;E107&amp;" ("&amp;F107&amp;")",""),IF(AND(G107&lt;&gt;"",OR(H107="Optional",H107="If Applicable",H107="To Verify")),"• "&amp;G107&amp;" ("&amp;H107&amp;")",""),IF(AND(I107&lt;&gt;"",OR(J107="Optional",J107="If Applicable",J107="To Verify")),"• "&amp;I107&amp;" ("&amp;J107&amp;")",""),IF(AND(K107&lt;&gt;"",OR(L107="Optional",L107="If Applicable",L107="To Verify")),"• "&amp;K107&amp;" ("&amp;L107&amp;")",""),IF(AND(M107&lt;&gt;"",OR(N107="Optional",N107="If Applicable",N107="To Verify")),"• "&amp;M107&amp;" ("&amp;N107&amp;")",""),IF(AND(O107&lt;&gt;"",OR(P107="Optional",P107="If Applicable",P107="To Verify")),"• "&amp;O107&amp;" ("&amp;P107&amp;")",""),IF(AND(Q107&lt;&gt;"",OR(R107="Optional",R107="If Applicable",R107="To Verify")),"• "&amp;Q107&amp;" ("&amp;R107&amp;")",""))</f>
        <v>• Reference / Application Number (If Applicable)</v>
      </c>
    </row>
    <row r="108" customFormat="false" ht="23.85" hidden="false" customHeight="false" outlineLevel="0" collapsed="false">
      <c r="A108" s="6" t="s">
        <v>1330</v>
      </c>
      <c r="B108" s="7" t="str">
        <f aca="false">IF($A108="","",IFERROR(INDEX(MASTER_DATABASE!$E$4:$E$1000,MATCH($A108,MASTER_DATABASE!$A$4:$A$1000,0)),""))</f>
        <v>Public Grievance / Complaint Filing Assistance</v>
      </c>
      <c r="C108" s="6" t="s">
        <v>3433</v>
      </c>
      <c r="D108" s="6" t="s">
        <v>3436</v>
      </c>
      <c r="E108" s="6" t="s">
        <v>3478</v>
      </c>
      <c r="F108" s="6" t="s">
        <v>3436</v>
      </c>
      <c r="G108" s="6" t="s">
        <v>3595</v>
      </c>
      <c r="H108" s="6" t="s">
        <v>3453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7" t="str">
        <f aca="false">_xlfn.TEXTJOIN(CHAR(10),TRUE(),IF(AND(C108&lt;&gt;"",D108="Mandatory"),"✓ "&amp;C108,""),IF(AND(E108&lt;&gt;"",F108="Mandatory"),"✓ "&amp;E108,""),IF(AND(G108&lt;&gt;"",H108="Mandatory"),"✓ "&amp;G108,""),IF(AND(I108&lt;&gt;"",J108="Mandatory"),"✓ "&amp;I108,""),IF(AND(K108&lt;&gt;"",L108="Mandatory"),"✓ "&amp;K108,""),IF(AND(M108&lt;&gt;"",N108="Mandatory"),"✓ "&amp;M108,""),IF(AND(O108&lt;&gt;"",P108="Mandatory"),"✓ "&amp;O108,""),IF(AND(Q108&lt;&gt;"",R108="Mandatory"),"✓ "&amp;Q108,""))</f>
        <v>✓ Aadhaar Card
✓ Active Mobile Number</v>
      </c>
      <c r="T108" s="7" t="str">
        <f aca="false">_xlfn.TEXTJOIN(CHAR(10),TRUE(),IF(AND(C108&lt;&gt;"",OR(D108="Optional",D108="If Applicable",D108="To Verify")),"• "&amp;C108&amp;" ("&amp;D108&amp;")",""),IF(AND(E108&lt;&gt;"",OR(F108="Optional",F108="If Applicable",F108="To Verify")),"• "&amp;E108&amp;" ("&amp;F108&amp;")",""),IF(AND(G108&lt;&gt;"",OR(H108="Optional",H108="If Applicable",H108="To Verify")),"• "&amp;G108&amp;" ("&amp;H108&amp;")",""),IF(AND(I108&lt;&gt;"",OR(J108="Optional",J108="If Applicable",J108="To Verify")),"• "&amp;I108&amp;" ("&amp;J108&amp;")",""),IF(AND(K108&lt;&gt;"",OR(L108="Optional",L108="If Applicable",L108="To Verify")),"• "&amp;K108&amp;" ("&amp;L108&amp;")",""),IF(AND(M108&lt;&gt;"",OR(N108="Optional",N108="If Applicable",N108="To Verify")),"• "&amp;M108&amp;" ("&amp;N108&amp;")",""),IF(AND(O108&lt;&gt;"",OR(P108="Optional",P108="If Applicable",P108="To Verify")),"• "&amp;O108&amp;" ("&amp;P108&amp;")",""),IF(AND(Q108&lt;&gt;"",OR(R108="Optional",R108="If Applicable",R108="To Verify")),"• "&amp;Q108&amp;" ("&amp;R108&amp;")",""))</f>
        <v>• Reference / Application Number (If Applicable)</v>
      </c>
    </row>
    <row r="109" customFormat="false" ht="46.25" hidden="false" customHeight="false" outlineLevel="0" collapsed="false">
      <c r="A109" s="6" t="s">
        <v>1340</v>
      </c>
      <c r="B109" s="7" t="str">
        <f aca="false">IF($A109="","",IFERROR(INDEX(MASTER_DATABASE!$E$4:$E$1000,MATCH($A109,MASTER_DATABASE!$A$4:$A$1000,0)),""))</f>
        <v>Passport Application Assistance</v>
      </c>
      <c r="C109" s="6" t="s">
        <v>3433</v>
      </c>
      <c r="D109" s="6" t="s">
        <v>3436</v>
      </c>
      <c r="E109" s="6" t="s">
        <v>3478</v>
      </c>
      <c r="F109" s="6" t="s">
        <v>3436</v>
      </c>
      <c r="G109" s="6" t="s">
        <v>3456</v>
      </c>
      <c r="H109" s="6" t="s">
        <v>3436</v>
      </c>
      <c r="I109" s="6" t="s">
        <v>3465</v>
      </c>
      <c r="J109" s="6" t="s">
        <v>3436</v>
      </c>
      <c r="K109" s="6"/>
      <c r="L109" s="6"/>
      <c r="M109" s="6"/>
      <c r="N109" s="6"/>
      <c r="O109" s="6"/>
      <c r="P109" s="6"/>
      <c r="Q109" s="6"/>
      <c r="R109" s="6"/>
      <c r="S109" s="7" t="str">
        <f aca="false">_xlfn.TEXTJOIN(CHAR(10),TRUE(),IF(AND(C109&lt;&gt;"",D109="Mandatory"),"✓ "&amp;C109,""),IF(AND(E109&lt;&gt;"",F109="Mandatory"),"✓ "&amp;E109,""),IF(AND(G109&lt;&gt;"",H109="Mandatory"),"✓ "&amp;G109,""),IF(AND(I109&lt;&gt;"",J109="Mandatory"),"✓ "&amp;I109,""),IF(AND(K109&lt;&gt;"",L109="Mandatory"),"✓ "&amp;K109,""),IF(AND(M109&lt;&gt;"",N109="Mandatory"),"✓ "&amp;M109,""),IF(AND(O109&lt;&gt;"",P109="Mandatory"),"✓ "&amp;O109,""),IF(AND(Q109&lt;&gt;"",R109="Mandatory"),"✓ "&amp;Q109,""))</f>
        <v>✓ Aadhaar Card
✓ Active Mobile Number
✓ Address Proof
✓ Date of Birth Proof</v>
      </c>
      <c r="T109" s="7" t="str">
        <f aca="false">_xlfn.TEXTJOIN(CHAR(10),TRUE(),IF(AND(C109&lt;&gt;"",OR(D109="Optional",D109="If Applicable",D109="To Verify")),"• "&amp;C109&amp;" ("&amp;D109&amp;")",""),IF(AND(E109&lt;&gt;"",OR(F109="Optional",F109="If Applicable",F109="To Verify")),"• "&amp;E109&amp;" ("&amp;F109&amp;")",""),IF(AND(G109&lt;&gt;"",OR(H109="Optional",H109="If Applicable",H109="To Verify")),"• "&amp;G109&amp;" ("&amp;H109&amp;")",""),IF(AND(I109&lt;&gt;"",OR(J109="Optional",J109="If Applicable",J109="To Verify")),"• "&amp;I109&amp;" ("&amp;J109&amp;")",""),IF(AND(K109&lt;&gt;"",OR(L109="Optional",L109="If Applicable",L109="To Verify")),"• "&amp;K109&amp;" ("&amp;L109&amp;")",""),IF(AND(M109&lt;&gt;"",OR(N109="Optional",N109="If Applicable",N109="To Verify")),"• "&amp;M109&amp;" ("&amp;N109&amp;")",""),IF(AND(O109&lt;&gt;"",OR(P109="Optional",P109="If Applicable",P109="To Verify")),"• "&amp;O109&amp;" ("&amp;P109&amp;")",""),IF(AND(Q109&lt;&gt;"",OR(R109="Optional",R109="If Applicable",R109="To Verify")),"• "&amp;Q109&amp;" ("&amp;R109&amp;")",""))</f>
        <v/>
      </c>
    </row>
    <row r="110" customFormat="false" ht="57.45" hidden="false" customHeight="false" outlineLevel="0" collapsed="false">
      <c r="A110" s="6" t="s">
        <v>1357</v>
      </c>
      <c r="B110" s="7" t="str">
        <f aca="false">IF($A110="","",IFERROR(INDEX(MASTER_DATABASE!$E$4:$E$1000,MATCH($A110,MASTER_DATABASE!$A$4:$A$1000,0)),""))</f>
        <v>Driving Licence / Learner Licence Application Assistance</v>
      </c>
      <c r="C110" s="6" t="s">
        <v>3433</v>
      </c>
      <c r="D110" s="6" t="s">
        <v>3436</v>
      </c>
      <c r="E110" s="6" t="s">
        <v>3478</v>
      </c>
      <c r="F110" s="6" t="s">
        <v>3436</v>
      </c>
      <c r="G110" s="6" t="s">
        <v>3456</v>
      </c>
      <c r="H110" s="6" t="s">
        <v>3436</v>
      </c>
      <c r="I110" s="6" t="s">
        <v>3465</v>
      </c>
      <c r="J110" s="6" t="s">
        <v>3436</v>
      </c>
      <c r="K110" s="6" t="s">
        <v>2390</v>
      </c>
      <c r="L110" s="6" t="s">
        <v>3436</v>
      </c>
      <c r="M110" s="6"/>
      <c r="N110" s="6"/>
      <c r="O110" s="6"/>
      <c r="P110" s="6"/>
      <c r="Q110" s="6"/>
      <c r="R110" s="6"/>
      <c r="S110" s="7" t="str">
        <f aca="false">_xlfn.TEXTJOIN(CHAR(10),TRUE(),IF(AND(C110&lt;&gt;"",D110="Mandatory"),"✓ "&amp;C110,""),IF(AND(E110&lt;&gt;"",F110="Mandatory"),"✓ "&amp;E110,""),IF(AND(G110&lt;&gt;"",H110="Mandatory"),"✓ "&amp;G110,""),IF(AND(I110&lt;&gt;"",J110="Mandatory"),"✓ "&amp;I110,""),IF(AND(K110&lt;&gt;"",L110="Mandatory"),"✓ "&amp;K110,""),IF(AND(M110&lt;&gt;"",N110="Mandatory"),"✓ "&amp;M110,""),IF(AND(O110&lt;&gt;"",P110="Mandatory"),"✓ "&amp;O110,""),IF(AND(Q110&lt;&gt;"",R110="Mandatory"),"✓ "&amp;Q110,""))</f>
        <v>✓ Aadhaar Card
✓ Active Mobile Number
✓ Address Proof
✓ Date of Birth Proof
✓ Passport Photo</v>
      </c>
      <c r="T110" s="7" t="str">
        <f aca="false">_xlfn.TEXTJOIN(CHAR(10),TRUE(),IF(AND(C110&lt;&gt;"",OR(D110="Optional",D110="If Applicable",D110="To Verify")),"• "&amp;C110&amp;" ("&amp;D110&amp;")",""),IF(AND(E110&lt;&gt;"",OR(F110="Optional",F110="If Applicable",F110="To Verify")),"• "&amp;E110&amp;" ("&amp;F110&amp;")",""),IF(AND(G110&lt;&gt;"",OR(H110="Optional",H110="If Applicable",H110="To Verify")),"• "&amp;G110&amp;" ("&amp;H110&amp;")",""),IF(AND(I110&lt;&gt;"",OR(J110="Optional",J110="If Applicable",J110="To Verify")),"• "&amp;I110&amp;" ("&amp;J110&amp;")",""),IF(AND(K110&lt;&gt;"",OR(L110="Optional",L110="If Applicable",L110="To Verify")),"• "&amp;K110&amp;" ("&amp;L110&amp;")",""),IF(AND(M110&lt;&gt;"",OR(N110="Optional",N110="If Applicable",N110="To Verify")),"• "&amp;M110&amp;" ("&amp;N110&amp;")",""),IF(AND(O110&lt;&gt;"",OR(P110="Optional",P110="If Applicable",P110="To Verify")),"• "&amp;O110&amp;" ("&amp;P110&amp;")",""),IF(AND(Q110&lt;&gt;"",OR(R110="Optional",R110="If Applicable",R110="To Verify")),"• "&amp;Q110&amp;" ("&amp;R110&amp;")",""))</f>
        <v/>
      </c>
    </row>
    <row r="111" customFormat="false" ht="23.85" hidden="false" customHeight="false" outlineLevel="0" collapsed="false">
      <c r="A111" s="6" t="s">
        <v>1368</v>
      </c>
      <c r="B111" s="7" t="str">
        <f aca="false">IF($A111="","",IFERROR(INDEX(MASTER_DATABASE!$E$4:$E$1000,MATCH($A111,MASTER_DATABASE!$A$4:$A$1000,0)),""))</f>
        <v>Tele-Law Consultation</v>
      </c>
      <c r="C111" s="6" t="s">
        <v>3433</v>
      </c>
      <c r="D111" s="6" t="s">
        <v>3436</v>
      </c>
      <c r="E111" s="6" t="s">
        <v>3478</v>
      </c>
      <c r="F111" s="6" t="s">
        <v>3436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7" t="str">
        <f aca="false">_xlfn.TEXTJOIN(CHAR(10),TRUE(),IF(AND(C111&lt;&gt;"",D111="Mandatory"),"✓ "&amp;C111,""),IF(AND(E111&lt;&gt;"",F111="Mandatory"),"✓ "&amp;E111,""),IF(AND(G111&lt;&gt;"",H111="Mandatory"),"✓ "&amp;G111,""),IF(AND(I111&lt;&gt;"",J111="Mandatory"),"✓ "&amp;I111,""),IF(AND(K111&lt;&gt;"",L111="Mandatory"),"✓ "&amp;K111,""),IF(AND(M111&lt;&gt;"",N111="Mandatory"),"✓ "&amp;M111,""),IF(AND(O111&lt;&gt;"",P111="Mandatory"),"✓ "&amp;O111,""),IF(AND(Q111&lt;&gt;"",R111="Mandatory"),"✓ "&amp;Q111,""))</f>
        <v>✓ Aadhaar Card
✓ Active Mobile Number</v>
      </c>
      <c r="T111" s="7" t="str">
        <f aca="false">_xlfn.TEXTJOIN(CHAR(10),TRUE(),IF(AND(C111&lt;&gt;"",OR(D111="Optional",D111="If Applicable",D111="To Verify")),"• "&amp;C111&amp;" ("&amp;D111&amp;")",""),IF(AND(E111&lt;&gt;"",OR(F111="Optional",F111="If Applicable",F111="To Verify")),"• "&amp;E111&amp;" ("&amp;F111&amp;")",""),IF(AND(G111&lt;&gt;"",OR(H111="Optional",H111="If Applicable",H111="To Verify")),"• "&amp;G111&amp;" ("&amp;H111&amp;")",""),IF(AND(I111&lt;&gt;"",OR(J111="Optional",J111="If Applicable",J111="To Verify")),"• "&amp;I111&amp;" ("&amp;J111&amp;")",""),IF(AND(K111&lt;&gt;"",OR(L111="Optional",L111="If Applicable",L111="To Verify")),"• "&amp;K111&amp;" ("&amp;L111&amp;")",""),IF(AND(M111&lt;&gt;"",OR(N111="Optional",N111="If Applicable",N111="To Verify")),"• "&amp;M111&amp;" ("&amp;N111&amp;")",""),IF(AND(O111&lt;&gt;"",OR(P111="Optional",P111="If Applicable",P111="To Verify")),"• "&amp;O111&amp;" ("&amp;P111&amp;")",""),IF(AND(Q111&lt;&gt;"",OR(R111="Optional",R111="If Applicable",R111="To Verify")),"• "&amp;Q111&amp;" ("&amp;R111&amp;")",""))</f>
        <v/>
      </c>
    </row>
    <row r="112" customFormat="false" ht="23.85" hidden="false" customHeight="false" outlineLevel="0" collapsed="false">
      <c r="A112" s="6" t="s">
        <v>1379</v>
      </c>
      <c r="B112" s="7" t="str">
        <f aca="false">IF($A112="","",IFERROR(INDEX(MASTER_DATABASE!$E$4:$E$1000,MATCH($A112,MASTER_DATABASE!$A$4:$A$1000,0)),""))</f>
        <v>Telemedicine / eSanjeevani Consultation</v>
      </c>
      <c r="C112" s="6" t="s">
        <v>3433</v>
      </c>
      <c r="D112" s="6" t="s">
        <v>3436</v>
      </c>
      <c r="E112" s="6" t="s">
        <v>3478</v>
      </c>
      <c r="F112" s="6" t="s">
        <v>3436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7" t="str">
        <f aca="false">_xlfn.TEXTJOIN(CHAR(10),TRUE(),IF(AND(C112&lt;&gt;"",D112="Mandatory"),"✓ "&amp;C112,""),IF(AND(E112&lt;&gt;"",F112="Mandatory"),"✓ "&amp;E112,""),IF(AND(G112&lt;&gt;"",H112="Mandatory"),"✓ "&amp;G112,""),IF(AND(I112&lt;&gt;"",J112="Mandatory"),"✓ "&amp;I112,""),IF(AND(K112&lt;&gt;"",L112="Mandatory"),"✓ "&amp;K112,""),IF(AND(M112&lt;&gt;"",N112="Mandatory"),"✓ "&amp;M112,""),IF(AND(O112&lt;&gt;"",P112="Mandatory"),"✓ "&amp;O112,""),IF(AND(Q112&lt;&gt;"",R112="Mandatory"),"✓ "&amp;Q112,""))</f>
        <v>✓ Aadhaar Card
✓ Active Mobile Number</v>
      </c>
      <c r="T112" s="7" t="str">
        <f aca="false">_xlfn.TEXTJOIN(CHAR(10),TRUE(),IF(AND(C112&lt;&gt;"",OR(D112="Optional",D112="If Applicable",D112="To Verify")),"• "&amp;C112&amp;" ("&amp;D112&amp;")",""),IF(AND(E112&lt;&gt;"",OR(F112="Optional",F112="If Applicable",F112="To Verify")),"• "&amp;E112&amp;" ("&amp;F112&amp;")",""),IF(AND(G112&lt;&gt;"",OR(H112="Optional",H112="If Applicable",H112="To Verify")),"• "&amp;G112&amp;" ("&amp;H112&amp;")",""),IF(AND(I112&lt;&gt;"",OR(J112="Optional",J112="If Applicable",J112="To Verify")),"• "&amp;I112&amp;" ("&amp;J112&amp;")",""),IF(AND(K112&lt;&gt;"",OR(L112="Optional",L112="If Applicable",L112="To Verify")),"• "&amp;K112&amp;" ("&amp;L112&amp;")",""),IF(AND(M112&lt;&gt;"",OR(N112="Optional",N112="If Applicable",N112="To Verify")),"• "&amp;M112&amp;" ("&amp;N112&amp;")",""),IF(AND(O112&lt;&gt;"",OR(P112="Optional",P112="If Applicable",P112="To Verify")),"• "&amp;O112&amp;" ("&amp;P112&amp;")",""),IF(AND(Q112&lt;&gt;"",OR(R112="Optional",R112="If Applicable",R112="To Verify")),"• "&amp;Q112&amp;" ("&amp;R112&amp;")",""))</f>
        <v/>
      </c>
    </row>
    <row r="113" customFormat="false" ht="23.85" hidden="false" customHeight="false" outlineLevel="0" collapsed="false">
      <c r="A113" s="6" t="s">
        <v>1389</v>
      </c>
      <c r="B113" s="7" t="str">
        <f aca="false">IF($A113="","",IFERROR(INDEX(MASTER_DATABASE!$E$4:$E$1000,MATCH($A113,MASTER_DATABASE!$A$4:$A$1000,0)),""))</f>
        <v>e-District Services (State Portal)</v>
      </c>
      <c r="C113" s="6" t="s">
        <v>3433</v>
      </c>
      <c r="D113" s="6" t="s">
        <v>3436</v>
      </c>
      <c r="E113" s="6" t="s">
        <v>3478</v>
      </c>
      <c r="F113" s="6" t="s">
        <v>3436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7" t="str">
        <f aca="false">_xlfn.TEXTJOIN(CHAR(10),TRUE(),IF(AND(C113&lt;&gt;"",D113="Mandatory"),"✓ "&amp;C113,""),IF(AND(E113&lt;&gt;"",F113="Mandatory"),"✓ "&amp;E113,""),IF(AND(G113&lt;&gt;"",H113="Mandatory"),"✓ "&amp;G113,""),IF(AND(I113&lt;&gt;"",J113="Mandatory"),"✓ "&amp;I113,""),IF(AND(K113&lt;&gt;"",L113="Mandatory"),"✓ "&amp;K113,""),IF(AND(M113&lt;&gt;"",N113="Mandatory"),"✓ "&amp;M113,""),IF(AND(O113&lt;&gt;"",P113="Mandatory"),"✓ "&amp;O113,""),IF(AND(Q113&lt;&gt;"",R113="Mandatory"),"✓ "&amp;Q113,""))</f>
        <v>✓ Aadhaar Card
✓ Active Mobile Number</v>
      </c>
      <c r="T113" s="7" t="str">
        <f aca="false">_xlfn.TEXTJOIN(CHAR(10),TRUE(),IF(AND(C113&lt;&gt;"",OR(D113="Optional",D113="If Applicable",D113="To Verify")),"• "&amp;C113&amp;" ("&amp;D113&amp;")",""),IF(AND(E113&lt;&gt;"",OR(F113="Optional",F113="If Applicable",F113="To Verify")),"• "&amp;E113&amp;" ("&amp;F113&amp;")",""),IF(AND(G113&lt;&gt;"",OR(H113="Optional",H113="If Applicable",H113="To Verify")),"• "&amp;G113&amp;" ("&amp;H113&amp;")",""),IF(AND(I113&lt;&gt;"",OR(J113="Optional",J113="If Applicable",J113="To Verify")),"• "&amp;I113&amp;" ("&amp;J113&amp;")",""),IF(AND(K113&lt;&gt;"",OR(L113="Optional",L113="If Applicable",L113="To Verify")),"• "&amp;K113&amp;" ("&amp;L113&amp;")",""),IF(AND(M113&lt;&gt;"",OR(N113="Optional",N113="If Applicable",N113="To Verify")),"• "&amp;M113&amp;" ("&amp;N113&amp;")",""),IF(AND(O113&lt;&gt;"",OR(P113="Optional",P113="If Applicable",P113="To Verify")),"• "&amp;O113&amp;" ("&amp;P113&amp;")",""),IF(AND(Q113&lt;&gt;"",OR(R113="Optional",R113="If Applicable",R113="To Verify")),"• "&amp;Q113&amp;" ("&amp;R113&amp;")",""))</f>
        <v/>
      </c>
    </row>
    <row r="114" customFormat="false" ht="23.85" hidden="false" customHeight="false" outlineLevel="0" collapsed="false">
      <c r="A114" s="6" t="s">
        <v>1401</v>
      </c>
      <c r="B114" s="7" t="str">
        <f aca="false">IF($A114="","",IFERROR(INDEX(MASTER_DATABASE!$E$4:$E$1000,MATCH($A114,MASTER_DATABASE!$A$4:$A$1000,0)),""))</f>
        <v>RTI Online Filing Assistance</v>
      </c>
      <c r="C114" s="6" t="s">
        <v>3433</v>
      </c>
      <c r="D114" s="6" t="s">
        <v>3436</v>
      </c>
      <c r="E114" s="6" t="s">
        <v>3478</v>
      </c>
      <c r="F114" s="6" t="s">
        <v>3436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7" t="str">
        <f aca="false">_xlfn.TEXTJOIN(CHAR(10),TRUE(),IF(AND(C114&lt;&gt;"",D114="Mandatory"),"✓ "&amp;C114,""),IF(AND(E114&lt;&gt;"",F114="Mandatory"),"✓ "&amp;E114,""),IF(AND(G114&lt;&gt;"",H114="Mandatory"),"✓ "&amp;G114,""),IF(AND(I114&lt;&gt;"",J114="Mandatory"),"✓ "&amp;I114,""),IF(AND(K114&lt;&gt;"",L114="Mandatory"),"✓ "&amp;K114,""),IF(AND(M114&lt;&gt;"",N114="Mandatory"),"✓ "&amp;M114,""),IF(AND(O114&lt;&gt;"",P114="Mandatory"),"✓ "&amp;O114,""),IF(AND(Q114&lt;&gt;"",R114="Mandatory"),"✓ "&amp;Q114,""))</f>
        <v>✓ Aadhaar Card
✓ Active Mobile Number</v>
      </c>
      <c r="T114" s="7" t="str">
        <f aca="false">_xlfn.TEXTJOIN(CHAR(10),TRUE(),IF(AND(C114&lt;&gt;"",OR(D114="Optional",D114="If Applicable",D114="To Verify")),"• "&amp;C114&amp;" ("&amp;D114&amp;")",""),IF(AND(E114&lt;&gt;"",OR(F114="Optional",F114="If Applicable",F114="To Verify")),"• "&amp;E114&amp;" ("&amp;F114&amp;")",""),IF(AND(G114&lt;&gt;"",OR(H114="Optional",H114="If Applicable",H114="To Verify")),"• "&amp;G114&amp;" ("&amp;H114&amp;")",""),IF(AND(I114&lt;&gt;"",OR(J114="Optional",J114="If Applicable",J114="To Verify")),"• "&amp;I114&amp;" ("&amp;J114&amp;")",""),IF(AND(K114&lt;&gt;"",OR(L114="Optional",L114="If Applicable",L114="To Verify")),"• "&amp;K114&amp;" ("&amp;L114&amp;")",""),IF(AND(M114&lt;&gt;"",OR(N114="Optional",N114="If Applicable",N114="To Verify")),"• "&amp;M114&amp;" ("&amp;N114&amp;")",""),IF(AND(O114&lt;&gt;"",OR(P114="Optional",P114="If Applicable",P114="To Verify")),"• "&amp;O114&amp;" ("&amp;P114&amp;")",""),IF(AND(Q114&lt;&gt;"",OR(R114="Optional",R114="If Applicable",R114="To Verify")),"• "&amp;Q114&amp;" ("&amp;R114&amp;")",""))</f>
        <v/>
      </c>
    </row>
    <row r="115" customFormat="false" ht="23.85" hidden="false" customHeight="false" outlineLevel="0" collapsed="false">
      <c r="A115" s="6" t="s">
        <v>1411</v>
      </c>
      <c r="B115" s="7" t="str">
        <f aca="false">IF($A115="","",IFERROR(INDEX(MASTER_DATABASE!$E$4:$E$1000,MATCH($A115,MASTER_DATABASE!$A$4:$A$1000,0)),""))</f>
        <v>Central Public Grievance (CPGRAMS) Filing Assistance</v>
      </c>
      <c r="C115" s="6" t="s">
        <v>3433</v>
      </c>
      <c r="D115" s="6" t="s">
        <v>3436</v>
      </c>
      <c r="E115" s="6" t="s">
        <v>3478</v>
      </c>
      <c r="F115" s="6" t="s">
        <v>3436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7" t="str">
        <f aca="false">_xlfn.TEXTJOIN(CHAR(10),TRUE(),IF(AND(C115&lt;&gt;"",D115="Mandatory"),"✓ "&amp;C115,""),IF(AND(E115&lt;&gt;"",F115="Mandatory"),"✓ "&amp;E115,""),IF(AND(G115&lt;&gt;"",H115="Mandatory"),"✓ "&amp;G115,""),IF(AND(I115&lt;&gt;"",J115="Mandatory"),"✓ "&amp;I115,""),IF(AND(K115&lt;&gt;"",L115="Mandatory"),"✓ "&amp;K115,""),IF(AND(M115&lt;&gt;"",N115="Mandatory"),"✓ "&amp;M115,""),IF(AND(O115&lt;&gt;"",P115="Mandatory"),"✓ "&amp;O115,""),IF(AND(Q115&lt;&gt;"",R115="Mandatory"),"✓ "&amp;Q115,""))</f>
        <v>✓ Aadhaar Card
✓ Active Mobile Number</v>
      </c>
      <c r="T115" s="7" t="str">
        <f aca="false">_xlfn.TEXTJOIN(CHAR(10),TRUE(),IF(AND(C115&lt;&gt;"",OR(D115="Optional",D115="If Applicable",D115="To Verify")),"• "&amp;C115&amp;" ("&amp;D115&amp;")",""),IF(AND(E115&lt;&gt;"",OR(F115="Optional",F115="If Applicable",F115="To Verify")),"• "&amp;E115&amp;" ("&amp;F115&amp;")",""),IF(AND(G115&lt;&gt;"",OR(H115="Optional",H115="If Applicable",H115="To Verify")),"• "&amp;G115&amp;" ("&amp;H115&amp;")",""),IF(AND(I115&lt;&gt;"",OR(J115="Optional",J115="If Applicable",J115="To Verify")),"• "&amp;I115&amp;" ("&amp;J115&amp;")",""),IF(AND(K115&lt;&gt;"",OR(L115="Optional",L115="If Applicable",L115="To Verify")),"• "&amp;K115&amp;" ("&amp;L115&amp;")",""),IF(AND(M115&lt;&gt;"",OR(N115="Optional",N115="If Applicable",N115="To Verify")),"• "&amp;M115&amp;" ("&amp;N115&amp;")",""),IF(AND(O115&lt;&gt;"",OR(P115="Optional",P115="If Applicable",P115="To Verify")),"• "&amp;O115&amp;" ("&amp;P115&amp;")",""),IF(AND(Q115&lt;&gt;"",OR(R115="Optional",R115="If Applicable",R115="To Verify")),"• "&amp;Q115&amp;" ("&amp;R115&amp;")",""))</f>
        <v/>
      </c>
    </row>
    <row r="116" customFormat="false" ht="23.85" hidden="false" customHeight="false" outlineLevel="0" collapsed="false">
      <c r="A116" s="6" t="s">
        <v>1421</v>
      </c>
      <c r="B116" s="7" t="str">
        <f aca="false">IF($A116="","",IFERROR(INDEX(MASTER_DATABASE!$E$4:$E$1000,MATCH($A116,MASTER_DATABASE!$A$4:$A$1000,0)),""))</f>
        <v>Municipal / Property Tax Payment</v>
      </c>
      <c r="C116" s="6" t="s">
        <v>3433</v>
      </c>
      <c r="D116" s="6" t="s">
        <v>3436</v>
      </c>
      <c r="E116" s="6" t="s">
        <v>3478</v>
      </c>
      <c r="F116" s="6" t="s">
        <v>3436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7" t="str">
        <f aca="false">_xlfn.TEXTJOIN(CHAR(10),TRUE(),IF(AND(C116&lt;&gt;"",D116="Mandatory"),"✓ "&amp;C116,""),IF(AND(E116&lt;&gt;"",F116="Mandatory"),"✓ "&amp;E116,""),IF(AND(G116&lt;&gt;"",H116="Mandatory"),"✓ "&amp;G116,""),IF(AND(I116&lt;&gt;"",J116="Mandatory"),"✓ "&amp;I116,""),IF(AND(K116&lt;&gt;"",L116="Mandatory"),"✓ "&amp;K116,""),IF(AND(M116&lt;&gt;"",N116="Mandatory"),"✓ "&amp;M116,""),IF(AND(O116&lt;&gt;"",P116="Mandatory"),"✓ "&amp;O116,""),IF(AND(Q116&lt;&gt;"",R116="Mandatory"),"✓ "&amp;Q116,""))</f>
        <v>✓ Aadhaar Card
✓ Active Mobile Number</v>
      </c>
      <c r="T116" s="7" t="str">
        <f aca="false">_xlfn.TEXTJOIN(CHAR(10),TRUE(),IF(AND(C116&lt;&gt;"",OR(D116="Optional",D116="If Applicable",D116="To Verify")),"• "&amp;C116&amp;" ("&amp;D116&amp;")",""),IF(AND(E116&lt;&gt;"",OR(F116="Optional",F116="If Applicable",F116="To Verify")),"• "&amp;E116&amp;" ("&amp;F116&amp;")",""),IF(AND(G116&lt;&gt;"",OR(H116="Optional",H116="If Applicable",H116="To Verify")),"• "&amp;G116&amp;" ("&amp;H116&amp;")",""),IF(AND(I116&lt;&gt;"",OR(J116="Optional",J116="If Applicable",J116="To Verify")),"• "&amp;I116&amp;" ("&amp;J116&amp;")",""),IF(AND(K116&lt;&gt;"",OR(L116="Optional",L116="If Applicable",L116="To Verify")),"• "&amp;K116&amp;" ("&amp;L116&amp;")",""),IF(AND(M116&lt;&gt;"",OR(N116="Optional",N116="If Applicable",N116="To Verify")),"• "&amp;M116&amp;" ("&amp;N116&amp;")",""),IF(AND(O116&lt;&gt;"",OR(P116="Optional",P116="If Applicable",P116="To Verify")),"• "&amp;O116&amp;" ("&amp;P116&amp;")",""),IF(AND(Q116&lt;&gt;"",OR(R116="Optional",R116="If Applicable",R116="To Verify")),"• "&amp;Q116&amp;" ("&amp;R116&amp;")",""))</f>
        <v/>
      </c>
    </row>
    <row r="117" customFormat="false" ht="46.25" hidden="false" customHeight="false" outlineLevel="0" collapsed="false">
      <c r="A117" s="6" t="s">
        <v>1431</v>
      </c>
      <c r="B117" s="7" t="str">
        <f aca="false">IF($A117="","",IFERROR(INDEX(MASTER_DATABASE!$E$4:$E$1000,MATCH($A117,MASTER_DATABASE!$A$4:$A$1000,0)),""))</f>
        <v>PM-Kisan Registration &amp; eKYC</v>
      </c>
      <c r="C117" s="6" t="s">
        <v>3433</v>
      </c>
      <c r="D117" s="6" t="s">
        <v>3436</v>
      </c>
      <c r="E117" s="6" t="s">
        <v>3478</v>
      </c>
      <c r="F117" s="6" t="s">
        <v>3436</v>
      </c>
      <c r="G117" s="6" t="s">
        <v>3446</v>
      </c>
      <c r="H117" s="6" t="s">
        <v>3436</v>
      </c>
      <c r="I117" s="6" t="s">
        <v>3511</v>
      </c>
      <c r="J117" s="6" t="s">
        <v>3436</v>
      </c>
      <c r="K117" s="6"/>
      <c r="L117" s="6"/>
      <c r="M117" s="6"/>
      <c r="N117" s="6"/>
      <c r="O117" s="6"/>
      <c r="P117" s="6"/>
      <c r="Q117" s="6"/>
      <c r="R117" s="6"/>
      <c r="S117" s="7" t="str">
        <f aca="false">_xlfn.TEXTJOIN(CHAR(10),TRUE(),IF(AND(C117&lt;&gt;"",D117="Mandatory"),"✓ "&amp;C117,""),IF(AND(E117&lt;&gt;"",F117="Mandatory"),"✓ "&amp;E117,""),IF(AND(G117&lt;&gt;"",H117="Mandatory"),"✓ "&amp;G117,""),IF(AND(I117&lt;&gt;"",J117="Mandatory"),"✓ "&amp;I117,""),IF(AND(K117&lt;&gt;"",L117="Mandatory"),"✓ "&amp;K117,""),IF(AND(M117&lt;&gt;"",N117="Mandatory"),"✓ "&amp;M117,""),IF(AND(O117&lt;&gt;"",P117="Mandatory"),"✓ "&amp;O117,""),IF(AND(Q117&lt;&gt;"",R117="Mandatory"),"✓ "&amp;Q117,""))</f>
        <v>✓ Aadhaar Card
✓ Active Mobile Number
✓ Bank Passbook
✓ Land Records</v>
      </c>
      <c r="T117" s="7" t="str">
        <f aca="false">_xlfn.TEXTJOIN(CHAR(10),TRUE(),IF(AND(C117&lt;&gt;"",OR(D117="Optional",D117="If Applicable",D117="To Verify")),"• "&amp;C117&amp;" ("&amp;D117&amp;")",""),IF(AND(E117&lt;&gt;"",OR(F117="Optional",F117="If Applicable",F117="To Verify")),"• "&amp;E117&amp;" ("&amp;F117&amp;")",""),IF(AND(G117&lt;&gt;"",OR(H117="Optional",H117="If Applicable",H117="To Verify")),"• "&amp;G117&amp;" ("&amp;H117&amp;")",""),IF(AND(I117&lt;&gt;"",OR(J117="Optional",J117="If Applicable",J117="To Verify")),"• "&amp;I117&amp;" ("&amp;J117&amp;")",""),IF(AND(K117&lt;&gt;"",OR(L117="Optional",L117="If Applicable",L117="To Verify")),"• "&amp;K117&amp;" ("&amp;L117&amp;")",""),IF(AND(M117&lt;&gt;"",OR(N117="Optional",N117="If Applicable",N117="To Verify")),"• "&amp;M117&amp;" ("&amp;N117&amp;")",""),IF(AND(O117&lt;&gt;"",OR(P117="Optional",P117="If Applicable",P117="To Verify")),"• "&amp;O117&amp;" ("&amp;P117&amp;")",""),IF(AND(Q117&lt;&gt;"",OR(R117="Optional",R117="If Applicable",R117="To Verify")),"• "&amp;Q117&amp;" ("&amp;R117&amp;")",""))</f>
        <v/>
      </c>
    </row>
    <row r="118" customFormat="false" ht="35.05" hidden="false" customHeight="false" outlineLevel="0" collapsed="false">
      <c r="A118" s="6" t="s">
        <v>1444</v>
      </c>
      <c r="B118" s="7" t="str">
        <f aca="false">IF($A118="","",IFERROR(INDEX(MASTER_DATABASE!$E$4:$E$1000,MATCH($A118,MASTER_DATABASE!$A$4:$A$1000,0)),""))</f>
        <v>e-Shram Card Registration</v>
      </c>
      <c r="C118" s="6" t="s">
        <v>3433</v>
      </c>
      <c r="D118" s="6" t="s">
        <v>3436</v>
      </c>
      <c r="E118" s="6" t="s">
        <v>3478</v>
      </c>
      <c r="F118" s="6" t="s">
        <v>3436</v>
      </c>
      <c r="G118" s="6" t="s">
        <v>3446</v>
      </c>
      <c r="H118" s="6" t="s">
        <v>3436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7" t="str">
        <f aca="false">_xlfn.TEXTJOIN(CHAR(10),TRUE(),IF(AND(C118&lt;&gt;"",D118="Mandatory"),"✓ "&amp;C118,""),IF(AND(E118&lt;&gt;"",F118="Mandatory"),"✓ "&amp;E118,""),IF(AND(G118&lt;&gt;"",H118="Mandatory"),"✓ "&amp;G118,""),IF(AND(I118&lt;&gt;"",J118="Mandatory"),"✓ "&amp;I118,""),IF(AND(K118&lt;&gt;"",L118="Mandatory"),"✓ "&amp;K118,""),IF(AND(M118&lt;&gt;"",N118="Mandatory"),"✓ "&amp;M118,""),IF(AND(O118&lt;&gt;"",P118="Mandatory"),"✓ "&amp;O118,""),IF(AND(Q118&lt;&gt;"",R118="Mandatory"),"✓ "&amp;Q118,""))</f>
        <v>✓ Aadhaar Card
✓ Active Mobile Number
✓ Bank Passbook</v>
      </c>
      <c r="T118" s="7" t="str">
        <f aca="false">_xlfn.TEXTJOIN(CHAR(10),TRUE(),IF(AND(C118&lt;&gt;"",OR(D118="Optional",D118="If Applicable",D118="To Verify")),"• "&amp;C118&amp;" ("&amp;D118&amp;")",""),IF(AND(E118&lt;&gt;"",OR(F118="Optional",F118="If Applicable",F118="To Verify")),"• "&amp;E118&amp;" ("&amp;F118&amp;")",""),IF(AND(G118&lt;&gt;"",OR(H118="Optional",H118="If Applicable",H118="To Verify")),"• "&amp;G118&amp;" ("&amp;H118&amp;")",""),IF(AND(I118&lt;&gt;"",OR(J118="Optional",J118="If Applicable",J118="To Verify")),"• "&amp;I118&amp;" ("&amp;J118&amp;")",""),IF(AND(K118&lt;&gt;"",OR(L118="Optional",L118="If Applicable",L118="To Verify")),"• "&amp;K118&amp;" ("&amp;L118&amp;")",""),IF(AND(M118&lt;&gt;"",OR(N118="Optional",N118="If Applicable",N118="To Verify")),"• "&amp;M118&amp;" ("&amp;N118&amp;")",""),IF(AND(O118&lt;&gt;"",OR(P118="Optional",P118="If Applicable",P118="To Verify")),"• "&amp;O118&amp;" ("&amp;P118&amp;")",""),IF(AND(Q118&lt;&gt;"",OR(R118="Optional",R118="If Applicable",R118="To Verify")),"• "&amp;Q118&amp;" ("&amp;R118&amp;")",""))</f>
        <v/>
      </c>
    </row>
    <row r="119" customFormat="false" ht="23.85" hidden="false" customHeight="false" outlineLevel="0" collapsed="false">
      <c r="A119" s="6" t="s">
        <v>1455</v>
      </c>
      <c r="B119" s="7" t="str">
        <f aca="false">IF($A119="","",IFERROR(INDEX(MASTER_DATABASE!$E$4:$E$1000,MATCH($A119,MASTER_DATABASE!$A$4:$A$1000,0)),""))</f>
        <v>Ayushman Bharat (PM-JAY) Card Registration</v>
      </c>
      <c r="C119" s="6" t="s">
        <v>3433</v>
      </c>
      <c r="D119" s="6" t="s">
        <v>3436</v>
      </c>
      <c r="E119" s="6" t="s">
        <v>3478</v>
      </c>
      <c r="F119" s="6" t="s">
        <v>3436</v>
      </c>
      <c r="G119" s="6" t="s">
        <v>1224</v>
      </c>
      <c r="H119" s="6" t="s">
        <v>3453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7" t="str">
        <f aca="false">_xlfn.TEXTJOIN(CHAR(10),TRUE(),IF(AND(C119&lt;&gt;"",D119="Mandatory"),"✓ "&amp;C119,""),IF(AND(E119&lt;&gt;"",F119="Mandatory"),"✓ "&amp;E119,""),IF(AND(G119&lt;&gt;"",H119="Mandatory"),"✓ "&amp;G119,""),IF(AND(I119&lt;&gt;"",J119="Mandatory"),"✓ "&amp;I119,""),IF(AND(K119&lt;&gt;"",L119="Mandatory"),"✓ "&amp;K119,""),IF(AND(M119&lt;&gt;"",N119="Mandatory"),"✓ "&amp;M119,""),IF(AND(O119&lt;&gt;"",P119="Mandatory"),"✓ "&amp;O119,""),IF(AND(Q119&lt;&gt;"",R119="Mandatory"),"✓ "&amp;Q119,""))</f>
        <v>✓ Aadhaar Card
✓ Active Mobile Number</v>
      </c>
      <c r="T119" s="7" t="str">
        <f aca="false">_xlfn.TEXTJOIN(CHAR(10),TRUE(),IF(AND(C119&lt;&gt;"",OR(D119="Optional",D119="If Applicable",D119="To Verify")),"• "&amp;C119&amp;" ("&amp;D119&amp;")",""),IF(AND(E119&lt;&gt;"",OR(F119="Optional",F119="If Applicable",F119="To Verify")),"• "&amp;E119&amp;" ("&amp;F119&amp;")",""),IF(AND(G119&lt;&gt;"",OR(H119="Optional",H119="If Applicable",H119="To Verify")),"• "&amp;G119&amp;" ("&amp;H119&amp;")",""),IF(AND(I119&lt;&gt;"",OR(J119="Optional",J119="If Applicable",J119="To Verify")),"• "&amp;I119&amp;" ("&amp;J119&amp;")",""),IF(AND(K119&lt;&gt;"",OR(L119="Optional",L119="If Applicable",L119="To Verify")),"• "&amp;K119&amp;" ("&amp;L119&amp;")",""),IF(AND(M119&lt;&gt;"",OR(N119="Optional",N119="If Applicable",N119="To Verify")),"• "&amp;M119&amp;" ("&amp;N119&amp;")",""),IF(AND(O119&lt;&gt;"",OR(P119="Optional",P119="If Applicable",P119="To Verify")),"• "&amp;O119&amp;" ("&amp;P119&amp;")",""),IF(AND(Q119&lt;&gt;"",OR(R119="Optional",R119="If Applicable",R119="To Verify")),"• "&amp;Q119&amp;" ("&amp;R119&amp;")",""))</f>
        <v>• Ration Card (If Applicable)</v>
      </c>
    </row>
    <row r="120" customFormat="false" ht="23.85" hidden="false" customHeight="false" outlineLevel="0" collapsed="false">
      <c r="A120" s="6" t="s">
        <v>1466</v>
      </c>
      <c r="B120" s="7" t="str">
        <f aca="false">IF($A120="","",IFERROR(INDEX(MASTER_DATABASE!$E$4:$E$1000,MATCH($A120,MASTER_DATABASE!$A$4:$A$1000,0)),""))</f>
        <v>ABHA (Health ID) Creation</v>
      </c>
      <c r="C120" s="6" t="s">
        <v>3433</v>
      </c>
      <c r="D120" s="6" t="s">
        <v>3436</v>
      </c>
      <c r="E120" s="6" t="s">
        <v>3478</v>
      </c>
      <c r="F120" s="6" t="s">
        <v>3436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7" t="str">
        <f aca="false">_xlfn.TEXTJOIN(CHAR(10),TRUE(),IF(AND(C120&lt;&gt;"",D120="Mandatory"),"✓ "&amp;C120,""),IF(AND(E120&lt;&gt;"",F120="Mandatory"),"✓ "&amp;E120,""),IF(AND(G120&lt;&gt;"",H120="Mandatory"),"✓ "&amp;G120,""),IF(AND(I120&lt;&gt;"",J120="Mandatory"),"✓ "&amp;I120,""),IF(AND(K120&lt;&gt;"",L120="Mandatory"),"✓ "&amp;K120,""),IF(AND(M120&lt;&gt;"",N120="Mandatory"),"✓ "&amp;M120,""),IF(AND(O120&lt;&gt;"",P120="Mandatory"),"✓ "&amp;O120,""),IF(AND(Q120&lt;&gt;"",R120="Mandatory"),"✓ "&amp;Q120,""))</f>
        <v>✓ Aadhaar Card
✓ Active Mobile Number</v>
      </c>
      <c r="T120" s="7" t="str">
        <f aca="false">_xlfn.TEXTJOIN(CHAR(10),TRUE(),IF(AND(C120&lt;&gt;"",OR(D120="Optional",D120="If Applicable",D120="To Verify")),"• "&amp;C120&amp;" ("&amp;D120&amp;")",""),IF(AND(E120&lt;&gt;"",OR(F120="Optional",F120="If Applicable",F120="To Verify")),"• "&amp;E120&amp;" ("&amp;F120&amp;")",""),IF(AND(G120&lt;&gt;"",OR(H120="Optional",H120="If Applicable",H120="To Verify")),"• "&amp;G120&amp;" ("&amp;H120&amp;")",""),IF(AND(I120&lt;&gt;"",OR(J120="Optional",J120="If Applicable",J120="To Verify")),"• "&amp;I120&amp;" ("&amp;J120&amp;")",""),IF(AND(K120&lt;&gt;"",OR(L120="Optional",L120="If Applicable",L120="To Verify")),"• "&amp;K120&amp;" ("&amp;L120&amp;")",""),IF(AND(M120&lt;&gt;"",OR(N120="Optional",N120="If Applicable",N120="To Verify")),"• "&amp;M120&amp;" ("&amp;N120&amp;")",""),IF(AND(O120&lt;&gt;"",OR(P120="Optional",P120="If Applicable",P120="To Verify")),"• "&amp;O120&amp;" ("&amp;P120&amp;")",""),IF(AND(Q120&lt;&gt;"",OR(R120="Optional",R120="If Applicable",R120="To Verify")),"• "&amp;Q120&amp;" ("&amp;R120&amp;")",""))</f>
        <v/>
      </c>
    </row>
    <row r="121" customFormat="false" ht="46.25" hidden="false" customHeight="false" outlineLevel="0" collapsed="false">
      <c r="A121" s="6" t="s">
        <v>1477</v>
      </c>
      <c r="B121" s="7" t="str">
        <f aca="false">IF($A121="","",IFERROR(INDEX(MASTER_DATABASE!$E$4:$E$1000,MATCH($A121,MASTER_DATABASE!$A$4:$A$1000,0)),""))</f>
        <v>PM Shram Yogi Maan-Dhan (PM-SYM) Enrolment</v>
      </c>
      <c r="C121" s="6" t="s">
        <v>3433</v>
      </c>
      <c r="D121" s="6" t="s">
        <v>3436</v>
      </c>
      <c r="E121" s="6" t="s">
        <v>3478</v>
      </c>
      <c r="F121" s="6" t="s">
        <v>3436</v>
      </c>
      <c r="G121" s="6" t="s">
        <v>3446</v>
      </c>
      <c r="H121" s="6" t="s">
        <v>3436</v>
      </c>
      <c r="I121" s="6" t="s">
        <v>3603</v>
      </c>
      <c r="J121" s="6" t="s">
        <v>3436</v>
      </c>
      <c r="K121" s="6"/>
      <c r="L121" s="6"/>
      <c r="M121" s="6"/>
      <c r="N121" s="6"/>
      <c r="O121" s="6"/>
      <c r="P121" s="6"/>
      <c r="Q121" s="6"/>
      <c r="R121" s="6"/>
      <c r="S121" s="7" t="str">
        <f aca="false">_xlfn.TEXTJOIN(CHAR(10),TRUE(),IF(AND(C121&lt;&gt;"",D121="Mandatory"),"✓ "&amp;C121,""),IF(AND(E121&lt;&gt;"",F121="Mandatory"),"✓ "&amp;E121,""),IF(AND(G121&lt;&gt;"",H121="Mandatory"),"✓ "&amp;G121,""),IF(AND(I121&lt;&gt;"",J121="Mandatory"),"✓ "&amp;I121,""),IF(AND(K121&lt;&gt;"",L121="Mandatory"),"✓ "&amp;K121,""),IF(AND(M121&lt;&gt;"",N121="Mandatory"),"✓ "&amp;M121,""),IF(AND(O121&lt;&gt;"",P121="Mandatory"),"✓ "&amp;O121,""),IF(AND(Q121&lt;&gt;"",R121="Mandatory"),"✓ "&amp;Q121,""))</f>
        <v>✓ Aadhaar Card
✓ Active Mobile Number
✓ Bank Passbook
✓ Nominee Details</v>
      </c>
      <c r="T121" s="7" t="str">
        <f aca="false">_xlfn.TEXTJOIN(CHAR(10),TRUE(),IF(AND(C121&lt;&gt;"",OR(D121="Optional",D121="If Applicable",D121="To Verify")),"• "&amp;C121&amp;" ("&amp;D121&amp;")",""),IF(AND(E121&lt;&gt;"",OR(F121="Optional",F121="If Applicable",F121="To Verify")),"• "&amp;E121&amp;" ("&amp;F121&amp;")",""),IF(AND(G121&lt;&gt;"",OR(H121="Optional",H121="If Applicable",H121="To Verify")),"• "&amp;G121&amp;" ("&amp;H121&amp;")",""),IF(AND(I121&lt;&gt;"",OR(J121="Optional",J121="If Applicable",J121="To Verify")),"• "&amp;I121&amp;" ("&amp;J121&amp;")",""),IF(AND(K121&lt;&gt;"",OR(L121="Optional",L121="If Applicable",L121="To Verify")),"• "&amp;K121&amp;" ("&amp;L121&amp;")",""),IF(AND(M121&lt;&gt;"",OR(N121="Optional",N121="If Applicable",N121="To Verify")),"• "&amp;M121&amp;" ("&amp;N121&amp;")",""),IF(AND(O121&lt;&gt;"",OR(P121="Optional",P121="If Applicable",P121="To Verify")),"• "&amp;O121&amp;" ("&amp;P121&amp;")",""),IF(AND(Q121&lt;&gt;"",OR(R121="Optional",R121="If Applicable",R121="To Verify")),"• "&amp;Q121&amp;" ("&amp;R121&amp;")",""))</f>
        <v/>
      </c>
    </row>
    <row r="122" customFormat="false" ht="46.25" hidden="false" customHeight="false" outlineLevel="0" collapsed="false">
      <c r="A122" s="6" t="s">
        <v>1487</v>
      </c>
      <c r="B122" s="7" t="str">
        <f aca="false">IF($A122="","",IFERROR(INDEX(MASTER_DATABASE!$E$4:$E$1000,MATCH($A122,MASTER_DATABASE!$A$4:$A$1000,0)),""))</f>
        <v>PM Kisan Maan-Dhan (PM-KMY) Enrolment</v>
      </c>
      <c r="C122" s="6" t="s">
        <v>3433</v>
      </c>
      <c r="D122" s="6" t="s">
        <v>3436</v>
      </c>
      <c r="E122" s="6" t="s">
        <v>3478</v>
      </c>
      <c r="F122" s="6" t="s">
        <v>3436</v>
      </c>
      <c r="G122" s="6" t="s">
        <v>3446</v>
      </c>
      <c r="H122" s="6" t="s">
        <v>3436</v>
      </c>
      <c r="I122" s="6" t="s">
        <v>3603</v>
      </c>
      <c r="J122" s="6" t="s">
        <v>3436</v>
      </c>
      <c r="K122" s="6"/>
      <c r="L122" s="6"/>
      <c r="M122" s="6"/>
      <c r="N122" s="6"/>
      <c r="O122" s="6"/>
      <c r="P122" s="6"/>
      <c r="Q122" s="6"/>
      <c r="R122" s="6"/>
      <c r="S122" s="7" t="str">
        <f aca="false">_xlfn.TEXTJOIN(CHAR(10),TRUE(),IF(AND(C122&lt;&gt;"",D122="Mandatory"),"✓ "&amp;C122,""),IF(AND(E122&lt;&gt;"",F122="Mandatory"),"✓ "&amp;E122,""),IF(AND(G122&lt;&gt;"",H122="Mandatory"),"✓ "&amp;G122,""),IF(AND(I122&lt;&gt;"",J122="Mandatory"),"✓ "&amp;I122,""),IF(AND(K122&lt;&gt;"",L122="Mandatory"),"✓ "&amp;K122,""),IF(AND(M122&lt;&gt;"",N122="Mandatory"),"✓ "&amp;M122,""),IF(AND(O122&lt;&gt;"",P122="Mandatory"),"✓ "&amp;O122,""),IF(AND(Q122&lt;&gt;"",R122="Mandatory"),"✓ "&amp;Q122,""))</f>
        <v>✓ Aadhaar Card
✓ Active Mobile Number
✓ Bank Passbook
✓ Nominee Details</v>
      </c>
      <c r="T122" s="7" t="str">
        <f aca="false">_xlfn.TEXTJOIN(CHAR(10),TRUE(),IF(AND(C122&lt;&gt;"",OR(D122="Optional",D122="If Applicable",D122="To Verify")),"• "&amp;C122&amp;" ("&amp;D122&amp;")",""),IF(AND(E122&lt;&gt;"",OR(F122="Optional",F122="If Applicable",F122="To Verify")),"• "&amp;E122&amp;" ("&amp;F122&amp;")",""),IF(AND(G122&lt;&gt;"",OR(H122="Optional",H122="If Applicable",H122="To Verify")),"• "&amp;G122&amp;" ("&amp;H122&amp;")",""),IF(AND(I122&lt;&gt;"",OR(J122="Optional",J122="If Applicable",J122="To Verify")),"• "&amp;I122&amp;" ("&amp;J122&amp;")",""),IF(AND(K122&lt;&gt;"",OR(L122="Optional",L122="If Applicable",L122="To Verify")),"• "&amp;K122&amp;" ("&amp;L122&amp;")",""),IF(AND(M122&lt;&gt;"",OR(N122="Optional",N122="If Applicable",N122="To Verify")),"• "&amp;M122&amp;" ("&amp;N122&amp;")",""),IF(AND(O122&lt;&gt;"",OR(P122="Optional",P122="If Applicable",P122="To Verify")),"• "&amp;O122&amp;" ("&amp;P122&amp;")",""),IF(AND(Q122&lt;&gt;"",OR(R122="Optional",R122="If Applicable",R122="To Verify")),"• "&amp;Q122&amp;" ("&amp;R122&amp;")",""))</f>
        <v/>
      </c>
    </row>
    <row r="123" customFormat="false" ht="23.85" hidden="false" customHeight="false" outlineLevel="0" collapsed="false">
      <c r="A123" s="6" t="s">
        <v>1497</v>
      </c>
      <c r="B123" s="7" t="str">
        <f aca="false">IF($A123="","",IFERROR(INDEX(MASTER_DATABASE!$E$4:$E$1000,MATCH($A123,MASTER_DATABASE!$A$4:$A$1000,0)),""))</f>
        <v>PM Vishwakarma Registration</v>
      </c>
      <c r="C123" s="6" t="s">
        <v>3433</v>
      </c>
      <c r="D123" s="6" t="s">
        <v>3436</v>
      </c>
      <c r="E123" s="6" t="s">
        <v>3478</v>
      </c>
      <c r="F123" s="6" t="s">
        <v>3436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7" t="str">
        <f aca="false">_xlfn.TEXTJOIN(CHAR(10),TRUE(),IF(AND(C123&lt;&gt;"",D123="Mandatory"),"✓ "&amp;C123,""),IF(AND(E123&lt;&gt;"",F123="Mandatory"),"✓ "&amp;E123,""),IF(AND(G123&lt;&gt;"",H123="Mandatory"),"✓ "&amp;G123,""),IF(AND(I123&lt;&gt;"",J123="Mandatory"),"✓ "&amp;I123,""),IF(AND(K123&lt;&gt;"",L123="Mandatory"),"✓ "&amp;K123,""),IF(AND(M123&lt;&gt;"",N123="Mandatory"),"✓ "&amp;M123,""),IF(AND(O123&lt;&gt;"",P123="Mandatory"),"✓ "&amp;O123,""),IF(AND(Q123&lt;&gt;"",R123="Mandatory"),"✓ "&amp;Q123,""))</f>
        <v>✓ Aadhaar Card
✓ Active Mobile Number</v>
      </c>
      <c r="T123" s="7" t="str">
        <f aca="false">_xlfn.TEXTJOIN(CHAR(10),TRUE(),IF(AND(C123&lt;&gt;"",OR(D123="Optional",D123="If Applicable",D123="To Verify")),"• "&amp;C123&amp;" ("&amp;D123&amp;")",""),IF(AND(E123&lt;&gt;"",OR(F123="Optional",F123="If Applicable",F123="To Verify")),"• "&amp;E123&amp;" ("&amp;F123&amp;")",""),IF(AND(G123&lt;&gt;"",OR(H123="Optional",H123="If Applicable",H123="To Verify")),"• "&amp;G123&amp;" ("&amp;H123&amp;")",""),IF(AND(I123&lt;&gt;"",OR(J123="Optional",J123="If Applicable",J123="To Verify")),"• "&amp;I123&amp;" ("&amp;J123&amp;")",""),IF(AND(K123&lt;&gt;"",OR(L123="Optional",L123="If Applicable",L123="To Verify")),"• "&amp;K123&amp;" ("&amp;L123&amp;")",""),IF(AND(M123&lt;&gt;"",OR(N123="Optional",N123="If Applicable",N123="To Verify")),"• "&amp;M123&amp;" ("&amp;N123&amp;")",""),IF(AND(O123&lt;&gt;"",OR(P123="Optional",P123="If Applicable",P123="To Verify")),"• "&amp;O123&amp;" ("&amp;P123&amp;")",""),IF(AND(Q123&lt;&gt;"",OR(R123="Optional",R123="If Applicable",R123="To Verify")),"• "&amp;Q123&amp;" ("&amp;R123&amp;")",""))</f>
        <v/>
      </c>
    </row>
    <row r="124" customFormat="false" ht="23.85" hidden="false" customHeight="false" outlineLevel="0" collapsed="false">
      <c r="A124" s="6" t="s">
        <v>1507</v>
      </c>
      <c r="B124" s="7" t="str">
        <f aca="false">IF($A124="","",IFERROR(INDEX(MASTER_DATABASE!$E$4:$E$1000,MATCH($A124,MASTER_DATABASE!$A$4:$A$1000,0)),""))</f>
        <v>PM Surya Ghar (Rooftop Solar) Registration Assistance</v>
      </c>
      <c r="C124" s="6" t="s">
        <v>3433</v>
      </c>
      <c r="D124" s="6" t="s">
        <v>3436</v>
      </c>
      <c r="E124" s="6" t="s">
        <v>3478</v>
      </c>
      <c r="F124" s="6" t="s">
        <v>3436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7" t="str">
        <f aca="false">_xlfn.TEXTJOIN(CHAR(10),TRUE(),IF(AND(C124&lt;&gt;"",D124="Mandatory"),"✓ "&amp;C124,""),IF(AND(E124&lt;&gt;"",F124="Mandatory"),"✓ "&amp;E124,""),IF(AND(G124&lt;&gt;"",H124="Mandatory"),"✓ "&amp;G124,""),IF(AND(I124&lt;&gt;"",J124="Mandatory"),"✓ "&amp;I124,""),IF(AND(K124&lt;&gt;"",L124="Mandatory"),"✓ "&amp;K124,""),IF(AND(M124&lt;&gt;"",N124="Mandatory"),"✓ "&amp;M124,""),IF(AND(O124&lt;&gt;"",P124="Mandatory"),"✓ "&amp;O124,""),IF(AND(Q124&lt;&gt;"",R124="Mandatory"),"✓ "&amp;Q124,""))</f>
        <v>✓ Aadhaar Card
✓ Active Mobile Number</v>
      </c>
      <c r="T124" s="7" t="str">
        <f aca="false">_xlfn.TEXTJOIN(CHAR(10),TRUE(),IF(AND(C124&lt;&gt;"",OR(D124="Optional",D124="If Applicable",D124="To Verify")),"• "&amp;C124&amp;" ("&amp;D124&amp;")",""),IF(AND(E124&lt;&gt;"",OR(F124="Optional",F124="If Applicable",F124="To Verify")),"• "&amp;E124&amp;" ("&amp;F124&amp;")",""),IF(AND(G124&lt;&gt;"",OR(H124="Optional",H124="If Applicable",H124="To Verify")),"• "&amp;G124&amp;" ("&amp;H124&amp;")",""),IF(AND(I124&lt;&gt;"",OR(J124="Optional",J124="If Applicable",J124="To Verify")),"• "&amp;I124&amp;" ("&amp;J124&amp;")",""),IF(AND(K124&lt;&gt;"",OR(L124="Optional",L124="If Applicable",L124="To Verify")),"• "&amp;K124&amp;" ("&amp;L124&amp;")",""),IF(AND(M124&lt;&gt;"",OR(N124="Optional",N124="If Applicable",N124="To Verify")),"• "&amp;M124&amp;" ("&amp;N124&amp;")",""),IF(AND(O124&lt;&gt;"",OR(P124="Optional",P124="If Applicable",P124="To Verify")),"• "&amp;O124&amp;" ("&amp;P124&amp;")",""),IF(AND(Q124&lt;&gt;"",OR(R124="Optional",R124="If Applicable",R124="To Verify")),"• "&amp;Q124&amp;" ("&amp;R124&amp;")",""))</f>
        <v/>
      </c>
    </row>
    <row r="125" customFormat="false" ht="23.85" hidden="false" customHeight="false" outlineLevel="0" collapsed="false">
      <c r="A125" s="6" t="s">
        <v>1517</v>
      </c>
      <c r="B125" s="7" t="str">
        <f aca="false">IF($A125="","",IFERROR(INDEX(MASTER_DATABASE!$E$4:$E$1000,MATCH($A125,MASTER_DATABASE!$A$4:$A$1000,0)),""))</f>
        <v>PM SVANidhi Application Assistance</v>
      </c>
      <c r="C125" s="6" t="s">
        <v>3433</v>
      </c>
      <c r="D125" s="6" t="s">
        <v>3436</v>
      </c>
      <c r="E125" s="6" t="s">
        <v>3478</v>
      </c>
      <c r="F125" s="6" t="s">
        <v>3436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7" t="str">
        <f aca="false">_xlfn.TEXTJOIN(CHAR(10),TRUE(),IF(AND(C125&lt;&gt;"",D125="Mandatory"),"✓ "&amp;C125,""),IF(AND(E125&lt;&gt;"",F125="Mandatory"),"✓ "&amp;E125,""),IF(AND(G125&lt;&gt;"",H125="Mandatory"),"✓ "&amp;G125,""),IF(AND(I125&lt;&gt;"",J125="Mandatory"),"✓ "&amp;I125,""),IF(AND(K125&lt;&gt;"",L125="Mandatory"),"✓ "&amp;K125,""),IF(AND(M125&lt;&gt;"",N125="Mandatory"),"✓ "&amp;M125,""),IF(AND(O125&lt;&gt;"",P125="Mandatory"),"✓ "&amp;O125,""),IF(AND(Q125&lt;&gt;"",R125="Mandatory"),"✓ "&amp;Q125,""))</f>
        <v>✓ Aadhaar Card
✓ Active Mobile Number</v>
      </c>
      <c r="T125" s="7" t="str">
        <f aca="false">_xlfn.TEXTJOIN(CHAR(10),TRUE(),IF(AND(C125&lt;&gt;"",OR(D125="Optional",D125="If Applicable",D125="To Verify")),"• "&amp;C125&amp;" ("&amp;D125&amp;")",""),IF(AND(E125&lt;&gt;"",OR(F125="Optional",F125="If Applicable",F125="To Verify")),"• "&amp;E125&amp;" ("&amp;F125&amp;")",""),IF(AND(G125&lt;&gt;"",OR(H125="Optional",H125="If Applicable",H125="To Verify")),"• "&amp;G125&amp;" ("&amp;H125&amp;")",""),IF(AND(I125&lt;&gt;"",OR(J125="Optional",J125="If Applicable",J125="To Verify")),"• "&amp;I125&amp;" ("&amp;J125&amp;")",""),IF(AND(K125&lt;&gt;"",OR(L125="Optional",L125="If Applicable",L125="To Verify")),"• "&amp;K125&amp;" ("&amp;L125&amp;")",""),IF(AND(M125&lt;&gt;"",OR(N125="Optional",N125="If Applicable",N125="To Verify")),"• "&amp;M125&amp;" ("&amp;N125&amp;")",""),IF(AND(O125&lt;&gt;"",OR(P125="Optional",P125="If Applicable",P125="To Verify")),"• "&amp;O125&amp;" ("&amp;P125&amp;")",""),IF(AND(Q125&lt;&gt;"",OR(R125="Optional",R125="If Applicable",R125="To Verify")),"• "&amp;Q125&amp;" ("&amp;R125&amp;")",""))</f>
        <v/>
      </c>
    </row>
    <row r="126" customFormat="false" ht="23.85" hidden="false" customHeight="false" outlineLevel="0" collapsed="false">
      <c r="A126" s="6" t="s">
        <v>1527</v>
      </c>
      <c r="B126" s="7" t="str">
        <f aca="false">IF($A126="","",IFERROR(INDEX(MASTER_DATABASE!$E$4:$E$1000,MATCH($A126,MASTER_DATABASE!$A$4:$A$1000,0)),""))</f>
        <v>CSC Digipay – AEPS Cash Withdrawal</v>
      </c>
      <c r="C126" s="6" t="s">
        <v>3433</v>
      </c>
      <c r="D126" s="6" t="s">
        <v>3436</v>
      </c>
      <c r="E126" s="6" t="s">
        <v>3488</v>
      </c>
      <c r="F126" s="6" t="s">
        <v>3436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7" t="str">
        <f aca="false">_xlfn.TEXTJOIN(CHAR(10),TRUE(),IF(AND(C126&lt;&gt;"",D126="Mandatory"),"✓ "&amp;C126,""),IF(AND(E126&lt;&gt;"",F126="Mandatory"),"✓ "&amp;E126,""),IF(AND(G126&lt;&gt;"",H126="Mandatory"),"✓ "&amp;G126,""),IF(AND(I126&lt;&gt;"",J126="Mandatory"),"✓ "&amp;I126,""),IF(AND(K126&lt;&gt;"",L126="Mandatory"),"✓ "&amp;K126,""),IF(AND(M126&lt;&gt;"",N126="Mandatory"),"✓ "&amp;M126,""),IF(AND(O126&lt;&gt;"",P126="Mandatory"),"✓ "&amp;O126,""),IF(AND(Q126&lt;&gt;"",R126="Mandatory"),"✓ "&amp;Q126,""))</f>
        <v>✓ Aadhaar Card
✓ Customer Presence for Biometrics</v>
      </c>
      <c r="T126" s="7" t="str">
        <f aca="false">_xlfn.TEXTJOIN(CHAR(10),TRUE(),IF(AND(C126&lt;&gt;"",OR(D126="Optional",D126="If Applicable",D126="To Verify")),"• "&amp;C126&amp;" ("&amp;D126&amp;")",""),IF(AND(E126&lt;&gt;"",OR(F126="Optional",F126="If Applicable",F126="To Verify")),"• "&amp;E126&amp;" ("&amp;F126&amp;")",""),IF(AND(G126&lt;&gt;"",OR(H126="Optional",H126="If Applicable",H126="To Verify")),"• "&amp;G126&amp;" ("&amp;H126&amp;")",""),IF(AND(I126&lt;&gt;"",OR(J126="Optional",J126="If Applicable",J126="To Verify")),"• "&amp;I126&amp;" ("&amp;J126&amp;")",""),IF(AND(K126&lt;&gt;"",OR(L126="Optional",L126="If Applicable",L126="To Verify")),"• "&amp;K126&amp;" ("&amp;L126&amp;")",""),IF(AND(M126&lt;&gt;"",OR(N126="Optional",N126="If Applicable",N126="To Verify")),"• "&amp;M126&amp;" ("&amp;N126&amp;")",""),IF(AND(O126&lt;&gt;"",OR(P126="Optional",P126="If Applicable",P126="To Verify")),"• "&amp;O126&amp;" ("&amp;P126&amp;")",""),IF(AND(Q126&lt;&gt;"",OR(R126="Optional",R126="If Applicable",R126="To Verify")),"• "&amp;Q126&amp;" ("&amp;R126&amp;")",""))</f>
        <v/>
      </c>
    </row>
    <row r="127" customFormat="false" ht="23.85" hidden="false" customHeight="false" outlineLevel="0" collapsed="false">
      <c r="A127" s="6" t="s">
        <v>1539</v>
      </c>
      <c r="B127" s="7" t="str">
        <f aca="false">IF($A127="","",IFERROR(INDEX(MASTER_DATABASE!$E$4:$E$1000,MATCH($A127,MASTER_DATABASE!$A$4:$A$1000,0)),""))</f>
        <v>CSC Digipay – Money Transfer</v>
      </c>
      <c r="C127" s="6" t="s">
        <v>3433</v>
      </c>
      <c r="D127" s="6" t="s">
        <v>3436</v>
      </c>
      <c r="E127" s="6" t="s">
        <v>3488</v>
      </c>
      <c r="F127" s="6" t="s">
        <v>3436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7" t="str">
        <f aca="false">_xlfn.TEXTJOIN(CHAR(10),TRUE(),IF(AND(C127&lt;&gt;"",D127="Mandatory"),"✓ "&amp;C127,""),IF(AND(E127&lt;&gt;"",F127="Mandatory"),"✓ "&amp;E127,""),IF(AND(G127&lt;&gt;"",H127="Mandatory"),"✓ "&amp;G127,""),IF(AND(I127&lt;&gt;"",J127="Mandatory"),"✓ "&amp;I127,""),IF(AND(K127&lt;&gt;"",L127="Mandatory"),"✓ "&amp;K127,""),IF(AND(M127&lt;&gt;"",N127="Mandatory"),"✓ "&amp;M127,""),IF(AND(O127&lt;&gt;"",P127="Mandatory"),"✓ "&amp;O127,""),IF(AND(Q127&lt;&gt;"",R127="Mandatory"),"✓ "&amp;Q127,""))</f>
        <v>✓ Aadhaar Card
✓ Customer Presence for Biometrics</v>
      </c>
      <c r="T127" s="7" t="str">
        <f aca="false">_xlfn.TEXTJOIN(CHAR(10),TRUE(),IF(AND(C127&lt;&gt;"",OR(D127="Optional",D127="If Applicable",D127="To Verify")),"• "&amp;C127&amp;" ("&amp;D127&amp;")",""),IF(AND(E127&lt;&gt;"",OR(F127="Optional",F127="If Applicable",F127="To Verify")),"• "&amp;E127&amp;" ("&amp;F127&amp;")",""),IF(AND(G127&lt;&gt;"",OR(H127="Optional",H127="If Applicable",H127="To Verify")),"• "&amp;G127&amp;" ("&amp;H127&amp;")",""),IF(AND(I127&lt;&gt;"",OR(J127="Optional",J127="If Applicable",J127="To Verify")),"• "&amp;I127&amp;" ("&amp;J127&amp;")",""),IF(AND(K127&lt;&gt;"",OR(L127="Optional",L127="If Applicable",L127="To Verify")),"• "&amp;K127&amp;" ("&amp;L127&amp;")",""),IF(AND(M127&lt;&gt;"",OR(N127="Optional",N127="If Applicable",N127="To Verify")),"• "&amp;M127&amp;" ("&amp;N127&amp;")",""),IF(AND(O127&lt;&gt;"",OR(P127="Optional",P127="If Applicable",P127="To Verify")),"• "&amp;O127&amp;" ("&amp;P127&amp;")",""),IF(AND(Q127&lt;&gt;"",OR(R127="Optional",R127="If Applicable",R127="To Verify")),"• "&amp;Q127&amp;" ("&amp;R127&amp;")",""))</f>
        <v/>
      </c>
    </row>
    <row r="128" customFormat="false" ht="23.85" hidden="false" customHeight="false" outlineLevel="0" collapsed="false">
      <c r="A128" s="6" t="s">
        <v>1549</v>
      </c>
      <c r="B128" s="7" t="str">
        <f aca="false">IF($A128="","",IFERROR(INDEX(MASTER_DATABASE!$E$4:$E$1000,MATCH($A128,MASTER_DATABASE!$A$4:$A$1000,0)),""))</f>
        <v>CSC Digipay – Micro ATM</v>
      </c>
      <c r="C128" s="6" t="s">
        <v>3433</v>
      </c>
      <c r="D128" s="6" t="s">
        <v>3436</v>
      </c>
      <c r="E128" s="6" t="s">
        <v>3488</v>
      </c>
      <c r="F128" s="6" t="s">
        <v>3436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7" t="str">
        <f aca="false">_xlfn.TEXTJOIN(CHAR(10),TRUE(),IF(AND(C128&lt;&gt;"",D128="Mandatory"),"✓ "&amp;C128,""),IF(AND(E128&lt;&gt;"",F128="Mandatory"),"✓ "&amp;E128,""),IF(AND(G128&lt;&gt;"",H128="Mandatory"),"✓ "&amp;G128,""),IF(AND(I128&lt;&gt;"",J128="Mandatory"),"✓ "&amp;I128,""),IF(AND(K128&lt;&gt;"",L128="Mandatory"),"✓ "&amp;K128,""),IF(AND(M128&lt;&gt;"",N128="Mandatory"),"✓ "&amp;M128,""),IF(AND(O128&lt;&gt;"",P128="Mandatory"),"✓ "&amp;O128,""),IF(AND(Q128&lt;&gt;"",R128="Mandatory"),"✓ "&amp;Q128,""))</f>
        <v>✓ Aadhaar Card
✓ Customer Presence for Biometrics</v>
      </c>
      <c r="T128" s="7" t="str">
        <f aca="false">_xlfn.TEXTJOIN(CHAR(10),TRUE(),IF(AND(C128&lt;&gt;"",OR(D128="Optional",D128="If Applicable",D128="To Verify")),"• "&amp;C128&amp;" ("&amp;D128&amp;")",""),IF(AND(E128&lt;&gt;"",OR(F128="Optional",F128="If Applicable",F128="To Verify")),"• "&amp;E128&amp;" ("&amp;F128&amp;")",""),IF(AND(G128&lt;&gt;"",OR(H128="Optional",H128="If Applicable",H128="To Verify")),"• "&amp;G128&amp;" ("&amp;H128&amp;")",""),IF(AND(I128&lt;&gt;"",OR(J128="Optional",J128="If Applicable",J128="To Verify")),"• "&amp;I128&amp;" ("&amp;J128&amp;")",""),IF(AND(K128&lt;&gt;"",OR(L128="Optional",L128="If Applicable",L128="To Verify")),"• "&amp;K128&amp;" ("&amp;L128&amp;")",""),IF(AND(M128&lt;&gt;"",OR(N128="Optional",N128="If Applicable",N128="To Verify")),"• "&amp;M128&amp;" ("&amp;N128&amp;")",""),IF(AND(O128&lt;&gt;"",OR(P128="Optional",P128="If Applicable",P128="To Verify")),"• "&amp;O128&amp;" ("&amp;P128&amp;")",""),IF(AND(Q128&lt;&gt;"",OR(R128="Optional",R128="If Applicable",R128="To Verify")),"• "&amp;Q128&amp;" ("&amp;R128&amp;")",""))</f>
        <v/>
      </c>
    </row>
    <row r="129" customFormat="false" ht="35.05" hidden="false" customHeight="false" outlineLevel="0" collapsed="false">
      <c r="A129" s="6" t="s">
        <v>1559</v>
      </c>
      <c r="B129" s="7" t="str">
        <f aca="false">IF($A129="","",IFERROR(INDEX(MASTER_DATABASE!$E$4:$E$1000,MATCH($A129,MASTER_DATABASE!$A$4:$A$1000,0)),""))</f>
        <v>Loan Application Assistance (Mudra / PMEGP etc.)</v>
      </c>
      <c r="C129" s="6" t="s">
        <v>3433</v>
      </c>
      <c r="D129" s="6" t="s">
        <v>3436</v>
      </c>
      <c r="E129" s="6" t="s">
        <v>3478</v>
      </c>
      <c r="F129" s="6" t="s">
        <v>3436</v>
      </c>
      <c r="G129" s="6" t="s">
        <v>3446</v>
      </c>
      <c r="H129" s="6" t="s">
        <v>3436</v>
      </c>
      <c r="I129" s="6" t="s">
        <v>3451</v>
      </c>
      <c r="J129" s="6" t="s">
        <v>3453</v>
      </c>
      <c r="K129" s="6"/>
      <c r="L129" s="6"/>
      <c r="M129" s="6"/>
      <c r="N129" s="6"/>
      <c r="O129" s="6"/>
      <c r="P129" s="6"/>
      <c r="Q129" s="6"/>
      <c r="R129" s="6"/>
      <c r="S129" s="7" t="str">
        <f aca="false">_xlfn.TEXTJOIN(CHAR(10),TRUE(),IF(AND(C129&lt;&gt;"",D129="Mandatory"),"✓ "&amp;C129,""),IF(AND(E129&lt;&gt;"",F129="Mandatory"),"✓ "&amp;E129,""),IF(AND(G129&lt;&gt;"",H129="Mandatory"),"✓ "&amp;G129,""),IF(AND(I129&lt;&gt;"",J129="Mandatory"),"✓ "&amp;I129,""),IF(AND(K129&lt;&gt;"",L129="Mandatory"),"✓ "&amp;K129,""),IF(AND(M129&lt;&gt;"",N129="Mandatory"),"✓ "&amp;M129,""),IF(AND(O129&lt;&gt;"",P129="Mandatory"),"✓ "&amp;O129,""),IF(AND(Q129&lt;&gt;"",R129="Mandatory"),"✓ "&amp;Q129,""))</f>
        <v>✓ Aadhaar Card
✓ Active Mobile Number
✓ Bank Passbook</v>
      </c>
      <c r="T129" s="7" t="str">
        <f aca="false">_xlfn.TEXTJOIN(CHAR(10),TRUE(),IF(AND(C129&lt;&gt;"",OR(D129="Optional",D129="If Applicable",D129="To Verify")),"• "&amp;C129&amp;" ("&amp;D129&amp;")",""),IF(AND(E129&lt;&gt;"",OR(F129="Optional",F129="If Applicable",F129="To Verify")),"• "&amp;E129&amp;" ("&amp;F129&amp;")",""),IF(AND(G129&lt;&gt;"",OR(H129="Optional",H129="If Applicable",H129="To Verify")),"• "&amp;G129&amp;" ("&amp;H129&amp;")",""),IF(AND(I129&lt;&gt;"",OR(J129="Optional",J129="If Applicable",J129="To Verify")),"• "&amp;I129&amp;" ("&amp;J129&amp;")",""),IF(AND(K129&lt;&gt;"",OR(L129="Optional",L129="If Applicable",L129="To Verify")),"• "&amp;K129&amp;" ("&amp;L129&amp;")",""),IF(AND(M129&lt;&gt;"",OR(N129="Optional",N129="If Applicable",N129="To Verify")),"• "&amp;M129&amp;" ("&amp;N129&amp;")",""),IF(AND(O129&lt;&gt;"",OR(P129="Optional",P129="If Applicable",P129="To Verify")),"• "&amp;O129&amp;" ("&amp;P129&amp;")",""),IF(AND(Q129&lt;&gt;"",OR(R129="Optional",R129="If Applicable",R129="To Verify")),"• "&amp;Q129&amp;" ("&amp;R129&amp;")",""))</f>
        <v>• PAN Card (If Applicable)</v>
      </c>
    </row>
    <row r="130" customFormat="false" ht="46.25" hidden="false" customHeight="false" outlineLevel="0" collapsed="false">
      <c r="A130" s="6" t="s">
        <v>1569</v>
      </c>
      <c r="B130" s="7" t="str">
        <f aca="false">IF($A130="","",IFERROR(INDEX(MASTER_DATABASE!$E$4:$E$1000,MATCH($A130,MASTER_DATABASE!$A$4:$A$1000,0)),""))</f>
        <v>Life Insurance – New Policy</v>
      </c>
      <c r="C130" s="6" t="s">
        <v>3433</v>
      </c>
      <c r="D130" s="6" t="s">
        <v>3436</v>
      </c>
      <c r="E130" s="6" t="s">
        <v>3478</v>
      </c>
      <c r="F130" s="6" t="s">
        <v>3436</v>
      </c>
      <c r="G130" s="6" t="s">
        <v>3446</v>
      </c>
      <c r="H130" s="6" t="s">
        <v>3436</v>
      </c>
      <c r="I130" s="6" t="s">
        <v>3603</v>
      </c>
      <c r="J130" s="6" t="s">
        <v>3436</v>
      </c>
      <c r="K130" s="6"/>
      <c r="L130" s="6"/>
      <c r="M130" s="6"/>
      <c r="N130" s="6"/>
      <c r="O130" s="6"/>
      <c r="P130" s="6"/>
      <c r="Q130" s="6"/>
      <c r="R130" s="6"/>
      <c r="S130" s="7" t="str">
        <f aca="false">_xlfn.TEXTJOIN(CHAR(10),TRUE(),IF(AND(C130&lt;&gt;"",D130="Mandatory"),"✓ "&amp;C130,""),IF(AND(E130&lt;&gt;"",F130="Mandatory"),"✓ "&amp;E130,""),IF(AND(G130&lt;&gt;"",H130="Mandatory"),"✓ "&amp;G130,""),IF(AND(I130&lt;&gt;"",J130="Mandatory"),"✓ "&amp;I130,""),IF(AND(K130&lt;&gt;"",L130="Mandatory"),"✓ "&amp;K130,""),IF(AND(M130&lt;&gt;"",N130="Mandatory"),"✓ "&amp;M130,""),IF(AND(O130&lt;&gt;"",P130="Mandatory"),"✓ "&amp;O130,""),IF(AND(Q130&lt;&gt;"",R130="Mandatory"),"✓ "&amp;Q130,""))</f>
        <v>✓ Aadhaar Card
✓ Active Mobile Number
✓ Bank Passbook
✓ Nominee Details</v>
      </c>
      <c r="T130" s="7" t="str">
        <f aca="false">_xlfn.TEXTJOIN(CHAR(10),TRUE(),IF(AND(C130&lt;&gt;"",OR(D130="Optional",D130="If Applicable",D130="To Verify")),"• "&amp;C130&amp;" ("&amp;D130&amp;")",""),IF(AND(E130&lt;&gt;"",OR(F130="Optional",F130="If Applicable",F130="To Verify")),"• "&amp;E130&amp;" ("&amp;F130&amp;")",""),IF(AND(G130&lt;&gt;"",OR(H130="Optional",H130="If Applicable",H130="To Verify")),"• "&amp;G130&amp;" ("&amp;H130&amp;")",""),IF(AND(I130&lt;&gt;"",OR(J130="Optional",J130="If Applicable",J130="To Verify")),"• "&amp;I130&amp;" ("&amp;J130&amp;")",""),IF(AND(K130&lt;&gt;"",OR(L130="Optional",L130="If Applicable",L130="To Verify")),"• "&amp;K130&amp;" ("&amp;L130&amp;")",""),IF(AND(M130&lt;&gt;"",OR(N130="Optional",N130="If Applicable",N130="To Verify")),"• "&amp;M130&amp;" ("&amp;N130&amp;")",""),IF(AND(O130&lt;&gt;"",OR(P130="Optional",P130="If Applicable",P130="To Verify")),"• "&amp;O130&amp;" ("&amp;P130&amp;")",""),IF(AND(Q130&lt;&gt;"",OR(R130="Optional",R130="If Applicable",R130="To Verify")),"• "&amp;Q130&amp;" ("&amp;R130&amp;")",""))</f>
        <v/>
      </c>
    </row>
    <row r="131" customFormat="false" ht="46.25" hidden="false" customHeight="false" outlineLevel="0" collapsed="false">
      <c r="A131" s="6" t="s">
        <v>1581</v>
      </c>
      <c r="B131" s="7" t="str">
        <f aca="false">IF($A131="","",IFERROR(INDEX(MASTER_DATABASE!$E$4:$E$1000,MATCH($A131,MASTER_DATABASE!$A$4:$A$1000,0)),""))</f>
        <v>Health Insurance – New Policy</v>
      </c>
      <c r="C131" s="6" t="s">
        <v>3433</v>
      </c>
      <c r="D131" s="6" t="s">
        <v>3436</v>
      </c>
      <c r="E131" s="6" t="s">
        <v>3478</v>
      </c>
      <c r="F131" s="6" t="s">
        <v>3436</v>
      </c>
      <c r="G131" s="6" t="s">
        <v>3446</v>
      </c>
      <c r="H131" s="6" t="s">
        <v>3436</v>
      </c>
      <c r="I131" s="6" t="s">
        <v>3603</v>
      </c>
      <c r="J131" s="6" t="s">
        <v>3436</v>
      </c>
      <c r="K131" s="6"/>
      <c r="L131" s="6"/>
      <c r="M131" s="6"/>
      <c r="N131" s="6"/>
      <c r="O131" s="6"/>
      <c r="P131" s="6"/>
      <c r="Q131" s="6"/>
      <c r="R131" s="6"/>
      <c r="S131" s="7" t="str">
        <f aca="false">_xlfn.TEXTJOIN(CHAR(10),TRUE(),IF(AND(C131&lt;&gt;"",D131="Mandatory"),"✓ "&amp;C131,""),IF(AND(E131&lt;&gt;"",F131="Mandatory"),"✓ "&amp;E131,""),IF(AND(G131&lt;&gt;"",H131="Mandatory"),"✓ "&amp;G131,""),IF(AND(I131&lt;&gt;"",J131="Mandatory"),"✓ "&amp;I131,""),IF(AND(K131&lt;&gt;"",L131="Mandatory"),"✓ "&amp;K131,""),IF(AND(M131&lt;&gt;"",N131="Mandatory"),"✓ "&amp;M131,""),IF(AND(O131&lt;&gt;"",P131="Mandatory"),"✓ "&amp;O131,""),IF(AND(Q131&lt;&gt;"",R131="Mandatory"),"✓ "&amp;Q131,""))</f>
        <v>✓ Aadhaar Card
✓ Active Mobile Number
✓ Bank Passbook
✓ Nominee Details</v>
      </c>
      <c r="T131" s="7" t="str">
        <f aca="false">_xlfn.TEXTJOIN(CHAR(10),TRUE(),IF(AND(C131&lt;&gt;"",OR(D131="Optional",D131="If Applicable",D131="To Verify")),"• "&amp;C131&amp;" ("&amp;D131&amp;")",""),IF(AND(E131&lt;&gt;"",OR(F131="Optional",F131="If Applicable",F131="To Verify")),"• "&amp;E131&amp;" ("&amp;F131&amp;")",""),IF(AND(G131&lt;&gt;"",OR(H131="Optional",H131="If Applicable",H131="To Verify")),"• "&amp;G131&amp;" ("&amp;H131&amp;")",""),IF(AND(I131&lt;&gt;"",OR(J131="Optional",J131="If Applicable",J131="To Verify")),"• "&amp;I131&amp;" ("&amp;J131&amp;")",""),IF(AND(K131&lt;&gt;"",OR(L131="Optional",L131="If Applicable",L131="To Verify")),"• "&amp;K131&amp;" ("&amp;L131&amp;")",""),IF(AND(M131&lt;&gt;"",OR(N131="Optional",N131="If Applicable",N131="To Verify")),"• "&amp;M131&amp;" ("&amp;N131&amp;")",""),IF(AND(O131&lt;&gt;"",OR(P131="Optional",P131="If Applicable",P131="To Verify")),"• "&amp;O131&amp;" ("&amp;P131&amp;")",""),IF(AND(Q131&lt;&gt;"",OR(R131="Optional",R131="If Applicable",R131="To Verify")),"• "&amp;Q131&amp;" ("&amp;R131&amp;")",""))</f>
        <v/>
      </c>
    </row>
    <row r="132" customFormat="false" ht="46.25" hidden="false" customHeight="false" outlineLevel="0" collapsed="false">
      <c r="A132" s="6" t="s">
        <v>1591</v>
      </c>
      <c r="B132" s="7" t="str">
        <f aca="false">IF($A132="","",IFERROR(INDEX(MASTER_DATABASE!$E$4:$E$1000,MATCH($A132,MASTER_DATABASE!$A$4:$A$1000,0)),""))</f>
        <v>Motor Insurance – New / Renewal</v>
      </c>
      <c r="C132" s="6" t="s">
        <v>3433</v>
      </c>
      <c r="D132" s="6" t="s">
        <v>3436</v>
      </c>
      <c r="E132" s="6" t="s">
        <v>3478</v>
      </c>
      <c r="F132" s="6" t="s">
        <v>3436</v>
      </c>
      <c r="G132" s="6" t="s">
        <v>3446</v>
      </c>
      <c r="H132" s="6" t="s">
        <v>3436</v>
      </c>
      <c r="I132" s="6" t="s">
        <v>3603</v>
      </c>
      <c r="J132" s="6" t="s">
        <v>3436</v>
      </c>
      <c r="K132" s="6"/>
      <c r="L132" s="6"/>
      <c r="M132" s="6"/>
      <c r="N132" s="6"/>
      <c r="O132" s="6"/>
      <c r="P132" s="6"/>
      <c r="Q132" s="6"/>
      <c r="R132" s="6"/>
      <c r="S132" s="7" t="str">
        <f aca="false">_xlfn.TEXTJOIN(CHAR(10),TRUE(),IF(AND(C132&lt;&gt;"",D132="Mandatory"),"✓ "&amp;C132,""),IF(AND(E132&lt;&gt;"",F132="Mandatory"),"✓ "&amp;E132,""),IF(AND(G132&lt;&gt;"",H132="Mandatory"),"✓ "&amp;G132,""),IF(AND(I132&lt;&gt;"",J132="Mandatory"),"✓ "&amp;I132,""),IF(AND(K132&lt;&gt;"",L132="Mandatory"),"✓ "&amp;K132,""),IF(AND(M132&lt;&gt;"",N132="Mandatory"),"✓ "&amp;M132,""),IF(AND(O132&lt;&gt;"",P132="Mandatory"),"✓ "&amp;O132,""),IF(AND(Q132&lt;&gt;"",R132="Mandatory"),"✓ "&amp;Q132,""))</f>
        <v>✓ Aadhaar Card
✓ Active Mobile Number
✓ Bank Passbook
✓ Nominee Details</v>
      </c>
      <c r="T132" s="7" t="str">
        <f aca="false">_xlfn.TEXTJOIN(CHAR(10),TRUE(),IF(AND(C132&lt;&gt;"",OR(D132="Optional",D132="If Applicable",D132="To Verify")),"• "&amp;C132&amp;" ("&amp;D132&amp;")",""),IF(AND(E132&lt;&gt;"",OR(F132="Optional",F132="If Applicable",F132="To Verify")),"• "&amp;E132&amp;" ("&amp;F132&amp;")",""),IF(AND(G132&lt;&gt;"",OR(H132="Optional",H132="If Applicable",H132="To Verify")),"• "&amp;G132&amp;" ("&amp;H132&amp;")",""),IF(AND(I132&lt;&gt;"",OR(J132="Optional",J132="If Applicable",J132="To Verify")),"• "&amp;I132&amp;" ("&amp;J132&amp;")",""),IF(AND(K132&lt;&gt;"",OR(L132="Optional",L132="If Applicable",L132="To Verify")),"• "&amp;K132&amp;" ("&amp;L132&amp;")",""),IF(AND(M132&lt;&gt;"",OR(N132="Optional",N132="If Applicable",N132="To Verify")),"• "&amp;M132&amp;" ("&amp;N132&amp;")",""),IF(AND(O132&lt;&gt;"",OR(P132="Optional",P132="If Applicable",P132="To Verify")),"• "&amp;O132&amp;" ("&amp;P132&amp;")",""),IF(AND(Q132&lt;&gt;"",OR(R132="Optional",R132="If Applicable",R132="To Verify")),"• "&amp;Q132&amp;" ("&amp;R132&amp;")",""))</f>
        <v/>
      </c>
    </row>
    <row r="133" customFormat="false" ht="46.25" hidden="false" customHeight="false" outlineLevel="0" collapsed="false">
      <c r="A133" s="6" t="s">
        <v>1601</v>
      </c>
      <c r="B133" s="7" t="str">
        <f aca="false">IF($A133="","",IFERROR(INDEX(MASTER_DATABASE!$E$4:$E$1000,MATCH($A133,MASTER_DATABASE!$A$4:$A$1000,0)),""))</f>
        <v>Crop Insurance (PMFBY) Enrolment</v>
      </c>
      <c r="C133" s="6" t="s">
        <v>3433</v>
      </c>
      <c r="D133" s="6" t="s">
        <v>3436</v>
      </c>
      <c r="E133" s="6" t="s">
        <v>3478</v>
      </c>
      <c r="F133" s="6" t="s">
        <v>3436</v>
      </c>
      <c r="G133" s="6" t="s">
        <v>3446</v>
      </c>
      <c r="H133" s="6" t="s">
        <v>3436</v>
      </c>
      <c r="I133" s="6" t="s">
        <v>3603</v>
      </c>
      <c r="J133" s="6" t="s">
        <v>3436</v>
      </c>
      <c r="K133" s="6"/>
      <c r="L133" s="6"/>
      <c r="M133" s="6"/>
      <c r="N133" s="6"/>
      <c r="O133" s="6"/>
      <c r="P133" s="6"/>
      <c r="Q133" s="6"/>
      <c r="R133" s="6"/>
      <c r="S133" s="7" t="str">
        <f aca="false">_xlfn.TEXTJOIN(CHAR(10),TRUE(),IF(AND(C133&lt;&gt;"",D133="Mandatory"),"✓ "&amp;C133,""),IF(AND(E133&lt;&gt;"",F133="Mandatory"),"✓ "&amp;E133,""),IF(AND(G133&lt;&gt;"",H133="Mandatory"),"✓ "&amp;G133,""),IF(AND(I133&lt;&gt;"",J133="Mandatory"),"✓ "&amp;I133,""),IF(AND(K133&lt;&gt;"",L133="Mandatory"),"✓ "&amp;K133,""),IF(AND(M133&lt;&gt;"",N133="Mandatory"),"✓ "&amp;M133,""),IF(AND(O133&lt;&gt;"",P133="Mandatory"),"✓ "&amp;O133,""),IF(AND(Q133&lt;&gt;"",R133="Mandatory"),"✓ "&amp;Q133,""))</f>
        <v>✓ Aadhaar Card
✓ Active Mobile Number
✓ Bank Passbook
✓ Nominee Details</v>
      </c>
      <c r="T133" s="7" t="str">
        <f aca="false">_xlfn.TEXTJOIN(CHAR(10),TRUE(),IF(AND(C133&lt;&gt;"",OR(D133="Optional",D133="If Applicable",D133="To Verify")),"• "&amp;C133&amp;" ("&amp;D133&amp;")",""),IF(AND(E133&lt;&gt;"",OR(F133="Optional",F133="If Applicable",F133="To Verify")),"• "&amp;E133&amp;" ("&amp;F133&amp;")",""),IF(AND(G133&lt;&gt;"",OR(H133="Optional",H133="If Applicable",H133="To Verify")),"• "&amp;G133&amp;" ("&amp;H133&amp;")",""),IF(AND(I133&lt;&gt;"",OR(J133="Optional",J133="If Applicable",J133="To Verify")),"• "&amp;I133&amp;" ("&amp;J133&amp;")",""),IF(AND(K133&lt;&gt;"",OR(L133="Optional",L133="If Applicable",L133="To Verify")),"• "&amp;K133&amp;" ("&amp;L133&amp;")",""),IF(AND(M133&lt;&gt;"",OR(N133="Optional",N133="If Applicable",N133="To Verify")),"• "&amp;M133&amp;" ("&amp;N133&amp;")",""),IF(AND(O133&lt;&gt;"",OR(P133="Optional",P133="If Applicable",P133="To Verify")),"• "&amp;O133&amp;" ("&amp;P133&amp;")",""),IF(AND(Q133&lt;&gt;"",OR(R133="Optional",R133="If Applicable",R133="To Verify")),"• "&amp;Q133&amp;" ("&amp;R133&amp;")",""))</f>
        <v/>
      </c>
    </row>
    <row r="134" customFormat="false" ht="46.25" hidden="false" customHeight="false" outlineLevel="0" collapsed="false">
      <c r="A134" s="6" t="s">
        <v>1611</v>
      </c>
      <c r="B134" s="7" t="str">
        <f aca="false">IF($A134="","",IFERROR(INDEX(MASTER_DATABASE!$E$4:$E$1000,MATCH($A134,MASTER_DATABASE!$A$4:$A$1000,0)),""))</f>
        <v>PM Suraksha Bima Yojana (PMSBY) Enrolment</v>
      </c>
      <c r="C134" s="6" t="s">
        <v>3433</v>
      </c>
      <c r="D134" s="6" t="s">
        <v>3436</v>
      </c>
      <c r="E134" s="6" t="s">
        <v>3478</v>
      </c>
      <c r="F134" s="6" t="s">
        <v>3436</v>
      </c>
      <c r="G134" s="6" t="s">
        <v>3446</v>
      </c>
      <c r="H134" s="6" t="s">
        <v>3436</v>
      </c>
      <c r="I134" s="6" t="s">
        <v>3603</v>
      </c>
      <c r="J134" s="6" t="s">
        <v>3436</v>
      </c>
      <c r="K134" s="6"/>
      <c r="L134" s="6"/>
      <c r="M134" s="6"/>
      <c r="N134" s="6"/>
      <c r="O134" s="6"/>
      <c r="P134" s="6"/>
      <c r="Q134" s="6"/>
      <c r="R134" s="6"/>
      <c r="S134" s="7" t="str">
        <f aca="false">_xlfn.TEXTJOIN(CHAR(10),TRUE(),IF(AND(C134&lt;&gt;"",D134="Mandatory"),"✓ "&amp;C134,""),IF(AND(E134&lt;&gt;"",F134="Mandatory"),"✓ "&amp;E134,""),IF(AND(G134&lt;&gt;"",H134="Mandatory"),"✓ "&amp;G134,""),IF(AND(I134&lt;&gt;"",J134="Mandatory"),"✓ "&amp;I134,""),IF(AND(K134&lt;&gt;"",L134="Mandatory"),"✓ "&amp;K134,""),IF(AND(M134&lt;&gt;"",N134="Mandatory"),"✓ "&amp;M134,""),IF(AND(O134&lt;&gt;"",P134="Mandatory"),"✓ "&amp;O134,""),IF(AND(Q134&lt;&gt;"",R134="Mandatory"),"✓ "&amp;Q134,""))</f>
        <v>✓ Aadhaar Card
✓ Active Mobile Number
✓ Bank Passbook
✓ Nominee Details</v>
      </c>
      <c r="T134" s="7" t="str">
        <f aca="false">_xlfn.TEXTJOIN(CHAR(10),TRUE(),IF(AND(C134&lt;&gt;"",OR(D134="Optional",D134="If Applicable",D134="To Verify")),"• "&amp;C134&amp;" ("&amp;D134&amp;")",""),IF(AND(E134&lt;&gt;"",OR(F134="Optional",F134="If Applicable",F134="To Verify")),"• "&amp;E134&amp;" ("&amp;F134&amp;")",""),IF(AND(G134&lt;&gt;"",OR(H134="Optional",H134="If Applicable",H134="To Verify")),"• "&amp;G134&amp;" ("&amp;H134&amp;")",""),IF(AND(I134&lt;&gt;"",OR(J134="Optional",J134="If Applicable",J134="To Verify")),"• "&amp;I134&amp;" ("&amp;J134&amp;")",""),IF(AND(K134&lt;&gt;"",OR(L134="Optional",L134="If Applicable",L134="To Verify")),"• "&amp;K134&amp;" ("&amp;L134&amp;")",""),IF(AND(M134&lt;&gt;"",OR(N134="Optional",N134="If Applicable",N134="To Verify")),"• "&amp;M134&amp;" ("&amp;N134&amp;")",""),IF(AND(O134&lt;&gt;"",OR(P134="Optional",P134="If Applicable",P134="To Verify")),"• "&amp;O134&amp;" ("&amp;P134&amp;")",""),IF(AND(Q134&lt;&gt;"",OR(R134="Optional",R134="If Applicable",R134="To Verify")),"• "&amp;Q134&amp;" ("&amp;R134&amp;")",""))</f>
        <v/>
      </c>
    </row>
    <row r="135" customFormat="false" ht="46.25" hidden="false" customHeight="false" outlineLevel="0" collapsed="false">
      <c r="A135" s="6" t="s">
        <v>1621</v>
      </c>
      <c r="B135" s="7" t="str">
        <f aca="false">IF($A135="","",IFERROR(INDEX(MASTER_DATABASE!$E$4:$E$1000,MATCH($A135,MASTER_DATABASE!$A$4:$A$1000,0)),""))</f>
        <v>PM Jeevan Jyoti Bima Yojana (PMJJBY) Enrolment</v>
      </c>
      <c r="C135" s="6" t="s">
        <v>3433</v>
      </c>
      <c r="D135" s="6" t="s">
        <v>3436</v>
      </c>
      <c r="E135" s="6" t="s">
        <v>3478</v>
      </c>
      <c r="F135" s="6" t="s">
        <v>3436</v>
      </c>
      <c r="G135" s="6" t="s">
        <v>3446</v>
      </c>
      <c r="H135" s="6" t="s">
        <v>3436</v>
      </c>
      <c r="I135" s="6" t="s">
        <v>3603</v>
      </c>
      <c r="J135" s="6" t="s">
        <v>3436</v>
      </c>
      <c r="K135" s="6"/>
      <c r="L135" s="6"/>
      <c r="M135" s="6"/>
      <c r="N135" s="6"/>
      <c r="O135" s="6"/>
      <c r="P135" s="6"/>
      <c r="Q135" s="6"/>
      <c r="R135" s="6"/>
      <c r="S135" s="7" t="str">
        <f aca="false">_xlfn.TEXTJOIN(CHAR(10),TRUE(),IF(AND(C135&lt;&gt;"",D135="Mandatory"),"✓ "&amp;C135,""),IF(AND(E135&lt;&gt;"",F135="Mandatory"),"✓ "&amp;E135,""),IF(AND(G135&lt;&gt;"",H135="Mandatory"),"✓ "&amp;G135,""),IF(AND(I135&lt;&gt;"",J135="Mandatory"),"✓ "&amp;I135,""),IF(AND(K135&lt;&gt;"",L135="Mandatory"),"✓ "&amp;K135,""),IF(AND(M135&lt;&gt;"",N135="Mandatory"),"✓ "&amp;M135,""),IF(AND(O135&lt;&gt;"",P135="Mandatory"),"✓ "&amp;O135,""),IF(AND(Q135&lt;&gt;"",R135="Mandatory"),"✓ "&amp;Q135,""))</f>
        <v>✓ Aadhaar Card
✓ Active Mobile Number
✓ Bank Passbook
✓ Nominee Details</v>
      </c>
      <c r="T135" s="7" t="str">
        <f aca="false">_xlfn.TEXTJOIN(CHAR(10),TRUE(),IF(AND(C135&lt;&gt;"",OR(D135="Optional",D135="If Applicable",D135="To Verify")),"• "&amp;C135&amp;" ("&amp;D135&amp;")",""),IF(AND(E135&lt;&gt;"",OR(F135="Optional",F135="If Applicable",F135="To Verify")),"• "&amp;E135&amp;" ("&amp;F135&amp;")",""),IF(AND(G135&lt;&gt;"",OR(H135="Optional",H135="If Applicable",H135="To Verify")),"• "&amp;G135&amp;" ("&amp;H135&amp;")",""),IF(AND(I135&lt;&gt;"",OR(J135="Optional",J135="If Applicable",J135="To Verify")),"• "&amp;I135&amp;" ("&amp;J135&amp;")",""),IF(AND(K135&lt;&gt;"",OR(L135="Optional",L135="If Applicable",L135="To Verify")),"• "&amp;K135&amp;" ("&amp;L135&amp;")",""),IF(AND(M135&lt;&gt;"",OR(N135="Optional",N135="If Applicable",N135="To Verify")),"• "&amp;M135&amp;" ("&amp;N135&amp;")",""),IF(AND(O135&lt;&gt;"",OR(P135="Optional",P135="If Applicable",P135="To Verify")),"• "&amp;O135&amp;" ("&amp;P135&amp;")",""),IF(AND(Q135&lt;&gt;"",OR(R135="Optional",R135="If Applicable",R135="To Verify")),"• "&amp;Q135&amp;" ("&amp;R135&amp;")",""))</f>
        <v/>
      </c>
    </row>
    <row r="136" customFormat="false" ht="46.25" hidden="false" customHeight="false" outlineLevel="0" collapsed="false">
      <c r="A136" s="6" t="s">
        <v>1631</v>
      </c>
      <c r="B136" s="7" t="str">
        <f aca="false">IF($A136="","",IFERROR(INDEX(MASTER_DATABASE!$E$4:$E$1000,MATCH($A136,MASTER_DATABASE!$A$4:$A$1000,0)),""))</f>
        <v>Atal Pension Yojana (APY) Enrolment</v>
      </c>
      <c r="C136" s="6" t="s">
        <v>3433</v>
      </c>
      <c r="D136" s="6" t="s">
        <v>3436</v>
      </c>
      <c r="E136" s="6" t="s">
        <v>3478</v>
      </c>
      <c r="F136" s="6" t="s">
        <v>3436</v>
      </c>
      <c r="G136" s="6" t="s">
        <v>3446</v>
      </c>
      <c r="H136" s="6" t="s">
        <v>3436</v>
      </c>
      <c r="I136" s="6" t="s">
        <v>3603</v>
      </c>
      <c r="J136" s="6" t="s">
        <v>3436</v>
      </c>
      <c r="K136" s="6"/>
      <c r="L136" s="6"/>
      <c r="M136" s="6"/>
      <c r="N136" s="6"/>
      <c r="O136" s="6"/>
      <c r="P136" s="6"/>
      <c r="Q136" s="6"/>
      <c r="R136" s="6"/>
      <c r="S136" s="7" t="str">
        <f aca="false">_xlfn.TEXTJOIN(CHAR(10),TRUE(),IF(AND(C136&lt;&gt;"",D136="Mandatory"),"✓ "&amp;C136,""),IF(AND(E136&lt;&gt;"",F136="Mandatory"),"✓ "&amp;E136,""),IF(AND(G136&lt;&gt;"",H136="Mandatory"),"✓ "&amp;G136,""),IF(AND(I136&lt;&gt;"",J136="Mandatory"),"✓ "&amp;I136,""),IF(AND(K136&lt;&gt;"",L136="Mandatory"),"✓ "&amp;K136,""),IF(AND(M136&lt;&gt;"",N136="Mandatory"),"✓ "&amp;M136,""),IF(AND(O136&lt;&gt;"",P136="Mandatory"),"✓ "&amp;O136,""),IF(AND(Q136&lt;&gt;"",R136="Mandatory"),"✓ "&amp;Q136,""))</f>
        <v>✓ Aadhaar Card
✓ Active Mobile Number
✓ Bank Passbook
✓ Nominee Details</v>
      </c>
      <c r="T136" s="7" t="str">
        <f aca="false">_xlfn.TEXTJOIN(CHAR(10),TRUE(),IF(AND(C136&lt;&gt;"",OR(D136="Optional",D136="If Applicable",D136="To Verify")),"• "&amp;C136&amp;" ("&amp;D136&amp;")",""),IF(AND(E136&lt;&gt;"",OR(F136="Optional",F136="If Applicable",F136="To Verify")),"• "&amp;E136&amp;" ("&amp;F136&amp;")",""),IF(AND(G136&lt;&gt;"",OR(H136="Optional",H136="If Applicable",H136="To Verify")),"• "&amp;G136&amp;" ("&amp;H136&amp;")",""),IF(AND(I136&lt;&gt;"",OR(J136="Optional",J136="If Applicable",J136="To Verify")),"• "&amp;I136&amp;" ("&amp;J136&amp;")",""),IF(AND(K136&lt;&gt;"",OR(L136="Optional",L136="If Applicable",L136="To Verify")),"• "&amp;K136&amp;" ("&amp;L136&amp;")",""),IF(AND(M136&lt;&gt;"",OR(N136="Optional",N136="If Applicable",N136="To Verify")),"• "&amp;M136&amp;" ("&amp;N136&amp;")",""),IF(AND(O136&lt;&gt;"",OR(P136="Optional",P136="If Applicable",P136="To Verify")),"• "&amp;O136&amp;" ("&amp;P136&amp;")",""),IF(AND(Q136&lt;&gt;"",OR(R136="Optional",R136="If Applicable",R136="To Verify")),"• "&amp;Q136&amp;" ("&amp;R136&amp;")",""))</f>
        <v/>
      </c>
    </row>
    <row r="137" customFormat="false" ht="46.25" hidden="false" customHeight="false" outlineLevel="0" collapsed="false">
      <c r="A137" s="6" t="s">
        <v>1643</v>
      </c>
      <c r="B137" s="7" t="str">
        <f aca="false">IF($A137="","",IFERROR(INDEX(MASTER_DATABASE!$E$4:$E$1000,MATCH($A137,MASTER_DATABASE!$A$4:$A$1000,0)),""))</f>
        <v>NPS (National Pension System) Account Opening</v>
      </c>
      <c r="C137" s="6" t="s">
        <v>3433</v>
      </c>
      <c r="D137" s="6" t="s">
        <v>3436</v>
      </c>
      <c r="E137" s="6" t="s">
        <v>3478</v>
      </c>
      <c r="F137" s="6" t="s">
        <v>3436</v>
      </c>
      <c r="G137" s="6" t="s">
        <v>3446</v>
      </c>
      <c r="H137" s="6" t="s">
        <v>3436</v>
      </c>
      <c r="I137" s="6" t="s">
        <v>3603</v>
      </c>
      <c r="J137" s="6" t="s">
        <v>3436</v>
      </c>
      <c r="K137" s="6"/>
      <c r="L137" s="6"/>
      <c r="M137" s="6"/>
      <c r="N137" s="6"/>
      <c r="O137" s="6"/>
      <c r="P137" s="6"/>
      <c r="Q137" s="6"/>
      <c r="R137" s="6"/>
      <c r="S137" s="7" t="str">
        <f aca="false">_xlfn.TEXTJOIN(CHAR(10),TRUE(),IF(AND(C137&lt;&gt;"",D137="Mandatory"),"✓ "&amp;C137,""),IF(AND(E137&lt;&gt;"",F137="Mandatory"),"✓ "&amp;E137,""),IF(AND(G137&lt;&gt;"",H137="Mandatory"),"✓ "&amp;G137,""),IF(AND(I137&lt;&gt;"",J137="Mandatory"),"✓ "&amp;I137,""),IF(AND(K137&lt;&gt;"",L137="Mandatory"),"✓ "&amp;K137,""),IF(AND(M137&lt;&gt;"",N137="Mandatory"),"✓ "&amp;M137,""),IF(AND(O137&lt;&gt;"",P137="Mandatory"),"✓ "&amp;O137,""),IF(AND(Q137&lt;&gt;"",R137="Mandatory"),"✓ "&amp;Q137,""))</f>
        <v>✓ Aadhaar Card
✓ Active Mobile Number
✓ Bank Passbook
✓ Nominee Details</v>
      </c>
      <c r="T137" s="7" t="str">
        <f aca="false">_xlfn.TEXTJOIN(CHAR(10),TRUE(),IF(AND(C137&lt;&gt;"",OR(D137="Optional",D137="If Applicable",D137="To Verify")),"• "&amp;C137&amp;" ("&amp;D137&amp;")",""),IF(AND(E137&lt;&gt;"",OR(F137="Optional",F137="If Applicable",F137="To Verify")),"• "&amp;E137&amp;" ("&amp;F137&amp;")",""),IF(AND(G137&lt;&gt;"",OR(H137="Optional",H137="If Applicable",H137="To Verify")),"• "&amp;G137&amp;" ("&amp;H137&amp;")",""),IF(AND(I137&lt;&gt;"",OR(J137="Optional",J137="If Applicable",J137="To Verify")),"• "&amp;I137&amp;" ("&amp;J137&amp;")",""),IF(AND(K137&lt;&gt;"",OR(L137="Optional",L137="If Applicable",L137="To Verify")),"• "&amp;K137&amp;" ("&amp;L137&amp;")",""),IF(AND(M137&lt;&gt;"",OR(N137="Optional",N137="If Applicable",N137="To Verify")),"• "&amp;M137&amp;" ("&amp;N137&amp;")",""),IF(AND(O137&lt;&gt;"",OR(P137="Optional",P137="If Applicable",P137="To Verify")),"• "&amp;O137&amp;" ("&amp;P137&amp;")",""),IF(AND(Q137&lt;&gt;"",OR(R137="Optional",R137="If Applicable",R137="To Verify")),"• "&amp;Q137&amp;" ("&amp;R137&amp;")",""))</f>
        <v/>
      </c>
    </row>
    <row r="138" customFormat="false" ht="46.25" hidden="false" customHeight="false" outlineLevel="0" collapsed="false">
      <c r="A138" s="6" t="s">
        <v>1653</v>
      </c>
      <c r="B138" s="7" t="str">
        <f aca="false">IF($A138="","",IFERROR(INDEX(MASTER_DATABASE!$E$4:$E$1000,MATCH($A138,MASTER_DATABASE!$A$4:$A$1000,0)),""))</f>
        <v>Digital Life Certificate (Jeevan Pramaan)</v>
      </c>
      <c r="C138" s="6" t="s">
        <v>3433</v>
      </c>
      <c r="D138" s="6" t="s">
        <v>3436</v>
      </c>
      <c r="E138" s="6" t="s">
        <v>3478</v>
      </c>
      <c r="F138" s="6" t="s">
        <v>3436</v>
      </c>
      <c r="G138" s="6" t="s">
        <v>3446</v>
      </c>
      <c r="H138" s="6" t="s">
        <v>3436</v>
      </c>
      <c r="I138" s="6" t="s">
        <v>3488</v>
      </c>
      <c r="J138" s="6" t="s">
        <v>3436</v>
      </c>
      <c r="K138" s="6"/>
      <c r="L138" s="6"/>
      <c r="M138" s="6"/>
      <c r="N138" s="6"/>
      <c r="O138" s="6"/>
      <c r="P138" s="6"/>
      <c r="Q138" s="6"/>
      <c r="R138" s="6"/>
      <c r="S138" s="7" t="str">
        <f aca="false">_xlfn.TEXTJOIN(CHAR(10),TRUE(),IF(AND(C138&lt;&gt;"",D138="Mandatory"),"✓ "&amp;C138,""),IF(AND(E138&lt;&gt;"",F138="Mandatory"),"✓ "&amp;E138,""),IF(AND(G138&lt;&gt;"",H138="Mandatory"),"✓ "&amp;G138,""),IF(AND(I138&lt;&gt;"",J138="Mandatory"),"✓ "&amp;I138,""),IF(AND(K138&lt;&gt;"",L138="Mandatory"),"✓ "&amp;K138,""),IF(AND(M138&lt;&gt;"",N138="Mandatory"),"✓ "&amp;M138,""),IF(AND(O138&lt;&gt;"",P138="Mandatory"),"✓ "&amp;O138,""),IF(AND(Q138&lt;&gt;"",R138="Mandatory"),"✓ "&amp;Q138,""))</f>
        <v>✓ Aadhaar Card
✓ Active Mobile Number
✓ Bank Passbook
✓ Customer Presence for Biometrics</v>
      </c>
      <c r="T138" s="7" t="str">
        <f aca="false">_xlfn.TEXTJOIN(CHAR(10),TRUE(),IF(AND(C138&lt;&gt;"",OR(D138="Optional",D138="If Applicable",D138="To Verify")),"• "&amp;C138&amp;" ("&amp;D138&amp;")",""),IF(AND(E138&lt;&gt;"",OR(F138="Optional",F138="If Applicable",F138="To Verify")),"• "&amp;E138&amp;" ("&amp;F138&amp;")",""),IF(AND(G138&lt;&gt;"",OR(H138="Optional",H138="If Applicable",H138="To Verify")),"• "&amp;G138&amp;" ("&amp;H138&amp;")",""),IF(AND(I138&lt;&gt;"",OR(J138="Optional",J138="If Applicable",J138="To Verify")),"• "&amp;I138&amp;" ("&amp;J138&amp;")",""),IF(AND(K138&lt;&gt;"",OR(L138="Optional",L138="If Applicable",L138="To Verify")),"• "&amp;K138&amp;" ("&amp;L138&amp;")",""),IF(AND(M138&lt;&gt;"",OR(N138="Optional",N138="If Applicable",N138="To Verify")),"• "&amp;M138&amp;" ("&amp;N138&amp;")",""),IF(AND(O138&lt;&gt;"",OR(P138="Optional",P138="If Applicable",P138="To Verify")),"• "&amp;O138&amp;" ("&amp;P138&amp;")",""),IF(AND(Q138&lt;&gt;"",OR(R138="Optional",R138="If Applicable",R138="To Verify")),"• "&amp;Q138&amp;" ("&amp;R138&amp;")",""))</f>
        <v/>
      </c>
    </row>
    <row r="139" customFormat="false" ht="35.05" hidden="false" customHeight="false" outlineLevel="0" collapsed="false">
      <c r="A139" s="6" t="s">
        <v>1664</v>
      </c>
      <c r="B139" s="7" t="str">
        <f aca="false">IF($A139="","",IFERROR(INDEX(MASTER_DATABASE!$E$4:$E$1000,MATCH($A139,MASTER_DATABASE!$A$4:$A$1000,0)),""))</f>
        <v>EPFO / UAN Service Assistance</v>
      </c>
      <c r="C139" s="6" t="s">
        <v>3433</v>
      </c>
      <c r="D139" s="6" t="s">
        <v>3436</v>
      </c>
      <c r="E139" s="6" t="s">
        <v>3478</v>
      </c>
      <c r="F139" s="6" t="s">
        <v>3436</v>
      </c>
      <c r="G139" s="6" t="s">
        <v>3446</v>
      </c>
      <c r="H139" s="6" t="s">
        <v>3436</v>
      </c>
      <c r="I139" s="6" t="s">
        <v>3451</v>
      </c>
      <c r="J139" s="6" t="s">
        <v>3453</v>
      </c>
      <c r="K139" s="6"/>
      <c r="L139" s="6"/>
      <c r="M139" s="6"/>
      <c r="N139" s="6"/>
      <c r="O139" s="6"/>
      <c r="P139" s="6"/>
      <c r="Q139" s="6"/>
      <c r="R139" s="6"/>
      <c r="S139" s="7" t="str">
        <f aca="false">_xlfn.TEXTJOIN(CHAR(10),TRUE(),IF(AND(C139&lt;&gt;"",D139="Mandatory"),"✓ "&amp;C139,""),IF(AND(E139&lt;&gt;"",F139="Mandatory"),"✓ "&amp;E139,""),IF(AND(G139&lt;&gt;"",H139="Mandatory"),"✓ "&amp;G139,""),IF(AND(I139&lt;&gt;"",J139="Mandatory"),"✓ "&amp;I139,""),IF(AND(K139&lt;&gt;"",L139="Mandatory"),"✓ "&amp;K139,""),IF(AND(M139&lt;&gt;"",N139="Mandatory"),"✓ "&amp;M139,""),IF(AND(O139&lt;&gt;"",P139="Mandatory"),"✓ "&amp;O139,""),IF(AND(Q139&lt;&gt;"",R139="Mandatory"),"✓ "&amp;Q139,""))</f>
        <v>✓ Aadhaar Card
✓ Active Mobile Number
✓ Bank Passbook</v>
      </c>
      <c r="T139" s="7" t="str">
        <f aca="false">_xlfn.TEXTJOIN(CHAR(10),TRUE(),IF(AND(C139&lt;&gt;"",OR(D139="Optional",D139="If Applicable",D139="To Verify")),"• "&amp;C139&amp;" ("&amp;D139&amp;")",""),IF(AND(E139&lt;&gt;"",OR(F139="Optional",F139="If Applicable",F139="To Verify")),"• "&amp;E139&amp;" ("&amp;F139&amp;")",""),IF(AND(G139&lt;&gt;"",OR(H139="Optional",H139="If Applicable",H139="To Verify")),"• "&amp;G139&amp;" ("&amp;H139&amp;")",""),IF(AND(I139&lt;&gt;"",OR(J139="Optional",J139="If Applicable",J139="To Verify")),"• "&amp;I139&amp;" ("&amp;J139&amp;")",""),IF(AND(K139&lt;&gt;"",OR(L139="Optional",L139="If Applicable",L139="To Verify")),"• "&amp;K139&amp;" ("&amp;L139&amp;")",""),IF(AND(M139&lt;&gt;"",OR(N139="Optional",N139="If Applicable",N139="To Verify")),"• "&amp;M139&amp;" ("&amp;N139&amp;")",""),IF(AND(O139&lt;&gt;"",OR(P139="Optional",P139="If Applicable",P139="To Verify")),"• "&amp;O139&amp;" ("&amp;P139&amp;")",""),IF(AND(Q139&lt;&gt;"",OR(R139="Optional",R139="If Applicable",R139="To Verify")),"• "&amp;Q139&amp;" ("&amp;R139&amp;")",""))</f>
        <v>• PAN Card (If Applicable)</v>
      </c>
    </row>
    <row r="140" customFormat="false" ht="35.05" hidden="false" customHeight="false" outlineLevel="0" collapsed="false">
      <c r="A140" s="6" t="s">
        <v>1674</v>
      </c>
      <c r="B140" s="7" t="str">
        <f aca="false">IF($A140="","",IFERROR(INDEX(MASTER_DATABASE!$E$4:$E$1000,MATCH($A140,MASTER_DATABASE!$A$4:$A$1000,0)),""))</f>
        <v>Pension Application Assistance (Central / State)</v>
      </c>
      <c r="C140" s="6" t="s">
        <v>3433</v>
      </c>
      <c r="D140" s="6" t="s">
        <v>3436</v>
      </c>
      <c r="E140" s="6" t="s">
        <v>3478</v>
      </c>
      <c r="F140" s="6" t="s">
        <v>3436</v>
      </c>
      <c r="G140" s="6" t="s">
        <v>3446</v>
      </c>
      <c r="H140" s="6" t="s">
        <v>3436</v>
      </c>
      <c r="I140" s="6" t="s">
        <v>3451</v>
      </c>
      <c r="J140" s="6" t="s">
        <v>3453</v>
      </c>
      <c r="K140" s="6"/>
      <c r="L140" s="6"/>
      <c r="M140" s="6"/>
      <c r="N140" s="6"/>
      <c r="O140" s="6"/>
      <c r="P140" s="6"/>
      <c r="Q140" s="6"/>
      <c r="R140" s="6"/>
      <c r="S140" s="7" t="str">
        <f aca="false">_xlfn.TEXTJOIN(CHAR(10),TRUE(),IF(AND(C140&lt;&gt;"",D140="Mandatory"),"✓ "&amp;C140,""),IF(AND(E140&lt;&gt;"",F140="Mandatory"),"✓ "&amp;E140,""),IF(AND(G140&lt;&gt;"",H140="Mandatory"),"✓ "&amp;G140,""),IF(AND(I140&lt;&gt;"",J140="Mandatory"),"✓ "&amp;I140,""),IF(AND(K140&lt;&gt;"",L140="Mandatory"),"✓ "&amp;K140,""),IF(AND(M140&lt;&gt;"",N140="Mandatory"),"✓ "&amp;M140,""),IF(AND(O140&lt;&gt;"",P140="Mandatory"),"✓ "&amp;O140,""),IF(AND(Q140&lt;&gt;"",R140="Mandatory"),"✓ "&amp;Q140,""))</f>
        <v>✓ Aadhaar Card
✓ Active Mobile Number
✓ Bank Passbook</v>
      </c>
      <c r="T140" s="7" t="str">
        <f aca="false">_xlfn.TEXTJOIN(CHAR(10),TRUE(),IF(AND(C140&lt;&gt;"",OR(D140="Optional",D140="If Applicable",D140="To Verify")),"• "&amp;C140&amp;" ("&amp;D140&amp;")",""),IF(AND(E140&lt;&gt;"",OR(F140="Optional",F140="If Applicable",F140="To Verify")),"• "&amp;E140&amp;" ("&amp;F140&amp;")",""),IF(AND(G140&lt;&gt;"",OR(H140="Optional",H140="If Applicable",H140="To Verify")),"• "&amp;G140&amp;" ("&amp;H140&amp;")",""),IF(AND(I140&lt;&gt;"",OR(J140="Optional",J140="If Applicable",J140="To Verify")),"• "&amp;I140&amp;" ("&amp;J140&amp;")",""),IF(AND(K140&lt;&gt;"",OR(L140="Optional",L140="If Applicable",L140="To Verify")),"• "&amp;K140&amp;" ("&amp;L140&amp;")",""),IF(AND(M140&lt;&gt;"",OR(N140="Optional",N140="If Applicable",N140="To Verify")),"• "&amp;M140&amp;" ("&amp;N140&amp;")",""),IF(AND(O140&lt;&gt;"",OR(P140="Optional",P140="If Applicable",P140="To Verify")),"• "&amp;O140&amp;" ("&amp;P140&amp;")",""),IF(AND(Q140&lt;&gt;"",OR(R140="Optional",R140="If Applicable",R140="To Verify")),"• "&amp;Q140&amp;" ("&amp;R140&amp;")",""))</f>
        <v>• PAN Card (If Applicable)</v>
      </c>
    </row>
    <row r="141" customFormat="false" ht="23.85" hidden="false" customHeight="false" outlineLevel="0" collapsed="false">
      <c r="A141" s="6" t="s">
        <v>1684</v>
      </c>
      <c r="B141" s="7" t="str">
        <f aca="false">IF($A141="","",IFERROR(INDEX(MASTER_DATABASE!$E$4:$E$1000,MATCH($A141,MASTER_DATABASE!$A$4:$A$1000,0)),""))</f>
        <v>Digital Literacy (PMGDISHA) Registration</v>
      </c>
      <c r="C141" s="6" t="s">
        <v>3433</v>
      </c>
      <c r="D141" s="6" t="s">
        <v>3436</v>
      </c>
      <c r="E141" s="6" t="s">
        <v>3478</v>
      </c>
      <c r="F141" s="6" t="s">
        <v>3436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7" t="str">
        <f aca="false">_xlfn.TEXTJOIN(CHAR(10),TRUE(),IF(AND(C141&lt;&gt;"",D141="Mandatory"),"✓ "&amp;C141,""),IF(AND(E141&lt;&gt;"",F141="Mandatory"),"✓ "&amp;E141,""),IF(AND(G141&lt;&gt;"",H141="Mandatory"),"✓ "&amp;G141,""),IF(AND(I141&lt;&gt;"",J141="Mandatory"),"✓ "&amp;I141,""),IF(AND(K141&lt;&gt;"",L141="Mandatory"),"✓ "&amp;K141,""),IF(AND(M141&lt;&gt;"",N141="Mandatory"),"✓ "&amp;M141,""),IF(AND(O141&lt;&gt;"",P141="Mandatory"),"✓ "&amp;O141,""),IF(AND(Q141&lt;&gt;"",R141="Mandatory"),"✓ "&amp;Q141,""))</f>
        <v>✓ Aadhaar Card
✓ Active Mobile Number</v>
      </c>
      <c r="T141" s="7" t="str">
        <f aca="false">_xlfn.TEXTJOIN(CHAR(10),TRUE(),IF(AND(C141&lt;&gt;"",OR(D141="Optional",D141="If Applicable",D141="To Verify")),"• "&amp;C141&amp;" ("&amp;D141&amp;")",""),IF(AND(E141&lt;&gt;"",OR(F141="Optional",F141="If Applicable",F141="To Verify")),"• "&amp;E141&amp;" ("&amp;F141&amp;")",""),IF(AND(G141&lt;&gt;"",OR(H141="Optional",H141="If Applicable",H141="To Verify")),"• "&amp;G141&amp;" ("&amp;H141&amp;")",""),IF(AND(I141&lt;&gt;"",OR(J141="Optional",J141="If Applicable",J141="To Verify")),"• "&amp;I141&amp;" ("&amp;J141&amp;")",""),IF(AND(K141&lt;&gt;"",OR(L141="Optional",L141="If Applicable",L141="To Verify")),"• "&amp;K141&amp;" ("&amp;L141&amp;")",""),IF(AND(M141&lt;&gt;"",OR(N141="Optional",N141="If Applicable",N141="To Verify")),"• "&amp;M141&amp;" ("&amp;N141&amp;")",""),IF(AND(O141&lt;&gt;"",OR(P141="Optional",P141="If Applicable",P141="To Verify")),"• "&amp;O141&amp;" ("&amp;P141&amp;")",""),IF(AND(Q141&lt;&gt;"",OR(R141="Optional",R141="If Applicable",R141="To Verify")),"• "&amp;Q141&amp;" ("&amp;R141&amp;")",""))</f>
        <v/>
      </c>
    </row>
    <row r="142" customFormat="false" ht="23.85" hidden="false" customHeight="false" outlineLevel="0" collapsed="false">
      <c r="A142" s="6" t="s">
        <v>1696</v>
      </c>
      <c r="B142" s="7" t="str">
        <f aca="false">IF($A142="","",IFERROR(INDEX(MASTER_DATABASE!$E$4:$E$1000,MATCH($A142,MASTER_DATABASE!$A$4:$A$1000,0)),""))</f>
        <v>Skill Development Course Enrolment</v>
      </c>
      <c r="C142" s="6" t="s">
        <v>3433</v>
      </c>
      <c r="D142" s="6" t="s">
        <v>3436</v>
      </c>
      <c r="E142" s="6" t="s">
        <v>3478</v>
      </c>
      <c r="F142" s="6" t="s">
        <v>3436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7" t="str">
        <f aca="false">_xlfn.TEXTJOIN(CHAR(10),TRUE(),IF(AND(C142&lt;&gt;"",D142="Mandatory"),"✓ "&amp;C142,""),IF(AND(E142&lt;&gt;"",F142="Mandatory"),"✓ "&amp;E142,""),IF(AND(G142&lt;&gt;"",H142="Mandatory"),"✓ "&amp;G142,""),IF(AND(I142&lt;&gt;"",J142="Mandatory"),"✓ "&amp;I142,""),IF(AND(K142&lt;&gt;"",L142="Mandatory"),"✓ "&amp;K142,""),IF(AND(M142&lt;&gt;"",N142="Mandatory"),"✓ "&amp;M142,""),IF(AND(O142&lt;&gt;"",P142="Mandatory"),"✓ "&amp;O142,""),IF(AND(Q142&lt;&gt;"",R142="Mandatory"),"✓ "&amp;Q142,""))</f>
        <v>✓ Aadhaar Card
✓ Active Mobile Number</v>
      </c>
      <c r="T142" s="7" t="str">
        <f aca="false">_xlfn.TEXTJOIN(CHAR(10),TRUE(),IF(AND(C142&lt;&gt;"",OR(D142="Optional",D142="If Applicable",D142="To Verify")),"• "&amp;C142&amp;" ("&amp;D142&amp;")",""),IF(AND(E142&lt;&gt;"",OR(F142="Optional",F142="If Applicable",F142="To Verify")),"• "&amp;E142&amp;" ("&amp;F142&amp;")",""),IF(AND(G142&lt;&gt;"",OR(H142="Optional",H142="If Applicable",H142="To Verify")),"• "&amp;G142&amp;" ("&amp;H142&amp;")",""),IF(AND(I142&lt;&gt;"",OR(J142="Optional",J142="If Applicable",J142="To Verify")),"• "&amp;I142&amp;" ("&amp;J142&amp;")",""),IF(AND(K142&lt;&gt;"",OR(L142="Optional",L142="If Applicable",L142="To Verify")),"• "&amp;K142&amp;" ("&amp;L142&amp;")",""),IF(AND(M142&lt;&gt;"",OR(N142="Optional",N142="If Applicable",N142="To Verify")),"• "&amp;M142&amp;" ("&amp;N142&amp;")",""),IF(AND(O142&lt;&gt;"",OR(P142="Optional",P142="If Applicable",P142="To Verify")),"• "&amp;O142&amp;" ("&amp;P142&amp;")",""),IF(AND(Q142&lt;&gt;"",OR(R142="Optional",R142="If Applicable",R142="To Verify")),"• "&amp;Q142&amp;" ("&amp;R142&amp;")",""))</f>
        <v/>
      </c>
    </row>
    <row r="143" customFormat="false" ht="23.85" hidden="false" customHeight="false" outlineLevel="0" collapsed="false">
      <c r="A143" s="6" t="s">
        <v>1706</v>
      </c>
      <c r="B143" s="7" t="str">
        <f aca="false">IF($A143="","",IFERROR(INDEX(MASTER_DATABASE!$E$4:$E$1000,MATCH($A143,MASTER_DATABASE!$A$4:$A$1000,0)),""))</f>
        <v>e-Learning / Tele-Education Course Enrolment</v>
      </c>
      <c r="C143" s="6" t="s">
        <v>3433</v>
      </c>
      <c r="D143" s="6" t="s">
        <v>3436</v>
      </c>
      <c r="E143" s="6" t="s">
        <v>3478</v>
      </c>
      <c r="F143" s="6" t="s">
        <v>3436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7" t="str">
        <f aca="false">_xlfn.TEXTJOIN(CHAR(10),TRUE(),IF(AND(C143&lt;&gt;"",D143="Mandatory"),"✓ "&amp;C143,""),IF(AND(E143&lt;&gt;"",F143="Mandatory"),"✓ "&amp;E143,""),IF(AND(G143&lt;&gt;"",H143="Mandatory"),"✓ "&amp;G143,""),IF(AND(I143&lt;&gt;"",J143="Mandatory"),"✓ "&amp;I143,""),IF(AND(K143&lt;&gt;"",L143="Mandatory"),"✓ "&amp;K143,""),IF(AND(M143&lt;&gt;"",N143="Mandatory"),"✓ "&amp;M143,""),IF(AND(O143&lt;&gt;"",P143="Mandatory"),"✓ "&amp;O143,""),IF(AND(Q143&lt;&gt;"",R143="Mandatory"),"✓ "&amp;Q143,""))</f>
        <v>✓ Aadhaar Card
✓ Active Mobile Number</v>
      </c>
      <c r="T143" s="7" t="str">
        <f aca="false">_xlfn.TEXTJOIN(CHAR(10),TRUE(),IF(AND(C143&lt;&gt;"",OR(D143="Optional",D143="If Applicable",D143="To Verify")),"• "&amp;C143&amp;" ("&amp;D143&amp;")",""),IF(AND(E143&lt;&gt;"",OR(F143="Optional",F143="If Applicable",F143="To Verify")),"• "&amp;E143&amp;" ("&amp;F143&amp;")",""),IF(AND(G143&lt;&gt;"",OR(H143="Optional",H143="If Applicable",H143="To Verify")),"• "&amp;G143&amp;" ("&amp;H143&amp;")",""),IF(AND(I143&lt;&gt;"",OR(J143="Optional",J143="If Applicable",J143="To Verify")),"• "&amp;I143&amp;" ("&amp;J143&amp;")",""),IF(AND(K143&lt;&gt;"",OR(L143="Optional",L143="If Applicable",L143="To Verify")),"• "&amp;K143&amp;" ("&amp;L143&amp;")",""),IF(AND(M143&lt;&gt;"",OR(N143="Optional",N143="If Applicable",N143="To Verify")),"• "&amp;M143&amp;" ("&amp;N143&amp;")",""),IF(AND(O143&lt;&gt;"",OR(P143="Optional",P143="If Applicable",P143="To Verify")),"• "&amp;O143&amp;" ("&amp;P143&amp;")",""),IF(AND(Q143&lt;&gt;"",OR(R143="Optional",R143="If Applicable",R143="To Verify")),"• "&amp;Q143&amp;" ("&amp;R143&amp;")",""))</f>
        <v/>
      </c>
    </row>
    <row r="144" customFormat="false" ht="23.85" hidden="false" customHeight="false" outlineLevel="0" collapsed="false">
      <c r="A144" s="6" t="s">
        <v>1716</v>
      </c>
      <c r="B144" s="7" t="str">
        <f aca="false">IF($A144="","",IFERROR(INDEX(MASTER_DATABASE!$E$4:$E$1000,MATCH($A144,MASTER_DATABASE!$A$4:$A$1000,0)),""))</f>
        <v>PMKVY Training Enrolment Assistance</v>
      </c>
      <c r="C144" s="6" t="s">
        <v>3433</v>
      </c>
      <c r="D144" s="6" t="s">
        <v>3436</v>
      </c>
      <c r="E144" s="6" t="s">
        <v>3478</v>
      </c>
      <c r="F144" s="6" t="s">
        <v>3436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7" t="str">
        <f aca="false">_xlfn.TEXTJOIN(CHAR(10),TRUE(),IF(AND(C144&lt;&gt;"",D144="Mandatory"),"✓ "&amp;C144,""),IF(AND(E144&lt;&gt;"",F144="Mandatory"),"✓ "&amp;E144,""),IF(AND(G144&lt;&gt;"",H144="Mandatory"),"✓ "&amp;G144,""),IF(AND(I144&lt;&gt;"",J144="Mandatory"),"✓ "&amp;I144,""),IF(AND(K144&lt;&gt;"",L144="Mandatory"),"✓ "&amp;K144,""),IF(AND(M144&lt;&gt;"",N144="Mandatory"),"✓ "&amp;M144,""),IF(AND(O144&lt;&gt;"",P144="Mandatory"),"✓ "&amp;O144,""),IF(AND(Q144&lt;&gt;"",R144="Mandatory"),"✓ "&amp;Q144,""))</f>
        <v>✓ Aadhaar Card
✓ Active Mobile Number</v>
      </c>
      <c r="T144" s="7" t="str">
        <f aca="false">_xlfn.TEXTJOIN(CHAR(10),TRUE(),IF(AND(C144&lt;&gt;"",OR(D144="Optional",D144="If Applicable",D144="To Verify")),"• "&amp;C144&amp;" ("&amp;D144&amp;")",""),IF(AND(E144&lt;&gt;"",OR(F144="Optional",F144="If Applicable",F144="To Verify")),"• "&amp;E144&amp;" ("&amp;F144&amp;")",""),IF(AND(G144&lt;&gt;"",OR(H144="Optional",H144="If Applicable",H144="To Verify")),"• "&amp;G144&amp;" ("&amp;H144&amp;")",""),IF(AND(I144&lt;&gt;"",OR(J144="Optional",J144="If Applicable",J144="To Verify")),"• "&amp;I144&amp;" ("&amp;J144&amp;")",""),IF(AND(K144&lt;&gt;"",OR(L144="Optional",L144="If Applicable",L144="To Verify")),"• "&amp;K144&amp;" ("&amp;L144&amp;")",""),IF(AND(M144&lt;&gt;"",OR(N144="Optional",N144="If Applicable",N144="To Verify")),"• "&amp;M144&amp;" ("&amp;N144&amp;")",""),IF(AND(O144&lt;&gt;"",OR(P144="Optional",P144="If Applicable",P144="To Verify")),"• "&amp;O144&amp;" ("&amp;P144&amp;")",""),IF(AND(Q144&lt;&gt;"",OR(R144="Optional",R144="If Applicable",R144="To Verify")),"• "&amp;Q144&amp;" ("&amp;R144&amp;")",""))</f>
        <v/>
      </c>
    </row>
    <row r="145" customFormat="false" ht="23.85" hidden="false" customHeight="false" outlineLevel="0" collapsed="false">
      <c r="A145" s="6" t="s">
        <v>1726</v>
      </c>
      <c r="B145" s="7" t="str">
        <f aca="false">IF($A145="","",IFERROR(INDEX(MASTER_DATABASE!$E$4:$E$1000,MATCH($A145,MASTER_DATABASE!$A$4:$A$1000,0)),""))</f>
        <v>e-Challan (Traffic) Payment</v>
      </c>
      <c r="C145" s="6" t="s">
        <v>3555</v>
      </c>
      <c r="D145" s="6" t="s">
        <v>3436</v>
      </c>
      <c r="E145" s="6" t="s">
        <v>3478</v>
      </c>
      <c r="F145" s="6" t="s">
        <v>3436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7" t="str">
        <f aca="false">_xlfn.TEXTJOIN(CHAR(10),TRUE(),IF(AND(C145&lt;&gt;"",D145="Mandatory"),"✓ "&amp;C145,""),IF(AND(E145&lt;&gt;"",F145="Mandatory"),"✓ "&amp;E145,""),IF(AND(G145&lt;&gt;"",H145="Mandatory"),"✓ "&amp;G145,""),IF(AND(I145&lt;&gt;"",J145="Mandatory"),"✓ "&amp;I145,""),IF(AND(K145&lt;&gt;"",L145="Mandatory"),"✓ "&amp;K145,""),IF(AND(M145&lt;&gt;"",N145="Mandatory"),"✓ "&amp;M145,""),IF(AND(O145&lt;&gt;"",P145="Mandatory"),"✓ "&amp;O145,""),IF(AND(Q145&lt;&gt;"",R145="Mandatory"),"✓ "&amp;Q145,""))</f>
        <v>✓ Vehicle / FASTag Details
✓ Active Mobile Number</v>
      </c>
      <c r="T145" s="7" t="str">
        <f aca="false">_xlfn.TEXTJOIN(CHAR(10),TRUE(),IF(AND(C145&lt;&gt;"",OR(D145="Optional",D145="If Applicable",D145="To Verify")),"• "&amp;C145&amp;" ("&amp;D145&amp;")",""),IF(AND(E145&lt;&gt;"",OR(F145="Optional",F145="If Applicable",F145="To Verify")),"• "&amp;E145&amp;" ("&amp;F145&amp;")",""),IF(AND(G145&lt;&gt;"",OR(H145="Optional",H145="If Applicable",H145="To Verify")),"• "&amp;G145&amp;" ("&amp;H145&amp;")",""),IF(AND(I145&lt;&gt;"",OR(J145="Optional",J145="If Applicable",J145="To Verify")),"• "&amp;I145&amp;" ("&amp;J145&amp;")",""),IF(AND(K145&lt;&gt;"",OR(L145="Optional",L145="If Applicable",L145="To Verify")),"• "&amp;K145&amp;" ("&amp;L145&amp;")",""),IF(AND(M145&lt;&gt;"",OR(N145="Optional",N145="If Applicable",N145="To Verify")),"• "&amp;M145&amp;" ("&amp;N145&amp;")",""),IF(AND(O145&lt;&gt;"",OR(P145="Optional",P145="If Applicable",P145="To Verify")),"• "&amp;O145&amp;" ("&amp;P145&amp;")",""),IF(AND(Q145&lt;&gt;"",OR(R145="Optional",R145="If Applicable",R145="To Verify")),"• "&amp;Q145&amp;" ("&amp;R145&amp;")",""))</f>
        <v/>
      </c>
    </row>
    <row r="146" customFormat="false" ht="23.85" hidden="false" customHeight="false" outlineLevel="0" collapsed="false">
      <c r="A146" s="6" t="s">
        <v>1738</v>
      </c>
      <c r="B146" s="7" t="str">
        <f aca="false">IF($A146="","",IFERROR(INDEX(MASTER_DATABASE!$E$4:$E$1000,MATCH($A146,MASTER_DATABASE!$A$4:$A$1000,0)),""))</f>
        <v>Vehicle Services (Parivahan / VAHAN) Assistance</v>
      </c>
      <c r="C146" s="6" t="s">
        <v>3555</v>
      </c>
      <c r="D146" s="6" t="s">
        <v>3436</v>
      </c>
      <c r="E146" s="6" t="s">
        <v>3478</v>
      </c>
      <c r="F146" s="6" t="s">
        <v>3436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7" t="str">
        <f aca="false">_xlfn.TEXTJOIN(CHAR(10),TRUE(),IF(AND(C146&lt;&gt;"",D146="Mandatory"),"✓ "&amp;C146,""),IF(AND(E146&lt;&gt;"",F146="Mandatory"),"✓ "&amp;E146,""),IF(AND(G146&lt;&gt;"",H146="Mandatory"),"✓ "&amp;G146,""),IF(AND(I146&lt;&gt;"",J146="Mandatory"),"✓ "&amp;I146,""),IF(AND(K146&lt;&gt;"",L146="Mandatory"),"✓ "&amp;K146,""),IF(AND(M146&lt;&gt;"",N146="Mandatory"),"✓ "&amp;M146,""),IF(AND(O146&lt;&gt;"",P146="Mandatory"),"✓ "&amp;O146,""),IF(AND(Q146&lt;&gt;"",R146="Mandatory"),"✓ "&amp;Q146,""))</f>
        <v>✓ Vehicle / FASTag Details
✓ Active Mobile Number</v>
      </c>
      <c r="T146" s="7" t="str">
        <f aca="false">_xlfn.TEXTJOIN(CHAR(10),TRUE(),IF(AND(C146&lt;&gt;"",OR(D146="Optional",D146="If Applicable",D146="To Verify")),"• "&amp;C146&amp;" ("&amp;D146&amp;")",""),IF(AND(E146&lt;&gt;"",OR(F146="Optional",F146="If Applicable",F146="To Verify")),"• "&amp;E146&amp;" ("&amp;F146&amp;")",""),IF(AND(G146&lt;&gt;"",OR(H146="Optional",H146="If Applicable",H146="To Verify")),"• "&amp;G146&amp;" ("&amp;H146&amp;")",""),IF(AND(I146&lt;&gt;"",OR(J146="Optional",J146="If Applicable",J146="To Verify")),"• "&amp;I146&amp;" ("&amp;J146&amp;")",""),IF(AND(K146&lt;&gt;"",OR(L146="Optional",L146="If Applicable",L146="To Verify")),"• "&amp;K146&amp;" ("&amp;L146&amp;")",""),IF(AND(M146&lt;&gt;"",OR(N146="Optional",N146="If Applicable",N146="To Verify")),"• "&amp;M146&amp;" ("&amp;N146&amp;")",""),IF(AND(O146&lt;&gt;"",OR(P146="Optional",P146="If Applicable",P146="To Verify")),"• "&amp;O146&amp;" ("&amp;P146&amp;")",""),IF(AND(Q146&lt;&gt;"",OR(R146="Optional",R146="If Applicable",R146="To Verify")),"• "&amp;Q146&amp;" ("&amp;R146&amp;")",""))</f>
        <v/>
      </c>
    </row>
    <row r="147" customFormat="false" ht="57.45" hidden="false" customHeight="false" outlineLevel="0" collapsed="false">
      <c r="A147" s="6" t="s">
        <v>1748</v>
      </c>
      <c r="B147" s="7" t="str">
        <f aca="false">IF($A147="","",IFERROR(INDEX(MASTER_DATABASE!$E$4:$E$1000,MATCH($A147,MASTER_DATABASE!$A$4:$A$1000,0)),""))</f>
        <v>Digital Signature Certificate (DSC) Issuance</v>
      </c>
      <c r="C147" s="6" t="s">
        <v>3433</v>
      </c>
      <c r="D147" s="6" t="s">
        <v>3436</v>
      </c>
      <c r="E147" s="6" t="s">
        <v>3478</v>
      </c>
      <c r="F147" s="6" t="s">
        <v>3436</v>
      </c>
      <c r="G147" s="6" t="s">
        <v>3451</v>
      </c>
      <c r="H147" s="6" t="s">
        <v>3436</v>
      </c>
      <c r="I147" s="6" t="s">
        <v>2390</v>
      </c>
      <c r="J147" s="6" t="s">
        <v>3436</v>
      </c>
      <c r="K147" s="6" t="s">
        <v>3483</v>
      </c>
      <c r="L147" s="6" t="s">
        <v>3436</v>
      </c>
      <c r="M147" s="6"/>
      <c r="N147" s="6"/>
      <c r="O147" s="6"/>
      <c r="P147" s="6"/>
      <c r="Q147" s="6"/>
      <c r="R147" s="6"/>
      <c r="S147" s="7" t="str">
        <f aca="false">_xlfn.TEXTJOIN(CHAR(10),TRUE(),IF(AND(C147&lt;&gt;"",D147="Mandatory"),"✓ "&amp;C147,""),IF(AND(E147&lt;&gt;"",F147="Mandatory"),"✓ "&amp;E147,""),IF(AND(G147&lt;&gt;"",H147="Mandatory"),"✓ "&amp;G147,""),IF(AND(I147&lt;&gt;"",J147="Mandatory"),"✓ "&amp;I147,""),IF(AND(K147&lt;&gt;"",L147="Mandatory"),"✓ "&amp;K147,""),IF(AND(M147&lt;&gt;"",N147="Mandatory"),"✓ "&amp;M147,""),IF(AND(O147&lt;&gt;"",P147="Mandatory"),"✓ "&amp;O147,""),IF(AND(Q147&lt;&gt;"",R147="Mandatory"),"✓ "&amp;Q147,""))</f>
        <v>✓ Aadhaar Card
✓ Active Mobile Number
✓ PAN Card
✓ Passport Photo
✓ Email ID</v>
      </c>
      <c r="T147" s="7" t="str">
        <f aca="false">_xlfn.TEXTJOIN(CHAR(10),TRUE(),IF(AND(C147&lt;&gt;"",OR(D147="Optional",D147="If Applicable",D147="To Verify")),"• "&amp;C147&amp;" ("&amp;D147&amp;")",""),IF(AND(E147&lt;&gt;"",OR(F147="Optional",F147="If Applicable",F147="To Verify")),"• "&amp;E147&amp;" ("&amp;F147&amp;")",""),IF(AND(G147&lt;&gt;"",OR(H147="Optional",H147="If Applicable",H147="To Verify")),"• "&amp;G147&amp;" ("&amp;H147&amp;")",""),IF(AND(I147&lt;&gt;"",OR(J147="Optional",J147="If Applicable",J147="To Verify")),"• "&amp;I147&amp;" ("&amp;J147&amp;")",""),IF(AND(K147&lt;&gt;"",OR(L147="Optional",L147="If Applicable",L147="To Verify")),"• "&amp;K147&amp;" ("&amp;L147&amp;")",""),IF(AND(M147&lt;&gt;"",OR(N147="Optional",N147="If Applicable",N147="To Verify")),"• "&amp;M147&amp;" ("&amp;N147&amp;")",""),IF(AND(O147&lt;&gt;"",OR(P147="Optional",P147="If Applicable",P147="To Verify")),"• "&amp;O147&amp;" ("&amp;P147&amp;")",""),IF(AND(Q147&lt;&gt;"",OR(R147="Optional",R147="If Applicable",R147="To Verify")),"• "&amp;Q147&amp;" ("&amp;R147&amp;")",""))</f>
        <v/>
      </c>
    </row>
    <row r="148" customFormat="false" ht="23.85" hidden="false" customHeight="false" outlineLevel="0" collapsed="false">
      <c r="A148" s="6" t="s">
        <v>1760</v>
      </c>
      <c r="B148" s="7" t="str">
        <f aca="false">IF($A148="","",IFERROR(INDEX(MASTER_DATABASE!$E$4:$E$1000,MATCH($A148,MASTER_DATABASE!$A$4:$A$1000,0)),""))</f>
        <v>Aadhaar eSign Assistance</v>
      </c>
      <c r="C148" s="6" t="s">
        <v>3433</v>
      </c>
      <c r="D148" s="6" t="s">
        <v>3436</v>
      </c>
      <c r="E148" s="6" t="s">
        <v>3478</v>
      </c>
      <c r="F148" s="6" t="s">
        <v>3436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7" t="str">
        <f aca="false">_xlfn.TEXTJOIN(CHAR(10),TRUE(),IF(AND(C148&lt;&gt;"",D148="Mandatory"),"✓ "&amp;C148,""),IF(AND(E148&lt;&gt;"",F148="Mandatory"),"✓ "&amp;E148,""),IF(AND(G148&lt;&gt;"",H148="Mandatory"),"✓ "&amp;G148,""),IF(AND(I148&lt;&gt;"",J148="Mandatory"),"✓ "&amp;I148,""),IF(AND(K148&lt;&gt;"",L148="Mandatory"),"✓ "&amp;K148,""),IF(AND(M148&lt;&gt;"",N148="Mandatory"),"✓ "&amp;M148,""),IF(AND(O148&lt;&gt;"",P148="Mandatory"),"✓ "&amp;O148,""),IF(AND(Q148&lt;&gt;"",R148="Mandatory"),"✓ "&amp;Q148,""))</f>
        <v>✓ Aadhaar Card
✓ Active Mobile Number</v>
      </c>
      <c r="T148" s="7" t="str">
        <f aca="false">_xlfn.TEXTJOIN(CHAR(10),TRUE(),IF(AND(C148&lt;&gt;"",OR(D148="Optional",D148="If Applicable",D148="To Verify")),"• "&amp;C148&amp;" ("&amp;D148&amp;")",""),IF(AND(E148&lt;&gt;"",OR(F148="Optional",F148="If Applicable",F148="To Verify")),"• "&amp;E148&amp;" ("&amp;F148&amp;")",""),IF(AND(G148&lt;&gt;"",OR(H148="Optional",H148="If Applicable",H148="To Verify")),"• "&amp;G148&amp;" ("&amp;H148&amp;")",""),IF(AND(I148&lt;&gt;"",OR(J148="Optional",J148="If Applicable",J148="To Verify")),"• "&amp;I148&amp;" ("&amp;J148&amp;")",""),IF(AND(K148&lt;&gt;"",OR(L148="Optional",L148="If Applicable",L148="To Verify")),"• "&amp;K148&amp;" ("&amp;L148&amp;")",""),IF(AND(M148&lt;&gt;"",OR(N148="Optional",N148="If Applicable",N148="To Verify")),"• "&amp;M148&amp;" ("&amp;N148&amp;")",""),IF(AND(O148&lt;&gt;"",OR(P148="Optional",P148="If Applicable",P148="To Verify")),"• "&amp;O148&amp;" ("&amp;P148&amp;")",""),IF(AND(Q148&lt;&gt;"",OR(R148="Optional",R148="If Applicable",R148="To Verify")),"• "&amp;Q148&amp;" ("&amp;R148&amp;")",""))</f>
        <v/>
      </c>
    </row>
    <row r="149" customFormat="false" ht="23.85" hidden="false" customHeight="false" outlineLevel="0" collapsed="false">
      <c r="A149" s="6" t="s">
        <v>1770</v>
      </c>
      <c r="B149" s="7" t="str">
        <f aca="false">IF($A149="","",IFERROR(INDEX(MASTER_DATABASE!$E$4:$E$1000,MATCH($A149,MASTER_DATABASE!$A$4:$A$1000,0)),""))</f>
        <v>CSC e-Store / Grameen e-Store Orders</v>
      </c>
      <c r="C149" s="6" t="s">
        <v>3433</v>
      </c>
      <c r="D149" s="6" t="s">
        <v>3436</v>
      </c>
      <c r="E149" s="6" t="s">
        <v>3478</v>
      </c>
      <c r="F149" s="6" t="s">
        <v>3436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7" t="str">
        <f aca="false">_xlfn.TEXTJOIN(CHAR(10),TRUE(),IF(AND(C149&lt;&gt;"",D149="Mandatory"),"✓ "&amp;C149,""),IF(AND(E149&lt;&gt;"",F149="Mandatory"),"✓ "&amp;E149,""),IF(AND(G149&lt;&gt;"",H149="Mandatory"),"✓ "&amp;G149,""),IF(AND(I149&lt;&gt;"",J149="Mandatory"),"✓ "&amp;I149,""),IF(AND(K149&lt;&gt;"",L149="Mandatory"),"✓ "&amp;K149,""),IF(AND(M149&lt;&gt;"",N149="Mandatory"),"✓ "&amp;M149,""),IF(AND(O149&lt;&gt;"",P149="Mandatory"),"✓ "&amp;O149,""),IF(AND(Q149&lt;&gt;"",R149="Mandatory"),"✓ "&amp;Q149,""))</f>
        <v>✓ Aadhaar Card
✓ Active Mobile Number</v>
      </c>
      <c r="T149" s="7" t="str">
        <f aca="false">_xlfn.TEXTJOIN(CHAR(10),TRUE(),IF(AND(C149&lt;&gt;"",OR(D149="Optional",D149="If Applicable",D149="To Verify")),"• "&amp;C149&amp;" ("&amp;D149&amp;")",""),IF(AND(E149&lt;&gt;"",OR(F149="Optional",F149="If Applicable",F149="To Verify")),"• "&amp;E149&amp;" ("&amp;F149&amp;")",""),IF(AND(G149&lt;&gt;"",OR(H149="Optional",H149="If Applicable",H149="To Verify")),"• "&amp;G149&amp;" ("&amp;H149&amp;")",""),IF(AND(I149&lt;&gt;"",OR(J149="Optional",J149="If Applicable",J149="To Verify")),"• "&amp;I149&amp;" ("&amp;J149&amp;")",""),IF(AND(K149&lt;&gt;"",OR(L149="Optional",L149="If Applicable",L149="To Verify")),"• "&amp;K149&amp;" ("&amp;L149&amp;")",""),IF(AND(M149&lt;&gt;"",OR(N149="Optional",N149="If Applicable",N149="To Verify")),"• "&amp;M149&amp;" ("&amp;N149&amp;")",""),IF(AND(O149&lt;&gt;"",OR(P149="Optional",P149="If Applicable",P149="To Verify")),"• "&amp;O149&amp;" ("&amp;P149&amp;")",""),IF(AND(Q149&lt;&gt;"",OR(R149="Optional",R149="If Applicable",R149="To Verify")),"• "&amp;Q149&amp;" ("&amp;R149&amp;")",""))</f>
        <v/>
      </c>
    </row>
    <row r="150" customFormat="false" ht="46.25" hidden="false" customHeight="false" outlineLevel="0" collapsed="false">
      <c r="A150" s="6" t="s">
        <v>1780</v>
      </c>
      <c r="B150" s="7" t="str">
        <f aca="false">IF($A150="","",IFERROR(INDEX(MASTER_DATABASE!$E$4:$E$1000,MATCH($A150,MASTER_DATABASE!$A$4:$A$1000,0)),""))</f>
        <v>Udyam (MSME) Registration</v>
      </c>
      <c r="C150" s="6" t="s">
        <v>3433</v>
      </c>
      <c r="D150" s="6" t="s">
        <v>3436</v>
      </c>
      <c r="E150" s="6" t="s">
        <v>3478</v>
      </c>
      <c r="F150" s="6" t="s">
        <v>3436</v>
      </c>
      <c r="G150" s="6" t="s">
        <v>3451</v>
      </c>
      <c r="H150" s="6" t="s">
        <v>3436</v>
      </c>
      <c r="I150" s="6" t="s">
        <v>3599</v>
      </c>
      <c r="J150" s="6" t="s">
        <v>3436</v>
      </c>
      <c r="K150" s="6" t="s">
        <v>3446</v>
      </c>
      <c r="L150" s="6" t="s">
        <v>3453</v>
      </c>
      <c r="M150" s="6"/>
      <c r="N150" s="6"/>
      <c r="O150" s="6"/>
      <c r="P150" s="6"/>
      <c r="Q150" s="6"/>
      <c r="R150" s="6"/>
      <c r="S150" s="7" t="str">
        <f aca="false">_xlfn.TEXTJOIN(CHAR(10),TRUE(),IF(AND(C150&lt;&gt;"",D150="Mandatory"),"✓ "&amp;C150,""),IF(AND(E150&lt;&gt;"",F150="Mandatory"),"✓ "&amp;E150,""),IF(AND(G150&lt;&gt;"",H150="Mandatory"),"✓ "&amp;G150,""),IF(AND(I150&lt;&gt;"",J150="Mandatory"),"✓ "&amp;I150,""),IF(AND(K150&lt;&gt;"",L150="Mandatory"),"✓ "&amp;K150,""),IF(AND(M150&lt;&gt;"",N150="Mandatory"),"✓ "&amp;M150,""),IF(AND(O150&lt;&gt;"",P150="Mandatory"),"✓ "&amp;O150,""),IF(AND(Q150&lt;&gt;"",R150="Mandatory"),"✓ "&amp;Q150,""))</f>
        <v>✓ Aadhaar Card
✓ Active Mobile Number
✓ PAN Card
✓ Business Details</v>
      </c>
      <c r="T150" s="7" t="str">
        <f aca="false">_xlfn.TEXTJOIN(CHAR(10),TRUE(),IF(AND(C150&lt;&gt;"",OR(D150="Optional",D150="If Applicable",D150="To Verify")),"• "&amp;C150&amp;" ("&amp;D150&amp;")",""),IF(AND(E150&lt;&gt;"",OR(F150="Optional",F150="If Applicable",F150="To Verify")),"• "&amp;E150&amp;" ("&amp;F150&amp;")",""),IF(AND(G150&lt;&gt;"",OR(H150="Optional",H150="If Applicable",H150="To Verify")),"• "&amp;G150&amp;" ("&amp;H150&amp;")",""),IF(AND(I150&lt;&gt;"",OR(J150="Optional",J150="If Applicable",J150="To Verify")),"• "&amp;I150&amp;" ("&amp;J150&amp;")",""),IF(AND(K150&lt;&gt;"",OR(L150="Optional",L150="If Applicable",L150="To Verify")),"• "&amp;K150&amp;" ("&amp;L150&amp;")",""),IF(AND(M150&lt;&gt;"",OR(N150="Optional",N150="If Applicable",N150="To Verify")),"• "&amp;M150&amp;" ("&amp;N150&amp;")",""),IF(AND(O150&lt;&gt;"",OR(P150="Optional",P150="If Applicable",P150="To Verify")),"• "&amp;O150&amp;" ("&amp;P150&amp;")",""),IF(AND(Q150&lt;&gt;"",OR(R150="Optional",R150="If Applicable",R150="To Verify")),"• "&amp;Q150&amp;" ("&amp;R150&amp;")",""))</f>
        <v>• Bank Passbook (If Applicable)</v>
      </c>
    </row>
    <row r="151" customFormat="false" ht="68.65" hidden="false" customHeight="false" outlineLevel="0" collapsed="false">
      <c r="A151" s="6" t="s">
        <v>1792</v>
      </c>
      <c r="B151" s="7" t="str">
        <f aca="false">IF($A151="","",IFERROR(INDEX(MASTER_DATABASE!$E$4:$E$1000,MATCH($A151,MASTER_DATABASE!$A$4:$A$1000,0)),""))</f>
        <v>GST Registration Assistance</v>
      </c>
      <c r="C151" s="6" t="s">
        <v>3433</v>
      </c>
      <c r="D151" s="6" t="s">
        <v>3436</v>
      </c>
      <c r="E151" s="6" t="s">
        <v>3478</v>
      </c>
      <c r="F151" s="6" t="s">
        <v>3436</v>
      </c>
      <c r="G151" s="6" t="s">
        <v>3451</v>
      </c>
      <c r="H151" s="6" t="s">
        <v>3436</v>
      </c>
      <c r="I151" s="6" t="s">
        <v>3599</v>
      </c>
      <c r="J151" s="6" t="s">
        <v>3436</v>
      </c>
      <c r="K151" s="6" t="s">
        <v>3456</v>
      </c>
      <c r="L151" s="6" t="s">
        <v>3436</v>
      </c>
      <c r="M151" s="6" t="s">
        <v>2390</v>
      </c>
      <c r="N151" s="6" t="s">
        <v>3436</v>
      </c>
      <c r="O151" s="6"/>
      <c r="P151" s="6"/>
      <c r="Q151" s="6"/>
      <c r="R151" s="6"/>
      <c r="S151" s="7" t="str">
        <f aca="false">_xlfn.TEXTJOIN(CHAR(10),TRUE(),IF(AND(C151&lt;&gt;"",D151="Mandatory"),"✓ "&amp;C151,""),IF(AND(E151&lt;&gt;"",F151="Mandatory"),"✓ "&amp;E151,""),IF(AND(G151&lt;&gt;"",H151="Mandatory"),"✓ "&amp;G151,""),IF(AND(I151&lt;&gt;"",J151="Mandatory"),"✓ "&amp;I151,""),IF(AND(K151&lt;&gt;"",L151="Mandatory"),"✓ "&amp;K151,""),IF(AND(M151&lt;&gt;"",N151="Mandatory"),"✓ "&amp;M151,""),IF(AND(O151&lt;&gt;"",P151="Mandatory"),"✓ "&amp;O151,""),IF(AND(Q151&lt;&gt;"",R151="Mandatory"),"✓ "&amp;Q151,""))</f>
        <v>✓ Aadhaar Card
✓ Active Mobile Number
✓ PAN Card
✓ Business Details
✓ Address Proof
✓ Passport Photo</v>
      </c>
      <c r="T151" s="7" t="str">
        <f aca="false">_xlfn.TEXTJOIN(CHAR(10),TRUE(),IF(AND(C151&lt;&gt;"",OR(D151="Optional",D151="If Applicable",D151="To Verify")),"• "&amp;C151&amp;" ("&amp;D151&amp;")",""),IF(AND(E151&lt;&gt;"",OR(F151="Optional",F151="If Applicable",F151="To Verify")),"• "&amp;E151&amp;" ("&amp;F151&amp;")",""),IF(AND(G151&lt;&gt;"",OR(H151="Optional",H151="If Applicable",H151="To Verify")),"• "&amp;G151&amp;" ("&amp;H151&amp;")",""),IF(AND(I151&lt;&gt;"",OR(J151="Optional",J151="If Applicable",J151="To Verify")),"• "&amp;I151&amp;" ("&amp;J151&amp;")",""),IF(AND(K151&lt;&gt;"",OR(L151="Optional",L151="If Applicable",L151="To Verify")),"• "&amp;K151&amp;" ("&amp;L151&amp;")",""),IF(AND(M151&lt;&gt;"",OR(N151="Optional",N151="If Applicable",N151="To Verify")),"• "&amp;M151&amp;" ("&amp;N151&amp;")",""),IF(AND(O151&lt;&gt;"",OR(P151="Optional",P151="If Applicable",P151="To Verify")),"• "&amp;O151&amp;" ("&amp;P151&amp;")",""),IF(AND(Q151&lt;&gt;"",OR(R151="Optional",R151="If Applicable",R151="To Verify")),"• "&amp;Q151&amp;" ("&amp;R151&amp;")",""))</f>
        <v/>
      </c>
    </row>
    <row r="152" customFormat="false" ht="68.65" hidden="false" customHeight="false" outlineLevel="0" collapsed="false">
      <c r="A152" s="6" t="s">
        <v>1803</v>
      </c>
      <c r="B152" s="7" t="str">
        <f aca="false">IF($A152="","",IFERROR(INDEX(MASTER_DATABASE!$E$4:$E$1000,MATCH($A152,MASTER_DATABASE!$A$4:$A$1000,0)),""))</f>
        <v>GST Return Filing Assistance</v>
      </c>
      <c r="C152" s="6" t="s">
        <v>3433</v>
      </c>
      <c r="D152" s="6" t="s">
        <v>3436</v>
      </c>
      <c r="E152" s="6" t="s">
        <v>3478</v>
      </c>
      <c r="F152" s="6" t="s">
        <v>3436</v>
      </c>
      <c r="G152" s="6" t="s">
        <v>3451</v>
      </c>
      <c r="H152" s="6" t="s">
        <v>3436</v>
      </c>
      <c r="I152" s="6" t="s">
        <v>3599</v>
      </c>
      <c r="J152" s="6" t="s">
        <v>3436</v>
      </c>
      <c r="K152" s="6" t="s">
        <v>3456</v>
      </c>
      <c r="L152" s="6" t="s">
        <v>3436</v>
      </c>
      <c r="M152" s="6" t="s">
        <v>2390</v>
      </c>
      <c r="N152" s="6" t="s">
        <v>3436</v>
      </c>
      <c r="O152" s="6"/>
      <c r="P152" s="6"/>
      <c r="Q152" s="6"/>
      <c r="R152" s="6"/>
      <c r="S152" s="7" t="str">
        <f aca="false">_xlfn.TEXTJOIN(CHAR(10),TRUE(),IF(AND(C152&lt;&gt;"",D152="Mandatory"),"✓ "&amp;C152,""),IF(AND(E152&lt;&gt;"",F152="Mandatory"),"✓ "&amp;E152,""),IF(AND(G152&lt;&gt;"",H152="Mandatory"),"✓ "&amp;G152,""),IF(AND(I152&lt;&gt;"",J152="Mandatory"),"✓ "&amp;I152,""),IF(AND(K152&lt;&gt;"",L152="Mandatory"),"✓ "&amp;K152,""),IF(AND(M152&lt;&gt;"",N152="Mandatory"),"✓ "&amp;M152,""),IF(AND(O152&lt;&gt;"",P152="Mandatory"),"✓ "&amp;O152,""),IF(AND(Q152&lt;&gt;"",R152="Mandatory"),"✓ "&amp;Q152,""))</f>
        <v>✓ Aadhaar Card
✓ Active Mobile Number
✓ PAN Card
✓ Business Details
✓ Address Proof
✓ Passport Photo</v>
      </c>
      <c r="T152" s="7" t="str">
        <f aca="false">_xlfn.TEXTJOIN(CHAR(10),TRUE(),IF(AND(C152&lt;&gt;"",OR(D152="Optional",D152="If Applicable",D152="To Verify")),"• "&amp;C152&amp;" ("&amp;D152&amp;")",""),IF(AND(E152&lt;&gt;"",OR(F152="Optional",F152="If Applicable",F152="To Verify")),"• "&amp;E152&amp;" ("&amp;F152&amp;")",""),IF(AND(G152&lt;&gt;"",OR(H152="Optional",H152="If Applicable",H152="To Verify")),"• "&amp;G152&amp;" ("&amp;H152&amp;")",""),IF(AND(I152&lt;&gt;"",OR(J152="Optional",J152="If Applicable",J152="To Verify")),"• "&amp;I152&amp;" ("&amp;J152&amp;")",""),IF(AND(K152&lt;&gt;"",OR(L152="Optional",L152="If Applicable",L152="To Verify")),"• "&amp;K152&amp;" ("&amp;L152&amp;")",""),IF(AND(M152&lt;&gt;"",OR(N152="Optional",N152="If Applicable",N152="To Verify")),"• "&amp;M152&amp;" ("&amp;N152&amp;")",""),IF(AND(O152&lt;&gt;"",OR(P152="Optional",P152="If Applicable",P152="To Verify")),"• "&amp;O152&amp;" ("&amp;P152&amp;")",""),IF(AND(Q152&lt;&gt;"",OR(R152="Optional",R152="If Applicable",R152="To Verify")),"• "&amp;Q152&amp;" ("&amp;R152&amp;")",""))</f>
        <v/>
      </c>
    </row>
    <row r="153" customFormat="false" ht="68.65" hidden="false" customHeight="false" outlineLevel="0" collapsed="false">
      <c r="A153" s="6" t="s">
        <v>1813</v>
      </c>
      <c r="B153" s="7" t="str">
        <f aca="false">IF($A153="","",IFERROR(INDEX(MASTER_DATABASE!$E$4:$E$1000,MATCH($A153,MASTER_DATABASE!$A$4:$A$1000,0)),""))</f>
        <v>FSSAI Registration / Licence Assistance</v>
      </c>
      <c r="C153" s="6" t="s">
        <v>3433</v>
      </c>
      <c r="D153" s="6" t="s">
        <v>3436</v>
      </c>
      <c r="E153" s="6" t="s">
        <v>3478</v>
      </c>
      <c r="F153" s="6" t="s">
        <v>3436</v>
      </c>
      <c r="G153" s="6" t="s">
        <v>3451</v>
      </c>
      <c r="H153" s="6" t="s">
        <v>3436</v>
      </c>
      <c r="I153" s="6" t="s">
        <v>3599</v>
      </c>
      <c r="J153" s="6" t="s">
        <v>3436</v>
      </c>
      <c r="K153" s="6" t="s">
        <v>3456</v>
      </c>
      <c r="L153" s="6" t="s">
        <v>3436</v>
      </c>
      <c r="M153" s="6" t="s">
        <v>2390</v>
      </c>
      <c r="N153" s="6" t="s">
        <v>3436</v>
      </c>
      <c r="O153" s="6"/>
      <c r="P153" s="6"/>
      <c r="Q153" s="6"/>
      <c r="R153" s="6"/>
      <c r="S153" s="7" t="str">
        <f aca="false">_xlfn.TEXTJOIN(CHAR(10),TRUE(),IF(AND(C153&lt;&gt;"",D153="Mandatory"),"✓ "&amp;C153,""),IF(AND(E153&lt;&gt;"",F153="Mandatory"),"✓ "&amp;E153,""),IF(AND(G153&lt;&gt;"",H153="Mandatory"),"✓ "&amp;G153,""),IF(AND(I153&lt;&gt;"",J153="Mandatory"),"✓ "&amp;I153,""),IF(AND(K153&lt;&gt;"",L153="Mandatory"),"✓ "&amp;K153,""),IF(AND(M153&lt;&gt;"",N153="Mandatory"),"✓ "&amp;M153,""),IF(AND(O153&lt;&gt;"",P153="Mandatory"),"✓ "&amp;O153,""),IF(AND(Q153&lt;&gt;"",R153="Mandatory"),"✓ "&amp;Q153,""))</f>
        <v>✓ Aadhaar Card
✓ Active Mobile Number
✓ PAN Card
✓ Business Details
✓ Address Proof
✓ Passport Photo</v>
      </c>
      <c r="T153" s="7" t="str">
        <f aca="false">_xlfn.TEXTJOIN(CHAR(10),TRUE(),IF(AND(C153&lt;&gt;"",OR(D153="Optional",D153="If Applicable",D153="To Verify")),"• "&amp;C153&amp;" ("&amp;D153&amp;")",""),IF(AND(E153&lt;&gt;"",OR(F153="Optional",F153="If Applicable",F153="To Verify")),"• "&amp;E153&amp;" ("&amp;F153&amp;")",""),IF(AND(G153&lt;&gt;"",OR(H153="Optional",H153="If Applicable",H153="To Verify")),"• "&amp;G153&amp;" ("&amp;H153&amp;")",""),IF(AND(I153&lt;&gt;"",OR(J153="Optional",J153="If Applicable",J153="To Verify")),"• "&amp;I153&amp;" ("&amp;J153&amp;")",""),IF(AND(K153&lt;&gt;"",OR(L153="Optional",L153="If Applicable",L153="To Verify")),"• "&amp;K153&amp;" ("&amp;L153&amp;")",""),IF(AND(M153&lt;&gt;"",OR(N153="Optional",N153="If Applicable",N153="To Verify")),"• "&amp;M153&amp;" ("&amp;N153&amp;")",""),IF(AND(O153&lt;&gt;"",OR(P153="Optional",P153="If Applicable",P153="To Verify")),"• "&amp;O153&amp;" ("&amp;P153&amp;")",""),IF(AND(Q153&lt;&gt;"",OR(R153="Optional",R153="If Applicable",R153="To Verify")),"• "&amp;Q153&amp;" ("&amp;R153&amp;")",""))</f>
        <v/>
      </c>
    </row>
    <row r="154" customFormat="false" ht="46.25" hidden="false" customHeight="false" outlineLevel="0" collapsed="false">
      <c r="A154" s="6" t="s">
        <v>1823</v>
      </c>
      <c r="B154" s="7" t="str">
        <f aca="false">IF($A154="","",IFERROR(INDEX(MASTER_DATABASE!$E$4:$E$1000,MATCH($A154,MASTER_DATABASE!$A$4:$A$1000,0)),""))</f>
        <v>Income Tax Return (ITR) Filing Assistance</v>
      </c>
      <c r="C154" s="6" t="s">
        <v>3433</v>
      </c>
      <c r="D154" s="6" t="s">
        <v>3436</v>
      </c>
      <c r="E154" s="6" t="s">
        <v>3478</v>
      </c>
      <c r="F154" s="6" t="s">
        <v>3436</v>
      </c>
      <c r="G154" s="6" t="s">
        <v>3451</v>
      </c>
      <c r="H154" s="6" t="s">
        <v>3436</v>
      </c>
      <c r="I154" s="6" t="s">
        <v>3446</v>
      </c>
      <c r="J154" s="6" t="s">
        <v>3436</v>
      </c>
      <c r="K154" s="6"/>
      <c r="L154" s="6"/>
      <c r="M154" s="6"/>
      <c r="N154" s="6"/>
      <c r="O154" s="6"/>
      <c r="P154" s="6"/>
      <c r="Q154" s="6"/>
      <c r="R154" s="6"/>
      <c r="S154" s="7" t="str">
        <f aca="false">_xlfn.TEXTJOIN(CHAR(10),TRUE(),IF(AND(C154&lt;&gt;"",D154="Mandatory"),"✓ "&amp;C154,""),IF(AND(E154&lt;&gt;"",F154="Mandatory"),"✓ "&amp;E154,""),IF(AND(G154&lt;&gt;"",H154="Mandatory"),"✓ "&amp;G154,""),IF(AND(I154&lt;&gt;"",J154="Mandatory"),"✓ "&amp;I154,""),IF(AND(K154&lt;&gt;"",L154="Mandatory"),"✓ "&amp;K154,""),IF(AND(M154&lt;&gt;"",N154="Mandatory"),"✓ "&amp;M154,""),IF(AND(O154&lt;&gt;"",P154="Mandatory"),"✓ "&amp;O154,""),IF(AND(Q154&lt;&gt;"",R154="Mandatory"),"✓ "&amp;Q154,""))</f>
        <v>✓ Aadhaar Card
✓ Active Mobile Number
✓ PAN Card
✓ Bank Passbook</v>
      </c>
      <c r="T154" s="7" t="str">
        <f aca="false">_xlfn.TEXTJOIN(CHAR(10),TRUE(),IF(AND(C154&lt;&gt;"",OR(D154="Optional",D154="If Applicable",D154="To Verify")),"• "&amp;C154&amp;" ("&amp;D154&amp;")",""),IF(AND(E154&lt;&gt;"",OR(F154="Optional",F154="If Applicable",F154="To Verify")),"• "&amp;E154&amp;" ("&amp;F154&amp;")",""),IF(AND(G154&lt;&gt;"",OR(H154="Optional",H154="If Applicable",H154="To Verify")),"• "&amp;G154&amp;" ("&amp;H154&amp;")",""),IF(AND(I154&lt;&gt;"",OR(J154="Optional",J154="If Applicable",J154="To Verify")),"• "&amp;I154&amp;" ("&amp;J154&amp;")",""),IF(AND(K154&lt;&gt;"",OR(L154="Optional",L154="If Applicable",L154="To Verify")),"• "&amp;K154&amp;" ("&amp;L154&amp;")",""),IF(AND(M154&lt;&gt;"",OR(N154="Optional",N154="If Applicable",N154="To Verify")),"• "&amp;M154&amp;" ("&amp;N154&amp;")",""),IF(AND(O154&lt;&gt;"",OR(P154="Optional",P154="If Applicable",P154="To Verify")),"• "&amp;O154&amp;" ("&amp;P154&amp;")",""),IF(AND(Q154&lt;&gt;"",OR(R154="Optional",R154="If Applicable",R154="To Verify")),"• "&amp;Q154&amp;" ("&amp;R154&amp;")",""))</f>
        <v/>
      </c>
    </row>
    <row r="155" customFormat="false" ht="68.65" hidden="false" customHeight="false" outlineLevel="0" collapsed="false">
      <c r="A155" s="6" t="s">
        <v>1834</v>
      </c>
      <c r="B155" s="7" t="str">
        <f aca="false">IF($A155="","",IFERROR(INDEX(MASTER_DATABASE!$E$4:$E$1000,MATCH($A155,MASTER_DATABASE!$A$4:$A$1000,0)),""))</f>
        <v>Shop &amp; Establishment Registration Assistance</v>
      </c>
      <c r="C155" s="6" t="s">
        <v>3433</v>
      </c>
      <c r="D155" s="6" t="s">
        <v>3436</v>
      </c>
      <c r="E155" s="6" t="s">
        <v>3478</v>
      </c>
      <c r="F155" s="6" t="s">
        <v>3436</v>
      </c>
      <c r="G155" s="6" t="s">
        <v>3451</v>
      </c>
      <c r="H155" s="6" t="s">
        <v>3436</v>
      </c>
      <c r="I155" s="6" t="s">
        <v>3599</v>
      </c>
      <c r="J155" s="6" t="s">
        <v>3436</v>
      </c>
      <c r="K155" s="6" t="s">
        <v>3456</v>
      </c>
      <c r="L155" s="6" t="s">
        <v>3436</v>
      </c>
      <c r="M155" s="6" t="s">
        <v>2390</v>
      </c>
      <c r="N155" s="6" t="s">
        <v>3436</v>
      </c>
      <c r="O155" s="6"/>
      <c r="P155" s="6"/>
      <c r="Q155" s="6"/>
      <c r="R155" s="6"/>
      <c r="S155" s="7" t="str">
        <f aca="false">_xlfn.TEXTJOIN(CHAR(10),TRUE(),IF(AND(C155&lt;&gt;"",D155="Mandatory"),"✓ "&amp;C155,""),IF(AND(E155&lt;&gt;"",F155="Mandatory"),"✓ "&amp;E155,""),IF(AND(G155&lt;&gt;"",H155="Mandatory"),"✓ "&amp;G155,""),IF(AND(I155&lt;&gt;"",J155="Mandatory"),"✓ "&amp;I155,""),IF(AND(K155&lt;&gt;"",L155="Mandatory"),"✓ "&amp;K155,""),IF(AND(M155&lt;&gt;"",N155="Mandatory"),"✓ "&amp;M155,""),IF(AND(O155&lt;&gt;"",P155="Mandatory"),"✓ "&amp;O155,""),IF(AND(Q155&lt;&gt;"",R155="Mandatory"),"✓ "&amp;Q155,""))</f>
        <v>✓ Aadhaar Card
✓ Active Mobile Number
✓ PAN Card
✓ Business Details
✓ Address Proof
✓ Passport Photo</v>
      </c>
      <c r="T155" s="7" t="str">
        <f aca="false">_xlfn.TEXTJOIN(CHAR(10),TRUE(),IF(AND(C155&lt;&gt;"",OR(D155="Optional",D155="If Applicable",D155="To Verify")),"• "&amp;C155&amp;" ("&amp;D155&amp;")",""),IF(AND(E155&lt;&gt;"",OR(F155="Optional",F155="If Applicable",F155="To Verify")),"• "&amp;E155&amp;" ("&amp;F155&amp;")",""),IF(AND(G155&lt;&gt;"",OR(H155="Optional",H155="If Applicable",H155="To Verify")),"• "&amp;G155&amp;" ("&amp;H155&amp;")",""),IF(AND(I155&lt;&gt;"",OR(J155="Optional",J155="If Applicable",J155="To Verify")),"• "&amp;I155&amp;" ("&amp;J155&amp;")",""),IF(AND(K155&lt;&gt;"",OR(L155="Optional",L155="If Applicable",L155="To Verify")),"• "&amp;K155&amp;" ("&amp;L155&amp;")",""),IF(AND(M155&lt;&gt;"",OR(N155="Optional",N155="If Applicable",N155="To Verify")),"• "&amp;M155&amp;" ("&amp;N155&amp;")",""),IF(AND(O155&lt;&gt;"",OR(P155="Optional",P155="If Applicable",P155="To Verify")),"• "&amp;O155&amp;" ("&amp;P155&amp;")",""),IF(AND(Q155&lt;&gt;"",OR(R155="Optional",R155="If Applicable",R155="To Verify")),"• "&amp;Q155&amp;" ("&amp;R155&amp;")",""))</f>
        <v/>
      </c>
    </row>
    <row r="156" customFormat="false" ht="23.85" hidden="false" customHeight="false" outlineLevel="0" collapsed="false">
      <c r="A156" s="6" t="s">
        <v>1844</v>
      </c>
      <c r="B156" s="7" t="str">
        <f aca="false">IF($A156="","",IFERROR(INDEX(MASTER_DATABASE!$E$4:$E$1000,MATCH($A156,MASTER_DATABASE!$A$4:$A$1000,0)),""))</f>
        <v>Labour (Construction Worker) Registration Assistance</v>
      </c>
      <c r="C156" s="6" t="s">
        <v>3433</v>
      </c>
      <c r="D156" s="6" t="s">
        <v>3436</v>
      </c>
      <c r="E156" s="6" t="s">
        <v>3478</v>
      </c>
      <c r="F156" s="6" t="s">
        <v>3436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7" t="str">
        <f aca="false">_xlfn.TEXTJOIN(CHAR(10),TRUE(),IF(AND(C156&lt;&gt;"",D156="Mandatory"),"✓ "&amp;C156,""),IF(AND(E156&lt;&gt;"",F156="Mandatory"),"✓ "&amp;E156,""),IF(AND(G156&lt;&gt;"",H156="Mandatory"),"✓ "&amp;G156,""),IF(AND(I156&lt;&gt;"",J156="Mandatory"),"✓ "&amp;I156,""),IF(AND(K156&lt;&gt;"",L156="Mandatory"),"✓ "&amp;K156,""),IF(AND(M156&lt;&gt;"",N156="Mandatory"),"✓ "&amp;M156,""),IF(AND(O156&lt;&gt;"",P156="Mandatory"),"✓ "&amp;O156,""),IF(AND(Q156&lt;&gt;"",R156="Mandatory"),"✓ "&amp;Q156,""))</f>
        <v>✓ Aadhaar Card
✓ Active Mobile Number</v>
      </c>
      <c r="T156" s="7" t="str">
        <f aca="false">_xlfn.TEXTJOIN(CHAR(10),TRUE(),IF(AND(C156&lt;&gt;"",OR(D156="Optional",D156="If Applicable",D156="To Verify")),"• "&amp;C156&amp;" ("&amp;D156&amp;")",""),IF(AND(E156&lt;&gt;"",OR(F156="Optional",F156="If Applicable",F156="To Verify")),"• "&amp;E156&amp;" ("&amp;F156&amp;")",""),IF(AND(G156&lt;&gt;"",OR(H156="Optional",H156="If Applicable",H156="To Verify")),"• "&amp;G156&amp;" ("&amp;H156&amp;")",""),IF(AND(I156&lt;&gt;"",OR(J156="Optional",J156="If Applicable",J156="To Verify")),"• "&amp;I156&amp;" ("&amp;J156&amp;")",""),IF(AND(K156&lt;&gt;"",OR(L156="Optional",L156="If Applicable",L156="To Verify")),"• "&amp;K156&amp;" ("&amp;L156&amp;")",""),IF(AND(M156&lt;&gt;"",OR(N156="Optional",N156="If Applicable",N156="To Verify")),"• "&amp;M156&amp;" ("&amp;N156&amp;")",""),IF(AND(O156&lt;&gt;"",OR(P156="Optional",P156="If Applicable",P156="To Verify")),"• "&amp;O156&amp;" ("&amp;P156&amp;")",""),IF(AND(Q156&lt;&gt;"",OR(R156="Optional",R156="If Applicable",R156="To Verify")),"• "&amp;Q156&amp;" ("&amp;R156&amp;")",""))</f>
        <v/>
      </c>
    </row>
    <row r="157" customFormat="false" ht="23.85" hidden="false" customHeight="false" outlineLevel="0" collapsed="false">
      <c r="A157" s="6" t="s">
        <v>1854</v>
      </c>
      <c r="B157" s="7" t="str">
        <f aca="false">IF($A157="","",IFERROR(INDEX(MASTER_DATABASE!$E$4:$E$1000,MATCH($A157,MASTER_DATABASE!$A$4:$A$1000,0)),""))</f>
        <v>Academic Bank of Credits (ABC) / APAAR ID Assistance</v>
      </c>
      <c r="C157" s="6" t="s">
        <v>3433</v>
      </c>
      <c r="D157" s="6" t="s">
        <v>3436</v>
      </c>
      <c r="E157" s="6" t="s">
        <v>3478</v>
      </c>
      <c r="F157" s="6" t="s">
        <v>3436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7" t="str">
        <f aca="false">_xlfn.TEXTJOIN(CHAR(10),TRUE(),IF(AND(C157&lt;&gt;"",D157="Mandatory"),"✓ "&amp;C157,""),IF(AND(E157&lt;&gt;"",F157="Mandatory"),"✓ "&amp;E157,""),IF(AND(G157&lt;&gt;"",H157="Mandatory"),"✓ "&amp;G157,""),IF(AND(I157&lt;&gt;"",J157="Mandatory"),"✓ "&amp;I157,""),IF(AND(K157&lt;&gt;"",L157="Mandatory"),"✓ "&amp;K157,""),IF(AND(M157&lt;&gt;"",N157="Mandatory"),"✓ "&amp;M157,""),IF(AND(O157&lt;&gt;"",P157="Mandatory"),"✓ "&amp;O157,""),IF(AND(Q157&lt;&gt;"",R157="Mandatory"),"✓ "&amp;Q157,""))</f>
        <v>✓ Aadhaar Card
✓ Active Mobile Number</v>
      </c>
      <c r="T157" s="7" t="str">
        <f aca="false">_xlfn.TEXTJOIN(CHAR(10),TRUE(),IF(AND(C157&lt;&gt;"",OR(D157="Optional",D157="If Applicable",D157="To Verify")),"• "&amp;C157&amp;" ("&amp;D157&amp;")",""),IF(AND(E157&lt;&gt;"",OR(F157="Optional",F157="If Applicable",F157="To Verify")),"• "&amp;E157&amp;" ("&amp;F157&amp;")",""),IF(AND(G157&lt;&gt;"",OR(H157="Optional",H157="If Applicable",H157="To Verify")),"• "&amp;G157&amp;" ("&amp;H157&amp;")",""),IF(AND(I157&lt;&gt;"",OR(J157="Optional",J157="If Applicable",J157="To Verify")),"• "&amp;I157&amp;" ("&amp;J157&amp;")",""),IF(AND(K157&lt;&gt;"",OR(L157="Optional",L157="If Applicable",L157="To Verify")),"• "&amp;K157&amp;" ("&amp;L157&amp;")",""),IF(AND(M157&lt;&gt;"",OR(N157="Optional",N157="If Applicable",N157="To Verify")),"• "&amp;M157&amp;" ("&amp;N157&amp;")",""),IF(AND(O157&lt;&gt;"",OR(P157="Optional",P157="If Applicable",P157="To Verify")),"• "&amp;O157&amp;" ("&amp;P157&amp;")",""),IF(AND(Q157&lt;&gt;"",OR(R157="Optional",R157="If Applicable",R157="To Verify")),"• "&amp;Q157&amp;" ("&amp;R157&amp;")",""))</f>
        <v/>
      </c>
    </row>
    <row r="158" customFormat="false" ht="23.85" hidden="false" customHeight="false" outlineLevel="0" collapsed="false">
      <c r="A158" s="6" t="s">
        <v>1865</v>
      </c>
      <c r="B158" s="7" t="str">
        <f aca="false">IF($A158="","",IFERROR(INDEX(MASTER_DATABASE!$E$4:$E$1000,MATCH($A158,MASTER_DATABASE!$A$4:$A$1000,0)),""))</f>
        <v>Document Attestation / Apostille Assistance</v>
      </c>
      <c r="C158" s="6" t="s">
        <v>3433</v>
      </c>
      <c r="D158" s="6" t="s">
        <v>3436</v>
      </c>
      <c r="E158" s="6" t="s">
        <v>3478</v>
      </c>
      <c r="F158" s="6" t="s">
        <v>3436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7" t="str">
        <f aca="false">_xlfn.TEXTJOIN(CHAR(10),TRUE(),IF(AND(C158&lt;&gt;"",D158="Mandatory"),"✓ "&amp;C158,""),IF(AND(E158&lt;&gt;"",F158="Mandatory"),"✓ "&amp;E158,""),IF(AND(G158&lt;&gt;"",H158="Mandatory"),"✓ "&amp;G158,""),IF(AND(I158&lt;&gt;"",J158="Mandatory"),"✓ "&amp;I158,""),IF(AND(K158&lt;&gt;"",L158="Mandatory"),"✓ "&amp;K158,""),IF(AND(M158&lt;&gt;"",N158="Mandatory"),"✓ "&amp;M158,""),IF(AND(O158&lt;&gt;"",P158="Mandatory"),"✓ "&amp;O158,""),IF(AND(Q158&lt;&gt;"",R158="Mandatory"),"✓ "&amp;Q158,""))</f>
        <v>✓ Aadhaar Card
✓ Active Mobile Number</v>
      </c>
      <c r="T158" s="7" t="str">
        <f aca="false">_xlfn.TEXTJOIN(CHAR(10),TRUE(),IF(AND(C158&lt;&gt;"",OR(D158="Optional",D158="If Applicable",D158="To Verify")),"• "&amp;C158&amp;" ("&amp;D158&amp;")",""),IF(AND(E158&lt;&gt;"",OR(F158="Optional",F158="If Applicable",F158="To Verify")),"• "&amp;E158&amp;" ("&amp;F158&amp;")",""),IF(AND(G158&lt;&gt;"",OR(H158="Optional",H158="If Applicable",H158="To Verify")),"• "&amp;G158&amp;" ("&amp;H158&amp;")",""),IF(AND(I158&lt;&gt;"",OR(J158="Optional",J158="If Applicable",J158="To Verify")),"• "&amp;I158&amp;" ("&amp;J158&amp;")",""),IF(AND(K158&lt;&gt;"",OR(L158="Optional",L158="If Applicable",L158="To Verify")),"• "&amp;K158&amp;" ("&amp;L158&amp;")",""),IF(AND(M158&lt;&gt;"",OR(N158="Optional",N158="If Applicable",N158="To Verify")),"• "&amp;M158&amp;" ("&amp;N158&amp;")",""),IF(AND(O158&lt;&gt;"",OR(P158="Optional",P158="If Applicable",P158="To Verify")),"• "&amp;O158&amp;" ("&amp;P158&amp;")",""),IF(AND(Q158&lt;&gt;"",OR(R158="Optional",R158="If Applicable",R158="To Verify")),"• "&amp;Q158&amp;" ("&amp;R158&amp;")",""))</f>
        <v/>
      </c>
    </row>
    <row r="159" customFormat="false" ht="15" hidden="false" customHeight="false" outlineLevel="0" collapsed="false">
      <c r="A159" s="6" t="s">
        <v>1875</v>
      </c>
      <c r="B159" s="7" t="str">
        <f aca="false">IF($A159="","",IFERROR(INDEX(MASTER_DATABASE!$E$4:$E$1000,MATCH($A159,MASTER_DATABASE!$A$4:$A$1000,0)),""))</f>
        <v>New Mobile Phone Sales (Smartphone)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7" t="str">
        <f aca="false">_xlfn.TEXTJOIN(CHAR(10),TRUE(),IF(AND(C159&lt;&gt;"",D159="Mandatory"),"✓ "&amp;C159,""),IF(AND(E159&lt;&gt;"",F159="Mandatory"),"✓ "&amp;E159,""),IF(AND(G159&lt;&gt;"",H159="Mandatory"),"✓ "&amp;G159,""),IF(AND(I159&lt;&gt;"",J159="Mandatory"),"✓ "&amp;I159,""),IF(AND(K159&lt;&gt;"",L159="Mandatory"),"✓ "&amp;K159,""),IF(AND(M159&lt;&gt;"",N159="Mandatory"),"✓ "&amp;M159,""),IF(AND(O159&lt;&gt;"",P159="Mandatory"),"✓ "&amp;O159,""),IF(AND(Q159&lt;&gt;"",R159="Mandatory"),"✓ "&amp;Q159,""))</f>
        <v/>
      </c>
      <c r="T159" s="7" t="str">
        <f aca="false">_xlfn.TEXTJOIN(CHAR(10),TRUE(),IF(AND(C159&lt;&gt;"",OR(D159="Optional",D159="If Applicable",D159="To Verify")),"• "&amp;C159&amp;" ("&amp;D159&amp;")",""),IF(AND(E159&lt;&gt;"",OR(F159="Optional",F159="If Applicable",F159="To Verify")),"• "&amp;E159&amp;" ("&amp;F159&amp;")",""),IF(AND(G159&lt;&gt;"",OR(H159="Optional",H159="If Applicable",H159="To Verify")),"• "&amp;G159&amp;" ("&amp;H159&amp;")",""),IF(AND(I159&lt;&gt;"",OR(J159="Optional",J159="If Applicable",J159="To Verify")),"• "&amp;I159&amp;" ("&amp;J159&amp;")",""),IF(AND(K159&lt;&gt;"",OR(L159="Optional",L159="If Applicable",L159="To Verify")),"• "&amp;K159&amp;" ("&amp;L159&amp;")",""),IF(AND(M159&lt;&gt;"",OR(N159="Optional",N159="If Applicable",N159="To Verify")),"• "&amp;M159&amp;" ("&amp;N159&amp;")",""),IF(AND(O159&lt;&gt;"",OR(P159="Optional",P159="If Applicable",P159="To Verify")),"• "&amp;O159&amp;" ("&amp;P159&amp;")",""),IF(AND(Q159&lt;&gt;"",OR(R159="Optional",R159="If Applicable",R159="To Verify")),"• "&amp;Q159&amp;" ("&amp;R159&amp;")",""))</f>
        <v/>
      </c>
    </row>
    <row r="160" customFormat="false" ht="15" hidden="false" customHeight="false" outlineLevel="0" collapsed="false">
      <c r="A160" s="6" t="s">
        <v>1893</v>
      </c>
      <c r="B160" s="7" t="str">
        <f aca="false">IF($A160="","",IFERROR(INDEX(MASTER_DATABASE!$E$4:$E$1000,MATCH($A160,MASTER_DATABASE!$A$4:$A$1000,0)),""))</f>
        <v>Keypad / Feature Phone Sales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7" t="str">
        <f aca="false">_xlfn.TEXTJOIN(CHAR(10),TRUE(),IF(AND(C160&lt;&gt;"",D160="Mandatory"),"✓ "&amp;C160,""),IF(AND(E160&lt;&gt;"",F160="Mandatory"),"✓ "&amp;E160,""),IF(AND(G160&lt;&gt;"",H160="Mandatory"),"✓ "&amp;G160,""),IF(AND(I160&lt;&gt;"",J160="Mandatory"),"✓ "&amp;I160,""),IF(AND(K160&lt;&gt;"",L160="Mandatory"),"✓ "&amp;K160,""),IF(AND(M160&lt;&gt;"",N160="Mandatory"),"✓ "&amp;M160,""),IF(AND(O160&lt;&gt;"",P160="Mandatory"),"✓ "&amp;O160,""),IF(AND(Q160&lt;&gt;"",R160="Mandatory"),"✓ "&amp;Q160,""))</f>
        <v/>
      </c>
      <c r="T160" s="7" t="str">
        <f aca="false">_xlfn.TEXTJOIN(CHAR(10),TRUE(),IF(AND(C160&lt;&gt;"",OR(D160="Optional",D160="If Applicable",D160="To Verify")),"• "&amp;C160&amp;" ("&amp;D160&amp;")",""),IF(AND(E160&lt;&gt;"",OR(F160="Optional",F160="If Applicable",F160="To Verify")),"• "&amp;E160&amp;" ("&amp;F160&amp;")",""),IF(AND(G160&lt;&gt;"",OR(H160="Optional",H160="If Applicable",H160="To Verify")),"• "&amp;G160&amp;" ("&amp;H160&amp;")",""),IF(AND(I160&lt;&gt;"",OR(J160="Optional",J160="If Applicable",J160="To Verify")),"• "&amp;I160&amp;" ("&amp;J160&amp;")",""),IF(AND(K160&lt;&gt;"",OR(L160="Optional",L160="If Applicable",L160="To Verify")),"• "&amp;K160&amp;" ("&amp;L160&amp;")",""),IF(AND(M160&lt;&gt;"",OR(N160="Optional",N160="If Applicable",N160="To Verify")),"• "&amp;M160&amp;" ("&amp;N160&amp;")",""),IF(AND(O160&lt;&gt;"",OR(P160="Optional",P160="If Applicable",P160="To Verify")),"• "&amp;O160&amp;" ("&amp;P160&amp;")",""),IF(AND(Q160&lt;&gt;"",OR(R160="Optional",R160="If Applicable",R160="To Verify")),"• "&amp;Q160&amp;" ("&amp;R160&amp;")",""))</f>
        <v/>
      </c>
    </row>
    <row r="161" customFormat="false" ht="15" hidden="false" customHeight="false" outlineLevel="0" collapsed="false">
      <c r="A161" s="6" t="s">
        <v>1903</v>
      </c>
      <c r="B161" s="7" t="str">
        <f aca="false">IF($A161="","",IFERROR(INDEX(MASTER_DATABASE!$E$4:$E$1000,MATCH($A161,MASTER_DATABASE!$A$4:$A$1000,0)),""))</f>
        <v>Mobile Charger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7" t="str">
        <f aca="false">_xlfn.TEXTJOIN(CHAR(10),TRUE(),IF(AND(C161&lt;&gt;"",D161="Mandatory"),"✓ "&amp;C161,""),IF(AND(E161&lt;&gt;"",F161="Mandatory"),"✓ "&amp;E161,""),IF(AND(G161&lt;&gt;"",H161="Mandatory"),"✓ "&amp;G161,""),IF(AND(I161&lt;&gt;"",J161="Mandatory"),"✓ "&amp;I161,""),IF(AND(K161&lt;&gt;"",L161="Mandatory"),"✓ "&amp;K161,""),IF(AND(M161&lt;&gt;"",N161="Mandatory"),"✓ "&amp;M161,""),IF(AND(O161&lt;&gt;"",P161="Mandatory"),"✓ "&amp;O161,""),IF(AND(Q161&lt;&gt;"",R161="Mandatory"),"✓ "&amp;Q161,""))</f>
        <v/>
      </c>
      <c r="T161" s="7" t="str">
        <f aca="false">_xlfn.TEXTJOIN(CHAR(10),TRUE(),IF(AND(C161&lt;&gt;"",OR(D161="Optional",D161="If Applicable",D161="To Verify")),"• "&amp;C161&amp;" ("&amp;D161&amp;")",""),IF(AND(E161&lt;&gt;"",OR(F161="Optional",F161="If Applicable",F161="To Verify")),"• "&amp;E161&amp;" ("&amp;F161&amp;")",""),IF(AND(G161&lt;&gt;"",OR(H161="Optional",H161="If Applicable",H161="To Verify")),"• "&amp;G161&amp;" ("&amp;H161&amp;")",""),IF(AND(I161&lt;&gt;"",OR(J161="Optional",J161="If Applicable",J161="To Verify")),"• "&amp;I161&amp;" ("&amp;J161&amp;")",""),IF(AND(K161&lt;&gt;"",OR(L161="Optional",L161="If Applicable",L161="To Verify")),"• "&amp;K161&amp;" ("&amp;L161&amp;")",""),IF(AND(M161&lt;&gt;"",OR(N161="Optional",N161="If Applicable",N161="To Verify")),"• "&amp;M161&amp;" ("&amp;N161&amp;")",""),IF(AND(O161&lt;&gt;"",OR(P161="Optional",P161="If Applicable",P161="To Verify")),"• "&amp;O161&amp;" ("&amp;P161&amp;")",""),IF(AND(Q161&lt;&gt;"",OR(R161="Optional",R161="If Applicable",R161="To Verify")),"• "&amp;Q161&amp;" ("&amp;R161&amp;")",""))</f>
        <v/>
      </c>
    </row>
    <row r="162" customFormat="false" ht="15" hidden="false" customHeight="false" outlineLevel="0" collapsed="false">
      <c r="A162" s="6" t="s">
        <v>1914</v>
      </c>
      <c r="B162" s="7" t="str">
        <f aca="false">IF($A162="","",IFERROR(INDEX(MASTER_DATABASE!$E$4:$E$1000,MATCH($A162,MASTER_DATABASE!$A$4:$A$1000,0)),""))</f>
        <v>Data Cable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7" t="str">
        <f aca="false">_xlfn.TEXTJOIN(CHAR(10),TRUE(),IF(AND(C162&lt;&gt;"",D162="Mandatory"),"✓ "&amp;C162,""),IF(AND(E162&lt;&gt;"",F162="Mandatory"),"✓ "&amp;E162,""),IF(AND(G162&lt;&gt;"",H162="Mandatory"),"✓ "&amp;G162,""),IF(AND(I162&lt;&gt;"",J162="Mandatory"),"✓ "&amp;I162,""),IF(AND(K162&lt;&gt;"",L162="Mandatory"),"✓ "&amp;K162,""),IF(AND(M162&lt;&gt;"",N162="Mandatory"),"✓ "&amp;M162,""),IF(AND(O162&lt;&gt;"",P162="Mandatory"),"✓ "&amp;O162,""),IF(AND(Q162&lt;&gt;"",R162="Mandatory"),"✓ "&amp;Q162,""))</f>
        <v/>
      </c>
      <c r="T162" s="7" t="str">
        <f aca="false">_xlfn.TEXTJOIN(CHAR(10),TRUE(),IF(AND(C162&lt;&gt;"",OR(D162="Optional",D162="If Applicable",D162="To Verify")),"• "&amp;C162&amp;" ("&amp;D162&amp;")",""),IF(AND(E162&lt;&gt;"",OR(F162="Optional",F162="If Applicable",F162="To Verify")),"• "&amp;E162&amp;" ("&amp;F162&amp;")",""),IF(AND(G162&lt;&gt;"",OR(H162="Optional",H162="If Applicable",H162="To Verify")),"• "&amp;G162&amp;" ("&amp;H162&amp;")",""),IF(AND(I162&lt;&gt;"",OR(J162="Optional",J162="If Applicable",J162="To Verify")),"• "&amp;I162&amp;" ("&amp;J162&amp;")",""),IF(AND(K162&lt;&gt;"",OR(L162="Optional",L162="If Applicable",L162="To Verify")),"• "&amp;K162&amp;" ("&amp;L162&amp;")",""),IF(AND(M162&lt;&gt;"",OR(N162="Optional",N162="If Applicable",N162="To Verify")),"• "&amp;M162&amp;" ("&amp;N162&amp;")",""),IF(AND(O162&lt;&gt;"",OR(P162="Optional",P162="If Applicable",P162="To Verify")),"• "&amp;O162&amp;" ("&amp;P162&amp;")",""),IF(AND(Q162&lt;&gt;"",OR(R162="Optional",R162="If Applicable",R162="To Verify")),"• "&amp;Q162&amp;" ("&amp;R162&amp;")",""))</f>
        <v/>
      </c>
    </row>
    <row r="163" customFormat="false" ht="15" hidden="false" customHeight="false" outlineLevel="0" collapsed="false">
      <c r="A163" s="6" t="s">
        <v>1923</v>
      </c>
      <c r="B163" s="7" t="str">
        <f aca="false">IF($A163="","",IFERROR(INDEX(MASTER_DATABASE!$E$4:$E$1000,MATCH($A163,MASTER_DATABASE!$A$4:$A$1000,0)),""))</f>
        <v>Power Bank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7" t="str">
        <f aca="false">_xlfn.TEXTJOIN(CHAR(10),TRUE(),IF(AND(C163&lt;&gt;"",D163="Mandatory"),"✓ "&amp;C163,""),IF(AND(E163&lt;&gt;"",F163="Mandatory"),"✓ "&amp;E163,""),IF(AND(G163&lt;&gt;"",H163="Mandatory"),"✓ "&amp;G163,""),IF(AND(I163&lt;&gt;"",J163="Mandatory"),"✓ "&amp;I163,""),IF(AND(K163&lt;&gt;"",L163="Mandatory"),"✓ "&amp;K163,""),IF(AND(M163&lt;&gt;"",N163="Mandatory"),"✓ "&amp;M163,""),IF(AND(O163&lt;&gt;"",P163="Mandatory"),"✓ "&amp;O163,""),IF(AND(Q163&lt;&gt;"",R163="Mandatory"),"✓ "&amp;Q163,""))</f>
        <v/>
      </c>
      <c r="T163" s="7" t="str">
        <f aca="false">_xlfn.TEXTJOIN(CHAR(10),TRUE(),IF(AND(C163&lt;&gt;"",OR(D163="Optional",D163="If Applicable",D163="To Verify")),"• "&amp;C163&amp;" ("&amp;D163&amp;")",""),IF(AND(E163&lt;&gt;"",OR(F163="Optional",F163="If Applicable",F163="To Verify")),"• "&amp;E163&amp;" ("&amp;F163&amp;")",""),IF(AND(G163&lt;&gt;"",OR(H163="Optional",H163="If Applicable",H163="To Verify")),"• "&amp;G163&amp;" ("&amp;H163&amp;")",""),IF(AND(I163&lt;&gt;"",OR(J163="Optional",J163="If Applicable",J163="To Verify")),"• "&amp;I163&amp;" ("&amp;J163&amp;")",""),IF(AND(K163&lt;&gt;"",OR(L163="Optional",L163="If Applicable",L163="To Verify")),"• "&amp;K163&amp;" ("&amp;L163&amp;")",""),IF(AND(M163&lt;&gt;"",OR(N163="Optional",N163="If Applicable",N163="To Verify")),"• "&amp;M163&amp;" ("&amp;N163&amp;")",""),IF(AND(O163&lt;&gt;"",OR(P163="Optional",P163="If Applicable",P163="To Verify")),"• "&amp;O163&amp;" ("&amp;P163&amp;")",""),IF(AND(Q163&lt;&gt;"",OR(R163="Optional",R163="If Applicable",R163="To Verify")),"• "&amp;Q163&amp;" ("&amp;R163&amp;")",""))</f>
        <v/>
      </c>
    </row>
    <row r="164" customFormat="false" ht="15" hidden="false" customHeight="false" outlineLevel="0" collapsed="false">
      <c r="A164" s="6" t="s">
        <v>1932</v>
      </c>
      <c r="B164" s="7" t="str">
        <f aca="false">IF($A164="","",IFERROR(INDEX(MASTER_DATABASE!$E$4:$E$1000,MATCH($A164,MASTER_DATABASE!$A$4:$A$1000,0)),""))</f>
        <v>Earphone (Wired)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7" t="str">
        <f aca="false">_xlfn.TEXTJOIN(CHAR(10),TRUE(),IF(AND(C164&lt;&gt;"",D164="Mandatory"),"✓ "&amp;C164,""),IF(AND(E164&lt;&gt;"",F164="Mandatory"),"✓ "&amp;E164,""),IF(AND(G164&lt;&gt;"",H164="Mandatory"),"✓ "&amp;G164,""),IF(AND(I164&lt;&gt;"",J164="Mandatory"),"✓ "&amp;I164,""),IF(AND(K164&lt;&gt;"",L164="Mandatory"),"✓ "&amp;K164,""),IF(AND(M164&lt;&gt;"",N164="Mandatory"),"✓ "&amp;M164,""),IF(AND(O164&lt;&gt;"",P164="Mandatory"),"✓ "&amp;O164,""),IF(AND(Q164&lt;&gt;"",R164="Mandatory"),"✓ "&amp;Q164,""))</f>
        <v/>
      </c>
      <c r="T164" s="7" t="str">
        <f aca="false">_xlfn.TEXTJOIN(CHAR(10),TRUE(),IF(AND(C164&lt;&gt;"",OR(D164="Optional",D164="If Applicable",D164="To Verify")),"• "&amp;C164&amp;" ("&amp;D164&amp;")",""),IF(AND(E164&lt;&gt;"",OR(F164="Optional",F164="If Applicable",F164="To Verify")),"• "&amp;E164&amp;" ("&amp;F164&amp;")",""),IF(AND(G164&lt;&gt;"",OR(H164="Optional",H164="If Applicable",H164="To Verify")),"• "&amp;G164&amp;" ("&amp;H164&amp;")",""),IF(AND(I164&lt;&gt;"",OR(J164="Optional",J164="If Applicable",J164="To Verify")),"• "&amp;I164&amp;" ("&amp;J164&amp;")",""),IF(AND(K164&lt;&gt;"",OR(L164="Optional",L164="If Applicable",L164="To Verify")),"• "&amp;K164&amp;" ("&amp;L164&amp;")",""),IF(AND(M164&lt;&gt;"",OR(N164="Optional",N164="If Applicable",N164="To Verify")),"• "&amp;M164&amp;" ("&amp;N164&amp;")",""),IF(AND(O164&lt;&gt;"",OR(P164="Optional",P164="If Applicable",P164="To Verify")),"• "&amp;O164&amp;" ("&amp;P164&amp;")",""),IF(AND(Q164&lt;&gt;"",OR(R164="Optional",R164="If Applicable",R164="To Verify")),"• "&amp;Q164&amp;" ("&amp;R164&amp;")",""))</f>
        <v/>
      </c>
    </row>
    <row r="165" customFormat="false" ht="15" hidden="false" customHeight="false" outlineLevel="0" collapsed="false">
      <c r="A165" s="6" t="s">
        <v>1943</v>
      </c>
      <c r="B165" s="7" t="str">
        <f aca="false">IF($A165="","",IFERROR(INDEX(MASTER_DATABASE!$E$4:$E$1000,MATCH($A165,MASTER_DATABASE!$A$4:$A$1000,0)),""))</f>
        <v>Bluetooth Earphone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7" t="str">
        <f aca="false">_xlfn.TEXTJOIN(CHAR(10),TRUE(),IF(AND(C165&lt;&gt;"",D165="Mandatory"),"✓ "&amp;C165,""),IF(AND(E165&lt;&gt;"",F165="Mandatory"),"✓ "&amp;E165,""),IF(AND(G165&lt;&gt;"",H165="Mandatory"),"✓ "&amp;G165,""),IF(AND(I165&lt;&gt;"",J165="Mandatory"),"✓ "&amp;I165,""),IF(AND(K165&lt;&gt;"",L165="Mandatory"),"✓ "&amp;K165,""),IF(AND(M165&lt;&gt;"",N165="Mandatory"),"✓ "&amp;M165,""),IF(AND(O165&lt;&gt;"",P165="Mandatory"),"✓ "&amp;O165,""),IF(AND(Q165&lt;&gt;"",R165="Mandatory"),"✓ "&amp;Q165,""))</f>
        <v/>
      </c>
      <c r="T165" s="7" t="str">
        <f aca="false">_xlfn.TEXTJOIN(CHAR(10),TRUE(),IF(AND(C165&lt;&gt;"",OR(D165="Optional",D165="If Applicable",D165="To Verify")),"• "&amp;C165&amp;" ("&amp;D165&amp;")",""),IF(AND(E165&lt;&gt;"",OR(F165="Optional",F165="If Applicable",F165="To Verify")),"• "&amp;E165&amp;" ("&amp;F165&amp;")",""),IF(AND(G165&lt;&gt;"",OR(H165="Optional",H165="If Applicable",H165="To Verify")),"• "&amp;G165&amp;" ("&amp;H165&amp;")",""),IF(AND(I165&lt;&gt;"",OR(J165="Optional",J165="If Applicable",J165="To Verify")),"• "&amp;I165&amp;" ("&amp;J165&amp;")",""),IF(AND(K165&lt;&gt;"",OR(L165="Optional",L165="If Applicable",L165="To Verify")),"• "&amp;K165&amp;" ("&amp;L165&amp;")",""),IF(AND(M165&lt;&gt;"",OR(N165="Optional",N165="If Applicable",N165="To Verify")),"• "&amp;M165&amp;" ("&amp;N165&amp;")",""),IF(AND(O165&lt;&gt;"",OR(P165="Optional",P165="If Applicable",P165="To Verify")),"• "&amp;O165&amp;" ("&amp;P165&amp;")",""),IF(AND(Q165&lt;&gt;"",OR(R165="Optional",R165="If Applicable",R165="To Verify")),"• "&amp;Q165&amp;" ("&amp;R165&amp;")",""))</f>
        <v/>
      </c>
    </row>
    <row r="166" customFormat="false" ht="15" hidden="false" customHeight="false" outlineLevel="0" collapsed="false">
      <c r="A166" s="6" t="s">
        <v>1952</v>
      </c>
      <c r="B166" s="7" t="str">
        <f aca="false">IF($A166="","",IFERROR(INDEX(MASTER_DATABASE!$E$4:$E$1000,MATCH($A166,MASTER_DATABASE!$A$4:$A$1000,0)),""))</f>
        <v>Speaker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7" t="str">
        <f aca="false">_xlfn.TEXTJOIN(CHAR(10),TRUE(),IF(AND(C166&lt;&gt;"",D166="Mandatory"),"✓ "&amp;C166,""),IF(AND(E166&lt;&gt;"",F166="Mandatory"),"✓ "&amp;E166,""),IF(AND(G166&lt;&gt;"",H166="Mandatory"),"✓ "&amp;G166,""),IF(AND(I166&lt;&gt;"",J166="Mandatory"),"✓ "&amp;I166,""),IF(AND(K166&lt;&gt;"",L166="Mandatory"),"✓ "&amp;K166,""),IF(AND(M166&lt;&gt;"",N166="Mandatory"),"✓ "&amp;M166,""),IF(AND(O166&lt;&gt;"",P166="Mandatory"),"✓ "&amp;O166,""),IF(AND(Q166&lt;&gt;"",R166="Mandatory"),"✓ "&amp;Q166,""))</f>
        <v/>
      </c>
      <c r="T166" s="7" t="str">
        <f aca="false">_xlfn.TEXTJOIN(CHAR(10),TRUE(),IF(AND(C166&lt;&gt;"",OR(D166="Optional",D166="If Applicable",D166="To Verify")),"• "&amp;C166&amp;" ("&amp;D166&amp;")",""),IF(AND(E166&lt;&gt;"",OR(F166="Optional",F166="If Applicable",F166="To Verify")),"• "&amp;E166&amp;" ("&amp;F166&amp;")",""),IF(AND(G166&lt;&gt;"",OR(H166="Optional",H166="If Applicable",H166="To Verify")),"• "&amp;G166&amp;" ("&amp;H166&amp;")",""),IF(AND(I166&lt;&gt;"",OR(J166="Optional",J166="If Applicable",J166="To Verify")),"• "&amp;I166&amp;" ("&amp;J166&amp;")",""),IF(AND(K166&lt;&gt;"",OR(L166="Optional",L166="If Applicable",L166="To Verify")),"• "&amp;K166&amp;" ("&amp;L166&amp;")",""),IF(AND(M166&lt;&gt;"",OR(N166="Optional",N166="If Applicable",N166="To Verify")),"• "&amp;M166&amp;" ("&amp;N166&amp;")",""),IF(AND(O166&lt;&gt;"",OR(P166="Optional",P166="If Applicable",P166="To Verify")),"• "&amp;O166&amp;" ("&amp;P166&amp;")",""),IF(AND(Q166&lt;&gt;"",OR(R166="Optional",R166="If Applicable",R166="To Verify")),"• "&amp;Q166&amp;" ("&amp;R166&amp;")",""))</f>
        <v/>
      </c>
    </row>
    <row r="167" customFormat="false" ht="15" hidden="false" customHeight="false" outlineLevel="0" collapsed="false">
      <c r="A167" s="6" t="s">
        <v>1961</v>
      </c>
      <c r="B167" s="7" t="str">
        <f aca="false">IF($A167="","",IFERROR(INDEX(MASTER_DATABASE!$E$4:$E$1000,MATCH($A167,MASTER_DATABASE!$A$4:$A$1000,0)),""))</f>
        <v>Mobile Cover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7" t="str">
        <f aca="false">_xlfn.TEXTJOIN(CHAR(10),TRUE(),IF(AND(C167&lt;&gt;"",D167="Mandatory"),"✓ "&amp;C167,""),IF(AND(E167&lt;&gt;"",F167="Mandatory"),"✓ "&amp;E167,""),IF(AND(G167&lt;&gt;"",H167="Mandatory"),"✓ "&amp;G167,""),IF(AND(I167&lt;&gt;"",J167="Mandatory"),"✓ "&amp;I167,""),IF(AND(K167&lt;&gt;"",L167="Mandatory"),"✓ "&amp;K167,""),IF(AND(M167&lt;&gt;"",N167="Mandatory"),"✓ "&amp;M167,""),IF(AND(O167&lt;&gt;"",P167="Mandatory"),"✓ "&amp;O167,""),IF(AND(Q167&lt;&gt;"",R167="Mandatory"),"✓ "&amp;Q167,""))</f>
        <v/>
      </c>
      <c r="T167" s="7" t="str">
        <f aca="false">_xlfn.TEXTJOIN(CHAR(10),TRUE(),IF(AND(C167&lt;&gt;"",OR(D167="Optional",D167="If Applicable",D167="To Verify")),"• "&amp;C167&amp;" ("&amp;D167&amp;")",""),IF(AND(E167&lt;&gt;"",OR(F167="Optional",F167="If Applicable",F167="To Verify")),"• "&amp;E167&amp;" ("&amp;F167&amp;")",""),IF(AND(G167&lt;&gt;"",OR(H167="Optional",H167="If Applicable",H167="To Verify")),"• "&amp;G167&amp;" ("&amp;H167&amp;")",""),IF(AND(I167&lt;&gt;"",OR(J167="Optional",J167="If Applicable",J167="To Verify")),"• "&amp;I167&amp;" ("&amp;J167&amp;")",""),IF(AND(K167&lt;&gt;"",OR(L167="Optional",L167="If Applicable",L167="To Verify")),"• "&amp;K167&amp;" ("&amp;L167&amp;")",""),IF(AND(M167&lt;&gt;"",OR(N167="Optional",N167="If Applicable",N167="To Verify")),"• "&amp;M167&amp;" ("&amp;N167&amp;")",""),IF(AND(O167&lt;&gt;"",OR(P167="Optional",P167="If Applicable",P167="To Verify")),"• "&amp;O167&amp;" ("&amp;P167&amp;")",""),IF(AND(Q167&lt;&gt;"",OR(R167="Optional",R167="If Applicable",R167="To Verify")),"• "&amp;Q167&amp;" ("&amp;R167&amp;")",""))</f>
        <v/>
      </c>
    </row>
    <row r="168" customFormat="false" ht="15" hidden="false" customHeight="false" outlineLevel="0" collapsed="false">
      <c r="A168" s="6" t="s">
        <v>1971</v>
      </c>
      <c r="B168" s="7" t="str">
        <f aca="false">IF($A168="","",IFERROR(INDEX(MASTER_DATABASE!$E$4:$E$1000,MATCH($A168,MASTER_DATABASE!$A$4:$A$1000,0)),""))</f>
        <v>Tempered Glass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7" t="str">
        <f aca="false">_xlfn.TEXTJOIN(CHAR(10),TRUE(),IF(AND(C168&lt;&gt;"",D168="Mandatory"),"✓ "&amp;C168,""),IF(AND(E168&lt;&gt;"",F168="Mandatory"),"✓ "&amp;E168,""),IF(AND(G168&lt;&gt;"",H168="Mandatory"),"✓ "&amp;G168,""),IF(AND(I168&lt;&gt;"",J168="Mandatory"),"✓ "&amp;I168,""),IF(AND(K168&lt;&gt;"",L168="Mandatory"),"✓ "&amp;K168,""),IF(AND(M168&lt;&gt;"",N168="Mandatory"),"✓ "&amp;M168,""),IF(AND(O168&lt;&gt;"",P168="Mandatory"),"✓ "&amp;O168,""),IF(AND(Q168&lt;&gt;"",R168="Mandatory"),"✓ "&amp;Q168,""))</f>
        <v/>
      </c>
      <c r="T168" s="7" t="str">
        <f aca="false">_xlfn.TEXTJOIN(CHAR(10),TRUE(),IF(AND(C168&lt;&gt;"",OR(D168="Optional",D168="If Applicable",D168="To Verify")),"• "&amp;C168&amp;" ("&amp;D168&amp;")",""),IF(AND(E168&lt;&gt;"",OR(F168="Optional",F168="If Applicable",F168="To Verify")),"• "&amp;E168&amp;" ("&amp;F168&amp;")",""),IF(AND(G168&lt;&gt;"",OR(H168="Optional",H168="If Applicable",H168="To Verify")),"• "&amp;G168&amp;" ("&amp;H168&amp;")",""),IF(AND(I168&lt;&gt;"",OR(J168="Optional",J168="If Applicable",J168="To Verify")),"• "&amp;I168&amp;" ("&amp;J168&amp;")",""),IF(AND(K168&lt;&gt;"",OR(L168="Optional",L168="If Applicable",L168="To Verify")),"• "&amp;K168&amp;" ("&amp;L168&amp;")",""),IF(AND(M168&lt;&gt;"",OR(N168="Optional",N168="If Applicable",N168="To Verify")),"• "&amp;M168&amp;" ("&amp;N168&amp;")",""),IF(AND(O168&lt;&gt;"",OR(P168="Optional",P168="If Applicable",P168="To Verify")),"• "&amp;O168&amp;" ("&amp;P168&amp;")",""),IF(AND(Q168&lt;&gt;"",OR(R168="Optional",R168="If Applicable",R168="To Verify")),"• "&amp;Q168&amp;" ("&amp;R168&amp;")",""))</f>
        <v/>
      </c>
    </row>
    <row r="169" customFormat="false" ht="15" hidden="false" customHeight="false" outlineLevel="0" collapsed="false">
      <c r="A169" s="6" t="s">
        <v>1980</v>
      </c>
      <c r="B169" s="7" t="str">
        <f aca="false">IF($A169="","",IFERROR(INDEX(MASTER_DATABASE!$E$4:$E$1000,MATCH($A169,MASTER_DATABASE!$A$4:$A$1000,0)),""))</f>
        <v>Tempered Glass Fitting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7" t="str">
        <f aca="false">_xlfn.TEXTJOIN(CHAR(10),TRUE(),IF(AND(C169&lt;&gt;"",D169="Mandatory"),"✓ "&amp;C169,""),IF(AND(E169&lt;&gt;"",F169="Mandatory"),"✓ "&amp;E169,""),IF(AND(G169&lt;&gt;"",H169="Mandatory"),"✓ "&amp;G169,""),IF(AND(I169&lt;&gt;"",J169="Mandatory"),"✓ "&amp;I169,""),IF(AND(K169&lt;&gt;"",L169="Mandatory"),"✓ "&amp;K169,""),IF(AND(M169&lt;&gt;"",N169="Mandatory"),"✓ "&amp;M169,""),IF(AND(O169&lt;&gt;"",P169="Mandatory"),"✓ "&amp;O169,""),IF(AND(Q169&lt;&gt;"",R169="Mandatory"),"✓ "&amp;Q169,""))</f>
        <v/>
      </c>
      <c r="T169" s="7" t="str">
        <f aca="false">_xlfn.TEXTJOIN(CHAR(10),TRUE(),IF(AND(C169&lt;&gt;"",OR(D169="Optional",D169="If Applicable",D169="To Verify")),"• "&amp;C169&amp;" ("&amp;D169&amp;")",""),IF(AND(E169&lt;&gt;"",OR(F169="Optional",F169="If Applicable",F169="To Verify")),"• "&amp;E169&amp;" ("&amp;F169&amp;")",""),IF(AND(G169&lt;&gt;"",OR(H169="Optional",H169="If Applicable",H169="To Verify")),"• "&amp;G169&amp;" ("&amp;H169&amp;")",""),IF(AND(I169&lt;&gt;"",OR(J169="Optional",J169="If Applicable",J169="To Verify")),"• "&amp;I169&amp;" ("&amp;J169&amp;")",""),IF(AND(K169&lt;&gt;"",OR(L169="Optional",L169="If Applicable",L169="To Verify")),"• "&amp;K169&amp;" ("&amp;L169&amp;")",""),IF(AND(M169&lt;&gt;"",OR(N169="Optional",N169="If Applicable",N169="To Verify")),"• "&amp;M169&amp;" ("&amp;N169&amp;")",""),IF(AND(O169&lt;&gt;"",OR(P169="Optional",P169="If Applicable",P169="To Verify")),"• "&amp;O169&amp;" ("&amp;P169&amp;")",""),IF(AND(Q169&lt;&gt;"",OR(R169="Optional",R169="If Applicable",R169="To Verify")),"• "&amp;Q169&amp;" ("&amp;R169&amp;")",""))</f>
        <v/>
      </c>
    </row>
    <row r="170" customFormat="false" ht="15" hidden="false" customHeight="false" outlineLevel="0" collapsed="false">
      <c r="A170" s="6" t="s">
        <v>1989</v>
      </c>
      <c r="B170" s="7" t="str">
        <f aca="false">IF($A170="","",IFERROR(INDEX(MASTER_DATABASE!$E$4:$E$1000,MATCH($A170,MASTER_DATABASE!$A$4:$A$1000,0)),""))</f>
        <v>Memory Card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7" t="str">
        <f aca="false">_xlfn.TEXTJOIN(CHAR(10),TRUE(),IF(AND(C170&lt;&gt;"",D170="Mandatory"),"✓ "&amp;C170,""),IF(AND(E170&lt;&gt;"",F170="Mandatory"),"✓ "&amp;E170,""),IF(AND(G170&lt;&gt;"",H170="Mandatory"),"✓ "&amp;G170,""),IF(AND(I170&lt;&gt;"",J170="Mandatory"),"✓ "&amp;I170,""),IF(AND(K170&lt;&gt;"",L170="Mandatory"),"✓ "&amp;K170,""),IF(AND(M170&lt;&gt;"",N170="Mandatory"),"✓ "&amp;M170,""),IF(AND(O170&lt;&gt;"",P170="Mandatory"),"✓ "&amp;O170,""),IF(AND(Q170&lt;&gt;"",R170="Mandatory"),"✓ "&amp;Q170,""))</f>
        <v/>
      </c>
      <c r="T170" s="7" t="str">
        <f aca="false">_xlfn.TEXTJOIN(CHAR(10),TRUE(),IF(AND(C170&lt;&gt;"",OR(D170="Optional",D170="If Applicable",D170="To Verify")),"• "&amp;C170&amp;" ("&amp;D170&amp;")",""),IF(AND(E170&lt;&gt;"",OR(F170="Optional",F170="If Applicable",F170="To Verify")),"• "&amp;E170&amp;" ("&amp;F170&amp;")",""),IF(AND(G170&lt;&gt;"",OR(H170="Optional",H170="If Applicable",H170="To Verify")),"• "&amp;G170&amp;" ("&amp;H170&amp;")",""),IF(AND(I170&lt;&gt;"",OR(J170="Optional",J170="If Applicable",J170="To Verify")),"• "&amp;I170&amp;" ("&amp;J170&amp;")",""),IF(AND(K170&lt;&gt;"",OR(L170="Optional",L170="If Applicable",L170="To Verify")),"• "&amp;K170&amp;" ("&amp;L170&amp;")",""),IF(AND(M170&lt;&gt;"",OR(N170="Optional",N170="If Applicable",N170="To Verify")),"• "&amp;M170&amp;" ("&amp;N170&amp;")",""),IF(AND(O170&lt;&gt;"",OR(P170="Optional",P170="If Applicable",P170="To Verify")),"• "&amp;O170&amp;" ("&amp;P170&amp;")",""),IF(AND(Q170&lt;&gt;"",OR(R170="Optional",R170="If Applicable",R170="To Verify")),"• "&amp;Q170&amp;" ("&amp;R170&amp;")",""))</f>
        <v/>
      </c>
    </row>
    <row r="171" customFormat="false" ht="15" hidden="false" customHeight="false" outlineLevel="0" collapsed="false">
      <c r="A171" s="6" t="s">
        <v>2000</v>
      </c>
      <c r="B171" s="7" t="str">
        <f aca="false">IF($A171="","",IFERROR(INDEX(MASTER_DATABASE!$E$4:$E$1000,MATCH($A171,MASTER_DATABASE!$A$4:$A$1000,0)),""))</f>
        <v>Pendrive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7" t="str">
        <f aca="false">_xlfn.TEXTJOIN(CHAR(10),TRUE(),IF(AND(C171&lt;&gt;"",D171="Mandatory"),"✓ "&amp;C171,""),IF(AND(E171&lt;&gt;"",F171="Mandatory"),"✓ "&amp;E171,""),IF(AND(G171&lt;&gt;"",H171="Mandatory"),"✓ "&amp;G171,""),IF(AND(I171&lt;&gt;"",J171="Mandatory"),"✓ "&amp;I171,""),IF(AND(K171&lt;&gt;"",L171="Mandatory"),"✓ "&amp;K171,""),IF(AND(M171&lt;&gt;"",N171="Mandatory"),"✓ "&amp;M171,""),IF(AND(O171&lt;&gt;"",P171="Mandatory"),"✓ "&amp;O171,""),IF(AND(Q171&lt;&gt;"",R171="Mandatory"),"✓ "&amp;Q171,""))</f>
        <v/>
      </c>
      <c r="T171" s="7" t="str">
        <f aca="false">_xlfn.TEXTJOIN(CHAR(10),TRUE(),IF(AND(C171&lt;&gt;"",OR(D171="Optional",D171="If Applicable",D171="To Verify")),"• "&amp;C171&amp;" ("&amp;D171&amp;")",""),IF(AND(E171&lt;&gt;"",OR(F171="Optional",F171="If Applicable",F171="To Verify")),"• "&amp;E171&amp;" ("&amp;F171&amp;")",""),IF(AND(G171&lt;&gt;"",OR(H171="Optional",H171="If Applicable",H171="To Verify")),"• "&amp;G171&amp;" ("&amp;H171&amp;")",""),IF(AND(I171&lt;&gt;"",OR(J171="Optional",J171="If Applicable",J171="To Verify")),"• "&amp;I171&amp;" ("&amp;J171&amp;")",""),IF(AND(K171&lt;&gt;"",OR(L171="Optional",L171="If Applicable",L171="To Verify")),"• "&amp;K171&amp;" ("&amp;L171&amp;")",""),IF(AND(M171&lt;&gt;"",OR(N171="Optional",N171="If Applicable",N171="To Verify")),"• "&amp;M171&amp;" ("&amp;N171&amp;")",""),IF(AND(O171&lt;&gt;"",OR(P171="Optional",P171="If Applicable",P171="To Verify")),"• "&amp;O171&amp;" ("&amp;P171&amp;")",""),IF(AND(Q171&lt;&gt;"",OR(R171="Optional",R171="If Applicable",R171="To Verify")),"• "&amp;Q171&amp;" ("&amp;R171&amp;")",""))</f>
        <v/>
      </c>
    </row>
    <row r="172" customFormat="false" ht="35.05" hidden="false" customHeight="false" outlineLevel="0" collapsed="false">
      <c r="A172" s="6" t="s">
        <v>2009</v>
      </c>
      <c r="B172" s="7" t="str">
        <f aca="false">IF($A172="","",IFERROR(INDEX(MASTER_DATABASE!$E$4:$E$1000,MATCH($A172,MASTER_DATABASE!$A$4:$A$1000,0)),""))</f>
        <v>New SIM Card Sale / Activation</v>
      </c>
      <c r="C172" s="6" t="s">
        <v>3433</v>
      </c>
      <c r="D172" s="6" t="s">
        <v>3436</v>
      </c>
      <c r="E172" s="6" t="s">
        <v>2390</v>
      </c>
      <c r="F172" s="6" t="s">
        <v>3436</v>
      </c>
      <c r="G172" s="6" t="s">
        <v>3488</v>
      </c>
      <c r="H172" s="6" t="s">
        <v>3436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7" t="str">
        <f aca="false">_xlfn.TEXTJOIN(CHAR(10),TRUE(),IF(AND(C172&lt;&gt;"",D172="Mandatory"),"✓ "&amp;C172,""),IF(AND(E172&lt;&gt;"",F172="Mandatory"),"✓ "&amp;E172,""),IF(AND(G172&lt;&gt;"",H172="Mandatory"),"✓ "&amp;G172,""),IF(AND(I172&lt;&gt;"",J172="Mandatory"),"✓ "&amp;I172,""),IF(AND(K172&lt;&gt;"",L172="Mandatory"),"✓ "&amp;K172,""),IF(AND(M172&lt;&gt;"",N172="Mandatory"),"✓ "&amp;M172,""),IF(AND(O172&lt;&gt;"",P172="Mandatory"),"✓ "&amp;O172,""),IF(AND(Q172&lt;&gt;"",R172="Mandatory"),"✓ "&amp;Q172,""))</f>
        <v>✓ Aadhaar Card
✓ Passport Photo
✓ Customer Presence for Biometrics</v>
      </c>
      <c r="T172" s="7" t="str">
        <f aca="false">_xlfn.TEXTJOIN(CHAR(10),TRUE(),IF(AND(C172&lt;&gt;"",OR(D172="Optional",D172="If Applicable",D172="To Verify")),"• "&amp;C172&amp;" ("&amp;D172&amp;")",""),IF(AND(E172&lt;&gt;"",OR(F172="Optional",F172="If Applicable",F172="To Verify")),"• "&amp;E172&amp;" ("&amp;F172&amp;")",""),IF(AND(G172&lt;&gt;"",OR(H172="Optional",H172="If Applicable",H172="To Verify")),"• "&amp;G172&amp;" ("&amp;H172&amp;")",""),IF(AND(I172&lt;&gt;"",OR(J172="Optional",J172="If Applicable",J172="To Verify")),"• "&amp;I172&amp;" ("&amp;J172&amp;")",""),IF(AND(K172&lt;&gt;"",OR(L172="Optional",L172="If Applicable",L172="To Verify")),"• "&amp;K172&amp;" ("&amp;L172&amp;")",""),IF(AND(M172&lt;&gt;"",OR(N172="Optional",N172="If Applicable",N172="To Verify")),"• "&amp;M172&amp;" ("&amp;N172&amp;")",""),IF(AND(O172&lt;&gt;"",OR(P172="Optional",P172="If Applicable",P172="To Verify")),"• "&amp;O172&amp;" ("&amp;P172&amp;")",""),IF(AND(Q172&lt;&gt;"",OR(R172="Optional",R172="If Applicable",R172="To Verify")),"• "&amp;Q172&amp;" ("&amp;R172&amp;")",""))</f>
        <v/>
      </c>
    </row>
    <row r="173" customFormat="false" ht="35.05" hidden="false" customHeight="false" outlineLevel="0" collapsed="false">
      <c r="A173" s="6" t="s">
        <v>2024</v>
      </c>
      <c r="B173" s="7" t="str">
        <f aca="false">IF($A173="","",IFERROR(INDEX(MASTER_DATABASE!$E$4:$E$1000,MATCH($A173,MASTER_DATABASE!$A$4:$A$1000,0)),""))</f>
        <v>SIM Replacement (Lost / Damaged SIM)</v>
      </c>
      <c r="C173" s="6" t="s">
        <v>3433</v>
      </c>
      <c r="D173" s="6" t="s">
        <v>3436</v>
      </c>
      <c r="E173" s="6" t="s">
        <v>2390</v>
      </c>
      <c r="F173" s="6" t="s">
        <v>3436</v>
      </c>
      <c r="G173" s="6" t="s">
        <v>3488</v>
      </c>
      <c r="H173" s="6" t="s">
        <v>3436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7" t="str">
        <f aca="false">_xlfn.TEXTJOIN(CHAR(10),TRUE(),IF(AND(C173&lt;&gt;"",D173="Mandatory"),"✓ "&amp;C173,""),IF(AND(E173&lt;&gt;"",F173="Mandatory"),"✓ "&amp;E173,""),IF(AND(G173&lt;&gt;"",H173="Mandatory"),"✓ "&amp;G173,""),IF(AND(I173&lt;&gt;"",J173="Mandatory"),"✓ "&amp;I173,""),IF(AND(K173&lt;&gt;"",L173="Mandatory"),"✓ "&amp;K173,""),IF(AND(M173&lt;&gt;"",N173="Mandatory"),"✓ "&amp;M173,""),IF(AND(O173&lt;&gt;"",P173="Mandatory"),"✓ "&amp;O173,""),IF(AND(Q173&lt;&gt;"",R173="Mandatory"),"✓ "&amp;Q173,""))</f>
        <v>✓ Aadhaar Card
✓ Passport Photo
✓ Customer Presence for Biometrics</v>
      </c>
      <c r="T173" s="7" t="str">
        <f aca="false">_xlfn.TEXTJOIN(CHAR(10),TRUE(),IF(AND(C173&lt;&gt;"",OR(D173="Optional",D173="If Applicable",D173="To Verify")),"• "&amp;C173&amp;" ("&amp;D173&amp;")",""),IF(AND(E173&lt;&gt;"",OR(F173="Optional",F173="If Applicable",F173="To Verify")),"• "&amp;E173&amp;" ("&amp;F173&amp;")",""),IF(AND(G173&lt;&gt;"",OR(H173="Optional",H173="If Applicable",H173="To Verify")),"• "&amp;G173&amp;" ("&amp;H173&amp;")",""),IF(AND(I173&lt;&gt;"",OR(J173="Optional",J173="If Applicable",J173="To Verify")),"• "&amp;I173&amp;" ("&amp;J173&amp;")",""),IF(AND(K173&lt;&gt;"",OR(L173="Optional",L173="If Applicable",L173="To Verify")),"• "&amp;K173&amp;" ("&amp;L173&amp;")",""),IF(AND(M173&lt;&gt;"",OR(N173="Optional",N173="If Applicable",N173="To Verify")),"• "&amp;M173&amp;" ("&amp;N173&amp;")",""),IF(AND(O173&lt;&gt;"",OR(P173="Optional",P173="If Applicable",P173="To Verify")),"• "&amp;O173&amp;" ("&amp;P173&amp;")",""),IF(AND(Q173&lt;&gt;"",OR(R173="Optional",R173="If Applicable",R173="To Verify")),"• "&amp;Q173&amp;" ("&amp;R173&amp;")",""))</f>
        <v/>
      </c>
    </row>
    <row r="174" customFormat="false" ht="35.05" hidden="false" customHeight="false" outlineLevel="0" collapsed="false">
      <c r="A174" s="6" t="s">
        <v>2035</v>
      </c>
      <c r="B174" s="7" t="str">
        <f aca="false">IF($A174="","",IFERROR(INDEX(MASTER_DATABASE!$E$4:$E$1000,MATCH($A174,MASTER_DATABASE!$A$4:$A$1000,0)),""))</f>
        <v>Mobile Number Portability (MNP) Assistance</v>
      </c>
      <c r="C174" s="6" t="s">
        <v>3433</v>
      </c>
      <c r="D174" s="6" t="s">
        <v>3436</v>
      </c>
      <c r="E174" s="6" t="s">
        <v>2390</v>
      </c>
      <c r="F174" s="6" t="s">
        <v>3436</v>
      </c>
      <c r="G174" s="6" t="s">
        <v>3488</v>
      </c>
      <c r="H174" s="6" t="s">
        <v>3436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7" t="str">
        <f aca="false">_xlfn.TEXTJOIN(CHAR(10),TRUE(),IF(AND(C174&lt;&gt;"",D174="Mandatory"),"✓ "&amp;C174,""),IF(AND(E174&lt;&gt;"",F174="Mandatory"),"✓ "&amp;E174,""),IF(AND(G174&lt;&gt;"",H174="Mandatory"),"✓ "&amp;G174,""),IF(AND(I174&lt;&gt;"",J174="Mandatory"),"✓ "&amp;I174,""),IF(AND(K174&lt;&gt;"",L174="Mandatory"),"✓ "&amp;K174,""),IF(AND(M174&lt;&gt;"",N174="Mandatory"),"✓ "&amp;M174,""),IF(AND(O174&lt;&gt;"",P174="Mandatory"),"✓ "&amp;O174,""),IF(AND(Q174&lt;&gt;"",R174="Mandatory"),"✓ "&amp;Q174,""))</f>
        <v>✓ Aadhaar Card
✓ Passport Photo
✓ Customer Presence for Biometrics</v>
      </c>
      <c r="T174" s="7" t="str">
        <f aca="false">_xlfn.TEXTJOIN(CHAR(10),TRUE(),IF(AND(C174&lt;&gt;"",OR(D174="Optional",D174="If Applicable",D174="To Verify")),"• "&amp;C174&amp;" ("&amp;D174&amp;")",""),IF(AND(E174&lt;&gt;"",OR(F174="Optional",F174="If Applicable",F174="To Verify")),"• "&amp;E174&amp;" ("&amp;F174&amp;")",""),IF(AND(G174&lt;&gt;"",OR(H174="Optional",H174="If Applicable",H174="To Verify")),"• "&amp;G174&amp;" ("&amp;H174&amp;")",""),IF(AND(I174&lt;&gt;"",OR(J174="Optional",J174="If Applicable",J174="To Verify")),"• "&amp;I174&amp;" ("&amp;J174&amp;")",""),IF(AND(K174&lt;&gt;"",OR(L174="Optional",L174="If Applicable",L174="To Verify")),"• "&amp;K174&amp;" ("&amp;L174&amp;")",""),IF(AND(M174&lt;&gt;"",OR(N174="Optional",N174="If Applicable",N174="To Verify")),"• "&amp;M174&amp;" ("&amp;N174&amp;")",""),IF(AND(O174&lt;&gt;"",OR(P174="Optional",P174="If Applicable",P174="To Verify")),"• "&amp;O174&amp;" ("&amp;P174&amp;")",""),IF(AND(Q174&lt;&gt;"",OR(R174="Optional",R174="If Applicable",R174="To Verify")),"• "&amp;Q174&amp;" ("&amp;R174&amp;")",""))</f>
        <v/>
      </c>
    </row>
    <row r="175" customFormat="false" ht="35.05" hidden="false" customHeight="false" outlineLevel="0" collapsed="false">
      <c r="A175" s="6" t="s">
        <v>2045</v>
      </c>
      <c r="B175" s="7" t="str">
        <f aca="false">IF($A175="","",IFERROR(INDEX(MASTER_DATABASE!$E$4:$E$1000,MATCH($A175,MASTER_DATABASE!$A$4:$A$1000,0)),""))</f>
        <v>SIM KYC / Re-verification Assistance</v>
      </c>
      <c r="C175" s="6" t="s">
        <v>3433</v>
      </c>
      <c r="D175" s="6" t="s">
        <v>3436</v>
      </c>
      <c r="E175" s="6" t="s">
        <v>2390</v>
      </c>
      <c r="F175" s="6" t="s">
        <v>3436</v>
      </c>
      <c r="G175" s="6" t="s">
        <v>3488</v>
      </c>
      <c r="H175" s="6" t="s">
        <v>3436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7" t="str">
        <f aca="false">_xlfn.TEXTJOIN(CHAR(10),TRUE(),IF(AND(C175&lt;&gt;"",D175="Mandatory"),"✓ "&amp;C175,""),IF(AND(E175&lt;&gt;"",F175="Mandatory"),"✓ "&amp;E175,""),IF(AND(G175&lt;&gt;"",H175="Mandatory"),"✓ "&amp;G175,""),IF(AND(I175&lt;&gt;"",J175="Mandatory"),"✓ "&amp;I175,""),IF(AND(K175&lt;&gt;"",L175="Mandatory"),"✓ "&amp;K175,""),IF(AND(M175&lt;&gt;"",N175="Mandatory"),"✓ "&amp;M175,""),IF(AND(O175&lt;&gt;"",P175="Mandatory"),"✓ "&amp;O175,""),IF(AND(Q175&lt;&gt;"",R175="Mandatory"),"✓ "&amp;Q175,""))</f>
        <v>✓ Aadhaar Card
✓ Passport Photo
✓ Customer Presence for Biometrics</v>
      </c>
      <c r="T175" s="7" t="str">
        <f aca="false">_xlfn.TEXTJOIN(CHAR(10),TRUE(),IF(AND(C175&lt;&gt;"",OR(D175="Optional",D175="If Applicable",D175="To Verify")),"• "&amp;C175&amp;" ("&amp;D175&amp;")",""),IF(AND(E175&lt;&gt;"",OR(F175="Optional",F175="If Applicable",F175="To Verify")),"• "&amp;E175&amp;" ("&amp;F175&amp;")",""),IF(AND(G175&lt;&gt;"",OR(H175="Optional",H175="If Applicable",H175="To Verify")),"• "&amp;G175&amp;" ("&amp;H175&amp;")",""),IF(AND(I175&lt;&gt;"",OR(J175="Optional",J175="If Applicable",J175="To Verify")),"• "&amp;I175&amp;" ("&amp;J175&amp;")",""),IF(AND(K175&lt;&gt;"",OR(L175="Optional",L175="If Applicable",L175="To Verify")),"• "&amp;K175&amp;" ("&amp;L175&amp;")",""),IF(AND(M175&lt;&gt;"",OR(N175="Optional",N175="If Applicable",N175="To Verify")),"• "&amp;M175&amp;" ("&amp;N175&amp;")",""),IF(AND(O175&lt;&gt;"",OR(P175="Optional",P175="If Applicable",P175="To Verify")),"• "&amp;O175&amp;" ("&amp;P175&amp;")",""),IF(AND(Q175&lt;&gt;"",OR(R175="Optional",R175="If Applicable",R175="To Verify")),"• "&amp;Q175&amp;" ("&amp;R175&amp;")",""))</f>
        <v/>
      </c>
    </row>
    <row r="176" customFormat="false" ht="15" hidden="false" customHeight="false" outlineLevel="0" collapsed="false">
      <c r="A176" s="6" t="s">
        <v>2055</v>
      </c>
      <c r="B176" s="7" t="str">
        <f aca="false">IF($A176="","",IFERROR(INDEX(MASTER_DATABASE!$E$4:$E$1000,MATCH($A176,MASTER_DATABASE!$A$4:$A$1000,0)),""))</f>
        <v>Basic Mobile Setup (New Phone)</v>
      </c>
      <c r="C176" s="6" t="s">
        <v>3591</v>
      </c>
      <c r="D176" s="6" t="s">
        <v>3436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7" t="str">
        <f aca="false">_xlfn.TEXTJOIN(CHAR(10),TRUE(),IF(AND(C176&lt;&gt;"",D176="Mandatory"),"✓ "&amp;C176,""),IF(AND(E176&lt;&gt;"",F176="Mandatory"),"✓ "&amp;E176,""),IF(AND(G176&lt;&gt;"",H176="Mandatory"),"✓ "&amp;G176,""),IF(AND(I176&lt;&gt;"",J176="Mandatory"),"✓ "&amp;I176,""),IF(AND(K176&lt;&gt;"",L176="Mandatory"),"✓ "&amp;K176,""),IF(AND(M176&lt;&gt;"",N176="Mandatory"),"✓ "&amp;M176,""),IF(AND(O176&lt;&gt;"",P176="Mandatory"),"✓ "&amp;O176,""),IF(AND(Q176&lt;&gt;"",R176="Mandatory"),"✓ "&amp;Q176,""))</f>
        <v>✓ Mobile Phone</v>
      </c>
      <c r="T176" s="7" t="str">
        <f aca="false">_xlfn.TEXTJOIN(CHAR(10),TRUE(),IF(AND(C176&lt;&gt;"",OR(D176="Optional",D176="If Applicable",D176="To Verify")),"• "&amp;C176&amp;" ("&amp;D176&amp;")",""),IF(AND(E176&lt;&gt;"",OR(F176="Optional",F176="If Applicable",F176="To Verify")),"• "&amp;E176&amp;" ("&amp;F176&amp;")",""),IF(AND(G176&lt;&gt;"",OR(H176="Optional",H176="If Applicable",H176="To Verify")),"• "&amp;G176&amp;" ("&amp;H176&amp;")",""),IF(AND(I176&lt;&gt;"",OR(J176="Optional",J176="If Applicable",J176="To Verify")),"• "&amp;I176&amp;" ("&amp;J176&amp;")",""),IF(AND(K176&lt;&gt;"",OR(L176="Optional",L176="If Applicable",L176="To Verify")),"• "&amp;K176&amp;" ("&amp;L176&amp;")",""),IF(AND(M176&lt;&gt;"",OR(N176="Optional",N176="If Applicable",N176="To Verify")),"• "&amp;M176&amp;" ("&amp;N176&amp;")",""),IF(AND(O176&lt;&gt;"",OR(P176="Optional",P176="If Applicable",P176="To Verify")),"• "&amp;O176&amp;" ("&amp;P176&amp;")",""),IF(AND(Q176&lt;&gt;"",OR(R176="Optional",R176="If Applicable",R176="To Verify")),"• "&amp;Q176&amp;" ("&amp;R176&amp;")",""))</f>
        <v/>
      </c>
    </row>
    <row r="177" customFormat="false" ht="15" hidden="false" customHeight="false" outlineLevel="0" collapsed="false">
      <c r="A177" s="6" t="s">
        <v>2068</v>
      </c>
      <c r="B177" s="7" t="str">
        <f aca="false">IF($A177="","",IFERROR(INDEX(MASTER_DATABASE!$E$4:$E$1000,MATCH($A177,MASTER_DATABASE!$A$4:$A$1000,0)),""))</f>
        <v>App Installation / Setup</v>
      </c>
      <c r="C177" s="6" t="s">
        <v>3591</v>
      </c>
      <c r="D177" s="6" t="s">
        <v>3436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7" t="str">
        <f aca="false">_xlfn.TEXTJOIN(CHAR(10),TRUE(),IF(AND(C177&lt;&gt;"",D177="Mandatory"),"✓ "&amp;C177,""),IF(AND(E177&lt;&gt;"",F177="Mandatory"),"✓ "&amp;E177,""),IF(AND(G177&lt;&gt;"",H177="Mandatory"),"✓ "&amp;G177,""),IF(AND(I177&lt;&gt;"",J177="Mandatory"),"✓ "&amp;I177,""),IF(AND(K177&lt;&gt;"",L177="Mandatory"),"✓ "&amp;K177,""),IF(AND(M177&lt;&gt;"",N177="Mandatory"),"✓ "&amp;M177,""),IF(AND(O177&lt;&gt;"",P177="Mandatory"),"✓ "&amp;O177,""),IF(AND(Q177&lt;&gt;"",R177="Mandatory"),"✓ "&amp;Q177,""))</f>
        <v>✓ Mobile Phone</v>
      </c>
      <c r="T177" s="7" t="str">
        <f aca="false">_xlfn.TEXTJOIN(CHAR(10),TRUE(),IF(AND(C177&lt;&gt;"",OR(D177="Optional",D177="If Applicable",D177="To Verify")),"• "&amp;C177&amp;" ("&amp;D177&amp;")",""),IF(AND(E177&lt;&gt;"",OR(F177="Optional",F177="If Applicable",F177="To Verify")),"• "&amp;E177&amp;" ("&amp;F177&amp;")",""),IF(AND(G177&lt;&gt;"",OR(H177="Optional",H177="If Applicable",H177="To Verify")),"• "&amp;G177&amp;" ("&amp;H177&amp;")",""),IF(AND(I177&lt;&gt;"",OR(J177="Optional",J177="If Applicable",J177="To Verify")),"• "&amp;I177&amp;" ("&amp;J177&amp;")",""),IF(AND(K177&lt;&gt;"",OR(L177="Optional",L177="If Applicable",L177="To Verify")),"• "&amp;K177&amp;" ("&amp;L177&amp;")",""),IF(AND(M177&lt;&gt;"",OR(N177="Optional",N177="If Applicable",N177="To Verify")),"• "&amp;M177&amp;" ("&amp;N177&amp;")",""),IF(AND(O177&lt;&gt;"",OR(P177="Optional",P177="If Applicable",P177="To Verify")),"• "&amp;O177&amp;" ("&amp;P177&amp;")",""),IF(AND(Q177&lt;&gt;"",OR(R177="Optional",R177="If Applicable",R177="To Verify")),"• "&amp;Q177&amp;" ("&amp;R177&amp;")",""))</f>
        <v/>
      </c>
    </row>
    <row r="178" customFormat="false" ht="15" hidden="false" customHeight="false" outlineLevel="0" collapsed="false">
      <c r="A178" s="6" t="s">
        <v>2078</v>
      </c>
      <c r="B178" s="7" t="str">
        <f aca="false">IF($A178="","",IFERROR(INDEX(MASTER_DATABASE!$E$4:$E$1000,MATCH($A178,MASTER_DATABASE!$A$4:$A$1000,0)),""))</f>
        <v>Data Transfer Assistance</v>
      </c>
      <c r="C178" s="6" t="s">
        <v>3591</v>
      </c>
      <c r="D178" s="6" t="s">
        <v>3436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7" t="str">
        <f aca="false">_xlfn.TEXTJOIN(CHAR(10),TRUE(),IF(AND(C178&lt;&gt;"",D178="Mandatory"),"✓ "&amp;C178,""),IF(AND(E178&lt;&gt;"",F178="Mandatory"),"✓ "&amp;E178,""),IF(AND(G178&lt;&gt;"",H178="Mandatory"),"✓ "&amp;G178,""),IF(AND(I178&lt;&gt;"",J178="Mandatory"),"✓ "&amp;I178,""),IF(AND(K178&lt;&gt;"",L178="Mandatory"),"✓ "&amp;K178,""),IF(AND(M178&lt;&gt;"",N178="Mandatory"),"✓ "&amp;M178,""),IF(AND(O178&lt;&gt;"",P178="Mandatory"),"✓ "&amp;O178,""),IF(AND(Q178&lt;&gt;"",R178="Mandatory"),"✓ "&amp;Q178,""))</f>
        <v>✓ Mobile Phone</v>
      </c>
      <c r="T178" s="7" t="str">
        <f aca="false">_xlfn.TEXTJOIN(CHAR(10),TRUE(),IF(AND(C178&lt;&gt;"",OR(D178="Optional",D178="If Applicable",D178="To Verify")),"• "&amp;C178&amp;" ("&amp;D178&amp;")",""),IF(AND(E178&lt;&gt;"",OR(F178="Optional",F178="If Applicable",F178="To Verify")),"• "&amp;E178&amp;" ("&amp;F178&amp;")",""),IF(AND(G178&lt;&gt;"",OR(H178="Optional",H178="If Applicable",H178="To Verify")),"• "&amp;G178&amp;" ("&amp;H178&amp;")",""),IF(AND(I178&lt;&gt;"",OR(J178="Optional",J178="If Applicable",J178="To Verify")),"• "&amp;I178&amp;" ("&amp;J178&amp;")",""),IF(AND(K178&lt;&gt;"",OR(L178="Optional",L178="If Applicable",L178="To Verify")),"• "&amp;K178&amp;" ("&amp;L178&amp;")",""),IF(AND(M178&lt;&gt;"",OR(N178="Optional",N178="If Applicable",N178="To Verify")),"• "&amp;M178&amp;" ("&amp;N178&amp;")",""),IF(AND(O178&lt;&gt;"",OR(P178="Optional",P178="If Applicable",P178="To Verify")),"• "&amp;O178&amp;" ("&amp;P178&amp;")",""),IF(AND(Q178&lt;&gt;"",OR(R178="Optional",R178="If Applicable",R178="To Verify")),"• "&amp;Q178&amp;" ("&amp;R178&amp;")",""))</f>
        <v/>
      </c>
    </row>
    <row r="179" customFormat="false" ht="23.85" hidden="false" customHeight="false" outlineLevel="0" collapsed="false">
      <c r="A179" s="6" t="s">
        <v>2088</v>
      </c>
      <c r="B179" s="7" t="str">
        <f aca="false">IF($A179="","",IFERROR(INDEX(MASTER_DATABASE!$E$4:$E$1000,MATCH($A179,MASTER_DATABASE!$A$4:$A$1000,0)),""))</f>
        <v>Mobile Software Update / Reset Assistance</v>
      </c>
      <c r="C179" s="6" t="s">
        <v>3591</v>
      </c>
      <c r="D179" s="6" t="s">
        <v>3436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7" t="str">
        <f aca="false">_xlfn.TEXTJOIN(CHAR(10),TRUE(),IF(AND(C179&lt;&gt;"",D179="Mandatory"),"✓ "&amp;C179,""),IF(AND(E179&lt;&gt;"",F179="Mandatory"),"✓ "&amp;E179,""),IF(AND(G179&lt;&gt;"",H179="Mandatory"),"✓ "&amp;G179,""),IF(AND(I179&lt;&gt;"",J179="Mandatory"),"✓ "&amp;I179,""),IF(AND(K179&lt;&gt;"",L179="Mandatory"),"✓ "&amp;K179,""),IF(AND(M179&lt;&gt;"",N179="Mandatory"),"✓ "&amp;M179,""),IF(AND(O179&lt;&gt;"",P179="Mandatory"),"✓ "&amp;O179,""),IF(AND(Q179&lt;&gt;"",R179="Mandatory"),"✓ "&amp;Q179,""))</f>
        <v>✓ Mobile Phone</v>
      </c>
      <c r="T179" s="7" t="str">
        <f aca="false">_xlfn.TEXTJOIN(CHAR(10),TRUE(),IF(AND(C179&lt;&gt;"",OR(D179="Optional",D179="If Applicable",D179="To Verify")),"• "&amp;C179&amp;" ("&amp;D179&amp;")",""),IF(AND(E179&lt;&gt;"",OR(F179="Optional",F179="If Applicable",F179="To Verify")),"• "&amp;E179&amp;" ("&amp;F179&amp;")",""),IF(AND(G179&lt;&gt;"",OR(H179="Optional",H179="If Applicable",H179="To Verify")),"• "&amp;G179&amp;" ("&amp;H179&amp;")",""),IF(AND(I179&lt;&gt;"",OR(J179="Optional",J179="If Applicable",J179="To Verify")),"• "&amp;I179&amp;" ("&amp;J179&amp;")",""),IF(AND(K179&lt;&gt;"",OR(L179="Optional",L179="If Applicable",L179="To Verify")),"• "&amp;K179&amp;" ("&amp;L179&amp;")",""),IF(AND(M179&lt;&gt;"",OR(N179="Optional",N179="If Applicable",N179="To Verify")),"• "&amp;M179&amp;" ("&amp;N179&amp;")",""),IF(AND(O179&lt;&gt;"",OR(P179="Optional",P179="If Applicable",P179="To Verify")),"• "&amp;O179&amp;" ("&amp;P179&amp;")",""),IF(AND(Q179&lt;&gt;"",OR(R179="Optional",R179="If Applicable",R179="To Verify")),"• "&amp;Q179&amp;" ("&amp;R179&amp;")",""))</f>
        <v/>
      </c>
    </row>
    <row r="180" customFormat="false" ht="15" hidden="false" customHeight="false" outlineLevel="0" collapsed="false">
      <c r="A180" s="6" t="s">
        <v>2099</v>
      </c>
      <c r="B180" s="7" t="str">
        <f aca="false">IF($A180="","",IFERROR(INDEX(MASTER_DATABASE!$E$4:$E$1000,MATCH($A180,MASTER_DATABASE!$A$4:$A$1000,0)),""))</f>
        <v>Basic Mobile Repair (Screen / Battery)</v>
      </c>
      <c r="C180" s="6" t="s">
        <v>3591</v>
      </c>
      <c r="D180" s="6" t="s">
        <v>3436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7" t="str">
        <f aca="false">_xlfn.TEXTJOIN(CHAR(10),TRUE(),IF(AND(C180&lt;&gt;"",D180="Mandatory"),"✓ "&amp;C180,""),IF(AND(E180&lt;&gt;"",F180="Mandatory"),"✓ "&amp;E180,""),IF(AND(G180&lt;&gt;"",H180="Mandatory"),"✓ "&amp;G180,""),IF(AND(I180&lt;&gt;"",J180="Mandatory"),"✓ "&amp;I180,""),IF(AND(K180&lt;&gt;"",L180="Mandatory"),"✓ "&amp;K180,""),IF(AND(M180&lt;&gt;"",N180="Mandatory"),"✓ "&amp;M180,""),IF(AND(O180&lt;&gt;"",P180="Mandatory"),"✓ "&amp;O180,""),IF(AND(Q180&lt;&gt;"",R180="Mandatory"),"✓ "&amp;Q180,""))</f>
        <v>✓ Mobile Phone</v>
      </c>
      <c r="T180" s="7" t="str">
        <f aca="false">_xlfn.TEXTJOIN(CHAR(10),TRUE(),IF(AND(C180&lt;&gt;"",OR(D180="Optional",D180="If Applicable",D180="To Verify")),"• "&amp;C180&amp;" ("&amp;D180&amp;")",""),IF(AND(E180&lt;&gt;"",OR(F180="Optional",F180="If Applicable",F180="To Verify")),"• "&amp;E180&amp;" ("&amp;F180&amp;")",""),IF(AND(G180&lt;&gt;"",OR(H180="Optional",H180="If Applicable",H180="To Verify")),"• "&amp;G180&amp;" ("&amp;H180&amp;")",""),IF(AND(I180&lt;&gt;"",OR(J180="Optional",J180="If Applicable",J180="To Verify")),"• "&amp;I180&amp;" ("&amp;J180&amp;")",""),IF(AND(K180&lt;&gt;"",OR(L180="Optional",L180="If Applicable",L180="To Verify")),"• "&amp;K180&amp;" ("&amp;L180&amp;")",""),IF(AND(M180&lt;&gt;"",OR(N180="Optional",N180="If Applicable",N180="To Verify")),"• "&amp;M180&amp;" ("&amp;N180&amp;")",""),IF(AND(O180&lt;&gt;"",OR(P180="Optional",P180="If Applicable",P180="To Verify")),"• "&amp;O180&amp;" ("&amp;P180&amp;")",""),IF(AND(Q180&lt;&gt;"",OR(R180="Optional",R180="If Applicable",R180="To Verify")),"• "&amp;Q180&amp;" ("&amp;R180&amp;")",""))</f>
        <v/>
      </c>
    </row>
    <row r="181" customFormat="false" ht="15" hidden="false" customHeight="false" outlineLevel="0" collapsed="false">
      <c r="A181" s="6" t="s">
        <v>2109</v>
      </c>
      <c r="B181" s="7" t="str">
        <f aca="false">IF($A181="","",IFERROR(INDEX(MASTER_DATABASE!$E$4:$E$1000,MATCH($A181,MASTER_DATABASE!$A$4:$A$1000,0)),""))</f>
        <v>B/W Print</v>
      </c>
      <c r="C181" s="6" t="s">
        <v>3535</v>
      </c>
      <c r="D181" s="6" t="s">
        <v>3436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7" t="str">
        <f aca="false">_xlfn.TEXTJOIN(CHAR(10),TRUE(),IF(AND(C181&lt;&gt;"",D181="Mandatory"),"✓ "&amp;C181,""),IF(AND(E181&lt;&gt;"",F181="Mandatory"),"✓ "&amp;E181,""),IF(AND(G181&lt;&gt;"",H181="Mandatory"),"✓ "&amp;G181,""),IF(AND(I181&lt;&gt;"",J181="Mandatory"),"✓ "&amp;I181,""),IF(AND(K181&lt;&gt;"",L181="Mandatory"),"✓ "&amp;K181,""),IF(AND(M181&lt;&gt;"",N181="Mandatory"),"✓ "&amp;M181,""),IF(AND(O181&lt;&gt;"",P181="Mandatory"),"✓ "&amp;O181,""),IF(AND(Q181&lt;&gt;"",R181="Mandatory"),"✓ "&amp;Q181,""))</f>
        <v>✓ Files to Print / Scan</v>
      </c>
      <c r="T181" s="7" t="str">
        <f aca="false">_xlfn.TEXTJOIN(CHAR(10),TRUE(),IF(AND(C181&lt;&gt;"",OR(D181="Optional",D181="If Applicable",D181="To Verify")),"• "&amp;C181&amp;" ("&amp;D181&amp;")",""),IF(AND(E181&lt;&gt;"",OR(F181="Optional",F181="If Applicable",F181="To Verify")),"• "&amp;E181&amp;" ("&amp;F181&amp;")",""),IF(AND(G181&lt;&gt;"",OR(H181="Optional",H181="If Applicable",H181="To Verify")),"• "&amp;G181&amp;" ("&amp;H181&amp;")",""),IF(AND(I181&lt;&gt;"",OR(J181="Optional",J181="If Applicable",J181="To Verify")),"• "&amp;I181&amp;" ("&amp;J181&amp;")",""),IF(AND(K181&lt;&gt;"",OR(L181="Optional",L181="If Applicable",L181="To Verify")),"• "&amp;K181&amp;" ("&amp;L181&amp;")",""),IF(AND(M181&lt;&gt;"",OR(N181="Optional",N181="If Applicable",N181="To Verify")),"• "&amp;M181&amp;" ("&amp;N181&amp;")",""),IF(AND(O181&lt;&gt;"",OR(P181="Optional",P181="If Applicable",P181="To Verify")),"• "&amp;O181&amp;" ("&amp;P181&amp;")",""),IF(AND(Q181&lt;&gt;"",OR(R181="Optional",R181="If Applicable",R181="To Verify")),"• "&amp;Q181&amp;" ("&amp;R181&amp;")",""))</f>
        <v/>
      </c>
    </row>
    <row r="182" customFormat="false" ht="15" hidden="false" customHeight="false" outlineLevel="0" collapsed="false">
      <c r="A182" s="6" t="s">
        <v>2122</v>
      </c>
      <c r="B182" s="7" t="str">
        <f aca="false">IF($A182="","",IFERROR(INDEX(MASTER_DATABASE!$E$4:$E$1000,MATCH($A182,MASTER_DATABASE!$A$4:$A$1000,0)),""))</f>
        <v>Colour Print</v>
      </c>
      <c r="C182" s="6" t="s">
        <v>3535</v>
      </c>
      <c r="D182" s="6" t="s">
        <v>3436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7" t="str">
        <f aca="false">_xlfn.TEXTJOIN(CHAR(10),TRUE(),IF(AND(C182&lt;&gt;"",D182="Mandatory"),"✓ "&amp;C182,""),IF(AND(E182&lt;&gt;"",F182="Mandatory"),"✓ "&amp;E182,""),IF(AND(G182&lt;&gt;"",H182="Mandatory"),"✓ "&amp;G182,""),IF(AND(I182&lt;&gt;"",J182="Mandatory"),"✓ "&amp;I182,""),IF(AND(K182&lt;&gt;"",L182="Mandatory"),"✓ "&amp;K182,""),IF(AND(M182&lt;&gt;"",N182="Mandatory"),"✓ "&amp;M182,""),IF(AND(O182&lt;&gt;"",P182="Mandatory"),"✓ "&amp;O182,""),IF(AND(Q182&lt;&gt;"",R182="Mandatory"),"✓ "&amp;Q182,""))</f>
        <v>✓ Files to Print / Scan</v>
      </c>
      <c r="T182" s="7" t="str">
        <f aca="false">_xlfn.TEXTJOIN(CHAR(10),TRUE(),IF(AND(C182&lt;&gt;"",OR(D182="Optional",D182="If Applicable",D182="To Verify")),"• "&amp;C182&amp;" ("&amp;D182&amp;")",""),IF(AND(E182&lt;&gt;"",OR(F182="Optional",F182="If Applicable",F182="To Verify")),"• "&amp;E182&amp;" ("&amp;F182&amp;")",""),IF(AND(G182&lt;&gt;"",OR(H182="Optional",H182="If Applicable",H182="To Verify")),"• "&amp;G182&amp;" ("&amp;H182&amp;")",""),IF(AND(I182&lt;&gt;"",OR(J182="Optional",J182="If Applicable",J182="To Verify")),"• "&amp;I182&amp;" ("&amp;J182&amp;")",""),IF(AND(K182&lt;&gt;"",OR(L182="Optional",L182="If Applicable",L182="To Verify")),"• "&amp;K182&amp;" ("&amp;L182&amp;")",""),IF(AND(M182&lt;&gt;"",OR(N182="Optional",N182="If Applicable",N182="To Verify")),"• "&amp;M182&amp;" ("&amp;N182&amp;")",""),IF(AND(O182&lt;&gt;"",OR(P182="Optional",P182="If Applicable",P182="To Verify")),"• "&amp;O182&amp;" ("&amp;P182&amp;")",""),IF(AND(Q182&lt;&gt;"",OR(R182="Optional",R182="If Applicable",R182="To Verify")),"• "&amp;Q182&amp;" ("&amp;R182&amp;")",""))</f>
        <v/>
      </c>
    </row>
    <row r="183" customFormat="false" ht="15" hidden="false" customHeight="false" outlineLevel="0" collapsed="false">
      <c r="A183" s="6" t="s">
        <v>2133</v>
      </c>
      <c r="B183" s="7" t="str">
        <f aca="false">IF($A183="","",IFERROR(INDEX(MASTER_DATABASE!$E$4:$E$1000,MATCH($A183,MASTER_DATABASE!$A$4:$A$1000,0)),""))</f>
        <v>Xerox (Photocopy)</v>
      </c>
      <c r="C183" s="6" t="s">
        <v>3535</v>
      </c>
      <c r="D183" s="6" t="s">
        <v>3436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7" t="str">
        <f aca="false">_xlfn.TEXTJOIN(CHAR(10),TRUE(),IF(AND(C183&lt;&gt;"",D183="Mandatory"),"✓ "&amp;C183,""),IF(AND(E183&lt;&gt;"",F183="Mandatory"),"✓ "&amp;E183,""),IF(AND(G183&lt;&gt;"",H183="Mandatory"),"✓ "&amp;G183,""),IF(AND(I183&lt;&gt;"",J183="Mandatory"),"✓ "&amp;I183,""),IF(AND(K183&lt;&gt;"",L183="Mandatory"),"✓ "&amp;K183,""),IF(AND(M183&lt;&gt;"",N183="Mandatory"),"✓ "&amp;M183,""),IF(AND(O183&lt;&gt;"",P183="Mandatory"),"✓ "&amp;O183,""),IF(AND(Q183&lt;&gt;"",R183="Mandatory"),"✓ "&amp;Q183,""))</f>
        <v>✓ Files to Print / Scan</v>
      </c>
      <c r="T183" s="7" t="str">
        <f aca="false">_xlfn.TEXTJOIN(CHAR(10),TRUE(),IF(AND(C183&lt;&gt;"",OR(D183="Optional",D183="If Applicable",D183="To Verify")),"• "&amp;C183&amp;" ("&amp;D183&amp;")",""),IF(AND(E183&lt;&gt;"",OR(F183="Optional",F183="If Applicable",F183="To Verify")),"• "&amp;E183&amp;" ("&amp;F183&amp;")",""),IF(AND(G183&lt;&gt;"",OR(H183="Optional",H183="If Applicable",H183="To Verify")),"• "&amp;G183&amp;" ("&amp;H183&amp;")",""),IF(AND(I183&lt;&gt;"",OR(J183="Optional",J183="If Applicable",J183="To Verify")),"• "&amp;I183&amp;" ("&amp;J183&amp;")",""),IF(AND(K183&lt;&gt;"",OR(L183="Optional",L183="If Applicable",L183="To Verify")),"• "&amp;K183&amp;" ("&amp;L183&amp;")",""),IF(AND(M183&lt;&gt;"",OR(N183="Optional",N183="If Applicable",N183="To Verify")),"• "&amp;M183&amp;" ("&amp;N183&amp;")",""),IF(AND(O183&lt;&gt;"",OR(P183="Optional",P183="If Applicable",P183="To Verify")),"• "&amp;O183&amp;" ("&amp;P183&amp;")",""),IF(AND(Q183&lt;&gt;"",OR(R183="Optional",R183="If Applicable",R183="To Verify")),"• "&amp;Q183&amp;" ("&amp;R183&amp;")",""))</f>
        <v/>
      </c>
    </row>
    <row r="184" customFormat="false" ht="15" hidden="false" customHeight="false" outlineLevel="0" collapsed="false">
      <c r="A184" s="6" t="s">
        <v>2144</v>
      </c>
      <c r="B184" s="7" t="str">
        <f aca="false">IF($A184="","",IFERROR(INDEX(MASTER_DATABASE!$E$4:$E$1000,MATCH($A184,MASTER_DATABASE!$A$4:$A$1000,0)),""))</f>
        <v>PDF Print</v>
      </c>
      <c r="C184" s="6" t="s">
        <v>3535</v>
      </c>
      <c r="D184" s="6" t="s">
        <v>3436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7" t="str">
        <f aca="false">_xlfn.TEXTJOIN(CHAR(10),TRUE(),IF(AND(C184&lt;&gt;"",D184="Mandatory"),"✓ "&amp;C184,""),IF(AND(E184&lt;&gt;"",F184="Mandatory"),"✓ "&amp;E184,""),IF(AND(G184&lt;&gt;"",H184="Mandatory"),"✓ "&amp;G184,""),IF(AND(I184&lt;&gt;"",J184="Mandatory"),"✓ "&amp;I184,""),IF(AND(K184&lt;&gt;"",L184="Mandatory"),"✓ "&amp;K184,""),IF(AND(M184&lt;&gt;"",N184="Mandatory"),"✓ "&amp;M184,""),IF(AND(O184&lt;&gt;"",P184="Mandatory"),"✓ "&amp;O184,""),IF(AND(Q184&lt;&gt;"",R184="Mandatory"),"✓ "&amp;Q184,""))</f>
        <v>✓ Files to Print / Scan</v>
      </c>
      <c r="T184" s="7" t="str">
        <f aca="false">_xlfn.TEXTJOIN(CHAR(10),TRUE(),IF(AND(C184&lt;&gt;"",OR(D184="Optional",D184="If Applicable",D184="To Verify")),"• "&amp;C184&amp;" ("&amp;D184&amp;")",""),IF(AND(E184&lt;&gt;"",OR(F184="Optional",F184="If Applicable",F184="To Verify")),"• "&amp;E184&amp;" ("&amp;F184&amp;")",""),IF(AND(G184&lt;&gt;"",OR(H184="Optional",H184="If Applicable",H184="To Verify")),"• "&amp;G184&amp;" ("&amp;H184&amp;")",""),IF(AND(I184&lt;&gt;"",OR(J184="Optional",J184="If Applicable",J184="To Verify")),"• "&amp;I184&amp;" ("&amp;J184&amp;")",""),IF(AND(K184&lt;&gt;"",OR(L184="Optional",L184="If Applicable",L184="To Verify")),"• "&amp;K184&amp;" ("&amp;L184&amp;")",""),IF(AND(M184&lt;&gt;"",OR(N184="Optional",N184="If Applicable",N184="To Verify")),"• "&amp;M184&amp;" ("&amp;N184&amp;")",""),IF(AND(O184&lt;&gt;"",OR(P184="Optional",P184="If Applicable",P184="To Verify")),"• "&amp;O184&amp;" ("&amp;P184&amp;")",""),IF(AND(Q184&lt;&gt;"",OR(R184="Optional",R184="If Applicable",R184="To Verify")),"• "&amp;Q184&amp;" ("&amp;R184&amp;")",""))</f>
        <v/>
      </c>
    </row>
    <row r="185" customFormat="false" ht="15" hidden="false" customHeight="false" outlineLevel="0" collapsed="false">
      <c r="A185" s="6" t="s">
        <v>2155</v>
      </c>
      <c r="B185" s="7" t="str">
        <f aca="false">IF($A185="","",IFERROR(INDEX(MASTER_DATABASE!$E$4:$E$1000,MATCH($A185,MASTER_DATABASE!$A$4:$A$1000,0)),""))</f>
        <v>A3 / Large Size Print</v>
      </c>
      <c r="C185" s="6" t="s">
        <v>3535</v>
      </c>
      <c r="D185" s="6" t="s">
        <v>3436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7" t="str">
        <f aca="false">_xlfn.TEXTJOIN(CHAR(10),TRUE(),IF(AND(C185&lt;&gt;"",D185="Mandatory"),"✓ "&amp;C185,""),IF(AND(E185&lt;&gt;"",F185="Mandatory"),"✓ "&amp;E185,""),IF(AND(G185&lt;&gt;"",H185="Mandatory"),"✓ "&amp;G185,""),IF(AND(I185&lt;&gt;"",J185="Mandatory"),"✓ "&amp;I185,""),IF(AND(K185&lt;&gt;"",L185="Mandatory"),"✓ "&amp;K185,""),IF(AND(M185&lt;&gt;"",N185="Mandatory"),"✓ "&amp;M185,""),IF(AND(O185&lt;&gt;"",P185="Mandatory"),"✓ "&amp;O185,""),IF(AND(Q185&lt;&gt;"",R185="Mandatory"),"✓ "&amp;Q185,""))</f>
        <v>✓ Files to Print / Scan</v>
      </c>
      <c r="T185" s="7" t="str">
        <f aca="false">_xlfn.TEXTJOIN(CHAR(10),TRUE(),IF(AND(C185&lt;&gt;"",OR(D185="Optional",D185="If Applicable",D185="To Verify")),"• "&amp;C185&amp;" ("&amp;D185&amp;")",""),IF(AND(E185&lt;&gt;"",OR(F185="Optional",F185="If Applicable",F185="To Verify")),"• "&amp;E185&amp;" ("&amp;F185&amp;")",""),IF(AND(G185&lt;&gt;"",OR(H185="Optional",H185="If Applicable",H185="To Verify")),"• "&amp;G185&amp;" ("&amp;H185&amp;")",""),IF(AND(I185&lt;&gt;"",OR(J185="Optional",J185="If Applicable",J185="To Verify")),"• "&amp;I185&amp;" ("&amp;J185&amp;")",""),IF(AND(K185&lt;&gt;"",OR(L185="Optional",L185="If Applicable",L185="To Verify")),"• "&amp;K185&amp;" ("&amp;L185&amp;")",""),IF(AND(M185&lt;&gt;"",OR(N185="Optional",N185="If Applicable",N185="To Verify")),"• "&amp;M185&amp;" ("&amp;N185&amp;")",""),IF(AND(O185&lt;&gt;"",OR(P185="Optional",P185="If Applicable",P185="To Verify")),"• "&amp;O185&amp;" ("&amp;P185&amp;")",""),IF(AND(Q185&lt;&gt;"",OR(R185="Optional",R185="If Applicable",R185="To Verify")),"• "&amp;Q185&amp;" ("&amp;R185&amp;")",""))</f>
        <v/>
      </c>
    </row>
    <row r="186" customFormat="false" ht="23.85" hidden="false" customHeight="false" outlineLevel="0" collapsed="false">
      <c r="A186" s="6" t="s">
        <v>2167</v>
      </c>
      <c r="B186" s="7" t="str">
        <f aca="false">IF($A186="","",IFERROR(INDEX(MASTER_DATABASE!$E$4:$E$1000,MATCH($A186,MASTER_DATABASE!$A$4:$A$1000,0)),""))</f>
        <v>Print from Mobile (WhatsApp / Email / Drive)</v>
      </c>
      <c r="C186" s="6" t="s">
        <v>3535</v>
      </c>
      <c r="D186" s="6" t="s">
        <v>3436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7" t="str">
        <f aca="false">_xlfn.TEXTJOIN(CHAR(10),TRUE(),IF(AND(C186&lt;&gt;"",D186="Mandatory"),"✓ "&amp;C186,""),IF(AND(E186&lt;&gt;"",F186="Mandatory"),"✓ "&amp;E186,""),IF(AND(G186&lt;&gt;"",H186="Mandatory"),"✓ "&amp;G186,""),IF(AND(I186&lt;&gt;"",J186="Mandatory"),"✓ "&amp;I186,""),IF(AND(K186&lt;&gt;"",L186="Mandatory"),"✓ "&amp;K186,""),IF(AND(M186&lt;&gt;"",N186="Mandatory"),"✓ "&amp;M186,""),IF(AND(O186&lt;&gt;"",P186="Mandatory"),"✓ "&amp;O186,""),IF(AND(Q186&lt;&gt;"",R186="Mandatory"),"✓ "&amp;Q186,""))</f>
        <v>✓ Files to Print / Scan</v>
      </c>
      <c r="T186" s="7" t="str">
        <f aca="false">_xlfn.TEXTJOIN(CHAR(10),TRUE(),IF(AND(C186&lt;&gt;"",OR(D186="Optional",D186="If Applicable",D186="To Verify")),"• "&amp;C186&amp;" ("&amp;D186&amp;")",""),IF(AND(E186&lt;&gt;"",OR(F186="Optional",F186="If Applicable",F186="To Verify")),"• "&amp;E186&amp;" ("&amp;F186&amp;")",""),IF(AND(G186&lt;&gt;"",OR(H186="Optional",H186="If Applicable",H186="To Verify")),"• "&amp;G186&amp;" ("&amp;H186&amp;")",""),IF(AND(I186&lt;&gt;"",OR(J186="Optional",J186="If Applicable",J186="To Verify")),"• "&amp;I186&amp;" ("&amp;J186&amp;")",""),IF(AND(K186&lt;&gt;"",OR(L186="Optional",L186="If Applicable",L186="To Verify")),"• "&amp;K186&amp;" ("&amp;L186&amp;")",""),IF(AND(M186&lt;&gt;"",OR(N186="Optional",N186="If Applicable",N186="To Verify")),"• "&amp;M186&amp;" ("&amp;N186&amp;")",""),IF(AND(O186&lt;&gt;"",OR(P186="Optional",P186="If Applicable",P186="To Verify")),"• "&amp;O186&amp;" ("&amp;P186&amp;")",""),IF(AND(Q186&lt;&gt;"",OR(R186="Optional",R186="If Applicable",R186="To Verify")),"• "&amp;Q186&amp;" ("&amp;R186&amp;")",""))</f>
        <v/>
      </c>
    </row>
    <row r="187" customFormat="false" ht="15" hidden="false" customHeight="false" outlineLevel="0" collapsed="false">
      <c r="A187" s="6" t="s">
        <v>2178</v>
      </c>
      <c r="B187" s="7" t="str">
        <f aca="false">IF($A187="","",IFERROR(INDEX(MASTER_DATABASE!$E$4:$E$1000,MATCH($A187,MASTER_DATABASE!$A$4:$A$1000,0)),""))</f>
        <v>Scanning</v>
      </c>
      <c r="C187" s="6" t="s">
        <v>3535</v>
      </c>
      <c r="D187" s="6" t="s">
        <v>3436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7" t="str">
        <f aca="false">_xlfn.TEXTJOIN(CHAR(10),TRUE(),IF(AND(C187&lt;&gt;"",D187="Mandatory"),"✓ "&amp;C187,""),IF(AND(E187&lt;&gt;"",F187="Mandatory"),"✓ "&amp;E187,""),IF(AND(G187&lt;&gt;"",H187="Mandatory"),"✓ "&amp;G187,""),IF(AND(I187&lt;&gt;"",J187="Mandatory"),"✓ "&amp;I187,""),IF(AND(K187&lt;&gt;"",L187="Mandatory"),"✓ "&amp;K187,""),IF(AND(M187&lt;&gt;"",N187="Mandatory"),"✓ "&amp;M187,""),IF(AND(O187&lt;&gt;"",P187="Mandatory"),"✓ "&amp;O187,""),IF(AND(Q187&lt;&gt;"",R187="Mandatory"),"✓ "&amp;Q187,""))</f>
        <v>✓ Files to Print / Scan</v>
      </c>
      <c r="T187" s="7" t="str">
        <f aca="false">_xlfn.TEXTJOIN(CHAR(10),TRUE(),IF(AND(C187&lt;&gt;"",OR(D187="Optional",D187="If Applicable",D187="To Verify")),"• "&amp;C187&amp;" ("&amp;D187&amp;")",""),IF(AND(E187&lt;&gt;"",OR(F187="Optional",F187="If Applicable",F187="To Verify")),"• "&amp;E187&amp;" ("&amp;F187&amp;")",""),IF(AND(G187&lt;&gt;"",OR(H187="Optional",H187="If Applicable",H187="To Verify")),"• "&amp;G187&amp;" ("&amp;H187&amp;")",""),IF(AND(I187&lt;&gt;"",OR(J187="Optional",J187="If Applicable",J187="To Verify")),"• "&amp;I187&amp;" ("&amp;J187&amp;")",""),IF(AND(K187&lt;&gt;"",OR(L187="Optional",L187="If Applicable",L187="To Verify")),"• "&amp;K187&amp;" ("&amp;L187&amp;")",""),IF(AND(M187&lt;&gt;"",OR(N187="Optional",N187="If Applicable",N187="To Verify")),"• "&amp;M187&amp;" ("&amp;N187&amp;")",""),IF(AND(O187&lt;&gt;"",OR(P187="Optional",P187="If Applicable",P187="To Verify")),"• "&amp;O187&amp;" ("&amp;P187&amp;")",""),IF(AND(Q187&lt;&gt;"",OR(R187="Optional",R187="If Applicable",R187="To Verify")),"• "&amp;Q187&amp;" ("&amp;R187&amp;")",""))</f>
        <v/>
      </c>
    </row>
    <row r="188" customFormat="false" ht="15" hidden="false" customHeight="false" outlineLevel="0" collapsed="false">
      <c r="A188" s="6" t="s">
        <v>2190</v>
      </c>
      <c r="B188" s="7" t="str">
        <f aca="false">IF($A188="","",IFERROR(INDEX(MASTER_DATABASE!$E$4:$E$1000,MATCH($A188,MASTER_DATABASE!$A$4:$A$1000,0)),""))</f>
        <v>Lamination</v>
      </c>
      <c r="C188" s="6" t="s">
        <v>3535</v>
      </c>
      <c r="D188" s="6" t="s">
        <v>3436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7" t="str">
        <f aca="false">_xlfn.TEXTJOIN(CHAR(10),TRUE(),IF(AND(C188&lt;&gt;"",D188="Mandatory"),"✓ "&amp;C188,""),IF(AND(E188&lt;&gt;"",F188="Mandatory"),"✓ "&amp;E188,""),IF(AND(G188&lt;&gt;"",H188="Mandatory"),"✓ "&amp;G188,""),IF(AND(I188&lt;&gt;"",J188="Mandatory"),"✓ "&amp;I188,""),IF(AND(K188&lt;&gt;"",L188="Mandatory"),"✓ "&amp;K188,""),IF(AND(M188&lt;&gt;"",N188="Mandatory"),"✓ "&amp;M188,""),IF(AND(O188&lt;&gt;"",P188="Mandatory"),"✓ "&amp;O188,""),IF(AND(Q188&lt;&gt;"",R188="Mandatory"),"✓ "&amp;Q188,""))</f>
        <v>✓ Files to Print / Scan</v>
      </c>
      <c r="T188" s="7" t="str">
        <f aca="false">_xlfn.TEXTJOIN(CHAR(10),TRUE(),IF(AND(C188&lt;&gt;"",OR(D188="Optional",D188="If Applicable",D188="To Verify")),"• "&amp;C188&amp;" ("&amp;D188&amp;")",""),IF(AND(E188&lt;&gt;"",OR(F188="Optional",F188="If Applicable",F188="To Verify")),"• "&amp;E188&amp;" ("&amp;F188&amp;")",""),IF(AND(G188&lt;&gt;"",OR(H188="Optional",H188="If Applicable",H188="To Verify")),"• "&amp;G188&amp;" ("&amp;H188&amp;")",""),IF(AND(I188&lt;&gt;"",OR(J188="Optional",J188="If Applicable",J188="To Verify")),"• "&amp;I188&amp;" ("&amp;J188&amp;")",""),IF(AND(K188&lt;&gt;"",OR(L188="Optional",L188="If Applicable",L188="To Verify")),"• "&amp;K188&amp;" ("&amp;L188&amp;")",""),IF(AND(M188&lt;&gt;"",OR(N188="Optional",N188="If Applicable",N188="To Verify")),"• "&amp;M188&amp;" ("&amp;N188&amp;")",""),IF(AND(O188&lt;&gt;"",OR(P188="Optional",P188="If Applicable",P188="To Verify")),"• "&amp;O188&amp;" ("&amp;P188&amp;")",""),IF(AND(Q188&lt;&gt;"",OR(R188="Optional",R188="If Applicable",R188="To Verify")),"• "&amp;Q188&amp;" ("&amp;R188&amp;")",""))</f>
        <v/>
      </c>
    </row>
    <row r="189" customFormat="false" ht="15" hidden="false" customHeight="false" outlineLevel="0" collapsed="false">
      <c r="A189" s="6" t="s">
        <v>2201</v>
      </c>
      <c r="B189" s="7" t="str">
        <f aca="false">IF($A189="","",IFERROR(INDEX(MASTER_DATABASE!$E$4:$E$1000,MATCH($A189,MASTER_DATABASE!$A$4:$A$1000,0)),""))</f>
        <v>Spiral Binding</v>
      </c>
      <c r="C189" s="6" t="s">
        <v>3535</v>
      </c>
      <c r="D189" s="6" t="s">
        <v>3436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7" t="str">
        <f aca="false">_xlfn.TEXTJOIN(CHAR(10),TRUE(),IF(AND(C189&lt;&gt;"",D189="Mandatory"),"✓ "&amp;C189,""),IF(AND(E189&lt;&gt;"",F189="Mandatory"),"✓ "&amp;E189,""),IF(AND(G189&lt;&gt;"",H189="Mandatory"),"✓ "&amp;G189,""),IF(AND(I189&lt;&gt;"",J189="Mandatory"),"✓ "&amp;I189,""),IF(AND(K189&lt;&gt;"",L189="Mandatory"),"✓ "&amp;K189,""),IF(AND(M189&lt;&gt;"",N189="Mandatory"),"✓ "&amp;M189,""),IF(AND(O189&lt;&gt;"",P189="Mandatory"),"✓ "&amp;O189,""),IF(AND(Q189&lt;&gt;"",R189="Mandatory"),"✓ "&amp;Q189,""))</f>
        <v>✓ Files to Print / Scan</v>
      </c>
      <c r="T189" s="7" t="str">
        <f aca="false">_xlfn.TEXTJOIN(CHAR(10),TRUE(),IF(AND(C189&lt;&gt;"",OR(D189="Optional",D189="If Applicable",D189="To Verify")),"• "&amp;C189&amp;" ("&amp;D189&amp;")",""),IF(AND(E189&lt;&gt;"",OR(F189="Optional",F189="If Applicable",F189="To Verify")),"• "&amp;E189&amp;" ("&amp;F189&amp;")",""),IF(AND(G189&lt;&gt;"",OR(H189="Optional",H189="If Applicable",H189="To Verify")),"• "&amp;G189&amp;" ("&amp;H189&amp;")",""),IF(AND(I189&lt;&gt;"",OR(J189="Optional",J189="If Applicable",J189="To Verify")),"• "&amp;I189&amp;" ("&amp;J189&amp;")",""),IF(AND(K189&lt;&gt;"",OR(L189="Optional",L189="If Applicable",L189="To Verify")),"• "&amp;K189&amp;" ("&amp;L189&amp;")",""),IF(AND(M189&lt;&gt;"",OR(N189="Optional",N189="If Applicable",N189="To Verify")),"• "&amp;M189&amp;" ("&amp;N189&amp;")",""),IF(AND(O189&lt;&gt;"",OR(P189="Optional",P189="If Applicable",P189="To Verify")),"• "&amp;O189&amp;" ("&amp;P189&amp;")",""),IF(AND(Q189&lt;&gt;"",OR(R189="Optional",R189="If Applicable",R189="To Verify")),"• "&amp;Q189&amp;" ("&amp;R189&amp;")",""))</f>
        <v/>
      </c>
    </row>
    <row r="190" customFormat="false" ht="15" hidden="false" customHeight="false" outlineLevel="0" collapsed="false">
      <c r="A190" s="6" t="s">
        <v>2213</v>
      </c>
      <c r="B190" s="7" t="str">
        <f aca="false">IF($A190="","",IFERROR(INDEX(MASTER_DATABASE!$E$4:$E$1000,MATCH($A190,MASTER_DATABASE!$A$4:$A$1000,0)),""))</f>
        <v>PDF Creation</v>
      </c>
      <c r="C190" s="6" t="s">
        <v>3535</v>
      </c>
      <c r="D190" s="6" t="s">
        <v>3436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7" t="str">
        <f aca="false">_xlfn.TEXTJOIN(CHAR(10),TRUE(),IF(AND(C190&lt;&gt;"",D190="Mandatory"),"✓ "&amp;C190,""),IF(AND(E190&lt;&gt;"",F190="Mandatory"),"✓ "&amp;E190,""),IF(AND(G190&lt;&gt;"",H190="Mandatory"),"✓ "&amp;G190,""),IF(AND(I190&lt;&gt;"",J190="Mandatory"),"✓ "&amp;I190,""),IF(AND(K190&lt;&gt;"",L190="Mandatory"),"✓ "&amp;K190,""),IF(AND(M190&lt;&gt;"",N190="Mandatory"),"✓ "&amp;M190,""),IF(AND(O190&lt;&gt;"",P190="Mandatory"),"✓ "&amp;O190,""),IF(AND(Q190&lt;&gt;"",R190="Mandatory"),"✓ "&amp;Q190,""))</f>
        <v>✓ Files to Print / Scan</v>
      </c>
      <c r="T190" s="7" t="str">
        <f aca="false">_xlfn.TEXTJOIN(CHAR(10),TRUE(),IF(AND(C190&lt;&gt;"",OR(D190="Optional",D190="If Applicable",D190="To Verify")),"• "&amp;C190&amp;" ("&amp;D190&amp;")",""),IF(AND(E190&lt;&gt;"",OR(F190="Optional",F190="If Applicable",F190="To Verify")),"• "&amp;E190&amp;" ("&amp;F190&amp;")",""),IF(AND(G190&lt;&gt;"",OR(H190="Optional",H190="If Applicable",H190="To Verify")),"• "&amp;G190&amp;" ("&amp;H190&amp;")",""),IF(AND(I190&lt;&gt;"",OR(J190="Optional",J190="If Applicable",J190="To Verify")),"• "&amp;I190&amp;" ("&amp;J190&amp;")",""),IF(AND(K190&lt;&gt;"",OR(L190="Optional",L190="If Applicable",L190="To Verify")),"• "&amp;K190&amp;" ("&amp;L190&amp;")",""),IF(AND(M190&lt;&gt;"",OR(N190="Optional",N190="If Applicable",N190="To Verify")),"• "&amp;M190&amp;" ("&amp;N190&amp;")",""),IF(AND(O190&lt;&gt;"",OR(P190="Optional",P190="If Applicable",P190="To Verify")),"• "&amp;O190&amp;" ("&amp;P190&amp;")",""),IF(AND(Q190&lt;&gt;"",OR(R190="Optional",R190="If Applicable",R190="To Verify")),"• "&amp;Q190&amp;" ("&amp;R190&amp;")",""))</f>
        <v/>
      </c>
    </row>
    <row r="191" customFormat="false" ht="15" hidden="false" customHeight="false" outlineLevel="0" collapsed="false">
      <c r="A191" s="6" t="s">
        <v>2226</v>
      </c>
      <c r="B191" s="7" t="str">
        <f aca="false">IF($A191="","",IFERROR(INDEX(MASTER_DATABASE!$E$4:$E$1000,MATCH($A191,MASTER_DATABASE!$A$4:$A$1000,0)),""))</f>
        <v>PDF Merge</v>
      </c>
      <c r="C191" s="6" t="s">
        <v>3535</v>
      </c>
      <c r="D191" s="6" t="s">
        <v>3436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7" t="str">
        <f aca="false">_xlfn.TEXTJOIN(CHAR(10),TRUE(),IF(AND(C191&lt;&gt;"",D191="Mandatory"),"✓ "&amp;C191,""),IF(AND(E191&lt;&gt;"",F191="Mandatory"),"✓ "&amp;E191,""),IF(AND(G191&lt;&gt;"",H191="Mandatory"),"✓ "&amp;G191,""),IF(AND(I191&lt;&gt;"",J191="Mandatory"),"✓ "&amp;I191,""),IF(AND(K191&lt;&gt;"",L191="Mandatory"),"✓ "&amp;K191,""),IF(AND(M191&lt;&gt;"",N191="Mandatory"),"✓ "&amp;M191,""),IF(AND(O191&lt;&gt;"",P191="Mandatory"),"✓ "&amp;O191,""),IF(AND(Q191&lt;&gt;"",R191="Mandatory"),"✓ "&amp;Q191,""))</f>
        <v>✓ Files to Print / Scan</v>
      </c>
      <c r="T191" s="7" t="str">
        <f aca="false">_xlfn.TEXTJOIN(CHAR(10),TRUE(),IF(AND(C191&lt;&gt;"",OR(D191="Optional",D191="If Applicable",D191="To Verify")),"• "&amp;C191&amp;" ("&amp;D191&amp;")",""),IF(AND(E191&lt;&gt;"",OR(F191="Optional",F191="If Applicable",F191="To Verify")),"• "&amp;E191&amp;" ("&amp;F191&amp;")",""),IF(AND(G191&lt;&gt;"",OR(H191="Optional",H191="If Applicable",H191="To Verify")),"• "&amp;G191&amp;" ("&amp;H191&amp;")",""),IF(AND(I191&lt;&gt;"",OR(J191="Optional",J191="If Applicable",J191="To Verify")),"• "&amp;I191&amp;" ("&amp;J191&amp;")",""),IF(AND(K191&lt;&gt;"",OR(L191="Optional",L191="If Applicable",L191="To Verify")),"• "&amp;K191&amp;" ("&amp;L191&amp;")",""),IF(AND(M191&lt;&gt;"",OR(N191="Optional",N191="If Applicable",N191="To Verify")),"• "&amp;M191&amp;" ("&amp;N191&amp;")",""),IF(AND(O191&lt;&gt;"",OR(P191="Optional",P191="If Applicable",P191="To Verify")),"• "&amp;O191&amp;" ("&amp;P191&amp;")",""),IF(AND(Q191&lt;&gt;"",OR(R191="Optional",R191="If Applicable",R191="To Verify")),"• "&amp;Q191&amp;" ("&amp;R191&amp;")",""))</f>
        <v/>
      </c>
    </row>
    <row r="192" customFormat="false" ht="15" hidden="false" customHeight="false" outlineLevel="0" collapsed="false">
      <c r="A192" s="6" t="s">
        <v>2237</v>
      </c>
      <c r="B192" s="7" t="str">
        <f aca="false">IF($A192="","",IFERROR(INDEX(MASTER_DATABASE!$E$4:$E$1000,MATCH($A192,MASTER_DATABASE!$A$4:$A$1000,0)),""))</f>
        <v>PDF Split</v>
      </c>
      <c r="C192" s="6" t="s">
        <v>3535</v>
      </c>
      <c r="D192" s="6" t="s">
        <v>3436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7" t="str">
        <f aca="false">_xlfn.TEXTJOIN(CHAR(10),TRUE(),IF(AND(C192&lt;&gt;"",D192="Mandatory"),"✓ "&amp;C192,""),IF(AND(E192&lt;&gt;"",F192="Mandatory"),"✓ "&amp;E192,""),IF(AND(G192&lt;&gt;"",H192="Mandatory"),"✓ "&amp;G192,""),IF(AND(I192&lt;&gt;"",J192="Mandatory"),"✓ "&amp;I192,""),IF(AND(K192&lt;&gt;"",L192="Mandatory"),"✓ "&amp;K192,""),IF(AND(M192&lt;&gt;"",N192="Mandatory"),"✓ "&amp;M192,""),IF(AND(O192&lt;&gt;"",P192="Mandatory"),"✓ "&amp;O192,""),IF(AND(Q192&lt;&gt;"",R192="Mandatory"),"✓ "&amp;Q192,""))</f>
        <v>✓ Files to Print / Scan</v>
      </c>
      <c r="T192" s="7" t="str">
        <f aca="false">_xlfn.TEXTJOIN(CHAR(10),TRUE(),IF(AND(C192&lt;&gt;"",OR(D192="Optional",D192="If Applicable",D192="To Verify")),"• "&amp;C192&amp;" ("&amp;D192&amp;")",""),IF(AND(E192&lt;&gt;"",OR(F192="Optional",F192="If Applicable",F192="To Verify")),"• "&amp;E192&amp;" ("&amp;F192&amp;")",""),IF(AND(G192&lt;&gt;"",OR(H192="Optional",H192="If Applicable",H192="To Verify")),"• "&amp;G192&amp;" ("&amp;H192&amp;")",""),IF(AND(I192&lt;&gt;"",OR(J192="Optional",J192="If Applicable",J192="To Verify")),"• "&amp;I192&amp;" ("&amp;J192&amp;")",""),IF(AND(K192&lt;&gt;"",OR(L192="Optional",L192="If Applicable",L192="To Verify")),"• "&amp;K192&amp;" ("&amp;L192&amp;")",""),IF(AND(M192&lt;&gt;"",OR(N192="Optional",N192="If Applicable",N192="To Verify")),"• "&amp;M192&amp;" ("&amp;N192&amp;")",""),IF(AND(O192&lt;&gt;"",OR(P192="Optional",P192="If Applicable",P192="To Verify")),"• "&amp;O192&amp;" ("&amp;P192&amp;")",""),IF(AND(Q192&lt;&gt;"",OR(R192="Optional",R192="If Applicable",R192="To Verify")),"• "&amp;Q192&amp;" ("&amp;R192&amp;")",""))</f>
        <v/>
      </c>
    </row>
    <row r="193" customFormat="false" ht="15" hidden="false" customHeight="false" outlineLevel="0" collapsed="false">
      <c r="A193" s="6" t="s">
        <v>2248</v>
      </c>
      <c r="B193" s="7" t="str">
        <f aca="false">IF($A193="","",IFERROR(INDEX(MASTER_DATABASE!$E$4:$E$1000,MATCH($A193,MASTER_DATABASE!$A$4:$A$1000,0)),""))</f>
        <v>PDF Compression</v>
      </c>
      <c r="C193" s="6" t="s">
        <v>3535</v>
      </c>
      <c r="D193" s="6" t="s">
        <v>3436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7" t="str">
        <f aca="false">_xlfn.TEXTJOIN(CHAR(10),TRUE(),IF(AND(C193&lt;&gt;"",D193="Mandatory"),"✓ "&amp;C193,""),IF(AND(E193&lt;&gt;"",F193="Mandatory"),"✓ "&amp;E193,""),IF(AND(G193&lt;&gt;"",H193="Mandatory"),"✓ "&amp;G193,""),IF(AND(I193&lt;&gt;"",J193="Mandatory"),"✓ "&amp;I193,""),IF(AND(K193&lt;&gt;"",L193="Mandatory"),"✓ "&amp;K193,""),IF(AND(M193&lt;&gt;"",N193="Mandatory"),"✓ "&amp;M193,""),IF(AND(O193&lt;&gt;"",P193="Mandatory"),"✓ "&amp;O193,""),IF(AND(Q193&lt;&gt;"",R193="Mandatory"),"✓ "&amp;Q193,""))</f>
        <v>✓ Files to Print / Scan</v>
      </c>
      <c r="T193" s="7" t="str">
        <f aca="false">_xlfn.TEXTJOIN(CHAR(10),TRUE(),IF(AND(C193&lt;&gt;"",OR(D193="Optional",D193="If Applicable",D193="To Verify")),"• "&amp;C193&amp;" ("&amp;D193&amp;")",""),IF(AND(E193&lt;&gt;"",OR(F193="Optional",F193="If Applicable",F193="To Verify")),"• "&amp;E193&amp;" ("&amp;F193&amp;")",""),IF(AND(G193&lt;&gt;"",OR(H193="Optional",H193="If Applicable",H193="To Verify")),"• "&amp;G193&amp;" ("&amp;H193&amp;")",""),IF(AND(I193&lt;&gt;"",OR(J193="Optional",J193="If Applicable",J193="To Verify")),"• "&amp;I193&amp;" ("&amp;J193&amp;")",""),IF(AND(K193&lt;&gt;"",OR(L193="Optional",L193="If Applicable",L193="To Verify")),"• "&amp;K193&amp;" ("&amp;L193&amp;")",""),IF(AND(M193&lt;&gt;"",OR(N193="Optional",N193="If Applicable",N193="To Verify")),"• "&amp;M193&amp;" ("&amp;N193&amp;")",""),IF(AND(O193&lt;&gt;"",OR(P193="Optional",P193="If Applicable",P193="To Verify")),"• "&amp;O193&amp;" ("&amp;P193&amp;")",""),IF(AND(Q193&lt;&gt;"",OR(R193="Optional",R193="If Applicable",R193="To Verify")),"• "&amp;Q193&amp;" ("&amp;R193&amp;")",""))</f>
        <v/>
      </c>
    </row>
    <row r="194" customFormat="false" ht="15" hidden="false" customHeight="false" outlineLevel="0" collapsed="false">
      <c r="A194" s="6" t="s">
        <v>2259</v>
      </c>
      <c r="B194" s="7" t="str">
        <f aca="false">IF($A194="","",IFERROR(INDEX(MASTER_DATABASE!$E$4:$E$1000,MATCH($A194,MASTER_DATABASE!$A$4:$A$1000,0)),""))</f>
        <v>PDF Conversion (PDF to Image / Other)</v>
      </c>
      <c r="C194" s="6" t="s">
        <v>3535</v>
      </c>
      <c r="D194" s="6" t="s">
        <v>3436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7" t="str">
        <f aca="false">_xlfn.TEXTJOIN(CHAR(10),TRUE(),IF(AND(C194&lt;&gt;"",D194="Mandatory"),"✓ "&amp;C194,""),IF(AND(E194&lt;&gt;"",F194="Mandatory"),"✓ "&amp;E194,""),IF(AND(G194&lt;&gt;"",H194="Mandatory"),"✓ "&amp;G194,""),IF(AND(I194&lt;&gt;"",J194="Mandatory"),"✓ "&amp;I194,""),IF(AND(K194&lt;&gt;"",L194="Mandatory"),"✓ "&amp;K194,""),IF(AND(M194&lt;&gt;"",N194="Mandatory"),"✓ "&amp;M194,""),IF(AND(O194&lt;&gt;"",P194="Mandatory"),"✓ "&amp;O194,""),IF(AND(Q194&lt;&gt;"",R194="Mandatory"),"✓ "&amp;Q194,""))</f>
        <v>✓ Files to Print / Scan</v>
      </c>
      <c r="T194" s="7" t="str">
        <f aca="false">_xlfn.TEXTJOIN(CHAR(10),TRUE(),IF(AND(C194&lt;&gt;"",OR(D194="Optional",D194="If Applicable",D194="To Verify")),"• "&amp;C194&amp;" ("&amp;D194&amp;")",""),IF(AND(E194&lt;&gt;"",OR(F194="Optional",F194="If Applicable",F194="To Verify")),"• "&amp;E194&amp;" ("&amp;F194&amp;")",""),IF(AND(G194&lt;&gt;"",OR(H194="Optional",H194="If Applicable",H194="To Verify")),"• "&amp;G194&amp;" ("&amp;H194&amp;")",""),IF(AND(I194&lt;&gt;"",OR(J194="Optional",J194="If Applicable",J194="To Verify")),"• "&amp;I194&amp;" ("&amp;J194&amp;")",""),IF(AND(K194&lt;&gt;"",OR(L194="Optional",L194="If Applicable",L194="To Verify")),"• "&amp;K194&amp;" ("&amp;L194&amp;")",""),IF(AND(M194&lt;&gt;"",OR(N194="Optional",N194="If Applicable",N194="To Verify")),"• "&amp;M194&amp;" ("&amp;N194&amp;")",""),IF(AND(O194&lt;&gt;"",OR(P194="Optional",P194="If Applicable",P194="To Verify")),"• "&amp;O194&amp;" ("&amp;P194&amp;")",""),IF(AND(Q194&lt;&gt;"",OR(R194="Optional",R194="If Applicable",R194="To Verify")),"• "&amp;Q194&amp;" ("&amp;R194&amp;")",""))</f>
        <v/>
      </c>
    </row>
    <row r="195" customFormat="false" ht="15" hidden="false" customHeight="false" outlineLevel="0" collapsed="false">
      <c r="A195" s="6" t="s">
        <v>2270</v>
      </c>
      <c r="B195" s="7" t="str">
        <f aca="false">IF($A195="","",IFERROR(INDEX(MASTER_DATABASE!$E$4:$E$1000,MATCH($A195,MASTER_DATABASE!$A$4:$A$1000,0)),""))</f>
        <v>Word to PDF</v>
      </c>
      <c r="C195" s="6" t="s">
        <v>3535</v>
      </c>
      <c r="D195" s="6" t="s">
        <v>3436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7" t="str">
        <f aca="false">_xlfn.TEXTJOIN(CHAR(10),TRUE(),IF(AND(C195&lt;&gt;"",D195="Mandatory"),"✓ "&amp;C195,""),IF(AND(E195&lt;&gt;"",F195="Mandatory"),"✓ "&amp;E195,""),IF(AND(G195&lt;&gt;"",H195="Mandatory"),"✓ "&amp;G195,""),IF(AND(I195&lt;&gt;"",J195="Mandatory"),"✓ "&amp;I195,""),IF(AND(K195&lt;&gt;"",L195="Mandatory"),"✓ "&amp;K195,""),IF(AND(M195&lt;&gt;"",N195="Mandatory"),"✓ "&amp;M195,""),IF(AND(O195&lt;&gt;"",P195="Mandatory"),"✓ "&amp;O195,""),IF(AND(Q195&lt;&gt;"",R195="Mandatory"),"✓ "&amp;Q195,""))</f>
        <v>✓ Files to Print / Scan</v>
      </c>
      <c r="T195" s="7" t="str">
        <f aca="false">_xlfn.TEXTJOIN(CHAR(10),TRUE(),IF(AND(C195&lt;&gt;"",OR(D195="Optional",D195="If Applicable",D195="To Verify")),"• "&amp;C195&amp;" ("&amp;D195&amp;")",""),IF(AND(E195&lt;&gt;"",OR(F195="Optional",F195="If Applicable",F195="To Verify")),"• "&amp;E195&amp;" ("&amp;F195&amp;")",""),IF(AND(G195&lt;&gt;"",OR(H195="Optional",H195="If Applicable",H195="To Verify")),"• "&amp;G195&amp;" ("&amp;H195&amp;")",""),IF(AND(I195&lt;&gt;"",OR(J195="Optional",J195="If Applicable",J195="To Verify")),"• "&amp;I195&amp;" ("&amp;J195&amp;")",""),IF(AND(K195&lt;&gt;"",OR(L195="Optional",L195="If Applicable",L195="To Verify")),"• "&amp;K195&amp;" ("&amp;L195&amp;")",""),IF(AND(M195&lt;&gt;"",OR(N195="Optional",N195="If Applicable",N195="To Verify")),"• "&amp;M195&amp;" ("&amp;N195&amp;")",""),IF(AND(O195&lt;&gt;"",OR(P195="Optional",P195="If Applicable",P195="To Verify")),"• "&amp;O195&amp;" ("&amp;P195&amp;")",""),IF(AND(Q195&lt;&gt;"",OR(R195="Optional",R195="If Applicable",R195="To Verify")),"• "&amp;Q195&amp;" ("&amp;R195&amp;")",""))</f>
        <v/>
      </c>
    </row>
    <row r="196" customFormat="false" ht="15" hidden="false" customHeight="false" outlineLevel="0" collapsed="false">
      <c r="A196" s="6" t="s">
        <v>2281</v>
      </c>
      <c r="B196" s="7" t="str">
        <f aca="false">IF($A196="","",IFERROR(INDEX(MASTER_DATABASE!$E$4:$E$1000,MATCH($A196,MASTER_DATABASE!$A$4:$A$1000,0)),""))</f>
        <v>PDF to Word</v>
      </c>
      <c r="C196" s="6" t="s">
        <v>3535</v>
      </c>
      <c r="D196" s="6" t="s">
        <v>3436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7" t="str">
        <f aca="false">_xlfn.TEXTJOIN(CHAR(10),TRUE(),IF(AND(C196&lt;&gt;"",D196="Mandatory"),"✓ "&amp;C196,""),IF(AND(E196&lt;&gt;"",F196="Mandatory"),"✓ "&amp;E196,""),IF(AND(G196&lt;&gt;"",H196="Mandatory"),"✓ "&amp;G196,""),IF(AND(I196&lt;&gt;"",J196="Mandatory"),"✓ "&amp;I196,""),IF(AND(K196&lt;&gt;"",L196="Mandatory"),"✓ "&amp;K196,""),IF(AND(M196&lt;&gt;"",N196="Mandatory"),"✓ "&amp;M196,""),IF(AND(O196&lt;&gt;"",P196="Mandatory"),"✓ "&amp;O196,""),IF(AND(Q196&lt;&gt;"",R196="Mandatory"),"✓ "&amp;Q196,""))</f>
        <v>✓ Files to Print / Scan</v>
      </c>
      <c r="T196" s="7" t="str">
        <f aca="false">_xlfn.TEXTJOIN(CHAR(10),TRUE(),IF(AND(C196&lt;&gt;"",OR(D196="Optional",D196="If Applicable",D196="To Verify")),"• "&amp;C196&amp;" ("&amp;D196&amp;")",""),IF(AND(E196&lt;&gt;"",OR(F196="Optional",F196="If Applicable",F196="To Verify")),"• "&amp;E196&amp;" ("&amp;F196&amp;")",""),IF(AND(G196&lt;&gt;"",OR(H196="Optional",H196="If Applicable",H196="To Verify")),"• "&amp;G196&amp;" ("&amp;H196&amp;")",""),IF(AND(I196&lt;&gt;"",OR(J196="Optional",J196="If Applicable",J196="To Verify")),"• "&amp;I196&amp;" ("&amp;J196&amp;")",""),IF(AND(K196&lt;&gt;"",OR(L196="Optional",L196="If Applicable",L196="To Verify")),"• "&amp;K196&amp;" ("&amp;L196&amp;")",""),IF(AND(M196&lt;&gt;"",OR(N196="Optional",N196="If Applicable",N196="To Verify")),"• "&amp;M196&amp;" ("&amp;N196&amp;")",""),IF(AND(O196&lt;&gt;"",OR(P196="Optional",P196="If Applicable",P196="To Verify")),"• "&amp;O196&amp;" ("&amp;P196&amp;")",""),IF(AND(Q196&lt;&gt;"",OR(R196="Optional",R196="If Applicable",R196="To Verify")),"• "&amp;Q196&amp;" ("&amp;R196&amp;")",""))</f>
        <v/>
      </c>
    </row>
    <row r="197" customFormat="false" ht="15" hidden="false" customHeight="false" outlineLevel="0" collapsed="false">
      <c r="A197" s="6" t="s">
        <v>2292</v>
      </c>
      <c r="B197" s="7" t="str">
        <f aca="false">IF($A197="","",IFERROR(INDEX(MASTER_DATABASE!$E$4:$E$1000,MATCH($A197,MASTER_DATABASE!$A$4:$A$1000,0)),""))</f>
        <v>Hindi Typing</v>
      </c>
      <c r="C197" s="6" t="s">
        <v>3543</v>
      </c>
      <c r="D197" s="6" t="s">
        <v>3436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7" t="str">
        <f aca="false">_xlfn.TEXTJOIN(CHAR(10),TRUE(),IF(AND(C197&lt;&gt;"",D197="Mandatory"),"✓ "&amp;C197,""),IF(AND(E197&lt;&gt;"",F197="Mandatory"),"✓ "&amp;E197,""),IF(AND(G197&lt;&gt;"",H197="Mandatory"),"✓ "&amp;G197,""),IF(AND(I197&lt;&gt;"",J197="Mandatory"),"✓ "&amp;I197,""),IF(AND(K197&lt;&gt;"",L197="Mandatory"),"✓ "&amp;K197,""),IF(AND(M197&lt;&gt;"",N197="Mandatory"),"✓ "&amp;M197,""),IF(AND(O197&lt;&gt;"",P197="Mandatory"),"✓ "&amp;O197,""),IF(AND(Q197&lt;&gt;"",R197="Mandatory"),"✓ "&amp;Q197,""))</f>
        <v>✓ Details / Matter for Typing</v>
      </c>
      <c r="T197" s="7" t="str">
        <f aca="false">_xlfn.TEXTJOIN(CHAR(10),TRUE(),IF(AND(C197&lt;&gt;"",OR(D197="Optional",D197="If Applicable",D197="To Verify")),"• "&amp;C197&amp;" ("&amp;D197&amp;")",""),IF(AND(E197&lt;&gt;"",OR(F197="Optional",F197="If Applicable",F197="To Verify")),"• "&amp;E197&amp;" ("&amp;F197&amp;")",""),IF(AND(G197&lt;&gt;"",OR(H197="Optional",H197="If Applicable",H197="To Verify")),"• "&amp;G197&amp;" ("&amp;H197&amp;")",""),IF(AND(I197&lt;&gt;"",OR(J197="Optional",J197="If Applicable",J197="To Verify")),"• "&amp;I197&amp;" ("&amp;J197&amp;")",""),IF(AND(K197&lt;&gt;"",OR(L197="Optional",L197="If Applicable",L197="To Verify")),"• "&amp;K197&amp;" ("&amp;L197&amp;")",""),IF(AND(M197&lt;&gt;"",OR(N197="Optional",N197="If Applicable",N197="To Verify")),"• "&amp;M197&amp;" ("&amp;N197&amp;")",""),IF(AND(O197&lt;&gt;"",OR(P197="Optional",P197="If Applicable",P197="To Verify")),"• "&amp;O197&amp;" ("&amp;P197&amp;")",""),IF(AND(Q197&lt;&gt;"",OR(R197="Optional",R197="If Applicable",R197="To Verify")),"• "&amp;Q197&amp;" ("&amp;R197&amp;")",""))</f>
        <v/>
      </c>
    </row>
    <row r="198" customFormat="false" ht="15" hidden="false" customHeight="false" outlineLevel="0" collapsed="false">
      <c r="A198" s="6" t="s">
        <v>2305</v>
      </c>
      <c r="B198" s="7" t="str">
        <f aca="false">IF($A198="","",IFERROR(INDEX(MASTER_DATABASE!$E$4:$E$1000,MATCH($A198,MASTER_DATABASE!$A$4:$A$1000,0)),""))</f>
        <v>English Typing</v>
      </c>
      <c r="C198" s="6" t="s">
        <v>3543</v>
      </c>
      <c r="D198" s="6" t="s">
        <v>3436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7" t="str">
        <f aca="false">_xlfn.TEXTJOIN(CHAR(10),TRUE(),IF(AND(C198&lt;&gt;"",D198="Mandatory"),"✓ "&amp;C198,""),IF(AND(E198&lt;&gt;"",F198="Mandatory"),"✓ "&amp;E198,""),IF(AND(G198&lt;&gt;"",H198="Mandatory"),"✓ "&amp;G198,""),IF(AND(I198&lt;&gt;"",J198="Mandatory"),"✓ "&amp;I198,""),IF(AND(K198&lt;&gt;"",L198="Mandatory"),"✓ "&amp;K198,""),IF(AND(M198&lt;&gt;"",N198="Mandatory"),"✓ "&amp;M198,""),IF(AND(O198&lt;&gt;"",P198="Mandatory"),"✓ "&amp;O198,""),IF(AND(Q198&lt;&gt;"",R198="Mandatory"),"✓ "&amp;Q198,""))</f>
        <v>✓ Details / Matter for Typing</v>
      </c>
      <c r="T198" s="7" t="str">
        <f aca="false">_xlfn.TEXTJOIN(CHAR(10),TRUE(),IF(AND(C198&lt;&gt;"",OR(D198="Optional",D198="If Applicable",D198="To Verify")),"• "&amp;C198&amp;" ("&amp;D198&amp;")",""),IF(AND(E198&lt;&gt;"",OR(F198="Optional",F198="If Applicable",F198="To Verify")),"• "&amp;E198&amp;" ("&amp;F198&amp;")",""),IF(AND(G198&lt;&gt;"",OR(H198="Optional",H198="If Applicable",H198="To Verify")),"• "&amp;G198&amp;" ("&amp;H198&amp;")",""),IF(AND(I198&lt;&gt;"",OR(J198="Optional",J198="If Applicable",J198="To Verify")),"• "&amp;I198&amp;" ("&amp;J198&amp;")",""),IF(AND(K198&lt;&gt;"",OR(L198="Optional",L198="If Applicable",L198="To Verify")),"• "&amp;K198&amp;" ("&amp;L198&amp;")",""),IF(AND(M198&lt;&gt;"",OR(N198="Optional",N198="If Applicable",N198="To Verify")),"• "&amp;M198&amp;" ("&amp;N198&amp;")",""),IF(AND(O198&lt;&gt;"",OR(P198="Optional",P198="If Applicable",P198="To Verify")),"• "&amp;O198&amp;" ("&amp;P198&amp;")",""),IF(AND(Q198&lt;&gt;"",OR(R198="Optional",R198="If Applicable",R198="To Verify")),"• "&amp;Q198&amp;" ("&amp;R198&amp;")",""))</f>
        <v/>
      </c>
    </row>
    <row r="199" customFormat="false" ht="15" hidden="false" customHeight="false" outlineLevel="0" collapsed="false">
      <c r="A199" s="6" t="s">
        <v>2315</v>
      </c>
      <c r="B199" s="7" t="str">
        <f aca="false">IF($A199="","",IFERROR(INDEX(MASTER_DATABASE!$E$4:$E$1000,MATCH($A199,MASTER_DATABASE!$A$4:$A$1000,0)),""))</f>
        <v>Data Entry</v>
      </c>
      <c r="C199" s="6" t="s">
        <v>3543</v>
      </c>
      <c r="D199" s="6" t="s">
        <v>3436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7" t="str">
        <f aca="false">_xlfn.TEXTJOIN(CHAR(10),TRUE(),IF(AND(C199&lt;&gt;"",D199="Mandatory"),"✓ "&amp;C199,""),IF(AND(E199&lt;&gt;"",F199="Mandatory"),"✓ "&amp;E199,""),IF(AND(G199&lt;&gt;"",H199="Mandatory"),"✓ "&amp;G199,""),IF(AND(I199&lt;&gt;"",J199="Mandatory"),"✓ "&amp;I199,""),IF(AND(K199&lt;&gt;"",L199="Mandatory"),"✓ "&amp;K199,""),IF(AND(M199&lt;&gt;"",N199="Mandatory"),"✓ "&amp;M199,""),IF(AND(O199&lt;&gt;"",P199="Mandatory"),"✓ "&amp;O199,""),IF(AND(Q199&lt;&gt;"",R199="Mandatory"),"✓ "&amp;Q199,""))</f>
        <v>✓ Details / Matter for Typing</v>
      </c>
      <c r="T199" s="7" t="str">
        <f aca="false">_xlfn.TEXTJOIN(CHAR(10),TRUE(),IF(AND(C199&lt;&gt;"",OR(D199="Optional",D199="If Applicable",D199="To Verify")),"• "&amp;C199&amp;" ("&amp;D199&amp;")",""),IF(AND(E199&lt;&gt;"",OR(F199="Optional",F199="If Applicable",F199="To Verify")),"• "&amp;E199&amp;" ("&amp;F199&amp;")",""),IF(AND(G199&lt;&gt;"",OR(H199="Optional",H199="If Applicable",H199="To Verify")),"• "&amp;G199&amp;" ("&amp;H199&amp;")",""),IF(AND(I199&lt;&gt;"",OR(J199="Optional",J199="If Applicable",J199="To Verify")),"• "&amp;I199&amp;" ("&amp;J199&amp;")",""),IF(AND(K199&lt;&gt;"",OR(L199="Optional",L199="If Applicable",L199="To Verify")),"• "&amp;K199&amp;" ("&amp;L199&amp;")",""),IF(AND(M199&lt;&gt;"",OR(N199="Optional",N199="If Applicable",N199="To Verify")),"• "&amp;M199&amp;" ("&amp;N199&amp;")",""),IF(AND(O199&lt;&gt;"",OR(P199="Optional",P199="If Applicable",P199="To Verify")),"• "&amp;O199&amp;" ("&amp;P199&amp;")",""),IF(AND(Q199&lt;&gt;"",OR(R199="Optional",R199="If Applicable",R199="To Verify")),"• "&amp;Q199&amp;" ("&amp;R199&amp;")",""))</f>
        <v/>
      </c>
    </row>
    <row r="200" customFormat="false" ht="15" hidden="false" customHeight="false" outlineLevel="0" collapsed="false">
      <c r="A200" s="6" t="s">
        <v>2325</v>
      </c>
      <c r="B200" s="7" t="str">
        <f aca="false">IF($A200="","",IFERROR(INDEX(MASTER_DATABASE!$E$4:$E$1000,MATCH($A200,MASTER_DATABASE!$A$4:$A$1000,0)),""))</f>
        <v>Application Typing</v>
      </c>
      <c r="C200" s="6" t="s">
        <v>3543</v>
      </c>
      <c r="D200" s="6" t="s">
        <v>3436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7" t="str">
        <f aca="false">_xlfn.TEXTJOIN(CHAR(10),TRUE(),IF(AND(C200&lt;&gt;"",D200="Mandatory"),"✓ "&amp;C200,""),IF(AND(E200&lt;&gt;"",F200="Mandatory"),"✓ "&amp;E200,""),IF(AND(G200&lt;&gt;"",H200="Mandatory"),"✓ "&amp;G200,""),IF(AND(I200&lt;&gt;"",J200="Mandatory"),"✓ "&amp;I200,""),IF(AND(K200&lt;&gt;"",L200="Mandatory"),"✓ "&amp;K200,""),IF(AND(M200&lt;&gt;"",N200="Mandatory"),"✓ "&amp;M200,""),IF(AND(O200&lt;&gt;"",P200="Mandatory"),"✓ "&amp;O200,""),IF(AND(Q200&lt;&gt;"",R200="Mandatory"),"✓ "&amp;Q200,""))</f>
        <v>✓ Details / Matter for Typing</v>
      </c>
      <c r="T200" s="7" t="str">
        <f aca="false">_xlfn.TEXTJOIN(CHAR(10),TRUE(),IF(AND(C200&lt;&gt;"",OR(D200="Optional",D200="If Applicable",D200="To Verify")),"• "&amp;C200&amp;" ("&amp;D200&amp;")",""),IF(AND(E200&lt;&gt;"",OR(F200="Optional",F200="If Applicable",F200="To Verify")),"• "&amp;E200&amp;" ("&amp;F200&amp;")",""),IF(AND(G200&lt;&gt;"",OR(H200="Optional",H200="If Applicable",H200="To Verify")),"• "&amp;G200&amp;" ("&amp;H200&amp;")",""),IF(AND(I200&lt;&gt;"",OR(J200="Optional",J200="If Applicable",J200="To Verify")),"• "&amp;I200&amp;" ("&amp;J200&amp;")",""),IF(AND(K200&lt;&gt;"",OR(L200="Optional",L200="If Applicable",L200="To Verify")),"• "&amp;K200&amp;" ("&amp;L200&amp;")",""),IF(AND(M200&lt;&gt;"",OR(N200="Optional",N200="If Applicable",N200="To Verify")),"• "&amp;M200&amp;" ("&amp;N200&amp;")",""),IF(AND(O200&lt;&gt;"",OR(P200="Optional",P200="If Applicable",P200="To Verify")),"• "&amp;O200&amp;" ("&amp;P200&amp;")",""),IF(AND(Q200&lt;&gt;"",OR(R200="Optional",R200="If Applicable",R200="To Verify")),"• "&amp;Q200&amp;" ("&amp;R200&amp;")",""))</f>
        <v/>
      </c>
    </row>
    <row r="201" customFormat="false" ht="15" hidden="false" customHeight="false" outlineLevel="0" collapsed="false">
      <c r="A201" s="6" t="s">
        <v>2335</v>
      </c>
      <c r="B201" s="7" t="str">
        <f aca="false">IF($A201="","",IFERROR(INDEX(MASTER_DATABASE!$E$4:$E$1000,MATCH($A201,MASTER_DATABASE!$A$4:$A$1000,0)),""))</f>
        <v>Letter Typing</v>
      </c>
      <c r="C201" s="6" t="s">
        <v>3543</v>
      </c>
      <c r="D201" s="6" t="s">
        <v>3436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7" t="str">
        <f aca="false">_xlfn.TEXTJOIN(CHAR(10),TRUE(),IF(AND(C201&lt;&gt;"",D201="Mandatory"),"✓ "&amp;C201,""),IF(AND(E201&lt;&gt;"",F201="Mandatory"),"✓ "&amp;E201,""),IF(AND(G201&lt;&gt;"",H201="Mandatory"),"✓ "&amp;G201,""),IF(AND(I201&lt;&gt;"",J201="Mandatory"),"✓ "&amp;I201,""),IF(AND(K201&lt;&gt;"",L201="Mandatory"),"✓ "&amp;K201,""),IF(AND(M201&lt;&gt;"",N201="Mandatory"),"✓ "&amp;M201,""),IF(AND(O201&lt;&gt;"",P201="Mandatory"),"✓ "&amp;O201,""),IF(AND(Q201&lt;&gt;"",R201="Mandatory"),"✓ "&amp;Q201,""))</f>
        <v>✓ Details / Matter for Typing</v>
      </c>
      <c r="T201" s="7" t="str">
        <f aca="false">_xlfn.TEXTJOIN(CHAR(10),TRUE(),IF(AND(C201&lt;&gt;"",OR(D201="Optional",D201="If Applicable",D201="To Verify")),"• "&amp;C201&amp;" ("&amp;D201&amp;")",""),IF(AND(E201&lt;&gt;"",OR(F201="Optional",F201="If Applicable",F201="To Verify")),"• "&amp;E201&amp;" ("&amp;F201&amp;")",""),IF(AND(G201&lt;&gt;"",OR(H201="Optional",H201="If Applicable",H201="To Verify")),"• "&amp;G201&amp;" ("&amp;H201&amp;")",""),IF(AND(I201&lt;&gt;"",OR(J201="Optional",J201="If Applicable",J201="To Verify")),"• "&amp;I201&amp;" ("&amp;J201&amp;")",""),IF(AND(K201&lt;&gt;"",OR(L201="Optional",L201="If Applicable",L201="To Verify")),"• "&amp;K201&amp;" ("&amp;L201&amp;")",""),IF(AND(M201&lt;&gt;"",OR(N201="Optional",N201="If Applicable",N201="To Verify")),"• "&amp;M201&amp;" ("&amp;N201&amp;")",""),IF(AND(O201&lt;&gt;"",OR(P201="Optional",P201="If Applicable",P201="To Verify")),"• "&amp;O201&amp;" ("&amp;P201&amp;")",""),IF(AND(Q201&lt;&gt;"",OR(R201="Optional",R201="If Applicable",R201="To Verify")),"• "&amp;Q201&amp;" ("&amp;R201&amp;")",""))</f>
        <v/>
      </c>
    </row>
    <row r="202" customFormat="false" ht="15" hidden="false" customHeight="false" outlineLevel="0" collapsed="false">
      <c r="A202" s="6" t="s">
        <v>2345</v>
      </c>
      <c r="B202" s="7" t="str">
        <f aca="false">IF($A202="","",IFERROR(INDEX(MASTER_DATABASE!$E$4:$E$1000,MATCH($A202,MASTER_DATABASE!$A$4:$A$1000,0)),""))</f>
        <v>Resume Making</v>
      </c>
      <c r="C202" s="6" t="s">
        <v>3543</v>
      </c>
      <c r="D202" s="6" t="s">
        <v>3436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7" t="str">
        <f aca="false">_xlfn.TEXTJOIN(CHAR(10),TRUE(),IF(AND(C202&lt;&gt;"",D202="Mandatory"),"✓ "&amp;C202,""),IF(AND(E202&lt;&gt;"",F202="Mandatory"),"✓ "&amp;E202,""),IF(AND(G202&lt;&gt;"",H202="Mandatory"),"✓ "&amp;G202,""),IF(AND(I202&lt;&gt;"",J202="Mandatory"),"✓ "&amp;I202,""),IF(AND(K202&lt;&gt;"",L202="Mandatory"),"✓ "&amp;K202,""),IF(AND(M202&lt;&gt;"",N202="Mandatory"),"✓ "&amp;M202,""),IF(AND(O202&lt;&gt;"",P202="Mandatory"),"✓ "&amp;O202,""),IF(AND(Q202&lt;&gt;"",R202="Mandatory"),"✓ "&amp;Q202,""))</f>
        <v>✓ Details / Matter for Typing</v>
      </c>
      <c r="T202" s="7" t="str">
        <f aca="false">_xlfn.TEXTJOIN(CHAR(10),TRUE(),IF(AND(C202&lt;&gt;"",OR(D202="Optional",D202="If Applicable",D202="To Verify")),"• "&amp;C202&amp;" ("&amp;D202&amp;")",""),IF(AND(E202&lt;&gt;"",OR(F202="Optional",F202="If Applicable",F202="To Verify")),"• "&amp;E202&amp;" ("&amp;F202&amp;")",""),IF(AND(G202&lt;&gt;"",OR(H202="Optional",H202="If Applicable",H202="To Verify")),"• "&amp;G202&amp;" ("&amp;H202&amp;")",""),IF(AND(I202&lt;&gt;"",OR(J202="Optional",J202="If Applicable",J202="To Verify")),"• "&amp;I202&amp;" ("&amp;J202&amp;")",""),IF(AND(K202&lt;&gt;"",OR(L202="Optional",L202="If Applicable",L202="To Verify")),"• "&amp;K202&amp;" ("&amp;L202&amp;")",""),IF(AND(M202&lt;&gt;"",OR(N202="Optional",N202="If Applicable",N202="To Verify")),"• "&amp;M202&amp;" ("&amp;N202&amp;")",""),IF(AND(O202&lt;&gt;"",OR(P202="Optional",P202="If Applicable",P202="To Verify")),"• "&amp;O202&amp;" ("&amp;P202&amp;")",""),IF(AND(Q202&lt;&gt;"",OR(R202="Optional",R202="If Applicable",R202="To Verify")),"• "&amp;Q202&amp;" ("&amp;R202&amp;")",""))</f>
        <v/>
      </c>
    </row>
    <row r="203" customFormat="false" ht="15" hidden="false" customHeight="false" outlineLevel="0" collapsed="false">
      <c r="A203" s="6" t="s">
        <v>2356</v>
      </c>
      <c r="B203" s="7" t="str">
        <f aca="false">IF($A203="","",IFERROR(INDEX(MASTER_DATABASE!$E$4:$E$1000,MATCH($A203,MASTER_DATABASE!$A$4:$A$1000,0)),""))</f>
        <v>Biodata Making</v>
      </c>
      <c r="C203" s="6" t="s">
        <v>3543</v>
      </c>
      <c r="D203" s="6" t="s">
        <v>3436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7" t="str">
        <f aca="false">_xlfn.TEXTJOIN(CHAR(10),TRUE(),IF(AND(C203&lt;&gt;"",D203="Mandatory"),"✓ "&amp;C203,""),IF(AND(E203&lt;&gt;"",F203="Mandatory"),"✓ "&amp;E203,""),IF(AND(G203&lt;&gt;"",H203="Mandatory"),"✓ "&amp;G203,""),IF(AND(I203&lt;&gt;"",J203="Mandatory"),"✓ "&amp;I203,""),IF(AND(K203&lt;&gt;"",L203="Mandatory"),"✓ "&amp;K203,""),IF(AND(M203&lt;&gt;"",N203="Mandatory"),"✓ "&amp;M203,""),IF(AND(O203&lt;&gt;"",P203="Mandatory"),"✓ "&amp;O203,""),IF(AND(Q203&lt;&gt;"",R203="Mandatory"),"✓ "&amp;Q203,""))</f>
        <v>✓ Details / Matter for Typing</v>
      </c>
      <c r="T203" s="7" t="str">
        <f aca="false">_xlfn.TEXTJOIN(CHAR(10),TRUE(),IF(AND(C203&lt;&gt;"",OR(D203="Optional",D203="If Applicable",D203="To Verify")),"• "&amp;C203&amp;" ("&amp;D203&amp;")",""),IF(AND(E203&lt;&gt;"",OR(F203="Optional",F203="If Applicable",F203="To Verify")),"• "&amp;E203&amp;" ("&amp;F203&amp;")",""),IF(AND(G203&lt;&gt;"",OR(H203="Optional",H203="If Applicable",H203="To Verify")),"• "&amp;G203&amp;" ("&amp;H203&amp;")",""),IF(AND(I203&lt;&gt;"",OR(J203="Optional",J203="If Applicable",J203="To Verify")),"• "&amp;I203&amp;" ("&amp;J203&amp;")",""),IF(AND(K203&lt;&gt;"",OR(L203="Optional",L203="If Applicable",L203="To Verify")),"• "&amp;K203&amp;" ("&amp;L203&amp;")",""),IF(AND(M203&lt;&gt;"",OR(N203="Optional",N203="If Applicable",N203="To Verify")),"• "&amp;M203&amp;" ("&amp;N203&amp;")",""),IF(AND(O203&lt;&gt;"",OR(P203="Optional",P203="If Applicable",P203="To Verify")),"• "&amp;O203&amp;" ("&amp;P203&amp;")",""),IF(AND(Q203&lt;&gt;"",OR(R203="Optional",R203="If Applicable",R203="To Verify")),"• "&amp;Q203&amp;" ("&amp;R203&amp;")",""))</f>
        <v/>
      </c>
    </row>
    <row r="204" customFormat="false" ht="15" hidden="false" customHeight="false" outlineLevel="0" collapsed="false">
      <c r="A204" s="6" t="s">
        <v>2366</v>
      </c>
      <c r="B204" s="7" t="str">
        <f aca="false">IF($A204="","",IFERROR(INDEX(MASTER_DATABASE!$E$4:$E$1000,MATCH($A204,MASTER_DATABASE!$A$4:$A$1000,0)),""))</f>
        <v>Document Formatting</v>
      </c>
      <c r="C204" s="6" t="s">
        <v>3543</v>
      </c>
      <c r="D204" s="6" t="s">
        <v>3436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7" t="str">
        <f aca="false">_xlfn.TEXTJOIN(CHAR(10),TRUE(),IF(AND(C204&lt;&gt;"",D204="Mandatory"),"✓ "&amp;C204,""),IF(AND(E204&lt;&gt;"",F204="Mandatory"),"✓ "&amp;E204,""),IF(AND(G204&lt;&gt;"",H204="Mandatory"),"✓ "&amp;G204,""),IF(AND(I204&lt;&gt;"",J204="Mandatory"),"✓ "&amp;I204,""),IF(AND(K204&lt;&gt;"",L204="Mandatory"),"✓ "&amp;K204,""),IF(AND(M204&lt;&gt;"",N204="Mandatory"),"✓ "&amp;M204,""),IF(AND(O204&lt;&gt;"",P204="Mandatory"),"✓ "&amp;O204,""),IF(AND(Q204&lt;&gt;"",R204="Mandatory"),"✓ "&amp;Q204,""))</f>
        <v>✓ Details / Matter for Typing</v>
      </c>
      <c r="T204" s="7" t="str">
        <f aca="false">_xlfn.TEXTJOIN(CHAR(10),TRUE(),IF(AND(C204&lt;&gt;"",OR(D204="Optional",D204="If Applicable",D204="To Verify")),"• "&amp;C204&amp;" ("&amp;D204&amp;")",""),IF(AND(E204&lt;&gt;"",OR(F204="Optional",F204="If Applicable",F204="To Verify")),"• "&amp;E204&amp;" ("&amp;F204&amp;")",""),IF(AND(G204&lt;&gt;"",OR(H204="Optional",H204="If Applicable",H204="To Verify")),"• "&amp;G204&amp;" ("&amp;H204&amp;")",""),IF(AND(I204&lt;&gt;"",OR(J204="Optional",J204="If Applicable",J204="To Verify")),"• "&amp;I204&amp;" ("&amp;J204&amp;")",""),IF(AND(K204&lt;&gt;"",OR(L204="Optional",L204="If Applicable",L204="To Verify")),"• "&amp;K204&amp;" ("&amp;L204&amp;")",""),IF(AND(M204&lt;&gt;"",OR(N204="Optional",N204="If Applicable",N204="To Verify")),"• "&amp;M204&amp;" ("&amp;N204&amp;")",""),IF(AND(O204&lt;&gt;"",OR(P204="Optional",P204="If Applicable",P204="To Verify")),"• "&amp;O204&amp;" ("&amp;P204&amp;")",""),IF(AND(Q204&lt;&gt;"",OR(R204="Optional",R204="If Applicable",R204="To Verify")),"• "&amp;Q204&amp;" ("&amp;R204&amp;")",""))</f>
        <v/>
      </c>
    </row>
    <row r="205" customFormat="false" ht="15" hidden="false" customHeight="false" outlineLevel="0" collapsed="false">
      <c r="A205" s="6" t="s">
        <v>2376</v>
      </c>
      <c r="B205" s="7" t="str">
        <f aca="false">IF($A205="","",IFERROR(INDEX(MASTER_DATABASE!$E$4:$E$1000,MATCH($A205,MASTER_DATABASE!$A$4:$A$1000,0)),""))</f>
        <v>Official Document Formatting</v>
      </c>
      <c r="C205" s="6" t="s">
        <v>3543</v>
      </c>
      <c r="D205" s="6" t="s">
        <v>3436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7" t="str">
        <f aca="false">_xlfn.TEXTJOIN(CHAR(10),TRUE(),IF(AND(C205&lt;&gt;"",D205="Mandatory"),"✓ "&amp;C205,""),IF(AND(E205&lt;&gt;"",F205="Mandatory"),"✓ "&amp;E205,""),IF(AND(G205&lt;&gt;"",H205="Mandatory"),"✓ "&amp;G205,""),IF(AND(I205&lt;&gt;"",J205="Mandatory"),"✓ "&amp;I205,""),IF(AND(K205&lt;&gt;"",L205="Mandatory"),"✓ "&amp;K205,""),IF(AND(M205&lt;&gt;"",N205="Mandatory"),"✓ "&amp;M205,""),IF(AND(O205&lt;&gt;"",P205="Mandatory"),"✓ "&amp;O205,""),IF(AND(Q205&lt;&gt;"",R205="Mandatory"),"✓ "&amp;Q205,""))</f>
        <v>✓ Details / Matter for Typing</v>
      </c>
      <c r="T205" s="7" t="str">
        <f aca="false">_xlfn.TEXTJOIN(CHAR(10),TRUE(),IF(AND(C205&lt;&gt;"",OR(D205="Optional",D205="If Applicable",D205="To Verify")),"• "&amp;C205&amp;" ("&amp;D205&amp;")",""),IF(AND(E205&lt;&gt;"",OR(F205="Optional",F205="If Applicable",F205="To Verify")),"• "&amp;E205&amp;" ("&amp;F205&amp;")",""),IF(AND(G205&lt;&gt;"",OR(H205="Optional",H205="If Applicable",H205="To Verify")),"• "&amp;G205&amp;" ("&amp;H205&amp;")",""),IF(AND(I205&lt;&gt;"",OR(J205="Optional",J205="If Applicable",J205="To Verify")),"• "&amp;I205&amp;" ("&amp;J205&amp;")",""),IF(AND(K205&lt;&gt;"",OR(L205="Optional",L205="If Applicable",L205="To Verify")),"• "&amp;K205&amp;" ("&amp;L205&amp;")",""),IF(AND(M205&lt;&gt;"",OR(N205="Optional",N205="If Applicable",N205="To Verify")),"• "&amp;M205&amp;" ("&amp;N205&amp;")",""),IF(AND(O205&lt;&gt;"",OR(P205="Optional",P205="If Applicable",P205="To Verify")),"• "&amp;O205&amp;" ("&amp;P205&amp;")",""),IF(AND(Q205&lt;&gt;"",OR(R205="Optional",R205="If Applicable",R205="To Verify")),"• "&amp;Q205&amp;" ("&amp;R205&amp;")",""))</f>
        <v/>
      </c>
    </row>
    <row r="206" customFormat="false" ht="15" hidden="false" customHeight="false" outlineLevel="0" collapsed="false">
      <c r="A206" s="6" t="s">
        <v>2386</v>
      </c>
      <c r="B206" s="7" t="str">
        <f aca="false">IF($A206="","",IFERROR(INDEX(MASTER_DATABASE!$E$4:$E$1000,MATCH($A206,MASTER_DATABASE!$A$4:$A$1000,0)),""))</f>
        <v>Passport Photo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7" t="str">
        <f aca="false">_xlfn.TEXTJOIN(CHAR(10),TRUE(),IF(AND(C206&lt;&gt;"",D206="Mandatory"),"✓ "&amp;C206,""),IF(AND(E206&lt;&gt;"",F206="Mandatory"),"✓ "&amp;E206,""),IF(AND(G206&lt;&gt;"",H206="Mandatory"),"✓ "&amp;G206,""),IF(AND(I206&lt;&gt;"",J206="Mandatory"),"✓ "&amp;I206,""),IF(AND(K206&lt;&gt;"",L206="Mandatory"),"✓ "&amp;K206,""),IF(AND(M206&lt;&gt;"",N206="Mandatory"),"✓ "&amp;M206,""),IF(AND(O206&lt;&gt;"",P206="Mandatory"),"✓ "&amp;O206,""),IF(AND(Q206&lt;&gt;"",R206="Mandatory"),"✓ "&amp;Q206,""))</f>
        <v/>
      </c>
      <c r="T206" s="7" t="str">
        <f aca="false">_xlfn.TEXTJOIN(CHAR(10),TRUE(),IF(AND(C206&lt;&gt;"",OR(D206="Optional",D206="If Applicable",D206="To Verify")),"• "&amp;C206&amp;" ("&amp;D206&amp;")",""),IF(AND(E206&lt;&gt;"",OR(F206="Optional",F206="If Applicable",F206="To Verify")),"• "&amp;E206&amp;" ("&amp;F206&amp;")",""),IF(AND(G206&lt;&gt;"",OR(H206="Optional",H206="If Applicable",H206="To Verify")),"• "&amp;G206&amp;" ("&amp;H206&amp;")",""),IF(AND(I206&lt;&gt;"",OR(J206="Optional",J206="If Applicable",J206="To Verify")),"• "&amp;I206&amp;" ("&amp;J206&amp;")",""),IF(AND(K206&lt;&gt;"",OR(L206="Optional",L206="If Applicable",L206="To Verify")),"• "&amp;K206&amp;" ("&amp;L206&amp;")",""),IF(AND(M206&lt;&gt;"",OR(N206="Optional",N206="If Applicable",N206="To Verify")),"• "&amp;M206&amp;" ("&amp;N206&amp;")",""),IF(AND(O206&lt;&gt;"",OR(P206="Optional",P206="If Applicable",P206="To Verify")),"• "&amp;O206&amp;" ("&amp;P206&amp;")",""),IF(AND(Q206&lt;&gt;"",OR(R206="Optional",R206="If Applicable",R206="To Verify")),"• "&amp;Q206&amp;" ("&amp;R206&amp;")",""))</f>
        <v/>
      </c>
    </row>
    <row r="207" customFormat="false" ht="15" hidden="false" customHeight="false" outlineLevel="0" collapsed="false">
      <c r="A207" s="6" t="s">
        <v>2401</v>
      </c>
      <c r="B207" s="7" t="str">
        <f aca="false">IF($A207="","",IFERROR(INDEX(MASTER_DATABASE!$E$4:$E$1000,MATCH($A207,MASTER_DATABASE!$A$4:$A$1000,0)),""))</f>
        <v>Visa Photo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7" t="str">
        <f aca="false">_xlfn.TEXTJOIN(CHAR(10),TRUE(),IF(AND(C207&lt;&gt;"",D207="Mandatory"),"✓ "&amp;C207,""),IF(AND(E207&lt;&gt;"",F207="Mandatory"),"✓ "&amp;E207,""),IF(AND(G207&lt;&gt;"",H207="Mandatory"),"✓ "&amp;G207,""),IF(AND(I207&lt;&gt;"",J207="Mandatory"),"✓ "&amp;I207,""),IF(AND(K207&lt;&gt;"",L207="Mandatory"),"✓ "&amp;K207,""),IF(AND(M207&lt;&gt;"",N207="Mandatory"),"✓ "&amp;M207,""),IF(AND(O207&lt;&gt;"",P207="Mandatory"),"✓ "&amp;O207,""),IF(AND(Q207&lt;&gt;"",R207="Mandatory"),"✓ "&amp;Q207,""))</f>
        <v/>
      </c>
      <c r="T207" s="7" t="str">
        <f aca="false">_xlfn.TEXTJOIN(CHAR(10),TRUE(),IF(AND(C207&lt;&gt;"",OR(D207="Optional",D207="If Applicable",D207="To Verify")),"• "&amp;C207&amp;" ("&amp;D207&amp;")",""),IF(AND(E207&lt;&gt;"",OR(F207="Optional",F207="If Applicable",F207="To Verify")),"• "&amp;E207&amp;" ("&amp;F207&amp;")",""),IF(AND(G207&lt;&gt;"",OR(H207="Optional",H207="If Applicable",H207="To Verify")),"• "&amp;G207&amp;" ("&amp;H207&amp;")",""),IF(AND(I207&lt;&gt;"",OR(J207="Optional",J207="If Applicable",J207="To Verify")),"• "&amp;I207&amp;" ("&amp;J207&amp;")",""),IF(AND(K207&lt;&gt;"",OR(L207="Optional",L207="If Applicable",L207="To Verify")),"• "&amp;K207&amp;" ("&amp;L207&amp;")",""),IF(AND(M207&lt;&gt;"",OR(N207="Optional",N207="If Applicable",N207="To Verify")),"• "&amp;M207&amp;" ("&amp;N207&amp;")",""),IF(AND(O207&lt;&gt;"",OR(P207="Optional",P207="If Applicable",P207="To Verify")),"• "&amp;O207&amp;" ("&amp;P207&amp;")",""),IF(AND(Q207&lt;&gt;"",OR(R207="Optional",R207="If Applicable",R207="To Verify")),"• "&amp;Q207&amp;" ("&amp;R207&amp;")",""))</f>
        <v/>
      </c>
    </row>
    <row r="208" customFormat="false" ht="15" hidden="false" customHeight="false" outlineLevel="0" collapsed="false">
      <c r="A208" s="6" t="s">
        <v>2412</v>
      </c>
      <c r="B208" s="7" t="str">
        <f aca="false">IF($A208="","",IFERROR(INDEX(MASTER_DATABASE!$E$4:$E$1000,MATCH($A208,MASTER_DATABASE!$A$4:$A$1000,0)),""))</f>
        <v>ID Card Photo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7" t="str">
        <f aca="false">_xlfn.TEXTJOIN(CHAR(10),TRUE(),IF(AND(C208&lt;&gt;"",D208="Mandatory"),"✓ "&amp;C208,""),IF(AND(E208&lt;&gt;"",F208="Mandatory"),"✓ "&amp;E208,""),IF(AND(G208&lt;&gt;"",H208="Mandatory"),"✓ "&amp;G208,""),IF(AND(I208&lt;&gt;"",J208="Mandatory"),"✓ "&amp;I208,""),IF(AND(K208&lt;&gt;"",L208="Mandatory"),"✓ "&amp;K208,""),IF(AND(M208&lt;&gt;"",N208="Mandatory"),"✓ "&amp;M208,""),IF(AND(O208&lt;&gt;"",P208="Mandatory"),"✓ "&amp;O208,""),IF(AND(Q208&lt;&gt;"",R208="Mandatory"),"✓ "&amp;Q208,""))</f>
        <v/>
      </c>
      <c r="T208" s="7" t="str">
        <f aca="false">_xlfn.TEXTJOIN(CHAR(10),TRUE(),IF(AND(C208&lt;&gt;"",OR(D208="Optional",D208="If Applicable",D208="To Verify")),"• "&amp;C208&amp;" ("&amp;D208&amp;")",""),IF(AND(E208&lt;&gt;"",OR(F208="Optional",F208="If Applicable",F208="To Verify")),"• "&amp;E208&amp;" ("&amp;F208&amp;")",""),IF(AND(G208&lt;&gt;"",OR(H208="Optional",H208="If Applicable",H208="To Verify")),"• "&amp;G208&amp;" ("&amp;H208&amp;")",""),IF(AND(I208&lt;&gt;"",OR(J208="Optional",J208="If Applicable",J208="To Verify")),"• "&amp;I208&amp;" ("&amp;J208&amp;")",""),IF(AND(K208&lt;&gt;"",OR(L208="Optional",L208="If Applicable",L208="To Verify")),"• "&amp;K208&amp;" ("&amp;L208&amp;")",""),IF(AND(M208&lt;&gt;"",OR(N208="Optional",N208="If Applicable",N208="To Verify")),"• "&amp;M208&amp;" ("&amp;N208&amp;")",""),IF(AND(O208&lt;&gt;"",OR(P208="Optional",P208="If Applicable",P208="To Verify")),"• "&amp;O208&amp;" ("&amp;P208&amp;")",""),IF(AND(Q208&lt;&gt;"",OR(R208="Optional",R208="If Applicable",R208="To Verify")),"• "&amp;Q208&amp;" ("&amp;R208&amp;")",""))</f>
        <v/>
      </c>
    </row>
    <row r="209" customFormat="false" ht="15" hidden="false" customHeight="false" outlineLevel="0" collapsed="false">
      <c r="A209" s="6" t="s">
        <v>2422</v>
      </c>
      <c r="B209" s="7" t="str">
        <f aca="false">IF($A209="","",IFERROR(INDEX(MASTER_DATABASE!$E$4:$E$1000,MATCH($A209,MASTER_DATABASE!$A$4:$A$1000,0)),""))</f>
        <v>Photo Crop</v>
      </c>
      <c r="C209" s="6" t="s">
        <v>3575</v>
      </c>
      <c r="D209" s="6" t="s">
        <v>3436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7" t="str">
        <f aca="false">_xlfn.TEXTJOIN(CHAR(10),TRUE(),IF(AND(C209&lt;&gt;"",D209="Mandatory"),"✓ "&amp;C209,""),IF(AND(E209&lt;&gt;"",F209="Mandatory"),"✓ "&amp;E209,""),IF(AND(G209&lt;&gt;"",H209="Mandatory"),"✓ "&amp;G209,""),IF(AND(I209&lt;&gt;"",J209="Mandatory"),"✓ "&amp;I209,""),IF(AND(K209&lt;&gt;"",L209="Mandatory"),"✓ "&amp;K209,""),IF(AND(M209&lt;&gt;"",N209="Mandatory"),"✓ "&amp;M209,""),IF(AND(O209&lt;&gt;"",P209="Mandatory"),"✓ "&amp;O209,""),IF(AND(Q209&lt;&gt;"",R209="Mandatory"),"✓ "&amp;Q209,""))</f>
        <v>✓ Old Photo / Photo Files</v>
      </c>
      <c r="T209" s="7" t="str">
        <f aca="false">_xlfn.TEXTJOIN(CHAR(10),TRUE(),IF(AND(C209&lt;&gt;"",OR(D209="Optional",D209="If Applicable",D209="To Verify")),"• "&amp;C209&amp;" ("&amp;D209&amp;")",""),IF(AND(E209&lt;&gt;"",OR(F209="Optional",F209="If Applicable",F209="To Verify")),"• "&amp;E209&amp;" ("&amp;F209&amp;")",""),IF(AND(G209&lt;&gt;"",OR(H209="Optional",H209="If Applicable",H209="To Verify")),"• "&amp;G209&amp;" ("&amp;H209&amp;")",""),IF(AND(I209&lt;&gt;"",OR(J209="Optional",J209="If Applicable",J209="To Verify")),"• "&amp;I209&amp;" ("&amp;J209&amp;")",""),IF(AND(K209&lt;&gt;"",OR(L209="Optional",L209="If Applicable",L209="To Verify")),"• "&amp;K209&amp;" ("&amp;L209&amp;")",""),IF(AND(M209&lt;&gt;"",OR(N209="Optional",N209="If Applicable",N209="To Verify")),"• "&amp;M209&amp;" ("&amp;N209&amp;")",""),IF(AND(O209&lt;&gt;"",OR(P209="Optional",P209="If Applicable",P209="To Verify")),"• "&amp;O209&amp;" ("&amp;P209&amp;")",""),IF(AND(Q209&lt;&gt;"",OR(R209="Optional",R209="If Applicable",R209="To Verify")),"• "&amp;Q209&amp;" ("&amp;R209&amp;")",""))</f>
        <v/>
      </c>
    </row>
    <row r="210" customFormat="false" ht="15" hidden="false" customHeight="false" outlineLevel="0" collapsed="false">
      <c r="A210" s="6" t="s">
        <v>2435</v>
      </c>
      <c r="B210" s="7" t="str">
        <f aca="false">IF($A210="","",IFERROR(INDEX(MASTER_DATABASE!$E$4:$E$1000,MATCH($A210,MASTER_DATABASE!$A$4:$A$1000,0)),""))</f>
        <v>Photo Resize</v>
      </c>
      <c r="C210" s="6" t="s">
        <v>3575</v>
      </c>
      <c r="D210" s="6" t="s">
        <v>3436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7" t="str">
        <f aca="false">_xlfn.TEXTJOIN(CHAR(10),TRUE(),IF(AND(C210&lt;&gt;"",D210="Mandatory"),"✓ "&amp;C210,""),IF(AND(E210&lt;&gt;"",F210="Mandatory"),"✓ "&amp;E210,""),IF(AND(G210&lt;&gt;"",H210="Mandatory"),"✓ "&amp;G210,""),IF(AND(I210&lt;&gt;"",J210="Mandatory"),"✓ "&amp;I210,""),IF(AND(K210&lt;&gt;"",L210="Mandatory"),"✓ "&amp;K210,""),IF(AND(M210&lt;&gt;"",N210="Mandatory"),"✓ "&amp;M210,""),IF(AND(O210&lt;&gt;"",P210="Mandatory"),"✓ "&amp;O210,""),IF(AND(Q210&lt;&gt;"",R210="Mandatory"),"✓ "&amp;Q210,""))</f>
        <v>✓ Old Photo / Photo Files</v>
      </c>
      <c r="T210" s="7" t="str">
        <f aca="false">_xlfn.TEXTJOIN(CHAR(10),TRUE(),IF(AND(C210&lt;&gt;"",OR(D210="Optional",D210="If Applicable",D210="To Verify")),"• "&amp;C210&amp;" ("&amp;D210&amp;")",""),IF(AND(E210&lt;&gt;"",OR(F210="Optional",F210="If Applicable",F210="To Verify")),"• "&amp;E210&amp;" ("&amp;F210&amp;")",""),IF(AND(G210&lt;&gt;"",OR(H210="Optional",H210="If Applicable",H210="To Verify")),"• "&amp;G210&amp;" ("&amp;H210&amp;")",""),IF(AND(I210&lt;&gt;"",OR(J210="Optional",J210="If Applicable",J210="To Verify")),"• "&amp;I210&amp;" ("&amp;J210&amp;")",""),IF(AND(K210&lt;&gt;"",OR(L210="Optional",L210="If Applicable",L210="To Verify")),"• "&amp;K210&amp;" ("&amp;L210&amp;")",""),IF(AND(M210&lt;&gt;"",OR(N210="Optional",N210="If Applicable",N210="To Verify")),"• "&amp;M210&amp;" ("&amp;N210&amp;")",""),IF(AND(O210&lt;&gt;"",OR(P210="Optional",P210="If Applicable",P210="To Verify")),"• "&amp;O210&amp;" ("&amp;P210&amp;")",""),IF(AND(Q210&lt;&gt;"",OR(R210="Optional",R210="If Applicable",R210="To Verify")),"• "&amp;Q210&amp;" ("&amp;R210&amp;")",""))</f>
        <v/>
      </c>
    </row>
    <row r="211" customFormat="false" ht="15" hidden="false" customHeight="false" outlineLevel="0" collapsed="false">
      <c r="A211" s="6" t="s">
        <v>2446</v>
      </c>
      <c r="B211" s="7" t="str">
        <f aca="false">IF($A211="","",IFERROR(INDEX(MASTER_DATABASE!$E$4:$E$1000,MATCH($A211,MASTER_DATABASE!$A$4:$A$1000,0)),""))</f>
        <v>Signature Resize</v>
      </c>
      <c r="C211" s="6" t="s">
        <v>3575</v>
      </c>
      <c r="D211" s="6" t="s">
        <v>3436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7" t="str">
        <f aca="false">_xlfn.TEXTJOIN(CHAR(10),TRUE(),IF(AND(C211&lt;&gt;"",D211="Mandatory"),"✓ "&amp;C211,""),IF(AND(E211&lt;&gt;"",F211="Mandatory"),"✓ "&amp;E211,""),IF(AND(G211&lt;&gt;"",H211="Mandatory"),"✓ "&amp;G211,""),IF(AND(I211&lt;&gt;"",J211="Mandatory"),"✓ "&amp;I211,""),IF(AND(K211&lt;&gt;"",L211="Mandatory"),"✓ "&amp;K211,""),IF(AND(M211&lt;&gt;"",N211="Mandatory"),"✓ "&amp;M211,""),IF(AND(O211&lt;&gt;"",P211="Mandatory"),"✓ "&amp;O211,""),IF(AND(Q211&lt;&gt;"",R211="Mandatory"),"✓ "&amp;Q211,""))</f>
        <v>✓ Old Photo / Photo Files</v>
      </c>
      <c r="T211" s="7" t="str">
        <f aca="false">_xlfn.TEXTJOIN(CHAR(10),TRUE(),IF(AND(C211&lt;&gt;"",OR(D211="Optional",D211="If Applicable",D211="To Verify")),"• "&amp;C211&amp;" ("&amp;D211&amp;")",""),IF(AND(E211&lt;&gt;"",OR(F211="Optional",F211="If Applicable",F211="To Verify")),"• "&amp;E211&amp;" ("&amp;F211&amp;")",""),IF(AND(G211&lt;&gt;"",OR(H211="Optional",H211="If Applicable",H211="To Verify")),"• "&amp;G211&amp;" ("&amp;H211&amp;")",""),IF(AND(I211&lt;&gt;"",OR(J211="Optional",J211="If Applicable",J211="To Verify")),"• "&amp;I211&amp;" ("&amp;J211&amp;")",""),IF(AND(K211&lt;&gt;"",OR(L211="Optional",L211="If Applicable",L211="To Verify")),"• "&amp;K211&amp;" ("&amp;L211&amp;")",""),IF(AND(M211&lt;&gt;"",OR(N211="Optional",N211="If Applicable",N211="To Verify")),"• "&amp;M211&amp;" ("&amp;N211&amp;")",""),IF(AND(O211&lt;&gt;"",OR(P211="Optional",P211="If Applicable",P211="To Verify")),"• "&amp;O211&amp;" ("&amp;P211&amp;")",""),IF(AND(Q211&lt;&gt;"",OR(R211="Optional",R211="If Applicable",R211="To Verify")),"• "&amp;Q211&amp;" ("&amp;R211&amp;")",""))</f>
        <v/>
      </c>
    </row>
    <row r="212" customFormat="false" ht="15" hidden="false" customHeight="false" outlineLevel="0" collapsed="false">
      <c r="A212" s="6" t="s">
        <v>2457</v>
      </c>
      <c r="B212" s="7" t="str">
        <f aca="false">IF($A212="","",IFERROR(INDEX(MASTER_DATABASE!$E$4:$E$1000,MATCH($A212,MASTER_DATABASE!$A$4:$A$1000,0)),""))</f>
        <v>Background Change</v>
      </c>
      <c r="C212" s="6" t="s">
        <v>3575</v>
      </c>
      <c r="D212" s="6" t="s">
        <v>3436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7" t="str">
        <f aca="false">_xlfn.TEXTJOIN(CHAR(10),TRUE(),IF(AND(C212&lt;&gt;"",D212="Mandatory"),"✓ "&amp;C212,""),IF(AND(E212&lt;&gt;"",F212="Mandatory"),"✓ "&amp;E212,""),IF(AND(G212&lt;&gt;"",H212="Mandatory"),"✓ "&amp;G212,""),IF(AND(I212&lt;&gt;"",J212="Mandatory"),"✓ "&amp;I212,""),IF(AND(K212&lt;&gt;"",L212="Mandatory"),"✓ "&amp;K212,""),IF(AND(M212&lt;&gt;"",N212="Mandatory"),"✓ "&amp;M212,""),IF(AND(O212&lt;&gt;"",P212="Mandatory"),"✓ "&amp;O212,""),IF(AND(Q212&lt;&gt;"",R212="Mandatory"),"✓ "&amp;Q212,""))</f>
        <v>✓ Old Photo / Photo Files</v>
      </c>
      <c r="T212" s="7" t="str">
        <f aca="false">_xlfn.TEXTJOIN(CHAR(10),TRUE(),IF(AND(C212&lt;&gt;"",OR(D212="Optional",D212="If Applicable",D212="To Verify")),"• "&amp;C212&amp;" ("&amp;D212&amp;")",""),IF(AND(E212&lt;&gt;"",OR(F212="Optional",F212="If Applicable",F212="To Verify")),"• "&amp;E212&amp;" ("&amp;F212&amp;")",""),IF(AND(G212&lt;&gt;"",OR(H212="Optional",H212="If Applicable",H212="To Verify")),"• "&amp;G212&amp;" ("&amp;H212&amp;")",""),IF(AND(I212&lt;&gt;"",OR(J212="Optional",J212="If Applicable",J212="To Verify")),"• "&amp;I212&amp;" ("&amp;J212&amp;")",""),IF(AND(K212&lt;&gt;"",OR(L212="Optional",L212="If Applicable",L212="To Verify")),"• "&amp;K212&amp;" ("&amp;L212&amp;")",""),IF(AND(M212&lt;&gt;"",OR(N212="Optional",N212="If Applicable",N212="To Verify")),"• "&amp;M212&amp;" ("&amp;N212&amp;")",""),IF(AND(O212&lt;&gt;"",OR(P212="Optional",P212="If Applicable",P212="To Verify")),"• "&amp;O212&amp;" ("&amp;P212&amp;")",""),IF(AND(Q212&lt;&gt;"",OR(R212="Optional",R212="If Applicable",R212="To Verify")),"• "&amp;Q212&amp;" ("&amp;R212&amp;")",""))</f>
        <v/>
      </c>
    </row>
    <row r="213" customFormat="false" ht="15" hidden="false" customHeight="false" outlineLevel="0" collapsed="false">
      <c r="A213" s="6" t="s">
        <v>2468</v>
      </c>
      <c r="B213" s="7" t="str">
        <f aca="false">IF($A213="","",IFERROR(INDEX(MASTER_DATABASE!$E$4:$E$1000,MATCH($A213,MASTER_DATABASE!$A$4:$A$1000,0)),""))</f>
        <v>Blue Background</v>
      </c>
      <c r="C213" s="6" t="s">
        <v>3575</v>
      </c>
      <c r="D213" s="6" t="s">
        <v>3436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7" t="str">
        <f aca="false">_xlfn.TEXTJOIN(CHAR(10),TRUE(),IF(AND(C213&lt;&gt;"",D213="Mandatory"),"✓ "&amp;C213,""),IF(AND(E213&lt;&gt;"",F213="Mandatory"),"✓ "&amp;E213,""),IF(AND(G213&lt;&gt;"",H213="Mandatory"),"✓ "&amp;G213,""),IF(AND(I213&lt;&gt;"",J213="Mandatory"),"✓ "&amp;I213,""),IF(AND(K213&lt;&gt;"",L213="Mandatory"),"✓ "&amp;K213,""),IF(AND(M213&lt;&gt;"",N213="Mandatory"),"✓ "&amp;M213,""),IF(AND(O213&lt;&gt;"",P213="Mandatory"),"✓ "&amp;O213,""),IF(AND(Q213&lt;&gt;"",R213="Mandatory"),"✓ "&amp;Q213,""))</f>
        <v>✓ Old Photo / Photo Files</v>
      </c>
      <c r="T213" s="7" t="str">
        <f aca="false">_xlfn.TEXTJOIN(CHAR(10),TRUE(),IF(AND(C213&lt;&gt;"",OR(D213="Optional",D213="If Applicable",D213="To Verify")),"• "&amp;C213&amp;" ("&amp;D213&amp;")",""),IF(AND(E213&lt;&gt;"",OR(F213="Optional",F213="If Applicable",F213="To Verify")),"• "&amp;E213&amp;" ("&amp;F213&amp;")",""),IF(AND(G213&lt;&gt;"",OR(H213="Optional",H213="If Applicable",H213="To Verify")),"• "&amp;G213&amp;" ("&amp;H213&amp;")",""),IF(AND(I213&lt;&gt;"",OR(J213="Optional",J213="If Applicable",J213="To Verify")),"• "&amp;I213&amp;" ("&amp;J213&amp;")",""),IF(AND(K213&lt;&gt;"",OR(L213="Optional",L213="If Applicable",L213="To Verify")),"• "&amp;K213&amp;" ("&amp;L213&amp;")",""),IF(AND(M213&lt;&gt;"",OR(N213="Optional",N213="If Applicable",N213="To Verify")),"• "&amp;M213&amp;" ("&amp;N213&amp;")",""),IF(AND(O213&lt;&gt;"",OR(P213="Optional",P213="If Applicable",P213="To Verify")),"• "&amp;O213&amp;" ("&amp;P213&amp;")",""),IF(AND(Q213&lt;&gt;"",OR(R213="Optional",R213="If Applicable",R213="To Verify")),"• "&amp;Q213&amp;" ("&amp;R213&amp;")",""))</f>
        <v/>
      </c>
    </row>
    <row r="214" customFormat="false" ht="15" hidden="false" customHeight="false" outlineLevel="0" collapsed="false">
      <c r="A214" s="6" t="s">
        <v>2479</v>
      </c>
      <c r="B214" s="7" t="str">
        <f aca="false">IF($A214="","",IFERROR(INDEX(MASTER_DATABASE!$E$4:$E$1000,MATCH($A214,MASTER_DATABASE!$A$4:$A$1000,0)),""))</f>
        <v>White Background</v>
      </c>
      <c r="C214" s="6" t="s">
        <v>3575</v>
      </c>
      <c r="D214" s="6" t="s">
        <v>3436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7" t="str">
        <f aca="false">_xlfn.TEXTJOIN(CHAR(10),TRUE(),IF(AND(C214&lt;&gt;"",D214="Mandatory"),"✓ "&amp;C214,""),IF(AND(E214&lt;&gt;"",F214="Mandatory"),"✓ "&amp;E214,""),IF(AND(G214&lt;&gt;"",H214="Mandatory"),"✓ "&amp;G214,""),IF(AND(I214&lt;&gt;"",J214="Mandatory"),"✓ "&amp;I214,""),IF(AND(K214&lt;&gt;"",L214="Mandatory"),"✓ "&amp;K214,""),IF(AND(M214&lt;&gt;"",N214="Mandatory"),"✓ "&amp;M214,""),IF(AND(O214&lt;&gt;"",P214="Mandatory"),"✓ "&amp;O214,""),IF(AND(Q214&lt;&gt;"",R214="Mandatory"),"✓ "&amp;Q214,""))</f>
        <v>✓ Old Photo / Photo Files</v>
      </c>
      <c r="T214" s="7" t="str">
        <f aca="false">_xlfn.TEXTJOIN(CHAR(10),TRUE(),IF(AND(C214&lt;&gt;"",OR(D214="Optional",D214="If Applicable",D214="To Verify")),"• "&amp;C214&amp;" ("&amp;D214&amp;")",""),IF(AND(E214&lt;&gt;"",OR(F214="Optional",F214="If Applicable",F214="To Verify")),"• "&amp;E214&amp;" ("&amp;F214&amp;")",""),IF(AND(G214&lt;&gt;"",OR(H214="Optional",H214="If Applicable",H214="To Verify")),"• "&amp;G214&amp;" ("&amp;H214&amp;")",""),IF(AND(I214&lt;&gt;"",OR(J214="Optional",J214="If Applicable",J214="To Verify")),"• "&amp;I214&amp;" ("&amp;J214&amp;")",""),IF(AND(K214&lt;&gt;"",OR(L214="Optional",L214="If Applicable",L214="To Verify")),"• "&amp;K214&amp;" ("&amp;L214&amp;")",""),IF(AND(M214&lt;&gt;"",OR(N214="Optional",N214="If Applicable",N214="To Verify")),"• "&amp;M214&amp;" ("&amp;N214&amp;")",""),IF(AND(O214&lt;&gt;"",OR(P214="Optional",P214="If Applicable",P214="To Verify")),"• "&amp;O214&amp;" ("&amp;P214&amp;")",""),IF(AND(Q214&lt;&gt;"",OR(R214="Optional",R214="If Applicable",R214="To Verify")),"• "&amp;Q214&amp;" ("&amp;R214&amp;")",""))</f>
        <v/>
      </c>
    </row>
    <row r="215" customFormat="false" ht="15" hidden="false" customHeight="false" outlineLevel="0" collapsed="false">
      <c r="A215" s="6" t="s">
        <v>2490</v>
      </c>
      <c r="B215" s="7" t="str">
        <f aca="false">IF($A215="","",IFERROR(INDEX(MASTER_DATABASE!$E$4:$E$1000,MATCH($A215,MASTER_DATABASE!$A$4:$A$1000,0)),""))</f>
        <v>Photo Retouching</v>
      </c>
      <c r="C215" s="6" t="s">
        <v>3575</v>
      </c>
      <c r="D215" s="6" t="s">
        <v>3436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7" t="str">
        <f aca="false">_xlfn.TEXTJOIN(CHAR(10),TRUE(),IF(AND(C215&lt;&gt;"",D215="Mandatory"),"✓ "&amp;C215,""),IF(AND(E215&lt;&gt;"",F215="Mandatory"),"✓ "&amp;E215,""),IF(AND(G215&lt;&gt;"",H215="Mandatory"),"✓ "&amp;G215,""),IF(AND(I215&lt;&gt;"",J215="Mandatory"),"✓ "&amp;I215,""),IF(AND(K215&lt;&gt;"",L215="Mandatory"),"✓ "&amp;K215,""),IF(AND(M215&lt;&gt;"",N215="Mandatory"),"✓ "&amp;M215,""),IF(AND(O215&lt;&gt;"",P215="Mandatory"),"✓ "&amp;O215,""),IF(AND(Q215&lt;&gt;"",R215="Mandatory"),"✓ "&amp;Q215,""))</f>
        <v>✓ Old Photo / Photo Files</v>
      </c>
      <c r="T215" s="7" t="str">
        <f aca="false">_xlfn.TEXTJOIN(CHAR(10),TRUE(),IF(AND(C215&lt;&gt;"",OR(D215="Optional",D215="If Applicable",D215="To Verify")),"• "&amp;C215&amp;" ("&amp;D215&amp;")",""),IF(AND(E215&lt;&gt;"",OR(F215="Optional",F215="If Applicable",F215="To Verify")),"• "&amp;E215&amp;" ("&amp;F215&amp;")",""),IF(AND(G215&lt;&gt;"",OR(H215="Optional",H215="If Applicable",H215="To Verify")),"• "&amp;G215&amp;" ("&amp;H215&amp;")",""),IF(AND(I215&lt;&gt;"",OR(J215="Optional",J215="If Applicable",J215="To Verify")),"• "&amp;I215&amp;" ("&amp;J215&amp;")",""),IF(AND(K215&lt;&gt;"",OR(L215="Optional",L215="If Applicable",L215="To Verify")),"• "&amp;K215&amp;" ("&amp;L215&amp;")",""),IF(AND(M215&lt;&gt;"",OR(N215="Optional",N215="If Applicable",N215="To Verify")),"• "&amp;M215&amp;" ("&amp;N215&amp;")",""),IF(AND(O215&lt;&gt;"",OR(P215="Optional",P215="If Applicable",P215="To Verify")),"• "&amp;O215&amp;" ("&amp;P215&amp;")",""),IF(AND(Q215&lt;&gt;"",OR(R215="Optional",R215="If Applicable",R215="To Verify")),"• "&amp;Q215&amp;" ("&amp;R215&amp;")",""))</f>
        <v/>
      </c>
    </row>
    <row r="216" customFormat="false" ht="15" hidden="false" customHeight="false" outlineLevel="0" collapsed="false">
      <c r="A216" s="6" t="s">
        <v>2501</v>
      </c>
      <c r="B216" s="7" t="str">
        <f aca="false">IF($A216="","",IFERROR(INDEX(MASTER_DATABASE!$E$4:$E$1000,MATCH($A216,MASTER_DATABASE!$A$4:$A$1000,0)),""))</f>
        <v>Face Cleanup</v>
      </c>
      <c r="C216" s="6" t="s">
        <v>3575</v>
      </c>
      <c r="D216" s="6" t="s">
        <v>3436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7" t="str">
        <f aca="false">_xlfn.TEXTJOIN(CHAR(10),TRUE(),IF(AND(C216&lt;&gt;"",D216="Mandatory"),"✓ "&amp;C216,""),IF(AND(E216&lt;&gt;"",F216="Mandatory"),"✓ "&amp;E216,""),IF(AND(G216&lt;&gt;"",H216="Mandatory"),"✓ "&amp;G216,""),IF(AND(I216&lt;&gt;"",J216="Mandatory"),"✓ "&amp;I216,""),IF(AND(K216&lt;&gt;"",L216="Mandatory"),"✓ "&amp;K216,""),IF(AND(M216&lt;&gt;"",N216="Mandatory"),"✓ "&amp;M216,""),IF(AND(O216&lt;&gt;"",P216="Mandatory"),"✓ "&amp;O216,""),IF(AND(Q216&lt;&gt;"",R216="Mandatory"),"✓ "&amp;Q216,""))</f>
        <v>✓ Old Photo / Photo Files</v>
      </c>
      <c r="T216" s="7" t="str">
        <f aca="false">_xlfn.TEXTJOIN(CHAR(10),TRUE(),IF(AND(C216&lt;&gt;"",OR(D216="Optional",D216="If Applicable",D216="To Verify")),"• "&amp;C216&amp;" ("&amp;D216&amp;")",""),IF(AND(E216&lt;&gt;"",OR(F216="Optional",F216="If Applicable",F216="To Verify")),"• "&amp;E216&amp;" ("&amp;F216&amp;")",""),IF(AND(G216&lt;&gt;"",OR(H216="Optional",H216="If Applicable",H216="To Verify")),"• "&amp;G216&amp;" ("&amp;H216&amp;")",""),IF(AND(I216&lt;&gt;"",OR(J216="Optional",J216="If Applicable",J216="To Verify")),"• "&amp;I216&amp;" ("&amp;J216&amp;")",""),IF(AND(K216&lt;&gt;"",OR(L216="Optional",L216="If Applicable",L216="To Verify")),"• "&amp;K216&amp;" ("&amp;L216&amp;")",""),IF(AND(M216&lt;&gt;"",OR(N216="Optional",N216="If Applicable",N216="To Verify")),"• "&amp;M216&amp;" ("&amp;N216&amp;")",""),IF(AND(O216&lt;&gt;"",OR(P216="Optional",P216="If Applicable",P216="To Verify")),"• "&amp;O216&amp;" ("&amp;P216&amp;")",""),IF(AND(Q216&lt;&gt;"",OR(R216="Optional",R216="If Applicable",R216="To Verify")),"• "&amp;Q216&amp;" ("&amp;R216&amp;")",""))</f>
        <v/>
      </c>
    </row>
    <row r="217" customFormat="false" ht="15" hidden="false" customHeight="false" outlineLevel="0" collapsed="false">
      <c r="A217" s="6" t="s">
        <v>2512</v>
      </c>
      <c r="B217" s="7" t="str">
        <f aca="false">IF($A217="","",IFERROR(INDEX(MASTER_DATABASE!$E$4:$E$1000,MATCH($A217,MASTER_DATABASE!$A$4:$A$1000,0)),""))</f>
        <v>Photo Enhancement</v>
      </c>
      <c r="C217" s="6" t="s">
        <v>3575</v>
      </c>
      <c r="D217" s="6" t="s">
        <v>3436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7" t="str">
        <f aca="false">_xlfn.TEXTJOIN(CHAR(10),TRUE(),IF(AND(C217&lt;&gt;"",D217="Mandatory"),"✓ "&amp;C217,""),IF(AND(E217&lt;&gt;"",F217="Mandatory"),"✓ "&amp;E217,""),IF(AND(G217&lt;&gt;"",H217="Mandatory"),"✓ "&amp;G217,""),IF(AND(I217&lt;&gt;"",J217="Mandatory"),"✓ "&amp;I217,""),IF(AND(K217&lt;&gt;"",L217="Mandatory"),"✓ "&amp;K217,""),IF(AND(M217&lt;&gt;"",N217="Mandatory"),"✓ "&amp;M217,""),IF(AND(O217&lt;&gt;"",P217="Mandatory"),"✓ "&amp;O217,""),IF(AND(Q217&lt;&gt;"",R217="Mandatory"),"✓ "&amp;Q217,""))</f>
        <v>✓ Old Photo / Photo Files</v>
      </c>
      <c r="T217" s="7" t="str">
        <f aca="false">_xlfn.TEXTJOIN(CHAR(10),TRUE(),IF(AND(C217&lt;&gt;"",OR(D217="Optional",D217="If Applicable",D217="To Verify")),"• "&amp;C217&amp;" ("&amp;D217&amp;")",""),IF(AND(E217&lt;&gt;"",OR(F217="Optional",F217="If Applicable",F217="To Verify")),"• "&amp;E217&amp;" ("&amp;F217&amp;")",""),IF(AND(G217&lt;&gt;"",OR(H217="Optional",H217="If Applicable",H217="To Verify")),"• "&amp;G217&amp;" ("&amp;H217&amp;")",""),IF(AND(I217&lt;&gt;"",OR(J217="Optional",J217="If Applicable",J217="To Verify")),"• "&amp;I217&amp;" ("&amp;J217&amp;")",""),IF(AND(K217&lt;&gt;"",OR(L217="Optional",L217="If Applicable",L217="To Verify")),"• "&amp;K217&amp;" ("&amp;L217&amp;")",""),IF(AND(M217&lt;&gt;"",OR(N217="Optional",N217="If Applicable",N217="To Verify")),"• "&amp;M217&amp;" ("&amp;N217&amp;")",""),IF(AND(O217&lt;&gt;"",OR(P217="Optional",P217="If Applicable",P217="To Verify")),"• "&amp;O217&amp;" ("&amp;P217&amp;")",""),IF(AND(Q217&lt;&gt;"",OR(R217="Optional",R217="If Applicable",R217="To Verify")),"• "&amp;Q217&amp;" ("&amp;R217&amp;")",""))</f>
        <v/>
      </c>
    </row>
    <row r="218" customFormat="false" ht="15" hidden="false" customHeight="false" outlineLevel="0" collapsed="false">
      <c r="A218" s="6" t="s">
        <v>2523</v>
      </c>
      <c r="B218" s="7" t="str">
        <f aca="false">IF($A218="","",IFERROR(INDEX(MASTER_DATABASE!$E$4:$E$1000,MATCH($A218,MASTER_DATABASE!$A$4:$A$1000,0)),""))</f>
        <v>Old Photo Restoration</v>
      </c>
      <c r="C218" s="6" t="s">
        <v>3575</v>
      </c>
      <c r="D218" s="6" t="s">
        <v>3436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7" t="str">
        <f aca="false">_xlfn.TEXTJOIN(CHAR(10),TRUE(),IF(AND(C218&lt;&gt;"",D218="Mandatory"),"✓ "&amp;C218,""),IF(AND(E218&lt;&gt;"",F218="Mandatory"),"✓ "&amp;E218,""),IF(AND(G218&lt;&gt;"",H218="Mandatory"),"✓ "&amp;G218,""),IF(AND(I218&lt;&gt;"",J218="Mandatory"),"✓ "&amp;I218,""),IF(AND(K218&lt;&gt;"",L218="Mandatory"),"✓ "&amp;K218,""),IF(AND(M218&lt;&gt;"",N218="Mandatory"),"✓ "&amp;M218,""),IF(AND(O218&lt;&gt;"",P218="Mandatory"),"✓ "&amp;O218,""),IF(AND(Q218&lt;&gt;"",R218="Mandatory"),"✓ "&amp;Q218,""))</f>
        <v>✓ Old Photo / Photo Files</v>
      </c>
      <c r="T218" s="7" t="str">
        <f aca="false">_xlfn.TEXTJOIN(CHAR(10),TRUE(),IF(AND(C218&lt;&gt;"",OR(D218="Optional",D218="If Applicable",D218="To Verify")),"• "&amp;C218&amp;" ("&amp;D218&amp;")",""),IF(AND(E218&lt;&gt;"",OR(F218="Optional",F218="If Applicable",F218="To Verify")),"• "&amp;E218&amp;" ("&amp;F218&amp;")",""),IF(AND(G218&lt;&gt;"",OR(H218="Optional",H218="If Applicable",H218="To Verify")),"• "&amp;G218&amp;" ("&amp;H218&amp;")",""),IF(AND(I218&lt;&gt;"",OR(J218="Optional",J218="If Applicable",J218="To Verify")),"• "&amp;I218&amp;" ("&amp;J218&amp;")",""),IF(AND(K218&lt;&gt;"",OR(L218="Optional",L218="If Applicable",L218="To Verify")),"• "&amp;K218&amp;" ("&amp;L218&amp;")",""),IF(AND(M218&lt;&gt;"",OR(N218="Optional",N218="If Applicable",N218="To Verify")),"• "&amp;M218&amp;" ("&amp;N218&amp;")",""),IF(AND(O218&lt;&gt;"",OR(P218="Optional",P218="If Applicable",P218="To Verify")),"• "&amp;O218&amp;" ("&amp;P218&amp;")",""),IF(AND(Q218&lt;&gt;"",OR(R218="Optional",R218="If Applicable",R218="To Verify")),"• "&amp;Q218&amp;" ("&amp;R218&amp;")",""))</f>
        <v/>
      </c>
    </row>
    <row r="219" customFormat="false" ht="15" hidden="false" customHeight="false" outlineLevel="0" collapsed="false">
      <c r="A219" s="6" t="s">
        <v>2534</v>
      </c>
      <c r="B219" s="7" t="str">
        <f aca="false">IF($A219="","",IFERROR(INDEX(MASTER_DATABASE!$E$4:$E$1000,MATCH($A219,MASTER_DATABASE!$A$4:$A$1000,0)),""))</f>
        <v>Photo Print</v>
      </c>
      <c r="C219" s="6" t="s">
        <v>3575</v>
      </c>
      <c r="D219" s="6" t="s">
        <v>3436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7" t="str">
        <f aca="false">_xlfn.TEXTJOIN(CHAR(10),TRUE(),IF(AND(C219&lt;&gt;"",D219="Mandatory"),"✓ "&amp;C219,""),IF(AND(E219&lt;&gt;"",F219="Mandatory"),"✓ "&amp;E219,""),IF(AND(G219&lt;&gt;"",H219="Mandatory"),"✓ "&amp;G219,""),IF(AND(I219&lt;&gt;"",J219="Mandatory"),"✓ "&amp;I219,""),IF(AND(K219&lt;&gt;"",L219="Mandatory"),"✓ "&amp;K219,""),IF(AND(M219&lt;&gt;"",N219="Mandatory"),"✓ "&amp;M219,""),IF(AND(O219&lt;&gt;"",P219="Mandatory"),"✓ "&amp;O219,""),IF(AND(Q219&lt;&gt;"",R219="Mandatory"),"✓ "&amp;Q219,""))</f>
        <v>✓ Old Photo / Photo Files</v>
      </c>
      <c r="T219" s="7" t="str">
        <f aca="false">_xlfn.TEXTJOIN(CHAR(10),TRUE(),IF(AND(C219&lt;&gt;"",OR(D219="Optional",D219="If Applicable",D219="To Verify")),"• "&amp;C219&amp;" ("&amp;D219&amp;")",""),IF(AND(E219&lt;&gt;"",OR(F219="Optional",F219="If Applicable",F219="To Verify")),"• "&amp;E219&amp;" ("&amp;F219&amp;")",""),IF(AND(G219&lt;&gt;"",OR(H219="Optional",H219="If Applicable",H219="To Verify")),"• "&amp;G219&amp;" ("&amp;H219&amp;")",""),IF(AND(I219&lt;&gt;"",OR(J219="Optional",J219="If Applicable",J219="To Verify")),"• "&amp;I219&amp;" ("&amp;J219&amp;")",""),IF(AND(K219&lt;&gt;"",OR(L219="Optional",L219="If Applicable",L219="To Verify")),"• "&amp;K219&amp;" ("&amp;L219&amp;")",""),IF(AND(M219&lt;&gt;"",OR(N219="Optional",N219="If Applicable",N219="To Verify")),"• "&amp;M219&amp;" ("&amp;N219&amp;")",""),IF(AND(O219&lt;&gt;"",OR(P219="Optional",P219="If Applicable",P219="To Verify")),"• "&amp;O219&amp;" ("&amp;P219&amp;")",""),IF(AND(Q219&lt;&gt;"",OR(R219="Optional",R219="If Applicable",R219="To Verify")),"• "&amp;Q219&amp;" ("&amp;R219&amp;")",""))</f>
        <v/>
      </c>
    </row>
    <row r="220" customFormat="false" ht="15" hidden="false" customHeight="false" outlineLevel="0" collapsed="false">
      <c r="A220" s="6" t="s">
        <v>2546</v>
      </c>
      <c r="B220" s="7" t="str">
        <f aca="false">IF($A220="","",IFERROR(INDEX(MASTER_DATABASE!$E$4:$E$1000,MATCH($A220,MASTER_DATABASE!$A$4:$A$1000,0)),""))</f>
        <v>4×6 Photo Sheet</v>
      </c>
      <c r="C220" s="6" t="s">
        <v>3575</v>
      </c>
      <c r="D220" s="6" t="s">
        <v>3436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7" t="str">
        <f aca="false">_xlfn.TEXTJOIN(CHAR(10),TRUE(),IF(AND(C220&lt;&gt;"",D220="Mandatory"),"✓ "&amp;C220,""),IF(AND(E220&lt;&gt;"",F220="Mandatory"),"✓ "&amp;E220,""),IF(AND(G220&lt;&gt;"",H220="Mandatory"),"✓ "&amp;G220,""),IF(AND(I220&lt;&gt;"",J220="Mandatory"),"✓ "&amp;I220,""),IF(AND(K220&lt;&gt;"",L220="Mandatory"),"✓ "&amp;K220,""),IF(AND(M220&lt;&gt;"",N220="Mandatory"),"✓ "&amp;M220,""),IF(AND(O220&lt;&gt;"",P220="Mandatory"),"✓ "&amp;O220,""),IF(AND(Q220&lt;&gt;"",R220="Mandatory"),"✓ "&amp;Q220,""))</f>
        <v>✓ Old Photo / Photo Files</v>
      </c>
      <c r="T220" s="7" t="str">
        <f aca="false">_xlfn.TEXTJOIN(CHAR(10),TRUE(),IF(AND(C220&lt;&gt;"",OR(D220="Optional",D220="If Applicable",D220="To Verify")),"• "&amp;C220&amp;" ("&amp;D220&amp;")",""),IF(AND(E220&lt;&gt;"",OR(F220="Optional",F220="If Applicable",F220="To Verify")),"• "&amp;E220&amp;" ("&amp;F220&amp;")",""),IF(AND(G220&lt;&gt;"",OR(H220="Optional",H220="If Applicable",H220="To Verify")),"• "&amp;G220&amp;" ("&amp;H220&amp;")",""),IF(AND(I220&lt;&gt;"",OR(J220="Optional",J220="If Applicable",J220="To Verify")),"• "&amp;I220&amp;" ("&amp;J220&amp;")",""),IF(AND(K220&lt;&gt;"",OR(L220="Optional",L220="If Applicable",L220="To Verify")),"• "&amp;K220&amp;" ("&amp;L220&amp;")",""),IF(AND(M220&lt;&gt;"",OR(N220="Optional",N220="If Applicable",N220="To Verify")),"• "&amp;M220&amp;" ("&amp;N220&amp;")",""),IF(AND(O220&lt;&gt;"",OR(P220="Optional",P220="If Applicable",P220="To Verify")),"• "&amp;O220&amp;" ("&amp;P220&amp;")",""),IF(AND(Q220&lt;&gt;"",OR(R220="Optional",R220="If Applicable",R220="To Verify")),"• "&amp;Q220&amp;" ("&amp;R220&amp;")",""))</f>
        <v/>
      </c>
    </row>
    <row r="221" customFormat="false" ht="15" hidden="false" customHeight="false" outlineLevel="0" collapsed="false">
      <c r="A221" s="6" t="s">
        <v>2557</v>
      </c>
      <c r="B221" s="7" t="str">
        <f aca="false">IF($A221="","",IFERROR(INDEX(MASTER_DATABASE!$E$4:$E$1000,MATCH($A221,MASTER_DATABASE!$A$4:$A$1000,0)),""))</f>
        <v>Multiple Photo Layout</v>
      </c>
      <c r="C221" s="6" t="s">
        <v>3575</v>
      </c>
      <c r="D221" s="6" t="s">
        <v>3436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7" t="str">
        <f aca="false">_xlfn.TEXTJOIN(CHAR(10),TRUE(),IF(AND(C221&lt;&gt;"",D221="Mandatory"),"✓ "&amp;C221,""),IF(AND(E221&lt;&gt;"",F221="Mandatory"),"✓ "&amp;E221,""),IF(AND(G221&lt;&gt;"",H221="Mandatory"),"✓ "&amp;G221,""),IF(AND(I221&lt;&gt;"",J221="Mandatory"),"✓ "&amp;I221,""),IF(AND(K221&lt;&gt;"",L221="Mandatory"),"✓ "&amp;K221,""),IF(AND(M221&lt;&gt;"",N221="Mandatory"),"✓ "&amp;M221,""),IF(AND(O221&lt;&gt;"",P221="Mandatory"),"✓ "&amp;O221,""),IF(AND(Q221&lt;&gt;"",R221="Mandatory"),"✓ "&amp;Q221,""))</f>
        <v>✓ Old Photo / Photo Files</v>
      </c>
      <c r="T221" s="7" t="str">
        <f aca="false">_xlfn.TEXTJOIN(CHAR(10),TRUE(),IF(AND(C221&lt;&gt;"",OR(D221="Optional",D221="If Applicable",D221="To Verify")),"• "&amp;C221&amp;" ("&amp;D221&amp;")",""),IF(AND(E221&lt;&gt;"",OR(F221="Optional",F221="If Applicable",F221="To Verify")),"• "&amp;E221&amp;" ("&amp;F221&amp;")",""),IF(AND(G221&lt;&gt;"",OR(H221="Optional",H221="If Applicable",H221="To Verify")),"• "&amp;G221&amp;" ("&amp;H221&amp;")",""),IF(AND(I221&lt;&gt;"",OR(J221="Optional",J221="If Applicable",J221="To Verify")),"• "&amp;I221&amp;" ("&amp;J221&amp;")",""),IF(AND(K221&lt;&gt;"",OR(L221="Optional",L221="If Applicable",L221="To Verify")),"• "&amp;K221&amp;" ("&amp;L221&amp;")",""),IF(AND(M221&lt;&gt;"",OR(N221="Optional",N221="If Applicable",N221="To Verify")),"• "&amp;M221&amp;" ("&amp;N221&amp;")",""),IF(AND(O221&lt;&gt;"",OR(P221="Optional",P221="If Applicable",P221="To Verify")),"• "&amp;O221&amp;" ("&amp;P221&amp;")",""),IF(AND(Q221&lt;&gt;"",OR(R221="Optional",R221="If Applicable",R221="To Verify")),"• "&amp;Q221&amp;" ("&amp;R221&amp;")",""))</f>
        <v/>
      </c>
    </row>
    <row r="222" customFormat="false" ht="15" hidden="false" customHeight="false" outlineLevel="0" collapsed="false">
      <c r="A222" s="6" t="s">
        <v>2568</v>
      </c>
      <c r="B222" s="7" t="str">
        <f aca="false">IF($A222="","",IFERROR(INDEX(MASTER_DATABASE!$E$4:$E$1000,MATCH($A222,MASTER_DATABASE!$A$4:$A$1000,0)),""))</f>
        <v>Visiting Card Design</v>
      </c>
      <c r="C222" s="6" t="s">
        <v>3579</v>
      </c>
      <c r="D222" s="6" t="s">
        <v>3436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7" t="str">
        <f aca="false">_xlfn.TEXTJOIN(CHAR(10),TRUE(),IF(AND(C222&lt;&gt;"",D222="Mandatory"),"✓ "&amp;C222,""),IF(AND(E222&lt;&gt;"",F222="Mandatory"),"✓ "&amp;E222,""),IF(AND(G222&lt;&gt;"",H222="Mandatory"),"✓ "&amp;G222,""),IF(AND(I222&lt;&gt;"",J222="Mandatory"),"✓ "&amp;I222,""),IF(AND(K222&lt;&gt;"",L222="Mandatory"),"✓ "&amp;K222,""),IF(AND(M222&lt;&gt;"",N222="Mandatory"),"✓ "&amp;M222,""),IF(AND(O222&lt;&gt;"",P222="Mandatory"),"✓ "&amp;O222,""),IF(AND(Q222&lt;&gt;"",R222="Mandatory"),"✓ "&amp;Q222,""))</f>
        <v>✓ Design Content / Text</v>
      </c>
      <c r="T222" s="7" t="str">
        <f aca="false">_xlfn.TEXTJOIN(CHAR(10),TRUE(),IF(AND(C222&lt;&gt;"",OR(D222="Optional",D222="If Applicable",D222="To Verify")),"• "&amp;C222&amp;" ("&amp;D222&amp;")",""),IF(AND(E222&lt;&gt;"",OR(F222="Optional",F222="If Applicable",F222="To Verify")),"• "&amp;E222&amp;" ("&amp;F222&amp;")",""),IF(AND(G222&lt;&gt;"",OR(H222="Optional",H222="If Applicable",H222="To Verify")),"• "&amp;G222&amp;" ("&amp;H222&amp;")",""),IF(AND(I222&lt;&gt;"",OR(J222="Optional",J222="If Applicable",J222="To Verify")),"• "&amp;I222&amp;" ("&amp;J222&amp;")",""),IF(AND(K222&lt;&gt;"",OR(L222="Optional",L222="If Applicable",L222="To Verify")),"• "&amp;K222&amp;" ("&amp;L222&amp;")",""),IF(AND(M222&lt;&gt;"",OR(N222="Optional",N222="If Applicable",N222="To Verify")),"• "&amp;M222&amp;" ("&amp;N222&amp;")",""),IF(AND(O222&lt;&gt;"",OR(P222="Optional",P222="If Applicable",P222="To Verify")),"• "&amp;O222&amp;" ("&amp;P222&amp;")",""),IF(AND(Q222&lt;&gt;"",OR(R222="Optional",R222="If Applicable",R222="To Verify")),"• "&amp;Q222&amp;" ("&amp;R222&amp;")",""))</f>
        <v/>
      </c>
    </row>
    <row r="223" customFormat="false" ht="15" hidden="false" customHeight="false" outlineLevel="0" collapsed="false">
      <c r="A223" s="6" t="s">
        <v>2581</v>
      </c>
      <c r="B223" s="7" t="str">
        <f aca="false">IF($A223="","",IFERROR(INDEX(MASTER_DATABASE!$E$4:$E$1000,MATCH($A223,MASTER_DATABASE!$A$4:$A$1000,0)),""))</f>
        <v>ID Card Design</v>
      </c>
      <c r="C223" s="6" t="s">
        <v>3579</v>
      </c>
      <c r="D223" s="6" t="s">
        <v>3436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7" t="str">
        <f aca="false">_xlfn.TEXTJOIN(CHAR(10),TRUE(),IF(AND(C223&lt;&gt;"",D223="Mandatory"),"✓ "&amp;C223,""),IF(AND(E223&lt;&gt;"",F223="Mandatory"),"✓ "&amp;E223,""),IF(AND(G223&lt;&gt;"",H223="Mandatory"),"✓ "&amp;G223,""),IF(AND(I223&lt;&gt;"",J223="Mandatory"),"✓ "&amp;I223,""),IF(AND(K223&lt;&gt;"",L223="Mandatory"),"✓ "&amp;K223,""),IF(AND(M223&lt;&gt;"",N223="Mandatory"),"✓ "&amp;M223,""),IF(AND(O223&lt;&gt;"",P223="Mandatory"),"✓ "&amp;O223,""),IF(AND(Q223&lt;&gt;"",R223="Mandatory"),"✓ "&amp;Q223,""))</f>
        <v>✓ Design Content / Text</v>
      </c>
      <c r="T223" s="7" t="str">
        <f aca="false">_xlfn.TEXTJOIN(CHAR(10),TRUE(),IF(AND(C223&lt;&gt;"",OR(D223="Optional",D223="If Applicable",D223="To Verify")),"• "&amp;C223&amp;" ("&amp;D223&amp;")",""),IF(AND(E223&lt;&gt;"",OR(F223="Optional",F223="If Applicable",F223="To Verify")),"• "&amp;E223&amp;" ("&amp;F223&amp;")",""),IF(AND(G223&lt;&gt;"",OR(H223="Optional",H223="If Applicable",H223="To Verify")),"• "&amp;G223&amp;" ("&amp;H223&amp;")",""),IF(AND(I223&lt;&gt;"",OR(J223="Optional",J223="If Applicable",J223="To Verify")),"• "&amp;I223&amp;" ("&amp;J223&amp;")",""),IF(AND(K223&lt;&gt;"",OR(L223="Optional",L223="If Applicable",L223="To Verify")),"• "&amp;K223&amp;" ("&amp;L223&amp;")",""),IF(AND(M223&lt;&gt;"",OR(N223="Optional",N223="If Applicable",N223="To Verify")),"• "&amp;M223&amp;" ("&amp;N223&amp;")",""),IF(AND(O223&lt;&gt;"",OR(P223="Optional",P223="If Applicable",P223="To Verify")),"• "&amp;O223&amp;" ("&amp;P223&amp;")",""),IF(AND(Q223&lt;&gt;"",OR(R223="Optional",R223="If Applicable",R223="To Verify")),"• "&amp;Q223&amp;" ("&amp;R223&amp;")",""))</f>
        <v/>
      </c>
    </row>
    <row r="224" customFormat="false" ht="15" hidden="false" customHeight="false" outlineLevel="0" collapsed="false">
      <c r="A224" s="6" t="s">
        <v>2591</v>
      </c>
      <c r="B224" s="7" t="str">
        <f aca="false">IF($A224="","",IFERROR(INDEX(MASTER_DATABASE!$E$4:$E$1000,MATCH($A224,MASTER_DATABASE!$A$4:$A$1000,0)),""))</f>
        <v>Certificate Design</v>
      </c>
      <c r="C224" s="6" t="s">
        <v>3579</v>
      </c>
      <c r="D224" s="6" t="s">
        <v>3436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7" t="str">
        <f aca="false">_xlfn.TEXTJOIN(CHAR(10),TRUE(),IF(AND(C224&lt;&gt;"",D224="Mandatory"),"✓ "&amp;C224,""),IF(AND(E224&lt;&gt;"",F224="Mandatory"),"✓ "&amp;E224,""),IF(AND(G224&lt;&gt;"",H224="Mandatory"),"✓ "&amp;G224,""),IF(AND(I224&lt;&gt;"",J224="Mandatory"),"✓ "&amp;I224,""),IF(AND(K224&lt;&gt;"",L224="Mandatory"),"✓ "&amp;K224,""),IF(AND(M224&lt;&gt;"",N224="Mandatory"),"✓ "&amp;M224,""),IF(AND(O224&lt;&gt;"",P224="Mandatory"),"✓ "&amp;O224,""),IF(AND(Q224&lt;&gt;"",R224="Mandatory"),"✓ "&amp;Q224,""))</f>
        <v>✓ Design Content / Text</v>
      </c>
      <c r="T224" s="7" t="str">
        <f aca="false">_xlfn.TEXTJOIN(CHAR(10),TRUE(),IF(AND(C224&lt;&gt;"",OR(D224="Optional",D224="If Applicable",D224="To Verify")),"• "&amp;C224&amp;" ("&amp;D224&amp;")",""),IF(AND(E224&lt;&gt;"",OR(F224="Optional",F224="If Applicable",F224="To Verify")),"• "&amp;E224&amp;" ("&amp;F224&amp;")",""),IF(AND(G224&lt;&gt;"",OR(H224="Optional",H224="If Applicable",H224="To Verify")),"• "&amp;G224&amp;" ("&amp;H224&amp;")",""),IF(AND(I224&lt;&gt;"",OR(J224="Optional",J224="If Applicable",J224="To Verify")),"• "&amp;I224&amp;" ("&amp;J224&amp;")",""),IF(AND(K224&lt;&gt;"",OR(L224="Optional",L224="If Applicable",L224="To Verify")),"• "&amp;K224&amp;" ("&amp;L224&amp;")",""),IF(AND(M224&lt;&gt;"",OR(N224="Optional",N224="If Applicable",N224="To Verify")),"• "&amp;M224&amp;" ("&amp;N224&amp;")",""),IF(AND(O224&lt;&gt;"",OR(P224="Optional",P224="If Applicable",P224="To Verify")),"• "&amp;O224&amp;" ("&amp;P224&amp;")",""),IF(AND(Q224&lt;&gt;"",OR(R224="Optional",R224="If Applicable",R224="To Verify")),"• "&amp;Q224&amp;" ("&amp;R224&amp;")",""))</f>
        <v/>
      </c>
    </row>
    <row r="225" customFormat="false" ht="15" hidden="false" customHeight="false" outlineLevel="0" collapsed="false">
      <c r="A225" s="6" t="s">
        <v>2601</v>
      </c>
      <c r="B225" s="7" t="str">
        <f aca="false">IF($A225="","",IFERROR(INDEX(MASTER_DATABASE!$E$4:$E$1000,MATCH($A225,MASTER_DATABASE!$A$4:$A$1000,0)),""))</f>
        <v>Poster Design</v>
      </c>
      <c r="C225" s="6" t="s">
        <v>3579</v>
      </c>
      <c r="D225" s="6" t="s">
        <v>3436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7" t="str">
        <f aca="false">_xlfn.TEXTJOIN(CHAR(10),TRUE(),IF(AND(C225&lt;&gt;"",D225="Mandatory"),"✓ "&amp;C225,""),IF(AND(E225&lt;&gt;"",F225="Mandatory"),"✓ "&amp;E225,""),IF(AND(G225&lt;&gt;"",H225="Mandatory"),"✓ "&amp;G225,""),IF(AND(I225&lt;&gt;"",J225="Mandatory"),"✓ "&amp;I225,""),IF(AND(K225&lt;&gt;"",L225="Mandatory"),"✓ "&amp;K225,""),IF(AND(M225&lt;&gt;"",N225="Mandatory"),"✓ "&amp;M225,""),IF(AND(O225&lt;&gt;"",P225="Mandatory"),"✓ "&amp;O225,""),IF(AND(Q225&lt;&gt;"",R225="Mandatory"),"✓ "&amp;Q225,""))</f>
        <v>✓ Design Content / Text</v>
      </c>
      <c r="T225" s="7" t="str">
        <f aca="false">_xlfn.TEXTJOIN(CHAR(10),TRUE(),IF(AND(C225&lt;&gt;"",OR(D225="Optional",D225="If Applicable",D225="To Verify")),"• "&amp;C225&amp;" ("&amp;D225&amp;")",""),IF(AND(E225&lt;&gt;"",OR(F225="Optional",F225="If Applicable",F225="To Verify")),"• "&amp;E225&amp;" ("&amp;F225&amp;")",""),IF(AND(G225&lt;&gt;"",OR(H225="Optional",H225="If Applicable",H225="To Verify")),"• "&amp;G225&amp;" ("&amp;H225&amp;")",""),IF(AND(I225&lt;&gt;"",OR(J225="Optional",J225="If Applicable",J225="To Verify")),"• "&amp;I225&amp;" ("&amp;J225&amp;")",""),IF(AND(K225&lt;&gt;"",OR(L225="Optional",L225="If Applicable",L225="To Verify")),"• "&amp;K225&amp;" ("&amp;L225&amp;")",""),IF(AND(M225&lt;&gt;"",OR(N225="Optional",N225="If Applicable",N225="To Verify")),"• "&amp;M225&amp;" ("&amp;N225&amp;")",""),IF(AND(O225&lt;&gt;"",OR(P225="Optional",P225="If Applicable",P225="To Verify")),"• "&amp;O225&amp;" ("&amp;P225&amp;")",""),IF(AND(Q225&lt;&gt;"",OR(R225="Optional",R225="If Applicable",R225="To Verify")),"• "&amp;Q225&amp;" ("&amp;R225&amp;")",""))</f>
        <v/>
      </c>
    </row>
    <row r="226" customFormat="false" ht="15" hidden="false" customHeight="false" outlineLevel="0" collapsed="false">
      <c r="A226" s="6" t="s">
        <v>2611</v>
      </c>
      <c r="B226" s="7" t="str">
        <f aca="false">IF($A226="","",IFERROR(INDEX(MASTER_DATABASE!$E$4:$E$1000,MATCH($A226,MASTER_DATABASE!$A$4:$A$1000,0)),""))</f>
        <v>Banner Design</v>
      </c>
      <c r="C226" s="6" t="s">
        <v>3579</v>
      </c>
      <c r="D226" s="6" t="s">
        <v>3436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7" t="str">
        <f aca="false">_xlfn.TEXTJOIN(CHAR(10),TRUE(),IF(AND(C226&lt;&gt;"",D226="Mandatory"),"✓ "&amp;C226,""),IF(AND(E226&lt;&gt;"",F226="Mandatory"),"✓ "&amp;E226,""),IF(AND(G226&lt;&gt;"",H226="Mandatory"),"✓ "&amp;G226,""),IF(AND(I226&lt;&gt;"",J226="Mandatory"),"✓ "&amp;I226,""),IF(AND(K226&lt;&gt;"",L226="Mandatory"),"✓ "&amp;K226,""),IF(AND(M226&lt;&gt;"",N226="Mandatory"),"✓ "&amp;M226,""),IF(AND(O226&lt;&gt;"",P226="Mandatory"),"✓ "&amp;O226,""),IF(AND(Q226&lt;&gt;"",R226="Mandatory"),"✓ "&amp;Q226,""))</f>
        <v>✓ Design Content / Text</v>
      </c>
      <c r="T226" s="7" t="str">
        <f aca="false">_xlfn.TEXTJOIN(CHAR(10),TRUE(),IF(AND(C226&lt;&gt;"",OR(D226="Optional",D226="If Applicable",D226="To Verify")),"• "&amp;C226&amp;" ("&amp;D226&amp;")",""),IF(AND(E226&lt;&gt;"",OR(F226="Optional",F226="If Applicable",F226="To Verify")),"• "&amp;E226&amp;" ("&amp;F226&amp;")",""),IF(AND(G226&lt;&gt;"",OR(H226="Optional",H226="If Applicable",H226="To Verify")),"• "&amp;G226&amp;" ("&amp;H226&amp;")",""),IF(AND(I226&lt;&gt;"",OR(J226="Optional",J226="If Applicable",J226="To Verify")),"• "&amp;I226&amp;" ("&amp;J226&amp;")",""),IF(AND(K226&lt;&gt;"",OR(L226="Optional",L226="If Applicable",L226="To Verify")),"• "&amp;K226&amp;" ("&amp;L226&amp;")",""),IF(AND(M226&lt;&gt;"",OR(N226="Optional",N226="If Applicable",N226="To Verify")),"• "&amp;M226&amp;" ("&amp;N226&amp;")",""),IF(AND(O226&lt;&gt;"",OR(P226="Optional",P226="If Applicable",P226="To Verify")),"• "&amp;O226&amp;" ("&amp;P226&amp;")",""),IF(AND(Q226&lt;&gt;"",OR(R226="Optional",R226="If Applicable",R226="To Verify")),"• "&amp;Q226&amp;" ("&amp;R226&amp;")",""))</f>
        <v/>
      </c>
    </row>
    <row r="227" customFormat="false" ht="15" hidden="false" customHeight="false" outlineLevel="0" collapsed="false">
      <c r="A227" s="6" t="s">
        <v>2621</v>
      </c>
      <c r="B227" s="7" t="str">
        <f aca="false">IF($A227="","",IFERROR(INDEX(MASTER_DATABASE!$E$4:$E$1000,MATCH($A227,MASTER_DATABASE!$A$4:$A$1000,0)),""))</f>
        <v>Pamphlet Design</v>
      </c>
      <c r="C227" s="6" t="s">
        <v>3579</v>
      </c>
      <c r="D227" s="6" t="s">
        <v>3436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7" t="str">
        <f aca="false">_xlfn.TEXTJOIN(CHAR(10),TRUE(),IF(AND(C227&lt;&gt;"",D227="Mandatory"),"✓ "&amp;C227,""),IF(AND(E227&lt;&gt;"",F227="Mandatory"),"✓ "&amp;E227,""),IF(AND(G227&lt;&gt;"",H227="Mandatory"),"✓ "&amp;G227,""),IF(AND(I227&lt;&gt;"",J227="Mandatory"),"✓ "&amp;I227,""),IF(AND(K227&lt;&gt;"",L227="Mandatory"),"✓ "&amp;K227,""),IF(AND(M227&lt;&gt;"",N227="Mandatory"),"✓ "&amp;M227,""),IF(AND(O227&lt;&gt;"",P227="Mandatory"),"✓ "&amp;O227,""),IF(AND(Q227&lt;&gt;"",R227="Mandatory"),"✓ "&amp;Q227,""))</f>
        <v>✓ Design Content / Text</v>
      </c>
      <c r="T227" s="7" t="str">
        <f aca="false">_xlfn.TEXTJOIN(CHAR(10),TRUE(),IF(AND(C227&lt;&gt;"",OR(D227="Optional",D227="If Applicable",D227="To Verify")),"• "&amp;C227&amp;" ("&amp;D227&amp;")",""),IF(AND(E227&lt;&gt;"",OR(F227="Optional",F227="If Applicable",F227="To Verify")),"• "&amp;E227&amp;" ("&amp;F227&amp;")",""),IF(AND(G227&lt;&gt;"",OR(H227="Optional",H227="If Applicable",H227="To Verify")),"• "&amp;G227&amp;" ("&amp;H227&amp;")",""),IF(AND(I227&lt;&gt;"",OR(J227="Optional",J227="If Applicable",J227="To Verify")),"• "&amp;I227&amp;" ("&amp;J227&amp;")",""),IF(AND(K227&lt;&gt;"",OR(L227="Optional",L227="If Applicable",L227="To Verify")),"• "&amp;K227&amp;" ("&amp;L227&amp;")",""),IF(AND(M227&lt;&gt;"",OR(N227="Optional",N227="If Applicable",N227="To Verify")),"• "&amp;M227&amp;" ("&amp;N227&amp;")",""),IF(AND(O227&lt;&gt;"",OR(P227="Optional",P227="If Applicable",P227="To Verify")),"• "&amp;O227&amp;" ("&amp;P227&amp;")",""),IF(AND(Q227&lt;&gt;"",OR(R227="Optional",R227="If Applicable",R227="To Verify")),"• "&amp;Q227&amp;" ("&amp;R227&amp;")",""))</f>
        <v/>
      </c>
    </row>
    <row r="228" customFormat="false" ht="15" hidden="false" customHeight="false" outlineLevel="0" collapsed="false">
      <c r="A228" s="6" t="s">
        <v>2631</v>
      </c>
      <c r="B228" s="7" t="str">
        <f aca="false">IF($A228="","",IFERROR(INDEX(MASTER_DATABASE!$E$4:$E$1000,MATCH($A228,MASTER_DATABASE!$A$4:$A$1000,0)),""))</f>
        <v>Invitation Card Design</v>
      </c>
      <c r="C228" s="6" t="s">
        <v>3579</v>
      </c>
      <c r="D228" s="6" t="s">
        <v>3436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7" t="str">
        <f aca="false">_xlfn.TEXTJOIN(CHAR(10),TRUE(),IF(AND(C228&lt;&gt;"",D228="Mandatory"),"✓ "&amp;C228,""),IF(AND(E228&lt;&gt;"",F228="Mandatory"),"✓ "&amp;E228,""),IF(AND(G228&lt;&gt;"",H228="Mandatory"),"✓ "&amp;G228,""),IF(AND(I228&lt;&gt;"",J228="Mandatory"),"✓ "&amp;I228,""),IF(AND(K228&lt;&gt;"",L228="Mandatory"),"✓ "&amp;K228,""),IF(AND(M228&lt;&gt;"",N228="Mandatory"),"✓ "&amp;M228,""),IF(AND(O228&lt;&gt;"",P228="Mandatory"),"✓ "&amp;O228,""),IF(AND(Q228&lt;&gt;"",R228="Mandatory"),"✓ "&amp;Q228,""))</f>
        <v>✓ Design Content / Text</v>
      </c>
      <c r="T228" s="7" t="str">
        <f aca="false">_xlfn.TEXTJOIN(CHAR(10),TRUE(),IF(AND(C228&lt;&gt;"",OR(D228="Optional",D228="If Applicable",D228="To Verify")),"• "&amp;C228&amp;" ("&amp;D228&amp;")",""),IF(AND(E228&lt;&gt;"",OR(F228="Optional",F228="If Applicable",F228="To Verify")),"• "&amp;E228&amp;" ("&amp;F228&amp;")",""),IF(AND(G228&lt;&gt;"",OR(H228="Optional",H228="If Applicable",H228="To Verify")),"• "&amp;G228&amp;" ("&amp;H228&amp;")",""),IF(AND(I228&lt;&gt;"",OR(J228="Optional",J228="If Applicable",J228="To Verify")),"• "&amp;I228&amp;" ("&amp;J228&amp;")",""),IF(AND(K228&lt;&gt;"",OR(L228="Optional",L228="If Applicable",L228="To Verify")),"• "&amp;K228&amp;" ("&amp;L228&amp;")",""),IF(AND(M228&lt;&gt;"",OR(N228="Optional",N228="If Applicable",N228="To Verify")),"• "&amp;M228&amp;" ("&amp;N228&amp;")",""),IF(AND(O228&lt;&gt;"",OR(P228="Optional",P228="If Applicable",P228="To Verify")),"• "&amp;O228&amp;" ("&amp;P228&amp;")",""),IF(AND(Q228&lt;&gt;"",OR(R228="Optional",R228="If Applicable",R228="To Verify")),"• "&amp;Q228&amp;" ("&amp;R228&amp;")",""))</f>
        <v/>
      </c>
    </row>
    <row r="229" customFormat="false" ht="15" hidden="false" customHeight="false" outlineLevel="0" collapsed="false">
      <c r="A229" s="6" t="s">
        <v>2641</v>
      </c>
      <c r="B229" s="7" t="str">
        <f aca="false">IF($A229="","",IFERROR(INDEX(MASTER_DATABASE!$E$4:$E$1000,MATCH($A229,MASTER_DATABASE!$A$4:$A$1000,0)),""))</f>
        <v>Letterhead Design</v>
      </c>
      <c r="C229" s="6" t="s">
        <v>3579</v>
      </c>
      <c r="D229" s="6" t="s">
        <v>3436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7" t="str">
        <f aca="false">_xlfn.TEXTJOIN(CHAR(10),TRUE(),IF(AND(C229&lt;&gt;"",D229="Mandatory"),"✓ "&amp;C229,""),IF(AND(E229&lt;&gt;"",F229="Mandatory"),"✓ "&amp;E229,""),IF(AND(G229&lt;&gt;"",H229="Mandatory"),"✓ "&amp;G229,""),IF(AND(I229&lt;&gt;"",J229="Mandatory"),"✓ "&amp;I229,""),IF(AND(K229&lt;&gt;"",L229="Mandatory"),"✓ "&amp;K229,""),IF(AND(M229&lt;&gt;"",N229="Mandatory"),"✓ "&amp;M229,""),IF(AND(O229&lt;&gt;"",P229="Mandatory"),"✓ "&amp;O229,""),IF(AND(Q229&lt;&gt;"",R229="Mandatory"),"✓ "&amp;Q229,""))</f>
        <v>✓ Design Content / Text</v>
      </c>
      <c r="T229" s="7" t="str">
        <f aca="false">_xlfn.TEXTJOIN(CHAR(10),TRUE(),IF(AND(C229&lt;&gt;"",OR(D229="Optional",D229="If Applicable",D229="To Verify")),"• "&amp;C229&amp;" ("&amp;D229&amp;")",""),IF(AND(E229&lt;&gt;"",OR(F229="Optional",F229="If Applicable",F229="To Verify")),"• "&amp;E229&amp;" ("&amp;F229&amp;")",""),IF(AND(G229&lt;&gt;"",OR(H229="Optional",H229="If Applicable",H229="To Verify")),"• "&amp;G229&amp;" ("&amp;H229&amp;")",""),IF(AND(I229&lt;&gt;"",OR(J229="Optional",J229="If Applicable",J229="To Verify")),"• "&amp;I229&amp;" ("&amp;J229&amp;")",""),IF(AND(K229&lt;&gt;"",OR(L229="Optional",L229="If Applicable",L229="To Verify")),"• "&amp;K229&amp;" ("&amp;L229&amp;")",""),IF(AND(M229&lt;&gt;"",OR(N229="Optional",N229="If Applicable",N229="To Verify")),"• "&amp;M229&amp;" ("&amp;N229&amp;")",""),IF(AND(O229&lt;&gt;"",OR(P229="Optional",P229="If Applicable",P229="To Verify")),"• "&amp;O229&amp;" ("&amp;P229&amp;")",""),IF(AND(Q229&lt;&gt;"",OR(R229="Optional",R229="If Applicable",R229="To Verify")),"• "&amp;Q229&amp;" ("&amp;R229&amp;")",""))</f>
        <v/>
      </c>
    </row>
    <row r="230" customFormat="false" ht="15" hidden="false" customHeight="false" outlineLevel="0" collapsed="false">
      <c r="A230" s="6" t="s">
        <v>2651</v>
      </c>
      <c r="B230" s="7" t="str">
        <f aca="false">IF($A230="","",IFERROR(INDEX(MASTER_DATABASE!$E$4:$E$1000,MATCH($A230,MASTER_DATABASE!$A$4:$A$1000,0)),""))</f>
        <v>Logo Design</v>
      </c>
      <c r="C230" s="6" t="s">
        <v>3579</v>
      </c>
      <c r="D230" s="6" t="s">
        <v>3436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7" t="str">
        <f aca="false">_xlfn.TEXTJOIN(CHAR(10),TRUE(),IF(AND(C230&lt;&gt;"",D230="Mandatory"),"✓ "&amp;C230,""),IF(AND(E230&lt;&gt;"",F230="Mandatory"),"✓ "&amp;E230,""),IF(AND(G230&lt;&gt;"",H230="Mandatory"),"✓ "&amp;G230,""),IF(AND(I230&lt;&gt;"",J230="Mandatory"),"✓ "&amp;I230,""),IF(AND(K230&lt;&gt;"",L230="Mandatory"),"✓ "&amp;K230,""),IF(AND(M230&lt;&gt;"",N230="Mandatory"),"✓ "&amp;M230,""),IF(AND(O230&lt;&gt;"",P230="Mandatory"),"✓ "&amp;O230,""),IF(AND(Q230&lt;&gt;"",R230="Mandatory"),"✓ "&amp;Q230,""))</f>
        <v>✓ Design Content / Text</v>
      </c>
      <c r="T230" s="7" t="str">
        <f aca="false">_xlfn.TEXTJOIN(CHAR(10),TRUE(),IF(AND(C230&lt;&gt;"",OR(D230="Optional",D230="If Applicable",D230="To Verify")),"• "&amp;C230&amp;" ("&amp;D230&amp;")",""),IF(AND(E230&lt;&gt;"",OR(F230="Optional",F230="If Applicable",F230="To Verify")),"• "&amp;E230&amp;" ("&amp;F230&amp;")",""),IF(AND(G230&lt;&gt;"",OR(H230="Optional",H230="If Applicable",H230="To Verify")),"• "&amp;G230&amp;" ("&amp;H230&amp;")",""),IF(AND(I230&lt;&gt;"",OR(J230="Optional",J230="If Applicable",J230="To Verify")),"• "&amp;I230&amp;" ("&amp;J230&amp;")",""),IF(AND(K230&lt;&gt;"",OR(L230="Optional",L230="If Applicable",L230="To Verify")),"• "&amp;K230&amp;" ("&amp;L230&amp;")",""),IF(AND(M230&lt;&gt;"",OR(N230="Optional",N230="If Applicable",N230="To Verify")),"• "&amp;M230&amp;" ("&amp;N230&amp;")",""),IF(AND(O230&lt;&gt;"",OR(P230="Optional",P230="If Applicable",P230="To Verify")),"• "&amp;O230&amp;" ("&amp;P230&amp;")",""),IF(AND(Q230&lt;&gt;"",OR(R230="Optional",R230="If Applicable",R230="To Verify")),"• "&amp;Q230&amp;" ("&amp;R230&amp;")",""))</f>
        <v/>
      </c>
    </row>
    <row r="231" customFormat="false" ht="15" hidden="false" customHeight="false" outlineLevel="0" collapsed="false">
      <c r="A231" s="6" t="s">
        <v>2662</v>
      </c>
      <c r="B231" s="7" t="str">
        <f aca="false">IF($A231="","",IFERROR(INDEX(MASTER_DATABASE!$E$4:$E$1000,MATCH($A231,MASTER_DATABASE!$A$4:$A$1000,0)),""))</f>
        <v>Flex / Banner Printing</v>
      </c>
      <c r="C231" s="6" t="s">
        <v>3579</v>
      </c>
      <c r="D231" s="6" t="s">
        <v>3436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7" t="str">
        <f aca="false">_xlfn.TEXTJOIN(CHAR(10),TRUE(),IF(AND(C231&lt;&gt;"",D231="Mandatory"),"✓ "&amp;C231,""),IF(AND(E231&lt;&gt;"",F231="Mandatory"),"✓ "&amp;E231,""),IF(AND(G231&lt;&gt;"",H231="Mandatory"),"✓ "&amp;G231,""),IF(AND(I231&lt;&gt;"",J231="Mandatory"),"✓ "&amp;I231,""),IF(AND(K231&lt;&gt;"",L231="Mandatory"),"✓ "&amp;K231,""),IF(AND(M231&lt;&gt;"",N231="Mandatory"),"✓ "&amp;M231,""),IF(AND(O231&lt;&gt;"",P231="Mandatory"),"✓ "&amp;O231,""),IF(AND(Q231&lt;&gt;"",R231="Mandatory"),"✓ "&amp;Q231,""))</f>
        <v>✓ Design Content / Text</v>
      </c>
      <c r="T231" s="7" t="str">
        <f aca="false">_xlfn.TEXTJOIN(CHAR(10),TRUE(),IF(AND(C231&lt;&gt;"",OR(D231="Optional",D231="If Applicable",D231="To Verify")),"• "&amp;C231&amp;" ("&amp;D231&amp;")",""),IF(AND(E231&lt;&gt;"",OR(F231="Optional",F231="If Applicable",F231="To Verify")),"• "&amp;E231&amp;" ("&amp;F231&amp;")",""),IF(AND(G231&lt;&gt;"",OR(H231="Optional",H231="If Applicable",H231="To Verify")),"• "&amp;G231&amp;" ("&amp;H231&amp;")",""),IF(AND(I231&lt;&gt;"",OR(J231="Optional",J231="If Applicable",J231="To Verify")),"• "&amp;I231&amp;" ("&amp;J231&amp;")",""),IF(AND(K231&lt;&gt;"",OR(L231="Optional",L231="If Applicable",L231="To Verify")),"• "&amp;K231&amp;" ("&amp;L231&amp;")",""),IF(AND(M231&lt;&gt;"",OR(N231="Optional",N231="If Applicable",N231="To Verify")),"• "&amp;M231&amp;" ("&amp;N231&amp;")",""),IF(AND(O231&lt;&gt;"",OR(P231="Optional",P231="If Applicable",P231="To Verify")),"• "&amp;O231&amp;" ("&amp;P231&amp;")",""),IF(AND(Q231&lt;&gt;"",OR(R231="Optional",R231="If Applicable",R231="To Verify")),"• "&amp;Q231&amp;" ("&amp;R231&amp;")",""))</f>
        <v/>
      </c>
    </row>
    <row r="232" customFormat="false" ht="68.65" hidden="false" customHeight="false" outlineLevel="0" collapsed="false">
      <c r="A232" s="6" t="s">
        <v>2673</v>
      </c>
      <c r="B232" s="7" t="str">
        <f aca="false">IF($A232="","",IFERROR(INDEX(MASTER_DATABASE!$E$4:$E$1000,MATCH($A232,MASTER_DATABASE!$A$4:$A$1000,0)),""))</f>
        <v>Government Job Form – Central</v>
      </c>
      <c r="C232" s="6" t="s">
        <v>3433</v>
      </c>
      <c r="D232" s="6" t="s">
        <v>3436</v>
      </c>
      <c r="E232" s="6" t="s">
        <v>3515</v>
      </c>
      <c r="F232" s="6" t="s">
        <v>3436</v>
      </c>
      <c r="G232" s="6" t="s">
        <v>3551</v>
      </c>
      <c r="H232" s="6" t="s">
        <v>3436</v>
      </c>
      <c r="I232" s="6" t="s">
        <v>3478</v>
      </c>
      <c r="J232" s="6" t="s">
        <v>3436</v>
      </c>
      <c r="K232" s="6" t="s">
        <v>3483</v>
      </c>
      <c r="L232" s="6" t="s">
        <v>3436</v>
      </c>
      <c r="M232" s="6" t="s">
        <v>3587</v>
      </c>
      <c r="N232" s="6" t="s">
        <v>3453</v>
      </c>
      <c r="O232" s="6" t="s">
        <v>3547</v>
      </c>
      <c r="P232" s="6" t="s">
        <v>3436</v>
      </c>
      <c r="Q232" s="6"/>
      <c r="R232" s="6"/>
      <c r="S232" s="7" t="str">
        <f aca="false">_xlfn.TEXTJOIN(CHAR(10),TRUE(),IF(AND(C232&lt;&gt;"",D232="Mandatory"),"✓ "&amp;C232,""),IF(AND(E232&lt;&gt;"",F232="Mandatory"),"✓ "&amp;E232,""),IF(AND(G232&lt;&gt;"",H232="Mandatory"),"✓ "&amp;G232,""),IF(AND(I232&lt;&gt;"",J232="Mandatory"),"✓ "&amp;I232,""),IF(AND(K232&lt;&gt;"",L232="Mandatory"),"✓ "&amp;K232,""),IF(AND(M232&lt;&gt;"",N232="Mandatory"),"✓ "&amp;M232,""),IF(AND(O232&lt;&gt;"",P232="Mandatory"),"✓ "&amp;O232,""),IF(AND(Q232&lt;&gt;"",R232="Mandatory"),"✓ "&amp;Q232,""))</f>
        <v>✓ Aadhaar Card
✓ Educational Certificates
✓ Photo &amp; Signature (Soft Copy)
✓ Active Mobile Number
✓ Email ID
✓ Exam / Form Notification Details</v>
      </c>
      <c r="T232" s="7" t="str">
        <f aca="false">_xlfn.TEXTJOIN(CHAR(10),TRUE(),IF(AND(C232&lt;&gt;"",OR(D232="Optional",D232="If Applicable",D232="To Verify")),"• "&amp;C232&amp;" ("&amp;D232&amp;")",""),IF(AND(E232&lt;&gt;"",OR(F232="Optional",F232="If Applicable",F232="To Verify")),"• "&amp;E232&amp;" ("&amp;F232&amp;")",""),IF(AND(G232&lt;&gt;"",OR(H232="Optional",H232="If Applicable",H232="To Verify")),"• "&amp;G232&amp;" ("&amp;H232&amp;")",""),IF(AND(I232&lt;&gt;"",OR(J232="Optional",J232="If Applicable",J232="To Verify")),"• "&amp;I232&amp;" ("&amp;J232&amp;")",""),IF(AND(K232&lt;&gt;"",OR(L232="Optional",L232="If Applicable",L232="To Verify")),"• "&amp;K232&amp;" ("&amp;L232&amp;")",""),IF(AND(M232&lt;&gt;"",OR(N232="Optional",N232="If Applicable",N232="To Verify")),"• "&amp;M232&amp;" ("&amp;N232&amp;")",""),IF(AND(O232&lt;&gt;"",OR(P232="Optional",P232="If Applicable",P232="To Verify")),"• "&amp;O232&amp;" ("&amp;P232&amp;")",""),IF(AND(Q232&lt;&gt;"",OR(R232="Optional",R232="If Applicable",R232="To Verify")),"• "&amp;Q232&amp;" ("&amp;R232&amp;")",""))</f>
        <v>• Category Certificate (If Applicable)</v>
      </c>
    </row>
    <row r="233" customFormat="false" ht="68.65" hidden="false" customHeight="false" outlineLevel="0" collapsed="false">
      <c r="A233" s="6" t="s">
        <v>2691</v>
      </c>
      <c r="B233" s="7" t="str">
        <f aca="false">IF($A233="","",IFERROR(INDEX(MASTER_DATABASE!$E$4:$E$1000,MATCH($A233,MASTER_DATABASE!$A$4:$A$1000,0)),""))</f>
        <v>Government Job Form – State</v>
      </c>
      <c r="C233" s="6" t="s">
        <v>3433</v>
      </c>
      <c r="D233" s="6" t="s">
        <v>3436</v>
      </c>
      <c r="E233" s="6" t="s">
        <v>3515</v>
      </c>
      <c r="F233" s="6" t="s">
        <v>3436</v>
      </c>
      <c r="G233" s="6" t="s">
        <v>3551</v>
      </c>
      <c r="H233" s="6" t="s">
        <v>3436</v>
      </c>
      <c r="I233" s="6" t="s">
        <v>3478</v>
      </c>
      <c r="J233" s="6" t="s">
        <v>3436</v>
      </c>
      <c r="K233" s="6" t="s">
        <v>3483</v>
      </c>
      <c r="L233" s="6" t="s">
        <v>3436</v>
      </c>
      <c r="M233" s="6" t="s">
        <v>3587</v>
      </c>
      <c r="N233" s="6" t="s">
        <v>3453</v>
      </c>
      <c r="O233" s="6" t="s">
        <v>3547</v>
      </c>
      <c r="P233" s="6" t="s">
        <v>3436</v>
      </c>
      <c r="Q233" s="6"/>
      <c r="R233" s="6"/>
      <c r="S233" s="7" t="str">
        <f aca="false">_xlfn.TEXTJOIN(CHAR(10),TRUE(),IF(AND(C233&lt;&gt;"",D233="Mandatory"),"✓ "&amp;C233,""),IF(AND(E233&lt;&gt;"",F233="Mandatory"),"✓ "&amp;E233,""),IF(AND(G233&lt;&gt;"",H233="Mandatory"),"✓ "&amp;G233,""),IF(AND(I233&lt;&gt;"",J233="Mandatory"),"✓ "&amp;I233,""),IF(AND(K233&lt;&gt;"",L233="Mandatory"),"✓ "&amp;K233,""),IF(AND(M233&lt;&gt;"",N233="Mandatory"),"✓ "&amp;M233,""),IF(AND(O233&lt;&gt;"",P233="Mandatory"),"✓ "&amp;O233,""),IF(AND(Q233&lt;&gt;"",R233="Mandatory"),"✓ "&amp;Q233,""))</f>
        <v>✓ Aadhaar Card
✓ Educational Certificates
✓ Photo &amp; Signature (Soft Copy)
✓ Active Mobile Number
✓ Email ID
✓ Exam / Form Notification Details</v>
      </c>
      <c r="T233" s="7" t="str">
        <f aca="false">_xlfn.TEXTJOIN(CHAR(10),TRUE(),IF(AND(C233&lt;&gt;"",OR(D233="Optional",D233="If Applicable",D233="To Verify")),"• "&amp;C233&amp;" ("&amp;D233&amp;")",""),IF(AND(E233&lt;&gt;"",OR(F233="Optional",F233="If Applicable",F233="To Verify")),"• "&amp;E233&amp;" ("&amp;F233&amp;")",""),IF(AND(G233&lt;&gt;"",OR(H233="Optional",H233="If Applicable",H233="To Verify")),"• "&amp;G233&amp;" ("&amp;H233&amp;")",""),IF(AND(I233&lt;&gt;"",OR(J233="Optional",J233="If Applicable",J233="To Verify")),"• "&amp;I233&amp;" ("&amp;J233&amp;")",""),IF(AND(K233&lt;&gt;"",OR(L233="Optional",L233="If Applicable",L233="To Verify")),"• "&amp;K233&amp;" ("&amp;L233&amp;")",""),IF(AND(M233&lt;&gt;"",OR(N233="Optional",N233="If Applicable",N233="To Verify")),"• "&amp;M233&amp;" ("&amp;N233&amp;")",""),IF(AND(O233&lt;&gt;"",OR(P233="Optional",P233="If Applicable",P233="To Verify")),"• "&amp;O233&amp;" ("&amp;P233&amp;")",""),IF(AND(Q233&lt;&gt;"",OR(R233="Optional",R233="If Applicable",R233="To Verify")),"• "&amp;Q233&amp;" ("&amp;R233&amp;")",""))</f>
        <v>• Category Certificate (If Applicable)</v>
      </c>
    </row>
    <row r="234" customFormat="false" ht="68.65" hidden="false" customHeight="false" outlineLevel="0" collapsed="false">
      <c r="A234" s="6" t="s">
        <v>2701</v>
      </c>
      <c r="B234" s="7" t="str">
        <f aca="false">IF($A234="","",IFERROR(INDEX(MASTER_DATABASE!$E$4:$E$1000,MATCH($A234,MASTER_DATABASE!$A$4:$A$1000,0)),""))</f>
        <v>Recruitment Form – Railway (RRB)</v>
      </c>
      <c r="C234" s="6" t="s">
        <v>3433</v>
      </c>
      <c r="D234" s="6" t="s">
        <v>3436</v>
      </c>
      <c r="E234" s="6" t="s">
        <v>3515</v>
      </c>
      <c r="F234" s="6" t="s">
        <v>3436</v>
      </c>
      <c r="G234" s="6" t="s">
        <v>3551</v>
      </c>
      <c r="H234" s="6" t="s">
        <v>3436</v>
      </c>
      <c r="I234" s="6" t="s">
        <v>3478</v>
      </c>
      <c r="J234" s="6" t="s">
        <v>3436</v>
      </c>
      <c r="K234" s="6" t="s">
        <v>3483</v>
      </c>
      <c r="L234" s="6" t="s">
        <v>3436</v>
      </c>
      <c r="M234" s="6" t="s">
        <v>3587</v>
      </c>
      <c r="N234" s="6" t="s">
        <v>3453</v>
      </c>
      <c r="O234" s="6" t="s">
        <v>3547</v>
      </c>
      <c r="P234" s="6" t="s">
        <v>3436</v>
      </c>
      <c r="Q234" s="6"/>
      <c r="R234" s="6"/>
      <c r="S234" s="7" t="str">
        <f aca="false">_xlfn.TEXTJOIN(CHAR(10),TRUE(),IF(AND(C234&lt;&gt;"",D234="Mandatory"),"✓ "&amp;C234,""),IF(AND(E234&lt;&gt;"",F234="Mandatory"),"✓ "&amp;E234,""),IF(AND(G234&lt;&gt;"",H234="Mandatory"),"✓ "&amp;G234,""),IF(AND(I234&lt;&gt;"",J234="Mandatory"),"✓ "&amp;I234,""),IF(AND(K234&lt;&gt;"",L234="Mandatory"),"✓ "&amp;K234,""),IF(AND(M234&lt;&gt;"",N234="Mandatory"),"✓ "&amp;M234,""),IF(AND(O234&lt;&gt;"",P234="Mandatory"),"✓ "&amp;O234,""),IF(AND(Q234&lt;&gt;"",R234="Mandatory"),"✓ "&amp;Q234,""))</f>
        <v>✓ Aadhaar Card
✓ Educational Certificates
✓ Photo &amp; Signature (Soft Copy)
✓ Active Mobile Number
✓ Email ID
✓ Exam / Form Notification Details</v>
      </c>
      <c r="T234" s="7" t="str">
        <f aca="false">_xlfn.TEXTJOIN(CHAR(10),TRUE(),IF(AND(C234&lt;&gt;"",OR(D234="Optional",D234="If Applicable",D234="To Verify")),"• "&amp;C234&amp;" ("&amp;D234&amp;")",""),IF(AND(E234&lt;&gt;"",OR(F234="Optional",F234="If Applicable",F234="To Verify")),"• "&amp;E234&amp;" ("&amp;F234&amp;")",""),IF(AND(G234&lt;&gt;"",OR(H234="Optional",H234="If Applicable",H234="To Verify")),"• "&amp;G234&amp;" ("&amp;H234&amp;")",""),IF(AND(I234&lt;&gt;"",OR(J234="Optional",J234="If Applicable",J234="To Verify")),"• "&amp;I234&amp;" ("&amp;J234&amp;")",""),IF(AND(K234&lt;&gt;"",OR(L234="Optional",L234="If Applicable",L234="To Verify")),"• "&amp;K234&amp;" ("&amp;L234&amp;")",""),IF(AND(M234&lt;&gt;"",OR(N234="Optional",N234="If Applicable",N234="To Verify")),"• "&amp;M234&amp;" ("&amp;N234&amp;")",""),IF(AND(O234&lt;&gt;"",OR(P234="Optional",P234="If Applicable",P234="To Verify")),"• "&amp;O234&amp;" ("&amp;P234&amp;")",""),IF(AND(Q234&lt;&gt;"",OR(R234="Optional",R234="If Applicable",R234="To Verify")),"• "&amp;Q234&amp;" ("&amp;R234&amp;")",""))</f>
        <v>• Category Certificate (If Applicable)</v>
      </c>
    </row>
    <row r="235" customFormat="false" ht="68.65" hidden="false" customHeight="false" outlineLevel="0" collapsed="false">
      <c r="A235" s="6" t="s">
        <v>2711</v>
      </c>
      <c r="B235" s="7" t="str">
        <f aca="false">IF($A235="","",IFERROR(INDEX(MASTER_DATABASE!$E$4:$E$1000,MATCH($A235,MASTER_DATABASE!$A$4:$A$1000,0)),""))</f>
        <v>Recruitment Form – SSC</v>
      </c>
      <c r="C235" s="6" t="s">
        <v>3433</v>
      </c>
      <c r="D235" s="6" t="s">
        <v>3436</v>
      </c>
      <c r="E235" s="6" t="s">
        <v>3515</v>
      </c>
      <c r="F235" s="6" t="s">
        <v>3436</v>
      </c>
      <c r="G235" s="6" t="s">
        <v>3551</v>
      </c>
      <c r="H235" s="6" t="s">
        <v>3436</v>
      </c>
      <c r="I235" s="6" t="s">
        <v>3478</v>
      </c>
      <c r="J235" s="6" t="s">
        <v>3436</v>
      </c>
      <c r="K235" s="6" t="s">
        <v>3483</v>
      </c>
      <c r="L235" s="6" t="s">
        <v>3436</v>
      </c>
      <c r="M235" s="6" t="s">
        <v>3587</v>
      </c>
      <c r="N235" s="6" t="s">
        <v>3453</v>
      </c>
      <c r="O235" s="6" t="s">
        <v>3547</v>
      </c>
      <c r="P235" s="6" t="s">
        <v>3436</v>
      </c>
      <c r="Q235" s="6"/>
      <c r="R235" s="6"/>
      <c r="S235" s="7" t="str">
        <f aca="false">_xlfn.TEXTJOIN(CHAR(10),TRUE(),IF(AND(C235&lt;&gt;"",D235="Mandatory"),"✓ "&amp;C235,""),IF(AND(E235&lt;&gt;"",F235="Mandatory"),"✓ "&amp;E235,""),IF(AND(G235&lt;&gt;"",H235="Mandatory"),"✓ "&amp;G235,""),IF(AND(I235&lt;&gt;"",J235="Mandatory"),"✓ "&amp;I235,""),IF(AND(K235&lt;&gt;"",L235="Mandatory"),"✓ "&amp;K235,""),IF(AND(M235&lt;&gt;"",N235="Mandatory"),"✓ "&amp;M235,""),IF(AND(O235&lt;&gt;"",P235="Mandatory"),"✓ "&amp;O235,""),IF(AND(Q235&lt;&gt;"",R235="Mandatory"),"✓ "&amp;Q235,""))</f>
        <v>✓ Aadhaar Card
✓ Educational Certificates
✓ Photo &amp; Signature (Soft Copy)
✓ Active Mobile Number
✓ Email ID
✓ Exam / Form Notification Details</v>
      </c>
      <c r="T235" s="7" t="str">
        <f aca="false">_xlfn.TEXTJOIN(CHAR(10),TRUE(),IF(AND(C235&lt;&gt;"",OR(D235="Optional",D235="If Applicable",D235="To Verify")),"• "&amp;C235&amp;" ("&amp;D235&amp;")",""),IF(AND(E235&lt;&gt;"",OR(F235="Optional",F235="If Applicable",F235="To Verify")),"• "&amp;E235&amp;" ("&amp;F235&amp;")",""),IF(AND(G235&lt;&gt;"",OR(H235="Optional",H235="If Applicable",H235="To Verify")),"• "&amp;G235&amp;" ("&amp;H235&amp;")",""),IF(AND(I235&lt;&gt;"",OR(J235="Optional",J235="If Applicable",J235="To Verify")),"• "&amp;I235&amp;" ("&amp;J235&amp;")",""),IF(AND(K235&lt;&gt;"",OR(L235="Optional",L235="If Applicable",L235="To Verify")),"• "&amp;K235&amp;" ("&amp;L235&amp;")",""),IF(AND(M235&lt;&gt;"",OR(N235="Optional",N235="If Applicable",N235="To Verify")),"• "&amp;M235&amp;" ("&amp;N235&amp;")",""),IF(AND(O235&lt;&gt;"",OR(P235="Optional",P235="If Applicable",P235="To Verify")),"• "&amp;O235&amp;" ("&amp;P235&amp;")",""),IF(AND(Q235&lt;&gt;"",OR(R235="Optional",R235="If Applicable",R235="To Verify")),"• "&amp;Q235&amp;" ("&amp;R235&amp;")",""))</f>
        <v>• Category Certificate (If Applicable)</v>
      </c>
    </row>
    <row r="236" customFormat="false" ht="68.65" hidden="false" customHeight="false" outlineLevel="0" collapsed="false">
      <c r="A236" s="6" t="s">
        <v>2721</v>
      </c>
      <c r="B236" s="7" t="str">
        <f aca="false">IF($A236="","",IFERROR(INDEX(MASTER_DATABASE!$E$4:$E$1000,MATCH($A236,MASTER_DATABASE!$A$4:$A$1000,0)),""))</f>
        <v>Recruitment Form – Bank (IBPS / SBI etc.)</v>
      </c>
      <c r="C236" s="6" t="s">
        <v>3433</v>
      </c>
      <c r="D236" s="6" t="s">
        <v>3436</v>
      </c>
      <c r="E236" s="6" t="s">
        <v>3515</v>
      </c>
      <c r="F236" s="6" t="s">
        <v>3436</v>
      </c>
      <c r="G236" s="6" t="s">
        <v>3551</v>
      </c>
      <c r="H236" s="6" t="s">
        <v>3436</v>
      </c>
      <c r="I236" s="6" t="s">
        <v>3478</v>
      </c>
      <c r="J236" s="6" t="s">
        <v>3436</v>
      </c>
      <c r="K236" s="6" t="s">
        <v>3483</v>
      </c>
      <c r="L236" s="6" t="s">
        <v>3436</v>
      </c>
      <c r="M236" s="6" t="s">
        <v>3587</v>
      </c>
      <c r="N236" s="6" t="s">
        <v>3453</v>
      </c>
      <c r="O236" s="6" t="s">
        <v>3547</v>
      </c>
      <c r="P236" s="6" t="s">
        <v>3436</v>
      </c>
      <c r="Q236" s="6"/>
      <c r="R236" s="6"/>
      <c r="S236" s="7" t="str">
        <f aca="false">_xlfn.TEXTJOIN(CHAR(10),TRUE(),IF(AND(C236&lt;&gt;"",D236="Mandatory"),"✓ "&amp;C236,""),IF(AND(E236&lt;&gt;"",F236="Mandatory"),"✓ "&amp;E236,""),IF(AND(G236&lt;&gt;"",H236="Mandatory"),"✓ "&amp;G236,""),IF(AND(I236&lt;&gt;"",J236="Mandatory"),"✓ "&amp;I236,""),IF(AND(K236&lt;&gt;"",L236="Mandatory"),"✓ "&amp;K236,""),IF(AND(M236&lt;&gt;"",N236="Mandatory"),"✓ "&amp;M236,""),IF(AND(O236&lt;&gt;"",P236="Mandatory"),"✓ "&amp;O236,""),IF(AND(Q236&lt;&gt;"",R236="Mandatory"),"✓ "&amp;Q236,""))</f>
        <v>✓ Aadhaar Card
✓ Educational Certificates
✓ Photo &amp; Signature (Soft Copy)
✓ Active Mobile Number
✓ Email ID
✓ Exam / Form Notification Details</v>
      </c>
      <c r="T236" s="7" t="str">
        <f aca="false">_xlfn.TEXTJOIN(CHAR(10),TRUE(),IF(AND(C236&lt;&gt;"",OR(D236="Optional",D236="If Applicable",D236="To Verify")),"• "&amp;C236&amp;" ("&amp;D236&amp;")",""),IF(AND(E236&lt;&gt;"",OR(F236="Optional",F236="If Applicable",F236="To Verify")),"• "&amp;E236&amp;" ("&amp;F236&amp;")",""),IF(AND(G236&lt;&gt;"",OR(H236="Optional",H236="If Applicable",H236="To Verify")),"• "&amp;G236&amp;" ("&amp;H236&amp;")",""),IF(AND(I236&lt;&gt;"",OR(J236="Optional",J236="If Applicable",J236="To Verify")),"• "&amp;I236&amp;" ("&amp;J236&amp;")",""),IF(AND(K236&lt;&gt;"",OR(L236="Optional",L236="If Applicable",L236="To Verify")),"• "&amp;K236&amp;" ("&amp;L236&amp;")",""),IF(AND(M236&lt;&gt;"",OR(N236="Optional",N236="If Applicable",N236="To Verify")),"• "&amp;M236&amp;" ("&amp;N236&amp;")",""),IF(AND(O236&lt;&gt;"",OR(P236="Optional",P236="If Applicable",P236="To Verify")),"• "&amp;O236&amp;" ("&amp;P236&amp;")",""),IF(AND(Q236&lt;&gt;"",OR(R236="Optional",R236="If Applicable",R236="To Verify")),"• "&amp;Q236&amp;" ("&amp;R236&amp;")",""))</f>
        <v>• Category Certificate (If Applicable)</v>
      </c>
    </row>
    <row r="237" customFormat="false" ht="68.65" hidden="false" customHeight="false" outlineLevel="0" collapsed="false">
      <c r="A237" s="6" t="s">
        <v>2731</v>
      </c>
      <c r="B237" s="7" t="str">
        <f aca="false">IF($A237="","",IFERROR(INDEX(MASTER_DATABASE!$E$4:$E$1000,MATCH($A237,MASTER_DATABASE!$A$4:$A$1000,0)),""))</f>
        <v>Recruitment Form – Police / Defence</v>
      </c>
      <c r="C237" s="6" t="s">
        <v>3433</v>
      </c>
      <c r="D237" s="6" t="s">
        <v>3436</v>
      </c>
      <c r="E237" s="6" t="s">
        <v>3515</v>
      </c>
      <c r="F237" s="6" t="s">
        <v>3436</v>
      </c>
      <c r="G237" s="6" t="s">
        <v>3551</v>
      </c>
      <c r="H237" s="6" t="s">
        <v>3436</v>
      </c>
      <c r="I237" s="6" t="s">
        <v>3478</v>
      </c>
      <c r="J237" s="6" t="s">
        <v>3436</v>
      </c>
      <c r="K237" s="6" t="s">
        <v>3483</v>
      </c>
      <c r="L237" s="6" t="s">
        <v>3436</v>
      </c>
      <c r="M237" s="6" t="s">
        <v>3587</v>
      </c>
      <c r="N237" s="6" t="s">
        <v>3453</v>
      </c>
      <c r="O237" s="6" t="s">
        <v>3547</v>
      </c>
      <c r="P237" s="6" t="s">
        <v>3436</v>
      </c>
      <c r="Q237" s="6"/>
      <c r="R237" s="6"/>
      <c r="S237" s="7" t="str">
        <f aca="false">_xlfn.TEXTJOIN(CHAR(10),TRUE(),IF(AND(C237&lt;&gt;"",D237="Mandatory"),"✓ "&amp;C237,""),IF(AND(E237&lt;&gt;"",F237="Mandatory"),"✓ "&amp;E237,""),IF(AND(G237&lt;&gt;"",H237="Mandatory"),"✓ "&amp;G237,""),IF(AND(I237&lt;&gt;"",J237="Mandatory"),"✓ "&amp;I237,""),IF(AND(K237&lt;&gt;"",L237="Mandatory"),"✓ "&amp;K237,""),IF(AND(M237&lt;&gt;"",N237="Mandatory"),"✓ "&amp;M237,""),IF(AND(O237&lt;&gt;"",P237="Mandatory"),"✓ "&amp;O237,""),IF(AND(Q237&lt;&gt;"",R237="Mandatory"),"✓ "&amp;Q237,""))</f>
        <v>✓ Aadhaar Card
✓ Educational Certificates
✓ Photo &amp; Signature (Soft Copy)
✓ Active Mobile Number
✓ Email ID
✓ Exam / Form Notification Details</v>
      </c>
      <c r="T237" s="7" t="str">
        <f aca="false">_xlfn.TEXTJOIN(CHAR(10),TRUE(),IF(AND(C237&lt;&gt;"",OR(D237="Optional",D237="If Applicable",D237="To Verify")),"• "&amp;C237&amp;" ("&amp;D237&amp;")",""),IF(AND(E237&lt;&gt;"",OR(F237="Optional",F237="If Applicable",F237="To Verify")),"• "&amp;E237&amp;" ("&amp;F237&amp;")",""),IF(AND(G237&lt;&gt;"",OR(H237="Optional",H237="If Applicable",H237="To Verify")),"• "&amp;G237&amp;" ("&amp;H237&amp;")",""),IF(AND(I237&lt;&gt;"",OR(J237="Optional",J237="If Applicable",J237="To Verify")),"• "&amp;I237&amp;" ("&amp;J237&amp;")",""),IF(AND(K237&lt;&gt;"",OR(L237="Optional",L237="If Applicable",L237="To Verify")),"• "&amp;K237&amp;" ("&amp;L237&amp;")",""),IF(AND(M237&lt;&gt;"",OR(N237="Optional",N237="If Applicable",N237="To Verify")),"• "&amp;M237&amp;" ("&amp;N237&amp;")",""),IF(AND(O237&lt;&gt;"",OR(P237="Optional",P237="If Applicable",P237="To Verify")),"• "&amp;O237&amp;" ("&amp;P237&amp;")",""),IF(AND(Q237&lt;&gt;"",OR(R237="Optional",R237="If Applicable",R237="To Verify")),"• "&amp;Q237&amp;" ("&amp;R237&amp;")",""))</f>
        <v>• Category Certificate (If Applicable)</v>
      </c>
    </row>
    <row r="238" customFormat="false" ht="68.65" hidden="false" customHeight="false" outlineLevel="0" collapsed="false">
      <c r="A238" s="6" t="s">
        <v>2741</v>
      </c>
      <c r="B238" s="7" t="str">
        <f aca="false">IF($A238="","",IFERROR(INDEX(MASTER_DATABASE!$E$4:$E$1000,MATCH($A238,MASTER_DATABASE!$A$4:$A$1000,0)),""))</f>
        <v>Recruitment Form – Teacher (TET / TRE)</v>
      </c>
      <c r="C238" s="6" t="s">
        <v>3433</v>
      </c>
      <c r="D238" s="6" t="s">
        <v>3436</v>
      </c>
      <c r="E238" s="6" t="s">
        <v>3515</v>
      </c>
      <c r="F238" s="6" t="s">
        <v>3436</v>
      </c>
      <c r="G238" s="6" t="s">
        <v>3551</v>
      </c>
      <c r="H238" s="6" t="s">
        <v>3436</v>
      </c>
      <c r="I238" s="6" t="s">
        <v>3478</v>
      </c>
      <c r="J238" s="6" t="s">
        <v>3436</v>
      </c>
      <c r="K238" s="6" t="s">
        <v>3483</v>
      </c>
      <c r="L238" s="6" t="s">
        <v>3436</v>
      </c>
      <c r="M238" s="6" t="s">
        <v>3587</v>
      </c>
      <c r="N238" s="6" t="s">
        <v>3453</v>
      </c>
      <c r="O238" s="6" t="s">
        <v>3547</v>
      </c>
      <c r="P238" s="6" t="s">
        <v>3436</v>
      </c>
      <c r="Q238" s="6"/>
      <c r="R238" s="6"/>
      <c r="S238" s="7" t="str">
        <f aca="false">_xlfn.TEXTJOIN(CHAR(10),TRUE(),IF(AND(C238&lt;&gt;"",D238="Mandatory"),"✓ "&amp;C238,""),IF(AND(E238&lt;&gt;"",F238="Mandatory"),"✓ "&amp;E238,""),IF(AND(G238&lt;&gt;"",H238="Mandatory"),"✓ "&amp;G238,""),IF(AND(I238&lt;&gt;"",J238="Mandatory"),"✓ "&amp;I238,""),IF(AND(K238&lt;&gt;"",L238="Mandatory"),"✓ "&amp;K238,""),IF(AND(M238&lt;&gt;"",N238="Mandatory"),"✓ "&amp;M238,""),IF(AND(O238&lt;&gt;"",P238="Mandatory"),"✓ "&amp;O238,""),IF(AND(Q238&lt;&gt;"",R238="Mandatory"),"✓ "&amp;Q238,""))</f>
        <v>✓ Aadhaar Card
✓ Educational Certificates
✓ Photo &amp; Signature (Soft Copy)
✓ Active Mobile Number
✓ Email ID
✓ Exam / Form Notification Details</v>
      </c>
      <c r="T238" s="7" t="str">
        <f aca="false">_xlfn.TEXTJOIN(CHAR(10),TRUE(),IF(AND(C238&lt;&gt;"",OR(D238="Optional",D238="If Applicable",D238="To Verify")),"• "&amp;C238&amp;" ("&amp;D238&amp;")",""),IF(AND(E238&lt;&gt;"",OR(F238="Optional",F238="If Applicable",F238="To Verify")),"• "&amp;E238&amp;" ("&amp;F238&amp;")",""),IF(AND(G238&lt;&gt;"",OR(H238="Optional",H238="If Applicable",H238="To Verify")),"• "&amp;G238&amp;" ("&amp;H238&amp;")",""),IF(AND(I238&lt;&gt;"",OR(J238="Optional",J238="If Applicable",J238="To Verify")),"• "&amp;I238&amp;" ("&amp;J238&amp;")",""),IF(AND(K238&lt;&gt;"",OR(L238="Optional",L238="If Applicable",L238="To Verify")),"• "&amp;K238&amp;" ("&amp;L238&amp;")",""),IF(AND(M238&lt;&gt;"",OR(N238="Optional",N238="If Applicable",N238="To Verify")),"• "&amp;M238&amp;" ("&amp;N238&amp;")",""),IF(AND(O238&lt;&gt;"",OR(P238="Optional",P238="If Applicable",P238="To Verify")),"• "&amp;O238&amp;" ("&amp;P238&amp;")",""),IF(AND(Q238&lt;&gt;"",OR(R238="Optional",R238="If Applicable",R238="To Verify")),"• "&amp;Q238&amp;" ("&amp;R238&amp;")",""))</f>
        <v>• Category Certificate (If Applicable)</v>
      </c>
    </row>
    <row r="239" customFormat="false" ht="68.65" hidden="false" customHeight="false" outlineLevel="0" collapsed="false">
      <c r="A239" s="6" t="s">
        <v>2751</v>
      </c>
      <c r="B239" s="7" t="str">
        <f aca="false">IF($A239="","",IFERROR(INDEX(MASTER_DATABASE!$E$4:$E$1000,MATCH($A239,MASTER_DATABASE!$A$4:$A$1000,0)),""))</f>
        <v>Competitive Exam Form (UPSC / State PSC etc.)</v>
      </c>
      <c r="C239" s="6" t="s">
        <v>3433</v>
      </c>
      <c r="D239" s="6" t="s">
        <v>3436</v>
      </c>
      <c r="E239" s="6" t="s">
        <v>3515</v>
      </c>
      <c r="F239" s="6" t="s">
        <v>3436</v>
      </c>
      <c r="G239" s="6" t="s">
        <v>3551</v>
      </c>
      <c r="H239" s="6" t="s">
        <v>3436</v>
      </c>
      <c r="I239" s="6" t="s">
        <v>3478</v>
      </c>
      <c r="J239" s="6" t="s">
        <v>3436</v>
      </c>
      <c r="K239" s="6" t="s">
        <v>3483</v>
      </c>
      <c r="L239" s="6" t="s">
        <v>3436</v>
      </c>
      <c r="M239" s="6" t="s">
        <v>3587</v>
      </c>
      <c r="N239" s="6" t="s">
        <v>3453</v>
      </c>
      <c r="O239" s="6" t="s">
        <v>3547</v>
      </c>
      <c r="P239" s="6" t="s">
        <v>3436</v>
      </c>
      <c r="Q239" s="6"/>
      <c r="R239" s="6"/>
      <c r="S239" s="7" t="str">
        <f aca="false">_xlfn.TEXTJOIN(CHAR(10),TRUE(),IF(AND(C239&lt;&gt;"",D239="Mandatory"),"✓ "&amp;C239,""),IF(AND(E239&lt;&gt;"",F239="Mandatory"),"✓ "&amp;E239,""),IF(AND(G239&lt;&gt;"",H239="Mandatory"),"✓ "&amp;G239,""),IF(AND(I239&lt;&gt;"",J239="Mandatory"),"✓ "&amp;I239,""),IF(AND(K239&lt;&gt;"",L239="Mandatory"),"✓ "&amp;K239,""),IF(AND(M239&lt;&gt;"",N239="Mandatory"),"✓ "&amp;M239,""),IF(AND(O239&lt;&gt;"",P239="Mandatory"),"✓ "&amp;O239,""),IF(AND(Q239&lt;&gt;"",R239="Mandatory"),"✓ "&amp;Q239,""))</f>
        <v>✓ Aadhaar Card
✓ Educational Certificates
✓ Photo &amp; Signature (Soft Copy)
✓ Active Mobile Number
✓ Email ID
✓ Exam / Form Notification Details</v>
      </c>
      <c r="T239" s="7" t="str">
        <f aca="false">_xlfn.TEXTJOIN(CHAR(10),TRUE(),IF(AND(C239&lt;&gt;"",OR(D239="Optional",D239="If Applicable",D239="To Verify")),"• "&amp;C239&amp;" ("&amp;D239&amp;")",""),IF(AND(E239&lt;&gt;"",OR(F239="Optional",F239="If Applicable",F239="To Verify")),"• "&amp;E239&amp;" ("&amp;F239&amp;")",""),IF(AND(G239&lt;&gt;"",OR(H239="Optional",H239="If Applicable",H239="To Verify")),"• "&amp;G239&amp;" ("&amp;H239&amp;")",""),IF(AND(I239&lt;&gt;"",OR(J239="Optional",J239="If Applicable",J239="To Verify")),"• "&amp;I239&amp;" ("&amp;J239&amp;")",""),IF(AND(K239&lt;&gt;"",OR(L239="Optional",L239="If Applicable",L239="To Verify")),"• "&amp;K239&amp;" ("&amp;L239&amp;")",""),IF(AND(M239&lt;&gt;"",OR(N239="Optional",N239="If Applicable",N239="To Verify")),"• "&amp;M239&amp;" ("&amp;N239&amp;")",""),IF(AND(O239&lt;&gt;"",OR(P239="Optional",P239="If Applicable",P239="To Verify")),"• "&amp;O239&amp;" ("&amp;P239&amp;")",""),IF(AND(Q239&lt;&gt;"",OR(R239="Optional",R239="If Applicable",R239="To Verify")),"• "&amp;Q239&amp;" ("&amp;R239&amp;")",""))</f>
        <v>• Category Certificate (If Applicable)</v>
      </c>
    </row>
    <row r="240" customFormat="false" ht="68.65" hidden="false" customHeight="false" outlineLevel="0" collapsed="false">
      <c r="A240" s="6" t="s">
        <v>2761</v>
      </c>
      <c r="B240" s="7" t="str">
        <f aca="false">IF($A240="","",IFERROR(INDEX(MASTER_DATABASE!$E$4:$E$1000,MATCH($A240,MASTER_DATABASE!$A$4:$A$1000,0)),""))</f>
        <v>Entrance Exam Form (JEE / NEET / CUET etc.)</v>
      </c>
      <c r="C240" s="6" t="s">
        <v>3433</v>
      </c>
      <c r="D240" s="6" t="s">
        <v>3436</v>
      </c>
      <c r="E240" s="6" t="s">
        <v>3515</v>
      </c>
      <c r="F240" s="6" t="s">
        <v>3436</v>
      </c>
      <c r="G240" s="6" t="s">
        <v>3551</v>
      </c>
      <c r="H240" s="6" t="s">
        <v>3436</v>
      </c>
      <c r="I240" s="6" t="s">
        <v>3478</v>
      </c>
      <c r="J240" s="6" t="s">
        <v>3436</v>
      </c>
      <c r="K240" s="6" t="s">
        <v>3483</v>
      </c>
      <c r="L240" s="6" t="s">
        <v>3436</v>
      </c>
      <c r="M240" s="6" t="s">
        <v>3587</v>
      </c>
      <c r="N240" s="6" t="s">
        <v>3453</v>
      </c>
      <c r="O240" s="6" t="s">
        <v>3547</v>
      </c>
      <c r="P240" s="6" t="s">
        <v>3436</v>
      </c>
      <c r="Q240" s="6"/>
      <c r="R240" s="6"/>
      <c r="S240" s="7" t="str">
        <f aca="false">_xlfn.TEXTJOIN(CHAR(10),TRUE(),IF(AND(C240&lt;&gt;"",D240="Mandatory"),"✓ "&amp;C240,""),IF(AND(E240&lt;&gt;"",F240="Mandatory"),"✓ "&amp;E240,""),IF(AND(G240&lt;&gt;"",H240="Mandatory"),"✓ "&amp;G240,""),IF(AND(I240&lt;&gt;"",J240="Mandatory"),"✓ "&amp;I240,""),IF(AND(K240&lt;&gt;"",L240="Mandatory"),"✓ "&amp;K240,""),IF(AND(M240&lt;&gt;"",N240="Mandatory"),"✓ "&amp;M240,""),IF(AND(O240&lt;&gt;"",P240="Mandatory"),"✓ "&amp;O240,""),IF(AND(Q240&lt;&gt;"",R240="Mandatory"),"✓ "&amp;Q240,""))</f>
        <v>✓ Aadhaar Card
✓ Educational Certificates
✓ Photo &amp; Signature (Soft Copy)
✓ Active Mobile Number
✓ Email ID
✓ Exam / Form Notification Details</v>
      </c>
      <c r="T240" s="7" t="str">
        <f aca="false">_xlfn.TEXTJOIN(CHAR(10),TRUE(),IF(AND(C240&lt;&gt;"",OR(D240="Optional",D240="If Applicable",D240="To Verify")),"• "&amp;C240&amp;" ("&amp;D240&amp;")",""),IF(AND(E240&lt;&gt;"",OR(F240="Optional",F240="If Applicable",F240="To Verify")),"• "&amp;E240&amp;" ("&amp;F240&amp;")",""),IF(AND(G240&lt;&gt;"",OR(H240="Optional",H240="If Applicable",H240="To Verify")),"• "&amp;G240&amp;" ("&amp;H240&amp;")",""),IF(AND(I240&lt;&gt;"",OR(J240="Optional",J240="If Applicable",J240="To Verify")),"• "&amp;I240&amp;" ("&amp;J240&amp;")",""),IF(AND(K240&lt;&gt;"",OR(L240="Optional",L240="If Applicable",L240="To Verify")),"• "&amp;K240&amp;" ("&amp;L240&amp;")",""),IF(AND(M240&lt;&gt;"",OR(N240="Optional",N240="If Applicable",N240="To Verify")),"• "&amp;M240&amp;" ("&amp;N240&amp;")",""),IF(AND(O240&lt;&gt;"",OR(P240="Optional",P240="If Applicable",P240="To Verify")),"• "&amp;O240&amp;" ("&amp;P240&amp;")",""),IF(AND(Q240&lt;&gt;"",OR(R240="Optional",R240="If Applicable",R240="To Verify")),"• "&amp;Q240&amp;" ("&amp;R240&amp;")",""))</f>
        <v>• Category Certificate (If Applicable)</v>
      </c>
    </row>
    <row r="241" customFormat="false" ht="46.25" hidden="false" customHeight="false" outlineLevel="0" collapsed="false">
      <c r="A241" s="6" t="s">
        <v>2771</v>
      </c>
      <c r="B241" s="7" t="str">
        <f aca="false">IF($A241="","",IFERROR(INDEX(MASTER_DATABASE!$E$4:$E$1000,MATCH($A241,MASTER_DATABASE!$A$4:$A$1000,0)),""))</f>
        <v>School Admission Form</v>
      </c>
      <c r="C241" s="6" t="s">
        <v>3433</v>
      </c>
      <c r="D241" s="6" t="s">
        <v>3436</v>
      </c>
      <c r="E241" s="6" t="s">
        <v>3515</v>
      </c>
      <c r="F241" s="6" t="s">
        <v>3436</v>
      </c>
      <c r="G241" s="6" t="s">
        <v>3551</v>
      </c>
      <c r="H241" s="6" t="s">
        <v>3436</v>
      </c>
      <c r="I241" s="6" t="s">
        <v>3478</v>
      </c>
      <c r="J241" s="6" t="s">
        <v>3436</v>
      </c>
      <c r="K241" s="6" t="s">
        <v>3446</v>
      </c>
      <c r="L241" s="6" t="s">
        <v>3453</v>
      </c>
      <c r="M241" s="6" t="s">
        <v>3587</v>
      </c>
      <c r="N241" s="6" t="s">
        <v>3453</v>
      </c>
      <c r="O241" s="6"/>
      <c r="P241" s="6"/>
      <c r="Q241" s="6"/>
      <c r="R241" s="6"/>
      <c r="S241" s="7" t="str">
        <f aca="false">_xlfn.TEXTJOIN(CHAR(10),TRUE(),IF(AND(C241&lt;&gt;"",D241="Mandatory"),"✓ "&amp;C241,""),IF(AND(E241&lt;&gt;"",F241="Mandatory"),"✓ "&amp;E241,""),IF(AND(G241&lt;&gt;"",H241="Mandatory"),"✓ "&amp;G241,""),IF(AND(I241&lt;&gt;"",J241="Mandatory"),"✓ "&amp;I241,""),IF(AND(K241&lt;&gt;"",L241="Mandatory"),"✓ "&amp;K241,""),IF(AND(M241&lt;&gt;"",N241="Mandatory"),"✓ "&amp;M241,""),IF(AND(O241&lt;&gt;"",P241="Mandatory"),"✓ "&amp;O241,""),IF(AND(Q241&lt;&gt;"",R241="Mandatory"),"✓ "&amp;Q241,""))</f>
        <v>✓ Aadhaar Card
✓ Educational Certificates
✓ Photo &amp; Signature (Soft Copy)
✓ Active Mobile Number</v>
      </c>
      <c r="T241" s="7" t="str">
        <f aca="false">_xlfn.TEXTJOIN(CHAR(10),TRUE(),IF(AND(C241&lt;&gt;"",OR(D241="Optional",D241="If Applicable",D241="To Verify")),"• "&amp;C241&amp;" ("&amp;D241&amp;")",""),IF(AND(E241&lt;&gt;"",OR(F241="Optional",F241="If Applicable",F241="To Verify")),"• "&amp;E241&amp;" ("&amp;F241&amp;")",""),IF(AND(G241&lt;&gt;"",OR(H241="Optional",H241="If Applicable",H241="To Verify")),"• "&amp;G241&amp;" ("&amp;H241&amp;")",""),IF(AND(I241&lt;&gt;"",OR(J241="Optional",J241="If Applicable",J241="To Verify")),"• "&amp;I241&amp;" ("&amp;J241&amp;")",""),IF(AND(K241&lt;&gt;"",OR(L241="Optional",L241="If Applicable",L241="To Verify")),"• "&amp;K241&amp;" ("&amp;L241&amp;")",""),IF(AND(M241&lt;&gt;"",OR(N241="Optional",N241="If Applicable",N241="To Verify")),"• "&amp;M241&amp;" ("&amp;N241&amp;")",""),IF(AND(O241&lt;&gt;"",OR(P241="Optional",P241="If Applicable",P241="To Verify")),"• "&amp;O241&amp;" ("&amp;P241&amp;")",""),IF(AND(Q241&lt;&gt;"",OR(R241="Optional",R241="If Applicable",R241="To Verify")),"• "&amp;Q241&amp;" ("&amp;R241&amp;")",""))</f>
        <v>• Bank Passbook (If Applicable)
• Category Certificate (If Applicable)</v>
      </c>
    </row>
    <row r="242" customFormat="false" ht="46.25" hidden="false" customHeight="false" outlineLevel="0" collapsed="false">
      <c r="A242" s="6" t="s">
        <v>2783</v>
      </c>
      <c r="B242" s="7" t="str">
        <f aca="false">IF($A242="","",IFERROR(INDEX(MASTER_DATABASE!$E$4:$E$1000,MATCH($A242,MASTER_DATABASE!$A$4:$A$1000,0)),""))</f>
        <v>College Admission Form</v>
      </c>
      <c r="C242" s="6" t="s">
        <v>3433</v>
      </c>
      <c r="D242" s="6" t="s">
        <v>3436</v>
      </c>
      <c r="E242" s="6" t="s">
        <v>3515</v>
      </c>
      <c r="F242" s="6" t="s">
        <v>3436</v>
      </c>
      <c r="G242" s="6" t="s">
        <v>3551</v>
      </c>
      <c r="H242" s="6" t="s">
        <v>3436</v>
      </c>
      <c r="I242" s="6" t="s">
        <v>3478</v>
      </c>
      <c r="J242" s="6" t="s">
        <v>3436</v>
      </c>
      <c r="K242" s="6" t="s">
        <v>3446</v>
      </c>
      <c r="L242" s="6" t="s">
        <v>3453</v>
      </c>
      <c r="M242" s="6" t="s">
        <v>3587</v>
      </c>
      <c r="N242" s="6" t="s">
        <v>3453</v>
      </c>
      <c r="O242" s="6"/>
      <c r="P242" s="6"/>
      <c r="Q242" s="6"/>
      <c r="R242" s="6"/>
      <c r="S242" s="7" t="str">
        <f aca="false">_xlfn.TEXTJOIN(CHAR(10),TRUE(),IF(AND(C242&lt;&gt;"",D242="Mandatory"),"✓ "&amp;C242,""),IF(AND(E242&lt;&gt;"",F242="Mandatory"),"✓ "&amp;E242,""),IF(AND(G242&lt;&gt;"",H242="Mandatory"),"✓ "&amp;G242,""),IF(AND(I242&lt;&gt;"",J242="Mandatory"),"✓ "&amp;I242,""),IF(AND(K242&lt;&gt;"",L242="Mandatory"),"✓ "&amp;K242,""),IF(AND(M242&lt;&gt;"",N242="Mandatory"),"✓ "&amp;M242,""),IF(AND(O242&lt;&gt;"",P242="Mandatory"),"✓ "&amp;O242,""),IF(AND(Q242&lt;&gt;"",R242="Mandatory"),"✓ "&amp;Q242,""))</f>
        <v>✓ Aadhaar Card
✓ Educational Certificates
✓ Photo &amp; Signature (Soft Copy)
✓ Active Mobile Number</v>
      </c>
      <c r="T242" s="7" t="str">
        <f aca="false">_xlfn.TEXTJOIN(CHAR(10),TRUE(),IF(AND(C242&lt;&gt;"",OR(D242="Optional",D242="If Applicable",D242="To Verify")),"• "&amp;C242&amp;" ("&amp;D242&amp;")",""),IF(AND(E242&lt;&gt;"",OR(F242="Optional",F242="If Applicable",F242="To Verify")),"• "&amp;E242&amp;" ("&amp;F242&amp;")",""),IF(AND(G242&lt;&gt;"",OR(H242="Optional",H242="If Applicable",H242="To Verify")),"• "&amp;G242&amp;" ("&amp;H242&amp;")",""),IF(AND(I242&lt;&gt;"",OR(J242="Optional",J242="If Applicable",J242="To Verify")),"• "&amp;I242&amp;" ("&amp;J242&amp;")",""),IF(AND(K242&lt;&gt;"",OR(L242="Optional",L242="If Applicable",L242="To Verify")),"• "&amp;K242&amp;" ("&amp;L242&amp;")",""),IF(AND(M242&lt;&gt;"",OR(N242="Optional",N242="If Applicable",N242="To Verify")),"• "&amp;M242&amp;" ("&amp;N242&amp;")",""),IF(AND(O242&lt;&gt;"",OR(P242="Optional",P242="If Applicable",P242="To Verify")),"• "&amp;O242&amp;" ("&amp;P242&amp;")",""),IF(AND(Q242&lt;&gt;"",OR(R242="Optional",R242="If Applicable",R242="To Verify")),"• "&amp;Q242&amp;" ("&amp;R242&amp;")",""))</f>
        <v>• Bank Passbook (If Applicable)
• Category Certificate (If Applicable)</v>
      </c>
    </row>
    <row r="243" customFormat="false" ht="46.25" hidden="false" customHeight="false" outlineLevel="0" collapsed="false">
      <c r="A243" s="6" t="s">
        <v>2793</v>
      </c>
      <c r="B243" s="7" t="str">
        <f aca="false">IF($A243="","",IFERROR(INDEX(MASTER_DATABASE!$E$4:$E$1000,MATCH($A243,MASTER_DATABASE!$A$4:$A$1000,0)),""))</f>
        <v>University Admission Form</v>
      </c>
      <c r="C243" s="6" t="s">
        <v>3433</v>
      </c>
      <c r="D243" s="6" t="s">
        <v>3436</v>
      </c>
      <c r="E243" s="6" t="s">
        <v>3515</v>
      </c>
      <c r="F243" s="6" t="s">
        <v>3436</v>
      </c>
      <c r="G243" s="6" t="s">
        <v>3551</v>
      </c>
      <c r="H243" s="6" t="s">
        <v>3436</v>
      </c>
      <c r="I243" s="6" t="s">
        <v>3478</v>
      </c>
      <c r="J243" s="6" t="s">
        <v>3436</v>
      </c>
      <c r="K243" s="6" t="s">
        <v>3446</v>
      </c>
      <c r="L243" s="6" t="s">
        <v>3453</v>
      </c>
      <c r="M243" s="6" t="s">
        <v>3587</v>
      </c>
      <c r="N243" s="6" t="s">
        <v>3453</v>
      </c>
      <c r="O243" s="6"/>
      <c r="P243" s="6"/>
      <c r="Q243" s="6"/>
      <c r="R243" s="6"/>
      <c r="S243" s="7" t="str">
        <f aca="false">_xlfn.TEXTJOIN(CHAR(10),TRUE(),IF(AND(C243&lt;&gt;"",D243="Mandatory"),"✓ "&amp;C243,""),IF(AND(E243&lt;&gt;"",F243="Mandatory"),"✓ "&amp;E243,""),IF(AND(G243&lt;&gt;"",H243="Mandatory"),"✓ "&amp;G243,""),IF(AND(I243&lt;&gt;"",J243="Mandatory"),"✓ "&amp;I243,""),IF(AND(K243&lt;&gt;"",L243="Mandatory"),"✓ "&amp;K243,""),IF(AND(M243&lt;&gt;"",N243="Mandatory"),"✓ "&amp;M243,""),IF(AND(O243&lt;&gt;"",P243="Mandatory"),"✓ "&amp;O243,""),IF(AND(Q243&lt;&gt;"",R243="Mandatory"),"✓ "&amp;Q243,""))</f>
        <v>✓ Aadhaar Card
✓ Educational Certificates
✓ Photo &amp; Signature (Soft Copy)
✓ Active Mobile Number</v>
      </c>
      <c r="T243" s="7" t="str">
        <f aca="false">_xlfn.TEXTJOIN(CHAR(10),TRUE(),IF(AND(C243&lt;&gt;"",OR(D243="Optional",D243="If Applicable",D243="To Verify")),"• "&amp;C243&amp;" ("&amp;D243&amp;")",""),IF(AND(E243&lt;&gt;"",OR(F243="Optional",F243="If Applicable",F243="To Verify")),"• "&amp;E243&amp;" ("&amp;F243&amp;")",""),IF(AND(G243&lt;&gt;"",OR(H243="Optional",H243="If Applicable",H243="To Verify")),"• "&amp;G243&amp;" ("&amp;H243&amp;")",""),IF(AND(I243&lt;&gt;"",OR(J243="Optional",J243="If Applicable",J243="To Verify")),"• "&amp;I243&amp;" ("&amp;J243&amp;")",""),IF(AND(K243&lt;&gt;"",OR(L243="Optional",L243="If Applicable",L243="To Verify")),"• "&amp;K243&amp;" ("&amp;L243&amp;")",""),IF(AND(M243&lt;&gt;"",OR(N243="Optional",N243="If Applicable",N243="To Verify")),"• "&amp;M243&amp;" ("&amp;N243&amp;")",""),IF(AND(O243&lt;&gt;"",OR(P243="Optional",P243="If Applicable",P243="To Verify")),"• "&amp;O243&amp;" ("&amp;P243&amp;")",""),IF(AND(Q243&lt;&gt;"",OR(R243="Optional",R243="If Applicable",R243="To Verify")),"• "&amp;Q243&amp;" ("&amp;R243&amp;")",""))</f>
        <v>• Bank Passbook (If Applicable)
• Category Certificate (If Applicable)</v>
      </c>
    </row>
    <row r="244" customFormat="false" ht="46.25" hidden="false" customHeight="false" outlineLevel="0" collapsed="false">
      <c r="A244" s="6" t="s">
        <v>2803</v>
      </c>
      <c r="B244" s="7" t="str">
        <f aca="false">IF($A244="","",IFERROR(INDEX(MASTER_DATABASE!$E$4:$E$1000,MATCH($A244,MASTER_DATABASE!$A$4:$A$1000,0)),""))</f>
        <v>ITI Admission Form</v>
      </c>
      <c r="C244" s="6" t="s">
        <v>3433</v>
      </c>
      <c r="D244" s="6" t="s">
        <v>3436</v>
      </c>
      <c r="E244" s="6" t="s">
        <v>3515</v>
      </c>
      <c r="F244" s="6" t="s">
        <v>3436</v>
      </c>
      <c r="G244" s="6" t="s">
        <v>3551</v>
      </c>
      <c r="H244" s="6" t="s">
        <v>3436</v>
      </c>
      <c r="I244" s="6" t="s">
        <v>3478</v>
      </c>
      <c r="J244" s="6" t="s">
        <v>3436</v>
      </c>
      <c r="K244" s="6" t="s">
        <v>3446</v>
      </c>
      <c r="L244" s="6" t="s">
        <v>3453</v>
      </c>
      <c r="M244" s="6" t="s">
        <v>3587</v>
      </c>
      <c r="N244" s="6" t="s">
        <v>3453</v>
      </c>
      <c r="O244" s="6"/>
      <c r="P244" s="6"/>
      <c r="Q244" s="6"/>
      <c r="R244" s="6"/>
      <c r="S244" s="7" t="str">
        <f aca="false">_xlfn.TEXTJOIN(CHAR(10),TRUE(),IF(AND(C244&lt;&gt;"",D244="Mandatory"),"✓ "&amp;C244,""),IF(AND(E244&lt;&gt;"",F244="Mandatory"),"✓ "&amp;E244,""),IF(AND(G244&lt;&gt;"",H244="Mandatory"),"✓ "&amp;G244,""),IF(AND(I244&lt;&gt;"",J244="Mandatory"),"✓ "&amp;I244,""),IF(AND(K244&lt;&gt;"",L244="Mandatory"),"✓ "&amp;K244,""),IF(AND(M244&lt;&gt;"",N244="Mandatory"),"✓ "&amp;M244,""),IF(AND(O244&lt;&gt;"",P244="Mandatory"),"✓ "&amp;O244,""),IF(AND(Q244&lt;&gt;"",R244="Mandatory"),"✓ "&amp;Q244,""))</f>
        <v>✓ Aadhaar Card
✓ Educational Certificates
✓ Photo &amp; Signature (Soft Copy)
✓ Active Mobile Number</v>
      </c>
      <c r="T244" s="7" t="str">
        <f aca="false">_xlfn.TEXTJOIN(CHAR(10),TRUE(),IF(AND(C244&lt;&gt;"",OR(D244="Optional",D244="If Applicable",D244="To Verify")),"• "&amp;C244&amp;" ("&amp;D244&amp;")",""),IF(AND(E244&lt;&gt;"",OR(F244="Optional",F244="If Applicable",F244="To Verify")),"• "&amp;E244&amp;" ("&amp;F244&amp;")",""),IF(AND(G244&lt;&gt;"",OR(H244="Optional",H244="If Applicable",H244="To Verify")),"• "&amp;G244&amp;" ("&amp;H244&amp;")",""),IF(AND(I244&lt;&gt;"",OR(J244="Optional",J244="If Applicable",J244="To Verify")),"• "&amp;I244&amp;" ("&amp;J244&amp;")",""),IF(AND(K244&lt;&gt;"",OR(L244="Optional",L244="If Applicable",L244="To Verify")),"• "&amp;K244&amp;" ("&amp;L244&amp;")",""),IF(AND(M244&lt;&gt;"",OR(N244="Optional",N244="If Applicable",N244="To Verify")),"• "&amp;M244&amp;" ("&amp;N244&amp;")",""),IF(AND(O244&lt;&gt;"",OR(P244="Optional",P244="If Applicable",P244="To Verify")),"• "&amp;O244&amp;" ("&amp;P244&amp;")",""),IF(AND(Q244&lt;&gt;"",OR(R244="Optional",R244="If Applicable",R244="To Verify")),"• "&amp;Q244&amp;" ("&amp;R244&amp;")",""))</f>
        <v>• Bank Passbook (If Applicable)
• Category Certificate (If Applicable)</v>
      </c>
    </row>
    <row r="245" customFormat="false" ht="46.25" hidden="false" customHeight="false" outlineLevel="0" collapsed="false">
      <c r="A245" s="6" t="s">
        <v>2813</v>
      </c>
      <c r="B245" s="7" t="str">
        <f aca="false">IF($A245="","",IFERROR(INDEX(MASTER_DATABASE!$E$4:$E$1000,MATCH($A245,MASTER_DATABASE!$A$4:$A$1000,0)),""))</f>
        <v>Polytechnic Admission Form</v>
      </c>
      <c r="C245" s="6" t="s">
        <v>3433</v>
      </c>
      <c r="D245" s="6" t="s">
        <v>3436</v>
      </c>
      <c r="E245" s="6" t="s">
        <v>3515</v>
      </c>
      <c r="F245" s="6" t="s">
        <v>3436</v>
      </c>
      <c r="G245" s="6" t="s">
        <v>3551</v>
      </c>
      <c r="H245" s="6" t="s">
        <v>3436</v>
      </c>
      <c r="I245" s="6" t="s">
        <v>3478</v>
      </c>
      <c r="J245" s="6" t="s">
        <v>3436</v>
      </c>
      <c r="K245" s="6" t="s">
        <v>3446</v>
      </c>
      <c r="L245" s="6" t="s">
        <v>3453</v>
      </c>
      <c r="M245" s="6" t="s">
        <v>3587</v>
      </c>
      <c r="N245" s="6" t="s">
        <v>3453</v>
      </c>
      <c r="O245" s="6"/>
      <c r="P245" s="6"/>
      <c r="Q245" s="6"/>
      <c r="R245" s="6"/>
      <c r="S245" s="7" t="str">
        <f aca="false">_xlfn.TEXTJOIN(CHAR(10),TRUE(),IF(AND(C245&lt;&gt;"",D245="Mandatory"),"✓ "&amp;C245,""),IF(AND(E245&lt;&gt;"",F245="Mandatory"),"✓ "&amp;E245,""),IF(AND(G245&lt;&gt;"",H245="Mandatory"),"✓ "&amp;G245,""),IF(AND(I245&lt;&gt;"",J245="Mandatory"),"✓ "&amp;I245,""),IF(AND(K245&lt;&gt;"",L245="Mandatory"),"✓ "&amp;K245,""),IF(AND(M245&lt;&gt;"",N245="Mandatory"),"✓ "&amp;M245,""),IF(AND(O245&lt;&gt;"",P245="Mandatory"),"✓ "&amp;O245,""),IF(AND(Q245&lt;&gt;"",R245="Mandatory"),"✓ "&amp;Q245,""))</f>
        <v>✓ Aadhaar Card
✓ Educational Certificates
✓ Photo &amp; Signature (Soft Copy)
✓ Active Mobile Number</v>
      </c>
      <c r="T245" s="7" t="str">
        <f aca="false">_xlfn.TEXTJOIN(CHAR(10),TRUE(),IF(AND(C245&lt;&gt;"",OR(D245="Optional",D245="If Applicable",D245="To Verify")),"• "&amp;C245&amp;" ("&amp;D245&amp;")",""),IF(AND(E245&lt;&gt;"",OR(F245="Optional",F245="If Applicable",F245="To Verify")),"• "&amp;E245&amp;" ("&amp;F245&amp;")",""),IF(AND(G245&lt;&gt;"",OR(H245="Optional",H245="If Applicable",H245="To Verify")),"• "&amp;G245&amp;" ("&amp;H245&amp;")",""),IF(AND(I245&lt;&gt;"",OR(J245="Optional",J245="If Applicable",J245="To Verify")),"• "&amp;I245&amp;" ("&amp;J245&amp;")",""),IF(AND(K245&lt;&gt;"",OR(L245="Optional",L245="If Applicable",L245="To Verify")),"• "&amp;K245&amp;" ("&amp;L245&amp;")",""),IF(AND(M245&lt;&gt;"",OR(N245="Optional",N245="If Applicable",N245="To Verify")),"• "&amp;M245&amp;" ("&amp;N245&amp;")",""),IF(AND(O245&lt;&gt;"",OR(P245="Optional",P245="If Applicable",P245="To Verify")),"• "&amp;O245&amp;" ("&amp;P245&amp;")",""),IF(AND(Q245&lt;&gt;"",OR(R245="Optional",R245="If Applicable",R245="To Verify")),"• "&amp;Q245&amp;" ("&amp;R245&amp;")",""))</f>
        <v>• Bank Passbook (If Applicable)
• Category Certificate (If Applicable)</v>
      </c>
    </row>
    <row r="246" customFormat="false" ht="46.25" hidden="false" customHeight="false" outlineLevel="0" collapsed="false">
      <c r="A246" s="6" t="s">
        <v>2823</v>
      </c>
      <c r="B246" s="7" t="str">
        <f aca="false">IF($A246="","",IFERROR(INDEX(MASTER_DATABASE!$E$4:$E$1000,MATCH($A246,MASTER_DATABASE!$A$4:$A$1000,0)),""))</f>
        <v>Scholarship Application</v>
      </c>
      <c r="C246" s="6" t="s">
        <v>3433</v>
      </c>
      <c r="D246" s="6" t="s">
        <v>3436</v>
      </c>
      <c r="E246" s="6" t="s">
        <v>3515</v>
      </c>
      <c r="F246" s="6" t="s">
        <v>3436</v>
      </c>
      <c r="G246" s="6" t="s">
        <v>3551</v>
      </c>
      <c r="H246" s="6" t="s">
        <v>3436</v>
      </c>
      <c r="I246" s="6" t="s">
        <v>3478</v>
      </c>
      <c r="J246" s="6" t="s">
        <v>3436</v>
      </c>
      <c r="K246" s="6" t="s">
        <v>3446</v>
      </c>
      <c r="L246" s="6" t="s">
        <v>3453</v>
      </c>
      <c r="M246" s="6" t="s">
        <v>3587</v>
      </c>
      <c r="N246" s="6" t="s">
        <v>3453</v>
      </c>
      <c r="O246" s="6"/>
      <c r="P246" s="6"/>
      <c r="Q246" s="6"/>
      <c r="R246" s="6"/>
      <c r="S246" s="7" t="str">
        <f aca="false">_xlfn.TEXTJOIN(CHAR(10),TRUE(),IF(AND(C246&lt;&gt;"",D246="Mandatory"),"✓ "&amp;C246,""),IF(AND(E246&lt;&gt;"",F246="Mandatory"),"✓ "&amp;E246,""),IF(AND(G246&lt;&gt;"",H246="Mandatory"),"✓ "&amp;G246,""),IF(AND(I246&lt;&gt;"",J246="Mandatory"),"✓ "&amp;I246,""),IF(AND(K246&lt;&gt;"",L246="Mandatory"),"✓ "&amp;K246,""),IF(AND(M246&lt;&gt;"",N246="Mandatory"),"✓ "&amp;M246,""),IF(AND(O246&lt;&gt;"",P246="Mandatory"),"✓ "&amp;O246,""),IF(AND(Q246&lt;&gt;"",R246="Mandatory"),"✓ "&amp;Q246,""))</f>
        <v>✓ Aadhaar Card
✓ Educational Certificates
✓ Photo &amp; Signature (Soft Copy)
✓ Active Mobile Number</v>
      </c>
      <c r="T246" s="7" t="str">
        <f aca="false">_xlfn.TEXTJOIN(CHAR(10),TRUE(),IF(AND(C246&lt;&gt;"",OR(D246="Optional",D246="If Applicable",D246="To Verify")),"• "&amp;C246&amp;" ("&amp;D246&amp;")",""),IF(AND(E246&lt;&gt;"",OR(F246="Optional",F246="If Applicable",F246="To Verify")),"• "&amp;E246&amp;" ("&amp;F246&amp;")",""),IF(AND(G246&lt;&gt;"",OR(H246="Optional",H246="If Applicable",H246="To Verify")),"• "&amp;G246&amp;" ("&amp;H246&amp;")",""),IF(AND(I246&lt;&gt;"",OR(J246="Optional",J246="If Applicable",J246="To Verify")),"• "&amp;I246&amp;" ("&amp;J246&amp;")",""),IF(AND(K246&lt;&gt;"",OR(L246="Optional",L246="If Applicable",L246="To Verify")),"• "&amp;K246&amp;" ("&amp;L246&amp;")",""),IF(AND(M246&lt;&gt;"",OR(N246="Optional",N246="If Applicable",N246="To Verify")),"• "&amp;M246&amp;" ("&amp;N246&amp;")",""),IF(AND(O246&lt;&gt;"",OR(P246="Optional",P246="If Applicable",P246="To Verify")),"• "&amp;O246&amp;" ("&amp;P246&amp;")",""),IF(AND(Q246&lt;&gt;"",OR(R246="Optional",R246="If Applicable",R246="To Verify")),"• "&amp;Q246&amp;" ("&amp;R246&amp;")",""))</f>
        <v>• Bank Passbook (If Applicable)
• Category Certificate (If Applicable)</v>
      </c>
    </row>
    <row r="247" customFormat="false" ht="46.25" hidden="false" customHeight="false" outlineLevel="0" collapsed="false">
      <c r="A247" s="6" t="s">
        <v>2833</v>
      </c>
      <c r="B247" s="7" t="str">
        <f aca="false">IF($A247="","",IFERROR(INDEX(MASTER_DATABASE!$E$4:$E$1000,MATCH($A247,MASTER_DATABASE!$A$4:$A$1000,0)),""))</f>
        <v>Student Credit Card / Education Loan Scheme Application</v>
      </c>
      <c r="C247" s="6" t="s">
        <v>3433</v>
      </c>
      <c r="D247" s="6" t="s">
        <v>3436</v>
      </c>
      <c r="E247" s="6" t="s">
        <v>3515</v>
      </c>
      <c r="F247" s="6" t="s">
        <v>3436</v>
      </c>
      <c r="G247" s="6" t="s">
        <v>3551</v>
      </c>
      <c r="H247" s="6" t="s">
        <v>3436</v>
      </c>
      <c r="I247" s="6" t="s">
        <v>3478</v>
      </c>
      <c r="J247" s="6" t="s">
        <v>3436</v>
      </c>
      <c r="K247" s="6" t="s">
        <v>3446</v>
      </c>
      <c r="L247" s="6" t="s">
        <v>3453</v>
      </c>
      <c r="M247" s="6" t="s">
        <v>3587</v>
      </c>
      <c r="N247" s="6" t="s">
        <v>3453</v>
      </c>
      <c r="O247" s="6"/>
      <c r="P247" s="6"/>
      <c r="Q247" s="6"/>
      <c r="R247" s="6"/>
      <c r="S247" s="7" t="str">
        <f aca="false">_xlfn.TEXTJOIN(CHAR(10),TRUE(),IF(AND(C247&lt;&gt;"",D247="Mandatory"),"✓ "&amp;C247,""),IF(AND(E247&lt;&gt;"",F247="Mandatory"),"✓ "&amp;E247,""),IF(AND(G247&lt;&gt;"",H247="Mandatory"),"✓ "&amp;G247,""),IF(AND(I247&lt;&gt;"",J247="Mandatory"),"✓ "&amp;I247,""),IF(AND(K247&lt;&gt;"",L247="Mandatory"),"✓ "&amp;K247,""),IF(AND(M247&lt;&gt;"",N247="Mandatory"),"✓ "&amp;M247,""),IF(AND(O247&lt;&gt;"",P247="Mandatory"),"✓ "&amp;O247,""),IF(AND(Q247&lt;&gt;"",R247="Mandatory"),"✓ "&amp;Q247,""))</f>
        <v>✓ Aadhaar Card
✓ Educational Certificates
✓ Photo &amp; Signature (Soft Copy)
✓ Active Mobile Number</v>
      </c>
      <c r="T247" s="7" t="str">
        <f aca="false">_xlfn.TEXTJOIN(CHAR(10),TRUE(),IF(AND(C247&lt;&gt;"",OR(D247="Optional",D247="If Applicable",D247="To Verify")),"• "&amp;C247&amp;" ("&amp;D247&amp;")",""),IF(AND(E247&lt;&gt;"",OR(F247="Optional",F247="If Applicable",F247="To Verify")),"• "&amp;E247&amp;" ("&amp;F247&amp;")",""),IF(AND(G247&lt;&gt;"",OR(H247="Optional",H247="If Applicable",H247="To Verify")),"• "&amp;G247&amp;" ("&amp;H247&amp;")",""),IF(AND(I247&lt;&gt;"",OR(J247="Optional",J247="If Applicable",J247="To Verify")),"• "&amp;I247&amp;" ("&amp;J247&amp;")",""),IF(AND(K247&lt;&gt;"",OR(L247="Optional",L247="If Applicable",L247="To Verify")),"• "&amp;K247&amp;" ("&amp;L247&amp;")",""),IF(AND(M247&lt;&gt;"",OR(N247="Optional",N247="If Applicable",N247="To Verify")),"• "&amp;M247&amp;" ("&amp;N247&amp;")",""),IF(AND(O247&lt;&gt;"",OR(P247="Optional",P247="If Applicable",P247="To Verify")),"• "&amp;O247&amp;" ("&amp;P247&amp;")",""),IF(AND(Q247&lt;&gt;"",OR(R247="Optional",R247="If Applicable",R247="To Verify")),"• "&amp;Q247&amp;" ("&amp;R247&amp;")",""))</f>
        <v>• Bank Passbook (If Applicable)
• Category Certificate (If Applicable)</v>
      </c>
    </row>
    <row r="248" customFormat="false" ht="46.25" hidden="false" customHeight="false" outlineLevel="0" collapsed="false">
      <c r="A248" s="6" t="s">
        <v>2844</v>
      </c>
      <c r="B248" s="7" t="str">
        <f aca="false">IF($A248="","",IFERROR(INDEX(MASTER_DATABASE!$E$4:$E$1000,MATCH($A248,MASTER_DATABASE!$A$4:$A$1000,0)),""))</f>
        <v>Exam Registration</v>
      </c>
      <c r="C248" s="6" t="s">
        <v>3433</v>
      </c>
      <c r="D248" s="6" t="s">
        <v>3436</v>
      </c>
      <c r="E248" s="6" t="s">
        <v>3515</v>
      </c>
      <c r="F248" s="6" t="s">
        <v>3436</v>
      </c>
      <c r="G248" s="6" t="s">
        <v>3551</v>
      </c>
      <c r="H248" s="6" t="s">
        <v>3436</v>
      </c>
      <c r="I248" s="6" t="s">
        <v>3478</v>
      </c>
      <c r="J248" s="6" t="s">
        <v>3436</v>
      </c>
      <c r="K248" s="6" t="s">
        <v>3446</v>
      </c>
      <c r="L248" s="6" t="s">
        <v>3453</v>
      </c>
      <c r="M248" s="6" t="s">
        <v>3587</v>
      </c>
      <c r="N248" s="6" t="s">
        <v>3453</v>
      </c>
      <c r="O248" s="6"/>
      <c r="P248" s="6"/>
      <c r="Q248" s="6"/>
      <c r="R248" s="6"/>
      <c r="S248" s="7" t="str">
        <f aca="false">_xlfn.TEXTJOIN(CHAR(10),TRUE(),IF(AND(C248&lt;&gt;"",D248="Mandatory"),"✓ "&amp;C248,""),IF(AND(E248&lt;&gt;"",F248="Mandatory"),"✓ "&amp;E248,""),IF(AND(G248&lt;&gt;"",H248="Mandatory"),"✓ "&amp;G248,""),IF(AND(I248&lt;&gt;"",J248="Mandatory"),"✓ "&amp;I248,""),IF(AND(K248&lt;&gt;"",L248="Mandatory"),"✓ "&amp;K248,""),IF(AND(M248&lt;&gt;"",N248="Mandatory"),"✓ "&amp;M248,""),IF(AND(O248&lt;&gt;"",P248="Mandatory"),"✓ "&amp;O248,""),IF(AND(Q248&lt;&gt;"",R248="Mandatory"),"✓ "&amp;Q248,""))</f>
        <v>✓ Aadhaar Card
✓ Educational Certificates
✓ Photo &amp; Signature (Soft Copy)
✓ Active Mobile Number</v>
      </c>
      <c r="T248" s="7" t="str">
        <f aca="false">_xlfn.TEXTJOIN(CHAR(10),TRUE(),IF(AND(C248&lt;&gt;"",OR(D248="Optional",D248="If Applicable",D248="To Verify")),"• "&amp;C248&amp;" ("&amp;D248&amp;")",""),IF(AND(E248&lt;&gt;"",OR(F248="Optional",F248="If Applicable",F248="To Verify")),"• "&amp;E248&amp;" ("&amp;F248&amp;")",""),IF(AND(G248&lt;&gt;"",OR(H248="Optional",H248="If Applicable",H248="To Verify")),"• "&amp;G248&amp;" ("&amp;H248&amp;")",""),IF(AND(I248&lt;&gt;"",OR(J248="Optional",J248="If Applicable",J248="To Verify")),"• "&amp;I248&amp;" ("&amp;J248&amp;")",""),IF(AND(K248&lt;&gt;"",OR(L248="Optional",L248="If Applicable",L248="To Verify")),"• "&amp;K248&amp;" ("&amp;L248&amp;")",""),IF(AND(M248&lt;&gt;"",OR(N248="Optional",N248="If Applicable",N248="To Verify")),"• "&amp;M248&amp;" ("&amp;N248&amp;")",""),IF(AND(O248&lt;&gt;"",OR(P248="Optional",P248="If Applicable",P248="To Verify")),"• "&amp;O248&amp;" ("&amp;P248&amp;")",""),IF(AND(Q248&lt;&gt;"",OR(R248="Optional",R248="If Applicable",R248="To Verify")),"• "&amp;Q248&amp;" ("&amp;R248&amp;")",""))</f>
        <v>• Bank Passbook (If Applicable)
• Category Certificate (If Applicable)</v>
      </c>
    </row>
    <row r="249" customFormat="false" ht="46.25" hidden="false" customHeight="false" outlineLevel="0" collapsed="false">
      <c r="A249" s="6" t="s">
        <v>2854</v>
      </c>
      <c r="B249" s="7" t="str">
        <f aca="false">IF($A249="","",IFERROR(INDEX(MASTER_DATABASE!$E$4:$E$1000,MATCH($A249,MASTER_DATABASE!$A$4:$A$1000,0)),""))</f>
        <v>Admit Card Download</v>
      </c>
      <c r="C249" s="6" t="s">
        <v>3433</v>
      </c>
      <c r="D249" s="6" t="s">
        <v>3436</v>
      </c>
      <c r="E249" s="6" t="s">
        <v>3515</v>
      </c>
      <c r="F249" s="6" t="s">
        <v>3436</v>
      </c>
      <c r="G249" s="6" t="s">
        <v>3551</v>
      </c>
      <c r="H249" s="6" t="s">
        <v>3436</v>
      </c>
      <c r="I249" s="6" t="s">
        <v>3478</v>
      </c>
      <c r="J249" s="6" t="s">
        <v>3436</v>
      </c>
      <c r="K249" s="6" t="s">
        <v>3446</v>
      </c>
      <c r="L249" s="6" t="s">
        <v>3453</v>
      </c>
      <c r="M249" s="6" t="s">
        <v>3587</v>
      </c>
      <c r="N249" s="6" t="s">
        <v>3453</v>
      </c>
      <c r="O249" s="6"/>
      <c r="P249" s="6"/>
      <c r="Q249" s="6"/>
      <c r="R249" s="6"/>
      <c r="S249" s="7" t="str">
        <f aca="false">_xlfn.TEXTJOIN(CHAR(10),TRUE(),IF(AND(C249&lt;&gt;"",D249="Mandatory"),"✓ "&amp;C249,""),IF(AND(E249&lt;&gt;"",F249="Mandatory"),"✓ "&amp;E249,""),IF(AND(G249&lt;&gt;"",H249="Mandatory"),"✓ "&amp;G249,""),IF(AND(I249&lt;&gt;"",J249="Mandatory"),"✓ "&amp;I249,""),IF(AND(K249&lt;&gt;"",L249="Mandatory"),"✓ "&amp;K249,""),IF(AND(M249&lt;&gt;"",N249="Mandatory"),"✓ "&amp;M249,""),IF(AND(O249&lt;&gt;"",P249="Mandatory"),"✓ "&amp;O249,""),IF(AND(Q249&lt;&gt;"",R249="Mandatory"),"✓ "&amp;Q249,""))</f>
        <v>✓ Aadhaar Card
✓ Educational Certificates
✓ Photo &amp; Signature (Soft Copy)
✓ Active Mobile Number</v>
      </c>
      <c r="T249" s="7" t="str">
        <f aca="false">_xlfn.TEXTJOIN(CHAR(10),TRUE(),IF(AND(C249&lt;&gt;"",OR(D249="Optional",D249="If Applicable",D249="To Verify")),"• "&amp;C249&amp;" ("&amp;D249&amp;")",""),IF(AND(E249&lt;&gt;"",OR(F249="Optional",F249="If Applicable",F249="To Verify")),"• "&amp;E249&amp;" ("&amp;F249&amp;")",""),IF(AND(G249&lt;&gt;"",OR(H249="Optional",H249="If Applicable",H249="To Verify")),"• "&amp;G249&amp;" ("&amp;H249&amp;")",""),IF(AND(I249&lt;&gt;"",OR(J249="Optional",J249="If Applicable",J249="To Verify")),"• "&amp;I249&amp;" ("&amp;J249&amp;")",""),IF(AND(K249&lt;&gt;"",OR(L249="Optional",L249="If Applicable",L249="To Verify")),"• "&amp;K249&amp;" ("&amp;L249&amp;")",""),IF(AND(M249&lt;&gt;"",OR(N249="Optional",N249="If Applicable",N249="To Verify")),"• "&amp;M249&amp;" ("&amp;N249&amp;")",""),IF(AND(O249&lt;&gt;"",OR(P249="Optional",P249="If Applicable",P249="To Verify")),"• "&amp;O249&amp;" ("&amp;P249&amp;")",""),IF(AND(Q249&lt;&gt;"",OR(R249="Optional",R249="If Applicable",R249="To Verify")),"• "&amp;Q249&amp;" ("&amp;R249&amp;")",""))</f>
        <v>• Bank Passbook (If Applicable)
• Category Certificate (If Applicable)</v>
      </c>
    </row>
    <row r="250" customFormat="false" ht="46.25" hidden="false" customHeight="false" outlineLevel="0" collapsed="false">
      <c r="A250" s="6" t="s">
        <v>2864</v>
      </c>
      <c r="B250" s="7" t="str">
        <f aca="false">IF($A250="","",IFERROR(INDEX(MASTER_DATABASE!$E$4:$E$1000,MATCH($A250,MASTER_DATABASE!$A$4:$A$1000,0)),""))</f>
        <v>Result Check / Download</v>
      </c>
      <c r="C250" s="6" t="s">
        <v>3433</v>
      </c>
      <c r="D250" s="6" t="s">
        <v>3436</v>
      </c>
      <c r="E250" s="6" t="s">
        <v>3515</v>
      </c>
      <c r="F250" s="6" t="s">
        <v>3436</v>
      </c>
      <c r="G250" s="6" t="s">
        <v>3551</v>
      </c>
      <c r="H250" s="6" t="s">
        <v>3436</v>
      </c>
      <c r="I250" s="6" t="s">
        <v>3478</v>
      </c>
      <c r="J250" s="6" t="s">
        <v>3436</v>
      </c>
      <c r="K250" s="6" t="s">
        <v>3446</v>
      </c>
      <c r="L250" s="6" t="s">
        <v>3453</v>
      </c>
      <c r="M250" s="6" t="s">
        <v>3587</v>
      </c>
      <c r="N250" s="6" t="s">
        <v>3453</v>
      </c>
      <c r="O250" s="6"/>
      <c r="P250" s="6"/>
      <c r="Q250" s="6"/>
      <c r="R250" s="6"/>
      <c r="S250" s="7" t="str">
        <f aca="false">_xlfn.TEXTJOIN(CHAR(10),TRUE(),IF(AND(C250&lt;&gt;"",D250="Mandatory"),"✓ "&amp;C250,""),IF(AND(E250&lt;&gt;"",F250="Mandatory"),"✓ "&amp;E250,""),IF(AND(G250&lt;&gt;"",H250="Mandatory"),"✓ "&amp;G250,""),IF(AND(I250&lt;&gt;"",J250="Mandatory"),"✓ "&amp;I250,""),IF(AND(K250&lt;&gt;"",L250="Mandatory"),"✓ "&amp;K250,""),IF(AND(M250&lt;&gt;"",N250="Mandatory"),"✓ "&amp;M250,""),IF(AND(O250&lt;&gt;"",P250="Mandatory"),"✓ "&amp;O250,""),IF(AND(Q250&lt;&gt;"",R250="Mandatory"),"✓ "&amp;Q250,""))</f>
        <v>✓ Aadhaar Card
✓ Educational Certificates
✓ Photo &amp; Signature (Soft Copy)
✓ Active Mobile Number</v>
      </c>
      <c r="T250" s="7" t="str">
        <f aca="false">_xlfn.TEXTJOIN(CHAR(10),TRUE(),IF(AND(C250&lt;&gt;"",OR(D250="Optional",D250="If Applicable",D250="To Verify")),"• "&amp;C250&amp;" ("&amp;D250&amp;")",""),IF(AND(E250&lt;&gt;"",OR(F250="Optional",F250="If Applicable",F250="To Verify")),"• "&amp;E250&amp;" ("&amp;F250&amp;")",""),IF(AND(G250&lt;&gt;"",OR(H250="Optional",H250="If Applicable",H250="To Verify")),"• "&amp;G250&amp;" ("&amp;H250&amp;")",""),IF(AND(I250&lt;&gt;"",OR(J250="Optional",J250="If Applicable",J250="To Verify")),"• "&amp;I250&amp;" ("&amp;J250&amp;")",""),IF(AND(K250&lt;&gt;"",OR(L250="Optional",L250="If Applicable",L250="To Verify")),"• "&amp;K250&amp;" ("&amp;L250&amp;")",""),IF(AND(M250&lt;&gt;"",OR(N250="Optional",N250="If Applicable",N250="To Verify")),"• "&amp;M250&amp;" ("&amp;N250&amp;")",""),IF(AND(O250&lt;&gt;"",OR(P250="Optional",P250="If Applicable",P250="To Verify")),"• "&amp;O250&amp;" ("&amp;P250&amp;")",""),IF(AND(Q250&lt;&gt;"",OR(R250="Optional",R250="If Applicable",R250="To Verify")),"• "&amp;Q250&amp;" ("&amp;R250&amp;")",""))</f>
        <v>• Bank Passbook (If Applicable)
• Category Certificate (If Applicable)</v>
      </c>
    </row>
    <row r="251" customFormat="false" ht="46.25" hidden="false" customHeight="false" outlineLevel="0" collapsed="false">
      <c r="A251" s="6" t="s">
        <v>2874</v>
      </c>
      <c r="B251" s="7" t="str">
        <f aca="false">IF($A251="","",IFERROR(INDEX(MASTER_DATABASE!$E$4:$E$1000,MATCH($A251,MASTER_DATABASE!$A$4:$A$1000,0)),""))</f>
        <v>Marksheet / Certificate Download</v>
      </c>
      <c r="C251" s="6" t="s">
        <v>3433</v>
      </c>
      <c r="D251" s="6" t="s">
        <v>3436</v>
      </c>
      <c r="E251" s="6" t="s">
        <v>3515</v>
      </c>
      <c r="F251" s="6" t="s">
        <v>3436</v>
      </c>
      <c r="G251" s="6" t="s">
        <v>3551</v>
      </c>
      <c r="H251" s="6" t="s">
        <v>3436</v>
      </c>
      <c r="I251" s="6" t="s">
        <v>3478</v>
      </c>
      <c r="J251" s="6" t="s">
        <v>3436</v>
      </c>
      <c r="K251" s="6" t="s">
        <v>3446</v>
      </c>
      <c r="L251" s="6" t="s">
        <v>3453</v>
      </c>
      <c r="M251" s="6" t="s">
        <v>3587</v>
      </c>
      <c r="N251" s="6" t="s">
        <v>3453</v>
      </c>
      <c r="O251" s="6"/>
      <c r="P251" s="6"/>
      <c r="Q251" s="6"/>
      <c r="R251" s="6"/>
      <c r="S251" s="7" t="str">
        <f aca="false">_xlfn.TEXTJOIN(CHAR(10),TRUE(),IF(AND(C251&lt;&gt;"",D251="Mandatory"),"✓ "&amp;C251,""),IF(AND(E251&lt;&gt;"",F251="Mandatory"),"✓ "&amp;E251,""),IF(AND(G251&lt;&gt;"",H251="Mandatory"),"✓ "&amp;G251,""),IF(AND(I251&lt;&gt;"",J251="Mandatory"),"✓ "&amp;I251,""),IF(AND(K251&lt;&gt;"",L251="Mandatory"),"✓ "&amp;K251,""),IF(AND(M251&lt;&gt;"",N251="Mandatory"),"✓ "&amp;M251,""),IF(AND(O251&lt;&gt;"",P251="Mandatory"),"✓ "&amp;O251,""),IF(AND(Q251&lt;&gt;"",R251="Mandatory"),"✓ "&amp;Q251,""))</f>
        <v>✓ Aadhaar Card
✓ Educational Certificates
✓ Photo &amp; Signature (Soft Copy)
✓ Active Mobile Number</v>
      </c>
      <c r="T251" s="7" t="str">
        <f aca="false">_xlfn.TEXTJOIN(CHAR(10),TRUE(),IF(AND(C251&lt;&gt;"",OR(D251="Optional",D251="If Applicable",D251="To Verify")),"• "&amp;C251&amp;" ("&amp;D251&amp;")",""),IF(AND(E251&lt;&gt;"",OR(F251="Optional",F251="If Applicable",F251="To Verify")),"• "&amp;E251&amp;" ("&amp;F251&amp;")",""),IF(AND(G251&lt;&gt;"",OR(H251="Optional",H251="If Applicable",H251="To Verify")),"• "&amp;G251&amp;" ("&amp;H251&amp;")",""),IF(AND(I251&lt;&gt;"",OR(J251="Optional",J251="If Applicable",J251="To Verify")),"• "&amp;I251&amp;" ("&amp;J251&amp;")",""),IF(AND(K251&lt;&gt;"",OR(L251="Optional",L251="If Applicable",L251="To Verify")),"• "&amp;K251&amp;" ("&amp;L251&amp;")",""),IF(AND(M251&lt;&gt;"",OR(N251="Optional",N251="If Applicable",N251="To Verify")),"• "&amp;M251&amp;" ("&amp;N251&amp;")",""),IF(AND(O251&lt;&gt;"",OR(P251="Optional",P251="If Applicable",P251="To Verify")),"• "&amp;O251&amp;" ("&amp;P251&amp;")",""),IF(AND(Q251&lt;&gt;"",OR(R251="Optional",R251="If Applicable",R251="To Verify")),"• "&amp;Q251&amp;" ("&amp;R251&amp;")",""))</f>
        <v>• Bank Passbook (If Applicable)
• Category Certificate (If Applicable)</v>
      </c>
    </row>
    <row r="252" customFormat="false" ht="15" hidden="false" customHeight="false" outlineLevel="0" collapsed="false">
      <c r="A252" s="6" t="s">
        <v>2884</v>
      </c>
      <c r="B252" s="7" t="str">
        <f aca="false">IF($A252="","",IFERROR(INDEX(MASTER_DATABASE!$E$4:$E$1000,MATCH($A252,MASTER_DATABASE!$A$4:$A$1000,0)),""))</f>
        <v>Email ID Creation</v>
      </c>
      <c r="C252" s="6" t="s">
        <v>3478</v>
      </c>
      <c r="D252" s="6" t="s">
        <v>3436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7" t="str">
        <f aca="false">_xlfn.TEXTJOIN(CHAR(10),TRUE(),IF(AND(C252&lt;&gt;"",D252="Mandatory"),"✓ "&amp;C252,""),IF(AND(E252&lt;&gt;"",F252="Mandatory"),"✓ "&amp;E252,""),IF(AND(G252&lt;&gt;"",H252="Mandatory"),"✓ "&amp;G252,""),IF(AND(I252&lt;&gt;"",J252="Mandatory"),"✓ "&amp;I252,""),IF(AND(K252&lt;&gt;"",L252="Mandatory"),"✓ "&amp;K252,""),IF(AND(M252&lt;&gt;"",N252="Mandatory"),"✓ "&amp;M252,""),IF(AND(O252&lt;&gt;"",P252="Mandatory"),"✓ "&amp;O252,""),IF(AND(Q252&lt;&gt;"",R252="Mandatory"),"✓ "&amp;Q252,""))</f>
        <v>✓ Active Mobile Number</v>
      </c>
      <c r="T252" s="7" t="str">
        <f aca="false">_xlfn.TEXTJOIN(CHAR(10),TRUE(),IF(AND(C252&lt;&gt;"",OR(D252="Optional",D252="If Applicable",D252="To Verify")),"• "&amp;C252&amp;" ("&amp;D252&amp;")",""),IF(AND(E252&lt;&gt;"",OR(F252="Optional",F252="If Applicable",F252="To Verify")),"• "&amp;E252&amp;" ("&amp;F252&amp;")",""),IF(AND(G252&lt;&gt;"",OR(H252="Optional",H252="If Applicable",H252="To Verify")),"• "&amp;G252&amp;" ("&amp;H252&amp;")",""),IF(AND(I252&lt;&gt;"",OR(J252="Optional",J252="If Applicable",J252="To Verify")),"• "&amp;I252&amp;" ("&amp;J252&amp;")",""),IF(AND(K252&lt;&gt;"",OR(L252="Optional",L252="If Applicable",L252="To Verify")),"• "&amp;K252&amp;" ("&amp;L252&amp;")",""),IF(AND(M252&lt;&gt;"",OR(N252="Optional",N252="If Applicable",N252="To Verify")),"• "&amp;M252&amp;" ("&amp;N252&amp;")",""),IF(AND(O252&lt;&gt;"",OR(P252="Optional",P252="If Applicable",P252="To Verify")),"• "&amp;O252&amp;" ("&amp;P252&amp;")",""),IF(AND(Q252&lt;&gt;"",OR(R252="Optional",R252="If Applicable",R252="To Verify")),"• "&amp;Q252&amp;" ("&amp;R252&amp;")",""))</f>
        <v/>
      </c>
    </row>
    <row r="253" customFormat="false" ht="15" hidden="false" customHeight="false" outlineLevel="0" collapsed="false">
      <c r="A253" s="6" t="s">
        <v>2895</v>
      </c>
      <c r="B253" s="7" t="str">
        <f aca="false">IF($A253="","",IFERROR(INDEX(MASTER_DATABASE!$E$4:$E$1000,MATCH($A253,MASTER_DATABASE!$A$4:$A$1000,0)),""))</f>
        <v>Online Registration – General</v>
      </c>
      <c r="C253" s="6" t="s">
        <v>3478</v>
      </c>
      <c r="D253" s="6" t="s">
        <v>3436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7" t="str">
        <f aca="false">_xlfn.TEXTJOIN(CHAR(10),TRUE(),IF(AND(C253&lt;&gt;"",D253="Mandatory"),"✓ "&amp;C253,""),IF(AND(E253&lt;&gt;"",F253="Mandatory"),"✓ "&amp;E253,""),IF(AND(G253&lt;&gt;"",H253="Mandatory"),"✓ "&amp;G253,""),IF(AND(I253&lt;&gt;"",J253="Mandatory"),"✓ "&amp;I253,""),IF(AND(K253&lt;&gt;"",L253="Mandatory"),"✓ "&amp;K253,""),IF(AND(M253&lt;&gt;"",N253="Mandatory"),"✓ "&amp;M253,""),IF(AND(O253&lt;&gt;"",P253="Mandatory"),"✓ "&amp;O253,""),IF(AND(Q253&lt;&gt;"",R253="Mandatory"),"✓ "&amp;Q253,""))</f>
        <v>✓ Active Mobile Number</v>
      </c>
      <c r="T253" s="7" t="str">
        <f aca="false">_xlfn.TEXTJOIN(CHAR(10),TRUE(),IF(AND(C253&lt;&gt;"",OR(D253="Optional",D253="If Applicable",D253="To Verify")),"• "&amp;C253&amp;" ("&amp;D253&amp;")",""),IF(AND(E253&lt;&gt;"",OR(F253="Optional",F253="If Applicable",F253="To Verify")),"• "&amp;E253&amp;" ("&amp;F253&amp;")",""),IF(AND(G253&lt;&gt;"",OR(H253="Optional",H253="If Applicable",H253="To Verify")),"• "&amp;G253&amp;" ("&amp;H253&amp;")",""),IF(AND(I253&lt;&gt;"",OR(J253="Optional",J253="If Applicable",J253="To Verify")),"• "&amp;I253&amp;" ("&amp;J253&amp;")",""),IF(AND(K253&lt;&gt;"",OR(L253="Optional",L253="If Applicable",L253="To Verify")),"• "&amp;K253&amp;" ("&amp;L253&amp;")",""),IF(AND(M253&lt;&gt;"",OR(N253="Optional",N253="If Applicable",N253="To Verify")),"• "&amp;M253&amp;" ("&amp;N253&amp;")",""),IF(AND(O253&lt;&gt;"",OR(P253="Optional",P253="If Applicable",P253="To Verify")),"• "&amp;O253&amp;" ("&amp;P253&amp;")",""),IF(AND(Q253&lt;&gt;"",OR(R253="Optional",R253="If Applicable",R253="To Verify")),"• "&amp;Q253&amp;" ("&amp;R253&amp;")",""))</f>
        <v/>
      </c>
    </row>
    <row r="254" customFormat="false" ht="15" hidden="false" customHeight="false" outlineLevel="0" collapsed="false">
      <c r="A254" s="6" t="s">
        <v>2906</v>
      </c>
      <c r="B254" s="7" t="str">
        <f aca="false">IF($A254="","",IFERROR(INDEX(MASTER_DATABASE!$E$4:$E$1000,MATCH($A254,MASTER_DATABASE!$A$4:$A$1000,0)),""))</f>
        <v>Document Upload</v>
      </c>
      <c r="C254" s="6" t="s">
        <v>3478</v>
      </c>
      <c r="D254" s="6" t="s">
        <v>3436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7" t="str">
        <f aca="false">_xlfn.TEXTJOIN(CHAR(10),TRUE(),IF(AND(C254&lt;&gt;"",D254="Mandatory"),"✓ "&amp;C254,""),IF(AND(E254&lt;&gt;"",F254="Mandatory"),"✓ "&amp;E254,""),IF(AND(G254&lt;&gt;"",H254="Mandatory"),"✓ "&amp;G254,""),IF(AND(I254&lt;&gt;"",J254="Mandatory"),"✓ "&amp;I254,""),IF(AND(K254&lt;&gt;"",L254="Mandatory"),"✓ "&amp;K254,""),IF(AND(M254&lt;&gt;"",N254="Mandatory"),"✓ "&amp;M254,""),IF(AND(O254&lt;&gt;"",P254="Mandatory"),"✓ "&amp;O254,""),IF(AND(Q254&lt;&gt;"",R254="Mandatory"),"✓ "&amp;Q254,""))</f>
        <v>✓ Active Mobile Number</v>
      </c>
      <c r="T254" s="7" t="str">
        <f aca="false">_xlfn.TEXTJOIN(CHAR(10),TRUE(),IF(AND(C254&lt;&gt;"",OR(D254="Optional",D254="If Applicable",D254="To Verify")),"• "&amp;C254&amp;" ("&amp;D254&amp;")",""),IF(AND(E254&lt;&gt;"",OR(F254="Optional",F254="If Applicable",F254="To Verify")),"• "&amp;E254&amp;" ("&amp;F254&amp;")",""),IF(AND(G254&lt;&gt;"",OR(H254="Optional",H254="If Applicable",H254="To Verify")),"• "&amp;G254&amp;" ("&amp;H254&amp;")",""),IF(AND(I254&lt;&gt;"",OR(J254="Optional",J254="If Applicable",J254="To Verify")),"• "&amp;I254&amp;" ("&amp;J254&amp;")",""),IF(AND(K254&lt;&gt;"",OR(L254="Optional",L254="If Applicable",L254="To Verify")),"• "&amp;K254&amp;" ("&amp;L254&amp;")",""),IF(AND(M254&lt;&gt;"",OR(N254="Optional",N254="If Applicable",N254="To Verify")),"• "&amp;M254&amp;" ("&amp;N254&amp;")",""),IF(AND(O254&lt;&gt;"",OR(P254="Optional",P254="If Applicable",P254="To Verify")),"• "&amp;O254&amp;" ("&amp;P254&amp;")",""),IF(AND(Q254&lt;&gt;"",OR(R254="Optional",R254="If Applicable",R254="To Verify")),"• "&amp;Q254&amp;" ("&amp;R254&amp;")",""))</f>
        <v/>
      </c>
    </row>
    <row r="255" customFormat="false" ht="15" hidden="false" customHeight="false" outlineLevel="0" collapsed="false">
      <c r="A255" s="6" t="s">
        <v>2917</v>
      </c>
      <c r="B255" s="7" t="str">
        <f aca="false">IF($A255="","",IFERROR(INDEX(MASTER_DATABASE!$E$4:$E$1000,MATCH($A255,MASTER_DATABASE!$A$4:$A$1000,0)),""))</f>
        <v>Document Download</v>
      </c>
      <c r="C255" s="6" t="s">
        <v>3478</v>
      </c>
      <c r="D255" s="6" t="s">
        <v>3436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7" t="str">
        <f aca="false">_xlfn.TEXTJOIN(CHAR(10),TRUE(),IF(AND(C255&lt;&gt;"",D255="Mandatory"),"✓ "&amp;C255,""),IF(AND(E255&lt;&gt;"",F255="Mandatory"),"✓ "&amp;E255,""),IF(AND(G255&lt;&gt;"",H255="Mandatory"),"✓ "&amp;G255,""),IF(AND(I255&lt;&gt;"",J255="Mandatory"),"✓ "&amp;I255,""),IF(AND(K255&lt;&gt;"",L255="Mandatory"),"✓ "&amp;K255,""),IF(AND(M255&lt;&gt;"",N255="Mandatory"),"✓ "&amp;M255,""),IF(AND(O255&lt;&gt;"",P255="Mandatory"),"✓ "&amp;O255,""),IF(AND(Q255&lt;&gt;"",R255="Mandatory"),"✓ "&amp;Q255,""))</f>
        <v>✓ Active Mobile Number</v>
      </c>
      <c r="T255" s="7" t="str">
        <f aca="false">_xlfn.TEXTJOIN(CHAR(10),TRUE(),IF(AND(C255&lt;&gt;"",OR(D255="Optional",D255="If Applicable",D255="To Verify")),"• "&amp;C255&amp;" ("&amp;D255&amp;")",""),IF(AND(E255&lt;&gt;"",OR(F255="Optional",F255="If Applicable",F255="To Verify")),"• "&amp;E255&amp;" ("&amp;F255&amp;")",""),IF(AND(G255&lt;&gt;"",OR(H255="Optional",H255="If Applicable",H255="To Verify")),"• "&amp;G255&amp;" ("&amp;H255&amp;")",""),IF(AND(I255&lt;&gt;"",OR(J255="Optional",J255="If Applicable",J255="To Verify")),"• "&amp;I255&amp;" ("&amp;J255&amp;")",""),IF(AND(K255&lt;&gt;"",OR(L255="Optional",L255="If Applicable",L255="To Verify")),"• "&amp;K255&amp;" ("&amp;L255&amp;")",""),IF(AND(M255&lt;&gt;"",OR(N255="Optional",N255="If Applicable",N255="To Verify")),"• "&amp;M255&amp;" ("&amp;N255&amp;")",""),IF(AND(O255&lt;&gt;"",OR(P255="Optional",P255="If Applicable",P255="To Verify")),"• "&amp;O255&amp;" ("&amp;P255&amp;")",""),IF(AND(Q255&lt;&gt;"",OR(R255="Optional",R255="If Applicable",R255="To Verify")),"• "&amp;Q255&amp;" ("&amp;R255&amp;")",""))</f>
        <v/>
      </c>
    </row>
    <row r="256" customFormat="false" ht="15" hidden="false" customHeight="false" outlineLevel="0" collapsed="false">
      <c r="A256" s="6" t="s">
        <v>2928</v>
      </c>
      <c r="B256" s="7" t="str">
        <f aca="false">IF($A256="","",IFERROR(INDEX(MASTER_DATABASE!$E$4:$E$1000,MATCH($A256,MASTER_DATABASE!$A$4:$A$1000,0)),""))</f>
        <v>Application Status Check – Other Portals</v>
      </c>
      <c r="C256" s="6" t="s">
        <v>3478</v>
      </c>
      <c r="D256" s="6" t="s">
        <v>3436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7" t="str">
        <f aca="false">_xlfn.TEXTJOIN(CHAR(10),TRUE(),IF(AND(C256&lt;&gt;"",D256="Mandatory"),"✓ "&amp;C256,""),IF(AND(E256&lt;&gt;"",F256="Mandatory"),"✓ "&amp;E256,""),IF(AND(G256&lt;&gt;"",H256="Mandatory"),"✓ "&amp;G256,""),IF(AND(I256&lt;&gt;"",J256="Mandatory"),"✓ "&amp;I256,""),IF(AND(K256&lt;&gt;"",L256="Mandatory"),"✓ "&amp;K256,""),IF(AND(M256&lt;&gt;"",N256="Mandatory"),"✓ "&amp;M256,""),IF(AND(O256&lt;&gt;"",P256="Mandatory"),"✓ "&amp;O256,""),IF(AND(Q256&lt;&gt;"",R256="Mandatory"),"✓ "&amp;Q256,""))</f>
        <v>✓ Active Mobile Number</v>
      </c>
      <c r="T256" s="7" t="str">
        <f aca="false">_xlfn.TEXTJOIN(CHAR(10),TRUE(),IF(AND(C256&lt;&gt;"",OR(D256="Optional",D256="If Applicable",D256="To Verify")),"• "&amp;C256&amp;" ("&amp;D256&amp;")",""),IF(AND(E256&lt;&gt;"",OR(F256="Optional",F256="If Applicable",F256="To Verify")),"• "&amp;E256&amp;" ("&amp;F256&amp;")",""),IF(AND(G256&lt;&gt;"",OR(H256="Optional",H256="If Applicable",H256="To Verify")),"• "&amp;G256&amp;" ("&amp;H256&amp;")",""),IF(AND(I256&lt;&gt;"",OR(J256="Optional",J256="If Applicable",J256="To Verify")),"• "&amp;I256&amp;" ("&amp;J256&amp;")",""),IF(AND(K256&lt;&gt;"",OR(L256="Optional",L256="If Applicable",L256="To Verify")),"• "&amp;K256&amp;" ("&amp;L256&amp;")",""),IF(AND(M256&lt;&gt;"",OR(N256="Optional",N256="If Applicable",N256="To Verify")),"• "&amp;M256&amp;" ("&amp;N256&amp;")",""),IF(AND(O256&lt;&gt;"",OR(P256="Optional",P256="If Applicable",P256="To Verify")),"• "&amp;O256&amp;" ("&amp;P256&amp;")",""),IF(AND(Q256&lt;&gt;"",OR(R256="Optional",R256="If Applicable",R256="To Verify")),"• "&amp;Q256&amp;" ("&amp;R256&amp;")",""))</f>
        <v/>
      </c>
    </row>
    <row r="257" customFormat="false" ht="15" hidden="false" customHeight="false" outlineLevel="0" collapsed="false">
      <c r="A257" s="6" t="s">
        <v>2939</v>
      </c>
      <c r="B257" s="7" t="str">
        <f aca="false">IF($A257="","",IFERROR(INDEX(MASTER_DATABASE!$E$4:$E$1000,MATCH($A257,MASTER_DATABASE!$A$4:$A$1000,0)),""))</f>
        <v>DigiLocker Assistance</v>
      </c>
      <c r="C257" s="6" t="s">
        <v>3478</v>
      </c>
      <c r="D257" s="6" t="s">
        <v>3436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7" t="str">
        <f aca="false">_xlfn.TEXTJOIN(CHAR(10),TRUE(),IF(AND(C257&lt;&gt;"",D257="Mandatory"),"✓ "&amp;C257,""),IF(AND(E257&lt;&gt;"",F257="Mandatory"),"✓ "&amp;E257,""),IF(AND(G257&lt;&gt;"",H257="Mandatory"),"✓ "&amp;G257,""),IF(AND(I257&lt;&gt;"",J257="Mandatory"),"✓ "&amp;I257,""),IF(AND(K257&lt;&gt;"",L257="Mandatory"),"✓ "&amp;K257,""),IF(AND(M257&lt;&gt;"",N257="Mandatory"),"✓ "&amp;M257,""),IF(AND(O257&lt;&gt;"",P257="Mandatory"),"✓ "&amp;O257,""),IF(AND(Q257&lt;&gt;"",R257="Mandatory"),"✓ "&amp;Q257,""))</f>
        <v>✓ Active Mobile Number</v>
      </c>
      <c r="T257" s="7" t="str">
        <f aca="false">_xlfn.TEXTJOIN(CHAR(10),TRUE(),IF(AND(C257&lt;&gt;"",OR(D257="Optional",D257="If Applicable",D257="To Verify")),"• "&amp;C257&amp;" ("&amp;D257&amp;")",""),IF(AND(E257&lt;&gt;"",OR(F257="Optional",F257="If Applicable",F257="To Verify")),"• "&amp;E257&amp;" ("&amp;F257&amp;")",""),IF(AND(G257&lt;&gt;"",OR(H257="Optional",H257="If Applicable",H257="To Verify")),"• "&amp;G257&amp;" ("&amp;H257&amp;")",""),IF(AND(I257&lt;&gt;"",OR(J257="Optional",J257="If Applicable",J257="To Verify")),"• "&amp;I257&amp;" ("&amp;J257&amp;")",""),IF(AND(K257&lt;&gt;"",OR(L257="Optional",L257="If Applicable",L257="To Verify")),"• "&amp;K257&amp;" ("&amp;L257&amp;")",""),IF(AND(M257&lt;&gt;"",OR(N257="Optional",N257="If Applicable",N257="To Verify")),"• "&amp;M257&amp;" ("&amp;N257&amp;")",""),IF(AND(O257&lt;&gt;"",OR(P257="Optional",P257="If Applicable",P257="To Verify")),"• "&amp;O257&amp;" ("&amp;P257&amp;")",""),IF(AND(Q257&lt;&gt;"",OR(R257="Optional",R257="If Applicable",R257="To Verify")),"• "&amp;Q257&amp;" ("&amp;R257&amp;")",""))</f>
        <v/>
      </c>
    </row>
    <row r="258" customFormat="false" ht="23.85" hidden="false" customHeight="false" outlineLevel="0" collapsed="false">
      <c r="A258" s="6" t="s">
        <v>2951</v>
      </c>
      <c r="B258" s="7" t="str">
        <f aca="false">IF($A258="","",IFERROR(INDEX(MASTER_DATABASE!$E$4:$E$1000,MATCH($A258,MASTER_DATABASE!$A$4:$A$1000,0)),""))</f>
        <v>Digital Document Download (DigiLocker etc.)</v>
      </c>
      <c r="C258" s="6" t="s">
        <v>3478</v>
      </c>
      <c r="D258" s="6" t="s">
        <v>3436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7" t="str">
        <f aca="false">_xlfn.TEXTJOIN(CHAR(10),TRUE(),IF(AND(C258&lt;&gt;"",D258="Mandatory"),"✓ "&amp;C258,""),IF(AND(E258&lt;&gt;"",F258="Mandatory"),"✓ "&amp;E258,""),IF(AND(G258&lt;&gt;"",H258="Mandatory"),"✓ "&amp;G258,""),IF(AND(I258&lt;&gt;"",J258="Mandatory"),"✓ "&amp;I258,""),IF(AND(K258&lt;&gt;"",L258="Mandatory"),"✓ "&amp;K258,""),IF(AND(M258&lt;&gt;"",N258="Mandatory"),"✓ "&amp;M258,""),IF(AND(O258&lt;&gt;"",P258="Mandatory"),"✓ "&amp;O258,""),IF(AND(Q258&lt;&gt;"",R258="Mandatory"),"✓ "&amp;Q258,""))</f>
        <v>✓ Active Mobile Number</v>
      </c>
      <c r="T258" s="7" t="str">
        <f aca="false">_xlfn.TEXTJOIN(CHAR(10),TRUE(),IF(AND(C258&lt;&gt;"",OR(D258="Optional",D258="If Applicable",D258="To Verify")),"• "&amp;C258&amp;" ("&amp;D258&amp;")",""),IF(AND(E258&lt;&gt;"",OR(F258="Optional",F258="If Applicable",F258="To Verify")),"• "&amp;E258&amp;" ("&amp;F258&amp;")",""),IF(AND(G258&lt;&gt;"",OR(H258="Optional",H258="If Applicable",H258="To Verify")),"• "&amp;G258&amp;" ("&amp;H258&amp;")",""),IF(AND(I258&lt;&gt;"",OR(J258="Optional",J258="If Applicable",J258="To Verify")),"• "&amp;I258&amp;" ("&amp;J258&amp;")",""),IF(AND(K258&lt;&gt;"",OR(L258="Optional",L258="If Applicable",L258="To Verify")),"• "&amp;K258&amp;" ("&amp;L258&amp;")",""),IF(AND(M258&lt;&gt;"",OR(N258="Optional",N258="If Applicable",N258="To Verify")),"• "&amp;M258&amp;" ("&amp;N258&amp;")",""),IF(AND(O258&lt;&gt;"",OR(P258="Optional",P258="If Applicable",P258="To Verify")),"• "&amp;O258&amp;" ("&amp;P258&amp;")",""),IF(AND(Q258&lt;&gt;"",OR(R258="Optional",R258="If Applicable",R258="To Verify")),"• "&amp;Q258&amp;" ("&amp;R258&amp;")",""))</f>
        <v/>
      </c>
    </row>
    <row r="259" customFormat="false" ht="23.85" hidden="false" customHeight="false" outlineLevel="0" collapsed="false">
      <c r="A259" s="6" t="s">
        <v>2962</v>
      </c>
      <c r="B259" s="7" t="str">
        <f aca="false">IF($A259="","",IFERROR(INDEX(MASTER_DATABASE!$E$4:$E$1000,MATCH($A259,MASTER_DATABASE!$A$4:$A$1000,0)),""))</f>
        <v>Online Payment Assistance (Fee / Challan)</v>
      </c>
      <c r="C259" s="6" t="s">
        <v>3478</v>
      </c>
      <c r="D259" s="6" t="s">
        <v>3436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7" t="str">
        <f aca="false">_xlfn.TEXTJOIN(CHAR(10),TRUE(),IF(AND(C259&lt;&gt;"",D259="Mandatory"),"✓ "&amp;C259,""),IF(AND(E259&lt;&gt;"",F259="Mandatory"),"✓ "&amp;E259,""),IF(AND(G259&lt;&gt;"",H259="Mandatory"),"✓ "&amp;G259,""),IF(AND(I259&lt;&gt;"",J259="Mandatory"),"✓ "&amp;I259,""),IF(AND(K259&lt;&gt;"",L259="Mandatory"),"✓ "&amp;K259,""),IF(AND(M259&lt;&gt;"",N259="Mandatory"),"✓ "&amp;M259,""),IF(AND(O259&lt;&gt;"",P259="Mandatory"),"✓ "&amp;O259,""),IF(AND(Q259&lt;&gt;"",R259="Mandatory"),"✓ "&amp;Q259,""))</f>
        <v>✓ Active Mobile Number</v>
      </c>
      <c r="T259" s="7" t="str">
        <f aca="false">_xlfn.TEXTJOIN(CHAR(10),TRUE(),IF(AND(C259&lt;&gt;"",OR(D259="Optional",D259="If Applicable",D259="To Verify")),"• "&amp;C259&amp;" ("&amp;D259&amp;")",""),IF(AND(E259&lt;&gt;"",OR(F259="Optional",F259="If Applicable",F259="To Verify")),"• "&amp;E259&amp;" ("&amp;F259&amp;")",""),IF(AND(G259&lt;&gt;"",OR(H259="Optional",H259="If Applicable",H259="To Verify")),"• "&amp;G259&amp;" ("&amp;H259&amp;")",""),IF(AND(I259&lt;&gt;"",OR(J259="Optional",J259="If Applicable",J259="To Verify")),"• "&amp;I259&amp;" ("&amp;J259&amp;")",""),IF(AND(K259&lt;&gt;"",OR(L259="Optional",L259="If Applicable",L259="To Verify")),"• "&amp;K259&amp;" ("&amp;L259&amp;")",""),IF(AND(M259&lt;&gt;"",OR(N259="Optional",N259="If Applicable",N259="To Verify")),"• "&amp;M259&amp;" ("&amp;N259&amp;")",""),IF(AND(O259&lt;&gt;"",OR(P259="Optional",P259="If Applicable",P259="To Verify")),"• "&amp;O259&amp;" ("&amp;P259&amp;")",""),IF(AND(Q259&lt;&gt;"",OR(R259="Optional",R259="If Applicable",R259="To Verify")),"• "&amp;Q259&amp;" ("&amp;R259&amp;")",""))</f>
        <v/>
      </c>
    </row>
    <row r="260" customFormat="false" ht="15" hidden="false" customHeight="false" outlineLevel="0" collapsed="false">
      <c r="A260" s="6" t="s">
        <v>2973</v>
      </c>
      <c r="B260" s="7" t="str">
        <f aca="false">IF($A260="","",IFERROR(INDEX(MASTER_DATABASE!$E$4:$E$1000,MATCH($A260,MASTER_DATABASE!$A$4:$A$1000,0)),""))</f>
        <v>UPI / Payment App Setup Assistance</v>
      </c>
      <c r="C260" s="6" t="s">
        <v>3478</v>
      </c>
      <c r="D260" s="6" t="s">
        <v>3436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7" t="str">
        <f aca="false">_xlfn.TEXTJOIN(CHAR(10),TRUE(),IF(AND(C260&lt;&gt;"",D260="Mandatory"),"✓ "&amp;C260,""),IF(AND(E260&lt;&gt;"",F260="Mandatory"),"✓ "&amp;E260,""),IF(AND(G260&lt;&gt;"",H260="Mandatory"),"✓ "&amp;G260,""),IF(AND(I260&lt;&gt;"",J260="Mandatory"),"✓ "&amp;I260,""),IF(AND(K260&lt;&gt;"",L260="Mandatory"),"✓ "&amp;K260,""),IF(AND(M260&lt;&gt;"",N260="Mandatory"),"✓ "&amp;M260,""),IF(AND(O260&lt;&gt;"",P260="Mandatory"),"✓ "&amp;O260,""),IF(AND(Q260&lt;&gt;"",R260="Mandatory"),"✓ "&amp;Q260,""))</f>
        <v>✓ Active Mobile Number</v>
      </c>
      <c r="T260" s="7" t="str">
        <f aca="false">_xlfn.TEXTJOIN(CHAR(10),TRUE(),IF(AND(C260&lt;&gt;"",OR(D260="Optional",D260="If Applicable",D260="To Verify")),"• "&amp;C260&amp;" ("&amp;D260&amp;")",""),IF(AND(E260&lt;&gt;"",OR(F260="Optional",F260="If Applicable",F260="To Verify")),"• "&amp;E260&amp;" ("&amp;F260&amp;")",""),IF(AND(G260&lt;&gt;"",OR(H260="Optional",H260="If Applicable",H260="To Verify")),"• "&amp;G260&amp;" ("&amp;H260&amp;")",""),IF(AND(I260&lt;&gt;"",OR(J260="Optional",J260="If Applicable",J260="To Verify")),"• "&amp;I260&amp;" ("&amp;J260&amp;")",""),IF(AND(K260&lt;&gt;"",OR(L260="Optional",L260="If Applicable",L260="To Verify")),"• "&amp;K260&amp;" ("&amp;L260&amp;")",""),IF(AND(M260&lt;&gt;"",OR(N260="Optional",N260="If Applicable",N260="To Verify")),"• "&amp;M260&amp;" ("&amp;N260&amp;")",""),IF(AND(O260&lt;&gt;"",OR(P260="Optional",P260="If Applicable",P260="To Verify")),"• "&amp;O260&amp;" ("&amp;P260&amp;")",""),IF(AND(Q260&lt;&gt;"",OR(R260="Optional",R260="If Applicable",R260="To Verify")),"• "&amp;Q260&amp;" ("&amp;R260&amp;")",""))</f>
        <v/>
      </c>
    </row>
    <row r="261" customFormat="false" ht="23.85" hidden="false" customHeight="false" outlineLevel="0" collapsed="false">
      <c r="A261" s="6" t="s">
        <v>2984</v>
      </c>
      <c r="B261" s="7" t="str">
        <f aca="false">IF($A261="","",IFERROR(INDEX(MASTER_DATABASE!$E$4:$E$1000,MATCH($A261,MASTER_DATABASE!$A$4:$A$1000,0)),""))</f>
        <v>PAN – New Application</v>
      </c>
      <c r="C261" s="6" t="s">
        <v>3433</v>
      </c>
      <c r="D261" s="6" t="s">
        <v>3436</v>
      </c>
      <c r="E261" s="6" t="s">
        <v>3478</v>
      </c>
      <c r="F261" s="6" t="s">
        <v>3436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7" t="str">
        <f aca="false">_xlfn.TEXTJOIN(CHAR(10),TRUE(),IF(AND(C261&lt;&gt;"",D261="Mandatory"),"✓ "&amp;C261,""),IF(AND(E261&lt;&gt;"",F261="Mandatory"),"✓ "&amp;E261,""),IF(AND(G261&lt;&gt;"",H261="Mandatory"),"✓ "&amp;G261,""),IF(AND(I261&lt;&gt;"",J261="Mandatory"),"✓ "&amp;I261,""),IF(AND(K261&lt;&gt;"",L261="Mandatory"),"✓ "&amp;K261,""),IF(AND(M261&lt;&gt;"",N261="Mandatory"),"✓ "&amp;M261,""),IF(AND(O261&lt;&gt;"",P261="Mandatory"),"✓ "&amp;O261,""),IF(AND(Q261&lt;&gt;"",R261="Mandatory"),"✓ "&amp;Q261,""))</f>
        <v>✓ Aadhaar Card
✓ Active Mobile Number</v>
      </c>
      <c r="T261" s="7" t="str">
        <f aca="false">_xlfn.TEXTJOIN(CHAR(10),TRUE(),IF(AND(C261&lt;&gt;"",OR(D261="Optional",D261="If Applicable",D261="To Verify")),"• "&amp;C261&amp;" ("&amp;D261&amp;")",""),IF(AND(E261&lt;&gt;"",OR(F261="Optional",F261="If Applicable",F261="To Verify")),"• "&amp;E261&amp;" ("&amp;F261&amp;")",""),IF(AND(G261&lt;&gt;"",OR(H261="Optional",H261="If Applicable",H261="To Verify")),"• "&amp;G261&amp;" ("&amp;H261&amp;")",""),IF(AND(I261&lt;&gt;"",OR(J261="Optional",J261="If Applicable",J261="To Verify")),"• "&amp;I261&amp;" ("&amp;J261&amp;")",""),IF(AND(K261&lt;&gt;"",OR(L261="Optional",L261="If Applicable",L261="To Verify")),"• "&amp;K261&amp;" ("&amp;L261&amp;")",""),IF(AND(M261&lt;&gt;"",OR(N261="Optional",N261="If Applicable",N261="To Verify")),"• "&amp;M261&amp;" ("&amp;N261&amp;")",""),IF(AND(O261&lt;&gt;"",OR(P261="Optional",P261="If Applicable",P261="To Verify")),"• "&amp;O261&amp;" ("&amp;P261&amp;")",""),IF(AND(Q261&lt;&gt;"",OR(R261="Optional",R261="If Applicable",R261="To Verify")),"• "&amp;Q261&amp;" ("&amp;R261&amp;")",""))</f>
        <v/>
      </c>
    </row>
    <row r="262" customFormat="false" ht="23.85" hidden="false" customHeight="false" outlineLevel="0" collapsed="false">
      <c r="A262" s="6" t="s">
        <v>3000</v>
      </c>
      <c r="B262" s="7" t="str">
        <f aca="false">IF($A262="","",IFERROR(INDEX(MASTER_DATABASE!$E$4:$E$1000,MATCH($A262,MASTER_DATABASE!$A$4:$A$1000,0)),""))</f>
        <v>PAN – Correction / Update</v>
      </c>
      <c r="C262" s="6" t="s">
        <v>3433</v>
      </c>
      <c r="D262" s="6" t="s">
        <v>3436</v>
      </c>
      <c r="E262" s="6" t="s">
        <v>3478</v>
      </c>
      <c r="F262" s="6" t="s">
        <v>3436</v>
      </c>
      <c r="G262" s="6" t="s">
        <v>3451</v>
      </c>
      <c r="H262" s="6" t="s">
        <v>3453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7" t="str">
        <f aca="false">_xlfn.TEXTJOIN(CHAR(10),TRUE(),IF(AND(C262&lt;&gt;"",D262="Mandatory"),"✓ "&amp;C262,""),IF(AND(E262&lt;&gt;"",F262="Mandatory"),"✓ "&amp;E262,""),IF(AND(G262&lt;&gt;"",H262="Mandatory"),"✓ "&amp;G262,""),IF(AND(I262&lt;&gt;"",J262="Mandatory"),"✓ "&amp;I262,""),IF(AND(K262&lt;&gt;"",L262="Mandatory"),"✓ "&amp;K262,""),IF(AND(M262&lt;&gt;"",N262="Mandatory"),"✓ "&amp;M262,""),IF(AND(O262&lt;&gt;"",P262="Mandatory"),"✓ "&amp;O262,""),IF(AND(Q262&lt;&gt;"",R262="Mandatory"),"✓ "&amp;Q262,""))</f>
        <v>✓ Aadhaar Card
✓ Active Mobile Number</v>
      </c>
      <c r="T262" s="7" t="str">
        <f aca="false">_xlfn.TEXTJOIN(CHAR(10),TRUE(),IF(AND(C262&lt;&gt;"",OR(D262="Optional",D262="If Applicable",D262="To Verify")),"• "&amp;C262&amp;" ("&amp;D262&amp;")",""),IF(AND(E262&lt;&gt;"",OR(F262="Optional",F262="If Applicable",F262="To Verify")),"• "&amp;E262&amp;" ("&amp;F262&amp;")",""),IF(AND(G262&lt;&gt;"",OR(H262="Optional",H262="If Applicable",H262="To Verify")),"• "&amp;G262&amp;" ("&amp;H262&amp;")",""),IF(AND(I262&lt;&gt;"",OR(J262="Optional",J262="If Applicable",J262="To Verify")),"• "&amp;I262&amp;" ("&amp;J262&amp;")",""),IF(AND(K262&lt;&gt;"",OR(L262="Optional",L262="If Applicable",L262="To Verify")),"• "&amp;K262&amp;" ("&amp;L262&amp;")",""),IF(AND(M262&lt;&gt;"",OR(N262="Optional",N262="If Applicable",N262="To Verify")),"• "&amp;M262&amp;" ("&amp;N262&amp;")",""),IF(AND(O262&lt;&gt;"",OR(P262="Optional",P262="If Applicable",P262="To Verify")),"• "&amp;O262&amp;" ("&amp;P262&amp;")",""),IF(AND(Q262&lt;&gt;"",OR(R262="Optional",R262="If Applicable",R262="To Verify")),"• "&amp;Q262&amp;" ("&amp;R262&amp;")",""))</f>
        <v>• PAN Card (If Applicable)</v>
      </c>
    </row>
    <row r="263" customFormat="false" ht="23.85" hidden="false" customHeight="false" outlineLevel="0" collapsed="false">
      <c r="A263" s="6" t="s">
        <v>3011</v>
      </c>
      <c r="B263" s="7" t="str">
        <f aca="false">IF($A263="","",IFERROR(INDEX(MASTER_DATABASE!$E$4:$E$1000,MATCH($A263,MASTER_DATABASE!$A$4:$A$1000,0)),""))</f>
        <v>PAN – Reprint / e-PAN Download</v>
      </c>
      <c r="C263" s="6" t="s">
        <v>3433</v>
      </c>
      <c r="D263" s="6" t="s">
        <v>3436</v>
      </c>
      <c r="E263" s="6" t="s">
        <v>3478</v>
      </c>
      <c r="F263" s="6" t="s">
        <v>3436</v>
      </c>
      <c r="G263" s="6" t="s">
        <v>3451</v>
      </c>
      <c r="H263" s="6" t="s">
        <v>3453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7" t="str">
        <f aca="false">_xlfn.TEXTJOIN(CHAR(10),TRUE(),IF(AND(C263&lt;&gt;"",D263="Mandatory"),"✓ "&amp;C263,""),IF(AND(E263&lt;&gt;"",F263="Mandatory"),"✓ "&amp;E263,""),IF(AND(G263&lt;&gt;"",H263="Mandatory"),"✓ "&amp;G263,""),IF(AND(I263&lt;&gt;"",J263="Mandatory"),"✓ "&amp;I263,""),IF(AND(K263&lt;&gt;"",L263="Mandatory"),"✓ "&amp;K263,""),IF(AND(M263&lt;&gt;"",N263="Mandatory"),"✓ "&amp;M263,""),IF(AND(O263&lt;&gt;"",P263="Mandatory"),"✓ "&amp;O263,""),IF(AND(Q263&lt;&gt;"",R263="Mandatory"),"✓ "&amp;Q263,""))</f>
        <v>✓ Aadhaar Card
✓ Active Mobile Number</v>
      </c>
      <c r="T263" s="7" t="str">
        <f aca="false">_xlfn.TEXTJOIN(CHAR(10),TRUE(),IF(AND(C263&lt;&gt;"",OR(D263="Optional",D263="If Applicable",D263="To Verify")),"• "&amp;C263&amp;" ("&amp;D263&amp;")",""),IF(AND(E263&lt;&gt;"",OR(F263="Optional",F263="If Applicable",F263="To Verify")),"• "&amp;E263&amp;" ("&amp;F263&amp;")",""),IF(AND(G263&lt;&gt;"",OR(H263="Optional",H263="If Applicable",H263="To Verify")),"• "&amp;G263&amp;" ("&amp;H263&amp;")",""),IF(AND(I263&lt;&gt;"",OR(J263="Optional",J263="If Applicable",J263="To Verify")),"• "&amp;I263&amp;" ("&amp;J263&amp;")",""),IF(AND(K263&lt;&gt;"",OR(L263="Optional",L263="If Applicable",L263="To Verify")),"• "&amp;K263&amp;" ("&amp;L263&amp;")",""),IF(AND(M263&lt;&gt;"",OR(N263="Optional",N263="If Applicable",N263="To Verify")),"• "&amp;M263&amp;" ("&amp;N263&amp;")",""),IF(AND(O263&lt;&gt;"",OR(P263="Optional",P263="If Applicable",P263="To Verify")),"• "&amp;O263&amp;" ("&amp;P263&amp;")",""),IF(AND(Q263&lt;&gt;"",OR(R263="Optional",R263="If Applicable",R263="To Verify")),"• "&amp;Q263&amp;" ("&amp;R263&amp;")",""))</f>
        <v>• PAN Card (If Applicable)</v>
      </c>
    </row>
    <row r="264" customFormat="false" ht="23.85" hidden="false" customHeight="false" outlineLevel="0" collapsed="false">
      <c r="A264" s="6" t="s">
        <v>3022</v>
      </c>
      <c r="B264" s="7" t="str">
        <f aca="false">IF($A264="","",IFERROR(INDEX(MASTER_DATABASE!$E$4:$E$1000,MATCH($A264,MASTER_DATABASE!$A$4:$A$1000,0)),""))</f>
        <v>PAN – Status Check</v>
      </c>
      <c r="C264" s="6" t="s">
        <v>3433</v>
      </c>
      <c r="D264" s="6" t="s">
        <v>3436</v>
      </c>
      <c r="E264" s="6" t="s">
        <v>3478</v>
      </c>
      <c r="F264" s="6" t="s">
        <v>3436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7" t="str">
        <f aca="false">_xlfn.TEXTJOIN(CHAR(10),TRUE(),IF(AND(C264&lt;&gt;"",D264="Mandatory"),"✓ "&amp;C264,""),IF(AND(E264&lt;&gt;"",F264="Mandatory"),"✓ "&amp;E264,""),IF(AND(G264&lt;&gt;"",H264="Mandatory"),"✓ "&amp;G264,""),IF(AND(I264&lt;&gt;"",J264="Mandatory"),"✓ "&amp;I264,""),IF(AND(K264&lt;&gt;"",L264="Mandatory"),"✓ "&amp;K264,""),IF(AND(M264&lt;&gt;"",N264="Mandatory"),"✓ "&amp;M264,""),IF(AND(O264&lt;&gt;"",P264="Mandatory"),"✓ "&amp;O264,""),IF(AND(Q264&lt;&gt;"",R264="Mandatory"),"✓ "&amp;Q264,""))</f>
        <v>✓ Aadhaar Card
✓ Active Mobile Number</v>
      </c>
      <c r="T264" s="7" t="str">
        <f aca="false">_xlfn.TEXTJOIN(CHAR(10),TRUE(),IF(AND(C264&lt;&gt;"",OR(D264="Optional",D264="If Applicable",D264="To Verify")),"• "&amp;C264&amp;" ("&amp;D264&amp;")",""),IF(AND(E264&lt;&gt;"",OR(F264="Optional",F264="If Applicable",F264="To Verify")),"• "&amp;E264&amp;" ("&amp;F264&amp;")",""),IF(AND(G264&lt;&gt;"",OR(H264="Optional",H264="If Applicable",H264="To Verify")),"• "&amp;G264&amp;" ("&amp;H264&amp;")",""),IF(AND(I264&lt;&gt;"",OR(J264="Optional",J264="If Applicable",J264="To Verify")),"• "&amp;I264&amp;" ("&amp;J264&amp;")",""),IF(AND(K264&lt;&gt;"",OR(L264="Optional",L264="If Applicable",L264="To Verify")),"• "&amp;K264&amp;" ("&amp;L264&amp;")",""),IF(AND(M264&lt;&gt;"",OR(N264="Optional",N264="If Applicable",N264="To Verify")),"• "&amp;M264&amp;" ("&amp;N264&amp;")",""),IF(AND(O264&lt;&gt;"",OR(P264="Optional",P264="If Applicable",P264="To Verify")),"• "&amp;O264&amp;" ("&amp;P264&amp;")",""),IF(AND(Q264&lt;&gt;"",OR(R264="Optional",R264="If Applicable",R264="To Verify")),"• "&amp;Q264&amp;" ("&amp;R264&amp;")",""))</f>
        <v/>
      </c>
    </row>
    <row r="265" customFormat="false" ht="23.85" hidden="false" customHeight="false" outlineLevel="0" collapsed="false">
      <c r="A265" s="6" t="s">
        <v>3033</v>
      </c>
      <c r="B265" s="7" t="str">
        <f aca="false">IF($A265="","",IFERROR(INDEX(MASTER_DATABASE!$E$4:$E$1000,MATCH($A265,MASTER_DATABASE!$A$4:$A$1000,0)),""))</f>
        <v>PAN–Aadhaar Link Assistance</v>
      </c>
      <c r="C265" s="6" t="s">
        <v>3433</v>
      </c>
      <c r="D265" s="6" t="s">
        <v>3436</v>
      </c>
      <c r="E265" s="6" t="s">
        <v>3478</v>
      </c>
      <c r="F265" s="6" t="s">
        <v>3436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7" t="str">
        <f aca="false">_xlfn.TEXTJOIN(CHAR(10),TRUE(),IF(AND(C265&lt;&gt;"",D265="Mandatory"),"✓ "&amp;C265,""),IF(AND(E265&lt;&gt;"",F265="Mandatory"),"✓ "&amp;E265,""),IF(AND(G265&lt;&gt;"",H265="Mandatory"),"✓ "&amp;G265,""),IF(AND(I265&lt;&gt;"",J265="Mandatory"),"✓ "&amp;I265,""),IF(AND(K265&lt;&gt;"",L265="Mandatory"),"✓ "&amp;K265,""),IF(AND(M265&lt;&gt;"",N265="Mandatory"),"✓ "&amp;M265,""),IF(AND(O265&lt;&gt;"",P265="Mandatory"),"✓ "&amp;O265,""),IF(AND(Q265&lt;&gt;"",R265="Mandatory"),"✓ "&amp;Q265,""))</f>
        <v>✓ Aadhaar Card
✓ Active Mobile Number</v>
      </c>
      <c r="T265" s="7" t="str">
        <f aca="false">_xlfn.TEXTJOIN(CHAR(10),TRUE(),IF(AND(C265&lt;&gt;"",OR(D265="Optional",D265="If Applicable",D265="To Verify")),"• "&amp;C265&amp;" ("&amp;D265&amp;")",""),IF(AND(E265&lt;&gt;"",OR(F265="Optional",F265="If Applicable",F265="To Verify")),"• "&amp;E265&amp;" ("&amp;F265&amp;")",""),IF(AND(G265&lt;&gt;"",OR(H265="Optional",H265="If Applicable",H265="To Verify")),"• "&amp;G265&amp;" ("&amp;H265&amp;")",""),IF(AND(I265&lt;&gt;"",OR(J265="Optional",J265="If Applicable",J265="To Verify")),"• "&amp;I265&amp;" ("&amp;J265&amp;")",""),IF(AND(K265&lt;&gt;"",OR(L265="Optional",L265="If Applicable",L265="To Verify")),"• "&amp;K265&amp;" ("&amp;L265&amp;")",""),IF(AND(M265&lt;&gt;"",OR(N265="Optional",N265="If Applicable",N265="To Verify")),"• "&amp;M265&amp;" ("&amp;N265&amp;")",""),IF(AND(O265&lt;&gt;"",OR(P265="Optional",P265="If Applicable",P265="To Verify")),"• "&amp;O265&amp;" ("&amp;P265&amp;")",""),IF(AND(Q265&lt;&gt;"",OR(R265="Optional",R265="If Applicable",R265="To Verify")),"• "&amp;Q265&amp;" ("&amp;R265&amp;")",""))</f>
        <v/>
      </c>
    </row>
    <row r="266" customFormat="false" ht="57.45" hidden="false" customHeight="false" outlineLevel="0" collapsed="false">
      <c r="A266" s="6" t="s">
        <v>3044</v>
      </c>
      <c r="B266" s="7" t="str">
        <f aca="false">IF($A266="","",IFERROR(INDEX(MASTER_DATABASE!$E$4:$E$1000,MATCH($A266,MASTER_DATABASE!$A$4:$A$1000,0)),""))</f>
        <v>Voter ID – New Registration (Form 6)</v>
      </c>
      <c r="C266" s="6" t="s">
        <v>3433</v>
      </c>
      <c r="D266" s="6" t="s">
        <v>3436</v>
      </c>
      <c r="E266" s="6" t="s">
        <v>3478</v>
      </c>
      <c r="F266" s="6" t="s">
        <v>3436</v>
      </c>
      <c r="G266" s="6" t="s">
        <v>2390</v>
      </c>
      <c r="H266" s="6" t="s">
        <v>3436</v>
      </c>
      <c r="I266" s="6" t="s">
        <v>3456</v>
      </c>
      <c r="J266" s="6" t="s">
        <v>3436</v>
      </c>
      <c r="K266" s="6" t="s">
        <v>3465</v>
      </c>
      <c r="L266" s="6" t="s">
        <v>3436</v>
      </c>
      <c r="M266" s="6"/>
      <c r="N266" s="6"/>
      <c r="O266" s="6"/>
      <c r="P266" s="6"/>
      <c r="Q266" s="6"/>
      <c r="R266" s="6"/>
      <c r="S266" s="7" t="str">
        <f aca="false">_xlfn.TEXTJOIN(CHAR(10),TRUE(),IF(AND(C266&lt;&gt;"",D266="Mandatory"),"✓ "&amp;C266,""),IF(AND(E266&lt;&gt;"",F266="Mandatory"),"✓ "&amp;E266,""),IF(AND(G266&lt;&gt;"",H266="Mandatory"),"✓ "&amp;G266,""),IF(AND(I266&lt;&gt;"",J266="Mandatory"),"✓ "&amp;I266,""),IF(AND(K266&lt;&gt;"",L266="Mandatory"),"✓ "&amp;K266,""),IF(AND(M266&lt;&gt;"",N266="Mandatory"),"✓ "&amp;M266,""),IF(AND(O266&lt;&gt;"",P266="Mandatory"),"✓ "&amp;O266,""),IF(AND(Q266&lt;&gt;"",R266="Mandatory"),"✓ "&amp;Q266,""))</f>
        <v>✓ Aadhaar Card
✓ Active Mobile Number
✓ Passport Photo
✓ Address Proof
✓ Date of Birth Proof</v>
      </c>
      <c r="T266" s="7" t="str">
        <f aca="false">_xlfn.TEXTJOIN(CHAR(10),TRUE(),IF(AND(C266&lt;&gt;"",OR(D266="Optional",D266="If Applicable",D266="To Verify")),"• "&amp;C266&amp;" ("&amp;D266&amp;")",""),IF(AND(E266&lt;&gt;"",OR(F266="Optional",F266="If Applicable",F266="To Verify")),"• "&amp;E266&amp;" ("&amp;F266&amp;")",""),IF(AND(G266&lt;&gt;"",OR(H266="Optional",H266="If Applicable",H266="To Verify")),"• "&amp;G266&amp;" ("&amp;H266&amp;")",""),IF(AND(I266&lt;&gt;"",OR(J266="Optional",J266="If Applicable",J266="To Verify")),"• "&amp;I266&amp;" ("&amp;J266&amp;")",""),IF(AND(K266&lt;&gt;"",OR(L266="Optional",L266="If Applicable",L266="To Verify")),"• "&amp;K266&amp;" ("&amp;L266&amp;")",""),IF(AND(M266&lt;&gt;"",OR(N266="Optional",N266="If Applicable",N266="To Verify")),"• "&amp;M266&amp;" ("&amp;N266&amp;")",""),IF(AND(O266&lt;&gt;"",OR(P266="Optional",P266="If Applicable",P266="To Verify")),"• "&amp;O266&amp;" ("&amp;P266&amp;")",""),IF(AND(Q266&lt;&gt;"",OR(R266="Optional",R266="If Applicable",R266="To Verify")),"• "&amp;Q266&amp;" ("&amp;R266&amp;")",""))</f>
        <v/>
      </c>
    </row>
    <row r="267" customFormat="false" ht="57.45" hidden="false" customHeight="false" outlineLevel="0" collapsed="false">
      <c r="A267" s="6" t="s">
        <v>3056</v>
      </c>
      <c r="B267" s="7" t="str">
        <f aca="false">IF($A267="","",IFERROR(INDEX(MASTER_DATABASE!$E$4:$E$1000,MATCH($A267,MASTER_DATABASE!$A$4:$A$1000,0)),""))</f>
        <v>Voter ID – Correction (Form 8)</v>
      </c>
      <c r="C267" s="6" t="s">
        <v>3433</v>
      </c>
      <c r="D267" s="6" t="s">
        <v>3436</v>
      </c>
      <c r="E267" s="6" t="s">
        <v>3478</v>
      </c>
      <c r="F267" s="6" t="s">
        <v>3436</v>
      </c>
      <c r="G267" s="6" t="s">
        <v>3451</v>
      </c>
      <c r="H267" s="6" t="s">
        <v>3453</v>
      </c>
      <c r="I267" s="6" t="s">
        <v>2390</v>
      </c>
      <c r="J267" s="6" t="s">
        <v>3436</v>
      </c>
      <c r="K267" s="6" t="s">
        <v>3456</v>
      </c>
      <c r="L267" s="6" t="s">
        <v>3436</v>
      </c>
      <c r="M267" s="6" t="s">
        <v>3465</v>
      </c>
      <c r="N267" s="6" t="s">
        <v>3436</v>
      </c>
      <c r="O267" s="6"/>
      <c r="P267" s="6"/>
      <c r="Q267" s="6"/>
      <c r="R267" s="6"/>
      <c r="S267" s="7" t="str">
        <f aca="false">_xlfn.TEXTJOIN(CHAR(10),TRUE(),IF(AND(C267&lt;&gt;"",D267="Mandatory"),"✓ "&amp;C267,""),IF(AND(E267&lt;&gt;"",F267="Mandatory"),"✓ "&amp;E267,""),IF(AND(G267&lt;&gt;"",H267="Mandatory"),"✓ "&amp;G267,""),IF(AND(I267&lt;&gt;"",J267="Mandatory"),"✓ "&amp;I267,""),IF(AND(K267&lt;&gt;"",L267="Mandatory"),"✓ "&amp;K267,""),IF(AND(M267&lt;&gt;"",N267="Mandatory"),"✓ "&amp;M267,""),IF(AND(O267&lt;&gt;"",P267="Mandatory"),"✓ "&amp;O267,""),IF(AND(Q267&lt;&gt;"",R267="Mandatory"),"✓ "&amp;Q267,""))</f>
        <v>✓ Aadhaar Card
✓ Active Mobile Number
✓ Passport Photo
✓ Address Proof
✓ Date of Birth Proof</v>
      </c>
      <c r="T267" s="7" t="str">
        <f aca="false">_xlfn.TEXTJOIN(CHAR(10),TRUE(),IF(AND(C267&lt;&gt;"",OR(D267="Optional",D267="If Applicable",D267="To Verify")),"• "&amp;C267&amp;" ("&amp;D267&amp;")",""),IF(AND(E267&lt;&gt;"",OR(F267="Optional",F267="If Applicable",F267="To Verify")),"• "&amp;E267&amp;" ("&amp;F267&amp;")",""),IF(AND(G267&lt;&gt;"",OR(H267="Optional",H267="If Applicable",H267="To Verify")),"• "&amp;G267&amp;" ("&amp;H267&amp;")",""),IF(AND(I267&lt;&gt;"",OR(J267="Optional",J267="If Applicable",J267="To Verify")),"• "&amp;I267&amp;" ("&amp;J267&amp;")",""),IF(AND(K267&lt;&gt;"",OR(L267="Optional",L267="If Applicable",L267="To Verify")),"• "&amp;K267&amp;" ("&amp;L267&amp;")",""),IF(AND(M267&lt;&gt;"",OR(N267="Optional",N267="If Applicable",N267="To Verify")),"• "&amp;M267&amp;" ("&amp;N267&amp;")",""),IF(AND(O267&lt;&gt;"",OR(P267="Optional",P267="If Applicable",P267="To Verify")),"• "&amp;O267&amp;" ("&amp;P267&amp;")",""),IF(AND(Q267&lt;&gt;"",OR(R267="Optional",R267="If Applicable",R267="To Verify")),"• "&amp;Q267&amp;" ("&amp;R267&amp;")",""))</f>
        <v>• PAN Card (If Applicable)</v>
      </c>
    </row>
    <row r="268" customFormat="false" ht="57.45" hidden="false" customHeight="false" outlineLevel="0" collapsed="false">
      <c r="A268" s="6" t="s">
        <v>3067</v>
      </c>
      <c r="B268" s="7" t="str">
        <f aca="false">IF($A268="","",IFERROR(INDEX(MASTER_DATABASE!$E$4:$E$1000,MATCH($A268,MASTER_DATABASE!$A$4:$A$1000,0)),""))</f>
        <v>Voter ID (e-EPIC) Download</v>
      </c>
      <c r="C268" s="6" t="s">
        <v>3433</v>
      </c>
      <c r="D268" s="6" t="s">
        <v>3436</v>
      </c>
      <c r="E268" s="6" t="s">
        <v>3478</v>
      </c>
      <c r="F268" s="6" t="s">
        <v>3436</v>
      </c>
      <c r="G268" s="6" t="s">
        <v>2390</v>
      </c>
      <c r="H268" s="6" t="s">
        <v>3436</v>
      </c>
      <c r="I268" s="6" t="s">
        <v>3456</v>
      </c>
      <c r="J268" s="6" t="s">
        <v>3436</v>
      </c>
      <c r="K268" s="6" t="s">
        <v>3465</v>
      </c>
      <c r="L268" s="6" t="s">
        <v>3436</v>
      </c>
      <c r="M268" s="6"/>
      <c r="N268" s="6"/>
      <c r="O268" s="6"/>
      <c r="P268" s="6"/>
      <c r="Q268" s="6"/>
      <c r="R268" s="6"/>
      <c r="S268" s="7" t="str">
        <f aca="false">_xlfn.TEXTJOIN(CHAR(10),TRUE(),IF(AND(C268&lt;&gt;"",D268="Mandatory"),"✓ "&amp;C268,""),IF(AND(E268&lt;&gt;"",F268="Mandatory"),"✓ "&amp;E268,""),IF(AND(G268&lt;&gt;"",H268="Mandatory"),"✓ "&amp;G268,""),IF(AND(I268&lt;&gt;"",J268="Mandatory"),"✓ "&amp;I268,""),IF(AND(K268&lt;&gt;"",L268="Mandatory"),"✓ "&amp;K268,""),IF(AND(M268&lt;&gt;"",N268="Mandatory"),"✓ "&amp;M268,""),IF(AND(O268&lt;&gt;"",P268="Mandatory"),"✓ "&amp;O268,""),IF(AND(Q268&lt;&gt;"",R268="Mandatory"),"✓ "&amp;Q268,""))</f>
        <v>✓ Aadhaar Card
✓ Active Mobile Number
✓ Passport Photo
✓ Address Proof
✓ Date of Birth Proof</v>
      </c>
      <c r="T268" s="7" t="str">
        <f aca="false">_xlfn.TEXTJOIN(CHAR(10),TRUE(),IF(AND(C268&lt;&gt;"",OR(D268="Optional",D268="If Applicable",D268="To Verify")),"• "&amp;C268&amp;" ("&amp;D268&amp;")",""),IF(AND(E268&lt;&gt;"",OR(F268="Optional",F268="If Applicable",F268="To Verify")),"• "&amp;E268&amp;" ("&amp;F268&amp;")",""),IF(AND(G268&lt;&gt;"",OR(H268="Optional",H268="If Applicable",H268="To Verify")),"• "&amp;G268&amp;" ("&amp;H268&amp;")",""),IF(AND(I268&lt;&gt;"",OR(J268="Optional",J268="If Applicable",J268="To Verify")),"• "&amp;I268&amp;" ("&amp;J268&amp;")",""),IF(AND(K268&lt;&gt;"",OR(L268="Optional",L268="If Applicable",L268="To Verify")),"• "&amp;K268&amp;" ("&amp;L268&amp;")",""),IF(AND(M268&lt;&gt;"",OR(N268="Optional",N268="If Applicable",N268="To Verify")),"• "&amp;M268&amp;" ("&amp;N268&amp;")",""),IF(AND(O268&lt;&gt;"",OR(P268="Optional",P268="If Applicable",P268="To Verify")),"• "&amp;O268&amp;" ("&amp;P268&amp;")",""),IF(AND(Q268&lt;&gt;"",OR(R268="Optional",R268="If Applicable",R268="To Verify")),"• "&amp;Q268&amp;" ("&amp;R268&amp;")",""))</f>
        <v/>
      </c>
    </row>
    <row r="269" customFormat="false" ht="23.85" hidden="false" customHeight="false" outlineLevel="0" collapsed="false">
      <c r="A269" s="6" t="s">
        <v>3078</v>
      </c>
      <c r="B269" s="7" t="str">
        <f aca="false">IF($A269="","",IFERROR(INDEX(MASTER_DATABASE!$E$4:$E$1000,MATCH($A269,MASTER_DATABASE!$A$4:$A$1000,0)),""))</f>
        <v>Voter List Name Search</v>
      </c>
      <c r="C269" s="6" t="s">
        <v>3433</v>
      </c>
      <c r="D269" s="6" t="s">
        <v>3436</v>
      </c>
      <c r="E269" s="6" t="s">
        <v>3478</v>
      </c>
      <c r="F269" s="6" t="s">
        <v>3436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7" t="str">
        <f aca="false">_xlfn.TEXTJOIN(CHAR(10),TRUE(),IF(AND(C269&lt;&gt;"",D269="Mandatory"),"✓ "&amp;C269,""),IF(AND(E269&lt;&gt;"",F269="Mandatory"),"✓ "&amp;E269,""),IF(AND(G269&lt;&gt;"",H269="Mandatory"),"✓ "&amp;G269,""),IF(AND(I269&lt;&gt;"",J269="Mandatory"),"✓ "&amp;I269,""),IF(AND(K269&lt;&gt;"",L269="Mandatory"),"✓ "&amp;K269,""),IF(AND(M269&lt;&gt;"",N269="Mandatory"),"✓ "&amp;M269,""),IF(AND(O269&lt;&gt;"",P269="Mandatory"),"✓ "&amp;O269,""),IF(AND(Q269&lt;&gt;"",R269="Mandatory"),"✓ "&amp;Q269,""))</f>
        <v>✓ Aadhaar Card
✓ Active Mobile Number</v>
      </c>
      <c r="T269" s="7" t="str">
        <f aca="false">_xlfn.TEXTJOIN(CHAR(10),TRUE(),IF(AND(C269&lt;&gt;"",OR(D269="Optional",D269="If Applicable",D269="To Verify")),"• "&amp;C269&amp;" ("&amp;D269&amp;")",""),IF(AND(E269&lt;&gt;"",OR(F269="Optional",F269="If Applicable",F269="To Verify")),"• "&amp;E269&amp;" ("&amp;F269&amp;")",""),IF(AND(G269&lt;&gt;"",OR(H269="Optional",H269="If Applicable",H269="To Verify")),"• "&amp;G269&amp;" ("&amp;H269&amp;")",""),IF(AND(I269&lt;&gt;"",OR(J269="Optional",J269="If Applicable",J269="To Verify")),"• "&amp;I269&amp;" ("&amp;J269&amp;")",""),IF(AND(K269&lt;&gt;"",OR(L269="Optional",L269="If Applicable",L269="To Verify")),"• "&amp;K269&amp;" ("&amp;L269&amp;")",""),IF(AND(M269&lt;&gt;"",OR(N269="Optional",N269="If Applicable",N269="To Verify")),"• "&amp;M269&amp;" ("&amp;N269&amp;")",""),IF(AND(O269&lt;&gt;"",OR(P269="Optional",P269="If Applicable",P269="To Verify")),"• "&amp;O269&amp;" ("&amp;P269&amp;")",""),IF(AND(Q269&lt;&gt;"",OR(R269="Optional",R269="If Applicable",R269="To Verify")),"• "&amp;Q269&amp;" ("&amp;R269&amp;")",""))</f>
        <v/>
      </c>
    </row>
    <row r="270" customFormat="false" ht="57.45" hidden="false" customHeight="false" outlineLevel="0" collapsed="false">
      <c r="A270" s="6" t="s">
        <v>3089</v>
      </c>
      <c r="B270" s="7" t="str">
        <f aca="false">IF($A270="","",IFERROR(INDEX(MASTER_DATABASE!$E$4:$E$1000,MATCH($A270,MASTER_DATABASE!$A$4:$A$1000,0)),""))</f>
        <v>Voter ID–Aadhaar Link (Form 6B)</v>
      </c>
      <c r="C270" s="6" t="s">
        <v>3433</v>
      </c>
      <c r="D270" s="6" t="s">
        <v>3436</v>
      </c>
      <c r="E270" s="6" t="s">
        <v>3478</v>
      </c>
      <c r="F270" s="6" t="s">
        <v>3436</v>
      </c>
      <c r="G270" s="6" t="s">
        <v>2390</v>
      </c>
      <c r="H270" s="6" t="s">
        <v>3436</v>
      </c>
      <c r="I270" s="6" t="s">
        <v>3456</v>
      </c>
      <c r="J270" s="6" t="s">
        <v>3436</v>
      </c>
      <c r="K270" s="6" t="s">
        <v>3465</v>
      </c>
      <c r="L270" s="6" t="s">
        <v>3436</v>
      </c>
      <c r="M270" s="6"/>
      <c r="N270" s="6"/>
      <c r="O270" s="6"/>
      <c r="P270" s="6"/>
      <c r="Q270" s="6"/>
      <c r="R270" s="6"/>
      <c r="S270" s="7" t="str">
        <f aca="false">_xlfn.TEXTJOIN(CHAR(10),TRUE(),IF(AND(C270&lt;&gt;"",D270="Mandatory"),"✓ "&amp;C270,""),IF(AND(E270&lt;&gt;"",F270="Mandatory"),"✓ "&amp;E270,""),IF(AND(G270&lt;&gt;"",H270="Mandatory"),"✓ "&amp;G270,""),IF(AND(I270&lt;&gt;"",J270="Mandatory"),"✓ "&amp;I270,""),IF(AND(K270&lt;&gt;"",L270="Mandatory"),"✓ "&amp;K270,""),IF(AND(M270&lt;&gt;"",N270="Mandatory"),"✓ "&amp;M270,""),IF(AND(O270&lt;&gt;"",P270="Mandatory"),"✓ "&amp;O270,""),IF(AND(Q270&lt;&gt;"",R270="Mandatory"),"✓ "&amp;Q270,""))</f>
        <v>✓ Aadhaar Card
✓ Active Mobile Number
✓ Passport Photo
✓ Address Proof
✓ Date of Birth Proof</v>
      </c>
      <c r="T270" s="7" t="str">
        <f aca="false">_xlfn.TEXTJOIN(CHAR(10),TRUE(),IF(AND(C270&lt;&gt;"",OR(D270="Optional",D270="If Applicable",D270="To Verify")),"• "&amp;C270&amp;" ("&amp;D270&amp;")",""),IF(AND(E270&lt;&gt;"",OR(F270="Optional",F270="If Applicable",F270="To Verify")),"• "&amp;E270&amp;" ("&amp;F270&amp;")",""),IF(AND(G270&lt;&gt;"",OR(H270="Optional",H270="If Applicable",H270="To Verify")),"• "&amp;G270&amp;" ("&amp;H270&amp;")",""),IF(AND(I270&lt;&gt;"",OR(J270="Optional",J270="If Applicable",J270="To Verify")),"• "&amp;I270&amp;" ("&amp;J270&amp;")",""),IF(AND(K270&lt;&gt;"",OR(L270="Optional",L270="If Applicable",L270="To Verify")),"• "&amp;K270&amp;" ("&amp;L270&amp;")",""),IF(AND(M270&lt;&gt;"",OR(N270="Optional",N270="If Applicable",N270="To Verify")),"• "&amp;M270&amp;" ("&amp;N270&amp;")",""),IF(AND(O270&lt;&gt;"",OR(P270="Optional",P270="If Applicable",P270="To Verify")),"• "&amp;O270&amp;" ("&amp;P270&amp;")",""),IF(AND(Q270&lt;&gt;"",OR(R270="Optional",R270="If Applicable",R270="To Verify")),"• "&amp;Q270&amp;" ("&amp;R270&amp;")",""))</f>
        <v/>
      </c>
    </row>
    <row r="271" customFormat="false" ht="23.85" hidden="false" customHeight="false" outlineLevel="0" collapsed="false">
      <c r="A271" s="6" t="s">
        <v>3100</v>
      </c>
      <c r="B271" s="7" t="str">
        <f aca="false">IF($A271="","",IFERROR(INDEX(MASTER_DATABASE!$E$4:$E$1000,MATCH($A271,MASTER_DATABASE!$A$4:$A$1000,0)),""))</f>
        <v>Mobile Recharge (Prepaid)</v>
      </c>
      <c r="C271" s="6" t="s">
        <v>3527</v>
      </c>
      <c r="D271" s="6" t="s">
        <v>3436</v>
      </c>
      <c r="E271" s="6" t="s">
        <v>3571</v>
      </c>
      <c r="F271" s="6" t="s">
        <v>3436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7" t="str">
        <f aca="false">_xlfn.TEXTJOIN(CHAR(10),TRUE(),IF(AND(C271&lt;&gt;"",D271="Mandatory"),"✓ "&amp;C271,""),IF(AND(E271&lt;&gt;"",F271="Mandatory"),"✓ "&amp;E271,""),IF(AND(G271&lt;&gt;"",H271="Mandatory"),"✓ "&amp;G271,""),IF(AND(I271&lt;&gt;"",J271="Mandatory"),"✓ "&amp;I271,""),IF(AND(K271&lt;&gt;"",L271="Mandatory"),"✓ "&amp;K271,""),IF(AND(M271&lt;&gt;"",N271="Mandatory"),"✓ "&amp;M271,""),IF(AND(O271&lt;&gt;"",P271="Mandatory"),"✓ "&amp;O271,""),IF(AND(Q271&lt;&gt;"",R271="Mandatory"),"✓ "&amp;Q271,""))</f>
        <v>✓ Consumer / Account Number
✓ Cash Amount</v>
      </c>
      <c r="T271" s="7" t="str">
        <f aca="false">_xlfn.TEXTJOIN(CHAR(10),TRUE(),IF(AND(C271&lt;&gt;"",OR(D271="Optional",D271="If Applicable",D271="To Verify")),"• "&amp;C271&amp;" ("&amp;D271&amp;")",""),IF(AND(E271&lt;&gt;"",OR(F271="Optional",F271="If Applicable",F271="To Verify")),"• "&amp;E271&amp;" ("&amp;F271&amp;")",""),IF(AND(G271&lt;&gt;"",OR(H271="Optional",H271="If Applicable",H271="To Verify")),"• "&amp;G271&amp;" ("&amp;H271&amp;")",""),IF(AND(I271&lt;&gt;"",OR(J271="Optional",J271="If Applicable",J271="To Verify")),"• "&amp;I271&amp;" ("&amp;J271&amp;")",""),IF(AND(K271&lt;&gt;"",OR(L271="Optional",L271="If Applicable",L271="To Verify")),"• "&amp;K271&amp;" ("&amp;L271&amp;")",""),IF(AND(M271&lt;&gt;"",OR(N271="Optional",N271="If Applicable",N271="To Verify")),"• "&amp;M271&amp;" ("&amp;N271&amp;")",""),IF(AND(O271&lt;&gt;"",OR(P271="Optional",P271="If Applicable",P271="To Verify")),"• "&amp;O271&amp;" ("&amp;P271&amp;")",""),IF(AND(Q271&lt;&gt;"",OR(R271="Optional",R271="If Applicable",R271="To Verify")),"• "&amp;Q271&amp;" ("&amp;R271&amp;")",""))</f>
        <v/>
      </c>
    </row>
    <row r="272" customFormat="false" ht="23.85" hidden="false" customHeight="false" outlineLevel="0" collapsed="false">
      <c r="A272" s="6" t="s">
        <v>3117</v>
      </c>
      <c r="B272" s="7" t="str">
        <f aca="false">IF($A272="","",IFERROR(INDEX(MASTER_DATABASE!$E$4:$E$1000,MATCH($A272,MASTER_DATABASE!$A$4:$A$1000,0)),""))</f>
        <v>DTH Recharge</v>
      </c>
      <c r="C272" s="6" t="s">
        <v>3527</v>
      </c>
      <c r="D272" s="6" t="s">
        <v>3436</v>
      </c>
      <c r="E272" s="6" t="s">
        <v>3571</v>
      </c>
      <c r="F272" s="6" t="s">
        <v>3436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7" t="str">
        <f aca="false">_xlfn.TEXTJOIN(CHAR(10),TRUE(),IF(AND(C272&lt;&gt;"",D272="Mandatory"),"✓ "&amp;C272,""),IF(AND(E272&lt;&gt;"",F272="Mandatory"),"✓ "&amp;E272,""),IF(AND(G272&lt;&gt;"",H272="Mandatory"),"✓ "&amp;G272,""),IF(AND(I272&lt;&gt;"",J272="Mandatory"),"✓ "&amp;I272,""),IF(AND(K272&lt;&gt;"",L272="Mandatory"),"✓ "&amp;K272,""),IF(AND(M272&lt;&gt;"",N272="Mandatory"),"✓ "&amp;M272,""),IF(AND(O272&lt;&gt;"",P272="Mandatory"),"✓ "&amp;O272,""),IF(AND(Q272&lt;&gt;"",R272="Mandatory"),"✓ "&amp;Q272,""))</f>
        <v>✓ Consumer / Account Number
✓ Cash Amount</v>
      </c>
      <c r="T272" s="7" t="str">
        <f aca="false">_xlfn.TEXTJOIN(CHAR(10),TRUE(),IF(AND(C272&lt;&gt;"",OR(D272="Optional",D272="If Applicable",D272="To Verify")),"• "&amp;C272&amp;" ("&amp;D272&amp;")",""),IF(AND(E272&lt;&gt;"",OR(F272="Optional",F272="If Applicable",F272="To Verify")),"• "&amp;E272&amp;" ("&amp;F272&amp;")",""),IF(AND(G272&lt;&gt;"",OR(H272="Optional",H272="If Applicable",H272="To Verify")),"• "&amp;G272&amp;" ("&amp;H272&amp;")",""),IF(AND(I272&lt;&gt;"",OR(J272="Optional",J272="If Applicable",J272="To Verify")),"• "&amp;I272&amp;" ("&amp;J272&amp;")",""),IF(AND(K272&lt;&gt;"",OR(L272="Optional",L272="If Applicable",L272="To Verify")),"• "&amp;K272&amp;" ("&amp;L272&amp;")",""),IF(AND(M272&lt;&gt;"",OR(N272="Optional",N272="If Applicable",N272="To Verify")),"• "&amp;M272&amp;" ("&amp;N272&amp;")",""),IF(AND(O272&lt;&gt;"",OR(P272="Optional",P272="If Applicable",P272="To Verify")),"• "&amp;O272&amp;" ("&amp;P272&amp;")",""),IF(AND(Q272&lt;&gt;"",OR(R272="Optional",R272="If Applicable",R272="To Verify")),"• "&amp;Q272&amp;" ("&amp;R272&amp;")",""))</f>
        <v/>
      </c>
    </row>
    <row r="273" customFormat="false" ht="23.85" hidden="false" customHeight="false" outlineLevel="0" collapsed="false">
      <c r="A273" s="6" t="s">
        <v>3129</v>
      </c>
      <c r="B273" s="7" t="str">
        <f aca="false">IF($A273="","",IFERROR(INDEX(MASTER_DATABASE!$E$4:$E$1000,MATCH($A273,MASTER_DATABASE!$A$4:$A$1000,0)),""))</f>
        <v>FASTag Recharge</v>
      </c>
      <c r="C273" s="6" t="s">
        <v>3527</v>
      </c>
      <c r="D273" s="6" t="s">
        <v>3436</v>
      </c>
      <c r="E273" s="6" t="s">
        <v>3571</v>
      </c>
      <c r="F273" s="6" t="s">
        <v>3436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7" t="str">
        <f aca="false">_xlfn.TEXTJOIN(CHAR(10),TRUE(),IF(AND(C273&lt;&gt;"",D273="Mandatory"),"✓ "&amp;C273,""),IF(AND(E273&lt;&gt;"",F273="Mandatory"),"✓ "&amp;E273,""),IF(AND(G273&lt;&gt;"",H273="Mandatory"),"✓ "&amp;G273,""),IF(AND(I273&lt;&gt;"",J273="Mandatory"),"✓ "&amp;I273,""),IF(AND(K273&lt;&gt;"",L273="Mandatory"),"✓ "&amp;K273,""),IF(AND(M273&lt;&gt;"",N273="Mandatory"),"✓ "&amp;M273,""),IF(AND(O273&lt;&gt;"",P273="Mandatory"),"✓ "&amp;O273,""),IF(AND(Q273&lt;&gt;"",R273="Mandatory"),"✓ "&amp;Q273,""))</f>
        <v>✓ Consumer / Account Number
✓ Cash Amount</v>
      </c>
      <c r="T273" s="7" t="str">
        <f aca="false">_xlfn.TEXTJOIN(CHAR(10),TRUE(),IF(AND(C273&lt;&gt;"",OR(D273="Optional",D273="If Applicable",D273="To Verify")),"• "&amp;C273&amp;" ("&amp;D273&amp;")",""),IF(AND(E273&lt;&gt;"",OR(F273="Optional",F273="If Applicable",F273="To Verify")),"• "&amp;E273&amp;" ("&amp;F273&amp;")",""),IF(AND(G273&lt;&gt;"",OR(H273="Optional",H273="If Applicable",H273="To Verify")),"• "&amp;G273&amp;" ("&amp;H273&amp;")",""),IF(AND(I273&lt;&gt;"",OR(J273="Optional",J273="If Applicable",J273="To Verify")),"• "&amp;I273&amp;" ("&amp;J273&amp;")",""),IF(AND(K273&lt;&gt;"",OR(L273="Optional",L273="If Applicable",L273="To Verify")),"• "&amp;K273&amp;" ("&amp;L273&amp;")",""),IF(AND(M273&lt;&gt;"",OR(N273="Optional",N273="If Applicable",N273="To Verify")),"• "&amp;M273&amp;" ("&amp;N273&amp;")",""),IF(AND(O273&lt;&gt;"",OR(P273="Optional",P273="If Applicable",P273="To Verify")),"• "&amp;O273&amp;" ("&amp;P273&amp;")",""),IF(AND(Q273&lt;&gt;"",OR(R273="Optional",R273="If Applicable",R273="To Verify")),"• "&amp;Q273&amp;" ("&amp;R273&amp;")",""))</f>
        <v/>
      </c>
    </row>
    <row r="274" customFormat="false" ht="23.85" hidden="false" customHeight="false" outlineLevel="0" collapsed="false">
      <c r="A274" s="6" t="s">
        <v>3140</v>
      </c>
      <c r="B274" s="7" t="str">
        <f aca="false">IF($A274="","",IFERROR(INDEX(MASTER_DATABASE!$E$4:$E$1000,MATCH($A274,MASTER_DATABASE!$A$4:$A$1000,0)),""))</f>
        <v>Mobile Postpaid Bill Payment</v>
      </c>
      <c r="C274" s="6" t="s">
        <v>3527</v>
      </c>
      <c r="D274" s="6" t="s">
        <v>3436</v>
      </c>
      <c r="E274" s="6" t="s">
        <v>3571</v>
      </c>
      <c r="F274" s="6" t="s">
        <v>3436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7" t="str">
        <f aca="false">_xlfn.TEXTJOIN(CHAR(10),TRUE(),IF(AND(C274&lt;&gt;"",D274="Mandatory"),"✓ "&amp;C274,""),IF(AND(E274&lt;&gt;"",F274="Mandatory"),"✓ "&amp;E274,""),IF(AND(G274&lt;&gt;"",H274="Mandatory"),"✓ "&amp;G274,""),IF(AND(I274&lt;&gt;"",J274="Mandatory"),"✓ "&amp;I274,""),IF(AND(K274&lt;&gt;"",L274="Mandatory"),"✓ "&amp;K274,""),IF(AND(M274&lt;&gt;"",N274="Mandatory"),"✓ "&amp;M274,""),IF(AND(O274&lt;&gt;"",P274="Mandatory"),"✓ "&amp;O274,""),IF(AND(Q274&lt;&gt;"",R274="Mandatory"),"✓ "&amp;Q274,""))</f>
        <v>✓ Consumer / Account Number
✓ Cash Amount</v>
      </c>
      <c r="T274" s="7" t="str">
        <f aca="false">_xlfn.TEXTJOIN(CHAR(10),TRUE(),IF(AND(C274&lt;&gt;"",OR(D274="Optional",D274="If Applicable",D274="To Verify")),"• "&amp;C274&amp;" ("&amp;D274&amp;")",""),IF(AND(E274&lt;&gt;"",OR(F274="Optional",F274="If Applicable",F274="To Verify")),"• "&amp;E274&amp;" ("&amp;F274&amp;")",""),IF(AND(G274&lt;&gt;"",OR(H274="Optional",H274="If Applicable",H274="To Verify")),"• "&amp;G274&amp;" ("&amp;H274&amp;")",""),IF(AND(I274&lt;&gt;"",OR(J274="Optional",J274="If Applicable",J274="To Verify")),"• "&amp;I274&amp;" ("&amp;J274&amp;")",""),IF(AND(K274&lt;&gt;"",OR(L274="Optional",L274="If Applicable",L274="To Verify")),"• "&amp;K274&amp;" ("&amp;L274&amp;")",""),IF(AND(M274&lt;&gt;"",OR(N274="Optional",N274="If Applicable",N274="To Verify")),"• "&amp;M274&amp;" ("&amp;N274&amp;")",""),IF(AND(O274&lt;&gt;"",OR(P274="Optional",P274="If Applicable",P274="To Verify")),"• "&amp;O274&amp;" ("&amp;P274&amp;")",""),IF(AND(Q274&lt;&gt;"",OR(R274="Optional",R274="If Applicable",R274="To Verify")),"• "&amp;Q274&amp;" ("&amp;R274&amp;")",""))</f>
        <v/>
      </c>
    </row>
    <row r="275" customFormat="false" ht="23.85" hidden="false" customHeight="false" outlineLevel="0" collapsed="false">
      <c r="A275" s="6" t="s">
        <v>3153</v>
      </c>
      <c r="B275" s="7" t="str">
        <f aca="false">IF($A275="","",IFERROR(INDEX(MASTER_DATABASE!$E$4:$E$1000,MATCH($A275,MASTER_DATABASE!$A$4:$A$1000,0)),""))</f>
        <v>Electricity Bill Payment</v>
      </c>
      <c r="C275" s="6" t="s">
        <v>3527</v>
      </c>
      <c r="D275" s="6" t="s">
        <v>3436</v>
      </c>
      <c r="E275" s="6" t="s">
        <v>3571</v>
      </c>
      <c r="F275" s="6" t="s">
        <v>3436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7" t="str">
        <f aca="false">_xlfn.TEXTJOIN(CHAR(10),TRUE(),IF(AND(C275&lt;&gt;"",D275="Mandatory"),"✓ "&amp;C275,""),IF(AND(E275&lt;&gt;"",F275="Mandatory"),"✓ "&amp;E275,""),IF(AND(G275&lt;&gt;"",H275="Mandatory"),"✓ "&amp;G275,""),IF(AND(I275&lt;&gt;"",J275="Mandatory"),"✓ "&amp;I275,""),IF(AND(K275&lt;&gt;"",L275="Mandatory"),"✓ "&amp;K275,""),IF(AND(M275&lt;&gt;"",N275="Mandatory"),"✓ "&amp;M275,""),IF(AND(O275&lt;&gt;"",P275="Mandatory"),"✓ "&amp;O275,""),IF(AND(Q275&lt;&gt;"",R275="Mandatory"),"✓ "&amp;Q275,""))</f>
        <v>✓ Consumer / Account Number
✓ Cash Amount</v>
      </c>
      <c r="T275" s="7" t="str">
        <f aca="false">_xlfn.TEXTJOIN(CHAR(10),TRUE(),IF(AND(C275&lt;&gt;"",OR(D275="Optional",D275="If Applicable",D275="To Verify")),"• "&amp;C275&amp;" ("&amp;D275&amp;")",""),IF(AND(E275&lt;&gt;"",OR(F275="Optional",F275="If Applicable",F275="To Verify")),"• "&amp;E275&amp;" ("&amp;F275&amp;")",""),IF(AND(G275&lt;&gt;"",OR(H275="Optional",H275="If Applicable",H275="To Verify")),"• "&amp;G275&amp;" ("&amp;H275&amp;")",""),IF(AND(I275&lt;&gt;"",OR(J275="Optional",J275="If Applicable",J275="To Verify")),"• "&amp;I275&amp;" ("&amp;J275&amp;")",""),IF(AND(K275&lt;&gt;"",OR(L275="Optional",L275="If Applicable",L275="To Verify")),"• "&amp;K275&amp;" ("&amp;L275&amp;")",""),IF(AND(M275&lt;&gt;"",OR(N275="Optional",N275="If Applicable",N275="To Verify")),"• "&amp;M275&amp;" ("&amp;N275&amp;")",""),IF(AND(O275&lt;&gt;"",OR(P275="Optional",P275="If Applicable",P275="To Verify")),"• "&amp;O275&amp;" ("&amp;P275&amp;")",""),IF(AND(Q275&lt;&gt;"",OR(R275="Optional",R275="If Applicable",R275="To Verify")),"• "&amp;Q275&amp;" ("&amp;R275&amp;")",""))</f>
        <v/>
      </c>
    </row>
    <row r="276" customFormat="false" ht="23.85" hidden="false" customHeight="false" outlineLevel="0" collapsed="false">
      <c r="A276" s="6" t="s">
        <v>3164</v>
      </c>
      <c r="B276" s="7" t="str">
        <f aca="false">IF($A276="","",IFERROR(INDEX(MASTER_DATABASE!$E$4:$E$1000,MATCH($A276,MASTER_DATABASE!$A$4:$A$1000,0)),""))</f>
        <v>Water Bill Payment</v>
      </c>
      <c r="C276" s="6" t="s">
        <v>3527</v>
      </c>
      <c r="D276" s="6" t="s">
        <v>3436</v>
      </c>
      <c r="E276" s="6" t="s">
        <v>3571</v>
      </c>
      <c r="F276" s="6" t="s">
        <v>3436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7" t="str">
        <f aca="false">_xlfn.TEXTJOIN(CHAR(10),TRUE(),IF(AND(C276&lt;&gt;"",D276="Mandatory"),"✓ "&amp;C276,""),IF(AND(E276&lt;&gt;"",F276="Mandatory"),"✓ "&amp;E276,""),IF(AND(G276&lt;&gt;"",H276="Mandatory"),"✓ "&amp;G276,""),IF(AND(I276&lt;&gt;"",J276="Mandatory"),"✓ "&amp;I276,""),IF(AND(K276&lt;&gt;"",L276="Mandatory"),"✓ "&amp;K276,""),IF(AND(M276&lt;&gt;"",N276="Mandatory"),"✓ "&amp;M276,""),IF(AND(O276&lt;&gt;"",P276="Mandatory"),"✓ "&amp;O276,""),IF(AND(Q276&lt;&gt;"",R276="Mandatory"),"✓ "&amp;Q276,""))</f>
        <v>✓ Consumer / Account Number
✓ Cash Amount</v>
      </c>
      <c r="T276" s="7" t="str">
        <f aca="false">_xlfn.TEXTJOIN(CHAR(10),TRUE(),IF(AND(C276&lt;&gt;"",OR(D276="Optional",D276="If Applicable",D276="To Verify")),"• "&amp;C276&amp;" ("&amp;D276&amp;")",""),IF(AND(E276&lt;&gt;"",OR(F276="Optional",F276="If Applicable",F276="To Verify")),"• "&amp;E276&amp;" ("&amp;F276&amp;")",""),IF(AND(G276&lt;&gt;"",OR(H276="Optional",H276="If Applicable",H276="To Verify")),"• "&amp;G276&amp;" ("&amp;H276&amp;")",""),IF(AND(I276&lt;&gt;"",OR(J276="Optional",J276="If Applicable",J276="To Verify")),"• "&amp;I276&amp;" ("&amp;J276&amp;")",""),IF(AND(K276&lt;&gt;"",OR(L276="Optional",L276="If Applicable",L276="To Verify")),"• "&amp;K276&amp;" ("&amp;L276&amp;")",""),IF(AND(M276&lt;&gt;"",OR(N276="Optional",N276="If Applicable",N276="To Verify")),"• "&amp;M276&amp;" ("&amp;N276&amp;")",""),IF(AND(O276&lt;&gt;"",OR(P276="Optional",P276="If Applicable",P276="To Verify")),"• "&amp;O276&amp;" ("&amp;P276&amp;")",""),IF(AND(Q276&lt;&gt;"",OR(R276="Optional",R276="If Applicable",R276="To Verify")),"• "&amp;Q276&amp;" ("&amp;R276&amp;")",""))</f>
        <v/>
      </c>
    </row>
    <row r="277" customFormat="false" ht="23.85" hidden="false" customHeight="false" outlineLevel="0" collapsed="false">
      <c r="A277" s="6" t="s">
        <v>3175</v>
      </c>
      <c r="B277" s="7" t="str">
        <f aca="false">IF($A277="","",IFERROR(INDEX(MASTER_DATABASE!$E$4:$E$1000,MATCH($A277,MASTER_DATABASE!$A$4:$A$1000,0)),""))</f>
        <v>Gas (Piped / PNG) Bill Payment</v>
      </c>
      <c r="C277" s="6" t="s">
        <v>3527</v>
      </c>
      <c r="D277" s="6" t="s">
        <v>3436</v>
      </c>
      <c r="E277" s="6" t="s">
        <v>3571</v>
      </c>
      <c r="F277" s="6" t="s">
        <v>3436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7" t="str">
        <f aca="false">_xlfn.TEXTJOIN(CHAR(10),TRUE(),IF(AND(C277&lt;&gt;"",D277="Mandatory"),"✓ "&amp;C277,""),IF(AND(E277&lt;&gt;"",F277="Mandatory"),"✓ "&amp;E277,""),IF(AND(G277&lt;&gt;"",H277="Mandatory"),"✓ "&amp;G277,""),IF(AND(I277&lt;&gt;"",J277="Mandatory"),"✓ "&amp;I277,""),IF(AND(K277&lt;&gt;"",L277="Mandatory"),"✓ "&amp;K277,""),IF(AND(M277&lt;&gt;"",N277="Mandatory"),"✓ "&amp;M277,""),IF(AND(O277&lt;&gt;"",P277="Mandatory"),"✓ "&amp;O277,""),IF(AND(Q277&lt;&gt;"",R277="Mandatory"),"✓ "&amp;Q277,""))</f>
        <v>✓ Consumer / Account Number
✓ Cash Amount</v>
      </c>
      <c r="T277" s="7" t="str">
        <f aca="false">_xlfn.TEXTJOIN(CHAR(10),TRUE(),IF(AND(C277&lt;&gt;"",OR(D277="Optional",D277="If Applicable",D277="To Verify")),"• "&amp;C277&amp;" ("&amp;D277&amp;")",""),IF(AND(E277&lt;&gt;"",OR(F277="Optional",F277="If Applicable",F277="To Verify")),"• "&amp;E277&amp;" ("&amp;F277&amp;")",""),IF(AND(G277&lt;&gt;"",OR(H277="Optional",H277="If Applicable",H277="To Verify")),"• "&amp;G277&amp;" ("&amp;H277&amp;")",""),IF(AND(I277&lt;&gt;"",OR(J277="Optional",J277="If Applicable",J277="To Verify")),"• "&amp;I277&amp;" ("&amp;J277&amp;")",""),IF(AND(K277&lt;&gt;"",OR(L277="Optional",L277="If Applicable",L277="To Verify")),"• "&amp;K277&amp;" ("&amp;L277&amp;")",""),IF(AND(M277&lt;&gt;"",OR(N277="Optional",N277="If Applicable",N277="To Verify")),"• "&amp;M277&amp;" ("&amp;N277&amp;")",""),IF(AND(O277&lt;&gt;"",OR(P277="Optional",P277="If Applicable",P277="To Verify")),"• "&amp;O277&amp;" ("&amp;P277&amp;")",""),IF(AND(Q277&lt;&gt;"",OR(R277="Optional",R277="If Applicable",R277="To Verify")),"• "&amp;Q277&amp;" ("&amp;R277&amp;")",""))</f>
        <v/>
      </c>
    </row>
    <row r="278" customFormat="false" ht="23.85" hidden="false" customHeight="false" outlineLevel="0" collapsed="false">
      <c r="A278" s="6" t="s">
        <v>3186</v>
      </c>
      <c r="B278" s="7" t="str">
        <f aca="false">IF($A278="","",IFERROR(INDEX(MASTER_DATABASE!$E$4:$E$1000,MATCH($A278,MASTER_DATABASE!$A$4:$A$1000,0)),""))</f>
        <v>LPG Cylinder Booking / Payment</v>
      </c>
      <c r="C278" s="6" t="s">
        <v>3527</v>
      </c>
      <c r="D278" s="6" t="s">
        <v>3436</v>
      </c>
      <c r="E278" s="6" t="s">
        <v>3571</v>
      </c>
      <c r="F278" s="6" t="s">
        <v>3436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7" t="str">
        <f aca="false">_xlfn.TEXTJOIN(CHAR(10),TRUE(),IF(AND(C278&lt;&gt;"",D278="Mandatory"),"✓ "&amp;C278,""),IF(AND(E278&lt;&gt;"",F278="Mandatory"),"✓ "&amp;E278,""),IF(AND(G278&lt;&gt;"",H278="Mandatory"),"✓ "&amp;G278,""),IF(AND(I278&lt;&gt;"",J278="Mandatory"),"✓ "&amp;I278,""),IF(AND(K278&lt;&gt;"",L278="Mandatory"),"✓ "&amp;K278,""),IF(AND(M278&lt;&gt;"",N278="Mandatory"),"✓ "&amp;M278,""),IF(AND(O278&lt;&gt;"",P278="Mandatory"),"✓ "&amp;O278,""),IF(AND(Q278&lt;&gt;"",R278="Mandatory"),"✓ "&amp;Q278,""))</f>
        <v>✓ Consumer / Account Number
✓ Cash Amount</v>
      </c>
      <c r="T278" s="7" t="str">
        <f aca="false">_xlfn.TEXTJOIN(CHAR(10),TRUE(),IF(AND(C278&lt;&gt;"",OR(D278="Optional",D278="If Applicable",D278="To Verify")),"• "&amp;C278&amp;" ("&amp;D278&amp;")",""),IF(AND(E278&lt;&gt;"",OR(F278="Optional",F278="If Applicable",F278="To Verify")),"• "&amp;E278&amp;" ("&amp;F278&amp;")",""),IF(AND(G278&lt;&gt;"",OR(H278="Optional",H278="If Applicable",H278="To Verify")),"• "&amp;G278&amp;" ("&amp;H278&amp;")",""),IF(AND(I278&lt;&gt;"",OR(J278="Optional",J278="If Applicable",J278="To Verify")),"• "&amp;I278&amp;" ("&amp;J278&amp;")",""),IF(AND(K278&lt;&gt;"",OR(L278="Optional",L278="If Applicable",L278="To Verify")),"• "&amp;K278&amp;" ("&amp;L278&amp;")",""),IF(AND(M278&lt;&gt;"",OR(N278="Optional",N278="If Applicable",N278="To Verify")),"• "&amp;M278&amp;" ("&amp;N278&amp;")",""),IF(AND(O278&lt;&gt;"",OR(P278="Optional",P278="If Applicable",P278="To Verify")),"• "&amp;O278&amp;" ("&amp;P278&amp;")",""),IF(AND(Q278&lt;&gt;"",OR(R278="Optional",R278="If Applicable",R278="To Verify")),"• "&amp;Q278&amp;" ("&amp;R278&amp;")",""))</f>
        <v/>
      </c>
    </row>
    <row r="279" customFormat="false" ht="23.85" hidden="false" customHeight="false" outlineLevel="0" collapsed="false">
      <c r="A279" s="6" t="s">
        <v>3197</v>
      </c>
      <c r="B279" s="7" t="str">
        <f aca="false">IF($A279="","",IFERROR(INDEX(MASTER_DATABASE!$E$4:$E$1000,MATCH($A279,MASTER_DATABASE!$A$4:$A$1000,0)),""))</f>
        <v>Broadband / Internet Bill Payment</v>
      </c>
      <c r="C279" s="6" t="s">
        <v>3527</v>
      </c>
      <c r="D279" s="6" t="s">
        <v>3436</v>
      </c>
      <c r="E279" s="6" t="s">
        <v>3571</v>
      </c>
      <c r="F279" s="6" t="s">
        <v>3436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7" t="str">
        <f aca="false">_xlfn.TEXTJOIN(CHAR(10),TRUE(),IF(AND(C279&lt;&gt;"",D279="Mandatory"),"✓ "&amp;C279,""),IF(AND(E279&lt;&gt;"",F279="Mandatory"),"✓ "&amp;E279,""),IF(AND(G279&lt;&gt;"",H279="Mandatory"),"✓ "&amp;G279,""),IF(AND(I279&lt;&gt;"",J279="Mandatory"),"✓ "&amp;I279,""),IF(AND(K279&lt;&gt;"",L279="Mandatory"),"✓ "&amp;K279,""),IF(AND(M279&lt;&gt;"",N279="Mandatory"),"✓ "&amp;M279,""),IF(AND(O279&lt;&gt;"",P279="Mandatory"),"✓ "&amp;O279,""),IF(AND(Q279&lt;&gt;"",R279="Mandatory"),"✓ "&amp;Q279,""))</f>
        <v>✓ Consumer / Account Number
✓ Cash Amount</v>
      </c>
      <c r="T279" s="7" t="str">
        <f aca="false">_xlfn.TEXTJOIN(CHAR(10),TRUE(),IF(AND(C279&lt;&gt;"",OR(D279="Optional",D279="If Applicable",D279="To Verify")),"• "&amp;C279&amp;" ("&amp;D279&amp;")",""),IF(AND(E279&lt;&gt;"",OR(F279="Optional",F279="If Applicable",F279="To Verify")),"• "&amp;E279&amp;" ("&amp;F279&amp;")",""),IF(AND(G279&lt;&gt;"",OR(H279="Optional",H279="If Applicable",H279="To Verify")),"• "&amp;G279&amp;" ("&amp;H279&amp;")",""),IF(AND(I279&lt;&gt;"",OR(J279="Optional",J279="If Applicable",J279="To Verify")),"• "&amp;I279&amp;" ("&amp;J279&amp;")",""),IF(AND(K279&lt;&gt;"",OR(L279="Optional",L279="If Applicable",L279="To Verify")),"• "&amp;K279&amp;" ("&amp;L279&amp;")",""),IF(AND(M279&lt;&gt;"",OR(N279="Optional",N279="If Applicable",N279="To Verify")),"• "&amp;M279&amp;" ("&amp;N279&amp;")",""),IF(AND(O279&lt;&gt;"",OR(P279="Optional",P279="If Applicable",P279="To Verify")),"• "&amp;O279&amp;" ("&amp;P279&amp;")",""),IF(AND(Q279&lt;&gt;"",OR(R279="Optional",R279="If Applicable",R279="To Verify")),"• "&amp;Q279&amp;" ("&amp;R279&amp;")",""))</f>
        <v/>
      </c>
    </row>
    <row r="280" customFormat="false" ht="23.85" hidden="false" customHeight="false" outlineLevel="0" collapsed="false">
      <c r="A280" s="6" t="s">
        <v>3208</v>
      </c>
      <c r="B280" s="7" t="str">
        <f aca="false">IF($A280="","",IFERROR(INDEX(MASTER_DATABASE!$E$4:$E$1000,MATCH($A280,MASTER_DATABASE!$A$4:$A$1000,0)),""))</f>
        <v>Landline Bill Payment</v>
      </c>
      <c r="C280" s="6" t="s">
        <v>3527</v>
      </c>
      <c r="D280" s="6" t="s">
        <v>3436</v>
      </c>
      <c r="E280" s="6" t="s">
        <v>3571</v>
      </c>
      <c r="F280" s="6" t="s">
        <v>3436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7" t="str">
        <f aca="false">_xlfn.TEXTJOIN(CHAR(10),TRUE(),IF(AND(C280&lt;&gt;"",D280="Mandatory"),"✓ "&amp;C280,""),IF(AND(E280&lt;&gt;"",F280="Mandatory"),"✓ "&amp;E280,""),IF(AND(G280&lt;&gt;"",H280="Mandatory"),"✓ "&amp;G280,""),IF(AND(I280&lt;&gt;"",J280="Mandatory"),"✓ "&amp;I280,""),IF(AND(K280&lt;&gt;"",L280="Mandatory"),"✓ "&amp;K280,""),IF(AND(M280&lt;&gt;"",N280="Mandatory"),"✓ "&amp;M280,""),IF(AND(O280&lt;&gt;"",P280="Mandatory"),"✓ "&amp;O280,""),IF(AND(Q280&lt;&gt;"",R280="Mandatory"),"✓ "&amp;Q280,""))</f>
        <v>✓ Consumer / Account Number
✓ Cash Amount</v>
      </c>
      <c r="T280" s="7" t="str">
        <f aca="false">_xlfn.TEXTJOIN(CHAR(10),TRUE(),IF(AND(C280&lt;&gt;"",OR(D280="Optional",D280="If Applicable",D280="To Verify")),"• "&amp;C280&amp;" ("&amp;D280&amp;")",""),IF(AND(E280&lt;&gt;"",OR(F280="Optional",F280="If Applicable",F280="To Verify")),"• "&amp;E280&amp;" ("&amp;F280&amp;")",""),IF(AND(G280&lt;&gt;"",OR(H280="Optional",H280="If Applicable",H280="To Verify")),"• "&amp;G280&amp;" ("&amp;H280&amp;")",""),IF(AND(I280&lt;&gt;"",OR(J280="Optional",J280="If Applicable",J280="To Verify")),"• "&amp;I280&amp;" ("&amp;J280&amp;")",""),IF(AND(K280&lt;&gt;"",OR(L280="Optional",L280="If Applicable",L280="To Verify")),"• "&amp;K280&amp;" ("&amp;L280&amp;")",""),IF(AND(M280&lt;&gt;"",OR(N280="Optional",N280="If Applicable",N280="To Verify")),"• "&amp;M280&amp;" ("&amp;N280&amp;")",""),IF(AND(O280&lt;&gt;"",OR(P280="Optional",P280="If Applicable",P280="To Verify")),"• "&amp;O280&amp;" ("&amp;P280&amp;")",""),IF(AND(Q280&lt;&gt;"",OR(R280="Optional",R280="If Applicable",R280="To Verify")),"• "&amp;Q280&amp;" ("&amp;R280&amp;")",""))</f>
        <v/>
      </c>
    </row>
    <row r="281" customFormat="false" ht="23.85" hidden="false" customHeight="false" outlineLevel="0" collapsed="false">
      <c r="A281" s="6" t="s">
        <v>3219</v>
      </c>
      <c r="B281" s="7" t="str">
        <f aca="false">IF($A281="","",IFERROR(INDEX(MASTER_DATABASE!$E$4:$E$1000,MATCH($A281,MASTER_DATABASE!$A$4:$A$1000,0)),""))</f>
        <v>Cable TV Bill Payment</v>
      </c>
      <c r="C281" s="6" t="s">
        <v>3527</v>
      </c>
      <c r="D281" s="6" t="s">
        <v>3436</v>
      </c>
      <c r="E281" s="6" t="s">
        <v>3571</v>
      </c>
      <c r="F281" s="6" t="s">
        <v>3436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7" t="str">
        <f aca="false">_xlfn.TEXTJOIN(CHAR(10),TRUE(),IF(AND(C281&lt;&gt;"",D281="Mandatory"),"✓ "&amp;C281,""),IF(AND(E281&lt;&gt;"",F281="Mandatory"),"✓ "&amp;E281,""),IF(AND(G281&lt;&gt;"",H281="Mandatory"),"✓ "&amp;G281,""),IF(AND(I281&lt;&gt;"",J281="Mandatory"),"✓ "&amp;I281,""),IF(AND(K281&lt;&gt;"",L281="Mandatory"),"✓ "&amp;K281,""),IF(AND(M281&lt;&gt;"",N281="Mandatory"),"✓ "&amp;M281,""),IF(AND(O281&lt;&gt;"",P281="Mandatory"),"✓ "&amp;O281,""),IF(AND(Q281&lt;&gt;"",R281="Mandatory"),"✓ "&amp;Q281,""))</f>
        <v>✓ Consumer / Account Number
✓ Cash Amount</v>
      </c>
      <c r="T281" s="7" t="str">
        <f aca="false">_xlfn.TEXTJOIN(CHAR(10),TRUE(),IF(AND(C281&lt;&gt;"",OR(D281="Optional",D281="If Applicable",D281="To Verify")),"• "&amp;C281&amp;" ("&amp;D281&amp;")",""),IF(AND(E281&lt;&gt;"",OR(F281="Optional",F281="If Applicable",F281="To Verify")),"• "&amp;E281&amp;" ("&amp;F281&amp;")",""),IF(AND(G281&lt;&gt;"",OR(H281="Optional",H281="If Applicable",H281="To Verify")),"• "&amp;G281&amp;" ("&amp;H281&amp;")",""),IF(AND(I281&lt;&gt;"",OR(J281="Optional",J281="If Applicable",J281="To Verify")),"• "&amp;I281&amp;" ("&amp;J281&amp;")",""),IF(AND(K281&lt;&gt;"",OR(L281="Optional",L281="If Applicable",L281="To Verify")),"• "&amp;K281&amp;" ("&amp;L281&amp;")",""),IF(AND(M281&lt;&gt;"",OR(N281="Optional",N281="If Applicable",N281="To Verify")),"• "&amp;M281&amp;" ("&amp;N281&amp;")",""),IF(AND(O281&lt;&gt;"",OR(P281="Optional",P281="If Applicable",P281="To Verify")),"• "&amp;O281&amp;" ("&amp;P281&amp;")",""),IF(AND(Q281&lt;&gt;"",OR(R281="Optional",R281="If Applicable",R281="To Verify")),"• "&amp;Q281&amp;" ("&amp;R281&amp;")",""))</f>
        <v/>
      </c>
    </row>
    <row r="282" customFormat="false" ht="23.85" hidden="false" customHeight="false" outlineLevel="0" collapsed="false">
      <c r="A282" s="6" t="s">
        <v>3230</v>
      </c>
      <c r="B282" s="7" t="str">
        <f aca="false">IF($A282="","",IFERROR(INDEX(MASTER_DATABASE!$E$4:$E$1000,MATCH($A282,MASTER_DATABASE!$A$4:$A$1000,0)),""))</f>
        <v>Insurance Premium Payment (LIC / Others)</v>
      </c>
      <c r="C282" s="6" t="s">
        <v>3527</v>
      </c>
      <c r="D282" s="6" t="s">
        <v>3436</v>
      </c>
      <c r="E282" s="6" t="s">
        <v>3571</v>
      </c>
      <c r="F282" s="6" t="s">
        <v>3436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7" t="str">
        <f aca="false">_xlfn.TEXTJOIN(CHAR(10),TRUE(),IF(AND(C282&lt;&gt;"",D282="Mandatory"),"✓ "&amp;C282,""),IF(AND(E282&lt;&gt;"",F282="Mandatory"),"✓ "&amp;E282,""),IF(AND(G282&lt;&gt;"",H282="Mandatory"),"✓ "&amp;G282,""),IF(AND(I282&lt;&gt;"",J282="Mandatory"),"✓ "&amp;I282,""),IF(AND(K282&lt;&gt;"",L282="Mandatory"),"✓ "&amp;K282,""),IF(AND(M282&lt;&gt;"",N282="Mandatory"),"✓ "&amp;M282,""),IF(AND(O282&lt;&gt;"",P282="Mandatory"),"✓ "&amp;O282,""),IF(AND(Q282&lt;&gt;"",R282="Mandatory"),"✓ "&amp;Q282,""))</f>
        <v>✓ Consumer / Account Number
✓ Cash Amount</v>
      </c>
      <c r="T282" s="7" t="str">
        <f aca="false">_xlfn.TEXTJOIN(CHAR(10),TRUE(),IF(AND(C282&lt;&gt;"",OR(D282="Optional",D282="If Applicable",D282="To Verify")),"• "&amp;C282&amp;" ("&amp;D282&amp;")",""),IF(AND(E282&lt;&gt;"",OR(F282="Optional",F282="If Applicable",F282="To Verify")),"• "&amp;E282&amp;" ("&amp;F282&amp;")",""),IF(AND(G282&lt;&gt;"",OR(H282="Optional",H282="If Applicable",H282="To Verify")),"• "&amp;G282&amp;" ("&amp;H282&amp;")",""),IF(AND(I282&lt;&gt;"",OR(J282="Optional",J282="If Applicable",J282="To Verify")),"• "&amp;I282&amp;" ("&amp;J282&amp;")",""),IF(AND(K282&lt;&gt;"",OR(L282="Optional",L282="If Applicable",L282="To Verify")),"• "&amp;K282&amp;" ("&amp;L282&amp;")",""),IF(AND(M282&lt;&gt;"",OR(N282="Optional",N282="If Applicable",N282="To Verify")),"• "&amp;M282&amp;" ("&amp;N282&amp;")",""),IF(AND(O282&lt;&gt;"",OR(P282="Optional",P282="If Applicable",P282="To Verify")),"• "&amp;O282&amp;" ("&amp;P282&amp;")",""),IF(AND(Q282&lt;&gt;"",OR(R282="Optional",R282="If Applicable",R282="To Verify")),"• "&amp;Q282&amp;" ("&amp;R282&amp;")",""))</f>
        <v/>
      </c>
    </row>
    <row r="283" customFormat="false" ht="23.85" hidden="false" customHeight="false" outlineLevel="0" collapsed="false">
      <c r="A283" s="6" t="s">
        <v>3241</v>
      </c>
      <c r="B283" s="7" t="str">
        <f aca="false">IF($A283="","",IFERROR(INDEX(MASTER_DATABASE!$E$4:$E$1000,MATCH($A283,MASTER_DATABASE!$A$4:$A$1000,0)),""))</f>
        <v>Loan EMI Payment</v>
      </c>
      <c r="C283" s="6" t="s">
        <v>3527</v>
      </c>
      <c r="D283" s="6" t="s">
        <v>3436</v>
      </c>
      <c r="E283" s="6" t="s">
        <v>3571</v>
      </c>
      <c r="F283" s="6" t="s">
        <v>3436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7" t="str">
        <f aca="false">_xlfn.TEXTJOIN(CHAR(10),TRUE(),IF(AND(C283&lt;&gt;"",D283="Mandatory"),"✓ "&amp;C283,""),IF(AND(E283&lt;&gt;"",F283="Mandatory"),"✓ "&amp;E283,""),IF(AND(G283&lt;&gt;"",H283="Mandatory"),"✓ "&amp;G283,""),IF(AND(I283&lt;&gt;"",J283="Mandatory"),"✓ "&amp;I283,""),IF(AND(K283&lt;&gt;"",L283="Mandatory"),"✓ "&amp;K283,""),IF(AND(M283&lt;&gt;"",N283="Mandatory"),"✓ "&amp;M283,""),IF(AND(O283&lt;&gt;"",P283="Mandatory"),"✓ "&amp;O283,""),IF(AND(Q283&lt;&gt;"",R283="Mandatory"),"✓ "&amp;Q283,""))</f>
        <v>✓ Consumer / Account Number
✓ Cash Amount</v>
      </c>
      <c r="T283" s="7" t="str">
        <f aca="false">_xlfn.TEXTJOIN(CHAR(10),TRUE(),IF(AND(C283&lt;&gt;"",OR(D283="Optional",D283="If Applicable",D283="To Verify")),"• "&amp;C283&amp;" ("&amp;D283&amp;")",""),IF(AND(E283&lt;&gt;"",OR(F283="Optional",F283="If Applicable",F283="To Verify")),"• "&amp;E283&amp;" ("&amp;F283&amp;")",""),IF(AND(G283&lt;&gt;"",OR(H283="Optional",H283="If Applicable",H283="To Verify")),"• "&amp;G283&amp;" ("&amp;H283&amp;")",""),IF(AND(I283&lt;&gt;"",OR(J283="Optional",J283="If Applicable",J283="To Verify")),"• "&amp;I283&amp;" ("&amp;J283&amp;")",""),IF(AND(K283&lt;&gt;"",OR(L283="Optional",L283="If Applicable",L283="To Verify")),"• "&amp;K283&amp;" ("&amp;L283&amp;")",""),IF(AND(M283&lt;&gt;"",OR(N283="Optional",N283="If Applicable",N283="To Verify")),"• "&amp;M283&amp;" ("&amp;N283&amp;")",""),IF(AND(O283&lt;&gt;"",OR(P283="Optional",P283="If Applicable",P283="To Verify")),"• "&amp;O283&amp;" ("&amp;P283&amp;")",""),IF(AND(Q283&lt;&gt;"",OR(R283="Optional",R283="If Applicable",R283="To Verify")),"• "&amp;Q283&amp;" ("&amp;R283&amp;")",""))</f>
        <v/>
      </c>
    </row>
    <row r="284" customFormat="false" ht="23.85" hidden="false" customHeight="false" outlineLevel="0" collapsed="false">
      <c r="A284" s="6" t="s">
        <v>3252</v>
      </c>
      <c r="B284" s="7" t="str">
        <f aca="false">IF($A284="","",IFERROR(INDEX(MASTER_DATABASE!$E$4:$E$1000,MATCH($A284,MASTER_DATABASE!$A$4:$A$1000,0)),""))</f>
        <v>Credit Card Bill Payment</v>
      </c>
      <c r="C284" s="6" t="s">
        <v>3527</v>
      </c>
      <c r="D284" s="6" t="s">
        <v>3436</v>
      </c>
      <c r="E284" s="6" t="s">
        <v>3571</v>
      </c>
      <c r="F284" s="6" t="s">
        <v>3436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7" t="str">
        <f aca="false">_xlfn.TEXTJOIN(CHAR(10),TRUE(),IF(AND(C284&lt;&gt;"",D284="Mandatory"),"✓ "&amp;C284,""),IF(AND(E284&lt;&gt;"",F284="Mandatory"),"✓ "&amp;E284,""),IF(AND(G284&lt;&gt;"",H284="Mandatory"),"✓ "&amp;G284,""),IF(AND(I284&lt;&gt;"",J284="Mandatory"),"✓ "&amp;I284,""),IF(AND(K284&lt;&gt;"",L284="Mandatory"),"✓ "&amp;K284,""),IF(AND(M284&lt;&gt;"",N284="Mandatory"),"✓ "&amp;M284,""),IF(AND(O284&lt;&gt;"",P284="Mandatory"),"✓ "&amp;O284,""),IF(AND(Q284&lt;&gt;"",R284="Mandatory"),"✓ "&amp;Q284,""))</f>
        <v>✓ Consumer / Account Number
✓ Cash Amount</v>
      </c>
      <c r="T284" s="7" t="str">
        <f aca="false">_xlfn.TEXTJOIN(CHAR(10),TRUE(),IF(AND(C284&lt;&gt;"",OR(D284="Optional",D284="If Applicable",D284="To Verify")),"• "&amp;C284&amp;" ("&amp;D284&amp;")",""),IF(AND(E284&lt;&gt;"",OR(F284="Optional",F284="If Applicable",F284="To Verify")),"• "&amp;E284&amp;" ("&amp;F284&amp;")",""),IF(AND(G284&lt;&gt;"",OR(H284="Optional",H284="If Applicable",H284="To Verify")),"• "&amp;G284&amp;" ("&amp;H284&amp;")",""),IF(AND(I284&lt;&gt;"",OR(J284="Optional",J284="If Applicable",J284="To Verify")),"• "&amp;I284&amp;" ("&amp;J284&amp;")",""),IF(AND(K284&lt;&gt;"",OR(L284="Optional",L284="If Applicable",L284="To Verify")),"• "&amp;K284&amp;" ("&amp;L284&amp;")",""),IF(AND(M284&lt;&gt;"",OR(N284="Optional",N284="If Applicable",N284="To Verify")),"• "&amp;M284&amp;" ("&amp;N284&amp;")",""),IF(AND(O284&lt;&gt;"",OR(P284="Optional",P284="If Applicable",P284="To Verify")),"• "&amp;O284&amp;" ("&amp;P284&amp;")",""),IF(AND(Q284&lt;&gt;"",OR(R284="Optional",R284="If Applicable",R284="To Verify")),"• "&amp;Q284&amp;" ("&amp;R284&amp;")",""))</f>
        <v/>
      </c>
    </row>
    <row r="285" customFormat="false" ht="23.85" hidden="false" customHeight="false" outlineLevel="0" collapsed="false">
      <c r="A285" s="6" t="s">
        <v>3263</v>
      </c>
      <c r="B285" s="7" t="str">
        <f aca="false">IF($A285="","",IFERROR(INDEX(MASTER_DATABASE!$E$4:$E$1000,MATCH($A285,MASTER_DATABASE!$A$4:$A$1000,0)),""))</f>
        <v>Education Fee Payment</v>
      </c>
      <c r="C285" s="6" t="s">
        <v>3527</v>
      </c>
      <c r="D285" s="6" t="s">
        <v>3436</v>
      </c>
      <c r="E285" s="6" t="s">
        <v>3571</v>
      </c>
      <c r="F285" s="6" t="s">
        <v>3436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7" t="str">
        <f aca="false">_xlfn.TEXTJOIN(CHAR(10),TRUE(),IF(AND(C285&lt;&gt;"",D285="Mandatory"),"✓ "&amp;C285,""),IF(AND(E285&lt;&gt;"",F285="Mandatory"),"✓ "&amp;E285,""),IF(AND(G285&lt;&gt;"",H285="Mandatory"),"✓ "&amp;G285,""),IF(AND(I285&lt;&gt;"",J285="Mandatory"),"✓ "&amp;I285,""),IF(AND(K285&lt;&gt;"",L285="Mandatory"),"✓ "&amp;K285,""),IF(AND(M285&lt;&gt;"",N285="Mandatory"),"✓ "&amp;M285,""),IF(AND(O285&lt;&gt;"",P285="Mandatory"),"✓ "&amp;O285,""),IF(AND(Q285&lt;&gt;"",R285="Mandatory"),"✓ "&amp;Q285,""))</f>
        <v>✓ Consumer / Account Number
✓ Cash Amount</v>
      </c>
      <c r="T285" s="7" t="str">
        <f aca="false">_xlfn.TEXTJOIN(CHAR(10),TRUE(),IF(AND(C285&lt;&gt;"",OR(D285="Optional",D285="If Applicable",D285="To Verify")),"• "&amp;C285&amp;" ("&amp;D285&amp;")",""),IF(AND(E285&lt;&gt;"",OR(F285="Optional",F285="If Applicable",F285="To Verify")),"• "&amp;E285&amp;" ("&amp;F285&amp;")",""),IF(AND(G285&lt;&gt;"",OR(H285="Optional",H285="If Applicable",H285="To Verify")),"• "&amp;G285&amp;" ("&amp;H285&amp;")",""),IF(AND(I285&lt;&gt;"",OR(J285="Optional",J285="If Applicable",J285="To Verify")),"• "&amp;I285&amp;" ("&amp;J285&amp;")",""),IF(AND(K285&lt;&gt;"",OR(L285="Optional",L285="If Applicable",L285="To Verify")),"• "&amp;K285&amp;" ("&amp;L285&amp;")",""),IF(AND(M285&lt;&gt;"",OR(N285="Optional",N285="If Applicable",N285="To Verify")),"• "&amp;M285&amp;" ("&amp;N285&amp;")",""),IF(AND(O285&lt;&gt;"",OR(P285="Optional",P285="If Applicable",P285="To Verify")),"• "&amp;O285&amp;" ("&amp;P285&amp;")",""),IF(AND(Q285&lt;&gt;"",OR(R285="Optional",R285="If Applicable",R285="To Verify")),"• "&amp;Q285&amp;" ("&amp;R285&amp;")",""))</f>
        <v/>
      </c>
    </row>
    <row r="286" customFormat="false" ht="23.85" hidden="false" customHeight="false" outlineLevel="0" collapsed="false">
      <c r="A286" s="6" t="s">
        <v>3274</v>
      </c>
      <c r="B286" s="7" t="str">
        <f aca="false">IF($A286="","",IFERROR(INDEX(MASTER_DATABASE!$E$4:$E$1000,MATCH($A286,MASTER_DATABASE!$A$4:$A$1000,0)),""))</f>
        <v>BBPS – Other Billers</v>
      </c>
      <c r="C286" s="6" t="s">
        <v>3527</v>
      </c>
      <c r="D286" s="6" t="s">
        <v>3436</v>
      </c>
      <c r="E286" s="6" t="s">
        <v>3571</v>
      </c>
      <c r="F286" s="6" t="s">
        <v>3436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7" t="str">
        <f aca="false">_xlfn.TEXTJOIN(CHAR(10),TRUE(),IF(AND(C286&lt;&gt;"",D286="Mandatory"),"✓ "&amp;C286,""),IF(AND(E286&lt;&gt;"",F286="Mandatory"),"✓ "&amp;E286,""),IF(AND(G286&lt;&gt;"",H286="Mandatory"),"✓ "&amp;G286,""),IF(AND(I286&lt;&gt;"",J286="Mandatory"),"✓ "&amp;I286,""),IF(AND(K286&lt;&gt;"",L286="Mandatory"),"✓ "&amp;K286,""),IF(AND(M286&lt;&gt;"",N286="Mandatory"),"✓ "&amp;M286,""),IF(AND(O286&lt;&gt;"",P286="Mandatory"),"✓ "&amp;O286,""),IF(AND(Q286&lt;&gt;"",R286="Mandatory"),"✓ "&amp;Q286,""))</f>
        <v>✓ Consumer / Account Number
✓ Cash Amount</v>
      </c>
      <c r="T286" s="7" t="str">
        <f aca="false">_xlfn.TEXTJOIN(CHAR(10),TRUE(),IF(AND(C286&lt;&gt;"",OR(D286="Optional",D286="If Applicable",D286="To Verify")),"• "&amp;C286&amp;" ("&amp;D286&amp;")",""),IF(AND(E286&lt;&gt;"",OR(F286="Optional",F286="If Applicable",F286="To Verify")),"• "&amp;E286&amp;" ("&amp;F286&amp;")",""),IF(AND(G286&lt;&gt;"",OR(H286="Optional",H286="If Applicable",H286="To Verify")),"• "&amp;G286&amp;" ("&amp;H286&amp;")",""),IF(AND(I286&lt;&gt;"",OR(J286="Optional",J286="If Applicable",J286="To Verify")),"• "&amp;I286&amp;" ("&amp;J286&amp;")",""),IF(AND(K286&lt;&gt;"",OR(L286="Optional",L286="If Applicable",L286="To Verify")),"• "&amp;K286&amp;" ("&amp;L286&amp;")",""),IF(AND(M286&lt;&gt;"",OR(N286="Optional",N286="If Applicable",N286="To Verify")),"• "&amp;M286&amp;" ("&amp;N286&amp;")",""),IF(AND(O286&lt;&gt;"",OR(P286="Optional",P286="If Applicable",P286="To Verify")),"• "&amp;O286&amp;" ("&amp;P286&amp;")",""),IF(AND(Q286&lt;&gt;"",OR(R286="Optional",R286="If Applicable",R286="To Verify")),"• "&amp;Q286&amp;" ("&amp;R286&amp;")",""))</f>
        <v/>
      </c>
    </row>
    <row r="287" customFormat="false" ht="15" hidden="false" customHeight="false" outlineLevel="0" collapsed="false">
      <c r="A287" s="6" t="s">
        <v>3285</v>
      </c>
      <c r="B287" s="7" t="str">
        <f aca="false">IF($A287="","",IFERROR(INDEX(MASTER_DATABASE!$E$4:$E$1000,MATCH($A287,MASTER_DATABASE!$A$4:$A$1000,0)),""))</f>
        <v>Railway Ticket Booking (General)</v>
      </c>
      <c r="C287" s="6" t="s">
        <v>3559</v>
      </c>
      <c r="D287" s="6" t="s">
        <v>3436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7" t="str">
        <f aca="false">_xlfn.TEXTJOIN(CHAR(10),TRUE(),IF(AND(C287&lt;&gt;"",D287="Mandatory"),"✓ "&amp;C287,""),IF(AND(E287&lt;&gt;"",F287="Mandatory"),"✓ "&amp;E287,""),IF(AND(G287&lt;&gt;"",H287="Mandatory"),"✓ "&amp;G287,""),IF(AND(I287&lt;&gt;"",J287="Mandatory"),"✓ "&amp;I287,""),IF(AND(K287&lt;&gt;"",L287="Mandatory"),"✓ "&amp;K287,""),IF(AND(M287&lt;&gt;"",N287="Mandatory"),"✓ "&amp;M287,""),IF(AND(O287&lt;&gt;"",P287="Mandatory"),"✓ "&amp;O287,""),IF(AND(Q287&lt;&gt;"",R287="Mandatory"),"✓ "&amp;Q287,""))</f>
        <v>✓ Passenger Details &amp; ID</v>
      </c>
      <c r="T287" s="7" t="str">
        <f aca="false">_xlfn.TEXTJOIN(CHAR(10),TRUE(),IF(AND(C287&lt;&gt;"",OR(D287="Optional",D287="If Applicable",D287="To Verify")),"• "&amp;C287&amp;" ("&amp;D287&amp;")",""),IF(AND(E287&lt;&gt;"",OR(F287="Optional",F287="If Applicable",F287="To Verify")),"• "&amp;E287&amp;" ("&amp;F287&amp;")",""),IF(AND(G287&lt;&gt;"",OR(H287="Optional",H287="If Applicable",H287="To Verify")),"• "&amp;G287&amp;" ("&amp;H287&amp;")",""),IF(AND(I287&lt;&gt;"",OR(J287="Optional",J287="If Applicable",J287="To Verify")),"• "&amp;I287&amp;" ("&amp;J287&amp;")",""),IF(AND(K287&lt;&gt;"",OR(L287="Optional",L287="If Applicable",L287="To Verify")),"• "&amp;K287&amp;" ("&amp;L287&amp;")",""),IF(AND(M287&lt;&gt;"",OR(N287="Optional",N287="If Applicable",N287="To Verify")),"• "&amp;M287&amp;" ("&amp;N287&amp;")",""),IF(AND(O287&lt;&gt;"",OR(P287="Optional",P287="If Applicable",P287="To Verify")),"• "&amp;O287&amp;" ("&amp;P287&amp;")",""),IF(AND(Q287&lt;&gt;"",OR(R287="Optional",R287="If Applicable",R287="To Verify")),"• "&amp;Q287&amp;" ("&amp;R287&amp;")",""))</f>
        <v/>
      </c>
    </row>
    <row r="288" customFormat="false" ht="15" hidden="false" customHeight="false" outlineLevel="0" collapsed="false">
      <c r="A288" s="6" t="s">
        <v>3303</v>
      </c>
      <c r="B288" s="7" t="str">
        <f aca="false">IF($A288="","",IFERROR(INDEX(MASTER_DATABASE!$E$4:$E$1000,MATCH($A288,MASTER_DATABASE!$A$4:$A$1000,0)),""))</f>
        <v>Railway Ticket Booking (Tatkal)</v>
      </c>
      <c r="C288" s="6" t="s">
        <v>3559</v>
      </c>
      <c r="D288" s="6" t="s">
        <v>3436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7" t="str">
        <f aca="false">_xlfn.TEXTJOIN(CHAR(10),TRUE(),IF(AND(C288&lt;&gt;"",D288="Mandatory"),"✓ "&amp;C288,""),IF(AND(E288&lt;&gt;"",F288="Mandatory"),"✓ "&amp;E288,""),IF(AND(G288&lt;&gt;"",H288="Mandatory"),"✓ "&amp;G288,""),IF(AND(I288&lt;&gt;"",J288="Mandatory"),"✓ "&amp;I288,""),IF(AND(K288&lt;&gt;"",L288="Mandatory"),"✓ "&amp;K288,""),IF(AND(M288&lt;&gt;"",N288="Mandatory"),"✓ "&amp;M288,""),IF(AND(O288&lt;&gt;"",P288="Mandatory"),"✓ "&amp;O288,""),IF(AND(Q288&lt;&gt;"",R288="Mandatory"),"✓ "&amp;Q288,""))</f>
        <v>✓ Passenger Details &amp; ID</v>
      </c>
      <c r="T288" s="7" t="str">
        <f aca="false">_xlfn.TEXTJOIN(CHAR(10),TRUE(),IF(AND(C288&lt;&gt;"",OR(D288="Optional",D288="If Applicable",D288="To Verify")),"• "&amp;C288&amp;" ("&amp;D288&amp;")",""),IF(AND(E288&lt;&gt;"",OR(F288="Optional",F288="If Applicable",F288="To Verify")),"• "&amp;E288&amp;" ("&amp;F288&amp;")",""),IF(AND(G288&lt;&gt;"",OR(H288="Optional",H288="If Applicable",H288="To Verify")),"• "&amp;G288&amp;" ("&amp;H288&amp;")",""),IF(AND(I288&lt;&gt;"",OR(J288="Optional",J288="If Applicable",J288="To Verify")),"• "&amp;I288&amp;" ("&amp;J288&amp;")",""),IF(AND(K288&lt;&gt;"",OR(L288="Optional",L288="If Applicable",L288="To Verify")),"• "&amp;K288&amp;" ("&amp;L288&amp;")",""),IF(AND(M288&lt;&gt;"",OR(N288="Optional",N288="If Applicable",N288="To Verify")),"• "&amp;M288&amp;" ("&amp;N288&amp;")",""),IF(AND(O288&lt;&gt;"",OR(P288="Optional",P288="If Applicable",P288="To Verify")),"• "&amp;O288&amp;" ("&amp;P288&amp;")",""),IF(AND(Q288&lt;&gt;"",OR(R288="Optional",R288="If Applicable",R288="To Verify")),"• "&amp;Q288&amp;" ("&amp;R288&amp;")",""))</f>
        <v/>
      </c>
    </row>
    <row r="289" customFormat="false" ht="15" hidden="false" customHeight="false" outlineLevel="0" collapsed="false">
      <c r="A289" s="6" t="s">
        <v>3314</v>
      </c>
      <c r="B289" s="7" t="str">
        <f aca="false">IF($A289="","",IFERROR(INDEX(MASTER_DATABASE!$E$4:$E$1000,MATCH($A289,MASTER_DATABASE!$A$4:$A$1000,0)),""))</f>
        <v>PNR Status Check</v>
      </c>
      <c r="C289" s="6" t="s">
        <v>3559</v>
      </c>
      <c r="D289" s="6" t="s">
        <v>3436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7" t="str">
        <f aca="false">_xlfn.TEXTJOIN(CHAR(10),TRUE(),IF(AND(C289&lt;&gt;"",D289="Mandatory"),"✓ "&amp;C289,""),IF(AND(E289&lt;&gt;"",F289="Mandatory"),"✓ "&amp;E289,""),IF(AND(G289&lt;&gt;"",H289="Mandatory"),"✓ "&amp;G289,""),IF(AND(I289&lt;&gt;"",J289="Mandatory"),"✓ "&amp;I289,""),IF(AND(K289&lt;&gt;"",L289="Mandatory"),"✓ "&amp;K289,""),IF(AND(M289&lt;&gt;"",N289="Mandatory"),"✓ "&amp;M289,""),IF(AND(O289&lt;&gt;"",P289="Mandatory"),"✓ "&amp;O289,""),IF(AND(Q289&lt;&gt;"",R289="Mandatory"),"✓ "&amp;Q289,""))</f>
        <v>✓ Passenger Details &amp; ID</v>
      </c>
      <c r="T289" s="7" t="str">
        <f aca="false">_xlfn.TEXTJOIN(CHAR(10),TRUE(),IF(AND(C289&lt;&gt;"",OR(D289="Optional",D289="If Applicable",D289="To Verify")),"• "&amp;C289&amp;" ("&amp;D289&amp;")",""),IF(AND(E289&lt;&gt;"",OR(F289="Optional",F289="If Applicable",F289="To Verify")),"• "&amp;E289&amp;" ("&amp;F289&amp;")",""),IF(AND(G289&lt;&gt;"",OR(H289="Optional",H289="If Applicable",H289="To Verify")),"• "&amp;G289&amp;" ("&amp;H289&amp;")",""),IF(AND(I289&lt;&gt;"",OR(J289="Optional",J289="If Applicable",J289="To Verify")),"• "&amp;I289&amp;" ("&amp;J289&amp;")",""),IF(AND(K289&lt;&gt;"",OR(L289="Optional",L289="If Applicable",L289="To Verify")),"• "&amp;K289&amp;" ("&amp;L289&amp;")",""),IF(AND(M289&lt;&gt;"",OR(N289="Optional",N289="If Applicable",N289="To Verify")),"• "&amp;M289&amp;" ("&amp;N289&amp;")",""),IF(AND(O289&lt;&gt;"",OR(P289="Optional",P289="If Applicable",P289="To Verify")),"• "&amp;O289&amp;" ("&amp;P289&amp;")",""),IF(AND(Q289&lt;&gt;"",OR(R289="Optional",R289="If Applicable",R289="To Verify")),"• "&amp;Q289&amp;" ("&amp;R289&amp;")",""))</f>
        <v/>
      </c>
    </row>
    <row r="290" customFormat="false" ht="15" hidden="false" customHeight="false" outlineLevel="0" collapsed="false">
      <c r="A290" s="6" t="s">
        <v>3325</v>
      </c>
      <c r="B290" s="7" t="str">
        <f aca="false">IF($A290="","",IFERROR(INDEX(MASTER_DATABASE!$E$4:$E$1000,MATCH($A290,MASTER_DATABASE!$A$4:$A$1000,0)),""))</f>
        <v>Train Running Status</v>
      </c>
      <c r="C290" s="6" t="s">
        <v>3559</v>
      </c>
      <c r="D290" s="6" t="s">
        <v>3436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7" t="str">
        <f aca="false">_xlfn.TEXTJOIN(CHAR(10),TRUE(),IF(AND(C290&lt;&gt;"",D290="Mandatory"),"✓ "&amp;C290,""),IF(AND(E290&lt;&gt;"",F290="Mandatory"),"✓ "&amp;E290,""),IF(AND(G290&lt;&gt;"",H290="Mandatory"),"✓ "&amp;G290,""),IF(AND(I290&lt;&gt;"",J290="Mandatory"),"✓ "&amp;I290,""),IF(AND(K290&lt;&gt;"",L290="Mandatory"),"✓ "&amp;K290,""),IF(AND(M290&lt;&gt;"",N290="Mandatory"),"✓ "&amp;M290,""),IF(AND(O290&lt;&gt;"",P290="Mandatory"),"✓ "&amp;O290,""),IF(AND(Q290&lt;&gt;"",R290="Mandatory"),"✓ "&amp;Q290,""))</f>
        <v>✓ Passenger Details &amp; ID</v>
      </c>
      <c r="T290" s="7" t="str">
        <f aca="false">_xlfn.TEXTJOIN(CHAR(10),TRUE(),IF(AND(C290&lt;&gt;"",OR(D290="Optional",D290="If Applicable",D290="To Verify")),"• "&amp;C290&amp;" ("&amp;D290&amp;")",""),IF(AND(E290&lt;&gt;"",OR(F290="Optional",F290="If Applicable",F290="To Verify")),"• "&amp;E290&amp;" ("&amp;F290&amp;")",""),IF(AND(G290&lt;&gt;"",OR(H290="Optional",H290="If Applicable",H290="To Verify")),"• "&amp;G290&amp;" ("&amp;H290&amp;")",""),IF(AND(I290&lt;&gt;"",OR(J290="Optional",J290="If Applicable",J290="To Verify")),"• "&amp;I290&amp;" ("&amp;J290&amp;")",""),IF(AND(K290&lt;&gt;"",OR(L290="Optional",L290="If Applicable",L290="To Verify")),"• "&amp;K290&amp;" ("&amp;L290&amp;")",""),IF(AND(M290&lt;&gt;"",OR(N290="Optional",N290="If Applicable",N290="To Verify")),"• "&amp;M290&amp;" ("&amp;N290&amp;")",""),IF(AND(O290&lt;&gt;"",OR(P290="Optional",P290="If Applicable",P290="To Verify")),"• "&amp;O290&amp;" ("&amp;P290&amp;")",""),IF(AND(Q290&lt;&gt;"",OR(R290="Optional",R290="If Applicable",R290="To Verify")),"• "&amp;Q290&amp;" ("&amp;R290&amp;")",""))</f>
        <v/>
      </c>
    </row>
    <row r="291" customFormat="false" ht="15" hidden="false" customHeight="false" outlineLevel="0" collapsed="false">
      <c r="A291" s="6" t="s">
        <v>3336</v>
      </c>
      <c r="B291" s="7" t="str">
        <f aca="false">IF($A291="","",IFERROR(INDEX(MASTER_DATABASE!$E$4:$E$1000,MATCH($A291,MASTER_DATABASE!$A$4:$A$1000,0)),""))</f>
        <v>Railway Ticket Cancellation</v>
      </c>
      <c r="C291" s="6" t="s">
        <v>3559</v>
      </c>
      <c r="D291" s="6" t="s">
        <v>3436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7" t="str">
        <f aca="false">_xlfn.TEXTJOIN(CHAR(10),TRUE(),IF(AND(C291&lt;&gt;"",D291="Mandatory"),"✓ "&amp;C291,""),IF(AND(E291&lt;&gt;"",F291="Mandatory"),"✓ "&amp;E291,""),IF(AND(G291&lt;&gt;"",H291="Mandatory"),"✓ "&amp;G291,""),IF(AND(I291&lt;&gt;"",J291="Mandatory"),"✓ "&amp;I291,""),IF(AND(K291&lt;&gt;"",L291="Mandatory"),"✓ "&amp;K291,""),IF(AND(M291&lt;&gt;"",N291="Mandatory"),"✓ "&amp;M291,""),IF(AND(O291&lt;&gt;"",P291="Mandatory"),"✓ "&amp;O291,""),IF(AND(Q291&lt;&gt;"",R291="Mandatory"),"✓ "&amp;Q291,""))</f>
        <v>✓ Passenger Details &amp; ID</v>
      </c>
      <c r="T291" s="7" t="str">
        <f aca="false">_xlfn.TEXTJOIN(CHAR(10),TRUE(),IF(AND(C291&lt;&gt;"",OR(D291="Optional",D291="If Applicable",D291="To Verify")),"• "&amp;C291&amp;" ("&amp;D291&amp;")",""),IF(AND(E291&lt;&gt;"",OR(F291="Optional",F291="If Applicable",F291="To Verify")),"• "&amp;E291&amp;" ("&amp;F291&amp;")",""),IF(AND(G291&lt;&gt;"",OR(H291="Optional",H291="If Applicable",H291="To Verify")),"• "&amp;G291&amp;" ("&amp;H291&amp;")",""),IF(AND(I291&lt;&gt;"",OR(J291="Optional",J291="If Applicable",J291="To Verify")),"• "&amp;I291&amp;" ("&amp;J291&amp;")",""),IF(AND(K291&lt;&gt;"",OR(L291="Optional",L291="If Applicable",L291="To Verify")),"• "&amp;K291&amp;" ("&amp;L291&amp;")",""),IF(AND(M291&lt;&gt;"",OR(N291="Optional",N291="If Applicable",N291="To Verify")),"• "&amp;M291&amp;" ("&amp;N291&amp;")",""),IF(AND(O291&lt;&gt;"",OR(P291="Optional",P291="If Applicable",P291="To Verify")),"• "&amp;O291&amp;" ("&amp;P291&amp;")",""),IF(AND(Q291&lt;&gt;"",OR(R291="Optional",R291="If Applicable",R291="To Verify")),"• "&amp;Q291&amp;" ("&amp;R291&amp;")",""))</f>
        <v/>
      </c>
    </row>
    <row r="292" customFormat="false" ht="15" hidden="false" customHeight="false" outlineLevel="0" collapsed="false">
      <c r="A292" s="6" t="s">
        <v>3347</v>
      </c>
      <c r="B292" s="7" t="str">
        <f aca="false">IF($A292="","",IFERROR(INDEX(MASTER_DATABASE!$E$4:$E$1000,MATCH($A292,MASTER_DATABASE!$A$4:$A$1000,0)),""))</f>
        <v>Railway Refund Status Check</v>
      </c>
      <c r="C292" s="6" t="s">
        <v>3559</v>
      </c>
      <c r="D292" s="6" t="s">
        <v>3436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7" t="str">
        <f aca="false">_xlfn.TEXTJOIN(CHAR(10),TRUE(),IF(AND(C292&lt;&gt;"",D292="Mandatory"),"✓ "&amp;C292,""),IF(AND(E292&lt;&gt;"",F292="Mandatory"),"✓ "&amp;E292,""),IF(AND(G292&lt;&gt;"",H292="Mandatory"),"✓ "&amp;G292,""),IF(AND(I292&lt;&gt;"",J292="Mandatory"),"✓ "&amp;I292,""),IF(AND(K292&lt;&gt;"",L292="Mandatory"),"✓ "&amp;K292,""),IF(AND(M292&lt;&gt;"",N292="Mandatory"),"✓ "&amp;M292,""),IF(AND(O292&lt;&gt;"",P292="Mandatory"),"✓ "&amp;O292,""),IF(AND(Q292&lt;&gt;"",R292="Mandatory"),"✓ "&amp;Q292,""))</f>
        <v>✓ Passenger Details &amp; ID</v>
      </c>
      <c r="T292" s="7" t="str">
        <f aca="false">_xlfn.TEXTJOIN(CHAR(10),TRUE(),IF(AND(C292&lt;&gt;"",OR(D292="Optional",D292="If Applicable",D292="To Verify")),"• "&amp;C292&amp;" ("&amp;D292&amp;")",""),IF(AND(E292&lt;&gt;"",OR(F292="Optional",F292="If Applicable",F292="To Verify")),"• "&amp;E292&amp;" ("&amp;F292&amp;")",""),IF(AND(G292&lt;&gt;"",OR(H292="Optional",H292="If Applicable",H292="To Verify")),"• "&amp;G292&amp;" ("&amp;H292&amp;")",""),IF(AND(I292&lt;&gt;"",OR(J292="Optional",J292="If Applicable",J292="To Verify")),"• "&amp;I292&amp;" ("&amp;J292&amp;")",""),IF(AND(K292&lt;&gt;"",OR(L292="Optional",L292="If Applicable",L292="To Verify")),"• "&amp;K292&amp;" ("&amp;L292&amp;")",""),IF(AND(M292&lt;&gt;"",OR(N292="Optional",N292="If Applicable",N292="To Verify")),"• "&amp;M292&amp;" ("&amp;N292&amp;")",""),IF(AND(O292&lt;&gt;"",OR(P292="Optional",P292="If Applicable",P292="To Verify")),"• "&amp;O292&amp;" ("&amp;P292&amp;")",""),IF(AND(Q292&lt;&gt;"",OR(R292="Optional",R292="If Applicable",R292="To Verify")),"• "&amp;Q292&amp;" ("&amp;R292&amp;")",""))</f>
        <v/>
      </c>
    </row>
    <row r="293" customFormat="false" ht="15" hidden="false" customHeight="false" outlineLevel="0" collapsed="false">
      <c r="A293" s="6" t="s">
        <v>3358</v>
      </c>
      <c r="B293" s="7" t="str">
        <f aca="false">IF($A293="","",IFERROR(INDEX(MASTER_DATABASE!$E$4:$E$1000,MATCH($A293,MASTER_DATABASE!$A$4:$A$1000,0)),""))</f>
        <v>Bus Ticket Booking</v>
      </c>
      <c r="C293" s="6" t="s">
        <v>3559</v>
      </c>
      <c r="D293" s="6" t="s">
        <v>3436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7" t="str">
        <f aca="false">_xlfn.TEXTJOIN(CHAR(10),TRUE(),IF(AND(C293&lt;&gt;"",D293="Mandatory"),"✓ "&amp;C293,""),IF(AND(E293&lt;&gt;"",F293="Mandatory"),"✓ "&amp;E293,""),IF(AND(G293&lt;&gt;"",H293="Mandatory"),"✓ "&amp;G293,""),IF(AND(I293&lt;&gt;"",J293="Mandatory"),"✓ "&amp;I293,""),IF(AND(K293&lt;&gt;"",L293="Mandatory"),"✓ "&amp;K293,""),IF(AND(M293&lt;&gt;"",N293="Mandatory"),"✓ "&amp;M293,""),IF(AND(O293&lt;&gt;"",P293="Mandatory"),"✓ "&amp;O293,""),IF(AND(Q293&lt;&gt;"",R293="Mandatory"),"✓ "&amp;Q293,""))</f>
        <v>✓ Passenger Details &amp; ID</v>
      </c>
      <c r="T293" s="7" t="str">
        <f aca="false">_xlfn.TEXTJOIN(CHAR(10),TRUE(),IF(AND(C293&lt;&gt;"",OR(D293="Optional",D293="If Applicable",D293="To Verify")),"• "&amp;C293&amp;" ("&amp;D293&amp;")",""),IF(AND(E293&lt;&gt;"",OR(F293="Optional",F293="If Applicable",F293="To Verify")),"• "&amp;E293&amp;" ("&amp;F293&amp;")",""),IF(AND(G293&lt;&gt;"",OR(H293="Optional",H293="If Applicable",H293="To Verify")),"• "&amp;G293&amp;" ("&amp;H293&amp;")",""),IF(AND(I293&lt;&gt;"",OR(J293="Optional",J293="If Applicable",J293="To Verify")),"• "&amp;I293&amp;" ("&amp;J293&amp;")",""),IF(AND(K293&lt;&gt;"",OR(L293="Optional",L293="If Applicable",L293="To Verify")),"• "&amp;K293&amp;" ("&amp;L293&amp;")",""),IF(AND(M293&lt;&gt;"",OR(N293="Optional",N293="If Applicable",N293="To Verify")),"• "&amp;M293&amp;" ("&amp;N293&amp;")",""),IF(AND(O293&lt;&gt;"",OR(P293="Optional",P293="If Applicable",P293="To Verify")),"• "&amp;O293&amp;" ("&amp;P293&amp;")",""),IF(AND(Q293&lt;&gt;"",OR(R293="Optional",R293="If Applicable",R293="To Verify")),"• "&amp;Q293&amp;" ("&amp;R293&amp;")",""))</f>
        <v/>
      </c>
    </row>
    <row r="294" customFormat="false" ht="15" hidden="false" customHeight="false" outlineLevel="0" collapsed="false">
      <c r="A294" s="6" t="s">
        <v>3371</v>
      </c>
      <c r="B294" s="7" t="str">
        <f aca="false">IF($A294="","",IFERROR(INDEX(MASTER_DATABASE!$E$4:$E$1000,MATCH($A294,MASTER_DATABASE!$A$4:$A$1000,0)),""))</f>
        <v>Bus Ticket Cancellation</v>
      </c>
      <c r="C294" s="6" t="s">
        <v>3559</v>
      </c>
      <c r="D294" s="6" t="s">
        <v>3436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7" t="str">
        <f aca="false">_xlfn.TEXTJOIN(CHAR(10),TRUE(),IF(AND(C294&lt;&gt;"",D294="Mandatory"),"✓ "&amp;C294,""),IF(AND(E294&lt;&gt;"",F294="Mandatory"),"✓ "&amp;E294,""),IF(AND(G294&lt;&gt;"",H294="Mandatory"),"✓ "&amp;G294,""),IF(AND(I294&lt;&gt;"",J294="Mandatory"),"✓ "&amp;I294,""),IF(AND(K294&lt;&gt;"",L294="Mandatory"),"✓ "&amp;K294,""),IF(AND(M294&lt;&gt;"",N294="Mandatory"),"✓ "&amp;M294,""),IF(AND(O294&lt;&gt;"",P294="Mandatory"),"✓ "&amp;O294,""),IF(AND(Q294&lt;&gt;"",R294="Mandatory"),"✓ "&amp;Q294,""))</f>
        <v>✓ Passenger Details &amp; ID</v>
      </c>
      <c r="T294" s="7" t="str">
        <f aca="false">_xlfn.TEXTJOIN(CHAR(10),TRUE(),IF(AND(C294&lt;&gt;"",OR(D294="Optional",D294="If Applicable",D294="To Verify")),"• "&amp;C294&amp;" ("&amp;D294&amp;")",""),IF(AND(E294&lt;&gt;"",OR(F294="Optional",F294="If Applicable",F294="To Verify")),"• "&amp;E294&amp;" ("&amp;F294&amp;")",""),IF(AND(G294&lt;&gt;"",OR(H294="Optional",H294="If Applicable",H294="To Verify")),"• "&amp;G294&amp;" ("&amp;H294&amp;")",""),IF(AND(I294&lt;&gt;"",OR(J294="Optional",J294="If Applicable",J294="To Verify")),"• "&amp;I294&amp;" ("&amp;J294&amp;")",""),IF(AND(K294&lt;&gt;"",OR(L294="Optional",L294="If Applicable",L294="To Verify")),"• "&amp;K294&amp;" ("&amp;L294&amp;")",""),IF(AND(M294&lt;&gt;"",OR(N294="Optional",N294="If Applicable",N294="To Verify")),"• "&amp;M294&amp;" ("&amp;N294&amp;")",""),IF(AND(O294&lt;&gt;"",OR(P294="Optional",P294="If Applicable",P294="To Verify")),"• "&amp;O294&amp;" ("&amp;P294&amp;")",""),IF(AND(Q294&lt;&gt;"",OR(R294="Optional",R294="If Applicable",R294="To Verify")),"• "&amp;Q294&amp;" ("&amp;R294&amp;")",""))</f>
        <v/>
      </c>
    </row>
    <row r="295" customFormat="false" ht="15" hidden="false" customHeight="false" outlineLevel="0" collapsed="false">
      <c r="A295" s="6" t="s">
        <v>3382</v>
      </c>
      <c r="B295" s="7" t="str">
        <f aca="false">IF($A295="","",IFERROR(INDEX(MASTER_DATABASE!$E$4:$E$1000,MATCH($A295,MASTER_DATABASE!$A$4:$A$1000,0)),""))</f>
        <v>Flight Ticket Booking</v>
      </c>
      <c r="C295" s="6" t="s">
        <v>3559</v>
      </c>
      <c r="D295" s="6" t="s">
        <v>3436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7" t="str">
        <f aca="false">_xlfn.TEXTJOIN(CHAR(10),TRUE(),IF(AND(C295&lt;&gt;"",D295="Mandatory"),"✓ "&amp;C295,""),IF(AND(E295&lt;&gt;"",F295="Mandatory"),"✓ "&amp;E295,""),IF(AND(G295&lt;&gt;"",H295="Mandatory"),"✓ "&amp;G295,""),IF(AND(I295&lt;&gt;"",J295="Mandatory"),"✓ "&amp;I295,""),IF(AND(K295&lt;&gt;"",L295="Mandatory"),"✓ "&amp;K295,""),IF(AND(M295&lt;&gt;"",N295="Mandatory"),"✓ "&amp;M295,""),IF(AND(O295&lt;&gt;"",P295="Mandatory"),"✓ "&amp;O295,""),IF(AND(Q295&lt;&gt;"",R295="Mandatory"),"✓ "&amp;Q295,""))</f>
        <v>✓ Passenger Details &amp; ID</v>
      </c>
      <c r="T295" s="7" t="str">
        <f aca="false">_xlfn.TEXTJOIN(CHAR(10),TRUE(),IF(AND(C295&lt;&gt;"",OR(D295="Optional",D295="If Applicable",D295="To Verify")),"• "&amp;C295&amp;" ("&amp;D295&amp;")",""),IF(AND(E295&lt;&gt;"",OR(F295="Optional",F295="If Applicable",F295="To Verify")),"• "&amp;E295&amp;" ("&amp;F295&amp;")",""),IF(AND(G295&lt;&gt;"",OR(H295="Optional",H295="If Applicable",H295="To Verify")),"• "&amp;G295&amp;" ("&amp;H295&amp;")",""),IF(AND(I295&lt;&gt;"",OR(J295="Optional",J295="If Applicable",J295="To Verify")),"• "&amp;I295&amp;" ("&amp;J295&amp;")",""),IF(AND(K295&lt;&gt;"",OR(L295="Optional",L295="If Applicable",L295="To Verify")),"• "&amp;K295&amp;" ("&amp;L295&amp;")",""),IF(AND(M295&lt;&gt;"",OR(N295="Optional",N295="If Applicable",N295="To Verify")),"• "&amp;M295&amp;" ("&amp;N295&amp;")",""),IF(AND(O295&lt;&gt;"",OR(P295="Optional",P295="If Applicable",P295="To Verify")),"• "&amp;O295&amp;" ("&amp;P295&amp;")",""),IF(AND(Q295&lt;&gt;"",OR(R295="Optional",R295="If Applicable",R295="To Verify")),"• "&amp;Q295&amp;" ("&amp;R295&amp;")",""))</f>
        <v/>
      </c>
    </row>
    <row r="296" customFormat="false" ht="15" hidden="false" customHeight="false" outlineLevel="0" collapsed="false">
      <c r="A296" s="6"/>
      <c r="B296" s="7" t="str">
        <f aca="false">IF($A296="","",IFERROR(INDEX(MASTER_DATABASE!$E$4:$E$1000,MATCH($A296,MASTER_DATABASE!$A$4:$A$1000,0)),""))</f>
        <v/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7" t="str">
        <f aca="false">_xlfn.TEXTJOIN(CHAR(10),TRUE(),IF(AND(C296&lt;&gt;"",D296="Mandatory"),"✓ "&amp;C296,""),IF(AND(E296&lt;&gt;"",F296="Mandatory"),"✓ "&amp;E296,""),IF(AND(G296&lt;&gt;"",H296="Mandatory"),"✓ "&amp;G296,""),IF(AND(I296&lt;&gt;"",J296="Mandatory"),"✓ "&amp;I296,""),IF(AND(K296&lt;&gt;"",L296="Mandatory"),"✓ "&amp;K296,""),IF(AND(M296&lt;&gt;"",N296="Mandatory"),"✓ "&amp;M296,""),IF(AND(O296&lt;&gt;"",P296="Mandatory"),"✓ "&amp;O296,""),IF(AND(Q296&lt;&gt;"",R296="Mandatory"),"✓ "&amp;Q296,""))</f>
        <v/>
      </c>
      <c r="T296" s="7" t="str">
        <f aca="false">_xlfn.TEXTJOIN(CHAR(10),TRUE(),IF(AND(C296&lt;&gt;"",OR(D296="Optional",D296="If Applicable",D296="To Verify")),"• "&amp;C296&amp;" ("&amp;D296&amp;")",""),IF(AND(E296&lt;&gt;"",OR(F296="Optional",F296="If Applicable",F296="To Verify")),"• "&amp;E296&amp;" ("&amp;F296&amp;")",""),IF(AND(G296&lt;&gt;"",OR(H296="Optional",H296="If Applicable",H296="To Verify")),"• "&amp;G296&amp;" ("&amp;H296&amp;")",""),IF(AND(I296&lt;&gt;"",OR(J296="Optional",J296="If Applicable",J296="To Verify")),"• "&amp;I296&amp;" ("&amp;J296&amp;")",""),IF(AND(K296&lt;&gt;"",OR(L296="Optional",L296="If Applicable",L296="To Verify")),"• "&amp;K296&amp;" ("&amp;L296&amp;")",""),IF(AND(M296&lt;&gt;"",OR(N296="Optional",N296="If Applicable",N296="To Verify")),"• "&amp;M296&amp;" ("&amp;N296&amp;")",""),IF(AND(O296&lt;&gt;"",OR(P296="Optional",P296="If Applicable",P296="To Verify")),"• "&amp;O296&amp;" ("&amp;P296&amp;")",""),IF(AND(Q296&lt;&gt;"",OR(R296="Optional",R296="If Applicable",R296="To Verify")),"• "&amp;Q296&amp;" ("&amp;R296&amp;")",""))</f>
        <v/>
      </c>
    </row>
    <row r="297" customFormat="false" ht="15" hidden="false" customHeight="false" outlineLevel="0" collapsed="false">
      <c r="A297" s="6"/>
      <c r="B297" s="7" t="str">
        <f aca="false">IF($A297="","",IFERROR(INDEX(MASTER_DATABASE!$E$4:$E$1000,MATCH($A297,MASTER_DATABASE!$A$4:$A$1000,0)),""))</f>
        <v/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7" t="str">
        <f aca="false">_xlfn.TEXTJOIN(CHAR(10),TRUE(),IF(AND(C297&lt;&gt;"",D297="Mandatory"),"✓ "&amp;C297,""),IF(AND(E297&lt;&gt;"",F297="Mandatory"),"✓ "&amp;E297,""),IF(AND(G297&lt;&gt;"",H297="Mandatory"),"✓ "&amp;G297,""),IF(AND(I297&lt;&gt;"",J297="Mandatory"),"✓ "&amp;I297,""),IF(AND(K297&lt;&gt;"",L297="Mandatory"),"✓ "&amp;K297,""),IF(AND(M297&lt;&gt;"",N297="Mandatory"),"✓ "&amp;M297,""),IF(AND(O297&lt;&gt;"",P297="Mandatory"),"✓ "&amp;O297,""),IF(AND(Q297&lt;&gt;"",R297="Mandatory"),"✓ "&amp;Q297,""))</f>
        <v/>
      </c>
      <c r="T297" s="7" t="str">
        <f aca="false">_xlfn.TEXTJOIN(CHAR(10),TRUE(),IF(AND(C297&lt;&gt;"",OR(D297="Optional",D297="If Applicable",D297="To Verify")),"• "&amp;C297&amp;" ("&amp;D297&amp;")",""),IF(AND(E297&lt;&gt;"",OR(F297="Optional",F297="If Applicable",F297="To Verify")),"• "&amp;E297&amp;" ("&amp;F297&amp;")",""),IF(AND(G297&lt;&gt;"",OR(H297="Optional",H297="If Applicable",H297="To Verify")),"• "&amp;G297&amp;" ("&amp;H297&amp;")",""),IF(AND(I297&lt;&gt;"",OR(J297="Optional",J297="If Applicable",J297="To Verify")),"• "&amp;I297&amp;" ("&amp;J297&amp;")",""),IF(AND(K297&lt;&gt;"",OR(L297="Optional",L297="If Applicable",L297="To Verify")),"• "&amp;K297&amp;" ("&amp;L297&amp;")",""),IF(AND(M297&lt;&gt;"",OR(N297="Optional",N297="If Applicable",N297="To Verify")),"• "&amp;M297&amp;" ("&amp;N297&amp;")",""),IF(AND(O297&lt;&gt;"",OR(P297="Optional",P297="If Applicable",P297="To Verify")),"• "&amp;O297&amp;" ("&amp;P297&amp;")",""),IF(AND(Q297&lt;&gt;"",OR(R297="Optional",R297="If Applicable",R297="To Verify")),"• "&amp;Q297&amp;" ("&amp;R297&amp;")",""))</f>
        <v/>
      </c>
    </row>
    <row r="298" customFormat="false" ht="15" hidden="false" customHeight="false" outlineLevel="0" collapsed="false">
      <c r="A298" s="6"/>
      <c r="B298" s="7" t="str">
        <f aca="false">IF($A298="","",IFERROR(INDEX(MASTER_DATABASE!$E$4:$E$1000,MATCH($A298,MASTER_DATABASE!$A$4:$A$1000,0)),""))</f>
        <v/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7" t="str">
        <f aca="false">_xlfn.TEXTJOIN(CHAR(10),TRUE(),IF(AND(C298&lt;&gt;"",D298="Mandatory"),"✓ "&amp;C298,""),IF(AND(E298&lt;&gt;"",F298="Mandatory"),"✓ "&amp;E298,""),IF(AND(G298&lt;&gt;"",H298="Mandatory"),"✓ "&amp;G298,""),IF(AND(I298&lt;&gt;"",J298="Mandatory"),"✓ "&amp;I298,""),IF(AND(K298&lt;&gt;"",L298="Mandatory"),"✓ "&amp;K298,""),IF(AND(M298&lt;&gt;"",N298="Mandatory"),"✓ "&amp;M298,""),IF(AND(O298&lt;&gt;"",P298="Mandatory"),"✓ "&amp;O298,""),IF(AND(Q298&lt;&gt;"",R298="Mandatory"),"✓ "&amp;Q298,""))</f>
        <v/>
      </c>
      <c r="T298" s="7" t="str">
        <f aca="false">_xlfn.TEXTJOIN(CHAR(10),TRUE(),IF(AND(C298&lt;&gt;"",OR(D298="Optional",D298="If Applicable",D298="To Verify")),"• "&amp;C298&amp;" ("&amp;D298&amp;")",""),IF(AND(E298&lt;&gt;"",OR(F298="Optional",F298="If Applicable",F298="To Verify")),"• "&amp;E298&amp;" ("&amp;F298&amp;")",""),IF(AND(G298&lt;&gt;"",OR(H298="Optional",H298="If Applicable",H298="To Verify")),"• "&amp;G298&amp;" ("&amp;H298&amp;")",""),IF(AND(I298&lt;&gt;"",OR(J298="Optional",J298="If Applicable",J298="To Verify")),"• "&amp;I298&amp;" ("&amp;J298&amp;")",""),IF(AND(K298&lt;&gt;"",OR(L298="Optional",L298="If Applicable",L298="To Verify")),"• "&amp;K298&amp;" ("&amp;L298&amp;")",""),IF(AND(M298&lt;&gt;"",OR(N298="Optional",N298="If Applicable",N298="To Verify")),"• "&amp;M298&amp;" ("&amp;N298&amp;")",""),IF(AND(O298&lt;&gt;"",OR(P298="Optional",P298="If Applicable",P298="To Verify")),"• "&amp;O298&amp;" ("&amp;P298&amp;")",""),IF(AND(Q298&lt;&gt;"",OR(R298="Optional",R298="If Applicable",R298="To Verify")),"• "&amp;Q298&amp;" ("&amp;R298&amp;")",""))</f>
        <v/>
      </c>
    </row>
    <row r="299" customFormat="false" ht="15" hidden="false" customHeight="false" outlineLevel="0" collapsed="false">
      <c r="A299" s="6"/>
      <c r="B299" s="7" t="str">
        <f aca="false">IF($A299="","",IFERROR(INDEX(MASTER_DATABASE!$E$4:$E$1000,MATCH($A299,MASTER_DATABASE!$A$4:$A$1000,0)),""))</f>
        <v/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7" t="str">
        <f aca="false">_xlfn.TEXTJOIN(CHAR(10),TRUE(),IF(AND(C299&lt;&gt;"",D299="Mandatory"),"✓ "&amp;C299,""),IF(AND(E299&lt;&gt;"",F299="Mandatory"),"✓ "&amp;E299,""),IF(AND(G299&lt;&gt;"",H299="Mandatory"),"✓ "&amp;G299,""),IF(AND(I299&lt;&gt;"",J299="Mandatory"),"✓ "&amp;I299,""),IF(AND(K299&lt;&gt;"",L299="Mandatory"),"✓ "&amp;K299,""),IF(AND(M299&lt;&gt;"",N299="Mandatory"),"✓ "&amp;M299,""),IF(AND(O299&lt;&gt;"",P299="Mandatory"),"✓ "&amp;O299,""),IF(AND(Q299&lt;&gt;"",R299="Mandatory"),"✓ "&amp;Q299,""))</f>
        <v/>
      </c>
      <c r="T299" s="7" t="str">
        <f aca="false">_xlfn.TEXTJOIN(CHAR(10),TRUE(),IF(AND(C299&lt;&gt;"",OR(D299="Optional",D299="If Applicable",D299="To Verify")),"• "&amp;C299&amp;" ("&amp;D299&amp;")",""),IF(AND(E299&lt;&gt;"",OR(F299="Optional",F299="If Applicable",F299="To Verify")),"• "&amp;E299&amp;" ("&amp;F299&amp;")",""),IF(AND(G299&lt;&gt;"",OR(H299="Optional",H299="If Applicable",H299="To Verify")),"• "&amp;G299&amp;" ("&amp;H299&amp;")",""),IF(AND(I299&lt;&gt;"",OR(J299="Optional",J299="If Applicable",J299="To Verify")),"• "&amp;I299&amp;" ("&amp;J299&amp;")",""),IF(AND(K299&lt;&gt;"",OR(L299="Optional",L299="If Applicable",L299="To Verify")),"• "&amp;K299&amp;" ("&amp;L299&amp;")",""),IF(AND(M299&lt;&gt;"",OR(N299="Optional",N299="If Applicable",N299="To Verify")),"• "&amp;M299&amp;" ("&amp;N299&amp;")",""),IF(AND(O299&lt;&gt;"",OR(P299="Optional",P299="If Applicable",P299="To Verify")),"• "&amp;O299&amp;" ("&amp;P299&amp;")",""),IF(AND(Q299&lt;&gt;"",OR(R299="Optional",R299="If Applicable",R299="To Verify")),"• "&amp;Q299&amp;" ("&amp;R299&amp;")",""))</f>
        <v/>
      </c>
    </row>
    <row r="300" customFormat="false" ht="15" hidden="false" customHeight="false" outlineLevel="0" collapsed="false">
      <c r="A300" s="6"/>
      <c r="B300" s="7" t="str">
        <f aca="false">IF($A300="","",IFERROR(INDEX(MASTER_DATABASE!$E$4:$E$1000,MATCH($A300,MASTER_DATABASE!$A$4:$A$1000,0)),""))</f>
        <v/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7" t="str">
        <f aca="false">_xlfn.TEXTJOIN(CHAR(10),TRUE(),IF(AND(C300&lt;&gt;"",D300="Mandatory"),"✓ "&amp;C300,""),IF(AND(E300&lt;&gt;"",F300="Mandatory"),"✓ "&amp;E300,""),IF(AND(G300&lt;&gt;"",H300="Mandatory"),"✓ "&amp;G300,""),IF(AND(I300&lt;&gt;"",J300="Mandatory"),"✓ "&amp;I300,""),IF(AND(K300&lt;&gt;"",L300="Mandatory"),"✓ "&amp;K300,""),IF(AND(M300&lt;&gt;"",N300="Mandatory"),"✓ "&amp;M300,""),IF(AND(O300&lt;&gt;"",P300="Mandatory"),"✓ "&amp;O300,""),IF(AND(Q300&lt;&gt;"",R300="Mandatory"),"✓ "&amp;Q300,""))</f>
        <v/>
      </c>
      <c r="T300" s="7" t="str">
        <f aca="false">_xlfn.TEXTJOIN(CHAR(10),TRUE(),IF(AND(C300&lt;&gt;"",OR(D300="Optional",D300="If Applicable",D300="To Verify")),"• "&amp;C300&amp;" ("&amp;D300&amp;")",""),IF(AND(E300&lt;&gt;"",OR(F300="Optional",F300="If Applicable",F300="To Verify")),"• "&amp;E300&amp;" ("&amp;F300&amp;")",""),IF(AND(G300&lt;&gt;"",OR(H300="Optional",H300="If Applicable",H300="To Verify")),"• "&amp;G300&amp;" ("&amp;H300&amp;")",""),IF(AND(I300&lt;&gt;"",OR(J300="Optional",J300="If Applicable",J300="To Verify")),"• "&amp;I300&amp;" ("&amp;J300&amp;")",""),IF(AND(K300&lt;&gt;"",OR(L300="Optional",L300="If Applicable",L300="To Verify")),"• "&amp;K300&amp;" ("&amp;L300&amp;")",""),IF(AND(M300&lt;&gt;"",OR(N300="Optional",N300="If Applicable",N300="To Verify")),"• "&amp;M300&amp;" ("&amp;N300&amp;")",""),IF(AND(O300&lt;&gt;"",OR(P300="Optional",P300="If Applicable",P300="To Verify")),"• "&amp;O300&amp;" ("&amp;P300&amp;")",""),IF(AND(Q300&lt;&gt;"",OR(R300="Optional",R300="If Applicable",R300="To Verify")),"• "&amp;Q300&amp;" ("&amp;R300&amp;")",""))</f>
        <v/>
      </c>
    </row>
    <row r="301" customFormat="false" ht="15" hidden="false" customHeight="false" outlineLevel="0" collapsed="false">
      <c r="A301" s="6"/>
      <c r="B301" s="7" t="str">
        <f aca="false">IF($A301="","",IFERROR(INDEX(MASTER_DATABASE!$E$4:$E$1000,MATCH($A301,MASTER_DATABASE!$A$4:$A$1000,0)),""))</f>
        <v/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7" t="str">
        <f aca="false">_xlfn.TEXTJOIN(CHAR(10),TRUE(),IF(AND(C301&lt;&gt;"",D301="Mandatory"),"✓ "&amp;C301,""),IF(AND(E301&lt;&gt;"",F301="Mandatory"),"✓ "&amp;E301,""),IF(AND(G301&lt;&gt;"",H301="Mandatory"),"✓ "&amp;G301,""),IF(AND(I301&lt;&gt;"",J301="Mandatory"),"✓ "&amp;I301,""),IF(AND(K301&lt;&gt;"",L301="Mandatory"),"✓ "&amp;K301,""),IF(AND(M301&lt;&gt;"",N301="Mandatory"),"✓ "&amp;M301,""),IF(AND(O301&lt;&gt;"",P301="Mandatory"),"✓ "&amp;O301,""),IF(AND(Q301&lt;&gt;"",R301="Mandatory"),"✓ "&amp;Q301,""))</f>
        <v/>
      </c>
      <c r="T301" s="7" t="str">
        <f aca="false">_xlfn.TEXTJOIN(CHAR(10),TRUE(),IF(AND(C301&lt;&gt;"",OR(D301="Optional",D301="If Applicable",D301="To Verify")),"• "&amp;C301&amp;" ("&amp;D301&amp;")",""),IF(AND(E301&lt;&gt;"",OR(F301="Optional",F301="If Applicable",F301="To Verify")),"• "&amp;E301&amp;" ("&amp;F301&amp;")",""),IF(AND(G301&lt;&gt;"",OR(H301="Optional",H301="If Applicable",H301="To Verify")),"• "&amp;G301&amp;" ("&amp;H301&amp;")",""),IF(AND(I301&lt;&gt;"",OR(J301="Optional",J301="If Applicable",J301="To Verify")),"• "&amp;I301&amp;" ("&amp;J301&amp;")",""),IF(AND(K301&lt;&gt;"",OR(L301="Optional",L301="If Applicable",L301="To Verify")),"• "&amp;K301&amp;" ("&amp;L301&amp;")",""),IF(AND(M301&lt;&gt;"",OR(N301="Optional",N301="If Applicable",N301="To Verify")),"• "&amp;M301&amp;" ("&amp;N301&amp;")",""),IF(AND(O301&lt;&gt;"",OR(P301="Optional",P301="If Applicable",P301="To Verify")),"• "&amp;O301&amp;" ("&amp;P301&amp;")",""),IF(AND(Q301&lt;&gt;"",OR(R301="Optional",R301="If Applicable",R301="To Verify")),"• "&amp;Q301&amp;" ("&amp;R301&amp;")",""))</f>
        <v/>
      </c>
    </row>
    <row r="302" customFormat="false" ht="15" hidden="false" customHeight="false" outlineLevel="0" collapsed="false">
      <c r="A302" s="6"/>
      <c r="B302" s="7" t="str">
        <f aca="false">IF($A302="","",IFERROR(INDEX(MASTER_DATABASE!$E$4:$E$1000,MATCH($A302,MASTER_DATABASE!$A$4:$A$1000,0)),""))</f>
        <v/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7" t="str">
        <f aca="false">_xlfn.TEXTJOIN(CHAR(10),TRUE(),IF(AND(C302&lt;&gt;"",D302="Mandatory"),"✓ "&amp;C302,""),IF(AND(E302&lt;&gt;"",F302="Mandatory"),"✓ "&amp;E302,""),IF(AND(G302&lt;&gt;"",H302="Mandatory"),"✓ "&amp;G302,""),IF(AND(I302&lt;&gt;"",J302="Mandatory"),"✓ "&amp;I302,""),IF(AND(K302&lt;&gt;"",L302="Mandatory"),"✓ "&amp;K302,""),IF(AND(M302&lt;&gt;"",N302="Mandatory"),"✓ "&amp;M302,""),IF(AND(O302&lt;&gt;"",P302="Mandatory"),"✓ "&amp;O302,""),IF(AND(Q302&lt;&gt;"",R302="Mandatory"),"✓ "&amp;Q302,""))</f>
        <v/>
      </c>
      <c r="T302" s="7" t="str">
        <f aca="false">_xlfn.TEXTJOIN(CHAR(10),TRUE(),IF(AND(C302&lt;&gt;"",OR(D302="Optional",D302="If Applicable",D302="To Verify")),"• "&amp;C302&amp;" ("&amp;D302&amp;")",""),IF(AND(E302&lt;&gt;"",OR(F302="Optional",F302="If Applicable",F302="To Verify")),"• "&amp;E302&amp;" ("&amp;F302&amp;")",""),IF(AND(G302&lt;&gt;"",OR(H302="Optional",H302="If Applicable",H302="To Verify")),"• "&amp;G302&amp;" ("&amp;H302&amp;")",""),IF(AND(I302&lt;&gt;"",OR(J302="Optional",J302="If Applicable",J302="To Verify")),"• "&amp;I302&amp;" ("&amp;J302&amp;")",""),IF(AND(K302&lt;&gt;"",OR(L302="Optional",L302="If Applicable",L302="To Verify")),"• "&amp;K302&amp;" ("&amp;L302&amp;")",""),IF(AND(M302&lt;&gt;"",OR(N302="Optional",N302="If Applicable",N302="To Verify")),"• "&amp;M302&amp;" ("&amp;N302&amp;")",""),IF(AND(O302&lt;&gt;"",OR(P302="Optional",P302="If Applicable",P302="To Verify")),"• "&amp;O302&amp;" ("&amp;P302&amp;")",""),IF(AND(Q302&lt;&gt;"",OR(R302="Optional",R302="If Applicable",R302="To Verify")),"• "&amp;Q302&amp;" ("&amp;R302&amp;")",""))</f>
        <v/>
      </c>
    </row>
    <row r="303" customFormat="false" ht="15" hidden="false" customHeight="false" outlineLevel="0" collapsed="false">
      <c r="A303" s="6"/>
      <c r="B303" s="7" t="str">
        <f aca="false">IF($A303="","",IFERROR(INDEX(MASTER_DATABASE!$E$4:$E$1000,MATCH($A303,MASTER_DATABASE!$A$4:$A$1000,0)),""))</f>
        <v/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7" t="str">
        <f aca="false">_xlfn.TEXTJOIN(CHAR(10),TRUE(),IF(AND(C303&lt;&gt;"",D303="Mandatory"),"✓ "&amp;C303,""),IF(AND(E303&lt;&gt;"",F303="Mandatory"),"✓ "&amp;E303,""),IF(AND(G303&lt;&gt;"",H303="Mandatory"),"✓ "&amp;G303,""),IF(AND(I303&lt;&gt;"",J303="Mandatory"),"✓ "&amp;I303,""),IF(AND(K303&lt;&gt;"",L303="Mandatory"),"✓ "&amp;K303,""),IF(AND(M303&lt;&gt;"",N303="Mandatory"),"✓ "&amp;M303,""),IF(AND(O303&lt;&gt;"",P303="Mandatory"),"✓ "&amp;O303,""),IF(AND(Q303&lt;&gt;"",R303="Mandatory"),"✓ "&amp;Q303,""))</f>
        <v/>
      </c>
      <c r="T303" s="7" t="str">
        <f aca="false">_xlfn.TEXTJOIN(CHAR(10),TRUE(),IF(AND(C303&lt;&gt;"",OR(D303="Optional",D303="If Applicable",D303="To Verify")),"• "&amp;C303&amp;" ("&amp;D303&amp;")",""),IF(AND(E303&lt;&gt;"",OR(F303="Optional",F303="If Applicable",F303="To Verify")),"• "&amp;E303&amp;" ("&amp;F303&amp;")",""),IF(AND(G303&lt;&gt;"",OR(H303="Optional",H303="If Applicable",H303="To Verify")),"• "&amp;G303&amp;" ("&amp;H303&amp;")",""),IF(AND(I303&lt;&gt;"",OR(J303="Optional",J303="If Applicable",J303="To Verify")),"• "&amp;I303&amp;" ("&amp;J303&amp;")",""),IF(AND(K303&lt;&gt;"",OR(L303="Optional",L303="If Applicable",L303="To Verify")),"• "&amp;K303&amp;" ("&amp;L303&amp;")",""),IF(AND(M303&lt;&gt;"",OR(N303="Optional",N303="If Applicable",N303="To Verify")),"• "&amp;M303&amp;" ("&amp;N303&amp;")",""),IF(AND(O303&lt;&gt;"",OR(P303="Optional",P303="If Applicable",P303="To Verify")),"• "&amp;O303&amp;" ("&amp;P303&amp;")",""),IF(AND(Q303&lt;&gt;"",OR(R303="Optional",R303="If Applicable",R303="To Verify")),"• "&amp;Q303&amp;" ("&amp;R303&amp;")",""))</f>
        <v/>
      </c>
    </row>
    <row r="304" customFormat="false" ht="15" hidden="false" customHeight="false" outlineLevel="0" collapsed="false">
      <c r="A304" s="6"/>
      <c r="B304" s="7" t="str">
        <f aca="false">IF($A304="","",IFERROR(INDEX(MASTER_DATABASE!$E$4:$E$1000,MATCH($A304,MASTER_DATABASE!$A$4:$A$1000,0)),""))</f>
        <v/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7" t="str">
        <f aca="false">_xlfn.TEXTJOIN(CHAR(10),TRUE(),IF(AND(C304&lt;&gt;"",D304="Mandatory"),"✓ "&amp;C304,""),IF(AND(E304&lt;&gt;"",F304="Mandatory"),"✓ "&amp;E304,""),IF(AND(G304&lt;&gt;"",H304="Mandatory"),"✓ "&amp;G304,""),IF(AND(I304&lt;&gt;"",J304="Mandatory"),"✓ "&amp;I304,""),IF(AND(K304&lt;&gt;"",L304="Mandatory"),"✓ "&amp;K304,""),IF(AND(M304&lt;&gt;"",N304="Mandatory"),"✓ "&amp;M304,""),IF(AND(O304&lt;&gt;"",P304="Mandatory"),"✓ "&amp;O304,""),IF(AND(Q304&lt;&gt;"",R304="Mandatory"),"✓ "&amp;Q304,""))</f>
        <v/>
      </c>
      <c r="T304" s="7" t="str">
        <f aca="false">_xlfn.TEXTJOIN(CHAR(10),TRUE(),IF(AND(C304&lt;&gt;"",OR(D304="Optional",D304="If Applicable",D304="To Verify")),"• "&amp;C304&amp;" ("&amp;D304&amp;")",""),IF(AND(E304&lt;&gt;"",OR(F304="Optional",F304="If Applicable",F304="To Verify")),"• "&amp;E304&amp;" ("&amp;F304&amp;")",""),IF(AND(G304&lt;&gt;"",OR(H304="Optional",H304="If Applicable",H304="To Verify")),"• "&amp;G304&amp;" ("&amp;H304&amp;")",""),IF(AND(I304&lt;&gt;"",OR(J304="Optional",J304="If Applicable",J304="To Verify")),"• "&amp;I304&amp;" ("&amp;J304&amp;")",""),IF(AND(K304&lt;&gt;"",OR(L304="Optional",L304="If Applicable",L304="To Verify")),"• "&amp;K304&amp;" ("&amp;L304&amp;")",""),IF(AND(M304&lt;&gt;"",OR(N304="Optional",N304="If Applicable",N304="To Verify")),"• "&amp;M304&amp;" ("&amp;N304&amp;")",""),IF(AND(O304&lt;&gt;"",OR(P304="Optional",P304="If Applicable",P304="To Verify")),"• "&amp;O304&amp;" ("&amp;P304&amp;")",""),IF(AND(Q304&lt;&gt;"",OR(R304="Optional",R304="If Applicable",R304="To Verify")),"• "&amp;Q304&amp;" ("&amp;R304&amp;")",""))</f>
        <v/>
      </c>
    </row>
    <row r="305" customFormat="false" ht="15" hidden="false" customHeight="false" outlineLevel="0" collapsed="false">
      <c r="A305" s="6"/>
      <c r="B305" s="7" t="str">
        <f aca="false">IF($A305="","",IFERROR(INDEX(MASTER_DATABASE!$E$4:$E$1000,MATCH($A305,MASTER_DATABASE!$A$4:$A$1000,0)),""))</f>
        <v/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7" t="str">
        <f aca="false">_xlfn.TEXTJOIN(CHAR(10),TRUE(),IF(AND(C305&lt;&gt;"",D305="Mandatory"),"✓ "&amp;C305,""),IF(AND(E305&lt;&gt;"",F305="Mandatory"),"✓ "&amp;E305,""),IF(AND(G305&lt;&gt;"",H305="Mandatory"),"✓ "&amp;G305,""),IF(AND(I305&lt;&gt;"",J305="Mandatory"),"✓ "&amp;I305,""),IF(AND(K305&lt;&gt;"",L305="Mandatory"),"✓ "&amp;K305,""),IF(AND(M305&lt;&gt;"",N305="Mandatory"),"✓ "&amp;M305,""),IF(AND(O305&lt;&gt;"",P305="Mandatory"),"✓ "&amp;O305,""),IF(AND(Q305&lt;&gt;"",R305="Mandatory"),"✓ "&amp;Q305,""))</f>
        <v/>
      </c>
      <c r="T305" s="7" t="str">
        <f aca="false">_xlfn.TEXTJOIN(CHAR(10),TRUE(),IF(AND(C305&lt;&gt;"",OR(D305="Optional",D305="If Applicable",D305="To Verify")),"• "&amp;C305&amp;" ("&amp;D305&amp;")",""),IF(AND(E305&lt;&gt;"",OR(F305="Optional",F305="If Applicable",F305="To Verify")),"• "&amp;E305&amp;" ("&amp;F305&amp;")",""),IF(AND(G305&lt;&gt;"",OR(H305="Optional",H305="If Applicable",H305="To Verify")),"• "&amp;G305&amp;" ("&amp;H305&amp;")",""),IF(AND(I305&lt;&gt;"",OR(J305="Optional",J305="If Applicable",J305="To Verify")),"• "&amp;I305&amp;" ("&amp;J305&amp;")",""),IF(AND(K305&lt;&gt;"",OR(L305="Optional",L305="If Applicable",L305="To Verify")),"• "&amp;K305&amp;" ("&amp;L305&amp;")",""),IF(AND(M305&lt;&gt;"",OR(N305="Optional",N305="If Applicable",N305="To Verify")),"• "&amp;M305&amp;" ("&amp;N305&amp;")",""),IF(AND(O305&lt;&gt;"",OR(P305="Optional",P305="If Applicable",P305="To Verify")),"• "&amp;O305&amp;" ("&amp;P305&amp;")",""),IF(AND(Q305&lt;&gt;"",OR(R305="Optional",R305="If Applicable",R305="To Verify")),"• "&amp;Q305&amp;" ("&amp;R305&amp;")",""))</f>
        <v/>
      </c>
    </row>
    <row r="306" customFormat="false" ht="15" hidden="false" customHeight="false" outlineLevel="0" collapsed="false">
      <c r="A306" s="6"/>
      <c r="B306" s="7" t="str">
        <f aca="false">IF($A306="","",IFERROR(INDEX(MASTER_DATABASE!$E$4:$E$1000,MATCH($A306,MASTER_DATABASE!$A$4:$A$1000,0)),""))</f>
        <v/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7" t="str">
        <f aca="false">_xlfn.TEXTJOIN(CHAR(10),TRUE(),IF(AND(C306&lt;&gt;"",D306="Mandatory"),"✓ "&amp;C306,""),IF(AND(E306&lt;&gt;"",F306="Mandatory"),"✓ "&amp;E306,""),IF(AND(G306&lt;&gt;"",H306="Mandatory"),"✓ "&amp;G306,""),IF(AND(I306&lt;&gt;"",J306="Mandatory"),"✓ "&amp;I306,""),IF(AND(K306&lt;&gt;"",L306="Mandatory"),"✓ "&amp;K306,""),IF(AND(M306&lt;&gt;"",N306="Mandatory"),"✓ "&amp;M306,""),IF(AND(O306&lt;&gt;"",P306="Mandatory"),"✓ "&amp;O306,""),IF(AND(Q306&lt;&gt;"",R306="Mandatory"),"✓ "&amp;Q306,""))</f>
        <v/>
      </c>
      <c r="T306" s="7" t="str">
        <f aca="false">_xlfn.TEXTJOIN(CHAR(10),TRUE(),IF(AND(C306&lt;&gt;"",OR(D306="Optional",D306="If Applicable",D306="To Verify")),"• "&amp;C306&amp;" ("&amp;D306&amp;")",""),IF(AND(E306&lt;&gt;"",OR(F306="Optional",F306="If Applicable",F306="To Verify")),"• "&amp;E306&amp;" ("&amp;F306&amp;")",""),IF(AND(G306&lt;&gt;"",OR(H306="Optional",H306="If Applicable",H306="To Verify")),"• "&amp;G306&amp;" ("&amp;H306&amp;")",""),IF(AND(I306&lt;&gt;"",OR(J306="Optional",J306="If Applicable",J306="To Verify")),"• "&amp;I306&amp;" ("&amp;J306&amp;")",""),IF(AND(K306&lt;&gt;"",OR(L306="Optional",L306="If Applicable",L306="To Verify")),"• "&amp;K306&amp;" ("&amp;L306&amp;")",""),IF(AND(M306&lt;&gt;"",OR(N306="Optional",N306="If Applicable",N306="To Verify")),"• "&amp;M306&amp;" ("&amp;N306&amp;")",""),IF(AND(O306&lt;&gt;"",OR(P306="Optional",P306="If Applicable",P306="To Verify")),"• "&amp;O306&amp;" ("&amp;P306&amp;")",""),IF(AND(Q306&lt;&gt;"",OR(R306="Optional",R306="If Applicable",R306="To Verify")),"• "&amp;Q306&amp;" ("&amp;R306&amp;")",""))</f>
        <v/>
      </c>
    </row>
    <row r="307" customFormat="false" ht="15" hidden="false" customHeight="false" outlineLevel="0" collapsed="false">
      <c r="A307" s="6"/>
      <c r="B307" s="7" t="str">
        <f aca="false">IF($A307="","",IFERROR(INDEX(MASTER_DATABASE!$E$4:$E$1000,MATCH($A307,MASTER_DATABASE!$A$4:$A$1000,0)),""))</f>
        <v/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7" t="str">
        <f aca="false">_xlfn.TEXTJOIN(CHAR(10),TRUE(),IF(AND(C307&lt;&gt;"",D307="Mandatory"),"✓ "&amp;C307,""),IF(AND(E307&lt;&gt;"",F307="Mandatory"),"✓ "&amp;E307,""),IF(AND(G307&lt;&gt;"",H307="Mandatory"),"✓ "&amp;G307,""),IF(AND(I307&lt;&gt;"",J307="Mandatory"),"✓ "&amp;I307,""),IF(AND(K307&lt;&gt;"",L307="Mandatory"),"✓ "&amp;K307,""),IF(AND(M307&lt;&gt;"",N307="Mandatory"),"✓ "&amp;M307,""),IF(AND(O307&lt;&gt;"",P307="Mandatory"),"✓ "&amp;O307,""),IF(AND(Q307&lt;&gt;"",R307="Mandatory"),"✓ "&amp;Q307,""))</f>
        <v/>
      </c>
      <c r="T307" s="7" t="str">
        <f aca="false">_xlfn.TEXTJOIN(CHAR(10),TRUE(),IF(AND(C307&lt;&gt;"",OR(D307="Optional",D307="If Applicable",D307="To Verify")),"• "&amp;C307&amp;" ("&amp;D307&amp;")",""),IF(AND(E307&lt;&gt;"",OR(F307="Optional",F307="If Applicable",F307="To Verify")),"• "&amp;E307&amp;" ("&amp;F307&amp;")",""),IF(AND(G307&lt;&gt;"",OR(H307="Optional",H307="If Applicable",H307="To Verify")),"• "&amp;G307&amp;" ("&amp;H307&amp;")",""),IF(AND(I307&lt;&gt;"",OR(J307="Optional",J307="If Applicable",J307="To Verify")),"• "&amp;I307&amp;" ("&amp;J307&amp;")",""),IF(AND(K307&lt;&gt;"",OR(L307="Optional",L307="If Applicable",L307="To Verify")),"• "&amp;K307&amp;" ("&amp;L307&amp;")",""),IF(AND(M307&lt;&gt;"",OR(N307="Optional",N307="If Applicable",N307="To Verify")),"• "&amp;M307&amp;" ("&amp;N307&amp;")",""),IF(AND(O307&lt;&gt;"",OR(P307="Optional",P307="If Applicable",P307="To Verify")),"• "&amp;O307&amp;" ("&amp;P307&amp;")",""),IF(AND(Q307&lt;&gt;"",OR(R307="Optional",R307="If Applicable",R307="To Verify")),"• "&amp;Q307&amp;" ("&amp;R307&amp;")",""))</f>
        <v/>
      </c>
    </row>
    <row r="308" customFormat="false" ht="15" hidden="false" customHeight="false" outlineLevel="0" collapsed="false">
      <c r="A308" s="6"/>
      <c r="B308" s="7" t="str">
        <f aca="false">IF($A308="","",IFERROR(INDEX(MASTER_DATABASE!$E$4:$E$1000,MATCH($A308,MASTER_DATABASE!$A$4:$A$1000,0)),""))</f>
        <v/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7" t="str">
        <f aca="false">_xlfn.TEXTJOIN(CHAR(10),TRUE(),IF(AND(C308&lt;&gt;"",D308="Mandatory"),"✓ "&amp;C308,""),IF(AND(E308&lt;&gt;"",F308="Mandatory"),"✓ "&amp;E308,""),IF(AND(G308&lt;&gt;"",H308="Mandatory"),"✓ "&amp;G308,""),IF(AND(I308&lt;&gt;"",J308="Mandatory"),"✓ "&amp;I308,""),IF(AND(K308&lt;&gt;"",L308="Mandatory"),"✓ "&amp;K308,""),IF(AND(M308&lt;&gt;"",N308="Mandatory"),"✓ "&amp;M308,""),IF(AND(O308&lt;&gt;"",P308="Mandatory"),"✓ "&amp;O308,""),IF(AND(Q308&lt;&gt;"",R308="Mandatory"),"✓ "&amp;Q308,""))</f>
        <v/>
      </c>
      <c r="T308" s="7" t="str">
        <f aca="false">_xlfn.TEXTJOIN(CHAR(10),TRUE(),IF(AND(C308&lt;&gt;"",OR(D308="Optional",D308="If Applicable",D308="To Verify")),"• "&amp;C308&amp;" ("&amp;D308&amp;")",""),IF(AND(E308&lt;&gt;"",OR(F308="Optional",F308="If Applicable",F308="To Verify")),"• "&amp;E308&amp;" ("&amp;F308&amp;")",""),IF(AND(G308&lt;&gt;"",OR(H308="Optional",H308="If Applicable",H308="To Verify")),"• "&amp;G308&amp;" ("&amp;H308&amp;")",""),IF(AND(I308&lt;&gt;"",OR(J308="Optional",J308="If Applicable",J308="To Verify")),"• "&amp;I308&amp;" ("&amp;J308&amp;")",""),IF(AND(K308&lt;&gt;"",OR(L308="Optional",L308="If Applicable",L308="To Verify")),"• "&amp;K308&amp;" ("&amp;L308&amp;")",""),IF(AND(M308&lt;&gt;"",OR(N308="Optional",N308="If Applicable",N308="To Verify")),"• "&amp;M308&amp;" ("&amp;N308&amp;")",""),IF(AND(O308&lt;&gt;"",OR(P308="Optional",P308="If Applicable",P308="To Verify")),"• "&amp;O308&amp;" ("&amp;P308&amp;")",""),IF(AND(Q308&lt;&gt;"",OR(R308="Optional",R308="If Applicable",R308="To Verify")),"• "&amp;Q308&amp;" ("&amp;R308&amp;")",""))</f>
        <v/>
      </c>
    </row>
    <row r="309" customFormat="false" ht="15" hidden="false" customHeight="false" outlineLevel="0" collapsed="false">
      <c r="A309" s="6"/>
      <c r="B309" s="7" t="str">
        <f aca="false">IF($A309="","",IFERROR(INDEX(MASTER_DATABASE!$E$4:$E$1000,MATCH($A309,MASTER_DATABASE!$A$4:$A$1000,0)),""))</f>
        <v/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7" t="str">
        <f aca="false">_xlfn.TEXTJOIN(CHAR(10),TRUE(),IF(AND(C309&lt;&gt;"",D309="Mandatory"),"✓ "&amp;C309,""),IF(AND(E309&lt;&gt;"",F309="Mandatory"),"✓ "&amp;E309,""),IF(AND(G309&lt;&gt;"",H309="Mandatory"),"✓ "&amp;G309,""),IF(AND(I309&lt;&gt;"",J309="Mandatory"),"✓ "&amp;I309,""),IF(AND(K309&lt;&gt;"",L309="Mandatory"),"✓ "&amp;K309,""),IF(AND(M309&lt;&gt;"",N309="Mandatory"),"✓ "&amp;M309,""),IF(AND(O309&lt;&gt;"",P309="Mandatory"),"✓ "&amp;O309,""),IF(AND(Q309&lt;&gt;"",R309="Mandatory"),"✓ "&amp;Q309,""))</f>
        <v/>
      </c>
      <c r="T309" s="7" t="str">
        <f aca="false">_xlfn.TEXTJOIN(CHAR(10),TRUE(),IF(AND(C309&lt;&gt;"",OR(D309="Optional",D309="If Applicable",D309="To Verify")),"• "&amp;C309&amp;" ("&amp;D309&amp;")",""),IF(AND(E309&lt;&gt;"",OR(F309="Optional",F309="If Applicable",F309="To Verify")),"• "&amp;E309&amp;" ("&amp;F309&amp;")",""),IF(AND(G309&lt;&gt;"",OR(H309="Optional",H309="If Applicable",H309="To Verify")),"• "&amp;G309&amp;" ("&amp;H309&amp;")",""),IF(AND(I309&lt;&gt;"",OR(J309="Optional",J309="If Applicable",J309="To Verify")),"• "&amp;I309&amp;" ("&amp;J309&amp;")",""),IF(AND(K309&lt;&gt;"",OR(L309="Optional",L309="If Applicable",L309="To Verify")),"• "&amp;K309&amp;" ("&amp;L309&amp;")",""),IF(AND(M309&lt;&gt;"",OR(N309="Optional",N309="If Applicable",N309="To Verify")),"• "&amp;M309&amp;" ("&amp;N309&amp;")",""),IF(AND(O309&lt;&gt;"",OR(P309="Optional",P309="If Applicable",P309="To Verify")),"• "&amp;O309&amp;" ("&amp;P309&amp;")",""),IF(AND(Q309&lt;&gt;"",OR(R309="Optional",R309="If Applicable",R309="To Verify")),"• "&amp;Q309&amp;" ("&amp;R309&amp;")",""))</f>
        <v/>
      </c>
    </row>
    <row r="310" customFormat="false" ht="15" hidden="false" customHeight="false" outlineLevel="0" collapsed="false">
      <c r="A310" s="6"/>
      <c r="B310" s="7" t="str">
        <f aca="false">IF($A310="","",IFERROR(INDEX(MASTER_DATABASE!$E$4:$E$1000,MATCH($A310,MASTER_DATABASE!$A$4:$A$1000,0)),""))</f>
        <v/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7" t="str">
        <f aca="false">_xlfn.TEXTJOIN(CHAR(10),TRUE(),IF(AND(C310&lt;&gt;"",D310="Mandatory"),"✓ "&amp;C310,""),IF(AND(E310&lt;&gt;"",F310="Mandatory"),"✓ "&amp;E310,""),IF(AND(G310&lt;&gt;"",H310="Mandatory"),"✓ "&amp;G310,""),IF(AND(I310&lt;&gt;"",J310="Mandatory"),"✓ "&amp;I310,""),IF(AND(K310&lt;&gt;"",L310="Mandatory"),"✓ "&amp;K310,""),IF(AND(M310&lt;&gt;"",N310="Mandatory"),"✓ "&amp;M310,""),IF(AND(O310&lt;&gt;"",P310="Mandatory"),"✓ "&amp;O310,""),IF(AND(Q310&lt;&gt;"",R310="Mandatory"),"✓ "&amp;Q310,""))</f>
        <v/>
      </c>
      <c r="T310" s="7" t="str">
        <f aca="false">_xlfn.TEXTJOIN(CHAR(10),TRUE(),IF(AND(C310&lt;&gt;"",OR(D310="Optional",D310="If Applicable",D310="To Verify")),"• "&amp;C310&amp;" ("&amp;D310&amp;")",""),IF(AND(E310&lt;&gt;"",OR(F310="Optional",F310="If Applicable",F310="To Verify")),"• "&amp;E310&amp;" ("&amp;F310&amp;")",""),IF(AND(G310&lt;&gt;"",OR(H310="Optional",H310="If Applicable",H310="To Verify")),"• "&amp;G310&amp;" ("&amp;H310&amp;")",""),IF(AND(I310&lt;&gt;"",OR(J310="Optional",J310="If Applicable",J310="To Verify")),"• "&amp;I310&amp;" ("&amp;J310&amp;")",""),IF(AND(K310&lt;&gt;"",OR(L310="Optional",L310="If Applicable",L310="To Verify")),"• "&amp;K310&amp;" ("&amp;L310&amp;")",""),IF(AND(M310&lt;&gt;"",OR(N310="Optional",N310="If Applicable",N310="To Verify")),"• "&amp;M310&amp;" ("&amp;N310&amp;")",""),IF(AND(O310&lt;&gt;"",OR(P310="Optional",P310="If Applicable",P310="To Verify")),"• "&amp;O310&amp;" ("&amp;P310&amp;")",""),IF(AND(Q310&lt;&gt;"",OR(R310="Optional",R310="If Applicable",R310="To Verify")),"• "&amp;Q310&amp;" ("&amp;R310&amp;")",""))</f>
        <v/>
      </c>
    </row>
    <row r="311" customFormat="false" ht="15" hidden="false" customHeight="false" outlineLevel="0" collapsed="false">
      <c r="A311" s="6"/>
      <c r="B311" s="7" t="str">
        <f aca="false">IF($A311="","",IFERROR(INDEX(MASTER_DATABASE!$E$4:$E$1000,MATCH($A311,MASTER_DATABASE!$A$4:$A$1000,0)),""))</f>
        <v/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7" t="str">
        <f aca="false">_xlfn.TEXTJOIN(CHAR(10),TRUE(),IF(AND(C311&lt;&gt;"",D311="Mandatory"),"✓ "&amp;C311,""),IF(AND(E311&lt;&gt;"",F311="Mandatory"),"✓ "&amp;E311,""),IF(AND(G311&lt;&gt;"",H311="Mandatory"),"✓ "&amp;G311,""),IF(AND(I311&lt;&gt;"",J311="Mandatory"),"✓ "&amp;I311,""),IF(AND(K311&lt;&gt;"",L311="Mandatory"),"✓ "&amp;K311,""),IF(AND(M311&lt;&gt;"",N311="Mandatory"),"✓ "&amp;M311,""),IF(AND(O311&lt;&gt;"",P311="Mandatory"),"✓ "&amp;O311,""),IF(AND(Q311&lt;&gt;"",R311="Mandatory"),"✓ "&amp;Q311,""))</f>
        <v/>
      </c>
      <c r="T311" s="7" t="str">
        <f aca="false">_xlfn.TEXTJOIN(CHAR(10),TRUE(),IF(AND(C311&lt;&gt;"",OR(D311="Optional",D311="If Applicable",D311="To Verify")),"• "&amp;C311&amp;" ("&amp;D311&amp;")",""),IF(AND(E311&lt;&gt;"",OR(F311="Optional",F311="If Applicable",F311="To Verify")),"• "&amp;E311&amp;" ("&amp;F311&amp;")",""),IF(AND(G311&lt;&gt;"",OR(H311="Optional",H311="If Applicable",H311="To Verify")),"• "&amp;G311&amp;" ("&amp;H311&amp;")",""),IF(AND(I311&lt;&gt;"",OR(J311="Optional",J311="If Applicable",J311="To Verify")),"• "&amp;I311&amp;" ("&amp;J311&amp;")",""),IF(AND(K311&lt;&gt;"",OR(L311="Optional",L311="If Applicable",L311="To Verify")),"• "&amp;K311&amp;" ("&amp;L311&amp;")",""),IF(AND(M311&lt;&gt;"",OR(N311="Optional",N311="If Applicable",N311="To Verify")),"• "&amp;M311&amp;" ("&amp;N311&amp;")",""),IF(AND(O311&lt;&gt;"",OR(P311="Optional",P311="If Applicable",P311="To Verify")),"• "&amp;O311&amp;" ("&amp;P311&amp;")",""),IF(AND(Q311&lt;&gt;"",OR(R311="Optional",R311="If Applicable",R311="To Verify")),"• "&amp;Q311&amp;" ("&amp;R311&amp;")",""))</f>
        <v/>
      </c>
    </row>
    <row r="312" customFormat="false" ht="15" hidden="false" customHeight="false" outlineLevel="0" collapsed="false">
      <c r="A312" s="6"/>
      <c r="B312" s="7" t="str">
        <f aca="false">IF($A312="","",IFERROR(INDEX(MASTER_DATABASE!$E$4:$E$1000,MATCH($A312,MASTER_DATABASE!$A$4:$A$1000,0)),""))</f>
        <v/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7" t="str">
        <f aca="false">_xlfn.TEXTJOIN(CHAR(10),TRUE(),IF(AND(C312&lt;&gt;"",D312="Mandatory"),"✓ "&amp;C312,""),IF(AND(E312&lt;&gt;"",F312="Mandatory"),"✓ "&amp;E312,""),IF(AND(G312&lt;&gt;"",H312="Mandatory"),"✓ "&amp;G312,""),IF(AND(I312&lt;&gt;"",J312="Mandatory"),"✓ "&amp;I312,""),IF(AND(K312&lt;&gt;"",L312="Mandatory"),"✓ "&amp;K312,""),IF(AND(M312&lt;&gt;"",N312="Mandatory"),"✓ "&amp;M312,""),IF(AND(O312&lt;&gt;"",P312="Mandatory"),"✓ "&amp;O312,""),IF(AND(Q312&lt;&gt;"",R312="Mandatory"),"✓ "&amp;Q312,""))</f>
        <v/>
      </c>
      <c r="T312" s="7" t="str">
        <f aca="false">_xlfn.TEXTJOIN(CHAR(10),TRUE(),IF(AND(C312&lt;&gt;"",OR(D312="Optional",D312="If Applicable",D312="To Verify")),"• "&amp;C312&amp;" ("&amp;D312&amp;")",""),IF(AND(E312&lt;&gt;"",OR(F312="Optional",F312="If Applicable",F312="To Verify")),"• "&amp;E312&amp;" ("&amp;F312&amp;")",""),IF(AND(G312&lt;&gt;"",OR(H312="Optional",H312="If Applicable",H312="To Verify")),"• "&amp;G312&amp;" ("&amp;H312&amp;")",""),IF(AND(I312&lt;&gt;"",OR(J312="Optional",J312="If Applicable",J312="To Verify")),"• "&amp;I312&amp;" ("&amp;J312&amp;")",""),IF(AND(K312&lt;&gt;"",OR(L312="Optional",L312="If Applicable",L312="To Verify")),"• "&amp;K312&amp;" ("&amp;L312&amp;")",""),IF(AND(M312&lt;&gt;"",OR(N312="Optional",N312="If Applicable",N312="To Verify")),"• "&amp;M312&amp;" ("&amp;N312&amp;")",""),IF(AND(O312&lt;&gt;"",OR(P312="Optional",P312="If Applicable",P312="To Verify")),"• "&amp;O312&amp;" ("&amp;P312&amp;")",""),IF(AND(Q312&lt;&gt;"",OR(R312="Optional",R312="If Applicable",R312="To Verify")),"• "&amp;Q312&amp;" ("&amp;R312&amp;")",""))</f>
        <v/>
      </c>
    </row>
    <row r="313" customFormat="false" ht="15" hidden="false" customHeight="false" outlineLevel="0" collapsed="false">
      <c r="A313" s="6"/>
      <c r="B313" s="7" t="str">
        <f aca="false">IF($A313="","",IFERROR(INDEX(MASTER_DATABASE!$E$4:$E$1000,MATCH($A313,MASTER_DATABASE!$A$4:$A$1000,0)),""))</f>
        <v/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7" t="str">
        <f aca="false">_xlfn.TEXTJOIN(CHAR(10),TRUE(),IF(AND(C313&lt;&gt;"",D313="Mandatory"),"✓ "&amp;C313,""),IF(AND(E313&lt;&gt;"",F313="Mandatory"),"✓ "&amp;E313,""),IF(AND(G313&lt;&gt;"",H313="Mandatory"),"✓ "&amp;G313,""),IF(AND(I313&lt;&gt;"",J313="Mandatory"),"✓ "&amp;I313,""),IF(AND(K313&lt;&gt;"",L313="Mandatory"),"✓ "&amp;K313,""),IF(AND(M313&lt;&gt;"",N313="Mandatory"),"✓ "&amp;M313,""),IF(AND(O313&lt;&gt;"",P313="Mandatory"),"✓ "&amp;O313,""),IF(AND(Q313&lt;&gt;"",R313="Mandatory"),"✓ "&amp;Q313,""))</f>
        <v/>
      </c>
      <c r="T313" s="7" t="str">
        <f aca="false">_xlfn.TEXTJOIN(CHAR(10),TRUE(),IF(AND(C313&lt;&gt;"",OR(D313="Optional",D313="If Applicable",D313="To Verify")),"• "&amp;C313&amp;" ("&amp;D313&amp;")",""),IF(AND(E313&lt;&gt;"",OR(F313="Optional",F313="If Applicable",F313="To Verify")),"• "&amp;E313&amp;" ("&amp;F313&amp;")",""),IF(AND(G313&lt;&gt;"",OR(H313="Optional",H313="If Applicable",H313="To Verify")),"• "&amp;G313&amp;" ("&amp;H313&amp;")",""),IF(AND(I313&lt;&gt;"",OR(J313="Optional",J313="If Applicable",J313="To Verify")),"• "&amp;I313&amp;" ("&amp;J313&amp;")",""),IF(AND(K313&lt;&gt;"",OR(L313="Optional",L313="If Applicable",L313="To Verify")),"• "&amp;K313&amp;" ("&amp;L313&amp;")",""),IF(AND(M313&lt;&gt;"",OR(N313="Optional",N313="If Applicable",N313="To Verify")),"• "&amp;M313&amp;" ("&amp;N313&amp;")",""),IF(AND(O313&lt;&gt;"",OR(P313="Optional",P313="If Applicable",P313="To Verify")),"• "&amp;O313&amp;" ("&amp;P313&amp;")",""),IF(AND(Q313&lt;&gt;"",OR(R313="Optional",R313="If Applicable",R313="To Verify")),"• "&amp;Q313&amp;" ("&amp;R313&amp;")",""))</f>
        <v/>
      </c>
    </row>
    <row r="314" customFormat="false" ht="15" hidden="false" customHeight="false" outlineLevel="0" collapsed="false">
      <c r="A314" s="6"/>
      <c r="B314" s="7" t="str">
        <f aca="false">IF($A314="","",IFERROR(INDEX(MASTER_DATABASE!$E$4:$E$1000,MATCH($A314,MASTER_DATABASE!$A$4:$A$1000,0)),""))</f>
        <v/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7" t="str">
        <f aca="false">_xlfn.TEXTJOIN(CHAR(10),TRUE(),IF(AND(C314&lt;&gt;"",D314="Mandatory"),"✓ "&amp;C314,""),IF(AND(E314&lt;&gt;"",F314="Mandatory"),"✓ "&amp;E314,""),IF(AND(G314&lt;&gt;"",H314="Mandatory"),"✓ "&amp;G314,""),IF(AND(I314&lt;&gt;"",J314="Mandatory"),"✓ "&amp;I314,""),IF(AND(K314&lt;&gt;"",L314="Mandatory"),"✓ "&amp;K314,""),IF(AND(M314&lt;&gt;"",N314="Mandatory"),"✓ "&amp;M314,""),IF(AND(O314&lt;&gt;"",P314="Mandatory"),"✓ "&amp;O314,""),IF(AND(Q314&lt;&gt;"",R314="Mandatory"),"✓ "&amp;Q314,""))</f>
        <v/>
      </c>
      <c r="T314" s="7" t="str">
        <f aca="false">_xlfn.TEXTJOIN(CHAR(10),TRUE(),IF(AND(C314&lt;&gt;"",OR(D314="Optional",D314="If Applicable",D314="To Verify")),"• "&amp;C314&amp;" ("&amp;D314&amp;")",""),IF(AND(E314&lt;&gt;"",OR(F314="Optional",F314="If Applicable",F314="To Verify")),"• "&amp;E314&amp;" ("&amp;F314&amp;")",""),IF(AND(G314&lt;&gt;"",OR(H314="Optional",H314="If Applicable",H314="To Verify")),"• "&amp;G314&amp;" ("&amp;H314&amp;")",""),IF(AND(I314&lt;&gt;"",OR(J314="Optional",J314="If Applicable",J314="To Verify")),"• "&amp;I314&amp;" ("&amp;J314&amp;")",""),IF(AND(K314&lt;&gt;"",OR(L314="Optional",L314="If Applicable",L314="To Verify")),"• "&amp;K314&amp;" ("&amp;L314&amp;")",""),IF(AND(M314&lt;&gt;"",OR(N314="Optional",N314="If Applicable",N314="To Verify")),"• "&amp;M314&amp;" ("&amp;N314&amp;")",""),IF(AND(O314&lt;&gt;"",OR(P314="Optional",P314="If Applicable",P314="To Verify")),"• "&amp;O314&amp;" ("&amp;P314&amp;")",""),IF(AND(Q314&lt;&gt;"",OR(R314="Optional",R314="If Applicable",R314="To Verify")),"• "&amp;Q314&amp;" ("&amp;R314&amp;")",""))</f>
        <v/>
      </c>
    </row>
    <row r="315" customFormat="false" ht="15" hidden="false" customHeight="false" outlineLevel="0" collapsed="false">
      <c r="A315" s="6"/>
      <c r="B315" s="7" t="str">
        <f aca="false">IF($A315="","",IFERROR(INDEX(MASTER_DATABASE!$E$4:$E$1000,MATCH($A315,MASTER_DATABASE!$A$4:$A$1000,0)),""))</f>
        <v/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7" t="str">
        <f aca="false">_xlfn.TEXTJOIN(CHAR(10),TRUE(),IF(AND(C315&lt;&gt;"",D315="Mandatory"),"✓ "&amp;C315,""),IF(AND(E315&lt;&gt;"",F315="Mandatory"),"✓ "&amp;E315,""),IF(AND(G315&lt;&gt;"",H315="Mandatory"),"✓ "&amp;G315,""),IF(AND(I315&lt;&gt;"",J315="Mandatory"),"✓ "&amp;I315,""),IF(AND(K315&lt;&gt;"",L315="Mandatory"),"✓ "&amp;K315,""),IF(AND(M315&lt;&gt;"",N315="Mandatory"),"✓ "&amp;M315,""),IF(AND(O315&lt;&gt;"",P315="Mandatory"),"✓ "&amp;O315,""),IF(AND(Q315&lt;&gt;"",R315="Mandatory"),"✓ "&amp;Q315,""))</f>
        <v/>
      </c>
      <c r="T315" s="7" t="str">
        <f aca="false">_xlfn.TEXTJOIN(CHAR(10),TRUE(),IF(AND(C315&lt;&gt;"",OR(D315="Optional",D315="If Applicable",D315="To Verify")),"• "&amp;C315&amp;" ("&amp;D315&amp;")",""),IF(AND(E315&lt;&gt;"",OR(F315="Optional",F315="If Applicable",F315="To Verify")),"• "&amp;E315&amp;" ("&amp;F315&amp;")",""),IF(AND(G315&lt;&gt;"",OR(H315="Optional",H315="If Applicable",H315="To Verify")),"• "&amp;G315&amp;" ("&amp;H315&amp;")",""),IF(AND(I315&lt;&gt;"",OR(J315="Optional",J315="If Applicable",J315="To Verify")),"• "&amp;I315&amp;" ("&amp;J315&amp;")",""),IF(AND(K315&lt;&gt;"",OR(L315="Optional",L315="If Applicable",L315="To Verify")),"• "&amp;K315&amp;" ("&amp;L315&amp;")",""),IF(AND(M315&lt;&gt;"",OR(N315="Optional",N315="If Applicable",N315="To Verify")),"• "&amp;M315&amp;" ("&amp;N315&amp;")",""),IF(AND(O315&lt;&gt;"",OR(P315="Optional",P315="If Applicable",P315="To Verify")),"• "&amp;O315&amp;" ("&amp;P315&amp;")",""),IF(AND(Q315&lt;&gt;"",OR(R315="Optional",R315="If Applicable",R315="To Verify")),"• "&amp;Q315&amp;" ("&amp;R315&amp;")",""))</f>
        <v/>
      </c>
    </row>
    <row r="316" customFormat="false" ht="15" hidden="false" customHeight="false" outlineLevel="0" collapsed="false">
      <c r="A316" s="6"/>
      <c r="B316" s="7" t="str">
        <f aca="false">IF($A316="","",IFERROR(INDEX(MASTER_DATABASE!$E$4:$E$1000,MATCH($A316,MASTER_DATABASE!$A$4:$A$1000,0)),""))</f>
        <v/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7" t="str">
        <f aca="false">_xlfn.TEXTJOIN(CHAR(10),TRUE(),IF(AND(C316&lt;&gt;"",D316="Mandatory"),"✓ "&amp;C316,""),IF(AND(E316&lt;&gt;"",F316="Mandatory"),"✓ "&amp;E316,""),IF(AND(G316&lt;&gt;"",H316="Mandatory"),"✓ "&amp;G316,""),IF(AND(I316&lt;&gt;"",J316="Mandatory"),"✓ "&amp;I316,""),IF(AND(K316&lt;&gt;"",L316="Mandatory"),"✓ "&amp;K316,""),IF(AND(M316&lt;&gt;"",N316="Mandatory"),"✓ "&amp;M316,""),IF(AND(O316&lt;&gt;"",P316="Mandatory"),"✓ "&amp;O316,""),IF(AND(Q316&lt;&gt;"",R316="Mandatory"),"✓ "&amp;Q316,""))</f>
        <v/>
      </c>
      <c r="T316" s="7" t="str">
        <f aca="false">_xlfn.TEXTJOIN(CHAR(10),TRUE(),IF(AND(C316&lt;&gt;"",OR(D316="Optional",D316="If Applicable",D316="To Verify")),"• "&amp;C316&amp;" ("&amp;D316&amp;")",""),IF(AND(E316&lt;&gt;"",OR(F316="Optional",F316="If Applicable",F316="To Verify")),"• "&amp;E316&amp;" ("&amp;F316&amp;")",""),IF(AND(G316&lt;&gt;"",OR(H316="Optional",H316="If Applicable",H316="To Verify")),"• "&amp;G316&amp;" ("&amp;H316&amp;")",""),IF(AND(I316&lt;&gt;"",OR(J316="Optional",J316="If Applicable",J316="To Verify")),"• "&amp;I316&amp;" ("&amp;J316&amp;")",""),IF(AND(K316&lt;&gt;"",OR(L316="Optional",L316="If Applicable",L316="To Verify")),"• "&amp;K316&amp;" ("&amp;L316&amp;")",""),IF(AND(M316&lt;&gt;"",OR(N316="Optional",N316="If Applicable",N316="To Verify")),"• "&amp;M316&amp;" ("&amp;N316&amp;")",""),IF(AND(O316&lt;&gt;"",OR(P316="Optional",P316="If Applicable",P316="To Verify")),"• "&amp;O316&amp;" ("&amp;P316&amp;")",""),IF(AND(Q316&lt;&gt;"",OR(R316="Optional",R316="If Applicable",R316="To Verify")),"• "&amp;Q316&amp;" ("&amp;R316&amp;")",""))</f>
        <v/>
      </c>
    </row>
    <row r="317" customFormat="false" ht="15" hidden="false" customHeight="false" outlineLevel="0" collapsed="false">
      <c r="A317" s="6"/>
      <c r="B317" s="7" t="str">
        <f aca="false">IF($A317="","",IFERROR(INDEX(MASTER_DATABASE!$E$4:$E$1000,MATCH($A317,MASTER_DATABASE!$A$4:$A$1000,0)),""))</f>
        <v/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7" t="str">
        <f aca="false">_xlfn.TEXTJOIN(CHAR(10),TRUE(),IF(AND(C317&lt;&gt;"",D317="Mandatory"),"✓ "&amp;C317,""),IF(AND(E317&lt;&gt;"",F317="Mandatory"),"✓ "&amp;E317,""),IF(AND(G317&lt;&gt;"",H317="Mandatory"),"✓ "&amp;G317,""),IF(AND(I317&lt;&gt;"",J317="Mandatory"),"✓ "&amp;I317,""),IF(AND(K317&lt;&gt;"",L317="Mandatory"),"✓ "&amp;K317,""),IF(AND(M317&lt;&gt;"",N317="Mandatory"),"✓ "&amp;M317,""),IF(AND(O317&lt;&gt;"",P317="Mandatory"),"✓ "&amp;O317,""),IF(AND(Q317&lt;&gt;"",R317="Mandatory"),"✓ "&amp;Q317,""))</f>
        <v/>
      </c>
      <c r="T317" s="7" t="str">
        <f aca="false">_xlfn.TEXTJOIN(CHAR(10),TRUE(),IF(AND(C317&lt;&gt;"",OR(D317="Optional",D317="If Applicable",D317="To Verify")),"• "&amp;C317&amp;" ("&amp;D317&amp;")",""),IF(AND(E317&lt;&gt;"",OR(F317="Optional",F317="If Applicable",F317="To Verify")),"• "&amp;E317&amp;" ("&amp;F317&amp;")",""),IF(AND(G317&lt;&gt;"",OR(H317="Optional",H317="If Applicable",H317="To Verify")),"• "&amp;G317&amp;" ("&amp;H317&amp;")",""),IF(AND(I317&lt;&gt;"",OR(J317="Optional",J317="If Applicable",J317="To Verify")),"• "&amp;I317&amp;" ("&amp;J317&amp;")",""),IF(AND(K317&lt;&gt;"",OR(L317="Optional",L317="If Applicable",L317="To Verify")),"• "&amp;K317&amp;" ("&amp;L317&amp;")",""),IF(AND(M317&lt;&gt;"",OR(N317="Optional",N317="If Applicable",N317="To Verify")),"• "&amp;M317&amp;" ("&amp;N317&amp;")",""),IF(AND(O317&lt;&gt;"",OR(P317="Optional",P317="If Applicable",P317="To Verify")),"• "&amp;O317&amp;" ("&amp;P317&amp;")",""),IF(AND(Q317&lt;&gt;"",OR(R317="Optional",R317="If Applicable",R317="To Verify")),"• "&amp;Q317&amp;" ("&amp;R317&amp;")",""))</f>
        <v/>
      </c>
    </row>
    <row r="318" customFormat="false" ht="15" hidden="false" customHeight="false" outlineLevel="0" collapsed="false">
      <c r="A318" s="6"/>
      <c r="B318" s="7" t="str">
        <f aca="false">IF($A318="","",IFERROR(INDEX(MASTER_DATABASE!$E$4:$E$1000,MATCH($A318,MASTER_DATABASE!$A$4:$A$1000,0)),""))</f>
        <v/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7" t="str">
        <f aca="false">_xlfn.TEXTJOIN(CHAR(10),TRUE(),IF(AND(C318&lt;&gt;"",D318="Mandatory"),"✓ "&amp;C318,""),IF(AND(E318&lt;&gt;"",F318="Mandatory"),"✓ "&amp;E318,""),IF(AND(G318&lt;&gt;"",H318="Mandatory"),"✓ "&amp;G318,""),IF(AND(I318&lt;&gt;"",J318="Mandatory"),"✓ "&amp;I318,""),IF(AND(K318&lt;&gt;"",L318="Mandatory"),"✓ "&amp;K318,""),IF(AND(M318&lt;&gt;"",N318="Mandatory"),"✓ "&amp;M318,""),IF(AND(O318&lt;&gt;"",P318="Mandatory"),"✓ "&amp;O318,""),IF(AND(Q318&lt;&gt;"",R318="Mandatory"),"✓ "&amp;Q318,""))</f>
        <v/>
      </c>
      <c r="T318" s="7" t="str">
        <f aca="false">_xlfn.TEXTJOIN(CHAR(10),TRUE(),IF(AND(C318&lt;&gt;"",OR(D318="Optional",D318="If Applicable",D318="To Verify")),"• "&amp;C318&amp;" ("&amp;D318&amp;")",""),IF(AND(E318&lt;&gt;"",OR(F318="Optional",F318="If Applicable",F318="To Verify")),"• "&amp;E318&amp;" ("&amp;F318&amp;")",""),IF(AND(G318&lt;&gt;"",OR(H318="Optional",H318="If Applicable",H318="To Verify")),"• "&amp;G318&amp;" ("&amp;H318&amp;")",""),IF(AND(I318&lt;&gt;"",OR(J318="Optional",J318="If Applicable",J318="To Verify")),"• "&amp;I318&amp;" ("&amp;J318&amp;")",""),IF(AND(K318&lt;&gt;"",OR(L318="Optional",L318="If Applicable",L318="To Verify")),"• "&amp;K318&amp;" ("&amp;L318&amp;")",""),IF(AND(M318&lt;&gt;"",OR(N318="Optional",N318="If Applicable",N318="To Verify")),"• "&amp;M318&amp;" ("&amp;N318&amp;")",""),IF(AND(O318&lt;&gt;"",OR(P318="Optional",P318="If Applicable",P318="To Verify")),"• "&amp;O318&amp;" ("&amp;P318&amp;")",""),IF(AND(Q318&lt;&gt;"",OR(R318="Optional",R318="If Applicable",R318="To Verify")),"• "&amp;Q318&amp;" ("&amp;R318&amp;")",""))</f>
        <v/>
      </c>
    </row>
    <row r="319" customFormat="false" ht="15" hidden="false" customHeight="false" outlineLevel="0" collapsed="false">
      <c r="A319" s="6"/>
      <c r="B319" s="7" t="str">
        <f aca="false">IF($A319="","",IFERROR(INDEX(MASTER_DATABASE!$E$4:$E$1000,MATCH($A319,MASTER_DATABASE!$A$4:$A$1000,0)),""))</f>
        <v/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7" t="str">
        <f aca="false">_xlfn.TEXTJOIN(CHAR(10),TRUE(),IF(AND(C319&lt;&gt;"",D319="Mandatory"),"✓ "&amp;C319,""),IF(AND(E319&lt;&gt;"",F319="Mandatory"),"✓ "&amp;E319,""),IF(AND(G319&lt;&gt;"",H319="Mandatory"),"✓ "&amp;G319,""),IF(AND(I319&lt;&gt;"",J319="Mandatory"),"✓ "&amp;I319,""),IF(AND(K319&lt;&gt;"",L319="Mandatory"),"✓ "&amp;K319,""),IF(AND(M319&lt;&gt;"",N319="Mandatory"),"✓ "&amp;M319,""),IF(AND(O319&lt;&gt;"",P319="Mandatory"),"✓ "&amp;O319,""),IF(AND(Q319&lt;&gt;"",R319="Mandatory"),"✓ "&amp;Q319,""))</f>
        <v/>
      </c>
      <c r="T319" s="7" t="str">
        <f aca="false">_xlfn.TEXTJOIN(CHAR(10),TRUE(),IF(AND(C319&lt;&gt;"",OR(D319="Optional",D319="If Applicable",D319="To Verify")),"• "&amp;C319&amp;" ("&amp;D319&amp;")",""),IF(AND(E319&lt;&gt;"",OR(F319="Optional",F319="If Applicable",F319="To Verify")),"• "&amp;E319&amp;" ("&amp;F319&amp;")",""),IF(AND(G319&lt;&gt;"",OR(H319="Optional",H319="If Applicable",H319="To Verify")),"• "&amp;G319&amp;" ("&amp;H319&amp;")",""),IF(AND(I319&lt;&gt;"",OR(J319="Optional",J319="If Applicable",J319="To Verify")),"• "&amp;I319&amp;" ("&amp;J319&amp;")",""),IF(AND(K319&lt;&gt;"",OR(L319="Optional",L319="If Applicable",L319="To Verify")),"• "&amp;K319&amp;" ("&amp;L319&amp;")",""),IF(AND(M319&lt;&gt;"",OR(N319="Optional",N319="If Applicable",N319="To Verify")),"• "&amp;M319&amp;" ("&amp;N319&amp;")",""),IF(AND(O319&lt;&gt;"",OR(P319="Optional",P319="If Applicable",P319="To Verify")),"• "&amp;O319&amp;" ("&amp;P319&amp;")",""),IF(AND(Q319&lt;&gt;"",OR(R319="Optional",R319="If Applicable",R319="To Verify")),"• "&amp;Q319&amp;" ("&amp;R319&amp;")",""))</f>
        <v/>
      </c>
    </row>
    <row r="320" customFormat="false" ht="15" hidden="false" customHeight="false" outlineLevel="0" collapsed="false">
      <c r="A320" s="6"/>
      <c r="B320" s="7" t="str">
        <f aca="false">IF($A320="","",IFERROR(INDEX(MASTER_DATABASE!$E$4:$E$1000,MATCH($A320,MASTER_DATABASE!$A$4:$A$1000,0)),""))</f>
        <v/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7" t="str">
        <f aca="false">_xlfn.TEXTJOIN(CHAR(10),TRUE(),IF(AND(C320&lt;&gt;"",D320="Mandatory"),"✓ "&amp;C320,""),IF(AND(E320&lt;&gt;"",F320="Mandatory"),"✓ "&amp;E320,""),IF(AND(G320&lt;&gt;"",H320="Mandatory"),"✓ "&amp;G320,""),IF(AND(I320&lt;&gt;"",J320="Mandatory"),"✓ "&amp;I320,""),IF(AND(K320&lt;&gt;"",L320="Mandatory"),"✓ "&amp;K320,""),IF(AND(M320&lt;&gt;"",N320="Mandatory"),"✓ "&amp;M320,""),IF(AND(O320&lt;&gt;"",P320="Mandatory"),"✓ "&amp;O320,""),IF(AND(Q320&lt;&gt;"",R320="Mandatory"),"✓ "&amp;Q320,""))</f>
        <v/>
      </c>
      <c r="T320" s="7" t="str">
        <f aca="false">_xlfn.TEXTJOIN(CHAR(10),TRUE(),IF(AND(C320&lt;&gt;"",OR(D320="Optional",D320="If Applicable",D320="To Verify")),"• "&amp;C320&amp;" ("&amp;D320&amp;")",""),IF(AND(E320&lt;&gt;"",OR(F320="Optional",F320="If Applicable",F320="To Verify")),"• "&amp;E320&amp;" ("&amp;F320&amp;")",""),IF(AND(G320&lt;&gt;"",OR(H320="Optional",H320="If Applicable",H320="To Verify")),"• "&amp;G320&amp;" ("&amp;H320&amp;")",""),IF(AND(I320&lt;&gt;"",OR(J320="Optional",J320="If Applicable",J320="To Verify")),"• "&amp;I320&amp;" ("&amp;J320&amp;")",""),IF(AND(K320&lt;&gt;"",OR(L320="Optional",L320="If Applicable",L320="To Verify")),"• "&amp;K320&amp;" ("&amp;L320&amp;")",""),IF(AND(M320&lt;&gt;"",OR(N320="Optional",N320="If Applicable",N320="To Verify")),"• "&amp;M320&amp;" ("&amp;N320&amp;")",""),IF(AND(O320&lt;&gt;"",OR(P320="Optional",P320="If Applicable",P320="To Verify")),"• "&amp;O320&amp;" ("&amp;P320&amp;")",""),IF(AND(Q320&lt;&gt;"",OR(R320="Optional",R320="If Applicable",R320="To Verify")),"• "&amp;Q320&amp;" ("&amp;R320&amp;")",""))</f>
        <v/>
      </c>
    </row>
    <row r="321" customFormat="false" ht="15" hidden="false" customHeight="false" outlineLevel="0" collapsed="false">
      <c r="A321" s="6"/>
      <c r="B321" s="7" t="str">
        <f aca="false">IF($A321="","",IFERROR(INDEX(MASTER_DATABASE!$E$4:$E$1000,MATCH($A321,MASTER_DATABASE!$A$4:$A$1000,0)),""))</f>
        <v/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7" t="str">
        <f aca="false">_xlfn.TEXTJOIN(CHAR(10),TRUE(),IF(AND(C321&lt;&gt;"",D321="Mandatory"),"✓ "&amp;C321,""),IF(AND(E321&lt;&gt;"",F321="Mandatory"),"✓ "&amp;E321,""),IF(AND(G321&lt;&gt;"",H321="Mandatory"),"✓ "&amp;G321,""),IF(AND(I321&lt;&gt;"",J321="Mandatory"),"✓ "&amp;I321,""),IF(AND(K321&lt;&gt;"",L321="Mandatory"),"✓ "&amp;K321,""),IF(AND(M321&lt;&gt;"",N321="Mandatory"),"✓ "&amp;M321,""),IF(AND(O321&lt;&gt;"",P321="Mandatory"),"✓ "&amp;O321,""),IF(AND(Q321&lt;&gt;"",R321="Mandatory"),"✓ "&amp;Q321,""))</f>
        <v/>
      </c>
      <c r="T321" s="7" t="str">
        <f aca="false">_xlfn.TEXTJOIN(CHAR(10),TRUE(),IF(AND(C321&lt;&gt;"",OR(D321="Optional",D321="If Applicable",D321="To Verify")),"• "&amp;C321&amp;" ("&amp;D321&amp;")",""),IF(AND(E321&lt;&gt;"",OR(F321="Optional",F321="If Applicable",F321="To Verify")),"• "&amp;E321&amp;" ("&amp;F321&amp;")",""),IF(AND(G321&lt;&gt;"",OR(H321="Optional",H321="If Applicable",H321="To Verify")),"• "&amp;G321&amp;" ("&amp;H321&amp;")",""),IF(AND(I321&lt;&gt;"",OR(J321="Optional",J321="If Applicable",J321="To Verify")),"• "&amp;I321&amp;" ("&amp;J321&amp;")",""),IF(AND(K321&lt;&gt;"",OR(L321="Optional",L321="If Applicable",L321="To Verify")),"• "&amp;K321&amp;" ("&amp;L321&amp;")",""),IF(AND(M321&lt;&gt;"",OR(N321="Optional",N321="If Applicable",N321="To Verify")),"• "&amp;M321&amp;" ("&amp;N321&amp;")",""),IF(AND(O321&lt;&gt;"",OR(P321="Optional",P321="If Applicable",P321="To Verify")),"• "&amp;O321&amp;" ("&amp;P321&amp;")",""),IF(AND(Q321&lt;&gt;"",OR(R321="Optional",R321="If Applicable",R321="To Verify")),"• "&amp;Q321&amp;" ("&amp;R321&amp;")",""))</f>
        <v/>
      </c>
    </row>
    <row r="322" customFormat="false" ht="15" hidden="false" customHeight="false" outlineLevel="0" collapsed="false">
      <c r="A322" s="6"/>
      <c r="B322" s="7" t="str">
        <f aca="false">IF($A322="","",IFERROR(INDEX(MASTER_DATABASE!$E$4:$E$1000,MATCH($A322,MASTER_DATABASE!$A$4:$A$1000,0)),""))</f>
        <v/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7" t="str">
        <f aca="false">_xlfn.TEXTJOIN(CHAR(10),TRUE(),IF(AND(C322&lt;&gt;"",D322="Mandatory"),"✓ "&amp;C322,""),IF(AND(E322&lt;&gt;"",F322="Mandatory"),"✓ "&amp;E322,""),IF(AND(G322&lt;&gt;"",H322="Mandatory"),"✓ "&amp;G322,""),IF(AND(I322&lt;&gt;"",J322="Mandatory"),"✓ "&amp;I322,""),IF(AND(K322&lt;&gt;"",L322="Mandatory"),"✓ "&amp;K322,""),IF(AND(M322&lt;&gt;"",N322="Mandatory"),"✓ "&amp;M322,""),IF(AND(O322&lt;&gt;"",P322="Mandatory"),"✓ "&amp;O322,""),IF(AND(Q322&lt;&gt;"",R322="Mandatory"),"✓ "&amp;Q322,""))</f>
        <v/>
      </c>
      <c r="T322" s="7" t="str">
        <f aca="false">_xlfn.TEXTJOIN(CHAR(10),TRUE(),IF(AND(C322&lt;&gt;"",OR(D322="Optional",D322="If Applicable",D322="To Verify")),"• "&amp;C322&amp;" ("&amp;D322&amp;")",""),IF(AND(E322&lt;&gt;"",OR(F322="Optional",F322="If Applicable",F322="To Verify")),"• "&amp;E322&amp;" ("&amp;F322&amp;")",""),IF(AND(G322&lt;&gt;"",OR(H322="Optional",H322="If Applicable",H322="To Verify")),"• "&amp;G322&amp;" ("&amp;H322&amp;")",""),IF(AND(I322&lt;&gt;"",OR(J322="Optional",J322="If Applicable",J322="To Verify")),"• "&amp;I322&amp;" ("&amp;J322&amp;")",""),IF(AND(K322&lt;&gt;"",OR(L322="Optional",L322="If Applicable",L322="To Verify")),"• "&amp;K322&amp;" ("&amp;L322&amp;")",""),IF(AND(M322&lt;&gt;"",OR(N322="Optional",N322="If Applicable",N322="To Verify")),"• "&amp;M322&amp;" ("&amp;N322&amp;")",""),IF(AND(O322&lt;&gt;"",OR(P322="Optional",P322="If Applicable",P322="To Verify")),"• "&amp;O322&amp;" ("&amp;P322&amp;")",""),IF(AND(Q322&lt;&gt;"",OR(R322="Optional",R322="If Applicable",R322="To Verify")),"• "&amp;Q322&amp;" ("&amp;R322&amp;")",""))</f>
        <v/>
      </c>
    </row>
    <row r="323" customFormat="false" ht="15" hidden="false" customHeight="false" outlineLevel="0" collapsed="false">
      <c r="A323" s="6"/>
      <c r="B323" s="7" t="str">
        <f aca="false">IF($A323="","",IFERROR(INDEX(MASTER_DATABASE!$E$4:$E$1000,MATCH($A323,MASTER_DATABASE!$A$4:$A$1000,0)),""))</f>
        <v/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7" t="str">
        <f aca="false">_xlfn.TEXTJOIN(CHAR(10),TRUE(),IF(AND(C323&lt;&gt;"",D323="Mandatory"),"✓ "&amp;C323,""),IF(AND(E323&lt;&gt;"",F323="Mandatory"),"✓ "&amp;E323,""),IF(AND(G323&lt;&gt;"",H323="Mandatory"),"✓ "&amp;G323,""),IF(AND(I323&lt;&gt;"",J323="Mandatory"),"✓ "&amp;I323,""),IF(AND(K323&lt;&gt;"",L323="Mandatory"),"✓ "&amp;K323,""),IF(AND(M323&lt;&gt;"",N323="Mandatory"),"✓ "&amp;M323,""),IF(AND(O323&lt;&gt;"",P323="Mandatory"),"✓ "&amp;O323,""),IF(AND(Q323&lt;&gt;"",R323="Mandatory"),"✓ "&amp;Q323,""))</f>
        <v/>
      </c>
      <c r="T323" s="7" t="str">
        <f aca="false">_xlfn.TEXTJOIN(CHAR(10),TRUE(),IF(AND(C323&lt;&gt;"",OR(D323="Optional",D323="If Applicable",D323="To Verify")),"• "&amp;C323&amp;" ("&amp;D323&amp;")",""),IF(AND(E323&lt;&gt;"",OR(F323="Optional",F323="If Applicable",F323="To Verify")),"• "&amp;E323&amp;" ("&amp;F323&amp;")",""),IF(AND(G323&lt;&gt;"",OR(H323="Optional",H323="If Applicable",H323="To Verify")),"• "&amp;G323&amp;" ("&amp;H323&amp;")",""),IF(AND(I323&lt;&gt;"",OR(J323="Optional",J323="If Applicable",J323="To Verify")),"• "&amp;I323&amp;" ("&amp;J323&amp;")",""),IF(AND(K323&lt;&gt;"",OR(L323="Optional",L323="If Applicable",L323="To Verify")),"• "&amp;K323&amp;" ("&amp;L323&amp;")",""),IF(AND(M323&lt;&gt;"",OR(N323="Optional",N323="If Applicable",N323="To Verify")),"• "&amp;M323&amp;" ("&amp;N323&amp;")",""),IF(AND(O323&lt;&gt;"",OR(P323="Optional",P323="If Applicable",P323="To Verify")),"• "&amp;O323&amp;" ("&amp;P323&amp;")",""),IF(AND(Q323&lt;&gt;"",OR(R323="Optional",R323="If Applicable",R323="To Verify")),"• "&amp;Q323&amp;" ("&amp;R323&amp;")",""))</f>
        <v/>
      </c>
    </row>
    <row r="324" customFormat="false" ht="15" hidden="false" customHeight="false" outlineLevel="0" collapsed="false">
      <c r="A324" s="6"/>
      <c r="B324" s="7" t="str">
        <f aca="false">IF($A324="","",IFERROR(INDEX(MASTER_DATABASE!$E$4:$E$1000,MATCH($A324,MASTER_DATABASE!$A$4:$A$1000,0)),""))</f>
        <v/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7" t="str">
        <f aca="false">_xlfn.TEXTJOIN(CHAR(10),TRUE(),IF(AND(C324&lt;&gt;"",D324="Mandatory"),"✓ "&amp;C324,""),IF(AND(E324&lt;&gt;"",F324="Mandatory"),"✓ "&amp;E324,""),IF(AND(G324&lt;&gt;"",H324="Mandatory"),"✓ "&amp;G324,""),IF(AND(I324&lt;&gt;"",J324="Mandatory"),"✓ "&amp;I324,""),IF(AND(K324&lt;&gt;"",L324="Mandatory"),"✓ "&amp;K324,""),IF(AND(M324&lt;&gt;"",N324="Mandatory"),"✓ "&amp;M324,""),IF(AND(O324&lt;&gt;"",P324="Mandatory"),"✓ "&amp;O324,""),IF(AND(Q324&lt;&gt;"",R324="Mandatory"),"✓ "&amp;Q324,""))</f>
        <v/>
      </c>
      <c r="T324" s="7" t="str">
        <f aca="false">_xlfn.TEXTJOIN(CHAR(10),TRUE(),IF(AND(C324&lt;&gt;"",OR(D324="Optional",D324="If Applicable",D324="To Verify")),"• "&amp;C324&amp;" ("&amp;D324&amp;")",""),IF(AND(E324&lt;&gt;"",OR(F324="Optional",F324="If Applicable",F324="To Verify")),"• "&amp;E324&amp;" ("&amp;F324&amp;")",""),IF(AND(G324&lt;&gt;"",OR(H324="Optional",H324="If Applicable",H324="To Verify")),"• "&amp;G324&amp;" ("&amp;H324&amp;")",""),IF(AND(I324&lt;&gt;"",OR(J324="Optional",J324="If Applicable",J324="To Verify")),"• "&amp;I324&amp;" ("&amp;J324&amp;")",""),IF(AND(K324&lt;&gt;"",OR(L324="Optional",L324="If Applicable",L324="To Verify")),"• "&amp;K324&amp;" ("&amp;L324&amp;")",""),IF(AND(M324&lt;&gt;"",OR(N324="Optional",N324="If Applicable",N324="To Verify")),"• "&amp;M324&amp;" ("&amp;N324&amp;")",""),IF(AND(O324&lt;&gt;"",OR(P324="Optional",P324="If Applicable",P324="To Verify")),"• "&amp;O324&amp;" ("&amp;P324&amp;")",""),IF(AND(Q324&lt;&gt;"",OR(R324="Optional",R324="If Applicable",R324="To Verify")),"• "&amp;Q324&amp;" ("&amp;R324&amp;")",""))</f>
        <v/>
      </c>
    </row>
    <row r="325" customFormat="false" ht="15" hidden="false" customHeight="false" outlineLevel="0" collapsed="false">
      <c r="A325" s="6"/>
      <c r="B325" s="7" t="str">
        <f aca="false">IF($A325="","",IFERROR(INDEX(MASTER_DATABASE!$E$4:$E$1000,MATCH($A325,MASTER_DATABASE!$A$4:$A$1000,0)),""))</f>
        <v/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7" t="str">
        <f aca="false">_xlfn.TEXTJOIN(CHAR(10),TRUE(),IF(AND(C325&lt;&gt;"",D325="Mandatory"),"✓ "&amp;C325,""),IF(AND(E325&lt;&gt;"",F325="Mandatory"),"✓ "&amp;E325,""),IF(AND(G325&lt;&gt;"",H325="Mandatory"),"✓ "&amp;G325,""),IF(AND(I325&lt;&gt;"",J325="Mandatory"),"✓ "&amp;I325,""),IF(AND(K325&lt;&gt;"",L325="Mandatory"),"✓ "&amp;K325,""),IF(AND(M325&lt;&gt;"",N325="Mandatory"),"✓ "&amp;M325,""),IF(AND(O325&lt;&gt;"",P325="Mandatory"),"✓ "&amp;O325,""),IF(AND(Q325&lt;&gt;"",R325="Mandatory"),"✓ "&amp;Q325,""))</f>
        <v/>
      </c>
      <c r="T325" s="7" t="str">
        <f aca="false">_xlfn.TEXTJOIN(CHAR(10),TRUE(),IF(AND(C325&lt;&gt;"",OR(D325="Optional",D325="If Applicable",D325="To Verify")),"• "&amp;C325&amp;" ("&amp;D325&amp;")",""),IF(AND(E325&lt;&gt;"",OR(F325="Optional",F325="If Applicable",F325="To Verify")),"• "&amp;E325&amp;" ("&amp;F325&amp;")",""),IF(AND(G325&lt;&gt;"",OR(H325="Optional",H325="If Applicable",H325="To Verify")),"• "&amp;G325&amp;" ("&amp;H325&amp;")",""),IF(AND(I325&lt;&gt;"",OR(J325="Optional",J325="If Applicable",J325="To Verify")),"• "&amp;I325&amp;" ("&amp;J325&amp;")",""),IF(AND(K325&lt;&gt;"",OR(L325="Optional",L325="If Applicable",L325="To Verify")),"• "&amp;K325&amp;" ("&amp;L325&amp;")",""),IF(AND(M325&lt;&gt;"",OR(N325="Optional",N325="If Applicable",N325="To Verify")),"• "&amp;M325&amp;" ("&amp;N325&amp;")",""),IF(AND(O325&lt;&gt;"",OR(P325="Optional",P325="If Applicable",P325="To Verify")),"• "&amp;O325&amp;" ("&amp;P325&amp;")",""),IF(AND(Q325&lt;&gt;"",OR(R325="Optional",R325="If Applicable",R325="To Verify")),"• "&amp;Q325&amp;" ("&amp;R325&amp;")",""))</f>
        <v/>
      </c>
    </row>
    <row r="326" customFormat="false" ht="15" hidden="false" customHeight="false" outlineLevel="0" collapsed="false">
      <c r="A326" s="6"/>
      <c r="B326" s="7" t="str">
        <f aca="false">IF($A326="","",IFERROR(INDEX(MASTER_DATABASE!$E$4:$E$1000,MATCH($A326,MASTER_DATABASE!$A$4:$A$1000,0)),""))</f>
        <v/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7" t="str">
        <f aca="false">_xlfn.TEXTJOIN(CHAR(10),TRUE(),IF(AND(C326&lt;&gt;"",D326="Mandatory"),"✓ "&amp;C326,""),IF(AND(E326&lt;&gt;"",F326="Mandatory"),"✓ "&amp;E326,""),IF(AND(G326&lt;&gt;"",H326="Mandatory"),"✓ "&amp;G326,""),IF(AND(I326&lt;&gt;"",J326="Mandatory"),"✓ "&amp;I326,""),IF(AND(K326&lt;&gt;"",L326="Mandatory"),"✓ "&amp;K326,""),IF(AND(M326&lt;&gt;"",N326="Mandatory"),"✓ "&amp;M326,""),IF(AND(O326&lt;&gt;"",P326="Mandatory"),"✓ "&amp;O326,""),IF(AND(Q326&lt;&gt;"",R326="Mandatory"),"✓ "&amp;Q326,""))</f>
        <v/>
      </c>
      <c r="T326" s="7" t="str">
        <f aca="false">_xlfn.TEXTJOIN(CHAR(10),TRUE(),IF(AND(C326&lt;&gt;"",OR(D326="Optional",D326="If Applicable",D326="To Verify")),"• "&amp;C326&amp;" ("&amp;D326&amp;")",""),IF(AND(E326&lt;&gt;"",OR(F326="Optional",F326="If Applicable",F326="To Verify")),"• "&amp;E326&amp;" ("&amp;F326&amp;")",""),IF(AND(G326&lt;&gt;"",OR(H326="Optional",H326="If Applicable",H326="To Verify")),"• "&amp;G326&amp;" ("&amp;H326&amp;")",""),IF(AND(I326&lt;&gt;"",OR(J326="Optional",J326="If Applicable",J326="To Verify")),"• "&amp;I326&amp;" ("&amp;J326&amp;")",""),IF(AND(K326&lt;&gt;"",OR(L326="Optional",L326="If Applicable",L326="To Verify")),"• "&amp;K326&amp;" ("&amp;L326&amp;")",""),IF(AND(M326&lt;&gt;"",OR(N326="Optional",N326="If Applicable",N326="To Verify")),"• "&amp;M326&amp;" ("&amp;N326&amp;")",""),IF(AND(O326&lt;&gt;"",OR(P326="Optional",P326="If Applicable",P326="To Verify")),"• "&amp;O326&amp;" ("&amp;P326&amp;")",""),IF(AND(Q326&lt;&gt;"",OR(R326="Optional",R326="If Applicable",R326="To Verify")),"• "&amp;Q326&amp;" ("&amp;R326&amp;")",""))</f>
        <v/>
      </c>
    </row>
    <row r="327" customFormat="false" ht="15" hidden="false" customHeight="false" outlineLevel="0" collapsed="false">
      <c r="A327" s="6"/>
      <c r="B327" s="7" t="str">
        <f aca="false">IF($A327="","",IFERROR(INDEX(MASTER_DATABASE!$E$4:$E$1000,MATCH($A327,MASTER_DATABASE!$A$4:$A$1000,0)),""))</f>
        <v/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7" t="str">
        <f aca="false">_xlfn.TEXTJOIN(CHAR(10),TRUE(),IF(AND(C327&lt;&gt;"",D327="Mandatory"),"✓ "&amp;C327,""),IF(AND(E327&lt;&gt;"",F327="Mandatory"),"✓ "&amp;E327,""),IF(AND(G327&lt;&gt;"",H327="Mandatory"),"✓ "&amp;G327,""),IF(AND(I327&lt;&gt;"",J327="Mandatory"),"✓ "&amp;I327,""),IF(AND(K327&lt;&gt;"",L327="Mandatory"),"✓ "&amp;K327,""),IF(AND(M327&lt;&gt;"",N327="Mandatory"),"✓ "&amp;M327,""),IF(AND(O327&lt;&gt;"",P327="Mandatory"),"✓ "&amp;O327,""),IF(AND(Q327&lt;&gt;"",R327="Mandatory"),"✓ "&amp;Q327,""))</f>
        <v/>
      </c>
      <c r="T327" s="7" t="str">
        <f aca="false">_xlfn.TEXTJOIN(CHAR(10),TRUE(),IF(AND(C327&lt;&gt;"",OR(D327="Optional",D327="If Applicable",D327="To Verify")),"• "&amp;C327&amp;" ("&amp;D327&amp;")",""),IF(AND(E327&lt;&gt;"",OR(F327="Optional",F327="If Applicable",F327="To Verify")),"• "&amp;E327&amp;" ("&amp;F327&amp;")",""),IF(AND(G327&lt;&gt;"",OR(H327="Optional",H327="If Applicable",H327="To Verify")),"• "&amp;G327&amp;" ("&amp;H327&amp;")",""),IF(AND(I327&lt;&gt;"",OR(J327="Optional",J327="If Applicable",J327="To Verify")),"• "&amp;I327&amp;" ("&amp;J327&amp;")",""),IF(AND(K327&lt;&gt;"",OR(L327="Optional",L327="If Applicable",L327="To Verify")),"• "&amp;K327&amp;" ("&amp;L327&amp;")",""),IF(AND(M327&lt;&gt;"",OR(N327="Optional",N327="If Applicable",N327="To Verify")),"• "&amp;M327&amp;" ("&amp;N327&amp;")",""),IF(AND(O327&lt;&gt;"",OR(P327="Optional",P327="If Applicable",P327="To Verify")),"• "&amp;O327&amp;" ("&amp;P327&amp;")",""),IF(AND(Q327&lt;&gt;"",OR(R327="Optional",R327="If Applicable",R327="To Verify")),"• "&amp;Q327&amp;" ("&amp;R327&amp;")",""))</f>
        <v/>
      </c>
    </row>
    <row r="328" customFormat="false" ht="15" hidden="false" customHeight="false" outlineLevel="0" collapsed="false">
      <c r="A328" s="6"/>
      <c r="B328" s="7" t="str">
        <f aca="false">IF($A328="","",IFERROR(INDEX(MASTER_DATABASE!$E$4:$E$1000,MATCH($A328,MASTER_DATABASE!$A$4:$A$1000,0)),""))</f>
        <v/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7" t="str">
        <f aca="false">_xlfn.TEXTJOIN(CHAR(10),TRUE(),IF(AND(C328&lt;&gt;"",D328="Mandatory"),"✓ "&amp;C328,""),IF(AND(E328&lt;&gt;"",F328="Mandatory"),"✓ "&amp;E328,""),IF(AND(G328&lt;&gt;"",H328="Mandatory"),"✓ "&amp;G328,""),IF(AND(I328&lt;&gt;"",J328="Mandatory"),"✓ "&amp;I328,""),IF(AND(K328&lt;&gt;"",L328="Mandatory"),"✓ "&amp;K328,""),IF(AND(M328&lt;&gt;"",N328="Mandatory"),"✓ "&amp;M328,""),IF(AND(O328&lt;&gt;"",P328="Mandatory"),"✓ "&amp;O328,""),IF(AND(Q328&lt;&gt;"",R328="Mandatory"),"✓ "&amp;Q328,""))</f>
        <v/>
      </c>
      <c r="T328" s="7" t="str">
        <f aca="false">_xlfn.TEXTJOIN(CHAR(10),TRUE(),IF(AND(C328&lt;&gt;"",OR(D328="Optional",D328="If Applicable",D328="To Verify")),"• "&amp;C328&amp;" ("&amp;D328&amp;")",""),IF(AND(E328&lt;&gt;"",OR(F328="Optional",F328="If Applicable",F328="To Verify")),"• "&amp;E328&amp;" ("&amp;F328&amp;")",""),IF(AND(G328&lt;&gt;"",OR(H328="Optional",H328="If Applicable",H328="To Verify")),"• "&amp;G328&amp;" ("&amp;H328&amp;")",""),IF(AND(I328&lt;&gt;"",OR(J328="Optional",J328="If Applicable",J328="To Verify")),"• "&amp;I328&amp;" ("&amp;J328&amp;")",""),IF(AND(K328&lt;&gt;"",OR(L328="Optional",L328="If Applicable",L328="To Verify")),"• "&amp;K328&amp;" ("&amp;L328&amp;")",""),IF(AND(M328&lt;&gt;"",OR(N328="Optional",N328="If Applicable",N328="To Verify")),"• "&amp;M328&amp;" ("&amp;N328&amp;")",""),IF(AND(O328&lt;&gt;"",OR(P328="Optional",P328="If Applicable",P328="To Verify")),"• "&amp;O328&amp;" ("&amp;P328&amp;")",""),IF(AND(Q328&lt;&gt;"",OR(R328="Optional",R328="If Applicable",R328="To Verify")),"• "&amp;Q328&amp;" ("&amp;R328&amp;")",""))</f>
        <v/>
      </c>
    </row>
    <row r="329" customFormat="false" ht="15" hidden="false" customHeight="false" outlineLevel="0" collapsed="false">
      <c r="A329" s="6"/>
      <c r="B329" s="7" t="str">
        <f aca="false">IF($A329="","",IFERROR(INDEX(MASTER_DATABASE!$E$4:$E$1000,MATCH($A329,MASTER_DATABASE!$A$4:$A$1000,0)),""))</f>
        <v/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7" t="str">
        <f aca="false">_xlfn.TEXTJOIN(CHAR(10),TRUE(),IF(AND(C329&lt;&gt;"",D329="Mandatory"),"✓ "&amp;C329,""),IF(AND(E329&lt;&gt;"",F329="Mandatory"),"✓ "&amp;E329,""),IF(AND(G329&lt;&gt;"",H329="Mandatory"),"✓ "&amp;G329,""),IF(AND(I329&lt;&gt;"",J329="Mandatory"),"✓ "&amp;I329,""),IF(AND(K329&lt;&gt;"",L329="Mandatory"),"✓ "&amp;K329,""),IF(AND(M329&lt;&gt;"",N329="Mandatory"),"✓ "&amp;M329,""),IF(AND(O329&lt;&gt;"",P329="Mandatory"),"✓ "&amp;O329,""),IF(AND(Q329&lt;&gt;"",R329="Mandatory"),"✓ "&amp;Q329,""))</f>
        <v/>
      </c>
      <c r="T329" s="7" t="str">
        <f aca="false">_xlfn.TEXTJOIN(CHAR(10),TRUE(),IF(AND(C329&lt;&gt;"",OR(D329="Optional",D329="If Applicable",D329="To Verify")),"• "&amp;C329&amp;" ("&amp;D329&amp;")",""),IF(AND(E329&lt;&gt;"",OR(F329="Optional",F329="If Applicable",F329="To Verify")),"• "&amp;E329&amp;" ("&amp;F329&amp;")",""),IF(AND(G329&lt;&gt;"",OR(H329="Optional",H329="If Applicable",H329="To Verify")),"• "&amp;G329&amp;" ("&amp;H329&amp;")",""),IF(AND(I329&lt;&gt;"",OR(J329="Optional",J329="If Applicable",J329="To Verify")),"• "&amp;I329&amp;" ("&amp;J329&amp;")",""),IF(AND(K329&lt;&gt;"",OR(L329="Optional",L329="If Applicable",L329="To Verify")),"• "&amp;K329&amp;" ("&amp;L329&amp;")",""),IF(AND(M329&lt;&gt;"",OR(N329="Optional",N329="If Applicable",N329="To Verify")),"• "&amp;M329&amp;" ("&amp;N329&amp;")",""),IF(AND(O329&lt;&gt;"",OR(P329="Optional",P329="If Applicable",P329="To Verify")),"• "&amp;O329&amp;" ("&amp;P329&amp;")",""),IF(AND(Q329&lt;&gt;"",OR(R329="Optional",R329="If Applicable",R329="To Verify")),"• "&amp;Q329&amp;" ("&amp;R329&amp;")",""))</f>
        <v/>
      </c>
    </row>
    <row r="330" customFormat="false" ht="15" hidden="false" customHeight="false" outlineLevel="0" collapsed="false">
      <c r="A330" s="6"/>
      <c r="B330" s="7" t="str">
        <f aca="false">IF($A330="","",IFERROR(INDEX(MASTER_DATABASE!$E$4:$E$1000,MATCH($A330,MASTER_DATABASE!$A$4:$A$1000,0)),""))</f>
        <v/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7" t="str">
        <f aca="false">_xlfn.TEXTJOIN(CHAR(10),TRUE(),IF(AND(C330&lt;&gt;"",D330="Mandatory"),"✓ "&amp;C330,""),IF(AND(E330&lt;&gt;"",F330="Mandatory"),"✓ "&amp;E330,""),IF(AND(G330&lt;&gt;"",H330="Mandatory"),"✓ "&amp;G330,""),IF(AND(I330&lt;&gt;"",J330="Mandatory"),"✓ "&amp;I330,""),IF(AND(K330&lt;&gt;"",L330="Mandatory"),"✓ "&amp;K330,""),IF(AND(M330&lt;&gt;"",N330="Mandatory"),"✓ "&amp;M330,""),IF(AND(O330&lt;&gt;"",P330="Mandatory"),"✓ "&amp;O330,""),IF(AND(Q330&lt;&gt;"",R330="Mandatory"),"✓ "&amp;Q330,""))</f>
        <v/>
      </c>
      <c r="T330" s="7" t="str">
        <f aca="false">_xlfn.TEXTJOIN(CHAR(10),TRUE(),IF(AND(C330&lt;&gt;"",OR(D330="Optional",D330="If Applicable",D330="To Verify")),"• "&amp;C330&amp;" ("&amp;D330&amp;")",""),IF(AND(E330&lt;&gt;"",OR(F330="Optional",F330="If Applicable",F330="To Verify")),"• "&amp;E330&amp;" ("&amp;F330&amp;")",""),IF(AND(G330&lt;&gt;"",OR(H330="Optional",H330="If Applicable",H330="To Verify")),"• "&amp;G330&amp;" ("&amp;H330&amp;")",""),IF(AND(I330&lt;&gt;"",OR(J330="Optional",J330="If Applicable",J330="To Verify")),"• "&amp;I330&amp;" ("&amp;J330&amp;")",""),IF(AND(K330&lt;&gt;"",OR(L330="Optional",L330="If Applicable",L330="To Verify")),"• "&amp;K330&amp;" ("&amp;L330&amp;")",""),IF(AND(M330&lt;&gt;"",OR(N330="Optional",N330="If Applicable",N330="To Verify")),"• "&amp;M330&amp;" ("&amp;N330&amp;")",""),IF(AND(O330&lt;&gt;"",OR(P330="Optional",P330="If Applicable",P330="To Verify")),"• "&amp;O330&amp;" ("&amp;P330&amp;")",""),IF(AND(Q330&lt;&gt;"",OR(R330="Optional",R330="If Applicable",R330="To Verify")),"• "&amp;Q330&amp;" ("&amp;R330&amp;")",""))</f>
        <v/>
      </c>
    </row>
    <row r="331" customFormat="false" ht="15" hidden="false" customHeight="false" outlineLevel="0" collapsed="false">
      <c r="A331" s="6"/>
      <c r="B331" s="7" t="str">
        <f aca="false">IF($A331="","",IFERROR(INDEX(MASTER_DATABASE!$E$4:$E$1000,MATCH($A331,MASTER_DATABASE!$A$4:$A$1000,0)),""))</f>
        <v/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7" t="str">
        <f aca="false">_xlfn.TEXTJOIN(CHAR(10),TRUE(),IF(AND(C331&lt;&gt;"",D331="Mandatory"),"✓ "&amp;C331,""),IF(AND(E331&lt;&gt;"",F331="Mandatory"),"✓ "&amp;E331,""),IF(AND(G331&lt;&gt;"",H331="Mandatory"),"✓ "&amp;G331,""),IF(AND(I331&lt;&gt;"",J331="Mandatory"),"✓ "&amp;I331,""),IF(AND(K331&lt;&gt;"",L331="Mandatory"),"✓ "&amp;K331,""),IF(AND(M331&lt;&gt;"",N331="Mandatory"),"✓ "&amp;M331,""),IF(AND(O331&lt;&gt;"",P331="Mandatory"),"✓ "&amp;O331,""),IF(AND(Q331&lt;&gt;"",R331="Mandatory"),"✓ "&amp;Q331,""))</f>
        <v/>
      </c>
      <c r="T331" s="7" t="str">
        <f aca="false">_xlfn.TEXTJOIN(CHAR(10),TRUE(),IF(AND(C331&lt;&gt;"",OR(D331="Optional",D331="If Applicable",D331="To Verify")),"• "&amp;C331&amp;" ("&amp;D331&amp;")",""),IF(AND(E331&lt;&gt;"",OR(F331="Optional",F331="If Applicable",F331="To Verify")),"• "&amp;E331&amp;" ("&amp;F331&amp;")",""),IF(AND(G331&lt;&gt;"",OR(H331="Optional",H331="If Applicable",H331="To Verify")),"• "&amp;G331&amp;" ("&amp;H331&amp;")",""),IF(AND(I331&lt;&gt;"",OR(J331="Optional",J331="If Applicable",J331="To Verify")),"• "&amp;I331&amp;" ("&amp;J331&amp;")",""),IF(AND(K331&lt;&gt;"",OR(L331="Optional",L331="If Applicable",L331="To Verify")),"• "&amp;K331&amp;" ("&amp;L331&amp;")",""),IF(AND(M331&lt;&gt;"",OR(N331="Optional",N331="If Applicable",N331="To Verify")),"• "&amp;M331&amp;" ("&amp;N331&amp;")",""),IF(AND(O331&lt;&gt;"",OR(P331="Optional",P331="If Applicable",P331="To Verify")),"• "&amp;O331&amp;" ("&amp;P331&amp;")",""),IF(AND(Q331&lt;&gt;"",OR(R331="Optional",R331="If Applicable",R331="To Verify")),"• "&amp;Q331&amp;" ("&amp;R331&amp;")",""))</f>
        <v/>
      </c>
    </row>
    <row r="332" customFormat="false" ht="15" hidden="false" customHeight="false" outlineLevel="0" collapsed="false">
      <c r="A332" s="6"/>
      <c r="B332" s="7" t="str">
        <f aca="false">IF($A332="","",IFERROR(INDEX(MASTER_DATABASE!$E$4:$E$1000,MATCH($A332,MASTER_DATABASE!$A$4:$A$1000,0)),""))</f>
        <v/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7" t="str">
        <f aca="false">_xlfn.TEXTJOIN(CHAR(10),TRUE(),IF(AND(C332&lt;&gt;"",D332="Mandatory"),"✓ "&amp;C332,""),IF(AND(E332&lt;&gt;"",F332="Mandatory"),"✓ "&amp;E332,""),IF(AND(G332&lt;&gt;"",H332="Mandatory"),"✓ "&amp;G332,""),IF(AND(I332&lt;&gt;"",J332="Mandatory"),"✓ "&amp;I332,""),IF(AND(K332&lt;&gt;"",L332="Mandatory"),"✓ "&amp;K332,""),IF(AND(M332&lt;&gt;"",N332="Mandatory"),"✓ "&amp;M332,""),IF(AND(O332&lt;&gt;"",P332="Mandatory"),"✓ "&amp;O332,""),IF(AND(Q332&lt;&gt;"",R332="Mandatory"),"✓ "&amp;Q332,""))</f>
        <v/>
      </c>
      <c r="T332" s="7" t="str">
        <f aca="false">_xlfn.TEXTJOIN(CHAR(10),TRUE(),IF(AND(C332&lt;&gt;"",OR(D332="Optional",D332="If Applicable",D332="To Verify")),"• "&amp;C332&amp;" ("&amp;D332&amp;")",""),IF(AND(E332&lt;&gt;"",OR(F332="Optional",F332="If Applicable",F332="To Verify")),"• "&amp;E332&amp;" ("&amp;F332&amp;")",""),IF(AND(G332&lt;&gt;"",OR(H332="Optional",H332="If Applicable",H332="To Verify")),"• "&amp;G332&amp;" ("&amp;H332&amp;")",""),IF(AND(I332&lt;&gt;"",OR(J332="Optional",J332="If Applicable",J332="To Verify")),"• "&amp;I332&amp;" ("&amp;J332&amp;")",""),IF(AND(K332&lt;&gt;"",OR(L332="Optional",L332="If Applicable",L332="To Verify")),"• "&amp;K332&amp;" ("&amp;L332&amp;")",""),IF(AND(M332&lt;&gt;"",OR(N332="Optional",N332="If Applicable",N332="To Verify")),"• "&amp;M332&amp;" ("&amp;N332&amp;")",""),IF(AND(O332&lt;&gt;"",OR(P332="Optional",P332="If Applicable",P332="To Verify")),"• "&amp;O332&amp;" ("&amp;P332&amp;")",""),IF(AND(Q332&lt;&gt;"",OR(R332="Optional",R332="If Applicable",R332="To Verify")),"• "&amp;Q332&amp;" ("&amp;R332&amp;")",""))</f>
        <v/>
      </c>
    </row>
    <row r="333" customFormat="false" ht="15" hidden="false" customHeight="false" outlineLevel="0" collapsed="false">
      <c r="A333" s="6"/>
      <c r="B333" s="7" t="str">
        <f aca="false">IF($A333="","",IFERROR(INDEX(MASTER_DATABASE!$E$4:$E$1000,MATCH($A333,MASTER_DATABASE!$A$4:$A$1000,0)),""))</f>
        <v/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7" t="str">
        <f aca="false">_xlfn.TEXTJOIN(CHAR(10),TRUE(),IF(AND(C333&lt;&gt;"",D333="Mandatory"),"✓ "&amp;C333,""),IF(AND(E333&lt;&gt;"",F333="Mandatory"),"✓ "&amp;E333,""),IF(AND(G333&lt;&gt;"",H333="Mandatory"),"✓ "&amp;G333,""),IF(AND(I333&lt;&gt;"",J333="Mandatory"),"✓ "&amp;I333,""),IF(AND(K333&lt;&gt;"",L333="Mandatory"),"✓ "&amp;K333,""),IF(AND(M333&lt;&gt;"",N333="Mandatory"),"✓ "&amp;M333,""),IF(AND(O333&lt;&gt;"",P333="Mandatory"),"✓ "&amp;O333,""),IF(AND(Q333&lt;&gt;"",R333="Mandatory"),"✓ "&amp;Q333,""))</f>
        <v/>
      </c>
      <c r="T333" s="7" t="str">
        <f aca="false">_xlfn.TEXTJOIN(CHAR(10),TRUE(),IF(AND(C333&lt;&gt;"",OR(D333="Optional",D333="If Applicable",D333="To Verify")),"• "&amp;C333&amp;" ("&amp;D333&amp;")",""),IF(AND(E333&lt;&gt;"",OR(F333="Optional",F333="If Applicable",F333="To Verify")),"• "&amp;E333&amp;" ("&amp;F333&amp;")",""),IF(AND(G333&lt;&gt;"",OR(H333="Optional",H333="If Applicable",H333="To Verify")),"• "&amp;G333&amp;" ("&amp;H333&amp;")",""),IF(AND(I333&lt;&gt;"",OR(J333="Optional",J333="If Applicable",J333="To Verify")),"• "&amp;I333&amp;" ("&amp;J333&amp;")",""),IF(AND(K333&lt;&gt;"",OR(L333="Optional",L333="If Applicable",L333="To Verify")),"• "&amp;K333&amp;" ("&amp;L333&amp;")",""),IF(AND(M333&lt;&gt;"",OR(N333="Optional",N333="If Applicable",N333="To Verify")),"• "&amp;M333&amp;" ("&amp;N333&amp;")",""),IF(AND(O333&lt;&gt;"",OR(P333="Optional",P333="If Applicable",P333="To Verify")),"• "&amp;O333&amp;" ("&amp;P333&amp;")",""),IF(AND(Q333&lt;&gt;"",OR(R333="Optional",R333="If Applicable",R333="To Verify")),"• "&amp;Q333&amp;" ("&amp;R333&amp;")",""))</f>
        <v/>
      </c>
    </row>
    <row r="334" customFormat="false" ht="15" hidden="false" customHeight="false" outlineLevel="0" collapsed="false">
      <c r="A334" s="6"/>
      <c r="B334" s="7" t="str">
        <f aca="false">IF($A334="","",IFERROR(INDEX(MASTER_DATABASE!$E$4:$E$1000,MATCH($A334,MASTER_DATABASE!$A$4:$A$1000,0)),""))</f>
        <v/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7" t="str">
        <f aca="false">_xlfn.TEXTJOIN(CHAR(10),TRUE(),IF(AND(C334&lt;&gt;"",D334="Mandatory"),"✓ "&amp;C334,""),IF(AND(E334&lt;&gt;"",F334="Mandatory"),"✓ "&amp;E334,""),IF(AND(G334&lt;&gt;"",H334="Mandatory"),"✓ "&amp;G334,""),IF(AND(I334&lt;&gt;"",J334="Mandatory"),"✓ "&amp;I334,""),IF(AND(K334&lt;&gt;"",L334="Mandatory"),"✓ "&amp;K334,""),IF(AND(M334&lt;&gt;"",N334="Mandatory"),"✓ "&amp;M334,""),IF(AND(O334&lt;&gt;"",P334="Mandatory"),"✓ "&amp;O334,""),IF(AND(Q334&lt;&gt;"",R334="Mandatory"),"✓ "&amp;Q334,""))</f>
        <v/>
      </c>
      <c r="T334" s="7" t="str">
        <f aca="false">_xlfn.TEXTJOIN(CHAR(10),TRUE(),IF(AND(C334&lt;&gt;"",OR(D334="Optional",D334="If Applicable",D334="To Verify")),"• "&amp;C334&amp;" ("&amp;D334&amp;")",""),IF(AND(E334&lt;&gt;"",OR(F334="Optional",F334="If Applicable",F334="To Verify")),"• "&amp;E334&amp;" ("&amp;F334&amp;")",""),IF(AND(G334&lt;&gt;"",OR(H334="Optional",H334="If Applicable",H334="To Verify")),"• "&amp;G334&amp;" ("&amp;H334&amp;")",""),IF(AND(I334&lt;&gt;"",OR(J334="Optional",J334="If Applicable",J334="To Verify")),"• "&amp;I334&amp;" ("&amp;J334&amp;")",""),IF(AND(K334&lt;&gt;"",OR(L334="Optional",L334="If Applicable",L334="To Verify")),"• "&amp;K334&amp;" ("&amp;L334&amp;")",""),IF(AND(M334&lt;&gt;"",OR(N334="Optional",N334="If Applicable",N334="To Verify")),"• "&amp;M334&amp;" ("&amp;N334&amp;")",""),IF(AND(O334&lt;&gt;"",OR(P334="Optional",P334="If Applicable",P334="To Verify")),"• "&amp;O334&amp;" ("&amp;P334&amp;")",""),IF(AND(Q334&lt;&gt;"",OR(R334="Optional",R334="If Applicable",R334="To Verify")),"• "&amp;Q334&amp;" ("&amp;R334&amp;")",""))</f>
        <v/>
      </c>
    </row>
    <row r="335" customFormat="false" ht="15" hidden="false" customHeight="false" outlineLevel="0" collapsed="false">
      <c r="A335" s="6"/>
      <c r="B335" s="7" t="str">
        <f aca="false">IF($A335="","",IFERROR(INDEX(MASTER_DATABASE!$E$4:$E$1000,MATCH($A335,MASTER_DATABASE!$A$4:$A$1000,0)),""))</f>
        <v/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7" t="str">
        <f aca="false">_xlfn.TEXTJOIN(CHAR(10),TRUE(),IF(AND(C335&lt;&gt;"",D335="Mandatory"),"✓ "&amp;C335,""),IF(AND(E335&lt;&gt;"",F335="Mandatory"),"✓ "&amp;E335,""),IF(AND(G335&lt;&gt;"",H335="Mandatory"),"✓ "&amp;G335,""),IF(AND(I335&lt;&gt;"",J335="Mandatory"),"✓ "&amp;I335,""),IF(AND(K335&lt;&gt;"",L335="Mandatory"),"✓ "&amp;K335,""),IF(AND(M335&lt;&gt;"",N335="Mandatory"),"✓ "&amp;M335,""),IF(AND(O335&lt;&gt;"",P335="Mandatory"),"✓ "&amp;O335,""),IF(AND(Q335&lt;&gt;"",R335="Mandatory"),"✓ "&amp;Q335,""))</f>
        <v/>
      </c>
      <c r="T335" s="7" t="str">
        <f aca="false">_xlfn.TEXTJOIN(CHAR(10),TRUE(),IF(AND(C335&lt;&gt;"",OR(D335="Optional",D335="If Applicable",D335="To Verify")),"• "&amp;C335&amp;" ("&amp;D335&amp;")",""),IF(AND(E335&lt;&gt;"",OR(F335="Optional",F335="If Applicable",F335="To Verify")),"• "&amp;E335&amp;" ("&amp;F335&amp;")",""),IF(AND(G335&lt;&gt;"",OR(H335="Optional",H335="If Applicable",H335="To Verify")),"• "&amp;G335&amp;" ("&amp;H335&amp;")",""),IF(AND(I335&lt;&gt;"",OR(J335="Optional",J335="If Applicable",J335="To Verify")),"• "&amp;I335&amp;" ("&amp;J335&amp;")",""),IF(AND(K335&lt;&gt;"",OR(L335="Optional",L335="If Applicable",L335="To Verify")),"• "&amp;K335&amp;" ("&amp;L335&amp;")",""),IF(AND(M335&lt;&gt;"",OR(N335="Optional",N335="If Applicable",N335="To Verify")),"• "&amp;M335&amp;" ("&amp;N335&amp;")",""),IF(AND(O335&lt;&gt;"",OR(P335="Optional",P335="If Applicable",P335="To Verify")),"• "&amp;O335&amp;" ("&amp;P335&amp;")",""),IF(AND(Q335&lt;&gt;"",OR(R335="Optional",R335="If Applicable",R335="To Verify")),"• "&amp;Q335&amp;" ("&amp;R335&amp;")",""))</f>
        <v/>
      </c>
    </row>
  </sheetData>
  <dataValidations count="16">
    <dataValidation allowBlank="true" error="Please choose a value from the dropdown list." errorStyle="stop" errorTitle="Invalid value" operator="between" showDropDown="false" showErrorMessage="true" showInputMessage="false" sqref="C4:C435" type="list">
      <formula1>DOCUMENT_MASTER!$B$4:$B$200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D4:D435" type="list">
      <formula1>LISTS!$L$4:$L$8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E4:E435" type="list">
      <formula1>DOCUMENT_MASTER!$B$4:$B$200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F4:F435" type="list">
      <formula1>LISTS!$L$4:$L$8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G4:G435" type="list">
      <formula1>DOCUMENT_MASTER!$B$4:$B$200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H4:H435" type="list">
      <formula1>LISTS!$L$4:$L$8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I4:I435" type="list">
      <formula1>DOCUMENT_MASTER!$B$4:$B$200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J4:J435" type="list">
      <formula1>LISTS!$L$4:$L$8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K4:K435" type="list">
      <formula1>DOCUMENT_MASTER!$B$4:$B$200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L4:L435" type="list">
      <formula1>LISTS!$L$4:$L$8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M4:M435" type="list">
      <formula1>DOCUMENT_MASTER!$B$4:$B$200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N4:N435" type="list">
      <formula1>LISTS!$L$4:$L$8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O4:O435" type="list">
      <formula1>DOCUMENT_MASTER!$B$4:$B$200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P4:P435" type="list">
      <formula1>LISTS!$L$4:$L$8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Q4:Q435" type="list">
      <formula1>DOCUMENT_MASTER!$B$4:$B$200</formula1>
      <formula2>0</formula2>
    </dataValidation>
    <dataValidation allowBlank="true" error="Please choose a value from the dropdown list." errorStyle="stop" errorTitle="Invalid value" operator="between" showDropDown="false" showErrorMessage="true" showInputMessage="false" sqref="R4:R435" type="list">
      <formula1>LISTS!$L$4:$L$8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6" min="5" style="0" width="12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3824</v>
      </c>
    </row>
    <row r="2" customFormat="false" ht="15" hidden="false" customHeight="false" outlineLevel="0" collapsed="false">
      <c r="A2" s="2" t="s">
        <v>3825</v>
      </c>
    </row>
    <row r="3" customFormat="false" ht="33.75" hidden="false" customHeight="true" outlineLevel="0" collapsed="false">
      <c r="A3" s="3" t="s">
        <v>3410</v>
      </c>
      <c r="B3" s="3" t="s">
        <v>3826</v>
      </c>
      <c r="C3" s="3" t="s">
        <v>56</v>
      </c>
      <c r="D3" s="3" t="s">
        <v>3827</v>
      </c>
      <c r="E3" s="3" t="s">
        <v>44</v>
      </c>
      <c r="F3" s="3" t="s">
        <v>35</v>
      </c>
      <c r="G3" s="3" t="s">
        <v>3422</v>
      </c>
    </row>
    <row r="4" customFormat="false" ht="15" hidden="false" customHeight="false" outlineLevel="0" collapsed="false">
      <c r="A4" s="6" t="s">
        <v>67</v>
      </c>
      <c r="B4" s="6" t="s">
        <v>3828</v>
      </c>
      <c r="C4" s="5" t="s">
        <v>3829</v>
      </c>
      <c r="D4" s="6" t="s">
        <v>3830</v>
      </c>
      <c r="E4" s="5" t="n">
        <v>10</v>
      </c>
      <c r="F4" s="5" t="s">
        <v>74</v>
      </c>
      <c r="G4" s="6"/>
    </row>
    <row r="5" customFormat="false" ht="23.85" hidden="false" customHeight="false" outlineLevel="0" collapsed="false">
      <c r="A5" s="6" t="s">
        <v>611</v>
      </c>
      <c r="B5" s="6" t="s">
        <v>3831</v>
      </c>
      <c r="C5" s="5" t="s">
        <v>854</v>
      </c>
      <c r="D5" s="6" t="s">
        <v>3832</v>
      </c>
      <c r="E5" s="5" t="n">
        <v>20</v>
      </c>
      <c r="F5" s="5" t="s">
        <v>74</v>
      </c>
      <c r="G5" s="6"/>
    </row>
    <row r="6" customFormat="false" ht="15" hidden="false" customHeight="false" outlineLevel="0" collapsed="false">
      <c r="A6" s="6" t="s">
        <v>871</v>
      </c>
      <c r="B6" s="6" t="s">
        <v>3833</v>
      </c>
      <c r="C6" s="5" t="s">
        <v>1022</v>
      </c>
      <c r="D6" s="6" t="s">
        <v>3834</v>
      </c>
      <c r="E6" s="5" t="n">
        <v>30</v>
      </c>
      <c r="F6" s="5" t="s">
        <v>74</v>
      </c>
      <c r="G6" s="6"/>
    </row>
    <row r="7" customFormat="false" ht="15" hidden="false" customHeight="false" outlineLevel="0" collapsed="false">
      <c r="A7" s="6" t="s">
        <v>1029</v>
      </c>
      <c r="B7" s="6" t="s">
        <v>3835</v>
      </c>
      <c r="C7" s="5" t="s">
        <v>1185</v>
      </c>
      <c r="D7" s="6" t="s">
        <v>3836</v>
      </c>
      <c r="E7" s="5" t="n">
        <v>40</v>
      </c>
      <c r="F7" s="5" t="s">
        <v>74</v>
      </c>
      <c r="G7" s="6"/>
    </row>
    <row r="8" customFormat="false" ht="23.85" hidden="false" customHeight="false" outlineLevel="0" collapsed="false">
      <c r="A8" s="6" t="s">
        <v>1341</v>
      </c>
      <c r="B8" s="6" t="s">
        <v>3837</v>
      </c>
      <c r="C8" s="5" t="s">
        <v>1350</v>
      </c>
      <c r="D8" s="6" t="s">
        <v>3838</v>
      </c>
      <c r="E8" s="5" t="n">
        <v>50</v>
      </c>
      <c r="F8" s="5" t="s">
        <v>74</v>
      </c>
      <c r="G8" s="6"/>
    </row>
    <row r="9" customFormat="false" ht="15" hidden="false" customHeight="false" outlineLevel="0" collapsed="false">
      <c r="A9" s="6" t="s">
        <v>1876</v>
      </c>
      <c r="B9" s="6" t="s">
        <v>3839</v>
      </c>
      <c r="C9" s="5" t="s">
        <v>1886</v>
      </c>
      <c r="D9" s="6" t="s">
        <v>3840</v>
      </c>
      <c r="E9" s="5" t="n">
        <v>60</v>
      </c>
      <c r="F9" s="5" t="s">
        <v>74</v>
      </c>
      <c r="G9" s="6"/>
    </row>
    <row r="10" customFormat="false" ht="15" hidden="false" customHeight="false" outlineLevel="0" collapsed="false">
      <c r="A10" s="6" t="s">
        <v>2110</v>
      </c>
      <c r="B10" s="6" t="s">
        <v>3841</v>
      </c>
      <c r="C10" s="5" t="s">
        <v>415</v>
      </c>
      <c r="D10" s="6" t="s">
        <v>3842</v>
      </c>
      <c r="E10" s="5" t="n">
        <v>70</v>
      </c>
      <c r="F10" s="5" t="s">
        <v>74</v>
      </c>
      <c r="G10" s="6"/>
    </row>
    <row r="11" customFormat="false" ht="15" hidden="false" customHeight="false" outlineLevel="0" collapsed="false">
      <c r="A11" s="6" t="s">
        <v>2387</v>
      </c>
      <c r="B11" s="6" t="s">
        <v>3843</v>
      </c>
      <c r="C11" s="5" t="s">
        <v>2430</v>
      </c>
      <c r="D11" s="6" t="s">
        <v>3844</v>
      </c>
      <c r="E11" s="5" t="n">
        <v>80</v>
      </c>
      <c r="F11" s="5" t="s">
        <v>74</v>
      </c>
      <c r="G11" s="6"/>
    </row>
    <row r="12" customFormat="false" ht="15" hidden="false" customHeight="false" outlineLevel="0" collapsed="false">
      <c r="A12" s="6" t="s">
        <v>2674</v>
      </c>
      <c r="B12" s="6" t="s">
        <v>3845</v>
      </c>
      <c r="C12" s="5" t="s">
        <v>3846</v>
      </c>
      <c r="D12" s="6" t="s">
        <v>3847</v>
      </c>
      <c r="E12" s="5" t="n">
        <v>90</v>
      </c>
      <c r="F12" s="5" t="s">
        <v>74</v>
      </c>
      <c r="G12" s="6"/>
    </row>
    <row r="13" customFormat="false" ht="15" hidden="false" customHeight="false" outlineLevel="0" collapsed="false">
      <c r="A13" s="6" t="s">
        <v>3101</v>
      </c>
      <c r="B13" s="6" t="s">
        <v>3848</v>
      </c>
      <c r="C13" s="5" t="s">
        <v>3849</v>
      </c>
      <c r="D13" s="6" t="s">
        <v>3850</v>
      </c>
      <c r="E13" s="5" t="n">
        <v>100</v>
      </c>
      <c r="F13" s="5" t="s">
        <v>74</v>
      </c>
      <c r="G13" s="6"/>
    </row>
    <row r="14" customFormat="false" ht="23.85" hidden="false" customHeight="false" outlineLevel="0" collapsed="false">
      <c r="A14" s="6" t="s">
        <v>3286</v>
      </c>
      <c r="B14" s="6" t="s">
        <v>3851</v>
      </c>
      <c r="C14" s="5" t="s">
        <v>3296</v>
      </c>
      <c r="D14" s="6" t="s">
        <v>3852</v>
      </c>
      <c r="E14" s="5" t="n">
        <v>110</v>
      </c>
      <c r="F14" s="5" t="s">
        <v>79</v>
      </c>
      <c r="G14" s="6" t="s">
        <v>3853</v>
      </c>
    </row>
    <row r="15" customFormat="false" ht="15" hidden="false" customHeight="false" outlineLevel="0" collapsed="false">
      <c r="A15" s="6" t="s">
        <v>3772</v>
      </c>
      <c r="B15" s="6" t="s">
        <v>3854</v>
      </c>
      <c r="C15" s="5" t="s">
        <v>3855</v>
      </c>
      <c r="D15" s="6" t="s">
        <v>3856</v>
      </c>
      <c r="E15" s="5" t="n">
        <v>120</v>
      </c>
      <c r="F15" s="5" t="s">
        <v>79</v>
      </c>
      <c r="G15" s="6" t="s">
        <v>3857</v>
      </c>
    </row>
  </sheetData>
  <dataValidations count="1">
    <dataValidation allowBlank="true" error="Please choose a value from the dropdown list." errorStyle="stop" errorTitle="Invalid value" operator="between" showDropDown="false" showErrorMessage="true" showInputMessage="false" sqref="F4:F40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4"/>
  </cols>
  <sheetData>
    <row r="1" customFormat="false" ht="17.35" hidden="false" customHeight="false" outlineLevel="0" collapsed="false">
      <c r="A1" s="1" t="s">
        <v>3858</v>
      </c>
    </row>
    <row r="2" customFormat="false" ht="15" hidden="false" customHeight="false" outlineLevel="0" collapsed="false">
      <c r="A2" s="2" t="s">
        <v>3859</v>
      </c>
    </row>
    <row r="3" customFormat="false" ht="23.85" hidden="false" customHeight="false" outlineLevel="0" collapsed="false">
      <c r="A3" s="14" t="s">
        <v>3860</v>
      </c>
      <c r="B3" s="14" t="s">
        <v>3861</v>
      </c>
      <c r="C3" s="14" t="s">
        <v>3862</v>
      </c>
      <c r="D3" s="14" t="s">
        <v>13</v>
      </c>
      <c r="E3" s="14" t="s">
        <v>34</v>
      </c>
      <c r="F3" s="14" t="s">
        <v>3403</v>
      </c>
      <c r="G3" s="14" t="s">
        <v>24</v>
      </c>
      <c r="H3" s="14" t="s">
        <v>3863</v>
      </c>
      <c r="I3" s="14" t="s">
        <v>3864</v>
      </c>
      <c r="J3" s="14" t="s">
        <v>49</v>
      </c>
      <c r="K3" s="14" t="s">
        <v>3428</v>
      </c>
      <c r="L3" s="14" t="s">
        <v>3865</v>
      </c>
      <c r="M3" s="14" t="s">
        <v>3707</v>
      </c>
    </row>
    <row r="4" customFormat="false" ht="15" hidden="false" customHeight="false" outlineLevel="0" collapsed="false">
      <c r="A4" s="15" t="s">
        <v>74</v>
      </c>
      <c r="B4" s="15" t="s">
        <v>74</v>
      </c>
      <c r="C4" s="15" t="s">
        <v>74</v>
      </c>
      <c r="D4" s="15" t="s">
        <v>3866</v>
      </c>
      <c r="E4" s="15" t="s">
        <v>170</v>
      </c>
      <c r="F4" s="15" t="s">
        <v>440</v>
      </c>
      <c r="G4" s="15" t="s">
        <v>3867</v>
      </c>
      <c r="H4" s="15" t="s">
        <v>224</v>
      </c>
      <c r="I4" s="15" t="s">
        <v>452</v>
      </c>
      <c r="J4" s="15" t="s">
        <v>3868</v>
      </c>
      <c r="K4" s="15" t="s">
        <v>3435</v>
      </c>
      <c r="L4" s="15" t="s">
        <v>3436</v>
      </c>
      <c r="M4" s="15" t="s">
        <v>3710</v>
      </c>
    </row>
    <row r="5" customFormat="false" ht="15" hidden="false" customHeight="false" outlineLevel="0" collapsed="false">
      <c r="A5" s="15" t="s">
        <v>79</v>
      </c>
      <c r="B5" s="15" t="s">
        <v>79</v>
      </c>
      <c r="C5" s="15" t="s">
        <v>79</v>
      </c>
      <c r="D5" s="15" t="s">
        <v>3869</v>
      </c>
      <c r="E5" s="15" t="s">
        <v>3870</v>
      </c>
      <c r="F5" s="15" t="s">
        <v>371</v>
      </c>
      <c r="G5" s="15" t="s">
        <v>3871</v>
      </c>
      <c r="H5" s="15" t="s">
        <v>81</v>
      </c>
      <c r="I5" s="15" t="s">
        <v>140</v>
      </c>
      <c r="J5" s="15" t="s">
        <v>75</v>
      </c>
      <c r="K5" s="15" t="s">
        <v>3458</v>
      </c>
      <c r="L5" s="15" t="s">
        <v>3872</v>
      </c>
      <c r="M5" s="15" t="s">
        <v>3728</v>
      </c>
    </row>
    <row r="6" customFormat="false" ht="15" hidden="false" customHeight="false" outlineLevel="0" collapsed="false">
      <c r="B6" s="15" t="s">
        <v>129</v>
      </c>
      <c r="C6" s="15" t="s">
        <v>75</v>
      </c>
      <c r="D6" s="15" t="s">
        <v>12</v>
      </c>
      <c r="E6" s="15" t="s">
        <v>3873</v>
      </c>
      <c r="F6" s="15" t="s">
        <v>756</v>
      </c>
      <c r="G6" s="15" t="s">
        <v>3874</v>
      </c>
      <c r="H6" s="15" t="s">
        <v>443</v>
      </c>
      <c r="I6" s="15" t="s">
        <v>3875</v>
      </c>
      <c r="J6" s="15" t="s">
        <v>3876</v>
      </c>
      <c r="K6" s="15" t="s">
        <v>3443</v>
      </c>
      <c r="L6" s="15" t="s">
        <v>3453</v>
      </c>
      <c r="M6" s="15" t="s">
        <v>3711</v>
      </c>
    </row>
    <row r="7" customFormat="false" ht="15" hidden="false" customHeight="false" outlineLevel="0" collapsed="false">
      <c r="D7" s="15" t="s">
        <v>221</v>
      </c>
      <c r="E7" s="15" t="s">
        <v>3877</v>
      </c>
      <c r="F7" s="15" t="s">
        <v>3878</v>
      </c>
      <c r="G7" s="15" t="s">
        <v>3879</v>
      </c>
      <c r="H7" s="15" t="s">
        <v>221</v>
      </c>
      <c r="I7" s="15" t="s">
        <v>233</v>
      </c>
      <c r="K7" s="15" t="s">
        <v>3448</v>
      </c>
      <c r="L7" s="15" t="s">
        <v>3880</v>
      </c>
      <c r="M7" s="15" t="s">
        <v>75</v>
      </c>
    </row>
    <row r="8" customFormat="false" ht="15" hidden="false" customHeight="false" outlineLevel="0" collapsed="false">
      <c r="D8" s="15" t="s">
        <v>75</v>
      </c>
      <c r="E8" s="15" t="s">
        <v>75</v>
      </c>
      <c r="F8" s="15" t="s">
        <v>3881</v>
      </c>
      <c r="G8" s="15" t="s">
        <v>3882</v>
      </c>
      <c r="I8" s="15" t="s">
        <v>93</v>
      </c>
      <c r="K8" s="15" t="s">
        <v>3467</v>
      </c>
      <c r="L8" s="15" t="s">
        <v>75</v>
      </c>
    </row>
    <row r="9" customFormat="false" ht="15" hidden="false" customHeight="false" outlineLevel="0" collapsed="false">
      <c r="D9" s="15" t="s">
        <v>437</v>
      </c>
      <c r="F9" s="15" t="s">
        <v>78</v>
      </c>
      <c r="G9" s="15" t="s">
        <v>80</v>
      </c>
      <c r="I9" s="15" t="s">
        <v>1892</v>
      </c>
      <c r="K9" s="15" t="s">
        <v>3485</v>
      </c>
    </row>
    <row r="10" customFormat="false" ht="15" hidden="false" customHeight="false" outlineLevel="0" collapsed="false">
      <c r="F10" s="15" t="s">
        <v>75</v>
      </c>
      <c r="I10" s="15" t="s">
        <v>33</v>
      </c>
      <c r="K10" s="15" t="s">
        <v>3480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2026-09-20T15:45:28Z</dcterms:created>
  <dc:creator>openpyxl</dc:creator>
  <dc:description/>
  <dc:language>en-US</dc:language>
  <cp:lastModifiedBy/>
  <dcterms:modified xsi:type="dcterms:W3CDTF">2026-09-20T15:45:37Z</dcterms:modified>
  <cp:revision>1</cp:revision>
  <dc:subject/>
  <dc:title>Devmobile Official Website Service Master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